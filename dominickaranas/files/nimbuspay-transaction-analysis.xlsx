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160FFC16-58CA-4D3C-AE56-018D17791326}" xr6:coauthVersionLast="47" xr6:coauthVersionMax="47" xr10:uidLastSave="{00000000-0000-0000-0000-000000000000}"/>
  <bookViews>
    <workbookView xWindow="-120" yWindow="-120" windowWidth="20730" windowHeight="11040" firstSheet="7" activeTab="9" xr2:uid="{C6C5369A-705F-41F2-9CEB-DFB8D9EC0C32}"/>
  </bookViews>
  <sheets>
    <sheet name="Transactions_RAW" sheetId="6" r:id="rId1"/>
    <sheet name="Services" sheetId="8" r:id="rId2"/>
    <sheet name="Quarterly_Targets" sheetId="9" r:id="rId3"/>
    <sheet name="Customers" sheetId="7" r:id="rId4"/>
    <sheet name="Transactions_Cleaned" sheetId="5" r:id="rId5"/>
    <sheet name="Services-Cleaned" sheetId="4" r:id="rId6"/>
    <sheet name="Quarterly_Targets_Cleaned" sheetId="3" r:id="rId7"/>
    <sheet name="Customers_Cleaned" sheetId="2" r:id="rId8"/>
    <sheet name="Pivot" sheetId="10" r:id="rId9"/>
    <sheet name="Dashboard" sheetId="11" r:id="rId10"/>
  </sheets>
  <definedNames>
    <definedName name="ExternalData_1" localSheetId="7" hidden="1">'Customers_Cleaned'!$A$1:$F$131</definedName>
    <definedName name="ExternalData_2" localSheetId="6" hidden="1">Quarterly_Targets_Cleaned!$A$1:$C$13</definedName>
    <definedName name="ExternalData_3" localSheetId="5" hidden="1">'Services-Cleaned'!$A$1:$E$9</definedName>
    <definedName name="ExternalData_4" localSheetId="4" hidden="1">Transactions_Cleaned!$A$1:$N$2616</definedName>
    <definedName name="Slicer_Quarter">#N/A</definedName>
  </definedNames>
  <calcPr calcId="191029"/>
  <pivotCaches>
    <pivotCache cacheId="1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V2" i="5" l="1"/>
  <c r="V3" i="5"/>
  <c r="V4" i="5"/>
  <c r="V5" i="5"/>
  <c r="V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V125" i="5"/>
  <c r="V126" i="5"/>
  <c r="V127" i="5"/>
  <c r="V128" i="5"/>
  <c r="V129" i="5"/>
  <c r="V130" i="5"/>
  <c r="V131" i="5"/>
  <c r="V132" i="5"/>
  <c r="V133" i="5"/>
  <c r="V134" i="5"/>
  <c r="V135" i="5"/>
  <c r="V136" i="5"/>
  <c r="V137" i="5"/>
  <c r="V138" i="5"/>
  <c r="V139" i="5"/>
  <c r="V140" i="5"/>
  <c r="V141" i="5"/>
  <c r="V142" i="5"/>
  <c r="V143" i="5"/>
  <c r="V144" i="5"/>
  <c r="V145" i="5"/>
  <c r="V146" i="5"/>
  <c r="V147" i="5"/>
  <c r="V148" i="5"/>
  <c r="V149" i="5"/>
  <c r="V150" i="5"/>
  <c r="V151" i="5"/>
  <c r="V152" i="5"/>
  <c r="V153" i="5"/>
  <c r="V154" i="5"/>
  <c r="V155" i="5"/>
  <c r="V156" i="5"/>
  <c r="V157" i="5"/>
  <c r="V158" i="5"/>
  <c r="V159" i="5"/>
  <c r="V160" i="5"/>
  <c r="V161" i="5"/>
  <c r="V162" i="5"/>
  <c r="V163" i="5"/>
  <c r="V164" i="5"/>
  <c r="V165" i="5"/>
  <c r="V166" i="5"/>
  <c r="V167" i="5"/>
  <c r="V168" i="5"/>
  <c r="V169" i="5"/>
  <c r="V170" i="5"/>
  <c r="V171" i="5"/>
  <c r="V172" i="5"/>
  <c r="V173" i="5"/>
  <c r="V174" i="5"/>
  <c r="V175" i="5"/>
  <c r="V176" i="5"/>
  <c r="V177" i="5"/>
  <c r="V178" i="5"/>
  <c r="V179" i="5"/>
  <c r="V180" i="5"/>
  <c r="V181" i="5"/>
  <c r="V182" i="5"/>
  <c r="V183" i="5"/>
  <c r="V184" i="5"/>
  <c r="V185" i="5"/>
  <c r="V186" i="5"/>
  <c r="V187" i="5"/>
  <c r="V188" i="5"/>
  <c r="V189" i="5"/>
  <c r="V190" i="5"/>
  <c r="V191" i="5"/>
  <c r="V192" i="5"/>
  <c r="V193" i="5"/>
  <c r="V194" i="5"/>
  <c r="V195" i="5"/>
  <c r="V196" i="5"/>
  <c r="V197" i="5"/>
  <c r="V198" i="5"/>
  <c r="V199" i="5"/>
  <c r="V200" i="5"/>
  <c r="V201" i="5"/>
  <c r="V202" i="5"/>
  <c r="V203" i="5"/>
  <c r="V204" i="5"/>
  <c r="V205" i="5"/>
  <c r="V206" i="5"/>
  <c r="V207" i="5"/>
  <c r="V208" i="5"/>
  <c r="V209" i="5"/>
  <c r="V210" i="5"/>
  <c r="V211" i="5"/>
  <c r="V212" i="5"/>
  <c r="V213" i="5"/>
  <c r="V214" i="5"/>
  <c r="V215" i="5"/>
  <c r="V216" i="5"/>
  <c r="V217" i="5"/>
  <c r="V218" i="5"/>
  <c r="V219" i="5"/>
  <c r="V220" i="5"/>
  <c r="V221" i="5"/>
  <c r="V222" i="5"/>
  <c r="V223" i="5"/>
  <c r="V224" i="5"/>
  <c r="V225" i="5"/>
  <c r="V226" i="5"/>
  <c r="V227" i="5"/>
  <c r="V228" i="5"/>
  <c r="V229" i="5"/>
  <c r="V230" i="5"/>
  <c r="V231" i="5"/>
  <c r="V232" i="5"/>
  <c r="V233" i="5"/>
  <c r="V234" i="5"/>
  <c r="V235" i="5"/>
  <c r="V236" i="5"/>
  <c r="V237" i="5"/>
  <c r="V238" i="5"/>
  <c r="V239" i="5"/>
  <c r="V240" i="5"/>
  <c r="V241" i="5"/>
  <c r="V242" i="5"/>
  <c r="V243" i="5"/>
  <c r="V244" i="5"/>
  <c r="V245" i="5"/>
  <c r="V246" i="5"/>
  <c r="V247" i="5"/>
  <c r="V248" i="5"/>
  <c r="V249" i="5"/>
  <c r="V250" i="5"/>
  <c r="V251" i="5"/>
  <c r="V252" i="5"/>
  <c r="V253" i="5"/>
  <c r="V254" i="5"/>
  <c r="V255" i="5"/>
  <c r="V256" i="5"/>
  <c r="V257" i="5"/>
  <c r="V258" i="5"/>
  <c r="V259" i="5"/>
  <c r="V260" i="5"/>
  <c r="V261" i="5"/>
  <c r="V262" i="5"/>
  <c r="V263" i="5"/>
  <c r="V264" i="5"/>
  <c r="V265" i="5"/>
  <c r="V266" i="5"/>
  <c r="V267" i="5"/>
  <c r="V268" i="5"/>
  <c r="V269" i="5"/>
  <c r="V270" i="5"/>
  <c r="V271" i="5"/>
  <c r="V272" i="5"/>
  <c r="V273" i="5"/>
  <c r="V274" i="5"/>
  <c r="V275" i="5"/>
  <c r="V276" i="5"/>
  <c r="V277" i="5"/>
  <c r="V278" i="5"/>
  <c r="V279" i="5"/>
  <c r="V280" i="5"/>
  <c r="V281" i="5"/>
  <c r="V282" i="5"/>
  <c r="V283" i="5"/>
  <c r="V284" i="5"/>
  <c r="V285" i="5"/>
  <c r="V286" i="5"/>
  <c r="V287" i="5"/>
  <c r="V288" i="5"/>
  <c r="V289" i="5"/>
  <c r="V290" i="5"/>
  <c r="V291" i="5"/>
  <c r="V292" i="5"/>
  <c r="V293" i="5"/>
  <c r="V294" i="5"/>
  <c r="V295" i="5"/>
  <c r="V296" i="5"/>
  <c r="V297" i="5"/>
  <c r="V298" i="5"/>
  <c r="V299" i="5"/>
  <c r="V300" i="5"/>
  <c r="V301" i="5"/>
  <c r="V302" i="5"/>
  <c r="V303" i="5"/>
  <c r="V304" i="5"/>
  <c r="V305" i="5"/>
  <c r="V306" i="5"/>
  <c r="V307" i="5"/>
  <c r="V308" i="5"/>
  <c r="V309" i="5"/>
  <c r="V310" i="5"/>
  <c r="V311" i="5"/>
  <c r="V312" i="5"/>
  <c r="V313" i="5"/>
  <c r="V314" i="5"/>
  <c r="V315" i="5"/>
  <c r="V316" i="5"/>
  <c r="V317" i="5"/>
  <c r="V318" i="5"/>
  <c r="V319" i="5"/>
  <c r="V320" i="5"/>
  <c r="V321" i="5"/>
  <c r="V322" i="5"/>
  <c r="V323" i="5"/>
  <c r="V324" i="5"/>
  <c r="V325" i="5"/>
  <c r="V326" i="5"/>
  <c r="V327" i="5"/>
  <c r="V328" i="5"/>
  <c r="V329" i="5"/>
  <c r="V330" i="5"/>
  <c r="V331" i="5"/>
  <c r="V332" i="5"/>
  <c r="V333" i="5"/>
  <c r="V334" i="5"/>
  <c r="V335" i="5"/>
  <c r="V336" i="5"/>
  <c r="V337" i="5"/>
  <c r="V338" i="5"/>
  <c r="V339" i="5"/>
  <c r="V340" i="5"/>
  <c r="V341" i="5"/>
  <c r="V342" i="5"/>
  <c r="V343" i="5"/>
  <c r="V344" i="5"/>
  <c r="V345" i="5"/>
  <c r="V346" i="5"/>
  <c r="V347" i="5"/>
  <c r="V348" i="5"/>
  <c r="V349" i="5"/>
  <c r="V350" i="5"/>
  <c r="V351" i="5"/>
  <c r="V352" i="5"/>
  <c r="V353" i="5"/>
  <c r="V354" i="5"/>
  <c r="V355" i="5"/>
  <c r="V356" i="5"/>
  <c r="V357" i="5"/>
  <c r="V358" i="5"/>
  <c r="V359" i="5"/>
  <c r="V360" i="5"/>
  <c r="V361" i="5"/>
  <c r="V362" i="5"/>
  <c r="V363" i="5"/>
  <c r="V364" i="5"/>
  <c r="V365" i="5"/>
  <c r="V366" i="5"/>
  <c r="V367" i="5"/>
  <c r="V368" i="5"/>
  <c r="V369" i="5"/>
  <c r="V370" i="5"/>
  <c r="V371" i="5"/>
  <c r="V372" i="5"/>
  <c r="V373" i="5"/>
  <c r="V374" i="5"/>
  <c r="V375" i="5"/>
  <c r="V376" i="5"/>
  <c r="V377" i="5"/>
  <c r="V378" i="5"/>
  <c r="V379" i="5"/>
  <c r="V380" i="5"/>
  <c r="V381" i="5"/>
  <c r="V382" i="5"/>
  <c r="V383" i="5"/>
  <c r="V384" i="5"/>
  <c r="V385" i="5"/>
  <c r="V386" i="5"/>
  <c r="V387" i="5"/>
  <c r="V388" i="5"/>
  <c r="V389" i="5"/>
  <c r="V390" i="5"/>
  <c r="V391" i="5"/>
  <c r="V392" i="5"/>
  <c r="V393" i="5"/>
  <c r="V394" i="5"/>
  <c r="V395" i="5"/>
  <c r="V396" i="5"/>
  <c r="V397" i="5"/>
  <c r="V398" i="5"/>
  <c r="V399" i="5"/>
  <c r="V400" i="5"/>
  <c r="V401" i="5"/>
  <c r="V402" i="5"/>
  <c r="V403" i="5"/>
  <c r="V404" i="5"/>
  <c r="V405" i="5"/>
  <c r="V406" i="5"/>
  <c r="V407" i="5"/>
  <c r="V408" i="5"/>
  <c r="V409" i="5"/>
  <c r="V410" i="5"/>
  <c r="V411" i="5"/>
  <c r="V412" i="5"/>
  <c r="V413" i="5"/>
  <c r="V414" i="5"/>
  <c r="V415" i="5"/>
  <c r="V416" i="5"/>
  <c r="V417" i="5"/>
  <c r="V418" i="5"/>
  <c r="V419" i="5"/>
  <c r="V420" i="5"/>
  <c r="V421" i="5"/>
  <c r="V422" i="5"/>
  <c r="V423" i="5"/>
  <c r="V424" i="5"/>
  <c r="V425" i="5"/>
  <c r="V426" i="5"/>
  <c r="V427" i="5"/>
  <c r="V428" i="5"/>
  <c r="V429" i="5"/>
  <c r="V430" i="5"/>
  <c r="V431" i="5"/>
  <c r="V432" i="5"/>
  <c r="V433" i="5"/>
  <c r="V434" i="5"/>
  <c r="V435" i="5"/>
  <c r="V436" i="5"/>
  <c r="V437" i="5"/>
  <c r="V438" i="5"/>
  <c r="V439" i="5"/>
  <c r="V440" i="5"/>
  <c r="V441" i="5"/>
  <c r="V442" i="5"/>
  <c r="V443" i="5"/>
  <c r="V444" i="5"/>
  <c r="V445" i="5"/>
  <c r="V446" i="5"/>
  <c r="V447" i="5"/>
  <c r="V448" i="5"/>
  <c r="V449" i="5"/>
  <c r="V450" i="5"/>
  <c r="V451" i="5"/>
  <c r="V452" i="5"/>
  <c r="V453" i="5"/>
  <c r="V454" i="5"/>
  <c r="V455" i="5"/>
  <c r="V456" i="5"/>
  <c r="V457" i="5"/>
  <c r="V458" i="5"/>
  <c r="V459" i="5"/>
  <c r="V460" i="5"/>
  <c r="V461" i="5"/>
  <c r="V462" i="5"/>
  <c r="V463" i="5"/>
  <c r="V464" i="5"/>
  <c r="V465" i="5"/>
  <c r="V466" i="5"/>
  <c r="V467" i="5"/>
  <c r="V468" i="5"/>
  <c r="V469" i="5"/>
  <c r="V470" i="5"/>
  <c r="V471" i="5"/>
  <c r="V472" i="5"/>
  <c r="V473" i="5"/>
  <c r="V474" i="5"/>
  <c r="V475" i="5"/>
  <c r="V476" i="5"/>
  <c r="V477" i="5"/>
  <c r="V478" i="5"/>
  <c r="V479" i="5"/>
  <c r="V480" i="5"/>
  <c r="V481" i="5"/>
  <c r="V482" i="5"/>
  <c r="V483" i="5"/>
  <c r="V484" i="5"/>
  <c r="V485" i="5"/>
  <c r="V486" i="5"/>
  <c r="V487" i="5"/>
  <c r="V488" i="5"/>
  <c r="V489" i="5"/>
  <c r="V490" i="5"/>
  <c r="V491" i="5"/>
  <c r="V492" i="5"/>
  <c r="V493" i="5"/>
  <c r="V494" i="5"/>
  <c r="V495" i="5"/>
  <c r="V496" i="5"/>
  <c r="V497" i="5"/>
  <c r="V498" i="5"/>
  <c r="V499" i="5"/>
  <c r="V500" i="5"/>
  <c r="V501" i="5"/>
  <c r="V502" i="5"/>
  <c r="V503" i="5"/>
  <c r="V504" i="5"/>
  <c r="V505" i="5"/>
  <c r="V506" i="5"/>
  <c r="V507" i="5"/>
  <c r="V508" i="5"/>
  <c r="V509" i="5"/>
  <c r="V510" i="5"/>
  <c r="V511" i="5"/>
  <c r="V512" i="5"/>
  <c r="V513" i="5"/>
  <c r="V514" i="5"/>
  <c r="V515" i="5"/>
  <c r="V516" i="5"/>
  <c r="V517" i="5"/>
  <c r="V518" i="5"/>
  <c r="V519" i="5"/>
  <c r="V520" i="5"/>
  <c r="V521" i="5"/>
  <c r="V522" i="5"/>
  <c r="V523" i="5"/>
  <c r="V524" i="5"/>
  <c r="V525" i="5"/>
  <c r="V526" i="5"/>
  <c r="V527" i="5"/>
  <c r="V528" i="5"/>
  <c r="V529" i="5"/>
  <c r="V530" i="5"/>
  <c r="V531" i="5"/>
  <c r="V532" i="5"/>
  <c r="V533" i="5"/>
  <c r="V534" i="5"/>
  <c r="V535" i="5"/>
  <c r="V536" i="5"/>
  <c r="V537" i="5"/>
  <c r="V538" i="5"/>
  <c r="V539" i="5"/>
  <c r="V540" i="5"/>
  <c r="V541" i="5"/>
  <c r="V542" i="5"/>
  <c r="V543" i="5"/>
  <c r="V544" i="5"/>
  <c r="V545" i="5"/>
  <c r="V546" i="5"/>
  <c r="V547" i="5"/>
  <c r="V548" i="5"/>
  <c r="V549" i="5"/>
  <c r="V550" i="5"/>
  <c r="V551" i="5"/>
  <c r="V552" i="5"/>
  <c r="V553" i="5"/>
  <c r="V554" i="5"/>
  <c r="V555" i="5"/>
  <c r="V556" i="5"/>
  <c r="V557" i="5"/>
  <c r="V558" i="5"/>
  <c r="V559" i="5"/>
  <c r="V560" i="5"/>
  <c r="V561" i="5"/>
  <c r="V562" i="5"/>
  <c r="V563" i="5"/>
  <c r="V564" i="5"/>
  <c r="V565" i="5"/>
  <c r="V566" i="5"/>
  <c r="V567" i="5"/>
  <c r="V568" i="5"/>
  <c r="V569" i="5"/>
  <c r="V570" i="5"/>
  <c r="V571" i="5"/>
  <c r="V572" i="5"/>
  <c r="V573" i="5"/>
  <c r="V574" i="5"/>
  <c r="V575" i="5"/>
  <c r="V576" i="5"/>
  <c r="V577" i="5"/>
  <c r="V578" i="5"/>
  <c r="V579" i="5"/>
  <c r="V580" i="5"/>
  <c r="V581" i="5"/>
  <c r="V582" i="5"/>
  <c r="V583" i="5"/>
  <c r="V584" i="5"/>
  <c r="V585" i="5"/>
  <c r="V586" i="5"/>
  <c r="V587" i="5"/>
  <c r="V588" i="5"/>
  <c r="V589" i="5"/>
  <c r="V590" i="5"/>
  <c r="V591" i="5"/>
  <c r="V592" i="5"/>
  <c r="V593" i="5"/>
  <c r="V594" i="5"/>
  <c r="V595" i="5"/>
  <c r="V596" i="5"/>
  <c r="V597" i="5"/>
  <c r="V598" i="5"/>
  <c r="V599" i="5"/>
  <c r="V600" i="5"/>
  <c r="V601" i="5"/>
  <c r="V602" i="5"/>
  <c r="V603" i="5"/>
  <c r="V604" i="5"/>
  <c r="V605" i="5"/>
  <c r="V606" i="5"/>
  <c r="V607" i="5"/>
  <c r="V608" i="5"/>
  <c r="V609" i="5"/>
  <c r="V610" i="5"/>
  <c r="V611" i="5"/>
  <c r="V612" i="5"/>
  <c r="V613" i="5"/>
  <c r="V614" i="5"/>
  <c r="V615" i="5"/>
  <c r="V616" i="5"/>
  <c r="V617" i="5"/>
  <c r="V618" i="5"/>
  <c r="V619" i="5"/>
  <c r="V620" i="5"/>
  <c r="V621" i="5"/>
  <c r="V622" i="5"/>
  <c r="V623" i="5"/>
  <c r="V624" i="5"/>
  <c r="V625" i="5"/>
  <c r="V626" i="5"/>
  <c r="V627" i="5"/>
  <c r="V628" i="5"/>
  <c r="V629" i="5"/>
  <c r="V630" i="5"/>
  <c r="V631" i="5"/>
  <c r="V632" i="5"/>
  <c r="V633" i="5"/>
  <c r="V634" i="5"/>
  <c r="V635" i="5"/>
  <c r="V636" i="5"/>
  <c r="V637" i="5"/>
  <c r="V638" i="5"/>
  <c r="V639" i="5"/>
  <c r="V640" i="5"/>
  <c r="V641" i="5"/>
  <c r="V642" i="5"/>
  <c r="V643" i="5"/>
  <c r="V644" i="5"/>
  <c r="V645" i="5"/>
  <c r="V646" i="5"/>
  <c r="V647" i="5"/>
  <c r="V648" i="5"/>
  <c r="V649" i="5"/>
  <c r="V650" i="5"/>
  <c r="V651" i="5"/>
  <c r="V652" i="5"/>
  <c r="V653" i="5"/>
  <c r="V654" i="5"/>
  <c r="V655" i="5"/>
  <c r="V656" i="5"/>
  <c r="V657" i="5"/>
  <c r="V658" i="5"/>
  <c r="V659" i="5"/>
  <c r="V660" i="5"/>
  <c r="V661" i="5"/>
  <c r="V662" i="5"/>
  <c r="V663" i="5"/>
  <c r="V664" i="5"/>
  <c r="V665" i="5"/>
  <c r="V666" i="5"/>
  <c r="V667" i="5"/>
  <c r="V668" i="5"/>
  <c r="V669" i="5"/>
  <c r="V670" i="5"/>
  <c r="V671" i="5"/>
  <c r="V672" i="5"/>
  <c r="V673" i="5"/>
  <c r="V674" i="5"/>
  <c r="V675" i="5"/>
  <c r="V676" i="5"/>
  <c r="V677" i="5"/>
  <c r="V678" i="5"/>
  <c r="V679" i="5"/>
  <c r="V680" i="5"/>
  <c r="V681" i="5"/>
  <c r="V682" i="5"/>
  <c r="V683" i="5"/>
  <c r="V684" i="5"/>
  <c r="V685" i="5"/>
  <c r="V686" i="5"/>
  <c r="V687" i="5"/>
  <c r="V688" i="5"/>
  <c r="V689" i="5"/>
  <c r="V690" i="5"/>
  <c r="V691" i="5"/>
  <c r="V692" i="5"/>
  <c r="V693" i="5"/>
  <c r="V694" i="5"/>
  <c r="V695" i="5"/>
  <c r="V696" i="5"/>
  <c r="V697" i="5"/>
  <c r="V698" i="5"/>
  <c r="V699" i="5"/>
  <c r="V700" i="5"/>
  <c r="V701" i="5"/>
  <c r="V702" i="5"/>
  <c r="V703" i="5"/>
  <c r="V704" i="5"/>
  <c r="V705" i="5"/>
  <c r="V706" i="5"/>
  <c r="V707" i="5"/>
  <c r="V708" i="5"/>
  <c r="V709" i="5"/>
  <c r="V710" i="5"/>
  <c r="V711" i="5"/>
  <c r="V712" i="5"/>
  <c r="V713" i="5"/>
  <c r="V714" i="5"/>
  <c r="V715" i="5"/>
  <c r="V716" i="5"/>
  <c r="V717" i="5"/>
  <c r="V718" i="5"/>
  <c r="V719" i="5"/>
  <c r="V720" i="5"/>
  <c r="V721" i="5"/>
  <c r="V722" i="5"/>
  <c r="V723" i="5"/>
  <c r="V724" i="5"/>
  <c r="V725" i="5"/>
  <c r="V726" i="5"/>
  <c r="V727" i="5"/>
  <c r="V728" i="5"/>
  <c r="V729" i="5"/>
  <c r="V730" i="5"/>
  <c r="V731" i="5"/>
  <c r="V732" i="5"/>
  <c r="V733" i="5"/>
  <c r="V734" i="5"/>
  <c r="V735" i="5"/>
  <c r="V736" i="5"/>
  <c r="V737" i="5"/>
  <c r="V738" i="5"/>
  <c r="V739" i="5"/>
  <c r="V740" i="5"/>
  <c r="V741" i="5"/>
  <c r="V742" i="5"/>
  <c r="V743" i="5"/>
  <c r="V744" i="5"/>
  <c r="V745" i="5"/>
  <c r="V746" i="5"/>
  <c r="V747" i="5"/>
  <c r="V748" i="5"/>
  <c r="V749" i="5"/>
  <c r="V750" i="5"/>
  <c r="V751" i="5"/>
  <c r="V752" i="5"/>
  <c r="V753" i="5"/>
  <c r="V754" i="5"/>
  <c r="V755" i="5"/>
  <c r="V756" i="5"/>
  <c r="V757" i="5"/>
  <c r="V758" i="5"/>
  <c r="V759" i="5"/>
  <c r="V760" i="5"/>
  <c r="V761" i="5"/>
  <c r="V762" i="5"/>
  <c r="V763" i="5"/>
  <c r="V764" i="5"/>
  <c r="V765" i="5"/>
  <c r="V766" i="5"/>
  <c r="V767" i="5"/>
  <c r="V768" i="5"/>
  <c r="V769" i="5"/>
  <c r="V770" i="5"/>
  <c r="V771" i="5"/>
  <c r="V772" i="5"/>
  <c r="V773" i="5"/>
  <c r="V774" i="5"/>
  <c r="V775" i="5"/>
  <c r="V776" i="5"/>
  <c r="V777" i="5"/>
  <c r="V778" i="5"/>
  <c r="V779" i="5"/>
  <c r="V780" i="5"/>
  <c r="V781" i="5"/>
  <c r="V782" i="5"/>
  <c r="V783" i="5"/>
  <c r="V784" i="5"/>
  <c r="V785" i="5"/>
  <c r="V786" i="5"/>
  <c r="V787" i="5"/>
  <c r="V788" i="5"/>
  <c r="V789" i="5"/>
  <c r="V790" i="5"/>
  <c r="V791" i="5"/>
  <c r="V792" i="5"/>
  <c r="V793" i="5"/>
  <c r="V794" i="5"/>
  <c r="V795" i="5"/>
  <c r="V796" i="5"/>
  <c r="V797" i="5"/>
  <c r="V798" i="5"/>
  <c r="V799" i="5"/>
  <c r="V800" i="5"/>
  <c r="V801" i="5"/>
  <c r="V802" i="5"/>
  <c r="V803" i="5"/>
  <c r="V804" i="5"/>
  <c r="V805" i="5"/>
  <c r="V806" i="5"/>
  <c r="V807" i="5"/>
  <c r="V808" i="5"/>
  <c r="V809" i="5"/>
  <c r="V810" i="5"/>
  <c r="V811" i="5"/>
  <c r="V812" i="5"/>
  <c r="V813" i="5"/>
  <c r="V814" i="5"/>
  <c r="V815" i="5"/>
  <c r="V816" i="5"/>
  <c r="V817" i="5"/>
  <c r="V818" i="5"/>
  <c r="V819" i="5"/>
  <c r="V820" i="5"/>
  <c r="V821" i="5"/>
  <c r="V822" i="5"/>
  <c r="V823" i="5"/>
  <c r="V824" i="5"/>
  <c r="V825" i="5"/>
  <c r="V826" i="5"/>
  <c r="V827" i="5"/>
  <c r="V828" i="5"/>
  <c r="V829" i="5"/>
  <c r="V830" i="5"/>
  <c r="V831" i="5"/>
  <c r="V832" i="5"/>
  <c r="V833" i="5"/>
  <c r="V834" i="5"/>
  <c r="V835" i="5"/>
  <c r="V836" i="5"/>
  <c r="V837" i="5"/>
  <c r="V838" i="5"/>
  <c r="V839" i="5"/>
  <c r="V840" i="5"/>
  <c r="V841" i="5"/>
  <c r="V842" i="5"/>
  <c r="V843" i="5"/>
  <c r="V844" i="5"/>
  <c r="V845" i="5"/>
  <c r="V846" i="5"/>
  <c r="V847" i="5"/>
  <c r="V848" i="5"/>
  <c r="V849" i="5"/>
  <c r="V850" i="5"/>
  <c r="V851" i="5"/>
  <c r="V852" i="5"/>
  <c r="V853" i="5"/>
  <c r="V854" i="5"/>
  <c r="V855" i="5"/>
  <c r="V856" i="5"/>
  <c r="V857" i="5"/>
  <c r="V858" i="5"/>
  <c r="V859" i="5"/>
  <c r="V860" i="5"/>
  <c r="V861" i="5"/>
  <c r="V862" i="5"/>
  <c r="V863" i="5"/>
  <c r="V864" i="5"/>
  <c r="V865" i="5"/>
  <c r="V866" i="5"/>
  <c r="V867" i="5"/>
  <c r="V868" i="5"/>
  <c r="V869" i="5"/>
  <c r="V870" i="5"/>
  <c r="V871" i="5"/>
  <c r="V872" i="5"/>
  <c r="V873" i="5"/>
  <c r="V874" i="5"/>
  <c r="V875" i="5"/>
  <c r="V876" i="5"/>
  <c r="V877" i="5"/>
  <c r="V878" i="5"/>
  <c r="V879" i="5"/>
  <c r="V880" i="5"/>
  <c r="V881" i="5"/>
  <c r="V882" i="5"/>
  <c r="V883" i="5"/>
  <c r="V884" i="5"/>
  <c r="V885" i="5"/>
  <c r="V886" i="5"/>
  <c r="V887" i="5"/>
  <c r="V888" i="5"/>
  <c r="V889" i="5"/>
  <c r="V890" i="5"/>
  <c r="V891" i="5"/>
  <c r="V892" i="5"/>
  <c r="V893" i="5"/>
  <c r="V894" i="5"/>
  <c r="V895" i="5"/>
  <c r="V896" i="5"/>
  <c r="V897" i="5"/>
  <c r="V898" i="5"/>
  <c r="V899" i="5"/>
  <c r="V900" i="5"/>
  <c r="V901" i="5"/>
  <c r="V902" i="5"/>
  <c r="V903" i="5"/>
  <c r="V904" i="5"/>
  <c r="V905" i="5"/>
  <c r="V906" i="5"/>
  <c r="V907" i="5"/>
  <c r="V908" i="5"/>
  <c r="V909" i="5"/>
  <c r="V910" i="5"/>
  <c r="V911" i="5"/>
  <c r="V912" i="5"/>
  <c r="V913" i="5"/>
  <c r="V914" i="5"/>
  <c r="V915" i="5"/>
  <c r="V916" i="5"/>
  <c r="V917" i="5"/>
  <c r="V918" i="5"/>
  <c r="V919" i="5"/>
  <c r="V920" i="5"/>
  <c r="V921" i="5"/>
  <c r="V922" i="5"/>
  <c r="V923" i="5"/>
  <c r="V924" i="5"/>
  <c r="V925" i="5"/>
  <c r="V926" i="5"/>
  <c r="V927" i="5"/>
  <c r="V928" i="5"/>
  <c r="V929" i="5"/>
  <c r="V930" i="5"/>
  <c r="V931" i="5"/>
  <c r="V932" i="5"/>
  <c r="V933" i="5"/>
  <c r="V934" i="5"/>
  <c r="V935" i="5"/>
  <c r="V936" i="5"/>
  <c r="V937" i="5"/>
  <c r="V938" i="5"/>
  <c r="V939" i="5"/>
  <c r="V940" i="5"/>
  <c r="V941" i="5"/>
  <c r="V942" i="5"/>
  <c r="V943" i="5"/>
  <c r="V944" i="5"/>
  <c r="V945" i="5"/>
  <c r="V946" i="5"/>
  <c r="V947" i="5"/>
  <c r="V948" i="5"/>
  <c r="V949" i="5"/>
  <c r="V950" i="5"/>
  <c r="V951" i="5"/>
  <c r="V952" i="5"/>
  <c r="V953" i="5"/>
  <c r="V954" i="5"/>
  <c r="V955" i="5"/>
  <c r="V956" i="5"/>
  <c r="V957" i="5"/>
  <c r="V958" i="5"/>
  <c r="V959" i="5"/>
  <c r="V960" i="5"/>
  <c r="V961" i="5"/>
  <c r="V962" i="5"/>
  <c r="V963" i="5"/>
  <c r="V964" i="5"/>
  <c r="V965" i="5"/>
  <c r="V966" i="5"/>
  <c r="V967" i="5"/>
  <c r="V968" i="5"/>
  <c r="V969" i="5"/>
  <c r="V970" i="5"/>
  <c r="V971" i="5"/>
  <c r="V972" i="5"/>
  <c r="V973" i="5"/>
  <c r="V974" i="5"/>
  <c r="V975" i="5"/>
  <c r="V976" i="5"/>
  <c r="V977" i="5"/>
  <c r="V978" i="5"/>
  <c r="V979" i="5"/>
  <c r="V980" i="5"/>
  <c r="V981" i="5"/>
  <c r="V982" i="5"/>
  <c r="V983" i="5"/>
  <c r="V984" i="5"/>
  <c r="V985" i="5"/>
  <c r="V986" i="5"/>
  <c r="V987" i="5"/>
  <c r="V988" i="5"/>
  <c r="V989" i="5"/>
  <c r="V990" i="5"/>
  <c r="V991" i="5"/>
  <c r="V992" i="5"/>
  <c r="V993" i="5"/>
  <c r="V994" i="5"/>
  <c r="V995" i="5"/>
  <c r="V996" i="5"/>
  <c r="V997" i="5"/>
  <c r="V998" i="5"/>
  <c r="V999" i="5"/>
  <c r="V1000" i="5"/>
  <c r="V1001" i="5"/>
  <c r="V1002" i="5"/>
  <c r="V1003" i="5"/>
  <c r="V1004" i="5"/>
  <c r="V1005" i="5"/>
  <c r="V1006" i="5"/>
  <c r="V1007" i="5"/>
  <c r="V1008" i="5"/>
  <c r="V1009" i="5"/>
  <c r="V1010" i="5"/>
  <c r="V1011" i="5"/>
  <c r="V1012" i="5"/>
  <c r="V1013" i="5"/>
  <c r="V1014" i="5"/>
  <c r="V1015" i="5"/>
  <c r="V1016" i="5"/>
  <c r="V1017" i="5"/>
  <c r="V1018" i="5"/>
  <c r="V1019" i="5"/>
  <c r="V1020" i="5"/>
  <c r="V1021" i="5"/>
  <c r="V1022" i="5"/>
  <c r="V1023" i="5"/>
  <c r="V1024" i="5"/>
  <c r="V1025" i="5"/>
  <c r="V1026" i="5"/>
  <c r="V1027" i="5"/>
  <c r="V1028" i="5"/>
  <c r="V1029" i="5"/>
  <c r="V1030" i="5"/>
  <c r="V1031" i="5"/>
  <c r="V1032" i="5"/>
  <c r="V1033" i="5"/>
  <c r="V1034" i="5"/>
  <c r="V1035" i="5"/>
  <c r="V1036" i="5"/>
  <c r="V1037" i="5"/>
  <c r="V1038" i="5"/>
  <c r="V1039" i="5"/>
  <c r="V1040" i="5"/>
  <c r="V1041" i="5"/>
  <c r="V1042" i="5"/>
  <c r="V1043" i="5"/>
  <c r="V1044" i="5"/>
  <c r="V1045" i="5"/>
  <c r="V1046" i="5"/>
  <c r="V1047" i="5"/>
  <c r="V1048" i="5"/>
  <c r="V1049" i="5"/>
  <c r="V1050" i="5"/>
  <c r="V1051" i="5"/>
  <c r="V1052" i="5"/>
  <c r="V1053" i="5"/>
  <c r="V1054" i="5"/>
  <c r="V1055" i="5"/>
  <c r="V1056" i="5"/>
  <c r="V1057" i="5"/>
  <c r="V1058" i="5"/>
  <c r="V1059" i="5"/>
  <c r="V1060" i="5"/>
  <c r="V1061" i="5"/>
  <c r="V1062" i="5"/>
  <c r="V1063" i="5"/>
  <c r="V1064" i="5"/>
  <c r="V1065" i="5"/>
  <c r="V1066" i="5"/>
  <c r="V1067" i="5"/>
  <c r="V1068" i="5"/>
  <c r="V1069" i="5"/>
  <c r="V1070" i="5"/>
  <c r="V1071" i="5"/>
  <c r="V1072" i="5"/>
  <c r="V1073" i="5"/>
  <c r="V1074" i="5"/>
  <c r="V1075" i="5"/>
  <c r="V1076" i="5"/>
  <c r="V1077" i="5"/>
  <c r="V1078" i="5"/>
  <c r="V1079" i="5"/>
  <c r="V1080" i="5"/>
  <c r="V1081" i="5"/>
  <c r="V1082" i="5"/>
  <c r="V1083" i="5"/>
  <c r="V1084" i="5"/>
  <c r="V1085" i="5"/>
  <c r="V1086" i="5"/>
  <c r="V1087" i="5"/>
  <c r="V1088" i="5"/>
  <c r="V1089" i="5"/>
  <c r="V1090" i="5"/>
  <c r="V1091" i="5"/>
  <c r="V1092" i="5"/>
  <c r="V1093" i="5"/>
  <c r="V1094" i="5"/>
  <c r="V1095" i="5"/>
  <c r="V1096" i="5"/>
  <c r="V1097" i="5"/>
  <c r="V1098" i="5"/>
  <c r="V1099" i="5"/>
  <c r="V1100" i="5"/>
  <c r="V1101" i="5"/>
  <c r="V1102" i="5"/>
  <c r="V1103" i="5"/>
  <c r="V1104" i="5"/>
  <c r="V1105" i="5"/>
  <c r="V1106" i="5"/>
  <c r="V1107" i="5"/>
  <c r="V1108" i="5"/>
  <c r="V1109" i="5"/>
  <c r="V1110" i="5"/>
  <c r="V1111" i="5"/>
  <c r="V1112" i="5"/>
  <c r="V1113" i="5"/>
  <c r="V1114" i="5"/>
  <c r="V1115" i="5"/>
  <c r="V1116" i="5"/>
  <c r="V1117" i="5"/>
  <c r="V1118" i="5"/>
  <c r="V1119" i="5"/>
  <c r="V1120" i="5"/>
  <c r="V1121" i="5"/>
  <c r="V1122" i="5"/>
  <c r="V1123" i="5"/>
  <c r="V1124" i="5"/>
  <c r="V1125" i="5"/>
  <c r="V1126" i="5"/>
  <c r="V1127" i="5"/>
  <c r="V1128" i="5"/>
  <c r="V1129" i="5"/>
  <c r="V1130" i="5"/>
  <c r="V1131" i="5"/>
  <c r="V1132" i="5"/>
  <c r="V1133" i="5"/>
  <c r="V1134" i="5"/>
  <c r="V1135" i="5"/>
  <c r="V1136" i="5"/>
  <c r="V1137" i="5"/>
  <c r="V1138" i="5"/>
  <c r="V1139" i="5"/>
  <c r="V1140" i="5"/>
  <c r="V1141" i="5"/>
  <c r="V1142" i="5"/>
  <c r="V1143" i="5"/>
  <c r="V1144" i="5"/>
  <c r="V1145" i="5"/>
  <c r="V1146" i="5"/>
  <c r="V1147" i="5"/>
  <c r="V1148" i="5"/>
  <c r="V1149" i="5"/>
  <c r="V1150" i="5"/>
  <c r="V1151" i="5"/>
  <c r="V1152" i="5"/>
  <c r="V1153" i="5"/>
  <c r="V1154" i="5"/>
  <c r="V1155" i="5"/>
  <c r="V1156" i="5"/>
  <c r="V1157" i="5"/>
  <c r="V1158" i="5"/>
  <c r="V1159" i="5"/>
  <c r="V1160" i="5"/>
  <c r="V1161" i="5"/>
  <c r="V1162" i="5"/>
  <c r="V1163" i="5"/>
  <c r="V1164" i="5"/>
  <c r="V1165" i="5"/>
  <c r="V1166" i="5"/>
  <c r="V1167" i="5"/>
  <c r="V1168" i="5"/>
  <c r="V1169" i="5"/>
  <c r="V1170" i="5"/>
  <c r="V1171" i="5"/>
  <c r="V1172" i="5"/>
  <c r="V1173" i="5"/>
  <c r="V1174" i="5"/>
  <c r="V1175" i="5"/>
  <c r="V1176" i="5"/>
  <c r="V1177" i="5"/>
  <c r="V1178" i="5"/>
  <c r="V1179" i="5"/>
  <c r="V1180" i="5"/>
  <c r="V1181" i="5"/>
  <c r="V1182" i="5"/>
  <c r="V1183" i="5"/>
  <c r="V1184" i="5"/>
  <c r="V1185" i="5"/>
  <c r="V1186" i="5"/>
  <c r="V1187" i="5"/>
  <c r="V1188" i="5"/>
  <c r="V1189" i="5"/>
  <c r="V1190" i="5"/>
  <c r="V1191" i="5"/>
  <c r="V1192" i="5"/>
  <c r="V1193" i="5"/>
  <c r="V1194" i="5"/>
  <c r="V1195" i="5"/>
  <c r="V1196" i="5"/>
  <c r="V1197" i="5"/>
  <c r="V1198" i="5"/>
  <c r="V1199" i="5"/>
  <c r="V1200" i="5"/>
  <c r="V1201" i="5"/>
  <c r="V1202" i="5"/>
  <c r="V1203" i="5"/>
  <c r="V1204" i="5"/>
  <c r="V1205" i="5"/>
  <c r="V1206" i="5"/>
  <c r="V1207" i="5"/>
  <c r="V1208" i="5"/>
  <c r="V1209" i="5"/>
  <c r="V1210" i="5"/>
  <c r="V1211" i="5"/>
  <c r="V1212" i="5"/>
  <c r="V1213" i="5"/>
  <c r="V1214" i="5"/>
  <c r="V1215" i="5"/>
  <c r="V1216" i="5"/>
  <c r="V1217" i="5"/>
  <c r="V1218" i="5"/>
  <c r="V1219" i="5"/>
  <c r="V1220" i="5"/>
  <c r="V1221" i="5"/>
  <c r="V1222" i="5"/>
  <c r="V1223" i="5"/>
  <c r="V1224" i="5"/>
  <c r="V1225" i="5"/>
  <c r="V1226" i="5"/>
  <c r="V1227" i="5"/>
  <c r="V1228" i="5"/>
  <c r="V1229" i="5"/>
  <c r="V1230" i="5"/>
  <c r="V1231" i="5"/>
  <c r="V1232" i="5"/>
  <c r="V1233" i="5"/>
  <c r="V1234" i="5"/>
  <c r="V1235" i="5"/>
  <c r="V1236" i="5"/>
  <c r="V1237" i="5"/>
  <c r="V1238" i="5"/>
  <c r="V1239" i="5"/>
  <c r="V1240" i="5"/>
  <c r="V1241" i="5"/>
  <c r="V1242" i="5"/>
  <c r="V1243" i="5"/>
  <c r="V1244" i="5"/>
  <c r="V1245" i="5"/>
  <c r="V1246" i="5"/>
  <c r="V1247" i="5"/>
  <c r="V1248" i="5"/>
  <c r="V1249" i="5"/>
  <c r="V1250" i="5"/>
  <c r="V1251" i="5"/>
  <c r="V1252" i="5"/>
  <c r="V1253" i="5"/>
  <c r="V1254" i="5"/>
  <c r="V1255" i="5"/>
  <c r="V1256" i="5"/>
  <c r="V1257" i="5"/>
  <c r="V1258" i="5"/>
  <c r="V1259" i="5"/>
  <c r="V1260" i="5"/>
  <c r="V1261" i="5"/>
  <c r="V1262" i="5"/>
  <c r="V1263" i="5"/>
  <c r="V1264" i="5"/>
  <c r="V1265" i="5"/>
  <c r="V1266" i="5"/>
  <c r="V1267" i="5"/>
  <c r="V1268" i="5"/>
  <c r="V1269" i="5"/>
  <c r="V1270" i="5"/>
  <c r="V1271" i="5"/>
  <c r="V1272" i="5"/>
  <c r="V1273" i="5"/>
  <c r="V1274" i="5"/>
  <c r="V1275" i="5"/>
  <c r="V1276" i="5"/>
  <c r="V1277" i="5"/>
  <c r="V1278" i="5"/>
  <c r="V1279" i="5"/>
  <c r="V1280" i="5"/>
  <c r="V1281" i="5"/>
  <c r="V1282" i="5"/>
  <c r="V1283" i="5"/>
  <c r="V1284" i="5"/>
  <c r="V1285" i="5"/>
  <c r="V1286" i="5"/>
  <c r="V1287" i="5"/>
  <c r="V1288" i="5"/>
  <c r="V1289" i="5"/>
  <c r="V1290" i="5"/>
  <c r="V1291" i="5"/>
  <c r="V1292" i="5"/>
  <c r="V1293" i="5"/>
  <c r="V1294" i="5"/>
  <c r="V1295" i="5"/>
  <c r="V1296" i="5"/>
  <c r="V1297" i="5"/>
  <c r="V1298" i="5"/>
  <c r="V1299" i="5"/>
  <c r="V1300" i="5"/>
  <c r="V1301" i="5"/>
  <c r="V1302" i="5"/>
  <c r="V1303" i="5"/>
  <c r="V1304" i="5"/>
  <c r="V1305" i="5"/>
  <c r="V1306" i="5"/>
  <c r="V1307" i="5"/>
  <c r="V1308" i="5"/>
  <c r="V1309" i="5"/>
  <c r="V1310" i="5"/>
  <c r="V1311" i="5"/>
  <c r="V1312" i="5"/>
  <c r="V1313" i="5"/>
  <c r="V1314" i="5"/>
  <c r="V1315" i="5"/>
  <c r="V1316" i="5"/>
  <c r="V1317" i="5"/>
  <c r="V1318" i="5"/>
  <c r="V1319" i="5"/>
  <c r="V1320" i="5"/>
  <c r="V1321" i="5"/>
  <c r="V1322" i="5"/>
  <c r="V1323" i="5"/>
  <c r="V1324" i="5"/>
  <c r="V1325" i="5"/>
  <c r="V1326" i="5"/>
  <c r="V1327" i="5"/>
  <c r="V1328" i="5"/>
  <c r="V1329" i="5"/>
  <c r="V1330" i="5"/>
  <c r="V1331" i="5"/>
  <c r="V1332" i="5"/>
  <c r="V1333" i="5"/>
  <c r="V1334" i="5"/>
  <c r="V1335" i="5"/>
  <c r="V1336" i="5"/>
  <c r="V1337" i="5"/>
  <c r="V1338" i="5"/>
  <c r="V1339" i="5"/>
  <c r="V1340" i="5"/>
  <c r="V1341" i="5"/>
  <c r="V1342" i="5"/>
  <c r="V1343" i="5"/>
  <c r="V1344" i="5"/>
  <c r="V1345" i="5"/>
  <c r="V1346" i="5"/>
  <c r="V1347" i="5"/>
  <c r="V1348" i="5"/>
  <c r="V1349" i="5"/>
  <c r="V1350" i="5"/>
  <c r="V1351" i="5"/>
  <c r="V1352" i="5"/>
  <c r="V1353" i="5"/>
  <c r="V1354" i="5"/>
  <c r="V1355" i="5"/>
  <c r="V1356" i="5"/>
  <c r="V1357" i="5"/>
  <c r="V1358" i="5"/>
  <c r="V1359" i="5"/>
  <c r="V1360" i="5"/>
  <c r="V1361" i="5"/>
  <c r="V1362" i="5"/>
  <c r="V1363" i="5"/>
  <c r="V1364" i="5"/>
  <c r="V1365" i="5"/>
  <c r="V1366" i="5"/>
  <c r="V1367" i="5"/>
  <c r="V1368" i="5"/>
  <c r="V1369" i="5"/>
  <c r="V1370" i="5"/>
  <c r="V1371" i="5"/>
  <c r="V1372" i="5"/>
  <c r="V1373" i="5"/>
  <c r="V1374" i="5"/>
  <c r="V1375" i="5"/>
  <c r="V1376" i="5"/>
  <c r="V1377" i="5"/>
  <c r="V1378" i="5"/>
  <c r="V1379" i="5"/>
  <c r="V1380" i="5"/>
  <c r="V1381" i="5"/>
  <c r="V1382" i="5"/>
  <c r="V1383" i="5"/>
  <c r="V1384" i="5"/>
  <c r="V1385" i="5"/>
  <c r="V1386" i="5"/>
  <c r="V1387" i="5"/>
  <c r="V1388" i="5"/>
  <c r="V1389" i="5"/>
  <c r="V1390" i="5"/>
  <c r="V1391" i="5"/>
  <c r="V1392" i="5"/>
  <c r="V1393" i="5"/>
  <c r="V1394" i="5"/>
  <c r="V1395" i="5"/>
  <c r="V1396" i="5"/>
  <c r="V1397" i="5"/>
  <c r="V1398" i="5"/>
  <c r="V1399" i="5"/>
  <c r="V1400" i="5"/>
  <c r="V1401" i="5"/>
  <c r="V1402" i="5"/>
  <c r="V1403" i="5"/>
  <c r="V1404" i="5"/>
  <c r="V1405" i="5"/>
  <c r="V1406" i="5"/>
  <c r="V1407" i="5"/>
  <c r="V1408" i="5"/>
  <c r="V1409" i="5"/>
  <c r="V1410" i="5"/>
  <c r="V1411" i="5"/>
  <c r="V1412" i="5"/>
  <c r="V1413" i="5"/>
  <c r="V1414" i="5"/>
  <c r="V1415" i="5"/>
  <c r="V1416" i="5"/>
  <c r="V1417" i="5"/>
  <c r="V1418" i="5"/>
  <c r="V1419" i="5"/>
  <c r="V1420" i="5"/>
  <c r="V1421" i="5"/>
  <c r="V1422" i="5"/>
  <c r="V1423" i="5"/>
  <c r="V1424" i="5"/>
  <c r="V1425" i="5"/>
  <c r="V1426" i="5"/>
  <c r="V1427" i="5"/>
  <c r="V1428" i="5"/>
  <c r="V1429" i="5"/>
  <c r="V1430" i="5"/>
  <c r="V1431" i="5"/>
  <c r="V1432" i="5"/>
  <c r="V1433" i="5"/>
  <c r="V1434" i="5"/>
  <c r="V1435" i="5"/>
  <c r="V1436" i="5"/>
  <c r="V1437" i="5"/>
  <c r="V1438" i="5"/>
  <c r="V1439" i="5"/>
  <c r="V1440" i="5"/>
  <c r="V1441" i="5"/>
  <c r="V1442" i="5"/>
  <c r="V1443" i="5"/>
  <c r="V1444" i="5"/>
  <c r="V1445" i="5"/>
  <c r="V1446" i="5"/>
  <c r="V1447" i="5"/>
  <c r="V1448" i="5"/>
  <c r="V1449" i="5"/>
  <c r="V1450" i="5"/>
  <c r="V1451" i="5"/>
  <c r="V1452" i="5"/>
  <c r="V1453" i="5"/>
  <c r="V1454" i="5"/>
  <c r="V1455" i="5"/>
  <c r="V1456" i="5"/>
  <c r="V1457" i="5"/>
  <c r="V1458" i="5"/>
  <c r="V1459" i="5"/>
  <c r="V1460" i="5"/>
  <c r="V1461" i="5"/>
  <c r="V1462" i="5"/>
  <c r="V1463" i="5"/>
  <c r="V1464" i="5"/>
  <c r="V1465" i="5"/>
  <c r="V1466" i="5"/>
  <c r="V1467" i="5"/>
  <c r="V1468" i="5"/>
  <c r="V1469" i="5"/>
  <c r="V1470" i="5"/>
  <c r="V1471" i="5"/>
  <c r="V1472" i="5"/>
  <c r="V1473" i="5"/>
  <c r="V1474" i="5"/>
  <c r="V1475" i="5"/>
  <c r="V1476" i="5"/>
  <c r="V1477" i="5"/>
  <c r="V1478" i="5"/>
  <c r="V1479" i="5"/>
  <c r="V1480" i="5"/>
  <c r="V1481" i="5"/>
  <c r="V1482" i="5"/>
  <c r="V1483" i="5"/>
  <c r="V1484" i="5"/>
  <c r="V1485" i="5"/>
  <c r="V1486" i="5"/>
  <c r="V1487" i="5"/>
  <c r="V1488" i="5"/>
  <c r="V1489" i="5"/>
  <c r="V1490" i="5"/>
  <c r="V1491" i="5"/>
  <c r="V1492" i="5"/>
  <c r="V1493" i="5"/>
  <c r="V1494" i="5"/>
  <c r="V1495" i="5"/>
  <c r="V1496" i="5"/>
  <c r="V1497" i="5"/>
  <c r="V1498" i="5"/>
  <c r="V1499" i="5"/>
  <c r="V1500" i="5"/>
  <c r="V1501" i="5"/>
  <c r="V1502" i="5"/>
  <c r="V1503" i="5"/>
  <c r="V1504" i="5"/>
  <c r="V1505" i="5"/>
  <c r="V1506" i="5"/>
  <c r="V1507" i="5"/>
  <c r="V1508" i="5"/>
  <c r="V1509" i="5"/>
  <c r="V1510" i="5"/>
  <c r="V1511" i="5"/>
  <c r="V1512" i="5"/>
  <c r="V1513" i="5"/>
  <c r="V1514" i="5"/>
  <c r="V1515" i="5"/>
  <c r="V1516" i="5"/>
  <c r="V1517" i="5"/>
  <c r="V1518" i="5"/>
  <c r="V1519" i="5"/>
  <c r="V1520" i="5"/>
  <c r="V1521" i="5"/>
  <c r="V1522" i="5"/>
  <c r="V1523" i="5"/>
  <c r="V1524" i="5"/>
  <c r="V1525" i="5"/>
  <c r="V1526" i="5"/>
  <c r="V1527" i="5"/>
  <c r="V1528" i="5"/>
  <c r="V1529" i="5"/>
  <c r="V1530" i="5"/>
  <c r="V1531" i="5"/>
  <c r="V1532" i="5"/>
  <c r="V1533" i="5"/>
  <c r="V1534" i="5"/>
  <c r="V1535" i="5"/>
  <c r="V1536" i="5"/>
  <c r="V1537" i="5"/>
  <c r="V1538" i="5"/>
  <c r="V1539" i="5"/>
  <c r="V1540" i="5"/>
  <c r="V1541" i="5"/>
  <c r="V1542" i="5"/>
  <c r="V1543" i="5"/>
  <c r="V1544" i="5"/>
  <c r="V1545" i="5"/>
  <c r="V1546" i="5"/>
  <c r="V1547" i="5"/>
  <c r="V1548" i="5"/>
  <c r="V1549" i="5"/>
  <c r="V1550" i="5"/>
  <c r="V1551" i="5"/>
  <c r="V1552" i="5"/>
  <c r="V1553" i="5"/>
  <c r="V1554" i="5"/>
  <c r="V1555" i="5"/>
  <c r="V1556" i="5"/>
  <c r="V1557" i="5"/>
  <c r="V1558" i="5"/>
  <c r="V1559" i="5"/>
  <c r="V1560" i="5"/>
  <c r="V1561" i="5"/>
  <c r="V1562" i="5"/>
  <c r="V1563" i="5"/>
  <c r="V1564" i="5"/>
  <c r="V1565" i="5"/>
  <c r="V1566" i="5"/>
  <c r="V1567" i="5"/>
  <c r="V1568" i="5"/>
  <c r="V1569" i="5"/>
  <c r="V1570" i="5"/>
  <c r="V1571" i="5"/>
  <c r="V1572" i="5"/>
  <c r="V1573" i="5"/>
  <c r="V1574" i="5"/>
  <c r="V1575" i="5"/>
  <c r="V1576" i="5"/>
  <c r="V1577" i="5"/>
  <c r="V1578" i="5"/>
  <c r="V1579" i="5"/>
  <c r="V1580" i="5"/>
  <c r="V1581" i="5"/>
  <c r="V1582" i="5"/>
  <c r="V1583" i="5"/>
  <c r="V1584" i="5"/>
  <c r="V1585" i="5"/>
  <c r="V1586" i="5"/>
  <c r="V1587" i="5"/>
  <c r="V1588" i="5"/>
  <c r="V1589" i="5"/>
  <c r="V1590" i="5"/>
  <c r="V1591" i="5"/>
  <c r="V1592" i="5"/>
  <c r="V1593" i="5"/>
  <c r="V1594" i="5"/>
  <c r="V1595" i="5"/>
  <c r="V1596" i="5"/>
  <c r="V1597" i="5"/>
  <c r="V1598" i="5"/>
  <c r="V1599" i="5"/>
  <c r="V1600" i="5"/>
  <c r="V1601" i="5"/>
  <c r="V1602" i="5"/>
  <c r="V1603" i="5"/>
  <c r="V1604" i="5"/>
  <c r="V1605" i="5"/>
  <c r="V1606" i="5"/>
  <c r="V1607" i="5"/>
  <c r="V1608" i="5"/>
  <c r="V1609" i="5"/>
  <c r="V1610" i="5"/>
  <c r="V1611" i="5"/>
  <c r="V1612" i="5"/>
  <c r="V1613" i="5"/>
  <c r="V1614" i="5"/>
  <c r="V1615" i="5"/>
  <c r="V1616" i="5"/>
  <c r="V1617" i="5"/>
  <c r="V1618" i="5"/>
  <c r="V1619" i="5"/>
  <c r="V1620" i="5"/>
  <c r="V1621" i="5"/>
  <c r="V1622" i="5"/>
  <c r="V1623" i="5"/>
  <c r="V1624" i="5"/>
  <c r="V1625" i="5"/>
  <c r="V1626" i="5"/>
  <c r="V1627" i="5"/>
  <c r="V1628" i="5"/>
  <c r="V1629" i="5"/>
  <c r="V1630" i="5"/>
  <c r="V1631" i="5"/>
  <c r="V1632" i="5"/>
  <c r="V1633" i="5"/>
  <c r="V1634" i="5"/>
  <c r="V1635" i="5"/>
  <c r="V1636" i="5"/>
  <c r="V1637" i="5"/>
  <c r="V1638" i="5"/>
  <c r="V1639" i="5"/>
  <c r="V1640" i="5"/>
  <c r="V1641" i="5"/>
  <c r="V1642" i="5"/>
  <c r="V1643" i="5"/>
  <c r="V1644" i="5"/>
  <c r="V1645" i="5"/>
  <c r="V1646" i="5"/>
  <c r="V1647" i="5"/>
  <c r="V1648" i="5"/>
  <c r="V1649" i="5"/>
  <c r="V1650" i="5"/>
  <c r="V1651" i="5"/>
  <c r="V1652" i="5"/>
  <c r="V1653" i="5"/>
  <c r="V1654" i="5"/>
  <c r="V1655" i="5"/>
  <c r="V1656" i="5"/>
  <c r="V1657" i="5"/>
  <c r="V1658" i="5"/>
  <c r="V1659" i="5"/>
  <c r="V1660" i="5"/>
  <c r="V1661" i="5"/>
  <c r="V1662" i="5"/>
  <c r="V1663" i="5"/>
  <c r="V1664" i="5"/>
  <c r="V1665" i="5"/>
  <c r="V1666" i="5"/>
  <c r="V1667" i="5"/>
  <c r="V1668" i="5"/>
  <c r="V1669" i="5"/>
  <c r="V1670" i="5"/>
  <c r="V1671" i="5"/>
  <c r="V1672" i="5"/>
  <c r="V1673" i="5"/>
  <c r="V1674" i="5"/>
  <c r="V1675" i="5"/>
  <c r="V1676" i="5"/>
  <c r="V1677" i="5"/>
  <c r="V1678" i="5"/>
  <c r="V1679" i="5"/>
  <c r="V1680" i="5"/>
  <c r="V1681" i="5"/>
  <c r="V1682" i="5"/>
  <c r="V1683" i="5"/>
  <c r="V1684" i="5"/>
  <c r="V1685" i="5"/>
  <c r="V1686" i="5"/>
  <c r="V1687" i="5"/>
  <c r="V1688" i="5"/>
  <c r="V1689" i="5"/>
  <c r="V1690" i="5"/>
  <c r="V1691" i="5"/>
  <c r="V1692" i="5"/>
  <c r="V1693" i="5"/>
  <c r="V1694" i="5"/>
  <c r="V1695" i="5"/>
  <c r="V1696" i="5"/>
  <c r="V1697" i="5"/>
  <c r="V1698" i="5"/>
  <c r="V1699" i="5"/>
  <c r="V1700" i="5"/>
  <c r="V1701" i="5"/>
  <c r="V1702" i="5"/>
  <c r="V1703" i="5"/>
  <c r="V1704" i="5"/>
  <c r="V1705" i="5"/>
  <c r="V1706" i="5"/>
  <c r="V1707" i="5"/>
  <c r="V1708" i="5"/>
  <c r="V1709" i="5"/>
  <c r="V1710" i="5"/>
  <c r="V1711" i="5"/>
  <c r="V1712" i="5"/>
  <c r="V1713" i="5"/>
  <c r="V1714" i="5"/>
  <c r="V1715" i="5"/>
  <c r="V1716" i="5"/>
  <c r="V1717" i="5"/>
  <c r="V1718" i="5"/>
  <c r="V1719" i="5"/>
  <c r="V1720" i="5"/>
  <c r="V1721" i="5"/>
  <c r="V1722" i="5"/>
  <c r="V1723" i="5"/>
  <c r="V1724" i="5"/>
  <c r="V1725" i="5"/>
  <c r="V1726" i="5"/>
  <c r="V1727" i="5"/>
  <c r="V1728" i="5"/>
  <c r="V1729" i="5"/>
  <c r="V1730" i="5"/>
  <c r="V1731" i="5"/>
  <c r="V1732" i="5"/>
  <c r="V1733" i="5"/>
  <c r="V1734" i="5"/>
  <c r="V1735" i="5"/>
  <c r="V1736" i="5"/>
  <c r="V1737" i="5"/>
  <c r="V1738" i="5"/>
  <c r="V1739" i="5"/>
  <c r="V1740" i="5"/>
  <c r="V1741" i="5"/>
  <c r="V1742" i="5"/>
  <c r="V1743" i="5"/>
  <c r="V1744" i="5"/>
  <c r="V1745" i="5"/>
  <c r="V1746" i="5"/>
  <c r="V1747" i="5"/>
  <c r="V1748" i="5"/>
  <c r="V1749" i="5"/>
  <c r="V1750" i="5"/>
  <c r="V1751" i="5"/>
  <c r="V1752" i="5"/>
  <c r="V1753" i="5"/>
  <c r="V1754" i="5"/>
  <c r="V1755" i="5"/>
  <c r="V1756" i="5"/>
  <c r="V1757" i="5"/>
  <c r="V1758" i="5"/>
  <c r="V1759" i="5"/>
  <c r="V1760" i="5"/>
  <c r="V1761" i="5"/>
  <c r="V1762" i="5"/>
  <c r="V1763" i="5"/>
  <c r="V1764" i="5"/>
  <c r="V1765" i="5"/>
  <c r="V1766" i="5"/>
  <c r="V1767" i="5"/>
  <c r="V1768" i="5"/>
  <c r="V1769" i="5"/>
  <c r="V1770" i="5"/>
  <c r="V1771" i="5"/>
  <c r="V1772" i="5"/>
  <c r="V1773" i="5"/>
  <c r="V1774" i="5"/>
  <c r="V1775" i="5"/>
  <c r="V1776" i="5"/>
  <c r="V1777" i="5"/>
  <c r="V1778" i="5"/>
  <c r="V1779" i="5"/>
  <c r="V1780" i="5"/>
  <c r="V1781" i="5"/>
  <c r="V1782" i="5"/>
  <c r="V1783" i="5"/>
  <c r="V1784" i="5"/>
  <c r="V1785" i="5"/>
  <c r="V1786" i="5"/>
  <c r="V1787" i="5"/>
  <c r="V1788" i="5"/>
  <c r="V1789" i="5"/>
  <c r="V1790" i="5"/>
  <c r="V1791" i="5"/>
  <c r="V1792" i="5"/>
  <c r="V1793" i="5"/>
  <c r="V1794" i="5"/>
  <c r="V1795" i="5"/>
  <c r="V1796" i="5"/>
  <c r="V1797" i="5"/>
  <c r="V1798" i="5"/>
  <c r="V1799" i="5"/>
  <c r="V1800" i="5"/>
  <c r="V1801" i="5"/>
  <c r="V1802" i="5"/>
  <c r="V1803" i="5"/>
  <c r="V1804" i="5"/>
  <c r="V1805" i="5"/>
  <c r="V1806" i="5"/>
  <c r="V1807" i="5"/>
  <c r="V1808" i="5"/>
  <c r="V1809" i="5"/>
  <c r="V1810" i="5"/>
  <c r="V1811" i="5"/>
  <c r="V1812" i="5"/>
  <c r="V1813" i="5"/>
  <c r="V1814" i="5"/>
  <c r="V1815" i="5"/>
  <c r="V1816" i="5"/>
  <c r="V1817" i="5"/>
  <c r="V1818" i="5"/>
  <c r="V1819" i="5"/>
  <c r="V1820" i="5"/>
  <c r="V1821" i="5"/>
  <c r="V1822" i="5"/>
  <c r="V1823" i="5"/>
  <c r="V1824" i="5"/>
  <c r="V1825" i="5"/>
  <c r="V1826" i="5"/>
  <c r="V1827" i="5"/>
  <c r="V1828" i="5"/>
  <c r="V1829" i="5"/>
  <c r="V1830" i="5"/>
  <c r="V1831" i="5"/>
  <c r="V1832" i="5"/>
  <c r="V1833" i="5"/>
  <c r="V1834" i="5"/>
  <c r="V1835" i="5"/>
  <c r="V1836" i="5"/>
  <c r="V1837" i="5"/>
  <c r="V1838" i="5"/>
  <c r="V1839" i="5"/>
  <c r="V1840" i="5"/>
  <c r="V1841" i="5"/>
  <c r="V1842" i="5"/>
  <c r="V1843" i="5"/>
  <c r="V1844" i="5"/>
  <c r="V1845" i="5"/>
  <c r="V1846" i="5"/>
  <c r="V1847" i="5"/>
  <c r="V1848" i="5"/>
  <c r="V1849" i="5"/>
  <c r="V1850" i="5"/>
  <c r="V1851" i="5"/>
  <c r="V1852" i="5"/>
  <c r="V1853" i="5"/>
  <c r="V1854" i="5"/>
  <c r="V1855" i="5"/>
  <c r="V1856" i="5"/>
  <c r="V1857" i="5"/>
  <c r="V1858" i="5"/>
  <c r="V1859" i="5"/>
  <c r="V1860" i="5"/>
  <c r="V1861" i="5"/>
  <c r="V1862" i="5"/>
  <c r="V1863" i="5"/>
  <c r="V1864" i="5"/>
  <c r="V1865" i="5"/>
  <c r="V1866" i="5"/>
  <c r="V1867" i="5"/>
  <c r="V1868" i="5"/>
  <c r="V1869" i="5"/>
  <c r="V1870" i="5"/>
  <c r="V1871" i="5"/>
  <c r="V1872" i="5"/>
  <c r="V1873" i="5"/>
  <c r="V1874" i="5"/>
  <c r="V1875" i="5"/>
  <c r="V1876" i="5"/>
  <c r="V1877" i="5"/>
  <c r="V1878" i="5"/>
  <c r="V1879" i="5"/>
  <c r="V1880" i="5"/>
  <c r="V1881" i="5"/>
  <c r="V1882" i="5"/>
  <c r="V1883" i="5"/>
  <c r="V1884" i="5"/>
  <c r="V1885" i="5"/>
  <c r="V1886" i="5"/>
  <c r="V1887" i="5"/>
  <c r="V1888" i="5"/>
  <c r="V1889" i="5"/>
  <c r="V1890" i="5"/>
  <c r="V1891" i="5"/>
  <c r="V1892" i="5"/>
  <c r="V1893" i="5"/>
  <c r="V1894" i="5"/>
  <c r="V1895" i="5"/>
  <c r="V1896" i="5"/>
  <c r="V1897" i="5"/>
  <c r="V1898" i="5"/>
  <c r="V1899" i="5"/>
  <c r="V1900" i="5"/>
  <c r="V1901" i="5"/>
  <c r="V1902" i="5"/>
  <c r="V1903" i="5"/>
  <c r="V1904" i="5"/>
  <c r="V1905" i="5"/>
  <c r="V1906" i="5"/>
  <c r="V1907" i="5"/>
  <c r="V1908" i="5"/>
  <c r="V1909" i="5"/>
  <c r="V1910" i="5"/>
  <c r="V1911" i="5"/>
  <c r="V1912" i="5"/>
  <c r="V1913" i="5"/>
  <c r="V1914" i="5"/>
  <c r="V1915" i="5"/>
  <c r="V1916" i="5"/>
  <c r="V1917" i="5"/>
  <c r="V1918" i="5"/>
  <c r="V1919" i="5"/>
  <c r="V1920" i="5"/>
  <c r="V1921" i="5"/>
  <c r="V1922" i="5"/>
  <c r="V1923" i="5"/>
  <c r="V1924" i="5"/>
  <c r="V1925" i="5"/>
  <c r="V1926" i="5"/>
  <c r="V1927" i="5"/>
  <c r="V1928" i="5"/>
  <c r="V1929" i="5"/>
  <c r="V1930" i="5"/>
  <c r="V1931" i="5"/>
  <c r="V1932" i="5"/>
  <c r="V1933" i="5"/>
  <c r="V1934" i="5"/>
  <c r="V1935" i="5"/>
  <c r="V1936" i="5"/>
  <c r="V1937" i="5"/>
  <c r="V1938" i="5"/>
  <c r="V1939" i="5"/>
  <c r="V1940" i="5"/>
  <c r="V1941" i="5"/>
  <c r="V1942" i="5"/>
  <c r="V1943" i="5"/>
  <c r="V1944" i="5"/>
  <c r="V1945" i="5"/>
  <c r="V1946" i="5"/>
  <c r="V1947" i="5"/>
  <c r="V1948" i="5"/>
  <c r="V1949" i="5"/>
  <c r="V1950" i="5"/>
  <c r="V1951" i="5"/>
  <c r="V1952" i="5"/>
  <c r="V1953" i="5"/>
  <c r="V1954" i="5"/>
  <c r="V1955" i="5"/>
  <c r="V1956" i="5"/>
  <c r="V1957" i="5"/>
  <c r="V1958" i="5"/>
  <c r="V1959" i="5"/>
  <c r="V1960" i="5"/>
  <c r="V1961" i="5"/>
  <c r="V1962" i="5"/>
  <c r="V1963" i="5"/>
  <c r="V1964" i="5"/>
  <c r="V1965" i="5"/>
  <c r="V1966" i="5"/>
  <c r="V1967" i="5"/>
  <c r="V1968" i="5"/>
  <c r="V1969" i="5"/>
  <c r="V1970" i="5"/>
  <c r="V1971" i="5"/>
  <c r="V1972" i="5"/>
  <c r="V1973" i="5"/>
  <c r="V1974" i="5"/>
  <c r="V1975" i="5"/>
  <c r="V1976" i="5"/>
  <c r="V1977" i="5"/>
  <c r="V1978" i="5"/>
  <c r="V1979" i="5"/>
  <c r="V1980" i="5"/>
  <c r="V1981" i="5"/>
  <c r="V1982" i="5"/>
  <c r="V1983" i="5"/>
  <c r="V1984" i="5"/>
  <c r="V1985" i="5"/>
  <c r="V1986" i="5"/>
  <c r="V1987" i="5"/>
  <c r="V1988" i="5"/>
  <c r="V1989" i="5"/>
  <c r="V1990" i="5"/>
  <c r="V1991" i="5"/>
  <c r="V1992" i="5"/>
  <c r="V1993" i="5"/>
  <c r="V1994" i="5"/>
  <c r="V1995" i="5"/>
  <c r="V1996" i="5"/>
  <c r="V1997" i="5"/>
  <c r="V1998" i="5"/>
  <c r="V1999" i="5"/>
  <c r="V2000" i="5"/>
  <c r="V2001" i="5"/>
  <c r="V2002" i="5"/>
  <c r="V2003" i="5"/>
  <c r="V2004" i="5"/>
  <c r="V2005" i="5"/>
  <c r="V2006" i="5"/>
  <c r="V2007" i="5"/>
  <c r="V2008" i="5"/>
  <c r="V2009" i="5"/>
  <c r="V2010" i="5"/>
  <c r="V2011" i="5"/>
  <c r="V2012" i="5"/>
  <c r="V2013" i="5"/>
  <c r="V2014" i="5"/>
  <c r="V2015" i="5"/>
  <c r="V2016" i="5"/>
  <c r="V2017" i="5"/>
  <c r="V2018" i="5"/>
  <c r="V2019" i="5"/>
  <c r="V2020" i="5"/>
  <c r="V2021" i="5"/>
  <c r="V2022" i="5"/>
  <c r="V2023" i="5"/>
  <c r="V2024" i="5"/>
  <c r="V2025" i="5"/>
  <c r="V2026" i="5"/>
  <c r="V2027" i="5"/>
  <c r="V2028" i="5"/>
  <c r="V2029" i="5"/>
  <c r="V2030" i="5"/>
  <c r="V2031" i="5"/>
  <c r="V2032" i="5"/>
  <c r="V2033" i="5"/>
  <c r="V2034" i="5"/>
  <c r="V2035" i="5"/>
  <c r="V2036" i="5"/>
  <c r="V2037" i="5"/>
  <c r="V2038" i="5"/>
  <c r="V2039" i="5"/>
  <c r="V2040" i="5"/>
  <c r="V2041" i="5"/>
  <c r="V2042" i="5"/>
  <c r="V2043" i="5"/>
  <c r="V2044" i="5"/>
  <c r="V2045" i="5"/>
  <c r="V2046" i="5"/>
  <c r="V2047" i="5"/>
  <c r="V2048" i="5"/>
  <c r="V2049" i="5"/>
  <c r="V2050" i="5"/>
  <c r="V2051" i="5"/>
  <c r="V2052" i="5"/>
  <c r="V2053" i="5"/>
  <c r="V2054" i="5"/>
  <c r="V2055" i="5"/>
  <c r="V2056" i="5"/>
  <c r="V2057" i="5"/>
  <c r="V2058" i="5"/>
  <c r="V2059" i="5"/>
  <c r="V2060" i="5"/>
  <c r="V2061" i="5"/>
  <c r="V2062" i="5"/>
  <c r="V2063" i="5"/>
  <c r="V2064" i="5"/>
  <c r="V2065" i="5"/>
  <c r="V2066" i="5"/>
  <c r="V2067" i="5"/>
  <c r="V2068" i="5"/>
  <c r="V2069" i="5"/>
  <c r="V2070" i="5"/>
  <c r="V2071" i="5"/>
  <c r="V2072" i="5"/>
  <c r="V2073" i="5"/>
  <c r="V2074" i="5"/>
  <c r="V2075" i="5"/>
  <c r="V2076" i="5"/>
  <c r="V2077" i="5"/>
  <c r="V2078" i="5"/>
  <c r="V2079" i="5"/>
  <c r="V2080" i="5"/>
  <c r="V2081" i="5"/>
  <c r="V2082" i="5"/>
  <c r="V2083" i="5"/>
  <c r="V2084" i="5"/>
  <c r="V2085" i="5"/>
  <c r="V2086" i="5"/>
  <c r="V2087" i="5"/>
  <c r="V2088" i="5"/>
  <c r="V2089" i="5"/>
  <c r="V2090" i="5"/>
  <c r="V2091" i="5"/>
  <c r="V2092" i="5"/>
  <c r="V2093" i="5"/>
  <c r="V2094" i="5"/>
  <c r="V2095" i="5"/>
  <c r="V2096" i="5"/>
  <c r="V2097" i="5"/>
  <c r="V2098" i="5"/>
  <c r="V2099" i="5"/>
  <c r="V2100" i="5"/>
  <c r="V2101" i="5"/>
  <c r="V2102" i="5"/>
  <c r="V2103" i="5"/>
  <c r="V2104" i="5"/>
  <c r="V2105" i="5"/>
  <c r="V2106" i="5"/>
  <c r="V2107" i="5"/>
  <c r="V2108" i="5"/>
  <c r="V2109" i="5"/>
  <c r="V2110" i="5"/>
  <c r="V2111" i="5"/>
  <c r="V2112" i="5"/>
  <c r="V2113" i="5"/>
  <c r="V2114" i="5"/>
  <c r="V2115" i="5"/>
  <c r="V2116" i="5"/>
  <c r="V2117" i="5"/>
  <c r="V2118" i="5"/>
  <c r="V2119" i="5"/>
  <c r="V2120" i="5"/>
  <c r="V2121" i="5"/>
  <c r="V2122" i="5"/>
  <c r="V2123" i="5"/>
  <c r="V2124" i="5"/>
  <c r="V2125" i="5"/>
  <c r="V2126" i="5"/>
  <c r="V2127" i="5"/>
  <c r="V2128" i="5"/>
  <c r="V2129" i="5"/>
  <c r="V2130" i="5"/>
  <c r="V2131" i="5"/>
  <c r="V2132" i="5"/>
  <c r="V2133" i="5"/>
  <c r="V2134" i="5"/>
  <c r="V2135" i="5"/>
  <c r="V2136" i="5"/>
  <c r="V2137" i="5"/>
  <c r="V2138" i="5"/>
  <c r="V2139" i="5"/>
  <c r="V2140" i="5"/>
  <c r="V2141" i="5"/>
  <c r="V2142" i="5"/>
  <c r="V2143" i="5"/>
  <c r="V2144" i="5"/>
  <c r="V2145" i="5"/>
  <c r="V2146" i="5"/>
  <c r="V2147" i="5"/>
  <c r="V2148" i="5"/>
  <c r="V2149" i="5"/>
  <c r="V2150" i="5"/>
  <c r="V2151" i="5"/>
  <c r="V2152" i="5"/>
  <c r="V2153" i="5"/>
  <c r="V2154" i="5"/>
  <c r="V2155" i="5"/>
  <c r="V2156" i="5"/>
  <c r="V2157" i="5"/>
  <c r="V2158" i="5"/>
  <c r="V2159" i="5"/>
  <c r="V2160" i="5"/>
  <c r="V2161" i="5"/>
  <c r="V2162" i="5"/>
  <c r="V2163" i="5"/>
  <c r="V2164" i="5"/>
  <c r="V2165" i="5"/>
  <c r="V2166" i="5"/>
  <c r="V2167" i="5"/>
  <c r="V2168" i="5"/>
  <c r="V2169" i="5"/>
  <c r="V2170" i="5"/>
  <c r="V2171" i="5"/>
  <c r="V2172" i="5"/>
  <c r="V2173" i="5"/>
  <c r="V2174" i="5"/>
  <c r="V2175" i="5"/>
  <c r="V2176" i="5"/>
  <c r="V2177" i="5"/>
  <c r="V2178" i="5"/>
  <c r="V2179" i="5"/>
  <c r="V2180" i="5"/>
  <c r="V2181" i="5"/>
  <c r="V2182" i="5"/>
  <c r="V2183" i="5"/>
  <c r="V2184" i="5"/>
  <c r="V2185" i="5"/>
  <c r="V2186" i="5"/>
  <c r="V2187" i="5"/>
  <c r="V2188" i="5"/>
  <c r="V2189" i="5"/>
  <c r="V2190" i="5"/>
  <c r="V2191" i="5"/>
  <c r="V2192" i="5"/>
  <c r="V2193" i="5"/>
  <c r="V2194" i="5"/>
  <c r="V2195" i="5"/>
  <c r="V2196" i="5"/>
  <c r="V2197" i="5"/>
  <c r="V2198" i="5"/>
  <c r="V2199" i="5"/>
  <c r="V2200" i="5"/>
  <c r="V2201" i="5"/>
  <c r="V2202" i="5"/>
  <c r="V2203" i="5"/>
  <c r="V2204" i="5"/>
  <c r="V2205" i="5"/>
  <c r="V2206" i="5"/>
  <c r="V2207" i="5"/>
  <c r="V2208" i="5"/>
  <c r="V2209" i="5"/>
  <c r="V2210" i="5"/>
  <c r="V2211" i="5"/>
  <c r="V2212" i="5"/>
  <c r="V2213" i="5"/>
  <c r="V2214" i="5"/>
  <c r="V2215" i="5"/>
  <c r="V2216" i="5"/>
  <c r="V2217" i="5"/>
  <c r="V2218" i="5"/>
  <c r="V2219" i="5"/>
  <c r="V2220" i="5"/>
  <c r="V2221" i="5"/>
  <c r="V2222" i="5"/>
  <c r="V2223" i="5"/>
  <c r="V2224" i="5"/>
  <c r="V2225" i="5"/>
  <c r="V2226" i="5"/>
  <c r="V2227" i="5"/>
  <c r="V2228" i="5"/>
  <c r="V2229" i="5"/>
  <c r="V2230" i="5"/>
  <c r="V2231" i="5"/>
  <c r="V2232" i="5"/>
  <c r="V2233" i="5"/>
  <c r="V2234" i="5"/>
  <c r="V2235" i="5"/>
  <c r="V2236" i="5"/>
  <c r="V2237" i="5"/>
  <c r="V2238" i="5"/>
  <c r="V2239" i="5"/>
  <c r="V2240" i="5"/>
  <c r="V2241" i="5"/>
  <c r="V2242" i="5"/>
  <c r="V2243" i="5"/>
  <c r="V2244" i="5"/>
  <c r="V2245" i="5"/>
  <c r="V2246" i="5"/>
  <c r="V2247" i="5"/>
  <c r="V2248" i="5"/>
  <c r="V2249" i="5"/>
  <c r="V2250" i="5"/>
  <c r="V2251" i="5"/>
  <c r="V2252" i="5"/>
  <c r="V2253" i="5"/>
  <c r="V2254" i="5"/>
  <c r="V2255" i="5"/>
  <c r="V2256" i="5"/>
  <c r="V2257" i="5"/>
  <c r="V2258" i="5"/>
  <c r="V2259" i="5"/>
  <c r="V2260" i="5"/>
  <c r="V2261" i="5"/>
  <c r="V2262" i="5"/>
  <c r="V2263" i="5"/>
  <c r="V2264" i="5"/>
  <c r="V2265" i="5"/>
  <c r="V2266" i="5"/>
  <c r="V2267" i="5"/>
  <c r="V2268" i="5"/>
  <c r="V2269" i="5"/>
  <c r="V2270" i="5"/>
  <c r="V2271" i="5"/>
  <c r="V2272" i="5"/>
  <c r="V2273" i="5"/>
  <c r="V2274" i="5"/>
  <c r="V2275" i="5"/>
  <c r="V2276" i="5"/>
  <c r="V2277" i="5"/>
  <c r="V2278" i="5"/>
  <c r="V2279" i="5"/>
  <c r="V2280" i="5"/>
  <c r="V2281" i="5"/>
  <c r="V2282" i="5"/>
  <c r="V2283" i="5"/>
  <c r="V2284" i="5"/>
  <c r="V2285" i="5"/>
  <c r="V2286" i="5"/>
  <c r="V2287" i="5"/>
  <c r="V2288" i="5"/>
  <c r="V2289" i="5"/>
  <c r="V2290" i="5"/>
  <c r="V2291" i="5"/>
  <c r="V2292" i="5"/>
  <c r="V2293" i="5"/>
  <c r="V2294" i="5"/>
  <c r="V2295" i="5"/>
  <c r="V2296" i="5"/>
  <c r="V2297" i="5"/>
  <c r="V2298" i="5"/>
  <c r="V2299" i="5"/>
  <c r="V2300" i="5"/>
  <c r="V2301" i="5"/>
  <c r="V2302" i="5"/>
  <c r="V2303" i="5"/>
  <c r="V2304" i="5"/>
  <c r="V2305" i="5"/>
  <c r="V2306" i="5"/>
  <c r="V2307" i="5"/>
  <c r="V2308" i="5"/>
  <c r="V2309" i="5"/>
  <c r="V2310" i="5"/>
  <c r="V2311" i="5"/>
  <c r="V2312" i="5"/>
  <c r="V2313" i="5"/>
  <c r="V2314" i="5"/>
  <c r="V2315" i="5"/>
  <c r="V2316" i="5"/>
  <c r="V2317" i="5"/>
  <c r="V2318" i="5"/>
  <c r="V2319" i="5"/>
  <c r="V2320" i="5"/>
  <c r="V2321" i="5"/>
  <c r="V2322" i="5"/>
  <c r="V2323" i="5"/>
  <c r="V2324" i="5"/>
  <c r="V2325" i="5"/>
  <c r="V2326" i="5"/>
  <c r="V2327" i="5"/>
  <c r="V2328" i="5"/>
  <c r="V2329" i="5"/>
  <c r="V2330" i="5"/>
  <c r="V2331" i="5"/>
  <c r="V2332" i="5"/>
  <c r="V2333" i="5"/>
  <c r="V2334" i="5"/>
  <c r="V2335" i="5"/>
  <c r="V2336" i="5"/>
  <c r="V2337" i="5"/>
  <c r="V2338" i="5"/>
  <c r="V2339" i="5"/>
  <c r="V2340" i="5"/>
  <c r="V2341" i="5"/>
  <c r="V2342" i="5"/>
  <c r="V2343" i="5"/>
  <c r="V2344" i="5"/>
  <c r="V2345" i="5"/>
  <c r="V2346" i="5"/>
  <c r="V2347" i="5"/>
  <c r="V2348" i="5"/>
  <c r="V2349" i="5"/>
  <c r="V2350" i="5"/>
  <c r="V2351" i="5"/>
  <c r="V2352" i="5"/>
  <c r="V2353" i="5"/>
  <c r="V2354" i="5"/>
  <c r="V2355" i="5"/>
  <c r="V2356" i="5"/>
  <c r="V2357" i="5"/>
  <c r="V2358" i="5"/>
  <c r="V2359" i="5"/>
  <c r="V2360" i="5"/>
  <c r="V2361" i="5"/>
  <c r="V2362" i="5"/>
  <c r="V2363" i="5"/>
  <c r="V2364" i="5"/>
  <c r="V2365" i="5"/>
  <c r="V2366" i="5"/>
  <c r="V2367" i="5"/>
  <c r="V2368" i="5"/>
  <c r="V2369" i="5"/>
  <c r="V2370" i="5"/>
  <c r="V2371" i="5"/>
  <c r="V2372" i="5"/>
  <c r="V2373" i="5"/>
  <c r="V2374" i="5"/>
  <c r="V2375" i="5"/>
  <c r="V2376" i="5"/>
  <c r="V2377" i="5"/>
  <c r="V2378" i="5"/>
  <c r="V2379" i="5"/>
  <c r="V2380" i="5"/>
  <c r="V2381" i="5"/>
  <c r="V2382" i="5"/>
  <c r="V2383" i="5"/>
  <c r="V2384" i="5"/>
  <c r="V2385" i="5"/>
  <c r="V2386" i="5"/>
  <c r="V2387" i="5"/>
  <c r="V2388" i="5"/>
  <c r="V2389" i="5"/>
  <c r="V2390" i="5"/>
  <c r="V2391" i="5"/>
  <c r="V2392" i="5"/>
  <c r="V2393" i="5"/>
  <c r="V2394" i="5"/>
  <c r="V2395" i="5"/>
  <c r="V2396" i="5"/>
  <c r="V2397" i="5"/>
  <c r="V2398" i="5"/>
  <c r="V2399" i="5"/>
  <c r="V2400" i="5"/>
  <c r="V2401" i="5"/>
  <c r="V2402" i="5"/>
  <c r="V2403" i="5"/>
  <c r="V2404" i="5"/>
  <c r="V2405" i="5"/>
  <c r="V2406" i="5"/>
  <c r="V2407" i="5"/>
  <c r="V2408" i="5"/>
  <c r="V2409" i="5"/>
  <c r="V2410" i="5"/>
  <c r="V2411" i="5"/>
  <c r="V2412" i="5"/>
  <c r="V2413" i="5"/>
  <c r="V2414" i="5"/>
  <c r="V2415" i="5"/>
  <c r="V2416" i="5"/>
  <c r="V2417" i="5"/>
  <c r="V2418" i="5"/>
  <c r="V2419" i="5"/>
  <c r="V2420" i="5"/>
  <c r="V2421" i="5"/>
  <c r="V2422" i="5"/>
  <c r="V2423" i="5"/>
  <c r="V2424" i="5"/>
  <c r="V2425" i="5"/>
  <c r="V2426" i="5"/>
  <c r="V2427" i="5"/>
  <c r="V2428" i="5"/>
  <c r="V2429" i="5"/>
  <c r="V2430" i="5"/>
  <c r="V2431" i="5"/>
  <c r="V2432" i="5"/>
  <c r="V2433" i="5"/>
  <c r="V2434" i="5"/>
  <c r="V2435" i="5"/>
  <c r="V2436" i="5"/>
  <c r="V2437" i="5"/>
  <c r="V2438" i="5"/>
  <c r="V2439" i="5"/>
  <c r="V2440" i="5"/>
  <c r="V2441" i="5"/>
  <c r="V2442" i="5"/>
  <c r="V2443" i="5"/>
  <c r="V2444" i="5"/>
  <c r="V2445" i="5"/>
  <c r="V2446" i="5"/>
  <c r="V2447" i="5"/>
  <c r="V2448" i="5"/>
  <c r="V2449" i="5"/>
  <c r="V2450" i="5"/>
  <c r="V2451" i="5"/>
  <c r="V2452" i="5"/>
  <c r="V2453" i="5"/>
  <c r="V2454" i="5"/>
  <c r="V2455" i="5"/>
  <c r="V2456" i="5"/>
  <c r="V2457" i="5"/>
  <c r="V2458" i="5"/>
  <c r="V2459" i="5"/>
  <c r="V2460" i="5"/>
  <c r="V2461" i="5"/>
  <c r="V2462" i="5"/>
  <c r="V2463" i="5"/>
  <c r="V2464" i="5"/>
  <c r="V2465" i="5"/>
  <c r="V2466" i="5"/>
  <c r="V2467" i="5"/>
  <c r="V2468" i="5"/>
  <c r="V2469" i="5"/>
  <c r="V2470" i="5"/>
  <c r="V2471" i="5"/>
  <c r="V2472" i="5"/>
  <c r="V2473" i="5"/>
  <c r="V2474" i="5"/>
  <c r="V2475" i="5"/>
  <c r="V2476" i="5"/>
  <c r="V2477" i="5"/>
  <c r="V2478" i="5"/>
  <c r="V2479" i="5"/>
  <c r="V2480" i="5"/>
  <c r="V2481" i="5"/>
  <c r="V2482" i="5"/>
  <c r="V2483" i="5"/>
  <c r="V2484" i="5"/>
  <c r="V2485" i="5"/>
  <c r="V2486" i="5"/>
  <c r="V2487" i="5"/>
  <c r="V2488" i="5"/>
  <c r="V2489" i="5"/>
  <c r="V2490" i="5"/>
  <c r="V2491" i="5"/>
  <c r="V2492" i="5"/>
  <c r="V2493" i="5"/>
  <c r="V2494" i="5"/>
  <c r="V2495" i="5"/>
  <c r="V2496" i="5"/>
  <c r="V2497" i="5"/>
  <c r="V2498" i="5"/>
  <c r="V2499" i="5"/>
  <c r="V2500" i="5"/>
  <c r="V2501" i="5"/>
  <c r="V2502" i="5"/>
  <c r="V2503" i="5"/>
  <c r="V2504" i="5"/>
  <c r="V2505" i="5"/>
  <c r="V2506" i="5"/>
  <c r="V2507" i="5"/>
  <c r="V2508" i="5"/>
  <c r="V2509" i="5"/>
  <c r="V2510" i="5"/>
  <c r="V2511" i="5"/>
  <c r="V2512" i="5"/>
  <c r="V2513" i="5"/>
  <c r="V2514" i="5"/>
  <c r="V2515" i="5"/>
  <c r="V2516" i="5"/>
  <c r="V2517" i="5"/>
  <c r="V2518" i="5"/>
  <c r="V2519" i="5"/>
  <c r="V2520" i="5"/>
  <c r="V2521" i="5"/>
  <c r="V2522" i="5"/>
  <c r="V2523" i="5"/>
  <c r="V2524" i="5"/>
  <c r="V2525" i="5"/>
  <c r="V2526" i="5"/>
  <c r="V2527" i="5"/>
  <c r="V2528" i="5"/>
  <c r="V2529" i="5"/>
  <c r="V2530" i="5"/>
  <c r="V2531" i="5"/>
  <c r="V2532" i="5"/>
  <c r="V2533" i="5"/>
  <c r="V2534" i="5"/>
  <c r="V2535" i="5"/>
  <c r="V2536" i="5"/>
  <c r="V2537" i="5"/>
  <c r="V2538" i="5"/>
  <c r="V2539" i="5"/>
  <c r="V2540" i="5"/>
  <c r="V2541" i="5"/>
  <c r="V2542" i="5"/>
  <c r="V2543" i="5"/>
  <c r="V2544" i="5"/>
  <c r="V2545" i="5"/>
  <c r="V2546" i="5"/>
  <c r="V2547" i="5"/>
  <c r="V2548" i="5"/>
  <c r="V2549" i="5"/>
  <c r="V2550" i="5"/>
  <c r="V2551" i="5"/>
  <c r="V2552" i="5"/>
  <c r="V2553" i="5"/>
  <c r="V2554" i="5"/>
  <c r="V2555" i="5"/>
  <c r="V2556" i="5"/>
  <c r="V2557" i="5"/>
  <c r="V2558" i="5"/>
  <c r="V2559" i="5"/>
  <c r="V2560" i="5"/>
  <c r="V2561" i="5"/>
  <c r="V2562" i="5"/>
  <c r="V2563" i="5"/>
  <c r="V2564" i="5"/>
  <c r="V2565" i="5"/>
  <c r="V2566" i="5"/>
  <c r="V2567" i="5"/>
  <c r="V2568" i="5"/>
  <c r="V2569" i="5"/>
  <c r="V2570" i="5"/>
  <c r="V2571" i="5"/>
  <c r="V2572" i="5"/>
  <c r="V2573" i="5"/>
  <c r="V2574" i="5"/>
  <c r="V2575" i="5"/>
  <c r="V2576" i="5"/>
  <c r="V2577" i="5"/>
  <c r="V2578" i="5"/>
  <c r="V2579" i="5"/>
  <c r="V2580" i="5"/>
  <c r="V2581" i="5"/>
  <c r="V2582" i="5"/>
  <c r="V2583" i="5"/>
  <c r="V2584" i="5"/>
  <c r="V2585" i="5"/>
  <c r="V2586" i="5"/>
  <c r="V2587" i="5"/>
  <c r="V2588" i="5"/>
  <c r="V2589" i="5"/>
  <c r="V2590" i="5"/>
  <c r="V2591" i="5"/>
  <c r="V2592" i="5"/>
  <c r="V2593" i="5"/>
  <c r="V2594" i="5"/>
  <c r="V2595" i="5"/>
  <c r="V2596" i="5"/>
  <c r="V2597" i="5"/>
  <c r="V2598" i="5"/>
  <c r="V2599" i="5"/>
  <c r="V2600" i="5"/>
  <c r="V2601" i="5"/>
  <c r="V2602" i="5"/>
  <c r="V2603" i="5"/>
  <c r="V2604" i="5"/>
  <c r="V2605" i="5"/>
  <c r="V2606" i="5"/>
  <c r="V2607" i="5"/>
  <c r="V2608" i="5"/>
  <c r="V2609" i="5"/>
  <c r="V2610" i="5"/>
  <c r="V2611" i="5"/>
  <c r="V2612" i="5"/>
  <c r="V2613" i="5"/>
  <c r="V2614" i="5"/>
  <c r="V2615" i="5"/>
  <c r="V2616" i="5"/>
  <c r="U2" i="5"/>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583" i="5"/>
  <c r="U584" i="5"/>
  <c r="U585" i="5"/>
  <c r="U586" i="5"/>
  <c r="U587" i="5"/>
  <c r="U588" i="5"/>
  <c r="U589" i="5"/>
  <c r="U590" i="5"/>
  <c r="U591" i="5"/>
  <c r="U592" i="5"/>
  <c r="U593" i="5"/>
  <c r="U594" i="5"/>
  <c r="U595" i="5"/>
  <c r="U596" i="5"/>
  <c r="U597" i="5"/>
  <c r="U598" i="5"/>
  <c r="U599" i="5"/>
  <c r="U600" i="5"/>
  <c r="U601" i="5"/>
  <c r="U602" i="5"/>
  <c r="U603" i="5"/>
  <c r="U604" i="5"/>
  <c r="U605" i="5"/>
  <c r="U606" i="5"/>
  <c r="U607" i="5"/>
  <c r="U608" i="5"/>
  <c r="U609" i="5"/>
  <c r="U610" i="5"/>
  <c r="U611" i="5"/>
  <c r="U612" i="5"/>
  <c r="U613" i="5"/>
  <c r="U614" i="5"/>
  <c r="U615" i="5"/>
  <c r="U616" i="5"/>
  <c r="U617" i="5"/>
  <c r="U618" i="5"/>
  <c r="U619" i="5"/>
  <c r="U620" i="5"/>
  <c r="U621" i="5"/>
  <c r="U622" i="5"/>
  <c r="U623" i="5"/>
  <c r="U624" i="5"/>
  <c r="U625" i="5"/>
  <c r="U626" i="5"/>
  <c r="U627" i="5"/>
  <c r="U628" i="5"/>
  <c r="U629" i="5"/>
  <c r="U630" i="5"/>
  <c r="U631" i="5"/>
  <c r="U632" i="5"/>
  <c r="U633" i="5"/>
  <c r="U634" i="5"/>
  <c r="U635" i="5"/>
  <c r="U636" i="5"/>
  <c r="U637" i="5"/>
  <c r="U638" i="5"/>
  <c r="U639" i="5"/>
  <c r="U640" i="5"/>
  <c r="U641" i="5"/>
  <c r="U642" i="5"/>
  <c r="U643" i="5"/>
  <c r="U644" i="5"/>
  <c r="U645" i="5"/>
  <c r="U646" i="5"/>
  <c r="U647" i="5"/>
  <c r="U648" i="5"/>
  <c r="U649" i="5"/>
  <c r="U650" i="5"/>
  <c r="U651" i="5"/>
  <c r="U652" i="5"/>
  <c r="U653" i="5"/>
  <c r="U654" i="5"/>
  <c r="U655" i="5"/>
  <c r="U656" i="5"/>
  <c r="U657" i="5"/>
  <c r="U658" i="5"/>
  <c r="U659" i="5"/>
  <c r="U660" i="5"/>
  <c r="U661" i="5"/>
  <c r="U662" i="5"/>
  <c r="U663" i="5"/>
  <c r="U664" i="5"/>
  <c r="U665" i="5"/>
  <c r="U666" i="5"/>
  <c r="U667" i="5"/>
  <c r="U668" i="5"/>
  <c r="U669" i="5"/>
  <c r="U670" i="5"/>
  <c r="U671" i="5"/>
  <c r="U672" i="5"/>
  <c r="U673" i="5"/>
  <c r="U674" i="5"/>
  <c r="U675" i="5"/>
  <c r="U676" i="5"/>
  <c r="U677" i="5"/>
  <c r="U678" i="5"/>
  <c r="U679" i="5"/>
  <c r="U680" i="5"/>
  <c r="U681" i="5"/>
  <c r="U682" i="5"/>
  <c r="U683" i="5"/>
  <c r="U684" i="5"/>
  <c r="U685" i="5"/>
  <c r="U686" i="5"/>
  <c r="U687" i="5"/>
  <c r="U688" i="5"/>
  <c r="U689" i="5"/>
  <c r="U690" i="5"/>
  <c r="U691" i="5"/>
  <c r="U692" i="5"/>
  <c r="U693" i="5"/>
  <c r="U694" i="5"/>
  <c r="U695" i="5"/>
  <c r="U696" i="5"/>
  <c r="U697" i="5"/>
  <c r="U698" i="5"/>
  <c r="U699" i="5"/>
  <c r="U700" i="5"/>
  <c r="U701" i="5"/>
  <c r="U702" i="5"/>
  <c r="U703" i="5"/>
  <c r="U704" i="5"/>
  <c r="U705" i="5"/>
  <c r="U706" i="5"/>
  <c r="U707" i="5"/>
  <c r="U708" i="5"/>
  <c r="U709" i="5"/>
  <c r="U710" i="5"/>
  <c r="U711" i="5"/>
  <c r="U712" i="5"/>
  <c r="U713" i="5"/>
  <c r="U714" i="5"/>
  <c r="U715" i="5"/>
  <c r="U716" i="5"/>
  <c r="U717" i="5"/>
  <c r="U718" i="5"/>
  <c r="U719" i="5"/>
  <c r="U720" i="5"/>
  <c r="U721" i="5"/>
  <c r="U722" i="5"/>
  <c r="U723" i="5"/>
  <c r="U724" i="5"/>
  <c r="U725" i="5"/>
  <c r="U726" i="5"/>
  <c r="U727" i="5"/>
  <c r="U728" i="5"/>
  <c r="U729" i="5"/>
  <c r="U730" i="5"/>
  <c r="U731" i="5"/>
  <c r="U732" i="5"/>
  <c r="U733" i="5"/>
  <c r="U734" i="5"/>
  <c r="U735" i="5"/>
  <c r="U736" i="5"/>
  <c r="U737" i="5"/>
  <c r="U738" i="5"/>
  <c r="U739" i="5"/>
  <c r="U740" i="5"/>
  <c r="U741" i="5"/>
  <c r="U742" i="5"/>
  <c r="U743" i="5"/>
  <c r="U744" i="5"/>
  <c r="U745" i="5"/>
  <c r="U746" i="5"/>
  <c r="U747" i="5"/>
  <c r="U748" i="5"/>
  <c r="U749" i="5"/>
  <c r="U750" i="5"/>
  <c r="U751" i="5"/>
  <c r="U752" i="5"/>
  <c r="U753" i="5"/>
  <c r="U754" i="5"/>
  <c r="U755" i="5"/>
  <c r="U756" i="5"/>
  <c r="U757" i="5"/>
  <c r="U758" i="5"/>
  <c r="U759" i="5"/>
  <c r="U760" i="5"/>
  <c r="U761" i="5"/>
  <c r="U762" i="5"/>
  <c r="U763" i="5"/>
  <c r="U764" i="5"/>
  <c r="U765" i="5"/>
  <c r="U766" i="5"/>
  <c r="U767" i="5"/>
  <c r="U768" i="5"/>
  <c r="U769" i="5"/>
  <c r="U770" i="5"/>
  <c r="U771" i="5"/>
  <c r="U772" i="5"/>
  <c r="U773" i="5"/>
  <c r="U774" i="5"/>
  <c r="U775" i="5"/>
  <c r="U776" i="5"/>
  <c r="U777" i="5"/>
  <c r="U778" i="5"/>
  <c r="U779" i="5"/>
  <c r="U780" i="5"/>
  <c r="U781" i="5"/>
  <c r="U782" i="5"/>
  <c r="U783" i="5"/>
  <c r="U784" i="5"/>
  <c r="U785" i="5"/>
  <c r="U786" i="5"/>
  <c r="U787" i="5"/>
  <c r="U788" i="5"/>
  <c r="U789" i="5"/>
  <c r="U790" i="5"/>
  <c r="U791" i="5"/>
  <c r="U792" i="5"/>
  <c r="U793" i="5"/>
  <c r="U794" i="5"/>
  <c r="U795" i="5"/>
  <c r="U796" i="5"/>
  <c r="U797" i="5"/>
  <c r="U798" i="5"/>
  <c r="U799" i="5"/>
  <c r="U800" i="5"/>
  <c r="U801" i="5"/>
  <c r="U802" i="5"/>
  <c r="U803" i="5"/>
  <c r="U804" i="5"/>
  <c r="U805" i="5"/>
  <c r="U806" i="5"/>
  <c r="U807" i="5"/>
  <c r="U808" i="5"/>
  <c r="U809" i="5"/>
  <c r="U810" i="5"/>
  <c r="U811" i="5"/>
  <c r="U812" i="5"/>
  <c r="U813" i="5"/>
  <c r="U814" i="5"/>
  <c r="U815" i="5"/>
  <c r="U816" i="5"/>
  <c r="U817" i="5"/>
  <c r="U818" i="5"/>
  <c r="U819" i="5"/>
  <c r="U820" i="5"/>
  <c r="U821" i="5"/>
  <c r="U822" i="5"/>
  <c r="U823" i="5"/>
  <c r="U824" i="5"/>
  <c r="U825" i="5"/>
  <c r="U826" i="5"/>
  <c r="U827" i="5"/>
  <c r="U828" i="5"/>
  <c r="U829" i="5"/>
  <c r="U830" i="5"/>
  <c r="U831" i="5"/>
  <c r="U832" i="5"/>
  <c r="U833" i="5"/>
  <c r="U834" i="5"/>
  <c r="U835" i="5"/>
  <c r="U836" i="5"/>
  <c r="U837" i="5"/>
  <c r="U838" i="5"/>
  <c r="U839" i="5"/>
  <c r="U840" i="5"/>
  <c r="U841" i="5"/>
  <c r="U842" i="5"/>
  <c r="U843" i="5"/>
  <c r="U844" i="5"/>
  <c r="U845" i="5"/>
  <c r="U846" i="5"/>
  <c r="U847" i="5"/>
  <c r="U848" i="5"/>
  <c r="U849" i="5"/>
  <c r="U850" i="5"/>
  <c r="U851" i="5"/>
  <c r="U852" i="5"/>
  <c r="U853" i="5"/>
  <c r="U854" i="5"/>
  <c r="U855" i="5"/>
  <c r="U856" i="5"/>
  <c r="U857" i="5"/>
  <c r="U858" i="5"/>
  <c r="U859" i="5"/>
  <c r="U860" i="5"/>
  <c r="U861" i="5"/>
  <c r="U862" i="5"/>
  <c r="U863" i="5"/>
  <c r="U864" i="5"/>
  <c r="U865" i="5"/>
  <c r="U866" i="5"/>
  <c r="U867" i="5"/>
  <c r="U868" i="5"/>
  <c r="U869" i="5"/>
  <c r="U870" i="5"/>
  <c r="U871" i="5"/>
  <c r="U872" i="5"/>
  <c r="U873" i="5"/>
  <c r="U874" i="5"/>
  <c r="U875" i="5"/>
  <c r="U876" i="5"/>
  <c r="U877" i="5"/>
  <c r="U878" i="5"/>
  <c r="U879" i="5"/>
  <c r="U880" i="5"/>
  <c r="U881" i="5"/>
  <c r="U882" i="5"/>
  <c r="U883" i="5"/>
  <c r="U884" i="5"/>
  <c r="U885" i="5"/>
  <c r="U886" i="5"/>
  <c r="U887" i="5"/>
  <c r="U888" i="5"/>
  <c r="U889" i="5"/>
  <c r="U890" i="5"/>
  <c r="U891" i="5"/>
  <c r="U892" i="5"/>
  <c r="U893" i="5"/>
  <c r="U894" i="5"/>
  <c r="U895" i="5"/>
  <c r="U896" i="5"/>
  <c r="U897" i="5"/>
  <c r="U898" i="5"/>
  <c r="U899" i="5"/>
  <c r="U900" i="5"/>
  <c r="U901" i="5"/>
  <c r="U902" i="5"/>
  <c r="U903" i="5"/>
  <c r="U904" i="5"/>
  <c r="U905" i="5"/>
  <c r="U906" i="5"/>
  <c r="U907" i="5"/>
  <c r="U908" i="5"/>
  <c r="U909" i="5"/>
  <c r="U910" i="5"/>
  <c r="U911" i="5"/>
  <c r="U912" i="5"/>
  <c r="U913" i="5"/>
  <c r="U914" i="5"/>
  <c r="U915" i="5"/>
  <c r="U916" i="5"/>
  <c r="U917" i="5"/>
  <c r="U918" i="5"/>
  <c r="U919" i="5"/>
  <c r="U920" i="5"/>
  <c r="U921" i="5"/>
  <c r="U922" i="5"/>
  <c r="U923" i="5"/>
  <c r="U924" i="5"/>
  <c r="U925" i="5"/>
  <c r="U926" i="5"/>
  <c r="U927" i="5"/>
  <c r="U928" i="5"/>
  <c r="U929" i="5"/>
  <c r="U930" i="5"/>
  <c r="U931" i="5"/>
  <c r="U932" i="5"/>
  <c r="U933" i="5"/>
  <c r="U934" i="5"/>
  <c r="U935" i="5"/>
  <c r="U936" i="5"/>
  <c r="U937" i="5"/>
  <c r="U938" i="5"/>
  <c r="U939" i="5"/>
  <c r="U940" i="5"/>
  <c r="U941" i="5"/>
  <c r="U942" i="5"/>
  <c r="U943" i="5"/>
  <c r="U944" i="5"/>
  <c r="U945" i="5"/>
  <c r="U946" i="5"/>
  <c r="U947" i="5"/>
  <c r="U948" i="5"/>
  <c r="U949" i="5"/>
  <c r="U950" i="5"/>
  <c r="U951" i="5"/>
  <c r="U952" i="5"/>
  <c r="U953" i="5"/>
  <c r="U954" i="5"/>
  <c r="U955" i="5"/>
  <c r="U956" i="5"/>
  <c r="U957" i="5"/>
  <c r="U958" i="5"/>
  <c r="U959" i="5"/>
  <c r="U960" i="5"/>
  <c r="U961" i="5"/>
  <c r="U962" i="5"/>
  <c r="U963" i="5"/>
  <c r="U964" i="5"/>
  <c r="U965" i="5"/>
  <c r="U966" i="5"/>
  <c r="U967" i="5"/>
  <c r="U968" i="5"/>
  <c r="U969" i="5"/>
  <c r="U970" i="5"/>
  <c r="U971" i="5"/>
  <c r="U972" i="5"/>
  <c r="U973" i="5"/>
  <c r="U974" i="5"/>
  <c r="U975" i="5"/>
  <c r="U976" i="5"/>
  <c r="U977" i="5"/>
  <c r="U978" i="5"/>
  <c r="U979" i="5"/>
  <c r="U980" i="5"/>
  <c r="U981" i="5"/>
  <c r="U982" i="5"/>
  <c r="U983" i="5"/>
  <c r="U984" i="5"/>
  <c r="U985" i="5"/>
  <c r="U986" i="5"/>
  <c r="U987" i="5"/>
  <c r="U988" i="5"/>
  <c r="U989" i="5"/>
  <c r="U990" i="5"/>
  <c r="U991" i="5"/>
  <c r="U992" i="5"/>
  <c r="U993" i="5"/>
  <c r="U994" i="5"/>
  <c r="U995" i="5"/>
  <c r="U996" i="5"/>
  <c r="U997" i="5"/>
  <c r="U998" i="5"/>
  <c r="U999" i="5"/>
  <c r="U1000" i="5"/>
  <c r="U1001" i="5"/>
  <c r="U1002" i="5"/>
  <c r="U1003" i="5"/>
  <c r="U1004" i="5"/>
  <c r="U1005" i="5"/>
  <c r="U1006" i="5"/>
  <c r="U1007" i="5"/>
  <c r="U1008" i="5"/>
  <c r="U1009" i="5"/>
  <c r="U1010" i="5"/>
  <c r="U1011" i="5"/>
  <c r="U1012" i="5"/>
  <c r="U1013" i="5"/>
  <c r="U1014" i="5"/>
  <c r="U1015" i="5"/>
  <c r="U1016" i="5"/>
  <c r="U1017" i="5"/>
  <c r="U1018" i="5"/>
  <c r="U1019" i="5"/>
  <c r="U1020" i="5"/>
  <c r="U1021" i="5"/>
  <c r="U1022" i="5"/>
  <c r="U1023" i="5"/>
  <c r="U1024" i="5"/>
  <c r="U1025" i="5"/>
  <c r="U1026" i="5"/>
  <c r="U1027" i="5"/>
  <c r="U1028" i="5"/>
  <c r="U1029" i="5"/>
  <c r="U1030" i="5"/>
  <c r="U1031" i="5"/>
  <c r="U1032" i="5"/>
  <c r="U1033" i="5"/>
  <c r="U1034" i="5"/>
  <c r="U1035" i="5"/>
  <c r="U1036" i="5"/>
  <c r="U1037" i="5"/>
  <c r="U1038" i="5"/>
  <c r="U1039" i="5"/>
  <c r="U1040" i="5"/>
  <c r="U1041" i="5"/>
  <c r="U1042" i="5"/>
  <c r="U1043" i="5"/>
  <c r="U1044" i="5"/>
  <c r="U1045" i="5"/>
  <c r="U1046" i="5"/>
  <c r="U1047" i="5"/>
  <c r="U1048" i="5"/>
  <c r="U1049" i="5"/>
  <c r="U1050" i="5"/>
  <c r="U1051" i="5"/>
  <c r="U1052" i="5"/>
  <c r="U1053" i="5"/>
  <c r="U1054" i="5"/>
  <c r="U1055" i="5"/>
  <c r="U1056" i="5"/>
  <c r="U1057" i="5"/>
  <c r="U1058" i="5"/>
  <c r="U1059" i="5"/>
  <c r="U1060" i="5"/>
  <c r="U1061" i="5"/>
  <c r="U1062" i="5"/>
  <c r="U1063" i="5"/>
  <c r="U1064" i="5"/>
  <c r="U1065" i="5"/>
  <c r="U1066" i="5"/>
  <c r="U1067" i="5"/>
  <c r="U1068" i="5"/>
  <c r="U1069" i="5"/>
  <c r="U1070" i="5"/>
  <c r="U1071" i="5"/>
  <c r="U1072" i="5"/>
  <c r="U1073" i="5"/>
  <c r="U1074" i="5"/>
  <c r="U1075" i="5"/>
  <c r="U1076" i="5"/>
  <c r="U1077" i="5"/>
  <c r="U1078" i="5"/>
  <c r="U1079" i="5"/>
  <c r="U1080" i="5"/>
  <c r="U1081" i="5"/>
  <c r="U1082" i="5"/>
  <c r="U1083" i="5"/>
  <c r="U1084" i="5"/>
  <c r="U1085" i="5"/>
  <c r="U1086" i="5"/>
  <c r="U1087" i="5"/>
  <c r="U1088" i="5"/>
  <c r="U1089" i="5"/>
  <c r="U1090" i="5"/>
  <c r="U1091" i="5"/>
  <c r="U1092" i="5"/>
  <c r="U1093" i="5"/>
  <c r="U1094" i="5"/>
  <c r="U1095" i="5"/>
  <c r="U1096" i="5"/>
  <c r="U1097" i="5"/>
  <c r="U1098" i="5"/>
  <c r="U1099" i="5"/>
  <c r="U1100" i="5"/>
  <c r="U1101" i="5"/>
  <c r="U1102" i="5"/>
  <c r="U1103" i="5"/>
  <c r="U1104" i="5"/>
  <c r="U1105" i="5"/>
  <c r="U1106" i="5"/>
  <c r="U1107" i="5"/>
  <c r="U1108" i="5"/>
  <c r="U1109" i="5"/>
  <c r="U1110" i="5"/>
  <c r="U1111" i="5"/>
  <c r="U1112" i="5"/>
  <c r="U1113" i="5"/>
  <c r="U1114" i="5"/>
  <c r="U1115" i="5"/>
  <c r="U1116" i="5"/>
  <c r="U1117" i="5"/>
  <c r="U1118" i="5"/>
  <c r="U1119" i="5"/>
  <c r="U1120" i="5"/>
  <c r="U1121" i="5"/>
  <c r="U1122" i="5"/>
  <c r="U1123" i="5"/>
  <c r="U1124" i="5"/>
  <c r="U1125" i="5"/>
  <c r="U1126" i="5"/>
  <c r="U1127" i="5"/>
  <c r="U1128" i="5"/>
  <c r="U1129" i="5"/>
  <c r="U1130" i="5"/>
  <c r="U1131" i="5"/>
  <c r="U1132" i="5"/>
  <c r="U1133" i="5"/>
  <c r="U1134" i="5"/>
  <c r="U1135" i="5"/>
  <c r="U1136" i="5"/>
  <c r="U1137" i="5"/>
  <c r="U1138" i="5"/>
  <c r="U1139" i="5"/>
  <c r="U1140" i="5"/>
  <c r="U1141" i="5"/>
  <c r="U1142" i="5"/>
  <c r="U1143" i="5"/>
  <c r="U1144" i="5"/>
  <c r="U1145" i="5"/>
  <c r="U1146" i="5"/>
  <c r="U1147" i="5"/>
  <c r="U1148" i="5"/>
  <c r="U1149" i="5"/>
  <c r="U1150" i="5"/>
  <c r="U1151" i="5"/>
  <c r="U1152" i="5"/>
  <c r="U1153" i="5"/>
  <c r="U1154" i="5"/>
  <c r="U1155" i="5"/>
  <c r="U1156" i="5"/>
  <c r="U1157" i="5"/>
  <c r="U1158" i="5"/>
  <c r="U1159" i="5"/>
  <c r="U1160" i="5"/>
  <c r="U1161" i="5"/>
  <c r="U1162" i="5"/>
  <c r="U1163" i="5"/>
  <c r="U1164" i="5"/>
  <c r="U1165" i="5"/>
  <c r="U1166" i="5"/>
  <c r="U1167" i="5"/>
  <c r="U1168" i="5"/>
  <c r="U1169" i="5"/>
  <c r="U1170" i="5"/>
  <c r="U1171" i="5"/>
  <c r="U1172" i="5"/>
  <c r="U1173" i="5"/>
  <c r="U1174" i="5"/>
  <c r="U1175" i="5"/>
  <c r="U1176" i="5"/>
  <c r="U1177" i="5"/>
  <c r="U1178" i="5"/>
  <c r="U1179" i="5"/>
  <c r="U1180" i="5"/>
  <c r="U1181" i="5"/>
  <c r="U1182" i="5"/>
  <c r="U1183" i="5"/>
  <c r="U1184" i="5"/>
  <c r="U1185" i="5"/>
  <c r="U1186" i="5"/>
  <c r="U1187" i="5"/>
  <c r="U1188" i="5"/>
  <c r="U1189" i="5"/>
  <c r="U1190" i="5"/>
  <c r="U1191" i="5"/>
  <c r="U1192" i="5"/>
  <c r="U1193" i="5"/>
  <c r="U1194" i="5"/>
  <c r="U1195" i="5"/>
  <c r="U1196" i="5"/>
  <c r="U1197" i="5"/>
  <c r="U1198" i="5"/>
  <c r="U1199" i="5"/>
  <c r="U1200" i="5"/>
  <c r="U1201" i="5"/>
  <c r="U1202" i="5"/>
  <c r="U1203" i="5"/>
  <c r="U1204" i="5"/>
  <c r="U1205" i="5"/>
  <c r="U1206" i="5"/>
  <c r="U1207" i="5"/>
  <c r="U1208" i="5"/>
  <c r="U1209" i="5"/>
  <c r="U1210" i="5"/>
  <c r="U1211" i="5"/>
  <c r="U1212" i="5"/>
  <c r="U1213" i="5"/>
  <c r="U1214" i="5"/>
  <c r="U1215" i="5"/>
  <c r="U1216" i="5"/>
  <c r="U1217" i="5"/>
  <c r="U1218" i="5"/>
  <c r="U1219" i="5"/>
  <c r="U1220" i="5"/>
  <c r="U1221" i="5"/>
  <c r="U1222" i="5"/>
  <c r="U1223" i="5"/>
  <c r="U1224" i="5"/>
  <c r="U1225" i="5"/>
  <c r="U1226" i="5"/>
  <c r="U1227" i="5"/>
  <c r="U1228" i="5"/>
  <c r="U1229" i="5"/>
  <c r="U1230" i="5"/>
  <c r="U1231" i="5"/>
  <c r="U1232" i="5"/>
  <c r="U1233" i="5"/>
  <c r="U1234" i="5"/>
  <c r="U1235" i="5"/>
  <c r="U1236" i="5"/>
  <c r="U1237" i="5"/>
  <c r="U1238" i="5"/>
  <c r="U1239" i="5"/>
  <c r="U1240" i="5"/>
  <c r="U1241" i="5"/>
  <c r="U1242" i="5"/>
  <c r="U1243" i="5"/>
  <c r="U1244" i="5"/>
  <c r="U1245" i="5"/>
  <c r="U1246" i="5"/>
  <c r="U1247" i="5"/>
  <c r="U1248" i="5"/>
  <c r="U1249" i="5"/>
  <c r="U1250" i="5"/>
  <c r="U1251" i="5"/>
  <c r="U1252" i="5"/>
  <c r="U1253" i="5"/>
  <c r="U1254" i="5"/>
  <c r="U1255" i="5"/>
  <c r="U1256" i="5"/>
  <c r="U1257" i="5"/>
  <c r="U1258" i="5"/>
  <c r="U1259" i="5"/>
  <c r="U1260" i="5"/>
  <c r="U1261" i="5"/>
  <c r="U1262" i="5"/>
  <c r="U1263" i="5"/>
  <c r="U1264" i="5"/>
  <c r="U1265" i="5"/>
  <c r="U1266" i="5"/>
  <c r="U1267" i="5"/>
  <c r="U1268" i="5"/>
  <c r="U1269" i="5"/>
  <c r="U1270" i="5"/>
  <c r="U1271" i="5"/>
  <c r="U1272" i="5"/>
  <c r="U1273" i="5"/>
  <c r="U1274" i="5"/>
  <c r="U1275" i="5"/>
  <c r="U1276" i="5"/>
  <c r="U1277" i="5"/>
  <c r="U1278" i="5"/>
  <c r="U1279" i="5"/>
  <c r="U1280" i="5"/>
  <c r="U1281" i="5"/>
  <c r="U1282" i="5"/>
  <c r="U1283" i="5"/>
  <c r="U1284" i="5"/>
  <c r="U1285" i="5"/>
  <c r="U1286" i="5"/>
  <c r="U1287" i="5"/>
  <c r="U1288" i="5"/>
  <c r="U1289" i="5"/>
  <c r="U1290" i="5"/>
  <c r="U1291" i="5"/>
  <c r="U1292" i="5"/>
  <c r="U1293" i="5"/>
  <c r="U1294" i="5"/>
  <c r="U1295" i="5"/>
  <c r="U1296" i="5"/>
  <c r="U1297" i="5"/>
  <c r="U1298" i="5"/>
  <c r="U1299" i="5"/>
  <c r="U1300" i="5"/>
  <c r="U1301" i="5"/>
  <c r="U1302" i="5"/>
  <c r="U1303" i="5"/>
  <c r="U1304" i="5"/>
  <c r="U1305" i="5"/>
  <c r="U1306" i="5"/>
  <c r="U1307" i="5"/>
  <c r="U1308" i="5"/>
  <c r="U1309" i="5"/>
  <c r="U1310" i="5"/>
  <c r="U1311" i="5"/>
  <c r="U1312" i="5"/>
  <c r="U1313" i="5"/>
  <c r="U1314" i="5"/>
  <c r="U1315" i="5"/>
  <c r="U1316" i="5"/>
  <c r="U1317" i="5"/>
  <c r="U1318" i="5"/>
  <c r="U1319" i="5"/>
  <c r="U1320" i="5"/>
  <c r="U1321" i="5"/>
  <c r="U1322" i="5"/>
  <c r="U1323" i="5"/>
  <c r="U1324" i="5"/>
  <c r="U1325" i="5"/>
  <c r="U1326" i="5"/>
  <c r="U1327" i="5"/>
  <c r="U1328" i="5"/>
  <c r="U1329" i="5"/>
  <c r="U1330" i="5"/>
  <c r="U1331" i="5"/>
  <c r="U1332" i="5"/>
  <c r="U1333" i="5"/>
  <c r="U1334" i="5"/>
  <c r="U1335" i="5"/>
  <c r="U1336" i="5"/>
  <c r="U1337" i="5"/>
  <c r="U1338" i="5"/>
  <c r="U1339" i="5"/>
  <c r="U1340" i="5"/>
  <c r="U1341" i="5"/>
  <c r="U1342" i="5"/>
  <c r="U1343" i="5"/>
  <c r="U1344" i="5"/>
  <c r="U1345" i="5"/>
  <c r="U1346" i="5"/>
  <c r="U1347" i="5"/>
  <c r="U1348" i="5"/>
  <c r="U1349" i="5"/>
  <c r="U1350" i="5"/>
  <c r="U1351" i="5"/>
  <c r="U1352" i="5"/>
  <c r="U1353" i="5"/>
  <c r="U1354" i="5"/>
  <c r="U1355" i="5"/>
  <c r="U1356" i="5"/>
  <c r="U1357" i="5"/>
  <c r="U1358" i="5"/>
  <c r="U1359" i="5"/>
  <c r="U1360" i="5"/>
  <c r="U1361" i="5"/>
  <c r="U1362" i="5"/>
  <c r="U1363" i="5"/>
  <c r="U1364" i="5"/>
  <c r="U1365" i="5"/>
  <c r="U1366" i="5"/>
  <c r="U1367" i="5"/>
  <c r="U1368" i="5"/>
  <c r="U1369" i="5"/>
  <c r="U1370" i="5"/>
  <c r="U1371" i="5"/>
  <c r="U1372" i="5"/>
  <c r="U1373" i="5"/>
  <c r="U1374" i="5"/>
  <c r="U1375" i="5"/>
  <c r="U1376" i="5"/>
  <c r="U1377" i="5"/>
  <c r="U1378" i="5"/>
  <c r="U1379" i="5"/>
  <c r="U1380" i="5"/>
  <c r="U1381" i="5"/>
  <c r="U1382" i="5"/>
  <c r="U1383" i="5"/>
  <c r="U1384" i="5"/>
  <c r="U1385" i="5"/>
  <c r="U1386" i="5"/>
  <c r="U1387" i="5"/>
  <c r="U1388" i="5"/>
  <c r="U1389" i="5"/>
  <c r="U1390" i="5"/>
  <c r="U1391" i="5"/>
  <c r="U1392" i="5"/>
  <c r="U1393" i="5"/>
  <c r="U1394" i="5"/>
  <c r="U1395" i="5"/>
  <c r="U1396" i="5"/>
  <c r="U1397" i="5"/>
  <c r="U1398" i="5"/>
  <c r="U1399" i="5"/>
  <c r="U1400" i="5"/>
  <c r="U1401" i="5"/>
  <c r="U1402" i="5"/>
  <c r="U1403" i="5"/>
  <c r="U1404" i="5"/>
  <c r="U1405" i="5"/>
  <c r="U1406" i="5"/>
  <c r="U1407" i="5"/>
  <c r="U1408" i="5"/>
  <c r="U1409" i="5"/>
  <c r="U1410" i="5"/>
  <c r="U1411" i="5"/>
  <c r="U1412" i="5"/>
  <c r="U1413" i="5"/>
  <c r="U1414" i="5"/>
  <c r="U1415" i="5"/>
  <c r="U1416" i="5"/>
  <c r="U1417" i="5"/>
  <c r="U1418" i="5"/>
  <c r="U1419" i="5"/>
  <c r="U1420" i="5"/>
  <c r="U1421" i="5"/>
  <c r="U1422" i="5"/>
  <c r="U1423" i="5"/>
  <c r="U1424" i="5"/>
  <c r="U1425" i="5"/>
  <c r="U1426" i="5"/>
  <c r="U1427" i="5"/>
  <c r="U1428" i="5"/>
  <c r="U1429" i="5"/>
  <c r="U1430" i="5"/>
  <c r="U1431" i="5"/>
  <c r="U1432" i="5"/>
  <c r="U1433" i="5"/>
  <c r="U1434" i="5"/>
  <c r="U1435" i="5"/>
  <c r="U1436" i="5"/>
  <c r="U1437" i="5"/>
  <c r="U1438" i="5"/>
  <c r="U1439" i="5"/>
  <c r="U1440" i="5"/>
  <c r="U1441" i="5"/>
  <c r="U1442" i="5"/>
  <c r="U1443" i="5"/>
  <c r="U1444" i="5"/>
  <c r="U1445" i="5"/>
  <c r="U1446" i="5"/>
  <c r="U1447" i="5"/>
  <c r="U1448" i="5"/>
  <c r="U1449" i="5"/>
  <c r="U1450" i="5"/>
  <c r="U1451" i="5"/>
  <c r="U1452" i="5"/>
  <c r="U1453" i="5"/>
  <c r="U1454" i="5"/>
  <c r="U1455" i="5"/>
  <c r="U1456" i="5"/>
  <c r="U1457" i="5"/>
  <c r="U1458" i="5"/>
  <c r="U1459" i="5"/>
  <c r="U1460" i="5"/>
  <c r="U1461" i="5"/>
  <c r="U1462" i="5"/>
  <c r="U1463" i="5"/>
  <c r="U1464" i="5"/>
  <c r="U1465" i="5"/>
  <c r="U1466" i="5"/>
  <c r="U1467" i="5"/>
  <c r="U1468" i="5"/>
  <c r="U1469" i="5"/>
  <c r="U1470" i="5"/>
  <c r="U1471" i="5"/>
  <c r="U1472" i="5"/>
  <c r="U1473" i="5"/>
  <c r="U1474" i="5"/>
  <c r="U1475" i="5"/>
  <c r="U1476" i="5"/>
  <c r="U1477" i="5"/>
  <c r="U1478" i="5"/>
  <c r="U1479" i="5"/>
  <c r="U1480" i="5"/>
  <c r="U1481" i="5"/>
  <c r="U1482" i="5"/>
  <c r="U1483" i="5"/>
  <c r="U1484" i="5"/>
  <c r="U1485" i="5"/>
  <c r="U1486" i="5"/>
  <c r="U1487" i="5"/>
  <c r="U1488" i="5"/>
  <c r="U1489" i="5"/>
  <c r="U1490" i="5"/>
  <c r="U1491" i="5"/>
  <c r="U1492" i="5"/>
  <c r="U1493" i="5"/>
  <c r="U1494" i="5"/>
  <c r="U1495" i="5"/>
  <c r="U1496" i="5"/>
  <c r="U1497" i="5"/>
  <c r="U1498" i="5"/>
  <c r="U1499" i="5"/>
  <c r="U1500" i="5"/>
  <c r="U1501" i="5"/>
  <c r="U1502" i="5"/>
  <c r="U1503" i="5"/>
  <c r="U1504" i="5"/>
  <c r="U1505" i="5"/>
  <c r="U1506" i="5"/>
  <c r="U1507" i="5"/>
  <c r="U1508" i="5"/>
  <c r="U1509" i="5"/>
  <c r="U1510" i="5"/>
  <c r="U1511" i="5"/>
  <c r="U1512" i="5"/>
  <c r="U1513" i="5"/>
  <c r="U1514" i="5"/>
  <c r="U1515" i="5"/>
  <c r="U1516" i="5"/>
  <c r="U1517" i="5"/>
  <c r="U1518" i="5"/>
  <c r="U1519" i="5"/>
  <c r="U1520" i="5"/>
  <c r="U1521" i="5"/>
  <c r="U1522" i="5"/>
  <c r="U1523" i="5"/>
  <c r="U1524" i="5"/>
  <c r="U1525" i="5"/>
  <c r="U1526" i="5"/>
  <c r="U1527" i="5"/>
  <c r="U1528" i="5"/>
  <c r="U1529" i="5"/>
  <c r="U1530" i="5"/>
  <c r="U1531" i="5"/>
  <c r="U1532" i="5"/>
  <c r="U1533" i="5"/>
  <c r="U1534" i="5"/>
  <c r="U1535" i="5"/>
  <c r="U1536" i="5"/>
  <c r="U1537" i="5"/>
  <c r="U1538" i="5"/>
  <c r="U1539" i="5"/>
  <c r="U1540" i="5"/>
  <c r="U1541" i="5"/>
  <c r="U1542" i="5"/>
  <c r="U1543" i="5"/>
  <c r="U1544" i="5"/>
  <c r="U1545" i="5"/>
  <c r="U1546" i="5"/>
  <c r="U1547" i="5"/>
  <c r="U1548" i="5"/>
  <c r="U1549" i="5"/>
  <c r="U1550" i="5"/>
  <c r="U1551" i="5"/>
  <c r="U1552" i="5"/>
  <c r="U1553" i="5"/>
  <c r="U1554" i="5"/>
  <c r="U1555" i="5"/>
  <c r="U1556" i="5"/>
  <c r="U1557" i="5"/>
  <c r="U1558" i="5"/>
  <c r="U1559" i="5"/>
  <c r="U1560" i="5"/>
  <c r="U1561" i="5"/>
  <c r="U1562" i="5"/>
  <c r="U1563" i="5"/>
  <c r="U1564" i="5"/>
  <c r="U1565" i="5"/>
  <c r="U1566" i="5"/>
  <c r="U1567" i="5"/>
  <c r="U1568" i="5"/>
  <c r="U1569" i="5"/>
  <c r="U1570" i="5"/>
  <c r="U1571" i="5"/>
  <c r="U1572" i="5"/>
  <c r="U1573" i="5"/>
  <c r="U1574" i="5"/>
  <c r="U1575" i="5"/>
  <c r="U1576" i="5"/>
  <c r="U1577" i="5"/>
  <c r="U1578" i="5"/>
  <c r="U1579" i="5"/>
  <c r="U1580" i="5"/>
  <c r="U1581" i="5"/>
  <c r="U1582" i="5"/>
  <c r="U1583" i="5"/>
  <c r="U1584" i="5"/>
  <c r="U1585" i="5"/>
  <c r="U1586" i="5"/>
  <c r="U1587" i="5"/>
  <c r="U1588" i="5"/>
  <c r="U1589" i="5"/>
  <c r="U1590" i="5"/>
  <c r="U1591" i="5"/>
  <c r="U1592" i="5"/>
  <c r="U1593" i="5"/>
  <c r="U1594" i="5"/>
  <c r="U1595" i="5"/>
  <c r="U1596" i="5"/>
  <c r="U1597" i="5"/>
  <c r="U1598" i="5"/>
  <c r="U1599" i="5"/>
  <c r="U1600" i="5"/>
  <c r="U1601" i="5"/>
  <c r="U1602" i="5"/>
  <c r="U1603" i="5"/>
  <c r="U1604" i="5"/>
  <c r="U1605" i="5"/>
  <c r="U1606" i="5"/>
  <c r="U1607" i="5"/>
  <c r="U1608" i="5"/>
  <c r="U1609" i="5"/>
  <c r="U1610" i="5"/>
  <c r="U1611" i="5"/>
  <c r="U1612" i="5"/>
  <c r="U1613" i="5"/>
  <c r="U1614" i="5"/>
  <c r="U1615" i="5"/>
  <c r="U1616" i="5"/>
  <c r="U1617" i="5"/>
  <c r="U1618" i="5"/>
  <c r="U1619" i="5"/>
  <c r="U1620" i="5"/>
  <c r="U1621" i="5"/>
  <c r="U1622" i="5"/>
  <c r="U1623" i="5"/>
  <c r="U1624" i="5"/>
  <c r="U1625" i="5"/>
  <c r="U1626" i="5"/>
  <c r="U1627" i="5"/>
  <c r="U1628" i="5"/>
  <c r="U1629" i="5"/>
  <c r="U1630" i="5"/>
  <c r="U1631" i="5"/>
  <c r="U1632" i="5"/>
  <c r="U1633" i="5"/>
  <c r="U1634" i="5"/>
  <c r="U1635" i="5"/>
  <c r="U1636" i="5"/>
  <c r="U1637" i="5"/>
  <c r="U1638" i="5"/>
  <c r="U1639" i="5"/>
  <c r="U1640" i="5"/>
  <c r="U1641" i="5"/>
  <c r="U1642" i="5"/>
  <c r="U1643" i="5"/>
  <c r="U1644" i="5"/>
  <c r="U1645" i="5"/>
  <c r="U1646" i="5"/>
  <c r="U1647" i="5"/>
  <c r="U1648" i="5"/>
  <c r="U1649" i="5"/>
  <c r="U1650" i="5"/>
  <c r="U1651" i="5"/>
  <c r="U1652" i="5"/>
  <c r="U1653" i="5"/>
  <c r="U1654" i="5"/>
  <c r="U1655" i="5"/>
  <c r="U1656" i="5"/>
  <c r="U1657" i="5"/>
  <c r="U1658" i="5"/>
  <c r="U1659" i="5"/>
  <c r="U1660" i="5"/>
  <c r="U1661" i="5"/>
  <c r="U1662" i="5"/>
  <c r="U1663" i="5"/>
  <c r="U1664" i="5"/>
  <c r="U1665" i="5"/>
  <c r="U1666" i="5"/>
  <c r="U1667" i="5"/>
  <c r="U1668" i="5"/>
  <c r="U1669" i="5"/>
  <c r="U1670" i="5"/>
  <c r="U1671" i="5"/>
  <c r="U1672" i="5"/>
  <c r="U1673" i="5"/>
  <c r="U1674" i="5"/>
  <c r="U1675" i="5"/>
  <c r="U1676" i="5"/>
  <c r="U1677" i="5"/>
  <c r="U1678" i="5"/>
  <c r="U1679" i="5"/>
  <c r="U1680" i="5"/>
  <c r="U1681" i="5"/>
  <c r="U1682" i="5"/>
  <c r="U1683" i="5"/>
  <c r="U1684" i="5"/>
  <c r="U1685" i="5"/>
  <c r="U1686" i="5"/>
  <c r="U1687" i="5"/>
  <c r="U1688" i="5"/>
  <c r="U1689" i="5"/>
  <c r="U1690" i="5"/>
  <c r="U1691" i="5"/>
  <c r="U1692" i="5"/>
  <c r="U1693" i="5"/>
  <c r="U1694" i="5"/>
  <c r="U1695" i="5"/>
  <c r="U1696" i="5"/>
  <c r="U1697" i="5"/>
  <c r="U1698" i="5"/>
  <c r="U1699" i="5"/>
  <c r="U1700" i="5"/>
  <c r="U1701" i="5"/>
  <c r="U1702" i="5"/>
  <c r="U1703" i="5"/>
  <c r="U1704" i="5"/>
  <c r="U1705" i="5"/>
  <c r="U1706" i="5"/>
  <c r="U1707" i="5"/>
  <c r="U1708" i="5"/>
  <c r="U1709" i="5"/>
  <c r="U1710" i="5"/>
  <c r="U1711" i="5"/>
  <c r="U1712" i="5"/>
  <c r="U1713" i="5"/>
  <c r="U1714" i="5"/>
  <c r="U1715" i="5"/>
  <c r="U1716" i="5"/>
  <c r="U1717" i="5"/>
  <c r="U1718" i="5"/>
  <c r="U1719" i="5"/>
  <c r="U1720" i="5"/>
  <c r="U1721" i="5"/>
  <c r="U1722" i="5"/>
  <c r="U1723" i="5"/>
  <c r="U1724" i="5"/>
  <c r="U1725" i="5"/>
  <c r="U1726" i="5"/>
  <c r="U1727" i="5"/>
  <c r="U1728" i="5"/>
  <c r="U1729" i="5"/>
  <c r="U1730" i="5"/>
  <c r="U1731" i="5"/>
  <c r="U1732" i="5"/>
  <c r="U1733" i="5"/>
  <c r="U1734" i="5"/>
  <c r="U1735" i="5"/>
  <c r="U1736" i="5"/>
  <c r="U1737" i="5"/>
  <c r="U1738" i="5"/>
  <c r="U1739" i="5"/>
  <c r="U1740" i="5"/>
  <c r="U1741" i="5"/>
  <c r="U1742" i="5"/>
  <c r="U1743" i="5"/>
  <c r="U1744" i="5"/>
  <c r="U1745" i="5"/>
  <c r="U1746" i="5"/>
  <c r="U1747" i="5"/>
  <c r="U1748" i="5"/>
  <c r="U1749" i="5"/>
  <c r="U1750" i="5"/>
  <c r="U1751" i="5"/>
  <c r="U1752" i="5"/>
  <c r="U1753" i="5"/>
  <c r="U1754" i="5"/>
  <c r="U1755" i="5"/>
  <c r="U1756" i="5"/>
  <c r="U1757" i="5"/>
  <c r="U1758" i="5"/>
  <c r="U1759" i="5"/>
  <c r="U1760" i="5"/>
  <c r="U1761" i="5"/>
  <c r="U1762" i="5"/>
  <c r="U1763" i="5"/>
  <c r="U1764" i="5"/>
  <c r="U1765" i="5"/>
  <c r="U1766" i="5"/>
  <c r="U1767" i="5"/>
  <c r="U1768" i="5"/>
  <c r="U1769" i="5"/>
  <c r="U1770" i="5"/>
  <c r="U1771" i="5"/>
  <c r="U1772" i="5"/>
  <c r="U1773" i="5"/>
  <c r="U1774" i="5"/>
  <c r="U1775" i="5"/>
  <c r="U1776" i="5"/>
  <c r="U1777" i="5"/>
  <c r="U1778" i="5"/>
  <c r="U1779" i="5"/>
  <c r="U1780" i="5"/>
  <c r="U1781" i="5"/>
  <c r="U1782" i="5"/>
  <c r="U1783" i="5"/>
  <c r="U1784" i="5"/>
  <c r="U1785" i="5"/>
  <c r="U1786" i="5"/>
  <c r="U1787" i="5"/>
  <c r="U1788" i="5"/>
  <c r="U1789" i="5"/>
  <c r="U1790" i="5"/>
  <c r="U1791" i="5"/>
  <c r="U1792" i="5"/>
  <c r="U1793" i="5"/>
  <c r="U1794" i="5"/>
  <c r="U1795" i="5"/>
  <c r="U1796" i="5"/>
  <c r="U1797" i="5"/>
  <c r="U1798" i="5"/>
  <c r="U1799" i="5"/>
  <c r="U1800" i="5"/>
  <c r="U1801" i="5"/>
  <c r="U1802" i="5"/>
  <c r="U1803" i="5"/>
  <c r="U1804" i="5"/>
  <c r="U1805" i="5"/>
  <c r="U1806" i="5"/>
  <c r="U1807" i="5"/>
  <c r="U1808" i="5"/>
  <c r="U1809" i="5"/>
  <c r="U1810" i="5"/>
  <c r="U1811" i="5"/>
  <c r="U1812" i="5"/>
  <c r="U1813" i="5"/>
  <c r="U1814" i="5"/>
  <c r="U1815" i="5"/>
  <c r="U1816" i="5"/>
  <c r="U1817" i="5"/>
  <c r="U1818" i="5"/>
  <c r="U1819" i="5"/>
  <c r="U1820" i="5"/>
  <c r="U1821" i="5"/>
  <c r="U1822" i="5"/>
  <c r="U1823" i="5"/>
  <c r="U1824" i="5"/>
  <c r="U1825" i="5"/>
  <c r="U1826" i="5"/>
  <c r="U1827" i="5"/>
  <c r="U1828" i="5"/>
  <c r="U1829" i="5"/>
  <c r="U1830" i="5"/>
  <c r="U1831" i="5"/>
  <c r="U1832" i="5"/>
  <c r="U1833" i="5"/>
  <c r="U1834" i="5"/>
  <c r="U1835" i="5"/>
  <c r="U1836" i="5"/>
  <c r="U1837" i="5"/>
  <c r="U1838" i="5"/>
  <c r="U1839" i="5"/>
  <c r="U1840" i="5"/>
  <c r="U1841" i="5"/>
  <c r="U1842" i="5"/>
  <c r="U1843" i="5"/>
  <c r="U1844" i="5"/>
  <c r="U1845" i="5"/>
  <c r="U1846" i="5"/>
  <c r="U1847" i="5"/>
  <c r="U1848" i="5"/>
  <c r="U1849" i="5"/>
  <c r="U1850" i="5"/>
  <c r="U1851" i="5"/>
  <c r="U1852" i="5"/>
  <c r="U1853" i="5"/>
  <c r="U1854" i="5"/>
  <c r="U1855" i="5"/>
  <c r="U1856" i="5"/>
  <c r="U1857" i="5"/>
  <c r="U1858" i="5"/>
  <c r="U1859" i="5"/>
  <c r="U1860" i="5"/>
  <c r="U1861" i="5"/>
  <c r="U1862" i="5"/>
  <c r="U1863" i="5"/>
  <c r="U1864" i="5"/>
  <c r="U1865" i="5"/>
  <c r="U1866" i="5"/>
  <c r="U1867" i="5"/>
  <c r="U1868" i="5"/>
  <c r="U1869" i="5"/>
  <c r="U1870" i="5"/>
  <c r="U1871" i="5"/>
  <c r="U1872" i="5"/>
  <c r="U1873" i="5"/>
  <c r="U1874" i="5"/>
  <c r="U1875" i="5"/>
  <c r="U1876" i="5"/>
  <c r="U1877" i="5"/>
  <c r="U1878" i="5"/>
  <c r="U1879" i="5"/>
  <c r="U1880" i="5"/>
  <c r="U1881" i="5"/>
  <c r="U1882" i="5"/>
  <c r="U1883" i="5"/>
  <c r="U1884" i="5"/>
  <c r="U1885" i="5"/>
  <c r="U1886" i="5"/>
  <c r="U1887" i="5"/>
  <c r="U1888" i="5"/>
  <c r="U1889" i="5"/>
  <c r="U1890" i="5"/>
  <c r="U1891" i="5"/>
  <c r="U1892" i="5"/>
  <c r="U1893" i="5"/>
  <c r="U1894" i="5"/>
  <c r="U1895" i="5"/>
  <c r="U1896" i="5"/>
  <c r="U1897" i="5"/>
  <c r="U1898" i="5"/>
  <c r="U1899" i="5"/>
  <c r="U1900" i="5"/>
  <c r="U1901" i="5"/>
  <c r="U1902" i="5"/>
  <c r="U1903" i="5"/>
  <c r="U1904" i="5"/>
  <c r="U1905" i="5"/>
  <c r="U1906" i="5"/>
  <c r="U1907" i="5"/>
  <c r="U1908" i="5"/>
  <c r="U1909" i="5"/>
  <c r="U1910" i="5"/>
  <c r="U1911" i="5"/>
  <c r="U1912" i="5"/>
  <c r="U1913" i="5"/>
  <c r="U1914" i="5"/>
  <c r="U1915" i="5"/>
  <c r="U1916" i="5"/>
  <c r="U1917" i="5"/>
  <c r="U1918" i="5"/>
  <c r="U1919" i="5"/>
  <c r="U1920" i="5"/>
  <c r="U1921" i="5"/>
  <c r="U1922" i="5"/>
  <c r="U1923" i="5"/>
  <c r="U1924" i="5"/>
  <c r="U1925" i="5"/>
  <c r="U1926" i="5"/>
  <c r="U1927" i="5"/>
  <c r="U1928" i="5"/>
  <c r="U1929" i="5"/>
  <c r="U1930" i="5"/>
  <c r="U1931" i="5"/>
  <c r="U1932" i="5"/>
  <c r="U1933" i="5"/>
  <c r="U1934" i="5"/>
  <c r="U1935" i="5"/>
  <c r="U1936" i="5"/>
  <c r="U1937" i="5"/>
  <c r="U1938" i="5"/>
  <c r="U1939" i="5"/>
  <c r="U1940" i="5"/>
  <c r="U1941" i="5"/>
  <c r="U1942" i="5"/>
  <c r="U1943" i="5"/>
  <c r="U1944" i="5"/>
  <c r="U1945" i="5"/>
  <c r="U1946" i="5"/>
  <c r="U1947" i="5"/>
  <c r="U1948" i="5"/>
  <c r="U1949" i="5"/>
  <c r="U1950" i="5"/>
  <c r="U1951" i="5"/>
  <c r="U1952" i="5"/>
  <c r="U1953" i="5"/>
  <c r="U1954" i="5"/>
  <c r="U1955" i="5"/>
  <c r="U1956" i="5"/>
  <c r="U1957" i="5"/>
  <c r="U1958" i="5"/>
  <c r="U1959" i="5"/>
  <c r="U1960" i="5"/>
  <c r="U1961" i="5"/>
  <c r="U1962" i="5"/>
  <c r="U1963" i="5"/>
  <c r="U1964" i="5"/>
  <c r="U1965" i="5"/>
  <c r="U1966" i="5"/>
  <c r="U1967" i="5"/>
  <c r="U1968" i="5"/>
  <c r="U1969" i="5"/>
  <c r="U1970" i="5"/>
  <c r="U1971" i="5"/>
  <c r="U1972" i="5"/>
  <c r="U1973" i="5"/>
  <c r="U1974" i="5"/>
  <c r="U1975" i="5"/>
  <c r="U1976" i="5"/>
  <c r="U1977" i="5"/>
  <c r="U1978" i="5"/>
  <c r="U1979" i="5"/>
  <c r="U1980" i="5"/>
  <c r="U1981" i="5"/>
  <c r="U1982" i="5"/>
  <c r="U1983" i="5"/>
  <c r="U1984" i="5"/>
  <c r="U1985" i="5"/>
  <c r="U1986" i="5"/>
  <c r="U1987" i="5"/>
  <c r="U1988" i="5"/>
  <c r="U1989" i="5"/>
  <c r="U1990" i="5"/>
  <c r="U1991" i="5"/>
  <c r="U1992" i="5"/>
  <c r="U1993" i="5"/>
  <c r="U1994" i="5"/>
  <c r="U1995" i="5"/>
  <c r="U1996" i="5"/>
  <c r="U1997" i="5"/>
  <c r="U1998" i="5"/>
  <c r="U1999" i="5"/>
  <c r="U2000" i="5"/>
  <c r="U2001" i="5"/>
  <c r="U2002" i="5"/>
  <c r="U2003" i="5"/>
  <c r="U2004" i="5"/>
  <c r="U2005" i="5"/>
  <c r="U2006" i="5"/>
  <c r="U2007" i="5"/>
  <c r="U2008" i="5"/>
  <c r="U2009" i="5"/>
  <c r="U2010" i="5"/>
  <c r="U2011" i="5"/>
  <c r="U2012" i="5"/>
  <c r="U2013" i="5"/>
  <c r="U2014" i="5"/>
  <c r="U2015" i="5"/>
  <c r="U2016" i="5"/>
  <c r="U2017" i="5"/>
  <c r="U2018" i="5"/>
  <c r="U2019" i="5"/>
  <c r="U2020" i="5"/>
  <c r="U2021" i="5"/>
  <c r="U2022" i="5"/>
  <c r="U2023" i="5"/>
  <c r="U2024" i="5"/>
  <c r="U2025" i="5"/>
  <c r="U2026" i="5"/>
  <c r="U2027" i="5"/>
  <c r="U2028" i="5"/>
  <c r="U2029" i="5"/>
  <c r="U2030" i="5"/>
  <c r="U2031" i="5"/>
  <c r="U2032" i="5"/>
  <c r="U2033" i="5"/>
  <c r="U2034" i="5"/>
  <c r="U2035" i="5"/>
  <c r="U2036" i="5"/>
  <c r="U2037" i="5"/>
  <c r="U2038" i="5"/>
  <c r="U2039" i="5"/>
  <c r="U2040" i="5"/>
  <c r="U2041" i="5"/>
  <c r="U2042" i="5"/>
  <c r="U2043" i="5"/>
  <c r="U2044" i="5"/>
  <c r="U2045" i="5"/>
  <c r="U2046" i="5"/>
  <c r="U2047" i="5"/>
  <c r="U2048" i="5"/>
  <c r="U2049" i="5"/>
  <c r="U2050" i="5"/>
  <c r="U2051" i="5"/>
  <c r="U2052" i="5"/>
  <c r="U2053" i="5"/>
  <c r="U2054" i="5"/>
  <c r="U2055" i="5"/>
  <c r="U2056" i="5"/>
  <c r="U2057" i="5"/>
  <c r="U2058" i="5"/>
  <c r="U2059" i="5"/>
  <c r="U2060" i="5"/>
  <c r="U2061" i="5"/>
  <c r="U2062" i="5"/>
  <c r="U2063" i="5"/>
  <c r="U2064" i="5"/>
  <c r="U2065" i="5"/>
  <c r="U2066" i="5"/>
  <c r="U2067" i="5"/>
  <c r="U2068" i="5"/>
  <c r="U2069" i="5"/>
  <c r="U2070" i="5"/>
  <c r="U2071" i="5"/>
  <c r="U2072" i="5"/>
  <c r="U2073" i="5"/>
  <c r="U2074" i="5"/>
  <c r="U2075" i="5"/>
  <c r="U2076" i="5"/>
  <c r="U2077" i="5"/>
  <c r="U2078" i="5"/>
  <c r="U2079" i="5"/>
  <c r="U2080" i="5"/>
  <c r="U2081" i="5"/>
  <c r="U2082" i="5"/>
  <c r="U2083" i="5"/>
  <c r="U2084" i="5"/>
  <c r="U2085" i="5"/>
  <c r="U2086" i="5"/>
  <c r="U2087" i="5"/>
  <c r="U2088" i="5"/>
  <c r="U2089" i="5"/>
  <c r="U2090" i="5"/>
  <c r="U2091" i="5"/>
  <c r="U2092" i="5"/>
  <c r="U2093" i="5"/>
  <c r="U2094" i="5"/>
  <c r="U2095" i="5"/>
  <c r="U2096" i="5"/>
  <c r="U2097" i="5"/>
  <c r="U2098" i="5"/>
  <c r="U2099" i="5"/>
  <c r="U2100" i="5"/>
  <c r="U2101" i="5"/>
  <c r="U2102" i="5"/>
  <c r="U2103" i="5"/>
  <c r="U2104" i="5"/>
  <c r="U2105" i="5"/>
  <c r="U2106" i="5"/>
  <c r="U2107" i="5"/>
  <c r="U2108" i="5"/>
  <c r="U2109" i="5"/>
  <c r="U2110" i="5"/>
  <c r="U2111" i="5"/>
  <c r="U2112" i="5"/>
  <c r="U2113" i="5"/>
  <c r="U2114" i="5"/>
  <c r="U2115" i="5"/>
  <c r="U2116" i="5"/>
  <c r="U2117" i="5"/>
  <c r="U2118" i="5"/>
  <c r="U2119" i="5"/>
  <c r="U2120" i="5"/>
  <c r="U2121" i="5"/>
  <c r="U2122" i="5"/>
  <c r="U2123" i="5"/>
  <c r="U2124" i="5"/>
  <c r="U2125" i="5"/>
  <c r="U2126" i="5"/>
  <c r="U2127" i="5"/>
  <c r="U2128" i="5"/>
  <c r="U2129" i="5"/>
  <c r="U2130" i="5"/>
  <c r="U2131" i="5"/>
  <c r="U2132" i="5"/>
  <c r="U2133" i="5"/>
  <c r="U2134" i="5"/>
  <c r="U2135" i="5"/>
  <c r="U2136" i="5"/>
  <c r="U2137" i="5"/>
  <c r="U2138" i="5"/>
  <c r="U2139" i="5"/>
  <c r="U2140" i="5"/>
  <c r="U2141" i="5"/>
  <c r="U2142" i="5"/>
  <c r="U2143" i="5"/>
  <c r="U2144" i="5"/>
  <c r="U2145" i="5"/>
  <c r="U2146" i="5"/>
  <c r="U2147" i="5"/>
  <c r="U2148" i="5"/>
  <c r="U2149" i="5"/>
  <c r="U2150" i="5"/>
  <c r="U2151" i="5"/>
  <c r="U2152" i="5"/>
  <c r="U2153" i="5"/>
  <c r="U2154" i="5"/>
  <c r="U2155" i="5"/>
  <c r="U2156" i="5"/>
  <c r="U2157" i="5"/>
  <c r="U2158" i="5"/>
  <c r="U2159" i="5"/>
  <c r="U2160" i="5"/>
  <c r="U2161" i="5"/>
  <c r="U2162" i="5"/>
  <c r="U2163" i="5"/>
  <c r="U2164" i="5"/>
  <c r="U2165" i="5"/>
  <c r="U2166" i="5"/>
  <c r="U2167" i="5"/>
  <c r="U2168" i="5"/>
  <c r="U2169" i="5"/>
  <c r="U2170" i="5"/>
  <c r="U2171" i="5"/>
  <c r="U2172" i="5"/>
  <c r="U2173" i="5"/>
  <c r="U2174" i="5"/>
  <c r="U2175" i="5"/>
  <c r="U2176" i="5"/>
  <c r="U2177" i="5"/>
  <c r="U2178" i="5"/>
  <c r="U2179" i="5"/>
  <c r="U2180" i="5"/>
  <c r="U2181" i="5"/>
  <c r="U2182" i="5"/>
  <c r="U2183" i="5"/>
  <c r="U2184" i="5"/>
  <c r="U2185" i="5"/>
  <c r="U2186" i="5"/>
  <c r="U2187" i="5"/>
  <c r="U2188" i="5"/>
  <c r="U2189" i="5"/>
  <c r="U2190" i="5"/>
  <c r="U2191" i="5"/>
  <c r="U2192" i="5"/>
  <c r="U2193" i="5"/>
  <c r="U2194" i="5"/>
  <c r="U2195" i="5"/>
  <c r="U2196" i="5"/>
  <c r="U2197" i="5"/>
  <c r="U2198" i="5"/>
  <c r="U2199" i="5"/>
  <c r="U2200" i="5"/>
  <c r="U2201" i="5"/>
  <c r="U2202" i="5"/>
  <c r="U2203" i="5"/>
  <c r="U2204" i="5"/>
  <c r="U2205" i="5"/>
  <c r="U2206" i="5"/>
  <c r="U2207" i="5"/>
  <c r="U2208" i="5"/>
  <c r="U2209" i="5"/>
  <c r="U2210" i="5"/>
  <c r="U2211" i="5"/>
  <c r="U2212" i="5"/>
  <c r="U2213" i="5"/>
  <c r="U2214" i="5"/>
  <c r="U2215" i="5"/>
  <c r="U2216" i="5"/>
  <c r="U2217" i="5"/>
  <c r="U2218" i="5"/>
  <c r="U2219" i="5"/>
  <c r="U2220" i="5"/>
  <c r="U2221" i="5"/>
  <c r="U2222" i="5"/>
  <c r="U2223" i="5"/>
  <c r="U2224" i="5"/>
  <c r="U2225" i="5"/>
  <c r="U2226" i="5"/>
  <c r="U2227" i="5"/>
  <c r="U2228" i="5"/>
  <c r="U2229" i="5"/>
  <c r="U2230" i="5"/>
  <c r="U2231" i="5"/>
  <c r="U2232" i="5"/>
  <c r="U2233" i="5"/>
  <c r="U2234" i="5"/>
  <c r="U2235" i="5"/>
  <c r="U2236" i="5"/>
  <c r="U2237" i="5"/>
  <c r="U2238" i="5"/>
  <c r="U2239" i="5"/>
  <c r="U2240" i="5"/>
  <c r="U2241" i="5"/>
  <c r="U2242" i="5"/>
  <c r="U2243" i="5"/>
  <c r="U2244" i="5"/>
  <c r="U2245" i="5"/>
  <c r="U2246" i="5"/>
  <c r="U2247" i="5"/>
  <c r="U2248" i="5"/>
  <c r="U2249" i="5"/>
  <c r="U2250" i="5"/>
  <c r="U2251" i="5"/>
  <c r="U2252" i="5"/>
  <c r="U2253" i="5"/>
  <c r="U2254" i="5"/>
  <c r="U2255" i="5"/>
  <c r="U2256" i="5"/>
  <c r="U2257" i="5"/>
  <c r="U2258" i="5"/>
  <c r="U2259" i="5"/>
  <c r="U2260" i="5"/>
  <c r="U2261" i="5"/>
  <c r="U2262" i="5"/>
  <c r="U2263" i="5"/>
  <c r="U2264" i="5"/>
  <c r="U2265" i="5"/>
  <c r="U2266" i="5"/>
  <c r="U2267" i="5"/>
  <c r="U2268" i="5"/>
  <c r="U2269" i="5"/>
  <c r="U2270" i="5"/>
  <c r="U2271" i="5"/>
  <c r="U2272" i="5"/>
  <c r="U2273" i="5"/>
  <c r="U2274" i="5"/>
  <c r="U2275" i="5"/>
  <c r="U2276" i="5"/>
  <c r="U2277" i="5"/>
  <c r="U2278" i="5"/>
  <c r="U2279" i="5"/>
  <c r="U2280" i="5"/>
  <c r="U2281" i="5"/>
  <c r="U2282" i="5"/>
  <c r="U2283" i="5"/>
  <c r="U2284" i="5"/>
  <c r="U2285" i="5"/>
  <c r="U2286" i="5"/>
  <c r="U2287" i="5"/>
  <c r="U2288" i="5"/>
  <c r="U2289" i="5"/>
  <c r="U2290" i="5"/>
  <c r="U2291" i="5"/>
  <c r="U2292" i="5"/>
  <c r="U2293" i="5"/>
  <c r="U2294" i="5"/>
  <c r="U2295" i="5"/>
  <c r="U2296" i="5"/>
  <c r="U2297" i="5"/>
  <c r="U2298" i="5"/>
  <c r="U2299" i="5"/>
  <c r="U2300" i="5"/>
  <c r="U2301" i="5"/>
  <c r="U2302" i="5"/>
  <c r="U2303" i="5"/>
  <c r="U2304" i="5"/>
  <c r="U2305" i="5"/>
  <c r="U2306" i="5"/>
  <c r="U2307" i="5"/>
  <c r="U2308" i="5"/>
  <c r="U2309" i="5"/>
  <c r="U2310" i="5"/>
  <c r="U2311" i="5"/>
  <c r="U2312" i="5"/>
  <c r="U2313" i="5"/>
  <c r="U2314" i="5"/>
  <c r="U2315" i="5"/>
  <c r="U2316" i="5"/>
  <c r="U2317" i="5"/>
  <c r="U2318" i="5"/>
  <c r="U2319" i="5"/>
  <c r="U2320" i="5"/>
  <c r="U2321" i="5"/>
  <c r="U2322" i="5"/>
  <c r="U2323" i="5"/>
  <c r="U2324" i="5"/>
  <c r="U2325" i="5"/>
  <c r="U2326" i="5"/>
  <c r="U2327" i="5"/>
  <c r="U2328" i="5"/>
  <c r="U2329" i="5"/>
  <c r="U2330" i="5"/>
  <c r="U2331" i="5"/>
  <c r="U2332" i="5"/>
  <c r="U2333" i="5"/>
  <c r="U2334" i="5"/>
  <c r="U2335" i="5"/>
  <c r="U2336" i="5"/>
  <c r="U2337" i="5"/>
  <c r="U2338" i="5"/>
  <c r="U2339" i="5"/>
  <c r="U2340" i="5"/>
  <c r="U2341" i="5"/>
  <c r="U2342" i="5"/>
  <c r="U2343" i="5"/>
  <c r="U2344" i="5"/>
  <c r="U2345" i="5"/>
  <c r="U2346" i="5"/>
  <c r="U2347" i="5"/>
  <c r="U2348" i="5"/>
  <c r="U2349" i="5"/>
  <c r="U2350" i="5"/>
  <c r="U2351" i="5"/>
  <c r="U2352" i="5"/>
  <c r="U2353" i="5"/>
  <c r="U2354" i="5"/>
  <c r="U2355" i="5"/>
  <c r="U2356" i="5"/>
  <c r="U2357" i="5"/>
  <c r="U2358" i="5"/>
  <c r="U2359" i="5"/>
  <c r="U2360" i="5"/>
  <c r="U2361" i="5"/>
  <c r="U2362" i="5"/>
  <c r="U2363" i="5"/>
  <c r="U2364" i="5"/>
  <c r="U2365" i="5"/>
  <c r="U2366" i="5"/>
  <c r="U2367" i="5"/>
  <c r="U2368" i="5"/>
  <c r="U2369" i="5"/>
  <c r="U2370" i="5"/>
  <c r="U2371" i="5"/>
  <c r="U2372" i="5"/>
  <c r="U2373" i="5"/>
  <c r="U2374" i="5"/>
  <c r="U2375" i="5"/>
  <c r="U2376" i="5"/>
  <c r="U2377" i="5"/>
  <c r="U2378" i="5"/>
  <c r="U2379" i="5"/>
  <c r="U2380" i="5"/>
  <c r="U2381" i="5"/>
  <c r="U2382" i="5"/>
  <c r="U2383" i="5"/>
  <c r="U2384" i="5"/>
  <c r="U2385" i="5"/>
  <c r="U2386" i="5"/>
  <c r="U2387" i="5"/>
  <c r="U2388" i="5"/>
  <c r="U2389" i="5"/>
  <c r="U2390" i="5"/>
  <c r="U2391" i="5"/>
  <c r="U2392" i="5"/>
  <c r="U2393" i="5"/>
  <c r="U2394" i="5"/>
  <c r="U2395" i="5"/>
  <c r="U2396" i="5"/>
  <c r="U2397" i="5"/>
  <c r="U2398" i="5"/>
  <c r="U2399" i="5"/>
  <c r="U2400" i="5"/>
  <c r="U2401" i="5"/>
  <c r="U2402" i="5"/>
  <c r="U2403" i="5"/>
  <c r="U2404" i="5"/>
  <c r="U2405" i="5"/>
  <c r="U2406" i="5"/>
  <c r="U2407" i="5"/>
  <c r="U2408" i="5"/>
  <c r="U2409" i="5"/>
  <c r="U2410" i="5"/>
  <c r="U2411" i="5"/>
  <c r="U2412" i="5"/>
  <c r="U2413" i="5"/>
  <c r="U2414" i="5"/>
  <c r="U2415" i="5"/>
  <c r="U2416" i="5"/>
  <c r="U2417" i="5"/>
  <c r="U2418" i="5"/>
  <c r="U2419" i="5"/>
  <c r="U2420" i="5"/>
  <c r="U2421" i="5"/>
  <c r="U2422" i="5"/>
  <c r="U2423" i="5"/>
  <c r="U2424" i="5"/>
  <c r="U2425" i="5"/>
  <c r="U2426" i="5"/>
  <c r="U2427" i="5"/>
  <c r="U2428" i="5"/>
  <c r="U2429" i="5"/>
  <c r="U2430" i="5"/>
  <c r="U2431" i="5"/>
  <c r="U2432" i="5"/>
  <c r="U2433" i="5"/>
  <c r="U2434" i="5"/>
  <c r="U2435" i="5"/>
  <c r="U2436" i="5"/>
  <c r="U2437" i="5"/>
  <c r="U2438" i="5"/>
  <c r="U2439" i="5"/>
  <c r="U2440" i="5"/>
  <c r="U2441" i="5"/>
  <c r="U2442" i="5"/>
  <c r="U2443" i="5"/>
  <c r="U2444" i="5"/>
  <c r="U2445" i="5"/>
  <c r="U2446" i="5"/>
  <c r="U2447" i="5"/>
  <c r="U2448" i="5"/>
  <c r="U2449" i="5"/>
  <c r="U2450" i="5"/>
  <c r="U2451" i="5"/>
  <c r="U2452" i="5"/>
  <c r="U2453" i="5"/>
  <c r="U2454" i="5"/>
  <c r="U2455" i="5"/>
  <c r="U2456" i="5"/>
  <c r="U2457" i="5"/>
  <c r="U2458" i="5"/>
  <c r="U2459" i="5"/>
  <c r="U2460" i="5"/>
  <c r="U2461" i="5"/>
  <c r="U2462" i="5"/>
  <c r="U2463" i="5"/>
  <c r="U2464" i="5"/>
  <c r="U2465" i="5"/>
  <c r="U2466" i="5"/>
  <c r="U2467" i="5"/>
  <c r="U2468" i="5"/>
  <c r="U2469" i="5"/>
  <c r="U2470" i="5"/>
  <c r="U2471" i="5"/>
  <c r="U2472" i="5"/>
  <c r="U2473" i="5"/>
  <c r="U2474" i="5"/>
  <c r="U2475" i="5"/>
  <c r="U2476" i="5"/>
  <c r="U2477" i="5"/>
  <c r="U2478" i="5"/>
  <c r="U2479" i="5"/>
  <c r="U2480" i="5"/>
  <c r="U2481" i="5"/>
  <c r="U2482" i="5"/>
  <c r="U2483" i="5"/>
  <c r="U2484" i="5"/>
  <c r="U2485" i="5"/>
  <c r="U2486" i="5"/>
  <c r="U2487" i="5"/>
  <c r="U2488" i="5"/>
  <c r="U2489" i="5"/>
  <c r="U2490" i="5"/>
  <c r="U2491" i="5"/>
  <c r="U2492" i="5"/>
  <c r="U2493" i="5"/>
  <c r="U2494" i="5"/>
  <c r="U2495" i="5"/>
  <c r="U2496" i="5"/>
  <c r="U2497" i="5"/>
  <c r="U2498" i="5"/>
  <c r="U2499" i="5"/>
  <c r="U2500" i="5"/>
  <c r="U2501" i="5"/>
  <c r="U2502" i="5"/>
  <c r="U2503" i="5"/>
  <c r="U2504" i="5"/>
  <c r="U2505" i="5"/>
  <c r="U2506" i="5"/>
  <c r="U2507" i="5"/>
  <c r="U2508" i="5"/>
  <c r="U2509" i="5"/>
  <c r="U2510" i="5"/>
  <c r="U2511" i="5"/>
  <c r="U2512" i="5"/>
  <c r="U2513" i="5"/>
  <c r="U2514" i="5"/>
  <c r="U2515" i="5"/>
  <c r="U2516" i="5"/>
  <c r="U2517" i="5"/>
  <c r="U2518" i="5"/>
  <c r="U2519" i="5"/>
  <c r="U2520" i="5"/>
  <c r="U2521" i="5"/>
  <c r="U2522" i="5"/>
  <c r="U2523" i="5"/>
  <c r="U2524" i="5"/>
  <c r="U2525" i="5"/>
  <c r="U2526" i="5"/>
  <c r="U2527" i="5"/>
  <c r="U2528" i="5"/>
  <c r="U2529" i="5"/>
  <c r="U2530" i="5"/>
  <c r="U2531" i="5"/>
  <c r="U2532" i="5"/>
  <c r="U2533" i="5"/>
  <c r="U2534" i="5"/>
  <c r="U2535" i="5"/>
  <c r="U2536" i="5"/>
  <c r="U2537" i="5"/>
  <c r="U2538" i="5"/>
  <c r="U2539" i="5"/>
  <c r="U2540" i="5"/>
  <c r="U2541" i="5"/>
  <c r="U2542" i="5"/>
  <c r="U2543" i="5"/>
  <c r="U2544" i="5"/>
  <c r="U2545" i="5"/>
  <c r="U2546" i="5"/>
  <c r="U2547" i="5"/>
  <c r="U2548" i="5"/>
  <c r="U2549" i="5"/>
  <c r="U2550" i="5"/>
  <c r="U2551" i="5"/>
  <c r="U2552" i="5"/>
  <c r="U2553" i="5"/>
  <c r="U2554" i="5"/>
  <c r="U2555" i="5"/>
  <c r="U2556" i="5"/>
  <c r="U2557" i="5"/>
  <c r="U2558" i="5"/>
  <c r="U2559" i="5"/>
  <c r="U2560" i="5"/>
  <c r="U2561" i="5"/>
  <c r="U2562" i="5"/>
  <c r="U2563" i="5"/>
  <c r="U2564" i="5"/>
  <c r="U2565" i="5"/>
  <c r="U2566" i="5"/>
  <c r="U2567" i="5"/>
  <c r="U2568" i="5"/>
  <c r="U2569" i="5"/>
  <c r="U2570" i="5"/>
  <c r="U2571" i="5"/>
  <c r="U2572" i="5"/>
  <c r="U2573" i="5"/>
  <c r="U2574" i="5"/>
  <c r="U2575" i="5"/>
  <c r="U2576" i="5"/>
  <c r="U2577" i="5"/>
  <c r="U2578" i="5"/>
  <c r="U2579" i="5"/>
  <c r="U2580" i="5"/>
  <c r="U2581" i="5"/>
  <c r="U2582" i="5"/>
  <c r="U2583" i="5"/>
  <c r="U2584" i="5"/>
  <c r="U2585" i="5"/>
  <c r="U2586" i="5"/>
  <c r="U2587" i="5"/>
  <c r="U2588" i="5"/>
  <c r="U2589" i="5"/>
  <c r="U2590" i="5"/>
  <c r="U2591" i="5"/>
  <c r="U2592" i="5"/>
  <c r="U2593" i="5"/>
  <c r="U2594" i="5"/>
  <c r="U2595" i="5"/>
  <c r="U2596" i="5"/>
  <c r="U2597" i="5"/>
  <c r="U2598" i="5"/>
  <c r="U2599" i="5"/>
  <c r="U2600" i="5"/>
  <c r="U2601" i="5"/>
  <c r="U2602" i="5"/>
  <c r="U2603" i="5"/>
  <c r="U2604" i="5"/>
  <c r="U2605" i="5"/>
  <c r="U2606" i="5"/>
  <c r="U2607" i="5"/>
  <c r="U2608" i="5"/>
  <c r="U2609" i="5"/>
  <c r="U2610" i="5"/>
  <c r="U2611" i="5"/>
  <c r="U2612" i="5"/>
  <c r="U2613" i="5"/>
  <c r="U2614" i="5"/>
  <c r="U2615" i="5"/>
  <c r="U2616" i="5"/>
  <c r="D2" i="3"/>
  <c r="D3" i="3"/>
  <c r="D4" i="3"/>
  <c r="D5" i="3"/>
  <c r="D6" i="3"/>
  <c r="D7" i="3"/>
  <c r="D8" i="3"/>
  <c r="D9" i="3"/>
  <c r="D10" i="3"/>
  <c r="D11" i="3"/>
  <c r="D12" i="3"/>
  <c r="D13" i="3"/>
  <c r="T2" i="5"/>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49" i="5"/>
  <c r="T150" i="5"/>
  <c r="T151"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77" i="5"/>
  <c r="T178" i="5"/>
  <c r="T179" i="5"/>
  <c r="T180" i="5"/>
  <c r="T181" i="5"/>
  <c r="T182" i="5"/>
  <c r="T183" i="5"/>
  <c r="T184" i="5"/>
  <c r="T185" i="5"/>
  <c r="T186" i="5"/>
  <c r="T187" i="5"/>
  <c r="T188" i="5"/>
  <c r="T189" i="5"/>
  <c r="T190" i="5"/>
  <c r="T191"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1" i="5"/>
  <c r="T392" i="5"/>
  <c r="T393" i="5"/>
  <c r="T394" i="5"/>
  <c r="T395" i="5"/>
  <c r="T396" i="5"/>
  <c r="T397"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458" i="5"/>
  <c r="T459" i="5"/>
  <c r="T460" i="5"/>
  <c r="T461" i="5"/>
  <c r="T462" i="5"/>
  <c r="T463" i="5"/>
  <c r="T464" i="5"/>
  <c r="T465" i="5"/>
  <c r="T466" i="5"/>
  <c r="T467" i="5"/>
  <c r="T468" i="5"/>
  <c r="T469" i="5"/>
  <c r="T470" i="5"/>
  <c r="T471" i="5"/>
  <c r="T472" i="5"/>
  <c r="T473" i="5"/>
  <c r="T474" i="5"/>
  <c r="T475" i="5"/>
  <c r="T476" i="5"/>
  <c r="T477" i="5"/>
  <c r="T478" i="5"/>
  <c r="T479" i="5"/>
  <c r="T480" i="5"/>
  <c r="T481" i="5"/>
  <c r="T482" i="5"/>
  <c r="T483" i="5"/>
  <c r="T484" i="5"/>
  <c r="T485" i="5"/>
  <c r="T486" i="5"/>
  <c r="T487" i="5"/>
  <c r="T488" i="5"/>
  <c r="T489" i="5"/>
  <c r="T490" i="5"/>
  <c r="T491" i="5"/>
  <c r="T492" i="5"/>
  <c r="T493" i="5"/>
  <c r="T494" i="5"/>
  <c r="T495" i="5"/>
  <c r="T496" i="5"/>
  <c r="T497" i="5"/>
  <c r="T498" i="5"/>
  <c r="T499" i="5"/>
  <c r="T500" i="5"/>
  <c r="T501" i="5"/>
  <c r="T502" i="5"/>
  <c r="T503" i="5"/>
  <c r="T504" i="5"/>
  <c r="T505" i="5"/>
  <c r="T506" i="5"/>
  <c r="T507" i="5"/>
  <c r="T508" i="5"/>
  <c r="T509" i="5"/>
  <c r="T510" i="5"/>
  <c r="T511" i="5"/>
  <c r="T512" i="5"/>
  <c r="T513" i="5"/>
  <c r="T514" i="5"/>
  <c r="T515" i="5"/>
  <c r="T516" i="5"/>
  <c r="T517" i="5"/>
  <c r="T518" i="5"/>
  <c r="T519" i="5"/>
  <c r="T520" i="5"/>
  <c r="T521" i="5"/>
  <c r="T522" i="5"/>
  <c r="T523" i="5"/>
  <c r="T524" i="5"/>
  <c r="T525" i="5"/>
  <c r="T526" i="5"/>
  <c r="T527" i="5"/>
  <c r="T528" i="5"/>
  <c r="T529" i="5"/>
  <c r="T530" i="5"/>
  <c r="T531" i="5"/>
  <c r="T532" i="5"/>
  <c r="T533" i="5"/>
  <c r="T534" i="5"/>
  <c r="T535" i="5"/>
  <c r="T536" i="5"/>
  <c r="T537" i="5"/>
  <c r="T538" i="5"/>
  <c r="T539" i="5"/>
  <c r="T540" i="5"/>
  <c r="T541" i="5"/>
  <c r="T542" i="5"/>
  <c r="T543" i="5"/>
  <c r="T544" i="5"/>
  <c r="T545" i="5"/>
  <c r="T546" i="5"/>
  <c r="T547" i="5"/>
  <c r="T548" i="5"/>
  <c r="T549" i="5"/>
  <c r="T550" i="5"/>
  <c r="T551" i="5"/>
  <c r="T552" i="5"/>
  <c r="T553" i="5"/>
  <c r="T554" i="5"/>
  <c r="T555" i="5"/>
  <c r="T556" i="5"/>
  <c r="T557" i="5"/>
  <c r="T558" i="5"/>
  <c r="T559" i="5"/>
  <c r="T560" i="5"/>
  <c r="T561" i="5"/>
  <c r="T562" i="5"/>
  <c r="T563" i="5"/>
  <c r="T564" i="5"/>
  <c r="T565" i="5"/>
  <c r="T566" i="5"/>
  <c r="T567" i="5"/>
  <c r="T568" i="5"/>
  <c r="T569" i="5"/>
  <c r="T570" i="5"/>
  <c r="T571" i="5"/>
  <c r="T572" i="5"/>
  <c r="T573" i="5"/>
  <c r="T574" i="5"/>
  <c r="T575" i="5"/>
  <c r="T576" i="5"/>
  <c r="T577" i="5"/>
  <c r="T578" i="5"/>
  <c r="T579" i="5"/>
  <c r="T580" i="5"/>
  <c r="T581" i="5"/>
  <c r="T582" i="5"/>
  <c r="T583" i="5"/>
  <c r="T584" i="5"/>
  <c r="T585" i="5"/>
  <c r="T586" i="5"/>
  <c r="T587" i="5"/>
  <c r="T588" i="5"/>
  <c r="T589" i="5"/>
  <c r="T590" i="5"/>
  <c r="T591" i="5"/>
  <c r="T592" i="5"/>
  <c r="T593" i="5"/>
  <c r="T594" i="5"/>
  <c r="T595" i="5"/>
  <c r="T596" i="5"/>
  <c r="T597" i="5"/>
  <c r="T598" i="5"/>
  <c r="T599" i="5"/>
  <c r="T600" i="5"/>
  <c r="T601" i="5"/>
  <c r="T602" i="5"/>
  <c r="T603" i="5"/>
  <c r="T604" i="5"/>
  <c r="T605" i="5"/>
  <c r="T606" i="5"/>
  <c r="T607" i="5"/>
  <c r="T608" i="5"/>
  <c r="T609" i="5"/>
  <c r="T610" i="5"/>
  <c r="T611" i="5"/>
  <c r="T612" i="5"/>
  <c r="T613" i="5"/>
  <c r="T614" i="5"/>
  <c r="T615" i="5"/>
  <c r="T616" i="5"/>
  <c r="T617" i="5"/>
  <c r="T618" i="5"/>
  <c r="T619" i="5"/>
  <c r="T620" i="5"/>
  <c r="T621" i="5"/>
  <c r="T622" i="5"/>
  <c r="T623" i="5"/>
  <c r="T624" i="5"/>
  <c r="T625" i="5"/>
  <c r="T626" i="5"/>
  <c r="T627" i="5"/>
  <c r="T628" i="5"/>
  <c r="T629" i="5"/>
  <c r="T630" i="5"/>
  <c r="T631" i="5"/>
  <c r="T632" i="5"/>
  <c r="T633" i="5"/>
  <c r="T634" i="5"/>
  <c r="T635" i="5"/>
  <c r="T636" i="5"/>
  <c r="T637" i="5"/>
  <c r="T638" i="5"/>
  <c r="T639" i="5"/>
  <c r="T640" i="5"/>
  <c r="T641" i="5"/>
  <c r="T642" i="5"/>
  <c r="T643" i="5"/>
  <c r="T644" i="5"/>
  <c r="T645" i="5"/>
  <c r="T646" i="5"/>
  <c r="T647" i="5"/>
  <c r="T648" i="5"/>
  <c r="T649" i="5"/>
  <c r="T650" i="5"/>
  <c r="T651" i="5"/>
  <c r="T652" i="5"/>
  <c r="T653" i="5"/>
  <c r="T654" i="5"/>
  <c r="T655" i="5"/>
  <c r="T656" i="5"/>
  <c r="T657" i="5"/>
  <c r="T658" i="5"/>
  <c r="T659" i="5"/>
  <c r="T660" i="5"/>
  <c r="T661" i="5"/>
  <c r="T662" i="5"/>
  <c r="T663" i="5"/>
  <c r="T664" i="5"/>
  <c r="T665" i="5"/>
  <c r="T666" i="5"/>
  <c r="T667" i="5"/>
  <c r="T668" i="5"/>
  <c r="T669" i="5"/>
  <c r="T670" i="5"/>
  <c r="T671" i="5"/>
  <c r="T672" i="5"/>
  <c r="T673" i="5"/>
  <c r="T674" i="5"/>
  <c r="T675" i="5"/>
  <c r="T676" i="5"/>
  <c r="T677" i="5"/>
  <c r="T678" i="5"/>
  <c r="T679" i="5"/>
  <c r="T680" i="5"/>
  <c r="T681" i="5"/>
  <c r="T682" i="5"/>
  <c r="T683" i="5"/>
  <c r="T684" i="5"/>
  <c r="T685" i="5"/>
  <c r="T686" i="5"/>
  <c r="T687" i="5"/>
  <c r="T688" i="5"/>
  <c r="T689" i="5"/>
  <c r="T690" i="5"/>
  <c r="T691" i="5"/>
  <c r="T692" i="5"/>
  <c r="T693" i="5"/>
  <c r="T694" i="5"/>
  <c r="T695" i="5"/>
  <c r="T696" i="5"/>
  <c r="T697" i="5"/>
  <c r="T698" i="5"/>
  <c r="T699" i="5"/>
  <c r="T700" i="5"/>
  <c r="T701" i="5"/>
  <c r="T702" i="5"/>
  <c r="T703" i="5"/>
  <c r="T704" i="5"/>
  <c r="T705" i="5"/>
  <c r="T706" i="5"/>
  <c r="T707" i="5"/>
  <c r="T708" i="5"/>
  <c r="T709" i="5"/>
  <c r="T710" i="5"/>
  <c r="T711" i="5"/>
  <c r="T712" i="5"/>
  <c r="T713" i="5"/>
  <c r="T714" i="5"/>
  <c r="T715" i="5"/>
  <c r="T716" i="5"/>
  <c r="T717" i="5"/>
  <c r="T718" i="5"/>
  <c r="T719" i="5"/>
  <c r="T720" i="5"/>
  <c r="T721" i="5"/>
  <c r="T722" i="5"/>
  <c r="T723" i="5"/>
  <c r="T724" i="5"/>
  <c r="T725" i="5"/>
  <c r="T726" i="5"/>
  <c r="T727" i="5"/>
  <c r="T728" i="5"/>
  <c r="T729" i="5"/>
  <c r="T730" i="5"/>
  <c r="T731" i="5"/>
  <c r="T732" i="5"/>
  <c r="T733" i="5"/>
  <c r="T734" i="5"/>
  <c r="T735" i="5"/>
  <c r="T736" i="5"/>
  <c r="T737" i="5"/>
  <c r="T738" i="5"/>
  <c r="T739" i="5"/>
  <c r="T740" i="5"/>
  <c r="T741" i="5"/>
  <c r="T742" i="5"/>
  <c r="T743" i="5"/>
  <c r="T744" i="5"/>
  <c r="T745" i="5"/>
  <c r="T746" i="5"/>
  <c r="T747" i="5"/>
  <c r="T748" i="5"/>
  <c r="T749" i="5"/>
  <c r="T750" i="5"/>
  <c r="T751" i="5"/>
  <c r="T752" i="5"/>
  <c r="T753" i="5"/>
  <c r="T754" i="5"/>
  <c r="T755" i="5"/>
  <c r="T756" i="5"/>
  <c r="T757" i="5"/>
  <c r="T758" i="5"/>
  <c r="T759" i="5"/>
  <c r="T760" i="5"/>
  <c r="T761" i="5"/>
  <c r="T762" i="5"/>
  <c r="T763" i="5"/>
  <c r="T764" i="5"/>
  <c r="T765" i="5"/>
  <c r="T766" i="5"/>
  <c r="T767" i="5"/>
  <c r="T768" i="5"/>
  <c r="T769" i="5"/>
  <c r="T770" i="5"/>
  <c r="T771" i="5"/>
  <c r="T772" i="5"/>
  <c r="T773" i="5"/>
  <c r="T774" i="5"/>
  <c r="T775" i="5"/>
  <c r="T776" i="5"/>
  <c r="T777" i="5"/>
  <c r="T778" i="5"/>
  <c r="T779" i="5"/>
  <c r="T780" i="5"/>
  <c r="T781" i="5"/>
  <c r="T782" i="5"/>
  <c r="T783" i="5"/>
  <c r="T784" i="5"/>
  <c r="T785" i="5"/>
  <c r="T786" i="5"/>
  <c r="T787" i="5"/>
  <c r="T788" i="5"/>
  <c r="T789" i="5"/>
  <c r="T790" i="5"/>
  <c r="T791" i="5"/>
  <c r="T792" i="5"/>
  <c r="T793" i="5"/>
  <c r="T794" i="5"/>
  <c r="T795" i="5"/>
  <c r="T796" i="5"/>
  <c r="T797" i="5"/>
  <c r="T798" i="5"/>
  <c r="T799" i="5"/>
  <c r="T800" i="5"/>
  <c r="T801" i="5"/>
  <c r="T802" i="5"/>
  <c r="T803" i="5"/>
  <c r="T804" i="5"/>
  <c r="T805" i="5"/>
  <c r="T806" i="5"/>
  <c r="T807" i="5"/>
  <c r="T808" i="5"/>
  <c r="T809" i="5"/>
  <c r="T810" i="5"/>
  <c r="T811" i="5"/>
  <c r="T812" i="5"/>
  <c r="T813" i="5"/>
  <c r="T814" i="5"/>
  <c r="T815" i="5"/>
  <c r="T816" i="5"/>
  <c r="T817" i="5"/>
  <c r="T818" i="5"/>
  <c r="T819" i="5"/>
  <c r="T820" i="5"/>
  <c r="T821" i="5"/>
  <c r="T822" i="5"/>
  <c r="T823" i="5"/>
  <c r="T824" i="5"/>
  <c r="T825" i="5"/>
  <c r="T826" i="5"/>
  <c r="T827" i="5"/>
  <c r="T828" i="5"/>
  <c r="T829" i="5"/>
  <c r="T830" i="5"/>
  <c r="T831" i="5"/>
  <c r="T832" i="5"/>
  <c r="T833" i="5"/>
  <c r="T834" i="5"/>
  <c r="T835" i="5"/>
  <c r="T836" i="5"/>
  <c r="T837" i="5"/>
  <c r="T838" i="5"/>
  <c r="T839" i="5"/>
  <c r="T840" i="5"/>
  <c r="T841" i="5"/>
  <c r="T842" i="5"/>
  <c r="T843" i="5"/>
  <c r="T844" i="5"/>
  <c r="T845" i="5"/>
  <c r="T846" i="5"/>
  <c r="T847" i="5"/>
  <c r="T848" i="5"/>
  <c r="T849" i="5"/>
  <c r="T850" i="5"/>
  <c r="T851" i="5"/>
  <c r="T852" i="5"/>
  <c r="T853" i="5"/>
  <c r="T854" i="5"/>
  <c r="T855" i="5"/>
  <c r="T856" i="5"/>
  <c r="T857" i="5"/>
  <c r="T858" i="5"/>
  <c r="T859" i="5"/>
  <c r="T860" i="5"/>
  <c r="T861" i="5"/>
  <c r="T862" i="5"/>
  <c r="T863" i="5"/>
  <c r="T864" i="5"/>
  <c r="T865" i="5"/>
  <c r="T866" i="5"/>
  <c r="T867" i="5"/>
  <c r="T868" i="5"/>
  <c r="T869" i="5"/>
  <c r="T870" i="5"/>
  <c r="T871" i="5"/>
  <c r="T872" i="5"/>
  <c r="T873" i="5"/>
  <c r="T874" i="5"/>
  <c r="T875" i="5"/>
  <c r="T876" i="5"/>
  <c r="T877" i="5"/>
  <c r="T878" i="5"/>
  <c r="T879" i="5"/>
  <c r="T880" i="5"/>
  <c r="T881" i="5"/>
  <c r="T882" i="5"/>
  <c r="T883" i="5"/>
  <c r="T884" i="5"/>
  <c r="T885" i="5"/>
  <c r="T886" i="5"/>
  <c r="T887" i="5"/>
  <c r="T888" i="5"/>
  <c r="T889" i="5"/>
  <c r="T890" i="5"/>
  <c r="T891" i="5"/>
  <c r="T892" i="5"/>
  <c r="T893" i="5"/>
  <c r="T894" i="5"/>
  <c r="T895" i="5"/>
  <c r="T896" i="5"/>
  <c r="T897" i="5"/>
  <c r="T898" i="5"/>
  <c r="T899" i="5"/>
  <c r="T900" i="5"/>
  <c r="T901" i="5"/>
  <c r="T902" i="5"/>
  <c r="T903" i="5"/>
  <c r="T904" i="5"/>
  <c r="T905" i="5"/>
  <c r="T906" i="5"/>
  <c r="T907" i="5"/>
  <c r="T908" i="5"/>
  <c r="T909" i="5"/>
  <c r="T910" i="5"/>
  <c r="T911" i="5"/>
  <c r="T912" i="5"/>
  <c r="T913" i="5"/>
  <c r="T914" i="5"/>
  <c r="T915" i="5"/>
  <c r="T916" i="5"/>
  <c r="T917" i="5"/>
  <c r="T918" i="5"/>
  <c r="T919" i="5"/>
  <c r="T920" i="5"/>
  <c r="T921" i="5"/>
  <c r="T922" i="5"/>
  <c r="T923" i="5"/>
  <c r="T924" i="5"/>
  <c r="T925" i="5"/>
  <c r="T926" i="5"/>
  <c r="T927" i="5"/>
  <c r="T928" i="5"/>
  <c r="T929" i="5"/>
  <c r="T930" i="5"/>
  <c r="T931" i="5"/>
  <c r="T932" i="5"/>
  <c r="T933" i="5"/>
  <c r="T934" i="5"/>
  <c r="T935" i="5"/>
  <c r="T936" i="5"/>
  <c r="T937" i="5"/>
  <c r="T938" i="5"/>
  <c r="T939" i="5"/>
  <c r="T940" i="5"/>
  <c r="T941" i="5"/>
  <c r="T942" i="5"/>
  <c r="T943" i="5"/>
  <c r="T944" i="5"/>
  <c r="T945" i="5"/>
  <c r="T946" i="5"/>
  <c r="T947" i="5"/>
  <c r="T948" i="5"/>
  <c r="T949" i="5"/>
  <c r="T950" i="5"/>
  <c r="T951" i="5"/>
  <c r="T952" i="5"/>
  <c r="T953" i="5"/>
  <c r="T954" i="5"/>
  <c r="T955" i="5"/>
  <c r="T956" i="5"/>
  <c r="T957" i="5"/>
  <c r="T958" i="5"/>
  <c r="T959" i="5"/>
  <c r="T960" i="5"/>
  <c r="T961" i="5"/>
  <c r="T962" i="5"/>
  <c r="T963" i="5"/>
  <c r="T964" i="5"/>
  <c r="T965" i="5"/>
  <c r="T966" i="5"/>
  <c r="T967" i="5"/>
  <c r="T968" i="5"/>
  <c r="T969" i="5"/>
  <c r="T970" i="5"/>
  <c r="T971" i="5"/>
  <c r="T972" i="5"/>
  <c r="T973" i="5"/>
  <c r="T974" i="5"/>
  <c r="T975" i="5"/>
  <c r="T976" i="5"/>
  <c r="T977" i="5"/>
  <c r="T978" i="5"/>
  <c r="T979" i="5"/>
  <c r="T980" i="5"/>
  <c r="T981" i="5"/>
  <c r="T982" i="5"/>
  <c r="T983" i="5"/>
  <c r="T984" i="5"/>
  <c r="T985" i="5"/>
  <c r="T986" i="5"/>
  <c r="T987" i="5"/>
  <c r="T988" i="5"/>
  <c r="T989" i="5"/>
  <c r="T990" i="5"/>
  <c r="T991" i="5"/>
  <c r="T992" i="5"/>
  <c r="T993" i="5"/>
  <c r="T994" i="5"/>
  <c r="T995" i="5"/>
  <c r="T996" i="5"/>
  <c r="T997" i="5"/>
  <c r="T998" i="5"/>
  <c r="T999" i="5"/>
  <c r="T1000" i="5"/>
  <c r="T1001" i="5"/>
  <c r="T1002" i="5"/>
  <c r="T1003" i="5"/>
  <c r="T1004" i="5"/>
  <c r="T1005" i="5"/>
  <c r="T1006" i="5"/>
  <c r="T1007" i="5"/>
  <c r="T1008" i="5"/>
  <c r="T1009" i="5"/>
  <c r="T1010" i="5"/>
  <c r="T1011" i="5"/>
  <c r="T1012" i="5"/>
  <c r="T1013" i="5"/>
  <c r="T1014" i="5"/>
  <c r="T1015" i="5"/>
  <c r="T1016" i="5"/>
  <c r="T1017" i="5"/>
  <c r="T1018" i="5"/>
  <c r="T1019" i="5"/>
  <c r="T1020" i="5"/>
  <c r="T1021" i="5"/>
  <c r="T1022" i="5"/>
  <c r="T1023" i="5"/>
  <c r="T1024" i="5"/>
  <c r="T1025" i="5"/>
  <c r="T1026" i="5"/>
  <c r="T1027" i="5"/>
  <c r="T1028" i="5"/>
  <c r="T1029" i="5"/>
  <c r="T1030" i="5"/>
  <c r="T1031" i="5"/>
  <c r="T1032" i="5"/>
  <c r="T1033" i="5"/>
  <c r="T1034" i="5"/>
  <c r="T1035" i="5"/>
  <c r="T1036" i="5"/>
  <c r="T1037" i="5"/>
  <c r="T1038" i="5"/>
  <c r="T1039" i="5"/>
  <c r="T1040" i="5"/>
  <c r="T1041" i="5"/>
  <c r="T1042" i="5"/>
  <c r="T1043" i="5"/>
  <c r="T1044" i="5"/>
  <c r="T1045" i="5"/>
  <c r="T1046" i="5"/>
  <c r="T1047" i="5"/>
  <c r="T1048" i="5"/>
  <c r="T1049" i="5"/>
  <c r="T1050" i="5"/>
  <c r="T1051" i="5"/>
  <c r="T1052" i="5"/>
  <c r="T1053" i="5"/>
  <c r="T1054" i="5"/>
  <c r="T1055" i="5"/>
  <c r="T1056" i="5"/>
  <c r="T1057" i="5"/>
  <c r="T1058" i="5"/>
  <c r="T1059" i="5"/>
  <c r="T1060" i="5"/>
  <c r="T1061" i="5"/>
  <c r="T1062" i="5"/>
  <c r="T1063" i="5"/>
  <c r="T1064" i="5"/>
  <c r="T1065" i="5"/>
  <c r="T1066" i="5"/>
  <c r="T1067" i="5"/>
  <c r="T1068" i="5"/>
  <c r="T1069" i="5"/>
  <c r="T1070" i="5"/>
  <c r="T1071" i="5"/>
  <c r="T1072" i="5"/>
  <c r="T1073" i="5"/>
  <c r="T1074" i="5"/>
  <c r="T1075" i="5"/>
  <c r="T1076" i="5"/>
  <c r="T1077" i="5"/>
  <c r="T1078" i="5"/>
  <c r="T1079" i="5"/>
  <c r="T1080" i="5"/>
  <c r="T1081" i="5"/>
  <c r="T1082" i="5"/>
  <c r="T1083" i="5"/>
  <c r="T1084" i="5"/>
  <c r="T1085" i="5"/>
  <c r="T1086" i="5"/>
  <c r="T1087" i="5"/>
  <c r="T1088" i="5"/>
  <c r="T1089" i="5"/>
  <c r="T1090" i="5"/>
  <c r="T1091" i="5"/>
  <c r="T1092" i="5"/>
  <c r="T1093" i="5"/>
  <c r="T1094" i="5"/>
  <c r="T1095" i="5"/>
  <c r="T1096" i="5"/>
  <c r="T1097" i="5"/>
  <c r="T1098" i="5"/>
  <c r="T1099" i="5"/>
  <c r="T1100" i="5"/>
  <c r="T1101" i="5"/>
  <c r="T1102" i="5"/>
  <c r="T1103" i="5"/>
  <c r="T1104" i="5"/>
  <c r="T1105" i="5"/>
  <c r="T1106" i="5"/>
  <c r="T1107" i="5"/>
  <c r="T1108" i="5"/>
  <c r="T1109" i="5"/>
  <c r="T1110" i="5"/>
  <c r="T1111" i="5"/>
  <c r="T1112" i="5"/>
  <c r="T1113" i="5"/>
  <c r="T1114" i="5"/>
  <c r="T1115" i="5"/>
  <c r="T1116" i="5"/>
  <c r="T1117" i="5"/>
  <c r="T1118" i="5"/>
  <c r="T1119" i="5"/>
  <c r="T1120" i="5"/>
  <c r="T1121" i="5"/>
  <c r="T1122" i="5"/>
  <c r="T1123" i="5"/>
  <c r="T1124" i="5"/>
  <c r="T1125" i="5"/>
  <c r="T1126" i="5"/>
  <c r="T1127" i="5"/>
  <c r="T1128" i="5"/>
  <c r="T1129" i="5"/>
  <c r="T1130" i="5"/>
  <c r="T1131" i="5"/>
  <c r="T1132" i="5"/>
  <c r="T1133" i="5"/>
  <c r="T1134" i="5"/>
  <c r="T1135" i="5"/>
  <c r="T1136" i="5"/>
  <c r="T1137" i="5"/>
  <c r="T1138" i="5"/>
  <c r="T1139" i="5"/>
  <c r="T1140" i="5"/>
  <c r="T1141" i="5"/>
  <c r="T1142" i="5"/>
  <c r="T1143" i="5"/>
  <c r="T1144" i="5"/>
  <c r="T1145" i="5"/>
  <c r="T1146" i="5"/>
  <c r="T1147" i="5"/>
  <c r="T1148" i="5"/>
  <c r="T1149" i="5"/>
  <c r="T1150" i="5"/>
  <c r="T1151" i="5"/>
  <c r="T1152" i="5"/>
  <c r="T1153" i="5"/>
  <c r="T1154" i="5"/>
  <c r="T1155" i="5"/>
  <c r="T1156" i="5"/>
  <c r="T1157" i="5"/>
  <c r="T1158" i="5"/>
  <c r="T1159" i="5"/>
  <c r="T1160" i="5"/>
  <c r="T1161" i="5"/>
  <c r="T1162" i="5"/>
  <c r="T1163" i="5"/>
  <c r="T1164" i="5"/>
  <c r="T1165" i="5"/>
  <c r="T1166" i="5"/>
  <c r="T1167" i="5"/>
  <c r="T1168" i="5"/>
  <c r="T1169" i="5"/>
  <c r="T1170" i="5"/>
  <c r="T1171" i="5"/>
  <c r="T1172" i="5"/>
  <c r="T1173" i="5"/>
  <c r="T1174" i="5"/>
  <c r="T1175" i="5"/>
  <c r="T1176" i="5"/>
  <c r="T1177" i="5"/>
  <c r="T1178" i="5"/>
  <c r="T1179" i="5"/>
  <c r="T1180" i="5"/>
  <c r="T1181" i="5"/>
  <c r="T1182" i="5"/>
  <c r="T1183" i="5"/>
  <c r="T1184" i="5"/>
  <c r="T1185" i="5"/>
  <c r="T1186" i="5"/>
  <c r="T1187" i="5"/>
  <c r="T1188" i="5"/>
  <c r="T1189" i="5"/>
  <c r="T1190" i="5"/>
  <c r="T1191" i="5"/>
  <c r="T1192" i="5"/>
  <c r="T1193" i="5"/>
  <c r="T1194" i="5"/>
  <c r="T1195" i="5"/>
  <c r="T1196" i="5"/>
  <c r="T1197" i="5"/>
  <c r="T1198" i="5"/>
  <c r="T1199" i="5"/>
  <c r="T1200" i="5"/>
  <c r="T1201" i="5"/>
  <c r="T1202" i="5"/>
  <c r="T1203" i="5"/>
  <c r="T1204" i="5"/>
  <c r="T1205" i="5"/>
  <c r="T1206" i="5"/>
  <c r="T1207" i="5"/>
  <c r="T1208" i="5"/>
  <c r="T1209" i="5"/>
  <c r="T1210" i="5"/>
  <c r="T1211" i="5"/>
  <c r="T1212" i="5"/>
  <c r="T1213" i="5"/>
  <c r="T1214" i="5"/>
  <c r="T1215" i="5"/>
  <c r="T1216" i="5"/>
  <c r="T1217" i="5"/>
  <c r="T1218" i="5"/>
  <c r="T1219" i="5"/>
  <c r="T1220" i="5"/>
  <c r="T1221" i="5"/>
  <c r="T1222" i="5"/>
  <c r="T1223" i="5"/>
  <c r="T1224" i="5"/>
  <c r="T1225" i="5"/>
  <c r="T1226" i="5"/>
  <c r="T1227" i="5"/>
  <c r="T1228" i="5"/>
  <c r="T1229" i="5"/>
  <c r="T1230" i="5"/>
  <c r="T1231" i="5"/>
  <c r="T1232" i="5"/>
  <c r="T1233" i="5"/>
  <c r="T1234" i="5"/>
  <c r="T1235" i="5"/>
  <c r="T1236" i="5"/>
  <c r="T1237" i="5"/>
  <c r="T1238" i="5"/>
  <c r="T1239" i="5"/>
  <c r="T1240" i="5"/>
  <c r="T1241" i="5"/>
  <c r="T1242" i="5"/>
  <c r="T1243" i="5"/>
  <c r="T1244" i="5"/>
  <c r="T1245" i="5"/>
  <c r="T1246" i="5"/>
  <c r="T1247" i="5"/>
  <c r="T1248" i="5"/>
  <c r="T1249" i="5"/>
  <c r="T1250" i="5"/>
  <c r="T1251" i="5"/>
  <c r="T1252" i="5"/>
  <c r="T1253" i="5"/>
  <c r="T1254" i="5"/>
  <c r="T1255" i="5"/>
  <c r="T1256" i="5"/>
  <c r="T1257" i="5"/>
  <c r="T1258" i="5"/>
  <c r="T1259" i="5"/>
  <c r="T1260" i="5"/>
  <c r="T1261" i="5"/>
  <c r="T1262" i="5"/>
  <c r="T1263" i="5"/>
  <c r="T1264" i="5"/>
  <c r="T1265" i="5"/>
  <c r="T1266" i="5"/>
  <c r="T1267" i="5"/>
  <c r="T1268" i="5"/>
  <c r="T1269" i="5"/>
  <c r="T1270" i="5"/>
  <c r="T1271" i="5"/>
  <c r="T1272" i="5"/>
  <c r="T1273" i="5"/>
  <c r="T1274" i="5"/>
  <c r="T1275" i="5"/>
  <c r="T1276" i="5"/>
  <c r="T1277" i="5"/>
  <c r="T1278" i="5"/>
  <c r="T1279" i="5"/>
  <c r="T1280" i="5"/>
  <c r="T1281" i="5"/>
  <c r="T1282" i="5"/>
  <c r="T1283" i="5"/>
  <c r="T1284" i="5"/>
  <c r="T1285" i="5"/>
  <c r="T1286" i="5"/>
  <c r="T1287" i="5"/>
  <c r="T1288" i="5"/>
  <c r="T1289" i="5"/>
  <c r="T1290" i="5"/>
  <c r="T1291" i="5"/>
  <c r="T1292" i="5"/>
  <c r="T1293" i="5"/>
  <c r="T1294" i="5"/>
  <c r="T1295" i="5"/>
  <c r="T1296" i="5"/>
  <c r="T1297" i="5"/>
  <c r="T1298" i="5"/>
  <c r="T1299" i="5"/>
  <c r="T1300" i="5"/>
  <c r="T1301" i="5"/>
  <c r="T1302" i="5"/>
  <c r="T1303" i="5"/>
  <c r="T1304" i="5"/>
  <c r="T1305" i="5"/>
  <c r="T1306" i="5"/>
  <c r="T1307" i="5"/>
  <c r="T1308" i="5"/>
  <c r="T1309" i="5"/>
  <c r="T1310" i="5"/>
  <c r="T1311" i="5"/>
  <c r="T1312" i="5"/>
  <c r="T1313" i="5"/>
  <c r="T1314" i="5"/>
  <c r="T1315" i="5"/>
  <c r="T1316" i="5"/>
  <c r="T1317" i="5"/>
  <c r="T1318" i="5"/>
  <c r="T1319" i="5"/>
  <c r="T1320" i="5"/>
  <c r="T1321" i="5"/>
  <c r="T1322" i="5"/>
  <c r="T1323" i="5"/>
  <c r="T1324" i="5"/>
  <c r="T1325" i="5"/>
  <c r="T1326" i="5"/>
  <c r="T1327" i="5"/>
  <c r="T1328" i="5"/>
  <c r="T1329" i="5"/>
  <c r="T1330" i="5"/>
  <c r="T1331" i="5"/>
  <c r="T1332" i="5"/>
  <c r="T1333" i="5"/>
  <c r="T1334" i="5"/>
  <c r="T1335" i="5"/>
  <c r="T1336" i="5"/>
  <c r="T1337" i="5"/>
  <c r="T1338" i="5"/>
  <c r="T1339" i="5"/>
  <c r="T1340" i="5"/>
  <c r="T1341" i="5"/>
  <c r="T1342" i="5"/>
  <c r="T1343" i="5"/>
  <c r="T1344" i="5"/>
  <c r="T1345" i="5"/>
  <c r="T1346" i="5"/>
  <c r="T1347" i="5"/>
  <c r="T1348" i="5"/>
  <c r="T1349" i="5"/>
  <c r="T1350" i="5"/>
  <c r="T1351" i="5"/>
  <c r="T1352" i="5"/>
  <c r="T1353" i="5"/>
  <c r="T1354" i="5"/>
  <c r="T1355" i="5"/>
  <c r="T1356" i="5"/>
  <c r="T1357" i="5"/>
  <c r="T1358" i="5"/>
  <c r="T1359" i="5"/>
  <c r="T1360" i="5"/>
  <c r="T1361" i="5"/>
  <c r="T1362" i="5"/>
  <c r="T1363" i="5"/>
  <c r="T1364" i="5"/>
  <c r="T1365" i="5"/>
  <c r="T1366" i="5"/>
  <c r="T1367" i="5"/>
  <c r="T1368" i="5"/>
  <c r="T1369" i="5"/>
  <c r="T1370" i="5"/>
  <c r="T1371" i="5"/>
  <c r="T1372" i="5"/>
  <c r="T1373" i="5"/>
  <c r="T1374" i="5"/>
  <c r="T1375" i="5"/>
  <c r="T1376" i="5"/>
  <c r="T1377" i="5"/>
  <c r="T1378" i="5"/>
  <c r="T1379" i="5"/>
  <c r="T1380" i="5"/>
  <c r="T1381" i="5"/>
  <c r="T1382" i="5"/>
  <c r="T1383" i="5"/>
  <c r="T1384" i="5"/>
  <c r="T1385" i="5"/>
  <c r="T1386" i="5"/>
  <c r="T1387" i="5"/>
  <c r="T1388" i="5"/>
  <c r="T1389" i="5"/>
  <c r="T1390" i="5"/>
  <c r="T1391" i="5"/>
  <c r="T1392" i="5"/>
  <c r="T1393" i="5"/>
  <c r="T1394" i="5"/>
  <c r="T1395" i="5"/>
  <c r="T1396" i="5"/>
  <c r="T1397" i="5"/>
  <c r="T1398" i="5"/>
  <c r="T1399" i="5"/>
  <c r="T1400" i="5"/>
  <c r="T1401" i="5"/>
  <c r="T1402" i="5"/>
  <c r="T1403" i="5"/>
  <c r="T1404" i="5"/>
  <c r="T1405" i="5"/>
  <c r="T1406" i="5"/>
  <c r="T1407" i="5"/>
  <c r="T1408" i="5"/>
  <c r="T1409" i="5"/>
  <c r="T1410" i="5"/>
  <c r="T1411" i="5"/>
  <c r="T1412" i="5"/>
  <c r="T1413" i="5"/>
  <c r="T1414" i="5"/>
  <c r="T1415" i="5"/>
  <c r="T1416" i="5"/>
  <c r="T1417" i="5"/>
  <c r="T1418" i="5"/>
  <c r="T1419" i="5"/>
  <c r="T1420" i="5"/>
  <c r="T1421" i="5"/>
  <c r="T1422" i="5"/>
  <c r="T1423" i="5"/>
  <c r="T1424" i="5"/>
  <c r="T1425" i="5"/>
  <c r="T1426" i="5"/>
  <c r="T1427" i="5"/>
  <c r="T1428" i="5"/>
  <c r="T1429" i="5"/>
  <c r="T1430" i="5"/>
  <c r="T1431" i="5"/>
  <c r="T1432" i="5"/>
  <c r="T1433" i="5"/>
  <c r="T1434" i="5"/>
  <c r="T1435" i="5"/>
  <c r="T1436" i="5"/>
  <c r="T1437" i="5"/>
  <c r="T1438" i="5"/>
  <c r="T1439" i="5"/>
  <c r="T1440" i="5"/>
  <c r="T1441" i="5"/>
  <c r="T1442" i="5"/>
  <c r="T1443" i="5"/>
  <c r="T1444" i="5"/>
  <c r="T1445" i="5"/>
  <c r="T1446" i="5"/>
  <c r="T1447" i="5"/>
  <c r="T1448" i="5"/>
  <c r="T1449" i="5"/>
  <c r="T1450" i="5"/>
  <c r="T1451" i="5"/>
  <c r="T1452" i="5"/>
  <c r="T1453" i="5"/>
  <c r="T1454" i="5"/>
  <c r="T1455" i="5"/>
  <c r="T1456" i="5"/>
  <c r="T1457" i="5"/>
  <c r="T1458" i="5"/>
  <c r="T1459" i="5"/>
  <c r="T1460" i="5"/>
  <c r="T1461" i="5"/>
  <c r="T1462" i="5"/>
  <c r="T1463" i="5"/>
  <c r="T1464" i="5"/>
  <c r="T1465" i="5"/>
  <c r="T1466" i="5"/>
  <c r="T1467" i="5"/>
  <c r="T1468" i="5"/>
  <c r="T1469" i="5"/>
  <c r="T1470" i="5"/>
  <c r="T1471" i="5"/>
  <c r="T1472" i="5"/>
  <c r="T1473" i="5"/>
  <c r="T1474" i="5"/>
  <c r="T1475" i="5"/>
  <c r="T1476" i="5"/>
  <c r="T1477" i="5"/>
  <c r="T1478" i="5"/>
  <c r="T1479" i="5"/>
  <c r="T1480" i="5"/>
  <c r="T1481" i="5"/>
  <c r="T1482" i="5"/>
  <c r="T1483" i="5"/>
  <c r="T1484" i="5"/>
  <c r="T1485" i="5"/>
  <c r="T1486" i="5"/>
  <c r="T1487" i="5"/>
  <c r="T1488" i="5"/>
  <c r="T1489" i="5"/>
  <c r="T1490" i="5"/>
  <c r="T1491" i="5"/>
  <c r="T1492" i="5"/>
  <c r="T1493" i="5"/>
  <c r="T1494" i="5"/>
  <c r="T1495" i="5"/>
  <c r="T1496" i="5"/>
  <c r="T1497" i="5"/>
  <c r="T1498" i="5"/>
  <c r="T1499" i="5"/>
  <c r="T1500" i="5"/>
  <c r="T1501" i="5"/>
  <c r="T1502" i="5"/>
  <c r="T1503" i="5"/>
  <c r="T1504" i="5"/>
  <c r="T1505" i="5"/>
  <c r="T1506" i="5"/>
  <c r="T1507" i="5"/>
  <c r="T1508" i="5"/>
  <c r="T1509" i="5"/>
  <c r="T1510" i="5"/>
  <c r="T1511" i="5"/>
  <c r="T1512" i="5"/>
  <c r="T1513" i="5"/>
  <c r="T1514" i="5"/>
  <c r="T1515" i="5"/>
  <c r="T1516" i="5"/>
  <c r="T1517" i="5"/>
  <c r="T1518" i="5"/>
  <c r="T1519" i="5"/>
  <c r="T1520" i="5"/>
  <c r="T1521" i="5"/>
  <c r="T1522" i="5"/>
  <c r="T1523" i="5"/>
  <c r="T1524" i="5"/>
  <c r="T1525" i="5"/>
  <c r="T1526" i="5"/>
  <c r="T1527" i="5"/>
  <c r="T1528" i="5"/>
  <c r="T1529" i="5"/>
  <c r="T1530" i="5"/>
  <c r="T1531" i="5"/>
  <c r="T1532" i="5"/>
  <c r="T1533" i="5"/>
  <c r="T1534" i="5"/>
  <c r="T1535" i="5"/>
  <c r="T1536" i="5"/>
  <c r="T1537" i="5"/>
  <c r="T1538" i="5"/>
  <c r="T1539" i="5"/>
  <c r="T1540" i="5"/>
  <c r="T1541" i="5"/>
  <c r="T1542" i="5"/>
  <c r="T1543" i="5"/>
  <c r="T1544" i="5"/>
  <c r="T1545" i="5"/>
  <c r="T1546" i="5"/>
  <c r="T1547" i="5"/>
  <c r="T1548" i="5"/>
  <c r="T1549" i="5"/>
  <c r="T1550" i="5"/>
  <c r="T1551" i="5"/>
  <c r="T1552" i="5"/>
  <c r="T1553" i="5"/>
  <c r="T1554" i="5"/>
  <c r="T1555" i="5"/>
  <c r="T1556" i="5"/>
  <c r="T1557" i="5"/>
  <c r="T1558" i="5"/>
  <c r="T1559" i="5"/>
  <c r="T1560" i="5"/>
  <c r="T1561" i="5"/>
  <c r="T1562" i="5"/>
  <c r="T1563" i="5"/>
  <c r="T1564" i="5"/>
  <c r="T1565" i="5"/>
  <c r="T1566" i="5"/>
  <c r="T1567" i="5"/>
  <c r="T1568" i="5"/>
  <c r="T1569" i="5"/>
  <c r="T1570" i="5"/>
  <c r="T1571" i="5"/>
  <c r="T1572" i="5"/>
  <c r="T1573" i="5"/>
  <c r="T1574" i="5"/>
  <c r="T1575" i="5"/>
  <c r="T1576" i="5"/>
  <c r="T1577" i="5"/>
  <c r="T1578" i="5"/>
  <c r="T1579" i="5"/>
  <c r="T1580" i="5"/>
  <c r="T1581" i="5"/>
  <c r="T1582" i="5"/>
  <c r="T1583" i="5"/>
  <c r="T1584" i="5"/>
  <c r="T1585" i="5"/>
  <c r="T1586" i="5"/>
  <c r="T1587" i="5"/>
  <c r="T1588" i="5"/>
  <c r="T1589" i="5"/>
  <c r="T1590" i="5"/>
  <c r="T1591" i="5"/>
  <c r="T1592" i="5"/>
  <c r="T1593" i="5"/>
  <c r="T1594" i="5"/>
  <c r="T1595" i="5"/>
  <c r="T1596" i="5"/>
  <c r="T1597" i="5"/>
  <c r="T1598" i="5"/>
  <c r="T1599" i="5"/>
  <c r="T1600" i="5"/>
  <c r="T1601" i="5"/>
  <c r="T1602" i="5"/>
  <c r="T1603" i="5"/>
  <c r="T1604" i="5"/>
  <c r="T1605" i="5"/>
  <c r="T1606" i="5"/>
  <c r="T1607" i="5"/>
  <c r="T1608" i="5"/>
  <c r="T1609" i="5"/>
  <c r="T1610" i="5"/>
  <c r="T1611" i="5"/>
  <c r="T1612" i="5"/>
  <c r="T1613" i="5"/>
  <c r="T1614" i="5"/>
  <c r="T1615" i="5"/>
  <c r="T1616" i="5"/>
  <c r="T1617" i="5"/>
  <c r="T1618" i="5"/>
  <c r="T1619" i="5"/>
  <c r="T1620" i="5"/>
  <c r="T1621" i="5"/>
  <c r="T1622" i="5"/>
  <c r="T1623" i="5"/>
  <c r="T1624" i="5"/>
  <c r="T1625" i="5"/>
  <c r="T1626" i="5"/>
  <c r="T1627" i="5"/>
  <c r="T1628" i="5"/>
  <c r="T1629" i="5"/>
  <c r="T1630" i="5"/>
  <c r="T1631" i="5"/>
  <c r="T1632" i="5"/>
  <c r="T1633" i="5"/>
  <c r="T1634" i="5"/>
  <c r="T1635" i="5"/>
  <c r="T1636" i="5"/>
  <c r="T1637" i="5"/>
  <c r="T1638" i="5"/>
  <c r="T1639" i="5"/>
  <c r="T1640" i="5"/>
  <c r="T1641" i="5"/>
  <c r="T1642" i="5"/>
  <c r="T1643" i="5"/>
  <c r="T1644" i="5"/>
  <c r="T1645" i="5"/>
  <c r="T1646" i="5"/>
  <c r="T1647" i="5"/>
  <c r="T1648" i="5"/>
  <c r="T1649" i="5"/>
  <c r="T1650" i="5"/>
  <c r="T1651" i="5"/>
  <c r="T1652" i="5"/>
  <c r="T1653" i="5"/>
  <c r="T1654" i="5"/>
  <c r="T1655" i="5"/>
  <c r="T1656" i="5"/>
  <c r="T1657" i="5"/>
  <c r="T1658" i="5"/>
  <c r="T1659" i="5"/>
  <c r="T1660" i="5"/>
  <c r="T1661" i="5"/>
  <c r="T1662" i="5"/>
  <c r="T1663" i="5"/>
  <c r="T1664" i="5"/>
  <c r="T1665" i="5"/>
  <c r="T1666" i="5"/>
  <c r="T1667" i="5"/>
  <c r="T1668" i="5"/>
  <c r="T1669" i="5"/>
  <c r="T1670" i="5"/>
  <c r="T1671" i="5"/>
  <c r="T1672" i="5"/>
  <c r="T1673" i="5"/>
  <c r="T1674" i="5"/>
  <c r="T1675" i="5"/>
  <c r="T1676" i="5"/>
  <c r="T1677" i="5"/>
  <c r="T1678" i="5"/>
  <c r="T1679" i="5"/>
  <c r="T1680" i="5"/>
  <c r="T1681" i="5"/>
  <c r="T1682" i="5"/>
  <c r="T1683" i="5"/>
  <c r="T1684" i="5"/>
  <c r="T1685" i="5"/>
  <c r="T1686" i="5"/>
  <c r="T1687" i="5"/>
  <c r="T1688" i="5"/>
  <c r="T1689" i="5"/>
  <c r="T1690" i="5"/>
  <c r="T1691" i="5"/>
  <c r="T1692" i="5"/>
  <c r="T1693" i="5"/>
  <c r="T1694" i="5"/>
  <c r="T1695" i="5"/>
  <c r="T1696" i="5"/>
  <c r="T1697" i="5"/>
  <c r="T1698" i="5"/>
  <c r="T1699" i="5"/>
  <c r="T1700" i="5"/>
  <c r="T1701" i="5"/>
  <c r="T1702" i="5"/>
  <c r="T1703" i="5"/>
  <c r="T1704" i="5"/>
  <c r="T1705" i="5"/>
  <c r="T1706" i="5"/>
  <c r="T1707" i="5"/>
  <c r="T1708" i="5"/>
  <c r="T1709" i="5"/>
  <c r="T1710" i="5"/>
  <c r="T1711" i="5"/>
  <c r="T1712" i="5"/>
  <c r="T1713" i="5"/>
  <c r="T1714" i="5"/>
  <c r="T1715" i="5"/>
  <c r="T1716" i="5"/>
  <c r="T1717" i="5"/>
  <c r="T1718" i="5"/>
  <c r="T1719" i="5"/>
  <c r="T1720" i="5"/>
  <c r="T1721" i="5"/>
  <c r="T1722" i="5"/>
  <c r="T1723" i="5"/>
  <c r="T1724" i="5"/>
  <c r="T1725" i="5"/>
  <c r="T1726" i="5"/>
  <c r="T1727" i="5"/>
  <c r="T1728" i="5"/>
  <c r="T1729" i="5"/>
  <c r="T1730" i="5"/>
  <c r="T1731" i="5"/>
  <c r="T1732" i="5"/>
  <c r="T1733" i="5"/>
  <c r="T1734" i="5"/>
  <c r="T1735" i="5"/>
  <c r="T1736" i="5"/>
  <c r="T1737" i="5"/>
  <c r="T1738" i="5"/>
  <c r="T1739" i="5"/>
  <c r="T1740" i="5"/>
  <c r="T1741" i="5"/>
  <c r="T1742" i="5"/>
  <c r="T1743" i="5"/>
  <c r="T1744" i="5"/>
  <c r="T1745" i="5"/>
  <c r="T1746" i="5"/>
  <c r="T1747" i="5"/>
  <c r="T1748" i="5"/>
  <c r="T1749" i="5"/>
  <c r="T1750" i="5"/>
  <c r="T1751" i="5"/>
  <c r="T1752" i="5"/>
  <c r="T1753" i="5"/>
  <c r="T1754" i="5"/>
  <c r="T1755" i="5"/>
  <c r="T1756" i="5"/>
  <c r="T1757" i="5"/>
  <c r="T1758" i="5"/>
  <c r="T1759" i="5"/>
  <c r="T1760" i="5"/>
  <c r="T1761" i="5"/>
  <c r="T1762" i="5"/>
  <c r="T1763" i="5"/>
  <c r="T1764" i="5"/>
  <c r="T1765" i="5"/>
  <c r="T1766" i="5"/>
  <c r="T1767" i="5"/>
  <c r="T1768" i="5"/>
  <c r="T1769" i="5"/>
  <c r="T1770" i="5"/>
  <c r="T1771" i="5"/>
  <c r="T1772" i="5"/>
  <c r="T1773" i="5"/>
  <c r="T1774" i="5"/>
  <c r="T1775" i="5"/>
  <c r="T1776" i="5"/>
  <c r="T1777" i="5"/>
  <c r="T1778" i="5"/>
  <c r="T1779" i="5"/>
  <c r="T1780" i="5"/>
  <c r="T1781" i="5"/>
  <c r="T1782" i="5"/>
  <c r="T1783" i="5"/>
  <c r="T1784" i="5"/>
  <c r="T1785" i="5"/>
  <c r="T1786" i="5"/>
  <c r="T1787" i="5"/>
  <c r="T1788" i="5"/>
  <c r="T1789" i="5"/>
  <c r="T1790" i="5"/>
  <c r="T1791" i="5"/>
  <c r="T1792" i="5"/>
  <c r="T1793" i="5"/>
  <c r="T1794" i="5"/>
  <c r="T1795" i="5"/>
  <c r="T1796" i="5"/>
  <c r="T1797" i="5"/>
  <c r="T1798" i="5"/>
  <c r="T1799" i="5"/>
  <c r="T1800" i="5"/>
  <c r="T1801" i="5"/>
  <c r="T1802" i="5"/>
  <c r="T1803" i="5"/>
  <c r="T1804" i="5"/>
  <c r="T1805" i="5"/>
  <c r="T1806" i="5"/>
  <c r="T1807" i="5"/>
  <c r="T1808" i="5"/>
  <c r="T1809" i="5"/>
  <c r="T1810" i="5"/>
  <c r="T1811" i="5"/>
  <c r="T1812" i="5"/>
  <c r="T1813" i="5"/>
  <c r="T1814" i="5"/>
  <c r="T1815" i="5"/>
  <c r="T1816" i="5"/>
  <c r="T1817" i="5"/>
  <c r="T1818" i="5"/>
  <c r="T1819" i="5"/>
  <c r="T1820" i="5"/>
  <c r="T1821" i="5"/>
  <c r="T1822" i="5"/>
  <c r="T1823" i="5"/>
  <c r="T1824" i="5"/>
  <c r="T1825" i="5"/>
  <c r="T1826" i="5"/>
  <c r="T1827" i="5"/>
  <c r="T1828" i="5"/>
  <c r="T1829" i="5"/>
  <c r="T1830" i="5"/>
  <c r="T1831" i="5"/>
  <c r="T1832" i="5"/>
  <c r="T1833" i="5"/>
  <c r="T1834" i="5"/>
  <c r="T1835" i="5"/>
  <c r="T1836" i="5"/>
  <c r="T1837" i="5"/>
  <c r="T1838" i="5"/>
  <c r="T1839" i="5"/>
  <c r="T1840" i="5"/>
  <c r="T1841" i="5"/>
  <c r="T1842" i="5"/>
  <c r="T1843" i="5"/>
  <c r="T1844" i="5"/>
  <c r="T1845" i="5"/>
  <c r="T1846" i="5"/>
  <c r="T1847" i="5"/>
  <c r="T1848" i="5"/>
  <c r="T1849" i="5"/>
  <c r="T1850" i="5"/>
  <c r="T1851" i="5"/>
  <c r="T1852" i="5"/>
  <c r="T1853" i="5"/>
  <c r="T1854" i="5"/>
  <c r="T1855" i="5"/>
  <c r="T1856" i="5"/>
  <c r="T1857" i="5"/>
  <c r="T1858" i="5"/>
  <c r="T1859" i="5"/>
  <c r="T1860" i="5"/>
  <c r="T1861" i="5"/>
  <c r="T1862" i="5"/>
  <c r="T1863" i="5"/>
  <c r="T1864" i="5"/>
  <c r="T1865" i="5"/>
  <c r="T1866" i="5"/>
  <c r="T1867" i="5"/>
  <c r="T1868" i="5"/>
  <c r="T1869" i="5"/>
  <c r="T1870" i="5"/>
  <c r="T1871" i="5"/>
  <c r="T1872" i="5"/>
  <c r="T1873" i="5"/>
  <c r="T1874" i="5"/>
  <c r="T1875" i="5"/>
  <c r="T1876" i="5"/>
  <c r="T1877" i="5"/>
  <c r="T1878" i="5"/>
  <c r="T1879" i="5"/>
  <c r="T1880" i="5"/>
  <c r="T1881" i="5"/>
  <c r="T1882" i="5"/>
  <c r="T1883" i="5"/>
  <c r="T1884" i="5"/>
  <c r="T1885" i="5"/>
  <c r="T1886" i="5"/>
  <c r="T1887" i="5"/>
  <c r="T1888" i="5"/>
  <c r="T1889" i="5"/>
  <c r="T1890" i="5"/>
  <c r="T1891" i="5"/>
  <c r="T1892" i="5"/>
  <c r="T1893" i="5"/>
  <c r="T1894" i="5"/>
  <c r="T1895" i="5"/>
  <c r="T1896" i="5"/>
  <c r="T1897" i="5"/>
  <c r="T1898" i="5"/>
  <c r="T1899" i="5"/>
  <c r="T1900" i="5"/>
  <c r="T1901" i="5"/>
  <c r="T1902" i="5"/>
  <c r="T1903" i="5"/>
  <c r="T1904" i="5"/>
  <c r="T1905" i="5"/>
  <c r="T1906" i="5"/>
  <c r="T1907" i="5"/>
  <c r="T1908" i="5"/>
  <c r="T1909" i="5"/>
  <c r="T1910" i="5"/>
  <c r="T1911" i="5"/>
  <c r="T1912" i="5"/>
  <c r="T1913" i="5"/>
  <c r="T1914" i="5"/>
  <c r="T1915" i="5"/>
  <c r="T1916" i="5"/>
  <c r="T1917" i="5"/>
  <c r="T1918" i="5"/>
  <c r="T1919" i="5"/>
  <c r="T1920" i="5"/>
  <c r="T1921" i="5"/>
  <c r="T1922" i="5"/>
  <c r="T1923" i="5"/>
  <c r="T1924" i="5"/>
  <c r="T1925" i="5"/>
  <c r="T1926" i="5"/>
  <c r="T1927" i="5"/>
  <c r="T1928" i="5"/>
  <c r="T1929" i="5"/>
  <c r="T1930" i="5"/>
  <c r="T1931" i="5"/>
  <c r="T1932" i="5"/>
  <c r="T1933" i="5"/>
  <c r="T1934" i="5"/>
  <c r="T1935" i="5"/>
  <c r="T1936" i="5"/>
  <c r="T1937" i="5"/>
  <c r="T1938" i="5"/>
  <c r="T1939" i="5"/>
  <c r="T1940" i="5"/>
  <c r="T1941" i="5"/>
  <c r="T1942" i="5"/>
  <c r="T1943" i="5"/>
  <c r="T1944" i="5"/>
  <c r="T1945" i="5"/>
  <c r="T1946" i="5"/>
  <c r="T1947" i="5"/>
  <c r="T1948" i="5"/>
  <c r="T1949" i="5"/>
  <c r="T1950" i="5"/>
  <c r="T1951" i="5"/>
  <c r="T1952" i="5"/>
  <c r="T1953" i="5"/>
  <c r="T1954" i="5"/>
  <c r="T1955" i="5"/>
  <c r="T1956" i="5"/>
  <c r="T1957" i="5"/>
  <c r="T1958" i="5"/>
  <c r="T1959" i="5"/>
  <c r="T1960" i="5"/>
  <c r="T1961" i="5"/>
  <c r="T1962" i="5"/>
  <c r="T1963" i="5"/>
  <c r="T1964" i="5"/>
  <c r="T1965" i="5"/>
  <c r="T1966" i="5"/>
  <c r="T1967" i="5"/>
  <c r="T1968" i="5"/>
  <c r="T1969" i="5"/>
  <c r="T1970" i="5"/>
  <c r="T1971" i="5"/>
  <c r="T1972" i="5"/>
  <c r="T1973" i="5"/>
  <c r="T1974" i="5"/>
  <c r="T1975" i="5"/>
  <c r="T1976" i="5"/>
  <c r="T1977" i="5"/>
  <c r="T1978" i="5"/>
  <c r="T1979" i="5"/>
  <c r="T1980" i="5"/>
  <c r="T1981" i="5"/>
  <c r="T1982" i="5"/>
  <c r="T1983" i="5"/>
  <c r="T1984" i="5"/>
  <c r="T1985" i="5"/>
  <c r="T1986" i="5"/>
  <c r="T1987" i="5"/>
  <c r="T1988" i="5"/>
  <c r="T1989" i="5"/>
  <c r="T1990" i="5"/>
  <c r="T1991" i="5"/>
  <c r="T1992" i="5"/>
  <c r="T1993" i="5"/>
  <c r="T1994" i="5"/>
  <c r="T1995" i="5"/>
  <c r="T1996" i="5"/>
  <c r="T1997" i="5"/>
  <c r="T1998" i="5"/>
  <c r="T1999" i="5"/>
  <c r="T2000" i="5"/>
  <c r="T2001" i="5"/>
  <c r="T2002" i="5"/>
  <c r="T2003" i="5"/>
  <c r="T2004" i="5"/>
  <c r="T2005" i="5"/>
  <c r="T2006" i="5"/>
  <c r="T2007" i="5"/>
  <c r="T2008" i="5"/>
  <c r="T2009" i="5"/>
  <c r="T2010" i="5"/>
  <c r="T2011" i="5"/>
  <c r="T2012" i="5"/>
  <c r="T2013" i="5"/>
  <c r="T2014" i="5"/>
  <c r="T2015" i="5"/>
  <c r="T2016" i="5"/>
  <c r="T2017" i="5"/>
  <c r="T2018" i="5"/>
  <c r="T2019" i="5"/>
  <c r="T2020" i="5"/>
  <c r="T2021" i="5"/>
  <c r="T2022" i="5"/>
  <c r="T2023" i="5"/>
  <c r="T2024" i="5"/>
  <c r="T2025" i="5"/>
  <c r="T2026" i="5"/>
  <c r="T2027" i="5"/>
  <c r="T2028" i="5"/>
  <c r="T2029" i="5"/>
  <c r="T2030" i="5"/>
  <c r="T2031" i="5"/>
  <c r="T2032" i="5"/>
  <c r="T2033" i="5"/>
  <c r="T2034" i="5"/>
  <c r="T2035" i="5"/>
  <c r="T2036" i="5"/>
  <c r="T2037" i="5"/>
  <c r="T2038" i="5"/>
  <c r="T2039" i="5"/>
  <c r="T2040" i="5"/>
  <c r="T2041" i="5"/>
  <c r="T2042" i="5"/>
  <c r="T2043" i="5"/>
  <c r="T2044" i="5"/>
  <c r="T2045" i="5"/>
  <c r="T2046" i="5"/>
  <c r="T2047" i="5"/>
  <c r="T2048" i="5"/>
  <c r="T2049" i="5"/>
  <c r="T2050" i="5"/>
  <c r="T2051" i="5"/>
  <c r="T2052" i="5"/>
  <c r="T2053" i="5"/>
  <c r="T2054" i="5"/>
  <c r="T2055" i="5"/>
  <c r="T2056" i="5"/>
  <c r="T2057" i="5"/>
  <c r="T2058" i="5"/>
  <c r="T2059" i="5"/>
  <c r="T2060" i="5"/>
  <c r="T2061" i="5"/>
  <c r="T2062" i="5"/>
  <c r="T2063" i="5"/>
  <c r="T2064" i="5"/>
  <c r="T2065" i="5"/>
  <c r="T2066" i="5"/>
  <c r="T2067" i="5"/>
  <c r="T2068" i="5"/>
  <c r="T2069" i="5"/>
  <c r="T2070" i="5"/>
  <c r="T2071" i="5"/>
  <c r="T2072" i="5"/>
  <c r="T2073" i="5"/>
  <c r="T2074" i="5"/>
  <c r="T2075" i="5"/>
  <c r="T2076" i="5"/>
  <c r="T2077" i="5"/>
  <c r="T2078" i="5"/>
  <c r="T2079" i="5"/>
  <c r="T2080" i="5"/>
  <c r="T2081" i="5"/>
  <c r="T2082" i="5"/>
  <c r="T2083" i="5"/>
  <c r="T2084" i="5"/>
  <c r="T2085" i="5"/>
  <c r="T2086" i="5"/>
  <c r="T2087" i="5"/>
  <c r="T2088" i="5"/>
  <c r="T2089" i="5"/>
  <c r="T2090" i="5"/>
  <c r="T2091" i="5"/>
  <c r="T2092" i="5"/>
  <c r="T2093" i="5"/>
  <c r="T2094" i="5"/>
  <c r="T2095" i="5"/>
  <c r="T2096" i="5"/>
  <c r="T2097" i="5"/>
  <c r="T2098" i="5"/>
  <c r="T2099" i="5"/>
  <c r="T2100" i="5"/>
  <c r="T2101" i="5"/>
  <c r="T2102" i="5"/>
  <c r="T2103" i="5"/>
  <c r="T2104" i="5"/>
  <c r="T2105" i="5"/>
  <c r="T2106" i="5"/>
  <c r="T2107" i="5"/>
  <c r="T2108" i="5"/>
  <c r="T2109" i="5"/>
  <c r="T2110" i="5"/>
  <c r="T2111" i="5"/>
  <c r="T2112" i="5"/>
  <c r="T2113" i="5"/>
  <c r="T2114" i="5"/>
  <c r="T2115" i="5"/>
  <c r="T2116" i="5"/>
  <c r="T2117" i="5"/>
  <c r="T2118" i="5"/>
  <c r="T2119" i="5"/>
  <c r="T2120" i="5"/>
  <c r="T2121" i="5"/>
  <c r="T2122" i="5"/>
  <c r="T2123" i="5"/>
  <c r="T2124" i="5"/>
  <c r="T2125" i="5"/>
  <c r="T2126" i="5"/>
  <c r="T2127" i="5"/>
  <c r="T2128" i="5"/>
  <c r="T2129" i="5"/>
  <c r="T2130" i="5"/>
  <c r="T2131" i="5"/>
  <c r="T2132" i="5"/>
  <c r="T2133" i="5"/>
  <c r="T2134" i="5"/>
  <c r="T2135" i="5"/>
  <c r="T2136" i="5"/>
  <c r="T2137" i="5"/>
  <c r="T2138" i="5"/>
  <c r="T2139" i="5"/>
  <c r="T2140" i="5"/>
  <c r="T2141" i="5"/>
  <c r="T2142" i="5"/>
  <c r="T2143" i="5"/>
  <c r="T2144" i="5"/>
  <c r="T2145" i="5"/>
  <c r="T2146" i="5"/>
  <c r="T2147" i="5"/>
  <c r="T2148" i="5"/>
  <c r="T2149" i="5"/>
  <c r="T2150" i="5"/>
  <c r="T2151" i="5"/>
  <c r="T2152" i="5"/>
  <c r="T2153" i="5"/>
  <c r="T2154" i="5"/>
  <c r="T2155" i="5"/>
  <c r="T2156" i="5"/>
  <c r="T2157" i="5"/>
  <c r="T2158" i="5"/>
  <c r="T2159" i="5"/>
  <c r="T2160" i="5"/>
  <c r="T2161" i="5"/>
  <c r="T2162" i="5"/>
  <c r="T2163" i="5"/>
  <c r="T2164" i="5"/>
  <c r="T2165" i="5"/>
  <c r="T2166" i="5"/>
  <c r="T2167" i="5"/>
  <c r="T2168" i="5"/>
  <c r="T2169" i="5"/>
  <c r="T2170" i="5"/>
  <c r="T2171" i="5"/>
  <c r="T2172" i="5"/>
  <c r="T2173" i="5"/>
  <c r="T2174" i="5"/>
  <c r="T2175" i="5"/>
  <c r="T2176" i="5"/>
  <c r="T2177" i="5"/>
  <c r="T2178" i="5"/>
  <c r="T2179" i="5"/>
  <c r="T2180" i="5"/>
  <c r="T2181" i="5"/>
  <c r="T2182" i="5"/>
  <c r="T2183" i="5"/>
  <c r="T2184" i="5"/>
  <c r="T2185" i="5"/>
  <c r="T2186" i="5"/>
  <c r="T2187" i="5"/>
  <c r="T2188" i="5"/>
  <c r="T2189" i="5"/>
  <c r="T2190" i="5"/>
  <c r="T2191" i="5"/>
  <c r="T2192" i="5"/>
  <c r="T2193" i="5"/>
  <c r="T2194" i="5"/>
  <c r="T2195" i="5"/>
  <c r="T2196" i="5"/>
  <c r="T2197" i="5"/>
  <c r="T2198" i="5"/>
  <c r="T2199" i="5"/>
  <c r="T2200" i="5"/>
  <c r="T2201" i="5"/>
  <c r="T2202" i="5"/>
  <c r="T2203" i="5"/>
  <c r="T2204" i="5"/>
  <c r="T2205" i="5"/>
  <c r="T2206" i="5"/>
  <c r="T2207" i="5"/>
  <c r="T2208" i="5"/>
  <c r="T2209" i="5"/>
  <c r="T2210" i="5"/>
  <c r="T2211" i="5"/>
  <c r="T2212" i="5"/>
  <c r="T2213" i="5"/>
  <c r="T2214" i="5"/>
  <c r="T2215" i="5"/>
  <c r="T2216" i="5"/>
  <c r="T2217" i="5"/>
  <c r="T2218" i="5"/>
  <c r="T2219" i="5"/>
  <c r="T2220" i="5"/>
  <c r="T2221" i="5"/>
  <c r="T2222" i="5"/>
  <c r="T2223" i="5"/>
  <c r="T2224" i="5"/>
  <c r="T2225" i="5"/>
  <c r="T2226" i="5"/>
  <c r="T2227" i="5"/>
  <c r="T2228" i="5"/>
  <c r="T2229" i="5"/>
  <c r="T2230" i="5"/>
  <c r="T2231" i="5"/>
  <c r="T2232" i="5"/>
  <c r="T2233" i="5"/>
  <c r="T2234" i="5"/>
  <c r="T2235" i="5"/>
  <c r="T2236" i="5"/>
  <c r="T2237" i="5"/>
  <c r="T2238" i="5"/>
  <c r="T2239" i="5"/>
  <c r="T2240" i="5"/>
  <c r="T2241" i="5"/>
  <c r="T2242" i="5"/>
  <c r="T2243" i="5"/>
  <c r="T2244" i="5"/>
  <c r="T2245" i="5"/>
  <c r="T2246" i="5"/>
  <c r="T2247" i="5"/>
  <c r="T2248" i="5"/>
  <c r="T2249" i="5"/>
  <c r="T2250" i="5"/>
  <c r="T2251" i="5"/>
  <c r="T2252" i="5"/>
  <c r="T2253" i="5"/>
  <c r="T2254" i="5"/>
  <c r="T2255" i="5"/>
  <c r="T2256" i="5"/>
  <c r="T2257" i="5"/>
  <c r="T2258" i="5"/>
  <c r="T2259" i="5"/>
  <c r="T2260" i="5"/>
  <c r="T2261" i="5"/>
  <c r="T2262" i="5"/>
  <c r="T2263" i="5"/>
  <c r="T2264" i="5"/>
  <c r="T2265" i="5"/>
  <c r="T2266" i="5"/>
  <c r="T2267" i="5"/>
  <c r="T2268" i="5"/>
  <c r="T2269" i="5"/>
  <c r="T2270" i="5"/>
  <c r="T2271" i="5"/>
  <c r="T2272" i="5"/>
  <c r="T2273" i="5"/>
  <c r="T2274" i="5"/>
  <c r="T2275" i="5"/>
  <c r="T2276" i="5"/>
  <c r="T2277" i="5"/>
  <c r="T2278" i="5"/>
  <c r="T2279" i="5"/>
  <c r="T2280" i="5"/>
  <c r="T2281" i="5"/>
  <c r="T2282" i="5"/>
  <c r="T2283" i="5"/>
  <c r="T2284" i="5"/>
  <c r="T2285" i="5"/>
  <c r="T2286" i="5"/>
  <c r="T2287" i="5"/>
  <c r="T2288" i="5"/>
  <c r="T2289" i="5"/>
  <c r="T2290" i="5"/>
  <c r="T2291" i="5"/>
  <c r="T2292" i="5"/>
  <c r="T2293" i="5"/>
  <c r="T2294" i="5"/>
  <c r="T2295" i="5"/>
  <c r="T2296" i="5"/>
  <c r="T2297" i="5"/>
  <c r="T2298" i="5"/>
  <c r="T2299" i="5"/>
  <c r="T2300" i="5"/>
  <c r="T2301" i="5"/>
  <c r="T2302" i="5"/>
  <c r="T2303" i="5"/>
  <c r="T2304" i="5"/>
  <c r="T2305" i="5"/>
  <c r="T2306" i="5"/>
  <c r="T2307" i="5"/>
  <c r="T2308" i="5"/>
  <c r="T2309" i="5"/>
  <c r="T2310" i="5"/>
  <c r="T2311" i="5"/>
  <c r="T2312" i="5"/>
  <c r="T2313" i="5"/>
  <c r="T2314" i="5"/>
  <c r="T2315" i="5"/>
  <c r="T2316" i="5"/>
  <c r="T2317" i="5"/>
  <c r="T2318" i="5"/>
  <c r="T2319" i="5"/>
  <c r="T2320" i="5"/>
  <c r="T2321" i="5"/>
  <c r="T2322" i="5"/>
  <c r="T2323" i="5"/>
  <c r="T2324" i="5"/>
  <c r="T2325" i="5"/>
  <c r="T2326" i="5"/>
  <c r="T2327" i="5"/>
  <c r="T2328" i="5"/>
  <c r="T2329" i="5"/>
  <c r="T2330" i="5"/>
  <c r="T2331" i="5"/>
  <c r="T2332" i="5"/>
  <c r="T2333" i="5"/>
  <c r="T2334" i="5"/>
  <c r="T2335" i="5"/>
  <c r="T2336" i="5"/>
  <c r="T2337" i="5"/>
  <c r="T2338" i="5"/>
  <c r="T2339" i="5"/>
  <c r="T2340" i="5"/>
  <c r="T2341" i="5"/>
  <c r="T2342" i="5"/>
  <c r="T2343" i="5"/>
  <c r="T2344" i="5"/>
  <c r="T2345" i="5"/>
  <c r="T2346" i="5"/>
  <c r="T2347" i="5"/>
  <c r="T2348" i="5"/>
  <c r="T2349" i="5"/>
  <c r="T2350" i="5"/>
  <c r="T2351" i="5"/>
  <c r="T2352" i="5"/>
  <c r="T2353" i="5"/>
  <c r="T2354" i="5"/>
  <c r="T2355" i="5"/>
  <c r="T2356" i="5"/>
  <c r="T2357" i="5"/>
  <c r="T2358" i="5"/>
  <c r="T2359" i="5"/>
  <c r="T2360" i="5"/>
  <c r="T2361" i="5"/>
  <c r="T2362" i="5"/>
  <c r="T2363" i="5"/>
  <c r="T2364" i="5"/>
  <c r="T2365" i="5"/>
  <c r="T2366" i="5"/>
  <c r="T2367" i="5"/>
  <c r="T2368" i="5"/>
  <c r="T2369" i="5"/>
  <c r="T2370" i="5"/>
  <c r="T2371" i="5"/>
  <c r="T2372" i="5"/>
  <c r="T2373" i="5"/>
  <c r="T2374" i="5"/>
  <c r="T2375" i="5"/>
  <c r="T2376" i="5"/>
  <c r="T2377" i="5"/>
  <c r="T2378" i="5"/>
  <c r="T2379" i="5"/>
  <c r="T2380" i="5"/>
  <c r="T2381" i="5"/>
  <c r="T2382" i="5"/>
  <c r="T2383" i="5"/>
  <c r="T2384" i="5"/>
  <c r="T2385" i="5"/>
  <c r="T2386" i="5"/>
  <c r="T2387" i="5"/>
  <c r="T2388" i="5"/>
  <c r="T2389" i="5"/>
  <c r="T2390" i="5"/>
  <c r="T2391" i="5"/>
  <c r="T2392" i="5"/>
  <c r="T2393" i="5"/>
  <c r="T2394" i="5"/>
  <c r="T2395" i="5"/>
  <c r="T2396" i="5"/>
  <c r="T2397" i="5"/>
  <c r="T2398" i="5"/>
  <c r="T2399" i="5"/>
  <c r="T2400" i="5"/>
  <c r="T2401" i="5"/>
  <c r="T2402" i="5"/>
  <c r="T2403" i="5"/>
  <c r="T2404" i="5"/>
  <c r="T2405" i="5"/>
  <c r="T2406" i="5"/>
  <c r="T2407" i="5"/>
  <c r="T2408" i="5"/>
  <c r="T2409" i="5"/>
  <c r="T2410" i="5"/>
  <c r="T2411" i="5"/>
  <c r="T2412" i="5"/>
  <c r="T2413" i="5"/>
  <c r="T2414" i="5"/>
  <c r="T2415" i="5"/>
  <c r="T2416" i="5"/>
  <c r="T2417" i="5"/>
  <c r="T2418" i="5"/>
  <c r="T2419" i="5"/>
  <c r="T2420" i="5"/>
  <c r="T2421" i="5"/>
  <c r="T2422" i="5"/>
  <c r="T2423" i="5"/>
  <c r="T2424" i="5"/>
  <c r="T2425" i="5"/>
  <c r="T2426" i="5"/>
  <c r="T2427" i="5"/>
  <c r="T2428" i="5"/>
  <c r="T2429" i="5"/>
  <c r="T2430" i="5"/>
  <c r="T2431" i="5"/>
  <c r="T2432" i="5"/>
  <c r="T2433" i="5"/>
  <c r="T2434" i="5"/>
  <c r="T2435" i="5"/>
  <c r="T2436" i="5"/>
  <c r="T2437" i="5"/>
  <c r="T2438" i="5"/>
  <c r="T2439" i="5"/>
  <c r="T2440" i="5"/>
  <c r="T2441" i="5"/>
  <c r="T2442" i="5"/>
  <c r="T2443" i="5"/>
  <c r="T2444" i="5"/>
  <c r="T2445" i="5"/>
  <c r="T2446" i="5"/>
  <c r="T2447" i="5"/>
  <c r="T2448" i="5"/>
  <c r="T2449" i="5"/>
  <c r="T2450" i="5"/>
  <c r="T2451" i="5"/>
  <c r="T2452" i="5"/>
  <c r="T2453" i="5"/>
  <c r="T2454" i="5"/>
  <c r="T2455" i="5"/>
  <c r="T2456" i="5"/>
  <c r="T2457" i="5"/>
  <c r="T2458" i="5"/>
  <c r="T2459" i="5"/>
  <c r="T2460" i="5"/>
  <c r="T2461" i="5"/>
  <c r="T2462" i="5"/>
  <c r="T2463" i="5"/>
  <c r="T2464" i="5"/>
  <c r="T2465" i="5"/>
  <c r="T2466" i="5"/>
  <c r="T2467" i="5"/>
  <c r="T2468" i="5"/>
  <c r="T2469" i="5"/>
  <c r="T2470" i="5"/>
  <c r="T2471" i="5"/>
  <c r="T2472" i="5"/>
  <c r="T2473" i="5"/>
  <c r="T2474" i="5"/>
  <c r="T2475" i="5"/>
  <c r="T2476" i="5"/>
  <c r="T2477" i="5"/>
  <c r="T2478" i="5"/>
  <c r="T2479" i="5"/>
  <c r="T2480" i="5"/>
  <c r="T2481" i="5"/>
  <c r="T2482" i="5"/>
  <c r="T2483" i="5"/>
  <c r="T2484" i="5"/>
  <c r="T2485" i="5"/>
  <c r="T2486" i="5"/>
  <c r="T2487" i="5"/>
  <c r="T2488" i="5"/>
  <c r="T2489" i="5"/>
  <c r="T2490" i="5"/>
  <c r="T2491" i="5"/>
  <c r="T2492" i="5"/>
  <c r="T2493" i="5"/>
  <c r="T2494" i="5"/>
  <c r="T2495" i="5"/>
  <c r="T2496" i="5"/>
  <c r="T2497" i="5"/>
  <c r="T2498" i="5"/>
  <c r="T2499" i="5"/>
  <c r="T2500" i="5"/>
  <c r="T2501" i="5"/>
  <c r="T2502" i="5"/>
  <c r="T2503" i="5"/>
  <c r="T2504" i="5"/>
  <c r="T2505" i="5"/>
  <c r="T2506" i="5"/>
  <c r="T2507" i="5"/>
  <c r="T2508" i="5"/>
  <c r="T2509" i="5"/>
  <c r="T2510" i="5"/>
  <c r="T2511" i="5"/>
  <c r="T2512" i="5"/>
  <c r="T2513" i="5"/>
  <c r="T2514" i="5"/>
  <c r="T2515" i="5"/>
  <c r="T2516" i="5"/>
  <c r="T2517" i="5"/>
  <c r="T2518" i="5"/>
  <c r="T2519" i="5"/>
  <c r="T2520" i="5"/>
  <c r="T2521" i="5"/>
  <c r="T2522" i="5"/>
  <c r="T2523" i="5"/>
  <c r="T2524" i="5"/>
  <c r="T2525" i="5"/>
  <c r="T2526" i="5"/>
  <c r="T2527" i="5"/>
  <c r="T2528" i="5"/>
  <c r="T2529" i="5"/>
  <c r="T2530" i="5"/>
  <c r="T2531" i="5"/>
  <c r="T2532" i="5"/>
  <c r="T2533" i="5"/>
  <c r="T2534" i="5"/>
  <c r="T2535" i="5"/>
  <c r="T2536" i="5"/>
  <c r="T2537" i="5"/>
  <c r="T2538" i="5"/>
  <c r="T2539" i="5"/>
  <c r="T2540" i="5"/>
  <c r="T2541" i="5"/>
  <c r="T2542" i="5"/>
  <c r="T2543" i="5"/>
  <c r="T2544" i="5"/>
  <c r="T2545" i="5"/>
  <c r="T2546" i="5"/>
  <c r="T2547" i="5"/>
  <c r="T2548" i="5"/>
  <c r="T2549" i="5"/>
  <c r="T2550" i="5"/>
  <c r="T2551" i="5"/>
  <c r="T2552" i="5"/>
  <c r="T2553" i="5"/>
  <c r="T2554" i="5"/>
  <c r="T2555" i="5"/>
  <c r="T2556" i="5"/>
  <c r="T2557" i="5"/>
  <c r="T2558" i="5"/>
  <c r="T2559" i="5"/>
  <c r="T2560" i="5"/>
  <c r="T2561" i="5"/>
  <c r="T2562" i="5"/>
  <c r="T2563" i="5"/>
  <c r="T2564" i="5"/>
  <c r="T2565" i="5"/>
  <c r="T2566" i="5"/>
  <c r="T2567" i="5"/>
  <c r="T2568" i="5"/>
  <c r="T2569" i="5"/>
  <c r="T2570" i="5"/>
  <c r="T2571" i="5"/>
  <c r="T2572" i="5"/>
  <c r="T2573" i="5"/>
  <c r="T2574" i="5"/>
  <c r="T2575" i="5"/>
  <c r="T2576" i="5"/>
  <c r="T2577" i="5"/>
  <c r="T2578" i="5"/>
  <c r="T2579" i="5"/>
  <c r="T2580" i="5"/>
  <c r="T2581" i="5"/>
  <c r="T2582" i="5"/>
  <c r="T2583" i="5"/>
  <c r="T2584" i="5"/>
  <c r="T2585" i="5"/>
  <c r="T2586" i="5"/>
  <c r="T2587" i="5"/>
  <c r="T2588" i="5"/>
  <c r="T2589" i="5"/>
  <c r="T2590" i="5"/>
  <c r="T2591" i="5"/>
  <c r="T2592" i="5"/>
  <c r="T2593" i="5"/>
  <c r="T2594" i="5"/>
  <c r="T2595" i="5"/>
  <c r="T2596" i="5"/>
  <c r="T2597" i="5"/>
  <c r="T2598" i="5"/>
  <c r="T2599" i="5"/>
  <c r="T2600" i="5"/>
  <c r="T2601" i="5"/>
  <c r="T2602" i="5"/>
  <c r="T2603" i="5"/>
  <c r="T2604" i="5"/>
  <c r="T2605" i="5"/>
  <c r="T2606" i="5"/>
  <c r="T2607" i="5"/>
  <c r="T2608" i="5"/>
  <c r="T2609" i="5"/>
  <c r="T2610" i="5"/>
  <c r="T2611" i="5"/>
  <c r="T2612" i="5"/>
  <c r="T2613" i="5"/>
  <c r="T2614" i="5"/>
  <c r="T2615" i="5"/>
  <c r="T2616" i="5"/>
  <c r="S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S602" i="5"/>
  <c r="S603" i="5"/>
  <c r="S604" i="5"/>
  <c r="S605" i="5"/>
  <c r="S606" i="5"/>
  <c r="S607" i="5"/>
  <c r="S608" i="5"/>
  <c r="S609" i="5"/>
  <c r="S610" i="5"/>
  <c r="S611" i="5"/>
  <c r="S612" i="5"/>
  <c r="S613" i="5"/>
  <c r="S614" i="5"/>
  <c r="S615" i="5"/>
  <c r="S616" i="5"/>
  <c r="S617" i="5"/>
  <c r="S618" i="5"/>
  <c r="S619" i="5"/>
  <c r="S620" i="5"/>
  <c r="S621" i="5"/>
  <c r="S622" i="5"/>
  <c r="S623" i="5"/>
  <c r="S624" i="5"/>
  <c r="S625" i="5"/>
  <c r="S626" i="5"/>
  <c r="S627" i="5"/>
  <c r="S628" i="5"/>
  <c r="S629" i="5"/>
  <c r="S630" i="5"/>
  <c r="S631" i="5"/>
  <c r="S632" i="5"/>
  <c r="S633" i="5"/>
  <c r="S634" i="5"/>
  <c r="S635" i="5"/>
  <c r="S636" i="5"/>
  <c r="S637" i="5"/>
  <c r="S638" i="5"/>
  <c r="S639" i="5"/>
  <c r="S640" i="5"/>
  <c r="S641" i="5"/>
  <c r="S642" i="5"/>
  <c r="S643" i="5"/>
  <c r="S644" i="5"/>
  <c r="S645" i="5"/>
  <c r="S646" i="5"/>
  <c r="S647" i="5"/>
  <c r="S648" i="5"/>
  <c r="S649" i="5"/>
  <c r="S650" i="5"/>
  <c r="S651" i="5"/>
  <c r="S652" i="5"/>
  <c r="S653" i="5"/>
  <c r="S654" i="5"/>
  <c r="S655" i="5"/>
  <c r="S656" i="5"/>
  <c r="S657" i="5"/>
  <c r="S658" i="5"/>
  <c r="S659" i="5"/>
  <c r="S660" i="5"/>
  <c r="S661" i="5"/>
  <c r="S662" i="5"/>
  <c r="S663" i="5"/>
  <c r="S664" i="5"/>
  <c r="S665" i="5"/>
  <c r="S666" i="5"/>
  <c r="S667" i="5"/>
  <c r="S668" i="5"/>
  <c r="S669" i="5"/>
  <c r="S670" i="5"/>
  <c r="S671" i="5"/>
  <c r="S672" i="5"/>
  <c r="S673" i="5"/>
  <c r="S674" i="5"/>
  <c r="S675" i="5"/>
  <c r="S676" i="5"/>
  <c r="S677" i="5"/>
  <c r="S678" i="5"/>
  <c r="S679" i="5"/>
  <c r="S680" i="5"/>
  <c r="S681" i="5"/>
  <c r="S682" i="5"/>
  <c r="S683" i="5"/>
  <c r="S684" i="5"/>
  <c r="S685" i="5"/>
  <c r="S686" i="5"/>
  <c r="S687" i="5"/>
  <c r="S688" i="5"/>
  <c r="S689" i="5"/>
  <c r="S690" i="5"/>
  <c r="S691" i="5"/>
  <c r="S692" i="5"/>
  <c r="S693" i="5"/>
  <c r="S694" i="5"/>
  <c r="S695" i="5"/>
  <c r="S696" i="5"/>
  <c r="S697" i="5"/>
  <c r="S698" i="5"/>
  <c r="S699" i="5"/>
  <c r="S700" i="5"/>
  <c r="S701" i="5"/>
  <c r="S702" i="5"/>
  <c r="S703" i="5"/>
  <c r="S704" i="5"/>
  <c r="S705" i="5"/>
  <c r="S706" i="5"/>
  <c r="S707" i="5"/>
  <c r="S708" i="5"/>
  <c r="S709" i="5"/>
  <c r="S710" i="5"/>
  <c r="S711" i="5"/>
  <c r="S712" i="5"/>
  <c r="S713" i="5"/>
  <c r="S714" i="5"/>
  <c r="S715" i="5"/>
  <c r="S716" i="5"/>
  <c r="S717" i="5"/>
  <c r="S718" i="5"/>
  <c r="S719" i="5"/>
  <c r="S720" i="5"/>
  <c r="S721" i="5"/>
  <c r="S722" i="5"/>
  <c r="S723" i="5"/>
  <c r="S724" i="5"/>
  <c r="S725" i="5"/>
  <c r="S726" i="5"/>
  <c r="S727" i="5"/>
  <c r="S728" i="5"/>
  <c r="S729" i="5"/>
  <c r="S730" i="5"/>
  <c r="S731" i="5"/>
  <c r="S732" i="5"/>
  <c r="S733" i="5"/>
  <c r="S734" i="5"/>
  <c r="S735" i="5"/>
  <c r="S736" i="5"/>
  <c r="S737" i="5"/>
  <c r="S738" i="5"/>
  <c r="S739" i="5"/>
  <c r="S740" i="5"/>
  <c r="S741" i="5"/>
  <c r="S742" i="5"/>
  <c r="S743" i="5"/>
  <c r="S744" i="5"/>
  <c r="S745" i="5"/>
  <c r="S746" i="5"/>
  <c r="S747" i="5"/>
  <c r="S748" i="5"/>
  <c r="S749" i="5"/>
  <c r="S750" i="5"/>
  <c r="S751" i="5"/>
  <c r="S752" i="5"/>
  <c r="S753" i="5"/>
  <c r="S754" i="5"/>
  <c r="S755" i="5"/>
  <c r="S756" i="5"/>
  <c r="S757" i="5"/>
  <c r="S758" i="5"/>
  <c r="S759" i="5"/>
  <c r="S760" i="5"/>
  <c r="S761" i="5"/>
  <c r="S762" i="5"/>
  <c r="S763" i="5"/>
  <c r="S764" i="5"/>
  <c r="S765" i="5"/>
  <c r="S766" i="5"/>
  <c r="S767" i="5"/>
  <c r="S768" i="5"/>
  <c r="S769" i="5"/>
  <c r="S770" i="5"/>
  <c r="S771" i="5"/>
  <c r="S772" i="5"/>
  <c r="S773" i="5"/>
  <c r="S774" i="5"/>
  <c r="S775" i="5"/>
  <c r="S776" i="5"/>
  <c r="S777" i="5"/>
  <c r="S778" i="5"/>
  <c r="S779" i="5"/>
  <c r="S780" i="5"/>
  <c r="S781" i="5"/>
  <c r="S782" i="5"/>
  <c r="S783" i="5"/>
  <c r="S784" i="5"/>
  <c r="S785" i="5"/>
  <c r="S786" i="5"/>
  <c r="S787" i="5"/>
  <c r="S788" i="5"/>
  <c r="S789" i="5"/>
  <c r="S790" i="5"/>
  <c r="S791" i="5"/>
  <c r="S792" i="5"/>
  <c r="S793" i="5"/>
  <c r="S794" i="5"/>
  <c r="S795" i="5"/>
  <c r="S796" i="5"/>
  <c r="S797" i="5"/>
  <c r="S798" i="5"/>
  <c r="S799" i="5"/>
  <c r="S800" i="5"/>
  <c r="S801" i="5"/>
  <c r="S802" i="5"/>
  <c r="S803" i="5"/>
  <c r="S804" i="5"/>
  <c r="S805" i="5"/>
  <c r="S806" i="5"/>
  <c r="S807" i="5"/>
  <c r="S808" i="5"/>
  <c r="S809" i="5"/>
  <c r="S810" i="5"/>
  <c r="S811" i="5"/>
  <c r="S812" i="5"/>
  <c r="S813" i="5"/>
  <c r="S814" i="5"/>
  <c r="S815" i="5"/>
  <c r="S816" i="5"/>
  <c r="S817" i="5"/>
  <c r="S818" i="5"/>
  <c r="S819" i="5"/>
  <c r="S820" i="5"/>
  <c r="S821" i="5"/>
  <c r="S822" i="5"/>
  <c r="S823" i="5"/>
  <c r="S824" i="5"/>
  <c r="S825" i="5"/>
  <c r="S826" i="5"/>
  <c r="S827" i="5"/>
  <c r="S828" i="5"/>
  <c r="S829" i="5"/>
  <c r="S830" i="5"/>
  <c r="S831" i="5"/>
  <c r="S832" i="5"/>
  <c r="S833" i="5"/>
  <c r="S834" i="5"/>
  <c r="S835" i="5"/>
  <c r="S836" i="5"/>
  <c r="S837" i="5"/>
  <c r="S838" i="5"/>
  <c r="S839" i="5"/>
  <c r="S840" i="5"/>
  <c r="S841" i="5"/>
  <c r="S842" i="5"/>
  <c r="S843" i="5"/>
  <c r="S844" i="5"/>
  <c r="S845" i="5"/>
  <c r="S846" i="5"/>
  <c r="S847" i="5"/>
  <c r="S848" i="5"/>
  <c r="S849" i="5"/>
  <c r="S850" i="5"/>
  <c r="S851" i="5"/>
  <c r="S852" i="5"/>
  <c r="S853" i="5"/>
  <c r="S854" i="5"/>
  <c r="S855" i="5"/>
  <c r="S856" i="5"/>
  <c r="S857" i="5"/>
  <c r="S858" i="5"/>
  <c r="S859" i="5"/>
  <c r="S860" i="5"/>
  <c r="S861" i="5"/>
  <c r="S862" i="5"/>
  <c r="S863" i="5"/>
  <c r="S864" i="5"/>
  <c r="S865" i="5"/>
  <c r="S866" i="5"/>
  <c r="S867" i="5"/>
  <c r="S868" i="5"/>
  <c r="S869" i="5"/>
  <c r="S870" i="5"/>
  <c r="S871" i="5"/>
  <c r="S872" i="5"/>
  <c r="S873" i="5"/>
  <c r="S874" i="5"/>
  <c r="S875" i="5"/>
  <c r="S876" i="5"/>
  <c r="S877" i="5"/>
  <c r="S878" i="5"/>
  <c r="S879" i="5"/>
  <c r="S880" i="5"/>
  <c r="S881" i="5"/>
  <c r="S882" i="5"/>
  <c r="S883" i="5"/>
  <c r="S884" i="5"/>
  <c r="S885" i="5"/>
  <c r="S886" i="5"/>
  <c r="S887" i="5"/>
  <c r="S888" i="5"/>
  <c r="S889" i="5"/>
  <c r="S890" i="5"/>
  <c r="S891" i="5"/>
  <c r="S892" i="5"/>
  <c r="S893" i="5"/>
  <c r="S894" i="5"/>
  <c r="S895" i="5"/>
  <c r="S896" i="5"/>
  <c r="S897" i="5"/>
  <c r="S898" i="5"/>
  <c r="S899" i="5"/>
  <c r="S900" i="5"/>
  <c r="S901" i="5"/>
  <c r="S902" i="5"/>
  <c r="S903" i="5"/>
  <c r="S904" i="5"/>
  <c r="S905" i="5"/>
  <c r="S906" i="5"/>
  <c r="S907" i="5"/>
  <c r="S908" i="5"/>
  <c r="S909" i="5"/>
  <c r="S910" i="5"/>
  <c r="S911" i="5"/>
  <c r="S912" i="5"/>
  <c r="S913" i="5"/>
  <c r="S914" i="5"/>
  <c r="S915" i="5"/>
  <c r="S916" i="5"/>
  <c r="S917" i="5"/>
  <c r="S918" i="5"/>
  <c r="S919" i="5"/>
  <c r="S920" i="5"/>
  <c r="S921" i="5"/>
  <c r="S922" i="5"/>
  <c r="S923" i="5"/>
  <c r="S924" i="5"/>
  <c r="S925" i="5"/>
  <c r="S926" i="5"/>
  <c r="S927" i="5"/>
  <c r="S928" i="5"/>
  <c r="S929" i="5"/>
  <c r="S930" i="5"/>
  <c r="S931" i="5"/>
  <c r="S932" i="5"/>
  <c r="S933" i="5"/>
  <c r="S934" i="5"/>
  <c r="S935" i="5"/>
  <c r="S936" i="5"/>
  <c r="S937" i="5"/>
  <c r="S938" i="5"/>
  <c r="S939" i="5"/>
  <c r="S940" i="5"/>
  <c r="S941" i="5"/>
  <c r="S942" i="5"/>
  <c r="S943" i="5"/>
  <c r="S944" i="5"/>
  <c r="S945" i="5"/>
  <c r="S946" i="5"/>
  <c r="S947" i="5"/>
  <c r="S948" i="5"/>
  <c r="S949" i="5"/>
  <c r="S950" i="5"/>
  <c r="S951" i="5"/>
  <c r="S952" i="5"/>
  <c r="S953" i="5"/>
  <c r="S954" i="5"/>
  <c r="S955" i="5"/>
  <c r="S956" i="5"/>
  <c r="S957" i="5"/>
  <c r="S958" i="5"/>
  <c r="S959" i="5"/>
  <c r="S960" i="5"/>
  <c r="S961" i="5"/>
  <c r="S962" i="5"/>
  <c r="S963" i="5"/>
  <c r="S964" i="5"/>
  <c r="S965" i="5"/>
  <c r="S966" i="5"/>
  <c r="S967" i="5"/>
  <c r="S968" i="5"/>
  <c r="S969" i="5"/>
  <c r="S970" i="5"/>
  <c r="S971" i="5"/>
  <c r="S972" i="5"/>
  <c r="S973" i="5"/>
  <c r="S974" i="5"/>
  <c r="S975" i="5"/>
  <c r="S976" i="5"/>
  <c r="S977" i="5"/>
  <c r="S978" i="5"/>
  <c r="S979" i="5"/>
  <c r="S980" i="5"/>
  <c r="S981" i="5"/>
  <c r="S982" i="5"/>
  <c r="S983" i="5"/>
  <c r="S984" i="5"/>
  <c r="S985" i="5"/>
  <c r="S986" i="5"/>
  <c r="S987" i="5"/>
  <c r="S988" i="5"/>
  <c r="S989" i="5"/>
  <c r="S990" i="5"/>
  <c r="S991" i="5"/>
  <c r="S992" i="5"/>
  <c r="S993" i="5"/>
  <c r="S994" i="5"/>
  <c r="S995" i="5"/>
  <c r="S996" i="5"/>
  <c r="S997" i="5"/>
  <c r="S998" i="5"/>
  <c r="S999" i="5"/>
  <c r="S1000" i="5"/>
  <c r="S1001" i="5"/>
  <c r="S1002" i="5"/>
  <c r="S1003" i="5"/>
  <c r="S1004" i="5"/>
  <c r="S1005" i="5"/>
  <c r="S1006" i="5"/>
  <c r="S1007" i="5"/>
  <c r="S1008" i="5"/>
  <c r="S1009" i="5"/>
  <c r="S1010" i="5"/>
  <c r="S1011" i="5"/>
  <c r="S1012" i="5"/>
  <c r="S1013" i="5"/>
  <c r="S1014" i="5"/>
  <c r="S1015" i="5"/>
  <c r="S1016" i="5"/>
  <c r="S1017" i="5"/>
  <c r="S1018" i="5"/>
  <c r="S1019" i="5"/>
  <c r="S1020" i="5"/>
  <c r="S1021" i="5"/>
  <c r="S1022" i="5"/>
  <c r="S1023" i="5"/>
  <c r="S1024" i="5"/>
  <c r="S1025" i="5"/>
  <c r="S1026" i="5"/>
  <c r="S1027" i="5"/>
  <c r="S1028" i="5"/>
  <c r="S1029" i="5"/>
  <c r="S1030" i="5"/>
  <c r="S1031" i="5"/>
  <c r="S1032" i="5"/>
  <c r="S1033" i="5"/>
  <c r="S1034" i="5"/>
  <c r="S1035" i="5"/>
  <c r="S1036" i="5"/>
  <c r="S1037" i="5"/>
  <c r="S1038" i="5"/>
  <c r="S1039" i="5"/>
  <c r="S1040" i="5"/>
  <c r="S1041" i="5"/>
  <c r="S1042" i="5"/>
  <c r="S1043" i="5"/>
  <c r="S1044" i="5"/>
  <c r="S1045" i="5"/>
  <c r="S1046" i="5"/>
  <c r="S1047" i="5"/>
  <c r="S1048" i="5"/>
  <c r="S1049" i="5"/>
  <c r="S1050" i="5"/>
  <c r="S1051" i="5"/>
  <c r="S1052" i="5"/>
  <c r="S1053" i="5"/>
  <c r="S1054" i="5"/>
  <c r="S1055" i="5"/>
  <c r="S1056" i="5"/>
  <c r="S1057" i="5"/>
  <c r="S1058" i="5"/>
  <c r="S1059" i="5"/>
  <c r="S1060" i="5"/>
  <c r="S1061" i="5"/>
  <c r="S1062" i="5"/>
  <c r="S1063" i="5"/>
  <c r="S1064" i="5"/>
  <c r="S1065" i="5"/>
  <c r="S1066" i="5"/>
  <c r="S1067" i="5"/>
  <c r="S1068" i="5"/>
  <c r="S1069" i="5"/>
  <c r="S1070" i="5"/>
  <c r="S1071" i="5"/>
  <c r="S1072" i="5"/>
  <c r="S1073" i="5"/>
  <c r="S1074" i="5"/>
  <c r="S1075" i="5"/>
  <c r="S1076" i="5"/>
  <c r="S1077" i="5"/>
  <c r="S1078" i="5"/>
  <c r="S1079" i="5"/>
  <c r="S1080" i="5"/>
  <c r="S1081" i="5"/>
  <c r="S1082" i="5"/>
  <c r="S1083" i="5"/>
  <c r="S1084" i="5"/>
  <c r="S1085" i="5"/>
  <c r="S1086" i="5"/>
  <c r="S1087" i="5"/>
  <c r="S1088" i="5"/>
  <c r="S1089" i="5"/>
  <c r="S1090" i="5"/>
  <c r="S1091" i="5"/>
  <c r="S1092" i="5"/>
  <c r="S1093" i="5"/>
  <c r="S1094" i="5"/>
  <c r="S1095" i="5"/>
  <c r="S1096" i="5"/>
  <c r="S1097" i="5"/>
  <c r="S1098" i="5"/>
  <c r="S1099" i="5"/>
  <c r="S1100" i="5"/>
  <c r="S1101" i="5"/>
  <c r="S1102" i="5"/>
  <c r="S1103" i="5"/>
  <c r="S1104" i="5"/>
  <c r="S1105" i="5"/>
  <c r="S1106" i="5"/>
  <c r="S1107" i="5"/>
  <c r="S1108" i="5"/>
  <c r="S1109" i="5"/>
  <c r="S1110" i="5"/>
  <c r="S1111" i="5"/>
  <c r="S1112" i="5"/>
  <c r="S1113" i="5"/>
  <c r="S1114" i="5"/>
  <c r="S1115" i="5"/>
  <c r="S1116" i="5"/>
  <c r="S1117" i="5"/>
  <c r="S1118" i="5"/>
  <c r="S1119" i="5"/>
  <c r="S1120" i="5"/>
  <c r="S1121" i="5"/>
  <c r="S1122" i="5"/>
  <c r="S1123" i="5"/>
  <c r="S1124" i="5"/>
  <c r="S1125" i="5"/>
  <c r="S1126" i="5"/>
  <c r="S1127" i="5"/>
  <c r="S1128" i="5"/>
  <c r="S1129" i="5"/>
  <c r="S1130" i="5"/>
  <c r="S1131" i="5"/>
  <c r="S1132" i="5"/>
  <c r="S1133" i="5"/>
  <c r="S1134" i="5"/>
  <c r="S1135" i="5"/>
  <c r="S1136" i="5"/>
  <c r="S1137" i="5"/>
  <c r="S1138" i="5"/>
  <c r="S1139" i="5"/>
  <c r="S1140" i="5"/>
  <c r="S1141" i="5"/>
  <c r="S1142" i="5"/>
  <c r="S1143" i="5"/>
  <c r="S1144" i="5"/>
  <c r="S1145" i="5"/>
  <c r="S1146" i="5"/>
  <c r="S1147" i="5"/>
  <c r="S1148" i="5"/>
  <c r="S1149" i="5"/>
  <c r="S1150" i="5"/>
  <c r="S1151" i="5"/>
  <c r="S1152" i="5"/>
  <c r="S1153" i="5"/>
  <c r="S1154" i="5"/>
  <c r="S1155" i="5"/>
  <c r="S1156" i="5"/>
  <c r="S1157" i="5"/>
  <c r="S1158" i="5"/>
  <c r="S1159" i="5"/>
  <c r="S1160" i="5"/>
  <c r="S1161" i="5"/>
  <c r="S1162" i="5"/>
  <c r="S1163" i="5"/>
  <c r="S1164" i="5"/>
  <c r="S1165" i="5"/>
  <c r="S1166" i="5"/>
  <c r="S1167" i="5"/>
  <c r="S1168" i="5"/>
  <c r="S1169" i="5"/>
  <c r="S1170" i="5"/>
  <c r="S1171" i="5"/>
  <c r="S1172" i="5"/>
  <c r="S1173" i="5"/>
  <c r="S1174" i="5"/>
  <c r="S1175" i="5"/>
  <c r="S1176" i="5"/>
  <c r="S1177" i="5"/>
  <c r="S1178" i="5"/>
  <c r="S1179" i="5"/>
  <c r="S1180" i="5"/>
  <c r="S1181" i="5"/>
  <c r="S1182" i="5"/>
  <c r="S1183" i="5"/>
  <c r="S1184" i="5"/>
  <c r="S1185" i="5"/>
  <c r="S1186" i="5"/>
  <c r="S1187" i="5"/>
  <c r="S1188" i="5"/>
  <c r="S1189" i="5"/>
  <c r="S1190" i="5"/>
  <c r="S1191" i="5"/>
  <c r="S1192" i="5"/>
  <c r="S1193" i="5"/>
  <c r="S1194" i="5"/>
  <c r="S1195" i="5"/>
  <c r="S1196" i="5"/>
  <c r="S1197" i="5"/>
  <c r="S1198" i="5"/>
  <c r="S1199" i="5"/>
  <c r="S1200" i="5"/>
  <c r="S1201" i="5"/>
  <c r="S1202" i="5"/>
  <c r="S1203" i="5"/>
  <c r="S1204" i="5"/>
  <c r="S1205" i="5"/>
  <c r="S1206" i="5"/>
  <c r="S1207" i="5"/>
  <c r="S1208" i="5"/>
  <c r="S1209" i="5"/>
  <c r="S1210" i="5"/>
  <c r="S1211" i="5"/>
  <c r="S1212" i="5"/>
  <c r="S1213" i="5"/>
  <c r="S1214" i="5"/>
  <c r="S1215" i="5"/>
  <c r="S1216" i="5"/>
  <c r="S1217" i="5"/>
  <c r="S1218" i="5"/>
  <c r="S1219" i="5"/>
  <c r="S1220" i="5"/>
  <c r="S1221" i="5"/>
  <c r="S1222" i="5"/>
  <c r="S1223" i="5"/>
  <c r="S1224" i="5"/>
  <c r="S1225" i="5"/>
  <c r="S1226" i="5"/>
  <c r="S1227" i="5"/>
  <c r="S1228" i="5"/>
  <c r="S1229" i="5"/>
  <c r="S1230" i="5"/>
  <c r="S1231" i="5"/>
  <c r="S1232" i="5"/>
  <c r="S1233" i="5"/>
  <c r="S1234" i="5"/>
  <c r="S1235" i="5"/>
  <c r="S1236" i="5"/>
  <c r="S1237" i="5"/>
  <c r="S1238" i="5"/>
  <c r="S1239" i="5"/>
  <c r="S1240" i="5"/>
  <c r="S1241" i="5"/>
  <c r="S1242" i="5"/>
  <c r="S1243" i="5"/>
  <c r="S1244" i="5"/>
  <c r="S1245" i="5"/>
  <c r="S1246" i="5"/>
  <c r="S1247" i="5"/>
  <c r="S1248" i="5"/>
  <c r="S1249" i="5"/>
  <c r="S1250" i="5"/>
  <c r="S1251" i="5"/>
  <c r="S1252" i="5"/>
  <c r="S1253" i="5"/>
  <c r="S1254" i="5"/>
  <c r="S1255" i="5"/>
  <c r="S1256" i="5"/>
  <c r="S1257" i="5"/>
  <c r="S1258" i="5"/>
  <c r="S1259" i="5"/>
  <c r="S1260" i="5"/>
  <c r="S1261" i="5"/>
  <c r="S1262" i="5"/>
  <c r="S1263" i="5"/>
  <c r="S1264" i="5"/>
  <c r="S1265" i="5"/>
  <c r="S1266" i="5"/>
  <c r="S1267" i="5"/>
  <c r="S1268" i="5"/>
  <c r="S1269" i="5"/>
  <c r="S1270" i="5"/>
  <c r="S1271" i="5"/>
  <c r="S1272" i="5"/>
  <c r="S1273" i="5"/>
  <c r="S1274" i="5"/>
  <c r="S1275" i="5"/>
  <c r="S1276" i="5"/>
  <c r="S1277" i="5"/>
  <c r="S1278" i="5"/>
  <c r="S1279" i="5"/>
  <c r="S1280" i="5"/>
  <c r="S1281" i="5"/>
  <c r="S1282" i="5"/>
  <c r="S1283" i="5"/>
  <c r="S1284" i="5"/>
  <c r="S1285" i="5"/>
  <c r="S1286" i="5"/>
  <c r="S1287" i="5"/>
  <c r="S1288" i="5"/>
  <c r="S1289" i="5"/>
  <c r="S1290" i="5"/>
  <c r="S1291" i="5"/>
  <c r="S1292" i="5"/>
  <c r="S1293" i="5"/>
  <c r="S1294" i="5"/>
  <c r="S1295" i="5"/>
  <c r="S1296" i="5"/>
  <c r="S1297" i="5"/>
  <c r="S1298" i="5"/>
  <c r="S1299" i="5"/>
  <c r="S1300" i="5"/>
  <c r="S1301" i="5"/>
  <c r="S1302" i="5"/>
  <c r="S1303" i="5"/>
  <c r="S1304" i="5"/>
  <c r="S1305" i="5"/>
  <c r="S1306" i="5"/>
  <c r="S1307" i="5"/>
  <c r="S1308" i="5"/>
  <c r="S1309" i="5"/>
  <c r="S1310" i="5"/>
  <c r="S1311" i="5"/>
  <c r="S1312" i="5"/>
  <c r="S1313" i="5"/>
  <c r="S1314" i="5"/>
  <c r="S1315" i="5"/>
  <c r="S1316" i="5"/>
  <c r="S1317" i="5"/>
  <c r="S1318" i="5"/>
  <c r="S1319" i="5"/>
  <c r="S1320" i="5"/>
  <c r="S1321" i="5"/>
  <c r="S1322" i="5"/>
  <c r="S1323" i="5"/>
  <c r="S1324" i="5"/>
  <c r="S1325" i="5"/>
  <c r="S1326" i="5"/>
  <c r="S1327" i="5"/>
  <c r="S1328" i="5"/>
  <c r="S1329" i="5"/>
  <c r="S1330" i="5"/>
  <c r="S1331" i="5"/>
  <c r="S1332" i="5"/>
  <c r="S1333" i="5"/>
  <c r="S1334" i="5"/>
  <c r="S1335" i="5"/>
  <c r="S1336" i="5"/>
  <c r="S1337" i="5"/>
  <c r="S1338" i="5"/>
  <c r="S1339" i="5"/>
  <c r="S1340" i="5"/>
  <c r="S1341" i="5"/>
  <c r="S1342" i="5"/>
  <c r="S1343" i="5"/>
  <c r="S1344" i="5"/>
  <c r="S1345" i="5"/>
  <c r="S1346" i="5"/>
  <c r="S1347" i="5"/>
  <c r="S1348" i="5"/>
  <c r="S1349" i="5"/>
  <c r="S1350" i="5"/>
  <c r="S1351" i="5"/>
  <c r="S1352" i="5"/>
  <c r="S1353" i="5"/>
  <c r="S1354" i="5"/>
  <c r="S1355" i="5"/>
  <c r="S1356" i="5"/>
  <c r="S1357" i="5"/>
  <c r="S1358" i="5"/>
  <c r="S1359" i="5"/>
  <c r="S1360" i="5"/>
  <c r="S1361" i="5"/>
  <c r="S1362" i="5"/>
  <c r="S1363" i="5"/>
  <c r="S1364" i="5"/>
  <c r="S1365" i="5"/>
  <c r="S1366" i="5"/>
  <c r="S1367" i="5"/>
  <c r="S1368" i="5"/>
  <c r="S1369" i="5"/>
  <c r="S1370" i="5"/>
  <c r="S1371" i="5"/>
  <c r="S1372" i="5"/>
  <c r="S1373" i="5"/>
  <c r="S1374" i="5"/>
  <c r="S1375" i="5"/>
  <c r="S1376" i="5"/>
  <c r="S1377" i="5"/>
  <c r="S1378" i="5"/>
  <c r="S1379" i="5"/>
  <c r="S1380" i="5"/>
  <c r="S1381" i="5"/>
  <c r="S1382" i="5"/>
  <c r="S1383" i="5"/>
  <c r="S1384" i="5"/>
  <c r="S1385" i="5"/>
  <c r="S1386" i="5"/>
  <c r="S1387" i="5"/>
  <c r="S1388" i="5"/>
  <c r="S1389" i="5"/>
  <c r="S1390" i="5"/>
  <c r="S1391" i="5"/>
  <c r="S1392" i="5"/>
  <c r="S1393" i="5"/>
  <c r="S1394" i="5"/>
  <c r="S1395" i="5"/>
  <c r="S1396" i="5"/>
  <c r="S1397" i="5"/>
  <c r="S1398" i="5"/>
  <c r="S1399" i="5"/>
  <c r="S1400" i="5"/>
  <c r="S1401" i="5"/>
  <c r="S1402" i="5"/>
  <c r="S1403" i="5"/>
  <c r="S1404" i="5"/>
  <c r="S1405" i="5"/>
  <c r="S1406" i="5"/>
  <c r="S1407" i="5"/>
  <c r="S1408" i="5"/>
  <c r="S1409" i="5"/>
  <c r="S1410" i="5"/>
  <c r="S1411" i="5"/>
  <c r="S1412" i="5"/>
  <c r="S1413" i="5"/>
  <c r="S1414" i="5"/>
  <c r="S1415" i="5"/>
  <c r="S1416" i="5"/>
  <c r="S1417" i="5"/>
  <c r="S1418" i="5"/>
  <c r="S1419" i="5"/>
  <c r="S1420" i="5"/>
  <c r="S1421" i="5"/>
  <c r="S1422" i="5"/>
  <c r="S1423" i="5"/>
  <c r="S1424" i="5"/>
  <c r="S1425" i="5"/>
  <c r="S1426" i="5"/>
  <c r="S1427" i="5"/>
  <c r="S1428" i="5"/>
  <c r="S1429" i="5"/>
  <c r="S1430" i="5"/>
  <c r="S1431" i="5"/>
  <c r="S1432" i="5"/>
  <c r="S1433" i="5"/>
  <c r="S1434" i="5"/>
  <c r="S1435" i="5"/>
  <c r="S1436" i="5"/>
  <c r="S1437" i="5"/>
  <c r="S1438" i="5"/>
  <c r="S1439" i="5"/>
  <c r="S1440" i="5"/>
  <c r="S1441" i="5"/>
  <c r="S1442" i="5"/>
  <c r="S1443" i="5"/>
  <c r="S1444" i="5"/>
  <c r="S1445" i="5"/>
  <c r="S1446" i="5"/>
  <c r="S1447" i="5"/>
  <c r="S1448" i="5"/>
  <c r="S1449" i="5"/>
  <c r="S1450" i="5"/>
  <c r="S1451" i="5"/>
  <c r="S1452" i="5"/>
  <c r="S1453" i="5"/>
  <c r="S1454" i="5"/>
  <c r="S1455" i="5"/>
  <c r="S1456" i="5"/>
  <c r="S1457" i="5"/>
  <c r="S1458" i="5"/>
  <c r="S1459" i="5"/>
  <c r="S1460" i="5"/>
  <c r="S1461" i="5"/>
  <c r="S1462" i="5"/>
  <c r="S1463" i="5"/>
  <c r="S1464" i="5"/>
  <c r="S1465" i="5"/>
  <c r="S1466" i="5"/>
  <c r="S1467" i="5"/>
  <c r="S1468" i="5"/>
  <c r="S1469" i="5"/>
  <c r="S1470" i="5"/>
  <c r="S1471" i="5"/>
  <c r="S1472" i="5"/>
  <c r="S1473" i="5"/>
  <c r="S1474" i="5"/>
  <c r="S1475" i="5"/>
  <c r="S1476" i="5"/>
  <c r="S1477" i="5"/>
  <c r="S1478" i="5"/>
  <c r="S1479" i="5"/>
  <c r="S1480" i="5"/>
  <c r="S1481" i="5"/>
  <c r="S1482" i="5"/>
  <c r="S1483" i="5"/>
  <c r="S1484" i="5"/>
  <c r="S1485" i="5"/>
  <c r="S1486" i="5"/>
  <c r="S1487" i="5"/>
  <c r="S1488" i="5"/>
  <c r="S1489" i="5"/>
  <c r="S1490" i="5"/>
  <c r="S1491" i="5"/>
  <c r="S1492" i="5"/>
  <c r="S1493" i="5"/>
  <c r="S1494" i="5"/>
  <c r="S1495" i="5"/>
  <c r="S1496" i="5"/>
  <c r="S1497" i="5"/>
  <c r="S1498" i="5"/>
  <c r="S1499" i="5"/>
  <c r="S1500" i="5"/>
  <c r="S1501" i="5"/>
  <c r="S1502" i="5"/>
  <c r="S1503" i="5"/>
  <c r="S1504" i="5"/>
  <c r="S1505" i="5"/>
  <c r="S1506" i="5"/>
  <c r="S1507" i="5"/>
  <c r="S1508" i="5"/>
  <c r="S1509" i="5"/>
  <c r="S1510" i="5"/>
  <c r="S1511" i="5"/>
  <c r="S1512" i="5"/>
  <c r="S1513" i="5"/>
  <c r="S1514" i="5"/>
  <c r="S1515" i="5"/>
  <c r="S1516" i="5"/>
  <c r="S1517" i="5"/>
  <c r="S1518" i="5"/>
  <c r="S1519" i="5"/>
  <c r="S1520" i="5"/>
  <c r="S1521" i="5"/>
  <c r="S1522" i="5"/>
  <c r="S1523" i="5"/>
  <c r="S1524" i="5"/>
  <c r="S1525" i="5"/>
  <c r="S1526" i="5"/>
  <c r="S1527" i="5"/>
  <c r="S1528" i="5"/>
  <c r="S1529" i="5"/>
  <c r="S1530" i="5"/>
  <c r="S1531" i="5"/>
  <c r="S1532" i="5"/>
  <c r="S1533" i="5"/>
  <c r="S1534" i="5"/>
  <c r="S1535" i="5"/>
  <c r="S1536" i="5"/>
  <c r="S1537" i="5"/>
  <c r="S1538" i="5"/>
  <c r="S1539" i="5"/>
  <c r="S1540" i="5"/>
  <c r="S1541" i="5"/>
  <c r="S1542" i="5"/>
  <c r="S1543" i="5"/>
  <c r="S1544" i="5"/>
  <c r="S1545" i="5"/>
  <c r="S1546" i="5"/>
  <c r="S1547" i="5"/>
  <c r="S1548" i="5"/>
  <c r="S1549" i="5"/>
  <c r="S1550" i="5"/>
  <c r="S1551" i="5"/>
  <c r="S1552" i="5"/>
  <c r="S1553" i="5"/>
  <c r="S1554" i="5"/>
  <c r="S1555" i="5"/>
  <c r="S1556" i="5"/>
  <c r="S1557" i="5"/>
  <c r="S1558" i="5"/>
  <c r="S1559" i="5"/>
  <c r="S1560" i="5"/>
  <c r="S1561" i="5"/>
  <c r="S1562" i="5"/>
  <c r="S1563" i="5"/>
  <c r="S1564" i="5"/>
  <c r="S1565" i="5"/>
  <c r="S1566" i="5"/>
  <c r="S1567" i="5"/>
  <c r="S1568" i="5"/>
  <c r="S1569" i="5"/>
  <c r="S1570" i="5"/>
  <c r="S1571" i="5"/>
  <c r="S1572" i="5"/>
  <c r="S1573" i="5"/>
  <c r="S1574" i="5"/>
  <c r="S1575" i="5"/>
  <c r="S1576" i="5"/>
  <c r="S1577" i="5"/>
  <c r="S1578" i="5"/>
  <c r="S1579" i="5"/>
  <c r="S1580" i="5"/>
  <c r="S1581" i="5"/>
  <c r="S1582" i="5"/>
  <c r="S1583" i="5"/>
  <c r="S1584" i="5"/>
  <c r="S1585" i="5"/>
  <c r="S1586" i="5"/>
  <c r="S1587" i="5"/>
  <c r="S1588" i="5"/>
  <c r="S1589" i="5"/>
  <c r="S1590" i="5"/>
  <c r="S1591" i="5"/>
  <c r="S1592" i="5"/>
  <c r="S1593" i="5"/>
  <c r="S1594" i="5"/>
  <c r="S1595" i="5"/>
  <c r="S1596" i="5"/>
  <c r="S1597" i="5"/>
  <c r="S1598" i="5"/>
  <c r="S1599" i="5"/>
  <c r="S1600" i="5"/>
  <c r="S1601" i="5"/>
  <c r="S1602" i="5"/>
  <c r="S1603" i="5"/>
  <c r="S1604" i="5"/>
  <c r="S1605" i="5"/>
  <c r="S1606" i="5"/>
  <c r="S1607" i="5"/>
  <c r="S1608" i="5"/>
  <c r="S1609" i="5"/>
  <c r="S1610" i="5"/>
  <c r="S1611" i="5"/>
  <c r="S1612" i="5"/>
  <c r="S1613" i="5"/>
  <c r="S1614" i="5"/>
  <c r="S1615" i="5"/>
  <c r="S1616" i="5"/>
  <c r="S1617" i="5"/>
  <c r="S1618" i="5"/>
  <c r="S1619" i="5"/>
  <c r="S1620" i="5"/>
  <c r="S1621" i="5"/>
  <c r="S1622" i="5"/>
  <c r="S1623" i="5"/>
  <c r="S1624" i="5"/>
  <c r="S1625" i="5"/>
  <c r="S1626" i="5"/>
  <c r="S1627" i="5"/>
  <c r="S1628" i="5"/>
  <c r="S1629" i="5"/>
  <c r="S1630" i="5"/>
  <c r="S1631" i="5"/>
  <c r="S1632" i="5"/>
  <c r="S1633" i="5"/>
  <c r="S1634" i="5"/>
  <c r="S1635" i="5"/>
  <c r="S1636" i="5"/>
  <c r="S1637" i="5"/>
  <c r="S1638" i="5"/>
  <c r="S1639" i="5"/>
  <c r="S1640" i="5"/>
  <c r="S1641" i="5"/>
  <c r="S1642" i="5"/>
  <c r="S1643" i="5"/>
  <c r="S1644" i="5"/>
  <c r="S1645" i="5"/>
  <c r="S1646" i="5"/>
  <c r="S1647" i="5"/>
  <c r="S1648" i="5"/>
  <c r="S1649" i="5"/>
  <c r="S1650" i="5"/>
  <c r="S1651" i="5"/>
  <c r="S1652" i="5"/>
  <c r="S1653" i="5"/>
  <c r="S1654" i="5"/>
  <c r="S1655" i="5"/>
  <c r="S1656" i="5"/>
  <c r="S1657" i="5"/>
  <c r="S1658" i="5"/>
  <c r="S1659" i="5"/>
  <c r="S1660" i="5"/>
  <c r="S1661" i="5"/>
  <c r="S1662" i="5"/>
  <c r="S1663" i="5"/>
  <c r="S1664" i="5"/>
  <c r="S1665" i="5"/>
  <c r="S1666" i="5"/>
  <c r="S1667" i="5"/>
  <c r="S1668" i="5"/>
  <c r="S1669" i="5"/>
  <c r="S1670" i="5"/>
  <c r="S1671" i="5"/>
  <c r="S1672" i="5"/>
  <c r="S1673" i="5"/>
  <c r="S1674" i="5"/>
  <c r="S1675" i="5"/>
  <c r="S1676" i="5"/>
  <c r="S1677" i="5"/>
  <c r="S1678" i="5"/>
  <c r="S1679" i="5"/>
  <c r="S1680" i="5"/>
  <c r="S1681" i="5"/>
  <c r="S1682" i="5"/>
  <c r="S1683" i="5"/>
  <c r="S1684" i="5"/>
  <c r="S1685" i="5"/>
  <c r="S1686" i="5"/>
  <c r="S1687" i="5"/>
  <c r="S1688" i="5"/>
  <c r="S1689" i="5"/>
  <c r="S1690" i="5"/>
  <c r="S1691" i="5"/>
  <c r="S1692" i="5"/>
  <c r="S1693" i="5"/>
  <c r="S1694" i="5"/>
  <c r="S1695" i="5"/>
  <c r="S1696" i="5"/>
  <c r="S1697" i="5"/>
  <c r="S1698" i="5"/>
  <c r="S1699" i="5"/>
  <c r="S1700" i="5"/>
  <c r="S1701" i="5"/>
  <c r="S1702" i="5"/>
  <c r="S1703" i="5"/>
  <c r="S1704" i="5"/>
  <c r="S1705" i="5"/>
  <c r="S1706" i="5"/>
  <c r="S1707" i="5"/>
  <c r="S1708" i="5"/>
  <c r="S1709" i="5"/>
  <c r="S1710" i="5"/>
  <c r="S1711" i="5"/>
  <c r="S1712" i="5"/>
  <c r="S1713" i="5"/>
  <c r="S1714" i="5"/>
  <c r="S1715" i="5"/>
  <c r="S1716" i="5"/>
  <c r="S1717" i="5"/>
  <c r="S1718" i="5"/>
  <c r="S1719" i="5"/>
  <c r="S1720" i="5"/>
  <c r="S1721" i="5"/>
  <c r="S1722" i="5"/>
  <c r="S1723" i="5"/>
  <c r="S1724" i="5"/>
  <c r="S1725" i="5"/>
  <c r="S1726" i="5"/>
  <c r="S1727" i="5"/>
  <c r="S1728" i="5"/>
  <c r="S1729" i="5"/>
  <c r="S1730" i="5"/>
  <c r="S1731" i="5"/>
  <c r="S1732" i="5"/>
  <c r="S1733" i="5"/>
  <c r="S1734" i="5"/>
  <c r="S1735" i="5"/>
  <c r="S1736" i="5"/>
  <c r="S1737" i="5"/>
  <c r="S1738" i="5"/>
  <c r="S1739" i="5"/>
  <c r="S1740" i="5"/>
  <c r="S1741" i="5"/>
  <c r="S1742" i="5"/>
  <c r="S1743" i="5"/>
  <c r="S1744" i="5"/>
  <c r="S1745" i="5"/>
  <c r="S1746" i="5"/>
  <c r="S1747" i="5"/>
  <c r="S1748" i="5"/>
  <c r="S1749" i="5"/>
  <c r="S1750" i="5"/>
  <c r="S1751" i="5"/>
  <c r="S1752" i="5"/>
  <c r="S1753" i="5"/>
  <c r="S1754" i="5"/>
  <c r="S1755" i="5"/>
  <c r="S1756" i="5"/>
  <c r="S1757" i="5"/>
  <c r="S1758" i="5"/>
  <c r="S1759" i="5"/>
  <c r="S1760" i="5"/>
  <c r="S1761" i="5"/>
  <c r="S1762" i="5"/>
  <c r="S1763" i="5"/>
  <c r="S1764" i="5"/>
  <c r="S1765" i="5"/>
  <c r="S1766" i="5"/>
  <c r="S1767" i="5"/>
  <c r="S1768" i="5"/>
  <c r="S1769" i="5"/>
  <c r="S1770" i="5"/>
  <c r="S1771" i="5"/>
  <c r="S1772" i="5"/>
  <c r="S1773" i="5"/>
  <c r="S1774" i="5"/>
  <c r="S1775" i="5"/>
  <c r="S1776" i="5"/>
  <c r="S1777" i="5"/>
  <c r="S1778" i="5"/>
  <c r="S1779" i="5"/>
  <c r="S1780" i="5"/>
  <c r="S1781" i="5"/>
  <c r="S1782" i="5"/>
  <c r="S1783" i="5"/>
  <c r="S1784" i="5"/>
  <c r="S1785" i="5"/>
  <c r="S1786" i="5"/>
  <c r="S1787" i="5"/>
  <c r="S1788" i="5"/>
  <c r="S1789" i="5"/>
  <c r="S1790" i="5"/>
  <c r="S1791" i="5"/>
  <c r="S1792" i="5"/>
  <c r="S1793" i="5"/>
  <c r="S1794" i="5"/>
  <c r="S1795" i="5"/>
  <c r="S1796" i="5"/>
  <c r="S1797" i="5"/>
  <c r="S1798" i="5"/>
  <c r="S1799" i="5"/>
  <c r="S1800" i="5"/>
  <c r="S1801" i="5"/>
  <c r="S1802" i="5"/>
  <c r="S1803" i="5"/>
  <c r="S1804" i="5"/>
  <c r="S1805" i="5"/>
  <c r="S1806" i="5"/>
  <c r="S1807" i="5"/>
  <c r="S1808" i="5"/>
  <c r="S1809" i="5"/>
  <c r="S1810" i="5"/>
  <c r="S1811" i="5"/>
  <c r="S1812" i="5"/>
  <c r="S1813" i="5"/>
  <c r="S1814" i="5"/>
  <c r="S1815" i="5"/>
  <c r="S1816" i="5"/>
  <c r="S1817" i="5"/>
  <c r="S1818" i="5"/>
  <c r="S1819" i="5"/>
  <c r="S1820" i="5"/>
  <c r="S1821" i="5"/>
  <c r="S1822" i="5"/>
  <c r="S1823" i="5"/>
  <c r="S1824" i="5"/>
  <c r="S1825" i="5"/>
  <c r="S1826" i="5"/>
  <c r="S1827" i="5"/>
  <c r="S1828" i="5"/>
  <c r="S1829" i="5"/>
  <c r="S1830" i="5"/>
  <c r="S1831" i="5"/>
  <c r="S1832" i="5"/>
  <c r="S1833" i="5"/>
  <c r="S1834" i="5"/>
  <c r="S1835" i="5"/>
  <c r="S1836" i="5"/>
  <c r="S1837" i="5"/>
  <c r="S1838" i="5"/>
  <c r="S1839" i="5"/>
  <c r="S1840" i="5"/>
  <c r="S1841" i="5"/>
  <c r="S1842" i="5"/>
  <c r="S1843" i="5"/>
  <c r="S1844" i="5"/>
  <c r="S1845" i="5"/>
  <c r="S1846" i="5"/>
  <c r="S1847" i="5"/>
  <c r="S1848" i="5"/>
  <c r="S1849" i="5"/>
  <c r="S1850" i="5"/>
  <c r="S1851" i="5"/>
  <c r="S1852" i="5"/>
  <c r="S1853" i="5"/>
  <c r="S1854" i="5"/>
  <c r="S1855" i="5"/>
  <c r="S1856" i="5"/>
  <c r="S1857" i="5"/>
  <c r="S1858" i="5"/>
  <c r="S1859" i="5"/>
  <c r="S1860" i="5"/>
  <c r="S1861" i="5"/>
  <c r="S1862" i="5"/>
  <c r="S1863" i="5"/>
  <c r="S1864" i="5"/>
  <c r="S1865" i="5"/>
  <c r="S1866" i="5"/>
  <c r="S1867" i="5"/>
  <c r="S1868" i="5"/>
  <c r="S1869" i="5"/>
  <c r="S1870" i="5"/>
  <c r="S1871" i="5"/>
  <c r="S1872" i="5"/>
  <c r="S1873" i="5"/>
  <c r="S1874" i="5"/>
  <c r="S1875" i="5"/>
  <c r="S1876" i="5"/>
  <c r="S1877" i="5"/>
  <c r="S1878" i="5"/>
  <c r="S1879" i="5"/>
  <c r="S1880" i="5"/>
  <c r="S1881" i="5"/>
  <c r="S1882" i="5"/>
  <c r="S1883" i="5"/>
  <c r="S1884" i="5"/>
  <c r="S1885" i="5"/>
  <c r="S1886" i="5"/>
  <c r="S1887" i="5"/>
  <c r="S1888" i="5"/>
  <c r="S1889" i="5"/>
  <c r="S1890" i="5"/>
  <c r="S1891" i="5"/>
  <c r="S1892" i="5"/>
  <c r="S1893" i="5"/>
  <c r="S1894" i="5"/>
  <c r="S1895" i="5"/>
  <c r="S1896" i="5"/>
  <c r="S1897" i="5"/>
  <c r="S1898" i="5"/>
  <c r="S1899" i="5"/>
  <c r="S1900" i="5"/>
  <c r="S1901" i="5"/>
  <c r="S1902" i="5"/>
  <c r="S1903" i="5"/>
  <c r="S1904" i="5"/>
  <c r="S1905" i="5"/>
  <c r="S1906" i="5"/>
  <c r="S1907" i="5"/>
  <c r="S1908" i="5"/>
  <c r="S1909" i="5"/>
  <c r="S1910" i="5"/>
  <c r="S1911" i="5"/>
  <c r="S1912" i="5"/>
  <c r="S1913" i="5"/>
  <c r="S1914" i="5"/>
  <c r="S1915" i="5"/>
  <c r="S1916" i="5"/>
  <c r="S1917" i="5"/>
  <c r="S1918" i="5"/>
  <c r="S1919" i="5"/>
  <c r="S1920" i="5"/>
  <c r="S1921" i="5"/>
  <c r="S1922" i="5"/>
  <c r="S1923" i="5"/>
  <c r="S1924" i="5"/>
  <c r="S1925" i="5"/>
  <c r="S1926" i="5"/>
  <c r="S1927" i="5"/>
  <c r="S1928" i="5"/>
  <c r="S1929" i="5"/>
  <c r="S1930" i="5"/>
  <c r="S1931" i="5"/>
  <c r="S1932" i="5"/>
  <c r="S1933" i="5"/>
  <c r="S1934" i="5"/>
  <c r="S1935" i="5"/>
  <c r="S1936" i="5"/>
  <c r="S1937" i="5"/>
  <c r="S1938" i="5"/>
  <c r="S1939" i="5"/>
  <c r="S1940" i="5"/>
  <c r="S1941" i="5"/>
  <c r="S1942" i="5"/>
  <c r="S1943" i="5"/>
  <c r="S1944" i="5"/>
  <c r="S1945" i="5"/>
  <c r="S1946" i="5"/>
  <c r="S1947" i="5"/>
  <c r="S1948" i="5"/>
  <c r="S1949" i="5"/>
  <c r="S1950" i="5"/>
  <c r="S1951" i="5"/>
  <c r="S1952" i="5"/>
  <c r="S1953" i="5"/>
  <c r="S1954" i="5"/>
  <c r="S1955" i="5"/>
  <c r="S1956" i="5"/>
  <c r="S1957" i="5"/>
  <c r="S1958" i="5"/>
  <c r="S1959" i="5"/>
  <c r="S1960" i="5"/>
  <c r="S1961" i="5"/>
  <c r="S1962" i="5"/>
  <c r="S1963" i="5"/>
  <c r="S1964" i="5"/>
  <c r="S1965" i="5"/>
  <c r="S1966" i="5"/>
  <c r="S1967" i="5"/>
  <c r="S1968" i="5"/>
  <c r="S1969" i="5"/>
  <c r="S1970" i="5"/>
  <c r="S1971" i="5"/>
  <c r="S1972" i="5"/>
  <c r="S1973" i="5"/>
  <c r="S1974" i="5"/>
  <c r="S1975" i="5"/>
  <c r="S1976" i="5"/>
  <c r="S1977" i="5"/>
  <c r="S1978" i="5"/>
  <c r="S1979" i="5"/>
  <c r="S1980" i="5"/>
  <c r="S1981" i="5"/>
  <c r="S1982" i="5"/>
  <c r="S1983" i="5"/>
  <c r="S1984" i="5"/>
  <c r="S1985" i="5"/>
  <c r="S1986" i="5"/>
  <c r="S1987" i="5"/>
  <c r="S1988" i="5"/>
  <c r="S1989" i="5"/>
  <c r="S1990" i="5"/>
  <c r="S1991" i="5"/>
  <c r="S1992" i="5"/>
  <c r="S1993" i="5"/>
  <c r="S1994" i="5"/>
  <c r="S1995" i="5"/>
  <c r="S1996" i="5"/>
  <c r="S1997" i="5"/>
  <c r="S1998" i="5"/>
  <c r="S1999" i="5"/>
  <c r="S2000" i="5"/>
  <c r="S2001" i="5"/>
  <c r="S2002" i="5"/>
  <c r="S2003" i="5"/>
  <c r="S2004" i="5"/>
  <c r="S2005" i="5"/>
  <c r="S2006" i="5"/>
  <c r="S2007" i="5"/>
  <c r="S2008" i="5"/>
  <c r="S2009" i="5"/>
  <c r="S2010" i="5"/>
  <c r="S2011" i="5"/>
  <c r="S2012" i="5"/>
  <c r="S2013" i="5"/>
  <c r="S2014" i="5"/>
  <c r="S2015" i="5"/>
  <c r="S2016" i="5"/>
  <c r="S2017" i="5"/>
  <c r="S2018" i="5"/>
  <c r="S2019" i="5"/>
  <c r="S2020" i="5"/>
  <c r="S2021" i="5"/>
  <c r="S2022" i="5"/>
  <c r="S2023" i="5"/>
  <c r="S2024" i="5"/>
  <c r="S2025" i="5"/>
  <c r="S2026" i="5"/>
  <c r="S2027" i="5"/>
  <c r="S2028" i="5"/>
  <c r="S2029" i="5"/>
  <c r="S2030" i="5"/>
  <c r="S2031" i="5"/>
  <c r="S2032" i="5"/>
  <c r="S2033" i="5"/>
  <c r="S2034" i="5"/>
  <c r="S2035" i="5"/>
  <c r="S2036" i="5"/>
  <c r="S2037" i="5"/>
  <c r="S2038" i="5"/>
  <c r="S2039" i="5"/>
  <c r="S2040" i="5"/>
  <c r="S2041" i="5"/>
  <c r="S2042" i="5"/>
  <c r="S2043" i="5"/>
  <c r="S2044" i="5"/>
  <c r="S2045" i="5"/>
  <c r="S2046" i="5"/>
  <c r="S2047" i="5"/>
  <c r="S2048" i="5"/>
  <c r="S2049" i="5"/>
  <c r="S2050" i="5"/>
  <c r="S2051" i="5"/>
  <c r="S2052" i="5"/>
  <c r="S2053" i="5"/>
  <c r="S2054" i="5"/>
  <c r="S2055" i="5"/>
  <c r="S2056" i="5"/>
  <c r="S2057" i="5"/>
  <c r="S2058" i="5"/>
  <c r="S2059" i="5"/>
  <c r="S2060" i="5"/>
  <c r="S2061" i="5"/>
  <c r="S2062" i="5"/>
  <c r="S2063" i="5"/>
  <c r="S2064" i="5"/>
  <c r="S2065" i="5"/>
  <c r="S2066" i="5"/>
  <c r="S2067" i="5"/>
  <c r="S2068" i="5"/>
  <c r="S2069" i="5"/>
  <c r="S2070" i="5"/>
  <c r="S2071" i="5"/>
  <c r="S2072" i="5"/>
  <c r="S2073" i="5"/>
  <c r="S2074" i="5"/>
  <c r="S2075" i="5"/>
  <c r="S2076" i="5"/>
  <c r="S2077" i="5"/>
  <c r="S2078" i="5"/>
  <c r="S2079" i="5"/>
  <c r="S2080" i="5"/>
  <c r="S2081" i="5"/>
  <c r="S2082" i="5"/>
  <c r="S2083" i="5"/>
  <c r="S2084" i="5"/>
  <c r="S2085" i="5"/>
  <c r="S2086" i="5"/>
  <c r="S2087" i="5"/>
  <c r="S2088" i="5"/>
  <c r="S2089" i="5"/>
  <c r="S2090" i="5"/>
  <c r="S2091" i="5"/>
  <c r="S2092" i="5"/>
  <c r="S2093" i="5"/>
  <c r="S2094" i="5"/>
  <c r="S2095" i="5"/>
  <c r="S2096" i="5"/>
  <c r="S2097" i="5"/>
  <c r="S2098" i="5"/>
  <c r="S2099" i="5"/>
  <c r="S2100" i="5"/>
  <c r="S2101" i="5"/>
  <c r="S2102" i="5"/>
  <c r="S2103" i="5"/>
  <c r="S2104" i="5"/>
  <c r="S2105" i="5"/>
  <c r="S2106" i="5"/>
  <c r="S2107" i="5"/>
  <c r="S2108" i="5"/>
  <c r="S2109" i="5"/>
  <c r="S2110" i="5"/>
  <c r="S2111" i="5"/>
  <c r="S2112" i="5"/>
  <c r="S2113" i="5"/>
  <c r="S2114" i="5"/>
  <c r="S2115" i="5"/>
  <c r="S2116" i="5"/>
  <c r="S2117" i="5"/>
  <c r="S2118" i="5"/>
  <c r="S2119" i="5"/>
  <c r="S2120" i="5"/>
  <c r="S2121" i="5"/>
  <c r="S2122" i="5"/>
  <c r="S2123" i="5"/>
  <c r="S2124" i="5"/>
  <c r="S2125" i="5"/>
  <c r="S2126" i="5"/>
  <c r="S2127" i="5"/>
  <c r="S2128" i="5"/>
  <c r="S2129" i="5"/>
  <c r="S2130" i="5"/>
  <c r="S2131" i="5"/>
  <c r="S2132" i="5"/>
  <c r="S2133" i="5"/>
  <c r="S2134" i="5"/>
  <c r="S2135" i="5"/>
  <c r="S2136" i="5"/>
  <c r="S2137" i="5"/>
  <c r="S2138" i="5"/>
  <c r="S2139" i="5"/>
  <c r="S2140" i="5"/>
  <c r="S2141" i="5"/>
  <c r="S2142" i="5"/>
  <c r="S2143" i="5"/>
  <c r="S2144" i="5"/>
  <c r="S2145" i="5"/>
  <c r="S2146" i="5"/>
  <c r="S2147" i="5"/>
  <c r="S2148" i="5"/>
  <c r="S2149" i="5"/>
  <c r="S2150" i="5"/>
  <c r="S2151" i="5"/>
  <c r="S2152" i="5"/>
  <c r="S2153" i="5"/>
  <c r="S2154" i="5"/>
  <c r="S2155" i="5"/>
  <c r="S2156" i="5"/>
  <c r="S2157" i="5"/>
  <c r="S2158" i="5"/>
  <c r="S2159" i="5"/>
  <c r="S2160" i="5"/>
  <c r="S2161" i="5"/>
  <c r="S2162" i="5"/>
  <c r="S2163" i="5"/>
  <c r="S2164" i="5"/>
  <c r="S2165" i="5"/>
  <c r="S2166" i="5"/>
  <c r="S2167" i="5"/>
  <c r="S2168" i="5"/>
  <c r="S2169" i="5"/>
  <c r="S2170" i="5"/>
  <c r="S2171" i="5"/>
  <c r="S2172" i="5"/>
  <c r="S2173" i="5"/>
  <c r="S2174" i="5"/>
  <c r="S2175" i="5"/>
  <c r="S2176" i="5"/>
  <c r="S2177" i="5"/>
  <c r="S2178" i="5"/>
  <c r="S2179" i="5"/>
  <c r="S2180" i="5"/>
  <c r="S2181" i="5"/>
  <c r="S2182" i="5"/>
  <c r="S2183" i="5"/>
  <c r="S2184" i="5"/>
  <c r="S2185" i="5"/>
  <c r="S2186" i="5"/>
  <c r="S2187" i="5"/>
  <c r="S2188" i="5"/>
  <c r="S2189" i="5"/>
  <c r="S2190" i="5"/>
  <c r="S2191" i="5"/>
  <c r="S2192" i="5"/>
  <c r="S2193" i="5"/>
  <c r="S2194" i="5"/>
  <c r="S2195" i="5"/>
  <c r="S2196" i="5"/>
  <c r="S2197" i="5"/>
  <c r="S2198" i="5"/>
  <c r="S2199" i="5"/>
  <c r="S2200" i="5"/>
  <c r="S2201" i="5"/>
  <c r="S2202" i="5"/>
  <c r="S2203" i="5"/>
  <c r="S2204" i="5"/>
  <c r="S2205" i="5"/>
  <c r="S2206" i="5"/>
  <c r="S2207" i="5"/>
  <c r="S2208" i="5"/>
  <c r="S2209" i="5"/>
  <c r="S2210" i="5"/>
  <c r="S2211" i="5"/>
  <c r="S2212" i="5"/>
  <c r="S2213" i="5"/>
  <c r="S2214" i="5"/>
  <c r="S2215" i="5"/>
  <c r="S2216" i="5"/>
  <c r="S2217" i="5"/>
  <c r="S2218" i="5"/>
  <c r="S2219" i="5"/>
  <c r="S2220" i="5"/>
  <c r="S2221" i="5"/>
  <c r="S2222" i="5"/>
  <c r="S2223" i="5"/>
  <c r="S2224" i="5"/>
  <c r="S2225" i="5"/>
  <c r="S2226" i="5"/>
  <c r="S2227" i="5"/>
  <c r="S2228" i="5"/>
  <c r="S2229" i="5"/>
  <c r="S2230" i="5"/>
  <c r="S2231" i="5"/>
  <c r="S2232" i="5"/>
  <c r="S2233" i="5"/>
  <c r="S2234" i="5"/>
  <c r="S2235" i="5"/>
  <c r="S2236" i="5"/>
  <c r="S2237" i="5"/>
  <c r="S2238" i="5"/>
  <c r="S2239" i="5"/>
  <c r="S2240" i="5"/>
  <c r="S2241" i="5"/>
  <c r="S2242" i="5"/>
  <c r="S2243" i="5"/>
  <c r="S2244" i="5"/>
  <c r="S2245" i="5"/>
  <c r="S2246" i="5"/>
  <c r="S2247" i="5"/>
  <c r="S2248" i="5"/>
  <c r="S2249" i="5"/>
  <c r="S2250" i="5"/>
  <c r="S2251" i="5"/>
  <c r="S2252" i="5"/>
  <c r="S2253" i="5"/>
  <c r="S2254" i="5"/>
  <c r="S2255" i="5"/>
  <c r="S2256" i="5"/>
  <c r="S2257" i="5"/>
  <c r="S2258" i="5"/>
  <c r="S2259" i="5"/>
  <c r="S2260" i="5"/>
  <c r="S2261" i="5"/>
  <c r="S2262" i="5"/>
  <c r="S2263" i="5"/>
  <c r="S2264" i="5"/>
  <c r="S2265" i="5"/>
  <c r="S2266" i="5"/>
  <c r="S2267" i="5"/>
  <c r="S2268" i="5"/>
  <c r="S2269" i="5"/>
  <c r="S2270" i="5"/>
  <c r="S2271" i="5"/>
  <c r="S2272" i="5"/>
  <c r="S2273" i="5"/>
  <c r="S2274" i="5"/>
  <c r="S2275" i="5"/>
  <c r="S2276" i="5"/>
  <c r="S2277" i="5"/>
  <c r="S2278" i="5"/>
  <c r="S2279" i="5"/>
  <c r="S2280" i="5"/>
  <c r="S2281" i="5"/>
  <c r="S2282" i="5"/>
  <c r="S2283" i="5"/>
  <c r="S2284" i="5"/>
  <c r="S2285" i="5"/>
  <c r="S2286" i="5"/>
  <c r="S2287" i="5"/>
  <c r="S2288" i="5"/>
  <c r="S2289" i="5"/>
  <c r="S2290" i="5"/>
  <c r="S2291" i="5"/>
  <c r="S2292" i="5"/>
  <c r="S2293" i="5"/>
  <c r="S2294" i="5"/>
  <c r="S2295" i="5"/>
  <c r="S2296" i="5"/>
  <c r="S2297" i="5"/>
  <c r="S2298" i="5"/>
  <c r="S2299" i="5"/>
  <c r="S2300" i="5"/>
  <c r="S2301" i="5"/>
  <c r="S2302" i="5"/>
  <c r="S2303" i="5"/>
  <c r="S2304" i="5"/>
  <c r="S2305" i="5"/>
  <c r="S2306" i="5"/>
  <c r="S2307" i="5"/>
  <c r="S2308" i="5"/>
  <c r="S2309" i="5"/>
  <c r="S2310" i="5"/>
  <c r="S2311" i="5"/>
  <c r="S2312" i="5"/>
  <c r="S2313" i="5"/>
  <c r="S2314" i="5"/>
  <c r="S2315" i="5"/>
  <c r="S2316" i="5"/>
  <c r="S2317" i="5"/>
  <c r="S2318" i="5"/>
  <c r="S2319" i="5"/>
  <c r="S2320" i="5"/>
  <c r="S2321" i="5"/>
  <c r="S2322" i="5"/>
  <c r="S2323" i="5"/>
  <c r="S2324" i="5"/>
  <c r="S2325" i="5"/>
  <c r="S2326" i="5"/>
  <c r="S2327" i="5"/>
  <c r="S2328" i="5"/>
  <c r="S2329" i="5"/>
  <c r="S2330" i="5"/>
  <c r="S2331" i="5"/>
  <c r="S2332" i="5"/>
  <c r="S2333" i="5"/>
  <c r="S2334" i="5"/>
  <c r="S2335" i="5"/>
  <c r="S2336" i="5"/>
  <c r="S2337" i="5"/>
  <c r="S2338" i="5"/>
  <c r="S2339" i="5"/>
  <c r="S2340" i="5"/>
  <c r="S2341" i="5"/>
  <c r="S2342" i="5"/>
  <c r="S2343" i="5"/>
  <c r="S2344" i="5"/>
  <c r="S2345" i="5"/>
  <c r="S2346" i="5"/>
  <c r="S2347" i="5"/>
  <c r="S2348" i="5"/>
  <c r="S2349" i="5"/>
  <c r="S2350" i="5"/>
  <c r="S2351" i="5"/>
  <c r="S2352" i="5"/>
  <c r="S2353" i="5"/>
  <c r="S2354" i="5"/>
  <c r="S2355" i="5"/>
  <c r="S2356" i="5"/>
  <c r="S2357" i="5"/>
  <c r="S2358" i="5"/>
  <c r="S2359" i="5"/>
  <c r="S2360" i="5"/>
  <c r="S2361" i="5"/>
  <c r="S2362" i="5"/>
  <c r="S2363" i="5"/>
  <c r="S2364" i="5"/>
  <c r="S2365" i="5"/>
  <c r="S2366" i="5"/>
  <c r="S2367" i="5"/>
  <c r="S2368" i="5"/>
  <c r="S2369" i="5"/>
  <c r="S2370" i="5"/>
  <c r="S2371" i="5"/>
  <c r="S2372" i="5"/>
  <c r="S2373" i="5"/>
  <c r="S2374" i="5"/>
  <c r="S2375" i="5"/>
  <c r="S2376" i="5"/>
  <c r="S2377" i="5"/>
  <c r="S2378" i="5"/>
  <c r="S2379" i="5"/>
  <c r="S2380" i="5"/>
  <c r="S2381" i="5"/>
  <c r="S2382" i="5"/>
  <c r="S2383" i="5"/>
  <c r="S2384" i="5"/>
  <c r="S2385" i="5"/>
  <c r="S2386" i="5"/>
  <c r="S2387" i="5"/>
  <c r="S2388" i="5"/>
  <c r="S2389" i="5"/>
  <c r="S2390" i="5"/>
  <c r="S2391" i="5"/>
  <c r="S2392" i="5"/>
  <c r="S2393" i="5"/>
  <c r="S2394" i="5"/>
  <c r="S2395" i="5"/>
  <c r="S2396" i="5"/>
  <c r="S2397" i="5"/>
  <c r="S2398" i="5"/>
  <c r="S2399" i="5"/>
  <c r="S2400" i="5"/>
  <c r="S2401" i="5"/>
  <c r="S2402" i="5"/>
  <c r="S2403" i="5"/>
  <c r="S2404" i="5"/>
  <c r="S2405" i="5"/>
  <c r="S2406" i="5"/>
  <c r="S2407" i="5"/>
  <c r="S2408" i="5"/>
  <c r="S2409" i="5"/>
  <c r="S2410" i="5"/>
  <c r="S2411" i="5"/>
  <c r="S2412" i="5"/>
  <c r="S2413" i="5"/>
  <c r="S2414" i="5"/>
  <c r="S2415" i="5"/>
  <c r="S2416" i="5"/>
  <c r="S2417" i="5"/>
  <c r="S2418" i="5"/>
  <c r="S2419" i="5"/>
  <c r="S2420" i="5"/>
  <c r="S2421" i="5"/>
  <c r="S2422" i="5"/>
  <c r="S2423" i="5"/>
  <c r="S2424" i="5"/>
  <c r="S2425" i="5"/>
  <c r="S2426" i="5"/>
  <c r="S2427" i="5"/>
  <c r="S2428" i="5"/>
  <c r="S2429" i="5"/>
  <c r="S2430" i="5"/>
  <c r="S2431" i="5"/>
  <c r="S2432" i="5"/>
  <c r="S2433" i="5"/>
  <c r="S2434" i="5"/>
  <c r="S2435" i="5"/>
  <c r="S2436" i="5"/>
  <c r="S2437" i="5"/>
  <c r="S2438" i="5"/>
  <c r="S2439" i="5"/>
  <c r="S2440" i="5"/>
  <c r="S2441" i="5"/>
  <c r="S2442" i="5"/>
  <c r="S2443" i="5"/>
  <c r="S2444" i="5"/>
  <c r="S2445" i="5"/>
  <c r="S2446" i="5"/>
  <c r="S2447" i="5"/>
  <c r="S2448" i="5"/>
  <c r="S2449" i="5"/>
  <c r="S2450" i="5"/>
  <c r="S2451" i="5"/>
  <c r="S2452" i="5"/>
  <c r="S2453" i="5"/>
  <c r="S2454" i="5"/>
  <c r="S2455" i="5"/>
  <c r="S2456" i="5"/>
  <c r="S2457" i="5"/>
  <c r="S2458" i="5"/>
  <c r="S2459" i="5"/>
  <c r="S2460" i="5"/>
  <c r="S2461" i="5"/>
  <c r="S2462" i="5"/>
  <c r="S2463" i="5"/>
  <c r="S2464" i="5"/>
  <c r="S2465" i="5"/>
  <c r="S2466" i="5"/>
  <c r="S2467" i="5"/>
  <c r="S2468" i="5"/>
  <c r="S2469" i="5"/>
  <c r="S2470" i="5"/>
  <c r="S2471" i="5"/>
  <c r="S2472" i="5"/>
  <c r="S2473" i="5"/>
  <c r="S2474" i="5"/>
  <c r="S2475" i="5"/>
  <c r="S2476" i="5"/>
  <c r="S2477" i="5"/>
  <c r="S2478" i="5"/>
  <c r="S2479" i="5"/>
  <c r="S2480" i="5"/>
  <c r="S2481" i="5"/>
  <c r="S2482" i="5"/>
  <c r="S2483" i="5"/>
  <c r="S2484" i="5"/>
  <c r="S2485" i="5"/>
  <c r="S2486" i="5"/>
  <c r="S2487" i="5"/>
  <c r="S2488" i="5"/>
  <c r="S2489" i="5"/>
  <c r="S2490" i="5"/>
  <c r="S2491" i="5"/>
  <c r="S2492" i="5"/>
  <c r="S2493" i="5"/>
  <c r="S2494" i="5"/>
  <c r="S2495" i="5"/>
  <c r="S2496" i="5"/>
  <c r="S2497" i="5"/>
  <c r="S2498" i="5"/>
  <c r="S2499" i="5"/>
  <c r="S2500" i="5"/>
  <c r="S2501" i="5"/>
  <c r="S2502" i="5"/>
  <c r="S2503" i="5"/>
  <c r="S2504" i="5"/>
  <c r="S2505" i="5"/>
  <c r="S2506" i="5"/>
  <c r="S2507" i="5"/>
  <c r="S2508" i="5"/>
  <c r="S2509" i="5"/>
  <c r="S2510" i="5"/>
  <c r="S2511" i="5"/>
  <c r="S2512" i="5"/>
  <c r="S2513" i="5"/>
  <c r="S2514" i="5"/>
  <c r="S2515" i="5"/>
  <c r="S2516" i="5"/>
  <c r="S2517" i="5"/>
  <c r="S2518" i="5"/>
  <c r="S2519" i="5"/>
  <c r="S2520" i="5"/>
  <c r="S2521" i="5"/>
  <c r="S2522" i="5"/>
  <c r="S2523" i="5"/>
  <c r="S2524" i="5"/>
  <c r="S2525" i="5"/>
  <c r="S2526" i="5"/>
  <c r="S2527" i="5"/>
  <c r="S2528" i="5"/>
  <c r="S2529" i="5"/>
  <c r="S2530" i="5"/>
  <c r="S2531" i="5"/>
  <c r="S2532" i="5"/>
  <c r="S2533" i="5"/>
  <c r="S2534" i="5"/>
  <c r="S2535" i="5"/>
  <c r="S2536" i="5"/>
  <c r="S2537" i="5"/>
  <c r="S2538" i="5"/>
  <c r="S2539" i="5"/>
  <c r="S2540" i="5"/>
  <c r="S2541" i="5"/>
  <c r="S2542" i="5"/>
  <c r="S2543" i="5"/>
  <c r="S2544" i="5"/>
  <c r="S2545" i="5"/>
  <c r="S2546" i="5"/>
  <c r="S2547" i="5"/>
  <c r="S2548" i="5"/>
  <c r="S2549" i="5"/>
  <c r="S2550" i="5"/>
  <c r="S2551" i="5"/>
  <c r="S2552" i="5"/>
  <c r="S2553" i="5"/>
  <c r="S2554" i="5"/>
  <c r="S2555" i="5"/>
  <c r="S2556" i="5"/>
  <c r="S2557" i="5"/>
  <c r="S2558" i="5"/>
  <c r="S2559" i="5"/>
  <c r="S2560" i="5"/>
  <c r="S2561" i="5"/>
  <c r="S2562" i="5"/>
  <c r="S2563" i="5"/>
  <c r="S2564" i="5"/>
  <c r="S2565" i="5"/>
  <c r="S2566" i="5"/>
  <c r="S2567" i="5"/>
  <c r="S2568" i="5"/>
  <c r="S2569" i="5"/>
  <c r="S2570" i="5"/>
  <c r="S2571" i="5"/>
  <c r="S2572" i="5"/>
  <c r="S2573" i="5"/>
  <c r="S2574" i="5"/>
  <c r="S2575" i="5"/>
  <c r="S2576" i="5"/>
  <c r="S2577" i="5"/>
  <c r="S2578" i="5"/>
  <c r="S2579" i="5"/>
  <c r="S2580" i="5"/>
  <c r="S2581" i="5"/>
  <c r="S2582" i="5"/>
  <c r="S2583" i="5"/>
  <c r="S2584" i="5"/>
  <c r="S2585" i="5"/>
  <c r="S2586" i="5"/>
  <c r="S2587" i="5"/>
  <c r="S2588" i="5"/>
  <c r="S2589" i="5"/>
  <c r="S2590" i="5"/>
  <c r="S2591" i="5"/>
  <c r="S2592" i="5"/>
  <c r="S2593" i="5"/>
  <c r="S2594" i="5"/>
  <c r="S2595" i="5"/>
  <c r="S2596" i="5"/>
  <c r="S2597" i="5"/>
  <c r="S2598" i="5"/>
  <c r="S2599" i="5"/>
  <c r="S2600" i="5"/>
  <c r="S2601" i="5"/>
  <c r="S2602" i="5"/>
  <c r="S2603" i="5"/>
  <c r="S2604" i="5"/>
  <c r="S2605" i="5"/>
  <c r="S2606" i="5"/>
  <c r="S2607" i="5"/>
  <c r="S2608" i="5"/>
  <c r="S2609" i="5"/>
  <c r="S2610" i="5"/>
  <c r="S2611" i="5"/>
  <c r="S2612" i="5"/>
  <c r="S2613" i="5"/>
  <c r="S2614" i="5"/>
  <c r="S2615" i="5"/>
  <c r="S2616" i="5"/>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1002" i="5"/>
  <c r="R1003" i="5"/>
  <c r="R1004" i="5"/>
  <c r="R1005" i="5"/>
  <c r="R1006" i="5"/>
  <c r="R1007" i="5"/>
  <c r="R1008" i="5"/>
  <c r="R1009" i="5"/>
  <c r="R1010" i="5"/>
  <c r="R1011" i="5"/>
  <c r="R1012" i="5"/>
  <c r="R1013" i="5"/>
  <c r="R1014" i="5"/>
  <c r="R1015" i="5"/>
  <c r="R1016" i="5"/>
  <c r="R1017" i="5"/>
  <c r="R1018" i="5"/>
  <c r="R1019" i="5"/>
  <c r="R1020" i="5"/>
  <c r="R1021" i="5"/>
  <c r="R1022" i="5"/>
  <c r="R1023" i="5"/>
  <c r="R1024" i="5"/>
  <c r="R1025" i="5"/>
  <c r="R1026" i="5"/>
  <c r="R1027" i="5"/>
  <c r="R1028" i="5"/>
  <c r="R1029" i="5"/>
  <c r="R1030" i="5"/>
  <c r="R1031" i="5"/>
  <c r="R1032" i="5"/>
  <c r="R1033" i="5"/>
  <c r="R1034" i="5"/>
  <c r="R1035" i="5"/>
  <c r="R1036" i="5"/>
  <c r="R1037" i="5"/>
  <c r="R1038" i="5"/>
  <c r="R1039" i="5"/>
  <c r="R1040" i="5"/>
  <c r="R1041" i="5"/>
  <c r="R1042" i="5"/>
  <c r="R1043" i="5"/>
  <c r="R1044" i="5"/>
  <c r="R1045" i="5"/>
  <c r="R1046" i="5"/>
  <c r="R1047" i="5"/>
  <c r="R1048" i="5"/>
  <c r="R1049" i="5"/>
  <c r="R1050" i="5"/>
  <c r="R1051" i="5"/>
  <c r="R1052" i="5"/>
  <c r="R1053" i="5"/>
  <c r="R1054" i="5"/>
  <c r="R1055" i="5"/>
  <c r="R1056" i="5"/>
  <c r="R1057" i="5"/>
  <c r="R1058" i="5"/>
  <c r="R1059" i="5"/>
  <c r="R1060" i="5"/>
  <c r="R1061" i="5"/>
  <c r="R1062" i="5"/>
  <c r="R1063" i="5"/>
  <c r="R1064" i="5"/>
  <c r="R1065" i="5"/>
  <c r="R1066" i="5"/>
  <c r="R1067" i="5"/>
  <c r="R1068" i="5"/>
  <c r="R1069" i="5"/>
  <c r="R1070" i="5"/>
  <c r="R1071" i="5"/>
  <c r="R1072" i="5"/>
  <c r="R1073" i="5"/>
  <c r="R1074" i="5"/>
  <c r="R1075" i="5"/>
  <c r="R1076" i="5"/>
  <c r="R1077" i="5"/>
  <c r="R1078" i="5"/>
  <c r="R1079" i="5"/>
  <c r="R1080" i="5"/>
  <c r="R1081" i="5"/>
  <c r="R1082" i="5"/>
  <c r="R1083" i="5"/>
  <c r="R1084" i="5"/>
  <c r="R1085" i="5"/>
  <c r="R1086" i="5"/>
  <c r="R1087" i="5"/>
  <c r="R1088" i="5"/>
  <c r="R1089" i="5"/>
  <c r="R1090" i="5"/>
  <c r="R1091" i="5"/>
  <c r="R1092" i="5"/>
  <c r="R1093" i="5"/>
  <c r="R1094" i="5"/>
  <c r="R1095" i="5"/>
  <c r="R1096" i="5"/>
  <c r="R1097" i="5"/>
  <c r="R1098" i="5"/>
  <c r="R1099" i="5"/>
  <c r="R1100" i="5"/>
  <c r="R1101" i="5"/>
  <c r="R1102" i="5"/>
  <c r="R1103" i="5"/>
  <c r="R1104" i="5"/>
  <c r="R1105" i="5"/>
  <c r="R1106" i="5"/>
  <c r="R1107" i="5"/>
  <c r="R1108" i="5"/>
  <c r="R1109" i="5"/>
  <c r="R1110" i="5"/>
  <c r="R1111" i="5"/>
  <c r="R1112" i="5"/>
  <c r="R1113" i="5"/>
  <c r="R1114" i="5"/>
  <c r="R1115" i="5"/>
  <c r="R1116" i="5"/>
  <c r="R1117" i="5"/>
  <c r="R1118" i="5"/>
  <c r="R1119" i="5"/>
  <c r="R1120" i="5"/>
  <c r="R1121" i="5"/>
  <c r="R1122" i="5"/>
  <c r="R1123" i="5"/>
  <c r="R1124" i="5"/>
  <c r="R1125" i="5"/>
  <c r="R1126" i="5"/>
  <c r="R1127" i="5"/>
  <c r="R1128" i="5"/>
  <c r="R1129" i="5"/>
  <c r="R1130" i="5"/>
  <c r="R1131" i="5"/>
  <c r="R1132" i="5"/>
  <c r="R1133" i="5"/>
  <c r="R1134" i="5"/>
  <c r="R1135" i="5"/>
  <c r="R1136" i="5"/>
  <c r="R1137" i="5"/>
  <c r="R1138" i="5"/>
  <c r="R1139" i="5"/>
  <c r="R1140" i="5"/>
  <c r="R1141" i="5"/>
  <c r="R1142" i="5"/>
  <c r="R1143" i="5"/>
  <c r="R1144" i="5"/>
  <c r="R1145" i="5"/>
  <c r="R1146" i="5"/>
  <c r="R1147" i="5"/>
  <c r="R1148" i="5"/>
  <c r="R1149" i="5"/>
  <c r="R1150" i="5"/>
  <c r="R1151" i="5"/>
  <c r="R1152" i="5"/>
  <c r="R1153" i="5"/>
  <c r="R1154" i="5"/>
  <c r="R1155" i="5"/>
  <c r="R1156" i="5"/>
  <c r="R1157" i="5"/>
  <c r="R1158" i="5"/>
  <c r="R1159" i="5"/>
  <c r="R1160" i="5"/>
  <c r="R1161" i="5"/>
  <c r="R1162" i="5"/>
  <c r="R1163" i="5"/>
  <c r="R1164" i="5"/>
  <c r="R1165" i="5"/>
  <c r="R1166" i="5"/>
  <c r="R1167" i="5"/>
  <c r="R1168" i="5"/>
  <c r="R1169" i="5"/>
  <c r="R1170" i="5"/>
  <c r="R1171" i="5"/>
  <c r="R1172" i="5"/>
  <c r="R1173" i="5"/>
  <c r="R1174" i="5"/>
  <c r="R1175" i="5"/>
  <c r="R1176" i="5"/>
  <c r="R1177" i="5"/>
  <c r="R1178" i="5"/>
  <c r="R1179" i="5"/>
  <c r="R1180" i="5"/>
  <c r="R1181" i="5"/>
  <c r="R1182" i="5"/>
  <c r="R1183" i="5"/>
  <c r="R1184" i="5"/>
  <c r="R1185" i="5"/>
  <c r="R1186" i="5"/>
  <c r="R1187" i="5"/>
  <c r="R1188" i="5"/>
  <c r="R1189" i="5"/>
  <c r="R1190" i="5"/>
  <c r="R1191" i="5"/>
  <c r="R1192" i="5"/>
  <c r="R1193" i="5"/>
  <c r="R1194" i="5"/>
  <c r="R1195" i="5"/>
  <c r="R1196" i="5"/>
  <c r="R1197" i="5"/>
  <c r="R1198" i="5"/>
  <c r="R1199" i="5"/>
  <c r="R1200" i="5"/>
  <c r="R1201" i="5"/>
  <c r="R1202" i="5"/>
  <c r="R1203" i="5"/>
  <c r="R1204" i="5"/>
  <c r="R1205" i="5"/>
  <c r="R1206" i="5"/>
  <c r="R1207" i="5"/>
  <c r="R1208" i="5"/>
  <c r="R1209" i="5"/>
  <c r="R1210" i="5"/>
  <c r="R1211" i="5"/>
  <c r="R1212" i="5"/>
  <c r="R1213" i="5"/>
  <c r="R1214" i="5"/>
  <c r="R1215" i="5"/>
  <c r="R1216" i="5"/>
  <c r="R1217" i="5"/>
  <c r="R1218" i="5"/>
  <c r="R1219" i="5"/>
  <c r="R1220" i="5"/>
  <c r="R1221" i="5"/>
  <c r="R1222" i="5"/>
  <c r="R1223" i="5"/>
  <c r="R1224" i="5"/>
  <c r="R1225" i="5"/>
  <c r="R1226" i="5"/>
  <c r="R1227" i="5"/>
  <c r="R1228" i="5"/>
  <c r="R1229" i="5"/>
  <c r="R1230" i="5"/>
  <c r="R1231" i="5"/>
  <c r="R1232" i="5"/>
  <c r="R1233" i="5"/>
  <c r="R1234" i="5"/>
  <c r="R1235" i="5"/>
  <c r="R1236" i="5"/>
  <c r="R1237" i="5"/>
  <c r="R1238" i="5"/>
  <c r="R1239" i="5"/>
  <c r="R1240" i="5"/>
  <c r="R1241" i="5"/>
  <c r="R1242" i="5"/>
  <c r="R1243" i="5"/>
  <c r="R1244" i="5"/>
  <c r="R1245" i="5"/>
  <c r="R1246" i="5"/>
  <c r="R1247" i="5"/>
  <c r="R1248" i="5"/>
  <c r="R1249" i="5"/>
  <c r="R1250" i="5"/>
  <c r="R1251" i="5"/>
  <c r="R1252" i="5"/>
  <c r="R1253" i="5"/>
  <c r="R1254" i="5"/>
  <c r="R1255" i="5"/>
  <c r="R1256" i="5"/>
  <c r="R1257" i="5"/>
  <c r="R1258" i="5"/>
  <c r="R1259" i="5"/>
  <c r="R1260" i="5"/>
  <c r="R1261" i="5"/>
  <c r="R1262" i="5"/>
  <c r="R1263" i="5"/>
  <c r="R1264" i="5"/>
  <c r="R1265" i="5"/>
  <c r="R1266" i="5"/>
  <c r="R1267" i="5"/>
  <c r="R1268" i="5"/>
  <c r="R1269" i="5"/>
  <c r="R1270" i="5"/>
  <c r="R1271" i="5"/>
  <c r="R1272" i="5"/>
  <c r="R1273" i="5"/>
  <c r="R1274" i="5"/>
  <c r="R1275" i="5"/>
  <c r="R1276" i="5"/>
  <c r="R1277" i="5"/>
  <c r="R1278" i="5"/>
  <c r="R1279" i="5"/>
  <c r="R1280" i="5"/>
  <c r="R1281" i="5"/>
  <c r="R1282" i="5"/>
  <c r="R1283" i="5"/>
  <c r="R1284" i="5"/>
  <c r="R1285" i="5"/>
  <c r="R1286" i="5"/>
  <c r="R1287" i="5"/>
  <c r="R1288" i="5"/>
  <c r="R1289" i="5"/>
  <c r="R1290" i="5"/>
  <c r="R1291" i="5"/>
  <c r="R1292" i="5"/>
  <c r="R1293" i="5"/>
  <c r="R1294" i="5"/>
  <c r="R1295" i="5"/>
  <c r="R1296" i="5"/>
  <c r="R1297" i="5"/>
  <c r="R1298" i="5"/>
  <c r="R1299" i="5"/>
  <c r="R1300" i="5"/>
  <c r="R1301" i="5"/>
  <c r="R1302" i="5"/>
  <c r="R1303" i="5"/>
  <c r="R1304" i="5"/>
  <c r="R1305" i="5"/>
  <c r="R1306" i="5"/>
  <c r="R1307" i="5"/>
  <c r="R1308" i="5"/>
  <c r="R1309" i="5"/>
  <c r="R1310" i="5"/>
  <c r="R1311" i="5"/>
  <c r="R1312" i="5"/>
  <c r="R1313" i="5"/>
  <c r="R1314" i="5"/>
  <c r="R1315" i="5"/>
  <c r="R1316" i="5"/>
  <c r="R1317" i="5"/>
  <c r="R1318" i="5"/>
  <c r="R1319" i="5"/>
  <c r="R1320" i="5"/>
  <c r="R1321" i="5"/>
  <c r="R1322" i="5"/>
  <c r="R1323" i="5"/>
  <c r="R1324" i="5"/>
  <c r="R1325" i="5"/>
  <c r="R1326" i="5"/>
  <c r="R1327" i="5"/>
  <c r="R1328" i="5"/>
  <c r="R1329" i="5"/>
  <c r="R1330" i="5"/>
  <c r="R1331" i="5"/>
  <c r="R1332" i="5"/>
  <c r="R1333" i="5"/>
  <c r="R1334" i="5"/>
  <c r="R1335" i="5"/>
  <c r="R1336" i="5"/>
  <c r="R1337" i="5"/>
  <c r="R1338" i="5"/>
  <c r="R1339" i="5"/>
  <c r="R1340" i="5"/>
  <c r="R1341" i="5"/>
  <c r="R1342" i="5"/>
  <c r="R1343" i="5"/>
  <c r="R1344" i="5"/>
  <c r="R1345" i="5"/>
  <c r="R1346" i="5"/>
  <c r="R1347" i="5"/>
  <c r="R1348" i="5"/>
  <c r="R1349" i="5"/>
  <c r="R1350" i="5"/>
  <c r="R1351" i="5"/>
  <c r="R1352" i="5"/>
  <c r="R1353" i="5"/>
  <c r="R1354" i="5"/>
  <c r="R1355" i="5"/>
  <c r="R1356" i="5"/>
  <c r="R1357" i="5"/>
  <c r="R1358" i="5"/>
  <c r="R1359" i="5"/>
  <c r="R1360" i="5"/>
  <c r="R1361" i="5"/>
  <c r="R1362" i="5"/>
  <c r="R1363" i="5"/>
  <c r="R1364" i="5"/>
  <c r="R1365" i="5"/>
  <c r="R1366" i="5"/>
  <c r="R1367" i="5"/>
  <c r="R1368" i="5"/>
  <c r="R1369" i="5"/>
  <c r="R1370" i="5"/>
  <c r="R1371" i="5"/>
  <c r="R1372" i="5"/>
  <c r="R1373" i="5"/>
  <c r="R1374" i="5"/>
  <c r="R1375" i="5"/>
  <c r="R1376" i="5"/>
  <c r="R1377" i="5"/>
  <c r="R1378" i="5"/>
  <c r="R1379" i="5"/>
  <c r="R1380" i="5"/>
  <c r="R1381" i="5"/>
  <c r="R1382" i="5"/>
  <c r="R1383" i="5"/>
  <c r="R1384" i="5"/>
  <c r="R1385" i="5"/>
  <c r="R1386" i="5"/>
  <c r="R1387" i="5"/>
  <c r="R1388" i="5"/>
  <c r="R1389" i="5"/>
  <c r="R1390" i="5"/>
  <c r="R1391" i="5"/>
  <c r="R1392" i="5"/>
  <c r="R1393" i="5"/>
  <c r="R1394" i="5"/>
  <c r="R1395" i="5"/>
  <c r="R1396" i="5"/>
  <c r="R1397" i="5"/>
  <c r="R1398" i="5"/>
  <c r="R1399" i="5"/>
  <c r="R1400" i="5"/>
  <c r="R1401" i="5"/>
  <c r="R1402" i="5"/>
  <c r="R1403" i="5"/>
  <c r="R1404" i="5"/>
  <c r="R1405" i="5"/>
  <c r="R1406" i="5"/>
  <c r="R1407" i="5"/>
  <c r="R1408" i="5"/>
  <c r="R1409" i="5"/>
  <c r="R1410" i="5"/>
  <c r="R1411" i="5"/>
  <c r="R1412" i="5"/>
  <c r="R1413" i="5"/>
  <c r="R1414" i="5"/>
  <c r="R1415" i="5"/>
  <c r="R1416" i="5"/>
  <c r="R1417" i="5"/>
  <c r="R1418" i="5"/>
  <c r="R1419" i="5"/>
  <c r="R1420" i="5"/>
  <c r="R1421" i="5"/>
  <c r="R1422" i="5"/>
  <c r="R1423" i="5"/>
  <c r="R1424" i="5"/>
  <c r="R1425" i="5"/>
  <c r="R1426" i="5"/>
  <c r="R1427" i="5"/>
  <c r="R1428" i="5"/>
  <c r="R1429" i="5"/>
  <c r="R1430" i="5"/>
  <c r="R1431" i="5"/>
  <c r="R1432" i="5"/>
  <c r="R1433" i="5"/>
  <c r="R1434" i="5"/>
  <c r="R1435" i="5"/>
  <c r="R1436" i="5"/>
  <c r="R1437" i="5"/>
  <c r="R1438" i="5"/>
  <c r="R1439" i="5"/>
  <c r="R1440" i="5"/>
  <c r="R1441" i="5"/>
  <c r="R1442" i="5"/>
  <c r="R1443" i="5"/>
  <c r="R1444" i="5"/>
  <c r="R1445" i="5"/>
  <c r="R1446" i="5"/>
  <c r="R1447" i="5"/>
  <c r="R1448" i="5"/>
  <c r="R1449" i="5"/>
  <c r="R1450" i="5"/>
  <c r="R1451" i="5"/>
  <c r="R1452" i="5"/>
  <c r="R1453" i="5"/>
  <c r="R1454" i="5"/>
  <c r="R1455" i="5"/>
  <c r="R1456" i="5"/>
  <c r="R1457" i="5"/>
  <c r="R1458" i="5"/>
  <c r="R1459" i="5"/>
  <c r="R1460" i="5"/>
  <c r="R1461" i="5"/>
  <c r="R1462" i="5"/>
  <c r="R1463" i="5"/>
  <c r="R1464" i="5"/>
  <c r="R1465" i="5"/>
  <c r="R1466" i="5"/>
  <c r="R1467" i="5"/>
  <c r="R1468" i="5"/>
  <c r="R1469" i="5"/>
  <c r="R1470" i="5"/>
  <c r="R1471" i="5"/>
  <c r="R1472" i="5"/>
  <c r="R1473" i="5"/>
  <c r="R1474" i="5"/>
  <c r="R1475" i="5"/>
  <c r="R1476" i="5"/>
  <c r="R1477" i="5"/>
  <c r="R1478" i="5"/>
  <c r="R1479" i="5"/>
  <c r="R1480" i="5"/>
  <c r="R1481" i="5"/>
  <c r="R1482" i="5"/>
  <c r="R1483" i="5"/>
  <c r="R1484" i="5"/>
  <c r="R1485" i="5"/>
  <c r="R1486" i="5"/>
  <c r="R1487" i="5"/>
  <c r="R1488" i="5"/>
  <c r="R1489" i="5"/>
  <c r="R1490" i="5"/>
  <c r="R1491" i="5"/>
  <c r="R1492" i="5"/>
  <c r="R1493" i="5"/>
  <c r="R1494" i="5"/>
  <c r="R1495" i="5"/>
  <c r="R1496" i="5"/>
  <c r="R1497" i="5"/>
  <c r="R1498" i="5"/>
  <c r="R1499" i="5"/>
  <c r="R1500" i="5"/>
  <c r="R1501" i="5"/>
  <c r="R1502" i="5"/>
  <c r="R1503" i="5"/>
  <c r="R1504" i="5"/>
  <c r="R1505" i="5"/>
  <c r="R1506" i="5"/>
  <c r="R1507" i="5"/>
  <c r="R1508" i="5"/>
  <c r="R1509" i="5"/>
  <c r="R1510" i="5"/>
  <c r="R1511" i="5"/>
  <c r="R1512" i="5"/>
  <c r="R1513" i="5"/>
  <c r="R1514" i="5"/>
  <c r="R1515" i="5"/>
  <c r="R1516" i="5"/>
  <c r="R1517" i="5"/>
  <c r="R1518" i="5"/>
  <c r="R1519" i="5"/>
  <c r="R1520" i="5"/>
  <c r="R1521" i="5"/>
  <c r="R1522" i="5"/>
  <c r="R1523" i="5"/>
  <c r="R1524" i="5"/>
  <c r="R1525" i="5"/>
  <c r="R1526" i="5"/>
  <c r="R1527" i="5"/>
  <c r="R1528" i="5"/>
  <c r="R1529" i="5"/>
  <c r="R1530" i="5"/>
  <c r="R1531" i="5"/>
  <c r="R1532" i="5"/>
  <c r="R1533" i="5"/>
  <c r="R1534" i="5"/>
  <c r="R1535" i="5"/>
  <c r="R1536" i="5"/>
  <c r="R1537" i="5"/>
  <c r="R1538" i="5"/>
  <c r="R1539" i="5"/>
  <c r="R1540" i="5"/>
  <c r="R1541" i="5"/>
  <c r="R1542" i="5"/>
  <c r="R1543" i="5"/>
  <c r="R1544" i="5"/>
  <c r="R1545" i="5"/>
  <c r="R1546" i="5"/>
  <c r="R1547" i="5"/>
  <c r="R1548" i="5"/>
  <c r="R1549" i="5"/>
  <c r="R1550" i="5"/>
  <c r="R1551" i="5"/>
  <c r="R1552" i="5"/>
  <c r="R1553" i="5"/>
  <c r="R1554" i="5"/>
  <c r="R1555" i="5"/>
  <c r="R1556" i="5"/>
  <c r="R1557" i="5"/>
  <c r="R1558" i="5"/>
  <c r="R1559" i="5"/>
  <c r="R1560" i="5"/>
  <c r="R1561" i="5"/>
  <c r="R1562" i="5"/>
  <c r="R1563" i="5"/>
  <c r="R1564" i="5"/>
  <c r="R1565" i="5"/>
  <c r="R1566" i="5"/>
  <c r="R1567" i="5"/>
  <c r="R1568" i="5"/>
  <c r="R1569" i="5"/>
  <c r="R1570" i="5"/>
  <c r="R1571" i="5"/>
  <c r="R1572" i="5"/>
  <c r="R1573" i="5"/>
  <c r="R1574" i="5"/>
  <c r="R1575" i="5"/>
  <c r="R1576" i="5"/>
  <c r="R1577" i="5"/>
  <c r="R1578" i="5"/>
  <c r="R1579" i="5"/>
  <c r="R1580" i="5"/>
  <c r="R1581" i="5"/>
  <c r="R1582" i="5"/>
  <c r="R1583" i="5"/>
  <c r="R1584" i="5"/>
  <c r="R1585" i="5"/>
  <c r="R1586" i="5"/>
  <c r="R1587" i="5"/>
  <c r="R1588" i="5"/>
  <c r="R1589" i="5"/>
  <c r="R1590" i="5"/>
  <c r="R1591" i="5"/>
  <c r="R1592" i="5"/>
  <c r="R1593" i="5"/>
  <c r="R1594" i="5"/>
  <c r="R1595" i="5"/>
  <c r="R1596" i="5"/>
  <c r="R1597" i="5"/>
  <c r="R1598" i="5"/>
  <c r="R1599" i="5"/>
  <c r="R1600" i="5"/>
  <c r="R1601" i="5"/>
  <c r="R1602" i="5"/>
  <c r="R1603" i="5"/>
  <c r="R1604" i="5"/>
  <c r="R1605" i="5"/>
  <c r="R1606" i="5"/>
  <c r="R1607" i="5"/>
  <c r="R1608" i="5"/>
  <c r="R1609" i="5"/>
  <c r="R1610" i="5"/>
  <c r="R1611" i="5"/>
  <c r="R1612" i="5"/>
  <c r="R1613" i="5"/>
  <c r="R1614" i="5"/>
  <c r="R1615" i="5"/>
  <c r="R1616" i="5"/>
  <c r="R1617" i="5"/>
  <c r="R1618" i="5"/>
  <c r="R1619" i="5"/>
  <c r="R1620" i="5"/>
  <c r="R1621" i="5"/>
  <c r="R1622" i="5"/>
  <c r="R1623" i="5"/>
  <c r="R1624" i="5"/>
  <c r="R1625" i="5"/>
  <c r="R1626" i="5"/>
  <c r="R1627" i="5"/>
  <c r="R1628" i="5"/>
  <c r="R1629" i="5"/>
  <c r="R1630" i="5"/>
  <c r="R1631" i="5"/>
  <c r="R1632" i="5"/>
  <c r="R1633" i="5"/>
  <c r="R1634" i="5"/>
  <c r="R1635" i="5"/>
  <c r="R1636" i="5"/>
  <c r="R1637" i="5"/>
  <c r="R1638" i="5"/>
  <c r="R1639" i="5"/>
  <c r="R1640" i="5"/>
  <c r="R1641" i="5"/>
  <c r="R1642" i="5"/>
  <c r="R1643" i="5"/>
  <c r="R1644" i="5"/>
  <c r="R1645" i="5"/>
  <c r="R1646" i="5"/>
  <c r="R1647" i="5"/>
  <c r="R1648" i="5"/>
  <c r="R1649" i="5"/>
  <c r="R1650" i="5"/>
  <c r="R1651" i="5"/>
  <c r="R1652" i="5"/>
  <c r="R1653" i="5"/>
  <c r="R1654" i="5"/>
  <c r="R1655" i="5"/>
  <c r="R1656" i="5"/>
  <c r="R1657" i="5"/>
  <c r="R1658" i="5"/>
  <c r="R1659" i="5"/>
  <c r="R1660" i="5"/>
  <c r="R1661" i="5"/>
  <c r="R1662" i="5"/>
  <c r="R1663" i="5"/>
  <c r="R1664" i="5"/>
  <c r="R1665" i="5"/>
  <c r="R1666" i="5"/>
  <c r="R1667" i="5"/>
  <c r="R1668" i="5"/>
  <c r="R1669" i="5"/>
  <c r="R1670" i="5"/>
  <c r="R1671" i="5"/>
  <c r="R1672" i="5"/>
  <c r="R1673" i="5"/>
  <c r="R1674" i="5"/>
  <c r="R1675" i="5"/>
  <c r="R1676" i="5"/>
  <c r="R1677" i="5"/>
  <c r="R1678" i="5"/>
  <c r="R1679" i="5"/>
  <c r="R1680" i="5"/>
  <c r="R1681" i="5"/>
  <c r="R1682" i="5"/>
  <c r="R1683" i="5"/>
  <c r="R1684" i="5"/>
  <c r="R1685" i="5"/>
  <c r="R1686" i="5"/>
  <c r="R1687" i="5"/>
  <c r="R1688" i="5"/>
  <c r="R1689" i="5"/>
  <c r="R1690" i="5"/>
  <c r="R1691" i="5"/>
  <c r="R1692" i="5"/>
  <c r="R1693" i="5"/>
  <c r="R1694" i="5"/>
  <c r="R1695" i="5"/>
  <c r="R1696" i="5"/>
  <c r="R1697" i="5"/>
  <c r="R1698" i="5"/>
  <c r="R1699" i="5"/>
  <c r="R1700" i="5"/>
  <c r="R1701" i="5"/>
  <c r="R1702" i="5"/>
  <c r="R1703" i="5"/>
  <c r="R1704" i="5"/>
  <c r="R1705" i="5"/>
  <c r="R1706" i="5"/>
  <c r="R1707" i="5"/>
  <c r="R1708" i="5"/>
  <c r="R1709" i="5"/>
  <c r="R1710" i="5"/>
  <c r="R1711" i="5"/>
  <c r="R1712" i="5"/>
  <c r="R1713" i="5"/>
  <c r="R1714" i="5"/>
  <c r="R1715" i="5"/>
  <c r="R1716" i="5"/>
  <c r="R1717" i="5"/>
  <c r="R1718" i="5"/>
  <c r="R1719" i="5"/>
  <c r="R1720" i="5"/>
  <c r="R1721" i="5"/>
  <c r="R1722" i="5"/>
  <c r="R1723" i="5"/>
  <c r="R1724" i="5"/>
  <c r="R1725" i="5"/>
  <c r="R1726" i="5"/>
  <c r="R1727" i="5"/>
  <c r="R1728" i="5"/>
  <c r="R1729" i="5"/>
  <c r="R1730" i="5"/>
  <c r="R1731" i="5"/>
  <c r="R1732" i="5"/>
  <c r="R1733" i="5"/>
  <c r="R1734" i="5"/>
  <c r="R1735" i="5"/>
  <c r="R1736" i="5"/>
  <c r="R1737" i="5"/>
  <c r="R1738" i="5"/>
  <c r="R1739" i="5"/>
  <c r="R1740" i="5"/>
  <c r="R1741" i="5"/>
  <c r="R1742" i="5"/>
  <c r="R1743" i="5"/>
  <c r="R1744" i="5"/>
  <c r="R1745" i="5"/>
  <c r="R1746" i="5"/>
  <c r="R1747" i="5"/>
  <c r="R1748" i="5"/>
  <c r="R1749" i="5"/>
  <c r="R1750" i="5"/>
  <c r="R1751" i="5"/>
  <c r="R1752" i="5"/>
  <c r="R1753" i="5"/>
  <c r="R1754" i="5"/>
  <c r="R1755" i="5"/>
  <c r="R1756" i="5"/>
  <c r="R1757" i="5"/>
  <c r="R1758" i="5"/>
  <c r="R1759" i="5"/>
  <c r="R1760" i="5"/>
  <c r="R1761" i="5"/>
  <c r="R1762" i="5"/>
  <c r="R1763" i="5"/>
  <c r="R1764" i="5"/>
  <c r="R1765" i="5"/>
  <c r="R1766" i="5"/>
  <c r="R1767" i="5"/>
  <c r="R1768" i="5"/>
  <c r="R1769" i="5"/>
  <c r="R1770" i="5"/>
  <c r="R1771" i="5"/>
  <c r="R1772" i="5"/>
  <c r="R1773" i="5"/>
  <c r="R1774" i="5"/>
  <c r="R1775" i="5"/>
  <c r="R1776" i="5"/>
  <c r="R1777" i="5"/>
  <c r="R1778" i="5"/>
  <c r="R1779" i="5"/>
  <c r="R1780" i="5"/>
  <c r="R1781" i="5"/>
  <c r="R1782" i="5"/>
  <c r="R1783" i="5"/>
  <c r="R1784" i="5"/>
  <c r="R1785" i="5"/>
  <c r="R1786" i="5"/>
  <c r="R1787" i="5"/>
  <c r="R1788" i="5"/>
  <c r="R1789" i="5"/>
  <c r="R1790" i="5"/>
  <c r="R1791" i="5"/>
  <c r="R1792" i="5"/>
  <c r="R1793" i="5"/>
  <c r="R1794" i="5"/>
  <c r="R1795" i="5"/>
  <c r="R1796" i="5"/>
  <c r="R1797" i="5"/>
  <c r="R1798" i="5"/>
  <c r="R1799" i="5"/>
  <c r="R1800" i="5"/>
  <c r="R1801" i="5"/>
  <c r="R1802" i="5"/>
  <c r="R1803" i="5"/>
  <c r="R1804" i="5"/>
  <c r="R1805" i="5"/>
  <c r="R1806" i="5"/>
  <c r="R1807" i="5"/>
  <c r="R1808" i="5"/>
  <c r="R1809" i="5"/>
  <c r="R1810" i="5"/>
  <c r="R1811" i="5"/>
  <c r="R1812" i="5"/>
  <c r="R1813" i="5"/>
  <c r="R1814" i="5"/>
  <c r="R1815" i="5"/>
  <c r="R1816" i="5"/>
  <c r="R1817" i="5"/>
  <c r="R1818" i="5"/>
  <c r="R1819" i="5"/>
  <c r="R1820" i="5"/>
  <c r="R1821" i="5"/>
  <c r="R1822" i="5"/>
  <c r="R1823" i="5"/>
  <c r="R1824" i="5"/>
  <c r="R1825" i="5"/>
  <c r="R1826" i="5"/>
  <c r="R1827" i="5"/>
  <c r="R1828" i="5"/>
  <c r="R1829" i="5"/>
  <c r="R1830" i="5"/>
  <c r="R1831" i="5"/>
  <c r="R1832" i="5"/>
  <c r="R1833" i="5"/>
  <c r="R1834" i="5"/>
  <c r="R1835" i="5"/>
  <c r="R1836" i="5"/>
  <c r="R1837" i="5"/>
  <c r="R1838" i="5"/>
  <c r="R1839" i="5"/>
  <c r="R1840" i="5"/>
  <c r="R1841" i="5"/>
  <c r="R1842" i="5"/>
  <c r="R1843" i="5"/>
  <c r="R1844" i="5"/>
  <c r="R1845" i="5"/>
  <c r="R1846" i="5"/>
  <c r="R1847" i="5"/>
  <c r="R1848" i="5"/>
  <c r="R1849" i="5"/>
  <c r="R1850" i="5"/>
  <c r="R1851" i="5"/>
  <c r="R1852" i="5"/>
  <c r="R1853" i="5"/>
  <c r="R1854" i="5"/>
  <c r="R1855" i="5"/>
  <c r="R1856" i="5"/>
  <c r="R1857" i="5"/>
  <c r="R1858" i="5"/>
  <c r="R1859" i="5"/>
  <c r="R1860" i="5"/>
  <c r="R1861" i="5"/>
  <c r="R1862" i="5"/>
  <c r="R1863" i="5"/>
  <c r="R1864" i="5"/>
  <c r="R1865" i="5"/>
  <c r="R1866" i="5"/>
  <c r="R1867" i="5"/>
  <c r="R1868" i="5"/>
  <c r="R1869" i="5"/>
  <c r="R1870" i="5"/>
  <c r="R1871" i="5"/>
  <c r="R1872" i="5"/>
  <c r="R1873" i="5"/>
  <c r="R1874" i="5"/>
  <c r="R1875" i="5"/>
  <c r="R1876" i="5"/>
  <c r="R1877" i="5"/>
  <c r="R1878" i="5"/>
  <c r="R1879" i="5"/>
  <c r="R1880" i="5"/>
  <c r="R1881" i="5"/>
  <c r="R1882" i="5"/>
  <c r="R1883" i="5"/>
  <c r="R1884" i="5"/>
  <c r="R1885" i="5"/>
  <c r="R1886" i="5"/>
  <c r="R1887" i="5"/>
  <c r="R1888" i="5"/>
  <c r="R1889" i="5"/>
  <c r="R1890" i="5"/>
  <c r="R1891" i="5"/>
  <c r="R1892" i="5"/>
  <c r="R1893" i="5"/>
  <c r="R1894" i="5"/>
  <c r="R1895" i="5"/>
  <c r="R1896" i="5"/>
  <c r="R1897" i="5"/>
  <c r="R1898" i="5"/>
  <c r="R1899" i="5"/>
  <c r="R1900" i="5"/>
  <c r="R1901" i="5"/>
  <c r="R1902" i="5"/>
  <c r="R1903" i="5"/>
  <c r="R1904" i="5"/>
  <c r="R1905" i="5"/>
  <c r="R1906" i="5"/>
  <c r="R1907" i="5"/>
  <c r="R1908" i="5"/>
  <c r="R1909" i="5"/>
  <c r="R1910" i="5"/>
  <c r="R1911" i="5"/>
  <c r="R1912" i="5"/>
  <c r="R1913" i="5"/>
  <c r="R1914" i="5"/>
  <c r="R1915" i="5"/>
  <c r="R1916" i="5"/>
  <c r="R1917" i="5"/>
  <c r="R1918" i="5"/>
  <c r="R1919" i="5"/>
  <c r="R1920" i="5"/>
  <c r="R1921" i="5"/>
  <c r="R1922" i="5"/>
  <c r="R1923" i="5"/>
  <c r="R1924" i="5"/>
  <c r="R1925" i="5"/>
  <c r="R1926" i="5"/>
  <c r="R1927" i="5"/>
  <c r="R1928" i="5"/>
  <c r="R1929" i="5"/>
  <c r="R1930" i="5"/>
  <c r="R1931" i="5"/>
  <c r="R1932" i="5"/>
  <c r="R1933" i="5"/>
  <c r="R1934" i="5"/>
  <c r="R1935" i="5"/>
  <c r="R1936" i="5"/>
  <c r="R1937" i="5"/>
  <c r="R1938" i="5"/>
  <c r="R1939" i="5"/>
  <c r="R1940" i="5"/>
  <c r="R1941" i="5"/>
  <c r="R1942" i="5"/>
  <c r="R1943" i="5"/>
  <c r="R1944" i="5"/>
  <c r="R1945" i="5"/>
  <c r="R1946" i="5"/>
  <c r="R1947" i="5"/>
  <c r="R1948" i="5"/>
  <c r="R1949" i="5"/>
  <c r="R1950" i="5"/>
  <c r="R1951" i="5"/>
  <c r="R1952" i="5"/>
  <c r="R1953" i="5"/>
  <c r="R1954" i="5"/>
  <c r="R1955" i="5"/>
  <c r="R1956" i="5"/>
  <c r="R1957" i="5"/>
  <c r="R1958" i="5"/>
  <c r="R1959" i="5"/>
  <c r="R1960" i="5"/>
  <c r="R1961" i="5"/>
  <c r="R1962" i="5"/>
  <c r="R1963" i="5"/>
  <c r="R1964" i="5"/>
  <c r="R1965" i="5"/>
  <c r="R1966" i="5"/>
  <c r="R1967" i="5"/>
  <c r="R1968" i="5"/>
  <c r="R1969" i="5"/>
  <c r="R1970" i="5"/>
  <c r="R1971" i="5"/>
  <c r="R1972" i="5"/>
  <c r="R1973" i="5"/>
  <c r="R1974" i="5"/>
  <c r="R1975" i="5"/>
  <c r="R1976" i="5"/>
  <c r="R1977" i="5"/>
  <c r="R1978" i="5"/>
  <c r="R1979" i="5"/>
  <c r="R1980" i="5"/>
  <c r="R1981" i="5"/>
  <c r="R1982" i="5"/>
  <c r="R1983" i="5"/>
  <c r="R1984" i="5"/>
  <c r="R1985" i="5"/>
  <c r="R1986" i="5"/>
  <c r="R1987" i="5"/>
  <c r="R1988" i="5"/>
  <c r="R1989" i="5"/>
  <c r="R1990" i="5"/>
  <c r="R1991" i="5"/>
  <c r="R1992" i="5"/>
  <c r="R1993" i="5"/>
  <c r="R1994" i="5"/>
  <c r="R1995" i="5"/>
  <c r="R1996" i="5"/>
  <c r="R1997" i="5"/>
  <c r="R1998" i="5"/>
  <c r="R1999" i="5"/>
  <c r="R2000" i="5"/>
  <c r="R2001" i="5"/>
  <c r="R2002" i="5"/>
  <c r="R2003" i="5"/>
  <c r="R2004" i="5"/>
  <c r="R2005" i="5"/>
  <c r="R2006" i="5"/>
  <c r="R2007" i="5"/>
  <c r="R2008" i="5"/>
  <c r="R2009" i="5"/>
  <c r="R2010" i="5"/>
  <c r="R2011" i="5"/>
  <c r="R2012" i="5"/>
  <c r="R2013" i="5"/>
  <c r="R2014" i="5"/>
  <c r="R2015" i="5"/>
  <c r="R2016" i="5"/>
  <c r="R2017" i="5"/>
  <c r="R2018" i="5"/>
  <c r="R2019" i="5"/>
  <c r="R2020" i="5"/>
  <c r="R2021" i="5"/>
  <c r="R2022" i="5"/>
  <c r="R2023" i="5"/>
  <c r="R2024" i="5"/>
  <c r="R2025" i="5"/>
  <c r="R2026" i="5"/>
  <c r="R2027" i="5"/>
  <c r="R2028" i="5"/>
  <c r="R2029" i="5"/>
  <c r="R2030" i="5"/>
  <c r="R2031" i="5"/>
  <c r="R2032" i="5"/>
  <c r="R2033" i="5"/>
  <c r="R2034" i="5"/>
  <c r="R2035" i="5"/>
  <c r="R2036" i="5"/>
  <c r="R2037" i="5"/>
  <c r="R2038" i="5"/>
  <c r="R2039" i="5"/>
  <c r="R2040" i="5"/>
  <c r="R2041" i="5"/>
  <c r="R2042" i="5"/>
  <c r="R2043" i="5"/>
  <c r="R2044" i="5"/>
  <c r="R2045" i="5"/>
  <c r="R2046" i="5"/>
  <c r="R2047" i="5"/>
  <c r="R2048" i="5"/>
  <c r="R2049" i="5"/>
  <c r="R2050" i="5"/>
  <c r="R2051" i="5"/>
  <c r="R2052" i="5"/>
  <c r="R2053" i="5"/>
  <c r="R2054" i="5"/>
  <c r="R2055" i="5"/>
  <c r="R2056" i="5"/>
  <c r="R2057" i="5"/>
  <c r="R2058" i="5"/>
  <c r="R2059" i="5"/>
  <c r="R2060" i="5"/>
  <c r="R2061" i="5"/>
  <c r="R2062" i="5"/>
  <c r="R2063" i="5"/>
  <c r="R2064" i="5"/>
  <c r="R2065" i="5"/>
  <c r="R2066" i="5"/>
  <c r="R2067" i="5"/>
  <c r="R2068" i="5"/>
  <c r="R2069" i="5"/>
  <c r="R2070" i="5"/>
  <c r="R2071" i="5"/>
  <c r="R2072" i="5"/>
  <c r="R2073" i="5"/>
  <c r="R2074" i="5"/>
  <c r="R2075" i="5"/>
  <c r="R2076" i="5"/>
  <c r="R2077" i="5"/>
  <c r="R2078" i="5"/>
  <c r="R2079" i="5"/>
  <c r="R2080" i="5"/>
  <c r="R2081" i="5"/>
  <c r="R2082" i="5"/>
  <c r="R2083" i="5"/>
  <c r="R2084" i="5"/>
  <c r="R2085" i="5"/>
  <c r="R2086" i="5"/>
  <c r="R2087" i="5"/>
  <c r="R2088" i="5"/>
  <c r="R2089" i="5"/>
  <c r="R2090" i="5"/>
  <c r="R2091" i="5"/>
  <c r="R2092" i="5"/>
  <c r="R2093" i="5"/>
  <c r="R2094" i="5"/>
  <c r="R2095" i="5"/>
  <c r="R2096" i="5"/>
  <c r="R2097" i="5"/>
  <c r="R2098" i="5"/>
  <c r="R2099" i="5"/>
  <c r="R2100" i="5"/>
  <c r="R2101" i="5"/>
  <c r="R2102" i="5"/>
  <c r="R2103" i="5"/>
  <c r="R2104" i="5"/>
  <c r="R2105" i="5"/>
  <c r="R2106" i="5"/>
  <c r="R2107" i="5"/>
  <c r="R2108" i="5"/>
  <c r="R2109" i="5"/>
  <c r="R2110" i="5"/>
  <c r="R2111" i="5"/>
  <c r="R2112" i="5"/>
  <c r="R2113" i="5"/>
  <c r="R2114" i="5"/>
  <c r="R2115" i="5"/>
  <c r="R2116" i="5"/>
  <c r="R2117" i="5"/>
  <c r="R2118" i="5"/>
  <c r="R2119" i="5"/>
  <c r="R2120" i="5"/>
  <c r="R2121" i="5"/>
  <c r="R2122" i="5"/>
  <c r="R2123" i="5"/>
  <c r="R2124" i="5"/>
  <c r="R2125" i="5"/>
  <c r="R2126" i="5"/>
  <c r="R2127" i="5"/>
  <c r="R2128" i="5"/>
  <c r="R2129" i="5"/>
  <c r="R2130" i="5"/>
  <c r="R2131" i="5"/>
  <c r="R2132" i="5"/>
  <c r="R2133" i="5"/>
  <c r="R2134" i="5"/>
  <c r="R2135" i="5"/>
  <c r="R2136" i="5"/>
  <c r="R2137" i="5"/>
  <c r="R2138" i="5"/>
  <c r="R2139" i="5"/>
  <c r="R2140" i="5"/>
  <c r="R2141" i="5"/>
  <c r="R2142" i="5"/>
  <c r="R2143" i="5"/>
  <c r="R2144" i="5"/>
  <c r="R2145" i="5"/>
  <c r="R2146" i="5"/>
  <c r="R2147" i="5"/>
  <c r="R2148" i="5"/>
  <c r="R2149" i="5"/>
  <c r="R2150" i="5"/>
  <c r="R2151" i="5"/>
  <c r="R2152" i="5"/>
  <c r="R2153" i="5"/>
  <c r="R2154" i="5"/>
  <c r="R2155" i="5"/>
  <c r="R2156" i="5"/>
  <c r="R2157" i="5"/>
  <c r="R2158" i="5"/>
  <c r="R2159" i="5"/>
  <c r="R2160" i="5"/>
  <c r="R2161" i="5"/>
  <c r="R2162" i="5"/>
  <c r="R2163" i="5"/>
  <c r="R2164" i="5"/>
  <c r="R2165" i="5"/>
  <c r="R2166" i="5"/>
  <c r="R2167" i="5"/>
  <c r="R2168" i="5"/>
  <c r="R2169" i="5"/>
  <c r="R2170" i="5"/>
  <c r="R2171" i="5"/>
  <c r="R2172" i="5"/>
  <c r="R2173" i="5"/>
  <c r="R2174" i="5"/>
  <c r="R2175" i="5"/>
  <c r="R2176" i="5"/>
  <c r="R2177" i="5"/>
  <c r="R2178" i="5"/>
  <c r="R2179" i="5"/>
  <c r="R2180" i="5"/>
  <c r="R2181" i="5"/>
  <c r="R2182" i="5"/>
  <c r="R2183" i="5"/>
  <c r="R2184" i="5"/>
  <c r="R2185" i="5"/>
  <c r="R2186" i="5"/>
  <c r="R2187" i="5"/>
  <c r="R2188" i="5"/>
  <c r="R2189" i="5"/>
  <c r="R2190" i="5"/>
  <c r="R2191" i="5"/>
  <c r="R2192" i="5"/>
  <c r="R2193" i="5"/>
  <c r="R2194" i="5"/>
  <c r="R2195" i="5"/>
  <c r="R2196" i="5"/>
  <c r="R2197" i="5"/>
  <c r="R2198" i="5"/>
  <c r="R2199" i="5"/>
  <c r="R2200" i="5"/>
  <c r="R2201" i="5"/>
  <c r="R2202" i="5"/>
  <c r="R2203" i="5"/>
  <c r="R2204" i="5"/>
  <c r="R2205" i="5"/>
  <c r="R2206" i="5"/>
  <c r="R2207" i="5"/>
  <c r="R2208" i="5"/>
  <c r="R2209" i="5"/>
  <c r="R2210" i="5"/>
  <c r="R2211" i="5"/>
  <c r="R2212" i="5"/>
  <c r="R2213" i="5"/>
  <c r="R2214" i="5"/>
  <c r="R2215" i="5"/>
  <c r="R2216" i="5"/>
  <c r="R2217" i="5"/>
  <c r="R2218" i="5"/>
  <c r="R2219" i="5"/>
  <c r="R2220" i="5"/>
  <c r="R2221" i="5"/>
  <c r="R2222" i="5"/>
  <c r="R2223" i="5"/>
  <c r="R2224" i="5"/>
  <c r="R2225" i="5"/>
  <c r="R2226" i="5"/>
  <c r="R2227" i="5"/>
  <c r="R2228" i="5"/>
  <c r="R2229" i="5"/>
  <c r="R2230" i="5"/>
  <c r="R2231" i="5"/>
  <c r="R2232" i="5"/>
  <c r="R2233" i="5"/>
  <c r="R2234" i="5"/>
  <c r="R2235" i="5"/>
  <c r="R2236" i="5"/>
  <c r="R2237" i="5"/>
  <c r="R2238" i="5"/>
  <c r="R2239" i="5"/>
  <c r="R2240" i="5"/>
  <c r="R2241" i="5"/>
  <c r="R2242" i="5"/>
  <c r="R2243" i="5"/>
  <c r="R2244" i="5"/>
  <c r="R2245" i="5"/>
  <c r="R2246" i="5"/>
  <c r="R2247" i="5"/>
  <c r="R2248" i="5"/>
  <c r="R2249" i="5"/>
  <c r="R2250" i="5"/>
  <c r="R2251" i="5"/>
  <c r="R2252" i="5"/>
  <c r="R2253" i="5"/>
  <c r="R2254" i="5"/>
  <c r="R2255" i="5"/>
  <c r="R2256" i="5"/>
  <c r="R2257" i="5"/>
  <c r="R2258" i="5"/>
  <c r="R2259" i="5"/>
  <c r="R2260" i="5"/>
  <c r="R2261" i="5"/>
  <c r="R2262" i="5"/>
  <c r="R2263" i="5"/>
  <c r="R2264" i="5"/>
  <c r="R2265" i="5"/>
  <c r="R2266" i="5"/>
  <c r="R2267" i="5"/>
  <c r="R2268" i="5"/>
  <c r="R2269" i="5"/>
  <c r="R2270" i="5"/>
  <c r="R2271" i="5"/>
  <c r="R2272" i="5"/>
  <c r="R2273" i="5"/>
  <c r="R2274" i="5"/>
  <c r="R2275" i="5"/>
  <c r="R2276" i="5"/>
  <c r="R2277" i="5"/>
  <c r="R2278" i="5"/>
  <c r="R2279" i="5"/>
  <c r="R2280" i="5"/>
  <c r="R2281" i="5"/>
  <c r="R2282" i="5"/>
  <c r="R2283" i="5"/>
  <c r="R2284" i="5"/>
  <c r="R2285" i="5"/>
  <c r="R2286" i="5"/>
  <c r="R2287" i="5"/>
  <c r="R2288" i="5"/>
  <c r="R2289" i="5"/>
  <c r="R2290" i="5"/>
  <c r="R2291" i="5"/>
  <c r="R2292" i="5"/>
  <c r="R2293" i="5"/>
  <c r="R2294" i="5"/>
  <c r="R2295" i="5"/>
  <c r="R2296" i="5"/>
  <c r="R2297" i="5"/>
  <c r="R2298" i="5"/>
  <c r="R2299" i="5"/>
  <c r="R2300" i="5"/>
  <c r="R2301" i="5"/>
  <c r="R2302" i="5"/>
  <c r="R2303" i="5"/>
  <c r="R2304" i="5"/>
  <c r="R2305" i="5"/>
  <c r="R2306" i="5"/>
  <c r="R2307" i="5"/>
  <c r="R2308" i="5"/>
  <c r="R2309" i="5"/>
  <c r="R2310" i="5"/>
  <c r="R2311" i="5"/>
  <c r="R2312" i="5"/>
  <c r="R2313" i="5"/>
  <c r="R2314" i="5"/>
  <c r="R2315" i="5"/>
  <c r="R2316" i="5"/>
  <c r="R2317" i="5"/>
  <c r="R2318" i="5"/>
  <c r="R2319" i="5"/>
  <c r="R2320" i="5"/>
  <c r="R2321" i="5"/>
  <c r="R2322" i="5"/>
  <c r="R2323" i="5"/>
  <c r="R2324" i="5"/>
  <c r="R2325" i="5"/>
  <c r="R2326" i="5"/>
  <c r="R2327" i="5"/>
  <c r="R2328" i="5"/>
  <c r="R2329" i="5"/>
  <c r="R2330" i="5"/>
  <c r="R2331" i="5"/>
  <c r="R2332" i="5"/>
  <c r="R2333" i="5"/>
  <c r="R2334" i="5"/>
  <c r="R2335" i="5"/>
  <c r="R2336" i="5"/>
  <c r="R2337" i="5"/>
  <c r="R2338" i="5"/>
  <c r="R2339" i="5"/>
  <c r="R2340" i="5"/>
  <c r="R2341" i="5"/>
  <c r="R2342" i="5"/>
  <c r="R2343" i="5"/>
  <c r="R2344" i="5"/>
  <c r="R2345" i="5"/>
  <c r="R2346" i="5"/>
  <c r="R2347" i="5"/>
  <c r="R2348" i="5"/>
  <c r="R2349" i="5"/>
  <c r="R2350" i="5"/>
  <c r="R2351" i="5"/>
  <c r="R2352" i="5"/>
  <c r="R2353" i="5"/>
  <c r="R2354" i="5"/>
  <c r="R2355" i="5"/>
  <c r="R2356" i="5"/>
  <c r="R2357" i="5"/>
  <c r="R2358" i="5"/>
  <c r="R2359" i="5"/>
  <c r="R2360" i="5"/>
  <c r="R2361" i="5"/>
  <c r="R2362" i="5"/>
  <c r="R2363" i="5"/>
  <c r="R2364" i="5"/>
  <c r="R2365" i="5"/>
  <c r="R2366" i="5"/>
  <c r="R2367" i="5"/>
  <c r="R2368" i="5"/>
  <c r="R2369" i="5"/>
  <c r="R2370" i="5"/>
  <c r="R2371" i="5"/>
  <c r="R2372" i="5"/>
  <c r="R2373" i="5"/>
  <c r="R2374" i="5"/>
  <c r="R2375" i="5"/>
  <c r="R2376" i="5"/>
  <c r="R2377" i="5"/>
  <c r="R2378" i="5"/>
  <c r="R2379" i="5"/>
  <c r="R2380" i="5"/>
  <c r="R2381" i="5"/>
  <c r="R2382" i="5"/>
  <c r="R2383" i="5"/>
  <c r="R2384" i="5"/>
  <c r="R2385" i="5"/>
  <c r="R2386" i="5"/>
  <c r="R2387" i="5"/>
  <c r="R2388" i="5"/>
  <c r="R2389" i="5"/>
  <c r="R2390" i="5"/>
  <c r="R2391" i="5"/>
  <c r="R2392" i="5"/>
  <c r="R2393" i="5"/>
  <c r="R2394" i="5"/>
  <c r="R2395" i="5"/>
  <c r="R2396" i="5"/>
  <c r="R2397" i="5"/>
  <c r="R2398" i="5"/>
  <c r="R2399" i="5"/>
  <c r="R2400" i="5"/>
  <c r="R2401" i="5"/>
  <c r="R2402" i="5"/>
  <c r="R2403" i="5"/>
  <c r="R2404" i="5"/>
  <c r="R2405" i="5"/>
  <c r="R2406" i="5"/>
  <c r="R2407" i="5"/>
  <c r="R2408" i="5"/>
  <c r="R2409" i="5"/>
  <c r="R2410" i="5"/>
  <c r="R2411" i="5"/>
  <c r="R2412" i="5"/>
  <c r="R2413" i="5"/>
  <c r="R2414" i="5"/>
  <c r="R2415" i="5"/>
  <c r="R2416" i="5"/>
  <c r="R2417" i="5"/>
  <c r="R2418" i="5"/>
  <c r="R2419" i="5"/>
  <c r="R2420" i="5"/>
  <c r="R2421" i="5"/>
  <c r="R2422" i="5"/>
  <c r="R2423" i="5"/>
  <c r="R2424" i="5"/>
  <c r="R2425" i="5"/>
  <c r="R2426" i="5"/>
  <c r="R2427" i="5"/>
  <c r="R2428" i="5"/>
  <c r="R2429" i="5"/>
  <c r="R2430" i="5"/>
  <c r="R2431" i="5"/>
  <c r="R2432" i="5"/>
  <c r="R2433" i="5"/>
  <c r="R2434" i="5"/>
  <c r="R2435" i="5"/>
  <c r="R2436" i="5"/>
  <c r="R2437" i="5"/>
  <c r="R2438" i="5"/>
  <c r="R2439" i="5"/>
  <c r="R2440" i="5"/>
  <c r="R2441" i="5"/>
  <c r="R2442" i="5"/>
  <c r="R2443" i="5"/>
  <c r="R2444" i="5"/>
  <c r="R2445" i="5"/>
  <c r="R2446" i="5"/>
  <c r="R2447" i="5"/>
  <c r="R2448" i="5"/>
  <c r="R2449" i="5"/>
  <c r="R2450" i="5"/>
  <c r="R2451" i="5"/>
  <c r="R2452" i="5"/>
  <c r="R2453" i="5"/>
  <c r="R2454" i="5"/>
  <c r="R2455" i="5"/>
  <c r="R2456" i="5"/>
  <c r="R2457" i="5"/>
  <c r="R2458" i="5"/>
  <c r="R2459" i="5"/>
  <c r="R2460" i="5"/>
  <c r="R2461" i="5"/>
  <c r="R2462" i="5"/>
  <c r="R2463" i="5"/>
  <c r="R2464" i="5"/>
  <c r="R2465" i="5"/>
  <c r="R2466" i="5"/>
  <c r="R2467" i="5"/>
  <c r="R2468" i="5"/>
  <c r="R2469" i="5"/>
  <c r="R2470" i="5"/>
  <c r="R2471" i="5"/>
  <c r="R2472" i="5"/>
  <c r="R2473" i="5"/>
  <c r="R2474" i="5"/>
  <c r="R2475" i="5"/>
  <c r="R2476" i="5"/>
  <c r="R2477" i="5"/>
  <c r="R2478" i="5"/>
  <c r="R2479" i="5"/>
  <c r="R2480" i="5"/>
  <c r="R2481" i="5"/>
  <c r="R2482" i="5"/>
  <c r="R2483" i="5"/>
  <c r="R2484" i="5"/>
  <c r="R2485" i="5"/>
  <c r="R2486" i="5"/>
  <c r="R2487" i="5"/>
  <c r="R2488" i="5"/>
  <c r="R2489" i="5"/>
  <c r="R2490" i="5"/>
  <c r="R2491" i="5"/>
  <c r="R2492" i="5"/>
  <c r="R2493" i="5"/>
  <c r="R2494" i="5"/>
  <c r="R2495" i="5"/>
  <c r="R2496" i="5"/>
  <c r="R2497" i="5"/>
  <c r="R2498" i="5"/>
  <c r="R2499" i="5"/>
  <c r="R2500" i="5"/>
  <c r="R2501" i="5"/>
  <c r="R2502" i="5"/>
  <c r="R2503" i="5"/>
  <c r="R2504" i="5"/>
  <c r="R2505" i="5"/>
  <c r="R2506" i="5"/>
  <c r="R2507" i="5"/>
  <c r="R2508" i="5"/>
  <c r="R2509" i="5"/>
  <c r="R2510" i="5"/>
  <c r="R2511" i="5"/>
  <c r="R2512" i="5"/>
  <c r="R2513" i="5"/>
  <c r="R2514" i="5"/>
  <c r="R2515" i="5"/>
  <c r="R2516" i="5"/>
  <c r="R2517" i="5"/>
  <c r="R2518" i="5"/>
  <c r="R2519" i="5"/>
  <c r="R2520" i="5"/>
  <c r="R2521" i="5"/>
  <c r="R2522" i="5"/>
  <c r="R2523" i="5"/>
  <c r="R2524" i="5"/>
  <c r="R2525" i="5"/>
  <c r="R2526" i="5"/>
  <c r="R2527" i="5"/>
  <c r="R2528" i="5"/>
  <c r="R2529" i="5"/>
  <c r="R2530" i="5"/>
  <c r="R2531" i="5"/>
  <c r="R2532" i="5"/>
  <c r="R2533" i="5"/>
  <c r="R2534" i="5"/>
  <c r="R2535" i="5"/>
  <c r="R2536" i="5"/>
  <c r="R2537" i="5"/>
  <c r="R2538" i="5"/>
  <c r="R2539" i="5"/>
  <c r="R2540" i="5"/>
  <c r="R2541" i="5"/>
  <c r="R2542" i="5"/>
  <c r="R2543" i="5"/>
  <c r="R2544" i="5"/>
  <c r="R2545" i="5"/>
  <c r="R2546" i="5"/>
  <c r="R2547" i="5"/>
  <c r="R2548" i="5"/>
  <c r="R2549" i="5"/>
  <c r="R2550" i="5"/>
  <c r="R2551" i="5"/>
  <c r="R2552" i="5"/>
  <c r="R2553" i="5"/>
  <c r="R2554" i="5"/>
  <c r="R2555" i="5"/>
  <c r="R2556" i="5"/>
  <c r="R2557" i="5"/>
  <c r="R2558" i="5"/>
  <c r="R2559" i="5"/>
  <c r="R2560" i="5"/>
  <c r="R2561" i="5"/>
  <c r="R2562" i="5"/>
  <c r="R2563" i="5"/>
  <c r="R2564" i="5"/>
  <c r="R2565" i="5"/>
  <c r="R2566" i="5"/>
  <c r="R2567" i="5"/>
  <c r="R2568" i="5"/>
  <c r="R2569" i="5"/>
  <c r="R2570" i="5"/>
  <c r="R2571" i="5"/>
  <c r="R2572" i="5"/>
  <c r="R2573" i="5"/>
  <c r="R2574" i="5"/>
  <c r="R2575" i="5"/>
  <c r="R2576" i="5"/>
  <c r="R2577" i="5"/>
  <c r="R2578" i="5"/>
  <c r="R2579" i="5"/>
  <c r="R2580" i="5"/>
  <c r="R2581" i="5"/>
  <c r="R2582" i="5"/>
  <c r="R2583" i="5"/>
  <c r="R2584" i="5"/>
  <c r="R2585" i="5"/>
  <c r="R2586" i="5"/>
  <c r="R2587" i="5"/>
  <c r="R2588" i="5"/>
  <c r="R2589" i="5"/>
  <c r="R2590" i="5"/>
  <c r="R2591" i="5"/>
  <c r="R2592" i="5"/>
  <c r="R2593" i="5"/>
  <c r="R2594" i="5"/>
  <c r="R2595" i="5"/>
  <c r="R2596" i="5"/>
  <c r="R2597" i="5"/>
  <c r="R2598" i="5"/>
  <c r="R2599" i="5"/>
  <c r="R2600" i="5"/>
  <c r="R2601" i="5"/>
  <c r="R2602" i="5"/>
  <c r="R2603" i="5"/>
  <c r="R2604" i="5"/>
  <c r="R2605" i="5"/>
  <c r="R2606" i="5"/>
  <c r="R2607" i="5"/>
  <c r="R2608" i="5"/>
  <c r="R2609" i="5"/>
  <c r="R2610" i="5"/>
  <c r="R2611" i="5"/>
  <c r="R2612" i="5"/>
  <c r="R2613" i="5"/>
  <c r="R2614" i="5"/>
  <c r="R2615" i="5"/>
  <c r="R2616"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Q1002" i="5"/>
  <c r="Q1003" i="5"/>
  <c r="Q1004" i="5"/>
  <c r="Q1005" i="5"/>
  <c r="Q1006" i="5"/>
  <c r="Q1007" i="5"/>
  <c r="Q1008" i="5"/>
  <c r="Q1009" i="5"/>
  <c r="Q1010" i="5"/>
  <c r="Q1011" i="5"/>
  <c r="Q1012" i="5"/>
  <c r="Q1013" i="5"/>
  <c r="Q1014" i="5"/>
  <c r="Q1015" i="5"/>
  <c r="Q1016" i="5"/>
  <c r="Q1017" i="5"/>
  <c r="Q1018" i="5"/>
  <c r="Q1019" i="5"/>
  <c r="Q1020" i="5"/>
  <c r="Q1021" i="5"/>
  <c r="Q1022" i="5"/>
  <c r="Q1023" i="5"/>
  <c r="Q1024" i="5"/>
  <c r="Q1025" i="5"/>
  <c r="Q1026" i="5"/>
  <c r="Q1027" i="5"/>
  <c r="Q1028" i="5"/>
  <c r="Q1029" i="5"/>
  <c r="Q1030" i="5"/>
  <c r="Q1031" i="5"/>
  <c r="Q1032" i="5"/>
  <c r="Q1033" i="5"/>
  <c r="Q1034" i="5"/>
  <c r="Q1035" i="5"/>
  <c r="Q1036" i="5"/>
  <c r="Q1037" i="5"/>
  <c r="Q1038" i="5"/>
  <c r="Q1039" i="5"/>
  <c r="Q1040" i="5"/>
  <c r="Q1041" i="5"/>
  <c r="Q1042" i="5"/>
  <c r="Q1043" i="5"/>
  <c r="Q1044" i="5"/>
  <c r="Q1045" i="5"/>
  <c r="Q1046" i="5"/>
  <c r="Q1047" i="5"/>
  <c r="Q1048" i="5"/>
  <c r="Q1049" i="5"/>
  <c r="Q1050" i="5"/>
  <c r="Q1051" i="5"/>
  <c r="Q1052" i="5"/>
  <c r="Q1053" i="5"/>
  <c r="Q1054" i="5"/>
  <c r="Q1055" i="5"/>
  <c r="Q1056" i="5"/>
  <c r="Q1057" i="5"/>
  <c r="Q1058" i="5"/>
  <c r="Q1059" i="5"/>
  <c r="Q1060" i="5"/>
  <c r="Q1061" i="5"/>
  <c r="Q1062" i="5"/>
  <c r="Q1063" i="5"/>
  <c r="Q1064" i="5"/>
  <c r="Q1065" i="5"/>
  <c r="Q1066" i="5"/>
  <c r="Q1067" i="5"/>
  <c r="Q1068" i="5"/>
  <c r="Q1069" i="5"/>
  <c r="Q1070" i="5"/>
  <c r="Q1071" i="5"/>
  <c r="Q1072" i="5"/>
  <c r="Q1073" i="5"/>
  <c r="Q1074" i="5"/>
  <c r="Q1075" i="5"/>
  <c r="Q1076" i="5"/>
  <c r="Q1077" i="5"/>
  <c r="Q1078" i="5"/>
  <c r="Q1079" i="5"/>
  <c r="Q1080" i="5"/>
  <c r="Q1081" i="5"/>
  <c r="Q1082" i="5"/>
  <c r="Q1083" i="5"/>
  <c r="Q1084" i="5"/>
  <c r="Q1085" i="5"/>
  <c r="Q1086" i="5"/>
  <c r="Q1087" i="5"/>
  <c r="Q1088" i="5"/>
  <c r="Q1089" i="5"/>
  <c r="Q1090" i="5"/>
  <c r="Q1091" i="5"/>
  <c r="Q1092" i="5"/>
  <c r="Q1093" i="5"/>
  <c r="Q1094" i="5"/>
  <c r="Q1095" i="5"/>
  <c r="Q1096" i="5"/>
  <c r="Q1097" i="5"/>
  <c r="Q1098" i="5"/>
  <c r="Q1099" i="5"/>
  <c r="Q1100" i="5"/>
  <c r="Q1101" i="5"/>
  <c r="Q1102" i="5"/>
  <c r="Q1103" i="5"/>
  <c r="Q1104" i="5"/>
  <c r="Q1105" i="5"/>
  <c r="Q1106" i="5"/>
  <c r="Q1107" i="5"/>
  <c r="Q1108" i="5"/>
  <c r="Q1109" i="5"/>
  <c r="Q1110" i="5"/>
  <c r="Q1111" i="5"/>
  <c r="Q1112" i="5"/>
  <c r="Q1113" i="5"/>
  <c r="Q1114" i="5"/>
  <c r="Q1115" i="5"/>
  <c r="Q1116" i="5"/>
  <c r="Q1117" i="5"/>
  <c r="Q1118" i="5"/>
  <c r="Q1119" i="5"/>
  <c r="Q1120" i="5"/>
  <c r="Q1121" i="5"/>
  <c r="Q1122" i="5"/>
  <c r="Q1123" i="5"/>
  <c r="Q1124" i="5"/>
  <c r="Q1125" i="5"/>
  <c r="Q1126" i="5"/>
  <c r="Q1127" i="5"/>
  <c r="Q1128" i="5"/>
  <c r="Q1129" i="5"/>
  <c r="Q1130" i="5"/>
  <c r="Q1131" i="5"/>
  <c r="Q1132" i="5"/>
  <c r="Q1133" i="5"/>
  <c r="Q1134" i="5"/>
  <c r="Q1135" i="5"/>
  <c r="Q1136" i="5"/>
  <c r="Q1137" i="5"/>
  <c r="Q1138" i="5"/>
  <c r="Q1139" i="5"/>
  <c r="Q1140" i="5"/>
  <c r="Q1141" i="5"/>
  <c r="Q1142" i="5"/>
  <c r="Q1143" i="5"/>
  <c r="Q1144" i="5"/>
  <c r="Q1145" i="5"/>
  <c r="Q1146" i="5"/>
  <c r="Q1147" i="5"/>
  <c r="Q1148" i="5"/>
  <c r="Q1149" i="5"/>
  <c r="Q1150" i="5"/>
  <c r="Q1151" i="5"/>
  <c r="Q1152" i="5"/>
  <c r="Q1153" i="5"/>
  <c r="Q1154" i="5"/>
  <c r="Q1155" i="5"/>
  <c r="Q1156" i="5"/>
  <c r="Q1157" i="5"/>
  <c r="Q1158" i="5"/>
  <c r="Q1159" i="5"/>
  <c r="Q1160" i="5"/>
  <c r="Q1161" i="5"/>
  <c r="Q1162" i="5"/>
  <c r="Q1163" i="5"/>
  <c r="Q1164" i="5"/>
  <c r="Q1165" i="5"/>
  <c r="Q1166" i="5"/>
  <c r="Q1167" i="5"/>
  <c r="Q1168" i="5"/>
  <c r="Q1169" i="5"/>
  <c r="Q1170" i="5"/>
  <c r="Q1171" i="5"/>
  <c r="Q1172" i="5"/>
  <c r="Q1173" i="5"/>
  <c r="Q1174" i="5"/>
  <c r="Q1175" i="5"/>
  <c r="Q1176" i="5"/>
  <c r="Q1177" i="5"/>
  <c r="Q1178" i="5"/>
  <c r="Q1179" i="5"/>
  <c r="Q1180" i="5"/>
  <c r="Q1181" i="5"/>
  <c r="Q1182" i="5"/>
  <c r="Q1183" i="5"/>
  <c r="Q1184" i="5"/>
  <c r="Q1185" i="5"/>
  <c r="Q1186" i="5"/>
  <c r="Q1187" i="5"/>
  <c r="Q1188" i="5"/>
  <c r="Q1189" i="5"/>
  <c r="Q1190" i="5"/>
  <c r="Q1191" i="5"/>
  <c r="Q1192" i="5"/>
  <c r="Q1193" i="5"/>
  <c r="Q1194" i="5"/>
  <c r="Q1195" i="5"/>
  <c r="Q1196" i="5"/>
  <c r="Q1197" i="5"/>
  <c r="Q1198" i="5"/>
  <c r="Q1199" i="5"/>
  <c r="Q1200" i="5"/>
  <c r="Q1201" i="5"/>
  <c r="Q1202" i="5"/>
  <c r="Q1203" i="5"/>
  <c r="Q1204" i="5"/>
  <c r="Q1205" i="5"/>
  <c r="Q1206" i="5"/>
  <c r="Q1207" i="5"/>
  <c r="Q1208" i="5"/>
  <c r="Q1209" i="5"/>
  <c r="Q1210" i="5"/>
  <c r="Q1211" i="5"/>
  <c r="Q1212" i="5"/>
  <c r="Q1213" i="5"/>
  <c r="Q1214" i="5"/>
  <c r="Q1215" i="5"/>
  <c r="Q1216" i="5"/>
  <c r="Q1217" i="5"/>
  <c r="Q1218" i="5"/>
  <c r="Q1219" i="5"/>
  <c r="Q1220" i="5"/>
  <c r="Q1221" i="5"/>
  <c r="Q1222" i="5"/>
  <c r="Q1223" i="5"/>
  <c r="Q1224" i="5"/>
  <c r="Q1225" i="5"/>
  <c r="Q1226" i="5"/>
  <c r="Q1227" i="5"/>
  <c r="Q1228" i="5"/>
  <c r="Q1229" i="5"/>
  <c r="Q1230" i="5"/>
  <c r="Q1231" i="5"/>
  <c r="Q1232" i="5"/>
  <c r="Q1233" i="5"/>
  <c r="Q1234" i="5"/>
  <c r="Q1235" i="5"/>
  <c r="Q1236" i="5"/>
  <c r="Q1237" i="5"/>
  <c r="Q1238" i="5"/>
  <c r="Q1239" i="5"/>
  <c r="Q1240" i="5"/>
  <c r="Q1241" i="5"/>
  <c r="Q1242" i="5"/>
  <c r="Q1243" i="5"/>
  <c r="Q1244" i="5"/>
  <c r="Q1245" i="5"/>
  <c r="Q1246" i="5"/>
  <c r="Q1247" i="5"/>
  <c r="Q1248" i="5"/>
  <c r="Q1249" i="5"/>
  <c r="Q1250" i="5"/>
  <c r="Q1251" i="5"/>
  <c r="Q1252" i="5"/>
  <c r="Q1253" i="5"/>
  <c r="Q1254" i="5"/>
  <c r="Q1255" i="5"/>
  <c r="Q1256" i="5"/>
  <c r="Q1257" i="5"/>
  <c r="Q1258" i="5"/>
  <c r="Q1259" i="5"/>
  <c r="Q1260" i="5"/>
  <c r="Q1261" i="5"/>
  <c r="Q1262" i="5"/>
  <c r="Q1263" i="5"/>
  <c r="Q1264" i="5"/>
  <c r="Q1265" i="5"/>
  <c r="Q1266" i="5"/>
  <c r="Q1267" i="5"/>
  <c r="Q1268" i="5"/>
  <c r="Q1269" i="5"/>
  <c r="Q1270" i="5"/>
  <c r="Q1271" i="5"/>
  <c r="Q1272" i="5"/>
  <c r="Q1273" i="5"/>
  <c r="Q1274" i="5"/>
  <c r="Q1275" i="5"/>
  <c r="Q1276" i="5"/>
  <c r="Q1277" i="5"/>
  <c r="Q1278" i="5"/>
  <c r="Q1279" i="5"/>
  <c r="Q1280" i="5"/>
  <c r="Q1281" i="5"/>
  <c r="Q1282" i="5"/>
  <c r="Q1283" i="5"/>
  <c r="Q1284" i="5"/>
  <c r="Q1285" i="5"/>
  <c r="Q1286" i="5"/>
  <c r="Q1287" i="5"/>
  <c r="Q1288" i="5"/>
  <c r="Q1289" i="5"/>
  <c r="Q1290" i="5"/>
  <c r="Q1291" i="5"/>
  <c r="Q1292" i="5"/>
  <c r="Q1293" i="5"/>
  <c r="Q1294" i="5"/>
  <c r="Q1295" i="5"/>
  <c r="Q1296" i="5"/>
  <c r="Q1297" i="5"/>
  <c r="Q1298" i="5"/>
  <c r="Q1299" i="5"/>
  <c r="Q1300" i="5"/>
  <c r="Q1301" i="5"/>
  <c r="Q1302" i="5"/>
  <c r="Q1303" i="5"/>
  <c r="Q1304" i="5"/>
  <c r="Q1305" i="5"/>
  <c r="Q1306" i="5"/>
  <c r="Q1307" i="5"/>
  <c r="Q1308" i="5"/>
  <c r="Q1309" i="5"/>
  <c r="Q1310" i="5"/>
  <c r="Q1311" i="5"/>
  <c r="Q1312" i="5"/>
  <c r="Q1313" i="5"/>
  <c r="Q1314" i="5"/>
  <c r="Q1315" i="5"/>
  <c r="Q1316" i="5"/>
  <c r="Q1317" i="5"/>
  <c r="Q1318" i="5"/>
  <c r="Q1319" i="5"/>
  <c r="Q1320" i="5"/>
  <c r="Q1321" i="5"/>
  <c r="Q1322" i="5"/>
  <c r="Q1323" i="5"/>
  <c r="Q1324" i="5"/>
  <c r="Q1325" i="5"/>
  <c r="Q1326" i="5"/>
  <c r="Q1327" i="5"/>
  <c r="Q1328" i="5"/>
  <c r="Q1329" i="5"/>
  <c r="Q1330" i="5"/>
  <c r="Q1331" i="5"/>
  <c r="Q1332" i="5"/>
  <c r="Q1333" i="5"/>
  <c r="Q1334" i="5"/>
  <c r="Q1335" i="5"/>
  <c r="Q1336" i="5"/>
  <c r="Q1337" i="5"/>
  <c r="Q1338" i="5"/>
  <c r="Q1339" i="5"/>
  <c r="Q1340" i="5"/>
  <c r="Q1341" i="5"/>
  <c r="Q1342" i="5"/>
  <c r="Q1343" i="5"/>
  <c r="Q1344" i="5"/>
  <c r="Q1345" i="5"/>
  <c r="Q1346" i="5"/>
  <c r="Q1347" i="5"/>
  <c r="Q1348" i="5"/>
  <c r="Q1349" i="5"/>
  <c r="Q1350" i="5"/>
  <c r="Q1351" i="5"/>
  <c r="Q1352" i="5"/>
  <c r="Q1353" i="5"/>
  <c r="Q1354" i="5"/>
  <c r="Q1355" i="5"/>
  <c r="Q1356" i="5"/>
  <c r="Q1357" i="5"/>
  <c r="Q1358" i="5"/>
  <c r="Q1359" i="5"/>
  <c r="Q1360" i="5"/>
  <c r="Q1361" i="5"/>
  <c r="Q1362" i="5"/>
  <c r="Q1363" i="5"/>
  <c r="Q1364" i="5"/>
  <c r="Q1365" i="5"/>
  <c r="Q1366" i="5"/>
  <c r="Q1367" i="5"/>
  <c r="Q1368" i="5"/>
  <c r="Q1369" i="5"/>
  <c r="Q1370" i="5"/>
  <c r="Q1371" i="5"/>
  <c r="Q1372" i="5"/>
  <c r="Q1373" i="5"/>
  <c r="Q1374" i="5"/>
  <c r="Q1375" i="5"/>
  <c r="Q1376" i="5"/>
  <c r="Q1377" i="5"/>
  <c r="Q1378" i="5"/>
  <c r="Q1379" i="5"/>
  <c r="Q1380" i="5"/>
  <c r="Q1381" i="5"/>
  <c r="Q1382" i="5"/>
  <c r="Q1383" i="5"/>
  <c r="Q1384" i="5"/>
  <c r="Q1385" i="5"/>
  <c r="Q1386" i="5"/>
  <c r="Q1387" i="5"/>
  <c r="Q1388" i="5"/>
  <c r="Q1389" i="5"/>
  <c r="Q1390" i="5"/>
  <c r="Q1391" i="5"/>
  <c r="Q1392" i="5"/>
  <c r="Q1393" i="5"/>
  <c r="Q1394" i="5"/>
  <c r="Q1395" i="5"/>
  <c r="Q1396" i="5"/>
  <c r="Q1397" i="5"/>
  <c r="Q1398" i="5"/>
  <c r="Q1399" i="5"/>
  <c r="Q1400" i="5"/>
  <c r="Q1401" i="5"/>
  <c r="Q1402" i="5"/>
  <c r="Q1403" i="5"/>
  <c r="Q1404" i="5"/>
  <c r="Q1405" i="5"/>
  <c r="Q1406" i="5"/>
  <c r="Q1407" i="5"/>
  <c r="Q1408" i="5"/>
  <c r="Q1409" i="5"/>
  <c r="Q1410" i="5"/>
  <c r="Q1411" i="5"/>
  <c r="Q1412" i="5"/>
  <c r="Q1413" i="5"/>
  <c r="Q1414" i="5"/>
  <c r="Q1415" i="5"/>
  <c r="Q1416" i="5"/>
  <c r="Q1417" i="5"/>
  <c r="Q1418" i="5"/>
  <c r="Q1419" i="5"/>
  <c r="Q1420" i="5"/>
  <c r="Q1421" i="5"/>
  <c r="Q1422" i="5"/>
  <c r="Q1423" i="5"/>
  <c r="Q1424" i="5"/>
  <c r="Q1425" i="5"/>
  <c r="Q1426" i="5"/>
  <c r="Q1427" i="5"/>
  <c r="Q1428" i="5"/>
  <c r="Q1429" i="5"/>
  <c r="Q1430" i="5"/>
  <c r="Q1431" i="5"/>
  <c r="Q1432" i="5"/>
  <c r="Q1433" i="5"/>
  <c r="Q1434" i="5"/>
  <c r="Q1435" i="5"/>
  <c r="Q1436" i="5"/>
  <c r="Q1437" i="5"/>
  <c r="Q1438" i="5"/>
  <c r="Q1439" i="5"/>
  <c r="Q1440" i="5"/>
  <c r="Q1441" i="5"/>
  <c r="Q1442" i="5"/>
  <c r="Q1443" i="5"/>
  <c r="Q1444" i="5"/>
  <c r="Q1445" i="5"/>
  <c r="Q1446" i="5"/>
  <c r="Q1447" i="5"/>
  <c r="Q1448" i="5"/>
  <c r="Q1449" i="5"/>
  <c r="Q1450" i="5"/>
  <c r="Q1451" i="5"/>
  <c r="Q1452" i="5"/>
  <c r="Q1453" i="5"/>
  <c r="Q1454" i="5"/>
  <c r="Q1455" i="5"/>
  <c r="Q1456" i="5"/>
  <c r="Q1457" i="5"/>
  <c r="Q1458" i="5"/>
  <c r="Q1459" i="5"/>
  <c r="Q1460" i="5"/>
  <c r="Q1461" i="5"/>
  <c r="Q1462" i="5"/>
  <c r="Q1463" i="5"/>
  <c r="Q1464" i="5"/>
  <c r="Q1465" i="5"/>
  <c r="Q1466" i="5"/>
  <c r="Q1467" i="5"/>
  <c r="Q1468" i="5"/>
  <c r="Q1469" i="5"/>
  <c r="Q1470" i="5"/>
  <c r="Q1471" i="5"/>
  <c r="Q1472" i="5"/>
  <c r="Q1473" i="5"/>
  <c r="Q1474" i="5"/>
  <c r="Q1475" i="5"/>
  <c r="Q1476" i="5"/>
  <c r="Q1477" i="5"/>
  <c r="Q1478" i="5"/>
  <c r="Q1479" i="5"/>
  <c r="Q1480" i="5"/>
  <c r="Q1481" i="5"/>
  <c r="Q1482" i="5"/>
  <c r="Q1483" i="5"/>
  <c r="Q1484" i="5"/>
  <c r="Q1485" i="5"/>
  <c r="Q1486" i="5"/>
  <c r="Q1487" i="5"/>
  <c r="Q1488" i="5"/>
  <c r="Q1489" i="5"/>
  <c r="Q1490" i="5"/>
  <c r="Q1491" i="5"/>
  <c r="Q1492" i="5"/>
  <c r="Q1493" i="5"/>
  <c r="Q1494" i="5"/>
  <c r="Q1495" i="5"/>
  <c r="Q1496" i="5"/>
  <c r="Q1497" i="5"/>
  <c r="Q1498" i="5"/>
  <c r="Q1499" i="5"/>
  <c r="Q1500" i="5"/>
  <c r="Q1501" i="5"/>
  <c r="Q1502" i="5"/>
  <c r="Q1503" i="5"/>
  <c r="Q1504" i="5"/>
  <c r="Q1505" i="5"/>
  <c r="Q1506" i="5"/>
  <c r="Q1507" i="5"/>
  <c r="Q1508" i="5"/>
  <c r="Q1509" i="5"/>
  <c r="Q1510" i="5"/>
  <c r="Q1511" i="5"/>
  <c r="Q1512" i="5"/>
  <c r="Q1513" i="5"/>
  <c r="Q1514" i="5"/>
  <c r="Q1515" i="5"/>
  <c r="Q1516" i="5"/>
  <c r="Q1517" i="5"/>
  <c r="Q1518" i="5"/>
  <c r="Q1519" i="5"/>
  <c r="Q1520" i="5"/>
  <c r="Q1521" i="5"/>
  <c r="Q1522" i="5"/>
  <c r="Q1523" i="5"/>
  <c r="Q1524" i="5"/>
  <c r="Q1525" i="5"/>
  <c r="Q1526" i="5"/>
  <c r="Q1527" i="5"/>
  <c r="Q1528" i="5"/>
  <c r="Q1529" i="5"/>
  <c r="Q1530" i="5"/>
  <c r="Q1531" i="5"/>
  <c r="Q1532" i="5"/>
  <c r="Q1533" i="5"/>
  <c r="Q1534" i="5"/>
  <c r="Q1535" i="5"/>
  <c r="Q1536" i="5"/>
  <c r="Q1537" i="5"/>
  <c r="Q1538" i="5"/>
  <c r="Q1539" i="5"/>
  <c r="Q1540" i="5"/>
  <c r="Q1541" i="5"/>
  <c r="Q1542" i="5"/>
  <c r="Q1543" i="5"/>
  <c r="Q1544" i="5"/>
  <c r="Q1545" i="5"/>
  <c r="Q1546" i="5"/>
  <c r="Q1547" i="5"/>
  <c r="Q1548" i="5"/>
  <c r="Q1549" i="5"/>
  <c r="Q1550" i="5"/>
  <c r="Q1551" i="5"/>
  <c r="Q1552" i="5"/>
  <c r="Q1553" i="5"/>
  <c r="Q1554" i="5"/>
  <c r="Q1555" i="5"/>
  <c r="Q1556" i="5"/>
  <c r="Q1557" i="5"/>
  <c r="Q1558" i="5"/>
  <c r="Q1559" i="5"/>
  <c r="Q1560" i="5"/>
  <c r="Q1561" i="5"/>
  <c r="Q1562" i="5"/>
  <c r="Q1563" i="5"/>
  <c r="Q1564" i="5"/>
  <c r="Q1565" i="5"/>
  <c r="Q1566" i="5"/>
  <c r="Q1567" i="5"/>
  <c r="Q1568" i="5"/>
  <c r="Q1569" i="5"/>
  <c r="Q1570" i="5"/>
  <c r="Q1571" i="5"/>
  <c r="Q1572" i="5"/>
  <c r="Q1573" i="5"/>
  <c r="Q1574" i="5"/>
  <c r="Q1575" i="5"/>
  <c r="Q1576" i="5"/>
  <c r="Q1577" i="5"/>
  <c r="Q1578" i="5"/>
  <c r="Q1579" i="5"/>
  <c r="Q1580" i="5"/>
  <c r="Q1581" i="5"/>
  <c r="Q1582" i="5"/>
  <c r="Q1583" i="5"/>
  <c r="Q1584" i="5"/>
  <c r="Q1585" i="5"/>
  <c r="Q1586" i="5"/>
  <c r="Q1587" i="5"/>
  <c r="Q1588" i="5"/>
  <c r="Q1589" i="5"/>
  <c r="Q1590" i="5"/>
  <c r="Q1591" i="5"/>
  <c r="Q1592" i="5"/>
  <c r="Q1593" i="5"/>
  <c r="Q1594" i="5"/>
  <c r="Q1595" i="5"/>
  <c r="Q1596" i="5"/>
  <c r="Q1597" i="5"/>
  <c r="Q1598" i="5"/>
  <c r="Q1599" i="5"/>
  <c r="Q1600" i="5"/>
  <c r="Q1601" i="5"/>
  <c r="Q1602" i="5"/>
  <c r="Q1603" i="5"/>
  <c r="Q1604" i="5"/>
  <c r="Q1605" i="5"/>
  <c r="Q1606" i="5"/>
  <c r="Q1607" i="5"/>
  <c r="Q1608" i="5"/>
  <c r="Q1609" i="5"/>
  <c r="Q1610" i="5"/>
  <c r="Q1611" i="5"/>
  <c r="Q1612" i="5"/>
  <c r="Q1613" i="5"/>
  <c r="Q1614" i="5"/>
  <c r="Q1615" i="5"/>
  <c r="Q1616" i="5"/>
  <c r="Q1617" i="5"/>
  <c r="Q1618" i="5"/>
  <c r="Q1619" i="5"/>
  <c r="Q1620" i="5"/>
  <c r="Q1621" i="5"/>
  <c r="Q1622" i="5"/>
  <c r="Q1623" i="5"/>
  <c r="Q1624" i="5"/>
  <c r="Q1625" i="5"/>
  <c r="Q1626" i="5"/>
  <c r="Q1627" i="5"/>
  <c r="Q1628" i="5"/>
  <c r="Q1629" i="5"/>
  <c r="Q1630" i="5"/>
  <c r="Q1631" i="5"/>
  <c r="Q1632" i="5"/>
  <c r="Q1633" i="5"/>
  <c r="Q1634" i="5"/>
  <c r="Q1635" i="5"/>
  <c r="Q1636" i="5"/>
  <c r="Q1637" i="5"/>
  <c r="Q1638" i="5"/>
  <c r="Q1639" i="5"/>
  <c r="Q1640" i="5"/>
  <c r="Q1641" i="5"/>
  <c r="Q1642" i="5"/>
  <c r="Q1643" i="5"/>
  <c r="Q1644" i="5"/>
  <c r="Q1645" i="5"/>
  <c r="Q1646" i="5"/>
  <c r="Q1647" i="5"/>
  <c r="Q1648" i="5"/>
  <c r="Q1649" i="5"/>
  <c r="Q1650" i="5"/>
  <c r="Q1651" i="5"/>
  <c r="Q1652" i="5"/>
  <c r="Q1653" i="5"/>
  <c r="Q1654" i="5"/>
  <c r="Q1655" i="5"/>
  <c r="Q1656" i="5"/>
  <c r="Q1657" i="5"/>
  <c r="Q1658" i="5"/>
  <c r="Q1659" i="5"/>
  <c r="Q1660" i="5"/>
  <c r="Q1661" i="5"/>
  <c r="Q1662" i="5"/>
  <c r="Q1663" i="5"/>
  <c r="Q1664" i="5"/>
  <c r="Q1665" i="5"/>
  <c r="Q1666" i="5"/>
  <c r="Q1667" i="5"/>
  <c r="Q1668" i="5"/>
  <c r="Q1669" i="5"/>
  <c r="Q1670" i="5"/>
  <c r="Q1671" i="5"/>
  <c r="Q1672" i="5"/>
  <c r="Q1673" i="5"/>
  <c r="Q1674" i="5"/>
  <c r="Q1675" i="5"/>
  <c r="Q1676" i="5"/>
  <c r="Q1677" i="5"/>
  <c r="Q1678" i="5"/>
  <c r="Q1679" i="5"/>
  <c r="Q1680" i="5"/>
  <c r="Q1681" i="5"/>
  <c r="Q1682" i="5"/>
  <c r="Q1683" i="5"/>
  <c r="Q1684" i="5"/>
  <c r="Q1685" i="5"/>
  <c r="Q1686" i="5"/>
  <c r="Q1687" i="5"/>
  <c r="Q1688" i="5"/>
  <c r="Q1689" i="5"/>
  <c r="Q1690" i="5"/>
  <c r="Q1691" i="5"/>
  <c r="Q1692" i="5"/>
  <c r="Q1693" i="5"/>
  <c r="Q1694" i="5"/>
  <c r="Q1695" i="5"/>
  <c r="Q1696" i="5"/>
  <c r="Q1697" i="5"/>
  <c r="Q1698" i="5"/>
  <c r="Q1699" i="5"/>
  <c r="Q1700" i="5"/>
  <c r="Q1701" i="5"/>
  <c r="Q1702" i="5"/>
  <c r="Q1703" i="5"/>
  <c r="Q1704" i="5"/>
  <c r="Q1705" i="5"/>
  <c r="Q1706" i="5"/>
  <c r="Q1707" i="5"/>
  <c r="Q1708" i="5"/>
  <c r="Q1709" i="5"/>
  <c r="Q1710" i="5"/>
  <c r="Q1711" i="5"/>
  <c r="Q1712" i="5"/>
  <c r="Q1713" i="5"/>
  <c r="Q1714" i="5"/>
  <c r="Q1715" i="5"/>
  <c r="Q1716" i="5"/>
  <c r="Q1717" i="5"/>
  <c r="Q1718" i="5"/>
  <c r="Q1719" i="5"/>
  <c r="Q1720" i="5"/>
  <c r="Q1721" i="5"/>
  <c r="Q1722" i="5"/>
  <c r="Q1723" i="5"/>
  <c r="Q1724" i="5"/>
  <c r="Q1725" i="5"/>
  <c r="Q1726" i="5"/>
  <c r="Q1727" i="5"/>
  <c r="Q1728" i="5"/>
  <c r="Q1729" i="5"/>
  <c r="Q1730" i="5"/>
  <c r="Q1731" i="5"/>
  <c r="Q1732" i="5"/>
  <c r="Q1733" i="5"/>
  <c r="Q1734" i="5"/>
  <c r="Q1735" i="5"/>
  <c r="Q1736" i="5"/>
  <c r="Q1737" i="5"/>
  <c r="Q1738" i="5"/>
  <c r="Q1739" i="5"/>
  <c r="Q1740" i="5"/>
  <c r="Q1741" i="5"/>
  <c r="Q1742" i="5"/>
  <c r="Q1743" i="5"/>
  <c r="Q1744" i="5"/>
  <c r="Q1745" i="5"/>
  <c r="Q1746" i="5"/>
  <c r="Q1747" i="5"/>
  <c r="Q1748" i="5"/>
  <c r="Q1749" i="5"/>
  <c r="Q1750" i="5"/>
  <c r="Q1751" i="5"/>
  <c r="Q1752" i="5"/>
  <c r="Q1753" i="5"/>
  <c r="Q1754" i="5"/>
  <c r="Q1755" i="5"/>
  <c r="Q1756" i="5"/>
  <c r="Q1757" i="5"/>
  <c r="Q1758" i="5"/>
  <c r="Q1759" i="5"/>
  <c r="Q1760" i="5"/>
  <c r="Q1761" i="5"/>
  <c r="Q1762" i="5"/>
  <c r="Q1763" i="5"/>
  <c r="Q1764" i="5"/>
  <c r="Q1765" i="5"/>
  <c r="Q1766" i="5"/>
  <c r="Q1767" i="5"/>
  <c r="Q1768" i="5"/>
  <c r="Q1769" i="5"/>
  <c r="Q1770" i="5"/>
  <c r="Q1771" i="5"/>
  <c r="Q1772" i="5"/>
  <c r="Q1773" i="5"/>
  <c r="Q1774" i="5"/>
  <c r="Q1775" i="5"/>
  <c r="Q1776" i="5"/>
  <c r="Q1777" i="5"/>
  <c r="Q1778" i="5"/>
  <c r="Q1779" i="5"/>
  <c r="Q1780" i="5"/>
  <c r="Q1781" i="5"/>
  <c r="Q1782" i="5"/>
  <c r="Q1783" i="5"/>
  <c r="Q1784" i="5"/>
  <c r="Q1785" i="5"/>
  <c r="Q1786" i="5"/>
  <c r="Q1787" i="5"/>
  <c r="Q1788" i="5"/>
  <c r="Q1789" i="5"/>
  <c r="Q1790" i="5"/>
  <c r="Q1791" i="5"/>
  <c r="Q1792" i="5"/>
  <c r="Q1793" i="5"/>
  <c r="Q1794" i="5"/>
  <c r="Q1795" i="5"/>
  <c r="Q1796" i="5"/>
  <c r="Q1797" i="5"/>
  <c r="Q1798" i="5"/>
  <c r="Q1799" i="5"/>
  <c r="Q1800" i="5"/>
  <c r="Q1801" i="5"/>
  <c r="Q1802" i="5"/>
  <c r="Q1803" i="5"/>
  <c r="Q1804" i="5"/>
  <c r="Q1805" i="5"/>
  <c r="Q1806" i="5"/>
  <c r="Q1807" i="5"/>
  <c r="Q1808" i="5"/>
  <c r="Q1809" i="5"/>
  <c r="Q1810" i="5"/>
  <c r="Q1811" i="5"/>
  <c r="Q1812" i="5"/>
  <c r="Q1813" i="5"/>
  <c r="Q1814" i="5"/>
  <c r="Q1815" i="5"/>
  <c r="Q1816" i="5"/>
  <c r="Q1817" i="5"/>
  <c r="Q1818" i="5"/>
  <c r="Q1819" i="5"/>
  <c r="Q1820" i="5"/>
  <c r="Q1821" i="5"/>
  <c r="Q1822" i="5"/>
  <c r="Q1823" i="5"/>
  <c r="Q1824" i="5"/>
  <c r="Q1825" i="5"/>
  <c r="Q1826" i="5"/>
  <c r="Q1827" i="5"/>
  <c r="Q1828" i="5"/>
  <c r="Q1829" i="5"/>
  <c r="Q1830" i="5"/>
  <c r="Q1831" i="5"/>
  <c r="Q1832" i="5"/>
  <c r="Q1833" i="5"/>
  <c r="Q1834" i="5"/>
  <c r="Q1835" i="5"/>
  <c r="Q1836" i="5"/>
  <c r="Q1837" i="5"/>
  <c r="Q1838" i="5"/>
  <c r="Q1839" i="5"/>
  <c r="Q1840" i="5"/>
  <c r="Q1841" i="5"/>
  <c r="Q1842" i="5"/>
  <c r="Q1843" i="5"/>
  <c r="Q1844" i="5"/>
  <c r="Q1845" i="5"/>
  <c r="Q1846" i="5"/>
  <c r="Q1847" i="5"/>
  <c r="Q1848" i="5"/>
  <c r="Q1849" i="5"/>
  <c r="Q1850" i="5"/>
  <c r="Q1851" i="5"/>
  <c r="Q1852" i="5"/>
  <c r="Q1853" i="5"/>
  <c r="Q1854" i="5"/>
  <c r="Q1855" i="5"/>
  <c r="Q1856" i="5"/>
  <c r="Q1857" i="5"/>
  <c r="Q1858" i="5"/>
  <c r="Q1859" i="5"/>
  <c r="Q1860" i="5"/>
  <c r="Q1861" i="5"/>
  <c r="Q1862" i="5"/>
  <c r="Q1863" i="5"/>
  <c r="Q1864" i="5"/>
  <c r="Q1865" i="5"/>
  <c r="Q1866" i="5"/>
  <c r="Q1867" i="5"/>
  <c r="Q1868" i="5"/>
  <c r="Q1869" i="5"/>
  <c r="Q1870" i="5"/>
  <c r="Q1871" i="5"/>
  <c r="Q1872" i="5"/>
  <c r="Q1873" i="5"/>
  <c r="Q1874" i="5"/>
  <c r="Q1875" i="5"/>
  <c r="Q1876" i="5"/>
  <c r="Q1877" i="5"/>
  <c r="Q1878" i="5"/>
  <c r="Q1879" i="5"/>
  <c r="Q1880" i="5"/>
  <c r="Q1881" i="5"/>
  <c r="Q1882" i="5"/>
  <c r="Q1883" i="5"/>
  <c r="Q1884" i="5"/>
  <c r="Q1885" i="5"/>
  <c r="Q1886" i="5"/>
  <c r="Q1887" i="5"/>
  <c r="Q1888" i="5"/>
  <c r="Q1889" i="5"/>
  <c r="Q1890" i="5"/>
  <c r="Q1891" i="5"/>
  <c r="Q1892" i="5"/>
  <c r="Q1893" i="5"/>
  <c r="Q1894" i="5"/>
  <c r="Q1895" i="5"/>
  <c r="Q1896" i="5"/>
  <c r="Q1897" i="5"/>
  <c r="Q1898" i="5"/>
  <c r="Q1899" i="5"/>
  <c r="Q1900" i="5"/>
  <c r="Q1901" i="5"/>
  <c r="Q1902" i="5"/>
  <c r="Q1903" i="5"/>
  <c r="Q1904" i="5"/>
  <c r="Q1905" i="5"/>
  <c r="Q1906" i="5"/>
  <c r="Q1907" i="5"/>
  <c r="Q1908" i="5"/>
  <c r="Q1909" i="5"/>
  <c r="Q1910" i="5"/>
  <c r="Q1911" i="5"/>
  <c r="Q1912" i="5"/>
  <c r="Q1913" i="5"/>
  <c r="Q1914" i="5"/>
  <c r="Q1915" i="5"/>
  <c r="Q1916" i="5"/>
  <c r="Q1917" i="5"/>
  <c r="Q1918" i="5"/>
  <c r="Q1919" i="5"/>
  <c r="Q1920" i="5"/>
  <c r="Q1921" i="5"/>
  <c r="Q1922" i="5"/>
  <c r="Q1923" i="5"/>
  <c r="Q1924" i="5"/>
  <c r="Q1925" i="5"/>
  <c r="Q1926" i="5"/>
  <c r="Q1927" i="5"/>
  <c r="Q1928" i="5"/>
  <c r="Q1929" i="5"/>
  <c r="Q1930" i="5"/>
  <c r="Q1931" i="5"/>
  <c r="Q1932" i="5"/>
  <c r="Q1933" i="5"/>
  <c r="Q1934" i="5"/>
  <c r="Q1935" i="5"/>
  <c r="Q1936" i="5"/>
  <c r="Q1937" i="5"/>
  <c r="Q1938" i="5"/>
  <c r="Q1939" i="5"/>
  <c r="Q1940" i="5"/>
  <c r="Q1941" i="5"/>
  <c r="Q1942" i="5"/>
  <c r="Q1943" i="5"/>
  <c r="Q1944" i="5"/>
  <c r="Q1945" i="5"/>
  <c r="Q1946" i="5"/>
  <c r="Q1947" i="5"/>
  <c r="Q1948" i="5"/>
  <c r="Q1949" i="5"/>
  <c r="Q1950" i="5"/>
  <c r="Q1951" i="5"/>
  <c r="Q1952" i="5"/>
  <c r="Q1953" i="5"/>
  <c r="Q1954" i="5"/>
  <c r="Q1955" i="5"/>
  <c r="Q1956" i="5"/>
  <c r="Q1957" i="5"/>
  <c r="Q1958" i="5"/>
  <c r="Q1959" i="5"/>
  <c r="Q1960" i="5"/>
  <c r="Q1961" i="5"/>
  <c r="Q1962" i="5"/>
  <c r="Q1963" i="5"/>
  <c r="Q1964" i="5"/>
  <c r="Q1965" i="5"/>
  <c r="Q1966" i="5"/>
  <c r="Q1967" i="5"/>
  <c r="Q1968" i="5"/>
  <c r="Q1969" i="5"/>
  <c r="Q1970" i="5"/>
  <c r="Q1971" i="5"/>
  <c r="Q1972" i="5"/>
  <c r="Q1973" i="5"/>
  <c r="Q1974" i="5"/>
  <c r="Q1975" i="5"/>
  <c r="Q1976" i="5"/>
  <c r="Q1977" i="5"/>
  <c r="Q1978" i="5"/>
  <c r="Q1979" i="5"/>
  <c r="Q1980" i="5"/>
  <c r="Q1981" i="5"/>
  <c r="Q1982" i="5"/>
  <c r="Q1983" i="5"/>
  <c r="Q1984" i="5"/>
  <c r="Q1985" i="5"/>
  <c r="Q1986" i="5"/>
  <c r="Q1987" i="5"/>
  <c r="Q1988" i="5"/>
  <c r="Q1989" i="5"/>
  <c r="Q1990" i="5"/>
  <c r="Q1991" i="5"/>
  <c r="Q1992" i="5"/>
  <c r="Q1993" i="5"/>
  <c r="Q1994" i="5"/>
  <c r="Q1995" i="5"/>
  <c r="Q1996" i="5"/>
  <c r="Q1997" i="5"/>
  <c r="Q1998" i="5"/>
  <c r="Q1999" i="5"/>
  <c r="Q2000" i="5"/>
  <c r="Q2001" i="5"/>
  <c r="Q2002" i="5"/>
  <c r="Q2003" i="5"/>
  <c r="Q2004" i="5"/>
  <c r="Q2005" i="5"/>
  <c r="Q2006" i="5"/>
  <c r="Q2007" i="5"/>
  <c r="Q2008" i="5"/>
  <c r="Q2009" i="5"/>
  <c r="Q2010" i="5"/>
  <c r="Q2011" i="5"/>
  <c r="Q2012" i="5"/>
  <c r="Q2013" i="5"/>
  <c r="Q2014" i="5"/>
  <c r="Q2015" i="5"/>
  <c r="Q2016" i="5"/>
  <c r="Q2017" i="5"/>
  <c r="Q2018" i="5"/>
  <c r="Q2019" i="5"/>
  <c r="Q2020" i="5"/>
  <c r="Q2021" i="5"/>
  <c r="Q2022" i="5"/>
  <c r="Q2023" i="5"/>
  <c r="Q2024" i="5"/>
  <c r="Q2025" i="5"/>
  <c r="Q2026" i="5"/>
  <c r="Q2027" i="5"/>
  <c r="Q2028" i="5"/>
  <c r="Q2029" i="5"/>
  <c r="Q2030" i="5"/>
  <c r="Q2031" i="5"/>
  <c r="Q2032" i="5"/>
  <c r="Q2033" i="5"/>
  <c r="Q2034" i="5"/>
  <c r="Q2035" i="5"/>
  <c r="Q2036" i="5"/>
  <c r="Q2037" i="5"/>
  <c r="Q2038" i="5"/>
  <c r="Q2039" i="5"/>
  <c r="Q2040" i="5"/>
  <c r="Q2041" i="5"/>
  <c r="Q2042" i="5"/>
  <c r="Q2043" i="5"/>
  <c r="Q2044" i="5"/>
  <c r="Q2045" i="5"/>
  <c r="Q2046" i="5"/>
  <c r="Q2047" i="5"/>
  <c r="Q2048" i="5"/>
  <c r="Q2049" i="5"/>
  <c r="Q2050" i="5"/>
  <c r="Q2051" i="5"/>
  <c r="Q2052" i="5"/>
  <c r="Q2053" i="5"/>
  <c r="Q2054" i="5"/>
  <c r="Q2055" i="5"/>
  <c r="Q2056" i="5"/>
  <c r="Q2057" i="5"/>
  <c r="Q2058" i="5"/>
  <c r="Q2059" i="5"/>
  <c r="Q2060" i="5"/>
  <c r="Q2061" i="5"/>
  <c r="Q2062" i="5"/>
  <c r="Q2063" i="5"/>
  <c r="Q2064" i="5"/>
  <c r="Q2065" i="5"/>
  <c r="Q2066" i="5"/>
  <c r="Q2067" i="5"/>
  <c r="Q2068" i="5"/>
  <c r="Q2069" i="5"/>
  <c r="Q2070" i="5"/>
  <c r="Q2071" i="5"/>
  <c r="Q2072" i="5"/>
  <c r="Q2073" i="5"/>
  <c r="Q2074" i="5"/>
  <c r="Q2075" i="5"/>
  <c r="Q2076" i="5"/>
  <c r="Q2077" i="5"/>
  <c r="Q2078" i="5"/>
  <c r="Q2079" i="5"/>
  <c r="Q2080" i="5"/>
  <c r="Q2081" i="5"/>
  <c r="Q2082" i="5"/>
  <c r="Q2083" i="5"/>
  <c r="Q2084" i="5"/>
  <c r="Q2085" i="5"/>
  <c r="Q2086" i="5"/>
  <c r="Q2087" i="5"/>
  <c r="Q2088" i="5"/>
  <c r="Q2089" i="5"/>
  <c r="Q2090" i="5"/>
  <c r="Q2091" i="5"/>
  <c r="Q2092" i="5"/>
  <c r="Q2093" i="5"/>
  <c r="Q2094" i="5"/>
  <c r="Q2095" i="5"/>
  <c r="Q2096" i="5"/>
  <c r="Q2097" i="5"/>
  <c r="Q2098" i="5"/>
  <c r="Q2099" i="5"/>
  <c r="Q2100" i="5"/>
  <c r="Q2101" i="5"/>
  <c r="Q2102" i="5"/>
  <c r="Q2103" i="5"/>
  <c r="Q2104" i="5"/>
  <c r="Q2105" i="5"/>
  <c r="Q2106" i="5"/>
  <c r="Q2107" i="5"/>
  <c r="Q2108" i="5"/>
  <c r="Q2109" i="5"/>
  <c r="Q2110" i="5"/>
  <c r="Q2111" i="5"/>
  <c r="Q2112" i="5"/>
  <c r="Q2113" i="5"/>
  <c r="Q2114" i="5"/>
  <c r="Q2115" i="5"/>
  <c r="Q2116" i="5"/>
  <c r="Q2117" i="5"/>
  <c r="Q2118" i="5"/>
  <c r="Q2119" i="5"/>
  <c r="Q2120" i="5"/>
  <c r="Q2121" i="5"/>
  <c r="Q2122" i="5"/>
  <c r="Q2123" i="5"/>
  <c r="Q2124" i="5"/>
  <c r="Q2125" i="5"/>
  <c r="Q2126" i="5"/>
  <c r="Q2127" i="5"/>
  <c r="Q2128" i="5"/>
  <c r="Q2129" i="5"/>
  <c r="Q2130" i="5"/>
  <c r="Q2131" i="5"/>
  <c r="Q2132" i="5"/>
  <c r="Q2133" i="5"/>
  <c r="Q2134" i="5"/>
  <c r="Q2135" i="5"/>
  <c r="Q2136" i="5"/>
  <c r="Q2137" i="5"/>
  <c r="Q2138" i="5"/>
  <c r="Q2139" i="5"/>
  <c r="Q2140" i="5"/>
  <c r="Q2141" i="5"/>
  <c r="Q2142" i="5"/>
  <c r="Q2143" i="5"/>
  <c r="Q2144" i="5"/>
  <c r="Q2145" i="5"/>
  <c r="Q2146" i="5"/>
  <c r="Q2147" i="5"/>
  <c r="Q2148" i="5"/>
  <c r="Q2149" i="5"/>
  <c r="Q2150" i="5"/>
  <c r="Q2151" i="5"/>
  <c r="Q2152" i="5"/>
  <c r="Q2153" i="5"/>
  <c r="Q2154" i="5"/>
  <c r="Q2155" i="5"/>
  <c r="Q2156" i="5"/>
  <c r="Q2157" i="5"/>
  <c r="Q2158" i="5"/>
  <c r="Q2159" i="5"/>
  <c r="Q2160" i="5"/>
  <c r="Q2161" i="5"/>
  <c r="Q2162" i="5"/>
  <c r="Q2163" i="5"/>
  <c r="Q2164" i="5"/>
  <c r="Q2165" i="5"/>
  <c r="Q2166" i="5"/>
  <c r="Q2167" i="5"/>
  <c r="Q2168" i="5"/>
  <c r="Q2169" i="5"/>
  <c r="Q2170" i="5"/>
  <c r="Q2171" i="5"/>
  <c r="Q2172" i="5"/>
  <c r="Q2173" i="5"/>
  <c r="Q2174" i="5"/>
  <c r="Q2175" i="5"/>
  <c r="Q2176" i="5"/>
  <c r="Q2177" i="5"/>
  <c r="Q2178" i="5"/>
  <c r="Q2179" i="5"/>
  <c r="Q2180" i="5"/>
  <c r="Q2181" i="5"/>
  <c r="Q2182" i="5"/>
  <c r="Q2183" i="5"/>
  <c r="Q2184" i="5"/>
  <c r="Q2185" i="5"/>
  <c r="Q2186" i="5"/>
  <c r="Q2187" i="5"/>
  <c r="Q2188" i="5"/>
  <c r="Q2189" i="5"/>
  <c r="Q2190" i="5"/>
  <c r="Q2191" i="5"/>
  <c r="Q2192" i="5"/>
  <c r="Q2193" i="5"/>
  <c r="Q2194" i="5"/>
  <c r="Q2195" i="5"/>
  <c r="Q2196" i="5"/>
  <c r="Q2197" i="5"/>
  <c r="Q2198" i="5"/>
  <c r="Q2199" i="5"/>
  <c r="Q2200" i="5"/>
  <c r="Q2201" i="5"/>
  <c r="Q2202" i="5"/>
  <c r="Q2203" i="5"/>
  <c r="Q2204" i="5"/>
  <c r="Q2205" i="5"/>
  <c r="Q2206" i="5"/>
  <c r="Q2207" i="5"/>
  <c r="Q2208" i="5"/>
  <c r="Q2209" i="5"/>
  <c r="Q2210" i="5"/>
  <c r="Q2211" i="5"/>
  <c r="Q2212" i="5"/>
  <c r="Q2213" i="5"/>
  <c r="Q2214" i="5"/>
  <c r="Q2215" i="5"/>
  <c r="Q2216" i="5"/>
  <c r="Q2217" i="5"/>
  <c r="Q2218" i="5"/>
  <c r="Q2219" i="5"/>
  <c r="Q2220" i="5"/>
  <c r="Q2221" i="5"/>
  <c r="Q2222" i="5"/>
  <c r="Q2223" i="5"/>
  <c r="Q2224" i="5"/>
  <c r="Q2225" i="5"/>
  <c r="Q2226" i="5"/>
  <c r="Q2227" i="5"/>
  <c r="Q2228" i="5"/>
  <c r="Q2229" i="5"/>
  <c r="Q2230" i="5"/>
  <c r="Q2231" i="5"/>
  <c r="Q2232" i="5"/>
  <c r="Q2233" i="5"/>
  <c r="Q2234" i="5"/>
  <c r="Q2235" i="5"/>
  <c r="Q2236" i="5"/>
  <c r="Q2237" i="5"/>
  <c r="Q2238" i="5"/>
  <c r="Q2239" i="5"/>
  <c r="Q2240" i="5"/>
  <c r="Q2241" i="5"/>
  <c r="Q2242" i="5"/>
  <c r="Q2243" i="5"/>
  <c r="Q2244" i="5"/>
  <c r="Q2245" i="5"/>
  <c r="Q2246" i="5"/>
  <c r="Q2247" i="5"/>
  <c r="Q2248" i="5"/>
  <c r="Q2249" i="5"/>
  <c r="Q2250" i="5"/>
  <c r="Q2251" i="5"/>
  <c r="Q2252" i="5"/>
  <c r="Q2253" i="5"/>
  <c r="Q2254" i="5"/>
  <c r="Q2255" i="5"/>
  <c r="Q2256" i="5"/>
  <c r="Q2257" i="5"/>
  <c r="Q2258" i="5"/>
  <c r="Q2259" i="5"/>
  <c r="Q2260" i="5"/>
  <c r="Q2261" i="5"/>
  <c r="Q2262" i="5"/>
  <c r="Q2263" i="5"/>
  <c r="Q2264" i="5"/>
  <c r="Q2265" i="5"/>
  <c r="Q2266" i="5"/>
  <c r="Q2267" i="5"/>
  <c r="Q2268" i="5"/>
  <c r="Q2269" i="5"/>
  <c r="Q2270" i="5"/>
  <c r="Q2271" i="5"/>
  <c r="Q2272" i="5"/>
  <c r="Q2273" i="5"/>
  <c r="Q2274" i="5"/>
  <c r="Q2275" i="5"/>
  <c r="Q2276" i="5"/>
  <c r="Q2277" i="5"/>
  <c r="Q2278" i="5"/>
  <c r="Q2279" i="5"/>
  <c r="Q2280" i="5"/>
  <c r="Q2281" i="5"/>
  <c r="Q2282" i="5"/>
  <c r="Q2283" i="5"/>
  <c r="Q2284" i="5"/>
  <c r="Q2285" i="5"/>
  <c r="Q2286" i="5"/>
  <c r="Q2287" i="5"/>
  <c r="Q2288" i="5"/>
  <c r="Q2289" i="5"/>
  <c r="Q2290" i="5"/>
  <c r="Q2291" i="5"/>
  <c r="Q2292" i="5"/>
  <c r="Q2293" i="5"/>
  <c r="Q2294" i="5"/>
  <c r="Q2295" i="5"/>
  <c r="Q2296" i="5"/>
  <c r="Q2297" i="5"/>
  <c r="Q2298" i="5"/>
  <c r="Q2299" i="5"/>
  <c r="Q2300" i="5"/>
  <c r="Q2301" i="5"/>
  <c r="Q2302" i="5"/>
  <c r="Q2303" i="5"/>
  <c r="Q2304" i="5"/>
  <c r="Q2305" i="5"/>
  <c r="Q2306" i="5"/>
  <c r="Q2307" i="5"/>
  <c r="Q2308" i="5"/>
  <c r="Q2309" i="5"/>
  <c r="Q2310" i="5"/>
  <c r="Q2311" i="5"/>
  <c r="Q2312" i="5"/>
  <c r="Q2313" i="5"/>
  <c r="Q2314" i="5"/>
  <c r="Q2315" i="5"/>
  <c r="Q2316" i="5"/>
  <c r="Q2317" i="5"/>
  <c r="Q2318" i="5"/>
  <c r="Q2319" i="5"/>
  <c r="Q2320" i="5"/>
  <c r="Q2321" i="5"/>
  <c r="Q2322" i="5"/>
  <c r="Q2323" i="5"/>
  <c r="Q2324" i="5"/>
  <c r="Q2325" i="5"/>
  <c r="Q2326" i="5"/>
  <c r="Q2327" i="5"/>
  <c r="Q2328" i="5"/>
  <c r="Q2329" i="5"/>
  <c r="Q2330" i="5"/>
  <c r="Q2331" i="5"/>
  <c r="Q2332" i="5"/>
  <c r="Q2333" i="5"/>
  <c r="Q2334" i="5"/>
  <c r="Q2335" i="5"/>
  <c r="Q2336" i="5"/>
  <c r="Q2337" i="5"/>
  <c r="Q2338" i="5"/>
  <c r="Q2339" i="5"/>
  <c r="Q2340" i="5"/>
  <c r="Q2341" i="5"/>
  <c r="Q2342" i="5"/>
  <c r="Q2343" i="5"/>
  <c r="Q2344" i="5"/>
  <c r="Q2345" i="5"/>
  <c r="Q2346" i="5"/>
  <c r="Q2347" i="5"/>
  <c r="Q2348" i="5"/>
  <c r="Q2349" i="5"/>
  <c r="Q2350" i="5"/>
  <c r="Q2351" i="5"/>
  <c r="Q2352" i="5"/>
  <c r="Q2353" i="5"/>
  <c r="Q2354" i="5"/>
  <c r="Q2355" i="5"/>
  <c r="Q2356" i="5"/>
  <c r="Q2357" i="5"/>
  <c r="Q2358" i="5"/>
  <c r="Q2359" i="5"/>
  <c r="Q2360" i="5"/>
  <c r="Q2361" i="5"/>
  <c r="Q2362" i="5"/>
  <c r="Q2363" i="5"/>
  <c r="Q2364" i="5"/>
  <c r="Q2365" i="5"/>
  <c r="Q2366" i="5"/>
  <c r="Q2367" i="5"/>
  <c r="Q2368" i="5"/>
  <c r="Q2369" i="5"/>
  <c r="Q2370" i="5"/>
  <c r="Q2371" i="5"/>
  <c r="Q2372" i="5"/>
  <c r="Q2373" i="5"/>
  <c r="Q2374" i="5"/>
  <c r="Q2375" i="5"/>
  <c r="Q2376" i="5"/>
  <c r="Q2377" i="5"/>
  <c r="Q2378" i="5"/>
  <c r="Q2379" i="5"/>
  <c r="Q2380" i="5"/>
  <c r="Q2381" i="5"/>
  <c r="Q2382" i="5"/>
  <c r="Q2383" i="5"/>
  <c r="Q2384" i="5"/>
  <c r="Q2385" i="5"/>
  <c r="Q2386" i="5"/>
  <c r="Q2387" i="5"/>
  <c r="Q2388" i="5"/>
  <c r="Q2389" i="5"/>
  <c r="Q2390" i="5"/>
  <c r="Q2391" i="5"/>
  <c r="Q2392" i="5"/>
  <c r="Q2393" i="5"/>
  <c r="Q2394" i="5"/>
  <c r="Q2395" i="5"/>
  <c r="Q2396" i="5"/>
  <c r="Q2397" i="5"/>
  <c r="Q2398" i="5"/>
  <c r="Q2399" i="5"/>
  <c r="Q2400" i="5"/>
  <c r="Q2401" i="5"/>
  <c r="Q2402" i="5"/>
  <c r="Q2403" i="5"/>
  <c r="Q2404" i="5"/>
  <c r="Q2405" i="5"/>
  <c r="Q2406" i="5"/>
  <c r="Q2407" i="5"/>
  <c r="Q2408" i="5"/>
  <c r="Q2409" i="5"/>
  <c r="Q2410" i="5"/>
  <c r="Q2411" i="5"/>
  <c r="Q2412" i="5"/>
  <c r="Q2413" i="5"/>
  <c r="Q2414" i="5"/>
  <c r="Q2415" i="5"/>
  <c r="Q2416" i="5"/>
  <c r="Q2417" i="5"/>
  <c r="Q2418" i="5"/>
  <c r="Q2419" i="5"/>
  <c r="Q2420" i="5"/>
  <c r="Q2421" i="5"/>
  <c r="Q2422" i="5"/>
  <c r="Q2423" i="5"/>
  <c r="Q2424" i="5"/>
  <c r="Q2425" i="5"/>
  <c r="Q2426" i="5"/>
  <c r="Q2427" i="5"/>
  <c r="Q2428" i="5"/>
  <c r="Q2429" i="5"/>
  <c r="Q2430" i="5"/>
  <c r="Q2431" i="5"/>
  <c r="Q2432" i="5"/>
  <c r="Q2433" i="5"/>
  <c r="Q2434" i="5"/>
  <c r="Q2435" i="5"/>
  <c r="Q2436" i="5"/>
  <c r="Q2437" i="5"/>
  <c r="Q2438" i="5"/>
  <c r="Q2439" i="5"/>
  <c r="Q2440" i="5"/>
  <c r="Q2441" i="5"/>
  <c r="Q2442" i="5"/>
  <c r="Q2443" i="5"/>
  <c r="Q2444" i="5"/>
  <c r="Q2445" i="5"/>
  <c r="Q2446" i="5"/>
  <c r="Q2447" i="5"/>
  <c r="Q2448" i="5"/>
  <c r="Q2449" i="5"/>
  <c r="Q2450" i="5"/>
  <c r="Q2451" i="5"/>
  <c r="Q2452" i="5"/>
  <c r="Q2453" i="5"/>
  <c r="Q2454" i="5"/>
  <c r="Q2455" i="5"/>
  <c r="Q2456" i="5"/>
  <c r="Q2457" i="5"/>
  <c r="Q2458" i="5"/>
  <c r="Q2459" i="5"/>
  <c r="Q2460" i="5"/>
  <c r="Q2461" i="5"/>
  <c r="Q2462" i="5"/>
  <c r="Q2463" i="5"/>
  <c r="Q2464" i="5"/>
  <c r="Q2465" i="5"/>
  <c r="Q2466" i="5"/>
  <c r="Q2467" i="5"/>
  <c r="Q2468" i="5"/>
  <c r="Q2469" i="5"/>
  <c r="Q2470" i="5"/>
  <c r="Q2471" i="5"/>
  <c r="Q2472" i="5"/>
  <c r="Q2473" i="5"/>
  <c r="Q2474" i="5"/>
  <c r="Q2475" i="5"/>
  <c r="Q2476" i="5"/>
  <c r="Q2477" i="5"/>
  <c r="Q2478" i="5"/>
  <c r="Q2479" i="5"/>
  <c r="Q2480" i="5"/>
  <c r="Q2481" i="5"/>
  <c r="Q2482" i="5"/>
  <c r="Q2483" i="5"/>
  <c r="Q2484" i="5"/>
  <c r="Q2485" i="5"/>
  <c r="Q2486" i="5"/>
  <c r="Q2487" i="5"/>
  <c r="Q2488" i="5"/>
  <c r="Q2489" i="5"/>
  <c r="Q2490" i="5"/>
  <c r="Q2491" i="5"/>
  <c r="Q2492" i="5"/>
  <c r="Q2493" i="5"/>
  <c r="Q2494" i="5"/>
  <c r="Q2495" i="5"/>
  <c r="Q2496" i="5"/>
  <c r="Q2497" i="5"/>
  <c r="Q2498" i="5"/>
  <c r="Q2499" i="5"/>
  <c r="Q2500" i="5"/>
  <c r="Q2501" i="5"/>
  <c r="Q2502" i="5"/>
  <c r="Q2503" i="5"/>
  <c r="Q2504" i="5"/>
  <c r="Q2505" i="5"/>
  <c r="Q2506" i="5"/>
  <c r="Q2507" i="5"/>
  <c r="Q2508" i="5"/>
  <c r="Q2509" i="5"/>
  <c r="Q2510" i="5"/>
  <c r="Q2511" i="5"/>
  <c r="Q2512" i="5"/>
  <c r="Q2513" i="5"/>
  <c r="Q2514" i="5"/>
  <c r="Q2515" i="5"/>
  <c r="Q2516" i="5"/>
  <c r="Q2517" i="5"/>
  <c r="Q2518" i="5"/>
  <c r="Q2519" i="5"/>
  <c r="Q2520" i="5"/>
  <c r="Q2521" i="5"/>
  <c r="Q2522" i="5"/>
  <c r="Q2523" i="5"/>
  <c r="Q2524" i="5"/>
  <c r="Q2525" i="5"/>
  <c r="Q2526" i="5"/>
  <c r="Q2527" i="5"/>
  <c r="Q2528" i="5"/>
  <c r="Q2529" i="5"/>
  <c r="Q2530" i="5"/>
  <c r="Q2531" i="5"/>
  <c r="Q2532" i="5"/>
  <c r="Q2533" i="5"/>
  <c r="Q2534" i="5"/>
  <c r="Q2535" i="5"/>
  <c r="Q2536" i="5"/>
  <c r="Q2537" i="5"/>
  <c r="Q2538" i="5"/>
  <c r="Q2539" i="5"/>
  <c r="Q2540" i="5"/>
  <c r="Q2541" i="5"/>
  <c r="Q2542" i="5"/>
  <c r="Q2543" i="5"/>
  <c r="Q2544" i="5"/>
  <c r="Q2545" i="5"/>
  <c r="Q2546" i="5"/>
  <c r="Q2547" i="5"/>
  <c r="Q2548" i="5"/>
  <c r="Q2549" i="5"/>
  <c r="Q2550" i="5"/>
  <c r="Q2551" i="5"/>
  <c r="Q2552" i="5"/>
  <c r="Q2553" i="5"/>
  <c r="Q2554" i="5"/>
  <c r="Q2555" i="5"/>
  <c r="Q2556" i="5"/>
  <c r="Q2557" i="5"/>
  <c r="Q2558" i="5"/>
  <c r="Q2559" i="5"/>
  <c r="Q2560" i="5"/>
  <c r="Q2561" i="5"/>
  <c r="Q2562" i="5"/>
  <c r="Q2563" i="5"/>
  <c r="Q2564" i="5"/>
  <c r="Q2565" i="5"/>
  <c r="Q2566" i="5"/>
  <c r="Q2567" i="5"/>
  <c r="Q2568" i="5"/>
  <c r="Q2569" i="5"/>
  <c r="Q2570" i="5"/>
  <c r="Q2571" i="5"/>
  <c r="Q2572" i="5"/>
  <c r="Q2573" i="5"/>
  <c r="Q2574" i="5"/>
  <c r="Q2575" i="5"/>
  <c r="Q2576" i="5"/>
  <c r="Q2577" i="5"/>
  <c r="Q2578" i="5"/>
  <c r="Q2579" i="5"/>
  <c r="Q2580" i="5"/>
  <c r="Q2581" i="5"/>
  <c r="Q2582" i="5"/>
  <c r="Q2583" i="5"/>
  <c r="Q2584" i="5"/>
  <c r="Q2585" i="5"/>
  <c r="Q2586" i="5"/>
  <c r="Q2587" i="5"/>
  <c r="Q2588" i="5"/>
  <c r="Q2589" i="5"/>
  <c r="Q2590" i="5"/>
  <c r="Q2591" i="5"/>
  <c r="Q2592" i="5"/>
  <c r="Q2593" i="5"/>
  <c r="Q2594" i="5"/>
  <c r="Q2595" i="5"/>
  <c r="Q2596" i="5"/>
  <c r="Q2597" i="5"/>
  <c r="Q2598" i="5"/>
  <c r="Q2599" i="5"/>
  <c r="Q2600" i="5"/>
  <c r="Q2601" i="5"/>
  <c r="Q2602" i="5"/>
  <c r="Q2603" i="5"/>
  <c r="Q2604" i="5"/>
  <c r="Q2605" i="5"/>
  <c r="Q2606" i="5"/>
  <c r="Q2607" i="5"/>
  <c r="Q2608" i="5"/>
  <c r="Q2609" i="5"/>
  <c r="Q2610" i="5"/>
  <c r="Q2611" i="5"/>
  <c r="Q2612" i="5"/>
  <c r="Q2613" i="5"/>
  <c r="Q2614" i="5"/>
  <c r="Q2615" i="5"/>
  <c r="Q2616"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P2337" i="5"/>
  <c r="P2338" i="5"/>
  <c r="P2339" i="5"/>
  <c r="P2340" i="5"/>
  <c r="P2341" i="5"/>
  <c r="P2342" i="5"/>
  <c r="P2343" i="5"/>
  <c r="P2344" i="5"/>
  <c r="P2345" i="5"/>
  <c r="P2346" i="5"/>
  <c r="P2347" i="5"/>
  <c r="P2348" i="5"/>
  <c r="P2349" i="5"/>
  <c r="P2350" i="5"/>
  <c r="P2351" i="5"/>
  <c r="P2352" i="5"/>
  <c r="P2353" i="5"/>
  <c r="P2354" i="5"/>
  <c r="P2355" i="5"/>
  <c r="P2356" i="5"/>
  <c r="P2357" i="5"/>
  <c r="P2358" i="5"/>
  <c r="P2359" i="5"/>
  <c r="P2360" i="5"/>
  <c r="P2361" i="5"/>
  <c r="P2362" i="5"/>
  <c r="P2363" i="5"/>
  <c r="P2364" i="5"/>
  <c r="P2365" i="5"/>
  <c r="P2366" i="5"/>
  <c r="P2367" i="5"/>
  <c r="P2368" i="5"/>
  <c r="P2369" i="5"/>
  <c r="P2370" i="5"/>
  <c r="P2371" i="5"/>
  <c r="P2372" i="5"/>
  <c r="P2373" i="5"/>
  <c r="P2374" i="5"/>
  <c r="P2375" i="5"/>
  <c r="P2376" i="5"/>
  <c r="P2377" i="5"/>
  <c r="P2378" i="5"/>
  <c r="P2379" i="5"/>
  <c r="P2380" i="5"/>
  <c r="P2381" i="5"/>
  <c r="P2382" i="5"/>
  <c r="P2383" i="5"/>
  <c r="P2384" i="5"/>
  <c r="P2385" i="5"/>
  <c r="P2386" i="5"/>
  <c r="P2387" i="5"/>
  <c r="P2388" i="5"/>
  <c r="P2389" i="5"/>
  <c r="P2390" i="5"/>
  <c r="P2391" i="5"/>
  <c r="P2392" i="5"/>
  <c r="P2393" i="5"/>
  <c r="P2394" i="5"/>
  <c r="P2395" i="5"/>
  <c r="P2396" i="5"/>
  <c r="P2397" i="5"/>
  <c r="P2398" i="5"/>
  <c r="P2399" i="5"/>
  <c r="P2400" i="5"/>
  <c r="P2401" i="5"/>
  <c r="P2402" i="5"/>
  <c r="P2403" i="5"/>
  <c r="P2404" i="5"/>
  <c r="P2405" i="5"/>
  <c r="P2406" i="5"/>
  <c r="P2407" i="5"/>
  <c r="P2408" i="5"/>
  <c r="P2409" i="5"/>
  <c r="P2410" i="5"/>
  <c r="P2411" i="5"/>
  <c r="P2412" i="5"/>
  <c r="P2413" i="5"/>
  <c r="P2414" i="5"/>
  <c r="P2415" i="5"/>
  <c r="P2416" i="5"/>
  <c r="P2417" i="5"/>
  <c r="P2418" i="5"/>
  <c r="P2419" i="5"/>
  <c r="P2420" i="5"/>
  <c r="P2421" i="5"/>
  <c r="P2422" i="5"/>
  <c r="P2423" i="5"/>
  <c r="P2424" i="5"/>
  <c r="P2425" i="5"/>
  <c r="P2426" i="5"/>
  <c r="P2427" i="5"/>
  <c r="P2428" i="5"/>
  <c r="P2429" i="5"/>
  <c r="P2430" i="5"/>
  <c r="P2431" i="5"/>
  <c r="P2432" i="5"/>
  <c r="P2433" i="5"/>
  <c r="P2434" i="5"/>
  <c r="P2435" i="5"/>
  <c r="P2436" i="5"/>
  <c r="P2437" i="5"/>
  <c r="P2438" i="5"/>
  <c r="P2439" i="5"/>
  <c r="P2440" i="5"/>
  <c r="P2441" i="5"/>
  <c r="P2442" i="5"/>
  <c r="P2443" i="5"/>
  <c r="P2444" i="5"/>
  <c r="P2445" i="5"/>
  <c r="P2446" i="5"/>
  <c r="P2447" i="5"/>
  <c r="P2448" i="5"/>
  <c r="P2449" i="5"/>
  <c r="P2450" i="5"/>
  <c r="P2451" i="5"/>
  <c r="P2452" i="5"/>
  <c r="P2453" i="5"/>
  <c r="P2454" i="5"/>
  <c r="P2455" i="5"/>
  <c r="P2456" i="5"/>
  <c r="P2457" i="5"/>
  <c r="P2458" i="5"/>
  <c r="P2459" i="5"/>
  <c r="P2460" i="5"/>
  <c r="P2461" i="5"/>
  <c r="P2462" i="5"/>
  <c r="P2463" i="5"/>
  <c r="P2464" i="5"/>
  <c r="P2465" i="5"/>
  <c r="P2466" i="5"/>
  <c r="P2467" i="5"/>
  <c r="P2468" i="5"/>
  <c r="P2469" i="5"/>
  <c r="P2470" i="5"/>
  <c r="P2471" i="5"/>
  <c r="P2472" i="5"/>
  <c r="P2473" i="5"/>
  <c r="P2474" i="5"/>
  <c r="P2475" i="5"/>
  <c r="P2476" i="5"/>
  <c r="P2477" i="5"/>
  <c r="P2478" i="5"/>
  <c r="P2479" i="5"/>
  <c r="P2480" i="5"/>
  <c r="P2481" i="5"/>
  <c r="P2482" i="5"/>
  <c r="P2483" i="5"/>
  <c r="P2484" i="5"/>
  <c r="P2485" i="5"/>
  <c r="P2486" i="5"/>
  <c r="P2487" i="5"/>
  <c r="P2488" i="5"/>
  <c r="P2489" i="5"/>
  <c r="P2490" i="5"/>
  <c r="P2491" i="5"/>
  <c r="P2492" i="5"/>
  <c r="P2493" i="5"/>
  <c r="P2494" i="5"/>
  <c r="P2495" i="5"/>
  <c r="P2496" i="5"/>
  <c r="P2497" i="5"/>
  <c r="P2498" i="5"/>
  <c r="P2499" i="5"/>
  <c r="P2500" i="5"/>
  <c r="P2501" i="5"/>
  <c r="P2502" i="5"/>
  <c r="P2503" i="5"/>
  <c r="P2504" i="5"/>
  <c r="P2505" i="5"/>
  <c r="P2506" i="5"/>
  <c r="P2507" i="5"/>
  <c r="P2508" i="5"/>
  <c r="P2509" i="5"/>
  <c r="P2510" i="5"/>
  <c r="P2511" i="5"/>
  <c r="P2512" i="5"/>
  <c r="P2513" i="5"/>
  <c r="P2514" i="5"/>
  <c r="P2515" i="5"/>
  <c r="P2516" i="5"/>
  <c r="P2517" i="5"/>
  <c r="P2518" i="5"/>
  <c r="P2519" i="5"/>
  <c r="P2520" i="5"/>
  <c r="P2521" i="5"/>
  <c r="P2522" i="5"/>
  <c r="P2523" i="5"/>
  <c r="P2524" i="5"/>
  <c r="P2525" i="5"/>
  <c r="P2526" i="5"/>
  <c r="P2527" i="5"/>
  <c r="P2528" i="5"/>
  <c r="P2529" i="5"/>
  <c r="P2530" i="5"/>
  <c r="P2531" i="5"/>
  <c r="P2532" i="5"/>
  <c r="P2533" i="5"/>
  <c r="P2534" i="5"/>
  <c r="P2535" i="5"/>
  <c r="P2536" i="5"/>
  <c r="P2537" i="5"/>
  <c r="P2538" i="5"/>
  <c r="P2539" i="5"/>
  <c r="P2540" i="5"/>
  <c r="P2541" i="5"/>
  <c r="P2542" i="5"/>
  <c r="P2543" i="5"/>
  <c r="P2544" i="5"/>
  <c r="P2545" i="5"/>
  <c r="P2546" i="5"/>
  <c r="P2547" i="5"/>
  <c r="P2548" i="5"/>
  <c r="P2549" i="5"/>
  <c r="P2550" i="5"/>
  <c r="P2551" i="5"/>
  <c r="P2552" i="5"/>
  <c r="P2553" i="5"/>
  <c r="P2554" i="5"/>
  <c r="P2555" i="5"/>
  <c r="P2556" i="5"/>
  <c r="P2557" i="5"/>
  <c r="P2558" i="5"/>
  <c r="P2559" i="5"/>
  <c r="P2560" i="5"/>
  <c r="P2561" i="5"/>
  <c r="P2562" i="5"/>
  <c r="P2563" i="5"/>
  <c r="P2564" i="5"/>
  <c r="P2565" i="5"/>
  <c r="P2566" i="5"/>
  <c r="P2567" i="5"/>
  <c r="P2568" i="5"/>
  <c r="P2569" i="5"/>
  <c r="P2570" i="5"/>
  <c r="P2571" i="5"/>
  <c r="P2572" i="5"/>
  <c r="P2573" i="5"/>
  <c r="P2574" i="5"/>
  <c r="P2575" i="5"/>
  <c r="P2576" i="5"/>
  <c r="P2577" i="5"/>
  <c r="P2578" i="5"/>
  <c r="P2579" i="5"/>
  <c r="P2580" i="5"/>
  <c r="P2581" i="5"/>
  <c r="P2582" i="5"/>
  <c r="P2583" i="5"/>
  <c r="P2584" i="5"/>
  <c r="P2585" i="5"/>
  <c r="P2586" i="5"/>
  <c r="P2587" i="5"/>
  <c r="P2588" i="5"/>
  <c r="P2589" i="5"/>
  <c r="P2590" i="5"/>
  <c r="P2591" i="5"/>
  <c r="P2592" i="5"/>
  <c r="P2593" i="5"/>
  <c r="P2594" i="5"/>
  <c r="P2595" i="5"/>
  <c r="P2596" i="5"/>
  <c r="P2597" i="5"/>
  <c r="P2598" i="5"/>
  <c r="P2599" i="5"/>
  <c r="P2600" i="5"/>
  <c r="P2601" i="5"/>
  <c r="P2602" i="5"/>
  <c r="P2603" i="5"/>
  <c r="P2604" i="5"/>
  <c r="P2605" i="5"/>
  <c r="P2606" i="5"/>
  <c r="P2607" i="5"/>
  <c r="P2608" i="5"/>
  <c r="P2609" i="5"/>
  <c r="P2610" i="5"/>
  <c r="P2611" i="5"/>
  <c r="P2612" i="5"/>
  <c r="P2613" i="5"/>
  <c r="P2614" i="5"/>
  <c r="P2615" i="5"/>
  <c r="P2616" i="5"/>
  <c r="O13" i="5"/>
  <c r="O2" i="5"/>
  <c r="O3" i="5"/>
  <c r="O4" i="5"/>
  <c r="O5" i="5"/>
  <c r="O6" i="5"/>
  <c r="O7" i="5"/>
  <c r="O8" i="5"/>
  <c r="O9" i="5"/>
  <c r="O10" i="5"/>
  <c r="O11" i="5"/>
  <c r="O12"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O2337" i="5"/>
  <c r="O2338" i="5"/>
  <c r="O2339" i="5"/>
  <c r="O2340" i="5"/>
  <c r="O2341" i="5"/>
  <c r="O2342" i="5"/>
  <c r="O2343" i="5"/>
  <c r="O2344" i="5"/>
  <c r="O2345" i="5"/>
  <c r="O2346" i="5"/>
  <c r="O2347" i="5"/>
  <c r="O2348" i="5"/>
  <c r="O2349" i="5"/>
  <c r="O2350" i="5"/>
  <c r="O2351" i="5"/>
  <c r="O2352" i="5"/>
  <c r="O2353" i="5"/>
  <c r="O2354" i="5"/>
  <c r="O2355" i="5"/>
  <c r="O2356" i="5"/>
  <c r="O2357" i="5"/>
  <c r="O2358" i="5"/>
  <c r="O2359" i="5"/>
  <c r="O2360" i="5"/>
  <c r="O2361" i="5"/>
  <c r="O2362" i="5"/>
  <c r="O2363" i="5"/>
  <c r="O2364" i="5"/>
  <c r="O2365" i="5"/>
  <c r="O2366" i="5"/>
  <c r="O2367" i="5"/>
  <c r="O2368" i="5"/>
  <c r="O2369" i="5"/>
  <c r="O2370" i="5"/>
  <c r="O2371" i="5"/>
  <c r="O2372" i="5"/>
  <c r="O2373" i="5"/>
  <c r="O2374" i="5"/>
  <c r="O2375" i="5"/>
  <c r="O2376" i="5"/>
  <c r="O2377" i="5"/>
  <c r="O2378" i="5"/>
  <c r="O2379" i="5"/>
  <c r="O2380" i="5"/>
  <c r="O2381" i="5"/>
  <c r="O2382" i="5"/>
  <c r="O2383" i="5"/>
  <c r="O2384" i="5"/>
  <c r="O2385" i="5"/>
  <c r="O2386" i="5"/>
  <c r="O2387" i="5"/>
  <c r="O2388" i="5"/>
  <c r="O2389" i="5"/>
  <c r="O2390" i="5"/>
  <c r="O2391" i="5"/>
  <c r="O2392" i="5"/>
  <c r="O2393" i="5"/>
  <c r="O2394" i="5"/>
  <c r="O2395" i="5"/>
  <c r="O2396" i="5"/>
  <c r="O2397" i="5"/>
  <c r="O2398" i="5"/>
  <c r="O2399" i="5"/>
  <c r="O2400" i="5"/>
  <c r="O2401" i="5"/>
  <c r="O2402" i="5"/>
  <c r="O2403" i="5"/>
  <c r="O2404" i="5"/>
  <c r="O2405" i="5"/>
  <c r="O2406" i="5"/>
  <c r="O2407" i="5"/>
  <c r="O2408" i="5"/>
  <c r="O2409" i="5"/>
  <c r="O2410" i="5"/>
  <c r="O2411" i="5"/>
  <c r="O2412" i="5"/>
  <c r="O2413" i="5"/>
  <c r="O2414" i="5"/>
  <c r="O2415" i="5"/>
  <c r="O2416" i="5"/>
  <c r="O2417" i="5"/>
  <c r="O2418" i="5"/>
  <c r="O2419" i="5"/>
  <c r="O2420" i="5"/>
  <c r="O2421" i="5"/>
  <c r="O2422" i="5"/>
  <c r="O2423" i="5"/>
  <c r="O2424" i="5"/>
  <c r="O2425" i="5"/>
  <c r="O2426" i="5"/>
  <c r="O2427" i="5"/>
  <c r="O2428" i="5"/>
  <c r="O2429" i="5"/>
  <c r="O2430" i="5"/>
  <c r="O2431" i="5"/>
  <c r="O2432" i="5"/>
  <c r="O2433" i="5"/>
  <c r="O2434" i="5"/>
  <c r="O2435" i="5"/>
  <c r="O2436" i="5"/>
  <c r="O2437" i="5"/>
  <c r="O2438" i="5"/>
  <c r="O2439" i="5"/>
  <c r="O2440" i="5"/>
  <c r="O2441" i="5"/>
  <c r="O2442" i="5"/>
  <c r="O2443" i="5"/>
  <c r="O2444" i="5"/>
  <c r="O2445" i="5"/>
  <c r="O2446" i="5"/>
  <c r="O2447" i="5"/>
  <c r="O2448" i="5"/>
  <c r="O2449" i="5"/>
  <c r="O2450" i="5"/>
  <c r="O2451" i="5"/>
  <c r="O2452" i="5"/>
  <c r="O2453" i="5"/>
  <c r="O2454" i="5"/>
  <c r="O2455" i="5"/>
  <c r="O2456" i="5"/>
  <c r="O2457" i="5"/>
  <c r="O2458" i="5"/>
  <c r="O2459" i="5"/>
  <c r="O2460" i="5"/>
  <c r="O2461" i="5"/>
  <c r="O2462" i="5"/>
  <c r="O2463" i="5"/>
  <c r="O2464" i="5"/>
  <c r="O2465" i="5"/>
  <c r="O2466" i="5"/>
  <c r="O2467" i="5"/>
  <c r="O2468" i="5"/>
  <c r="O2469" i="5"/>
  <c r="O2470" i="5"/>
  <c r="O2471" i="5"/>
  <c r="O2472" i="5"/>
  <c r="O2473" i="5"/>
  <c r="O2474" i="5"/>
  <c r="O2475" i="5"/>
  <c r="O2476" i="5"/>
  <c r="O2477" i="5"/>
  <c r="O2478" i="5"/>
  <c r="O2479" i="5"/>
  <c r="O2480" i="5"/>
  <c r="O2481" i="5"/>
  <c r="O2482" i="5"/>
  <c r="O2483" i="5"/>
  <c r="O2484" i="5"/>
  <c r="O2485" i="5"/>
  <c r="O2486" i="5"/>
  <c r="O2487" i="5"/>
  <c r="O2488" i="5"/>
  <c r="O2489" i="5"/>
  <c r="O2490" i="5"/>
  <c r="O2491" i="5"/>
  <c r="O2492" i="5"/>
  <c r="O2493" i="5"/>
  <c r="O2494" i="5"/>
  <c r="O2495" i="5"/>
  <c r="O2496" i="5"/>
  <c r="O2497" i="5"/>
  <c r="O2498" i="5"/>
  <c r="O2499" i="5"/>
  <c r="O2500" i="5"/>
  <c r="O2501" i="5"/>
  <c r="O2502" i="5"/>
  <c r="O2503" i="5"/>
  <c r="O2504" i="5"/>
  <c r="O2505" i="5"/>
  <c r="O2506" i="5"/>
  <c r="O2507" i="5"/>
  <c r="O2508" i="5"/>
  <c r="O2509" i="5"/>
  <c r="O2510" i="5"/>
  <c r="O2511" i="5"/>
  <c r="O2512" i="5"/>
  <c r="O2513" i="5"/>
  <c r="O2514" i="5"/>
  <c r="O2515" i="5"/>
  <c r="O2516" i="5"/>
  <c r="O2517" i="5"/>
  <c r="O2518" i="5"/>
  <c r="O2519" i="5"/>
  <c r="O2520" i="5"/>
  <c r="O2521" i="5"/>
  <c r="O2522" i="5"/>
  <c r="O2523" i="5"/>
  <c r="O2524" i="5"/>
  <c r="O2525" i="5"/>
  <c r="O2526" i="5"/>
  <c r="O2527" i="5"/>
  <c r="O2528" i="5"/>
  <c r="O2529" i="5"/>
  <c r="O2530" i="5"/>
  <c r="O2531" i="5"/>
  <c r="O2532" i="5"/>
  <c r="O2533" i="5"/>
  <c r="O2534" i="5"/>
  <c r="O2535" i="5"/>
  <c r="O2536" i="5"/>
  <c r="O2537" i="5"/>
  <c r="O2538" i="5"/>
  <c r="O2539" i="5"/>
  <c r="O2540" i="5"/>
  <c r="O2541" i="5"/>
  <c r="O2542" i="5"/>
  <c r="O2543" i="5"/>
  <c r="O2544" i="5"/>
  <c r="O2545" i="5"/>
  <c r="O2546" i="5"/>
  <c r="O2547" i="5"/>
  <c r="O2548" i="5"/>
  <c r="O2549" i="5"/>
  <c r="O2550" i="5"/>
  <c r="O2551" i="5"/>
  <c r="O2552" i="5"/>
  <c r="O2553" i="5"/>
  <c r="O2554" i="5"/>
  <c r="O2555" i="5"/>
  <c r="O2556" i="5"/>
  <c r="O2557" i="5"/>
  <c r="O2558" i="5"/>
  <c r="O2559" i="5"/>
  <c r="O2560" i="5"/>
  <c r="O2561" i="5"/>
  <c r="O2562" i="5"/>
  <c r="O2563" i="5"/>
  <c r="O2564" i="5"/>
  <c r="O2565" i="5"/>
  <c r="O2566" i="5"/>
  <c r="O2567" i="5"/>
  <c r="O2568" i="5"/>
  <c r="O2569" i="5"/>
  <c r="O2570" i="5"/>
  <c r="O2571" i="5"/>
  <c r="O2572" i="5"/>
  <c r="O2573" i="5"/>
  <c r="O2574" i="5"/>
  <c r="O2575" i="5"/>
  <c r="O2576" i="5"/>
  <c r="O2577" i="5"/>
  <c r="O2578" i="5"/>
  <c r="O2579" i="5"/>
  <c r="O2580" i="5"/>
  <c r="O2581" i="5"/>
  <c r="O2582" i="5"/>
  <c r="O2583" i="5"/>
  <c r="O2584" i="5"/>
  <c r="O2585" i="5"/>
  <c r="O2586" i="5"/>
  <c r="O2587" i="5"/>
  <c r="O2588" i="5"/>
  <c r="O2589" i="5"/>
  <c r="O2590" i="5"/>
  <c r="O2591" i="5"/>
  <c r="O2592" i="5"/>
  <c r="O2593" i="5"/>
  <c r="O2594" i="5"/>
  <c r="O2595" i="5"/>
  <c r="O2596" i="5"/>
  <c r="O2597" i="5"/>
  <c r="O2598" i="5"/>
  <c r="O2599" i="5"/>
  <c r="O2600" i="5"/>
  <c r="O2601" i="5"/>
  <c r="O2602" i="5"/>
  <c r="O2603" i="5"/>
  <c r="O2604" i="5"/>
  <c r="O2605" i="5"/>
  <c r="O2606" i="5"/>
  <c r="O2607" i="5"/>
  <c r="O2608" i="5"/>
  <c r="O2609" i="5"/>
  <c r="O2610" i="5"/>
  <c r="O2611" i="5"/>
  <c r="O2612" i="5"/>
  <c r="O2613" i="5"/>
  <c r="O2614" i="5"/>
  <c r="O2615" i="5"/>
  <c r="O261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BC1E4C-4505-45D5-A75E-2AE5F5B1FCE5}" keepAlive="1" name="Query - Customers_cleaned" description="Connection to the 'Customers_cleaned' query in the workbook." type="5" refreshedVersion="8" background="1" saveData="1">
    <dbPr connection="Provider=Microsoft.Mashup.OleDb.1;Data Source=$Workbook$;Location=Customers_cleaned;Extended Properties=&quot;&quot;" command="SELECT * FROM [Customers_cleaned]"/>
  </connection>
  <connection id="2" xr16:uid="{790D2705-3C53-497A-96BB-7570AF5A966C}" keepAlive="1" name="Query - Quarterly_Targets_cleaned" description="Connection to the 'Quarterly_Targets_cleaned' query in the workbook." type="5" refreshedVersion="8" background="1" saveData="1">
    <dbPr connection="Provider=Microsoft.Mashup.OleDb.1;Data Source=$Workbook$;Location=Quarterly_Targets_cleaned;Extended Properties=&quot;&quot;" command="SELECT * FROM [Quarterly_Targets_cleaned]"/>
  </connection>
  <connection id="3" xr16:uid="{ED5ECFFF-52E4-4015-AE1A-BC574F2B148C}" keepAlive="1" name="Query - Services_cleaned" description="Connection to the 'Services_cleaned' query in the workbook." type="5" refreshedVersion="8" background="1" saveData="1">
    <dbPr connection="Provider=Microsoft.Mashup.OleDb.1;Data Source=$Workbook$;Location=Services_cleaned;Extended Properties=&quot;&quot;" command="SELECT * FROM [Services_cleaned]"/>
  </connection>
  <connection id="4" xr16:uid="{5C6F233F-EF99-4A71-A829-BE2CC487C015}" keepAlive="1" name="Query - Transactions_RAW_cleaned" description="Connection to the 'Transactions_RAW_cleaned' query in the workbook." type="5" refreshedVersion="8" background="1" saveData="1">
    <dbPr connection="Provider=Microsoft.Mashup.OleDb.1;Data Source=$Workbook$;Location=Transactions_RAW_cleaned;Extended Properties=&quot;&quot;" command="SELECT * FROM [Transactions_RAW_cleaned]"/>
  </connection>
</connections>
</file>

<file path=xl/sharedStrings.xml><?xml version="1.0" encoding="utf-8"?>
<sst xmlns="http://schemas.openxmlformats.org/spreadsheetml/2006/main" count="47160" uniqueCount="5261">
  <si>
    <t>CustomerID</t>
  </si>
  <si>
    <t>CustomerName</t>
  </si>
  <si>
    <t>Segment</t>
  </si>
  <si>
    <t>Country</t>
  </si>
  <si>
    <t>SignupDate</t>
  </si>
  <si>
    <t>AccountManager</t>
  </si>
  <si>
    <t>CUST-0001</t>
  </si>
  <si>
    <t>Crescent Retail</t>
  </si>
  <si>
    <t>SMB</t>
  </si>
  <si>
    <t>United States</t>
  </si>
  <si>
    <t>T. Novak</t>
  </si>
  <si>
    <t>CUST-0002</t>
  </si>
  <si>
    <t>Crescent Labs</t>
  </si>
  <si>
    <t>Canada</t>
  </si>
  <si>
    <t>L. Chen</t>
  </si>
  <si>
    <t>CUST-0003</t>
  </si>
  <si>
    <t>Bright Retail</t>
  </si>
  <si>
    <t>Enterprise</t>
  </si>
  <si>
    <t>J. Reyes</t>
  </si>
  <si>
    <t>CUST-0004</t>
  </si>
  <si>
    <t>Cascade Studios</t>
  </si>
  <si>
    <t>Australia</t>
  </si>
  <si>
    <t>A. Kim</t>
  </si>
  <si>
    <t>CUST-0005</t>
  </si>
  <si>
    <t>Redwood Goods</t>
  </si>
  <si>
    <t>Singapore</t>
  </si>
  <si>
    <t>CUST-0006</t>
  </si>
  <si>
    <t>Bluepeak Tech</t>
  </si>
  <si>
    <t>M. Santos</t>
  </si>
  <si>
    <t>CUST-0007</t>
  </si>
  <si>
    <t>Crescent Foods</t>
  </si>
  <si>
    <t>United Kingdom</t>
  </si>
  <si>
    <t>R. Patel</t>
  </si>
  <si>
    <t>CUST-0008</t>
  </si>
  <si>
    <t>Granite Market</t>
  </si>
  <si>
    <t>CUST-0009</t>
  </si>
  <si>
    <t>Summit Freight</t>
  </si>
  <si>
    <t>Germany</t>
  </si>
  <si>
    <t>CUST-0010</t>
  </si>
  <si>
    <t>Meridian Studios</t>
  </si>
  <si>
    <t>CUST-0011</t>
  </si>
  <si>
    <t>Summit Group</t>
  </si>
  <si>
    <t>CUST-0012</t>
  </si>
  <si>
    <t>Pioneer Logistics</t>
  </si>
  <si>
    <t>CUST-0014</t>
  </si>
  <si>
    <t>Redwood Apparel</t>
  </si>
  <si>
    <t>Philippines</t>
  </si>
  <si>
    <t>CUST-0015</t>
  </si>
  <si>
    <t>Lumen Labs</t>
  </si>
  <si>
    <t>CUST-0016</t>
  </si>
  <si>
    <t>Bright Market</t>
  </si>
  <si>
    <t>CUST-0017</t>
  </si>
  <si>
    <t>Marigold Studios</t>
  </si>
  <si>
    <t>CUST-0018</t>
  </si>
  <si>
    <t>Harbor Health</t>
  </si>
  <si>
    <t>CUST-0019</t>
  </si>
  <si>
    <t>Meridian Apparel</t>
  </si>
  <si>
    <t>Startup</t>
  </si>
  <si>
    <t>CUST-0020</t>
  </si>
  <si>
    <t>Solstice Media</t>
  </si>
  <si>
    <t>CUST-0021</t>
  </si>
  <si>
    <t>Vertex Market</t>
  </si>
  <si>
    <t>CUST-0022</t>
  </si>
  <si>
    <t>Amber Media</t>
  </si>
  <si>
    <t>CUST-0023</t>
  </si>
  <si>
    <t>Cascade Market</t>
  </si>
  <si>
    <t>CUST-0024</t>
  </si>
  <si>
    <t>Bluepeak Logistics</t>
  </si>
  <si>
    <t>CUST-0025</t>
  </si>
  <si>
    <t>Granite Freight</t>
  </si>
  <si>
    <t>CUST-0026</t>
  </si>
  <si>
    <t>Falcon Group</t>
  </si>
  <si>
    <t>CUST-0027</t>
  </si>
  <si>
    <t>Vertex Freight</t>
  </si>
  <si>
    <t>CUST-0028</t>
  </si>
  <si>
    <t>Marigold Media</t>
  </si>
  <si>
    <t>CUST-0029</t>
  </si>
  <si>
    <t>Lumen Retail</t>
  </si>
  <si>
    <t>CUST-0030</t>
  </si>
  <si>
    <t>Ivory Group</t>
  </si>
  <si>
    <t>CUST-0031</t>
  </si>
  <si>
    <t>Harbor Labs</t>
  </si>
  <si>
    <t>CUST-0032</t>
  </si>
  <si>
    <t>Amber Apparel</t>
  </si>
  <si>
    <t>CUST-0033</t>
  </si>
  <si>
    <t>Cobalt Works</t>
  </si>
  <si>
    <t>CUST-0034</t>
  </si>
  <si>
    <t>Redwood Partners</t>
  </si>
  <si>
    <t>CUST-0035</t>
  </si>
  <si>
    <t>Marigold Retail</t>
  </si>
  <si>
    <t>CUST-0036</t>
  </si>
  <si>
    <t>Summit Works</t>
  </si>
  <si>
    <t>CUST-0037</t>
  </si>
  <si>
    <t>Lumen Health</t>
  </si>
  <si>
    <t>CUST-0038</t>
  </si>
  <si>
    <t>Meridian Goods</t>
  </si>
  <si>
    <t>CUST-0039</t>
  </si>
  <si>
    <t>Cobalt Foods</t>
  </si>
  <si>
    <t>CUST-0040</t>
  </si>
  <si>
    <t>Redwood Group</t>
  </si>
  <si>
    <t>CUST-0041</t>
  </si>
  <si>
    <t>Bright Apparel</t>
  </si>
  <si>
    <t>USA</t>
  </si>
  <si>
    <t>CUST-0042</t>
  </si>
  <si>
    <t>Cobalt Studios</t>
  </si>
  <si>
    <t>CUST-0043</t>
  </si>
  <si>
    <t>Redwood Studios</t>
  </si>
  <si>
    <t>CUST-0044</t>
  </si>
  <si>
    <t>Cascade Group</t>
  </si>
  <si>
    <t>CUST-0045</t>
  </si>
  <si>
    <t>Vertex Apparel</t>
  </si>
  <si>
    <t>CUST-0046</t>
  </si>
  <si>
    <t>Nova Apparel</t>
  </si>
  <si>
    <t>CUST-0047</t>
  </si>
  <si>
    <t>Bluepeak Works</t>
  </si>
  <si>
    <t>CUST-0048</t>
  </si>
  <si>
    <t>Ivory Logistics</t>
  </si>
  <si>
    <t>CUST-0049</t>
  </si>
  <si>
    <t>Cascade Retail</t>
  </si>
  <si>
    <t>CUST-0050</t>
  </si>
  <si>
    <t>Solstice Partners</t>
  </si>
  <si>
    <t>CUST-0051</t>
  </si>
  <si>
    <t>Vertex Foods</t>
  </si>
  <si>
    <t>CUST-0052</t>
  </si>
  <si>
    <t>Crescent Partners</t>
  </si>
  <si>
    <t>CUST-0053</t>
  </si>
  <si>
    <t>Summit Apparel</t>
  </si>
  <si>
    <t>CUST-0054</t>
  </si>
  <si>
    <t>Cobalt Labs</t>
  </si>
  <si>
    <t>CUST-0055</t>
  </si>
  <si>
    <t>Falcon Media</t>
  </si>
  <si>
    <t>CUST-0056</t>
  </si>
  <si>
    <t>Meridian Foods</t>
  </si>
  <si>
    <t>CUST-0057</t>
  </si>
  <si>
    <t>Pioneer Partners</t>
  </si>
  <si>
    <t>CUST-0058</t>
  </si>
  <si>
    <t>Cascade Works</t>
  </si>
  <si>
    <t>CUST-0059</t>
  </si>
  <si>
    <t>Solstice Retail</t>
  </si>
  <si>
    <t>CUST-0060</t>
  </si>
  <si>
    <t>Crescent Works</t>
  </si>
  <si>
    <t>CUST-0061</t>
  </si>
  <si>
    <t>Ivory Health</t>
  </si>
  <si>
    <t>CUST-0062</t>
  </si>
  <si>
    <t>Bluepeak Group</t>
  </si>
  <si>
    <t>CUST-0063</t>
  </si>
  <si>
    <t>Granite Logistics</t>
  </si>
  <si>
    <t>CUST-0064</t>
  </si>
  <si>
    <t>Nova Foods</t>
  </si>
  <si>
    <t>CUST-0065</t>
  </si>
  <si>
    <t>Bright Group</t>
  </si>
  <si>
    <t>CUST-0066</t>
  </si>
  <si>
    <t>Bright Health</t>
  </si>
  <si>
    <t>CUST-0067</t>
  </si>
  <si>
    <t>Pioneer Studios</t>
  </si>
  <si>
    <t>CUST-0068</t>
  </si>
  <si>
    <t>Bluepeak Goods</t>
  </si>
  <si>
    <t>CUST-0069</t>
  </si>
  <si>
    <t>Vertex Partners</t>
  </si>
  <si>
    <t>CUST-0070</t>
  </si>
  <si>
    <t>Crescent Apparel</t>
  </si>
  <si>
    <t>CUST-0071</t>
  </si>
  <si>
    <t>Redwood Tech</t>
  </si>
  <si>
    <t>CUST-0072</t>
  </si>
  <si>
    <t>Nova Labs</t>
  </si>
  <si>
    <t>CUST-0073</t>
  </si>
  <si>
    <t>Granite Tech</t>
  </si>
  <si>
    <t>CUST-0074</t>
  </si>
  <si>
    <t>Meridian Health</t>
  </si>
  <si>
    <t>CUST-0075</t>
  </si>
  <si>
    <t>Marigold Apparel</t>
  </si>
  <si>
    <t>CUST-0076</t>
  </si>
  <si>
    <t>Cobalt Health</t>
  </si>
  <si>
    <t>CUST-0077</t>
  </si>
  <si>
    <t>Cobalt Tech</t>
  </si>
  <si>
    <t>CUST-0079</t>
  </si>
  <si>
    <t>Falcon Labs</t>
  </si>
  <si>
    <t>CUST-0080</t>
  </si>
  <si>
    <t>Harbor Studios</t>
  </si>
  <si>
    <t>CUST-0081</t>
  </si>
  <si>
    <t>Vertex Goods</t>
  </si>
  <si>
    <t>CUST-0082</t>
  </si>
  <si>
    <t>Falcon Health</t>
  </si>
  <si>
    <t>CUST-0083</t>
  </si>
  <si>
    <t>Redwood Media</t>
  </si>
  <si>
    <t>CUST-0084</t>
  </si>
  <si>
    <t>Vertex Labs</t>
  </si>
  <si>
    <t>CUST-0085</t>
  </si>
  <si>
    <t>Marigold Foods</t>
  </si>
  <si>
    <t>CUST-0086</t>
  </si>
  <si>
    <t>Lumen Market</t>
  </si>
  <si>
    <t>CUST-0087</t>
  </si>
  <si>
    <t>Amber Group</t>
  </si>
  <si>
    <t>CUST-0088</t>
  </si>
  <si>
    <t>Anchor Media</t>
  </si>
  <si>
    <t>CUST-0089</t>
  </si>
  <si>
    <t>Crescent Market</t>
  </si>
  <si>
    <t>CUST-0090</t>
  </si>
  <si>
    <t>Redwood Retail</t>
  </si>
  <si>
    <t>CUST-0091</t>
  </si>
  <si>
    <t>Harbor Market</t>
  </si>
  <si>
    <t>CUST-0092</t>
  </si>
  <si>
    <t>Marigold Market</t>
  </si>
  <si>
    <t>CUST-0093</t>
  </si>
  <si>
    <t>Cascade Media</t>
  </si>
  <si>
    <t>CUST-0094</t>
  </si>
  <si>
    <t>Lumen Group</t>
  </si>
  <si>
    <t>CUST-0095</t>
  </si>
  <si>
    <t>Redwood Foods</t>
  </si>
  <si>
    <t>CUST-0096</t>
  </si>
  <si>
    <t>Cascade Foods</t>
  </si>
  <si>
    <t>CUST-0097</t>
  </si>
  <si>
    <t>Bluepeak Apparel</t>
  </si>
  <si>
    <t>CUST-0098</t>
  </si>
  <si>
    <t>Meridian Works</t>
  </si>
  <si>
    <t>CUST-0099</t>
  </si>
  <si>
    <t>Ivory Retail</t>
  </si>
  <si>
    <t>CUST-0100</t>
  </si>
  <si>
    <t>Amber Partners</t>
  </si>
  <si>
    <t>CUST-0101</t>
  </si>
  <si>
    <t>Anchor Works</t>
  </si>
  <si>
    <t>CUST-0102</t>
  </si>
  <si>
    <t>Anchor Goods</t>
  </si>
  <si>
    <t>CUST-0103</t>
  </si>
  <si>
    <t>Harbor Group</t>
  </si>
  <si>
    <t>CUST-0104</t>
  </si>
  <si>
    <t>Cobalt Media</t>
  </si>
  <si>
    <t>CUST-0105</t>
  </si>
  <si>
    <t>Bluepeak Health</t>
  </si>
  <si>
    <t>CUST-0106</t>
  </si>
  <si>
    <t>Bright Tech</t>
  </si>
  <si>
    <t>CUST-0107</t>
  </si>
  <si>
    <t>Nova Studios</t>
  </si>
  <si>
    <t>CUST-0108</t>
  </si>
  <si>
    <t>Harbor Media</t>
  </si>
  <si>
    <t>CUST-0109</t>
  </si>
  <si>
    <t>Amber Goods</t>
  </si>
  <si>
    <t>CUST-0110</t>
  </si>
  <si>
    <t>Falcon Foods</t>
  </si>
  <si>
    <t>CUST-0111</t>
  </si>
  <si>
    <t>Anchor Apparel</t>
  </si>
  <si>
    <t>CUST-0112</t>
  </si>
  <si>
    <t>Lumen Foods</t>
  </si>
  <si>
    <t>CUST-0113</t>
  </si>
  <si>
    <t>Meridian Market</t>
  </si>
  <si>
    <t>CUST-0114</t>
  </si>
  <si>
    <t>Ivory Foods</t>
  </si>
  <si>
    <t>CUST-0115</t>
  </si>
  <si>
    <t>Harbor Apparel</t>
  </si>
  <si>
    <t>CUST-0116</t>
  </si>
  <si>
    <t>Amber Market</t>
  </si>
  <si>
    <t>CUST-0117</t>
  </si>
  <si>
    <t>Marigold Group</t>
  </si>
  <si>
    <t>CUST-0118</t>
  </si>
  <si>
    <t>Amber Labs</t>
  </si>
  <si>
    <t>CUST-0119</t>
  </si>
  <si>
    <t>Vertex Media</t>
  </si>
  <si>
    <t>CUST-0120</t>
  </si>
  <si>
    <t>Amber Works</t>
  </si>
  <si>
    <t>CUST-0121</t>
  </si>
  <si>
    <t>Summit Studios</t>
  </si>
  <si>
    <t>CUST-0122</t>
  </si>
  <si>
    <t>Ivory Labs</t>
  </si>
  <si>
    <t>CUST-0123</t>
  </si>
  <si>
    <t>Falcon Studios</t>
  </si>
  <si>
    <t>CUST-0124</t>
  </si>
  <si>
    <t>Pioneer Media</t>
  </si>
  <si>
    <t>CUST-0125</t>
  </si>
  <si>
    <t>Marigold Tech</t>
  </si>
  <si>
    <t>CUST-0126</t>
  </si>
  <si>
    <t>Vertex Studios</t>
  </si>
  <si>
    <t>CUST-0127</t>
  </si>
  <si>
    <t>Solstice Goods</t>
  </si>
  <si>
    <t>CUST-0128</t>
  </si>
  <si>
    <t>Lumen Tech</t>
  </si>
  <si>
    <t>CUST-0129</t>
  </si>
  <si>
    <t>Granite Retail</t>
  </si>
  <si>
    <t>CUST-0130</t>
  </si>
  <si>
    <t>Nova Goods</t>
  </si>
  <si>
    <t>Region</t>
  </si>
  <si>
    <t>Quarter</t>
  </si>
  <si>
    <t>TargetRevenue</t>
  </si>
  <si>
    <t>NA</t>
  </si>
  <si>
    <t>Q1</t>
  </si>
  <si>
    <t>Q2</t>
  </si>
  <si>
    <t>Q3</t>
  </si>
  <si>
    <t>Q4</t>
  </si>
  <si>
    <t>EMEA</t>
  </si>
  <si>
    <t>APAC</t>
  </si>
  <si>
    <t>ServiceID</t>
  </si>
  <si>
    <t>ServiceName</t>
  </si>
  <si>
    <t>Category</t>
  </si>
  <si>
    <t>MonthlyBaseFee</t>
  </si>
  <si>
    <t>TransactionFeePct</t>
  </si>
  <si>
    <t>SVC-01</t>
  </si>
  <si>
    <t>Payment Processing</t>
  </si>
  <si>
    <t>Payments</t>
  </si>
  <si>
    <t>SVC-02</t>
  </si>
  <si>
    <t>Payroll Management</t>
  </si>
  <si>
    <t>HR &amp; Payroll</t>
  </si>
  <si>
    <t>SVC-03</t>
  </si>
  <si>
    <t>Invoicing Suite</t>
  </si>
  <si>
    <t>Billing</t>
  </si>
  <si>
    <t>SVC-04</t>
  </si>
  <si>
    <t>Fraud Protection</t>
  </si>
  <si>
    <t>Risk</t>
  </si>
  <si>
    <t>SVC-05</t>
  </si>
  <si>
    <t>Analytics Dashboard</t>
  </si>
  <si>
    <t>Analytics</t>
  </si>
  <si>
    <t>SVC-06</t>
  </si>
  <si>
    <t>API Access - Developer</t>
  </si>
  <si>
    <t>Platform</t>
  </si>
  <si>
    <t>SVC-07</t>
  </si>
  <si>
    <t>Merchant Support Plus</t>
  </si>
  <si>
    <t>Support</t>
  </si>
  <si>
    <t>SVC-08</t>
  </si>
  <si>
    <t>Chargeback Management</t>
  </si>
  <si>
    <t>TransactionID</t>
  </si>
  <si>
    <t>TransactionDate</t>
  </si>
  <si>
    <t>Amount</t>
  </si>
  <si>
    <t>Status</t>
  </si>
  <si>
    <t>PaymentMethod</t>
  </si>
  <si>
    <t>RepNotes</t>
  </si>
  <si>
    <t>TXN-102563</t>
  </si>
  <si>
    <t>Completed</t>
  </si>
  <si>
    <t>ACH</t>
  </si>
  <si>
    <t>TXN-101287</t>
  </si>
  <si>
    <t>Credit Card</t>
  </si>
  <si>
    <t>TXN-101759</t>
  </si>
  <si>
    <t>Wire Transfer</t>
  </si>
  <si>
    <t>TXN-101740</t>
  </si>
  <si>
    <t>Pending</t>
  </si>
  <si>
    <t>VIP account</t>
  </si>
  <si>
    <t>TXN-100231</t>
  </si>
  <si>
    <t>escalated to support</t>
  </si>
  <si>
    <t>TXN-101831</t>
  </si>
  <si>
    <t>TXN-101501</t>
  </si>
  <si>
    <t>Debit Card</t>
  </si>
  <si>
    <t>TXN-102446</t>
  </si>
  <si>
    <t>TXN-100559</t>
  </si>
  <si>
    <t>TXN-101609</t>
  </si>
  <si>
    <t>TXN-100566</t>
  </si>
  <si>
    <t>TXN-100938</t>
  </si>
  <si>
    <t>TXN-102471</t>
  </si>
  <si>
    <t>TXN-102018</t>
  </si>
  <si>
    <t>TXN-101249</t>
  </si>
  <si>
    <t>callback requested</t>
  </si>
  <si>
    <t>TXN-100611</t>
  </si>
  <si>
    <t>TXN-100783</t>
  </si>
  <si>
    <t>Refunded</t>
  </si>
  <si>
    <t>TXN-102574</t>
  </si>
  <si>
    <t>TXN-100630</t>
  </si>
  <si>
    <t>TXN-102587</t>
  </si>
  <si>
    <t>TXN-102179</t>
  </si>
  <si>
    <t>TXN-101582</t>
  </si>
  <si>
    <t>TXN-100457</t>
  </si>
  <si>
    <t>TXN-100329</t>
  </si>
  <si>
    <t>TXN-100695</t>
  </si>
  <si>
    <t>TXN-102105</t>
  </si>
  <si>
    <t>TXN-102541</t>
  </si>
  <si>
    <t>TXN-102577</t>
  </si>
  <si>
    <t>TXN-100162</t>
  </si>
  <si>
    <t>TXN-101486</t>
  </si>
  <si>
    <t>TXN-102112</t>
  </si>
  <si>
    <t>TXN-101267</t>
  </si>
  <si>
    <t>TXN-102003</t>
  </si>
  <si>
    <t>TXN-100448</t>
  </si>
  <si>
    <t>TXN-100512</t>
  </si>
  <si>
    <t>TXN-100860</t>
  </si>
  <si>
    <t>TXN-100149</t>
  </si>
  <si>
    <t>TXN-101161</t>
  </si>
  <si>
    <t>TXN-102201</t>
  </si>
  <si>
    <t>TXN-100811</t>
  </si>
  <si>
    <t>TXN-101256</t>
  </si>
  <si>
    <t>TXN-101270</t>
  </si>
  <si>
    <t>TXN-102521</t>
  </si>
  <si>
    <t>TXN-100478</t>
  </si>
  <si>
    <t>TXN-101297</t>
  </si>
  <si>
    <t>TXN-101037</t>
  </si>
  <si>
    <t>TXN-100526</t>
  </si>
  <si>
    <t>TXN-100265</t>
  </si>
  <si>
    <t>Failed</t>
  </si>
  <si>
    <t>TXN-100064</t>
  </si>
  <si>
    <t>TXN-102463</t>
  </si>
  <si>
    <t>TXN-100836</t>
  </si>
  <si>
    <t>TXN-100029</t>
  </si>
  <si>
    <t>TXN-100451</t>
  </si>
  <si>
    <t>TXN-100914</t>
  </si>
  <si>
    <t>TXN-102501</t>
  </si>
  <si>
    <t>TXN-102600</t>
  </si>
  <si>
    <t>TXN-100743</t>
  </si>
  <si>
    <t>TXN-102144</t>
  </si>
  <si>
    <t>TXN-101117</t>
  </si>
  <si>
    <t>TXN-102272</t>
  </si>
  <si>
    <t>TXN-101727</t>
  </si>
  <si>
    <t>TXN-100667</t>
  </si>
  <si>
    <t>CUST-0078</t>
  </si>
  <si>
    <t>TXN-100376</t>
  </si>
  <si>
    <t>TXN-101362</t>
  </si>
  <si>
    <t>TXN-100381</t>
  </si>
  <si>
    <t>TXN-102506</t>
  </si>
  <si>
    <t>TXN-100449</t>
  </si>
  <si>
    <t>TXN-102059</t>
  </si>
  <si>
    <t>TXN-100737</t>
  </si>
  <si>
    <t>TXN-100366</t>
  </si>
  <si>
    <t>TXN-101658</t>
  </si>
  <si>
    <t>TXN-100151</t>
  </si>
  <si>
    <t>TXN-101573</t>
  </si>
  <si>
    <t>TXN-101351</t>
  </si>
  <si>
    <t>TXN-100453</t>
  </si>
  <si>
    <t>TXN-100493</t>
  </si>
  <si>
    <t>TXN-101938</t>
  </si>
  <si>
    <t>TXN-100048</t>
  </si>
  <si>
    <t>TXN-101409</t>
  </si>
  <si>
    <t>TXN-101694</t>
  </si>
  <si>
    <t>TXN-102158</t>
  </si>
  <si>
    <t>TXN-101426</t>
  </si>
  <si>
    <t>TXN-102484</t>
  </si>
  <si>
    <t>TXN-100229</t>
  </si>
  <si>
    <t>TXN-100814</t>
  </si>
  <si>
    <t>TXN-102236</t>
  </si>
  <si>
    <t>TXN-102040</t>
  </si>
  <si>
    <t>TXN-101821</t>
  </si>
  <si>
    <t>TXN-101424</t>
  </si>
  <si>
    <t>TXN-100922</t>
  </si>
  <si>
    <t>TXN-101929</t>
  </si>
  <si>
    <t>TXN-100703</t>
  </si>
  <si>
    <t>TXN-100035</t>
  </si>
  <si>
    <t>TXN-102267</t>
  </si>
  <si>
    <t>TXN-100542</t>
  </si>
  <si>
    <t>TXN-100398</t>
  </si>
  <si>
    <t>TXN-101208</t>
  </si>
  <si>
    <t>TXN-100384</t>
  </si>
  <si>
    <t>TXN-101976</t>
  </si>
  <si>
    <t>TXN-100007</t>
  </si>
  <si>
    <t>TXN-101222</t>
  </si>
  <si>
    <t>TXN-101455</t>
  </si>
  <si>
    <t>TXN-102443</t>
  </si>
  <si>
    <t>TXN-100182</t>
  </si>
  <si>
    <t>TXN-100803</t>
  </si>
  <si>
    <t>TXN-102327</t>
  </si>
  <si>
    <t>TXN-101988</t>
  </si>
  <si>
    <t>TXN-100537</t>
  </si>
  <si>
    <t>TXN-102392</t>
  </si>
  <si>
    <t>TXN-101734</t>
  </si>
  <si>
    <t>TXN-101715</t>
  </si>
  <si>
    <t>TXN-100343</t>
  </si>
  <si>
    <t>TXN-102109</t>
  </si>
  <si>
    <t>TXN-101321</t>
  </si>
  <si>
    <t>TXN-100393</t>
  </si>
  <si>
    <t>TXN-101241</t>
  </si>
  <si>
    <t>TXN-101355</t>
  </si>
  <si>
    <t>TXN-100908</t>
  </si>
  <si>
    <t>TXN-102010</t>
  </si>
  <si>
    <t>TXN-101524</t>
  </si>
  <si>
    <t>TXN-102557</t>
  </si>
  <si>
    <t>TXN-102347</t>
  </si>
  <si>
    <t>TXN-101594</t>
  </si>
  <si>
    <t>TXN-100509</t>
  </si>
  <si>
    <t>TXN-101397</t>
  </si>
  <si>
    <t>TXN-101804</t>
  </si>
  <si>
    <t>TXN-101739</t>
  </si>
  <si>
    <t>TXN-101086</t>
  </si>
  <si>
    <t>TXN-100023</t>
  </si>
  <si>
    <t>TXN-102088</t>
  </si>
  <si>
    <t>TXN-102475</t>
  </si>
  <si>
    <t>TXN-101062</t>
  </si>
  <si>
    <t>TXN-100314</t>
  </si>
  <si>
    <t>TXN-100106</t>
  </si>
  <si>
    <t>TXN-102172</t>
  </si>
  <si>
    <t>TXN-102526</t>
  </si>
  <si>
    <t>TXN-100380</t>
  </si>
  <si>
    <t>TXN-101023</t>
  </si>
  <si>
    <t>TXN-102579</t>
  </si>
  <si>
    <t>TXN-102483</t>
  </si>
  <si>
    <t>TXN-102398</t>
  </si>
  <si>
    <t>TXN-100148</t>
  </si>
  <si>
    <t>TXN-101899</t>
  </si>
  <si>
    <t>TXN-100205</t>
  </si>
  <si>
    <t>TXN-102166</t>
  </si>
  <si>
    <t>TXN-100983</t>
  </si>
  <si>
    <t>TXN-101897</t>
  </si>
  <si>
    <t>TXN-100210</t>
  </si>
  <si>
    <t>TXN-102207</t>
  </si>
  <si>
    <t>TXN-100403</t>
  </si>
  <si>
    <t>TXN-101128</t>
  </si>
  <si>
    <t>TXN-101177</t>
  </si>
  <si>
    <t>TXN-100741</t>
  </si>
  <si>
    <t>TXN-101912</t>
  </si>
  <si>
    <t>TXN-102062</t>
  </si>
  <si>
    <t>TXN-101417</t>
  </si>
  <si>
    <t>TXN-102609</t>
  </si>
  <si>
    <t>CUST-9889</t>
  </si>
  <si>
    <t>TXN-100593</t>
  </si>
  <si>
    <t>TXN-101245</t>
  </si>
  <si>
    <t>TXN-102175</t>
  </si>
  <si>
    <t>TXN-100203</t>
  </si>
  <si>
    <t>TXN-101264</t>
  </si>
  <si>
    <t>TXN-100861</t>
  </si>
  <si>
    <t>TXN-100461</t>
  </si>
  <si>
    <t>TXN-102374</t>
  </si>
  <si>
    <t>TXN-100301</t>
  </si>
  <si>
    <t>TXN-102330</t>
  </si>
  <si>
    <t>TXN-101093</t>
  </si>
  <si>
    <t>TXN-102507</t>
  </si>
  <si>
    <t>TXN-100819</t>
  </si>
  <si>
    <t>TXN-101150</t>
  </si>
  <si>
    <t>TXN-100130</t>
  </si>
  <si>
    <t>TXN-102460</t>
  </si>
  <si>
    <t>TXN-102178</t>
  </si>
  <si>
    <t>TXN-101816</t>
  </si>
  <si>
    <t>TXN-101865</t>
  </si>
  <si>
    <t>TXN-101284</t>
  </si>
  <si>
    <t>TXN-100711</t>
  </si>
  <si>
    <t>TXN-100447</t>
  </si>
  <si>
    <t>TXN-101618</t>
  </si>
  <si>
    <t>TXN-100330</t>
  </si>
  <si>
    <t>TXN-101276</t>
  </si>
  <si>
    <t>TXN-101616</t>
  </si>
  <si>
    <t>TXN-100359</t>
  </si>
  <si>
    <t>TXN-100923</t>
  </si>
  <si>
    <t>TXN-102029</t>
  </si>
  <si>
    <t>TXN-100889</t>
  </si>
  <si>
    <t>TXN-100726</t>
  </si>
  <si>
    <t>TXN-101079</t>
  </si>
  <si>
    <t>TXN-102243</t>
  </si>
  <si>
    <t>TXN-100228</t>
  </si>
  <si>
    <t>TXN-101999</t>
  </si>
  <si>
    <t>TXN-101111</t>
  </si>
  <si>
    <t>TXN-100167</t>
  </si>
  <si>
    <t>TXN-102180</t>
  </si>
  <si>
    <t>TXN-100462</t>
  </si>
  <si>
    <t>TXN-101390</t>
  </si>
  <si>
    <t>TXN-102441</t>
  </si>
  <si>
    <t>TXN-102393</t>
  </si>
  <si>
    <t>TXN-101857</t>
  </si>
  <si>
    <t>TXN-101067</t>
  </si>
  <si>
    <t>TXN-100663</t>
  </si>
  <si>
    <t>TXN-100467</t>
  </si>
  <si>
    <t>TXN-102279</t>
  </si>
  <si>
    <t>TXN-101557</t>
  </si>
  <si>
    <t>TXN-101575</t>
  </si>
  <si>
    <t>TXN-100990</t>
  </si>
  <si>
    <t>TXN-102169</t>
  </si>
  <si>
    <t>TXN-100220</t>
  </si>
  <si>
    <t>TXN-102442</t>
  </si>
  <si>
    <t>TXN-101047</t>
  </si>
  <si>
    <t>TXN-100157</t>
  </si>
  <si>
    <t>TXN-102456</t>
  </si>
  <si>
    <t>TXN-100712</t>
  </si>
  <si>
    <t>TXN-100484</t>
  </si>
  <si>
    <t>TXN-102061</t>
  </si>
  <si>
    <t>TXN-100134</t>
  </si>
  <si>
    <t>TXN-100207</t>
  </si>
  <si>
    <t>TXN-101491</t>
  </si>
  <si>
    <t>TXN-102311</t>
  </si>
  <si>
    <t>TXN-101986</t>
  </si>
  <si>
    <t>TXN-102096</t>
  </si>
  <si>
    <t>TXN-100034</t>
  </si>
  <si>
    <t>TXN-101406</t>
  </si>
  <si>
    <t>TXN-100984</t>
  </si>
  <si>
    <t>TXN-102135</t>
  </si>
  <si>
    <t>TXN-101720</t>
  </si>
  <si>
    <t>TXN-100256</t>
  </si>
  <si>
    <t>TXN-102214</t>
  </si>
  <si>
    <t>TXN-101607</t>
  </si>
  <si>
    <t>TXN-101782</t>
  </si>
  <si>
    <t>TXN-102164</t>
  </si>
  <si>
    <t>TXN-101689</t>
  </si>
  <si>
    <t>TXN-100709</t>
  </si>
  <si>
    <t>TXN-100952</t>
  </si>
  <si>
    <t>TXN-102001</t>
  </si>
  <si>
    <t>TXN-101091</t>
  </si>
  <si>
    <t>TXN-101673</t>
  </si>
  <si>
    <t>TXN-101405</t>
  </si>
  <si>
    <t>TXN-101910</t>
  </si>
  <si>
    <t>TXN-102262</t>
  </si>
  <si>
    <t>TXN-102063</t>
  </si>
  <si>
    <t>TXN-102014</t>
  </si>
  <si>
    <t>TXN-102087</t>
  </si>
  <si>
    <t>TXN-102569</t>
  </si>
  <si>
    <t>TXN-100114</t>
  </si>
  <si>
    <t>TXN-101931</t>
  </si>
  <si>
    <t>TXN-100345</t>
  </si>
  <si>
    <t>TXN-102067</t>
  </si>
  <si>
    <t>TXN-101261</t>
  </si>
  <si>
    <t>TXN-102315</t>
  </si>
  <si>
    <t>TXN-100710</t>
  </si>
  <si>
    <t>TXN-101906</t>
  </si>
  <si>
    <t>TXN-101116</t>
  </si>
  <si>
    <t>TXN-100669</t>
  </si>
  <si>
    <t>TXN-102380</t>
  </si>
  <si>
    <t>TXN-101103</t>
  </si>
  <si>
    <t>TXN-101934</t>
  </si>
  <si>
    <t>TXN-101747</t>
  </si>
  <si>
    <t>TXN-100770</t>
  </si>
  <si>
    <t>TXN-100460</t>
  </si>
  <si>
    <t>TXN-101913</t>
  </si>
  <si>
    <t>TXN-101005</t>
  </si>
  <si>
    <t>TXN-100614</t>
  </si>
  <si>
    <t>TXN-100885</t>
  </si>
  <si>
    <t>TXN-100786</t>
  </si>
  <si>
    <t>TXN-100652</t>
  </si>
  <si>
    <t>TXN-100080</t>
  </si>
  <si>
    <t>TXN-100945</t>
  </si>
  <si>
    <t>TXN-101305</t>
  </si>
  <si>
    <t>TXN-100348</t>
  </si>
  <si>
    <t>TXN-101537</t>
  </si>
  <si>
    <t>TXN-100824</t>
  </si>
  <si>
    <t>TXN-100073</t>
  </si>
  <si>
    <t>TXN-102204</t>
  </si>
  <si>
    <t>TXN-101989</t>
  </si>
  <si>
    <t>TXN-101669</t>
  </si>
  <si>
    <t>TXN-101124</t>
  </si>
  <si>
    <t>TXN-100110</t>
  </si>
  <si>
    <t>TXN-101535</t>
  </si>
  <si>
    <t>TXN-100315</t>
  </si>
  <si>
    <t>TXN-101126</t>
  </si>
  <si>
    <t>TXN-100815</t>
  </si>
  <si>
    <t>TXN-100633</t>
  </si>
  <si>
    <t>TXN-102073</t>
  </si>
  <si>
    <t>TXN-101007</t>
  </si>
  <si>
    <t>TXN-101500</t>
  </si>
  <si>
    <t>TXN-100209</t>
  </si>
  <si>
    <t>TXN-101608</t>
  </si>
  <si>
    <t>TXN-101795</t>
  </si>
  <si>
    <t>TXN-102355</t>
  </si>
  <si>
    <t>TXN-100400</t>
  </si>
  <si>
    <t>TXN-101730</t>
  </si>
  <si>
    <t>TXN-100515</t>
  </si>
  <si>
    <t>TXN-102060</t>
  </si>
  <si>
    <t>TXN-102394</t>
  </si>
  <si>
    <t>TXN-100116</t>
  </si>
  <si>
    <t>TXN-100191</t>
  </si>
  <si>
    <t>TXN-101896</t>
  </si>
  <si>
    <t>TXN-100762</t>
  </si>
  <si>
    <t>TXN-100704</t>
  </si>
  <si>
    <t>TXN-100104</t>
  </si>
  <si>
    <t>TXN-102295</t>
  </si>
  <si>
    <t>TXN-101337</t>
  </si>
  <si>
    <t>TXN-101746</t>
  </si>
  <si>
    <t>CUST-0013</t>
  </si>
  <si>
    <t>TXN-100468</t>
  </si>
  <si>
    <t>TXN-101654</t>
  </si>
  <si>
    <t>TXN-101531</t>
  </si>
  <si>
    <t>TXN-101567</t>
  </si>
  <si>
    <t>TXN-102120</t>
  </si>
  <si>
    <t>TXN-102328</t>
  </si>
  <si>
    <t>TXN-102177</t>
  </si>
  <si>
    <t>TXN-102006</t>
  </si>
  <si>
    <t>TXN-102530</t>
  </si>
  <si>
    <t>TXN-101873</t>
  </si>
  <si>
    <t>TXN-102332</t>
  </si>
  <si>
    <t>TXN-102288</t>
  </si>
  <si>
    <t>TXN-102553</t>
  </si>
  <si>
    <t>TXN-101423</t>
  </si>
  <si>
    <t>TXN-101077</t>
  </si>
  <si>
    <t>TXN-100843</t>
  </si>
  <si>
    <t>TXN-101298</t>
  </si>
  <si>
    <t>TXN-100626</t>
  </si>
  <si>
    <t>TXN-101577</t>
  </si>
  <si>
    <t>TXN-101330</t>
  </si>
  <si>
    <t>TXN-101776</t>
  </si>
  <si>
    <t>TXN-100676</t>
  </si>
  <si>
    <t>TXN-100840</t>
  </si>
  <si>
    <t>TXN-101106</t>
  </si>
  <si>
    <t>TXN-102084</t>
  </si>
  <si>
    <t>TXN-101195</t>
  </si>
  <si>
    <t>TXN-102035</t>
  </si>
  <si>
    <t>TXN-100879</t>
  </si>
  <si>
    <t>TXN-100503</t>
  </si>
  <si>
    <t>TXN-100125</t>
  </si>
  <si>
    <t>TXN-101081</t>
  </si>
  <si>
    <t>TXN-101129</t>
  </si>
  <si>
    <t>TXN-101869</t>
  </si>
  <si>
    <t>TXN-101032</t>
  </si>
  <si>
    <t>TXN-100078</t>
  </si>
  <si>
    <t>TXN-101487</t>
  </si>
  <si>
    <t>TXN-102095</t>
  </si>
  <si>
    <t>TXN-100894</t>
  </si>
  <si>
    <t>TXN-102370</t>
  </si>
  <si>
    <t>TXN-101925</t>
  </si>
  <si>
    <t>TXN-100582</t>
  </si>
  <si>
    <t>TXN-101852</t>
  </si>
  <si>
    <t>TXN-100020</t>
  </si>
  <si>
    <t>TXN-102222</t>
  </si>
  <si>
    <t>TXN-101064</t>
  </si>
  <si>
    <t>TXN-101147</t>
  </si>
  <si>
    <t>TXN-100118</t>
  </si>
  <si>
    <t>TXN-100880</t>
  </si>
  <si>
    <t>TXN-100111</t>
  </si>
  <si>
    <t>TXN-101922</t>
  </si>
  <si>
    <t>TXN-102495</t>
  </si>
  <si>
    <t>TXN-100364</t>
  </si>
  <si>
    <t>TXN-101664</t>
  </si>
  <si>
    <t>TXN-101484</t>
  </si>
  <si>
    <t>TXN-101017</t>
  </si>
  <si>
    <t>TXN-101619</t>
  </si>
  <si>
    <t>TXN-101565</t>
  </si>
  <si>
    <t>TXN-102359</t>
  </si>
  <si>
    <t>TXN-101335</t>
  </si>
  <si>
    <t>TXN-100992</t>
  </si>
  <si>
    <t>TXN-102437</t>
  </si>
  <si>
    <t>TXN-102057</t>
  </si>
  <si>
    <t>TXN-100169</t>
  </si>
  <si>
    <t>TXN-100818</t>
  </si>
  <si>
    <t>TXN-100608</t>
  </si>
  <si>
    <t>TXN-101710</t>
  </si>
  <si>
    <t>TXN-102191</t>
  </si>
  <si>
    <t>TXN-101301</t>
  </si>
  <si>
    <t>TXN-101729</t>
  </si>
  <si>
    <t>TXN-101250</t>
  </si>
  <si>
    <t>TXN-102287</t>
  </si>
  <si>
    <t>TXN-100838</t>
  </si>
  <si>
    <t>TXN-100601</t>
  </si>
  <si>
    <t>TXN-101512</t>
  </si>
  <si>
    <t>TXN-100121</t>
  </si>
  <si>
    <t>TXN-101923</t>
  </si>
  <si>
    <t>TXN-100124</t>
  </si>
  <si>
    <t>TXN-101840</t>
  </si>
  <si>
    <t>TXN-100309</t>
  </si>
  <si>
    <t>TXN-101696</t>
  </si>
  <si>
    <t>TXN-101786</t>
  </si>
  <si>
    <t>TXN-101578</t>
  </si>
  <si>
    <t>TXN-102260</t>
  </si>
  <si>
    <t>TXN-100596</t>
  </si>
  <si>
    <t>TXN-102242</t>
  </si>
  <si>
    <t>TXN-101542</t>
  </si>
  <si>
    <t>TXN-100008</t>
  </si>
  <si>
    <t>TXN-100082</t>
  </si>
  <si>
    <t>TXN-101345</t>
  </si>
  <si>
    <t>TXN-101640</t>
  </si>
  <si>
    <t>TXN-101705</t>
  </si>
  <si>
    <t>TXN-102099</t>
  </si>
  <si>
    <t>TXN-100270</t>
  </si>
  <si>
    <t>TXN-101480</t>
  </si>
  <si>
    <t>TXN-101052</t>
  </si>
  <si>
    <t>TXN-101890</t>
  </si>
  <si>
    <t>TXN-100410</t>
  </si>
  <si>
    <t>TXN-100386</t>
  </si>
  <si>
    <t>TXN-102565</t>
  </si>
  <si>
    <t>TXN-100989</t>
  </si>
  <si>
    <t>TXN-101834</t>
  </si>
  <si>
    <t>TXN-102345</t>
  </si>
  <si>
    <t>TXN-100800</t>
  </si>
  <si>
    <t>TXN-102149</t>
  </si>
  <si>
    <t>TXN-101083</t>
  </si>
  <si>
    <t>TXN-101019</t>
  </si>
  <si>
    <t>TXN-102390</t>
  </si>
  <si>
    <t>TXN-100369</t>
  </si>
  <si>
    <t>TXN-100217</t>
  </si>
  <si>
    <t>TXN-100807</t>
  </si>
  <si>
    <t>TXN-100244</t>
  </si>
  <si>
    <t>TXN-100971</t>
  </si>
  <si>
    <t>TXN-100487</t>
  </si>
  <si>
    <t>TXN-101063</t>
  </si>
  <si>
    <t>TXN-101604</t>
  </si>
  <si>
    <t>TXN-100823</t>
  </si>
  <si>
    <t>TXN-100198</t>
  </si>
  <si>
    <t>TXN-100855</t>
  </si>
  <si>
    <t>TXN-102303</t>
  </si>
  <si>
    <t>TXN-102143</t>
  </si>
  <si>
    <t>TXN-100514</t>
  </si>
  <si>
    <t>TXN-102424</t>
  </si>
  <si>
    <t>TXN-100213</t>
  </si>
  <si>
    <t>TXN-102225</t>
  </si>
  <si>
    <t>TXN-100878</t>
  </si>
  <si>
    <t>TXN-100279</t>
  </si>
  <si>
    <t>TXN-101365</t>
  </si>
  <si>
    <t>TXN-101805</t>
  </si>
  <si>
    <t>TXN-100070</t>
  </si>
  <si>
    <t>TXN-102430</t>
  </si>
  <si>
    <t>TXN-101368</t>
  </si>
  <si>
    <t>TXN-100673</t>
  </si>
  <si>
    <t>TXN-102138</t>
  </si>
  <si>
    <t>TXN-100941</t>
  </si>
  <si>
    <t>TXN-102306</t>
  </si>
  <si>
    <t>TXN-101090</t>
  </si>
  <si>
    <t>TXN-100351</t>
  </si>
  <si>
    <t>TXN-100387</t>
  </si>
  <si>
    <t>TXN-100161</t>
  </si>
  <si>
    <t>TXN-101750</t>
  </si>
  <si>
    <t>TXN-101290</t>
  </si>
  <si>
    <t>TXN-100987</t>
  </si>
  <si>
    <t>TXN-101518</t>
  </si>
  <si>
    <t>TXN-101054</t>
  </si>
  <si>
    <t>TXN-102077</t>
  </si>
  <si>
    <t>TXN-100049</t>
  </si>
  <si>
    <t>TXN-101292</t>
  </si>
  <si>
    <t>TXN-100119</t>
  </si>
  <si>
    <t>TXN-101313</t>
  </si>
  <si>
    <t>TXN-102354</t>
  </si>
  <si>
    <t>TXN-102123</t>
  </si>
  <si>
    <t>TXN-100422</t>
  </si>
  <si>
    <t>TXN-102113</t>
  </si>
  <si>
    <t>TXN-102387</t>
  </si>
  <si>
    <t>TXN-100665</t>
  </si>
  <si>
    <t>TXN-101082</t>
  </si>
  <si>
    <t>TXN-100388</t>
  </si>
  <si>
    <t>TXN-101957</t>
  </si>
  <si>
    <t>TXN-100133</t>
  </si>
  <si>
    <t>TXN-101972</t>
  </si>
  <si>
    <t>TXN-100692</t>
  </si>
  <si>
    <t>TXN-101450</t>
  </si>
  <si>
    <t>TXN-102607</t>
  </si>
  <si>
    <t>CUST-9019</t>
  </si>
  <si>
    <t>TXN-100568</t>
  </si>
  <si>
    <t>TXN-100347</t>
  </si>
  <si>
    <t>TXN-102584</t>
  </si>
  <si>
    <t>TXN-102613</t>
  </si>
  <si>
    <t>CUST-9815</t>
  </si>
  <si>
    <t>TXN-102145</t>
  </si>
  <si>
    <t>TXN-101755</t>
  </si>
  <si>
    <t>TXN-100513</t>
  </si>
  <si>
    <t>TXN-100254</t>
  </si>
  <si>
    <t>TXN-101078</t>
  </si>
  <si>
    <t>TXN-100764</t>
  </si>
  <si>
    <t>TXN-101808</t>
  </si>
  <si>
    <t>TXN-100355</t>
  </si>
  <si>
    <t>TXN-102118</t>
  </si>
  <si>
    <t>TXN-101765</t>
  </si>
  <si>
    <t>TXN-101203</t>
  </si>
  <si>
    <t>TXN-100413</t>
  </si>
  <si>
    <t>TXN-100094</t>
  </si>
  <si>
    <t>TXN-102454</t>
  </si>
  <si>
    <t>TXN-102425</t>
  </si>
  <si>
    <t>TXN-101342</t>
  </si>
  <si>
    <t>TXN-101652</t>
  </si>
  <si>
    <t>TXN-101711</t>
  </si>
  <si>
    <t>TXN-102614</t>
  </si>
  <si>
    <t>CUST-9695</t>
  </si>
  <si>
    <t>TXN-100792</t>
  </si>
  <si>
    <t>TXN-100535</t>
  </si>
  <si>
    <t>TXN-100585</t>
  </si>
  <si>
    <t>TXN-101726</t>
  </si>
  <si>
    <t>TXN-101921</t>
  </si>
  <si>
    <t>TXN-100647</t>
  </si>
  <si>
    <t>TXN-100184</t>
  </si>
  <si>
    <t>TXN-101013</t>
  </si>
  <si>
    <t>TXN-101295</t>
  </si>
  <si>
    <t>TXN-100999</t>
  </si>
  <si>
    <t>TXN-101605</t>
  </si>
  <si>
    <t>TXN-102234</t>
  </si>
  <si>
    <t>TXN-101503</t>
  </si>
  <si>
    <t>TXN-102292</t>
  </si>
  <si>
    <t>TXN-102167</t>
  </si>
  <si>
    <t>TXN-101395</t>
  </si>
  <si>
    <t>TXN-101251</t>
  </si>
  <si>
    <t>TXN-101533</t>
  </si>
  <si>
    <t>TXN-101119</t>
  </si>
  <si>
    <t>TXN-101049</t>
  </si>
  <si>
    <t>TXN-102524</t>
  </si>
  <si>
    <t>TXN-100627</t>
  </si>
  <si>
    <t>TXN-102304</t>
  </si>
  <si>
    <t>TXN-100230</t>
  </si>
  <si>
    <t>TXN-101282</t>
  </si>
  <si>
    <t>TXN-100272</t>
  </si>
  <si>
    <t>TXN-102376</t>
  </si>
  <si>
    <t>TXN-101798</t>
  </si>
  <si>
    <t>TXN-102294</t>
  </si>
  <si>
    <t>TXN-101554</t>
  </si>
  <si>
    <t>TXN-101682</t>
  </si>
  <si>
    <t>TXN-100215</t>
  </si>
  <si>
    <t>TXN-101069</t>
  </si>
  <si>
    <t>TXN-101506</t>
  </si>
  <si>
    <t>TXN-100190</t>
  </si>
  <si>
    <t>TXN-101970</t>
  </si>
  <si>
    <t>TXN-100352</t>
  </si>
  <si>
    <t>TXN-101071</t>
  </si>
  <si>
    <t>TXN-102497</t>
  </si>
  <si>
    <t>TXN-102413</t>
  </si>
  <si>
    <t>TXN-100040</t>
  </si>
  <si>
    <t>TXN-101987</t>
  </si>
  <si>
    <t>TXN-101764</t>
  </si>
  <si>
    <t>TXN-100839</t>
  </si>
  <si>
    <t>TXN-101494</t>
  </si>
  <si>
    <t>TXN-101109</t>
  </si>
  <si>
    <t>TXN-101371</t>
  </si>
  <si>
    <t>TXN-100065</t>
  </si>
  <si>
    <t>TXN-100870</t>
  </si>
  <si>
    <t>TXN-101072</t>
  </si>
  <si>
    <t>TXN-101599</t>
  </si>
  <si>
    <t>TXN-102266</t>
  </si>
  <si>
    <t>TXN-101918</t>
  </si>
  <si>
    <t>TXN-101248</t>
  </si>
  <si>
    <t>TXN-100146</t>
  </si>
  <si>
    <t>TXN-101953</t>
  </si>
  <si>
    <t>TXN-102091</t>
  </si>
  <si>
    <t>TXN-101851</t>
  </si>
  <si>
    <t>TXN-100479</t>
  </si>
  <si>
    <t>TXN-101859</t>
  </si>
  <si>
    <t>TXN-100666</t>
  </si>
  <si>
    <t>TXN-102366</t>
  </si>
  <si>
    <t>TXN-100625</t>
  </si>
  <si>
    <t>TXN-101833</t>
  </si>
  <si>
    <t>TXN-100918</t>
  </si>
  <si>
    <t>TXN-100053</t>
  </si>
  <si>
    <t>TXN-100951</t>
  </si>
  <si>
    <t>TXN-102229</t>
  </si>
  <si>
    <t>TXN-101766</t>
  </si>
  <si>
    <t>TXN-101134</t>
  </si>
  <si>
    <t>TXN-101101</t>
  </si>
  <si>
    <t>TXN-102342</t>
  </si>
  <si>
    <t>TXN-100180</t>
  </si>
  <si>
    <t>TXN-100643</t>
  </si>
  <si>
    <t>TXN-100733</t>
  </si>
  <si>
    <t>TXN-100062</t>
  </si>
  <si>
    <t>TXN-101266</t>
  </si>
  <si>
    <t>TXN-101590</t>
  </si>
  <si>
    <t>TXN-101348</t>
  </si>
  <si>
    <t>TXN-101511</t>
  </si>
  <si>
    <t>TXN-102576</t>
  </si>
  <si>
    <t>TXN-102561</t>
  </si>
  <si>
    <t>TXN-100346</t>
  </si>
  <si>
    <t>TXN-101410</t>
  </si>
  <si>
    <t>TXN-100587</t>
  </si>
  <si>
    <t>TXN-102419</t>
  </si>
  <si>
    <t>TXN-101223</t>
  </si>
  <si>
    <t>TXN-100224</t>
  </si>
  <si>
    <t>TXN-101461</t>
  </si>
  <si>
    <t>TXN-100828</t>
  </si>
  <si>
    <t>TXN-100250</t>
  </si>
  <si>
    <t>TXN-100763</t>
  </si>
  <si>
    <t>TXN-100521</t>
  </si>
  <si>
    <t>TXN-101825</t>
  </si>
  <si>
    <t>TXN-102534</t>
  </si>
  <si>
    <t>TXN-101336</t>
  </si>
  <si>
    <t>TXN-101133</t>
  </si>
  <si>
    <t>TXN-100485</t>
  </si>
  <si>
    <t>TXN-102281</t>
  </si>
  <si>
    <t>TXN-101523</t>
  </si>
  <si>
    <t>TXN-100158</t>
  </si>
  <si>
    <t>TXN-101420</t>
  </si>
  <si>
    <t>TXN-100321</t>
  </si>
  <si>
    <t>TXN-100531</t>
  </si>
  <si>
    <t>TXN-100307</t>
  </si>
  <si>
    <t>TXN-101136</t>
  </si>
  <si>
    <t>TXN-101016</t>
  </si>
  <si>
    <t>TXN-100850</t>
  </si>
  <si>
    <t>TXN-101624</t>
  </si>
  <si>
    <t>TXN-101034</t>
  </si>
  <si>
    <t>TXN-102041</t>
  </si>
  <si>
    <t>TXN-101042</t>
  </si>
  <si>
    <t>TXN-102042</t>
  </si>
  <si>
    <t>TXN-102363</t>
  </si>
  <si>
    <t>TXN-101667</t>
  </si>
  <si>
    <t>TXN-101858</t>
  </si>
  <si>
    <t>TXN-101314</t>
  </si>
  <si>
    <t>TXN-101617</t>
  </si>
  <si>
    <t>TXN-101493</t>
  </si>
  <si>
    <t>TXN-101509</t>
  </si>
  <si>
    <t>TXN-101971</t>
  </si>
  <si>
    <t>TXN-100527</t>
  </si>
  <si>
    <t>TXN-101784</t>
  </si>
  <si>
    <t>TXN-100429</t>
  </si>
  <si>
    <t>TXN-101151</t>
  </si>
  <si>
    <t>TXN-102114</t>
  </si>
  <si>
    <t>TXN-101905</t>
  </si>
  <si>
    <t>TXN-101194</t>
  </si>
  <si>
    <t>TXN-100997</t>
  </si>
  <si>
    <t>TXN-100339</t>
  </si>
  <si>
    <t>TXN-101132</t>
  </si>
  <si>
    <t>TXN-101400</t>
  </si>
  <si>
    <t>TXN-101543</t>
  </si>
  <si>
    <t>TXN-101460</t>
  </si>
  <si>
    <t>TXN-101142</t>
  </si>
  <si>
    <t>TXN-100371</t>
  </si>
  <si>
    <t>TXN-101796</t>
  </si>
  <si>
    <t>TXN-100505</t>
  </si>
  <si>
    <t>TXN-102535</t>
  </si>
  <si>
    <t>TXN-100777</t>
  </si>
  <si>
    <t>TXN-101846</t>
  </si>
  <si>
    <t>TXN-100262</t>
  </si>
  <si>
    <t>TXN-101204</t>
  </si>
  <si>
    <t>TXN-101817</t>
  </si>
  <si>
    <t>TXN-102083</t>
  </si>
  <si>
    <t>TXN-100612</t>
  </si>
  <si>
    <t>TXN-101372</t>
  </si>
  <si>
    <t>TXN-100313</t>
  </si>
  <si>
    <t>TXN-102522</t>
  </si>
  <si>
    <t>TXN-101974</t>
  </si>
  <si>
    <t>TXN-101272</t>
  </si>
  <si>
    <t>TXN-101886</t>
  </si>
  <si>
    <t>TXN-101742</t>
  </si>
  <si>
    <t>TXN-101994</t>
  </si>
  <si>
    <t>TXN-101581</t>
  </si>
  <si>
    <t>TXN-101026</t>
  </si>
  <si>
    <t>TXN-100373</t>
  </si>
  <si>
    <t>TXN-102492</t>
  </si>
  <si>
    <t>TXN-101530</t>
  </si>
  <si>
    <t>TXN-101586</t>
  </si>
  <si>
    <t>TXN-101143</t>
  </si>
  <si>
    <t>TXN-101980</t>
  </si>
  <si>
    <t>TXN-101704</t>
  </si>
  <si>
    <t>TXN-100851</t>
  </si>
  <si>
    <t>TXN-100268</t>
  </si>
  <si>
    <t>TXN-101752</t>
  </si>
  <si>
    <t>TXN-102310</t>
  </si>
  <si>
    <t>TXN-101030</t>
  </si>
  <si>
    <t>TXN-101691</t>
  </si>
  <si>
    <t>TXN-100511</t>
  </si>
  <si>
    <t>TXN-102033</t>
  </si>
  <si>
    <t>TXN-101046</t>
  </si>
  <si>
    <t>TXN-100173</t>
  </si>
  <si>
    <t>TXN-102389</t>
  </si>
  <si>
    <t>TXN-102344</t>
  </si>
  <si>
    <t>TXN-100720</t>
  </si>
  <si>
    <t>TXN-100650</t>
  </si>
  <si>
    <t>TXN-102181</t>
  </si>
  <si>
    <t>TXN-100216</t>
  </si>
  <si>
    <t>TXN-101967</t>
  </si>
  <si>
    <t>TXN-102255</t>
  </si>
  <si>
    <t>TXN-101262</t>
  </si>
  <si>
    <t>TXN-101418</t>
  </si>
  <si>
    <t>TXN-102502</t>
  </si>
  <si>
    <t>TXN-101801</t>
  </si>
  <si>
    <t>TXN-100153</t>
  </si>
  <si>
    <t>TXN-100353</t>
  </si>
  <si>
    <t>TXN-100616</t>
  </si>
  <si>
    <t>TXN-100943</t>
  </si>
  <si>
    <t>TXN-102034</t>
  </si>
  <si>
    <t>TXN-100944</t>
  </si>
  <si>
    <t>TXN-100024</t>
  </si>
  <si>
    <t>TXN-101836</t>
  </si>
  <si>
    <t>TXN-101562</t>
  </si>
  <si>
    <t>TXN-100282</t>
  </si>
  <si>
    <t>TXN-101275</t>
  </si>
  <si>
    <t>TXN-100037</t>
  </si>
  <si>
    <t>TXN-100641</t>
  </si>
  <si>
    <t>TXN-102373</t>
  </si>
  <si>
    <t>TXN-100520</t>
  </si>
  <si>
    <t>TXN-101813</t>
  </si>
  <si>
    <t>TXN-102043</t>
  </si>
  <si>
    <t>TXN-101615</t>
  </si>
  <si>
    <t>TXN-100955</t>
  </si>
  <si>
    <t>TXN-102137</t>
  </si>
  <si>
    <t>TXN-102337</t>
  </si>
  <si>
    <t>TXN-102488</t>
  </si>
  <si>
    <t>TXN-101879</t>
  </si>
  <si>
    <t>TXN-102564</t>
  </si>
  <si>
    <t>TXN-102104</t>
  </si>
  <si>
    <t>TXN-101004</t>
  </si>
  <si>
    <t>TXN-100145</t>
  </si>
  <si>
    <t>TXN-101995</t>
  </si>
  <si>
    <t>TXN-101294</t>
  </si>
  <si>
    <t>TXN-102353</t>
  </si>
  <si>
    <t>TXN-102605</t>
  </si>
  <si>
    <t>CUST-9295</t>
  </si>
  <si>
    <t>TXN-101096</t>
  </si>
  <si>
    <t>TXN-101315</t>
  </si>
  <si>
    <t>TXN-101039</t>
  </si>
  <si>
    <t>TXN-100906</t>
  </si>
  <si>
    <t>TXN-102496</t>
  </si>
  <si>
    <t>TXN-100575</t>
  </si>
  <si>
    <t>TXN-100458</t>
  </si>
  <si>
    <t>TXN-101211</t>
  </si>
  <si>
    <t>TXN-102391</t>
  </si>
  <si>
    <t>TXN-101193</t>
  </si>
  <si>
    <t>TXN-100721</t>
  </si>
  <si>
    <t>TXN-100609</t>
  </si>
  <si>
    <t>TXN-100277</t>
  </si>
  <si>
    <t>TXN-100958</t>
  </si>
  <si>
    <t>TXN-100827</t>
  </si>
  <si>
    <t>TXN-101674</t>
  </si>
  <si>
    <t>TXN-101878</t>
  </si>
  <si>
    <t>TXN-101561</t>
  </si>
  <si>
    <t>TXN-100370</t>
  </si>
  <si>
    <t>TXN-100668</t>
  </si>
  <si>
    <t>TXN-101293</t>
  </si>
  <si>
    <t>TXN-100041</t>
  </si>
  <si>
    <t>TXN-100439</t>
  </si>
  <si>
    <t>TXN-100845</t>
  </si>
  <si>
    <t>TXN-101234</t>
  </si>
  <si>
    <t>TXN-100993</t>
  </si>
  <si>
    <t>TXN-102048</t>
  </si>
  <si>
    <t>TXN-101702</t>
  </si>
  <si>
    <t>TXN-101545</t>
  </si>
  <si>
    <t>TXN-102261</t>
  </si>
  <si>
    <t>TXN-100548</t>
  </si>
  <si>
    <t>TXN-100096</t>
  </si>
  <si>
    <t>TXN-100360</t>
  </si>
  <si>
    <t>TXN-102409</t>
  </si>
  <si>
    <t>TXN-102551</t>
  </si>
  <si>
    <t>TXN-101175</t>
  </si>
  <si>
    <t>TXN-102439</t>
  </si>
  <si>
    <t>TXN-100072</t>
  </si>
  <si>
    <t>TXN-100926</t>
  </si>
  <si>
    <t>TXN-101041</t>
  </si>
  <si>
    <t>TXN-101477</t>
  </si>
  <si>
    <t>TXN-100565</t>
  </si>
  <si>
    <t>TXN-100495</t>
  </si>
  <si>
    <t>TXN-102074</t>
  </si>
  <si>
    <t>TXN-101176</t>
  </si>
  <si>
    <t>TXN-101940</t>
  </si>
  <si>
    <t>TXN-100378</t>
  </si>
  <si>
    <t>TXN-100897</t>
  </si>
  <si>
    <t>TXN-100888</t>
  </si>
  <si>
    <t>TXN-100728</t>
  </si>
  <si>
    <t>TXN-100075</t>
  </si>
  <si>
    <t>TXN-102008</t>
  </si>
  <si>
    <t>TXN-100325</t>
  </si>
  <si>
    <t>TXN-100968</t>
  </si>
  <si>
    <t>TXN-101191</t>
  </si>
  <si>
    <t>TXN-100900</t>
  </si>
  <si>
    <t>TXN-102017</t>
  </si>
  <si>
    <t>TXN-101178</t>
  </si>
  <si>
    <t>TXN-101166</t>
  </si>
  <si>
    <t>TXN-101363</t>
  </si>
  <si>
    <t>TXN-101001</t>
  </si>
  <si>
    <t>TXN-100304</t>
  </si>
  <si>
    <t>TXN-100390</t>
  </si>
  <si>
    <t>TXN-101520</t>
  </si>
  <si>
    <t>TXN-102047</t>
  </si>
  <si>
    <t>TXN-101141</t>
  </si>
  <si>
    <t>TXN-102116</t>
  </si>
  <si>
    <t>TXN-101130</t>
  </si>
  <si>
    <t>TXN-100477</t>
  </si>
  <si>
    <t>TXN-102470</t>
  </si>
  <si>
    <t>TXN-101217</t>
  </si>
  <si>
    <t>TXN-102200</t>
  </si>
  <si>
    <t>TXN-100350</t>
  </si>
  <si>
    <t>TXN-100332</t>
  </si>
  <si>
    <t>TXN-102464</t>
  </si>
  <si>
    <t>TXN-100109</t>
  </si>
  <si>
    <t>TXN-101253</t>
  </si>
  <si>
    <t>TXN-100580</t>
  </si>
  <si>
    <t>TXN-100326</t>
  </si>
  <si>
    <t>TXN-101558</t>
  </si>
  <si>
    <t>TXN-101935</t>
  </si>
  <si>
    <t>TXN-101051</t>
  </si>
  <si>
    <t>TXN-101445</t>
  </si>
  <si>
    <t>TXN-102188</t>
  </si>
  <si>
    <t>TXN-101839</t>
  </si>
  <si>
    <t>TXN-100624</t>
  </si>
  <si>
    <t>TXN-100551</t>
  </si>
  <si>
    <t>TXN-100732</t>
  </si>
  <si>
    <t>TXN-101354</t>
  </si>
  <si>
    <t>TXN-101548</t>
  </si>
  <si>
    <t>TXN-100657</t>
  </si>
  <si>
    <t>TXN-100564</t>
  </si>
  <si>
    <t>TXN-101319</t>
  </si>
  <si>
    <t>TXN-101881</t>
  </si>
  <si>
    <t>TXN-102007</t>
  </si>
  <si>
    <t>TXN-100405</t>
  </si>
  <si>
    <t>TXN-100088</t>
  </si>
  <si>
    <t>TXN-100837</t>
  </si>
  <si>
    <t>TXN-102335</t>
  </si>
  <si>
    <t>TXN-101690</t>
  </si>
  <si>
    <t>TXN-100200</t>
  </si>
  <si>
    <t>TXN-101835</t>
  </si>
  <si>
    <t>TXN-101158</t>
  </si>
  <si>
    <t>TXN-101818</t>
  </si>
  <si>
    <t>TXN-101589</t>
  </si>
  <si>
    <t>TXN-101100</t>
  </si>
  <si>
    <t>TXN-101623</t>
  </si>
  <si>
    <t>TXN-101780</t>
  </si>
  <si>
    <t>TXN-101823</t>
  </si>
  <si>
    <t>TXN-102511</t>
  </si>
  <si>
    <t>TXN-101391</t>
  </si>
  <si>
    <t>TXN-101454</t>
  </si>
  <si>
    <t>TXN-100189</t>
  </si>
  <si>
    <t>TXN-102411</t>
  </si>
  <si>
    <t>TXN-102512</t>
  </si>
  <si>
    <t>TXN-102309</t>
  </si>
  <si>
    <t>TXN-102450</t>
  </si>
  <si>
    <t>TXN-100471</t>
  </si>
  <si>
    <t>TXN-102239</t>
  </si>
  <si>
    <t>TXN-101088</t>
  </si>
  <si>
    <t>TXN-101045</t>
  </si>
  <si>
    <t>TXN-101961</t>
  </si>
  <si>
    <t>TXN-101188</t>
  </si>
  <si>
    <t>TXN-102100</t>
  </si>
  <si>
    <t>TXN-102555</t>
  </si>
  <si>
    <t>TXN-100942</t>
  </si>
  <si>
    <t>TXN-101880</t>
  </si>
  <si>
    <t>TXN-102381</t>
  </si>
  <si>
    <t>TXN-102550</t>
  </si>
  <si>
    <t>TXN-102331</t>
  </si>
  <si>
    <t>TXN-100558</t>
  </si>
  <si>
    <t>TXN-100443</t>
  </si>
  <si>
    <t>TXN-102414</t>
  </si>
  <si>
    <t>TXN-101443</t>
  </si>
  <si>
    <t>TXN-101526</t>
  </si>
  <si>
    <t>TXN-101768</t>
  </si>
  <si>
    <t>TXN-102226</t>
  </si>
  <si>
    <t>TXN-100544</t>
  </si>
  <si>
    <t>TXN-102080</t>
  </si>
  <si>
    <t>TXN-100129</t>
  </si>
  <si>
    <t>TXN-101366</t>
  </si>
  <si>
    <t>TXN-100508</t>
  </si>
  <si>
    <t>TXN-101097</t>
  </si>
  <si>
    <t>TXN-102142</t>
  </si>
  <si>
    <t>TXN-101398</t>
  </si>
  <si>
    <t>TXN-101273</t>
  </si>
  <si>
    <t>TXN-101370</t>
  </si>
  <si>
    <t>TXN-101502</t>
  </si>
  <si>
    <t>TXN-102469</t>
  </si>
  <si>
    <t>TXN-102232</t>
  </si>
  <si>
    <t>TXN-101171</t>
  </si>
  <si>
    <t>TXN-100746</t>
  </si>
  <si>
    <t>TXN-102305</t>
  </si>
  <si>
    <t>TXN-100030</t>
  </si>
  <si>
    <t>TXN-100664</t>
  </si>
  <si>
    <t>TXN-100365</t>
  </si>
  <si>
    <t>TXN-100752</t>
  </si>
  <si>
    <t>TXN-100418</t>
  </si>
  <si>
    <t>TXN-100486</t>
  </si>
  <si>
    <t>TXN-101830</t>
  </si>
  <si>
    <t>TXN-100621</t>
  </si>
  <si>
    <t>TXN-100433</t>
  </si>
  <si>
    <t>TXN-102291</t>
  </si>
  <si>
    <t>TXN-100937</t>
  </si>
  <si>
    <t>TXN-100316</t>
  </si>
  <si>
    <t>TXN-102108</t>
  </si>
  <si>
    <t>TXN-100128</t>
  </si>
  <si>
    <t>TXN-101463</t>
  </si>
  <si>
    <t>TXN-100572</t>
  </si>
  <si>
    <t>TXN-100097</t>
  </si>
  <si>
    <t>TXN-102468</t>
  </si>
  <si>
    <t>TXN-100298</t>
  </si>
  <si>
    <t>TXN-100516</t>
  </si>
  <si>
    <t>TXN-101849</t>
  </si>
  <si>
    <t>TXN-101721</t>
  </si>
  <si>
    <t>TXN-100620</t>
  </si>
  <si>
    <t>TXN-100208</t>
  </si>
  <si>
    <t>TXN-101621</t>
  </si>
  <si>
    <t>TXN-102101</t>
  </si>
  <si>
    <t>TXN-101634</t>
  </si>
  <si>
    <t>TXN-101333</t>
  </si>
  <si>
    <t>TXN-100251</t>
  </si>
  <si>
    <t>TXN-102103</t>
  </si>
  <si>
    <t>TXN-101407</t>
  </si>
  <si>
    <t>TXN-102187</t>
  </si>
  <si>
    <t>TXN-101893</t>
  </si>
  <si>
    <t>TXN-100562</t>
  </si>
  <si>
    <t>TXN-101863</t>
  </si>
  <si>
    <t>TXN-100930</t>
  </si>
  <si>
    <t>TXN-102231</t>
  </si>
  <si>
    <t>TXN-101943</t>
  </si>
  <si>
    <t>TXN-100884</t>
  </si>
  <si>
    <t>TXN-101713</t>
  </si>
  <si>
    <t>TXN-100076</t>
  </si>
  <si>
    <t>TXN-101792</t>
  </si>
  <si>
    <t>TXN-101936</t>
  </si>
  <si>
    <t>TXN-100356</t>
  </si>
  <si>
    <t>TXN-101320</t>
  </si>
  <si>
    <t>TXN-101169</t>
  </si>
  <si>
    <t>TXN-100868</t>
  </si>
  <si>
    <t>TXN-100469</t>
  </si>
  <si>
    <t>TXN-101977</t>
  </si>
  <si>
    <t>TXN-101872</t>
  </si>
  <si>
    <t>TXN-101479</t>
  </si>
  <si>
    <t>TXN-101655</t>
  </si>
  <si>
    <t>TXN-100470</t>
  </si>
  <si>
    <t>TXN-101189</t>
  </si>
  <si>
    <t>TXN-101444</t>
  </si>
  <si>
    <t>TXN-101386</t>
  </si>
  <si>
    <t>TXN-100780</t>
  </si>
  <si>
    <t>TXN-100886</t>
  </si>
  <si>
    <t>TXN-101219</t>
  </si>
  <si>
    <t>TXN-100358</t>
  </si>
  <si>
    <t>TXN-100069</t>
  </si>
  <si>
    <t>TXN-101610</t>
  </si>
  <si>
    <t>TXN-100440</t>
  </si>
  <si>
    <t>TXN-101344</t>
  </si>
  <si>
    <t>TXN-102220</t>
  </si>
  <si>
    <t>TXN-100141</t>
  </si>
  <si>
    <t>TXN-100144</t>
  </si>
  <si>
    <t>TXN-102119</t>
  </si>
  <si>
    <t>TXN-100808</t>
  </si>
  <si>
    <t>TXN-100525</t>
  </si>
  <si>
    <t>TXN-100026</t>
  </si>
  <si>
    <t>TXN-102064</t>
  </si>
  <si>
    <t>TXN-101762</t>
  </si>
  <si>
    <t>TXN-100547</t>
  </si>
  <si>
    <t>TXN-102403</t>
  </si>
  <si>
    <t>TXN-101352</t>
  </si>
  <si>
    <t>TXN-100953</t>
  </si>
  <si>
    <t>TXN-101374</t>
  </si>
  <si>
    <t>TXN-101914</t>
  </si>
  <si>
    <t>TXN-100091</t>
  </si>
  <si>
    <t>TXN-102280</t>
  </si>
  <si>
    <t>TXN-102190</t>
  </si>
  <si>
    <t>TXN-101955</t>
  </si>
  <si>
    <t>TXN-102277</t>
  </si>
  <si>
    <t>TXN-101340</t>
  </si>
  <si>
    <t>TXN-102432</t>
  </si>
  <si>
    <t>TXN-101802</t>
  </si>
  <si>
    <t>TXN-101572</t>
  </si>
  <si>
    <t>TXN-100051</t>
  </si>
  <si>
    <t>TXN-100236</t>
  </si>
  <si>
    <t>TXN-100758</t>
  </si>
  <si>
    <t>TXN-100637</t>
  </si>
  <si>
    <t>TXN-100052</t>
  </si>
  <si>
    <t>TXN-101870</t>
  </si>
  <si>
    <t>TXN-102264</t>
  </si>
  <si>
    <t>TXN-100185</t>
  </si>
  <si>
    <t>TXN-100775</t>
  </si>
  <si>
    <t>TXN-102527</t>
  </si>
  <si>
    <t>TXN-100966</t>
  </si>
  <si>
    <t>TXN-100902</t>
  </si>
  <si>
    <t>TXN-101379</t>
  </si>
  <si>
    <t>TXN-102094</t>
  </si>
  <si>
    <t>TXN-101741</t>
  </si>
  <si>
    <t>TXN-101650</t>
  </si>
  <si>
    <t>TXN-100975</t>
  </si>
  <si>
    <t>TXN-100716</t>
  </si>
  <si>
    <t>TXN-100344</t>
  </si>
  <si>
    <t>TXN-100237</t>
  </si>
  <si>
    <t>TXN-100972</t>
  </si>
  <si>
    <t>TXN-101983</t>
  </si>
  <si>
    <t>TXN-102533</t>
  </si>
  <si>
    <t>TXN-101771</t>
  </si>
  <si>
    <t>TXN-100046</t>
  </si>
  <si>
    <t>TXN-101560</t>
  </si>
  <si>
    <t>TXN-100844</t>
  </si>
  <si>
    <t>TXN-101799</t>
  </si>
  <si>
    <t>TXN-100318</t>
  </si>
  <si>
    <t>TXN-100964</t>
  </si>
  <si>
    <t>TXN-100829</t>
  </si>
  <si>
    <t>TXN-100004</t>
  </si>
  <si>
    <t>TXN-100745</t>
  </si>
  <si>
    <t>TXN-101028</t>
  </si>
  <si>
    <t>TXN-100534</t>
  </si>
  <si>
    <t>TXN-101231</t>
  </si>
  <si>
    <t>TXN-100567</t>
  </si>
  <si>
    <t>TXN-101916</t>
  </si>
  <si>
    <t>TXN-100727</t>
  </si>
  <si>
    <t>TXN-102582</t>
  </si>
  <si>
    <t>TXN-100610</t>
  </si>
  <si>
    <t>TXN-102453</t>
  </si>
  <si>
    <t>TXN-100539</t>
  </si>
  <si>
    <t>TXN-102205</t>
  </si>
  <si>
    <t>TXN-100604</t>
  </si>
  <si>
    <t>TXN-100039</t>
  </si>
  <si>
    <t>TXN-100740</t>
  </si>
  <si>
    <t>TXN-102016</t>
  </si>
  <si>
    <t>TXN-102572</t>
  </si>
  <si>
    <t>TXN-102079</t>
  </si>
  <si>
    <t>TXN-100092</t>
  </si>
  <si>
    <t>TXN-101244</t>
  </si>
  <si>
    <t>TXN-102031</t>
  </si>
  <si>
    <t>TXN-100206</t>
  </si>
  <si>
    <t>TXN-102485</t>
  </si>
  <si>
    <t>TXN-102274</t>
  </si>
  <si>
    <t>TXN-101436</t>
  </si>
  <si>
    <t>TXN-102082</t>
  </si>
  <si>
    <t>TXN-100613</t>
  </si>
  <si>
    <t>TXN-102581</t>
  </si>
  <si>
    <t>TXN-100223</t>
  </si>
  <si>
    <t>TXN-102128</t>
  </si>
  <si>
    <t>TXN-100672</t>
  </si>
  <si>
    <t>TXN-101312</t>
  </si>
  <si>
    <t>TXN-101790</t>
  </si>
  <si>
    <t>TXN-102384</t>
  </si>
  <si>
    <t>TXN-102271</t>
  </si>
  <si>
    <t>TXN-102379</t>
  </si>
  <si>
    <t>TXN-100117</t>
  </si>
  <si>
    <t>TXN-102566</t>
  </si>
  <si>
    <t>TXN-100821</t>
  </si>
  <si>
    <t>TXN-102517</t>
  </si>
  <si>
    <t>TXN-101015</t>
  </si>
  <si>
    <t>TXN-101770</t>
  </si>
  <si>
    <t>TXN-101247</t>
  </si>
  <si>
    <t>TXN-101496</t>
  </si>
  <si>
    <t>TXN-102296</t>
  </si>
  <si>
    <t>TXN-102364</t>
  </si>
  <si>
    <t>TXN-101269</t>
  </si>
  <si>
    <t>TXN-101356</t>
  </si>
  <si>
    <t>TXN-101144</t>
  </si>
  <si>
    <t>TXN-100773</t>
  </si>
  <si>
    <t>TXN-100623</t>
  </si>
  <si>
    <t>TXN-100177</t>
  </si>
  <si>
    <t>TXN-100102</t>
  </si>
  <si>
    <t>TXN-101731</t>
  </si>
  <si>
    <t>TXN-102431</t>
  </si>
  <si>
    <t>TXN-101550</t>
  </si>
  <si>
    <t>TXN-102160</t>
  </si>
  <si>
    <t>TXN-100081</t>
  </si>
  <si>
    <t>TXN-101848</t>
  </si>
  <si>
    <t>TXN-102595</t>
  </si>
  <si>
    <t>TXN-100264</t>
  </si>
  <si>
    <t>TXN-101933</t>
  </si>
  <si>
    <t>TXN-101446</t>
  </si>
  <si>
    <t>TXN-100541</t>
  </si>
  <si>
    <t>TXN-100683</t>
  </si>
  <si>
    <t>TXN-101637</t>
  </si>
  <si>
    <t>TXN-102318</t>
  </si>
  <si>
    <t>TXN-101263</t>
  </si>
  <si>
    <t>TXN-102098</t>
  </si>
  <si>
    <t>TXN-102297</t>
  </si>
  <si>
    <t>TXN-102130</t>
  </si>
  <si>
    <t>TXN-101944</t>
  </si>
  <si>
    <t>TXN-101950</t>
  </si>
  <si>
    <t>TXN-101014</t>
  </si>
  <si>
    <t>TXN-100188</t>
  </si>
  <si>
    <t>TXN-100426</t>
  </si>
  <si>
    <t>TXN-101448</t>
  </si>
  <si>
    <t>TXN-101497</t>
  </si>
  <si>
    <t>TXN-100492</t>
  </si>
  <si>
    <t>TXN-100794</t>
  </si>
  <si>
    <t>TXN-101588</t>
  </si>
  <si>
    <t>TXN-101035</t>
  </si>
  <si>
    <t>TXN-100497</t>
  </si>
  <si>
    <t>TXN-102219</t>
  </si>
  <si>
    <t>TXN-100517</t>
  </si>
  <si>
    <t>TXN-101826</t>
  </si>
  <si>
    <t>TXN-101209</t>
  </si>
  <si>
    <t>TXN-100581</t>
  </si>
  <si>
    <t>TXN-100221</t>
  </si>
  <si>
    <t>TXN-100383</t>
  </si>
  <si>
    <t>TXN-100183</t>
  </si>
  <si>
    <t>TXN-101008</t>
  </si>
  <si>
    <t>TXN-102165</t>
  </si>
  <si>
    <t>TXN-101437</t>
  </si>
  <si>
    <t>TXN-101909</t>
  </si>
  <si>
    <t>TXN-101040</t>
  </si>
  <si>
    <t>TXN-102408</t>
  </si>
  <si>
    <t>TXN-102254</t>
  </si>
  <si>
    <t>TXN-101622</t>
  </si>
  <si>
    <t>TXN-101456</t>
  </si>
  <si>
    <t>TXN-101895</t>
  </si>
  <si>
    <t>TXN-100689</t>
  </si>
  <si>
    <t>TXN-102237</t>
  </si>
  <si>
    <t>TXN-101415</t>
  </si>
  <si>
    <t>TXN-101672</t>
  </si>
  <si>
    <t>TXN-102396</t>
  </si>
  <si>
    <t>TXN-102406</t>
  </si>
  <si>
    <t>TXN-100276</t>
  </si>
  <si>
    <t>TXN-102371</t>
  </si>
  <si>
    <t>TXN-101190</t>
  </si>
  <si>
    <t>TXN-101643</t>
  </si>
  <si>
    <t>TXN-100019</t>
  </si>
  <si>
    <t>TXN-102182</t>
  </si>
  <si>
    <t>TXN-101519</t>
  </si>
  <si>
    <t>TXN-100813</t>
  </si>
  <si>
    <t>TXN-101753</t>
  </si>
  <si>
    <t>TXN-100090</t>
  </si>
  <si>
    <t>TXN-102575</t>
  </si>
  <si>
    <t>TXN-101332</t>
  </si>
  <si>
    <t>TXN-102519</t>
  </si>
  <si>
    <t>TXN-101183</t>
  </si>
  <si>
    <t>TXN-100235</t>
  </si>
  <si>
    <t>TXN-102358</t>
  </si>
  <si>
    <t>TXN-100686</t>
  </si>
  <si>
    <t>TXN-101751</t>
  </si>
  <si>
    <t>TXN-101353</t>
  </si>
  <si>
    <t>TXN-100863</t>
  </si>
  <si>
    <t>TXN-101688</t>
  </si>
  <si>
    <t>TXN-101749</t>
  </si>
  <si>
    <t>TXN-102106</t>
  </si>
  <si>
    <t>TXN-102209</t>
  </si>
  <si>
    <t>TXN-100044</t>
  </si>
  <si>
    <t>TXN-101662</t>
  </si>
  <si>
    <t>TXN-100028</t>
  </si>
  <si>
    <t>TXN-102407</t>
  </si>
  <si>
    <t>TXN-100530</t>
  </si>
  <si>
    <t>TXN-100181</t>
  </si>
  <si>
    <t>TXN-100261</t>
  </si>
  <si>
    <t>TXN-102434</t>
  </si>
  <si>
    <t>TXN-102168</t>
  </si>
  <si>
    <t>TXN-101963</t>
  </si>
  <si>
    <t>TXN-101693</t>
  </si>
  <si>
    <t>TXN-102066</t>
  </si>
  <si>
    <t>TXN-100778</t>
  </si>
  <si>
    <t>TXN-101469</t>
  </si>
  <si>
    <t>TXN-102051</t>
  </si>
  <si>
    <t>TXN-100331</t>
  </si>
  <si>
    <t>TXN-101656</t>
  </si>
  <si>
    <t>TXN-100751</t>
  </si>
  <si>
    <t>TXN-100036</t>
  </si>
  <si>
    <t>TXN-100545</t>
  </si>
  <si>
    <t>TXN-100589</t>
  </si>
  <si>
    <t>TXN-102124</t>
  </si>
  <si>
    <t>TXN-100481</t>
  </si>
  <si>
    <t>TXN-101074</t>
  </si>
  <si>
    <t>TXN-100774</t>
  </si>
  <si>
    <t>TXN-102069</t>
  </si>
  <si>
    <t>TXN-102210</t>
  </si>
  <si>
    <t>TXN-102375</t>
  </si>
  <si>
    <t>TXN-100933</t>
  </si>
  <si>
    <t>TXN-100825</t>
  </si>
  <si>
    <t>TXN-100817</t>
  </si>
  <si>
    <t>TXN-102208</t>
  </si>
  <si>
    <t>TXN-100890</t>
  </si>
  <si>
    <t>TXN-100748</t>
  </si>
  <si>
    <t>TXN-100771</t>
  </si>
  <si>
    <t>TXN-101404</t>
  </si>
  <si>
    <t>TXN-101926</t>
  </si>
  <si>
    <t>TXN-101646</t>
  </si>
  <si>
    <t>TXN-100875</t>
  </si>
  <si>
    <t>TXN-100193</t>
  </si>
  <si>
    <t>TXN-101612</t>
  </si>
  <si>
    <t>TXN-100916</t>
  </si>
  <si>
    <t>TXN-101202</t>
  </si>
  <si>
    <t>TXN-100715</t>
  </si>
  <si>
    <t>TXN-101419</t>
  </si>
  <si>
    <t>TXN-101392</t>
  </si>
  <si>
    <t>TXN-102503</t>
  </si>
  <si>
    <t>TXN-100595</t>
  </si>
  <si>
    <t>TXN-100605</t>
  </si>
  <si>
    <t>TXN-100397</t>
  </si>
  <si>
    <t>TXN-100289</t>
  </si>
  <si>
    <t>TXN-101601</t>
  </si>
  <si>
    <t>TXN-100290</t>
  </si>
  <si>
    <t>TXN-100099</t>
  </si>
  <si>
    <t>TXN-101552</t>
  </si>
  <si>
    <t>TXN-101866</t>
  </si>
  <si>
    <t>TXN-101828</t>
  </si>
  <si>
    <t>TXN-101958</t>
  </si>
  <si>
    <t>TXN-101639</t>
  </si>
  <si>
    <t>TXN-102356</t>
  </si>
  <si>
    <t>TXN-102107</t>
  </si>
  <si>
    <t>TXN-101732</t>
  </si>
  <si>
    <t>TXN-100799</t>
  </si>
  <si>
    <t>TXN-101033</t>
  </si>
  <si>
    <t>TXN-102052</t>
  </si>
  <si>
    <t>TXN-100263</t>
  </si>
  <si>
    <t>TXN-100654</t>
  </si>
  <si>
    <t>TXN-102455</t>
  </si>
  <si>
    <t>TXN-101507</t>
  </si>
  <si>
    <t>TXN-102050</t>
  </si>
  <si>
    <t>TXN-100248</t>
  </si>
  <si>
    <t>TXN-100238</t>
  </si>
  <si>
    <t>TXN-100934</t>
  </si>
  <si>
    <t>TXN-100961</t>
  </si>
  <si>
    <t>TXN-101659</t>
  </si>
  <si>
    <t>TXN-101499</t>
  </si>
  <si>
    <t>TXN-102567</t>
  </si>
  <si>
    <t>TXN-101505</t>
  </si>
  <si>
    <t>TXN-100459</t>
  </si>
  <si>
    <t>TXN-100936</t>
  </si>
  <si>
    <t>TXN-102549</t>
  </si>
  <si>
    <t>TXN-101777</t>
  </si>
  <si>
    <t>TXN-100967</t>
  </si>
  <si>
    <t>TXN-102054</t>
  </si>
  <si>
    <t>TXN-101668</t>
  </si>
  <si>
    <t>TXN-101902</t>
  </si>
  <si>
    <t>TXN-102548</t>
  </si>
  <si>
    <t>TXN-102348</t>
  </si>
  <si>
    <t>TXN-102459</t>
  </si>
  <si>
    <t>TXN-102360</t>
  </si>
  <si>
    <t>TXN-101318</t>
  </si>
  <si>
    <t>TXN-101474</t>
  </si>
  <si>
    <t>TXN-100615</t>
  </si>
  <si>
    <t>TXN-101227</t>
  </si>
  <si>
    <t>TXN-100258</t>
  </si>
  <si>
    <t>TXN-100656</t>
  </si>
  <si>
    <t>TXN-102122</t>
  </si>
  <si>
    <t>TXN-101380</t>
  </si>
  <si>
    <t>TXN-102314</t>
  </si>
  <si>
    <t>TXN-100143</t>
  </si>
  <si>
    <t>TXN-101847</t>
  </si>
  <si>
    <t>TXN-101465</t>
  </si>
  <si>
    <t>TXN-102480</t>
  </si>
  <si>
    <t>TXN-101148</t>
  </si>
  <si>
    <t>TXN-102339</t>
  </si>
  <si>
    <t>TXN-100881</t>
  </si>
  <si>
    <t>TXN-102015</t>
  </si>
  <si>
    <t>TXN-102221</t>
  </si>
  <si>
    <t>TXN-100367</t>
  </si>
  <si>
    <t>TXN-100947</t>
  </si>
  <si>
    <t>TXN-100323</t>
  </si>
  <si>
    <t>TXN-101876</t>
  </si>
  <si>
    <t>TXN-101653</t>
  </si>
  <si>
    <t>TXN-101056</t>
  </si>
  <si>
    <t>TXN-101468</t>
  </si>
  <si>
    <t>TXN-100014</t>
  </si>
  <si>
    <t>TXN-102585</t>
  </si>
  <si>
    <t>TXN-102102</t>
  </si>
  <si>
    <t>TXN-100427</t>
  </si>
  <si>
    <t>TXN-102402</t>
  </si>
  <si>
    <t>TXN-102153</t>
  </si>
  <si>
    <t>TXN-101123</t>
  </si>
  <si>
    <t>TXN-101638</t>
  </si>
  <si>
    <t>TXN-100872</t>
  </si>
  <si>
    <t>TXN-100549</t>
  </si>
  <si>
    <t>TXN-101285</t>
  </si>
  <si>
    <t>TXN-101534</t>
  </si>
  <si>
    <t>TXN-100137</t>
  </si>
  <si>
    <t>TXN-100089</t>
  </si>
  <si>
    <t>TXN-101146</t>
  </si>
  <si>
    <t>TXN-102544</t>
  </si>
  <si>
    <t>TXN-100988</t>
  </si>
  <si>
    <t>TXN-100959</t>
  </si>
  <si>
    <t>TXN-101648</t>
  </si>
  <si>
    <t>TXN-100291</t>
  </si>
  <si>
    <t>TXN-101485</t>
  </si>
  <si>
    <t>TXN-101459</t>
  </si>
  <si>
    <t>TXN-102338</t>
  </si>
  <si>
    <t>TXN-100579</t>
  </si>
  <si>
    <t>TXN-100335</t>
  </si>
  <si>
    <t>TXN-101794</t>
  </si>
  <si>
    <t>TXN-101216</t>
  </si>
  <si>
    <t>TXN-101587</t>
  </si>
  <si>
    <t>TXN-100507</t>
  </si>
  <si>
    <t>TXN-101891</t>
  </si>
  <si>
    <t>TXN-100747</t>
  </si>
  <si>
    <t>TXN-102032</t>
  </si>
  <si>
    <t>TXN-101536</t>
  </si>
  <si>
    <t>TXN-102193</t>
  </si>
  <si>
    <t>TXN-102301</t>
  </si>
  <si>
    <t>TXN-102070</t>
  </si>
  <si>
    <t>TXN-102026</t>
  </si>
  <si>
    <t>TXN-100865</t>
  </si>
  <si>
    <t>TXN-100713</t>
  </si>
  <si>
    <t>TXN-102249</t>
  </si>
  <si>
    <t>TXN-101488</t>
  </si>
  <si>
    <t>TXN-101728</t>
  </si>
  <si>
    <t>TXN-100731</t>
  </si>
  <si>
    <t>TXN-100524</t>
  </si>
  <si>
    <t>TXN-100389</t>
  </si>
  <si>
    <t>TXN-100768</t>
  </si>
  <si>
    <t>TXN-102316</t>
  </si>
  <si>
    <t>TXN-101099</t>
  </si>
  <si>
    <t>TXN-100682</t>
  </si>
  <si>
    <t>TXN-100058</t>
  </si>
  <si>
    <t>TXN-101767</t>
  </si>
  <si>
    <t>TXN-102110</t>
  </si>
  <si>
    <t>TXN-100976</t>
  </si>
  <si>
    <t>TXN-102479</t>
  </si>
  <si>
    <t>TXN-100848</t>
  </si>
  <si>
    <t>TXN-101807</t>
  </si>
  <si>
    <t>TXN-100408</t>
  </si>
  <si>
    <t>TXN-102515</t>
  </si>
  <si>
    <t>TXN-102240</t>
  </si>
  <si>
    <t>TXN-101845</t>
  </si>
  <si>
    <t>TXN-100730</t>
  </si>
  <si>
    <t>TXN-100899</t>
  </si>
  <si>
    <t>TXN-100790</t>
  </si>
  <si>
    <t>TXN-100963</t>
  </si>
  <si>
    <t>TXN-102531</t>
  </si>
  <si>
    <t>TXN-101165</t>
  </si>
  <si>
    <t>TXN-100175</t>
  </si>
  <si>
    <t>TXN-101860</t>
  </si>
  <si>
    <t>TXN-100866</t>
  </si>
  <si>
    <t>TXN-101060</t>
  </si>
  <si>
    <t>TXN-100869</t>
  </si>
  <si>
    <t>TXN-102462</t>
  </si>
  <si>
    <t>TXN-102405</t>
  </si>
  <si>
    <t>TXN-100750</t>
  </si>
  <si>
    <t>TXN-100219</t>
  </si>
  <si>
    <t>TXN-101412</t>
  </si>
  <si>
    <t>TXN-102319</t>
  </si>
  <si>
    <t>TXN-101329</t>
  </si>
  <si>
    <t>TXN-100991</t>
  </si>
  <si>
    <t>TXN-101737</t>
  </si>
  <si>
    <t>TXN-101361</t>
  </si>
  <si>
    <t>TXN-101145</t>
  </si>
  <si>
    <t>TXN-101080</t>
  </si>
  <si>
    <t>TXN-102615</t>
  </si>
  <si>
    <t>CUST-9305</t>
  </si>
  <si>
    <t>TXN-100948</t>
  </si>
  <si>
    <t>TXN-102151</t>
  </si>
  <si>
    <t>TXN-100077</t>
  </si>
  <si>
    <t>TXN-101246</t>
  </si>
  <si>
    <t>TXN-102448</t>
  </si>
  <si>
    <t>TXN-101532</t>
  </si>
  <si>
    <t>TXN-102173</t>
  </si>
  <si>
    <t>TXN-102248</t>
  </si>
  <si>
    <t>TXN-100924</t>
  </si>
  <si>
    <t>TXN-102357</t>
  </si>
  <si>
    <t>TXN-102244</t>
  </si>
  <si>
    <t>TXN-102058</t>
  </si>
  <si>
    <t>TXN-102307</t>
  </si>
  <si>
    <t>TXN-100782</t>
  </si>
  <si>
    <t>TXN-100651</t>
  </si>
  <si>
    <t>TXN-101058</t>
  </si>
  <si>
    <t>TXN-100826</t>
  </si>
  <si>
    <t>TXN-102150</t>
  </si>
  <si>
    <t>TXN-101483</t>
  </si>
  <si>
    <t>TXN-101310</t>
  </si>
  <si>
    <t>TXN-101279</t>
  </si>
  <si>
    <t>TXN-100087</t>
  </si>
  <si>
    <t>TXN-101527</t>
  </si>
  <si>
    <t>TXN-101408</t>
  </si>
  <si>
    <t>TXN-101036</t>
  </si>
  <si>
    <t>TXN-100722</t>
  </si>
  <si>
    <t>TXN-102000</t>
  </si>
  <si>
    <t>TXN-100939</t>
  </si>
  <si>
    <t>TXN-100636</t>
  </si>
  <si>
    <t>TXN-100978</t>
  </si>
  <si>
    <t>TXN-101832</t>
  </si>
  <si>
    <t>TXN-101323</t>
  </si>
  <si>
    <t>TXN-101055</t>
  </si>
  <si>
    <t>TXN-101645</t>
  </si>
  <si>
    <t>TXN-101665</t>
  </si>
  <si>
    <t>TXN-101341</t>
  </si>
  <si>
    <t>TXN-101300</t>
  </si>
  <si>
    <t>TXN-102400</t>
  </si>
  <si>
    <t>TXN-102147</t>
  </si>
  <si>
    <t>TXN-100677</t>
  </si>
  <si>
    <t>TXN-100438</t>
  </si>
  <si>
    <t>TXN-100156</t>
  </si>
  <si>
    <t>TXN-102350</t>
  </si>
  <si>
    <t>TXN-101043</t>
  </si>
  <si>
    <t>TXN-101827</t>
  </si>
  <si>
    <t>TXN-101442</t>
  </si>
  <si>
    <t>TXN-102568</t>
  </si>
  <si>
    <t>TXN-101629</t>
  </si>
  <si>
    <t>TXN-100496</t>
  </si>
  <si>
    <t>TXN-100557</t>
  </si>
  <si>
    <t>TXN-101382</t>
  </si>
  <si>
    <t>TXN-102021</t>
  </si>
  <si>
    <t>TXN-102002</t>
  </si>
  <si>
    <t>TXN-100140</t>
  </si>
  <si>
    <t>TXN-102233</t>
  </si>
  <si>
    <t>TXN-102161</t>
  </si>
  <si>
    <t>TXN-101438</t>
  </si>
  <si>
    <t>TXN-100074</t>
  </si>
  <si>
    <t>TXN-101309</t>
  </si>
  <si>
    <t>TXN-101447</t>
  </si>
  <si>
    <t>TXN-101651</t>
  </si>
  <si>
    <t>TXN-100444</t>
  </si>
  <si>
    <t>TXN-101894</t>
  </si>
  <si>
    <t>TXN-101108</t>
  </si>
  <si>
    <t>TXN-101757</t>
  </si>
  <si>
    <t>TXN-101316</t>
  </si>
  <si>
    <t>TXN-102445</t>
  </si>
  <si>
    <t>TXN-101700</t>
  </si>
  <si>
    <t>TXN-100974</t>
  </si>
  <si>
    <t>TXN-101579</t>
  </si>
  <si>
    <t>TXN-100802</t>
  </si>
  <si>
    <t>TXN-102125</t>
  </si>
  <si>
    <t>TXN-100680</t>
  </si>
  <si>
    <t>TXN-102027</t>
  </si>
  <si>
    <t>TXN-102422</t>
  </si>
  <si>
    <t>TXN-100002</t>
  </si>
  <si>
    <t>TXN-101338</t>
  </si>
  <si>
    <t>TXN-102129</t>
  </si>
  <si>
    <t>TXN-100767</t>
  </si>
  <si>
    <t>TXN-102476</t>
  </si>
  <si>
    <t>TXN-101155</t>
  </si>
  <si>
    <t>TXN-101508</t>
  </si>
  <si>
    <t>TXN-100757</t>
  </si>
  <si>
    <t>TXN-101844</t>
  </si>
  <si>
    <t>TXN-102554</t>
  </si>
  <si>
    <t>TXN-102159</t>
  </si>
  <si>
    <t>TXN-100385</t>
  </si>
  <si>
    <t>TXN-100233</t>
  </si>
  <si>
    <t>TXN-101517</t>
  </si>
  <si>
    <t>TXN-102325</t>
  </si>
  <si>
    <t>TXN-102500</t>
  </si>
  <si>
    <t>TXN-102467</t>
  </si>
  <si>
    <t>TXN-100759</t>
  </si>
  <si>
    <t>TXN-101152</t>
  </si>
  <si>
    <t>TXN-101564</t>
  </si>
  <si>
    <t>TXN-102312</t>
  </si>
  <si>
    <t>TXN-101919</t>
  </si>
  <si>
    <t>TXN-100891</t>
  </si>
  <si>
    <t>TXN-101708</t>
  </si>
  <si>
    <t>TXN-102429</t>
  </si>
  <si>
    <t>TXN-102377</t>
  </si>
  <si>
    <t>TXN-101982</t>
  </si>
  <si>
    <t>TXN-100688</t>
  </si>
  <si>
    <t>TXN-102588</t>
  </si>
  <si>
    <t>TXN-101449</t>
  </si>
  <si>
    <t>TXN-100424</t>
  </si>
  <si>
    <t>TXN-101686</t>
  </si>
  <si>
    <t>TXN-102251</t>
  </si>
  <si>
    <t>TXN-102117</t>
  </si>
  <si>
    <t>TXN-100831</t>
  </si>
  <si>
    <t>TXN-101968</t>
  </si>
  <si>
    <t>TXN-101107</t>
  </si>
  <si>
    <t>TXN-101416</t>
  </si>
  <si>
    <t>TXN-102612</t>
  </si>
  <si>
    <t>CUST-9197</t>
  </si>
  <si>
    <t>TXN-101044</t>
  </si>
  <si>
    <t>TXN-102505</t>
  </si>
  <si>
    <t>TXN-100781</t>
  </si>
  <si>
    <t>TXN-102601</t>
  </si>
  <si>
    <t>CUST-9146</t>
  </si>
  <si>
    <t>TXN-101992</t>
  </si>
  <si>
    <t>TXN-101793</t>
  </si>
  <si>
    <t>TXN-100867</t>
  </si>
  <si>
    <t>TXN-100436</t>
  </si>
  <si>
    <t>TXN-102156</t>
  </si>
  <si>
    <t>TXN-101113</t>
  </si>
  <si>
    <t>TXN-100519</t>
  </si>
  <si>
    <t>TXN-101979</t>
  </si>
  <si>
    <t>TXN-100550</t>
  </si>
  <si>
    <t>TXN-101031</t>
  </si>
  <si>
    <t>TXN-100599</t>
  </si>
  <si>
    <t>TXN-102486</t>
  </si>
  <si>
    <t>TXN-100101</t>
  </si>
  <si>
    <t>TXN-100056</t>
  </si>
  <si>
    <t>TXN-100311</t>
  </si>
  <si>
    <t>TXN-102333</t>
  </si>
  <si>
    <t>TXN-101778</t>
  </si>
  <si>
    <t>TXN-100232</t>
  </si>
  <si>
    <t>TXN-101544</t>
  </si>
  <si>
    <t>TXN-102228</t>
  </si>
  <si>
    <t>TXN-100874</t>
  </si>
  <si>
    <t>TXN-101066</t>
  </si>
  <si>
    <t>TXN-100288</t>
  </si>
  <si>
    <t>TXN-102320</t>
  </si>
  <si>
    <t>TXN-102498</t>
  </si>
  <si>
    <t>TXN-101291</t>
  </si>
  <si>
    <t>TXN-101593</t>
  </si>
  <si>
    <t>TXN-100404</t>
  </si>
  <si>
    <t>TXN-100810</t>
  </si>
  <si>
    <t>TXN-100025</t>
  </si>
  <si>
    <t>TXN-101760</t>
  </si>
  <si>
    <t>TXN-100820</t>
  </si>
  <si>
    <t>TXN-101627</t>
  </si>
  <si>
    <t>TXN-102395</t>
  </si>
  <si>
    <t>TXN-101470</t>
  </si>
  <si>
    <t>TXN-101855</t>
  </si>
  <si>
    <t>TXN-100649</t>
  </si>
  <si>
    <t>TXN-100553</t>
  </si>
  <si>
    <t>TXN-101441</t>
  </si>
  <si>
    <t>TXN-101431</t>
  </si>
  <si>
    <t>TXN-101585</t>
  </si>
  <si>
    <t>TXN-100115</t>
  </si>
  <si>
    <t>TXN-101421</t>
  </si>
  <si>
    <t>TXN-102343</t>
  </si>
  <si>
    <t>TXN-102273</t>
  </si>
  <si>
    <t>TXN-101322</t>
  </si>
  <si>
    <t>TXN-100911</t>
  </si>
  <si>
    <t>TXN-100396</t>
  </si>
  <si>
    <t>TXN-100498</t>
  </si>
  <si>
    <t>TXN-100295</t>
  </si>
  <si>
    <t>TXN-101394</t>
  </si>
  <si>
    <t>TXN-102203</t>
  </si>
  <si>
    <t>TXN-102461</t>
  </si>
  <si>
    <t>TXN-101917</t>
  </si>
  <si>
    <t>TXN-100192</t>
  </si>
  <si>
    <t>TXN-100275</t>
  </si>
  <si>
    <t>TXN-101085</t>
  </si>
  <si>
    <t>TXN-101252</t>
  </si>
  <si>
    <t>TXN-101331</t>
  </si>
  <si>
    <t>TXN-100472</t>
  </si>
  <si>
    <t>TXN-102185</t>
  </si>
  <si>
    <t>TXN-101744</t>
  </si>
  <si>
    <t>TXN-102440</t>
  </si>
  <si>
    <t>TXN-102257</t>
  </si>
  <si>
    <t>TXN-101343</t>
  </si>
  <si>
    <t>TXN-101430</t>
  </si>
  <si>
    <t>TXN-102388</t>
  </si>
  <si>
    <t>TXN-101065</t>
  </si>
  <si>
    <t>TXN-100239</t>
  </si>
  <si>
    <t>TXN-101887</t>
  </si>
  <si>
    <t>TXN-100281</t>
  </si>
  <si>
    <t>TXN-100950</t>
  </si>
  <si>
    <t>TXN-101162</t>
  </si>
  <si>
    <t>TXN-101481</t>
  </si>
  <si>
    <t>TXN-102410</t>
  </si>
  <si>
    <t>TXN-100707</t>
  </si>
  <si>
    <t>TXN-100588</t>
  </si>
  <si>
    <t>TXN-100013</t>
  </si>
  <si>
    <t>TXN-101432</t>
  </si>
  <si>
    <t>TXN-101495</t>
  </si>
  <si>
    <t>TXN-101369</t>
  </si>
  <si>
    <t>TXN-101797</t>
  </si>
  <si>
    <t>TXN-101413</t>
  </si>
  <si>
    <t>TXN-102537</t>
  </si>
  <si>
    <t>TXN-100946</t>
  </si>
  <si>
    <t>TXN-101011</t>
  </si>
  <si>
    <t>TXN-101636</t>
  </si>
  <si>
    <t>TXN-101800</t>
  </si>
  <si>
    <t>TXN-100302</t>
  </si>
  <si>
    <t>TXN-102078</t>
  </si>
  <si>
    <t>TXN-102300</t>
  </si>
  <si>
    <t>TXN-100761</t>
  </si>
  <si>
    <t>TXN-101997</t>
  </si>
  <si>
    <t>TXN-101681</t>
  </si>
  <si>
    <t>TXN-102421</t>
  </si>
  <si>
    <t>TXN-100226</t>
  </si>
  <si>
    <t>TXN-101774</t>
  </si>
  <si>
    <t>TXN-101948</t>
  </si>
  <si>
    <t>TXN-101685</t>
  </si>
  <si>
    <t>TXN-102075</t>
  </si>
  <si>
    <t>TXN-100552</t>
  </si>
  <si>
    <t>TXN-101403</t>
  </si>
  <si>
    <t>TXN-102140</t>
  </si>
  <si>
    <t>TXN-101915</t>
  </si>
  <si>
    <t>TXN-102494</t>
  </si>
  <si>
    <t>TXN-100903</t>
  </si>
  <si>
    <t>TXN-101258</t>
  </si>
  <si>
    <t>TXN-101595</t>
  </si>
  <si>
    <t>TXN-102215</t>
  </si>
  <si>
    <t>TXN-100655</t>
  </si>
  <si>
    <t>TXN-100474</t>
  </si>
  <si>
    <t>TXN-101224</t>
  </si>
  <si>
    <t>TXN-100368</t>
  </si>
  <si>
    <t>TXN-101856</t>
  </si>
  <si>
    <t>TXN-101457</t>
  </si>
  <si>
    <t>TXN-100856</t>
  </si>
  <si>
    <t>TXN-100917</t>
  </si>
  <si>
    <t>TXN-101538</t>
  </si>
  <si>
    <t>TXN-101920</t>
  </si>
  <si>
    <t>TXN-101569</t>
  </si>
  <si>
    <t>TXN-100864</t>
  </si>
  <si>
    <t>TXN-100112</t>
  </si>
  <si>
    <t>TXN-101377</t>
  </si>
  <si>
    <t>TXN-101842</t>
  </si>
  <si>
    <t>TXN-100225</t>
  </si>
  <si>
    <t>TXN-100684</t>
  </si>
  <si>
    <t>TXN-101094</t>
  </si>
  <si>
    <t>TXN-100785</t>
  </si>
  <si>
    <t>TXN-100670</t>
  </si>
  <si>
    <t>TXN-100858</t>
  </si>
  <si>
    <t>TXN-102583</t>
  </si>
  <si>
    <t>TXN-100266</t>
  </si>
  <si>
    <t>TXN-102420</t>
  </si>
  <si>
    <t>TXN-100847</t>
  </si>
  <si>
    <t>TXN-100012</t>
  </si>
  <si>
    <t>TXN-100645</t>
  </si>
  <si>
    <t>TXN-101723</t>
  </si>
  <si>
    <t>TXN-101281</t>
  </si>
  <si>
    <t>TXN-101763</t>
  </si>
  <si>
    <t>TXN-100629</t>
  </si>
  <si>
    <t>TXN-101703</t>
  </si>
  <si>
    <t>TXN-100247</t>
  </si>
  <si>
    <t>TXN-102285</t>
  </si>
  <si>
    <t>TXN-101451</t>
  </si>
  <si>
    <t>TXN-101812</t>
  </si>
  <si>
    <t>TXN-101184</t>
  </si>
  <si>
    <t>TXN-100571</t>
  </si>
  <si>
    <t>TXN-102321</t>
  </si>
  <si>
    <t>TXN-102540</t>
  </si>
  <si>
    <t>TXN-102536</t>
  </si>
  <si>
    <t>TXN-101206</t>
  </si>
  <si>
    <t>TXN-100602</t>
  </si>
  <si>
    <t>TXN-101048</t>
  </si>
  <si>
    <t>TXN-101814</t>
  </si>
  <si>
    <t>TXN-101084</t>
  </si>
  <si>
    <t>TXN-100533</t>
  </si>
  <si>
    <t>TXN-102386</t>
  </si>
  <si>
    <t>TXN-100962</t>
  </si>
  <si>
    <t>TXN-101257</t>
  </si>
  <si>
    <t>TXN-100791</t>
  </si>
  <si>
    <t>TXN-101539</t>
  </si>
  <si>
    <t>TXN-100644</t>
  </si>
  <si>
    <t>TXN-101966</t>
  </si>
  <si>
    <t>TXN-101378</t>
  </si>
  <si>
    <t>TXN-100749</t>
  </si>
  <si>
    <t>TXN-101002</t>
  </si>
  <si>
    <t>TXN-100510</t>
  </si>
  <si>
    <t>TXN-101631</t>
  </si>
  <si>
    <t>TXN-100708</t>
  </si>
  <si>
    <t>TXN-100648</t>
  </si>
  <si>
    <t>TXN-101973</t>
  </si>
  <si>
    <t>TXN-100375</t>
  </si>
  <si>
    <t>TXN-101000</t>
  </si>
  <si>
    <t>TXN-101996</t>
  </si>
  <si>
    <t>TXN-102195</t>
  </si>
  <si>
    <t>TXN-102004</t>
  </si>
  <si>
    <t>TXN-101712</t>
  </si>
  <si>
    <t>TXN-101625</t>
  </si>
  <si>
    <t>TXN-102246</t>
  </si>
  <si>
    <t>TXN-102457</t>
  </si>
  <si>
    <t>TXN-101874</t>
  </si>
  <si>
    <t>TXN-100600</t>
  </si>
  <si>
    <t>TXN-102529</t>
  </si>
  <si>
    <t>TXN-101788</t>
  </si>
  <si>
    <t>TXN-101769</t>
  </si>
  <si>
    <t>TXN-102606</t>
  </si>
  <si>
    <t>CUST-9491</t>
  </si>
  <si>
    <t>TXN-100724</t>
  </si>
  <si>
    <t>TXN-100795</t>
  </si>
  <si>
    <t>TXN-100063</t>
  </si>
  <si>
    <t>TXN-101367</t>
  </si>
  <si>
    <t>TXN-100563</t>
  </si>
  <si>
    <t>TXN-102477</t>
  </si>
  <si>
    <t>TXN-100202</t>
  </si>
  <si>
    <t>TXN-100194</t>
  </si>
  <si>
    <t>TXN-100085</t>
  </si>
  <si>
    <t>TXN-101978</t>
  </si>
  <si>
    <t>TXN-101073</t>
  </si>
  <si>
    <t>TXN-100431</t>
  </si>
  <si>
    <t>TXN-100699</t>
  </si>
  <si>
    <t>TXN-101864</t>
  </si>
  <si>
    <t>TXN-101168</t>
  </si>
  <si>
    <t>TXN-100702</t>
  </si>
  <si>
    <t>TXN-100846</t>
  </si>
  <si>
    <t>TXN-101018</t>
  </si>
  <si>
    <t>TXN-101399</t>
  </si>
  <si>
    <t>TXN-101642</t>
  </si>
  <si>
    <t>TXN-100414</t>
  </si>
  <si>
    <t>TXN-101772</t>
  </si>
  <si>
    <t>TXN-101678</t>
  </si>
  <si>
    <t>TXN-101006</t>
  </si>
  <si>
    <t>TXN-100212</t>
  </si>
  <si>
    <t>TXN-100529</t>
  </si>
  <si>
    <t>TXN-101462</t>
  </si>
  <si>
    <t>TXN-101547</t>
  </si>
  <si>
    <t>TXN-100981</t>
  </si>
  <si>
    <t>TXN-100260</t>
  </si>
  <si>
    <t>TXN-100428</t>
  </si>
  <si>
    <t>TXN-101255</t>
  </si>
  <si>
    <t>TXN-101675</t>
  </si>
  <si>
    <t>TXN-100779</t>
  </si>
  <si>
    <t>TXN-102436</t>
  </si>
  <si>
    <t>TXN-101748</t>
  </si>
  <si>
    <t>TXN-101783</t>
  </si>
  <si>
    <t>TXN-101228</t>
  </si>
  <si>
    <t>TXN-101785</t>
  </si>
  <si>
    <t>TXN-100896</t>
  </si>
  <si>
    <t>TXN-100532</t>
  </si>
  <si>
    <t>TXN-102341</t>
  </si>
  <si>
    <t>TXN-102433</t>
  </si>
  <si>
    <t>TXN-102139</t>
  </si>
  <si>
    <t>TXN-101429</t>
  </si>
  <si>
    <t>TXN-101440</t>
  </si>
  <si>
    <t>TXN-101889</t>
  </si>
  <si>
    <t>TXN-100305</t>
  </si>
  <si>
    <t>TXN-101428</t>
  </si>
  <si>
    <t>TXN-102286</t>
  </si>
  <si>
    <t>TXN-101981</t>
  </si>
  <si>
    <t>TXN-101541</t>
  </si>
  <si>
    <t>TXN-101167</t>
  </si>
  <si>
    <t>TXN-101735</t>
  </si>
  <si>
    <t>TXN-101583</t>
  </si>
  <si>
    <t>TXN-100690</t>
  </si>
  <si>
    <t>TXN-100929</t>
  </si>
  <si>
    <t>TXN-101810</t>
  </si>
  <si>
    <t>TXN-101529</t>
  </si>
  <si>
    <t>TXN-100060</t>
  </si>
  <si>
    <t>TXN-100083</t>
  </si>
  <si>
    <t>TXN-102604</t>
  </si>
  <si>
    <t>CUST-9662</t>
  </si>
  <si>
    <t>TXN-100395</t>
  </si>
  <si>
    <t>TXN-101242</t>
  </si>
  <si>
    <t>TXN-102323</t>
  </si>
  <si>
    <t>TXN-101838</t>
  </si>
  <si>
    <t>TXN-100171</t>
  </si>
  <si>
    <t>TXN-100172</t>
  </si>
  <si>
    <t>TXN-101020</t>
  </si>
  <si>
    <t>TXN-100452</t>
  </si>
  <si>
    <t>TXN-100849</t>
  </si>
  <si>
    <t>TXN-100753</t>
  </si>
  <si>
    <t>TXN-102336</t>
  </si>
  <si>
    <t>TXN-101326</t>
  </si>
  <si>
    <t>TXN-100583</t>
  </si>
  <si>
    <t>TXN-101476</t>
  </si>
  <si>
    <t>TXN-101059</t>
  </si>
  <si>
    <t>TXN-101303</t>
  </si>
  <si>
    <t>TXN-101677</t>
  </si>
  <si>
    <t>TXN-102009</t>
  </si>
  <si>
    <t>TXN-100283</t>
  </si>
  <si>
    <t>TXN-100147</t>
  </si>
  <si>
    <t>TXN-100319</t>
  </si>
  <si>
    <t>TXN-101200</t>
  </si>
  <si>
    <t>TXN-100729</t>
  </si>
  <si>
    <t>TXN-101105</t>
  </si>
  <si>
    <t>TXN-100253</t>
  </si>
  <si>
    <t>TXN-100996</t>
  </si>
  <si>
    <t>TXN-101401</t>
  </si>
  <si>
    <t>TXN-100407</t>
  </si>
  <si>
    <t>TXN-101941</t>
  </si>
  <si>
    <t>TXN-100278</t>
  </si>
  <si>
    <t>TXN-101754</t>
  </si>
  <si>
    <t>TXN-100687</t>
  </si>
  <si>
    <t>TXN-100419</t>
  </si>
  <si>
    <t>TXN-100876</t>
  </si>
  <si>
    <t>TXN-101296</t>
  </si>
  <si>
    <t>TXN-102473</t>
  </si>
  <si>
    <t>TXN-102586</t>
  </si>
  <si>
    <t>TXN-101289</t>
  </si>
  <si>
    <t>TXN-100050</t>
  </si>
  <si>
    <t>TXN-102284</t>
  </si>
  <si>
    <t>TXN-101393</t>
  </si>
  <si>
    <t>TXN-102452</t>
  </si>
  <si>
    <t>TXN-101283</t>
  </si>
  <si>
    <t>TXN-100980</t>
  </si>
  <si>
    <t>TXN-100801</t>
  </si>
  <si>
    <t>TXN-100234</t>
  </si>
  <si>
    <t>TXN-101383</t>
  </si>
  <si>
    <t>TXN-100142</t>
  </si>
  <si>
    <t>TXN-100504</t>
  </si>
  <si>
    <t>TXN-100271</t>
  </si>
  <si>
    <t>TXN-100320</t>
  </si>
  <si>
    <t>TXN-100123</t>
  </si>
  <si>
    <t>TXN-101280</t>
  </si>
  <si>
    <t>TXN-101478</t>
  </si>
  <si>
    <t>TXN-102065</t>
  </si>
  <si>
    <t>TXN-100152</t>
  </si>
  <si>
    <t>TXN-101357</t>
  </si>
  <si>
    <t>TXN-100834</t>
  </si>
  <si>
    <t>TXN-102472</t>
  </si>
  <si>
    <t>TXN-102547</t>
  </si>
  <si>
    <t>TXN-100977</t>
  </si>
  <si>
    <t>TXN-100658</t>
  </si>
  <si>
    <t>TXN-101781</t>
  </si>
  <si>
    <t>TXN-101435</t>
  </si>
  <si>
    <t>TXN-102127</t>
  </si>
  <si>
    <t>TXN-102085</t>
  </si>
  <si>
    <t>TXN-101135</t>
  </si>
  <si>
    <t>TXN-102382</t>
  </si>
  <si>
    <t>TXN-102141</t>
  </si>
  <si>
    <t>TXN-101606</t>
  </si>
  <si>
    <t>TXN-101947</t>
  </si>
  <si>
    <t>TXN-100257</t>
  </si>
  <si>
    <t>TXN-100138</t>
  </si>
  <si>
    <t>TXN-101898</t>
  </si>
  <si>
    <t>TXN-101556</t>
  </si>
  <si>
    <t>TXN-101871</t>
  </si>
  <si>
    <t>TXN-100965</t>
  </si>
  <si>
    <t>TXN-102290</t>
  </si>
  <si>
    <t>TXN-101939</t>
  </si>
  <si>
    <t>TXN-100706</t>
  </si>
  <si>
    <t>TXN-101877</t>
  </si>
  <si>
    <t>TXN-100697</t>
  </si>
  <si>
    <t>TXN-101791</t>
  </si>
  <si>
    <t>TXN-101458</t>
  </si>
  <si>
    <t>TXN-100862</t>
  </si>
  <si>
    <t>TXN-100877</t>
  </si>
  <si>
    <t>TXN-102012</t>
  </si>
  <si>
    <t>TXN-100925</t>
  </si>
  <si>
    <t>TXN-101373</t>
  </si>
  <si>
    <t>TXN-100165</t>
  </si>
  <si>
    <t>TXN-100214</t>
  </si>
  <si>
    <t>TXN-101433</t>
  </si>
  <si>
    <t>TXN-101259</t>
  </si>
  <si>
    <t>TXN-102608</t>
  </si>
  <si>
    <t>CUST-9131</t>
  </si>
  <si>
    <t>TXN-100402</t>
  </si>
  <si>
    <t>TXN-100723</t>
  </si>
  <si>
    <t>TXN-101551</t>
  </si>
  <si>
    <t>TXN-101954</t>
  </si>
  <si>
    <t>TXN-101260</t>
  </si>
  <si>
    <t>TXN-100243</t>
  </si>
  <si>
    <t>TXN-102136</t>
  </si>
  <si>
    <t>TXN-101603</t>
  </si>
  <si>
    <t>TXN-100027</t>
  </si>
  <si>
    <t>TXN-102132</t>
  </si>
  <si>
    <t>TXN-102532</t>
  </si>
  <si>
    <t>TXN-101716</t>
  </si>
  <si>
    <t>TXN-102081</t>
  </si>
  <si>
    <t>TXN-102258</t>
  </si>
  <si>
    <t>TXN-102482</t>
  </si>
  <si>
    <t>TXN-100594</t>
  </si>
  <si>
    <t>TXN-101862</t>
  </si>
  <si>
    <t>TXN-100679</t>
  </si>
  <si>
    <t>TXN-100584</t>
  </si>
  <si>
    <t>TXN-102438</t>
  </si>
  <si>
    <t>TXN-101574</t>
  </si>
  <si>
    <t>TXN-102025</t>
  </si>
  <si>
    <t>TXN-101602</t>
  </si>
  <si>
    <t>TXN-100954</t>
  </si>
  <si>
    <t>TXN-100960</t>
  </si>
  <si>
    <t>TXN-101286</t>
  </si>
  <si>
    <t>TXN-101334</t>
  </si>
  <si>
    <t>TXN-102198</t>
  </si>
  <si>
    <t>TXN-101984</t>
  </si>
  <si>
    <t>TXN-100480</t>
  </si>
  <si>
    <t>TXN-101522</t>
  </si>
  <si>
    <t>TXN-100280</t>
  </si>
  <si>
    <t>TXN-100445</t>
  </si>
  <si>
    <t>TXN-102275</t>
  </si>
  <si>
    <t>TXN-102298</t>
  </si>
  <si>
    <t>TXN-100705</t>
  </si>
  <si>
    <t>TXN-102263</t>
  </si>
  <si>
    <t>TXN-102525</t>
  </si>
  <si>
    <t>TXN-102211</t>
  </si>
  <si>
    <t>TXN-100001</t>
  </si>
  <si>
    <t>TXN-100465</t>
  </si>
  <si>
    <t>TXN-100293</t>
  </si>
  <si>
    <t>TXN-101841</t>
  </si>
  <si>
    <t>TXN-101663</t>
  </si>
  <si>
    <t>TXN-101274</t>
  </si>
  <si>
    <t>TXN-100921</t>
  </si>
  <si>
    <t>TXN-101490</t>
  </si>
  <si>
    <t>TXN-102194</t>
  </si>
  <si>
    <t>TXN-100634</t>
  </si>
  <si>
    <t>TXN-102019</t>
  </si>
  <si>
    <t>TXN-100725</t>
  </si>
  <si>
    <t>TXN-102053</t>
  </si>
  <si>
    <t>TXN-101516</t>
  </si>
  <si>
    <t>TXN-101053</t>
  </si>
  <si>
    <t>TXN-100132</t>
  </si>
  <si>
    <t>TXN-102183</t>
  </si>
  <si>
    <t>TXN-102474</t>
  </si>
  <si>
    <t>TXN-100576</t>
  </si>
  <si>
    <t>TXN-101387</t>
  </si>
  <si>
    <t>TXN-102289</t>
  </si>
  <si>
    <t>TXN-102071</t>
  </si>
  <si>
    <t>TXN-102265</t>
  </si>
  <si>
    <t>TXN-100698</t>
  </si>
  <si>
    <t>TXN-101724</t>
  </si>
  <si>
    <t>TXN-102192</t>
  </si>
  <si>
    <t>TXN-100300</t>
  </si>
  <si>
    <t>TXN-100772</t>
  </si>
  <si>
    <t>TXN-101956</t>
  </si>
  <si>
    <t>TXN-102504</t>
  </si>
  <si>
    <t>TXN-100700</t>
  </si>
  <si>
    <t>TXN-102598</t>
  </si>
  <si>
    <t>TXN-101192</t>
  </si>
  <si>
    <t>TXN-101965</t>
  </si>
  <si>
    <t>TXN-100045</t>
  </si>
  <si>
    <t>TXN-102404</t>
  </si>
  <si>
    <t>TXN-102162</t>
  </si>
  <si>
    <t>TXN-100005</t>
  </si>
  <si>
    <t>TXN-100127</t>
  </si>
  <si>
    <t>TXN-101237</t>
  </si>
  <si>
    <t>TXN-100174</t>
  </si>
  <si>
    <t>TXN-100998</t>
  </si>
  <si>
    <t>TXN-101928</t>
  </si>
  <si>
    <t>TXN-102559</t>
  </si>
  <si>
    <t>TXN-100463</t>
  </si>
  <si>
    <t>TXN-102372</t>
  </si>
  <si>
    <t>TXN-100766</t>
  </si>
  <si>
    <t>TXN-100434</t>
  </si>
  <si>
    <t>TXN-102216</t>
  </si>
  <si>
    <t>TXN-101317</t>
  </si>
  <si>
    <t>TXN-100491</t>
  </si>
  <si>
    <t>TXN-101181</t>
  </si>
  <si>
    <t>TXN-100218</t>
  </si>
  <si>
    <t>TXN-100100</t>
  </si>
  <si>
    <t>TXN-101199</t>
  </si>
  <si>
    <t>TXN-101376</t>
  </si>
  <si>
    <t>TXN-100196</t>
  </si>
  <si>
    <t>TXN-100857</t>
  </si>
  <si>
    <t>TXN-101908</t>
  </si>
  <si>
    <t>TXN-100310</t>
  </si>
  <si>
    <t>TXN-100379</t>
  </si>
  <si>
    <t>TXN-100016</t>
  </si>
  <si>
    <t>TXN-100734</t>
  </si>
  <si>
    <t>TXN-102594</t>
  </si>
  <si>
    <t>TXN-101598</t>
  </si>
  <si>
    <t>TXN-101089</t>
  </si>
  <si>
    <t>TXN-101946</t>
  </si>
  <si>
    <t>TXN-102365</t>
  </si>
  <si>
    <t>TXN-101025</t>
  </si>
  <si>
    <t>TXN-102253</t>
  </si>
  <si>
    <t>TXN-101201</t>
  </si>
  <si>
    <t>TXN-102126</t>
  </si>
  <si>
    <t>TXN-101719</t>
  </si>
  <si>
    <t>TXN-100442</t>
  </si>
  <si>
    <t>TXN-100068</t>
  </si>
  <si>
    <t>TXN-101540</t>
  </si>
  <si>
    <t>TXN-101679</t>
  </si>
  <si>
    <t>TXN-102038</t>
  </si>
  <si>
    <t>TXN-101998</t>
  </si>
  <si>
    <t>TXN-100812</t>
  </si>
  <si>
    <t>TXN-100011</t>
  </si>
  <si>
    <t>TXN-102013</t>
  </si>
  <si>
    <t>TXN-102322</t>
  </si>
  <si>
    <t>TXN-102478</t>
  </si>
  <si>
    <t>TXN-101238</t>
  </si>
  <si>
    <t>TXN-102513</t>
  </si>
  <si>
    <t>TXN-100832</t>
  </si>
  <si>
    <t>TXN-101843</t>
  </si>
  <si>
    <t>TXN-100361</t>
  </si>
  <si>
    <t>TXN-101210</t>
  </si>
  <si>
    <t>TXN-100494</t>
  </si>
  <si>
    <t>TXN-101402</t>
  </si>
  <si>
    <t>TXN-100736</t>
  </si>
  <si>
    <t>TXN-100245</t>
  </si>
  <si>
    <t>TXN-101964</t>
  </si>
  <si>
    <t>TXN-102444</t>
  </si>
  <si>
    <t>TXN-101576</t>
  </si>
  <si>
    <t>TXN-101900</t>
  </si>
  <si>
    <t>TXN-100994</t>
  </si>
  <si>
    <t>TXN-100835</t>
  </si>
  <si>
    <t>TXN-100179</t>
  </si>
  <si>
    <t>TXN-100619</t>
  </si>
  <si>
    <t>TXN-100055</t>
  </si>
  <si>
    <t>TXN-100269</t>
  </si>
  <si>
    <t>TXN-101699</t>
  </si>
  <si>
    <t>TXN-100285</t>
  </si>
  <si>
    <t>TXN-102028</t>
  </si>
  <si>
    <t>TXN-100322</t>
  </si>
  <si>
    <t>TXN-101949</t>
  </si>
  <si>
    <t>TXN-100606</t>
  </si>
  <si>
    <t>TXN-100995</t>
  </si>
  <si>
    <t>TXN-100204</t>
  </si>
  <si>
    <t>TXN-100324</t>
  </si>
  <si>
    <t>TXN-100907</t>
  </si>
  <si>
    <t>TXN-100186</t>
  </si>
  <si>
    <t>TXN-102385</t>
  </si>
  <si>
    <t>TXN-101265</t>
  </si>
  <si>
    <t>TXN-101414</t>
  </si>
  <si>
    <t>TXN-101806</t>
  </si>
  <si>
    <t>TXN-101854</t>
  </si>
  <si>
    <t>TXN-102361</t>
  </si>
  <si>
    <t>TXN-100804</t>
  </si>
  <si>
    <t>TXN-100892</t>
  </si>
  <si>
    <t>TXN-101240</t>
  </si>
  <si>
    <t>TXN-100287</t>
  </si>
  <si>
    <t>TXN-101697</t>
  </si>
  <si>
    <t>TXN-101868</t>
  </si>
  <si>
    <t>TXN-100042</t>
  </si>
  <si>
    <t>TXN-100573</t>
  </si>
  <si>
    <t>TXN-102558</t>
  </si>
  <si>
    <t>TXN-100464</t>
  </si>
  <si>
    <t>TXN-100793</t>
  </si>
  <si>
    <t>TXN-102146</t>
  </si>
  <si>
    <t>TXN-100286</t>
  </si>
  <si>
    <t>TXN-101888</t>
  </si>
  <si>
    <t>TXN-101102</t>
  </si>
  <si>
    <t>TXN-101311</t>
  </si>
  <si>
    <t>TXN-100660</t>
  </si>
  <si>
    <t>TXN-100170</t>
  </si>
  <si>
    <t>TXN-101738</t>
  </si>
  <si>
    <t>TXN-102217</t>
  </si>
  <si>
    <t>TXN-101907</t>
  </si>
  <si>
    <t>TXN-100372</t>
  </si>
  <si>
    <t>TXN-100735</t>
  </si>
  <si>
    <t>TXN-102176</t>
  </si>
  <si>
    <t>TXN-101229</t>
  </si>
  <si>
    <t>TXN-101384</t>
  </si>
  <si>
    <t>TXN-102024</t>
  </si>
  <si>
    <t>TXN-101628</t>
  </si>
  <si>
    <t>TXN-101271</t>
  </si>
  <si>
    <t>TXN-100296</t>
  </si>
  <si>
    <t>TXN-102592</t>
  </si>
  <si>
    <t>TXN-100454</t>
  </si>
  <si>
    <t>TXN-100437</t>
  </si>
  <si>
    <t>TXN-101563</t>
  </si>
  <si>
    <t>TXN-100490</t>
  </si>
  <si>
    <t>TXN-102282</t>
  </si>
  <si>
    <t>TXN-100927</t>
  </si>
  <si>
    <t>TXN-100756</t>
  </si>
  <si>
    <t>TXN-100337</t>
  </si>
  <si>
    <t>TXN-102509</t>
  </si>
  <si>
    <t>TXN-100333</t>
  </si>
  <si>
    <t>TXN-100031</t>
  </si>
  <si>
    <t>TXN-100776</t>
  </si>
  <si>
    <t>TXN-101154</t>
  </si>
  <si>
    <t>TXN-102329</t>
  </si>
  <si>
    <t>TXN-102417</t>
  </si>
  <si>
    <t>TXN-100357</t>
  </si>
  <si>
    <t>TXN-100787</t>
  </si>
  <si>
    <t>TXN-100059</t>
  </si>
  <si>
    <t>TXN-102368</t>
  </si>
  <si>
    <t>TXN-101198</t>
  </si>
  <si>
    <t>TXN-101960</t>
  </si>
  <si>
    <t>TXN-101733</t>
  </si>
  <si>
    <t>TXN-100578</t>
  </si>
  <si>
    <t>TXN-102212</t>
  </si>
  <si>
    <t>TXN-100693</t>
  </si>
  <si>
    <t>TXN-101095</t>
  </si>
  <si>
    <t>TXN-100671</t>
  </si>
  <si>
    <t>TXN-100222</t>
  </si>
  <si>
    <t>TXN-102157</t>
  </si>
  <si>
    <t>TXN-100816</t>
  </si>
  <si>
    <t>TXN-102171</t>
  </si>
  <si>
    <t>TXN-102202</t>
  </si>
  <si>
    <t>TXN-100506</t>
  </si>
  <si>
    <t>TXN-100701</t>
  </si>
  <si>
    <t>TXN-100678</t>
  </si>
  <si>
    <t>TXN-101475</t>
  </si>
  <si>
    <t>TXN-100227</t>
  </si>
  <si>
    <t>TXN-100631</t>
  </si>
  <si>
    <t>TXN-100259</t>
  </si>
  <si>
    <t>TXN-101453</t>
  </si>
  <si>
    <t>TXN-100931</t>
  </si>
  <si>
    <t>TXN-100164</t>
  </si>
  <si>
    <t>TXN-100561</t>
  </si>
  <si>
    <t>TXN-100066</t>
  </si>
  <si>
    <t>TXN-101571</t>
  </si>
  <si>
    <t>TXN-100010</t>
  </si>
  <si>
    <t>TXN-101050</t>
  </si>
  <si>
    <t>TXN-102611</t>
  </si>
  <si>
    <t>CUST-9116</t>
  </si>
  <si>
    <t>TXN-102596</t>
  </si>
  <si>
    <t>TXN-100714</t>
  </si>
  <si>
    <t>TXN-102121</t>
  </si>
  <si>
    <t>TXN-102293</t>
  </si>
  <si>
    <t>TXN-102163</t>
  </si>
  <si>
    <t>TXN-102401</t>
  </si>
  <si>
    <t>TXN-101156</t>
  </si>
  <si>
    <t>TXN-100038</t>
  </si>
  <si>
    <t>TXN-102115</t>
  </si>
  <si>
    <t>TXN-100739</t>
  </si>
  <si>
    <t>TXN-102044</t>
  </si>
  <si>
    <t>TXN-101884</t>
  </si>
  <si>
    <t>TXN-102152</t>
  </si>
  <si>
    <t>TXN-101104</t>
  </si>
  <si>
    <t>TXN-101212</t>
  </si>
  <si>
    <t>TXN-101630</t>
  </si>
  <si>
    <t>TXN-100659</t>
  </si>
  <si>
    <t>TXN-101633</t>
  </si>
  <si>
    <t>TXN-101962</t>
  </si>
  <si>
    <t>TXN-100797</t>
  </si>
  <si>
    <t>TXN-101149</t>
  </si>
  <si>
    <t>TXN-100084</t>
  </si>
  <si>
    <t>TXN-100901</t>
  </si>
  <si>
    <t>TXN-101466</t>
  </si>
  <si>
    <t>TXN-102213</t>
  </si>
  <si>
    <t>TXN-102283</t>
  </si>
  <si>
    <t>TXN-101225</t>
  </si>
  <si>
    <t>TXN-100284</t>
  </si>
  <si>
    <t>TXN-102603</t>
  </si>
  <si>
    <t>CUST-9054</t>
  </si>
  <si>
    <t>TXN-100913</t>
  </si>
  <si>
    <t>TXN-100382</t>
  </si>
  <si>
    <t>TXN-101698</t>
  </si>
  <si>
    <t>TXN-101820</t>
  </si>
  <si>
    <t>TXN-100590</t>
  </si>
  <si>
    <t>TXN-101304</t>
  </si>
  <si>
    <t>TXN-101635</t>
  </si>
  <si>
    <t>TXN-102250</t>
  </si>
  <si>
    <t>TXN-100178</t>
  </si>
  <si>
    <t>TXN-101819</t>
  </si>
  <si>
    <t>TXN-101521</t>
  </si>
  <si>
    <t>TXN-101120</t>
  </si>
  <si>
    <t>TXN-102189</t>
  </si>
  <si>
    <t>TXN-100957</t>
  </si>
  <si>
    <t>TXN-100986</t>
  </si>
  <si>
    <t>TXN-101883</t>
  </si>
  <si>
    <t>TXN-101722</t>
  </si>
  <si>
    <t>TXN-101359</t>
  </si>
  <si>
    <t>TXN-102313</t>
  </si>
  <si>
    <t>TXN-100199</t>
  </si>
  <si>
    <t>TXN-100274</t>
  </si>
  <si>
    <t>TXN-101546</t>
  </si>
  <si>
    <t>TXN-100061</t>
  </si>
  <si>
    <t>TXN-102590</t>
  </si>
  <si>
    <t>TXN-100628</t>
  </si>
  <si>
    <t>TXN-101472</t>
  </si>
  <si>
    <t>TXN-101221</t>
  </si>
  <si>
    <t>TXN-100201</t>
  </si>
  <si>
    <t>TXN-101761</t>
  </si>
  <si>
    <t>TXN-101717</t>
  </si>
  <si>
    <t>TXN-100003</t>
  </si>
  <si>
    <t>TXN-100765</t>
  </si>
  <si>
    <t>TXN-101140</t>
  </si>
  <si>
    <t>TXN-100086</t>
  </si>
  <si>
    <t>TXN-101254</t>
  </si>
  <si>
    <t>TXN-101525</t>
  </si>
  <si>
    <t>TXN-102020</t>
  </si>
  <si>
    <t>TXN-102131</t>
  </si>
  <si>
    <t>TXN-101360</t>
  </si>
  <si>
    <t>TXN-101307</t>
  </si>
  <si>
    <t>TXN-100057</t>
  </si>
  <si>
    <t>TXN-101649</t>
  </si>
  <si>
    <t>TXN-100982</t>
  </si>
  <si>
    <t>TXN-101027</t>
  </si>
  <si>
    <t>TXN-101822</t>
  </si>
  <si>
    <t>TXN-100909</t>
  </si>
  <si>
    <t>TXN-100399</t>
  </si>
  <si>
    <t>TXN-100598</t>
  </si>
  <si>
    <t>TXN-102184</t>
  </si>
  <si>
    <t>TXN-101904</t>
  </si>
  <si>
    <t>TXN-100932</t>
  </si>
  <si>
    <t>TXN-102528</t>
  </si>
  <si>
    <t>TXN-102039</t>
  </si>
  <si>
    <t>TXN-102447</t>
  </si>
  <si>
    <t>TXN-100910</t>
  </si>
  <si>
    <t>TXN-101580</t>
  </si>
  <si>
    <t>TXN-102252</t>
  </si>
  <si>
    <t>TXN-100915</t>
  </si>
  <si>
    <t>TXN-102089</t>
  </si>
  <si>
    <t>TXN-100349</t>
  </si>
  <si>
    <t>TXN-100718</t>
  </si>
  <si>
    <t>TXN-100150</t>
  </si>
  <si>
    <t>TXN-100528</t>
  </si>
  <si>
    <t>TXN-102199</t>
  </si>
  <si>
    <t>TXN-101861</t>
  </si>
  <si>
    <t>TXN-102490</t>
  </si>
  <si>
    <t>TXN-101924</t>
  </si>
  <si>
    <t>TXN-101180</t>
  </si>
  <si>
    <t>TXN-101076</t>
  </si>
  <si>
    <t>TXN-100392</t>
  </si>
  <si>
    <t>TXN-102092</t>
  </si>
  <si>
    <t>TXN-100518</t>
  </si>
  <si>
    <t>TXN-101364</t>
  </si>
  <si>
    <t>TXN-102573</t>
  </si>
  <si>
    <t>TXN-101235</t>
  </si>
  <si>
    <t>TXN-101350</t>
  </si>
  <si>
    <t>TXN-101179</t>
  </si>
  <si>
    <t>TXN-100420</t>
  </si>
  <si>
    <t>TXN-100098</t>
  </si>
  <si>
    <t>TXN-100299</t>
  </si>
  <si>
    <t>TXN-100071</t>
  </si>
  <si>
    <t>TXN-100523</t>
  </si>
  <si>
    <t>TXN-102560</t>
  </si>
  <si>
    <t>TXN-100985</t>
  </si>
  <si>
    <t>TXN-102148</t>
  </si>
  <si>
    <t>TXN-101903</t>
  </si>
  <si>
    <t>TXN-100168</t>
  </si>
  <si>
    <t>TXN-102005</t>
  </si>
  <si>
    <t>TXN-101473</t>
  </si>
  <si>
    <t>TXN-100482</t>
  </si>
  <si>
    <t>TXN-101185</t>
  </si>
  <si>
    <t>TXN-101789</t>
  </si>
  <si>
    <t>TXN-102223</t>
  </si>
  <si>
    <t>TXN-100538</t>
  </si>
  <si>
    <t>TXN-102174</t>
  </si>
  <si>
    <t>TXN-100675</t>
  </si>
  <si>
    <t>TXN-102542</t>
  </si>
  <si>
    <t>TXN-101815</t>
  </si>
  <si>
    <t>TXN-101306</t>
  </si>
  <si>
    <t>TXN-100796</t>
  </si>
  <si>
    <t>TXN-101288</t>
  </si>
  <si>
    <t>TXN-100122</t>
  </si>
  <si>
    <t>TXN-101422</t>
  </si>
  <si>
    <t>TXN-100473</t>
  </si>
  <si>
    <t>TXN-100417</t>
  </si>
  <si>
    <t>TXN-101528</t>
  </si>
  <si>
    <t>TXN-100935</t>
  </si>
  <si>
    <t>TXN-100475</t>
  </si>
  <si>
    <t>TXN-101853</t>
  </si>
  <si>
    <t>TXN-101098</t>
  </si>
  <si>
    <t>TXN-100160</t>
  </si>
  <si>
    <t>TXN-101118</t>
  </si>
  <si>
    <t>TXN-100006</t>
  </si>
  <si>
    <t>TXN-100131</t>
  </si>
  <si>
    <t>TXN-101218</t>
  </si>
  <si>
    <t>TXN-101467</t>
  </si>
  <si>
    <t>TXN-100789</t>
  </si>
  <si>
    <t>TXN-102155</t>
  </si>
  <si>
    <t>TXN-100638</t>
  </si>
  <si>
    <t>TXN-101339</t>
  </si>
  <si>
    <t>TXN-101930</t>
  </si>
  <si>
    <t>TXN-101138</t>
  </si>
  <si>
    <t>TXN-102196</t>
  </si>
  <si>
    <t>TXN-100054</t>
  </si>
  <si>
    <t>TXN-101163</t>
  </si>
  <si>
    <t>TXN-100635</t>
  </si>
  <si>
    <t>TXN-100717</t>
  </si>
  <si>
    <t>TXN-100742</t>
  </si>
  <si>
    <t>TXN-100607</t>
  </si>
  <si>
    <t>TXN-100586</t>
  </si>
  <si>
    <t>TXN-100940</t>
  </si>
  <si>
    <t>TXN-102539</t>
  </si>
  <si>
    <t>TXN-100661</t>
  </si>
  <si>
    <t>TXN-101439</t>
  </si>
  <si>
    <t>TXN-100499</t>
  </si>
  <si>
    <t>TXN-102593</t>
  </si>
  <si>
    <t>TXN-102055</t>
  </si>
  <si>
    <t>TXN-100788</t>
  </si>
  <si>
    <t>TXN-100691</t>
  </si>
  <si>
    <t>TXN-101670</t>
  </si>
  <si>
    <t>TXN-100032</t>
  </si>
  <si>
    <t>TXN-100577</t>
  </si>
  <si>
    <t>TXN-102546</t>
  </si>
  <si>
    <t>TXN-100556</t>
  </si>
  <si>
    <t>TXN-101991</t>
  </si>
  <si>
    <t>TXN-100411</t>
  </si>
  <si>
    <t>TXN-102481</t>
  </si>
  <si>
    <t>TXN-102552</t>
  </si>
  <si>
    <t>TXN-102218</t>
  </si>
  <si>
    <t>TXN-101676</t>
  </si>
  <si>
    <t>TXN-102487</t>
  </si>
  <si>
    <t>TXN-100015</t>
  </si>
  <si>
    <t>TXN-100022</t>
  </si>
  <si>
    <t>TXN-100421</t>
  </si>
  <si>
    <t>TXN-101824</t>
  </si>
  <si>
    <t>TXN-102097</t>
  </si>
  <si>
    <t>TXN-100166</t>
  </si>
  <si>
    <t>TXN-101068</t>
  </si>
  <si>
    <t>TXN-100738</t>
  </si>
  <si>
    <t>TXN-101725</t>
  </si>
  <si>
    <t>TXN-102086</t>
  </si>
  <si>
    <t>TXN-101549</t>
  </si>
  <si>
    <t>TXN-100021</t>
  </si>
  <si>
    <t>TXN-100912</t>
  </si>
  <si>
    <t>TXN-102334</t>
  </si>
  <si>
    <t>TXN-101125</t>
  </si>
  <si>
    <t>TXN-101205</t>
  </si>
  <si>
    <t>TXN-100340</t>
  </si>
  <si>
    <t>TXN-100176</t>
  </si>
  <si>
    <t>TXN-100093</t>
  </si>
  <si>
    <t>TXN-102349</t>
  </si>
  <si>
    <t>TXN-100033</t>
  </si>
  <si>
    <t>TXN-101568</t>
  </si>
  <si>
    <t>TXN-101061</t>
  </si>
  <si>
    <t>TXN-100107</t>
  </si>
  <si>
    <t>TXN-101504</t>
  </si>
  <si>
    <t>TXN-101660</t>
  </si>
  <si>
    <t>TXN-101482</t>
  </si>
  <si>
    <t>TXN-100546</t>
  </si>
  <si>
    <t>TXN-102415</t>
  </si>
  <si>
    <t>TXN-101597</t>
  </si>
  <si>
    <t>TXN-100640</t>
  </si>
  <si>
    <t>TXN-101867</t>
  </si>
  <si>
    <t>TXN-101837</t>
  </si>
  <si>
    <t>TXN-100755</t>
  </si>
  <si>
    <t>TXN-100597</t>
  </si>
  <si>
    <t>TXN-101214</t>
  </si>
  <si>
    <t>TXN-102068</t>
  </si>
  <si>
    <t>TXN-101492</t>
  </si>
  <si>
    <t>TXN-101498</t>
  </si>
  <si>
    <t>TXN-102556</t>
  </si>
  <si>
    <t>TXN-101647</t>
  </si>
  <si>
    <t>TXN-101425</t>
  </si>
  <si>
    <t>TXN-102489</t>
  </si>
  <si>
    <t>TXN-101773</t>
  </si>
  <si>
    <t>TXN-101396</t>
  </si>
  <si>
    <t>TXN-100435</t>
  </si>
  <si>
    <t>TXN-101513</t>
  </si>
  <si>
    <t>TXN-100126</t>
  </si>
  <si>
    <t>TXN-100240</t>
  </si>
  <si>
    <t>TXN-100905</t>
  </si>
  <si>
    <t>TXN-102076</t>
  </si>
  <si>
    <t>TXN-101157</t>
  </si>
  <si>
    <t>TXN-101600</t>
  </si>
  <si>
    <t>TXN-101745</t>
  </si>
  <si>
    <t>TXN-101471</t>
  </si>
  <si>
    <t>TXN-102154</t>
  </si>
  <si>
    <t>TXN-102133</t>
  </si>
  <si>
    <t>TXN-101131</t>
  </si>
  <si>
    <t>TXN-102224</t>
  </si>
  <si>
    <t>TXN-101911</t>
  </si>
  <si>
    <t>TXN-100267</t>
  </si>
  <si>
    <t>TXN-101993</t>
  </si>
  <si>
    <t>TXN-101160</t>
  </si>
  <si>
    <t>TXN-101489</t>
  </si>
  <si>
    <t>TXN-100570</t>
  </si>
  <si>
    <t>TXN-100009</t>
  </si>
  <si>
    <t>TXN-102352</t>
  </si>
  <si>
    <t>TXN-101278</t>
  </si>
  <si>
    <t>TXN-102036</t>
  </si>
  <si>
    <t>TXN-100719</t>
  </si>
  <si>
    <t>TXN-101324</t>
  </si>
  <si>
    <t>TXN-100685</t>
  </si>
  <si>
    <t>TXN-101381</t>
  </si>
  <si>
    <t>TXN-102516</t>
  </si>
  <si>
    <t>TXN-101038</t>
  </si>
  <si>
    <t>TXN-102245</t>
  </si>
  <si>
    <t>TXN-101666</t>
  </si>
  <si>
    <t>TXN-100273</t>
  </si>
  <si>
    <t>TXN-102518</t>
  </si>
  <si>
    <t>TXN-100760</t>
  </si>
  <si>
    <t>TXN-101775</t>
  </si>
  <si>
    <t>TXN-101684</t>
  </si>
  <si>
    <t>TXN-100211</t>
  </si>
  <si>
    <t>TXN-101358</t>
  </si>
  <si>
    <t>TXN-100893</t>
  </si>
  <si>
    <t>TXN-101375</t>
  </si>
  <si>
    <t>TXN-100338</t>
  </si>
  <si>
    <t>TXN-100973</t>
  </si>
  <si>
    <t>TXN-100312</t>
  </si>
  <si>
    <t>TXN-100197</t>
  </si>
  <si>
    <t>TXN-101164</t>
  </si>
  <si>
    <t>TXN-101427</t>
  </si>
  <si>
    <t>TXN-102416</t>
  </si>
  <si>
    <t>TXN-100622</t>
  </si>
  <si>
    <t>TXN-101022</t>
  </si>
  <si>
    <t>TXN-100694</t>
  </si>
  <si>
    <t>TXN-101173</t>
  </si>
  <si>
    <t>TXN-100501</t>
  </si>
  <si>
    <t>TXN-101553</t>
  </si>
  <si>
    <t>TXN-100456</t>
  </si>
  <si>
    <t>TXN-101236</t>
  </si>
  <si>
    <t>TXN-102046</t>
  </si>
  <si>
    <t>TXN-100154</t>
  </si>
  <si>
    <t>TXN-100327</t>
  </si>
  <si>
    <t>TXN-102270</t>
  </si>
  <si>
    <t>TXN-100979</t>
  </si>
  <si>
    <t>TXN-100294</t>
  </si>
  <si>
    <t>TXN-100769</t>
  </si>
  <si>
    <t>TXN-101756</t>
  </si>
  <si>
    <t>TXN-101207</t>
  </si>
  <si>
    <t>TXN-101559</t>
  </si>
  <si>
    <t>TXN-102011</t>
  </si>
  <si>
    <t>TXN-101510</t>
  </si>
  <si>
    <t>TXN-102090</t>
  </si>
  <si>
    <t>TXN-101952</t>
  </si>
  <si>
    <t>TXN-101787</t>
  </si>
  <si>
    <t>TXN-100873</t>
  </si>
  <si>
    <t>TXN-100308</t>
  </si>
  <si>
    <t>TXN-101985</t>
  </si>
  <si>
    <t>TXN-100560</t>
  </si>
  <si>
    <t>TXN-101299</t>
  </si>
  <si>
    <t>TXN-101226</t>
  </si>
  <si>
    <t>TXN-101882</t>
  </si>
  <si>
    <t>TXN-102451</t>
  </si>
  <si>
    <t>TXN-100543</t>
  </si>
  <si>
    <t>TXN-100489</t>
  </si>
  <si>
    <t>TXN-100377</t>
  </si>
  <si>
    <t>TXN-101186</t>
  </si>
  <si>
    <t>TXN-100362</t>
  </si>
  <si>
    <t>TXN-102276</t>
  </si>
  <si>
    <t>TXN-102134</t>
  </si>
  <si>
    <t>TXN-102423</t>
  </si>
  <si>
    <t>TXN-100018</t>
  </si>
  <si>
    <t>TXN-101901</t>
  </si>
  <si>
    <t>TXN-101243</t>
  </si>
  <si>
    <t>TXN-100555</t>
  </si>
  <si>
    <t>TXN-100067</t>
  </si>
  <si>
    <t>TXN-101268</t>
  </si>
  <si>
    <t>TXN-100401</t>
  </si>
  <si>
    <t>TXN-100554</t>
  </si>
  <si>
    <t>TXN-100833</t>
  </si>
  <si>
    <t>TXN-100476</t>
  </si>
  <si>
    <t>TXN-102030</t>
  </si>
  <si>
    <t>TXN-100354</t>
  </si>
  <si>
    <t>TXN-100406</t>
  </si>
  <si>
    <t>TXN-101969</t>
  </si>
  <si>
    <t>TXN-101327</t>
  </si>
  <si>
    <t>TXN-102499</t>
  </si>
  <si>
    <t>TXN-100241</t>
  </si>
  <si>
    <t>TXN-101566</t>
  </si>
  <si>
    <t>TXN-102227</t>
  </si>
  <si>
    <t>TXN-100842</t>
  </si>
  <si>
    <t>TXN-100409</t>
  </si>
  <si>
    <t>TXN-101990</t>
  </si>
  <si>
    <t>TXN-102571</t>
  </si>
  <si>
    <t>TXN-102580</t>
  </si>
  <si>
    <t>TXN-101959</t>
  </si>
  <si>
    <t>TXN-100252</t>
  </si>
  <si>
    <t>TXN-101743</t>
  </si>
  <si>
    <t>TXN-100306</t>
  </si>
  <si>
    <t>TXN-100809</t>
  </si>
  <si>
    <t>TXN-101308</t>
  </si>
  <si>
    <t>TXN-100859</t>
  </si>
  <si>
    <t>TXN-100246</t>
  </si>
  <si>
    <t>TXN-100639</t>
  </si>
  <si>
    <t>TXN-101070</t>
  </si>
  <si>
    <t>TXN-102268</t>
  </si>
  <si>
    <t>TXN-101239</t>
  </si>
  <si>
    <t>TXN-101349</t>
  </si>
  <si>
    <t>TXN-102056</t>
  </si>
  <si>
    <t>TXN-101057</t>
  </si>
  <si>
    <t>TXN-100822</t>
  </si>
  <si>
    <t>TXN-100500</t>
  </si>
  <si>
    <t>TXN-100592</t>
  </si>
  <si>
    <t>TXN-101196</t>
  </si>
  <si>
    <t>TXN-102589</t>
  </si>
  <si>
    <t>TXN-100163</t>
  </si>
  <si>
    <t>TXN-100297</t>
  </si>
  <si>
    <t>TXN-100136</t>
  </si>
  <si>
    <t>TXN-102435</t>
  </si>
  <si>
    <t>TXN-100488</t>
  </si>
  <si>
    <t>TXN-102428</t>
  </si>
  <si>
    <t>TXN-101709</t>
  </si>
  <si>
    <t>TXN-102302</t>
  </si>
  <si>
    <t>TXN-102170</t>
  </si>
  <si>
    <t>TXN-100617</t>
  </si>
  <si>
    <t>TXN-100159</t>
  </si>
  <si>
    <t>TXN-100662</t>
  </si>
  <si>
    <t>TXN-101277</t>
  </si>
  <si>
    <t>TXN-100195</t>
  </si>
  <si>
    <t>TXN-100103</t>
  </si>
  <si>
    <t>TXN-100341</t>
  </si>
  <si>
    <t>TXN-102578</t>
  </si>
  <si>
    <t>TXN-102520</t>
  </si>
  <si>
    <t>TXN-101159</t>
  </si>
  <si>
    <t>TXN-100043</t>
  </si>
  <si>
    <t>TXN-101641</t>
  </si>
  <si>
    <t>TXN-100425</t>
  </si>
  <si>
    <t>TXN-100374</t>
  </si>
  <si>
    <t>TXN-102230</t>
  </si>
  <si>
    <t>TXN-101029</t>
  </si>
  <si>
    <t>TXN-100303</t>
  </si>
  <si>
    <t>TXN-100155</t>
  </si>
  <si>
    <t>TXN-100887</t>
  </si>
  <si>
    <t>TXN-102022</t>
  </si>
  <si>
    <t>TXN-100292</t>
  </si>
  <si>
    <t>TXN-100255</t>
  </si>
  <si>
    <t>TXN-102491</t>
  </si>
  <si>
    <t>TXN-101087</t>
  </si>
  <si>
    <t>TXN-102235</t>
  </si>
  <si>
    <t>TXN-102308</t>
  </si>
  <si>
    <t>TXN-100187</t>
  </si>
  <si>
    <t>TXN-101153</t>
  </si>
  <si>
    <t>TXN-100412</t>
  </si>
  <si>
    <t>TXN-102186</t>
  </si>
  <si>
    <t>TXN-101121</t>
  </si>
  <si>
    <t>TXN-102545</t>
  </si>
  <si>
    <t>TXN-102543</t>
  </si>
  <si>
    <t>TXN-101718</t>
  </si>
  <si>
    <t>TXN-101951</t>
  </si>
  <si>
    <t>TXN-100883</t>
  </si>
  <si>
    <t>TXN-101114</t>
  </si>
  <si>
    <t>TXN-102466</t>
  </si>
  <si>
    <t>TXN-100949</t>
  </si>
  <si>
    <t>TXN-100928</t>
  </si>
  <si>
    <t>TXN-100798</t>
  </si>
  <si>
    <t>TXN-100334</t>
  </si>
  <si>
    <t>TXN-100139</t>
  </si>
  <si>
    <t>TXN-102508</t>
  </si>
  <si>
    <t>TXN-101115</t>
  </si>
  <si>
    <t>TXN-102465</t>
  </si>
  <si>
    <t>TXN-102326</t>
  </si>
  <si>
    <t>TXN-101012</t>
  </si>
  <si>
    <t>TXN-101644</t>
  </si>
  <si>
    <t>TXN-100466</t>
  </si>
  <si>
    <t>TXN-100113</t>
  </si>
  <si>
    <t>TXN-102340</t>
  </si>
  <si>
    <t>TXN-101434</t>
  </si>
  <si>
    <t>TXN-100696</t>
  </si>
  <si>
    <t>TXN-100441</t>
  </si>
  <si>
    <t>TXN-101596</t>
  </si>
  <si>
    <t>TXN-100430</t>
  </si>
  <si>
    <t>TXN-100135</t>
  </si>
  <si>
    <t>TXN-100455</t>
  </si>
  <si>
    <t>TXN-102458</t>
  </si>
  <si>
    <t>TXN-100904</t>
  </si>
  <si>
    <t>TXN-101347</t>
  </si>
  <si>
    <t>TXN-100895</t>
  </si>
  <si>
    <t>TXN-100919</t>
  </si>
  <si>
    <t>TXN-102256</t>
  </si>
  <si>
    <t>TXN-101687</t>
  </si>
  <si>
    <t>TXN-100105</t>
  </si>
  <si>
    <t>TXN-101850</t>
  </si>
  <si>
    <t>TXN-101680</t>
  </si>
  <si>
    <t>TXN-102510</t>
  </si>
  <si>
    <t>TXN-102324</t>
  </si>
  <si>
    <t>TXN-101197</t>
  </si>
  <si>
    <t>TXN-101570</t>
  </si>
  <si>
    <t>TXN-101695</t>
  </si>
  <si>
    <t>TXN-100744</t>
  </si>
  <si>
    <t>TXN-100450</t>
  </si>
  <si>
    <t>TXN-100328</t>
  </si>
  <si>
    <t>TXN-102072</t>
  </si>
  <si>
    <t>TXN-101075</t>
  </si>
  <si>
    <t>TXN-102346</t>
  </si>
  <si>
    <t>TXN-101620</t>
  </si>
  <si>
    <t>TXN-100882</t>
  </si>
  <si>
    <t>TXN-100047</t>
  </si>
  <si>
    <t>TXN-101232</t>
  </si>
  <si>
    <t>TXN-102412</t>
  </si>
  <si>
    <t>TXN-102397</t>
  </si>
  <si>
    <t>TXN-100569</t>
  </si>
  <si>
    <t>TXN-101885</t>
  </si>
  <si>
    <t>TXN-100446</t>
  </si>
  <si>
    <t>TXN-102449</t>
  </si>
  <si>
    <t>TXN-100784</t>
  </si>
  <si>
    <t>TXN-100841</t>
  </si>
  <si>
    <t>TXN-101661</t>
  </si>
  <si>
    <t>TXN-101411</t>
  </si>
  <si>
    <t>TXN-101215</t>
  </si>
  <si>
    <t>TXN-101592</t>
  </si>
  <si>
    <t>TXN-100674</t>
  </si>
  <si>
    <t>TXN-102369</t>
  </si>
  <si>
    <t>TXN-100591</t>
  </si>
  <si>
    <t>TXN-101139</t>
  </si>
  <si>
    <t>TXN-101325</t>
  </si>
  <si>
    <t>TXN-100754</t>
  </si>
  <si>
    <t>TXN-101626</t>
  </si>
  <si>
    <t>TXN-101811</t>
  </si>
  <si>
    <t>TXN-102610</t>
  </si>
  <si>
    <t>CUST-9670</t>
  </si>
  <si>
    <t>TXN-102426</t>
  </si>
  <si>
    <t>TXN-102602</t>
  </si>
  <si>
    <t>CUST-9964</t>
  </si>
  <si>
    <t>TXN-101632</t>
  </si>
  <si>
    <t>TXN-101170</t>
  </si>
  <si>
    <t>TXN-100502</t>
  </si>
  <si>
    <t>TXN-100540</t>
  </si>
  <si>
    <t>TXN-100483</t>
  </si>
  <si>
    <t>TXN-100852</t>
  </si>
  <si>
    <t>TXN-102351</t>
  </si>
  <si>
    <t>TXN-101127</t>
  </si>
  <si>
    <t>TXN-101584</t>
  </si>
  <si>
    <t>TXN-100574</t>
  </si>
  <si>
    <t>TXN-102278</t>
  </si>
  <si>
    <t>TXN-100079</t>
  </si>
  <si>
    <t>TXN-102269</t>
  </si>
  <si>
    <t>TXN-101975</t>
  </si>
  <si>
    <t>TXN-101736</t>
  </si>
  <si>
    <t>TXN-102514</t>
  </si>
  <si>
    <t>TXN-102197</t>
  </si>
  <si>
    <t>TXN-101122</t>
  </si>
  <si>
    <t>TXN-100391</t>
  </si>
  <si>
    <t>TXN-100017</t>
  </si>
  <si>
    <t>TXN-100681</t>
  </si>
  <si>
    <t>TXN-101932</t>
  </si>
  <si>
    <t>TXN-100242</t>
  </si>
  <si>
    <t>TXN-101555</t>
  </si>
  <si>
    <t>TXN-100536</t>
  </si>
  <si>
    <t>TXN-101942</t>
  </si>
  <si>
    <t>TXN-100853</t>
  </si>
  <si>
    <t>TXN-102037</t>
  </si>
  <si>
    <t>TXN-100095</t>
  </si>
  <si>
    <t>TXN-101003</t>
  </si>
  <si>
    <t>TXN-100120</t>
  </si>
  <si>
    <t>TXN-100363</t>
  </si>
  <si>
    <t>TXN-101892</t>
  </si>
  <si>
    <t>TXN-100806</t>
  </si>
  <si>
    <t>TXN-102111</t>
  </si>
  <si>
    <t>TXN-101613</t>
  </si>
  <si>
    <t>TXN-100416</t>
  </si>
  <si>
    <t>TXN-100342</t>
  </si>
  <si>
    <t>TXN-102591</t>
  </si>
  <si>
    <t>TXN-102599</t>
  </si>
  <si>
    <t>TXN-101452</t>
  </si>
  <si>
    <t>TXN-100394</t>
  </si>
  <si>
    <t>TXN-101701</t>
  </si>
  <si>
    <t>TXN-100317</t>
  </si>
  <si>
    <t>TXN-102238</t>
  </si>
  <si>
    <t>TXN-102493</t>
  </si>
  <si>
    <t>TXN-102523</t>
  </si>
  <si>
    <t>TXN-100969</t>
  </si>
  <si>
    <t>TXN-102418</t>
  </si>
  <si>
    <t>TXN-101927</t>
  </si>
  <si>
    <t>TXN-102317</t>
  </si>
  <si>
    <t>TXN-101213</t>
  </si>
  <si>
    <t>TXN-100603</t>
  </si>
  <si>
    <t>TXN-102206</t>
  </si>
  <si>
    <t>TXN-101611</t>
  </si>
  <si>
    <t>TXN-100415</t>
  </si>
  <si>
    <t>TXN-101692</t>
  </si>
  <si>
    <t>TXN-100108</t>
  </si>
  <si>
    <t>TXN-102367</t>
  </si>
  <si>
    <t>TXN-101010</t>
  </si>
  <si>
    <t>TXN-101758</t>
  </si>
  <si>
    <t>TXN-102049</t>
  </si>
  <si>
    <t>TXN-101346</t>
  </si>
  <si>
    <t>TXN-102247</t>
  </si>
  <si>
    <t>TXN-101683</t>
  </si>
  <si>
    <t>TXN-101174</t>
  </si>
  <si>
    <t>TXN-100871</t>
  </si>
  <si>
    <t>TXN-101112</t>
  </si>
  <si>
    <t>TXN-101328</t>
  </si>
  <si>
    <t>TXN-100920</t>
  </si>
  <si>
    <t>TXN-102241</t>
  </si>
  <si>
    <t>TXN-102562</t>
  </si>
  <si>
    <t>TXN-100805</t>
  </si>
  <si>
    <t>TXN-101714</t>
  </si>
  <si>
    <t>TXN-101875</t>
  </si>
  <si>
    <t>TXN-100642</t>
  </si>
  <si>
    <t>TXN-100336</t>
  </si>
  <si>
    <t>TXN-101945</t>
  </si>
  <si>
    <t>TXN-101388</t>
  </si>
  <si>
    <t>TXN-100423</t>
  </si>
  <si>
    <t>TXN-101220</t>
  </si>
  <si>
    <t>TXN-100618</t>
  </si>
  <si>
    <t>TXN-102427</t>
  </si>
  <si>
    <t>TXN-102023</t>
  </si>
  <si>
    <t>TXN-101591</t>
  </si>
  <si>
    <t>TXN-100830</t>
  </si>
  <si>
    <t>TXN-101187</t>
  </si>
  <si>
    <t>TXN-100632</t>
  </si>
  <si>
    <t>TXN-101024</t>
  </si>
  <si>
    <t>TXN-101389</t>
  </si>
  <si>
    <t>TXN-102259</t>
  </si>
  <si>
    <t>TXN-102362</t>
  </si>
  <si>
    <t>TXN-102597</t>
  </si>
  <si>
    <t>TXN-100522</t>
  </si>
  <si>
    <t>TXN-101671</t>
  </si>
  <si>
    <t>TXN-102378</t>
  </si>
  <si>
    <t>TXN-102299</t>
  </si>
  <si>
    <t>TXN-100854</t>
  </si>
  <si>
    <t>TXN-101385</t>
  </si>
  <si>
    <t>TXN-100956</t>
  </si>
  <si>
    <t>TXN-101302</t>
  </si>
  <si>
    <t>TXN-101779</t>
  </si>
  <si>
    <t>TXN-101614</t>
  </si>
  <si>
    <t>TXN-101110</t>
  </si>
  <si>
    <t>TXN-101809</t>
  </si>
  <si>
    <t>TXN-101182</t>
  </si>
  <si>
    <t>TXN-100653</t>
  </si>
  <si>
    <t>TXN-102383</t>
  </si>
  <si>
    <t>TXN-101657</t>
  </si>
  <si>
    <t>TXN-101021</t>
  </si>
  <si>
    <t>TXN-100898</t>
  </si>
  <si>
    <t>TXN-101514</t>
  </si>
  <si>
    <t>TXN-101937</t>
  </si>
  <si>
    <t>TXN-101092</t>
  </si>
  <si>
    <t>TXN-100432</t>
  </si>
  <si>
    <t>TXN-101230</t>
  </si>
  <si>
    <t>TXN-101706</t>
  </si>
  <si>
    <t>TXN-101707</t>
  </si>
  <si>
    <t>TXN-102538</t>
  </si>
  <si>
    <t>TXN-100249</t>
  </si>
  <si>
    <t>TXN-102093</t>
  </si>
  <si>
    <t>TXN-101009</t>
  </si>
  <si>
    <t>TXN-101515</t>
  </si>
  <si>
    <t>TXN-100646</t>
  </si>
  <si>
    <t>Summit Goods</t>
  </si>
  <si>
    <t>Marigold Labs</t>
  </si>
  <si>
    <t>TXN-100970</t>
  </si>
  <si>
    <t>TXN-101803</t>
  </si>
  <si>
    <t>TXN-101464</t>
  </si>
  <si>
    <t>TXN-102399</t>
  </si>
  <si>
    <t>TXN-102570</t>
  </si>
  <si>
    <t>Unknown</t>
  </si>
  <si>
    <t>Unassigned</t>
  </si>
  <si>
    <t>TXN-101829</t>
  </si>
  <si>
    <t>TXN-101233</t>
  </si>
  <si>
    <t>TXN-101137</t>
  </si>
  <si>
    <t>TXN-101172</t>
  </si>
  <si>
    <t>TXN-102045</t>
  </si>
  <si>
    <t>8-Jun-2024</t>
  </si>
  <si>
    <t>November 25, 2024</t>
  </si>
  <si>
    <t xml:space="preserve">111.93 </t>
  </si>
  <si>
    <t xml:space="preserve"> Completed </t>
  </si>
  <si>
    <t>4-Oct-2024</t>
  </si>
  <si>
    <t>$289.84</t>
  </si>
  <si>
    <t>COMPLETED</t>
  </si>
  <si>
    <t>7-Mar-2024</t>
  </si>
  <si>
    <t>2024-08-30</t>
  </si>
  <si>
    <t xml:space="preserve">401.05 </t>
  </si>
  <si>
    <t>pending</t>
  </si>
  <si>
    <t>10/15/2024</t>
  </si>
  <si>
    <t>$1,104.33</t>
  </si>
  <si>
    <t>July 4, 2024</t>
  </si>
  <si>
    <t>2024-08-10</t>
  </si>
  <si>
    <t>$485.31</t>
  </si>
  <si>
    <t>2024-01-04</t>
  </si>
  <si>
    <t>$48.06</t>
  </si>
  <si>
    <t>completed</t>
  </si>
  <si>
    <t>December 19, 2024</t>
  </si>
  <si>
    <t>$283.32</t>
  </si>
  <si>
    <t>16-Mar-2024</t>
  </si>
  <si>
    <t>$2,629.31</t>
  </si>
  <si>
    <t>2024-04-30</t>
  </si>
  <si>
    <t>$377.49</t>
  </si>
  <si>
    <t>Compelted</t>
  </si>
  <si>
    <t>25-Sep-2024</t>
  </si>
  <si>
    <t>Pendng</t>
  </si>
  <si>
    <t>July 27, 2024</t>
  </si>
  <si>
    <t>2-May-2024</t>
  </si>
  <si>
    <t xml:space="preserve">622.27 </t>
  </si>
  <si>
    <t>12-May-2024</t>
  </si>
  <si>
    <t>2024-12-26</t>
  </si>
  <si>
    <t>$632.28</t>
  </si>
  <si>
    <t>2024-10-02</t>
  </si>
  <si>
    <t xml:space="preserve">-1,286.30 </t>
  </si>
  <si>
    <t xml:space="preserve"> Refunded </t>
  </si>
  <si>
    <t>26-Aug-2024</t>
  </si>
  <si>
    <t>04/22/2024</t>
  </si>
  <si>
    <t>June 28, 2024</t>
  </si>
  <si>
    <t>03/24/2024</t>
  </si>
  <si>
    <t>07/15/2024</t>
  </si>
  <si>
    <t>April 29, 2024</t>
  </si>
  <si>
    <t>2024-10-20</t>
  </si>
  <si>
    <t>23-Dec-2024</t>
  </si>
  <si>
    <t>28-May-2024</t>
  </si>
  <si>
    <t>July 6, 2024</t>
  </si>
  <si>
    <t>refunded</t>
  </si>
  <si>
    <t>10/09/2024</t>
  </si>
  <si>
    <t>$327.77</t>
  </si>
  <si>
    <t>2024-03-14</t>
  </si>
  <si>
    <t>REFUNDED</t>
  </si>
  <si>
    <t>2024-07-07</t>
  </si>
  <si>
    <t>$146.11</t>
  </si>
  <si>
    <t>27-Jun-2024</t>
  </si>
  <si>
    <t>03/08/2024</t>
  </si>
  <si>
    <t xml:space="preserve">480.97 </t>
  </si>
  <si>
    <t>24-Dec-2024</t>
  </si>
  <si>
    <t>29-Apr-2024</t>
  </si>
  <si>
    <t>27-Jan-2024</t>
  </si>
  <si>
    <t>December 7, 2024</t>
  </si>
  <si>
    <t>23-Apr-2024</t>
  </si>
  <si>
    <t>2024-12-22</t>
  </si>
  <si>
    <t>$803.84</t>
  </si>
  <si>
    <t>05/06/2024</t>
  </si>
  <si>
    <t>November 23, 2024</t>
  </si>
  <si>
    <t>$321.16</t>
  </si>
  <si>
    <t>PENDING</t>
  </si>
  <si>
    <t>2024-06-16</t>
  </si>
  <si>
    <t>07/25/2024</t>
  </si>
  <si>
    <t>August 27, 2024</t>
  </si>
  <si>
    <t>09/25/2024</t>
  </si>
  <si>
    <t>21-Nov-2024</t>
  </si>
  <si>
    <t>13-Jan-2024</t>
  </si>
  <si>
    <t>06/22/2024</t>
  </si>
  <si>
    <t>October 5, 2024</t>
  </si>
  <si>
    <t xml:space="preserve">265.70 </t>
  </si>
  <si>
    <t>August 23, 2024</t>
  </si>
  <si>
    <t xml:space="preserve">507.15 </t>
  </si>
  <si>
    <t>2024-09-16</t>
  </si>
  <si>
    <t>$780.80</t>
  </si>
  <si>
    <t>February 2, 2024</t>
  </si>
  <si>
    <t>06/02/2024</t>
  </si>
  <si>
    <t>2024-08-14</t>
  </si>
  <si>
    <t xml:space="preserve">524.75 </t>
  </si>
  <si>
    <t>November 30, 2024</t>
  </si>
  <si>
    <t>2024-06-17</t>
  </si>
  <si>
    <t>$190.92</t>
  </si>
  <si>
    <t>June 12, 2024</t>
  </si>
  <si>
    <t>2024-07-31</t>
  </si>
  <si>
    <t>Refundd</t>
  </si>
  <si>
    <t>November 12, 2024</t>
  </si>
  <si>
    <t>04/16/2024</t>
  </si>
  <si>
    <t>December 13, 2024</t>
  </si>
  <si>
    <t>2024-09-23</t>
  </si>
  <si>
    <t xml:space="preserve">562.16 </t>
  </si>
  <si>
    <t>2024-03-25</t>
  </si>
  <si>
    <t>26-Nov-2024</t>
  </si>
  <si>
    <t>December 6, 2024</t>
  </si>
  <si>
    <t xml:space="preserve">1,061.48 </t>
  </si>
  <si>
    <t>July 3, 2024</t>
  </si>
  <si>
    <t>$352.99</t>
  </si>
  <si>
    <t>06/20/2024</t>
  </si>
  <si>
    <t>2024-08-25</t>
  </si>
  <si>
    <t>March 22, 2024</t>
  </si>
  <si>
    <t>10/29/2024</t>
  </si>
  <si>
    <t xml:space="preserve">481.59 </t>
  </si>
  <si>
    <t>October 3, 2024</t>
  </si>
  <si>
    <t>2024-01-23</t>
  </si>
  <si>
    <t>$687.24</t>
  </si>
  <si>
    <t>October 29, 2024</t>
  </si>
  <si>
    <t>$376.28</t>
  </si>
  <si>
    <t>July 24, 2024</t>
  </si>
  <si>
    <t xml:space="preserve">487.38 </t>
  </si>
  <si>
    <t>11/22/2024</t>
  </si>
  <si>
    <t>January 16, 2024</t>
  </si>
  <si>
    <t xml:space="preserve">-582.88 </t>
  </si>
  <si>
    <t>2024-10-22</t>
  </si>
  <si>
    <t>$1,160.24</t>
  </si>
  <si>
    <t>January 23, 2024</t>
  </si>
  <si>
    <t xml:space="preserve">316.02 </t>
  </si>
  <si>
    <t>07/21/2024</t>
  </si>
  <si>
    <t>$573.90</t>
  </si>
  <si>
    <t>22-Jan-2024</t>
  </si>
  <si>
    <t>$784.76</t>
  </si>
  <si>
    <t>18-Dec-2024</t>
  </si>
  <si>
    <t>3-Dec-2024</t>
  </si>
  <si>
    <t>FAILED</t>
  </si>
  <si>
    <t>July 28, 2024</t>
  </si>
  <si>
    <t>08/15/2024</t>
  </si>
  <si>
    <t>$535.39</t>
  </si>
  <si>
    <t>18-Jun-2024</t>
  </si>
  <si>
    <t>25-Apr-2024</t>
  </si>
  <si>
    <t>09/01/2024</t>
  </si>
  <si>
    <t>May 24, 2024</t>
  </si>
  <si>
    <t>June 29, 2024</t>
  </si>
  <si>
    <t>04/06/2024</t>
  </si>
  <si>
    <t xml:space="preserve">243.13 </t>
  </si>
  <si>
    <t>7-Feb-2024</t>
  </si>
  <si>
    <t>05/16/2024</t>
  </si>
  <si>
    <t>11-May-2024</t>
  </si>
  <si>
    <t xml:space="preserve">731.91 </t>
  </si>
  <si>
    <t xml:space="preserve"> Pending </t>
  </si>
  <si>
    <t>May 15, 2024</t>
  </si>
  <si>
    <t>$-900.42</t>
  </si>
  <si>
    <t>July 19, 2024</t>
  </si>
  <si>
    <t xml:space="preserve">588.88 </t>
  </si>
  <si>
    <t>July 16, 2024</t>
  </si>
  <si>
    <t>15-Oct-2024</t>
  </si>
  <si>
    <t>$212.20</t>
  </si>
  <si>
    <t xml:space="preserve">326.27 </t>
  </si>
  <si>
    <t>02/24/2024</t>
  </si>
  <si>
    <t>16-May-2024</t>
  </si>
  <si>
    <t>12/07/2024</t>
  </si>
  <si>
    <t>2024-02-02</t>
  </si>
  <si>
    <t xml:space="preserve">679.23 </t>
  </si>
  <si>
    <t>August 7, 2024</t>
  </si>
  <si>
    <t>$31.95</t>
  </si>
  <si>
    <t>2024-05-23</t>
  </si>
  <si>
    <t>2024-07-12</t>
  </si>
  <si>
    <t>$691.10</t>
  </si>
  <si>
    <t>13-Oct-2024</t>
  </si>
  <si>
    <t>25-Jul-2024</t>
  </si>
  <si>
    <t>$432.38</t>
  </si>
  <si>
    <t>2024-01-29</t>
  </si>
  <si>
    <t xml:space="preserve">535.16 </t>
  </si>
  <si>
    <t>April 3, 2024</t>
  </si>
  <si>
    <t>August 21, 2024</t>
  </si>
  <si>
    <t>December 16, 2024</t>
  </si>
  <si>
    <t>$348.06</t>
  </si>
  <si>
    <t>11/30/2024</t>
  </si>
  <si>
    <t>$130.18</t>
  </si>
  <si>
    <t>March 1, 2024</t>
  </si>
  <si>
    <t>December 17, 2024</t>
  </si>
  <si>
    <t>26-Oct-2024</t>
  </si>
  <si>
    <t>2024-10-07</t>
  </si>
  <si>
    <t>03/09/2024</t>
  </si>
  <si>
    <t xml:space="preserve">319.45 </t>
  </si>
  <si>
    <t>2024-08-08</t>
  </si>
  <si>
    <t>11/01/2024</t>
  </si>
  <si>
    <t>16-Apr-2024</t>
  </si>
  <si>
    <t>$104.29</t>
  </si>
  <si>
    <t>08/07/2024</t>
  </si>
  <si>
    <t>2024-12-20</t>
  </si>
  <si>
    <t>$1,112.43</t>
  </si>
  <si>
    <t>2024-09-02</t>
  </si>
  <si>
    <t xml:space="preserve">249.24 </t>
  </si>
  <si>
    <t xml:space="preserve"> Failed </t>
  </si>
  <si>
    <t>03/03/2024</t>
  </si>
  <si>
    <t>$572.66</t>
  </si>
  <si>
    <t>2024-07-29</t>
  </si>
  <si>
    <t>12/16/2024</t>
  </si>
  <si>
    <t>$477.44</t>
  </si>
  <si>
    <t>June 17, 2024</t>
  </si>
  <si>
    <t xml:space="preserve">133.33 </t>
  </si>
  <si>
    <t>2024-04-29</t>
  </si>
  <si>
    <t>2024-08-07</t>
  </si>
  <si>
    <t>March 2, 2024</t>
  </si>
  <si>
    <t xml:space="preserve">367.05 </t>
  </si>
  <si>
    <t>2024-03-01</t>
  </si>
  <si>
    <t xml:space="preserve">721.99 </t>
  </si>
  <si>
    <t>14-Oct-2024</t>
  </si>
  <si>
    <t>$487.55</t>
  </si>
  <si>
    <t>10/19/2024</t>
  </si>
  <si>
    <t>29-Jun-2024</t>
  </si>
  <si>
    <t xml:space="preserve">179.63 </t>
  </si>
  <si>
    <t>07/05/2024</t>
  </si>
  <si>
    <t xml:space="preserve">444.87 </t>
  </si>
  <si>
    <t>failed</t>
  </si>
  <si>
    <t>03/05/2024</t>
  </si>
  <si>
    <t>$52.56</t>
  </si>
  <si>
    <t>08/18/2024</t>
  </si>
  <si>
    <t>$607.64</t>
  </si>
  <si>
    <t>17-Dec-2024</t>
  </si>
  <si>
    <t>2024-08-31</t>
  </si>
  <si>
    <t>$599.82</t>
  </si>
  <si>
    <t>1-Mar-2024</t>
  </si>
  <si>
    <t>17-May-2024</t>
  </si>
  <si>
    <t>$514.06</t>
  </si>
  <si>
    <t>06/24/2024</t>
  </si>
  <si>
    <t>$123.32</t>
  </si>
  <si>
    <t>08/25/2024</t>
  </si>
  <si>
    <t>2024-02-23</t>
  </si>
  <si>
    <t>07/16/2024</t>
  </si>
  <si>
    <t>2024-10-29</t>
  </si>
  <si>
    <t>01/04/2024</t>
  </si>
  <si>
    <t>2024-06-24</t>
  </si>
  <si>
    <t>November 8, 2024</t>
  </si>
  <si>
    <t>18-Jul-2024</t>
  </si>
  <si>
    <t>$-387.59</t>
  </si>
  <si>
    <t>12/25/2024</t>
  </si>
  <si>
    <t>7-Jun-2024</t>
  </si>
  <si>
    <t>08/13/2024</t>
  </si>
  <si>
    <t>06/12/2024</t>
  </si>
  <si>
    <t>October 24, 2024</t>
  </si>
  <si>
    <t>06/03/2024</t>
  </si>
  <si>
    <t>March 30, 2024</t>
  </si>
  <si>
    <t>13-Feb-2024</t>
  </si>
  <si>
    <t xml:space="preserve">454.77 </t>
  </si>
  <si>
    <t>2024-12-23</t>
  </si>
  <si>
    <t>26-Dec-2024</t>
  </si>
  <si>
    <t>July 5, 2024</t>
  </si>
  <si>
    <t>March 14, 2024</t>
  </si>
  <si>
    <t>$280.88</t>
  </si>
  <si>
    <t>7-May-2024</t>
  </si>
  <si>
    <t>2024-10-23</t>
  </si>
  <si>
    <t>11-Aug-2024</t>
  </si>
  <si>
    <t>01/20/2024</t>
  </si>
  <si>
    <t>$749.52</t>
  </si>
  <si>
    <t>2024-05-30</t>
  </si>
  <si>
    <t>11/18/2024</t>
  </si>
  <si>
    <t>$701.31</t>
  </si>
  <si>
    <t>2024-10-05</t>
  </si>
  <si>
    <t>$221.06</t>
  </si>
  <si>
    <t>2024-12-17</t>
  </si>
  <si>
    <t>2024-02-28</t>
  </si>
  <si>
    <t>08/03/2024</t>
  </si>
  <si>
    <t>31-Dec-2024</t>
  </si>
  <si>
    <t xml:space="preserve">511.69 </t>
  </si>
  <si>
    <t>10-Jan-2024</t>
  </si>
  <si>
    <t xml:space="preserve">578.65 </t>
  </si>
  <si>
    <t>2024-11-25</t>
  </si>
  <si>
    <t xml:space="preserve">60.89 </t>
  </si>
  <si>
    <t>2024-11-04</t>
  </si>
  <si>
    <t>2024-07-18</t>
  </si>
  <si>
    <t>6-Oct-2024</t>
  </si>
  <si>
    <t>11/14/2024</t>
  </si>
  <si>
    <t>December 15, 2024</t>
  </si>
  <si>
    <t>January 30, 2024</t>
  </si>
  <si>
    <t xml:space="preserve">-640.56 </t>
  </si>
  <si>
    <t>January 25, 2024</t>
  </si>
  <si>
    <t xml:space="preserve">609.31 </t>
  </si>
  <si>
    <t>March 16, 2024</t>
  </si>
  <si>
    <t>September 27, 2024</t>
  </si>
  <si>
    <t>$363.00</t>
  </si>
  <si>
    <t>12/06/2024</t>
  </si>
  <si>
    <t xml:space="preserve">615.39 </t>
  </si>
  <si>
    <t>11/04/2024</t>
  </si>
  <si>
    <t>5-Nov-2024</t>
  </si>
  <si>
    <t xml:space="preserve">951.11 </t>
  </si>
  <si>
    <t>2024-03-19</t>
  </si>
  <si>
    <t>11-Jan-2024</t>
  </si>
  <si>
    <t>12/09/2024</t>
  </si>
  <si>
    <t>September 21, 2024</t>
  </si>
  <si>
    <t>1-Jul-2024</t>
  </si>
  <si>
    <t>$319.40</t>
  </si>
  <si>
    <t>03/07/2024</t>
  </si>
  <si>
    <t>January 28, 2024</t>
  </si>
  <si>
    <t>04/28/2024</t>
  </si>
  <si>
    <t>2024-03-29</t>
  </si>
  <si>
    <t>2024-05-07</t>
  </si>
  <si>
    <t xml:space="preserve">260.17 </t>
  </si>
  <si>
    <t>5-May-2024</t>
  </si>
  <si>
    <t xml:space="preserve">-700.31 </t>
  </si>
  <si>
    <t>04/24/2024</t>
  </si>
  <si>
    <t>21-Jun-2024</t>
  </si>
  <si>
    <t>07/29/2024</t>
  </si>
  <si>
    <t xml:space="preserve">1,283.88 </t>
  </si>
  <si>
    <t>12/29/2024</t>
  </si>
  <si>
    <t>$847.72</t>
  </si>
  <si>
    <t>19-Aug-2024</t>
  </si>
  <si>
    <t>$538.09</t>
  </si>
  <si>
    <t>12/02/2024</t>
  </si>
  <si>
    <t>August 25, 2024</t>
  </si>
  <si>
    <t>22-May-2024</t>
  </si>
  <si>
    <t>11/10/2024</t>
  </si>
  <si>
    <t>April 20, 2024</t>
  </si>
  <si>
    <t xml:space="preserve">490.17 </t>
  </si>
  <si>
    <t>2-Nov-2024</t>
  </si>
  <si>
    <t>2024-02-27</t>
  </si>
  <si>
    <t>13-May-2024</t>
  </si>
  <si>
    <t>$528.75</t>
  </si>
  <si>
    <t>16-Jun-2024</t>
  </si>
  <si>
    <t>12/03/2024</t>
  </si>
  <si>
    <t>$495.69</t>
  </si>
  <si>
    <t>2024-03-16</t>
  </si>
  <si>
    <t>09/15/2024</t>
  </si>
  <si>
    <t>December 31, 2024</t>
  </si>
  <si>
    <t xml:space="preserve">-736.24 </t>
  </si>
  <si>
    <t>1-Oct-2024</t>
  </si>
  <si>
    <t>$126.71</t>
  </si>
  <si>
    <t>08/14/2024</t>
  </si>
  <si>
    <t>November 5, 2024</t>
  </si>
  <si>
    <t>4-Jan-2024</t>
  </si>
  <si>
    <t>2024-03-11</t>
  </si>
  <si>
    <t>$356.55</t>
  </si>
  <si>
    <t>11/25/2024</t>
  </si>
  <si>
    <t xml:space="preserve">520.79 </t>
  </si>
  <si>
    <t>September 9, 2024</t>
  </si>
  <si>
    <t xml:space="preserve">455.28 </t>
  </si>
  <si>
    <t>2024-04-08</t>
  </si>
  <si>
    <t>March 18, 2024</t>
  </si>
  <si>
    <t>$1,224.22</t>
  </si>
  <si>
    <t>09/30/2024</t>
  </si>
  <si>
    <t>2024-11-23</t>
  </si>
  <si>
    <t>08/20/2024</t>
  </si>
  <si>
    <t>06/18/2024</t>
  </si>
  <si>
    <t>$211.82</t>
  </si>
  <si>
    <t>11/09/2024</t>
  </si>
  <si>
    <t>06/04/2024</t>
  </si>
  <si>
    <t>2024-11-19</t>
  </si>
  <si>
    <t>July 10, 2024</t>
  </si>
  <si>
    <t>10-Nov-2024</t>
  </si>
  <si>
    <t>2024-11-02</t>
  </si>
  <si>
    <t>$675.34</t>
  </si>
  <si>
    <t>28-Sep-2024</t>
  </si>
  <si>
    <t>March 6, 2024</t>
  </si>
  <si>
    <t xml:space="preserve">105.95 </t>
  </si>
  <si>
    <t>2024-04-27</t>
  </si>
  <si>
    <t>07/03/2024</t>
  </si>
  <si>
    <t xml:space="preserve">-805.00 </t>
  </si>
  <si>
    <t>2024-12-24</t>
  </si>
  <si>
    <t>$594.03</t>
  </si>
  <si>
    <t>2024-05-25</t>
  </si>
  <si>
    <t>August 31, 2024</t>
  </si>
  <si>
    <t>$503.29</t>
  </si>
  <si>
    <t>May 14, 2024</t>
  </si>
  <si>
    <t>15-Feb-2024</t>
  </si>
  <si>
    <t xml:space="preserve">276.64 </t>
  </si>
  <si>
    <t>September 13, 2024</t>
  </si>
  <si>
    <t>$368.39</t>
  </si>
  <si>
    <t>2024-08-26</t>
  </si>
  <si>
    <t>November 15, 2024</t>
  </si>
  <si>
    <t>$408.02</t>
  </si>
  <si>
    <t>12-Mar-2024</t>
  </si>
  <si>
    <t xml:space="preserve">967.27 </t>
  </si>
  <si>
    <t>28-Jun-2024</t>
  </si>
  <si>
    <t>2024-05-31</t>
  </si>
  <si>
    <t>05/25/2024</t>
  </si>
  <si>
    <t>1-Aug-2024</t>
  </si>
  <si>
    <t xml:space="preserve">302.85 </t>
  </si>
  <si>
    <t>01/25/2024</t>
  </si>
  <si>
    <t>12/18/2024</t>
  </si>
  <si>
    <t>04/30/2024</t>
  </si>
  <si>
    <t>2024-02-01</t>
  </si>
  <si>
    <t>$777.92</t>
  </si>
  <si>
    <t>20-Mar-2024</t>
  </si>
  <si>
    <t>26-Mar-2024</t>
  </si>
  <si>
    <t>9-Nov-2024</t>
  </si>
  <si>
    <t xml:space="preserve">694.89 </t>
  </si>
  <si>
    <t>February 14, 2024</t>
  </si>
  <si>
    <t>$282.15</t>
  </si>
  <si>
    <t>12/14/2024</t>
  </si>
  <si>
    <t>2024-04-10</t>
  </si>
  <si>
    <t xml:space="preserve">220.81 </t>
  </si>
  <si>
    <t>2024-07-09</t>
  </si>
  <si>
    <t>01/05/2024</t>
  </si>
  <si>
    <t>$-229.64</t>
  </si>
  <si>
    <t>17-Oct-2024</t>
  </si>
  <si>
    <t>January 13, 2024</t>
  </si>
  <si>
    <t xml:space="preserve">328.84 </t>
  </si>
  <si>
    <t>11/08/2024</t>
  </si>
  <si>
    <t>December 30, 2024</t>
  </si>
  <si>
    <t>$540.76</t>
  </si>
  <si>
    <t>19-Oct-2024</t>
  </si>
  <si>
    <t>$435.17</t>
  </si>
  <si>
    <t xml:space="preserve">569.19 </t>
  </si>
  <si>
    <t>$576.82</t>
  </si>
  <si>
    <t>2024-02-07</t>
  </si>
  <si>
    <t>$588.36</t>
  </si>
  <si>
    <t>2024-10-15</t>
  </si>
  <si>
    <t>$2,034.81</t>
  </si>
  <si>
    <t>February 26, 2024</t>
  </si>
  <si>
    <t>$371.02</t>
  </si>
  <si>
    <t>03/27/2024</t>
  </si>
  <si>
    <t>28-Jan-2024</t>
  </si>
  <si>
    <t>2024-07-03</t>
  </si>
  <si>
    <t>6-Apr-2024</t>
  </si>
  <si>
    <t>October 1, 2024</t>
  </si>
  <si>
    <t>27-Mar-2024</t>
  </si>
  <si>
    <t>2024-11-22</t>
  </si>
  <si>
    <t>$412.21</t>
  </si>
  <si>
    <t>$372.10</t>
  </si>
  <si>
    <t>03/15/2024</t>
  </si>
  <si>
    <t>October 25, 2024</t>
  </si>
  <si>
    <t>03/02/2024</t>
  </si>
  <si>
    <t>2024-12-04</t>
  </si>
  <si>
    <t xml:space="preserve">420.26 </t>
  </si>
  <si>
    <t>2024-08-06</t>
  </si>
  <si>
    <t>$257.50</t>
  </si>
  <si>
    <t>2024-05-22</t>
  </si>
  <si>
    <t>February 9, 2024</t>
  </si>
  <si>
    <t>2024-10-28</t>
  </si>
  <si>
    <t>$225.84</t>
  </si>
  <si>
    <t>10/08/2024</t>
  </si>
  <si>
    <t>08/09/2024</t>
  </si>
  <si>
    <t>31-Mar-2024</t>
  </si>
  <si>
    <t xml:space="preserve">-623.62 </t>
  </si>
  <si>
    <t>08/21/2024</t>
  </si>
  <si>
    <t>$84.77</t>
  </si>
  <si>
    <t>09/04/2024</t>
  </si>
  <si>
    <t xml:space="preserve">518.42 </t>
  </si>
  <si>
    <t>August 17, 2024</t>
  </si>
  <si>
    <t xml:space="preserve">967.94 </t>
  </si>
  <si>
    <t>2024-01-09</t>
  </si>
  <si>
    <t>27-Feb-2024</t>
  </si>
  <si>
    <t>April 15, 2024</t>
  </si>
  <si>
    <t>27-Aug-2024</t>
  </si>
  <si>
    <t>03/13/2024</t>
  </si>
  <si>
    <t>2024-09-01</t>
  </si>
  <si>
    <t>$458.27</t>
  </si>
  <si>
    <t>5-Jul-2024</t>
  </si>
  <si>
    <t>$353.54</t>
  </si>
  <si>
    <t>10/27/2024</t>
  </si>
  <si>
    <t>September 7, 2024</t>
  </si>
  <si>
    <t xml:space="preserve">1,084.87 </t>
  </si>
  <si>
    <t>June 22, 2024</t>
  </si>
  <si>
    <t>12/17/2024</t>
  </si>
  <si>
    <t>$1,172.99</t>
  </si>
  <si>
    <t>01/08/2024</t>
  </si>
  <si>
    <t>2024-09-26</t>
  </si>
  <si>
    <t>3-Jan-2024</t>
  </si>
  <si>
    <t>2024-12-09</t>
  </si>
  <si>
    <t xml:space="preserve">258.38 </t>
  </si>
  <si>
    <t>10-Jul-2024</t>
  </si>
  <si>
    <t>May 12, 2024</t>
  </si>
  <si>
    <t>September 11, 2024</t>
  </si>
  <si>
    <t>2024-07-28</t>
  </si>
  <si>
    <t>2024-04-25</t>
  </si>
  <si>
    <t>2-Jan-2024</t>
  </si>
  <si>
    <t>$583.66</t>
  </si>
  <si>
    <t>2024-08-27</t>
  </si>
  <si>
    <t>07/18/2024</t>
  </si>
  <si>
    <t xml:space="preserve">-583.02 </t>
  </si>
  <si>
    <t>06/29/2024</t>
  </si>
  <si>
    <t xml:space="preserve">325.37 </t>
  </si>
  <si>
    <t>2024-12-31</t>
  </si>
  <si>
    <t xml:space="preserve">-202.41 </t>
  </si>
  <si>
    <t>12-Jun-2024</t>
  </si>
  <si>
    <t xml:space="preserve">110.58 </t>
  </si>
  <si>
    <t>$-495.66</t>
  </si>
  <si>
    <t>06/11/2024</t>
  </si>
  <si>
    <t>04/11/2024</t>
  </si>
  <si>
    <t xml:space="preserve">132.22 </t>
  </si>
  <si>
    <t>03/14/2024</t>
  </si>
  <si>
    <t>$499.41</t>
  </si>
  <si>
    <t>2024-04-21</t>
  </si>
  <si>
    <t>$-404.95</t>
  </si>
  <si>
    <t>25-Mar-2024</t>
  </si>
  <si>
    <t>14-Jun-2024</t>
  </si>
  <si>
    <t>$188.83</t>
  </si>
  <si>
    <t>August 30, 2024</t>
  </si>
  <si>
    <t>2024-10-04</t>
  </si>
  <si>
    <t>$492.89</t>
  </si>
  <si>
    <t>04/01/2024</t>
  </si>
  <si>
    <t>$208.30</t>
  </si>
  <si>
    <t>19-Mar-2024</t>
  </si>
  <si>
    <t>07/06/2024</t>
  </si>
  <si>
    <t>April 7, 2024</t>
  </si>
  <si>
    <t>2024-12-16</t>
  </si>
  <si>
    <t xml:space="preserve">513.49 </t>
  </si>
  <si>
    <t>$145.38</t>
  </si>
  <si>
    <t>May 2, 2024</t>
  </si>
  <si>
    <t>August 28, 2024</t>
  </si>
  <si>
    <t>January 19, 2024</t>
  </si>
  <si>
    <t xml:space="preserve">633.54 </t>
  </si>
  <si>
    <t>02/10/2024</t>
  </si>
  <si>
    <t xml:space="preserve">255.50 </t>
  </si>
  <si>
    <t>February 25, 2024</t>
  </si>
  <si>
    <t>July 2, 2024</t>
  </si>
  <si>
    <t>2024-07-05</t>
  </si>
  <si>
    <t>01/07/2024</t>
  </si>
  <si>
    <t xml:space="preserve">165.79 </t>
  </si>
  <si>
    <t>2024-12-12</t>
  </si>
  <si>
    <t>14-Dec-2024</t>
  </si>
  <si>
    <t>06/06/2024</t>
  </si>
  <si>
    <t>$281.54</t>
  </si>
  <si>
    <t>2024-05-27</t>
  </si>
  <si>
    <t>27-Sep-2024</t>
  </si>
  <si>
    <t xml:space="preserve">402.88 </t>
  </si>
  <si>
    <t>01/12/2024</t>
  </si>
  <si>
    <t>$127.77</t>
  </si>
  <si>
    <t>2024-11-10</t>
  </si>
  <si>
    <t>17-Sep-2024</t>
  </si>
  <si>
    <t>12-Sep-2024</t>
  </si>
  <si>
    <t>8-Sep-2024</t>
  </si>
  <si>
    <t>$290.03</t>
  </si>
  <si>
    <t>03/29/2024</t>
  </si>
  <si>
    <t>$268.55</t>
  </si>
  <si>
    <t>05/01/2024</t>
  </si>
  <si>
    <t>$-961.66</t>
  </si>
  <si>
    <t>6-Sep-2024</t>
  </si>
  <si>
    <t>1-May-2024</t>
  </si>
  <si>
    <t>09/16/2024</t>
  </si>
  <si>
    <t xml:space="preserve">399.42 </t>
  </si>
  <si>
    <t>April 30, 2024</t>
  </si>
  <si>
    <t>$635.19</t>
  </si>
  <si>
    <t xml:space="preserve">364.39 </t>
  </si>
  <si>
    <t>12-Aug-2024</t>
  </si>
  <si>
    <t xml:space="preserve">262.71 </t>
  </si>
  <si>
    <t>05/02/2024</t>
  </si>
  <si>
    <t>$822.08</t>
  </si>
  <si>
    <t>2024-08-15</t>
  </si>
  <si>
    <t>$198.98</t>
  </si>
  <si>
    <t>$22.75</t>
  </si>
  <si>
    <t>01/31/2024</t>
  </si>
  <si>
    <t>$190.54</t>
  </si>
  <si>
    <t>2024-07-10</t>
  </si>
  <si>
    <t>$1,124.26</t>
  </si>
  <si>
    <t>$327.24</t>
  </si>
  <si>
    <t>06/16/2024</t>
  </si>
  <si>
    <t>July 12, 2024</t>
  </si>
  <si>
    <t xml:space="preserve">362.60 </t>
  </si>
  <si>
    <t>01/28/2024</t>
  </si>
  <si>
    <t xml:space="preserve">275.50 </t>
  </si>
  <si>
    <t>September 24, 2024</t>
  </si>
  <si>
    <t>$95.33</t>
  </si>
  <si>
    <t>02/14/2024</t>
  </si>
  <si>
    <t xml:space="preserve">393.35 </t>
  </si>
  <si>
    <t>05/10/2024</t>
  </si>
  <si>
    <t xml:space="preserve">835.92 </t>
  </si>
  <si>
    <t>April 14, 2024</t>
  </si>
  <si>
    <t>$190.95</t>
  </si>
  <si>
    <t>8-Dec-2024</t>
  </si>
  <si>
    <t>12/04/2024</t>
  </si>
  <si>
    <t>2024-09-04</t>
  </si>
  <si>
    <t>December 3, 2024</t>
  </si>
  <si>
    <t>01/23/2024</t>
  </si>
  <si>
    <t>04/18/2024</t>
  </si>
  <si>
    <t>$393.41</t>
  </si>
  <si>
    <t>2024-11-17</t>
  </si>
  <si>
    <t>$388.14</t>
  </si>
  <si>
    <t>November 1, 2024</t>
  </si>
  <si>
    <t>October 14, 2024</t>
  </si>
  <si>
    <t>2024-01-07</t>
  </si>
  <si>
    <t>$338.49</t>
  </si>
  <si>
    <t>July 30, 2024</t>
  </si>
  <si>
    <t>October 20, 2024</t>
  </si>
  <si>
    <t>2024-01-11</t>
  </si>
  <si>
    <t>2024-02-04</t>
  </si>
  <si>
    <t>$1,474.39</t>
  </si>
  <si>
    <t>January 20, 2024</t>
  </si>
  <si>
    <t>$482.40</t>
  </si>
  <si>
    <t>March 23, 2024</t>
  </si>
  <si>
    <t>$372.47</t>
  </si>
  <si>
    <t>December 22, 2024</t>
  </si>
  <si>
    <t xml:space="preserve">164.06 </t>
  </si>
  <si>
    <t>January 17, 2024</t>
  </si>
  <si>
    <t>10-Oct-2024</t>
  </si>
  <si>
    <t>16-Oct-2024</t>
  </si>
  <si>
    <t xml:space="preserve">58.22 </t>
  </si>
  <si>
    <t>29-Jan-2024</t>
  </si>
  <si>
    <t xml:space="preserve">120.55 </t>
  </si>
  <si>
    <t>October 6, 2024</t>
  </si>
  <si>
    <t>$15.56</t>
  </si>
  <si>
    <t>$573.85</t>
  </si>
  <si>
    <t>$709.64</t>
  </si>
  <si>
    <t>$1,175.34</t>
  </si>
  <si>
    <t>August 10, 2024</t>
  </si>
  <si>
    <t>February 23, 2024</t>
  </si>
  <si>
    <t xml:space="preserve">312.80 </t>
  </si>
  <si>
    <t>$50.82</t>
  </si>
  <si>
    <t>September 2, 2024</t>
  </si>
  <si>
    <t>09/24/2024</t>
  </si>
  <si>
    <t>12/24/2024</t>
  </si>
  <si>
    <t>February 22, 2024</t>
  </si>
  <si>
    <t>03/01/2024</t>
  </si>
  <si>
    <t>$238.03</t>
  </si>
  <si>
    <t xml:space="preserve">731.16 </t>
  </si>
  <si>
    <t>05/26/2024</t>
  </si>
  <si>
    <t>26-Apr-2024</t>
  </si>
  <si>
    <t>2024-09-11</t>
  </si>
  <si>
    <t>01/16/2024</t>
  </si>
  <si>
    <t>$279.25</t>
  </si>
  <si>
    <t>29-Sep-2024</t>
  </si>
  <si>
    <t>07/17/2024</t>
  </si>
  <si>
    <t>February 10, 2024</t>
  </si>
  <si>
    <t>$448.70</t>
  </si>
  <si>
    <t>10/28/2024</t>
  </si>
  <si>
    <t xml:space="preserve">356.89 </t>
  </si>
  <si>
    <t>12/10/2024</t>
  </si>
  <si>
    <t>$183.91</t>
  </si>
  <si>
    <t>$480.93</t>
  </si>
  <si>
    <t>2024-03-22</t>
  </si>
  <si>
    <t>April 13, 2024</t>
  </si>
  <si>
    <t>$540.43</t>
  </si>
  <si>
    <t>6-May-2024</t>
  </si>
  <si>
    <t xml:space="preserve">333.43 </t>
  </si>
  <si>
    <t>2024-10-12</t>
  </si>
  <si>
    <t>12/15/2024</t>
  </si>
  <si>
    <t>$161.34</t>
  </si>
  <si>
    <t>18-Mar-2024</t>
  </si>
  <si>
    <t>$416.45</t>
  </si>
  <si>
    <t>22-Oct-2024</t>
  </si>
  <si>
    <t xml:space="preserve">543.19 </t>
  </si>
  <si>
    <t>04/17/2024</t>
  </si>
  <si>
    <t xml:space="preserve">248.43 </t>
  </si>
  <si>
    <t>10/13/2024</t>
  </si>
  <si>
    <t>2024-07-01</t>
  </si>
  <si>
    <t>March 26, 2024</t>
  </si>
  <si>
    <t>2024-05-16</t>
  </si>
  <si>
    <t>January 8, 2024</t>
  </si>
  <si>
    <t xml:space="preserve">257.56 </t>
  </si>
  <si>
    <t>November 18, 2024</t>
  </si>
  <si>
    <t>$555.65</t>
  </si>
  <si>
    <t>June 20, 2024</t>
  </si>
  <si>
    <t>$185.06</t>
  </si>
  <si>
    <t>11/19/2024</t>
  </si>
  <si>
    <t>06/07/2024</t>
  </si>
  <si>
    <t xml:space="preserve">137.92 </t>
  </si>
  <si>
    <t>8-Oct-2024</t>
  </si>
  <si>
    <t>2024-10-03</t>
  </si>
  <si>
    <t>$652.12</t>
  </si>
  <si>
    <t>April 24, 2024</t>
  </si>
  <si>
    <t>11/20/2024</t>
  </si>
  <si>
    <t>July 22, 2024</t>
  </si>
  <si>
    <t xml:space="preserve">266.53 </t>
  </si>
  <si>
    <t>13-Mar-2024</t>
  </si>
  <si>
    <t xml:space="preserve">-643.47 </t>
  </si>
  <si>
    <t>10/24/2024</t>
  </si>
  <si>
    <t>2024-03-26</t>
  </si>
  <si>
    <t>$375.37</t>
  </si>
  <si>
    <t>06/13/2024</t>
  </si>
  <si>
    <t>March 20, 2024</t>
  </si>
  <si>
    <t xml:space="preserve">-487.21 </t>
  </si>
  <si>
    <t>December 28, 2024</t>
  </si>
  <si>
    <t>3-Nov-2024</t>
  </si>
  <si>
    <t>10/17/2024</t>
  </si>
  <si>
    <t xml:space="preserve">166.48 </t>
  </si>
  <si>
    <t>March 13, 2024</t>
  </si>
  <si>
    <t xml:space="preserve">456.75 </t>
  </si>
  <si>
    <t>2024-04-22</t>
  </si>
  <si>
    <t>02/22/2024</t>
  </si>
  <si>
    <t>December 29, 2024</t>
  </si>
  <si>
    <t>2024-06-14</t>
  </si>
  <si>
    <t>October 19, 2024</t>
  </si>
  <si>
    <t>$219.49</t>
  </si>
  <si>
    <t>$279.71</t>
  </si>
  <si>
    <t>May 3, 2024</t>
  </si>
  <si>
    <t>$756.35</t>
  </si>
  <si>
    <t>06/15/2024</t>
  </si>
  <si>
    <t>4-May-2024</t>
  </si>
  <si>
    <t>$1,505.67</t>
  </si>
  <si>
    <t>28-Nov-2024</t>
  </si>
  <si>
    <t>01/26/2024</t>
  </si>
  <si>
    <t>$429.11</t>
  </si>
  <si>
    <t>10/30/2024</t>
  </si>
  <si>
    <t>2024-12-13</t>
  </si>
  <si>
    <t xml:space="preserve">599.41 </t>
  </si>
  <si>
    <t>October 2, 2024</t>
  </si>
  <si>
    <t>03/17/2024</t>
  </si>
  <si>
    <t>July 29, 2024</t>
  </si>
  <si>
    <t xml:space="preserve">285.20 </t>
  </si>
  <si>
    <t>29-Aug-2024</t>
  </si>
  <si>
    <t>2024-08-12</t>
  </si>
  <si>
    <t>$456.93</t>
  </si>
  <si>
    <t>July 26, 2024</t>
  </si>
  <si>
    <t>August 9, 2024</t>
  </si>
  <si>
    <t>$265.20</t>
  </si>
  <si>
    <t>2024-09-09</t>
  </si>
  <si>
    <t>6-Mar-2024</t>
  </si>
  <si>
    <t xml:space="preserve">165.33 </t>
  </si>
  <si>
    <t>July 13, 2024</t>
  </si>
  <si>
    <t xml:space="preserve">154.65 </t>
  </si>
  <si>
    <t>July 15, 2024</t>
  </si>
  <si>
    <t>2024-12-08</t>
  </si>
  <si>
    <t xml:space="preserve">539.68 </t>
  </si>
  <si>
    <t>10-Jun-2024</t>
  </si>
  <si>
    <t>$593.95</t>
  </si>
  <si>
    <t>08/16/2024</t>
  </si>
  <si>
    <t>10/31/2024</t>
  </si>
  <si>
    <t>April 2, 2024</t>
  </si>
  <si>
    <t>2024-07-19</t>
  </si>
  <si>
    <t>2024-10-21</t>
  </si>
  <si>
    <t>May 8, 2024</t>
  </si>
  <si>
    <t>30-Aug-2024</t>
  </si>
  <si>
    <t>$686.29</t>
  </si>
  <si>
    <t>2024-04-06</t>
  </si>
  <si>
    <t>January 18, 2024</t>
  </si>
  <si>
    <t>5-Apr-2024</t>
  </si>
  <si>
    <t>$164.58</t>
  </si>
  <si>
    <t>09/23/2024</t>
  </si>
  <si>
    <t>$448.23</t>
  </si>
  <si>
    <t xml:space="preserve">351.28 </t>
  </si>
  <si>
    <t>2024-10-06</t>
  </si>
  <si>
    <t>$80.71</t>
  </si>
  <si>
    <t>17-Nov-2024</t>
  </si>
  <si>
    <t>October 16, 2024</t>
  </si>
  <si>
    <t xml:space="preserve">83.08 </t>
  </si>
  <si>
    <t>September 3, 2024</t>
  </si>
  <si>
    <t>$-332.05</t>
  </si>
  <si>
    <t>2024-04-17</t>
  </si>
  <si>
    <t>2024-12-02</t>
  </si>
  <si>
    <t>2024-07-20</t>
  </si>
  <si>
    <t>$322.78</t>
  </si>
  <si>
    <t>7-Sep-2024</t>
  </si>
  <si>
    <t>January 22, 2024</t>
  </si>
  <si>
    <t>7-Aug-2024</t>
  </si>
  <si>
    <t>17-Mar-2024</t>
  </si>
  <si>
    <t>6-Feb-2024</t>
  </si>
  <si>
    <t>October 21, 2024</t>
  </si>
  <si>
    <t>February 19, 2024</t>
  </si>
  <si>
    <t>21-Oct-2024</t>
  </si>
  <si>
    <t xml:space="preserve">76.85 </t>
  </si>
  <si>
    <t>October 4, 2024</t>
  </si>
  <si>
    <t>$535.57</t>
  </si>
  <si>
    <t>2024-02-29</t>
  </si>
  <si>
    <t>5-Oct-2024</t>
  </si>
  <si>
    <t>November 17, 2024</t>
  </si>
  <si>
    <t>24-Jan-2024</t>
  </si>
  <si>
    <t>$232.36</t>
  </si>
  <si>
    <t>23-Sep-2024</t>
  </si>
  <si>
    <t>February 13, 2024</t>
  </si>
  <si>
    <t xml:space="preserve">530.32 </t>
  </si>
  <si>
    <t>March 15, 2024</t>
  </si>
  <si>
    <t>March 28, 2024</t>
  </si>
  <si>
    <t>$729.11</t>
  </si>
  <si>
    <t>11/21/2024</t>
  </si>
  <si>
    <t>$419.48</t>
  </si>
  <si>
    <t>2024-08-18</t>
  </si>
  <si>
    <t>03/19/2024</t>
  </si>
  <si>
    <t xml:space="preserve">368.24 </t>
  </si>
  <si>
    <t>07/02/2024</t>
  </si>
  <si>
    <t>2-Feb-2024</t>
  </si>
  <si>
    <t>1-Feb-2024</t>
  </si>
  <si>
    <t>2024-07-04</t>
  </si>
  <si>
    <t>$743.63</t>
  </si>
  <si>
    <t>24-Feb-2024</t>
  </si>
  <si>
    <t xml:space="preserve">599.03 </t>
  </si>
  <si>
    <t>September 6, 2024</t>
  </si>
  <si>
    <t>2024-10-01</t>
  </si>
  <si>
    <t>August 18, 2024</t>
  </si>
  <si>
    <t>18-Nov-2024</t>
  </si>
  <si>
    <t>$227.58</t>
  </si>
  <si>
    <t>18-Sep-2024</t>
  </si>
  <si>
    <t>$443.57</t>
  </si>
  <si>
    <t>11/07/2024</t>
  </si>
  <si>
    <t xml:space="preserve">-1,355.07 </t>
  </si>
  <si>
    <t>$437.75</t>
  </si>
  <si>
    <t>April 4, 2024</t>
  </si>
  <si>
    <t xml:space="preserve">345.23 </t>
  </si>
  <si>
    <t>28-Aug-2024</t>
  </si>
  <si>
    <t xml:space="preserve">1,354.02 </t>
  </si>
  <si>
    <t>$-135.85</t>
  </si>
  <si>
    <t>September 8, 2024</t>
  </si>
  <si>
    <t>27-Nov-2024</t>
  </si>
  <si>
    <t>$595.23</t>
  </si>
  <si>
    <t>2024-07-21</t>
  </si>
  <si>
    <t>$137.66</t>
  </si>
  <si>
    <t>September 29, 2024</t>
  </si>
  <si>
    <t>2024-01-22</t>
  </si>
  <si>
    <t>05/18/2024</t>
  </si>
  <si>
    <t>02/20/2024</t>
  </si>
  <si>
    <t>2024-06-10</t>
  </si>
  <si>
    <t xml:space="preserve">529.93 </t>
  </si>
  <si>
    <t>$190.22</t>
  </si>
  <si>
    <t>$418.05</t>
  </si>
  <si>
    <t>12/19/2024</t>
  </si>
  <si>
    <t>December 24, 2024</t>
  </si>
  <si>
    <t>$402.69</t>
  </si>
  <si>
    <t>14-Aug-2024</t>
  </si>
  <si>
    <t xml:space="preserve">932.55 </t>
  </si>
  <si>
    <t>2024-06-09</t>
  </si>
  <si>
    <t xml:space="preserve">529.38 </t>
  </si>
  <si>
    <t>12-Jul-2024</t>
  </si>
  <si>
    <t>$473.69</t>
  </si>
  <si>
    <t>2024-06-29</t>
  </si>
  <si>
    <t>December 4, 2024</t>
  </si>
  <si>
    <t>2024-09-10</t>
  </si>
  <si>
    <t>$187.13</t>
  </si>
  <si>
    <t>$263.89</t>
  </si>
  <si>
    <t>1-Apr-2024</t>
  </si>
  <si>
    <t xml:space="preserve">749.51 </t>
  </si>
  <si>
    <t>2024-06-20</t>
  </si>
  <si>
    <t xml:space="preserve">174.99 </t>
  </si>
  <si>
    <t>$145.43</t>
  </si>
  <si>
    <t>9-Jul-2024</t>
  </si>
  <si>
    <t>February 28, 2024</t>
  </si>
  <si>
    <t>24-Sep-2024</t>
  </si>
  <si>
    <t>$337.78</t>
  </si>
  <si>
    <t>03/28/2024</t>
  </si>
  <si>
    <t>07/10/2024</t>
  </si>
  <si>
    <t>October 9, 2024</t>
  </si>
  <si>
    <t>11/24/2024</t>
  </si>
  <si>
    <t>06/27/2024</t>
  </si>
  <si>
    <t>2024-05-10</t>
  </si>
  <si>
    <t xml:space="preserve">817.74 </t>
  </si>
  <si>
    <t>2024-10-27</t>
  </si>
  <si>
    <t>$406.14</t>
  </si>
  <si>
    <t>2024-08-05</t>
  </si>
  <si>
    <t>$452.44</t>
  </si>
  <si>
    <t>$163.40</t>
  </si>
  <si>
    <t>06/17/2024</t>
  </si>
  <si>
    <t>$108.00</t>
  </si>
  <si>
    <t>27-May-2024</t>
  </si>
  <si>
    <t>$288.80</t>
  </si>
  <si>
    <t>2024-10-18</t>
  </si>
  <si>
    <t>$344.73</t>
  </si>
  <si>
    <t>March 29, 2024</t>
  </si>
  <si>
    <t xml:space="preserve">743.14 </t>
  </si>
  <si>
    <t>$732.50</t>
  </si>
  <si>
    <t>25-Oct-2024</t>
  </si>
  <si>
    <t>$935.84</t>
  </si>
  <si>
    <t>December 2, 2024</t>
  </si>
  <si>
    <t>11/23/2024</t>
  </si>
  <si>
    <t>$142.64</t>
  </si>
  <si>
    <t>August 12, 2024</t>
  </si>
  <si>
    <t xml:space="preserve">444.52 </t>
  </si>
  <si>
    <t>09/21/2024</t>
  </si>
  <si>
    <t>$744.22</t>
  </si>
  <si>
    <t>05/30/2024</t>
  </si>
  <si>
    <t>12/30/2024</t>
  </si>
  <si>
    <t>21-Jul-2024</t>
  </si>
  <si>
    <t>2024-02-17</t>
  </si>
  <si>
    <t>2024-03-24</t>
  </si>
  <si>
    <t xml:space="preserve">-1,163.56 </t>
  </si>
  <si>
    <t>30-Jun-2024</t>
  </si>
  <si>
    <t>5-Dec-2024</t>
  </si>
  <si>
    <t xml:space="preserve">483.98 </t>
  </si>
  <si>
    <t>August 29, 2024</t>
  </si>
  <si>
    <t>$180.47</t>
  </si>
  <si>
    <t>3-Sep-2024</t>
  </si>
  <si>
    <t>04/25/2024</t>
  </si>
  <si>
    <t>$402.18</t>
  </si>
  <si>
    <t>8-Feb-2024</t>
  </si>
  <si>
    <t>29-Nov-2024</t>
  </si>
  <si>
    <t>$-847.25</t>
  </si>
  <si>
    <t>02/17/2024</t>
  </si>
  <si>
    <t>October 17, 2024</t>
  </si>
  <si>
    <t>08/12/2024</t>
  </si>
  <si>
    <t xml:space="preserve">1,374.13 </t>
  </si>
  <si>
    <t>February 1, 2024</t>
  </si>
  <si>
    <t>24-Jul-2024</t>
  </si>
  <si>
    <t>03/11/2024</t>
  </si>
  <si>
    <t>$742.05</t>
  </si>
  <si>
    <t>$577.38</t>
  </si>
  <si>
    <t>$707.38</t>
  </si>
  <si>
    <t>$242.67</t>
  </si>
  <si>
    <t>01/21/2024</t>
  </si>
  <si>
    <t>$257.40</t>
  </si>
  <si>
    <t>06/28/2024</t>
  </si>
  <si>
    <t>07/27/2024</t>
  </si>
  <si>
    <t>$312.03</t>
  </si>
  <si>
    <t>05/03/2024</t>
  </si>
  <si>
    <t>$383.27</t>
  </si>
  <si>
    <t>9-Feb-2024</t>
  </si>
  <si>
    <t xml:space="preserve">110.54 </t>
  </si>
  <si>
    <t>2024-04-28</t>
  </si>
  <si>
    <t>$798.13</t>
  </si>
  <si>
    <t xml:space="preserve">475.34 </t>
  </si>
  <si>
    <t xml:space="preserve">138.34 </t>
  </si>
  <si>
    <t>2024-11-07</t>
  </si>
  <si>
    <t>2024-12-01</t>
  </si>
  <si>
    <t xml:space="preserve">231.78 </t>
  </si>
  <si>
    <t>03/21/2024</t>
  </si>
  <si>
    <t>$829.29</t>
  </si>
  <si>
    <t>16-Jul-2024</t>
  </si>
  <si>
    <t>$657.38</t>
  </si>
  <si>
    <t>2024-11-09</t>
  </si>
  <si>
    <t>10-May-2024</t>
  </si>
  <si>
    <t xml:space="preserve">71.13 </t>
  </si>
  <si>
    <t>$911.23</t>
  </si>
  <si>
    <t>03/10/2024</t>
  </si>
  <si>
    <t>$229.70</t>
  </si>
  <si>
    <t>29-Mar-2024</t>
  </si>
  <si>
    <t>October 27, 2024</t>
  </si>
  <si>
    <t xml:space="preserve">1,007.21 </t>
  </si>
  <si>
    <t>2024-06-05</t>
  </si>
  <si>
    <t>$660.17</t>
  </si>
  <si>
    <t>$475.48</t>
  </si>
  <si>
    <t xml:space="preserve">151.53 </t>
  </si>
  <si>
    <t>June 16, 2024</t>
  </si>
  <si>
    <t>06/08/2024</t>
  </si>
  <si>
    <t>2-Sep-2024</t>
  </si>
  <si>
    <t xml:space="preserve">545.06 </t>
  </si>
  <si>
    <t>05/24/2024</t>
  </si>
  <si>
    <t>$309.25</t>
  </si>
  <si>
    <t>4-Feb-2024</t>
  </si>
  <si>
    <t>11/05/2024</t>
  </si>
  <si>
    <t>3-Apr-2024</t>
  </si>
  <si>
    <t>2024-06-22</t>
  </si>
  <si>
    <t>2024-07-13</t>
  </si>
  <si>
    <t>27-Dec-2024</t>
  </si>
  <si>
    <t>28-Oct-2024</t>
  </si>
  <si>
    <t>07/13/2024</t>
  </si>
  <si>
    <t>$330.76</t>
  </si>
  <si>
    <t>4-Sep-2024</t>
  </si>
  <si>
    <t xml:space="preserve">400.94 </t>
  </si>
  <si>
    <t>2024-02-25</t>
  </si>
  <si>
    <t>$882.47</t>
  </si>
  <si>
    <t>June 10, 2024</t>
  </si>
  <si>
    <t>$694.15</t>
  </si>
  <si>
    <t>$549.07</t>
  </si>
  <si>
    <t>2024-05-01</t>
  </si>
  <si>
    <t>2024-01-14</t>
  </si>
  <si>
    <t xml:space="preserve">145.18 </t>
  </si>
  <si>
    <t>2024-03-02</t>
  </si>
  <si>
    <t>24-Nov-2024</t>
  </si>
  <si>
    <t>2024-01-31</t>
  </si>
  <si>
    <t>$841.64</t>
  </si>
  <si>
    <t>24-Jun-2024</t>
  </si>
  <si>
    <t>11-Mar-2024</t>
  </si>
  <si>
    <t>12-Apr-2024</t>
  </si>
  <si>
    <t>January 10, 2024</t>
  </si>
  <si>
    <t>2024-05-18</t>
  </si>
  <si>
    <t>$504.12</t>
  </si>
  <si>
    <t>3-Feb-2024</t>
  </si>
  <si>
    <t>$381.73</t>
  </si>
  <si>
    <t>2024-09-07</t>
  </si>
  <si>
    <t xml:space="preserve">514.81 </t>
  </si>
  <si>
    <t>2024-04-12</t>
  </si>
  <si>
    <t>03/30/2024</t>
  </si>
  <si>
    <t>$310.84</t>
  </si>
  <si>
    <t>June 25, 2024</t>
  </si>
  <si>
    <t>04/09/2024</t>
  </si>
  <si>
    <t>2024-02-19</t>
  </si>
  <si>
    <t>$325.99</t>
  </si>
  <si>
    <t>August 4, 2024</t>
  </si>
  <si>
    <t>07/22/2024</t>
  </si>
  <si>
    <t>11/28/2024</t>
  </si>
  <si>
    <t>2024-08-13</t>
  </si>
  <si>
    <t>June 30, 2024</t>
  </si>
  <si>
    <t>$458.57</t>
  </si>
  <si>
    <t>02/21/2024</t>
  </si>
  <si>
    <t>02/11/2024</t>
  </si>
  <si>
    <t>2024-07-14</t>
  </si>
  <si>
    <t>01/01/2024</t>
  </si>
  <si>
    <t xml:space="preserve">340.02 </t>
  </si>
  <si>
    <t>23-Mar-2024</t>
  </si>
  <si>
    <t>$843.96</t>
  </si>
  <si>
    <t>$398.01</t>
  </si>
  <si>
    <t>2024-08-17</t>
  </si>
  <si>
    <t>8-May-2024</t>
  </si>
  <si>
    <t>$343.12</t>
  </si>
  <si>
    <t>2024-04-05</t>
  </si>
  <si>
    <t>09/19/2024</t>
  </si>
  <si>
    <t>$538.32</t>
  </si>
  <si>
    <t>26-Feb-2024</t>
  </si>
  <si>
    <t>$275.27</t>
  </si>
  <si>
    <t>23-Aug-2024</t>
  </si>
  <si>
    <t>October 8, 2024</t>
  </si>
  <si>
    <t>$-446.81</t>
  </si>
  <si>
    <t>April 22, 2024</t>
  </si>
  <si>
    <t>$355.49</t>
  </si>
  <si>
    <t>2024-11-13</t>
  </si>
  <si>
    <t>26-Sep-2024</t>
  </si>
  <si>
    <t>February 21, 2024</t>
  </si>
  <si>
    <t>06/19/2024</t>
  </si>
  <si>
    <t xml:space="preserve">258.85 </t>
  </si>
  <si>
    <t xml:space="preserve">109.18 </t>
  </si>
  <si>
    <t>9-Oct-2024</t>
  </si>
  <si>
    <t>10/18/2024</t>
  </si>
  <si>
    <t>May 17, 2024</t>
  </si>
  <si>
    <t>$259.15</t>
  </si>
  <si>
    <t>2024-10-24</t>
  </si>
  <si>
    <t>$467.97</t>
  </si>
  <si>
    <t>$151.08</t>
  </si>
  <si>
    <t>01/17/2024</t>
  </si>
  <si>
    <t>$255.80</t>
  </si>
  <si>
    <t>February 24, 2024</t>
  </si>
  <si>
    <t>$233.90</t>
  </si>
  <si>
    <t>05/15/2024</t>
  </si>
  <si>
    <t>$-543.00</t>
  </si>
  <si>
    <t>2024-04-02</t>
  </si>
  <si>
    <t xml:space="preserve">217.02 </t>
  </si>
  <si>
    <t>06/14/2024</t>
  </si>
  <si>
    <t>November 28, 2024</t>
  </si>
  <si>
    <t>11-Nov-2024</t>
  </si>
  <si>
    <t>June 13, 2024</t>
  </si>
  <si>
    <t>2024-06-15</t>
  </si>
  <si>
    <t>February 16, 2024</t>
  </si>
  <si>
    <t>$797.29</t>
  </si>
  <si>
    <t xml:space="preserve">325.14 </t>
  </si>
  <si>
    <t>$249.77</t>
  </si>
  <si>
    <t>November 14, 2024</t>
  </si>
  <si>
    <t>$712.24</t>
  </si>
  <si>
    <t>$757.68</t>
  </si>
  <si>
    <t>2024-05-14</t>
  </si>
  <si>
    <t>April 17, 2024</t>
  </si>
  <si>
    <t>02/09/2024</t>
  </si>
  <si>
    <t>$853.41</t>
  </si>
  <si>
    <t xml:space="preserve">547.89 </t>
  </si>
  <si>
    <t>9-Jan-2024</t>
  </si>
  <si>
    <t>$542.58</t>
  </si>
  <si>
    <t>11-Dec-2024</t>
  </si>
  <si>
    <t>$235.78</t>
  </si>
  <si>
    <t xml:space="preserve">403.00 </t>
  </si>
  <si>
    <t>19-Jan-2024</t>
  </si>
  <si>
    <t xml:space="preserve">565.94 </t>
  </si>
  <si>
    <t>2024-08-03</t>
  </si>
  <si>
    <t>$105.87</t>
  </si>
  <si>
    <t>2024-09-30</t>
  </si>
  <si>
    <t>2024-06-26</t>
  </si>
  <si>
    <t xml:space="preserve">250.86 </t>
  </si>
  <si>
    <t xml:space="preserve">377.25 </t>
  </si>
  <si>
    <t>07/11/2024</t>
  </si>
  <si>
    <t>$743.02</t>
  </si>
  <si>
    <t>$439.97</t>
  </si>
  <si>
    <t>$312.69</t>
  </si>
  <si>
    <t>April 6, 2024</t>
  </si>
  <si>
    <t xml:space="preserve">550.49 </t>
  </si>
  <si>
    <t>February 27, 2024</t>
  </si>
  <si>
    <t>2024-06-28</t>
  </si>
  <si>
    <t>$-481.98</t>
  </si>
  <si>
    <t>18-Apr-2024</t>
  </si>
  <si>
    <t>$-124.01</t>
  </si>
  <si>
    <t>28-Dec-2024</t>
  </si>
  <si>
    <t xml:space="preserve">336.13 </t>
  </si>
  <si>
    <t>August 19, 2024</t>
  </si>
  <si>
    <t xml:space="preserve">419.71 </t>
  </si>
  <si>
    <t>$159.39</t>
  </si>
  <si>
    <t>April 11, 2024</t>
  </si>
  <si>
    <t>15-Sep-2024</t>
  </si>
  <si>
    <t>2024-04-23</t>
  </si>
  <si>
    <t xml:space="preserve">703.02 </t>
  </si>
  <si>
    <t>01/29/2024</t>
  </si>
  <si>
    <t>$240.38</t>
  </si>
  <si>
    <t>06/05/2024</t>
  </si>
  <si>
    <t>07/30/2024</t>
  </si>
  <si>
    <t>December 18, 2024</t>
  </si>
  <si>
    <t>$373.41</t>
  </si>
  <si>
    <t>02/06/2024</t>
  </si>
  <si>
    <t>September 15, 2024</t>
  </si>
  <si>
    <t>2024-10-26</t>
  </si>
  <si>
    <t>$121.30</t>
  </si>
  <si>
    <t>05/08/2024</t>
  </si>
  <si>
    <t xml:space="preserve">215.82 </t>
  </si>
  <si>
    <t>January 21, 2024</t>
  </si>
  <si>
    <t>$57.42</t>
  </si>
  <si>
    <t>December 23, 2024</t>
  </si>
  <si>
    <t>$137.07</t>
  </si>
  <si>
    <t>2024-01-20</t>
  </si>
  <si>
    <t>02/27/2024</t>
  </si>
  <si>
    <t>$215.45</t>
  </si>
  <si>
    <t>2024-09-03</t>
  </si>
  <si>
    <t>10/05/2024</t>
  </si>
  <si>
    <t>1-Nov-2024</t>
  </si>
  <si>
    <t>2024-05-08</t>
  </si>
  <si>
    <t>$738.51</t>
  </si>
  <si>
    <t>2024-07-16</t>
  </si>
  <si>
    <t xml:space="preserve">532.24 </t>
  </si>
  <si>
    <t>10/12/2024</t>
  </si>
  <si>
    <t>January 9, 2024</t>
  </si>
  <si>
    <t>09/14/2024</t>
  </si>
  <si>
    <t>April 26, 2024</t>
  </si>
  <si>
    <t xml:space="preserve">255.27 </t>
  </si>
  <si>
    <t>June 9, 2024</t>
  </si>
  <si>
    <t>$871.16</t>
  </si>
  <si>
    <t>$447.53</t>
  </si>
  <si>
    <t>04/05/2024</t>
  </si>
  <si>
    <t>$212.61</t>
  </si>
  <si>
    <t xml:space="preserve">818.48 </t>
  </si>
  <si>
    <t>$174.26</t>
  </si>
  <si>
    <t>20-Aug-2024</t>
  </si>
  <si>
    <t>$271.59</t>
  </si>
  <si>
    <t>$439.02</t>
  </si>
  <si>
    <t>August 11, 2024</t>
  </si>
  <si>
    <t>$493.42</t>
  </si>
  <si>
    <t>29-May-2024</t>
  </si>
  <si>
    <t>$578.12</t>
  </si>
  <si>
    <t>07/01/2024</t>
  </si>
  <si>
    <t>$1,411.41</t>
  </si>
  <si>
    <t>$171.70</t>
  </si>
  <si>
    <t>2024-02-09</t>
  </si>
  <si>
    <t>09/02/2024</t>
  </si>
  <si>
    <t>$141.00</t>
  </si>
  <si>
    <t>2024-04-18</t>
  </si>
  <si>
    <t>$1,103.35</t>
  </si>
  <si>
    <t>14-Jan-2024</t>
  </si>
  <si>
    <t>2024-08-09</t>
  </si>
  <si>
    <t xml:space="preserve">109.35 </t>
  </si>
  <si>
    <t xml:space="preserve">695.02 </t>
  </si>
  <si>
    <t>February 15, 2024</t>
  </si>
  <si>
    <t>2024-05-19</t>
  </si>
  <si>
    <t xml:space="preserve">-147.24 </t>
  </si>
  <si>
    <t>12-Nov-2024</t>
  </si>
  <si>
    <t>$187.51</t>
  </si>
  <si>
    <t xml:space="preserve">1,226.01 </t>
  </si>
  <si>
    <t>2024-02-16</t>
  </si>
  <si>
    <t>$790.54</t>
  </si>
  <si>
    <t>2024-11-18</t>
  </si>
  <si>
    <t xml:space="preserve">261.05 </t>
  </si>
  <si>
    <t>January 26, 2024</t>
  </si>
  <si>
    <t>02/23/2024</t>
  </si>
  <si>
    <t>$873.87</t>
  </si>
  <si>
    <t>3-Jun-2024</t>
  </si>
  <si>
    <t>$397.51</t>
  </si>
  <si>
    <t>2024-01-05</t>
  </si>
  <si>
    <t xml:space="preserve">245.23 </t>
  </si>
  <si>
    <t>07/07/2024</t>
  </si>
  <si>
    <t>$62.50</t>
  </si>
  <si>
    <t>10-Feb-2024</t>
  </si>
  <si>
    <t>$254.44</t>
  </si>
  <si>
    <t>2024-08-01</t>
  </si>
  <si>
    <t>$474.10</t>
  </si>
  <si>
    <t>09/13/2024</t>
  </si>
  <si>
    <t>$855.28</t>
  </si>
  <si>
    <t>08/06/2024</t>
  </si>
  <si>
    <t xml:space="preserve">868.66 </t>
  </si>
  <si>
    <t>2024-08-22</t>
  </si>
  <si>
    <t>20-Jun-2024</t>
  </si>
  <si>
    <t>2024-01-16</t>
  </si>
  <si>
    <t>$458.90</t>
  </si>
  <si>
    <t>$121.42</t>
  </si>
  <si>
    <t>$276.39</t>
  </si>
  <si>
    <t>May 25, 2024</t>
  </si>
  <si>
    <t xml:space="preserve">205.90 </t>
  </si>
  <si>
    <t>25-Jun-2024</t>
  </si>
  <si>
    <t>May 27, 2024</t>
  </si>
  <si>
    <t>$337.33</t>
  </si>
  <si>
    <t>02/07/2024</t>
  </si>
  <si>
    <t>September 17, 2024</t>
  </si>
  <si>
    <t xml:space="preserve">-241.63 </t>
  </si>
  <si>
    <t xml:space="preserve">-630.28 </t>
  </si>
  <si>
    <t>$230.81</t>
  </si>
  <si>
    <t>10/21/2024</t>
  </si>
  <si>
    <t>$677.66</t>
  </si>
  <si>
    <t>2024-02-12</t>
  </si>
  <si>
    <t>$66.26</t>
  </si>
  <si>
    <t>$479.91</t>
  </si>
  <si>
    <t>29-Dec-2024</t>
  </si>
  <si>
    <t>$274.63</t>
  </si>
  <si>
    <t>2024-03-04</t>
  </si>
  <si>
    <t>$477.22</t>
  </si>
  <si>
    <t xml:space="preserve">509.91 </t>
  </si>
  <si>
    <t>March 5, 2024</t>
  </si>
  <si>
    <t xml:space="preserve">720.13 </t>
  </si>
  <si>
    <t>March 19, 2024</t>
  </si>
  <si>
    <t>$193.60</t>
  </si>
  <si>
    <t>29-Oct-2024</t>
  </si>
  <si>
    <t>$669.84</t>
  </si>
  <si>
    <t>2024-02-24</t>
  </si>
  <si>
    <t>January 7, 2024</t>
  </si>
  <si>
    <t>09/28/2024</t>
  </si>
  <si>
    <t>2024-11-08</t>
  </si>
  <si>
    <t>2024-09-20</t>
  </si>
  <si>
    <t xml:space="preserve">513.60 </t>
  </si>
  <si>
    <t>04/02/2024</t>
  </si>
  <si>
    <t xml:space="preserve">395.67 </t>
  </si>
  <si>
    <t>11-Jun-2024</t>
  </si>
  <si>
    <t>2024-11-16</t>
  </si>
  <si>
    <t xml:space="preserve">-46.22 </t>
  </si>
  <si>
    <t>30-Apr-2024</t>
  </si>
  <si>
    <t xml:space="preserve">626.84 </t>
  </si>
  <si>
    <t>09/09/2024</t>
  </si>
  <si>
    <t>05/11/2024</t>
  </si>
  <si>
    <t>5-Mar-2024</t>
  </si>
  <si>
    <t>$356.93</t>
  </si>
  <si>
    <t>$296.03</t>
  </si>
  <si>
    <t>08/01/2024</t>
  </si>
  <si>
    <t>17-Jul-2024</t>
  </si>
  <si>
    <t xml:space="preserve">246.20 </t>
  </si>
  <si>
    <t>11/11/2024</t>
  </si>
  <si>
    <t>$678.52</t>
  </si>
  <si>
    <t>December 12, 2024</t>
  </si>
  <si>
    <t>$263.01</t>
  </si>
  <si>
    <t xml:space="preserve">338.84 </t>
  </si>
  <si>
    <t xml:space="preserve">313.68 </t>
  </si>
  <si>
    <t xml:space="preserve">-469.18 </t>
  </si>
  <si>
    <t>21-Apr-2024</t>
  </si>
  <si>
    <t>$428.56</t>
  </si>
  <si>
    <t>2024-07-17</t>
  </si>
  <si>
    <t>2024-12-11</t>
  </si>
  <si>
    <t xml:space="preserve">261.65 </t>
  </si>
  <si>
    <t>12-Dec-2024</t>
  </si>
  <si>
    <t xml:space="preserve">543.63 </t>
  </si>
  <si>
    <t xml:space="preserve">687.47 </t>
  </si>
  <si>
    <t>08/26/2024</t>
  </si>
  <si>
    <t xml:space="preserve">1,134.42 </t>
  </si>
  <si>
    <t>August 5, 2024</t>
  </si>
  <si>
    <t>2024-04-14</t>
  </si>
  <si>
    <t>2024-06-11</t>
  </si>
  <si>
    <t xml:space="preserve">256.46 </t>
  </si>
  <si>
    <t>04/04/2024</t>
  </si>
  <si>
    <t>$494.60</t>
  </si>
  <si>
    <t>$417.61</t>
  </si>
  <si>
    <t>06/25/2024</t>
  </si>
  <si>
    <t>$386.43</t>
  </si>
  <si>
    <t xml:space="preserve">502.20 </t>
  </si>
  <si>
    <t>$390.98</t>
  </si>
  <si>
    <t>01/22/2024</t>
  </si>
  <si>
    <t xml:space="preserve">255.01 </t>
  </si>
  <si>
    <t>$419.71</t>
  </si>
  <si>
    <t>2024-03-03</t>
  </si>
  <si>
    <t>November 19, 2024</t>
  </si>
  <si>
    <t>$488.36</t>
  </si>
  <si>
    <t>2024-03-06</t>
  </si>
  <si>
    <t>2024-05-02</t>
  </si>
  <si>
    <t>$789.21</t>
  </si>
  <si>
    <t>09/08/2024</t>
  </si>
  <si>
    <t>2024-11-26</t>
  </si>
  <si>
    <t xml:space="preserve">290.62 </t>
  </si>
  <si>
    <t>$415.27</t>
  </si>
  <si>
    <t>$315.54</t>
  </si>
  <si>
    <t>$426.30</t>
  </si>
  <si>
    <t>February 18, 2024</t>
  </si>
  <si>
    <t xml:space="preserve">421.92 </t>
  </si>
  <si>
    <t>$495.42</t>
  </si>
  <si>
    <t>November 4, 2024</t>
  </si>
  <si>
    <t>$751.86</t>
  </si>
  <si>
    <t>9-Jun-2024</t>
  </si>
  <si>
    <t>$484.39</t>
  </si>
  <si>
    <t>31-Jan-2024</t>
  </si>
  <si>
    <t>2024-05-28</t>
  </si>
  <si>
    <t>$179.24</t>
  </si>
  <si>
    <t xml:space="preserve">418.70 </t>
  </si>
  <si>
    <t>September 28, 2024</t>
  </si>
  <si>
    <t>05/04/2024</t>
  </si>
  <si>
    <t xml:space="preserve">329.51 </t>
  </si>
  <si>
    <t>2024-11-28</t>
  </si>
  <si>
    <t>09/06/2024</t>
  </si>
  <si>
    <t>20-Dec-2024</t>
  </si>
  <si>
    <t>2024-09-14</t>
  </si>
  <si>
    <t>$443.80</t>
  </si>
  <si>
    <t>02/13/2024</t>
  </si>
  <si>
    <t>$57.57</t>
  </si>
  <si>
    <t>03/12/2024</t>
  </si>
  <si>
    <t>$385.96</t>
  </si>
  <si>
    <t>2024-02-20</t>
  </si>
  <si>
    <t>08/28/2024</t>
  </si>
  <si>
    <t>$171.08</t>
  </si>
  <si>
    <t>09/22/2024</t>
  </si>
  <si>
    <t>$-630.22</t>
  </si>
  <si>
    <t>July 21, 2024</t>
  </si>
  <si>
    <t>$639.60</t>
  </si>
  <si>
    <t>2024-09-17</t>
  </si>
  <si>
    <t>$516.33</t>
  </si>
  <si>
    <t>11/13/2024</t>
  </si>
  <si>
    <t>05/05/2024</t>
  </si>
  <si>
    <t>04/15/2024</t>
  </si>
  <si>
    <t>$926.60</t>
  </si>
  <si>
    <t>2024-03-20</t>
  </si>
  <si>
    <t>$203.42</t>
  </si>
  <si>
    <t>2024-08-23</t>
  </si>
  <si>
    <t xml:space="preserve">150.18 </t>
  </si>
  <si>
    <t>15-Dec-2024</t>
  </si>
  <si>
    <t xml:space="preserve">341.67 </t>
  </si>
  <si>
    <t>$739.07</t>
  </si>
  <si>
    <t xml:space="preserve">310.60 </t>
  </si>
  <si>
    <t>$-484.93</t>
  </si>
  <si>
    <t>05/20/2024</t>
  </si>
  <si>
    <t xml:space="preserve">373.63 </t>
  </si>
  <si>
    <t>May 19, 2024</t>
  </si>
  <si>
    <t xml:space="preserve">742.59 </t>
  </si>
  <si>
    <t>2024-05-24</t>
  </si>
  <si>
    <t>08/04/2024</t>
  </si>
  <si>
    <t>$303.71</t>
  </si>
  <si>
    <t>7-Jan-2024</t>
  </si>
  <si>
    <t>10/03/2024</t>
  </si>
  <si>
    <t>September 20, 2024</t>
  </si>
  <si>
    <t>$853.63</t>
  </si>
  <si>
    <t>13-Dec-2024</t>
  </si>
  <si>
    <t>14-Feb-2024</t>
  </si>
  <si>
    <t>August 3, 2024</t>
  </si>
  <si>
    <t>$350.29</t>
  </si>
  <si>
    <t>May 4, 2024</t>
  </si>
  <si>
    <t>$883.87</t>
  </si>
  <si>
    <t>$1,488.55</t>
  </si>
  <si>
    <t>January 4, 2024</t>
  </si>
  <si>
    <t>January 6, 2024</t>
  </si>
  <si>
    <t xml:space="preserve">895.78 </t>
  </si>
  <si>
    <t>$375.47</t>
  </si>
  <si>
    <t>$465.79</t>
  </si>
  <si>
    <t>2024-11-24</t>
  </si>
  <si>
    <t xml:space="preserve">441.52 </t>
  </si>
  <si>
    <t>October 28, 2024</t>
  </si>
  <si>
    <t>$166.30</t>
  </si>
  <si>
    <t>11/02/2024</t>
  </si>
  <si>
    <t>16-Sep-2024</t>
  </si>
  <si>
    <t>August 8, 2024</t>
  </si>
  <si>
    <t>10/20/2024</t>
  </si>
  <si>
    <t xml:space="preserve">107.41 </t>
  </si>
  <si>
    <t>2024-11-20</t>
  </si>
  <si>
    <t xml:space="preserve">507.05 </t>
  </si>
  <si>
    <t>2024-01-12</t>
  </si>
  <si>
    <t>24-Aug-2024</t>
  </si>
  <si>
    <t xml:space="preserve">213.08 </t>
  </si>
  <si>
    <t>January 27, 2024</t>
  </si>
  <si>
    <t>2024-08-04</t>
  </si>
  <si>
    <t xml:space="preserve">243.50 </t>
  </si>
  <si>
    <t>2-Apr-2024</t>
  </si>
  <si>
    <t xml:space="preserve">139.72 </t>
  </si>
  <si>
    <t>2024-12-21</t>
  </si>
  <si>
    <t>31-Jul-2024</t>
  </si>
  <si>
    <t>10/14/2024</t>
  </si>
  <si>
    <t>$488.04</t>
  </si>
  <si>
    <t>$891.70</t>
  </si>
  <si>
    <t>November 21, 2024</t>
  </si>
  <si>
    <t>$755.52</t>
  </si>
  <si>
    <t>January 3, 2024</t>
  </si>
  <si>
    <t>1-Dec-2024</t>
  </si>
  <si>
    <t>$652.00</t>
  </si>
  <si>
    <t>July 11, 2024</t>
  </si>
  <si>
    <t>$342.22</t>
  </si>
  <si>
    <t>02/08/2024</t>
  </si>
  <si>
    <t>$-583.50</t>
  </si>
  <si>
    <t>22-Mar-2024</t>
  </si>
  <si>
    <t xml:space="preserve">164.19 </t>
  </si>
  <si>
    <t>04/08/2024</t>
  </si>
  <si>
    <t>2024-01-21</t>
  </si>
  <si>
    <t>20-Oct-2024</t>
  </si>
  <si>
    <t>2024-06-07</t>
  </si>
  <si>
    <t xml:space="preserve">302.75 </t>
  </si>
  <si>
    <t>2024-03-13</t>
  </si>
  <si>
    <t>$265.58</t>
  </si>
  <si>
    <t>2024-03-09</t>
  </si>
  <si>
    <t>$517.29</t>
  </si>
  <si>
    <t xml:space="preserve">342.53 </t>
  </si>
  <si>
    <t>$227.15</t>
  </si>
  <si>
    <t>June 23, 2024</t>
  </si>
  <si>
    <t>January 29, 2024</t>
  </si>
  <si>
    <t>$546.80</t>
  </si>
  <si>
    <t>15-Aug-2024</t>
  </si>
  <si>
    <t>$-958.43</t>
  </si>
  <si>
    <t>2024-12-27</t>
  </si>
  <si>
    <t>2024-10-19</t>
  </si>
  <si>
    <t>July 20, 2024</t>
  </si>
  <si>
    <t xml:space="preserve">-156.06 </t>
  </si>
  <si>
    <t>2-Dec-2024</t>
  </si>
  <si>
    <t>$-540.67</t>
  </si>
  <si>
    <t>$459.88</t>
  </si>
  <si>
    <t>21-Jan-2024</t>
  </si>
  <si>
    <t xml:space="preserve">27.52 </t>
  </si>
  <si>
    <t>9-Dec-2024</t>
  </si>
  <si>
    <t>November 20, 2024</t>
  </si>
  <si>
    <t>$308.76</t>
  </si>
  <si>
    <t>20-Nov-2024</t>
  </si>
  <si>
    <t>$315.06</t>
  </si>
  <si>
    <t>25-Aug-2024</t>
  </si>
  <si>
    <t>$280.13</t>
  </si>
  <si>
    <t>22-Jul-2024</t>
  </si>
  <si>
    <t>$57.58</t>
  </si>
  <si>
    <t>$761.68</t>
  </si>
  <si>
    <t xml:space="preserve">763.01 </t>
  </si>
  <si>
    <t>$661.19</t>
  </si>
  <si>
    <t>September 18, 2024</t>
  </si>
  <si>
    <t>$306.47</t>
  </si>
  <si>
    <t xml:space="preserve">542.52 </t>
  </si>
  <si>
    <t>May 1, 2024</t>
  </si>
  <si>
    <t xml:space="preserve">729.54 </t>
  </si>
  <si>
    <t>October 11, 2024</t>
  </si>
  <si>
    <t>December 27, 2024</t>
  </si>
  <si>
    <t>$-913.44</t>
  </si>
  <si>
    <t>$541.73</t>
  </si>
  <si>
    <t>$853.94</t>
  </si>
  <si>
    <t>05/21/2024</t>
  </si>
  <si>
    <t>$795.44</t>
  </si>
  <si>
    <t>$383.62</t>
  </si>
  <si>
    <t xml:space="preserve">722.48 </t>
  </si>
  <si>
    <t>$1,064.52</t>
  </si>
  <si>
    <t>2024-05-29</t>
  </si>
  <si>
    <t xml:space="preserve">521.35 </t>
  </si>
  <si>
    <t>$307.85</t>
  </si>
  <si>
    <t>2024-03-12</t>
  </si>
  <si>
    <t>$448.52</t>
  </si>
  <si>
    <t>15-Jun-2024</t>
  </si>
  <si>
    <t>June 15, 2024</t>
  </si>
  <si>
    <t>27-Jul-2024</t>
  </si>
  <si>
    <t>$274.48</t>
  </si>
  <si>
    <t>$522.93</t>
  </si>
  <si>
    <t>2024-01-25</t>
  </si>
  <si>
    <t>$212.42</t>
  </si>
  <si>
    <t>07/23/2024</t>
  </si>
  <si>
    <t>$114.97</t>
  </si>
  <si>
    <t>12/23/2024</t>
  </si>
  <si>
    <t>$662.84</t>
  </si>
  <si>
    <t>04/14/2024</t>
  </si>
  <si>
    <t>$807.80</t>
  </si>
  <si>
    <t xml:space="preserve">332.78 </t>
  </si>
  <si>
    <t>2024-03-28</t>
  </si>
  <si>
    <t>05/19/2024</t>
  </si>
  <si>
    <t>8-Jul-2024</t>
  </si>
  <si>
    <t>$189.30</t>
  </si>
  <si>
    <t>$953.84</t>
  </si>
  <si>
    <t>$92.40</t>
  </si>
  <si>
    <t>23-Jun-2024</t>
  </si>
  <si>
    <t>$529.24</t>
  </si>
  <si>
    <t>$125.45</t>
  </si>
  <si>
    <t>07/12/2024</t>
  </si>
  <si>
    <t>$519.81</t>
  </si>
  <si>
    <t xml:space="preserve">153.54 </t>
  </si>
  <si>
    <t>2024-06-19</t>
  </si>
  <si>
    <t xml:space="preserve">249.13 </t>
  </si>
  <si>
    <t>2024-10-09</t>
  </si>
  <si>
    <t>08/17/2024</t>
  </si>
  <si>
    <t>2024-07-30</t>
  </si>
  <si>
    <t>$272.60</t>
  </si>
  <si>
    <t>11/15/2024</t>
  </si>
  <si>
    <t>July 18, 2024</t>
  </si>
  <si>
    <t xml:space="preserve">512.51 </t>
  </si>
  <si>
    <t xml:space="preserve">660.75 </t>
  </si>
  <si>
    <t>2024-02-10</t>
  </si>
  <si>
    <t>$666.02</t>
  </si>
  <si>
    <t>$-85.63</t>
  </si>
  <si>
    <t xml:space="preserve">304.23 </t>
  </si>
  <si>
    <t>$150.33</t>
  </si>
  <si>
    <t xml:space="preserve">1,107.90 </t>
  </si>
  <si>
    <t>2024-11-03</t>
  </si>
  <si>
    <t>$243.14</t>
  </si>
  <si>
    <t>November 9, 2024</t>
  </si>
  <si>
    <t>11/16/2024</t>
  </si>
  <si>
    <t>05/07/2024</t>
  </si>
  <si>
    <t>$354.50</t>
  </si>
  <si>
    <t>12/08/2024</t>
  </si>
  <si>
    <t>$838.63</t>
  </si>
  <si>
    <t>29-Feb-2024</t>
  </si>
  <si>
    <t>$737.60</t>
  </si>
  <si>
    <t>2-Oct-2024</t>
  </si>
  <si>
    <t>$249.01</t>
  </si>
  <si>
    <t>$196.16</t>
  </si>
  <si>
    <t>20-May-2024</t>
  </si>
  <si>
    <t xml:space="preserve">294.85 </t>
  </si>
  <si>
    <t xml:space="preserve">12.65 </t>
  </si>
  <si>
    <t>February 6, 2024</t>
  </si>
  <si>
    <t>12/01/2024</t>
  </si>
  <si>
    <t>2024-01-17</t>
  </si>
  <si>
    <t>$369.03</t>
  </si>
  <si>
    <t>2024-07-08</t>
  </si>
  <si>
    <t>12-Feb-2024</t>
  </si>
  <si>
    <t xml:space="preserve">527.09 </t>
  </si>
  <si>
    <t xml:space="preserve">851.12 </t>
  </si>
  <si>
    <t>April 21, 2024</t>
  </si>
  <si>
    <t xml:space="preserve">250.33 </t>
  </si>
  <si>
    <t>2024-03-30</t>
  </si>
  <si>
    <t xml:space="preserve">181.84 </t>
  </si>
  <si>
    <t xml:space="preserve">204.24 </t>
  </si>
  <si>
    <t>$205.27</t>
  </si>
  <si>
    <t>$411.93</t>
  </si>
  <si>
    <t>1-Sep-2024</t>
  </si>
  <si>
    <t>$197.21</t>
  </si>
  <si>
    <t>2024-11-29</t>
  </si>
  <si>
    <t>$546.92</t>
  </si>
  <si>
    <t>02/15/2024</t>
  </si>
  <si>
    <t>2024-02-05</t>
  </si>
  <si>
    <t>$61.84</t>
  </si>
  <si>
    <t>2024-10-30</t>
  </si>
  <si>
    <t>$279.10</t>
  </si>
  <si>
    <t>2024-04-04</t>
  </si>
  <si>
    <t xml:space="preserve">348.60 </t>
  </si>
  <si>
    <t>$642.83</t>
  </si>
  <si>
    <t xml:space="preserve">294.79 </t>
  </si>
  <si>
    <t>2024-10-11</t>
  </si>
  <si>
    <t>$707.06</t>
  </si>
  <si>
    <t>11-Feb-2024</t>
  </si>
  <si>
    <t>$188.18</t>
  </si>
  <si>
    <t xml:space="preserve">793.39 </t>
  </si>
  <si>
    <t>March 10, 2024</t>
  </si>
  <si>
    <t>$367.12</t>
  </si>
  <si>
    <t>2024-06-06</t>
  </si>
  <si>
    <t>2024-06-25</t>
  </si>
  <si>
    <t>2024-03-05</t>
  </si>
  <si>
    <t>$591.52</t>
  </si>
  <si>
    <t>2024-07-23</t>
  </si>
  <si>
    <t xml:space="preserve">343.45 </t>
  </si>
  <si>
    <t>$267.25</t>
  </si>
  <si>
    <t>$334.27</t>
  </si>
  <si>
    <t>2024-06-21</t>
  </si>
  <si>
    <t>$134.76</t>
  </si>
  <si>
    <t xml:space="preserve">505.77 </t>
  </si>
  <si>
    <t>July 9, 2024</t>
  </si>
  <si>
    <t>$168.63</t>
  </si>
  <si>
    <t>$-176.37</t>
  </si>
  <si>
    <t>2024-03-07</t>
  </si>
  <si>
    <t>December 25, 2024</t>
  </si>
  <si>
    <t>$444.42</t>
  </si>
  <si>
    <t xml:space="preserve">250.10 </t>
  </si>
  <si>
    <t xml:space="preserve">529.30 </t>
  </si>
  <si>
    <t>$258.68</t>
  </si>
  <si>
    <t>2024-06-02</t>
  </si>
  <si>
    <t>12/26/2024</t>
  </si>
  <si>
    <t xml:space="preserve">217.90 </t>
  </si>
  <si>
    <t>2024-03-27</t>
  </si>
  <si>
    <t>04/20/2024</t>
  </si>
  <si>
    <t xml:space="preserve">329.73 </t>
  </si>
  <si>
    <t>4-Jun-2024</t>
  </si>
  <si>
    <t xml:space="preserve">470.75 </t>
  </si>
  <si>
    <t xml:space="preserve">540.09 </t>
  </si>
  <si>
    <t>13-Jun-2024</t>
  </si>
  <si>
    <t>$531.74</t>
  </si>
  <si>
    <t xml:space="preserve">784.35 </t>
  </si>
  <si>
    <t>3-Mar-2024</t>
  </si>
  <si>
    <t>2024-12-29</t>
  </si>
  <si>
    <t>$252.25</t>
  </si>
  <si>
    <t>22-Apr-2024</t>
  </si>
  <si>
    <t>11-Jul-2024</t>
  </si>
  <si>
    <t>$-301.49</t>
  </si>
  <si>
    <t xml:space="preserve">322.36 </t>
  </si>
  <si>
    <t xml:space="preserve">291.56 </t>
  </si>
  <si>
    <t>$985.41</t>
  </si>
  <si>
    <t>7-Nov-2024</t>
  </si>
  <si>
    <t>$796.90</t>
  </si>
  <si>
    <t xml:space="preserve">-390.14 </t>
  </si>
  <si>
    <t>10/06/2024</t>
  </si>
  <si>
    <t>1-Jan-2024</t>
  </si>
  <si>
    <t>$229.44</t>
  </si>
  <si>
    <t>July 17, 2024</t>
  </si>
  <si>
    <t>$316.92</t>
  </si>
  <si>
    <t>2024-12-15</t>
  </si>
  <si>
    <t>March 11, 2024</t>
  </si>
  <si>
    <t xml:space="preserve">718.12 </t>
  </si>
  <si>
    <t>$93.91</t>
  </si>
  <si>
    <t>$256.27</t>
  </si>
  <si>
    <t>October 31, 2024</t>
  </si>
  <si>
    <t>$223.69</t>
  </si>
  <si>
    <t>$699.56</t>
  </si>
  <si>
    <t>$184.77</t>
  </si>
  <si>
    <t>$802.28</t>
  </si>
  <si>
    <t>08/29/2024</t>
  </si>
  <si>
    <t>2024-10-08</t>
  </si>
  <si>
    <t>16-Dec-2024</t>
  </si>
  <si>
    <t>$483.48</t>
  </si>
  <si>
    <t>$-14.87</t>
  </si>
  <si>
    <t>November 24, 2024</t>
  </si>
  <si>
    <t>15-Mar-2024</t>
  </si>
  <si>
    <t>$1,228.58</t>
  </si>
  <si>
    <t>$-688.71</t>
  </si>
  <si>
    <t>17-Jan-2024</t>
  </si>
  <si>
    <t xml:space="preserve">549.56 </t>
  </si>
  <si>
    <t>$879.84</t>
  </si>
  <si>
    <t xml:space="preserve">288.93 </t>
  </si>
  <si>
    <t>$525.72</t>
  </si>
  <si>
    <t>April 19, 2024</t>
  </si>
  <si>
    <t xml:space="preserve">-815.09 </t>
  </si>
  <si>
    <t>$581.70</t>
  </si>
  <si>
    <t>$1,139.61</t>
  </si>
  <si>
    <t xml:space="preserve">532.31 </t>
  </si>
  <si>
    <t>July 31, 2024</t>
  </si>
  <si>
    <t xml:space="preserve">400.14 </t>
  </si>
  <si>
    <t>2024-08-11</t>
  </si>
  <si>
    <t>2024-09-05</t>
  </si>
  <si>
    <t xml:space="preserve">266.63 </t>
  </si>
  <si>
    <t>May 22, 2024</t>
  </si>
  <si>
    <t xml:space="preserve">252.51 </t>
  </si>
  <si>
    <t>$846.56</t>
  </si>
  <si>
    <t>6-Jul-2024</t>
  </si>
  <si>
    <t>$627.62</t>
  </si>
  <si>
    <t xml:space="preserve">368.50 </t>
  </si>
  <si>
    <t>06/09/2024</t>
  </si>
  <si>
    <t xml:space="preserve">258.52 </t>
  </si>
  <si>
    <t>10/16/2024</t>
  </si>
  <si>
    <t>September 16, 2024</t>
  </si>
  <si>
    <t>09/05/2024</t>
  </si>
  <si>
    <t xml:space="preserve">796.62 </t>
  </si>
  <si>
    <t xml:space="preserve">380.22 </t>
  </si>
  <si>
    <t xml:space="preserve">1,230.44 </t>
  </si>
  <si>
    <t>2024-02-21</t>
  </si>
  <si>
    <t>$354.74</t>
  </si>
  <si>
    <t xml:space="preserve">74.16 </t>
  </si>
  <si>
    <t>$594.21</t>
  </si>
  <si>
    <t xml:space="preserve">395.98 </t>
  </si>
  <si>
    <t>$258.36</t>
  </si>
  <si>
    <t>8-Jan-2024</t>
  </si>
  <si>
    <t>$454.59</t>
  </si>
  <si>
    <t xml:space="preserve">1,141.01 </t>
  </si>
  <si>
    <t>22-Nov-2024</t>
  </si>
  <si>
    <t>04/26/2024</t>
  </si>
  <si>
    <t xml:space="preserve">213.35 </t>
  </si>
  <si>
    <t>2024-01-26</t>
  </si>
  <si>
    <t>$478.99</t>
  </si>
  <si>
    <t>$-286.95</t>
  </si>
  <si>
    <t>2024-09-28</t>
  </si>
  <si>
    <t>2024-06-03</t>
  </si>
  <si>
    <t>$-219.50</t>
  </si>
  <si>
    <t>$373.25</t>
  </si>
  <si>
    <t xml:space="preserve">585.52 </t>
  </si>
  <si>
    <t>2024-04-13</t>
  </si>
  <si>
    <t xml:space="preserve">403.21 </t>
  </si>
  <si>
    <t xml:space="preserve">373.24 </t>
  </si>
  <si>
    <t>03/26/2024</t>
  </si>
  <si>
    <t>$443.94</t>
  </si>
  <si>
    <t>$555.26</t>
  </si>
  <si>
    <t>03/31/2024</t>
  </si>
  <si>
    <t>07/20/2024</t>
  </si>
  <si>
    <t>July 25, 2024</t>
  </si>
  <si>
    <t>8-Aug-2024</t>
  </si>
  <si>
    <t xml:space="preserve">234.16 </t>
  </si>
  <si>
    <t xml:space="preserve">637.45 </t>
  </si>
  <si>
    <t xml:space="preserve">659.76 </t>
  </si>
  <si>
    <t>4-Nov-2024</t>
  </si>
  <si>
    <t>January 24, 2024</t>
  </si>
  <si>
    <t xml:space="preserve">123.42 </t>
  </si>
  <si>
    <t xml:space="preserve">260.15 </t>
  </si>
  <si>
    <t xml:space="preserve">183.75 </t>
  </si>
  <si>
    <t>05/27/2024</t>
  </si>
  <si>
    <t>September 26, 2024</t>
  </si>
  <si>
    <t xml:space="preserve">1,005.44 </t>
  </si>
  <si>
    <t>February 5, 2024</t>
  </si>
  <si>
    <t>02/28/2024</t>
  </si>
  <si>
    <t>2024-07-25</t>
  </si>
  <si>
    <t xml:space="preserve">1,360.68 </t>
  </si>
  <si>
    <t>6-Dec-2024</t>
  </si>
  <si>
    <t xml:space="preserve">734.89 </t>
  </si>
  <si>
    <t>$106.76</t>
  </si>
  <si>
    <t>$362.98</t>
  </si>
  <si>
    <t>$366.86</t>
  </si>
  <si>
    <t>04/10/2024</t>
  </si>
  <si>
    <t xml:space="preserve">543.86 </t>
  </si>
  <si>
    <t xml:space="preserve">197.05 </t>
  </si>
  <si>
    <t xml:space="preserve">238.23 </t>
  </si>
  <si>
    <t xml:space="preserve">533.88 </t>
  </si>
  <si>
    <t>12-Oct-2024</t>
  </si>
  <si>
    <t>$948.81</t>
  </si>
  <si>
    <t>$266.90</t>
  </si>
  <si>
    <t>$406.57</t>
  </si>
  <si>
    <t>04/13/2024</t>
  </si>
  <si>
    <t>$482.44</t>
  </si>
  <si>
    <t xml:space="preserve">300.95 </t>
  </si>
  <si>
    <t>$197.62</t>
  </si>
  <si>
    <t>April 8, 2024</t>
  </si>
  <si>
    <t xml:space="preserve">812.31 </t>
  </si>
  <si>
    <t>June 26, 2024</t>
  </si>
  <si>
    <t xml:space="preserve">624.88 </t>
  </si>
  <si>
    <t>2024-03-21</t>
  </si>
  <si>
    <t xml:space="preserve">413.15 </t>
  </si>
  <si>
    <t>$316.37</t>
  </si>
  <si>
    <t>$650.23</t>
  </si>
  <si>
    <t>$302.62</t>
  </si>
  <si>
    <t>2024-03-18</t>
  </si>
  <si>
    <t>24-May-2024</t>
  </si>
  <si>
    <t>$896.59</t>
  </si>
  <si>
    <t>January 5, 2024</t>
  </si>
  <si>
    <t>$557.36</t>
  </si>
  <si>
    <t>19-May-2024</t>
  </si>
  <si>
    <t>9-Aug-2024</t>
  </si>
  <si>
    <t xml:space="preserve">181.65 </t>
  </si>
  <si>
    <t>June 11, 2024</t>
  </si>
  <si>
    <t>27-Apr-2024</t>
  </si>
  <si>
    <t xml:space="preserve">389.92 </t>
  </si>
  <si>
    <t>April 23, 2024</t>
  </si>
  <si>
    <t>13-Jul-2024</t>
  </si>
  <si>
    <t>2024-12-14</t>
  </si>
  <si>
    <t xml:space="preserve">-515.26 </t>
  </si>
  <si>
    <t>02/04/2024</t>
  </si>
  <si>
    <t>$1,199.55</t>
  </si>
  <si>
    <t>03/25/2024</t>
  </si>
  <si>
    <t>$-853.53</t>
  </si>
  <si>
    <t>11-Apr-2024</t>
  </si>
  <si>
    <t>21-Sep-2024</t>
  </si>
  <si>
    <t>$-661.00</t>
  </si>
  <si>
    <t>2024-06-13</t>
  </si>
  <si>
    <t>$254.91</t>
  </si>
  <si>
    <t>$182.78</t>
  </si>
  <si>
    <t>28-Jul-2024</t>
  </si>
  <si>
    <t>$221.97</t>
  </si>
  <si>
    <t xml:space="preserve">-338.64 </t>
  </si>
  <si>
    <t>October 15, 2024</t>
  </si>
  <si>
    <t>2024-02-13</t>
  </si>
  <si>
    <t>$553.71</t>
  </si>
  <si>
    <t>2024-03-23</t>
  </si>
  <si>
    <t>$402.11</t>
  </si>
  <si>
    <t>March 3, 2024</t>
  </si>
  <si>
    <t>06/30/2024</t>
  </si>
  <si>
    <t>June 2, 2024</t>
  </si>
  <si>
    <t>17-Aug-2024</t>
  </si>
  <si>
    <t xml:space="preserve">661.37 </t>
  </si>
  <si>
    <t>$460.12</t>
  </si>
  <si>
    <t>$320.47</t>
  </si>
  <si>
    <t>February 3, 2024</t>
  </si>
  <si>
    <t xml:space="preserve">47.27 </t>
  </si>
  <si>
    <t xml:space="preserve">1,041.47 </t>
  </si>
  <si>
    <t>$869.93</t>
  </si>
  <si>
    <t>May 21, 2024</t>
  </si>
  <si>
    <t xml:space="preserve">603.91 </t>
  </si>
  <si>
    <t xml:space="preserve">61.89 </t>
  </si>
  <si>
    <t>$268.30</t>
  </si>
  <si>
    <t>04/29/2024</t>
  </si>
  <si>
    <t>May 7, 2024</t>
  </si>
  <si>
    <t xml:space="preserve">496.83 </t>
  </si>
  <si>
    <t>2024-05-15</t>
  </si>
  <si>
    <t>$405.63</t>
  </si>
  <si>
    <t>$252.14</t>
  </si>
  <si>
    <t>$946.91</t>
  </si>
  <si>
    <t>2024-04-15</t>
  </si>
  <si>
    <t>2-Aug-2024</t>
  </si>
  <si>
    <t>$800.73</t>
  </si>
  <si>
    <t xml:space="preserve">172.14 </t>
  </si>
  <si>
    <t>November 11, 2024</t>
  </si>
  <si>
    <t xml:space="preserve">522.19 </t>
  </si>
  <si>
    <t>$-1,578.03</t>
  </si>
  <si>
    <t>09/20/2024</t>
  </si>
  <si>
    <t>2024-09-06</t>
  </si>
  <si>
    <t xml:space="preserve">273.70 </t>
  </si>
  <si>
    <t>$227.91</t>
  </si>
  <si>
    <t>$516.91</t>
  </si>
  <si>
    <t>$90.39</t>
  </si>
  <si>
    <t>30-Mar-2024</t>
  </si>
  <si>
    <t>$569.85</t>
  </si>
  <si>
    <t>25-Feb-2024</t>
  </si>
  <si>
    <t>2024-09-25</t>
  </si>
  <si>
    <t xml:space="preserve">264.66 </t>
  </si>
  <si>
    <t xml:space="preserve">747.89 </t>
  </si>
  <si>
    <t>$343.46</t>
  </si>
  <si>
    <t xml:space="preserve">1,290.85 </t>
  </si>
  <si>
    <t>02/12/2024</t>
  </si>
  <si>
    <t xml:space="preserve">159.56 </t>
  </si>
  <si>
    <t>$364.06</t>
  </si>
  <si>
    <t>$292.53</t>
  </si>
  <si>
    <t>02/16/2024</t>
  </si>
  <si>
    <t xml:space="preserve">528.90 </t>
  </si>
  <si>
    <t xml:space="preserve">525.69 </t>
  </si>
  <si>
    <t>$315.87</t>
  </si>
  <si>
    <t>08/30/2024</t>
  </si>
  <si>
    <t xml:space="preserve">118.02 </t>
  </si>
  <si>
    <t xml:space="preserve">701.80 </t>
  </si>
  <si>
    <t>May 10, 2024</t>
  </si>
  <si>
    <t>$531.32</t>
  </si>
  <si>
    <t xml:space="preserve">1,000.49 </t>
  </si>
  <si>
    <t>October 22, 2024</t>
  </si>
  <si>
    <t>April 5, 2024</t>
  </si>
  <si>
    <t>$120.19</t>
  </si>
  <si>
    <t>07/14/2024</t>
  </si>
  <si>
    <t>01/24/2024</t>
  </si>
  <si>
    <t>04/03/2024</t>
  </si>
  <si>
    <t>2024-01-28</t>
  </si>
  <si>
    <t>$470.73</t>
  </si>
  <si>
    <t>$347.74</t>
  </si>
  <si>
    <t xml:space="preserve">333.46 </t>
  </si>
  <si>
    <t>March 31, 2024</t>
  </si>
  <si>
    <t xml:space="preserve">444.73 </t>
  </si>
  <si>
    <t>May 28, 2024</t>
  </si>
  <si>
    <t>$357.77</t>
  </si>
  <si>
    <t>March 24, 2024</t>
  </si>
  <si>
    <t xml:space="preserve">636.37 </t>
  </si>
  <si>
    <t>February 7, 2024</t>
  </si>
  <si>
    <t>8-Apr-2024</t>
  </si>
  <si>
    <t>$764.09</t>
  </si>
  <si>
    <t>April 18, 2024</t>
  </si>
  <si>
    <t>June 24, 2024</t>
  </si>
  <si>
    <t>$494.34</t>
  </si>
  <si>
    <t>4-Aug-2024</t>
  </si>
  <si>
    <t>$675.07</t>
  </si>
  <si>
    <t>07/08/2024</t>
  </si>
  <si>
    <t>$255.29</t>
  </si>
  <si>
    <t xml:space="preserve">333.53 </t>
  </si>
  <si>
    <t xml:space="preserve">185.94 </t>
  </si>
  <si>
    <t xml:space="preserve">624.77 </t>
  </si>
  <si>
    <t>$444.43</t>
  </si>
  <si>
    <t>September 23, 2024</t>
  </si>
  <si>
    <t xml:space="preserve">690.46 </t>
  </si>
  <si>
    <t xml:space="preserve">375.89 </t>
  </si>
  <si>
    <t>14-Sep-2024</t>
  </si>
  <si>
    <t xml:space="preserve">945.53 </t>
  </si>
  <si>
    <t>$306.87</t>
  </si>
  <si>
    <t>$313.70</t>
  </si>
  <si>
    <t>2024-02-14</t>
  </si>
  <si>
    <t>September 22, 2024</t>
  </si>
  <si>
    <t xml:space="preserve">1,013.97 </t>
  </si>
  <si>
    <t xml:space="preserve">352.33 </t>
  </si>
  <si>
    <t>2024-04-24</t>
  </si>
  <si>
    <t>$564.50</t>
  </si>
  <si>
    <t xml:space="preserve">489.77 </t>
  </si>
  <si>
    <t>11/27/2024</t>
  </si>
  <si>
    <t>August 22, 2024</t>
  </si>
  <si>
    <t>09/12/2024</t>
  </si>
  <si>
    <t>$263.85</t>
  </si>
  <si>
    <t>$880.20</t>
  </si>
  <si>
    <t>03/16/2024</t>
  </si>
  <si>
    <t>12/12/2024</t>
  </si>
  <si>
    <t>16-Jan-2024</t>
  </si>
  <si>
    <t>18-Aug-2024</t>
  </si>
  <si>
    <t>07/24/2024</t>
  </si>
  <si>
    <t xml:space="preserve">-253.76 </t>
  </si>
  <si>
    <t>2024-09-27</t>
  </si>
  <si>
    <t>2024-10-13</t>
  </si>
  <si>
    <t xml:space="preserve">627.70 </t>
  </si>
  <si>
    <t>$535.85</t>
  </si>
  <si>
    <t>$493.57</t>
  </si>
  <si>
    <t>October 12, 2024</t>
  </si>
  <si>
    <t>December 26, 2024</t>
  </si>
  <si>
    <t xml:space="preserve">181.42 </t>
  </si>
  <si>
    <t>2024-02-11</t>
  </si>
  <si>
    <t>$220.71</t>
  </si>
  <si>
    <t>$709.61</t>
  </si>
  <si>
    <t>22-Aug-2024</t>
  </si>
  <si>
    <t>$340.91</t>
  </si>
  <si>
    <t>3-Jul-2024</t>
  </si>
  <si>
    <t>December 1, 2024</t>
  </si>
  <si>
    <t>13-Nov-2024</t>
  </si>
  <si>
    <t>05/29/2024</t>
  </si>
  <si>
    <t>12/22/2024</t>
  </si>
  <si>
    <t>$924.01</t>
  </si>
  <si>
    <t>2024-08-24</t>
  </si>
  <si>
    <t>$200.77</t>
  </si>
  <si>
    <t xml:space="preserve">64.22 </t>
  </si>
  <si>
    <t xml:space="preserve">356.25 </t>
  </si>
  <si>
    <t xml:space="preserve">152.15 </t>
  </si>
  <si>
    <t>7-Oct-2024</t>
  </si>
  <si>
    <t>$531.80</t>
  </si>
  <si>
    <t>25-Jan-2024</t>
  </si>
  <si>
    <t xml:space="preserve">512.08 </t>
  </si>
  <si>
    <t>2024-09-24</t>
  </si>
  <si>
    <t>$609.18</t>
  </si>
  <si>
    <t>2024-03-15</t>
  </si>
  <si>
    <t>7-Apr-2024</t>
  </si>
  <si>
    <t>$110.06</t>
  </si>
  <si>
    <t>June 18, 2024</t>
  </si>
  <si>
    <t>$542.67</t>
  </si>
  <si>
    <t>19-Jun-2024</t>
  </si>
  <si>
    <t>08/31/2024</t>
  </si>
  <si>
    <t>$-960.49</t>
  </si>
  <si>
    <t>$-914.61</t>
  </si>
  <si>
    <t>$511.63</t>
  </si>
  <si>
    <t>03/20/2024</t>
  </si>
  <si>
    <t>$852.43</t>
  </si>
  <si>
    <t>$259.61</t>
  </si>
  <si>
    <t>11-Sep-2024</t>
  </si>
  <si>
    <t>November 3, 2024</t>
  </si>
  <si>
    <t>$1,176.52</t>
  </si>
  <si>
    <t>2024-12-28</t>
  </si>
  <si>
    <t>$204.19</t>
  </si>
  <si>
    <t>$242.55</t>
  </si>
  <si>
    <t xml:space="preserve">209.59 </t>
  </si>
  <si>
    <t>$881.84</t>
  </si>
  <si>
    <t>$410.33</t>
  </si>
  <si>
    <t>2024-06-27</t>
  </si>
  <si>
    <t>2024-11-15</t>
  </si>
  <si>
    <t xml:space="preserve">486.46 </t>
  </si>
  <si>
    <t>$-214.26</t>
  </si>
  <si>
    <t>May 30, 2024</t>
  </si>
  <si>
    <t>10/25/2024</t>
  </si>
  <si>
    <t>$329.17</t>
  </si>
  <si>
    <t>May 5, 2024</t>
  </si>
  <si>
    <t>9-Mar-2024</t>
  </si>
  <si>
    <t>$230.61</t>
  </si>
  <si>
    <t>2024-01-06</t>
  </si>
  <si>
    <t>$180.26</t>
  </si>
  <si>
    <t>$408.25</t>
  </si>
  <si>
    <t>$167.90</t>
  </si>
  <si>
    <t>$569.35</t>
  </si>
  <si>
    <t xml:space="preserve">758.90 </t>
  </si>
  <si>
    <t>March 27, 2024</t>
  </si>
  <si>
    <t xml:space="preserve">244.02 </t>
  </si>
  <si>
    <t>09/11/2024</t>
  </si>
  <si>
    <t>$351.15</t>
  </si>
  <si>
    <t>September 10, 2024</t>
  </si>
  <si>
    <t xml:space="preserve">394.79 </t>
  </si>
  <si>
    <t xml:space="preserve">138.56 </t>
  </si>
  <si>
    <t>$325.18</t>
  </si>
  <si>
    <t>20-Apr-2024</t>
  </si>
  <si>
    <t>2024-01-02</t>
  </si>
  <si>
    <t>May 18, 2024</t>
  </si>
  <si>
    <t xml:space="preserve">331.87 </t>
  </si>
  <si>
    <t>$167.97</t>
  </si>
  <si>
    <t>$179.88</t>
  </si>
  <si>
    <t xml:space="preserve">329.17 </t>
  </si>
  <si>
    <t>$307.33</t>
  </si>
  <si>
    <t>$778.31</t>
  </si>
  <si>
    <t>$778.53</t>
  </si>
  <si>
    <t>$482.32</t>
  </si>
  <si>
    <t>12-Jan-2024</t>
  </si>
  <si>
    <t>9-Apr-2024</t>
  </si>
  <si>
    <t>12/28/2024</t>
  </si>
  <si>
    <t>$62.15</t>
  </si>
  <si>
    <t>05/31/2024</t>
  </si>
  <si>
    <t>March 25, 2024</t>
  </si>
  <si>
    <t xml:space="preserve">689.86 </t>
  </si>
  <si>
    <t xml:space="preserve">58.84 </t>
  </si>
  <si>
    <t>$207.90</t>
  </si>
  <si>
    <t>24-Oct-2024</t>
  </si>
  <si>
    <t>February 17, 2024</t>
  </si>
  <si>
    <t>$1,305.47</t>
  </si>
  <si>
    <t>2024-01-10</t>
  </si>
  <si>
    <t xml:space="preserve">367.29 </t>
  </si>
  <si>
    <t>11/12/2024</t>
  </si>
  <si>
    <t>$246.86</t>
  </si>
  <si>
    <t>19-Sep-2024</t>
  </si>
  <si>
    <t>$514.84</t>
  </si>
  <si>
    <t>07/28/2024</t>
  </si>
  <si>
    <t>6-Jan-2024</t>
  </si>
  <si>
    <t>$70.99</t>
  </si>
  <si>
    <t>30-May-2024</t>
  </si>
  <si>
    <t xml:space="preserve">290.97 </t>
  </si>
  <si>
    <t>2024-01-24</t>
  </si>
  <si>
    <t xml:space="preserve">511.89 </t>
  </si>
  <si>
    <t>December 10, 2024</t>
  </si>
  <si>
    <t>$293.35</t>
  </si>
  <si>
    <t>$242.74</t>
  </si>
  <si>
    <t>07/04/2024</t>
  </si>
  <si>
    <t>$705.78</t>
  </si>
  <si>
    <t>$313.68</t>
  </si>
  <si>
    <t xml:space="preserve">590.55 </t>
  </si>
  <si>
    <t>2024-05-04</t>
  </si>
  <si>
    <t>$814.75</t>
  </si>
  <si>
    <t xml:space="preserve">370.29 </t>
  </si>
  <si>
    <t>June 5, 2024</t>
  </si>
  <si>
    <t>May 20, 2024</t>
  </si>
  <si>
    <t>$295.85</t>
  </si>
  <si>
    <t>$205.88</t>
  </si>
  <si>
    <t>7-Dec-2024</t>
  </si>
  <si>
    <t>June 14, 2024</t>
  </si>
  <si>
    <t xml:space="preserve">717.91 </t>
  </si>
  <si>
    <t>6-Aug-2024</t>
  </si>
  <si>
    <t xml:space="preserve">310.74 </t>
  </si>
  <si>
    <t xml:space="preserve">681.87 </t>
  </si>
  <si>
    <t>2024-01-18</t>
  </si>
  <si>
    <t xml:space="preserve">397.59 </t>
  </si>
  <si>
    <t>$72.99</t>
  </si>
  <si>
    <t xml:space="preserve">369.74 </t>
  </si>
  <si>
    <t>02/25/2024</t>
  </si>
  <si>
    <t>$381.39</t>
  </si>
  <si>
    <t xml:space="preserve">1,053.93 </t>
  </si>
  <si>
    <t>02/02/2024</t>
  </si>
  <si>
    <t>$468.77</t>
  </si>
  <si>
    <t>09/27/2024</t>
  </si>
  <si>
    <t xml:space="preserve">870.64 </t>
  </si>
  <si>
    <t>21-Mar-2024</t>
  </si>
  <si>
    <t>03/22/2024</t>
  </si>
  <si>
    <t>$456.63</t>
  </si>
  <si>
    <t>26-Jan-2024</t>
  </si>
  <si>
    <t>$370.73</t>
  </si>
  <si>
    <t>$231.09</t>
  </si>
  <si>
    <t>$-345.60</t>
  </si>
  <si>
    <t>$306.02</t>
  </si>
  <si>
    <t xml:space="preserve">334.33 </t>
  </si>
  <si>
    <t>$-345.01</t>
  </si>
  <si>
    <t>$122.35</t>
  </si>
  <si>
    <t>5-Sep-2024</t>
  </si>
  <si>
    <t>05/28/2024</t>
  </si>
  <si>
    <t>$-371.33</t>
  </si>
  <si>
    <t>10-Dec-2024</t>
  </si>
  <si>
    <t>08/08/2024</t>
  </si>
  <si>
    <t>$633.86</t>
  </si>
  <si>
    <t>08/22/2024</t>
  </si>
  <si>
    <t>$551.77</t>
  </si>
  <si>
    <t xml:space="preserve">233.37 </t>
  </si>
  <si>
    <t>September 19, 2024</t>
  </si>
  <si>
    <t>$-496.49</t>
  </si>
  <si>
    <t>$356.19</t>
  </si>
  <si>
    <t>$346.96</t>
  </si>
  <si>
    <t>5-Jan-2024</t>
  </si>
  <si>
    <t xml:space="preserve">784.87 </t>
  </si>
  <si>
    <t>April 9, 2024</t>
  </si>
  <si>
    <t>9-Sep-2024</t>
  </si>
  <si>
    <t>$373.11</t>
  </si>
  <si>
    <t xml:space="preserve">317.68 </t>
  </si>
  <si>
    <t>2024-01-19</t>
  </si>
  <si>
    <t xml:space="preserve">-245.20 </t>
  </si>
  <si>
    <t>$193.14</t>
  </si>
  <si>
    <t>2024-12-06</t>
  </si>
  <si>
    <t>$142.24</t>
  </si>
  <si>
    <t xml:space="preserve">252.88 </t>
  </si>
  <si>
    <t xml:space="preserve">1,024.62 </t>
  </si>
  <si>
    <t>17-Feb-2024</t>
  </si>
  <si>
    <t xml:space="preserve">334.89 </t>
  </si>
  <si>
    <t>16-Aug-2024</t>
  </si>
  <si>
    <t>$332.51</t>
  </si>
  <si>
    <t>$261.08</t>
  </si>
  <si>
    <t>2024-12-10</t>
  </si>
  <si>
    <t>$271.34</t>
  </si>
  <si>
    <t>07/09/2024</t>
  </si>
  <si>
    <t>21-Dec-2024</t>
  </si>
  <si>
    <t xml:space="preserve">555.12 </t>
  </si>
  <si>
    <t>3-May-2024</t>
  </si>
  <si>
    <t>2024-08-19</t>
  </si>
  <si>
    <t>$269.39</t>
  </si>
  <si>
    <t>11-Oct-2024</t>
  </si>
  <si>
    <t>$527.13</t>
  </si>
  <si>
    <t>02/01/2024</t>
  </si>
  <si>
    <t>3-Oct-2024</t>
  </si>
  <si>
    <t>$553.66</t>
  </si>
  <si>
    <t>06/01/2024</t>
  </si>
  <si>
    <t>$177.17</t>
  </si>
  <si>
    <t>08/11/2024</t>
  </si>
  <si>
    <t>$164.59</t>
  </si>
  <si>
    <t>$448.17</t>
  </si>
  <si>
    <t>$538.26</t>
  </si>
  <si>
    <t>$613.19</t>
  </si>
  <si>
    <t xml:space="preserve">432.16 </t>
  </si>
  <si>
    <t xml:space="preserve">915.72 </t>
  </si>
  <si>
    <t>$401.64</t>
  </si>
  <si>
    <t>$320.00</t>
  </si>
  <si>
    <t>4-Dec-2024</t>
  </si>
  <si>
    <t>10/26/2024</t>
  </si>
  <si>
    <t>$545.01</t>
  </si>
  <si>
    <t>2024-08-16</t>
  </si>
  <si>
    <t>$1,002.10</t>
  </si>
  <si>
    <t>$630.72</t>
  </si>
  <si>
    <t>August 13, 2024</t>
  </si>
  <si>
    <t>2024-08-29</t>
  </si>
  <si>
    <t>$-953.70</t>
  </si>
  <si>
    <t>$300.99</t>
  </si>
  <si>
    <t xml:space="preserve">198.47 </t>
  </si>
  <si>
    <t>January 2, 2024</t>
  </si>
  <si>
    <t>14-Mar-2024</t>
  </si>
  <si>
    <t>$483.75</t>
  </si>
  <si>
    <t>2024-04-03</t>
  </si>
  <si>
    <t>June 4, 2024</t>
  </si>
  <si>
    <t xml:space="preserve">354.17 </t>
  </si>
  <si>
    <t xml:space="preserve">536.08 </t>
  </si>
  <si>
    <t>2024-04-19</t>
  </si>
  <si>
    <t>$383.97</t>
  </si>
  <si>
    <t>$133.99</t>
  </si>
  <si>
    <t>February 12, 2024</t>
  </si>
  <si>
    <t xml:space="preserve">376.09 </t>
  </si>
  <si>
    <t xml:space="preserve">485.50 </t>
  </si>
  <si>
    <t>10/01/2024</t>
  </si>
  <si>
    <t xml:space="preserve">236.59 </t>
  </si>
  <si>
    <t>$280.45</t>
  </si>
  <si>
    <t xml:space="preserve">1,088.22 </t>
  </si>
  <si>
    <t>$529.11</t>
  </si>
  <si>
    <t>2024-02-18</t>
  </si>
  <si>
    <t>June 8, 2024</t>
  </si>
  <si>
    <t>$147.72</t>
  </si>
  <si>
    <t>$183.97</t>
  </si>
  <si>
    <t xml:space="preserve">105.33 </t>
  </si>
  <si>
    <t xml:space="preserve">58.05 </t>
  </si>
  <si>
    <t>$747.99</t>
  </si>
  <si>
    <t>$384.13</t>
  </si>
  <si>
    <t>21-May-2024</t>
  </si>
  <si>
    <t xml:space="preserve">651.05 </t>
  </si>
  <si>
    <t>March 17, 2024</t>
  </si>
  <si>
    <t>10/02/2024</t>
  </si>
  <si>
    <t>2024-02-26</t>
  </si>
  <si>
    <t>2024-03-10</t>
  </si>
  <si>
    <t>23-May-2024</t>
  </si>
  <si>
    <t xml:space="preserve">471.61 </t>
  </si>
  <si>
    <t>$555.72</t>
  </si>
  <si>
    <t>$-275.48</t>
  </si>
  <si>
    <t>30-Jul-2024</t>
  </si>
  <si>
    <t xml:space="preserve">104.96 </t>
  </si>
  <si>
    <t>February 20, 2024</t>
  </si>
  <si>
    <t>$774.90</t>
  </si>
  <si>
    <t>06/21/2024</t>
  </si>
  <si>
    <t>2024-07-06</t>
  </si>
  <si>
    <t>$663.87</t>
  </si>
  <si>
    <t>02/03/2024</t>
  </si>
  <si>
    <t>$441.05</t>
  </si>
  <si>
    <t>12/31/2024</t>
  </si>
  <si>
    <t xml:space="preserve">879.47 </t>
  </si>
  <si>
    <t>$340.27</t>
  </si>
  <si>
    <t>$990.40</t>
  </si>
  <si>
    <t>2024-11-14</t>
  </si>
  <si>
    <t>$362.32</t>
  </si>
  <si>
    <t>$747.08</t>
  </si>
  <si>
    <t xml:space="preserve">576.96 </t>
  </si>
  <si>
    <t xml:space="preserve">179.17 </t>
  </si>
  <si>
    <t>$-397.17</t>
  </si>
  <si>
    <t>2024-11-05</t>
  </si>
  <si>
    <t>2024-08-28</t>
  </si>
  <si>
    <t xml:space="preserve">486.79 </t>
  </si>
  <si>
    <t>$176.17</t>
  </si>
  <si>
    <t xml:space="preserve">525.10 </t>
  </si>
  <si>
    <t>$410.89</t>
  </si>
  <si>
    <t>$360.99</t>
  </si>
  <si>
    <t>November 22, 2024</t>
  </si>
  <si>
    <t>08/02/2024</t>
  </si>
  <si>
    <t>$225.95</t>
  </si>
  <si>
    <t>$582.83</t>
  </si>
  <si>
    <t>01/11/2024</t>
  </si>
  <si>
    <t xml:space="preserve">495.63 </t>
  </si>
  <si>
    <t>May 29, 2024</t>
  </si>
  <si>
    <t>$178.32</t>
  </si>
  <si>
    <t>$304.73</t>
  </si>
  <si>
    <t>22-Jun-2024</t>
  </si>
  <si>
    <t xml:space="preserve">379.61 </t>
  </si>
  <si>
    <t xml:space="preserve">573.09 </t>
  </si>
  <si>
    <t>$-464.44</t>
  </si>
  <si>
    <t>$570.01</t>
  </si>
  <si>
    <t xml:space="preserve">699.86 </t>
  </si>
  <si>
    <t xml:space="preserve">124.42 </t>
  </si>
  <si>
    <t xml:space="preserve">262.44 </t>
  </si>
  <si>
    <t>2024-10-14</t>
  </si>
  <si>
    <t>$776.79</t>
  </si>
  <si>
    <t>May 31, 2024</t>
  </si>
  <si>
    <t xml:space="preserve">32.19 </t>
  </si>
  <si>
    <t>01/14/2024</t>
  </si>
  <si>
    <t xml:space="preserve">627.10 </t>
  </si>
  <si>
    <t xml:space="preserve">73.03 </t>
  </si>
  <si>
    <t>13-Aug-2024</t>
  </si>
  <si>
    <t>$634.93</t>
  </si>
  <si>
    <t>$239.59</t>
  </si>
  <si>
    <t>November 7, 2024</t>
  </si>
  <si>
    <t>$364.31</t>
  </si>
  <si>
    <t xml:space="preserve">323.01 </t>
  </si>
  <si>
    <t>2024-08-20</t>
  </si>
  <si>
    <t>$1,219.82</t>
  </si>
  <si>
    <t>$460.82</t>
  </si>
  <si>
    <t>$70.52</t>
  </si>
  <si>
    <t>April 1, 2024</t>
  </si>
  <si>
    <t>$489.56</t>
  </si>
  <si>
    <t>2-Jun-2024</t>
  </si>
  <si>
    <t>$179.86</t>
  </si>
  <si>
    <t>02/18/2024</t>
  </si>
  <si>
    <t xml:space="preserve">-489.26 </t>
  </si>
  <si>
    <t>2-Jul-2024</t>
  </si>
  <si>
    <t>$371.87</t>
  </si>
  <si>
    <t>May 6, 2024</t>
  </si>
  <si>
    <t xml:space="preserve">121.98 </t>
  </si>
  <si>
    <t>2024-07-24</t>
  </si>
  <si>
    <t>$-236.30</t>
  </si>
  <si>
    <t>$-1,284.90</t>
  </si>
  <si>
    <t xml:space="preserve">-363.23 </t>
  </si>
  <si>
    <t xml:space="preserve">323.30 </t>
  </si>
  <si>
    <t>11/29/2024</t>
  </si>
  <si>
    <t>$358.62</t>
  </si>
  <si>
    <t>$1,148.70</t>
  </si>
  <si>
    <t>05/12/2024</t>
  </si>
  <si>
    <t>$817.15</t>
  </si>
  <si>
    <t xml:space="preserve">1,252.78 </t>
  </si>
  <si>
    <t>4-Jul-2024</t>
  </si>
  <si>
    <t>$193.92</t>
  </si>
  <si>
    <t>18-Feb-2024</t>
  </si>
  <si>
    <t>$818.69</t>
  </si>
  <si>
    <t>$344.97</t>
  </si>
  <si>
    <t>09/07/2024</t>
  </si>
  <si>
    <t>$171.92</t>
  </si>
  <si>
    <t>August 6, 2024</t>
  </si>
  <si>
    <t>$274.65</t>
  </si>
  <si>
    <t xml:space="preserve">277.85 </t>
  </si>
  <si>
    <t>$429.93</t>
  </si>
  <si>
    <t>6-Nov-2024</t>
  </si>
  <si>
    <t>6-Jun-2024</t>
  </si>
  <si>
    <t>$176.68</t>
  </si>
  <si>
    <t>$1,006.88</t>
  </si>
  <si>
    <t>$236.61</t>
  </si>
  <si>
    <t>$328.53</t>
  </si>
  <si>
    <t>2024-09-12</t>
  </si>
  <si>
    <t>$580.70</t>
  </si>
  <si>
    <t>$496.54</t>
  </si>
  <si>
    <t>$444.65</t>
  </si>
  <si>
    <t>$-493.88</t>
  </si>
  <si>
    <t>21-Feb-2024</t>
  </si>
  <si>
    <t>$712.61</t>
  </si>
  <si>
    <t xml:space="preserve">375.79 </t>
  </si>
  <si>
    <t>$626.33</t>
  </si>
  <si>
    <t xml:space="preserve">343.60 </t>
  </si>
  <si>
    <t>$341.71</t>
  </si>
  <si>
    <t>$1,000.21</t>
  </si>
  <si>
    <t>07/26/2024</t>
  </si>
  <si>
    <t xml:space="preserve">230.14 </t>
  </si>
  <si>
    <t>$363.29</t>
  </si>
  <si>
    <t>2024-02-06</t>
  </si>
  <si>
    <t xml:space="preserve">72.68 </t>
  </si>
  <si>
    <t>$182.98</t>
  </si>
  <si>
    <t>June 19, 2024</t>
  </si>
  <si>
    <t>10/10/2024</t>
  </si>
  <si>
    <t xml:space="preserve">221.89 </t>
  </si>
  <si>
    <t>$831.51</t>
  </si>
  <si>
    <t>$465.12</t>
  </si>
  <si>
    <t xml:space="preserve">333.74 </t>
  </si>
  <si>
    <t>15-Apr-2024</t>
  </si>
  <si>
    <t>$376.85</t>
  </si>
  <si>
    <t>$510.23</t>
  </si>
  <si>
    <t>$1,072.47</t>
  </si>
  <si>
    <t>2024-12-19</t>
  </si>
  <si>
    <t xml:space="preserve">74.98 </t>
  </si>
  <si>
    <t>$343.52</t>
  </si>
  <si>
    <t>06/26/2024</t>
  </si>
  <si>
    <t>2024-11-21</t>
  </si>
  <si>
    <t xml:space="preserve">-240.30 </t>
  </si>
  <si>
    <t>$562.73</t>
  </si>
  <si>
    <t>$17.99</t>
  </si>
  <si>
    <t>$376.10</t>
  </si>
  <si>
    <t>30-Jan-2024</t>
  </si>
  <si>
    <t>$209.10</t>
  </si>
  <si>
    <t>$503.92</t>
  </si>
  <si>
    <t xml:space="preserve">655.30 </t>
  </si>
  <si>
    <t>10/07/2024</t>
  </si>
  <si>
    <t>$130.77</t>
  </si>
  <si>
    <t xml:space="preserve">247.55 </t>
  </si>
  <si>
    <t>$512.11</t>
  </si>
  <si>
    <t>2024-02-03</t>
  </si>
  <si>
    <t>$601.28</t>
  </si>
  <si>
    <t>$-322.49</t>
  </si>
  <si>
    <t>$413.52</t>
  </si>
  <si>
    <t xml:space="preserve">680.56 </t>
  </si>
  <si>
    <t>2024-12-05</t>
  </si>
  <si>
    <t xml:space="preserve">250.52 </t>
  </si>
  <si>
    <t>September 14, 2024</t>
  </si>
  <si>
    <t>May 26, 2024</t>
  </si>
  <si>
    <t>04/07/2024</t>
  </si>
  <si>
    <t>October 18, 2024</t>
  </si>
  <si>
    <t>12/13/2024</t>
  </si>
  <si>
    <t>April 16, 2024</t>
  </si>
  <si>
    <t xml:space="preserve">336.14 </t>
  </si>
  <si>
    <t xml:space="preserve">360.01 </t>
  </si>
  <si>
    <t xml:space="preserve">402.32 </t>
  </si>
  <si>
    <t xml:space="preserve">250.17 </t>
  </si>
  <si>
    <t>2024-12-30</t>
  </si>
  <si>
    <t>$381.29</t>
  </si>
  <si>
    <t>$139.63</t>
  </si>
  <si>
    <t>$500.35</t>
  </si>
  <si>
    <t>$210.90</t>
  </si>
  <si>
    <t>$165.53</t>
  </si>
  <si>
    <t>01/10/2024</t>
  </si>
  <si>
    <t xml:space="preserve">71.32 </t>
  </si>
  <si>
    <t>$621.64</t>
  </si>
  <si>
    <t>November 2, 2024</t>
  </si>
  <si>
    <t xml:space="preserve">251.52 </t>
  </si>
  <si>
    <t>$132.57</t>
  </si>
  <si>
    <t>2024-01-03</t>
  </si>
  <si>
    <t>September 25, 2024</t>
  </si>
  <si>
    <t>09/29/2024</t>
  </si>
  <si>
    <t xml:space="preserve">403.72 </t>
  </si>
  <si>
    <t xml:space="preserve">389.11 </t>
  </si>
  <si>
    <t>$472.92</t>
  </si>
  <si>
    <t xml:space="preserve">233.80 </t>
  </si>
  <si>
    <t xml:space="preserve">144.29 </t>
  </si>
  <si>
    <t>November 13, 2024</t>
  </si>
  <si>
    <t>$125.66</t>
  </si>
  <si>
    <t>01/03/2024</t>
  </si>
  <si>
    <t xml:space="preserve">437.05 </t>
  </si>
  <si>
    <t xml:space="preserve">762.49 </t>
  </si>
  <si>
    <t>10/04/2024</t>
  </si>
  <si>
    <t>03/23/2024</t>
  </si>
  <si>
    <t xml:space="preserve">-130.20 </t>
  </si>
  <si>
    <t>$710.68</t>
  </si>
  <si>
    <t xml:space="preserve">-493.21 </t>
  </si>
  <si>
    <t>$589.62</t>
  </si>
  <si>
    <t>$1,048.67</t>
  </si>
  <si>
    <t xml:space="preserve">-89.71 </t>
  </si>
  <si>
    <t>$254.32</t>
  </si>
  <si>
    <t>December 5, 2024</t>
  </si>
  <si>
    <t xml:space="preserve">421.28 </t>
  </si>
  <si>
    <t>16-Nov-2024</t>
  </si>
  <si>
    <t>2024-01-01</t>
  </si>
  <si>
    <t>$919.85</t>
  </si>
  <si>
    <t>15-Jul-2024</t>
  </si>
  <si>
    <t>$767.29</t>
  </si>
  <si>
    <t xml:space="preserve">408.26 </t>
  </si>
  <si>
    <t>2024-05-12</t>
  </si>
  <si>
    <t>$692.89</t>
  </si>
  <si>
    <t>$313.58</t>
  </si>
  <si>
    <t>2024-11-12</t>
  </si>
  <si>
    <t>14-Jul-2024</t>
  </si>
  <si>
    <t>$292.37</t>
  </si>
  <si>
    <t>$228.80</t>
  </si>
  <si>
    <t>$314.50</t>
  </si>
  <si>
    <t>$627.83</t>
  </si>
  <si>
    <t>05/13/2024</t>
  </si>
  <si>
    <t xml:space="preserve">290.36 </t>
  </si>
  <si>
    <t>July 14, 2024</t>
  </si>
  <si>
    <t>$413.26</t>
  </si>
  <si>
    <t>2024-01-08</t>
  </si>
  <si>
    <t>February 8, 2024</t>
  </si>
  <si>
    <t>$542.35</t>
  </si>
  <si>
    <t xml:space="preserve">1,442.07 </t>
  </si>
  <si>
    <t xml:space="preserve">552.45 </t>
  </si>
  <si>
    <t>$300.61</t>
  </si>
  <si>
    <t>August 1, 2024</t>
  </si>
  <si>
    <t>10-Aug-2024</t>
  </si>
  <si>
    <t>$341.57</t>
  </si>
  <si>
    <t xml:space="preserve">603.84 </t>
  </si>
  <si>
    <t>2024-03-08</t>
  </si>
  <si>
    <t>08/23/2024</t>
  </si>
  <si>
    <t>$1,002.61</t>
  </si>
  <si>
    <t xml:space="preserve">  Bluepeak Tech  </t>
  </si>
  <si>
    <t>US</t>
  </si>
  <si>
    <t>SegmentIfCompleted</t>
  </si>
  <si>
    <t>ValueTier</t>
  </si>
  <si>
    <t>ExceedsFeeThreshold</t>
  </si>
  <si>
    <t>IsFirstTxnForService</t>
  </si>
  <si>
    <t>TargetRevenue_Lookup</t>
  </si>
  <si>
    <t xml:space="preserve">Region </t>
  </si>
  <si>
    <t xml:space="preserve">Quarter </t>
  </si>
  <si>
    <t>RegionQuarterKey</t>
  </si>
  <si>
    <t>Row Labels</t>
  </si>
  <si>
    <t>Grand Total</t>
  </si>
  <si>
    <t>Sum of Amount</t>
  </si>
  <si>
    <t>Column Labels</t>
  </si>
  <si>
    <t>Unattributed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</si>
</sst>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Aptos Narrow"/>
      <family val="2"/>
      <scheme val="minor"/>
    </font>
    <font>
      <sz val="11"/>
      <color rgb="FF000000"/>
      <name val="Calibri"/>
    </font>
    <font>
      <sz val="11"/>
      <name val="Arial"/>
    </font>
    <font>
      <sz val="8"/>
      <name val="Aptos Narrow"/>
      <family val="2"/>
      <scheme val="minor"/>
    </font>
  </fonts>
  <fills count="3">
    <fill>
      <patternFill patternType="none"/>
    </fill>
    <fill>
      <patternFill patternType="gray125"/>
    </fill>
    <fill>
      <patternFill patternType="solid">
        <fgColor theme="2" tint="-0.499984740745262"/>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1" fillId="0" borderId="0" xfId="0" applyFont="1"/>
    <xf numFmtId="0" fontId="2" fillId="0" borderId="0" xfId="0" applyFont="1"/>
    <xf numFmtId="164" fontId="2" fillId="0" borderId="0" xfId="0" applyNumberFormat="1" applyFon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cellXfs>
  <cellStyles count="1">
    <cellStyle name="Normal" xfId="0" builtinId="0"/>
  </cellStyles>
  <dxfs count="3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[Excel-Data-Analysis-Project.xlsx]Pivot!PivotTable1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c:f>
              <c:strCache>
                <c:ptCount val="1"/>
                <c:pt idx="0">
                  <c:v>Total</c:v>
                </c:pt>
              </c:strCache>
            </c:strRef>
          </c:tx>
          <c:spPr>
            <a:solidFill>
              <a:schemeClr val="accent1"/>
            </a:solidFill>
            <a:ln>
              <a:noFill/>
            </a:ln>
            <a:effectLst/>
            <a:sp3d/>
          </c:spPr>
          <c:invertIfNegative val="0"/>
          <c:cat>
            <c:multiLvlStrRef>
              <c:f>Pivot!$A$4:$A$19</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APAC</c:v>
                  </c:pt>
                  <c:pt idx="4">
                    <c:v>EMEA</c:v>
                  </c:pt>
                  <c:pt idx="8">
                    <c:v>NA</c:v>
                  </c:pt>
                </c:lvl>
              </c:multiLvlStrCache>
            </c:multiLvlStrRef>
          </c:cat>
          <c:val>
            <c:numRef>
              <c:f>Pivot!$B$4:$B$19</c:f>
              <c:numCache>
                <c:formatCode>General</c:formatCode>
                <c:ptCount val="12"/>
                <c:pt idx="0">
                  <c:v>69023.41</c:v>
                </c:pt>
                <c:pt idx="1">
                  <c:v>72542.929999999993</c:v>
                </c:pt>
                <c:pt idx="2">
                  <c:v>71588.639999999985</c:v>
                </c:pt>
                <c:pt idx="3">
                  <c:v>76768.179999999935</c:v>
                </c:pt>
                <c:pt idx="4">
                  <c:v>39604.67</c:v>
                </c:pt>
                <c:pt idx="5">
                  <c:v>40874.110000000008</c:v>
                </c:pt>
                <c:pt idx="6">
                  <c:v>59576.549999999996</c:v>
                </c:pt>
                <c:pt idx="7">
                  <c:v>63661.239999999976</c:v>
                </c:pt>
                <c:pt idx="8">
                  <c:v>150788.32000000009</c:v>
                </c:pt>
                <c:pt idx="9">
                  <c:v>114835.25000000003</c:v>
                </c:pt>
                <c:pt idx="10">
                  <c:v>135084.0799999999</c:v>
                </c:pt>
                <c:pt idx="11">
                  <c:v>137030.53</c:v>
                </c:pt>
              </c:numCache>
            </c:numRef>
          </c:val>
          <c:extLst>
            <c:ext xmlns:c16="http://schemas.microsoft.com/office/drawing/2014/chart" uri="{C3380CC4-5D6E-409C-BE32-E72D297353CC}">
              <c16:uniqueId val="{00000000-F301-47B7-98FA-6386A76CB966}"/>
            </c:ext>
          </c:extLst>
        </c:ser>
        <c:dLbls>
          <c:showLegendKey val="0"/>
          <c:showVal val="0"/>
          <c:showCatName val="0"/>
          <c:showSerName val="0"/>
          <c:showPercent val="0"/>
          <c:showBubbleSize val="0"/>
        </c:dLbls>
        <c:gapWidth val="150"/>
        <c:shape val="box"/>
        <c:axId val="737460624"/>
        <c:axId val="737461104"/>
        <c:axId val="0"/>
      </c:bar3DChart>
      <c:catAx>
        <c:axId val="7374606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461104"/>
        <c:crosses val="autoZero"/>
        <c:auto val="1"/>
        <c:lblAlgn val="ctr"/>
        <c:lblOffset val="100"/>
        <c:noMultiLvlLbl val="0"/>
      </c:catAx>
      <c:valAx>
        <c:axId val="73746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46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[Excel-Data-Analysis-Project.xlsx]Pivot!PivotTable2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Pivot!$E$3:$E$4</c:f>
              <c:strCache>
                <c:ptCount val="1"/>
                <c:pt idx="0">
                  <c:v>Completed</c:v>
                </c:pt>
              </c:strCache>
            </c:strRef>
          </c:tx>
          <c:spPr>
            <a:solidFill>
              <a:schemeClr val="accent1"/>
            </a:solidFill>
            <a:ln>
              <a:noFill/>
            </a:ln>
            <a:effectLst/>
            <a:sp3d/>
          </c:spPr>
          <c:invertIfNegative val="0"/>
          <c:cat>
            <c:strRef>
              <c:f>Pivot!$D$5:$D$14</c:f>
              <c:strCache>
                <c:ptCount val="9"/>
                <c:pt idx="0">
                  <c:v>Analytics Dashboard</c:v>
                </c:pt>
                <c:pt idx="1">
                  <c:v>API Access - Developer</c:v>
                </c:pt>
                <c:pt idx="2">
                  <c:v>Chargeback Management</c:v>
                </c:pt>
                <c:pt idx="3">
                  <c:v>Fraud Protection</c:v>
                </c:pt>
                <c:pt idx="4">
                  <c:v>Invoicing Suite</c:v>
                </c:pt>
                <c:pt idx="5">
                  <c:v>Merchant Support Plus</c:v>
                </c:pt>
                <c:pt idx="6">
                  <c:v>Payment Processing</c:v>
                </c:pt>
                <c:pt idx="7">
                  <c:v>Payroll Management</c:v>
                </c:pt>
                <c:pt idx="8">
                  <c:v>Unattributed</c:v>
                </c:pt>
              </c:strCache>
            </c:strRef>
          </c:cat>
          <c:val>
            <c:numRef>
              <c:f>Pivot!$E$5:$E$14</c:f>
              <c:numCache>
                <c:formatCode>General</c:formatCode>
                <c:ptCount val="9"/>
                <c:pt idx="0">
                  <c:v>89944.200000000084</c:v>
                </c:pt>
                <c:pt idx="1">
                  <c:v>78640.299999999988</c:v>
                </c:pt>
                <c:pt idx="2">
                  <c:v>79188.460000000006</c:v>
                </c:pt>
                <c:pt idx="3">
                  <c:v>74566.709999999992</c:v>
                </c:pt>
                <c:pt idx="4">
                  <c:v>122510.98999999998</c:v>
                </c:pt>
                <c:pt idx="5">
                  <c:v>86504.560000000041</c:v>
                </c:pt>
                <c:pt idx="6">
                  <c:v>284433.26999999996</c:v>
                </c:pt>
                <c:pt idx="7">
                  <c:v>106699.04999999993</c:v>
                </c:pt>
                <c:pt idx="8">
                  <c:v>2119.89</c:v>
                </c:pt>
              </c:numCache>
            </c:numRef>
          </c:val>
          <c:extLst>
            <c:ext xmlns:c16="http://schemas.microsoft.com/office/drawing/2014/chart" uri="{C3380CC4-5D6E-409C-BE32-E72D297353CC}">
              <c16:uniqueId val="{00000000-1AD7-4242-ACD3-8DA09F7D060A}"/>
            </c:ext>
          </c:extLst>
        </c:ser>
        <c:ser>
          <c:idx val="1"/>
          <c:order val="1"/>
          <c:tx>
            <c:strRef>
              <c:f>Pivot!$F$3:$F$4</c:f>
              <c:strCache>
                <c:ptCount val="1"/>
                <c:pt idx="0">
                  <c:v>Failed</c:v>
                </c:pt>
              </c:strCache>
            </c:strRef>
          </c:tx>
          <c:spPr>
            <a:solidFill>
              <a:schemeClr val="accent2"/>
            </a:solidFill>
            <a:ln>
              <a:noFill/>
            </a:ln>
            <a:effectLst/>
            <a:sp3d/>
          </c:spPr>
          <c:invertIfNegative val="0"/>
          <c:cat>
            <c:strRef>
              <c:f>Pivot!$D$5:$D$14</c:f>
              <c:strCache>
                <c:ptCount val="9"/>
                <c:pt idx="0">
                  <c:v>Analytics Dashboard</c:v>
                </c:pt>
                <c:pt idx="1">
                  <c:v>API Access - Developer</c:v>
                </c:pt>
                <c:pt idx="2">
                  <c:v>Chargeback Management</c:v>
                </c:pt>
                <c:pt idx="3">
                  <c:v>Fraud Protection</c:v>
                </c:pt>
                <c:pt idx="4">
                  <c:v>Invoicing Suite</c:v>
                </c:pt>
                <c:pt idx="5">
                  <c:v>Merchant Support Plus</c:v>
                </c:pt>
                <c:pt idx="6">
                  <c:v>Payment Processing</c:v>
                </c:pt>
                <c:pt idx="7">
                  <c:v>Payroll Management</c:v>
                </c:pt>
                <c:pt idx="8">
                  <c:v>Unattributed</c:v>
                </c:pt>
              </c:strCache>
            </c:strRef>
          </c:cat>
          <c:val>
            <c:numRef>
              <c:f>Pivot!$F$5:$F$14</c:f>
              <c:numCache>
                <c:formatCode>General</c:formatCode>
                <c:ptCount val="9"/>
                <c:pt idx="0">
                  <c:v>9979.5400000000009</c:v>
                </c:pt>
                <c:pt idx="1">
                  <c:v>9652.7199999999993</c:v>
                </c:pt>
                <c:pt idx="2">
                  <c:v>6891.14</c:v>
                </c:pt>
                <c:pt idx="3">
                  <c:v>8115.2900000000009</c:v>
                </c:pt>
                <c:pt idx="4">
                  <c:v>13372.02</c:v>
                </c:pt>
                <c:pt idx="5">
                  <c:v>7365.74</c:v>
                </c:pt>
                <c:pt idx="6">
                  <c:v>37704.840000000004</c:v>
                </c:pt>
                <c:pt idx="7">
                  <c:v>9897.2100000000009</c:v>
                </c:pt>
              </c:numCache>
            </c:numRef>
          </c:val>
          <c:extLst>
            <c:ext xmlns:c16="http://schemas.microsoft.com/office/drawing/2014/chart" uri="{C3380CC4-5D6E-409C-BE32-E72D297353CC}">
              <c16:uniqueId val="{00000001-1AD7-4242-ACD3-8DA09F7D060A}"/>
            </c:ext>
          </c:extLst>
        </c:ser>
        <c:ser>
          <c:idx val="2"/>
          <c:order val="2"/>
          <c:tx>
            <c:strRef>
              <c:f>Pivot!$G$3:$G$4</c:f>
              <c:strCache>
                <c:ptCount val="1"/>
                <c:pt idx="0">
                  <c:v>Pending</c:v>
                </c:pt>
              </c:strCache>
            </c:strRef>
          </c:tx>
          <c:spPr>
            <a:solidFill>
              <a:schemeClr val="accent3"/>
            </a:solidFill>
            <a:ln>
              <a:noFill/>
            </a:ln>
            <a:effectLst/>
            <a:sp3d/>
          </c:spPr>
          <c:invertIfNegative val="0"/>
          <c:cat>
            <c:strRef>
              <c:f>Pivot!$D$5:$D$14</c:f>
              <c:strCache>
                <c:ptCount val="9"/>
                <c:pt idx="0">
                  <c:v>Analytics Dashboard</c:v>
                </c:pt>
                <c:pt idx="1">
                  <c:v>API Access - Developer</c:v>
                </c:pt>
                <c:pt idx="2">
                  <c:v>Chargeback Management</c:v>
                </c:pt>
                <c:pt idx="3">
                  <c:v>Fraud Protection</c:v>
                </c:pt>
                <c:pt idx="4">
                  <c:v>Invoicing Suite</c:v>
                </c:pt>
                <c:pt idx="5">
                  <c:v>Merchant Support Plus</c:v>
                </c:pt>
                <c:pt idx="6">
                  <c:v>Payment Processing</c:v>
                </c:pt>
                <c:pt idx="7">
                  <c:v>Payroll Management</c:v>
                </c:pt>
                <c:pt idx="8">
                  <c:v>Unattributed</c:v>
                </c:pt>
              </c:strCache>
            </c:strRef>
          </c:cat>
          <c:val>
            <c:numRef>
              <c:f>Pivot!$G$5:$G$14</c:f>
              <c:numCache>
                <c:formatCode>General</c:formatCode>
                <c:ptCount val="9"/>
                <c:pt idx="0">
                  <c:v>8605.5600000000013</c:v>
                </c:pt>
                <c:pt idx="1">
                  <c:v>8446.69</c:v>
                </c:pt>
                <c:pt idx="2">
                  <c:v>6586.6600000000008</c:v>
                </c:pt>
                <c:pt idx="3">
                  <c:v>6636.5999999999995</c:v>
                </c:pt>
                <c:pt idx="4">
                  <c:v>9674.909999999998</c:v>
                </c:pt>
                <c:pt idx="5">
                  <c:v>9773.5299999999988</c:v>
                </c:pt>
                <c:pt idx="6">
                  <c:v>19075.839999999997</c:v>
                </c:pt>
                <c:pt idx="7">
                  <c:v>14495.240000000005</c:v>
                </c:pt>
              </c:numCache>
            </c:numRef>
          </c:val>
          <c:extLst>
            <c:ext xmlns:c16="http://schemas.microsoft.com/office/drawing/2014/chart" uri="{C3380CC4-5D6E-409C-BE32-E72D297353CC}">
              <c16:uniqueId val="{00000002-1AD7-4242-ACD3-8DA09F7D060A}"/>
            </c:ext>
          </c:extLst>
        </c:ser>
        <c:ser>
          <c:idx val="3"/>
          <c:order val="3"/>
          <c:tx>
            <c:strRef>
              <c:f>Pivot!$H$3:$H$4</c:f>
              <c:strCache>
                <c:ptCount val="1"/>
                <c:pt idx="0">
                  <c:v>Refunded</c:v>
                </c:pt>
              </c:strCache>
            </c:strRef>
          </c:tx>
          <c:spPr>
            <a:solidFill>
              <a:schemeClr val="accent4"/>
            </a:solidFill>
            <a:ln>
              <a:noFill/>
            </a:ln>
            <a:effectLst/>
            <a:sp3d/>
          </c:spPr>
          <c:invertIfNegative val="0"/>
          <c:cat>
            <c:strRef>
              <c:f>Pivot!$D$5:$D$14</c:f>
              <c:strCache>
                <c:ptCount val="9"/>
                <c:pt idx="0">
                  <c:v>Analytics Dashboard</c:v>
                </c:pt>
                <c:pt idx="1">
                  <c:v>API Access - Developer</c:v>
                </c:pt>
                <c:pt idx="2">
                  <c:v>Chargeback Management</c:v>
                </c:pt>
                <c:pt idx="3">
                  <c:v>Fraud Protection</c:v>
                </c:pt>
                <c:pt idx="4">
                  <c:v>Invoicing Suite</c:v>
                </c:pt>
                <c:pt idx="5">
                  <c:v>Merchant Support Plus</c:v>
                </c:pt>
                <c:pt idx="6">
                  <c:v>Payment Processing</c:v>
                </c:pt>
                <c:pt idx="7">
                  <c:v>Payroll Management</c:v>
                </c:pt>
                <c:pt idx="8">
                  <c:v>Unattributed</c:v>
                </c:pt>
              </c:strCache>
            </c:strRef>
          </c:cat>
          <c:val>
            <c:numRef>
              <c:f>Pivot!$H$5:$H$14</c:f>
              <c:numCache>
                <c:formatCode>General</c:formatCode>
                <c:ptCount val="9"/>
                <c:pt idx="0">
                  <c:v>-12171.629999999997</c:v>
                </c:pt>
                <c:pt idx="1">
                  <c:v>-5361.34</c:v>
                </c:pt>
                <c:pt idx="2">
                  <c:v>-4216.59</c:v>
                </c:pt>
                <c:pt idx="3">
                  <c:v>-2552.6099999999997</c:v>
                </c:pt>
                <c:pt idx="4">
                  <c:v>-9854.4700000000012</c:v>
                </c:pt>
                <c:pt idx="5">
                  <c:v>-9151.24</c:v>
                </c:pt>
                <c:pt idx="6">
                  <c:v>-24207.819999999992</c:v>
                </c:pt>
                <c:pt idx="7">
                  <c:v>-11987.35</c:v>
                </c:pt>
              </c:numCache>
            </c:numRef>
          </c:val>
          <c:extLst>
            <c:ext xmlns:c16="http://schemas.microsoft.com/office/drawing/2014/chart" uri="{C3380CC4-5D6E-409C-BE32-E72D297353CC}">
              <c16:uniqueId val="{00000003-1AD7-4242-ACD3-8DA09F7D060A}"/>
            </c:ext>
          </c:extLst>
        </c:ser>
        <c:dLbls>
          <c:showLegendKey val="0"/>
          <c:showVal val="0"/>
          <c:showCatName val="0"/>
          <c:showSerName val="0"/>
          <c:showPercent val="0"/>
          <c:showBubbleSize val="0"/>
        </c:dLbls>
        <c:gapWidth val="150"/>
        <c:shape val="box"/>
        <c:axId val="737469744"/>
        <c:axId val="737465904"/>
        <c:axId val="0"/>
      </c:bar3DChart>
      <c:catAx>
        <c:axId val="737469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465904"/>
        <c:crosses val="autoZero"/>
        <c:auto val="1"/>
        <c:lblAlgn val="ctr"/>
        <c:lblOffset val="100"/>
        <c:noMultiLvlLbl val="0"/>
      </c:catAx>
      <c:valAx>
        <c:axId val="73746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46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[Excel-Data-Analysis-Project.xlsx]Pivot!PivotTable3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Pivot!$L$3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Pivot!$K$4:$K$8</c:f>
              <c:strCache>
                <c:ptCount val="4"/>
                <c:pt idx="0">
                  <c:v>Enterprise</c:v>
                </c:pt>
                <c:pt idx="1">
                  <c:v>SMB</c:v>
                </c:pt>
                <c:pt idx="2">
                  <c:v>Startup</c:v>
                </c:pt>
                <c:pt idx="3">
                  <c:v>Unattributed</c:v>
                </c:pt>
              </c:strCache>
            </c:strRef>
          </c:cat>
          <c:val>
            <c:numRef>
              <c:f>Pivot!$L$4:$L$8</c:f>
              <c:numCache>
                <c:formatCode>General</c:formatCode>
                <c:ptCount val="4"/>
                <c:pt idx="0">
                  <c:v>262471.05</c:v>
                </c:pt>
                <c:pt idx="1">
                  <c:v>593518.34999999986</c:v>
                </c:pt>
                <c:pt idx="2">
                  <c:v>163655.34999999983</c:v>
                </c:pt>
                <c:pt idx="3">
                  <c:v>11733.16</c:v>
                </c:pt>
              </c:numCache>
            </c:numRef>
          </c:val>
          <c:extLst>
            <c:ext xmlns:c16="http://schemas.microsoft.com/office/drawing/2014/chart" uri="{C3380CC4-5D6E-409C-BE32-E72D297353CC}">
              <c16:uniqueId val="{00000000-42CA-485A-9729-8F868220F38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[Excel-Data-Analysis-Project.xlsx]Pivot!PivotTable1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0" i="0" u="none" strike="noStrike" baseline="0"/>
              <a:t>Revenue by Region &amp; Quarter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c:f>
              <c:strCache>
                <c:ptCount val="1"/>
                <c:pt idx="0">
                  <c:v>Total</c:v>
                </c:pt>
              </c:strCache>
            </c:strRef>
          </c:tx>
          <c:spPr>
            <a:solidFill>
              <a:schemeClr val="accent1"/>
            </a:solidFill>
            <a:ln>
              <a:noFill/>
            </a:ln>
            <a:effectLst/>
            <a:sp3d/>
          </c:spPr>
          <c:invertIfNegative val="0"/>
          <c:cat>
            <c:multiLvlStrRef>
              <c:f>Pivot!$A$4:$A$19</c:f>
              <c:multiLvlStrCache>
                <c:ptCount val="12"/>
                <c:lvl>
                  <c:pt idx="0">
                    <c:v>Q1</c:v>
                  </c:pt>
                  <c:pt idx="1">
                    <c:v>Q2</c:v>
                  </c:pt>
                  <c:pt idx="2">
                    <c:v>Q3</c:v>
                  </c:pt>
                  <c:pt idx="3">
                    <c:v>Q4</c:v>
                  </c:pt>
                  <c:pt idx="4">
                    <c:v>Q1</c:v>
                  </c:pt>
                  <c:pt idx="5">
                    <c:v>Q2</c:v>
                  </c:pt>
                  <c:pt idx="6">
                    <c:v>Q3</c:v>
                  </c:pt>
                  <c:pt idx="7">
                    <c:v>Q4</c:v>
                  </c:pt>
                  <c:pt idx="8">
                    <c:v>Q1</c:v>
                  </c:pt>
                  <c:pt idx="9">
                    <c:v>Q2</c:v>
                  </c:pt>
                  <c:pt idx="10">
                    <c:v>Q3</c:v>
                  </c:pt>
                  <c:pt idx="11">
                    <c:v>Q4</c:v>
                  </c:pt>
                </c:lvl>
                <c:lvl>
                  <c:pt idx="0">
                    <c:v>APAC</c:v>
                  </c:pt>
                  <c:pt idx="4">
                    <c:v>EMEA</c:v>
                  </c:pt>
                  <c:pt idx="8">
                    <c:v>NA</c:v>
                  </c:pt>
                </c:lvl>
              </c:multiLvlStrCache>
            </c:multiLvlStrRef>
          </c:cat>
          <c:val>
            <c:numRef>
              <c:f>Pivot!$B$4:$B$19</c:f>
              <c:numCache>
                <c:formatCode>General</c:formatCode>
                <c:ptCount val="12"/>
                <c:pt idx="0">
                  <c:v>69023.41</c:v>
                </c:pt>
                <c:pt idx="1">
                  <c:v>72542.929999999993</c:v>
                </c:pt>
                <c:pt idx="2">
                  <c:v>71588.639999999985</c:v>
                </c:pt>
                <c:pt idx="3">
                  <c:v>76768.179999999935</c:v>
                </c:pt>
                <c:pt idx="4">
                  <c:v>39604.67</c:v>
                </c:pt>
                <c:pt idx="5">
                  <c:v>40874.110000000008</c:v>
                </c:pt>
                <c:pt idx="6">
                  <c:v>59576.549999999996</c:v>
                </c:pt>
                <c:pt idx="7">
                  <c:v>63661.239999999976</c:v>
                </c:pt>
                <c:pt idx="8">
                  <c:v>150788.32000000009</c:v>
                </c:pt>
                <c:pt idx="9">
                  <c:v>114835.25000000003</c:v>
                </c:pt>
                <c:pt idx="10">
                  <c:v>135084.0799999999</c:v>
                </c:pt>
                <c:pt idx="11">
                  <c:v>137030.53</c:v>
                </c:pt>
              </c:numCache>
            </c:numRef>
          </c:val>
          <c:extLst>
            <c:ext xmlns:c16="http://schemas.microsoft.com/office/drawing/2014/chart" uri="{C3380CC4-5D6E-409C-BE32-E72D297353CC}">
              <c16:uniqueId val="{00000000-C7FD-4958-9DA9-2A5D86730C0E}"/>
            </c:ext>
          </c:extLst>
        </c:ser>
        <c:dLbls>
          <c:showLegendKey val="0"/>
          <c:showVal val="0"/>
          <c:showCatName val="0"/>
          <c:showSerName val="0"/>
          <c:showPercent val="0"/>
          <c:showBubbleSize val="0"/>
        </c:dLbls>
        <c:gapWidth val="150"/>
        <c:shape val="box"/>
        <c:axId val="737460624"/>
        <c:axId val="737461104"/>
        <c:axId val="0"/>
      </c:bar3DChart>
      <c:catAx>
        <c:axId val="73746062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461104"/>
        <c:crosses val="autoZero"/>
        <c:auto val="1"/>
        <c:lblAlgn val="ctr"/>
        <c:lblOffset val="100"/>
        <c:noMultiLvlLbl val="0"/>
      </c:catAx>
      <c:valAx>
        <c:axId val="73746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46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[Excel-Data-Analysis-Project.xlsx]Pivot!PivotTable2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1" i="0" u="none" strike="noStrike" baseline="0"/>
              <a:t>Revenue by ServiceName &amp; Status</a:t>
            </a:r>
            <a:r>
              <a:rPr lang="en-PH" sz="1400" b="0" i="0" u="none" strike="noStrike" baseline="0"/>
              <a:t> </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Pivot!$E$3:$E$4</c:f>
              <c:strCache>
                <c:ptCount val="1"/>
                <c:pt idx="0">
                  <c:v>Completed</c:v>
                </c:pt>
              </c:strCache>
            </c:strRef>
          </c:tx>
          <c:spPr>
            <a:solidFill>
              <a:schemeClr val="accent1"/>
            </a:solidFill>
            <a:ln>
              <a:noFill/>
            </a:ln>
            <a:effectLst/>
            <a:sp3d/>
          </c:spPr>
          <c:invertIfNegative val="0"/>
          <c:cat>
            <c:strRef>
              <c:f>Pivot!$D$5:$D$14</c:f>
              <c:strCache>
                <c:ptCount val="9"/>
                <c:pt idx="0">
                  <c:v>Analytics Dashboard</c:v>
                </c:pt>
                <c:pt idx="1">
                  <c:v>API Access - Developer</c:v>
                </c:pt>
                <c:pt idx="2">
                  <c:v>Chargeback Management</c:v>
                </c:pt>
                <c:pt idx="3">
                  <c:v>Fraud Protection</c:v>
                </c:pt>
                <c:pt idx="4">
                  <c:v>Invoicing Suite</c:v>
                </c:pt>
                <c:pt idx="5">
                  <c:v>Merchant Support Plus</c:v>
                </c:pt>
                <c:pt idx="6">
                  <c:v>Payment Processing</c:v>
                </c:pt>
                <c:pt idx="7">
                  <c:v>Payroll Management</c:v>
                </c:pt>
                <c:pt idx="8">
                  <c:v>Unattributed</c:v>
                </c:pt>
              </c:strCache>
            </c:strRef>
          </c:cat>
          <c:val>
            <c:numRef>
              <c:f>Pivot!$E$5:$E$14</c:f>
              <c:numCache>
                <c:formatCode>General</c:formatCode>
                <c:ptCount val="9"/>
                <c:pt idx="0">
                  <c:v>89944.200000000084</c:v>
                </c:pt>
                <c:pt idx="1">
                  <c:v>78640.299999999988</c:v>
                </c:pt>
                <c:pt idx="2">
                  <c:v>79188.460000000006</c:v>
                </c:pt>
                <c:pt idx="3">
                  <c:v>74566.709999999992</c:v>
                </c:pt>
                <c:pt idx="4">
                  <c:v>122510.98999999998</c:v>
                </c:pt>
                <c:pt idx="5">
                  <c:v>86504.560000000041</c:v>
                </c:pt>
                <c:pt idx="6">
                  <c:v>284433.26999999996</c:v>
                </c:pt>
                <c:pt idx="7">
                  <c:v>106699.04999999993</c:v>
                </c:pt>
                <c:pt idx="8">
                  <c:v>2119.89</c:v>
                </c:pt>
              </c:numCache>
            </c:numRef>
          </c:val>
          <c:extLst>
            <c:ext xmlns:c16="http://schemas.microsoft.com/office/drawing/2014/chart" uri="{C3380CC4-5D6E-409C-BE32-E72D297353CC}">
              <c16:uniqueId val="{00000000-082C-45C2-B760-0B14A37F9FCA}"/>
            </c:ext>
          </c:extLst>
        </c:ser>
        <c:ser>
          <c:idx val="1"/>
          <c:order val="1"/>
          <c:tx>
            <c:strRef>
              <c:f>Pivot!$F$3:$F$4</c:f>
              <c:strCache>
                <c:ptCount val="1"/>
                <c:pt idx="0">
                  <c:v>Failed</c:v>
                </c:pt>
              </c:strCache>
            </c:strRef>
          </c:tx>
          <c:spPr>
            <a:solidFill>
              <a:schemeClr val="accent2"/>
            </a:solidFill>
            <a:ln>
              <a:noFill/>
            </a:ln>
            <a:effectLst/>
            <a:sp3d/>
          </c:spPr>
          <c:invertIfNegative val="0"/>
          <c:cat>
            <c:strRef>
              <c:f>Pivot!$D$5:$D$14</c:f>
              <c:strCache>
                <c:ptCount val="9"/>
                <c:pt idx="0">
                  <c:v>Analytics Dashboard</c:v>
                </c:pt>
                <c:pt idx="1">
                  <c:v>API Access - Developer</c:v>
                </c:pt>
                <c:pt idx="2">
                  <c:v>Chargeback Management</c:v>
                </c:pt>
                <c:pt idx="3">
                  <c:v>Fraud Protection</c:v>
                </c:pt>
                <c:pt idx="4">
                  <c:v>Invoicing Suite</c:v>
                </c:pt>
                <c:pt idx="5">
                  <c:v>Merchant Support Plus</c:v>
                </c:pt>
                <c:pt idx="6">
                  <c:v>Payment Processing</c:v>
                </c:pt>
                <c:pt idx="7">
                  <c:v>Payroll Management</c:v>
                </c:pt>
                <c:pt idx="8">
                  <c:v>Unattributed</c:v>
                </c:pt>
              </c:strCache>
            </c:strRef>
          </c:cat>
          <c:val>
            <c:numRef>
              <c:f>Pivot!$F$5:$F$14</c:f>
              <c:numCache>
                <c:formatCode>General</c:formatCode>
                <c:ptCount val="9"/>
                <c:pt idx="0">
                  <c:v>9979.5400000000009</c:v>
                </c:pt>
                <c:pt idx="1">
                  <c:v>9652.7199999999993</c:v>
                </c:pt>
                <c:pt idx="2">
                  <c:v>6891.14</c:v>
                </c:pt>
                <c:pt idx="3">
                  <c:v>8115.2900000000009</c:v>
                </c:pt>
                <c:pt idx="4">
                  <c:v>13372.02</c:v>
                </c:pt>
                <c:pt idx="5">
                  <c:v>7365.74</c:v>
                </c:pt>
                <c:pt idx="6">
                  <c:v>37704.840000000004</c:v>
                </c:pt>
                <c:pt idx="7">
                  <c:v>9897.2100000000009</c:v>
                </c:pt>
              </c:numCache>
            </c:numRef>
          </c:val>
          <c:extLst>
            <c:ext xmlns:c16="http://schemas.microsoft.com/office/drawing/2014/chart" uri="{C3380CC4-5D6E-409C-BE32-E72D297353CC}">
              <c16:uniqueId val="{00000001-082C-45C2-B760-0B14A37F9FCA}"/>
            </c:ext>
          </c:extLst>
        </c:ser>
        <c:ser>
          <c:idx val="2"/>
          <c:order val="2"/>
          <c:tx>
            <c:strRef>
              <c:f>Pivot!$G$3:$G$4</c:f>
              <c:strCache>
                <c:ptCount val="1"/>
                <c:pt idx="0">
                  <c:v>Pending</c:v>
                </c:pt>
              </c:strCache>
            </c:strRef>
          </c:tx>
          <c:spPr>
            <a:solidFill>
              <a:schemeClr val="accent3"/>
            </a:solidFill>
            <a:ln>
              <a:noFill/>
            </a:ln>
            <a:effectLst/>
            <a:sp3d/>
          </c:spPr>
          <c:invertIfNegative val="0"/>
          <c:cat>
            <c:strRef>
              <c:f>Pivot!$D$5:$D$14</c:f>
              <c:strCache>
                <c:ptCount val="9"/>
                <c:pt idx="0">
                  <c:v>Analytics Dashboard</c:v>
                </c:pt>
                <c:pt idx="1">
                  <c:v>API Access - Developer</c:v>
                </c:pt>
                <c:pt idx="2">
                  <c:v>Chargeback Management</c:v>
                </c:pt>
                <c:pt idx="3">
                  <c:v>Fraud Protection</c:v>
                </c:pt>
                <c:pt idx="4">
                  <c:v>Invoicing Suite</c:v>
                </c:pt>
                <c:pt idx="5">
                  <c:v>Merchant Support Plus</c:v>
                </c:pt>
                <c:pt idx="6">
                  <c:v>Payment Processing</c:v>
                </c:pt>
                <c:pt idx="7">
                  <c:v>Payroll Management</c:v>
                </c:pt>
                <c:pt idx="8">
                  <c:v>Unattributed</c:v>
                </c:pt>
              </c:strCache>
            </c:strRef>
          </c:cat>
          <c:val>
            <c:numRef>
              <c:f>Pivot!$G$5:$G$14</c:f>
              <c:numCache>
                <c:formatCode>General</c:formatCode>
                <c:ptCount val="9"/>
                <c:pt idx="0">
                  <c:v>8605.5600000000013</c:v>
                </c:pt>
                <c:pt idx="1">
                  <c:v>8446.69</c:v>
                </c:pt>
                <c:pt idx="2">
                  <c:v>6586.6600000000008</c:v>
                </c:pt>
                <c:pt idx="3">
                  <c:v>6636.5999999999995</c:v>
                </c:pt>
                <c:pt idx="4">
                  <c:v>9674.909999999998</c:v>
                </c:pt>
                <c:pt idx="5">
                  <c:v>9773.5299999999988</c:v>
                </c:pt>
                <c:pt idx="6">
                  <c:v>19075.839999999997</c:v>
                </c:pt>
                <c:pt idx="7">
                  <c:v>14495.240000000005</c:v>
                </c:pt>
              </c:numCache>
            </c:numRef>
          </c:val>
          <c:extLst>
            <c:ext xmlns:c16="http://schemas.microsoft.com/office/drawing/2014/chart" uri="{C3380CC4-5D6E-409C-BE32-E72D297353CC}">
              <c16:uniqueId val="{00000002-082C-45C2-B760-0B14A37F9FCA}"/>
            </c:ext>
          </c:extLst>
        </c:ser>
        <c:ser>
          <c:idx val="3"/>
          <c:order val="3"/>
          <c:tx>
            <c:strRef>
              <c:f>Pivot!$H$3:$H$4</c:f>
              <c:strCache>
                <c:ptCount val="1"/>
                <c:pt idx="0">
                  <c:v>Refunded</c:v>
                </c:pt>
              </c:strCache>
            </c:strRef>
          </c:tx>
          <c:spPr>
            <a:solidFill>
              <a:schemeClr val="accent4"/>
            </a:solidFill>
            <a:ln>
              <a:noFill/>
            </a:ln>
            <a:effectLst/>
            <a:sp3d/>
          </c:spPr>
          <c:invertIfNegative val="0"/>
          <c:cat>
            <c:strRef>
              <c:f>Pivot!$D$5:$D$14</c:f>
              <c:strCache>
                <c:ptCount val="9"/>
                <c:pt idx="0">
                  <c:v>Analytics Dashboard</c:v>
                </c:pt>
                <c:pt idx="1">
                  <c:v>API Access - Developer</c:v>
                </c:pt>
                <c:pt idx="2">
                  <c:v>Chargeback Management</c:v>
                </c:pt>
                <c:pt idx="3">
                  <c:v>Fraud Protection</c:v>
                </c:pt>
                <c:pt idx="4">
                  <c:v>Invoicing Suite</c:v>
                </c:pt>
                <c:pt idx="5">
                  <c:v>Merchant Support Plus</c:v>
                </c:pt>
                <c:pt idx="6">
                  <c:v>Payment Processing</c:v>
                </c:pt>
                <c:pt idx="7">
                  <c:v>Payroll Management</c:v>
                </c:pt>
                <c:pt idx="8">
                  <c:v>Unattributed</c:v>
                </c:pt>
              </c:strCache>
            </c:strRef>
          </c:cat>
          <c:val>
            <c:numRef>
              <c:f>Pivot!$H$5:$H$14</c:f>
              <c:numCache>
                <c:formatCode>General</c:formatCode>
                <c:ptCount val="9"/>
                <c:pt idx="0">
                  <c:v>-12171.629999999997</c:v>
                </c:pt>
                <c:pt idx="1">
                  <c:v>-5361.34</c:v>
                </c:pt>
                <c:pt idx="2">
                  <c:v>-4216.59</c:v>
                </c:pt>
                <c:pt idx="3">
                  <c:v>-2552.6099999999997</c:v>
                </c:pt>
                <c:pt idx="4">
                  <c:v>-9854.4700000000012</c:v>
                </c:pt>
                <c:pt idx="5">
                  <c:v>-9151.24</c:v>
                </c:pt>
                <c:pt idx="6">
                  <c:v>-24207.819999999992</c:v>
                </c:pt>
                <c:pt idx="7">
                  <c:v>-11987.35</c:v>
                </c:pt>
              </c:numCache>
            </c:numRef>
          </c:val>
          <c:extLst>
            <c:ext xmlns:c16="http://schemas.microsoft.com/office/drawing/2014/chart" uri="{C3380CC4-5D6E-409C-BE32-E72D297353CC}">
              <c16:uniqueId val="{00000003-082C-45C2-B760-0B14A37F9FCA}"/>
            </c:ext>
          </c:extLst>
        </c:ser>
        <c:dLbls>
          <c:showLegendKey val="0"/>
          <c:showVal val="0"/>
          <c:showCatName val="0"/>
          <c:showSerName val="0"/>
          <c:showPercent val="0"/>
          <c:showBubbleSize val="0"/>
        </c:dLbls>
        <c:gapWidth val="150"/>
        <c:shape val="box"/>
        <c:axId val="737469744"/>
        <c:axId val="737465904"/>
        <c:axId val="0"/>
      </c:bar3DChart>
      <c:catAx>
        <c:axId val="737469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465904"/>
        <c:crosses val="autoZero"/>
        <c:auto val="1"/>
        <c:lblAlgn val="ctr"/>
        <c:lblOffset val="100"/>
        <c:noMultiLvlLbl val="0"/>
      </c:catAx>
      <c:valAx>
        <c:axId val="73746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7469744"/>
        <c:crosses val="autoZero"/>
        <c:crossBetween val="between"/>
      </c:valAx>
      <c:spPr>
        <a:noFill/>
        <a:ln>
          <a:noFill/>
        </a:ln>
        <a:effectLst/>
      </c:spPr>
    </c:plotArea>
    <c:legend>
      <c:legendPos val="r"/>
      <c:layout>
        <c:manualLayout>
          <c:xMode val="edge"/>
          <c:yMode val="edge"/>
          <c:x val="0.88682456114367825"/>
          <c:y val="0.36567054491322903"/>
          <c:w val="0.1103645027541361"/>
          <c:h val="0.268658596779880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[Excel-Data-Analysis-Project.xlsx]Pivot!PivotTable3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0" i="0" u="none" strike="noStrike" baseline="0"/>
              <a:t>Revenue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Pivot!$L$3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749-459C-B468-FC600B56131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749-459C-B468-FC600B56131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749-459C-B468-FC600B56131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749-459C-B468-FC600B561316}"/>
              </c:ext>
            </c:extLst>
          </c:dPt>
          <c:cat>
            <c:strRef>
              <c:f>Pivot!$K$4:$K$8</c:f>
              <c:strCache>
                <c:ptCount val="4"/>
                <c:pt idx="0">
                  <c:v>Enterprise</c:v>
                </c:pt>
                <c:pt idx="1">
                  <c:v>SMB</c:v>
                </c:pt>
                <c:pt idx="2">
                  <c:v>Startup</c:v>
                </c:pt>
                <c:pt idx="3">
                  <c:v>Unattributed</c:v>
                </c:pt>
              </c:strCache>
            </c:strRef>
          </c:cat>
          <c:val>
            <c:numRef>
              <c:f>Pivot!$L$4:$L$8</c:f>
              <c:numCache>
                <c:formatCode>General</c:formatCode>
                <c:ptCount val="4"/>
                <c:pt idx="0">
                  <c:v>262471.05</c:v>
                </c:pt>
                <c:pt idx="1">
                  <c:v>593518.34999999986</c:v>
                </c:pt>
                <c:pt idx="2">
                  <c:v>163655.34999999983</c:v>
                </c:pt>
                <c:pt idx="3">
                  <c:v>11733.16</c:v>
                </c:pt>
              </c:numCache>
            </c:numRef>
          </c:val>
          <c:extLst>
            <c:ext xmlns:c16="http://schemas.microsoft.com/office/drawing/2014/chart" uri="{C3380CC4-5D6E-409C-BE32-E72D297353CC}">
              <c16:uniqueId val="{00000008-B749-459C-B468-FC600B56131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38100</xdr:colOff>
      <xdr:row>8</xdr:row>
      <xdr:rowOff>142875</xdr:rowOff>
    </xdr:from>
    <xdr:to>
      <xdr:col>11</xdr:col>
      <xdr:colOff>971550</xdr:colOff>
      <xdr:row>16</xdr:row>
      <xdr:rowOff>180975</xdr:rowOff>
    </xdr:to>
    <mc:AlternateContent xmlns:mc="http://schemas.openxmlformats.org/markup-compatibility/2006">
      <mc:Choice xmlns:a14="http://schemas.microsoft.com/office/drawing/2010/main" Requires="a14">
        <xdr:graphicFrame macro="">
          <xdr:nvGraphicFramePr>
            <xdr:cNvPr id="2" name="Quarter ">
              <a:extLst>
                <a:ext uri="{FF2B5EF4-FFF2-40B4-BE49-F238E27FC236}">
                  <a16:creationId xmlns:a16="http://schemas.microsoft.com/office/drawing/2014/main" id="{47E4777D-3F13-4B6B-EEA5-C4726418C748}"/>
                </a:ext>
              </a:extLst>
            </xdr:cNvPr>
            <xdr:cNvGraphicFramePr/>
          </xdr:nvGraphicFramePr>
          <xdr:xfrm>
            <a:off x="0" y="0"/>
            <a:ext cx="0" cy="0"/>
          </xdr:xfrm>
          <a:graphic>
            <a:graphicData uri="http://schemas.microsoft.com/office/drawing/2010/slicer">
              <sle:slicer xmlns:sle="http://schemas.microsoft.com/office/drawing/2010/slicer" name="Quarter "/>
            </a:graphicData>
          </a:graphic>
        </xdr:graphicFrame>
      </mc:Choice>
      <mc:Fallback>
        <xdr:sp macro="" textlink="">
          <xdr:nvSpPr>
            <xdr:cNvPr id="0" name=""/>
            <xdr:cNvSpPr>
              <a:spLocks noTextEdit="1"/>
            </xdr:cNvSpPr>
          </xdr:nvSpPr>
          <xdr:spPr>
            <a:xfrm>
              <a:off x="8457730" y="1648060"/>
              <a:ext cx="1827153" cy="154328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19</xdr:row>
      <xdr:rowOff>180414</xdr:rowOff>
    </xdr:from>
    <xdr:to>
      <xdr:col>4</xdr:col>
      <xdr:colOff>504265</xdr:colOff>
      <xdr:row>34</xdr:row>
      <xdr:rowOff>66114</xdr:rowOff>
    </xdr:to>
    <xdr:graphicFrame macro="">
      <xdr:nvGraphicFramePr>
        <xdr:cNvPr id="6" name="Chart 5">
          <a:extLst>
            <a:ext uri="{FF2B5EF4-FFF2-40B4-BE49-F238E27FC236}">
              <a16:creationId xmlns:a16="http://schemas.microsoft.com/office/drawing/2014/main" id="{03E424D2-7AAB-6D6D-14C4-C6304764BE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689161</xdr:colOff>
      <xdr:row>20</xdr:row>
      <xdr:rowOff>23532</xdr:rowOff>
    </xdr:from>
    <xdr:to>
      <xdr:col>11</xdr:col>
      <xdr:colOff>16808</xdr:colOff>
      <xdr:row>34</xdr:row>
      <xdr:rowOff>99732</xdr:rowOff>
    </xdr:to>
    <xdr:graphicFrame macro="">
      <xdr:nvGraphicFramePr>
        <xdr:cNvPr id="7" name="Chart 6">
          <a:extLst>
            <a:ext uri="{FF2B5EF4-FFF2-40B4-BE49-F238E27FC236}">
              <a16:creationId xmlns:a16="http://schemas.microsoft.com/office/drawing/2014/main" id="{052B6DE8-66F5-3107-63AE-42A06E34F6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162485</xdr:colOff>
      <xdr:row>20</xdr:row>
      <xdr:rowOff>1120</xdr:rowOff>
    </xdr:from>
    <xdr:to>
      <xdr:col>17</xdr:col>
      <xdr:colOff>50426</xdr:colOff>
      <xdr:row>34</xdr:row>
      <xdr:rowOff>77320</xdr:rowOff>
    </xdr:to>
    <xdr:graphicFrame macro="">
      <xdr:nvGraphicFramePr>
        <xdr:cNvPr id="8" name="Chart 7">
          <a:extLst>
            <a:ext uri="{FF2B5EF4-FFF2-40B4-BE49-F238E27FC236}">
              <a16:creationId xmlns:a16="http://schemas.microsoft.com/office/drawing/2014/main" id="{5091E1B8-C18C-1E0D-0004-AFBD6E0D91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46464</xdr:colOff>
      <xdr:row>0</xdr:row>
      <xdr:rowOff>104775</xdr:rowOff>
    </xdr:from>
    <xdr:to>
      <xdr:col>8</xdr:col>
      <xdr:colOff>14654</xdr:colOff>
      <xdr:row>14</xdr:row>
      <xdr:rowOff>145697</xdr:rowOff>
    </xdr:to>
    <xdr:graphicFrame macro="">
      <xdr:nvGraphicFramePr>
        <xdr:cNvPr id="2" name="Chart 1">
          <a:extLst>
            <a:ext uri="{FF2B5EF4-FFF2-40B4-BE49-F238E27FC236}">
              <a16:creationId xmlns:a16="http://schemas.microsoft.com/office/drawing/2014/main" id="{F9DBCB5D-A031-45D0-BCD9-CC99BB848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45302</xdr:colOff>
      <xdr:row>15</xdr:row>
      <xdr:rowOff>37009</xdr:rowOff>
    </xdr:from>
    <xdr:to>
      <xdr:col>16</xdr:col>
      <xdr:colOff>73269</xdr:colOff>
      <xdr:row>34</xdr:row>
      <xdr:rowOff>102577</xdr:rowOff>
    </xdr:to>
    <xdr:graphicFrame macro="">
      <xdr:nvGraphicFramePr>
        <xdr:cNvPr id="3" name="Chart 2">
          <a:extLst>
            <a:ext uri="{FF2B5EF4-FFF2-40B4-BE49-F238E27FC236}">
              <a16:creationId xmlns:a16="http://schemas.microsoft.com/office/drawing/2014/main" id="{EBF936A6-FB8E-472B-8D20-9C1D4E5480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87924</xdr:colOff>
      <xdr:row>0</xdr:row>
      <xdr:rowOff>119643</xdr:rowOff>
    </xdr:from>
    <xdr:to>
      <xdr:col>16</xdr:col>
      <xdr:colOff>73889</xdr:colOff>
      <xdr:row>14</xdr:row>
      <xdr:rowOff>162917</xdr:rowOff>
    </xdr:to>
    <xdr:graphicFrame macro="">
      <xdr:nvGraphicFramePr>
        <xdr:cNvPr id="4" name="Chart 3">
          <a:extLst>
            <a:ext uri="{FF2B5EF4-FFF2-40B4-BE49-F238E27FC236}">
              <a16:creationId xmlns:a16="http://schemas.microsoft.com/office/drawing/2014/main" id="{71C5267F-E4CC-4512-83B6-E088D45A87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1.674943634258" createdVersion="8" refreshedVersion="8" minRefreshableVersion="3" recordCount="2615" xr:uid="{694452C5-2C89-4CB5-BE7F-EBE886F2DA96}">
  <cacheSource type="worksheet">
    <worksheetSource name="Transactions_RAW_cleaned"/>
  </cacheSource>
  <cacheFields count="22">
    <cacheField name="TransactionID" numFmtId="0">
      <sharedItems/>
    </cacheField>
    <cacheField name="TransactionDate" numFmtId="14">
      <sharedItems containsSemiMixedTypes="0" containsNonDate="0" containsDate="1" containsString="0" minDate="2024-01-01T00:00:00" maxDate="2025-01-01T00:00:00"/>
    </cacheField>
    <cacheField name="CustomerID" numFmtId="0">
      <sharedItems containsBlank="1" count="146">
        <s v="CUST-0072"/>
        <s v="CUST-0003"/>
        <s v="CUST-0044"/>
        <s v="CUST-0059"/>
        <m/>
        <s v="CUST-0004"/>
        <s v="CUST-0126"/>
        <s v="CUST-0037"/>
        <s v="CUST-0006"/>
        <s v="CUST-0032"/>
        <s v="CUST-0012"/>
        <s v="CUST-0008"/>
        <s v="CUST-0075"/>
        <s v="CUST-0029"/>
        <s v="CUST-0129"/>
        <s v="CUST-0011"/>
        <s v="CUST-0067"/>
        <s v="CUST-0125"/>
        <s v="CUST-0014"/>
        <s v="CUST-0115"/>
        <s v="CUST-0016"/>
        <s v="CUST-0119"/>
        <s v="CUST-0018"/>
        <s v="CUST-0100"/>
        <s v="CUST-0103"/>
        <s v="CUST-0020"/>
        <s v="CUST-0043"/>
        <s v="CUST-0021"/>
        <s v="CUST-0114"/>
        <s v="CUST-0051"/>
        <s v="CUST-0023"/>
        <s v="CUST-0028"/>
        <s v="CUST-0024"/>
        <s v="CUST-0025"/>
        <s v="CUST-0026"/>
        <s v="CUST-0027"/>
        <s v="CUST-0118"/>
        <s v="CUST-0083"/>
        <s v="CUST-0030"/>
        <s v="CUST-0097"/>
        <s v="CUST-0033"/>
        <s v="CUST-0113"/>
        <s v="CUST-0046"/>
        <s v="CUST-0036"/>
        <s v="CUST-0082"/>
        <s v="CUST-0076"/>
        <s v="CUST-0038"/>
        <s v="CUST-0091"/>
        <s v="CUST-0040"/>
        <s v="CUST-0041"/>
        <s v="CUST-0042"/>
        <s v="CUST-0101"/>
        <s v="CUST-0095"/>
        <s v="CUST-0098"/>
        <s v="CUST-0045"/>
        <s v="CUST-0050"/>
        <s v="CUST-0064"/>
        <s v="CUST-0049"/>
        <s v="CUST-0053"/>
        <s v="CUST-0089"/>
        <s v="CUST-0055"/>
        <s v="CUST-0104"/>
        <s v="CUST-0057"/>
        <s v="CUST-0058"/>
        <s v="CUST-0122"/>
        <s v="CUST-0128"/>
        <s v="CUST-0093"/>
        <s v="CUST-0078"/>
        <s v="CUST-0112"/>
        <s v="CUST-0066"/>
        <s v="CUST-0070"/>
        <s v="CUST-0073"/>
        <s v="CUST-0130"/>
        <s v="CUST-0079"/>
        <s v="CUST-0096"/>
        <s v="CUST-0084"/>
        <s v="CUST-0087"/>
        <s v="CUST-0094"/>
        <s v="CUST-0102"/>
        <s v="CUST-0111"/>
        <s v="CUST-0077"/>
        <s v="CUST-0092"/>
        <s v="CUST-0001"/>
        <s v="CUST-0108"/>
        <s v="CUST-0061"/>
        <s v="CUST-0074"/>
        <s v="CUST-0002"/>
        <s v="CUST-0081"/>
        <s v="CUST-9889"/>
        <s v="CUST-0107"/>
        <s v="CUST-0060"/>
        <s v="CUST-0005"/>
        <s v="CUST-0052"/>
        <s v="CUST-0022"/>
        <s v="CUST-0017"/>
        <s v="CUST-0123"/>
        <s v="CUST-0068"/>
        <s v="CUST-0039"/>
        <s v="CUST-0110"/>
        <s v="CUST-0031"/>
        <s v="CUST-0035"/>
        <s v="CUST-0065"/>
        <s v="CUST-0090"/>
        <s v="CUST-0007"/>
        <s v="CUST-0127"/>
        <s v="CUST-0047"/>
        <s v="CUST-0034"/>
        <s v="CUST-0010"/>
        <s v="CUST-0009"/>
        <s v="CUST-0086"/>
        <s v="CUST-0056"/>
        <s v="CUST-0071"/>
        <s v="CUST-0062"/>
        <s v="CUST-0105"/>
        <s v="CUST-0109"/>
        <s v="CUST-0099"/>
        <s v="CUST-0088"/>
        <s v="CUST-0013"/>
        <s v="CUST-0069"/>
        <s v="CUST-0124"/>
        <s v="CUST-0085"/>
        <s v="CUST-0106"/>
        <s v="CUST-0019"/>
        <s v="CUST-0116"/>
        <s v="CUST-0121"/>
        <s v="CUST-0054"/>
        <s v="CUST-0120"/>
        <s v="CUST-0048"/>
        <s v="CUST-0117"/>
        <s v="CUST-0015"/>
        <s v="CUST-9019"/>
        <s v="CUST-9815"/>
        <s v="CUST-9695"/>
        <s v="CUST-0063"/>
        <s v="CUST-0080"/>
        <s v="CUST-9295"/>
        <s v="CUST-9305"/>
        <s v="CUST-9197"/>
        <s v="CUST-9146"/>
        <s v="CUST-9491"/>
        <s v="CUST-9662"/>
        <s v="CUST-9131"/>
        <s v="CUST-9116"/>
        <s v="CUST-9054"/>
        <s v="CUST-9670"/>
        <s v="CUST-9964"/>
      </sharedItems>
    </cacheField>
    <cacheField name="ServiceID" numFmtId="0">
      <sharedItems containsBlank="1"/>
    </cacheField>
    <cacheField name="Amount" numFmtId="0">
      <sharedItems containsSemiMixedTypes="0" containsString="0" containsNumber="1" minValue="-1578.03" maxValue="2629.31"/>
    </cacheField>
    <cacheField name="Status" numFmtId="0">
      <sharedItems count="4">
        <s v="Completed"/>
        <s v="Pending"/>
        <s v="Refunded"/>
        <s v="Failed"/>
      </sharedItems>
    </cacheField>
    <cacheField name="PaymentMethod" numFmtId="0">
      <sharedItems/>
    </cacheField>
    <cacheField name="RepNotes" numFmtId="0">
      <sharedItems containsBlank="1"/>
    </cacheField>
    <cacheField name="Segment" numFmtId="0">
      <sharedItems containsBlank="1" count="4">
        <s v="Enterprise"/>
        <s v="SMB"/>
        <m/>
        <s v="Startup"/>
      </sharedItems>
    </cacheField>
    <cacheField name="Country" numFmtId="0">
      <sharedItems containsBlank="1"/>
    </cacheField>
    <cacheField name="AccountManager" numFmtId="0">
      <sharedItems containsBlank="1"/>
    </cacheField>
    <cacheField name="ServiceName" numFmtId="0">
      <sharedItems containsBlank="1" count="9">
        <s v="Payment Processing"/>
        <s v="Chargeback Management"/>
        <s v="Fraud Protection"/>
        <s v="Analytics Dashboard"/>
        <s v="API Access - Developer"/>
        <s v="Invoicing Suite"/>
        <s v="Payroll Management"/>
        <s v="Merchant Support Plus"/>
        <m/>
      </sharedItems>
    </cacheField>
    <cacheField name="Category" numFmtId="0">
      <sharedItems containsBlank="1"/>
    </cacheField>
    <cacheField name="TransactionFeePct" numFmtId="0">
      <sharedItems containsString="0" containsBlank="1" containsNumber="1" minValue="0" maxValue="2.9000000000000001E-2"/>
    </cacheField>
    <cacheField name="SegmentIfCompleted" numFmtId="0">
      <sharedItems/>
    </cacheField>
    <cacheField name="ValueTier" numFmtId="0">
      <sharedItems/>
    </cacheField>
    <cacheField name="ExceedsFeeThreshold" numFmtId="0">
      <sharedItems/>
    </cacheField>
    <cacheField name="IsFirstTxnForService" numFmtId="0">
      <sharedItems/>
    </cacheField>
    <cacheField name="Region " numFmtId="0">
      <sharedItems count="3">
        <s v="NA"/>
        <s v="APAC"/>
        <s v="EMEA"/>
      </sharedItems>
    </cacheField>
    <cacheField name="Quarter " numFmtId="0">
      <sharedItems count="4">
        <s v="Q2"/>
        <s v="Q3"/>
        <s v="Q4"/>
        <s v="Q1"/>
      </sharedItems>
    </cacheField>
    <cacheField name="RegionQuarterKey" numFmtId="0">
      <sharedItems/>
    </cacheField>
    <cacheField name="TargetRevenue_Lookup" numFmtId="0">
      <sharedItems containsSemiMixedTypes="0" containsString="0" containsNumber="1" containsInteger="1" minValue="104500" maxValue="299000"/>
    </cacheField>
  </cacheFields>
  <extLst>
    <ext xmlns:x14="http://schemas.microsoft.com/office/spreadsheetml/2009/9/main" uri="{725AE2AE-9491-48be-B2B4-4EB974FC3084}">
      <x14:pivotCacheDefinition pivotCacheId="5185058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15">
  <r>
    <s v="TXN-102563"/>
    <d v="2024-06-08T00:00:00"/>
    <x v="0"/>
    <s v="SVC-01"/>
    <n v="385.62"/>
    <x v="0"/>
    <s v="ACH"/>
    <m/>
    <x v="0"/>
    <s v="USA"/>
    <s v="J. Reyes"/>
    <x v="0"/>
    <s v="Payments"/>
    <n v="2.9000000000000001E-2"/>
    <s v="Enterprise"/>
    <s v="Standard"/>
    <s v="Yes"/>
    <s v="Yes"/>
    <x v="0"/>
    <x v="0"/>
    <s v="NAQ2"/>
    <n v="260000"/>
  </r>
  <r>
    <s v="TXN-101351"/>
    <d v="2024-07-24T00:00:00"/>
    <x v="0"/>
    <s v="SVC-01"/>
    <n v="487.38"/>
    <x v="0"/>
    <s v="Unknown"/>
    <s v="callback requested"/>
    <x v="0"/>
    <s v="USA"/>
    <s v="J. Reyes"/>
    <x v="0"/>
    <s v="Payments"/>
    <n v="2.9000000000000001E-2"/>
    <s v="Enterprise"/>
    <s v="Standard"/>
    <s v="Yes"/>
    <s v="No"/>
    <x v="0"/>
    <x v="1"/>
    <s v="NAQ3"/>
    <n v="273000"/>
  </r>
  <r>
    <s v="TXN-101208"/>
    <d v="2024-10-15T00:00:00"/>
    <x v="0"/>
    <s v="SVC-01"/>
    <n v="212.2"/>
    <x v="0"/>
    <s v="Credit Card"/>
    <s v="callback requested"/>
    <x v="0"/>
    <s v="USA"/>
    <s v="J. Reyes"/>
    <x v="0"/>
    <s v="Payments"/>
    <n v="2.9000000000000001E-2"/>
    <s v="Enterprise"/>
    <s v="Standard"/>
    <s v="No"/>
    <s v="No"/>
    <x v="0"/>
    <x v="2"/>
    <s v="NAQ4"/>
    <n v="299000"/>
  </r>
  <r>
    <s v="TXN-101594"/>
    <d v="2024-08-07T00:00:00"/>
    <x v="1"/>
    <s v="SVC-01"/>
    <n v="314"/>
    <x v="0"/>
    <s v="Unknown"/>
    <s v="escalated to support"/>
    <x v="0"/>
    <s v="USA"/>
    <s v="J. Reyes"/>
    <x v="0"/>
    <s v="Payments"/>
    <n v="2.9000000000000001E-2"/>
    <s v="Enterprise"/>
    <s v="Standard"/>
    <s v="Yes"/>
    <s v="Yes"/>
    <x v="0"/>
    <x v="1"/>
    <s v="NAQ3"/>
    <n v="273000"/>
  </r>
  <r>
    <s v="TXN-101287"/>
    <d v="2024-11-25T00:00:00"/>
    <x v="2"/>
    <s v="SVC-08"/>
    <n v="111.93"/>
    <x v="0"/>
    <s v="Credit Card"/>
    <m/>
    <x v="0"/>
    <s v="USA"/>
    <s v="A. Kim"/>
    <x v="1"/>
    <s v="Risk"/>
    <n v="2.5000000000000001E-3"/>
    <s v="Enterprise"/>
    <s v="Standard"/>
    <s v="Yes"/>
    <s v="Yes"/>
    <x v="0"/>
    <x v="2"/>
    <s v="NAQ4"/>
    <n v="299000"/>
  </r>
  <r>
    <s v="TXN-101409"/>
    <d v="2024-07-21T00:00:00"/>
    <x v="1"/>
    <s v="SVC-04"/>
    <n v="573.9"/>
    <x v="0"/>
    <s v="ACH"/>
    <s v="escalated to support"/>
    <x v="0"/>
    <s v="USA"/>
    <s v="J. Reyes"/>
    <x v="2"/>
    <s v="Risk"/>
    <n v="1E-3"/>
    <s v="Enterprise"/>
    <s v="High Value"/>
    <s v="Yes"/>
    <s v="Yes"/>
    <x v="0"/>
    <x v="1"/>
    <s v="NAQ3"/>
    <n v="273000"/>
  </r>
  <r>
    <s v="TXN-100938"/>
    <d v="2024-09-25T00:00:00"/>
    <x v="2"/>
    <s v="SVC-05"/>
    <n v="359.55"/>
    <x v="1"/>
    <s v="Credit Card"/>
    <m/>
    <x v="0"/>
    <s v="USA"/>
    <s v="A. Kim"/>
    <x v="3"/>
    <s v="Analytics"/>
    <n v="0"/>
    <s v="N/A"/>
    <s v="High Value"/>
    <s v="Yes"/>
    <s v="Yes"/>
    <x v="0"/>
    <x v="1"/>
    <s v="NAQ3"/>
    <n v="273000"/>
  </r>
  <r>
    <s v="TXN-101759"/>
    <d v="2024-10-04T00:00:00"/>
    <x v="3"/>
    <s v="SVC-05"/>
    <n v="289.83999999999997"/>
    <x v="0"/>
    <s v="Wire Transfer"/>
    <m/>
    <x v="1"/>
    <s v="Canada"/>
    <s v="J. Reyes"/>
    <x v="3"/>
    <s v="Analytics"/>
    <n v="0"/>
    <s v="SMB"/>
    <s v="High Value"/>
    <s v="Yes"/>
    <s v="Yes"/>
    <x v="0"/>
    <x v="2"/>
    <s v="NAQ4"/>
    <n v="299000"/>
  </r>
  <r>
    <s v="TXN-100783"/>
    <d v="2024-10-02T00:00:00"/>
    <x v="2"/>
    <s v="SVC-06"/>
    <n v="-1286.3"/>
    <x v="2"/>
    <s v="Credit Card"/>
    <m/>
    <x v="0"/>
    <s v="USA"/>
    <s v="A. Kim"/>
    <x v="4"/>
    <s v="Platform"/>
    <n v="0"/>
    <s v="N/A"/>
    <s v="Refund"/>
    <s v="No"/>
    <s v="Yes"/>
    <x v="0"/>
    <x v="2"/>
    <s v="NAQ4"/>
    <n v="299000"/>
  </r>
  <r>
    <s v="TXN-101086"/>
    <d v="2024-12-16T00:00:00"/>
    <x v="1"/>
    <s v="SVC-03"/>
    <n v="477.44"/>
    <x v="0"/>
    <s v="Credit Card"/>
    <m/>
    <x v="0"/>
    <s v="USA"/>
    <s v="J. Reyes"/>
    <x v="5"/>
    <s v="Billing"/>
    <n v="5.0000000000000001E-3"/>
    <s v="Enterprise"/>
    <s v="High Value"/>
    <s v="Yes"/>
    <s v="Yes"/>
    <x v="0"/>
    <x v="2"/>
    <s v="NAQ4"/>
    <n v="299000"/>
  </r>
  <r>
    <s v="TXN-101829"/>
    <d v="2024-03-07T00:00:00"/>
    <x v="4"/>
    <s v="SVC-02"/>
    <n v="835.6"/>
    <x v="0"/>
    <s v="Wire Transfer"/>
    <m/>
    <x v="2"/>
    <m/>
    <m/>
    <x v="6"/>
    <s v="HR &amp; Payroll"/>
    <n v="0"/>
    <s v="Customer Not Found"/>
    <s v="High Value"/>
    <s v="Yes"/>
    <s v="No"/>
    <x v="1"/>
    <x v="3"/>
    <s v="APACQ1"/>
    <n v="104500"/>
  </r>
  <r>
    <s v="TXN-100537"/>
    <d v="2024-10-13T00:00:00"/>
    <x v="5"/>
    <s v="SVC-08"/>
    <n v="49.36"/>
    <x v="0"/>
    <s v="Credit Card"/>
    <m/>
    <x v="1"/>
    <s v="Australia"/>
    <s v="A. Kim"/>
    <x v="1"/>
    <s v="Risk"/>
    <n v="2.5000000000000001E-3"/>
    <s v="SMB"/>
    <s v="Standard"/>
    <s v="Yes"/>
    <s v="Yes"/>
    <x v="1"/>
    <x v="2"/>
    <s v="APACQ4"/>
    <n v="126500"/>
  </r>
  <r>
    <s v="TXN-101740"/>
    <d v="2024-08-30T00:00:00"/>
    <x v="6"/>
    <s v="SVC-05"/>
    <n v="401.05"/>
    <x v="1"/>
    <s v="Unknown"/>
    <s v="VIP account"/>
    <x v="0"/>
    <s v="United Kingdom"/>
    <s v="R. Patel"/>
    <x v="3"/>
    <s v="Analytics"/>
    <n v="0"/>
    <s v="N/A"/>
    <s v="High Value"/>
    <s v="Yes"/>
    <s v="Yes"/>
    <x v="2"/>
    <x v="1"/>
    <s v="EMEAQ3"/>
    <n v="147000"/>
  </r>
  <r>
    <s v="TXN-100743"/>
    <d v="2024-07-31T00:00:00"/>
    <x v="6"/>
    <s v="SVC-01"/>
    <n v="-649.27"/>
    <x v="2"/>
    <s v="ACH"/>
    <s v="VIP account"/>
    <x v="0"/>
    <s v="United Kingdom"/>
    <s v="R. Patel"/>
    <x v="0"/>
    <s v="Payments"/>
    <n v="2.9000000000000001E-2"/>
    <s v="N/A"/>
    <s v="Refund"/>
    <s v="No"/>
    <s v="Yes"/>
    <x v="2"/>
    <x v="1"/>
    <s v="EMEAQ3"/>
    <n v="147000"/>
  </r>
  <r>
    <s v="TXN-100231"/>
    <d v="2024-10-15T00:00:00"/>
    <x v="7"/>
    <s v="SVC-01"/>
    <n v="1104.33"/>
    <x v="0"/>
    <s v="Credit Card"/>
    <s v="escalated to support"/>
    <x v="1"/>
    <s v="USA"/>
    <s v="T. Novak"/>
    <x v="0"/>
    <s v="Payments"/>
    <n v="2.9000000000000001E-2"/>
    <s v="SMB"/>
    <s v="High Value"/>
    <s v="Yes"/>
    <s v="Yes"/>
    <x v="0"/>
    <x v="2"/>
    <s v="NAQ4"/>
    <n v="299000"/>
  </r>
  <r>
    <s v="TXN-102105"/>
    <d v="2024-05-28T00:00:00"/>
    <x v="8"/>
    <s v="SVC-02"/>
    <n v="566.83000000000004"/>
    <x v="0"/>
    <s v="ACH"/>
    <s v="escalated to support"/>
    <x v="1"/>
    <s v="USA"/>
    <s v="M. Santos"/>
    <x v="6"/>
    <s v="HR &amp; Payroll"/>
    <n v="0"/>
    <s v="SMB"/>
    <s v="High Value"/>
    <s v="Yes"/>
    <s v="Yes"/>
    <x v="0"/>
    <x v="0"/>
    <s v="NAQ2"/>
    <n v="260000"/>
  </r>
  <r>
    <s v="TXN-102463"/>
    <d v="2024-09-16T00:00:00"/>
    <x v="8"/>
    <s v="SVC-03"/>
    <n v="780.8"/>
    <x v="1"/>
    <s v="Debit Card"/>
    <s v="callback requested"/>
    <x v="1"/>
    <s v="USA"/>
    <s v="M. Santos"/>
    <x v="5"/>
    <s v="Billing"/>
    <n v="5.0000000000000001E-3"/>
    <s v="N/A"/>
    <s v="High Value"/>
    <s v="Yes"/>
    <s v="Yes"/>
    <x v="0"/>
    <x v="1"/>
    <s v="NAQ3"/>
    <n v="273000"/>
  </r>
  <r>
    <s v="TXN-101831"/>
    <d v="2024-07-04T00:00:00"/>
    <x v="9"/>
    <s v="SVC-01"/>
    <n v="1024.1199999999999"/>
    <x v="1"/>
    <s v="Credit Card"/>
    <s v="escalated to support"/>
    <x v="3"/>
    <s v="Philippines"/>
    <s v="T. Novak"/>
    <x v="0"/>
    <s v="Payments"/>
    <n v="2.9000000000000001E-2"/>
    <s v="N/A"/>
    <s v="High Value"/>
    <s v="Yes"/>
    <s v="Yes"/>
    <x v="1"/>
    <x v="1"/>
    <s v="APACQ3"/>
    <n v="115500"/>
  </r>
  <r>
    <s v="TXN-102059"/>
    <d v="2024-03-22T00:00:00"/>
    <x v="9"/>
    <s v="SVC-01"/>
    <n v="469.29"/>
    <x v="0"/>
    <s v="Debit Card"/>
    <m/>
    <x v="3"/>
    <s v="Philippines"/>
    <s v="T. Novak"/>
    <x v="0"/>
    <s v="Payments"/>
    <n v="2.9000000000000001E-2"/>
    <s v="Startup"/>
    <s v="Standard"/>
    <s v="Yes"/>
    <s v="No"/>
    <x v="1"/>
    <x v="3"/>
    <s v="APACQ1"/>
    <n v="104500"/>
  </r>
  <r>
    <s v="TXN-100453"/>
    <d v="2024-11-22T00:00:00"/>
    <x v="9"/>
    <s v="SVC-01"/>
    <n v="447.66"/>
    <x v="0"/>
    <s v="ACH"/>
    <s v="escalated to support"/>
    <x v="3"/>
    <s v="Philippines"/>
    <s v="T. Novak"/>
    <x v="0"/>
    <s v="Payments"/>
    <n v="2.9000000000000001E-2"/>
    <s v="Startup"/>
    <s v="Standard"/>
    <s v="Yes"/>
    <s v="No"/>
    <x v="1"/>
    <x v="2"/>
    <s v="APACQ4"/>
    <n v="126500"/>
  </r>
  <r>
    <s v="TXN-101355"/>
    <d v="2024-10-26T00:00:00"/>
    <x v="9"/>
    <s v="SVC-05"/>
    <n v="-542.74"/>
    <x v="2"/>
    <s v="Credit Card"/>
    <s v="escalated to support"/>
    <x v="3"/>
    <s v="Philippines"/>
    <s v="T. Novak"/>
    <x v="3"/>
    <s v="Analytics"/>
    <n v="0"/>
    <s v="N/A"/>
    <s v="Refund"/>
    <s v="No"/>
    <s v="Yes"/>
    <x v="1"/>
    <x v="2"/>
    <s v="APACQ4"/>
    <n v="126500"/>
  </r>
  <r>
    <s v="TXN-101501"/>
    <d v="2024-08-10T00:00:00"/>
    <x v="10"/>
    <s v="SVC-07"/>
    <n v="485.31"/>
    <x v="0"/>
    <s v="Debit Card"/>
    <s v="escalated to support"/>
    <x v="1"/>
    <s v="USA"/>
    <s v="T. Novak"/>
    <x v="7"/>
    <s v="Support"/>
    <n v="0"/>
    <s v="SMB"/>
    <s v="High Value"/>
    <s v="Yes"/>
    <s v="Yes"/>
    <x v="0"/>
    <x v="1"/>
    <s v="NAQ3"/>
    <n v="273000"/>
  </r>
  <r>
    <s v="TXN-100922"/>
    <d v="2024-04-06T00:00:00"/>
    <x v="10"/>
    <s v="SVC-01"/>
    <n v="243.13"/>
    <x v="0"/>
    <s v="ACH"/>
    <m/>
    <x v="1"/>
    <s v="USA"/>
    <s v="T. Novak"/>
    <x v="0"/>
    <s v="Payments"/>
    <n v="2.9000000000000001E-2"/>
    <s v="SMB"/>
    <s v="Standard"/>
    <s v="No"/>
    <s v="Yes"/>
    <x v="0"/>
    <x v="0"/>
    <s v="NAQ2"/>
    <n v="260000"/>
  </r>
  <r>
    <s v="TXN-101988"/>
    <d v="2024-06-22T00:00:00"/>
    <x v="10"/>
    <s v="SVC-05"/>
    <n v="147.44"/>
    <x v="1"/>
    <s v="Debit Card"/>
    <s v="escalated to support"/>
    <x v="1"/>
    <s v="USA"/>
    <s v="T. Novak"/>
    <x v="3"/>
    <s v="Analytics"/>
    <n v="0"/>
    <s v="N/A"/>
    <s v="Standard"/>
    <s v="Yes"/>
    <s v="Yes"/>
    <x v="0"/>
    <x v="0"/>
    <s v="NAQ2"/>
    <n v="260000"/>
  </r>
  <r>
    <s v="TXN-102267"/>
    <d v="2024-05-15T00:00:00"/>
    <x v="11"/>
    <s v="SVC-05"/>
    <n v="-900.42"/>
    <x v="2"/>
    <s v="ACH"/>
    <s v="escalated to support"/>
    <x v="0"/>
    <s v="United Kingdom"/>
    <s v="L. Chen"/>
    <x v="3"/>
    <s v="Analytics"/>
    <n v="0"/>
    <s v="N/A"/>
    <s v="Refund"/>
    <s v="No"/>
    <s v="Yes"/>
    <x v="2"/>
    <x v="0"/>
    <s v="EMEAQ2"/>
    <n v="140000"/>
  </r>
  <r>
    <s v="TXN-102446"/>
    <d v="2024-01-04T00:00:00"/>
    <x v="12"/>
    <s v="SVC-07"/>
    <n v="48.06"/>
    <x v="0"/>
    <s v="Credit Card"/>
    <m/>
    <x v="1"/>
    <s v="Canada"/>
    <s v="R. Patel"/>
    <x v="7"/>
    <s v="Support"/>
    <n v="0"/>
    <s v="SMB"/>
    <s v="Standard"/>
    <s v="Yes"/>
    <s v="Yes"/>
    <x v="0"/>
    <x v="3"/>
    <s v="NAQ1"/>
    <n v="247000"/>
  </r>
  <r>
    <s v="TXN-102201"/>
    <d v="2024-05-06T00:00:00"/>
    <x v="12"/>
    <s v="SVC-03"/>
    <n v="489.53"/>
    <x v="0"/>
    <s v="Credit Card"/>
    <s v="callback requested"/>
    <x v="1"/>
    <s v="Canada"/>
    <s v="R. Patel"/>
    <x v="5"/>
    <s v="Billing"/>
    <n v="5.0000000000000001E-3"/>
    <s v="SMB"/>
    <s v="High Value"/>
    <s v="Yes"/>
    <s v="Yes"/>
    <x v="0"/>
    <x v="0"/>
    <s v="NAQ2"/>
    <n v="260000"/>
  </r>
  <r>
    <s v="TXN-100559"/>
    <d v="2024-12-19T00:00:00"/>
    <x v="13"/>
    <s v="SVC-04"/>
    <n v="283.32"/>
    <x v="0"/>
    <s v="Credit Card"/>
    <m/>
    <x v="0"/>
    <s v="Canada"/>
    <s v="J. Reyes"/>
    <x v="2"/>
    <s v="Risk"/>
    <n v="1E-3"/>
    <s v="Enterprise"/>
    <s v="High Value"/>
    <s v="Yes"/>
    <s v="Yes"/>
    <x v="0"/>
    <x v="2"/>
    <s v="NAQ4"/>
    <n v="299000"/>
  </r>
  <r>
    <s v="TXN-101609"/>
    <d v="2024-03-16T00:00:00"/>
    <x v="14"/>
    <s v="SVC-01"/>
    <n v="2629.31"/>
    <x v="0"/>
    <s v="Wire Transfer"/>
    <s v="VIP account"/>
    <x v="3"/>
    <s v="Canada"/>
    <s v="A. Kim"/>
    <x v="0"/>
    <s v="Payments"/>
    <n v="2.9000000000000001E-2"/>
    <s v="Startup"/>
    <s v="High Value"/>
    <s v="Yes"/>
    <s v="Yes"/>
    <x v="0"/>
    <x v="3"/>
    <s v="NAQ1"/>
    <n v="247000"/>
  </r>
  <r>
    <s v="TXN-102003"/>
    <d v="2024-12-24T00:00:00"/>
    <x v="15"/>
    <s v="SVC-02"/>
    <n v="217.72"/>
    <x v="0"/>
    <s v="Credit Card"/>
    <s v="callback requested"/>
    <x v="0"/>
    <s v="USA"/>
    <s v="L. Chen"/>
    <x v="6"/>
    <s v="HR &amp; Payroll"/>
    <n v="0"/>
    <s v="Enterprise"/>
    <s v="Standard"/>
    <s v="Yes"/>
    <s v="Yes"/>
    <x v="0"/>
    <x v="2"/>
    <s v="NAQ4"/>
    <n v="299000"/>
  </r>
  <r>
    <s v="TXN-100064"/>
    <d v="2024-08-23T00:00:00"/>
    <x v="15"/>
    <s v="SVC-03"/>
    <n v="507.15"/>
    <x v="1"/>
    <s v="Credit Card"/>
    <s v="VIP account"/>
    <x v="0"/>
    <s v="USA"/>
    <s v="L. Chen"/>
    <x v="5"/>
    <s v="Billing"/>
    <n v="5.0000000000000001E-3"/>
    <s v="N/A"/>
    <s v="High Value"/>
    <s v="Yes"/>
    <s v="Yes"/>
    <x v="0"/>
    <x v="1"/>
    <s v="NAQ3"/>
    <n v="273000"/>
  </r>
  <r>
    <s v="TXN-101397"/>
    <d v="2024-09-02T00:00:00"/>
    <x v="15"/>
    <s v="SVC-02"/>
    <n v="249.24"/>
    <x v="3"/>
    <s v="Wire Transfer"/>
    <s v="VIP account"/>
    <x v="0"/>
    <s v="USA"/>
    <s v="L. Chen"/>
    <x v="6"/>
    <s v="HR &amp; Payroll"/>
    <n v="0"/>
    <s v="N/A"/>
    <s v="Standard"/>
    <s v="Yes"/>
    <s v="No"/>
    <x v="0"/>
    <x v="1"/>
    <s v="NAQ3"/>
    <n v="273000"/>
  </r>
  <r>
    <s v="TXN-100566"/>
    <d v="2024-04-30T00:00:00"/>
    <x v="16"/>
    <s v="SVC-06"/>
    <n v="377.49"/>
    <x v="0"/>
    <s v="Debit Card"/>
    <m/>
    <x v="1"/>
    <s v="Germany"/>
    <s v="R. Patel"/>
    <x v="4"/>
    <s v="Platform"/>
    <n v="0"/>
    <s v="SMB"/>
    <s v="High Value"/>
    <s v="Yes"/>
    <s v="Yes"/>
    <x v="2"/>
    <x v="0"/>
    <s v="EMEAQ2"/>
    <n v="140000"/>
  </r>
  <r>
    <s v="TXN-102040"/>
    <d v="2024-09-01T00:00:00"/>
    <x v="16"/>
    <s v="SVC-06"/>
    <n v="409.63"/>
    <x v="0"/>
    <s v="ACH"/>
    <m/>
    <x v="1"/>
    <s v="Germany"/>
    <s v="R. Patel"/>
    <x v="4"/>
    <s v="Platform"/>
    <n v="0"/>
    <s v="SMB"/>
    <s v="High Value"/>
    <s v="Yes"/>
    <s v="No"/>
    <x v="2"/>
    <x v="1"/>
    <s v="EMEAQ3"/>
    <n v="147000"/>
  </r>
  <r>
    <s v="TXN-100542"/>
    <d v="2024-07-19T00:00:00"/>
    <x v="16"/>
    <s v="SVC-07"/>
    <n v="588.88"/>
    <x v="0"/>
    <s v="Credit Card"/>
    <m/>
    <x v="1"/>
    <s v="Germany"/>
    <s v="R. Patel"/>
    <x v="7"/>
    <s v="Support"/>
    <n v="0"/>
    <s v="SMB"/>
    <s v="High Value"/>
    <s v="Yes"/>
    <s v="Yes"/>
    <x v="2"/>
    <x v="1"/>
    <s v="EMEAQ3"/>
    <n v="147000"/>
  </r>
  <r>
    <s v="TXN-102471"/>
    <d v="2024-07-27T00:00:00"/>
    <x v="17"/>
    <s v="SVC-06"/>
    <n v="255.62"/>
    <x v="0"/>
    <s v="ACH"/>
    <s v="escalated to support"/>
    <x v="1"/>
    <s v="USA"/>
    <s v="A. Kim"/>
    <x v="4"/>
    <s v="Platform"/>
    <n v="0"/>
    <s v="SMB"/>
    <s v="High Value"/>
    <s v="Yes"/>
    <s v="Yes"/>
    <x v="0"/>
    <x v="1"/>
    <s v="NAQ3"/>
    <n v="273000"/>
  </r>
  <r>
    <s v="TXN-101929"/>
    <d v="2024-02-07T00:00:00"/>
    <x v="17"/>
    <s v="SVC-06"/>
    <n v="782.45"/>
    <x v="0"/>
    <s v="Credit Card"/>
    <m/>
    <x v="1"/>
    <s v="USA"/>
    <s v="A. Kim"/>
    <x v="4"/>
    <s v="Platform"/>
    <n v="0"/>
    <s v="SMB"/>
    <s v="High Value"/>
    <s v="Yes"/>
    <s v="No"/>
    <x v="0"/>
    <x v="3"/>
    <s v="NAQ1"/>
    <n v="247000"/>
  </r>
  <r>
    <s v="TXN-102443"/>
    <d v="2024-08-07T00:00:00"/>
    <x v="17"/>
    <s v="SVC-08"/>
    <n v="31.95"/>
    <x v="0"/>
    <s v="Credit Card"/>
    <m/>
    <x v="1"/>
    <s v="USA"/>
    <s v="A. Kim"/>
    <x v="1"/>
    <s v="Risk"/>
    <n v="2.5000000000000001E-3"/>
    <s v="SMB"/>
    <s v="Standard"/>
    <s v="Yes"/>
    <s v="Yes"/>
    <x v="0"/>
    <x v="1"/>
    <s v="NAQ3"/>
    <n v="273000"/>
  </r>
  <r>
    <s v="TXN-101249"/>
    <d v="2024-05-12T00:00:00"/>
    <x v="18"/>
    <s v="SVC-02"/>
    <n v="393.79"/>
    <x v="0"/>
    <s v="Debit Card"/>
    <s v="callback requested"/>
    <x v="1"/>
    <s v="Philippines"/>
    <s v="R. Patel"/>
    <x v="6"/>
    <s v="HR &amp; Payroll"/>
    <n v="0"/>
    <s v="SMB"/>
    <s v="High Value"/>
    <s v="Yes"/>
    <s v="Yes"/>
    <x v="1"/>
    <x v="0"/>
    <s v="APACQ2"/>
    <n v="110000"/>
  </r>
  <r>
    <s v="TXN-102018"/>
    <d v="2024-05-02T00:00:00"/>
    <x v="19"/>
    <s v="SVC-01"/>
    <n v="622.27"/>
    <x v="0"/>
    <s v="ACH"/>
    <m/>
    <x v="0"/>
    <s v="Canada"/>
    <s v="M. Santos"/>
    <x v="0"/>
    <s v="Payments"/>
    <n v="2.9000000000000001E-2"/>
    <s v="Enterprise"/>
    <s v="High Value"/>
    <s v="Yes"/>
    <s v="Yes"/>
    <x v="0"/>
    <x v="0"/>
    <s v="NAQ2"/>
    <n v="260000"/>
  </r>
  <r>
    <s v="TXN-100803"/>
    <d v="2024-07-12T00:00:00"/>
    <x v="20"/>
    <s v="SVC-07"/>
    <n v="691.1"/>
    <x v="0"/>
    <s v="ACH"/>
    <m/>
    <x v="1"/>
    <s v="USA"/>
    <s v="R. Patel"/>
    <x v="7"/>
    <s v="Support"/>
    <n v="0"/>
    <s v="SMB"/>
    <s v="High Value"/>
    <s v="Yes"/>
    <s v="Yes"/>
    <x v="0"/>
    <x v="1"/>
    <s v="NAQ3"/>
    <n v="273000"/>
  </r>
  <r>
    <s v="TXN-100611"/>
    <d v="2024-12-26T00:00:00"/>
    <x v="21"/>
    <s v="SVC-06"/>
    <n v="632.28"/>
    <x v="0"/>
    <s v="Credit Card"/>
    <s v="callback requested"/>
    <x v="0"/>
    <s v="Australia"/>
    <s v="M. Santos"/>
    <x v="4"/>
    <s v="Platform"/>
    <n v="0"/>
    <s v="Enterprise"/>
    <s v="High Value"/>
    <s v="Yes"/>
    <s v="Yes"/>
    <x v="1"/>
    <x v="2"/>
    <s v="APACQ4"/>
    <n v="126500"/>
  </r>
  <r>
    <s v="TXN-100398"/>
    <d v="2024-07-16T00:00:00"/>
    <x v="22"/>
    <s v="SVC-01"/>
    <n v="301.97000000000003"/>
    <x v="0"/>
    <s v="Credit Card"/>
    <s v="VIP account"/>
    <x v="0"/>
    <s v="Australia"/>
    <s v="M. Santos"/>
    <x v="0"/>
    <s v="Payments"/>
    <n v="2.9000000000000001E-2"/>
    <s v="Enterprise"/>
    <s v="Standard"/>
    <s v="Yes"/>
    <s v="Yes"/>
    <x v="1"/>
    <x v="1"/>
    <s v="APACQ3"/>
    <n v="115500"/>
  </r>
  <r>
    <s v="TXN-102574"/>
    <d v="2024-08-26T00:00:00"/>
    <x v="23"/>
    <s v="SVC-01"/>
    <n v="885.93"/>
    <x v="1"/>
    <s v="Debit Card"/>
    <s v="callback requested"/>
    <x v="0"/>
    <s v="USA"/>
    <s v="L. Chen"/>
    <x v="0"/>
    <s v="Payments"/>
    <n v="2.9000000000000001E-2"/>
    <s v="N/A"/>
    <s v="High Value"/>
    <s v="Yes"/>
    <s v="Yes"/>
    <x v="0"/>
    <x v="1"/>
    <s v="NAQ3"/>
    <n v="273000"/>
  </r>
  <r>
    <s v="TXN-102392"/>
    <d v="2024-07-25T00:00:00"/>
    <x v="23"/>
    <s v="SVC-06"/>
    <n v="432.38"/>
    <x v="0"/>
    <s v="Unknown"/>
    <m/>
    <x v="0"/>
    <s v="USA"/>
    <s v="L. Chen"/>
    <x v="4"/>
    <s v="Platform"/>
    <n v="0"/>
    <s v="Enterprise"/>
    <s v="High Value"/>
    <s v="Yes"/>
    <s v="Yes"/>
    <x v="0"/>
    <x v="1"/>
    <s v="NAQ3"/>
    <n v="273000"/>
  </r>
  <r>
    <s v="TXN-101734"/>
    <d v="2024-01-29T00:00:00"/>
    <x v="23"/>
    <s v="SVC-01"/>
    <n v="535.16"/>
    <x v="0"/>
    <s v="Credit Card"/>
    <m/>
    <x v="0"/>
    <s v="USA"/>
    <s v="L. Chen"/>
    <x v="0"/>
    <s v="Payments"/>
    <n v="2.9000000000000001E-2"/>
    <s v="Enterprise"/>
    <s v="High Value"/>
    <s v="Yes"/>
    <s v="No"/>
    <x v="0"/>
    <x v="3"/>
    <s v="NAQ1"/>
    <n v="247000"/>
  </r>
  <r>
    <s v="TXN-100630"/>
    <d v="2024-04-22T00:00:00"/>
    <x v="24"/>
    <s v="SVC-04"/>
    <n v="618.1"/>
    <x v="0"/>
    <s v="ACH"/>
    <s v="escalated to support"/>
    <x v="1"/>
    <s v="USA"/>
    <s v="M. Santos"/>
    <x v="2"/>
    <s v="Risk"/>
    <n v="1E-3"/>
    <s v="SMB"/>
    <s v="High Value"/>
    <s v="Yes"/>
    <s v="Yes"/>
    <x v="0"/>
    <x v="0"/>
    <s v="NAQ2"/>
    <n v="260000"/>
  </r>
  <r>
    <s v="TXN-100737"/>
    <d v="2024-10-29T00:00:00"/>
    <x v="24"/>
    <s v="SVC-03"/>
    <n v="481.59"/>
    <x v="0"/>
    <s v="Debit Card"/>
    <s v="callback requested"/>
    <x v="1"/>
    <s v="USA"/>
    <s v="M. Santos"/>
    <x v="5"/>
    <s v="Billing"/>
    <n v="5.0000000000000001E-3"/>
    <s v="SMB"/>
    <s v="High Value"/>
    <s v="Yes"/>
    <s v="Yes"/>
    <x v="0"/>
    <x v="2"/>
    <s v="NAQ4"/>
    <n v="299000"/>
  </r>
  <r>
    <s v="TXN-102557"/>
    <d v="2024-11-01T00:00:00"/>
    <x v="24"/>
    <s v="SVC-02"/>
    <n v="534.52"/>
    <x v="0"/>
    <s v="Credit Card"/>
    <m/>
    <x v="1"/>
    <s v="USA"/>
    <s v="M. Santos"/>
    <x v="6"/>
    <s v="HR &amp; Payroll"/>
    <n v="0"/>
    <s v="SMB"/>
    <s v="High Value"/>
    <s v="Yes"/>
    <s v="Yes"/>
    <x v="0"/>
    <x v="2"/>
    <s v="NAQ4"/>
    <n v="299000"/>
  </r>
  <r>
    <s v="TXN-100182"/>
    <d v="2024-05-23T00:00:00"/>
    <x v="25"/>
    <s v="SVC-05"/>
    <n v="553.66"/>
    <x v="1"/>
    <s v="ACH"/>
    <m/>
    <x v="0"/>
    <s v="USA"/>
    <s v="A. Kim"/>
    <x v="3"/>
    <s v="Analytics"/>
    <n v="0"/>
    <s v="N/A"/>
    <s v="High Value"/>
    <s v="Yes"/>
    <s v="Yes"/>
    <x v="0"/>
    <x v="0"/>
    <s v="NAQ2"/>
    <n v="260000"/>
  </r>
  <r>
    <s v="TXN-102587"/>
    <d v="2024-06-28T00:00:00"/>
    <x v="26"/>
    <s v="SVC-01"/>
    <n v="589.62"/>
    <x v="0"/>
    <s v="Credit Card"/>
    <m/>
    <x v="3"/>
    <s v="USA"/>
    <s v="R. Patel"/>
    <x v="0"/>
    <s v="Payments"/>
    <n v="2.9000000000000001E-2"/>
    <s v="Startup"/>
    <s v="High Value"/>
    <s v="Yes"/>
    <s v="Yes"/>
    <x v="0"/>
    <x v="0"/>
    <s v="NAQ2"/>
    <n v="260000"/>
  </r>
  <r>
    <s v="TXN-101486"/>
    <d v="2024-07-07T00:00:00"/>
    <x v="27"/>
    <s v="SVC-04"/>
    <n v="146.11000000000001"/>
    <x v="0"/>
    <s v="Credit Card"/>
    <m/>
    <x v="1"/>
    <s v="Canada"/>
    <s v="L. Chen"/>
    <x v="2"/>
    <s v="Risk"/>
    <n v="1E-3"/>
    <s v="SMB"/>
    <s v="Standard"/>
    <s v="Yes"/>
    <s v="Yes"/>
    <x v="0"/>
    <x v="1"/>
    <s v="NAQ3"/>
    <n v="273000"/>
  </r>
  <r>
    <s v="TXN-102112"/>
    <d v="2024-06-27T00:00:00"/>
    <x v="27"/>
    <s v="SVC-07"/>
    <n v="101.1"/>
    <x v="0"/>
    <s v="Credit Card"/>
    <m/>
    <x v="1"/>
    <s v="Canada"/>
    <s v="L. Chen"/>
    <x v="7"/>
    <s v="Support"/>
    <n v="0"/>
    <s v="SMB"/>
    <s v="Standard"/>
    <s v="Yes"/>
    <s v="Yes"/>
    <x v="0"/>
    <x v="0"/>
    <s v="NAQ2"/>
    <n v="260000"/>
  </r>
  <r>
    <s v="TXN-101037"/>
    <d v="2024-01-13T00:00:00"/>
    <x v="27"/>
    <s v="SVC-04"/>
    <n v="433.91"/>
    <x v="0"/>
    <s v="Credit Card"/>
    <s v="escalated to support"/>
    <x v="1"/>
    <s v="Canada"/>
    <s v="L. Chen"/>
    <x v="2"/>
    <s v="Risk"/>
    <n v="1E-3"/>
    <s v="SMB"/>
    <s v="High Value"/>
    <s v="Yes"/>
    <s v="No"/>
    <x v="0"/>
    <x v="3"/>
    <s v="NAQ1"/>
    <n v="247000"/>
  </r>
  <r>
    <s v="TXN-102179"/>
    <d v="2024-03-24T00:00:00"/>
    <x v="28"/>
    <s v="SVC-06"/>
    <n v="596.35"/>
    <x v="0"/>
    <s v="Debit Card"/>
    <m/>
    <x v="1"/>
    <s v="United Kingdom"/>
    <s v="L. Chen"/>
    <x v="4"/>
    <s v="Platform"/>
    <n v="0"/>
    <s v="SMB"/>
    <s v="High Value"/>
    <s v="Yes"/>
    <s v="Yes"/>
    <x v="2"/>
    <x v="3"/>
    <s v="EMEAQ1"/>
    <n v="133000"/>
  </r>
  <r>
    <s v="TXN-101582"/>
    <d v="2024-07-15T00:00:00"/>
    <x v="29"/>
    <s v="SVC-01"/>
    <n v="110.37"/>
    <x v="0"/>
    <s v="ACH"/>
    <m/>
    <x v="1"/>
    <s v="Germany"/>
    <s v="L. Chen"/>
    <x v="0"/>
    <s v="Payments"/>
    <n v="2.9000000000000001E-2"/>
    <s v="SMB"/>
    <s v="Standard"/>
    <s v="No"/>
    <s v="Yes"/>
    <x v="2"/>
    <x v="1"/>
    <s v="EMEAQ3"/>
    <n v="147000"/>
  </r>
  <r>
    <s v="TXN-100811"/>
    <d v="2024-11-23T00:00:00"/>
    <x v="29"/>
    <s v="SVC-08"/>
    <n v="321.16000000000003"/>
    <x v="1"/>
    <s v="Credit Card"/>
    <s v="escalated to support"/>
    <x v="1"/>
    <s v="Germany"/>
    <s v="L. Chen"/>
    <x v="1"/>
    <s v="Risk"/>
    <n v="2.5000000000000001E-3"/>
    <s v="N/A"/>
    <s v="High Value"/>
    <s v="Yes"/>
    <s v="Yes"/>
    <x v="2"/>
    <x v="2"/>
    <s v="EMEAQ4"/>
    <n v="161000"/>
  </r>
  <r>
    <s v="TXN-100329"/>
    <d v="2024-10-20T00:00:00"/>
    <x v="30"/>
    <s v="SVC-07"/>
    <n v="309.83999999999997"/>
    <x v="0"/>
    <s v="ACH"/>
    <s v="VIP account"/>
    <x v="1"/>
    <s v="Germany"/>
    <s v="M. Santos"/>
    <x v="7"/>
    <s v="Support"/>
    <n v="0"/>
    <s v="SMB"/>
    <s v="High Value"/>
    <s v="Yes"/>
    <s v="Yes"/>
    <x v="2"/>
    <x v="2"/>
    <s v="EMEAQ4"/>
    <n v="161000"/>
  </r>
  <r>
    <s v="TXN-100457"/>
    <d v="2024-04-29T00:00:00"/>
    <x v="31"/>
    <s v="SVC-01"/>
    <n v="599.87"/>
    <x v="0"/>
    <s v="Credit Card"/>
    <m/>
    <x v="0"/>
    <s v="Philippines"/>
    <s v="M. Santos"/>
    <x v="0"/>
    <s v="Payments"/>
    <n v="2.9000000000000001E-2"/>
    <s v="Enterprise"/>
    <s v="High Value"/>
    <s v="Yes"/>
    <s v="Yes"/>
    <x v="1"/>
    <x v="0"/>
    <s v="APACQ2"/>
    <n v="110000"/>
  </r>
  <r>
    <s v="TXN-100509"/>
    <d v="2024-12-20T00:00:00"/>
    <x v="32"/>
    <s v="SVC-01"/>
    <n v="1112.43"/>
    <x v="0"/>
    <s v="ACH"/>
    <s v="escalated to support"/>
    <x v="1"/>
    <s v="Philippines"/>
    <s v="T. Novak"/>
    <x v="0"/>
    <s v="Payments"/>
    <n v="2.9000000000000001E-2"/>
    <s v="SMB"/>
    <s v="High Value"/>
    <s v="Yes"/>
    <s v="Yes"/>
    <x v="1"/>
    <x v="2"/>
    <s v="APACQ4"/>
    <n v="126500"/>
  </r>
  <r>
    <s v="TXN-102577"/>
    <d v="2024-10-09T00:00:00"/>
    <x v="33"/>
    <s v="SVC-02"/>
    <n v="327.77"/>
    <x v="0"/>
    <s v="ACH"/>
    <m/>
    <x v="3"/>
    <s v="Canada"/>
    <s v="T. Novak"/>
    <x v="6"/>
    <s v="HR &amp; Payroll"/>
    <n v="0"/>
    <s v="Startup"/>
    <s v="High Value"/>
    <s v="Yes"/>
    <s v="Yes"/>
    <x v="0"/>
    <x v="2"/>
    <s v="NAQ4"/>
    <n v="299000"/>
  </r>
  <r>
    <s v="TXN-100695"/>
    <d v="2024-12-23T00:00:00"/>
    <x v="34"/>
    <s v="SVC-06"/>
    <n v="583.16999999999996"/>
    <x v="0"/>
    <s v="Credit Card"/>
    <s v="escalated to support"/>
    <x v="1"/>
    <s v="Germany"/>
    <s v="M. Santos"/>
    <x v="4"/>
    <s v="Platform"/>
    <n v="0"/>
    <s v="SMB"/>
    <s v="High Value"/>
    <s v="Yes"/>
    <s v="Yes"/>
    <x v="2"/>
    <x v="2"/>
    <s v="EMEAQ4"/>
    <n v="161000"/>
  </r>
  <r>
    <s v="TXN-101241"/>
    <d v="2024-12-17T00:00:00"/>
    <x v="34"/>
    <s v="SVC-03"/>
    <n v="622.27"/>
    <x v="0"/>
    <s v="Credit Card"/>
    <s v="callback requested"/>
    <x v="1"/>
    <s v="Germany"/>
    <s v="M. Santos"/>
    <x v="5"/>
    <s v="Billing"/>
    <n v="5.0000000000000001E-3"/>
    <s v="SMB"/>
    <s v="High Value"/>
    <s v="Yes"/>
    <s v="Yes"/>
    <x v="2"/>
    <x v="2"/>
    <s v="EMEAQ4"/>
    <n v="161000"/>
  </r>
  <r>
    <s v="TXN-101821"/>
    <d v="2024-05-24T00:00:00"/>
    <x v="35"/>
    <s v="SVC-01"/>
    <n v="426.68"/>
    <x v="0"/>
    <s v="ACH"/>
    <s v="VIP account"/>
    <x v="3"/>
    <s v="Philippines"/>
    <s v="R. Patel"/>
    <x v="0"/>
    <s v="Payments"/>
    <n v="2.9000000000000001E-2"/>
    <s v="Startup"/>
    <s v="Standard"/>
    <s v="Yes"/>
    <s v="Yes"/>
    <x v="1"/>
    <x v="0"/>
    <s v="APACQ2"/>
    <n v="110000"/>
  </r>
  <r>
    <s v="TXN-102541"/>
    <d v="2024-07-06T00:00:00"/>
    <x v="36"/>
    <s v="SVC-02"/>
    <n v="-654.44000000000005"/>
    <x v="2"/>
    <s v="Credit Card"/>
    <s v="VIP account"/>
    <x v="1"/>
    <s v="USA"/>
    <s v="M. Santos"/>
    <x v="6"/>
    <s v="HR &amp; Payroll"/>
    <n v="0"/>
    <s v="N/A"/>
    <s v="Refund"/>
    <s v="No"/>
    <s v="Yes"/>
    <x v="0"/>
    <x v="1"/>
    <s v="NAQ3"/>
    <n v="273000"/>
  </r>
  <r>
    <s v="TXN-101256"/>
    <d v="2024-06-16T00:00:00"/>
    <x v="36"/>
    <s v="SVC-01"/>
    <n v="133.05000000000001"/>
    <x v="0"/>
    <s v="Unknown"/>
    <s v="escalated to support"/>
    <x v="1"/>
    <s v="USA"/>
    <s v="M. Santos"/>
    <x v="0"/>
    <s v="Payments"/>
    <n v="2.9000000000000001E-2"/>
    <s v="SMB"/>
    <s v="Standard"/>
    <s v="No"/>
    <s v="Yes"/>
    <x v="0"/>
    <x v="0"/>
    <s v="NAQ2"/>
    <n v="260000"/>
  </r>
  <r>
    <s v="TXN-100162"/>
    <d v="2024-03-14T00:00:00"/>
    <x v="37"/>
    <s v="SVC-01"/>
    <n v="-910.07"/>
    <x v="2"/>
    <s v="Credit Card"/>
    <m/>
    <x v="1"/>
    <s v="Canada"/>
    <s v="T. Novak"/>
    <x v="0"/>
    <s v="Payments"/>
    <n v="2.9000000000000001E-2"/>
    <s v="N/A"/>
    <s v="Refund"/>
    <s v="No"/>
    <s v="Yes"/>
    <x v="0"/>
    <x v="3"/>
    <s v="NAQ1"/>
    <n v="247000"/>
  </r>
  <r>
    <s v="TXN-102501"/>
    <d v="2024-06-17T00:00:00"/>
    <x v="37"/>
    <s v="SVC-07"/>
    <n v="190.92"/>
    <x v="3"/>
    <s v="ACH"/>
    <s v="callback requested"/>
    <x v="1"/>
    <s v="Canada"/>
    <s v="T. Novak"/>
    <x v="7"/>
    <s v="Support"/>
    <n v="0"/>
    <s v="N/A"/>
    <s v="Standard"/>
    <s v="Yes"/>
    <s v="Yes"/>
    <x v="0"/>
    <x v="0"/>
    <s v="NAQ2"/>
    <n v="260000"/>
  </r>
  <r>
    <s v="TXN-100366"/>
    <d v="2024-10-03T00:00:00"/>
    <x v="38"/>
    <s v="SVC-02"/>
    <n v="349.62"/>
    <x v="0"/>
    <s v="Credit Card"/>
    <m/>
    <x v="0"/>
    <s v="Australia"/>
    <s v="A. Kim"/>
    <x v="6"/>
    <s v="HR &amp; Payroll"/>
    <n v="0"/>
    <s v="Enterprise"/>
    <s v="High Value"/>
    <s v="Yes"/>
    <s v="Yes"/>
    <x v="1"/>
    <x v="2"/>
    <s v="APACQ4"/>
    <n v="126500"/>
  </r>
  <r>
    <s v="TXN-101267"/>
    <d v="2024-03-08T00:00:00"/>
    <x v="39"/>
    <s v="SVC-08"/>
    <n v="480.97"/>
    <x v="0"/>
    <s v="ACH"/>
    <s v="callback requested"/>
    <x v="1"/>
    <s v="United Kingdom"/>
    <s v="A. Kim"/>
    <x v="1"/>
    <s v="Risk"/>
    <n v="2.5000000000000001E-3"/>
    <s v="SMB"/>
    <s v="High Value"/>
    <s v="Yes"/>
    <s v="Yes"/>
    <x v="2"/>
    <x v="3"/>
    <s v="EMEAQ1"/>
    <n v="133000"/>
  </r>
  <r>
    <s v="TXN-102506"/>
    <d v="2024-06-20T00:00:00"/>
    <x v="39"/>
    <s v="SVC-06"/>
    <n v="274.52999999999997"/>
    <x v="0"/>
    <s v="Credit Card"/>
    <m/>
    <x v="1"/>
    <s v="United Kingdom"/>
    <s v="A. Kim"/>
    <x v="4"/>
    <s v="Platform"/>
    <n v="0"/>
    <s v="SMB"/>
    <s v="High Value"/>
    <s v="Yes"/>
    <s v="Yes"/>
    <x v="2"/>
    <x v="0"/>
    <s v="EMEAQ2"/>
    <n v="140000"/>
  </r>
  <r>
    <s v="TXN-102109"/>
    <d v="2024-12-16T00:00:00"/>
    <x v="39"/>
    <s v="SVC-06"/>
    <n v="348.06"/>
    <x v="0"/>
    <s v="Debit Card"/>
    <m/>
    <x v="1"/>
    <s v="United Kingdom"/>
    <s v="A. Kim"/>
    <x v="4"/>
    <s v="Platform"/>
    <n v="0"/>
    <s v="SMB"/>
    <s v="High Value"/>
    <s v="Yes"/>
    <s v="No"/>
    <x v="2"/>
    <x v="2"/>
    <s v="EMEAQ4"/>
    <n v="161000"/>
  </r>
  <r>
    <s v="TXN-101424"/>
    <d v="2024-06-29T00:00:00"/>
    <x v="40"/>
    <s v="SVC-07"/>
    <n v="1125.4100000000001"/>
    <x v="0"/>
    <s v="Debit Card"/>
    <s v="callback requested"/>
    <x v="1"/>
    <s v="Philippines"/>
    <s v="M. Santos"/>
    <x v="7"/>
    <s v="Support"/>
    <n v="0"/>
    <s v="SMB"/>
    <s v="High Value"/>
    <s v="Yes"/>
    <s v="Yes"/>
    <x v="1"/>
    <x v="0"/>
    <s v="APACQ2"/>
    <n v="110000"/>
  </r>
  <r>
    <s v="TXN-100448"/>
    <d v="2024-04-29T00:00:00"/>
    <x v="41"/>
    <s v="SVC-05"/>
    <n v="499.66"/>
    <x v="0"/>
    <s v="ACH"/>
    <s v="callback requested"/>
    <x v="0"/>
    <s v="Canada"/>
    <s v="M. Santos"/>
    <x v="3"/>
    <s v="Analytics"/>
    <n v="0"/>
    <s v="Enterprise"/>
    <s v="High Value"/>
    <s v="Yes"/>
    <s v="Yes"/>
    <x v="0"/>
    <x v="0"/>
    <s v="NAQ2"/>
    <n v="260000"/>
  </r>
  <r>
    <s v="TXN-100512"/>
    <d v="2024-01-27T00:00:00"/>
    <x v="42"/>
    <s v="SVC-06"/>
    <n v="650.28"/>
    <x v="0"/>
    <s v="Debit Card"/>
    <s v="callback requested"/>
    <x v="1"/>
    <s v="Australia"/>
    <s v="M. Santos"/>
    <x v="4"/>
    <s v="Platform"/>
    <n v="0"/>
    <s v="SMB"/>
    <s v="High Value"/>
    <s v="Yes"/>
    <s v="Yes"/>
    <x v="1"/>
    <x v="3"/>
    <s v="APACQ1"/>
    <n v="104500"/>
  </r>
  <r>
    <s v="TXN-101658"/>
    <d v="2024-01-23T00:00:00"/>
    <x v="43"/>
    <s v="SVC-01"/>
    <n v="445.37"/>
    <x v="0"/>
    <s v="Unknown"/>
    <m/>
    <x v="1"/>
    <s v="USA"/>
    <s v="M. Santos"/>
    <x v="0"/>
    <s v="Payments"/>
    <n v="2.9000000000000001E-2"/>
    <s v="SMB"/>
    <s v="Standard"/>
    <s v="Yes"/>
    <s v="Yes"/>
    <x v="0"/>
    <x v="3"/>
    <s v="NAQ1"/>
    <n v="247000"/>
  </r>
  <r>
    <s v="TXN-100860"/>
    <d v="2024-12-07T00:00:00"/>
    <x v="44"/>
    <s v="SVC-08"/>
    <n v="176.71"/>
    <x v="0"/>
    <s v="Credit Card"/>
    <s v="VIP account"/>
    <x v="0"/>
    <s v="Australia"/>
    <s v="T. Novak"/>
    <x v="1"/>
    <s v="Risk"/>
    <n v="2.5000000000000001E-3"/>
    <s v="Enterprise"/>
    <s v="Standard"/>
    <s v="Yes"/>
    <s v="Yes"/>
    <x v="1"/>
    <x v="2"/>
    <s v="APACQ4"/>
    <n v="126500"/>
  </r>
  <r>
    <s v="TXN-102272"/>
    <d v="2024-12-13T00:00:00"/>
    <x v="44"/>
    <s v="SVC-06"/>
    <n v="112.26"/>
    <x v="0"/>
    <s v="Unknown"/>
    <s v="callback requested"/>
    <x v="0"/>
    <s v="Australia"/>
    <s v="T. Novak"/>
    <x v="4"/>
    <s v="Platform"/>
    <n v="0"/>
    <s v="Enterprise"/>
    <s v="Standard"/>
    <s v="Yes"/>
    <s v="Yes"/>
    <x v="1"/>
    <x v="2"/>
    <s v="APACQ4"/>
    <n v="126500"/>
  </r>
  <r>
    <s v="TXN-100149"/>
    <d v="2024-04-23T00:00:00"/>
    <x v="45"/>
    <s v="SVC-02"/>
    <n v="241.25"/>
    <x v="0"/>
    <s v="ACH"/>
    <s v="escalated to support"/>
    <x v="0"/>
    <s v="United Kingdom"/>
    <s v="R. Patel"/>
    <x v="6"/>
    <s v="HR &amp; Payroll"/>
    <n v="0"/>
    <s v="Enterprise"/>
    <s v="Standard"/>
    <s v="Yes"/>
    <s v="Yes"/>
    <x v="2"/>
    <x v="0"/>
    <s v="EMEAQ2"/>
    <n v="140000"/>
  </r>
  <r>
    <s v="TXN-101573"/>
    <d v="2024-10-29T00:00:00"/>
    <x v="46"/>
    <s v="SVC-03"/>
    <n v="376.28"/>
    <x v="3"/>
    <s v="Credit Card"/>
    <m/>
    <x v="1"/>
    <s v="Australia"/>
    <s v="L. Chen"/>
    <x v="5"/>
    <s v="Billing"/>
    <n v="5.0000000000000001E-3"/>
    <s v="N/A"/>
    <s v="High Value"/>
    <s v="Yes"/>
    <s v="Yes"/>
    <x v="1"/>
    <x v="2"/>
    <s v="APACQ4"/>
    <n v="126500"/>
  </r>
  <r>
    <s v="TXN-101161"/>
    <d v="2024-12-22T00:00:00"/>
    <x v="47"/>
    <s v="SVC-01"/>
    <n v="803.84"/>
    <x v="0"/>
    <s v="ACH"/>
    <m/>
    <x v="1"/>
    <s v="Canada"/>
    <s v="R. Patel"/>
    <x v="0"/>
    <s v="Payments"/>
    <n v="2.9000000000000001E-2"/>
    <s v="SMB"/>
    <s v="High Value"/>
    <s v="Yes"/>
    <s v="Yes"/>
    <x v="0"/>
    <x v="2"/>
    <s v="NAQ4"/>
    <n v="299000"/>
  </r>
  <r>
    <s v="TXN-102236"/>
    <d v="2024-04-25T00:00:00"/>
    <x v="47"/>
    <s v="SVC-02"/>
    <n v="17.760000000000002"/>
    <x v="1"/>
    <s v="ACH"/>
    <s v="callback requested"/>
    <x v="1"/>
    <s v="Canada"/>
    <s v="R. Patel"/>
    <x v="6"/>
    <s v="HR &amp; Payroll"/>
    <n v="0"/>
    <s v="N/A"/>
    <s v="Standard"/>
    <s v="Yes"/>
    <s v="Yes"/>
    <x v="0"/>
    <x v="0"/>
    <s v="NAQ2"/>
    <n v="260000"/>
  </r>
  <r>
    <s v="TXN-102088"/>
    <d v="2024-04-29T00:00:00"/>
    <x v="48"/>
    <s v="SVC-04"/>
    <n v="651.33000000000004"/>
    <x v="0"/>
    <s v="Credit Card"/>
    <s v="VIP account"/>
    <x v="1"/>
    <s v="Germany"/>
    <s v="J. Reyes"/>
    <x v="2"/>
    <s v="Risk"/>
    <n v="1E-3"/>
    <s v="SMB"/>
    <s v="High Value"/>
    <s v="Yes"/>
    <s v="Yes"/>
    <x v="2"/>
    <x v="0"/>
    <s v="EMEAQ2"/>
    <n v="140000"/>
  </r>
  <r>
    <s v="TXN-100393"/>
    <d v="2024-03-01T00:00:00"/>
    <x v="49"/>
    <s v="SVC-02"/>
    <n v="160.82"/>
    <x v="0"/>
    <s v="Credit Card"/>
    <m/>
    <x v="1"/>
    <s v="USA"/>
    <s v="A. Kim"/>
    <x v="6"/>
    <s v="HR &amp; Payroll"/>
    <n v="0"/>
    <s v="SMB"/>
    <s v="Standard"/>
    <s v="Yes"/>
    <s v="Yes"/>
    <x v="0"/>
    <x v="3"/>
    <s v="NAQ1"/>
    <n v="247000"/>
  </r>
  <r>
    <s v="TXN-101455"/>
    <d v="2024-02-02T00:00:00"/>
    <x v="50"/>
    <s v="SVC-01"/>
    <n v="679.23"/>
    <x v="0"/>
    <s v="ACH"/>
    <s v="callback requested"/>
    <x v="1"/>
    <s v="USA"/>
    <s v="M. Santos"/>
    <x v="0"/>
    <s v="Payments"/>
    <n v="2.9000000000000001E-2"/>
    <s v="SMB"/>
    <s v="High Value"/>
    <s v="Yes"/>
    <s v="Yes"/>
    <x v="0"/>
    <x v="3"/>
    <s v="NAQ1"/>
    <n v="247000"/>
  </r>
  <r>
    <s v="TXN-101270"/>
    <d v="2024-07-25T00:00:00"/>
    <x v="51"/>
    <s v="SVC-01"/>
    <n v="236.97"/>
    <x v="0"/>
    <s v="Debit Card"/>
    <s v="callback requested"/>
    <x v="0"/>
    <s v="United Kingdom"/>
    <s v="R. Patel"/>
    <x v="0"/>
    <s v="Payments"/>
    <n v="2.9000000000000001E-2"/>
    <s v="Enterprise"/>
    <s v="Standard"/>
    <s v="No"/>
    <s v="Yes"/>
    <x v="2"/>
    <x v="1"/>
    <s v="EMEAQ3"/>
    <n v="147000"/>
  </r>
  <r>
    <s v="TXN-101976"/>
    <d v="2024-02-24T00:00:00"/>
    <x v="51"/>
    <s v="SVC-01"/>
    <n v="221.89"/>
    <x v="0"/>
    <s v="Credit Card"/>
    <s v="escalated to support"/>
    <x v="0"/>
    <s v="United Kingdom"/>
    <s v="R. Patel"/>
    <x v="0"/>
    <s v="Payments"/>
    <n v="2.9000000000000001E-2"/>
    <s v="Enterprise"/>
    <s v="Standard"/>
    <s v="No"/>
    <s v="No"/>
    <x v="2"/>
    <x v="3"/>
    <s v="EMEAQ1"/>
    <n v="133000"/>
  </r>
  <r>
    <s v="TXN-102521"/>
    <d v="2024-08-27T00:00:00"/>
    <x v="52"/>
    <s v="SVC-02"/>
    <n v="566.20000000000005"/>
    <x v="0"/>
    <s v="Credit Card"/>
    <m/>
    <x v="1"/>
    <s v="USA"/>
    <s v="M. Santos"/>
    <x v="6"/>
    <s v="HR &amp; Payroll"/>
    <n v="0"/>
    <s v="SMB"/>
    <s v="High Value"/>
    <s v="Yes"/>
    <s v="Yes"/>
    <x v="0"/>
    <x v="1"/>
    <s v="NAQ3"/>
    <n v="273000"/>
  </r>
  <r>
    <s v="TXN-100478"/>
    <d v="2024-09-25T00:00:00"/>
    <x v="53"/>
    <s v="SVC-01"/>
    <n v="380.88"/>
    <x v="0"/>
    <s v="ACH"/>
    <s v="VIP account"/>
    <x v="0"/>
    <s v="Singapore"/>
    <s v="L. Chen"/>
    <x v="0"/>
    <s v="Payments"/>
    <n v="2.9000000000000001E-2"/>
    <s v="Enterprise"/>
    <s v="Standard"/>
    <s v="Yes"/>
    <s v="Yes"/>
    <x v="1"/>
    <x v="1"/>
    <s v="APACQ3"/>
    <n v="115500"/>
  </r>
  <r>
    <s v="TXN-100914"/>
    <d v="2024-11-30T00:00:00"/>
    <x v="53"/>
    <s v="SVC-01"/>
    <n v="474.63"/>
    <x v="0"/>
    <s v="ACH"/>
    <m/>
    <x v="0"/>
    <s v="Singapore"/>
    <s v="L. Chen"/>
    <x v="0"/>
    <s v="Payments"/>
    <n v="2.9000000000000001E-2"/>
    <s v="Enterprise"/>
    <s v="Standard"/>
    <s v="Yes"/>
    <s v="No"/>
    <x v="1"/>
    <x v="2"/>
    <s v="APACQ4"/>
    <n v="126500"/>
  </r>
  <r>
    <s v="TXN-102484"/>
    <d v="2024-07-28T00:00:00"/>
    <x v="53"/>
    <s v="SVC-01"/>
    <n v="101.69"/>
    <x v="0"/>
    <s v="ACH"/>
    <s v="VIP account"/>
    <x v="0"/>
    <s v="Singapore"/>
    <s v="L. Chen"/>
    <x v="0"/>
    <s v="Payments"/>
    <n v="2.9000000000000001E-2"/>
    <s v="Enterprise"/>
    <s v="Standard"/>
    <s v="No"/>
    <s v="No"/>
    <x v="1"/>
    <x v="1"/>
    <s v="APACQ3"/>
    <n v="115500"/>
  </r>
  <r>
    <s v="TXN-102327"/>
    <d v="2024-03-16T00:00:00"/>
    <x v="54"/>
    <s v="SVC-08"/>
    <n v="458.19"/>
    <x v="0"/>
    <s v="ACH"/>
    <s v="callback requested"/>
    <x v="1"/>
    <s v="USA"/>
    <s v="J. Reyes"/>
    <x v="1"/>
    <s v="Risk"/>
    <n v="2.5000000000000001E-3"/>
    <s v="SMB"/>
    <s v="High Value"/>
    <s v="Yes"/>
    <s v="Yes"/>
    <x v="0"/>
    <x v="3"/>
    <s v="NAQ1"/>
    <n v="247000"/>
  </r>
  <r>
    <s v="TXN-101297"/>
    <d v="2024-11-21T00:00:00"/>
    <x v="55"/>
    <s v="SVC-04"/>
    <n v="165.1"/>
    <x v="0"/>
    <s v="ACH"/>
    <s v="callback requested"/>
    <x v="3"/>
    <s v="USA"/>
    <s v="J. Reyes"/>
    <x v="2"/>
    <s v="Risk"/>
    <n v="1E-3"/>
    <s v="Startup"/>
    <s v="Standard"/>
    <s v="Yes"/>
    <s v="Yes"/>
    <x v="0"/>
    <x v="2"/>
    <s v="NAQ4"/>
    <n v="299000"/>
  </r>
  <r>
    <s v="TXN-100526"/>
    <d v="2024-06-22T00:00:00"/>
    <x v="55"/>
    <s v="SVC-02"/>
    <n v="574.25"/>
    <x v="1"/>
    <s v="Credit Card"/>
    <m/>
    <x v="3"/>
    <s v="USA"/>
    <s v="J. Reyes"/>
    <x v="6"/>
    <s v="HR &amp; Payroll"/>
    <n v="0"/>
    <s v="N/A"/>
    <s v="High Value"/>
    <s v="Yes"/>
    <s v="Yes"/>
    <x v="0"/>
    <x v="0"/>
    <s v="NAQ2"/>
    <n v="260000"/>
  </r>
  <r>
    <s v="TXN-100908"/>
    <d v="2024-10-07T00:00:00"/>
    <x v="55"/>
    <s v="SVC-05"/>
    <n v="423.41"/>
    <x v="0"/>
    <s v="Debit Card"/>
    <s v="VIP account"/>
    <x v="3"/>
    <s v="USA"/>
    <s v="J. Reyes"/>
    <x v="3"/>
    <s v="Analytics"/>
    <n v="0"/>
    <s v="Startup"/>
    <s v="High Value"/>
    <s v="Yes"/>
    <s v="Yes"/>
    <x v="0"/>
    <x v="2"/>
    <s v="NAQ4"/>
    <n v="299000"/>
  </r>
  <r>
    <s v="TXN-100265"/>
    <d v="2024-10-05T00:00:00"/>
    <x v="56"/>
    <s v="SVC-04"/>
    <n v="265.7"/>
    <x v="3"/>
    <s v="Debit Card"/>
    <m/>
    <x v="0"/>
    <s v="Singapore"/>
    <s v="R. Patel"/>
    <x v="2"/>
    <s v="Risk"/>
    <n v="1E-3"/>
    <s v="N/A"/>
    <s v="High Value"/>
    <s v="Yes"/>
    <s v="Yes"/>
    <x v="1"/>
    <x v="2"/>
    <s v="APACQ4"/>
    <n v="126500"/>
  </r>
  <r>
    <s v="TXN-100451"/>
    <d v="2024-08-14T00:00:00"/>
    <x v="56"/>
    <s v="SVC-02"/>
    <n v="524.75"/>
    <x v="0"/>
    <s v="ACH"/>
    <s v="escalated to support"/>
    <x v="0"/>
    <s v="Singapore"/>
    <s v="R. Patel"/>
    <x v="6"/>
    <s v="HR &amp; Payroll"/>
    <n v="0"/>
    <s v="Enterprise"/>
    <s v="High Value"/>
    <s v="Yes"/>
    <s v="Yes"/>
    <x v="1"/>
    <x v="1"/>
    <s v="APACQ3"/>
    <n v="115500"/>
  </r>
  <r>
    <s v="TXN-101426"/>
    <d v="2024-12-03T00:00:00"/>
    <x v="57"/>
    <s v="SVC-04"/>
    <n v="390.9"/>
    <x v="3"/>
    <s v="Credit Card"/>
    <s v="callback requested"/>
    <x v="1"/>
    <s v="USA"/>
    <s v="L. Chen"/>
    <x v="2"/>
    <s v="Risk"/>
    <n v="1E-3"/>
    <s v="N/A"/>
    <s v="High Value"/>
    <s v="Yes"/>
    <s v="Yes"/>
    <x v="0"/>
    <x v="2"/>
    <s v="NAQ4"/>
    <n v="299000"/>
  </r>
  <r>
    <s v="TXN-100836"/>
    <d v="2024-02-02T00:00:00"/>
    <x v="58"/>
    <s v="SVC-08"/>
    <n v="216.81"/>
    <x v="0"/>
    <s v="ACH"/>
    <s v="VIP account"/>
    <x v="1"/>
    <s v="Canada"/>
    <s v="M. Santos"/>
    <x v="1"/>
    <s v="Risk"/>
    <n v="2.5000000000000001E-3"/>
    <s v="SMB"/>
    <s v="Standard"/>
    <s v="Yes"/>
    <s v="Yes"/>
    <x v="0"/>
    <x v="3"/>
    <s v="NAQ1"/>
    <n v="247000"/>
  </r>
  <r>
    <s v="TXN-102158"/>
    <d v="2024-12-18T00:00:00"/>
    <x v="58"/>
    <s v="SVC-03"/>
    <n v="565.61"/>
    <x v="0"/>
    <s v="Debit Card"/>
    <m/>
    <x v="1"/>
    <s v="Canada"/>
    <s v="M. Santos"/>
    <x v="5"/>
    <s v="Billing"/>
    <n v="5.0000000000000001E-3"/>
    <s v="SMB"/>
    <s v="High Value"/>
    <s v="Yes"/>
    <s v="Yes"/>
    <x v="0"/>
    <x v="2"/>
    <s v="NAQ4"/>
    <n v="299000"/>
  </r>
  <r>
    <s v="TXN-100703"/>
    <d v="2024-05-16T00:00:00"/>
    <x v="58"/>
    <s v="SVC-01"/>
    <n v="561.01"/>
    <x v="0"/>
    <s v="ACH"/>
    <m/>
    <x v="1"/>
    <s v="Canada"/>
    <s v="M. Santos"/>
    <x v="0"/>
    <s v="Payments"/>
    <n v="2.9000000000000001E-2"/>
    <s v="SMB"/>
    <s v="High Value"/>
    <s v="Yes"/>
    <s v="Yes"/>
    <x v="0"/>
    <x v="0"/>
    <s v="NAQ2"/>
    <n v="260000"/>
  </r>
  <r>
    <s v="TXN-100343"/>
    <d v="2024-08-21T00:00:00"/>
    <x v="58"/>
    <s v="SVC-05"/>
    <n v="-276.64"/>
    <x v="2"/>
    <s v="ACH"/>
    <m/>
    <x v="1"/>
    <s v="Canada"/>
    <s v="M. Santos"/>
    <x v="3"/>
    <s v="Analytics"/>
    <n v="0"/>
    <s v="N/A"/>
    <s v="Refund"/>
    <s v="No"/>
    <s v="Yes"/>
    <x v="0"/>
    <x v="1"/>
    <s v="NAQ3"/>
    <n v="273000"/>
  </r>
  <r>
    <s v="TXN-100029"/>
    <d v="2024-06-02T00:00:00"/>
    <x v="59"/>
    <s v="SVC-08"/>
    <n v="280.24"/>
    <x v="0"/>
    <s v="ACH"/>
    <m/>
    <x v="1"/>
    <s v="USA"/>
    <s v="R. Patel"/>
    <x v="1"/>
    <s v="Risk"/>
    <n v="2.5000000000000001E-3"/>
    <s v="SMB"/>
    <s v="High Value"/>
    <s v="Yes"/>
    <s v="Yes"/>
    <x v="0"/>
    <x v="0"/>
    <s v="NAQ2"/>
    <n v="260000"/>
  </r>
  <r>
    <s v="TXN-100376"/>
    <d v="2024-11-26T00:00:00"/>
    <x v="59"/>
    <s v="SVC-01"/>
    <n v="771.11"/>
    <x v="3"/>
    <s v="ACH"/>
    <s v="VIP account"/>
    <x v="1"/>
    <s v="USA"/>
    <s v="R. Patel"/>
    <x v="0"/>
    <s v="Payments"/>
    <n v="2.9000000000000001E-2"/>
    <s v="N/A"/>
    <s v="High Value"/>
    <s v="Yes"/>
    <s v="Yes"/>
    <x v="0"/>
    <x v="2"/>
    <s v="NAQ4"/>
    <n v="299000"/>
  </r>
  <r>
    <s v="TXN-100814"/>
    <d v="2024-06-18T00:00:00"/>
    <x v="60"/>
    <s v="SVC-01"/>
    <n v="347.38"/>
    <x v="3"/>
    <s v="Credit Card"/>
    <m/>
    <x v="1"/>
    <s v="Australia"/>
    <s v="J. Reyes"/>
    <x v="0"/>
    <s v="Payments"/>
    <n v="2.9000000000000001E-2"/>
    <s v="N/A"/>
    <s v="Standard"/>
    <s v="Yes"/>
    <s v="Yes"/>
    <x v="1"/>
    <x v="0"/>
    <s v="APACQ2"/>
    <n v="110000"/>
  </r>
  <r>
    <s v="TXN-100384"/>
    <d v="2024-10-09T00:00:00"/>
    <x v="60"/>
    <s v="SVC-07"/>
    <n v="326.27"/>
    <x v="0"/>
    <s v="Credit Card"/>
    <s v="escalated to support"/>
    <x v="1"/>
    <s v="Australia"/>
    <s v="J. Reyes"/>
    <x v="7"/>
    <s v="Support"/>
    <n v="0"/>
    <s v="SMB"/>
    <s v="High Value"/>
    <s v="Yes"/>
    <s v="Yes"/>
    <x v="1"/>
    <x v="2"/>
    <s v="APACQ4"/>
    <n v="126500"/>
  </r>
  <r>
    <s v="TXN-102600"/>
    <d v="2024-06-12T00:00:00"/>
    <x v="61"/>
    <s v="SVC-04"/>
    <n v="700.25"/>
    <x v="0"/>
    <s v="Debit Card"/>
    <m/>
    <x v="1"/>
    <s v="Australia"/>
    <s v="M. Santos"/>
    <x v="2"/>
    <s v="Risk"/>
    <n v="1E-3"/>
    <s v="SMB"/>
    <s v="High Value"/>
    <s v="Yes"/>
    <s v="Yes"/>
    <x v="1"/>
    <x v="0"/>
    <s v="APACQ2"/>
    <n v="110000"/>
  </r>
  <r>
    <s v="TXN-101222"/>
    <d v="2024-12-07T00:00:00"/>
    <x v="61"/>
    <s v="SVC-02"/>
    <n v="567.65"/>
    <x v="0"/>
    <s v="Debit Card"/>
    <s v="VIP account"/>
    <x v="1"/>
    <s v="Australia"/>
    <s v="M. Santos"/>
    <x v="6"/>
    <s v="HR &amp; Payroll"/>
    <n v="0"/>
    <s v="SMB"/>
    <s v="High Value"/>
    <s v="Yes"/>
    <s v="Yes"/>
    <x v="1"/>
    <x v="2"/>
    <s v="APACQ4"/>
    <n v="126500"/>
  </r>
  <r>
    <s v="TXN-101739"/>
    <d v="2024-07-29T00:00:00"/>
    <x v="61"/>
    <s v="SVC-06"/>
    <n v="380.13"/>
    <x v="0"/>
    <s v="Credit Card"/>
    <s v="VIP account"/>
    <x v="1"/>
    <s v="Australia"/>
    <s v="M. Santos"/>
    <x v="4"/>
    <s v="Platform"/>
    <n v="0"/>
    <s v="SMB"/>
    <s v="High Value"/>
    <s v="Yes"/>
    <s v="Yes"/>
    <x v="1"/>
    <x v="1"/>
    <s v="APACQ3"/>
    <n v="115500"/>
  </r>
  <r>
    <s v="TXN-101362"/>
    <d v="2024-12-06T00:00:00"/>
    <x v="62"/>
    <s v="SVC-04"/>
    <n v="1061.48"/>
    <x v="0"/>
    <s v="Debit Card"/>
    <s v="callback requested"/>
    <x v="0"/>
    <s v="USA"/>
    <s v="A. Kim"/>
    <x v="2"/>
    <s v="Risk"/>
    <n v="1E-3"/>
    <s v="Enterprise"/>
    <s v="High Value"/>
    <s v="Yes"/>
    <s v="Yes"/>
    <x v="0"/>
    <x v="2"/>
    <s v="NAQ4"/>
    <n v="299000"/>
  </r>
  <r>
    <s v="TXN-100048"/>
    <d v="2024-01-23T00:00:00"/>
    <x v="62"/>
    <s v="SVC-08"/>
    <n v="316.02"/>
    <x v="0"/>
    <s v="Wire Transfer"/>
    <m/>
    <x v="0"/>
    <s v="USA"/>
    <s v="A. Kim"/>
    <x v="1"/>
    <s v="Risk"/>
    <n v="2.5000000000000001E-3"/>
    <s v="Enterprise"/>
    <s v="High Value"/>
    <s v="Yes"/>
    <s v="Yes"/>
    <x v="0"/>
    <x v="3"/>
    <s v="NAQ1"/>
    <n v="247000"/>
  </r>
  <r>
    <s v="TXN-100229"/>
    <d v="2024-08-15T00:00:00"/>
    <x v="63"/>
    <s v="SVC-03"/>
    <n v="535.39"/>
    <x v="0"/>
    <s v="Debit Card"/>
    <s v="callback requested"/>
    <x v="1"/>
    <s v="Philippines"/>
    <s v="T. Novak"/>
    <x v="5"/>
    <s v="Billing"/>
    <n v="5.0000000000000001E-3"/>
    <s v="SMB"/>
    <s v="High Value"/>
    <s v="Yes"/>
    <s v="Yes"/>
    <x v="1"/>
    <x v="1"/>
    <s v="APACQ3"/>
    <n v="115500"/>
  </r>
  <r>
    <s v="TXN-100007"/>
    <d v="2024-05-16T00:00:00"/>
    <x v="63"/>
    <s v="SVC-05"/>
    <n v="278.37"/>
    <x v="3"/>
    <s v="ACH"/>
    <m/>
    <x v="1"/>
    <s v="Philippines"/>
    <s v="T. Novak"/>
    <x v="3"/>
    <s v="Analytics"/>
    <n v="0"/>
    <s v="N/A"/>
    <s v="High Value"/>
    <s v="Yes"/>
    <s v="Yes"/>
    <x v="1"/>
    <x v="0"/>
    <s v="APACQ2"/>
    <n v="110000"/>
  </r>
  <r>
    <s v="TXN-102144"/>
    <d v="2024-11-12T00:00:00"/>
    <x v="64"/>
    <s v="SVC-01"/>
    <n v="335.62"/>
    <x v="0"/>
    <s v="Unknown"/>
    <m/>
    <x v="1"/>
    <s v="United Kingdom"/>
    <s v="J. Reyes"/>
    <x v="0"/>
    <s v="Payments"/>
    <n v="2.9000000000000001E-2"/>
    <s v="SMB"/>
    <s v="Standard"/>
    <s v="Yes"/>
    <s v="Yes"/>
    <x v="2"/>
    <x v="2"/>
    <s v="EMEAQ4"/>
    <n v="161000"/>
  </r>
  <r>
    <s v="TXN-101117"/>
    <d v="2024-04-16T00:00:00"/>
    <x v="65"/>
    <s v="SVC-01"/>
    <n v="348.37"/>
    <x v="0"/>
    <s v="Credit Card"/>
    <s v="VIP account"/>
    <x v="0"/>
    <s v="USA"/>
    <s v="A. Kim"/>
    <x v="0"/>
    <s v="Payments"/>
    <n v="2.9000000000000001E-2"/>
    <s v="Enterprise"/>
    <s v="Standard"/>
    <s v="Yes"/>
    <s v="Yes"/>
    <x v="0"/>
    <x v="0"/>
    <s v="NAQ2"/>
    <n v="260000"/>
  </r>
  <r>
    <s v="TXN-100449"/>
    <d v="2024-08-25T00:00:00"/>
    <x v="65"/>
    <s v="SVC-08"/>
    <n v="575.17999999999995"/>
    <x v="0"/>
    <s v="ACH"/>
    <m/>
    <x v="0"/>
    <s v="USA"/>
    <s v="A. Kim"/>
    <x v="1"/>
    <s v="Risk"/>
    <n v="2.5000000000000001E-3"/>
    <s v="Enterprise"/>
    <s v="High Value"/>
    <s v="Yes"/>
    <s v="Yes"/>
    <x v="0"/>
    <x v="1"/>
    <s v="NAQ3"/>
    <n v="273000"/>
  </r>
  <r>
    <s v="TXN-101727"/>
    <d v="2024-09-23T00:00:00"/>
    <x v="66"/>
    <s v="SVC-05"/>
    <n v="562.16"/>
    <x v="0"/>
    <s v="Debit Card"/>
    <m/>
    <x v="3"/>
    <s v="Australia"/>
    <s v="L. Chen"/>
    <x v="3"/>
    <s v="Analytics"/>
    <n v="0"/>
    <s v="Startup"/>
    <s v="High Value"/>
    <s v="Yes"/>
    <s v="Yes"/>
    <x v="1"/>
    <x v="1"/>
    <s v="APACQ3"/>
    <n v="115500"/>
  </r>
  <r>
    <s v="TXN-100151"/>
    <d v="2024-10-15T00:00:00"/>
    <x v="66"/>
    <s v="SVC-01"/>
    <n v="687.24"/>
    <x v="0"/>
    <s v="Debit Card"/>
    <m/>
    <x v="3"/>
    <s v="Australia"/>
    <s v="L. Chen"/>
    <x v="0"/>
    <s v="Payments"/>
    <n v="2.9000000000000001E-2"/>
    <s v="Startup"/>
    <s v="High Value"/>
    <s v="Yes"/>
    <s v="Yes"/>
    <x v="1"/>
    <x v="2"/>
    <s v="APACQ4"/>
    <n v="126500"/>
  </r>
  <r>
    <s v="TXN-100667"/>
    <d v="2024-03-25T00:00:00"/>
    <x v="67"/>
    <s v="SVC-07"/>
    <n v="96.31"/>
    <x v="0"/>
    <s v="Wire Transfer"/>
    <s v="callback requested"/>
    <x v="3"/>
    <s v="Australia"/>
    <s v="Unassigned"/>
    <x v="7"/>
    <s v="Support"/>
    <n v="0"/>
    <s v="Startup"/>
    <s v="Standard"/>
    <s v="Yes"/>
    <s v="Yes"/>
    <x v="1"/>
    <x v="3"/>
    <s v="APACQ1"/>
    <n v="104500"/>
  </r>
  <r>
    <s v="TXN-100381"/>
    <d v="2024-07-03T00:00:00"/>
    <x v="68"/>
    <s v="SVC-01"/>
    <n v="352.99"/>
    <x v="0"/>
    <s v="Debit Card"/>
    <s v="callback requested"/>
    <x v="1"/>
    <s v="USA"/>
    <s v="R. Patel"/>
    <x v="0"/>
    <s v="Payments"/>
    <n v="2.9000000000000001E-2"/>
    <s v="SMB"/>
    <s v="Standard"/>
    <s v="Yes"/>
    <s v="Yes"/>
    <x v="0"/>
    <x v="1"/>
    <s v="NAQ3"/>
    <n v="273000"/>
  </r>
  <r>
    <s v="TXN-100493"/>
    <d v="2024-01-16T00:00:00"/>
    <x v="69"/>
    <s v="SVC-07"/>
    <n v="-582.88"/>
    <x v="2"/>
    <s v="ACH"/>
    <m/>
    <x v="1"/>
    <s v="Philippines"/>
    <s v="J. Reyes"/>
    <x v="7"/>
    <s v="Support"/>
    <n v="0"/>
    <s v="N/A"/>
    <s v="Refund"/>
    <s v="No"/>
    <s v="Yes"/>
    <x v="1"/>
    <x v="3"/>
    <s v="APACQ1"/>
    <n v="104500"/>
  </r>
  <r>
    <s v="TXN-100035"/>
    <d v="2024-05-11T00:00:00"/>
    <x v="70"/>
    <s v="SVC-07"/>
    <n v="731.91"/>
    <x v="1"/>
    <s v="Unknown"/>
    <m/>
    <x v="3"/>
    <s v="Singapore"/>
    <s v="A. Kim"/>
    <x v="7"/>
    <s v="Support"/>
    <n v="0"/>
    <s v="N/A"/>
    <s v="High Value"/>
    <s v="Yes"/>
    <s v="Yes"/>
    <x v="1"/>
    <x v="0"/>
    <s v="APACQ2"/>
    <n v="110000"/>
  </r>
  <r>
    <s v="TXN-102347"/>
    <d v="2024-04-16T00:00:00"/>
    <x v="71"/>
    <s v="SVC-05"/>
    <n v="104.29"/>
    <x v="0"/>
    <s v="ACH"/>
    <m/>
    <x v="1"/>
    <s v="United Kingdom"/>
    <s v="R. Patel"/>
    <x v="3"/>
    <s v="Analytics"/>
    <n v="0"/>
    <s v="SMB"/>
    <s v="Standard"/>
    <s v="Yes"/>
    <s v="Yes"/>
    <x v="2"/>
    <x v="0"/>
    <s v="EMEAQ2"/>
    <n v="140000"/>
  </r>
  <r>
    <s v="TXN-101938"/>
    <d v="2024-10-22T00:00:00"/>
    <x v="72"/>
    <s v="SVC-01"/>
    <n v="1160.24"/>
    <x v="0"/>
    <s v="Credit Card"/>
    <m/>
    <x v="1"/>
    <s v="United Kingdom"/>
    <s v="A. Kim"/>
    <x v="0"/>
    <s v="Payments"/>
    <n v="2.9000000000000001E-2"/>
    <s v="SMB"/>
    <s v="High Value"/>
    <s v="Yes"/>
    <s v="Yes"/>
    <x v="2"/>
    <x v="2"/>
    <s v="EMEAQ4"/>
    <n v="161000"/>
  </r>
  <r>
    <s v="TXN-101804"/>
    <d v="2024-03-03T00:00:00"/>
    <x v="73"/>
    <s v="SVC-01"/>
    <n v="572.66"/>
    <x v="0"/>
    <s v="Wire Transfer"/>
    <s v="callback requested"/>
    <x v="1"/>
    <s v="United Kingdom"/>
    <s v="R. Patel"/>
    <x v="0"/>
    <s v="Payments"/>
    <n v="2.9000000000000001E-2"/>
    <s v="SMB"/>
    <s v="High Value"/>
    <s v="Yes"/>
    <s v="Yes"/>
    <x v="2"/>
    <x v="3"/>
    <s v="EMEAQ1"/>
    <n v="133000"/>
  </r>
  <r>
    <s v="TXN-101694"/>
    <d v="2024-01-22T00:00:00"/>
    <x v="74"/>
    <s v="SVC-06"/>
    <n v="784.76"/>
    <x v="0"/>
    <s v="Wire Transfer"/>
    <m/>
    <x v="0"/>
    <s v="USA"/>
    <s v="A. Kim"/>
    <x v="4"/>
    <s v="Platform"/>
    <n v="0"/>
    <s v="Enterprise"/>
    <s v="High Value"/>
    <s v="Yes"/>
    <s v="Yes"/>
    <x v="0"/>
    <x v="3"/>
    <s v="NAQ1"/>
    <n v="247000"/>
  </r>
  <r>
    <s v="TXN-101321"/>
    <d v="2024-11-30T00:00:00"/>
    <x v="75"/>
    <s v="SVC-03"/>
    <n v="130.18"/>
    <x v="0"/>
    <s v="Credit Card"/>
    <m/>
    <x v="0"/>
    <s v="Canada"/>
    <s v="R. Patel"/>
    <x v="5"/>
    <s v="Billing"/>
    <n v="5.0000000000000001E-3"/>
    <s v="Enterprise"/>
    <s v="Standard"/>
    <s v="Yes"/>
    <s v="Yes"/>
    <x v="0"/>
    <x v="2"/>
    <s v="NAQ4"/>
    <n v="299000"/>
  </r>
  <r>
    <s v="TXN-102010"/>
    <d v="2024-03-09T00:00:00"/>
    <x v="76"/>
    <s v="SVC-06"/>
    <n v="319.45"/>
    <x v="0"/>
    <s v="ACH"/>
    <s v="callback requested"/>
    <x v="3"/>
    <s v="United Kingdom"/>
    <s v="R. Patel"/>
    <x v="4"/>
    <s v="Platform"/>
    <n v="0"/>
    <s v="Startup"/>
    <s v="High Value"/>
    <s v="Yes"/>
    <s v="Yes"/>
    <x v="2"/>
    <x v="3"/>
    <s v="EMEAQ1"/>
    <n v="133000"/>
  </r>
  <r>
    <s v="TXN-101524"/>
    <d v="2024-08-08T00:00:00"/>
    <x v="77"/>
    <s v="SVC-06"/>
    <n v="307.77"/>
    <x v="0"/>
    <s v="Wire Transfer"/>
    <s v="escalated to support"/>
    <x v="1"/>
    <s v="Australia"/>
    <s v="L. Chen"/>
    <x v="4"/>
    <s v="Platform"/>
    <n v="0"/>
    <s v="SMB"/>
    <s v="High Value"/>
    <s v="Yes"/>
    <s v="Yes"/>
    <x v="1"/>
    <x v="1"/>
    <s v="APACQ3"/>
    <n v="115500"/>
  </r>
  <r>
    <s v="TXN-100023"/>
    <d v="2024-06-17T00:00:00"/>
    <x v="78"/>
    <s v="SVC-05"/>
    <n v="133.33000000000001"/>
    <x v="3"/>
    <s v="Credit Card"/>
    <m/>
    <x v="1"/>
    <s v="USA"/>
    <s v="L. Chen"/>
    <x v="3"/>
    <s v="Analytics"/>
    <n v="0"/>
    <s v="N/A"/>
    <s v="Standard"/>
    <s v="Yes"/>
    <s v="Yes"/>
    <x v="0"/>
    <x v="0"/>
    <s v="NAQ2"/>
    <n v="260000"/>
  </r>
  <r>
    <s v="TXN-101715"/>
    <d v="2024-04-03T00:00:00"/>
    <x v="79"/>
    <s v="SVC-03"/>
    <n v="478.04"/>
    <x v="0"/>
    <s v="Credit Card"/>
    <s v="callback requested"/>
    <x v="3"/>
    <s v="USA"/>
    <s v="T. Novak"/>
    <x v="5"/>
    <s v="Billing"/>
    <n v="5.0000000000000001E-3"/>
    <s v="Startup"/>
    <s v="High Value"/>
    <s v="Yes"/>
    <s v="Yes"/>
    <x v="0"/>
    <x v="0"/>
    <s v="NAQ2"/>
    <n v="260000"/>
  </r>
  <r>
    <s v="TXN-102475"/>
    <d v="2024-08-07T00:00:00"/>
    <x v="30"/>
    <s v="SVC-05"/>
    <n v="482.05"/>
    <x v="0"/>
    <s v="Credit Card"/>
    <m/>
    <x v="1"/>
    <s v="Germany"/>
    <s v="M. Santos"/>
    <x v="3"/>
    <s v="Analytics"/>
    <n v="0"/>
    <s v="SMB"/>
    <s v="High Value"/>
    <s v="Yes"/>
    <s v="Yes"/>
    <x v="2"/>
    <x v="1"/>
    <s v="EMEAQ3"/>
    <n v="147000"/>
  </r>
  <r>
    <s v="TXN-101062"/>
    <d v="2024-03-02T00:00:00"/>
    <x v="43"/>
    <s v="SVC-04"/>
    <n v="367.05"/>
    <x v="0"/>
    <s v="Debit Card"/>
    <s v="callback requested"/>
    <x v="1"/>
    <s v="USA"/>
    <s v="M. Santos"/>
    <x v="2"/>
    <s v="Risk"/>
    <n v="1E-3"/>
    <s v="SMB"/>
    <s v="High Value"/>
    <s v="Yes"/>
    <s v="Yes"/>
    <x v="0"/>
    <x v="3"/>
    <s v="NAQ1"/>
    <n v="247000"/>
  </r>
  <r>
    <s v="TXN-100314"/>
    <d v="2024-03-01T00:00:00"/>
    <x v="45"/>
    <s v="SVC-03"/>
    <n v="721.99"/>
    <x v="0"/>
    <s v="Credit Card"/>
    <s v="VIP account"/>
    <x v="0"/>
    <s v="United Kingdom"/>
    <s v="R. Patel"/>
    <x v="5"/>
    <s v="Billing"/>
    <n v="5.0000000000000001E-3"/>
    <s v="Enterprise"/>
    <s v="High Value"/>
    <s v="Yes"/>
    <s v="Yes"/>
    <x v="2"/>
    <x v="3"/>
    <s v="EMEAQ1"/>
    <n v="133000"/>
  </r>
  <r>
    <s v="TXN-100106"/>
    <d v="2024-10-14T00:00:00"/>
    <x v="65"/>
    <s v="SVC-03"/>
    <n v="487.55"/>
    <x v="0"/>
    <s v="Wire Transfer"/>
    <m/>
    <x v="0"/>
    <s v="USA"/>
    <s v="A. Kim"/>
    <x v="5"/>
    <s v="Billing"/>
    <n v="5.0000000000000001E-3"/>
    <s v="Enterprise"/>
    <s v="High Value"/>
    <s v="Yes"/>
    <s v="Yes"/>
    <x v="0"/>
    <x v="2"/>
    <s v="NAQ4"/>
    <n v="299000"/>
  </r>
  <r>
    <s v="TXN-102172"/>
    <d v="2024-10-19T00:00:00"/>
    <x v="80"/>
    <s v="SVC-05"/>
    <n v="554.05999999999995"/>
    <x v="0"/>
    <s v="Debit Card"/>
    <s v="VIP account"/>
    <x v="1"/>
    <s v="Philippines"/>
    <s v="R. Patel"/>
    <x v="3"/>
    <s v="Analytics"/>
    <n v="0"/>
    <s v="SMB"/>
    <s v="High Value"/>
    <s v="Yes"/>
    <s v="Yes"/>
    <x v="1"/>
    <x v="2"/>
    <s v="APACQ4"/>
    <n v="126500"/>
  </r>
  <r>
    <s v="TXN-102526"/>
    <d v="2024-06-29T00:00:00"/>
    <x v="81"/>
    <s v="SVC-07"/>
    <n v="179.63"/>
    <x v="0"/>
    <s v="ACH"/>
    <s v="callback requested"/>
    <x v="3"/>
    <s v="Germany"/>
    <s v="R. Patel"/>
    <x v="7"/>
    <s v="Support"/>
    <n v="0"/>
    <s v="Startup"/>
    <s v="Standard"/>
    <s v="Yes"/>
    <s v="Yes"/>
    <x v="2"/>
    <x v="0"/>
    <s v="EMEAQ2"/>
    <n v="140000"/>
  </r>
  <r>
    <s v="TXN-100380"/>
    <d v="2024-07-05T00:00:00"/>
    <x v="48"/>
    <s v="SVC-04"/>
    <n v="444.87"/>
    <x v="3"/>
    <s v="ACH"/>
    <m/>
    <x v="1"/>
    <s v="Germany"/>
    <s v="J. Reyes"/>
    <x v="2"/>
    <s v="Risk"/>
    <n v="1E-3"/>
    <s v="N/A"/>
    <s v="High Value"/>
    <s v="Yes"/>
    <s v="No"/>
    <x v="2"/>
    <x v="1"/>
    <s v="EMEAQ3"/>
    <n v="147000"/>
  </r>
  <r>
    <s v="TXN-101023"/>
    <d v="2024-03-05T00:00:00"/>
    <x v="82"/>
    <s v="SVC-08"/>
    <n v="52.56"/>
    <x v="0"/>
    <s v="Credit Card"/>
    <m/>
    <x v="1"/>
    <s v="USA"/>
    <s v="T. Novak"/>
    <x v="1"/>
    <s v="Risk"/>
    <n v="2.5000000000000001E-3"/>
    <s v="SMB"/>
    <s v="Standard"/>
    <s v="Yes"/>
    <s v="Yes"/>
    <x v="0"/>
    <x v="3"/>
    <s v="NAQ1"/>
    <n v="247000"/>
  </r>
  <r>
    <s v="TXN-102579"/>
    <d v="2024-08-18T00:00:00"/>
    <x v="58"/>
    <s v="SVC-05"/>
    <n v="607.64"/>
    <x v="0"/>
    <s v="ACH"/>
    <s v="escalated to support"/>
    <x v="1"/>
    <s v="Canada"/>
    <s v="M. Santos"/>
    <x v="3"/>
    <s v="Analytics"/>
    <n v="0"/>
    <s v="SMB"/>
    <s v="High Value"/>
    <s v="Yes"/>
    <s v="No"/>
    <x v="0"/>
    <x v="1"/>
    <s v="NAQ3"/>
    <n v="273000"/>
  </r>
  <r>
    <s v="TXN-102483"/>
    <d v="2024-12-17T00:00:00"/>
    <x v="26"/>
    <s v="SVC-04"/>
    <n v="381.08"/>
    <x v="0"/>
    <s v="Credit Card"/>
    <m/>
    <x v="3"/>
    <s v="USA"/>
    <s v="R. Patel"/>
    <x v="2"/>
    <s v="Risk"/>
    <n v="1E-3"/>
    <s v="Startup"/>
    <s v="High Value"/>
    <s v="Yes"/>
    <s v="Yes"/>
    <x v="0"/>
    <x v="2"/>
    <s v="NAQ4"/>
    <n v="299000"/>
  </r>
  <r>
    <s v="TXN-102398"/>
    <d v="2024-08-31T00:00:00"/>
    <x v="83"/>
    <s v="SVC-02"/>
    <n v="599.82000000000005"/>
    <x v="1"/>
    <s v="Debit Card"/>
    <s v="VIP account"/>
    <x v="1"/>
    <s v="Canada"/>
    <s v="L. Chen"/>
    <x v="6"/>
    <s v="HR &amp; Payroll"/>
    <n v="0"/>
    <s v="N/A"/>
    <s v="High Value"/>
    <s v="Yes"/>
    <s v="Yes"/>
    <x v="0"/>
    <x v="1"/>
    <s v="NAQ3"/>
    <n v="273000"/>
  </r>
  <r>
    <s v="TXN-100148"/>
    <d v="2024-03-01T00:00:00"/>
    <x v="84"/>
    <s v="SVC-01"/>
    <n v="277.20999999999998"/>
    <x v="0"/>
    <s v="Wire Transfer"/>
    <s v="escalated to support"/>
    <x v="3"/>
    <s v="Singapore"/>
    <s v="T. Novak"/>
    <x v="0"/>
    <s v="Payments"/>
    <n v="2.9000000000000001E-2"/>
    <s v="Startup"/>
    <s v="Standard"/>
    <s v="No"/>
    <s v="Yes"/>
    <x v="1"/>
    <x v="3"/>
    <s v="APACQ1"/>
    <n v="104500"/>
  </r>
  <r>
    <s v="TXN-101899"/>
    <d v="2024-05-17T00:00:00"/>
    <x v="66"/>
    <s v="SVC-06"/>
    <n v="514.05999999999995"/>
    <x v="0"/>
    <s v="Credit Card"/>
    <m/>
    <x v="3"/>
    <s v="Australia"/>
    <s v="L. Chen"/>
    <x v="4"/>
    <s v="Platform"/>
    <n v="0"/>
    <s v="Startup"/>
    <s v="High Value"/>
    <s v="Yes"/>
    <s v="Yes"/>
    <x v="1"/>
    <x v="0"/>
    <s v="APACQ2"/>
    <n v="110000"/>
  </r>
  <r>
    <s v="TXN-100205"/>
    <d v="2024-06-24T00:00:00"/>
    <x v="38"/>
    <s v="SVC-01"/>
    <n v="123.32"/>
    <x v="0"/>
    <s v="ACH"/>
    <s v="escalated to support"/>
    <x v="0"/>
    <s v="Australia"/>
    <s v="A. Kim"/>
    <x v="0"/>
    <s v="Payments"/>
    <n v="2.9000000000000001E-2"/>
    <s v="Enterprise"/>
    <s v="Standard"/>
    <s v="No"/>
    <s v="Yes"/>
    <x v="1"/>
    <x v="0"/>
    <s v="APACQ2"/>
    <n v="110000"/>
  </r>
  <r>
    <s v="TXN-102166"/>
    <d v="2024-08-25T00:00:00"/>
    <x v="7"/>
    <s v="SVC-04"/>
    <n v="310.75"/>
    <x v="0"/>
    <s v="ACH"/>
    <s v="escalated to support"/>
    <x v="1"/>
    <s v="USA"/>
    <s v="T. Novak"/>
    <x v="2"/>
    <s v="Risk"/>
    <n v="1E-3"/>
    <s v="SMB"/>
    <s v="High Value"/>
    <s v="Yes"/>
    <s v="Yes"/>
    <x v="0"/>
    <x v="1"/>
    <s v="NAQ3"/>
    <n v="273000"/>
  </r>
  <r>
    <s v="TXN-100983"/>
    <d v="2024-02-23T00:00:00"/>
    <x v="85"/>
    <s v="SVC-02"/>
    <n v="408.86"/>
    <x v="0"/>
    <s v="Credit Card"/>
    <m/>
    <x v="0"/>
    <s v="Canada"/>
    <s v="T. Novak"/>
    <x v="6"/>
    <s v="HR &amp; Payroll"/>
    <n v="0"/>
    <s v="Enterprise"/>
    <s v="High Value"/>
    <s v="Yes"/>
    <s v="Yes"/>
    <x v="0"/>
    <x v="3"/>
    <s v="NAQ1"/>
    <n v="247000"/>
  </r>
  <r>
    <s v="TXN-101897"/>
    <d v="2024-07-16T00:00:00"/>
    <x v="59"/>
    <s v="SVC-05"/>
    <n v="137.99"/>
    <x v="3"/>
    <s v="Credit Card"/>
    <m/>
    <x v="1"/>
    <s v="USA"/>
    <s v="R. Patel"/>
    <x v="3"/>
    <s v="Analytics"/>
    <n v="0"/>
    <s v="N/A"/>
    <s v="Standard"/>
    <s v="Yes"/>
    <s v="Yes"/>
    <x v="0"/>
    <x v="1"/>
    <s v="NAQ3"/>
    <n v="273000"/>
  </r>
  <r>
    <s v="TXN-100210"/>
    <d v="2024-10-29T00:00:00"/>
    <x v="80"/>
    <s v="SVC-07"/>
    <n v="385.12"/>
    <x v="0"/>
    <s v="ACH"/>
    <m/>
    <x v="1"/>
    <s v="Philippines"/>
    <s v="R. Patel"/>
    <x v="7"/>
    <s v="Support"/>
    <n v="0"/>
    <s v="SMB"/>
    <s v="High Value"/>
    <s v="Yes"/>
    <s v="Yes"/>
    <x v="1"/>
    <x v="2"/>
    <s v="APACQ4"/>
    <n v="126500"/>
  </r>
  <r>
    <s v="TXN-102207"/>
    <d v="2024-03-14T00:00:00"/>
    <x v="60"/>
    <s v="SVC-01"/>
    <n v="457.96"/>
    <x v="0"/>
    <s v="ACH"/>
    <s v="VIP account"/>
    <x v="1"/>
    <s v="Australia"/>
    <s v="J. Reyes"/>
    <x v="0"/>
    <s v="Payments"/>
    <n v="2.9000000000000001E-2"/>
    <s v="SMB"/>
    <s v="Standard"/>
    <s v="Yes"/>
    <s v="No"/>
    <x v="1"/>
    <x v="3"/>
    <s v="APACQ1"/>
    <n v="104500"/>
  </r>
  <r>
    <s v="TXN-100403"/>
    <d v="2024-01-04T00:00:00"/>
    <x v="86"/>
    <s v="SVC-05"/>
    <n v="143.56"/>
    <x v="0"/>
    <s v="ACH"/>
    <s v="escalated to support"/>
    <x v="1"/>
    <s v="Canada"/>
    <s v="L. Chen"/>
    <x v="3"/>
    <s v="Analytics"/>
    <n v="0"/>
    <s v="SMB"/>
    <s v="Standard"/>
    <s v="Yes"/>
    <s v="Yes"/>
    <x v="0"/>
    <x v="3"/>
    <s v="NAQ1"/>
    <n v="247000"/>
  </r>
  <r>
    <s v="TXN-101128"/>
    <d v="2024-06-24T00:00:00"/>
    <x v="52"/>
    <s v="SVC-02"/>
    <n v="340.87"/>
    <x v="0"/>
    <s v="ACH"/>
    <s v="VIP account"/>
    <x v="1"/>
    <s v="USA"/>
    <s v="M. Santos"/>
    <x v="6"/>
    <s v="HR &amp; Payroll"/>
    <n v="0"/>
    <s v="SMB"/>
    <s v="High Value"/>
    <s v="Yes"/>
    <s v="No"/>
    <x v="0"/>
    <x v="0"/>
    <s v="NAQ2"/>
    <n v="260000"/>
  </r>
  <r>
    <s v="TXN-101177"/>
    <d v="2024-11-08T00:00:00"/>
    <x v="22"/>
    <s v="SVC-03"/>
    <n v="572.64"/>
    <x v="0"/>
    <s v="Credit Card"/>
    <m/>
    <x v="0"/>
    <s v="Australia"/>
    <s v="M. Santos"/>
    <x v="5"/>
    <s v="Billing"/>
    <n v="5.0000000000000001E-3"/>
    <s v="Enterprise"/>
    <s v="High Value"/>
    <s v="Yes"/>
    <s v="Yes"/>
    <x v="1"/>
    <x v="2"/>
    <s v="APACQ4"/>
    <n v="126500"/>
  </r>
  <r>
    <s v="TXN-100741"/>
    <d v="2024-07-18T00:00:00"/>
    <x v="45"/>
    <s v="SVC-05"/>
    <n v="-387.59"/>
    <x v="2"/>
    <s v="Wire Transfer"/>
    <s v="escalated to support"/>
    <x v="0"/>
    <s v="United Kingdom"/>
    <s v="R. Patel"/>
    <x v="3"/>
    <s v="Analytics"/>
    <n v="0"/>
    <s v="N/A"/>
    <s v="Refund"/>
    <s v="No"/>
    <s v="Yes"/>
    <x v="2"/>
    <x v="1"/>
    <s v="EMEAQ3"/>
    <n v="147000"/>
  </r>
  <r>
    <s v="TXN-101912"/>
    <d v="2024-12-25T00:00:00"/>
    <x v="87"/>
    <s v="SVC-03"/>
    <n v="213.24"/>
    <x v="0"/>
    <s v="ACH"/>
    <s v="callback requested"/>
    <x v="1"/>
    <s v="United Kingdom"/>
    <s v="J. Reyes"/>
    <x v="5"/>
    <s v="Billing"/>
    <n v="5.0000000000000001E-3"/>
    <s v="SMB"/>
    <s v="Standard"/>
    <s v="Yes"/>
    <s v="Yes"/>
    <x v="2"/>
    <x v="2"/>
    <s v="EMEAQ4"/>
    <n v="161000"/>
  </r>
  <r>
    <s v="TXN-102062"/>
    <d v="2024-06-07T00:00:00"/>
    <x v="19"/>
    <s v="SVC-04"/>
    <n v="362.5"/>
    <x v="1"/>
    <s v="Debit Card"/>
    <s v="callback requested"/>
    <x v="0"/>
    <s v="Canada"/>
    <s v="M. Santos"/>
    <x v="2"/>
    <s v="Risk"/>
    <n v="1E-3"/>
    <s v="N/A"/>
    <s v="High Value"/>
    <s v="Yes"/>
    <s v="Yes"/>
    <x v="0"/>
    <x v="0"/>
    <s v="NAQ2"/>
    <n v="260000"/>
  </r>
  <r>
    <s v="TXN-101417"/>
    <d v="2024-08-13T00:00:00"/>
    <x v="41"/>
    <s v="SVC-01"/>
    <n v="142.56"/>
    <x v="0"/>
    <s v="Credit Card"/>
    <s v="VIP account"/>
    <x v="0"/>
    <s v="Canada"/>
    <s v="M. Santos"/>
    <x v="0"/>
    <s v="Payments"/>
    <n v="2.9000000000000001E-2"/>
    <s v="Enterprise"/>
    <s v="Standard"/>
    <s v="No"/>
    <s v="Yes"/>
    <x v="0"/>
    <x v="1"/>
    <s v="NAQ3"/>
    <n v="273000"/>
  </r>
  <r>
    <s v="TXN-102609"/>
    <d v="2024-06-12T00:00:00"/>
    <x v="88"/>
    <s v="SVC-03"/>
    <n v="379.82"/>
    <x v="0"/>
    <s v="Wire Transfer"/>
    <m/>
    <x v="2"/>
    <m/>
    <m/>
    <x v="5"/>
    <s v="Billing"/>
    <n v="5.0000000000000001E-3"/>
    <s v="Customer Not Found"/>
    <s v="High Value"/>
    <s v="Yes"/>
    <s v="Yes"/>
    <x v="1"/>
    <x v="0"/>
    <s v="APACQ2"/>
    <n v="110000"/>
  </r>
  <r>
    <s v="TXN-100593"/>
    <d v="2024-10-24T00:00:00"/>
    <x v="26"/>
    <s v="SVC-03"/>
    <n v="400.16"/>
    <x v="0"/>
    <s v="Debit Card"/>
    <s v="VIP account"/>
    <x v="3"/>
    <s v="USA"/>
    <s v="R. Patel"/>
    <x v="5"/>
    <s v="Billing"/>
    <n v="5.0000000000000001E-3"/>
    <s v="Startup"/>
    <s v="High Value"/>
    <s v="Yes"/>
    <s v="Yes"/>
    <x v="0"/>
    <x v="2"/>
    <s v="NAQ4"/>
    <n v="299000"/>
  </r>
  <r>
    <s v="TXN-101245"/>
    <d v="2024-06-03T00:00:00"/>
    <x v="57"/>
    <s v="SVC-01"/>
    <n v="75.040000000000006"/>
    <x v="0"/>
    <s v="Wire Transfer"/>
    <s v="callback requested"/>
    <x v="1"/>
    <s v="USA"/>
    <s v="L. Chen"/>
    <x v="0"/>
    <s v="Payments"/>
    <n v="2.9000000000000001E-2"/>
    <s v="SMB"/>
    <s v="Standard"/>
    <s v="No"/>
    <s v="Yes"/>
    <x v="0"/>
    <x v="0"/>
    <s v="NAQ2"/>
    <n v="260000"/>
  </r>
  <r>
    <s v="TXN-102175"/>
    <d v="2024-03-30T00:00:00"/>
    <x v="64"/>
    <s v="SVC-03"/>
    <n v="324.45999999999998"/>
    <x v="3"/>
    <s v="Credit Card"/>
    <m/>
    <x v="1"/>
    <s v="United Kingdom"/>
    <s v="J. Reyes"/>
    <x v="5"/>
    <s v="Billing"/>
    <n v="5.0000000000000001E-3"/>
    <s v="N/A"/>
    <s v="High Value"/>
    <s v="Yes"/>
    <s v="Yes"/>
    <x v="2"/>
    <x v="3"/>
    <s v="EMEAQ1"/>
    <n v="133000"/>
  </r>
  <r>
    <s v="TXN-100203"/>
    <d v="2024-02-13T00:00:00"/>
    <x v="89"/>
    <s v="SVC-08"/>
    <n v="454.77"/>
    <x v="0"/>
    <s v="ACH"/>
    <m/>
    <x v="0"/>
    <s v="USA"/>
    <s v="A. Kim"/>
    <x v="1"/>
    <s v="Risk"/>
    <n v="2.5000000000000001E-3"/>
    <s v="Enterprise"/>
    <s v="High Value"/>
    <s v="Yes"/>
    <s v="Yes"/>
    <x v="0"/>
    <x v="3"/>
    <s v="NAQ1"/>
    <n v="247000"/>
  </r>
  <r>
    <s v="TXN-101264"/>
    <d v="2024-12-23T00:00:00"/>
    <x v="65"/>
    <s v="SVC-01"/>
    <n v="817.6"/>
    <x v="0"/>
    <s v="Credit Card"/>
    <s v="escalated to support"/>
    <x v="0"/>
    <s v="USA"/>
    <s v="A. Kim"/>
    <x v="0"/>
    <s v="Payments"/>
    <n v="2.9000000000000001E-2"/>
    <s v="Enterprise"/>
    <s v="High Value"/>
    <s v="Yes"/>
    <s v="No"/>
    <x v="0"/>
    <x v="2"/>
    <s v="NAQ4"/>
    <n v="299000"/>
  </r>
  <r>
    <s v="TXN-100861"/>
    <d v="2024-12-26T00:00:00"/>
    <x v="90"/>
    <s v="SVC-03"/>
    <n v="-1116.3699999999999"/>
    <x v="2"/>
    <s v="Credit Card"/>
    <m/>
    <x v="1"/>
    <s v="USA"/>
    <s v="A. Kim"/>
    <x v="5"/>
    <s v="Billing"/>
    <n v="5.0000000000000001E-3"/>
    <s v="N/A"/>
    <s v="Refund"/>
    <s v="No"/>
    <s v="Yes"/>
    <x v="0"/>
    <x v="2"/>
    <s v="NAQ4"/>
    <n v="299000"/>
  </r>
  <r>
    <s v="TXN-100461"/>
    <d v="2024-07-05T00:00:00"/>
    <x v="91"/>
    <s v="SVC-04"/>
    <n v="313.69"/>
    <x v="0"/>
    <s v="Wire Transfer"/>
    <s v="escalated to support"/>
    <x v="1"/>
    <s v="Singapore"/>
    <s v="A. Kim"/>
    <x v="2"/>
    <s v="Risk"/>
    <n v="1E-3"/>
    <s v="SMB"/>
    <s v="High Value"/>
    <s v="Yes"/>
    <s v="Yes"/>
    <x v="1"/>
    <x v="1"/>
    <s v="APACQ3"/>
    <n v="115500"/>
  </r>
  <r>
    <s v="TXN-102374"/>
    <d v="2024-03-14T00:00:00"/>
    <x v="8"/>
    <s v="SVC-08"/>
    <n v="280.88"/>
    <x v="0"/>
    <s v="Credit Card"/>
    <m/>
    <x v="1"/>
    <s v="USA"/>
    <s v="M. Santos"/>
    <x v="1"/>
    <s v="Risk"/>
    <n v="2.5000000000000001E-3"/>
    <s v="SMB"/>
    <s v="High Value"/>
    <s v="Yes"/>
    <s v="Yes"/>
    <x v="0"/>
    <x v="3"/>
    <s v="NAQ1"/>
    <n v="247000"/>
  </r>
  <r>
    <s v="TXN-100301"/>
    <d v="2024-05-07T00:00:00"/>
    <x v="92"/>
    <s v="SVC-07"/>
    <n v="195.57"/>
    <x v="0"/>
    <s v="Credit Card"/>
    <m/>
    <x v="1"/>
    <s v="Canada"/>
    <s v="R. Patel"/>
    <x v="7"/>
    <s v="Support"/>
    <n v="0"/>
    <s v="SMB"/>
    <s v="Standard"/>
    <s v="Yes"/>
    <s v="Yes"/>
    <x v="0"/>
    <x v="0"/>
    <s v="NAQ2"/>
    <n v="260000"/>
  </r>
  <r>
    <s v="TXN-102330"/>
    <d v="2024-10-23T00:00:00"/>
    <x v="35"/>
    <s v="SVC-07"/>
    <n v="246.48"/>
    <x v="0"/>
    <s v="Debit Card"/>
    <m/>
    <x v="3"/>
    <s v="Philippines"/>
    <s v="R. Patel"/>
    <x v="7"/>
    <s v="Support"/>
    <n v="0"/>
    <s v="Startup"/>
    <s v="Standard"/>
    <s v="Yes"/>
    <s v="Yes"/>
    <x v="1"/>
    <x v="2"/>
    <s v="APACQ4"/>
    <n v="126500"/>
  </r>
  <r>
    <s v="TXN-101093"/>
    <d v="2024-08-11T00:00:00"/>
    <x v="39"/>
    <s v="SVC-06"/>
    <n v="829"/>
    <x v="0"/>
    <s v="Wire Transfer"/>
    <s v="VIP account"/>
    <x v="1"/>
    <s v="United Kingdom"/>
    <s v="A. Kim"/>
    <x v="4"/>
    <s v="Platform"/>
    <n v="0"/>
    <s v="SMB"/>
    <s v="High Value"/>
    <s v="Yes"/>
    <s v="No"/>
    <x v="2"/>
    <x v="1"/>
    <s v="EMEAQ3"/>
    <n v="147000"/>
  </r>
  <r>
    <s v="TXN-102507"/>
    <d v="2024-01-20T00:00:00"/>
    <x v="93"/>
    <s v="SVC-05"/>
    <n v="749.52"/>
    <x v="0"/>
    <s v="ACH"/>
    <m/>
    <x v="1"/>
    <s v="Philippines"/>
    <s v="J. Reyes"/>
    <x v="3"/>
    <s v="Analytics"/>
    <n v="0"/>
    <s v="SMB"/>
    <s v="High Value"/>
    <s v="Yes"/>
    <s v="Yes"/>
    <x v="1"/>
    <x v="3"/>
    <s v="APACQ1"/>
    <n v="104500"/>
  </r>
  <r>
    <s v="TXN-100819"/>
    <d v="2024-03-07T00:00:00"/>
    <x v="94"/>
    <s v="SVC-01"/>
    <n v="137.43"/>
    <x v="3"/>
    <s v="Credit Card"/>
    <m/>
    <x v="1"/>
    <s v="United Kingdom"/>
    <s v="L. Chen"/>
    <x v="0"/>
    <s v="Payments"/>
    <n v="2.9000000000000001E-2"/>
    <s v="N/A"/>
    <s v="Standard"/>
    <s v="No"/>
    <s v="Yes"/>
    <x v="2"/>
    <x v="3"/>
    <s v="EMEAQ1"/>
    <n v="133000"/>
  </r>
  <r>
    <s v="TXN-101150"/>
    <d v="2024-05-30T00:00:00"/>
    <x v="74"/>
    <s v="SVC-03"/>
    <n v="463.78"/>
    <x v="0"/>
    <s v="ACH"/>
    <m/>
    <x v="0"/>
    <s v="USA"/>
    <s v="A. Kim"/>
    <x v="5"/>
    <s v="Billing"/>
    <n v="5.0000000000000001E-3"/>
    <s v="Enterprise"/>
    <s v="High Value"/>
    <s v="Yes"/>
    <s v="Yes"/>
    <x v="0"/>
    <x v="0"/>
    <s v="NAQ2"/>
    <n v="260000"/>
  </r>
  <r>
    <s v="TXN-100130"/>
    <d v="2024-11-18T00:00:00"/>
    <x v="95"/>
    <s v="SVC-01"/>
    <n v="701.31"/>
    <x v="0"/>
    <s v="Credit Card"/>
    <s v="escalated to support"/>
    <x v="1"/>
    <s v="USA"/>
    <s v="R. Patel"/>
    <x v="0"/>
    <s v="Payments"/>
    <n v="2.9000000000000001E-2"/>
    <s v="SMB"/>
    <s v="High Value"/>
    <s v="Yes"/>
    <s v="Yes"/>
    <x v="0"/>
    <x v="2"/>
    <s v="NAQ4"/>
    <n v="299000"/>
  </r>
  <r>
    <s v="TXN-102460"/>
    <d v="2024-10-05T00:00:00"/>
    <x v="74"/>
    <s v="SVC-07"/>
    <n v="221.06"/>
    <x v="0"/>
    <s v="ACH"/>
    <s v="escalated to support"/>
    <x v="0"/>
    <s v="USA"/>
    <s v="A. Kim"/>
    <x v="7"/>
    <s v="Support"/>
    <n v="0"/>
    <s v="Enterprise"/>
    <s v="Standard"/>
    <s v="Yes"/>
    <s v="Yes"/>
    <x v="0"/>
    <x v="2"/>
    <s v="NAQ4"/>
    <n v="299000"/>
  </r>
  <r>
    <s v="TXN-102178"/>
    <d v="2024-12-17T00:00:00"/>
    <x v="31"/>
    <s v="SVC-02"/>
    <n v="525.82000000000005"/>
    <x v="0"/>
    <s v="Debit Card"/>
    <s v="callback requested"/>
    <x v="0"/>
    <s v="Philippines"/>
    <s v="M. Santos"/>
    <x v="6"/>
    <s v="HR &amp; Payroll"/>
    <n v="0"/>
    <s v="Enterprise"/>
    <s v="High Value"/>
    <s v="Yes"/>
    <s v="Yes"/>
    <x v="1"/>
    <x v="2"/>
    <s v="APACQ4"/>
    <n v="126500"/>
  </r>
  <r>
    <s v="TXN-101816"/>
    <d v="2024-02-28T00:00:00"/>
    <x v="65"/>
    <s v="SVC-01"/>
    <n v="673.25"/>
    <x v="0"/>
    <s v="ACH"/>
    <m/>
    <x v="0"/>
    <s v="USA"/>
    <s v="A. Kim"/>
    <x v="0"/>
    <s v="Payments"/>
    <n v="2.9000000000000001E-2"/>
    <s v="Enterprise"/>
    <s v="High Value"/>
    <s v="Yes"/>
    <s v="No"/>
    <x v="0"/>
    <x v="3"/>
    <s v="NAQ1"/>
    <n v="247000"/>
  </r>
  <r>
    <s v="TXN-101865"/>
    <d v="2024-08-03T00:00:00"/>
    <x v="10"/>
    <s v="SVC-07"/>
    <n v="157.28"/>
    <x v="0"/>
    <s v="Credit Card"/>
    <s v="callback requested"/>
    <x v="1"/>
    <s v="USA"/>
    <s v="T. Novak"/>
    <x v="7"/>
    <s v="Support"/>
    <n v="0"/>
    <s v="SMB"/>
    <s v="Standard"/>
    <s v="Yes"/>
    <s v="No"/>
    <x v="0"/>
    <x v="1"/>
    <s v="NAQ3"/>
    <n v="273000"/>
  </r>
  <r>
    <s v="TXN-101284"/>
    <d v="2024-12-31T00:00:00"/>
    <x v="52"/>
    <s v="SVC-04"/>
    <n v="511.69"/>
    <x v="0"/>
    <s v="ACH"/>
    <s v="escalated to support"/>
    <x v="1"/>
    <s v="USA"/>
    <s v="M. Santos"/>
    <x v="2"/>
    <s v="Risk"/>
    <n v="1E-3"/>
    <s v="SMB"/>
    <s v="High Value"/>
    <s v="Yes"/>
    <s v="Yes"/>
    <x v="0"/>
    <x v="2"/>
    <s v="NAQ4"/>
    <n v="299000"/>
  </r>
  <r>
    <s v="TXN-100711"/>
    <d v="2024-05-15T00:00:00"/>
    <x v="96"/>
    <s v="SVC-04"/>
    <n v="64.36"/>
    <x v="0"/>
    <s v="ACH"/>
    <s v="escalated to support"/>
    <x v="1"/>
    <s v="Philippines"/>
    <s v="A. Kim"/>
    <x v="2"/>
    <s v="Risk"/>
    <n v="1E-3"/>
    <s v="SMB"/>
    <s v="Standard"/>
    <s v="Yes"/>
    <s v="Yes"/>
    <x v="1"/>
    <x v="0"/>
    <s v="APACQ2"/>
    <n v="110000"/>
  </r>
  <r>
    <s v="TXN-100447"/>
    <d v="2024-01-10T00:00:00"/>
    <x v="6"/>
    <s v="SVC-01"/>
    <n v="578.65"/>
    <x v="0"/>
    <s v="ACH"/>
    <m/>
    <x v="0"/>
    <s v="United Kingdom"/>
    <s v="R. Patel"/>
    <x v="0"/>
    <s v="Payments"/>
    <n v="2.9000000000000001E-2"/>
    <s v="Enterprise"/>
    <s v="High Value"/>
    <s v="Yes"/>
    <s v="No"/>
    <x v="2"/>
    <x v="3"/>
    <s v="EMEAQ1"/>
    <n v="133000"/>
  </r>
  <r>
    <s v="TXN-101618"/>
    <d v="2024-07-31T00:00:00"/>
    <x v="12"/>
    <s v="SVC-05"/>
    <n v="264.66000000000003"/>
    <x v="0"/>
    <s v="Wire Transfer"/>
    <m/>
    <x v="1"/>
    <s v="Canada"/>
    <s v="R. Patel"/>
    <x v="3"/>
    <s v="Analytics"/>
    <n v="0"/>
    <s v="SMB"/>
    <s v="High Value"/>
    <s v="Yes"/>
    <s v="Yes"/>
    <x v="0"/>
    <x v="1"/>
    <s v="NAQ3"/>
    <n v="273000"/>
  </r>
  <r>
    <s v="TXN-100330"/>
    <d v="2024-11-25T00:00:00"/>
    <x v="34"/>
    <s v="SVC-07"/>
    <n v="60.89"/>
    <x v="0"/>
    <s v="ACH"/>
    <s v="callback requested"/>
    <x v="1"/>
    <s v="Germany"/>
    <s v="M. Santos"/>
    <x v="7"/>
    <s v="Support"/>
    <n v="0"/>
    <s v="SMB"/>
    <s v="Standard"/>
    <s v="Yes"/>
    <s v="Yes"/>
    <x v="2"/>
    <x v="2"/>
    <s v="EMEAQ4"/>
    <n v="161000"/>
  </r>
  <r>
    <s v="TXN-101276"/>
    <d v="2024-11-04T00:00:00"/>
    <x v="36"/>
    <s v="SVC-01"/>
    <n v="88.17"/>
    <x v="0"/>
    <s v="ACH"/>
    <s v="callback requested"/>
    <x v="1"/>
    <s v="USA"/>
    <s v="M. Santos"/>
    <x v="0"/>
    <s v="Payments"/>
    <n v="2.9000000000000001E-2"/>
    <s v="SMB"/>
    <s v="Standard"/>
    <s v="No"/>
    <s v="No"/>
    <x v="0"/>
    <x v="2"/>
    <s v="NAQ4"/>
    <n v="299000"/>
  </r>
  <r>
    <s v="TXN-101616"/>
    <d v="2024-07-18T00:00:00"/>
    <x v="84"/>
    <s v="SVC-08"/>
    <n v="289.79000000000002"/>
    <x v="0"/>
    <s v="Credit Card"/>
    <m/>
    <x v="3"/>
    <s v="Singapore"/>
    <s v="T. Novak"/>
    <x v="1"/>
    <s v="Risk"/>
    <n v="2.5000000000000001E-3"/>
    <s v="Startup"/>
    <s v="High Value"/>
    <s v="Yes"/>
    <s v="Yes"/>
    <x v="1"/>
    <x v="1"/>
    <s v="APACQ3"/>
    <n v="115500"/>
  </r>
  <r>
    <s v="TXN-100359"/>
    <d v="2024-10-06T00:00:00"/>
    <x v="52"/>
    <s v="SVC-06"/>
    <n v="528.73"/>
    <x v="0"/>
    <s v="Wire Transfer"/>
    <m/>
    <x v="1"/>
    <s v="USA"/>
    <s v="M. Santos"/>
    <x v="4"/>
    <s v="Platform"/>
    <n v="0"/>
    <s v="SMB"/>
    <s v="High Value"/>
    <s v="Yes"/>
    <s v="Yes"/>
    <x v="0"/>
    <x v="2"/>
    <s v="NAQ4"/>
    <n v="299000"/>
  </r>
  <r>
    <s v="TXN-100923"/>
    <d v="2024-11-14T00:00:00"/>
    <x v="0"/>
    <s v="SVC-01"/>
    <n v="731.49"/>
    <x v="0"/>
    <s v="ACH"/>
    <s v="escalated to support"/>
    <x v="0"/>
    <s v="USA"/>
    <s v="J. Reyes"/>
    <x v="0"/>
    <s v="Payments"/>
    <n v="2.9000000000000001E-2"/>
    <s v="Enterprise"/>
    <s v="High Value"/>
    <s v="Yes"/>
    <s v="No"/>
    <x v="0"/>
    <x v="2"/>
    <s v="NAQ4"/>
    <n v="299000"/>
  </r>
  <r>
    <s v="TXN-102029"/>
    <d v="2024-12-15T00:00:00"/>
    <x v="97"/>
    <s v="SVC-03"/>
    <n v="391.91"/>
    <x v="0"/>
    <s v="Credit Card"/>
    <m/>
    <x v="0"/>
    <s v="United Kingdom"/>
    <s v="L. Chen"/>
    <x v="5"/>
    <s v="Billing"/>
    <n v="5.0000000000000001E-3"/>
    <s v="Enterprise"/>
    <s v="High Value"/>
    <s v="Yes"/>
    <s v="Yes"/>
    <x v="2"/>
    <x v="2"/>
    <s v="EMEAQ4"/>
    <n v="161000"/>
  </r>
  <r>
    <s v="TXN-100889"/>
    <d v="2024-01-30T00:00:00"/>
    <x v="24"/>
    <s v="SVC-02"/>
    <n v="-640.55999999999995"/>
    <x v="2"/>
    <s v="Debit Card"/>
    <m/>
    <x v="1"/>
    <s v="USA"/>
    <s v="M. Santos"/>
    <x v="6"/>
    <s v="HR &amp; Payroll"/>
    <n v="0"/>
    <s v="N/A"/>
    <s v="Refund"/>
    <s v="No"/>
    <s v="No"/>
    <x v="0"/>
    <x v="3"/>
    <s v="NAQ1"/>
    <n v="247000"/>
  </r>
  <r>
    <s v="TXN-100726"/>
    <d v="2024-01-25T00:00:00"/>
    <x v="98"/>
    <s v="SVC-01"/>
    <n v="609.30999999999995"/>
    <x v="0"/>
    <s v="Credit Card"/>
    <s v="VIP account"/>
    <x v="1"/>
    <s v="Philippines"/>
    <s v="T. Novak"/>
    <x v="0"/>
    <s v="Payments"/>
    <n v="2.9000000000000001E-2"/>
    <s v="SMB"/>
    <s v="High Value"/>
    <s v="Yes"/>
    <s v="Yes"/>
    <x v="1"/>
    <x v="3"/>
    <s v="APACQ1"/>
    <n v="104500"/>
  </r>
  <r>
    <s v="TXN-101079"/>
    <d v="2024-03-16T00:00:00"/>
    <x v="14"/>
    <s v="SVC-01"/>
    <n v="193.6"/>
    <x v="0"/>
    <s v="Debit Card"/>
    <m/>
    <x v="3"/>
    <s v="Canada"/>
    <s v="A. Kim"/>
    <x v="0"/>
    <s v="Payments"/>
    <n v="2.9000000000000001E-2"/>
    <s v="Startup"/>
    <s v="Standard"/>
    <s v="No"/>
    <s v="No"/>
    <x v="0"/>
    <x v="3"/>
    <s v="NAQ1"/>
    <n v="247000"/>
  </r>
  <r>
    <s v="TXN-102243"/>
    <d v="2024-09-27T00:00:00"/>
    <x v="61"/>
    <s v="SVC-04"/>
    <n v="363"/>
    <x v="1"/>
    <s v="Debit Card"/>
    <m/>
    <x v="1"/>
    <s v="Australia"/>
    <s v="M. Santos"/>
    <x v="2"/>
    <s v="Risk"/>
    <n v="1E-3"/>
    <s v="N/A"/>
    <s v="High Value"/>
    <s v="Yes"/>
    <s v="No"/>
    <x v="1"/>
    <x v="1"/>
    <s v="APACQ3"/>
    <n v="115500"/>
  </r>
  <r>
    <s v="TXN-100228"/>
    <d v="2024-04-29T00:00:00"/>
    <x v="73"/>
    <s v="SVC-05"/>
    <n v="197.11"/>
    <x v="0"/>
    <s v="ACH"/>
    <m/>
    <x v="1"/>
    <s v="United Kingdom"/>
    <s v="R. Patel"/>
    <x v="3"/>
    <s v="Analytics"/>
    <n v="0"/>
    <s v="SMB"/>
    <s v="Standard"/>
    <s v="Yes"/>
    <s v="Yes"/>
    <x v="2"/>
    <x v="0"/>
    <s v="EMEAQ2"/>
    <n v="140000"/>
  </r>
  <r>
    <s v="TXN-101999"/>
    <d v="2024-12-17T00:00:00"/>
    <x v="30"/>
    <s v="SVC-02"/>
    <n v="-486.01"/>
    <x v="2"/>
    <s v="ACH"/>
    <s v="VIP account"/>
    <x v="1"/>
    <s v="Germany"/>
    <s v="M. Santos"/>
    <x v="6"/>
    <s v="HR &amp; Payroll"/>
    <n v="0"/>
    <s v="N/A"/>
    <s v="Refund"/>
    <s v="No"/>
    <s v="Yes"/>
    <x v="2"/>
    <x v="2"/>
    <s v="EMEAQ4"/>
    <n v="161000"/>
  </r>
  <r>
    <s v="TXN-101111"/>
    <d v="2024-12-06T00:00:00"/>
    <x v="49"/>
    <s v="SVC-01"/>
    <n v="615.39"/>
    <x v="0"/>
    <s v="Credit Card"/>
    <m/>
    <x v="1"/>
    <s v="USA"/>
    <s v="A. Kim"/>
    <x v="0"/>
    <s v="Payments"/>
    <n v="2.9000000000000001E-2"/>
    <s v="SMB"/>
    <s v="High Value"/>
    <s v="Yes"/>
    <s v="Yes"/>
    <x v="0"/>
    <x v="2"/>
    <s v="NAQ4"/>
    <n v="299000"/>
  </r>
  <r>
    <s v="TXN-100167"/>
    <d v="2024-11-04T00:00:00"/>
    <x v="39"/>
    <s v="SVC-05"/>
    <n v="296.56"/>
    <x v="0"/>
    <s v="Debit Card"/>
    <s v="VIP account"/>
    <x v="1"/>
    <s v="United Kingdom"/>
    <s v="A. Kim"/>
    <x v="3"/>
    <s v="Analytics"/>
    <n v="0"/>
    <s v="SMB"/>
    <s v="High Value"/>
    <s v="Yes"/>
    <s v="Yes"/>
    <x v="2"/>
    <x v="2"/>
    <s v="EMEAQ4"/>
    <n v="161000"/>
  </r>
  <r>
    <s v="TXN-102180"/>
    <d v="2024-11-05T00:00:00"/>
    <x v="78"/>
    <s v="SVC-01"/>
    <n v="951.11"/>
    <x v="0"/>
    <s v="Credit Card"/>
    <s v="callback requested"/>
    <x v="1"/>
    <s v="USA"/>
    <s v="L. Chen"/>
    <x v="0"/>
    <s v="Payments"/>
    <n v="2.9000000000000001E-2"/>
    <s v="SMB"/>
    <s v="High Value"/>
    <s v="Yes"/>
    <s v="Yes"/>
    <x v="0"/>
    <x v="2"/>
    <s v="NAQ4"/>
    <n v="299000"/>
  </r>
  <r>
    <s v="TXN-100462"/>
    <d v="2024-03-19T00:00:00"/>
    <x v="65"/>
    <s v="SVC-06"/>
    <n v="826.3"/>
    <x v="0"/>
    <s v="Credit Card"/>
    <m/>
    <x v="0"/>
    <s v="USA"/>
    <s v="A. Kim"/>
    <x v="4"/>
    <s v="Platform"/>
    <n v="0"/>
    <s v="Enterprise"/>
    <s v="High Value"/>
    <s v="Yes"/>
    <s v="Yes"/>
    <x v="0"/>
    <x v="3"/>
    <s v="NAQ1"/>
    <n v="247000"/>
  </r>
  <r>
    <s v="TXN-101390"/>
    <d v="2024-01-11T00:00:00"/>
    <x v="33"/>
    <s v="SVC-03"/>
    <n v="273.39"/>
    <x v="1"/>
    <s v="Credit Card"/>
    <s v="escalated to support"/>
    <x v="3"/>
    <s v="Canada"/>
    <s v="T. Novak"/>
    <x v="5"/>
    <s v="Billing"/>
    <n v="5.0000000000000001E-3"/>
    <s v="N/A"/>
    <s v="High Value"/>
    <s v="Yes"/>
    <s v="Yes"/>
    <x v="0"/>
    <x v="3"/>
    <s v="NAQ1"/>
    <n v="247000"/>
  </r>
  <r>
    <s v="TXN-102441"/>
    <d v="2024-12-09T00:00:00"/>
    <x v="68"/>
    <s v="SVC-05"/>
    <n v="671.25"/>
    <x v="0"/>
    <s v="Debit Card"/>
    <s v="escalated to support"/>
    <x v="1"/>
    <s v="USA"/>
    <s v="R. Patel"/>
    <x v="3"/>
    <s v="Analytics"/>
    <n v="0"/>
    <s v="SMB"/>
    <s v="High Value"/>
    <s v="Yes"/>
    <s v="Yes"/>
    <x v="0"/>
    <x v="2"/>
    <s v="NAQ4"/>
    <n v="299000"/>
  </r>
  <r>
    <s v="TXN-102393"/>
    <d v="2024-09-21T00:00:00"/>
    <x v="30"/>
    <s v="SVC-03"/>
    <n v="307.45"/>
    <x v="0"/>
    <s v="Debit Card"/>
    <m/>
    <x v="1"/>
    <s v="Germany"/>
    <s v="M. Santos"/>
    <x v="5"/>
    <s v="Billing"/>
    <n v="5.0000000000000001E-3"/>
    <s v="SMB"/>
    <s v="High Value"/>
    <s v="Yes"/>
    <s v="Yes"/>
    <x v="2"/>
    <x v="1"/>
    <s v="EMEAQ3"/>
    <n v="147000"/>
  </r>
  <r>
    <s v="TXN-101857"/>
    <d v="2024-07-01T00:00:00"/>
    <x v="99"/>
    <s v="SVC-03"/>
    <n v="319.39999999999998"/>
    <x v="0"/>
    <s v="ACH"/>
    <s v="callback requested"/>
    <x v="1"/>
    <s v="Canada"/>
    <s v="R. Patel"/>
    <x v="5"/>
    <s v="Billing"/>
    <n v="5.0000000000000001E-3"/>
    <s v="SMB"/>
    <s v="High Value"/>
    <s v="Yes"/>
    <s v="Yes"/>
    <x v="0"/>
    <x v="1"/>
    <s v="NAQ3"/>
    <n v="273000"/>
  </r>
  <r>
    <s v="TXN-101067"/>
    <d v="2024-03-07T00:00:00"/>
    <x v="72"/>
    <s v="SVC-01"/>
    <n v="308.07"/>
    <x v="0"/>
    <s v="Unknown"/>
    <s v="VIP account"/>
    <x v="1"/>
    <s v="United Kingdom"/>
    <s v="A. Kim"/>
    <x v="0"/>
    <s v="Payments"/>
    <n v="2.9000000000000001E-2"/>
    <s v="SMB"/>
    <s v="Standard"/>
    <s v="Yes"/>
    <s v="No"/>
    <x v="2"/>
    <x v="3"/>
    <s v="EMEAQ1"/>
    <n v="133000"/>
  </r>
  <r>
    <s v="TXN-100663"/>
    <d v="2024-01-28T00:00:00"/>
    <x v="100"/>
    <s v="SVC-01"/>
    <n v="723.4"/>
    <x v="3"/>
    <s v="ACH"/>
    <m/>
    <x v="1"/>
    <s v="USA"/>
    <s v="J. Reyes"/>
    <x v="0"/>
    <s v="Payments"/>
    <n v="2.9000000000000001E-2"/>
    <s v="N/A"/>
    <s v="High Value"/>
    <s v="Yes"/>
    <s v="Yes"/>
    <x v="0"/>
    <x v="3"/>
    <s v="NAQ1"/>
    <n v="247000"/>
  </r>
  <r>
    <s v="TXN-100467"/>
    <d v="2024-04-28T00:00:00"/>
    <x v="33"/>
    <s v="SVC-01"/>
    <n v="676.39"/>
    <x v="0"/>
    <s v="Credit Card"/>
    <m/>
    <x v="3"/>
    <s v="Canada"/>
    <s v="T. Novak"/>
    <x v="0"/>
    <s v="Payments"/>
    <n v="2.9000000000000001E-2"/>
    <s v="Startup"/>
    <s v="High Value"/>
    <s v="Yes"/>
    <s v="Yes"/>
    <x v="0"/>
    <x v="0"/>
    <s v="NAQ2"/>
    <n v="260000"/>
  </r>
  <r>
    <s v="TXN-102279"/>
    <d v="2024-03-29T00:00:00"/>
    <x v="69"/>
    <s v="SVC-04"/>
    <n v="218.16"/>
    <x v="0"/>
    <s v="Wire Transfer"/>
    <m/>
    <x v="1"/>
    <s v="Philippines"/>
    <s v="J. Reyes"/>
    <x v="2"/>
    <s v="Risk"/>
    <n v="1E-3"/>
    <s v="SMB"/>
    <s v="Standard"/>
    <s v="Yes"/>
    <s v="Yes"/>
    <x v="1"/>
    <x v="3"/>
    <s v="APACQ1"/>
    <n v="104500"/>
  </r>
  <r>
    <s v="TXN-101557"/>
    <d v="2024-05-07T00:00:00"/>
    <x v="47"/>
    <s v="SVC-02"/>
    <n v="260.17"/>
    <x v="0"/>
    <s v="Credit Card"/>
    <s v="callback requested"/>
    <x v="1"/>
    <s v="Canada"/>
    <s v="R. Patel"/>
    <x v="6"/>
    <s v="HR &amp; Payroll"/>
    <n v="0"/>
    <s v="SMB"/>
    <s v="High Value"/>
    <s v="Yes"/>
    <s v="No"/>
    <x v="0"/>
    <x v="0"/>
    <s v="NAQ2"/>
    <n v="260000"/>
  </r>
  <r>
    <s v="TXN-101575"/>
    <d v="2024-05-05T00:00:00"/>
    <x v="89"/>
    <s v="SVC-08"/>
    <n v="-700.31"/>
    <x v="2"/>
    <s v="Debit Card"/>
    <m/>
    <x v="0"/>
    <s v="USA"/>
    <s v="A. Kim"/>
    <x v="1"/>
    <s v="Risk"/>
    <n v="2.5000000000000001E-3"/>
    <s v="N/A"/>
    <s v="Refund"/>
    <s v="No"/>
    <s v="No"/>
    <x v="0"/>
    <x v="0"/>
    <s v="NAQ2"/>
    <n v="260000"/>
  </r>
  <r>
    <s v="TXN-100990"/>
    <d v="2024-04-24T00:00:00"/>
    <x v="83"/>
    <s v="SVC-01"/>
    <n v="598.59"/>
    <x v="0"/>
    <s v="Unknown"/>
    <s v="escalated to support"/>
    <x v="1"/>
    <s v="Canada"/>
    <s v="L. Chen"/>
    <x v="0"/>
    <s v="Payments"/>
    <n v="2.9000000000000001E-2"/>
    <s v="SMB"/>
    <s v="High Value"/>
    <s v="Yes"/>
    <s v="Yes"/>
    <x v="0"/>
    <x v="0"/>
    <s v="NAQ2"/>
    <n v="260000"/>
  </r>
  <r>
    <s v="TXN-102169"/>
    <d v="2024-06-21T00:00:00"/>
    <x v="19"/>
    <s v="SVC-01"/>
    <n v="723.26"/>
    <x v="1"/>
    <s v="Credit Card"/>
    <m/>
    <x v="0"/>
    <s v="Canada"/>
    <s v="M. Santos"/>
    <x v="0"/>
    <s v="Payments"/>
    <n v="2.9000000000000001E-2"/>
    <s v="N/A"/>
    <s v="High Value"/>
    <s v="Yes"/>
    <s v="No"/>
    <x v="0"/>
    <x v="0"/>
    <s v="NAQ2"/>
    <n v="260000"/>
  </r>
  <r>
    <s v="TXN-100220"/>
    <d v="2024-07-29T00:00:00"/>
    <x v="33"/>
    <s v="SVC-01"/>
    <n v="1283.8800000000001"/>
    <x v="1"/>
    <s v="Debit Card"/>
    <m/>
    <x v="3"/>
    <s v="Canada"/>
    <s v="T. Novak"/>
    <x v="0"/>
    <s v="Payments"/>
    <n v="2.9000000000000001E-2"/>
    <s v="N/A"/>
    <s v="High Value"/>
    <s v="Yes"/>
    <s v="No"/>
    <x v="0"/>
    <x v="1"/>
    <s v="NAQ3"/>
    <n v="273000"/>
  </r>
  <r>
    <s v="TXN-102442"/>
    <d v="2024-12-29T00:00:00"/>
    <x v="1"/>
    <s v="SVC-02"/>
    <n v="171.41"/>
    <x v="0"/>
    <s v="ACH"/>
    <m/>
    <x v="0"/>
    <s v="USA"/>
    <s v="J. Reyes"/>
    <x v="6"/>
    <s v="HR &amp; Payroll"/>
    <n v="0"/>
    <s v="Enterprise"/>
    <s v="Standard"/>
    <s v="Yes"/>
    <s v="Yes"/>
    <x v="0"/>
    <x v="2"/>
    <s v="NAQ4"/>
    <n v="299000"/>
  </r>
  <r>
    <s v="TXN-101047"/>
    <d v="2024-12-17T00:00:00"/>
    <x v="101"/>
    <s v="SVC-01"/>
    <n v="847.72"/>
    <x v="3"/>
    <s v="Unknown"/>
    <m/>
    <x v="1"/>
    <s v="Canada"/>
    <s v="A. Kim"/>
    <x v="0"/>
    <s v="Payments"/>
    <n v="2.9000000000000001E-2"/>
    <s v="N/A"/>
    <s v="High Value"/>
    <s v="Yes"/>
    <s v="Yes"/>
    <x v="0"/>
    <x v="2"/>
    <s v="NAQ4"/>
    <n v="299000"/>
  </r>
  <r>
    <s v="TXN-100157"/>
    <d v="2024-10-02T00:00:00"/>
    <x v="102"/>
    <s v="SVC-01"/>
    <n v="633.35"/>
    <x v="0"/>
    <s v="Unknown"/>
    <m/>
    <x v="1"/>
    <s v="Philippines"/>
    <s v="L. Chen"/>
    <x v="0"/>
    <s v="Payments"/>
    <n v="2.9000000000000001E-2"/>
    <s v="SMB"/>
    <s v="High Value"/>
    <s v="Yes"/>
    <s v="Yes"/>
    <x v="1"/>
    <x v="2"/>
    <s v="APACQ4"/>
    <n v="126500"/>
  </r>
  <r>
    <s v="TXN-102456"/>
    <d v="2024-08-19T00:00:00"/>
    <x v="33"/>
    <s v="SVC-02"/>
    <n v="538.09"/>
    <x v="0"/>
    <s v="Credit Card"/>
    <s v="escalated to support"/>
    <x v="3"/>
    <s v="Canada"/>
    <s v="T. Novak"/>
    <x v="6"/>
    <s v="HR &amp; Payroll"/>
    <n v="0"/>
    <s v="Startup"/>
    <s v="High Value"/>
    <s v="Yes"/>
    <s v="No"/>
    <x v="0"/>
    <x v="1"/>
    <s v="NAQ3"/>
    <n v="273000"/>
  </r>
  <r>
    <s v="TXN-100712"/>
    <d v="2024-12-02T00:00:00"/>
    <x v="97"/>
    <s v="SVC-03"/>
    <n v="497.74"/>
    <x v="0"/>
    <s v="ACH"/>
    <m/>
    <x v="0"/>
    <s v="United Kingdom"/>
    <s v="L. Chen"/>
    <x v="5"/>
    <s v="Billing"/>
    <n v="5.0000000000000001E-3"/>
    <s v="Enterprise"/>
    <s v="High Value"/>
    <s v="Yes"/>
    <s v="No"/>
    <x v="2"/>
    <x v="2"/>
    <s v="EMEAQ4"/>
    <n v="161000"/>
  </r>
  <r>
    <s v="TXN-100484"/>
    <d v="2024-04-29T00:00:00"/>
    <x v="41"/>
    <s v="SVC-01"/>
    <n v="435.79"/>
    <x v="0"/>
    <s v="Debit Card"/>
    <m/>
    <x v="0"/>
    <s v="Canada"/>
    <s v="M. Santos"/>
    <x v="0"/>
    <s v="Payments"/>
    <n v="2.9000000000000001E-2"/>
    <s v="Enterprise"/>
    <s v="Standard"/>
    <s v="Yes"/>
    <s v="No"/>
    <x v="0"/>
    <x v="0"/>
    <s v="NAQ2"/>
    <n v="260000"/>
  </r>
  <r>
    <s v="TXN-102061"/>
    <d v="2024-08-25T00:00:00"/>
    <x v="83"/>
    <s v="SVC-08"/>
    <n v="343.87"/>
    <x v="0"/>
    <s v="Wire Transfer"/>
    <s v="callback requested"/>
    <x v="1"/>
    <s v="Canada"/>
    <s v="L. Chen"/>
    <x v="1"/>
    <s v="Risk"/>
    <n v="2.5000000000000001E-3"/>
    <s v="SMB"/>
    <s v="High Value"/>
    <s v="Yes"/>
    <s v="Yes"/>
    <x v="0"/>
    <x v="1"/>
    <s v="NAQ3"/>
    <n v="273000"/>
  </r>
  <r>
    <s v="TXN-100134"/>
    <d v="2024-05-22T00:00:00"/>
    <x v="55"/>
    <s v="SVC-08"/>
    <n v="1380.9"/>
    <x v="0"/>
    <s v="Unknown"/>
    <m/>
    <x v="3"/>
    <s v="USA"/>
    <s v="J. Reyes"/>
    <x v="1"/>
    <s v="Risk"/>
    <n v="2.5000000000000001E-3"/>
    <s v="Startup"/>
    <s v="High Value"/>
    <s v="Yes"/>
    <s v="Yes"/>
    <x v="0"/>
    <x v="0"/>
    <s v="NAQ2"/>
    <n v="260000"/>
  </r>
  <r>
    <s v="TXN-100207"/>
    <d v="2024-11-10T00:00:00"/>
    <x v="79"/>
    <s v="SVC-02"/>
    <n v="336.14"/>
    <x v="1"/>
    <s v="Credit Card"/>
    <m/>
    <x v="3"/>
    <s v="USA"/>
    <s v="T. Novak"/>
    <x v="6"/>
    <s v="HR &amp; Payroll"/>
    <n v="0"/>
    <s v="N/A"/>
    <s v="High Value"/>
    <s v="Yes"/>
    <s v="Yes"/>
    <x v="0"/>
    <x v="2"/>
    <s v="NAQ4"/>
    <n v="299000"/>
  </r>
  <r>
    <s v="TXN-101491"/>
    <d v="2024-04-20T00:00:00"/>
    <x v="103"/>
    <s v="SVC-02"/>
    <n v="490.17"/>
    <x v="3"/>
    <s v="ACH"/>
    <s v="escalated to support"/>
    <x v="1"/>
    <s v="United Kingdom"/>
    <s v="R. Patel"/>
    <x v="6"/>
    <s v="HR &amp; Payroll"/>
    <n v="0"/>
    <s v="N/A"/>
    <s v="High Value"/>
    <s v="Yes"/>
    <s v="Yes"/>
    <x v="2"/>
    <x v="0"/>
    <s v="EMEAQ2"/>
    <n v="140000"/>
  </r>
  <r>
    <s v="TXN-102311"/>
    <d v="2024-11-02T00:00:00"/>
    <x v="10"/>
    <s v="SVC-06"/>
    <n v="387.54"/>
    <x v="0"/>
    <s v="Credit Card"/>
    <m/>
    <x v="1"/>
    <s v="USA"/>
    <s v="T. Novak"/>
    <x v="4"/>
    <s v="Platform"/>
    <n v="0"/>
    <s v="SMB"/>
    <s v="High Value"/>
    <s v="Yes"/>
    <s v="Yes"/>
    <x v="0"/>
    <x v="2"/>
    <s v="NAQ4"/>
    <n v="299000"/>
  </r>
  <r>
    <s v="TXN-101986"/>
    <d v="2024-02-27T00:00:00"/>
    <x v="33"/>
    <s v="SVC-03"/>
    <n v="170.22"/>
    <x v="0"/>
    <s v="Credit Card"/>
    <s v="VIP account"/>
    <x v="3"/>
    <s v="Canada"/>
    <s v="T. Novak"/>
    <x v="5"/>
    <s v="Billing"/>
    <n v="5.0000000000000001E-3"/>
    <s v="Startup"/>
    <s v="Standard"/>
    <s v="Yes"/>
    <s v="No"/>
    <x v="0"/>
    <x v="3"/>
    <s v="NAQ1"/>
    <n v="247000"/>
  </r>
  <r>
    <s v="TXN-102096"/>
    <d v="2024-05-13T00:00:00"/>
    <x v="104"/>
    <s v="SVC-02"/>
    <n v="528.75"/>
    <x v="0"/>
    <s v="Debit Card"/>
    <m/>
    <x v="1"/>
    <s v="USA"/>
    <s v="M. Santos"/>
    <x v="6"/>
    <s v="HR &amp; Payroll"/>
    <n v="0"/>
    <s v="SMB"/>
    <s v="High Value"/>
    <s v="Yes"/>
    <s v="Yes"/>
    <x v="0"/>
    <x v="0"/>
    <s v="NAQ2"/>
    <n v="260000"/>
  </r>
  <r>
    <s v="TXN-100034"/>
    <d v="2024-06-16T00:00:00"/>
    <x v="32"/>
    <s v="SVC-07"/>
    <n v="575.54999999999995"/>
    <x v="0"/>
    <s v="ACH"/>
    <s v="VIP account"/>
    <x v="1"/>
    <s v="Philippines"/>
    <s v="T. Novak"/>
    <x v="7"/>
    <s v="Support"/>
    <n v="0"/>
    <s v="SMB"/>
    <s v="High Value"/>
    <s v="Yes"/>
    <s v="Yes"/>
    <x v="1"/>
    <x v="0"/>
    <s v="APACQ2"/>
    <n v="110000"/>
  </r>
  <r>
    <s v="TXN-101406"/>
    <d v="2024-12-03T00:00:00"/>
    <x v="86"/>
    <s v="SVC-07"/>
    <n v="495.69"/>
    <x v="3"/>
    <s v="Unknown"/>
    <s v="callback requested"/>
    <x v="1"/>
    <s v="Canada"/>
    <s v="L. Chen"/>
    <x v="7"/>
    <s v="Support"/>
    <n v="0"/>
    <s v="N/A"/>
    <s v="High Value"/>
    <s v="Yes"/>
    <s v="Yes"/>
    <x v="0"/>
    <x v="2"/>
    <s v="NAQ4"/>
    <n v="299000"/>
  </r>
  <r>
    <s v="TXN-100984"/>
    <d v="2024-03-16T00:00:00"/>
    <x v="97"/>
    <s v="SVC-06"/>
    <n v="785.94"/>
    <x v="0"/>
    <s v="Wire Transfer"/>
    <s v="callback requested"/>
    <x v="0"/>
    <s v="United Kingdom"/>
    <s v="L. Chen"/>
    <x v="4"/>
    <s v="Platform"/>
    <n v="0"/>
    <s v="Enterprise"/>
    <s v="High Value"/>
    <s v="Yes"/>
    <s v="Yes"/>
    <x v="2"/>
    <x v="3"/>
    <s v="EMEAQ1"/>
    <n v="133000"/>
  </r>
  <r>
    <s v="TXN-102135"/>
    <d v="2024-09-15T00:00:00"/>
    <x v="57"/>
    <s v="SVC-01"/>
    <n v="351.61"/>
    <x v="3"/>
    <s v="ACH"/>
    <s v="VIP account"/>
    <x v="1"/>
    <s v="USA"/>
    <s v="L. Chen"/>
    <x v="0"/>
    <s v="Payments"/>
    <n v="2.9000000000000001E-2"/>
    <s v="N/A"/>
    <s v="Standard"/>
    <s v="Yes"/>
    <s v="No"/>
    <x v="0"/>
    <x v="1"/>
    <s v="NAQ3"/>
    <n v="273000"/>
  </r>
  <r>
    <s v="TXN-101720"/>
    <d v="2024-12-31T00:00:00"/>
    <x v="105"/>
    <s v="SVC-08"/>
    <n v="-736.24"/>
    <x v="2"/>
    <s v="Credit Card"/>
    <m/>
    <x v="3"/>
    <s v="Philippines"/>
    <s v="T. Novak"/>
    <x v="1"/>
    <s v="Risk"/>
    <n v="2.5000000000000001E-3"/>
    <s v="N/A"/>
    <s v="Refund"/>
    <s v="No"/>
    <s v="Yes"/>
    <x v="1"/>
    <x v="2"/>
    <s v="APACQ4"/>
    <n v="126500"/>
  </r>
  <r>
    <s v="TXN-100256"/>
    <d v="2024-10-01T00:00:00"/>
    <x v="87"/>
    <s v="SVC-02"/>
    <n v="126.71"/>
    <x v="0"/>
    <s v="Credit Card"/>
    <s v="callback requested"/>
    <x v="1"/>
    <s v="United Kingdom"/>
    <s v="J. Reyes"/>
    <x v="6"/>
    <s v="HR &amp; Payroll"/>
    <n v="0"/>
    <s v="SMB"/>
    <s v="Standard"/>
    <s v="Yes"/>
    <s v="Yes"/>
    <x v="2"/>
    <x v="2"/>
    <s v="EMEAQ4"/>
    <n v="161000"/>
  </r>
  <r>
    <s v="TXN-102214"/>
    <d v="2024-08-14T00:00:00"/>
    <x v="58"/>
    <s v="SVC-03"/>
    <n v="311.14"/>
    <x v="0"/>
    <s v="Credit Card"/>
    <s v="escalated to support"/>
    <x v="1"/>
    <s v="Canada"/>
    <s v="M. Santos"/>
    <x v="5"/>
    <s v="Billing"/>
    <n v="5.0000000000000001E-3"/>
    <s v="SMB"/>
    <s v="High Value"/>
    <s v="Yes"/>
    <s v="No"/>
    <x v="0"/>
    <x v="1"/>
    <s v="NAQ3"/>
    <n v="273000"/>
  </r>
  <r>
    <s v="TXN-101607"/>
    <d v="2024-11-05T00:00:00"/>
    <x v="43"/>
    <s v="SVC-01"/>
    <n v="428.64"/>
    <x v="0"/>
    <s v="ACH"/>
    <m/>
    <x v="1"/>
    <s v="USA"/>
    <s v="M. Santos"/>
    <x v="0"/>
    <s v="Payments"/>
    <n v="2.9000000000000001E-2"/>
    <s v="SMB"/>
    <s v="Standard"/>
    <s v="Yes"/>
    <s v="No"/>
    <x v="0"/>
    <x v="2"/>
    <s v="NAQ4"/>
    <n v="299000"/>
  </r>
  <r>
    <s v="TXN-101782"/>
    <d v="2024-01-04T00:00:00"/>
    <x v="106"/>
    <s v="SVC-06"/>
    <n v="1019.5"/>
    <x v="0"/>
    <s v="Debit Card"/>
    <s v="VIP account"/>
    <x v="1"/>
    <s v="USA"/>
    <s v="J. Reyes"/>
    <x v="4"/>
    <s v="Platform"/>
    <n v="0"/>
    <s v="SMB"/>
    <s v="High Value"/>
    <s v="Yes"/>
    <s v="Yes"/>
    <x v="0"/>
    <x v="3"/>
    <s v="NAQ1"/>
    <n v="247000"/>
  </r>
  <r>
    <s v="TXN-102164"/>
    <d v="2024-03-11T00:00:00"/>
    <x v="6"/>
    <s v="SVC-07"/>
    <n v="356.55"/>
    <x v="0"/>
    <s v="ACH"/>
    <m/>
    <x v="0"/>
    <s v="United Kingdom"/>
    <s v="R. Patel"/>
    <x v="7"/>
    <s v="Support"/>
    <n v="0"/>
    <s v="Enterprise"/>
    <s v="High Value"/>
    <s v="Yes"/>
    <s v="Yes"/>
    <x v="2"/>
    <x v="3"/>
    <s v="EMEAQ1"/>
    <n v="133000"/>
  </r>
  <r>
    <s v="TXN-101689"/>
    <d v="2024-11-25T00:00:00"/>
    <x v="16"/>
    <s v="SVC-08"/>
    <n v="520.79"/>
    <x v="0"/>
    <s v="Credit Card"/>
    <m/>
    <x v="1"/>
    <s v="Germany"/>
    <s v="R. Patel"/>
    <x v="1"/>
    <s v="Risk"/>
    <n v="2.5000000000000001E-3"/>
    <s v="SMB"/>
    <s v="High Value"/>
    <s v="Yes"/>
    <s v="Yes"/>
    <x v="2"/>
    <x v="2"/>
    <s v="EMEAQ4"/>
    <n v="161000"/>
  </r>
  <r>
    <s v="TXN-100709"/>
    <d v="2024-09-09T00:00:00"/>
    <x v="16"/>
    <s v="SVC-01"/>
    <n v="455.28"/>
    <x v="1"/>
    <s v="ACH"/>
    <m/>
    <x v="1"/>
    <s v="Germany"/>
    <s v="R. Patel"/>
    <x v="0"/>
    <s v="Payments"/>
    <n v="2.9000000000000001E-2"/>
    <s v="N/A"/>
    <s v="Standard"/>
    <s v="Yes"/>
    <s v="Yes"/>
    <x v="2"/>
    <x v="1"/>
    <s v="EMEAQ3"/>
    <n v="147000"/>
  </r>
  <r>
    <s v="TXN-100952"/>
    <d v="2024-04-08T00:00:00"/>
    <x v="107"/>
    <s v="SVC-01"/>
    <n v="325.35000000000002"/>
    <x v="1"/>
    <s v="Credit Card"/>
    <m/>
    <x v="1"/>
    <s v="USA"/>
    <s v="M. Santos"/>
    <x v="0"/>
    <s v="Payments"/>
    <n v="2.9000000000000001E-2"/>
    <s v="N/A"/>
    <s v="Standard"/>
    <s v="Yes"/>
    <s v="Yes"/>
    <x v="0"/>
    <x v="0"/>
    <s v="NAQ2"/>
    <n v="260000"/>
  </r>
  <r>
    <s v="TXN-102001"/>
    <d v="2024-03-18T00:00:00"/>
    <x v="23"/>
    <s v="SVC-02"/>
    <n v="1224.22"/>
    <x v="0"/>
    <s v="ACH"/>
    <m/>
    <x v="0"/>
    <s v="USA"/>
    <s v="L. Chen"/>
    <x v="6"/>
    <s v="HR &amp; Payroll"/>
    <n v="0"/>
    <s v="Enterprise"/>
    <s v="High Value"/>
    <s v="Yes"/>
    <s v="Yes"/>
    <x v="0"/>
    <x v="3"/>
    <s v="NAQ1"/>
    <n v="247000"/>
  </r>
  <r>
    <s v="TXN-101091"/>
    <d v="2024-06-03T00:00:00"/>
    <x v="34"/>
    <s v="SVC-07"/>
    <n v="382.3"/>
    <x v="0"/>
    <s v="Credit Card"/>
    <m/>
    <x v="1"/>
    <s v="Germany"/>
    <s v="M. Santos"/>
    <x v="7"/>
    <s v="Support"/>
    <n v="0"/>
    <s v="SMB"/>
    <s v="High Value"/>
    <s v="Yes"/>
    <s v="No"/>
    <x v="2"/>
    <x v="0"/>
    <s v="EMEAQ2"/>
    <n v="140000"/>
  </r>
  <r>
    <s v="TXN-101673"/>
    <d v="2024-09-30T00:00:00"/>
    <x v="3"/>
    <s v="SVC-05"/>
    <n v="-533.47"/>
    <x v="2"/>
    <s v="Credit Card"/>
    <s v="escalated to support"/>
    <x v="1"/>
    <s v="Canada"/>
    <s v="J. Reyes"/>
    <x v="3"/>
    <s v="Analytics"/>
    <n v="0"/>
    <s v="N/A"/>
    <s v="Refund"/>
    <s v="No"/>
    <s v="No"/>
    <x v="0"/>
    <x v="1"/>
    <s v="NAQ3"/>
    <n v="273000"/>
  </r>
  <r>
    <s v="TXN-101405"/>
    <d v="2024-11-23T00:00:00"/>
    <x v="104"/>
    <s v="SVC-01"/>
    <n v="205.12"/>
    <x v="0"/>
    <s v="Credit Card"/>
    <s v="escalated to support"/>
    <x v="1"/>
    <s v="USA"/>
    <s v="M. Santos"/>
    <x v="0"/>
    <s v="Payments"/>
    <n v="2.9000000000000001E-2"/>
    <s v="SMB"/>
    <s v="Standard"/>
    <s v="No"/>
    <s v="Yes"/>
    <x v="0"/>
    <x v="2"/>
    <s v="NAQ4"/>
    <n v="299000"/>
  </r>
  <r>
    <s v="TXN-101910"/>
    <d v="2024-08-21T00:00:00"/>
    <x v="9"/>
    <s v="SVC-01"/>
    <n v="-980.49"/>
    <x v="2"/>
    <s v="ACH"/>
    <s v="VIP account"/>
    <x v="3"/>
    <s v="Philippines"/>
    <s v="T. Novak"/>
    <x v="0"/>
    <s v="Payments"/>
    <n v="2.9000000000000001E-2"/>
    <s v="N/A"/>
    <s v="Refund"/>
    <s v="No"/>
    <s v="No"/>
    <x v="1"/>
    <x v="1"/>
    <s v="APACQ3"/>
    <n v="115500"/>
  </r>
  <r>
    <s v="TXN-102262"/>
    <d v="2024-08-20T00:00:00"/>
    <x v="62"/>
    <s v="SVC-02"/>
    <n v="850.76"/>
    <x v="0"/>
    <s v="ACH"/>
    <m/>
    <x v="0"/>
    <s v="USA"/>
    <s v="A. Kim"/>
    <x v="6"/>
    <s v="HR &amp; Payroll"/>
    <n v="0"/>
    <s v="Enterprise"/>
    <s v="High Value"/>
    <s v="Yes"/>
    <s v="Yes"/>
    <x v="0"/>
    <x v="1"/>
    <s v="NAQ3"/>
    <n v="273000"/>
  </r>
  <r>
    <s v="TXN-102063"/>
    <d v="2024-06-18T00:00:00"/>
    <x v="108"/>
    <s v="SVC-01"/>
    <n v="97.08"/>
    <x v="0"/>
    <s v="Credit Card"/>
    <s v="escalated to support"/>
    <x v="1"/>
    <s v="Germany"/>
    <s v="M. Santos"/>
    <x v="0"/>
    <s v="Payments"/>
    <n v="2.9000000000000001E-2"/>
    <s v="SMB"/>
    <s v="Standard"/>
    <s v="No"/>
    <s v="Yes"/>
    <x v="2"/>
    <x v="0"/>
    <s v="EMEAQ2"/>
    <n v="140000"/>
  </r>
  <r>
    <s v="TXN-102014"/>
    <d v="2024-07-03T00:00:00"/>
    <x v="109"/>
    <s v="SVC-08"/>
    <n v="-188.91"/>
    <x v="2"/>
    <s v="Credit Card"/>
    <m/>
    <x v="0"/>
    <s v="USA"/>
    <s v="L. Chen"/>
    <x v="1"/>
    <s v="Risk"/>
    <n v="2.5000000000000001E-3"/>
    <s v="N/A"/>
    <s v="Refund"/>
    <s v="No"/>
    <s v="Yes"/>
    <x v="0"/>
    <x v="1"/>
    <s v="NAQ3"/>
    <n v="273000"/>
  </r>
  <r>
    <s v="TXN-102087"/>
    <d v="2024-06-22T00:00:00"/>
    <x v="0"/>
    <s v="SVC-03"/>
    <n v="211.82"/>
    <x v="0"/>
    <s v="Wire Transfer"/>
    <m/>
    <x v="0"/>
    <s v="USA"/>
    <s v="J. Reyes"/>
    <x v="5"/>
    <s v="Billing"/>
    <n v="5.0000000000000001E-3"/>
    <s v="Enterprise"/>
    <s v="Standard"/>
    <s v="Yes"/>
    <s v="Yes"/>
    <x v="0"/>
    <x v="0"/>
    <s v="NAQ2"/>
    <n v="260000"/>
  </r>
  <r>
    <s v="TXN-102569"/>
    <d v="2024-11-09T00:00:00"/>
    <x v="110"/>
    <s v="SVC-08"/>
    <n v="107.17"/>
    <x v="0"/>
    <s v="Credit Card"/>
    <s v="escalated to support"/>
    <x v="0"/>
    <s v="USA"/>
    <s v="A. Kim"/>
    <x v="1"/>
    <s v="Risk"/>
    <n v="2.5000000000000001E-3"/>
    <s v="Enterprise"/>
    <s v="Standard"/>
    <s v="Yes"/>
    <s v="Yes"/>
    <x v="0"/>
    <x v="2"/>
    <s v="NAQ4"/>
    <n v="299000"/>
  </r>
  <r>
    <s v="TXN-100114"/>
    <d v="2024-06-04T00:00:00"/>
    <x v="111"/>
    <s v="SVC-01"/>
    <n v="611.41"/>
    <x v="0"/>
    <s v="Credit Card"/>
    <s v="VIP account"/>
    <x v="1"/>
    <s v="Australia"/>
    <s v="A. Kim"/>
    <x v="0"/>
    <s v="Payments"/>
    <n v="2.9000000000000001E-2"/>
    <s v="SMB"/>
    <s v="High Value"/>
    <s v="Yes"/>
    <s v="Yes"/>
    <x v="1"/>
    <x v="0"/>
    <s v="APACQ2"/>
    <n v="110000"/>
  </r>
  <r>
    <s v="TXN-101931"/>
    <d v="2024-11-19T00:00:00"/>
    <x v="81"/>
    <s v="SVC-03"/>
    <n v="301.89"/>
    <x v="0"/>
    <s v="Debit Card"/>
    <s v="callback requested"/>
    <x v="3"/>
    <s v="Germany"/>
    <s v="R. Patel"/>
    <x v="5"/>
    <s v="Billing"/>
    <n v="5.0000000000000001E-3"/>
    <s v="Startup"/>
    <s v="High Value"/>
    <s v="Yes"/>
    <s v="Yes"/>
    <x v="2"/>
    <x v="2"/>
    <s v="EMEAQ4"/>
    <n v="161000"/>
  </r>
  <r>
    <s v="TXN-100345"/>
    <d v="2024-07-10T00:00:00"/>
    <x v="12"/>
    <s v="SVC-03"/>
    <n v="269.88"/>
    <x v="0"/>
    <s v="ACH"/>
    <m/>
    <x v="1"/>
    <s v="Canada"/>
    <s v="R. Patel"/>
    <x v="5"/>
    <s v="Billing"/>
    <n v="5.0000000000000001E-3"/>
    <s v="SMB"/>
    <s v="High Value"/>
    <s v="Yes"/>
    <s v="No"/>
    <x v="0"/>
    <x v="1"/>
    <s v="NAQ3"/>
    <n v="273000"/>
  </r>
  <r>
    <s v="TXN-102067"/>
    <d v="2024-11-10T00:00:00"/>
    <x v="27"/>
    <s v="SVC-07"/>
    <n v="664.37"/>
    <x v="0"/>
    <s v="Debit Card"/>
    <s v="VIP account"/>
    <x v="1"/>
    <s v="Canada"/>
    <s v="L. Chen"/>
    <x v="7"/>
    <s v="Support"/>
    <n v="0"/>
    <s v="SMB"/>
    <s v="High Value"/>
    <s v="Yes"/>
    <s v="No"/>
    <x v="0"/>
    <x v="2"/>
    <s v="NAQ4"/>
    <n v="299000"/>
  </r>
  <r>
    <s v="TXN-101261"/>
    <d v="2024-11-02T00:00:00"/>
    <x v="111"/>
    <s v="SVC-01"/>
    <n v="675.34"/>
    <x v="3"/>
    <s v="ACH"/>
    <m/>
    <x v="1"/>
    <s v="Australia"/>
    <s v="A. Kim"/>
    <x v="0"/>
    <s v="Payments"/>
    <n v="2.9000000000000001E-2"/>
    <s v="N/A"/>
    <s v="High Value"/>
    <s v="Yes"/>
    <s v="No"/>
    <x v="1"/>
    <x v="2"/>
    <s v="APACQ4"/>
    <n v="126500"/>
  </r>
  <r>
    <s v="TXN-102315"/>
    <d v="2024-09-28T00:00:00"/>
    <x v="73"/>
    <s v="SVC-08"/>
    <n v="270.04000000000002"/>
    <x v="0"/>
    <s v="Credit Card"/>
    <m/>
    <x v="1"/>
    <s v="United Kingdom"/>
    <s v="R. Patel"/>
    <x v="1"/>
    <s v="Risk"/>
    <n v="2.5000000000000001E-3"/>
    <s v="SMB"/>
    <s v="High Value"/>
    <s v="Yes"/>
    <s v="Yes"/>
    <x v="2"/>
    <x v="1"/>
    <s v="EMEAQ3"/>
    <n v="147000"/>
  </r>
  <r>
    <s v="TXN-100710"/>
    <d v="2024-03-06T00:00:00"/>
    <x v="38"/>
    <s v="SVC-02"/>
    <n v="105.95"/>
    <x v="0"/>
    <s v="ACH"/>
    <m/>
    <x v="0"/>
    <s v="Australia"/>
    <s v="A. Kim"/>
    <x v="6"/>
    <s v="HR &amp; Payroll"/>
    <n v="0"/>
    <s v="Enterprise"/>
    <s v="Standard"/>
    <s v="Yes"/>
    <s v="No"/>
    <x v="1"/>
    <x v="3"/>
    <s v="APACQ1"/>
    <n v="104500"/>
  </r>
  <r>
    <s v="TXN-101906"/>
    <d v="2024-04-27T00:00:00"/>
    <x v="3"/>
    <s v="SVC-02"/>
    <n v="676.16"/>
    <x v="1"/>
    <s v="Debit Card"/>
    <s v="escalated to support"/>
    <x v="1"/>
    <s v="Canada"/>
    <s v="J. Reyes"/>
    <x v="6"/>
    <s v="HR &amp; Payroll"/>
    <n v="0"/>
    <s v="N/A"/>
    <s v="High Value"/>
    <s v="Yes"/>
    <s v="Yes"/>
    <x v="0"/>
    <x v="0"/>
    <s v="NAQ2"/>
    <n v="260000"/>
  </r>
  <r>
    <s v="TXN-101116"/>
    <d v="2024-07-03T00:00:00"/>
    <x v="43"/>
    <s v="SVC-07"/>
    <n v="747.8"/>
    <x v="0"/>
    <s v="Debit Card"/>
    <m/>
    <x v="1"/>
    <s v="USA"/>
    <s v="M. Santos"/>
    <x v="7"/>
    <s v="Support"/>
    <n v="0"/>
    <s v="SMB"/>
    <s v="High Value"/>
    <s v="Yes"/>
    <s v="Yes"/>
    <x v="0"/>
    <x v="1"/>
    <s v="NAQ3"/>
    <n v="273000"/>
  </r>
  <r>
    <s v="TXN-100669"/>
    <d v="2024-07-12T00:00:00"/>
    <x v="104"/>
    <s v="SVC-04"/>
    <n v="559.29999999999995"/>
    <x v="0"/>
    <s v="Unknown"/>
    <m/>
    <x v="1"/>
    <s v="USA"/>
    <s v="M. Santos"/>
    <x v="2"/>
    <s v="Risk"/>
    <n v="1E-3"/>
    <s v="SMB"/>
    <s v="High Value"/>
    <s v="Yes"/>
    <s v="Yes"/>
    <x v="0"/>
    <x v="1"/>
    <s v="NAQ3"/>
    <n v="273000"/>
  </r>
  <r>
    <s v="TXN-102380"/>
    <d v="2024-09-01T00:00:00"/>
    <x v="23"/>
    <s v="SVC-03"/>
    <n v="-805"/>
    <x v="2"/>
    <s v="Debit Card"/>
    <s v="callback requested"/>
    <x v="0"/>
    <s v="USA"/>
    <s v="L. Chen"/>
    <x v="5"/>
    <s v="Billing"/>
    <n v="5.0000000000000001E-3"/>
    <s v="N/A"/>
    <s v="Refund"/>
    <s v="No"/>
    <s v="Yes"/>
    <x v="0"/>
    <x v="1"/>
    <s v="NAQ3"/>
    <n v="273000"/>
  </r>
  <r>
    <s v="TXN-101103"/>
    <d v="2024-12-24T00:00:00"/>
    <x v="112"/>
    <s v="SVC-01"/>
    <n v="385.06"/>
    <x v="0"/>
    <s v="ACH"/>
    <s v="escalated to support"/>
    <x v="1"/>
    <s v="USA"/>
    <s v="A. Kim"/>
    <x v="0"/>
    <s v="Payments"/>
    <n v="2.9000000000000001E-2"/>
    <s v="SMB"/>
    <s v="Standard"/>
    <s v="Yes"/>
    <s v="Yes"/>
    <x v="0"/>
    <x v="2"/>
    <s v="NAQ4"/>
    <n v="299000"/>
  </r>
  <r>
    <s v="TXN-101934"/>
    <d v="2024-07-16T00:00:00"/>
    <x v="43"/>
    <s v="SVC-03"/>
    <n v="594.03"/>
    <x v="0"/>
    <s v="ACH"/>
    <s v="escalated to support"/>
    <x v="1"/>
    <s v="USA"/>
    <s v="M. Santos"/>
    <x v="5"/>
    <s v="Billing"/>
    <n v="5.0000000000000001E-3"/>
    <s v="SMB"/>
    <s v="High Value"/>
    <s v="Yes"/>
    <s v="Yes"/>
    <x v="0"/>
    <x v="1"/>
    <s v="NAQ3"/>
    <n v="273000"/>
  </r>
  <r>
    <s v="TXN-101747"/>
    <d v="2024-05-25T00:00:00"/>
    <x v="33"/>
    <s v="SVC-03"/>
    <n v="-230.1"/>
    <x v="2"/>
    <s v="ACH"/>
    <m/>
    <x v="3"/>
    <s v="Canada"/>
    <s v="T. Novak"/>
    <x v="5"/>
    <s v="Billing"/>
    <n v="5.0000000000000001E-3"/>
    <s v="N/A"/>
    <s v="Refund"/>
    <s v="No"/>
    <s v="No"/>
    <x v="0"/>
    <x v="0"/>
    <s v="NAQ2"/>
    <n v="260000"/>
  </r>
  <r>
    <s v="TXN-100770"/>
    <d v="2024-08-31T00:00:00"/>
    <x v="76"/>
    <s v="SVC-06"/>
    <n v="503.29"/>
    <x v="3"/>
    <s v="ACH"/>
    <m/>
    <x v="3"/>
    <s v="United Kingdom"/>
    <s v="R. Patel"/>
    <x v="4"/>
    <s v="Platform"/>
    <n v="0"/>
    <s v="N/A"/>
    <s v="High Value"/>
    <s v="Yes"/>
    <s v="No"/>
    <x v="2"/>
    <x v="1"/>
    <s v="EMEAQ3"/>
    <n v="147000"/>
  </r>
  <r>
    <s v="TXN-100460"/>
    <d v="2024-05-14T00:00:00"/>
    <x v="48"/>
    <s v="SVC-03"/>
    <n v="285.83"/>
    <x v="0"/>
    <s v="Debit Card"/>
    <s v="VIP account"/>
    <x v="1"/>
    <s v="Germany"/>
    <s v="J. Reyes"/>
    <x v="5"/>
    <s v="Billing"/>
    <n v="5.0000000000000001E-3"/>
    <s v="SMB"/>
    <s v="High Value"/>
    <s v="Yes"/>
    <s v="Yes"/>
    <x v="2"/>
    <x v="0"/>
    <s v="EMEAQ2"/>
    <n v="140000"/>
  </r>
  <r>
    <s v="TXN-101913"/>
    <d v="2024-02-15T00:00:00"/>
    <x v="90"/>
    <s v="SVC-01"/>
    <n v="276.64"/>
    <x v="3"/>
    <s v="Credit Card"/>
    <s v="callback requested"/>
    <x v="1"/>
    <s v="USA"/>
    <s v="A. Kim"/>
    <x v="0"/>
    <s v="Payments"/>
    <n v="2.9000000000000001E-2"/>
    <s v="N/A"/>
    <s v="Standard"/>
    <s v="No"/>
    <s v="Yes"/>
    <x v="0"/>
    <x v="3"/>
    <s v="NAQ1"/>
    <n v="247000"/>
  </r>
  <r>
    <s v="TXN-101005"/>
    <d v="2024-09-13T00:00:00"/>
    <x v="50"/>
    <s v="SVC-08"/>
    <n v="368.39"/>
    <x v="0"/>
    <s v="Wire Transfer"/>
    <m/>
    <x v="1"/>
    <s v="USA"/>
    <s v="M. Santos"/>
    <x v="1"/>
    <s v="Risk"/>
    <n v="2.5000000000000001E-3"/>
    <s v="SMB"/>
    <s v="High Value"/>
    <s v="Yes"/>
    <s v="Yes"/>
    <x v="0"/>
    <x v="1"/>
    <s v="NAQ3"/>
    <n v="273000"/>
  </r>
  <r>
    <s v="TXN-100614"/>
    <d v="2024-08-26T00:00:00"/>
    <x v="13"/>
    <s v="SVC-02"/>
    <n v="137.71"/>
    <x v="0"/>
    <s v="ACH"/>
    <s v="VIP account"/>
    <x v="0"/>
    <s v="Canada"/>
    <s v="J. Reyes"/>
    <x v="6"/>
    <s v="HR &amp; Payroll"/>
    <n v="0"/>
    <s v="Enterprise"/>
    <s v="Standard"/>
    <s v="Yes"/>
    <s v="Yes"/>
    <x v="0"/>
    <x v="1"/>
    <s v="NAQ3"/>
    <n v="273000"/>
  </r>
  <r>
    <s v="TXN-100885"/>
    <d v="2024-11-15T00:00:00"/>
    <x v="113"/>
    <s v="SVC-03"/>
    <n v="408.02"/>
    <x v="0"/>
    <s v="ACH"/>
    <m/>
    <x v="3"/>
    <s v="United Kingdom"/>
    <s v="R. Patel"/>
    <x v="5"/>
    <s v="Billing"/>
    <n v="5.0000000000000001E-3"/>
    <s v="Startup"/>
    <s v="High Value"/>
    <s v="Yes"/>
    <s v="Yes"/>
    <x v="2"/>
    <x v="2"/>
    <s v="EMEAQ4"/>
    <n v="161000"/>
  </r>
  <r>
    <s v="TXN-100786"/>
    <d v="2024-03-12T00:00:00"/>
    <x v="78"/>
    <s v="SVC-05"/>
    <n v="967.27"/>
    <x v="0"/>
    <s v="Debit Card"/>
    <m/>
    <x v="1"/>
    <s v="USA"/>
    <s v="L. Chen"/>
    <x v="3"/>
    <s v="Analytics"/>
    <n v="0"/>
    <s v="SMB"/>
    <s v="High Value"/>
    <s v="Yes"/>
    <s v="No"/>
    <x v="0"/>
    <x v="3"/>
    <s v="NAQ1"/>
    <n v="247000"/>
  </r>
  <r>
    <s v="TXN-100652"/>
    <d v="2024-06-28T00:00:00"/>
    <x v="92"/>
    <s v="SVC-01"/>
    <n v="797.67"/>
    <x v="0"/>
    <s v="Wire Transfer"/>
    <m/>
    <x v="1"/>
    <s v="Canada"/>
    <s v="R. Patel"/>
    <x v="0"/>
    <s v="Payments"/>
    <n v="2.9000000000000001E-2"/>
    <s v="SMB"/>
    <s v="High Value"/>
    <s v="Yes"/>
    <s v="Yes"/>
    <x v="0"/>
    <x v="0"/>
    <s v="NAQ2"/>
    <n v="260000"/>
  </r>
  <r>
    <s v="TXN-100080"/>
    <d v="2024-05-31T00:00:00"/>
    <x v="43"/>
    <s v="SVC-01"/>
    <n v="408.45"/>
    <x v="3"/>
    <s v="Debit Card"/>
    <s v="escalated to support"/>
    <x v="1"/>
    <s v="USA"/>
    <s v="M. Santos"/>
    <x v="0"/>
    <s v="Payments"/>
    <n v="2.9000000000000001E-2"/>
    <s v="N/A"/>
    <s v="Standard"/>
    <s v="Yes"/>
    <s v="No"/>
    <x v="0"/>
    <x v="0"/>
    <s v="NAQ2"/>
    <n v="260000"/>
  </r>
  <r>
    <s v="TXN-100945"/>
    <d v="2024-05-25T00:00:00"/>
    <x v="29"/>
    <s v="SVC-01"/>
    <n v="809.54"/>
    <x v="0"/>
    <s v="Wire Transfer"/>
    <m/>
    <x v="1"/>
    <s v="Germany"/>
    <s v="L. Chen"/>
    <x v="0"/>
    <s v="Payments"/>
    <n v="2.9000000000000001E-2"/>
    <s v="SMB"/>
    <s v="High Value"/>
    <s v="Yes"/>
    <s v="No"/>
    <x v="2"/>
    <x v="0"/>
    <s v="EMEAQ2"/>
    <n v="140000"/>
  </r>
  <r>
    <s v="TXN-101305"/>
    <d v="2024-08-01T00:00:00"/>
    <x v="114"/>
    <s v="SVC-04"/>
    <n v="302.85000000000002"/>
    <x v="0"/>
    <s v="ACH"/>
    <s v="callback requested"/>
    <x v="3"/>
    <s v="Australia"/>
    <s v="A. Kim"/>
    <x v="2"/>
    <s v="Risk"/>
    <n v="1E-3"/>
    <s v="Startup"/>
    <s v="High Value"/>
    <s v="Yes"/>
    <s v="Yes"/>
    <x v="1"/>
    <x v="1"/>
    <s v="APACQ3"/>
    <n v="115500"/>
  </r>
  <r>
    <s v="TXN-100348"/>
    <d v="2024-01-25T00:00:00"/>
    <x v="86"/>
    <s v="SVC-03"/>
    <n v="626.91"/>
    <x v="0"/>
    <s v="Credit Card"/>
    <s v="VIP account"/>
    <x v="1"/>
    <s v="Canada"/>
    <s v="L. Chen"/>
    <x v="5"/>
    <s v="Billing"/>
    <n v="5.0000000000000001E-3"/>
    <s v="SMB"/>
    <s v="High Value"/>
    <s v="Yes"/>
    <s v="Yes"/>
    <x v="0"/>
    <x v="3"/>
    <s v="NAQ1"/>
    <n v="247000"/>
  </r>
  <r>
    <s v="TXN-101537"/>
    <d v="2024-12-18T00:00:00"/>
    <x v="115"/>
    <s v="SVC-06"/>
    <n v="579.35"/>
    <x v="0"/>
    <s v="Wire Transfer"/>
    <s v="VIP account"/>
    <x v="3"/>
    <s v="USA"/>
    <s v="L. Chen"/>
    <x v="4"/>
    <s v="Platform"/>
    <n v="0"/>
    <s v="Startup"/>
    <s v="High Value"/>
    <s v="Yes"/>
    <s v="Yes"/>
    <x v="0"/>
    <x v="2"/>
    <s v="NAQ4"/>
    <n v="299000"/>
  </r>
  <r>
    <s v="TXN-100824"/>
    <d v="2024-04-30T00:00:00"/>
    <x v="92"/>
    <s v="SVC-03"/>
    <n v="457.33"/>
    <x v="0"/>
    <s v="Debit Card"/>
    <s v="VIP account"/>
    <x v="1"/>
    <s v="Canada"/>
    <s v="R. Patel"/>
    <x v="5"/>
    <s v="Billing"/>
    <n v="5.0000000000000001E-3"/>
    <s v="SMB"/>
    <s v="High Value"/>
    <s v="Yes"/>
    <s v="Yes"/>
    <x v="0"/>
    <x v="0"/>
    <s v="NAQ2"/>
    <n v="260000"/>
  </r>
  <r>
    <s v="TXN-100073"/>
    <d v="2024-02-01T00:00:00"/>
    <x v="64"/>
    <s v="SVC-03"/>
    <n v="777.92"/>
    <x v="0"/>
    <s v="Debit Card"/>
    <s v="escalated to support"/>
    <x v="1"/>
    <s v="United Kingdom"/>
    <s v="J. Reyes"/>
    <x v="5"/>
    <s v="Billing"/>
    <n v="5.0000000000000001E-3"/>
    <s v="SMB"/>
    <s v="High Value"/>
    <s v="Yes"/>
    <s v="No"/>
    <x v="2"/>
    <x v="3"/>
    <s v="EMEAQ1"/>
    <n v="133000"/>
  </r>
  <r>
    <s v="TXN-102204"/>
    <d v="2024-05-31T00:00:00"/>
    <x v="116"/>
    <s v="SVC-07"/>
    <n v="912.88"/>
    <x v="0"/>
    <s v="Debit Card"/>
    <m/>
    <x v="1"/>
    <s v="USA"/>
    <s v="J. Reyes"/>
    <x v="7"/>
    <s v="Support"/>
    <n v="0"/>
    <s v="SMB"/>
    <s v="High Value"/>
    <s v="Yes"/>
    <s v="Yes"/>
    <x v="0"/>
    <x v="0"/>
    <s v="NAQ2"/>
    <n v="260000"/>
  </r>
  <r>
    <s v="TXN-101989"/>
    <d v="2024-03-20T00:00:00"/>
    <x v="39"/>
    <s v="SVC-04"/>
    <n v="409.19"/>
    <x v="0"/>
    <s v="Debit Card"/>
    <s v="VIP account"/>
    <x v="1"/>
    <s v="United Kingdom"/>
    <s v="A. Kim"/>
    <x v="2"/>
    <s v="Risk"/>
    <n v="1E-3"/>
    <s v="SMB"/>
    <s v="High Value"/>
    <s v="Yes"/>
    <s v="Yes"/>
    <x v="2"/>
    <x v="3"/>
    <s v="EMEAQ1"/>
    <n v="133000"/>
  </r>
  <r>
    <s v="TXN-101669"/>
    <d v="2024-03-26T00:00:00"/>
    <x v="3"/>
    <s v="SVC-05"/>
    <n v="71.459999999999994"/>
    <x v="0"/>
    <s v="Credit Card"/>
    <s v="escalated to support"/>
    <x v="1"/>
    <s v="Canada"/>
    <s v="J. Reyes"/>
    <x v="3"/>
    <s v="Analytics"/>
    <n v="0"/>
    <s v="SMB"/>
    <s v="Standard"/>
    <s v="Yes"/>
    <s v="No"/>
    <x v="0"/>
    <x v="3"/>
    <s v="NAQ1"/>
    <n v="247000"/>
  </r>
  <r>
    <s v="TXN-101124"/>
    <d v="2024-11-09T00:00:00"/>
    <x v="89"/>
    <s v="SVC-04"/>
    <n v="694.89"/>
    <x v="1"/>
    <s v="Credit Card"/>
    <m/>
    <x v="0"/>
    <s v="USA"/>
    <s v="A. Kim"/>
    <x v="2"/>
    <s v="Risk"/>
    <n v="1E-3"/>
    <s v="N/A"/>
    <s v="High Value"/>
    <s v="Yes"/>
    <s v="Yes"/>
    <x v="0"/>
    <x v="2"/>
    <s v="NAQ4"/>
    <n v="299000"/>
  </r>
  <r>
    <s v="TXN-100110"/>
    <d v="2024-02-14T00:00:00"/>
    <x v="106"/>
    <s v="SVC-04"/>
    <n v="204.12"/>
    <x v="0"/>
    <s v="Wire Transfer"/>
    <s v="callback requested"/>
    <x v="1"/>
    <s v="USA"/>
    <s v="J. Reyes"/>
    <x v="2"/>
    <s v="Risk"/>
    <n v="1E-3"/>
    <s v="SMB"/>
    <s v="Standard"/>
    <s v="Yes"/>
    <s v="Yes"/>
    <x v="0"/>
    <x v="3"/>
    <s v="NAQ1"/>
    <n v="247000"/>
  </r>
  <r>
    <s v="TXN-101535"/>
    <d v="2024-02-13T00:00:00"/>
    <x v="89"/>
    <s v="SVC-01"/>
    <n v="282.14999999999998"/>
    <x v="0"/>
    <s v="Debit Card"/>
    <m/>
    <x v="0"/>
    <s v="USA"/>
    <s v="A. Kim"/>
    <x v="0"/>
    <s v="Payments"/>
    <n v="2.9000000000000001E-2"/>
    <s v="Enterprise"/>
    <s v="Standard"/>
    <s v="No"/>
    <s v="Yes"/>
    <x v="0"/>
    <x v="3"/>
    <s v="NAQ1"/>
    <n v="247000"/>
  </r>
  <r>
    <s v="TXN-100315"/>
    <d v="2024-12-14T00:00:00"/>
    <x v="55"/>
    <s v="SVC-03"/>
    <n v="256.25"/>
    <x v="0"/>
    <s v="ACH"/>
    <m/>
    <x v="3"/>
    <s v="USA"/>
    <s v="J. Reyes"/>
    <x v="5"/>
    <s v="Billing"/>
    <n v="5.0000000000000001E-3"/>
    <s v="Startup"/>
    <s v="High Value"/>
    <s v="Yes"/>
    <s v="Yes"/>
    <x v="0"/>
    <x v="2"/>
    <s v="NAQ4"/>
    <n v="299000"/>
  </r>
  <r>
    <s v="TXN-101126"/>
    <d v="2024-04-10T00:00:00"/>
    <x v="103"/>
    <s v="SVC-06"/>
    <n v="220.81"/>
    <x v="0"/>
    <s v="Wire Transfer"/>
    <s v="escalated to support"/>
    <x v="1"/>
    <s v="United Kingdom"/>
    <s v="R. Patel"/>
    <x v="4"/>
    <s v="Platform"/>
    <n v="0"/>
    <s v="SMB"/>
    <s v="Standard"/>
    <s v="Yes"/>
    <s v="Yes"/>
    <x v="2"/>
    <x v="0"/>
    <s v="EMEAQ2"/>
    <n v="140000"/>
  </r>
  <r>
    <s v="TXN-100815"/>
    <d v="2024-02-28T00:00:00"/>
    <x v="81"/>
    <s v="SVC-01"/>
    <n v="469.76"/>
    <x v="0"/>
    <s v="Credit Card"/>
    <m/>
    <x v="3"/>
    <s v="Germany"/>
    <s v="R. Patel"/>
    <x v="0"/>
    <s v="Payments"/>
    <n v="2.9000000000000001E-2"/>
    <s v="Startup"/>
    <s v="Standard"/>
    <s v="Yes"/>
    <s v="Yes"/>
    <x v="2"/>
    <x v="3"/>
    <s v="EMEAQ1"/>
    <n v="133000"/>
  </r>
  <r>
    <s v="TXN-100633"/>
    <d v="2024-07-09T00:00:00"/>
    <x v="98"/>
    <s v="SVC-02"/>
    <n v="489.19"/>
    <x v="0"/>
    <s v="Credit Card"/>
    <s v="callback requested"/>
    <x v="1"/>
    <s v="Philippines"/>
    <s v="T. Novak"/>
    <x v="6"/>
    <s v="HR &amp; Payroll"/>
    <n v="0"/>
    <s v="SMB"/>
    <s v="High Value"/>
    <s v="Yes"/>
    <s v="Yes"/>
    <x v="1"/>
    <x v="1"/>
    <s v="APACQ3"/>
    <n v="115500"/>
  </r>
  <r>
    <s v="TXN-102073"/>
    <d v="2024-01-05T00:00:00"/>
    <x v="49"/>
    <s v="SVC-01"/>
    <n v="-229.64"/>
    <x v="2"/>
    <s v="Credit Card"/>
    <m/>
    <x v="1"/>
    <s v="USA"/>
    <s v="A. Kim"/>
    <x v="0"/>
    <s v="Payments"/>
    <n v="2.9000000000000001E-2"/>
    <s v="N/A"/>
    <s v="Refund"/>
    <s v="No"/>
    <s v="No"/>
    <x v="0"/>
    <x v="3"/>
    <s v="NAQ1"/>
    <n v="247000"/>
  </r>
  <r>
    <s v="TXN-101007"/>
    <d v="2024-10-17T00:00:00"/>
    <x v="25"/>
    <s v="SVC-08"/>
    <n v="117.26"/>
    <x v="0"/>
    <s v="Debit Card"/>
    <m/>
    <x v="0"/>
    <s v="USA"/>
    <s v="A. Kim"/>
    <x v="1"/>
    <s v="Risk"/>
    <n v="2.5000000000000001E-3"/>
    <s v="Enterprise"/>
    <s v="Standard"/>
    <s v="Yes"/>
    <s v="Yes"/>
    <x v="0"/>
    <x v="2"/>
    <s v="NAQ4"/>
    <n v="299000"/>
  </r>
  <r>
    <s v="TXN-101500"/>
    <d v="2024-01-13T00:00:00"/>
    <x v="92"/>
    <s v="SVC-06"/>
    <n v="328.84"/>
    <x v="0"/>
    <s v="ACH"/>
    <s v="escalated to support"/>
    <x v="1"/>
    <s v="Canada"/>
    <s v="R. Patel"/>
    <x v="4"/>
    <s v="Platform"/>
    <n v="0"/>
    <s v="SMB"/>
    <s v="High Value"/>
    <s v="Yes"/>
    <s v="Yes"/>
    <x v="0"/>
    <x v="3"/>
    <s v="NAQ1"/>
    <n v="247000"/>
  </r>
  <r>
    <s v="TXN-100209"/>
    <d v="2024-11-08T00:00:00"/>
    <x v="87"/>
    <s v="SVC-04"/>
    <n v="349.14"/>
    <x v="0"/>
    <s v="Credit Card"/>
    <s v="callback requested"/>
    <x v="1"/>
    <s v="United Kingdom"/>
    <s v="J. Reyes"/>
    <x v="2"/>
    <s v="Risk"/>
    <n v="1E-3"/>
    <s v="SMB"/>
    <s v="High Value"/>
    <s v="Yes"/>
    <s v="Yes"/>
    <x v="2"/>
    <x v="2"/>
    <s v="EMEAQ4"/>
    <n v="161000"/>
  </r>
  <r>
    <s v="TXN-101608"/>
    <d v="2024-12-30T00:00:00"/>
    <x v="1"/>
    <s v="SVC-04"/>
    <n v="540.76"/>
    <x v="0"/>
    <s v="Credit Card"/>
    <m/>
    <x v="0"/>
    <s v="USA"/>
    <s v="J. Reyes"/>
    <x v="2"/>
    <s v="Risk"/>
    <n v="1E-3"/>
    <s v="Enterprise"/>
    <s v="High Value"/>
    <s v="Yes"/>
    <s v="No"/>
    <x v="0"/>
    <x v="2"/>
    <s v="NAQ4"/>
    <n v="299000"/>
  </r>
  <r>
    <s v="TXN-101795"/>
    <d v="2024-01-05T00:00:00"/>
    <x v="20"/>
    <s v="SVC-02"/>
    <n v="1147.28"/>
    <x v="1"/>
    <s v="Credit Card"/>
    <s v="callback requested"/>
    <x v="1"/>
    <s v="USA"/>
    <s v="R. Patel"/>
    <x v="6"/>
    <s v="HR &amp; Payroll"/>
    <n v="0"/>
    <s v="N/A"/>
    <s v="High Value"/>
    <s v="Yes"/>
    <s v="Yes"/>
    <x v="0"/>
    <x v="3"/>
    <s v="NAQ1"/>
    <n v="247000"/>
  </r>
  <r>
    <s v="TXN-102355"/>
    <d v="2024-10-19T00:00:00"/>
    <x v="3"/>
    <s v="SVC-01"/>
    <n v="435.17"/>
    <x v="0"/>
    <s v="Debit Card"/>
    <m/>
    <x v="1"/>
    <s v="Canada"/>
    <s v="J. Reyes"/>
    <x v="0"/>
    <s v="Payments"/>
    <n v="2.9000000000000001E-2"/>
    <s v="SMB"/>
    <s v="Standard"/>
    <s v="Yes"/>
    <s v="Yes"/>
    <x v="0"/>
    <x v="2"/>
    <s v="NAQ4"/>
    <n v="299000"/>
  </r>
  <r>
    <s v="TXN-100400"/>
    <d v="2024-10-03T00:00:00"/>
    <x v="106"/>
    <s v="SVC-07"/>
    <n v="569.19000000000005"/>
    <x v="3"/>
    <s v="Debit Card"/>
    <s v="escalated to support"/>
    <x v="1"/>
    <s v="USA"/>
    <s v="J. Reyes"/>
    <x v="7"/>
    <s v="Support"/>
    <n v="0"/>
    <s v="N/A"/>
    <s v="High Value"/>
    <s v="Yes"/>
    <s v="Yes"/>
    <x v="0"/>
    <x v="2"/>
    <s v="NAQ4"/>
    <n v="299000"/>
  </r>
  <r>
    <s v="TXN-100970"/>
    <d v="2024-12-18T00:00:00"/>
    <x v="31"/>
    <m/>
    <n v="576.82000000000005"/>
    <x v="0"/>
    <s v="Debit Card"/>
    <s v="escalated to support"/>
    <x v="0"/>
    <s v="Philippines"/>
    <s v="M. Santos"/>
    <x v="8"/>
    <m/>
    <m/>
    <s v="Enterprise"/>
    <s v="High Value"/>
    <e v="#N/A"/>
    <s v="No"/>
    <x v="1"/>
    <x v="2"/>
    <s v="APACQ4"/>
    <n v="126500"/>
  </r>
  <r>
    <s v="TXN-101730"/>
    <d v="2024-02-07T00:00:00"/>
    <x v="59"/>
    <s v="SVC-02"/>
    <n v="502.41"/>
    <x v="1"/>
    <s v="Credit Card"/>
    <s v="callback requested"/>
    <x v="1"/>
    <s v="USA"/>
    <s v="R. Patel"/>
    <x v="6"/>
    <s v="HR &amp; Payroll"/>
    <n v="0"/>
    <s v="N/A"/>
    <s v="High Value"/>
    <s v="Yes"/>
    <s v="Yes"/>
    <x v="0"/>
    <x v="3"/>
    <s v="NAQ1"/>
    <n v="247000"/>
  </r>
  <r>
    <s v="TXN-100515"/>
    <d v="2024-10-07T00:00:00"/>
    <x v="86"/>
    <s v="SVC-01"/>
    <n v="588.36"/>
    <x v="0"/>
    <s v="Debit Card"/>
    <m/>
    <x v="1"/>
    <s v="Canada"/>
    <s v="L. Chen"/>
    <x v="0"/>
    <s v="Payments"/>
    <n v="2.9000000000000001E-2"/>
    <s v="SMB"/>
    <s v="High Value"/>
    <s v="Yes"/>
    <s v="Yes"/>
    <x v="0"/>
    <x v="2"/>
    <s v="NAQ4"/>
    <n v="299000"/>
  </r>
  <r>
    <s v="TXN-102060"/>
    <d v="2024-10-15T00:00:00"/>
    <x v="70"/>
    <s v="SVC-08"/>
    <n v="2034.81"/>
    <x v="0"/>
    <s v="ACH"/>
    <m/>
    <x v="3"/>
    <s v="Singapore"/>
    <s v="A. Kim"/>
    <x v="1"/>
    <s v="Risk"/>
    <n v="2.5000000000000001E-3"/>
    <s v="Startup"/>
    <s v="High Value"/>
    <s v="Yes"/>
    <s v="Yes"/>
    <x v="1"/>
    <x v="2"/>
    <s v="APACQ4"/>
    <n v="126500"/>
  </r>
  <r>
    <s v="TXN-102394"/>
    <d v="2024-02-26T00:00:00"/>
    <x v="26"/>
    <s v="SVC-04"/>
    <n v="810.89"/>
    <x v="0"/>
    <s v="Credit Card"/>
    <s v="escalated to support"/>
    <x v="3"/>
    <s v="USA"/>
    <s v="R. Patel"/>
    <x v="2"/>
    <s v="Risk"/>
    <n v="1E-3"/>
    <s v="Startup"/>
    <s v="High Value"/>
    <s v="Yes"/>
    <s v="No"/>
    <x v="0"/>
    <x v="3"/>
    <s v="NAQ1"/>
    <n v="247000"/>
  </r>
  <r>
    <s v="TXN-100116"/>
    <d v="2024-01-16T00:00:00"/>
    <x v="89"/>
    <s v="SVC-04"/>
    <n v="371.02"/>
    <x v="0"/>
    <s v="ACH"/>
    <m/>
    <x v="0"/>
    <s v="USA"/>
    <s v="A. Kim"/>
    <x v="2"/>
    <s v="Risk"/>
    <n v="1E-3"/>
    <s v="Enterprise"/>
    <s v="High Value"/>
    <s v="Yes"/>
    <s v="No"/>
    <x v="0"/>
    <x v="3"/>
    <s v="NAQ1"/>
    <n v="247000"/>
  </r>
  <r>
    <s v="TXN-100191"/>
    <d v="2024-03-27T00:00:00"/>
    <x v="2"/>
    <s v="SVC-05"/>
    <n v="1248.56"/>
    <x v="0"/>
    <s v="Credit Card"/>
    <m/>
    <x v="0"/>
    <s v="USA"/>
    <s v="A. Kim"/>
    <x v="3"/>
    <s v="Analytics"/>
    <n v="0"/>
    <s v="Enterprise"/>
    <s v="High Value"/>
    <s v="Yes"/>
    <s v="No"/>
    <x v="0"/>
    <x v="3"/>
    <s v="NAQ1"/>
    <n v="247000"/>
  </r>
  <r>
    <s v="TXN-101896"/>
    <d v="2024-01-28T00:00:00"/>
    <x v="13"/>
    <s v="SVC-07"/>
    <n v="352.33"/>
    <x v="0"/>
    <s v="Wire Transfer"/>
    <s v="callback requested"/>
    <x v="0"/>
    <s v="Canada"/>
    <s v="J. Reyes"/>
    <x v="7"/>
    <s v="Support"/>
    <n v="0"/>
    <s v="Enterprise"/>
    <s v="High Value"/>
    <s v="Yes"/>
    <s v="Yes"/>
    <x v="0"/>
    <x v="3"/>
    <s v="NAQ1"/>
    <n v="247000"/>
  </r>
  <r>
    <s v="TXN-100762"/>
    <d v="2024-07-03T00:00:00"/>
    <x v="55"/>
    <s v="SVC-06"/>
    <n v="114.04"/>
    <x v="0"/>
    <s v="Credit Card"/>
    <s v="callback requested"/>
    <x v="3"/>
    <s v="USA"/>
    <s v="J. Reyes"/>
    <x v="4"/>
    <s v="Platform"/>
    <n v="0"/>
    <s v="Startup"/>
    <s v="Standard"/>
    <s v="Yes"/>
    <s v="Yes"/>
    <x v="0"/>
    <x v="1"/>
    <s v="NAQ3"/>
    <n v="273000"/>
  </r>
  <r>
    <s v="TXN-100704"/>
    <d v="2024-04-06T00:00:00"/>
    <x v="71"/>
    <s v="SVC-05"/>
    <n v="1000.11"/>
    <x v="0"/>
    <s v="ACH"/>
    <m/>
    <x v="1"/>
    <s v="United Kingdom"/>
    <s v="R. Patel"/>
    <x v="3"/>
    <s v="Analytics"/>
    <n v="0"/>
    <s v="SMB"/>
    <s v="High Value"/>
    <s v="Yes"/>
    <s v="No"/>
    <x v="2"/>
    <x v="0"/>
    <s v="EMEAQ2"/>
    <n v="140000"/>
  </r>
  <r>
    <s v="TXN-100104"/>
    <d v="2024-10-17T00:00:00"/>
    <x v="77"/>
    <s v="SVC-02"/>
    <n v="222.44"/>
    <x v="0"/>
    <s v="Credit Card"/>
    <m/>
    <x v="1"/>
    <s v="Australia"/>
    <s v="L. Chen"/>
    <x v="6"/>
    <s v="HR &amp; Payroll"/>
    <n v="0"/>
    <s v="SMB"/>
    <s v="Standard"/>
    <s v="Yes"/>
    <s v="Yes"/>
    <x v="1"/>
    <x v="2"/>
    <s v="APACQ4"/>
    <n v="126500"/>
  </r>
  <r>
    <s v="TXN-102295"/>
    <d v="2024-10-01T00:00:00"/>
    <x v="6"/>
    <s v="SVC-06"/>
    <n v="1005.06"/>
    <x v="0"/>
    <s v="ACH"/>
    <s v="callback requested"/>
    <x v="0"/>
    <s v="United Kingdom"/>
    <s v="R. Patel"/>
    <x v="4"/>
    <s v="Platform"/>
    <n v="0"/>
    <s v="Enterprise"/>
    <s v="High Value"/>
    <s v="Yes"/>
    <s v="Yes"/>
    <x v="2"/>
    <x v="2"/>
    <s v="EMEAQ4"/>
    <n v="161000"/>
  </r>
  <r>
    <s v="TXN-101337"/>
    <d v="2024-11-04T00:00:00"/>
    <x v="41"/>
    <s v="SVC-01"/>
    <n v="191.93"/>
    <x v="3"/>
    <s v="Credit Card"/>
    <m/>
    <x v="0"/>
    <s v="Canada"/>
    <s v="M. Santos"/>
    <x v="0"/>
    <s v="Payments"/>
    <n v="2.9000000000000001E-2"/>
    <s v="N/A"/>
    <s v="Standard"/>
    <s v="No"/>
    <s v="No"/>
    <x v="0"/>
    <x v="2"/>
    <s v="NAQ4"/>
    <n v="299000"/>
  </r>
  <r>
    <s v="TXN-101746"/>
    <d v="2024-03-27T00:00:00"/>
    <x v="117"/>
    <s v="SVC-05"/>
    <n v="230.95"/>
    <x v="3"/>
    <s v="ACH"/>
    <s v="callback requested"/>
    <x v="1"/>
    <s v="Canada"/>
    <s v="A. Kim"/>
    <x v="3"/>
    <s v="Analytics"/>
    <n v="0"/>
    <s v="N/A"/>
    <s v="Standard"/>
    <s v="Yes"/>
    <s v="Yes"/>
    <x v="0"/>
    <x v="3"/>
    <s v="NAQ1"/>
    <n v="247000"/>
  </r>
  <r>
    <s v="TXN-100468"/>
    <d v="2024-11-22T00:00:00"/>
    <x v="89"/>
    <s v="SVC-06"/>
    <n v="412.21"/>
    <x v="0"/>
    <s v="Wire Transfer"/>
    <s v="callback requested"/>
    <x v="0"/>
    <s v="USA"/>
    <s v="A. Kim"/>
    <x v="4"/>
    <s v="Platform"/>
    <n v="0"/>
    <s v="Enterprise"/>
    <s v="High Value"/>
    <s v="Yes"/>
    <s v="Yes"/>
    <x v="0"/>
    <x v="2"/>
    <s v="NAQ4"/>
    <n v="299000"/>
  </r>
  <r>
    <s v="TXN-101654"/>
    <d v="2024-01-11T00:00:00"/>
    <x v="82"/>
    <s v="SVC-01"/>
    <n v="372.1"/>
    <x v="0"/>
    <s v="Credit Card"/>
    <s v="VIP account"/>
    <x v="1"/>
    <s v="USA"/>
    <s v="T. Novak"/>
    <x v="0"/>
    <s v="Payments"/>
    <n v="2.9000000000000001E-2"/>
    <s v="SMB"/>
    <s v="Standard"/>
    <s v="Yes"/>
    <s v="Yes"/>
    <x v="0"/>
    <x v="3"/>
    <s v="NAQ1"/>
    <n v="247000"/>
  </r>
  <r>
    <s v="TXN-101531"/>
    <d v="2024-03-15T00:00:00"/>
    <x v="40"/>
    <s v="SVC-07"/>
    <n v="157.62"/>
    <x v="3"/>
    <s v="Credit Card"/>
    <m/>
    <x v="1"/>
    <s v="Philippines"/>
    <s v="M. Santos"/>
    <x v="7"/>
    <s v="Support"/>
    <n v="0"/>
    <s v="N/A"/>
    <s v="Standard"/>
    <s v="Yes"/>
    <s v="No"/>
    <x v="1"/>
    <x v="3"/>
    <s v="APACQ1"/>
    <n v="104500"/>
  </r>
  <r>
    <s v="TXN-101567"/>
    <d v="2024-03-20T00:00:00"/>
    <x v="26"/>
    <s v="SVC-01"/>
    <n v="244.68"/>
    <x v="3"/>
    <s v="Credit Card"/>
    <m/>
    <x v="3"/>
    <s v="USA"/>
    <s v="R. Patel"/>
    <x v="0"/>
    <s v="Payments"/>
    <n v="2.9000000000000001E-2"/>
    <s v="N/A"/>
    <s v="Standard"/>
    <s v="No"/>
    <s v="No"/>
    <x v="0"/>
    <x v="3"/>
    <s v="NAQ1"/>
    <n v="247000"/>
  </r>
  <r>
    <s v="TXN-102120"/>
    <d v="2024-10-25T00:00:00"/>
    <x v="1"/>
    <s v="SVC-01"/>
    <n v="358.13"/>
    <x v="0"/>
    <s v="Credit Card"/>
    <m/>
    <x v="0"/>
    <s v="USA"/>
    <s v="J. Reyes"/>
    <x v="0"/>
    <s v="Payments"/>
    <n v="2.9000000000000001E-2"/>
    <s v="Enterprise"/>
    <s v="Standard"/>
    <s v="Yes"/>
    <s v="No"/>
    <x v="0"/>
    <x v="2"/>
    <s v="NAQ4"/>
    <n v="299000"/>
  </r>
  <r>
    <s v="TXN-102328"/>
    <d v="2024-03-02T00:00:00"/>
    <x v="6"/>
    <s v="SVC-03"/>
    <n v="-166.59"/>
    <x v="2"/>
    <s v="ACH"/>
    <m/>
    <x v="0"/>
    <s v="United Kingdom"/>
    <s v="R. Patel"/>
    <x v="5"/>
    <s v="Billing"/>
    <n v="5.0000000000000001E-3"/>
    <s v="N/A"/>
    <s v="Refund"/>
    <s v="No"/>
    <s v="Yes"/>
    <x v="2"/>
    <x v="3"/>
    <s v="EMEAQ1"/>
    <n v="133000"/>
  </r>
  <r>
    <s v="TXN-102177"/>
    <d v="2024-12-04T00:00:00"/>
    <x v="73"/>
    <s v="SVC-02"/>
    <n v="703.78"/>
    <x v="0"/>
    <s v="ACH"/>
    <s v="VIP account"/>
    <x v="1"/>
    <s v="United Kingdom"/>
    <s v="R. Patel"/>
    <x v="6"/>
    <s v="HR &amp; Payroll"/>
    <n v="0"/>
    <s v="SMB"/>
    <s v="High Value"/>
    <s v="Yes"/>
    <s v="Yes"/>
    <x v="2"/>
    <x v="2"/>
    <s v="EMEAQ4"/>
    <n v="161000"/>
  </r>
  <r>
    <s v="TXN-102006"/>
    <d v="2024-07-16T00:00:00"/>
    <x v="106"/>
    <s v="SVC-07"/>
    <n v="420.26"/>
    <x v="0"/>
    <s v="ACH"/>
    <m/>
    <x v="1"/>
    <s v="USA"/>
    <s v="J. Reyes"/>
    <x v="7"/>
    <s v="Support"/>
    <n v="0"/>
    <s v="SMB"/>
    <s v="High Value"/>
    <s v="Yes"/>
    <s v="No"/>
    <x v="0"/>
    <x v="1"/>
    <s v="NAQ3"/>
    <n v="273000"/>
  </r>
  <r>
    <s v="TXN-102530"/>
    <d v="2024-08-06T00:00:00"/>
    <x v="113"/>
    <s v="SVC-07"/>
    <n v="257.5"/>
    <x v="0"/>
    <s v="Debit Card"/>
    <s v="callback requested"/>
    <x v="3"/>
    <s v="United Kingdom"/>
    <s v="R. Patel"/>
    <x v="7"/>
    <s v="Support"/>
    <n v="0"/>
    <s v="Startup"/>
    <s v="High Value"/>
    <s v="Yes"/>
    <s v="Yes"/>
    <x v="2"/>
    <x v="1"/>
    <s v="EMEAQ3"/>
    <n v="147000"/>
  </r>
  <r>
    <s v="TXN-101873"/>
    <d v="2024-05-22T00:00:00"/>
    <x v="66"/>
    <s v="SVC-07"/>
    <n v="914.57"/>
    <x v="0"/>
    <s v="ACH"/>
    <s v="VIP account"/>
    <x v="3"/>
    <s v="Australia"/>
    <s v="L. Chen"/>
    <x v="7"/>
    <s v="Support"/>
    <n v="0"/>
    <s v="Startup"/>
    <s v="High Value"/>
    <s v="Yes"/>
    <s v="Yes"/>
    <x v="1"/>
    <x v="0"/>
    <s v="APACQ2"/>
    <n v="110000"/>
  </r>
  <r>
    <s v="TXN-102332"/>
    <d v="2024-02-09T00:00:00"/>
    <x v="118"/>
    <s v="SVC-03"/>
    <n v="17.239999999999998"/>
    <x v="0"/>
    <s v="Debit Card"/>
    <s v="callback requested"/>
    <x v="1"/>
    <s v="USA"/>
    <s v="L. Chen"/>
    <x v="5"/>
    <s v="Billing"/>
    <n v="5.0000000000000001E-3"/>
    <s v="SMB"/>
    <s v="Standard"/>
    <s v="No"/>
    <s v="Yes"/>
    <x v="0"/>
    <x v="3"/>
    <s v="NAQ1"/>
    <n v="247000"/>
  </r>
  <r>
    <s v="TXN-102288"/>
    <d v="2024-10-28T00:00:00"/>
    <x v="65"/>
    <s v="SVC-06"/>
    <n v="225.84"/>
    <x v="3"/>
    <s v="Credit Card"/>
    <m/>
    <x v="0"/>
    <s v="USA"/>
    <s v="A. Kim"/>
    <x v="4"/>
    <s v="Platform"/>
    <n v="0"/>
    <s v="N/A"/>
    <s v="Standard"/>
    <s v="Yes"/>
    <s v="No"/>
    <x v="0"/>
    <x v="2"/>
    <s v="NAQ4"/>
    <n v="299000"/>
  </r>
  <r>
    <s v="TXN-102553"/>
    <d v="2024-10-08T00:00:00"/>
    <x v="23"/>
    <s v="SVC-01"/>
    <n v="694.85"/>
    <x v="0"/>
    <s v="Credit Card"/>
    <s v="callback requested"/>
    <x v="0"/>
    <s v="USA"/>
    <s v="L. Chen"/>
    <x v="0"/>
    <s v="Payments"/>
    <n v="2.9000000000000001E-2"/>
    <s v="Enterprise"/>
    <s v="High Value"/>
    <s v="Yes"/>
    <s v="No"/>
    <x v="0"/>
    <x v="2"/>
    <s v="NAQ4"/>
    <n v="299000"/>
  </r>
  <r>
    <s v="TXN-101423"/>
    <d v="2024-08-09T00:00:00"/>
    <x v="52"/>
    <s v="SVC-06"/>
    <n v="1246.29"/>
    <x v="3"/>
    <s v="Credit Card"/>
    <s v="escalated to support"/>
    <x v="1"/>
    <s v="USA"/>
    <s v="M. Santos"/>
    <x v="4"/>
    <s v="Platform"/>
    <n v="0"/>
    <s v="N/A"/>
    <s v="High Value"/>
    <s v="Yes"/>
    <s v="No"/>
    <x v="0"/>
    <x v="1"/>
    <s v="NAQ3"/>
    <n v="273000"/>
  </r>
  <r>
    <s v="TXN-101077"/>
    <d v="2024-03-31T00:00:00"/>
    <x v="98"/>
    <s v="SVC-02"/>
    <n v="-623.62"/>
    <x v="2"/>
    <s v="ACH"/>
    <m/>
    <x v="1"/>
    <s v="Philippines"/>
    <s v="T. Novak"/>
    <x v="6"/>
    <s v="HR &amp; Payroll"/>
    <n v="0"/>
    <s v="N/A"/>
    <s v="Refund"/>
    <s v="No"/>
    <s v="No"/>
    <x v="1"/>
    <x v="3"/>
    <s v="APACQ1"/>
    <n v="104500"/>
  </r>
  <r>
    <s v="TXN-100843"/>
    <d v="2024-08-21T00:00:00"/>
    <x v="32"/>
    <s v="SVC-01"/>
    <n v="84.77"/>
    <x v="0"/>
    <s v="Debit Card"/>
    <s v="callback requested"/>
    <x v="1"/>
    <s v="Philippines"/>
    <s v="T. Novak"/>
    <x v="0"/>
    <s v="Payments"/>
    <n v="2.9000000000000001E-2"/>
    <s v="SMB"/>
    <s v="Standard"/>
    <s v="No"/>
    <s v="No"/>
    <x v="1"/>
    <x v="1"/>
    <s v="APACQ3"/>
    <n v="115500"/>
  </r>
  <r>
    <s v="TXN-101298"/>
    <d v="2024-09-04T00:00:00"/>
    <x v="42"/>
    <s v="SVC-02"/>
    <n v="518.41999999999996"/>
    <x v="0"/>
    <s v="ACH"/>
    <s v="VIP account"/>
    <x v="1"/>
    <s v="Australia"/>
    <s v="M. Santos"/>
    <x v="6"/>
    <s v="HR &amp; Payroll"/>
    <n v="0"/>
    <s v="SMB"/>
    <s v="High Value"/>
    <s v="Yes"/>
    <s v="Yes"/>
    <x v="1"/>
    <x v="1"/>
    <s v="APACQ3"/>
    <n v="115500"/>
  </r>
  <r>
    <s v="TXN-100626"/>
    <d v="2024-08-17T00:00:00"/>
    <x v="59"/>
    <s v="SVC-01"/>
    <n v="731.62"/>
    <x v="0"/>
    <s v="Credit Card"/>
    <m/>
    <x v="1"/>
    <s v="USA"/>
    <s v="R. Patel"/>
    <x v="0"/>
    <s v="Payments"/>
    <n v="2.9000000000000001E-2"/>
    <s v="SMB"/>
    <s v="High Value"/>
    <s v="Yes"/>
    <s v="No"/>
    <x v="0"/>
    <x v="1"/>
    <s v="NAQ3"/>
    <n v="273000"/>
  </r>
  <r>
    <s v="TXN-101577"/>
    <d v="2024-06-18T00:00:00"/>
    <x v="95"/>
    <s v="SVC-01"/>
    <n v="967.94"/>
    <x v="0"/>
    <s v="ACH"/>
    <m/>
    <x v="1"/>
    <s v="USA"/>
    <s v="R. Patel"/>
    <x v="0"/>
    <s v="Payments"/>
    <n v="2.9000000000000001E-2"/>
    <s v="SMB"/>
    <s v="High Value"/>
    <s v="Yes"/>
    <s v="No"/>
    <x v="0"/>
    <x v="0"/>
    <s v="NAQ2"/>
    <n v="260000"/>
  </r>
  <r>
    <s v="TXN-101330"/>
    <d v="2024-01-09T00:00:00"/>
    <x v="23"/>
    <s v="SVC-07"/>
    <n v="-290.39"/>
    <x v="2"/>
    <s v="Credit Card"/>
    <m/>
    <x v="0"/>
    <s v="USA"/>
    <s v="L. Chen"/>
    <x v="7"/>
    <s v="Support"/>
    <n v="0"/>
    <s v="N/A"/>
    <s v="Refund"/>
    <s v="No"/>
    <s v="Yes"/>
    <x v="0"/>
    <x v="3"/>
    <s v="NAQ1"/>
    <n v="247000"/>
  </r>
  <r>
    <s v="TXN-101776"/>
    <d v="2024-02-27T00:00:00"/>
    <x v="25"/>
    <s v="SVC-08"/>
    <n v="441.15"/>
    <x v="1"/>
    <s v="ACH"/>
    <m/>
    <x v="0"/>
    <s v="USA"/>
    <s v="A. Kim"/>
    <x v="1"/>
    <s v="Risk"/>
    <n v="2.5000000000000001E-3"/>
    <s v="N/A"/>
    <s v="High Value"/>
    <s v="Yes"/>
    <s v="No"/>
    <x v="0"/>
    <x v="3"/>
    <s v="NAQ1"/>
    <n v="247000"/>
  </r>
  <r>
    <s v="TXN-100676"/>
    <d v="2024-10-20T00:00:00"/>
    <x v="117"/>
    <s v="SVC-01"/>
    <n v="687.42"/>
    <x v="0"/>
    <s v="Wire Transfer"/>
    <m/>
    <x v="1"/>
    <s v="Canada"/>
    <s v="A. Kim"/>
    <x v="0"/>
    <s v="Payments"/>
    <n v="2.9000000000000001E-2"/>
    <s v="SMB"/>
    <s v="High Value"/>
    <s v="Yes"/>
    <s v="Yes"/>
    <x v="0"/>
    <x v="2"/>
    <s v="NAQ4"/>
    <n v="299000"/>
  </r>
  <r>
    <s v="TXN-100840"/>
    <d v="2024-04-15T00:00:00"/>
    <x v="23"/>
    <s v="SVC-08"/>
    <n v="1049.8399999999999"/>
    <x v="0"/>
    <s v="Credit Card"/>
    <s v="escalated to support"/>
    <x v="0"/>
    <s v="USA"/>
    <s v="L. Chen"/>
    <x v="1"/>
    <s v="Risk"/>
    <n v="2.5000000000000001E-3"/>
    <s v="Enterprise"/>
    <s v="High Value"/>
    <s v="Yes"/>
    <s v="Yes"/>
    <x v="0"/>
    <x v="0"/>
    <s v="NAQ2"/>
    <n v="260000"/>
  </r>
  <r>
    <s v="TXN-101106"/>
    <d v="2024-08-27T00:00:00"/>
    <x v="47"/>
    <s v="SVC-08"/>
    <n v="508.1"/>
    <x v="1"/>
    <s v="ACH"/>
    <m/>
    <x v="1"/>
    <s v="Canada"/>
    <s v="R. Patel"/>
    <x v="1"/>
    <s v="Risk"/>
    <n v="2.5000000000000001E-3"/>
    <s v="N/A"/>
    <s v="High Value"/>
    <s v="Yes"/>
    <s v="Yes"/>
    <x v="0"/>
    <x v="1"/>
    <s v="NAQ3"/>
    <n v="273000"/>
  </r>
  <r>
    <s v="TXN-102084"/>
    <d v="2024-03-13T00:00:00"/>
    <x v="87"/>
    <s v="SVC-05"/>
    <n v="1219.83"/>
    <x v="0"/>
    <s v="Debit Card"/>
    <m/>
    <x v="1"/>
    <s v="United Kingdom"/>
    <s v="J. Reyes"/>
    <x v="3"/>
    <s v="Analytics"/>
    <n v="0"/>
    <s v="SMB"/>
    <s v="High Value"/>
    <s v="Yes"/>
    <s v="Yes"/>
    <x v="2"/>
    <x v="3"/>
    <s v="EMEAQ1"/>
    <n v="133000"/>
  </r>
  <r>
    <s v="TXN-101195"/>
    <d v="2024-09-01T00:00:00"/>
    <x v="90"/>
    <s v="SVC-03"/>
    <n v="458.27"/>
    <x v="0"/>
    <s v="Credit Card"/>
    <s v="escalated to support"/>
    <x v="1"/>
    <s v="USA"/>
    <s v="A. Kim"/>
    <x v="5"/>
    <s v="Billing"/>
    <n v="5.0000000000000001E-3"/>
    <s v="SMB"/>
    <s v="High Value"/>
    <s v="Yes"/>
    <s v="No"/>
    <x v="0"/>
    <x v="1"/>
    <s v="NAQ3"/>
    <n v="273000"/>
  </r>
  <r>
    <s v="TXN-102035"/>
    <d v="2024-07-05T00:00:00"/>
    <x v="54"/>
    <s v="SVC-01"/>
    <n v="353.54"/>
    <x v="3"/>
    <s v="Debit Card"/>
    <m/>
    <x v="1"/>
    <s v="USA"/>
    <s v="J. Reyes"/>
    <x v="0"/>
    <s v="Payments"/>
    <n v="2.9000000000000001E-2"/>
    <s v="N/A"/>
    <s v="Standard"/>
    <s v="Yes"/>
    <s v="Yes"/>
    <x v="0"/>
    <x v="1"/>
    <s v="NAQ3"/>
    <n v="273000"/>
  </r>
  <r>
    <s v="TXN-100879"/>
    <d v="2024-10-27T00:00:00"/>
    <x v="115"/>
    <s v="SVC-02"/>
    <n v="-333.02"/>
    <x v="2"/>
    <s v="Debit Card"/>
    <s v="callback requested"/>
    <x v="3"/>
    <s v="USA"/>
    <s v="L. Chen"/>
    <x v="6"/>
    <s v="HR &amp; Payroll"/>
    <n v="0"/>
    <s v="N/A"/>
    <s v="Refund"/>
    <s v="No"/>
    <s v="Yes"/>
    <x v="0"/>
    <x v="2"/>
    <s v="NAQ4"/>
    <n v="299000"/>
  </r>
  <r>
    <s v="TXN-100503"/>
    <d v="2024-09-07T00:00:00"/>
    <x v="41"/>
    <s v="SVC-07"/>
    <n v="1084.8699999999999"/>
    <x v="0"/>
    <s v="Debit Card"/>
    <s v="callback requested"/>
    <x v="0"/>
    <s v="Canada"/>
    <s v="M. Santos"/>
    <x v="7"/>
    <s v="Support"/>
    <n v="0"/>
    <s v="Enterprise"/>
    <s v="High Value"/>
    <s v="Yes"/>
    <s v="Yes"/>
    <x v="0"/>
    <x v="1"/>
    <s v="NAQ3"/>
    <n v="273000"/>
  </r>
  <r>
    <s v="TXN-100125"/>
    <d v="2024-06-22T00:00:00"/>
    <x v="33"/>
    <s v="SVC-02"/>
    <n v="753.09"/>
    <x v="0"/>
    <s v="ACH"/>
    <s v="VIP account"/>
    <x v="3"/>
    <s v="Canada"/>
    <s v="T. Novak"/>
    <x v="6"/>
    <s v="HR &amp; Payroll"/>
    <n v="0"/>
    <s v="Startup"/>
    <s v="High Value"/>
    <s v="Yes"/>
    <s v="No"/>
    <x v="0"/>
    <x v="0"/>
    <s v="NAQ2"/>
    <n v="260000"/>
  </r>
  <r>
    <s v="TXN-101081"/>
    <d v="2024-12-17T00:00:00"/>
    <x v="119"/>
    <s v="SVC-01"/>
    <n v="1172.99"/>
    <x v="0"/>
    <s v="ACH"/>
    <s v="callback requested"/>
    <x v="1"/>
    <s v="USA"/>
    <s v="R. Patel"/>
    <x v="0"/>
    <s v="Payments"/>
    <n v="2.9000000000000001E-2"/>
    <s v="SMB"/>
    <s v="High Value"/>
    <s v="Yes"/>
    <s v="Yes"/>
    <x v="0"/>
    <x v="2"/>
    <s v="NAQ4"/>
    <n v="299000"/>
  </r>
  <r>
    <s v="TXN-101129"/>
    <d v="2024-01-08T00:00:00"/>
    <x v="10"/>
    <s v="SVC-08"/>
    <n v="583.74"/>
    <x v="1"/>
    <s v="ACH"/>
    <m/>
    <x v="1"/>
    <s v="USA"/>
    <s v="T. Novak"/>
    <x v="1"/>
    <s v="Risk"/>
    <n v="2.5000000000000001E-3"/>
    <s v="N/A"/>
    <s v="High Value"/>
    <s v="Yes"/>
    <s v="Yes"/>
    <x v="0"/>
    <x v="3"/>
    <s v="NAQ1"/>
    <n v="247000"/>
  </r>
  <r>
    <s v="TXN-101869"/>
    <d v="2024-09-26T00:00:00"/>
    <x v="78"/>
    <s v="SVC-03"/>
    <n v="266.60000000000002"/>
    <x v="0"/>
    <s v="Credit Card"/>
    <s v="VIP account"/>
    <x v="1"/>
    <s v="USA"/>
    <s v="L. Chen"/>
    <x v="5"/>
    <s v="Billing"/>
    <n v="5.0000000000000001E-3"/>
    <s v="SMB"/>
    <s v="High Value"/>
    <s v="Yes"/>
    <s v="Yes"/>
    <x v="0"/>
    <x v="1"/>
    <s v="NAQ3"/>
    <n v="273000"/>
  </r>
  <r>
    <s v="TXN-101032"/>
    <d v="2024-01-03T00:00:00"/>
    <x v="89"/>
    <s v="SVC-05"/>
    <n v="471.13"/>
    <x v="1"/>
    <s v="ACH"/>
    <m/>
    <x v="0"/>
    <s v="USA"/>
    <s v="A. Kim"/>
    <x v="3"/>
    <s v="Analytics"/>
    <n v="0"/>
    <s v="N/A"/>
    <s v="High Value"/>
    <s v="Yes"/>
    <s v="Yes"/>
    <x v="0"/>
    <x v="3"/>
    <s v="NAQ1"/>
    <n v="247000"/>
  </r>
  <r>
    <s v="TXN-100078"/>
    <d v="2024-12-09T00:00:00"/>
    <x v="120"/>
    <s v="SVC-06"/>
    <n v="258.38"/>
    <x v="0"/>
    <s v="Unknown"/>
    <s v="VIP account"/>
    <x v="3"/>
    <s v="Australia"/>
    <s v="M. Santos"/>
    <x v="4"/>
    <s v="Platform"/>
    <n v="0"/>
    <s v="Startup"/>
    <s v="High Value"/>
    <s v="Yes"/>
    <s v="Yes"/>
    <x v="1"/>
    <x v="2"/>
    <s v="APACQ4"/>
    <n v="126500"/>
  </r>
  <r>
    <s v="TXN-101487"/>
    <d v="2024-07-10T00:00:00"/>
    <x v="71"/>
    <s v="SVC-01"/>
    <n v="232.99"/>
    <x v="0"/>
    <s v="ACH"/>
    <s v="VIP account"/>
    <x v="1"/>
    <s v="United Kingdom"/>
    <s v="R. Patel"/>
    <x v="0"/>
    <s v="Payments"/>
    <n v="2.9000000000000001E-2"/>
    <s v="SMB"/>
    <s v="Standard"/>
    <s v="No"/>
    <s v="Yes"/>
    <x v="2"/>
    <x v="1"/>
    <s v="EMEAQ3"/>
    <n v="147000"/>
  </r>
  <r>
    <s v="TXN-102095"/>
    <d v="2024-05-12T00:00:00"/>
    <x v="121"/>
    <s v="SVC-07"/>
    <n v="83.79"/>
    <x v="0"/>
    <s v="Wire Transfer"/>
    <m/>
    <x v="0"/>
    <s v="USA"/>
    <s v="J. Reyes"/>
    <x v="7"/>
    <s v="Support"/>
    <n v="0"/>
    <s v="Enterprise"/>
    <s v="Standard"/>
    <s v="Yes"/>
    <s v="Yes"/>
    <x v="0"/>
    <x v="0"/>
    <s v="NAQ2"/>
    <n v="260000"/>
  </r>
  <r>
    <s v="TXN-100894"/>
    <d v="2024-09-11T00:00:00"/>
    <x v="72"/>
    <s v="SVC-01"/>
    <n v="212.3"/>
    <x v="3"/>
    <s v="Wire Transfer"/>
    <s v="VIP account"/>
    <x v="1"/>
    <s v="United Kingdom"/>
    <s v="A. Kim"/>
    <x v="0"/>
    <s v="Payments"/>
    <n v="2.9000000000000001E-2"/>
    <s v="N/A"/>
    <s v="Standard"/>
    <s v="No"/>
    <s v="No"/>
    <x v="2"/>
    <x v="1"/>
    <s v="EMEAQ3"/>
    <n v="147000"/>
  </r>
  <r>
    <s v="TXN-102370"/>
    <d v="2024-07-28T00:00:00"/>
    <x v="28"/>
    <s v="SVC-01"/>
    <n v="372.23"/>
    <x v="0"/>
    <s v="Debit Card"/>
    <m/>
    <x v="1"/>
    <s v="United Kingdom"/>
    <s v="L. Chen"/>
    <x v="0"/>
    <s v="Payments"/>
    <n v="2.9000000000000001E-2"/>
    <s v="SMB"/>
    <s v="Standard"/>
    <s v="Yes"/>
    <s v="Yes"/>
    <x v="2"/>
    <x v="1"/>
    <s v="EMEAQ3"/>
    <n v="147000"/>
  </r>
  <r>
    <s v="TXN-101925"/>
    <d v="2024-04-25T00:00:00"/>
    <x v="32"/>
    <s v="SVC-05"/>
    <n v="-404.01"/>
    <x v="2"/>
    <s v="Credit Card"/>
    <m/>
    <x v="1"/>
    <s v="Philippines"/>
    <s v="T. Novak"/>
    <x v="3"/>
    <s v="Analytics"/>
    <n v="0"/>
    <s v="N/A"/>
    <s v="Refund"/>
    <s v="No"/>
    <s v="Yes"/>
    <x v="1"/>
    <x v="0"/>
    <s v="APACQ2"/>
    <n v="110000"/>
  </r>
  <r>
    <s v="TXN-100582"/>
    <d v="2024-01-02T00:00:00"/>
    <x v="22"/>
    <s v="SVC-03"/>
    <n v="583.66"/>
    <x v="0"/>
    <s v="Debit Card"/>
    <m/>
    <x v="0"/>
    <s v="Australia"/>
    <s v="M. Santos"/>
    <x v="5"/>
    <s v="Billing"/>
    <n v="5.0000000000000001E-3"/>
    <s v="Enterprise"/>
    <s v="High Value"/>
    <s v="Yes"/>
    <s v="No"/>
    <x v="1"/>
    <x v="3"/>
    <s v="APACQ1"/>
    <n v="104500"/>
  </r>
  <r>
    <s v="TXN-101852"/>
    <d v="2024-08-27T00:00:00"/>
    <x v="43"/>
    <s v="SVC-01"/>
    <n v="351.85"/>
    <x v="0"/>
    <s v="Debit Card"/>
    <m/>
    <x v="1"/>
    <s v="USA"/>
    <s v="M. Santos"/>
    <x v="0"/>
    <s v="Payments"/>
    <n v="2.9000000000000001E-2"/>
    <s v="SMB"/>
    <s v="Standard"/>
    <s v="Yes"/>
    <s v="No"/>
    <x v="0"/>
    <x v="1"/>
    <s v="NAQ3"/>
    <n v="273000"/>
  </r>
  <r>
    <s v="TXN-100020"/>
    <d v="2024-04-29T00:00:00"/>
    <x v="112"/>
    <s v="SVC-04"/>
    <n v="171.52"/>
    <x v="3"/>
    <s v="Credit Card"/>
    <s v="callback requested"/>
    <x v="1"/>
    <s v="USA"/>
    <s v="A. Kim"/>
    <x v="2"/>
    <s v="Risk"/>
    <n v="1E-3"/>
    <s v="N/A"/>
    <s v="Standard"/>
    <s v="Yes"/>
    <s v="Yes"/>
    <x v="0"/>
    <x v="0"/>
    <s v="NAQ2"/>
    <n v="260000"/>
  </r>
  <r>
    <s v="TXN-102222"/>
    <d v="2024-07-18T00:00:00"/>
    <x v="64"/>
    <s v="SVC-01"/>
    <n v="-583.02"/>
    <x v="2"/>
    <s v="Credit Card"/>
    <m/>
    <x v="1"/>
    <s v="United Kingdom"/>
    <s v="J. Reyes"/>
    <x v="0"/>
    <s v="Payments"/>
    <n v="2.9000000000000001E-2"/>
    <s v="N/A"/>
    <s v="Refund"/>
    <s v="No"/>
    <s v="No"/>
    <x v="2"/>
    <x v="1"/>
    <s v="EMEAQ3"/>
    <n v="147000"/>
  </r>
  <r>
    <s v="TXN-101064"/>
    <d v="2024-06-29T00:00:00"/>
    <x v="45"/>
    <s v="SVC-05"/>
    <n v="325.37"/>
    <x v="0"/>
    <s v="Wire Transfer"/>
    <s v="escalated to support"/>
    <x v="0"/>
    <s v="United Kingdom"/>
    <s v="R. Patel"/>
    <x v="3"/>
    <s v="Analytics"/>
    <n v="0"/>
    <s v="Enterprise"/>
    <s v="High Value"/>
    <s v="Yes"/>
    <s v="No"/>
    <x v="2"/>
    <x v="0"/>
    <s v="EMEAQ2"/>
    <n v="140000"/>
  </r>
  <r>
    <s v="TXN-101147"/>
    <d v="2024-12-31T00:00:00"/>
    <x v="3"/>
    <s v="SVC-01"/>
    <n v="-202.41"/>
    <x v="2"/>
    <s v="ACH"/>
    <m/>
    <x v="1"/>
    <s v="Canada"/>
    <s v="J. Reyes"/>
    <x v="0"/>
    <s v="Payments"/>
    <n v="2.9000000000000001E-2"/>
    <s v="N/A"/>
    <s v="Refund"/>
    <s v="No"/>
    <s v="No"/>
    <x v="0"/>
    <x v="2"/>
    <s v="NAQ4"/>
    <n v="299000"/>
  </r>
  <r>
    <s v="TXN-100118"/>
    <d v="2024-06-12T00:00:00"/>
    <x v="7"/>
    <s v="SVC-02"/>
    <n v="110.58"/>
    <x v="0"/>
    <s v="Unknown"/>
    <m/>
    <x v="1"/>
    <s v="USA"/>
    <s v="T. Novak"/>
    <x v="6"/>
    <s v="HR &amp; Payroll"/>
    <n v="0"/>
    <s v="SMB"/>
    <s v="Standard"/>
    <s v="Yes"/>
    <s v="Yes"/>
    <x v="0"/>
    <x v="0"/>
    <s v="NAQ2"/>
    <n v="260000"/>
  </r>
  <r>
    <s v="TXN-100880"/>
    <d v="2024-09-13T00:00:00"/>
    <x v="101"/>
    <s v="SVC-05"/>
    <n v="-495.66"/>
    <x v="2"/>
    <s v="Credit Card"/>
    <m/>
    <x v="1"/>
    <s v="Canada"/>
    <s v="A. Kim"/>
    <x v="3"/>
    <s v="Analytics"/>
    <n v="0"/>
    <s v="N/A"/>
    <s v="Refund"/>
    <s v="No"/>
    <s v="Yes"/>
    <x v="0"/>
    <x v="1"/>
    <s v="NAQ3"/>
    <n v="273000"/>
  </r>
  <r>
    <s v="TXN-100111"/>
    <d v="2024-06-11T00:00:00"/>
    <x v="122"/>
    <s v="SVC-01"/>
    <n v="169.51"/>
    <x v="0"/>
    <s v="Wire Transfer"/>
    <m/>
    <x v="3"/>
    <s v="United Kingdom"/>
    <s v="A. Kim"/>
    <x v="0"/>
    <s v="Payments"/>
    <n v="2.9000000000000001E-2"/>
    <s v="Startup"/>
    <s v="Standard"/>
    <s v="No"/>
    <s v="Yes"/>
    <x v="2"/>
    <x v="0"/>
    <s v="EMEAQ2"/>
    <n v="140000"/>
  </r>
  <r>
    <s v="TXN-101922"/>
    <d v="2024-04-11T00:00:00"/>
    <x v="34"/>
    <s v="SVC-01"/>
    <n v="132.22"/>
    <x v="0"/>
    <s v="Credit Card"/>
    <s v="callback requested"/>
    <x v="1"/>
    <s v="Germany"/>
    <s v="M. Santos"/>
    <x v="0"/>
    <s v="Payments"/>
    <n v="2.9000000000000001E-2"/>
    <s v="SMB"/>
    <s v="Standard"/>
    <s v="No"/>
    <s v="Yes"/>
    <x v="2"/>
    <x v="0"/>
    <s v="EMEAQ2"/>
    <n v="140000"/>
  </r>
  <r>
    <s v="TXN-102495"/>
    <d v="2024-03-14T00:00:00"/>
    <x v="110"/>
    <s v="SVC-01"/>
    <n v="499.41"/>
    <x v="0"/>
    <s v="Credit Card"/>
    <s v="escalated to support"/>
    <x v="0"/>
    <s v="USA"/>
    <s v="A. Kim"/>
    <x v="0"/>
    <s v="Payments"/>
    <n v="2.9000000000000001E-2"/>
    <s v="Enterprise"/>
    <s v="Standard"/>
    <s v="Yes"/>
    <s v="Yes"/>
    <x v="0"/>
    <x v="3"/>
    <s v="NAQ1"/>
    <n v="247000"/>
  </r>
  <r>
    <s v="TXN-100364"/>
    <d v="2024-04-21T00:00:00"/>
    <x v="120"/>
    <s v="SVC-02"/>
    <n v="-404.95"/>
    <x v="2"/>
    <s v="Credit Card"/>
    <s v="VIP account"/>
    <x v="3"/>
    <s v="Australia"/>
    <s v="M. Santos"/>
    <x v="6"/>
    <s v="HR &amp; Payroll"/>
    <n v="0"/>
    <s v="N/A"/>
    <s v="Refund"/>
    <s v="No"/>
    <s v="Yes"/>
    <x v="1"/>
    <x v="0"/>
    <s v="APACQ2"/>
    <n v="110000"/>
  </r>
  <r>
    <s v="TXN-101664"/>
    <d v="2024-03-25T00:00:00"/>
    <x v="123"/>
    <s v="SVC-03"/>
    <n v="572.27"/>
    <x v="0"/>
    <s v="Credit Card"/>
    <m/>
    <x v="3"/>
    <s v="Australia"/>
    <s v="L. Chen"/>
    <x v="5"/>
    <s v="Billing"/>
    <n v="5.0000000000000001E-3"/>
    <s v="Startup"/>
    <s v="High Value"/>
    <s v="Yes"/>
    <s v="Yes"/>
    <x v="1"/>
    <x v="3"/>
    <s v="APACQ1"/>
    <n v="104500"/>
  </r>
  <r>
    <s v="TXN-101484"/>
    <d v="2024-06-14T00:00:00"/>
    <x v="43"/>
    <s v="SVC-03"/>
    <n v="188.83"/>
    <x v="0"/>
    <s v="Credit Card"/>
    <s v="VIP account"/>
    <x v="1"/>
    <s v="USA"/>
    <s v="M. Santos"/>
    <x v="5"/>
    <s v="Billing"/>
    <n v="5.0000000000000001E-3"/>
    <s v="SMB"/>
    <s v="Standard"/>
    <s v="Yes"/>
    <s v="No"/>
    <x v="0"/>
    <x v="0"/>
    <s v="NAQ2"/>
    <n v="260000"/>
  </r>
  <r>
    <s v="TXN-101017"/>
    <d v="2024-08-30T00:00:00"/>
    <x v="66"/>
    <s v="SVC-06"/>
    <n v="465.14"/>
    <x v="0"/>
    <s v="ACH"/>
    <s v="escalated to support"/>
    <x v="3"/>
    <s v="Australia"/>
    <s v="L. Chen"/>
    <x v="4"/>
    <s v="Platform"/>
    <n v="0"/>
    <s v="Startup"/>
    <s v="High Value"/>
    <s v="Yes"/>
    <s v="No"/>
    <x v="1"/>
    <x v="1"/>
    <s v="APACQ3"/>
    <n v="115500"/>
  </r>
  <r>
    <s v="TXN-101619"/>
    <d v="2024-10-04T00:00:00"/>
    <x v="85"/>
    <s v="SVC-02"/>
    <n v="492.89"/>
    <x v="0"/>
    <s v="ACH"/>
    <m/>
    <x v="0"/>
    <s v="Canada"/>
    <s v="T. Novak"/>
    <x v="6"/>
    <s v="HR &amp; Payroll"/>
    <n v="0"/>
    <s v="Enterprise"/>
    <s v="High Value"/>
    <s v="Yes"/>
    <s v="No"/>
    <x v="0"/>
    <x v="2"/>
    <s v="NAQ4"/>
    <n v="299000"/>
  </r>
  <r>
    <s v="TXN-101565"/>
    <d v="2024-04-01T00:00:00"/>
    <x v="34"/>
    <s v="SVC-01"/>
    <n v="208.3"/>
    <x v="0"/>
    <s v="Credit Card"/>
    <m/>
    <x v="1"/>
    <s v="Germany"/>
    <s v="M. Santos"/>
    <x v="0"/>
    <s v="Payments"/>
    <n v="2.9000000000000001E-2"/>
    <s v="SMB"/>
    <s v="Standard"/>
    <s v="No"/>
    <s v="No"/>
    <x v="2"/>
    <x v="0"/>
    <s v="EMEAQ2"/>
    <n v="140000"/>
  </r>
  <r>
    <s v="TXN-102359"/>
    <d v="2024-03-19T00:00:00"/>
    <x v="101"/>
    <s v="SVC-07"/>
    <n v="-733.7"/>
    <x v="2"/>
    <s v="ACH"/>
    <m/>
    <x v="1"/>
    <s v="Canada"/>
    <s v="A. Kim"/>
    <x v="7"/>
    <s v="Support"/>
    <n v="0"/>
    <s v="N/A"/>
    <s v="Refund"/>
    <s v="No"/>
    <s v="Yes"/>
    <x v="0"/>
    <x v="3"/>
    <s v="NAQ1"/>
    <n v="247000"/>
  </r>
  <r>
    <s v="TXN-101335"/>
    <d v="2024-03-14T00:00:00"/>
    <x v="124"/>
    <s v="SVC-01"/>
    <n v="192.8"/>
    <x v="1"/>
    <s v="Credit Card"/>
    <s v="VIP account"/>
    <x v="1"/>
    <s v="United Kingdom"/>
    <s v="A. Kim"/>
    <x v="0"/>
    <s v="Payments"/>
    <n v="2.9000000000000001E-2"/>
    <s v="N/A"/>
    <s v="Standard"/>
    <s v="No"/>
    <s v="Yes"/>
    <x v="2"/>
    <x v="3"/>
    <s v="EMEAQ1"/>
    <n v="133000"/>
  </r>
  <r>
    <s v="TXN-100992"/>
    <d v="2024-07-06T00:00:00"/>
    <x v="49"/>
    <s v="SVC-01"/>
    <n v="878.91"/>
    <x v="0"/>
    <s v="ACH"/>
    <s v="callback requested"/>
    <x v="1"/>
    <s v="USA"/>
    <s v="A. Kim"/>
    <x v="0"/>
    <s v="Payments"/>
    <n v="2.9000000000000001E-2"/>
    <s v="SMB"/>
    <s v="High Value"/>
    <s v="Yes"/>
    <s v="No"/>
    <x v="0"/>
    <x v="1"/>
    <s v="NAQ3"/>
    <n v="273000"/>
  </r>
  <r>
    <s v="TXN-102437"/>
    <d v="2024-04-07T00:00:00"/>
    <x v="92"/>
    <s v="SVC-04"/>
    <n v="-748.53"/>
    <x v="2"/>
    <s v="ACH"/>
    <m/>
    <x v="1"/>
    <s v="Canada"/>
    <s v="R. Patel"/>
    <x v="2"/>
    <s v="Risk"/>
    <n v="1E-3"/>
    <s v="N/A"/>
    <s v="Refund"/>
    <s v="No"/>
    <s v="Yes"/>
    <x v="0"/>
    <x v="0"/>
    <s v="NAQ2"/>
    <n v="260000"/>
  </r>
  <r>
    <s v="TXN-102057"/>
    <d v="2024-12-16T00:00:00"/>
    <x v="125"/>
    <s v="SVC-08"/>
    <n v="513.49"/>
    <x v="0"/>
    <s v="Wire Transfer"/>
    <m/>
    <x v="1"/>
    <s v="USA"/>
    <s v="A. Kim"/>
    <x v="1"/>
    <s v="Risk"/>
    <n v="2.5000000000000001E-3"/>
    <s v="SMB"/>
    <s v="High Value"/>
    <s v="Yes"/>
    <s v="Yes"/>
    <x v="0"/>
    <x v="2"/>
    <s v="NAQ4"/>
    <n v="299000"/>
  </r>
  <r>
    <s v="TXN-100169"/>
    <d v="2024-05-02T00:00:00"/>
    <x v="58"/>
    <s v="SVC-02"/>
    <n v="145.38"/>
    <x v="0"/>
    <s v="Credit Card"/>
    <s v="VIP account"/>
    <x v="1"/>
    <s v="Canada"/>
    <s v="M. Santos"/>
    <x v="6"/>
    <s v="HR &amp; Payroll"/>
    <n v="0"/>
    <s v="SMB"/>
    <s v="Standard"/>
    <s v="Yes"/>
    <s v="Yes"/>
    <x v="0"/>
    <x v="0"/>
    <s v="NAQ2"/>
    <n v="260000"/>
  </r>
  <r>
    <s v="TXN-100818"/>
    <d v="2024-05-02T00:00:00"/>
    <x v="125"/>
    <s v="SVC-02"/>
    <n v="439.96"/>
    <x v="0"/>
    <s v="ACH"/>
    <s v="VIP account"/>
    <x v="1"/>
    <s v="USA"/>
    <s v="A. Kim"/>
    <x v="6"/>
    <s v="HR &amp; Payroll"/>
    <n v="0"/>
    <s v="SMB"/>
    <s v="High Value"/>
    <s v="Yes"/>
    <s v="Yes"/>
    <x v="0"/>
    <x v="0"/>
    <s v="NAQ2"/>
    <n v="260000"/>
  </r>
  <r>
    <s v="TXN-100608"/>
    <d v="2024-08-28T00:00:00"/>
    <x v="10"/>
    <s v="SVC-01"/>
    <n v="463.22"/>
    <x v="0"/>
    <s v="Credit Card"/>
    <s v="callback requested"/>
    <x v="1"/>
    <s v="USA"/>
    <s v="T. Novak"/>
    <x v="0"/>
    <s v="Payments"/>
    <n v="2.9000000000000001E-2"/>
    <s v="SMB"/>
    <s v="Standard"/>
    <s v="Yes"/>
    <s v="No"/>
    <x v="0"/>
    <x v="1"/>
    <s v="NAQ3"/>
    <n v="273000"/>
  </r>
  <r>
    <s v="TXN-101710"/>
    <d v="2024-01-19T00:00:00"/>
    <x v="25"/>
    <s v="SVC-01"/>
    <n v="633.54"/>
    <x v="0"/>
    <s v="ACH"/>
    <s v="VIP account"/>
    <x v="0"/>
    <s v="USA"/>
    <s v="A. Kim"/>
    <x v="0"/>
    <s v="Payments"/>
    <n v="2.9000000000000001E-2"/>
    <s v="Enterprise"/>
    <s v="High Value"/>
    <s v="Yes"/>
    <s v="Yes"/>
    <x v="0"/>
    <x v="3"/>
    <s v="NAQ1"/>
    <n v="247000"/>
  </r>
  <r>
    <s v="TXN-102191"/>
    <d v="2024-02-10T00:00:00"/>
    <x v="6"/>
    <s v="SVC-07"/>
    <n v="255.5"/>
    <x v="0"/>
    <s v="Credit Card"/>
    <m/>
    <x v="0"/>
    <s v="United Kingdom"/>
    <s v="R. Patel"/>
    <x v="7"/>
    <s v="Support"/>
    <n v="0"/>
    <s v="Enterprise"/>
    <s v="High Value"/>
    <s v="Yes"/>
    <s v="No"/>
    <x v="2"/>
    <x v="3"/>
    <s v="EMEAQ1"/>
    <n v="133000"/>
  </r>
  <r>
    <s v="TXN-101301"/>
    <d v="2024-02-25T00:00:00"/>
    <x v="105"/>
    <s v="SVC-01"/>
    <n v="595.37"/>
    <x v="0"/>
    <s v="Credit Card"/>
    <m/>
    <x v="3"/>
    <s v="Philippines"/>
    <s v="T. Novak"/>
    <x v="0"/>
    <s v="Payments"/>
    <n v="2.9000000000000001E-2"/>
    <s v="Startup"/>
    <s v="High Value"/>
    <s v="Yes"/>
    <s v="Yes"/>
    <x v="1"/>
    <x v="3"/>
    <s v="APACQ1"/>
    <n v="104500"/>
  </r>
  <r>
    <s v="TXN-101729"/>
    <d v="2024-07-02T00:00:00"/>
    <x v="46"/>
    <s v="SVC-02"/>
    <n v="319.69"/>
    <x v="0"/>
    <s v="Wire Transfer"/>
    <m/>
    <x v="1"/>
    <s v="Australia"/>
    <s v="L. Chen"/>
    <x v="6"/>
    <s v="HR &amp; Payroll"/>
    <n v="0"/>
    <s v="SMB"/>
    <s v="High Value"/>
    <s v="Yes"/>
    <s v="Yes"/>
    <x v="1"/>
    <x v="1"/>
    <s v="APACQ3"/>
    <n v="115500"/>
  </r>
  <r>
    <s v="TXN-101250"/>
    <d v="2024-07-05T00:00:00"/>
    <x v="109"/>
    <s v="SVC-07"/>
    <n v="187.92"/>
    <x v="0"/>
    <s v="Credit Card"/>
    <s v="callback requested"/>
    <x v="0"/>
    <s v="USA"/>
    <s v="L. Chen"/>
    <x v="7"/>
    <s v="Support"/>
    <n v="0"/>
    <s v="Enterprise"/>
    <s v="Standard"/>
    <s v="Yes"/>
    <s v="Yes"/>
    <x v="0"/>
    <x v="1"/>
    <s v="NAQ3"/>
    <n v="273000"/>
  </r>
  <r>
    <s v="TXN-102287"/>
    <d v="2024-01-07T00:00:00"/>
    <x v="111"/>
    <s v="SVC-01"/>
    <n v="165.79"/>
    <x v="0"/>
    <s v="Credit Card"/>
    <m/>
    <x v="1"/>
    <s v="Australia"/>
    <s v="A. Kim"/>
    <x v="0"/>
    <s v="Payments"/>
    <n v="2.9000000000000001E-2"/>
    <s v="SMB"/>
    <s v="Standard"/>
    <s v="No"/>
    <s v="No"/>
    <x v="1"/>
    <x v="3"/>
    <s v="APACQ1"/>
    <n v="104500"/>
  </r>
  <r>
    <s v="TXN-100838"/>
    <d v="2024-07-16T00:00:00"/>
    <x v="29"/>
    <s v="SVC-01"/>
    <n v="198.95"/>
    <x v="0"/>
    <s v="Wire Transfer"/>
    <m/>
    <x v="1"/>
    <s v="Germany"/>
    <s v="L. Chen"/>
    <x v="0"/>
    <s v="Payments"/>
    <n v="2.9000000000000001E-2"/>
    <s v="SMB"/>
    <s v="Standard"/>
    <s v="No"/>
    <s v="No"/>
    <x v="2"/>
    <x v="1"/>
    <s v="EMEAQ3"/>
    <n v="147000"/>
  </r>
  <r>
    <s v="TXN-100601"/>
    <d v="2024-12-12T00:00:00"/>
    <x v="75"/>
    <s v="SVC-02"/>
    <n v="751.3"/>
    <x v="1"/>
    <s v="ACH"/>
    <m/>
    <x v="0"/>
    <s v="Canada"/>
    <s v="R. Patel"/>
    <x v="6"/>
    <s v="HR &amp; Payroll"/>
    <n v="0"/>
    <s v="N/A"/>
    <s v="High Value"/>
    <s v="Yes"/>
    <s v="Yes"/>
    <x v="0"/>
    <x v="2"/>
    <s v="NAQ4"/>
    <n v="299000"/>
  </r>
  <r>
    <s v="TXN-101512"/>
    <d v="2024-12-14T00:00:00"/>
    <x v="99"/>
    <s v="SVC-01"/>
    <n v="124.32"/>
    <x v="0"/>
    <s v="Unknown"/>
    <s v="callback requested"/>
    <x v="1"/>
    <s v="Canada"/>
    <s v="R. Patel"/>
    <x v="0"/>
    <s v="Payments"/>
    <n v="2.9000000000000001E-2"/>
    <s v="SMB"/>
    <s v="Standard"/>
    <s v="No"/>
    <s v="Yes"/>
    <x v="0"/>
    <x v="2"/>
    <s v="NAQ4"/>
    <n v="299000"/>
  </r>
  <r>
    <s v="TXN-100121"/>
    <d v="2024-06-06T00:00:00"/>
    <x v="126"/>
    <s v="SVC-03"/>
    <n v="199.56"/>
    <x v="0"/>
    <s v="Credit Card"/>
    <s v="callback requested"/>
    <x v="3"/>
    <s v="Canada"/>
    <s v="A. Kim"/>
    <x v="5"/>
    <s v="Billing"/>
    <n v="5.0000000000000001E-3"/>
    <s v="Startup"/>
    <s v="Standard"/>
    <s v="Yes"/>
    <s v="Yes"/>
    <x v="0"/>
    <x v="0"/>
    <s v="NAQ2"/>
    <n v="260000"/>
  </r>
  <r>
    <s v="TXN-101923"/>
    <d v="2024-10-28T00:00:00"/>
    <x v="0"/>
    <s v="SVC-08"/>
    <n v="281.54000000000002"/>
    <x v="0"/>
    <s v="Credit Card"/>
    <s v="escalated to support"/>
    <x v="0"/>
    <s v="USA"/>
    <s v="J. Reyes"/>
    <x v="1"/>
    <s v="Risk"/>
    <n v="2.5000000000000001E-3"/>
    <s v="Enterprise"/>
    <s v="High Value"/>
    <s v="Yes"/>
    <s v="Yes"/>
    <x v="0"/>
    <x v="2"/>
    <s v="NAQ4"/>
    <n v="299000"/>
  </r>
  <r>
    <s v="TXN-100124"/>
    <d v="2024-05-27T00:00:00"/>
    <x v="55"/>
    <s v="SVC-02"/>
    <n v="158.79"/>
    <x v="0"/>
    <s v="Debit Card"/>
    <m/>
    <x v="3"/>
    <s v="USA"/>
    <s v="J. Reyes"/>
    <x v="6"/>
    <s v="HR &amp; Payroll"/>
    <n v="0"/>
    <s v="Startup"/>
    <s v="Standard"/>
    <s v="Yes"/>
    <s v="No"/>
    <x v="0"/>
    <x v="0"/>
    <s v="NAQ2"/>
    <n v="260000"/>
  </r>
  <r>
    <s v="TXN-101840"/>
    <d v="2024-09-27T00:00:00"/>
    <x v="105"/>
    <s v="SVC-02"/>
    <n v="178.19"/>
    <x v="0"/>
    <s v="Wire Transfer"/>
    <s v="VIP account"/>
    <x v="3"/>
    <s v="Philippines"/>
    <s v="T. Novak"/>
    <x v="6"/>
    <s v="HR &amp; Payroll"/>
    <n v="0"/>
    <s v="Startup"/>
    <s v="Standard"/>
    <s v="Yes"/>
    <s v="Yes"/>
    <x v="1"/>
    <x v="1"/>
    <s v="APACQ3"/>
    <n v="115500"/>
  </r>
  <r>
    <s v="TXN-100309"/>
    <d v="2024-09-21T00:00:00"/>
    <x v="80"/>
    <s v="SVC-01"/>
    <n v="402.88"/>
    <x v="0"/>
    <s v="Debit Card"/>
    <s v="VIP account"/>
    <x v="1"/>
    <s v="Philippines"/>
    <s v="R. Patel"/>
    <x v="0"/>
    <s v="Payments"/>
    <n v="2.9000000000000001E-2"/>
    <s v="SMB"/>
    <s v="Standard"/>
    <s v="Yes"/>
    <s v="Yes"/>
    <x v="1"/>
    <x v="1"/>
    <s v="APACQ3"/>
    <n v="115500"/>
  </r>
  <r>
    <s v="TXN-101696"/>
    <d v="2024-01-12T00:00:00"/>
    <x v="72"/>
    <s v="SVC-07"/>
    <n v="127.77"/>
    <x v="0"/>
    <s v="Credit Card"/>
    <s v="VIP account"/>
    <x v="1"/>
    <s v="United Kingdom"/>
    <s v="A. Kim"/>
    <x v="7"/>
    <s v="Support"/>
    <n v="0"/>
    <s v="SMB"/>
    <s v="Standard"/>
    <s v="Yes"/>
    <s v="Yes"/>
    <x v="2"/>
    <x v="3"/>
    <s v="EMEAQ1"/>
    <n v="133000"/>
  </r>
  <r>
    <s v="TXN-101786"/>
    <d v="2024-11-10T00:00:00"/>
    <x v="44"/>
    <s v="SVC-06"/>
    <n v="172.68"/>
    <x v="0"/>
    <s v="Credit Card"/>
    <s v="VIP account"/>
    <x v="0"/>
    <s v="Australia"/>
    <s v="T. Novak"/>
    <x v="4"/>
    <s v="Platform"/>
    <n v="0"/>
    <s v="Enterprise"/>
    <s v="Standard"/>
    <s v="Yes"/>
    <s v="No"/>
    <x v="1"/>
    <x v="2"/>
    <s v="APACQ4"/>
    <n v="126500"/>
  </r>
  <r>
    <s v="TXN-101578"/>
    <d v="2024-09-17T00:00:00"/>
    <x v="70"/>
    <s v="SVC-01"/>
    <n v="321.82"/>
    <x v="0"/>
    <s v="ACH"/>
    <s v="callback requested"/>
    <x v="3"/>
    <s v="Singapore"/>
    <s v="A. Kim"/>
    <x v="0"/>
    <s v="Payments"/>
    <n v="2.9000000000000001E-2"/>
    <s v="Startup"/>
    <s v="Standard"/>
    <s v="Yes"/>
    <s v="Yes"/>
    <x v="1"/>
    <x v="1"/>
    <s v="APACQ3"/>
    <n v="115500"/>
  </r>
  <r>
    <s v="TXN-102260"/>
    <d v="2024-07-19T00:00:00"/>
    <x v="97"/>
    <s v="SVC-08"/>
    <n v="1025.27"/>
    <x v="0"/>
    <s v="Credit Card"/>
    <m/>
    <x v="0"/>
    <s v="United Kingdom"/>
    <s v="L. Chen"/>
    <x v="1"/>
    <s v="Risk"/>
    <n v="2.5000000000000001E-3"/>
    <s v="Enterprise"/>
    <s v="High Value"/>
    <s v="Yes"/>
    <s v="Yes"/>
    <x v="2"/>
    <x v="1"/>
    <s v="EMEAQ3"/>
    <n v="147000"/>
  </r>
  <r>
    <s v="TXN-100596"/>
    <d v="2024-09-12T00:00:00"/>
    <x v="107"/>
    <s v="SVC-04"/>
    <n v="93.91"/>
    <x v="0"/>
    <s v="Debit Card"/>
    <m/>
    <x v="1"/>
    <s v="USA"/>
    <s v="M. Santos"/>
    <x v="2"/>
    <s v="Risk"/>
    <n v="1E-3"/>
    <s v="SMB"/>
    <s v="Standard"/>
    <s v="Yes"/>
    <s v="Yes"/>
    <x v="0"/>
    <x v="1"/>
    <s v="NAQ3"/>
    <n v="273000"/>
  </r>
  <r>
    <s v="TXN-102242"/>
    <d v="2024-09-08T00:00:00"/>
    <x v="13"/>
    <s v="SVC-04"/>
    <n v="290.02999999999997"/>
    <x v="0"/>
    <s v="ACH"/>
    <s v="callback requested"/>
    <x v="0"/>
    <s v="Canada"/>
    <s v="J. Reyes"/>
    <x v="2"/>
    <s v="Risk"/>
    <n v="1E-3"/>
    <s v="Enterprise"/>
    <s v="High Value"/>
    <s v="Yes"/>
    <s v="No"/>
    <x v="0"/>
    <x v="1"/>
    <s v="NAQ3"/>
    <n v="273000"/>
  </r>
  <r>
    <s v="TXN-101542"/>
    <d v="2024-03-29T00:00:00"/>
    <x v="21"/>
    <s v="SVC-04"/>
    <n v="268.55"/>
    <x v="0"/>
    <s v="ACH"/>
    <m/>
    <x v="0"/>
    <s v="Australia"/>
    <s v="M. Santos"/>
    <x v="2"/>
    <s v="Risk"/>
    <n v="1E-3"/>
    <s v="Enterprise"/>
    <s v="High Value"/>
    <s v="Yes"/>
    <s v="Yes"/>
    <x v="1"/>
    <x v="3"/>
    <s v="APACQ1"/>
    <n v="104500"/>
  </r>
  <r>
    <s v="TXN-100008"/>
    <d v="2024-12-24T00:00:00"/>
    <x v="126"/>
    <s v="SVC-05"/>
    <n v="552.14"/>
    <x v="0"/>
    <s v="Credit Card"/>
    <s v="callback requested"/>
    <x v="3"/>
    <s v="Canada"/>
    <s v="A. Kim"/>
    <x v="3"/>
    <s v="Analytics"/>
    <n v="0"/>
    <s v="Startup"/>
    <s v="High Value"/>
    <s v="Yes"/>
    <s v="Yes"/>
    <x v="0"/>
    <x v="2"/>
    <s v="NAQ4"/>
    <n v="299000"/>
  </r>
  <r>
    <s v="TXN-100082"/>
    <d v="2024-05-01T00:00:00"/>
    <x v="77"/>
    <s v="SVC-05"/>
    <n v="-961.66"/>
    <x v="2"/>
    <s v="Debit Card"/>
    <s v="callback requested"/>
    <x v="1"/>
    <s v="Australia"/>
    <s v="L. Chen"/>
    <x v="3"/>
    <s v="Analytics"/>
    <n v="0"/>
    <s v="N/A"/>
    <s v="Refund"/>
    <s v="No"/>
    <s v="Yes"/>
    <x v="1"/>
    <x v="0"/>
    <s v="APACQ2"/>
    <n v="110000"/>
  </r>
  <r>
    <s v="TXN-101345"/>
    <d v="2024-09-06T00:00:00"/>
    <x v="127"/>
    <s v="SVC-01"/>
    <n v="653.73"/>
    <x v="0"/>
    <s v="ACH"/>
    <m/>
    <x v="0"/>
    <s v="USA"/>
    <s v="R. Patel"/>
    <x v="0"/>
    <s v="Payments"/>
    <n v="2.9000000000000001E-2"/>
    <s v="Enterprise"/>
    <s v="High Value"/>
    <s v="Yes"/>
    <s v="Yes"/>
    <x v="0"/>
    <x v="1"/>
    <s v="NAQ3"/>
    <n v="273000"/>
  </r>
  <r>
    <s v="TXN-101803"/>
    <d v="2024-07-05T00:00:00"/>
    <x v="26"/>
    <m/>
    <n v="226.21"/>
    <x v="0"/>
    <s v="Credit Card"/>
    <s v="VIP account"/>
    <x v="3"/>
    <s v="USA"/>
    <s v="R. Patel"/>
    <x v="8"/>
    <m/>
    <m/>
    <s v="Startup"/>
    <s v="Standard"/>
    <e v="#N/A"/>
    <s v="No"/>
    <x v="0"/>
    <x v="1"/>
    <s v="NAQ3"/>
    <n v="273000"/>
  </r>
  <r>
    <s v="TXN-101640"/>
    <d v="2024-05-01T00:00:00"/>
    <x v="57"/>
    <s v="SVC-03"/>
    <n v="482.31"/>
    <x v="0"/>
    <s v="Wire Transfer"/>
    <m/>
    <x v="1"/>
    <s v="USA"/>
    <s v="L. Chen"/>
    <x v="5"/>
    <s v="Billing"/>
    <n v="5.0000000000000001E-3"/>
    <s v="SMB"/>
    <s v="High Value"/>
    <s v="Yes"/>
    <s v="Yes"/>
    <x v="0"/>
    <x v="0"/>
    <s v="NAQ2"/>
    <n v="260000"/>
  </r>
  <r>
    <s v="TXN-101705"/>
    <d v="2024-11-22T00:00:00"/>
    <x v="39"/>
    <s v="SVC-02"/>
    <n v="481.56"/>
    <x v="0"/>
    <s v="ACH"/>
    <s v="VIP account"/>
    <x v="1"/>
    <s v="United Kingdom"/>
    <s v="A. Kim"/>
    <x v="6"/>
    <s v="HR &amp; Payroll"/>
    <n v="0"/>
    <s v="SMB"/>
    <s v="High Value"/>
    <s v="Yes"/>
    <s v="Yes"/>
    <x v="2"/>
    <x v="2"/>
    <s v="EMEAQ4"/>
    <n v="161000"/>
  </r>
  <r>
    <s v="TXN-102099"/>
    <d v="2024-09-16T00:00:00"/>
    <x v="71"/>
    <s v="SVC-05"/>
    <n v="351.51"/>
    <x v="0"/>
    <s v="ACH"/>
    <m/>
    <x v="1"/>
    <s v="United Kingdom"/>
    <s v="R. Patel"/>
    <x v="3"/>
    <s v="Analytics"/>
    <n v="0"/>
    <s v="SMB"/>
    <s v="High Value"/>
    <s v="Yes"/>
    <s v="No"/>
    <x v="2"/>
    <x v="1"/>
    <s v="EMEAQ3"/>
    <n v="147000"/>
  </r>
  <r>
    <s v="TXN-100270"/>
    <d v="2024-10-15T00:00:00"/>
    <x v="47"/>
    <s v="SVC-08"/>
    <n v="399.42"/>
    <x v="0"/>
    <s v="Debit Card"/>
    <s v="callback requested"/>
    <x v="1"/>
    <s v="Canada"/>
    <s v="R. Patel"/>
    <x v="1"/>
    <s v="Risk"/>
    <n v="2.5000000000000001E-3"/>
    <s v="SMB"/>
    <s v="High Value"/>
    <s v="Yes"/>
    <s v="No"/>
    <x v="0"/>
    <x v="2"/>
    <s v="NAQ4"/>
    <n v="299000"/>
  </r>
  <r>
    <s v="TXN-101480"/>
    <d v="2024-04-30T00:00:00"/>
    <x v="50"/>
    <s v="SVC-08"/>
    <n v="663.05"/>
    <x v="0"/>
    <s v="Credit Card"/>
    <m/>
    <x v="1"/>
    <s v="USA"/>
    <s v="M. Santos"/>
    <x v="1"/>
    <s v="Risk"/>
    <n v="2.5000000000000001E-3"/>
    <s v="SMB"/>
    <s v="High Value"/>
    <s v="Yes"/>
    <s v="No"/>
    <x v="0"/>
    <x v="0"/>
    <s v="NAQ2"/>
    <n v="260000"/>
  </r>
  <r>
    <s v="TXN-101052"/>
    <d v="2024-06-12T00:00:00"/>
    <x v="87"/>
    <s v="SVC-01"/>
    <n v="635.19000000000005"/>
    <x v="0"/>
    <s v="ACH"/>
    <s v="VIP account"/>
    <x v="1"/>
    <s v="United Kingdom"/>
    <s v="J. Reyes"/>
    <x v="0"/>
    <s v="Payments"/>
    <n v="2.9000000000000001E-2"/>
    <s v="SMB"/>
    <s v="High Value"/>
    <s v="Yes"/>
    <s v="Yes"/>
    <x v="2"/>
    <x v="0"/>
    <s v="EMEAQ2"/>
    <n v="140000"/>
  </r>
  <r>
    <s v="TXN-101890"/>
    <d v="2024-03-18T00:00:00"/>
    <x v="127"/>
    <s v="SVC-01"/>
    <n v="364.39"/>
    <x v="0"/>
    <s v="Debit Card"/>
    <s v="callback requested"/>
    <x v="0"/>
    <s v="USA"/>
    <s v="R. Patel"/>
    <x v="0"/>
    <s v="Payments"/>
    <n v="2.9000000000000001E-2"/>
    <s v="Enterprise"/>
    <s v="Standard"/>
    <s v="Yes"/>
    <s v="No"/>
    <x v="0"/>
    <x v="3"/>
    <s v="NAQ1"/>
    <n v="247000"/>
  </r>
  <r>
    <s v="TXN-100410"/>
    <d v="2024-08-12T00:00:00"/>
    <x v="54"/>
    <s v="SVC-05"/>
    <n v="262.70999999999998"/>
    <x v="0"/>
    <s v="Debit Card"/>
    <s v="VIP account"/>
    <x v="1"/>
    <s v="USA"/>
    <s v="J. Reyes"/>
    <x v="3"/>
    <s v="Analytics"/>
    <n v="0"/>
    <s v="SMB"/>
    <s v="High Value"/>
    <s v="Yes"/>
    <s v="Yes"/>
    <x v="0"/>
    <x v="1"/>
    <s v="NAQ3"/>
    <n v="273000"/>
  </r>
  <r>
    <s v="TXN-100386"/>
    <d v="2024-05-02T00:00:00"/>
    <x v="14"/>
    <s v="SVC-01"/>
    <n v="822.08"/>
    <x v="3"/>
    <s v="Credit Card"/>
    <m/>
    <x v="3"/>
    <s v="Canada"/>
    <s v="A. Kim"/>
    <x v="0"/>
    <s v="Payments"/>
    <n v="2.9000000000000001E-2"/>
    <s v="N/A"/>
    <s v="High Value"/>
    <s v="Yes"/>
    <s v="No"/>
    <x v="0"/>
    <x v="0"/>
    <s v="NAQ2"/>
    <n v="260000"/>
  </r>
  <r>
    <s v="TXN-102565"/>
    <d v="2024-08-15T00:00:00"/>
    <x v="29"/>
    <s v="SVC-02"/>
    <n v="198.98"/>
    <x v="0"/>
    <s v="Credit Card"/>
    <s v="VIP account"/>
    <x v="1"/>
    <s v="Germany"/>
    <s v="L. Chen"/>
    <x v="6"/>
    <s v="HR &amp; Payroll"/>
    <n v="0"/>
    <s v="SMB"/>
    <s v="Standard"/>
    <s v="Yes"/>
    <s v="Yes"/>
    <x v="2"/>
    <x v="1"/>
    <s v="EMEAQ3"/>
    <n v="147000"/>
  </r>
  <r>
    <s v="TXN-100989"/>
    <d v="2024-06-27T00:00:00"/>
    <x v="13"/>
    <s v="SVC-01"/>
    <n v="22.75"/>
    <x v="0"/>
    <s v="Debit Card"/>
    <m/>
    <x v="0"/>
    <s v="Canada"/>
    <s v="J. Reyes"/>
    <x v="0"/>
    <s v="Payments"/>
    <n v="2.9000000000000001E-2"/>
    <s v="Enterprise"/>
    <s v="Standard"/>
    <s v="No"/>
    <s v="Yes"/>
    <x v="0"/>
    <x v="0"/>
    <s v="NAQ2"/>
    <n v="260000"/>
  </r>
  <r>
    <s v="TXN-101834"/>
    <d v="2024-01-31T00:00:00"/>
    <x v="13"/>
    <s v="SVC-01"/>
    <n v="190.54"/>
    <x v="0"/>
    <s v="Credit Card"/>
    <m/>
    <x v="0"/>
    <s v="Canada"/>
    <s v="J. Reyes"/>
    <x v="0"/>
    <s v="Payments"/>
    <n v="2.9000000000000001E-2"/>
    <s v="Enterprise"/>
    <s v="Standard"/>
    <s v="No"/>
    <s v="No"/>
    <x v="0"/>
    <x v="3"/>
    <s v="NAQ1"/>
    <n v="247000"/>
  </r>
  <r>
    <s v="TXN-102345"/>
    <d v="2024-07-10T00:00:00"/>
    <x v="15"/>
    <s v="SVC-01"/>
    <n v="1124.26"/>
    <x v="1"/>
    <s v="Credit Card"/>
    <m/>
    <x v="0"/>
    <s v="USA"/>
    <s v="L. Chen"/>
    <x v="0"/>
    <s v="Payments"/>
    <n v="2.9000000000000001E-2"/>
    <s v="N/A"/>
    <s v="High Value"/>
    <s v="Yes"/>
    <s v="Yes"/>
    <x v="0"/>
    <x v="1"/>
    <s v="NAQ3"/>
    <n v="273000"/>
  </r>
  <r>
    <s v="TXN-100800"/>
    <d v="2024-06-17T00:00:00"/>
    <x v="56"/>
    <s v="SVC-01"/>
    <n v="327.24"/>
    <x v="0"/>
    <s v="ACH"/>
    <s v="callback requested"/>
    <x v="0"/>
    <s v="Singapore"/>
    <s v="R. Patel"/>
    <x v="0"/>
    <s v="Payments"/>
    <n v="2.9000000000000001E-2"/>
    <s v="Enterprise"/>
    <s v="Standard"/>
    <s v="Yes"/>
    <s v="Yes"/>
    <x v="1"/>
    <x v="0"/>
    <s v="APACQ2"/>
    <n v="110000"/>
  </r>
  <r>
    <s v="TXN-102149"/>
    <d v="2024-06-16T00:00:00"/>
    <x v="51"/>
    <s v="SVC-07"/>
    <n v="-165.52"/>
    <x v="2"/>
    <s v="Debit Card"/>
    <m/>
    <x v="0"/>
    <s v="United Kingdom"/>
    <s v="R. Patel"/>
    <x v="7"/>
    <s v="Support"/>
    <n v="0"/>
    <s v="N/A"/>
    <s v="Refund"/>
    <s v="No"/>
    <s v="Yes"/>
    <x v="2"/>
    <x v="0"/>
    <s v="EMEAQ2"/>
    <n v="140000"/>
  </r>
  <r>
    <s v="TXN-101083"/>
    <d v="2024-07-12T00:00:00"/>
    <x v="55"/>
    <s v="SVC-08"/>
    <n v="362.6"/>
    <x v="0"/>
    <s v="Debit Card"/>
    <s v="escalated to support"/>
    <x v="3"/>
    <s v="USA"/>
    <s v="J. Reyes"/>
    <x v="1"/>
    <s v="Risk"/>
    <n v="2.5000000000000001E-3"/>
    <s v="Startup"/>
    <s v="High Value"/>
    <s v="Yes"/>
    <s v="No"/>
    <x v="0"/>
    <x v="1"/>
    <s v="NAQ3"/>
    <n v="273000"/>
  </r>
  <r>
    <s v="TXN-101019"/>
    <d v="2024-01-28T00:00:00"/>
    <x v="16"/>
    <s v="SVC-01"/>
    <n v="275.5"/>
    <x v="0"/>
    <s v="Credit Card"/>
    <m/>
    <x v="1"/>
    <s v="Germany"/>
    <s v="R. Patel"/>
    <x v="0"/>
    <s v="Payments"/>
    <n v="2.9000000000000001E-2"/>
    <s v="SMB"/>
    <s v="Standard"/>
    <s v="No"/>
    <s v="No"/>
    <x v="2"/>
    <x v="3"/>
    <s v="EMEAQ1"/>
    <n v="133000"/>
  </r>
  <r>
    <s v="TXN-102390"/>
    <d v="2024-09-24T00:00:00"/>
    <x v="128"/>
    <s v="SVC-03"/>
    <n v="291.29000000000002"/>
    <x v="0"/>
    <s v="ACH"/>
    <s v="escalated to support"/>
    <x v="0"/>
    <s v="Philippines"/>
    <s v="L. Chen"/>
    <x v="5"/>
    <s v="Billing"/>
    <n v="5.0000000000000001E-3"/>
    <s v="Enterprise"/>
    <s v="High Value"/>
    <s v="Yes"/>
    <s v="Yes"/>
    <x v="1"/>
    <x v="1"/>
    <s v="APACQ3"/>
    <n v="115500"/>
  </r>
  <r>
    <s v="TXN-100369"/>
    <d v="2024-03-19T00:00:00"/>
    <x v="122"/>
    <s v="SVC-06"/>
    <n v="95.33"/>
    <x v="0"/>
    <s v="ACH"/>
    <m/>
    <x v="3"/>
    <s v="United Kingdom"/>
    <s v="A. Kim"/>
    <x v="4"/>
    <s v="Platform"/>
    <n v="0"/>
    <s v="Startup"/>
    <s v="Standard"/>
    <s v="Yes"/>
    <s v="Yes"/>
    <x v="2"/>
    <x v="3"/>
    <s v="EMEAQ1"/>
    <n v="133000"/>
  </r>
  <r>
    <s v="TXN-100217"/>
    <d v="2024-02-14T00:00:00"/>
    <x v="102"/>
    <s v="SVC-07"/>
    <n v="393.35"/>
    <x v="0"/>
    <s v="Debit Card"/>
    <m/>
    <x v="1"/>
    <s v="Philippines"/>
    <s v="L. Chen"/>
    <x v="7"/>
    <s v="Support"/>
    <n v="0"/>
    <s v="SMB"/>
    <s v="High Value"/>
    <s v="Yes"/>
    <s v="Yes"/>
    <x v="1"/>
    <x v="3"/>
    <s v="APACQ1"/>
    <n v="104500"/>
  </r>
  <r>
    <s v="TXN-100807"/>
    <d v="2024-01-07T00:00:00"/>
    <x v="55"/>
    <s v="SVC-01"/>
    <n v="207.23"/>
    <x v="0"/>
    <s v="Debit Card"/>
    <m/>
    <x v="3"/>
    <s v="USA"/>
    <s v="J. Reyes"/>
    <x v="0"/>
    <s v="Payments"/>
    <n v="2.9000000000000001E-2"/>
    <s v="Startup"/>
    <s v="Standard"/>
    <s v="No"/>
    <s v="Yes"/>
    <x v="0"/>
    <x v="3"/>
    <s v="NAQ1"/>
    <n v="247000"/>
  </r>
  <r>
    <s v="TXN-100244"/>
    <d v="2024-05-10T00:00:00"/>
    <x v="26"/>
    <s v="SVC-02"/>
    <n v="835.92"/>
    <x v="0"/>
    <s v="Wire Transfer"/>
    <m/>
    <x v="3"/>
    <s v="USA"/>
    <s v="R. Patel"/>
    <x v="6"/>
    <s v="HR &amp; Payroll"/>
    <n v="0"/>
    <s v="Startup"/>
    <s v="High Value"/>
    <s v="Yes"/>
    <s v="Yes"/>
    <x v="0"/>
    <x v="0"/>
    <s v="NAQ2"/>
    <n v="260000"/>
  </r>
  <r>
    <s v="TXN-100971"/>
    <d v="2024-04-14T00:00:00"/>
    <x v="62"/>
    <s v="SVC-02"/>
    <n v="190.95"/>
    <x v="0"/>
    <s v="Debit Card"/>
    <m/>
    <x v="0"/>
    <s v="USA"/>
    <s v="A. Kim"/>
    <x v="6"/>
    <s v="HR &amp; Payroll"/>
    <n v="0"/>
    <s v="Enterprise"/>
    <s v="Standard"/>
    <s v="Yes"/>
    <s v="No"/>
    <x v="0"/>
    <x v="0"/>
    <s v="NAQ2"/>
    <n v="260000"/>
  </r>
  <r>
    <s v="TXN-100487"/>
    <d v="2024-12-08T00:00:00"/>
    <x v="7"/>
    <s v="SVC-05"/>
    <n v="265.55"/>
    <x v="0"/>
    <s v="Wire Transfer"/>
    <m/>
    <x v="1"/>
    <s v="USA"/>
    <s v="T. Novak"/>
    <x v="3"/>
    <s v="Analytics"/>
    <n v="0"/>
    <s v="SMB"/>
    <s v="High Value"/>
    <s v="Yes"/>
    <s v="Yes"/>
    <x v="0"/>
    <x v="2"/>
    <s v="NAQ4"/>
    <n v="299000"/>
  </r>
  <r>
    <s v="TXN-101063"/>
    <d v="2024-12-04T00:00:00"/>
    <x v="112"/>
    <s v="SVC-04"/>
    <n v="299.95"/>
    <x v="0"/>
    <s v="Debit Card"/>
    <s v="callback requested"/>
    <x v="1"/>
    <s v="USA"/>
    <s v="A. Kim"/>
    <x v="2"/>
    <s v="Risk"/>
    <n v="1E-3"/>
    <s v="SMB"/>
    <s v="High Value"/>
    <s v="Yes"/>
    <s v="No"/>
    <x v="0"/>
    <x v="2"/>
    <s v="NAQ4"/>
    <n v="299000"/>
  </r>
  <r>
    <s v="TXN-101604"/>
    <d v="2024-07-19T00:00:00"/>
    <x v="108"/>
    <s v="SVC-02"/>
    <n v="272.01"/>
    <x v="0"/>
    <s v="ACH"/>
    <m/>
    <x v="1"/>
    <s v="Germany"/>
    <s v="M. Santos"/>
    <x v="6"/>
    <s v="HR &amp; Payroll"/>
    <n v="0"/>
    <s v="SMB"/>
    <s v="High Value"/>
    <s v="Yes"/>
    <s v="Yes"/>
    <x v="2"/>
    <x v="1"/>
    <s v="EMEAQ3"/>
    <n v="147000"/>
  </r>
  <r>
    <s v="TXN-100823"/>
    <d v="2024-09-04T00:00:00"/>
    <x v="74"/>
    <s v="SVC-03"/>
    <n v="395.66"/>
    <x v="0"/>
    <s v="ACH"/>
    <s v="callback requested"/>
    <x v="0"/>
    <s v="USA"/>
    <s v="A. Kim"/>
    <x v="5"/>
    <s v="Billing"/>
    <n v="5.0000000000000001E-3"/>
    <s v="Enterprise"/>
    <s v="High Value"/>
    <s v="Yes"/>
    <s v="No"/>
    <x v="0"/>
    <x v="1"/>
    <s v="NAQ3"/>
    <n v="273000"/>
  </r>
  <r>
    <s v="TXN-100198"/>
    <d v="2024-12-03T00:00:00"/>
    <x v="67"/>
    <s v="SVC-01"/>
    <n v="509.96"/>
    <x v="0"/>
    <s v="Credit Card"/>
    <s v="callback requested"/>
    <x v="3"/>
    <s v="Australia"/>
    <s v="Unassigned"/>
    <x v="0"/>
    <s v="Payments"/>
    <n v="2.9000000000000001E-2"/>
    <s v="Startup"/>
    <s v="High Value"/>
    <s v="Yes"/>
    <s v="Yes"/>
    <x v="1"/>
    <x v="2"/>
    <s v="APACQ4"/>
    <n v="126500"/>
  </r>
  <r>
    <s v="TXN-100855"/>
    <d v="2024-01-23T00:00:00"/>
    <x v="26"/>
    <s v="SVC-05"/>
    <n v="701.82"/>
    <x v="0"/>
    <s v="Credit Card"/>
    <s v="VIP account"/>
    <x v="3"/>
    <s v="USA"/>
    <s v="R. Patel"/>
    <x v="3"/>
    <s v="Analytics"/>
    <n v="0"/>
    <s v="Startup"/>
    <s v="High Value"/>
    <s v="Yes"/>
    <s v="Yes"/>
    <x v="0"/>
    <x v="3"/>
    <s v="NAQ1"/>
    <n v="247000"/>
  </r>
  <r>
    <s v="TXN-102303"/>
    <d v="2024-04-18T00:00:00"/>
    <x v="49"/>
    <s v="SVC-01"/>
    <n v="393.41"/>
    <x v="0"/>
    <s v="Credit Card"/>
    <m/>
    <x v="1"/>
    <s v="USA"/>
    <s v="A. Kim"/>
    <x v="0"/>
    <s v="Payments"/>
    <n v="2.9000000000000001E-2"/>
    <s v="SMB"/>
    <s v="Standard"/>
    <s v="Yes"/>
    <s v="No"/>
    <x v="0"/>
    <x v="0"/>
    <s v="NAQ2"/>
    <n v="260000"/>
  </r>
  <r>
    <s v="TXN-102143"/>
    <d v="2024-11-17T00:00:00"/>
    <x v="70"/>
    <s v="SVC-05"/>
    <n v="388.14"/>
    <x v="0"/>
    <s v="Wire Transfer"/>
    <m/>
    <x v="3"/>
    <s v="Singapore"/>
    <s v="A. Kim"/>
    <x v="3"/>
    <s v="Analytics"/>
    <n v="0"/>
    <s v="Startup"/>
    <s v="High Value"/>
    <s v="Yes"/>
    <s v="Yes"/>
    <x v="1"/>
    <x v="2"/>
    <s v="APACQ4"/>
    <n v="126500"/>
  </r>
  <r>
    <s v="TXN-100514"/>
    <d v="2024-09-09T00:00:00"/>
    <x v="86"/>
    <s v="SVC-04"/>
    <n v="882.79"/>
    <x v="0"/>
    <s v="Credit Card"/>
    <s v="callback requested"/>
    <x v="1"/>
    <s v="Canada"/>
    <s v="L. Chen"/>
    <x v="2"/>
    <s v="Risk"/>
    <n v="1E-3"/>
    <s v="SMB"/>
    <s v="High Value"/>
    <s v="Yes"/>
    <s v="Yes"/>
    <x v="0"/>
    <x v="1"/>
    <s v="NAQ3"/>
    <n v="273000"/>
  </r>
  <r>
    <s v="TXN-102424"/>
    <d v="2024-11-01T00:00:00"/>
    <x v="74"/>
    <s v="SVC-01"/>
    <n v="433.13"/>
    <x v="0"/>
    <s v="Debit Card"/>
    <m/>
    <x v="0"/>
    <s v="USA"/>
    <s v="A. Kim"/>
    <x v="0"/>
    <s v="Payments"/>
    <n v="2.9000000000000001E-2"/>
    <s v="Enterprise"/>
    <s v="Standard"/>
    <s v="Yes"/>
    <s v="Yes"/>
    <x v="0"/>
    <x v="2"/>
    <s v="NAQ4"/>
    <n v="299000"/>
  </r>
  <r>
    <s v="TXN-100213"/>
    <d v="2024-10-14T00:00:00"/>
    <x v="55"/>
    <s v="SVC-06"/>
    <n v="209.32"/>
    <x v="0"/>
    <s v="Wire Transfer"/>
    <s v="callback requested"/>
    <x v="3"/>
    <s v="USA"/>
    <s v="J. Reyes"/>
    <x v="4"/>
    <s v="Platform"/>
    <n v="0"/>
    <s v="Startup"/>
    <s v="Standard"/>
    <s v="Yes"/>
    <s v="No"/>
    <x v="0"/>
    <x v="2"/>
    <s v="NAQ4"/>
    <n v="299000"/>
  </r>
  <r>
    <s v="TXN-102225"/>
    <d v="2024-01-07T00:00:00"/>
    <x v="110"/>
    <s v="SVC-01"/>
    <n v="369.42"/>
    <x v="0"/>
    <s v="Wire Transfer"/>
    <m/>
    <x v="0"/>
    <s v="USA"/>
    <s v="A. Kim"/>
    <x v="0"/>
    <s v="Payments"/>
    <n v="2.9000000000000001E-2"/>
    <s v="Enterprise"/>
    <s v="Standard"/>
    <s v="Yes"/>
    <s v="No"/>
    <x v="0"/>
    <x v="3"/>
    <s v="NAQ1"/>
    <n v="247000"/>
  </r>
  <r>
    <s v="TXN-100878"/>
    <d v="2024-11-04T00:00:00"/>
    <x v="46"/>
    <s v="SVC-01"/>
    <n v="338.49"/>
    <x v="0"/>
    <s v="ACH"/>
    <m/>
    <x v="1"/>
    <s v="Australia"/>
    <s v="L. Chen"/>
    <x v="0"/>
    <s v="Payments"/>
    <n v="2.9000000000000001E-2"/>
    <s v="SMB"/>
    <s v="Standard"/>
    <s v="Yes"/>
    <s v="Yes"/>
    <x v="1"/>
    <x v="2"/>
    <s v="APACQ4"/>
    <n v="126500"/>
  </r>
  <r>
    <s v="TXN-100279"/>
    <d v="2024-07-30T00:00:00"/>
    <x v="83"/>
    <s v="SVC-08"/>
    <n v="563.57000000000005"/>
    <x v="0"/>
    <s v="Credit Card"/>
    <m/>
    <x v="1"/>
    <s v="Canada"/>
    <s v="L. Chen"/>
    <x v="1"/>
    <s v="Risk"/>
    <n v="2.5000000000000001E-3"/>
    <s v="SMB"/>
    <s v="High Value"/>
    <s v="Yes"/>
    <s v="No"/>
    <x v="0"/>
    <x v="1"/>
    <s v="NAQ3"/>
    <n v="273000"/>
  </r>
  <r>
    <s v="TXN-101365"/>
    <d v="2024-10-20T00:00:00"/>
    <x v="41"/>
    <s v="SVC-07"/>
    <n v="464.06"/>
    <x v="3"/>
    <s v="Credit Card"/>
    <s v="escalated to support"/>
    <x v="0"/>
    <s v="Canada"/>
    <s v="M. Santos"/>
    <x v="7"/>
    <s v="Support"/>
    <n v="0"/>
    <s v="N/A"/>
    <s v="High Value"/>
    <s v="Yes"/>
    <s v="No"/>
    <x v="0"/>
    <x v="2"/>
    <s v="NAQ4"/>
    <n v="299000"/>
  </r>
  <r>
    <s v="TXN-101805"/>
    <d v="2024-01-11T00:00:00"/>
    <x v="51"/>
    <s v="SVC-01"/>
    <n v="474.45"/>
    <x v="0"/>
    <s v="ACH"/>
    <s v="callback requested"/>
    <x v="0"/>
    <s v="United Kingdom"/>
    <s v="R. Patel"/>
    <x v="0"/>
    <s v="Payments"/>
    <n v="2.9000000000000001E-2"/>
    <s v="Enterprise"/>
    <s v="Standard"/>
    <s v="Yes"/>
    <s v="No"/>
    <x v="2"/>
    <x v="3"/>
    <s v="EMEAQ1"/>
    <n v="133000"/>
  </r>
  <r>
    <s v="TXN-100070"/>
    <d v="2024-02-04T00:00:00"/>
    <x v="87"/>
    <s v="SVC-01"/>
    <n v="1474.39"/>
    <x v="0"/>
    <s v="Debit Card"/>
    <s v="VIP account"/>
    <x v="1"/>
    <s v="United Kingdom"/>
    <s v="J. Reyes"/>
    <x v="0"/>
    <s v="Payments"/>
    <n v="2.9000000000000001E-2"/>
    <s v="SMB"/>
    <s v="High Value"/>
    <s v="Yes"/>
    <s v="No"/>
    <x v="2"/>
    <x v="3"/>
    <s v="EMEAQ1"/>
    <n v="133000"/>
  </r>
  <r>
    <s v="TXN-102430"/>
    <d v="2024-01-20T00:00:00"/>
    <x v="40"/>
    <s v="SVC-01"/>
    <n v="482.4"/>
    <x v="0"/>
    <s v="Credit Card"/>
    <s v="VIP account"/>
    <x v="1"/>
    <s v="Philippines"/>
    <s v="M. Santos"/>
    <x v="0"/>
    <s v="Payments"/>
    <n v="2.9000000000000001E-2"/>
    <s v="SMB"/>
    <s v="Standard"/>
    <s v="Yes"/>
    <s v="Yes"/>
    <x v="1"/>
    <x v="3"/>
    <s v="APACQ1"/>
    <n v="104500"/>
  </r>
  <r>
    <s v="TXN-101368"/>
    <d v="2024-03-23T00:00:00"/>
    <x v="96"/>
    <s v="SVC-06"/>
    <n v="372.47"/>
    <x v="0"/>
    <s v="Credit Card"/>
    <m/>
    <x v="1"/>
    <s v="Philippines"/>
    <s v="A. Kim"/>
    <x v="4"/>
    <s v="Platform"/>
    <n v="0"/>
    <s v="SMB"/>
    <s v="High Value"/>
    <s v="Yes"/>
    <s v="Yes"/>
    <x v="1"/>
    <x v="3"/>
    <s v="APACQ1"/>
    <n v="104500"/>
  </r>
  <r>
    <s v="TXN-100673"/>
    <d v="2024-12-22T00:00:00"/>
    <x v="83"/>
    <s v="SVC-01"/>
    <n v="320.26"/>
    <x v="0"/>
    <s v="Credit Card"/>
    <s v="VIP account"/>
    <x v="1"/>
    <s v="Canada"/>
    <s v="L. Chen"/>
    <x v="0"/>
    <s v="Payments"/>
    <n v="2.9000000000000001E-2"/>
    <s v="SMB"/>
    <s v="Standard"/>
    <s v="Yes"/>
    <s v="No"/>
    <x v="0"/>
    <x v="2"/>
    <s v="NAQ4"/>
    <n v="299000"/>
  </r>
  <r>
    <s v="TXN-102138"/>
    <d v="2024-10-02T00:00:00"/>
    <x v="26"/>
    <s v="SVC-01"/>
    <n v="164.06"/>
    <x v="0"/>
    <s v="Debit Card"/>
    <m/>
    <x v="3"/>
    <s v="USA"/>
    <s v="R. Patel"/>
    <x v="0"/>
    <s v="Payments"/>
    <n v="2.9000000000000001E-2"/>
    <s v="Startup"/>
    <s v="Standard"/>
    <s v="No"/>
    <s v="No"/>
    <x v="0"/>
    <x v="2"/>
    <s v="NAQ4"/>
    <n v="299000"/>
  </r>
  <r>
    <s v="TXN-100941"/>
    <d v="2024-01-04T00:00:00"/>
    <x v="17"/>
    <s v="SVC-01"/>
    <n v="657.81"/>
    <x v="0"/>
    <s v="Credit Card"/>
    <m/>
    <x v="1"/>
    <s v="USA"/>
    <s v="A. Kim"/>
    <x v="0"/>
    <s v="Payments"/>
    <n v="2.9000000000000001E-2"/>
    <s v="SMB"/>
    <s v="High Value"/>
    <s v="Yes"/>
    <s v="Yes"/>
    <x v="0"/>
    <x v="3"/>
    <s v="NAQ1"/>
    <n v="247000"/>
  </r>
  <r>
    <s v="TXN-102306"/>
    <d v="2024-07-25T00:00:00"/>
    <x v="23"/>
    <s v="SVC-05"/>
    <n v="640.4"/>
    <x v="0"/>
    <s v="Wire Transfer"/>
    <s v="VIP account"/>
    <x v="0"/>
    <s v="USA"/>
    <s v="L. Chen"/>
    <x v="3"/>
    <s v="Analytics"/>
    <n v="0"/>
    <s v="Enterprise"/>
    <s v="High Value"/>
    <s v="Yes"/>
    <s v="Yes"/>
    <x v="0"/>
    <x v="1"/>
    <s v="NAQ3"/>
    <n v="273000"/>
  </r>
  <r>
    <s v="TXN-101090"/>
    <d v="2024-01-17T00:00:00"/>
    <x v="27"/>
    <s v="SVC-01"/>
    <n v="498.69"/>
    <x v="0"/>
    <s v="Debit Card"/>
    <s v="escalated to support"/>
    <x v="1"/>
    <s v="Canada"/>
    <s v="L. Chen"/>
    <x v="0"/>
    <s v="Payments"/>
    <n v="2.9000000000000001E-2"/>
    <s v="SMB"/>
    <s v="Standard"/>
    <s v="Yes"/>
    <s v="Yes"/>
    <x v="0"/>
    <x v="3"/>
    <s v="NAQ1"/>
    <n v="247000"/>
  </r>
  <r>
    <s v="TXN-100351"/>
    <d v="2024-10-10T00:00:00"/>
    <x v="87"/>
    <s v="SVC-05"/>
    <n v="1128.54"/>
    <x v="0"/>
    <s v="Credit Card"/>
    <m/>
    <x v="1"/>
    <s v="United Kingdom"/>
    <s v="J. Reyes"/>
    <x v="3"/>
    <s v="Analytics"/>
    <n v="0"/>
    <s v="SMB"/>
    <s v="High Value"/>
    <s v="Yes"/>
    <s v="No"/>
    <x v="2"/>
    <x v="2"/>
    <s v="EMEAQ4"/>
    <n v="161000"/>
  </r>
  <r>
    <s v="TXN-100387"/>
    <d v="2024-10-16T00:00:00"/>
    <x v="42"/>
    <s v="SVC-04"/>
    <n v="58.22"/>
    <x v="0"/>
    <s v="Wire Transfer"/>
    <s v="callback requested"/>
    <x v="1"/>
    <s v="Australia"/>
    <s v="M. Santos"/>
    <x v="2"/>
    <s v="Risk"/>
    <n v="1E-3"/>
    <s v="SMB"/>
    <s v="Standard"/>
    <s v="Yes"/>
    <s v="Yes"/>
    <x v="1"/>
    <x v="2"/>
    <s v="APACQ4"/>
    <n v="126500"/>
  </r>
  <r>
    <s v="TXN-100161"/>
    <d v="2024-01-29T00:00:00"/>
    <x v="90"/>
    <s v="SVC-03"/>
    <n v="120.55"/>
    <x v="0"/>
    <s v="ACH"/>
    <s v="escalated to support"/>
    <x v="1"/>
    <s v="USA"/>
    <s v="A. Kim"/>
    <x v="5"/>
    <s v="Billing"/>
    <n v="5.0000000000000001E-3"/>
    <s v="SMB"/>
    <s v="Standard"/>
    <s v="Yes"/>
    <s v="No"/>
    <x v="0"/>
    <x v="3"/>
    <s v="NAQ1"/>
    <n v="247000"/>
  </r>
  <r>
    <s v="TXN-101750"/>
    <d v="2024-10-06T00:00:00"/>
    <x v="83"/>
    <s v="SVC-01"/>
    <n v="15.56"/>
    <x v="0"/>
    <s v="Debit Card"/>
    <s v="escalated to support"/>
    <x v="1"/>
    <s v="Canada"/>
    <s v="L. Chen"/>
    <x v="0"/>
    <s v="Payments"/>
    <n v="2.9000000000000001E-2"/>
    <s v="SMB"/>
    <s v="Standard"/>
    <s v="No"/>
    <s v="No"/>
    <x v="0"/>
    <x v="2"/>
    <s v="NAQ4"/>
    <n v="299000"/>
  </r>
  <r>
    <s v="TXN-101290"/>
    <d v="2024-11-22T00:00:00"/>
    <x v="36"/>
    <s v="SVC-04"/>
    <n v="573.85"/>
    <x v="1"/>
    <s v="Debit Card"/>
    <s v="VIP account"/>
    <x v="1"/>
    <s v="USA"/>
    <s v="M. Santos"/>
    <x v="2"/>
    <s v="Risk"/>
    <n v="1E-3"/>
    <s v="N/A"/>
    <s v="High Value"/>
    <s v="Yes"/>
    <s v="Yes"/>
    <x v="0"/>
    <x v="2"/>
    <s v="NAQ4"/>
    <n v="299000"/>
  </r>
  <r>
    <s v="TXN-100987"/>
    <d v="2024-09-09T00:00:00"/>
    <x v="65"/>
    <s v="SVC-03"/>
    <n v="709.64"/>
    <x v="0"/>
    <s v="Credit Card"/>
    <s v="VIP account"/>
    <x v="0"/>
    <s v="USA"/>
    <s v="A. Kim"/>
    <x v="5"/>
    <s v="Billing"/>
    <n v="5.0000000000000001E-3"/>
    <s v="Enterprise"/>
    <s v="High Value"/>
    <s v="Yes"/>
    <s v="No"/>
    <x v="0"/>
    <x v="1"/>
    <s v="NAQ3"/>
    <n v="273000"/>
  </r>
  <r>
    <s v="TXN-101518"/>
    <d v="2024-03-06T00:00:00"/>
    <x v="33"/>
    <s v="SVC-01"/>
    <n v="1175.3399999999999"/>
    <x v="0"/>
    <s v="ACH"/>
    <s v="VIP account"/>
    <x v="3"/>
    <s v="Canada"/>
    <s v="T. Novak"/>
    <x v="0"/>
    <s v="Payments"/>
    <n v="2.9000000000000001E-2"/>
    <s v="Startup"/>
    <s v="High Value"/>
    <s v="Yes"/>
    <s v="No"/>
    <x v="0"/>
    <x v="3"/>
    <s v="NAQ1"/>
    <n v="247000"/>
  </r>
  <r>
    <s v="TXN-101054"/>
    <d v="2024-08-10T00:00:00"/>
    <x v="83"/>
    <s v="SVC-05"/>
    <n v="888.98"/>
    <x v="0"/>
    <s v="ACH"/>
    <s v="callback requested"/>
    <x v="1"/>
    <s v="Canada"/>
    <s v="L. Chen"/>
    <x v="3"/>
    <s v="Analytics"/>
    <n v="0"/>
    <s v="SMB"/>
    <s v="High Value"/>
    <s v="Yes"/>
    <s v="Yes"/>
    <x v="0"/>
    <x v="1"/>
    <s v="NAQ3"/>
    <n v="273000"/>
  </r>
  <r>
    <s v="TXN-101233"/>
    <d v="2024-02-23T00:00:00"/>
    <x v="4"/>
    <s v="SVC-02"/>
    <n v="312.8"/>
    <x v="0"/>
    <s v="ACH"/>
    <s v="callback requested"/>
    <x v="2"/>
    <m/>
    <m/>
    <x v="6"/>
    <s v="HR &amp; Payroll"/>
    <n v="0"/>
    <s v="Customer Not Found"/>
    <s v="High Value"/>
    <s v="Yes"/>
    <s v="No"/>
    <x v="1"/>
    <x v="3"/>
    <s v="APACQ1"/>
    <n v="104500"/>
  </r>
  <r>
    <s v="TXN-102077"/>
    <d v="2024-07-01T00:00:00"/>
    <x v="11"/>
    <s v="SVC-01"/>
    <n v="50.82"/>
    <x v="0"/>
    <s v="ACH"/>
    <s v="callback requested"/>
    <x v="0"/>
    <s v="United Kingdom"/>
    <s v="L. Chen"/>
    <x v="0"/>
    <s v="Payments"/>
    <n v="2.9000000000000001E-2"/>
    <s v="Enterprise"/>
    <s v="Standard"/>
    <s v="No"/>
    <s v="Yes"/>
    <x v="2"/>
    <x v="1"/>
    <s v="EMEAQ3"/>
    <n v="147000"/>
  </r>
  <r>
    <s v="TXN-100049"/>
    <d v="2024-09-02T00:00:00"/>
    <x v="11"/>
    <s v="SVC-01"/>
    <n v="334.64"/>
    <x v="3"/>
    <s v="ACH"/>
    <s v="escalated to support"/>
    <x v="0"/>
    <s v="United Kingdom"/>
    <s v="L. Chen"/>
    <x v="0"/>
    <s v="Payments"/>
    <n v="2.9000000000000001E-2"/>
    <s v="N/A"/>
    <s v="Standard"/>
    <s v="Yes"/>
    <s v="No"/>
    <x v="2"/>
    <x v="1"/>
    <s v="EMEAQ3"/>
    <n v="147000"/>
  </r>
  <r>
    <s v="TXN-101292"/>
    <d v="2024-09-24T00:00:00"/>
    <x v="129"/>
    <s v="SVC-03"/>
    <n v="311.06"/>
    <x v="0"/>
    <s v="Wire Transfer"/>
    <s v="escalated to support"/>
    <x v="1"/>
    <s v="Australia"/>
    <s v="A. Kim"/>
    <x v="5"/>
    <s v="Billing"/>
    <n v="5.0000000000000001E-3"/>
    <s v="SMB"/>
    <s v="High Value"/>
    <s v="Yes"/>
    <s v="Yes"/>
    <x v="1"/>
    <x v="1"/>
    <s v="APACQ3"/>
    <n v="115500"/>
  </r>
  <r>
    <s v="TXN-100119"/>
    <d v="2024-08-26T00:00:00"/>
    <x v="31"/>
    <s v="SVC-02"/>
    <n v="449.52"/>
    <x v="0"/>
    <s v="ACH"/>
    <m/>
    <x v="0"/>
    <s v="Philippines"/>
    <s v="M. Santos"/>
    <x v="6"/>
    <s v="HR &amp; Payroll"/>
    <n v="0"/>
    <s v="Enterprise"/>
    <s v="High Value"/>
    <s v="Yes"/>
    <s v="No"/>
    <x v="1"/>
    <x v="1"/>
    <s v="APACQ3"/>
    <n v="115500"/>
  </r>
  <r>
    <s v="TXN-101313"/>
    <d v="2024-12-24T00:00:00"/>
    <x v="22"/>
    <s v="SVC-07"/>
    <n v="203.16"/>
    <x v="0"/>
    <s v="Debit Card"/>
    <s v="callback requested"/>
    <x v="0"/>
    <s v="Australia"/>
    <s v="M. Santos"/>
    <x v="7"/>
    <s v="Support"/>
    <n v="0"/>
    <s v="Enterprise"/>
    <s v="Standard"/>
    <s v="Yes"/>
    <s v="Yes"/>
    <x v="1"/>
    <x v="2"/>
    <s v="APACQ4"/>
    <n v="126500"/>
  </r>
  <r>
    <s v="TXN-102354"/>
    <d v="2024-02-22T00:00:00"/>
    <x v="24"/>
    <s v="SVC-01"/>
    <n v="605.95000000000005"/>
    <x v="1"/>
    <s v="ACH"/>
    <s v="VIP account"/>
    <x v="1"/>
    <s v="USA"/>
    <s v="M. Santos"/>
    <x v="0"/>
    <s v="Payments"/>
    <n v="2.9000000000000001E-2"/>
    <s v="N/A"/>
    <s v="High Value"/>
    <s v="Yes"/>
    <s v="Yes"/>
    <x v="0"/>
    <x v="3"/>
    <s v="NAQ1"/>
    <n v="247000"/>
  </r>
  <r>
    <s v="TXN-102123"/>
    <d v="2024-03-01T00:00:00"/>
    <x v="24"/>
    <s v="SVC-06"/>
    <n v="238.03"/>
    <x v="0"/>
    <s v="ACH"/>
    <s v="escalated to support"/>
    <x v="1"/>
    <s v="USA"/>
    <s v="M. Santos"/>
    <x v="4"/>
    <s v="Platform"/>
    <n v="0"/>
    <s v="SMB"/>
    <s v="Standard"/>
    <s v="Yes"/>
    <s v="Yes"/>
    <x v="0"/>
    <x v="3"/>
    <s v="NAQ1"/>
    <n v="247000"/>
  </r>
  <r>
    <s v="TXN-100422"/>
    <d v="2024-09-09T00:00:00"/>
    <x v="74"/>
    <s v="SVC-04"/>
    <n v="731.16"/>
    <x v="1"/>
    <s v="Credit Card"/>
    <m/>
    <x v="0"/>
    <s v="USA"/>
    <s v="A. Kim"/>
    <x v="2"/>
    <s v="Risk"/>
    <n v="1E-3"/>
    <s v="N/A"/>
    <s v="High Value"/>
    <s v="Yes"/>
    <s v="Yes"/>
    <x v="0"/>
    <x v="1"/>
    <s v="NAQ3"/>
    <n v="273000"/>
  </r>
  <r>
    <s v="TXN-102113"/>
    <d v="2024-05-26T00:00:00"/>
    <x v="49"/>
    <s v="SVC-01"/>
    <n v="198.05"/>
    <x v="0"/>
    <s v="Debit Card"/>
    <s v="callback requested"/>
    <x v="1"/>
    <s v="USA"/>
    <s v="A. Kim"/>
    <x v="0"/>
    <s v="Payments"/>
    <n v="2.9000000000000001E-2"/>
    <s v="SMB"/>
    <s v="Standard"/>
    <s v="No"/>
    <s v="No"/>
    <x v="0"/>
    <x v="0"/>
    <s v="NAQ2"/>
    <n v="260000"/>
  </r>
  <r>
    <s v="TXN-102387"/>
    <d v="2024-04-26T00:00:00"/>
    <x v="82"/>
    <s v="SVC-04"/>
    <n v="617.86"/>
    <x v="0"/>
    <s v="Debit Card"/>
    <s v="callback requested"/>
    <x v="1"/>
    <s v="USA"/>
    <s v="T. Novak"/>
    <x v="2"/>
    <s v="Risk"/>
    <n v="1E-3"/>
    <s v="SMB"/>
    <s v="High Value"/>
    <s v="Yes"/>
    <s v="Yes"/>
    <x v="0"/>
    <x v="0"/>
    <s v="NAQ2"/>
    <n v="260000"/>
  </r>
  <r>
    <s v="TXN-100665"/>
    <d v="2024-09-11T00:00:00"/>
    <x v="92"/>
    <s v="SVC-01"/>
    <n v="310.11"/>
    <x v="0"/>
    <s v="Credit Card"/>
    <s v="VIP account"/>
    <x v="1"/>
    <s v="Canada"/>
    <s v="R. Patel"/>
    <x v="0"/>
    <s v="Payments"/>
    <n v="2.9000000000000001E-2"/>
    <s v="SMB"/>
    <s v="Standard"/>
    <s v="Yes"/>
    <s v="No"/>
    <x v="0"/>
    <x v="1"/>
    <s v="NAQ3"/>
    <n v="273000"/>
  </r>
  <r>
    <s v="TXN-101082"/>
    <d v="2024-01-16T00:00:00"/>
    <x v="7"/>
    <s v="SVC-02"/>
    <n v="279.25"/>
    <x v="0"/>
    <s v="Unknown"/>
    <m/>
    <x v="1"/>
    <s v="USA"/>
    <s v="T. Novak"/>
    <x v="6"/>
    <s v="HR &amp; Payroll"/>
    <n v="0"/>
    <s v="SMB"/>
    <s v="High Value"/>
    <s v="Yes"/>
    <s v="No"/>
    <x v="0"/>
    <x v="3"/>
    <s v="NAQ1"/>
    <n v="247000"/>
  </r>
  <r>
    <s v="TXN-100388"/>
    <d v="2024-05-15T00:00:00"/>
    <x v="17"/>
    <s v="SVC-01"/>
    <n v="123.31"/>
    <x v="0"/>
    <s v="ACH"/>
    <m/>
    <x v="1"/>
    <s v="USA"/>
    <s v="A. Kim"/>
    <x v="0"/>
    <s v="Payments"/>
    <n v="2.9000000000000001E-2"/>
    <s v="SMB"/>
    <s v="Standard"/>
    <s v="No"/>
    <s v="No"/>
    <x v="0"/>
    <x v="0"/>
    <s v="NAQ2"/>
    <n v="260000"/>
  </r>
  <r>
    <s v="TXN-101957"/>
    <d v="2024-07-05T00:00:00"/>
    <x v="109"/>
    <s v="SVC-02"/>
    <n v="-78.16"/>
    <x v="2"/>
    <s v="Credit Card"/>
    <s v="escalated to support"/>
    <x v="0"/>
    <s v="USA"/>
    <s v="L. Chen"/>
    <x v="6"/>
    <s v="HR &amp; Payroll"/>
    <n v="0"/>
    <s v="N/A"/>
    <s v="Refund"/>
    <s v="No"/>
    <s v="Yes"/>
    <x v="0"/>
    <x v="1"/>
    <s v="NAQ3"/>
    <n v="273000"/>
  </r>
  <r>
    <s v="TXN-100133"/>
    <d v="2024-09-29T00:00:00"/>
    <x v="54"/>
    <s v="SVC-03"/>
    <n v="330.56"/>
    <x v="0"/>
    <s v="Debit Card"/>
    <s v="escalated to support"/>
    <x v="1"/>
    <s v="USA"/>
    <s v="J. Reyes"/>
    <x v="5"/>
    <s v="Billing"/>
    <n v="5.0000000000000001E-3"/>
    <s v="SMB"/>
    <s v="High Value"/>
    <s v="Yes"/>
    <s v="Yes"/>
    <x v="0"/>
    <x v="1"/>
    <s v="NAQ3"/>
    <n v="273000"/>
  </r>
  <r>
    <s v="TXN-101972"/>
    <d v="2024-07-17T00:00:00"/>
    <x v="20"/>
    <s v="SVC-01"/>
    <n v="381.51"/>
    <x v="0"/>
    <s v="ACH"/>
    <s v="escalated to support"/>
    <x v="1"/>
    <s v="USA"/>
    <s v="R. Patel"/>
    <x v="0"/>
    <s v="Payments"/>
    <n v="2.9000000000000001E-2"/>
    <s v="SMB"/>
    <s v="Standard"/>
    <s v="Yes"/>
    <s v="Yes"/>
    <x v="0"/>
    <x v="1"/>
    <s v="NAQ3"/>
    <n v="273000"/>
  </r>
  <r>
    <s v="TXN-100692"/>
    <d v="2024-05-01T00:00:00"/>
    <x v="9"/>
    <s v="SVC-03"/>
    <n v="822.8"/>
    <x v="3"/>
    <s v="Debit Card"/>
    <s v="callback requested"/>
    <x v="3"/>
    <s v="Philippines"/>
    <s v="T. Novak"/>
    <x v="5"/>
    <s v="Billing"/>
    <n v="5.0000000000000001E-3"/>
    <s v="N/A"/>
    <s v="High Value"/>
    <s v="Yes"/>
    <s v="Yes"/>
    <x v="1"/>
    <x v="0"/>
    <s v="APACQ2"/>
    <n v="110000"/>
  </r>
  <r>
    <s v="TXN-101450"/>
    <d v="2024-02-10T00:00:00"/>
    <x v="90"/>
    <s v="SVC-01"/>
    <n v="448.7"/>
    <x v="0"/>
    <s v="ACH"/>
    <m/>
    <x v="1"/>
    <s v="USA"/>
    <s v="A. Kim"/>
    <x v="0"/>
    <s v="Payments"/>
    <n v="2.9000000000000001E-2"/>
    <s v="SMB"/>
    <s v="Standard"/>
    <s v="Yes"/>
    <s v="No"/>
    <x v="0"/>
    <x v="3"/>
    <s v="NAQ1"/>
    <n v="247000"/>
  </r>
  <r>
    <s v="TXN-102607"/>
    <d v="2024-10-28T00:00:00"/>
    <x v="130"/>
    <s v="SVC-02"/>
    <n v="356.89"/>
    <x v="0"/>
    <s v="Credit Card"/>
    <m/>
    <x v="2"/>
    <m/>
    <m/>
    <x v="6"/>
    <s v="HR &amp; Payroll"/>
    <n v="0"/>
    <s v="Customer Not Found"/>
    <s v="High Value"/>
    <s v="Yes"/>
    <s v="Yes"/>
    <x v="1"/>
    <x v="2"/>
    <s v="APACQ4"/>
    <n v="126500"/>
  </r>
  <r>
    <s v="TXN-100568"/>
    <d v="2024-05-15T00:00:00"/>
    <x v="59"/>
    <s v="SVC-01"/>
    <n v="156.56"/>
    <x v="0"/>
    <s v="ACH"/>
    <s v="callback requested"/>
    <x v="1"/>
    <s v="USA"/>
    <s v="R. Patel"/>
    <x v="0"/>
    <s v="Payments"/>
    <n v="2.9000000000000001E-2"/>
    <s v="SMB"/>
    <s v="Standard"/>
    <s v="No"/>
    <s v="No"/>
    <x v="0"/>
    <x v="0"/>
    <s v="NAQ2"/>
    <n v="260000"/>
  </r>
  <r>
    <s v="TXN-100347"/>
    <d v="2024-12-10T00:00:00"/>
    <x v="10"/>
    <s v="SVC-08"/>
    <n v="183.91"/>
    <x v="0"/>
    <s v="Credit Card"/>
    <s v="escalated to support"/>
    <x v="1"/>
    <s v="USA"/>
    <s v="T. Novak"/>
    <x v="1"/>
    <s v="Risk"/>
    <n v="2.5000000000000001E-3"/>
    <s v="SMB"/>
    <s v="Standard"/>
    <s v="Yes"/>
    <s v="No"/>
    <x v="0"/>
    <x v="2"/>
    <s v="NAQ4"/>
    <n v="299000"/>
  </r>
  <r>
    <s v="TXN-102584"/>
    <d v="2024-12-23T00:00:00"/>
    <x v="40"/>
    <s v="SVC-01"/>
    <n v="-277.98"/>
    <x v="2"/>
    <s v="Credit Card"/>
    <m/>
    <x v="1"/>
    <s v="Philippines"/>
    <s v="M. Santos"/>
    <x v="0"/>
    <s v="Payments"/>
    <n v="2.9000000000000001E-2"/>
    <s v="N/A"/>
    <s v="Refund"/>
    <s v="No"/>
    <s v="No"/>
    <x v="1"/>
    <x v="2"/>
    <s v="APACQ4"/>
    <n v="126500"/>
  </r>
  <r>
    <s v="TXN-102613"/>
    <d v="2024-07-12T00:00:00"/>
    <x v="131"/>
    <s v="SVC-04"/>
    <n v="380.05"/>
    <x v="0"/>
    <s v="Wire Transfer"/>
    <m/>
    <x v="2"/>
    <m/>
    <m/>
    <x v="2"/>
    <s v="Risk"/>
    <n v="1E-3"/>
    <s v="Customer Not Found"/>
    <s v="High Value"/>
    <s v="Yes"/>
    <s v="Yes"/>
    <x v="1"/>
    <x v="1"/>
    <s v="APACQ3"/>
    <n v="115500"/>
  </r>
  <r>
    <s v="TXN-102145"/>
    <d v="2024-10-14T00:00:00"/>
    <x v="78"/>
    <s v="SVC-03"/>
    <n v="480.93"/>
    <x v="0"/>
    <s v="Credit Card"/>
    <s v="escalated to support"/>
    <x v="1"/>
    <s v="USA"/>
    <s v="L. Chen"/>
    <x v="5"/>
    <s v="Billing"/>
    <n v="5.0000000000000001E-3"/>
    <s v="SMB"/>
    <s v="High Value"/>
    <s v="Yes"/>
    <s v="No"/>
    <x v="0"/>
    <x v="2"/>
    <s v="NAQ4"/>
    <n v="299000"/>
  </r>
  <r>
    <s v="TXN-101755"/>
    <d v="2024-03-22T00:00:00"/>
    <x v="102"/>
    <s v="SVC-02"/>
    <n v="523.69000000000005"/>
    <x v="0"/>
    <s v="Debit Card"/>
    <m/>
    <x v="1"/>
    <s v="Philippines"/>
    <s v="L. Chen"/>
    <x v="6"/>
    <s v="HR &amp; Payroll"/>
    <n v="0"/>
    <s v="SMB"/>
    <s v="High Value"/>
    <s v="Yes"/>
    <s v="Yes"/>
    <x v="1"/>
    <x v="3"/>
    <s v="APACQ1"/>
    <n v="104500"/>
  </r>
  <r>
    <s v="TXN-100513"/>
    <d v="2024-04-13T00:00:00"/>
    <x v="99"/>
    <s v="SVC-07"/>
    <n v="540.42999999999995"/>
    <x v="0"/>
    <s v="ACH"/>
    <s v="callback requested"/>
    <x v="1"/>
    <s v="Canada"/>
    <s v="R. Patel"/>
    <x v="7"/>
    <s v="Support"/>
    <n v="0"/>
    <s v="SMB"/>
    <s v="High Value"/>
    <s v="Yes"/>
    <s v="Yes"/>
    <x v="0"/>
    <x v="0"/>
    <s v="NAQ2"/>
    <n v="260000"/>
  </r>
  <r>
    <s v="TXN-100254"/>
    <d v="2024-03-07T00:00:00"/>
    <x v="20"/>
    <s v="SVC-03"/>
    <n v="612.67999999999995"/>
    <x v="0"/>
    <s v="Credit Card"/>
    <s v="callback requested"/>
    <x v="1"/>
    <s v="USA"/>
    <s v="R. Patel"/>
    <x v="5"/>
    <s v="Billing"/>
    <n v="5.0000000000000001E-3"/>
    <s v="SMB"/>
    <s v="High Value"/>
    <s v="Yes"/>
    <s v="Yes"/>
    <x v="0"/>
    <x v="3"/>
    <s v="NAQ1"/>
    <n v="247000"/>
  </r>
  <r>
    <s v="TXN-101078"/>
    <d v="2024-05-06T00:00:00"/>
    <x v="82"/>
    <s v="SVC-03"/>
    <n v="1238.05"/>
    <x v="0"/>
    <s v="ACH"/>
    <s v="escalated to support"/>
    <x v="1"/>
    <s v="USA"/>
    <s v="T. Novak"/>
    <x v="5"/>
    <s v="Billing"/>
    <n v="5.0000000000000001E-3"/>
    <s v="SMB"/>
    <s v="High Value"/>
    <s v="Yes"/>
    <s v="Yes"/>
    <x v="0"/>
    <x v="0"/>
    <s v="NAQ2"/>
    <n v="260000"/>
  </r>
  <r>
    <s v="TXN-100764"/>
    <d v="2024-08-13T00:00:00"/>
    <x v="65"/>
    <s v="SVC-04"/>
    <n v="333.43"/>
    <x v="0"/>
    <s v="Wire Transfer"/>
    <s v="callback requested"/>
    <x v="0"/>
    <s v="USA"/>
    <s v="A. Kim"/>
    <x v="2"/>
    <s v="Risk"/>
    <n v="1E-3"/>
    <s v="Enterprise"/>
    <s v="High Value"/>
    <s v="Yes"/>
    <s v="Yes"/>
    <x v="0"/>
    <x v="1"/>
    <s v="NAQ3"/>
    <n v="273000"/>
  </r>
  <r>
    <s v="TXN-101808"/>
    <d v="2024-10-12T00:00:00"/>
    <x v="75"/>
    <s v="SVC-01"/>
    <n v="-200.04"/>
    <x v="2"/>
    <s v="ACH"/>
    <m/>
    <x v="0"/>
    <s v="Canada"/>
    <s v="R. Patel"/>
    <x v="0"/>
    <s v="Payments"/>
    <n v="2.9000000000000001E-2"/>
    <s v="N/A"/>
    <s v="Refund"/>
    <s v="No"/>
    <s v="Yes"/>
    <x v="0"/>
    <x v="2"/>
    <s v="NAQ4"/>
    <n v="299000"/>
  </r>
  <r>
    <s v="TXN-100355"/>
    <d v="2024-12-15T00:00:00"/>
    <x v="50"/>
    <s v="SVC-08"/>
    <n v="161.34"/>
    <x v="0"/>
    <s v="Wire Transfer"/>
    <m/>
    <x v="1"/>
    <s v="USA"/>
    <s v="M. Santos"/>
    <x v="1"/>
    <s v="Risk"/>
    <n v="2.5000000000000001E-3"/>
    <s v="SMB"/>
    <s v="Standard"/>
    <s v="Yes"/>
    <s v="No"/>
    <x v="0"/>
    <x v="2"/>
    <s v="NAQ4"/>
    <n v="299000"/>
  </r>
  <r>
    <s v="TXN-102118"/>
    <d v="2024-03-18T00:00:00"/>
    <x v="93"/>
    <s v="SVC-01"/>
    <n v="416.45"/>
    <x v="0"/>
    <s v="Debit Card"/>
    <m/>
    <x v="1"/>
    <s v="Philippines"/>
    <s v="J. Reyes"/>
    <x v="0"/>
    <s v="Payments"/>
    <n v="2.9000000000000001E-2"/>
    <s v="SMB"/>
    <s v="Standard"/>
    <s v="Yes"/>
    <s v="Yes"/>
    <x v="1"/>
    <x v="3"/>
    <s v="APACQ1"/>
    <n v="104500"/>
  </r>
  <r>
    <s v="TXN-101765"/>
    <d v="2024-10-22T00:00:00"/>
    <x v="106"/>
    <s v="SVC-02"/>
    <n v="543.19000000000005"/>
    <x v="0"/>
    <s v="ACH"/>
    <s v="escalated to support"/>
    <x v="1"/>
    <s v="USA"/>
    <s v="J. Reyes"/>
    <x v="6"/>
    <s v="HR &amp; Payroll"/>
    <n v="0"/>
    <s v="SMB"/>
    <s v="High Value"/>
    <s v="Yes"/>
    <s v="Yes"/>
    <x v="0"/>
    <x v="2"/>
    <s v="NAQ4"/>
    <n v="299000"/>
  </r>
  <r>
    <s v="TXN-101203"/>
    <d v="2024-04-17T00:00:00"/>
    <x v="101"/>
    <s v="SVC-03"/>
    <n v="248.43"/>
    <x v="1"/>
    <s v="Wire Transfer"/>
    <m/>
    <x v="1"/>
    <s v="Canada"/>
    <s v="A. Kim"/>
    <x v="5"/>
    <s v="Billing"/>
    <n v="5.0000000000000001E-3"/>
    <s v="N/A"/>
    <s v="Standard"/>
    <s v="Yes"/>
    <s v="Yes"/>
    <x v="0"/>
    <x v="0"/>
    <s v="NAQ2"/>
    <n v="260000"/>
  </r>
  <r>
    <s v="TXN-100413"/>
    <d v="2024-10-13T00:00:00"/>
    <x v="71"/>
    <s v="SVC-05"/>
    <n v="431.19"/>
    <x v="1"/>
    <s v="Unknown"/>
    <m/>
    <x v="1"/>
    <s v="United Kingdom"/>
    <s v="R. Patel"/>
    <x v="3"/>
    <s v="Analytics"/>
    <n v="0"/>
    <s v="N/A"/>
    <s v="High Value"/>
    <s v="Yes"/>
    <s v="No"/>
    <x v="2"/>
    <x v="2"/>
    <s v="EMEAQ4"/>
    <n v="161000"/>
  </r>
  <r>
    <s v="TXN-100094"/>
    <d v="2024-07-01T00:00:00"/>
    <x v="101"/>
    <s v="SVC-06"/>
    <n v="454.83"/>
    <x v="3"/>
    <s v="Wire Transfer"/>
    <s v="escalated to support"/>
    <x v="1"/>
    <s v="Canada"/>
    <s v="A. Kim"/>
    <x v="4"/>
    <s v="Platform"/>
    <n v="0"/>
    <s v="N/A"/>
    <s v="High Value"/>
    <s v="Yes"/>
    <s v="Yes"/>
    <x v="0"/>
    <x v="1"/>
    <s v="NAQ3"/>
    <n v="273000"/>
  </r>
  <r>
    <s v="TXN-102454"/>
    <d v="2024-03-26T00:00:00"/>
    <x v="112"/>
    <s v="SVC-08"/>
    <n v="604.95000000000005"/>
    <x v="3"/>
    <s v="ACH"/>
    <m/>
    <x v="1"/>
    <s v="USA"/>
    <s v="A. Kim"/>
    <x v="1"/>
    <s v="Risk"/>
    <n v="2.5000000000000001E-3"/>
    <s v="N/A"/>
    <s v="High Value"/>
    <s v="Yes"/>
    <s v="Yes"/>
    <x v="0"/>
    <x v="3"/>
    <s v="NAQ1"/>
    <n v="247000"/>
  </r>
  <r>
    <s v="TXN-102425"/>
    <d v="2024-05-16T00:00:00"/>
    <x v="1"/>
    <s v="SVC-01"/>
    <n v="438.57"/>
    <x v="0"/>
    <s v="Debit Card"/>
    <s v="escalated to support"/>
    <x v="0"/>
    <s v="USA"/>
    <s v="J. Reyes"/>
    <x v="0"/>
    <s v="Payments"/>
    <n v="2.9000000000000001E-2"/>
    <s v="Enterprise"/>
    <s v="Standard"/>
    <s v="Yes"/>
    <s v="No"/>
    <x v="0"/>
    <x v="0"/>
    <s v="NAQ2"/>
    <n v="260000"/>
  </r>
  <r>
    <s v="TXN-101342"/>
    <d v="2024-01-08T00:00:00"/>
    <x v="29"/>
    <s v="SVC-08"/>
    <n v="262.35000000000002"/>
    <x v="0"/>
    <s v="Debit Card"/>
    <m/>
    <x v="1"/>
    <s v="Germany"/>
    <s v="L. Chen"/>
    <x v="1"/>
    <s v="Risk"/>
    <n v="2.5000000000000001E-3"/>
    <s v="SMB"/>
    <s v="High Value"/>
    <s v="Yes"/>
    <s v="No"/>
    <x v="2"/>
    <x v="3"/>
    <s v="EMEAQ1"/>
    <n v="133000"/>
  </r>
  <r>
    <s v="TXN-101652"/>
    <d v="2024-12-19T00:00:00"/>
    <x v="52"/>
    <s v="SVC-03"/>
    <n v="257.56"/>
    <x v="0"/>
    <s v="Credit Card"/>
    <m/>
    <x v="1"/>
    <s v="USA"/>
    <s v="M. Santos"/>
    <x v="5"/>
    <s v="Billing"/>
    <n v="5.0000000000000001E-3"/>
    <s v="SMB"/>
    <s v="High Value"/>
    <s v="Yes"/>
    <s v="Yes"/>
    <x v="0"/>
    <x v="2"/>
    <s v="NAQ4"/>
    <n v="299000"/>
  </r>
  <r>
    <s v="TXN-101711"/>
    <d v="2024-11-18T00:00:00"/>
    <x v="15"/>
    <s v="SVC-06"/>
    <n v="555.65"/>
    <x v="0"/>
    <s v="ACH"/>
    <s v="callback requested"/>
    <x v="0"/>
    <s v="USA"/>
    <s v="L. Chen"/>
    <x v="4"/>
    <s v="Platform"/>
    <n v="0"/>
    <s v="Enterprise"/>
    <s v="High Value"/>
    <s v="Yes"/>
    <s v="Yes"/>
    <x v="0"/>
    <x v="2"/>
    <s v="NAQ4"/>
    <n v="299000"/>
  </r>
  <r>
    <s v="TXN-102614"/>
    <d v="2024-06-20T00:00:00"/>
    <x v="132"/>
    <s v="SVC-05"/>
    <n v="1426.77"/>
    <x v="0"/>
    <s v="Credit Card"/>
    <m/>
    <x v="2"/>
    <m/>
    <m/>
    <x v="3"/>
    <s v="Analytics"/>
    <n v="0"/>
    <s v="Customer Not Found"/>
    <s v="High Value"/>
    <s v="Yes"/>
    <s v="Yes"/>
    <x v="1"/>
    <x v="0"/>
    <s v="APACQ2"/>
    <n v="110000"/>
  </r>
  <r>
    <s v="TXN-100792"/>
    <d v="2024-11-10T00:00:00"/>
    <x v="81"/>
    <s v="SVC-01"/>
    <n v="185.06"/>
    <x v="0"/>
    <s v="ACH"/>
    <s v="callback requested"/>
    <x v="3"/>
    <s v="Germany"/>
    <s v="R. Patel"/>
    <x v="0"/>
    <s v="Payments"/>
    <n v="2.9000000000000001E-2"/>
    <s v="Startup"/>
    <s v="Standard"/>
    <s v="No"/>
    <s v="No"/>
    <x v="2"/>
    <x v="2"/>
    <s v="EMEAQ4"/>
    <n v="161000"/>
  </r>
  <r>
    <s v="TXN-100535"/>
    <d v="2024-12-03T00:00:00"/>
    <x v="10"/>
    <s v="SVC-01"/>
    <n v="372.84"/>
    <x v="0"/>
    <s v="Debit Card"/>
    <s v="escalated to support"/>
    <x v="1"/>
    <s v="USA"/>
    <s v="T. Novak"/>
    <x v="0"/>
    <s v="Payments"/>
    <n v="2.9000000000000001E-2"/>
    <s v="SMB"/>
    <s v="Standard"/>
    <s v="Yes"/>
    <s v="No"/>
    <x v="0"/>
    <x v="2"/>
    <s v="NAQ4"/>
    <n v="299000"/>
  </r>
  <r>
    <s v="TXN-100585"/>
    <d v="2024-11-19T00:00:00"/>
    <x v="81"/>
    <s v="SVC-03"/>
    <n v="1054.46"/>
    <x v="0"/>
    <s v="ACH"/>
    <m/>
    <x v="3"/>
    <s v="Germany"/>
    <s v="R. Patel"/>
    <x v="5"/>
    <s v="Billing"/>
    <n v="5.0000000000000001E-3"/>
    <s v="Startup"/>
    <s v="High Value"/>
    <s v="Yes"/>
    <s v="No"/>
    <x v="2"/>
    <x v="2"/>
    <s v="EMEAQ4"/>
    <n v="161000"/>
  </r>
  <r>
    <s v="TXN-101726"/>
    <d v="2024-06-07T00:00:00"/>
    <x v="54"/>
    <s v="SVC-06"/>
    <n v="137.91999999999999"/>
    <x v="0"/>
    <s v="ACH"/>
    <s v="VIP account"/>
    <x v="1"/>
    <s v="USA"/>
    <s v="J. Reyes"/>
    <x v="4"/>
    <s v="Platform"/>
    <n v="0"/>
    <s v="SMB"/>
    <s v="Standard"/>
    <s v="Yes"/>
    <s v="Yes"/>
    <x v="0"/>
    <x v="0"/>
    <s v="NAQ2"/>
    <n v="260000"/>
  </r>
  <r>
    <s v="TXN-101921"/>
    <d v="2024-10-08T00:00:00"/>
    <x v="111"/>
    <s v="SVC-03"/>
    <n v="438.31"/>
    <x v="0"/>
    <s v="Credit Card"/>
    <s v="VIP account"/>
    <x v="1"/>
    <s v="Australia"/>
    <s v="A. Kim"/>
    <x v="5"/>
    <s v="Billing"/>
    <n v="5.0000000000000001E-3"/>
    <s v="SMB"/>
    <s v="High Value"/>
    <s v="Yes"/>
    <s v="Yes"/>
    <x v="1"/>
    <x v="2"/>
    <s v="APACQ4"/>
    <n v="126500"/>
  </r>
  <r>
    <s v="TXN-100647"/>
    <d v="2024-03-08T00:00:00"/>
    <x v="25"/>
    <s v="SVC-01"/>
    <n v="158.30000000000001"/>
    <x v="1"/>
    <s v="Credit Card"/>
    <m/>
    <x v="0"/>
    <s v="USA"/>
    <s v="A. Kim"/>
    <x v="0"/>
    <s v="Payments"/>
    <n v="2.9000000000000001E-2"/>
    <s v="N/A"/>
    <s v="Standard"/>
    <s v="No"/>
    <s v="No"/>
    <x v="0"/>
    <x v="3"/>
    <s v="NAQ1"/>
    <n v="247000"/>
  </r>
  <r>
    <s v="TXN-100184"/>
    <d v="2024-10-03T00:00:00"/>
    <x v="23"/>
    <s v="SVC-05"/>
    <n v="652.12"/>
    <x v="0"/>
    <s v="ACH"/>
    <s v="escalated to support"/>
    <x v="0"/>
    <s v="USA"/>
    <s v="L. Chen"/>
    <x v="3"/>
    <s v="Analytics"/>
    <n v="0"/>
    <s v="Enterprise"/>
    <s v="High Value"/>
    <s v="Yes"/>
    <s v="No"/>
    <x v="0"/>
    <x v="2"/>
    <s v="NAQ4"/>
    <n v="299000"/>
  </r>
  <r>
    <s v="TXN-101013"/>
    <d v="2024-04-24T00:00:00"/>
    <x v="24"/>
    <s v="SVC-07"/>
    <n v="750.2"/>
    <x v="0"/>
    <s v="ACH"/>
    <s v="callback requested"/>
    <x v="1"/>
    <s v="USA"/>
    <s v="M. Santos"/>
    <x v="7"/>
    <s v="Support"/>
    <n v="0"/>
    <s v="SMB"/>
    <s v="High Value"/>
    <s v="Yes"/>
    <s v="Yes"/>
    <x v="0"/>
    <x v="0"/>
    <s v="NAQ2"/>
    <n v="260000"/>
  </r>
  <r>
    <s v="TXN-101295"/>
    <d v="2024-11-20T00:00:00"/>
    <x v="18"/>
    <s v="SVC-02"/>
    <n v="512.70000000000005"/>
    <x v="0"/>
    <s v="Credit Card"/>
    <s v="callback requested"/>
    <x v="1"/>
    <s v="Philippines"/>
    <s v="R. Patel"/>
    <x v="6"/>
    <s v="HR &amp; Payroll"/>
    <n v="0"/>
    <s v="SMB"/>
    <s v="High Value"/>
    <s v="Yes"/>
    <s v="No"/>
    <x v="1"/>
    <x v="2"/>
    <s v="APACQ4"/>
    <n v="126500"/>
  </r>
  <r>
    <s v="TXN-100999"/>
    <d v="2024-06-20T00:00:00"/>
    <x v="66"/>
    <s v="SVC-04"/>
    <n v="1033.56"/>
    <x v="0"/>
    <s v="Credit Card"/>
    <m/>
    <x v="3"/>
    <s v="Australia"/>
    <s v="L. Chen"/>
    <x v="2"/>
    <s v="Risk"/>
    <n v="1E-3"/>
    <s v="Startup"/>
    <s v="High Value"/>
    <s v="Yes"/>
    <s v="Yes"/>
    <x v="1"/>
    <x v="0"/>
    <s v="APACQ2"/>
    <n v="110000"/>
  </r>
  <r>
    <s v="TXN-101605"/>
    <d v="2024-07-22T00:00:00"/>
    <x v="65"/>
    <s v="SVC-03"/>
    <n v="266.52999999999997"/>
    <x v="3"/>
    <s v="Credit Card"/>
    <m/>
    <x v="0"/>
    <s v="USA"/>
    <s v="A. Kim"/>
    <x v="5"/>
    <s v="Billing"/>
    <n v="5.0000000000000001E-3"/>
    <s v="N/A"/>
    <s v="High Value"/>
    <s v="Yes"/>
    <s v="No"/>
    <x v="0"/>
    <x v="1"/>
    <s v="NAQ3"/>
    <n v="273000"/>
  </r>
  <r>
    <s v="TXN-102234"/>
    <d v="2024-03-13T00:00:00"/>
    <x v="70"/>
    <s v="SVC-06"/>
    <n v="-643.47"/>
    <x v="2"/>
    <s v="Wire Transfer"/>
    <m/>
    <x v="3"/>
    <s v="Singapore"/>
    <s v="A. Kim"/>
    <x v="4"/>
    <s v="Platform"/>
    <n v="0"/>
    <s v="N/A"/>
    <s v="Refund"/>
    <s v="No"/>
    <s v="Yes"/>
    <x v="1"/>
    <x v="3"/>
    <s v="APACQ1"/>
    <n v="104500"/>
  </r>
  <r>
    <s v="TXN-101503"/>
    <d v="2024-10-24T00:00:00"/>
    <x v="59"/>
    <s v="SVC-02"/>
    <n v="579.13"/>
    <x v="0"/>
    <s v="Credit Card"/>
    <m/>
    <x v="1"/>
    <s v="USA"/>
    <s v="R. Patel"/>
    <x v="6"/>
    <s v="HR &amp; Payroll"/>
    <n v="0"/>
    <s v="SMB"/>
    <s v="High Value"/>
    <s v="Yes"/>
    <s v="No"/>
    <x v="0"/>
    <x v="2"/>
    <s v="NAQ4"/>
    <n v="299000"/>
  </r>
  <r>
    <s v="TXN-102292"/>
    <d v="2024-03-26T00:00:00"/>
    <x v="8"/>
    <s v="SVC-03"/>
    <n v="375.37"/>
    <x v="0"/>
    <s v="Debit Card"/>
    <s v="VIP account"/>
    <x v="1"/>
    <s v="USA"/>
    <s v="M. Santos"/>
    <x v="5"/>
    <s v="Billing"/>
    <n v="5.0000000000000001E-3"/>
    <s v="SMB"/>
    <s v="High Value"/>
    <s v="Yes"/>
    <s v="No"/>
    <x v="0"/>
    <x v="3"/>
    <s v="NAQ1"/>
    <n v="247000"/>
  </r>
  <r>
    <s v="TXN-102167"/>
    <d v="2024-06-13T00:00:00"/>
    <x v="37"/>
    <s v="SVC-05"/>
    <n v="566.74"/>
    <x v="0"/>
    <s v="Credit Card"/>
    <m/>
    <x v="1"/>
    <s v="Canada"/>
    <s v="T. Novak"/>
    <x v="3"/>
    <s v="Analytics"/>
    <n v="0"/>
    <s v="SMB"/>
    <s v="High Value"/>
    <s v="Yes"/>
    <s v="Yes"/>
    <x v="0"/>
    <x v="0"/>
    <s v="NAQ2"/>
    <n v="260000"/>
  </r>
  <r>
    <s v="TXN-101395"/>
    <d v="2024-03-20T00:00:00"/>
    <x v="65"/>
    <s v="SVC-01"/>
    <n v="-487.21"/>
    <x v="2"/>
    <s v="Debit Card"/>
    <s v="escalated to support"/>
    <x v="0"/>
    <s v="USA"/>
    <s v="A. Kim"/>
    <x v="0"/>
    <s v="Payments"/>
    <n v="2.9000000000000001E-2"/>
    <s v="N/A"/>
    <s v="Refund"/>
    <s v="No"/>
    <s v="No"/>
    <x v="0"/>
    <x v="3"/>
    <s v="NAQ1"/>
    <n v="247000"/>
  </r>
  <r>
    <s v="TXN-101251"/>
    <d v="2024-12-28T00:00:00"/>
    <x v="76"/>
    <s v="SVC-08"/>
    <n v="291.79000000000002"/>
    <x v="0"/>
    <s v="Debit Card"/>
    <s v="escalated to support"/>
    <x v="3"/>
    <s v="United Kingdom"/>
    <s v="R. Patel"/>
    <x v="1"/>
    <s v="Risk"/>
    <n v="2.5000000000000001E-3"/>
    <s v="Startup"/>
    <s v="High Value"/>
    <s v="Yes"/>
    <s v="Yes"/>
    <x v="2"/>
    <x v="2"/>
    <s v="EMEAQ4"/>
    <n v="161000"/>
  </r>
  <r>
    <s v="TXN-101533"/>
    <d v="2024-12-09T00:00:00"/>
    <x v="78"/>
    <s v="SVC-01"/>
    <n v="972.87"/>
    <x v="0"/>
    <s v="Credit Card"/>
    <m/>
    <x v="1"/>
    <s v="USA"/>
    <s v="L. Chen"/>
    <x v="0"/>
    <s v="Payments"/>
    <n v="2.9000000000000001E-2"/>
    <s v="SMB"/>
    <s v="High Value"/>
    <s v="Yes"/>
    <s v="No"/>
    <x v="0"/>
    <x v="2"/>
    <s v="NAQ4"/>
    <n v="299000"/>
  </r>
  <r>
    <s v="TXN-101119"/>
    <d v="2024-11-03T00:00:00"/>
    <x v="65"/>
    <s v="SVC-01"/>
    <n v="215.47"/>
    <x v="0"/>
    <s v="Debit Card"/>
    <m/>
    <x v="0"/>
    <s v="USA"/>
    <s v="A. Kim"/>
    <x v="0"/>
    <s v="Payments"/>
    <n v="2.9000000000000001E-2"/>
    <s v="Enterprise"/>
    <s v="Standard"/>
    <s v="No"/>
    <s v="No"/>
    <x v="0"/>
    <x v="2"/>
    <s v="NAQ4"/>
    <n v="299000"/>
  </r>
  <r>
    <s v="TXN-101049"/>
    <d v="2024-10-17T00:00:00"/>
    <x v="115"/>
    <s v="SVC-03"/>
    <n v="166.48"/>
    <x v="0"/>
    <s v="Debit Card"/>
    <s v="callback requested"/>
    <x v="3"/>
    <s v="USA"/>
    <s v="L. Chen"/>
    <x v="5"/>
    <s v="Billing"/>
    <n v="5.0000000000000001E-3"/>
    <s v="Startup"/>
    <s v="Standard"/>
    <s v="Yes"/>
    <s v="Yes"/>
    <x v="0"/>
    <x v="2"/>
    <s v="NAQ4"/>
    <n v="299000"/>
  </r>
  <r>
    <s v="TXN-102524"/>
    <d v="2024-03-13T00:00:00"/>
    <x v="20"/>
    <s v="SVC-04"/>
    <n v="669.98"/>
    <x v="0"/>
    <s v="ACH"/>
    <m/>
    <x v="1"/>
    <s v="USA"/>
    <s v="R. Patel"/>
    <x v="2"/>
    <s v="Risk"/>
    <n v="1E-3"/>
    <s v="SMB"/>
    <s v="High Value"/>
    <s v="Yes"/>
    <s v="Yes"/>
    <x v="0"/>
    <x v="3"/>
    <s v="NAQ1"/>
    <n v="247000"/>
  </r>
  <r>
    <s v="TXN-100627"/>
    <d v="2024-06-12T00:00:00"/>
    <x v="46"/>
    <s v="SVC-08"/>
    <n v="456.75"/>
    <x v="0"/>
    <s v="Credit Card"/>
    <s v="VIP account"/>
    <x v="1"/>
    <s v="Australia"/>
    <s v="L. Chen"/>
    <x v="1"/>
    <s v="Risk"/>
    <n v="2.5000000000000001E-3"/>
    <s v="SMB"/>
    <s v="High Value"/>
    <s v="Yes"/>
    <s v="Yes"/>
    <x v="1"/>
    <x v="0"/>
    <s v="APACQ2"/>
    <n v="110000"/>
  </r>
  <r>
    <s v="TXN-102304"/>
    <d v="2024-04-22T00:00:00"/>
    <x v="12"/>
    <s v="SVC-03"/>
    <n v="531.45000000000005"/>
    <x v="0"/>
    <s v="ACH"/>
    <s v="callback requested"/>
    <x v="1"/>
    <s v="Canada"/>
    <s v="R. Patel"/>
    <x v="5"/>
    <s v="Billing"/>
    <n v="5.0000000000000001E-3"/>
    <s v="SMB"/>
    <s v="High Value"/>
    <s v="Yes"/>
    <s v="No"/>
    <x v="0"/>
    <x v="0"/>
    <s v="NAQ2"/>
    <n v="260000"/>
  </r>
  <r>
    <s v="TXN-100230"/>
    <d v="2024-02-22T00:00:00"/>
    <x v="3"/>
    <s v="SVC-02"/>
    <n v="134.36000000000001"/>
    <x v="0"/>
    <s v="ACH"/>
    <s v="callback requested"/>
    <x v="1"/>
    <s v="Canada"/>
    <s v="J. Reyes"/>
    <x v="6"/>
    <s v="HR &amp; Payroll"/>
    <n v="0"/>
    <s v="SMB"/>
    <s v="Standard"/>
    <s v="Yes"/>
    <s v="No"/>
    <x v="0"/>
    <x v="3"/>
    <s v="NAQ1"/>
    <n v="247000"/>
  </r>
  <r>
    <s v="TXN-101282"/>
    <d v="2024-12-29T00:00:00"/>
    <x v="122"/>
    <s v="SVC-03"/>
    <n v="413.04"/>
    <x v="0"/>
    <s v="ACH"/>
    <m/>
    <x v="3"/>
    <s v="United Kingdom"/>
    <s v="A. Kim"/>
    <x v="5"/>
    <s v="Billing"/>
    <n v="5.0000000000000001E-3"/>
    <s v="Startup"/>
    <s v="High Value"/>
    <s v="Yes"/>
    <s v="Yes"/>
    <x v="2"/>
    <x v="2"/>
    <s v="EMEAQ4"/>
    <n v="161000"/>
  </r>
  <r>
    <s v="TXN-100272"/>
    <d v="2024-06-14T00:00:00"/>
    <x v="116"/>
    <s v="SVC-05"/>
    <n v="449.49"/>
    <x v="0"/>
    <s v="Wire Transfer"/>
    <m/>
    <x v="1"/>
    <s v="USA"/>
    <s v="J. Reyes"/>
    <x v="3"/>
    <s v="Analytics"/>
    <n v="0"/>
    <s v="SMB"/>
    <s v="High Value"/>
    <s v="Yes"/>
    <s v="Yes"/>
    <x v="0"/>
    <x v="0"/>
    <s v="NAQ2"/>
    <n v="260000"/>
  </r>
  <r>
    <s v="TXN-102376"/>
    <d v="2024-10-20T00:00:00"/>
    <x v="47"/>
    <s v="SVC-01"/>
    <n v="540.87"/>
    <x v="0"/>
    <s v="ACH"/>
    <s v="callback requested"/>
    <x v="1"/>
    <s v="Canada"/>
    <s v="R. Patel"/>
    <x v="0"/>
    <s v="Payments"/>
    <n v="2.9000000000000001E-2"/>
    <s v="SMB"/>
    <s v="High Value"/>
    <s v="Yes"/>
    <s v="No"/>
    <x v="0"/>
    <x v="2"/>
    <s v="NAQ4"/>
    <n v="299000"/>
  </r>
  <r>
    <s v="TXN-101798"/>
    <d v="2024-10-19T00:00:00"/>
    <x v="53"/>
    <s v="SVC-01"/>
    <n v="-441.02"/>
    <x v="2"/>
    <s v="Credit Card"/>
    <s v="VIP account"/>
    <x v="0"/>
    <s v="Singapore"/>
    <s v="L. Chen"/>
    <x v="0"/>
    <s v="Payments"/>
    <n v="2.9000000000000001E-2"/>
    <s v="N/A"/>
    <s v="Refund"/>
    <s v="No"/>
    <s v="No"/>
    <x v="1"/>
    <x v="2"/>
    <s v="APACQ4"/>
    <n v="126500"/>
  </r>
  <r>
    <s v="TXN-102294"/>
    <d v="2024-08-28T00:00:00"/>
    <x v="13"/>
    <s v="SVC-06"/>
    <n v="-578.03"/>
    <x v="2"/>
    <s v="Debit Card"/>
    <s v="escalated to support"/>
    <x v="0"/>
    <s v="Canada"/>
    <s v="J. Reyes"/>
    <x v="4"/>
    <s v="Platform"/>
    <n v="0"/>
    <s v="N/A"/>
    <s v="Refund"/>
    <s v="No"/>
    <s v="Yes"/>
    <x v="0"/>
    <x v="1"/>
    <s v="NAQ3"/>
    <n v="273000"/>
  </r>
  <r>
    <s v="TXN-101554"/>
    <d v="2024-07-15T00:00:00"/>
    <x v="28"/>
    <s v="SVC-01"/>
    <n v="219.49"/>
    <x v="3"/>
    <s v="ACH"/>
    <m/>
    <x v="1"/>
    <s v="United Kingdom"/>
    <s v="L. Chen"/>
    <x v="0"/>
    <s v="Payments"/>
    <n v="2.9000000000000001E-2"/>
    <s v="N/A"/>
    <s v="Standard"/>
    <s v="No"/>
    <s v="No"/>
    <x v="2"/>
    <x v="1"/>
    <s v="EMEAQ3"/>
    <n v="147000"/>
  </r>
  <r>
    <s v="TXN-101682"/>
    <d v="2024-05-27T00:00:00"/>
    <x v="25"/>
    <s v="SVC-01"/>
    <n v="279.70999999999998"/>
    <x v="0"/>
    <s v="Credit Card"/>
    <s v="callback requested"/>
    <x v="0"/>
    <s v="USA"/>
    <s v="A. Kim"/>
    <x v="0"/>
    <s v="Payments"/>
    <n v="2.9000000000000001E-2"/>
    <s v="Enterprise"/>
    <s v="Standard"/>
    <s v="No"/>
    <s v="No"/>
    <x v="0"/>
    <x v="0"/>
    <s v="NAQ2"/>
    <n v="260000"/>
  </r>
  <r>
    <s v="TXN-100215"/>
    <d v="2024-02-27T00:00:00"/>
    <x v="104"/>
    <s v="SVC-03"/>
    <n v="506.41"/>
    <x v="0"/>
    <s v="Credit Card"/>
    <m/>
    <x v="1"/>
    <s v="USA"/>
    <s v="M. Santos"/>
    <x v="5"/>
    <s v="Billing"/>
    <n v="5.0000000000000001E-3"/>
    <s v="SMB"/>
    <s v="High Value"/>
    <s v="Yes"/>
    <s v="Yes"/>
    <x v="0"/>
    <x v="3"/>
    <s v="NAQ1"/>
    <n v="247000"/>
  </r>
  <r>
    <s v="TXN-101069"/>
    <d v="2024-05-03T00:00:00"/>
    <x v="31"/>
    <s v="SVC-06"/>
    <n v="521.05999999999995"/>
    <x v="0"/>
    <s v="ACH"/>
    <s v="callback requested"/>
    <x v="0"/>
    <s v="Philippines"/>
    <s v="M. Santos"/>
    <x v="4"/>
    <s v="Platform"/>
    <n v="0"/>
    <s v="Enterprise"/>
    <s v="High Value"/>
    <s v="Yes"/>
    <s v="Yes"/>
    <x v="1"/>
    <x v="0"/>
    <s v="APACQ2"/>
    <n v="110000"/>
  </r>
  <r>
    <s v="TXN-101506"/>
    <d v="2024-10-20T00:00:00"/>
    <x v="49"/>
    <s v="SVC-07"/>
    <n v="756.35"/>
    <x v="0"/>
    <s v="ACH"/>
    <s v="escalated to support"/>
    <x v="1"/>
    <s v="USA"/>
    <s v="A. Kim"/>
    <x v="7"/>
    <s v="Support"/>
    <n v="0"/>
    <s v="SMB"/>
    <s v="High Value"/>
    <s v="Yes"/>
    <s v="Yes"/>
    <x v="0"/>
    <x v="2"/>
    <s v="NAQ4"/>
    <n v="299000"/>
  </r>
  <r>
    <s v="TXN-100190"/>
    <d v="2024-06-15T00:00:00"/>
    <x v="32"/>
    <s v="SVC-04"/>
    <n v="210.9"/>
    <x v="3"/>
    <s v="Credit Card"/>
    <m/>
    <x v="1"/>
    <s v="Philippines"/>
    <s v="T. Novak"/>
    <x v="2"/>
    <s v="Risk"/>
    <n v="1E-3"/>
    <s v="N/A"/>
    <s v="Standard"/>
    <s v="Yes"/>
    <s v="Yes"/>
    <x v="1"/>
    <x v="0"/>
    <s v="APACQ2"/>
    <n v="110000"/>
  </r>
  <r>
    <s v="TXN-101970"/>
    <d v="2024-05-04T00:00:00"/>
    <x v="81"/>
    <s v="SVC-02"/>
    <n v="1505.67"/>
    <x v="1"/>
    <s v="Credit Card"/>
    <m/>
    <x v="3"/>
    <s v="Germany"/>
    <s v="R. Patel"/>
    <x v="6"/>
    <s v="HR &amp; Payroll"/>
    <n v="0"/>
    <s v="N/A"/>
    <s v="High Value"/>
    <s v="Yes"/>
    <s v="Yes"/>
    <x v="2"/>
    <x v="0"/>
    <s v="EMEAQ2"/>
    <n v="140000"/>
  </r>
  <r>
    <s v="TXN-100352"/>
    <d v="2024-11-28T00:00:00"/>
    <x v="106"/>
    <s v="SVC-08"/>
    <n v="-83.07"/>
    <x v="2"/>
    <s v="Credit Card"/>
    <s v="escalated to support"/>
    <x v="1"/>
    <s v="USA"/>
    <s v="J. Reyes"/>
    <x v="1"/>
    <s v="Risk"/>
    <n v="2.5000000000000001E-3"/>
    <s v="N/A"/>
    <s v="Refund"/>
    <s v="No"/>
    <s v="Yes"/>
    <x v="0"/>
    <x v="2"/>
    <s v="NAQ4"/>
    <n v="299000"/>
  </r>
  <r>
    <s v="TXN-101071"/>
    <d v="2024-01-26T00:00:00"/>
    <x v="70"/>
    <s v="SVC-02"/>
    <n v="429.11"/>
    <x v="0"/>
    <s v="Credit Card"/>
    <m/>
    <x v="3"/>
    <s v="Singapore"/>
    <s v="A. Kim"/>
    <x v="6"/>
    <s v="HR &amp; Payroll"/>
    <n v="0"/>
    <s v="Startup"/>
    <s v="High Value"/>
    <s v="Yes"/>
    <s v="Yes"/>
    <x v="1"/>
    <x v="3"/>
    <s v="APACQ1"/>
    <n v="104500"/>
  </r>
  <r>
    <s v="TXN-102497"/>
    <d v="2024-10-30T00:00:00"/>
    <x v="36"/>
    <s v="SVC-02"/>
    <n v="464.69"/>
    <x v="0"/>
    <s v="Credit Card"/>
    <m/>
    <x v="1"/>
    <s v="USA"/>
    <s v="M. Santos"/>
    <x v="6"/>
    <s v="HR &amp; Payroll"/>
    <n v="0"/>
    <s v="SMB"/>
    <s v="High Value"/>
    <s v="Yes"/>
    <s v="No"/>
    <x v="0"/>
    <x v="2"/>
    <s v="NAQ4"/>
    <n v="299000"/>
  </r>
  <r>
    <s v="TXN-102413"/>
    <d v="2024-12-13T00:00:00"/>
    <x v="70"/>
    <s v="SVC-05"/>
    <n v="599.41"/>
    <x v="0"/>
    <s v="Credit Card"/>
    <m/>
    <x v="3"/>
    <s v="Singapore"/>
    <s v="A. Kim"/>
    <x v="3"/>
    <s v="Analytics"/>
    <n v="0"/>
    <s v="Startup"/>
    <s v="High Value"/>
    <s v="Yes"/>
    <s v="No"/>
    <x v="1"/>
    <x v="2"/>
    <s v="APACQ4"/>
    <n v="126500"/>
  </r>
  <r>
    <s v="TXN-100040"/>
    <d v="2024-10-02T00:00:00"/>
    <x v="38"/>
    <s v="SVC-01"/>
    <n v="342.85"/>
    <x v="0"/>
    <s v="Wire Transfer"/>
    <s v="escalated to support"/>
    <x v="0"/>
    <s v="Australia"/>
    <s v="A. Kim"/>
    <x v="0"/>
    <s v="Payments"/>
    <n v="2.9000000000000001E-2"/>
    <s v="Enterprise"/>
    <s v="Standard"/>
    <s v="Yes"/>
    <s v="No"/>
    <x v="1"/>
    <x v="2"/>
    <s v="APACQ4"/>
    <n v="126500"/>
  </r>
  <r>
    <s v="TXN-101987"/>
    <d v="2024-08-25T00:00:00"/>
    <x v="87"/>
    <s v="SVC-04"/>
    <n v="1152.1500000000001"/>
    <x v="0"/>
    <s v="Wire Transfer"/>
    <m/>
    <x v="1"/>
    <s v="United Kingdom"/>
    <s v="J. Reyes"/>
    <x v="2"/>
    <s v="Risk"/>
    <n v="1E-3"/>
    <s v="SMB"/>
    <s v="High Value"/>
    <s v="Yes"/>
    <s v="No"/>
    <x v="2"/>
    <x v="1"/>
    <s v="EMEAQ3"/>
    <n v="147000"/>
  </r>
  <r>
    <s v="TXN-101764"/>
    <d v="2024-03-17T00:00:00"/>
    <x v="104"/>
    <s v="SVC-02"/>
    <n v="709.69"/>
    <x v="3"/>
    <s v="Credit Card"/>
    <s v="callback requested"/>
    <x v="1"/>
    <s v="USA"/>
    <s v="M. Santos"/>
    <x v="6"/>
    <s v="HR &amp; Payroll"/>
    <n v="0"/>
    <s v="N/A"/>
    <s v="High Value"/>
    <s v="Yes"/>
    <s v="No"/>
    <x v="0"/>
    <x v="3"/>
    <s v="NAQ1"/>
    <n v="247000"/>
  </r>
  <r>
    <s v="TXN-100839"/>
    <d v="2024-07-29T00:00:00"/>
    <x v="1"/>
    <s v="SVC-01"/>
    <n v="285.2"/>
    <x v="0"/>
    <s v="ACH"/>
    <s v="callback requested"/>
    <x v="0"/>
    <s v="USA"/>
    <s v="J. Reyes"/>
    <x v="0"/>
    <s v="Payments"/>
    <n v="2.9000000000000001E-2"/>
    <s v="Enterprise"/>
    <s v="Standard"/>
    <s v="No"/>
    <s v="No"/>
    <x v="0"/>
    <x v="1"/>
    <s v="NAQ3"/>
    <n v="273000"/>
  </r>
  <r>
    <s v="TXN-101494"/>
    <d v="2024-10-17T00:00:00"/>
    <x v="67"/>
    <s v="SVC-03"/>
    <n v="-315.32"/>
    <x v="2"/>
    <s v="Credit Card"/>
    <s v="escalated to support"/>
    <x v="3"/>
    <s v="Australia"/>
    <s v="Unassigned"/>
    <x v="5"/>
    <s v="Billing"/>
    <n v="5.0000000000000001E-3"/>
    <s v="N/A"/>
    <s v="Refund"/>
    <s v="No"/>
    <s v="Yes"/>
    <x v="1"/>
    <x v="2"/>
    <s v="APACQ4"/>
    <n v="126500"/>
  </r>
  <r>
    <s v="TXN-101109"/>
    <d v="2024-08-29T00:00:00"/>
    <x v="119"/>
    <s v="SVC-02"/>
    <n v="700.96"/>
    <x v="0"/>
    <s v="Wire Transfer"/>
    <s v="VIP account"/>
    <x v="1"/>
    <s v="USA"/>
    <s v="R. Patel"/>
    <x v="6"/>
    <s v="HR &amp; Payroll"/>
    <n v="0"/>
    <s v="SMB"/>
    <s v="High Value"/>
    <s v="Yes"/>
    <s v="Yes"/>
    <x v="0"/>
    <x v="1"/>
    <s v="NAQ3"/>
    <n v="273000"/>
  </r>
  <r>
    <s v="TXN-101371"/>
    <d v="2024-08-12T00:00:00"/>
    <x v="17"/>
    <s v="SVC-02"/>
    <n v="456.93"/>
    <x v="1"/>
    <s v="Unknown"/>
    <m/>
    <x v="1"/>
    <s v="USA"/>
    <s v="A. Kim"/>
    <x v="6"/>
    <s v="HR &amp; Payroll"/>
    <n v="0"/>
    <s v="N/A"/>
    <s v="High Value"/>
    <s v="Yes"/>
    <s v="Yes"/>
    <x v="0"/>
    <x v="1"/>
    <s v="NAQ3"/>
    <n v="273000"/>
  </r>
  <r>
    <s v="TXN-100065"/>
    <d v="2024-07-26T00:00:00"/>
    <x v="89"/>
    <s v="SVC-01"/>
    <n v="462.3"/>
    <x v="0"/>
    <s v="Debit Card"/>
    <s v="VIP account"/>
    <x v="0"/>
    <s v="USA"/>
    <s v="A. Kim"/>
    <x v="0"/>
    <s v="Payments"/>
    <n v="2.9000000000000001E-2"/>
    <s v="Enterprise"/>
    <s v="Standard"/>
    <s v="Yes"/>
    <s v="No"/>
    <x v="0"/>
    <x v="1"/>
    <s v="NAQ3"/>
    <n v="273000"/>
  </r>
  <r>
    <s v="TXN-100870"/>
    <d v="2024-08-09T00:00:00"/>
    <x v="72"/>
    <s v="SVC-04"/>
    <n v="265.2"/>
    <x v="0"/>
    <s v="Debit Card"/>
    <m/>
    <x v="1"/>
    <s v="United Kingdom"/>
    <s v="A. Kim"/>
    <x v="2"/>
    <s v="Risk"/>
    <n v="1E-3"/>
    <s v="SMB"/>
    <s v="High Value"/>
    <s v="Yes"/>
    <s v="Yes"/>
    <x v="2"/>
    <x v="1"/>
    <s v="EMEAQ3"/>
    <n v="147000"/>
  </r>
  <r>
    <s v="TXN-101072"/>
    <d v="2024-09-09T00:00:00"/>
    <x v="111"/>
    <s v="SVC-03"/>
    <n v="584.66"/>
    <x v="0"/>
    <s v="ACH"/>
    <m/>
    <x v="1"/>
    <s v="Australia"/>
    <s v="A. Kim"/>
    <x v="5"/>
    <s v="Billing"/>
    <n v="5.0000000000000001E-3"/>
    <s v="SMB"/>
    <s v="High Value"/>
    <s v="Yes"/>
    <s v="No"/>
    <x v="1"/>
    <x v="1"/>
    <s v="APACQ3"/>
    <n v="115500"/>
  </r>
  <r>
    <s v="TXN-101599"/>
    <d v="2024-01-17T00:00:00"/>
    <x v="63"/>
    <s v="SVC-05"/>
    <n v="190.77"/>
    <x v="0"/>
    <s v="ACH"/>
    <s v="callback requested"/>
    <x v="1"/>
    <s v="Philippines"/>
    <s v="T. Novak"/>
    <x v="3"/>
    <s v="Analytics"/>
    <n v="0"/>
    <s v="SMB"/>
    <s v="Standard"/>
    <s v="Yes"/>
    <s v="No"/>
    <x v="1"/>
    <x v="3"/>
    <s v="APACQ1"/>
    <n v="104500"/>
  </r>
  <r>
    <s v="TXN-102266"/>
    <d v="2024-03-06T00:00:00"/>
    <x v="54"/>
    <s v="SVC-01"/>
    <n v="165.33"/>
    <x v="0"/>
    <s v="Credit Card"/>
    <m/>
    <x v="1"/>
    <s v="USA"/>
    <s v="J. Reyes"/>
    <x v="0"/>
    <s v="Payments"/>
    <n v="2.9000000000000001E-2"/>
    <s v="SMB"/>
    <s v="Standard"/>
    <s v="No"/>
    <s v="No"/>
    <x v="0"/>
    <x v="3"/>
    <s v="NAQ1"/>
    <n v="247000"/>
  </r>
  <r>
    <s v="TXN-101918"/>
    <d v="2024-07-13T00:00:00"/>
    <x v="115"/>
    <s v="SVC-03"/>
    <n v="154.65"/>
    <x v="0"/>
    <s v="Credit Card"/>
    <s v="escalated to support"/>
    <x v="3"/>
    <s v="USA"/>
    <s v="L. Chen"/>
    <x v="5"/>
    <s v="Billing"/>
    <n v="5.0000000000000001E-3"/>
    <s v="Startup"/>
    <s v="Standard"/>
    <s v="Yes"/>
    <s v="No"/>
    <x v="0"/>
    <x v="1"/>
    <s v="NAQ3"/>
    <n v="273000"/>
  </r>
  <r>
    <s v="TXN-101248"/>
    <d v="2024-07-15T00:00:00"/>
    <x v="40"/>
    <s v="SVC-04"/>
    <n v="677.52"/>
    <x v="0"/>
    <s v="Wire Transfer"/>
    <s v="escalated to support"/>
    <x v="1"/>
    <s v="Philippines"/>
    <s v="M. Santos"/>
    <x v="2"/>
    <s v="Risk"/>
    <n v="1E-3"/>
    <s v="SMB"/>
    <s v="High Value"/>
    <s v="Yes"/>
    <s v="Yes"/>
    <x v="1"/>
    <x v="1"/>
    <s v="APACQ3"/>
    <n v="115500"/>
  </r>
  <r>
    <s v="TXN-100146"/>
    <d v="2024-12-08T00:00:00"/>
    <x v="75"/>
    <s v="SVC-01"/>
    <n v="539.67999999999995"/>
    <x v="0"/>
    <s v="Credit Card"/>
    <m/>
    <x v="0"/>
    <s v="Canada"/>
    <s v="R. Patel"/>
    <x v="0"/>
    <s v="Payments"/>
    <n v="2.9000000000000001E-2"/>
    <s v="Enterprise"/>
    <s v="High Value"/>
    <s v="Yes"/>
    <s v="No"/>
    <x v="0"/>
    <x v="2"/>
    <s v="NAQ4"/>
    <n v="299000"/>
  </r>
  <r>
    <s v="TXN-101953"/>
    <d v="2024-03-18T00:00:00"/>
    <x v="112"/>
    <s v="SVC-02"/>
    <n v="186.02"/>
    <x v="0"/>
    <s v="Debit Card"/>
    <s v="VIP account"/>
    <x v="1"/>
    <s v="USA"/>
    <s v="A. Kim"/>
    <x v="6"/>
    <s v="HR &amp; Payroll"/>
    <n v="0"/>
    <s v="SMB"/>
    <s v="Standard"/>
    <s v="Yes"/>
    <s v="Yes"/>
    <x v="0"/>
    <x v="3"/>
    <s v="NAQ1"/>
    <n v="247000"/>
  </r>
  <r>
    <s v="TXN-102091"/>
    <d v="2024-06-10T00:00:00"/>
    <x v="59"/>
    <s v="SVC-06"/>
    <n v="593.95000000000005"/>
    <x v="0"/>
    <s v="ACH"/>
    <s v="escalated to support"/>
    <x v="1"/>
    <s v="USA"/>
    <s v="R. Patel"/>
    <x v="4"/>
    <s v="Platform"/>
    <n v="0"/>
    <s v="SMB"/>
    <s v="High Value"/>
    <s v="Yes"/>
    <s v="Yes"/>
    <x v="0"/>
    <x v="0"/>
    <s v="NAQ2"/>
    <n v="260000"/>
  </r>
  <r>
    <s v="TXN-101851"/>
    <d v="2024-08-16T00:00:00"/>
    <x v="38"/>
    <s v="SVC-08"/>
    <n v="128.51"/>
    <x v="3"/>
    <s v="Debit Card"/>
    <m/>
    <x v="0"/>
    <s v="Australia"/>
    <s v="A. Kim"/>
    <x v="1"/>
    <s v="Risk"/>
    <n v="2.5000000000000001E-3"/>
    <s v="N/A"/>
    <s v="Standard"/>
    <s v="Yes"/>
    <s v="Yes"/>
    <x v="1"/>
    <x v="1"/>
    <s v="APACQ3"/>
    <n v="115500"/>
  </r>
  <r>
    <s v="TXN-100479"/>
    <d v="2024-10-31T00:00:00"/>
    <x v="51"/>
    <s v="SVC-08"/>
    <n v="455.41"/>
    <x v="0"/>
    <s v="Credit Card"/>
    <s v="callback requested"/>
    <x v="0"/>
    <s v="United Kingdom"/>
    <s v="R. Patel"/>
    <x v="1"/>
    <s v="Risk"/>
    <n v="2.5000000000000001E-3"/>
    <s v="Enterprise"/>
    <s v="High Value"/>
    <s v="Yes"/>
    <s v="Yes"/>
    <x v="2"/>
    <x v="2"/>
    <s v="EMEAQ4"/>
    <n v="161000"/>
  </r>
  <r>
    <s v="TXN-101859"/>
    <d v="2024-04-02T00:00:00"/>
    <x v="32"/>
    <s v="SVC-06"/>
    <n v="267.94"/>
    <x v="3"/>
    <s v="ACH"/>
    <s v="VIP account"/>
    <x v="1"/>
    <s v="Philippines"/>
    <s v="T. Novak"/>
    <x v="4"/>
    <s v="Platform"/>
    <n v="0"/>
    <s v="N/A"/>
    <s v="High Value"/>
    <s v="Yes"/>
    <s v="Yes"/>
    <x v="1"/>
    <x v="0"/>
    <s v="APACQ2"/>
    <n v="110000"/>
  </r>
  <r>
    <s v="TXN-100666"/>
    <d v="2024-03-01T00:00:00"/>
    <x v="108"/>
    <s v="SVC-08"/>
    <n v="125.53"/>
    <x v="0"/>
    <s v="Credit Card"/>
    <s v="callback requested"/>
    <x v="1"/>
    <s v="Germany"/>
    <s v="M. Santos"/>
    <x v="1"/>
    <s v="Risk"/>
    <n v="2.5000000000000001E-3"/>
    <s v="SMB"/>
    <s v="Standard"/>
    <s v="Yes"/>
    <s v="Yes"/>
    <x v="2"/>
    <x v="3"/>
    <s v="EMEAQ1"/>
    <n v="133000"/>
  </r>
  <r>
    <s v="TXN-102366"/>
    <d v="2024-07-19T00:00:00"/>
    <x v="27"/>
    <s v="SVC-06"/>
    <n v="356.03"/>
    <x v="0"/>
    <s v="ACH"/>
    <m/>
    <x v="1"/>
    <s v="Canada"/>
    <s v="L. Chen"/>
    <x v="4"/>
    <s v="Platform"/>
    <n v="0"/>
    <s v="SMB"/>
    <s v="High Value"/>
    <s v="Yes"/>
    <s v="Yes"/>
    <x v="0"/>
    <x v="1"/>
    <s v="NAQ3"/>
    <n v="273000"/>
  </r>
  <r>
    <s v="TXN-100625"/>
    <d v="2024-10-21T00:00:00"/>
    <x v="15"/>
    <s v="SVC-08"/>
    <n v="1239.58"/>
    <x v="0"/>
    <s v="ACH"/>
    <s v="VIP account"/>
    <x v="0"/>
    <s v="USA"/>
    <s v="L. Chen"/>
    <x v="1"/>
    <s v="Risk"/>
    <n v="2.5000000000000001E-3"/>
    <s v="Enterprise"/>
    <s v="High Value"/>
    <s v="Yes"/>
    <s v="Yes"/>
    <x v="0"/>
    <x v="2"/>
    <s v="NAQ4"/>
    <n v="299000"/>
  </r>
  <r>
    <s v="TXN-101833"/>
    <d v="2024-05-08T00:00:00"/>
    <x v="54"/>
    <s v="SVC-08"/>
    <n v="486.75"/>
    <x v="0"/>
    <s v="Debit Card"/>
    <m/>
    <x v="1"/>
    <s v="USA"/>
    <s v="J. Reyes"/>
    <x v="1"/>
    <s v="Risk"/>
    <n v="2.5000000000000001E-3"/>
    <s v="SMB"/>
    <s v="High Value"/>
    <s v="Yes"/>
    <s v="No"/>
    <x v="0"/>
    <x v="0"/>
    <s v="NAQ2"/>
    <n v="260000"/>
  </r>
  <r>
    <s v="TXN-100918"/>
    <d v="2024-03-01T00:00:00"/>
    <x v="125"/>
    <s v="SVC-08"/>
    <n v="1126.6600000000001"/>
    <x v="0"/>
    <s v="ACH"/>
    <s v="VIP account"/>
    <x v="1"/>
    <s v="USA"/>
    <s v="A. Kim"/>
    <x v="1"/>
    <s v="Risk"/>
    <n v="2.5000000000000001E-3"/>
    <s v="SMB"/>
    <s v="High Value"/>
    <s v="Yes"/>
    <s v="No"/>
    <x v="0"/>
    <x v="3"/>
    <s v="NAQ1"/>
    <n v="247000"/>
  </r>
  <r>
    <s v="TXN-100053"/>
    <d v="2024-08-30T00:00:00"/>
    <x v="48"/>
    <s v="SVC-05"/>
    <n v="686.29"/>
    <x v="0"/>
    <s v="ACH"/>
    <m/>
    <x v="1"/>
    <s v="Germany"/>
    <s v="J. Reyes"/>
    <x v="3"/>
    <s v="Analytics"/>
    <n v="0"/>
    <s v="SMB"/>
    <s v="High Value"/>
    <s v="Yes"/>
    <s v="Yes"/>
    <x v="2"/>
    <x v="1"/>
    <s v="EMEAQ3"/>
    <n v="147000"/>
  </r>
  <r>
    <s v="TXN-100951"/>
    <d v="2024-04-06T00:00:00"/>
    <x v="14"/>
    <s v="SVC-04"/>
    <n v="-469.98"/>
    <x v="2"/>
    <s v="Credit Card"/>
    <m/>
    <x v="3"/>
    <s v="Canada"/>
    <s v="A. Kim"/>
    <x v="2"/>
    <s v="Risk"/>
    <n v="1E-3"/>
    <s v="N/A"/>
    <s v="Refund"/>
    <s v="No"/>
    <s v="Yes"/>
    <x v="0"/>
    <x v="0"/>
    <s v="NAQ2"/>
    <n v="260000"/>
  </r>
  <r>
    <s v="TXN-102229"/>
    <d v="2024-01-18T00:00:00"/>
    <x v="21"/>
    <s v="SVC-01"/>
    <n v="76.349999999999994"/>
    <x v="0"/>
    <s v="ACH"/>
    <m/>
    <x v="0"/>
    <s v="Australia"/>
    <s v="M. Santos"/>
    <x v="0"/>
    <s v="Payments"/>
    <n v="2.9000000000000001E-2"/>
    <s v="Enterprise"/>
    <s v="Standard"/>
    <s v="No"/>
    <s v="Yes"/>
    <x v="1"/>
    <x v="3"/>
    <s v="APACQ1"/>
    <n v="104500"/>
  </r>
  <r>
    <s v="TXN-101766"/>
    <d v="2024-04-05T00:00:00"/>
    <x v="82"/>
    <s v="SVC-02"/>
    <n v="164.58"/>
    <x v="0"/>
    <s v="Credit Card"/>
    <s v="escalated to support"/>
    <x v="1"/>
    <s v="USA"/>
    <s v="T. Novak"/>
    <x v="6"/>
    <s v="HR &amp; Payroll"/>
    <n v="0"/>
    <s v="SMB"/>
    <s v="Standard"/>
    <s v="Yes"/>
    <s v="Yes"/>
    <x v="0"/>
    <x v="0"/>
    <s v="NAQ2"/>
    <n v="260000"/>
  </r>
  <r>
    <s v="TXN-101134"/>
    <d v="2024-09-23T00:00:00"/>
    <x v="58"/>
    <s v="SVC-07"/>
    <n v="448.23"/>
    <x v="0"/>
    <s v="ACH"/>
    <m/>
    <x v="1"/>
    <s v="Canada"/>
    <s v="M. Santos"/>
    <x v="7"/>
    <s v="Support"/>
    <n v="0"/>
    <s v="SMB"/>
    <s v="High Value"/>
    <s v="Yes"/>
    <s v="Yes"/>
    <x v="0"/>
    <x v="1"/>
    <s v="NAQ3"/>
    <n v="273000"/>
  </r>
  <r>
    <s v="TXN-101101"/>
    <d v="2024-08-15T00:00:00"/>
    <x v="103"/>
    <s v="SVC-07"/>
    <n v="351.28"/>
    <x v="0"/>
    <s v="ACH"/>
    <s v="callback requested"/>
    <x v="1"/>
    <s v="United Kingdom"/>
    <s v="R. Patel"/>
    <x v="7"/>
    <s v="Support"/>
    <n v="0"/>
    <s v="SMB"/>
    <s v="High Value"/>
    <s v="Yes"/>
    <s v="Yes"/>
    <x v="2"/>
    <x v="1"/>
    <s v="EMEAQ3"/>
    <n v="147000"/>
  </r>
  <r>
    <s v="TXN-102342"/>
    <d v="2024-10-06T00:00:00"/>
    <x v="8"/>
    <s v="SVC-01"/>
    <n v="80.709999999999994"/>
    <x v="0"/>
    <s v="ACH"/>
    <m/>
    <x v="1"/>
    <s v="USA"/>
    <s v="M. Santos"/>
    <x v="0"/>
    <s v="Payments"/>
    <n v="2.9000000000000001E-2"/>
    <s v="SMB"/>
    <s v="Standard"/>
    <s v="No"/>
    <s v="Yes"/>
    <x v="0"/>
    <x v="2"/>
    <s v="NAQ4"/>
    <n v="299000"/>
  </r>
  <r>
    <s v="TXN-100180"/>
    <d v="2024-08-31T00:00:00"/>
    <x v="53"/>
    <s v="SVC-02"/>
    <n v="384.49"/>
    <x v="0"/>
    <s v="ACH"/>
    <s v="callback requested"/>
    <x v="0"/>
    <s v="Singapore"/>
    <s v="L. Chen"/>
    <x v="6"/>
    <s v="HR &amp; Payroll"/>
    <n v="0"/>
    <s v="Enterprise"/>
    <s v="High Value"/>
    <s v="Yes"/>
    <s v="Yes"/>
    <x v="1"/>
    <x v="1"/>
    <s v="APACQ3"/>
    <n v="115500"/>
  </r>
  <r>
    <s v="TXN-100643"/>
    <d v="2024-11-17T00:00:00"/>
    <x v="25"/>
    <s v="SVC-03"/>
    <n v="374.93"/>
    <x v="0"/>
    <s v="Debit Card"/>
    <s v="VIP account"/>
    <x v="0"/>
    <s v="USA"/>
    <s v="A. Kim"/>
    <x v="5"/>
    <s v="Billing"/>
    <n v="5.0000000000000001E-3"/>
    <s v="Enterprise"/>
    <s v="High Value"/>
    <s v="Yes"/>
    <s v="Yes"/>
    <x v="0"/>
    <x v="2"/>
    <s v="NAQ4"/>
    <n v="299000"/>
  </r>
  <r>
    <s v="TXN-100733"/>
    <d v="2024-03-15T00:00:00"/>
    <x v="125"/>
    <s v="SVC-03"/>
    <n v="1493.6"/>
    <x v="0"/>
    <s v="Credit Card"/>
    <s v="VIP account"/>
    <x v="1"/>
    <s v="USA"/>
    <s v="A. Kim"/>
    <x v="5"/>
    <s v="Billing"/>
    <n v="5.0000000000000001E-3"/>
    <s v="SMB"/>
    <s v="High Value"/>
    <s v="Yes"/>
    <s v="Yes"/>
    <x v="0"/>
    <x v="3"/>
    <s v="NAQ1"/>
    <n v="247000"/>
  </r>
  <r>
    <s v="TXN-100062"/>
    <d v="2024-01-29T00:00:00"/>
    <x v="78"/>
    <s v="SVC-08"/>
    <n v="288.83"/>
    <x v="0"/>
    <s v="ACH"/>
    <m/>
    <x v="1"/>
    <s v="USA"/>
    <s v="L. Chen"/>
    <x v="1"/>
    <s v="Risk"/>
    <n v="2.5000000000000001E-3"/>
    <s v="SMB"/>
    <s v="High Value"/>
    <s v="Yes"/>
    <s v="Yes"/>
    <x v="0"/>
    <x v="3"/>
    <s v="NAQ1"/>
    <n v="247000"/>
  </r>
  <r>
    <s v="TXN-101266"/>
    <d v="2024-10-16T00:00:00"/>
    <x v="26"/>
    <s v="SVC-04"/>
    <n v="83.08"/>
    <x v="0"/>
    <s v="ACH"/>
    <m/>
    <x v="3"/>
    <s v="USA"/>
    <s v="R. Patel"/>
    <x v="2"/>
    <s v="Risk"/>
    <n v="1E-3"/>
    <s v="Startup"/>
    <s v="Standard"/>
    <s v="Yes"/>
    <s v="No"/>
    <x v="0"/>
    <x v="2"/>
    <s v="NAQ4"/>
    <n v="299000"/>
  </r>
  <r>
    <s v="TXN-101590"/>
    <d v="2024-09-03T00:00:00"/>
    <x v="133"/>
    <s v="SVC-01"/>
    <n v="-332.05"/>
    <x v="2"/>
    <s v="Debit Card"/>
    <m/>
    <x v="1"/>
    <s v="Canada"/>
    <s v="R. Patel"/>
    <x v="0"/>
    <s v="Payments"/>
    <n v="2.9000000000000001E-2"/>
    <s v="N/A"/>
    <s v="Refund"/>
    <s v="No"/>
    <s v="Yes"/>
    <x v="0"/>
    <x v="1"/>
    <s v="NAQ3"/>
    <n v="273000"/>
  </r>
  <r>
    <s v="TXN-101348"/>
    <d v="2024-12-14T00:00:00"/>
    <x v="55"/>
    <s v="SVC-01"/>
    <n v="161.78"/>
    <x v="0"/>
    <s v="Wire Transfer"/>
    <m/>
    <x v="3"/>
    <s v="USA"/>
    <s v="J. Reyes"/>
    <x v="0"/>
    <s v="Payments"/>
    <n v="2.9000000000000001E-2"/>
    <s v="Startup"/>
    <s v="Standard"/>
    <s v="No"/>
    <s v="No"/>
    <x v="0"/>
    <x v="2"/>
    <s v="NAQ4"/>
    <n v="299000"/>
  </r>
  <r>
    <s v="TXN-101511"/>
    <d v="2024-04-17T00:00:00"/>
    <x v="61"/>
    <s v="SVC-02"/>
    <n v="538"/>
    <x v="0"/>
    <s v="Debit Card"/>
    <m/>
    <x v="1"/>
    <s v="Australia"/>
    <s v="M. Santos"/>
    <x v="6"/>
    <s v="HR &amp; Payroll"/>
    <n v="0"/>
    <s v="SMB"/>
    <s v="High Value"/>
    <s v="Yes"/>
    <s v="No"/>
    <x v="1"/>
    <x v="0"/>
    <s v="APACQ2"/>
    <n v="110000"/>
  </r>
  <r>
    <s v="TXN-102576"/>
    <d v="2024-08-14T00:00:00"/>
    <x v="38"/>
    <s v="SVC-03"/>
    <n v="380.92"/>
    <x v="0"/>
    <s v="ACH"/>
    <m/>
    <x v="0"/>
    <s v="Australia"/>
    <s v="A. Kim"/>
    <x v="5"/>
    <s v="Billing"/>
    <n v="5.0000000000000001E-3"/>
    <s v="Enterprise"/>
    <s v="High Value"/>
    <s v="Yes"/>
    <s v="Yes"/>
    <x v="1"/>
    <x v="1"/>
    <s v="APACQ3"/>
    <n v="115500"/>
  </r>
  <r>
    <s v="TXN-102561"/>
    <d v="2024-12-02T00:00:00"/>
    <x v="34"/>
    <s v="SVC-06"/>
    <n v="404.99"/>
    <x v="1"/>
    <s v="Credit Card"/>
    <m/>
    <x v="1"/>
    <s v="Germany"/>
    <s v="M. Santos"/>
    <x v="4"/>
    <s v="Platform"/>
    <n v="0"/>
    <s v="N/A"/>
    <s v="High Value"/>
    <s v="Yes"/>
    <s v="No"/>
    <x v="2"/>
    <x v="2"/>
    <s v="EMEAQ4"/>
    <n v="161000"/>
  </r>
  <r>
    <s v="TXN-100346"/>
    <d v="2024-07-20T00:00:00"/>
    <x v="29"/>
    <s v="SVC-01"/>
    <n v="322.77999999999997"/>
    <x v="0"/>
    <s v="ACH"/>
    <m/>
    <x v="1"/>
    <s v="Germany"/>
    <s v="L. Chen"/>
    <x v="0"/>
    <s v="Payments"/>
    <n v="2.9000000000000001E-2"/>
    <s v="SMB"/>
    <s v="Standard"/>
    <s v="Yes"/>
    <s v="No"/>
    <x v="2"/>
    <x v="1"/>
    <s v="EMEAQ3"/>
    <n v="147000"/>
  </r>
  <r>
    <s v="TXN-101410"/>
    <d v="2024-09-07T00:00:00"/>
    <x v="38"/>
    <s v="SVC-01"/>
    <n v="529.42999999999995"/>
    <x v="0"/>
    <s v="ACH"/>
    <s v="escalated to support"/>
    <x v="0"/>
    <s v="Australia"/>
    <s v="A. Kim"/>
    <x v="0"/>
    <s v="Payments"/>
    <n v="2.9000000000000001E-2"/>
    <s v="Enterprise"/>
    <s v="High Value"/>
    <s v="Yes"/>
    <s v="No"/>
    <x v="1"/>
    <x v="1"/>
    <s v="APACQ3"/>
    <n v="115500"/>
  </r>
  <r>
    <s v="TXN-100587"/>
    <d v="2024-01-22T00:00:00"/>
    <x v="129"/>
    <s v="SVC-02"/>
    <n v="241.61"/>
    <x v="0"/>
    <s v="Wire Transfer"/>
    <s v="VIP account"/>
    <x v="1"/>
    <s v="Australia"/>
    <s v="A. Kim"/>
    <x v="6"/>
    <s v="HR &amp; Payroll"/>
    <n v="0"/>
    <s v="SMB"/>
    <s v="Standard"/>
    <s v="Yes"/>
    <s v="Yes"/>
    <x v="1"/>
    <x v="3"/>
    <s v="APACQ1"/>
    <n v="104500"/>
  </r>
  <r>
    <s v="TXN-102419"/>
    <d v="2024-08-27T00:00:00"/>
    <x v="127"/>
    <s v="SVC-05"/>
    <n v="262.48"/>
    <x v="0"/>
    <s v="Credit Card"/>
    <m/>
    <x v="0"/>
    <s v="USA"/>
    <s v="R. Patel"/>
    <x v="3"/>
    <s v="Analytics"/>
    <n v="0"/>
    <s v="Enterprise"/>
    <s v="High Value"/>
    <s v="Yes"/>
    <s v="Yes"/>
    <x v="0"/>
    <x v="1"/>
    <s v="NAQ3"/>
    <n v="273000"/>
  </r>
  <r>
    <s v="TXN-101223"/>
    <d v="2024-01-23T00:00:00"/>
    <x v="93"/>
    <s v="SVC-01"/>
    <n v="101.33"/>
    <x v="0"/>
    <s v="Credit Card"/>
    <m/>
    <x v="1"/>
    <s v="Philippines"/>
    <s v="J. Reyes"/>
    <x v="0"/>
    <s v="Payments"/>
    <n v="2.9000000000000001E-2"/>
    <s v="SMB"/>
    <s v="Standard"/>
    <s v="No"/>
    <s v="No"/>
    <x v="1"/>
    <x v="3"/>
    <s v="APACQ1"/>
    <n v="104500"/>
  </r>
  <r>
    <s v="TXN-100224"/>
    <d v="2024-08-07T00:00:00"/>
    <x v="78"/>
    <s v="SVC-01"/>
    <n v="54.53"/>
    <x v="3"/>
    <s v="Credit Card"/>
    <m/>
    <x v="1"/>
    <s v="USA"/>
    <s v="L. Chen"/>
    <x v="0"/>
    <s v="Payments"/>
    <n v="2.9000000000000001E-2"/>
    <s v="N/A"/>
    <s v="Standard"/>
    <s v="No"/>
    <s v="No"/>
    <x v="0"/>
    <x v="1"/>
    <s v="NAQ3"/>
    <n v="273000"/>
  </r>
  <r>
    <s v="TXN-101461"/>
    <d v="2024-03-17T00:00:00"/>
    <x v="91"/>
    <s v="SVC-02"/>
    <n v="524.14"/>
    <x v="0"/>
    <s v="Credit Card"/>
    <m/>
    <x v="1"/>
    <s v="Singapore"/>
    <s v="A. Kim"/>
    <x v="6"/>
    <s v="HR &amp; Payroll"/>
    <n v="0"/>
    <s v="SMB"/>
    <s v="High Value"/>
    <s v="Yes"/>
    <s v="Yes"/>
    <x v="1"/>
    <x v="3"/>
    <s v="APACQ1"/>
    <n v="104500"/>
  </r>
  <r>
    <s v="TXN-100828"/>
    <d v="2024-02-06T00:00:00"/>
    <x v="3"/>
    <s v="SVC-01"/>
    <n v="354.45"/>
    <x v="0"/>
    <s v="Credit Card"/>
    <s v="escalated to support"/>
    <x v="1"/>
    <s v="Canada"/>
    <s v="J. Reyes"/>
    <x v="0"/>
    <s v="Payments"/>
    <n v="2.9000000000000001E-2"/>
    <s v="SMB"/>
    <s v="Standard"/>
    <s v="Yes"/>
    <s v="No"/>
    <x v="0"/>
    <x v="3"/>
    <s v="NAQ1"/>
    <n v="247000"/>
  </r>
  <r>
    <s v="TXN-100250"/>
    <d v="2024-07-28T00:00:00"/>
    <x v="133"/>
    <s v="SVC-01"/>
    <n v="876.62"/>
    <x v="0"/>
    <s v="Credit Card"/>
    <s v="escalated to support"/>
    <x v="1"/>
    <s v="Canada"/>
    <s v="R. Patel"/>
    <x v="0"/>
    <s v="Payments"/>
    <n v="2.9000000000000001E-2"/>
    <s v="SMB"/>
    <s v="High Value"/>
    <s v="Yes"/>
    <s v="No"/>
    <x v="0"/>
    <x v="1"/>
    <s v="NAQ3"/>
    <n v="273000"/>
  </r>
  <r>
    <s v="TXN-100763"/>
    <d v="2024-08-31T00:00:00"/>
    <x v="114"/>
    <s v="SVC-07"/>
    <n v="128.38"/>
    <x v="0"/>
    <s v="Wire Transfer"/>
    <s v="callback requested"/>
    <x v="3"/>
    <s v="Australia"/>
    <s v="A. Kim"/>
    <x v="7"/>
    <s v="Support"/>
    <n v="0"/>
    <s v="Startup"/>
    <s v="Standard"/>
    <s v="Yes"/>
    <s v="Yes"/>
    <x v="1"/>
    <x v="1"/>
    <s v="APACQ3"/>
    <n v="115500"/>
  </r>
  <r>
    <s v="TXN-100521"/>
    <d v="2024-10-21T00:00:00"/>
    <x v="44"/>
    <s v="SVC-01"/>
    <n v="-402.43"/>
    <x v="2"/>
    <s v="ACH"/>
    <s v="VIP account"/>
    <x v="0"/>
    <s v="Australia"/>
    <s v="T. Novak"/>
    <x v="0"/>
    <s v="Payments"/>
    <n v="2.9000000000000001E-2"/>
    <s v="N/A"/>
    <s v="Refund"/>
    <s v="No"/>
    <s v="Yes"/>
    <x v="1"/>
    <x v="2"/>
    <s v="APACQ4"/>
    <n v="126500"/>
  </r>
  <r>
    <s v="TXN-101825"/>
    <d v="2024-02-19T00:00:00"/>
    <x v="65"/>
    <s v="SVC-06"/>
    <n v="939.34"/>
    <x v="0"/>
    <s v="ACH"/>
    <m/>
    <x v="0"/>
    <s v="USA"/>
    <s v="A. Kim"/>
    <x v="4"/>
    <s v="Platform"/>
    <n v="0"/>
    <s v="Enterprise"/>
    <s v="High Value"/>
    <s v="Yes"/>
    <s v="No"/>
    <x v="0"/>
    <x v="3"/>
    <s v="NAQ1"/>
    <n v="247000"/>
  </r>
  <r>
    <s v="TXN-102534"/>
    <d v="2024-10-21T00:00:00"/>
    <x v="64"/>
    <s v="SVC-04"/>
    <n v="393.76"/>
    <x v="1"/>
    <s v="ACH"/>
    <m/>
    <x v="1"/>
    <s v="United Kingdom"/>
    <s v="J. Reyes"/>
    <x v="2"/>
    <s v="Risk"/>
    <n v="1E-3"/>
    <s v="N/A"/>
    <s v="High Value"/>
    <s v="Yes"/>
    <s v="Yes"/>
    <x v="2"/>
    <x v="2"/>
    <s v="EMEAQ4"/>
    <n v="161000"/>
  </r>
  <r>
    <s v="TXN-101336"/>
    <d v="2024-04-24T00:00:00"/>
    <x v="5"/>
    <s v="SVC-02"/>
    <n v="76.849999999999994"/>
    <x v="0"/>
    <s v="ACH"/>
    <s v="callback requested"/>
    <x v="1"/>
    <s v="Australia"/>
    <s v="A. Kim"/>
    <x v="6"/>
    <s v="HR &amp; Payroll"/>
    <n v="0"/>
    <s v="SMB"/>
    <s v="Standard"/>
    <s v="Yes"/>
    <s v="Yes"/>
    <x v="1"/>
    <x v="0"/>
    <s v="APACQ2"/>
    <n v="110000"/>
  </r>
  <r>
    <s v="TXN-101133"/>
    <d v="2024-10-04T00:00:00"/>
    <x v="118"/>
    <s v="SVC-02"/>
    <n v="440.77"/>
    <x v="0"/>
    <s v="Debit Card"/>
    <s v="escalated to support"/>
    <x v="1"/>
    <s v="USA"/>
    <s v="L. Chen"/>
    <x v="6"/>
    <s v="HR &amp; Payroll"/>
    <n v="0"/>
    <s v="SMB"/>
    <s v="High Value"/>
    <s v="Yes"/>
    <s v="Yes"/>
    <x v="0"/>
    <x v="2"/>
    <s v="NAQ4"/>
    <n v="299000"/>
  </r>
  <r>
    <s v="TXN-100485"/>
    <d v="2024-03-16T00:00:00"/>
    <x v="133"/>
    <s v="SVC-08"/>
    <n v="535.57000000000005"/>
    <x v="3"/>
    <s v="ACH"/>
    <s v="escalated to support"/>
    <x v="1"/>
    <s v="Canada"/>
    <s v="R. Patel"/>
    <x v="1"/>
    <s v="Risk"/>
    <n v="2.5000000000000001E-3"/>
    <s v="N/A"/>
    <s v="High Value"/>
    <s v="Yes"/>
    <s v="Yes"/>
    <x v="0"/>
    <x v="3"/>
    <s v="NAQ1"/>
    <n v="247000"/>
  </r>
  <r>
    <s v="TXN-102281"/>
    <d v="2024-08-07T00:00:00"/>
    <x v="82"/>
    <s v="SVC-07"/>
    <n v="299.36"/>
    <x v="0"/>
    <s v="Wire Transfer"/>
    <m/>
    <x v="1"/>
    <s v="USA"/>
    <s v="T. Novak"/>
    <x v="7"/>
    <s v="Support"/>
    <n v="0"/>
    <s v="SMB"/>
    <s v="High Value"/>
    <s v="Yes"/>
    <s v="Yes"/>
    <x v="0"/>
    <x v="1"/>
    <s v="NAQ3"/>
    <n v="273000"/>
  </r>
  <r>
    <s v="TXN-101523"/>
    <d v="2024-02-29T00:00:00"/>
    <x v="28"/>
    <s v="SVC-06"/>
    <n v="200.25"/>
    <x v="0"/>
    <s v="Wire Transfer"/>
    <s v="VIP account"/>
    <x v="1"/>
    <s v="United Kingdom"/>
    <s v="L. Chen"/>
    <x v="4"/>
    <s v="Platform"/>
    <n v="0"/>
    <s v="SMB"/>
    <s v="Standard"/>
    <s v="Yes"/>
    <s v="No"/>
    <x v="2"/>
    <x v="3"/>
    <s v="EMEAQ1"/>
    <n v="133000"/>
  </r>
  <r>
    <s v="TXN-100158"/>
    <d v="2024-10-05T00:00:00"/>
    <x v="21"/>
    <s v="SVC-05"/>
    <n v="7.34"/>
    <x v="0"/>
    <s v="ACH"/>
    <s v="callback requested"/>
    <x v="0"/>
    <s v="Australia"/>
    <s v="M. Santos"/>
    <x v="3"/>
    <s v="Analytics"/>
    <n v="0"/>
    <s v="Enterprise"/>
    <s v="Standard"/>
    <s v="Yes"/>
    <s v="Yes"/>
    <x v="1"/>
    <x v="2"/>
    <s v="APACQ4"/>
    <n v="126500"/>
  </r>
  <r>
    <s v="TXN-101420"/>
    <d v="2024-11-17T00:00:00"/>
    <x v="99"/>
    <s v="SVC-07"/>
    <n v="127.02"/>
    <x v="0"/>
    <s v="ACH"/>
    <s v="callback requested"/>
    <x v="1"/>
    <s v="Canada"/>
    <s v="R. Patel"/>
    <x v="7"/>
    <s v="Support"/>
    <n v="0"/>
    <s v="SMB"/>
    <s v="Standard"/>
    <s v="Yes"/>
    <s v="No"/>
    <x v="0"/>
    <x v="2"/>
    <s v="NAQ4"/>
    <n v="299000"/>
  </r>
  <r>
    <s v="TXN-100321"/>
    <d v="2024-01-24T00:00:00"/>
    <x v="73"/>
    <s v="SVC-01"/>
    <n v="250.86"/>
    <x v="0"/>
    <s v="Wire Transfer"/>
    <s v="VIP account"/>
    <x v="1"/>
    <s v="United Kingdom"/>
    <s v="R. Patel"/>
    <x v="0"/>
    <s v="Payments"/>
    <n v="2.9000000000000001E-2"/>
    <s v="SMB"/>
    <s v="Standard"/>
    <s v="No"/>
    <s v="No"/>
    <x v="2"/>
    <x v="3"/>
    <s v="EMEAQ1"/>
    <n v="133000"/>
  </r>
  <r>
    <s v="TXN-100531"/>
    <d v="2024-05-01T00:00:00"/>
    <x v="30"/>
    <s v="SVC-03"/>
    <n v="232.36"/>
    <x v="0"/>
    <s v="Credit Card"/>
    <s v="VIP account"/>
    <x v="1"/>
    <s v="Germany"/>
    <s v="M. Santos"/>
    <x v="5"/>
    <s v="Billing"/>
    <n v="5.0000000000000001E-3"/>
    <s v="SMB"/>
    <s v="Standard"/>
    <s v="Yes"/>
    <s v="No"/>
    <x v="2"/>
    <x v="0"/>
    <s v="EMEAQ2"/>
    <n v="140000"/>
  </r>
  <r>
    <s v="TXN-100307"/>
    <d v="2024-09-23T00:00:00"/>
    <x v="126"/>
    <s v="SVC-02"/>
    <n v="561.55999999999995"/>
    <x v="3"/>
    <s v="ACH"/>
    <s v="VIP account"/>
    <x v="3"/>
    <s v="Canada"/>
    <s v="A. Kim"/>
    <x v="6"/>
    <s v="HR &amp; Payroll"/>
    <n v="0"/>
    <s v="N/A"/>
    <s v="High Value"/>
    <s v="Yes"/>
    <s v="Yes"/>
    <x v="0"/>
    <x v="1"/>
    <s v="NAQ3"/>
    <n v="273000"/>
  </r>
  <r>
    <s v="TXN-101136"/>
    <d v="2024-02-13T00:00:00"/>
    <x v="115"/>
    <s v="SVC-02"/>
    <n v="530.32000000000005"/>
    <x v="0"/>
    <s v="Credit Card"/>
    <m/>
    <x v="3"/>
    <s v="USA"/>
    <s v="L. Chen"/>
    <x v="6"/>
    <s v="HR &amp; Payroll"/>
    <n v="0"/>
    <s v="Startup"/>
    <s v="High Value"/>
    <s v="Yes"/>
    <s v="No"/>
    <x v="0"/>
    <x v="3"/>
    <s v="NAQ1"/>
    <n v="247000"/>
  </r>
  <r>
    <s v="TXN-101016"/>
    <d v="2024-03-15T00:00:00"/>
    <x v="48"/>
    <s v="SVC-08"/>
    <n v="110.71"/>
    <x v="0"/>
    <s v="ACH"/>
    <s v="VIP account"/>
    <x v="1"/>
    <s v="Germany"/>
    <s v="J. Reyes"/>
    <x v="1"/>
    <s v="Risk"/>
    <n v="2.5000000000000001E-3"/>
    <s v="SMB"/>
    <s v="Standard"/>
    <s v="Yes"/>
    <s v="Yes"/>
    <x v="2"/>
    <x v="3"/>
    <s v="EMEAQ1"/>
    <n v="133000"/>
  </r>
  <r>
    <s v="TXN-100850"/>
    <d v="2024-03-28T00:00:00"/>
    <x v="0"/>
    <s v="SVC-07"/>
    <n v="729.11"/>
    <x v="3"/>
    <s v="ACH"/>
    <m/>
    <x v="0"/>
    <s v="USA"/>
    <s v="J. Reyes"/>
    <x v="7"/>
    <s v="Support"/>
    <n v="0"/>
    <s v="N/A"/>
    <s v="High Value"/>
    <s v="Yes"/>
    <s v="Yes"/>
    <x v="0"/>
    <x v="3"/>
    <s v="NAQ1"/>
    <n v="247000"/>
  </r>
  <r>
    <s v="TXN-101624"/>
    <d v="2024-08-09T00:00:00"/>
    <x v="23"/>
    <s v="SVC-06"/>
    <n v="340.66"/>
    <x v="0"/>
    <s v="Debit Card"/>
    <m/>
    <x v="0"/>
    <s v="USA"/>
    <s v="L. Chen"/>
    <x v="4"/>
    <s v="Platform"/>
    <n v="0"/>
    <s v="Enterprise"/>
    <s v="High Value"/>
    <s v="Yes"/>
    <s v="No"/>
    <x v="0"/>
    <x v="1"/>
    <s v="NAQ3"/>
    <n v="273000"/>
  </r>
  <r>
    <s v="TXN-101034"/>
    <d v="2024-11-21T00:00:00"/>
    <x v="98"/>
    <s v="SVC-01"/>
    <n v="419.48"/>
    <x v="0"/>
    <s v="Credit Card"/>
    <m/>
    <x v="1"/>
    <s v="Philippines"/>
    <s v="T. Novak"/>
    <x v="0"/>
    <s v="Payments"/>
    <n v="2.9000000000000001E-2"/>
    <s v="SMB"/>
    <s v="Standard"/>
    <s v="Yes"/>
    <s v="No"/>
    <x v="1"/>
    <x v="2"/>
    <s v="APACQ4"/>
    <n v="126500"/>
  </r>
  <r>
    <s v="TXN-102041"/>
    <d v="2024-03-19T00:00:00"/>
    <x v="110"/>
    <s v="SVC-08"/>
    <n v="798.62"/>
    <x v="0"/>
    <s v="Wire Transfer"/>
    <m/>
    <x v="0"/>
    <s v="USA"/>
    <s v="A. Kim"/>
    <x v="1"/>
    <s v="Risk"/>
    <n v="2.5000000000000001E-3"/>
    <s v="Enterprise"/>
    <s v="High Value"/>
    <s v="Yes"/>
    <s v="No"/>
    <x v="0"/>
    <x v="3"/>
    <s v="NAQ1"/>
    <n v="247000"/>
  </r>
  <r>
    <s v="TXN-101042"/>
    <d v="2024-08-18T00:00:00"/>
    <x v="87"/>
    <s v="SVC-04"/>
    <n v="687.74"/>
    <x v="3"/>
    <s v="ACH"/>
    <m/>
    <x v="1"/>
    <s v="United Kingdom"/>
    <s v="J. Reyes"/>
    <x v="2"/>
    <s v="Risk"/>
    <n v="1E-3"/>
    <s v="N/A"/>
    <s v="High Value"/>
    <s v="Yes"/>
    <s v="No"/>
    <x v="2"/>
    <x v="1"/>
    <s v="EMEAQ3"/>
    <n v="147000"/>
  </r>
  <r>
    <s v="TXN-102042"/>
    <d v="2024-03-19T00:00:00"/>
    <x v="12"/>
    <s v="SVC-01"/>
    <n v="368.24"/>
    <x v="0"/>
    <s v="Debit Card"/>
    <s v="VIP account"/>
    <x v="1"/>
    <s v="Canada"/>
    <s v="R. Patel"/>
    <x v="0"/>
    <s v="Payments"/>
    <n v="2.9000000000000001E-2"/>
    <s v="SMB"/>
    <s v="Standard"/>
    <s v="Yes"/>
    <s v="Yes"/>
    <x v="0"/>
    <x v="3"/>
    <s v="NAQ1"/>
    <n v="247000"/>
  </r>
  <r>
    <s v="TXN-102363"/>
    <d v="2024-07-02T00:00:00"/>
    <x v="109"/>
    <s v="SVC-04"/>
    <n v="317.69"/>
    <x v="0"/>
    <s v="Debit Card"/>
    <s v="VIP account"/>
    <x v="0"/>
    <s v="USA"/>
    <s v="L. Chen"/>
    <x v="2"/>
    <s v="Risk"/>
    <n v="1E-3"/>
    <s v="Enterprise"/>
    <s v="High Value"/>
    <s v="Yes"/>
    <s v="Yes"/>
    <x v="0"/>
    <x v="1"/>
    <s v="NAQ3"/>
    <n v="273000"/>
  </r>
  <r>
    <s v="TXN-101667"/>
    <d v="2024-02-02T00:00:00"/>
    <x v="79"/>
    <s v="SVC-01"/>
    <n v="485.41"/>
    <x v="3"/>
    <s v="Credit Card"/>
    <m/>
    <x v="3"/>
    <s v="USA"/>
    <s v="T. Novak"/>
    <x v="0"/>
    <s v="Payments"/>
    <n v="2.9000000000000001E-2"/>
    <s v="N/A"/>
    <s v="Standard"/>
    <s v="Yes"/>
    <s v="Yes"/>
    <x v="0"/>
    <x v="3"/>
    <s v="NAQ1"/>
    <n v="247000"/>
  </r>
  <r>
    <s v="TXN-101858"/>
    <d v="2024-02-01T00:00:00"/>
    <x v="1"/>
    <s v="SVC-03"/>
    <n v="981.45"/>
    <x v="3"/>
    <s v="ACH"/>
    <s v="callback requested"/>
    <x v="0"/>
    <s v="USA"/>
    <s v="J. Reyes"/>
    <x v="5"/>
    <s v="Billing"/>
    <n v="5.0000000000000001E-3"/>
    <s v="N/A"/>
    <s v="High Value"/>
    <s v="Yes"/>
    <s v="No"/>
    <x v="0"/>
    <x v="3"/>
    <s v="NAQ1"/>
    <n v="247000"/>
  </r>
  <r>
    <s v="TXN-101314"/>
    <d v="2024-07-04T00:00:00"/>
    <x v="126"/>
    <s v="SVC-01"/>
    <n v="743.63"/>
    <x v="0"/>
    <s v="Wire Transfer"/>
    <m/>
    <x v="3"/>
    <s v="Canada"/>
    <s v="A. Kim"/>
    <x v="0"/>
    <s v="Payments"/>
    <n v="2.9000000000000001E-2"/>
    <s v="Startup"/>
    <s v="High Value"/>
    <s v="Yes"/>
    <s v="Yes"/>
    <x v="0"/>
    <x v="1"/>
    <s v="NAQ3"/>
    <n v="273000"/>
  </r>
  <r>
    <s v="TXN-101617"/>
    <d v="2024-05-05T00:00:00"/>
    <x v="27"/>
    <s v="SVC-02"/>
    <n v="-160.66999999999999"/>
    <x v="2"/>
    <s v="ACH"/>
    <s v="escalated to support"/>
    <x v="1"/>
    <s v="Canada"/>
    <s v="L. Chen"/>
    <x v="6"/>
    <s v="HR &amp; Payroll"/>
    <n v="0"/>
    <s v="N/A"/>
    <s v="Refund"/>
    <s v="No"/>
    <s v="Yes"/>
    <x v="0"/>
    <x v="0"/>
    <s v="NAQ2"/>
    <n v="260000"/>
  </r>
  <r>
    <s v="TXN-101493"/>
    <d v="2024-02-24T00:00:00"/>
    <x v="56"/>
    <s v="SVC-01"/>
    <n v="599.03"/>
    <x v="1"/>
    <s v="Credit Card"/>
    <m/>
    <x v="0"/>
    <s v="Singapore"/>
    <s v="R. Patel"/>
    <x v="0"/>
    <s v="Payments"/>
    <n v="2.9000000000000001E-2"/>
    <s v="N/A"/>
    <s v="High Value"/>
    <s v="Yes"/>
    <s v="No"/>
    <x v="1"/>
    <x v="3"/>
    <s v="APACQ1"/>
    <n v="104500"/>
  </r>
  <r>
    <s v="TXN-101509"/>
    <d v="2024-12-18T00:00:00"/>
    <x v="102"/>
    <s v="SVC-06"/>
    <n v="304.10000000000002"/>
    <x v="0"/>
    <s v="Credit Card"/>
    <s v="callback requested"/>
    <x v="1"/>
    <s v="Philippines"/>
    <s v="L. Chen"/>
    <x v="4"/>
    <s v="Platform"/>
    <n v="0"/>
    <s v="SMB"/>
    <s v="High Value"/>
    <s v="Yes"/>
    <s v="Yes"/>
    <x v="1"/>
    <x v="2"/>
    <s v="APACQ4"/>
    <n v="126500"/>
  </r>
  <r>
    <s v="TXN-101971"/>
    <d v="2024-09-06T00:00:00"/>
    <x v="108"/>
    <s v="SVC-01"/>
    <n v="77.400000000000006"/>
    <x v="0"/>
    <s v="Credit Card"/>
    <s v="callback requested"/>
    <x v="1"/>
    <s v="Germany"/>
    <s v="M. Santos"/>
    <x v="0"/>
    <s v="Payments"/>
    <n v="2.9000000000000001E-2"/>
    <s v="SMB"/>
    <s v="Standard"/>
    <s v="No"/>
    <s v="No"/>
    <x v="2"/>
    <x v="1"/>
    <s v="EMEAQ3"/>
    <n v="147000"/>
  </r>
  <r>
    <s v="TXN-100527"/>
    <d v="2024-10-01T00:00:00"/>
    <x v="36"/>
    <s v="SVC-07"/>
    <n v="441.56"/>
    <x v="1"/>
    <s v="Debit Card"/>
    <s v="escalated to support"/>
    <x v="1"/>
    <s v="USA"/>
    <s v="M. Santos"/>
    <x v="7"/>
    <s v="Support"/>
    <n v="0"/>
    <s v="N/A"/>
    <s v="High Value"/>
    <s v="Yes"/>
    <s v="Yes"/>
    <x v="0"/>
    <x v="2"/>
    <s v="NAQ4"/>
    <n v="299000"/>
  </r>
  <r>
    <s v="TXN-101784"/>
    <d v="2024-08-18T00:00:00"/>
    <x v="72"/>
    <s v="SVC-02"/>
    <n v="95.15"/>
    <x v="0"/>
    <s v="Debit Card"/>
    <m/>
    <x v="1"/>
    <s v="United Kingdom"/>
    <s v="A. Kim"/>
    <x v="6"/>
    <s v="HR &amp; Payroll"/>
    <n v="0"/>
    <s v="SMB"/>
    <s v="Standard"/>
    <s v="Yes"/>
    <s v="Yes"/>
    <x v="2"/>
    <x v="1"/>
    <s v="EMEAQ3"/>
    <n v="147000"/>
  </r>
  <r>
    <s v="TXN-100429"/>
    <d v="2024-11-18T00:00:00"/>
    <x v="100"/>
    <s v="SVC-08"/>
    <n v="227.58"/>
    <x v="0"/>
    <s v="Debit Card"/>
    <m/>
    <x v="1"/>
    <s v="USA"/>
    <s v="J. Reyes"/>
    <x v="1"/>
    <s v="Risk"/>
    <n v="2.5000000000000001E-3"/>
    <s v="SMB"/>
    <s v="Standard"/>
    <s v="Yes"/>
    <s v="Yes"/>
    <x v="0"/>
    <x v="2"/>
    <s v="NAQ4"/>
    <n v="299000"/>
  </r>
  <r>
    <s v="TXN-101151"/>
    <d v="2024-09-18T00:00:00"/>
    <x v="60"/>
    <s v="SVC-06"/>
    <n v="443.57"/>
    <x v="0"/>
    <s v="Debit Card"/>
    <s v="escalated to support"/>
    <x v="1"/>
    <s v="Australia"/>
    <s v="J. Reyes"/>
    <x v="4"/>
    <s v="Platform"/>
    <n v="0"/>
    <s v="SMB"/>
    <s v="High Value"/>
    <s v="Yes"/>
    <s v="Yes"/>
    <x v="1"/>
    <x v="1"/>
    <s v="APACQ3"/>
    <n v="115500"/>
  </r>
  <r>
    <s v="TXN-102114"/>
    <d v="2024-12-06T00:00:00"/>
    <x v="44"/>
    <s v="SVC-02"/>
    <n v="542.53"/>
    <x v="0"/>
    <s v="Credit Card"/>
    <s v="callback requested"/>
    <x v="0"/>
    <s v="Australia"/>
    <s v="T. Novak"/>
    <x v="6"/>
    <s v="HR &amp; Payroll"/>
    <n v="0"/>
    <s v="Enterprise"/>
    <s v="High Value"/>
    <s v="Yes"/>
    <s v="Yes"/>
    <x v="1"/>
    <x v="2"/>
    <s v="APACQ4"/>
    <n v="126500"/>
  </r>
  <r>
    <s v="TXN-101905"/>
    <d v="2024-11-07T00:00:00"/>
    <x v="55"/>
    <s v="SVC-01"/>
    <n v="-1355.07"/>
    <x v="2"/>
    <s v="Credit Card"/>
    <s v="VIP account"/>
    <x v="3"/>
    <s v="USA"/>
    <s v="J. Reyes"/>
    <x v="0"/>
    <s v="Payments"/>
    <n v="2.9000000000000001E-2"/>
    <s v="N/A"/>
    <s v="Refund"/>
    <s v="No"/>
    <s v="No"/>
    <x v="0"/>
    <x v="2"/>
    <s v="NAQ4"/>
    <n v="299000"/>
  </r>
  <r>
    <s v="TXN-101194"/>
    <d v="2024-07-09T00:00:00"/>
    <x v="65"/>
    <s v="SVC-05"/>
    <n v="437.75"/>
    <x v="0"/>
    <s v="Credit Card"/>
    <s v="VIP account"/>
    <x v="0"/>
    <s v="USA"/>
    <s v="A. Kim"/>
    <x v="3"/>
    <s v="Analytics"/>
    <n v="0"/>
    <s v="Enterprise"/>
    <s v="High Value"/>
    <s v="Yes"/>
    <s v="Yes"/>
    <x v="0"/>
    <x v="1"/>
    <s v="NAQ3"/>
    <n v="273000"/>
  </r>
  <r>
    <s v="TXN-100997"/>
    <d v="2024-04-04T00:00:00"/>
    <x v="129"/>
    <s v="SVC-01"/>
    <n v="345.23"/>
    <x v="3"/>
    <s v="Credit Card"/>
    <m/>
    <x v="1"/>
    <s v="Australia"/>
    <s v="A. Kim"/>
    <x v="0"/>
    <s v="Payments"/>
    <n v="2.9000000000000001E-2"/>
    <s v="N/A"/>
    <s v="Standard"/>
    <s v="Yes"/>
    <s v="Yes"/>
    <x v="1"/>
    <x v="0"/>
    <s v="APACQ2"/>
    <n v="110000"/>
  </r>
  <r>
    <s v="TXN-100339"/>
    <d v="2024-08-28T00:00:00"/>
    <x v="49"/>
    <s v="SVC-03"/>
    <n v="1354.02"/>
    <x v="3"/>
    <s v="ACH"/>
    <s v="callback requested"/>
    <x v="1"/>
    <s v="USA"/>
    <s v="A. Kim"/>
    <x v="5"/>
    <s v="Billing"/>
    <n v="5.0000000000000001E-3"/>
    <s v="N/A"/>
    <s v="High Value"/>
    <s v="Yes"/>
    <s v="Yes"/>
    <x v="0"/>
    <x v="1"/>
    <s v="NAQ3"/>
    <n v="273000"/>
  </r>
  <r>
    <s v="TXN-101132"/>
    <d v="2024-06-03T00:00:00"/>
    <x v="62"/>
    <s v="SVC-03"/>
    <n v="-135.85"/>
    <x v="2"/>
    <s v="ACH"/>
    <s v="escalated to support"/>
    <x v="0"/>
    <s v="USA"/>
    <s v="A. Kim"/>
    <x v="5"/>
    <s v="Billing"/>
    <n v="5.0000000000000001E-3"/>
    <s v="N/A"/>
    <s v="Refund"/>
    <s v="No"/>
    <s v="Yes"/>
    <x v="0"/>
    <x v="0"/>
    <s v="NAQ2"/>
    <n v="260000"/>
  </r>
  <r>
    <s v="TXN-101400"/>
    <d v="2024-09-08T00:00:00"/>
    <x v="93"/>
    <s v="SVC-03"/>
    <n v="532.11"/>
    <x v="0"/>
    <s v="Credit Card"/>
    <m/>
    <x v="1"/>
    <s v="Philippines"/>
    <s v="J. Reyes"/>
    <x v="5"/>
    <s v="Billing"/>
    <n v="5.0000000000000001E-3"/>
    <s v="SMB"/>
    <s v="High Value"/>
    <s v="Yes"/>
    <s v="Yes"/>
    <x v="1"/>
    <x v="1"/>
    <s v="APACQ3"/>
    <n v="115500"/>
  </r>
  <r>
    <s v="TXN-101543"/>
    <d v="2024-11-27T00:00:00"/>
    <x v="76"/>
    <s v="SVC-01"/>
    <n v="340.23"/>
    <x v="3"/>
    <s v="Credit Card"/>
    <s v="escalated to support"/>
    <x v="3"/>
    <s v="United Kingdom"/>
    <s v="R. Patel"/>
    <x v="0"/>
    <s v="Payments"/>
    <n v="2.9000000000000001E-2"/>
    <s v="N/A"/>
    <s v="Standard"/>
    <s v="Yes"/>
    <s v="Yes"/>
    <x v="2"/>
    <x v="2"/>
    <s v="EMEAQ4"/>
    <n v="161000"/>
  </r>
  <r>
    <s v="TXN-101460"/>
    <d v="2024-01-08T00:00:00"/>
    <x v="97"/>
    <s v="SVC-02"/>
    <n v="595.23"/>
    <x v="0"/>
    <s v="Debit Card"/>
    <m/>
    <x v="0"/>
    <s v="United Kingdom"/>
    <s v="L. Chen"/>
    <x v="6"/>
    <s v="HR &amp; Payroll"/>
    <n v="0"/>
    <s v="Enterprise"/>
    <s v="High Value"/>
    <s v="Yes"/>
    <s v="Yes"/>
    <x v="2"/>
    <x v="3"/>
    <s v="EMEAQ1"/>
    <n v="133000"/>
  </r>
  <r>
    <s v="TXN-101142"/>
    <d v="2024-07-21T00:00:00"/>
    <x v="45"/>
    <s v="SVC-02"/>
    <n v="210.16"/>
    <x v="0"/>
    <s v="ACH"/>
    <m/>
    <x v="0"/>
    <s v="United Kingdom"/>
    <s v="R. Patel"/>
    <x v="6"/>
    <s v="HR &amp; Payroll"/>
    <n v="0"/>
    <s v="Enterprise"/>
    <s v="Standard"/>
    <s v="Yes"/>
    <s v="No"/>
    <x v="2"/>
    <x v="1"/>
    <s v="EMEAQ3"/>
    <n v="147000"/>
  </r>
  <r>
    <s v="TXN-100371"/>
    <d v="2024-03-01T00:00:00"/>
    <x v="91"/>
    <s v="SVC-02"/>
    <n v="137.66"/>
    <x v="0"/>
    <s v="Credit Card"/>
    <s v="escalated to support"/>
    <x v="1"/>
    <s v="Singapore"/>
    <s v="A. Kim"/>
    <x v="6"/>
    <s v="HR &amp; Payroll"/>
    <n v="0"/>
    <s v="SMB"/>
    <s v="Standard"/>
    <s v="Yes"/>
    <s v="No"/>
    <x v="1"/>
    <x v="3"/>
    <s v="APACQ1"/>
    <n v="104500"/>
  </r>
  <r>
    <s v="TXN-101796"/>
    <d v="2024-09-29T00:00:00"/>
    <x v="21"/>
    <s v="SVC-02"/>
    <n v="722.45"/>
    <x v="0"/>
    <s v="Credit Card"/>
    <m/>
    <x v="0"/>
    <s v="Australia"/>
    <s v="M. Santos"/>
    <x v="6"/>
    <s v="HR &amp; Payroll"/>
    <n v="0"/>
    <s v="Enterprise"/>
    <s v="High Value"/>
    <s v="Yes"/>
    <s v="Yes"/>
    <x v="1"/>
    <x v="1"/>
    <s v="APACQ3"/>
    <n v="115500"/>
  </r>
  <r>
    <s v="TXN-100505"/>
    <d v="2024-01-22T00:00:00"/>
    <x v="123"/>
    <s v="SVC-03"/>
    <n v="452.35"/>
    <x v="1"/>
    <s v="Credit Card"/>
    <s v="escalated to support"/>
    <x v="3"/>
    <s v="Australia"/>
    <s v="L. Chen"/>
    <x v="5"/>
    <s v="Billing"/>
    <n v="5.0000000000000001E-3"/>
    <s v="N/A"/>
    <s v="High Value"/>
    <s v="Yes"/>
    <s v="No"/>
    <x v="1"/>
    <x v="3"/>
    <s v="APACQ1"/>
    <n v="104500"/>
  </r>
  <r>
    <s v="TXN-102535"/>
    <d v="2024-05-18T00:00:00"/>
    <x v="66"/>
    <s v="SVC-02"/>
    <n v="252.36"/>
    <x v="0"/>
    <s v="Debit Card"/>
    <s v="callback requested"/>
    <x v="3"/>
    <s v="Australia"/>
    <s v="L. Chen"/>
    <x v="6"/>
    <s v="HR &amp; Payroll"/>
    <n v="0"/>
    <s v="Startup"/>
    <s v="High Value"/>
    <s v="Yes"/>
    <s v="Yes"/>
    <x v="1"/>
    <x v="0"/>
    <s v="APACQ2"/>
    <n v="110000"/>
  </r>
  <r>
    <s v="TXN-100777"/>
    <d v="2024-02-20T00:00:00"/>
    <x v="32"/>
    <s v="SVC-01"/>
    <n v="127.74"/>
    <x v="0"/>
    <s v="ACH"/>
    <m/>
    <x v="1"/>
    <s v="Philippines"/>
    <s v="T. Novak"/>
    <x v="0"/>
    <s v="Payments"/>
    <n v="2.9000000000000001E-2"/>
    <s v="SMB"/>
    <s v="Standard"/>
    <s v="No"/>
    <s v="No"/>
    <x v="1"/>
    <x v="3"/>
    <s v="APACQ1"/>
    <n v="104500"/>
  </r>
  <r>
    <s v="TXN-101846"/>
    <d v="2024-06-10T00:00:00"/>
    <x v="70"/>
    <s v="SVC-04"/>
    <n v="529.92999999999995"/>
    <x v="0"/>
    <s v="ACH"/>
    <m/>
    <x v="3"/>
    <s v="Singapore"/>
    <s v="A. Kim"/>
    <x v="2"/>
    <s v="Risk"/>
    <n v="1E-3"/>
    <s v="Startup"/>
    <s v="High Value"/>
    <s v="Yes"/>
    <s v="Yes"/>
    <x v="1"/>
    <x v="0"/>
    <s v="APACQ2"/>
    <n v="110000"/>
  </r>
  <r>
    <s v="TXN-100262"/>
    <d v="2024-10-20T00:00:00"/>
    <x v="21"/>
    <s v="SVC-01"/>
    <n v="190.22"/>
    <x v="0"/>
    <s v="Credit Card"/>
    <s v="callback requested"/>
    <x v="0"/>
    <s v="Australia"/>
    <s v="M. Santos"/>
    <x v="0"/>
    <s v="Payments"/>
    <n v="2.9000000000000001E-2"/>
    <s v="Enterprise"/>
    <s v="Standard"/>
    <s v="No"/>
    <s v="No"/>
    <x v="1"/>
    <x v="2"/>
    <s v="APACQ4"/>
    <n v="126500"/>
  </r>
  <r>
    <s v="TXN-101204"/>
    <d v="2024-08-01T00:00:00"/>
    <x v="64"/>
    <s v="SVC-01"/>
    <n v="837.67"/>
    <x v="0"/>
    <s v="Unknown"/>
    <m/>
    <x v="1"/>
    <s v="United Kingdom"/>
    <s v="J. Reyes"/>
    <x v="0"/>
    <s v="Payments"/>
    <n v="2.9000000000000001E-2"/>
    <s v="SMB"/>
    <s v="High Value"/>
    <s v="Yes"/>
    <s v="No"/>
    <x v="2"/>
    <x v="1"/>
    <s v="EMEAQ3"/>
    <n v="147000"/>
  </r>
  <r>
    <s v="TXN-101817"/>
    <d v="2024-12-24T00:00:00"/>
    <x v="99"/>
    <s v="SVC-07"/>
    <n v="-613.97"/>
    <x v="2"/>
    <s v="Debit Card"/>
    <m/>
    <x v="1"/>
    <s v="Canada"/>
    <s v="R. Patel"/>
    <x v="7"/>
    <s v="Support"/>
    <n v="0"/>
    <s v="N/A"/>
    <s v="Refund"/>
    <s v="No"/>
    <s v="No"/>
    <x v="0"/>
    <x v="2"/>
    <s v="NAQ4"/>
    <n v="299000"/>
  </r>
  <r>
    <s v="TXN-102083"/>
    <d v="2024-07-31T00:00:00"/>
    <x v="123"/>
    <s v="SVC-05"/>
    <n v="418.05"/>
    <x v="0"/>
    <s v="Debit Card"/>
    <s v="callback requested"/>
    <x v="3"/>
    <s v="Australia"/>
    <s v="L. Chen"/>
    <x v="3"/>
    <s v="Analytics"/>
    <n v="0"/>
    <s v="Startup"/>
    <s v="High Value"/>
    <s v="Yes"/>
    <s v="Yes"/>
    <x v="1"/>
    <x v="1"/>
    <s v="APACQ3"/>
    <n v="115500"/>
  </r>
  <r>
    <s v="TXN-100612"/>
    <d v="2024-12-19T00:00:00"/>
    <x v="122"/>
    <s v="SVC-02"/>
    <n v="301.64"/>
    <x v="0"/>
    <s v="Credit Card"/>
    <m/>
    <x v="3"/>
    <s v="United Kingdom"/>
    <s v="A. Kim"/>
    <x v="6"/>
    <s v="HR &amp; Payroll"/>
    <n v="0"/>
    <s v="Startup"/>
    <s v="High Value"/>
    <s v="Yes"/>
    <s v="Yes"/>
    <x v="2"/>
    <x v="2"/>
    <s v="EMEAQ4"/>
    <n v="161000"/>
  </r>
  <r>
    <s v="TXN-101372"/>
    <d v="2024-12-24T00:00:00"/>
    <x v="134"/>
    <s v="SVC-07"/>
    <n v="537.94000000000005"/>
    <x v="0"/>
    <s v="Credit Card"/>
    <m/>
    <x v="1"/>
    <s v="Philippines"/>
    <s v="T. Novak"/>
    <x v="7"/>
    <s v="Support"/>
    <n v="0"/>
    <s v="SMB"/>
    <s v="High Value"/>
    <s v="Yes"/>
    <s v="Yes"/>
    <x v="1"/>
    <x v="2"/>
    <s v="APACQ4"/>
    <n v="126500"/>
  </r>
  <r>
    <s v="TXN-100313"/>
    <d v="2024-04-23T00:00:00"/>
    <x v="109"/>
    <s v="SVC-05"/>
    <n v="402.69"/>
    <x v="0"/>
    <s v="Credit Card"/>
    <m/>
    <x v="0"/>
    <s v="USA"/>
    <s v="L. Chen"/>
    <x v="3"/>
    <s v="Analytics"/>
    <n v="0"/>
    <s v="Enterprise"/>
    <s v="High Value"/>
    <s v="Yes"/>
    <s v="Yes"/>
    <x v="0"/>
    <x v="0"/>
    <s v="NAQ2"/>
    <n v="260000"/>
  </r>
  <r>
    <s v="TXN-102522"/>
    <d v="2024-12-17T00:00:00"/>
    <x v="75"/>
    <s v="SVC-03"/>
    <n v="509.2"/>
    <x v="0"/>
    <s v="Debit Card"/>
    <s v="callback requested"/>
    <x v="0"/>
    <s v="Canada"/>
    <s v="R. Patel"/>
    <x v="5"/>
    <s v="Billing"/>
    <n v="5.0000000000000001E-3"/>
    <s v="Enterprise"/>
    <s v="High Value"/>
    <s v="Yes"/>
    <s v="No"/>
    <x v="0"/>
    <x v="2"/>
    <s v="NAQ4"/>
    <n v="299000"/>
  </r>
  <r>
    <s v="TXN-101974"/>
    <d v="2024-01-11T00:00:00"/>
    <x v="74"/>
    <s v="SVC-07"/>
    <n v="423.53"/>
    <x v="0"/>
    <s v="Credit Card"/>
    <m/>
    <x v="0"/>
    <s v="USA"/>
    <s v="A. Kim"/>
    <x v="7"/>
    <s v="Support"/>
    <n v="0"/>
    <s v="Enterprise"/>
    <s v="High Value"/>
    <s v="Yes"/>
    <s v="No"/>
    <x v="0"/>
    <x v="3"/>
    <s v="NAQ1"/>
    <n v="247000"/>
  </r>
  <r>
    <s v="TXN-101272"/>
    <d v="2024-07-29T00:00:00"/>
    <x v="83"/>
    <s v="SVC-08"/>
    <n v="167.04"/>
    <x v="0"/>
    <s v="ACH"/>
    <s v="VIP account"/>
    <x v="1"/>
    <s v="Canada"/>
    <s v="L. Chen"/>
    <x v="1"/>
    <s v="Risk"/>
    <n v="2.5000000000000001E-3"/>
    <s v="SMB"/>
    <s v="Standard"/>
    <s v="Yes"/>
    <s v="No"/>
    <x v="0"/>
    <x v="1"/>
    <s v="NAQ3"/>
    <n v="273000"/>
  </r>
  <r>
    <s v="TXN-101886"/>
    <d v="2024-08-14T00:00:00"/>
    <x v="77"/>
    <s v="SVC-03"/>
    <n v="932.55"/>
    <x v="0"/>
    <s v="Credit Card"/>
    <m/>
    <x v="1"/>
    <s v="Australia"/>
    <s v="L. Chen"/>
    <x v="5"/>
    <s v="Billing"/>
    <n v="5.0000000000000001E-3"/>
    <s v="SMB"/>
    <s v="High Value"/>
    <s v="Yes"/>
    <s v="Yes"/>
    <x v="1"/>
    <x v="1"/>
    <s v="APACQ3"/>
    <n v="115500"/>
  </r>
  <r>
    <s v="TXN-101742"/>
    <d v="2024-06-09T00:00:00"/>
    <x v="30"/>
    <s v="SVC-08"/>
    <n v="529.38"/>
    <x v="0"/>
    <s v="ACH"/>
    <s v="callback requested"/>
    <x v="1"/>
    <s v="Germany"/>
    <s v="M. Santos"/>
    <x v="1"/>
    <s v="Risk"/>
    <n v="2.5000000000000001E-3"/>
    <s v="SMB"/>
    <s v="High Value"/>
    <s v="Yes"/>
    <s v="Yes"/>
    <x v="2"/>
    <x v="0"/>
    <s v="EMEAQ2"/>
    <n v="140000"/>
  </r>
  <r>
    <s v="TXN-101994"/>
    <d v="2024-11-20T00:00:00"/>
    <x v="5"/>
    <s v="SVC-01"/>
    <n v="572.96"/>
    <x v="0"/>
    <s v="Debit Card"/>
    <s v="escalated to support"/>
    <x v="1"/>
    <s v="Australia"/>
    <s v="A. Kim"/>
    <x v="0"/>
    <s v="Payments"/>
    <n v="2.9000000000000001E-2"/>
    <s v="SMB"/>
    <s v="High Value"/>
    <s v="Yes"/>
    <s v="Yes"/>
    <x v="1"/>
    <x v="2"/>
    <s v="APACQ4"/>
    <n v="126500"/>
  </r>
  <r>
    <s v="TXN-101581"/>
    <d v="2024-07-12T00:00:00"/>
    <x v="48"/>
    <s v="SVC-08"/>
    <n v="473.69"/>
    <x v="0"/>
    <s v="Wire Transfer"/>
    <s v="escalated to support"/>
    <x v="1"/>
    <s v="Germany"/>
    <s v="J. Reyes"/>
    <x v="1"/>
    <s v="Risk"/>
    <n v="2.5000000000000001E-3"/>
    <s v="SMB"/>
    <s v="High Value"/>
    <s v="Yes"/>
    <s v="No"/>
    <x v="2"/>
    <x v="1"/>
    <s v="EMEAQ3"/>
    <n v="147000"/>
  </r>
  <r>
    <s v="TXN-101026"/>
    <d v="2024-06-29T00:00:00"/>
    <x v="128"/>
    <s v="SVC-02"/>
    <n v="410.72"/>
    <x v="0"/>
    <s v="Credit Card"/>
    <m/>
    <x v="0"/>
    <s v="Philippines"/>
    <s v="L. Chen"/>
    <x v="6"/>
    <s v="HR &amp; Payroll"/>
    <n v="0"/>
    <s v="Enterprise"/>
    <s v="High Value"/>
    <s v="Yes"/>
    <s v="Yes"/>
    <x v="1"/>
    <x v="0"/>
    <s v="APACQ2"/>
    <n v="110000"/>
  </r>
  <r>
    <s v="TXN-100373"/>
    <d v="2024-12-04T00:00:00"/>
    <x v="41"/>
    <s v="SVC-02"/>
    <n v="111.92"/>
    <x v="0"/>
    <s v="ACH"/>
    <s v="escalated to support"/>
    <x v="0"/>
    <s v="Canada"/>
    <s v="M. Santos"/>
    <x v="6"/>
    <s v="HR &amp; Payroll"/>
    <n v="0"/>
    <s v="Enterprise"/>
    <s v="Standard"/>
    <s v="Yes"/>
    <s v="Yes"/>
    <x v="0"/>
    <x v="2"/>
    <s v="NAQ4"/>
    <n v="299000"/>
  </r>
  <r>
    <s v="TXN-102492"/>
    <d v="2024-09-10T00:00:00"/>
    <x v="37"/>
    <s v="SVC-05"/>
    <n v="187.13"/>
    <x v="0"/>
    <s v="Credit Card"/>
    <s v="VIP account"/>
    <x v="1"/>
    <s v="Canada"/>
    <s v="T. Novak"/>
    <x v="3"/>
    <s v="Analytics"/>
    <n v="0"/>
    <s v="SMB"/>
    <s v="Standard"/>
    <s v="Yes"/>
    <s v="No"/>
    <x v="0"/>
    <x v="1"/>
    <s v="NAQ3"/>
    <n v="273000"/>
  </r>
  <r>
    <s v="TXN-101530"/>
    <d v="2024-09-01T00:00:00"/>
    <x v="57"/>
    <s v="SVC-05"/>
    <n v="457.5"/>
    <x v="0"/>
    <s v="Credit Card"/>
    <s v="escalated to support"/>
    <x v="1"/>
    <s v="USA"/>
    <s v="L. Chen"/>
    <x v="3"/>
    <s v="Analytics"/>
    <n v="0"/>
    <s v="SMB"/>
    <s v="High Value"/>
    <s v="Yes"/>
    <s v="Yes"/>
    <x v="0"/>
    <x v="1"/>
    <s v="NAQ3"/>
    <n v="273000"/>
  </r>
  <r>
    <s v="TXN-101586"/>
    <d v="2024-12-07T00:00:00"/>
    <x v="75"/>
    <s v="SVC-03"/>
    <n v="263.89"/>
    <x v="0"/>
    <s v="Credit Card"/>
    <m/>
    <x v="0"/>
    <s v="Canada"/>
    <s v="R. Patel"/>
    <x v="5"/>
    <s v="Billing"/>
    <n v="5.0000000000000001E-3"/>
    <s v="Enterprise"/>
    <s v="High Value"/>
    <s v="Yes"/>
    <s v="No"/>
    <x v="0"/>
    <x v="2"/>
    <s v="NAQ4"/>
    <n v="299000"/>
  </r>
  <r>
    <s v="TXN-101143"/>
    <d v="2024-04-01T00:00:00"/>
    <x v="37"/>
    <s v="SVC-07"/>
    <n v="768.8"/>
    <x v="0"/>
    <s v="ACH"/>
    <m/>
    <x v="1"/>
    <s v="Canada"/>
    <s v="T. Novak"/>
    <x v="7"/>
    <s v="Support"/>
    <n v="0"/>
    <s v="SMB"/>
    <s v="High Value"/>
    <s v="Yes"/>
    <s v="No"/>
    <x v="0"/>
    <x v="0"/>
    <s v="NAQ2"/>
    <n v="260000"/>
  </r>
  <r>
    <s v="TXN-101980"/>
    <d v="2024-08-21T00:00:00"/>
    <x v="109"/>
    <s v="SVC-08"/>
    <n v="749.51"/>
    <x v="0"/>
    <s v="Credit Card"/>
    <s v="VIP account"/>
    <x v="0"/>
    <s v="USA"/>
    <s v="L. Chen"/>
    <x v="1"/>
    <s v="Risk"/>
    <n v="2.5000000000000001E-3"/>
    <s v="Enterprise"/>
    <s v="High Value"/>
    <s v="Yes"/>
    <s v="No"/>
    <x v="0"/>
    <x v="1"/>
    <s v="NAQ3"/>
    <n v="273000"/>
  </r>
  <r>
    <s v="TXN-101704"/>
    <d v="2024-06-20T00:00:00"/>
    <x v="11"/>
    <s v="SVC-04"/>
    <n v="110.62"/>
    <x v="0"/>
    <s v="ACH"/>
    <s v="VIP account"/>
    <x v="0"/>
    <s v="United Kingdom"/>
    <s v="L. Chen"/>
    <x v="2"/>
    <s v="Risk"/>
    <n v="1E-3"/>
    <s v="Enterprise"/>
    <s v="Standard"/>
    <s v="Yes"/>
    <s v="Yes"/>
    <x v="2"/>
    <x v="0"/>
    <s v="EMEAQ2"/>
    <n v="140000"/>
  </r>
  <r>
    <s v="TXN-100851"/>
    <d v="2024-03-19T00:00:00"/>
    <x v="1"/>
    <s v="SVC-05"/>
    <n v="569"/>
    <x v="0"/>
    <s v="Wire Transfer"/>
    <s v="escalated to support"/>
    <x v="0"/>
    <s v="USA"/>
    <s v="J. Reyes"/>
    <x v="3"/>
    <s v="Analytics"/>
    <n v="0"/>
    <s v="Enterprise"/>
    <s v="High Value"/>
    <s v="Yes"/>
    <s v="Yes"/>
    <x v="0"/>
    <x v="3"/>
    <s v="NAQ1"/>
    <n v="247000"/>
  </r>
  <r>
    <s v="TXN-100268"/>
    <d v="2024-01-29T00:00:00"/>
    <x v="112"/>
    <s v="SVC-01"/>
    <n v="174.99"/>
    <x v="0"/>
    <s v="Credit Card"/>
    <s v="callback requested"/>
    <x v="1"/>
    <s v="USA"/>
    <s v="A. Kim"/>
    <x v="0"/>
    <s v="Payments"/>
    <n v="2.9000000000000001E-2"/>
    <s v="SMB"/>
    <s v="Standard"/>
    <s v="No"/>
    <s v="No"/>
    <x v="0"/>
    <x v="3"/>
    <s v="NAQ1"/>
    <n v="247000"/>
  </r>
  <r>
    <s v="TXN-101752"/>
    <d v="2024-06-22T00:00:00"/>
    <x v="44"/>
    <s v="SVC-02"/>
    <n v="145.43"/>
    <x v="0"/>
    <s v="Unknown"/>
    <m/>
    <x v="0"/>
    <s v="Australia"/>
    <s v="T. Novak"/>
    <x v="6"/>
    <s v="HR &amp; Payroll"/>
    <n v="0"/>
    <s v="Enterprise"/>
    <s v="Standard"/>
    <s v="Yes"/>
    <s v="No"/>
    <x v="1"/>
    <x v="0"/>
    <s v="APACQ2"/>
    <n v="110000"/>
  </r>
  <r>
    <s v="TXN-102310"/>
    <d v="2024-07-09T00:00:00"/>
    <x v="100"/>
    <s v="SVC-01"/>
    <n v="185.92"/>
    <x v="0"/>
    <s v="ACH"/>
    <m/>
    <x v="1"/>
    <s v="USA"/>
    <s v="J. Reyes"/>
    <x v="0"/>
    <s v="Payments"/>
    <n v="2.9000000000000001E-2"/>
    <s v="SMB"/>
    <s v="Standard"/>
    <s v="No"/>
    <s v="No"/>
    <x v="0"/>
    <x v="1"/>
    <s v="NAQ3"/>
    <n v="273000"/>
  </r>
  <r>
    <s v="TXN-101030"/>
    <d v="2024-02-28T00:00:00"/>
    <x v="128"/>
    <s v="SVC-03"/>
    <n v="395.02"/>
    <x v="0"/>
    <s v="ACH"/>
    <s v="callback requested"/>
    <x v="0"/>
    <s v="Philippines"/>
    <s v="L. Chen"/>
    <x v="5"/>
    <s v="Billing"/>
    <n v="5.0000000000000001E-3"/>
    <s v="Enterprise"/>
    <s v="High Value"/>
    <s v="Yes"/>
    <s v="No"/>
    <x v="1"/>
    <x v="3"/>
    <s v="APACQ1"/>
    <n v="104500"/>
  </r>
  <r>
    <s v="TXN-101691"/>
    <d v="2024-09-24T00:00:00"/>
    <x v="45"/>
    <s v="SVC-05"/>
    <n v="337.78"/>
    <x v="0"/>
    <s v="Wire Transfer"/>
    <s v="callback requested"/>
    <x v="0"/>
    <s v="United Kingdom"/>
    <s v="R. Patel"/>
    <x v="3"/>
    <s v="Analytics"/>
    <n v="0"/>
    <s v="Enterprise"/>
    <s v="High Value"/>
    <s v="Yes"/>
    <s v="No"/>
    <x v="2"/>
    <x v="1"/>
    <s v="EMEAQ3"/>
    <n v="147000"/>
  </r>
  <r>
    <s v="TXN-100511"/>
    <d v="2024-03-28T00:00:00"/>
    <x v="53"/>
    <s v="SVC-01"/>
    <n v="763.68"/>
    <x v="1"/>
    <s v="Wire Transfer"/>
    <m/>
    <x v="0"/>
    <s v="Singapore"/>
    <s v="L. Chen"/>
    <x v="0"/>
    <s v="Payments"/>
    <n v="2.9000000000000001E-2"/>
    <s v="N/A"/>
    <s v="High Value"/>
    <s v="Yes"/>
    <s v="No"/>
    <x v="1"/>
    <x v="3"/>
    <s v="APACQ1"/>
    <n v="104500"/>
  </r>
  <r>
    <s v="TXN-102033"/>
    <d v="2024-07-10T00:00:00"/>
    <x v="59"/>
    <s v="SVC-01"/>
    <n v="-799.06"/>
    <x v="2"/>
    <s v="Debit Card"/>
    <s v="escalated to support"/>
    <x v="1"/>
    <s v="USA"/>
    <s v="R. Patel"/>
    <x v="0"/>
    <s v="Payments"/>
    <n v="2.9000000000000001E-2"/>
    <s v="N/A"/>
    <s v="Refund"/>
    <s v="No"/>
    <s v="No"/>
    <x v="0"/>
    <x v="1"/>
    <s v="NAQ3"/>
    <n v="273000"/>
  </r>
  <r>
    <s v="TXN-101046"/>
    <d v="2024-10-09T00:00:00"/>
    <x v="32"/>
    <s v="SVC-02"/>
    <n v="646.67999999999995"/>
    <x v="0"/>
    <s v="Debit Card"/>
    <s v="callback requested"/>
    <x v="1"/>
    <s v="Philippines"/>
    <s v="T. Novak"/>
    <x v="6"/>
    <s v="HR &amp; Payroll"/>
    <n v="0"/>
    <s v="SMB"/>
    <s v="High Value"/>
    <s v="Yes"/>
    <s v="Yes"/>
    <x v="1"/>
    <x v="2"/>
    <s v="APACQ4"/>
    <n v="126500"/>
  </r>
  <r>
    <s v="TXN-100173"/>
    <d v="2024-11-24T00:00:00"/>
    <x v="6"/>
    <s v="SVC-08"/>
    <n v="247.19"/>
    <x v="0"/>
    <s v="Wire Transfer"/>
    <m/>
    <x v="0"/>
    <s v="United Kingdom"/>
    <s v="R. Patel"/>
    <x v="1"/>
    <s v="Risk"/>
    <n v="2.5000000000000001E-3"/>
    <s v="Enterprise"/>
    <s v="Standard"/>
    <s v="Yes"/>
    <s v="Yes"/>
    <x v="2"/>
    <x v="2"/>
    <s v="EMEAQ4"/>
    <n v="161000"/>
  </r>
  <r>
    <s v="TXN-102389"/>
    <d v="2024-08-06T00:00:00"/>
    <x v="25"/>
    <s v="SVC-01"/>
    <n v="86.22"/>
    <x v="0"/>
    <s v="Credit Card"/>
    <s v="callback requested"/>
    <x v="0"/>
    <s v="USA"/>
    <s v="A. Kim"/>
    <x v="0"/>
    <s v="Payments"/>
    <n v="2.9000000000000001E-2"/>
    <s v="Enterprise"/>
    <s v="Standard"/>
    <s v="No"/>
    <s v="No"/>
    <x v="0"/>
    <x v="1"/>
    <s v="NAQ3"/>
    <n v="273000"/>
  </r>
  <r>
    <s v="TXN-102344"/>
    <d v="2024-06-27T00:00:00"/>
    <x v="54"/>
    <s v="SVC-07"/>
    <n v="-793"/>
    <x v="2"/>
    <s v="ACH"/>
    <m/>
    <x v="1"/>
    <s v="USA"/>
    <s v="J. Reyes"/>
    <x v="7"/>
    <s v="Support"/>
    <n v="0"/>
    <s v="N/A"/>
    <s v="Refund"/>
    <s v="No"/>
    <s v="Yes"/>
    <x v="0"/>
    <x v="0"/>
    <s v="NAQ2"/>
    <n v="260000"/>
  </r>
  <r>
    <s v="TXN-100720"/>
    <d v="2024-05-10T00:00:00"/>
    <x v="53"/>
    <s v="SVC-01"/>
    <n v="817.74"/>
    <x v="0"/>
    <s v="Debit Card"/>
    <m/>
    <x v="0"/>
    <s v="Singapore"/>
    <s v="L. Chen"/>
    <x v="0"/>
    <s v="Payments"/>
    <n v="2.9000000000000001E-2"/>
    <s v="Enterprise"/>
    <s v="High Value"/>
    <s v="Yes"/>
    <s v="No"/>
    <x v="1"/>
    <x v="0"/>
    <s v="APACQ2"/>
    <n v="110000"/>
  </r>
  <r>
    <s v="TXN-100650"/>
    <d v="2024-01-22T00:00:00"/>
    <x v="119"/>
    <s v="SVC-06"/>
    <n v="992.83"/>
    <x v="0"/>
    <s v="Wire Transfer"/>
    <s v="VIP account"/>
    <x v="1"/>
    <s v="USA"/>
    <s v="R. Patel"/>
    <x v="4"/>
    <s v="Platform"/>
    <n v="0"/>
    <s v="SMB"/>
    <s v="High Value"/>
    <s v="Yes"/>
    <s v="Yes"/>
    <x v="0"/>
    <x v="3"/>
    <s v="NAQ1"/>
    <n v="247000"/>
  </r>
  <r>
    <s v="TXN-102181"/>
    <d v="2024-10-27T00:00:00"/>
    <x v="116"/>
    <s v="SVC-01"/>
    <n v="406.14"/>
    <x v="0"/>
    <s v="Wire Transfer"/>
    <m/>
    <x v="1"/>
    <s v="USA"/>
    <s v="J. Reyes"/>
    <x v="0"/>
    <s v="Payments"/>
    <n v="2.9000000000000001E-2"/>
    <s v="SMB"/>
    <s v="Standard"/>
    <s v="Yes"/>
    <s v="Yes"/>
    <x v="0"/>
    <x v="2"/>
    <s v="NAQ4"/>
    <n v="299000"/>
  </r>
  <r>
    <s v="TXN-100216"/>
    <d v="2024-08-05T00:00:00"/>
    <x v="41"/>
    <s v="SVC-03"/>
    <n v="452.44"/>
    <x v="0"/>
    <s v="Debit Card"/>
    <m/>
    <x v="0"/>
    <s v="Canada"/>
    <s v="M. Santos"/>
    <x v="5"/>
    <s v="Billing"/>
    <n v="5.0000000000000001E-3"/>
    <s v="Enterprise"/>
    <s v="High Value"/>
    <s v="Yes"/>
    <s v="Yes"/>
    <x v="0"/>
    <x v="1"/>
    <s v="NAQ3"/>
    <n v="273000"/>
  </r>
  <r>
    <s v="TXN-101967"/>
    <d v="2024-07-20T00:00:00"/>
    <x v="94"/>
    <s v="SVC-01"/>
    <n v="163.4"/>
    <x v="0"/>
    <s v="ACH"/>
    <m/>
    <x v="1"/>
    <s v="United Kingdom"/>
    <s v="L. Chen"/>
    <x v="0"/>
    <s v="Payments"/>
    <n v="2.9000000000000001E-2"/>
    <s v="SMB"/>
    <s v="Standard"/>
    <s v="No"/>
    <s v="No"/>
    <x v="2"/>
    <x v="1"/>
    <s v="EMEAQ3"/>
    <n v="147000"/>
  </r>
  <r>
    <s v="TXN-102255"/>
    <d v="2024-06-17T00:00:00"/>
    <x v="52"/>
    <s v="SVC-05"/>
    <n v="108"/>
    <x v="0"/>
    <s v="Unknown"/>
    <m/>
    <x v="1"/>
    <s v="USA"/>
    <s v="M. Santos"/>
    <x v="3"/>
    <s v="Analytics"/>
    <n v="0"/>
    <s v="SMB"/>
    <s v="Standard"/>
    <s v="Yes"/>
    <s v="Yes"/>
    <x v="0"/>
    <x v="0"/>
    <s v="NAQ2"/>
    <n v="260000"/>
  </r>
  <r>
    <s v="TXN-101262"/>
    <d v="2024-05-27T00:00:00"/>
    <x v="62"/>
    <s v="SVC-01"/>
    <n v="288.8"/>
    <x v="0"/>
    <s v="Credit Card"/>
    <s v="callback requested"/>
    <x v="0"/>
    <s v="USA"/>
    <s v="A. Kim"/>
    <x v="0"/>
    <s v="Payments"/>
    <n v="2.9000000000000001E-2"/>
    <s v="Enterprise"/>
    <s v="Standard"/>
    <s v="No"/>
    <s v="Yes"/>
    <x v="0"/>
    <x v="0"/>
    <s v="NAQ2"/>
    <n v="260000"/>
  </r>
  <r>
    <s v="TXN-101418"/>
    <d v="2024-12-16T00:00:00"/>
    <x v="44"/>
    <s v="SVC-01"/>
    <n v="1451.03"/>
    <x v="0"/>
    <s v="ACH"/>
    <s v="escalated to support"/>
    <x v="0"/>
    <s v="Australia"/>
    <s v="T. Novak"/>
    <x v="0"/>
    <s v="Payments"/>
    <n v="2.9000000000000001E-2"/>
    <s v="Enterprise"/>
    <s v="High Value"/>
    <s v="Yes"/>
    <s v="No"/>
    <x v="1"/>
    <x v="2"/>
    <s v="APACQ4"/>
    <n v="126500"/>
  </r>
  <r>
    <s v="TXN-102502"/>
    <d v="2024-10-18T00:00:00"/>
    <x v="28"/>
    <s v="SVC-02"/>
    <n v="344.73"/>
    <x v="0"/>
    <s v="ACH"/>
    <m/>
    <x v="1"/>
    <s v="United Kingdom"/>
    <s v="L. Chen"/>
    <x v="6"/>
    <s v="HR &amp; Payroll"/>
    <n v="0"/>
    <s v="SMB"/>
    <s v="High Value"/>
    <s v="Yes"/>
    <s v="Yes"/>
    <x v="2"/>
    <x v="2"/>
    <s v="EMEAQ4"/>
    <n v="161000"/>
  </r>
  <r>
    <s v="TXN-101801"/>
    <d v="2024-03-29T00:00:00"/>
    <x v="11"/>
    <s v="SVC-02"/>
    <n v="743.14"/>
    <x v="0"/>
    <s v="Debit Card"/>
    <m/>
    <x v="0"/>
    <s v="United Kingdom"/>
    <s v="L. Chen"/>
    <x v="6"/>
    <s v="HR &amp; Payroll"/>
    <n v="0"/>
    <s v="Enterprise"/>
    <s v="High Value"/>
    <s v="Yes"/>
    <s v="Yes"/>
    <x v="2"/>
    <x v="3"/>
    <s v="EMEAQ1"/>
    <n v="133000"/>
  </r>
  <r>
    <s v="TXN-100153"/>
    <d v="2024-01-30T00:00:00"/>
    <x v="89"/>
    <s v="SVC-03"/>
    <n v="732.5"/>
    <x v="0"/>
    <s v="Credit Card"/>
    <m/>
    <x v="0"/>
    <s v="USA"/>
    <s v="A. Kim"/>
    <x v="5"/>
    <s v="Billing"/>
    <n v="5.0000000000000001E-3"/>
    <s v="Enterprise"/>
    <s v="High Value"/>
    <s v="Yes"/>
    <s v="Yes"/>
    <x v="0"/>
    <x v="3"/>
    <s v="NAQ1"/>
    <n v="247000"/>
  </r>
  <r>
    <s v="TXN-100353"/>
    <d v="2024-10-25T00:00:00"/>
    <x v="47"/>
    <s v="SVC-04"/>
    <n v="935.84"/>
    <x v="0"/>
    <s v="Credit Card"/>
    <s v="escalated to support"/>
    <x v="1"/>
    <s v="Canada"/>
    <s v="R. Patel"/>
    <x v="2"/>
    <s v="Risk"/>
    <n v="1E-3"/>
    <s v="SMB"/>
    <s v="High Value"/>
    <s v="Yes"/>
    <s v="Yes"/>
    <x v="0"/>
    <x v="2"/>
    <s v="NAQ4"/>
    <n v="299000"/>
  </r>
  <r>
    <s v="TXN-100616"/>
    <d v="2024-05-16T00:00:00"/>
    <x v="63"/>
    <s v="SVC-02"/>
    <n v="377.7"/>
    <x v="0"/>
    <s v="ACH"/>
    <m/>
    <x v="1"/>
    <s v="Philippines"/>
    <s v="T. Novak"/>
    <x v="6"/>
    <s v="HR &amp; Payroll"/>
    <n v="0"/>
    <s v="SMB"/>
    <s v="High Value"/>
    <s v="Yes"/>
    <s v="Yes"/>
    <x v="1"/>
    <x v="0"/>
    <s v="APACQ2"/>
    <n v="110000"/>
  </r>
  <r>
    <s v="TXN-100943"/>
    <d v="2024-12-02T00:00:00"/>
    <x v="17"/>
    <s v="SVC-01"/>
    <n v="295.14"/>
    <x v="0"/>
    <s v="Credit Card"/>
    <m/>
    <x v="1"/>
    <s v="USA"/>
    <s v="A. Kim"/>
    <x v="0"/>
    <s v="Payments"/>
    <n v="2.9000000000000001E-2"/>
    <s v="SMB"/>
    <s v="Standard"/>
    <s v="Yes"/>
    <s v="No"/>
    <x v="0"/>
    <x v="2"/>
    <s v="NAQ4"/>
    <n v="299000"/>
  </r>
  <r>
    <s v="TXN-102034"/>
    <d v="2024-11-23T00:00:00"/>
    <x v="46"/>
    <s v="SVC-01"/>
    <n v="142.63999999999999"/>
    <x v="0"/>
    <s v="ACH"/>
    <s v="VIP account"/>
    <x v="1"/>
    <s v="Australia"/>
    <s v="L. Chen"/>
    <x v="0"/>
    <s v="Payments"/>
    <n v="2.9000000000000001E-2"/>
    <s v="SMB"/>
    <s v="Standard"/>
    <s v="No"/>
    <s v="No"/>
    <x v="1"/>
    <x v="2"/>
    <s v="APACQ4"/>
    <n v="126500"/>
  </r>
  <r>
    <s v="TXN-100944"/>
    <d v="2024-08-12T00:00:00"/>
    <x v="118"/>
    <s v="SVC-01"/>
    <n v="193.1"/>
    <x v="0"/>
    <s v="ACH"/>
    <s v="escalated to support"/>
    <x v="1"/>
    <s v="USA"/>
    <s v="L. Chen"/>
    <x v="0"/>
    <s v="Payments"/>
    <n v="2.9000000000000001E-2"/>
    <s v="SMB"/>
    <s v="Standard"/>
    <s v="No"/>
    <s v="Yes"/>
    <x v="0"/>
    <x v="1"/>
    <s v="NAQ3"/>
    <n v="273000"/>
  </r>
  <r>
    <s v="TXN-100024"/>
    <d v="2024-04-30T00:00:00"/>
    <x v="107"/>
    <s v="SVC-04"/>
    <n v="444.52"/>
    <x v="0"/>
    <s v="Unknown"/>
    <s v="escalated to support"/>
    <x v="1"/>
    <s v="USA"/>
    <s v="M. Santos"/>
    <x v="2"/>
    <s v="Risk"/>
    <n v="1E-3"/>
    <s v="SMB"/>
    <s v="High Value"/>
    <s v="Yes"/>
    <s v="No"/>
    <x v="0"/>
    <x v="0"/>
    <s v="NAQ2"/>
    <n v="260000"/>
  </r>
  <r>
    <s v="TXN-101836"/>
    <d v="2024-09-21T00:00:00"/>
    <x v="15"/>
    <s v="SVC-03"/>
    <n v="744.22"/>
    <x v="0"/>
    <s v="Credit Card"/>
    <m/>
    <x v="0"/>
    <s v="USA"/>
    <s v="L. Chen"/>
    <x v="5"/>
    <s v="Billing"/>
    <n v="5.0000000000000001E-3"/>
    <s v="Enterprise"/>
    <s v="High Value"/>
    <s v="Yes"/>
    <s v="No"/>
    <x v="0"/>
    <x v="1"/>
    <s v="NAQ3"/>
    <n v="273000"/>
  </r>
  <r>
    <s v="TXN-101562"/>
    <d v="2024-05-30T00:00:00"/>
    <x v="69"/>
    <s v="SVC-03"/>
    <n v="490.22"/>
    <x v="0"/>
    <s v="Debit Card"/>
    <m/>
    <x v="1"/>
    <s v="Philippines"/>
    <s v="J. Reyes"/>
    <x v="5"/>
    <s v="Billing"/>
    <n v="5.0000000000000001E-3"/>
    <s v="SMB"/>
    <s v="High Value"/>
    <s v="Yes"/>
    <s v="Yes"/>
    <x v="1"/>
    <x v="0"/>
    <s v="APACQ2"/>
    <n v="110000"/>
  </r>
  <r>
    <s v="TXN-100282"/>
    <d v="2024-08-08T00:00:00"/>
    <x v="119"/>
    <s v="SVC-05"/>
    <n v="-187.66"/>
    <x v="2"/>
    <s v="Debit Card"/>
    <m/>
    <x v="1"/>
    <s v="USA"/>
    <s v="R. Patel"/>
    <x v="3"/>
    <s v="Analytics"/>
    <n v="0"/>
    <s v="N/A"/>
    <s v="Refund"/>
    <s v="No"/>
    <s v="Yes"/>
    <x v="0"/>
    <x v="1"/>
    <s v="NAQ3"/>
    <n v="273000"/>
  </r>
  <r>
    <s v="TXN-101275"/>
    <d v="2024-12-30T00:00:00"/>
    <x v="112"/>
    <s v="SVC-01"/>
    <n v="157.94"/>
    <x v="1"/>
    <s v="ACH"/>
    <m/>
    <x v="1"/>
    <s v="USA"/>
    <s v="A. Kim"/>
    <x v="0"/>
    <s v="Payments"/>
    <n v="2.9000000000000001E-2"/>
    <s v="N/A"/>
    <s v="Standard"/>
    <s v="No"/>
    <s v="No"/>
    <x v="0"/>
    <x v="2"/>
    <s v="NAQ4"/>
    <n v="299000"/>
  </r>
  <r>
    <s v="TXN-100037"/>
    <d v="2024-07-21T00:00:00"/>
    <x v="77"/>
    <s v="SVC-01"/>
    <n v="207.23"/>
    <x v="0"/>
    <s v="Credit Card"/>
    <s v="escalated to support"/>
    <x v="1"/>
    <s v="Australia"/>
    <s v="L. Chen"/>
    <x v="0"/>
    <s v="Payments"/>
    <n v="2.9000000000000001E-2"/>
    <s v="SMB"/>
    <s v="Standard"/>
    <s v="No"/>
    <s v="Yes"/>
    <x v="1"/>
    <x v="1"/>
    <s v="APACQ3"/>
    <n v="115500"/>
  </r>
  <r>
    <s v="TXN-100641"/>
    <d v="2024-10-21T00:00:00"/>
    <x v="99"/>
    <s v="SVC-02"/>
    <n v="536.63"/>
    <x v="0"/>
    <s v="Credit Card"/>
    <m/>
    <x v="1"/>
    <s v="Canada"/>
    <s v="R. Patel"/>
    <x v="6"/>
    <s v="HR &amp; Payroll"/>
    <n v="0"/>
    <s v="SMB"/>
    <s v="High Value"/>
    <s v="Yes"/>
    <s v="Yes"/>
    <x v="0"/>
    <x v="2"/>
    <s v="NAQ4"/>
    <n v="299000"/>
  </r>
  <r>
    <s v="TXN-102373"/>
    <d v="2024-02-17T00:00:00"/>
    <x v="80"/>
    <s v="SVC-07"/>
    <n v="708.81"/>
    <x v="0"/>
    <s v="Credit Card"/>
    <m/>
    <x v="1"/>
    <s v="Philippines"/>
    <s v="R. Patel"/>
    <x v="7"/>
    <s v="Support"/>
    <n v="0"/>
    <s v="SMB"/>
    <s v="High Value"/>
    <s v="Yes"/>
    <s v="No"/>
    <x v="1"/>
    <x v="3"/>
    <s v="APACQ1"/>
    <n v="104500"/>
  </r>
  <r>
    <s v="TXN-100520"/>
    <d v="2024-11-18T00:00:00"/>
    <x v="129"/>
    <s v="SVC-01"/>
    <n v="442.85"/>
    <x v="0"/>
    <s v="Wire Transfer"/>
    <s v="VIP account"/>
    <x v="1"/>
    <s v="Australia"/>
    <s v="A. Kim"/>
    <x v="0"/>
    <s v="Payments"/>
    <n v="2.9000000000000001E-2"/>
    <s v="SMB"/>
    <s v="Standard"/>
    <s v="Yes"/>
    <s v="No"/>
    <x v="1"/>
    <x v="2"/>
    <s v="APACQ4"/>
    <n v="126500"/>
  </r>
  <r>
    <s v="TXN-101813"/>
    <d v="2024-03-24T00:00:00"/>
    <x v="22"/>
    <s v="SVC-02"/>
    <n v="-1163.56"/>
    <x v="2"/>
    <s v="Credit Card"/>
    <m/>
    <x v="0"/>
    <s v="Australia"/>
    <s v="M. Santos"/>
    <x v="6"/>
    <s v="HR &amp; Payroll"/>
    <n v="0"/>
    <s v="N/A"/>
    <s v="Refund"/>
    <s v="No"/>
    <s v="Yes"/>
    <x v="1"/>
    <x v="3"/>
    <s v="APACQ1"/>
    <n v="104500"/>
  </r>
  <r>
    <s v="TXN-102043"/>
    <d v="2024-06-30T00:00:00"/>
    <x v="127"/>
    <s v="SVC-01"/>
    <n v="439.29"/>
    <x v="0"/>
    <s v="Debit Card"/>
    <s v="VIP account"/>
    <x v="0"/>
    <s v="USA"/>
    <s v="R. Patel"/>
    <x v="0"/>
    <s v="Payments"/>
    <n v="2.9000000000000001E-2"/>
    <s v="Enterprise"/>
    <s v="Standard"/>
    <s v="Yes"/>
    <s v="No"/>
    <x v="0"/>
    <x v="0"/>
    <s v="NAQ2"/>
    <n v="260000"/>
  </r>
  <r>
    <s v="TXN-101615"/>
    <d v="2024-12-05T00:00:00"/>
    <x v="73"/>
    <s v="SVC-06"/>
    <n v="483.98"/>
    <x v="0"/>
    <s v="ACH"/>
    <s v="escalated to support"/>
    <x v="1"/>
    <s v="United Kingdom"/>
    <s v="R. Patel"/>
    <x v="4"/>
    <s v="Platform"/>
    <n v="0"/>
    <s v="SMB"/>
    <s v="High Value"/>
    <s v="Yes"/>
    <s v="Yes"/>
    <x v="2"/>
    <x v="2"/>
    <s v="EMEAQ4"/>
    <n v="161000"/>
  </r>
  <r>
    <s v="TXN-100955"/>
    <d v="2024-08-29T00:00:00"/>
    <x v="37"/>
    <s v="SVC-01"/>
    <n v="180.47"/>
    <x v="0"/>
    <s v="Credit Card"/>
    <m/>
    <x v="1"/>
    <s v="Canada"/>
    <s v="T. Novak"/>
    <x v="0"/>
    <s v="Payments"/>
    <n v="2.9000000000000001E-2"/>
    <s v="SMB"/>
    <s v="Standard"/>
    <s v="No"/>
    <s v="No"/>
    <x v="0"/>
    <x v="1"/>
    <s v="NAQ3"/>
    <n v="273000"/>
  </r>
  <r>
    <s v="TXN-102137"/>
    <d v="2024-09-03T00:00:00"/>
    <x v="8"/>
    <s v="SVC-02"/>
    <n v="844.04"/>
    <x v="0"/>
    <s v="ACH"/>
    <s v="escalated to support"/>
    <x v="1"/>
    <s v="USA"/>
    <s v="M. Santos"/>
    <x v="6"/>
    <s v="HR &amp; Payroll"/>
    <n v="0"/>
    <s v="SMB"/>
    <s v="High Value"/>
    <s v="Yes"/>
    <s v="No"/>
    <x v="0"/>
    <x v="1"/>
    <s v="NAQ3"/>
    <n v="273000"/>
  </r>
  <r>
    <s v="TXN-102337"/>
    <d v="2024-04-25T00:00:00"/>
    <x v="62"/>
    <s v="SVC-05"/>
    <n v="402.18"/>
    <x v="0"/>
    <s v="Unknown"/>
    <s v="callback requested"/>
    <x v="0"/>
    <s v="USA"/>
    <s v="A. Kim"/>
    <x v="3"/>
    <s v="Analytics"/>
    <n v="0"/>
    <s v="Enterprise"/>
    <s v="High Value"/>
    <s v="Yes"/>
    <s v="Yes"/>
    <x v="0"/>
    <x v="0"/>
    <s v="NAQ2"/>
    <n v="260000"/>
  </r>
  <r>
    <s v="TXN-102488"/>
    <d v="2024-02-08T00:00:00"/>
    <x v="42"/>
    <s v="SVC-01"/>
    <n v="187.33"/>
    <x v="0"/>
    <s v="Credit Card"/>
    <s v="VIP account"/>
    <x v="1"/>
    <s v="Australia"/>
    <s v="M. Santos"/>
    <x v="0"/>
    <s v="Payments"/>
    <n v="2.9000000000000001E-2"/>
    <s v="SMB"/>
    <s v="Standard"/>
    <s v="No"/>
    <s v="Yes"/>
    <x v="1"/>
    <x v="3"/>
    <s v="APACQ1"/>
    <n v="104500"/>
  </r>
  <r>
    <s v="TXN-101879"/>
    <d v="2024-10-28T00:00:00"/>
    <x v="32"/>
    <s v="SVC-02"/>
    <n v="762.52"/>
    <x v="0"/>
    <s v="Wire Transfer"/>
    <m/>
    <x v="1"/>
    <s v="Philippines"/>
    <s v="T. Novak"/>
    <x v="6"/>
    <s v="HR &amp; Payroll"/>
    <n v="0"/>
    <s v="SMB"/>
    <s v="High Value"/>
    <s v="Yes"/>
    <s v="No"/>
    <x v="1"/>
    <x v="2"/>
    <s v="APACQ4"/>
    <n v="126500"/>
  </r>
  <r>
    <s v="TXN-102564"/>
    <d v="2024-11-29T00:00:00"/>
    <x v="119"/>
    <s v="SVC-08"/>
    <n v="362.63"/>
    <x v="1"/>
    <s v="ACH"/>
    <m/>
    <x v="1"/>
    <s v="USA"/>
    <s v="R. Patel"/>
    <x v="1"/>
    <s v="Risk"/>
    <n v="2.5000000000000001E-3"/>
    <s v="N/A"/>
    <s v="High Value"/>
    <s v="Yes"/>
    <s v="Yes"/>
    <x v="0"/>
    <x v="2"/>
    <s v="NAQ4"/>
    <n v="299000"/>
  </r>
  <r>
    <s v="TXN-102104"/>
    <d v="2024-09-09T00:00:00"/>
    <x v="54"/>
    <s v="SVC-01"/>
    <n v="-847.25"/>
    <x v="2"/>
    <s v="ACH"/>
    <s v="VIP account"/>
    <x v="1"/>
    <s v="USA"/>
    <s v="J. Reyes"/>
    <x v="0"/>
    <s v="Payments"/>
    <n v="2.9000000000000001E-2"/>
    <s v="N/A"/>
    <s v="Refund"/>
    <s v="No"/>
    <s v="No"/>
    <x v="0"/>
    <x v="1"/>
    <s v="NAQ3"/>
    <n v="273000"/>
  </r>
  <r>
    <s v="TXN-101004"/>
    <d v="2024-02-17T00:00:00"/>
    <x v="27"/>
    <s v="SVC-07"/>
    <n v="-123.46"/>
    <x v="2"/>
    <s v="ACH"/>
    <s v="escalated to support"/>
    <x v="1"/>
    <s v="Canada"/>
    <s v="L. Chen"/>
    <x v="7"/>
    <s v="Support"/>
    <n v="0"/>
    <s v="N/A"/>
    <s v="Refund"/>
    <s v="No"/>
    <s v="No"/>
    <x v="0"/>
    <x v="3"/>
    <s v="NAQ1"/>
    <n v="247000"/>
  </r>
  <r>
    <s v="TXN-100145"/>
    <d v="2024-10-17T00:00:00"/>
    <x v="76"/>
    <s v="SVC-06"/>
    <n v="360.38"/>
    <x v="0"/>
    <s v="Credit Card"/>
    <s v="escalated to support"/>
    <x v="3"/>
    <s v="United Kingdom"/>
    <s v="R. Patel"/>
    <x v="4"/>
    <s v="Platform"/>
    <n v="0"/>
    <s v="Startup"/>
    <s v="High Value"/>
    <s v="Yes"/>
    <s v="No"/>
    <x v="2"/>
    <x v="2"/>
    <s v="EMEAQ4"/>
    <n v="161000"/>
  </r>
  <r>
    <s v="TXN-101995"/>
    <d v="2024-08-12T00:00:00"/>
    <x v="106"/>
    <s v="SVC-01"/>
    <n v="1374.13"/>
    <x v="0"/>
    <s v="ACH"/>
    <m/>
    <x v="1"/>
    <s v="USA"/>
    <s v="J. Reyes"/>
    <x v="0"/>
    <s v="Payments"/>
    <n v="2.9000000000000001E-2"/>
    <s v="SMB"/>
    <s v="High Value"/>
    <s v="Yes"/>
    <s v="Yes"/>
    <x v="0"/>
    <x v="1"/>
    <s v="NAQ3"/>
    <n v="273000"/>
  </r>
  <r>
    <s v="TXN-101294"/>
    <d v="2024-02-01T00:00:00"/>
    <x v="106"/>
    <s v="SVC-03"/>
    <n v="594.38"/>
    <x v="0"/>
    <s v="Debit Card"/>
    <s v="callback requested"/>
    <x v="1"/>
    <s v="USA"/>
    <s v="J. Reyes"/>
    <x v="5"/>
    <s v="Billing"/>
    <n v="5.0000000000000001E-3"/>
    <s v="SMB"/>
    <s v="High Value"/>
    <s v="Yes"/>
    <s v="Yes"/>
    <x v="0"/>
    <x v="3"/>
    <s v="NAQ1"/>
    <n v="247000"/>
  </r>
  <r>
    <s v="TXN-102353"/>
    <d v="2024-07-24T00:00:00"/>
    <x v="74"/>
    <s v="SVC-01"/>
    <n v="253.66"/>
    <x v="0"/>
    <s v="Unknown"/>
    <s v="callback requested"/>
    <x v="0"/>
    <s v="USA"/>
    <s v="A. Kim"/>
    <x v="0"/>
    <s v="Payments"/>
    <n v="2.9000000000000001E-2"/>
    <s v="Enterprise"/>
    <s v="Standard"/>
    <s v="No"/>
    <s v="No"/>
    <x v="0"/>
    <x v="1"/>
    <s v="NAQ3"/>
    <n v="273000"/>
  </r>
  <r>
    <s v="TXN-102605"/>
    <d v="2024-03-11T00:00:00"/>
    <x v="135"/>
    <s v="SVC-02"/>
    <n v="118.73"/>
    <x v="0"/>
    <s v="ACH"/>
    <m/>
    <x v="2"/>
    <m/>
    <m/>
    <x v="6"/>
    <s v="HR &amp; Payroll"/>
    <n v="0"/>
    <s v="Customer Not Found"/>
    <s v="Standard"/>
    <s v="Yes"/>
    <s v="Yes"/>
    <x v="1"/>
    <x v="3"/>
    <s v="APACQ1"/>
    <n v="104500"/>
  </r>
  <r>
    <s v="TXN-101096"/>
    <d v="2024-12-09T00:00:00"/>
    <x v="51"/>
    <s v="SVC-01"/>
    <n v="742.05"/>
    <x v="0"/>
    <s v="Debit Card"/>
    <s v="callback requested"/>
    <x v="0"/>
    <s v="United Kingdom"/>
    <s v="R. Patel"/>
    <x v="0"/>
    <s v="Payments"/>
    <n v="2.9000000000000001E-2"/>
    <s v="Enterprise"/>
    <s v="High Value"/>
    <s v="Yes"/>
    <s v="No"/>
    <x v="2"/>
    <x v="2"/>
    <s v="EMEAQ4"/>
    <n v="161000"/>
  </r>
  <r>
    <s v="TXN-101315"/>
    <d v="2024-09-06T00:00:00"/>
    <x v="121"/>
    <s v="SVC-03"/>
    <n v="577.38"/>
    <x v="3"/>
    <s v="ACH"/>
    <s v="VIP account"/>
    <x v="0"/>
    <s v="USA"/>
    <s v="J. Reyes"/>
    <x v="5"/>
    <s v="Billing"/>
    <n v="5.0000000000000001E-3"/>
    <s v="N/A"/>
    <s v="High Value"/>
    <s v="Yes"/>
    <s v="Yes"/>
    <x v="0"/>
    <x v="1"/>
    <s v="NAQ3"/>
    <n v="273000"/>
  </r>
  <r>
    <s v="TXN-101039"/>
    <d v="2024-03-14T00:00:00"/>
    <x v="111"/>
    <s v="SVC-01"/>
    <n v="707.38"/>
    <x v="0"/>
    <s v="Credit Card"/>
    <m/>
    <x v="1"/>
    <s v="Australia"/>
    <s v="A. Kim"/>
    <x v="0"/>
    <s v="Payments"/>
    <n v="2.9000000000000001E-2"/>
    <s v="SMB"/>
    <s v="High Value"/>
    <s v="Yes"/>
    <s v="No"/>
    <x v="1"/>
    <x v="3"/>
    <s v="APACQ1"/>
    <n v="104500"/>
  </r>
  <r>
    <s v="TXN-100906"/>
    <d v="2024-07-19T00:00:00"/>
    <x v="42"/>
    <s v="SVC-07"/>
    <n v="242.67"/>
    <x v="0"/>
    <s v="Debit Card"/>
    <m/>
    <x v="1"/>
    <s v="Australia"/>
    <s v="M. Santos"/>
    <x v="7"/>
    <s v="Support"/>
    <n v="0"/>
    <s v="SMB"/>
    <s v="Standard"/>
    <s v="Yes"/>
    <s v="Yes"/>
    <x v="1"/>
    <x v="1"/>
    <s v="APACQ3"/>
    <n v="115500"/>
  </r>
  <r>
    <s v="TXN-102496"/>
    <d v="2024-01-21T00:00:00"/>
    <x v="61"/>
    <s v="SVC-01"/>
    <n v="603.04"/>
    <x v="0"/>
    <s v="ACH"/>
    <m/>
    <x v="1"/>
    <s v="Australia"/>
    <s v="M. Santos"/>
    <x v="0"/>
    <s v="Payments"/>
    <n v="2.9000000000000001E-2"/>
    <s v="SMB"/>
    <s v="High Value"/>
    <s v="Yes"/>
    <s v="Yes"/>
    <x v="1"/>
    <x v="3"/>
    <s v="APACQ1"/>
    <n v="104500"/>
  </r>
  <r>
    <s v="TXN-100575"/>
    <d v="2024-03-02T00:00:00"/>
    <x v="9"/>
    <s v="SVC-05"/>
    <n v="257.39999999999998"/>
    <x v="0"/>
    <s v="Credit Card"/>
    <s v="escalated to support"/>
    <x v="3"/>
    <s v="Philippines"/>
    <s v="T. Novak"/>
    <x v="3"/>
    <s v="Analytics"/>
    <n v="0"/>
    <s v="Startup"/>
    <s v="High Value"/>
    <s v="Yes"/>
    <s v="No"/>
    <x v="1"/>
    <x v="3"/>
    <s v="APACQ1"/>
    <n v="104500"/>
  </r>
  <r>
    <s v="TXN-100458"/>
    <d v="2024-07-02T00:00:00"/>
    <x v="8"/>
    <s v="SVC-05"/>
    <n v="695.16"/>
    <x v="0"/>
    <s v="ACH"/>
    <s v="escalated to support"/>
    <x v="1"/>
    <s v="USA"/>
    <s v="M. Santos"/>
    <x v="3"/>
    <s v="Analytics"/>
    <n v="0"/>
    <s v="SMB"/>
    <s v="High Value"/>
    <s v="Yes"/>
    <s v="Yes"/>
    <x v="0"/>
    <x v="1"/>
    <s v="NAQ3"/>
    <n v="273000"/>
  </r>
  <r>
    <s v="TXN-101211"/>
    <d v="2024-08-29T00:00:00"/>
    <x v="41"/>
    <s v="SVC-03"/>
    <n v="370.22"/>
    <x v="0"/>
    <s v="ACH"/>
    <s v="VIP account"/>
    <x v="0"/>
    <s v="Canada"/>
    <s v="M. Santos"/>
    <x v="5"/>
    <s v="Billing"/>
    <n v="5.0000000000000001E-3"/>
    <s v="Enterprise"/>
    <s v="High Value"/>
    <s v="Yes"/>
    <s v="No"/>
    <x v="0"/>
    <x v="1"/>
    <s v="NAQ3"/>
    <n v="273000"/>
  </r>
  <r>
    <s v="TXN-102391"/>
    <d v="2024-06-28T00:00:00"/>
    <x v="123"/>
    <s v="SVC-07"/>
    <n v="721.85"/>
    <x v="1"/>
    <s v="Credit Card"/>
    <s v="callback requested"/>
    <x v="3"/>
    <s v="Australia"/>
    <s v="L. Chen"/>
    <x v="7"/>
    <s v="Support"/>
    <n v="0"/>
    <s v="N/A"/>
    <s v="High Value"/>
    <s v="Yes"/>
    <s v="Yes"/>
    <x v="1"/>
    <x v="0"/>
    <s v="APACQ2"/>
    <n v="110000"/>
  </r>
  <r>
    <s v="TXN-101193"/>
    <d v="2024-07-27T00:00:00"/>
    <x v="32"/>
    <s v="SVC-01"/>
    <n v="403.64"/>
    <x v="0"/>
    <s v="Debit Card"/>
    <s v="VIP account"/>
    <x v="1"/>
    <s v="Philippines"/>
    <s v="T. Novak"/>
    <x v="0"/>
    <s v="Payments"/>
    <n v="2.9000000000000001E-2"/>
    <s v="SMB"/>
    <s v="Standard"/>
    <s v="Yes"/>
    <s v="No"/>
    <x v="1"/>
    <x v="1"/>
    <s v="APACQ3"/>
    <n v="115500"/>
  </r>
  <r>
    <s v="TXN-100721"/>
    <d v="2024-07-25T00:00:00"/>
    <x v="50"/>
    <s v="SVC-02"/>
    <n v="312.02999999999997"/>
    <x v="0"/>
    <s v="Wire Transfer"/>
    <m/>
    <x v="1"/>
    <s v="USA"/>
    <s v="M. Santos"/>
    <x v="6"/>
    <s v="HR &amp; Payroll"/>
    <n v="0"/>
    <s v="SMB"/>
    <s v="High Value"/>
    <s v="Yes"/>
    <s v="Yes"/>
    <x v="0"/>
    <x v="1"/>
    <s v="NAQ3"/>
    <n v="273000"/>
  </r>
  <r>
    <s v="TXN-100609"/>
    <d v="2024-05-03T00:00:00"/>
    <x v="34"/>
    <s v="SVC-03"/>
    <n v="383.27"/>
    <x v="0"/>
    <s v="Wire Transfer"/>
    <s v="callback requested"/>
    <x v="1"/>
    <s v="Germany"/>
    <s v="M. Santos"/>
    <x v="5"/>
    <s v="Billing"/>
    <n v="5.0000000000000001E-3"/>
    <s v="SMB"/>
    <s v="High Value"/>
    <s v="Yes"/>
    <s v="No"/>
    <x v="2"/>
    <x v="0"/>
    <s v="EMEAQ2"/>
    <n v="140000"/>
  </r>
  <r>
    <s v="TXN-100277"/>
    <d v="2024-02-09T00:00:00"/>
    <x v="7"/>
    <s v="SVC-02"/>
    <n v="110.54"/>
    <x v="0"/>
    <s v="ACH"/>
    <m/>
    <x v="1"/>
    <s v="USA"/>
    <s v="T. Novak"/>
    <x v="6"/>
    <s v="HR &amp; Payroll"/>
    <n v="0"/>
    <s v="SMB"/>
    <s v="Standard"/>
    <s v="Yes"/>
    <s v="No"/>
    <x v="0"/>
    <x v="3"/>
    <s v="NAQ1"/>
    <n v="247000"/>
  </r>
  <r>
    <s v="TXN-100958"/>
    <d v="2024-11-04T00:00:00"/>
    <x v="31"/>
    <s v="SVC-01"/>
    <n v="439.54"/>
    <x v="0"/>
    <s v="Debit Card"/>
    <s v="escalated to support"/>
    <x v="0"/>
    <s v="Philippines"/>
    <s v="M. Santos"/>
    <x v="0"/>
    <s v="Payments"/>
    <n v="2.9000000000000001E-2"/>
    <s v="Enterprise"/>
    <s v="Standard"/>
    <s v="Yes"/>
    <s v="No"/>
    <x v="1"/>
    <x v="2"/>
    <s v="APACQ4"/>
    <n v="126500"/>
  </r>
  <r>
    <s v="TXN-100827"/>
    <d v="2024-04-29T00:00:00"/>
    <x v="103"/>
    <s v="SVC-01"/>
    <n v="499.96"/>
    <x v="0"/>
    <s v="Debit Card"/>
    <m/>
    <x v="1"/>
    <s v="United Kingdom"/>
    <s v="R. Patel"/>
    <x v="0"/>
    <s v="Payments"/>
    <n v="2.9000000000000001E-2"/>
    <s v="SMB"/>
    <s v="Standard"/>
    <s v="Yes"/>
    <s v="Yes"/>
    <x v="2"/>
    <x v="0"/>
    <s v="EMEAQ2"/>
    <n v="140000"/>
  </r>
  <r>
    <s v="TXN-101674"/>
    <d v="2024-04-28T00:00:00"/>
    <x v="105"/>
    <s v="SVC-03"/>
    <n v="106.91"/>
    <x v="3"/>
    <s v="ACH"/>
    <s v="VIP account"/>
    <x v="3"/>
    <s v="Philippines"/>
    <s v="T. Novak"/>
    <x v="5"/>
    <s v="Billing"/>
    <n v="5.0000000000000001E-3"/>
    <s v="N/A"/>
    <s v="Standard"/>
    <s v="Yes"/>
    <s v="Yes"/>
    <x v="1"/>
    <x v="0"/>
    <s v="APACQ2"/>
    <n v="110000"/>
  </r>
  <r>
    <s v="TXN-101878"/>
    <d v="2024-10-24T00:00:00"/>
    <x v="56"/>
    <s v="SVC-05"/>
    <n v="798.13"/>
    <x v="0"/>
    <s v="Credit Card"/>
    <s v="VIP account"/>
    <x v="0"/>
    <s v="Singapore"/>
    <s v="R. Patel"/>
    <x v="3"/>
    <s v="Analytics"/>
    <n v="0"/>
    <s v="Enterprise"/>
    <s v="High Value"/>
    <s v="Yes"/>
    <s v="Yes"/>
    <x v="1"/>
    <x v="2"/>
    <s v="APACQ4"/>
    <n v="126500"/>
  </r>
  <r>
    <s v="TXN-101561"/>
    <d v="2024-04-27T00:00:00"/>
    <x v="53"/>
    <s v="SVC-02"/>
    <n v="475.34"/>
    <x v="0"/>
    <s v="ACH"/>
    <s v="escalated to support"/>
    <x v="0"/>
    <s v="Singapore"/>
    <s v="L. Chen"/>
    <x v="6"/>
    <s v="HR &amp; Payroll"/>
    <n v="0"/>
    <s v="Enterprise"/>
    <s v="High Value"/>
    <s v="Yes"/>
    <s v="No"/>
    <x v="1"/>
    <x v="0"/>
    <s v="APACQ2"/>
    <n v="110000"/>
  </r>
  <r>
    <s v="TXN-100370"/>
    <d v="2024-10-21T00:00:00"/>
    <x v="101"/>
    <s v="SVC-03"/>
    <n v="138.34"/>
    <x v="3"/>
    <s v="Credit Card"/>
    <s v="callback requested"/>
    <x v="1"/>
    <s v="Canada"/>
    <s v="A. Kim"/>
    <x v="5"/>
    <s v="Billing"/>
    <n v="5.0000000000000001E-3"/>
    <s v="N/A"/>
    <s v="Standard"/>
    <s v="Yes"/>
    <s v="No"/>
    <x v="0"/>
    <x v="2"/>
    <s v="NAQ4"/>
    <n v="299000"/>
  </r>
  <r>
    <s v="TXN-100668"/>
    <d v="2024-12-16T00:00:00"/>
    <x v="6"/>
    <s v="SVC-05"/>
    <n v="883.75"/>
    <x v="0"/>
    <s v="Credit Card"/>
    <m/>
    <x v="0"/>
    <s v="United Kingdom"/>
    <s v="R. Patel"/>
    <x v="3"/>
    <s v="Analytics"/>
    <n v="0"/>
    <s v="Enterprise"/>
    <s v="High Value"/>
    <s v="Yes"/>
    <s v="No"/>
    <x v="2"/>
    <x v="2"/>
    <s v="EMEAQ4"/>
    <n v="161000"/>
  </r>
  <r>
    <s v="TXN-101293"/>
    <d v="2024-11-07T00:00:00"/>
    <x v="128"/>
    <s v="SVC-01"/>
    <n v="1085.22"/>
    <x v="0"/>
    <s v="Wire Transfer"/>
    <s v="escalated to support"/>
    <x v="0"/>
    <s v="Philippines"/>
    <s v="L. Chen"/>
    <x v="0"/>
    <s v="Payments"/>
    <n v="2.9000000000000001E-2"/>
    <s v="Enterprise"/>
    <s v="High Value"/>
    <s v="Yes"/>
    <s v="Yes"/>
    <x v="1"/>
    <x v="2"/>
    <s v="APACQ4"/>
    <n v="126500"/>
  </r>
  <r>
    <s v="TXN-100041"/>
    <d v="2024-12-01T00:00:00"/>
    <x v="48"/>
    <s v="SVC-07"/>
    <n v="647.32000000000005"/>
    <x v="0"/>
    <s v="Credit Card"/>
    <m/>
    <x v="1"/>
    <s v="Germany"/>
    <s v="J. Reyes"/>
    <x v="7"/>
    <s v="Support"/>
    <n v="0"/>
    <s v="SMB"/>
    <s v="High Value"/>
    <s v="Yes"/>
    <s v="Yes"/>
    <x v="2"/>
    <x v="2"/>
    <s v="EMEAQ4"/>
    <n v="161000"/>
  </r>
  <r>
    <s v="TXN-100439"/>
    <d v="2024-12-05T00:00:00"/>
    <x v="2"/>
    <s v="SVC-01"/>
    <n v="231.78"/>
    <x v="0"/>
    <s v="Debit Card"/>
    <s v="callback requested"/>
    <x v="0"/>
    <s v="USA"/>
    <s v="A. Kim"/>
    <x v="0"/>
    <s v="Payments"/>
    <n v="2.9000000000000001E-2"/>
    <s v="Enterprise"/>
    <s v="Standard"/>
    <s v="No"/>
    <s v="Yes"/>
    <x v="0"/>
    <x v="2"/>
    <s v="NAQ4"/>
    <n v="299000"/>
  </r>
  <r>
    <s v="TXN-100845"/>
    <d v="2024-03-21T00:00:00"/>
    <x v="10"/>
    <s v="SVC-01"/>
    <n v="829.29"/>
    <x v="0"/>
    <s v="ACH"/>
    <m/>
    <x v="1"/>
    <s v="USA"/>
    <s v="T. Novak"/>
    <x v="0"/>
    <s v="Payments"/>
    <n v="2.9000000000000001E-2"/>
    <s v="SMB"/>
    <s v="High Value"/>
    <s v="Yes"/>
    <s v="No"/>
    <x v="0"/>
    <x v="3"/>
    <s v="NAQ1"/>
    <n v="247000"/>
  </r>
  <r>
    <s v="TXN-101234"/>
    <d v="2024-07-02T00:00:00"/>
    <x v="34"/>
    <s v="SVC-01"/>
    <n v="389.81"/>
    <x v="0"/>
    <s v="ACH"/>
    <m/>
    <x v="1"/>
    <s v="Germany"/>
    <s v="M. Santos"/>
    <x v="0"/>
    <s v="Payments"/>
    <n v="2.9000000000000001E-2"/>
    <s v="SMB"/>
    <s v="Standard"/>
    <s v="Yes"/>
    <s v="No"/>
    <x v="2"/>
    <x v="1"/>
    <s v="EMEAQ3"/>
    <n v="147000"/>
  </r>
  <r>
    <s v="TXN-100993"/>
    <d v="2024-09-27T00:00:00"/>
    <x v="124"/>
    <s v="SVC-06"/>
    <n v="992.13"/>
    <x v="0"/>
    <s v="Credit Card"/>
    <m/>
    <x v="1"/>
    <s v="United Kingdom"/>
    <s v="A. Kim"/>
    <x v="4"/>
    <s v="Platform"/>
    <n v="0"/>
    <s v="SMB"/>
    <s v="High Value"/>
    <s v="Yes"/>
    <s v="Yes"/>
    <x v="2"/>
    <x v="1"/>
    <s v="EMEAQ3"/>
    <n v="147000"/>
  </r>
  <r>
    <s v="TXN-102048"/>
    <d v="2024-07-16T00:00:00"/>
    <x v="64"/>
    <s v="SVC-05"/>
    <n v="657.38"/>
    <x v="0"/>
    <s v="Debit Card"/>
    <m/>
    <x v="1"/>
    <s v="United Kingdom"/>
    <s v="J. Reyes"/>
    <x v="3"/>
    <s v="Analytics"/>
    <n v="0"/>
    <s v="SMB"/>
    <s v="High Value"/>
    <s v="Yes"/>
    <s v="Yes"/>
    <x v="2"/>
    <x v="1"/>
    <s v="EMEAQ3"/>
    <n v="147000"/>
  </r>
  <r>
    <s v="TXN-101702"/>
    <d v="2024-11-09T00:00:00"/>
    <x v="93"/>
    <s v="SVC-07"/>
    <n v="365.78"/>
    <x v="0"/>
    <s v="Unknown"/>
    <s v="callback requested"/>
    <x v="1"/>
    <s v="Philippines"/>
    <s v="J. Reyes"/>
    <x v="7"/>
    <s v="Support"/>
    <n v="0"/>
    <s v="SMB"/>
    <s v="High Value"/>
    <s v="Yes"/>
    <s v="Yes"/>
    <x v="1"/>
    <x v="2"/>
    <s v="APACQ4"/>
    <n v="126500"/>
  </r>
  <r>
    <s v="TXN-101545"/>
    <d v="2024-05-10T00:00:00"/>
    <x v="57"/>
    <s v="SVC-06"/>
    <n v="223.75"/>
    <x v="1"/>
    <s v="Unknown"/>
    <s v="VIP account"/>
    <x v="1"/>
    <s v="USA"/>
    <s v="L. Chen"/>
    <x v="4"/>
    <s v="Platform"/>
    <n v="0"/>
    <s v="N/A"/>
    <s v="Standard"/>
    <s v="Yes"/>
    <s v="Yes"/>
    <x v="0"/>
    <x v="0"/>
    <s v="NAQ2"/>
    <n v="260000"/>
  </r>
  <r>
    <s v="TXN-102261"/>
    <d v="2024-08-27T00:00:00"/>
    <x v="75"/>
    <s v="SVC-07"/>
    <n v="71.13"/>
    <x v="0"/>
    <s v="Credit Card"/>
    <m/>
    <x v="0"/>
    <s v="Canada"/>
    <s v="R. Patel"/>
    <x v="7"/>
    <s v="Support"/>
    <n v="0"/>
    <s v="Enterprise"/>
    <s v="Standard"/>
    <s v="Yes"/>
    <s v="Yes"/>
    <x v="0"/>
    <x v="1"/>
    <s v="NAQ3"/>
    <n v="273000"/>
  </r>
  <r>
    <s v="TXN-100548"/>
    <d v="2024-12-16T00:00:00"/>
    <x v="22"/>
    <s v="SVC-04"/>
    <n v="911.23"/>
    <x v="3"/>
    <s v="Credit Card"/>
    <s v="callback requested"/>
    <x v="0"/>
    <s v="Australia"/>
    <s v="M. Santos"/>
    <x v="2"/>
    <s v="Risk"/>
    <n v="1E-3"/>
    <s v="N/A"/>
    <s v="High Value"/>
    <s v="Yes"/>
    <s v="Yes"/>
    <x v="1"/>
    <x v="2"/>
    <s v="APACQ4"/>
    <n v="126500"/>
  </r>
  <r>
    <s v="TXN-100096"/>
    <d v="2024-03-10T00:00:00"/>
    <x v="95"/>
    <s v="SVC-04"/>
    <n v="229.7"/>
    <x v="0"/>
    <s v="Credit Card"/>
    <m/>
    <x v="1"/>
    <s v="USA"/>
    <s v="R. Patel"/>
    <x v="2"/>
    <s v="Risk"/>
    <n v="1E-3"/>
    <s v="SMB"/>
    <s v="Standard"/>
    <s v="Yes"/>
    <s v="Yes"/>
    <x v="0"/>
    <x v="3"/>
    <s v="NAQ1"/>
    <n v="247000"/>
  </r>
  <r>
    <s v="TXN-100360"/>
    <d v="2024-03-29T00:00:00"/>
    <x v="25"/>
    <s v="SVC-01"/>
    <n v="982.73"/>
    <x v="0"/>
    <s v="ACH"/>
    <m/>
    <x v="0"/>
    <s v="USA"/>
    <s v="A. Kim"/>
    <x v="0"/>
    <s v="Payments"/>
    <n v="2.9000000000000001E-2"/>
    <s v="Enterprise"/>
    <s v="High Value"/>
    <s v="Yes"/>
    <s v="No"/>
    <x v="0"/>
    <x v="3"/>
    <s v="NAQ1"/>
    <n v="247000"/>
  </r>
  <r>
    <s v="TXN-102409"/>
    <d v="2024-11-08T00:00:00"/>
    <x v="81"/>
    <s v="SVC-06"/>
    <n v="-402.72"/>
    <x v="2"/>
    <s v="Unknown"/>
    <s v="VIP account"/>
    <x v="3"/>
    <s v="Germany"/>
    <s v="R. Patel"/>
    <x v="4"/>
    <s v="Platform"/>
    <n v="0"/>
    <s v="N/A"/>
    <s v="Refund"/>
    <s v="No"/>
    <s v="Yes"/>
    <x v="2"/>
    <x v="2"/>
    <s v="EMEAQ4"/>
    <n v="161000"/>
  </r>
  <r>
    <s v="TXN-102551"/>
    <d v="2024-06-09T00:00:00"/>
    <x v="28"/>
    <s v="SVC-03"/>
    <n v="841.92"/>
    <x v="0"/>
    <s v="ACH"/>
    <s v="VIP account"/>
    <x v="1"/>
    <s v="United Kingdom"/>
    <s v="L. Chen"/>
    <x v="5"/>
    <s v="Billing"/>
    <n v="5.0000000000000001E-3"/>
    <s v="SMB"/>
    <s v="High Value"/>
    <s v="Yes"/>
    <s v="Yes"/>
    <x v="2"/>
    <x v="0"/>
    <s v="EMEAQ2"/>
    <n v="140000"/>
  </r>
  <r>
    <s v="TXN-101175"/>
    <d v="2024-10-27T00:00:00"/>
    <x v="1"/>
    <s v="SVC-01"/>
    <n v="1007.21"/>
    <x v="0"/>
    <s v="Wire Transfer"/>
    <m/>
    <x v="0"/>
    <s v="USA"/>
    <s v="J. Reyes"/>
    <x v="0"/>
    <s v="Payments"/>
    <n v="2.9000000000000001E-2"/>
    <s v="Enterprise"/>
    <s v="High Value"/>
    <s v="Yes"/>
    <s v="No"/>
    <x v="0"/>
    <x v="2"/>
    <s v="NAQ4"/>
    <n v="299000"/>
  </r>
  <r>
    <s v="TXN-102439"/>
    <d v="2024-06-05T00:00:00"/>
    <x v="22"/>
    <s v="SVC-08"/>
    <n v="660.17"/>
    <x v="0"/>
    <s v="Debit Card"/>
    <m/>
    <x v="0"/>
    <s v="Australia"/>
    <s v="M. Santos"/>
    <x v="1"/>
    <s v="Risk"/>
    <n v="2.5000000000000001E-3"/>
    <s v="Enterprise"/>
    <s v="High Value"/>
    <s v="Yes"/>
    <s v="Yes"/>
    <x v="1"/>
    <x v="0"/>
    <s v="APACQ2"/>
    <n v="110000"/>
  </r>
  <r>
    <s v="TXN-100072"/>
    <d v="2024-10-24T00:00:00"/>
    <x v="72"/>
    <s v="SVC-02"/>
    <n v="475.48"/>
    <x v="0"/>
    <s v="Debit Card"/>
    <s v="callback requested"/>
    <x v="1"/>
    <s v="United Kingdom"/>
    <s v="A. Kim"/>
    <x v="6"/>
    <s v="HR &amp; Payroll"/>
    <n v="0"/>
    <s v="SMB"/>
    <s v="High Value"/>
    <s v="Yes"/>
    <s v="No"/>
    <x v="2"/>
    <x v="2"/>
    <s v="EMEAQ4"/>
    <n v="161000"/>
  </r>
  <r>
    <s v="TXN-100926"/>
    <d v="2024-11-05T00:00:00"/>
    <x v="68"/>
    <s v="SVC-02"/>
    <n v="187.73"/>
    <x v="0"/>
    <s v="Credit Card"/>
    <s v="escalated to support"/>
    <x v="1"/>
    <s v="USA"/>
    <s v="R. Patel"/>
    <x v="6"/>
    <s v="HR &amp; Payroll"/>
    <n v="0"/>
    <s v="SMB"/>
    <s v="Standard"/>
    <s v="Yes"/>
    <s v="Yes"/>
    <x v="0"/>
    <x v="2"/>
    <s v="NAQ4"/>
    <n v="299000"/>
  </r>
  <r>
    <s v="TXN-101041"/>
    <d v="2024-07-30T00:00:00"/>
    <x v="6"/>
    <s v="SVC-06"/>
    <n v="151.53"/>
    <x v="0"/>
    <s v="ACH"/>
    <s v="escalated to support"/>
    <x v="0"/>
    <s v="United Kingdom"/>
    <s v="R. Patel"/>
    <x v="4"/>
    <s v="Platform"/>
    <n v="0"/>
    <s v="Enterprise"/>
    <s v="Standard"/>
    <s v="Yes"/>
    <s v="No"/>
    <x v="2"/>
    <x v="1"/>
    <s v="EMEAQ3"/>
    <n v="147000"/>
  </r>
  <r>
    <s v="TXN-101477"/>
    <d v="2024-06-16T00:00:00"/>
    <x v="9"/>
    <s v="SVC-01"/>
    <n v="195.54"/>
    <x v="0"/>
    <s v="Credit Card"/>
    <s v="escalated to support"/>
    <x v="3"/>
    <s v="Philippines"/>
    <s v="T. Novak"/>
    <x v="0"/>
    <s v="Payments"/>
    <n v="2.9000000000000001E-2"/>
    <s v="Startup"/>
    <s v="Standard"/>
    <s v="No"/>
    <s v="No"/>
    <x v="1"/>
    <x v="0"/>
    <s v="APACQ2"/>
    <n v="110000"/>
  </r>
  <r>
    <s v="TXN-100565"/>
    <d v="2024-11-05T00:00:00"/>
    <x v="5"/>
    <s v="SVC-06"/>
    <n v="185.8"/>
    <x v="0"/>
    <s v="ACH"/>
    <s v="callback requested"/>
    <x v="1"/>
    <s v="Australia"/>
    <s v="A. Kim"/>
    <x v="4"/>
    <s v="Platform"/>
    <n v="0"/>
    <s v="SMB"/>
    <s v="Standard"/>
    <s v="Yes"/>
    <s v="Yes"/>
    <x v="1"/>
    <x v="2"/>
    <s v="APACQ4"/>
    <n v="126500"/>
  </r>
  <r>
    <s v="TXN-100495"/>
    <d v="2024-06-08T00:00:00"/>
    <x v="48"/>
    <s v="SVC-03"/>
    <n v="1085.57"/>
    <x v="1"/>
    <s v="Credit Card"/>
    <m/>
    <x v="1"/>
    <s v="Germany"/>
    <s v="J. Reyes"/>
    <x v="5"/>
    <s v="Billing"/>
    <n v="5.0000000000000001E-3"/>
    <s v="N/A"/>
    <s v="High Value"/>
    <s v="Yes"/>
    <s v="No"/>
    <x v="2"/>
    <x v="0"/>
    <s v="EMEAQ2"/>
    <n v="140000"/>
  </r>
  <r>
    <s v="TXN-102074"/>
    <d v="2024-09-02T00:00:00"/>
    <x v="95"/>
    <s v="SVC-06"/>
    <n v="545.05999999999995"/>
    <x v="0"/>
    <s v="Credit Card"/>
    <m/>
    <x v="1"/>
    <s v="USA"/>
    <s v="R. Patel"/>
    <x v="4"/>
    <s v="Platform"/>
    <n v="0"/>
    <s v="SMB"/>
    <s v="High Value"/>
    <s v="Yes"/>
    <s v="Yes"/>
    <x v="0"/>
    <x v="1"/>
    <s v="NAQ3"/>
    <n v="273000"/>
  </r>
  <r>
    <s v="TXN-101176"/>
    <d v="2024-05-24T00:00:00"/>
    <x v="127"/>
    <s v="SVC-05"/>
    <n v="309.25"/>
    <x v="0"/>
    <s v="ACH"/>
    <s v="VIP account"/>
    <x v="0"/>
    <s v="USA"/>
    <s v="R. Patel"/>
    <x v="3"/>
    <s v="Analytics"/>
    <n v="0"/>
    <s v="Enterprise"/>
    <s v="High Value"/>
    <s v="Yes"/>
    <s v="No"/>
    <x v="0"/>
    <x v="0"/>
    <s v="NAQ2"/>
    <n v="260000"/>
  </r>
  <r>
    <s v="TXN-101940"/>
    <d v="2024-05-22T00:00:00"/>
    <x v="60"/>
    <s v="SVC-06"/>
    <n v="302.93"/>
    <x v="3"/>
    <s v="ACH"/>
    <m/>
    <x v="1"/>
    <s v="Australia"/>
    <s v="J. Reyes"/>
    <x v="4"/>
    <s v="Platform"/>
    <n v="0"/>
    <s v="N/A"/>
    <s v="High Value"/>
    <s v="Yes"/>
    <s v="No"/>
    <x v="1"/>
    <x v="0"/>
    <s v="APACQ2"/>
    <n v="110000"/>
  </r>
  <r>
    <s v="TXN-100378"/>
    <d v="2024-02-04T00:00:00"/>
    <x v="122"/>
    <s v="SVC-01"/>
    <n v="1546.33"/>
    <x v="0"/>
    <s v="Credit Card"/>
    <m/>
    <x v="3"/>
    <s v="United Kingdom"/>
    <s v="A. Kim"/>
    <x v="0"/>
    <s v="Payments"/>
    <n v="2.9000000000000001E-2"/>
    <s v="Startup"/>
    <s v="High Value"/>
    <s v="Yes"/>
    <s v="No"/>
    <x v="2"/>
    <x v="3"/>
    <s v="EMEAQ1"/>
    <n v="133000"/>
  </r>
  <r>
    <s v="TXN-100897"/>
    <d v="2024-09-30T00:00:00"/>
    <x v="9"/>
    <s v="SVC-05"/>
    <n v="438.64"/>
    <x v="0"/>
    <s v="Debit Card"/>
    <m/>
    <x v="3"/>
    <s v="Philippines"/>
    <s v="T. Novak"/>
    <x v="3"/>
    <s v="Analytics"/>
    <n v="0"/>
    <s v="Startup"/>
    <s v="High Value"/>
    <s v="Yes"/>
    <s v="No"/>
    <x v="1"/>
    <x v="1"/>
    <s v="APACQ3"/>
    <n v="115500"/>
  </r>
  <r>
    <s v="TXN-100888"/>
    <d v="2024-11-05T00:00:00"/>
    <x v="64"/>
    <s v="SVC-06"/>
    <n v="265.95"/>
    <x v="0"/>
    <s v="Debit Card"/>
    <m/>
    <x v="1"/>
    <s v="United Kingdom"/>
    <s v="J. Reyes"/>
    <x v="4"/>
    <s v="Platform"/>
    <n v="0"/>
    <s v="SMB"/>
    <s v="High Value"/>
    <s v="Yes"/>
    <s v="Yes"/>
    <x v="2"/>
    <x v="2"/>
    <s v="EMEAQ4"/>
    <n v="161000"/>
  </r>
  <r>
    <s v="TXN-100728"/>
    <d v="2024-04-03T00:00:00"/>
    <x v="21"/>
    <s v="SVC-01"/>
    <n v="216.62"/>
    <x v="3"/>
    <s v="Credit Card"/>
    <s v="escalated to support"/>
    <x v="0"/>
    <s v="Australia"/>
    <s v="M. Santos"/>
    <x v="0"/>
    <s v="Payments"/>
    <n v="2.9000000000000001E-2"/>
    <s v="N/A"/>
    <s v="Standard"/>
    <s v="No"/>
    <s v="No"/>
    <x v="1"/>
    <x v="0"/>
    <s v="APACQ2"/>
    <n v="110000"/>
  </r>
  <r>
    <s v="TXN-100075"/>
    <d v="2024-06-22T00:00:00"/>
    <x v="71"/>
    <s v="SVC-02"/>
    <n v="892.25"/>
    <x v="0"/>
    <s v="Credit Card"/>
    <m/>
    <x v="1"/>
    <s v="United Kingdom"/>
    <s v="R. Patel"/>
    <x v="6"/>
    <s v="HR &amp; Payroll"/>
    <n v="0"/>
    <s v="SMB"/>
    <s v="High Value"/>
    <s v="Yes"/>
    <s v="Yes"/>
    <x v="2"/>
    <x v="0"/>
    <s v="EMEAQ2"/>
    <n v="140000"/>
  </r>
  <r>
    <s v="TXN-102008"/>
    <d v="2024-09-09T00:00:00"/>
    <x v="15"/>
    <s v="SVC-03"/>
    <n v="-618.82000000000005"/>
    <x v="2"/>
    <s v="Wire Transfer"/>
    <m/>
    <x v="0"/>
    <s v="USA"/>
    <s v="L. Chen"/>
    <x v="5"/>
    <s v="Billing"/>
    <n v="5.0000000000000001E-3"/>
    <s v="N/A"/>
    <s v="Refund"/>
    <s v="No"/>
    <s v="No"/>
    <x v="0"/>
    <x v="1"/>
    <s v="NAQ3"/>
    <n v="273000"/>
  </r>
  <r>
    <s v="TXN-100325"/>
    <d v="2024-07-13T00:00:00"/>
    <x v="38"/>
    <s v="SVC-02"/>
    <n v="290.73"/>
    <x v="0"/>
    <s v="Wire Transfer"/>
    <m/>
    <x v="0"/>
    <s v="Australia"/>
    <s v="A. Kim"/>
    <x v="6"/>
    <s v="HR &amp; Payroll"/>
    <n v="0"/>
    <s v="Enterprise"/>
    <s v="High Value"/>
    <s v="Yes"/>
    <s v="No"/>
    <x v="1"/>
    <x v="1"/>
    <s v="APACQ3"/>
    <n v="115500"/>
  </r>
  <r>
    <s v="TXN-100968"/>
    <d v="2024-12-27T00:00:00"/>
    <x v="52"/>
    <s v="SVC-02"/>
    <n v="285.62"/>
    <x v="1"/>
    <s v="ACH"/>
    <s v="VIP account"/>
    <x v="1"/>
    <s v="USA"/>
    <s v="M. Santos"/>
    <x v="6"/>
    <s v="HR &amp; Payroll"/>
    <n v="0"/>
    <s v="N/A"/>
    <s v="High Value"/>
    <s v="Yes"/>
    <s v="No"/>
    <x v="0"/>
    <x v="2"/>
    <s v="NAQ4"/>
    <n v="299000"/>
  </r>
  <r>
    <s v="TXN-101191"/>
    <d v="2024-10-28T00:00:00"/>
    <x v="97"/>
    <s v="SVC-01"/>
    <n v="961.22"/>
    <x v="3"/>
    <s v="Credit Card"/>
    <m/>
    <x v="0"/>
    <s v="United Kingdom"/>
    <s v="L. Chen"/>
    <x v="0"/>
    <s v="Payments"/>
    <n v="2.9000000000000001E-2"/>
    <s v="N/A"/>
    <s v="High Value"/>
    <s v="Yes"/>
    <s v="Yes"/>
    <x v="2"/>
    <x v="2"/>
    <s v="EMEAQ4"/>
    <n v="161000"/>
  </r>
  <r>
    <s v="TXN-100900"/>
    <d v="2024-07-13T00:00:00"/>
    <x v="40"/>
    <s v="SVC-07"/>
    <n v="517.48"/>
    <x v="0"/>
    <s v="ACH"/>
    <s v="VIP account"/>
    <x v="1"/>
    <s v="Philippines"/>
    <s v="M. Santos"/>
    <x v="7"/>
    <s v="Support"/>
    <n v="0"/>
    <s v="SMB"/>
    <s v="High Value"/>
    <s v="Yes"/>
    <s v="No"/>
    <x v="1"/>
    <x v="1"/>
    <s v="APACQ3"/>
    <n v="115500"/>
  </r>
  <r>
    <s v="TXN-102017"/>
    <d v="2024-11-01T00:00:00"/>
    <x v="127"/>
    <s v="SVC-06"/>
    <n v="330.76"/>
    <x v="0"/>
    <s v="Credit Card"/>
    <s v="callback requested"/>
    <x v="0"/>
    <s v="USA"/>
    <s v="R. Patel"/>
    <x v="4"/>
    <s v="Platform"/>
    <n v="0"/>
    <s v="Enterprise"/>
    <s v="High Value"/>
    <s v="Yes"/>
    <s v="Yes"/>
    <x v="0"/>
    <x v="2"/>
    <s v="NAQ4"/>
    <n v="299000"/>
  </r>
  <r>
    <s v="TXN-101178"/>
    <d v="2024-09-04T00:00:00"/>
    <x v="84"/>
    <s v="SVC-04"/>
    <n v="400.94"/>
    <x v="0"/>
    <s v="Debit Card"/>
    <m/>
    <x v="3"/>
    <s v="Singapore"/>
    <s v="T. Novak"/>
    <x v="2"/>
    <s v="Risk"/>
    <n v="1E-3"/>
    <s v="Startup"/>
    <s v="High Value"/>
    <s v="Yes"/>
    <s v="Yes"/>
    <x v="1"/>
    <x v="1"/>
    <s v="APACQ3"/>
    <n v="115500"/>
  </r>
  <r>
    <s v="TXN-101166"/>
    <d v="2024-04-01T00:00:00"/>
    <x v="115"/>
    <s v="SVC-02"/>
    <n v="-281.81"/>
    <x v="2"/>
    <s v="Debit Card"/>
    <s v="escalated to support"/>
    <x v="3"/>
    <s v="USA"/>
    <s v="L. Chen"/>
    <x v="6"/>
    <s v="HR &amp; Payroll"/>
    <n v="0"/>
    <s v="N/A"/>
    <s v="Refund"/>
    <s v="No"/>
    <s v="No"/>
    <x v="0"/>
    <x v="0"/>
    <s v="NAQ2"/>
    <n v="260000"/>
  </r>
  <r>
    <s v="TXN-101363"/>
    <d v="2024-02-25T00:00:00"/>
    <x v="53"/>
    <s v="SVC-01"/>
    <n v="882.47"/>
    <x v="0"/>
    <s v="Unknown"/>
    <s v="VIP account"/>
    <x v="0"/>
    <s v="Singapore"/>
    <s v="L. Chen"/>
    <x v="0"/>
    <s v="Payments"/>
    <n v="2.9000000000000001E-2"/>
    <s v="Enterprise"/>
    <s v="High Value"/>
    <s v="Yes"/>
    <s v="No"/>
    <x v="1"/>
    <x v="3"/>
    <s v="APACQ1"/>
    <n v="104500"/>
  </r>
  <r>
    <s v="TXN-101001"/>
    <d v="2024-06-10T00:00:00"/>
    <x v="119"/>
    <s v="SVC-01"/>
    <n v="134.38999999999999"/>
    <x v="0"/>
    <s v="Unknown"/>
    <m/>
    <x v="1"/>
    <s v="USA"/>
    <s v="R. Patel"/>
    <x v="0"/>
    <s v="Payments"/>
    <n v="2.9000000000000001E-2"/>
    <s v="SMB"/>
    <s v="Standard"/>
    <s v="No"/>
    <s v="No"/>
    <x v="0"/>
    <x v="0"/>
    <s v="NAQ2"/>
    <n v="260000"/>
  </r>
  <r>
    <s v="TXN-100304"/>
    <d v="2024-10-19T00:00:00"/>
    <x v="115"/>
    <s v="SVC-01"/>
    <n v="416.91"/>
    <x v="0"/>
    <s v="ACH"/>
    <m/>
    <x v="3"/>
    <s v="USA"/>
    <s v="L. Chen"/>
    <x v="0"/>
    <s v="Payments"/>
    <n v="2.9000000000000001E-2"/>
    <s v="Startup"/>
    <s v="Standard"/>
    <s v="Yes"/>
    <s v="Yes"/>
    <x v="0"/>
    <x v="2"/>
    <s v="NAQ4"/>
    <n v="299000"/>
  </r>
  <r>
    <s v="TXN-100390"/>
    <d v="2024-10-18T00:00:00"/>
    <x v="96"/>
    <s v="SVC-04"/>
    <n v="694.15"/>
    <x v="0"/>
    <s v="Credit Card"/>
    <s v="escalated to support"/>
    <x v="1"/>
    <s v="Philippines"/>
    <s v="A. Kim"/>
    <x v="2"/>
    <s v="Risk"/>
    <n v="1E-3"/>
    <s v="SMB"/>
    <s v="High Value"/>
    <s v="Yes"/>
    <s v="No"/>
    <x v="1"/>
    <x v="2"/>
    <s v="APACQ4"/>
    <n v="126500"/>
  </r>
  <r>
    <s v="TXN-101520"/>
    <d v="2024-09-08T00:00:00"/>
    <x v="99"/>
    <s v="SVC-05"/>
    <n v="224.5"/>
    <x v="0"/>
    <s v="Debit Card"/>
    <m/>
    <x v="1"/>
    <s v="Canada"/>
    <s v="R. Patel"/>
    <x v="3"/>
    <s v="Analytics"/>
    <n v="0"/>
    <s v="SMB"/>
    <s v="Standard"/>
    <s v="Yes"/>
    <s v="Yes"/>
    <x v="0"/>
    <x v="1"/>
    <s v="NAQ3"/>
    <n v="273000"/>
  </r>
  <r>
    <s v="TXN-102047"/>
    <d v="2024-07-16T00:00:00"/>
    <x v="122"/>
    <s v="SVC-01"/>
    <n v="549.07000000000005"/>
    <x v="0"/>
    <s v="Credit Card"/>
    <m/>
    <x v="3"/>
    <s v="United Kingdom"/>
    <s v="A. Kim"/>
    <x v="0"/>
    <s v="Payments"/>
    <n v="2.9000000000000001E-2"/>
    <s v="Startup"/>
    <s v="High Value"/>
    <s v="Yes"/>
    <s v="No"/>
    <x v="2"/>
    <x v="1"/>
    <s v="EMEAQ3"/>
    <n v="147000"/>
  </r>
  <r>
    <s v="TXN-101141"/>
    <d v="2024-05-01T00:00:00"/>
    <x v="53"/>
    <s v="SVC-03"/>
    <n v="291.3"/>
    <x v="0"/>
    <s v="Debit Card"/>
    <m/>
    <x v="0"/>
    <s v="Singapore"/>
    <s v="L. Chen"/>
    <x v="5"/>
    <s v="Billing"/>
    <n v="5.0000000000000001E-3"/>
    <s v="Enterprise"/>
    <s v="High Value"/>
    <s v="Yes"/>
    <s v="Yes"/>
    <x v="1"/>
    <x v="0"/>
    <s v="APACQ2"/>
    <n v="110000"/>
  </r>
  <r>
    <s v="TXN-102116"/>
    <d v="2024-01-14T00:00:00"/>
    <x v="16"/>
    <s v="SVC-04"/>
    <n v="646.67999999999995"/>
    <x v="0"/>
    <s v="ACH"/>
    <m/>
    <x v="1"/>
    <s v="Germany"/>
    <s v="R. Patel"/>
    <x v="2"/>
    <s v="Risk"/>
    <n v="1E-3"/>
    <s v="SMB"/>
    <s v="High Value"/>
    <s v="Yes"/>
    <s v="Yes"/>
    <x v="2"/>
    <x v="3"/>
    <s v="EMEAQ1"/>
    <n v="133000"/>
  </r>
  <r>
    <s v="TXN-101130"/>
    <d v="2024-06-28T00:00:00"/>
    <x v="71"/>
    <s v="SVC-01"/>
    <n v="145.18"/>
    <x v="0"/>
    <s v="Unknown"/>
    <m/>
    <x v="1"/>
    <s v="United Kingdom"/>
    <s v="R. Patel"/>
    <x v="0"/>
    <s v="Payments"/>
    <n v="2.9000000000000001E-2"/>
    <s v="SMB"/>
    <s v="Standard"/>
    <s v="No"/>
    <s v="No"/>
    <x v="2"/>
    <x v="0"/>
    <s v="EMEAQ2"/>
    <n v="140000"/>
  </r>
  <r>
    <s v="TXN-100477"/>
    <d v="2024-03-02T00:00:00"/>
    <x v="68"/>
    <s v="SVC-02"/>
    <n v="219.89"/>
    <x v="3"/>
    <s v="Wire Transfer"/>
    <s v="VIP account"/>
    <x v="1"/>
    <s v="USA"/>
    <s v="R. Patel"/>
    <x v="6"/>
    <s v="HR &amp; Payroll"/>
    <n v="0"/>
    <s v="N/A"/>
    <s v="Standard"/>
    <s v="Yes"/>
    <s v="No"/>
    <x v="0"/>
    <x v="3"/>
    <s v="NAQ1"/>
    <n v="247000"/>
  </r>
  <r>
    <s v="TXN-102470"/>
    <d v="2024-02-07T00:00:00"/>
    <x v="94"/>
    <s v="SVC-01"/>
    <n v="1113.8499999999999"/>
    <x v="3"/>
    <s v="Wire Transfer"/>
    <s v="VIP account"/>
    <x v="1"/>
    <s v="United Kingdom"/>
    <s v="L. Chen"/>
    <x v="0"/>
    <s v="Payments"/>
    <n v="2.9000000000000001E-2"/>
    <s v="N/A"/>
    <s v="High Value"/>
    <s v="Yes"/>
    <s v="No"/>
    <x v="2"/>
    <x v="3"/>
    <s v="EMEAQ1"/>
    <n v="133000"/>
  </r>
  <r>
    <s v="TXN-101217"/>
    <d v="2024-11-24T00:00:00"/>
    <x v="108"/>
    <s v="SVC-05"/>
    <n v="48.49"/>
    <x v="0"/>
    <s v="Wire Transfer"/>
    <m/>
    <x v="1"/>
    <s v="Germany"/>
    <s v="M. Santos"/>
    <x v="3"/>
    <s v="Analytics"/>
    <n v="0"/>
    <s v="SMB"/>
    <s v="Standard"/>
    <s v="Yes"/>
    <s v="Yes"/>
    <x v="2"/>
    <x v="2"/>
    <s v="EMEAQ4"/>
    <n v="161000"/>
  </r>
  <r>
    <s v="TXN-102200"/>
    <d v="2024-01-31T00:00:00"/>
    <x v="112"/>
    <s v="SVC-06"/>
    <n v="841.64"/>
    <x v="0"/>
    <s v="Credit Card"/>
    <s v="callback requested"/>
    <x v="1"/>
    <s v="USA"/>
    <s v="A. Kim"/>
    <x v="4"/>
    <s v="Platform"/>
    <n v="0"/>
    <s v="SMB"/>
    <s v="High Value"/>
    <s v="Yes"/>
    <s v="Yes"/>
    <x v="0"/>
    <x v="3"/>
    <s v="NAQ1"/>
    <n v="247000"/>
  </r>
  <r>
    <s v="TXN-100350"/>
    <d v="2024-06-24T00:00:00"/>
    <x v="56"/>
    <s v="SVC-01"/>
    <n v="-510.12"/>
    <x v="2"/>
    <s v="ACH"/>
    <s v="callback requested"/>
    <x v="0"/>
    <s v="Singapore"/>
    <s v="R. Patel"/>
    <x v="0"/>
    <s v="Payments"/>
    <n v="2.9000000000000001E-2"/>
    <s v="N/A"/>
    <s v="Refund"/>
    <s v="No"/>
    <s v="No"/>
    <x v="1"/>
    <x v="0"/>
    <s v="APACQ2"/>
    <n v="110000"/>
  </r>
  <r>
    <s v="TXN-100332"/>
    <d v="2024-03-11T00:00:00"/>
    <x v="10"/>
    <s v="SVC-01"/>
    <n v="394.9"/>
    <x v="0"/>
    <s v="Credit Card"/>
    <s v="callback requested"/>
    <x v="1"/>
    <s v="USA"/>
    <s v="T. Novak"/>
    <x v="0"/>
    <s v="Payments"/>
    <n v="2.9000000000000001E-2"/>
    <s v="SMB"/>
    <s v="Standard"/>
    <s v="Yes"/>
    <s v="No"/>
    <x v="0"/>
    <x v="3"/>
    <s v="NAQ1"/>
    <n v="247000"/>
  </r>
  <r>
    <s v="TXN-102464"/>
    <d v="2024-01-22T00:00:00"/>
    <x v="119"/>
    <s v="SVC-08"/>
    <n v="473.97"/>
    <x v="0"/>
    <s v="Wire Transfer"/>
    <m/>
    <x v="1"/>
    <s v="USA"/>
    <s v="R. Patel"/>
    <x v="1"/>
    <s v="Risk"/>
    <n v="2.5000000000000001E-3"/>
    <s v="SMB"/>
    <s v="High Value"/>
    <s v="Yes"/>
    <s v="No"/>
    <x v="0"/>
    <x v="3"/>
    <s v="NAQ1"/>
    <n v="247000"/>
  </r>
  <r>
    <s v="TXN-100109"/>
    <d v="2024-04-12T00:00:00"/>
    <x v="63"/>
    <s v="SVC-01"/>
    <n v="580.37"/>
    <x v="3"/>
    <s v="Credit Card"/>
    <m/>
    <x v="1"/>
    <s v="Philippines"/>
    <s v="T. Novak"/>
    <x v="0"/>
    <s v="Payments"/>
    <n v="2.9000000000000001E-2"/>
    <s v="N/A"/>
    <s v="High Value"/>
    <s v="Yes"/>
    <s v="Yes"/>
    <x v="1"/>
    <x v="0"/>
    <s v="APACQ2"/>
    <n v="110000"/>
  </r>
  <r>
    <s v="TXN-101253"/>
    <d v="2024-01-13T00:00:00"/>
    <x v="76"/>
    <s v="SVC-05"/>
    <n v="1183.01"/>
    <x v="0"/>
    <s v="Credit Card"/>
    <m/>
    <x v="3"/>
    <s v="United Kingdom"/>
    <s v="R. Patel"/>
    <x v="3"/>
    <s v="Analytics"/>
    <n v="0"/>
    <s v="Startup"/>
    <s v="High Value"/>
    <s v="Yes"/>
    <s v="Yes"/>
    <x v="2"/>
    <x v="3"/>
    <s v="EMEAQ1"/>
    <n v="133000"/>
  </r>
  <r>
    <s v="TXN-100580"/>
    <d v="2024-01-10T00:00:00"/>
    <x v="101"/>
    <s v="SVC-06"/>
    <n v="242.48"/>
    <x v="1"/>
    <s v="Credit Card"/>
    <m/>
    <x v="1"/>
    <s v="Canada"/>
    <s v="A. Kim"/>
    <x v="4"/>
    <s v="Platform"/>
    <n v="0"/>
    <s v="N/A"/>
    <s v="Standard"/>
    <s v="Yes"/>
    <s v="No"/>
    <x v="0"/>
    <x v="3"/>
    <s v="NAQ1"/>
    <n v="247000"/>
  </r>
  <r>
    <s v="TXN-100326"/>
    <d v="2024-05-18T00:00:00"/>
    <x v="34"/>
    <s v="SVC-05"/>
    <n v="504.12"/>
    <x v="0"/>
    <s v="Credit Card"/>
    <m/>
    <x v="1"/>
    <s v="Germany"/>
    <s v="M. Santos"/>
    <x v="3"/>
    <s v="Analytics"/>
    <n v="0"/>
    <s v="SMB"/>
    <s v="High Value"/>
    <s v="Yes"/>
    <s v="Yes"/>
    <x v="2"/>
    <x v="0"/>
    <s v="EMEAQ2"/>
    <n v="140000"/>
  </r>
  <r>
    <s v="TXN-101558"/>
    <d v="2024-02-03T00:00:00"/>
    <x v="133"/>
    <s v="SVC-05"/>
    <n v="381.73"/>
    <x v="0"/>
    <s v="Credit Card"/>
    <m/>
    <x v="1"/>
    <s v="Canada"/>
    <s v="R. Patel"/>
    <x v="3"/>
    <s v="Analytics"/>
    <n v="0"/>
    <s v="SMB"/>
    <s v="High Value"/>
    <s v="Yes"/>
    <s v="Yes"/>
    <x v="0"/>
    <x v="3"/>
    <s v="NAQ1"/>
    <n v="247000"/>
  </r>
  <r>
    <s v="TXN-101935"/>
    <d v="2024-08-11T00:00:00"/>
    <x v="61"/>
    <s v="SVC-08"/>
    <n v="309.61"/>
    <x v="0"/>
    <s v="Credit Card"/>
    <s v="callback requested"/>
    <x v="1"/>
    <s v="Australia"/>
    <s v="M. Santos"/>
    <x v="1"/>
    <s v="Risk"/>
    <n v="2.5000000000000001E-3"/>
    <s v="SMB"/>
    <s v="High Value"/>
    <s v="Yes"/>
    <s v="Yes"/>
    <x v="1"/>
    <x v="1"/>
    <s v="APACQ3"/>
    <n v="115500"/>
  </r>
  <r>
    <s v="TXN-101051"/>
    <d v="2024-06-14T00:00:00"/>
    <x v="38"/>
    <s v="SVC-01"/>
    <n v="313.95"/>
    <x v="0"/>
    <s v="ACH"/>
    <m/>
    <x v="0"/>
    <s v="Australia"/>
    <s v="A. Kim"/>
    <x v="0"/>
    <s v="Payments"/>
    <n v="2.9000000000000001E-2"/>
    <s v="Enterprise"/>
    <s v="Standard"/>
    <s v="Yes"/>
    <s v="No"/>
    <x v="1"/>
    <x v="0"/>
    <s v="APACQ2"/>
    <n v="110000"/>
  </r>
  <r>
    <s v="TXN-101445"/>
    <d v="2024-09-07T00:00:00"/>
    <x v="16"/>
    <s v="SVC-03"/>
    <n v="378.76"/>
    <x v="0"/>
    <s v="Credit Card"/>
    <s v="escalated to support"/>
    <x v="1"/>
    <s v="Germany"/>
    <s v="R. Patel"/>
    <x v="5"/>
    <s v="Billing"/>
    <n v="5.0000000000000001E-3"/>
    <s v="SMB"/>
    <s v="High Value"/>
    <s v="Yes"/>
    <s v="Yes"/>
    <x v="2"/>
    <x v="1"/>
    <s v="EMEAQ3"/>
    <n v="147000"/>
  </r>
  <r>
    <s v="TXN-102188"/>
    <d v="2024-09-27T00:00:00"/>
    <x v="120"/>
    <s v="SVC-06"/>
    <n v="514.80999999999995"/>
    <x v="0"/>
    <s v="Debit Card"/>
    <m/>
    <x v="3"/>
    <s v="Australia"/>
    <s v="M. Santos"/>
    <x v="4"/>
    <s v="Platform"/>
    <n v="0"/>
    <s v="Startup"/>
    <s v="High Value"/>
    <s v="Yes"/>
    <s v="No"/>
    <x v="1"/>
    <x v="1"/>
    <s v="APACQ3"/>
    <n v="115500"/>
  </r>
  <r>
    <s v="TXN-101839"/>
    <d v="2024-04-12T00:00:00"/>
    <x v="111"/>
    <s v="SVC-03"/>
    <n v="1244.9100000000001"/>
    <x v="3"/>
    <s v="Wire Transfer"/>
    <m/>
    <x v="1"/>
    <s v="Australia"/>
    <s v="A. Kim"/>
    <x v="5"/>
    <s v="Billing"/>
    <n v="5.0000000000000001E-3"/>
    <s v="N/A"/>
    <s v="High Value"/>
    <s v="Yes"/>
    <s v="No"/>
    <x v="1"/>
    <x v="0"/>
    <s v="APACQ2"/>
    <n v="110000"/>
  </r>
  <r>
    <s v="TXN-100624"/>
    <d v="2024-03-30T00:00:00"/>
    <x v="85"/>
    <s v="SVC-01"/>
    <n v="310.83999999999997"/>
    <x v="3"/>
    <s v="Wire Transfer"/>
    <m/>
    <x v="0"/>
    <s v="Canada"/>
    <s v="T. Novak"/>
    <x v="0"/>
    <s v="Payments"/>
    <n v="2.9000000000000001E-2"/>
    <s v="N/A"/>
    <s v="Standard"/>
    <s v="Yes"/>
    <s v="Yes"/>
    <x v="0"/>
    <x v="3"/>
    <s v="NAQ1"/>
    <n v="247000"/>
  </r>
  <r>
    <s v="TXN-100551"/>
    <d v="2024-06-25T00:00:00"/>
    <x v="68"/>
    <s v="SVC-05"/>
    <n v="-586.28"/>
    <x v="2"/>
    <s v="Credit Card"/>
    <s v="VIP account"/>
    <x v="1"/>
    <s v="USA"/>
    <s v="R. Patel"/>
    <x v="3"/>
    <s v="Analytics"/>
    <n v="0"/>
    <s v="N/A"/>
    <s v="Refund"/>
    <s v="No"/>
    <s v="No"/>
    <x v="0"/>
    <x v="0"/>
    <s v="NAQ2"/>
    <n v="260000"/>
  </r>
  <r>
    <s v="TXN-100732"/>
    <d v="2024-02-14T00:00:00"/>
    <x v="78"/>
    <s v="SVC-06"/>
    <n v="502.28"/>
    <x v="0"/>
    <s v="ACH"/>
    <m/>
    <x v="1"/>
    <s v="USA"/>
    <s v="L. Chen"/>
    <x v="4"/>
    <s v="Platform"/>
    <n v="0"/>
    <s v="SMB"/>
    <s v="High Value"/>
    <s v="Yes"/>
    <s v="Yes"/>
    <x v="0"/>
    <x v="3"/>
    <s v="NAQ1"/>
    <n v="247000"/>
  </r>
  <r>
    <s v="TXN-101354"/>
    <d v="2024-04-09T00:00:00"/>
    <x v="83"/>
    <s v="SVC-02"/>
    <n v="108.73"/>
    <x v="0"/>
    <s v="ACH"/>
    <m/>
    <x v="1"/>
    <s v="Canada"/>
    <s v="L. Chen"/>
    <x v="6"/>
    <s v="HR &amp; Payroll"/>
    <n v="0"/>
    <s v="SMB"/>
    <s v="Standard"/>
    <s v="Yes"/>
    <s v="No"/>
    <x v="0"/>
    <x v="0"/>
    <s v="NAQ2"/>
    <n v="260000"/>
  </r>
  <r>
    <s v="TXN-101548"/>
    <d v="2024-02-19T00:00:00"/>
    <x v="118"/>
    <s v="SVC-01"/>
    <n v="325.99"/>
    <x v="1"/>
    <s v="ACH"/>
    <s v="escalated to support"/>
    <x v="1"/>
    <s v="USA"/>
    <s v="L. Chen"/>
    <x v="0"/>
    <s v="Payments"/>
    <n v="2.9000000000000001E-2"/>
    <s v="N/A"/>
    <s v="Standard"/>
    <s v="Yes"/>
    <s v="No"/>
    <x v="0"/>
    <x v="3"/>
    <s v="NAQ1"/>
    <n v="247000"/>
  </r>
  <r>
    <s v="TXN-100657"/>
    <d v="2024-09-09T00:00:00"/>
    <x v="15"/>
    <s v="SVC-01"/>
    <n v="394.14"/>
    <x v="0"/>
    <s v="Credit Card"/>
    <m/>
    <x v="0"/>
    <s v="USA"/>
    <s v="L. Chen"/>
    <x v="0"/>
    <s v="Payments"/>
    <n v="2.9000000000000001E-2"/>
    <s v="Enterprise"/>
    <s v="Standard"/>
    <s v="Yes"/>
    <s v="No"/>
    <x v="0"/>
    <x v="1"/>
    <s v="NAQ3"/>
    <n v="273000"/>
  </r>
  <r>
    <s v="TXN-100564"/>
    <d v="2024-02-09T00:00:00"/>
    <x v="93"/>
    <s v="SVC-01"/>
    <n v="513.94000000000005"/>
    <x v="3"/>
    <s v="ACH"/>
    <m/>
    <x v="1"/>
    <s v="Philippines"/>
    <s v="J. Reyes"/>
    <x v="0"/>
    <s v="Payments"/>
    <n v="2.9000000000000001E-2"/>
    <s v="N/A"/>
    <s v="High Value"/>
    <s v="Yes"/>
    <s v="No"/>
    <x v="1"/>
    <x v="3"/>
    <s v="APACQ1"/>
    <n v="104500"/>
  </r>
  <r>
    <s v="TXN-101319"/>
    <d v="2024-10-21T00:00:00"/>
    <x v="122"/>
    <s v="SVC-01"/>
    <n v="429.24"/>
    <x v="0"/>
    <s v="Wire Transfer"/>
    <s v="callback requested"/>
    <x v="3"/>
    <s v="United Kingdom"/>
    <s v="A. Kim"/>
    <x v="0"/>
    <s v="Payments"/>
    <n v="2.9000000000000001E-2"/>
    <s v="Startup"/>
    <s v="Standard"/>
    <s v="Yes"/>
    <s v="No"/>
    <x v="2"/>
    <x v="2"/>
    <s v="EMEAQ4"/>
    <n v="161000"/>
  </r>
  <r>
    <s v="TXN-101881"/>
    <d v="2024-08-04T00:00:00"/>
    <x v="122"/>
    <s v="SVC-03"/>
    <n v="665.74"/>
    <x v="0"/>
    <s v="Debit Card"/>
    <s v="VIP account"/>
    <x v="3"/>
    <s v="United Kingdom"/>
    <s v="A. Kim"/>
    <x v="5"/>
    <s v="Billing"/>
    <n v="5.0000000000000001E-3"/>
    <s v="Startup"/>
    <s v="High Value"/>
    <s v="Yes"/>
    <s v="No"/>
    <x v="2"/>
    <x v="1"/>
    <s v="EMEAQ3"/>
    <n v="147000"/>
  </r>
  <r>
    <s v="TXN-102007"/>
    <d v="2024-06-24T00:00:00"/>
    <x v="121"/>
    <s v="SVC-05"/>
    <n v="-603.88"/>
    <x v="2"/>
    <s v="Credit Card"/>
    <s v="escalated to support"/>
    <x v="0"/>
    <s v="USA"/>
    <s v="J. Reyes"/>
    <x v="3"/>
    <s v="Analytics"/>
    <n v="0"/>
    <s v="N/A"/>
    <s v="Refund"/>
    <s v="No"/>
    <s v="Yes"/>
    <x v="0"/>
    <x v="0"/>
    <s v="NAQ2"/>
    <n v="260000"/>
  </r>
  <r>
    <s v="TXN-100405"/>
    <d v="2024-07-22T00:00:00"/>
    <x v="111"/>
    <s v="SVC-08"/>
    <n v="739.19"/>
    <x v="0"/>
    <s v="Debit Card"/>
    <s v="callback requested"/>
    <x v="1"/>
    <s v="Australia"/>
    <s v="A. Kim"/>
    <x v="1"/>
    <s v="Risk"/>
    <n v="2.5000000000000001E-3"/>
    <s v="SMB"/>
    <s v="High Value"/>
    <s v="Yes"/>
    <s v="Yes"/>
    <x v="1"/>
    <x v="1"/>
    <s v="APACQ3"/>
    <n v="115500"/>
  </r>
  <r>
    <s v="TXN-100088"/>
    <d v="2024-11-28T00:00:00"/>
    <x v="34"/>
    <s v="SVC-07"/>
    <n v="440.99"/>
    <x v="0"/>
    <s v="ACH"/>
    <s v="callback requested"/>
    <x v="1"/>
    <s v="Germany"/>
    <s v="M. Santos"/>
    <x v="7"/>
    <s v="Support"/>
    <n v="0"/>
    <s v="SMB"/>
    <s v="High Value"/>
    <s v="Yes"/>
    <s v="No"/>
    <x v="2"/>
    <x v="2"/>
    <s v="EMEAQ4"/>
    <n v="161000"/>
  </r>
  <r>
    <s v="TXN-100837"/>
    <d v="2024-02-23T00:00:00"/>
    <x v="67"/>
    <s v="SVC-01"/>
    <n v="588.21"/>
    <x v="0"/>
    <s v="Debit Card"/>
    <s v="VIP account"/>
    <x v="3"/>
    <s v="Australia"/>
    <s v="Unassigned"/>
    <x v="0"/>
    <s v="Payments"/>
    <n v="2.9000000000000001E-2"/>
    <s v="Startup"/>
    <s v="High Value"/>
    <s v="Yes"/>
    <s v="No"/>
    <x v="1"/>
    <x v="3"/>
    <s v="APACQ1"/>
    <n v="104500"/>
  </r>
  <r>
    <s v="TXN-102335"/>
    <d v="2024-08-13T00:00:00"/>
    <x v="63"/>
    <s v="SVC-07"/>
    <n v="641.88"/>
    <x v="0"/>
    <s v="Credit Card"/>
    <m/>
    <x v="1"/>
    <s v="Philippines"/>
    <s v="T. Novak"/>
    <x v="7"/>
    <s v="Support"/>
    <n v="0"/>
    <s v="SMB"/>
    <s v="High Value"/>
    <s v="Yes"/>
    <s v="Yes"/>
    <x v="1"/>
    <x v="1"/>
    <s v="APACQ3"/>
    <n v="115500"/>
  </r>
  <r>
    <s v="TXN-101690"/>
    <d v="2024-02-02T00:00:00"/>
    <x v="57"/>
    <s v="SVC-03"/>
    <n v="186.49"/>
    <x v="0"/>
    <s v="Wire Transfer"/>
    <m/>
    <x v="1"/>
    <s v="USA"/>
    <s v="L. Chen"/>
    <x v="5"/>
    <s v="Billing"/>
    <n v="5.0000000000000001E-3"/>
    <s v="SMB"/>
    <s v="Standard"/>
    <s v="Yes"/>
    <s v="No"/>
    <x v="0"/>
    <x v="3"/>
    <s v="NAQ1"/>
    <n v="247000"/>
  </r>
  <r>
    <s v="TXN-100200"/>
    <d v="2024-06-30T00:00:00"/>
    <x v="56"/>
    <s v="SVC-05"/>
    <n v="458.57"/>
    <x v="0"/>
    <s v="Credit Card"/>
    <s v="escalated to support"/>
    <x v="0"/>
    <s v="Singapore"/>
    <s v="R. Patel"/>
    <x v="3"/>
    <s v="Analytics"/>
    <n v="0"/>
    <s v="Enterprise"/>
    <s v="High Value"/>
    <s v="Yes"/>
    <s v="No"/>
    <x v="1"/>
    <x v="0"/>
    <s v="APACQ2"/>
    <n v="110000"/>
  </r>
  <r>
    <s v="TXN-101835"/>
    <d v="2024-02-21T00:00:00"/>
    <x v="121"/>
    <s v="SVC-03"/>
    <n v="760.42"/>
    <x v="0"/>
    <s v="Debit Card"/>
    <s v="callback requested"/>
    <x v="0"/>
    <s v="USA"/>
    <s v="J. Reyes"/>
    <x v="5"/>
    <s v="Billing"/>
    <n v="5.0000000000000001E-3"/>
    <s v="Enterprise"/>
    <s v="High Value"/>
    <s v="Yes"/>
    <s v="No"/>
    <x v="0"/>
    <x v="3"/>
    <s v="NAQ1"/>
    <n v="247000"/>
  </r>
  <r>
    <s v="TXN-101158"/>
    <d v="2024-02-11T00:00:00"/>
    <x v="116"/>
    <s v="SVC-02"/>
    <n v="413.96"/>
    <x v="0"/>
    <s v="ACH"/>
    <s v="callback requested"/>
    <x v="1"/>
    <s v="USA"/>
    <s v="J. Reyes"/>
    <x v="6"/>
    <s v="HR &amp; Payroll"/>
    <n v="0"/>
    <s v="SMB"/>
    <s v="High Value"/>
    <s v="Yes"/>
    <s v="Yes"/>
    <x v="0"/>
    <x v="3"/>
    <s v="NAQ1"/>
    <n v="247000"/>
  </r>
  <r>
    <s v="TXN-101818"/>
    <d v="2024-07-14T00:00:00"/>
    <x v="30"/>
    <s v="SVC-01"/>
    <n v="194.12"/>
    <x v="0"/>
    <s v="ACH"/>
    <m/>
    <x v="1"/>
    <s v="Germany"/>
    <s v="M. Santos"/>
    <x v="0"/>
    <s v="Payments"/>
    <n v="2.9000000000000001E-2"/>
    <s v="SMB"/>
    <s v="Standard"/>
    <s v="No"/>
    <s v="Yes"/>
    <x v="2"/>
    <x v="1"/>
    <s v="EMEAQ3"/>
    <n v="147000"/>
  </r>
  <r>
    <s v="TXN-101589"/>
    <d v="2024-12-23T00:00:00"/>
    <x v="48"/>
    <s v="SVC-08"/>
    <n v="229.03"/>
    <x v="0"/>
    <s v="Wire Transfer"/>
    <s v="callback requested"/>
    <x v="1"/>
    <s v="Germany"/>
    <s v="J. Reyes"/>
    <x v="1"/>
    <s v="Risk"/>
    <n v="2.5000000000000001E-3"/>
    <s v="SMB"/>
    <s v="Standard"/>
    <s v="Yes"/>
    <s v="No"/>
    <x v="2"/>
    <x v="2"/>
    <s v="EMEAQ4"/>
    <n v="161000"/>
  </r>
  <r>
    <s v="TXN-101100"/>
    <d v="2024-01-01T00:00:00"/>
    <x v="92"/>
    <s v="SVC-01"/>
    <n v="340.02"/>
    <x v="0"/>
    <s v="Credit Card"/>
    <m/>
    <x v="1"/>
    <s v="Canada"/>
    <s v="R. Patel"/>
    <x v="0"/>
    <s v="Payments"/>
    <n v="2.9000000000000001E-2"/>
    <s v="SMB"/>
    <s v="Standard"/>
    <s v="Yes"/>
    <s v="No"/>
    <x v="0"/>
    <x v="3"/>
    <s v="NAQ1"/>
    <n v="247000"/>
  </r>
  <r>
    <s v="TXN-101623"/>
    <d v="2024-03-23T00:00:00"/>
    <x v="50"/>
    <s v="SVC-01"/>
    <n v="843.96"/>
    <x v="0"/>
    <s v="ACH"/>
    <s v="escalated to support"/>
    <x v="1"/>
    <s v="USA"/>
    <s v="M. Santos"/>
    <x v="0"/>
    <s v="Payments"/>
    <n v="2.9000000000000001E-2"/>
    <s v="SMB"/>
    <s v="High Value"/>
    <s v="Yes"/>
    <s v="No"/>
    <x v="0"/>
    <x v="3"/>
    <s v="NAQ1"/>
    <n v="247000"/>
  </r>
  <r>
    <s v="TXN-101780"/>
    <d v="2024-11-25T00:00:00"/>
    <x v="97"/>
    <s v="SVC-05"/>
    <n v="680.51"/>
    <x v="3"/>
    <s v="Debit Card"/>
    <m/>
    <x v="0"/>
    <s v="United Kingdom"/>
    <s v="L. Chen"/>
    <x v="3"/>
    <s v="Analytics"/>
    <n v="0"/>
    <s v="N/A"/>
    <s v="High Value"/>
    <s v="Yes"/>
    <s v="Yes"/>
    <x v="2"/>
    <x v="2"/>
    <s v="EMEAQ4"/>
    <n v="161000"/>
  </r>
  <r>
    <s v="TXN-101823"/>
    <d v="2024-10-29T00:00:00"/>
    <x v="91"/>
    <s v="SVC-07"/>
    <n v="398.01"/>
    <x v="0"/>
    <s v="Unknown"/>
    <m/>
    <x v="1"/>
    <s v="Singapore"/>
    <s v="A. Kim"/>
    <x v="7"/>
    <s v="Support"/>
    <n v="0"/>
    <s v="SMB"/>
    <s v="High Value"/>
    <s v="Yes"/>
    <s v="Yes"/>
    <x v="1"/>
    <x v="2"/>
    <s v="APACQ4"/>
    <n v="126500"/>
  </r>
  <r>
    <s v="TXN-102511"/>
    <d v="2024-08-17T00:00:00"/>
    <x v="122"/>
    <s v="SVC-01"/>
    <n v="261.47000000000003"/>
    <x v="0"/>
    <s v="Credit Card"/>
    <m/>
    <x v="3"/>
    <s v="United Kingdom"/>
    <s v="A. Kim"/>
    <x v="0"/>
    <s v="Payments"/>
    <n v="2.9000000000000001E-2"/>
    <s v="Startup"/>
    <s v="Standard"/>
    <s v="No"/>
    <s v="No"/>
    <x v="2"/>
    <x v="1"/>
    <s v="EMEAQ3"/>
    <n v="147000"/>
  </r>
  <r>
    <s v="TXN-101391"/>
    <d v="2024-09-27T00:00:00"/>
    <x v="82"/>
    <s v="SVC-08"/>
    <n v="911.17"/>
    <x v="0"/>
    <s v="Credit Card"/>
    <s v="VIP account"/>
    <x v="1"/>
    <s v="USA"/>
    <s v="T. Novak"/>
    <x v="1"/>
    <s v="Risk"/>
    <n v="2.5000000000000001E-3"/>
    <s v="SMB"/>
    <s v="High Value"/>
    <s v="Yes"/>
    <s v="No"/>
    <x v="0"/>
    <x v="1"/>
    <s v="NAQ3"/>
    <n v="273000"/>
  </r>
  <r>
    <s v="TXN-101454"/>
    <d v="2024-05-08T00:00:00"/>
    <x v="85"/>
    <s v="SVC-01"/>
    <n v="343.12"/>
    <x v="3"/>
    <s v="Credit Card"/>
    <s v="escalated to support"/>
    <x v="0"/>
    <s v="Canada"/>
    <s v="T. Novak"/>
    <x v="0"/>
    <s v="Payments"/>
    <n v="2.9000000000000001E-2"/>
    <s v="N/A"/>
    <s v="Standard"/>
    <s v="Yes"/>
    <s v="No"/>
    <x v="0"/>
    <x v="0"/>
    <s v="NAQ2"/>
    <n v="260000"/>
  </r>
  <r>
    <s v="TXN-100189"/>
    <d v="2024-04-05T00:00:00"/>
    <x v="35"/>
    <s v="SVC-01"/>
    <n v="356.52"/>
    <x v="0"/>
    <s v="Credit Card"/>
    <m/>
    <x v="3"/>
    <s v="Philippines"/>
    <s v="R. Patel"/>
    <x v="0"/>
    <s v="Payments"/>
    <n v="2.9000000000000001E-2"/>
    <s v="Startup"/>
    <s v="Standard"/>
    <s v="Yes"/>
    <s v="No"/>
    <x v="1"/>
    <x v="0"/>
    <s v="APACQ2"/>
    <n v="110000"/>
  </r>
  <r>
    <s v="TXN-102411"/>
    <d v="2024-09-19T00:00:00"/>
    <x v="70"/>
    <s v="SVC-01"/>
    <n v="612.08000000000004"/>
    <x v="0"/>
    <s v="Debit Card"/>
    <m/>
    <x v="3"/>
    <s v="Singapore"/>
    <s v="A. Kim"/>
    <x v="0"/>
    <s v="Payments"/>
    <n v="2.9000000000000001E-2"/>
    <s v="Startup"/>
    <s v="High Value"/>
    <s v="Yes"/>
    <s v="No"/>
    <x v="1"/>
    <x v="1"/>
    <s v="APACQ3"/>
    <n v="115500"/>
  </r>
  <r>
    <s v="TXN-102512"/>
    <d v="2024-12-23T00:00:00"/>
    <x v="110"/>
    <s v="SVC-08"/>
    <n v="538.32000000000005"/>
    <x v="0"/>
    <s v="Wire Transfer"/>
    <s v="VIP account"/>
    <x v="0"/>
    <s v="USA"/>
    <s v="A. Kim"/>
    <x v="1"/>
    <s v="Risk"/>
    <n v="2.5000000000000001E-3"/>
    <s v="Enterprise"/>
    <s v="High Value"/>
    <s v="Yes"/>
    <s v="No"/>
    <x v="0"/>
    <x v="2"/>
    <s v="NAQ4"/>
    <n v="299000"/>
  </r>
  <r>
    <s v="TXN-102309"/>
    <d v="2024-02-26T00:00:00"/>
    <x v="37"/>
    <s v="SVC-06"/>
    <n v="275.27"/>
    <x v="0"/>
    <s v="Debit Card"/>
    <s v="callback requested"/>
    <x v="1"/>
    <s v="Canada"/>
    <s v="T. Novak"/>
    <x v="4"/>
    <s v="Platform"/>
    <n v="0"/>
    <s v="SMB"/>
    <s v="High Value"/>
    <s v="Yes"/>
    <s v="Yes"/>
    <x v="0"/>
    <x v="3"/>
    <s v="NAQ1"/>
    <n v="247000"/>
  </r>
  <r>
    <s v="TXN-102450"/>
    <d v="2024-08-23T00:00:00"/>
    <x v="119"/>
    <s v="SVC-01"/>
    <n v="206.34"/>
    <x v="0"/>
    <s v="ACH"/>
    <m/>
    <x v="1"/>
    <s v="USA"/>
    <s v="R. Patel"/>
    <x v="0"/>
    <s v="Payments"/>
    <n v="2.9000000000000001E-2"/>
    <s v="SMB"/>
    <s v="Standard"/>
    <s v="No"/>
    <s v="No"/>
    <x v="0"/>
    <x v="1"/>
    <s v="NAQ3"/>
    <n v="273000"/>
  </r>
  <r>
    <s v="TXN-100471"/>
    <d v="2024-10-08T00:00:00"/>
    <x v="60"/>
    <s v="SVC-02"/>
    <n v="895.26"/>
    <x v="1"/>
    <s v="Unknown"/>
    <s v="callback requested"/>
    <x v="1"/>
    <s v="Australia"/>
    <s v="J. Reyes"/>
    <x v="6"/>
    <s v="HR &amp; Payroll"/>
    <n v="0"/>
    <s v="N/A"/>
    <s v="High Value"/>
    <s v="Yes"/>
    <s v="Yes"/>
    <x v="1"/>
    <x v="2"/>
    <s v="APACQ4"/>
    <n v="126500"/>
  </r>
  <r>
    <s v="TXN-102239"/>
    <d v="2024-07-26T00:00:00"/>
    <x v="79"/>
    <s v="SVC-03"/>
    <n v="-446.81"/>
    <x v="2"/>
    <s v="Wire Transfer"/>
    <s v="VIP account"/>
    <x v="3"/>
    <s v="USA"/>
    <s v="T. Novak"/>
    <x v="5"/>
    <s v="Billing"/>
    <n v="5.0000000000000001E-3"/>
    <s v="N/A"/>
    <s v="Refund"/>
    <s v="No"/>
    <s v="No"/>
    <x v="0"/>
    <x v="1"/>
    <s v="NAQ3"/>
    <n v="273000"/>
  </r>
  <r>
    <s v="TXN-101088"/>
    <d v="2024-06-29T00:00:00"/>
    <x v="73"/>
    <s v="SVC-01"/>
    <n v="578.96"/>
    <x v="0"/>
    <s v="ACH"/>
    <m/>
    <x v="1"/>
    <s v="United Kingdom"/>
    <s v="R. Patel"/>
    <x v="0"/>
    <s v="Payments"/>
    <n v="2.9000000000000001E-2"/>
    <s v="SMB"/>
    <s v="High Value"/>
    <s v="Yes"/>
    <s v="No"/>
    <x v="2"/>
    <x v="0"/>
    <s v="EMEAQ2"/>
    <n v="140000"/>
  </r>
  <r>
    <s v="TXN-101045"/>
    <d v="2024-04-22T00:00:00"/>
    <x v="11"/>
    <s v="SVC-02"/>
    <n v="355.49"/>
    <x v="0"/>
    <s v="ACH"/>
    <m/>
    <x v="0"/>
    <s v="United Kingdom"/>
    <s v="L. Chen"/>
    <x v="6"/>
    <s v="HR &amp; Payroll"/>
    <n v="0"/>
    <s v="Enterprise"/>
    <s v="High Value"/>
    <s v="Yes"/>
    <s v="No"/>
    <x v="2"/>
    <x v="0"/>
    <s v="EMEAQ2"/>
    <n v="140000"/>
  </r>
  <r>
    <s v="TXN-101961"/>
    <d v="2024-11-13T00:00:00"/>
    <x v="103"/>
    <s v="SVC-02"/>
    <n v="598.96"/>
    <x v="0"/>
    <s v="Debit Card"/>
    <m/>
    <x v="1"/>
    <s v="United Kingdom"/>
    <s v="R. Patel"/>
    <x v="6"/>
    <s v="HR &amp; Payroll"/>
    <n v="0"/>
    <s v="SMB"/>
    <s v="High Value"/>
    <s v="Yes"/>
    <s v="No"/>
    <x v="2"/>
    <x v="2"/>
    <s v="EMEAQ4"/>
    <n v="161000"/>
  </r>
  <r>
    <s v="TXN-101188"/>
    <d v="2024-09-26T00:00:00"/>
    <x v="107"/>
    <s v="SVC-07"/>
    <n v="596.82000000000005"/>
    <x v="0"/>
    <s v="Credit Card"/>
    <m/>
    <x v="1"/>
    <s v="USA"/>
    <s v="M. Santos"/>
    <x v="7"/>
    <s v="Support"/>
    <n v="0"/>
    <s v="SMB"/>
    <s v="High Value"/>
    <s v="Yes"/>
    <s v="Yes"/>
    <x v="0"/>
    <x v="1"/>
    <s v="NAQ3"/>
    <n v="273000"/>
  </r>
  <r>
    <s v="TXN-102100"/>
    <d v="2024-02-21T00:00:00"/>
    <x v="25"/>
    <s v="SVC-06"/>
    <n v="309.69"/>
    <x v="0"/>
    <s v="ACH"/>
    <s v="VIP account"/>
    <x v="0"/>
    <s v="USA"/>
    <s v="A. Kim"/>
    <x v="4"/>
    <s v="Platform"/>
    <n v="0"/>
    <s v="Enterprise"/>
    <s v="High Value"/>
    <s v="Yes"/>
    <s v="Yes"/>
    <x v="0"/>
    <x v="3"/>
    <s v="NAQ1"/>
    <n v="247000"/>
  </r>
  <r>
    <s v="TXN-101137"/>
    <d v="2024-07-13T00:00:00"/>
    <x v="4"/>
    <s v="SVC-01"/>
    <n v="539.84"/>
    <x v="0"/>
    <s v="ACH"/>
    <m/>
    <x v="2"/>
    <m/>
    <m/>
    <x v="0"/>
    <s v="Payments"/>
    <n v="2.9000000000000001E-2"/>
    <s v="Customer Not Found"/>
    <s v="High Value"/>
    <s v="Yes"/>
    <s v="No"/>
    <x v="1"/>
    <x v="1"/>
    <s v="APACQ3"/>
    <n v="115500"/>
  </r>
  <r>
    <s v="TXN-102555"/>
    <d v="2024-06-19T00:00:00"/>
    <x v="11"/>
    <s v="SVC-04"/>
    <n v="326.57"/>
    <x v="0"/>
    <s v="Debit Card"/>
    <m/>
    <x v="0"/>
    <s v="United Kingdom"/>
    <s v="L. Chen"/>
    <x v="2"/>
    <s v="Risk"/>
    <n v="1E-3"/>
    <s v="Enterprise"/>
    <s v="High Value"/>
    <s v="Yes"/>
    <s v="No"/>
    <x v="2"/>
    <x v="0"/>
    <s v="EMEAQ2"/>
    <n v="140000"/>
  </r>
  <r>
    <s v="TXN-100942"/>
    <d v="2024-01-05T00:00:00"/>
    <x v="127"/>
    <s v="SVC-02"/>
    <n v="553.53"/>
    <x v="0"/>
    <s v="ACH"/>
    <s v="VIP account"/>
    <x v="0"/>
    <s v="USA"/>
    <s v="R. Patel"/>
    <x v="6"/>
    <s v="HR &amp; Payroll"/>
    <n v="0"/>
    <s v="Enterprise"/>
    <s v="High Value"/>
    <s v="Yes"/>
    <s v="Yes"/>
    <x v="0"/>
    <x v="3"/>
    <s v="NAQ1"/>
    <n v="247000"/>
  </r>
  <r>
    <s v="TXN-101880"/>
    <d v="2024-12-17T00:00:00"/>
    <x v="105"/>
    <s v="SVC-01"/>
    <n v="258.85000000000002"/>
    <x v="3"/>
    <s v="ACH"/>
    <s v="callback requested"/>
    <x v="3"/>
    <s v="Philippines"/>
    <s v="T. Novak"/>
    <x v="0"/>
    <s v="Payments"/>
    <n v="2.9000000000000001E-2"/>
    <s v="N/A"/>
    <s v="Standard"/>
    <s v="No"/>
    <s v="No"/>
    <x v="1"/>
    <x v="2"/>
    <s v="APACQ4"/>
    <n v="126500"/>
  </r>
  <r>
    <s v="TXN-102381"/>
    <d v="2024-01-24T00:00:00"/>
    <x v="12"/>
    <s v="SVC-01"/>
    <n v="109.18"/>
    <x v="3"/>
    <s v="Debit Card"/>
    <s v="callback requested"/>
    <x v="1"/>
    <s v="Canada"/>
    <s v="R. Patel"/>
    <x v="0"/>
    <s v="Payments"/>
    <n v="2.9000000000000001E-2"/>
    <s v="N/A"/>
    <s v="Standard"/>
    <s v="No"/>
    <s v="No"/>
    <x v="0"/>
    <x v="3"/>
    <s v="NAQ1"/>
    <n v="247000"/>
  </r>
  <r>
    <s v="TXN-102550"/>
    <d v="2024-10-09T00:00:00"/>
    <x v="19"/>
    <s v="SVC-01"/>
    <n v="320.99"/>
    <x v="0"/>
    <s v="Credit Card"/>
    <m/>
    <x v="0"/>
    <s v="Canada"/>
    <s v="M. Santos"/>
    <x v="0"/>
    <s v="Payments"/>
    <n v="2.9000000000000001E-2"/>
    <s v="Enterprise"/>
    <s v="Standard"/>
    <s v="Yes"/>
    <s v="No"/>
    <x v="0"/>
    <x v="2"/>
    <s v="NAQ4"/>
    <n v="299000"/>
  </r>
  <r>
    <s v="TXN-102331"/>
    <d v="2024-10-18T00:00:00"/>
    <x v="121"/>
    <s v="SVC-08"/>
    <n v="536.1"/>
    <x v="3"/>
    <s v="Unknown"/>
    <m/>
    <x v="0"/>
    <s v="USA"/>
    <s v="J. Reyes"/>
    <x v="1"/>
    <s v="Risk"/>
    <n v="2.5000000000000001E-3"/>
    <s v="N/A"/>
    <s v="High Value"/>
    <s v="Yes"/>
    <s v="Yes"/>
    <x v="0"/>
    <x v="2"/>
    <s v="NAQ4"/>
    <n v="299000"/>
  </r>
  <r>
    <s v="TXN-100558"/>
    <d v="2024-05-17T00:00:00"/>
    <x v="84"/>
    <s v="SVC-05"/>
    <n v="235.95"/>
    <x v="0"/>
    <s v="Credit Card"/>
    <m/>
    <x v="3"/>
    <s v="Singapore"/>
    <s v="T. Novak"/>
    <x v="3"/>
    <s v="Analytics"/>
    <n v="0"/>
    <s v="Startup"/>
    <s v="Standard"/>
    <s v="Yes"/>
    <s v="Yes"/>
    <x v="1"/>
    <x v="0"/>
    <s v="APACQ2"/>
    <n v="110000"/>
  </r>
  <r>
    <s v="TXN-100443"/>
    <d v="2024-09-01T00:00:00"/>
    <x v="6"/>
    <s v="SVC-08"/>
    <n v="259.14999999999998"/>
    <x v="0"/>
    <s v="Debit Card"/>
    <s v="VIP account"/>
    <x v="0"/>
    <s v="United Kingdom"/>
    <s v="R. Patel"/>
    <x v="1"/>
    <s v="Risk"/>
    <n v="2.5000000000000001E-3"/>
    <s v="Enterprise"/>
    <s v="High Value"/>
    <s v="Yes"/>
    <s v="No"/>
    <x v="2"/>
    <x v="1"/>
    <s v="EMEAQ3"/>
    <n v="147000"/>
  </r>
  <r>
    <s v="TXN-102414"/>
    <d v="2024-10-24T00:00:00"/>
    <x v="101"/>
    <s v="SVC-07"/>
    <n v="467.97"/>
    <x v="1"/>
    <s v="Debit Card"/>
    <s v="escalated to support"/>
    <x v="1"/>
    <s v="Canada"/>
    <s v="A. Kim"/>
    <x v="7"/>
    <s v="Support"/>
    <n v="0"/>
    <s v="N/A"/>
    <s v="High Value"/>
    <s v="Yes"/>
    <s v="No"/>
    <x v="0"/>
    <x v="2"/>
    <s v="NAQ4"/>
    <n v="299000"/>
  </r>
  <r>
    <s v="TXN-101443"/>
    <d v="2024-04-12T00:00:00"/>
    <x v="91"/>
    <s v="SVC-02"/>
    <n v="214.11"/>
    <x v="1"/>
    <s v="ACH"/>
    <s v="escalated to support"/>
    <x v="1"/>
    <s v="Singapore"/>
    <s v="A. Kim"/>
    <x v="6"/>
    <s v="HR &amp; Payroll"/>
    <n v="0"/>
    <s v="N/A"/>
    <s v="Standard"/>
    <s v="Yes"/>
    <s v="No"/>
    <x v="1"/>
    <x v="0"/>
    <s v="APACQ2"/>
    <n v="110000"/>
  </r>
  <r>
    <s v="TXN-101526"/>
    <d v="2024-03-11T00:00:00"/>
    <x v="72"/>
    <s v="SVC-07"/>
    <n v="963.71"/>
    <x v="0"/>
    <s v="Credit Card"/>
    <s v="escalated to support"/>
    <x v="1"/>
    <s v="United Kingdom"/>
    <s v="A. Kim"/>
    <x v="7"/>
    <s v="Support"/>
    <n v="0"/>
    <s v="SMB"/>
    <s v="High Value"/>
    <s v="Yes"/>
    <s v="No"/>
    <x v="2"/>
    <x v="3"/>
    <s v="EMEAQ1"/>
    <n v="133000"/>
  </r>
  <r>
    <s v="TXN-101768"/>
    <d v="2024-10-04T00:00:00"/>
    <x v="9"/>
    <s v="SVC-01"/>
    <n v="151.08000000000001"/>
    <x v="0"/>
    <s v="Debit Card"/>
    <m/>
    <x v="3"/>
    <s v="Philippines"/>
    <s v="T. Novak"/>
    <x v="0"/>
    <s v="Payments"/>
    <n v="2.9000000000000001E-2"/>
    <s v="Startup"/>
    <s v="Standard"/>
    <s v="No"/>
    <s v="No"/>
    <x v="1"/>
    <x v="2"/>
    <s v="APACQ4"/>
    <n v="126500"/>
  </r>
  <r>
    <s v="TXN-102226"/>
    <d v="2024-01-17T00:00:00"/>
    <x v="97"/>
    <s v="SVC-06"/>
    <n v="255.8"/>
    <x v="0"/>
    <s v="ACH"/>
    <s v="callback requested"/>
    <x v="0"/>
    <s v="United Kingdom"/>
    <s v="L. Chen"/>
    <x v="4"/>
    <s v="Platform"/>
    <n v="0"/>
    <s v="Enterprise"/>
    <s v="High Value"/>
    <s v="Yes"/>
    <s v="No"/>
    <x v="2"/>
    <x v="3"/>
    <s v="EMEAQ1"/>
    <n v="133000"/>
  </r>
  <r>
    <s v="TXN-100544"/>
    <d v="2024-02-24T00:00:00"/>
    <x v="61"/>
    <s v="SVC-06"/>
    <n v="233.9"/>
    <x v="0"/>
    <s v="Debit Card"/>
    <s v="VIP account"/>
    <x v="1"/>
    <s v="Australia"/>
    <s v="M. Santos"/>
    <x v="4"/>
    <s v="Platform"/>
    <n v="0"/>
    <s v="SMB"/>
    <s v="Standard"/>
    <s v="Yes"/>
    <s v="No"/>
    <x v="1"/>
    <x v="3"/>
    <s v="APACQ1"/>
    <n v="104500"/>
  </r>
  <r>
    <s v="TXN-102080"/>
    <d v="2024-06-16T00:00:00"/>
    <x v="57"/>
    <s v="SVC-01"/>
    <n v="483.86"/>
    <x v="0"/>
    <s v="ACH"/>
    <s v="VIP account"/>
    <x v="1"/>
    <s v="USA"/>
    <s v="L. Chen"/>
    <x v="0"/>
    <s v="Payments"/>
    <n v="2.9000000000000001E-2"/>
    <s v="SMB"/>
    <s v="Standard"/>
    <s v="Yes"/>
    <s v="No"/>
    <x v="0"/>
    <x v="0"/>
    <s v="NAQ2"/>
    <n v="260000"/>
  </r>
  <r>
    <s v="TXN-100129"/>
    <d v="2024-05-15T00:00:00"/>
    <x v="103"/>
    <s v="SVC-04"/>
    <n v="-543"/>
    <x v="2"/>
    <s v="Debit Card"/>
    <s v="VIP account"/>
    <x v="1"/>
    <s v="United Kingdom"/>
    <s v="R. Patel"/>
    <x v="2"/>
    <s v="Risk"/>
    <n v="1E-3"/>
    <s v="N/A"/>
    <s v="Refund"/>
    <s v="No"/>
    <s v="Yes"/>
    <x v="2"/>
    <x v="0"/>
    <s v="EMEAQ2"/>
    <n v="140000"/>
  </r>
  <r>
    <s v="TXN-101366"/>
    <d v="2024-04-02T00:00:00"/>
    <x v="103"/>
    <s v="SVC-01"/>
    <n v="217.02"/>
    <x v="0"/>
    <s v="ACH"/>
    <s v="callback requested"/>
    <x v="1"/>
    <s v="United Kingdom"/>
    <s v="R. Patel"/>
    <x v="0"/>
    <s v="Payments"/>
    <n v="2.9000000000000001E-2"/>
    <s v="SMB"/>
    <s v="Standard"/>
    <s v="No"/>
    <s v="No"/>
    <x v="2"/>
    <x v="0"/>
    <s v="EMEAQ2"/>
    <n v="140000"/>
  </r>
  <r>
    <s v="TXN-100508"/>
    <d v="2024-06-14T00:00:00"/>
    <x v="100"/>
    <s v="SVC-02"/>
    <n v="600"/>
    <x v="0"/>
    <s v="Credit Card"/>
    <s v="escalated to support"/>
    <x v="1"/>
    <s v="USA"/>
    <s v="J. Reyes"/>
    <x v="6"/>
    <s v="HR &amp; Payroll"/>
    <n v="0"/>
    <s v="SMB"/>
    <s v="High Value"/>
    <s v="Yes"/>
    <s v="Yes"/>
    <x v="0"/>
    <x v="0"/>
    <s v="NAQ2"/>
    <n v="260000"/>
  </r>
  <r>
    <s v="TXN-101097"/>
    <d v="2024-11-28T00:00:00"/>
    <x v="70"/>
    <s v="SVC-06"/>
    <n v="452.19"/>
    <x v="0"/>
    <s v="Debit Card"/>
    <s v="VIP account"/>
    <x v="3"/>
    <s v="Singapore"/>
    <s v="A. Kim"/>
    <x v="4"/>
    <s v="Platform"/>
    <n v="0"/>
    <s v="Startup"/>
    <s v="High Value"/>
    <s v="Yes"/>
    <s v="No"/>
    <x v="1"/>
    <x v="2"/>
    <s v="APACQ4"/>
    <n v="126500"/>
  </r>
  <r>
    <s v="TXN-102142"/>
    <d v="2024-11-11T00:00:00"/>
    <x v="19"/>
    <s v="SVC-01"/>
    <n v="340.49"/>
    <x v="0"/>
    <s v="Unknown"/>
    <m/>
    <x v="0"/>
    <s v="Canada"/>
    <s v="M. Santos"/>
    <x v="0"/>
    <s v="Payments"/>
    <n v="2.9000000000000001E-2"/>
    <s v="Enterprise"/>
    <s v="Standard"/>
    <s v="Yes"/>
    <s v="No"/>
    <x v="0"/>
    <x v="2"/>
    <s v="NAQ4"/>
    <n v="299000"/>
  </r>
  <r>
    <s v="TXN-101398"/>
    <d v="2024-06-13T00:00:00"/>
    <x v="32"/>
    <s v="SVC-05"/>
    <n v="1809.37"/>
    <x v="1"/>
    <s v="Wire Transfer"/>
    <s v="VIP account"/>
    <x v="1"/>
    <s v="Philippines"/>
    <s v="T. Novak"/>
    <x v="3"/>
    <s v="Analytics"/>
    <n v="0"/>
    <s v="N/A"/>
    <s v="High Value"/>
    <s v="Yes"/>
    <s v="No"/>
    <x v="1"/>
    <x v="0"/>
    <s v="APACQ2"/>
    <n v="110000"/>
  </r>
  <r>
    <s v="TXN-101273"/>
    <d v="2024-06-15T00:00:00"/>
    <x v="113"/>
    <s v="SVC-08"/>
    <n v="167.25"/>
    <x v="0"/>
    <s v="Credit Card"/>
    <s v="escalated to support"/>
    <x v="3"/>
    <s v="United Kingdom"/>
    <s v="R. Patel"/>
    <x v="1"/>
    <s v="Risk"/>
    <n v="2.5000000000000001E-3"/>
    <s v="Startup"/>
    <s v="Standard"/>
    <s v="Yes"/>
    <s v="Yes"/>
    <x v="2"/>
    <x v="0"/>
    <s v="EMEAQ2"/>
    <n v="140000"/>
  </r>
  <r>
    <s v="TXN-101370"/>
    <d v="2024-02-16T00:00:00"/>
    <x v="34"/>
    <s v="SVC-07"/>
    <n v="255.62"/>
    <x v="0"/>
    <s v="Credit Card"/>
    <m/>
    <x v="1"/>
    <s v="Germany"/>
    <s v="M. Santos"/>
    <x v="7"/>
    <s v="Support"/>
    <n v="0"/>
    <s v="SMB"/>
    <s v="High Value"/>
    <s v="Yes"/>
    <s v="No"/>
    <x v="2"/>
    <x v="3"/>
    <s v="EMEAQ1"/>
    <n v="133000"/>
  </r>
  <r>
    <s v="TXN-101502"/>
    <d v="2024-08-21T00:00:00"/>
    <x v="30"/>
    <s v="SVC-04"/>
    <n v="905.46"/>
    <x v="3"/>
    <s v="Credit Card"/>
    <m/>
    <x v="1"/>
    <s v="Germany"/>
    <s v="M. Santos"/>
    <x v="2"/>
    <s v="Risk"/>
    <n v="1E-3"/>
    <s v="N/A"/>
    <s v="High Value"/>
    <s v="Yes"/>
    <s v="Yes"/>
    <x v="2"/>
    <x v="1"/>
    <s v="EMEAQ3"/>
    <n v="147000"/>
  </r>
  <r>
    <s v="TXN-102469"/>
    <d v="2024-12-13T00:00:00"/>
    <x v="129"/>
    <s v="SVC-07"/>
    <n v="797.29"/>
    <x v="1"/>
    <s v="Debit Card"/>
    <m/>
    <x v="1"/>
    <s v="Australia"/>
    <s v="A. Kim"/>
    <x v="7"/>
    <s v="Support"/>
    <n v="0"/>
    <s v="N/A"/>
    <s v="High Value"/>
    <s v="Yes"/>
    <s v="Yes"/>
    <x v="1"/>
    <x v="2"/>
    <s v="APACQ4"/>
    <n v="126500"/>
  </r>
  <r>
    <s v="TXN-102232"/>
    <d v="2024-05-05T00:00:00"/>
    <x v="128"/>
    <s v="SVC-01"/>
    <n v="325.14"/>
    <x v="0"/>
    <s v="ACH"/>
    <m/>
    <x v="0"/>
    <s v="Philippines"/>
    <s v="L. Chen"/>
    <x v="0"/>
    <s v="Payments"/>
    <n v="2.9000000000000001E-2"/>
    <s v="Enterprise"/>
    <s v="Standard"/>
    <s v="Yes"/>
    <s v="No"/>
    <x v="1"/>
    <x v="0"/>
    <s v="APACQ2"/>
    <n v="110000"/>
  </r>
  <r>
    <s v="TXN-101171"/>
    <d v="2024-12-27T00:00:00"/>
    <x v="45"/>
    <s v="SVC-07"/>
    <n v="169.36"/>
    <x v="1"/>
    <s v="Debit Card"/>
    <s v="callback requested"/>
    <x v="0"/>
    <s v="United Kingdom"/>
    <s v="R. Patel"/>
    <x v="7"/>
    <s v="Support"/>
    <n v="0"/>
    <s v="N/A"/>
    <s v="Standard"/>
    <s v="Yes"/>
    <s v="Yes"/>
    <x v="2"/>
    <x v="2"/>
    <s v="EMEAQ4"/>
    <n v="161000"/>
  </r>
  <r>
    <s v="TXN-100746"/>
    <d v="2024-12-19T00:00:00"/>
    <x v="118"/>
    <s v="SVC-07"/>
    <n v="249.77"/>
    <x v="1"/>
    <s v="ACH"/>
    <m/>
    <x v="1"/>
    <s v="USA"/>
    <s v="L. Chen"/>
    <x v="7"/>
    <s v="Support"/>
    <n v="0"/>
    <s v="N/A"/>
    <s v="Standard"/>
    <s v="Yes"/>
    <s v="Yes"/>
    <x v="0"/>
    <x v="2"/>
    <s v="NAQ4"/>
    <n v="299000"/>
  </r>
  <r>
    <s v="TXN-102305"/>
    <d v="2024-01-24T00:00:00"/>
    <x v="87"/>
    <s v="SVC-07"/>
    <n v="286.20999999999998"/>
    <x v="0"/>
    <s v="ACH"/>
    <s v="callback requested"/>
    <x v="1"/>
    <s v="United Kingdom"/>
    <s v="J. Reyes"/>
    <x v="7"/>
    <s v="Support"/>
    <n v="0"/>
    <s v="SMB"/>
    <s v="High Value"/>
    <s v="Yes"/>
    <s v="Yes"/>
    <x v="2"/>
    <x v="3"/>
    <s v="EMEAQ1"/>
    <n v="133000"/>
  </r>
  <r>
    <s v="TXN-100030"/>
    <d v="2024-07-14T00:00:00"/>
    <x v="119"/>
    <s v="SVC-01"/>
    <n v="742.49"/>
    <x v="0"/>
    <s v="Unknown"/>
    <m/>
    <x v="1"/>
    <s v="USA"/>
    <s v="R. Patel"/>
    <x v="0"/>
    <s v="Payments"/>
    <n v="2.9000000000000001E-2"/>
    <s v="SMB"/>
    <s v="High Value"/>
    <s v="Yes"/>
    <s v="No"/>
    <x v="0"/>
    <x v="1"/>
    <s v="NAQ3"/>
    <n v="273000"/>
  </r>
  <r>
    <s v="TXN-100664"/>
    <d v="2024-11-14T00:00:00"/>
    <x v="75"/>
    <s v="SVC-01"/>
    <n v="712.24"/>
    <x v="0"/>
    <s v="Wire Transfer"/>
    <s v="VIP account"/>
    <x v="0"/>
    <s v="Canada"/>
    <s v="R. Patel"/>
    <x v="0"/>
    <s v="Payments"/>
    <n v="2.9000000000000001E-2"/>
    <s v="Enterprise"/>
    <s v="High Value"/>
    <s v="Yes"/>
    <s v="No"/>
    <x v="0"/>
    <x v="2"/>
    <s v="NAQ4"/>
    <n v="299000"/>
  </r>
  <r>
    <s v="TXN-100365"/>
    <d v="2024-11-24T00:00:00"/>
    <x v="59"/>
    <s v="SVC-03"/>
    <n v="757.68"/>
    <x v="0"/>
    <s v="Unknown"/>
    <s v="escalated to support"/>
    <x v="1"/>
    <s v="USA"/>
    <s v="R. Patel"/>
    <x v="5"/>
    <s v="Billing"/>
    <n v="5.0000000000000001E-3"/>
    <s v="SMB"/>
    <s v="High Value"/>
    <s v="Yes"/>
    <s v="Yes"/>
    <x v="0"/>
    <x v="2"/>
    <s v="NAQ4"/>
    <n v="299000"/>
  </r>
  <r>
    <s v="TXN-100752"/>
    <d v="2024-08-14T00:00:00"/>
    <x v="66"/>
    <s v="SVC-08"/>
    <n v="149.27000000000001"/>
    <x v="0"/>
    <s v="Debit Card"/>
    <m/>
    <x v="3"/>
    <s v="Australia"/>
    <s v="L. Chen"/>
    <x v="1"/>
    <s v="Risk"/>
    <n v="2.5000000000000001E-3"/>
    <s v="Startup"/>
    <s v="Standard"/>
    <s v="Yes"/>
    <s v="Yes"/>
    <x v="1"/>
    <x v="1"/>
    <s v="APACQ3"/>
    <n v="115500"/>
  </r>
  <r>
    <s v="TXN-100418"/>
    <d v="2024-05-14T00:00:00"/>
    <x v="1"/>
    <s v="SVC-05"/>
    <n v="263.76"/>
    <x v="0"/>
    <s v="Wire Transfer"/>
    <m/>
    <x v="0"/>
    <s v="USA"/>
    <s v="J. Reyes"/>
    <x v="3"/>
    <s v="Analytics"/>
    <n v="0"/>
    <s v="Enterprise"/>
    <s v="High Value"/>
    <s v="Yes"/>
    <s v="No"/>
    <x v="0"/>
    <x v="0"/>
    <s v="NAQ2"/>
    <n v="260000"/>
  </r>
  <r>
    <s v="TXN-100486"/>
    <d v="2024-04-17T00:00:00"/>
    <x v="124"/>
    <s v="SVC-01"/>
    <n v="244.26"/>
    <x v="0"/>
    <s v="Credit Card"/>
    <m/>
    <x v="1"/>
    <s v="United Kingdom"/>
    <s v="A. Kim"/>
    <x v="0"/>
    <s v="Payments"/>
    <n v="2.9000000000000001E-2"/>
    <s v="SMB"/>
    <s v="Standard"/>
    <s v="No"/>
    <s v="No"/>
    <x v="2"/>
    <x v="0"/>
    <s v="EMEAQ2"/>
    <n v="140000"/>
  </r>
  <r>
    <s v="TXN-101830"/>
    <d v="2024-12-16T00:00:00"/>
    <x v="49"/>
    <s v="SVC-06"/>
    <n v="486.59"/>
    <x v="0"/>
    <s v="Wire Transfer"/>
    <m/>
    <x v="1"/>
    <s v="USA"/>
    <s v="A. Kim"/>
    <x v="4"/>
    <s v="Platform"/>
    <n v="0"/>
    <s v="SMB"/>
    <s v="High Value"/>
    <s v="Yes"/>
    <s v="Yes"/>
    <x v="0"/>
    <x v="2"/>
    <s v="NAQ4"/>
    <n v="299000"/>
  </r>
  <r>
    <s v="TXN-100621"/>
    <d v="2024-09-23T00:00:00"/>
    <x v="90"/>
    <s v="SVC-07"/>
    <n v="287.20999999999998"/>
    <x v="0"/>
    <s v="Credit Card"/>
    <s v="escalated to support"/>
    <x v="1"/>
    <s v="USA"/>
    <s v="A. Kim"/>
    <x v="7"/>
    <s v="Support"/>
    <n v="0"/>
    <s v="SMB"/>
    <s v="High Value"/>
    <s v="Yes"/>
    <s v="Yes"/>
    <x v="0"/>
    <x v="1"/>
    <s v="NAQ3"/>
    <n v="273000"/>
  </r>
  <r>
    <s v="TXN-100433"/>
    <d v="2024-08-16T00:00:00"/>
    <x v="17"/>
    <s v="SVC-06"/>
    <n v="741.07"/>
    <x v="1"/>
    <s v="ACH"/>
    <s v="escalated to support"/>
    <x v="1"/>
    <s v="USA"/>
    <s v="A. Kim"/>
    <x v="4"/>
    <s v="Platform"/>
    <n v="0"/>
    <s v="N/A"/>
    <s v="High Value"/>
    <s v="Yes"/>
    <s v="No"/>
    <x v="0"/>
    <x v="1"/>
    <s v="NAQ3"/>
    <n v="273000"/>
  </r>
  <r>
    <s v="TXN-102291"/>
    <d v="2024-02-09T00:00:00"/>
    <x v="1"/>
    <s v="SVC-04"/>
    <n v="833.37"/>
    <x v="0"/>
    <s v="ACH"/>
    <s v="VIP account"/>
    <x v="0"/>
    <s v="USA"/>
    <s v="J. Reyes"/>
    <x v="2"/>
    <s v="Risk"/>
    <n v="1E-3"/>
    <s v="Enterprise"/>
    <s v="High Value"/>
    <s v="Yes"/>
    <s v="No"/>
    <x v="0"/>
    <x v="3"/>
    <s v="NAQ1"/>
    <n v="247000"/>
  </r>
  <r>
    <s v="TXN-100937"/>
    <d v="2024-01-04T00:00:00"/>
    <x v="57"/>
    <s v="SVC-07"/>
    <n v="853.41"/>
    <x v="0"/>
    <s v="Wire Transfer"/>
    <m/>
    <x v="1"/>
    <s v="USA"/>
    <s v="L. Chen"/>
    <x v="7"/>
    <s v="Support"/>
    <n v="0"/>
    <s v="SMB"/>
    <s v="High Value"/>
    <s v="Yes"/>
    <s v="Yes"/>
    <x v="0"/>
    <x v="3"/>
    <s v="NAQ1"/>
    <n v="247000"/>
  </r>
  <r>
    <s v="TXN-100316"/>
    <d v="2024-10-18T00:00:00"/>
    <x v="116"/>
    <s v="SVC-02"/>
    <n v="547.89"/>
    <x v="1"/>
    <s v="ACH"/>
    <s v="escalated to support"/>
    <x v="1"/>
    <s v="USA"/>
    <s v="J. Reyes"/>
    <x v="6"/>
    <s v="HR &amp; Payroll"/>
    <n v="0"/>
    <s v="N/A"/>
    <s v="High Value"/>
    <s v="Yes"/>
    <s v="No"/>
    <x v="0"/>
    <x v="2"/>
    <s v="NAQ4"/>
    <n v="299000"/>
  </r>
  <r>
    <s v="TXN-102108"/>
    <d v="2024-10-24T00:00:00"/>
    <x v="65"/>
    <s v="SVC-03"/>
    <n v="309.93"/>
    <x v="1"/>
    <s v="Credit Card"/>
    <m/>
    <x v="0"/>
    <s v="USA"/>
    <s v="A. Kim"/>
    <x v="5"/>
    <s v="Billing"/>
    <n v="5.0000000000000001E-3"/>
    <s v="N/A"/>
    <s v="High Value"/>
    <s v="Yes"/>
    <s v="No"/>
    <x v="0"/>
    <x v="2"/>
    <s v="NAQ4"/>
    <n v="299000"/>
  </r>
  <r>
    <s v="TXN-100128"/>
    <d v="2024-01-09T00:00:00"/>
    <x v="80"/>
    <s v="SVC-03"/>
    <n v="542.58000000000004"/>
    <x v="0"/>
    <s v="Unknown"/>
    <s v="VIP account"/>
    <x v="1"/>
    <s v="Philippines"/>
    <s v="R. Patel"/>
    <x v="5"/>
    <s v="Billing"/>
    <n v="5.0000000000000001E-3"/>
    <s v="SMB"/>
    <s v="High Value"/>
    <s v="Yes"/>
    <s v="Yes"/>
    <x v="1"/>
    <x v="3"/>
    <s v="APACQ1"/>
    <n v="104500"/>
  </r>
  <r>
    <s v="TXN-101463"/>
    <d v="2024-02-24T00:00:00"/>
    <x v="20"/>
    <s v="SVC-02"/>
    <n v="412.63"/>
    <x v="0"/>
    <s v="Credit Card"/>
    <m/>
    <x v="1"/>
    <s v="USA"/>
    <s v="R. Patel"/>
    <x v="6"/>
    <s v="HR &amp; Payroll"/>
    <n v="0"/>
    <s v="SMB"/>
    <s v="High Value"/>
    <s v="Yes"/>
    <s v="No"/>
    <x v="0"/>
    <x v="3"/>
    <s v="NAQ1"/>
    <n v="247000"/>
  </r>
  <r>
    <s v="TXN-100572"/>
    <d v="2024-12-11T00:00:00"/>
    <x v="51"/>
    <s v="SVC-03"/>
    <n v="235.78"/>
    <x v="0"/>
    <s v="Credit Card"/>
    <m/>
    <x v="0"/>
    <s v="United Kingdom"/>
    <s v="R. Patel"/>
    <x v="5"/>
    <s v="Billing"/>
    <n v="5.0000000000000001E-3"/>
    <s v="Enterprise"/>
    <s v="Standard"/>
    <s v="Yes"/>
    <s v="Yes"/>
    <x v="2"/>
    <x v="2"/>
    <s v="EMEAQ4"/>
    <n v="161000"/>
  </r>
  <r>
    <s v="TXN-100097"/>
    <d v="2024-06-10T00:00:00"/>
    <x v="92"/>
    <s v="SVC-07"/>
    <n v="1122.6300000000001"/>
    <x v="1"/>
    <s v="Unknown"/>
    <s v="VIP account"/>
    <x v="1"/>
    <s v="Canada"/>
    <s v="R. Patel"/>
    <x v="7"/>
    <s v="Support"/>
    <n v="0"/>
    <s v="N/A"/>
    <s v="High Value"/>
    <s v="Yes"/>
    <s v="No"/>
    <x v="0"/>
    <x v="0"/>
    <s v="NAQ2"/>
    <n v="260000"/>
  </r>
  <r>
    <s v="TXN-102468"/>
    <d v="2024-08-28T00:00:00"/>
    <x v="87"/>
    <s v="SVC-01"/>
    <n v="593.03"/>
    <x v="0"/>
    <s v="Unknown"/>
    <m/>
    <x v="1"/>
    <s v="United Kingdom"/>
    <s v="J. Reyes"/>
    <x v="0"/>
    <s v="Payments"/>
    <n v="2.9000000000000001E-2"/>
    <s v="SMB"/>
    <s v="High Value"/>
    <s v="Yes"/>
    <s v="No"/>
    <x v="2"/>
    <x v="1"/>
    <s v="EMEAQ3"/>
    <n v="147000"/>
  </r>
  <r>
    <s v="TXN-100298"/>
    <d v="2024-04-26T00:00:00"/>
    <x v="34"/>
    <s v="SVC-08"/>
    <n v="403"/>
    <x v="0"/>
    <s v="Credit Card"/>
    <m/>
    <x v="1"/>
    <s v="Germany"/>
    <s v="M. Santos"/>
    <x v="1"/>
    <s v="Risk"/>
    <n v="2.5000000000000001E-3"/>
    <s v="SMB"/>
    <s v="High Value"/>
    <s v="Yes"/>
    <s v="Yes"/>
    <x v="2"/>
    <x v="0"/>
    <s v="EMEAQ2"/>
    <n v="140000"/>
  </r>
  <r>
    <s v="TXN-100516"/>
    <d v="2024-01-19T00:00:00"/>
    <x v="129"/>
    <s v="SVC-05"/>
    <n v="347.38"/>
    <x v="0"/>
    <s v="Credit Card"/>
    <s v="VIP account"/>
    <x v="1"/>
    <s v="Australia"/>
    <s v="A. Kim"/>
    <x v="3"/>
    <s v="Analytics"/>
    <n v="0"/>
    <s v="SMB"/>
    <s v="High Value"/>
    <s v="Yes"/>
    <s v="Yes"/>
    <x v="1"/>
    <x v="3"/>
    <s v="APACQ1"/>
    <n v="104500"/>
  </r>
  <r>
    <s v="TXN-101849"/>
    <d v="2024-03-17T00:00:00"/>
    <x v="53"/>
    <s v="SVC-08"/>
    <n v="981.09"/>
    <x v="0"/>
    <s v="ACH"/>
    <s v="callback requested"/>
    <x v="0"/>
    <s v="Singapore"/>
    <s v="L. Chen"/>
    <x v="1"/>
    <s v="Risk"/>
    <n v="2.5000000000000001E-3"/>
    <s v="Enterprise"/>
    <s v="High Value"/>
    <s v="Yes"/>
    <s v="Yes"/>
    <x v="1"/>
    <x v="3"/>
    <s v="APACQ1"/>
    <n v="104500"/>
  </r>
  <r>
    <s v="TXN-101721"/>
    <d v="2024-10-20T00:00:00"/>
    <x v="83"/>
    <s v="SVC-06"/>
    <n v="565.94000000000005"/>
    <x v="3"/>
    <s v="Wire Transfer"/>
    <s v="VIP account"/>
    <x v="1"/>
    <s v="Canada"/>
    <s v="L. Chen"/>
    <x v="4"/>
    <s v="Platform"/>
    <n v="0"/>
    <s v="N/A"/>
    <s v="High Value"/>
    <s v="Yes"/>
    <s v="Yes"/>
    <x v="0"/>
    <x v="2"/>
    <s v="NAQ4"/>
    <n v="299000"/>
  </r>
  <r>
    <s v="TXN-100620"/>
    <d v="2024-08-03T00:00:00"/>
    <x v="106"/>
    <s v="SVC-03"/>
    <n v="105.87"/>
    <x v="0"/>
    <s v="ACH"/>
    <m/>
    <x v="1"/>
    <s v="USA"/>
    <s v="J. Reyes"/>
    <x v="5"/>
    <s v="Billing"/>
    <n v="5.0000000000000001E-3"/>
    <s v="SMB"/>
    <s v="Standard"/>
    <s v="Yes"/>
    <s v="No"/>
    <x v="0"/>
    <x v="1"/>
    <s v="NAQ3"/>
    <n v="273000"/>
  </r>
  <r>
    <s v="TXN-100208"/>
    <d v="2024-10-01T00:00:00"/>
    <x v="94"/>
    <s v="SVC-04"/>
    <n v="664.23"/>
    <x v="0"/>
    <s v="Credit Card"/>
    <m/>
    <x v="1"/>
    <s v="United Kingdom"/>
    <s v="L. Chen"/>
    <x v="2"/>
    <s v="Risk"/>
    <n v="1E-3"/>
    <s v="SMB"/>
    <s v="High Value"/>
    <s v="Yes"/>
    <s v="Yes"/>
    <x v="2"/>
    <x v="2"/>
    <s v="EMEAQ4"/>
    <n v="161000"/>
  </r>
  <r>
    <s v="TXN-101621"/>
    <d v="2024-09-30T00:00:00"/>
    <x v="76"/>
    <s v="SVC-01"/>
    <n v="1113.45"/>
    <x v="0"/>
    <s v="Wire Transfer"/>
    <m/>
    <x v="3"/>
    <s v="United Kingdom"/>
    <s v="R. Patel"/>
    <x v="0"/>
    <s v="Payments"/>
    <n v="2.9000000000000001E-2"/>
    <s v="Startup"/>
    <s v="High Value"/>
    <s v="Yes"/>
    <s v="No"/>
    <x v="2"/>
    <x v="1"/>
    <s v="EMEAQ3"/>
    <n v="147000"/>
  </r>
  <r>
    <s v="TXN-101172"/>
    <d v="2024-12-08T00:00:00"/>
    <x v="4"/>
    <s v="SVC-08"/>
    <n v="498.47"/>
    <x v="0"/>
    <s v="ACH"/>
    <m/>
    <x v="2"/>
    <m/>
    <m/>
    <x v="1"/>
    <s v="Risk"/>
    <n v="2.5000000000000001E-3"/>
    <s v="Customer Not Found"/>
    <s v="High Value"/>
    <s v="Yes"/>
    <s v="No"/>
    <x v="1"/>
    <x v="2"/>
    <s v="APACQ4"/>
    <n v="126500"/>
  </r>
  <r>
    <s v="TXN-102101"/>
    <d v="2024-06-26T00:00:00"/>
    <x v="15"/>
    <s v="SVC-01"/>
    <n v="-526.42999999999995"/>
    <x v="2"/>
    <s v="Debit Card"/>
    <s v="escalated to support"/>
    <x v="0"/>
    <s v="USA"/>
    <s v="L. Chen"/>
    <x v="0"/>
    <s v="Payments"/>
    <n v="2.9000000000000001E-2"/>
    <s v="N/A"/>
    <s v="Refund"/>
    <s v="No"/>
    <s v="No"/>
    <x v="0"/>
    <x v="0"/>
    <s v="NAQ2"/>
    <n v="260000"/>
  </r>
  <r>
    <s v="TXN-101634"/>
    <d v="2024-10-08T00:00:00"/>
    <x v="111"/>
    <s v="SVC-02"/>
    <n v="250.86"/>
    <x v="0"/>
    <s v="ACH"/>
    <s v="escalated to support"/>
    <x v="1"/>
    <s v="Australia"/>
    <s v="A. Kim"/>
    <x v="6"/>
    <s v="HR &amp; Payroll"/>
    <n v="0"/>
    <s v="SMB"/>
    <s v="High Value"/>
    <s v="Yes"/>
    <s v="Yes"/>
    <x v="1"/>
    <x v="2"/>
    <s v="APACQ4"/>
    <n v="126500"/>
  </r>
  <r>
    <s v="TXN-101333"/>
    <d v="2024-12-08T00:00:00"/>
    <x v="97"/>
    <s v="SVC-06"/>
    <n v="377.25"/>
    <x v="0"/>
    <s v="ACH"/>
    <m/>
    <x v="0"/>
    <s v="United Kingdom"/>
    <s v="L. Chen"/>
    <x v="4"/>
    <s v="Platform"/>
    <n v="0"/>
    <s v="Enterprise"/>
    <s v="High Value"/>
    <s v="Yes"/>
    <s v="No"/>
    <x v="2"/>
    <x v="2"/>
    <s v="EMEAQ4"/>
    <n v="161000"/>
  </r>
  <r>
    <s v="TXN-100251"/>
    <d v="2024-07-11T00:00:00"/>
    <x v="82"/>
    <s v="SVC-06"/>
    <n v="743.02"/>
    <x v="3"/>
    <s v="ACH"/>
    <s v="VIP account"/>
    <x v="1"/>
    <s v="USA"/>
    <s v="T. Novak"/>
    <x v="4"/>
    <s v="Platform"/>
    <n v="0"/>
    <s v="N/A"/>
    <s v="High Value"/>
    <s v="Yes"/>
    <s v="Yes"/>
    <x v="0"/>
    <x v="1"/>
    <s v="NAQ3"/>
    <n v="273000"/>
  </r>
  <r>
    <s v="TXN-102103"/>
    <d v="2024-11-13T00:00:00"/>
    <x v="47"/>
    <s v="SVC-01"/>
    <n v="439.97"/>
    <x v="0"/>
    <s v="ACH"/>
    <m/>
    <x v="1"/>
    <s v="Canada"/>
    <s v="R. Patel"/>
    <x v="0"/>
    <s v="Payments"/>
    <n v="2.9000000000000001E-2"/>
    <s v="SMB"/>
    <s v="Standard"/>
    <s v="Yes"/>
    <s v="No"/>
    <x v="0"/>
    <x v="2"/>
    <s v="NAQ4"/>
    <n v="299000"/>
  </r>
  <r>
    <s v="TXN-101407"/>
    <d v="2024-03-13T00:00:00"/>
    <x v="24"/>
    <s v="SVC-01"/>
    <n v="312.69"/>
    <x v="0"/>
    <s v="ACH"/>
    <s v="callback requested"/>
    <x v="1"/>
    <s v="USA"/>
    <s v="M. Santos"/>
    <x v="0"/>
    <s v="Payments"/>
    <n v="2.9000000000000001E-2"/>
    <s v="SMB"/>
    <s v="Standard"/>
    <s v="Yes"/>
    <s v="No"/>
    <x v="0"/>
    <x v="3"/>
    <s v="NAQ1"/>
    <n v="247000"/>
  </r>
  <r>
    <s v="TXN-102187"/>
    <d v="2024-04-06T00:00:00"/>
    <x v="80"/>
    <s v="SVC-03"/>
    <n v="550.49"/>
    <x v="0"/>
    <s v="Credit Card"/>
    <m/>
    <x v="1"/>
    <s v="Philippines"/>
    <s v="R. Patel"/>
    <x v="5"/>
    <s v="Billing"/>
    <n v="5.0000000000000001E-3"/>
    <s v="SMB"/>
    <s v="High Value"/>
    <s v="Yes"/>
    <s v="No"/>
    <x v="1"/>
    <x v="0"/>
    <s v="APACQ2"/>
    <n v="110000"/>
  </r>
  <r>
    <s v="TXN-101893"/>
    <d v="2024-10-01T00:00:00"/>
    <x v="86"/>
    <s v="SVC-06"/>
    <n v="237.11"/>
    <x v="0"/>
    <s v="Credit Card"/>
    <s v="callback requested"/>
    <x v="1"/>
    <s v="Canada"/>
    <s v="L. Chen"/>
    <x v="4"/>
    <s v="Platform"/>
    <n v="0"/>
    <s v="SMB"/>
    <s v="Standard"/>
    <s v="Yes"/>
    <s v="Yes"/>
    <x v="0"/>
    <x v="2"/>
    <s v="NAQ4"/>
    <n v="299000"/>
  </r>
  <r>
    <s v="TXN-100562"/>
    <d v="2024-01-19T00:00:00"/>
    <x v="45"/>
    <s v="SVC-01"/>
    <n v="35.799999999999997"/>
    <x v="0"/>
    <s v="Credit Card"/>
    <s v="VIP account"/>
    <x v="0"/>
    <s v="United Kingdom"/>
    <s v="R. Patel"/>
    <x v="0"/>
    <s v="Payments"/>
    <n v="2.9000000000000001E-2"/>
    <s v="Enterprise"/>
    <s v="Standard"/>
    <s v="No"/>
    <s v="Yes"/>
    <x v="2"/>
    <x v="3"/>
    <s v="EMEAQ1"/>
    <n v="133000"/>
  </r>
  <r>
    <s v="TXN-101863"/>
    <d v="2024-10-09T00:00:00"/>
    <x v="10"/>
    <s v="SVC-03"/>
    <n v="524.41999999999996"/>
    <x v="0"/>
    <s v="ACH"/>
    <s v="escalated to support"/>
    <x v="1"/>
    <s v="USA"/>
    <s v="T. Novak"/>
    <x v="5"/>
    <s v="Billing"/>
    <n v="5.0000000000000001E-3"/>
    <s v="SMB"/>
    <s v="High Value"/>
    <s v="Yes"/>
    <s v="Yes"/>
    <x v="0"/>
    <x v="2"/>
    <s v="NAQ4"/>
    <n v="299000"/>
  </r>
  <r>
    <s v="TXN-100930"/>
    <d v="2024-12-13T00:00:00"/>
    <x v="23"/>
    <s v="SVC-01"/>
    <n v="-170.81"/>
    <x v="2"/>
    <s v="Credit Card"/>
    <s v="callback requested"/>
    <x v="0"/>
    <s v="USA"/>
    <s v="L. Chen"/>
    <x v="0"/>
    <s v="Payments"/>
    <n v="2.9000000000000001E-2"/>
    <s v="N/A"/>
    <s v="Refund"/>
    <s v="No"/>
    <s v="No"/>
    <x v="0"/>
    <x v="2"/>
    <s v="NAQ4"/>
    <n v="299000"/>
  </r>
  <r>
    <s v="TXN-102231"/>
    <d v="2024-02-27T00:00:00"/>
    <x v="0"/>
    <s v="SVC-06"/>
    <n v="-217.48"/>
    <x v="2"/>
    <s v="ACH"/>
    <m/>
    <x v="0"/>
    <s v="USA"/>
    <s v="J. Reyes"/>
    <x v="4"/>
    <s v="Platform"/>
    <n v="0"/>
    <s v="N/A"/>
    <s v="Refund"/>
    <s v="No"/>
    <s v="Yes"/>
    <x v="0"/>
    <x v="3"/>
    <s v="NAQ1"/>
    <n v="247000"/>
  </r>
  <r>
    <s v="TXN-101943"/>
    <d v="2024-06-28T00:00:00"/>
    <x v="94"/>
    <s v="SVC-01"/>
    <n v="-481.98"/>
    <x v="2"/>
    <s v="Debit Card"/>
    <m/>
    <x v="1"/>
    <s v="United Kingdom"/>
    <s v="L. Chen"/>
    <x v="0"/>
    <s v="Payments"/>
    <n v="2.9000000000000001E-2"/>
    <s v="N/A"/>
    <s v="Refund"/>
    <s v="No"/>
    <s v="No"/>
    <x v="2"/>
    <x v="0"/>
    <s v="EMEAQ2"/>
    <n v="140000"/>
  </r>
  <r>
    <s v="TXN-100884"/>
    <d v="2024-04-18T00:00:00"/>
    <x v="13"/>
    <s v="SVC-03"/>
    <n v="674.25"/>
    <x v="0"/>
    <s v="ACH"/>
    <m/>
    <x v="0"/>
    <s v="Canada"/>
    <s v="J. Reyes"/>
    <x v="5"/>
    <s v="Billing"/>
    <n v="5.0000000000000001E-3"/>
    <s v="Enterprise"/>
    <s v="High Value"/>
    <s v="Yes"/>
    <s v="Yes"/>
    <x v="0"/>
    <x v="0"/>
    <s v="NAQ2"/>
    <n v="260000"/>
  </r>
  <r>
    <s v="TXN-101713"/>
    <d v="2024-04-14T00:00:00"/>
    <x v="129"/>
    <s v="SVC-03"/>
    <n v="428.38"/>
    <x v="0"/>
    <s v="Credit Card"/>
    <m/>
    <x v="1"/>
    <s v="Australia"/>
    <s v="A. Kim"/>
    <x v="5"/>
    <s v="Billing"/>
    <n v="5.0000000000000001E-3"/>
    <s v="SMB"/>
    <s v="High Value"/>
    <s v="Yes"/>
    <s v="No"/>
    <x v="1"/>
    <x v="0"/>
    <s v="APACQ2"/>
    <n v="110000"/>
  </r>
  <r>
    <s v="TXN-100076"/>
    <d v="2024-12-02T00:00:00"/>
    <x v="115"/>
    <s v="SVC-01"/>
    <n v="-124.01"/>
    <x v="2"/>
    <s v="ACH"/>
    <m/>
    <x v="3"/>
    <s v="USA"/>
    <s v="L. Chen"/>
    <x v="0"/>
    <s v="Payments"/>
    <n v="2.9000000000000001E-2"/>
    <s v="N/A"/>
    <s v="Refund"/>
    <s v="No"/>
    <s v="No"/>
    <x v="0"/>
    <x v="2"/>
    <s v="NAQ4"/>
    <n v="299000"/>
  </r>
  <r>
    <s v="TXN-101792"/>
    <d v="2024-03-17T00:00:00"/>
    <x v="12"/>
    <s v="SVC-05"/>
    <n v="289.42"/>
    <x v="0"/>
    <s v="Debit Card"/>
    <s v="escalated to support"/>
    <x v="1"/>
    <s v="Canada"/>
    <s v="R. Patel"/>
    <x v="3"/>
    <s v="Analytics"/>
    <n v="0"/>
    <s v="SMB"/>
    <s v="High Value"/>
    <s v="Yes"/>
    <s v="No"/>
    <x v="0"/>
    <x v="3"/>
    <s v="NAQ1"/>
    <n v="247000"/>
  </r>
  <r>
    <s v="TXN-101936"/>
    <d v="2024-12-28T00:00:00"/>
    <x v="25"/>
    <s v="SVC-03"/>
    <n v="336.13"/>
    <x v="1"/>
    <s v="ACH"/>
    <s v="escalated to support"/>
    <x v="0"/>
    <s v="USA"/>
    <s v="A. Kim"/>
    <x v="5"/>
    <s v="Billing"/>
    <n v="5.0000000000000001E-3"/>
    <s v="N/A"/>
    <s v="High Value"/>
    <s v="Yes"/>
    <s v="No"/>
    <x v="0"/>
    <x v="2"/>
    <s v="NAQ4"/>
    <n v="299000"/>
  </r>
  <r>
    <s v="TXN-100356"/>
    <d v="2024-08-19T00:00:00"/>
    <x v="108"/>
    <s v="SVC-02"/>
    <n v="419.71"/>
    <x v="0"/>
    <s v="Wire Transfer"/>
    <m/>
    <x v="1"/>
    <s v="Germany"/>
    <s v="M. Santos"/>
    <x v="6"/>
    <s v="HR &amp; Payroll"/>
    <n v="0"/>
    <s v="SMB"/>
    <s v="High Value"/>
    <s v="Yes"/>
    <s v="No"/>
    <x v="2"/>
    <x v="1"/>
    <s v="EMEAQ3"/>
    <n v="147000"/>
  </r>
  <r>
    <s v="TXN-101320"/>
    <d v="2024-07-18T00:00:00"/>
    <x v="45"/>
    <s v="SVC-01"/>
    <n v="175.9"/>
    <x v="0"/>
    <s v="Credit Card"/>
    <m/>
    <x v="0"/>
    <s v="United Kingdom"/>
    <s v="R. Patel"/>
    <x v="0"/>
    <s v="Payments"/>
    <n v="2.9000000000000001E-2"/>
    <s v="Enterprise"/>
    <s v="Standard"/>
    <s v="No"/>
    <s v="No"/>
    <x v="2"/>
    <x v="1"/>
    <s v="EMEAQ3"/>
    <n v="147000"/>
  </r>
  <r>
    <s v="TXN-101169"/>
    <d v="2024-10-09T00:00:00"/>
    <x v="7"/>
    <s v="SVC-01"/>
    <n v="159.38999999999999"/>
    <x v="3"/>
    <s v="ACH"/>
    <m/>
    <x v="1"/>
    <s v="USA"/>
    <s v="T. Novak"/>
    <x v="0"/>
    <s v="Payments"/>
    <n v="2.9000000000000001E-2"/>
    <s v="N/A"/>
    <s v="Standard"/>
    <s v="No"/>
    <s v="No"/>
    <x v="0"/>
    <x v="2"/>
    <s v="NAQ4"/>
    <n v="299000"/>
  </r>
  <r>
    <s v="TXN-100868"/>
    <d v="2024-04-11T00:00:00"/>
    <x v="126"/>
    <s v="SVC-02"/>
    <n v="101.7"/>
    <x v="0"/>
    <s v="ACH"/>
    <m/>
    <x v="3"/>
    <s v="Canada"/>
    <s v="A. Kim"/>
    <x v="6"/>
    <s v="HR &amp; Payroll"/>
    <n v="0"/>
    <s v="Startup"/>
    <s v="Standard"/>
    <s v="Yes"/>
    <s v="No"/>
    <x v="0"/>
    <x v="0"/>
    <s v="NAQ2"/>
    <n v="260000"/>
  </r>
  <r>
    <s v="TXN-100469"/>
    <d v="2024-09-15T00:00:00"/>
    <x v="105"/>
    <s v="SVC-03"/>
    <n v="745.9"/>
    <x v="0"/>
    <s v="Unknown"/>
    <s v="callback requested"/>
    <x v="3"/>
    <s v="Philippines"/>
    <s v="T. Novak"/>
    <x v="5"/>
    <s v="Billing"/>
    <n v="5.0000000000000001E-3"/>
    <s v="Startup"/>
    <s v="High Value"/>
    <s v="Yes"/>
    <s v="No"/>
    <x v="1"/>
    <x v="1"/>
    <s v="APACQ3"/>
    <n v="115500"/>
  </r>
  <r>
    <s v="TXN-101977"/>
    <d v="2024-04-23T00:00:00"/>
    <x v="97"/>
    <s v="SVC-01"/>
    <n v="703.02"/>
    <x v="0"/>
    <s v="ACH"/>
    <s v="escalated to support"/>
    <x v="0"/>
    <s v="United Kingdom"/>
    <s v="L. Chen"/>
    <x v="0"/>
    <s v="Payments"/>
    <n v="2.9000000000000001E-2"/>
    <s v="Enterprise"/>
    <s v="High Value"/>
    <s v="Yes"/>
    <s v="No"/>
    <x v="2"/>
    <x v="0"/>
    <s v="EMEAQ2"/>
    <n v="140000"/>
  </r>
  <r>
    <s v="TXN-101872"/>
    <d v="2024-05-10T00:00:00"/>
    <x v="56"/>
    <s v="SVC-01"/>
    <n v="425.77"/>
    <x v="0"/>
    <s v="Credit Card"/>
    <s v="escalated to support"/>
    <x v="0"/>
    <s v="Singapore"/>
    <s v="R. Patel"/>
    <x v="0"/>
    <s v="Payments"/>
    <n v="2.9000000000000001E-2"/>
    <s v="Enterprise"/>
    <s v="Standard"/>
    <s v="Yes"/>
    <s v="No"/>
    <x v="1"/>
    <x v="0"/>
    <s v="APACQ2"/>
    <n v="110000"/>
  </r>
  <r>
    <s v="TXN-101479"/>
    <d v="2024-01-29T00:00:00"/>
    <x v="15"/>
    <s v="SVC-07"/>
    <n v="240.38"/>
    <x v="0"/>
    <s v="Credit Card"/>
    <m/>
    <x v="0"/>
    <s v="USA"/>
    <s v="L. Chen"/>
    <x v="7"/>
    <s v="Support"/>
    <n v="0"/>
    <s v="Enterprise"/>
    <s v="Standard"/>
    <s v="Yes"/>
    <s v="Yes"/>
    <x v="0"/>
    <x v="3"/>
    <s v="NAQ1"/>
    <n v="247000"/>
  </r>
  <r>
    <s v="TXN-101655"/>
    <d v="2024-06-05T00:00:00"/>
    <x v="55"/>
    <s v="SVC-01"/>
    <n v="684.73"/>
    <x v="0"/>
    <s v="Wire Transfer"/>
    <m/>
    <x v="3"/>
    <s v="USA"/>
    <s v="J. Reyes"/>
    <x v="0"/>
    <s v="Payments"/>
    <n v="2.9000000000000001E-2"/>
    <s v="Startup"/>
    <s v="High Value"/>
    <s v="Yes"/>
    <s v="No"/>
    <x v="0"/>
    <x v="0"/>
    <s v="NAQ2"/>
    <n v="260000"/>
  </r>
  <r>
    <s v="TXN-100470"/>
    <d v="2024-07-30T00:00:00"/>
    <x v="75"/>
    <s v="SVC-07"/>
    <n v="268.37"/>
    <x v="0"/>
    <s v="Wire Transfer"/>
    <s v="VIP account"/>
    <x v="0"/>
    <s v="Canada"/>
    <s v="R. Patel"/>
    <x v="7"/>
    <s v="Support"/>
    <n v="0"/>
    <s v="Enterprise"/>
    <s v="High Value"/>
    <s v="Yes"/>
    <s v="No"/>
    <x v="0"/>
    <x v="1"/>
    <s v="NAQ3"/>
    <n v="273000"/>
  </r>
  <r>
    <s v="TXN-101189"/>
    <d v="2024-12-18T00:00:00"/>
    <x v="3"/>
    <s v="SVC-04"/>
    <n v="568.76"/>
    <x v="0"/>
    <s v="ACH"/>
    <s v="callback requested"/>
    <x v="1"/>
    <s v="Canada"/>
    <s v="J. Reyes"/>
    <x v="2"/>
    <s v="Risk"/>
    <n v="1E-3"/>
    <s v="SMB"/>
    <s v="High Value"/>
    <s v="Yes"/>
    <s v="Yes"/>
    <x v="0"/>
    <x v="2"/>
    <s v="NAQ4"/>
    <n v="299000"/>
  </r>
  <r>
    <s v="TXN-101444"/>
    <d v="2024-09-19T00:00:00"/>
    <x v="109"/>
    <s v="SVC-02"/>
    <n v="373.41"/>
    <x v="3"/>
    <s v="Credit Card"/>
    <m/>
    <x v="0"/>
    <s v="USA"/>
    <s v="L. Chen"/>
    <x v="6"/>
    <s v="HR &amp; Payroll"/>
    <n v="0"/>
    <s v="N/A"/>
    <s v="High Value"/>
    <s v="Yes"/>
    <s v="No"/>
    <x v="0"/>
    <x v="1"/>
    <s v="NAQ3"/>
    <n v="273000"/>
  </r>
  <r>
    <s v="TXN-101386"/>
    <d v="2024-02-06T00:00:00"/>
    <x v="81"/>
    <s v="SVC-04"/>
    <n v="261.76"/>
    <x v="0"/>
    <s v="Wire Transfer"/>
    <s v="escalated to support"/>
    <x v="3"/>
    <s v="Germany"/>
    <s v="R. Patel"/>
    <x v="2"/>
    <s v="Risk"/>
    <n v="1E-3"/>
    <s v="Startup"/>
    <s v="High Value"/>
    <s v="Yes"/>
    <s v="Yes"/>
    <x v="2"/>
    <x v="3"/>
    <s v="EMEAQ1"/>
    <n v="133000"/>
  </r>
  <r>
    <s v="TXN-100780"/>
    <d v="2024-09-15T00:00:00"/>
    <x v="84"/>
    <s v="SVC-03"/>
    <n v="735.5"/>
    <x v="0"/>
    <s v="ACH"/>
    <s v="callback requested"/>
    <x v="3"/>
    <s v="Singapore"/>
    <s v="T. Novak"/>
    <x v="5"/>
    <s v="Billing"/>
    <n v="5.0000000000000001E-3"/>
    <s v="Startup"/>
    <s v="High Value"/>
    <s v="Yes"/>
    <s v="Yes"/>
    <x v="1"/>
    <x v="1"/>
    <s v="APACQ3"/>
    <n v="115500"/>
  </r>
  <r>
    <s v="TXN-100886"/>
    <d v="2024-10-26T00:00:00"/>
    <x v="94"/>
    <s v="SVC-02"/>
    <n v="543.29"/>
    <x v="0"/>
    <s v="Debit Card"/>
    <m/>
    <x v="1"/>
    <s v="United Kingdom"/>
    <s v="L. Chen"/>
    <x v="6"/>
    <s v="HR &amp; Payroll"/>
    <n v="0"/>
    <s v="SMB"/>
    <s v="High Value"/>
    <s v="Yes"/>
    <s v="Yes"/>
    <x v="2"/>
    <x v="2"/>
    <s v="EMEAQ4"/>
    <n v="161000"/>
  </r>
  <r>
    <s v="TXN-101219"/>
    <d v="2024-12-31T00:00:00"/>
    <x v="11"/>
    <s v="SVC-04"/>
    <n v="121.3"/>
    <x v="0"/>
    <s v="Debit Card"/>
    <m/>
    <x v="0"/>
    <s v="United Kingdom"/>
    <s v="L. Chen"/>
    <x v="2"/>
    <s v="Risk"/>
    <n v="1E-3"/>
    <s v="Enterprise"/>
    <s v="Standard"/>
    <s v="Yes"/>
    <s v="No"/>
    <x v="2"/>
    <x v="2"/>
    <s v="EMEAQ4"/>
    <n v="161000"/>
  </r>
  <r>
    <s v="TXN-100358"/>
    <d v="2024-05-08T00:00:00"/>
    <x v="18"/>
    <s v="SVC-01"/>
    <n v="215.82"/>
    <x v="0"/>
    <s v="Debit Card"/>
    <s v="callback requested"/>
    <x v="1"/>
    <s v="Philippines"/>
    <s v="R. Patel"/>
    <x v="0"/>
    <s v="Payments"/>
    <n v="2.9000000000000001E-2"/>
    <s v="SMB"/>
    <s v="Standard"/>
    <s v="No"/>
    <s v="Yes"/>
    <x v="1"/>
    <x v="0"/>
    <s v="APACQ2"/>
    <n v="110000"/>
  </r>
  <r>
    <s v="TXN-100069"/>
    <d v="2024-10-15T00:00:00"/>
    <x v="104"/>
    <s v="SVC-03"/>
    <n v="406.18"/>
    <x v="0"/>
    <s v="Debit Card"/>
    <s v="VIP account"/>
    <x v="1"/>
    <s v="USA"/>
    <s v="M. Santos"/>
    <x v="5"/>
    <s v="Billing"/>
    <n v="5.0000000000000001E-3"/>
    <s v="SMB"/>
    <s v="High Value"/>
    <s v="Yes"/>
    <s v="No"/>
    <x v="0"/>
    <x v="2"/>
    <s v="NAQ4"/>
    <n v="299000"/>
  </r>
  <r>
    <s v="TXN-101610"/>
    <d v="2024-01-21T00:00:00"/>
    <x v="29"/>
    <s v="SVC-03"/>
    <n v="57.42"/>
    <x v="0"/>
    <s v="Credit Card"/>
    <s v="VIP account"/>
    <x v="1"/>
    <s v="Germany"/>
    <s v="L. Chen"/>
    <x v="5"/>
    <s v="Billing"/>
    <n v="5.0000000000000001E-3"/>
    <s v="SMB"/>
    <s v="Standard"/>
    <s v="Yes"/>
    <s v="Yes"/>
    <x v="2"/>
    <x v="3"/>
    <s v="EMEAQ1"/>
    <n v="133000"/>
  </r>
  <r>
    <s v="TXN-100440"/>
    <d v="2024-12-23T00:00:00"/>
    <x v="100"/>
    <s v="SVC-08"/>
    <n v="380.8"/>
    <x v="0"/>
    <s v="Credit Card"/>
    <s v="escalated to support"/>
    <x v="1"/>
    <s v="USA"/>
    <s v="J. Reyes"/>
    <x v="1"/>
    <s v="Risk"/>
    <n v="2.5000000000000001E-3"/>
    <s v="SMB"/>
    <s v="High Value"/>
    <s v="Yes"/>
    <s v="No"/>
    <x v="0"/>
    <x v="2"/>
    <s v="NAQ4"/>
    <n v="299000"/>
  </r>
  <r>
    <s v="TXN-101344"/>
    <d v="2024-10-06T00:00:00"/>
    <x v="128"/>
    <s v="SVC-04"/>
    <n v="137.07"/>
    <x v="0"/>
    <s v="Wire Transfer"/>
    <s v="VIP account"/>
    <x v="0"/>
    <s v="Philippines"/>
    <s v="L. Chen"/>
    <x v="2"/>
    <s v="Risk"/>
    <n v="1E-3"/>
    <s v="Enterprise"/>
    <s v="Standard"/>
    <s v="Yes"/>
    <s v="Yes"/>
    <x v="1"/>
    <x v="2"/>
    <s v="APACQ4"/>
    <n v="126500"/>
  </r>
  <r>
    <s v="TXN-102220"/>
    <d v="2024-07-09T00:00:00"/>
    <x v="110"/>
    <s v="SVC-01"/>
    <n v="-245.78"/>
    <x v="2"/>
    <s v="Credit Card"/>
    <m/>
    <x v="0"/>
    <s v="USA"/>
    <s v="A. Kim"/>
    <x v="0"/>
    <s v="Payments"/>
    <n v="2.9000000000000001E-2"/>
    <s v="N/A"/>
    <s v="Refund"/>
    <s v="No"/>
    <s v="No"/>
    <x v="0"/>
    <x v="1"/>
    <s v="NAQ3"/>
    <n v="273000"/>
  </r>
  <r>
    <s v="TXN-100141"/>
    <d v="2024-01-20T00:00:00"/>
    <x v="90"/>
    <s v="SVC-03"/>
    <n v="241.58"/>
    <x v="1"/>
    <s v="Debit Card"/>
    <m/>
    <x v="1"/>
    <s v="USA"/>
    <s v="A. Kim"/>
    <x v="5"/>
    <s v="Billing"/>
    <n v="5.0000000000000001E-3"/>
    <s v="N/A"/>
    <s v="Standard"/>
    <s v="Yes"/>
    <s v="No"/>
    <x v="0"/>
    <x v="3"/>
    <s v="NAQ1"/>
    <n v="247000"/>
  </r>
  <r>
    <s v="TXN-100144"/>
    <d v="2024-02-27T00:00:00"/>
    <x v="126"/>
    <s v="SVC-01"/>
    <n v="215.45"/>
    <x v="0"/>
    <s v="Credit Card"/>
    <s v="escalated to support"/>
    <x v="3"/>
    <s v="Canada"/>
    <s v="A. Kim"/>
    <x v="0"/>
    <s v="Payments"/>
    <n v="2.9000000000000001E-2"/>
    <s v="Startup"/>
    <s v="Standard"/>
    <s v="No"/>
    <s v="No"/>
    <x v="0"/>
    <x v="3"/>
    <s v="NAQ1"/>
    <n v="247000"/>
  </r>
  <r>
    <s v="TXN-102119"/>
    <d v="2024-10-02T00:00:00"/>
    <x v="13"/>
    <s v="SVC-05"/>
    <n v="297.11"/>
    <x v="0"/>
    <s v="Credit Card"/>
    <s v="callback requested"/>
    <x v="0"/>
    <s v="Canada"/>
    <s v="J. Reyes"/>
    <x v="3"/>
    <s v="Analytics"/>
    <n v="0"/>
    <s v="Enterprise"/>
    <s v="High Value"/>
    <s v="Yes"/>
    <s v="Yes"/>
    <x v="0"/>
    <x v="2"/>
    <s v="NAQ4"/>
    <n v="299000"/>
  </r>
  <r>
    <s v="TXN-100808"/>
    <d v="2024-09-03T00:00:00"/>
    <x v="69"/>
    <s v="SVC-02"/>
    <n v="173.51"/>
    <x v="0"/>
    <s v="ACH"/>
    <m/>
    <x v="1"/>
    <s v="Philippines"/>
    <s v="J. Reyes"/>
    <x v="6"/>
    <s v="HR &amp; Payroll"/>
    <n v="0"/>
    <s v="SMB"/>
    <s v="Standard"/>
    <s v="Yes"/>
    <s v="Yes"/>
    <x v="1"/>
    <x v="1"/>
    <s v="APACQ3"/>
    <n v="115500"/>
  </r>
  <r>
    <s v="TXN-100525"/>
    <d v="2024-01-04T00:00:00"/>
    <x v="72"/>
    <s v="SVC-03"/>
    <n v="975.03"/>
    <x v="0"/>
    <s v="Credit Card"/>
    <s v="VIP account"/>
    <x v="1"/>
    <s v="United Kingdom"/>
    <s v="A. Kim"/>
    <x v="5"/>
    <s v="Billing"/>
    <n v="5.0000000000000001E-3"/>
    <s v="SMB"/>
    <s v="High Value"/>
    <s v="Yes"/>
    <s v="Yes"/>
    <x v="2"/>
    <x v="3"/>
    <s v="EMEAQ1"/>
    <n v="133000"/>
  </r>
  <r>
    <s v="TXN-100026"/>
    <d v="2024-07-10T00:00:00"/>
    <x v="129"/>
    <s v="SVC-01"/>
    <n v="437.19"/>
    <x v="0"/>
    <s v="Credit Card"/>
    <s v="escalated to support"/>
    <x v="1"/>
    <s v="Australia"/>
    <s v="A. Kim"/>
    <x v="0"/>
    <s v="Payments"/>
    <n v="2.9000000000000001E-2"/>
    <s v="SMB"/>
    <s v="Standard"/>
    <s v="Yes"/>
    <s v="No"/>
    <x v="1"/>
    <x v="1"/>
    <s v="APACQ3"/>
    <n v="115500"/>
  </r>
  <r>
    <s v="TXN-102064"/>
    <d v="2024-07-16T00:00:00"/>
    <x v="107"/>
    <s v="SVC-04"/>
    <n v="-82.34"/>
    <x v="2"/>
    <s v="Credit Card"/>
    <s v="callback requested"/>
    <x v="1"/>
    <s v="USA"/>
    <s v="M. Santos"/>
    <x v="2"/>
    <s v="Risk"/>
    <n v="1E-3"/>
    <s v="N/A"/>
    <s v="Refund"/>
    <s v="No"/>
    <s v="No"/>
    <x v="0"/>
    <x v="1"/>
    <s v="NAQ3"/>
    <n v="273000"/>
  </r>
  <r>
    <s v="TXN-101762"/>
    <d v="2024-10-05T00:00:00"/>
    <x v="42"/>
    <s v="SVC-01"/>
    <n v="180.17"/>
    <x v="0"/>
    <s v="ACH"/>
    <s v="escalated to support"/>
    <x v="1"/>
    <s v="Australia"/>
    <s v="M. Santos"/>
    <x v="0"/>
    <s v="Payments"/>
    <n v="2.9000000000000001E-2"/>
    <s v="SMB"/>
    <s v="Standard"/>
    <s v="No"/>
    <s v="No"/>
    <x v="1"/>
    <x v="2"/>
    <s v="APACQ4"/>
    <n v="126500"/>
  </r>
  <r>
    <s v="TXN-100547"/>
    <d v="2024-11-01T00:00:00"/>
    <x v="17"/>
    <s v="SVC-01"/>
    <n v="143.5"/>
    <x v="0"/>
    <s v="Debit Card"/>
    <m/>
    <x v="1"/>
    <s v="USA"/>
    <s v="A. Kim"/>
    <x v="0"/>
    <s v="Payments"/>
    <n v="2.9000000000000001E-2"/>
    <s v="SMB"/>
    <s v="Standard"/>
    <s v="No"/>
    <s v="No"/>
    <x v="0"/>
    <x v="2"/>
    <s v="NAQ4"/>
    <n v="299000"/>
  </r>
  <r>
    <s v="TXN-102403"/>
    <d v="2024-08-14T00:00:00"/>
    <x v="24"/>
    <s v="SVC-05"/>
    <n v="311.82"/>
    <x v="0"/>
    <s v="ACH"/>
    <m/>
    <x v="1"/>
    <s v="USA"/>
    <s v="M. Santos"/>
    <x v="3"/>
    <s v="Analytics"/>
    <n v="0"/>
    <s v="SMB"/>
    <s v="High Value"/>
    <s v="Yes"/>
    <s v="Yes"/>
    <x v="0"/>
    <x v="1"/>
    <s v="NAQ3"/>
    <n v="273000"/>
  </r>
  <r>
    <s v="TXN-101352"/>
    <d v="2024-05-08T00:00:00"/>
    <x v="80"/>
    <s v="SVC-01"/>
    <n v="738.51"/>
    <x v="0"/>
    <s v="ACH"/>
    <s v="escalated to support"/>
    <x v="1"/>
    <s v="Philippines"/>
    <s v="R. Patel"/>
    <x v="0"/>
    <s v="Payments"/>
    <n v="2.9000000000000001E-2"/>
    <s v="SMB"/>
    <s v="High Value"/>
    <s v="Yes"/>
    <s v="No"/>
    <x v="1"/>
    <x v="0"/>
    <s v="APACQ2"/>
    <n v="110000"/>
  </r>
  <r>
    <s v="TXN-100953"/>
    <d v="2024-04-28T00:00:00"/>
    <x v="73"/>
    <s v="SVC-05"/>
    <n v="669.4"/>
    <x v="0"/>
    <s v="ACH"/>
    <s v="callback requested"/>
    <x v="1"/>
    <s v="United Kingdom"/>
    <s v="R. Patel"/>
    <x v="3"/>
    <s v="Analytics"/>
    <n v="0"/>
    <s v="SMB"/>
    <s v="High Value"/>
    <s v="Yes"/>
    <s v="No"/>
    <x v="2"/>
    <x v="0"/>
    <s v="EMEAQ2"/>
    <n v="140000"/>
  </r>
  <r>
    <s v="TXN-101374"/>
    <d v="2024-07-16T00:00:00"/>
    <x v="47"/>
    <s v="SVC-02"/>
    <n v="532.24"/>
    <x v="0"/>
    <s v="Debit Card"/>
    <m/>
    <x v="1"/>
    <s v="Canada"/>
    <s v="R. Patel"/>
    <x v="6"/>
    <s v="HR &amp; Payroll"/>
    <n v="0"/>
    <s v="SMB"/>
    <s v="High Value"/>
    <s v="Yes"/>
    <s v="No"/>
    <x v="0"/>
    <x v="1"/>
    <s v="NAQ3"/>
    <n v="273000"/>
  </r>
  <r>
    <s v="TXN-101914"/>
    <d v="2024-10-12T00:00:00"/>
    <x v="106"/>
    <s v="SVC-07"/>
    <n v="143.01"/>
    <x v="0"/>
    <s v="ACH"/>
    <m/>
    <x v="1"/>
    <s v="USA"/>
    <s v="J. Reyes"/>
    <x v="7"/>
    <s v="Support"/>
    <n v="0"/>
    <s v="SMB"/>
    <s v="Standard"/>
    <s v="Yes"/>
    <s v="No"/>
    <x v="0"/>
    <x v="2"/>
    <s v="NAQ4"/>
    <n v="299000"/>
  </r>
  <r>
    <s v="TXN-100091"/>
    <d v="2024-01-09T00:00:00"/>
    <x v="65"/>
    <s v="SVC-04"/>
    <n v="545.28"/>
    <x v="0"/>
    <s v="Wire Transfer"/>
    <m/>
    <x v="0"/>
    <s v="USA"/>
    <s v="A. Kim"/>
    <x v="2"/>
    <s v="Risk"/>
    <n v="1E-3"/>
    <s v="Enterprise"/>
    <s v="High Value"/>
    <s v="Yes"/>
    <s v="No"/>
    <x v="0"/>
    <x v="3"/>
    <s v="NAQ1"/>
    <n v="247000"/>
  </r>
  <r>
    <s v="TXN-102280"/>
    <d v="2024-11-09T00:00:00"/>
    <x v="34"/>
    <s v="SVC-05"/>
    <n v="1000.72"/>
    <x v="0"/>
    <s v="Credit Card"/>
    <s v="VIP account"/>
    <x v="1"/>
    <s v="Germany"/>
    <s v="M. Santos"/>
    <x v="3"/>
    <s v="Analytics"/>
    <n v="0"/>
    <s v="SMB"/>
    <s v="High Value"/>
    <s v="Yes"/>
    <s v="No"/>
    <x v="2"/>
    <x v="2"/>
    <s v="EMEAQ4"/>
    <n v="161000"/>
  </r>
  <r>
    <s v="TXN-102190"/>
    <d v="2024-09-14T00:00:00"/>
    <x v="11"/>
    <s v="SVC-01"/>
    <n v="208.09"/>
    <x v="0"/>
    <s v="Credit Card"/>
    <m/>
    <x v="0"/>
    <s v="United Kingdom"/>
    <s v="L. Chen"/>
    <x v="0"/>
    <s v="Payments"/>
    <n v="2.9000000000000001E-2"/>
    <s v="Enterprise"/>
    <s v="Standard"/>
    <s v="No"/>
    <s v="No"/>
    <x v="2"/>
    <x v="1"/>
    <s v="EMEAQ3"/>
    <n v="147000"/>
  </r>
  <r>
    <s v="TXN-101955"/>
    <d v="2024-04-26T00:00:00"/>
    <x v="42"/>
    <s v="SVC-02"/>
    <n v="255.27"/>
    <x v="0"/>
    <s v="Debit Card"/>
    <m/>
    <x v="1"/>
    <s v="Australia"/>
    <s v="M. Santos"/>
    <x v="6"/>
    <s v="HR &amp; Payroll"/>
    <n v="0"/>
    <s v="SMB"/>
    <s v="High Value"/>
    <s v="Yes"/>
    <s v="No"/>
    <x v="1"/>
    <x v="0"/>
    <s v="APACQ2"/>
    <n v="110000"/>
  </r>
  <r>
    <s v="TXN-102277"/>
    <d v="2024-06-09T00:00:00"/>
    <x v="46"/>
    <s v="SVC-01"/>
    <n v="871.16"/>
    <x v="3"/>
    <s v="Credit Card"/>
    <m/>
    <x v="1"/>
    <s v="Australia"/>
    <s v="L. Chen"/>
    <x v="0"/>
    <s v="Payments"/>
    <n v="2.9000000000000001E-2"/>
    <s v="N/A"/>
    <s v="High Value"/>
    <s v="Yes"/>
    <s v="No"/>
    <x v="1"/>
    <x v="0"/>
    <s v="APACQ2"/>
    <n v="110000"/>
  </r>
  <r>
    <s v="TXN-101340"/>
    <d v="2024-05-08T00:00:00"/>
    <x v="35"/>
    <s v="SVC-01"/>
    <n v="447.53"/>
    <x v="0"/>
    <s v="Credit Card"/>
    <s v="callback requested"/>
    <x v="3"/>
    <s v="Philippines"/>
    <s v="R. Patel"/>
    <x v="0"/>
    <s v="Payments"/>
    <n v="2.9000000000000001E-2"/>
    <s v="Startup"/>
    <s v="Standard"/>
    <s v="Yes"/>
    <s v="No"/>
    <x v="1"/>
    <x v="0"/>
    <s v="APACQ2"/>
    <n v="110000"/>
  </r>
  <r>
    <s v="TXN-102432"/>
    <d v="2024-04-05T00:00:00"/>
    <x v="117"/>
    <s v="SVC-08"/>
    <n v="196.73"/>
    <x v="0"/>
    <s v="ACH"/>
    <s v="callback requested"/>
    <x v="1"/>
    <s v="Canada"/>
    <s v="A. Kim"/>
    <x v="1"/>
    <s v="Risk"/>
    <n v="2.5000000000000001E-3"/>
    <s v="SMB"/>
    <s v="Standard"/>
    <s v="Yes"/>
    <s v="Yes"/>
    <x v="0"/>
    <x v="0"/>
    <s v="NAQ2"/>
    <n v="260000"/>
  </r>
  <r>
    <s v="TXN-101802"/>
    <d v="2024-06-16T00:00:00"/>
    <x v="34"/>
    <s v="SVC-05"/>
    <n v="519"/>
    <x v="0"/>
    <s v="Credit Card"/>
    <m/>
    <x v="1"/>
    <s v="Germany"/>
    <s v="M. Santos"/>
    <x v="3"/>
    <s v="Analytics"/>
    <n v="0"/>
    <s v="SMB"/>
    <s v="High Value"/>
    <s v="Yes"/>
    <s v="No"/>
    <x v="2"/>
    <x v="0"/>
    <s v="EMEAQ2"/>
    <n v="140000"/>
  </r>
  <r>
    <s v="TXN-101572"/>
    <d v="2024-06-02T00:00:00"/>
    <x v="121"/>
    <s v="SVC-02"/>
    <n v="659.52"/>
    <x v="0"/>
    <s v="ACH"/>
    <m/>
    <x v="0"/>
    <s v="USA"/>
    <s v="J. Reyes"/>
    <x v="6"/>
    <s v="HR &amp; Payroll"/>
    <n v="0"/>
    <s v="Enterprise"/>
    <s v="High Value"/>
    <s v="Yes"/>
    <s v="Yes"/>
    <x v="0"/>
    <x v="0"/>
    <s v="NAQ2"/>
    <n v="260000"/>
  </r>
  <r>
    <s v="TXN-100051"/>
    <d v="2024-11-05T00:00:00"/>
    <x v="45"/>
    <s v="SVC-03"/>
    <n v="212.61"/>
    <x v="0"/>
    <s v="ACH"/>
    <s v="escalated to support"/>
    <x v="0"/>
    <s v="United Kingdom"/>
    <s v="R. Patel"/>
    <x v="5"/>
    <s v="Billing"/>
    <n v="5.0000000000000001E-3"/>
    <s v="Enterprise"/>
    <s v="Standard"/>
    <s v="Yes"/>
    <s v="No"/>
    <x v="2"/>
    <x v="2"/>
    <s v="EMEAQ4"/>
    <n v="161000"/>
  </r>
  <r>
    <s v="TXN-100236"/>
    <d v="2024-06-11T00:00:00"/>
    <x v="5"/>
    <s v="SVC-08"/>
    <n v="818.48"/>
    <x v="0"/>
    <s v="Credit Card"/>
    <m/>
    <x v="1"/>
    <s v="Australia"/>
    <s v="A. Kim"/>
    <x v="1"/>
    <s v="Risk"/>
    <n v="2.5000000000000001E-3"/>
    <s v="SMB"/>
    <s v="High Value"/>
    <s v="Yes"/>
    <s v="No"/>
    <x v="1"/>
    <x v="0"/>
    <s v="APACQ2"/>
    <n v="110000"/>
  </r>
  <r>
    <s v="TXN-100758"/>
    <d v="2024-11-21T00:00:00"/>
    <x v="134"/>
    <s v="SVC-03"/>
    <n v="315.22000000000003"/>
    <x v="0"/>
    <s v="Debit Card"/>
    <s v="VIP account"/>
    <x v="1"/>
    <s v="Philippines"/>
    <s v="T. Novak"/>
    <x v="5"/>
    <s v="Billing"/>
    <n v="5.0000000000000001E-3"/>
    <s v="SMB"/>
    <s v="High Value"/>
    <s v="Yes"/>
    <s v="Yes"/>
    <x v="1"/>
    <x v="2"/>
    <s v="APACQ4"/>
    <n v="126500"/>
  </r>
  <r>
    <s v="TXN-100637"/>
    <d v="2024-09-08T00:00:00"/>
    <x v="53"/>
    <s v="SVC-01"/>
    <n v="174.26"/>
    <x v="0"/>
    <s v="Debit Card"/>
    <m/>
    <x v="0"/>
    <s v="Singapore"/>
    <s v="L. Chen"/>
    <x v="0"/>
    <s v="Payments"/>
    <n v="2.9000000000000001E-2"/>
    <s v="Enterprise"/>
    <s v="Standard"/>
    <s v="No"/>
    <s v="No"/>
    <x v="1"/>
    <x v="1"/>
    <s v="APACQ3"/>
    <n v="115500"/>
  </r>
  <r>
    <s v="TXN-100052"/>
    <d v="2024-08-20T00:00:00"/>
    <x v="3"/>
    <s v="SVC-02"/>
    <n v="271.58999999999997"/>
    <x v="0"/>
    <s v="Credit Card"/>
    <m/>
    <x v="1"/>
    <s v="Canada"/>
    <s v="J. Reyes"/>
    <x v="6"/>
    <s v="HR &amp; Payroll"/>
    <n v="0"/>
    <s v="SMB"/>
    <s v="High Value"/>
    <s v="Yes"/>
    <s v="No"/>
    <x v="0"/>
    <x v="1"/>
    <s v="NAQ3"/>
    <n v="273000"/>
  </r>
  <r>
    <s v="TXN-101870"/>
    <d v="2024-02-27T00:00:00"/>
    <x v="122"/>
    <s v="SVC-01"/>
    <n v="439.02"/>
    <x v="0"/>
    <s v="Wire Transfer"/>
    <m/>
    <x v="3"/>
    <s v="United Kingdom"/>
    <s v="A. Kim"/>
    <x v="0"/>
    <s v="Payments"/>
    <n v="2.9000000000000001E-2"/>
    <s v="Startup"/>
    <s v="Standard"/>
    <s v="Yes"/>
    <s v="No"/>
    <x v="2"/>
    <x v="3"/>
    <s v="EMEAQ1"/>
    <n v="133000"/>
  </r>
  <r>
    <s v="TXN-102264"/>
    <d v="2024-07-22T00:00:00"/>
    <x v="91"/>
    <s v="SVC-01"/>
    <n v="664.96"/>
    <x v="0"/>
    <s v="Credit Card"/>
    <m/>
    <x v="1"/>
    <s v="Singapore"/>
    <s v="A. Kim"/>
    <x v="0"/>
    <s v="Payments"/>
    <n v="2.9000000000000001E-2"/>
    <s v="SMB"/>
    <s v="High Value"/>
    <s v="Yes"/>
    <s v="Yes"/>
    <x v="1"/>
    <x v="1"/>
    <s v="APACQ3"/>
    <n v="115500"/>
  </r>
  <r>
    <s v="TXN-100185"/>
    <d v="2024-08-11T00:00:00"/>
    <x v="59"/>
    <s v="SVC-01"/>
    <n v="647.69000000000005"/>
    <x v="0"/>
    <s v="Credit Card"/>
    <s v="VIP account"/>
    <x v="1"/>
    <s v="USA"/>
    <s v="R. Patel"/>
    <x v="0"/>
    <s v="Payments"/>
    <n v="2.9000000000000001E-2"/>
    <s v="SMB"/>
    <s v="High Value"/>
    <s v="Yes"/>
    <s v="No"/>
    <x v="0"/>
    <x v="1"/>
    <s v="NAQ3"/>
    <n v="273000"/>
  </r>
  <r>
    <s v="TXN-100775"/>
    <d v="2024-12-27T00:00:00"/>
    <x v="58"/>
    <s v="SVC-01"/>
    <n v="283.95"/>
    <x v="3"/>
    <s v="ACH"/>
    <s v="VIP account"/>
    <x v="1"/>
    <s v="Canada"/>
    <s v="M. Santos"/>
    <x v="0"/>
    <s v="Payments"/>
    <n v="2.9000000000000001E-2"/>
    <s v="N/A"/>
    <s v="Standard"/>
    <s v="No"/>
    <s v="No"/>
    <x v="0"/>
    <x v="2"/>
    <s v="NAQ4"/>
    <n v="299000"/>
  </r>
  <r>
    <s v="TXN-102527"/>
    <d v="2024-08-16T00:00:00"/>
    <x v="18"/>
    <s v="SVC-02"/>
    <n v="493.42"/>
    <x v="0"/>
    <s v="Credit Card"/>
    <s v="VIP account"/>
    <x v="1"/>
    <s v="Philippines"/>
    <s v="R. Patel"/>
    <x v="6"/>
    <s v="HR &amp; Payroll"/>
    <n v="0"/>
    <s v="SMB"/>
    <s v="High Value"/>
    <s v="Yes"/>
    <s v="No"/>
    <x v="1"/>
    <x v="1"/>
    <s v="APACQ3"/>
    <n v="115500"/>
  </r>
  <r>
    <s v="TXN-100966"/>
    <d v="2024-05-29T00:00:00"/>
    <x v="10"/>
    <s v="SVC-03"/>
    <n v="366.5"/>
    <x v="0"/>
    <s v="Debit Card"/>
    <m/>
    <x v="1"/>
    <s v="USA"/>
    <s v="T. Novak"/>
    <x v="5"/>
    <s v="Billing"/>
    <n v="5.0000000000000001E-3"/>
    <s v="SMB"/>
    <s v="High Value"/>
    <s v="Yes"/>
    <s v="No"/>
    <x v="0"/>
    <x v="0"/>
    <s v="NAQ2"/>
    <n v="260000"/>
  </r>
  <r>
    <s v="TXN-100902"/>
    <d v="2024-08-23T00:00:00"/>
    <x v="1"/>
    <s v="SVC-03"/>
    <n v="578.12"/>
    <x v="0"/>
    <s v="ACH"/>
    <m/>
    <x v="0"/>
    <s v="USA"/>
    <s v="J. Reyes"/>
    <x v="5"/>
    <s v="Billing"/>
    <n v="5.0000000000000001E-3"/>
    <s v="Enterprise"/>
    <s v="High Value"/>
    <s v="Yes"/>
    <s v="No"/>
    <x v="0"/>
    <x v="1"/>
    <s v="NAQ3"/>
    <n v="273000"/>
  </r>
  <r>
    <s v="TXN-101379"/>
    <d v="2024-07-01T00:00:00"/>
    <x v="84"/>
    <s v="SVC-02"/>
    <n v="1411.41"/>
    <x v="0"/>
    <s v="Credit Card"/>
    <s v="escalated to support"/>
    <x v="3"/>
    <s v="Singapore"/>
    <s v="T. Novak"/>
    <x v="6"/>
    <s v="HR &amp; Payroll"/>
    <n v="0"/>
    <s v="Startup"/>
    <s v="High Value"/>
    <s v="Yes"/>
    <s v="Yes"/>
    <x v="1"/>
    <x v="1"/>
    <s v="APACQ3"/>
    <n v="115500"/>
  </r>
  <r>
    <s v="TXN-102094"/>
    <d v="2024-12-04T00:00:00"/>
    <x v="50"/>
    <s v="SVC-08"/>
    <n v="221.36"/>
    <x v="3"/>
    <s v="Debit Card"/>
    <m/>
    <x v="1"/>
    <s v="USA"/>
    <s v="M. Santos"/>
    <x v="1"/>
    <s v="Risk"/>
    <n v="2.5000000000000001E-3"/>
    <s v="N/A"/>
    <s v="Standard"/>
    <s v="Yes"/>
    <s v="No"/>
    <x v="0"/>
    <x v="2"/>
    <s v="NAQ4"/>
    <n v="299000"/>
  </r>
  <r>
    <s v="TXN-101741"/>
    <d v="2024-09-25T00:00:00"/>
    <x v="96"/>
    <s v="SVC-01"/>
    <n v="519.54"/>
    <x v="0"/>
    <s v="Unknown"/>
    <m/>
    <x v="1"/>
    <s v="Philippines"/>
    <s v="A. Kim"/>
    <x v="0"/>
    <s v="Payments"/>
    <n v="2.9000000000000001E-2"/>
    <s v="SMB"/>
    <s v="High Value"/>
    <s v="Yes"/>
    <s v="Yes"/>
    <x v="1"/>
    <x v="1"/>
    <s v="APACQ3"/>
    <n v="115500"/>
  </r>
  <r>
    <s v="TXN-101650"/>
    <d v="2024-04-24T00:00:00"/>
    <x v="102"/>
    <s v="SVC-02"/>
    <n v="171.7"/>
    <x v="0"/>
    <s v="ACH"/>
    <s v="callback requested"/>
    <x v="1"/>
    <s v="Philippines"/>
    <s v="L. Chen"/>
    <x v="6"/>
    <s v="HR &amp; Payroll"/>
    <n v="0"/>
    <s v="SMB"/>
    <s v="Standard"/>
    <s v="Yes"/>
    <s v="No"/>
    <x v="1"/>
    <x v="0"/>
    <s v="APACQ2"/>
    <n v="110000"/>
  </r>
  <r>
    <s v="TXN-100975"/>
    <d v="2024-07-12T00:00:00"/>
    <x v="5"/>
    <s v="SVC-04"/>
    <n v="384.88"/>
    <x v="0"/>
    <s v="ACH"/>
    <s v="escalated to support"/>
    <x v="1"/>
    <s v="Australia"/>
    <s v="A. Kim"/>
    <x v="2"/>
    <s v="Risk"/>
    <n v="1E-3"/>
    <s v="SMB"/>
    <s v="High Value"/>
    <s v="Yes"/>
    <s v="Yes"/>
    <x v="1"/>
    <x v="1"/>
    <s v="APACQ3"/>
    <n v="115500"/>
  </r>
  <r>
    <s v="TXN-100716"/>
    <d v="2024-02-09T00:00:00"/>
    <x v="105"/>
    <s v="SVC-02"/>
    <n v="410.49"/>
    <x v="0"/>
    <s v="ACH"/>
    <m/>
    <x v="3"/>
    <s v="Philippines"/>
    <s v="T. Novak"/>
    <x v="6"/>
    <s v="HR &amp; Payroll"/>
    <n v="0"/>
    <s v="Startup"/>
    <s v="High Value"/>
    <s v="Yes"/>
    <s v="No"/>
    <x v="1"/>
    <x v="3"/>
    <s v="APACQ1"/>
    <n v="104500"/>
  </r>
  <r>
    <s v="TXN-100344"/>
    <d v="2024-07-05T00:00:00"/>
    <x v="64"/>
    <s v="SVC-05"/>
    <n v="734.55"/>
    <x v="0"/>
    <s v="Debit Card"/>
    <m/>
    <x v="1"/>
    <s v="United Kingdom"/>
    <s v="J. Reyes"/>
    <x v="3"/>
    <s v="Analytics"/>
    <n v="0"/>
    <s v="SMB"/>
    <s v="High Value"/>
    <s v="Yes"/>
    <s v="No"/>
    <x v="2"/>
    <x v="1"/>
    <s v="EMEAQ3"/>
    <n v="147000"/>
  </r>
  <r>
    <s v="TXN-100237"/>
    <d v="2024-02-04T00:00:00"/>
    <x v="122"/>
    <s v="SVC-01"/>
    <n v="391.39"/>
    <x v="0"/>
    <s v="Debit Card"/>
    <s v="callback requested"/>
    <x v="3"/>
    <s v="United Kingdom"/>
    <s v="A. Kim"/>
    <x v="0"/>
    <s v="Payments"/>
    <n v="2.9000000000000001E-2"/>
    <s v="Startup"/>
    <s v="Standard"/>
    <s v="Yes"/>
    <s v="No"/>
    <x v="2"/>
    <x v="3"/>
    <s v="EMEAQ1"/>
    <n v="133000"/>
  </r>
  <r>
    <s v="TXN-100972"/>
    <d v="2024-09-02T00:00:00"/>
    <x v="68"/>
    <s v="SVC-02"/>
    <n v="754.3"/>
    <x v="0"/>
    <s v="ACH"/>
    <m/>
    <x v="1"/>
    <s v="USA"/>
    <s v="R. Patel"/>
    <x v="6"/>
    <s v="HR &amp; Payroll"/>
    <n v="0"/>
    <s v="SMB"/>
    <s v="High Value"/>
    <s v="Yes"/>
    <s v="No"/>
    <x v="0"/>
    <x v="1"/>
    <s v="NAQ3"/>
    <n v="273000"/>
  </r>
  <r>
    <s v="TXN-101983"/>
    <d v="2024-08-25T00:00:00"/>
    <x v="25"/>
    <s v="SVC-01"/>
    <n v="141"/>
    <x v="1"/>
    <s v="ACH"/>
    <s v="callback requested"/>
    <x v="0"/>
    <s v="USA"/>
    <s v="A. Kim"/>
    <x v="0"/>
    <s v="Payments"/>
    <n v="2.9000000000000001E-2"/>
    <s v="N/A"/>
    <s v="Standard"/>
    <s v="No"/>
    <s v="No"/>
    <x v="0"/>
    <x v="1"/>
    <s v="NAQ3"/>
    <n v="273000"/>
  </r>
  <r>
    <s v="TXN-102533"/>
    <d v="2024-04-18T00:00:00"/>
    <x v="0"/>
    <s v="SVC-06"/>
    <n v="915.13"/>
    <x v="0"/>
    <s v="Credit Card"/>
    <s v="callback requested"/>
    <x v="0"/>
    <s v="USA"/>
    <s v="J. Reyes"/>
    <x v="4"/>
    <s v="Platform"/>
    <n v="0"/>
    <s v="Enterprise"/>
    <s v="High Value"/>
    <s v="Yes"/>
    <s v="No"/>
    <x v="0"/>
    <x v="0"/>
    <s v="NAQ2"/>
    <n v="260000"/>
  </r>
  <r>
    <s v="TXN-101771"/>
    <d v="2024-03-25T00:00:00"/>
    <x v="35"/>
    <s v="SVC-02"/>
    <n v="1103.3499999999999"/>
    <x v="0"/>
    <s v="Debit Card"/>
    <m/>
    <x v="3"/>
    <s v="Philippines"/>
    <s v="R. Patel"/>
    <x v="6"/>
    <s v="HR &amp; Payroll"/>
    <n v="0"/>
    <s v="Startup"/>
    <s v="High Value"/>
    <s v="Yes"/>
    <s v="Yes"/>
    <x v="1"/>
    <x v="3"/>
    <s v="APACQ1"/>
    <n v="104500"/>
  </r>
  <r>
    <s v="TXN-100046"/>
    <d v="2024-01-14T00:00:00"/>
    <x v="54"/>
    <s v="SVC-01"/>
    <n v="968.79"/>
    <x v="0"/>
    <s v="Debit Card"/>
    <s v="VIP account"/>
    <x v="1"/>
    <s v="USA"/>
    <s v="J. Reyes"/>
    <x v="0"/>
    <s v="Payments"/>
    <n v="2.9000000000000001E-2"/>
    <s v="SMB"/>
    <s v="High Value"/>
    <s v="Yes"/>
    <s v="No"/>
    <x v="0"/>
    <x v="3"/>
    <s v="NAQ1"/>
    <n v="247000"/>
  </r>
  <r>
    <s v="TXN-101560"/>
    <d v="2024-03-27T00:00:00"/>
    <x v="16"/>
    <s v="SVC-03"/>
    <n v="302.26"/>
    <x v="0"/>
    <s v="Credit Card"/>
    <s v="VIP account"/>
    <x v="1"/>
    <s v="Germany"/>
    <s v="R. Patel"/>
    <x v="5"/>
    <s v="Billing"/>
    <n v="5.0000000000000001E-3"/>
    <s v="SMB"/>
    <s v="High Value"/>
    <s v="Yes"/>
    <s v="No"/>
    <x v="2"/>
    <x v="3"/>
    <s v="EMEAQ1"/>
    <n v="133000"/>
  </r>
  <r>
    <s v="TXN-100844"/>
    <d v="2024-08-09T00:00:00"/>
    <x v="42"/>
    <s v="SVC-07"/>
    <n v="109.35"/>
    <x v="0"/>
    <s v="ACH"/>
    <s v="VIP account"/>
    <x v="1"/>
    <s v="Australia"/>
    <s v="M. Santos"/>
    <x v="7"/>
    <s v="Support"/>
    <n v="0"/>
    <s v="SMB"/>
    <s v="Standard"/>
    <s v="Yes"/>
    <s v="No"/>
    <x v="1"/>
    <x v="1"/>
    <s v="APACQ3"/>
    <n v="115500"/>
  </r>
  <r>
    <s v="TXN-101799"/>
    <d v="2024-07-19T00:00:00"/>
    <x v="112"/>
    <s v="SVC-05"/>
    <n v="695.02"/>
    <x v="0"/>
    <s v="Wire Transfer"/>
    <m/>
    <x v="1"/>
    <s v="USA"/>
    <s v="A. Kim"/>
    <x v="3"/>
    <s v="Analytics"/>
    <n v="0"/>
    <s v="SMB"/>
    <s v="High Value"/>
    <s v="Yes"/>
    <s v="Yes"/>
    <x v="0"/>
    <x v="1"/>
    <s v="NAQ3"/>
    <n v="273000"/>
  </r>
  <r>
    <s v="TXN-100318"/>
    <d v="2024-02-15T00:00:00"/>
    <x v="49"/>
    <s v="SVC-03"/>
    <n v="563.75"/>
    <x v="0"/>
    <s v="Credit Card"/>
    <s v="callback requested"/>
    <x v="1"/>
    <s v="USA"/>
    <s v="A. Kim"/>
    <x v="5"/>
    <s v="Billing"/>
    <n v="5.0000000000000001E-3"/>
    <s v="SMB"/>
    <s v="High Value"/>
    <s v="Yes"/>
    <s v="No"/>
    <x v="0"/>
    <x v="3"/>
    <s v="NAQ1"/>
    <n v="247000"/>
  </r>
  <r>
    <s v="TXN-100964"/>
    <d v="2024-05-19T00:00:00"/>
    <x v="23"/>
    <s v="SVC-02"/>
    <n v="358.97"/>
    <x v="0"/>
    <s v="Credit Card"/>
    <s v="VIP account"/>
    <x v="0"/>
    <s v="USA"/>
    <s v="L. Chen"/>
    <x v="6"/>
    <s v="HR &amp; Payroll"/>
    <n v="0"/>
    <s v="Enterprise"/>
    <s v="High Value"/>
    <s v="Yes"/>
    <s v="No"/>
    <x v="0"/>
    <x v="0"/>
    <s v="NAQ2"/>
    <n v="260000"/>
  </r>
  <r>
    <s v="TXN-100829"/>
    <d v="2024-11-05T00:00:00"/>
    <x v="111"/>
    <s v="SVC-01"/>
    <n v="-147.24"/>
    <x v="2"/>
    <s v="Debit Card"/>
    <s v="escalated to support"/>
    <x v="1"/>
    <s v="Australia"/>
    <s v="A. Kim"/>
    <x v="0"/>
    <s v="Payments"/>
    <n v="2.9000000000000001E-2"/>
    <s v="N/A"/>
    <s v="Refund"/>
    <s v="No"/>
    <s v="No"/>
    <x v="1"/>
    <x v="2"/>
    <s v="APACQ4"/>
    <n v="126500"/>
  </r>
  <r>
    <s v="TXN-100004"/>
    <d v="2024-04-16T00:00:00"/>
    <x v="34"/>
    <s v="SVC-08"/>
    <n v="331.2"/>
    <x v="0"/>
    <s v="ACH"/>
    <m/>
    <x v="1"/>
    <s v="Germany"/>
    <s v="M. Santos"/>
    <x v="1"/>
    <s v="Risk"/>
    <n v="2.5000000000000001E-3"/>
    <s v="SMB"/>
    <s v="High Value"/>
    <s v="Yes"/>
    <s v="No"/>
    <x v="2"/>
    <x v="0"/>
    <s v="EMEAQ2"/>
    <n v="140000"/>
  </r>
  <r>
    <s v="TXN-100745"/>
    <d v="2024-11-12T00:00:00"/>
    <x v="76"/>
    <s v="SVC-03"/>
    <n v="135.46"/>
    <x v="0"/>
    <s v="Credit Card"/>
    <m/>
    <x v="3"/>
    <s v="United Kingdom"/>
    <s v="R. Patel"/>
    <x v="5"/>
    <s v="Billing"/>
    <n v="5.0000000000000001E-3"/>
    <s v="Startup"/>
    <s v="Standard"/>
    <s v="Yes"/>
    <s v="Yes"/>
    <x v="2"/>
    <x v="2"/>
    <s v="EMEAQ4"/>
    <n v="161000"/>
  </r>
  <r>
    <s v="TXN-101028"/>
    <d v="2024-02-23T00:00:00"/>
    <x v="34"/>
    <s v="SVC-08"/>
    <n v="519.20000000000005"/>
    <x v="0"/>
    <s v="Debit Card"/>
    <m/>
    <x v="1"/>
    <s v="Germany"/>
    <s v="M. Santos"/>
    <x v="1"/>
    <s v="Risk"/>
    <n v="2.5000000000000001E-3"/>
    <s v="SMB"/>
    <s v="High Value"/>
    <s v="Yes"/>
    <s v="No"/>
    <x v="2"/>
    <x v="3"/>
    <s v="EMEAQ1"/>
    <n v="133000"/>
  </r>
  <r>
    <s v="TXN-100534"/>
    <d v="2024-12-31T00:00:00"/>
    <x v="107"/>
    <s v="SVC-03"/>
    <n v="969.22"/>
    <x v="3"/>
    <s v="Credit Card"/>
    <m/>
    <x v="1"/>
    <s v="USA"/>
    <s v="M. Santos"/>
    <x v="5"/>
    <s v="Billing"/>
    <n v="5.0000000000000001E-3"/>
    <s v="N/A"/>
    <s v="High Value"/>
    <s v="Yes"/>
    <s v="Yes"/>
    <x v="0"/>
    <x v="2"/>
    <s v="NAQ4"/>
    <n v="299000"/>
  </r>
  <r>
    <s v="TXN-101231"/>
    <d v="2024-05-17T00:00:00"/>
    <x v="14"/>
    <s v="SVC-03"/>
    <n v="187.51"/>
    <x v="0"/>
    <s v="ACH"/>
    <s v="callback requested"/>
    <x v="3"/>
    <s v="Canada"/>
    <s v="A. Kim"/>
    <x v="5"/>
    <s v="Billing"/>
    <n v="5.0000000000000001E-3"/>
    <s v="Startup"/>
    <s v="Standard"/>
    <s v="Yes"/>
    <s v="Yes"/>
    <x v="0"/>
    <x v="0"/>
    <s v="NAQ2"/>
    <n v="260000"/>
  </r>
  <r>
    <s v="TXN-100567"/>
    <d v="2024-07-30T00:00:00"/>
    <x v="48"/>
    <s v="SVC-07"/>
    <n v="389.05"/>
    <x v="0"/>
    <s v="Credit Card"/>
    <s v="escalated to support"/>
    <x v="1"/>
    <s v="Germany"/>
    <s v="J. Reyes"/>
    <x v="7"/>
    <s v="Support"/>
    <n v="0"/>
    <s v="SMB"/>
    <s v="High Value"/>
    <s v="Yes"/>
    <s v="No"/>
    <x v="2"/>
    <x v="1"/>
    <s v="EMEAQ3"/>
    <n v="147000"/>
  </r>
  <r>
    <s v="TXN-101916"/>
    <d v="2024-09-21T00:00:00"/>
    <x v="125"/>
    <s v="SVC-08"/>
    <n v="1226.01"/>
    <x v="3"/>
    <s v="Wire Transfer"/>
    <s v="VIP account"/>
    <x v="1"/>
    <s v="USA"/>
    <s v="A. Kim"/>
    <x v="1"/>
    <s v="Risk"/>
    <n v="2.5000000000000001E-3"/>
    <s v="N/A"/>
    <s v="High Value"/>
    <s v="Yes"/>
    <s v="No"/>
    <x v="0"/>
    <x v="1"/>
    <s v="NAQ3"/>
    <n v="273000"/>
  </r>
  <r>
    <s v="TXN-100727"/>
    <d v="2024-10-18T00:00:00"/>
    <x v="21"/>
    <s v="SVC-05"/>
    <n v="702.36"/>
    <x v="3"/>
    <s v="Credit Card"/>
    <s v="VIP account"/>
    <x v="0"/>
    <s v="Australia"/>
    <s v="M. Santos"/>
    <x v="3"/>
    <s v="Analytics"/>
    <n v="0"/>
    <s v="N/A"/>
    <s v="High Value"/>
    <s v="Yes"/>
    <s v="No"/>
    <x v="1"/>
    <x v="2"/>
    <s v="APACQ4"/>
    <n v="126500"/>
  </r>
  <r>
    <s v="TXN-102582"/>
    <d v="2024-08-19T00:00:00"/>
    <x v="57"/>
    <s v="SVC-02"/>
    <n v="213.71"/>
    <x v="0"/>
    <s v="Credit Card"/>
    <s v="callback requested"/>
    <x v="1"/>
    <s v="USA"/>
    <s v="L. Chen"/>
    <x v="6"/>
    <s v="HR &amp; Payroll"/>
    <n v="0"/>
    <s v="SMB"/>
    <s v="Standard"/>
    <s v="Yes"/>
    <s v="Yes"/>
    <x v="0"/>
    <x v="1"/>
    <s v="NAQ3"/>
    <n v="273000"/>
  </r>
  <r>
    <s v="TXN-100610"/>
    <d v="2024-02-16T00:00:00"/>
    <x v="45"/>
    <s v="SVC-01"/>
    <n v="790.54"/>
    <x v="0"/>
    <s v="ACH"/>
    <s v="callback requested"/>
    <x v="0"/>
    <s v="United Kingdom"/>
    <s v="R. Patel"/>
    <x v="0"/>
    <s v="Payments"/>
    <n v="2.9000000000000001E-2"/>
    <s v="Enterprise"/>
    <s v="High Value"/>
    <s v="Yes"/>
    <s v="No"/>
    <x v="2"/>
    <x v="3"/>
    <s v="EMEAQ1"/>
    <n v="133000"/>
  </r>
  <r>
    <s v="TXN-102453"/>
    <d v="2024-11-18T00:00:00"/>
    <x v="122"/>
    <s v="SVC-06"/>
    <n v="261.05"/>
    <x v="0"/>
    <s v="Credit Card"/>
    <m/>
    <x v="3"/>
    <s v="United Kingdom"/>
    <s v="A. Kim"/>
    <x v="4"/>
    <s v="Platform"/>
    <n v="0"/>
    <s v="Startup"/>
    <s v="High Value"/>
    <s v="Yes"/>
    <s v="No"/>
    <x v="2"/>
    <x v="2"/>
    <s v="EMEAQ4"/>
    <n v="161000"/>
  </r>
  <r>
    <s v="TXN-100539"/>
    <d v="2024-01-26T00:00:00"/>
    <x v="124"/>
    <s v="SVC-07"/>
    <n v="609.4"/>
    <x v="0"/>
    <s v="Credit Card"/>
    <m/>
    <x v="1"/>
    <s v="United Kingdom"/>
    <s v="A. Kim"/>
    <x v="7"/>
    <s v="Support"/>
    <n v="0"/>
    <s v="SMB"/>
    <s v="High Value"/>
    <s v="Yes"/>
    <s v="Yes"/>
    <x v="2"/>
    <x v="3"/>
    <s v="EMEAQ1"/>
    <n v="133000"/>
  </r>
  <r>
    <s v="TXN-102205"/>
    <d v="2024-02-23T00:00:00"/>
    <x v="121"/>
    <s v="SVC-01"/>
    <n v="873.87"/>
    <x v="0"/>
    <s v="Unknown"/>
    <m/>
    <x v="0"/>
    <s v="USA"/>
    <s v="J. Reyes"/>
    <x v="0"/>
    <s v="Payments"/>
    <n v="2.9000000000000001E-2"/>
    <s v="Enterprise"/>
    <s v="High Value"/>
    <s v="Yes"/>
    <s v="Yes"/>
    <x v="0"/>
    <x v="3"/>
    <s v="NAQ1"/>
    <n v="247000"/>
  </r>
  <r>
    <s v="TXN-100604"/>
    <d v="2024-01-31T00:00:00"/>
    <x v="108"/>
    <s v="SVC-05"/>
    <n v="103.69"/>
    <x v="0"/>
    <s v="Credit Card"/>
    <s v="callback requested"/>
    <x v="1"/>
    <s v="Germany"/>
    <s v="M. Santos"/>
    <x v="3"/>
    <s v="Analytics"/>
    <n v="0"/>
    <s v="SMB"/>
    <s v="Standard"/>
    <s v="Yes"/>
    <s v="No"/>
    <x v="2"/>
    <x v="3"/>
    <s v="EMEAQ1"/>
    <n v="133000"/>
  </r>
  <r>
    <s v="TXN-100039"/>
    <d v="2024-06-03T00:00:00"/>
    <x v="21"/>
    <s v="SVC-07"/>
    <n v="276.32"/>
    <x v="0"/>
    <s v="ACH"/>
    <m/>
    <x v="0"/>
    <s v="Australia"/>
    <s v="M. Santos"/>
    <x v="7"/>
    <s v="Support"/>
    <n v="0"/>
    <s v="Enterprise"/>
    <s v="High Value"/>
    <s v="Yes"/>
    <s v="Yes"/>
    <x v="1"/>
    <x v="0"/>
    <s v="APACQ2"/>
    <n v="110000"/>
  </r>
  <r>
    <s v="TXN-100740"/>
    <d v="2024-12-16T00:00:00"/>
    <x v="62"/>
    <s v="SVC-04"/>
    <n v="397.51"/>
    <x v="0"/>
    <s v="Debit Card"/>
    <s v="escalated to support"/>
    <x v="0"/>
    <s v="USA"/>
    <s v="A. Kim"/>
    <x v="2"/>
    <s v="Risk"/>
    <n v="1E-3"/>
    <s v="Enterprise"/>
    <s v="High Value"/>
    <s v="Yes"/>
    <s v="No"/>
    <x v="0"/>
    <x v="2"/>
    <s v="NAQ4"/>
    <n v="299000"/>
  </r>
  <r>
    <s v="TXN-102016"/>
    <d v="2024-01-05T00:00:00"/>
    <x v="8"/>
    <s v="SVC-03"/>
    <n v="245.23"/>
    <x v="0"/>
    <s v="Debit Card"/>
    <m/>
    <x v="1"/>
    <s v="USA"/>
    <s v="M. Santos"/>
    <x v="5"/>
    <s v="Billing"/>
    <n v="5.0000000000000001E-3"/>
    <s v="SMB"/>
    <s v="Standard"/>
    <s v="Yes"/>
    <s v="No"/>
    <x v="0"/>
    <x v="3"/>
    <s v="NAQ1"/>
    <n v="247000"/>
  </r>
  <r>
    <s v="TXN-102572"/>
    <d v="2024-07-07T00:00:00"/>
    <x v="30"/>
    <s v="SVC-02"/>
    <n v="62.5"/>
    <x v="1"/>
    <s v="Credit Card"/>
    <m/>
    <x v="1"/>
    <s v="Germany"/>
    <s v="M. Santos"/>
    <x v="6"/>
    <s v="HR &amp; Payroll"/>
    <n v="0"/>
    <s v="N/A"/>
    <s v="Standard"/>
    <s v="Yes"/>
    <s v="No"/>
    <x v="2"/>
    <x v="1"/>
    <s v="EMEAQ3"/>
    <n v="147000"/>
  </r>
  <r>
    <s v="TXN-102079"/>
    <d v="2024-02-10T00:00:00"/>
    <x v="79"/>
    <s v="SVC-08"/>
    <n v="254.44"/>
    <x v="1"/>
    <s v="Debit Card"/>
    <m/>
    <x v="3"/>
    <s v="USA"/>
    <s v="T. Novak"/>
    <x v="1"/>
    <s v="Risk"/>
    <n v="2.5000000000000001E-3"/>
    <s v="N/A"/>
    <s v="High Value"/>
    <s v="Yes"/>
    <s v="Yes"/>
    <x v="0"/>
    <x v="3"/>
    <s v="NAQ1"/>
    <n v="247000"/>
  </r>
  <r>
    <s v="TXN-100092"/>
    <d v="2024-08-01T00:00:00"/>
    <x v="47"/>
    <s v="SVC-01"/>
    <n v="474.1"/>
    <x v="0"/>
    <s v="Credit Card"/>
    <m/>
    <x v="1"/>
    <s v="Canada"/>
    <s v="R. Patel"/>
    <x v="0"/>
    <s v="Payments"/>
    <n v="2.9000000000000001E-2"/>
    <s v="SMB"/>
    <s v="Standard"/>
    <s v="Yes"/>
    <s v="No"/>
    <x v="0"/>
    <x v="1"/>
    <s v="NAQ3"/>
    <n v="273000"/>
  </r>
  <r>
    <s v="TXN-101244"/>
    <d v="2024-09-13T00:00:00"/>
    <x v="52"/>
    <s v="SVC-02"/>
    <n v="855.28"/>
    <x v="3"/>
    <s v="Debit Card"/>
    <m/>
    <x v="1"/>
    <s v="USA"/>
    <s v="M. Santos"/>
    <x v="6"/>
    <s v="HR &amp; Payroll"/>
    <n v="0"/>
    <s v="N/A"/>
    <s v="High Value"/>
    <s v="Yes"/>
    <s v="No"/>
    <x v="0"/>
    <x v="1"/>
    <s v="NAQ3"/>
    <n v="273000"/>
  </r>
  <r>
    <s v="TXN-102031"/>
    <d v="2024-03-25T00:00:00"/>
    <x v="30"/>
    <s v="SVC-03"/>
    <n v="302.17"/>
    <x v="1"/>
    <s v="ACH"/>
    <s v="VIP account"/>
    <x v="1"/>
    <s v="Germany"/>
    <s v="M. Santos"/>
    <x v="5"/>
    <s v="Billing"/>
    <n v="5.0000000000000001E-3"/>
    <s v="N/A"/>
    <s v="High Value"/>
    <s v="Yes"/>
    <s v="No"/>
    <x v="2"/>
    <x v="3"/>
    <s v="EMEAQ1"/>
    <n v="133000"/>
  </r>
  <r>
    <s v="TXN-100206"/>
    <d v="2024-08-06T00:00:00"/>
    <x v="49"/>
    <s v="SVC-02"/>
    <n v="-228.94"/>
    <x v="2"/>
    <s v="Credit Card"/>
    <m/>
    <x v="1"/>
    <s v="USA"/>
    <s v="A. Kim"/>
    <x v="6"/>
    <s v="HR &amp; Payroll"/>
    <n v="0"/>
    <s v="N/A"/>
    <s v="Refund"/>
    <s v="No"/>
    <s v="No"/>
    <x v="0"/>
    <x v="1"/>
    <s v="NAQ3"/>
    <n v="273000"/>
  </r>
  <r>
    <s v="TXN-102485"/>
    <d v="2024-11-23T00:00:00"/>
    <x v="1"/>
    <s v="SVC-01"/>
    <n v="512.41999999999996"/>
    <x v="0"/>
    <s v="Debit Card"/>
    <m/>
    <x v="0"/>
    <s v="USA"/>
    <s v="J. Reyes"/>
    <x v="0"/>
    <s v="Payments"/>
    <n v="2.9000000000000001E-2"/>
    <s v="Enterprise"/>
    <s v="High Value"/>
    <s v="Yes"/>
    <s v="No"/>
    <x v="0"/>
    <x v="2"/>
    <s v="NAQ4"/>
    <n v="299000"/>
  </r>
  <r>
    <s v="TXN-102274"/>
    <d v="2024-11-14T00:00:00"/>
    <x v="111"/>
    <s v="SVC-08"/>
    <n v="868.66"/>
    <x v="1"/>
    <s v="Credit Card"/>
    <s v="VIP account"/>
    <x v="1"/>
    <s v="Australia"/>
    <s v="A. Kim"/>
    <x v="1"/>
    <s v="Risk"/>
    <n v="2.5000000000000001E-3"/>
    <s v="N/A"/>
    <s v="High Value"/>
    <s v="Yes"/>
    <s v="No"/>
    <x v="1"/>
    <x v="2"/>
    <s v="APACQ4"/>
    <n v="126500"/>
  </r>
  <r>
    <s v="TXN-101436"/>
    <d v="2024-08-30T00:00:00"/>
    <x v="100"/>
    <s v="SVC-07"/>
    <n v="163.34"/>
    <x v="0"/>
    <s v="ACH"/>
    <s v="escalated to support"/>
    <x v="1"/>
    <s v="USA"/>
    <s v="J. Reyes"/>
    <x v="7"/>
    <s v="Support"/>
    <n v="0"/>
    <s v="SMB"/>
    <s v="Standard"/>
    <s v="Yes"/>
    <s v="Yes"/>
    <x v="0"/>
    <x v="1"/>
    <s v="NAQ3"/>
    <n v="273000"/>
  </r>
  <r>
    <s v="TXN-102082"/>
    <d v="2024-08-22T00:00:00"/>
    <x v="56"/>
    <s v="SVC-01"/>
    <n v="282.89"/>
    <x v="0"/>
    <s v="ACH"/>
    <m/>
    <x v="0"/>
    <s v="Singapore"/>
    <s v="R. Patel"/>
    <x v="0"/>
    <s v="Payments"/>
    <n v="2.9000000000000001E-2"/>
    <s v="Enterprise"/>
    <s v="Standard"/>
    <s v="No"/>
    <s v="No"/>
    <x v="1"/>
    <x v="1"/>
    <s v="APACQ3"/>
    <n v="115500"/>
  </r>
  <r>
    <s v="TXN-100613"/>
    <d v="2024-06-20T00:00:00"/>
    <x v="27"/>
    <s v="SVC-04"/>
    <n v="162.19999999999999"/>
    <x v="0"/>
    <s v="Debit Card"/>
    <s v="escalated to support"/>
    <x v="1"/>
    <s v="Canada"/>
    <s v="L. Chen"/>
    <x v="2"/>
    <s v="Risk"/>
    <n v="1E-3"/>
    <s v="SMB"/>
    <s v="Standard"/>
    <s v="Yes"/>
    <s v="No"/>
    <x v="0"/>
    <x v="0"/>
    <s v="NAQ2"/>
    <n v="260000"/>
  </r>
  <r>
    <s v="TXN-102581"/>
    <d v="2024-01-16T00:00:00"/>
    <x v="102"/>
    <s v="SVC-08"/>
    <n v="458.9"/>
    <x v="0"/>
    <s v="Credit Card"/>
    <m/>
    <x v="1"/>
    <s v="Philippines"/>
    <s v="L. Chen"/>
    <x v="1"/>
    <s v="Risk"/>
    <n v="2.5000000000000001E-3"/>
    <s v="SMB"/>
    <s v="High Value"/>
    <s v="Yes"/>
    <s v="Yes"/>
    <x v="1"/>
    <x v="3"/>
    <s v="APACQ1"/>
    <n v="104500"/>
  </r>
  <r>
    <s v="TXN-100223"/>
    <d v="2024-02-17T00:00:00"/>
    <x v="75"/>
    <s v="SVC-04"/>
    <n v="212.65"/>
    <x v="0"/>
    <s v="Wire Transfer"/>
    <m/>
    <x v="0"/>
    <s v="Canada"/>
    <s v="R. Patel"/>
    <x v="2"/>
    <s v="Risk"/>
    <n v="1E-3"/>
    <s v="Enterprise"/>
    <s v="Standard"/>
    <s v="Yes"/>
    <s v="Yes"/>
    <x v="0"/>
    <x v="3"/>
    <s v="NAQ1"/>
    <n v="247000"/>
  </r>
  <r>
    <s v="TXN-102128"/>
    <d v="2024-12-18T00:00:00"/>
    <x v="114"/>
    <s v="SVC-02"/>
    <n v="121.42"/>
    <x v="0"/>
    <s v="ACH"/>
    <m/>
    <x v="3"/>
    <s v="Australia"/>
    <s v="A. Kim"/>
    <x v="6"/>
    <s v="HR &amp; Payroll"/>
    <n v="0"/>
    <s v="Startup"/>
    <s v="Standard"/>
    <s v="Yes"/>
    <s v="Yes"/>
    <x v="1"/>
    <x v="2"/>
    <s v="APACQ4"/>
    <n v="126500"/>
  </r>
  <r>
    <s v="TXN-100672"/>
    <d v="2024-02-28T00:00:00"/>
    <x v="94"/>
    <s v="SVC-07"/>
    <n v="222.4"/>
    <x v="0"/>
    <s v="Credit Card"/>
    <s v="callback requested"/>
    <x v="1"/>
    <s v="United Kingdom"/>
    <s v="L. Chen"/>
    <x v="7"/>
    <s v="Support"/>
    <n v="0"/>
    <s v="SMB"/>
    <s v="Standard"/>
    <s v="Yes"/>
    <s v="Yes"/>
    <x v="2"/>
    <x v="3"/>
    <s v="EMEAQ1"/>
    <n v="133000"/>
  </r>
  <r>
    <s v="TXN-101312"/>
    <d v="2024-10-20T00:00:00"/>
    <x v="41"/>
    <s v="SVC-01"/>
    <n v="276.39"/>
    <x v="0"/>
    <s v="Credit Card"/>
    <m/>
    <x v="0"/>
    <s v="Canada"/>
    <s v="M. Santos"/>
    <x v="0"/>
    <s v="Payments"/>
    <n v="2.9000000000000001E-2"/>
    <s v="Enterprise"/>
    <s v="Standard"/>
    <s v="No"/>
    <s v="No"/>
    <x v="0"/>
    <x v="2"/>
    <s v="NAQ4"/>
    <n v="299000"/>
  </r>
  <r>
    <s v="TXN-101790"/>
    <d v="2024-05-25T00:00:00"/>
    <x v="105"/>
    <s v="SVC-05"/>
    <n v="205.9"/>
    <x v="0"/>
    <s v="Credit Card"/>
    <s v="callback requested"/>
    <x v="3"/>
    <s v="Philippines"/>
    <s v="T. Novak"/>
    <x v="3"/>
    <s v="Analytics"/>
    <n v="0"/>
    <s v="Startup"/>
    <s v="Standard"/>
    <s v="Yes"/>
    <s v="Yes"/>
    <x v="1"/>
    <x v="0"/>
    <s v="APACQ2"/>
    <n v="110000"/>
  </r>
  <r>
    <s v="TXN-102384"/>
    <d v="2024-06-25T00:00:00"/>
    <x v="2"/>
    <s v="SVC-01"/>
    <n v="184.65"/>
    <x v="0"/>
    <s v="ACH"/>
    <s v="callback requested"/>
    <x v="0"/>
    <s v="USA"/>
    <s v="A. Kim"/>
    <x v="0"/>
    <s v="Payments"/>
    <n v="2.9000000000000001E-2"/>
    <s v="Enterprise"/>
    <s v="Standard"/>
    <s v="No"/>
    <s v="No"/>
    <x v="0"/>
    <x v="0"/>
    <s v="NAQ2"/>
    <n v="260000"/>
  </r>
  <r>
    <s v="TXN-102271"/>
    <d v="2024-06-28T00:00:00"/>
    <x v="97"/>
    <s v="SVC-01"/>
    <n v="253.65"/>
    <x v="0"/>
    <s v="Credit Card"/>
    <s v="callback requested"/>
    <x v="0"/>
    <s v="United Kingdom"/>
    <s v="L. Chen"/>
    <x v="0"/>
    <s v="Payments"/>
    <n v="2.9000000000000001E-2"/>
    <s v="Enterprise"/>
    <s v="Standard"/>
    <s v="No"/>
    <s v="No"/>
    <x v="2"/>
    <x v="0"/>
    <s v="EMEAQ2"/>
    <n v="140000"/>
  </r>
  <r>
    <s v="TXN-102379"/>
    <d v="2024-05-27T00:00:00"/>
    <x v="111"/>
    <s v="SVC-07"/>
    <n v="337.33"/>
    <x v="0"/>
    <s v="Credit Card"/>
    <s v="callback requested"/>
    <x v="1"/>
    <s v="Australia"/>
    <s v="A. Kim"/>
    <x v="7"/>
    <s v="Support"/>
    <n v="0"/>
    <s v="SMB"/>
    <s v="High Value"/>
    <s v="Yes"/>
    <s v="Yes"/>
    <x v="1"/>
    <x v="0"/>
    <s v="APACQ2"/>
    <n v="110000"/>
  </r>
  <r>
    <s v="TXN-100117"/>
    <d v="2024-02-07T00:00:00"/>
    <x v="61"/>
    <s v="SVC-01"/>
    <n v="205.91"/>
    <x v="0"/>
    <s v="Credit Card"/>
    <s v="callback requested"/>
    <x v="1"/>
    <s v="Australia"/>
    <s v="M. Santos"/>
    <x v="0"/>
    <s v="Payments"/>
    <n v="2.9000000000000001E-2"/>
    <s v="SMB"/>
    <s v="Standard"/>
    <s v="No"/>
    <s v="No"/>
    <x v="1"/>
    <x v="3"/>
    <s v="APACQ1"/>
    <n v="104500"/>
  </r>
  <r>
    <s v="TXN-102566"/>
    <d v="2024-08-18T00:00:00"/>
    <x v="41"/>
    <s v="SVC-07"/>
    <n v="632.30999999999995"/>
    <x v="0"/>
    <s v="Debit Card"/>
    <m/>
    <x v="0"/>
    <s v="Canada"/>
    <s v="M. Santos"/>
    <x v="7"/>
    <s v="Support"/>
    <n v="0"/>
    <s v="Enterprise"/>
    <s v="High Value"/>
    <s v="Yes"/>
    <s v="No"/>
    <x v="0"/>
    <x v="1"/>
    <s v="NAQ3"/>
    <n v="273000"/>
  </r>
  <r>
    <s v="TXN-100821"/>
    <d v="2024-09-17T00:00:00"/>
    <x v="0"/>
    <s v="SVC-07"/>
    <n v="-241.63"/>
    <x v="2"/>
    <s v="ACH"/>
    <m/>
    <x v="0"/>
    <s v="USA"/>
    <s v="J. Reyes"/>
    <x v="7"/>
    <s v="Support"/>
    <n v="0"/>
    <s v="N/A"/>
    <s v="Refund"/>
    <s v="No"/>
    <s v="No"/>
    <x v="0"/>
    <x v="1"/>
    <s v="NAQ3"/>
    <n v="273000"/>
  </r>
  <r>
    <s v="TXN-102517"/>
    <d v="2024-12-23T00:00:00"/>
    <x v="123"/>
    <s v="SVC-03"/>
    <n v="-630.28"/>
    <x v="2"/>
    <s v="ACH"/>
    <m/>
    <x v="3"/>
    <s v="Australia"/>
    <s v="L. Chen"/>
    <x v="5"/>
    <s v="Billing"/>
    <n v="5.0000000000000001E-3"/>
    <s v="N/A"/>
    <s v="Refund"/>
    <s v="No"/>
    <s v="No"/>
    <x v="1"/>
    <x v="2"/>
    <s v="APACQ4"/>
    <n v="126500"/>
  </r>
  <r>
    <s v="TXN-101015"/>
    <d v="2024-11-05T00:00:00"/>
    <x v="94"/>
    <s v="SVC-02"/>
    <n v="230.81"/>
    <x v="0"/>
    <s v="Credit Card"/>
    <m/>
    <x v="1"/>
    <s v="United Kingdom"/>
    <s v="L. Chen"/>
    <x v="6"/>
    <s v="HR &amp; Payroll"/>
    <n v="0"/>
    <s v="SMB"/>
    <s v="Standard"/>
    <s v="Yes"/>
    <s v="No"/>
    <x v="2"/>
    <x v="2"/>
    <s v="EMEAQ4"/>
    <n v="161000"/>
  </r>
  <r>
    <s v="TXN-101770"/>
    <d v="2024-10-21T00:00:00"/>
    <x v="100"/>
    <s v="SVC-05"/>
    <n v="677.66"/>
    <x v="3"/>
    <s v="Debit Card"/>
    <m/>
    <x v="1"/>
    <s v="USA"/>
    <s v="J. Reyes"/>
    <x v="3"/>
    <s v="Analytics"/>
    <n v="0"/>
    <s v="N/A"/>
    <s v="High Value"/>
    <s v="Yes"/>
    <s v="Yes"/>
    <x v="0"/>
    <x v="2"/>
    <s v="NAQ4"/>
    <n v="299000"/>
  </r>
  <r>
    <s v="TXN-101247"/>
    <d v="2024-02-12T00:00:00"/>
    <x v="31"/>
    <s v="SVC-03"/>
    <n v="66.260000000000005"/>
    <x v="0"/>
    <s v="Wire Transfer"/>
    <s v="callback requested"/>
    <x v="0"/>
    <s v="Philippines"/>
    <s v="M. Santos"/>
    <x v="5"/>
    <s v="Billing"/>
    <n v="5.0000000000000001E-3"/>
    <s v="Enterprise"/>
    <s v="Standard"/>
    <s v="Yes"/>
    <s v="Yes"/>
    <x v="1"/>
    <x v="3"/>
    <s v="APACQ1"/>
    <n v="104500"/>
  </r>
  <r>
    <s v="TXN-101496"/>
    <d v="2024-04-14T00:00:00"/>
    <x v="128"/>
    <s v="SVC-08"/>
    <n v="479.91"/>
    <x v="0"/>
    <s v="Unknown"/>
    <m/>
    <x v="0"/>
    <s v="Philippines"/>
    <s v="L. Chen"/>
    <x v="1"/>
    <s v="Risk"/>
    <n v="2.5000000000000001E-3"/>
    <s v="Enterprise"/>
    <s v="High Value"/>
    <s v="Yes"/>
    <s v="Yes"/>
    <x v="1"/>
    <x v="0"/>
    <s v="APACQ2"/>
    <n v="110000"/>
  </r>
  <r>
    <s v="TXN-102296"/>
    <d v="2024-01-04T00:00:00"/>
    <x v="31"/>
    <s v="SVC-07"/>
    <n v="110.11"/>
    <x v="0"/>
    <s v="ACH"/>
    <s v="escalated to support"/>
    <x v="0"/>
    <s v="Philippines"/>
    <s v="M. Santos"/>
    <x v="7"/>
    <s v="Support"/>
    <n v="0"/>
    <s v="Enterprise"/>
    <s v="Standard"/>
    <s v="Yes"/>
    <s v="Yes"/>
    <x v="1"/>
    <x v="3"/>
    <s v="APACQ1"/>
    <n v="104500"/>
  </r>
  <r>
    <s v="TXN-102364"/>
    <d v="2024-12-29T00:00:00"/>
    <x v="37"/>
    <s v="SVC-05"/>
    <n v="472.26"/>
    <x v="3"/>
    <s v="Debit Card"/>
    <m/>
    <x v="1"/>
    <s v="Canada"/>
    <s v="T. Novak"/>
    <x v="3"/>
    <s v="Analytics"/>
    <n v="0"/>
    <s v="N/A"/>
    <s v="High Value"/>
    <s v="Yes"/>
    <s v="No"/>
    <x v="0"/>
    <x v="2"/>
    <s v="NAQ4"/>
    <n v="299000"/>
  </r>
  <r>
    <s v="TXN-101269"/>
    <d v="2024-11-02T00:00:00"/>
    <x v="110"/>
    <s v="SVC-02"/>
    <n v="274.63"/>
    <x v="0"/>
    <s v="Credit Card"/>
    <s v="escalated to support"/>
    <x v="0"/>
    <s v="USA"/>
    <s v="A. Kim"/>
    <x v="6"/>
    <s v="HR &amp; Payroll"/>
    <n v="0"/>
    <s v="Enterprise"/>
    <s v="High Value"/>
    <s v="Yes"/>
    <s v="Yes"/>
    <x v="0"/>
    <x v="2"/>
    <s v="NAQ4"/>
    <n v="299000"/>
  </r>
  <r>
    <s v="TXN-101356"/>
    <d v="2024-09-23T00:00:00"/>
    <x v="1"/>
    <s v="SVC-04"/>
    <n v="770.19"/>
    <x v="0"/>
    <s v="Credit Card"/>
    <s v="callback requested"/>
    <x v="0"/>
    <s v="USA"/>
    <s v="J. Reyes"/>
    <x v="2"/>
    <s v="Risk"/>
    <n v="1E-3"/>
    <s v="Enterprise"/>
    <s v="High Value"/>
    <s v="Yes"/>
    <s v="No"/>
    <x v="0"/>
    <x v="1"/>
    <s v="NAQ3"/>
    <n v="273000"/>
  </r>
  <r>
    <s v="TXN-101144"/>
    <d v="2024-10-23T00:00:00"/>
    <x v="110"/>
    <s v="SVC-02"/>
    <n v="309.41000000000003"/>
    <x v="1"/>
    <s v="Credit Card"/>
    <m/>
    <x v="0"/>
    <s v="USA"/>
    <s v="A. Kim"/>
    <x v="6"/>
    <s v="HR &amp; Payroll"/>
    <n v="0"/>
    <s v="N/A"/>
    <s v="High Value"/>
    <s v="Yes"/>
    <s v="No"/>
    <x v="0"/>
    <x v="2"/>
    <s v="NAQ4"/>
    <n v="299000"/>
  </r>
  <r>
    <s v="TXN-100773"/>
    <d v="2024-03-04T00:00:00"/>
    <x v="134"/>
    <s v="SVC-04"/>
    <n v="800.7"/>
    <x v="0"/>
    <s v="Unknown"/>
    <s v="VIP account"/>
    <x v="1"/>
    <s v="Philippines"/>
    <s v="T. Novak"/>
    <x v="2"/>
    <s v="Risk"/>
    <n v="1E-3"/>
    <s v="SMB"/>
    <s v="High Value"/>
    <s v="Yes"/>
    <s v="Yes"/>
    <x v="1"/>
    <x v="3"/>
    <s v="APACQ1"/>
    <n v="104500"/>
  </r>
  <r>
    <s v="TXN-100623"/>
    <d v="2024-01-25T00:00:00"/>
    <x v="85"/>
    <s v="SVC-06"/>
    <n v="304.58999999999997"/>
    <x v="0"/>
    <s v="Unknown"/>
    <s v="VIP account"/>
    <x v="0"/>
    <s v="Canada"/>
    <s v="T. Novak"/>
    <x v="4"/>
    <s v="Platform"/>
    <n v="0"/>
    <s v="Enterprise"/>
    <s v="High Value"/>
    <s v="Yes"/>
    <s v="Yes"/>
    <x v="0"/>
    <x v="3"/>
    <s v="NAQ1"/>
    <n v="247000"/>
  </r>
  <r>
    <s v="TXN-100177"/>
    <d v="2024-12-23T00:00:00"/>
    <x v="85"/>
    <s v="SVC-01"/>
    <n v="477.22"/>
    <x v="0"/>
    <s v="Debit Card"/>
    <m/>
    <x v="0"/>
    <s v="Canada"/>
    <s v="T. Novak"/>
    <x v="0"/>
    <s v="Payments"/>
    <n v="2.9000000000000001E-2"/>
    <s v="Enterprise"/>
    <s v="Standard"/>
    <s v="Yes"/>
    <s v="No"/>
    <x v="0"/>
    <x v="2"/>
    <s v="NAQ4"/>
    <n v="299000"/>
  </r>
  <r>
    <s v="TXN-100102"/>
    <d v="2024-08-10T00:00:00"/>
    <x v="47"/>
    <s v="SVC-04"/>
    <n v="509.91"/>
    <x v="0"/>
    <s v="Debit Card"/>
    <m/>
    <x v="1"/>
    <s v="Canada"/>
    <s v="R. Patel"/>
    <x v="2"/>
    <s v="Risk"/>
    <n v="1E-3"/>
    <s v="SMB"/>
    <s v="High Value"/>
    <s v="Yes"/>
    <s v="No"/>
    <x v="0"/>
    <x v="1"/>
    <s v="NAQ3"/>
    <n v="273000"/>
  </r>
  <r>
    <s v="TXN-101731"/>
    <d v="2024-09-27T00:00:00"/>
    <x v="46"/>
    <s v="SVC-06"/>
    <n v="460.5"/>
    <x v="0"/>
    <s v="Debit Card"/>
    <m/>
    <x v="1"/>
    <s v="Australia"/>
    <s v="L. Chen"/>
    <x v="4"/>
    <s v="Platform"/>
    <n v="0"/>
    <s v="SMB"/>
    <s v="High Value"/>
    <s v="Yes"/>
    <s v="Yes"/>
    <x v="1"/>
    <x v="1"/>
    <s v="APACQ3"/>
    <n v="115500"/>
  </r>
  <r>
    <s v="TXN-102431"/>
    <d v="2024-10-24T00:00:00"/>
    <x v="122"/>
    <s v="SVC-01"/>
    <n v="265.2"/>
    <x v="0"/>
    <s v="Unknown"/>
    <s v="escalated to support"/>
    <x v="3"/>
    <s v="United Kingdom"/>
    <s v="A. Kim"/>
    <x v="0"/>
    <s v="Payments"/>
    <n v="2.9000000000000001E-2"/>
    <s v="Startup"/>
    <s v="Standard"/>
    <s v="No"/>
    <s v="No"/>
    <x v="2"/>
    <x v="2"/>
    <s v="EMEAQ4"/>
    <n v="161000"/>
  </r>
  <r>
    <s v="TXN-101550"/>
    <d v="2024-03-18T00:00:00"/>
    <x v="47"/>
    <s v="SVC-07"/>
    <n v="373.86"/>
    <x v="0"/>
    <s v="Debit Card"/>
    <m/>
    <x v="1"/>
    <s v="Canada"/>
    <s v="R. Patel"/>
    <x v="7"/>
    <s v="Support"/>
    <n v="0"/>
    <s v="SMB"/>
    <s v="High Value"/>
    <s v="Yes"/>
    <s v="Yes"/>
    <x v="0"/>
    <x v="3"/>
    <s v="NAQ1"/>
    <n v="247000"/>
  </r>
  <r>
    <s v="TXN-102160"/>
    <d v="2024-03-05T00:00:00"/>
    <x v="107"/>
    <s v="SVC-02"/>
    <n v="720.13"/>
    <x v="0"/>
    <s v="Credit Card"/>
    <s v="callback requested"/>
    <x v="1"/>
    <s v="USA"/>
    <s v="M. Santos"/>
    <x v="6"/>
    <s v="HR &amp; Payroll"/>
    <n v="0"/>
    <s v="SMB"/>
    <s v="High Value"/>
    <s v="Yes"/>
    <s v="Yes"/>
    <x v="0"/>
    <x v="3"/>
    <s v="NAQ1"/>
    <n v="247000"/>
  </r>
  <r>
    <s v="TXN-100081"/>
    <d v="2024-03-19T00:00:00"/>
    <x v="106"/>
    <s v="SVC-04"/>
    <n v="193.6"/>
    <x v="0"/>
    <s v="Debit Card"/>
    <m/>
    <x v="1"/>
    <s v="USA"/>
    <s v="J. Reyes"/>
    <x v="2"/>
    <s v="Risk"/>
    <n v="1E-3"/>
    <s v="SMB"/>
    <s v="Standard"/>
    <s v="Yes"/>
    <s v="No"/>
    <x v="0"/>
    <x v="3"/>
    <s v="NAQ1"/>
    <n v="247000"/>
  </r>
  <r>
    <s v="TXN-101848"/>
    <d v="2024-10-29T00:00:00"/>
    <x v="94"/>
    <s v="SVC-01"/>
    <n v="655.61"/>
    <x v="0"/>
    <s v="Credit Card"/>
    <s v="VIP account"/>
    <x v="1"/>
    <s v="United Kingdom"/>
    <s v="L. Chen"/>
    <x v="0"/>
    <s v="Payments"/>
    <n v="2.9000000000000001E-2"/>
    <s v="SMB"/>
    <s v="High Value"/>
    <s v="Yes"/>
    <s v="No"/>
    <x v="2"/>
    <x v="2"/>
    <s v="EMEAQ4"/>
    <n v="161000"/>
  </r>
  <r>
    <s v="TXN-102595"/>
    <d v="2024-10-28T00:00:00"/>
    <x v="38"/>
    <s v="SVC-01"/>
    <n v="232.47"/>
    <x v="0"/>
    <s v="Credit Card"/>
    <m/>
    <x v="0"/>
    <s v="Australia"/>
    <s v="A. Kim"/>
    <x v="0"/>
    <s v="Payments"/>
    <n v="2.9000000000000001E-2"/>
    <s v="Enterprise"/>
    <s v="Standard"/>
    <s v="No"/>
    <s v="No"/>
    <x v="1"/>
    <x v="2"/>
    <s v="APACQ4"/>
    <n v="126500"/>
  </r>
  <r>
    <s v="TXN-100264"/>
    <d v="2024-10-08T00:00:00"/>
    <x v="65"/>
    <s v="SVC-02"/>
    <n v="701.75"/>
    <x v="0"/>
    <s v="Credit Card"/>
    <s v="callback requested"/>
    <x v="0"/>
    <s v="USA"/>
    <s v="A. Kim"/>
    <x v="6"/>
    <s v="HR &amp; Payroll"/>
    <n v="0"/>
    <s v="Enterprise"/>
    <s v="High Value"/>
    <s v="Yes"/>
    <s v="Yes"/>
    <x v="0"/>
    <x v="2"/>
    <s v="NAQ4"/>
    <n v="299000"/>
  </r>
  <r>
    <s v="TXN-101933"/>
    <d v="2024-06-09T00:00:00"/>
    <x v="66"/>
    <s v="SVC-02"/>
    <n v="-952.15"/>
    <x v="2"/>
    <s v="Credit Card"/>
    <m/>
    <x v="3"/>
    <s v="Australia"/>
    <s v="L. Chen"/>
    <x v="6"/>
    <s v="HR &amp; Payroll"/>
    <n v="0"/>
    <s v="N/A"/>
    <s v="Refund"/>
    <s v="No"/>
    <s v="No"/>
    <x v="1"/>
    <x v="0"/>
    <s v="APACQ2"/>
    <n v="110000"/>
  </r>
  <r>
    <s v="TXN-101446"/>
    <d v="2024-02-28T00:00:00"/>
    <x v="44"/>
    <s v="SVC-07"/>
    <n v="405.58"/>
    <x v="0"/>
    <s v="Debit Card"/>
    <m/>
    <x v="0"/>
    <s v="Australia"/>
    <s v="T. Novak"/>
    <x v="7"/>
    <s v="Support"/>
    <n v="0"/>
    <s v="Enterprise"/>
    <s v="High Value"/>
    <s v="Yes"/>
    <s v="Yes"/>
    <x v="1"/>
    <x v="3"/>
    <s v="APACQ1"/>
    <n v="104500"/>
  </r>
  <r>
    <s v="TXN-100541"/>
    <d v="2024-06-07T00:00:00"/>
    <x v="126"/>
    <s v="SVC-01"/>
    <n v="669.84"/>
    <x v="0"/>
    <s v="Credit Card"/>
    <m/>
    <x v="3"/>
    <s v="Canada"/>
    <s v="A. Kim"/>
    <x v="0"/>
    <s v="Payments"/>
    <n v="2.9000000000000001E-2"/>
    <s v="Startup"/>
    <s v="High Value"/>
    <s v="Yes"/>
    <s v="No"/>
    <x v="0"/>
    <x v="0"/>
    <s v="NAQ2"/>
    <n v="260000"/>
  </r>
  <r>
    <s v="TXN-100683"/>
    <d v="2024-10-13T00:00:00"/>
    <x v="134"/>
    <s v="SVC-03"/>
    <n v="-452.39"/>
    <x v="2"/>
    <s v="Debit Card"/>
    <m/>
    <x v="1"/>
    <s v="Philippines"/>
    <s v="T. Novak"/>
    <x v="5"/>
    <s v="Billing"/>
    <n v="5.0000000000000001E-3"/>
    <s v="N/A"/>
    <s v="Refund"/>
    <s v="No"/>
    <s v="No"/>
    <x v="1"/>
    <x v="2"/>
    <s v="APACQ4"/>
    <n v="126500"/>
  </r>
  <r>
    <s v="TXN-101637"/>
    <d v="2024-02-24T00:00:00"/>
    <x v="66"/>
    <s v="SVC-02"/>
    <n v="279"/>
    <x v="0"/>
    <s v="Credit Card"/>
    <m/>
    <x v="3"/>
    <s v="Australia"/>
    <s v="L. Chen"/>
    <x v="6"/>
    <s v="HR &amp; Payroll"/>
    <n v="0"/>
    <s v="Startup"/>
    <s v="High Value"/>
    <s v="Yes"/>
    <s v="No"/>
    <x v="1"/>
    <x v="3"/>
    <s v="APACQ1"/>
    <n v="104500"/>
  </r>
  <r>
    <s v="TXN-102318"/>
    <d v="2024-05-08T00:00:00"/>
    <x v="19"/>
    <s v="SVC-02"/>
    <n v="289.7"/>
    <x v="0"/>
    <s v="Debit Card"/>
    <s v="escalated to support"/>
    <x v="0"/>
    <s v="Canada"/>
    <s v="M. Santos"/>
    <x v="6"/>
    <s v="HR &amp; Payroll"/>
    <n v="0"/>
    <s v="Enterprise"/>
    <s v="High Value"/>
    <s v="Yes"/>
    <s v="Yes"/>
    <x v="0"/>
    <x v="0"/>
    <s v="NAQ2"/>
    <n v="260000"/>
  </r>
  <r>
    <s v="TXN-101263"/>
    <d v="2024-01-07T00:00:00"/>
    <x v="64"/>
    <s v="SVC-08"/>
    <n v="445.12"/>
    <x v="0"/>
    <s v="Debit Card"/>
    <m/>
    <x v="1"/>
    <s v="United Kingdom"/>
    <s v="J. Reyes"/>
    <x v="1"/>
    <s v="Risk"/>
    <n v="2.5000000000000001E-3"/>
    <s v="SMB"/>
    <s v="High Value"/>
    <s v="Yes"/>
    <s v="Yes"/>
    <x v="2"/>
    <x v="3"/>
    <s v="EMEAQ1"/>
    <n v="133000"/>
  </r>
  <r>
    <s v="TXN-102098"/>
    <d v="2024-02-02T00:00:00"/>
    <x v="76"/>
    <s v="SVC-03"/>
    <n v="367.64"/>
    <x v="0"/>
    <s v="ACH"/>
    <s v="VIP account"/>
    <x v="3"/>
    <s v="United Kingdom"/>
    <s v="R. Patel"/>
    <x v="5"/>
    <s v="Billing"/>
    <n v="5.0000000000000001E-3"/>
    <s v="Startup"/>
    <s v="High Value"/>
    <s v="Yes"/>
    <s v="No"/>
    <x v="2"/>
    <x v="3"/>
    <s v="EMEAQ1"/>
    <n v="133000"/>
  </r>
  <r>
    <s v="TXN-102297"/>
    <d v="2024-09-13T00:00:00"/>
    <x v="126"/>
    <s v="SVC-07"/>
    <n v="268.89"/>
    <x v="0"/>
    <s v="ACH"/>
    <m/>
    <x v="3"/>
    <s v="Canada"/>
    <s v="A. Kim"/>
    <x v="7"/>
    <s v="Support"/>
    <n v="0"/>
    <s v="Startup"/>
    <s v="High Value"/>
    <s v="Yes"/>
    <s v="Yes"/>
    <x v="0"/>
    <x v="1"/>
    <s v="NAQ3"/>
    <n v="273000"/>
  </r>
  <r>
    <s v="TXN-102130"/>
    <d v="2024-09-28T00:00:00"/>
    <x v="70"/>
    <s v="SVC-01"/>
    <n v="499.52"/>
    <x v="1"/>
    <s v="ACH"/>
    <m/>
    <x v="3"/>
    <s v="Singapore"/>
    <s v="A. Kim"/>
    <x v="0"/>
    <s v="Payments"/>
    <n v="2.9000000000000001E-2"/>
    <s v="N/A"/>
    <s v="Standard"/>
    <s v="Yes"/>
    <s v="No"/>
    <x v="1"/>
    <x v="1"/>
    <s v="APACQ3"/>
    <n v="115500"/>
  </r>
  <r>
    <s v="TXN-101944"/>
    <d v="2024-11-08T00:00:00"/>
    <x v="74"/>
    <s v="SVC-08"/>
    <n v="374.06"/>
    <x v="0"/>
    <s v="Debit Card"/>
    <s v="escalated to support"/>
    <x v="0"/>
    <s v="USA"/>
    <s v="A. Kim"/>
    <x v="1"/>
    <s v="Risk"/>
    <n v="2.5000000000000001E-3"/>
    <s v="Enterprise"/>
    <s v="High Value"/>
    <s v="Yes"/>
    <s v="Yes"/>
    <x v="0"/>
    <x v="2"/>
    <s v="NAQ4"/>
    <n v="299000"/>
  </r>
  <r>
    <s v="TXN-101950"/>
    <d v="2024-09-20T00:00:00"/>
    <x v="30"/>
    <s v="SVC-08"/>
    <n v="513.6"/>
    <x v="1"/>
    <s v="ACH"/>
    <m/>
    <x v="1"/>
    <s v="Germany"/>
    <s v="M. Santos"/>
    <x v="1"/>
    <s v="Risk"/>
    <n v="2.5000000000000001E-3"/>
    <s v="N/A"/>
    <s v="High Value"/>
    <s v="Yes"/>
    <s v="No"/>
    <x v="2"/>
    <x v="1"/>
    <s v="EMEAQ3"/>
    <n v="147000"/>
  </r>
  <r>
    <s v="TXN-101014"/>
    <d v="2024-04-02T00:00:00"/>
    <x v="126"/>
    <s v="SVC-01"/>
    <n v="395.67"/>
    <x v="0"/>
    <s v="Debit Card"/>
    <s v="callback requested"/>
    <x v="3"/>
    <s v="Canada"/>
    <s v="A. Kim"/>
    <x v="0"/>
    <s v="Payments"/>
    <n v="2.9000000000000001E-2"/>
    <s v="Startup"/>
    <s v="Standard"/>
    <s v="Yes"/>
    <s v="No"/>
    <x v="0"/>
    <x v="0"/>
    <s v="NAQ2"/>
    <n v="260000"/>
  </r>
  <r>
    <s v="TXN-100188"/>
    <d v="2024-06-11T00:00:00"/>
    <x v="48"/>
    <s v="SVC-05"/>
    <n v="482.35"/>
    <x v="0"/>
    <s v="Debit Card"/>
    <s v="callback requested"/>
    <x v="1"/>
    <s v="Germany"/>
    <s v="J. Reyes"/>
    <x v="3"/>
    <s v="Analytics"/>
    <n v="0"/>
    <s v="SMB"/>
    <s v="High Value"/>
    <s v="Yes"/>
    <s v="No"/>
    <x v="2"/>
    <x v="0"/>
    <s v="EMEAQ2"/>
    <n v="140000"/>
  </r>
  <r>
    <s v="TXN-100426"/>
    <d v="2024-06-24T00:00:00"/>
    <x v="124"/>
    <s v="SVC-08"/>
    <n v="77.33"/>
    <x v="0"/>
    <s v="ACH"/>
    <s v="escalated to support"/>
    <x v="1"/>
    <s v="United Kingdom"/>
    <s v="A. Kim"/>
    <x v="1"/>
    <s v="Risk"/>
    <n v="2.5000000000000001E-3"/>
    <s v="SMB"/>
    <s v="Standard"/>
    <s v="Yes"/>
    <s v="Yes"/>
    <x v="2"/>
    <x v="0"/>
    <s v="EMEAQ2"/>
    <n v="140000"/>
  </r>
  <r>
    <s v="TXN-101448"/>
    <d v="2024-11-16T00:00:00"/>
    <x v="122"/>
    <s v="SVC-01"/>
    <n v="-46.22"/>
    <x v="2"/>
    <s v="Credit Card"/>
    <m/>
    <x v="3"/>
    <s v="United Kingdom"/>
    <s v="A. Kim"/>
    <x v="0"/>
    <s v="Payments"/>
    <n v="2.9000000000000001E-2"/>
    <s v="N/A"/>
    <s v="Refund"/>
    <s v="No"/>
    <s v="No"/>
    <x v="2"/>
    <x v="2"/>
    <s v="EMEAQ4"/>
    <n v="161000"/>
  </r>
  <r>
    <s v="TXN-101497"/>
    <d v="2024-04-30T00:00:00"/>
    <x v="13"/>
    <s v="SVC-01"/>
    <n v="626.84"/>
    <x v="0"/>
    <s v="Wire Transfer"/>
    <m/>
    <x v="0"/>
    <s v="Canada"/>
    <s v="J. Reyes"/>
    <x v="0"/>
    <s v="Payments"/>
    <n v="2.9000000000000001E-2"/>
    <s v="Enterprise"/>
    <s v="High Value"/>
    <s v="Yes"/>
    <s v="No"/>
    <x v="0"/>
    <x v="0"/>
    <s v="NAQ2"/>
    <n v="260000"/>
  </r>
  <r>
    <s v="TXN-100492"/>
    <d v="2024-01-10T00:00:00"/>
    <x v="51"/>
    <s v="SVC-06"/>
    <n v="261.22000000000003"/>
    <x v="0"/>
    <s v="Credit Card"/>
    <m/>
    <x v="0"/>
    <s v="United Kingdom"/>
    <s v="R. Patel"/>
    <x v="4"/>
    <s v="Platform"/>
    <n v="0"/>
    <s v="Enterprise"/>
    <s v="High Value"/>
    <s v="Yes"/>
    <s v="Yes"/>
    <x v="2"/>
    <x v="3"/>
    <s v="EMEAQ1"/>
    <n v="133000"/>
  </r>
  <r>
    <s v="TXN-100794"/>
    <d v="2024-09-09T00:00:00"/>
    <x v="0"/>
    <s v="SVC-04"/>
    <n v="550.16999999999996"/>
    <x v="0"/>
    <s v="Wire Transfer"/>
    <s v="escalated to support"/>
    <x v="0"/>
    <s v="USA"/>
    <s v="J. Reyes"/>
    <x v="2"/>
    <s v="Risk"/>
    <n v="1E-3"/>
    <s v="Enterprise"/>
    <s v="High Value"/>
    <s v="Yes"/>
    <s v="Yes"/>
    <x v="0"/>
    <x v="1"/>
    <s v="NAQ3"/>
    <n v="273000"/>
  </r>
  <r>
    <s v="TXN-101588"/>
    <d v="2024-05-11T00:00:00"/>
    <x v="80"/>
    <s v="SVC-06"/>
    <n v="451.4"/>
    <x v="0"/>
    <s v="ACH"/>
    <m/>
    <x v="1"/>
    <s v="Philippines"/>
    <s v="R. Patel"/>
    <x v="4"/>
    <s v="Platform"/>
    <n v="0"/>
    <s v="SMB"/>
    <s v="High Value"/>
    <s v="Yes"/>
    <s v="Yes"/>
    <x v="1"/>
    <x v="0"/>
    <s v="APACQ2"/>
    <n v="110000"/>
  </r>
  <r>
    <s v="TXN-101035"/>
    <d v="2024-03-05T00:00:00"/>
    <x v="34"/>
    <s v="SVC-05"/>
    <n v="356.93"/>
    <x v="0"/>
    <s v="Debit Card"/>
    <s v="escalated to support"/>
    <x v="1"/>
    <s v="Germany"/>
    <s v="M. Santos"/>
    <x v="3"/>
    <s v="Analytics"/>
    <n v="0"/>
    <s v="SMB"/>
    <s v="High Value"/>
    <s v="Yes"/>
    <s v="No"/>
    <x v="2"/>
    <x v="3"/>
    <s v="EMEAQ1"/>
    <n v="133000"/>
  </r>
  <r>
    <s v="TXN-100497"/>
    <d v="2024-10-12T00:00:00"/>
    <x v="49"/>
    <s v="SVC-02"/>
    <n v="296.02999999999997"/>
    <x v="0"/>
    <s v="ACH"/>
    <m/>
    <x v="1"/>
    <s v="USA"/>
    <s v="A. Kim"/>
    <x v="6"/>
    <s v="HR &amp; Payroll"/>
    <n v="0"/>
    <s v="SMB"/>
    <s v="High Value"/>
    <s v="Yes"/>
    <s v="No"/>
    <x v="0"/>
    <x v="2"/>
    <s v="NAQ4"/>
    <n v="299000"/>
  </r>
  <r>
    <s v="TXN-102219"/>
    <d v="2024-01-29T00:00:00"/>
    <x v="0"/>
    <s v="SVC-01"/>
    <n v="22.71"/>
    <x v="0"/>
    <s v="Credit Card"/>
    <s v="escalated to support"/>
    <x v="0"/>
    <s v="USA"/>
    <s v="J. Reyes"/>
    <x v="0"/>
    <s v="Payments"/>
    <n v="2.9000000000000001E-2"/>
    <s v="Enterprise"/>
    <s v="Standard"/>
    <s v="No"/>
    <s v="No"/>
    <x v="0"/>
    <x v="3"/>
    <s v="NAQ1"/>
    <n v="247000"/>
  </r>
  <r>
    <s v="TXN-100517"/>
    <d v="2024-08-01T00:00:00"/>
    <x v="30"/>
    <s v="SVC-01"/>
    <n v="-430.18"/>
    <x v="2"/>
    <s v="ACH"/>
    <s v="escalated to support"/>
    <x v="1"/>
    <s v="Germany"/>
    <s v="M. Santos"/>
    <x v="0"/>
    <s v="Payments"/>
    <n v="2.9000000000000001E-2"/>
    <s v="N/A"/>
    <s v="Refund"/>
    <s v="No"/>
    <s v="No"/>
    <x v="2"/>
    <x v="1"/>
    <s v="EMEAQ3"/>
    <n v="147000"/>
  </r>
  <r>
    <s v="TXN-101826"/>
    <d v="2024-07-17T00:00:00"/>
    <x v="75"/>
    <s v="SVC-03"/>
    <n v="246.2"/>
    <x v="0"/>
    <s v="ACH"/>
    <m/>
    <x v="0"/>
    <s v="Canada"/>
    <s v="R. Patel"/>
    <x v="5"/>
    <s v="Billing"/>
    <n v="5.0000000000000001E-3"/>
    <s v="Enterprise"/>
    <s v="Standard"/>
    <s v="Yes"/>
    <s v="No"/>
    <x v="0"/>
    <x v="1"/>
    <s v="NAQ3"/>
    <n v="273000"/>
  </r>
  <r>
    <s v="TXN-101209"/>
    <d v="2024-11-11T00:00:00"/>
    <x v="111"/>
    <s v="SVC-08"/>
    <n v="142.68"/>
    <x v="0"/>
    <s v="ACH"/>
    <m/>
    <x v="1"/>
    <s v="Australia"/>
    <s v="A. Kim"/>
    <x v="1"/>
    <s v="Risk"/>
    <n v="2.5000000000000001E-3"/>
    <s v="SMB"/>
    <s v="Standard"/>
    <s v="Yes"/>
    <s v="No"/>
    <x v="1"/>
    <x v="2"/>
    <s v="APACQ4"/>
    <n v="126500"/>
  </r>
  <r>
    <s v="TXN-100581"/>
    <d v="2024-10-21T00:00:00"/>
    <x v="120"/>
    <s v="SVC-07"/>
    <n v="678.52"/>
    <x v="0"/>
    <s v="Debit Card"/>
    <s v="callback requested"/>
    <x v="3"/>
    <s v="Australia"/>
    <s v="M. Santos"/>
    <x v="7"/>
    <s v="Support"/>
    <n v="0"/>
    <s v="Startup"/>
    <s v="High Value"/>
    <s v="Yes"/>
    <s v="Yes"/>
    <x v="1"/>
    <x v="2"/>
    <s v="APACQ4"/>
    <n v="126500"/>
  </r>
  <r>
    <s v="TXN-100221"/>
    <d v="2024-12-12T00:00:00"/>
    <x v="37"/>
    <s v="SVC-06"/>
    <n v="219.97"/>
    <x v="0"/>
    <s v="Credit Card"/>
    <s v="escalated to support"/>
    <x v="1"/>
    <s v="Canada"/>
    <s v="T. Novak"/>
    <x v="4"/>
    <s v="Platform"/>
    <n v="0"/>
    <s v="SMB"/>
    <s v="Standard"/>
    <s v="Yes"/>
    <s v="No"/>
    <x v="0"/>
    <x v="2"/>
    <s v="NAQ4"/>
    <n v="299000"/>
  </r>
  <r>
    <s v="TXN-100383"/>
    <d v="2024-01-10T00:00:00"/>
    <x v="25"/>
    <s v="SVC-05"/>
    <n v="263.01"/>
    <x v="3"/>
    <s v="Debit Card"/>
    <s v="VIP account"/>
    <x v="0"/>
    <s v="USA"/>
    <s v="A. Kim"/>
    <x v="3"/>
    <s v="Analytics"/>
    <n v="0"/>
    <s v="N/A"/>
    <s v="High Value"/>
    <s v="Yes"/>
    <s v="No"/>
    <x v="0"/>
    <x v="3"/>
    <s v="NAQ1"/>
    <n v="247000"/>
  </r>
  <r>
    <s v="TXN-100183"/>
    <d v="2024-12-30T00:00:00"/>
    <x v="7"/>
    <s v="SVC-06"/>
    <n v="338.84"/>
    <x v="3"/>
    <s v="ACH"/>
    <s v="VIP account"/>
    <x v="1"/>
    <s v="USA"/>
    <s v="T. Novak"/>
    <x v="4"/>
    <s v="Platform"/>
    <n v="0"/>
    <s v="N/A"/>
    <s v="High Value"/>
    <s v="Yes"/>
    <s v="Yes"/>
    <x v="0"/>
    <x v="2"/>
    <s v="NAQ4"/>
    <n v="299000"/>
  </r>
  <r>
    <s v="TXN-101008"/>
    <d v="2024-08-20T00:00:00"/>
    <x v="30"/>
    <s v="SVC-03"/>
    <n v="313.68"/>
    <x v="0"/>
    <s v="ACH"/>
    <m/>
    <x v="1"/>
    <s v="Germany"/>
    <s v="M. Santos"/>
    <x v="5"/>
    <s v="Billing"/>
    <n v="5.0000000000000001E-3"/>
    <s v="SMB"/>
    <s v="High Value"/>
    <s v="Yes"/>
    <s v="No"/>
    <x v="2"/>
    <x v="1"/>
    <s v="EMEAQ3"/>
    <n v="147000"/>
  </r>
  <r>
    <s v="TXN-102165"/>
    <d v="2024-12-03T00:00:00"/>
    <x v="56"/>
    <s v="SVC-02"/>
    <n v="993.36"/>
    <x v="0"/>
    <s v="Debit Card"/>
    <s v="escalated to support"/>
    <x v="0"/>
    <s v="Singapore"/>
    <s v="R. Patel"/>
    <x v="6"/>
    <s v="HR &amp; Payroll"/>
    <n v="0"/>
    <s v="Enterprise"/>
    <s v="High Value"/>
    <s v="Yes"/>
    <s v="No"/>
    <x v="1"/>
    <x v="2"/>
    <s v="APACQ4"/>
    <n v="126500"/>
  </r>
  <r>
    <s v="TXN-101437"/>
    <d v="2024-01-11T00:00:00"/>
    <x v="105"/>
    <s v="SVC-03"/>
    <n v="-469.18"/>
    <x v="2"/>
    <s v="Credit Card"/>
    <m/>
    <x v="3"/>
    <s v="Philippines"/>
    <s v="T. Novak"/>
    <x v="5"/>
    <s v="Billing"/>
    <n v="5.0000000000000001E-3"/>
    <s v="N/A"/>
    <s v="Refund"/>
    <s v="No"/>
    <s v="No"/>
    <x v="1"/>
    <x v="3"/>
    <s v="APACQ1"/>
    <n v="104500"/>
  </r>
  <r>
    <s v="TXN-101909"/>
    <d v="2024-04-21T00:00:00"/>
    <x v="64"/>
    <s v="SVC-04"/>
    <n v="428.56"/>
    <x v="0"/>
    <s v="ACH"/>
    <s v="escalated to support"/>
    <x v="1"/>
    <s v="United Kingdom"/>
    <s v="J. Reyes"/>
    <x v="2"/>
    <s v="Risk"/>
    <n v="1E-3"/>
    <s v="SMB"/>
    <s v="High Value"/>
    <s v="Yes"/>
    <s v="No"/>
    <x v="2"/>
    <x v="0"/>
    <s v="EMEAQ2"/>
    <n v="140000"/>
  </r>
  <r>
    <s v="TXN-101040"/>
    <d v="2024-05-24T00:00:00"/>
    <x v="9"/>
    <s v="SVC-01"/>
    <n v="514.49"/>
    <x v="0"/>
    <s v="ACH"/>
    <m/>
    <x v="3"/>
    <s v="Philippines"/>
    <s v="T. Novak"/>
    <x v="0"/>
    <s v="Payments"/>
    <n v="2.9000000000000001E-2"/>
    <s v="Startup"/>
    <s v="High Value"/>
    <s v="Yes"/>
    <s v="No"/>
    <x v="1"/>
    <x v="0"/>
    <s v="APACQ2"/>
    <n v="110000"/>
  </r>
  <r>
    <s v="TXN-102408"/>
    <d v="2024-05-01T00:00:00"/>
    <x v="30"/>
    <s v="SVC-05"/>
    <n v="-61.03"/>
    <x v="2"/>
    <s v="Unknown"/>
    <s v="VIP account"/>
    <x v="1"/>
    <s v="Germany"/>
    <s v="M. Santos"/>
    <x v="3"/>
    <s v="Analytics"/>
    <n v="0"/>
    <s v="N/A"/>
    <s v="Refund"/>
    <s v="No"/>
    <s v="No"/>
    <x v="2"/>
    <x v="0"/>
    <s v="EMEAQ2"/>
    <n v="140000"/>
  </r>
  <r>
    <s v="TXN-102254"/>
    <d v="2024-05-05T00:00:00"/>
    <x v="99"/>
    <s v="SVC-07"/>
    <n v="-741.21"/>
    <x v="2"/>
    <s v="ACH"/>
    <m/>
    <x v="1"/>
    <s v="Canada"/>
    <s v="R. Patel"/>
    <x v="7"/>
    <s v="Support"/>
    <n v="0"/>
    <s v="N/A"/>
    <s v="Refund"/>
    <s v="No"/>
    <s v="No"/>
    <x v="0"/>
    <x v="0"/>
    <s v="NAQ2"/>
    <n v="260000"/>
  </r>
  <r>
    <s v="TXN-101622"/>
    <d v="2024-07-17T00:00:00"/>
    <x v="32"/>
    <s v="SVC-02"/>
    <n v="416.56"/>
    <x v="3"/>
    <s v="ACH"/>
    <m/>
    <x v="1"/>
    <s v="Philippines"/>
    <s v="T. Novak"/>
    <x v="6"/>
    <s v="HR &amp; Payroll"/>
    <n v="0"/>
    <s v="N/A"/>
    <s v="High Value"/>
    <s v="Yes"/>
    <s v="No"/>
    <x v="1"/>
    <x v="1"/>
    <s v="APACQ3"/>
    <n v="115500"/>
  </r>
  <r>
    <s v="TXN-101456"/>
    <d v="2024-12-11T00:00:00"/>
    <x v="19"/>
    <s v="SVC-01"/>
    <n v="834.68"/>
    <x v="0"/>
    <s v="Debit Card"/>
    <m/>
    <x v="0"/>
    <s v="Canada"/>
    <s v="M. Santos"/>
    <x v="0"/>
    <s v="Payments"/>
    <n v="2.9000000000000001E-2"/>
    <s v="Enterprise"/>
    <s v="High Value"/>
    <s v="Yes"/>
    <s v="No"/>
    <x v="0"/>
    <x v="2"/>
    <s v="NAQ4"/>
    <n v="299000"/>
  </r>
  <r>
    <s v="TXN-101895"/>
    <d v="2024-07-28T00:00:00"/>
    <x v="70"/>
    <s v="SVC-03"/>
    <n v="261.64999999999998"/>
    <x v="3"/>
    <s v="Credit Card"/>
    <s v="callback requested"/>
    <x v="3"/>
    <s v="Singapore"/>
    <s v="A. Kim"/>
    <x v="5"/>
    <s v="Billing"/>
    <n v="5.0000000000000001E-3"/>
    <s v="N/A"/>
    <s v="High Value"/>
    <s v="Yes"/>
    <s v="Yes"/>
    <x v="1"/>
    <x v="1"/>
    <s v="APACQ3"/>
    <n v="115500"/>
  </r>
  <r>
    <s v="TXN-100689"/>
    <d v="2024-07-10T00:00:00"/>
    <x v="129"/>
    <s v="SVC-03"/>
    <n v="144.55000000000001"/>
    <x v="0"/>
    <s v="Credit Card"/>
    <s v="callback requested"/>
    <x v="1"/>
    <s v="Australia"/>
    <s v="A. Kim"/>
    <x v="5"/>
    <s v="Billing"/>
    <n v="5.0000000000000001E-3"/>
    <s v="SMB"/>
    <s v="Standard"/>
    <s v="Yes"/>
    <s v="No"/>
    <x v="1"/>
    <x v="1"/>
    <s v="APACQ3"/>
    <n v="115500"/>
  </r>
  <r>
    <s v="TXN-102237"/>
    <d v="2024-12-12T00:00:00"/>
    <x v="103"/>
    <s v="SVC-08"/>
    <n v="543.63"/>
    <x v="0"/>
    <s v="Debit Card"/>
    <m/>
    <x v="1"/>
    <s v="United Kingdom"/>
    <s v="R. Patel"/>
    <x v="1"/>
    <s v="Risk"/>
    <n v="2.5000000000000001E-3"/>
    <s v="SMB"/>
    <s v="High Value"/>
    <s v="Yes"/>
    <s v="Yes"/>
    <x v="2"/>
    <x v="2"/>
    <s v="EMEAQ4"/>
    <n v="161000"/>
  </r>
  <r>
    <s v="TXN-101415"/>
    <d v="2024-03-19T00:00:00"/>
    <x v="10"/>
    <s v="SVC-04"/>
    <n v="687.47"/>
    <x v="0"/>
    <s v="Debit Card"/>
    <m/>
    <x v="1"/>
    <s v="USA"/>
    <s v="T. Novak"/>
    <x v="2"/>
    <s v="Risk"/>
    <n v="1E-3"/>
    <s v="SMB"/>
    <s v="High Value"/>
    <s v="Yes"/>
    <s v="Yes"/>
    <x v="0"/>
    <x v="3"/>
    <s v="NAQ1"/>
    <n v="247000"/>
  </r>
  <r>
    <s v="TXN-101672"/>
    <d v="2024-08-26T00:00:00"/>
    <x v="39"/>
    <s v="SVC-06"/>
    <n v="1134.42"/>
    <x v="1"/>
    <s v="ACH"/>
    <s v="escalated to support"/>
    <x v="1"/>
    <s v="United Kingdom"/>
    <s v="A. Kim"/>
    <x v="4"/>
    <s v="Platform"/>
    <n v="0"/>
    <s v="N/A"/>
    <s v="High Value"/>
    <s v="Yes"/>
    <s v="No"/>
    <x v="2"/>
    <x v="1"/>
    <s v="EMEAQ3"/>
    <n v="147000"/>
  </r>
  <r>
    <s v="TXN-102396"/>
    <d v="2024-08-05T00:00:00"/>
    <x v="56"/>
    <s v="SVC-03"/>
    <n v="252.53"/>
    <x v="0"/>
    <s v="ACH"/>
    <s v="callback requested"/>
    <x v="0"/>
    <s v="Singapore"/>
    <s v="R. Patel"/>
    <x v="5"/>
    <s v="Billing"/>
    <n v="5.0000000000000001E-3"/>
    <s v="Enterprise"/>
    <s v="High Value"/>
    <s v="Yes"/>
    <s v="Yes"/>
    <x v="1"/>
    <x v="1"/>
    <s v="APACQ3"/>
    <n v="115500"/>
  </r>
  <r>
    <s v="TXN-102406"/>
    <d v="2024-04-14T00:00:00"/>
    <x v="37"/>
    <s v="SVC-08"/>
    <n v="377.58"/>
    <x v="0"/>
    <s v="ACH"/>
    <s v="escalated to support"/>
    <x v="1"/>
    <s v="Canada"/>
    <s v="T. Novak"/>
    <x v="1"/>
    <s v="Risk"/>
    <n v="2.5000000000000001E-3"/>
    <s v="SMB"/>
    <s v="High Value"/>
    <s v="Yes"/>
    <s v="Yes"/>
    <x v="0"/>
    <x v="0"/>
    <s v="NAQ2"/>
    <n v="260000"/>
  </r>
  <r>
    <s v="TXN-100276"/>
    <d v="2024-06-11T00:00:00"/>
    <x v="108"/>
    <s v="SVC-01"/>
    <n v="256.45999999999998"/>
    <x v="1"/>
    <s v="ACH"/>
    <s v="VIP account"/>
    <x v="1"/>
    <s v="Germany"/>
    <s v="M. Santos"/>
    <x v="0"/>
    <s v="Payments"/>
    <n v="2.9000000000000001E-2"/>
    <s v="N/A"/>
    <s v="Standard"/>
    <s v="No"/>
    <s v="No"/>
    <x v="2"/>
    <x v="0"/>
    <s v="EMEAQ2"/>
    <n v="140000"/>
  </r>
  <r>
    <s v="TXN-102371"/>
    <d v="2024-04-04T00:00:00"/>
    <x v="66"/>
    <s v="SVC-03"/>
    <n v="494.6"/>
    <x v="0"/>
    <s v="Credit Card"/>
    <m/>
    <x v="3"/>
    <s v="Australia"/>
    <s v="L. Chen"/>
    <x v="5"/>
    <s v="Billing"/>
    <n v="5.0000000000000001E-3"/>
    <s v="Startup"/>
    <s v="High Value"/>
    <s v="Yes"/>
    <s v="Yes"/>
    <x v="1"/>
    <x v="0"/>
    <s v="APACQ2"/>
    <n v="110000"/>
  </r>
  <r>
    <s v="TXN-101190"/>
    <d v="2024-02-09T00:00:00"/>
    <x v="70"/>
    <s v="SVC-07"/>
    <n v="417.61"/>
    <x v="0"/>
    <s v="Debit Card"/>
    <s v="callback requested"/>
    <x v="3"/>
    <s v="Singapore"/>
    <s v="A. Kim"/>
    <x v="7"/>
    <s v="Support"/>
    <n v="0"/>
    <s v="Startup"/>
    <s v="High Value"/>
    <s v="Yes"/>
    <s v="No"/>
    <x v="1"/>
    <x v="3"/>
    <s v="APACQ1"/>
    <n v="104500"/>
  </r>
  <r>
    <s v="TXN-101643"/>
    <d v="2024-05-07T00:00:00"/>
    <x v="99"/>
    <s v="SVC-08"/>
    <n v="804.74"/>
    <x v="0"/>
    <s v="Unknown"/>
    <s v="escalated to support"/>
    <x v="1"/>
    <s v="Canada"/>
    <s v="R. Patel"/>
    <x v="1"/>
    <s v="Risk"/>
    <n v="2.5000000000000001E-3"/>
    <s v="SMB"/>
    <s v="High Value"/>
    <s v="Yes"/>
    <s v="Yes"/>
    <x v="0"/>
    <x v="0"/>
    <s v="NAQ2"/>
    <n v="260000"/>
  </r>
  <r>
    <s v="TXN-100019"/>
    <d v="2024-06-25T00:00:00"/>
    <x v="19"/>
    <s v="SVC-03"/>
    <n v="386.43"/>
    <x v="0"/>
    <s v="Credit Card"/>
    <m/>
    <x v="0"/>
    <s v="Canada"/>
    <s v="M. Santos"/>
    <x v="5"/>
    <s v="Billing"/>
    <n v="5.0000000000000001E-3"/>
    <s v="Enterprise"/>
    <s v="High Value"/>
    <s v="Yes"/>
    <s v="Yes"/>
    <x v="0"/>
    <x v="0"/>
    <s v="NAQ2"/>
    <n v="260000"/>
  </r>
  <r>
    <s v="TXN-102182"/>
    <d v="2024-10-22T00:00:00"/>
    <x v="116"/>
    <s v="SVC-03"/>
    <n v="502.2"/>
    <x v="0"/>
    <s v="Debit Card"/>
    <s v="escalated to support"/>
    <x v="1"/>
    <s v="USA"/>
    <s v="J. Reyes"/>
    <x v="5"/>
    <s v="Billing"/>
    <n v="5.0000000000000001E-3"/>
    <s v="SMB"/>
    <s v="High Value"/>
    <s v="Yes"/>
    <s v="Yes"/>
    <x v="0"/>
    <x v="2"/>
    <s v="NAQ4"/>
    <n v="299000"/>
  </r>
  <r>
    <s v="TXN-101519"/>
    <d v="2024-12-22T00:00:00"/>
    <x v="105"/>
    <s v="SVC-03"/>
    <n v="390.98"/>
    <x v="0"/>
    <s v="Credit Card"/>
    <s v="escalated to support"/>
    <x v="3"/>
    <s v="Philippines"/>
    <s v="T. Novak"/>
    <x v="5"/>
    <s v="Billing"/>
    <n v="5.0000000000000001E-3"/>
    <s v="Startup"/>
    <s v="High Value"/>
    <s v="Yes"/>
    <s v="No"/>
    <x v="1"/>
    <x v="2"/>
    <s v="APACQ4"/>
    <n v="126500"/>
  </r>
  <r>
    <s v="TXN-100813"/>
    <d v="2024-01-22T00:00:00"/>
    <x v="35"/>
    <s v="SVC-03"/>
    <n v="255.01"/>
    <x v="0"/>
    <s v="Credit Card"/>
    <s v="escalated to support"/>
    <x v="3"/>
    <s v="Philippines"/>
    <s v="R. Patel"/>
    <x v="5"/>
    <s v="Billing"/>
    <n v="5.0000000000000001E-3"/>
    <s v="Startup"/>
    <s v="High Value"/>
    <s v="Yes"/>
    <s v="Yes"/>
    <x v="1"/>
    <x v="3"/>
    <s v="APACQ1"/>
    <n v="104500"/>
  </r>
  <r>
    <s v="TXN-101753"/>
    <d v="2024-03-01T00:00:00"/>
    <x v="98"/>
    <s v="SVC-02"/>
    <n v="419.71"/>
    <x v="0"/>
    <s v="Credit Card"/>
    <s v="callback requested"/>
    <x v="1"/>
    <s v="Philippines"/>
    <s v="T. Novak"/>
    <x v="6"/>
    <s v="HR &amp; Payroll"/>
    <n v="0"/>
    <s v="SMB"/>
    <s v="High Value"/>
    <s v="Yes"/>
    <s v="No"/>
    <x v="1"/>
    <x v="3"/>
    <s v="APACQ1"/>
    <n v="104500"/>
  </r>
  <r>
    <s v="TXN-100090"/>
    <d v="2024-03-03T00:00:00"/>
    <x v="85"/>
    <s v="SVC-01"/>
    <n v="635.99"/>
    <x v="0"/>
    <s v="Debit Card"/>
    <s v="callback requested"/>
    <x v="0"/>
    <s v="Canada"/>
    <s v="T. Novak"/>
    <x v="0"/>
    <s v="Payments"/>
    <n v="2.9000000000000001E-2"/>
    <s v="Enterprise"/>
    <s v="High Value"/>
    <s v="Yes"/>
    <s v="No"/>
    <x v="0"/>
    <x v="3"/>
    <s v="NAQ1"/>
    <n v="247000"/>
  </r>
  <r>
    <s v="TXN-102575"/>
    <d v="2024-11-19T00:00:00"/>
    <x v="9"/>
    <s v="SVC-02"/>
    <n v="125.14"/>
    <x v="0"/>
    <s v="Wire Transfer"/>
    <s v="escalated to support"/>
    <x v="3"/>
    <s v="Philippines"/>
    <s v="T. Novak"/>
    <x v="6"/>
    <s v="HR &amp; Payroll"/>
    <n v="0"/>
    <s v="Startup"/>
    <s v="Standard"/>
    <s v="Yes"/>
    <s v="Yes"/>
    <x v="1"/>
    <x v="2"/>
    <s v="APACQ4"/>
    <n v="126500"/>
  </r>
  <r>
    <s v="TXN-101332"/>
    <d v="2024-12-04T00:00:00"/>
    <x v="125"/>
    <s v="SVC-07"/>
    <n v="488.36"/>
    <x v="0"/>
    <s v="Debit Card"/>
    <s v="callback requested"/>
    <x v="1"/>
    <s v="USA"/>
    <s v="A. Kim"/>
    <x v="7"/>
    <s v="Support"/>
    <n v="0"/>
    <s v="SMB"/>
    <s v="High Value"/>
    <s v="Yes"/>
    <s v="Yes"/>
    <x v="0"/>
    <x v="2"/>
    <s v="NAQ4"/>
    <n v="299000"/>
  </r>
  <r>
    <s v="TXN-102519"/>
    <d v="2024-03-06T00:00:00"/>
    <x v="14"/>
    <s v="SVC-03"/>
    <n v="252.11"/>
    <x v="0"/>
    <s v="Credit Card"/>
    <s v="callback requested"/>
    <x v="3"/>
    <s v="Canada"/>
    <s v="A. Kim"/>
    <x v="5"/>
    <s v="Billing"/>
    <n v="5.0000000000000001E-3"/>
    <s v="Startup"/>
    <s v="High Value"/>
    <s v="Yes"/>
    <s v="No"/>
    <x v="0"/>
    <x v="3"/>
    <s v="NAQ1"/>
    <n v="247000"/>
  </r>
  <r>
    <s v="TXN-101183"/>
    <d v="2024-08-14T00:00:00"/>
    <x v="44"/>
    <s v="SVC-02"/>
    <n v="637.01"/>
    <x v="0"/>
    <s v="ACH"/>
    <s v="callback requested"/>
    <x v="0"/>
    <s v="Australia"/>
    <s v="T. Novak"/>
    <x v="6"/>
    <s v="HR &amp; Payroll"/>
    <n v="0"/>
    <s v="Enterprise"/>
    <s v="High Value"/>
    <s v="Yes"/>
    <s v="No"/>
    <x v="1"/>
    <x v="1"/>
    <s v="APACQ3"/>
    <n v="115500"/>
  </r>
  <r>
    <s v="TXN-100235"/>
    <d v="2024-05-02T00:00:00"/>
    <x v="45"/>
    <s v="SVC-05"/>
    <n v="360.43"/>
    <x v="0"/>
    <s v="Credit Card"/>
    <s v="VIP account"/>
    <x v="0"/>
    <s v="United Kingdom"/>
    <s v="R. Patel"/>
    <x v="3"/>
    <s v="Analytics"/>
    <n v="0"/>
    <s v="Enterprise"/>
    <s v="High Value"/>
    <s v="Yes"/>
    <s v="No"/>
    <x v="2"/>
    <x v="0"/>
    <s v="EMEAQ2"/>
    <n v="140000"/>
  </r>
  <r>
    <s v="TXN-102358"/>
    <d v="2024-10-29T00:00:00"/>
    <x v="28"/>
    <s v="SVC-03"/>
    <n v="455.3"/>
    <x v="0"/>
    <s v="Credit Card"/>
    <m/>
    <x v="1"/>
    <s v="United Kingdom"/>
    <s v="L. Chen"/>
    <x v="5"/>
    <s v="Billing"/>
    <n v="5.0000000000000001E-3"/>
    <s v="SMB"/>
    <s v="High Value"/>
    <s v="Yes"/>
    <s v="No"/>
    <x v="2"/>
    <x v="2"/>
    <s v="EMEAQ4"/>
    <n v="161000"/>
  </r>
  <r>
    <s v="TXN-100686"/>
    <d v="2024-03-12T00:00:00"/>
    <x v="32"/>
    <s v="SVC-02"/>
    <n v="552.39"/>
    <x v="0"/>
    <s v="Credit Card"/>
    <m/>
    <x v="1"/>
    <s v="Philippines"/>
    <s v="T. Novak"/>
    <x v="6"/>
    <s v="HR &amp; Payroll"/>
    <n v="0"/>
    <s v="SMB"/>
    <s v="High Value"/>
    <s v="Yes"/>
    <s v="No"/>
    <x v="1"/>
    <x v="3"/>
    <s v="APACQ1"/>
    <n v="104500"/>
  </r>
  <r>
    <s v="TXN-101751"/>
    <d v="2024-04-28T00:00:00"/>
    <x v="98"/>
    <s v="SVC-07"/>
    <n v="298.88"/>
    <x v="1"/>
    <s v="Debit Card"/>
    <s v="VIP account"/>
    <x v="1"/>
    <s v="Philippines"/>
    <s v="T. Novak"/>
    <x v="7"/>
    <s v="Support"/>
    <n v="0"/>
    <s v="N/A"/>
    <s v="High Value"/>
    <s v="Yes"/>
    <s v="Yes"/>
    <x v="1"/>
    <x v="0"/>
    <s v="APACQ2"/>
    <n v="110000"/>
  </r>
  <r>
    <s v="TXN-101353"/>
    <d v="2024-09-03T00:00:00"/>
    <x v="121"/>
    <s v="SVC-01"/>
    <n v="789.21"/>
    <x v="3"/>
    <s v="Debit Card"/>
    <m/>
    <x v="0"/>
    <s v="USA"/>
    <s v="J. Reyes"/>
    <x v="0"/>
    <s v="Payments"/>
    <n v="2.9000000000000001E-2"/>
    <s v="N/A"/>
    <s v="High Value"/>
    <s v="Yes"/>
    <s v="No"/>
    <x v="0"/>
    <x v="1"/>
    <s v="NAQ3"/>
    <n v="273000"/>
  </r>
  <r>
    <s v="TXN-100863"/>
    <d v="2024-11-02T00:00:00"/>
    <x v="107"/>
    <s v="SVC-01"/>
    <n v="-187.03"/>
    <x v="2"/>
    <s v="Debit Card"/>
    <m/>
    <x v="1"/>
    <s v="USA"/>
    <s v="M. Santos"/>
    <x v="0"/>
    <s v="Payments"/>
    <n v="2.9000000000000001E-2"/>
    <s v="N/A"/>
    <s v="Refund"/>
    <s v="No"/>
    <s v="No"/>
    <x v="0"/>
    <x v="2"/>
    <s v="NAQ4"/>
    <n v="299000"/>
  </r>
  <r>
    <s v="TXN-101688"/>
    <d v="2024-07-19T00:00:00"/>
    <x v="117"/>
    <s v="SVC-08"/>
    <n v="405.84"/>
    <x v="0"/>
    <s v="Debit Card"/>
    <s v="VIP account"/>
    <x v="1"/>
    <s v="Canada"/>
    <s v="A. Kim"/>
    <x v="1"/>
    <s v="Risk"/>
    <n v="2.5000000000000001E-3"/>
    <s v="SMB"/>
    <s v="High Value"/>
    <s v="Yes"/>
    <s v="No"/>
    <x v="0"/>
    <x v="1"/>
    <s v="NAQ3"/>
    <n v="273000"/>
  </r>
  <r>
    <s v="TXN-101749"/>
    <d v="2024-09-08T00:00:00"/>
    <x v="50"/>
    <s v="SVC-04"/>
    <n v="197.41"/>
    <x v="1"/>
    <s v="Debit Card"/>
    <m/>
    <x v="1"/>
    <s v="USA"/>
    <s v="M. Santos"/>
    <x v="2"/>
    <s v="Risk"/>
    <n v="1E-3"/>
    <s v="N/A"/>
    <s v="Standard"/>
    <s v="Yes"/>
    <s v="Yes"/>
    <x v="0"/>
    <x v="1"/>
    <s v="NAQ3"/>
    <n v="273000"/>
  </r>
  <r>
    <s v="TXN-102106"/>
    <d v="2024-11-26T00:00:00"/>
    <x v="16"/>
    <s v="SVC-04"/>
    <n v="290.62"/>
    <x v="0"/>
    <s v="Debit Card"/>
    <s v="escalated to support"/>
    <x v="1"/>
    <s v="Germany"/>
    <s v="R. Patel"/>
    <x v="2"/>
    <s v="Risk"/>
    <n v="1E-3"/>
    <s v="SMB"/>
    <s v="High Value"/>
    <s v="Yes"/>
    <s v="No"/>
    <x v="2"/>
    <x v="2"/>
    <s v="EMEAQ4"/>
    <n v="161000"/>
  </r>
  <r>
    <s v="TXN-102209"/>
    <d v="2024-01-23T00:00:00"/>
    <x v="121"/>
    <s v="SVC-04"/>
    <n v="1153.83"/>
    <x v="0"/>
    <s v="Wire Transfer"/>
    <s v="escalated to support"/>
    <x v="0"/>
    <s v="USA"/>
    <s v="J. Reyes"/>
    <x v="2"/>
    <s v="Risk"/>
    <n v="1E-3"/>
    <s v="Enterprise"/>
    <s v="High Value"/>
    <s v="Yes"/>
    <s v="Yes"/>
    <x v="0"/>
    <x v="3"/>
    <s v="NAQ1"/>
    <n v="247000"/>
  </r>
  <r>
    <s v="TXN-100044"/>
    <d v="2024-03-05T00:00:00"/>
    <x v="109"/>
    <s v="SVC-01"/>
    <n v="242.83"/>
    <x v="3"/>
    <s v="Debit Card"/>
    <s v="VIP account"/>
    <x v="0"/>
    <s v="USA"/>
    <s v="L. Chen"/>
    <x v="0"/>
    <s v="Payments"/>
    <n v="2.9000000000000001E-2"/>
    <s v="N/A"/>
    <s v="Standard"/>
    <s v="No"/>
    <s v="Yes"/>
    <x v="0"/>
    <x v="3"/>
    <s v="NAQ1"/>
    <n v="247000"/>
  </r>
  <r>
    <s v="TXN-101662"/>
    <d v="2024-12-02T00:00:00"/>
    <x v="111"/>
    <s v="SVC-03"/>
    <n v="415.27"/>
    <x v="0"/>
    <s v="Debit Card"/>
    <s v="callback requested"/>
    <x v="1"/>
    <s v="Australia"/>
    <s v="A. Kim"/>
    <x v="5"/>
    <s v="Billing"/>
    <n v="5.0000000000000001E-3"/>
    <s v="SMB"/>
    <s v="High Value"/>
    <s v="Yes"/>
    <s v="No"/>
    <x v="1"/>
    <x v="2"/>
    <s v="APACQ4"/>
    <n v="126500"/>
  </r>
  <r>
    <s v="TXN-100028"/>
    <d v="2024-12-07T00:00:00"/>
    <x v="69"/>
    <s v="SVC-03"/>
    <n v="315.54000000000002"/>
    <x v="0"/>
    <s v="Debit Card"/>
    <s v="escalated to support"/>
    <x v="1"/>
    <s v="Philippines"/>
    <s v="J. Reyes"/>
    <x v="5"/>
    <s v="Billing"/>
    <n v="5.0000000000000001E-3"/>
    <s v="SMB"/>
    <s v="High Value"/>
    <s v="Yes"/>
    <s v="No"/>
    <x v="1"/>
    <x v="2"/>
    <s v="APACQ4"/>
    <n v="126500"/>
  </r>
  <r>
    <s v="TXN-102407"/>
    <d v="2024-03-28T00:00:00"/>
    <x v="73"/>
    <s v="SVC-04"/>
    <n v="103.06"/>
    <x v="0"/>
    <s v="ACH"/>
    <s v="escalated to support"/>
    <x v="1"/>
    <s v="United Kingdom"/>
    <s v="R. Patel"/>
    <x v="2"/>
    <s v="Risk"/>
    <n v="1E-3"/>
    <s v="SMB"/>
    <s v="Standard"/>
    <s v="Yes"/>
    <s v="Yes"/>
    <x v="2"/>
    <x v="3"/>
    <s v="EMEAQ1"/>
    <n v="133000"/>
  </r>
  <r>
    <s v="TXN-100530"/>
    <d v="2024-02-29T00:00:00"/>
    <x v="23"/>
    <s v="SVC-01"/>
    <n v="426.3"/>
    <x v="3"/>
    <s v="Wire Transfer"/>
    <m/>
    <x v="0"/>
    <s v="USA"/>
    <s v="L. Chen"/>
    <x v="0"/>
    <s v="Payments"/>
    <n v="2.9000000000000001E-2"/>
    <s v="N/A"/>
    <s v="Standard"/>
    <s v="Yes"/>
    <s v="No"/>
    <x v="0"/>
    <x v="3"/>
    <s v="NAQ1"/>
    <n v="247000"/>
  </r>
  <r>
    <s v="TXN-100181"/>
    <d v="2024-02-18T00:00:00"/>
    <x v="120"/>
    <s v="SVC-04"/>
    <n v="421.92"/>
    <x v="1"/>
    <s v="ACH"/>
    <s v="escalated to support"/>
    <x v="3"/>
    <s v="Australia"/>
    <s v="M. Santos"/>
    <x v="2"/>
    <s v="Risk"/>
    <n v="1E-3"/>
    <s v="N/A"/>
    <s v="High Value"/>
    <s v="Yes"/>
    <s v="Yes"/>
    <x v="1"/>
    <x v="3"/>
    <s v="APACQ1"/>
    <n v="104500"/>
  </r>
  <r>
    <s v="TXN-100261"/>
    <d v="2024-02-03T00:00:00"/>
    <x v="25"/>
    <s v="SVC-01"/>
    <n v="495.42"/>
    <x v="0"/>
    <s v="Debit Card"/>
    <m/>
    <x v="0"/>
    <s v="USA"/>
    <s v="A. Kim"/>
    <x v="0"/>
    <s v="Payments"/>
    <n v="2.9000000000000001E-2"/>
    <s v="Enterprise"/>
    <s v="Standard"/>
    <s v="Yes"/>
    <s v="No"/>
    <x v="0"/>
    <x v="3"/>
    <s v="NAQ1"/>
    <n v="247000"/>
  </r>
  <r>
    <s v="TXN-102434"/>
    <d v="2024-11-04T00:00:00"/>
    <x v="48"/>
    <s v="SVC-04"/>
    <n v="751.86"/>
    <x v="3"/>
    <s v="ACH"/>
    <m/>
    <x v="1"/>
    <s v="Germany"/>
    <s v="J. Reyes"/>
    <x v="2"/>
    <s v="Risk"/>
    <n v="1E-3"/>
    <s v="N/A"/>
    <s v="High Value"/>
    <s v="Yes"/>
    <s v="No"/>
    <x v="2"/>
    <x v="2"/>
    <s v="EMEAQ4"/>
    <n v="161000"/>
  </r>
  <r>
    <s v="TXN-102168"/>
    <d v="2024-06-09T00:00:00"/>
    <x v="59"/>
    <s v="SVC-01"/>
    <n v="225.55"/>
    <x v="0"/>
    <s v="Credit Card"/>
    <s v="callback requested"/>
    <x v="1"/>
    <s v="USA"/>
    <s v="R. Patel"/>
    <x v="0"/>
    <s v="Payments"/>
    <n v="2.9000000000000001E-2"/>
    <s v="SMB"/>
    <s v="Standard"/>
    <s v="No"/>
    <s v="No"/>
    <x v="0"/>
    <x v="0"/>
    <s v="NAQ2"/>
    <n v="260000"/>
  </r>
  <r>
    <s v="TXN-101963"/>
    <d v="2024-08-01T00:00:00"/>
    <x v="20"/>
    <s v="SVC-01"/>
    <n v="484.39"/>
    <x v="0"/>
    <s v="ACH"/>
    <m/>
    <x v="1"/>
    <s v="USA"/>
    <s v="R. Patel"/>
    <x v="0"/>
    <s v="Payments"/>
    <n v="2.9000000000000001E-2"/>
    <s v="SMB"/>
    <s v="Standard"/>
    <s v="Yes"/>
    <s v="No"/>
    <x v="0"/>
    <x v="1"/>
    <s v="NAQ3"/>
    <n v="273000"/>
  </r>
  <r>
    <s v="TXN-101693"/>
    <d v="2024-01-21T00:00:00"/>
    <x v="101"/>
    <s v="SVC-01"/>
    <n v="452.47"/>
    <x v="3"/>
    <s v="Unknown"/>
    <s v="callback requested"/>
    <x v="1"/>
    <s v="Canada"/>
    <s v="A. Kim"/>
    <x v="0"/>
    <s v="Payments"/>
    <n v="2.9000000000000001E-2"/>
    <s v="N/A"/>
    <s v="Standard"/>
    <s v="Yes"/>
    <s v="No"/>
    <x v="0"/>
    <x v="3"/>
    <s v="NAQ1"/>
    <n v="247000"/>
  </r>
  <r>
    <s v="TXN-102066"/>
    <d v="2024-02-26T00:00:00"/>
    <x v="42"/>
    <s v="SVC-02"/>
    <n v="747.65"/>
    <x v="0"/>
    <s v="Credit Card"/>
    <m/>
    <x v="1"/>
    <s v="Australia"/>
    <s v="M. Santos"/>
    <x v="6"/>
    <s v="HR &amp; Payroll"/>
    <n v="0"/>
    <s v="SMB"/>
    <s v="High Value"/>
    <s v="Yes"/>
    <s v="No"/>
    <x v="1"/>
    <x v="3"/>
    <s v="APACQ1"/>
    <n v="104500"/>
  </r>
  <r>
    <s v="TXN-100778"/>
    <d v="2024-01-31T00:00:00"/>
    <x v="113"/>
    <s v="SVC-05"/>
    <n v="99.67"/>
    <x v="0"/>
    <s v="ACH"/>
    <m/>
    <x v="3"/>
    <s v="United Kingdom"/>
    <s v="R. Patel"/>
    <x v="3"/>
    <s v="Analytics"/>
    <n v="0"/>
    <s v="Startup"/>
    <s v="Standard"/>
    <s v="Yes"/>
    <s v="Yes"/>
    <x v="2"/>
    <x v="3"/>
    <s v="EMEAQ1"/>
    <n v="133000"/>
  </r>
  <r>
    <s v="TXN-101469"/>
    <d v="2024-06-09T00:00:00"/>
    <x v="124"/>
    <s v="SVC-07"/>
    <n v="1036.05"/>
    <x v="0"/>
    <s v="Debit Card"/>
    <s v="VIP account"/>
    <x v="1"/>
    <s v="United Kingdom"/>
    <s v="A. Kim"/>
    <x v="7"/>
    <s v="Support"/>
    <n v="0"/>
    <s v="SMB"/>
    <s v="High Value"/>
    <s v="Yes"/>
    <s v="No"/>
    <x v="2"/>
    <x v="0"/>
    <s v="EMEAQ2"/>
    <n v="140000"/>
  </r>
  <r>
    <s v="TXN-102051"/>
    <d v="2024-08-18T00:00:00"/>
    <x v="60"/>
    <s v="SVC-04"/>
    <n v="257.27999999999997"/>
    <x v="0"/>
    <s v="ACH"/>
    <s v="callback requested"/>
    <x v="1"/>
    <s v="Australia"/>
    <s v="J. Reyes"/>
    <x v="2"/>
    <s v="Risk"/>
    <n v="1E-3"/>
    <s v="SMB"/>
    <s v="High Value"/>
    <s v="Yes"/>
    <s v="Yes"/>
    <x v="1"/>
    <x v="1"/>
    <s v="APACQ3"/>
    <n v="115500"/>
  </r>
  <r>
    <s v="TXN-100331"/>
    <d v="2024-05-28T00:00:00"/>
    <x v="54"/>
    <s v="SVC-07"/>
    <n v="179.24"/>
    <x v="0"/>
    <s v="Credit Card"/>
    <m/>
    <x v="1"/>
    <s v="USA"/>
    <s v="J. Reyes"/>
    <x v="7"/>
    <s v="Support"/>
    <n v="0"/>
    <s v="SMB"/>
    <s v="Standard"/>
    <s v="Yes"/>
    <s v="No"/>
    <x v="0"/>
    <x v="0"/>
    <s v="NAQ2"/>
    <n v="260000"/>
  </r>
  <r>
    <s v="TXN-101656"/>
    <d v="2024-08-29T00:00:00"/>
    <x v="81"/>
    <s v="SVC-01"/>
    <n v="418.7"/>
    <x v="0"/>
    <s v="Credit Card"/>
    <m/>
    <x v="3"/>
    <s v="Germany"/>
    <s v="R. Patel"/>
    <x v="0"/>
    <s v="Payments"/>
    <n v="2.9000000000000001E-2"/>
    <s v="Startup"/>
    <s v="Standard"/>
    <s v="Yes"/>
    <s v="No"/>
    <x v="2"/>
    <x v="1"/>
    <s v="EMEAQ3"/>
    <n v="147000"/>
  </r>
  <r>
    <s v="TXN-100751"/>
    <d v="2024-09-28T00:00:00"/>
    <x v="133"/>
    <s v="SVC-01"/>
    <n v="65.83"/>
    <x v="0"/>
    <s v="Debit Card"/>
    <s v="callback requested"/>
    <x v="1"/>
    <s v="Canada"/>
    <s v="R. Patel"/>
    <x v="0"/>
    <s v="Payments"/>
    <n v="2.9000000000000001E-2"/>
    <s v="SMB"/>
    <s v="Standard"/>
    <s v="No"/>
    <s v="No"/>
    <x v="0"/>
    <x v="1"/>
    <s v="NAQ3"/>
    <n v="273000"/>
  </r>
  <r>
    <s v="TXN-100036"/>
    <d v="2024-03-13T00:00:00"/>
    <x v="126"/>
    <s v="SVC-08"/>
    <n v="692.44"/>
    <x v="0"/>
    <s v="Wire Transfer"/>
    <s v="escalated to support"/>
    <x v="3"/>
    <s v="Canada"/>
    <s v="A. Kim"/>
    <x v="1"/>
    <s v="Risk"/>
    <n v="2.5000000000000001E-3"/>
    <s v="Startup"/>
    <s v="High Value"/>
    <s v="Yes"/>
    <s v="Yes"/>
    <x v="0"/>
    <x v="3"/>
    <s v="NAQ1"/>
    <n v="247000"/>
  </r>
  <r>
    <s v="TXN-100545"/>
    <d v="2024-05-04T00:00:00"/>
    <x v="121"/>
    <s v="SVC-01"/>
    <n v="329.51"/>
    <x v="0"/>
    <s v="Credit Card"/>
    <m/>
    <x v="0"/>
    <s v="USA"/>
    <s v="J. Reyes"/>
    <x v="0"/>
    <s v="Payments"/>
    <n v="2.9000000000000001E-2"/>
    <s v="Enterprise"/>
    <s v="Standard"/>
    <s v="Yes"/>
    <s v="No"/>
    <x v="0"/>
    <x v="0"/>
    <s v="NAQ2"/>
    <n v="260000"/>
  </r>
  <r>
    <s v="TXN-100589"/>
    <d v="2024-11-28T00:00:00"/>
    <x v="10"/>
    <s v="SVC-01"/>
    <n v="545.58000000000004"/>
    <x v="0"/>
    <s v="ACH"/>
    <m/>
    <x v="1"/>
    <s v="USA"/>
    <s v="T. Novak"/>
    <x v="0"/>
    <s v="Payments"/>
    <n v="2.9000000000000001E-2"/>
    <s v="SMB"/>
    <s v="High Value"/>
    <s v="Yes"/>
    <s v="No"/>
    <x v="0"/>
    <x v="2"/>
    <s v="NAQ4"/>
    <n v="299000"/>
  </r>
  <r>
    <s v="TXN-102124"/>
    <d v="2024-08-11T00:00:00"/>
    <x v="7"/>
    <s v="SVC-05"/>
    <n v="790.11"/>
    <x v="3"/>
    <s v="ACH"/>
    <m/>
    <x v="1"/>
    <s v="USA"/>
    <s v="T. Novak"/>
    <x v="3"/>
    <s v="Analytics"/>
    <n v="0"/>
    <s v="N/A"/>
    <s v="High Value"/>
    <s v="Yes"/>
    <s v="No"/>
    <x v="0"/>
    <x v="1"/>
    <s v="NAQ3"/>
    <n v="273000"/>
  </r>
  <r>
    <s v="TXN-100481"/>
    <d v="2024-09-06T00:00:00"/>
    <x v="119"/>
    <s v="SVC-03"/>
    <n v="336.01"/>
    <x v="0"/>
    <s v="Credit Card"/>
    <s v="escalated to support"/>
    <x v="1"/>
    <s v="USA"/>
    <s v="R. Patel"/>
    <x v="5"/>
    <s v="Billing"/>
    <n v="5.0000000000000001E-3"/>
    <s v="SMB"/>
    <s v="High Value"/>
    <s v="Yes"/>
    <s v="Yes"/>
    <x v="0"/>
    <x v="1"/>
    <s v="NAQ3"/>
    <n v="273000"/>
  </r>
  <r>
    <s v="TXN-101074"/>
    <d v="2024-12-20T00:00:00"/>
    <x v="34"/>
    <s v="SVC-01"/>
    <n v="216.3"/>
    <x v="0"/>
    <s v="Debit Card"/>
    <m/>
    <x v="1"/>
    <s v="Germany"/>
    <s v="M. Santos"/>
    <x v="0"/>
    <s v="Payments"/>
    <n v="2.9000000000000001E-2"/>
    <s v="SMB"/>
    <s v="Standard"/>
    <s v="No"/>
    <s v="No"/>
    <x v="2"/>
    <x v="2"/>
    <s v="EMEAQ4"/>
    <n v="161000"/>
  </r>
  <r>
    <s v="TXN-100774"/>
    <d v="2024-09-14T00:00:00"/>
    <x v="57"/>
    <s v="SVC-06"/>
    <n v="349.49"/>
    <x v="1"/>
    <s v="Debit Card"/>
    <m/>
    <x v="1"/>
    <s v="USA"/>
    <s v="L. Chen"/>
    <x v="4"/>
    <s v="Platform"/>
    <n v="0"/>
    <s v="N/A"/>
    <s v="High Value"/>
    <s v="Yes"/>
    <s v="No"/>
    <x v="0"/>
    <x v="1"/>
    <s v="NAQ3"/>
    <n v="273000"/>
  </r>
  <r>
    <s v="TXN-102069"/>
    <d v="2024-02-07T00:00:00"/>
    <x v="73"/>
    <s v="SVC-05"/>
    <n v="640.16"/>
    <x v="3"/>
    <s v="ACH"/>
    <s v="VIP account"/>
    <x v="1"/>
    <s v="United Kingdom"/>
    <s v="R. Patel"/>
    <x v="3"/>
    <s v="Analytics"/>
    <n v="0"/>
    <s v="N/A"/>
    <s v="High Value"/>
    <s v="Yes"/>
    <s v="No"/>
    <x v="2"/>
    <x v="3"/>
    <s v="EMEAQ1"/>
    <n v="133000"/>
  </r>
  <r>
    <s v="TXN-102210"/>
    <d v="2024-05-22T00:00:00"/>
    <x v="54"/>
    <s v="SVC-03"/>
    <n v="218.66"/>
    <x v="1"/>
    <s v="Debit Card"/>
    <m/>
    <x v="1"/>
    <s v="USA"/>
    <s v="J. Reyes"/>
    <x v="5"/>
    <s v="Billing"/>
    <n v="5.0000000000000001E-3"/>
    <s v="N/A"/>
    <s v="Standard"/>
    <s v="Yes"/>
    <s v="No"/>
    <x v="0"/>
    <x v="0"/>
    <s v="NAQ2"/>
    <n v="260000"/>
  </r>
  <r>
    <s v="TXN-102375"/>
    <d v="2024-01-29T00:00:00"/>
    <x v="83"/>
    <s v="SVC-07"/>
    <n v="441.3"/>
    <x v="0"/>
    <s v="ACH"/>
    <m/>
    <x v="1"/>
    <s v="Canada"/>
    <s v="L. Chen"/>
    <x v="7"/>
    <s v="Support"/>
    <n v="0"/>
    <s v="SMB"/>
    <s v="High Value"/>
    <s v="Yes"/>
    <s v="Yes"/>
    <x v="0"/>
    <x v="3"/>
    <s v="NAQ1"/>
    <n v="247000"/>
  </r>
  <r>
    <s v="TXN-100933"/>
    <d v="2024-08-07T00:00:00"/>
    <x v="14"/>
    <s v="SVC-01"/>
    <n v="443.8"/>
    <x v="0"/>
    <s v="Debit Card"/>
    <m/>
    <x v="3"/>
    <s v="Canada"/>
    <s v="A. Kim"/>
    <x v="0"/>
    <s v="Payments"/>
    <n v="2.9000000000000001E-2"/>
    <s v="Startup"/>
    <s v="Standard"/>
    <s v="Yes"/>
    <s v="No"/>
    <x v="0"/>
    <x v="1"/>
    <s v="NAQ3"/>
    <n v="273000"/>
  </r>
  <r>
    <s v="TXN-100825"/>
    <d v="2024-02-13T00:00:00"/>
    <x v="74"/>
    <s v="SVC-01"/>
    <n v="1565.21"/>
    <x v="0"/>
    <s v="Credit Card"/>
    <m/>
    <x v="0"/>
    <s v="USA"/>
    <s v="A. Kim"/>
    <x v="0"/>
    <s v="Payments"/>
    <n v="2.9000000000000001E-2"/>
    <s v="Enterprise"/>
    <s v="High Value"/>
    <s v="Yes"/>
    <s v="No"/>
    <x v="0"/>
    <x v="3"/>
    <s v="NAQ1"/>
    <n v="247000"/>
  </r>
  <r>
    <s v="TXN-100817"/>
    <d v="2024-05-14T00:00:00"/>
    <x v="8"/>
    <s v="SVC-01"/>
    <n v="618.91"/>
    <x v="1"/>
    <s v="Wire Transfer"/>
    <s v="callback requested"/>
    <x v="1"/>
    <s v="USA"/>
    <s v="M. Santos"/>
    <x v="0"/>
    <s v="Payments"/>
    <n v="2.9000000000000001E-2"/>
    <s v="N/A"/>
    <s v="High Value"/>
    <s v="Yes"/>
    <s v="No"/>
    <x v="0"/>
    <x v="0"/>
    <s v="NAQ2"/>
    <n v="260000"/>
  </r>
  <r>
    <s v="TXN-102208"/>
    <d v="2024-08-20T00:00:00"/>
    <x v="16"/>
    <s v="SVC-05"/>
    <n v="57.57"/>
    <x v="0"/>
    <s v="ACH"/>
    <m/>
    <x v="1"/>
    <s v="Germany"/>
    <s v="R. Patel"/>
    <x v="3"/>
    <s v="Analytics"/>
    <n v="0"/>
    <s v="SMB"/>
    <s v="Standard"/>
    <s v="Yes"/>
    <s v="Yes"/>
    <x v="2"/>
    <x v="1"/>
    <s v="EMEAQ3"/>
    <n v="147000"/>
  </r>
  <r>
    <s v="TXN-100890"/>
    <d v="2024-03-12T00:00:00"/>
    <x v="24"/>
    <s v="SVC-05"/>
    <n v="143.13"/>
    <x v="0"/>
    <s v="Credit Card"/>
    <s v="escalated to support"/>
    <x v="1"/>
    <s v="USA"/>
    <s v="M. Santos"/>
    <x v="3"/>
    <s v="Analytics"/>
    <n v="0"/>
    <s v="SMB"/>
    <s v="Standard"/>
    <s v="Yes"/>
    <s v="No"/>
    <x v="0"/>
    <x v="3"/>
    <s v="NAQ1"/>
    <n v="247000"/>
  </r>
  <r>
    <s v="TXN-100748"/>
    <d v="2024-04-15T00:00:00"/>
    <x v="26"/>
    <s v="SVC-04"/>
    <n v="405.2"/>
    <x v="1"/>
    <s v="ACH"/>
    <s v="callback requested"/>
    <x v="3"/>
    <s v="USA"/>
    <s v="R. Patel"/>
    <x v="2"/>
    <s v="Risk"/>
    <n v="1E-3"/>
    <s v="N/A"/>
    <s v="High Value"/>
    <s v="Yes"/>
    <s v="No"/>
    <x v="0"/>
    <x v="0"/>
    <s v="NAQ2"/>
    <n v="260000"/>
  </r>
  <r>
    <s v="TXN-100771"/>
    <d v="2024-06-15T00:00:00"/>
    <x v="19"/>
    <s v="SVC-01"/>
    <n v="385.96"/>
    <x v="0"/>
    <s v="Credit Card"/>
    <s v="callback requested"/>
    <x v="0"/>
    <s v="Canada"/>
    <s v="M. Santos"/>
    <x v="0"/>
    <s v="Payments"/>
    <n v="2.9000000000000001E-2"/>
    <s v="Enterprise"/>
    <s v="Standard"/>
    <s v="Yes"/>
    <s v="No"/>
    <x v="0"/>
    <x v="0"/>
    <s v="NAQ2"/>
    <n v="260000"/>
  </r>
  <r>
    <s v="TXN-101404"/>
    <d v="2024-02-20T00:00:00"/>
    <x v="10"/>
    <s v="SVC-07"/>
    <n v="332.23"/>
    <x v="0"/>
    <s v="ACH"/>
    <m/>
    <x v="1"/>
    <s v="USA"/>
    <s v="T. Novak"/>
    <x v="7"/>
    <s v="Support"/>
    <n v="0"/>
    <s v="SMB"/>
    <s v="High Value"/>
    <s v="Yes"/>
    <s v="No"/>
    <x v="0"/>
    <x v="3"/>
    <s v="NAQ1"/>
    <n v="247000"/>
  </r>
  <r>
    <s v="TXN-101926"/>
    <d v="2024-08-28T00:00:00"/>
    <x v="118"/>
    <s v="SVC-06"/>
    <n v="171.08"/>
    <x v="0"/>
    <s v="Credit Card"/>
    <s v="VIP account"/>
    <x v="1"/>
    <s v="USA"/>
    <s v="L. Chen"/>
    <x v="4"/>
    <s v="Platform"/>
    <n v="0"/>
    <s v="SMB"/>
    <s v="Standard"/>
    <s v="Yes"/>
    <s v="Yes"/>
    <x v="0"/>
    <x v="1"/>
    <s v="NAQ3"/>
    <n v="273000"/>
  </r>
  <r>
    <s v="TXN-101646"/>
    <d v="2024-09-22T00:00:00"/>
    <x v="121"/>
    <s v="SVC-02"/>
    <n v="1060.33"/>
    <x v="0"/>
    <s v="ACH"/>
    <s v="escalated to support"/>
    <x v="0"/>
    <s v="USA"/>
    <s v="J. Reyes"/>
    <x v="6"/>
    <s v="HR &amp; Payroll"/>
    <n v="0"/>
    <s v="Enterprise"/>
    <s v="High Value"/>
    <s v="Yes"/>
    <s v="No"/>
    <x v="0"/>
    <x v="1"/>
    <s v="NAQ3"/>
    <n v="273000"/>
  </r>
  <r>
    <s v="TXN-100875"/>
    <d v="2024-08-11T00:00:00"/>
    <x v="50"/>
    <s v="SVC-01"/>
    <n v="-630.22"/>
    <x v="2"/>
    <s v="Debit Card"/>
    <m/>
    <x v="1"/>
    <s v="USA"/>
    <s v="M. Santos"/>
    <x v="0"/>
    <s v="Payments"/>
    <n v="2.9000000000000001E-2"/>
    <s v="N/A"/>
    <s v="Refund"/>
    <s v="No"/>
    <s v="No"/>
    <x v="0"/>
    <x v="1"/>
    <s v="NAQ3"/>
    <n v="273000"/>
  </r>
  <r>
    <s v="TXN-100193"/>
    <d v="2024-07-21T00:00:00"/>
    <x v="100"/>
    <s v="SVC-02"/>
    <n v="639.6"/>
    <x v="0"/>
    <s v="Debit Card"/>
    <m/>
    <x v="1"/>
    <s v="USA"/>
    <s v="J. Reyes"/>
    <x v="6"/>
    <s v="HR &amp; Payroll"/>
    <n v="0"/>
    <s v="SMB"/>
    <s v="High Value"/>
    <s v="Yes"/>
    <s v="No"/>
    <x v="0"/>
    <x v="1"/>
    <s v="NAQ3"/>
    <n v="273000"/>
  </r>
  <r>
    <s v="TXN-101612"/>
    <d v="2024-10-29T00:00:00"/>
    <x v="90"/>
    <s v="SVC-08"/>
    <n v="378.07"/>
    <x v="0"/>
    <s v="Debit Card"/>
    <m/>
    <x v="1"/>
    <s v="USA"/>
    <s v="A. Kim"/>
    <x v="1"/>
    <s v="Risk"/>
    <n v="2.5000000000000001E-3"/>
    <s v="SMB"/>
    <s v="High Value"/>
    <s v="Yes"/>
    <s v="Yes"/>
    <x v="0"/>
    <x v="2"/>
    <s v="NAQ4"/>
    <n v="299000"/>
  </r>
  <r>
    <s v="TXN-100916"/>
    <d v="2024-03-05T00:00:00"/>
    <x v="68"/>
    <s v="SVC-01"/>
    <n v="420.79"/>
    <x v="0"/>
    <s v="Debit Card"/>
    <s v="VIP account"/>
    <x v="1"/>
    <s v="USA"/>
    <s v="R. Patel"/>
    <x v="0"/>
    <s v="Payments"/>
    <n v="2.9000000000000001E-2"/>
    <s v="SMB"/>
    <s v="Standard"/>
    <s v="Yes"/>
    <s v="No"/>
    <x v="0"/>
    <x v="3"/>
    <s v="NAQ1"/>
    <n v="247000"/>
  </r>
  <r>
    <s v="TXN-101202"/>
    <d v="2024-03-25T00:00:00"/>
    <x v="74"/>
    <s v="SVC-04"/>
    <n v="142.33000000000001"/>
    <x v="0"/>
    <s v="ACH"/>
    <s v="VIP account"/>
    <x v="0"/>
    <s v="USA"/>
    <s v="A. Kim"/>
    <x v="2"/>
    <s v="Risk"/>
    <n v="1E-3"/>
    <s v="Enterprise"/>
    <s v="Standard"/>
    <s v="Yes"/>
    <s v="No"/>
    <x v="0"/>
    <x v="3"/>
    <s v="NAQ1"/>
    <n v="247000"/>
  </r>
  <r>
    <s v="TXN-100715"/>
    <d v="2024-09-17T00:00:00"/>
    <x v="105"/>
    <s v="SVC-07"/>
    <n v="557.41999999999996"/>
    <x v="3"/>
    <s v="Wire Transfer"/>
    <m/>
    <x v="3"/>
    <s v="Philippines"/>
    <s v="T. Novak"/>
    <x v="7"/>
    <s v="Support"/>
    <n v="0"/>
    <s v="N/A"/>
    <s v="High Value"/>
    <s v="Yes"/>
    <s v="Yes"/>
    <x v="1"/>
    <x v="1"/>
    <s v="APACQ3"/>
    <n v="115500"/>
  </r>
  <r>
    <s v="TXN-101419"/>
    <d v="2024-03-14T00:00:00"/>
    <x v="37"/>
    <s v="SVC-02"/>
    <n v="516.33000000000004"/>
    <x v="1"/>
    <s v="ACH"/>
    <m/>
    <x v="1"/>
    <s v="Canada"/>
    <s v="T. Novak"/>
    <x v="6"/>
    <s v="HR &amp; Payroll"/>
    <n v="0"/>
    <s v="N/A"/>
    <s v="High Value"/>
    <s v="Yes"/>
    <s v="Yes"/>
    <x v="0"/>
    <x v="3"/>
    <s v="NAQ1"/>
    <n v="247000"/>
  </r>
  <r>
    <s v="TXN-101392"/>
    <d v="2024-11-13T00:00:00"/>
    <x v="54"/>
    <s v="SVC-01"/>
    <n v="320.66000000000003"/>
    <x v="0"/>
    <s v="Unknown"/>
    <m/>
    <x v="1"/>
    <s v="USA"/>
    <s v="J. Reyes"/>
    <x v="0"/>
    <s v="Payments"/>
    <n v="2.9000000000000001E-2"/>
    <s v="SMB"/>
    <s v="Standard"/>
    <s v="Yes"/>
    <s v="No"/>
    <x v="0"/>
    <x v="2"/>
    <s v="NAQ4"/>
    <n v="299000"/>
  </r>
  <r>
    <s v="TXN-102503"/>
    <d v="2024-05-05T00:00:00"/>
    <x v="51"/>
    <s v="SVC-06"/>
    <n v="194.7"/>
    <x v="0"/>
    <s v="Debit Card"/>
    <s v="callback requested"/>
    <x v="0"/>
    <s v="United Kingdom"/>
    <s v="R. Patel"/>
    <x v="4"/>
    <s v="Platform"/>
    <n v="0"/>
    <s v="Enterprise"/>
    <s v="Standard"/>
    <s v="Yes"/>
    <s v="No"/>
    <x v="2"/>
    <x v="0"/>
    <s v="EMEAQ2"/>
    <n v="140000"/>
  </r>
  <r>
    <s v="TXN-100595"/>
    <d v="2024-04-15T00:00:00"/>
    <x v="64"/>
    <s v="SVC-05"/>
    <n v="325.7"/>
    <x v="0"/>
    <s v="Credit Card"/>
    <m/>
    <x v="1"/>
    <s v="United Kingdom"/>
    <s v="J. Reyes"/>
    <x v="3"/>
    <s v="Analytics"/>
    <n v="0"/>
    <s v="SMB"/>
    <s v="High Value"/>
    <s v="Yes"/>
    <s v="No"/>
    <x v="2"/>
    <x v="0"/>
    <s v="EMEAQ2"/>
    <n v="140000"/>
  </r>
  <r>
    <s v="TXN-100605"/>
    <d v="2024-11-05T00:00:00"/>
    <x v="62"/>
    <s v="SVC-07"/>
    <n v="926.6"/>
    <x v="0"/>
    <s v="Unknown"/>
    <m/>
    <x v="0"/>
    <s v="USA"/>
    <s v="A. Kim"/>
    <x v="7"/>
    <s v="Support"/>
    <n v="0"/>
    <s v="Enterprise"/>
    <s v="High Value"/>
    <s v="Yes"/>
    <s v="Yes"/>
    <x v="0"/>
    <x v="2"/>
    <s v="NAQ4"/>
    <n v="299000"/>
  </r>
  <r>
    <s v="TXN-100397"/>
    <d v="2024-04-03T00:00:00"/>
    <x v="7"/>
    <s v="SVC-06"/>
    <n v="298.88"/>
    <x v="0"/>
    <s v="ACH"/>
    <s v="escalated to support"/>
    <x v="1"/>
    <s v="USA"/>
    <s v="T. Novak"/>
    <x v="4"/>
    <s v="Platform"/>
    <n v="0"/>
    <s v="SMB"/>
    <s v="High Value"/>
    <s v="Yes"/>
    <s v="No"/>
    <x v="0"/>
    <x v="0"/>
    <s v="NAQ2"/>
    <n v="260000"/>
  </r>
  <r>
    <s v="TXN-100289"/>
    <d v="2024-12-17T00:00:00"/>
    <x v="83"/>
    <s v="SVC-08"/>
    <n v="410.86"/>
    <x v="3"/>
    <s v="Debit Card"/>
    <s v="callback requested"/>
    <x v="1"/>
    <s v="Canada"/>
    <s v="L. Chen"/>
    <x v="1"/>
    <s v="Risk"/>
    <n v="2.5000000000000001E-3"/>
    <s v="N/A"/>
    <s v="High Value"/>
    <s v="Yes"/>
    <s v="No"/>
    <x v="0"/>
    <x v="2"/>
    <s v="NAQ4"/>
    <n v="299000"/>
  </r>
  <r>
    <s v="TXN-101601"/>
    <d v="2024-03-20T00:00:00"/>
    <x v="21"/>
    <s v="SVC-01"/>
    <n v="46.77"/>
    <x v="0"/>
    <s v="Debit Card"/>
    <m/>
    <x v="0"/>
    <s v="Australia"/>
    <s v="M. Santos"/>
    <x v="0"/>
    <s v="Payments"/>
    <n v="2.9000000000000001E-2"/>
    <s v="Enterprise"/>
    <s v="Standard"/>
    <s v="No"/>
    <s v="No"/>
    <x v="1"/>
    <x v="3"/>
    <s v="APACQ1"/>
    <n v="104500"/>
  </r>
  <r>
    <s v="TXN-100290"/>
    <d v="2024-09-21T00:00:00"/>
    <x v="108"/>
    <s v="SVC-03"/>
    <n v="203.42"/>
    <x v="3"/>
    <s v="Credit Card"/>
    <m/>
    <x v="1"/>
    <s v="Germany"/>
    <s v="M. Santos"/>
    <x v="5"/>
    <s v="Billing"/>
    <n v="5.0000000000000001E-3"/>
    <s v="N/A"/>
    <s v="Standard"/>
    <s v="Yes"/>
    <s v="Yes"/>
    <x v="2"/>
    <x v="1"/>
    <s v="EMEAQ3"/>
    <n v="147000"/>
  </r>
  <r>
    <s v="TXN-100099"/>
    <d v="2024-07-16T00:00:00"/>
    <x v="41"/>
    <s v="SVC-07"/>
    <n v="184.56"/>
    <x v="0"/>
    <s v="Wire Transfer"/>
    <m/>
    <x v="0"/>
    <s v="Canada"/>
    <s v="M. Santos"/>
    <x v="7"/>
    <s v="Support"/>
    <n v="0"/>
    <s v="Enterprise"/>
    <s v="Standard"/>
    <s v="Yes"/>
    <s v="No"/>
    <x v="0"/>
    <x v="1"/>
    <s v="NAQ3"/>
    <n v="273000"/>
  </r>
  <r>
    <s v="TXN-101552"/>
    <d v="2024-08-23T00:00:00"/>
    <x v="113"/>
    <s v="SVC-01"/>
    <n v="150.18"/>
    <x v="0"/>
    <s v="Debit Card"/>
    <m/>
    <x v="3"/>
    <s v="United Kingdom"/>
    <s v="R. Patel"/>
    <x v="0"/>
    <s v="Payments"/>
    <n v="2.9000000000000001E-2"/>
    <s v="Startup"/>
    <s v="Standard"/>
    <s v="No"/>
    <s v="Yes"/>
    <x v="2"/>
    <x v="1"/>
    <s v="EMEAQ3"/>
    <n v="147000"/>
  </r>
  <r>
    <s v="TXN-101866"/>
    <d v="2024-08-19T00:00:00"/>
    <x v="98"/>
    <s v="SVC-01"/>
    <n v="92"/>
    <x v="0"/>
    <s v="Credit Card"/>
    <m/>
    <x v="1"/>
    <s v="Philippines"/>
    <s v="T. Novak"/>
    <x v="0"/>
    <s v="Payments"/>
    <n v="2.9000000000000001E-2"/>
    <s v="SMB"/>
    <s v="Standard"/>
    <s v="No"/>
    <s v="No"/>
    <x v="1"/>
    <x v="1"/>
    <s v="APACQ3"/>
    <n v="115500"/>
  </r>
  <r>
    <s v="TXN-101828"/>
    <d v="2024-03-26T00:00:00"/>
    <x v="104"/>
    <s v="SVC-01"/>
    <n v="899.51"/>
    <x v="0"/>
    <s v="Wire Transfer"/>
    <m/>
    <x v="1"/>
    <s v="USA"/>
    <s v="M. Santos"/>
    <x v="0"/>
    <s v="Payments"/>
    <n v="2.9000000000000001E-2"/>
    <s v="SMB"/>
    <s v="High Value"/>
    <s v="Yes"/>
    <s v="No"/>
    <x v="0"/>
    <x v="3"/>
    <s v="NAQ1"/>
    <n v="247000"/>
  </r>
  <r>
    <s v="TXN-101958"/>
    <d v="2024-06-15T00:00:00"/>
    <x v="109"/>
    <s v="SVC-07"/>
    <n v="172.5"/>
    <x v="0"/>
    <s v="Wire Transfer"/>
    <s v="escalated to support"/>
    <x v="0"/>
    <s v="USA"/>
    <s v="L. Chen"/>
    <x v="7"/>
    <s v="Support"/>
    <n v="0"/>
    <s v="Enterprise"/>
    <s v="Standard"/>
    <s v="Yes"/>
    <s v="No"/>
    <x v="0"/>
    <x v="0"/>
    <s v="NAQ2"/>
    <n v="260000"/>
  </r>
  <r>
    <s v="TXN-101639"/>
    <d v="2024-12-15T00:00:00"/>
    <x v="40"/>
    <s v="SVC-01"/>
    <n v="341.67"/>
    <x v="0"/>
    <s v="ACH"/>
    <s v="VIP account"/>
    <x v="1"/>
    <s v="Philippines"/>
    <s v="M. Santos"/>
    <x v="0"/>
    <s v="Payments"/>
    <n v="2.9000000000000001E-2"/>
    <s v="SMB"/>
    <s v="Standard"/>
    <s v="Yes"/>
    <s v="No"/>
    <x v="1"/>
    <x v="2"/>
    <s v="APACQ4"/>
    <n v="126500"/>
  </r>
  <r>
    <s v="TXN-102356"/>
    <d v="2024-03-26T00:00:00"/>
    <x v="70"/>
    <s v="SVC-01"/>
    <n v="749.93"/>
    <x v="0"/>
    <s v="Wire Transfer"/>
    <m/>
    <x v="3"/>
    <s v="Singapore"/>
    <s v="A. Kim"/>
    <x v="0"/>
    <s v="Payments"/>
    <n v="2.9000000000000001E-2"/>
    <s v="Startup"/>
    <s v="High Value"/>
    <s v="Yes"/>
    <s v="No"/>
    <x v="1"/>
    <x v="3"/>
    <s v="APACQ1"/>
    <n v="104500"/>
  </r>
  <r>
    <s v="TXN-102107"/>
    <d v="2024-05-28T00:00:00"/>
    <x v="29"/>
    <s v="SVC-01"/>
    <n v="392.09"/>
    <x v="0"/>
    <s v="Debit Card"/>
    <m/>
    <x v="1"/>
    <s v="Germany"/>
    <s v="L. Chen"/>
    <x v="0"/>
    <s v="Payments"/>
    <n v="2.9000000000000001E-2"/>
    <s v="SMB"/>
    <s v="Standard"/>
    <s v="Yes"/>
    <s v="No"/>
    <x v="2"/>
    <x v="0"/>
    <s v="EMEAQ2"/>
    <n v="140000"/>
  </r>
  <r>
    <s v="TXN-101732"/>
    <d v="2024-03-17T00:00:00"/>
    <x v="118"/>
    <s v="SVC-02"/>
    <n v="739.07"/>
    <x v="0"/>
    <s v="Credit Card"/>
    <s v="VIP account"/>
    <x v="1"/>
    <s v="USA"/>
    <s v="L. Chen"/>
    <x v="6"/>
    <s v="HR &amp; Payroll"/>
    <n v="0"/>
    <s v="SMB"/>
    <s v="High Value"/>
    <s v="Yes"/>
    <s v="No"/>
    <x v="0"/>
    <x v="3"/>
    <s v="NAQ1"/>
    <n v="247000"/>
  </r>
  <r>
    <s v="TXN-100799"/>
    <d v="2024-10-19T00:00:00"/>
    <x v="109"/>
    <s v="SVC-01"/>
    <n v="310.60000000000002"/>
    <x v="3"/>
    <s v="ACH"/>
    <s v="escalated to support"/>
    <x v="0"/>
    <s v="USA"/>
    <s v="L. Chen"/>
    <x v="0"/>
    <s v="Payments"/>
    <n v="2.9000000000000001E-2"/>
    <s v="N/A"/>
    <s v="Standard"/>
    <s v="Yes"/>
    <s v="No"/>
    <x v="0"/>
    <x v="2"/>
    <s v="NAQ4"/>
    <n v="299000"/>
  </r>
  <r>
    <s v="TXN-101033"/>
    <d v="2024-10-19T00:00:00"/>
    <x v="44"/>
    <s v="SVC-02"/>
    <n v="-158.68"/>
    <x v="2"/>
    <s v="Unknown"/>
    <m/>
    <x v="0"/>
    <s v="Australia"/>
    <s v="T. Novak"/>
    <x v="6"/>
    <s v="HR &amp; Payroll"/>
    <n v="0"/>
    <s v="N/A"/>
    <s v="Refund"/>
    <s v="No"/>
    <s v="No"/>
    <x v="1"/>
    <x v="2"/>
    <s v="APACQ4"/>
    <n v="126500"/>
  </r>
  <r>
    <s v="TXN-102052"/>
    <d v="2024-08-10T00:00:00"/>
    <x v="91"/>
    <s v="SVC-01"/>
    <n v="-484.93"/>
    <x v="2"/>
    <s v="ACH"/>
    <s v="escalated to support"/>
    <x v="1"/>
    <s v="Singapore"/>
    <s v="A. Kim"/>
    <x v="0"/>
    <s v="Payments"/>
    <n v="2.9000000000000001E-2"/>
    <s v="N/A"/>
    <s v="Refund"/>
    <s v="No"/>
    <s v="No"/>
    <x v="1"/>
    <x v="1"/>
    <s v="APACQ3"/>
    <n v="115500"/>
  </r>
  <r>
    <s v="TXN-100263"/>
    <d v="2024-05-20T00:00:00"/>
    <x v="60"/>
    <s v="SVC-07"/>
    <n v="373.63"/>
    <x v="0"/>
    <s v="ACH"/>
    <s v="VIP account"/>
    <x v="1"/>
    <s v="Australia"/>
    <s v="J. Reyes"/>
    <x v="7"/>
    <s v="Support"/>
    <n v="0"/>
    <s v="SMB"/>
    <s v="High Value"/>
    <s v="Yes"/>
    <s v="No"/>
    <x v="1"/>
    <x v="0"/>
    <s v="APACQ2"/>
    <n v="110000"/>
  </r>
  <r>
    <s v="TXN-100654"/>
    <d v="2024-03-28T00:00:00"/>
    <x v="55"/>
    <s v="SVC-08"/>
    <n v="316.35000000000002"/>
    <x v="1"/>
    <s v="Unknown"/>
    <m/>
    <x v="3"/>
    <s v="USA"/>
    <s v="J. Reyes"/>
    <x v="1"/>
    <s v="Risk"/>
    <n v="2.5000000000000001E-3"/>
    <s v="N/A"/>
    <s v="High Value"/>
    <s v="Yes"/>
    <s v="No"/>
    <x v="0"/>
    <x v="3"/>
    <s v="NAQ1"/>
    <n v="247000"/>
  </r>
  <r>
    <s v="TXN-102455"/>
    <d v="2024-02-07T00:00:00"/>
    <x v="69"/>
    <s v="SVC-01"/>
    <n v="306.54000000000002"/>
    <x v="0"/>
    <s v="ACH"/>
    <m/>
    <x v="1"/>
    <s v="Philippines"/>
    <s v="J. Reyes"/>
    <x v="0"/>
    <s v="Payments"/>
    <n v="2.9000000000000001E-2"/>
    <s v="SMB"/>
    <s v="Standard"/>
    <s v="Yes"/>
    <s v="Yes"/>
    <x v="1"/>
    <x v="3"/>
    <s v="APACQ1"/>
    <n v="104500"/>
  </r>
  <r>
    <s v="TXN-101507"/>
    <d v="2024-09-13T00:00:00"/>
    <x v="83"/>
    <s v="SVC-07"/>
    <n v="459.85"/>
    <x v="0"/>
    <s v="Credit Card"/>
    <m/>
    <x v="1"/>
    <s v="Canada"/>
    <s v="L. Chen"/>
    <x v="7"/>
    <s v="Support"/>
    <n v="0"/>
    <s v="SMB"/>
    <s v="High Value"/>
    <s v="Yes"/>
    <s v="No"/>
    <x v="0"/>
    <x v="1"/>
    <s v="NAQ3"/>
    <n v="273000"/>
  </r>
  <r>
    <s v="TXN-102050"/>
    <d v="2024-05-19T00:00:00"/>
    <x v="116"/>
    <s v="SVC-02"/>
    <n v="742.59"/>
    <x v="0"/>
    <s v="ACH"/>
    <s v="escalated to support"/>
    <x v="1"/>
    <s v="USA"/>
    <s v="J. Reyes"/>
    <x v="6"/>
    <s v="HR &amp; Payroll"/>
    <n v="0"/>
    <s v="SMB"/>
    <s v="High Value"/>
    <s v="Yes"/>
    <s v="No"/>
    <x v="0"/>
    <x v="0"/>
    <s v="NAQ2"/>
    <n v="260000"/>
  </r>
  <r>
    <s v="TXN-100248"/>
    <d v="2024-05-24T00:00:00"/>
    <x v="22"/>
    <s v="SVC-07"/>
    <n v="1064.45"/>
    <x v="0"/>
    <s v="ACH"/>
    <s v="callback requested"/>
    <x v="0"/>
    <s v="Australia"/>
    <s v="M. Santos"/>
    <x v="7"/>
    <s v="Support"/>
    <n v="0"/>
    <s v="Enterprise"/>
    <s v="High Value"/>
    <s v="Yes"/>
    <s v="No"/>
    <x v="1"/>
    <x v="0"/>
    <s v="APACQ2"/>
    <n v="110000"/>
  </r>
  <r>
    <s v="TXN-100238"/>
    <d v="2024-08-04T00:00:00"/>
    <x v="14"/>
    <s v="SVC-06"/>
    <n v="402.58"/>
    <x v="0"/>
    <s v="Credit Card"/>
    <s v="VIP account"/>
    <x v="3"/>
    <s v="Canada"/>
    <s v="A. Kim"/>
    <x v="4"/>
    <s v="Platform"/>
    <n v="0"/>
    <s v="Startup"/>
    <s v="High Value"/>
    <s v="Yes"/>
    <s v="Yes"/>
    <x v="0"/>
    <x v="1"/>
    <s v="NAQ3"/>
    <n v="273000"/>
  </r>
  <r>
    <s v="TXN-100934"/>
    <d v="2024-07-27T00:00:00"/>
    <x v="30"/>
    <s v="SVC-08"/>
    <n v="303.70999999999998"/>
    <x v="0"/>
    <s v="Credit Card"/>
    <m/>
    <x v="1"/>
    <s v="Germany"/>
    <s v="M. Santos"/>
    <x v="1"/>
    <s v="Risk"/>
    <n v="2.5000000000000001E-3"/>
    <s v="SMB"/>
    <s v="High Value"/>
    <s v="Yes"/>
    <s v="No"/>
    <x v="2"/>
    <x v="1"/>
    <s v="EMEAQ3"/>
    <n v="147000"/>
  </r>
  <r>
    <s v="TXN-100961"/>
    <d v="2024-03-01T00:00:00"/>
    <x v="19"/>
    <s v="SVC-04"/>
    <n v="596.72"/>
    <x v="1"/>
    <s v="Credit Card"/>
    <s v="VIP account"/>
    <x v="0"/>
    <s v="Canada"/>
    <s v="M. Santos"/>
    <x v="2"/>
    <s v="Risk"/>
    <n v="1E-3"/>
    <s v="N/A"/>
    <s v="High Value"/>
    <s v="Yes"/>
    <s v="No"/>
    <x v="0"/>
    <x v="3"/>
    <s v="NAQ1"/>
    <n v="247000"/>
  </r>
  <r>
    <s v="TXN-101659"/>
    <d v="2024-04-23T00:00:00"/>
    <x v="41"/>
    <s v="SVC-05"/>
    <n v="618.04999999999995"/>
    <x v="0"/>
    <s v="ACH"/>
    <m/>
    <x v="0"/>
    <s v="Canada"/>
    <s v="M. Santos"/>
    <x v="3"/>
    <s v="Analytics"/>
    <n v="0"/>
    <s v="Enterprise"/>
    <s v="High Value"/>
    <s v="Yes"/>
    <s v="No"/>
    <x v="0"/>
    <x v="0"/>
    <s v="NAQ2"/>
    <n v="260000"/>
  </r>
  <r>
    <s v="TXN-101499"/>
    <d v="2024-01-07T00:00:00"/>
    <x v="126"/>
    <s v="SVC-02"/>
    <n v="177.89"/>
    <x v="0"/>
    <s v="ACH"/>
    <m/>
    <x v="3"/>
    <s v="Canada"/>
    <s v="A. Kim"/>
    <x v="6"/>
    <s v="HR &amp; Payroll"/>
    <n v="0"/>
    <s v="Startup"/>
    <s v="Standard"/>
    <s v="Yes"/>
    <s v="No"/>
    <x v="0"/>
    <x v="3"/>
    <s v="NAQ1"/>
    <n v="247000"/>
  </r>
  <r>
    <s v="TXN-102567"/>
    <d v="2024-11-17T00:00:00"/>
    <x v="67"/>
    <s v="SVC-06"/>
    <n v="238.59"/>
    <x v="0"/>
    <s v="ACH"/>
    <s v="callback requested"/>
    <x v="3"/>
    <s v="Australia"/>
    <s v="Unassigned"/>
    <x v="4"/>
    <s v="Platform"/>
    <n v="0"/>
    <s v="Startup"/>
    <s v="Standard"/>
    <s v="Yes"/>
    <s v="Yes"/>
    <x v="1"/>
    <x v="2"/>
    <s v="APACQ4"/>
    <n v="126500"/>
  </r>
  <r>
    <s v="TXN-101505"/>
    <d v="2024-10-03T00:00:00"/>
    <x v="126"/>
    <s v="SVC-03"/>
    <n v="501.73"/>
    <x v="3"/>
    <s v="ACH"/>
    <s v="VIP account"/>
    <x v="3"/>
    <s v="Canada"/>
    <s v="A. Kim"/>
    <x v="5"/>
    <s v="Billing"/>
    <n v="5.0000000000000001E-3"/>
    <s v="N/A"/>
    <s v="High Value"/>
    <s v="Yes"/>
    <s v="No"/>
    <x v="0"/>
    <x v="2"/>
    <s v="NAQ4"/>
    <n v="299000"/>
  </r>
  <r>
    <s v="TXN-100459"/>
    <d v="2024-04-05T00:00:00"/>
    <x v="6"/>
    <s v="SVC-01"/>
    <n v="268.63"/>
    <x v="0"/>
    <s v="Credit Card"/>
    <s v="VIP account"/>
    <x v="0"/>
    <s v="United Kingdom"/>
    <s v="R. Patel"/>
    <x v="0"/>
    <s v="Payments"/>
    <n v="2.9000000000000001E-2"/>
    <s v="Enterprise"/>
    <s v="Standard"/>
    <s v="No"/>
    <s v="No"/>
    <x v="2"/>
    <x v="0"/>
    <s v="EMEAQ2"/>
    <n v="140000"/>
  </r>
  <r>
    <s v="TXN-100936"/>
    <d v="2024-09-20T00:00:00"/>
    <x v="100"/>
    <s v="SVC-03"/>
    <n v="853.63"/>
    <x v="0"/>
    <s v="Credit Card"/>
    <m/>
    <x v="1"/>
    <s v="USA"/>
    <s v="J. Reyes"/>
    <x v="5"/>
    <s v="Billing"/>
    <n v="5.0000000000000001E-3"/>
    <s v="SMB"/>
    <s v="High Value"/>
    <s v="Yes"/>
    <s v="Yes"/>
    <x v="0"/>
    <x v="1"/>
    <s v="NAQ3"/>
    <n v="273000"/>
  </r>
  <r>
    <s v="TXN-102549"/>
    <d v="2024-12-13T00:00:00"/>
    <x v="2"/>
    <s v="SVC-01"/>
    <n v="51.2"/>
    <x v="3"/>
    <s v="Wire Transfer"/>
    <s v="callback requested"/>
    <x v="0"/>
    <s v="USA"/>
    <s v="A. Kim"/>
    <x v="0"/>
    <s v="Payments"/>
    <n v="2.9000000000000001E-2"/>
    <s v="N/A"/>
    <s v="Standard"/>
    <s v="No"/>
    <s v="No"/>
    <x v="0"/>
    <x v="2"/>
    <s v="NAQ4"/>
    <n v="299000"/>
  </r>
  <r>
    <s v="TXN-101777"/>
    <d v="2024-02-14T00:00:00"/>
    <x v="118"/>
    <s v="SVC-06"/>
    <n v="513.92999999999995"/>
    <x v="3"/>
    <s v="Credit Card"/>
    <m/>
    <x v="1"/>
    <s v="USA"/>
    <s v="L. Chen"/>
    <x v="4"/>
    <s v="Platform"/>
    <n v="0"/>
    <s v="N/A"/>
    <s v="High Value"/>
    <s v="Yes"/>
    <s v="No"/>
    <x v="0"/>
    <x v="3"/>
    <s v="NAQ1"/>
    <n v="247000"/>
  </r>
  <r>
    <s v="TXN-100967"/>
    <d v="2024-05-07T00:00:00"/>
    <x v="18"/>
    <s v="SVC-05"/>
    <n v="-609.79"/>
    <x v="2"/>
    <s v="ACH"/>
    <s v="escalated to support"/>
    <x v="1"/>
    <s v="Philippines"/>
    <s v="R. Patel"/>
    <x v="3"/>
    <s v="Analytics"/>
    <n v="0"/>
    <s v="N/A"/>
    <s v="Refund"/>
    <s v="No"/>
    <s v="Yes"/>
    <x v="1"/>
    <x v="0"/>
    <s v="APACQ2"/>
    <n v="110000"/>
  </r>
  <r>
    <s v="TXN-102054"/>
    <d v="2024-10-16T00:00:00"/>
    <x v="128"/>
    <s v="SVC-02"/>
    <n v="-915.36"/>
    <x v="2"/>
    <s v="ACH"/>
    <s v="callback requested"/>
    <x v="0"/>
    <s v="Philippines"/>
    <s v="L. Chen"/>
    <x v="6"/>
    <s v="HR &amp; Payroll"/>
    <n v="0"/>
    <s v="N/A"/>
    <s v="Refund"/>
    <s v="No"/>
    <s v="No"/>
    <x v="1"/>
    <x v="2"/>
    <s v="APACQ4"/>
    <n v="126500"/>
  </r>
  <r>
    <s v="TXN-101668"/>
    <d v="2024-08-03T00:00:00"/>
    <x v="54"/>
    <s v="SVC-05"/>
    <n v="350.29"/>
    <x v="0"/>
    <s v="ACH"/>
    <m/>
    <x v="1"/>
    <s v="USA"/>
    <s v="J. Reyes"/>
    <x v="3"/>
    <s v="Analytics"/>
    <n v="0"/>
    <s v="SMB"/>
    <s v="High Value"/>
    <s v="Yes"/>
    <s v="No"/>
    <x v="0"/>
    <x v="1"/>
    <s v="NAQ3"/>
    <n v="273000"/>
  </r>
  <r>
    <s v="TXN-101902"/>
    <d v="2024-05-04T00:00:00"/>
    <x v="78"/>
    <s v="SVC-06"/>
    <n v="883.87"/>
    <x v="0"/>
    <s v="Wire Transfer"/>
    <m/>
    <x v="1"/>
    <s v="USA"/>
    <s v="L. Chen"/>
    <x v="4"/>
    <s v="Platform"/>
    <n v="0"/>
    <s v="SMB"/>
    <s v="High Value"/>
    <s v="Yes"/>
    <s v="No"/>
    <x v="0"/>
    <x v="0"/>
    <s v="NAQ2"/>
    <n v="260000"/>
  </r>
  <r>
    <s v="TXN-102548"/>
    <d v="2024-08-23T00:00:00"/>
    <x v="48"/>
    <s v="SVC-01"/>
    <n v="553.22"/>
    <x v="0"/>
    <s v="Credit Card"/>
    <s v="callback requested"/>
    <x v="1"/>
    <s v="Germany"/>
    <s v="J. Reyes"/>
    <x v="0"/>
    <s v="Payments"/>
    <n v="2.9000000000000001E-2"/>
    <s v="SMB"/>
    <s v="High Value"/>
    <s v="Yes"/>
    <s v="Yes"/>
    <x v="2"/>
    <x v="1"/>
    <s v="EMEAQ3"/>
    <n v="147000"/>
  </r>
  <r>
    <s v="TXN-102348"/>
    <d v="2024-10-30T00:00:00"/>
    <x v="51"/>
    <s v="SVC-07"/>
    <n v="870.7"/>
    <x v="0"/>
    <s v="Credit Card"/>
    <m/>
    <x v="0"/>
    <s v="United Kingdom"/>
    <s v="R. Patel"/>
    <x v="7"/>
    <s v="Support"/>
    <n v="0"/>
    <s v="Enterprise"/>
    <s v="High Value"/>
    <s v="Yes"/>
    <s v="No"/>
    <x v="2"/>
    <x v="2"/>
    <s v="EMEAQ4"/>
    <n v="161000"/>
  </r>
  <r>
    <s v="TXN-102459"/>
    <d v="2024-10-03T00:00:00"/>
    <x v="97"/>
    <s v="SVC-01"/>
    <n v="69.010000000000005"/>
    <x v="0"/>
    <s v="Credit Card"/>
    <m/>
    <x v="0"/>
    <s v="United Kingdom"/>
    <s v="L. Chen"/>
    <x v="0"/>
    <s v="Payments"/>
    <n v="2.9000000000000001E-2"/>
    <s v="Enterprise"/>
    <s v="Standard"/>
    <s v="No"/>
    <s v="No"/>
    <x v="2"/>
    <x v="2"/>
    <s v="EMEAQ4"/>
    <n v="161000"/>
  </r>
  <r>
    <s v="TXN-102045"/>
    <d v="2024-05-19T00:00:00"/>
    <x v="4"/>
    <s v="SVC-03"/>
    <n v="1488.55"/>
    <x v="0"/>
    <s v="ACH"/>
    <m/>
    <x v="2"/>
    <m/>
    <m/>
    <x v="5"/>
    <s v="Billing"/>
    <n v="5.0000000000000001E-3"/>
    <s v="Customer Not Found"/>
    <s v="High Value"/>
    <s v="Yes"/>
    <s v="No"/>
    <x v="1"/>
    <x v="0"/>
    <s v="APACQ2"/>
    <n v="110000"/>
  </r>
  <r>
    <s v="TXN-102360"/>
    <d v="2024-01-04T00:00:00"/>
    <x v="13"/>
    <s v="SVC-04"/>
    <n v="366.2"/>
    <x v="0"/>
    <s v="Credit Card"/>
    <s v="callback requested"/>
    <x v="0"/>
    <s v="Canada"/>
    <s v="J. Reyes"/>
    <x v="2"/>
    <s v="Risk"/>
    <n v="1E-3"/>
    <s v="Enterprise"/>
    <s v="High Value"/>
    <s v="Yes"/>
    <s v="No"/>
    <x v="0"/>
    <x v="3"/>
    <s v="NAQ1"/>
    <n v="247000"/>
  </r>
  <r>
    <s v="TXN-101318"/>
    <d v="2024-12-16T00:00:00"/>
    <x v="57"/>
    <s v="SVC-06"/>
    <n v="300.11"/>
    <x v="0"/>
    <s v="Credit Card"/>
    <s v="escalated to support"/>
    <x v="1"/>
    <s v="USA"/>
    <s v="L. Chen"/>
    <x v="4"/>
    <s v="Platform"/>
    <n v="0"/>
    <s v="SMB"/>
    <s v="High Value"/>
    <s v="Yes"/>
    <s v="No"/>
    <x v="0"/>
    <x v="2"/>
    <s v="NAQ4"/>
    <n v="299000"/>
  </r>
  <r>
    <s v="TXN-101474"/>
    <d v="2024-01-06T00:00:00"/>
    <x v="114"/>
    <s v="SVC-05"/>
    <n v="241.48"/>
    <x v="0"/>
    <s v="ACH"/>
    <m/>
    <x v="3"/>
    <s v="Australia"/>
    <s v="A. Kim"/>
    <x v="3"/>
    <s v="Analytics"/>
    <n v="0"/>
    <s v="Startup"/>
    <s v="Standard"/>
    <s v="Yes"/>
    <s v="Yes"/>
    <x v="1"/>
    <x v="3"/>
    <s v="APACQ1"/>
    <n v="104500"/>
  </r>
  <r>
    <s v="TXN-100615"/>
    <d v="2024-06-20T00:00:00"/>
    <x v="58"/>
    <s v="SVC-01"/>
    <n v="785.5"/>
    <x v="0"/>
    <s v="Credit Card"/>
    <s v="VIP account"/>
    <x v="1"/>
    <s v="Canada"/>
    <s v="M. Santos"/>
    <x v="0"/>
    <s v="Payments"/>
    <n v="2.9000000000000001E-2"/>
    <s v="SMB"/>
    <s v="High Value"/>
    <s v="Yes"/>
    <s v="No"/>
    <x v="0"/>
    <x v="0"/>
    <s v="NAQ2"/>
    <n v="260000"/>
  </r>
  <r>
    <s v="TXN-101227"/>
    <d v="2024-04-01T00:00:00"/>
    <x v="53"/>
    <s v="SVC-05"/>
    <n v="514.07000000000005"/>
    <x v="0"/>
    <s v="Credit Card"/>
    <m/>
    <x v="0"/>
    <s v="Singapore"/>
    <s v="L. Chen"/>
    <x v="3"/>
    <s v="Analytics"/>
    <n v="0"/>
    <s v="Enterprise"/>
    <s v="High Value"/>
    <s v="Yes"/>
    <s v="Yes"/>
    <x v="1"/>
    <x v="0"/>
    <s v="APACQ2"/>
    <n v="110000"/>
  </r>
  <r>
    <s v="TXN-101464"/>
    <d v="2024-08-01T00:00:00"/>
    <x v="104"/>
    <m/>
    <n v="895.78"/>
    <x v="0"/>
    <s v="Credit Card"/>
    <m/>
    <x v="1"/>
    <s v="USA"/>
    <s v="M. Santos"/>
    <x v="8"/>
    <m/>
    <m/>
    <s v="SMB"/>
    <s v="High Value"/>
    <e v="#N/A"/>
    <s v="No"/>
    <x v="0"/>
    <x v="1"/>
    <s v="NAQ3"/>
    <n v="273000"/>
  </r>
  <r>
    <s v="TXN-100258"/>
    <d v="2024-07-21T00:00:00"/>
    <x v="56"/>
    <s v="SVC-08"/>
    <n v="375.47"/>
    <x v="0"/>
    <s v="ACH"/>
    <m/>
    <x v="0"/>
    <s v="Singapore"/>
    <s v="R. Patel"/>
    <x v="1"/>
    <s v="Risk"/>
    <n v="2.5000000000000001E-3"/>
    <s v="Enterprise"/>
    <s v="High Value"/>
    <s v="Yes"/>
    <s v="Yes"/>
    <x v="1"/>
    <x v="1"/>
    <s v="APACQ3"/>
    <n v="115500"/>
  </r>
  <r>
    <s v="TXN-100656"/>
    <d v="2024-06-09T00:00:00"/>
    <x v="3"/>
    <s v="SVC-02"/>
    <n v="345.92"/>
    <x v="0"/>
    <s v="ACH"/>
    <m/>
    <x v="1"/>
    <s v="Canada"/>
    <s v="J. Reyes"/>
    <x v="6"/>
    <s v="HR &amp; Payroll"/>
    <n v="0"/>
    <s v="SMB"/>
    <s v="High Value"/>
    <s v="Yes"/>
    <s v="No"/>
    <x v="0"/>
    <x v="0"/>
    <s v="NAQ2"/>
    <n v="260000"/>
  </r>
  <r>
    <s v="TXN-102122"/>
    <d v="2024-06-09T00:00:00"/>
    <x v="95"/>
    <s v="SVC-01"/>
    <n v="465.79"/>
    <x v="0"/>
    <s v="Unknown"/>
    <s v="escalated to support"/>
    <x v="1"/>
    <s v="USA"/>
    <s v="R. Patel"/>
    <x v="0"/>
    <s v="Payments"/>
    <n v="2.9000000000000001E-2"/>
    <s v="SMB"/>
    <s v="Standard"/>
    <s v="Yes"/>
    <s v="No"/>
    <x v="0"/>
    <x v="0"/>
    <s v="NAQ2"/>
    <n v="260000"/>
  </r>
  <r>
    <s v="TXN-101380"/>
    <d v="2024-09-16T00:00:00"/>
    <x v="40"/>
    <s v="SVC-01"/>
    <n v="476.16"/>
    <x v="0"/>
    <s v="ACH"/>
    <s v="VIP account"/>
    <x v="1"/>
    <s v="Philippines"/>
    <s v="M. Santos"/>
    <x v="0"/>
    <s v="Payments"/>
    <n v="2.9000000000000001E-2"/>
    <s v="SMB"/>
    <s v="Standard"/>
    <s v="Yes"/>
    <s v="No"/>
    <x v="1"/>
    <x v="1"/>
    <s v="APACQ3"/>
    <n v="115500"/>
  </r>
  <r>
    <s v="TXN-102314"/>
    <d v="2024-11-24T00:00:00"/>
    <x v="119"/>
    <s v="SVC-03"/>
    <n v="468.5"/>
    <x v="0"/>
    <s v="Wire Transfer"/>
    <m/>
    <x v="1"/>
    <s v="USA"/>
    <s v="R. Patel"/>
    <x v="5"/>
    <s v="Billing"/>
    <n v="5.0000000000000001E-3"/>
    <s v="SMB"/>
    <s v="High Value"/>
    <s v="Yes"/>
    <s v="No"/>
    <x v="0"/>
    <x v="2"/>
    <s v="NAQ4"/>
    <n v="299000"/>
  </r>
  <r>
    <s v="TXN-100143"/>
    <d v="2024-06-20T00:00:00"/>
    <x v="31"/>
    <s v="SVC-08"/>
    <n v="441.52"/>
    <x v="0"/>
    <s v="Credit Card"/>
    <s v="callback requested"/>
    <x v="0"/>
    <s v="Philippines"/>
    <s v="M. Santos"/>
    <x v="1"/>
    <s v="Risk"/>
    <n v="2.5000000000000001E-3"/>
    <s v="Enterprise"/>
    <s v="High Value"/>
    <s v="Yes"/>
    <s v="Yes"/>
    <x v="1"/>
    <x v="0"/>
    <s v="APACQ2"/>
    <n v="110000"/>
  </r>
  <r>
    <s v="TXN-101847"/>
    <d v="2024-10-28T00:00:00"/>
    <x v="14"/>
    <s v="SVC-01"/>
    <n v="166.3"/>
    <x v="0"/>
    <s v="Debit Card"/>
    <s v="callback requested"/>
    <x v="3"/>
    <s v="Canada"/>
    <s v="A. Kim"/>
    <x v="0"/>
    <s v="Payments"/>
    <n v="2.9000000000000001E-2"/>
    <s v="Startup"/>
    <s v="Standard"/>
    <s v="No"/>
    <s v="No"/>
    <x v="0"/>
    <x v="2"/>
    <s v="NAQ4"/>
    <n v="299000"/>
  </r>
  <r>
    <s v="TXN-101465"/>
    <d v="2024-11-02T00:00:00"/>
    <x v="98"/>
    <s v="SVC-04"/>
    <n v="892.51"/>
    <x v="0"/>
    <s v="Wire Transfer"/>
    <s v="escalated to support"/>
    <x v="1"/>
    <s v="Philippines"/>
    <s v="T. Novak"/>
    <x v="2"/>
    <s v="Risk"/>
    <n v="1E-3"/>
    <s v="SMB"/>
    <s v="High Value"/>
    <s v="Yes"/>
    <s v="Yes"/>
    <x v="1"/>
    <x v="2"/>
    <s v="APACQ4"/>
    <n v="126500"/>
  </r>
  <r>
    <s v="TXN-102480"/>
    <d v="2024-10-29T00:00:00"/>
    <x v="70"/>
    <s v="SVC-08"/>
    <n v="-626.76"/>
    <x v="2"/>
    <s v="ACH"/>
    <s v="VIP account"/>
    <x v="3"/>
    <s v="Singapore"/>
    <s v="A. Kim"/>
    <x v="1"/>
    <s v="Risk"/>
    <n v="2.5000000000000001E-3"/>
    <s v="N/A"/>
    <s v="Refund"/>
    <s v="No"/>
    <s v="No"/>
    <x v="1"/>
    <x v="2"/>
    <s v="APACQ4"/>
    <n v="126500"/>
  </r>
  <r>
    <s v="TXN-101148"/>
    <d v="2024-09-16T00:00:00"/>
    <x v="102"/>
    <s v="SVC-01"/>
    <n v="131.05000000000001"/>
    <x v="0"/>
    <s v="ACH"/>
    <m/>
    <x v="1"/>
    <s v="Philippines"/>
    <s v="L. Chen"/>
    <x v="0"/>
    <s v="Payments"/>
    <n v="2.9000000000000001E-2"/>
    <s v="SMB"/>
    <s v="Standard"/>
    <s v="No"/>
    <s v="No"/>
    <x v="1"/>
    <x v="1"/>
    <s v="APACQ3"/>
    <n v="115500"/>
  </r>
  <r>
    <s v="TXN-102339"/>
    <d v="2024-08-08T00:00:00"/>
    <x v="98"/>
    <s v="SVC-01"/>
    <n v="1117.74"/>
    <x v="0"/>
    <s v="Credit Card"/>
    <m/>
    <x v="1"/>
    <s v="Philippines"/>
    <s v="T. Novak"/>
    <x v="0"/>
    <s v="Payments"/>
    <n v="2.9000000000000001E-2"/>
    <s v="SMB"/>
    <s v="High Value"/>
    <s v="Yes"/>
    <s v="No"/>
    <x v="1"/>
    <x v="1"/>
    <s v="APACQ3"/>
    <n v="115500"/>
  </r>
  <r>
    <s v="TXN-100881"/>
    <d v="2024-10-20T00:00:00"/>
    <x v="30"/>
    <s v="SVC-01"/>
    <n v="934.24"/>
    <x v="0"/>
    <s v="ACH"/>
    <s v="escalated to support"/>
    <x v="1"/>
    <s v="Germany"/>
    <s v="M. Santos"/>
    <x v="0"/>
    <s v="Payments"/>
    <n v="2.9000000000000001E-2"/>
    <s v="SMB"/>
    <s v="High Value"/>
    <s v="Yes"/>
    <s v="No"/>
    <x v="2"/>
    <x v="2"/>
    <s v="EMEAQ4"/>
    <n v="161000"/>
  </r>
  <r>
    <s v="TXN-102015"/>
    <d v="2024-02-02T00:00:00"/>
    <x v="14"/>
    <s v="SVC-02"/>
    <n v="107.41"/>
    <x v="0"/>
    <s v="ACH"/>
    <m/>
    <x v="3"/>
    <s v="Canada"/>
    <s v="A. Kim"/>
    <x v="6"/>
    <s v="HR &amp; Payroll"/>
    <n v="0"/>
    <s v="Startup"/>
    <s v="Standard"/>
    <s v="Yes"/>
    <s v="Yes"/>
    <x v="0"/>
    <x v="3"/>
    <s v="NAQ1"/>
    <n v="247000"/>
  </r>
  <r>
    <s v="TXN-102221"/>
    <d v="2024-11-20T00:00:00"/>
    <x v="134"/>
    <s v="SVC-01"/>
    <n v="274.41000000000003"/>
    <x v="1"/>
    <s v="ACH"/>
    <s v="callback requested"/>
    <x v="1"/>
    <s v="Philippines"/>
    <s v="T. Novak"/>
    <x v="0"/>
    <s v="Payments"/>
    <n v="2.9000000000000001E-2"/>
    <s v="N/A"/>
    <s v="Standard"/>
    <s v="No"/>
    <s v="Yes"/>
    <x v="1"/>
    <x v="2"/>
    <s v="APACQ4"/>
    <n v="126500"/>
  </r>
  <r>
    <s v="TXN-100367"/>
    <d v="2024-04-08T00:00:00"/>
    <x v="45"/>
    <s v="SVC-07"/>
    <n v="287.48"/>
    <x v="0"/>
    <s v="ACH"/>
    <s v="VIP account"/>
    <x v="0"/>
    <s v="United Kingdom"/>
    <s v="R. Patel"/>
    <x v="7"/>
    <s v="Support"/>
    <n v="0"/>
    <s v="Enterprise"/>
    <s v="High Value"/>
    <s v="Yes"/>
    <s v="No"/>
    <x v="2"/>
    <x v="0"/>
    <s v="EMEAQ2"/>
    <n v="140000"/>
  </r>
  <r>
    <s v="TXN-100947"/>
    <d v="2024-07-18T00:00:00"/>
    <x v="24"/>
    <s v="SVC-03"/>
    <n v="507.05"/>
    <x v="0"/>
    <s v="Debit Card"/>
    <m/>
    <x v="1"/>
    <s v="USA"/>
    <s v="M. Santos"/>
    <x v="5"/>
    <s v="Billing"/>
    <n v="5.0000000000000001E-3"/>
    <s v="SMB"/>
    <s v="High Value"/>
    <s v="Yes"/>
    <s v="No"/>
    <x v="0"/>
    <x v="1"/>
    <s v="NAQ3"/>
    <n v="273000"/>
  </r>
  <r>
    <s v="TXN-100323"/>
    <d v="2024-01-12T00:00:00"/>
    <x v="106"/>
    <s v="SVC-01"/>
    <n v="350.19"/>
    <x v="0"/>
    <s v="Credit Card"/>
    <s v="escalated to support"/>
    <x v="1"/>
    <s v="USA"/>
    <s v="J. Reyes"/>
    <x v="0"/>
    <s v="Payments"/>
    <n v="2.9000000000000001E-2"/>
    <s v="SMB"/>
    <s v="Standard"/>
    <s v="Yes"/>
    <s v="No"/>
    <x v="0"/>
    <x v="3"/>
    <s v="NAQ1"/>
    <n v="247000"/>
  </r>
  <r>
    <s v="TXN-101876"/>
    <d v="2024-08-24T00:00:00"/>
    <x v="82"/>
    <s v="SVC-07"/>
    <n v="186.2"/>
    <x v="3"/>
    <s v="ACH"/>
    <s v="callback requested"/>
    <x v="1"/>
    <s v="USA"/>
    <s v="T. Novak"/>
    <x v="7"/>
    <s v="Support"/>
    <n v="0"/>
    <s v="N/A"/>
    <s v="Standard"/>
    <s v="Yes"/>
    <s v="No"/>
    <x v="0"/>
    <x v="1"/>
    <s v="NAQ3"/>
    <n v="273000"/>
  </r>
  <r>
    <s v="TXN-101653"/>
    <d v="2024-05-24T00:00:00"/>
    <x v="31"/>
    <s v="SVC-01"/>
    <n v="71.08"/>
    <x v="0"/>
    <s v="Unknown"/>
    <s v="VIP account"/>
    <x v="0"/>
    <s v="Philippines"/>
    <s v="M. Santos"/>
    <x v="0"/>
    <s v="Payments"/>
    <n v="2.9000000000000001E-2"/>
    <s v="Enterprise"/>
    <s v="Standard"/>
    <s v="No"/>
    <s v="No"/>
    <x v="1"/>
    <x v="0"/>
    <s v="APACQ2"/>
    <n v="110000"/>
  </r>
  <r>
    <s v="TXN-101056"/>
    <d v="2024-05-25T00:00:00"/>
    <x v="86"/>
    <s v="SVC-07"/>
    <n v="213.08"/>
    <x v="0"/>
    <s v="ACH"/>
    <s v="VIP account"/>
    <x v="1"/>
    <s v="Canada"/>
    <s v="L. Chen"/>
    <x v="7"/>
    <s v="Support"/>
    <n v="0"/>
    <s v="SMB"/>
    <s v="Standard"/>
    <s v="Yes"/>
    <s v="No"/>
    <x v="0"/>
    <x v="0"/>
    <s v="NAQ2"/>
    <n v="260000"/>
  </r>
  <r>
    <s v="TXN-101468"/>
    <d v="2024-10-20T00:00:00"/>
    <x v="37"/>
    <s v="SVC-06"/>
    <n v="-526.04"/>
    <x v="2"/>
    <s v="Credit Card"/>
    <m/>
    <x v="1"/>
    <s v="Canada"/>
    <s v="T. Novak"/>
    <x v="4"/>
    <s v="Platform"/>
    <n v="0"/>
    <s v="N/A"/>
    <s v="Refund"/>
    <s v="No"/>
    <s v="No"/>
    <x v="0"/>
    <x v="2"/>
    <s v="NAQ4"/>
    <n v="299000"/>
  </r>
  <r>
    <s v="TXN-100014"/>
    <d v="2024-01-27T00:00:00"/>
    <x v="65"/>
    <s v="SVC-04"/>
    <n v="333.19"/>
    <x v="0"/>
    <s v="Debit Card"/>
    <s v="callback requested"/>
    <x v="0"/>
    <s v="USA"/>
    <s v="A. Kim"/>
    <x v="2"/>
    <s v="Risk"/>
    <n v="1E-3"/>
    <s v="Enterprise"/>
    <s v="High Value"/>
    <s v="Yes"/>
    <s v="No"/>
    <x v="0"/>
    <x v="3"/>
    <s v="NAQ1"/>
    <n v="247000"/>
  </r>
  <r>
    <s v="TXN-102585"/>
    <d v="2024-08-04T00:00:00"/>
    <x v="125"/>
    <s v="SVC-05"/>
    <n v="243.5"/>
    <x v="0"/>
    <s v="Credit Card"/>
    <s v="VIP account"/>
    <x v="1"/>
    <s v="USA"/>
    <s v="A. Kim"/>
    <x v="3"/>
    <s v="Analytics"/>
    <n v="0"/>
    <s v="SMB"/>
    <s v="Standard"/>
    <s v="Yes"/>
    <s v="Yes"/>
    <x v="0"/>
    <x v="1"/>
    <s v="NAQ3"/>
    <n v="273000"/>
  </r>
  <r>
    <s v="TXN-102102"/>
    <d v="2024-01-26T00:00:00"/>
    <x v="122"/>
    <s v="SVC-03"/>
    <n v="261.56"/>
    <x v="3"/>
    <s v="Wire Transfer"/>
    <s v="escalated to support"/>
    <x v="3"/>
    <s v="United Kingdom"/>
    <s v="A. Kim"/>
    <x v="5"/>
    <s v="Billing"/>
    <n v="5.0000000000000001E-3"/>
    <s v="N/A"/>
    <s v="High Value"/>
    <s v="Yes"/>
    <s v="No"/>
    <x v="2"/>
    <x v="3"/>
    <s v="EMEAQ1"/>
    <n v="133000"/>
  </r>
  <r>
    <s v="TXN-100427"/>
    <d v="2024-04-02T00:00:00"/>
    <x v="24"/>
    <s v="SVC-01"/>
    <n v="139.72"/>
    <x v="0"/>
    <s v="Wire Transfer"/>
    <m/>
    <x v="1"/>
    <s v="USA"/>
    <s v="M. Santos"/>
    <x v="0"/>
    <s v="Payments"/>
    <n v="2.9000000000000001E-2"/>
    <s v="SMB"/>
    <s v="Standard"/>
    <s v="No"/>
    <s v="No"/>
    <x v="0"/>
    <x v="0"/>
    <s v="NAQ2"/>
    <n v="260000"/>
  </r>
  <r>
    <s v="TXN-102402"/>
    <d v="2024-12-21T00:00:00"/>
    <x v="43"/>
    <s v="SVC-06"/>
    <n v="58.96"/>
    <x v="0"/>
    <s v="Debit Card"/>
    <s v="callback requested"/>
    <x v="1"/>
    <s v="USA"/>
    <s v="M. Santos"/>
    <x v="4"/>
    <s v="Platform"/>
    <n v="0"/>
    <s v="SMB"/>
    <s v="Standard"/>
    <s v="Yes"/>
    <s v="Yes"/>
    <x v="0"/>
    <x v="2"/>
    <s v="NAQ4"/>
    <n v="299000"/>
  </r>
  <r>
    <s v="TXN-102153"/>
    <d v="2024-07-31T00:00:00"/>
    <x v="31"/>
    <s v="SVC-03"/>
    <n v="-108.55"/>
    <x v="2"/>
    <s v="ACH"/>
    <s v="callback requested"/>
    <x v="0"/>
    <s v="Philippines"/>
    <s v="M. Santos"/>
    <x v="5"/>
    <s v="Billing"/>
    <n v="5.0000000000000001E-3"/>
    <s v="N/A"/>
    <s v="Refund"/>
    <s v="No"/>
    <s v="No"/>
    <x v="1"/>
    <x v="1"/>
    <s v="APACQ3"/>
    <n v="115500"/>
  </r>
  <r>
    <s v="TXN-101123"/>
    <d v="2024-02-07T00:00:00"/>
    <x v="20"/>
    <s v="SVC-01"/>
    <n v="592.04"/>
    <x v="3"/>
    <s v="Credit Card"/>
    <m/>
    <x v="1"/>
    <s v="USA"/>
    <s v="R. Patel"/>
    <x v="0"/>
    <s v="Payments"/>
    <n v="2.9000000000000001E-2"/>
    <s v="N/A"/>
    <s v="High Value"/>
    <s v="Yes"/>
    <s v="No"/>
    <x v="0"/>
    <x v="3"/>
    <s v="NAQ1"/>
    <n v="247000"/>
  </r>
  <r>
    <s v="TXN-101638"/>
    <d v="2024-10-18T00:00:00"/>
    <x v="127"/>
    <s v="SVC-05"/>
    <n v="585.5"/>
    <x v="0"/>
    <s v="Debit Card"/>
    <s v="callback requested"/>
    <x v="0"/>
    <s v="USA"/>
    <s v="R. Patel"/>
    <x v="3"/>
    <s v="Analytics"/>
    <n v="0"/>
    <s v="Enterprise"/>
    <s v="High Value"/>
    <s v="Yes"/>
    <s v="No"/>
    <x v="0"/>
    <x v="2"/>
    <s v="NAQ4"/>
    <n v="299000"/>
  </r>
  <r>
    <s v="TXN-100872"/>
    <d v="2024-10-14T00:00:00"/>
    <x v="128"/>
    <s v="SVC-01"/>
    <n v="1073.23"/>
    <x v="0"/>
    <s v="ACH"/>
    <s v="callback requested"/>
    <x v="0"/>
    <s v="Philippines"/>
    <s v="L. Chen"/>
    <x v="0"/>
    <s v="Payments"/>
    <n v="2.9000000000000001E-2"/>
    <s v="Enterprise"/>
    <s v="High Value"/>
    <s v="Yes"/>
    <s v="No"/>
    <x v="1"/>
    <x v="2"/>
    <s v="APACQ4"/>
    <n v="126500"/>
  </r>
  <r>
    <s v="TXN-100549"/>
    <d v="2024-11-21T00:00:00"/>
    <x v="43"/>
    <s v="SVC-07"/>
    <n v="488.04"/>
    <x v="3"/>
    <s v="Wire Transfer"/>
    <s v="callback requested"/>
    <x v="1"/>
    <s v="USA"/>
    <s v="M. Santos"/>
    <x v="7"/>
    <s v="Support"/>
    <n v="0"/>
    <s v="N/A"/>
    <s v="High Value"/>
    <s v="Yes"/>
    <s v="No"/>
    <x v="0"/>
    <x v="2"/>
    <s v="NAQ4"/>
    <n v="299000"/>
  </r>
  <r>
    <s v="TXN-101285"/>
    <d v="2024-03-20T00:00:00"/>
    <x v="41"/>
    <s v="SVC-05"/>
    <n v="891.7"/>
    <x v="0"/>
    <s v="ACH"/>
    <m/>
    <x v="0"/>
    <s v="Canada"/>
    <s v="M. Santos"/>
    <x v="3"/>
    <s v="Analytics"/>
    <n v="0"/>
    <s v="Enterprise"/>
    <s v="High Value"/>
    <s v="Yes"/>
    <s v="No"/>
    <x v="0"/>
    <x v="3"/>
    <s v="NAQ1"/>
    <n v="247000"/>
  </r>
  <r>
    <s v="TXN-101534"/>
    <d v="2024-11-21T00:00:00"/>
    <x v="113"/>
    <s v="SVC-05"/>
    <n v="370.73"/>
    <x v="0"/>
    <s v="ACH"/>
    <m/>
    <x v="3"/>
    <s v="United Kingdom"/>
    <s v="R. Patel"/>
    <x v="3"/>
    <s v="Analytics"/>
    <n v="0"/>
    <s v="Startup"/>
    <s v="High Value"/>
    <s v="Yes"/>
    <s v="No"/>
    <x v="2"/>
    <x v="2"/>
    <s v="EMEAQ4"/>
    <n v="161000"/>
  </r>
  <r>
    <s v="TXN-100137"/>
    <d v="2024-08-14T00:00:00"/>
    <x v="27"/>
    <s v="SVC-02"/>
    <n v="755.52"/>
    <x v="0"/>
    <s v="ACH"/>
    <s v="VIP account"/>
    <x v="1"/>
    <s v="Canada"/>
    <s v="L. Chen"/>
    <x v="6"/>
    <s v="HR &amp; Payroll"/>
    <n v="0"/>
    <s v="SMB"/>
    <s v="High Value"/>
    <s v="Yes"/>
    <s v="No"/>
    <x v="0"/>
    <x v="1"/>
    <s v="NAQ3"/>
    <n v="273000"/>
  </r>
  <r>
    <s v="TXN-100089"/>
    <d v="2024-01-03T00:00:00"/>
    <x v="124"/>
    <s v="SVC-03"/>
    <n v="462.99"/>
    <x v="1"/>
    <s v="ACH"/>
    <m/>
    <x v="1"/>
    <s v="United Kingdom"/>
    <s v="A. Kim"/>
    <x v="5"/>
    <s v="Billing"/>
    <n v="5.0000000000000001E-3"/>
    <s v="N/A"/>
    <s v="High Value"/>
    <s v="Yes"/>
    <s v="Yes"/>
    <x v="2"/>
    <x v="3"/>
    <s v="EMEAQ1"/>
    <n v="133000"/>
  </r>
  <r>
    <s v="TXN-101146"/>
    <d v="2024-12-01T00:00:00"/>
    <x v="117"/>
    <s v="SVC-01"/>
    <n v="652"/>
    <x v="0"/>
    <s v="Debit Card"/>
    <s v="VIP account"/>
    <x v="1"/>
    <s v="Canada"/>
    <s v="A. Kim"/>
    <x v="0"/>
    <s v="Payments"/>
    <n v="2.9000000000000001E-2"/>
    <s v="SMB"/>
    <s v="High Value"/>
    <s v="Yes"/>
    <s v="No"/>
    <x v="0"/>
    <x v="2"/>
    <s v="NAQ4"/>
    <n v="299000"/>
  </r>
  <r>
    <s v="TXN-102544"/>
    <d v="2024-07-11T00:00:00"/>
    <x v="66"/>
    <s v="SVC-05"/>
    <n v="342.22"/>
    <x v="0"/>
    <s v="ACH"/>
    <s v="callback requested"/>
    <x v="3"/>
    <s v="Australia"/>
    <s v="L. Chen"/>
    <x v="3"/>
    <s v="Analytics"/>
    <n v="0"/>
    <s v="Startup"/>
    <s v="High Value"/>
    <s v="Yes"/>
    <s v="No"/>
    <x v="1"/>
    <x v="1"/>
    <s v="APACQ3"/>
    <n v="115500"/>
  </r>
  <r>
    <s v="TXN-100988"/>
    <d v="2024-04-30T00:00:00"/>
    <x v="62"/>
    <s v="SVC-05"/>
    <n v="538.4"/>
    <x v="0"/>
    <s v="Debit Card"/>
    <m/>
    <x v="0"/>
    <s v="USA"/>
    <s v="A. Kim"/>
    <x v="3"/>
    <s v="Analytics"/>
    <n v="0"/>
    <s v="Enterprise"/>
    <s v="High Value"/>
    <s v="Yes"/>
    <s v="No"/>
    <x v="0"/>
    <x v="0"/>
    <s v="NAQ2"/>
    <n v="260000"/>
  </r>
  <r>
    <s v="TXN-100959"/>
    <d v="2024-02-08T00:00:00"/>
    <x v="19"/>
    <s v="SVC-08"/>
    <n v="-583.5"/>
    <x v="2"/>
    <s v="Credit Card"/>
    <s v="callback requested"/>
    <x v="0"/>
    <s v="Canada"/>
    <s v="M. Santos"/>
    <x v="1"/>
    <s v="Risk"/>
    <n v="2.5000000000000001E-3"/>
    <s v="N/A"/>
    <s v="Refund"/>
    <s v="No"/>
    <s v="Yes"/>
    <x v="0"/>
    <x v="3"/>
    <s v="NAQ1"/>
    <n v="247000"/>
  </r>
  <r>
    <s v="TXN-101648"/>
    <d v="2024-03-22T00:00:00"/>
    <x v="82"/>
    <s v="SVC-03"/>
    <n v="164.19"/>
    <x v="0"/>
    <s v="ACH"/>
    <s v="callback requested"/>
    <x v="1"/>
    <s v="USA"/>
    <s v="T. Novak"/>
    <x v="5"/>
    <s v="Billing"/>
    <n v="5.0000000000000001E-3"/>
    <s v="SMB"/>
    <s v="Standard"/>
    <s v="Yes"/>
    <s v="No"/>
    <x v="0"/>
    <x v="3"/>
    <s v="NAQ1"/>
    <n v="247000"/>
  </r>
  <r>
    <s v="TXN-100291"/>
    <d v="2024-04-08T00:00:00"/>
    <x v="26"/>
    <s v="SVC-08"/>
    <n v="174.68"/>
    <x v="0"/>
    <s v="Unknown"/>
    <s v="callback requested"/>
    <x v="3"/>
    <s v="USA"/>
    <s v="R. Patel"/>
    <x v="1"/>
    <s v="Risk"/>
    <n v="2.5000000000000001E-3"/>
    <s v="Startup"/>
    <s v="Standard"/>
    <s v="Yes"/>
    <s v="Yes"/>
    <x v="0"/>
    <x v="0"/>
    <s v="NAQ2"/>
    <n v="260000"/>
  </r>
  <r>
    <s v="TXN-101485"/>
    <d v="2024-01-21T00:00:00"/>
    <x v="89"/>
    <s v="SVC-03"/>
    <n v="660.65"/>
    <x v="0"/>
    <s v="ACH"/>
    <s v="callback requested"/>
    <x v="0"/>
    <s v="USA"/>
    <s v="A. Kim"/>
    <x v="5"/>
    <s v="Billing"/>
    <n v="5.0000000000000001E-3"/>
    <s v="Enterprise"/>
    <s v="High Value"/>
    <s v="Yes"/>
    <s v="No"/>
    <x v="0"/>
    <x v="3"/>
    <s v="NAQ1"/>
    <n v="247000"/>
  </r>
  <r>
    <s v="TXN-101459"/>
    <d v="2024-03-13T00:00:00"/>
    <x v="21"/>
    <s v="SVC-03"/>
    <n v="571.14"/>
    <x v="0"/>
    <s v="Debit Card"/>
    <m/>
    <x v="0"/>
    <s v="Australia"/>
    <s v="M. Santos"/>
    <x v="5"/>
    <s v="Billing"/>
    <n v="5.0000000000000001E-3"/>
    <s v="Enterprise"/>
    <s v="High Value"/>
    <s v="Yes"/>
    <s v="Yes"/>
    <x v="1"/>
    <x v="3"/>
    <s v="APACQ1"/>
    <n v="104500"/>
  </r>
  <r>
    <s v="TXN-102338"/>
    <d v="2024-10-20T00:00:00"/>
    <x v="30"/>
    <s v="SVC-01"/>
    <n v="557.42999999999995"/>
    <x v="0"/>
    <s v="Credit Card"/>
    <m/>
    <x v="1"/>
    <s v="Germany"/>
    <s v="M. Santos"/>
    <x v="0"/>
    <s v="Payments"/>
    <n v="2.9000000000000001E-2"/>
    <s v="SMB"/>
    <s v="High Value"/>
    <s v="Yes"/>
    <s v="No"/>
    <x v="2"/>
    <x v="2"/>
    <s v="EMEAQ4"/>
    <n v="161000"/>
  </r>
  <r>
    <s v="TXN-100579"/>
    <d v="2024-11-25T00:00:00"/>
    <x v="79"/>
    <s v="SVC-01"/>
    <n v="406.01"/>
    <x v="0"/>
    <s v="ACH"/>
    <m/>
    <x v="3"/>
    <s v="USA"/>
    <s v="T. Novak"/>
    <x v="0"/>
    <s v="Payments"/>
    <n v="2.9000000000000001E-2"/>
    <s v="Startup"/>
    <s v="Standard"/>
    <s v="Yes"/>
    <s v="No"/>
    <x v="0"/>
    <x v="2"/>
    <s v="NAQ4"/>
    <n v="299000"/>
  </r>
  <r>
    <s v="TXN-100335"/>
    <d v="2024-10-29T00:00:00"/>
    <x v="49"/>
    <s v="SVC-01"/>
    <n v="48.54"/>
    <x v="0"/>
    <s v="Credit Card"/>
    <s v="VIP account"/>
    <x v="1"/>
    <s v="USA"/>
    <s v="A. Kim"/>
    <x v="0"/>
    <s v="Payments"/>
    <n v="2.9000000000000001E-2"/>
    <s v="SMB"/>
    <s v="Standard"/>
    <s v="No"/>
    <s v="No"/>
    <x v="0"/>
    <x v="2"/>
    <s v="NAQ4"/>
    <n v="299000"/>
  </r>
  <r>
    <s v="TXN-101794"/>
    <d v="2024-03-05T00:00:00"/>
    <x v="57"/>
    <s v="SVC-07"/>
    <n v="169.52"/>
    <x v="0"/>
    <s v="Debit Card"/>
    <m/>
    <x v="1"/>
    <s v="USA"/>
    <s v="L. Chen"/>
    <x v="7"/>
    <s v="Support"/>
    <n v="0"/>
    <s v="SMB"/>
    <s v="Standard"/>
    <s v="Yes"/>
    <s v="No"/>
    <x v="0"/>
    <x v="3"/>
    <s v="NAQ1"/>
    <n v="247000"/>
  </r>
  <r>
    <s v="TXN-101216"/>
    <d v="2024-06-07T00:00:00"/>
    <x v="55"/>
    <s v="SVC-01"/>
    <n v="302.75"/>
    <x v="0"/>
    <s v="Debit Card"/>
    <s v="VIP account"/>
    <x v="3"/>
    <s v="USA"/>
    <s v="J. Reyes"/>
    <x v="0"/>
    <s v="Payments"/>
    <n v="2.9000000000000001E-2"/>
    <s v="Startup"/>
    <s v="Standard"/>
    <s v="Yes"/>
    <s v="No"/>
    <x v="0"/>
    <x v="0"/>
    <s v="NAQ2"/>
    <n v="260000"/>
  </r>
  <r>
    <s v="TXN-101587"/>
    <d v="2024-05-19T00:00:00"/>
    <x v="8"/>
    <s v="SVC-03"/>
    <n v="164.4"/>
    <x v="0"/>
    <s v="Credit Card"/>
    <s v="escalated to support"/>
    <x v="1"/>
    <s v="USA"/>
    <s v="M. Santos"/>
    <x v="5"/>
    <s v="Billing"/>
    <n v="5.0000000000000001E-3"/>
    <s v="SMB"/>
    <s v="Standard"/>
    <s v="Yes"/>
    <s v="No"/>
    <x v="0"/>
    <x v="0"/>
    <s v="NAQ2"/>
    <n v="260000"/>
  </r>
  <r>
    <s v="TXN-100507"/>
    <d v="2024-03-13T00:00:00"/>
    <x v="18"/>
    <s v="SVC-05"/>
    <n v="265.58"/>
    <x v="0"/>
    <s v="ACH"/>
    <s v="VIP account"/>
    <x v="1"/>
    <s v="Philippines"/>
    <s v="R. Patel"/>
    <x v="3"/>
    <s v="Analytics"/>
    <n v="0"/>
    <s v="SMB"/>
    <s v="High Value"/>
    <s v="Yes"/>
    <s v="No"/>
    <x v="1"/>
    <x v="3"/>
    <s v="APACQ1"/>
    <n v="104500"/>
  </r>
  <r>
    <s v="TXN-101891"/>
    <d v="2024-03-09T00:00:00"/>
    <x v="64"/>
    <s v="SVC-02"/>
    <n v="517.29"/>
    <x v="0"/>
    <s v="Credit Card"/>
    <m/>
    <x v="1"/>
    <s v="United Kingdom"/>
    <s v="J. Reyes"/>
    <x v="6"/>
    <s v="HR &amp; Payroll"/>
    <n v="0"/>
    <s v="SMB"/>
    <s v="High Value"/>
    <s v="Yes"/>
    <s v="Yes"/>
    <x v="2"/>
    <x v="3"/>
    <s v="EMEAQ1"/>
    <n v="133000"/>
  </r>
  <r>
    <s v="TXN-100747"/>
    <d v="2024-11-08T00:00:00"/>
    <x v="13"/>
    <s v="SVC-08"/>
    <n v="342.53"/>
    <x v="0"/>
    <s v="ACH"/>
    <s v="VIP account"/>
    <x v="0"/>
    <s v="Canada"/>
    <s v="J. Reyes"/>
    <x v="1"/>
    <s v="Risk"/>
    <n v="2.5000000000000001E-3"/>
    <s v="Enterprise"/>
    <s v="High Value"/>
    <s v="Yes"/>
    <s v="Yes"/>
    <x v="0"/>
    <x v="2"/>
    <s v="NAQ4"/>
    <n v="299000"/>
  </r>
  <r>
    <s v="TXN-102032"/>
    <d v="2024-07-19T00:00:00"/>
    <x v="48"/>
    <s v="SVC-03"/>
    <n v="227.15"/>
    <x v="0"/>
    <s v="Credit Card"/>
    <m/>
    <x v="1"/>
    <s v="Germany"/>
    <s v="J. Reyes"/>
    <x v="5"/>
    <s v="Billing"/>
    <n v="5.0000000000000001E-3"/>
    <s v="SMB"/>
    <s v="Standard"/>
    <s v="Yes"/>
    <s v="No"/>
    <x v="2"/>
    <x v="1"/>
    <s v="EMEAQ3"/>
    <n v="147000"/>
  </r>
  <r>
    <s v="TXN-101536"/>
    <d v="2024-06-23T00:00:00"/>
    <x v="0"/>
    <s v="SVC-03"/>
    <n v="160.59"/>
    <x v="0"/>
    <s v="Credit Card"/>
    <m/>
    <x v="0"/>
    <s v="USA"/>
    <s v="J. Reyes"/>
    <x v="5"/>
    <s v="Billing"/>
    <n v="5.0000000000000001E-3"/>
    <s v="Enterprise"/>
    <s v="Standard"/>
    <s v="Yes"/>
    <s v="No"/>
    <x v="0"/>
    <x v="0"/>
    <s v="NAQ2"/>
    <n v="260000"/>
  </r>
  <r>
    <s v="TXN-102193"/>
    <d v="2024-12-02T00:00:00"/>
    <x v="74"/>
    <s v="SVC-01"/>
    <n v="767.06"/>
    <x v="0"/>
    <s v="Debit Card"/>
    <s v="escalated to support"/>
    <x v="0"/>
    <s v="USA"/>
    <s v="A. Kim"/>
    <x v="0"/>
    <s v="Payments"/>
    <n v="2.9000000000000001E-2"/>
    <s v="Enterprise"/>
    <s v="High Value"/>
    <s v="Yes"/>
    <s v="No"/>
    <x v="0"/>
    <x v="2"/>
    <s v="NAQ4"/>
    <n v="299000"/>
  </r>
  <r>
    <s v="TXN-102301"/>
    <d v="2024-01-29T00:00:00"/>
    <x v="7"/>
    <s v="SVC-01"/>
    <n v="546.79999999999995"/>
    <x v="0"/>
    <s v="Debit Card"/>
    <m/>
    <x v="1"/>
    <s v="USA"/>
    <s v="T. Novak"/>
    <x v="0"/>
    <s v="Payments"/>
    <n v="2.9000000000000001E-2"/>
    <s v="SMB"/>
    <s v="High Value"/>
    <s v="Yes"/>
    <s v="No"/>
    <x v="0"/>
    <x v="3"/>
    <s v="NAQ1"/>
    <n v="247000"/>
  </r>
  <r>
    <s v="TXN-102070"/>
    <d v="2024-05-12T00:00:00"/>
    <x v="133"/>
    <s v="SVC-07"/>
    <n v="358.55"/>
    <x v="0"/>
    <s v="ACH"/>
    <m/>
    <x v="1"/>
    <s v="Canada"/>
    <s v="R. Patel"/>
    <x v="7"/>
    <s v="Support"/>
    <n v="0"/>
    <s v="SMB"/>
    <s v="High Value"/>
    <s v="Yes"/>
    <s v="Yes"/>
    <x v="0"/>
    <x v="0"/>
    <s v="NAQ2"/>
    <n v="260000"/>
  </r>
  <r>
    <s v="TXN-102026"/>
    <d v="2024-08-15T00:00:00"/>
    <x v="46"/>
    <s v="SVC-01"/>
    <n v="286.56"/>
    <x v="0"/>
    <s v="Credit Card"/>
    <s v="escalated to support"/>
    <x v="1"/>
    <s v="Australia"/>
    <s v="L. Chen"/>
    <x v="0"/>
    <s v="Payments"/>
    <n v="2.9000000000000001E-2"/>
    <s v="SMB"/>
    <s v="Standard"/>
    <s v="No"/>
    <s v="No"/>
    <x v="1"/>
    <x v="1"/>
    <s v="APACQ3"/>
    <n v="115500"/>
  </r>
  <r>
    <s v="TXN-100865"/>
    <d v="2024-12-06T00:00:00"/>
    <x v="58"/>
    <s v="SVC-03"/>
    <n v="-958.43"/>
    <x v="2"/>
    <s v="Wire Transfer"/>
    <m/>
    <x v="1"/>
    <s v="Canada"/>
    <s v="M. Santos"/>
    <x v="5"/>
    <s v="Billing"/>
    <n v="5.0000000000000001E-3"/>
    <s v="N/A"/>
    <s v="Refund"/>
    <s v="No"/>
    <s v="No"/>
    <x v="0"/>
    <x v="2"/>
    <s v="NAQ4"/>
    <n v="299000"/>
  </r>
  <r>
    <s v="TXN-100713"/>
    <d v="2024-12-27T00:00:00"/>
    <x v="124"/>
    <s v="SVC-01"/>
    <n v="1022.19"/>
    <x v="0"/>
    <s v="Debit Card"/>
    <s v="callback requested"/>
    <x v="1"/>
    <s v="United Kingdom"/>
    <s v="A. Kim"/>
    <x v="0"/>
    <s v="Payments"/>
    <n v="2.9000000000000001E-2"/>
    <s v="SMB"/>
    <s v="High Value"/>
    <s v="Yes"/>
    <s v="No"/>
    <x v="2"/>
    <x v="2"/>
    <s v="EMEAQ4"/>
    <n v="161000"/>
  </r>
  <r>
    <s v="TXN-102249"/>
    <d v="2024-10-19T00:00:00"/>
    <x v="82"/>
    <s v="SVC-03"/>
    <n v="624.34"/>
    <x v="0"/>
    <s v="ACH"/>
    <m/>
    <x v="1"/>
    <s v="USA"/>
    <s v="T. Novak"/>
    <x v="5"/>
    <s v="Billing"/>
    <n v="5.0000000000000001E-3"/>
    <s v="SMB"/>
    <s v="High Value"/>
    <s v="Yes"/>
    <s v="No"/>
    <x v="0"/>
    <x v="2"/>
    <s v="NAQ4"/>
    <n v="299000"/>
  </r>
  <r>
    <s v="TXN-101488"/>
    <d v="2024-07-20T00:00:00"/>
    <x v="75"/>
    <s v="SVC-07"/>
    <n v="565.42999999999995"/>
    <x v="0"/>
    <s v="ACH"/>
    <s v="VIP account"/>
    <x v="0"/>
    <s v="Canada"/>
    <s v="R. Patel"/>
    <x v="7"/>
    <s v="Support"/>
    <n v="0"/>
    <s v="Enterprise"/>
    <s v="High Value"/>
    <s v="Yes"/>
    <s v="No"/>
    <x v="0"/>
    <x v="1"/>
    <s v="NAQ3"/>
    <n v="273000"/>
  </r>
  <r>
    <s v="TXN-101728"/>
    <d v="2024-03-01T00:00:00"/>
    <x v="113"/>
    <s v="SVC-07"/>
    <n v="-156.06"/>
    <x v="2"/>
    <s v="Credit Card"/>
    <s v="callback requested"/>
    <x v="3"/>
    <s v="United Kingdom"/>
    <s v="R. Patel"/>
    <x v="7"/>
    <s v="Support"/>
    <n v="0"/>
    <s v="N/A"/>
    <s v="Refund"/>
    <s v="No"/>
    <s v="No"/>
    <x v="2"/>
    <x v="3"/>
    <s v="EMEAQ1"/>
    <n v="133000"/>
  </r>
  <r>
    <s v="TXN-100731"/>
    <d v="2024-12-02T00:00:00"/>
    <x v="36"/>
    <s v="SVC-05"/>
    <n v="-540.66999999999996"/>
    <x v="2"/>
    <s v="Credit Card"/>
    <s v="VIP account"/>
    <x v="1"/>
    <s v="USA"/>
    <s v="M. Santos"/>
    <x v="3"/>
    <s v="Analytics"/>
    <n v="0"/>
    <s v="N/A"/>
    <s v="Refund"/>
    <s v="No"/>
    <s v="Yes"/>
    <x v="0"/>
    <x v="2"/>
    <s v="NAQ4"/>
    <n v="299000"/>
  </r>
  <r>
    <s v="TXN-100524"/>
    <d v="2024-11-22T00:00:00"/>
    <x v="102"/>
    <s v="SVC-04"/>
    <n v="459.88"/>
    <x v="0"/>
    <s v="Wire Transfer"/>
    <m/>
    <x v="1"/>
    <s v="Philippines"/>
    <s v="L. Chen"/>
    <x v="2"/>
    <s v="Risk"/>
    <n v="1E-3"/>
    <s v="SMB"/>
    <s v="High Value"/>
    <s v="Yes"/>
    <s v="Yes"/>
    <x v="1"/>
    <x v="2"/>
    <s v="APACQ4"/>
    <n v="126500"/>
  </r>
  <r>
    <s v="TXN-100389"/>
    <d v="2024-01-21T00:00:00"/>
    <x v="128"/>
    <s v="SVC-07"/>
    <n v="-218.08"/>
    <x v="2"/>
    <s v="Wire Transfer"/>
    <s v="VIP account"/>
    <x v="0"/>
    <s v="Philippines"/>
    <s v="L. Chen"/>
    <x v="7"/>
    <s v="Support"/>
    <n v="0"/>
    <s v="N/A"/>
    <s v="Refund"/>
    <s v="No"/>
    <s v="Yes"/>
    <x v="1"/>
    <x v="3"/>
    <s v="APACQ1"/>
    <n v="104500"/>
  </r>
  <r>
    <s v="TXN-100768"/>
    <d v="2024-10-28T00:00:00"/>
    <x v="7"/>
    <s v="SVC-01"/>
    <n v="27.52"/>
    <x v="0"/>
    <s v="Credit Card"/>
    <m/>
    <x v="1"/>
    <s v="USA"/>
    <s v="T. Novak"/>
    <x v="0"/>
    <s v="Payments"/>
    <n v="2.9000000000000001E-2"/>
    <s v="SMB"/>
    <s v="Standard"/>
    <s v="No"/>
    <s v="No"/>
    <x v="0"/>
    <x v="2"/>
    <s v="NAQ4"/>
    <n v="299000"/>
  </r>
  <r>
    <s v="TXN-102316"/>
    <d v="2024-12-09T00:00:00"/>
    <x v="75"/>
    <s v="SVC-05"/>
    <n v="276.41000000000003"/>
    <x v="0"/>
    <s v="Credit Card"/>
    <m/>
    <x v="0"/>
    <s v="Canada"/>
    <s v="R. Patel"/>
    <x v="3"/>
    <s v="Analytics"/>
    <n v="0"/>
    <s v="Enterprise"/>
    <s v="High Value"/>
    <s v="Yes"/>
    <s v="Yes"/>
    <x v="0"/>
    <x v="2"/>
    <s v="NAQ4"/>
    <n v="299000"/>
  </r>
  <r>
    <s v="TXN-101099"/>
    <d v="2024-12-11T00:00:00"/>
    <x v="104"/>
    <s v="SVC-01"/>
    <n v="587.15"/>
    <x v="0"/>
    <s v="Credit Card"/>
    <s v="escalated to support"/>
    <x v="1"/>
    <s v="USA"/>
    <s v="M. Santos"/>
    <x v="0"/>
    <s v="Payments"/>
    <n v="2.9000000000000001E-2"/>
    <s v="SMB"/>
    <s v="High Value"/>
    <s v="Yes"/>
    <s v="No"/>
    <x v="0"/>
    <x v="2"/>
    <s v="NAQ4"/>
    <n v="299000"/>
  </r>
  <r>
    <s v="TXN-100682"/>
    <d v="2024-05-11T00:00:00"/>
    <x v="85"/>
    <s v="SVC-05"/>
    <n v="518.73"/>
    <x v="0"/>
    <s v="ACH"/>
    <m/>
    <x v="0"/>
    <s v="Canada"/>
    <s v="T. Novak"/>
    <x v="3"/>
    <s v="Analytics"/>
    <n v="0"/>
    <s v="Enterprise"/>
    <s v="High Value"/>
    <s v="Yes"/>
    <s v="Yes"/>
    <x v="0"/>
    <x v="0"/>
    <s v="NAQ2"/>
    <n v="260000"/>
  </r>
  <r>
    <s v="TXN-100058"/>
    <d v="2024-11-20T00:00:00"/>
    <x v="24"/>
    <s v="SVC-01"/>
    <n v="-309.47000000000003"/>
    <x v="2"/>
    <s v="Credit Card"/>
    <s v="callback requested"/>
    <x v="1"/>
    <s v="USA"/>
    <s v="M. Santos"/>
    <x v="0"/>
    <s v="Payments"/>
    <n v="2.9000000000000001E-2"/>
    <s v="N/A"/>
    <s v="Refund"/>
    <s v="No"/>
    <s v="No"/>
    <x v="0"/>
    <x v="2"/>
    <s v="NAQ4"/>
    <n v="299000"/>
  </r>
  <r>
    <s v="TXN-101767"/>
    <d v="2024-07-18T00:00:00"/>
    <x v="66"/>
    <s v="SVC-06"/>
    <n v="308.76"/>
    <x v="0"/>
    <s v="Wire Transfer"/>
    <s v="VIP account"/>
    <x v="3"/>
    <s v="Australia"/>
    <s v="L. Chen"/>
    <x v="4"/>
    <s v="Platform"/>
    <n v="0"/>
    <s v="Startup"/>
    <s v="High Value"/>
    <s v="Yes"/>
    <s v="No"/>
    <x v="1"/>
    <x v="1"/>
    <s v="APACQ3"/>
    <n v="115500"/>
  </r>
  <r>
    <s v="TXN-102110"/>
    <d v="2024-11-20T00:00:00"/>
    <x v="105"/>
    <s v="SVC-02"/>
    <n v="448.94"/>
    <x v="0"/>
    <s v="Debit Card"/>
    <s v="escalated to support"/>
    <x v="3"/>
    <s v="Philippines"/>
    <s v="T. Novak"/>
    <x v="6"/>
    <s v="HR &amp; Payroll"/>
    <n v="0"/>
    <s v="Startup"/>
    <s v="High Value"/>
    <s v="Yes"/>
    <s v="No"/>
    <x v="1"/>
    <x v="2"/>
    <s v="APACQ4"/>
    <n v="126500"/>
  </r>
  <r>
    <s v="TXN-100976"/>
    <d v="2024-11-17T00:00:00"/>
    <x v="93"/>
    <s v="SVC-01"/>
    <n v="315.06"/>
    <x v="0"/>
    <s v="ACH"/>
    <m/>
    <x v="1"/>
    <s v="Philippines"/>
    <s v="J. Reyes"/>
    <x v="0"/>
    <s v="Payments"/>
    <n v="2.9000000000000001E-2"/>
    <s v="SMB"/>
    <s v="Standard"/>
    <s v="Yes"/>
    <s v="No"/>
    <x v="1"/>
    <x v="2"/>
    <s v="APACQ4"/>
    <n v="126500"/>
  </r>
  <r>
    <s v="TXN-102479"/>
    <d v="2024-08-25T00:00:00"/>
    <x v="79"/>
    <s v="SVC-01"/>
    <n v="280.13"/>
    <x v="0"/>
    <s v="Credit Card"/>
    <m/>
    <x v="3"/>
    <s v="USA"/>
    <s v="T. Novak"/>
    <x v="0"/>
    <s v="Payments"/>
    <n v="2.9000000000000001E-2"/>
    <s v="Startup"/>
    <s v="Standard"/>
    <s v="No"/>
    <s v="No"/>
    <x v="0"/>
    <x v="1"/>
    <s v="NAQ3"/>
    <n v="273000"/>
  </r>
  <r>
    <s v="TXN-100848"/>
    <d v="2024-07-22T00:00:00"/>
    <x v="24"/>
    <s v="SVC-07"/>
    <n v="957.88"/>
    <x v="0"/>
    <s v="Wire Transfer"/>
    <m/>
    <x v="1"/>
    <s v="USA"/>
    <s v="M. Santos"/>
    <x v="7"/>
    <s v="Support"/>
    <n v="0"/>
    <s v="SMB"/>
    <s v="High Value"/>
    <s v="Yes"/>
    <s v="No"/>
    <x v="0"/>
    <x v="1"/>
    <s v="NAQ3"/>
    <n v="273000"/>
  </r>
  <r>
    <s v="TXN-101807"/>
    <d v="2024-11-01T00:00:00"/>
    <x v="56"/>
    <s v="SVC-05"/>
    <n v="430.57"/>
    <x v="0"/>
    <s v="Credit Card"/>
    <m/>
    <x v="0"/>
    <s v="Singapore"/>
    <s v="R. Patel"/>
    <x v="3"/>
    <s v="Analytics"/>
    <n v="0"/>
    <s v="Enterprise"/>
    <s v="High Value"/>
    <s v="Yes"/>
    <s v="No"/>
    <x v="1"/>
    <x v="2"/>
    <s v="APACQ4"/>
    <n v="126500"/>
  </r>
  <r>
    <s v="TXN-100408"/>
    <d v="2024-03-15T00:00:00"/>
    <x v="86"/>
    <s v="SVC-06"/>
    <n v="57.58"/>
    <x v="0"/>
    <s v="ACH"/>
    <m/>
    <x v="1"/>
    <s v="Canada"/>
    <s v="L. Chen"/>
    <x v="4"/>
    <s v="Platform"/>
    <n v="0"/>
    <s v="SMB"/>
    <s v="Standard"/>
    <s v="Yes"/>
    <s v="No"/>
    <x v="0"/>
    <x v="3"/>
    <s v="NAQ1"/>
    <n v="247000"/>
  </r>
  <r>
    <s v="TXN-102515"/>
    <d v="2024-10-29T00:00:00"/>
    <x v="106"/>
    <s v="SVC-06"/>
    <n v="244.29"/>
    <x v="0"/>
    <s v="ACH"/>
    <m/>
    <x v="1"/>
    <s v="USA"/>
    <s v="J. Reyes"/>
    <x v="4"/>
    <s v="Platform"/>
    <n v="0"/>
    <s v="SMB"/>
    <s v="Standard"/>
    <s v="Yes"/>
    <s v="No"/>
    <x v="0"/>
    <x v="2"/>
    <s v="NAQ4"/>
    <n v="299000"/>
  </r>
  <r>
    <s v="TXN-102240"/>
    <d v="2024-09-20T00:00:00"/>
    <x v="98"/>
    <s v="SVC-06"/>
    <n v="630.15"/>
    <x v="0"/>
    <s v="Credit Card"/>
    <m/>
    <x v="1"/>
    <s v="Philippines"/>
    <s v="T. Novak"/>
    <x v="4"/>
    <s v="Platform"/>
    <n v="0"/>
    <s v="SMB"/>
    <s v="High Value"/>
    <s v="Yes"/>
    <s v="Yes"/>
    <x v="1"/>
    <x v="1"/>
    <s v="APACQ3"/>
    <n v="115500"/>
  </r>
  <r>
    <s v="TXN-101845"/>
    <d v="2024-01-20T00:00:00"/>
    <x v="9"/>
    <s v="SVC-07"/>
    <n v="761.68"/>
    <x v="0"/>
    <s v="Credit Card"/>
    <s v="VIP account"/>
    <x v="3"/>
    <s v="Philippines"/>
    <s v="T. Novak"/>
    <x v="7"/>
    <s v="Support"/>
    <n v="0"/>
    <s v="Startup"/>
    <s v="High Value"/>
    <s v="Yes"/>
    <s v="Yes"/>
    <x v="1"/>
    <x v="3"/>
    <s v="APACQ1"/>
    <n v="104500"/>
  </r>
  <r>
    <s v="TXN-100730"/>
    <d v="2024-02-24T00:00:00"/>
    <x v="16"/>
    <s v="SVC-07"/>
    <n v="77.75"/>
    <x v="0"/>
    <s v="Credit Card"/>
    <m/>
    <x v="1"/>
    <s v="Germany"/>
    <s v="R. Patel"/>
    <x v="7"/>
    <s v="Support"/>
    <n v="0"/>
    <s v="SMB"/>
    <s v="Standard"/>
    <s v="Yes"/>
    <s v="No"/>
    <x v="2"/>
    <x v="3"/>
    <s v="EMEAQ1"/>
    <n v="133000"/>
  </r>
  <r>
    <s v="TXN-100899"/>
    <d v="2024-05-28T00:00:00"/>
    <x v="63"/>
    <s v="SVC-01"/>
    <n v="169.32"/>
    <x v="0"/>
    <s v="Wire Transfer"/>
    <m/>
    <x v="1"/>
    <s v="Philippines"/>
    <s v="T. Novak"/>
    <x v="0"/>
    <s v="Payments"/>
    <n v="2.9000000000000001E-2"/>
    <s v="SMB"/>
    <s v="Standard"/>
    <s v="No"/>
    <s v="No"/>
    <x v="1"/>
    <x v="0"/>
    <s v="APACQ2"/>
    <n v="110000"/>
  </r>
  <r>
    <s v="TXN-100790"/>
    <d v="2024-06-29T00:00:00"/>
    <x v="28"/>
    <s v="SVC-05"/>
    <n v="-441.01"/>
    <x v="2"/>
    <s v="Credit Card"/>
    <s v="callback requested"/>
    <x v="1"/>
    <s v="United Kingdom"/>
    <s v="L. Chen"/>
    <x v="3"/>
    <s v="Analytics"/>
    <n v="0"/>
    <s v="N/A"/>
    <s v="Refund"/>
    <s v="No"/>
    <s v="Yes"/>
    <x v="2"/>
    <x v="0"/>
    <s v="EMEAQ2"/>
    <n v="140000"/>
  </r>
  <r>
    <s v="TXN-100963"/>
    <d v="2024-09-29T00:00:00"/>
    <x v="78"/>
    <s v="SVC-03"/>
    <n v="763.01"/>
    <x v="1"/>
    <s v="ACH"/>
    <s v="VIP account"/>
    <x v="1"/>
    <s v="USA"/>
    <s v="L. Chen"/>
    <x v="5"/>
    <s v="Billing"/>
    <n v="5.0000000000000001E-3"/>
    <s v="N/A"/>
    <s v="High Value"/>
    <s v="Yes"/>
    <s v="No"/>
    <x v="0"/>
    <x v="1"/>
    <s v="NAQ3"/>
    <n v="273000"/>
  </r>
  <r>
    <s v="TXN-102531"/>
    <d v="2024-05-05T00:00:00"/>
    <x v="123"/>
    <s v="SVC-01"/>
    <n v="662.27"/>
    <x v="0"/>
    <s v="Credit Card"/>
    <m/>
    <x v="3"/>
    <s v="Australia"/>
    <s v="L. Chen"/>
    <x v="0"/>
    <s v="Payments"/>
    <n v="2.9000000000000001E-2"/>
    <s v="Startup"/>
    <s v="High Value"/>
    <s v="Yes"/>
    <s v="Yes"/>
    <x v="1"/>
    <x v="0"/>
    <s v="APACQ2"/>
    <n v="110000"/>
  </r>
  <r>
    <s v="TXN-101165"/>
    <d v="2024-09-09T00:00:00"/>
    <x v="33"/>
    <s v="SVC-01"/>
    <n v="147.74"/>
    <x v="0"/>
    <s v="Debit Card"/>
    <s v="VIP account"/>
    <x v="3"/>
    <s v="Canada"/>
    <s v="T. Novak"/>
    <x v="0"/>
    <s v="Payments"/>
    <n v="2.9000000000000001E-2"/>
    <s v="Startup"/>
    <s v="Standard"/>
    <s v="No"/>
    <s v="No"/>
    <x v="0"/>
    <x v="1"/>
    <s v="NAQ3"/>
    <n v="273000"/>
  </r>
  <r>
    <s v="TXN-100175"/>
    <d v="2024-11-18T00:00:00"/>
    <x v="121"/>
    <s v="SVC-01"/>
    <n v="661.19"/>
    <x v="0"/>
    <s v="ACH"/>
    <s v="VIP account"/>
    <x v="0"/>
    <s v="USA"/>
    <s v="J. Reyes"/>
    <x v="0"/>
    <s v="Payments"/>
    <n v="2.9000000000000001E-2"/>
    <s v="Enterprise"/>
    <s v="High Value"/>
    <s v="Yes"/>
    <s v="No"/>
    <x v="0"/>
    <x v="2"/>
    <s v="NAQ4"/>
    <n v="299000"/>
  </r>
  <r>
    <s v="TXN-101860"/>
    <d v="2024-09-18T00:00:00"/>
    <x v="93"/>
    <s v="SVC-08"/>
    <n v="306.47000000000003"/>
    <x v="1"/>
    <s v="Credit Card"/>
    <m/>
    <x v="1"/>
    <s v="Philippines"/>
    <s v="J. Reyes"/>
    <x v="1"/>
    <s v="Risk"/>
    <n v="2.5000000000000001E-3"/>
    <s v="N/A"/>
    <s v="High Value"/>
    <s v="Yes"/>
    <s v="Yes"/>
    <x v="1"/>
    <x v="1"/>
    <s v="APACQ3"/>
    <n v="115500"/>
  </r>
  <r>
    <s v="TXN-100866"/>
    <d v="2024-01-04T00:00:00"/>
    <x v="105"/>
    <s v="SVC-03"/>
    <n v="428.53"/>
    <x v="0"/>
    <s v="Unknown"/>
    <m/>
    <x v="3"/>
    <s v="Philippines"/>
    <s v="T. Novak"/>
    <x v="5"/>
    <s v="Billing"/>
    <n v="5.0000000000000001E-3"/>
    <s v="Startup"/>
    <s v="High Value"/>
    <s v="Yes"/>
    <s v="No"/>
    <x v="1"/>
    <x v="3"/>
    <s v="APACQ1"/>
    <n v="104500"/>
  </r>
  <r>
    <s v="TXN-101060"/>
    <d v="2024-07-07T00:00:00"/>
    <x v="30"/>
    <s v="SVC-01"/>
    <n v="553.38"/>
    <x v="3"/>
    <s v="ACH"/>
    <s v="escalated to support"/>
    <x v="1"/>
    <s v="Germany"/>
    <s v="M. Santos"/>
    <x v="0"/>
    <s v="Payments"/>
    <n v="2.9000000000000001E-2"/>
    <s v="N/A"/>
    <s v="High Value"/>
    <s v="Yes"/>
    <s v="No"/>
    <x v="2"/>
    <x v="1"/>
    <s v="EMEAQ3"/>
    <n v="147000"/>
  </r>
  <r>
    <s v="TXN-100869"/>
    <d v="2024-09-03T00:00:00"/>
    <x v="92"/>
    <s v="SVC-01"/>
    <n v="542.52"/>
    <x v="0"/>
    <s v="Credit Card"/>
    <m/>
    <x v="1"/>
    <s v="Canada"/>
    <s v="R. Patel"/>
    <x v="0"/>
    <s v="Payments"/>
    <n v="2.9000000000000001E-2"/>
    <s v="SMB"/>
    <s v="High Value"/>
    <s v="Yes"/>
    <s v="No"/>
    <x v="0"/>
    <x v="1"/>
    <s v="NAQ3"/>
    <n v="273000"/>
  </r>
  <r>
    <s v="TXN-102462"/>
    <d v="2024-05-01T00:00:00"/>
    <x v="58"/>
    <s v="SVC-07"/>
    <n v="936.15"/>
    <x v="0"/>
    <s v="ACH"/>
    <m/>
    <x v="1"/>
    <s v="Canada"/>
    <s v="M. Santos"/>
    <x v="7"/>
    <s v="Support"/>
    <n v="0"/>
    <s v="SMB"/>
    <s v="High Value"/>
    <s v="Yes"/>
    <s v="No"/>
    <x v="0"/>
    <x v="0"/>
    <s v="NAQ2"/>
    <n v="260000"/>
  </r>
  <r>
    <s v="TXN-102405"/>
    <d v="2024-10-17T00:00:00"/>
    <x v="27"/>
    <s v="SVC-05"/>
    <n v="729.54"/>
    <x v="3"/>
    <s v="Credit Card"/>
    <s v="VIP account"/>
    <x v="1"/>
    <s v="Canada"/>
    <s v="L. Chen"/>
    <x v="3"/>
    <s v="Analytics"/>
    <n v="0"/>
    <s v="N/A"/>
    <s v="High Value"/>
    <s v="Yes"/>
    <s v="Yes"/>
    <x v="0"/>
    <x v="2"/>
    <s v="NAQ4"/>
    <n v="299000"/>
  </r>
  <r>
    <s v="TXN-100750"/>
    <d v="2024-08-30T00:00:00"/>
    <x v="86"/>
    <s v="SVC-01"/>
    <n v="407.33"/>
    <x v="0"/>
    <s v="ACH"/>
    <m/>
    <x v="1"/>
    <s v="Canada"/>
    <s v="L. Chen"/>
    <x v="0"/>
    <s v="Payments"/>
    <n v="2.9000000000000001E-2"/>
    <s v="SMB"/>
    <s v="Standard"/>
    <s v="Yes"/>
    <s v="No"/>
    <x v="0"/>
    <x v="1"/>
    <s v="NAQ3"/>
    <n v="273000"/>
  </r>
  <r>
    <s v="TXN-100219"/>
    <d v="2024-11-01T00:00:00"/>
    <x v="102"/>
    <s v="SVC-03"/>
    <n v="537.39"/>
    <x v="0"/>
    <s v="Wire Transfer"/>
    <m/>
    <x v="1"/>
    <s v="Philippines"/>
    <s v="L. Chen"/>
    <x v="5"/>
    <s v="Billing"/>
    <n v="5.0000000000000001E-3"/>
    <s v="SMB"/>
    <s v="High Value"/>
    <s v="Yes"/>
    <s v="Yes"/>
    <x v="1"/>
    <x v="2"/>
    <s v="APACQ4"/>
    <n v="126500"/>
  </r>
  <r>
    <s v="TXN-101412"/>
    <d v="2024-10-11T00:00:00"/>
    <x v="92"/>
    <s v="SVC-08"/>
    <n v="289.54000000000002"/>
    <x v="3"/>
    <s v="Credit Card"/>
    <m/>
    <x v="1"/>
    <s v="Canada"/>
    <s v="R. Patel"/>
    <x v="1"/>
    <s v="Risk"/>
    <n v="2.5000000000000001E-3"/>
    <s v="N/A"/>
    <s v="High Value"/>
    <s v="Yes"/>
    <s v="Yes"/>
    <x v="0"/>
    <x v="2"/>
    <s v="NAQ4"/>
    <n v="299000"/>
  </r>
  <r>
    <s v="TXN-102319"/>
    <d v="2024-12-27T00:00:00"/>
    <x v="22"/>
    <s v="SVC-07"/>
    <n v="373.51"/>
    <x v="0"/>
    <s v="Wire Transfer"/>
    <s v="callback requested"/>
    <x v="0"/>
    <s v="Australia"/>
    <s v="M. Santos"/>
    <x v="7"/>
    <s v="Support"/>
    <n v="0"/>
    <s v="Enterprise"/>
    <s v="High Value"/>
    <s v="Yes"/>
    <s v="No"/>
    <x v="1"/>
    <x v="2"/>
    <s v="APACQ4"/>
    <n v="126500"/>
  </r>
  <r>
    <s v="TXN-101329"/>
    <d v="2024-08-10T00:00:00"/>
    <x v="134"/>
    <s v="SVC-07"/>
    <n v="-913.44"/>
    <x v="2"/>
    <s v="ACH"/>
    <s v="escalated to support"/>
    <x v="1"/>
    <s v="Philippines"/>
    <s v="T. Novak"/>
    <x v="7"/>
    <s v="Support"/>
    <n v="0"/>
    <s v="N/A"/>
    <s v="Refund"/>
    <s v="No"/>
    <s v="No"/>
    <x v="1"/>
    <x v="1"/>
    <s v="APACQ3"/>
    <n v="115500"/>
  </r>
  <r>
    <s v="TXN-100991"/>
    <d v="2024-08-05T00:00:00"/>
    <x v="103"/>
    <s v="SVC-05"/>
    <n v="541.73"/>
    <x v="0"/>
    <s v="Wire Transfer"/>
    <m/>
    <x v="1"/>
    <s v="United Kingdom"/>
    <s v="R. Patel"/>
    <x v="3"/>
    <s v="Analytics"/>
    <n v="0"/>
    <s v="SMB"/>
    <s v="High Value"/>
    <s v="Yes"/>
    <s v="Yes"/>
    <x v="2"/>
    <x v="1"/>
    <s v="EMEAQ3"/>
    <n v="147000"/>
  </r>
  <r>
    <s v="TXN-101737"/>
    <d v="2024-08-14T00:00:00"/>
    <x v="29"/>
    <s v="SVC-07"/>
    <n v="853.94"/>
    <x v="0"/>
    <s v="ACH"/>
    <m/>
    <x v="1"/>
    <s v="Germany"/>
    <s v="L. Chen"/>
    <x v="7"/>
    <s v="Support"/>
    <n v="0"/>
    <s v="SMB"/>
    <s v="High Value"/>
    <s v="Yes"/>
    <s v="Yes"/>
    <x v="2"/>
    <x v="1"/>
    <s v="EMEAQ3"/>
    <n v="147000"/>
  </r>
  <r>
    <s v="TXN-101361"/>
    <d v="2024-05-08T00:00:00"/>
    <x v="120"/>
    <s v="SVC-02"/>
    <n v="-652.36"/>
    <x v="2"/>
    <s v="ACH"/>
    <s v="callback requested"/>
    <x v="3"/>
    <s v="Australia"/>
    <s v="M. Santos"/>
    <x v="6"/>
    <s v="HR &amp; Payroll"/>
    <n v="0"/>
    <s v="N/A"/>
    <s v="Refund"/>
    <s v="No"/>
    <s v="No"/>
    <x v="1"/>
    <x v="0"/>
    <s v="APACQ2"/>
    <n v="110000"/>
  </r>
  <r>
    <s v="TXN-101145"/>
    <d v="2024-05-21T00:00:00"/>
    <x v="16"/>
    <s v="SVC-06"/>
    <n v="432.58"/>
    <x v="0"/>
    <s v="ACH"/>
    <m/>
    <x v="1"/>
    <s v="Germany"/>
    <s v="R. Patel"/>
    <x v="4"/>
    <s v="Platform"/>
    <n v="0"/>
    <s v="SMB"/>
    <s v="High Value"/>
    <s v="Yes"/>
    <s v="No"/>
    <x v="2"/>
    <x v="0"/>
    <s v="EMEAQ2"/>
    <n v="140000"/>
  </r>
  <r>
    <s v="TXN-101080"/>
    <d v="2024-05-11T00:00:00"/>
    <x v="102"/>
    <s v="SVC-08"/>
    <n v="760.47"/>
    <x v="0"/>
    <s v="Credit Card"/>
    <m/>
    <x v="1"/>
    <s v="Philippines"/>
    <s v="L. Chen"/>
    <x v="1"/>
    <s v="Risk"/>
    <n v="2.5000000000000001E-3"/>
    <s v="SMB"/>
    <s v="High Value"/>
    <s v="Yes"/>
    <s v="No"/>
    <x v="1"/>
    <x v="0"/>
    <s v="APACQ2"/>
    <n v="110000"/>
  </r>
  <r>
    <s v="TXN-102615"/>
    <d v="2024-09-13T00:00:00"/>
    <x v="136"/>
    <s v="SVC-05"/>
    <n v="795.44"/>
    <x v="0"/>
    <s v="ACH"/>
    <m/>
    <x v="2"/>
    <m/>
    <m/>
    <x v="3"/>
    <s v="Analytics"/>
    <n v="0"/>
    <s v="Customer Not Found"/>
    <s v="High Value"/>
    <s v="Yes"/>
    <s v="Yes"/>
    <x v="1"/>
    <x v="1"/>
    <s v="APACQ3"/>
    <n v="115500"/>
  </r>
  <r>
    <s v="TXN-100948"/>
    <d v="2024-05-01T00:00:00"/>
    <x v="5"/>
    <s v="SVC-06"/>
    <n v="383.62"/>
    <x v="0"/>
    <s v="Credit Card"/>
    <s v="VIP account"/>
    <x v="1"/>
    <s v="Australia"/>
    <s v="A. Kim"/>
    <x v="4"/>
    <s v="Platform"/>
    <n v="0"/>
    <s v="SMB"/>
    <s v="High Value"/>
    <s v="Yes"/>
    <s v="No"/>
    <x v="1"/>
    <x v="0"/>
    <s v="APACQ2"/>
    <n v="110000"/>
  </r>
  <r>
    <s v="TXN-102151"/>
    <d v="2024-02-23T00:00:00"/>
    <x v="101"/>
    <s v="SVC-02"/>
    <n v="699.74"/>
    <x v="0"/>
    <s v="Debit Card"/>
    <s v="VIP account"/>
    <x v="1"/>
    <s v="Canada"/>
    <s v="A. Kim"/>
    <x v="6"/>
    <s v="HR &amp; Payroll"/>
    <n v="0"/>
    <s v="SMB"/>
    <s v="High Value"/>
    <s v="Yes"/>
    <s v="Yes"/>
    <x v="0"/>
    <x v="3"/>
    <s v="NAQ1"/>
    <n v="247000"/>
  </r>
  <r>
    <s v="TXN-100077"/>
    <d v="2024-12-23T00:00:00"/>
    <x v="134"/>
    <s v="SVC-08"/>
    <n v="182.02"/>
    <x v="0"/>
    <s v="Wire Transfer"/>
    <m/>
    <x v="1"/>
    <s v="Philippines"/>
    <s v="T. Novak"/>
    <x v="1"/>
    <s v="Risk"/>
    <n v="2.5000000000000001E-3"/>
    <s v="SMB"/>
    <s v="Standard"/>
    <s v="Yes"/>
    <s v="Yes"/>
    <x v="1"/>
    <x v="2"/>
    <s v="APACQ4"/>
    <n v="126500"/>
  </r>
  <r>
    <s v="TXN-101246"/>
    <d v="2024-09-03T00:00:00"/>
    <x v="23"/>
    <s v="SVC-05"/>
    <n v="722.48"/>
    <x v="0"/>
    <s v="Credit Card"/>
    <m/>
    <x v="0"/>
    <s v="USA"/>
    <s v="L. Chen"/>
    <x v="3"/>
    <s v="Analytics"/>
    <n v="0"/>
    <s v="Enterprise"/>
    <s v="High Value"/>
    <s v="Yes"/>
    <s v="No"/>
    <x v="0"/>
    <x v="1"/>
    <s v="NAQ3"/>
    <n v="273000"/>
  </r>
  <r>
    <s v="TXN-102448"/>
    <d v="2024-04-10T00:00:00"/>
    <x v="65"/>
    <s v="SVC-03"/>
    <n v="698.12"/>
    <x v="0"/>
    <s v="Unknown"/>
    <m/>
    <x v="0"/>
    <s v="USA"/>
    <s v="A. Kim"/>
    <x v="5"/>
    <s v="Billing"/>
    <n v="5.0000000000000001E-3"/>
    <s v="Enterprise"/>
    <s v="High Value"/>
    <s v="Yes"/>
    <s v="No"/>
    <x v="0"/>
    <x v="0"/>
    <s v="NAQ2"/>
    <n v="260000"/>
  </r>
  <r>
    <s v="TXN-101532"/>
    <d v="2024-07-04T00:00:00"/>
    <x v="121"/>
    <s v="SVC-07"/>
    <n v="1064.52"/>
    <x v="1"/>
    <s v="Credit Card"/>
    <s v="callback requested"/>
    <x v="0"/>
    <s v="USA"/>
    <s v="J. Reyes"/>
    <x v="7"/>
    <s v="Support"/>
    <n v="0"/>
    <s v="N/A"/>
    <s v="High Value"/>
    <s v="Yes"/>
    <s v="No"/>
    <x v="0"/>
    <x v="1"/>
    <s v="NAQ3"/>
    <n v="273000"/>
  </r>
  <r>
    <s v="TXN-102173"/>
    <d v="2024-09-30T00:00:00"/>
    <x v="90"/>
    <s v="SVC-03"/>
    <n v="1117.1300000000001"/>
    <x v="0"/>
    <s v="Credit Card"/>
    <s v="callback requested"/>
    <x v="1"/>
    <s v="USA"/>
    <s v="A. Kim"/>
    <x v="5"/>
    <s v="Billing"/>
    <n v="5.0000000000000001E-3"/>
    <s v="SMB"/>
    <s v="High Value"/>
    <s v="Yes"/>
    <s v="No"/>
    <x v="0"/>
    <x v="1"/>
    <s v="NAQ3"/>
    <n v="273000"/>
  </r>
  <r>
    <s v="TXN-102248"/>
    <d v="2024-05-29T00:00:00"/>
    <x v="39"/>
    <s v="SVC-01"/>
    <n v="521.35"/>
    <x v="0"/>
    <s v="Credit Card"/>
    <s v="VIP account"/>
    <x v="1"/>
    <s v="United Kingdom"/>
    <s v="A. Kim"/>
    <x v="0"/>
    <s v="Payments"/>
    <n v="2.9000000000000001E-2"/>
    <s v="SMB"/>
    <s v="High Value"/>
    <s v="Yes"/>
    <s v="Yes"/>
    <x v="2"/>
    <x v="0"/>
    <s v="EMEAQ2"/>
    <n v="140000"/>
  </r>
  <r>
    <s v="TXN-100924"/>
    <d v="2024-12-12T00:00:00"/>
    <x v="93"/>
    <s v="SVC-08"/>
    <n v="307.85000000000002"/>
    <x v="0"/>
    <s v="Credit Card"/>
    <m/>
    <x v="1"/>
    <s v="Philippines"/>
    <s v="J. Reyes"/>
    <x v="1"/>
    <s v="Risk"/>
    <n v="2.5000000000000001E-3"/>
    <s v="SMB"/>
    <s v="High Value"/>
    <s v="Yes"/>
    <s v="No"/>
    <x v="1"/>
    <x v="2"/>
    <s v="APACQ4"/>
    <n v="126500"/>
  </r>
  <r>
    <s v="TXN-102357"/>
    <d v="2024-03-12T00:00:00"/>
    <x v="33"/>
    <s v="SVC-01"/>
    <n v="448.52"/>
    <x v="0"/>
    <s v="ACH"/>
    <s v="escalated to support"/>
    <x v="3"/>
    <s v="Canada"/>
    <s v="T. Novak"/>
    <x v="0"/>
    <s v="Payments"/>
    <n v="2.9000000000000001E-2"/>
    <s v="Startup"/>
    <s v="Standard"/>
    <s v="Yes"/>
    <s v="No"/>
    <x v="0"/>
    <x v="3"/>
    <s v="NAQ1"/>
    <n v="247000"/>
  </r>
  <r>
    <s v="TXN-102244"/>
    <d v="2024-06-15T00:00:00"/>
    <x v="40"/>
    <s v="SVC-07"/>
    <n v="-503.76"/>
    <x v="2"/>
    <s v="ACH"/>
    <s v="callback requested"/>
    <x v="1"/>
    <s v="Philippines"/>
    <s v="M. Santos"/>
    <x v="7"/>
    <s v="Support"/>
    <n v="0"/>
    <s v="N/A"/>
    <s v="Refund"/>
    <s v="No"/>
    <s v="No"/>
    <x v="1"/>
    <x v="0"/>
    <s v="APACQ2"/>
    <n v="110000"/>
  </r>
  <r>
    <s v="TXN-102058"/>
    <d v="2024-04-06T00:00:00"/>
    <x v="53"/>
    <s v="SVC-02"/>
    <n v="400.55"/>
    <x v="0"/>
    <s v="Wire Transfer"/>
    <s v="VIP account"/>
    <x v="0"/>
    <s v="Singapore"/>
    <s v="L. Chen"/>
    <x v="6"/>
    <s v="HR &amp; Payroll"/>
    <n v="0"/>
    <s v="Enterprise"/>
    <s v="High Value"/>
    <s v="Yes"/>
    <s v="No"/>
    <x v="1"/>
    <x v="0"/>
    <s v="APACQ2"/>
    <n v="110000"/>
  </r>
  <r>
    <s v="TXN-102307"/>
    <d v="2024-06-15T00:00:00"/>
    <x v="32"/>
    <s v="SVC-01"/>
    <n v="714.07"/>
    <x v="0"/>
    <s v="Debit Card"/>
    <s v="callback requested"/>
    <x v="1"/>
    <s v="Philippines"/>
    <s v="T. Novak"/>
    <x v="0"/>
    <s v="Payments"/>
    <n v="2.9000000000000001E-2"/>
    <s v="SMB"/>
    <s v="High Value"/>
    <s v="Yes"/>
    <s v="No"/>
    <x v="1"/>
    <x v="0"/>
    <s v="APACQ2"/>
    <n v="110000"/>
  </r>
  <r>
    <s v="TXN-100782"/>
    <d v="2024-07-27T00:00:00"/>
    <x v="40"/>
    <s v="SVC-02"/>
    <n v="274.48"/>
    <x v="0"/>
    <s v="Credit Card"/>
    <m/>
    <x v="1"/>
    <s v="Philippines"/>
    <s v="M. Santos"/>
    <x v="6"/>
    <s v="HR &amp; Payroll"/>
    <n v="0"/>
    <s v="SMB"/>
    <s v="High Value"/>
    <s v="Yes"/>
    <s v="Yes"/>
    <x v="1"/>
    <x v="1"/>
    <s v="APACQ3"/>
    <n v="115500"/>
  </r>
  <r>
    <s v="TXN-100651"/>
    <d v="2024-06-03T00:00:00"/>
    <x v="101"/>
    <s v="SVC-01"/>
    <n v="522.92999999999995"/>
    <x v="0"/>
    <s v="Debit Card"/>
    <s v="VIP account"/>
    <x v="1"/>
    <s v="Canada"/>
    <s v="A. Kim"/>
    <x v="0"/>
    <s v="Payments"/>
    <n v="2.9000000000000001E-2"/>
    <s v="SMB"/>
    <s v="High Value"/>
    <s v="Yes"/>
    <s v="No"/>
    <x v="0"/>
    <x v="0"/>
    <s v="NAQ2"/>
    <n v="260000"/>
  </r>
  <r>
    <s v="TXN-101058"/>
    <d v="2024-01-25T00:00:00"/>
    <x v="87"/>
    <s v="SVC-03"/>
    <n v="212.42"/>
    <x v="0"/>
    <s v="Credit Card"/>
    <s v="escalated to support"/>
    <x v="1"/>
    <s v="United Kingdom"/>
    <s v="J. Reyes"/>
    <x v="5"/>
    <s v="Billing"/>
    <n v="5.0000000000000001E-3"/>
    <s v="SMB"/>
    <s v="Standard"/>
    <s v="Yes"/>
    <s v="No"/>
    <x v="2"/>
    <x v="3"/>
    <s v="EMEAQ1"/>
    <n v="133000"/>
  </r>
  <r>
    <s v="TXN-100826"/>
    <d v="2024-06-21T00:00:00"/>
    <x v="126"/>
    <s v="SVC-03"/>
    <n v="625.59"/>
    <x v="0"/>
    <s v="Credit Card"/>
    <s v="callback requested"/>
    <x v="3"/>
    <s v="Canada"/>
    <s v="A. Kim"/>
    <x v="5"/>
    <s v="Billing"/>
    <n v="5.0000000000000001E-3"/>
    <s v="Startup"/>
    <s v="High Value"/>
    <s v="Yes"/>
    <s v="No"/>
    <x v="0"/>
    <x v="0"/>
    <s v="NAQ2"/>
    <n v="260000"/>
  </r>
  <r>
    <s v="TXN-102150"/>
    <d v="2024-07-23T00:00:00"/>
    <x v="36"/>
    <s v="SVC-01"/>
    <n v="114.97"/>
    <x v="0"/>
    <s v="ACH"/>
    <s v="VIP account"/>
    <x v="1"/>
    <s v="USA"/>
    <s v="M. Santos"/>
    <x v="0"/>
    <s v="Payments"/>
    <n v="2.9000000000000001E-2"/>
    <s v="SMB"/>
    <s v="Standard"/>
    <s v="No"/>
    <s v="No"/>
    <x v="0"/>
    <x v="1"/>
    <s v="NAQ3"/>
    <n v="273000"/>
  </r>
  <r>
    <s v="TXN-101483"/>
    <d v="2024-12-23T00:00:00"/>
    <x v="103"/>
    <s v="SVC-01"/>
    <n v="570.6"/>
    <x v="0"/>
    <s v="ACH"/>
    <m/>
    <x v="1"/>
    <s v="United Kingdom"/>
    <s v="R. Patel"/>
    <x v="0"/>
    <s v="Payments"/>
    <n v="2.9000000000000001E-2"/>
    <s v="SMB"/>
    <s v="High Value"/>
    <s v="Yes"/>
    <s v="No"/>
    <x v="2"/>
    <x v="2"/>
    <s v="EMEAQ4"/>
    <n v="161000"/>
  </r>
  <r>
    <s v="TXN-101310"/>
    <d v="2024-05-21T00:00:00"/>
    <x v="129"/>
    <s v="SVC-04"/>
    <n v="52.46"/>
    <x v="0"/>
    <s v="ACH"/>
    <s v="callback requested"/>
    <x v="1"/>
    <s v="Australia"/>
    <s v="A. Kim"/>
    <x v="2"/>
    <s v="Risk"/>
    <n v="1E-3"/>
    <s v="SMB"/>
    <s v="Standard"/>
    <s v="Yes"/>
    <s v="Yes"/>
    <x v="1"/>
    <x v="0"/>
    <s v="APACQ2"/>
    <n v="110000"/>
  </r>
  <r>
    <s v="TXN-101279"/>
    <d v="2024-01-31T00:00:00"/>
    <x v="103"/>
    <s v="SVC-03"/>
    <n v="525.67999999999995"/>
    <x v="0"/>
    <s v="Debit Card"/>
    <m/>
    <x v="1"/>
    <s v="United Kingdom"/>
    <s v="R. Patel"/>
    <x v="5"/>
    <s v="Billing"/>
    <n v="5.0000000000000001E-3"/>
    <s v="SMB"/>
    <s v="High Value"/>
    <s v="Yes"/>
    <s v="Yes"/>
    <x v="2"/>
    <x v="3"/>
    <s v="EMEAQ1"/>
    <n v="133000"/>
  </r>
  <r>
    <s v="TXN-100087"/>
    <d v="2024-07-21T00:00:00"/>
    <x v="103"/>
    <s v="SVC-02"/>
    <n v="100.32"/>
    <x v="0"/>
    <s v="Unknown"/>
    <m/>
    <x v="1"/>
    <s v="United Kingdom"/>
    <s v="R. Patel"/>
    <x v="6"/>
    <s v="HR &amp; Payroll"/>
    <n v="0"/>
    <s v="SMB"/>
    <s v="Standard"/>
    <s v="Yes"/>
    <s v="No"/>
    <x v="2"/>
    <x v="1"/>
    <s v="EMEAQ3"/>
    <n v="147000"/>
  </r>
  <r>
    <s v="TXN-101527"/>
    <d v="2024-09-01T00:00:00"/>
    <x v="74"/>
    <s v="SVC-03"/>
    <n v="662.84"/>
    <x v="0"/>
    <s v="ACH"/>
    <s v="callback requested"/>
    <x v="0"/>
    <s v="USA"/>
    <s v="A. Kim"/>
    <x v="5"/>
    <s v="Billing"/>
    <n v="5.0000000000000001E-3"/>
    <s v="Enterprise"/>
    <s v="High Value"/>
    <s v="Yes"/>
    <s v="No"/>
    <x v="0"/>
    <x v="1"/>
    <s v="NAQ3"/>
    <n v="273000"/>
  </r>
  <r>
    <s v="TXN-101408"/>
    <d v="2024-01-06T00:00:00"/>
    <x v="70"/>
    <s v="SVC-02"/>
    <n v="512.23"/>
    <x v="0"/>
    <s v="ACH"/>
    <m/>
    <x v="3"/>
    <s v="Singapore"/>
    <s v="A. Kim"/>
    <x v="6"/>
    <s v="HR &amp; Payroll"/>
    <n v="0"/>
    <s v="Startup"/>
    <s v="High Value"/>
    <s v="Yes"/>
    <s v="No"/>
    <x v="1"/>
    <x v="3"/>
    <s v="APACQ1"/>
    <n v="104500"/>
  </r>
  <r>
    <s v="TXN-101036"/>
    <d v="2024-04-14T00:00:00"/>
    <x v="49"/>
    <s v="SVC-08"/>
    <n v="73.7"/>
    <x v="0"/>
    <s v="ACH"/>
    <s v="VIP account"/>
    <x v="1"/>
    <s v="USA"/>
    <s v="A. Kim"/>
    <x v="1"/>
    <s v="Risk"/>
    <n v="2.5000000000000001E-3"/>
    <s v="SMB"/>
    <s v="Standard"/>
    <s v="Yes"/>
    <s v="Yes"/>
    <x v="0"/>
    <x v="0"/>
    <s v="NAQ2"/>
    <n v="260000"/>
  </r>
  <r>
    <s v="TXN-100722"/>
    <d v="2024-06-07T00:00:00"/>
    <x v="79"/>
    <s v="SVC-05"/>
    <n v="807.8"/>
    <x v="1"/>
    <s v="Credit Card"/>
    <m/>
    <x v="3"/>
    <s v="USA"/>
    <s v="T. Novak"/>
    <x v="3"/>
    <s v="Analytics"/>
    <n v="0"/>
    <s v="N/A"/>
    <s v="High Value"/>
    <s v="Yes"/>
    <s v="Yes"/>
    <x v="0"/>
    <x v="0"/>
    <s v="NAQ2"/>
    <n v="260000"/>
  </r>
  <r>
    <s v="TXN-102000"/>
    <d v="2024-09-28T00:00:00"/>
    <x v="49"/>
    <s v="SVC-04"/>
    <n v="332.78"/>
    <x v="0"/>
    <s v="ACH"/>
    <m/>
    <x v="1"/>
    <s v="USA"/>
    <s v="A. Kim"/>
    <x v="2"/>
    <s v="Risk"/>
    <n v="1E-3"/>
    <s v="SMB"/>
    <s v="High Value"/>
    <s v="Yes"/>
    <s v="Yes"/>
    <x v="0"/>
    <x v="1"/>
    <s v="NAQ3"/>
    <n v="273000"/>
  </r>
  <r>
    <s v="TXN-100939"/>
    <d v="2024-03-28T00:00:00"/>
    <x v="114"/>
    <s v="SVC-03"/>
    <n v="844.46"/>
    <x v="0"/>
    <s v="Debit Card"/>
    <m/>
    <x v="3"/>
    <s v="Australia"/>
    <s v="A. Kim"/>
    <x v="5"/>
    <s v="Billing"/>
    <n v="5.0000000000000001E-3"/>
    <s v="Startup"/>
    <s v="High Value"/>
    <s v="Yes"/>
    <s v="Yes"/>
    <x v="1"/>
    <x v="3"/>
    <s v="APACQ1"/>
    <n v="104500"/>
  </r>
  <r>
    <s v="TXN-100636"/>
    <d v="2024-05-19T00:00:00"/>
    <x v="113"/>
    <s v="SVC-04"/>
    <n v="763.46"/>
    <x v="0"/>
    <s v="Wire Transfer"/>
    <m/>
    <x v="3"/>
    <s v="United Kingdom"/>
    <s v="R. Patel"/>
    <x v="2"/>
    <s v="Risk"/>
    <n v="1E-3"/>
    <s v="Startup"/>
    <s v="High Value"/>
    <s v="Yes"/>
    <s v="Yes"/>
    <x v="2"/>
    <x v="0"/>
    <s v="EMEAQ2"/>
    <n v="140000"/>
  </r>
  <r>
    <s v="TXN-100978"/>
    <d v="2024-12-20T00:00:00"/>
    <x v="133"/>
    <s v="SVC-01"/>
    <n v="169.98"/>
    <x v="0"/>
    <s v="ACH"/>
    <m/>
    <x v="1"/>
    <s v="Canada"/>
    <s v="R. Patel"/>
    <x v="0"/>
    <s v="Payments"/>
    <n v="2.9000000000000001E-2"/>
    <s v="SMB"/>
    <s v="Standard"/>
    <s v="No"/>
    <s v="No"/>
    <x v="0"/>
    <x v="2"/>
    <s v="NAQ4"/>
    <n v="299000"/>
  </r>
  <r>
    <s v="TXN-101832"/>
    <d v="2024-07-08T00:00:00"/>
    <x v="73"/>
    <s v="SVC-04"/>
    <n v="189.3"/>
    <x v="0"/>
    <s v="Unknown"/>
    <m/>
    <x v="1"/>
    <s v="United Kingdom"/>
    <s v="R. Patel"/>
    <x v="2"/>
    <s v="Risk"/>
    <n v="1E-3"/>
    <s v="SMB"/>
    <s v="Standard"/>
    <s v="Yes"/>
    <s v="No"/>
    <x v="2"/>
    <x v="1"/>
    <s v="EMEAQ3"/>
    <n v="147000"/>
  </r>
  <r>
    <s v="TXN-101323"/>
    <d v="2024-06-10T00:00:00"/>
    <x v="22"/>
    <s v="SVC-02"/>
    <n v="953.84"/>
    <x v="1"/>
    <s v="ACH"/>
    <m/>
    <x v="0"/>
    <s v="Australia"/>
    <s v="M. Santos"/>
    <x v="6"/>
    <s v="HR &amp; Payroll"/>
    <n v="0"/>
    <s v="N/A"/>
    <s v="High Value"/>
    <s v="Yes"/>
    <s v="No"/>
    <x v="1"/>
    <x v="0"/>
    <s v="APACQ2"/>
    <n v="110000"/>
  </r>
  <r>
    <s v="TXN-101055"/>
    <d v="2024-03-04T00:00:00"/>
    <x v="111"/>
    <s v="SVC-03"/>
    <n v="92.4"/>
    <x v="0"/>
    <s v="Credit Card"/>
    <m/>
    <x v="1"/>
    <s v="Australia"/>
    <s v="A. Kim"/>
    <x v="5"/>
    <s v="Billing"/>
    <n v="5.0000000000000001E-3"/>
    <s v="SMB"/>
    <s v="Standard"/>
    <s v="Yes"/>
    <s v="No"/>
    <x v="1"/>
    <x v="3"/>
    <s v="APACQ1"/>
    <n v="104500"/>
  </r>
  <r>
    <s v="TXN-101645"/>
    <d v="2024-06-23T00:00:00"/>
    <x v="5"/>
    <s v="SVC-02"/>
    <n v="188.74"/>
    <x v="0"/>
    <s v="Wire Transfer"/>
    <m/>
    <x v="1"/>
    <s v="Australia"/>
    <s v="A. Kim"/>
    <x v="6"/>
    <s v="HR &amp; Payroll"/>
    <n v="0"/>
    <s v="SMB"/>
    <s v="Standard"/>
    <s v="Yes"/>
    <s v="No"/>
    <x v="1"/>
    <x v="0"/>
    <s v="APACQ2"/>
    <n v="110000"/>
  </r>
  <r>
    <s v="TXN-101665"/>
    <d v="2024-01-24T00:00:00"/>
    <x v="49"/>
    <s v="SVC-01"/>
    <n v="188.25"/>
    <x v="0"/>
    <s v="ACH"/>
    <m/>
    <x v="1"/>
    <s v="USA"/>
    <s v="A. Kim"/>
    <x v="0"/>
    <s v="Payments"/>
    <n v="2.9000000000000001E-2"/>
    <s v="SMB"/>
    <s v="Standard"/>
    <s v="No"/>
    <s v="No"/>
    <x v="0"/>
    <x v="3"/>
    <s v="NAQ1"/>
    <n v="247000"/>
  </r>
  <r>
    <s v="TXN-101341"/>
    <d v="2024-07-10T00:00:00"/>
    <x v="106"/>
    <s v="SVC-02"/>
    <n v="408.66"/>
    <x v="0"/>
    <s v="Debit Card"/>
    <m/>
    <x v="1"/>
    <s v="USA"/>
    <s v="J. Reyes"/>
    <x v="6"/>
    <s v="HR &amp; Payroll"/>
    <n v="0"/>
    <s v="SMB"/>
    <s v="High Value"/>
    <s v="Yes"/>
    <s v="No"/>
    <x v="0"/>
    <x v="1"/>
    <s v="NAQ3"/>
    <n v="273000"/>
  </r>
  <r>
    <s v="TXN-101300"/>
    <d v="2024-04-01T00:00:00"/>
    <x v="124"/>
    <s v="SVC-03"/>
    <n v="388.52"/>
    <x v="0"/>
    <s v="Credit Card"/>
    <s v="callback requested"/>
    <x v="1"/>
    <s v="United Kingdom"/>
    <s v="A. Kim"/>
    <x v="5"/>
    <s v="Billing"/>
    <n v="5.0000000000000001E-3"/>
    <s v="SMB"/>
    <s v="High Value"/>
    <s v="Yes"/>
    <s v="No"/>
    <x v="2"/>
    <x v="0"/>
    <s v="EMEAQ2"/>
    <n v="140000"/>
  </r>
  <r>
    <s v="TXN-102400"/>
    <d v="2024-04-14T00:00:00"/>
    <x v="58"/>
    <s v="SVC-04"/>
    <n v="529.24"/>
    <x v="0"/>
    <s v="Wire Transfer"/>
    <s v="escalated to support"/>
    <x v="1"/>
    <s v="Canada"/>
    <s v="M. Santos"/>
    <x v="2"/>
    <s v="Risk"/>
    <n v="1E-3"/>
    <s v="SMB"/>
    <s v="High Value"/>
    <s v="Yes"/>
    <s v="Yes"/>
    <x v="0"/>
    <x v="0"/>
    <s v="NAQ2"/>
    <n v="260000"/>
  </r>
  <r>
    <s v="TXN-102147"/>
    <d v="2024-08-22T00:00:00"/>
    <x v="21"/>
    <s v="SVC-01"/>
    <n v="125.45"/>
    <x v="0"/>
    <s v="ACH"/>
    <s v="escalated to support"/>
    <x v="0"/>
    <s v="Australia"/>
    <s v="M. Santos"/>
    <x v="0"/>
    <s v="Payments"/>
    <n v="2.9000000000000001E-2"/>
    <s v="Enterprise"/>
    <s v="Standard"/>
    <s v="No"/>
    <s v="No"/>
    <x v="1"/>
    <x v="1"/>
    <s v="APACQ3"/>
    <n v="115500"/>
  </r>
  <r>
    <s v="TXN-100677"/>
    <d v="2024-09-28T00:00:00"/>
    <x v="70"/>
    <s v="SVC-01"/>
    <n v="104.34"/>
    <x v="0"/>
    <s v="Debit Card"/>
    <s v="escalated to support"/>
    <x v="3"/>
    <s v="Singapore"/>
    <s v="A. Kim"/>
    <x v="0"/>
    <s v="Payments"/>
    <n v="2.9000000000000001E-2"/>
    <s v="Startup"/>
    <s v="Standard"/>
    <s v="No"/>
    <s v="No"/>
    <x v="1"/>
    <x v="1"/>
    <s v="APACQ3"/>
    <n v="115500"/>
  </r>
  <r>
    <s v="TXN-100438"/>
    <d v="2024-07-18T00:00:00"/>
    <x v="48"/>
    <s v="SVC-01"/>
    <n v="780.63"/>
    <x v="0"/>
    <s v="ACH"/>
    <s v="escalated to support"/>
    <x v="1"/>
    <s v="Germany"/>
    <s v="J. Reyes"/>
    <x v="0"/>
    <s v="Payments"/>
    <n v="2.9000000000000001E-2"/>
    <s v="SMB"/>
    <s v="High Value"/>
    <s v="Yes"/>
    <s v="No"/>
    <x v="2"/>
    <x v="1"/>
    <s v="EMEAQ3"/>
    <n v="147000"/>
  </r>
  <r>
    <s v="TXN-100156"/>
    <d v="2024-07-12T00:00:00"/>
    <x v="53"/>
    <s v="SVC-03"/>
    <n v="519.80999999999995"/>
    <x v="0"/>
    <s v="Wire Transfer"/>
    <s v="VIP account"/>
    <x v="0"/>
    <s v="Singapore"/>
    <s v="L. Chen"/>
    <x v="5"/>
    <s v="Billing"/>
    <n v="5.0000000000000001E-3"/>
    <s v="Enterprise"/>
    <s v="High Value"/>
    <s v="Yes"/>
    <s v="No"/>
    <x v="1"/>
    <x v="1"/>
    <s v="APACQ3"/>
    <n v="115500"/>
  </r>
  <r>
    <s v="TXN-102350"/>
    <d v="2024-03-01T00:00:00"/>
    <x v="100"/>
    <s v="SVC-08"/>
    <n v="153.54"/>
    <x v="0"/>
    <s v="Credit Card"/>
    <m/>
    <x v="1"/>
    <s v="USA"/>
    <s v="J. Reyes"/>
    <x v="1"/>
    <s v="Risk"/>
    <n v="2.5000000000000001E-3"/>
    <s v="SMB"/>
    <s v="Standard"/>
    <s v="Yes"/>
    <s v="No"/>
    <x v="0"/>
    <x v="3"/>
    <s v="NAQ1"/>
    <n v="247000"/>
  </r>
  <r>
    <s v="TXN-101043"/>
    <d v="2024-09-04T00:00:00"/>
    <x v="116"/>
    <s v="SVC-08"/>
    <n v="-887.5"/>
    <x v="2"/>
    <s v="ACH"/>
    <s v="VIP account"/>
    <x v="1"/>
    <s v="USA"/>
    <s v="J. Reyes"/>
    <x v="1"/>
    <s v="Risk"/>
    <n v="2.5000000000000001E-3"/>
    <s v="N/A"/>
    <s v="Refund"/>
    <s v="No"/>
    <s v="Yes"/>
    <x v="0"/>
    <x v="1"/>
    <s v="NAQ3"/>
    <n v="273000"/>
  </r>
  <r>
    <s v="TXN-101827"/>
    <d v="2024-09-03T00:00:00"/>
    <x v="48"/>
    <s v="SVC-01"/>
    <n v="318.55"/>
    <x v="1"/>
    <s v="Credit Card"/>
    <m/>
    <x v="1"/>
    <s v="Germany"/>
    <s v="J. Reyes"/>
    <x v="0"/>
    <s v="Payments"/>
    <n v="2.9000000000000001E-2"/>
    <s v="N/A"/>
    <s v="Standard"/>
    <s v="Yes"/>
    <s v="No"/>
    <x v="2"/>
    <x v="1"/>
    <s v="EMEAQ3"/>
    <n v="147000"/>
  </r>
  <r>
    <s v="TXN-101442"/>
    <d v="2024-06-19T00:00:00"/>
    <x v="36"/>
    <s v="SVC-05"/>
    <n v="338.65"/>
    <x v="0"/>
    <s v="Unknown"/>
    <s v="VIP account"/>
    <x v="1"/>
    <s v="USA"/>
    <s v="M. Santos"/>
    <x v="3"/>
    <s v="Analytics"/>
    <n v="0"/>
    <s v="SMB"/>
    <s v="High Value"/>
    <s v="Yes"/>
    <s v="No"/>
    <x v="0"/>
    <x v="0"/>
    <s v="NAQ2"/>
    <n v="260000"/>
  </r>
  <r>
    <s v="TXN-102568"/>
    <d v="2024-04-28T00:00:00"/>
    <x v="45"/>
    <s v="SVC-01"/>
    <n v="226.25"/>
    <x v="3"/>
    <s v="Debit Card"/>
    <m/>
    <x v="0"/>
    <s v="United Kingdom"/>
    <s v="R. Patel"/>
    <x v="0"/>
    <s v="Payments"/>
    <n v="2.9000000000000001E-2"/>
    <s v="N/A"/>
    <s v="Standard"/>
    <s v="No"/>
    <s v="No"/>
    <x v="2"/>
    <x v="0"/>
    <s v="EMEAQ2"/>
    <n v="140000"/>
  </r>
  <r>
    <s v="TXN-101629"/>
    <d v="2024-11-22T00:00:00"/>
    <x v="108"/>
    <s v="SVC-06"/>
    <n v="281.33"/>
    <x v="0"/>
    <s v="Debit Card"/>
    <m/>
    <x v="1"/>
    <s v="Germany"/>
    <s v="M. Santos"/>
    <x v="4"/>
    <s v="Platform"/>
    <n v="0"/>
    <s v="SMB"/>
    <s v="High Value"/>
    <s v="Yes"/>
    <s v="Yes"/>
    <x v="2"/>
    <x v="2"/>
    <s v="EMEAQ4"/>
    <n v="161000"/>
  </r>
  <r>
    <s v="TXN-100496"/>
    <d v="2024-06-07T00:00:00"/>
    <x v="92"/>
    <s v="SVC-07"/>
    <n v="249.13"/>
    <x v="0"/>
    <s v="Debit Card"/>
    <s v="callback requested"/>
    <x v="1"/>
    <s v="Canada"/>
    <s v="R. Patel"/>
    <x v="7"/>
    <s v="Support"/>
    <n v="0"/>
    <s v="SMB"/>
    <s v="Standard"/>
    <s v="Yes"/>
    <s v="No"/>
    <x v="0"/>
    <x v="0"/>
    <s v="NAQ2"/>
    <n v="260000"/>
  </r>
  <r>
    <s v="TXN-100557"/>
    <d v="2024-10-09T00:00:00"/>
    <x v="128"/>
    <s v="SVC-03"/>
    <n v="424.94"/>
    <x v="3"/>
    <s v="ACH"/>
    <s v="callback requested"/>
    <x v="0"/>
    <s v="Philippines"/>
    <s v="L. Chen"/>
    <x v="5"/>
    <s v="Billing"/>
    <n v="5.0000000000000001E-3"/>
    <s v="N/A"/>
    <s v="High Value"/>
    <s v="Yes"/>
    <s v="No"/>
    <x v="1"/>
    <x v="2"/>
    <s v="APACQ4"/>
    <n v="126500"/>
  </r>
  <r>
    <s v="TXN-101382"/>
    <d v="2024-08-17T00:00:00"/>
    <x v="2"/>
    <s v="SVC-01"/>
    <n v="131.97999999999999"/>
    <x v="0"/>
    <s v="Credit Card"/>
    <s v="escalated to support"/>
    <x v="0"/>
    <s v="USA"/>
    <s v="A. Kim"/>
    <x v="0"/>
    <s v="Payments"/>
    <n v="2.9000000000000001E-2"/>
    <s v="Enterprise"/>
    <s v="Standard"/>
    <s v="No"/>
    <s v="No"/>
    <x v="0"/>
    <x v="1"/>
    <s v="NAQ3"/>
    <n v="273000"/>
  </r>
  <r>
    <s v="TXN-102021"/>
    <d v="2024-07-30T00:00:00"/>
    <x v="129"/>
    <s v="SVC-03"/>
    <n v="272.60000000000002"/>
    <x v="0"/>
    <s v="ACH"/>
    <s v="escalated to support"/>
    <x v="1"/>
    <s v="Australia"/>
    <s v="A. Kim"/>
    <x v="5"/>
    <s v="Billing"/>
    <n v="5.0000000000000001E-3"/>
    <s v="SMB"/>
    <s v="High Value"/>
    <s v="Yes"/>
    <s v="No"/>
    <x v="1"/>
    <x v="1"/>
    <s v="APACQ3"/>
    <n v="115500"/>
  </r>
  <r>
    <s v="TXN-102002"/>
    <d v="2024-07-26T00:00:00"/>
    <x v="14"/>
    <s v="SVC-01"/>
    <n v="390.18"/>
    <x v="0"/>
    <s v="Debit Card"/>
    <s v="callback requested"/>
    <x v="3"/>
    <s v="Canada"/>
    <s v="A. Kim"/>
    <x v="0"/>
    <s v="Payments"/>
    <n v="2.9000000000000001E-2"/>
    <s v="Startup"/>
    <s v="Standard"/>
    <s v="Yes"/>
    <s v="No"/>
    <x v="0"/>
    <x v="1"/>
    <s v="NAQ3"/>
    <n v="273000"/>
  </r>
  <r>
    <s v="TXN-100140"/>
    <d v="2024-04-12T00:00:00"/>
    <x v="64"/>
    <s v="SVC-03"/>
    <n v="402.2"/>
    <x v="0"/>
    <s v="ACH"/>
    <m/>
    <x v="1"/>
    <s v="United Kingdom"/>
    <s v="J. Reyes"/>
    <x v="5"/>
    <s v="Billing"/>
    <n v="5.0000000000000001E-3"/>
    <s v="SMB"/>
    <s v="High Value"/>
    <s v="Yes"/>
    <s v="No"/>
    <x v="2"/>
    <x v="0"/>
    <s v="EMEAQ2"/>
    <n v="140000"/>
  </r>
  <r>
    <s v="TXN-102233"/>
    <d v="2024-03-14T00:00:00"/>
    <x v="106"/>
    <s v="SVC-01"/>
    <n v="985.36"/>
    <x v="0"/>
    <s v="ACH"/>
    <m/>
    <x v="1"/>
    <s v="USA"/>
    <s v="J. Reyes"/>
    <x v="0"/>
    <s v="Payments"/>
    <n v="2.9000000000000001E-2"/>
    <s v="SMB"/>
    <s v="High Value"/>
    <s v="Yes"/>
    <s v="No"/>
    <x v="0"/>
    <x v="3"/>
    <s v="NAQ1"/>
    <n v="247000"/>
  </r>
  <r>
    <s v="TXN-102161"/>
    <d v="2024-04-04T00:00:00"/>
    <x v="114"/>
    <s v="SVC-06"/>
    <n v="887.96"/>
    <x v="1"/>
    <s v="Credit Card"/>
    <m/>
    <x v="3"/>
    <s v="Australia"/>
    <s v="A. Kim"/>
    <x v="4"/>
    <s v="Platform"/>
    <n v="0"/>
    <s v="N/A"/>
    <s v="High Value"/>
    <s v="Yes"/>
    <s v="Yes"/>
    <x v="1"/>
    <x v="0"/>
    <s v="APACQ2"/>
    <n v="110000"/>
  </r>
  <r>
    <s v="TXN-101438"/>
    <d v="2024-11-15T00:00:00"/>
    <x v="22"/>
    <s v="SVC-01"/>
    <n v="1066.1500000000001"/>
    <x v="0"/>
    <s v="ACH"/>
    <s v="escalated to support"/>
    <x v="0"/>
    <s v="Australia"/>
    <s v="M. Santos"/>
    <x v="0"/>
    <s v="Payments"/>
    <n v="2.9000000000000001E-2"/>
    <s v="Enterprise"/>
    <s v="High Value"/>
    <s v="Yes"/>
    <s v="No"/>
    <x v="1"/>
    <x v="2"/>
    <s v="APACQ4"/>
    <n v="126500"/>
  </r>
  <r>
    <s v="TXN-100074"/>
    <d v="2024-12-28T00:00:00"/>
    <x v="54"/>
    <s v="SVC-01"/>
    <n v="625.08000000000004"/>
    <x v="0"/>
    <s v="Credit Card"/>
    <m/>
    <x v="1"/>
    <s v="USA"/>
    <s v="J. Reyes"/>
    <x v="0"/>
    <s v="Payments"/>
    <n v="2.9000000000000001E-2"/>
    <s v="SMB"/>
    <s v="High Value"/>
    <s v="Yes"/>
    <s v="No"/>
    <x v="0"/>
    <x v="2"/>
    <s v="NAQ4"/>
    <n v="299000"/>
  </r>
  <r>
    <s v="TXN-101309"/>
    <d v="2024-07-18T00:00:00"/>
    <x v="10"/>
    <s v="SVC-06"/>
    <n v="512.51"/>
    <x v="0"/>
    <s v="Credit Card"/>
    <m/>
    <x v="1"/>
    <s v="USA"/>
    <s v="T. Novak"/>
    <x v="4"/>
    <s v="Platform"/>
    <n v="0"/>
    <s v="SMB"/>
    <s v="High Value"/>
    <s v="Yes"/>
    <s v="No"/>
    <x v="0"/>
    <x v="1"/>
    <s v="NAQ3"/>
    <n v="273000"/>
  </r>
  <r>
    <s v="TXN-101447"/>
    <d v="2024-05-01T00:00:00"/>
    <x v="94"/>
    <s v="SVC-01"/>
    <n v="660.75"/>
    <x v="0"/>
    <s v="ACH"/>
    <m/>
    <x v="1"/>
    <s v="United Kingdom"/>
    <s v="L. Chen"/>
    <x v="0"/>
    <s v="Payments"/>
    <n v="2.9000000000000001E-2"/>
    <s v="SMB"/>
    <s v="High Value"/>
    <s v="Yes"/>
    <s v="No"/>
    <x v="2"/>
    <x v="0"/>
    <s v="EMEAQ2"/>
    <n v="140000"/>
  </r>
  <r>
    <s v="TXN-101651"/>
    <d v="2024-03-09T00:00:00"/>
    <x v="95"/>
    <s v="SVC-01"/>
    <n v="491.05"/>
    <x v="0"/>
    <s v="Credit Card"/>
    <m/>
    <x v="1"/>
    <s v="USA"/>
    <s v="R. Patel"/>
    <x v="0"/>
    <s v="Payments"/>
    <n v="2.9000000000000001E-2"/>
    <s v="SMB"/>
    <s v="Standard"/>
    <s v="Yes"/>
    <s v="No"/>
    <x v="0"/>
    <x v="3"/>
    <s v="NAQ1"/>
    <n v="247000"/>
  </r>
  <r>
    <s v="TXN-100444"/>
    <d v="2024-10-14T00:00:00"/>
    <x v="74"/>
    <s v="SVC-01"/>
    <n v="579.04"/>
    <x v="0"/>
    <s v="Wire Transfer"/>
    <s v="escalated to support"/>
    <x v="0"/>
    <s v="USA"/>
    <s v="A. Kim"/>
    <x v="0"/>
    <s v="Payments"/>
    <n v="2.9000000000000001E-2"/>
    <s v="Enterprise"/>
    <s v="High Value"/>
    <s v="Yes"/>
    <s v="No"/>
    <x v="0"/>
    <x v="2"/>
    <s v="NAQ4"/>
    <n v="299000"/>
  </r>
  <r>
    <s v="TXN-101894"/>
    <d v="2024-02-10T00:00:00"/>
    <x v="40"/>
    <s v="SVC-01"/>
    <n v="292.66000000000003"/>
    <x v="0"/>
    <s v="Debit Card"/>
    <s v="callback requested"/>
    <x v="1"/>
    <s v="Philippines"/>
    <s v="M. Santos"/>
    <x v="0"/>
    <s v="Payments"/>
    <n v="2.9000000000000001E-2"/>
    <s v="SMB"/>
    <s v="Standard"/>
    <s v="Yes"/>
    <s v="No"/>
    <x v="1"/>
    <x v="3"/>
    <s v="APACQ1"/>
    <n v="104500"/>
  </r>
  <r>
    <s v="TXN-101108"/>
    <d v="2024-03-12T00:00:00"/>
    <x v="76"/>
    <s v="SVC-03"/>
    <n v="666.02"/>
    <x v="0"/>
    <s v="Credit Card"/>
    <s v="callback requested"/>
    <x v="3"/>
    <s v="United Kingdom"/>
    <s v="R. Patel"/>
    <x v="5"/>
    <s v="Billing"/>
    <n v="5.0000000000000001E-3"/>
    <s v="Startup"/>
    <s v="High Value"/>
    <s v="Yes"/>
    <s v="No"/>
    <x v="2"/>
    <x v="3"/>
    <s v="EMEAQ1"/>
    <n v="133000"/>
  </r>
  <r>
    <s v="TXN-101757"/>
    <d v="2024-07-22T00:00:00"/>
    <x v="43"/>
    <s v="SVC-02"/>
    <n v="-85.63"/>
    <x v="2"/>
    <s v="Unknown"/>
    <s v="VIP account"/>
    <x v="1"/>
    <s v="USA"/>
    <s v="M. Santos"/>
    <x v="6"/>
    <s v="HR &amp; Payroll"/>
    <n v="0"/>
    <s v="N/A"/>
    <s v="Refund"/>
    <s v="No"/>
    <s v="Yes"/>
    <x v="0"/>
    <x v="1"/>
    <s v="NAQ3"/>
    <n v="273000"/>
  </r>
  <r>
    <s v="TXN-101316"/>
    <d v="2024-09-15T00:00:00"/>
    <x v="68"/>
    <s v="SVC-08"/>
    <n v="807.3"/>
    <x v="1"/>
    <s v="Credit Card"/>
    <m/>
    <x v="1"/>
    <s v="USA"/>
    <s v="R. Patel"/>
    <x v="1"/>
    <s v="Risk"/>
    <n v="2.5000000000000001E-3"/>
    <s v="N/A"/>
    <s v="High Value"/>
    <s v="Yes"/>
    <s v="Yes"/>
    <x v="0"/>
    <x v="1"/>
    <s v="NAQ3"/>
    <n v="273000"/>
  </r>
  <r>
    <s v="TXN-102445"/>
    <d v="2024-07-28T00:00:00"/>
    <x v="82"/>
    <s v="SVC-03"/>
    <n v="304.23"/>
    <x v="0"/>
    <s v="Credit Card"/>
    <m/>
    <x v="1"/>
    <s v="USA"/>
    <s v="T. Novak"/>
    <x v="5"/>
    <s v="Billing"/>
    <n v="5.0000000000000001E-3"/>
    <s v="SMB"/>
    <s v="High Value"/>
    <s v="Yes"/>
    <s v="No"/>
    <x v="0"/>
    <x v="1"/>
    <s v="NAQ3"/>
    <n v="273000"/>
  </r>
  <r>
    <s v="TXN-101700"/>
    <d v="2024-03-04T00:00:00"/>
    <x v="128"/>
    <s v="SVC-03"/>
    <n v="150.33000000000001"/>
    <x v="0"/>
    <s v="ACH"/>
    <s v="VIP account"/>
    <x v="0"/>
    <s v="Philippines"/>
    <s v="L. Chen"/>
    <x v="5"/>
    <s v="Billing"/>
    <n v="5.0000000000000001E-3"/>
    <s v="Enterprise"/>
    <s v="Standard"/>
    <s v="Yes"/>
    <s v="No"/>
    <x v="1"/>
    <x v="3"/>
    <s v="APACQ1"/>
    <n v="104500"/>
  </r>
  <r>
    <s v="TXN-100974"/>
    <d v="2024-08-20T00:00:00"/>
    <x v="122"/>
    <s v="SVC-03"/>
    <n v="1107.9000000000001"/>
    <x v="1"/>
    <s v="ACH"/>
    <s v="VIP account"/>
    <x v="3"/>
    <s v="United Kingdom"/>
    <s v="A. Kim"/>
    <x v="5"/>
    <s v="Billing"/>
    <n v="5.0000000000000001E-3"/>
    <s v="N/A"/>
    <s v="High Value"/>
    <s v="Yes"/>
    <s v="No"/>
    <x v="2"/>
    <x v="1"/>
    <s v="EMEAQ3"/>
    <n v="147000"/>
  </r>
  <r>
    <s v="TXN-101579"/>
    <d v="2024-06-16T00:00:00"/>
    <x v="36"/>
    <s v="SVC-02"/>
    <n v="1143.32"/>
    <x v="0"/>
    <s v="Credit Card"/>
    <m/>
    <x v="1"/>
    <s v="USA"/>
    <s v="M. Santos"/>
    <x v="6"/>
    <s v="HR &amp; Payroll"/>
    <n v="0"/>
    <s v="SMB"/>
    <s v="High Value"/>
    <s v="Yes"/>
    <s v="No"/>
    <x v="0"/>
    <x v="0"/>
    <s v="NAQ2"/>
    <n v="260000"/>
  </r>
  <r>
    <s v="TXN-100802"/>
    <d v="2024-11-03T00:00:00"/>
    <x v="84"/>
    <s v="SVC-08"/>
    <n v="243.14"/>
    <x v="0"/>
    <s v="Credit Card"/>
    <s v="VIP account"/>
    <x v="3"/>
    <s v="Singapore"/>
    <s v="T. Novak"/>
    <x v="1"/>
    <s v="Risk"/>
    <n v="2.5000000000000001E-3"/>
    <s v="Startup"/>
    <s v="Standard"/>
    <s v="Yes"/>
    <s v="No"/>
    <x v="1"/>
    <x v="2"/>
    <s v="APACQ4"/>
    <n v="126500"/>
  </r>
  <r>
    <s v="TXN-102125"/>
    <d v="2024-11-09T00:00:00"/>
    <x v="10"/>
    <s v="SVC-01"/>
    <n v="794.43"/>
    <x v="0"/>
    <s v="Unknown"/>
    <m/>
    <x v="1"/>
    <s v="USA"/>
    <s v="T. Novak"/>
    <x v="0"/>
    <s v="Payments"/>
    <n v="2.9000000000000001E-2"/>
    <s v="SMB"/>
    <s v="High Value"/>
    <s v="Yes"/>
    <s v="No"/>
    <x v="0"/>
    <x v="2"/>
    <s v="NAQ4"/>
    <n v="299000"/>
  </r>
  <r>
    <s v="TXN-100680"/>
    <d v="2024-11-16T00:00:00"/>
    <x v="68"/>
    <s v="SVC-08"/>
    <n v="418.59"/>
    <x v="0"/>
    <s v="Credit Card"/>
    <m/>
    <x v="1"/>
    <s v="USA"/>
    <s v="R. Patel"/>
    <x v="1"/>
    <s v="Risk"/>
    <n v="2.5000000000000001E-3"/>
    <s v="SMB"/>
    <s v="High Value"/>
    <s v="Yes"/>
    <s v="No"/>
    <x v="0"/>
    <x v="2"/>
    <s v="NAQ4"/>
    <n v="299000"/>
  </r>
  <r>
    <s v="TXN-102027"/>
    <d v="2024-02-27T00:00:00"/>
    <x v="55"/>
    <s v="SVC-03"/>
    <n v="520.11"/>
    <x v="0"/>
    <s v="Debit Card"/>
    <s v="escalated to support"/>
    <x v="3"/>
    <s v="USA"/>
    <s v="J. Reyes"/>
    <x v="5"/>
    <s v="Billing"/>
    <n v="5.0000000000000001E-3"/>
    <s v="Startup"/>
    <s v="High Value"/>
    <s v="Yes"/>
    <s v="No"/>
    <x v="0"/>
    <x v="3"/>
    <s v="NAQ1"/>
    <n v="247000"/>
  </r>
  <r>
    <s v="TXN-102422"/>
    <d v="2024-04-21T00:00:00"/>
    <x v="96"/>
    <s v="SVC-01"/>
    <n v="38.69"/>
    <x v="0"/>
    <s v="Credit Card"/>
    <m/>
    <x v="1"/>
    <s v="Philippines"/>
    <s v="A. Kim"/>
    <x v="0"/>
    <s v="Payments"/>
    <n v="2.9000000000000001E-2"/>
    <s v="SMB"/>
    <s v="Standard"/>
    <s v="No"/>
    <s v="No"/>
    <x v="1"/>
    <x v="0"/>
    <s v="APACQ2"/>
    <n v="110000"/>
  </r>
  <r>
    <s v="TXN-100002"/>
    <d v="2024-05-07T00:00:00"/>
    <x v="67"/>
    <s v="SVC-01"/>
    <n v="354.5"/>
    <x v="0"/>
    <s v="Credit Card"/>
    <s v="VIP account"/>
    <x v="3"/>
    <s v="Australia"/>
    <s v="Unassigned"/>
    <x v="0"/>
    <s v="Payments"/>
    <n v="2.9000000000000001E-2"/>
    <s v="Startup"/>
    <s v="Standard"/>
    <s v="Yes"/>
    <s v="No"/>
    <x v="1"/>
    <x v="0"/>
    <s v="APACQ2"/>
    <n v="110000"/>
  </r>
  <r>
    <s v="TXN-101338"/>
    <d v="2024-12-08T00:00:00"/>
    <x v="77"/>
    <s v="SVC-08"/>
    <n v="368.31"/>
    <x v="0"/>
    <s v="Wire Transfer"/>
    <s v="VIP account"/>
    <x v="1"/>
    <s v="Australia"/>
    <s v="L. Chen"/>
    <x v="1"/>
    <s v="Risk"/>
    <n v="2.5000000000000001E-3"/>
    <s v="SMB"/>
    <s v="High Value"/>
    <s v="Yes"/>
    <s v="Yes"/>
    <x v="1"/>
    <x v="2"/>
    <s v="APACQ4"/>
    <n v="126500"/>
  </r>
  <r>
    <s v="TXN-102129"/>
    <d v="2024-07-21T00:00:00"/>
    <x v="76"/>
    <s v="SVC-01"/>
    <n v="818.41"/>
    <x v="0"/>
    <s v="Credit Card"/>
    <m/>
    <x v="3"/>
    <s v="United Kingdom"/>
    <s v="R. Patel"/>
    <x v="0"/>
    <s v="Payments"/>
    <n v="2.9000000000000001E-2"/>
    <s v="Startup"/>
    <s v="High Value"/>
    <s v="Yes"/>
    <s v="No"/>
    <x v="2"/>
    <x v="1"/>
    <s v="EMEAQ3"/>
    <n v="147000"/>
  </r>
  <r>
    <s v="TXN-100767"/>
    <d v="2024-03-19T00:00:00"/>
    <x v="12"/>
    <s v="SVC-01"/>
    <n v="256.33"/>
    <x v="0"/>
    <s v="Credit Card"/>
    <m/>
    <x v="1"/>
    <s v="Canada"/>
    <s v="R. Patel"/>
    <x v="0"/>
    <s v="Payments"/>
    <n v="2.9000000000000001E-2"/>
    <s v="SMB"/>
    <s v="Standard"/>
    <s v="No"/>
    <s v="No"/>
    <x v="0"/>
    <x v="3"/>
    <s v="NAQ1"/>
    <n v="247000"/>
  </r>
  <r>
    <s v="TXN-102476"/>
    <d v="2024-03-25T00:00:00"/>
    <x v="10"/>
    <s v="SVC-04"/>
    <n v="838.63"/>
    <x v="0"/>
    <s v="Credit Card"/>
    <m/>
    <x v="1"/>
    <s v="USA"/>
    <s v="T. Novak"/>
    <x v="2"/>
    <s v="Risk"/>
    <n v="1E-3"/>
    <s v="SMB"/>
    <s v="High Value"/>
    <s v="Yes"/>
    <s v="No"/>
    <x v="0"/>
    <x v="3"/>
    <s v="NAQ1"/>
    <n v="247000"/>
  </r>
  <r>
    <s v="TXN-101155"/>
    <d v="2024-02-29T00:00:00"/>
    <x v="87"/>
    <s v="SVC-06"/>
    <n v="355.49"/>
    <x v="0"/>
    <s v="Unknown"/>
    <s v="callback requested"/>
    <x v="1"/>
    <s v="United Kingdom"/>
    <s v="J. Reyes"/>
    <x v="4"/>
    <s v="Platform"/>
    <n v="0"/>
    <s v="SMB"/>
    <s v="High Value"/>
    <s v="Yes"/>
    <s v="Yes"/>
    <x v="2"/>
    <x v="3"/>
    <s v="EMEAQ1"/>
    <n v="133000"/>
  </r>
  <r>
    <s v="TXN-101508"/>
    <d v="2024-06-15T00:00:00"/>
    <x v="109"/>
    <s v="SVC-03"/>
    <n v="737.6"/>
    <x v="0"/>
    <s v="Credit Card"/>
    <s v="callback requested"/>
    <x v="0"/>
    <s v="USA"/>
    <s v="L. Chen"/>
    <x v="5"/>
    <s v="Billing"/>
    <n v="5.0000000000000001E-3"/>
    <s v="Enterprise"/>
    <s v="High Value"/>
    <s v="Yes"/>
    <s v="Yes"/>
    <x v="0"/>
    <x v="0"/>
    <s v="NAQ2"/>
    <n v="260000"/>
  </r>
  <r>
    <s v="TXN-100757"/>
    <d v="2024-10-02T00:00:00"/>
    <x v="67"/>
    <s v="SVC-01"/>
    <n v="249.01"/>
    <x v="0"/>
    <s v="Wire Transfer"/>
    <m/>
    <x v="3"/>
    <s v="Australia"/>
    <s v="Unassigned"/>
    <x v="0"/>
    <s v="Payments"/>
    <n v="2.9000000000000001E-2"/>
    <s v="Startup"/>
    <s v="Standard"/>
    <s v="No"/>
    <s v="No"/>
    <x v="1"/>
    <x v="2"/>
    <s v="APACQ4"/>
    <n v="126500"/>
  </r>
  <r>
    <s v="TXN-101844"/>
    <d v="2024-01-13T00:00:00"/>
    <x v="120"/>
    <s v="SVC-04"/>
    <n v="196.16"/>
    <x v="0"/>
    <s v="ACH"/>
    <s v="VIP account"/>
    <x v="3"/>
    <s v="Australia"/>
    <s v="M. Santos"/>
    <x v="2"/>
    <s v="Risk"/>
    <n v="1E-3"/>
    <s v="Startup"/>
    <s v="Standard"/>
    <s v="Yes"/>
    <s v="No"/>
    <x v="1"/>
    <x v="3"/>
    <s v="APACQ1"/>
    <n v="104500"/>
  </r>
  <r>
    <s v="TXN-102554"/>
    <d v="2024-12-16T00:00:00"/>
    <x v="48"/>
    <s v="SVC-08"/>
    <n v="166.3"/>
    <x v="0"/>
    <s v="ACH"/>
    <s v="callback requested"/>
    <x v="1"/>
    <s v="Germany"/>
    <s v="J. Reyes"/>
    <x v="1"/>
    <s v="Risk"/>
    <n v="2.5000000000000001E-3"/>
    <s v="SMB"/>
    <s v="Standard"/>
    <s v="Yes"/>
    <s v="No"/>
    <x v="2"/>
    <x v="2"/>
    <s v="EMEAQ4"/>
    <n v="161000"/>
  </r>
  <r>
    <s v="TXN-102159"/>
    <d v="2024-05-20T00:00:00"/>
    <x v="10"/>
    <s v="SVC-02"/>
    <n v="294.85000000000002"/>
    <x v="0"/>
    <s v="Credit Card"/>
    <s v="callback requested"/>
    <x v="1"/>
    <s v="USA"/>
    <s v="T. Novak"/>
    <x v="6"/>
    <s v="HR &amp; Payroll"/>
    <n v="0"/>
    <s v="SMB"/>
    <s v="High Value"/>
    <s v="Yes"/>
    <s v="Yes"/>
    <x v="0"/>
    <x v="0"/>
    <s v="NAQ2"/>
    <n v="260000"/>
  </r>
  <r>
    <s v="TXN-100385"/>
    <d v="2024-10-28T00:00:00"/>
    <x v="63"/>
    <s v="SVC-07"/>
    <n v="939.62"/>
    <x v="0"/>
    <s v="Credit Card"/>
    <s v="VIP account"/>
    <x v="1"/>
    <s v="Philippines"/>
    <s v="T. Novak"/>
    <x v="7"/>
    <s v="Support"/>
    <n v="0"/>
    <s v="SMB"/>
    <s v="High Value"/>
    <s v="Yes"/>
    <s v="No"/>
    <x v="1"/>
    <x v="2"/>
    <s v="APACQ4"/>
    <n v="126500"/>
  </r>
  <r>
    <s v="TXN-100233"/>
    <d v="2024-08-07T00:00:00"/>
    <x v="115"/>
    <s v="SVC-02"/>
    <n v="278.43"/>
    <x v="0"/>
    <s v="ACH"/>
    <m/>
    <x v="3"/>
    <s v="USA"/>
    <s v="L. Chen"/>
    <x v="6"/>
    <s v="HR &amp; Payroll"/>
    <n v="0"/>
    <s v="Startup"/>
    <s v="High Value"/>
    <s v="Yes"/>
    <s v="No"/>
    <x v="0"/>
    <x v="1"/>
    <s v="NAQ3"/>
    <n v="273000"/>
  </r>
  <r>
    <s v="TXN-101517"/>
    <d v="2024-08-28T00:00:00"/>
    <x v="76"/>
    <s v="SVC-01"/>
    <n v="270.76"/>
    <x v="0"/>
    <s v="Debit Card"/>
    <s v="callback requested"/>
    <x v="3"/>
    <s v="United Kingdom"/>
    <s v="R. Patel"/>
    <x v="0"/>
    <s v="Payments"/>
    <n v="2.9000000000000001E-2"/>
    <s v="Startup"/>
    <s v="Standard"/>
    <s v="No"/>
    <s v="No"/>
    <x v="2"/>
    <x v="1"/>
    <s v="EMEAQ3"/>
    <n v="147000"/>
  </r>
  <r>
    <s v="TXN-102325"/>
    <d v="2024-02-09T00:00:00"/>
    <x v="49"/>
    <s v="SVC-03"/>
    <n v="12.65"/>
    <x v="0"/>
    <s v="ACH"/>
    <s v="VIP account"/>
    <x v="1"/>
    <s v="USA"/>
    <s v="A. Kim"/>
    <x v="5"/>
    <s v="Billing"/>
    <n v="5.0000000000000001E-3"/>
    <s v="SMB"/>
    <s v="Standard"/>
    <s v="No"/>
    <s v="No"/>
    <x v="0"/>
    <x v="3"/>
    <s v="NAQ1"/>
    <n v="247000"/>
  </r>
  <r>
    <s v="TXN-102500"/>
    <d v="2024-02-06T00:00:00"/>
    <x v="80"/>
    <s v="SVC-03"/>
    <n v="253.81"/>
    <x v="0"/>
    <s v="Debit Card"/>
    <m/>
    <x v="1"/>
    <s v="Philippines"/>
    <s v="R. Patel"/>
    <x v="5"/>
    <s v="Billing"/>
    <n v="5.0000000000000001E-3"/>
    <s v="SMB"/>
    <s v="High Value"/>
    <s v="Yes"/>
    <s v="No"/>
    <x v="1"/>
    <x v="3"/>
    <s v="APACQ1"/>
    <n v="104500"/>
  </r>
  <r>
    <s v="TXN-102467"/>
    <d v="2024-12-01T00:00:00"/>
    <x v="99"/>
    <s v="SVC-01"/>
    <n v="106.44"/>
    <x v="0"/>
    <s v="Credit Card"/>
    <s v="escalated to support"/>
    <x v="1"/>
    <s v="Canada"/>
    <s v="R. Patel"/>
    <x v="0"/>
    <s v="Payments"/>
    <n v="2.9000000000000001E-2"/>
    <s v="SMB"/>
    <s v="Standard"/>
    <s v="No"/>
    <s v="No"/>
    <x v="0"/>
    <x v="2"/>
    <s v="NAQ4"/>
    <n v="299000"/>
  </r>
  <r>
    <s v="TXN-100759"/>
    <d v="2024-09-15T00:00:00"/>
    <x v="67"/>
    <s v="SVC-05"/>
    <n v="434.11"/>
    <x v="0"/>
    <s v="Credit Card"/>
    <s v="escalated to support"/>
    <x v="3"/>
    <s v="Australia"/>
    <s v="Unassigned"/>
    <x v="3"/>
    <s v="Analytics"/>
    <n v="0"/>
    <s v="Startup"/>
    <s v="High Value"/>
    <s v="Yes"/>
    <s v="Yes"/>
    <x v="1"/>
    <x v="1"/>
    <s v="APACQ3"/>
    <n v="115500"/>
  </r>
  <r>
    <s v="TXN-101152"/>
    <d v="2024-01-17T00:00:00"/>
    <x v="39"/>
    <s v="SVC-07"/>
    <n v="502.87"/>
    <x v="0"/>
    <s v="Debit Card"/>
    <s v="escalated to support"/>
    <x v="1"/>
    <s v="United Kingdom"/>
    <s v="A. Kim"/>
    <x v="7"/>
    <s v="Support"/>
    <n v="0"/>
    <s v="SMB"/>
    <s v="High Value"/>
    <s v="Yes"/>
    <s v="Yes"/>
    <x v="2"/>
    <x v="3"/>
    <s v="EMEAQ1"/>
    <n v="133000"/>
  </r>
  <r>
    <s v="TXN-101564"/>
    <d v="2024-03-26T00:00:00"/>
    <x v="124"/>
    <s v="SVC-08"/>
    <n v="369.03"/>
    <x v="0"/>
    <s v="ACH"/>
    <s v="escalated to support"/>
    <x v="1"/>
    <s v="United Kingdom"/>
    <s v="A. Kim"/>
    <x v="1"/>
    <s v="Risk"/>
    <n v="2.5000000000000001E-3"/>
    <s v="SMB"/>
    <s v="High Value"/>
    <s v="Yes"/>
    <s v="No"/>
    <x v="2"/>
    <x v="3"/>
    <s v="EMEAQ1"/>
    <n v="133000"/>
  </r>
  <r>
    <s v="TXN-102312"/>
    <d v="2024-07-08T00:00:00"/>
    <x v="68"/>
    <s v="SVC-06"/>
    <n v="477.12"/>
    <x v="0"/>
    <s v="Credit Card"/>
    <m/>
    <x v="1"/>
    <s v="USA"/>
    <s v="R. Patel"/>
    <x v="4"/>
    <s v="Platform"/>
    <n v="0"/>
    <s v="SMB"/>
    <s v="High Value"/>
    <s v="Yes"/>
    <s v="Yes"/>
    <x v="0"/>
    <x v="1"/>
    <s v="NAQ3"/>
    <n v="273000"/>
  </r>
  <r>
    <s v="TXN-101919"/>
    <d v="2024-02-12T00:00:00"/>
    <x v="9"/>
    <s v="SVC-01"/>
    <n v="1033.9000000000001"/>
    <x v="3"/>
    <s v="Credit Card"/>
    <m/>
    <x v="3"/>
    <s v="Philippines"/>
    <s v="T. Novak"/>
    <x v="0"/>
    <s v="Payments"/>
    <n v="2.9000000000000001E-2"/>
    <s v="N/A"/>
    <s v="High Value"/>
    <s v="Yes"/>
    <s v="No"/>
    <x v="1"/>
    <x v="3"/>
    <s v="APACQ1"/>
    <n v="104500"/>
  </r>
  <r>
    <s v="TXN-100891"/>
    <d v="2024-12-04T00:00:00"/>
    <x v="64"/>
    <s v="SVC-03"/>
    <n v="527.09"/>
    <x v="0"/>
    <s v="Unknown"/>
    <m/>
    <x v="1"/>
    <s v="United Kingdom"/>
    <s v="J. Reyes"/>
    <x v="5"/>
    <s v="Billing"/>
    <n v="5.0000000000000001E-3"/>
    <s v="SMB"/>
    <s v="High Value"/>
    <s v="Yes"/>
    <s v="No"/>
    <x v="2"/>
    <x v="2"/>
    <s v="EMEAQ4"/>
    <n v="161000"/>
  </r>
  <r>
    <s v="TXN-101708"/>
    <d v="2024-07-22T00:00:00"/>
    <x v="12"/>
    <s v="SVC-01"/>
    <n v="446.1"/>
    <x v="0"/>
    <s v="ACH"/>
    <m/>
    <x v="1"/>
    <s v="Canada"/>
    <s v="R. Patel"/>
    <x v="0"/>
    <s v="Payments"/>
    <n v="2.9000000000000001E-2"/>
    <s v="SMB"/>
    <s v="Standard"/>
    <s v="Yes"/>
    <s v="No"/>
    <x v="0"/>
    <x v="1"/>
    <s v="NAQ3"/>
    <n v="273000"/>
  </r>
  <r>
    <s v="TXN-102429"/>
    <d v="2024-05-07T00:00:00"/>
    <x v="123"/>
    <s v="SVC-08"/>
    <n v="566.54"/>
    <x v="0"/>
    <s v="Wire Transfer"/>
    <s v="callback requested"/>
    <x v="3"/>
    <s v="Australia"/>
    <s v="L. Chen"/>
    <x v="1"/>
    <s v="Risk"/>
    <n v="2.5000000000000001E-3"/>
    <s v="Startup"/>
    <s v="High Value"/>
    <s v="Yes"/>
    <s v="Yes"/>
    <x v="1"/>
    <x v="0"/>
    <s v="APACQ2"/>
    <n v="110000"/>
  </r>
  <r>
    <s v="TXN-102377"/>
    <d v="2024-04-24T00:00:00"/>
    <x v="114"/>
    <s v="SVC-05"/>
    <n v="286.74"/>
    <x v="0"/>
    <s v="Debit Card"/>
    <m/>
    <x v="3"/>
    <s v="Australia"/>
    <s v="A. Kim"/>
    <x v="3"/>
    <s v="Analytics"/>
    <n v="0"/>
    <s v="Startup"/>
    <s v="High Value"/>
    <s v="Yes"/>
    <s v="No"/>
    <x v="1"/>
    <x v="0"/>
    <s v="APACQ2"/>
    <n v="110000"/>
  </r>
  <r>
    <s v="TXN-101982"/>
    <d v="2024-04-01T00:00:00"/>
    <x v="112"/>
    <s v="SVC-02"/>
    <n v="851.12"/>
    <x v="3"/>
    <s v="ACH"/>
    <m/>
    <x v="1"/>
    <s v="USA"/>
    <s v="A. Kim"/>
    <x v="6"/>
    <s v="HR &amp; Payroll"/>
    <n v="0"/>
    <s v="N/A"/>
    <s v="High Value"/>
    <s v="Yes"/>
    <s v="No"/>
    <x v="0"/>
    <x v="0"/>
    <s v="NAQ2"/>
    <n v="260000"/>
  </r>
  <r>
    <s v="TXN-100688"/>
    <d v="2024-04-21T00:00:00"/>
    <x v="84"/>
    <s v="SVC-08"/>
    <n v="239.41"/>
    <x v="0"/>
    <s v="Unknown"/>
    <s v="callback requested"/>
    <x v="3"/>
    <s v="Singapore"/>
    <s v="T. Novak"/>
    <x v="1"/>
    <s v="Risk"/>
    <n v="2.5000000000000001E-3"/>
    <s v="Startup"/>
    <s v="Standard"/>
    <s v="Yes"/>
    <s v="No"/>
    <x v="1"/>
    <x v="0"/>
    <s v="APACQ2"/>
    <n v="110000"/>
  </r>
  <r>
    <s v="TXN-102588"/>
    <d v="2024-07-11T00:00:00"/>
    <x v="43"/>
    <s v="SVC-07"/>
    <n v="531.59"/>
    <x v="3"/>
    <s v="Credit Card"/>
    <s v="callback requested"/>
    <x v="1"/>
    <s v="USA"/>
    <s v="M. Santos"/>
    <x v="7"/>
    <s v="Support"/>
    <n v="0"/>
    <s v="N/A"/>
    <s v="High Value"/>
    <s v="Yes"/>
    <s v="No"/>
    <x v="0"/>
    <x v="1"/>
    <s v="NAQ3"/>
    <n v="273000"/>
  </r>
  <r>
    <s v="TXN-101449"/>
    <d v="2024-04-12T00:00:00"/>
    <x v="129"/>
    <s v="SVC-05"/>
    <n v="250.33"/>
    <x v="1"/>
    <s v="ACH"/>
    <s v="escalated to support"/>
    <x v="1"/>
    <s v="Australia"/>
    <s v="A. Kim"/>
    <x v="3"/>
    <s v="Analytics"/>
    <n v="0"/>
    <s v="N/A"/>
    <s v="High Value"/>
    <s v="Yes"/>
    <s v="No"/>
    <x v="1"/>
    <x v="0"/>
    <s v="APACQ2"/>
    <n v="110000"/>
  </r>
  <r>
    <s v="TXN-100424"/>
    <d v="2024-03-30T00:00:00"/>
    <x v="51"/>
    <s v="SVC-07"/>
    <n v="461.84"/>
    <x v="0"/>
    <s v="Credit Card"/>
    <m/>
    <x v="0"/>
    <s v="United Kingdom"/>
    <s v="R. Patel"/>
    <x v="7"/>
    <s v="Support"/>
    <n v="0"/>
    <s v="Enterprise"/>
    <s v="High Value"/>
    <s v="Yes"/>
    <s v="No"/>
    <x v="2"/>
    <x v="3"/>
    <s v="EMEAQ1"/>
    <n v="133000"/>
  </r>
  <r>
    <s v="TXN-101686"/>
    <d v="2024-01-28T00:00:00"/>
    <x v="15"/>
    <s v="SVC-04"/>
    <n v="32.44"/>
    <x v="0"/>
    <s v="Credit Card"/>
    <s v="VIP account"/>
    <x v="0"/>
    <s v="USA"/>
    <s v="L. Chen"/>
    <x v="2"/>
    <s v="Risk"/>
    <n v="1E-3"/>
    <s v="Enterprise"/>
    <s v="Standard"/>
    <s v="Yes"/>
    <s v="Yes"/>
    <x v="0"/>
    <x v="3"/>
    <s v="NAQ1"/>
    <n v="247000"/>
  </r>
  <r>
    <s v="TXN-102251"/>
    <d v="2024-10-24T00:00:00"/>
    <x v="92"/>
    <s v="SVC-08"/>
    <n v="181.84"/>
    <x v="0"/>
    <s v="Credit Card"/>
    <s v="callback requested"/>
    <x v="1"/>
    <s v="Canada"/>
    <s v="R. Patel"/>
    <x v="1"/>
    <s v="Risk"/>
    <n v="2.5000000000000001E-3"/>
    <s v="SMB"/>
    <s v="Standard"/>
    <s v="Yes"/>
    <s v="No"/>
    <x v="0"/>
    <x v="2"/>
    <s v="NAQ4"/>
    <n v="299000"/>
  </r>
  <r>
    <s v="TXN-102117"/>
    <d v="2024-10-20T00:00:00"/>
    <x v="15"/>
    <s v="SVC-01"/>
    <n v="204.24"/>
    <x v="0"/>
    <s v="Wire Transfer"/>
    <m/>
    <x v="0"/>
    <s v="USA"/>
    <s v="L. Chen"/>
    <x v="0"/>
    <s v="Payments"/>
    <n v="2.9000000000000001E-2"/>
    <s v="Enterprise"/>
    <s v="Standard"/>
    <s v="No"/>
    <s v="No"/>
    <x v="0"/>
    <x v="2"/>
    <s v="NAQ4"/>
    <n v="299000"/>
  </r>
  <r>
    <s v="TXN-100831"/>
    <d v="2024-04-26T00:00:00"/>
    <x v="97"/>
    <s v="SVC-07"/>
    <n v="205.27"/>
    <x v="0"/>
    <s v="Credit Card"/>
    <s v="VIP account"/>
    <x v="0"/>
    <s v="United Kingdom"/>
    <s v="L. Chen"/>
    <x v="7"/>
    <s v="Support"/>
    <n v="0"/>
    <s v="Enterprise"/>
    <s v="Standard"/>
    <s v="Yes"/>
    <s v="Yes"/>
    <x v="2"/>
    <x v="0"/>
    <s v="EMEAQ2"/>
    <n v="140000"/>
  </r>
  <r>
    <s v="TXN-101968"/>
    <d v="2024-06-27T00:00:00"/>
    <x v="99"/>
    <s v="SVC-01"/>
    <n v="380.58"/>
    <x v="0"/>
    <s v="ACH"/>
    <m/>
    <x v="1"/>
    <s v="Canada"/>
    <s v="R. Patel"/>
    <x v="0"/>
    <s v="Payments"/>
    <n v="2.9000000000000001E-2"/>
    <s v="SMB"/>
    <s v="Standard"/>
    <s v="Yes"/>
    <s v="No"/>
    <x v="0"/>
    <x v="0"/>
    <s v="NAQ2"/>
    <n v="260000"/>
  </r>
  <r>
    <s v="TXN-101107"/>
    <d v="2024-12-27T00:00:00"/>
    <x v="14"/>
    <s v="SVC-01"/>
    <n v="246.4"/>
    <x v="0"/>
    <s v="ACH"/>
    <m/>
    <x v="3"/>
    <s v="Canada"/>
    <s v="A. Kim"/>
    <x v="0"/>
    <s v="Payments"/>
    <n v="2.9000000000000001E-2"/>
    <s v="Startup"/>
    <s v="Standard"/>
    <s v="No"/>
    <s v="No"/>
    <x v="0"/>
    <x v="2"/>
    <s v="NAQ4"/>
    <n v="299000"/>
  </r>
  <r>
    <s v="TXN-101416"/>
    <d v="2024-03-19T00:00:00"/>
    <x v="129"/>
    <s v="SVC-02"/>
    <n v="-230.59"/>
    <x v="2"/>
    <s v="ACH"/>
    <s v="escalated to support"/>
    <x v="1"/>
    <s v="Australia"/>
    <s v="A. Kim"/>
    <x v="6"/>
    <s v="HR &amp; Payroll"/>
    <n v="0"/>
    <s v="N/A"/>
    <s v="Refund"/>
    <s v="No"/>
    <s v="No"/>
    <x v="1"/>
    <x v="3"/>
    <s v="APACQ1"/>
    <n v="104500"/>
  </r>
  <r>
    <s v="TXN-102612"/>
    <d v="2024-10-21T00:00:00"/>
    <x v="137"/>
    <s v="SVC-04"/>
    <n v="411.93"/>
    <x v="0"/>
    <s v="Unknown"/>
    <m/>
    <x v="2"/>
    <m/>
    <m/>
    <x v="2"/>
    <s v="Risk"/>
    <n v="1E-3"/>
    <s v="Customer Not Found"/>
    <s v="High Value"/>
    <s v="Yes"/>
    <s v="Yes"/>
    <x v="1"/>
    <x v="2"/>
    <s v="APACQ4"/>
    <n v="126500"/>
  </r>
  <r>
    <s v="TXN-101044"/>
    <d v="2024-10-01T00:00:00"/>
    <x v="55"/>
    <s v="SVC-04"/>
    <n v="327.43"/>
    <x v="0"/>
    <s v="ACH"/>
    <m/>
    <x v="3"/>
    <s v="USA"/>
    <s v="J. Reyes"/>
    <x v="2"/>
    <s v="Risk"/>
    <n v="1E-3"/>
    <s v="Startup"/>
    <s v="High Value"/>
    <s v="Yes"/>
    <s v="No"/>
    <x v="0"/>
    <x v="2"/>
    <s v="NAQ4"/>
    <n v="299000"/>
  </r>
  <r>
    <s v="TXN-102505"/>
    <d v="2024-09-01T00:00:00"/>
    <x v="24"/>
    <s v="SVC-08"/>
    <n v="197.21"/>
    <x v="0"/>
    <s v="ACH"/>
    <s v="VIP account"/>
    <x v="1"/>
    <s v="USA"/>
    <s v="M. Santos"/>
    <x v="1"/>
    <s v="Risk"/>
    <n v="2.5000000000000001E-3"/>
    <s v="SMB"/>
    <s v="Standard"/>
    <s v="Yes"/>
    <s v="Yes"/>
    <x v="0"/>
    <x v="1"/>
    <s v="NAQ3"/>
    <n v="273000"/>
  </r>
  <r>
    <s v="TXN-100781"/>
    <d v="2024-04-29T00:00:00"/>
    <x v="11"/>
    <s v="SVC-02"/>
    <n v="598.6"/>
    <x v="1"/>
    <s v="Credit Card"/>
    <s v="VIP account"/>
    <x v="0"/>
    <s v="United Kingdom"/>
    <s v="L. Chen"/>
    <x v="6"/>
    <s v="HR &amp; Payroll"/>
    <n v="0"/>
    <s v="N/A"/>
    <s v="High Value"/>
    <s v="Yes"/>
    <s v="No"/>
    <x v="2"/>
    <x v="0"/>
    <s v="EMEAQ2"/>
    <n v="140000"/>
  </r>
  <r>
    <s v="TXN-102601"/>
    <d v="2024-11-29T00:00:00"/>
    <x v="138"/>
    <s v="SVC-07"/>
    <n v="546.91999999999996"/>
    <x v="0"/>
    <s v="Credit Card"/>
    <m/>
    <x v="2"/>
    <m/>
    <m/>
    <x v="7"/>
    <s v="Support"/>
    <n v="0"/>
    <s v="Customer Not Found"/>
    <s v="High Value"/>
    <s v="Yes"/>
    <s v="Yes"/>
    <x v="1"/>
    <x v="2"/>
    <s v="APACQ4"/>
    <n v="126500"/>
  </r>
  <r>
    <s v="TXN-101992"/>
    <d v="2024-02-15T00:00:00"/>
    <x v="48"/>
    <s v="SVC-01"/>
    <n v="294.16000000000003"/>
    <x v="0"/>
    <s v="ACH"/>
    <m/>
    <x v="1"/>
    <s v="Germany"/>
    <s v="J. Reyes"/>
    <x v="0"/>
    <s v="Payments"/>
    <n v="2.9000000000000001E-2"/>
    <s v="SMB"/>
    <s v="Standard"/>
    <s v="Yes"/>
    <s v="No"/>
    <x v="2"/>
    <x v="3"/>
    <s v="EMEAQ1"/>
    <n v="133000"/>
  </r>
  <r>
    <s v="TXN-101793"/>
    <d v="2024-02-05T00:00:00"/>
    <x v="85"/>
    <s v="SVC-01"/>
    <n v="61.84"/>
    <x v="0"/>
    <s v="ACH"/>
    <s v="VIP account"/>
    <x v="0"/>
    <s v="Canada"/>
    <s v="T. Novak"/>
    <x v="0"/>
    <s v="Payments"/>
    <n v="2.9000000000000001E-2"/>
    <s v="Enterprise"/>
    <s v="Standard"/>
    <s v="No"/>
    <s v="No"/>
    <x v="0"/>
    <x v="3"/>
    <s v="NAQ1"/>
    <n v="247000"/>
  </r>
  <r>
    <s v="TXN-100867"/>
    <d v="2024-10-30T00:00:00"/>
    <x v="40"/>
    <s v="SVC-01"/>
    <n v="279.10000000000002"/>
    <x v="0"/>
    <s v="ACH"/>
    <s v="VIP account"/>
    <x v="1"/>
    <s v="Philippines"/>
    <s v="M. Santos"/>
    <x v="0"/>
    <s v="Payments"/>
    <n v="2.9000000000000001E-2"/>
    <s v="SMB"/>
    <s v="Standard"/>
    <s v="No"/>
    <s v="No"/>
    <x v="1"/>
    <x v="2"/>
    <s v="APACQ4"/>
    <n v="126500"/>
  </r>
  <r>
    <s v="TXN-100436"/>
    <d v="2024-04-04T00:00:00"/>
    <x v="123"/>
    <s v="SVC-02"/>
    <n v="256.5"/>
    <x v="3"/>
    <s v="ACH"/>
    <m/>
    <x v="3"/>
    <s v="Australia"/>
    <s v="L. Chen"/>
    <x v="6"/>
    <s v="HR &amp; Payroll"/>
    <n v="0"/>
    <s v="N/A"/>
    <s v="High Value"/>
    <s v="Yes"/>
    <s v="Yes"/>
    <x v="1"/>
    <x v="0"/>
    <s v="APACQ2"/>
    <n v="110000"/>
  </r>
  <r>
    <s v="TXN-102156"/>
    <d v="2024-10-04T00:00:00"/>
    <x v="55"/>
    <s v="SVC-06"/>
    <n v="348.6"/>
    <x v="0"/>
    <s v="ACH"/>
    <s v="callback requested"/>
    <x v="3"/>
    <s v="USA"/>
    <s v="J. Reyes"/>
    <x v="4"/>
    <s v="Platform"/>
    <n v="0"/>
    <s v="Startup"/>
    <s v="High Value"/>
    <s v="Yes"/>
    <s v="No"/>
    <x v="0"/>
    <x v="2"/>
    <s v="NAQ4"/>
    <n v="299000"/>
  </r>
  <r>
    <s v="TXN-101113"/>
    <d v="2024-07-10T00:00:00"/>
    <x v="122"/>
    <s v="SVC-03"/>
    <n v="642.83000000000004"/>
    <x v="0"/>
    <s v="Debit Card"/>
    <m/>
    <x v="3"/>
    <s v="United Kingdom"/>
    <s v="A. Kim"/>
    <x v="5"/>
    <s v="Billing"/>
    <n v="5.0000000000000001E-3"/>
    <s v="Startup"/>
    <s v="High Value"/>
    <s v="Yes"/>
    <s v="No"/>
    <x v="2"/>
    <x v="1"/>
    <s v="EMEAQ3"/>
    <n v="147000"/>
  </r>
  <r>
    <s v="TXN-100519"/>
    <d v="2024-03-09T00:00:00"/>
    <x v="94"/>
    <s v="SVC-01"/>
    <n v="294.79000000000002"/>
    <x v="0"/>
    <s v="Credit Card"/>
    <s v="callback requested"/>
    <x v="1"/>
    <s v="United Kingdom"/>
    <s v="L. Chen"/>
    <x v="0"/>
    <s v="Payments"/>
    <n v="2.9000000000000001E-2"/>
    <s v="SMB"/>
    <s v="Standard"/>
    <s v="Yes"/>
    <s v="No"/>
    <x v="2"/>
    <x v="3"/>
    <s v="EMEAQ1"/>
    <n v="133000"/>
  </r>
  <r>
    <s v="TXN-101979"/>
    <d v="2024-02-29T00:00:00"/>
    <x v="133"/>
    <s v="SVC-01"/>
    <n v="453.9"/>
    <x v="0"/>
    <s v="ACH"/>
    <m/>
    <x v="1"/>
    <s v="Canada"/>
    <s v="R. Patel"/>
    <x v="0"/>
    <s v="Payments"/>
    <n v="2.9000000000000001E-2"/>
    <s v="SMB"/>
    <s v="Standard"/>
    <s v="Yes"/>
    <s v="No"/>
    <x v="0"/>
    <x v="3"/>
    <s v="NAQ1"/>
    <n v="247000"/>
  </r>
  <r>
    <s v="TXN-100550"/>
    <d v="2024-12-14T00:00:00"/>
    <x v="19"/>
    <s v="SVC-01"/>
    <n v="523.97"/>
    <x v="1"/>
    <s v="Debit Card"/>
    <s v="escalated to support"/>
    <x v="0"/>
    <s v="Canada"/>
    <s v="M. Santos"/>
    <x v="0"/>
    <s v="Payments"/>
    <n v="2.9000000000000001E-2"/>
    <s v="N/A"/>
    <s v="High Value"/>
    <s v="Yes"/>
    <s v="No"/>
    <x v="0"/>
    <x v="2"/>
    <s v="NAQ4"/>
    <n v="299000"/>
  </r>
  <r>
    <s v="TXN-101031"/>
    <d v="2024-07-10T00:00:00"/>
    <x v="78"/>
    <s v="SVC-01"/>
    <n v="700.97"/>
    <x v="3"/>
    <s v="ACH"/>
    <s v="escalated to support"/>
    <x v="1"/>
    <s v="USA"/>
    <s v="L. Chen"/>
    <x v="0"/>
    <s v="Payments"/>
    <n v="2.9000000000000001E-2"/>
    <s v="N/A"/>
    <s v="High Value"/>
    <s v="Yes"/>
    <s v="No"/>
    <x v="0"/>
    <x v="1"/>
    <s v="NAQ3"/>
    <n v="273000"/>
  </r>
  <r>
    <s v="TXN-100599"/>
    <d v="2024-07-05T00:00:00"/>
    <x v="10"/>
    <s v="SVC-01"/>
    <n v="452.54"/>
    <x v="0"/>
    <s v="Credit Card"/>
    <s v="callback requested"/>
    <x v="1"/>
    <s v="USA"/>
    <s v="T. Novak"/>
    <x v="0"/>
    <s v="Payments"/>
    <n v="2.9000000000000001E-2"/>
    <s v="SMB"/>
    <s v="Standard"/>
    <s v="Yes"/>
    <s v="No"/>
    <x v="0"/>
    <x v="1"/>
    <s v="NAQ3"/>
    <n v="273000"/>
  </r>
  <r>
    <s v="TXN-102486"/>
    <d v="2024-07-05T00:00:00"/>
    <x v="94"/>
    <s v="SVC-02"/>
    <n v="256.04000000000002"/>
    <x v="0"/>
    <s v="ACH"/>
    <m/>
    <x v="1"/>
    <s v="United Kingdom"/>
    <s v="L. Chen"/>
    <x v="6"/>
    <s v="HR &amp; Payroll"/>
    <n v="0"/>
    <s v="SMB"/>
    <s v="High Value"/>
    <s v="Yes"/>
    <s v="No"/>
    <x v="2"/>
    <x v="1"/>
    <s v="EMEAQ3"/>
    <n v="147000"/>
  </r>
  <r>
    <s v="TXN-100101"/>
    <d v="2024-11-04T00:00:00"/>
    <x v="45"/>
    <s v="SVC-02"/>
    <n v="704.98"/>
    <x v="0"/>
    <s v="Credit Card"/>
    <s v="callback requested"/>
    <x v="0"/>
    <s v="United Kingdom"/>
    <s v="R. Patel"/>
    <x v="6"/>
    <s v="HR &amp; Payroll"/>
    <n v="0"/>
    <s v="Enterprise"/>
    <s v="High Value"/>
    <s v="Yes"/>
    <s v="No"/>
    <x v="2"/>
    <x v="2"/>
    <s v="EMEAQ4"/>
    <n v="161000"/>
  </r>
  <r>
    <s v="TXN-100056"/>
    <d v="2024-10-11T00:00:00"/>
    <x v="31"/>
    <s v="SVC-02"/>
    <n v="707.06"/>
    <x v="0"/>
    <s v="Credit Card"/>
    <s v="callback requested"/>
    <x v="0"/>
    <s v="Philippines"/>
    <s v="M. Santos"/>
    <x v="6"/>
    <s v="HR &amp; Payroll"/>
    <n v="0"/>
    <s v="Enterprise"/>
    <s v="High Value"/>
    <s v="Yes"/>
    <s v="No"/>
    <x v="1"/>
    <x v="2"/>
    <s v="APACQ4"/>
    <n v="126500"/>
  </r>
  <r>
    <s v="TXN-100311"/>
    <d v="2024-12-31T00:00:00"/>
    <x v="57"/>
    <s v="SVC-02"/>
    <n v="94.64"/>
    <x v="0"/>
    <s v="Debit Card"/>
    <s v="escalated to support"/>
    <x v="1"/>
    <s v="USA"/>
    <s v="L. Chen"/>
    <x v="6"/>
    <s v="HR &amp; Payroll"/>
    <n v="0"/>
    <s v="SMB"/>
    <s v="Standard"/>
    <s v="Yes"/>
    <s v="No"/>
    <x v="0"/>
    <x v="2"/>
    <s v="NAQ4"/>
    <n v="299000"/>
  </r>
  <r>
    <s v="TXN-102333"/>
    <d v="2024-02-11T00:00:00"/>
    <x v="91"/>
    <s v="SVC-08"/>
    <n v="325.95"/>
    <x v="0"/>
    <s v="Debit Card"/>
    <m/>
    <x v="1"/>
    <s v="Singapore"/>
    <s v="A. Kim"/>
    <x v="1"/>
    <s v="Risk"/>
    <n v="2.5000000000000001E-3"/>
    <s v="SMB"/>
    <s v="High Value"/>
    <s v="Yes"/>
    <s v="Yes"/>
    <x v="1"/>
    <x v="3"/>
    <s v="APACQ1"/>
    <n v="104500"/>
  </r>
  <r>
    <s v="TXN-101778"/>
    <d v="2024-04-13T00:00:00"/>
    <x v="75"/>
    <s v="SVC-06"/>
    <n v="188.18"/>
    <x v="0"/>
    <s v="Credit Card"/>
    <m/>
    <x v="0"/>
    <s v="Canada"/>
    <s v="R. Patel"/>
    <x v="4"/>
    <s v="Platform"/>
    <n v="0"/>
    <s v="Enterprise"/>
    <s v="Standard"/>
    <s v="Yes"/>
    <s v="Yes"/>
    <x v="0"/>
    <x v="0"/>
    <s v="NAQ2"/>
    <n v="260000"/>
  </r>
  <r>
    <s v="TXN-100232"/>
    <d v="2024-11-11T00:00:00"/>
    <x v="97"/>
    <s v="SVC-07"/>
    <n v="793.39"/>
    <x v="0"/>
    <s v="ACH"/>
    <m/>
    <x v="0"/>
    <s v="United Kingdom"/>
    <s v="L. Chen"/>
    <x v="7"/>
    <s v="Support"/>
    <n v="0"/>
    <s v="Enterprise"/>
    <s v="High Value"/>
    <s v="Yes"/>
    <s v="No"/>
    <x v="2"/>
    <x v="2"/>
    <s v="EMEAQ4"/>
    <n v="161000"/>
  </r>
  <r>
    <s v="TXN-101544"/>
    <d v="2024-03-15T00:00:00"/>
    <x v="36"/>
    <s v="SVC-03"/>
    <n v="337.96"/>
    <x v="0"/>
    <s v="ACH"/>
    <s v="callback requested"/>
    <x v="1"/>
    <s v="USA"/>
    <s v="M. Santos"/>
    <x v="5"/>
    <s v="Billing"/>
    <n v="5.0000000000000001E-3"/>
    <s v="SMB"/>
    <s v="High Value"/>
    <s v="Yes"/>
    <s v="Yes"/>
    <x v="0"/>
    <x v="3"/>
    <s v="NAQ1"/>
    <n v="247000"/>
  </r>
  <r>
    <s v="TXN-102228"/>
    <d v="2024-03-10T00:00:00"/>
    <x v="33"/>
    <s v="SVC-03"/>
    <n v="367.12"/>
    <x v="0"/>
    <s v="Unknown"/>
    <m/>
    <x v="3"/>
    <s v="Canada"/>
    <s v="T. Novak"/>
    <x v="5"/>
    <s v="Billing"/>
    <n v="5.0000000000000001E-3"/>
    <s v="Startup"/>
    <s v="High Value"/>
    <s v="Yes"/>
    <s v="No"/>
    <x v="0"/>
    <x v="3"/>
    <s v="NAQ1"/>
    <n v="247000"/>
  </r>
  <r>
    <s v="TXN-100874"/>
    <d v="2024-06-06T00:00:00"/>
    <x v="74"/>
    <s v="SVC-02"/>
    <n v="527.85"/>
    <x v="0"/>
    <s v="Credit Card"/>
    <m/>
    <x v="0"/>
    <s v="USA"/>
    <s v="A. Kim"/>
    <x v="6"/>
    <s v="HR &amp; Payroll"/>
    <n v="0"/>
    <s v="Enterprise"/>
    <s v="High Value"/>
    <s v="Yes"/>
    <s v="Yes"/>
    <x v="0"/>
    <x v="0"/>
    <s v="NAQ2"/>
    <n v="260000"/>
  </r>
  <r>
    <s v="TXN-101066"/>
    <d v="2024-10-29T00:00:00"/>
    <x v="116"/>
    <s v="SVC-01"/>
    <n v="605.34"/>
    <x v="0"/>
    <s v="Credit Card"/>
    <m/>
    <x v="1"/>
    <s v="USA"/>
    <s v="J. Reyes"/>
    <x v="0"/>
    <s v="Payments"/>
    <n v="2.9000000000000001E-2"/>
    <s v="SMB"/>
    <s v="High Value"/>
    <s v="Yes"/>
    <s v="No"/>
    <x v="0"/>
    <x v="2"/>
    <s v="NAQ4"/>
    <n v="299000"/>
  </r>
  <r>
    <s v="TXN-100288"/>
    <d v="2024-06-25T00:00:00"/>
    <x v="33"/>
    <s v="SVC-01"/>
    <n v="673.33"/>
    <x v="3"/>
    <s v="Debit Card"/>
    <m/>
    <x v="3"/>
    <s v="Canada"/>
    <s v="T. Novak"/>
    <x v="0"/>
    <s v="Payments"/>
    <n v="2.9000000000000001E-2"/>
    <s v="N/A"/>
    <s v="High Value"/>
    <s v="Yes"/>
    <s v="No"/>
    <x v="0"/>
    <x v="0"/>
    <s v="NAQ2"/>
    <n v="260000"/>
  </r>
  <r>
    <s v="TXN-102320"/>
    <d v="2024-03-05T00:00:00"/>
    <x v="43"/>
    <s v="SVC-02"/>
    <n v="504.55"/>
    <x v="0"/>
    <s v="Wire Transfer"/>
    <s v="callback requested"/>
    <x v="1"/>
    <s v="USA"/>
    <s v="M. Santos"/>
    <x v="6"/>
    <s v="HR &amp; Payroll"/>
    <n v="0"/>
    <s v="SMB"/>
    <s v="High Value"/>
    <s v="Yes"/>
    <s v="No"/>
    <x v="0"/>
    <x v="3"/>
    <s v="NAQ1"/>
    <n v="247000"/>
  </r>
  <r>
    <s v="TXN-102498"/>
    <d v="2024-01-24T00:00:00"/>
    <x v="76"/>
    <s v="SVC-05"/>
    <n v="591.52"/>
    <x v="0"/>
    <s v="ACH"/>
    <m/>
    <x v="3"/>
    <s v="United Kingdom"/>
    <s v="R. Patel"/>
    <x v="3"/>
    <s v="Analytics"/>
    <n v="0"/>
    <s v="Startup"/>
    <s v="High Value"/>
    <s v="Yes"/>
    <s v="No"/>
    <x v="2"/>
    <x v="3"/>
    <s v="EMEAQ1"/>
    <n v="133000"/>
  </r>
  <r>
    <s v="TXN-101291"/>
    <d v="2024-07-23T00:00:00"/>
    <x v="77"/>
    <s v="SVC-05"/>
    <n v="343.45"/>
    <x v="0"/>
    <s v="Credit Card"/>
    <m/>
    <x v="1"/>
    <s v="Australia"/>
    <s v="L. Chen"/>
    <x v="3"/>
    <s v="Analytics"/>
    <n v="0"/>
    <s v="SMB"/>
    <s v="High Value"/>
    <s v="Yes"/>
    <s v="No"/>
    <x v="1"/>
    <x v="1"/>
    <s v="APACQ3"/>
    <n v="115500"/>
  </r>
  <r>
    <s v="TXN-101593"/>
    <d v="2024-11-02T00:00:00"/>
    <x v="26"/>
    <s v="SVC-02"/>
    <n v="508.59"/>
    <x v="0"/>
    <s v="ACH"/>
    <m/>
    <x v="3"/>
    <s v="USA"/>
    <s v="R. Patel"/>
    <x v="6"/>
    <s v="HR &amp; Payroll"/>
    <n v="0"/>
    <s v="Startup"/>
    <s v="High Value"/>
    <s v="Yes"/>
    <s v="No"/>
    <x v="0"/>
    <x v="2"/>
    <s v="NAQ4"/>
    <n v="299000"/>
  </r>
  <r>
    <s v="TXN-100404"/>
    <d v="2024-02-24T00:00:00"/>
    <x v="87"/>
    <s v="SVC-02"/>
    <n v="267.25"/>
    <x v="0"/>
    <s v="ACH"/>
    <s v="VIP account"/>
    <x v="1"/>
    <s v="United Kingdom"/>
    <s v="J. Reyes"/>
    <x v="6"/>
    <s v="HR &amp; Payroll"/>
    <n v="0"/>
    <s v="SMB"/>
    <s v="High Value"/>
    <s v="Yes"/>
    <s v="No"/>
    <x v="2"/>
    <x v="3"/>
    <s v="EMEAQ1"/>
    <n v="133000"/>
  </r>
  <r>
    <s v="TXN-100810"/>
    <d v="2024-01-05T00:00:00"/>
    <x v="116"/>
    <s v="SVC-01"/>
    <n v="334.27"/>
    <x v="0"/>
    <s v="ACH"/>
    <m/>
    <x v="1"/>
    <s v="USA"/>
    <s v="J. Reyes"/>
    <x v="0"/>
    <s v="Payments"/>
    <n v="2.9000000000000001E-2"/>
    <s v="SMB"/>
    <s v="Standard"/>
    <s v="Yes"/>
    <s v="No"/>
    <x v="0"/>
    <x v="3"/>
    <s v="NAQ1"/>
    <n v="247000"/>
  </r>
  <r>
    <s v="TXN-100025"/>
    <d v="2024-12-26T00:00:00"/>
    <x v="34"/>
    <s v="SVC-06"/>
    <n v="620.20000000000005"/>
    <x v="1"/>
    <s v="Wire Transfer"/>
    <m/>
    <x v="1"/>
    <s v="Germany"/>
    <s v="M. Santos"/>
    <x v="4"/>
    <s v="Platform"/>
    <n v="0"/>
    <s v="N/A"/>
    <s v="High Value"/>
    <s v="Yes"/>
    <s v="No"/>
    <x v="2"/>
    <x v="2"/>
    <s v="EMEAQ4"/>
    <n v="161000"/>
  </r>
  <r>
    <s v="TXN-101760"/>
    <d v="2024-06-21T00:00:00"/>
    <x v="80"/>
    <s v="SVC-07"/>
    <n v="134.76"/>
    <x v="3"/>
    <s v="Credit Card"/>
    <m/>
    <x v="1"/>
    <s v="Philippines"/>
    <s v="R. Patel"/>
    <x v="7"/>
    <s v="Support"/>
    <n v="0"/>
    <s v="N/A"/>
    <s v="Standard"/>
    <s v="Yes"/>
    <s v="No"/>
    <x v="1"/>
    <x v="0"/>
    <s v="APACQ2"/>
    <n v="110000"/>
  </r>
  <r>
    <s v="TXN-100820"/>
    <d v="2024-11-11T00:00:00"/>
    <x v="133"/>
    <s v="SVC-08"/>
    <n v="505.77"/>
    <x v="0"/>
    <s v="ACH"/>
    <m/>
    <x v="1"/>
    <s v="Canada"/>
    <s v="R. Patel"/>
    <x v="1"/>
    <s v="Risk"/>
    <n v="2.5000000000000001E-3"/>
    <s v="SMB"/>
    <s v="High Value"/>
    <s v="Yes"/>
    <s v="No"/>
    <x v="0"/>
    <x v="2"/>
    <s v="NAQ4"/>
    <n v="299000"/>
  </r>
  <r>
    <s v="TXN-101627"/>
    <d v="2024-07-09T00:00:00"/>
    <x v="91"/>
    <s v="SVC-08"/>
    <n v="449.7"/>
    <x v="0"/>
    <s v="Debit Card"/>
    <m/>
    <x v="1"/>
    <s v="Singapore"/>
    <s v="A. Kim"/>
    <x v="1"/>
    <s v="Risk"/>
    <n v="2.5000000000000001E-3"/>
    <s v="SMB"/>
    <s v="High Value"/>
    <s v="Yes"/>
    <s v="No"/>
    <x v="1"/>
    <x v="1"/>
    <s v="APACQ3"/>
    <n v="115500"/>
  </r>
  <r>
    <s v="TXN-102395"/>
    <d v="2024-04-30T00:00:00"/>
    <x v="115"/>
    <s v="SVC-01"/>
    <n v="168.63"/>
    <x v="0"/>
    <s v="Credit Card"/>
    <m/>
    <x v="3"/>
    <s v="USA"/>
    <s v="L. Chen"/>
    <x v="0"/>
    <s v="Payments"/>
    <n v="2.9000000000000001E-2"/>
    <s v="Startup"/>
    <s v="Standard"/>
    <s v="No"/>
    <s v="No"/>
    <x v="0"/>
    <x v="0"/>
    <s v="NAQ2"/>
    <n v="260000"/>
  </r>
  <r>
    <s v="TXN-101470"/>
    <d v="2024-05-16T00:00:00"/>
    <x v="6"/>
    <s v="SVC-03"/>
    <n v="748.37"/>
    <x v="0"/>
    <s v="ACH"/>
    <m/>
    <x v="0"/>
    <s v="United Kingdom"/>
    <s v="R. Patel"/>
    <x v="5"/>
    <s v="Billing"/>
    <n v="5.0000000000000001E-3"/>
    <s v="Enterprise"/>
    <s v="High Value"/>
    <s v="Yes"/>
    <s v="No"/>
    <x v="2"/>
    <x v="0"/>
    <s v="EMEAQ2"/>
    <n v="140000"/>
  </r>
  <r>
    <s v="TXN-101855"/>
    <d v="2024-08-15T00:00:00"/>
    <x v="13"/>
    <s v="SVC-01"/>
    <n v="-176.37"/>
    <x v="2"/>
    <s v="Credit Card"/>
    <s v="escalated to support"/>
    <x v="0"/>
    <s v="Canada"/>
    <s v="J. Reyes"/>
    <x v="0"/>
    <s v="Payments"/>
    <n v="2.9000000000000001E-2"/>
    <s v="N/A"/>
    <s v="Refund"/>
    <s v="No"/>
    <s v="No"/>
    <x v="0"/>
    <x v="1"/>
    <s v="NAQ3"/>
    <n v="273000"/>
  </r>
  <r>
    <s v="TXN-100649"/>
    <d v="2024-03-07T00:00:00"/>
    <x v="73"/>
    <s v="SVC-01"/>
    <n v="-483.75"/>
    <x v="2"/>
    <s v="Debit Card"/>
    <m/>
    <x v="1"/>
    <s v="United Kingdom"/>
    <s v="R. Patel"/>
    <x v="0"/>
    <s v="Payments"/>
    <n v="2.9000000000000001E-2"/>
    <s v="N/A"/>
    <s v="Refund"/>
    <s v="No"/>
    <s v="No"/>
    <x v="2"/>
    <x v="3"/>
    <s v="EMEAQ1"/>
    <n v="133000"/>
  </r>
  <r>
    <s v="TXN-100553"/>
    <d v="2024-12-25T00:00:00"/>
    <x v="11"/>
    <s v="SVC-01"/>
    <n v="444.42"/>
    <x v="0"/>
    <s v="Wire Transfer"/>
    <s v="callback requested"/>
    <x v="0"/>
    <s v="United Kingdom"/>
    <s v="L. Chen"/>
    <x v="0"/>
    <s v="Payments"/>
    <n v="2.9000000000000001E-2"/>
    <s v="Enterprise"/>
    <s v="Standard"/>
    <s v="Yes"/>
    <s v="No"/>
    <x v="2"/>
    <x v="2"/>
    <s v="EMEAQ4"/>
    <n v="161000"/>
  </r>
  <r>
    <s v="TXN-101441"/>
    <d v="2024-05-02T00:00:00"/>
    <x v="26"/>
    <s v="SVC-01"/>
    <n v="134.49"/>
    <x v="0"/>
    <s v="Unknown"/>
    <m/>
    <x v="3"/>
    <s v="USA"/>
    <s v="R. Patel"/>
    <x v="0"/>
    <s v="Payments"/>
    <n v="2.9000000000000001E-2"/>
    <s v="Startup"/>
    <s v="Standard"/>
    <s v="No"/>
    <s v="No"/>
    <x v="0"/>
    <x v="0"/>
    <s v="NAQ2"/>
    <n v="260000"/>
  </r>
  <r>
    <s v="TXN-101431"/>
    <d v="2024-02-03T00:00:00"/>
    <x v="107"/>
    <s v="SVC-05"/>
    <n v="664.53"/>
    <x v="0"/>
    <s v="Debit Card"/>
    <m/>
    <x v="1"/>
    <s v="USA"/>
    <s v="M. Santos"/>
    <x v="3"/>
    <s v="Analytics"/>
    <n v="0"/>
    <s v="SMB"/>
    <s v="High Value"/>
    <s v="Yes"/>
    <s v="Yes"/>
    <x v="0"/>
    <x v="3"/>
    <s v="NAQ1"/>
    <n v="247000"/>
  </r>
  <r>
    <s v="TXN-101585"/>
    <d v="2024-06-24T00:00:00"/>
    <x v="36"/>
    <s v="SVC-06"/>
    <n v="250.1"/>
    <x v="0"/>
    <s v="Debit Card"/>
    <m/>
    <x v="1"/>
    <s v="USA"/>
    <s v="M. Santos"/>
    <x v="4"/>
    <s v="Platform"/>
    <n v="0"/>
    <s v="SMB"/>
    <s v="High Value"/>
    <s v="Yes"/>
    <s v="Yes"/>
    <x v="0"/>
    <x v="0"/>
    <s v="NAQ2"/>
    <n v="260000"/>
  </r>
  <r>
    <s v="TXN-100115"/>
    <d v="2024-10-15T00:00:00"/>
    <x v="76"/>
    <s v="SVC-07"/>
    <n v="529.29999999999995"/>
    <x v="0"/>
    <s v="ACH"/>
    <s v="escalated to support"/>
    <x v="3"/>
    <s v="United Kingdom"/>
    <s v="R. Patel"/>
    <x v="7"/>
    <s v="Support"/>
    <n v="0"/>
    <s v="Startup"/>
    <s v="High Value"/>
    <s v="Yes"/>
    <s v="Yes"/>
    <x v="2"/>
    <x v="2"/>
    <s v="EMEAQ4"/>
    <n v="161000"/>
  </r>
  <r>
    <s v="TXN-101421"/>
    <d v="2024-05-01T00:00:00"/>
    <x v="23"/>
    <s v="SVC-03"/>
    <n v="258.68"/>
    <x v="0"/>
    <s v="Credit Card"/>
    <s v="escalated to support"/>
    <x v="0"/>
    <s v="USA"/>
    <s v="L. Chen"/>
    <x v="5"/>
    <s v="Billing"/>
    <n v="5.0000000000000001E-3"/>
    <s v="Enterprise"/>
    <s v="High Value"/>
    <s v="Yes"/>
    <s v="No"/>
    <x v="0"/>
    <x v="0"/>
    <s v="NAQ2"/>
    <n v="260000"/>
  </r>
  <r>
    <s v="TXN-102343"/>
    <d v="2024-06-02T00:00:00"/>
    <x v="25"/>
    <s v="SVC-07"/>
    <n v="388.53"/>
    <x v="1"/>
    <s v="ACH"/>
    <m/>
    <x v="0"/>
    <s v="USA"/>
    <s v="A. Kim"/>
    <x v="7"/>
    <s v="Support"/>
    <n v="0"/>
    <s v="N/A"/>
    <s v="High Value"/>
    <s v="Yes"/>
    <s v="Yes"/>
    <x v="0"/>
    <x v="0"/>
    <s v="NAQ2"/>
    <n v="260000"/>
  </r>
  <r>
    <s v="TXN-102273"/>
    <d v="2024-12-26T00:00:00"/>
    <x v="51"/>
    <s v="SVC-07"/>
    <n v="217.9"/>
    <x v="3"/>
    <s v="Debit Card"/>
    <s v="callback requested"/>
    <x v="0"/>
    <s v="United Kingdom"/>
    <s v="R. Patel"/>
    <x v="7"/>
    <s v="Support"/>
    <n v="0"/>
    <s v="N/A"/>
    <s v="Standard"/>
    <s v="Yes"/>
    <s v="No"/>
    <x v="2"/>
    <x v="2"/>
    <s v="EMEAQ4"/>
    <n v="161000"/>
  </r>
  <r>
    <s v="TXN-101322"/>
    <d v="2024-04-02T00:00:00"/>
    <x v="46"/>
    <s v="SVC-01"/>
    <n v="245.9"/>
    <x v="0"/>
    <s v="Debit Card"/>
    <m/>
    <x v="1"/>
    <s v="Australia"/>
    <s v="L. Chen"/>
    <x v="0"/>
    <s v="Payments"/>
    <n v="2.9000000000000001E-2"/>
    <s v="SMB"/>
    <s v="Standard"/>
    <s v="No"/>
    <s v="No"/>
    <x v="1"/>
    <x v="0"/>
    <s v="APACQ2"/>
    <n v="110000"/>
  </r>
  <r>
    <s v="TXN-100911"/>
    <d v="2024-03-27T00:00:00"/>
    <x v="98"/>
    <s v="SVC-05"/>
    <n v="105.14"/>
    <x v="1"/>
    <s v="Unknown"/>
    <m/>
    <x v="1"/>
    <s v="Philippines"/>
    <s v="T. Novak"/>
    <x v="3"/>
    <s v="Analytics"/>
    <n v="0"/>
    <s v="N/A"/>
    <s v="Standard"/>
    <s v="Yes"/>
    <s v="Yes"/>
    <x v="1"/>
    <x v="3"/>
    <s v="APACQ1"/>
    <n v="104500"/>
  </r>
  <r>
    <s v="TXN-100396"/>
    <d v="2024-04-20T00:00:00"/>
    <x v="71"/>
    <s v="SVC-08"/>
    <n v="329.73"/>
    <x v="0"/>
    <s v="Debit Card"/>
    <m/>
    <x v="1"/>
    <s v="United Kingdom"/>
    <s v="R. Patel"/>
    <x v="1"/>
    <s v="Risk"/>
    <n v="2.5000000000000001E-3"/>
    <s v="SMB"/>
    <s v="High Value"/>
    <s v="Yes"/>
    <s v="Yes"/>
    <x v="2"/>
    <x v="0"/>
    <s v="EMEAQ2"/>
    <n v="140000"/>
  </r>
  <r>
    <s v="TXN-100498"/>
    <d v="2024-06-04T00:00:00"/>
    <x v="121"/>
    <s v="SVC-08"/>
    <n v="470.75"/>
    <x v="0"/>
    <s v="Debit Card"/>
    <s v="escalated to support"/>
    <x v="0"/>
    <s v="USA"/>
    <s v="J. Reyes"/>
    <x v="1"/>
    <s v="Risk"/>
    <n v="2.5000000000000001E-3"/>
    <s v="Enterprise"/>
    <s v="High Value"/>
    <s v="Yes"/>
    <s v="No"/>
    <x v="0"/>
    <x v="0"/>
    <s v="NAQ2"/>
    <n v="260000"/>
  </r>
  <r>
    <s v="TXN-100295"/>
    <d v="2024-05-15T00:00:00"/>
    <x v="59"/>
    <s v="SVC-07"/>
    <n v="558.98"/>
    <x v="0"/>
    <s v="Credit Card"/>
    <m/>
    <x v="1"/>
    <s v="USA"/>
    <s v="R. Patel"/>
    <x v="7"/>
    <s v="Support"/>
    <n v="0"/>
    <s v="SMB"/>
    <s v="High Value"/>
    <s v="Yes"/>
    <s v="Yes"/>
    <x v="0"/>
    <x v="0"/>
    <s v="NAQ2"/>
    <n v="260000"/>
  </r>
  <r>
    <s v="TXN-101394"/>
    <d v="2024-06-08T00:00:00"/>
    <x v="99"/>
    <s v="SVC-06"/>
    <n v="639.13"/>
    <x v="1"/>
    <s v="Wire Transfer"/>
    <s v="VIP account"/>
    <x v="1"/>
    <s v="Canada"/>
    <s v="R. Patel"/>
    <x v="4"/>
    <s v="Platform"/>
    <n v="0"/>
    <s v="N/A"/>
    <s v="High Value"/>
    <s v="Yes"/>
    <s v="Yes"/>
    <x v="0"/>
    <x v="0"/>
    <s v="NAQ2"/>
    <n v="260000"/>
  </r>
  <r>
    <s v="TXN-102203"/>
    <d v="2024-04-03T00:00:00"/>
    <x v="112"/>
    <s v="SVC-03"/>
    <n v="540.09"/>
    <x v="0"/>
    <s v="Credit Card"/>
    <s v="callback requested"/>
    <x v="1"/>
    <s v="USA"/>
    <s v="A. Kim"/>
    <x v="5"/>
    <s v="Billing"/>
    <n v="5.0000000000000001E-3"/>
    <s v="SMB"/>
    <s v="High Value"/>
    <s v="Yes"/>
    <s v="Yes"/>
    <x v="0"/>
    <x v="0"/>
    <s v="NAQ2"/>
    <n v="260000"/>
  </r>
  <r>
    <s v="TXN-102461"/>
    <d v="2024-06-13T00:00:00"/>
    <x v="5"/>
    <s v="SVC-01"/>
    <n v="531.74"/>
    <x v="0"/>
    <s v="ACH"/>
    <s v="callback requested"/>
    <x v="1"/>
    <s v="Australia"/>
    <s v="A. Kim"/>
    <x v="0"/>
    <s v="Payments"/>
    <n v="2.9000000000000001E-2"/>
    <s v="SMB"/>
    <s v="High Value"/>
    <s v="Yes"/>
    <s v="No"/>
    <x v="1"/>
    <x v="0"/>
    <s v="APACQ2"/>
    <n v="110000"/>
  </r>
  <r>
    <s v="TXN-101917"/>
    <d v="2024-02-29T00:00:00"/>
    <x v="9"/>
    <s v="SVC-01"/>
    <n v="395.01"/>
    <x v="0"/>
    <s v="Debit Card"/>
    <m/>
    <x v="3"/>
    <s v="Philippines"/>
    <s v="T. Novak"/>
    <x v="0"/>
    <s v="Payments"/>
    <n v="2.9000000000000001E-2"/>
    <s v="Startup"/>
    <s v="Standard"/>
    <s v="Yes"/>
    <s v="No"/>
    <x v="1"/>
    <x v="3"/>
    <s v="APACQ1"/>
    <n v="104500"/>
  </r>
  <r>
    <s v="TXN-100192"/>
    <d v="2024-02-09T00:00:00"/>
    <x v="83"/>
    <s v="SVC-01"/>
    <n v="784.35"/>
    <x v="0"/>
    <s v="Wire Transfer"/>
    <s v="callback requested"/>
    <x v="1"/>
    <s v="Canada"/>
    <s v="L. Chen"/>
    <x v="0"/>
    <s v="Payments"/>
    <n v="2.9000000000000001E-2"/>
    <s v="SMB"/>
    <s v="High Value"/>
    <s v="Yes"/>
    <s v="No"/>
    <x v="0"/>
    <x v="3"/>
    <s v="NAQ1"/>
    <n v="247000"/>
  </r>
  <r>
    <s v="TXN-100275"/>
    <d v="2024-12-18T00:00:00"/>
    <x v="54"/>
    <s v="SVC-02"/>
    <n v="265.64999999999998"/>
    <x v="0"/>
    <s v="ACH"/>
    <s v="escalated to support"/>
    <x v="1"/>
    <s v="USA"/>
    <s v="J. Reyes"/>
    <x v="6"/>
    <s v="HR &amp; Payroll"/>
    <n v="0"/>
    <s v="SMB"/>
    <s v="High Value"/>
    <s v="Yes"/>
    <s v="Yes"/>
    <x v="0"/>
    <x v="2"/>
    <s v="NAQ4"/>
    <n v="299000"/>
  </r>
  <r>
    <s v="TXN-101085"/>
    <d v="2024-03-03T00:00:00"/>
    <x v="116"/>
    <s v="SVC-07"/>
    <n v="527.5"/>
    <x v="0"/>
    <s v="Unknown"/>
    <m/>
    <x v="1"/>
    <s v="USA"/>
    <s v="J. Reyes"/>
    <x v="7"/>
    <s v="Support"/>
    <n v="0"/>
    <s v="SMB"/>
    <s v="High Value"/>
    <s v="Yes"/>
    <s v="No"/>
    <x v="0"/>
    <x v="3"/>
    <s v="NAQ1"/>
    <n v="247000"/>
  </r>
  <r>
    <s v="TXN-101252"/>
    <d v="2024-03-03T00:00:00"/>
    <x v="21"/>
    <s v="SVC-01"/>
    <n v="601.57000000000005"/>
    <x v="3"/>
    <s v="ACH"/>
    <s v="VIP account"/>
    <x v="0"/>
    <s v="Australia"/>
    <s v="M. Santos"/>
    <x v="0"/>
    <s v="Payments"/>
    <n v="2.9000000000000001E-2"/>
    <s v="N/A"/>
    <s v="High Value"/>
    <s v="Yes"/>
    <s v="No"/>
    <x v="1"/>
    <x v="3"/>
    <s v="APACQ1"/>
    <n v="104500"/>
  </r>
  <r>
    <s v="TXN-101331"/>
    <d v="2024-01-05T00:00:00"/>
    <x v="56"/>
    <s v="SVC-01"/>
    <n v="463.11"/>
    <x v="0"/>
    <s v="Wire Transfer"/>
    <m/>
    <x v="0"/>
    <s v="Singapore"/>
    <s v="R. Patel"/>
    <x v="0"/>
    <s v="Payments"/>
    <n v="2.9000000000000001E-2"/>
    <s v="Enterprise"/>
    <s v="Standard"/>
    <s v="Yes"/>
    <s v="No"/>
    <x v="1"/>
    <x v="3"/>
    <s v="APACQ1"/>
    <n v="104500"/>
  </r>
  <r>
    <s v="TXN-100472"/>
    <d v="2024-11-01T00:00:00"/>
    <x v="108"/>
    <s v="SVC-08"/>
    <n v="283.47000000000003"/>
    <x v="0"/>
    <s v="Debit Card"/>
    <m/>
    <x v="1"/>
    <s v="Germany"/>
    <s v="M. Santos"/>
    <x v="1"/>
    <s v="Risk"/>
    <n v="2.5000000000000001E-3"/>
    <s v="SMB"/>
    <s v="High Value"/>
    <s v="Yes"/>
    <s v="No"/>
    <x v="2"/>
    <x v="2"/>
    <s v="EMEAQ4"/>
    <n v="161000"/>
  </r>
  <r>
    <s v="TXN-102185"/>
    <d v="2024-12-29T00:00:00"/>
    <x v="6"/>
    <s v="SVC-02"/>
    <n v="252.25"/>
    <x v="0"/>
    <s v="ACH"/>
    <s v="VIP account"/>
    <x v="0"/>
    <s v="United Kingdom"/>
    <s v="R. Patel"/>
    <x v="6"/>
    <s v="HR &amp; Payroll"/>
    <n v="0"/>
    <s v="Enterprise"/>
    <s v="High Value"/>
    <s v="Yes"/>
    <s v="Yes"/>
    <x v="2"/>
    <x v="2"/>
    <s v="EMEAQ4"/>
    <n v="161000"/>
  </r>
  <r>
    <s v="TXN-101744"/>
    <d v="2024-04-22T00:00:00"/>
    <x v="82"/>
    <s v="SVC-02"/>
    <n v="364.33"/>
    <x v="0"/>
    <s v="Credit Card"/>
    <s v="escalated to support"/>
    <x v="1"/>
    <s v="USA"/>
    <s v="T. Novak"/>
    <x v="6"/>
    <s v="HR &amp; Payroll"/>
    <n v="0"/>
    <s v="SMB"/>
    <s v="High Value"/>
    <s v="Yes"/>
    <s v="No"/>
    <x v="0"/>
    <x v="0"/>
    <s v="NAQ2"/>
    <n v="260000"/>
  </r>
  <r>
    <s v="TXN-102440"/>
    <d v="2024-09-21T00:00:00"/>
    <x v="99"/>
    <s v="SVC-01"/>
    <n v="551.59"/>
    <x v="3"/>
    <s v="ACH"/>
    <s v="escalated to support"/>
    <x v="1"/>
    <s v="Canada"/>
    <s v="R. Patel"/>
    <x v="0"/>
    <s v="Payments"/>
    <n v="2.9000000000000001E-2"/>
    <s v="N/A"/>
    <s v="High Value"/>
    <s v="Yes"/>
    <s v="No"/>
    <x v="0"/>
    <x v="1"/>
    <s v="NAQ3"/>
    <n v="273000"/>
  </r>
  <r>
    <s v="TXN-102257"/>
    <d v="2024-07-11T00:00:00"/>
    <x v="11"/>
    <s v="SVC-03"/>
    <n v="-301.49"/>
    <x v="2"/>
    <s v="ACH"/>
    <s v="VIP account"/>
    <x v="0"/>
    <s v="United Kingdom"/>
    <s v="L. Chen"/>
    <x v="5"/>
    <s v="Billing"/>
    <n v="5.0000000000000001E-3"/>
    <s v="N/A"/>
    <s v="Refund"/>
    <s v="No"/>
    <s v="Yes"/>
    <x v="2"/>
    <x v="1"/>
    <s v="EMEAQ3"/>
    <n v="147000"/>
  </r>
  <r>
    <s v="TXN-101343"/>
    <d v="2024-06-25T00:00:00"/>
    <x v="119"/>
    <s v="SVC-03"/>
    <n v="322.36"/>
    <x v="0"/>
    <s v="Unknown"/>
    <s v="callback requested"/>
    <x v="1"/>
    <s v="USA"/>
    <s v="R. Patel"/>
    <x v="5"/>
    <s v="Billing"/>
    <n v="5.0000000000000001E-3"/>
    <s v="SMB"/>
    <s v="High Value"/>
    <s v="Yes"/>
    <s v="No"/>
    <x v="0"/>
    <x v="0"/>
    <s v="NAQ2"/>
    <n v="260000"/>
  </r>
  <r>
    <s v="TXN-101430"/>
    <d v="2024-06-11T00:00:00"/>
    <x v="29"/>
    <s v="SVC-01"/>
    <n v="291.56"/>
    <x v="0"/>
    <s v="ACH"/>
    <s v="callback requested"/>
    <x v="1"/>
    <s v="Germany"/>
    <s v="L. Chen"/>
    <x v="0"/>
    <s v="Payments"/>
    <n v="2.9000000000000001E-2"/>
    <s v="SMB"/>
    <s v="Standard"/>
    <s v="Yes"/>
    <s v="No"/>
    <x v="2"/>
    <x v="0"/>
    <s v="EMEAQ2"/>
    <n v="140000"/>
  </r>
  <r>
    <s v="TXN-102388"/>
    <d v="2024-04-30T00:00:00"/>
    <x v="51"/>
    <s v="SVC-05"/>
    <n v="401.87"/>
    <x v="0"/>
    <s v="ACH"/>
    <m/>
    <x v="0"/>
    <s v="United Kingdom"/>
    <s v="R. Patel"/>
    <x v="3"/>
    <s v="Analytics"/>
    <n v="0"/>
    <s v="Enterprise"/>
    <s v="High Value"/>
    <s v="Yes"/>
    <s v="Yes"/>
    <x v="2"/>
    <x v="0"/>
    <s v="EMEAQ2"/>
    <n v="140000"/>
  </r>
  <r>
    <s v="TXN-101065"/>
    <d v="2024-01-31T00:00:00"/>
    <x v="25"/>
    <s v="SVC-08"/>
    <n v="985.41"/>
    <x v="0"/>
    <s v="Credit Card"/>
    <s v="callback requested"/>
    <x v="0"/>
    <s v="USA"/>
    <s v="A. Kim"/>
    <x v="1"/>
    <s v="Risk"/>
    <n v="2.5000000000000001E-3"/>
    <s v="Enterprise"/>
    <s v="High Value"/>
    <s v="Yes"/>
    <s v="No"/>
    <x v="0"/>
    <x v="3"/>
    <s v="NAQ1"/>
    <n v="247000"/>
  </r>
  <r>
    <s v="TXN-100239"/>
    <d v="2024-04-14T00:00:00"/>
    <x v="134"/>
    <s v="SVC-01"/>
    <n v="-282.49"/>
    <x v="2"/>
    <s v="Credit Card"/>
    <s v="VIP account"/>
    <x v="1"/>
    <s v="Philippines"/>
    <s v="T. Novak"/>
    <x v="0"/>
    <s v="Payments"/>
    <n v="2.9000000000000001E-2"/>
    <s v="N/A"/>
    <s v="Refund"/>
    <s v="No"/>
    <s v="No"/>
    <x v="1"/>
    <x v="0"/>
    <s v="APACQ2"/>
    <n v="110000"/>
  </r>
  <r>
    <s v="TXN-101887"/>
    <d v="2024-11-07T00:00:00"/>
    <x v="55"/>
    <s v="SVC-06"/>
    <n v="1354.47"/>
    <x v="0"/>
    <s v="Debit Card"/>
    <m/>
    <x v="3"/>
    <s v="USA"/>
    <s v="J. Reyes"/>
    <x v="4"/>
    <s v="Platform"/>
    <n v="0"/>
    <s v="Startup"/>
    <s v="High Value"/>
    <s v="Yes"/>
    <s v="No"/>
    <x v="0"/>
    <x v="2"/>
    <s v="NAQ4"/>
    <n v="299000"/>
  </r>
  <r>
    <s v="TXN-100281"/>
    <d v="2024-03-23T00:00:00"/>
    <x v="2"/>
    <s v="SVC-07"/>
    <n v="357.08"/>
    <x v="0"/>
    <s v="Debit Card"/>
    <m/>
    <x v="0"/>
    <s v="USA"/>
    <s v="A. Kim"/>
    <x v="7"/>
    <s v="Support"/>
    <n v="0"/>
    <s v="Enterprise"/>
    <s v="High Value"/>
    <s v="Yes"/>
    <s v="Yes"/>
    <x v="0"/>
    <x v="3"/>
    <s v="NAQ1"/>
    <n v="247000"/>
  </r>
  <r>
    <s v="TXN-100950"/>
    <d v="2024-12-24T00:00:00"/>
    <x v="38"/>
    <s v="SVC-07"/>
    <n v="796.9"/>
    <x v="0"/>
    <s v="ACH"/>
    <s v="escalated to support"/>
    <x v="0"/>
    <s v="Australia"/>
    <s v="A. Kim"/>
    <x v="7"/>
    <s v="Support"/>
    <n v="0"/>
    <s v="Enterprise"/>
    <s v="High Value"/>
    <s v="Yes"/>
    <s v="Yes"/>
    <x v="1"/>
    <x v="2"/>
    <s v="APACQ4"/>
    <n v="126500"/>
  </r>
  <r>
    <s v="TXN-101162"/>
    <d v="2024-06-30T00:00:00"/>
    <x v="10"/>
    <s v="SVC-01"/>
    <n v="-390.14"/>
    <x v="2"/>
    <s v="Credit Card"/>
    <s v="escalated to support"/>
    <x v="1"/>
    <s v="USA"/>
    <s v="T. Novak"/>
    <x v="0"/>
    <s v="Payments"/>
    <n v="2.9000000000000001E-2"/>
    <s v="N/A"/>
    <s v="Refund"/>
    <s v="No"/>
    <s v="No"/>
    <x v="0"/>
    <x v="0"/>
    <s v="NAQ2"/>
    <n v="260000"/>
  </r>
  <r>
    <s v="TXN-101481"/>
    <d v="2024-10-06T00:00:00"/>
    <x v="22"/>
    <s v="SVC-03"/>
    <n v="437.32"/>
    <x v="0"/>
    <s v="Debit Card"/>
    <s v="escalated to support"/>
    <x v="0"/>
    <s v="Australia"/>
    <s v="M. Santos"/>
    <x v="5"/>
    <s v="Billing"/>
    <n v="5.0000000000000001E-3"/>
    <s v="Enterprise"/>
    <s v="High Value"/>
    <s v="Yes"/>
    <s v="No"/>
    <x v="1"/>
    <x v="2"/>
    <s v="APACQ4"/>
    <n v="126500"/>
  </r>
  <r>
    <s v="TXN-102410"/>
    <d v="2024-08-12T00:00:00"/>
    <x v="116"/>
    <s v="SVC-06"/>
    <n v="507.2"/>
    <x v="0"/>
    <s v="Unknown"/>
    <s v="VIP account"/>
    <x v="1"/>
    <s v="USA"/>
    <s v="J. Reyes"/>
    <x v="4"/>
    <s v="Platform"/>
    <n v="0"/>
    <s v="SMB"/>
    <s v="High Value"/>
    <s v="Yes"/>
    <s v="Yes"/>
    <x v="0"/>
    <x v="1"/>
    <s v="NAQ3"/>
    <n v="273000"/>
  </r>
  <r>
    <s v="TXN-100707"/>
    <d v="2024-04-30T00:00:00"/>
    <x v="18"/>
    <s v="SVC-02"/>
    <n v="399.1"/>
    <x v="0"/>
    <s v="Credit Card"/>
    <s v="escalated to support"/>
    <x v="1"/>
    <s v="Philippines"/>
    <s v="R. Patel"/>
    <x v="6"/>
    <s v="HR &amp; Payroll"/>
    <n v="0"/>
    <s v="SMB"/>
    <s v="High Value"/>
    <s v="Yes"/>
    <s v="No"/>
    <x v="1"/>
    <x v="0"/>
    <s v="APACQ2"/>
    <n v="110000"/>
  </r>
  <r>
    <s v="TXN-100588"/>
    <d v="2024-04-29T00:00:00"/>
    <x v="97"/>
    <s v="SVC-06"/>
    <n v="275.33"/>
    <x v="1"/>
    <s v="ACH"/>
    <s v="escalated to support"/>
    <x v="0"/>
    <s v="United Kingdom"/>
    <s v="L. Chen"/>
    <x v="4"/>
    <s v="Platform"/>
    <n v="0"/>
    <s v="N/A"/>
    <s v="High Value"/>
    <s v="Yes"/>
    <s v="No"/>
    <x v="2"/>
    <x v="0"/>
    <s v="EMEAQ2"/>
    <n v="140000"/>
  </r>
  <r>
    <s v="TXN-100013"/>
    <d v="2024-01-01T00:00:00"/>
    <x v="61"/>
    <s v="SVC-07"/>
    <n v="921.47"/>
    <x v="0"/>
    <s v="Credit Card"/>
    <m/>
    <x v="1"/>
    <s v="Australia"/>
    <s v="M. Santos"/>
    <x v="7"/>
    <s v="Support"/>
    <n v="0"/>
    <s v="SMB"/>
    <s v="High Value"/>
    <s v="Yes"/>
    <s v="Yes"/>
    <x v="1"/>
    <x v="3"/>
    <s v="APACQ1"/>
    <n v="104500"/>
  </r>
  <r>
    <s v="TXN-101432"/>
    <d v="2024-07-01T00:00:00"/>
    <x v="87"/>
    <s v="SVC-08"/>
    <n v="331.08"/>
    <x v="0"/>
    <s v="ACH"/>
    <m/>
    <x v="1"/>
    <s v="United Kingdom"/>
    <s v="J. Reyes"/>
    <x v="1"/>
    <s v="Risk"/>
    <n v="2.5000000000000001E-3"/>
    <s v="SMB"/>
    <s v="High Value"/>
    <s v="Yes"/>
    <s v="Yes"/>
    <x v="2"/>
    <x v="1"/>
    <s v="EMEAQ3"/>
    <n v="147000"/>
  </r>
  <r>
    <s v="TXN-101495"/>
    <d v="2024-08-01T00:00:00"/>
    <x v="74"/>
    <s v="SVC-01"/>
    <n v="485.68"/>
    <x v="0"/>
    <s v="ACH"/>
    <m/>
    <x v="0"/>
    <s v="USA"/>
    <s v="A. Kim"/>
    <x v="0"/>
    <s v="Payments"/>
    <n v="2.9000000000000001E-2"/>
    <s v="Enterprise"/>
    <s v="Standard"/>
    <s v="Yes"/>
    <s v="No"/>
    <x v="0"/>
    <x v="1"/>
    <s v="NAQ3"/>
    <n v="273000"/>
  </r>
  <r>
    <s v="TXN-101369"/>
    <d v="2024-02-15T00:00:00"/>
    <x v="54"/>
    <s v="SVC-07"/>
    <n v="229.44"/>
    <x v="0"/>
    <s v="Wire Transfer"/>
    <m/>
    <x v="1"/>
    <s v="USA"/>
    <s v="J. Reyes"/>
    <x v="7"/>
    <s v="Support"/>
    <n v="0"/>
    <s v="SMB"/>
    <s v="Standard"/>
    <s v="Yes"/>
    <s v="No"/>
    <x v="0"/>
    <x v="3"/>
    <s v="NAQ1"/>
    <n v="247000"/>
  </r>
  <r>
    <s v="TXN-101797"/>
    <d v="2024-09-02T00:00:00"/>
    <x v="105"/>
    <s v="SVC-07"/>
    <n v="143.04"/>
    <x v="0"/>
    <s v="Unknown"/>
    <s v="VIP account"/>
    <x v="3"/>
    <s v="Philippines"/>
    <s v="T. Novak"/>
    <x v="7"/>
    <s v="Support"/>
    <n v="0"/>
    <s v="Startup"/>
    <s v="Standard"/>
    <s v="Yes"/>
    <s v="No"/>
    <x v="1"/>
    <x v="1"/>
    <s v="APACQ3"/>
    <n v="115500"/>
  </r>
  <r>
    <s v="TXN-101413"/>
    <d v="2024-07-17T00:00:00"/>
    <x v="13"/>
    <s v="SVC-01"/>
    <n v="316.92"/>
    <x v="0"/>
    <s v="Debit Card"/>
    <m/>
    <x v="0"/>
    <s v="Canada"/>
    <s v="J. Reyes"/>
    <x v="0"/>
    <s v="Payments"/>
    <n v="2.9000000000000001E-2"/>
    <s v="Enterprise"/>
    <s v="Standard"/>
    <s v="Yes"/>
    <s v="No"/>
    <x v="0"/>
    <x v="1"/>
    <s v="NAQ3"/>
    <n v="273000"/>
  </r>
  <r>
    <s v="TXN-102537"/>
    <d v="2024-12-12T00:00:00"/>
    <x v="63"/>
    <s v="SVC-04"/>
    <n v="223.24"/>
    <x v="0"/>
    <s v="Debit Card"/>
    <s v="VIP account"/>
    <x v="1"/>
    <s v="Philippines"/>
    <s v="T. Novak"/>
    <x v="2"/>
    <s v="Risk"/>
    <n v="1E-3"/>
    <s v="SMB"/>
    <s v="Standard"/>
    <s v="Yes"/>
    <s v="Yes"/>
    <x v="1"/>
    <x v="2"/>
    <s v="APACQ4"/>
    <n v="126500"/>
  </r>
  <r>
    <s v="TXN-100946"/>
    <d v="2024-05-16T00:00:00"/>
    <x v="95"/>
    <s v="SVC-08"/>
    <n v="947.89"/>
    <x v="0"/>
    <s v="Credit Card"/>
    <s v="escalated to support"/>
    <x v="1"/>
    <s v="USA"/>
    <s v="R. Patel"/>
    <x v="1"/>
    <s v="Risk"/>
    <n v="2.5000000000000001E-3"/>
    <s v="SMB"/>
    <s v="High Value"/>
    <s v="Yes"/>
    <s v="Yes"/>
    <x v="0"/>
    <x v="0"/>
    <s v="NAQ2"/>
    <n v="260000"/>
  </r>
  <r>
    <s v="TXN-101011"/>
    <d v="2024-12-15T00:00:00"/>
    <x v="87"/>
    <s v="SVC-02"/>
    <n v="449.26"/>
    <x v="0"/>
    <s v="Debit Card"/>
    <s v="escalated to support"/>
    <x v="1"/>
    <s v="United Kingdom"/>
    <s v="J. Reyes"/>
    <x v="6"/>
    <s v="HR &amp; Payroll"/>
    <n v="0"/>
    <s v="SMB"/>
    <s v="High Value"/>
    <s v="Yes"/>
    <s v="No"/>
    <x v="2"/>
    <x v="2"/>
    <s v="EMEAQ4"/>
    <n v="161000"/>
  </r>
  <r>
    <s v="TXN-101636"/>
    <d v="2024-03-11T00:00:00"/>
    <x v="118"/>
    <s v="SVC-06"/>
    <n v="718.12"/>
    <x v="0"/>
    <s v="Credit Card"/>
    <m/>
    <x v="1"/>
    <s v="USA"/>
    <s v="L. Chen"/>
    <x v="4"/>
    <s v="Platform"/>
    <n v="0"/>
    <s v="SMB"/>
    <s v="High Value"/>
    <s v="Yes"/>
    <s v="No"/>
    <x v="0"/>
    <x v="3"/>
    <s v="NAQ1"/>
    <n v="247000"/>
  </r>
  <r>
    <s v="TXN-101800"/>
    <d v="2024-04-11T00:00:00"/>
    <x v="36"/>
    <s v="SVC-05"/>
    <n v="93.91"/>
    <x v="0"/>
    <s v="ACH"/>
    <s v="VIP account"/>
    <x v="1"/>
    <s v="USA"/>
    <s v="M. Santos"/>
    <x v="3"/>
    <s v="Analytics"/>
    <n v="0"/>
    <s v="SMB"/>
    <s v="Standard"/>
    <s v="Yes"/>
    <s v="No"/>
    <x v="0"/>
    <x v="0"/>
    <s v="NAQ2"/>
    <n v="260000"/>
  </r>
  <r>
    <s v="TXN-100302"/>
    <d v="2024-11-21T00:00:00"/>
    <x v="21"/>
    <s v="SVC-03"/>
    <n v="256.27"/>
    <x v="1"/>
    <s v="ACH"/>
    <s v="callback requested"/>
    <x v="0"/>
    <s v="Australia"/>
    <s v="M. Santos"/>
    <x v="5"/>
    <s v="Billing"/>
    <n v="5.0000000000000001E-3"/>
    <s v="N/A"/>
    <s v="High Value"/>
    <s v="Yes"/>
    <s v="No"/>
    <x v="1"/>
    <x v="2"/>
    <s v="APACQ4"/>
    <n v="126500"/>
  </r>
  <r>
    <s v="TXN-102078"/>
    <d v="2024-10-31T00:00:00"/>
    <x v="81"/>
    <s v="SVC-03"/>
    <n v="439.22"/>
    <x v="0"/>
    <s v="Credit Card"/>
    <s v="escalated to support"/>
    <x v="3"/>
    <s v="Germany"/>
    <s v="R. Patel"/>
    <x v="5"/>
    <s v="Billing"/>
    <n v="5.0000000000000001E-3"/>
    <s v="Startup"/>
    <s v="High Value"/>
    <s v="Yes"/>
    <s v="No"/>
    <x v="2"/>
    <x v="2"/>
    <s v="EMEAQ4"/>
    <n v="161000"/>
  </r>
  <r>
    <s v="TXN-102300"/>
    <d v="2024-07-01T00:00:00"/>
    <x v="28"/>
    <s v="SVC-05"/>
    <n v="223.69"/>
    <x v="0"/>
    <s v="ACH"/>
    <s v="VIP account"/>
    <x v="1"/>
    <s v="United Kingdom"/>
    <s v="L. Chen"/>
    <x v="3"/>
    <s v="Analytics"/>
    <n v="0"/>
    <s v="SMB"/>
    <s v="Standard"/>
    <s v="Yes"/>
    <s v="No"/>
    <x v="2"/>
    <x v="1"/>
    <s v="EMEAQ3"/>
    <n v="147000"/>
  </r>
  <r>
    <s v="TXN-100761"/>
    <d v="2024-10-20T00:00:00"/>
    <x v="71"/>
    <s v="SVC-05"/>
    <n v="699.56"/>
    <x v="0"/>
    <s v="Credit Card"/>
    <m/>
    <x v="1"/>
    <s v="United Kingdom"/>
    <s v="R. Patel"/>
    <x v="3"/>
    <s v="Analytics"/>
    <n v="0"/>
    <s v="SMB"/>
    <s v="High Value"/>
    <s v="Yes"/>
    <s v="No"/>
    <x v="2"/>
    <x v="2"/>
    <s v="EMEAQ4"/>
    <n v="161000"/>
  </r>
  <r>
    <s v="TXN-101997"/>
    <d v="2024-01-30T00:00:00"/>
    <x v="82"/>
    <s v="SVC-05"/>
    <n v="184.77"/>
    <x v="0"/>
    <s v="ACH"/>
    <s v="callback requested"/>
    <x v="1"/>
    <s v="USA"/>
    <s v="T. Novak"/>
    <x v="3"/>
    <s v="Analytics"/>
    <n v="0"/>
    <s v="SMB"/>
    <s v="Standard"/>
    <s v="Yes"/>
    <s v="Yes"/>
    <x v="0"/>
    <x v="3"/>
    <s v="NAQ1"/>
    <n v="247000"/>
  </r>
  <r>
    <s v="TXN-101681"/>
    <d v="2024-10-06T00:00:00"/>
    <x v="16"/>
    <s v="SVC-01"/>
    <n v="802.28"/>
    <x v="3"/>
    <s v="Credit Card"/>
    <s v="callback requested"/>
    <x v="1"/>
    <s v="Germany"/>
    <s v="R. Patel"/>
    <x v="0"/>
    <s v="Payments"/>
    <n v="2.9000000000000001E-2"/>
    <s v="N/A"/>
    <s v="High Value"/>
    <s v="Yes"/>
    <s v="No"/>
    <x v="2"/>
    <x v="2"/>
    <s v="EMEAQ4"/>
    <n v="161000"/>
  </r>
  <r>
    <s v="TXN-102421"/>
    <d v="2024-01-09T00:00:00"/>
    <x v="108"/>
    <s v="SVC-03"/>
    <n v="587.41999999999996"/>
    <x v="0"/>
    <s v="ACH"/>
    <m/>
    <x v="1"/>
    <s v="Germany"/>
    <s v="M. Santos"/>
    <x v="5"/>
    <s v="Billing"/>
    <n v="5.0000000000000001E-3"/>
    <s v="SMB"/>
    <s v="High Value"/>
    <s v="Yes"/>
    <s v="No"/>
    <x v="2"/>
    <x v="3"/>
    <s v="EMEAQ1"/>
    <n v="133000"/>
  </r>
  <r>
    <s v="TXN-100226"/>
    <d v="2024-03-21T00:00:00"/>
    <x v="36"/>
    <s v="SVC-01"/>
    <n v="487.74"/>
    <x v="0"/>
    <s v="Unknown"/>
    <m/>
    <x v="1"/>
    <s v="USA"/>
    <s v="M. Santos"/>
    <x v="0"/>
    <s v="Payments"/>
    <n v="2.9000000000000001E-2"/>
    <s v="SMB"/>
    <s v="Standard"/>
    <s v="Yes"/>
    <s v="No"/>
    <x v="0"/>
    <x v="3"/>
    <s v="NAQ1"/>
    <n v="247000"/>
  </r>
  <r>
    <s v="TXN-101774"/>
    <d v="2024-01-14T00:00:00"/>
    <x v="51"/>
    <s v="SVC-02"/>
    <n v="-610.95000000000005"/>
    <x v="2"/>
    <s v="ACH"/>
    <s v="callback requested"/>
    <x v="0"/>
    <s v="United Kingdom"/>
    <s v="R. Patel"/>
    <x v="6"/>
    <s v="HR &amp; Payroll"/>
    <n v="0"/>
    <s v="N/A"/>
    <s v="Refund"/>
    <s v="No"/>
    <s v="Yes"/>
    <x v="2"/>
    <x v="3"/>
    <s v="EMEAQ1"/>
    <n v="133000"/>
  </r>
  <r>
    <s v="TXN-101948"/>
    <d v="2024-04-26T00:00:00"/>
    <x v="75"/>
    <s v="SVC-05"/>
    <n v="530.02"/>
    <x v="3"/>
    <s v="Credit Card"/>
    <s v="callback requested"/>
    <x v="0"/>
    <s v="Canada"/>
    <s v="R. Patel"/>
    <x v="3"/>
    <s v="Analytics"/>
    <n v="0"/>
    <s v="N/A"/>
    <s v="High Value"/>
    <s v="Yes"/>
    <s v="No"/>
    <x v="0"/>
    <x v="0"/>
    <s v="NAQ2"/>
    <n v="260000"/>
  </r>
  <r>
    <s v="TXN-101685"/>
    <d v="2024-06-13T00:00:00"/>
    <x v="118"/>
    <s v="SVC-03"/>
    <n v="521.54"/>
    <x v="0"/>
    <s v="Credit Card"/>
    <m/>
    <x v="1"/>
    <s v="USA"/>
    <s v="L. Chen"/>
    <x v="5"/>
    <s v="Billing"/>
    <n v="5.0000000000000001E-3"/>
    <s v="SMB"/>
    <s v="High Value"/>
    <s v="Yes"/>
    <s v="No"/>
    <x v="0"/>
    <x v="0"/>
    <s v="NAQ2"/>
    <n v="260000"/>
  </r>
  <r>
    <s v="TXN-102075"/>
    <d v="2024-08-29T00:00:00"/>
    <x v="121"/>
    <s v="SVC-02"/>
    <n v="481.59"/>
    <x v="3"/>
    <s v="Debit Card"/>
    <m/>
    <x v="0"/>
    <s v="USA"/>
    <s v="J. Reyes"/>
    <x v="6"/>
    <s v="HR &amp; Payroll"/>
    <n v="0"/>
    <s v="N/A"/>
    <s v="High Value"/>
    <s v="Yes"/>
    <s v="No"/>
    <x v="0"/>
    <x v="1"/>
    <s v="NAQ3"/>
    <n v="273000"/>
  </r>
  <r>
    <s v="TXN-100552"/>
    <d v="2024-10-08T00:00:00"/>
    <x v="45"/>
    <s v="SVC-01"/>
    <n v="-858.8"/>
    <x v="2"/>
    <s v="Credit Card"/>
    <m/>
    <x v="0"/>
    <s v="United Kingdom"/>
    <s v="R. Patel"/>
    <x v="0"/>
    <s v="Payments"/>
    <n v="2.9000000000000001E-2"/>
    <s v="N/A"/>
    <s v="Refund"/>
    <s v="No"/>
    <s v="No"/>
    <x v="2"/>
    <x v="2"/>
    <s v="EMEAQ4"/>
    <n v="161000"/>
  </r>
  <r>
    <s v="TXN-101403"/>
    <d v="2024-12-16T00:00:00"/>
    <x v="18"/>
    <s v="SVC-06"/>
    <n v="483.48"/>
    <x v="1"/>
    <s v="Credit Card"/>
    <m/>
    <x v="1"/>
    <s v="Philippines"/>
    <s v="R. Patel"/>
    <x v="4"/>
    <s v="Platform"/>
    <n v="0"/>
    <s v="N/A"/>
    <s v="High Value"/>
    <s v="Yes"/>
    <s v="Yes"/>
    <x v="1"/>
    <x v="2"/>
    <s v="APACQ4"/>
    <n v="126500"/>
  </r>
  <r>
    <s v="TXN-102140"/>
    <d v="2024-06-02T00:00:00"/>
    <x v="56"/>
    <s v="SVC-03"/>
    <n v="351.27"/>
    <x v="0"/>
    <s v="Wire Transfer"/>
    <m/>
    <x v="0"/>
    <s v="Singapore"/>
    <s v="R. Patel"/>
    <x v="5"/>
    <s v="Billing"/>
    <n v="5.0000000000000001E-3"/>
    <s v="Enterprise"/>
    <s v="High Value"/>
    <s v="Yes"/>
    <s v="No"/>
    <x v="1"/>
    <x v="0"/>
    <s v="APACQ2"/>
    <n v="110000"/>
  </r>
  <r>
    <s v="TXN-101915"/>
    <d v="2024-02-27T00:00:00"/>
    <x v="35"/>
    <s v="SVC-01"/>
    <n v="-14.87"/>
    <x v="2"/>
    <s v="Credit Card"/>
    <s v="callback requested"/>
    <x v="3"/>
    <s v="Philippines"/>
    <s v="R. Patel"/>
    <x v="0"/>
    <s v="Payments"/>
    <n v="2.9000000000000001E-2"/>
    <s v="N/A"/>
    <s v="Refund"/>
    <s v="No"/>
    <s v="No"/>
    <x v="1"/>
    <x v="3"/>
    <s v="APACQ1"/>
    <n v="104500"/>
  </r>
  <r>
    <s v="TXN-102494"/>
    <d v="2024-11-24T00:00:00"/>
    <x v="133"/>
    <s v="SVC-07"/>
    <n v="335.99"/>
    <x v="0"/>
    <s v="ACH"/>
    <m/>
    <x v="1"/>
    <s v="Canada"/>
    <s v="R. Patel"/>
    <x v="7"/>
    <s v="Support"/>
    <n v="0"/>
    <s v="SMB"/>
    <s v="High Value"/>
    <s v="Yes"/>
    <s v="No"/>
    <x v="0"/>
    <x v="2"/>
    <s v="NAQ4"/>
    <n v="299000"/>
  </r>
  <r>
    <s v="TXN-100903"/>
    <d v="2024-03-15T00:00:00"/>
    <x v="46"/>
    <s v="SVC-04"/>
    <n v="1228.58"/>
    <x v="0"/>
    <s v="Debit Card"/>
    <m/>
    <x v="1"/>
    <s v="Australia"/>
    <s v="L. Chen"/>
    <x v="2"/>
    <s v="Risk"/>
    <n v="1E-3"/>
    <s v="SMB"/>
    <s v="High Value"/>
    <s v="Yes"/>
    <s v="Yes"/>
    <x v="1"/>
    <x v="3"/>
    <s v="APACQ1"/>
    <n v="104500"/>
  </r>
  <r>
    <s v="TXN-101258"/>
    <d v="2024-08-09T00:00:00"/>
    <x v="27"/>
    <s v="SVC-07"/>
    <n v="-688.71"/>
    <x v="2"/>
    <s v="Credit Card"/>
    <m/>
    <x v="1"/>
    <s v="Canada"/>
    <s v="L. Chen"/>
    <x v="7"/>
    <s v="Support"/>
    <n v="0"/>
    <s v="N/A"/>
    <s v="Refund"/>
    <s v="No"/>
    <s v="No"/>
    <x v="0"/>
    <x v="1"/>
    <s v="NAQ3"/>
    <n v="273000"/>
  </r>
  <r>
    <s v="TXN-101595"/>
    <d v="2024-01-17T00:00:00"/>
    <x v="82"/>
    <s v="SVC-03"/>
    <n v="549.55999999999995"/>
    <x v="0"/>
    <s v="Credit Card"/>
    <s v="escalated to support"/>
    <x v="1"/>
    <s v="USA"/>
    <s v="T. Novak"/>
    <x v="5"/>
    <s v="Billing"/>
    <n v="5.0000000000000001E-3"/>
    <s v="SMB"/>
    <s v="High Value"/>
    <s v="Yes"/>
    <s v="No"/>
    <x v="0"/>
    <x v="3"/>
    <s v="NAQ1"/>
    <n v="247000"/>
  </r>
  <r>
    <s v="TXN-102215"/>
    <d v="2024-08-18T00:00:00"/>
    <x v="71"/>
    <s v="SVC-06"/>
    <n v="1007.56"/>
    <x v="0"/>
    <s v="ACH"/>
    <m/>
    <x v="1"/>
    <s v="United Kingdom"/>
    <s v="R. Patel"/>
    <x v="4"/>
    <s v="Platform"/>
    <n v="0"/>
    <s v="SMB"/>
    <s v="High Value"/>
    <s v="Yes"/>
    <s v="Yes"/>
    <x v="2"/>
    <x v="1"/>
    <s v="EMEAQ3"/>
    <n v="147000"/>
  </r>
  <r>
    <s v="TXN-100655"/>
    <d v="2024-10-28T00:00:00"/>
    <x v="64"/>
    <s v="SVC-02"/>
    <n v="879.84"/>
    <x v="0"/>
    <s v="ACH"/>
    <m/>
    <x v="1"/>
    <s v="United Kingdom"/>
    <s v="J. Reyes"/>
    <x v="6"/>
    <s v="HR &amp; Payroll"/>
    <n v="0"/>
    <s v="SMB"/>
    <s v="High Value"/>
    <s v="Yes"/>
    <s v="No"/>
    <x v="2"/>
    <x v="2"/>
    <s v="EMEAQ4"/>
    <n v="161000"/>
  </r>
  <r>
    <s v="TXN-100474"/>
    <d v="2024-03-11T00:00:00"/>
    <x v="36"/>
    <s v="SVC-02"/>
    <n v="288.93"/>
    <x v="0"/>
    <s v="ACH"/>
    <m/>
    <x v="1"/>
    <s v="USA"/>
    <s v="M. Santos"/>
    <x v="6"/>
    <s v="HR &amp; Payroll"/>
    <n v="0"/>
    <s v="SMB"/>
    <s v="High Value"/>
    <s v="Yes"/>
    <s v="No"/>
    <x v="0"/>
    <x v="3"/>
    <s v="NAQ1"/>
    <n v="247000"/>
  </r>
  <r>
    <s v="TXN-101224"/>
    <d v="2024-08-26T00:00:00"/>
    <x v="102"/>
    <s v="SVC-01"/>
    <n v="525.72"/>
    <x v="0"/>
    <s v="Credit Card"/>
    <s v="callback requested"/>
    <x v="1"/>
    <s v="Philippines"/>
    <s v="L. Chen"/>
    <x v="0"/>
    <s v="Payments"/>
    <n v="2.9000000000000001E-2"/>
    <s v="SMB"/>
    <s v="High Value"/>
    <s v="Yes"/>
    <s v="No"/>
    <x v="1"/>
    <x v="1"/>
    <s v="APACQ3"/>
    <n v="115500"/>
  </r>
  <r>
    <s v="TXN-100368"/>
    <d v="2024-04-19T00:00:00"/>
    <x v="125"/>
    <s v="SVC-05"/>
    <n v="178.61"/>
    <x v="3"/>
    <s v="ACH"/>
    <s v="VIP account"/>
    <x v="1"/>
    <s v="USA"/>
    <s v="A. Kim"/>
    <x v="3"/>
    <s v="Analytics"/>
    <n v="0"/>
    <s v="N/A"/>
    <s v="Standard"/>
    <s v="Yes"/>
    <s v="No"/>
    <x v="0"/>
    <x v="0"/>
    <s v="NAQ2"/>
    <n v="260000"/>
  </r>
  <r>
    <s v="TXN-101856"/>
    <d v="2024-02-06T00:00:00"/>
    <x v="11"/>
    <s v="SVC-06"/>
    <n v="-815.09"/>
    <x v="2"/>
    <s v="Debit Card"/>
    <m/>
    <x v="0"/>
    <s v="United Kingdom"/>
    <s v="L. Chen"/>
    <x v="4"/>
    <s v="Platform"/>
    <n v="0"/>
    <s v="N/A"/>
    <s v="Refund"/>
    <s v="No"/>
    <s v="Yes"/>
    <x v="2"/>
    <x v="3"/>
    <s v="EMEAQ1"/>
    <n v="133000"/>
  </r>
  <r>
    <s v="TXN-101457"/>
    <d v="2024-09-02T00:00:00"/>
    <x v="44"/>
    <s v="SVC-03"/>
    <n v="589.34"/>
    <x v="0"/>
    <s v="Credit Card"/>
    <s v="VIP account"/>
    <x v="0"/>
    <s v="Australia"/>
    <s v="T. Novak"/>
    <x v="5"/>
    <s v="Billing"/>
    <n v="5.0000000000000001E-3"/>
    <s v="Enterprise"/>
    <s v="High Value"/>
    <s v="Yes"/>
    <s v="Yes"/>
    <x v="1"/>
    <x v="1"/>
    <s v="APACQ3"/>
    <n v="115500"/>
  </r>
  <r>
    <s v="TXN-100856"/>
    <d v="2024-03-02T00:00:00"/>
    <x v="78"/>
    <s v="SVC-08"/>
    <n v="158.97"/>
    <x v="0"/>
    <s v="Credit Card"/>
    <m/>
    <x v="1"/>
    <s v="USA"/>
    <s v="L. Chen"/>
    <x v="1"/>
    <s v="Risk"/>
    <n v="2.5000000000000001E-3"/>
    <s v="SMB"/>
    <s v="Standard"/>
    <s v="Yes"/>
    <s v="No"/>
    <x v="0"/>
    <x v="3"/>
    <s v="NAQ1"/>
    <n v="247000"/>
  </r>
  <r>
    <s v="TXN-100917"/>
    <d v="2024-10-01T00:00:00"/>
    <x v="8"/>
    <s v="SVC-02"/>
    <n v="119.57"/>
    <x v="3"/>
    <s v="ACH"/>
    <s v="VIP account"/>
    <x v="1"/>
    <s v="USA"/>
    <s v="M. Santos"/>
    <x v="6"/>
    <s v="HR &amp; Payroll"/>
    <n v="0"/>
    <s v="N/A"/>
    <s v="Standard"/>
    <s v="Yes"/>
    <s v="No"/>
    <x v="0"/>
    <x v="2"/>
    <s v="NAQ4"/>
    <n v="299000"/>
  </r>
  <r>
    <s v="TXN-101538"/>
    <d v="2024-06-24T00:00:00"/>
    <x v="32"/>
    <s v="SVC-05"/>
    <n v="581.70000000000005"/>
    <x v="0"/>
    <s v="ACH"/>
    <s v="escalated to support"/>
    <x v="1"/>
    <s v="Philippines"/>
    <s v="T. Novak"/>
    <x v="3"/>
    <s v="Analytics"/>
    <n v="0"/>
    <s v="SMB"/>
    <s v="High Value"/>
    <s v="Yes"/>
    <s v="No"/>
    <x v="1"/>
    <x v="0"/>
    <s v="APACQ2"/>
    <n v="110000"/>
  </r>
  <r>
    <s v="TXN-101920"/>
    <d v="2024-05-28T00:00:00"/>
    <x v="84"/>
    <s v="SVC-07"/>
    <n v="1139.6099999999999"/>
    <x v="1"/>
    <s v="Credit Card"/>
    <m/>
    <x v="3"/>
    <s v="Singapore"/>
    <s v="T. Novak"/>
    <x v="7"/>
    <s v="Support"/>
    <n v="0"/>
    <s v="N/A"/>
    <s v="High Value"/>
    <s v="Yes"/>
    <s v="Yes"/>
    <x v="1"/>
    <x v="0"/>
    <s v="APACQ2"/>
    <n v="110000"/>
  </r>
  <r>
    <s v="TXN-101569"/>
    <d v="2024-08-23T00:00:00"/>
    <x v="100"/>
    <s v="SVC-01"/>
    <n v="647.92999999999995"/>
    <x v="0"/>
    <s v="Debit Card"/>
    <s v="VIP account"/>
    <x v="1"/>
    <s v="USA"/>
    <s v="J. Reyes"/>
    <x v="0"/>
    <s v="Payments"/>
    <n v="2.9000000000000001E-2"/>
    <s v="SMB"/>
    <s v="High Value"/>
    <s v="Yes"/>
    <s v="No"/>
    <x v="0"/>
    <x v="1"/>
    <s v="NAQ3"/>
    <n v="273000"/>
  </r>
  <r>
    <s v="TXN-100864"/>
    <d v="2024-07-31T00:00:00"/>
    <x v="15"/>
    <s v="SVC-03"/>
    <n v="1132.74"/>
    <x v="0"/>
    <s v="ACH"/>
    <s v="escalated to support"/>
    <x v="0"/>
    <s v="USA"/>
    <s v="L. Chen"/>
    <x v="5"/>
    <s v="Billing"/>
    <n v="5.0000000000000001E-3"/>
    <s v="Enterprise"/>
    <s v="High Value"/>
    <s v="Yes"/>
    <s v="No"/>
    <x v="0"/>
    <x v="1"/>
    <s v="NAQ3"/>
    <n v="273000"/>
  </r>
  <r>
    <s v="TXN-100112"/>
    <d v="2024-03-07T00:00:00"/>
    <x v="105"/>
    <s v="SVC-06"/>
    <n v="532.30999999999995"/>
    <x v="0"/>
    <s v="ACH"/>
    <m/>
    <x v="3"/>
    <s v="Philippines"/>
    <s v="T. Novak"/>
    <x v="4"/>
    <s v="Platform"/>
    <n v="0"/>
    <s v="Startup"/>
    <s v="High Value"/>
    <s v="Yes"/>
    <s v="Yes"/>
    <x v="1"/>
    <x v="3"/>
    <s v="APACQ1"/>
    <n v="104500"/>
  </r>
  <r>
    <s v="TXN-101377"/>
    <d v="2024-07-31T00:00:00"/>
    <x v="119"/>
    <s v="SVC-07"/>
    <n v="400.14"/>
    <x v="0"/>
    <s v="ACH"/>
    <m/>
    <x v="1"/>
    <s v="USA"/>
    <s v="R. Patel"/>
    <x v="7"/>
    <s v="Support"/>
    <n v="0"/>
    <s v="SMB"/>
    <s v="High Value"/>
    <s v="Yes"/>
    <s v="Yes"/>
    <x v="0"/>
    <x v="1"/>
    <s v="NAQ3"/>
    <n v="273000"/>
  </r>
  <r>
    <s v="TXN-101842"/>
    <d v="2024-08-11T00:00:00"/>
    <x v="41"/>
    <s v="SVC-08"/>
    <n v="183.34"/>
    <x v="1"/>
    <s v="ACH"/>
    <m/>
    <x v="0"/>
    <s v="Canada"/>
    <s v="M. Santos"/>
    <x v="1"/>
    <s v="Risk"/>
    <n v="2.5000000000000001E-3"/>
    <s v="N/A"/>
    <s v="Standard"/>
    <s v="Yes"/>
    <s v="Yes"/>
    <x v="0"/>
    <x v="1"/>
    <s v="NAQ3"/>
    <n v="273000"/>
  </r>
  <r>
    <s v="TXN-100225"/>
    <d v="2024-09-05T00:00:00"/>
    <x v="106"/>
    <s v="SVC-04"/>
    <n v="266.63"/>
    <x v="3"/>
    <s v="Debit Card"/>
    <m/>
    <x v="1"/>
    <s v="USA"/>
    <s v="J. Reyes"/>
    <x v="2"/>
    <s v="Risk"/>
    <n v="1E-3"/>
    <s v="N/A"/>
    <s v="High Value"/>
    <s v="Yes"/>
    <s v="No"/>
    <x v="0"/>
    <x v="1"/>
    <s v="NAQ3"/>
    <n v="273000"/>
  </r>
  <r>
    <s v="TXN-100684"/>
    <d v="2024-05-22T00:00:00"/>
    <x v="11"/>
    <s v="SVC-01"/>
    <n v="874.58"/>
    <x v="0"/>
    <s v="Debit Card"/>
    <s v="escalated to support"/>
    <x v="0"/>
    <s v="United Kingdom"/>
    <s v="L. Chen"/>
    <x v="0"/>
    <s v="Payments"/>
    <n v="2.9000000000000001E-2"/>
    <s v="Enterprise"/>
    <s v="High Value"/>
    <s v="Yes"/>
    <s v="No"/>
    <x v="2"/>
    <x v="0"/>
    <s v="EMEAQ2"/>
    <n v="140000"/>
  </r>
  <r>
    <s v="TXN-101094"/>
    <d v="2024-07-29T00:00:00"/>
    <x v="98"/>
    <s v="SVC-03"/>
    <n v="252.51"/>
    <x v="0"/>
    <s v="ACH"/>
    <s v="callback requested"/>
    <x v="1"/>
    <s v="Philippines"/>
    <s v="T. Novak"/>
    <x v="5"/>
    <s v="Billing"/>
    <n v="5.0000000000000001E-3"/>
    <s v="SMB"/>
    <s v="High Value"/>
    <s v="Yes"/>
    <s v="Yes"/>
    <x v="1"/>
    <x v="1"/>
    <s v="APACQ3"/>
    <n v="115500"/>
  </r>
  <r>
    <s v="TXN-100785"/>
    <d v="2024-11-19T00:00:00"/>
    <x v="53"/>
    <s v="SVC-08"/>
    <n v="846.56"/>
    <x v="0"/>
    <s v="ACH"/>
    <m/>
    <x v="0"/>
    <s v="Singapore"/>
    <s v="L. Chen"/>
    <x v="1"/>
    <s v="Risk"/>
    <n v="2.5000000000000001E-3"/>
    <s v="Enterprise"/>
    <s v="High Value"/>
    <s v="Yes"/>
    <s v="No"/>
    <x v="1"/>
    <x v="2"/>
    <s v="APACQ4"/>
    <n v="126500"/>
  </r>
  <r>
    <s v="TXN-100670"/>
    <d v="2024-07-06T00:00:00"/>
    <x v="10"/>
    <s v="SVC-01"/>
    <n v="627.62"/>
    <x v="0"/>
    <s v="ACH"/>
    <s v="escalated to support"/>
    <x v="1"/>
    <s v="USA"/>
    <s v="T. Novak"/>
    <x v="0"/>
    <s v="Payments"/>
    <n v="2.9000000000000001E-2"/>
    <s v="SMB"/>
    <s v="High Value"/>
    <s v="Yes"/>
    <s v="No"/>
    <x v="0"/>
    <x v="1"/>
    <s v="NAQ3"/>
    <n v="273000"/>
  </r>
  <r>
    <s v="TXN-100858"/>
    <d v="2024-11-02T00:00:00"/>
    <x v="110"/>
    <s v="SVC-02"/>
    <n v="368.5"/>
    <x v="0"/>
    <s v="Wire Transfer"/>
    <s v="VIP account"/>
    <x v="0"/>
    <s v="USA"/>
    <s v="A. Kim"/>
    <x v="6"/>
    <s v="HR &amp; Payroll"/>
    <n v="0"/>
    <s v="Enterprise"/>
    <s v="High Value"/>
    <s v="Yes"/>
    <s v="No"/>
    <x v="0"/>
    <x v="2"/>
    <s v="NAQ4"/>
    <n v="299000"/>
  </r>
  <r>
    <s v="TXN-102583"/>
    <d v="2024-06-09T00:00:00"/>
    <x v="25"/>
    <s v="SVC-01"/>
    <n v="258.52"/>
    <x v="0"/>
    <s v="ACH"/>
    <m/>
    <x v="0"/>
    <s v="USA"/>
    <s v="A. Kim"/>
    <x v="0"/>
    <s v="Payments"/>
    <n v="2.9000000000000001E-2"/>
    <s v="Enterprise"/>
    <s v="Standard"/>
    <s v="No"/>
    <s v="No"/>
    <x v="0"/>
    <x v="0"/>
    <s v="NAQ2"/>
    <n v="260000"/>
  </r>
  <r>
    <s v="TXN-100266"/>
    <d v="2024-10-16T00:00:00"/>
    <x v="17"/>
    <s v="SVC-02"/>
    <n v="215.39"/>
    <x v="0"/>
    <s v="ACH"/>
    <m/>
    <x v="1"/>
    <s v="USA"/>
    <s v="A. Kim"/>
    <x v="6"/>
    <s v="HR &amp; Payroll"/>
    <n v="0"/>
    <s v="SMB"/>
    <s v="Standard"/>
    <s v="Yes"/>
    <s v="No"/>
    <x v="0"/>
    <x v="2"/>
    <s v="NAQ4"/>
    <n v="299000"/>
  </r>
  <r>
    <s v="TXN-102420"/>
    <d v="2024-07-16T00:00:00"/>
    <x v="13"/>
    <s v="SVC-05"/>
    <n v="717.27"/>
    <x v="3"/>
    <s v="Credit Card"/>
    <s v="callback requested"/>
    <x v="0"/>
    <s v="Canada"/>
    <s v="J. Reyes"/>
    <x v="3"/>
    <s v="Analytics"/>
    <n v="0"/>
    <s v="N/A"/>
    <s v="High Value"/>
    <s v="Yes"/>
    <s v="No"/>
    <x v="0"/>
    <x v="1"/>
    <s v="NAQ3"/>
    <n v="273000"/>
  </r>
  <r>
    <s v="TXN-100847"/>
    <d v="2024-09-16T00:00:00"/>
    <x v="26"/>
    <s v="SVC-01"/>
    <n v="1536.29"/>
    <x v="0"/>
    <s v="Credit Card"/>
    <s v="escalated to support"/>
    <x v="3"/>
    <s v="USA"/>
    <s v="R. Patel"/>
    <x v="0"/>
    <s v="Payments"/>
    <n v="2.9000000000000001E-2"/>
    <s v="Startup"/>
    <s v="High Value"/>
    <s v="Yes"/>
    <s v="No"/>
    <x v="0"/>
    <x v="1"/>
    <s v="NAQ3"/>
    <n v="273000"/>
  </r>
  <r>
    <s v="TXN-100012"/>
    <d v="2024-07-24T00:00:00"/>
    <x v="104"/>
    <s v="SVC-01"/>
    <n v="479.33"/>
    <x v="3"/>
    <s v="Credit Card"/>
    <m/>
    <x v="1"/>
    <s v="USA"/>
    <s v="M. Santos"/>
    <x v="0"/>
    <s v="Payments"/>
    <n v="2.9000000000000001E-2"/>
    <s v="N/A"/>
    <s v="Standard"/>
    <s v="Yes"/>
    <s v="No"/>
    <x v="0"/>
    <x v="1"/>
    <s v="NAQ3"/>
    <n v="273000"/>
  </r>
  <r>
    <s v="TXN-100645"/>
    <d v="2024-09-05T00:00:00"/>
    <x v="71"/>
    <s v="SVC-02"/>
    <n v="796.62"/>
    <x v="0"/>
    <s v="ACH"/>
    <m/>
    <x v="1"/>
    <s v="United Kingdom"/>
    <s v="R. Patel"/>
    <x v="6"/>
    <s v="HR &amp; Payroll"/>
    <n v="0"/>
    <s v="SMB"/>
    <s v="High Value"/>
    <s v="Yes"/>
    <s v="No"/>
    <x v="2"/>
    <x v="1"/>
    <s v="EMEAQ3"/>
    <n v="147000"/>
  </r>
  <r>
    <s v="TXN-101723"/>
    <d v="2024-09-13T00:00:00"/>
    <x v="45"/>
    <s v="SVC-01"/>
    <n v="663.44"/>
    <x v="1"/>
    <s v="Debit Card"/>
    <m/>
    <x v="0"/>
    <s v="United Kingdom"/>
    <s v="R. Patel"/>
    <x v="0"/>
    <s v="Payments"/>
    <n v="2.9000000000000001E-2"/>
    <s v="N/A"/>
    <s v="High Value"/>
    <s v="Yes"/>
    <s v="No"/>
    <x v="2"/>
    <x v="1"/>
    <s v="EMEAQ3"/>
    <n v="147000"/>
  </r>
  <r>
    <s v="TXN-101281"/>
    <d v="2024-06-22T00:00:00"/>
    <x v="77"/>
    <s v="SVC-02"/>
    <n v="901.28"/>
    <x v="0"/>
    <s v="Credit Card"/>
    <m/>
    <x v="1"/>
    <s v="Australia"/>
    <s v="L. Chen"/>
    <x v="6"/>
    <s v="HR &amp; Payroll"/>
    <n v="0"/>
    <s v="SMB"/>
    <s v="High Value"/>
    <s v="Yes"/>
    <s v="No"/>
    <x v="1"/>
    <x v="0"/>
    <s v="APACQ2"/>
    <n v="110000"/>
  </r>
  <r>
    <s v="TXN-101763"/>
    <d v="2024-02-09T00:00:00"/>
    <x v="123"/>
    <s v="SVC-01"/>
    <n v="-222.68"/>
    <x v="2"/>
    <s v="Credit Card"/>
    <s v="callback requested"/>
    <x v="3"/>
    <s v="Australia"/>
    <s v="L. Chen"/>
    <x v="0"/>
    <s v="Payments"/>
    <n v="2.9000000000000001E-2"/>
    <s v="N/A"/>
    <s v="Refund"/>
    <s v="No"/>
    <s v="No"/>
    <x v="1"/>
    <x v="3"/>
    <s v="APACQ1"/>
    <n v="104500"/>
  </r>
  <r>
    <s v="TXN-100629"/>
    <d v="2024-02-27T00:00:00"/>
    <x v="28"/>
    <s v="SVC-02"/>
    <n v="380.22"/>
    <x v="0"/>
    <s v="ACH"/>
    <s v="VIP account"/>
    <x v="1"/>
    <s v="United Kingdom"/>
    <s v="L. Chen"/>
    <x v="6"/>
    <s v="HR &amp; Payroll"/>
    <n v="0"/>
    <s v="SMB"/>
    <s v="High Value"/>
    <s v="Yes"/>
    <s v="No"/>
    <x v="2"/>
    <x v="3"/>
    <s v="EMEAQ1"/>
    <n v="133000"/>
  </r>
  <r>
    <s v="TXN-101703"/>
    <d v="2024-10-09T00:00:00"/>
    <x v="14"/>
    <s v="SVC-07"/>
    <n v="265.89"/>
    <x v="0"/>
    <s v="ACH"/>
    <m/>
    <x v="3"/>
    <s v="Canada"/>
    <s v="A. Kim"/>
    <x v="7"/>
    <s v="Support"/>
    <n v="0"/>
    <s v="Startup"/>
    <s v="High Value"/>
    <s v="Yes"/>
    <s v="Yes"/>
    <x v="0"/>
    <x v="2"/>
    <s v="NAQ4"/>
    <n v="299000"/>
  </r>
  <r>
    <s v="TXN-100247"/>
    <d v="2024-03-02T00:00:00"/>
    <x v="25"/>
    <s v="SVC-04"/>
    <n v="1230.44"/>
    <x v="0"/>
    <s v="ACH"/>
    <s v="VIP account"/>
    <x v="0"/>
    <s v="USA"/>
    <s v="A. Kim"/>
    <x v="2"/>
    <s v="Risk"/>
    <n v="1E-3"/>
    <s v="Enterprise"/>
    <s v="High Value"/>
    <s v="Yes"/>
    <s v="Yes"/>
    <x v="0"/>
    <x v="3"/>
    <s v="NAQ1"/>
    <n v="247000"/>
  </r>
  <r>
    <s v="TXN-102285"/>
    <d v="2024-02-21T00:00:00"/>
    <x v="112"/>
    <s v="SVC-03"/>
    <n v="354.74"/>
    <x v="0"/>
    <s v="Credit Card"/>
    <m/>
    <x v="1"/>
    <s v="USA"/>
    <s v="A. Kim"/>
    <x v="5"/>
    <s v="Billing"/>
    <n v="5.0000000000000001E-3"/>
    <s v="SMB"/>
    <s v="High Value"/>
    <s v="Yes"/>
    <s v="No"/>
    <x v="0"/>
    <x v="3"/>
    <s v="NAQ1"/>
    <n v="247000"/>
  </r>
  <r>
    <s v="TXN-101451"/>
    <d v="2024-12-12T00:00:00"/>
    <x v="127"/>
    <s v="SVC-03"/>
    <n v="74.16"/>
    <x v="0"/>
    <s v="Credit Card"/>
    <s v="VIP account"/>
    <x v="0"/>
    <s v="USA"/>
    <s v="R. Patel"/>
    <x v="5"/>
    <s v="Billing"/>
    <n v="5.0000000000000001E-3"/>
    <s v="Enterprise"/>
    <s v="Standard"/>
    <s v="Yes"/>
    <s v="Yes"/>
    <x v="0"/>
    <x v="2"/>
    <s v="NAQ4"/>
    <n v="299000"/>
  </r>
  <r>
    <s v="TXN-101812"/>
    <d v="2024-07-17T00:00:00"/>
    <x v="67"/>
    <s v="SVC-01"/>
    <n v="594.21"/>
    <x v="0"/>
    <s v="Debit Card"/>
    <s v="VIP account"/>
    <x v="3"/>
    <s v="Australia"/>
    <s v="Unassigned"/>
    <x v="0"/>
    <s v="Payments"/>
    <n v="2.9000000000000001E-2"/>
    <s v="Startup"/>
    <s v="High Value"/>
    <s v="Yes"/>
    <s v="No"/>
    <x v="1"/>
    <x v="1"/>
    <s v="APACQ3"/>
    <n v="115500"/>
  </r>
  <r>
    <s v="TXN-101184"/>
    <d v="2024-07-28T00:00:00"/>
    <x v="10"/>
    <s v="SVC-02"/>
    <n v="395.98"/>
    <x v="0"/>
    <s v="Credit Card"/>
    <s v="escalated to support"/>
    <x v="1"/>
    <s v="USA"/>
    <s v="T. Novak"/>
    <x v="6"/>
    <s v="HR &amp; Payroll"/>
    <n v="0"/>
    <s v="SMB"/>
    <s v="High Value"/>
    <s v="Yes"/>
    <s v="No"/>
    <x v="0"/>
    <x v="1"/>
    <s v="NAQ3"/>
    <n v="273000"/>
  </r>
  <r>
    <s v="TXN-100571"/>
    <d v="2024-11-29T00:00:00"/>
    <x v="79"/>
    <s v="SVC-04"/>
    <n v="328.11"/>
    <x v="3"/>
    <s v="ACH"/>
    <m/>
    <x v="3"/>
    <s v="USA"/>
    <s v="T. Novak"/>
    <x v="2"/>
    <s v="Risk"/>
    <n v="1E-3"/>
    <s v="N/A"/>
    <s v="High Value"/>
    <s v="Yes"/>
    <s v="Yes"/>
    <x v="0"/>
    <x v="2"/>
    <s v="NAQ4"/>
    <n v="299000"/>
  </r>
  <r>
    <s v="TXN-102321"/>
    <d v="2024-09-21T00:00:00"/>
    <x v="11"/>
    <s v="SVC-06"/>
    <n v="464.08"/>
    <x v="1"/>
    <s v="Credit Card"/>
    <s v="escalated to support"/>
    <x v="0"/>
    <s v="United Kingdom"/>
    <s v="L. Chen"/>
    <x v="4"/>
    <s v="Platform"/>
    <n v="0"/>
    <s v="N/A"/>
    <s v="High Value"/>
    <s v="Yes"/>
    <s v="No"/>
    <x v="2"/>
    <x v="1"/>
    <s v="EMEAQ3"/>
    <n v="147000"/>
  </r>
  <r>
    <s v="TXN-102540"/>
    <d v="2024-04-26T00:00:00"/>
    <x v="134"/>
    <s v="SVC-01"/>
    <n v="258.36"/>
    <x v="0"/>
    <s v="Wire Transfer"/>
    <s v="callback requested"/>
    <x v="1"/>
    <s v="Philippines"/>
    <s v="T. Novak"/>
    <x v="0"/>
    <s v="Payments"/>
    <n v="2.9000000000000001E-2"/>
    <s v="SMB"/>
    <s v="Standard"/>
    <s v="No"/>
    <s v="No"/>
    <x v="1"/>
    <x v="0"/>
    <s v="APACQ2"/>
    <n v="110000"/>
  </r>
  <r>
    <s v="TXN-102536"/>
    <d v="2024-09-08T00:00:00"/>
    <x v="39"/>
    <s v="SVC-06"/>
    <n v="315.98"/>
    <x v="0"/>
    <s v="Unknown"/>
    <s v="VIP account"/>
    <x v="1"/>
    <s v="United Kingdom"/>
    <s v="A. Kim"/>
    <x v="4"/>
    <s v="Platform"/>
    <n v="0"/>
    <s v="SMB"/>
    <s v="High Value"/>
    <s v="Yes"/>
    <s v="No"/>
    <x v="2"/>
    <x v="1"/>
    <s v="EMEAQ3"/>
    <n v="147000"/>
  </r>
  <r>
    <s v="TXN-101206"/>
    <d v="2024-01-08T00:00:00"/>
    <x v="63"/>
    <s v="SVC-02"/>
    <n v="537.46"/>
    <x v="1"/>
    <s v="Debit Card"/>
    <s v="callback requested"/>
    <x v="1"/>
    <s v="Philippines"/>
    <s v="T. Novak"/>
    <x v="6"/>
    <s v="HR &amp; Payroll"/>
    <n v="0"/>
    <s v="N/A"/>
    <s v="High Value"/>
    <s v="Yes"/>
    <s v="No"/>
    <x v="1"/>
    <x v="3"/>
    <s v="APACQ1"/>
    <n v="104500"/>
  </r>
  <r>
    <s v="TXN-100602"/>
    <d v="2024-07-11T00:00:00"/>
    <x v="121"/>
    <s v="SVC-07"/>
    <n v="379.89"/>
    <x v="1"/>
    <s v="Credit Card"/>
    <m/>
    <x v="0"/>
    <s v="USA"/>
    <s v="J. Reyes"/>
    <x v="7"/>
    <s v="Support"/>
    <n v="0"/>
    <s v="N/A"/>
    <s v="High Value"/>
    <s v="Yes"/>
    <s v="No"/>
    <x v="0"/>
    <x v="1"/>
    <s v="NAQ3"/>
    <n v="273000"/>
  </r>
  <r>
    <s v="TXN-101048"/>
    <d v="2024-09-06T00:00:00"/>
    <x v="58"/>
    <s v="SVC-08"/>
    <n v="94.54"/>
    <x v="0"/>
    <s v="Credit Card"/>
    <m/>
    <x v="1"/>
    <s v="Canada"/>
    <s v="M. Santos"/>
    <x v="1"/>
    <s v="Risk"/>
    <n v="2.5000000000000001E-3"/>
    <s v="SMB"/>
    <s v="Standard"/>
    <s v="Yes"/>
    <s v="No"/>
    <x v="0"/>
    <x v="1"/>
    <s v="NAQ3"/>
    <n v="273000"/>
  </r>
  <r>
    <s v="TXN-101814"/>
    <d v="2024-10-27T00:00:00"/>
    <x v="26"/>
    <s v="SVC-06"/>
    <n v="454.59"/>
    <x v="0"/>
    <s v="ACH"/>
    <m/>
    <x v="3"/>
    <s v="USA"/>
    <s v="R. Patel"/>
    <x v="4"/>
    <s v="Platform"/>
    <n v="0"/>
    <s v="Startup"/>
    <s v="High Value"/>
    <s v="Yes"/>
    <s v="Yes"/>
    <x v="0"/>
    <x v="2"/>
    <s v="NAQ4"/>
    <n v="299000"/>
  </r>
  <r>
    <s v="TXN-101084"/>
    <d v="2024-12-13T00:00:00"/>
    <x v="54"/>
    <s v="SVC-01"/>
    <n v="461.17"/>
    <x v="0"/>
    <s v="Credit Card"/>
    <m/>
    <x v="1"/>
    <s v="USA"/>
    <s v="J. Reyes"/>
    <x v="0"/>
    <s v="Payments"/>
    <n v="2.9000000000000001E-2"/>
    <s v="SMB"/>
    <s v="Standard"/>
    <s v="Yes"/>
    <s v="No"/>
    <x v="0"/>
    <x v="2"/>
    <s v="NAQ4"/>
    <n v="299000"/>
  </r>
  <r>
    <s v="TXN-100533"/>
    <d v="2024-09-25T00:00:00"/>
    <x v="119"/>
    <s v="SVC-05"/>
    <n v="498.72"/>
    <x v="0"/>
    <s v="Debit Card"/>
    <m/>
    <x v="1"/>
    <s v="USA"/>
    <s v="R. Patel"/>
    <x v="3"/>
    <s v="Analytics"/>
    <n v="0"/>
    <s v="SMB"/>
    <s v="High Value"/>
    <s v="Yes"/>
    <s v="No"/>
    <x v="0"/>
    <x v="1"/>
    <s v="NAQ3"/>
    <n v="273000"/>
  </r>
  <r>
    <s v="TXN-102386"/>
    <d v="2024-08-27T00:00:00"/>
    <x v="15"/>
    <s v="SVC-01"/>
    <n v="245.76"/>
    <x v="0"/>
    <s v="Wire Transfer"/>
    <m/>
    <x v="0"/>
    <s v="USA"/>
    <s v="L. Chen"/>
    <x v="0"/>
    <s v="Payments"/>
    <n v="2.9000000000000001E-2"/>
    <s v="Enterprise"/>
    <s v="Standard"/>
    <s v="No"/>
    <s v="No"/>
    <x v="0"/>
    <x v="1"/>
    <s v="NAQ3"/>
    <n v="273000"/>
  </r>
  <r>
    <s v="TXN-100962"/>
    <d v="2024-03-07T00:00:00"/>
    <x v="111"/>
    <s v="SVC-05"/>
    <n v="1141.01"/>
    <x v="0"/>
    <s v="ACH"/>
    <s v="escalated to support"/>
    <x v="1"/>
    <s v="Australia"/>
    <s v="A. Kim"/>
    <x v="3"/>
    <s v="Analytics"/>
    <n v="0"/>
    <s v="SMB"/>
    <s v="High Value"/>
    <s v="Yes"/>
    <s v="Yes"/>
    <x v="1"/>
    <x v="3"/>
    <s v="APACQ1"/>
    <n v="104500"/>
  </r>
  <r>
    <s v="TXN-101257"/>
    <d v="2024-11-22T00:00:00"/>
    <x v="27"/>
    <s v="SVC-02"/>
    <n v="342.01"/>
    <x v="0"/>
    <s v="ACH"/>
    <s v="escalated to support"/>
    <x v="1"/>
    <s v="Canada"/>
    <s v="L. Chen"/>
    <x v="6"/>
    <s v="HR &amp; Payroll"/>
    <n v="0"/>
    <s v="SMB"/>
    <s v="High Value"/>
    <s v="Yes"/>
    <s v="No"/>
    <x v="0"/>
    <x v="2"/>
    <s v="NAQ4"/>
    <n v="299000"/>
  </r>
  <r>
    <s v="TXN-100791"/>
    <d v="2024-07-08T00:00:00"/>
    <x v="1"/>
    <s v="SVC-01"/>
    <n v="130.88999999999999"/>
    <x v="1"/>
    <s v="ACH"/>
    <m/>
    <x v="0"/>
    <s v="USA"/>
    <s v="J. Reyes"/>
    <x v="0"/>
    <s v="Payments"/>
    <n v="2.9000000000000001E-2"/>
    <s v="N/A"/>
    <s v="Standard"/>
    <s v="No"/>
    <s v="No"/>
    <x v="0"/>
    <x v="1"/>
    <s v="NAQ3"/>
    <n v="273000"/>
  </r>
  <r>
    <s v="TXN-101539"/>
    <d v="2024-04-26T00:00:00"/>
    <x v="85"/>
    <s v="SVC-04"/>
    <n v="213.35"/>
    <x v="0"/>
    <s v="Debit Card"/>
    <s v="VIP account"/>
    <x v="0"/>
    <s v="Canada"/>
    <s v="T. Novak"/>
    <x v="2"/>
    <s v="Risk"/>
    <n v="1E-3"/>
    <s v="Enterprise"/>
    <s v="Standard"/>
    <s v="Yes"/>
    <s v="Yes"/>
    <x v="0"/>
    <x v="0"/>
    <s v="NAQ2"/>
    <n v="260000"/>
  </r>
  <r>
    <s v="TXN-100644"/>
    <d v="2024-12-23T00:00:00"/>
    <x v="67"/>
    <s v="SVC-01"/>
    <n v="762.36"/>
    <x v="0"/>
    <s v="Credit Card"/>
    <m/>
    <x v="3"/>
    <s v="Australia"/>
    <s v="Unassigned"/>
    <x v="0"/>
    <s v="Payments"/>
    <n v="2.9000000000000001E-2"/>
    <s v="Startup"/>
    <s v="High Value"/>
    <s v="Yes"/>
    <s v="No"/>
    <x v="1"/>
    <x v="2"/>
    <s v="APACQ4"/>
    <n v="126500"/>
  </r>
  <r>
    <s v="TXN-101966"/>
    <d v="2024-01-26T00:00:00"/>
    <x v="21"/>
    <s v="SVC-04"/>
    <n v="478.99"/>
    <x v="1"/>
    <s v="Credit Card"/>
    <m/>
    <x v="0"/>
    <s v="Australia"/>
    <s v="M. Santos"/>
    <x v="2"/>
    <s v="Risk"/>
    <n v="1E-3"/>
    <s v="N/A"/>
    <s v="High Value"/>
    <s v="Yes"/>
    <s v="No"/>
    <x v="1"/>
    <x v="3"/>
    <s v="APACQ1"/>
    <n v="104500"/>
  </r>
  <r>
    <s v="TXN-101378"/>
    <d v="2024-12-27T00:00:00"/>
    <x v="23"/>
    <s v="SVC-06"/>
    <n v="748.96"/>
    <x v="3"/>
    <s v="Debit Card"/>
    <s v="callback requested"/>
    <x v="0"/>
    <s v="USA"/>
    <s v="L. Chen"/>
    <x v="4"/>
    <s v="Platform"/>
    <n v="0"/>
    <s v="N/A"/>
    <s v="High Value"/>
    <s v="Yes"/>
    <s v="No"/>
    <x v="0"/>
    <x v="2"/>
    <s v="NAQ4"/>
    <n v="299000"/>
  </r>
  <r>
    <s v="TXN-100749"/>
    <d v="2024-07-05T00:00:00"/>
    <x v="34"/>
    <s v="SVC-01"/>
    <n v="547.85"/>
    <x v="0"/>
    <s v="Debit Card"/>
    <s v="callback requested"/>
    <x v="1"/>
    <s v="Germany"/>
    <s v="M. Santos"/>
    <x v="0"/>
    <s v="Payments"/>
    <n v="2.9000000000000001E-2"/>
    <s v="SMB"/>
    <s v="High Value"/>
    <s v="Yes"/>
    <s v="No"/>
    <x v="2"/>
    <x v="1"/>
    <s v="EMEAQ3"/>
    <n v="147000"/>
  </r>
  <r>
    <s v="TXN-101002"/>
    <d v="2024-07-01T00:00:00"/>
    <x v="87"/>
    <s v="SVC-06"/>
    <n v="-286.95"/>
    <x v="2"/>
    <s v="ACH"/>
    <s v="callback requested"/>
    <x v="1"/>
    <s v="United Kingdom"/>
    <s v="J. Reyes"/>
    <x v="4"/>
    <s v="Platform"/>
    <n v="0"/>
    <s v="N/A"/>
    <s v="Refund"/>
    <s v="No"/>
    <s v="No"/>
    <x v="2"/>
    <x v="1"/>
    <s v="EMEAQ3"/>
    <n v="147000"/>
  </r>
  <r>
    <s v="TXN-100510"/>
    <d v="2024-02-13T00:00:00"/>
    <x v="123"/>
    <s v="SVC-04"/>
    <n v="568.36"/>
    <x v="0"/>
    <s v="Debit Card"/>
    <s v="VIP account"/>
    <x v="3"/>
    <s v="Australia"/>
    <s v="L. Chen"/>
    <x v="2"/>
    <s v="Risk"/>
    <n v="1E-3"/>
    <s v="Startup"/>
    <s v="High Value"/>
    <s v="Yes"/>
    <s v="Yes"/>
    <x v="1"/>
    <x v="3"/>
    <s v="APACQ1"/>
    <n v="104500"/>
  </r>
  <r>
    <s v="TXN-101631"/>
    <d v="2024-09-28T00:00:00"/>
    <x v="121"/>
    <s v="SVC-08"/>
    <n v="701.81"/>
    <x v="0"/>
    <s v="Wire Transfer"/>
    <s v="callback requested"/>
    <x v="0"/>
    <s v="USA"/>
    <s v="J. Reyes"/>
    <x v="1"/>
    <s v="Risk"/>
    <n v="2.5000000000000001E-3"/>
    <s v="Enterprise"/>
    <s v="High Value"/>
    <s v="Yes"/>
    <s v="No"/>
    <x v="0"/>
    <x v="1"/>
    <s v="NAQ3"/>
    <n v="273000"/>
  </r>
  <r>
    <s v="TXN-100708"/>
    <d v="2024-06-03T00:00:00"/>
    <x v="72"/>
    <s v="SVC-04"/>
    <n v="-219.5"/>
    <x v="2"/>
    <s v="ACH"/>
    <s v="VIP account"/>
    <x v="1"/>
    <s v="United Kingdom"/>
    <s v="A. Kim"/>
    <x v="2"/>
    <s v="Risk"/>
    <n v="1E-3"/>
    <s v="N/A"/>
    <s v="Refund"/>
    <s v="No"/>
    <s v="No"/>
    <x v="2"/>
    <x v="0"/>
    <s v="EMEAQ2"/>
    <n v="140000"/>
  </r>
  <r>
    <s v="TXN-100648"/>
    <d v="2024-06-04T00:00:00"/>
    <x v="116"/>
    <s v="SVC-01"/>
    <n v="373.25"/>
    <x v="0"/>
    <s v="ACH"/>
    <s v="escalated to support"/>
    <x v="1"/>
    <s v="USA"/>
    <s v="J. Reyes"/>
    <x v="0"/>
    <s v="Payments"/>
    <n v="2.9000000000000001E-2"/>
    <s v="SMB"/>
    <s v="Standard"/>
    <s v="Yes"/>
    <s v="No"/>
    <x v="0"/>
    <x v="0"/>
    <s v="NAQ2"/>
    <n v="260000"/>
  </r>
  <r>
    <s v="TXN-101973"/>
    <d v="2024-12-14T00:00:00"/>
    <x v="14"/>
    <s v="SVC-01"/>
    <n v="585.52"/>
    <x v="0"/>
    <s v="ACH"/>
    <m/>
    <x v="3"/>
    <s v="Canada"/>
    <s v="A. Kim"/>
    <x v="0"/>
    <s v="Payments"/>
    <n v="2.9000000000000001E-2"/>
    <s v="Startup"/>
    <s v="High Value"/>
    <s v="Yes"/>
    <s v="No"/>
    <x v="0"/>
    <x v="2"/>
    <s v="NAQ4"/>
    <n v="299000"/>
  </r>
  <r>
    <s v="TXN-100375"/>
    <d v="2024-10-11T00:00:00"/>
    <x v="1"/>
    <s v="SVC-03"/>
    <n v="1113.6300000000001"/>
    <x v="0"/>
    <s v="Credit Card"/>
    <s v="callback requested"/>
    <x v="0"/>
    <s v="USA"/>
    <s v="J. Reyes"/>
    <x v="5"/>
    <s v="Billing"/>
    <n v="5.0000000000000001E-3"/>
    <s v="Enterprise"/>
    <s v="High Value"/>
    <s v="Yes"/>
    <s v="No"/>
    <x v="0"/>
    <x v="2"/>
    <s v="NAQ4"/>
    <n v="299000"/>
  </r>
  <r>
    <s v="TXN-101000"/>
    <d v="2024-04-13T00:00:00"/>
    <x v="134"/>
    <s v="SVC-01"/>
    <n v="224.5"/>
    <x v="0"/>
    <s v="ACH"/>
    <s v="VIP account"/>
    <x v="1"/>
    <s v="Philippines"/>
    <s v="T. Novak"/>
    <x v="0"/>
    <s v="Payments"/>
    <n v="2.9000000000000001E-2"/>
    <s v="SMB"/>
    <s v="Standard"/>
    <s v="No"/>
    <s v="No"/>
    <x v="1"/>
    <x v="0"/>
    <s v="APACQ2"/>
    <n v="110000"/>
  </r>
  <r>
    <s v="TXN-101996"/>
    <d v="2024-03-07T00:00:00"/>
    <x v="55"/>
    <s v="SVC-01"/>
    <n v="114.68"/>
    <x v="0"/>
    <s v="Debit Card"/>
    <s v="callback requested"/>
    <x v="3"/>
    <s v="USA"/>
    <s v="J. Reyes"/>
    <x v="0"/>
    <s v="Payments"/>
    <n v="2.9000000000000001E-2"/>
    <s v="Startup"/>
    <s v="Standard"/>
    <s v="No"/>
    <s v="No"/>
    <x v="0"/>
    <x v="3"/>
    <s v="NAQ1"/>
    <n v="247000"/>
  </r>
  <r>
    <s v="TXN-102195"/>
    <d v="2024-02-10T00:00:00"/>
    <x v="112"/>
    <s v="SVC-06"/>
    <n v="403.21"/>
    <x v="0"/>
    <s v="Credit Card"/>
    <s v="VIP account"/>
    <x v="1"/>
    <s v="USA"/>
    <s v="A. Kim"/>
    <x v="4"/>
    <s v="Platform"/>
    <n v="0"/>
    <s v="SMB"/>
    <s v="High Value"/>
    <s v="Yes"/>
    <s v="No"/>
    <x v="0"/>
    <x v="3"/>
    <s v="NAQ1"/>
    <n v="247000"/>
  </r>
  <r>
    <s v="TXN-102004"/>
    <d v="2024-05-10T00:00:00"/>
    <x v="67"/>
    <s v="SVC-04"/>
    <n v="752.65"/>
    <x v="0"/>
    <s v="Unknown"/>
    <s v="callback requested"/>
    <x v="3"/>
    <s v="Australia"/>
    <s v="Unassigned"/>
    <x v="2"/>
    <s v="Risk"/>
    <n v="1E-3"/>
    <s v="Startup"/>
    <s v="High Value"/>
    <s v="Yes"/>
    <s v="Yes"/>
    <x v="1"/>
    <x v="0"/>
    <s v="APACQ2"/>
    <n v="110000"/>
  </r>
  <r>
    <s v="TXN-101712"/>
    <d v="2024-02-19T00:00:00"/>
    <x v="10"/>
    <s v="SVC-03"/>
    <n v="802.4"/>
    <x v="0"/>
    <s v="Debit Card"/>
    <m/>
    <x v="1"/>
    <s v="USA"/>
    <s v="T. Novak"/>
    <x v="5"/>
    <s v="Billing"/>
    <n v="5.0000000000000001E-3"/>
    <s v="SMB"/>
    <s v="High Value"/>
    <s v="Yes"/>
    <s v="No"/>
    <x v="0"/>
    <x v="3"/>
    <s v="NAQ1"/>
    <n v="247000"/>
  </r>
  <r>
    <s v="TXN-101625"/>
    <d v="2024-12-23T00:00:00"/>
    <x v="119"/>
    <s v="SVC-06"/>
    <n v="373.24"/>
    <x v="0"/>
    <s v="ACH"/>
    <s v="escalated to support"/>
    <x v="1"/>
    <s v="USA"/>
    <s v="R. Patel"/>
    <x v="4"/>
    <s v="Platform"/>
    <n v="0"/>
    <s v="SMB"/>
    <s v="High Value"/>
    <s v="Yes"/>
    <s v="No"/>
    <x v="0"/>
    <x v="2"/>
    <s v="NAQ4"/>
    <n v="299000"/>
  </r>
  <r>
    <s v="TXN-102246"/>
    <d v="2024-03-26T00:00:00"/>
    <x v="1"/>
    <s v="SVC-01"/>
    <n v="443.94"/>
    <x v="0"/>
    <s v="Wire Transfer"/>
    <s v="escalated to support"/>
    <x v="0"/>
    <s v="USA"/>
    <s v="J. Reyes"/>
    <x v="0"/>
    <s v="Payments"/>
    <n v="2.9000000000000001E-2"/>
    <s v="Enterprise"/>
    <s v="Standard"/>
    <s v="Yes"/>
    <s v="No"/>
    <x v="0"/>
    <x v="3"/>
    <s v="NAQ1"/>
    <n v="247000"/>
  </r>
  <r>
    <s v="TXN-102457"/>
    <d v="2024-01-25T00:00:00"/>
    <x v="38"/>
    <s v="SVC-08"/>
    <n v="555.26"/>
    <x v="0"/>
    <s v="ACH"/>
    <m/>
    <x v="0"/>
    <s v="Australia"/>
    <s v="A. Kim"/>
    <x v="1"/>
    <s v="Risk"/>
    <n v="2.5000000000000001E-3"/>
    <s v="Enterprise"/>
    <s v="High Value"/>
    <s v="Yes"/>
    <s v="No"/>
    <x v="1"/>
    <x v="3"/>
    <s v="APACQ1"/>
    <n v="104500"/>
  </r>
  <r>
    <s v="TXN-101874"/>
    <d v="2024-12-22T00:00:00"/>
    <x v="108"/>
    <s v="SVC-07"/>
    <n v="1091.51"/>
    <x v="0"/>
    <s v="Credit Card"/>
    <s v="callback requested"/>
    <x v="1"/>
    <s v="Germany"/>
    <s v="M. Santos"/>
    <x v="7"/>
    <s v="Support"/>
    <n v="0"/>
    <s v="SMB"/>
    <s v="High Value"/>
    <s v="Yes"/>
    <s v="Yes"/>
    <x v="2"/>
    <x v="2"/>
    <s v="EMEAQ4"/>
    <n v="161000"/>
  </r>
  <r>
    <s v="TXN-100600"/>
    <d v="2024-03-31T00:00:00"/>
    <x v="18"/>
    <s v="SVC-08"/>
    <n v="738.42"/>
    <x v="0"/>
    <s v="Credit Card"/>
    <m/>
    <x v="1"/>
    <s v="Philippines"/>
    <s v="R. Patel"/>
    <x v="1"/>
    <s v="Risk"/>
    <n v="2.5000000000000001E-3"/>
    <s v="SMB"/>
    <s v="High Value"/>
    <s v="Yes"/>
    <s v="Yes"/>
    <x v="1"/>
    <x v="3"/>
    <s v="APACQ1"/>
    <n v="104500"/>
  </r>
  <r>
    <s v="TXN-102529"/>
    <d v="2024-09-19T00:00:00"/>
    <x v="16"/>
    <s v="SVC-01"/>
    <n v="1045.78"/>
    <x v="0"/>
    <s v="ACH"/>
    <m/>
    <x v="1"/>
    <s v="Germany"/>
    <s v="R. Patel"/>
    <x v="0"/>
    <s v="Payments"/>
    <n v="2.9000000000000001E-2"/>
    <s v="SMB"/>
    <s v="High Value"/>
    <s v="Yes"/>
    <s v="No"/>
    <x v="2"/>
    <x v="1"/>
    <s v="EMEAQ3"/>
    <n v="147000"/>
  </r>
  <r>
    <s v="TXN-101788"/>
    <d v="2024-10-27T00:00:00"/>
    <x v="74"/>
    <s v="SVC-04"/>
    <n v="470.11"/>
    <x v="0"/>
    <s v="Unknown"/>
    <m/>
    <x v="0"/>
    <s v="USA"/>
    <s v="A. Kim"/>
    <x v="2"/>
    <s v="Risk"/>
    <n v="1E-3"/>
    <s v="Enterprise"/>
    <s v="High Value"/>
    <s v="Yes"/>
    <s v="No"/>
    <x v="0"/>
    <x v="2"/>
    <s v="NAQ4"/>
    <n v="299000"/>
  </r>
  <r>
    <s v="TXN-101769"/>
    <d v="2024-07-20T00:00:00"/>
    <x v="51"/>
    <s v="SVC-03"/>
    <n v="677.94"/>
    <x v="0"/>
    <s v="Debit Card"/>
    <m/>
    <x v="0"/>
    <s v="United Kingdom"/>
    <s v="R. Patel"/>
    <x v="5"/>
    <s v="Billing"/>
    <n v="5.0000000000000001E-3"/>
    <s v="Enterprise"/>
    <s v="High Value"/>
    <s v="Yes"/>
    <s v="No"/>
    <x v="2"/>
    <x v="1"/>
    <s v="EMEAQ3"/>
    <n v="147000"/>
  </r>
  <r>
    <s v="TXN-102606"/>
    <d v="2024-07-25T00:00:00"/>
    <x v="139"/>
    <s v="SVC-01"/>
    <n v="563.85"/>
    <x v="0"/>
    <s v="Wire Transfer"/>
    <m/>
    <x v="2"/>
    <m/>
    <m/>
    <x v="0"/>
    <s v="Payments"/>
    <n v="2.9000000000000001E-2"/>
    <s v="Customer Not Found"/>
    <s v="High Value"/>
    <s v="Yes"/>
    <s v="Yes"/>
    <x v="1"/>
    <x v="1"/>
    <s v="APACQ3"/>
    <n v="115500"/>
  </r>
  <r>
    <s v="TXN-100724"/>
    <d v="2024-02-17T00:00:00"/>
    <x v="68"/>
    <s v="SVC-04"/>
    <n v="443.13"/>
    <x v="0"/>
    <s v="Credit Card"/>
    <m/>
    <x v="1"/>
    <s v="USA"/>
    <s v="R. Patel"/>
    <x v="2"/>
    <s v="Risk"/>
    <n v="1E-3"/>
    <s v="SMB"/>
    <s v="High Value"/>
    <s v="Yes"/>
    <s v="Yes"/>
    <x v="0"/>
    <x v="3"/>
    <s v="NAQ1"/>
    <n v="247000"/>
  </r>
  <r>
    <s v="TXN-100795"/>
    <d v="2024-03-06T00:00:00"/>
    <x v="40"/>
    <s v="SVC-06"/>
    <n v="796.06"/>
    <x v="0"/>
    <s v="ACH"/>
    <s v="VIP account"/>
    <x v="1"/>
    <s v="Philippines"/>
    <s v="M. Santos"/>
    <x v="4"/>
    <s v="Platform"/>
    <n v="0"/>
    <s v="SMB"/>
    <s v="High Value"/>
    <s v="Yes"/>
    <s v="Yes"/>
    <x v="1"/>
    <x v="3"/>
    <s v="APACQ1"/>
    <n v="104500"/>
  </r>
  <r>
    <s v="TXN-100063"/>
    <d v="2024-08-08T00:00:00"/>
    <x v="99"/>
    <s v="SVC-01"/>
    <n v="348.81"/>
    <x v="0"/>
    <s v="Wire Transfer"/>
    <s v="VIP account"/>
    <x v="1"/>
    <s v="Canada"/>
    <s v="R. Patel"/>
    <x v="0"/>
    <s v="Payments"/>
    <n v="2.9000000000000001E-2"/>
    <s v="SMB"/>
    <s v="Standard"/>
    <s v="Yes"/>
    <s v="No"/>
    <x v="0"/>
    <x v="1"/>
    <s v="NAQ3"/>
    <n v="273000"/>
  </r>
  <r>
    <s v="TXN-101367"/>
    <d v="2024-12-15T00:00:00"/>
    <x v="101"/>
    <s v="SVC-02"/>
    <n v="234.16"/>
    <x v="0"/>
    <s v="ACH"/>
    <s v="callback requested"/>
    <x v="1"/>
    <s v="Canada"/>
    <s v="A. Kim"/>
    <x v="6"/>
    <s v="HR &amp; Payroll"/>
    <n v="0"/>
    <s v="SMB"/>
    <s v="Standard"/>
    <s v="Yes"/>
    <s v="No"/>
    <x v="0"/>
    <x v="2"/>
    <s v="NAQ4"/>
    <n v="299000"/>
  </r>
  <r>
    <s v="TXN-100563"/>
    <d v="2024-10-20T00:00:00"/>
    <x v="64"/>
    <s v="SVC-04"/>
    <n v="637.45000000000005"/>
    <x v="0"/>
    <s v="Debit Card"/>
    <s v="VIP account"/>
    <x v="1"/>
    <s v="United Kingdom"/>
    <s v="J. Reyes"/>
    <x v="2"/>
    <s v="Risk"/>
    <n v="1E-3"/>
    <s v="SMB"/>
    <s v="High Value"/>
    <s v="Yes"/>
    <s v="No"/>
    <x v="2"/>
    <x v="2"/>
    <s v="EMEAQ4"/>
    <n v="161000"/>
  </r>
  <r>
    <s v="TXN-102477"/>
    <d v="2024-12-18T00:00:00"/>
    <x v="96"/>
    <s v="SVC-02"/>
    <n v="659.76"/>
    <x v="0"/>
    <s v="Debit Card"/>
    <s v="VIP account"/>
    <x v="1"/>
    <s v="Philippines"/>
    <s v="A. Kim"/>
    <x v="6"/>
    <s v="HR &amp; Payroll"/>
    <n v="0"/>
    <s v="SMB"/>
    <s v="High Value"/>
    <s v="Yes"/>
    <s v="Yes"/>
    <x v="1"/>
    <x v="2"/>
    <s v="APACQ4"/>
    <n v="126500"/>
  </r>
  <r>
    <s v="TXN-100202"/>
    <d v="2024-12-13T00:00:00"/>
    <x v="51"/>
    <s v="SVC-03"/>
    <n v="278.04000000000002"/>
    <x v="0"/>
    <s v="Credit Card"/>
    <m/>
    <x v="0"/>
    <s v="United Kingdom"/>
    <s v="R. Patel"/>
    <x v="5"/>
    <s v="Billing"/>
    <n v="5.0000000000000001E-3"/>
    <s v="Enterprise"/>
    <s v="High Value"/>
    <s v="Yes"/>
    <s v="No"/>
    <x v="2"/>
    <x v="2"/>
    <s v="EMEAQ4"/>
    <n v="161000"/>
  </r>
  <r>
    <s v="TXN-100194"/>
    <d v="2024-11-04T00:00:00"/>
    <x v="100"/>
    <s v="SVC-02"/>
    <n v="-386.76"/>
    <x v="2"/>
    <s v="Credit Card"/>
    <s v="callback requested"/>
    <x v="1"/>
    <s v="USA"/>
    <s v="J. Reyes"/>
    <x v="6"/>
    <s v="HR &amp; Payroll"/>
    <n v="0"/>
    <s v="N/A"/>
    <s v="Refund"/>
    <s v="No"/>
    <s v="No"/>
    <x v="0"/>
    <x v="2"/>
    <s v="NAQ4"/>
    <n v="299000"/>
  </r>
  <r>
    <s v="TXN-100085"/>
    <d v="2024-07-09T00:00:00"/>
    <x v="18"/>
    <s v="SVC-05"/>
    <n v="647.69000000000005"/>
    <x v="0"/>
    <s v="Debit Card"/>
    <m/>
    <x v="1"/>
    <s v="Philippines"/>
    <s v="R. Patel"/>
    <x v="3"/>
    <s v="Analytics"/>
    <n v="0"/>
    <s v="SMB"/>
    <s v="High Value"/>
    <s v="Yes"/>
    <s v="No"/>
    <x v="1"/>
    <x v="1"/>
    <s v="APACQ3"/>
    <n v="115500"/>
  </r>
  <r>
    <s v="TXN-101978"/>
    <d v="2024-01-24T00:00:00"/>
    <x v="83"/>
    <s v="SVC-07"/>
    <n v="403.85"/>
    <x v="0"/>
    <s v="Debit Card"/>
    <s v="VIP account"/>
    <x v="1"/>
    <s v="Canada"/>
    <s v="L. Chen"/>
    <x v="7"/>
    <s v="Support"/>
    <n v="0"/>
    <s v="SMB"/>
    <s v="High Value"/>
    <s v="Yes"/>
    <s v="No"/>
    <x v="0"/>
    <x v="3"/>
    <s v="NAQ1"/>
    <n v="247000"/>
  </r>
  <r>
    <s v="TXN-101073"/>
    <d v="2024-10-21T00:00:00"/>
    <x v="18"/>
    <s v="SVC-07"/>
    <n v="538.32000000000005"/>
    <x v="0"/>
    <s v="ACH"/>
    <m/>
    <x v="1"/>
    <s v="Philippines"/>
    <s v="R. Patel"/>
    <x v="7"/>
    <s v="Support"/>
    <n v="0"/>
    <s v="SMB"/>
    <s v="High Value"/>
    <s v="Yes"/>
    <s v="Yes"/>
    <x v="1"/>
    <x v="2"/>
    <s v="APACQ4"/>
    <n v="126500"/>
  </r>
  <r>
    <s v="TXN-100431"/>
    <d v="2024-07-03T00:00:00"/>
    <x v="109"/>
    <s v="SVC-01"/>
    <n v="123.42"/>
    <x v="0"/>
    <s v="ACH"/>
    <m/>
    <x v="0"/>
    <s v="USA"/>
    <s v="L. Chen"/>
    <x v="0"/>
    <s v="Payments"/>
    <n v="2.9000000000000001E-2"/>
    <s v="Enterprise"/>
    <s v="Standard"/>
    <s v="No"/>
    <s v="No"/>
    <x v="0"/>
    <x v="1"/>
    <s v="NAQ3"/>
    <n v="273000"/>
  </r>
  <r>
    <s v="TXN-100699"/>
    <d v="2024-07-07T00:00:00"/>
    <x v="29"/>
    <s v="SVC-01"/>
    <n v="260.14999999999998"/>
    <x v="0"/>
    <s v="Debit Card"/>
    <s v="VIP account"/>
    <x v="1"/>
    <s v="Germany"/>
    <s v="L. Chen"/>
    <x v="0"/>
    <s v="Payments"/>
    <n v="2.9000000000000001E-2"/>
    <s v="SMB"/>
    <s v="Standard"/>
    <s v="No"/>
    <s v="No"/>
    <x v="2"/>
    <x v="1"/>
    <s v="EMEAQ3"/>
    <n v="147000"/>
  </r>
  <r>
    <s v="TXN-101864"/>
    <d v="2024-08-23T00:00:00"/>
    <x v="39"/>
    <s v="SVC-02"/>
    <n v="183.75"/>
    <x v="0"/>
    <s v="Wire Transfer"/>
    <s v="escalated to support"/>
    <x v="1"/>
    <s v="United Kingdom"/>
    <s v="A. Kim"/>
    <x v="6"/>
    <s v="HR &amp; Payroll"/>
    <n v="0"/>
    <s v="SMB"/>
    <s v="Standard"/>
    <s v="Yes"/>
    <s v="No"/>
    <x v="2"/>
    <x v="1"/>
    <s v="EMEAQ3"/>
    <n v="147000"/>
  </r>
  <r>
    <s v="TXN-101168"/>
    <d v="2024-05-27T00:00:00"/>
    <x v="63"/>
    <s v="SVC-07"/>
    <n v="579.17999999999995"/>
    <x v="1"/>
    <s v="Credit Card"/>
    <m/>
    <x v="1"/>
    <s v="Philippines"/>
    <s v="T. Novak"/>
    <x v="7"/>
    <s v="Support"/>
    <n v="0"/>
    <s v="N/A"/>
    <s v="High Value"/>
    <s v="Yes"/>
    <s v="No"/>
    <x v="1"/>
    <x v="0"/>
    <s v="APACQ2"/>
    <n v="110000"/>
  </r>
  <r>
    <s v="TXN-100702"/>
    <d v="2024-09-26T00:00:00"/>
    <x v="99"/>
    <s v="SVC-01"/>
    <n v="1005.44"/>
    <x v="0"/>
    <s v="Credit Card"/>
    <s v="escalated to support"/>
    <x v="1"/>
    <s v="Canada"/>
    <s v="R. Patel"/>
    <x v="0"/>
    <s v="Payments"/>
    <n v="2.9000000000000001E-2"/>
    <s v="SMB"/>
    <s v="High Value"/>
    <s v="Yes"/>
    <s v="No"/>
    <x v="0"/>
    <x v="1"/>
    <s v="NAQ3"/>
    <n v="273000"/>
  </r>
  <r>
    <s v="TXN-100846"/>
    <d v="2024-10-10T00:00:00"/>
    <x v="121"/>
    <s v="SVC-08"/>
    <n v="261.3"/>
    <x v="0"/>
    <s v="Debit Card"/>
    <s v="VIP account"/>
    <x v="0"/>
    <s v="USA"/>
    <s v="J. Reyes"/>
    <x v="1"/>
    <s v="Risk"/>
    <n v="2.5000000000000001E-3"/>
    <s v="Enterprise"/>
    <s v="High Value"/>
    <s v="Yes"/>
    <s v="No"/>
    <x v="0"/>
    <x v="2"/>
    <s v="NAQ4"/>
    <n v="299000"/>
  </r>
  <r>
    <s v="TXN-101018"/>
    <d v="2024-02-05T00:00:00"/>
    <x v="42"/>
    <s v="SVC-01"/>
    <n v="540.91"/>
    <x v="0"/>
    <s v="Debit Card"/>
    <s v="callback requested"/>
    <x v="1"/>
    <s v="Australia"/>
    <s v="M. Santos"/>
    <x v="0"/>
    <s v="Payments"/>
    <n v="2.9000000000000001E-2"/>
    <s v="SMB"/>
    <s v="High Value"/>
    <s v="Yes"/>
    <s v="No"/>
    <x v="1"/>
    <x v="3"/>
    <s v="APACQ1"/>
    <n v="104500"/>
  </r>
  <r>
    <s v="TXN-101399"/>
    <d v="2024-03-10T00:00:00"/>
    <x v="92"/>
    <s v="SVC-01"/>
    <n v="821.47"/>
    <x v="0"/>
    <s v="Debit Card"/>
    <s v="callback requested"/>
    <x v="1"/>
    <s v="Canada"/>
    <s v="R. Patel"/>
    <x v="0"/>
    <s v="Payments"/>
    <n v="2.9000000000000001E-2"/>
    <s v="SMB"/>
    <s v="High Value"/>
    <s v="Yes"/>
    <s v="No"/>
    <x v="0"/>
    <x v="3"/>
    <s v="NAQ1"/>
    <n v="247000"/>
  </r>
  <r>
    <s v="TXN-101642"/>
    <d v="2024-02-28T00:00:00"/>
    <x v="65"/>
    <s v="SVC-01"/>
    <n v="413.01"/>
    <x v="0"/>
    <s v="ACH"/>
    <m/>
    <x v="0"/>
    <s v="USA"/>
    <s v="A. Kim"/>
    <x v="0"/>
    <s v="Payments"/>
    <n v="2.9000000000000001E-2"/>
    <s v="Enterprise"/>
    <s v="Standard"/>
    <s v="Yes"/>
    <s v="No"/>
    <x v="0"/>
    <x v="3"/>
    <s v="NAQ1"/>
    <n v="247000"/>
  </r>
  <r>
    <s v="TXN-100414"/>
    <d v="2024-07-25T00:00:00"/>
    <x v="55"/>
    <s v="SVC-03"/>
    <n v="477.37"/>
    <x v="0"/>
    <s v="Credit Card"/>
    <m/>
    <x v="3"/>
    <s v="USA"/>
    <s v="J. Reyes"/>
    <x v="5"/>
    <s v="Billing"/>
    <n v="5.0000000000000001E-3"/>
    <s v="Startup"/>
    <s v="High Value"/>
    <s v="Yes"/>
    <s v="No"/>
    <x v="0"/>
    <x v="1"/>
    <s v="NAQ3"/>
    <n v="273000"/>
  </r>
  <r>
    <s v="TXN-101772"/>
    <d v="2024-06-24T00:00:00"/>
    <x v="119"/>
    <s v="SVC-01"/>
    <n v="1360.68"/>
    <x v="0"/>
    <s v="ACH"/>
    <s v="VIP account"/>
    <x v="1"/>
    <s v="USA"/>
    <s v="R. Patel"/>
    <x v="0"/>
    <s v="Payments"/>
    <n v="2.9000000000000001E-2"/>
    <s v="SMB"/>
    <s v="High Value"/>
    <s v="Yes"/>
    <s v="No"/>
    <x v="0"/>
    <x v="0"/>
    <s v="NAQ2"/>
    <n v="260000"/>
  </r>
  <r>
    <s v="TXN-101678"/>
    <d v="2024-12-06T00:00:00"/>
    <x v="1"/>
    <s v="SVC-06"/>
    <n v="734.89"/>
    <x v="0"/>
    <s v="Wire Transfer"/>
    <m/>
    <x v="0"/>
    <s v="USA"/>
    <s v="J. Reyes"/>
    <x v="4"/>
    <s v="Platform"/>
    <n v="0"/>
    <s v="Enterprise"/>
    <s v="High Value"/>
    <s v="Yes"/>
    <s v="Yes"/>
    <x v="0"/>
    <x v="2"/>
    <s v="NAQ4"/>
    <n v="299000"/>
  </r>
  <r>
    <s v="TXN-101006"/>
    <d v="2024-11-15T00:00:00"/>
    <x v="76"/>
    <s v="SVC-01"/>
    <n v="412.25"/>
    <x v="3"/>
    <s v="Debit Card"/>
    <s v="escalated to support"/>
    <x v="3"/>
    <s v="United Kingdom"/>
    <s v="R. Patel"/>
    <x v="0"/>
    <s v="Payments"/>
    <n v="2.9000000000000001E-2"/>
    <s v="N/A"/>
    <s v="Standard"/>
    <s v="Yes"/>
    <s v="No"/>
    <x v="2"/>
    <x v="2"/>
    <s v="EMEAQ4"/>
    <n v="161000"/>
  </r>
  <r>
    <s v="TXN-100212"/>
    <d v="2024-04-05T00:00:00"/>
    <x v="6"/>
    <s v="SVC-01"/>
    <n v="481.91"/>
    <x v="0"/>
    <s v="ACH"/>
    <m/>
    <x v="0"/>
    <s v="United Kingdom"/>
    <s v="R. Patel"/>
    <x v="0"/>
    <s v="Payments"/>
    <n v="2.9000000000000001E-2"/>
    <s v="Enterprise"/>
    <s v="Standard"/>
    <s v="Yes"/>
    <s v="No"/>
    <x v="2"/>
    <x v="0"/>
    <s v="EMEAQ2"/>
    <n v="140000"/>
  </r>
  <r>
    <s v="TXN-100529"/>
    <d v="2024-03-17T00:00:00"/>
    <x v="47"/>
    <s v="SVC-01"/>
    <n v="443.72"/>
    <x v="0"/>
    <s v="Unknown"/>
    <s v="escalated to support"/>
    <x v="1"/>
    <s v="Canada"/>
    <s v="R. Patel"/>
    <x v="0"/>
    <s v="Payments"/>
    <n v="2.9000000000000001E-2"/>
    <s v="SMB"/>
    <s v="Standard"/>
    <s v="Yes"/>
    <s v="No"/>
    <x v="0"/>
    <x v="3"/>
    <s v="NAQ1"/>
    <n v="247000"/>
  </r>
  <r>
    <s v="TXN-101462"/>
    <d v="2024-09-06T00:00:00"/>
    <x v="0"/>
    <s v="SVC-01"/>
    <n v="916.86"/>
    <x v="0"/>
    <s v="Credit Card"/>
    <m/>
    <x v="0"/>
    <s v="USA"/>
    <s v="J. Reyes"/>
    <x v="0"/>
    <s v="Payments"/>
    <n v="2.9000000000000001E-2"/>
    <s v="Enterprise"/>
    <s v="High Value"/>
    <s v="Yes"/>
    <s v="No"/>
    <x v="0"/>
    <x v="1"/>
    <s v="NAQ3"/>
    <n v="273000"/>
  </r>
  <r>
    <s v="TXN-101547"/>
    <d v="2024-04-02T00:00:00"/>
    <x v="87"/>
    <s v="SVC-01"/>
    <n v="106.76"/>
    <x v="0"/>
    <s v="Unknown"/>
    <m/>
    <x v="1"/>
    <s v="United Kingdom"/>
    <s v="J. Reyes"/>
    <x v="0"/>
    <s v="Payments"/>
    <n v="2.9000000000000001E-2"/>
    <s v="SMB"/>
    <s v="Standard"/>
    <s v="No"/>
    <s v="No"/>
    <x v="2"/>
    <x v="0"/>
    <s v="EMEAQ2"/>
    <n v="140000"/>
  </r>
  <r>
    <s v="TXN-100981"/>
    <d v="2024-05-24T00:00:00"/>
    <x v="13"/>
    <s v="SVC-01"/>
    <n v="362.98"/>
    <x v="0"/>
    <s v="ACH"/>
    <m/>
    <x v="0"/>
    <s v="Canada"/>
    <s v="J. Reyes"/>
    <x v="0"/>
    <s v="Payments"/>
    <n v="2.9000000000000001E-2"/>
    <s v="Enterprise"/>
    <s v="Standard"/>
    <s v="Yes"/>
    <s v="No"/>
    <x v="0"/>
    <x v="0"/>
    <s v="NAQ2"/>
    <n v="260000"/>
  </r>
  <r>
    <s v="TXN-100260"/>
    <d v="2024-07-24T00:00:00"/>
    <x v="62"/>
    <s v="SVC-01"/>
    <n v="366.86"/>
    <x v="0"/>
    <s v="Credit Card"/>
    <s v="VIP account"/>
    <x v="0"/>
    <s v="USA"/>
    <s v="A. Kim"/>
    <x v="0"/>
    <s v="Payments"/>
    <n v="2.9000000000000001E-2"/>
    <s v="Enterprise"/>
    <s v="Standard"/>
    <s v="Yes"/>
    <s v="No"/>
    <x v="0"/>
    <x v="1"/>
    <s v="NAQ3"/>
    <n v="273000"/>
  </r>
  <r>
    <s v="TXN-100428"/>
    <d v="2024-04-10T00:00:00"/>
    <x v="79"/>
    <s v="SVC-07"/>
    <n v="543.86"/>
    <x v="0"/>
    <s v="ACH"/>
    <m/>
    <x v="3"/>
    <s v="USA"/>
    <s v="T. Novak"/>
    <x v="7"/>
    <s v="Support"/>
    <n v="0"/>
    <s v="Startup"/>
    <s v="High Value"/>
    <s v="Yes"/>
    <s v="Yes"/>
    <x v="0"/>
    <x v="0"/>
    <s v="NAQ2"/>
    <n v="260000"/>
  </r>
  <r>
    <s v="TXN-101255"/>
    <d v="2024-11-20T00:00:00"/>
    <x v="40"/>
    <s v="SVC-05"/>
    <n v="197.05"/>
    <x v="0"/>
    <s v="Credit Card"/>
    <s v="callback requested"/>
    <x v="1"/>
    <s v="Philippines"/>
    <s v="M. Santos"/>
    <x v="3"/>
    <s v="Analytics"/>
    <n v="0"/>
    <s v="SMB"/>
    <s v="Standard"/>
    <s v="Yes"/>
    <s v="Yes"/>
    <x v="1"/>
    <x v="2"/>
    <s v="APACQ4"/>
    <n v="126500"/>
  </r>
  <r>
    <s v="TXN-101675"/>
    <d v="2024-10-02T00:00:00"/>
    <x v="93"/>
    <s v="SVC-02"/>
    <n v="365.71"/>
    <x v="0"/>
    <s v="Credit Card"/>
    <m/>
    <x v="1"/>
    <s v="Philippines"/>
    <s v="J. Reyes"/>
    <x v="6"/>
    <s v="HR &amp; Payroll"/>
    <n v="0"/>
    <s v="SMB"/>
    <s v="High Value"/>
    <s v="Yes"/>
    <s v="Yes"/>
    <x v="1"/>
    <x v="2"/>
    <s v="APACQ4"/>
    <n v="126500"/>
  </r>
  <r>
    <s v="TXN-100779"/>
    <d v="2024-06-14T00:00:00"/>
    <x v="44"/>
    <s v="SVC-01"/>
    <n v="238.23"/>
    <x v="0"/>
    <s v="Debit Card"/>
    <m/>
    <x v="0"/>
    <s v="Australia"/>
    <s v="T. Novak"/>
    <x v="0"/>
    <s v="Payments"/>
    <n v="2.9000000000000001E-2"/>
    <s v="Enterprise"/>
    <s v="Standard"/>
    <s v="No"/>
    <s v="No"/>
    <x v="1"/>
    <x v="0"/>
    <s v="APACQ2"/>
    <n v="110000"/>
  </r>
  <r>
    <s v="TXN-102436"/>
    <d v="2024-03-29T00:00:00"/>
    <x v="56"/>
    <s v="SVC-01"/>
    <n v="533.88"/>
    <x v="0"/>
    <s v="Debit Card"/>
    <s v="VIP account"/>
    <x v="0"/>
    <s v="Singapore"/>
    <s v="R. Patel"/>
    <x v="0"/>
    <s v="Payments"/>
    <n v="2.9000000000000001E-2"/>
    <s v="Enterprise"/>
    <s v="High Value"/>
    <s v="Yes"/>
    <s v="No"/>
    <x v="1"/>
    <x v="3"/>
    <s v="APACQ1"/>
    <n v="104500"/>
  </r>
  <r>
    <s v="TXN-101748"/>
    <d v="2024-08-25T00:00:00"/>
    <x v="31"/>
    <s v="SVC-08"/>
    <n v="361.41"/>
    <x v="0"/>
    <s v="Credit Card"/>
    <m/>
    <x v="0"/>
    <s v="Philippines"/>
    <s v="M. Santos"/>
    <x v="1"/>
    <s v="Risk"/>
    <n v="2.5000000000000001E-3"/>
    <s v="Enterprise"/>
    <s v="High Value"/>
    <s v="Yes"/>
    <s v="No"/>
    <x v="1"/>
    <x v="1"/>
    <s v="APACQ3"/>
    <n v="115500"/>
  </r>
  <r>
    <s v="TXN-101783"/>
    <d v="2024-10-12T00:00:00"/>
    <x v="43"/>
    <s v="SVC-08"/>
    <n v="948.81"/>
    <x v="3"/>
    <s v="Credit Card"/>
    <m/>
    <x v="1"/>
    <s v="USA"/>
    <s v="M. Santos"/>
    <x v="1"/>
    <s v="Risk"/>
    <n v="2.5000000000000001E-3"/>
    <s v="N/A"/>
    <s v="High Value"/>
    <s v="Yes"/>
    <s v="Yes"/>
    <x v="0"/>
    <x v="2"/>
    <s v="NAQ4"/>
    <n v="299000"/>
  </r>
  <r>
    <s v="TXN-101228"/>
    <d v="2024-05-12T00:00:00"/>
    <x v="42"/>
    <s v="SVC-08"/>
    <n v="395.1"/>
    <x v="0"/>
    <s v="Credit Card"/>
    <s v="VIP account"/>
    <x v="1"/>
    <s v="Australia"/>
    <s v="M. Santos"/>
    <x v="1"/>
    <s v="Risk"/>
    <n v="2.5000000000000001E-3"/>
    <s v="SMB"/>
    <s v="High Value"/>
    <s v="Yes"/>
    <s v="Yes"/>
    <x v="1"/>
    <x v="0"/>
    <s v="APACQ2"/>
    <n v="110000"/>
  </r>
  <r>
    <s v="TXN-101785"/>
    <d v="2024-12-08T00:00:00"/>
    <x v="76"/>
    <s v="SVC-08"/>
    <n v="266.89999999999998"/>
    <x v="0"/>
    <s v="Wire Transfer"/>
    <s v="callback requested"/>
    <x v="3"/>
    <s v="United Kingdom"/>
    <s v="R. Patel"/>
    <x v="1"/>
    <s v="Risk"/>
    <n v="2.5000000000000001E-3"/>
    <s v="Startup"/>
    <s v="High Value"/>
    <s v="Yes"/>
    <s v="No"/>
    <x v="2"/>
    <x v="2"/>
    <s v="EMEAQ4"/>
    <n v="161000"/>
  </r>
  <r>
    <s v="TXN-100896"/>
    <d v="2024-06-16T00:00:00"/>
    <x v="11"/>
    <s v="SVC-01"/>
    <n v="406.57"/>
    <x v="1"/>
    <s v="ACH"/>
    <m/>
    <x v="0"/>
    <s v="United Kingdom"/>
    <s v="L. Chen"/>
    <x v="0"/>
    <s v="Payments"/>
    <n v="2.9000000000000001E-2"/>
    <s v="N/A"/>
    <s v="Standard"/>
    <s v="Yes"/>
    <s v="No"/>
    <x v="2"/>
    <x v="0"/>
    <s v="EMEAQ2"/>
    <n v="140000"/>
  </r>
  <r>
    <s v="TXN-100532"/>
    <d v="2024-04-13T00:00:00"/>
    <x v="74"/>
    <s v="SVC-06"/>
    <n v="259.86"/>
    <x v="1"/>
    <s v="ACH"/>
    <s v="callback requested"/>
    <x v="0"/>
    <s v="USA"/>
    <s v="A. Kim"/>
    <x v="4"/>
    <s v="Platform"/>
    <n v="0"/>
    <s v="N/A"/>
    <s v="High Value"/>
    <s v="Yes"/>
    <s v="No"/>
    <x v="0"/>
    <x v="0"/>
    <s v="NAQ2"/>
    <n v="260000"/>
  </r>
  <r>
    <s v="TXN-102341"/>
    <d v="2024-10-06T00:00:00"/>
    <x v="82"/>
    <s v="SVC-03"/>
    <n v="482.44"/>
    <x v="0"/>
    <s v="Credit Card"/>
    <s v="callback requested"/>
    <x v="1"/>
    <s v="USA"/>
    <s v="T. Novak"/>
    <x v="5"/>
    <s v="Billing"/>
    <n v="5.0000000000000001E-3"/>
    <s v="SMB"/>
    <s v="High Value"/>
    <s v="Yes"/>
    <s v="No"/>
    <x v="0"/>
    <x v="2"/>
    <s v="NAQ4"/>
    <n v="299000"/>
  </r>
  <r>
    <s v="TXN-102433"/>
    <d v="2024-08-20T00:00:00"/>
    <x v="89"/>
    <s v="SVC-02"/>
    <n v="-186.25"/>
    <x v="2"/>
    <s v="Credit Card"/>
    <m/>
    <x v="0"/>
    <s v="USA"/>
    <s v="A. Kim"/>
    <x v="6"/>
    <s v="HR &amp; Payroll"/>
    <n v="0"/>
    <s v="N/A"/>
    <s v="Refund"/>
    <s v="No"/>
    <s v="Yes"/>
    <x v="0"/>
    <x v="1"/>
    <s v="NAQ3"/>
    <n v="273000"/>
  </r>
  <r>
    <s v="TXN-102139"/>
    <d v="2024-07-28T00:00:00"/>
    <x v="126"/>
    <s v="SVC-04"/>
    <n v="300.95"/>
    <x v="0"/>
    <s v="Wire Transfer"/>
    <m/>
    <x v="3"/>
    <s v="Canada"/>
    <s v="A. Kim"/>
    <x v="2"/>
    <s v="Risk"/>
    <n v="1E-3"/>
    <s v="Startup"/>
    <s v="High Value"/>
    <s v="Yes"/>
    <s v="Yes"/>
    <x v="0"/>
    <x v="1"/>
    <s v="NAQ3"/>
    <n v="273000"/>
  </r>
  <r>
    <s v="TXN-101429"/>
    <d v="2024-03-29T00:00:00"/>
    <x v="115"/>
    <s v="SVC-04"/>
    <n v="197.62"/>
    <x v="0"/>
    <s v="Credit Card"/>
    <m/>
    <x v="3"/>
    <s v="USA"/>
    <s v="L. Chen"/>
    <x v="2"/>
    <s v="Risk"/>
    <n v="1E-3"/>
    <s v="Startup"/>
    <s v="Standard"/>
    <s v="Yes"/>
    <s v="Yes"/>
    <x v="0"/>
    <x v="3"/>
    <s v="NAQ1"/>
    <n v="247000"/>
  </r>
  <r>
    <s v="TXN-101440"/>
    <d v="2024-04-08T00:00:00"/>
    <x v="77"/>
    <s v="SVC-07"/>
    <n v="812.31"/>
    <x v="0"/>
    <s v="Debit Card"/>
    <m/>
    <x v="1"/>
    <s v="Australia"/>
    <s v="L. Chen"/>
    <x v="7"/>
    <s v="Support"/>
    <n v="0"/>
    <s v="SMB"/>
    <s v="High Value"/>
    <s v="Yes"/>
    <s v="Yes"/>
    <x v="1"/>
    <x v="0"/>
    <s v="APACQ2"/>
    <n v="110000"/>
  </r>
  <r>
    <s v="TXN-101889"/>
    <d v="2024-06-26T00:00:00"/>
    <x v="109"/>
    <s v="SVC-04"/>
    <n v="444.12"/>
    <x v="0"/>
    <s v="Wire Transfer"/>
    <s v="escalated to support"/>
    <x v="0"/>
    <s v="USA"/>
    <s v="L. Chen"/>
    <x v="2"/>
    <s v="Risk"/>
    <n v="1E-3"/>
    <s v="Enterprise"/>
    <s v="High Value"/>
    <s v="Yes"/>
    <s v="No"/>
    <x v="0"/>
    <x v="0"/>
    <s v="NAQ2"/>
    <n v="260000"/>
  </r>
  <r>
    <s v="TXN-100305"/>
    <d v="2024-12-15T00:00:00"/>
    <x v="113"/>
    <s v="SVC-03"/>
    <n v="624.88"/>
    <x v="0"/>
    <s v="Credit Card"/>
    <s v="VIP account"/>
    <x v="3"/>
    <s v="United Kingdom"/>
    <s v="R. Patel"/>
    <x v="5"/>
    <s v="Billing"/>
    <n v="5.0000000000000001E-3"/>
    <s v="Startup"/>
    <s v="High Value"/>
    <s v="Yes"/>
    <s v="No"/>
    <x v="2"/>
    <x v="2"/>
    <s v="EMEAQ4"/>
    <n v="161000"/>
  </r>
  <r>
    <s v="TXN-101428"/>
    <d v="2024-03-21T00:00:00"/>
    <x v="110"/>
    <s v="SVC-02"/>
    <n v="413.15"/>
    <x v="0"/>
    <s v="Credit Card"/>
    <s v="callback requested"/>
    <x v="0"/>
    <s v="USA"/>
    <s v="A. Kim"/>
    <x v="6"/>
    <s v="HR &amp; Payroll"/>
    <n v="0"/>
    <s v="Enterprise"/>
    <s v="High Value"/>
    <s v="Yes"/>
    <s v="No"/>
    <x v="0"/>
    <x v="3"/>
    <s v="NAQ1"/>
    <n v="247000"/>
  </r>
  <r>
    <s v="TXN-102286"/>
    <d v="2024-04-13T00:00:00"/>
    <x v="20"/>
    <s v="SVC-08"/>
    <n v="477.33"/>
    <x v="0"/>
    <s v="Debit Card"/>
    <s v="VIP account"/>
    <x v="1"/>
    <s v="USA"/>
    <s v="R. Patel"/>
    <x v="1"/>
    <s v="Risk"/>
    <n v="2.5000000000000001E-3"/>
    <s v="SMB"/>
    <s v="High Value"/>
    <s v="Yes"/>
    <s v="Yes"/>
    <x v="0"/>
    <x v="0"/>
    <s v="NAQ2"/>
    <n v="260000"/>
  </r>
  <r>
    <s v="TXN-101981"/>
    <d v="2024-10-30T00:00:00"/>
    <x v="127"/>
    <s v="SVC-01"/>
    <n v="316.37"/>
    <x v="0"/>
    <s v="Credit Card"/>
    <s v="callback requested"/>
    <x v="0"/>
    <s v="USA"/>
    <s v="R. Patel"/>
    <x v="0"/>
    <s v="Payments"/>
    <n v="2.9000000000000001E-2"/>
    <s v="Enterprise"/>
    <s v="Standard"/>
    <s v="Yes"/>
    <s v="No"/>
    <x v="0"/>
    <x v="2"/>
    <s v="NAQ4"/>
    <n v="299000"/>
  </r>
  <r>
    <s v="TXN-101541"/>
    <d v="2024-12-18T00:00:00"/>
    <x v="43"/>
    <s v="SVC-06"/>
    <n v="650.23"/>
    <x v="0"/>
    <s v="Credit Card"/>
    <s v="VIP account"/>
    <x v="1"/>
    <s v="USA"/>
    <s v="M. Santos"/>
    <x v="4"/>
    <s v="Platform"/>
    <n v="0"/>
    <s v="SMB"/>
    <s v="High Value"/>
    <s v="Yes"/>
    <s v="No"/>
    <x v="0"/>
    <x v="2"/>
    <s v="NAQ4"/>
    <n v="299000"/>
  </r>
  <r>
    <s v="TXN-101167"/>
    <d v="2024-11-11T00:00:00"/>
    <x v="0"/>
    <s v="SVC-04"/>
    <n v="915.29"/>
    <x v="0"/>
    <s v="ACH"/>
    <m/>
    <x v="0"/>
    <s v="USA"/>
    <s v="J. Reyes"/>
    <x v="2"/>
    <s v="Risk"/>
    <n v="1E-3"/>
    <s v="Enterprise"/>
    <s v="High Value"/>
    <s v="Yes"/>
    <s v="No"/>
    <x v="0"/>
    <x v="2"/>
    <s v="NAQ4"/>
    <n v="299000"/>
  </r>
  <r>
    <s v="TXN-101735"/>
    <d v="2024-06-20T00:00:00"/>
    <x v="55"/>
    <s v="SVC-06"/>
    <n v="302.62"/>
    <x v="3"/>
    <s v="ACH"/>
    <m/>
    <x v="3"/>
    <s v="USA"/>
    <s v="J. Reyes"/>
    <x v="4"/>
    <s v="Platform"/>
    <n v="0"/>
    <s v="N/A"/>
    <s v="High Value"/>
    <s v="Yes"/>
    <s v="No"/>
    <x v="0"/>
    <x v="0"/>
    <s v="NAQ2"/>
    <n v="260000"/>
  </r>
  <r>
    <s v="TXN-101583"/>
    <d v="2024-03-18T00:00:00"/>
    <x v="55"/>
    <s v="SVC-02"/>
    <n v="450.3"/>
    <x v="0"/>
    <s v="Unknown"/>
    <m/>
    <x v="3"/>
    <s v="USA"/>
    <s v="J. Reyes"/>
    <x v="6"/>
    <s v="HR &amp; Payroll"/>
    <n v="0"/>
    <s v="Startup"/>
    <s v="High Value"/>
    <s v="Yes"/>
    <s v="No"/>
    <x v="0"/>
    <x v="3"/>
    <s v="NAQ1"/>
    <n v="247000"/>
  </r>
  <r>
    <s v="TXN-100690"/>
    <d v="2024-07-07T00:00:00"/>
    <x v="46"/>
    <s v="SVC-02"/>
    <n v="233.71"/>
    <x v="3"/>
    <s v="Unknown"/>
    <s v="VIP account"/>
    <x v="1"/>
    <s v="Australia"/>
    <s v="L. Chen"/>
    <x v="6"/>
    <s v="HR &amp; Payroll"/>
    <n v="0"/>
    <s v="N/A"/>
    <s v="Standard"/>
    <s v="Yes"/>
    <s v="No"/>
    <x v="1"/>
    <x v="1"/>
    <s v="APACQ3"/>
    <n v="115500"/>
  </r>
  <r>
    <s v="TXN-100929"/>
    <d v="2024-05-24T00:00:00"/>
    <x v="102"/>
    <s v="SVC-05"/>
    <n v="896.59"/>
    <x v="0"/>
    <s v="Debit Card"/>
    <m/>
    <x v="1"/>
    <s v="Philippines"/>
    <s v="L. Chen"/>
    <x v="3"/>
    <s v="Analytics"/>
    <n v="0"/>
    <s v="SMB"/>
    <s v="High Value"/>
    <s v="Yes"/>
    <s v="Yes"/>
    <x v="1"/>
    <x v="0"/>
    <s v="APACQ2"/>
    <n v="110000"/>
  </r>
  <r>
    <s v="TXN-101810"/>
    <d v="2024-09-16T00:00:00"/>
    <x v="126"/>
    <s v="SVC-03"/>
    <n v="330.25"/>
    <x v="3"/>
    <s v="Wire Transfer"/>
    <s v="escalated to support"/>
    <x v="3"/>
    <s v="Canada"/>
    <s v="A. Kim"/>
    <x v="5"/>
    <s v="Billing"/>
    <n v="5.0000000000000001E-3"/>
    <s v="N/A"/>
    <s v="High Value"/>
    <s v="Yes"/>
    <s v="No"/>
    <x v="0"/>
    <x v="1"/>
    <s v="NAQ3"/>
    <n v="273000"/>
  </r>
  <r>
    <s v="TXN-101529"/>
    <d v="2024-01-05T00:00:00"/>
    <x v="118"/>
    <s v="SVC-04"/>
    <n v="557.36"/>
    <x v="0"/>
    <s v="Credit Card"/>
    <m/>
    <x v="1"/>
    <s v="USA"/>
    <s v="L. Chen"/>
    <x v="2"/>
    <s v="Risk"/>
    <n v="1E-3"/>
    <s v="SMB"/>
    <s v="High Value"/>
    <s v="Yes"/>
    <s v="Yes"/>
    <x v="0"/>
    <x v="3"/>
    <s v="NAQ1"/>
    <n v="247000"/>
  </r>
  <r>
    <s v="TXN-100060"/>
    <d v="2024-05-19T00:00:00"/>
    <x v="117"/>
    <s v="SVC-05"/>
    <n v="463.34"/>
    <x v="0"/>
    <s v="Credit Card"/>
    <s v="callback requested"/>
    <x v="1"/>
    <s v="Canada"/>
    <s v="A. Kim"/>
    <x v="3"/>
    <s v="Analytics"/>
    <n v="0"/>
    <s v="SMB"/>
    <s v="High Value"/>
    <s v="Yes"/>
    <s v="No"/>
    <x v="0"/>
    <x v="0"/>
    <s v="NAQ2"/>
    <n v="260000"/>
  </r>
  <r>
    <s v="TXN-100083"/>
    <d v="2024-08-28T00:00:00"/>
    <x v="134"/>
    <s v="SVC-08"/>
    <n v="217.11"/>
    <x v="1"/>
    <s v="Wire Transfer"/>
    <s v="VIP account"/>
    <x v="1"/>
    <s v="Philippines"/>
    <s v="T. Novak"/>
    <x v="1"/>
    <s v="Risk"/>
    <n v="2.5000000000000001E-3"/>
    <s v="N/A"/>
    <s v="Standard"/>
    <s v="Yes"/>
    <s v="No"/>
    <x v="1"/>
    <x v="1"/>
    <s v="APACQ3"/>
    <n v="115500"/>
  </r>
  <r>
    <s v="TXN-102604"/>
    <d v="2024-08-09T00:00:00"/>
    <x v="140"/>
    <s v="SVC-06"/>
    <n v="181.65"/>
    <x v="0"/>
    <s v="Wire Transfer"/>
    <m/>
    <x v="2"/>
    <m/>
    <m/>
    <x v="4"/>
    <s v="Platform"/>
    <n v="0"/>
    <s v="Customer Not Found"/>
    <s v="Standard"/>
    <s v="Yes"/>
    <s v="Yes"/>
    <x v="1"/>
    <x v="1"/>
    <s v="APACQ3"/>
    <n v="115500"/>
  </r>
  <r>
    <s v="TXN-100395"/>
    <d v="2024-03-16T00:00:00"/>
    <x v="15"/>
    <s v="SVC-07"/>
    <n v="534.55999999999995"/>
    <x v="0"/>
    <s v="ACH"/>
    <s v="callback requested"/>
    <x v="0"/>
    <s v="USA"/>
    <s v="L. Chen"/>
    <x v="7"/>
    <s v="Support"/>
    <n v="0"/>
    <s v="Enterprise"/>
    <s v="High Value"/>
    <s v="Yes"/>
    <s v="No"/>
    <x v="0"/>
    <x v="3"/>
    <s v="NAQ1"/>
    <n v="247000"/>
  </r>
  <r>
    <s v="TXN-102399"/>
    <d v="2024-09-16T00:00:00"/>
    <x v="123"/>
    <m/>
    <n v="157.22999999999999"/>
    <x v="0"/>
    <s v="Debit Card"/>
    <s v="escalated to support"/>
    <x v="3"/>
    <s v="Australia"/>
    <s v="L. Chen"/>
    <x v="8"/>
    <m/>
    <m/>
    <s v="Startup"/>
    <s v="Standard"/>
    <e v="#N/A"/>
    <s v="No"/>
    <x v="1"/>
    <x v="1"/>
    <s v="APACQ3"/>
    <n v="115500"/>
  </r>
  <r>
    <s v="TXN-101242"/>
    <d v="2024-06-11T00:00:00"/>
    <x v="33"/>
    <s v="SVC-02"/>
    <n v="343.93"/>
    <x v="0"/>
    <s v="Debit Card"/>
    <m/>
    <x v="3"/>
    <s v="Canada"/>
    <s v="T. Novak"/>
    <x v="6"/>
    <s v="HR &amp; Payroll"/>
    <n v="0"/>
    <s v="Startup"/>
    <s v="High Value"/>
    <s v="Yes"/>
    <s v="No"/>
    <x v="0"/>
    <x v="0"/>
    <s v="NAQ2"/>
    <n v="260000"/>
  </r>
  <r>
    <s v="TXN-102323"/>
    <d v="2024-06-16T00:00:00"/>
    <x v="83"/>
    <s v="SVC-06"/>
    <n v="758.96"/>
    <x v="0"/>
    <s v="Unknown"/>
    <m/>
    <x v="1"/>
    <s v="Canada"/>
    <s v="L. Chen"/>
    <x v="4"/>
    <s v="Platform"/>
    <n v="0"/>
    <s v="SMB"/>
    <s v="High Value"/>
    <s v="Yes"/>
    <s v="No"/>
    <x v="0"/>
    <x v="0"/>
    <s v="NAQ2"/>
    <n v="260000"/>
  </r>
  <r>
    <s v="TXN-101838"/>
    <d v="2024-04-27T00:00:00"/>
    <x v="18"/>
    <s v="SVC-03"/>
    <n v="389.92"/>
    <x v="0"/>
    <s v="Debit Card"/>
    <m/>
    <x v="1"/>
    <s v="Philippines"/>
    <s v="R. Patel"/>
    <x v="5"/>
    <s v="Billing"/>
    <n v="5.0000000000000001E-3"/>
    <s v="SMB"/>
    <s v="High Value"/>
    <s v="Yes"/>
    <s v="Yes"/>
    <x v="1"/>
    <x v="0"/>
    <s v="APACQ2"/>
    <n v="110000"/>
  </r>
  <r>
    <s v="TXN-100171"/>
    <d v="2024-04-23T00:00:00"/>
    <x v="121"/>
    <s v="SVC-01"/>
    <n v="567.57000000000005"/>
    <x v="0"/>
    <s v="Credit Card"/>
    <s v="VIP account"/>
    <x v="0"/>
    <s v="USA"/>
    <s v="J. Reyes"/>
    <x v="0"/>
    <s v="Payments"/>
    <n v="2.9000000000000001E-2"/>
    <s v="Enterprise"/>
    <s v="High Value"/>
    <s v="Yes"/>
    <s v="No"/>
    <x v="0"/>
    <x v="0"/>
    <s v="NAQ2"/>
    <n v="260000"/>
  </r>
  <r>
    <s v="TXN-100172"/>
    <d v="2024-07-13T00:00:00"/>
    <x v="29"/>
    <s v="SVC-02"/>
    <n v="469.29"/>
    <x v="0"/>
    <s v="Credit Card"/>
    <s v="escalated to support"/>
    <x v="1"/>
    <s v="Germany"/>
    <s v="L. Chen"/>
    <x v="6"/>
    <s v="HR &amp; Payroll"/>
    <n v="0"/>
    <s v="SMB"/>
    <s v="High Value"/>
    <s v="Yes"/>
    <s v="No"/>
    <x v="2"/>
    <x v="1"/>
    <s v="EMEAQ3"/>
    <n v="147000"/>
  </r>
  <r>
    <s v="TXN-101020"/>
    <d v="2024-10-01T00:00:00"/>
    <x v="83"/>
    <s v="SVC-03"/>
    <n v="430.2"/>
    <x v="0"/>
    <s v="Wire Transfer"/>
    <m/>
    <x v="1"/>
    <s v="Canada"/>
    <s v="L. Chen"/>
    <x v="5"/>
    <s v="Billing"/>
    <n v="5.0000000000000001E-3"/>
    <s v="SMB"/>
    <s v="High Value"/>
    <s v="Yes"/>
    <s v="Yes"/>
    <x v="0"/>
    <x v="2"/>
    <s v="NAQ4"/>
    <n v="299000"/>
  </r>
  <r>
    <s v="TXN-100452"/>
    <d v="2024-12-14T00:00:00"/>
    <x v="125"/>
    <s v="SVC-03"/>
    <n v="-515.26"/>
    <x v="2"/>
    <s v="ACH"/>
    <s v="escalated to support"/>
    <x v="1"/>
    <s v="USA"/>
    <s v="A. Kim"/>
    <x v="5"/>
    <s v="Billing"/>
    <n v="5.0000000000000001E-3"/>
    <s v="N/A"/>
    <s v="Refund"/>
    <s v="No"/>
    <s v="No"/>
    <x v="0"/>
    <x v="2"/>
    <s v="NAQ4"/>
    <n v="299000"/>
  </r>
  <r>
    <s v="TXN-100849"/>
    <d v="2024-02-04T00:00:00"/>
    <x v="21"/>
    <s v="SVC-03"/>
    <n v="1199.55"/>
    <x v="0"/>
    <s v="Wire Transfer"/>
    <s v="callback requested"/>
    <x v="0"/>
    <s v="Australia"/>
    <s v="M. Santos"/>
    <x v="5"/>
    <s v="Billing"/>
    <n v="5.0000000000000001E-3"/>
    <s v="Enterprise"/>
    <s v="High Value"/>
    <s v="Yes"/>
    <s v="No"/>
    <x v="1"/>
    <x v="3"/>
    <s v="APACQ1"/>
    <n v="104500"/>
  </r>
  <r>
    <s v="TXN-100753"/>
    <d v="2024-03-25T00:00:00"/>
    <x v="24"/>
    <s v="SVC-08"/>
    <n v="571.53"/>
    <x v="0"/>
    <s v="ACH"/>
    <s v="escalated to support"/>
    <x v="1"/>
    <s v="USA"/>
    <s v="M. Santos"/>
    <x v="1"/>
    <s v="Risk"/>
    <n v="2.5000000000000001E-3"/>
    <s v="SMB"/>
    <s v="High Value"/>
    <s v="Yes"/>
    <s v="No"/>
    <x v="0"/>
    <x v="3"/>
    <s v="NAQ1"/>
    <n v="247000"/>
  </r>
  <r>
    <s v="TXN-102336"/>
    <d v="2024-06-15T00:00:00"/>
    <x v="108"/>
    <s v="SVC-06"/>
    <n v="75.680000000000007"/>
    <x v="0"/>
    <s v="Credit Card"/>
    <s v="escalated to support"/>
    <x v="1"/>
    <s v="Germany"/>
    <s v="M. Santos"/>
    <x v="4"/>
    <s v="Platform"/>
    <n v="0"/>
    <s v="SMB"/>
    <s v="Standard"/>
    <s v="Yes"/>
    <s v="No"/>
    <x v="2"/>
    <x v="0"/>
    <s v="EMEAQ2"/>
    <n v="140000"/>
  </r>
  <r>
    <s v="TXN-101326"/>
    <d v="2024-03-30T00:00:00"/>
    <x v="9"/>
    <s v="SVC-01"/>
    <n v="350.14"/>
    <x v="0"/>
    <s v="Credit Card"/>
    <m/>
    <x v="3"/>
    <s v="Philippines"/>
    <s v="T. Novak"/>
    <x v="0"/>
    <s v="Payments"/>
    <n v="2.9000000000000001E-2"/>
    <s v="Startup"/>
    <s v="Standard"/>
    <s v="Yes"/>
    <s v="No"/>
    <x v="1"/>
    <x v="3"/>
    <s v="APACQ1"/>
    <n v="104500"/>
  </r>
  <r>
    <s v="TXN-100583"/>
    <d v="2024-11-19T00:00:00"/>
    <x v="67"/>
    <s v="SVC-02"/>
    <n v="-853.53"/>
    <x v="2"/>
    <s v="Credit Card"/>
    <m/>
    <x v="3"/>
    <s v="Australia"/>
    <s v="Unassigned"/>
    <x v="6"/>
    <s v="HR &amp; Payroll"/>
    <n v="0"/>
    <s v="N/A"/>
    <s v="Refund"/>
    <s v="No"/>
    <s v="Yes"/>
    <x v="1"/>
    <x v="2"/>
    <s v="APACQ4"/>
    <n v="126500"/>
  </r>
  <r>
    <s v="TXN-101476"/>
    <d v="2024-04-11T00:00:00"/>
    <x v="111"/>
    <s v="SVC-03"/>
    <n v="123.55"/>
    <x v="0"/>
    <s v="ACH"/>
    <m/>
    <x v="1"/>
    <s v="Australia"/>
    <s v="A. Kim"/>
    <x v="5"/>
    <s v="Billing"/>
    <n v="5.0000000000000001E-3"/>
    <s v="SMB"/>
    <s v="Standard"/>
    <s v="Yes"/>
    <s v="No"/>
    <x v="1"/>
    <x v="0"/>
    <s v="APACQ2"/>
    <n v="110000"/>
  </r>
  <r>
    <s v="TXN-101059"/>
    <d v="2024-01-25T00:00:00"/>
    <x v="35"/>
    <s v="SVC-01"/>
    <n v="513.49"/>
    <x v="3"/>
    <s v="Unknown"/>
    <s v="escalated to support"/>
    <x v="3"/>
    <s v="Philippines"/>
    <s v="R. Patel"/>
    <x v="0"/>
    <s v="Payments"/>
    <n v="2.9000000000000001E-2"/>
    <s v="N/A"/>
    <s v="High Value"/>
    <s v="Yes"/>
    <s v="No"/>
    <x v="1"/>
    <x v="3"/>
    <s v="APACQ1"/>
    <n v="104500"/>
  </r>
  <r>
    <s v="TXN-101303"/>
    <d v="2024-09-21T00:00:00"/>
    <x v="49"/>
    <s v="SVC-02"/>
    <n v="-661"/>
    <x v="2"/>
    <s v="Debit Card"/>
    <s v="escalated to support"/>
    <x v="1"/>
    <s v="USA"/>
    <s v="A. Kim"/>
    <x v="6"/>
    <s v="HR &amp; Payroll"/>
    <n v="0"/>
    <s v="N/A"/>
    <s v="Refund"/>
    <s v="No"/>
    <s v="No"/>
    <x v="0"/>
    <x v="1"/>
    <s v="NAQ3"/>
    <n v="273000"/>
  </r>
  <r>
    <s v="TXN-101677"/>
    <d v="2024-06-13T00:00:00"/>
    <x v="27"/>
    <s v="SVC-05"/>
    <n v="254.91"/>
    <x v="0"/>
    <s v="Unknown"/>
    <m/>
    <x v="1"/>
    <s v="Canada"/>
    <s v="L. Chen"/>
    <x v="3"/>
    <s v="Analytics"/>
    <n v="0"/>
    <s v="SMB"/>
    <s v="High Value"/>
    <s v="Yes"/>
    <s v="No"/>
    <x v="0"/>
    <x v="0"/>
    <s v="NAQ2"/>
    <n v="260000"/>
  </r>
  <r>
    <s v="TXN-102009"/>
    <d v="2024-12-30T00:00:00"/>
    <x v="112"/>
    <s v="SVC-05"/>
    <n v="182.78"/>
    <x v="0"/>
    <s v="Wire Transfer"/>
    <m/>
    <x v="1"/>
    <s v="USA"/>
    <s v="A. Kim"/>
    <x v="3"/>
    <s v="Analytics"/>
    <n v="0"/>
    <s v="SMB"/>
    <s v="Standard"/>
    <s v="Yes"/>
    <s v="No"/>
    <x v="0"/>
    <x v="2"/>
    <s v="NAQ4"/>
    <n v="299000"/>
  </r>
  <r>
    <s v="TXN-100283"/>
    <d v="2024-07-28T00:00:00"/>
    <x v="58"/>
    <s v="SVC-08"/>
    <n v="221.97"/>
    <x v="0"/>
    <s v="Wire Transfer"/>
    <m/>
    <x v="1"/>
    <s v="Canada"/>
    <s v="M. Santos"/>
    <x v="1"/>
    <s v="Risk"/>
    <n v="2.5000000000000001E-3"/>
    <s v="SMB"/>
    <s v="Standard"/>
    <s v="Yes"/>
    <s v="No"/>
    <x v="0"/>
    <x v="1"/>
    <s v="NAQ3"/>
    <n v="273000"/>
  </r>
  <r>
    <s v="TXN-100147"/>
    <d v="2024-05-16T00:00:00"/>
    <x v="84"/>
    <s v="SVC-03"/>
    <n v="-667.3"/>
    <x v="2"/>
    <s v="Wire Transfer"/>
    <m/>
    <x v="3"/>
    <s v="Singapore"/>
    <s v="T. Novak"/>
    <x v="5"/>
    <s v="Billing"/>
    <n v="5.0000000000000001E-3"/>
    <s v="N/A"/>
    <s v="Refund"/>
    <s v="No"/>
    <s v="No"/>
    <x v="1"/>
    <x v="0"/>
    <s v="APACQ2"/>
    <n v="110000"/>
  </r>
  <r>
    <s v="TXN-100319"/>
    <d v="2024-07-10T00:00:00"/>
    <x v="107"/>
    <s v="SVC-03"/>
    <n v="-338.64"/>
    <x v="2"/>
    <s v="Debit Card"/>
    <s v="VIP account"/>
    <x v="1"/>
    <s v="USA"/>
    <s v="M. Santos"/>
    <x v="5"/>
    <s v="Billing"/>
    <n v="5.0000000000000001E-3"/>
    <s v="N/A"/>
    <s v="Refund"/>
    <s v="No"/>
    <s v="No"/>
    <x v="0"/>
    <x v="1"/>
    <s v="NAQ3"/>
    <n v="273000"/>
  </r>
  <r>
    <s v="TXN-101200"/>
    <d v="2024-08-12T00:00:00"/>
    <x v="9"/>
    <s v="SVC-01"/>
    <n v="395.56"/>
    <x v="3"/>
    <s v="Debit Card"/>
    <s v="callback requested"/>
    <x v="3"/>
    <s v="Philippines"/>
    <s v="T. Novak"/>
    <x v="0"/>
    <s v="Payments"/>
    <n v="2.9000000000000001E-2"/>
    <s v="N/A"/>
    <s v="Standard"/>
    <s v="Yes"/>
    <s v="No"/>
    <x v="1"/>
    <x v="1"/>
    <s v="APACQ3"/>
    <n v="115500"/>
  </r>
  <r>
    <s v="TXN-100729"/>
    <d v="2024-08-18T00:00:00"/>
    <x v="128"/>
    <s v="SVC-06"/>
    <n v="132.93"/>
    <x v="0"/>
    <s v="Unknown"/>
    <m/>
    <x v="0"/>
    <s v="Philippines"/>
    <s v="L. Chen"/>
    <x v="4"/>
    <s v="Platform"/>
    <n v="0"/>
    <s v="Enterprise"/>
    <s v="Standard"/>
    <s v="Yes"/>
    <s v="Yes"/>
    <x v="1"/>
    <x v="1"/>
    <s v="APACQ3"/>
    <n v="115500"/>
  </r>
  <r>
    <s v="TXN-101105"/>
    <d v="2024-10-15T00:00:00"/>
    <x v="71"/>
    <s v="SVC-03"/>
    <n v="218.97"/>
    <x v="0"/>
    <s v="ACH"/>
    <s v="escalated to support"/>
    <x v="1"/>
    <s v="United Kingdom"/>
    <s v="R. Patel"/>
    <x v="5"/>
    <s v="Billing"/>
    <n v="5.0000000000000001E-3"/>
    <s v="SMB"/>
    <s v="Standard"/>
    <s v="Yes"/>
    <s v="Yes"/>
    <x v="2"/>
    <x v="2"/>
    <s v="EMEAQ4"/>
    <n v="161000"/>
  </r>
  <r>
    <s v="TXN-100253"/>
    <d v="2024-02-13T00:00:00"/>
    <x v="74"/>
    <s v="SVC-03"/>
    <n v="322.89"/>
    <x v="0"/>
    <s v="Credit Card"/>
    <s v="callback requested"/>
    <x v="0"/>
    <s v="USA"/>
    <s v="A. Kim"/>
    <x v="5"/>
    <s v="Billing"/>
    <n v="5.0000000000000001E-3"/>
    <s v="Enterprise"/>
    <s v="High Value"/>
    <s v="Yes"/>
    <s v="No"/>
    <x v="0"/>
    <x v="3"/>
    <s v="NAQ1"/>
    <n v="247000"/>
  </r>
  <r>
    <s v="TXN-100996"/>
    <d v="2024-05-19T00:00:00"/>
    <x v="114"/>
    <s v="SVC-08"/>
    <n v="-100.91"/>
    <x v="2"/>
    <s v="Unknown"/>
    <m/>
    <x v="3"/>
    <s v="Australia"/>
    <s v="A. Kim"/>
    <x v="1"/>
    <s v="Risk"/>
    <n v="2.5000000000000001E-3"/>
    <s v="N/A"/>
    <s v="Refund"/>
    <s v="No"/>
    <s v="Yes"/>
    <x v="1"/>
    <x v="0"/>
    <s v="APACQ2"/>
    <n v="110000"/>
  </r>
  <r>
    <s v="TXN-101401"/>
    <d v="2024-12-23T00:00:00"/>
    <x v="85"/>
    <s v="SVC-06"/>
    <n v="553.71"/>
    <x v="0"/>
    <s v="ACH"/>
    <m/>
    <x v="0"/>
    <s v="Canada"/>
    <s v="T. Novak"/>
    <x v="4"/>
    <s v="Platform"/>
    <n v="0"/>
    <s v="Enterprise"/>
    <s v="High Value"/>
    <s v="Yes"/>
    <s v="No"/>
    <x v="0"/>
    <x v="2"/>
    <s v="NAQ4"/>
    <n v="299000"/>
  </r>
  <r>
    <s v="TXN-100407"/>
    <d v="2024-03-23T00:00:00"/>
    <x v="19"/>
    <s v="SVC-06"/>
    <n v="573.61"/>
    <x v="0"/>
    <s v="Debit Card"/>
    <s v="VIP account"/>
    <x v="0"/>
    <s v="Canada"/>
    <s v="M. Santos"/>
    <x v="4"/>
    <s v="Platform"/>
    <n v="0"/>
    <s v="Enterprise"/>
    <s v="High Value"/>
    <s v="Yes"/>
    <s v="Yes"/>
    <x v="0"/>
    <x v="3"/>
    <s v="NAQ1"/>
    <n v="247000"/>
  </r>
  <r>
    <s v="TXN-101941"/>
    <d v="2024-02-15T00:00:00"/>
    <x v="0"/>
    <s v="SVC-01"/>
    <n v="402.11"/>
    <x v="0"/>
    <s v="Debit Card"/>
    <s v="VIP account"/>
    <x v="0"/>
    <s v="USA"/>
    <s v="J. Reyes"/>
    <x v="0"/>
    <s v="Payments"/>
    <n v="2.9000000000000001E-2"/>
    <s v="Enterprise"/>
    <s v="Standard"/>
    <s v="Yes"/>
    <s v="No"/>
    <x v="0"/>
    <x v="3"/>
    <s v="NAQ1"/>
    <n v="247000"/>
  </r>
  <r>
    <s v="TXN-100278"/>
    <d v="2024-12-20T00:00:00"/>
    <x v="96"/>
    <s v="SVC-01"/>
    <n v="875.82"/>
    <x v="0"/>
    <s v="ACH"/>
    <m/>
    <x v="1"/>
    <s v="Philippines"/>
    <s v="A. Kim"/>
    <x v="0"/>
    <s v="Payments"/>
    <n v="2.9000000000000001E-2"/>
    <s v="SMB"/>
    <s v="High Value"/>
    <s v="Yes"/>
    <s v="No"/>
    <x v="1"/>
    <x v="2"/>
    <s v="APACQ4"/>
    <n v="126500"/>
  </r>
  <r>
    <s v="TXN-101754"/>
    <d v="2024-01-08T00:00:00"/>
    <x v="46"/>
    <s v="SVC-07"/>
    <n v="250.37"/>
    <x v="0"/>
    <s v="Credit Card"/>
    <m/>
    <x v="1"/>
    <s v="Australia"/>
    <s v="L. Chen"/>
    <x v="7"/>
    <s v="Support"/>
    <n v="0"/>
    <s v="SMB"/>
    <s v="High Value"/>
    <s v="Yes"/>
    <s v="Yes"/>
    <x v="1"/>
    <x v="3"/>
    <s v="APACQ1"/>
    <n v="104500"/>
  </r>
  <r>
    <s v="TXN-100687"/>
    <d v="2024-03-03T00:00:00"/>
    <x v="32"/>
    <s v="SVC-01"/>
    <n v="232.01"/>
    <x v="0"/>
    <s v="Debit Card"/>
    <s v="escalated to support"/>
    <x v="1"/>
    <s v="Philippines"/>
    <s v="T. Novak"/>
    <x v="0"/>
    <s v="Payments"/>
    <n v="2.9000000000000001E-2"/>
    <s v="SMB"/>
    <s v="Standard"/>
    <s v="No"/>
    <s v="No"/>
    <x v="1"/>
    <x v="3"/>
    <s v="APACQ1"/>
    <n v="104500"/>
  </r>
  <r>
    <s v="TXN-100419"/>
    <d v="2024-06-30T00:00:00"/>
    <x v="42"/>
    <s v="SVC-03"/>
    <n v="218"/>
    <x v="0"/>
    <s v="ACH"/>
    <s v="escalated to support"/>
    <x v="1"/>
    <s v="Australia"/>
    <s v="M. Santos"/>
    <x v="5"/>
    <s v="Billing"/>
    <n v="5.0000000000000001E-3"/>
    <s v="SMB"/>
    <s v="Standard"/>
    <s v="Yes"/>
    <s v="Yes"/>
    <x v="1"/>
    <x v="0"/>
    <s v="APACQ2"/>
    <n v="110000"/>
  </r>
  <r>
    <s v="TXN-100876"/>
    <d v="2024-11-29T00:00:00"/>
    <x v="52"/>
    <s v="SVC-05"/>
    <n v="813.77"/>
    <x v="0"/>
    <s v="ACH"/>
    <s v="callback requested"/>
    <x v="1"/>
    <s v="USA"/>
    <s v="M. Santos"/>
    <x v="3"/>
    <s v="Analytics"/>
    <n v="0"/>
    <s v="SMB"/>
    <s v="High Value"/>
    <s v="Yes"/>
    <s v="No"/>
    <x v="0"/>
    <x v="2"/>
    <s v="NAQ4"/>
    <n v="299000"/>
  </r>
  <r>
    <s v="TXN-101296"/>
    <d v="2024-06-02T00:00:00"/>
    <x v="110"/>
    <s v="SVC-04"/>
    <n v="259.99"/>
    <x v="0"/>
    <s v="Debit Card"/>
    <m/>
    <x v="0"/>
    <s v="USA"/>
    <s v="A. Kim"/>
    <x v="2"/>
    <s v="Risk"/>
    <n v="1E-3"/>
    <s v="Enterprise"/>
    <s v="High Value"/>
    <s v="Yes"/>
    <s v="Yes"/>
    <x v="0"/>
    <x v="0"/>
    <s v="NAQ2"/>
    <n v="260000"/>
  </r>
  <r>
    <s v="TXN-102473"/>
    <d v="2024-08-17T00:00:00"/>
    <x v="17"/>
    <s v="SVC-06"/>
    <n v="661.37"/>
    <x v="0"/>
    <s v="Credit Card"/>
    <m/>
    <x v="1"/>
    <s v="USA"/>
    <s v="A. Kim"/>
    <x v="4"/>
    <s v="Platform"/>
    <n v="0"/>
    <s v="SMB"/>
    <s v="High Value"/>
    <s v="Yes"/>
    <s v="No"/>
    <x v="0"/>
    <x v="1"/>
    <s v="NAQ3"/>
    <n v="273000"/>
  </r>
  <r>
    <s v="TXN-102586"/>
    <d v="2024-06-16T00:00:00"/>
    <x v="123"/>
    <s v="SVC-04"/>
    <n v="1018.56"/>
    <x v="0"/>
    <s v="Debit Card"/>
    <m/>
    <x v="3"/>
    <s v="Australia"/>
    <s v="L. Chen"/>
    <x v="2"/>
    <s v="Risk"/>
    <n v="1E-3"/>
    <s v="Startup"/>
    <s v="High Value"/>
    <s v="Yes"/>
    <s v="No"/>
    <x v="1"/>
    <x v="0"/>
    <s v="APACQ2"/>
    <n v="110000"/>
  </r>
  <r>
    <s v="TXN-101289"/>
    <d v="2024-03-17T00:00:00"/>
    <x v="134"/>
    <s v="SVC-01"/>
    <n v="460.12"/>
    <x v="0"/>
    <s v="Debit Card"/>
    <s v="escalated to support"/>
    <x v="1"/>
    <s v="Philippines"/>
    <s v="T. Novak"/>
    <x v="0"/>
    <s v="Payments"/>
    <n v="2.9000000000000001E-2"/>
    <s v="SMB"/>
    <s v="Standard"/>
    <s v="Yes"/>
    <s v="No"/>
    <x v="1"/>
    <x v="3"/>
    <s v="APACQ1"/>
    <n v="104500"/>
  </r>
  <r>
    <s v="TXN-100050"/>
    <d v="2024-03-16T00:00:00"/>
    <x v="27"/>
    <s v="SVC-02"/>
    <n v="492.48"/>
    <x v="0"/>
    <s v="Credit Card"/>
    <s v="VIP account"/>
    <x v="1"/>
    <s v="Canada"/>
    <s v="L. Chen"/>
    <x v="6"/>
    <s v="HR &amp; Payroll"/>
    <n v="0"/>
    <s v="SMB"/>
    <s v="High Value"/>
    <s v="Yes"/>
    <s v="No"/>
    <x v="0"/>
    <x v="3"/>
    <s v="NAQ1"/>
    <n v="247000"/>
  </r>
  <r>
    <s v="TXN-102284"/>
    <d v="2024-01-16T00:00:00"/>
    <x v="127"/>
    <s v="SVC-01"/>
    <n v="250.14"/>
    <x v="0"/>
    <s v="Credit Card"/>
    <s v="escalated to support"/>
    <x v="0"/>
    <s v="USA"/>
    <s v="R. Patel"/>
    <x v="0"/>
    <s v="Payments"/>
    <n v="2.9000000000000001E-2"/>
    <s v="Enterprise"/>
    <s v="Standard"/>
    <s v="No"/>
    <s v="No"/>
    <x v="0"/>
    <x v="3"/>
    <s v="NAQ1"/>
    <n v="247000"/>
  </r>
  <r>
    <s v="TXN-101393"/>
    <d v="2024-12-27T00:00:00"/>
    <x v="42"/>
    <s v="SVC-07"/>
    <n v="320.47000000000003"/>
    <x v="3"/>
    <s v="Credit Card"/>
    <s v="callback requested"/>
    <x v="1"/>
    <s v="Australia"/>
    <s v="M. Santos"/>
    <x v="7"/>
    <s v="Support"/>
    <n v="0"/>
    <s v="N/A"/>
    <s v="High Value"/>
    <s v="Yes"/>
    <s v="No"/>
    <x v="1"/>
    <x v="2"/>
    <s v="APACQ4"/>
    <n v="126500"/>
  </r>
  <r>
    <s v="TXN-102452"/>
    <d v="2024-02-03T00:00:00"/>
    <x v="63"/>
    <s v="SVC-02"/>
    <n v="47.27"/>
    <x v="1"/>
    <s v="Wire Transfer"/>
    <s v="callback requested"/>
    <x v="1"/>
    <s v="Philippines"/>
    <s v="T. Novak"/>
    <x v="6"/>
    <s v="HR &amp; Payroll"/>
    <n v="0"/>
    <s v="N/A"/>
    <s v="Standard"/>
    <s v="Yes"/>
    <s v="No"/>
    <x v="1"/>
    <x v="3"/>
    <s v="APACQ1"/>
    <n v="104500"/>
  </r>
  <r>
    <s v="TXN-101283"/>
    <d v="2024-10-17T00:00:00"/>
    <x v="123"/>
    <s v="SVC-05"/>
    <n v="212.65"/>
    <x v="0"/>
    <s v="ACH"/>
    <s v="VIP account"/>
    <x v="3"/>
    <s v="Australia"/>
    <s v="L. Chen"/>
    <x v="3"/>
    <s v="Analytics"/>
    <n v="0"/>
    <s v="Startup"/>
    <s v="Standard"/>
    <s v="Yes"/>
    <s v="No"/>
    <x v="1"/>
    <x v="2"/>
    <s v="APACQ4"/>
    <n v="126500"/>
  </r>
  <r>
    <s v="TXN-100980"/>
    <d v="2024-12-16T00:00:00"/>
    <x v="85"/>
    <s v="SVC-01"/>
    <n v="1041.47"/>
    <x v="0"/>
    <s v="Debit Card"/>
    <m/>
    <x v="0"/>
    <s v="Canada"/>
    <s v="T. Novak"/>
    <x v="0"/>
    <s v="Payments"/>
    <n v="2.9000000000000001E-2"/>
    <s v="Enterprise"/>
    <s v="High Value"/>
    <s v="Yes"/>
    <s v="No"/>
    <x v="0"/>
    <x v="2"/>
    <s v="NAQ4"/>
    <n v="299000"/>
  </r>
  <r>
    <s v="TXN-100801"/>
    <d v="2024-05-06T00:00:00"/>
    <x v="109"/>
    <s v="SVC-07"/>
    <n v="523.69000000000005"/>
    <x v="0"/>
    <s v="Credit Card"/>
    <m/>
    <x v="0"/>
    <s v="USA"/>
    <s v="L. Chen"/>
    <x v="7"/>
    <s v="Support"/>
    <n v="0"/>
    <s v="Enterprise"/>
    <s v="High Value"/>
    <s v="Yes"/>
    <s v="No"/>
    <x v="0"/>
    <x v="0"/>
    <s v="NAQ2"/>
    <n v="260000"/>
  </r>
  <r>
    <s v="TXN-100234"/>
    <d v="2024-12-19T00:00:00"/>
    <x v="71"/>
    <s v="SVC-06"/>
    <n v="869.93"/>
    <x v="0"/>
    <s v="Debit Card"/>
    <m/>
    <x v="1"/>
    <s v="United Kingdom"/>
    <s v="R. Patel"/>
    <x v="4"/>
    <s v="Platform"/>
    <n v="0"/>
    <s v="SMB"/>
    <s v="High Value"/>
    <s v="Yes"/>
    <s v="No"/>
    <x v="2"/>
    <x v="2"/>
    <s v="EMEAQ4"/>
    <n v="161000"/>
  </r>
  <r>
    <s v="TXN-101383"/>
    <d v="2024-05-21T00:00:00"/>
    <x v="47"/>
    <s v="SVC-01"/>
    <n v="603.91"/>
    <x v="0"/>
    <s v="Wire Transfer"/>
    <s v="escalated to support"/>
    <x v="1"/>
    <s v="Canada"/>
    <s v="R. Patel"/>
    <x v="0"/>
    <s v="Payments"/>
    <n v="2.9000000000000001E-2"/>
    <s v="SMB"/>
    <s v="High Value"/>
    <s v="Yes"/>
    <s v="No"/>
    <x v="0"/>
    <x v="0"/>
    <s v="NAQ2"/>
    <n v="260000"/>
  </r>
  <r>
    <s v="TXN-100142"/>
    <d v="2024-04-05T00:00:00"/>
    <x v="78"/>
    <s v="SVC-06"/>
    <n v="61.89"/>
    <x v="1"/>
    <s v="Debit Card"/>
    <m/>
    <x v="1"/>
    <s v="USA"/>
    <s v="L. Chen"/>
    <x v="4"/>
    <s v="Platform"/>
    <n v="0"/>
    <s v="N/A"/>
    <s v="Standard"/>
    <s v="Yes"/>
    <s v="No"/>
    <x v="0"/>
    <x v="0"/>
    <s v="NAQ2"/>
    <n v="260000"/>
  </r>
  <r>
    <s v="TXN-100504"/>
    <d v="2024-07-20T00:00:00"/>
    <x v="53"/>
    <s v="SVC-05"/>
    <n v="268.3"/>
    <x v="0"/>
    <s v="Credit Card"/>
    <s v="VIP account"/>
    <x v="0"/>
    <s v="Singapore"/>
    <s v="L. Chen"/>
    <x v="3"/>
    <s v="Analytics"/>
    <n v="0"/>
    <s v="Enterprise"/>
    <s v="High Value"/>
    <s v="Yes"/>
    <s v="No"/>
    <x v="1"/>
    <x v="1"/>
    <s v="APACQ3"/>
    <n v="115500"/>
  </r>
  <r>
    <s v="TXN-100271"/>
    <d v="2024-04-29T00:00:00"/>
    <x v="107"/>
    <s v="SVC-01"/>
    <n v="232.43"/>
    <x v="0"/>
    <s v="Credit Card"/>
    <m/>
    <x v="1"/>
    <s v="USA"/>
    <s v="M. Santos"/>
    <x v="0"/>
    <s v="Payments"/>
    <n v="2.9000000000000001E-2"/>
    <s v="SMB"/>
    <s v="Standard"/>
    <s v="No"/>
    <s v="No"/>
    <x v="0"/>
    <x v="0"/>
    <s v="NAQ2"/>
    <n v="260000"/>
  </r>
  <r>
    <s v="TXN-100320"/>
    <d v="2024-05-07T00:00:00"/>
    <x v="86"/>
    <s v="SVC-04"/>
    <n v="496.83"/>
    <x v="0"/>
    <s v="Credit Card"/>
    <m/>
    <x v="1"/>
    <s v="Canada"/>
    <s v="L. Chen"/>
    <x v="2"/>
    <s v="Risk"/>
    <n v="1E-3"/>
    <s v="SMB"/>
    <s v="High Value"/>
    <s v="Yes"/>
    <s v="No"/>
    <x v="0"/>
    <x v="0"/>
    <s v="NAQ2"/>
    <n v="260000"/>
  </r>
  <r>
    <s v="TXN-100123"/>
    <d v="2024-05-15T00:00:00"/>
    <x v="31"/>
    <s v="SVC-03"/>
    <n v="405.63"/>
    <x v="0"/>
    <s v="Credit Card"/>
    <s v="callback requested"/>
    <x v="0"/>
    <s v="Philippines"/>
    <s v="M. Santos"/>
    <x v="5"/>
    <s v="Billing"/>
    <n v="5.0000000000000001E-3"/>
    <s v="Enterprise"/>
    <s v="High Value"/>
    <s v="Yes"/>
    <s v="No"/>
    <x v="1"/>
    <x v="0"/>
    <s v="APACQ2"/>
    <n v="110000"/>
  </r>
  <r>
    <s v="TXN-101280"/>
    <d v="2024-03-04T00:00:00"/>
    <x v="41"/>
    <s v="SVC-03"/>
    <n v="252.14"/>
    <x v="0"/>
    <s v="Debit Card"/>
    <s v="VIP account"/>
    <x v="0"/>
    <s v="Canada"/>
    <s v="M. Santos"/>
    <x v="5"/>
    <s v="Billing"/>
    <n v="5.0000000000000001E-3"/>
    <s v="Enterprise"/>
    <s v="High Value"/>
    <s v="Yes"/>
    <s v="No"/>
    <x v="0"/>
    <x v="3"/>
    <s v="NAQ1"/>
    <n v="247000"/>
  </r>
  <r>
    <s v="TXN-101478"/>
    <d v="2024-07-21T00:00:00"/>
    <x v="68"/>
    <s v="SVC-05"/>
    <n v="946.91"/>
    <x v="0"/>
    <s v="Debit Card"/>
    <s v="escalated to support"/>
    <x v="1"/>
    <s v="USA"/>
    <s v="R. Patel"/>
    <x v="3"/>
    <s v="Analytics"/>
    <n v="0"/>
    <s v="SMB"/>
    <s v="High Value"/>
    <s v="Yes"/>
    <s v="No"/>
    <x v="0"/>
    <x v="1"/>
    <s v="NAQ3"/>
    <n v="273000"/>
  </r>
  <r>
    <s v="TXN-102065"/>
    <d v="2024-12-22T00:00:00"/>
    <x v="81"/>
    <s v="SVC-01"/>
    <n v="537.02"/>
    <x v="0"/>
    <s v="ACH"/>
    <m/>
    <x v="3"/>
    <s v="Germany"/>
    <s v="R. Patel"/>
    <x v="0"/>
    <s v="Payments"/>
    <n v="2.9000000000000001E-2"/>
    <s v="Startup"/>
    <s v="High Value"/>
    <s v="Yes"/>
    <s v="No"/>
    <x v="2"/>
    <x v="2"/>
    <s v="EMEAQ4"/>
    <n v="161000"/>
  </r>
  <r>
    <s v="TXN-100152"/>
    <d v="2024-04-15T00:00:00"/>
    <x v="28"/>
    <s v="SVC-01"/>
    <n v="1265.77"/>
    <x v="0"/>
    <s v="Debit Card"/>
    <s v="callback requested"/>
    <x v="1"/>
    <s v="United Kingdom"/>
    <s v="L. Chen"/>
    <x v="0"/>
    <s v="Payments"/>
    <n v="2.9000000000000001E-2"/>
    <s v="SMB"/>
    <s v="High Value"/>
    <s v="Yes"/>
    <s v="No"/>
    <x v="2"/>
    <x v="0"/>
    <s v="EMEAQ2"/>
    <n v="140000"/>
  </r>
  <r>
    <s v="TXN-101357"/>
    <d v="2024-10-04T00:00:00"/>
    <x v="80"/>
    <s v="SVC-06"/>
    <n v="308.01"/>
    <x v="0"/>
    <s v="ACH"/>
    <s v="escalated to support"/>
    <x v="1"/>
    <s v="Philippines"/>
    <s v="R. Patel"/>
    <x v="4"/>
    <s v="Platform"/>
    <n v="0"/>
    <s v="SMB"/>
    <s v="High Value"/>
    <s v="Yes"/>
    <s v="No"/>
    <x v="1"/>
    <x v="2"/>
    <s v="APACQ4"/>
    <n v="126500"/>
  </r>
  <r>
    <s v="TXN-100834"/>
    <d v="2024-08-02T00:00:00"/>
    <x v="47"/>
    <s v="SVC-02"/>
    <n v="800.73"/>
    <x v="0"/>
    <s v="Debit Card"/>
    <s v="escalated to support"/>
    <x v="1"/>
    <s v="Canada"/>
    <s v="R. Patel"/>
    <x v="6"/>
    <s v="HR &amp; Payroll"/>
    <n v="0"/>
    <s v="SMB"/>
    <s v="High Value"/>
    <s v="Yes"/>
    <s v="No"/>
    <x v="0"/>
    <x v="1"/>
    <s v="NAQ3"/>
    <n v="273000"/>
  </r>
  <r>
    <s v="TXN-102472"/>
    <d v="2024-01-07T00:00:00"/>
    <x v="77"/>
    <s v="SVC-01"/>
    <n v="156.84"/>
    <x v="0"/>
    <s v="Wire Transfer"/>
    <m/>
    <x v="1"/>
    <s v="Australia"/>
    <s v="L. Chen"/>
    <x v="0"/>
    <s v="Payments"/>
    <n v="2.9000000000000001E-2"/>
    <s v="SMB"/>
    <s v="Standard"/>
    <s v="No"/>
    <s v="No"/>
    <x v="1"/>
    <x v="3"/>
    <s v="APACQ1"/>
    <n v="104500"/>
  </r>
  <r>
    <s v="TXN-102547"/>
    <d v="2024-07-04T00:00:00"/>
    <x v="46"/>
    <s v="SVC-07"/>
    <n v="168.15"/>
    <x v="3"/>
    <s v="Credit Card"/>
    <s v="VIP account"/>
    <x v="1"/>
    <s v="Australia"/>
    <s v="L. Chen"/>
    <x v="7"/>
    <s v="Support"/>
    <n v="0"/>
    <s v="N/A"/>
    <s v="Standard"/>
    <s v="Yes"/>
    <s v="No"/>
    <x v="1"/>
    <x v="1"/>
    <s v="APACQ3"/>
    <n v="115500"/>
  </r>
  <r>
    <s v="TXN-100977"/>
    <d v="2024-09-02T00:00:00"/>
    <x v="93"/>
    <s v="SVC-01"/>
    <n v="172.14"/>
    <x v="0"/>
    <s v="Debit Card"/>
    <m/>
    <x v="1"/>
    <s v="Philippines"/>
    <s v="J. Reyes"/>
    <x v="0"/>
    <s v="Payments"/>
    <n v="2.9000000000000001E-2"/>
    <s v="SMB"/>
    <s v="Standard"/>
    <s v="No"/>
    <s v="No"/>
    <x v="1"/>
    <x v="1"/>
    <s v="APACQ3"/>
    <n v="115500"/>
  </r>
  <r>
    <s v="TXN-100658"/>
    <d v="2024-08-07T00:00:00"/>
    <x v="113"/>
    <s v="SVC-01"/>
    <n v="983.38"/>
    <x v="0"/>
    <s v="Debit Card"/>
    <s v="callback requested"/>
    <x v="3"/>
    <s v="United Kingdom"/>
    <s v="R. Patel"/>
    <x v="0"/>
    <s v="Payments"/>
    <n v="2.9000000000000001E-2"/>
    <s v="Startup"/>
    <s v="High Value"/>
    <s v="Yes"/>
    <s v="No"/>
    <x v="2"/>
    <x v="1"/>
    <s v="EMEAQ3"/>
    <n v="147000"/>
  </r>
  <r>
    <s v="TXN-101781"/>
    <d v="2024-11-11T00:00:00"/>
    <x v="42"/>
    <s v="SVC-03"/>
    <n v="522.19000000000005"/>
    <x v="0"/>
    <s v="Wire Transfer"/>
    <s v="VIP account"/>
    <x v="1"/>
    <s v="Australia"/>
    <s v="M. Santos"/>
    <x v="5"/>
    <s v="Billing"/>
    <n v="5.0000000000000001E-3"/>
    <s v="SMB"/>
    <s v="High Value"/>
    <s v="Yes"/>
    <s v="No"/>
    <x v="1"/>
    <x v="2"/>
    <s v="APACQ4"/>
    <n v="126500"/>
  </r>
  <r>
    <s v="TXN-101435"/>
    <d v="2024-05-07T00:00:00"/>
    <x v="0"/>
    <s v="SVC-05"/>
    <n v="-1578.03"/>
    <x v="2"/>
    <s v="ACH"/>
    <s v="callback requested"/>
    <x v="0"/>
    <s v="USA"/>
    <s v="J. Reyes"/>
    <x v="3"/>
    <s v="Analytics"/>
    <n v="0"/>
    <s v="N/A"/>
    <s v="Refund"/>
    <s v="No"/>
    <s v="Yes"/>
    <x v="0"/>
    <x v="0"/>
    <s v="NAQ2"/>
    <n v="260000"/>
  </r>
  <r>
    <s v="TXN-102127"/>
    <d v="2024-09-20T00:00:00"/>
    <x v="33"/>
    <s v="SVC-05"/>
    <n v="733.96"/>
    <x v="0"/>
    <s v="Credit Card"/>
    <m/>
    <x v="3"/>
    <s v="Canada"/>
    <s v="T. Novak"/>
    <x v="3"/>
    <s v="Analytics"/>
    <n v="0"/>
    <s v="Startup"/>
    <s v="High Value"/>
    <s v="Yes"/>
    <s v="Yes"/>
    <x v="0"/>
    <x v="1"/>
    <s v="NAQ3"/>
    <n v="273000"/>
  </r>
  <r>
    <s v="TXN-102085"/>
    <d v="2024-09-06T00:00:00"/>
    <x v="30"/>
    <s v="SVC-05"/>
    <n v="468.2"/>
    <x v="0"/>
    <s v="Credit Card"/>
    <m/>
    <x v="1"/>
    <s v="Germany"/>
    <s v="M. Santos"/>
    <x v="3"/>
    <s v="Analytics"/>
    <n v="0"/>
    <s v="SMB"/>
    <s v="High Value"/>
    <s v="Yes"/>
    <s v="No"/>
    <x v="2"/>
    <x v="1"/>
    <s v="EMEAQ3"/>
    <n v="147000"/>
  </r>
  <r>
    <s v="TXN-101135"/>
    <d v="2024-11-28T00:00:00"/>
    <x v="84"/>
    <s v="SVC-05"/>
    <n v="273.7"/>
    <x v="0"/>
    <s v="ACH"/>
    <m/>
    <x v="3"/>
    <s v="Singapore"/>
    <s v="T. Novak"/>
    <x v="3"/>
    <s v="Analytics"/>
    <n v="0"/>
    <s v="Startup"/>
    <s v="High Value"/>
    <s v="Yes"/>
    <s v="No"/>
    <x v="1"/>
    <x v="2"/>
    <s v="APACQ4"/>
    <n v="126500"/>
  </r>
  <r>
    <s v="TXN-102382"/>
    <d v="2024-08-13T00:00:00"/>
    <x v="34"/>
    <s v="SVC-03"/>
    <n v="182.96"/>
    <x v="0"/>
    <s v="Debit Card"/>
    <s v="VIP account"/>
    <x v="1"/>
    <s v="Germany"/>
    <s v="M. Santos"/>
    <x v="5"/>
    <s v="Billing"/>
    <n v="5.0000000000000001E-3"/>
    <s v="SMB"/>
    <s v="Standard"/>
    <s v="Yes"/>
    <s v="No"/>
    <x v="2"/>
    <x v="1"/>
    <s v="EMEAQ3"/>
    <n v="147000"/>
  </r>
  <r>
    <s v="TXN-102141"/>
    <d v="2024-07-23T00:00:00"/>
    <x v="39"/>
    <s v="SVC-02"/>
    <n v="227.91"/>
    <x v="0"/>
    <s v="Credit Card"/>
    <m/>
    <x v="1"/>
    <s v="United Kingdom"/>
    <s v="A. Kim"/>
    <x v="6"/>
    <s v="HR &amp; Payroll"/>
    <n v="0"/>
    <s v="SMB"/>
    <s v="Standard"/>
    <s v="Yes"/>
    <s v="No"/>
    <x v="2"/>
    <x v="1"/>
    <s v="EMEAQ3"/>
    <n v="147000"/>
  </r>
  <r>
    <s v="TXN-101606"/>
    <d v="2024-03-25T00:00:00"/>
    <x v="127"/>
    <s v="SVC-01"/>
    <n v="-885.61"/>
    <x v="2"/>
    <s v="Credit Card"/>
    <m/>
    <x v="0"/>
    <s v="USA"/>
    <s v="R. Patel"/>
    <x v="0"/>
    <s v="Payments"/>
    <n v="2.9000000000000001E-2"/>
    <s v="N/A"/>
    <s v="Refund"/>
    <s v="No"/>
    <s v="No"/>
    <x v="0"/>
    <x v="3"/>
    <s v="NAQ1"/>
    <n v="247000"/>
  </r>
  <r>
    <s v="TXN-101947"/>
    <d v="2024-12-24T00:00:00"/>
    <x v="119"/>
    <s v="SVC-01"/>
    <n v="516.91"/>
    <x v="3"/>
    <s v="Debit Card"/>
    <s v="VIP account"/>
    <x v="1"/>
    <s v="USA"/>
    <s v="R. Patel"/>
    <x v="0"/>
    <s v="Payments"/>
    <n v="2.9000000000000001E-2"/>
    <s v="N/A"/>
    <s v="High Value"/>
    <s v="Yes"/>
    <s v="No"/>
    <x v="0"/>
    <x v="2"/>
    <s v="NAQ4"/>
    <n v="299000"/>
  </r>
  <r>
    <s v="TXN-100257"/>
    <d v="2024-12-17T00:00:00"/>
    <x v="32"/>
    <s v="SVC-01"/>
    <n v="90.39"/>
    <x v="0"/>
    <s v="Credit Card"/>
    <m/>
    <x v="1"/>
    <s v="Philippines"/>
    <s v="T. Novak"/>
    <x v="0"/>
    <s v="Payments"/>
    <n v="2.9000000000000001E-2"/>
    <s v="SMB"/>
    <s v="Standard"/>
    <s v="No"/>
    <s v="No"/>
    <x v="1"/>
    <x v="2"/>
    <s v="APACQ4"/>
    <n v="126500"/>
  </r>
  <r>
    <s v="TXN-100138"/>
    <d v="2024-11-11T00:00:00"/>
    <x v="70"/>
    <s v="SVC-01"/>
    <n v="229.52"/>
    <x v="0"/>
    <s v="ACH"/>
    <s v="VIP account"/>
    <x v="3"/>
    <s v="Singapore"/>
    <s v="A. Kim"/>
    <x v="0"/>
    <s v="Payments"/>
    <n v="2.9000000000000001E-2"/>
    <s v="Startup"/>
    <s v="Standard"/>
    <s v="No"/>
    <s v="No"/>
    <x v="1"/>
    <x v="2"/>
    <s v="APACQ4"/>
    <n v="126500"/>
  </r>
  <r>
    <s v="TXN-101898"/>
    <d v="2024-03-30T00:00:00"/>
    <x v="96"/>
    <s v="SVC-08"/>
    <n v="265.31"/>
    <x v="0"/>
    <s v="Credit Card"/>
    <m/>
    <x v="1"/>
    <s v="Philippines"/>
    <s v="A. Kim"/>
    <x v="1"/>
    <s v="Risk"/>
    <n v="2.5000000000000001E-3"/>
    <s v="SMB"/>
    <s v="High Value"/>
    <s v="Yes"/>
    <s v="Yes"/>
    <x v="1"/>
    <x v="3"/>
    <s v="APACQ1"/>
    <n v="104500"/>
  </r>
  <r>
    <s v="TXN-101556"/>
    <d v="2024-02-09T00:00:00"/>
    <x v="74"/>
    <s v="SVC-01"/>
    <n v="569.85"/>
    <x v="0"/>
    <s v="Credit Card"/>
    <s v="callback requested"/>
    <x v="0"/>
    <s v="USA"/>
    <s v="A. Kim"/>
    <x v="0"/>
    <s v="Payments"/>
    <n v="2.9000000000000001E-2"/>
    <s v="Enterprise"/>
    <s v="High Value"/>
    <s v="Yes"/>
    <s v="No"/>
    <x v="0"/>
    <x v="3"/>
    <s v="NAQ1"/>
    <n v="247000"/>
  </r>
  <r>
    <s v="TXN-101871"/>
    <d v="2024-02-25T00:00:00"/>
    <x v="58"/>
    <s v="SVC-05"/>
    <n v="506.02"/>
    <x v="0"/>
    <s v="Credit Card"/>
    <m/>
    <x v="1"/>
    <s v="Canada"/>
    <s v="M. Santos"/>
    <x v="3"/>
    <s v="Analytics"/>
    <n v="0"/>
    <s v="SMB"/>
    <s v="High Value"/>
    <s v="Yes"/>
    <s v="No"/>
    <x v="0"/>
    <x v="3"/>
    <s v="NAQ1"/>
    <n v="247000"/>
  </r>
  <r>
    <s v="TXN-100965"/>
    <d v="2024-09-25T00:00:00"/>
    <x v="128"/>
    <s v="SVC-03"/>
    <n v="264.66000000000003"/>
    <x v="0"/>
    <s v="ACH"/>
    <m/>
    <x v="0"/>
    <s v="Philippines"/>
    <s v="L. Chen"/>
    <x v="5"/>
    <s v="Billing"/>
    <n v="5.0000000000000001E-3"/>
    <s v="Enterprise"/>
    <s v="High Value"/>
    <s v="Yes"/>
    <s v="No"/>
    <x v="1"/>
    <x v="1"/>
    <s v="APACQ3"/>
    <n v="115500"/>
  </r>
  <r>
    <s v="TXN-102290"/>
    <d v="2024-11-27T00:00:00"/>
    <x v="16"/>
    <s v="SVC-01"/>
    <n v="747.89"/>
    <x v="0"/>
    <s v="Credit Card"/>
    <s v="VIP account"/>
    <x v="1"/>
    <s v="Germany"/>
    <s v="R. Patel"/>
    <x v="0"/>
    <s v="Payments"/>
    <n v="2.9000000000000001E-2"/>
    <s v="SMB"/>
    <s v="High Value"/>
    <s v="Yes"/>
    <s v="No"/>
    <x v="2"/>
    <x v="2"/>
    <s v="EMEAQ4"/>
    <n v="161000"/>
  </r>
  <r>
    <s v="TXN-101939"/>
    <d v="2024-07-23T00:00:00"/>
    <x v="117"/>
    <s v="SVC-01"/>
    <n v="343.46"/>
    <x v="0"/>
    <s v="Credit Card"/>
    <m/>
    <x v="1"/>
    <s v="Canada"/>
    <s v="A. Kim"/>
    <x v="0"/>
    <s v="Payments"/>
    <n v="2.9000000000000001E-2"/>
    <s v="SMB"/>
    <s v="Standard"/>
    <s v="Yes"/>
    <s v="No"/>
    <x v="0"/>
    <x v="1"/>
    <s v="NAQ3"/>
    <n v="273000"/>
  </r>
  <r>
    <s v="TXN-100706"/>
    <d v="2024-12-31T00:00:00"/>
    <x v="78"/>
    <s v="SVC-05"/>
    <n v="178.19"/>
    <x v="0"/>
    <s v="Credit Card"/>
    <m/>
    <x v="1"/>
    <s v="USA"/>
    <s v="L. Chen"/>
    <x v="3"/>
    <s v="Analytics"/>
    <n v="0"/>
    <s v="SMB"/>
    <s v="Standard"/>
    <s v="Yes"/>
    <s v="No"/>
    <x v="0"/>
    <x v="2"/>
    <s v="NAQ4"/>
    <n v="299000"/>
  </r>
  <r>
    <s v="TXN-101877"/>
    <d v="2024-06-16T00:00:00"/>
    <x v="35"/>
    <s v="SVC-06"/>
    <n v="1290.8499999999999"/>
    <x v="0"/>
    <s v="Credit Card"/>
    <m/>
    <x v="3"/>
    <s v="Philippines"/>
    <s v="R. Patel"/>
    <x v="4"/>
    <s v="Platform"/>
    <n v="0"/>
    <s v="Startup"/>
    <s v="High Value"/>
    <s v="Yes"/>
    <s v="Yes"/>
    <x v="1"/>
    <x v="0"/>
    <s v="APACQ2"/>
    <n v="110000"/>
  </r>
  <r>
    <s v="TXN-100697"/>
    <d v="2024-02-12T00:00:00"/>
    <x v="73"/>
    <s v="SVC-02"/>
    <n v="401.72"/>
    <x v="0"/>
    <s v="Wire Transfer"/>
    <s v="escalated to support"/>
    <x v="1"/>
    <s v="United Kingdom"/>
    <s v="R. Patel"/>
    <x v="6"/>
    <s v="HR &amp; Payroll"/>
    <n v="0"/>
    <s v="SMB"/>
    <s v="High Value"/>
    <s v="Yes"/>
    <s v="No"/>
    <x v="2"/>
    <x v="3"/>
    <s v="EMEAQ1"/>
    <n v="133000"/>
  </r>
  <r>
    <s v="TXN-101791"/>
    <d v="2024-12-19T00:00:00"/>
    <x v="6"/>
    <s v="SVC-01"/>
    <n v="-823.62"/>
    <x v="2"/>
    <s v="Credit Card"/>
    <s v="escalated to support"/>
    <x v="0"/>
    <s v="United Kingdom"/>
    <s v="R. Patel"/>
    <x v="0"/>
    <s v="Payments"/>
    <n v="2.9000000000000001E-2"/>
    <s v="N/A"/>
    <s v="Refund"/>
    <s v="No"/>
    <s v="No"/>
    <x v="2"/>
    <x v="2"/>
    <s v="EMEAQ4"/>
    <n v="161000"/>
  </r>
  <r>
    <s v="TXN-101458"/>
    <d v="2024-06-29T00:00:00"/>
    <x v="2"/>
    <s v="SVC-01"/>
    <n v="159.56"/>
    <x v="0"/>
    <s v="Credit Card"/>
    <s v="callback requested"/>
    <x v="0"/>
    <s v="USA"/>
    <s v="A. Kim"/>
    <x v="0"/>
    <s v="Payments"/>
    <n v="2.9000000000000001E-2"/>
    <s v="Enterprise"/>
    <s v="Standard"/>
    <s v="No"/>
    <s v="No"/>
    <x v="0"/>
    <x v="0"/>
    <s v="NAQ2"/>
    <n v="260000"/>
  </r>
  <r>
    <s v="TXN-100862"/>
    <d v="2024-11-13T00:00:00"/>
    <x v="98"/>
    <s v="SVC-06"/>
    <n v="333.02"/>
    <x v="0"/>
    <s v="Credit Card"/>
    <m/>
    <x v="1"/>
    <s v="Philippines"/>
    <s v="T. Novak"/>
    <x v="4"/>
    <s v="Platform"/>
    <n v="0"/>
    <s v="SMB"/>
    <s v="High Value"/>
    <s v="Yes"/>
    <s v="No"/>
    <x v="1"/>
    <x v="2"/>
    <s v="APACQ4"/>
    <n v="126500"/>
  </r>
  <r>
    <s v="TXN-100877"/>
    <d v="2024-12-12T00:00:00"/>
    <x v="66"/>
    <s v="SVC-04"/>
    <n v="364.06"/>
    <x v="0"/>
    <s v="ACH"/>
    <s v="VIP account"/>
    <x v="3"/>
    <s v="Australia"/>
    <s v="L. Chen"/>
    <x v="2"/>
    <s v="Risk"/>
    <n v="1E-3"/>
    <s v="Startup"/>
    <s v="High Value"/>
    <s v="Yes"/>
    <s v="No"/>
    <x v="1"/>
    <x v="2"/>
    <s v="APACQ4"/>
    <n v="126500"/>
  </r>
  <r>
    <s v="TXN-102012"/>
    <d v="2024-09-27T00:00:00"/>
    <x v="77"/>
    <s v="SVC-07"/>
    <n v="490.73"/>
    <x v="0"/>
    <s v="Unknown"/>
    <m/>
    <x v="1"/>
    <s v="Australia"/>
    <s v="L. Chen"/>
    <x v="7"/>
    <s v="Support"/>
    <n v="0"/>
    <s v="SMB"/>
    <s v="High Value"/>
    <s v="Yes"/>
    <s v="No"/>
    <x v="1"/>
    <x v="1"/>
    <s v="APACQ3"/>
    <n v="115500"/>
  </r>
  <r>
    <s v="TXN-100925"/>
    <d v="2024-10-15T00:00:00"/>
    <x v="55"/>
    <s v="SVC-05"/>
    <n v="292.52999999999997"/>
    <x v="0"/>
    <s v="Credit Card"/>
    <s v="callback requested"/>
    <x v="3"/>
    <s v="USA"/>
    <s v="J. Reyes"/>
    <x v="3"/>
    <s v="Analytics"/>
    <n v="0"/>
    <s v="Startup"/>
    <s v="High Value"/>
    <s v="Yes"/>
    <s v="No"/>
    <x v="0"/>
    <x v="2"/>
    <s v="NAQ4"/>
    <n v="299000"/>
  </r>
  <r>
    <s v="TXN-101373"/>
    <d v="2024-02-16T00:00:00"/>
    <x v="25"/>
    <s v="SVC-01"/>
    <n v="528.9"/>
    <x v="0"/>
    <s v="Wire Transfer"/>
    <m/>
    <x v="0"/>
    <s v="USA"/>
    <s v="A. Kim"/>
    <x v="0"/>
    <s v="Payments"/>
    <n v="2.9000000000000001E-2"/>
    <s v="Enterprise"/>
    <s v="High Value"/>
    <s v="Yes"/>
    <s v="No"/>
    <x v="0"/>
    <x v="3"/>
    <s v="NAQ1"/>
    <n v="247000"/>
  </r>
  <r>
    <s v="TXN-100165"/>
    <d v="2024-03-14T00:00:00"/>
    <x v="80"/>
    <s v="SVC-07"/>
    <n v="525.69000000000005"/>
    <x v="3"/>
    <s v="Credit Card"/>
    <s v="callback requested"/>
    <x v="1"/>
    <s v="Philippines"/>
    <s v="R. Patel"/>
    <x v="7"/>
    <s v="Support"/>
    <n v="0"/>
    <s v="N/A"/>
    <s v="High Value"/>
    <s v="Yes"/>
    <s v="No"/>
    <x v="1"/>
    <x v="3"/>
    <s v="APACQ1"/>
    <n v="104500"/>
  </r>
  <r>
    <s v="TXN-100214"/>
    <d v="2024-04-22T00:00:00"/>
    <x v="93"/>
    <s v="SVC-04"/>
    <n v="361.89"/>
    <x v="0"/>
    <s v="Credit Card"/>
    <m/>
    <x v="1"/>
    <s v="Philippines"/>
    <s v="J. Reyes"/>
    <x v="2"/>
    <s v="Risk"/>
    <n v="1E-3"/>
    <s v="SMB"/>
    <s v="High Value"/>
    <s v="Yes"/>
    <s v="Yes"/>
    <x v="1"/>
    <x v="0"/>
    <s v="APACQ2"/>
    <n v="110000"/>
  </r>
  <r>
    <s v="TXN-101433"/>
    <d v="2024-08-16T00:00:00"/>
    <x v="87"/>
    <s v="SVC-04"/>
    <n v="315.87"/>
    <x v="0"/>
    <s v="ACH"/>
    <m/>
    <x v="1"/>
    <s v="United Kingdom"/>
    <s v="J. Reyes"/>
    <x v="2"/>
    <s v="Risk"/>
    <n v="1E-3"/>
    <s v="SMB"/>
    <s v="High Value"/>
    <s v="Yes"/>
    <s v="No"/>
    <x v="2"/>
    <x v="1"/>
    <s v="EMEAQ3"/>
    <n v="147000"/>
  </r>
  <r>
    <s v="TXN-101259"/>
    <d v="2024-08-30T00:00:00"/>
    <x v="117"/>
    <s v="SVC-02"/>
    <n v="118.02"/>
    <x v="0"/>
    <s v="ACH"/>
    <s v="escalated to support"/>
    <x v="1"/>
    <s v="Canada"/>
    <s v="A. Kim"/>
    <x v="6"/>
    <s v="HR &amp; Payroll"/>
    <n v="0"/>
    <s v="SMB"/>
    <s v="Standard"/>
    <s v="Yes"/>
    <s v="Yes"/>
    <x v="0"/>
    <x v="1"/>
    <s v="NAQ3"/>
    <n v="273000"/>
  </r>
  <r>
    <s v="TXN-102608"/>
    <d v="2024-04-15T00:00:00"/>
    <x v="141"/>
    <s v="SVC-03"/>
    <n v="701.8"/>
    <x v="0"/>
    <s v="ACH"/>
    <m/>
    <x v="2"/>
    <m/>
    <m/>
    <x v="5"/>
    <s v="Billing"/>
    <n v="5.0000000000000001E-3"/>
    <s v="Customer Not Found"/>
    <s v="High Value"/>
    <s v="Yes"/>
    <s v="Yes"/>
    <x v="1"/>
    <x v="0"/>
    <s v="APACQ2"/>
    <n v="110000"/>
  </r>
  <r>
    <s v="TXN-100402"/>
    <d v="2024-05-10T00:00:00"/>
    <x v="34"/>
    <s v="SVC-03"/>
    <n v="482.95"/>
    <x v="0"/>
    <s v="Debit Card"/>
    <m/>
    <x v="1"/>
    <s v="Germany"/>
    <s v="M. Santos"/>
    <x v="5"/>
    <s v="Billing"/>
    <n v="5.0000000000000001E-3"/>
    <s v="SMB"/>
    <s v="High Value"/>
    <s v="Yes"/>
    <s v="No"/>
    <x v="2"/>
    <x v="0"/>
    <s v="EMEAQ2"/>
    <n v="140000"/>
  </r>
  <r>
    <s v="TXN-100723"/>
    <d v="2024-07-17T00:00:00"/>
    <x v="6"/>
    <s v="SVC-03"/>
    <n v="428.77"/>
    <x v="0"/>
    <s v="Credit Card"/>
    <s v="callback requested"/>
    <x v="0"/>
    <s v="United Kingdom"/>
    <s v="R. Patel"/>
    <x v="5"/>
    <s v="Billing"/>
    <n v="5.0000000000000001E-3"/>
    <s v="Enterprise"/>
    <s v="High Value"/>
    <s v="Yes"/>
    <s v="No"/>
    <x v="2"/>
    <x v="1"/>
    <s v="EMEAQ3"/>
    <n v="147000"/>
  </r>
  <r>
    <s v="TXN-101551"/>
    <d v="2024-02-16T00:00:00"/>
    <x v="91"/>
    <s v="SVC-08"/>
    <n v="531.32000000000005"/>
    <x v="0"/>
    <s v="Unknown"/>
    <s v="callback requested"/>
    <x v="1"/>
    <s v="Singapore"/>
    <s v="A. Kim"/>
    <x v="1"/>
    <s v="Risk"/>
    <n v="2.5000000000000001E-3"/>
    <s v="SMB"/>
    <s v="High Value"/>
    <s v="Yes"/>
    <s v="No"/>
    <x v="1"/>
    <x v="3"/>
    <s v="APACQ1"/>
    <n v="104500"/>
  </r>
  <r>
    <s v="TXN-101954"/>
    <d v="2024-10-28T00:00:00"/>
    <x v="98"/>
    <s v="SVC-03"/>
    <n v="1000.49"/>
    <x v="0"/>
    <s v="Unknown"/>
    <m/>
    <x v="1"/>
    <s v="Philippines"/>
    <s v="T. Novak"/>
    <x v="5"/>
    <s v="Billing"/>
    <n v="5.0000000000000001E-3"/>
    <s v="SMB"/>
    <s v="High Value"/>
    <s v="Yes"/>
    <s v="No"/>
    <x v="1"/>
    <x v="2"/>
    <s v="APACQ4"/>
    <n v="126500"/>
  </r>
  <r>
    <s v="TXN-101260"/>
    <d v="2024-04-02T00:00:00"/>
    <x v="10"/>
    <s v="SVC-04"/>
    <n v="386.81"/>
    <x v="0"/>
    <s v="Credit Card"/>
    <m/>
    <x v="1"/>
    <s v="USA"/>
    <s v="T. Novak"/>
    <x v="2"/>
    <s v="Risk"/>
    <n v="1E-3"/>
    <s v="SMB"/>
    <s v="High Value"/>
    <s v="Yes"/>
    <s v="No"/>
    <x v="0"/>
    <x v="0"/>
    <s v="NAQ2"/>
    <n v="260000"/>
  </r>
  <r>
    <s v="TXN-100243"/>
    <d v="2024-10-22T00:00:00"/>
    <x v="94"/>
    <s v="SVC-01"/>
    <n v="108.39"/>
    <x v="0"/>
    <s v="Credit Card"/>
    <m/>
    <x v="1"/>
    <s v="United Kingdom"/>
    <s v="L. Chen"/>
    <x v="0"/>
    <s v="Payments"/>
    <n v="2.9000000000000001E-2"/>
    <s v="SMB"/>
    <s v="Standard"/>
    <s v="No"/>
    <s v="No"/>
    <x v="2"/>
    <x v="2"/>
    <s v="EMEAQ4"/>
    <n v="161000"/>
  </r>
  <r>
    <s v="TXN-102136"/>
    <d v="2024-04-05T00:00:00"/>
    <x v="63"/>
    <s v="SVC-02"/>
    <n v="120.19"/>
    <x v="0"/>
    <s v="Debit Card"/>
    <s v="VIP account"/>
    <x v="1"/>
    <s v="Philippines"/>
    <s v="T. Novak"/>
    <x v="6"/>
    <s v="HR &amp; Payroll"/>
    <n v="0"/>
    <s v="SMB"/>
    <s v="Standard"/>
    <s v="Yes"/>
    <s v="No"/>
    <x v="1"/>
    <x v="0"/>
    <s v="APACQ2"/>
    <n v="110000"/>
  </r>
  <r>
    <s v="TXN-101603"/>
    <d v="2024-12-08T00:00:00"/>
    <x v="9"/>
    <s v="SVC-08"/>
    <n v="-21.03"/>
    <x v="2"/>
    <s v="Credit Card"/>
    <s v="escalated to support"/>
    <x v="3"/>
    <s v="Philippines"/>
    <s v="T. Novak"/>
    <x v="1"/>
    <s v="Risk"/>
    <n v="2.5000000000000001E-3"/>
    <s v="N/A"/>
    <s v="Refund"/>
    <s v="No"/>
    <s v="Yes"/>
    <x v="1"/>
    <x v="2"/>
    <s v="APACQ4"/>
    <n v="126500"/>
  </r>
  <r>
    <s v="TXN-100027"/>
    <d v="2024-07-14T00:00:00"/>
    <x v="27"/>
    <s v="SVC-04"/>
    <n v="360.15"/>
    <x v="0"/>
    <s v="Debit Card"/>
    <m/>
    <x v="1"/>
    <s v="Canada"/>
    <s v="L. Chen"/>
    <x v="2"/>
    <s v="Risk"/>
    <n v="1E-3"/>
    <s v="SMB"/>
    <s v="High Value"/>
    <s v="Yes"/>
    <s v="No"/>
    <x v="0"/>
    <x v="1"/>
    <s v="NAQ3"/>
    <n v="273000"/>
  </r>
  <r>
    <s v="TXN-102132"/>
    <d v="2024-05-04T00:00:00"/>
    <x v="36"/>
    <s v="SVC-06"/>
    <n v="230.55"/>
    <x v="3"/>
    <s v="Credit Card"/>
    <m/>
    <x v="1"/>
    <s v="USA"/>
    <s v="M. Santos"/>
    <x v="4"/>
    <s v="Platform"/>
    <n v="0"/>
    <s v="N/A"/>
    <s v="Standard"/>
    <s v="Yes"/>
    <s v="No"/>
    <x v="0"/>
    <x v="0"/>
    <s v="NAQ2"/>
    <n v="260000"/>
  </r>
  <r>
    <s v="TXN-102532"/>
    <d v="2024-01-24T00:00:00"/>
    <x v="121"/>
    <s v="SVC-01"/>
    <n v="146.57"/>
    <x v="3"/>
    <s v="ACH"/>
    <s v="VIP account"/>
    <x v="0"/>
    <s v="USA"/>
    <s v="J. Reyes"/>
    <x v="0"/>
    <s v="Payments"/>
    <n v="2.9000000000000001E-2"/>
    <s v="N/A"/>
    <s v="Standard"/>
    <s v="No"/>
    <s v="No"/>
    <x v="0"/>
    <x v="3"/>
    <s v="NAQ1"/>
    <n v="247000"/>
  </r>
  <r>
    <s v="TXN-101716"/>
    <d v="2024-09-25T00:00:00"/>
    <x v="7"/>
    <s v="SVC-04"/>
    <n v="67.819999999999993"/>
    <x v="3"/>
    <s v="Unknown"/>
    <m/>
    <x v="1"/>
    <s v="USA"/>
    <s v="T. Novak"/>
    <x v="2"/>
    <s v="Risk"/>
    <n v="1E-3"/>
    <s v="N/A"/>
    <s v="Standard"/>
    <s v="Yes"/>
    <s v="No"/>
    <x v="0"/>
    <x v="1"/>
    <s v="NAQ3"/>
    <n v="273000"/>
  </r>
  <r>
    <s v="TXN-102081"/>
    <d v="2024-04-03T00:00:00"/>
    <x v="58"/>
    <s v="SVC-01"/>
    <n v="825.03"/>
    <x v="0"/>
    <s v="Debit Card"/>
    <s v="escalated to support"/>
    <x v="1"/>
    <s v="Canada"/>
    <s v="M. Santos"/>
    <x v="0"/>
    <s v="Payments"/>
    <n v="2.9000000000000001E-2"/>
    <s v="SMB"/>
    <s v="High Value"/>
    <s v="Yes"/>
    <s v="No"/>
    <x v="0"/>
    <x v="0"/>
    <s v="NAQ2"/>
    <n v="260000"/>
  </r>
  <r>
    <s v="TXN-102258"/>
    <d v="2024-01-28T00:00:00"/>
    <x v="79"/>
    <s v="SVC-03"/>
    <n v="295.89"/>
    <x v="0"/>
    <s v="ACH"/>
    <s v="escalated to support"/>
    <x v="3"/>
    <s v="USA"/>
    <s v="T. Novak"/>
    <x v="5"/>
    <s v="Billing"/>
    <n v="5.0000000000000001E-3"/>
    <s v="Startup"/>
    <s v="High Value"/>
    <s v="Yes"/>
    <s v="No"/>
    <x v="0"/>
    <x v="3"/>
    <s v="NAQ1"/>
    <n v="247000"/>
  </r>
  <r>
    <s v="TXN-102482"/>
    <d v="2024-05-25T00:00:00"/>
    <x v="102"/>
    <s v="SVC-03"/>
    <n v="470.73"/>
    <x v="1"/>
    <s v="Debit Card"/>
    <s v="callback requested"/>
    <x v="1"/>
    <s v="Philippines"/>
    <s v="L. Chen"/>
    <x v="5"/>
    <s v="Billing"/>
    <n v="5.0000000000000001E-3"/>
    <s v="N/A"/>
    <s v="High Value"/>
    <s v="Yes"/>
    <s v="No"/>
    <x v="1"/>
    <x v="0"/>
    <s v="APACQ2"/>
    <n v="110000"/>
  </r>
  <r>
    <s v="TXN-100594"/>
    <d v="2024-02-11T00:00:00"/>
    <x v="91"/>
    <s v="SVC-07"/>
    <n v="422.67"/>
    <x v="0"/>
    <s v="ACH"/>
    <s v="escalated to support"/>
    <x v="1"/>
    <s v="Singapore"/>
    <s v="A. Kim"/>
    <x v="7"/>
    <s v="Support"/>
    <n v="0"/>
    <s v="SMB"/>
    <s v="High Value"/>
    <s v="Yes"/>
    <s v="No"/>
    <x v="1"/>
    <x v="3"/>
    <s v="APACQ1"/>
    <n v="104500"/>
  </r>
  <r>
    <s v="TXN-101862"/>
    <d v="2024-03-01T00:00:00"/>
    <x v="47"/>
    <s v="SVC-01"/>
    <n v="347.74"/>
    <x v="0"/>
    <s v="Debit Card"/>
    <s v="callback requested"/>
    <x v="1"/>
    <s v="Canada"/>
    <s v="R. Patel"/>
    <x v="0"/>
    <s v="Payments"/>
    <n v="2.9000000000000001E-2"/>
    <s v="SMB"/>
    <s v="Standard"/>
    <s v="Yes"/>
    <s v="No"/>
    <x v="0"/>
    <x v="3"/>
    <s v="NAQ1"/>
    <n v="247000"/>
  </r>
  <r>
    <s v="TXN-100679"/>
    <d v="2024-11-17T00:00:00"/>
    <x v="105"/>
    <s v="SVC-07"/>
    <n v="333.46"/>
    <x v="0"/>
    <s v="Credit Card"/>
    <m/>
    <x v="3"/>
    <s v="Philippines"/>
    <s v="T. Novak"/>
    <x v="7"/>
    <s v="Support"/>
    <n v="0"/>
    <s v="Startup"/>
    <s v="High Value"/>
    <s v="Yes"/>
    <s v="No"/>
    <x v="1"/>
    <x v="2"/>
    <s v="APACQ4"/>
    <n v="126500"/>
  </r>
  <r>
    <s v="TXN-100584"/>
    <d v="2024-03-31T00:00:00"/>
    <x v="12"/>
    <s v="SVC-05"/>
    <n v="444.73"/>
    <x v="0"/>
    <s v="Wire Transfer"/>
    <m/>
    <x v="1"/>
    <s v="Canada"/>
    <s v="R. Patel"/>
    <x v="3"/>
    <s v="Analytics"/>
    <n v="0"/>
    <s v="SMB"/>
    <s v="High Value"/>
    <s v="Yes"/>
    <s v="No"/>
    <x v="0"/>
    <x v="3"/>
    <s v="NAQ1"/>
    <n v="247000"/>
  </r>
  <r>
    <s v="TXN-102438"/>
    <d v="2024-05-28T00:00:00"/>
    <x v="86"/>
    <s v="SVC-07"/>
    <n v="357.77"/>
    <x v="0"/>
    <s v="Wire Transfer"/>
    <s v="callback requested"/>
    <x v="1"/>
    <s v="Canada"/>
    <s v="L. Chen"/>
    <x v="7"/>
    <s v="Support"/>
    <n v="0"/>
    <s v="SMB"/>
    <s v="High Value"/>
    <s v="Yes"/>
    <s v="No"/>
    <x v="0"/>
    <x v="0"/>
    <s v="NAQ2"/>
    <n v="260000"/>
  </r>
  <r>
    <s v="TXN-101574"/>
    <d v="2024-08-12T00:00:00"/>
    <x v="91"/>
    <s v="SVC-07"/>
    <n v="1038.1600000000001"/>
    <x v="0"/>
    <s v="Wire Transfer"/>
    <m/>
    <x v="1"/>
    <s v="Singapore"/>
    <s v="A. Kim"/>
    <x v="7"/>
    <s v="Support"/>
    <n v="0"/>
    <s v="SMB"/>
    <s v="High Value"/>
    <s v="Yes"/>
    <s v="No"/>
    <x v="1"/>
    <x v="1"/>
    <s v="APACQ3"/>
    <n v="115500"/>
  </r>
  <r>
    <s v="TXN-102025"/>
    <d v="2024-03-24T00:00:00"/>
    <x v="65"/>
    <s v="SVC-01"/>
    <n v="636.37"/>
    <x v="3"/>
    <s v="Wire Transfer"/>
    <s v="escalated to support"/>
    <x v="0"/>
    <s v="USA"/>
    <s v="A. Kim"/>
    <x v="0"/>
    <s v="Payments"/>
    <n v="2.9000000000000001E-2"/>
    <s v="N/A"/>
    <s v="High Value"/>
    <s v="Yes"/>
    <s v="No"/>
    <x v="0"/>
    <x v="3"/>
    <s v="NAQ1"/>
    <n v="247000"/>
  </r>
  <r>
    <s v="TXN-101602"/>
    <d v="2024-02-07T00:00:00"/>
    <x v="40"/>
    <s v="SVC-01"/>
    <n v="54.76"/>
    <x v="0"/>
    <s v="Credit Card"/>
    <m/>
    <x v="1"/>
    <s v="Philippines"/>
    <s v="M. Santos"/>
    <x v="0"/>
    <s v="Payments"/>
    <n v="2.9000000000000001E-2"/>
    <s v="SMB"/>
    <s v="Standard"/>
    <s v="No"/>
    <s v="No"/>
    <x v="1"/>
    <x v="3"/>
    <s v="APACQ1"/>
    <n v="104500"/>
  </r>
  <r>
    <s v="TXN-100954"/>
    <d v="2024-06-28T00:00:00"/>
    <x v="118"/>
    <s v="SVC-02"/>
    <n v="131.03"/>
    <x v="0"/>
    <s v="Debit Card"/>
    <m/>
    <x v="1"/>
    <s v="USA"/>
    <s v="L. Chen"/>
    <x v="6"/>
    <s v="HR &amp; Payroll"/>
    <n v="0"/>
    <s v="SMB"/>
    <s v="Standard"/>
    <s v="Yes"/>
    <s v="No"/>
    <x v="0"/>
    <x v="0"/>
    <s v="NAQ2"/>
    <n v="260000"/>
  </r>
  <r>
    <s v="TXN-100960"/>
    <d v="2024-04-08T00:00:00"/>
    <x v="48"/>
    <s v="SVC-01"/>
    <n v="764.09"/>
    <x v="0"/>
    <s v="Debit Card"/>
    <s v="VIP account"/>
    <x v="1"/>
    <s v="Germany"/>
    <s v="J. Reyes"/>
    <x v="0"/>
    <s v="Payments"/>
    <n v="2.9000000000000001E-2"/>
    <s v="SMB"/>
    <s v="High Value"/>
    <s v="Yes"/>
    <s v="No"/>
    <x v="2"/>
    <x v="0"/>
    <s v="EMEAQ2"/>
    <n v="140000"/>
  </r>
  <r>
    <s v="TXN-101286"/>
    <d v="2024-04-18T00:00:00"/>
    <x v="3"/>
    <s v="SVC-01"/>
    <n v="588.97"/>
    <x v="0"/>
    <s v="ACH"/>
    <m/>
    <x v="1"/>
    <s v="Canada"/>
    <s v="J. Reyes"/>
    <x v="0"/>
    <s v="Payments"/>
    <n v="2.9000000000000001E-2"/>
    <s v="SMB"/>
    <s v="High Value"/>
    <s v="Yes"/>
    <s v="No"/>
    <x v="0"/>
    <x v="0"/>
    <s v="NAQ2"/>
    <n v="260000"/>
  </r>
  <r>
    <s v="TXN-101334"/>
    <d v="2024-07-10T00:00:00"/>
    <x v="73"/>
    <s v="SVC-02"/>
    <n v="332.08"/>
    <x v="1"/>
    <s v="Credit Card"/>
    <m/>
    <x v="1"/>
    <s v="United Kingdom"/>
    <s v="R. Patel"/>
    <x v="6"/>
    <s v="HR &amp; Payroll"/>
    <n v="0"/>
    <s v="N/A"/>
    <s v="High Value"/>
    <s v="Yes"/>
    <s v="No"/>
    <x v="2"/>
    <x v="1"/>
    <s v="EMEAQ3"/>
    <n v="147000"/>
  </r>
  <r>
    <s v="TXN-102198"/>
    <d v="2024-06-24T00:00:00"/>
    <x v="58"/>
    <s v="SVC-02"/>
    <n v="494.34"/>
    <x v="1"/>
    <s v="Credit Card"/>
    <m/>
    <x v="1"/>
    <s v="Canada"/>
    <s v="M. Santos"/>
    <x v="6"/>
    <s v="HR &amp; Payroll"/>
    <n v="0"/>
    <s v="N/A"/>
    <s v="High Value"/>
    <s v="Yes"/>
    <s v="No"/>
    <x v="0"/>
    <x v="0"/>
    <s v="NAQ2"/>
    <n v="260000"/>
  </r>
  <r>
    <s v="TXN-101984"/>
    <d v="2024-04-25T00:00:00"/>
    <x v="59"/>
    <s v="SVC-07"/>
    <n v="471.08"/>
    <x v="0"/>
    <s v="ACH"/>
    <s v="callback requested"/>
    <x v="1"/>
    <s v="USA"/>
    <s v="R. Patel"/>
    <x v="7"/>
    <s v="Support"/>
    <n v="0"/>
    <s v="SMB"/>
    <s v="High Value"/>
    <s v="Yes"/>
    <s v="No"/>
    <x v="0"/>
    <x v="0"/>
    <s v="NAQ2"/>
    <n v="260000"/>
  </r>
  <r>
    <s v="TXN-100480"/>
    <d v="2024-01-26T00:00:00"/>
    <x v="93"/>
    <s v="SVC-03"/>
    <n v="713.25"/>
    <x v="0"/>
    <s v="Credit Card"/>
    <s v="callback requested"/>
    <x v="1"/>
    <s v="Philippines"/>
    <s v="J. Reyes"/>
    <x v="5"/>
    <s v="Billing"/>
    <n v="5.0000000000000001E-3"/>
    <s v="SMB"/>
    <s v="High Value"/>
    <s v="Yes"/>
    <s v="No"/>
    <x v="1"/>
    <x v="3"/>
    <s v="APACQ1"/>
    <n v="104500"/>
  </r>
  <r>
    <s v="TXN-101522"/>
    <d v="2024-01-23T00:00:00"/>
    <x v="42"/>
    <s v="SVC-06"/>
    <n v="558.95000000000005"/>
    <x v="0"/>
    <s v="Debit Card"/>
    <s v="VIP account"/>
    <x v="1"/>
    <s v="Australia"/>
    <s v="M. Santos"/>
    <x v="4"/>
    <s v="Platform"/>
    <n v="0"/>
    <s v="SMB"/>
    <s v="High Value"/>
    <s v="Yes"/>
    <s v="No"/>
    <x v="1"/>
    <x v="3"/>
    <s v="APACQ1"/>
    <n v="104500"/>
  </r>
  <r>
    <s v="TXN-100280"/>
    <d v="2024-02-07T00:00:00"/>
    <x v="63"/>
    <s v="SVC-01"/>
    <n v="478.42"/>
    <x v="3"/>
    <s v="ACH"/>
    <m/>
    <x v="1"/>
    <s v="Philippines"/>
    <s v="T. Novak"/>
    <x v="0"/>
    <s v="Payments"/>
    <n v="2.9000000000000001E-2"/>
    <s v="N/A"/>
    <s v="Standard"/>
    <s v="Yes"/>
    <s v="No"/>
    <x v="1"/>
    <x v="3"/>
    <s v="APACQ1"/>
    <n v="104500"/>
  </r>
  <r>
    <s v="TXN-100445"/>
    <d v="2024-08-04T00:00:00"/>
    <x v="62"/>
    <s v="SVC-01"/>
    <n v="104.37"/>
    <x v="0"/>
    <s v="Debit Card"/>
    <s v="VIP account"/>
    <x v="0"/>
    <s v="USA"/>
    <s v="A. Kim"/>
    <x v="0"/>
    <s v="Payments"/>
    <n v="2.9000000000000001E-2"/>
    <s v="Enterprise"/>
    <s v="Standard"/>
    <s v="No"/>
    <s v="No"/>
    <x v="0"/>
    <x v="1"/>
    <s v="NAQ3"/>
    <n v="273000"/>
  </r>
  <r>
    <s v="TXN-102275"/>
    <d v="2024-05-30T00:00:00"/>
    <x v="70"/>
    <s v="SVC-06"/>
    <n v="675.07"/>
    <x v="0"/>
    <s v="Wire Transfer"/>
    <s v="VIP account"/>
    <x v="3"/>
    <s v="Singapore"/>
    <s v="A. Kim"/>
    <x v="4"/>
    <s v="Platform"/>
    <n v="0"/>
    <s v="Startup"/>
    <s v="High Value"/>
    <s v="Yes"/>
    <s v="No"/>
    <x v="1"/>
    <x v="0"/>
    <s v="APACQ2"/>
    <n v="110000"/>
  </r>
  <r>
    <s v="TXN-102298"/>
    <d v="2024-07-21T00:00:00"/>
    <x v="100"/>
    <s v="SVC-01"/>
    <n v="-458.15"/>
    <x v="2"/>
    <s v="Debit Card"/>
    <s v="callback requested"/>
    <x v="1"/>
    <s v="USA"/>
    <s v="J. Reyes"/>
    <x v="0"/>
    <s v="Payments"/>
    <n v="2.9000000000000001E-2"/>
    <s v="N/A"/>
    <s v="Refund"/>
    <s v="No"/>
    <s v="No"/>
    <x v="0"/>
    <x v="1"/>
    <s v="NAQ3"/>
    <n v="273000"/>
  </r>
  <r>
    <s v="TXN-100705"/>
    <d v="2024-07-08T00:00:00"/>
    <x v="123"/>
    <s v="SVC-07"/>
    <n v="255.29"/>
    <x v="0"/>
    <s v="ACH"/>
    <s v="callback requested"/>
    <x v="3"/>
    <s v="Australia"/>
    <s v="L. Chen"/>
    <x v="7"/>
    <s v="Support"/>
    <n v="0"/>
    <s v="Startup"/>
    <s v="High Value"/>
    <s v="Yes"/>
    <s v="No"/>
    <x v="1"/>
    <x v="1"/>
    <s v="APACQ3"/>
    <n v="115500"/>
  </r>
  <r>
    <s v="TXN-102263"/>
    <d v="2024-02-29T00:00:00"/>
    <x v="120"/>
    <s v="SVC-01"/>
    <n v="333.53"/>
    <x v="0"/>
    <s v="Credit Card"/>
    <s v="escalated to support"/>
    <x v="3"/>
    <s v="Australia"/>
    <s v="M. Santos"/>
    <x v="0"/>
    <s v="Payments"/>
    <n v="2.9000000000000001E-2"/>
    <s v="Startup"/>
    <s v="Standard"/>
    <s v="Yes"/>
    <s v="Yes"/>
    <x v="1"/>
    <x v="3"/>
    <s v="APACQ1"/>
    <n v="104500"/>
  </r>
  <r>
    <s v="TXN-102525"/>
    <d v="2024-12-16T00:00:00"/>
    <x v="44"/>
    <s v="SVC-05"/>
    <n v="185.94"/>
    <x v="0"/>
    <s v="Credit Card"/>
    <s v="escalated to support"/>
    <x v="0"/>
    <s v="Australia"/>
    <s v="T. Novak"/>
    <x v="3"/>
    <s v="Analytics"/>
    <n v="0"/>
    <s v="Enterprise"/>
    <s v="Standard"/>
    <s v="Yes"/>
    <s v="Yes"/>
    <x v="1"/>
    <x v="2"/>
    <s v="APACQ4"/>
    <n v="126500"/>
  </r>
  <r>
    <s v="TXN-102211"/>
    <d v="2024-06-17T00:00:00"/>
    <x v="84"/>
    <s v="SVC-07"/>
    <n v="624.77"/>
    <x v="0"/>
    <s v="ACH"/>
    <s v="callback requested"/>
    <x v="3"/>
    <s v="Singapore"/>
    <s v="T. Novak"/>
    <x v="7"/>
    <s v="Support"/>
    <n v="0"/>
    <s v="Startup"/>
    <s v="High Value"/>
    <s v="Yes"/>
    <s v="No"/>
    <x v="1"/>
    <x v="0"/>
    <s v="APACQ2"/>
    <n v="110000"/>
  </r>
  <r>
    <s v="TXN-100001"/>
    <d v="2024-09-01T00:00:00"/>
    <x v="18"/>
    <s v="SVC-01"/>
    <n v="536.96"/>
    <x v="0"/>
    <s v="Credit Card"/>
    <s v="VIP account"/>
    <x v="1"/>
    <s v="Philippines"/>
    <s v="R. Patel"/>
    <x v="0"/>
    <s v="Payments"/>
    <n v="2.9000000000000001E-2"/>
    <s v="SMB"/>
    <s v="High Value"/>
    <s v="Yes"/>
    <s v="No"/>
    <x v="1"/>
    <x v="1"/>
    <s v="APACQ3"/>
    <n v="115500"/>
  </r>
  <r>
    <s v="TXN-100465"/>
    <d v="2024-02-10T00:00:00"/>
    <x v="125"/>
    <s v="SVC-05"/>
    <n v="444.43"/>
    <x v="0"/>
    <s v="Credit Card"/>
    <s v="escalated to support"/>
    <x v="1"/>
    <s v="USA"/>
    <s v="A. Kim"/>
    <x v="3"/>
    <s v="Analytics"/>
    <n v="0"/>
    <s v="SMB"/>
    <s v="High Value"/>
    <s v="Yes"/>
    <s v="No"/>
    <x v="0"/>
    <x v="3"/>
    <s v="NAQ1"/>
    <n v="247000"/>
  </r>
  <r>
    <s v="TXN-100293"/>
    <d v="2024-09-23T00:00:00"/>
    <x v="75"/>
    <s v="SVC-07"/>
    <n v="690.46"/>
    <x v="0"/>
    <s v="Debit Card"/>
    <s v="VIP account"/>
    <x v="0"/>
    <s v="Canada"/>
    <s v="R. Patel"/>
    <x v="7"/>
    <s v="Support"/>
    <n v="0"/>
    <s v="Enterprise"/>
    <s v="High Value"/>
    <s v="Yes"/>
    <s v="No"/>
    <x v="0"/>
    <x v="1"/>
    <s v="NAQ3"/>
    <n v="273000"/>
  </r>
  <r>
    <s v="TXN-101841"/>
    <d v="2024-01-03T00:00:00"/>
    <x v="58"/>
    <s v="SVC-01"/>
    <n v="375.89"/>
    <x v="0"/>
    <s v="Debit Card"/>
    <m/>
    <x v="1"/>
    <s v="Canada"/>
    <s v="M. Santos"/>
    <x v="0"/>
    <s v="Payments"/>
    <n v="2.9000000000000001E-2"/>
    <s v="SMB"/>
    <s v="Standard"/>
    <s v="Yes"/>
    <s v="No"/>
    <x v="0"/>
    <x v="3"/>
    <s v="NAQ1"/>
    <n v="247000"/>
  </r>
  <r>
    <s v="TXN-101663"/>
    <d v="2024-09-14T00:00:00"/>
    <x v="120"/>
    <s v="SVC-01"/>
    <n v="945.53"/>
    <x v="0"/>
    <s v="ACH"/>
    <s v="callback requested"/>
    <x v="3"/>
    <s v="Australia"/>
    <s v="M. Santos"/>
    <x v="0"/>
    <s v="Payments"/>
    <n v="2.9000000000000001E-2"/>
    <s v="Startup"/>
    <s v="High Value"/>
    <s v="Yes"/>
    <s v="No"/>
    <x v="1"/>
    <x v="1"/>
    <s v="APACQ3"/>
    <n v="115500"/>
  </r>
  <r>
    <s v="TXN-101274"/>
    <d v="2024-11-30T00:00:00"/>
    <x v="8"/>
    <s v="SVC-06"/>
    <n v="599.11"/>
    <x v="0"/>
    <s v="ACH"/>
    <m/>
    <x v="1"/>
    <s v="USA"/>
    <s v="M. Santos"/>
    <x v="4"/>
    <s v="Platform"/>
    <n v="0"/>
    <s v="SMB"/>
    <s v="High Value"/>
    <s v="Yes"/>
    <s v="Yes"/>
    <x v="0"/>
    <x v="2"/>
    <s v="NAQ4"/>
    <n v="299000"/>
  </r>
  <r>
    <s v="TXN-100921"/>
    <d v="2024-08-15T00:00:00"/>
    <x v="45"/>
    <s v="SVC-05"/>
    <n v="662.39"/>
    <x v="0"/>
    <s v="Credit Card"/>
    <m/>
    <x v="0"/>
    <s v="United Kingdom"/>
    <s v="R. Patel"/>
    <x v="3"/>
    <s v="Analytics"/>
    <n v="0"/>
    <s v="Enterprise"/>
    <s v="High Value"/>
    <s v="Yes"/>
    <s v="No"/>
    <x v="2"/>
    <x v="1"/>
    <s v="EMEAQ3"/>
    <n v="147000"/>
  </r>
  <r>
    <s v="TXN-101490"/>
    <d v="2024-06-04T00:00:00"/>
    <x v="60"/>
    <s v="SVC-07"/>
    <n v="66.87"/>
    <x v="0"/>
    <s v="Credit Card"/>
    <s v="VIP account"/>
    <x v="1"/>
    <s v="Australia"/>
    <s v="J. Reyes"/>
    <x v="7"/>
    <s v="Support"/>
    <n v="0"/>
    <s v="SMB"/>
    <s v="Standard"/>
    <s v="Yes"/>
    <s v="No"/>
    <x v="1"/>
    <x v="0"/>
    <s v="APACQ2"/>
    <n v="110000"/>
  </r>
  <r>
    <s v="TXN-102194"/>
    <d v="2024-12-08T00:00:00"/>
    <x v="5"/>
    <s v="SVC-06"/>
    <n v="441.51"/>
    <x v="0"/>
    <s v="Credit Card"/>
    <s v="escalated to support"/>
    <x v="1"/>
    <s v="Australia"/>
    <s v="A. Kim"/>
    <x v="4"/>
    <s v="Platform"/>
    <n v="0"/>
    <s v="SMB"/>
    <s v="High Value"/>
    <s v="Yes"/>
    <s v="No"/>
    <x v="1"/>
    <x v="2"/>
    <s v="APACQ4"/>
    <n v="126500"/>
  </r>
  <r>
    <s v="TXN-100634"/>
    <d v="2024-07-31T00:00:00"/>
    <x v="28"/>
    <s v="SVC-06"/>
    <n v="1246.25"/>
    <x v="3"/>
    <s v="Debit Card"/>
    <s v="callback requested"/>
    <x v="1"/>
    <s v="United Kingdom"/>
    <s v="L. Chen"/>
    <x v="4"/>
    <s v="Platform"/>
    <n v="0"/>
    <s v="N/A"/>
    <s v="High Value"/>
    <s v="Yes"/>
    <s v="No"/>
    <x v="2"/>
    <x v="1"/>
    <s v="EMEAQ3"/>
    <n v="147000"/>
  </r>
  <r>
    <s v="TXN-102019"/>
    <d v="2024-07-16T00:00:00"/>
    <x v="99"/>
    <s v="SVC-01"/>
    <n v="306.87"/>
    <x v="0"/>
    <s v="ACH"/>
    <s v="escalated to support"/>
    <x v="1"/>
    <s v="Canada"/>
    <s v="R. Patel"/>
    <x v="0"/>
    <s v="Payments"/>
    <n v="2.9000000000000001E-2"/>
    <s v="SMB"/>
    <s v="Standard"/>
    <s v="Yes"/>
    <s v="No"/>
    <x v="0"/>
    <x v="1"/>
    <s v="NAQ3"/>
    <n v="273000"/>
  </r>
  <r>
    <s v="TXN-100725"/>
    <d v="2024-08-11T00:00:00"/>
    <x v="93"/>
    <s v="SVC-01"/>
    <n v="313.7"/>
    <x v="0"/>
    <s v="Credit Card"/>
    <m/>
    <x v="1"/>
    <s v="Philippines"/>
    <s v="J. Reyes"/>
    <x v="0"/>
    <s v="Payments"/>
    <n v="2.9000000000000001E-2"/>
    <s v="SMB"/>
    <s v="Standard"/>
    <s v="Yes"/>
    <s v="No"/>
    <x v="1"/>
    <x v="1"/>
    <s v="APACQ3"/>
    <n v="115500"/>
  </r>
  <r>
    <s v="TXN-102053"/>
    <d v="2024-02-07T00:00:00"/>
    <x v="30"/>
    <s v="SVC-01"/>
    <n v="-745.77"/>
    <x v="2"/>
    <s v="Debit Card"/>
    <s v="callback requested"/>
    <x v="1"/>
    <s v="Germany"/>
    <s v="M. Santos"/>
    <x v="0"/>
    <s v="Payments"/>
    <n v="2.9000000000000001E-2"/>
    <s v="N/A"/>
    <s v="Refund"/>
    <s v="No"/>
    <s v="No"/>
    <x v="2"/>
    <x v="3"/>
    <s v="EMEAQ1"/>
    <n v="133000"/>
  </r>
  <r>
    <s v="TXN-101516"/>
    <d v="2024-02-14T00:00:00"/>
    <x v="17"/>
    <s v="SVC-06"/>
    <n v="1170.68"/>
    <x v="0"/>
    <s v="ACH"/>
    <s v="escalated to support"/>
    <x v="1"/>
    <s v="USA"/>
    <s v="A. Kim"/>
    <x v="4"/>
    <s v="Platform"/>
    <n v="0"/>
    <s v="SMB"/>
    <s v="High Value"/>
    <s v="Yes"/>
    <s v="No"/>
    <x v="0"/>
    <x v="3"/>
    <s v="NAQ1"/>
    <n v="247000"/>
  </r>
  <r>
    <s v="TXN-101053"/>
    <d v="2024-11-04T00:00:00"/>
    <x v="94"/>
    <s v="SVC-02"/>
    <n v="850.37"/>
    <x v="0"/>
    <s v="Credit Card"/>
    <s v="escalated to support"/>
    <x v="1"/>
    <s v="United Kingdom"/>
    <s v="L. Chen"/>
    <x v="6"/>
    <s v="HR &amp; Payroll"/>
    <n v="0"/>
    <s v="SMB"/>
    <s v="High Value"/>
    <s v="Yes"/>
    <s v="No"/>
    <x v="2"/>
    <x v="2"/>
    <s v="EMEAQ4"/>
    <n v="161000"/>
  </r>
  <r>
    <s v="TXN-100132"/>
    <d v="2024-09-22T00:00:00"/>
    <x v="20"/>
    <s v="SVC-05"/>
    <n v="218.98"/>
    <x v="0"/>
    <s v="Wire Transfer"/>
    <s v="VIP account"/>
    <x v="1"/>
    <s v="USA"/>
    <s v="R. Patel"/>
    <x v="3"/>
    <s v="Analytics"/>
    <n v="0"/>
    <s v="SMB"/>
    <s v="Standard"/>
    <s v="Yes"/>
    <s v="Yes"/>
    <x v="0"/>
    <x v="1"/>
    <s v="NAQ3"/>
    <n v="273000"/>
  </r>
  <r>
    <s v="TXN-102183"/>
    <d v="2024-07-28T00:00:00"/>
    <x v="93"/>
    <s v="SVC-03"/>
    <n v="304.55"/>
    <x v="0"/>
    <s v="ACH"/>
    <s v="escalated to support"/>
    <x v="1"/>
    <s v="Philippines"/>
    <s v="J. Reyes"/>
    <x v="5"/>
    <s v="Billing"/>
    <n v="5.0000000000000001E-3"/>
    <s v="SMB"/>
    <s v="High Value"/>
    <s v="Yes"/>
    <s v="No"/>
    <x v="1"/>
    <x v="1"/>
    <s v="APACQ3"/>
    <n v="115500"/>
  </r>
  <r>
    <s v="TXN-102474"/>
    <d v="2024-01-22T00:00:00"/>
    <x v="18"/>
    <s v="SVC-02"/>
    <n v="511.46"/>
    <x v="0"/>
    <s v="Debit Card"/>
    <m/>
    <x v="1"/>
    <s v="Philippines"/>
    <s v="R. Patel"/>
    <x v="6"/>
    <s v="HR &amp; Payroll"/>
    <n v="0"/>
    <s v="SMB"/>
    <s v="High Value"/>
    <s v="Yes"/>
    <s v="No"/>
    <x v="1"/>
    <x v="3"/>
    <s v="APACQ1"/>
    <n v="104500"/>
  </r>
  <r>
    <s v="TXN-100576"/>
    <d v="2024-08-27T00:00:00"/>
    <x v="127"/>
    <s v="SVC-01"/>
    <n v="562.23"/>
    <x v="0"/>
    <s v="Credit Card"/>
    <m/>
    <x v="0"/>
    <s v="USA"/>
    <s v="R. Patel"/>
    <x v="0"/>
    <s v="Payments"/>
    <n v="2.9000000000000001E-2"/>
    <s v="Enterprise"/>
    <s v="High Value"/>
    <s v="Yes"/>
    <s v="No"/>
    <x v="0"/>
    <x v="1"/>
    <s v="NAQ3"/>
    <n v="273000"/>
  </r>
  <r>
    <s v="TXN-101387"/>
    <d v="2024-01-16T00:00:00"/>
    <x v="42"/>
    <s v="SVC-07"/>
    <n v="664.96"/>
    <x v="0"/>
    <s v="ACH"/>
    <m/>
    <x v="1"/>
    <s v="Australia"/>
    <s v="M. Santos"/>
    <x v="7"/>
    <s v="Support"/>
    <n v="0"/>
    <s v="SMB"/>
    <s v="High Value"/>
    <s v="Yes"/>
    <s v="No"/>
    <x v="1"/>
    <x v="3"/>
    <s v="APACQ1"/>
    <n v="104500"/>
  </r>
  <r>
    <s v="TXN-102289"/>
    <d v="2024-03-20T00:00:00"/>
    <x v="23"/>
    <s v="SVC-07"/>
    <n v="1013.97"/>
    <x v="0"/>
    <s v="Wire Transfer"/>
    <s v="VIP account"/>
    <x v="0"/>
    <s v="USA"/>
    <s v="L. Chen"/>
    <x v="7"/>
    <s v="Support"/>
    <n v="0"/>
    <s v="Enterprise"/>
    <s v="High Value"/>
    <s v="Yes"/>
    <s v="No"/>
    <x v="0"/>
    <x v="3"/>
    <s v="NAQ1"/>
    <n v="247000"/>
  </r>
  <r>
    <s v="TXN-102071"/>
    <d v="2024-01-25T00:00:00"/>
    <x v="2"/>
    <s v="SVC-01"/>
    <n v="299.82"/>
    <x v="0"/>
    <s v="ACH"/>
    <s v="escalated to support"/>
    <x v="0"/>
    <s v="USA"/>
    <s v="A. Kim"/>
    <x v="0"/>
    <s v="Payments"/>
    <n v="2.9000000000000001E-2"/>
    <s v="Enterprise"/>
    <s v="Standard"/>
    <s v="Yes"/>
    <s v="No"/>
    <x v="0"/>
    <x v="3"/>
    <s v="NAQ1"/>
    <n v="247000"/>
  </r>
  <r>
    <s v="TXN-102265"/>
    <d v="2024-01-28T00:00:00"/>
    <x v="98"/>
    <s v="SVC-02"/>
    <n v="411.53"/>
    <x v="0"/>
    <s v="Credit Card"/>
    <s v="callback requested"/>
    <x v="1"/>
    <s v="Philippines"/>
    <s v="T. Novak"/>
    <x v="6"/>
    <s v="HR &amp; Payroll"/>
    <n v="0"/>
    <s v="SMB"/>
    <s v="High Value"/>
    <s v="Yes"/>
    <s v="No"/>
    <x v="1"/>
    <x v="3"/>
    <s v="APACQ1"/>
    <n v="104500"/>
  </r>
  <r>
    <s v="TXN-100698"/>
    <d v="2024-06-12T00:00:00"/>
    <x v="121"/>
    <s v="SVC-06"/>
    <n v="352.33"/>
    <x v="0"/>
    <s v="ACH"/>
    <m/>
    <x v="0"/>
    <s v="USA"/>
    <s v="J. Reyes"/>
    <x v="4"/>
    <s v="Platform"/>
    <n v="0"/>
    <s v="Enterprise"/>
    <s v="High Value"/>
    <s v="Yes"/>
    <s v="Yes"/>
    <x v="0"/>
    <x v="0"/>
    <s v="NAQ2"/>
    <n v="260000"/>
  </r>
  <r>
    <s v="TXN-101724"/>
    <d v="2024-04-24T00:00:00"/>
    <x v="31"/>
    <s v="SVC-01"/>
    <n v="1010.61"/>
    <x v="0"/>
    <s v="Unknown"/>
    <s v="callback requested"/>
    <x v="0"/>
    <s v="Philippines"/>
    <s v="M. Santos"/>
    <x v="0"/>
    <s v="Payments"/>
    <n v="2.9000000000000001E-2"/>
    <s v="Enterprise"/>
    <s v="High Value"/>
    <s v="Yes"/>
    <s v="No"/>
    <x v="1"/>
    <x v="0"/>
    <s v="APACQ2"/>
    <n v="110000"/>
  </r>
  <r>
    <s v="TXN-102192"/>
    <d v="2024-01-25T00:00:00"/>
    <x v="28"/>
    <s v="SVC-03"/>
    <n v="249.4"/>
    <x v="0"/>
    <s v="Debit Card"/>
    <s v="callback requested"/>
    <x v="1"/>
    <s v="United Kingdom"/>
    <s v="L. Chen"/>
    <x v="5"/>
    <s v="Billing"/>
    <n v="5.0000000000000001E-3"/>
    <s v="SMB"/>
    <s v="Standard"/>
    <s v="Yes"/>
    <s v="No"/>
    <x v="2"/>
    <x v="3"/>
    <s v="EMEAQ1"/>
    <n v="133000"/>
  </r>
  <r>
    <s v="TXN-100300"/>
    <d v="2024-12-29T00:00:00"/>
    <x v="49"/>
    <s v="SVC-01"/>
    <n v="330.05"/>
    <x v="0"/>
    <s v="Debit Card"/>
    <s v="VIP account"/>
    <x v="1"/>
    <s v="USA"/>
    <s v="A. Kim"/>
    <x v="0"/>
    <s v="Payments"/>
    <n v="2.9000000000000001E-2"/>
    <s v="SMB"/>
    <s v="Standard"/>
    <s v="Yes"/>
    <s v="No"/>
    <x v="0"/>
    <x v="2"/>
    <s v="NAQ4"/>
    <n v="299000"/>
  </r>
  <r>
    <s v="TXN-100772"/>
    <d v="2024-12-09T00:00:00"/>
    <x v="76"/>
    <s v="SVC-03"/>
    <n v="564.5"/>
    <x v="1"/>
    <s v="Credit Card"/>
    <m/>
    <x v="3"/>
    <s v="United Kingdom"/>
    <s v="R. Patel"/>
    <x v="5"/>
    <s v="Billing"/>
    <n v="5.0000000000000001E-3"/>
    <s v="N/A"/>
    <s v="High Value"/>
    <s v="Yes"/>
    <s v="No"/>
    <x v="2"/>
    <x v="2"/>
    <s v="EMEAQ4"/>
    <n v="161000"/>
  </r>
  <r>
    <s v="TXN-101956"/>
    <d v="2024-01-28T00:00:00"/>
    <x v="117"/>
    <s v="SVC-02"/>
    <n v="154.33000000000001"/>
    <x v="0"/>
    <s v="ACH"/>
    <m/>
    <x v="1"/>
    <s v="Canada"/>
    <s v="A. Kim"/>
    <x v="6"/>
    <s v="HR &amp; Payroll"/>
    <n v="0"/>
    <s v="SMB"/>
    <s v="Standard"/>
    <s v="Yes"/>
    <s v="No"/>
    <x v="0"/>
    <x v="3"/>
    <s v="NAQ1"/>
    <n v="247000"/>
  </r>
  <r>
    <s v="TXN-102504"/>
    <d v="2024-08-27T00:00:00"/>
    <x v="104"/>
    <s v="SVC-03"/>
    <n v="489.77"/>
    <x v="0"/>
    <s v="Credit Card"/>
    <s v="escalated to support"/>
    <x v="1"/>
    <s v="USA"/>
    <s v="M. Santos"/>
    <x v="5"/>
    <s v="Billing"/>
    <n v="5.0000000000000001E-3"/>
    <s v="SMB"/>
    <s v="High Value"/>
    <s v="Yes"/>
    <s v="No"/>
    <x v="0"/>
    <x v="1"/>
    <s v="NAQ3"/>
    <n v="273000"/>
  </r>
  <r>
    <s v="TXN-100700"/>
    <d v="2024-11-27T00:00:00"/>
    <x v="8"/>
    <s v="SVC-08"/>
    <n v="128.01"/>
    <x v="0"/>
    <s v="ACH"/>
    <s v="callback requested"/>
    <x v="1"/>
    <s v="USA"/>
    <s v="M. Santos"/>
    <x v="1"/>
    <s v="Risk"/>
    <n v="2.5000000000000001E-3"/>
    <s v="SMB"/>
    <s v="Standard"/>
    <s v="Yes"/>
    <s v="No"/>
    <x v="0"/>
    <x v="2"/>
    <s v="NAQ4"/>
    <n v="299000"/>
  </r>
  <r>
    <s v="TXN-102598"/>
    <d v="2024-10-25T00:00:00"/>
    <x v="93"/>
    <s v="SVC-02"/>
    <n v="368.49"/>
    <x v="0"/>
    <s v="ACH"/>
    <m/>
    <x v="1"/>
    <s v="Philippines"/>
    <s v="J. Reyes"/>
    <x v="6"/>
    <s v="HR &amp; Payroll"/>
    <n v="0"/>
    <s v="SMB"/>
    <s v="High Value"/>
    <s v="Yes"/>
    <s v="No"/>
    <x v="1"/>
    <x v="2"/>
    <s v="APACQ4"/>
    <n v="126500"/>
  </r>
  <r>
    <s v="TXN-101192"/>
    <d v="2024-08-22T00:00:00"/>
    <x v="8"/>
    <s v="SVC-02"/>
    <n v="435.3"/>
    <x v="0"/>
    <s v="Wire Transfer"/>
    <s v="callback requested"/>
    <x v="1"/>
    <s v="USA"/>
    <s v="M. Santos"/>
    <x v="6"/>
    <s v="HR &amp; Payroll"/>
    <n v="0"/>
    <s v="SMB"/>
    <s v="High Value"/>
    <s v="Yes"/>
    <s v="No"/>
    <x v="0"/>
    <x v="1"/>
    <s v="NAQ3"/>
    <n v="273000"/>
  </r>
  <r>
    <s v="TXN-102570"/>
    <d v="2024-09-12T00:00:00"/>
    <x v="47"/>
    <m/>
    <n v="263.85000000000002"/>
    <x v="0"/>
    <s v="ACH"/>
    <s v="escalated to support"/>
    <x v="1"/>
    <s v="Canada"/>
    <s v="R. Patel"/>
    <x v="8"/>
    <m/>
    <m/>
    <s v="SMB"/>
    <s v="High Value"/>
    <e v="#N/A"/>
    <s v="No"/>
    <x v="0"/>
    <x v="1"/>
    <s v="NAQ3"/>
    <n v="273000"/>
  </r>
  <r>
    <s v="TXN-101965"/>
    <d v="2024-05-24T00:00:00"/>
    <x v="76"/>
    <s v="SVC-01"/>
    <n v="880.2"/>
    <x v="0"/>
    <s v="ACH"/>
    <s v="callback requested"/>
    <x v="3"/>
    <s v="United Kingdom"/>
    <s v="R. Patel"/>
    <x v="0"/>
    <s v="Payments"/>
    <n v="2.9000000000000001E-2"/>
    <s v="Startup"/>
    <s v="High Value"/>
    <s v="Yes"/>
    <s v="No"/>
    <x v="2"/>
    <x v="0"/>
    <s v="EMEAQ2"/>
    <n v="140000"/>
  </r>
  <r>
    <s v="TXN-100045"/>
    <d v="2024-03-16T00:00:00"/>
    <x v="90"/>
    <s v="SVC-02"/>
    <n v="380.58"/>
    <x v="3"/>
    <s v="ACH"/>
    <m/>
    <x v="1"/>
    <s v="USA"/>
    <s v="A. Kim"/>
    <x v="6"/>
    <s v="HR &amp; Payroll"/>
    <n v="0"/>
    <s v="N/A"/>
    <s v="High Value"/>
    <s v="Yes"/>
    <s v="Yes"/>
    <x v="0"/>
    <x v="3"/>
    <s v="NAQ1"/>
    <n v="247000"/>
  </r>
  <r>
    <s v="TXN-102404"/>
    <d v="2024-12-12T00:00:00"/>
    <x v="50"/>
    <s v="SVC-04"/>
    <n v="1167.48"/>
    <x v="1"/>
    <s v="ACH"/>
    <s v="VIP account"/>
    <x v="1"/>
    <s v="USA"/>
    <s v="M. Santos"/>
    <x v="2"/>
    <s v="Risk"/>
    <n v="1E-3"/>
    <s v="N/A"/>
    <s v="High Value"/>
    <s v="Yes"/>
    <s v="No"/>
    <x v="0"/>
    <x v="2"/>
    <s v="NAQ4"/>
    <n v="299000"/>
  </r>
  <r>
    <s v="TXN-102162"/>
    <d v="2024-01-16T00:00:00"/>
    <x v="45"/>
    <s v="SVC-03"/>
    <n v="610.17999999999995"/>
    <x v="0"/>
    <s v="Debit Card"/>
    <m/>
    <x v="0"/>
    <s v="United Kingdom"/>
    <s v="R. Patel"/>
    <x v="5"/>
    <s v="Billing"/>
    <n v="5.0000000000000001E-3"/>
    <s v="Enterprise"/>
    <s v="High Value"/>
    <s v="Yes"/>
    <s v="No"/>
    <x v="2"/>
    <x v="3"/>
    <s v="EMEAQ1"/>
    <n v="133000"/>
  </r>
  <r>
    <s v="TXN-100005"/>
    <d v="2024-08-18T00:00:00"/>
    <x v="49"/>
    <s v="SVC-01"/>
    <n v="975.89"/>
    <x v="0"/>
    <s v="ACH"/>
    <m/>
    <x v="1"/>
    <s v="USA"/>
    <s v="A. Kim"/>
    <x v="0"/>
    <s v="Payments"/>
    <n v="2.9000000000000001E-2"/>
    <s v="SMB"/>
    <s v="High Value"/>
    <s v="Yes"/>
    <s v="No"/>
    <x v="0"/>
    <x v="1"/>
    <s v="NAQ3"/>
    <n v="273000"/>
  </r>
  <r>
    <s v="TXN-100127"/>
    <d v="2024-11-11T00:00:00"/>
    <x v="44"/>
    <s v="SVC-01"/>
    <n v="542.99"/>
    <x v="0"/>
    <s v="Credit Card"/>
    <s v="VIP account"/>
    <x v="0"/>
    <s v="Australia"/>
    <s v="T. Novak"/>
    <x v="0"/>
    <s v="Payments"/>
    <n v="2.9000000000000001E-2"/>
    <s v="Enterprise"/>
    <s v="High Value"/>
    <s v="Yes"/>
    <s v="No"/>
    <x v="1"/>
    <x v="2"/>
    <s v="APACQ4"/>
    <n v="126500"/>
  </r>
  <r>
    <s v="TXN-101237"/>
    <d v="2024-07-24T00:00:00"/>
    <x v="118"/>
    <s v="SVC-08"/>
    <n v="278.25"/>
    <x v="0"/>
    <s v="ACH"/>
    <m/>
    <x v="1"/>
    <s v="USA"/>
    <s v="L. Chen"/>
    <x v="1"/>
    <s v="Risk"/>
    <n v="2.5000000000000001E-3"/>
    <s v="SMB"/>
    <s v="High Value"/>
    <s v="Yes"/>
    <s v="Yes"/>
    <x v="0"/>
    <x v="1"/>
    <s v="NAQ3"/>
    <n v="273000"/>
  </r>
  <r>
    <s v="TXN-100174"/>
    <d v="2024-10-04T00:00:00"/>
    <x v="6"/>
    <s v="SVC-01"/>
    <n v="-253.76"/>
    <x v="2"/>
    <s v="Credit Card"/>
    <m/>
    <x v="0"/>
    <s v="United Kingdom"/>
    <s v="R. Patel"/>
    <x v="0"/>
    <s v="Payments"/>
    <n v="2.9000000000000001E-2"/>
    <s v="N/A"/>
    <s v="Refund"/>
    <s v="No"/>
    <s v="No"/>
    <x v="2"/>
    <x v="2"/>
    <s v="EMEAQ4"/>
    <n v="161000"/>
  </r>
  <r>
    <s v="TXN-100998"/>
    <d v="2024-03-25T00:00:00"/>
    <x v="61"/>
    <s v="SVC-06"/>
    <n v="401.67"/>
    <x v="0"/>
    <s v="Credit Card"/>
    <m/>
    <x v="1"/>
    <s v="Australia"/>
    <s v="M. Santos"/>
    <x v="4"/>
    <s v="Platform"/>
    <n v="0"/>
    <s v="SMB"/>
    <s v="High Value"/>
    <s v="Yes"/>
    <s v="No"/>
    <x v="1"/>
    <x v="3"/>
    <s v="APACQ1"/>
    <n v="104500"/>
  </r>
  <r>
    <s v="TXN-101928"/>
    <d v="2024-09-27T00:00:00"/>
    <x v="36"/>
    <s v="SVC-06"/>
    <n v="55.84"/>
    <x v="0"/>
    <s v="Credit Card"/>
    <s v="escalated to support"/>
    <x v="1"/>
    <s v="USA"/>
    <s v="M. Santos"/>
    <x v="4"/>
    <s v="Platform"/>
    <n v="0"/>
    <s v="SMB"/>
    <s v="Standard"/>
    <s v="Yes"/>
    <s v="No"/>
    <x v="0"/>
    <x v="1"/>
    <s v="NAQ3"/>
    <n v="273000"/>
  </r>
  <r>
    <s v="TXN-102559"/>
    <d v="2024-05-04T00:00:00"/>
    <x v="128"/>
    <s v="SVC-08"/>
    <n v="910.38"/>
    <x v="0"/>
    <s v="Credit Card"/>
    <s v="callback requested"/>
    <x v="0"/>
    <s v="Philippines"/>
    <s v="L. Chen"/>
    <x v="1"/>
    <s v="Risk"/>
    <n v="2.5000000000000001E-3"/>
    <s v="Enterprise"/>
    <s v="High Value"/>
    <s v="Yes"/>
    <s v="No"/>
    <x v="1"/>
    <x v="0"/>
    <s v="APACQ2"/>
    <n v="110000"/>
  </r>
  <r>
    <s v="TXN-100463"/>
    <d v="2024-03-07T00:00:00"/>
    <x v="22"/>
    <s v="SVC-01"/>
    <n v="197.75"/>
    <x v="0"/>
    <s v="ACH"/>
    <m/>
    <x v="0"/>
    <s v="Australia"/>
    <s v="M. Santos"/>
    <x v="0"/>
    <s v="Payments"/>
    <n v="2.9000000000000001E-2"/>
    <s v="Enterprise"/>
    <s v="Standard"/>
    <s v="No"/>
    <s v="No"/>
    <x v="1"/>
    <x v="3"/>
    <s v="APACQ1"/>
    <n v="104500"/>
  </r>
  <r>
    <s v="TXN-102372"/>
    <d v="2024-02-13T00:00:00"/>
    <x v="117"/>
    <s v="SVC-05"/>
    <n v="784.89"/>
    <x v="0"/>
    <s v="Debit Card"/>
    <s v="VIP account"/>
    <x v="1"/>
    <s v="Canada"/>
    <s v="A. Kim"/>
    <x v="3"/>
    <s v="Analytics"/>
    <n v="0"/>
    <s v="SMB"/>
    <s v="High Value"/>
    <s v="Yes"/>
    <s v="No"/>
    <x v="0"/>
    <x v="3"/>
    <s v="NAQ1"/>
    <n v="247000"/>
  </r>
  <r>
    <s v="TXN-100766"/>
    <d v="2024-10-13T00:00:00"/>
    <x v="108"/>
    <s v="SVC-06"/>
    <n v="627.70000000000005"/>
    <x v="0"/>
    <s v="Credit Card"/>
    <s v="callback requested"/>
    <x v="1"/>
    <s v="Germany"/>
    <s v="M. Santos"/>
    <x v="4"/>
    <s v="Platform"/>
    <n v="0"/>
    <s v="SMB"/>
    <s v="High Value"/>
    <s v="Yes"/>
    <s v="No"/>
    <x v="2"/>
    <x v="2"/>
    <s v="EMEAQ4"/>
    <n v="161000"/>
  </r>
  <r>
    <s v="TXN-100434"/>
    <d v="2024-11-09T00:00:00"/>
    <x v="76"/>
    <s v="SVC-03"/>
    <n v="535.85"/>
    <x v="0"/>
    <s v="ACH"/>
    <m/>
    <x v="3"/>
    <s v="United Kingdom"/>
    <s v="R. Patel"/>
    <x v="5"/>
    <s v="Billing"/>
    <n v="5.0000000000000001E-3"/>
    <s v="Startup"/>
    <s v="High Value"/>
    <s v="Yes"/>
    <s v="No"/>
    <x v="2"/>
    <x v="2"/>
    <s v="EMEAQ4"/>
    <n v="161000"/>
  </r>
  <r>
    <s v="TXN-102216"/>
    <d v="2024-06-27T00:00:00"/>
    <x v="13"/>
    <s v="SVC-08"/>
    <n v="493.57"/>
    <x v="0"/>
    <s v="Debit Card"/>
    <m/>
    <x v="0"/>
    <s v="Canada"/>
    <s v="J. Reyes"/>
    <x v="1"/>
    <s v="Risk"/>
    <n v="2.5000000000000001E-3"/>
    <s v="Enterprise"/>
    <s v="High Value"/>
    <s v="Yes"/>
    <s v="No"/>
    <x v="0"/>
    <x v="0"/>
    <s v="NAQ2"/>
    <n v="260000"/>
  </r>
  <r>
    <s v="TXN-101317"/>
    <d v="2024-10-12T00:00:00"/>
    <x v="25"/>
    <s v="SVC-04"/>
    <n v="463.39"/>
    <x v="3"/>
    <s v="Debit Card"/>
    <m/>
    <x v="0"/>
    <s v="USA"/>
    <s v="A. Kim"/>
    <x v="2"/>
    <s v="Risk"/>
    <n v="1E-3"/>
    <s v="N/A"/>
    <s v="High Value"/>
    <s v="Yes"/>
    <s v="No"/>
    <x v="0"/>
    <x v="2"/>
    <s v="NAQ4"/>
    <n v="299000"/>
  </r>
  <r>
    <s v="TXN-100491"/>
    <d v="2024-10-14T00:00:00"/>
    <x v="14"/>
    <s v="SVC-08"/>
    <n v="257.48"/>
    <x v="1"/>
    <s v="ACH"/>
    <s v="VIP account"/>
    <x v="3"/>
    <s v="Canada"/>
    <s v="A. Kim"/>
    <x v="1"/>
    <s v="Risk"/>
    <n v="2.5000000000000001E-3"/>
    <s v="N/A"/>
    <s v="High Value"/>
    <s v="Yes"/>
    <s v="Yes"/>
    <x v="0"/>
    <x v="2"/>
    <s v="NAQ4"/>
    <n v="299000"/>
  </r>
  <r>
    <s v="TXN-101181"/>
    <d v="2024-12-26T00:00:00"/>
    <x v="59"/>
    <s v="SVC-05"/>
    <n v="181.42"/>
    <x v="0"/>
    <s v="Debit Card"/>
    <s v="callback requested"/>
    <x v="1"/>
    <s v="USA"/>
    <s v="R. Patel"/>
    <x v="3"/>
    <s v="Analytics"/>
    <n v="0"/>
    <s v="SMB"/>
    <s v="Standard"/>
    <s v="Yes"/>
    <s v="No"/>
    <x v="0"/>
    <x v="2"/>
    <s v="NAQ4"/>
    <n v="299000"/>
  </r>
  <r>
    <s v="TXN-100218"/>
    <d v="2024-11-08T00:00:00"/>
    <x v="102"/>
    <s v="SVC-07"/>
    <n v="396.53"/>
    <x v="0"/>
    <s v="ACH"/>
    <m/>
    <x v="1"/>
    <s v="Philippines"/>
    <s v="L. Chen"/>
    <x v="7"/>
    <s v="Support"/>
    <n v="0"/>
    <s v="SMB"/>
    <s v="High Value"/>
    <s v="Yes"/>
    <s v="No"/>
    <x v="1"/>
    <x v="2"/>
    <s v="APACQ4"/>
    <n v="126500"/>
  </r>
  <r>
    <s v="TXN-100100"/>
    <d v="2024-11-04T00:00:00"/>
    <x v="114"/>
    <s v="SVC-01"/>
    <n v="-637.91999999999996"/>
    <x v="2"/>
    <s v="ACH"/>
    <m/>
    <x v="3"/>
    <s v="Australia"/>
    <s v="A. Kim"/>
    <x v="0"/>
    <s v="Payments"/>
    <n v="2.9000000000000001E-2"/>
    <s v="N/A"/>
    <s v="Refund"/>
    <s v="No"/>
    <s v="Yes"/>
    <x v="1"/>
    <x v="2"/>
    <s v="APACQ4"/>
    <n v="126500"/>
  </r>
  <r>
    <s v="TXN-101199"/>
    <d v="2024-02-11T00:00:00"/>
    <x v="119"/>
    <s v="SVC-03"/>
    <n v="96.54"/>
    <x v="1"/>
    <s v="ACH"/>
    <m/>
    <x v="1"/>
    <s v="USA"/>
    <s v="R. Patel"/>
    <x v="5"/>
    <s v="Billing"/>
    <n v="5.0000000000000001E-3"/>
    <s v="N/A"/>
    <s v="Standard"/>
    <s v="Yes"/>
    <s v="No"/>
    <x v="0"/>
    <x v="3"/>
    <s v="NAQ1"/>
    <n v="247000"/>
  </r>
  <r>
    <s v="TXN-101376"/>
    <d v="2024-04-25T00:00:00"/>
    <x v="62"/>
    <s v="SVC-01"/>
    <n v="220.71"/>
    <x v="0"/>
    <s v="ACH"/>
    <m/>
    <x v="0"/>
    <s v="USA"/>
    <s v="A. Kim"/>
    <x v="0"/>
    <s v="Payments"/>
    <n v="2.9000000000000001E-2"/>
    <s v="Enterprise"/>
    <s v="Standard"/>
    <s v="No"/>
    <s v="No"/>
    <x v="0"/>
    <x v="0"/>
    <s v="NAQ2"/>
    <n v="260000"/>
  </r>
  <r>
    <s v="TXN-100196"/>
    <d v="2024-10-06T00:00:00"/>
    <x v="92"/>
    <s v="SVC-04"/>
    <n v="709.61"/>
    <x v="0"/>
    <s v="ACH"/>
    <s v="escalated to support"/>
    <x v="1"/>
    <s v="Canada"/>
    <s v="R. Patel"/>
    <x v="2"/>
    <s v="Risk"/>
    <n v="1E-3"/>
    <s v="SMB"/>
    <s v="High Value"/>
    <s v="Yes"/>
    <s v="No"/>
    <x v="0"/>
    <x v="2"/>
    <s v="NAQ4"/>
    <n v="299000"/>
  </r>
  <r>
    <s v="TXN-100857"/>
    <d v="2024-08-22T00:00:00"/>
    <x v="5"/>
    <s v="SVC-02"/>
    <n v="340.91"/>
    <x v="0"/>
    <s v="ACH"/>
    <s v="VIP account"/>
    <x v="1"/>
    <s v="Australia"/>
    <s v="A. Kim"/>
    <x v="6"/>
    <s v="HR &amp; Payroll"/>
    <n v="0"/>
    <s v="SMB"/>
    <s v="High Value"/>
    <s v="Yes"/>
    <s v="No"/>
    <x v="1"/>
    <x v="1"/>
    <s v="APACQ3"/>
    <n v="115500"/>
  </r>
  <r>
    <s v="TXN-101908"/>
    <d v="2024-07-03T00:00:00"/>
    <x v="69"/>
    <s v="SVC-07"/>
    <n v="472.81"/>
    <x v="0"/>
    <s v="Debit Card"/>
    <m/>
    <x v="1"/>
    <s v="Philippines"/>
    <s v="J. Reyes"/>
    <x v="7"/>
    <s v="Support"/>
    <n v="0"/>
    <s v="SMB"/>
    <s v="High Value"/>
    <s v="Yes"/>
    <s v="No"/>
    <x v="1"/>
    <x v="1"/>
    <s v="APACQ3"/>
    <n v="115500"/>
  </r>
  <r>
    <s v="TXN-100310"/>
    <d v="2024-12-01T00:00:00"/>
    <x v="43"/>
    <s v="SVC-05"/>
    <n v="584.84"/>
    <x v="0"/>
    <s v="Debit Card"/>
    <s v="callback requested"/>
    <x v="1"/>
    <s v="USA"/>
    <s v="M. Santos"/>
    <x v="3"/>
    <s v="Analytics"/>
    <n v="0"/>
    <s v="SMB"/>
    <s v="High Value"/>
    <s v="Yes"/>
    <s v="Yes"/>
    <x v="0"/>
    <x v="2"/>
    <s v="NAQ4"/>
    <n v="299000"/>
  </r>
  <r>
    <s v="TXN-100379"/>
    <d v="2024-11-13T00:00:00"/>
    <x v="84"/>
    <s v="SVC-01"/>
    <n v="405.9"/>
    <x v="0"/>
    <s v="Credit Card"/>
    <m/>
    <x v="3"/>
    <s v="Singapore"/>
    <s v="T. Novak"/>
    <x v="0"/>
    <s v="Payments"/>
    <n v="2.9000000000000001E-2"/>
    <s v="Startup"/>
    <s v="Standard"/>
    <s v="Yes"/>
    <s v="No"/>
    <x v="1"/>
    <x v="2"/>
    <s v="APACQ4"/>
    <n v="126500"/>
  </r>
  <r>
    <s v="TXN-100016"/>
    <d v="2024-05-29T00:00:00"/>
    <x v="48"/>
    <s v="SVC-03"/>
    <n v="420.13"/>
    <x v="0"/>
    <s v="Debit Card"/>
    <s v="callback requested"/>
    <x v="1"/>
    <s v="Germany"/>
    <s v="J. Reyes"/>
    <x v="5"/>
    <s v="Billing"/>
    <n v="5.0000000000000001E-3"/>
    <s v="SMB"/>
    <s v="High Value"/>
    <s v="Yes"/>
    <s v="No"/>
    <x v="2"/>
    <x v="0"/>
    <s v="EMEAQ2"/>
    <n v="140000"/>
  </r>
  <r>
    <s v="TXN-100734"/>
    <d v="2024-08-04T00:00:00"/>
    <x v="21"/>
    <s v="SVC-01"/>
    <n v="412.09"/>
    <x v="0"/>
    <s v="ACH"/>
    <s v="escalated to support"/>
    <x v="0"/>
    <s v="Australia"/>
    <s v="M. Santos"/>
    <x v="0"/>
    <s v="Payments"/>
    <n v="2.9000000000000001E-2"/>
    <s v="Enterprise"/>
    <s v="Standard"/>
    <s v="Yes"/>
    <s v="No"/>
    <x v="1"/>
    <x v="1"/>
    <s v="APACQ3"/>
    <n v="115500"/>
  </r>
  <r>
    <s v="TXN-102594"/>
    <d v="2024-12-22T00:00:00"/>
    <x v="66"/>
    <s v="SVC-01"/>
    <n v="924.01"/>
    <x v="0"/>
    <s v="ACH"/>
    <m/>
    <x v="3"/>
    <s v="Australia"/>
    <s v="L. Chen"/>
    <x v="0"/>
    <s v="Payments"/>
    <n v="2.9000000000000001E-2"/>
    <s v="Startup"/>
    <s v="High Value"/>
    <s v="Yes"/>
    <s v="No"/>
    <x v="1"/>
    <x v="2"/>
    <s v="APACQ4"/>
    <n v="126500"/>
  </r>
  <r>
    <s v="TXN-101598"/>
    <d v="2024-08-24T00:00:00"/>
    <x v="71"/>
    <s v="SVC-01"/>
    <n v="254.71"/>
    <x v="0"/>
    <s v="Credit Card"/>
    <s v="escalated to support"/>
    <x v="1"/>
    <s v="United Kingdom"/>
    <s v="R. Patel"/>
    <x v="0"/>
    <s v="Payments"/>
    <n v="2.9000000000000001E-2"/>
    <s v="SMB"/>
    <s v="Standard"/>
    <s v="No"/>
    <s v="No"/>
    <x v="2"/>
    <x v="1"/>
    <s v="EMEAQ3"/>
    <n v="147000"/>
  </r>
  <r>
    <s v="TXN-101089"/>
    <d v="2024-10-14T00:00:00"/>
    <x v="14"/>
    <s v="SVC-05"/>
    <n v="300.04000000000002"/>
    <x v="0"/>
    <s v="ACH"/>
    <s v="escalated to support"/>
    <x v="3"/>
    <s v="Canada"/>
    <s v="A. Kim"/>
    <x v="3"/>
    <s v="Analytics"/>
    <n v="0"/>
    <s v="Startup"/>
    <s v="High Value"/>
    <s v="Yes"/>
    <s v="Yes"/>
    <x v="0"/>
    <x v="2"/>
    <s v="NAQ4"/>
    <n v="299000"/>
  </r>
  <r>
    <s v="TXN-101946"/>
    <d v="2024-01-17T00:00:00"/>
    <x v="100"/>
    <s v="SVC-01"/>
    <n v="200.77"/>
    <x v="0"/>
    <s v="Credit Card"/>
    <s v="escalated to support"/>
    <x v="1"/>
    <s v="USA"/>
    <s v="J. Reyes"/>
    <x v="0"/>
    <s v="Payments"/>
    <n v="2.9000000000000001E-2"/>
    <s v="SMB"/>
    <s v="Standard"/>
    <s v="No"/>
    <s v="No"/>
    <x v="0"/>
    <x v="3"/>
    <s v="NAQ1"/>
    <n v="247000"/>
  </r>
  <r>
    <s v="TXN-102365"/>
    <d v="2024-03-27T00:00:00"/>
    <x v="40"/>
    <s v="SVC-05"/>
    <n v="64.22"/>
    <x v="0"/>
    <s v="Debit Card"/>
    <s v="escalated to support"/>
    <x v="1"/>
    <s v="Philippines"/>
    <s v="M. Santos"/>
    <x v="3"/>
    <s v="Analytics"/>
    <n v="0"/>
    <s v="SMB"/>
    <s v="Standard"/>
    <s v="Yes"/>
    <s v="No"/>
    <x v="1"/>
    <x v="3"/>
    <s v="APACQ1"/>
    <n v="104500"/>
  </r>
  <r>
    <s v="TXN-101025"/>
    <d v="2024-07-05T00:00:00"/>
    <x v="5"/>
    <s v="SVC-02"/>
    <n v="356.25"/>
    <x v="0"/>
    <s v="Credit Card"/>
    <m/>
    <x v="1"/>
    <s v="Australia"/>
    <s v="A. Kim"/>
    <x v="6"/>
    <s v="HR &amp; Payroll"/>
    <n v="0"/>
    <s v="SMB"/>
    <s v="High Value"/>
    <s v="Yes"/>
    <s v="No"/>
    <x v="1"/>
    <x v="1"/>
    <s v="APACQ3"/>
    <n v="115500"/>
  </r>
  <r>
    <s v="TXN-102253"/>
    <d v="2024-11-01T00:00:00"/>
    <x v="15"/>
    <s v="SVC-01"/>
    <n v="152.15"/>
    <x v="3"/>
    <s v="Credit Card"/>
    <s v="escalated to support"/>
    <x v="0"/>
    <s v="USA"/>
    <s v="L. Chen"/>
    <x v="0"/>
    <s v="Payments"/>
    <n v="2.9000000000000001E-2"/>
    <s v="N/A"/>
    <s v="Standard"/>
    <s v="No"/>
    <s v="No"/>
    <x v="0"/>
    <x v="2"/>
    <s v="NAQ4"/>
    <n v="299000"/>
  </r>
  <r>
    <s v="TXN-101201"/>
    <d v="2024-10-07T00:00:00"/>
    <x v="17"/>
    <s v="SVC-01"/>
    <n v="454.37"/>
    <x v="0"/>
    <s v="ACH"/>
    <m/>
    <x v="1"/>
    <s v="USA"/>
    <s v="A. Kim"/>
    <x v="0"/>
    <s v="Payments"/>
    <n v="2.9000000000000001E-2"/>
    <s v="SMB"/>
    <s v="Standard"/>
    <s v="Yes"/>
    <s v="No"/>
    <x v="0"/>
    <x v="2"/>
    <s v="NAQ4"/>
    <n v="299000"/>
  </r>
  <r>
    <s v="TXN-102126"/>
    <d v="2024-11-10T00:00:00"/>
    <x v="13"/>
    <s v="SVC-01"/>
    <n v="531.79999999999995"/>
    <x v="0"/>
    <s v="Credit Card"/>
    <s v="VIP account"/>
    <x v="0"/>
    <s v="Canada"/>
    <s v="J. Reyes"/>
    <x v="0"/>
    <s v="Payments"/>
    <n v="2.9000000000000001E-2"/>
    <s v="Enterprise"/>
    <s v="High Value"/>
    <s v="Yes"/>
    <s v="No"/>
    <x v="0"/>
    <x v="2"/>
    <s v="NAQ4"/>
    <n v="299000"/>
  </r>
  <r>
    <s v="TXN-101719"/>
    <d v="2024-01-25T00:00:00"/>
    <x v="91"/>
    <s v="SVC-04"/>
    <n v="512.08000000000004"/>
    <x v="0"/>
    <s v="Credit Card"/>
    <m/>
    <x v="1"/>
    <s v="Singapore"/>
    <s v="A. Kim"/>
    <x v="2"/>
    <s v="Risk"/>
    <n v="1E-3"/>
    <s v="SMB"/>
    <s v="High Value"/>
    <s v="Yes"/>
    <s v="No"/>
    <x v="1"/>
    <x v="3"/>
    <s v="APACQ1"/>
    <n v="104500"/>
  </r>
  <r>
    <s v="TXN-100442"/>
    <d v="2024-09-24T00:00:00"/>
    <x v="67"/>
    <s v="SVC-01"/>
    <n v="609.17999999999995"/>
    <x v="3"/>
    <s v="Credit Card"/>
    <s v="callback requested"/>
    <x v="3"/>
    <s v="Australia"/>
    <s v="Unassigned"/>
    <x v="0"/>
    <s v="Payments"/>
    <n v="2.9000000000000001E-2"/>
    <s v="N/A"/>
    <s v="High Value"/>
    <s v="Yes"/>
    <s v="No"/>
    <x v="1"/>
    <x v="1"/>
    <s v="APACQ3"/>
    <n v="115500"/>
  </r>
  <r>
    <s v="TXN-100068"/>
    <d v="2024-03-15T00:00:00"/>
    <x v="46"/>
    <s v="SVC-01"/>
    <n v="383.02"/>
    <x v="0"/>
    <s v="ACH"/>
    <s v="escalated to support"/>
    <x v="1"/>
    <s v="Australia"/>
    <s v="L. Chen"/>
    <x v="0"/>
    <s v="Payments"/>
    <n v="2.9000000000000001E-2"/>
    <s v="SMB"/>
    <s v="Standard"/>
    <s v="Yes"/>
    <s v="No"/>
    <x v="1"/>
    <x v="3"/>
    <s v="APACQ1"/>
    <n v="104500"/>
  </r>
  <r>
    <s v="TXN-101540"/>
    <d v="2024-06-20T00:00:00"/>
    <x v="73"/>
    <s v="SVC-01"/>
    <n v="461"/>
    <x v="0"/>
    <s v="ACH"/>
    <s v="callback requested"/>
    <x v="1"/>
    <s v="United Kingdom"/>
    <s v="R. Patel"/>
    <x v="0"/>
    <s v="Payments"/>
    <n v="2.9000000000000001E-2"/>
    <s v="SMB"/>
    <s v="Standard"/>
    <s v="Yes"/>
    <s v="No"/>
    <x v="2"/>
    <x v="0"/>
    <s v="EMEAQ2"/>
    <n v="140000"/>
  </r>
  <r>
    <s v="TXN-101679"/>
    <d v="2024-04-07T00:00:00"/>
    <x v="27"/>
    <s v="SVC-01"/>
    <n v="110.06"/>
    <x v="0"/>
    <s v="Credit Card"/>
    <s v="VIP account"/>
    <x v="1"/>
    <s v="Canada"/>
    <s v="L. Chen"/>
    <x v="0"/>
    <s v="Payments"/>
    <n v="2.9000000000000001E-2"/>
    <s v="SMB"/>
    <s v="Standard"/>
    <s v="No"/>
    <s v="No"/>
    <x v="0"/>
    <x v="0"/>
    <s v="NAQ2"/>
    <n v="260000"/>
  </r>
  <r>
    <s v="TXN-102038"/>
    <d v="2024-02-20T00:00:00"/>
    <x v="92"/>
    <s v="SVC-02"/>
    <n v="669.78"/>
    <x v="0"/>
    <s v="Credit Card"/>
    <m/>
    <x v="1"/>
    <s v="Canada"/>
    <s v="R. Patel"/>
    <x v="6"/>
    <s v="HR &amp; Payroll"/>
    <n v="0"/>
    <s v="SMB"/>
    <s v="High Value"/>
    <s v="Yes"/>
    <s v="Yes"/>
    <x v="0"/>
    <x v="3"/>
    <s v="NAQ1"/>
    <n v="247000"/>
  </r>
  <r>
    <s v="TXN-101998"/>
    <d v="2024-02-19T00:00:00"/>
    <x v="78"/>
    <s v="SVC-07"/>
    <n v="722.33"/>
    <x v="0"/>
    <s v="Debit Card"/>
    <s v="escalated to support"/>
    <x v="1"/>
    <s v="USA"/>
    <s v="L. Chen"/>
    <x v="7"/>
    <s v="Support"/>
    <n v="0"/>
    <s v="SMB"/>
    <s v="High Value"/>
    <s v="Yes"/>
    <s v="Yes"/>
    <x v="0"/>
    <x v="3"/>
    <s v="NAQ1"/>
    <n v="247000"/>
  </r>
  <r>
    <s v="TXN-100812"/>
    <d v="2024-06-18T00:00:00"/>
    <x v="126"/>
    <s v="SVC-04"/>
    <n v="665.3"/>
    <x v="3"/>
    <s v="Credit Card"/>
    <m/>
    <x v="3"/>
    <s v="Canada"/>
    <s v="A. Kim"/>
    <x v="2"/>
    <s v="Risk"/>
    <n v="1E-3"/>
    <s v="N/A"/>
    <s v="High Value"/>
    <s v="Yes"/>
    <s v="No"/>
    <x v="0"/>
    <x v="0"/>
    <s v="NAQ2"/>
    <n v="260000"/>
  </r>
  <r>
    <s v="TXN-100011"/>
    <d v="2024-08-28T00:00:00"/>
    <x v="6"/>
    <s v="SVC-08"/>
    <n v="178.49"/>
    <x v="0"/>
    <s v="Wire Transfer"/>
    <m/>
    <x v="0"/>
    <s v="United Kingdom"/>
    <s v="R. Patel"/>
    <x v="1"/>
    <s v="Risk"/>
    <n v="2.5000000000000001E-3"/>
    <s v="Enterprise"/>
    <s v="Standard"/>
    <s v="Yes"/>
    <s v="No"/>
    <x v="2"/>
    <x v="1"/>
    <s v="EMEAQ3"/>
    <n v="147000"/>
  </r>
  <r>
    <s v="TXN-102013"/>
    <d v="2024-10-15T00:00:00"/>
    <x v="23"/>
    <s v="SVC-07"/>
    <n v="1139.8699999999999"/>
    <x v="0"/>
    <s v="Debit Card"/>
    <s v="callback requested"/>
    <x v="0"/>
    <s v="USA"/>
    <s v="L. Chen"/>
    <x v="7"/>
    <s v="Support"/>
    <n v="0"/>
    <s v="Enterprise"/>
    <s v="High Value"/>
    <s v="Yes"/>
    <s v="No"/>
    <x v="0"/>
    <x v="2"/>
    <s v="NAQ4"/>
    <n v="299000"/>
  </r>
  <r>
    <s v="TXN-102322"/>
    <d v="2024-04-30T00:00:00"/>
    <x v="109"/>
    <s v="SVC-06"/>
    <n v="272.82"/>
    <x v="0"/>
    <s v="ACH"/>
    <s v="VIP account"/>
    <x v="0"/>
    <s v="USA"/>
    <s v="L. Chen"/>
    <x v="4"/>
    <s v="Platform"/>
    <n v="0"/>
    <s v="Enterprise"/>
    <s v="High Value"/>
    <s v="Yes"/>
    <s v="Yes"/>
    <x v="0"/>
    <x v="0"/>
    <s v="NAQ2"/>
    <n v="260000"/>
  </r>
  <r>
    <s v="TXN-102478"/>
    <d v="2024-02-27T00:00:00"/>
    <x v="77"/>
    <s v="SVC-01"/>
    <n v="542.66999999999996"/>
    <x v="0"/>
    <s v="Unknown"/>
    <m/>
    <x v="1"/>
    <s v="Australia"/>
    <s v="L. Chen"/>
    <x v="0"/>
    <s v="Payments"/>
    <n v="2.9000000000000001E-2"/>
    <s v="SMB"/>
    <s v="High Value"/>
    <s v="Yes"/>
    <s v="No"/>
    <x v="1"/>
    <x v="3"/>
    <s v="APACQ1"/>
    <n v="104500"/>
  </r>
  <r>
    <s v="TXN-101238"/>
    <d v="2024-06-19T00:00:00"/>
    <x v="43"/>
    <s v="SVC-01"/>
    <n v="464.77"/>
    <x v="3"/>
    <s v="ACH"/>
    <m/>
    <x v="1"/>
    <s v="USA"/>
    <s v="M. Santos"/>
    <x v="0"/>
    <s v="Payments"/>
    <n v="2.9000000000000001E-2"/>
    <s v="N/A"/>
    <s v="Standard"/>
    <s v="Yes"/>
    <s v="No"/>
    <x v="0"/>
    <x v="0"/>
    <s v="NAQ2"/>
    <n v="260000"/>
  </r>
  <r>
    <s v="TXN-102513"/>
    <d v="2024-12-27T00:00:00"/>
    <x v="25"/>
    <s v="SVC-01"/>
    <n v="200.48"/>
    <x v="0"/>
    <s v="Wire Transfer"/>
    <m/>
    <x v="0"/>
    <s v="USA"/>
    <s v="A. Kim"/>
    <x v="0"/>
    <s v="Payments"/>
    <n v="2.9000000000000001E-2"/>
    <s v="Enterprise"/>
    <s v="Standard"/>
    <s v="No"/>
    <s v="No"/>
    <x v="0"/>
    <x v="2"/>
    <s v="NAQ4"/>
    <n v="299000"/>
  </r>
  <r>
    <s v="TXN-100832"/>
    <d v="2024-02-13T00:00:00"/>
    <x v="21"/>
    <s v="SVC-02"/>
    <n v="1020.85"/>
    <x v="0"/>
    <s v="Debit Card"/>
    <s v="escalated to support"/>
    <x v="0"/>
    <s v="Australia"/>
    <s v="M. Santos"/>
    <x v="6"/>
    <s v="HR &amp; Payroll"/>
    <n v="0"/>
    <s v="Enterprise"/>
    <s v="High Value"/>
    <s v="Yes"/>
    <s v="No"/>
    <x v="1"/>
    <x v="3"/>
    <s v="APACQ1"/>
    <n v="104500"/>
  </r>
  <r>
    <s v="TXN-101843"/>
    <d v="2024-08-31T00:00:00"/>
    <x v="43"/>
    <s v="SVC-05"/>
    <n v="444.31"/>
    <x v="0"/>
    <s v="ACH"/>
    <s v="callback requested"/>
    <x v="1"/>
    <s v="USA"/>
    <s v="M. Santos"/>
    <x v="3"/>
    <s v="Analytics"/>
    <n v="0"/>
    <s v="SMB"/>
    <s v="High Value"/>
    <s v="Yes"/>
    <s v="No"/>
    <x v="0"/>
    <x v="1"/>
    <s v="NAQ3"/>
    <n v="273000"/>
  </r>
  <r>
    <s v="TXN-100361"/>
    <d v="2024-08-26T00:00:00"/>
    <x v="69"/>
    <s v="SVC-01"/>
    <n v="269.63"/>
    <x v="0"/>
    <s v="ACH"/>
    <m/>
    <x v="1"/>
    <s v="Philippines"/>
    <s v="J. Reyes"/>
    <x v="0"/>
    <s v="Payments"/>
    <n v="2.9000000000000001E-2"/>
    <s v="SMB"/>
    <s v="Standard"/>
    <s v="No"/>
    <s v="No"/>
    <x v="1"/>
    <x v="1"/>
    <s v="APACQ3"/>
    <n v="115500"/>
  </r>
  <r>
    <s v="TXN-101210"/>
    <d v="2024-08-31T00:00:00"/>
    <x v="46"/>
    <s v="SVC-01"/>
    <n v="714.45"/>
    <x v="1"/>
    <s v="Debit Card"/>
    <m/>
    <x v="1"/>
    <s v="Australia"/>
    <s v="L. Chen"/>
    <x v="0"/>
    <s v="Payments"/>
    <n v="2.9000000000000001E-2"/>
    <s v="N/A"/>
    <s v="High Value"/>
    <s v="Yes"/>
    <s v="No"/>
    <x v="1"/>
    <x v="1"/>
    <s v="APACQ3"/>
    <n v="115500"/>
  </r>
  <r>
    <s v="TXN-100494"/>
    <d v="2024-09-23T00:00:00"/>
    <x v="30"/>
    <s v="SVC-05"/>
    <n v="-960.49"/>
    <x v="2"/>
    <s v="Credit Card"/>
    <m/>
    <x v="1"/>
    <s v="Germany"/>
    <s v="M. Santos"/>
    <x v="3"/>
    <s v="Analytics"/>
    <n v="0"/>
    <s v="N/A"/>
    <s v="Refund"/>
    <s v="No"/>
    <s v="No"/>
    <x v="2"/>
    <x v="1"/>
    <s v="EMEAQ3"/>
    <n v="147000"/>
  </r>
  <r>
    <s v="TXN-101402"/>
    <d v="2024-01-25T00:00:00"/>
    <x v="54"/>
    <s v="SVC-05"/>
    <n v="357.7"/>
    <x v="0"/>
    <s v="Credit Card"/>
    <m/>
    <x v="1"/>
    <s v="USA"/>
    <s v="J. Reyes"/>
    <x v="3"/>
    <s v="Analytics"/>
    <n v="0"/>
    <s v="SMB"/>
    <s v="High Value"/>
    <s v="Yes"/>
    <s v="No"/>
    <x v="0"/>
    <x v="3"/>
    <s v="NAQ1"/>
    <n v="247000"/>
  </r>
  <r>
    <s v="TXN-100736"/>
    <d v="2024-12-31T00:00:00"/>
    <x v="35"/>
    <s v="SVC-04"/>
    <n v="465.22"/>
    <x v="0"/>
    <s v="Credit Card"/>
    <s v="VIP account"/>
    <x v="3"/>
    <s v="Philippines"/>
    <s v="R. Patel"/>
    <x v="2"/>
    <s v="Risk"/>
    <n v="1E-3"/>
    <s v="Startup"/>
    <s v="High Value"/>
    <s v="Yes"/>
    <s v="Yes"/>
    <x v="1"/>
    <x v="2"/>
    <s v="APACQ4"/>
    <n v="126500"/>
  </r>
  <r>
    <s v="TXN-100245"/>
    <d v="2024-01-07T00:00:00"/>
    <x v="82"/>
    <s v="SVC-01"/>
    <n v="962.25"/>
    <x v="0"/>
    <s v="Credit Card"/>
    <m/>
    <x v="1"/>
    <s v="USA"/>
    <s v="T. Novak"/>
    <x v="0"/>
    <s v="Payments"/>
    <n v="2.9000000000000001E-2"/>
    <s v="SMB"/>
    <s v="High Value"/>
    <s v="Yes"/>
    <s v="No"/>
    <x v="0"/>
    <x v="3"/>
    <s v="NAQ1"/>
    <n v="247000"/>
  </r>
  <r>
    <s v="TXN-101964"/>
    <d v="2024-06-26T00:00:00"/>
    <x v="105"/>
    <s v="SVC-07"/>
    <n v="-914.61"/>
    <x v="2"/>
    <s v="Wire Transfer"/>
    <m/>
    <x v="3"/>
    <s v="Philippines"/>
    <s v="T. Novak"/>
    <x v="7"/>
    <s v="Support"/>
    <n v="0"/>
    <s v="N/A"/>
    <s v="Refund"/>
    <s v="No"/>
    <s v="No"/>
    <x v="1"/>
    <x v="0"/>
    <s v="APACQ2"/>
    <n v="110000"/>
  </r>
  <r>
    <s v="TXN-102444"/>
    <d v="2024-07-08T00:00:00"/>
    <x v="108"/>
    <s v="SVC-05"/>
    <n v="463.64"/>
    <x v="0"/>
    <s v="ACH"/>
    <s v="callback requested"/>
    <x v="1"/>
    <s v="Germany"/>
    <s v="M. Santos"/>
    <x v="3"/>
    <s v="Analytics"/>
    <n v="0"/>
    <s v="SMB"/>
    <s v="High Value"/>
    <s v="Yes"/>
    <s v="No"/>
    <x v="2"/>
    <x v="1"/>
    <s v="EMEAQ3"/>
    <n v="147000"/>
  </r>
  <r>
    <s v="TXN-101576"/>
    <d v="2024-11-30T00:00:00"/>
    <x v="126"/>
    <s v="SVC-07"/>
    <n v="300.73"/>
    <x v="1"/>
    <s v="ACH"/>
    <s v="VIP account"/>
    <x v="3"/>
    <s v="Canada"/>
    <s v="A. Kim"/>
    <x v="7"/>
    <s v="Support"/>
    <n v="0"/>
    <s v="N/A"/>
    <s v="High Value"/>
    <s v="Yes"/>
    <s v="No"/>
    <x v="0"/>
    <x v="2"/>
    <s v="NAQ4"/>
    <n v="299000"/>
  </r>
  <r>
    <s v="TXN-101900"/>
    <d v="2024-03-15T00:00:00"/>
    <x v="126"/>
    <s v="SVC-02"/>
    <n v="511.63"/>
    <x v="3"/>
    <s v="ACH"/>
    <m/>
    <x v="3"/>
    <s v="Canada"/>
    <s v="A. Kim"/>
    <x v="6"/>
    <s v="HR &amp; Payroll"/>
    <n v="0"/>
    <s v="N/A"/>
    <s v="High Value"/>
    <s v="Yes"/>
    <s v="No"/>
    <x v="0"/>
    <x v="3"/>
    <s v="NAQ1"/>
    <n v="247000"/>
  </r>
  <r>
    <s v="TXN-100994"/>
    <d v="2024-03-20T00:00:00"/>
    <x v="5"/>
    <s v="SVC-01"/>
    <n v="852.43"/>
    <x v="0"/>
    <s v="Credit Card"/>
    <m/>
    <x v="1"/>
    <s v="Australia"/>
    <s v="A. Kim"/>
    <x v="0"/>
    <s v="Payments"/>
    <n v="2.9000000000000001E-2"/>
    <s v="SMB"/>
    <s v="High Value"/>
    <s v="Yes"/>
    <s v="No"/>
    <x v="1"/>
    <x v="3"/>
    <s v="APACQ1"/>
    <n v="104500"/>
  </r>
  <r>
    <s v="TXN-100835"/>
    <d v="2024-01-17T00:00:00"/>
    <x v="8"/>
    <s v="SVC-04"/>
    <n v="249.72"/>
    <x v="1"/>
    <s v="Unknown"/>
    <m/>
    <x v="1"/>
    <s v="USA"/>
    <s v="M. Santos"/>
    <x v="2"/>
    <s v="Risk"/>
    <n v="1E-3"/>
    <s v="N/A"/>
    <s v="Standard"/>
    <s v="Yes"/>
    <s v="Yes"/>
    <x v="0"/>
    <x v="3"/>
    <s v="NAQ1"/>
    <n v="247000"/>
  </r>
  <r>
    <s v="TXN-100179"/>
    <d v="2024-12-22T00:00:00"/>
    <x v="36"/>
    <s v="SVC-04"/>
    <n v="259.61"/>
    <x v="0"/>
    <s v="Debit Card"/>
    <s v="escalated to support"/>
    <x v="1"/>
    <s v="USA"/>
    <s v="M. Santos"/>
    <x v="2"/>
    <s v="Risk"/>
    <n v="1E-3"/>
    <s v="SMB"/>
    <s v="High Value"/>
    <s v="Yes"/>
    <s v="No"/>
    <x v="0"/>
    <x v="2"/>
    <s v="NAQ4"/>
    <n v="299000"/>
  </r>
  <r>
    <s v="TXN-100619"/>
    <d v="2024-09-11T00:00:00"/>
    <x v="13"/>
    <s v="SVC-05"/>
    <n v="139.27000000000001"/>
    <x v="0"/>
    <s v="Unknown"/>
    <m/>
    <x v="0"/>
    <s v="Canada"/>
    <s v="J. Reyes"/>
    <x v="3"/>
    <s v="Analytics"/>
    <n v="0"/>
    <s v="Enterprise"/>
    <s v="Standard"/>
    <s v="Yes"/>
    <s v="No"/>
    <x v="0"/>
    <x v="1"/>
    <s v="NAQ3"/>
    <n v="273000"/>
  </r>
  <r>
    <s v="TXN-100055"/>
    <d v="2024-11-03T00:00:00"/>
    <x v="18"/>
    <s v="SVC-08"/>
    <n v="416.29"/>
    <x v="0"/>
    <s v="Credit Card"/>
    <m/>
    <x v="1"/>
    <s v="Philippines"/>
    <s v="R. Patel"/>
    <x v="1"/>
    <s v="Risk"/>
    <n v="2.5000000000000001E-3"/>
    <s v="SMB"/>
    <s v="High Value"/>
    <s v="Yes"/>
    <s v="No"/>
    <x v="1"/>
    <x v="2"/>
    <s v="APACQ4"/>
    <n v="126500"/>
  </r>
  <r>
    <s v="TXN-100269"/>
    <d v="2024-10-30T00:00:00"/>
    <x v="54"/>
    <s v="SVC-01"/>
    <n v="1176.52"/>
    <x v="0"/>
    <s v="Credit Card"/>
    <s v="VIP account"/>
    <x v="1"/>
    <s v="USA"/>
    <s v="J. Reyes"/>
    <x v="0"/>
    <s v="Payments"/>
    <n v="2.9000000000000001E-2"/>
    <s v="SMB"/>
    <s v="High Value"/>
    <s v="Yes"/>
    <s v="No"/>
    <x v="0"/>
    <x v="2"/>
    <s v="NAQ4"/>
    <n v="299000"/>
  </r>
  <r>
    <s v="TXN-101699"/>
    <d v="2024-12-28T00:00:00"/>
    <x v="69"/>
    <s v="SVC-04"/>
    <n v="204.19"/>
    <x v="0"/>
    <s v="Debit Card"/>
    <m/>
    <x v="1"/>
    <s v="Philippines"/>
    <s v="J. Reyes"/>
    <x v="2"/>
    <s v="Risk"/>
    <n v="1E-3"/>
    <s v="SMB"/>
    <s v="Standard"/>
    <s v="Yes"/>
    <s v="No"/>
    <x v="1"/>
    <x v="2"/>
    <s v="APACQ4"/>
    <n v="126500"/>
  </r>
  <r>
    <s v="TXN-100285"/>
    <d v="2024-01-14T00:00:00"/>
    <x v="95"/>
    <s v="SVC-01"/>
    <n v="242.55"/>
    <x v="0"/>
    <s v="Unknown"/>
    <s v="callback requested"/>
    <x v="1"/>
    <s v="USA"/>
    <s v="R. Patel"/>
    <x v="0"/>
    <s v="Payments"/>
    <n v="2.9000000000000001E-2"/>
    <s v="SMB"/>
    <s v="Standard"/>
    <s v="No"/>
    <s v="No"/>
    <x v="0"/>
    <x v="3"/>
    <s v="NAQ1"/>
    <n v="247000"/>
  </r>
  <r>
    <s v="TXN-102028"/>
    <d v="2024-02-02T00:00:00"/>
    <x v="41"/>
    <s v="SVC-08"/>
    <n v="209.59"/>
    <x v="0"/>
    <s v="Credit Card"/>
    <s v="VIP account"/>
    <x v="0"/>
    <s v="Canada"/>
    <s v="M. Santos"/>
    <x v="1"/>
    <s v="Risk"/>
    <n v="2.5000000000000001E-3"/>
    <s v="Enterprise"/>
    <s v="Standard"/>
    <s v="Yes"/>
    <s v="No"/>
    <x v="0"/>
    <x v="3"/>
    <s v="NAQ1"/>
    <n v="247000"/>
  </r>
  <r>
    <s v="TXN-100322"/>
    <d v="2024-09-07T00:00:00"/>
    <x v="100"/>
    <s v="SVC-02"/>
    <n v="413.4"/>
    <x v="0"/>
    <s v="Debit Card"/>
    <s v="callback requested"/>
    <x v="1"/>
    <s v="USA"/>
    <s v="J. Reyes"/>
    <x v="6"/>
    <s v="HR &amp; Payroll"/>
    <n v="0"/>
    <s v="SMB"/>
    <s v="High Value"/>
    <s v="Yes"/>
    <s v="No"/>
    <x v="0"/>
    <x v="1"/>
    <s v="NAQ3"/>
    <n v="273000"/>
  </r>
  <r>
    <s v="TXN-101949"/>
    <d v="2024-07-30T00:00:00"/>
    <x v="60"/>
    <s v="SVC-07"/>
    <n v="214.91"/>
    <x v="0"/>
    <s v="ACH"/>
    <s v="callback requested"/>
    <x v="1"/>
    <s v="Australia"/>
    <s v="J. Reyes"/>
    <x v="7"/>
    <s v="Support"/>
    <n v="0"/>
    <s v="SMB"/>
    <s v="Standard"/>
    <s v="Yes"/>
    <s v="No"/>
    <x v="1"/>
    <x v="1"/>
    <s v="APACQ3"/>
    <n v="115500"/>
  </r>
  <r>
    <s v="TXN-100606"/>
    <d v="2024-04-20T00:00:00"/>
    <x v="6"/>
    <s v="SVC-07"/>
    <n v="881.84"/>
    <x v="0"/>
    <s v="ACH"/>
    <s v="escalated to support"/>
    <x v="0"/>
    <s v="United Kingdom"/>
    <s v="R. Patel"/>
    <x v="7"/>
    <s v="Support"/>
    <n v="0"/>
    <s v="Enterprise"/>
    <s v="High Value"/>
    <s v="Yes"/>
    <s v="No"/>
    <x v="2"/>
    <x v="0"/>
    <s v="EMEAQ2"/>
    <n v="140000"/>
  </r>
  <r>
    <s v="TXN-100995"/>
    <d v="2024-08-20T00:00:00"/>
    <x v="114"/>
    <s v="SVC-05"/>
    <n v="410.33"/>
    <x v="0"/>
    <s v="Debit Card"/>
    <s v="VIP account"/>
    <x v="3"/>
    <s v="Australia"/>
    <s v="A. Kim"/>
    <x v="3"/>
    <s v="Analytics"/>
    <n v="0"/>
    <s v="Startup"/>
    <s v="High Value"/>
    <s v="Yes"/>
    <s v="No"/>
    <x v="1"/>
    <x v="1"/>
    <s v="APACQ3"/>
    <n v="115500"/>
  </r>
  <r>
    <s v="TXN-100204"/>
    <d v="2024-06-27T00:00:00"/>
    <x v="58"/>
    <s v="SVC-03"/>
    <n v="118.39"/>
    <x v="0"/>
    <s v="Wire Transfer"/>
    <m/>
    <x v="1"/>
    <s v="Canada"/>
    <s v="M. Santos"/>
    <x v="5"/>
    <s v="Billing"/>
    <n v="5.0000000000000001E-3"/>
    <s v="SMB"/>
    <s v="Standard"/>
    <s v="Yes"/>
    <s v="No"/>
    <x v="0"/>
    <x v="0"/>
    <s v="NAQ2"/>
    <n v="260000"/>
  </r>
  <r>
    <s v="TXN-100324"/>
    <d v="2024-11-15T00:00:00"/>
    <x v="69"/>
    <s v="SVC-06"/>
    <n v="486.46"/>
    <x v="0"/>
    <s v="Wire Transfer"/>
    <s v="escalated to support"/>
    <x v="1"/>
    <s v="Philippines"/>
    <s v="J. Reyes"/>
    <x v="4"/>
    <s v="Platform"/>
    <n v="0"/>
    <s v="SMB"/>
    <s v="High Value"/>
    <s v="Yes"/>
    <s v="Yes"/>
    <x v="1"/>
    <x v="2"/>
    <s v="APACQ4"/>
    <n v="126500"/>
  </r>
  <r>
    <s v="TXN-100907"/>
    <d v="2024-08-30T00:00:00"/>
    <x v="76"/>
    <s v="SVC-03"/>
    <n v="-214.26"/>
    <x v="2"/>
    <s v="Credit Card"/>
    <s v="VIP account"/>
    <x v="3"/>
    <s v="United Kingdom"/>
    <s v="R. Patel"/>
    <x v="5"/>
    <s v="Billing"/>
    <n v="5.0000000000000001E-3"/>
    <s v="N/A"/>
    <s v="Refund"/>
    <s v="No"/>
    <s v="No"/>
    <x v="2"/>
    <x v="1"/>
    <s v="EMEAQ3"/>
    <n v="147000"/>
  </r>
  <r>
    <s v="TXN-100186"/>
    <d v="2024-05-19T00:00:00"/>
    <x v="75"/>
    <s v="SVC-01"/>
    <n v="848.22"/>
    <x v="3"/>
    <s v="ACH"/>
    <s v="VIP account"/>
    <x v="0"/>
    <s v="Canada"/>
    <s v="R. Patel"/>
    <x v="0"/>
    <s v="Payments"/>
    <n v="2.9000000000000001E-2"/>
    <s v="N/A"/>
    <s v="High Value"/>
    <s v="Yes"/>
    <s v="No"/>
    <x v="0"/>
    <x v="0"/>
    <s v="NAQ2"/>
    <n v="260000"/>
  </r>
  <r>
    <s v="TXN-102385"/>
    <d v="2024-05-30T00:00:00"/>
    <x v="1"/>
    <s v="SVC-01"/>
    <n v="607.64"/>
    <x v="0"/>
    <s v="ACH"/>
    <m/>
    <x v="0"/>
    <s v="USA"/>
    <s v="J. Reyes"/>
    <x v="0"/>
    <s v="Payments"/>
    <n v="2.9000000000000001E-2"/>
    <s v="Enterprise"/>
    <s v="High Value"/>
    <s v="Yes"/>
    <s v="No"/>
    <x v="0"/>
    <x v="0"/>
    <s v="NAQ2"/>
    <n v="260000"/>
  </r>
  <r>
    <s v="TXN-101265"/>
    <d v="2024-09-28T00:00:00"/>
    <x v="59"/>
    <s v="SVC-01"/>
    <n v="169.49"/>
    <x v="0"/>
    <s v="Credit Card"/>
    <s v="escalated to support"/>
    <x v="1"/>
    <s v="USA"/>
    <s v="R. Patel"/>
    <x v="0"/>
    <s v="Payments"/>
    <n v="2.9000000000000001E-2"/>
    <s v="SMB"/>
    <s v="Standard"/>
    <s v="No"/>
    <s v="No"/>
    <x v="0"/>
    <x v="1"/>
    <s v="NAQ3"/>
    <n v="273000"/>
  </r>
  <r>
    <s v="TXN-101414"/>
    <d v="2024-08-14T00:00:00"/>
    <x v="41"/>
    <s v="SVC-05"/>
    <n v="709.89"/>
    <x v="0"/>
    <s v="Debit Card"/>
    <m/>
    <x v="0"/>
    <s v="Canada"/>
    <s v="M. Santos"/>
    <x v="3"/>
    <s v="Analytics"/>
    <n v="0"/>
    <s v="Enterprise"/>
    <s v="High Value"/>
    <s v="Yes"/>
    <s v="No"/>
    <x v="0"/>
    <x v="1"/>
    <s v="NAQ3"/>
    <n v="273000"/>
  </r>
  <r>
    <s v="TXN-101806"/>
    <d v="2024-10-25T00:00:00"/>
    <x v="19"/>
    <s v="SVC-04"/>
    <n v="495.74"/>
    <x v="0"/>
    <s v="ACH"/>
    <m/>
    <x v="0"/>
    <s v="Canada"/>
    <s v="M. Santos"/>
    <x v="2"/>
    <s v="Risk"/>
    <n v="1E-3"/>
    <s v="Enterprise"/>
    <s v="High Value"/>
    <s v="Yes"/>
    <s v="No"/>
    <x v="0"/>
    <x v="2"/>
    <s v="NAQ4"/>
    <n v="299000"/>
  </r>
  <r>
    <s v="TXN-101854"/>
    <d v="2024-12-16T00:00:00"/>
    <x v="93"/>
    <s v="SVC-01"/>
    <n v="329.17"/>
    <x v="0"/>
    <s v="Credit Card"/>
    <s v="VIP account"/>
    <x v="1"/>
    <s v="Philippines"/>
    <s v="J. Reyes"/>
    <x v="0"/>
    <s v="Payments"/>
    <n v="2.9000000000000001E-2"/>
    <s v="SMB"/>
    <s v="Standard"/>
    <s v="Yes"/>
    <s v="No"/>
    <x v="1"/>
    <x v="2"/>
    <s v="APACQ4"/>
    <n v="126500"/>
  </r>
  <r>
    <s v="TXN-102361"/>
    <d v="2024-04-30T00:00:00"/>
    <x v="29"/>
    <s v="SVC-08"/>
    <n v="198.9"/>
    <x v="0"/>
    <s v="Unknown"/>
    <s v="callback requested"/>
    <x v="1"/>
    <s v="Germany"/>
    <s v="L. Chen"/>
    <x v="1"/>
    <s v="Risk"/>
    <n v="2.5000000000000001E-3"/>
    <s v="SMB"/>
    <s v="Standard"/>
    <s v="Yes"/>
    <s v="No"/>
    <x v="2"/>
    <x v="0"/>
    <s v="EMEAQ2"/>
    <n v="140000"/>
  </r>
  <r>
    <s v="TXN-100804"/>
    <d v="2024-11-08T00:00:00"/>
    <x v="28"/>
    <s v="SVC-01"/>
    <n v="951.32"/>
    <x v="0"/>
    <s v="Wire Transfer"/>
    <s v="VIP account"/>
    <x v="1"/>
    <s v="United Kingdom"/>
    <s v="L. Chen"/>
    <x v="0"/>
    <s v="Payments"/>
    <n v="2.9000000000000001E-2"/>
    <s v="SMB"/>
    <s v="High Value"/>
    <s v="Yes"/>
    <s v="No"/>
    <x v="2"/>
    <x v="2"/>
    <s v="EMEAQ4"/>
    <n v="161000"/>
  </r>
  <r>
    <s v="TXN-100892"/>
    <d v="2024-06-15T00:00:00"/>
    <x v="10"/>
    <s v="SVC-08"/>
    <n v="380.63"/>
    <x v="0"/>
    <s v="Credit Card"/>
    <s v="escalated to support"/>
    <x v="1"/>
    <s v="USA"/>
    <s v="T. Novak"/>
    <x v="1"/>
    <s v="Risk"/>
    <n v="2.5000000000000001E-3"/>
    <s v="SMB"/>
    <s v="High Value"/>
    <s v="Yes"/>
    <s v="No"/>
    <x v="0"/>
    <x v="0"/>
    <s v="NAQ2"/>
    <n v="260000"/>
  </r>
  <r>
    <s v="TXN-101240"/>
    <d v="2024-05-05T00:00:00"/>
    <x v="58"/>
    <s v="SVC-03"/>
    <n v="328.14"/>
    <x v="0"/>
    <s v="Debit Card"/>
    <m/>
    <x v="1"/>
    <s v="Canada"/>
    <s v="M. Santos"/>
    <x v="5"/>
    <s v="Billing"/>
    <n v="5.0000000000000001E-3"/>
    <s v="SMB"/>
    <s v="High Value"/>
    <s v="Yes"/>
    <s v="No"/>
    <x v="0"/>
    <x v="0"/>
    <s v="NAQ2"/>
    <n v="260000"/>
  </r>
  <r>
    <s v="TXN-100287"/>
    <d v="2024-08-13T00:00:00"/>
    <x v="19"/>
    <s v="SVC-01"/>
    <n v="1029.55"/>
    <x v="0"/>
    <s v="ACH"/>
    <m/>
    <x v="0"/>
    <s v="Canada"/>
    <s v="M. Santos"/>
    <x v="0"/>
    <s v="Payments"/>
    <n v="2.9000000000000001E-2"/>
    <s v="Enterprise"/>
    <s v="High Value"/>
    <s v="Yes"/>
    <s v="No"/>
    <x v="0"/>
    <x v="1"/>
    <s v="NAQ3"/>
    <n v="273000"/>
  </r>
  <r>
    <s v="TXN-101697"/>
    <d v="2024-03-09T00:00:00"/>
    <x v="111"/>
    <s v="SVC-02"/>
    <n v="230.61"/>
    <x v="0"/>
    <s v="ACH"/>
    <s v="escalated to support"/>
    <x v="1"/>
    <s v="Australia"/>
    <s v="A. Kim"/>
    <x v="6"/>
    <s v="HR &amp; Payroll"/>
    <n v="0"/>
    <s v="SMB"/>
    <s v="Standard"/>
    <s v="Yes"/>
    <s v="No"/>
    <x v="1"/>
    <x v="3"/>
    <s v="APACQ1"/>
    <n v="104500"/>
  </r>
  <r>
    <s v="TXN-101868"/>
    <d v="2024-07-23T00:00:00"/>
    <x v="62"/>
    <s v="SVC-01"/>
    <n v="129.83000000000001"/>
    <x v="0"/>
    <s v="Credit Card"/>
    <s v="callback requested"/>
    <x v="0"/>
    <s v="USA"/>
    <s v="A. Kim"/>
    <x v="0"/>
    <s v="Payments"/>
    <n v="2.9000000000000001E-2"/>
    <s v="Enterprise"/>
    <s v="Standard"/>
    <s v="No"/>
    <s v="No"/>
    <x v="0"/>
    <x v="1"/>
    <s v="NAQ3"/>
    <n v="273000"/>
  </r>
  <r>
    <s v="TXN-100042"/>
    <d v="2024-04-30T00:00:00"/>
    <x v="110"/>
    <s v="SVC-03"/>
    <n v="871"/>
    <x v="3"/>
    <s v="Wire Transfer"/>
    <s v="VIP account"/>
    <x v="0"/>
    <s v="USA"/>
    <s v="A. Kim"/>
    <x v="5"/>
    <s v="Billing"/>
    <n v="5.0000000000000001E-3"/>
    <s v="N/A"/>
    <s v="High Value"/>
    <s v="Yes"/>
    <s v="Yes"/>
    <x v="0"/>
    <x v="0"/>
    <s v="NAQ2"/>
    <n v="260000"/>
  </r>
  <r>
    <s v="TXN-100573"/>
    <d v="2024-01-06T00:00:00"/>
    <x v="105"/>
    <s v="SVC-02"/>
    <n v="180.26"/>
    <x v="0"/>
    <s v="ACH"/>
    <m/>
    <x v="3"/>
    <s v="Philippines"/>
    <s v="T. Novak"/>
    <x v="6"/>
    <s v="HR &amp; Payroll"/>
    <n v="0"/>
    <s v="Startup"/>
    <s v="Standard"/>
    <s v="Yes"/>
    <s v="No"/>
    <x v="1"/>
    <x v="3"/>
    <s v="APACQ1"/>
    <n v="104500"/>
  </r>
  <r>
    <s v="TXN-102558"/>
    <d v="2024-03-14T00:00:00"/>
    <x v="46"/>
    <s v="SVC-04"/>
    <n v="408.25"/>
    <x v="0"/>
    <s v="ACH"/>
    <m/>
    <x v="1"/>
    <s v="Australia"/>
    <s v="L. Chen"/>
    <x v="2"/>
    <s v="Risk"/>
    <n v="1E-3"/>
    <s v="SMB"/>
    <s v="High Value"/>
    <s v="Yes"/>
    <s v="No"/>
    <x v="1"/>
    <x v="3"/>
    <s v="APACQ1"/>
    <n v="104500"/>
  </r>
  <r>
    <s v="TXN-100464"/>
    <d v="2024-09-26T00:00:00"/>
    <x v="23"/>
    <s v="SVC-05"/>
    <n v="912.73"/>
    <x v="0"/>
    <s v="ACH"/>
    <m/>
    <x v="0"/>
    <s v="USA"/>
    <s v="L. Chen"/>
    <x v="3"/>
    <s v="Analytics"/>
    <n v="0"/>
    <s v="Enterprise"/>
    <s v="High Value"/>
    <s v="Yes"/>
    <s v="No"/>
    <x v="0"/>
    <x v="1"/>
    <s v="NAQ3"/>
    <n v="273000"/>
  </r>
  <r>
    <s v="TXN-100793"/>
    <d v="2024-12-27T00:00:00"/>
    <x v="104"/>
    <s v="SVC-07"/>
    <n v="173.18"/>
    <x v="0"/>
    <s v="Unknown"/>
    <s v="escalated to support"/>
    <x v="1"/>
    <s v="USA"/>
    <s v="M. Santos"/>
    <x v="7"/>
    <s v="Support"/>
    <n v="0"/>
    <s v="SMB"/>
    <s v="Standard"/>
    <s v="Yes"/>
    <s v="Yes"/>
    <x v="0"/>
    <x v="2"/>
    <s v="NAQ4"/>
    <n v="299000"/>
  </r>
  <r>
    <s v="TXN-102146"/>
    <d v="2024-10-19T00:00:00"/>
    <x v="47"/>
    <s v="SVC-05"/>
    <n v="1012.68"/>
    <x v="0"/>
    <s v="Unknown"/>
    <m/>
    <x v="1"/>
    <s v="Canada"/>
    <s v="R. Patel"/>
    <x v="3"/>
    <s v="Analytics"/>
    <n v="0"/>
    <s v="SMB"/>
    <s v="High Value"/>
    <s v="Yes"/>
    <s v="Yes"/>
    <x v="0"/>
    <x v="2"/>
    <s v="NAQ4"/>
    <n v="299000"/>
  </r>
  <r>
    <s v="TXN-100286"/>
    <d v="2024-12-04T00:00:00"/>
    <x v="78"/>
    <s v="SVC-03"/>
    <n v="167.9"/>
    <x v="0"/>
    <s v="Credit Card"/>
    <m/>
    <x v="1"/>
    <s v="USA"/>
    <s v="L. Chen"/>
    <x v="5"/>
    <s v="Billing"/>
    <n v="5.0000000000000001E-3"/>
    <s v="SMB"/>
    <s v="Standard"/>
    <s v="Yes"/>
    <s v="No"/>
    <x v="0"/>
    <x v="2"/>
    <s v="NAQ4"/>
    <n v="299000"/>
  </r>
  <r>
    <s v="TXN-101888"/>
    <d v="2024-11-20T00:00:00"/>
    <x v="53"/>
    <s v="SVC-06"/>
    <n v="292.37"/>
    <x v="0"/>
    <s v="Wire Transfer"/>
    <m/>
    <x v="0"/>
    <s v="Singapore"/>
    <s v="L. Chen"/>
    <x v="4"/>
    <s v="Platform"/>
    <n v="0"/>
    <s v="Enterprise"/>
    <s v="High Value"/>
    <s v="Yes"/>
    <s v="Yes"/>
    <x v="1"/>
    <x v="2"/>
    <s v="APACQ4"/>
    <n v="126500"/>
  </r>
  <r>
    <s v="TXN-101102"/>
    <d v="2024-12-14T00:00:00"/>
    <x v="16"/>
    <s v="SVC-06"/>
    <n v="569.35"/>
    <x v="0"/>
    <s v="ACH"/>
    <m/>
    <x v="1"/>
    <s v="Germany"/>
    <s v="R. Patel"/>
    <x v="4"/>
    <s v="Platform"/>
    <n v="0"/>
    <s v="SMB"/>
    <s v="High Value"/>
    <s v="Yes"/>
    <s v="No"/>
    <x v="2"/>
    <x v="2"/>
    <s v="EMEAQ4"/>
    <n v="161000"/>
  </r>
  <r>
    <s v="TXN-101311"/>
    <d v="2024-07-30T00:00:00"/>
    <x v="122"/>
    <s v="SVC-02"/>
    <n v="758.9"/>
    <x v="3"/>
    <s v="Credit Card"/>
    <s v="VIP account"/>
    <x v="3"/>
    <s v="United Kingdom"/>
    <s v="A. Kim"/>
    <x v="6"/>
    <s v="HR &amp; Payroll"/>
    <n v="0"/>
    <s v="N/A"/>
    <s v="High Value"/>
    <s v="Yes"/>
    <s v="No"/>
    <x v="2"/>
    <x v="1"/>
    <s v="EMEAQ3"/>
    <n v="147000"/>
  </r>
  <r>
    <s v="TXN-100660"/>
    <d v="2024-03-27T00:00:00"/>
    <x v="35"/>
    <s v="SVC-06"/>
    <n v="244.02"/>
    <x v="0"/>
    <s v="Credit Card"/>
    <s v="VIP account"/>
    <x v="3"/>
    <s v="Philippines"/>
    <s v="R. Patel"/>
    <x v="4"/>
    <s v="Platform"/>
    <n v="0"/>
    <s v="Startup"/>
    <s v="Standard"/>
    <s v="Yes"/>
    <s v="No"/>
    <x v="1"/>
    <x v="3"/>
    <s v="APACQ1"/>
    <n v="104500"/>
  </r>
  <r>
    <s v="TXN-100170"/>
    <d v="2024-09-11T00:00:00"/>
    <x v="66"/>
    <s v="SVC-03"/>
    <n v="351.15"/>
    <x v="0"/>
    <s v="Wire Transfer"/>
    <m/>
    <x v="3"/>
    <s v="Australia"/>
    <s v="L. Chen"/>
    <x v="5"/>
    <s v="Billing"/>
    <n v="5.0000000000000001E-3"/>
    <s v="Startup"/>
    <s v="High Value"/>
    <s v="Yes"/>
    <s v="No"/>
    <x v="1"/>
    <x v="1"/>
    <s v="APACQ3"/>
    <n v="115500"/>
  </r>
  <r>
    <s v="TXN-101738"/>
    <d v="2024-09-10T00:00:00"/>
    <x v="70"/>
    <s v="SVC-01"/>
    <n v="366.83"/>
    <x v="0"/>
    <s v="Credit Card"/>
    <m/>
    <x v="3"/>
    <s v="Singapore"/>
    <s v="A. Kim"/>
    <x v="0"/>
    <s v="Payments"/>
    <n v="2.9000000000000001E-2"/>
    <s v="Startup"/>
    <s v="Standard"/>
    <s v="Yes"/>
    <s v="No"/>
    <x v="1"/>
    <x v="1"/>
    <s v="APACQ3"/>
    <n v="115500"/>
  </r>
  <r>
    <s v="TXN-102217"/>
    <d v="2024-05-15T00:00:00"/>
    <x v="78"/>
    <s v="SVC-01"/>
    <n v="394.79"/>
    <x v="3"/>
    <s v="Debit Card"/>
    <m/>
    <x v="1"/>
    <s v="USA"/>
    <s v="L. Chen"/>
    <x v="0"/>
    <s v="Payments"/>
    <n v="2.9000000000000001E-2"/>
    <s v="N/A"/>
    <s v="Standard"/>
    <s v="Yes"/>
    <s v="No"/>
    <x v="0"/>
    <x v="0"/>
    <s v="NAQ2"/>
    <n v="260000"/>
  </r>
  <r>
    <s v="TXN-101907"/>
    <d v="2024-09-15T00:00:00"/>
    <x v="78"/>
    <s v="SVC-03"/>
    <n v="138.56"/>
    <x v="0"/>
    <s v="Debit Card"/>
    <m/>
    <x v="1"/>
    <s v="USA"/>
    <s v="L. Chen"/>
    <x v="5"/>
    <s v="Billing"/>
    <n v="5.0000000000000001E-3"/>
    <s v="SMB"/>
    <s v="Standard"/>
    <s v="Yes"/>
    <s v="No"/>
    <x v="0"/>
    <x v="1"/>
    <s v="NAQ3"/>
    <n v="273000"/>
  </r>
  <r>
    <s v="TXN-100372"/>
    <d v="2024-09-14T00:00:00"/>
    <x v="122"/>
    <s v="SVC-02"/>
    <n v="325.18"/>
    <x v="0"/>
    <s v="Credit Card"/>
    <m/>
    <x v="3"/>
    <s v="United Kingdom"/>
    <s v="A. Kim"/>
    <x v="6"/>
    <s v="HR &amp; Payroll"/>
    <n v="0"/>
    <s v="Startup"/>
    <s v="High Value"/>
    <s v="Yes"/>
    <s v="No"/>
    <x v="2"/>
    <x v="1"/>
    <s v="EMEAQ3"/>
    <n v="147000"/>
  </r>
  <r>
    <s v="TXN-100735"/>
    <d v="2024-08-18T00:00:00"/>
    <x v="124"/>
    <s v="SVC-01"/>
    <n v="364.38"/>
    <x v="0"/>
    <s v="Credit Card"/>
    <s v="callback requested"/>
    <x v="1"/>
    <s v="United Kingdom"/>
    <s v="A. Kim"/>
    <x v="0"/>
    <s v="Payments"/>
    <n v="2.9000000000000001E-2"/>
    <s v="SMB"/>
    <s v="Standard"/>
    <s v="Yes"/>
    <s v="No"/>
    <x v="2"/>
    <x v="1"/>
    <s v="EMEAQ3"/>
    <n v="147000"/>
  </r>
  <r>
    <s v="TXN-102176"/>
    <d v="2024-10-11T00:00:00"/>
    <x v="29"/>
    <s v="SVC-01"/>
    <n v="307.49"/>
    <x v="0"/>
    <s v="ACH"/>
    <m/>
    <x v="1"/>
    <s v="Germany"/>
    <s v="L. Chen"/>
    <x v="0"/>
    <s v="Payments"/>
    <n v="2.9000000000000001E-2"/>
    <s v="SMB"/>
    <s v="Standard"/>
    <s v="Yes"/>
    <s v="No"/>
    <x v="2"/>
    <x v="2"/>
    <s v="EMEAQ4"/>
    <n v="161000"/>
  </r>
  <r>
    <s v="TXN-101229"/>
    <d v="2024-12-17T00:00:00"/>
    <x v="123"/>
    <s v="SVC-06"/>
    <n v="1090.01"/>
    <x v="3"/>
    <s v="Debit Card"/>
    <s v="callback requested"/>
    <x v="3"/>
    <s v="Australia"/>
    <s v="L. Chen"/>
    <x v="4"/>
    <s v="Platform"/>
    <n v="0"/>
    <s v="N/A"/>
    <s v="High Value"/>
    <s v="Yes"/>
    <s v="Yes"/>
    <x v="1"/>
    <x v="2"/>
    <s v="APACQ4"/>
    <n v="126500"/>
  </r>
  <r>
    <s v="TXN-101384"/>
    <d v="2024-04-20T00:00:00"/>
    <x v="100"/>
    <s v="SVC-08"/>
    <n v="1191.96"/>
    <x v="0"/>
    <s v="Wire Transfer"/>
    <m/>
    <x v="1"/>
    <s v="USA"/>
    <s v="J. Reyes"/>
    <x v="1"/>
    <s v="Risk"/>
    <n v="2.5000000000000001E-3"/>
    <s v="SMB"/>
    <s v="High Value"/>
    <s v="Yes"/>
    <s v="No"/>
    <x v="0"/>
    <x v="0"/>
    <s v="NAQ2"/>
    <n v="260000"/>
  </r>
  <r>
    <s v="TXN-102024"/>
    <d v="2024-09-15T00:00:00"/>
    <x v="42"/>
    <s v="SVC-03"/>
    <n v="163.03"/>
    <x v="3"/>
    <s v="Debit Card"/>
    <s v="escalated to support"/>
    <x v="1"/>
    <s v="Australia"/>
    <s v="M. Santos"/>
    <x v="5"/>
    <s v="Billing"/>
    <n v="5.0000000000000001E-3"/>
    <s v="N/A"/>
    <s v="Standard"/>
    <s v="Yes"/>
    <s v="No"/>
    <x v="1"/>
    <x v="1"/>
    <s v="APACQ3"/>
    <n v="115500"/>
  </r>
  <r>
    <s v="TXN-101628"/>
    <d v="2024-10-14T00:00:00"/>
    <x v="33"/>
    <s v="SVC-04"/>
    <n v="668.58"/>
    <x v="0"/>
    <s v="Credit Card"/>
    <s v="VIP account"/>
    <x v="3"/>
    <s v="Canada"/>
    <s v="T. Novak"/>
    <x v="2"/>
    <s v="Risk"/>
    <n v="1E-3"/>
    <s v="Startup"/>
    <s v="High Value"/>
    <s v="Yes"/>
    <s v="Yes"/>
    <x v="0"/>
    <x v="2"/>
    <s v="NAQ4"/>
    <n v="299000"/>
  </r>
  <r>
    <s v="TXN-101271"/>
    <d v="2024-01-02T00:00:00"/>
    <x v="42"/>
    <s v="SVC-02"/>
    <n v="399.12"/>
    <x v="0"/>
    <s v="Credit Card"/>
    <m/>
    <x v="1"/>
    <s v="Australia"/>
    <s v="M. Santos"/>
    <x v="6"/>
    <s v="HR &amp; Payroll"/>
    <n v="0"/>
    <s v="SMB"/>
    <s v="High Value"/>
    <s v="Yes"/>
    <s v="No"/>
    <x v="1"/>
    <x v="3"/>
    <s v="APACQ1"/>
    <n v="104500"/>
  </r>
  <r>
    <s v="TXN-100296"/>
    <d v="2024-12-14T00:00:00"/>
    <x v="7"/>
    <s v="SVC-04"/>
    <n v="241.76"/>
    <x v="0"/>
    <s v="Debit Card"/>
    <m/>
    <x v="1"/>
    <s v="USA"/>
    <s v="T. Novak"/>
    <x v="2"/>
    <s v="Risk"/>
    <n v="1E-3"/>
    <s v="SMB"/>
    <s v="Standard"/>
    <s v="Yes"/>
    <s v="No"/>
    <x v="0"/>
    <x v="2"/>
    <s v="NAQ4"/>
    <n v="299000"/>
  </r>
  <r>
    <s v="TXN-102592"/>
    <d v="2024-05-18T00:00:00"/>
    <x v="125"/>
    <s v="SVC-07"/>
    <n v="331.87"/>
    <x v="0"/>
    <s v="ACH"/>
    <s v="VIP account"/>
    <x v="1"/>
    <s v="USA"/>
    <s v="A. Kim"/>
    <x v="7"/>
    <s v="Support"/>
    <n v="0"/>
    <s v="SMB"/>
    <s v="High Value"/>
    <s v="Yes"/>
    <s v="No"/>
    <x v="0"/>
    <x v="0"/>
    <s v="NAQ2"/>
    <n v="260000"/>
  </r>
  <r>
    <s v="TXN-100454"/>
    <d v="2024-06-15T00:00:00"/>
    <x v="84"/>
    <s v="SVC-04"/>
    <n v="167.97"/>
    <x v="0"/>
    <s v="Credit Card"/>
    <s v="callback requested"/>
    <x v="3"/>
    <s v="Singapore"/>
    <s v="T. Novak"/>
    <x v="2"/>
    <s v="Risk"/>
    <n v="1E-3"/>
    <s v="Startup"/>
    <s v="Standard"/>
    <s v="Yes"/>
    <s v="No"/>
    <x v="1"/>
    <x v="0"/>
    <s v="APACQ2"/>
    <n v="110000"/>
  </r>
  <r>
    <s v="TXN-100437"/>
    <d v="2024-02-02T00:00:00"/>
    <x v="78"/>
    <s v="SVC-01"/>
    <n v="423.23"/>
    <x v="1"/>
    <s v="ACH"/>
    <s v="callback requested"/>
    <x v="1"/>
    <s v="USA"/>
    <s v="L. Chen"/>
    <x v="0"/>
    <s v="Payments"/>
    <n v="2.9000000000000001E-2"/>
    <s v="N/A"/>
    <s v="Standard"/>
    <s v="Yes"/>
    <s v="No"/>
    <x v="0"/>
    <x v="3"/>
    <s v="NAQ1"/>
    <n v="247000"/>
  </r>
  <r>
    <s v="TXN-101563"/>
    <d v="2024-04-28T00:00:00"/>
    <x v="26"/>
    <s v="SVC-03"/>
    <n v="179.88"/>
    <x v="1"/>
    <s v="Credit Card"/>
    <s v="escalated to support"/>
    <x v="3"/>
    <s v="USA"/>
    <s v="R. Patel"/>
    <x v="5"/>
    <s v="Billing"/>
    <n v="5.0000000000000001E-3"/>
    <s v="N/A"/>
    <s v="Standard"/>
    <s v="Yes"/>
    <s v="No"/>
    <x v="0"/>
    <x v="0"/>
    <s v="NAQ2"/>
    <n v="260000"/>
  </r>
  <r>
    <s v="TXN-100490"/>
    <d v="2024-12-29T00:00:00"/>
    <x v="53"/>
    <s v="SVC-03"/>
    <n v="900.42"/>
    <x v="0"/>
    <s v="Debit Card"/>
    <s v="VIP account"/>
    <x v="0"/>
    <s v="Singapore"/>
    <s v="L. Chen"/>
    <x v="5"/>
    <s v="Billing"/>
    <n v="5.0000000000000001E-3"/>
    <s v="Enterprise"/>
    <s v="High Value"/>
    <s v="Yes"/>
    <s v="No"/>
    <x v="1"/>
    <x v="2"/>
    <s v="APACQ4"/>
    <n v="126500"/>
  </r>
  <r>
    <s v="TXN-102282"/>
    <d v="2024-08-02T00:00:00"/>
    <x v="111"/>
    <s v="SVC-04"/>
    <n v="329.17"/>
    <x v="0"/>
    <s v="Credit Card"/>
    <m/>
    <x v="1"/>
    <s v="Australia"/>
    <s v="A. Kim"/>
    <x v="2"/>
    <s v="Risk"/>
    <n v="1E-3"/>
    <s v="SMB"/>
    <s v="High Value"/>
    <s v="Yes"/>
    <s v="Yes"/>
    <x v="1"/>
    <x v="1"/>
    <s v="APACQ3"/>
    <n v="115500"/>
  </r>
  <r>
    <s v="TXN-100927"/>
    <d v="2024-06-19T00:00:00"/>
    <x v="30"/>
    <s v="SVC-02"/>
    <n v="513.34"/>
    <x v="0"/>
    <s v="Debit Card"/>
    <m/>
    <x v="1"/>
    <s v="Germany"/>
    <s v="M. Santos"/>
    <x v="6"/>
    <s v="HR &amp; Payroll"/>
    <n v="0"/>
    <s v="SMB"/>
    <s v="High Value"/>
    <s v="Yes"/>
    <s v="No"/>
    <x v="2"/>
    <x v="0"/>
    <s v="EMEAQ2"/>
    <n v="140000"/>
  </r>
  <r>
    <s v="TXN-100756"/>
    <d v="2024-10-05T00:00:00"/>
    <x v="19"/>
    <s v="SVC-05"/>
    <n v="307.33"/>
    <x v="0"/>
    <s v="Credit Card"/>
    <m/>
    <x v="0"/>
    <s v="Canada"/>
    <s v="M. Santos"/>
    <x v="3"/>
    <s v="Analytics"/>
    <n v="0"/>
    <s v="Enterprise"/>
    <s v="High Value"/>
    <s v="Yes"/>
    <s v="Yes"/>
    <x v="0"/>
    <x v="2"/>
    <s v="NAQ4"/>
    <n v="299000"/>
  </r>
  <r>
    <s v="TXN-100337"/>
    <d v="2024-12-13T00:00:00"/>
    <x v="87"/>
    <s v="SVC-01"/>
    <n v="778.31"/>
    <x v="0"/>
    <s v="Wire Transfer"/>
    <m/>
    <x v="1"/>
    <s v="United Kingdom"/>
    <s v="J. Reyes"/>
    <x v="0"/>
    <s v="Payments"/>
    <n v="2.9000000000000001E-2"/>
    <s v="SMB"/>
    <s v="High Value"/>
    <s v="Yes"/>
    <s v="No"/>
    <x v="2"/>
    <x v="2"/>
    <s v="EMEAQ4"/>
    <n v="161000"/>
  </r>
  <r>
    <s v="TXN-102509"/>
    <d v="2024-10-18T00:00:00"/>
    <x v="83"/>
    <s v="SVC-01"/>
    <n v="778.53"/>
    <x v="1"/>
    <s v="Credit Card"/>
    <m/>
    <x v="1"/>
    <s v="Canada"/>
    <s v="L. Chen"/>
    <x v="0"/>
    <s v="Payments"/>
    <n v="2.9000000000000001E-2"/>
    <s v="N/A"/>
    <s v="High Value"/>
    <s v="Yes"/>
    <s v="No"/>
    <x v="0"/>
    <x v="2"/>
    <s v="NAQ4"/>
    <n v="299000"/>
  </r>
  <r>
    <s v="TXN-100333"/>
    <d v="2024-06-24T00:00:00"/>
    <x v="32"/>
    <s v="SVC-02"/>
    <n v="1024.1400000000001"/>
    <x v="0"/>
    <s v="Unknown"/>
    <m/>
    <x v="1"/>
    <s v="Philippines"/>
    <s v="T. Novak"/>
    <x v="6"/>
    <s v="HR &amp; Payroll"/>
    <n v="0"/>
    <s v="SMB"/>
    <s v="High Value"/>
    <s v="Yes"/>
    <s v="No"/>
    <x v="1"/>
    <x v="0"/>
    <s v="APACQ2"/>
    <n v="110000"/>
  </r>
  <r>
    <s v="TXN-100031"/>
    <d v="2024-10-16T00:00:00"/>
    <x v="78"/>
    <s v="SVC-01"/>
    <n v="482.32"/>
    <x v="3"/>
    <s v="Unknown"/>
    <s v="VIP account"/>
    <x v="1"/>
    <s v="USA"/>
    <s v="L. Chen"/>
    <x v="0"/>
    <s v="Payments"/>
    <n v="2.9000000000000001E-2"/>
    <s v="N/A"/>
    <s v="Standard"/>
    <s v="Yes"/>
    <s v="No"/>
    <x v="0"/>
    <x v="2"/>
    <s v="NAQ4"/>
    <n v="299000"/>
  </r>
  <r>
    <s v="TXN-100776"/>
    <d v="2024-01-12T00:00:00"/>
    <x v="10"/>
    <s v="SVC-03"/>
    <n v="199.4"/>
    <x v="0"/>
    <s v="ACH"/>
    <s v="VIP account"/>
    <x v="1"/>
    <s v="USA"/>
    <s v="T. Novak"/>
    <x v="5"/>
    <s v="Billing"/>
    <n v="5.0000000000000001E-3"/>
    <s v="SMB"/>
    <s v="Standard"/>
    <s v="Yes"/>
    <s v="No"/>
    <x v="0"/>
    <x v="3"/>
    <s v="NAQ1"/>
    <n v="247000"/>
  </r>
  <r>
    <s v="TXN-101154"/>
    <d v="2024-04-09T00:00:00"/>
    <x v="41"/>
    <s v="SVC-02"/>
    <n v="35"/>
    <x v="3"/>
    <s v="ACH"/>
    <m/>
    <x v="0"/>
    <s v="Canada"/>
    <s v="M. Santos"/>
    <x v="6"/>
    <s v="HR &amp; Payroll"/>
    <n v="0"/>
    <s v="N/A"/>
    <s v="Standard"/>
    <s v="Yes"/>
    <s v="No"/>
    <x v="0"/>
    <x v="0"/>
    <s v="NAQ2"/>
    <n v="260000"/>
  </r>
  <r>
    <s v="TXN-102329"/>
    <d v="2024-05-17T00:00:00"/>
    <x v="74"/>
    <s v="SVC-01"/>
    <n v="420.03"/>
    <x v="3"/>
    <s v="Credit Card"/>
    <m/>
    <x v="0"/>
    <s v="USA"/>
    <s v="A. Kim"/>
    <x v="0"/>
    <s v="Payments"/>
    <n v="2.9000000000000001E-2"/>
    <s v="N/A"/>
    <s v="Standard"/>
    <s v="Yes"/>
    <s v="No"/>
    <x v="0"/>
    <x v="0"/>
    <s v="NAQ2"/>
    <n v="260000"/>
  </r>
  <r>
    <s v="TXN-102417"/>
    <d v="2024-03-25T00:00:00"/>
    <x v="24"/>
    <s v="SVC-01"/>
    <n v="398.65"/>
    <x v="0"/>
    <s v="ACH"/>
    <m/>
    <x v="1"/>
    <s v="USA"/>
    <s v="M. Santos"/>
    <x v="0"/>
    <s v="Payments"/>
    <n v="2.9000000000000001E-2"/>
    <s v="SMB"/>
    <s v="Standard"/>
    <s v="Yes"/>
    <s v="No"/>
    <x v="0"/>
    <x v="3"/>
    <s v="NAQ1"/>
    <n v="247000"/>
  </r>
  <r>
    <s v="TXN-100357"/>
    <d v="2024-01-25T00:00:00"/>
    <x v="85"/>
    <s v="SVC-05"/>
    <n v="615.63"/>
    <x v="1"/>
    <s v="Unknown"/>
    <s v="escalated to support"/>
    <x v="0"/>
    <s v="Canada"/>
    <s v="T. Novak"/>
    <x v="3"/>
    <s v="Analytics"/>
    <n v="0"/>
    <s v="N/A"/>
    <s v="High Value"/>
    <s v="Yes"/>
    <s v="No"/>
    <x v="0"/>
    <x v="3"/>
    <s v="NAQ1"/>
    <n v="247000"/>
  </r>
  <r>
    <s v="TXN-100787"/>
    <d v="2024-12-28T00:00:00"/>
    <x v="116"/>
    <s v="SVC-04"/>
    <n v="525.01"/>
    <x v="0"/>
    <s v="Unknown"/>
    <m/>
    <x v="1"/>
    <s v="USA"/>
    <s v="J. Reyes"/>
    <x v="2"/>
    <s v="Risk"/>
    <n v="1E-3"/>
    <s v="SMB"/>
    <s v="High Value"/>
    <s v="Yes"/>
    <s v="Yes"/>
    <x v="0"/>
    <x v="2"/>
    <s v="NAQ4"/>
    <n v="299000"/>
  </r>
  <r>
    <s v="TXN-100059"/>
    <d v="2024-06-15T00:00:00"/>
    <x v="49"/>
    <s v="SVC-02"/>
    <n v="473.84"/>
    <x v="0"/>
    <s v="ACH"/>
    <m/>
    <x v="1"/>
    <s v="USA"/>
    <s v="A. Kim"/>
    <x v="6"/>
    <s v="HR &amp; Payroll"/>
    <n v="0"/>
    <s v="SMB"/>
    <s v="High Value"/>
    <s v="Yes"/>
    <s v="No"/>
    <x v="0"/>
    <x v="0"/>
    <s v="NAQ2"/>
    <n v="260000"/>
  </r>
  <r>
    <s v="TXN-102368"/>
    <d v="2024-05-08T00:00:00"/>
    <x v="121"/>
    <s v="SVC-01"/>
    <n v="62.15"/>
    <x v="1"/>
    <s v="ACH"/>
    <m/>
    <x v="0"/>
    <s v="USA"/>
    <s v="J. Reyes"/>
    <x v="0"/>
    <s v="Payments"/>
    <n v="2.9000000000000001E-2"/>
    <s v="N/A"/>
    <s v="Standard"/>
    <s v="No"/>
    <s v="No"/>
    <x v="0"/>
    <x v="0"/>
    <s v="NAQ2"/>
    <n v="260000"/>
  </r>
  <r>
    <s v="TXN-101198"/>
    <d v="2024-10-14T00:00:00"/>
    <x v="118"/>
    <s v="SVC-05"/>
    <n v="363.28"/>
    <x v="3"/>
    <s v="Credit Card"/>
    <s v="escalated to support"/>
    <x v="1"/>
    <s v="USA"/>
    <s v="L. Chen"/>
    <x v="3"/>
    <s v="Analytics"/>
    <n v="0"/>
    <s v="N/A"/>
    <s v="High Value"/>
    <s v="Yes"/>
    <s v="Yes"/>
    <x v="0"/>
    <x v="2"/>
    <s v="NAQ4"/>
    <n v="299000"/>
  </r>
  <r>
    <s v="TXN-101960"/>
    <d v="2024-05-31T00:00:00"/>
    <x v="91"/>
    <s v="SVC-01"/>
    <n v="145.21"/>
    <x v="0"/>
    <s v="Credit Card"/>
    <s v="escalated to support"/>
    <x v="1"/>
    <s v="Singapore"/>
    <s v="A. Kim"/>
    <x v="0"/>
    <s v="Payments"/>
    <n v="2.9000000000000001E-2"/>
    <s v="SMB"/>
    <s v="Standard"/>
    <s v="No"/>
    <s v="No"/>
    <x v="1"/>
    <x v="0"/>
    <s v="APACQ2"/>
    <n v="110000"/>
  </r>
  <r>
    <s v="TXN-101733"/>
    <d v="2024-03-25T00:00:00"/>
    <x v="15"/>
    <s v="SVC-07"/>
    <n v="1013.57"/>
    <x v="0"/>
    <s v="ACH"/>
    <s v="VIP account"/>
    <x v="0"/>
    <s v="USA"/>
    <s v="L. Chen"/>
    <x v="7"/>
    <s v="Support"/>
    <n v="0"/>
    <s v="Enterprise"/>
    <s v="High Value"/>
    <s v="Yes"/>
    <s v="No"/>
    <x v="0"/>
    <x v="3"/>
    <s v="NAQ1"/>
    <n v="247000"/>
  </r>
  <r>
    <s v="TXN-100578"/>
    <d v="2024-02-05T00:00:00"/>
    <x v="96"/>
    <s v="SVC-01"/>
    <n v="689.86"/>
    <x v="0"/>
    <s v="Credit Card"/>
    <m/>
    <x v="1"/>
    <s v="Philippines"/>
    <s v="A. Kim"/>
    <x v="0"/>
    <s v="Payments"/>
    <n v="2.9000000000000001E-2"/>
    <s v="SMB"/>
    <s v="High Value"/>
    <s v="Yes"/>
    <s v="No"/>
    <x v="1"/>
    <x v="3"/>
    <s v="APACQ1"/>
    <n v="104500"/>
  </r>
  <r>
    <s v="TXN-102212"/>
    <d v="2024-08-05T00:00:00"/>
    <x v="29"/>
    <s v="SVC-01"/>
    <n v="58.84"/>
    <x v="3"/>
    <s v="Unknown"/>
    <m/>
    <x v="1"/>
    <s v="Germany"/>
    <s v="L. Chen"/>
    <x v="0"/>
    <s v="Payments"/>
    <n v="2.9000000000000001E-2"/>
    <s v="N/A"/>
    <s v="Standard"/>
    <s v="No"/>
    <s v="No"/>
    <x v="2"/>
    <x v="1"/>
    <s v="EMEAQ3"/>
    <n v="147000"/>
  </r>
  <r>
    <s v="TXN-100693"/>
    <d v="2024-03-23T00:00:00"/>
    <x v="84"/>
    <s v="SVC-01"/>
    <n v="207.9"/>
    <x v="1"/>
    <s v="Debit Card"/>
    <s v="escalated to support"/>
    <x v="3"/>
    <s v="Singapore"/>
    <s v="T. Novak"/>
    <x v="0"/>
    <s v="Payments"/>
    <n v="2.9000000000000001E-2"/>
    <s v="N/A"/>
    <s v="Standard"/>
    <s v="No"/>
    <s v="No"/>
    <x v="1"/>
    <x v="3"/>
    <s v="APACQ1"/>
    <n v="104500"/>
  </r>
  <r>
    <s v="TXN-101095"/>
    <d v="2024-10-24T00:00:00"/>
    <x v="67"/>
    <s v="SVC-06"/>
    <n v="879.27"/>
    <x v="0"/>
    <s v="Credit Card"/>
    <s v="VIP account"/>
    <x v="3"/>
    <s v="Australia"/>
    <s v="Unassigned"/>
    <x v="4"/>
    <s v="Platform"/>
    <n v="0"/>
    <s v="Startup"/>
    <s v="High Value"/>
    <s v="Yes"/>
    <s v="No"/>
    <x v="1"/>
    <x v="2"/>
    <s v="APACQ4"/>
    <n v="126500"/>
  </r>
  <r>
    <s v="TXN-100671"/>
    <d v="2024-07-01T00:00:00"/>
    <x v="98"/>
    <s v="SVC-02"/>
    <n v="469.35"/>
    <x v="0"/>
    <s v="ACH"/>
    <m/>
    <x v="1"/>
    <s v="Philippines"/>
    <s v="T. Novak"/>
    <x v="6"/>
    <s v="HR &amp; Payroll"/>
    <n v="0"/>
    <s v="SMB"/>
    <s v="High Value"/>
    <s v="Yes"/>
    <s v="No"/>
    <x v="1"/>
    <x v="1"/>
    <s v="APACQ3"/>
    <n v="115500"/>
  </r>
  <r>
    <s v="TXN-100222"/>
    <d v="2024-02-17T00:00:00"/>
    <x v="25"/>
    <s v="SVC-04"/>
    <n v="1305.47"/>
    <x v="0"/>
    <s v="Wire Transfer"/>
    <m/>
    <x v="0"/>
    <s v="USA"/>
    <s v="A. Kim"/>
    <x v="2"/>
    <s v="Risk"/>
    <n v="1E-3"/>
    <s v="Enterprise"/>
    <s v="High Value"/>
    <s v="Yes"/>
    <s v="No"/>
    <x v="0"/>
    <x v="3"/>
    <s v="NAQ1"/>
    <n v="247000"/>
  </r>
  <r>
    <s v="TXN-102157"/>
    <d v="2024-01-10T00:00:00"/>
    <x v="95"/>
    <s v="SVC-07"/>
    <n v="603.88"/>
    <x v="0"/>
    <s v="ACH"/>
    <s v="escalated to support"/>
    <x v="1"/>
    <s v="USA"/>
    <s v="R. Patel"/>
    <x v="7"/>
    <s v="Support"/>
    <n v="0"/>
    <s v="SMB"/>
    <s v="High Value"/>
    <s v="Yes"/>
    <s v="Yes"/>
    <x v="0"/>
    <x v="3"/>
    <s v="NAQ1"/>
    <n v="247000"/>
  </r>
  <r>
    <s v="TXN-100816"/>
    <d v="2024-03-30T00:00:00"/>
    <x v="29"/>
    <s v="SVC-01"/>
    <n v="535.08000000000004"/>
    <x v="0"/>
    <s v="ACH"/>
    <s v="VIP account"/>
    <x v="1"/>
    <s v="Germany"/>
    <s v="L. Chen"/>
    <x v="0"/>
    <s v="Payments"/>
    <n v="2.9000000000000001E-2"/>
    <s v="SMB"/>
    <s v="High Value"/>
    <s v="Yes"/>
    <s v="No"/>
    <x v="2"/>
    <x v="3"/>
    <s v="EMEAQ1"/>
    <n v="133000"/>
  </r>
  <r>
    <s v="TXN-102171"/>
    <d v="2024-09-27T00:00:00"/>
    <x v="80"/>
    <s v="SVC-03"/>
    <n v="367.29"/>
    <x v="0"/>
    <s v="ACH"/>
    <s v="callback requested"/>
    <x v="1"/>
    <s v="Philippines"/>
    <s v="R. Patel"/>
    <x v="5"/>
    <s v="Billing"/>
    <n v="5.0000000000000001E-3"/>
    <s v="SMB"/>
    <s v="High Value"/>
    <s v="Yes"/>
    <s v="No"/>
    <x v="1"/>
    <x v="1"/>
    <s v="APACQ3"/>
    <n v="115500"/>
  </r>
  <r>
    <s v="TXN-102202"/>
    <d v="2024-02-29T00:00:00"/>
    <x v="127"/>
    <s v="SVC-02"/>
    <n v="413.42"/>
    <x v="0"/>
    <s v="Credit Card"/>
    <s v="escalated to support"/>
    <x v="0"/>
    <s v="USA"/>
    <s v="R. Patel"/>
    <x v="6"/>
    <s v="HR &amp; Payroll"/>
    <n v="0"/>
    <s v="Enterprise"/>
    <s v="High Value"/>
    <s v="Yes"/>
    <s v="No"/>
    <x v="0"/>
    <x v="3"/>
    <s v="NAQ1"/>
    <n v="247000"/>
  </r>
  <r>
    <s v="TXN-100506"/>
    <d v="2024-08-13T00:00:00"/>
    <x v="117"/>
    <s v="SVC-01"/>
    <n v="1515.72"/>
    <x v="0"/>
    <s v="Debit Card"/>
    <s v="callback requested"/>
    <x v="1"/>
    <s v="Canada"/>
    <s v="A. Kim"/>
    <x v="0"/>
    <s v="Payments"/>
    <n v="2.9000000000000001E-2"/>
    <s v="SMB"/>
    <s v="High Value"/>
    <s v="Yes"/>
    <s v="No"/>
    <x v="0"/>
    <x v="1"/>
    <s v="NAQ3"/>
    <n v="273000"/>
  </r>
  <r>
    <s v="TXN-100701"/>
    <d v="2024-11-12T00:00:00"/>
    <x v="2"/>
    <s v="SVC-01"/>
    <n v="213.47"/>
    <x v="0"/>
    <s v="ACH"/>
    <m/>
    <x v="0"/>
    <s v="USA"/>
    <s v="A. Kim"/>
    <x v="0"/>
    <s v="Payments"/>
    <n v="2.9000000000000001E-2"/>
    <s v="Enterprise"/>
    <s v="Standard"/>
    <s v="No"/>
    <s v="No"/>
    <x v="0"/>
    <x v="2"/>
    <s v="NAQ4"/>
    <n v="299000"/>
  </r>
  <r>
    <s v="TXN-100678"/>
    <d v="2024-10-03T00:00:00"/>
    <x v="80"/>
    <s v="SVC-03"/>
    <n v="183.31"/>
    <x v="0"/>
    <s v="ACH"/>
    <s v="VIP account"/>
    <x v="1"/>
    <s v="Philippines"/>
    <s v="R. Patel"/>
    <x v="5"/>
    <s v="Billing"/>
    <n v="5.0000000000000001E-3"/>
    <s v="SMB"/>
    <s v="Standard"/>
    <s v="Yes"/>
    <s v="No"/>
    <x v="1"/>
    <x v="2"/>
    <s v="APACQ4"/>
    <n v="126500"/>
  </r>
  <r>
    <s v="TXN-101475"/>
    <d v="2024-03-16T00:00:00"/>
    <x v="126"/>
    <s v="SVC-06"/>
    <n v="299.83999999999997"/>
    <x v="0"/>
    <s v="ACH"/>
    <s v="callback requested"/>
    <x v="3"/>
    <s v="Canada"/>
    <s v="A. Kim"/>
    <x v="4"/>
    <s v="Platform"/>
    <n v="0"/>
    <s v="Startup"/>
    <s v="High Value"/>
    <s v="Yes"/>
    <s v="Yes"/>
    <x v="0"/>
    <x v="3"/>
    <s v="NAQ1"/>
    <n v="247000"/>
  </r>
  <r>
    <s v="TXN-100227"/>
    <d v="2024-05-20T00:00:00"/>
    <x v="67"/>
    <s v="SVC-01"/>
    <n v="1128.21"/>
    <x v="0"/>
    <s v="ACH"/>
    <s v="escalated to support"/>
    <x v="3"/>
    <s v="Australia"/>
    <s v="Unassigned"/>
    <x v="0"/>
    <s v="Payments"/>
    <n v="2.9000000000000001E-2"/>
    <s v="Startup"/>
    <s v="High Value"/>
    <s v="Yes"/>
    <s v="No"/>
    <x v="1"/>
    <x v="0"/>
    <s v="APACQ2"/>
    <n v="110000"/>
  </r>
  <r>
    <s v="TXN-100631"/>
    <d v="2024-05-22T00:00:00"/>
    <x v="62"/>
    <s v="SVC-06"/>
    <n v="369"/>
    <x v="0"/>
    <s v="Debit Card"/>
    <s v="escalated to support"/>
    <x v="0"/>
    <s v="USA"/>
    <s v="A. Kim"/>
    <x v="4"/>
    <s v="Platform"/>
    <n v="0"/>
    <s v="Enterprise"/>
    <s v="High Value"/>
    <s v="Yes"/>
    <s v="Yes"/>
    <x v="0"/>
    <x v="0"/>
    <s v="NAQ2"/>
    <n v="260000"/>
  </r>
  <r>
    <s v="TXN-100259"/>
    <d v="2024-10-08T00:00:00"/>
    <x v="123"/>
    <s v="SVC-03"/>
    <n v="58.66"/>
    <x v="0"/>
    <s v="Debit Card"/>
    <m/>
    <x v="3"/>
    <s v="Australia"/>
    <s v="L. Chen"/>
    <x v="5"/>
    <s v="Billing"/>
    <n v="5.0000000000000001E-3"/>
    <s v="Startup"/>
    <s v="Standard"/>
    <s v="Yes"/>
    <s v="No"/>
    <x v="1"/>
    <x v="2"/>
    <s v="APACQ4"/>
    <n v="126500"/>
  </r>
  <r>
    <s v="TXN-101453"/>
    <d v="2024-04-26T00:00:00"/>
    <x v="37"/>
    <s v="SVC-06"/>
    <n v="246.86"/>
    <x v="0"/>
    <s v="Credit Card"/>
    <s v="VIP account"/>
    <x v="1"/>
    <s v="Canada"/>
    <s v="T. Novak"/>
    <x v="4"/>
    <s v="Platform"/>
    <n v="0"/>
    <s v="SMB"/>
    <s v="Standard"/>
    <s v="Yes"/>
    <s v="No"/>
    <x v="0"/>
    <x v="0"/>
    <s v="NAQ2"/>
    <n v="260000"/>
  </r>
  <r>
    <s v="TXN-100931"/>
    <d v="2024-09-19T00:00:00"/>
    <x v="16"/>
    <s v="SVC-01"/>
    <n v="514.84"/>
    <x v="0"/>
    <s v="ACH"/>
    <s v="VIP account"/>
    <x v="1"/>
    <s v="Germany"/>
    <s v="R. Patel"/>
    <x v="0"/>
    <s v="Payments"/>
    <n v="2.9000000000000001E-2"/>
    <s v="SMB"/>
    <s v="High Value"/>
    <s v="Yes"/>
    <s v="No"/>
    <x v="2"/>
    <x v="1"/>
    <s v="EMEAQ3"/>
    <n v="147000"/>
  </r>
  <r>
    <s v="TXN-100164"/>
    <d v="2024-07-28T00:00:00"/>
    <x v="44"/>
    <s v="SVC-05"/>
    <n v="183.47"/>
    <x v="0"/>
    <s v="Debit Card"/>
    <s v="callback requested"/>
    <x v="0"/>
    <s v="Australia"/>
    <s v="T. Novak"/>
    <x v="3"/>
    <s v="Analytics"/>
    <n v="0"/>
    <s v="Enterprise"/>
    <s v="Standard"/>
    <s v="Yes"/>
    <s v="No"/>
    <x v="1"/>
    <x v="1"/>
    <s v="APACQ3"/>
    <n v="115500"/>
  </r>
  <r>
    <s v="TXN-100561"/>
    <d v="2024-01-06T00:00:00"/>
    <x v="116"/>
    <s v="SVC-03"/>
    <n v="282.02"/>
    <x v="0"/>
    <s v="Credit Card"/>
    <s v="escalated to support"/>
    <x v="1"/>
    <s v="USA"/>
    <s v="J. Reyes"/>
    <x v="5"/>
    <s v="Billing"/>
    <n v="5.0000000000000001E-3"/>
    <s v="SMB"/>
    <s v="High Value"/>
    <s v="Yes"/>
    <s v="No"/>
    <x v="0"/>
    <x v="3"/>
    <s v="NAQ1"/>
    <n v="247000"/>
  </r>
  <r>
    <s v="TXN-100066"/>
    <d v="2024-02-24T00:00:00"/>
    <x v="66"/>
    <s v="SVC-01"/>
    <n v="370.61"/>
    <x v="0"/>
    <s v="Credit Card"/>
    <s v="callback requested"/>
    <x v="3"/>
    <s v="Australia"/>
    <s v="L. Chen"/>
    <x v="0"/>
    <s v="Payments"/>
    <n v="2.9000000000000001E-2"/>
    <s v="Startup"/>
    <s v="Standard"/>
    <s v="Yes"/>
    <s v="No"/>
    <x v="1"/>
    <x v="3"/>
    <s v="APACQ1"/>
    <n v="104500"/>
  </r>
  <r>
    <s v="TXN-101571"/>
    <d v="2024-09-12T00:00:00"/>
    <x v="113"/>
    <s v="SVC-01"/>
    <n v="320.68"/>
    <x v="0"/>
    <s v="ACH"/>
    <m/>
    <x v="3"/>
    <s v="United Kingdom"/>
    <s v="R. Patel"/>
    <x v="0"/>
    <s v="Payments"/>
    <n v="2.9000000000000001E-2"/>
    <s v="Startup"/>
    <s v="Standard"/>
    <s v="Yes"/>
    <s v="No"/>
    <x v="2"/>
    <x v="1"/>
    <s v="EMEAQ3"/>
    <n v="147000"/>
  </r>
  <r>
    <s v="TXN-100010"/>
    <d v="2024-03-30T00:00:00"/>
    <x v="118"/>
    <s v="SVC-04"/>
    <n v="70.989999999999995"/>
    <x v="0"/>
    <s v="Debit Card"/>
    <m/>
    <x v="1"/>
    <s v="USA"/>
    <s v="L. Chen"/>
    <x v="2"/>
    <s v="Risk"/>
    <n v="1E-3"/>
    <s v="SMB"/>
    <s v="Standard"/>
    <s v="Yes"/>
    <s v="No"/>
    <x v="0"/>
    <x v="3"/>
    <s v="NAQ1"/>
    <n v="247000"/>
  </r>
  <r>
    <s v="TXN-101050"/>
    <d v="2024-05-30T00:00:00"/>
    <x v="101"/>
    <s v="SVC-04"/>
    <n v="290.97000000000003"/>
    <x v="0"/>
    <s v="Unknown"/>
    <s v="VIP account"/>
    <x v="1"/>
    <s v="Canada"/>
    <s v="A. Kim"/>
    <x v="2"/>
    <s v="Risk"/>
    <n v="1E-3"/>
    <s v="SMB"/>
    <s v="High Value"/>
    <s v="Yes"/>
    <s v="Yes"/>
    <x v="0"/>
    <x v="0"/>
    <s v="NAQ2"/>
    <n v="260000"/>
  </r>
  <r>
    <s v="TXN-102611"/>
    <d v="2024-01-24T00:00:00"/>
    <x v="142"/>
    <s v="SVC-04"/>
    <n v="569"/>
    <x v="0"/>
    <s v="Credit Card"/>
    <m/>
    <x v="2"/>
    <m/>
    <m/>
    <x v="2"/>
    <s v="Risk"/>
    <n v="1E-3"/>
    <s v="Customer Not Found"/>
    <s v="High Value"/>
    <s v="Yes"/>
    <s v="Yes"/>
    <x v="1"/>
    <x v="3"/>
    <s v="APACQ1"/>
    <n v="104500"/>
  </r>
  <r>
    <s v="TXN-102596"/>
    <d v="2024-10-25T00:00:00"/>
    <x v="1"/>
    <s v="SVC-01"/>
    <n v="214.81"/>
    <x v="0"/>
    <s v="Credit Card"/>
    <s v="callback requested"/>
    <x v="0"/>
    <s v="USA"/>
    <s v="J. Reyes"/>
    <x v="0"/>
    <s v="Payments"/>
    <n v="2.9000000000000001E-2"/>
    <s v="Enterprise"/>
    <s v="Standard"/>
    <s v="No"/>
    <s v="No"/>
    <x v="0"/>
    <x v="2"/>
    <s v="NAQ4"/>
    <n v="299000"/>
  </r>
  <r>
    <s v="TXN-100714"/>
    <d v="2024-02-27T00:00:00"/>
    <x v="17"/>
    <s v="SVC-03"/>
    <n v="511.89"/>
    <x v="3"/>
    <s v="ACH"/>
    <m/>
    <x v="1"/>
    <s v="USA"/>
    <s v="A. Kim"/>
    <x v="5"/>
    <s v="Billing"/>
    <n v="5.0000000000000001E-3"/>
    <s v="N/A"/>
    <s v="High Value"/>
    <s v="Yes"/>
    <s v="Yes"/>
    <x v="0"/>
    <x v="3"/>
    <s v="NAQ1"/>
    <n v="247000"/>
  </r>
  <r>
    <s v="TXN-102121"/>
    <d v="2024-12-10T00:00:00"/>
    <x v="73"/>
    <s v="SVC-06"/>
    <n v="293.35000000000002"/>
    <x v="0"/>
    <s v="ACH"/>
    <s v="VIP account"/>
    <x v="1"/>
    <s v="United Kingdom"/>
    <s v="R. Patel"/>
    <x v="4"/>
    <s v="Platform"/>
    <n v="0"/>
    <s v="SMB"/>
    <s v="High Value"/>
    <s v="Yes"/>
    <s v="No"/>
    <x v="2"/>
    <x v="2"/>
    <s v="EMEAQ4"/>
    <n v="161000"/>
  </r>
  <r>
    <s v="TXN-102293"/>
    <d v="2024-01-29T00:00:00"/>
    <x v="126"/>
    <s v="SVC-04"/>
    <n v="486.57"/>
    <x v="0"/>
    <s v="Debit Card"/>
    <m/>
    <x v="3"/>
    <s v="Canada"/>
    <s v="A. Kim"/>
    <x v="2"/>
    <s v="Risk"/>
    <n v="1E-3"/>
    <s v="Startup"/>
    <s v="High Value"/>
    <s v="Yes"/>
    <s v="No"/>
    <x v="0"/>
    <x v="3"/>
    <s v="NAQ1"/>
    <n v="247000"/>
  </r>
  <r>
    <s v="TXN-102163"/>
    <d v="2024-04-24T00:00:00"/>
    <x v="75"/>
    <s v="SVC-02"/>
    <n v="260.43"/>
    <x v="0"/>
    <s v="ACH"/>
    <m/>
    <x v="0"/>
    <s v="Canada"/>
    <s v="R. Patel"/>
    <x v="6"/>
    <s v="HR &amp; Payroll"/>
    <n v="0"/>
    <s v="Enterprise"/>
    <s v="High Value"/>
    <s v="Yes"/>
    <s v="No"/>
    <x v="0"/>
    <x v="0"/>
    <s v="NAQ2"/>
    <n v="260000"/>
  </r>
  <r>
    <s v="TXN-102401"/>
    <d v="2024-06-10T00:00:00"/>
    <x v="103"/>
    <s v="SVC-06"/>
    <n v="242.74"/>
    <x v="3"/>
    <s v="Debit Card"/>
    <s v="escalated to support"/>
    <x v="1"/>
    <s v="United Kingdom"/>
    <s v="R. Patel"/>
    <x v="4"/>
    <s v="Platform"/>
    <n v="0"/>
    <s v="N/A"/>
    <s v="Standard"/>
    <s v="Yes"/>
    <s v="No"/>
    <x v="2"/>
    <x v="0"/>
    <s v="EMEAQ2"/>
    <n v="140000"/>
  </r>
  <r>
    <s v="TXN-101156"/>
    <d v="2024-07-04T00:00:00"/>
    <x v="72"/>
    <s v="SVC-01"/>
    <n v="705.78"/>
    <x v="0"/>
    <s v="Credit Card"/>
    <s v="callback requested"/>
    <x v="1"/>
    <s v="United Kingdom"/>
    <s v="A. Kim"/>
    <x v="0"/>
    <s v="Payments"/>
    <n v="2.9000000000000001E-2"/>
    <s v="SMB"/>
    <s v="High Value"/>
    <s v="Yes"/>
    <s v="No"/>
    <x v="2"/>
    <x v="1"/>
    <s v="EMEAQ3"/>
    <n v="147000"/>
  </r>
  <r>
    <s v="TXN-100038"/>
    <d v="2024-04-29T00:00:00"/>
    <x v="74"/>
    <s v="SVC-01"/>
    <n v="313.68"/>
    <x v="0"/>
    <s v="Debit Card"/>
    <m/>
    <x v="0"/>
    <s v="USA"/>
    <s v="A. Kim"/>
    <x v="0"/>
    <s v="Payments"/>
    <n v="2.9000000000000001E-2"/>
    <s v="Enterprise"/>
    <s v="Standard"/>
    <s v="Yes"/>
    <s v="No"/>
    <x v="0"/>
    <x v="0"/>
    <s v="NAQ2"/>
    <n v="260000"/>
  </r>
  <r>
    <s v="TXN-102115"/>
    <d v="2024-05-31T00:00:00"/>
    <x v="54"/>
    <s v="SVC-06"/>
    <n v="590.54999999999995"/>
    <x v="0"/>
    <s v="ACH"/>
    <s v="callback requested"/>
    <x v="1"/>
    <s v="USA"/>
    <s v="J. Reyes"/>
    <x v="4"/>
    <s v="Platform"/>
    <n v="0"/>
    <s v="SMB"/>
    <s v="High Value"/>
    <s v="Yes"/>
    <s v="No"/>
    <x v="0"/>
    <x v="0"/>
    <s v="NAQ2"/>
    <n v="260000"/>
  </r>
  <r>
    <s v="TXN-100739"/>
    <d v="2024-08-11T00:00:00"/>
    <x v="59"/>
    <s v="SVC-03"/>
    <n v="222.08"/>
    <x v="0"/>
    <s v="ACH"/>
    <m/>
    <x v="1"/>
    <s v="USA"/>
    <s v="R. Patel"/>
    <x v="5"/>
    <s v="Billing"/>
    <n v="5.0000000000000001E-3"/>
    <s v="SMB"/>
    <s v="Standard"/>
    <s v="Yes"/>
    <s v="No"/>
    <x v="0"/>
    <x v="1"/>
    <s v="NAQ3"/>
    <n v="273000"/>
  </r>
  <r>
    <s v="TXN-102044"/>
    <d v="2024-05-04T00:00:00"/>
    <x v="117"/>
    <s v="SVC-07"/>
    <n v="814.75"/>
    <x v="3"/>
    <s v="Wire Transfer"/>
    <m/>
    <x v="1"/>
    <s v="Canada"/>
    <s v="A. Kim"/>
    <x v="7"/>
    <s v="Support"/>
    <n v="0"/>
    <s v="N/A"/>
    <s v="High Value"/>
    <s v="Yes"/>
    <s v="Yes"/>
    <x v="0"/>
    <x v="0"/>
    <s v="NAQ2"/>
    <n v="260000"/>
  </r>
  <r>
    <s v="TXN-101884"/>
    <d v="2024-05-30T00:00:00"/>
    <x v="101"/>
    <s v="SVC-01"/>
    <n v="370.29"/>
    <x v="1"/>
    <s v="Wire Transfer"/>
    <m/>
    <x v="1"/>
    <s v="Canada"/>
    <s v="A. Kim"/>
    <x v="0"/>
    <s v="Payments"/>
    <n v="2.9000000000000001E-2"/>
    <s v="N/A"/>
    <s v="Standard"/>
    <s v="Yes"/>
    <s v="No"/>
    <x v="0"/>
    <x v="0"/>
    <s v="NAQ2"/>
    <n v="260000"/>
  </r>
  <r>
    <s v="TXN-102152"/>
    <d v="2024-06-05T00:00:00"/>
    <x v="15"/>
    <s v="SVC-02"/>
    <n v="457.99"/>
    <x v="0"/>
    <s v="ACH"/>
    <s v="VIP account"/>
    <x v="0"/>
    <s v="USA"/>
    <s v="L. Chen"/>
    <x v="6"/>
    <s v="HR &amp; Payroll"/>
    <n v="0"/>
    <s v="Enterprise"/>
    <s v="High Value"/>
    <s v="Yes"/>
    <s v="No"/>
    <x v="0"/>
    <x v="0"/>
    <s v="NAQ2"/>
    <n v="260000"/>
  </r>
  <r>
    <s v="TXN-101104"/>
    <d v="2024-05-20T00:00:00"/>
    <x v="104"/>
    <s v="SVC-02"/>
    <n v="295.85000000000002"/>
    <x v="0"/>
    <s v="ACH"/>
    <s v="callback requested"/>
    <x v="1"/>
    <s v="USA"/>
    <s v="M. Santos"/>
    <x v="6"/>
    <s v="HR &amp; Payroll"/>
    <n v="0"/>
    <s v="SMB"/>
    <s v="High Value"/>
    <s v="Yes"/>
    <s v="No"/>
    <x v="0"/>
    <x v="0"/>
    <s v="NAQ2"/>
    <n v="260000"/>
  </r>
  <r>
    <s v="TXN-101212"/>
    <d v="2024-06-30T00:00:00"/>
    <x v="115"/>
    <s v="SVC-05"/>
    <n v="207.94"/>
    <x v="0"/>
    <s v="Credit Card"/>
    <s v="VIP account"/>
    <x v="3"/>
    <s v="USA"/>
    <s v="L. Chen"/>
    <x v="3"/>
    <s v="Analytics"/>
    <n v="0"/>
    <s v="Startup"/>
    <s v="Standard"/>
    <s v="Yes"/>
    <s v="Yes"/>
    <x v="0"/>
    <x v="0"/>
    <s v="NAQ2"/>
    <n v="260000"/>
  </r>
  <r>
    <s v="TXN-101630"/>
    <d v="2024-12-06T00:00:00"/>
    <x v="129"/>
    <s v="SVC-08"/>
    <n v="-198.65"/>
    <x v="2"/>
    <s v="ACH"/>
    <s v="callback requested"/>
    <x v="1"/>
    <s v="Australia"/>
    <s v="A. Kim"/>
    <x v="1"/>
    <s v="Risk"/>
    <n v="2.5000000000000001E-3"/>
    <s v="N/A"/>
    <s v="Refund"/>
    <s v="No"/>
    <s v="Yes"/>
    <x v="1"/>
    <x v="2"/>
    <s v="APACQ4"/>
    <n v="126500"/>
  </r>
  <r>
    <s v="TXN-100659"/>
    <d v="2024-07-21T00:00:00"/>
    <x v="6"/>
    <s v="SVC-05"/>
    <n v="205.88"/>
    <x v="0"/>
    <s v="ACH"/>
    <m/>
    <x v="0"/>
    <s v="United Kingdom"/>
    <s v="R. Patel"/>
    <x v="3"/>
    <s v="Analytics"/>
    <n v="0"/>
    <s v="Enterprise"/>
    <s v="Standard"/>
    <s v="Yes"/>
    <s v="No"/>
    <x v="2"/>
    <x v="1"/>
    <s v="EMEAQ3"/>
    <n v="147000"/>
  </r>
  <r>
    <s v="TXN-101633"/>
    <d v="2024-06-19T00:00:00"/>
    <x v="33"/>
    <s v="SVC-08"/>
    <n v="924.78"/>
    <x v="0"/>
    <s v="Credit Card"/>
    <s v="VIP account"/>
    <x v="3"/>
    <s v="Canada"/>
    <s v="T. Novak"/>
    <x v="1"/>
    <s v="Risk"/>
    <n v="2.5000000000000001E-3"/>
    <s v="Startup"/>
    <s v="High Value"/>
    <s v="Yes"/>
    <s v="Yes"/>
    <x v="0"/>
    <x v="0"/>
    <s v="NAQ2"/>
    <n v="260000"/>
  </r>
  <r>
    <s v="TXN-101962"/>
    <d v="2024-12-07T00:00:00"/>
    <x v="82"/>
    <s v="SVC-07"/>
    <n v="211.92"/>
    <x v="0"/>
    <s v="Credit Card"/>
    <s v="VIP account"/>
    <x v="1"/>
    <s v="USA"/>
    <s v="T. Novak"/>
    <x v="7"/>
    <s v="Support"/>
    <n v="0"/>
    <s v="SMB"/>
    <s v="Standard"/>
    <s v="Yes"/>
    <s v="No"/>
    <x v="0"/>
    <x v="2"/>
    <s v="NAQ4"/>
    <n v="299000"/>
  </r>
  <r>
    <s v="TXN-100797"/>
    <d v="2024-06-14T00:00:00"/>
    <x v="18"/>
    <s v="SVC-07"/>
    <n v="717.91"/>
    <x v="0"/>
    <s v="ACH"/>
    <s v="escalated to support"/>
    <x v="1"/>
    <s v="Philippines"/>
    <s v="R. Patel"/>
    <x v="7"/>
    <s v="Support"/>
    <n v="0"/>
    <s v="SMB"/>
    <s v="High Value"/>
    <s v="Yes"/>
    <s v="No"/>
    <x v="1"/>
    <x v="0"/>
    <s v="APACQ2"/>
    <n v="110000"/>
  </r>
  <r>
    <s v="TXN-101149"/>
    <d v="2024-08-06T00:00:00"/>
    <x v="89"/>
    <s v="SVC-01"/>
    <n v="210.72"/>
    <x v="1"/>
    <s v="Credit Card"/>
    <m/>
    <x v="0"/>
    <s v="USA"/>
    <s v="A. Kim"/>
    <x v="0"/>
    <s v="Payments"/>
    <n v="2.9000000000000001E-2"/>
    <s v="N/A"/>
    <s v="Standard"/>
    <s v="No"/>
    <s v="No"/>
    <x v="0"/>
    <x v="1"/>
    <s v="NAQ3"/>
    <n v="273000"/>
  </r>
  <r>
    <s v="TXN-100084"/>
    <d v="2024-09-14T00:00:00"/>
    <x v="71"/>
    <s v="SVC-06"/>
    <n v="310.74"/>
    <x v="0"/>
    <s v="Debit Card"/>
    <s v="VIP account"/>
    <x v="1"/>
    <s v="United Kingdom"/>
    <s v="R. Patel"/>
    <x v="4"/>
    <s v="Platform"/>
    <n v="0"/>
    <s v="SMB"/>
    <s v="High Value"/>
    <s v="Yes"/>
    <s v="No"/>
    <x v="2"/>
    <x v="1"/>
    <s v="EMEAQ3"/>
    <n v="147000"/>
  </r>
  <r>
    <s v="TXN-100901"/>
    <d v="2024-07-05T00:00:00"/>
    <x v="114"/>
    <s v="SVC-02"/>
    <n v="681.87"/>
    <x v="3"/>
    <s v="ACH"/>
    <s v="escalated to support"/>
    <x v="3"/>
    <s v="Australia"/>
    <s v="A. Kim"/>
    <x v="6"/>
    <s v="HR &amp; Payroll"/>
    <n v="0"/>
    <s v="N/A"/>
    <s v="High Value"/>
    <s v="Yes"/>
    <s v="No"/>
    <x v="1"/>
    <x v="1"/>
    <s v="APACQ3"/>
    <n v="115500"/>
  </r>
  <r>
    <s v="TXN-101466"/>
    <d v="2024-08-16T00:00:00"/>
    <x v="64"/>
    <s v="SVC-01"/>
    <n v="605.67999999999995"/>
    <x v="0"/>
    <s v="Debit Card"/>
    <s v="escalated to support"/>
    <x v="1"/>
    <s v="United Kingdom"/>
    <s v="J. Reyes"/>
    <x v="0"/>
    <s v="Payments"/>
    <n v="2.9000000000000001E-2"/>
    <s v="SMB"/>
    <s v="High Value"/>
    <s v="Yes"/>
    <s v="No"/>
    <x v="2"/>
    <x v="1"/>
    <s v="EMEAQ3"/>
    <n v="147000"/>
  </r>
  <r>
    <s v="TXN-102213"/>
    <d v="2024-01-18T00:00:00"/>
    <x v="70"/>
    <s v="SVC-06"/>
    <n v="397.59"/>
    <x v="0"/>
    <s v="Credit Card"/>
    <s v="VIP account"/>
    <x v="3"/>
    <s v="Singapore"/>
    <s v="A. Kim"/>
    <x v="4"/>
    <s v="Platform"/>
    <n v="0"/>
    <s v="Startup"/>
    <s v="High Value"/>
    <s v="Yes"/>
    <s v="No"/>
    <x v="1"/>
    <x v="3"/>
    <s v="APACQ1"/>
    <n v="104500"/>
  </r>
  <r>
    <s v="TXN-102283"/>
    <d v="2024-04-03T00:00:00"/>
    <x v="34"/>
    <s v="SVC-08"/>
    <n v="72.989999999999995"/>
    <x v="0"/>
    <s v="Credit Card"/>
    <m/>
    <x v="1"/>
    <s v="Germany"/>
    <s v="M. Santos"/>
    <x v="1"/>
    <s v="Risk"/>
    <n v="2.5000000000000001E-3"/>
    <s v="SMB"/>
    <s v="Standard"/>
    <s v="Yes"/>
    <s v="No"/>
    <x v="2"/>
    <x v="0"/>
    <s v="EMEAQ2"/>
    <n v="140000"/>
  </r>
  <r>
    <s v="TXN-101225"/>
    <d v="2024-02-14T00:00:00"/>
    <x v="32"/>
    <s v="SVC-01"/>
    <n v="442.45"/>
    <x v="0"/>
    <s v="Unknown"/>
    <m/>
    <x v="1"/>
    <s v="Philippines"/>
    <s v="T. Novak"/>
    <x v="0"/>
    <s v="Payments"/>
    <n v="2.9000000000000001E-2"/>
    <s v="SMB"/>
    <s v="Standard"/>
    <s v="Yes"/>
    <s v="No"/>
    <x v="1"/>
    <x v="3"/>
    <s v="APACQ1"/>
    <n v="104500"/>
  </r>
  <r>
    <s v="TXN-100284"/>
    <d v="2024-10-19T00:00:00"/>
    <x v="33"/>
    <s v="SVC-01"/>
    <n v="121.51"/>
    <x v="0"/>
    <s v="ACH"/>
    <m/>
    <x v="3"/>
    <s v="Canada"/>
    <s v="T. Novak"/>
    <x v="0"/>
    <s v="Payments"/>
    <n v="2.9000000000000001E-2"/>
    <s v="Startup"/>
    <s v="Standard"/>
    <s v="No"/>
    <s v="No"/>
    <x v="0"/>
    <x v="2"/>
    <s v="NAQ4"/>
    <n v="299000"/>
  </r>
  <r>
    <s v="TXN-102603"/>
    <d v="2024-07-25T00:00:00"/>
    <x v="143"/>
    <s v="SVC-03"/>
    <n v="833.67"/>
    <x v="0"/>
    <s v="Unknown"/>
    <m/>
    <x v="2"/>
    <m/>
    <m/>
    <x v="5"/>
    <s v="Billing"/>
    <n v="5.0000000000000001E-3"/>
    <s v="Customer Not Found"/>
    <s v="High Value"/>
    <s v="Yes"/>
    <s v="Yes"/>
    <x v="1"/>
    <x v="1"/>
    <s v="APACQ3"/>
    <n v="115500"/>
  </r>
  <r>
    <s v="TXN-100913"/>
    <d v="2024-07-11T00:00:00"/>
    <x v="54"/>
    <s v="SVC-05"/>
    <n v="369.74"/>
    <x v="0"/>
    <s v="Wire Transfer"/>
    <m/>
    <x v="1"/>
    <s v="USA"/>
    <s v="J. Reyes"/>
    <x v="3"/>
    <s v="Analytics"/>
    <n v="0"/>
    <s v="SMB"/>
    <s v="High Value"/>
    <s v="Yes"/>
    <s v="No"/>
    <x v="0"/>
    <x v="1"/>
    <s v="NAQ3"/>
    <n v="273000"/>
  </r>
  <r>
    <s v="TXN-100382"/>
    <d v="2024-02-25T00:00:00"/>
    <x v="73"/>
    <s v="SVC-03"/>
    <n v="381.39"/>
    <x v="0"/>
    <s v="Debit Card"/>
    <m/>
    <x v="1"/>
    <s v="United Kingdom"/>
    <s v="R. Patel"/>
    <x v="5"/>
    <s v="Billing"/>
    <n v="5.0000000000000001E-3"/>
    <s v="SMB"/>
    <s v="High Value"/>
    <s v="Yes"/>
    <s v="Yes"/>
    <x v="2"/>
    <x v="3"/>
    <s v="EMEAQ1"/>
    <n v="133000"/>
  </r>
  <r>
    <s v="TXN-101698"/>
    <d v="2024-05-29T00:00:00"/>
    <x v="129"/>
    <s v="SVC-08"/>
    <n v="1053.93"/>
    <x v="0"/>
    <s v="ACH"/>
    <m/>
    <x v="1"/>
    <s v="Australia"/>
    <s v="A. Kim"/>
    <x v="1"/>
    <s v="Risk"/>
    <n v="2.5000000000000001E-3"/>
    <s v="SMB"/>
    <s v="High Value"/>
    <s v="Yes"/>
    <s v="No"/>
    <x v="1"/>
    <x v="0"/>
    <s v="APACQ2"/>
    <n v="110000"/>
  </r>
  <r>
    <s v="TXN-101820"/>
    <d v="2024-06-21T00:00:00"/>
    <x v="55"/>
    <s v="SVC-03"/>
    <n v="789.47"/>
    <x v="0"/>
    <s v="ACH"/>
    <s v="escalated to support"/>
    <x v="3"/>
    <s v="USA"/>
    <s v="J. Reyes"/>
    <x v="5"/>
    <s v="Billing"/>
    <n v="5.0000000000000001E-3"/>
    <s v="Startup"/>
    <s v="High Value"/>
    <s v="Yes"/>
    <s v="No"/>
    <x v="0"/>
    <x v="0"/>
    <s v="NAQ2"/>
    <n v="260000"/>
  </r>
  <r>
    <s v="TXN-100590"/>
    <d v="2024-02-02T00:00:00"/>
    <x v="2"/>
    <s v="SVC-07"/>
    <n v="256.89"/>
    <x v="3"/>
    <s v="Credit Card"/>
    <s v="VIP account"/>
    <x v="0"/>
    <s v="USA"/>
    <s v="A. Kim"/>
    <x v="7"/>
    <s v="Support"/>
    <n v="0"/>
    <s v="N/A"/>
    <s v="High Value"/>
    <s v="Yes"/>
    <s v="No"/>
    <x v="0"/>
    <x v="3"/>
    <s v="NAQ1"/>
    <n v="247000"/>
  </r>
  <r>
    <s v="TXN-101304"/>
    <d v="2024-06-04T00:00:00"/>
    <x v="96"/>
    <s v="SVC-03"/>
    <n v="110.23"/>
    <x v="0"/>
    <s v="Wire Transfer"/>
    <s v="escalated to support"/>
    <x v="1"/>
    <s v="Philippines"/>
    <s v="A. Kim"/>
    <x v="5"/>
    <s v="Billing"/>
    <n v="5.0000000000000001E-3"/>
    <s v="SMB"/>
    <s v="Standard"/>
    <s v="Yes"/>
    <s v="Yes"/>
    <x v="1"/>
    <x v="0"/>
    <s v="APACQ2"/>
    <n v="110000"/>
  </r>
  <r>
    <s v="TXN-101635"/>
    <d v="2024-07-25T00:00:00"/>
    <x v="80"/>
    <s v="SVC-01"/>
    <n v="332.29"/>
    <x v="0"/>
    <s v="Debit Card"/>
    <s v="callback requested"/>
    <x v="1"/>
    <s v="Philippines"/>
    <s v="R. Patel"/>
    <x v="0"/>
    <s v="Payments"/>
    <n v="2.9000000000000001E-2"/>
    <s v="SMB"/>
    <s v="Standard"/>
    <s v="Yes"/>
    <s v="No"/>
    <x v="1"/>
    <x v="1"/>
    <s v="APACQ3"/>
    <n v="115500"/>
  </r>
  <r>
    <s v="TXN-102250"/>
    <d v="2024-02-17T00:00:00"/>
    <x v="82"/>
    <s v="SVC-01"/>
    <n v="468.77"/>
    <x v="0"/>
    <s v="Credit Card"/>
    <m/>
    <x v="1"/>
    <s v="USA"/>
    <s v="T. Novak"/>
    <x v="0"/>
    <s v="Payments"/>
    <n v="2.9000000000000001E-2"/>
    <s v="SMB"/>
    <s v="Standard"/>
    <s v="Yes"/>
    <s v="No"/>
    <x v="0"/>
    <x v="3"/>
    <s v="NAQ1"/>
    <n v="247000"/>
  </r>
  <r>
    <s v="TXN-100178"/>
    <d v="2024-09-26T00:00:00"/>
    <x v="112"/>
    <s v="SVC-01"/>
    <n v="209.01"/>
    <x v="0"/>
    <s v="Debit Card"/>
    <m/>
    <x v="1"/>
    <s v="USA"/>
    <s v="A. Kim"/>
    <x v="0"/>
    <s v="Payments"/>
    <n v="2.9000000000000001E-2"/>
    <s v="SMB"/>
    <s v="Standard"/>
    <s v="No"/>
    <s v="No"/>
    <x v="0"/>
    <x v="1"/>
    <s v="NAQ3"/>
    <n v="273000"/>
  </r>
  <r>
    <s v="TXN-101819"/>
    <d v="2024-09-27T00:00:00"/>
    <x v="116"/>
    <s v="SVC-05"/>
    <n v="870.64"/>
    <x v="0"/>
    <s v="ACH"/>
    <s v="VIP account"/>
    <x v="1"/>
    <s v="USA"/>
    <s v="J. Reyes"/>
    <x v="3"/>
    <s v="Analytics"/>
    <n v="0"/>
    <s v="SMB"/>
    <s v="High Value"/>
    <s v="Yes"/>
    <s v="No"/>
    <x v="0"/>
    <x v="1"/>
    <s v="NAQ3"/>
    <n v="273000"/>
  </r>
  <r>
    <s v="TXN-101521"/>
    <d v="2024-03-20T00:00:00"/>
    <x v="98"/>
    <s v="SVC-01"/>
    <n v="-275.02999999999997"/>
    <x v="2"/>
    <s v="Credit Card"/>
    <m/>
    <x v="1"/>
    <s v="Philippines"/>
    <s v="T. Novak"/>
    <x v="0"/>
    <s v="Payments"/>
    <n v="2.9000000000000001E-2"/>
    <s v="N/A"/>
    <s v="Refund"/>
    <s v="No"/>
    <s v="No"/>
    <x v="1"/>
    <x v="3"/>
    <s v="APACQ1"/>
    <n v="104500"/>
  </r>
  <r>
    <s v="TXN-101120"/>
    <d v="2024-03-21T00:00:00"/>
    <x v="81"/>
    <s v="SVC-01"/>
    <n v="-313.95999999999998"/>
    <x v="2"/>
    <s v="Credit Card"/>
    <s v="VIP account"/>
    <x v="3"/>
    <s v="Germany"/>
    <s v="R. Patel"/>
    <x v="0"/>
    <s v="Payments"/>
    <n v="2.9000000000000001E-2"/>
    <s v="N/A"/>
    <s v="Refund"/>
    <s v="No"/>
    <s v="No"/>
    <x v="2"/>
    <x v="3"/>
    <s v="EMEAQ1"/>
    <n v="133000"/>
  </r>
  <r>
    <s v="TXN-102189"/>
    <d v="2024-03-22T00:00:00"/>
    <x v="58"/>
    <s v="SVC-03"/>
    <n v="543.08000000000004"/>
    <x v="0"/>
    <s v="Credit Card"/>
    <m/>
    <x v="1"/>
    <s v="Canada"/>
    <s v="M. Santos"/>
    <x v="5"/>
    <s v="Billing"/>
    <n v="5.0000000000000001E-3"/>
    <s v="SMB"/>
    <s v="High Value"/>
    <s v="Yes"/>
    <s v="No"/>
    <x v="0"/>
    <x v="3"/>
    <s v="NAQ1"/>
    <n v="247000"/>
  </r>
  <r>
    <s v="TXN-100957"/>
    <d v="2024-10-28T00:00:00"/>
    <x v="66"/>
    <s v="SVC-06"/>
    <n v="542.62"/>
    <x v="0"/>
    <s v="Wire Transfer"/>
    <m/>
    <x v="3"/>
    <s v="Australia"/>
    <s v="L. Chen"/>
    <x v="4"/>
    <s v="Platform"/>
    <n v="0"/>
    <s v="Startup"/>
    <s v="High Value"/>
    <s v="Yes"/>
    <s v="No"/>
    <x v="1"/>
    <x v="2"/>
    <s v="APACQ4"/>
    <n v="126500"/>
  </r>
  <r>
    <s v="TXN-100986"/>
    <d v="2024-07-30T00:00:00"/>
    <x v="114"/>
    <s v="SVC-03"/>
    <n v="456.63"/>
    <x v="0"/>
    <s v="ACH"/>
    <s v="escalated to support"/>
    <x v="3"/>
    <s v="Australia"/>
    <s v="A. Kim"/>
    <x v="5"/>
    <s v="Billing"/>
    <n v="5.0000000000000001E-3"/>
    <s v="Startup"/>
    <s v="High Value"/>
    <s v="Yes"/>
    <s v="No"/>
    <x v="1"/>
    <x v="1"/>
    <s v="APACQ3"/>
    <n v="115500"/>
  </r>
  <r>
    <s v="TXN-101883"/>
    <d v="2024-01-26T00:00:00"/>
    <x v="53"/>
    <s v="SVC-03"/>
    <n v="370.73"/>
    <x v="0"/>
    <s v="Credit Card"/>
    <m/>
    <x v="0"/>
    <s v="Singapore"/>
    <s v="L. Chen"/>
    <x v="5"/>
    <s v="Billing"/>
    <n v="5.0000000000000001E-3"/>
    <s v="Enterprise"/>
    <s v="High Value"/>
    <s v="Yes"/>
    <s v="No"/>
    <x v="1"/>
    <x v="3"/>
    <s v="APACQ1"/>
    <n v="104500"/>
  </r>
  <r>
    <s v="TXN-101722"/>
    <d v="2024-07-06T00:00:00"/>
    <x v="45"/>
    <s v="SVC-01"/>
    <n v="231.09"/>
    <x v="0"/>
    <s v="Credit Card"/>
    <m/>
    <x v="0"/>
    <s v="United Kingdom"/>
    <s v="R. Patel"/>
    <x v="0"/>
    <s v="Payments"/>
    <n v="2.9000000000000001E-2"/>
    <s v="Enterprise"/>
    <s v="Standard"/>
    <s v="No"/>
    <s v="No"/>
    <x v="2"/>
    <x v="1"/>
    <s v="EMEAQ3"/>
    <n v="147000"/>
  </r>
  <r>
    <s v="TXN-101359"/>
    <d v="2024-02-15T00:00:00"/>
    <x v="63"/>
    <s v="SVC-03"/>
    <n v="-345.6"/>
    <x v="2"/>
    <s v="Credit Card"/>
    <m/>
    <x v="1"/>
    <s v="Philippines"/>
    <s v="T. Novak"/>
    <x v="5"/>
    <s v="Billing"/>
    <n v="5.0000000000000001E-3"/>
    <s v="N/A"/>
    <s v="Refund"/>
    <s v="No"/>
    <s v="No"/>
    <x v="1"/>
    <x v="3"/>
    <s v="APACQ1"/>
    <n v="104500"/>
  </r>
  <r>
    <s v="TXN-102313"/>
    <d v="2024-08-23T00:00:00"/>
    <x v="28"/>
    <s v="SVC-01"/>
    <n v="306.02"/>
    <x v="0"/>
    <s v="Credit Card"/>
    <m/>
    <x v="1"/>
    <s v="United Kingdom"/>
    <s v="L. Chen"/>
    <x v="0"/>
    <s v="Payments"/>
    <n v="2.9000000000000001E-2"/>
    <s v="SMB"/>
    <s v="Standard"/>
    <s v="Yes"/>
    <s v="No"/>
    <x v="2"/>
    <x v="1"/>
    <s v="EMEAQ3"/>
    <n v="147000"/>
  </r>
  <r>
    <s v="TXN-100199"/>
    <d v="2024-12-20T00:00:00"/>
    <x v="72"/>
    <s v="SVC-08"/>
    <n v="258.89999999999998"/>
    <x v="0"/>
    <s v="Unknown"/>
    <s v="escalated to support"/>
    <x v="1"/>
    <s v="United Kingdom"/>
    <s v="A. Kim"/>
    <x v="1"/>
    <s v="Risk"/>
    <n v="2.5000000000000001E-3"/>
    <s v="SMB"/>
    <s v="High Value"/>
    <s v="Yes"/>
    <s v="Yes"/>
    <x v="2"/>
    <x v="2"/>
    <s v="EMEAQ4"/>
    <n v="161000"/>
  </r>
  <r>
    <s v="TXN-100274"/>
    <d v="2024-08-11T00:00:00"/>
    <x v="49"/>
    <s v="SVC-05"/>
    <n v="334.33"/>
    <x v="3"/>
    <s v="Credit Card"/>
    <m/>
    <x v="1"/>
    <s v="USA"/>
    <s v="A. Kim"/>
    <x v="3"/>
    <s v="Analytics"/>
    <n v="0"/>
    <s v="N/A"/>
    <s v="High Value"/>
    <s v="Yes"/>
    <s v="Yes"/>
    <x v="0"/>
    <x v="1"/>
    <s v="NAQ3"/>
    <n v="273000"/>
  </r>
  <r>
    <s v="TXN-101546"/>
    <d v="2024-01-27T00:00:00"/>
    <x v="83"/>
    <s v="SVC-01"/>
    <n v="-345.01"/>
    <x v="2"/>
    <s v="Credit Card"/>
    <m/>
    <x v="1"/>
    <s v="Canada"/>
    <s v="L. Chen"/>
    <x v="0"/>
    <s v="Payments"/>
    <n v="2.9000000000000001E-2"/>
    <s v="N/A"/>
    <s v="Refund"/>
    <s v="No"/>
    <s v="No"/>
    <x v="0"/>
    <x v="3"/>
    <s v="NAQ1"/>
    <n v="247000"/>
  </r>
  <r>
    <s v="TXN-100061"/>
    <d v="2024-02-26T00:00:00"/>
    <x v="38"/>
    <s v="SVC-02"/>
    <n v="122.35"/>
    <x v="0"/>
    <s v="Credit Card"/>
    <s v="escalated to support"/>
    <x v="0"/>
    <s v="Australia"/>
    <s v="A. Kim"/>
    <x v="6"/>
    <s v="HR &amp; Payroll"/>
    <n v="0"/>
    <s v="Enterprise"/>
    <s v="Standard"/>
    <s v="Yes"/>
    <s v="No"/>
    <x v="1"/>
    <x v="3"/>
    <s v="APACQ1"/>
    <n v="104500"/>
  </r>
  <r>
    <s v="TXN-102590"/>
    <d v="2024-09-05T00:00:00"/>
    <x v="49"/>
    <s v="SVC-04"/>
    <n v="603.85"/>
    <x v="0"/>
    <s v="Debit Card"/>
    <m/>
    <x v="1"/>
    <s v="USA"/>
    <s v="A. Kim"/>
    <x v="2"/>
    <s v="Risk"/>
    <n v="1E-3"/>
    <s v="SMB"/>
    <s v="High Value"/>
    <s v="Yes"/>
    <s v="No"/>
    <x v="0"/>
    <x v="1"/>
    <s v="NAQ3"/>
    <n v="273000"/>
  </r>
  <r>
    <s v="TXN-100628"/>
    <d v="2024-05-28T00:00:00"/>
    <x v="45"/>
    <s v="SVC-03"/>
    <n v="-371.33"/>
    <x v="2"/>
    <s v="Unknown"/>
    <s v="escalated to support"/>
    <x v="0"/>
    <s v="United Kingdom"/>
    <s v="R. Patel"/>
    <x v="5"/>
    <s v="Billing"/>
    <n v="5.0000000000000001E-3"/>
    <s v="N/A"/>
    <s v="Refund"/>
    <s v="No"/>
    <s v="No"/>
    <x v="2"/>
    <x v="0"/>
    <s v="EMEAQ2"/>
    <n v="140000"/>
  </r>
  <r>
    <s v="TXN-101472"/>
    <d v="2024-06-09T00:00:00"/>
    <x v="44"/>
    <s v="SVC-03"/>
    <n v="505.22"/>
    <x v="0"/>
    <s v="Debit Card"/>
    <s v="escalated to support"/>
    <x v="0"/>
    <s v="Australia"/>
    <s v="T. Novak"/>
    <x v="5"/>
    <s v="Billing"/>
    <n v="5.0000000000000001E-3"/>
    <s v="Enterprise"/>
    <s v="High Value"/>
    <s v="Yes"/>
    <s v="No"/>
    <x v="1"/>
    <x v="0"/>
    <s v="APACQ2"/>
    <n v="110000"/>
  </r>
  <r>
    <s v="TXN-101221"/>
    <d v="2024-12-10T00:00:00"/>
    <x v="91"/>
    <s v="SVC-02"/>
    <n v="286.97000000000003"/>
    <x v="3"/>
    <s v="Wire Transfer"/>
    <s v="VIP account"/>
    <x v="1"/>
    <s v="Singapore"/>
    <s v="A. Kim"/>
    <x v="6"/>
    <s v="HR &amp; Payroll"/>
    <n v="0"/>
    <s v="N/A"/>
    <s v="High Value"/>
    <s v="Yes"/>
    <s v="No"/>
    <x v="1"/>
    <x v="2"/>
    <s v="APACQ4"/>
    <n v="126500"/>
  </r>
  <r>
    <s v="TXN-100201"/>
    <d v="2024-08-08T00:00:00"/>
    <x v="120"/>
    <s v="SVC-08"/>
    <n v="270.51"/>
    <x v="0"/>
    <s v="ACH"/>
    <s v="escalated to support"/>
    <x v="3"/>
    <s v="Australia"/>
    <s v="M. Santos"/>
    <x v="1"/>
    <s v="Risk"/>
    <n v="2.5000000000000001E-3"/>
    <s v="Startup"/>
    <s v="High Value"/>
    <s v="Yes"/>
    <s v="Yes"/>
    <x v="1"/>
    <x v="1"/>
    <s v="APACQ3"/>
    <n v="115500"/>
  </r>
  <r>
    <s v="TXN-101761"/>
    <d v="2024-09-16T00:00:00"/>
    <x v="123"/>
    <s v="SVC-04"/>
    <n v="633.86"/>
    <x v="0"/>
    <s v="Debit Card"/>
    <s v="escalated to support"/>
    <x v="3"/>
    <s v="Australia"/>
    <s v="L. Chen"/>
    <x v="2"/>
    <s v="Risk"/>
    <n v="1E-3"/>
    <s v="Startup"/>
    <s v="High Value"/>
    <s v="Yes"/>
    <s v="No"/>
    <x v="1"/>
    <x v="1"/>
    <s v="APACQ3"/>
    <n v="115500"/>
  </r>
  <r>
    <s v="TXN-101717"/>
    <d v="2024-08-17T00:00:00"/>
    <x v="86"/>
    <s v="SVC-06"/>
    <n v="429.29"/>
    <x v="3"/>
    <s v="ACH"/>
    <s v="escalated to support"/>
    <x v="1"/>
    <s v="Canada"/>
    <s v="L. Chen"/>
    <x v="4"/>
    <s v="Platform"/>
    <n v="0"/>
    <s v="N/A"/>
    <s v="High Value"/>
    <s v="Yes"/>
    <s v="No"/>
    <x v="0"/>
    <x v="1"/>
    <s v="NAQ3"/>
    <n v="273000"/>
  </r>
  <r>
    <s v="TXN-100003"/>
    <d v="2024-08-14T00:00:00"/>
    <x v="53"/>
    <s v="SVC-03"/>
    <n v="331.19"/>
    <x v="0"/>
    <s v="Credit Card"/>
    <s v="VIP account"/>
    <x v="0"/>
    <s v="Singapore"/>
    <s v="L. Chen"/>
    <x v="5"/>
    <s v="Billing"/>
    <n v="5.0000000000000001E-3"/>
    <s v="Enterprise"/>
    <s v="High Value"/>
    <s v="Yes"/>
    <s v="No"/>
    <x v="1"/>
    <x v="1"/>
    <s v="APACQ3"/>
    <n v="115500"/>
  </r>
  <r>
    <s v="TXN-100765"/>
    <d v="2024-08-22T00:00:00"/>
    <x v="40"/>
    <s v="SVC-03"/>
    <n v="551.77"/>
    <x v="0"/>
    <s v="Debit Card"/>
    <m/>
    <x v="1"/>
    <s v="Philippines"/>
    <s v="M. Santos"/>
    <x v="5"/>
    <s v="Billing"/>
    <n v="5.0000000000000001E-3"/>
    <s v="SMB"/>
    <s v="High Value"/>
    <s v="Yes"/>
    <s v="Yes"/>
    <x v="1"/>
    <x v="1"/>
    <s v="APACQ3"/>
    <n v="115500"/>
  </r>
  <r>
    <s v="TXN-101140"/>
    <d v="2024-12-13T00:00:00"/>
    <x v="23"/>
    <s v="SVC-08"/>
    <n v="233.37"/>
    <x v="0"/>
    <s v="Credit Card"/>
    <s v="callback requested"/>
    <x v="0"/>
    <s v="USA"/>
    <s v="L. Chen"/>
    <x v="1"/>
    <s v="Risk"/>
    <n v="2.5000000000000001E-3"/>
    <s v="Enterprise"/>
    <s v="Standard"/>
    <s v="Yes"/>
    <s v="No"/>
    <x v="0"/>
    <x v="2"/>
    <s v="NAQ4"/>
    <n v="299000"/>
  </r>
  <r>
    <s v="TXN-100086"/>
    <d v="2024-09-19T00:00:00"/>
    <x v="50"/>
    <s v="SVC-01"/>
    <n v="146.33000000000001"/>
    <x v="0"/>
    <s v="Debit Card"/>
    <m/>
    <x v="1"/>
    <s v="USA"/>
    <s v="M. Santos"/>
    <x v="0"/>
    <s v="Payments"/>
    <n v="2.9000000000000001E-2"/>
    <s v="SMB"/>
    <s v="Standard"/>
    <s v="No"/>
    <s v="No"/>
    <x v="0"/>
    <x v="1"/>
    <s v="NAQ3"/>
    <n v="273000"/>
  </r>
  <r>
    <s v="TXN-101254"/>
    <d v="2024-07-01T00:00:00"/>
    <x v="107"/>
    <s v="SVC-04"/>
    <n v="105.03"/>
    <x v="0"/>
    <s v="Credit Card"/>
    <m/>
    <x v="1"/>
    <s v="USA"/>
    <s v="M. Santos"/>
    <x v="2"/>
    <s v="Risk"/>
    <n v="1E-3"/>
    <s v="SMB"/>
    <s v="Standard"/>
    <s v="Yes"/>
    <s v="No"/>
    <x v="0"/>
    <x v="1"/>
    <s v="NAQ3"/>
    <n v="273000"/>
  </r>
  <r>
    <s v="TXN-101525"/>
    <d v="2024-10-12T00:00:00"/>
    <x v="108"/>
    <s v="SVC-01"/>
    <n v="487.92"/>
    <x v="0"/>
    <s v="ACH"/>
    <s v="escalated to support"/>
    <x v="1"/>
    <s v="Germany"/>
    <s v="M. Santos"/>
    <x v="0"/>
    <s v="Payments"/>
    <n v="2.9000000000000001E-2"/>
    <s v="SMB"/>
    <s v="Standard"/>
    <s v="Yes"/>
    <s v="No"/>
    <x v="2"/>
    <x v="2"/>
    <s v="EMEAQ4"/>
    <n v="161000"/>
  </r>
  <r>
    <s v="TXN-102020"/>
    <d v="2024-03-21T00:00:00"/>
    <x v="29"/>
    <s v="SVC-01"/>
    <n v="-496.49"/>
    <x v="2"/>
    <s v="Credit Card"/>
    <m/>
    <x v="1"/>
    <s v="Germany"/>
    <s v="L. Chen"/>
    <x v="0"/>
    <s v="Payments"/>
    <n v="2.9000000000000001E-2"/>
    <s v="N/A"/>
    <s v="Refund"/>
    <s v="No"/>
    <s v="No"/>
    <x v="2"/>
    <x v="3"/>
    <s v="EMEAQ1"/>
    <n v="133000"/>
  </r>
  <r>
    <s v="TXN-102131"/>
    <d v="2024-10-16T00:00:00"/>
    <x v="2"/>
    <s v="SVC-05"/>
    <n v="248.83"/>
    <x v="0"/>
    <s v="Credit Card"/>
    <s v="VIP account"/>
    <x v="0"/>
    <s v="USA"/>
    <s v="A. Kim"/>
    <x v="3"/>
    <s v="Analytics"/>
    <n v="0"/>
    <s v="Enterprise"/>
    <s v="Standard"/>
    <s v="Yes"/>
    <s v="No"/>
    <x v="0"/>
    <x v="2"/>
    <s v="NAQ4"/>
    <n v="299000"/>
  </r>
  <r>
    <s v="TXN-101360"/>
    <d v="2024-08-09T00:00:00"/>
    <x v="104"/>
    <s v="SVC-07"/>
    <n v="356.19"/>
    <x v="0"/>
    <s v="Debit Card"/>
    <m/>
    <x v="1"/>
    <s v="USA"/>
    <s v="M. Santos"/>
    <x v="7"/>
    <s v="Support"/>
    <n v="0"/>
    <s v="SMB"/>
    <s v="High Value"/>
    <s v="Yes"/>
    <s v="No"/>
    <x v="0"/>
    <x v="1"/>
    <s v="NAQ3"/>
    <n v="273000"/>
  </r>
  <r>
    <s v="TXN-101307"/>
    <d v="2024-08-06T00:00:00"/>
    <x v="74"/>
    <s v="SVC-01"/>
    <n v="403.34"/>
    <x v="3"/>
    <s v="Credit Card"/>
    <m/>
    <x v="0"/>
    <s v="USA"/>
    <s v="A. Kim"/>
    <x v="0"/>
    <s v="Payments"/>
    <n v="2.9000000000000001E-2"/>
    <s v="N/A"/>
    <s v="Standard"/>
    <s v="Yes"/>
    <s v="No"/>
    <x v="0"/>
    <x v="1"/>
    <s v="NAQ3"/>
    <n v="273000"/>
  </r>
  <r>
    <s v="TXN-100057"/>
    <d v="2024-05-19T00:00:00"/>
    <x v="118"/>
    <s v="SVC-01"/>
    <n v="231.99"/>
    <x v="0"/>
    <s v="Credit Card"/>
    <m/>
    <x v="1"/>
    <s v="USA"/>
    <s v="L. Chen"/>
    <x v="0"/>
    <s v="Payments"/>
    <n v="2.9000000000000001E-2"/>
    <s v="SMB"/>
    <s v="Standard"/>
    <s v="No"/>
    <s v="No"/>
    <x v="0"/>
    <x v="0"/>
    <s v="NAQ2"/>
    <n v="260000"/>
  </r>
  <r>
    <s v="TXN-101649"/>
    <d v="2024-03-13T00:00:00"/>
    <x v="13"/>
    <s v="SVC-07"/>
    <n v="265.95999999999998"/>
    <x v="0"/>
    <s v="Debit Card"/>
    <s v="callback requested"/>
    <x v="0"/>
    <s v="Canada"/>
    <s v="J. Reyes"/>
    <x v="7"/>
    <s v="Support"/>
    <n v="0"/>
    <s v="Enterprise"/>
    <s v="High Value"/>
    <s v="Yes"/>
    <s v="No"/>
    <x v="0"/>
    <x v="3"/>
    <s v="NAQ1"/>
    <n v="247000"/>
  </r>
  <r>
    <s v="TXN-100982"/>
    <d v="2024-06-20T00:00:00"/>
    <x v="42"/>
    <s v="SVC-03"/>
    <n v="346.96"/>
    <x v="0"/>
    <s v="ACH"/>
    <s v="escalated to support"/>
    <x v="1"/>
    <s v="Australia"/>
    <s v="M. Santos"/>
    <x v="5"/>
    <s v="Billing"/>
    <n v="5.0000000000000001E-3"/>
    <s v="SMB"/>
    <s v="High Value"/>
    <s v="Yes"/>
    <s v="No"/>
    <x v="1"/>
    <x v="0"/>
    <s v="APACQ2"/>
    <n v="110000"/>
  </r>
  <r>
    <s v="TXN-101027"/>
    <d v="2024-03-31T00:00:00"/>
    <x v="36"/>
    <s v="SVC-03"/>
    <n v="436.41"/>
    <x v="0"/>
    <s v="Credit Card"/>
    <m/>
    <x v="1"/>
    <s v="USA"/>
    <s v="M. Santos"/>
    <x v="5"/>
    <s v="Billing"/>
    <n v="5.0000000000000001E-3"/>
    <s v="SMB"/>
    <s v="High Value"/>
    <s v="Yes"/>
    <s v="No"/>
    <x v="0"/>
    <x v="3"/>
    <s v="NAQ1"/>
    <n v="247000"/>
  </r>
  <r>
    <s v="TXN-101822"/>
    <d v="2024-01-05T00:00:00"/>
    <x v="43"/>
    <s v="SVC-08"/>
    <n v="203.34"/>
    <x v="0"/>
    <s v="ACH"/>
    <s v="VIP account"/>
    <x v="1"/>
    <s v="USA"/>
    <s v="M. Santos"/>
    <x v="1"/>
    <s v="Risk"/>
    <n v="2.5000000000000001E-3"/>
    <s v="SMB"/>
    <s v="Standard"/>
    <s v="Yes"/>
    <s v="No"/>
    <x v="0"/>
    <x v="3"/>
    <s v="NAQ1"/>
    <n v="247000"/>
  </r>
  <r>
    <s v="TXN-100909"/>
    <d v="2024-03-24T00:00:00"/>
    <x v="67"/>
    <s v="SVC-03"/>
    <n v="998.26"/>
    <x v="0"/>
    <s v="Credit Card"/>
    <m/>
    <x v="3"/>
    <s v="Australia"/>
    <s v="Unassigned"/>
    <x v="5"/>
    <s v="Billing"/>
    <n v="5.0000000000000001E-3"/>
    <s v="Startup"/>
    <s v="High Value"/>
    <s v="Yes"/>
    <s v="No"/>
    <x v="1"/>
    <x v="3"/>
    <s v="APACQ1"/>
    <n v="104500"/>
  </r>
  <r>
    <s v="TXN-100399"/>
    <d v="2024-11-10T00:00:00"/>
    <x v="33"/>
    <s v="SVC-01"/>
    <n v="784.87"/>
    <x v="0"/>
    <s v="Credit Card"/>
    <m/>
    <x v="3"/>
    <s v="Canada"/>
    <s v="T. Novak"/>
    <x v="0"/>
    <s v="Payments"/>
    <n v="2.9000000000000001E-2"/>
    <s v="Startup"/>
    <s v="High Value"/>
    <s v="Yes"/>
    <s v="No"/>
    <x v="0"/>
    <x v="2"/>
    <s v="NAQ4"/>
    <n v="299000"/>
  </r>
  <r>
    <s v="TXN-100598"/>
    <d v="2024-04-09T00:00:00"/>
    <x v="125"/>
    <s v="SVC-01"/>
    <n v="973.34"/>
    <x v="0"/>
    <s v="Debit Card"/>
    <s v="callback requested"/>
    <x v="1"/>
    <s v="USA"/>
    <s v="A. Kim"/>
    <x v="0"/>
    <s v="Payments"/>
    <n v="2.9000000000000001E-2"/>
    <s v="SMB"/>
    <s v="High Value"/>
    <s v="Yes"/>
    <s v="Yes"/>
    <x v="0"/>
    <x v="0"/>
    <s v="NAQ2"/>
    <n v="260000"/>
  </r>
  <r>
    <s v="TXN-102184"/>
    <d v="2024-12-09T00:00:00"/>
    <x v="80"/>
    <s v="SVC-04"/>
    <n v="219.03"/>
    <x v="0"/>
    <s v="Credit Card"/>
    <m/>
    <x v="1"/>
    <s v="Philippines"/>
    <s v="R. Patel"/>
    <x v="2"/>
    <s v="Risk"/>
    <n v="1E-3"/>
    <s v="SMB"/>
    <s v="Standard"/>
    <s v="Yes"/>
    <s v="Yes"/>
    <x v="1"/>
    <x v="2"/>
    <s v="APACQ4"/>
    <n v="126500"/>
  </r>
  <r>
    <s v="TXN-101904"/>
    <d v="2024-02-04T00:00:00"/>
    <x v="20"/>
    <s v="SVC-06"/>
    <n v="866.48"/>
    <x v="0"/>
    <s v="ACH"/>
    <m/>
    <x v="1"/>
    <s v="USA"/>
    <s v="R. Patel"/>
    <x v="4"/>
    <s v="Platform"/>
    <n v="0"/>
    <s v="SMB"/>
    <s v="High Value"/>
    <s v="Yes"/>
    <s v="Yes"/>
    <x v="0"/>
    <x v="3"/>
    <s v="NAQ1"/>
    <n v="247000"/>
  </r>
  <r>
    <s v="TXN-100932"/>
    <d v="2024-05-07T00:00:00"/>
    <x v="52"/>
    <s v="SVC-05"/>
    <n v="796.78"/>
    <x v="0"/>
    <s v="Credit Card"/>
    <s v="callback requested"/>
    <x v="1"/>
    <s v="USA"/>
    <s v="M. Santos"/>
    <x v="3"/>
    <s v="Analytics"/>
    <n v="0"/>
    <s v="SMB"/>
    <s v="High Value"/>
    <s v="Yes"/>
    <s v="No"/>
    <x v="0"/>
    <x v="0"/>
    <s v="NAQ2"/>
    <n v="260000"/>
  </r>
  <r>
    <s v="TXN-102528"/>
    <d v="2024-07-31T00:00:00"/>
    <x v="129"/>
    <s v="SVC-02"/>
    <n v="169.62"/>
    <x v="0"/>
    <s v="ACH"/>
    <m/>
    <x v="1"/>
    <s v="Australia"/>
    <s v="A. Kim"/>
    <x v="6"/>
    <s v="HR &amp; Payroll"/>
    <n v="0"/>
    <s v="SMB"/>
    <s v="Standard"/>
    <s v="Yes"/>
    <s v="No"/>
    <x v="1"/>
    <x v="1"/>
    <s v="APACQ3"/>
    <n v="115500"/>
  </r>
  <r>
    <s v="TXN-102039"/>
    <d v="2024-09-09T00:00:00"/>
    <x v="105"/>
    <s v="SVC-05"/>
    <n v="373.11"/>
    <x v="0"/>
    <s v="Credit Card"/>
    <s v="escalated to support"/>
    <x v="3"/>
    <s v="Philippines"/>
    <s v="T. Novak"/>
    <x v="3"/>
    <s v="Analytics"/>
    <n v="0"/>
    <s v="Startup"/>
    <s v="High Value"/>
    <s v="Yes"/>
    <s v="No"/>
    <x v="1"/>
    <x v="1"/>
    <s v="APACQ3"/>
    <n v="115500"/>
  </r>
  <r>
    <s v="TXN-102447"/>
    <d v="2024-02-07T00:00:00"/>
    <x v="44"/>
    <s v="SVC-01"/>
    <n v="826.15"/>
    <x v="0"/>
    <s v="Credit Card"/>
    <s v="callback requested"/>
    <x v="0"/>
    <s v="Australia"/>
    <s v="T. Novak"/>
    <x v="0"/>
    <s v="Payments"/>
    <n v="2.9000000000000001E-2"/>
    <s v="Enterprise"/>
    <s v="High Value"/>
    <s v="Yes"/>
    <s v="No"/>
    <x v="1"/>
    <x v="3"/>
    <s v="APACQ1"/>
    <n v="104500"/>
  </r>
  <r>
    <s v="TXN-100910"/>
    <d v="2024-01-05T00:00:00"/>
    <x v="29"/>
    <s v="SVC-05"/>
    <n v="317.68"/>
    <x v="0"/>
    <s v="ACH"/>
    <m/>
    <x v="1"/>
    <s v="Germany"/>
    <s v="L. Chen"/>
    <x v="3"/>
    <s v="Analytics"/>
    <n v="0"/>
    <s v="SMB"/>
    <s v="High Value"/>
    <s v="Yes"/>
    <s v="Yes"/>
    <x v="2"/>
    <x v="3"/>
    <s v="EMEAQ1"/>
    <n v="133000"/>
  </r>
  <r>
    <s v="TXN-101580"/>
    <d v="2024-01-19T00:00:00"/>
    <x v="79"/>
    <s v="SVC-06"/>
    <n v="998.9"/>
    <x v="0"/>
    <s v="Wire Transfer"/>
    <s v="VIP account"/>
    <x v="3"/>
    <s v="USA"/>
    <s v="T. Novak"/>
    <x v="4"/>
    <s v="Platform"/>
    <n v="0"/>
    <s v="Startup"/>
    <s v="High Value"/>
    <s v="Yes"/>
    <s v="Yes"/>
    <x v="0"/>
    <x v="3"/>
    <s v="NAQ1"/>
    <n v="247000"/>
  </r>
  <r>
    <s v="TXN-102252"/>
    <d v="2024-02-12T00:00:00"/>
    <x v="76"/>
    <s v="SVC-02"/>
    <n v="-245.2"/>
    <x v="2"/>
    <s v="Credit Card"/>
    <s v="callback requested"/>
    <x v="3"/>
    <s v="United Kingdom"/>
    <s v="R. Patel"/>
    <x v="6"/>
    <s v="HR &amp; Payroll"/>
    <n v="0"/>
    <s v="N/A"/>
    <s v="Refund"/>
    <s v="No"/>
    <s v="Yes"/>
    <x v="2"/>
    <x v="3"/>
    <s v="EMEAQ1"/>
    <n v="133000"/>
  </r>
  <r>
    <s v="TXN-100915"/>
    <d v="2024-10-20T00:00:00"/>
    <x v="63"/>
    <s v="SVC-01"/>
    <n v="-222.8"/>
    <x v="2"/>
    <s v="Wire Transfer"/>
    <m/>
    <x v="1"/>
    <s v="Philippines"/>
    <s v="T. Novak"/>
    <x v="0"/>
    <s v="Payments"/>
    <n v="2.9000000000000001E-2"/>
    <s v="N/A"/>
    <s v="Refund"/>
    <s v="No"/>
    <s v="No"/>
    <x v="1"/>
    <x v="2"/>
    <s v="APACQ4"/>
    <n v="126500"/>
  </r>
  <r>
    <s v="TXN-102089"/>
    <d v="2024-04-22T00:00:00"/>
    <x v="1"/>
    <s v="SVC-01"/>
    <n v="184.45"/>
    <x v="0"/>
    <s v="Credit Card"/>
    <s v="escalated to support"/>
    <x v="0"/>
    <s v="USA"/>
    <s v="J. Reyes"/>
    <x v="0"/>
    <s v="Payments"/>
    <n v="2.9000000000000001E-2"/>
    <s v="Enterprise"/>
    <s v="Standard"/>
    <s v="No"/>
    <s v="No"/>
    <x v="0"/>
    <x v="0"/>
    <s v="NAQ2"/>
    <n v="260000"/>
  </r>
  <r>
    <s v="TXN-100349"/>
    <d v="2024-03-06T00:00:00"/>
    <x v="54"/>
    <s v="SVC-05"/>
    <n v="193.14"/>
    <x v="0"/>
    <s v="Credit Card"/>
    <m/>
    <x v="1"/>
    <s v="USA"/>
    <s v="J. Reyes"/>
    <x v="3"/>
    <s v="Analytics"/>
    <n v="0"/>
    <s v="SMB"/>
    <s v="Standard"/>
    <s v="Yes"/>
    <s v="No"/>
    <x v="0"/>
    <x v="3"/>
    <s v="NAQ1"/>
    <n v="247000"/>
  </r>
  <r>
    <s v="TXN-100718"/>
    <d v="2024-05-17T00:00:00"/>
    <x v="95"/>
    <s v="SVC-03"/>
    <n v="122.55"/>
    <x v="0"/>
    <s v="Unknown"/>
    <s v="escalated to support"/>
    <x v="1"/>
    <s v="USA"/>
    <s v="R. Patel"/>
    <x v="5"/>
    <s v="Billing"/>
    <n v="5.0000000000000001E-3"/>
    <s v="SMB"/>
    <s v="Standard"/>
    <s v="Yes"/>
    <s v="Yes"/>
    <x v="0"/>
    <x v="0"/>
    <s v="NAQ2"/>
    <n v="260000"/>
  </r>
  <r>
    <s v="TXN-100150"/>
    <d v="2024-12-06T00:00:00"/>
    <x v="124"/>
    <s v="SVC-06"/>
    <n v="142.24"/>
    <x v="3"/>
    <s v="Wire Transfer"/>
    <s v="VIP account"/>
    <x v="1"/>
    <s v="United Kingdom"/>
    <s v="A. Kim"/>
    <x v="4"/>
    <s v="Platform"/>
    <n v="0"/>
    <s v="N/A"/>
    <s v="Standard"/>
    <s v="Yes"/>
    <s v="No"/>
    <x v="2"/>
    <x v="2"/>
    <s v="EMEAQ4"/>
    <n v="161000"/>
  </r>
  <r>
    <s v="TXN-100528"/>
    <d v="2024-12-13T00:00:00"/>
    <x v="80"/>
    <s v="SVC-04"/>
    <n v="283.27"/>
    <x v="0"/>
    <s v="ACH"/>
    <s v="escalated to support"/>
    <x v="1"/>
    <s v="Philippines"/>
    <s v="R. Patel"/>
    <x v="2"/>
    <s v="Risk"/>
    <n v="1E-3"/>
    <s v="SMB"/>
    <s v="High Value"/>
    <s v="Yes"/>
    <s v="No"/>
    <x v="1"/>
    <x v="2"/>
    <s v="APACQ4"/>
    <n v="126500"/>
  </r>
  <r>
    <s v="TXN-102199"/>
    <d v="2024-02-10T00:00:00"/>
    <x v="43"/>
    <s v="SVC-07"/>
    <n v="1204.7"/>
    <x v="0"/>
    <s v="Wire Transfer"/>
    <s v="callback requested"/>
    <x v="1"/>
    <s v="USA"/>
    <s v="M. Santos"/>
    <x v="7"/>
    <s v="Support"/>
    <n v="0"/>
    <s v="SMB"/>
    <s v="High Value"/>
    <s v="Yes"/>
    <s v="No"/>
    <x v="0"/>
    <x v="3"/>
    <s v="NAQ1"/>
    <n v="247000"/>
  </r>
  <r>
    <s v="TXN-101861"/>
    <d v="2024-07-19T00:00:00"/>
    <x v="72"/>
    <s v="SVC-01"/>
    <n v="252.88"/>
    <x v="0"/>
    <s v="Debit Card"/>
    <s v="callback requested"/>
    <x v="1"/>
    <s v="United Kingdom"/>
    <s v="A. Kim"/>
    <x v="0"/>
    <s v="Payments"/>
    <n v="2.9000000000000001E-2"/>
    <s v="SMB"/>
    <s v="Standard"/>
    <s v="No"/>
    <s v="No"/>
    <x v="2"/>
    <x v="1"/>
    <s v="EMEAQ3"/>
    <n v="147000"/>
  </r>
  <r>
    <s v="TXN-102490"/>
    <d v="2024-02-10T00:00:00"/>
    <x v="36"/>
    <s v="SVC-01"/>
    <n v="1024.6199999999999"/>
    <x v="0"/>
    <s v="Credit Card"/>
    <s v="VIP account"/>
    <x v="1"/>
    <s v="USA"/>
    <s v="M. Santos"/>
    <x v="0"/>
    <s v="Payments"/>
    <n v="2.9000000000000001E-2"/>
    <s v="SMB"/>
    <s v="High Value"/>
    <s v="Yes"/>
    <s v="No"/>
    <x v="0"/>
    <x v="3"/>
    <s v="NAQ1"/>
    <n v="247000"/>
  </r>
  <r>
    <s v="TXN-101924"/>
    <d v="2024-02-17T00:00:00"/>
    <x v="23"/>
    <s v="SVC-03"/>
    <n v="334.89"/>
    <x v="0"/>
    <s v="Credit Card"/>
    <m/>
    <x v="0"/>
    <s v="USA"/>
    <s v="L. Chen"/>
    <x v="5"/>
    <s v="Billing"/>
    <n v="5.0000000000000001E-3"/>
    <s v="Enterprise"/>
    <s v="High Value"/>
    <s v="Yes"/>
    <s v="No"/>
    <x v="0"/>
    <x v="3"/>
    <s v="NAQ1"/>
    <n v="247000"/>
  </r>
  <r>
    <s v="TXN-101180"/>
    <d v="2024-08-16T00:00:00"/>
    <x v="85"/>
    <s v="SVC-02"/>
    <n v="332.51"/>
    <x v="0"/>
    <s v="ACH"/>
    <s v="callback requested"/>
    <x v="0"/>
    <s v="Canada"/>
    <s v="T. Novak"/>
    <x v="6"/>
    <s v="HR &amp; Payroll"/>
    <n v="0"/>
    <s v="Enterprise"/>
    <s v="High Value"/>
    <s v="Yes"/>
    <s v="No"/>
    <x v="0"/>
    <x v="1"/>
    <s v="NAQ3"/>
    <n v="273000"/>
  </r>
  <r>
    <s v="TXN-101076"/>
    <d v="2024-12-14T00:00:00"/>
    <x v="112"/>
    <s v="SVC-01"/>
    <n v="65.52"/>
    <x v="0"/>
    <s v="Debit Card"/>
    <m/>
    <x v="1"/>
    <s v="USA"/>
    <s v="A. Kim"/>
    <x v="0"/>
    <s v="Payments"/>
    <n v="2.9000000000000001E-2"/>
    <s v="SMB"/>
    <s v="Standard"/>
    <s v="No"/>
    <s v="No"/>
    <x v="0"/>
    <x v="2"/>
    <s v="NAQ4"/>
    <n v="299000"/>
  </r>
  <r>
    <s v="TXN-100392"/>
    <d v="2024-03-12T00:00:00"/>
    <x v="86"/>
    <s v="SVC-03"/>
    <n v="614.16"/>
    <x v="0"/>
    <s v="Credit Card"/>
    <m/>
    <x v="1"/>
    <s v="Canada"/>
    <s v="L. Chen"/>
    <x v="5"/>
    <s v="Billing"/>
    <n v="5.0000000000000001E-3"/>
    <s v="SMB"/>
    <s v="High Value"/>
    <s v="Yes"/>
    <s v="No"/>
    <x v="0"/>
    <x v="3"/>
    <s v="NAQ1"/>
    <n v="247000"/>
  </r>
  <r>
    <s v="TXN-102092"/>
    <d v="2024-03-29T00:00:00"/>
    <x v="27"/>
    <s v="SVC-08"/>
    <n v="261.08"/>
    <x v="1"/>
    <s v="Credit Card"/>
    <m/>
    <x v="1"/>
    <s v="Canada"/>
    <s v="L. Chen"/>
    <x v="1"/>
    <s v="Risk"/>
    <n v="2.5000000000000001E-3"/>
    <s v="N/A"/>
    <s v="High Value"/>
    <s v="Yes"/>
    <s v="Yes"/>
    <x v="0"/>
    <x v="3"/>
    <s v="NAQ1"/>
    <n v="247000"/>
  </r>
  <r>
    <s v="TXN-100518"/>
    <d v="2024-02-17T00:00:00"/>
    <x v="66"/>
    <s v="SVC-08"/>
    <n v="496.06"/>
    <x v="0"/>
    <s v="Debit Card"/>
    <m/>
    <x v="3"/>
    <s v="Australia"/>
    <s v="L. Chen"/>
    <x v="1"/>
    <s v="Risk"/>
    <n v="2.5000000000000001E-3"/>
    <s v="Startup"/>
    <s v="High Value"/>
    <s v="Yes"/>
    <s v="No"/>
    <x v="1"/>
    <x v="3"/>
    <s v="APACQ1"/>
    <n v="104500"/>
  </r>
  <r>
    <s v="TXN-101364"/>
    <d v="2024-12-10T00:00:00"/>
    <x v="112"/>
    <s v="SVC-02"/>
    <n v="271.33999999999997"/>
    <x v="0"/>
    <s v="Debit Card"/>
    <s v="escalated to support"/>
    <x v="1"/>
    <s v="USA"/>
    <s v="A. Kim"/>
    <x v="6"/>
    <s v="HR &amp; Payroll"/>
    <n v="0"/>
    <s v="SMB"/>
    <s v="High Value"/>
    <s v="Yes"/>
    <s v="No"/>
    <x v="0"/>
    <x v="2"/>
    <s v="NAQ4"/>
    <n v="299000"/>
  </r>
  <r>
    <s v="TXN-102573"/>
    <d v="2024-07-09T00:00:00"/>
    <x v="32"/>
    <s v="SVC-02"/>
    <n v="333.21"/>
    <x v="0"/>
    <s v="Wire Transfer"/>
    <s v="VIP account"/>
    <x v="1"/>
    <s v="Philippines"/>
    <s v="T. Novak"/>
    <x v="6"/>
    <s v="HR &amp; Payroll"/>
    <n v="0"/>
    <s v="SMB"/>
    <s v="High Value"/>
    <s v="Yes"/>
    <s v="No"/>
    <x v="1"/>
    <x v="1"/>
    <s v="APACQ3"/>
    <n v="115500"/>
  </r>
  <r>
    <s v="TXN-101235"/>
    <d v="2024-12-21T00:00:00"/>
    <x v="128"/>
    <s v="SVC-04"/>
    <n v="143.66"/>
    <x v="0"/>
    <s v="Debit Card"/>
    <m/>
    <x v="0"/>
    <s v="Philippines"/>
    <s v="L. Chen"/>
    <x v="2"/>
    <s v="Risk"/>
    <n v="1E-3"/>
    <s v="Enterprise"/>
    <s v="Standard"/>
    <s v="Yes"/>
    <s v="No"/>
    <x v="1"/>
    <x v="2"/>
    <s v="APACQ4"/>
    <n v="126500"/>
  </r>
  <r>
    <s v="TXN-101350"/>
    <d v="2024-11-12T00:00:00"/>
    <x v="26"/>
    <s v="SVC-04"/>
    <n v="555.12"/>
    <x v="0"/>
    <s v="Wire Transfer"/>
    <s v="VIP account"/>
    <x v="3"/>
    <s v="USA"/>
    <s v="R. Patel"/>
    <x v="2"/>
    <s v="Risk"/>
    <n v="1E-3"/>
    <s v="Startup"/>
    <s v="High Value"/>
    <s v="Yes"/>
    <s v="No"/>
    <x v="0"/>
    <x v="2"/>
    <s v="NAQ4"/>
    <n v="299000"/>
  </r>
  <r>
    <s v="TXN-101179"/>
    <d v="2024-07-19T00:00:00"/>
    <x v="6"/>
    <s v="SVC-06"/>
    <n v="180.17"/>
    <x v="0"/>
    <s v="ACH"/>
    <m/>
    <x v="0"/>
    <s v="United Kingdom"/>
    <s v="R. Patel"/>
    <x v="4"/>
    <s v="Platform"/>
    <n v="0"/>
    <s v="Enterprise"/>
    <s v="Standard"/>
    <s v="Yes"/>
    <s v="No"/>
    <x v="2"/>
    <x v="1"/>
    <s v="EMEAQ3"/>
    <n v="147000"/>
  </r>
  <r>
    <s v="TXN-100420"/>
    <d v="2024-05-03T00:00:00"/>
    <x v="92"/>
    <s v="SVC-01"/>
    <n v="444.23"/>
    <x v="1"/>
    <s v="ACH"/>
    <m/>
    <x v="1"/>
    <s v="Canada"/>
    <s v="R. Patel"/>
    <x v="0"/>
    <s v="Payments"/>
    <n v="2.9000000000000001E-2"/>
    <s v="N/A"/>
    <s v="Standard"/>
    <s v="Yes"/>
    <s v="No"/>
    <x v="0"/>
    <x v="0"/>
    <s v="NAQ2"/>
    <n v="260000"/>
  </r>
  <r>
    <s v="TXN-100098"/>
    <d v="2024-01-25T00:00:00"/>
    <x v="57"/>
    <s v="SVC-01"/>
    <n v="529.5"/>
    <x v="3"/>
    <s v="ACH"/>
    <m/>
    <x v="1"/>
    <s v="USA"/>
    <s v="L. Chen"/>
    <x v="0"/>
    <s v="Payments"/>
    <n v="2.9000000000000001E-2"/>
    <s v="N/A"/>
    <s v="High Value"/>
    <s v="Yes"/>
    <s v="No"/>
    <x v="0"/>
    <x v="3"/>
    <s v="NAQ1"/>
    <n v="247000"/>
  </r>
  <r>
    <s v="TXN-100299"/>
    <d v="2024-04-18T00:00:00"/>
    <x v="30"/>
    <s v="SVC-01"/>
    <n v="208.67"/>
    <x v="1"/>
    <s v="Credit Card"/>
    <s v="VIP account"/>
    <x v="1"/>
    <s v="Germany"/>
    <s v="M. Santos"/>
    <x v="0"/>
    <s v="Payments"/>
    <n v="2.9000000000000001E-2"/>
    <s v="N/A"/>
    <s v="Standard"/>
    <s v="No"/>
    <s v="No"/>
    <x v="2"/>
    <x v="0"/>
    <s v="EMEAQ2"/>
    <n v="140000"/>
  </r>
  <r>
    <s v="TXN-100071"/>
    <d v="2024-08-19T00:00:00"/>
    <x v="122"/>
    <s v="SVC-02"/>
    <n v="341.22"/>
    <x v="0"/>
    <s v="ACH"/>
    <s v="escalated to support"/>
    <x v="3"/>
    <s v="United Kingdom"/>
    <s v="A. Kim"/>
    <x v="6"/>
    <s v="HR &amp; Payroll"/>
    <n v="0"/>
    <s v="Startup"/>
    <s v="High Value"/>
    <s v="Yes"/>
    <s v="No"/>
    <x v="2"/>
    <x v="1"/>
    <s v="EMEAQ3"/>
    <n v="147000"/>
  </r>
  <r>
    <s v="TXN-100523"/>
    <d v="2024-03-01T00:00:00"/>
    <x v="126"/>
    <s v="SVC-04"/>
    <n v="1289.79"/>
    <x v="0"/>
    <s v="Credit Card"/>
    <s v="callback requested"/>
    <x v="3"/>
    <s v="Canada"/>
    <s v="A. Kim"/>
    <x v="2"/>
    <s v="Risk"/>
    <n v="1E-3"/>
    <s v="Startup"/>
    <s v="High Value"/>
    <s v="Yes"/>
    <s v="No"/>
    <x v="0"/>
    <x v="3"/>
    <s v="NAQ1"/>
    <n v="247000"/>
  </r>
  <r>
    <s v="TXN-102560"/>
    <d v="2024-04-07T00:00:00"/>
    <x v="63"/>
    <s v="SVC-08"/>
    <n v="269.39"/>
    <x v="0"/>
    <s v="ACH"/>
    <s v="callback requested"/>
    <x v="1"/>
    <s v="Philippines"/>
    <s v="T. Novak"/>
    <x v="1"/>
    <s v="Risk"/>
    <n v="2.5000000000000001E-3"/>
    <s v="SMB"/>
    <s v="High Value"/>
    <s v="Yes"/>
    <s v="Yes"/>
    <x v="1"/>
    <x v="0"/>
    <s v="APACQ2"/>
    <n v="110000"/>
  </r>
  <r>
    <s v="TXN-100985"/>
    <d v="2024-05-22T00:00:00"/>
    <x v="98"/>
    <s v="SVC-08"/>
    <n v="192.28"/>
    <x v="0"/>
    <s v="ACH"/>
    <s v="callback requested"/>
    <x v="1"/>
    <s v="Philippines"/>
    <s v="T. Novak"/>
    <x v="1"/>
    <s v="Risk"/>
    <n v="2.5000000000000001E-3"/>
    <s v="SMB"/>
    <s v="Standard"/>
    <s v="Yes"/>
    <s v="Yes"/>
    <x v="1"/>
    <x v="0"/>
    <s v="APACQ2"/>
    <n v="110000"/>
  </r>
  <r>
    <s v="TXN-102148"/>
    <d v="2024-09-30T00:00:00"/>
    <x v="12"/>
    <s v="SVC-06"/>
    <n v="433.31"/>
    <x v="0"/>
    <s v="ACH"/>
    <s v="VIP account"/>
    <x v="1"/>
    <s v="Canada"/>
    <s v="R. Patel"/>
    <x v="4"/>
    <s v="Platform"/>
    <n v="0"/>
    <s v="SMB"/>
    <s v="High Value"/>
    <s v="Yes"/>
    <s v="Yes"/>
    <x v="0"/>
    <x v="1"/>
    <s v="NAQ3"/>
    <n v="273000"/>
  </r>
  <r>
    <s v="TXN-101903"/>
    <d v="2024-10-11T00:00:00"/>
    <x v="55"/>
    <s v="SVC-07"/>
    <n v="527.13"/>
    <x v="0"/>
    <s v="Debit Card"/>
    <s v="callback requested"/>
    <x v="3"/>
    <s v="USA"/>
    <s v="J. Reyes"/>
    <x v="7"/>
    <s v="Support"/>
    <n v="0"/>
    <s v="Startup"/>
    <s v="High Value"/>
    <s v="Yes"/>
    <s v="Yes"/>
    <x v="0"/>
    <x v="2"/>
    <s v="NAQ4"/>
    <n v="299000"/>
  </r>
  <r>
    <s v="TXN-100168"/>
    <d v="2024-01-08T00:00:00"/>
    <x v="109"/>
    <s v="SVC-02"/>
    <n v="979.22"/>
    <x v="0"/>
    <s v="Wire Transfer"/>
    <s v="escalated to support"/>
    <x v="0"/>
    <s v="USA"/>
    <s v="L. Chen"/>
    <x v="6"/>
    <s v="HR &amp; Payroll"/>
    <n v="0"/>
    <s v="Enterprise"/>
    <s v="High Value"/>
    <s v="Yes"/>
    <s v="No"/>
    <x v="0"/>
    <x v="3"/>
    <s v="NAQ1"/>
    <n v="247000"/>
  </r>
  <r>
    <s v="TXN-102005"/>
    <d v="2024-10-17T00:00:00"/>
    <x v="57"/>
    <s v="SVC-05"/>
    <n v="399.09"/>
    <x v="0"/>
    <s v="Credit Card"/>
    <s v="callback requested"/>
    <x v="1"/>
    <s v="USA"/>
    <s v="L. Chen"/>
    <x v="3"/>
    <s v="Analytics"/>
    <n v="0"/>
    <s v="SMB"/>
    <s v="High Value"/>
    <s v="Yes"/>
    <s v="No"/>
    <x v="0"/>
    <x v="2"/>
    <s v="NAQ4"/>
    <n v="299000"/>
  </r>
  <r>
    <s v="TXN-101473"/>
    <d v="2024-02-01T00:00:00"/>
    <x v="99"/>
    <s v="SVC-01"/>
    <n v="205.77"/>
    <x v="0"/>
    <s v="Debit Card"/>
    <m/>
    <x v="1"/>
    <s v="Canada"/>
    <s v="R. Patel"/>
    <x v="0"/>
    <s v="Payments"/>
    <n v="2.9000000000000001E-2"/>
    <s v="SMB"/>
    <s v="Standard"/>
    <s v="No"/>
    <s v="No"/>
    <x v="0"/>
    <x v="3"/>
    <s v="NAQ1"/>
    <n v="247000"/>
  </r>
  <r>
    <s v="TXN-100482"/>
    <d v="2024-06-14T00:00:00"/>
    <x v="118"/>
    <s v="SVC-06"/>
    <n v="161.75"/>
    <x v="0"/>
    <s v="ACH"/>
    <s v="callback requested"/>
    <x v="1"/>
    <s v="USA"/>
    <s v="L. Chen"/>
    <x v="4"/>
    <s v="Platform"/>
    <n v="0"/>
    <s v="SMB"/>
    <s v="Standard"/>
    <s v="Yes"/>
    <s v="No"/>
    <x v="0"/>
    <x v="0"/>
    <s v="NAQ2"/>
    <n v="260000"/>
  </r>
  <r>
    <s v="TXN-101185"/>
    <d v="2024-10-03T00:00:00"/>
    <x v="120"/>
    <s v="SVC-01"/>
    <n v="553.66"/>
    <x v="0"/>
    <s v="Debit Card"/>
    <m/>
    <x v="3"/>
    <s v="Australia"/>
    <s v="M. Santos"/>
    <x v="0"/>
    <s v="Payments"/>
    <n v="2.9000000000000001E-2"/>
    <s v="Startup"/>
    <s v="High Value"/>
    <s v="Yes"/>
    <s v="No"/>
    <x v="1"/>
    <x v="2"/>
    <s v="APACQ4"/>
    <n v="126500"/>
  </r>
  <r>
    <s v="TXN-101789"/>
    <d v="2024-01-03T00:00:00"/>
    <x v="44"/>
    <s v="SVC-01"/>
    <n v="182.45"/>
    <x v="0"/>
    <s v="Credit Card"/>
    <s v="escalated to support"/>
    <x v="0"/>
    <s v="Australia"/>
    <s v="T. Novak"/>
    <x v="0"/>
    <s v="Payments"/>
    <n v="2.9000000000000001E-2"/>
    <s v="Enterprise"/>
    <s v="Standard"/>
    <s v="No"/>
    <s v="No"/>
    <x v="1"/>
    <x v="3"/>
    <s v="APACQ1"/>
    <n v="104500"/>
  </r>
  <r>
    <s v="TXN-102223"/>
    <d v="2024-06-01T00:00:00"/>
    <x v="27"/>
    <s v="SVC-08"/>
    <n v="182.91"/>
    <x v="3"/>
    <s v="ACH"/>
    <s v="escalated to support"/>
    <x v="1"/>
    <s v="Canada"/>
    <s v="L. Chen"/>
    <x v="1"/>
    <s v="Risk"/>
    <n v="2.5000000000000001E-3"/>
    <s v="N/A"/>
    <s v="Standard"/>
    <s v="Yes"/>
    <s v="No"/>
    <x v="0"/>
    <x v="0"/>
    <s v="NAQ2"/>
    <n v="260000"/>
  </r>
  <r>
    <s v="TXN-100538"/>
    <d v="2024-03-28T00:00:00"/>
    <x v="71"/>
    <s v="SVC-04"/>
    <n v="177.17"/>
    <x v="0"/>
    <s v="Credit Card"/>
    <s v="callback requested"/>
    <x v="1"/>
    <s v="United Kingdom"/>
    <s v="R. Patel"/>
    <x v="2"/>
    <s v="Risk"/>
    <n v="1E-3"/>
    <s v="SMB"/>
    <s v="Standard"/>
    <s v="Yes"/>
    <s v="Yes"/>
    <x v="2"/>
    <x v="3"/>
    <s v="EMEAQ1"/>
    <n v="133000"/>
  </r>
  <r>
    <s v="TXN-102174"/>
    <d v="2024-05-02T00:00:00"/>
    <x v="22"/>
    <s v="SVC-05"/>
    <n v="452.48"/>
    <x v="3"/>
    <s v="Credit Card"/>
    <m/>
    <x v="0"/>
    <s v="Australia"/>
    <s v="M. Santos"/>
    <x v="3"/>
    <s v="Analytics"/>
    <n v="0"/>
    <s v="N/A"/>
    <s v="High Value"/>
    <s v="Yes"/>
    <s v="Yes"/>
    <x v="1"/>
    <x v="0"/>
    <s v="APACQ2"/>
    <n v="110000"/>
  </r>
  <r>
    <s v="TXN-100675"/>
    <d v="2024-08-11T00:00:00"/>
    <x v="80"/>
    <s v="SVC-02"/>
    <n v="164.59"/>
    <x v="0"/>
    <s v="Unknown"/>
    <m/>
    <x v="1"/>
    <s v="Philippines"/>
    <s v="R. Patel"/>
    <x v="6"/>
    <s v="HR &amp; Payroll"/>
    <n v="0"/>
    <s v="SMB"/>
    <s v="Standard"/>
    <s v="Yes"/>
    <s v="Yes"/>
    <x v="1"/>
    <x v="1"/>
    <s v="APACQ3"/>
    <n v="115500"/>
  </r>
  <r>
    <s v="TXN-102542"/>
    <d v="2024-09-13T00:00:00"/>
    <x v="49"/>
    <s v="SVC-01"/>
    <n v="448.17"/>
    <x v="0"/>
    <s v="Debit Card"/>
    <m/>
    <x v="1"/>
    <s v="USA"/>
    <s v="A. Kim"/>
    <x v="0"/>
    <s v="Payments"/>
    <n v="2.9000000000000001E-2"/>
    <s v="SMB"/>
    <s v="Standard"/>
    <s v="Yes"/>
    <s v="No"/>
    <x v="0"/>
    <x v="1"/>
    <s v="NAQ3"/>
    <n v="273000"/>
  </r>
  <r>
    <s v="TXN-101815"/>
    <d v="2024-04-10T00:00:00"/>
    <x v="55"/>
    <s v="SVC-01"/>
    <n v="587.59"/>
    <x v="1"/>
    <s v="Unknown"/>
    <m/>
    <x v="3"/>
    <s v="USA"/>
    <s v="J. Reyes"/>
    <x v="0"/>
    <s v="Payments"/>
    <n v="2.9000000000000001E-2"/>
    <s v="N/A"/>
    <s v="High Value"/>
    <s v="Yes"/>
    <s v="No"/>
    <x v="0"/>
    <x v="0"/>
    <s v="NAQ2"/>
    <n v="260000"/>
  </r>
  <r>
    <s v="TXN-101306"/>
    <d v="2024-05-20T00:00:00"/>
    <x v="43"/>
    <s v="SVC-08"/>
    <n v="538.26"/>
    <x v="0"/>
    <s v="ACH"/>
    <s v="escalated to support"/>
    <x v="1"/>
    <s v="USA"/>
    <s v="M. Santos"/>
    <x v="1"/>
    <s v="Risk"/>
    <n v="2.5000000000000001E-3"/>
    <s v="SMB"/>
    <s v="High Value"/>
    <s v="Yes"/>
    <s v="No"/>
    <x v="0"/>
    <x v="0"/>
    <s v="NAQ2"/>
    <n v="260000"/>
  </r>
  <r>
    <s v="TXN-100796"/>
    <d v="2024-12-20T00:00:00"/>
    <x v="8"/>
    <s v="SVC-08"/>
    <n v="613.19000000000005"/>
    <x v="0"/>
    <s v="Wire Transfer"/>
    <s v="callback requested"/>
    <x v="1"/>
    <s v="USA"/>
    <s v="M. Santos"/>
    <x v="1"/>
    <s v="Risk"/>
    <n v="2.5000000000000001E-3"/>
    <s v="SMB"/>
    <s v="High Value"/>
    <s v="Yes"/>
    <s v="No"/>
    <x v="0"/>
    <x v="2"/>
    <s v="NAQ4"/>
    <n v="299000"/>
  </r>
  <r>
    <s v="TXN-101288"/>
    <d v="2024-09-25T00:00:00"/>
    <x v="17"/>
    <s v="SVC-05"/>
    <n v="296.86"/>
    <x v="0"/>
    <s v="Credit Card"/>
    <s v="escalated to support"/>
    <x v="1"/>
    <s v="USA"/>
    <s v="A. Kim"/>
    <x v="3"/>
    <s v="Analytics"/>
    <n v="0"/>
    <s v="SMB"/>
    <s v="High Value"/>
    <s v="Yes"/>
    <s v="Yes"/>
    <x v="0"/>
    <x v="1"/>
    <s v="NAQ3"/>
    <n v="273000"/>
  </r>
  <r>
    <s v="TXN-100122"/>
    <d v="2024-05-24T00:00:00"/>
    <x v="47"/>
    <s v="SVC-01"/>
    <n v="432.16"/>
    <x v="0"/>
    <s v="Wire Transfer"/>
    <s v="callback requested"/>
    <x v="1"/>
    <s v="Canada"/>
    <s v="R. Patel"/>
    <x v="0"/>
    <s v="Payments"/>
    <n v="2.9000000000000001E-2"/>
    <s v="SMB"/>
    <s v="Standard"/>
    <s v="Yes"/>
    <s v="No"/>
    <x v="0"/>
    <x v="0"/>
    <s v="NAQ2"/>
    <n v="260000"/>
  </r>
  <r>
    <s v="TXN-101422"/>
    <d v="2024-07-03T00:00:00"/>
    <x v="48"/>
    <s v="SVC-03"/>
    <n v="728.04"/>
    <x v="0"/>
    <s v="Wire Transfer"/>
    <s v="callback requested"/>
    <x v="1"/>
    <s v="Germany"/>
    <s v="J. Reyes"/>
    <x v="5"/>
    <s v="Billing"/>
    <n v="5.0000000000000001E-3"/>
    <s v="SMB"/>
    <s v="High Value"/>
    <s v="Yes"/>
    <s v="No"/>
    <x v="2"/>
    <x v="1"/>
    <s v="EMEAQ3"/>
    <n v="147000"/>
  </r>
  <r>
    <s v="TXN-100473"/>
    <d v="2024-01-12T00:00:00"/>
    <x v="60"/>
    <s v="SVC-07"/>
    <n v="915.72"/>
    <x v="0"/>
    <s v="Debit Card"/>
    <s v="VIP account"/>
    <x v="1"/>
    <s v="Australia"/>
    <s v="J. Reyes"/>
    <x v="7"/>
    <s v="Support"/>
    <n v="0"/>
    <s v="SMB"/>
    <s v="High Value"/>
    <s v="Yes"/>
    <s v="No"/>
    <x v="1"/>
    <x v="3"/>
    <s v="APACQ1"/>
    <n v="104500"/>
  </r>
  <r>
    <s v="TXN-100417"/>
    <d v="2024-11-20T00:00:00"/>
    <x v="16"/>
    <s v="SVC-01"/>
    <n v="343.26"/>
    <x v="3"/>
    <s v="Wire Transfer"/>
    <m/>
    <x v="1"/>
    <s v="Germany"/>
    <s v="R. Patel"/>
    <x v="0"/>
    <s v="Payments"/>
    <n v="2.9000000000000001E-2"/>
    <s v="N/A"/>
    <s v="Standard"/>
    <s v="Yes"/>
    <s v="No"/>
    <x v="2"/>
    <x v="2"/>
    <s v="EMEAQ4"/>
    <n v="161000"/>
  </r>
  <r>
    <s v="TXN-101528"/>
    <d v="2024-06-02T00:00:00"/>
    <x v="90"/>
    <s v="SVC-01"/>
    <n v="401.64"/>
    <x v="0"/>
    <s v="ACH"/>
    <m/>
    <x v="1"/>
    <s v="USA"/>
    <s v="A. Kim"/>
    <x v="0"/>
    <s v="Payments"/>
    <n v="2.9000000000000001E-2"/>
    <s v="SMB"/>
    <s v="Standard"/>
    <s v="Yes"/>
    <s v="No"/>
    <x v="0"/>
    <x v="0"/>
    <s v="NAQ2"/>
    <n v="260000"/>
  </r>
  <r>
    <s v="TXN-100935"/>
    <d v="2024-02-13T00:00:00"/>
    <x v="26"/>
    <s v="SVC-04"/>
    <n v="436.36"/>
    <x v="0"/>
    <s v="Credit Card"/>
    <m/>
    <x v="3"/>
    <s v="USA"/>
    <s v="R. Patel"/>
    <x v="2"/>
    <s v="Risk"/>
    <n v="1E-3"/>
    <s v="Startup"/>
    <s v="High Value"/>
    <s v="Yes"/>
    <s v="No"/>
    <x v="0"/>
    <x v="3"/>
    <s v="NAQ1"/>
    <n v="247000"/>
  </r>
  <r>
    <s v="TXN-100475"/>
    <d v="2024-04-21T00:00:00"/>
    <x v="24"/>
    <s v="SVC-04"/>
    <n v="320"/>
    <x v="0"/>
    <s v="Debit Card"/>
    <m/>
    <x v="1"/>
    <s v="USA"/>
    <s v="M. Santos"/>
    <x v="2"/>
    <s v="Risk"/>
    <n v="1E-3"/>
    <s v="SMB"/>
    <s v="High Value"/>
    <s v="Yes"/>
    <s v="No"/>
    <x v="0"/>
    <x v="0"/>
    <s v="NAQ2"/>
    <n v="260000"/>
  </r>
  <r>
    <s v="TXN-101853"/>
    <d v="2024-12-04T00:00:00"/>
    <x v="129"/>
    <s v="SVC-07"/>
    <n v="608.58000000000004"/>
    <x v="0"/>
    <s v="Debit Card"/>
    <s v="escalated to support"/>
    <x v="1"/>
    <s v="Australia"/>
    <s v="A. Kim"/>
    <x v="7"/>
    <s v="Support"/>
    <n v="0"/>
    <s v="SMB"/>
    <s v="High Value"/>
    <s v="Yes"/>
    <s v="No"/>
    <x v="1"/>
    <x v="2"/>
    <s v="APACQ4"/>
    <n v="126500"/>
  </r>
  <r>
    <s v="TXN-101098"/>
    <d v="2024-10-26T00:00:00"/>
    <x v="20"/>
    <s v="SVC-01"/>
    <n v="545.01"/>
    <x v="0"/>
    <s v="ACH"/>
    <m/>
    <x v="1"/>
    <s v="USA"/>
    <s v="R. Patel"/>
    <x v="0"/>
    <s v="Payments"/>
    <n v="2.9000000000000001E-2"/>
    <s v="SMB"/>
    <s v="High Value"/>
    <s v="Yes"/>
    <s v="No"/>
    <x v="0"/>
    <x v="2"/>
    <s v="NAQ4"/>
    <n v="299000"/>
  </r>
  <r>
    <s v="TXN-100160"/>
    <d v="2024-08-16T00:00:00"/>
    <x v="34"/>
    <s v="SVC-04"/>
    <n v="1002.1"/>
    <x v="0"/>
    <s v="ACH"/>
    <s v="escalated to support"/>
    <x v="1"/>
    <s v="Germany"/>
    <s v="M. Santos"/>
    <x v="2"/>
    <s v="Risk"/>
    <n v="1E-3"/>
    <s v="SMB"/>
    <s v="High Value"/>
    <s v="Yes"/>
    <s v="Yes"/>
    <x v="2"/>
    <x v="1"/>
    <s v="EMEAQ3"/>
    <n v="147000"/>
  </r>
  <r>
    <s v="TXN-101118"/>
    <d v="2024-07-11T00:00:00"/>
    <x v="41"/>
    <s v="SVC-03"/>
    <n v="224.06"/>
    <x v="1"/>
    <s v="ACH"/>
    <s v="VIP account"/>
    <x v="0"/>
    <s v="Canada"/>
    <s v="M. Santos"/>
    <x v="5"/>
    <s v="Billing"/>
    <n v="5.0000000000000001E-3"/>
    <s v="N/A"/>
    <s v="Standard"/>
    <s v="Yes"/>
    <s v="No"/>
    <x v="0"/>
    <x v="1"/>
    <s v="NAQ3"/>
    <n v="273000"/>
  </r>
  <r>
    <s v="TXN-100006"/>
    <d v="2024-04-29T00:00:00"/>
    <x v="128"/>
    <s v="SVC-01"/>
    <n v="630.72"/>
    <x v="1"/>
    <s v="Credit Card"/>
    <s v="escalated to support"/>
    <x v="0"/>
    <s v="Philippines"/>
    <s v="L. Chen"/>
    <x v="0"/>
    <s v="Payments"/>
    <n v="2.9000000000000001E-2"/>
    <s v="N/A"/>
    <s v="High Value"/>
    <s v="Yes"/>
    <s v="No"/>
    <x v="1"/>
    <x v="0"/>
    <s v="APACQ2"/>
    <n v="110000"/>
  </r>
  <r>
    <s v="TXN-100131"/>
    <d v="2024-08-13T00:00:00"/>
    <x v="13"/>
    <s v="SVC-01"/>
    <n v="589.29999999999995"/>
    <x v="0"/>
    <s v="Wire Transfer"/>
    <s v="callback requested"/>
    <x v="0"/>
    <s v="Canada"/>
    <s v="J. Reyes"/>
    <x v="0"/>
    <s v="Payments"/>
    <n v="2.9000000000000001E-2"/>
    <s v="Enterprise"/>
    <s v="High Value"/>
    <s v="Yes"/>
    <s v="No"/>
    <x v="0"/>
    <x v="1"/>
    <s v="NAQ3"/>
    <n v="273000"/>
  </r>
  <r>
    <s v="TXN-101218"/>
    <d v="2024-08-29T00:00:00"/>
    <x v="11"/>
    <s v="SVC-07"/>
    <n v="-953.7"/>
    <x v="2"/>
    <s v="Credit Card"/>
    <s v="callback requested"/>
    <x v="0"/>
    <s v="United Kingdom"/>
    <s v="L. Chen"/>
    <x v="7"/>
    <s v="Support"/>
    <n v="0"/>
    <s v="N/A"/>
    <s v="Refund"/>
    <s v="No"/>
    <s v="Yes"/>
    <x v="2"/>
    <x v="1"/>
    <s v="EMEAQ3"/>
    <n v="147000"/>
  </r>
  <r>
    <s v="TXN-101467"/>
    <d v="2024-08-31T00:00:00"/>
    <x v="87"/>
    <s v="SVC-04"/>
    <n v="473.97"/>
    <x v="3"/>
    <s v="Credit Card"/>
    <m/>
    <x v="1"/>
    <s v="United Kingdom"/>
    <s v="J. Reyes"/>
    <x v="2"/>
    <s v="Risk"/>
    <n v="1E-3"/>
    <s v="N/A"/>
    <s v="High Value"/>
    <s v="Yes"/>
    <s v="No"/>
    <x v="2"/>
    <x v="1"/>
    <s v="EMEAQ3"/>
    <n v="147000"/>
  </r>
  <r>
    <s v="TXN-100789"/>
    <d v="2024-12-22T00:00:00"/>
    <x v="121"/>
    <s v="SVC-03"/>
    <n v="300.99"/>
    <x v="0"/>
    <s v="Credit Card"/>
    <s v="escalated to support"/>
    <x v="0"/>
    <s v="USA"/>
    <s v="J. Reyes"/>
    <x v="5"/>
    <s v="Billing"/>
    <n v="5.0000000000000001E-3"/>
    <s v="Enterprise"/>
    <s v="High Value"/>
    <s v="Yes"/>
    <s v="No"/>
    <x v="0"/>
    <x v="2"/>
    <s v="NAQ4"/>
    <n v="299000"/>
  </r>
  <r>
    <s v="TXN-102155"/>
    <d v="2024-01-09T00:00:00"/>
    <x v="81"/>
    <s v="SVC-05"/>
    <n v="198.47"/>
    <x v="1"/>
    <s v="Credit Card"/>
    <m/>
    <x v="3"/>
    <s v="Germany"/>
    <s v="R. Patel"/>
    <x v="3"/>
    <s v="Analytics"/>
    <n v="0"/>
    <s v="N/A"/>
    <s v="Standard"/>
    <s v="Yes"/>
    <s v="Yes"/>
    <x v="2"/>
    <x v="3"/>
    <s v="EMEAQ1"/>
    <n v="133000"/>
  </r>
  <r>
    <s v="TXN-100638"/>
    <d v="2024-01-02T00:00:00"/>
    <x v="21"/>
    <s v="SVC-01"/>
    <n v="246.98"/>
    <x v="0"/>
    <s v="Credit Card"/>
    <s v="escalated to support"/>
    <x v="0"/>
    <s v="Australia"/>
    <s v="M. Santos"/>
    <x v="0"/>
    <s v="Payments"/>
    <n v="2.9000000000000001E-2"/>
    <s v="Enterprise"/>
    <s v="Standard"/>
    <s v="No"/>
    <s v="No"/>
    <x v="1"/>
    <x v="3"/>
    <s v="APACQ1"/>
    <n v="104500"/>
  </r>
  <r>
    <s v="TXN-101339"/>
    <d v="2024-03-14T00:00:00"/>
    <x v="106"/>
    <s v="SVC-06"/>
    <n v="118.2"/>
    <x v="0"/>
    <s v="ACH"/>
    <s v="callback requested"/>
    <x v="1"/>
    <s v="USA"/>
    <s v="J. Reyes"/>
    <x v="4"/>
    <s v="Platform"/>
    <n v="0"/>
    <s v="SMB"/>
    <s v="Standard"/>
    <s v="Yes"/>
    <s v="No"/>
    <x v="0"/>
    <x v="3"/>
    <s v="NAQ1"/>
    <n v="247000"/>
  </r>
  <r>
    <s v="TXN-101930"/>
    <d v="2024-07-12T00:00:00"/>
    <x v="25"/>
    <s v="SVC-04"/>
    <n v="884.7"/>
    <x v="0"/>
    <s v="ACH"/>
    <m/>
    <x v="0"/>
    <s v="USA"/>
    <s v="A. Kim"/>
    <x v="2"/>
    <s v="Risk"/>
    <n v="1E-3"/>
    <s v="Enterprise"/>
    <s v="High Value"/>
    <s v="Yes"/>
    <s v="No"/>
    <x v="0"/>
    <x v="1"/>
    <s v="NAQ3"/>
    <n v="273000"/>
  </r>
  <r>
    <s v="TXN-101138"/>
    <d v="2024-11-07T00:00:00"/>
    <x v="102"/>
    <s v="SVC-08"/>
    <n v="503.48"/>
    <x v="0"/>
    <s v="Debit Card"/>
    <m/>
    <x v="1"/>
    <s v="Philippines"/>
    <s v="L. Chen"/>
    <x v="1"/>
    <s v="Risk"/>
    <n v="2.5000000000000001E-3"/>
    <s v="SMB"/>
    <s v="High Value"/>
    <s v="Yes"/>
    <s v="No"/>
    <x v="1"/>
    <x v="2"/>
    <s v="APACQ4"/>
    <n v="126500"/>
  </r>
  <r>
    <s v="TXN-102196"/>
    <d v="2024-05-04T00:00:00"/>
    <x v="87"/>
    <s v="SVC-02"/>
    <n v="631.23"/>
    <x v="0"/>
    <s v="ACH"/>
    <s v="VIP account"/>
    <x v="1"/>
    <s v="United Kingdom"/>
    <s v="J. Reyes"/>
    <x v="6"/>
    <s v="HR &amp; Payroll"/>
    <n v="0"/>
    <s v="SMB"/>
    <s v="High Value"/>
    <s v="Yes"/>
    <s v="No"/>
    <x v="2"/>
    <x v="0"/>
    <s v="EMEAQ2"/>
    <n v="140000"/>
  </r>
  <r>
    <s v="TXN-100054"/>
    <d v="2024-10-14T00:00:00"/>
    <x v="20"/>
    <s v="SVC-04"/>
    <n v="483.75"/>
    <x v="0"/>
    <s v="Credit Card"/>
    <s v="escalated to support"/>
    <x v="1"/>
    <s v="USA"/>
    <s v="R. Patel"/>
    <x v="2"/>
    <s v="Risk"/>
    <n v="1E-3"/>
    <s v="SMB"/>
    <s v="High Value"/>
    <s v="Yes"/>
    <s v="No"/>
    <x v="0"/>
    <x v="2"/>
    <s v="NAQ4"/>
    <n v="299000"/>
  </r>
  <r>
    <s v="TXN-101163"/>
    <d v="2024-04-03T00:00:00"/>
    <x v="95"/>
    <s v="SVC-05"/>
    <n v="571.96"/>
    <x v="0"/>
    <s v="Debit Card"/>
    <s v="VIP account"/>
    <x v="1"/>
    <s v="USA"/>
    <s v="R. Patel"/>
    <x v="3"/>
    <s v="Analytics"/>
    <n v="0"/>
    <s v="SMB"/>
    <s v="High Value"/>
    <s v="Yes"/>
    <s v="Yes"/>
    <x v="0"/>
    <x v="0"/>
    <s v="NAQ2"/>
    <n v="260000"/>
  </r>
  <r>
    <s v="TXN-100635"/>
    <d v="2024-06-04T00:00:00"/>
    <x v="30"/>
    <s v="SVC-01"/>
    <n v="354.17"/>
    <x v="0"/>
    <s v="Unknown"/>
    <m/>
    <x v="1"/>
    <s v="Germany"/>
    <s v="M. Santos"/>
    <x v="0"/>
    <s v="Payments"/>
    <n v="2.9000000000000001E-2"/>
    <s v="SMB"/>
    <s v="Standard"/>
    <s v="Yes"/>
    <s v="No"/>
    <x v="2"/>
    <x v="0"/>
    <s v="EMEAQ2"/>
    <n v="140000"/>
  </r>
  <r>
    <s v="TXN-100717"/>
    <d v="2024-10-29T00:00:00"/>
    <x v="9"/>
    <s v="SVC-02"/>
    <n v="436.62"/>
    <x v="1"/>
    <s v="Credit Card"/>
    <m/>
    <x v="3"/>
    <s v="Philippines"/>
    <s v="T. Novak"/>
    <x v="6"/>
    <s v="HR &amp; Payroll"/>
    <n v="0"/>
    <s v="N/A"/>
    <s v="High Value"/>
    <s v="Yes"/>
    <s v="No"/>
    <x v="1"/>
    <x v="2"/>
    <s v="APACQ4"/>
    <n v="126500"/>
  </r>
  <r>
    <s v="TXN-100742"/>
    <d v="2024-05-24T00:00:00"/>
    <x v="50"/>
    <s v="SVC-04"/>
    <n v="383.41"/>
    <x v="0"/>
    <s v="Credit Card"/>
    <m/>
    <x v="1"/>
    <s v="USA"/>
    <s v="M. Santos"/>
    <x v="2"/>
    <s v="Risk"/>
    <n v="1E-3"/>
    <s v="SMB"/>
    <s v="High Value"/>
    <s v="Yes"/>
    <s v="No"/>
    <x v="0"/>
    <x v="0"/>
    <s v="NAQ2"/>
    <n v="260000"/>
  </r>
  <r>
    <s v="TXN-100607"/>
    <d v="2024-08-10T00:00:00"/>
    <x v="56"/>
    <s v="SVC-01"/>
    <n v="536.08000000000004"/>
    <x v="0"/>
    <s v="Credit Card"/>
    <m/>
    <x v="0"/>
    <s v="Singapore"/>
    <s v="R. Patel"/>
    <x v="0"/>
    <s v="Payments"/>
    <n v="2.9000000000000001E-2"/>
    <s v="Enterprise"/>
    <s v="High Value"/>
    <s v="Yes"/>
    <s v="No"/>
    <x v="1"/>
    <x v="1"/>
    <s v="APACQ3"/>
    <n v="115500"/>
  </r>
  <r>
    <s v="TXN-100586"/>
    <d v="2024-11-25T00:00:00"/>
    <x v="94"/>
    <s v="SVC-06"/>
    <n v="444.82"/>
    <x v="0"/>
    <s v="Debit Card"/>
    <s v="callback requested"/>
    <x v="1"/>
    <s v="United Kingdom"/>
    <s v="L. Chen"/>
    <x v="4"/>
    <s v="Platform"/>
    <n v="0"/>
    <s v="SMB"/>
    <s v="High Value"/>
    <s v="Yes"/>
    <s v="Yes"/>
    <x v="2"/>
    <x v="2"/>
    <s v="EMEAQ4"/>
    <n v="161000"/>
  </r>
  <r>
    <s v="TXN-100940"/>
    <d v="2024-04-19T00:00:00"/>
    <x v="119"/>
    <s v="SVC-01"/>
    <n v="383.97"/>
    <x v="0"/>
    <s v="Credit Card"/>
    <m/>
    <x v="1"/>
    <s v="USA"/>
    <s v="R. Patel"/>
    <x v="0"/>
    <s v="Payments"/>
    <n v="2.9000000000000001E-2"/>
    <s v="SMB"/>
    <s v="Standard"/>
    <s v="Yes"/>
    <s v="No"/>
    <x v="0"/>
    <x v="0"/>
    <s v="NAQ2"/>
    <n v="260000"/>
  </r>
  <r>
    <s v="TXN-102539"/>
    <d v="2024-11-03T00:00:00"/>
    <x v="47"/>
    <s v="SVC-07"/>
    <n v="-153.88999999999999"/>
    <x v="2"/>
    <s v="Credit Card"/>
    <s v="VIP account"/>
    <x v="1"/>
    <s v="Canada"/>
    <s v="R. Patel"/>
    <x v="7"/>
    <s v="Support"/>
    <n v="0"/>
    <s v="N/A"/>
    <s v="Refund"/>
    <s v="No"/>
    <s v="No"/>
    <x v="0"/>
    <x v="2"/>
    <s v="NAQ4"/>
    <n v="299000"/>
  </r>
  <r>
    <s v="TXN-100661"/>
    <d v="2024-05-22T00:00:00"/>
    <x v="114"/>
    <s v="SVC-05"/>
    <n v="133.99"/>
    <x v="0"/>
    <s v="Credit Card"/>
    <s v="escalated to support"/>
    <x v="3"/>
    <s v="Australia"/>
    <s v="A. Kim"/>
    <x v="3"/>
    <s v="Analytics"/>
    <n v="0"/>
    <s v="Startup"/>
    <s v="Standard"/>
    <s v="Yes"/>
    <s v="No"/>
    <x v="1"/>
    <x v="0"/>
    <s v="APACQ2"/>
    <n v="110000"/>
  </r>
  <r>
    <s v="TXN-101439"/>
    <d v="2024-02-12T00:00:00"/>
    <x v="37"/>
    <s v="SVC-01"/>
    <n v="376.09"/>
    <x v="0"/>
    <s v="Credit Card"/>
    <s v="VIP account"/>
    <x v="1"/>
    <s v="Canada"/>
    <s v="T. Novak"/>
    <x v="0"/>
    <s v="Payments"/>
    <n v="2.9000000000000001E-2"/>
    <s v="SMB"/>
    <s v="Standard"/>
    <s v="Yes"/>
    <s v="No"/>
    <x v="0"/>
    <x v="3"/>
    <s v="NAQ1"/>
    <n v="247000"/>
  </r>
  <r>
    <s v="TXN-100499"/>
    <d v="2024-04-04T00:00:00"/>
    <x v="57"/>
    <s v="SVC-01"/>
    <n v="485.5"/>
    <x v="0"/>
    <s v="Credit Card"/>
    <s v="VIP account"/>
    <x v="1"/>
    <s v="USA"/>
    <s v="L. Chen"/>
    <x v="0"/>
    <s v="Payments"/>
    <n v="2.9000000000000001E-2"/>
    <s v="SMB"/>
    <s v="Standard"/>
    <s v="Yes"/>
    <s v="No"/>
    <x v="0"/>
    <x v="0"/>
    <s v="NAQ2"/>
    <n v="260000"/>
  </r>
  <r>
    <s v="TXN-102593"/>
    <d v="2024-10-01T00:00:00"/>
    <x v="105"/>
    <s v="SVC-03"/>
    <n v="256.33999999999997"/>
    <x v="0"/>
    <s v="Credit Card"/>
    <m/>
    <x v="3"/>
    <s v="Philippines"/>
    <s v="T. Novak"/>
    <x v="5"/>
    <s v="Billing"/>
    <n v="5.0000000000000001E-3"/>
    <s v="Startup"/>
    <s v="High Value"/>
    <s v="Yes"/>
    <s v="No"/>
    <x v="1"/>
    <x v="2"/>
    <s v="APACQ4"/>
    <n v="126500"/>
  </r>
  <r>
    <s v="TXN-102055"/>
    <d v="2024-11-04T00:00:00"/>
    <x v="90"/>
    <s v="SVC-01"/>
    <n v="-353.98"/>
    <x v="2"/>
    <s v="Credit Card"/>
    <s v="callback requested"/>
    <x v="1"/>
    <s v="USA"/>
    <s v="A. Kim"/>
    <x v="0"/>
    <s v="Payments"/>
    <n v="2.9000000000000001E-2"/>
    <s v="N/A"/>
    <s v="Refund"/>
    <s v="No"/>
    <s v="No"/>
    <x v="0"/>
    <x v="2"/>
    <s v="NAQ4"/>
    <n v="299000"/>
  </r>
  <r>
    <s v="TXN-100788"/>
    <d v="2024-12-20T00:00:00"/>
    <x v="120"/>
    <s v="SVC-01"/>
    <n v="236.59"/>
    <x v="0"/>
    <s v="Credit Card"/>
    <m/>
    <x v="3"/>
    <s v="Australia"/>
    <s v="M. Santos"/>
    <x v="0"/>
    <s v="Payments"/>
    <n v="2.9000000000000001E-2"/>
    <s v="Startup"/>
    <s v="Standard"/>
    <s v="No"/>
    <s v="No"/>
    <x v="1"/>
    <x v="2"/>
    <s v="APACQ4"/>
    <n v="126500"/>
  </r>
  <r>
    <s v="TXN-100691"/>
    <d v="2024-12-09T00:00:00"/>
    <x v="18"/>
    <s v="SVC-05"/>
    <n v="316.95999999999998"/>
    <x v="0"/>
    <s v="Credit Card"/>
    <s v="escalated to support"/>
    <x v="1"/>
    <s v="Philippines"/>
    <s v="R. Patel"/>
    <x v="3"/>
    <s v="Analytics"/>
    <n v="0"/>
    <s v="SMB"/>
    <s v="High Value"/>
    <s v="Yes"/>
    <s v="No"/>
    <x v="1"/>
    <x v="2"/>
    <s v="APACQ4"/>
    <n v="126500"/>
  </r>
  <r>
    <s v="TXN-101670"/>
    <d v="2024-10-31T00:00:00"/>
    <x v="49"/>
    <s v="SVC-06"/>
    <n v="203.57"/>
    <x v="0"/>
    <s v="Unknown"/>
    <s v="callback requested"/>
    <x v="1"/>
    <s v="USA"/>
    <s v="A. Kim"/>
    <x v="4"/>
    <s v="Platform"/>
    <n v="0"/>
    <s v="SMB"/>
    <s v="Standard"/>
    <s v="Yes"/>
    <s v="No"/>
    <x v="0"/>
    <x v="2"/>
    <s v="NAQ4"/>
    <n v="299000"/>
  </r>
  <r>
    <s v="TXN-100032"/>
    <d v="2024-04-27T00:00:00"/>
    <x v="85"/>
    <s v="SVC-06"/>
    <n v="296.61"/>
    <x v="0"/>
    <s v="Credit Card"/>
    <s v="VIP account"/>
    <x v="0"/>
    <s v="Canada"/>
    <s v="T. Novak"/>
    <x v="4"/>
    <s v="Platform"/>
    <n v="0"/>
    <s v="Enterprise"/>
    <s v="High Value"/>
    <s v="Yes"/>
    <s v="No"/>
    <x v="0"/>
    <x v="0"/>
    <s v="NAQ2"/>
    <n v="260000"/>
  </r>
  <r>
    <s v="TXN-100577"/>
    <d v="2024-02-07T00:00:00"/>
    <x v="37"/>
    <s v="SVC-01"/>
    <n v="890.67"/>
    <x v="0"/>
    <s v="Credit Card"/>
    <m/>
    <x v="1"/>
    <s v="Canada"/>
    <s v="T. Novak"/>
    <x v="0"/>
    <s v="Payments"/>
    <n v="2.9000000000000001E-2"/>
    <s v="SMB"/>
    <s v="High Value"/>
    <s v="Yes"/>
    <s v="No"/>
    <x v="0"/>
    <x v="3"/>
    <s v="NAQ1"/>
    <n v="247000"/>
  </r>
  <r>
    <s v="TXN-102546"/>
    <d v="2024-09-28T00:00:00"/>
    <x v="30"/>
    <s v="SVC-02"/>
    <n v="280.45"/>
    <x v="1"/>
    <s v="ACH"/>
    <s v="VIP account"/>
    <x v="1"/>
    <s v="Germany"/>
    <s v="M. Santos"/>
    <x v="6"/>
    <s v="HR &amp; Payroll"/>
    <n v="0"/>
    <s v="N/A"/>
    <s v="High Value"/>
    <s v="Yes"/>
    <s v="No"/>
    <x v="2"/>
    <x v="1"/>
    <s v="EMEAQ3"/>
    <n v="147000"/>
  </r>
  <r>
    <s v="TXN-100556"/>
    <d v="2024-11-24T00:00:00"/>
    <x v="100"/>
    <s v="SVC-01"/>
    <n v="1088.22"/>
    <x v="3"/>
    <s v="Debit Card"/>
    <s v="escalated to support"/>
    <x v="1"/>
    <s v="USA"/>
    <s v="J. Reyes"/>
    <x v="0"/>
    <s v="Payments"/>
    <n v="2.9000000000000001E-2"/>
    <s v="N/A"/>
    <s v="High Value"/>
    <s v="Yes"/>
    <s v="No"/>
    <x v="0"/>
    <x v="2"/>
    <s v="NAQ4"/>
    <n v="299000"/>
  </r>
  <r>
    <s v="TXN-101991"/>
    <d v="2024-11-10T00:00:00"/>
    <x v="42"/>
    <s v="SVC-03"/>
    <n v="819.25"/>
    <x v="0"/>
    <s v="Debit Card"/>
    <m/>
    <x v="1"/>
    <s v="Australia"/>
    <s v="M. Santos"/>
    <x v="5"/>
    <s v="Billing"/>
    <n v="5.0000000000000001E-3"/>
    <s v="SMB"/>
    <s v="High Value"/>
    <s v="Yes"/>
    <s v="No"/>
    <x v="1"/>
    <x v="2"/>
    <s v="APACQ4"/>
    <n v="126500"/>
  </r>
  <r>
    <s v="TXN-100411"/>
    <d v="2024-12-11T00:00:00"/>
    <x v="90"/>
    <s v="SVC-04"/>
    <n v="505.6"/>
    <x v="0"/>
    <s v="ACH"/>
    <m/>
    <x v="1"/>
    <s v="USA"/>
    <s v="A. Kim"/>
    <x v="2"/>
    <s v="Risk"/>
    <n v="1E-3"/>
    <s v="SMB"/>
    <s v="High Value"/>
    <s v="Yes"/>
    <s v="Yes"/>
    <x v="0"/>
    <x v="2"/>
    <s v="NAQ4"/>
    <n v="299000"/>
  </r>
  <r>
    <s v="TXN-102481"/>
    <d v="2024-02-16T00:00:00"/>
    <x v="120"/>
    <s v="SVC-01"/>
    <n v="151.4"/>
    <x v="0"/>
    <s v="Credit Card"/>
    <s v="escalated to support"/>
    <x v="3"/>
    <s v="Australia"/>
    <s v="M. Santos"/>
    <x v="0"/>
    <s v="Payments"/>
    <n v="2.9000000000000001E-2"/>
    <s v="Startup"/>
    <s v="Standard"/>
    <s v="No"/>
    <s v="No"/>
    <x v="1"/>
    <x v="3"/>
    <s v="APACQ1"/>
    <n v="104500"/>
  </r>
  <r>
    <s v="TXN-102552"/>
    <d v="2024-02-03T00:00:00"/>
    <x v="125"/>
    <s v="SVC-03"/>
    <n v="335.53"/>
    <x v="0"/>
    <s v="Credit Card"/>
    <m/>
    <x v="1"/>
    <s v="USA"/>
    <s v="A. Kim"/>
    <x v="5"/>
    <s v="Billing"/>
    <n v="5.0000000000000001E-3"/>
    <s v="SMB"/>
    <s v="High Value"/>
    <s v="Yes"/>
    <s v="No"/>
    <x v="0"/>
    <x v="3"/>
    <s v="NAQ1"/>
    <n v="247000"/>
  </r>
  <r>
    <s v="TXN-102218"/>
    <d v="2024-11-08T00:00:00"/>
    <x v="90"/>
    <s v="SVC-07"/>
    <n v="529.11"/>
    <x v="0"/>
    <s v="Credit Card"/>
    <m/>
    <x v="1"/>
    <s v="USA"/>
    <s v="A. Kim"/>
    <x v="7"/>
    <s v="Support"/>
    <n v="0"/>
    <s v="SMB"/>
    <s v="High Value"/>
    <s v="Yes"/>
    <s v="No"/>
    <x v="0"/>
    <x v="2"/>
    <s v="NAQ4"/>
    <n v="299000"/>
  </r>
  <r>
    <s v="TXN-101676"/>
    <d v="2024-04-22T00:00:00"/>
    <x v="58"/>
    <s v="SVC-01"/>
    <n v="857.29"/>
    <x v="0"/>
    <s v="ACH"/>
    <s v="callback requested"/>
    <x v="1"/>
    <s v="Canada"/>
    <s v="M. Santos"/>
    <x v="0"/>
    <s v="Payments"/>
    <n v="2.9000000000000001E-2"/>
    <s v="SMB"/>
    <s v="High Value"/>
    <s v="Yes"/>
    <s v="No"/>
    <x v="0"/>
    <x v="0"/>
    <s v="NAQ2"/>
    <n v="260000"/>
  </r>
  <r>
    <s v="TXN-102487"/>
    <d v="2024-02-18T00:00:00"/>
    <x v="32"/>
    <s v="SVC-03"/>
    <n v="504.43"/>
    <x v="0"/>
    <s v="Credit Card"/>
    <s v="VIP account"/>
    <x v="1"/>
    <s v="Philippines"/>
    <s v="T. Novak"/>
    <x v="5"/>
    <s v="Billing"/>
    <n v="5.0000000000000001E-3"/>
    <s v="SMB"/>
    <s v="High Value"/>
    <s v="Yes"/>
    <s v="Yes"/>
    <x v="1"/>
    <x v="3"/>
    <s v="APACQ1"/>
    <n v="104500"/>
  </r>
  <r>
    <s v="TXN-100015"/>
    <d v="2024-06-08T00:00:00"/>
    <x v="112"/>
    <s v="SVC-05"/>
    <n v="262.81"/>
    <x v="0"/>
    <s v="ACH"/>
    <m/>
    <x v="1"/>
    <s v="USA"/>
    <s v="A. Kim"/>
    <x v="3"/>
    <s v="Analytics"/>
    <n v="0"/>
    <s v="SMB"/>
    <s v="High Value"/>
    <s v="Yes"/>
    <s v="No"/>
    <x v="0"/>
    <x v="0"/>
    <s v="NAQ2"/>
    <n v="260000"/>
  </r>
  <r>
    <s v="TXN-100022"/>
    <d v="2024-03-14T00:00:00"/>
    <x v="128"/>
    <s v="SVC-01"/>
    <n v="147.72"/>
    <x v="0"/>
    <s v="ACH"/>
    <s v="callback requested"/>
    <x v="0"/>
    <s v="Philippines"/>
    <s v="L. Chen"/>
    <x v="0"/>
    <s v="Payments"/>
    <n v="2.9000000000000001E-2"/>
    <s v="Enterprise"/>
    <s v="Standard"/>
    <s v="No"/>
    <s v="No"/>
    <x v="1"/>
    <x v="3"/>
    <s v="APACQ1"/>
    <n v="104500"/>
  </r>
  <r>
    <s v="TXN-100421"/>
    <d v="2024-02-10T00:00:00"/>
    <x v="31"/>
    <s v="SVC-01"/>
    <n v="183.97"/>
    <x v="0"/>
    <s v="Credit Card"/>
    <s v="VIP account"/>
    <x v="0"/>
    <s v="Philippines"/>
    <s v="M. Santos"/>
    <x v="0"/>
    <s v="Payments"/>
    <n v="2.9000000000000001E-2"/>
    <s v="Enterprise"/>
    <s v="Standard"/>
    <s v="No"/>
    <s v="No"/>
    <x v="1"/>
    <x v="3"/>
    <s v="APACQ1"/>
    <n v="104500"/>
  </r>
  <r>
    <s v="TXN-101824"/>
    <d v="2024-12-01T00:00:00"/>
    <x v="94"/>
    <s v="SVC-06"/>
    <n v="105.33"/>
    <x v="0"/>
    <s v="Wire Transfer"/>
    <s v="VIP account"/>
    <x v="1"/>
    <s v="United Kingdom"/>
    <s v="L. Chen"/>
    <x v="4"/>
    <s v="Platform"/>
    <n v="0"/>
    <s v="SMB"/>
    <s v="Standard"/>
    <s v="Yes"/>
    <s v="No"/>
    <x v="2"/>
    <x v="2"/>
    <s v="EMEAQ4"/>
    <n v="161000"/>
  </r>
  <r>
    <s v="TXN-102097"/>
    <d v="2024-04-26T00:00:00"/>
    <x v="66"/>
    <s v="SVC-04"/>
    <n v="58.05"/>
    <x v="0"/>
    <s v="ACH"/>
    <s v="escalated to support"/>
    <x v="3"/>
    <s v="Australia"/>
    <s v="L. Chen"/>
    <x v="2"/>
    <s v="Risk"/>
    <n v="1E-3"/>
    <s v="Startup"/>
    <s v="Standard"/>
    <s v="Yes"/>
    <s v="No"/>
    <x v="1"/>
    <x v="0"/>
    <s v="APACQ2"/>
    <n v="110000"/>
  </r>
  <r>
    <s v="TXN-100166"/>
    <d v="2024-11-27T00:00:00"/>
    <x v="69"/>
    <s v="SVC-01"/>
    <n v="408.79"/>
    <x v="0"/>
    <s v="Credit Card"/>
    <s v="VIP account"/>
    <x v="1"/>
    <s v="Philippines"/>
    <s v="J. Reyes"/>
    <x v="0"/>
    <s v="Payments"/>
    <n v="2.9000000000000001E-2"/>
    <s v="SMB"/>
    <s v="Standard"/>
    <s v="Yes"/>
    <s v="No"/>
    <x v="1"/>
    <x v="2"/>
    <s v="APACQ4"/>
    <n v="126500"/>
  </r>
  <r>
    <s v="TXN-101068"/>
    <d v="2024-08-04T00:00:00"/>
    <x v="57"/>
    <s v="SVC-01"/>
    <n v="362.26"/>
    <x v="0"/>
    <s v="Debit Card"/>
    <s v="escalated to support"/>
    <x v="1"/>
    <s v="USA"/>
    <s v="L. Chen"/>
    <x v="0"/>
    <s v="Payments"/>
    <n v="2.9000000000000001E-2"/>
    <s v="SMB"/>
    <s v="Standard"/>
    <s v="Yes"/>
    <s v="No"/>
    <x v="0"/>
    <x v="1"/>
    <s v="NAQ3"/>
    <n v="273000"/>
  </r>
  <r>
    <s v="TXN-100738"/>
    <d v="2024-06-10T00:00:00"/>
    <x v="91"/>
    <s v="SVC-03"/>
    <n v="345.46"/>
    <x v="0"/>
    <s v="Credit Card"/>
    <s v="callback requested"/>
    <x v="1"/>
    <s v="Singapore"/>
    <s v="A. Kim"/>
    <x v="5"/>
    <s v="Billing"/>
    <n v="5.0000000000000001E-3"/>
    <s v="SMB"/>
    <s v="High Value"/>
    <s v="Yes"/>
    <s v="Yes"/>
    <x v="1"/>
    <x v="0"/>
    <s v="APACQ2"/>
    <n v="110000"/>
  </r>
  <r>
    <s v="TXN-101725"/>
    <d v="2024-08-30T00:00:00"/>
    <x v="8"/>
    <s v="SVC-08"/>
    <n v="747.99"/>
    <x v="0"/>
    <s v="Credit Card"/>
    <s v="callback requested"/>
    <x v="1"/>
    <s v="USA"/>
    <s v="M. Santos"/>
    <x v="1"/>
    <s v="Risk"/>
    <n v="2.5000000000000001E-3"/>
    <s v="SMB"/>
    <s v="High Value"/>
    <s v="Yes"/>
    <s v="No"/>
    <x v="0"/>
    <x v="1"/>
    <s v="NAQ3"/>
    <n v="273000"/>
  </r>
  <r>
    <s v="TXN-102086"/>
    <d v="2024-04-26T00:00:00"/>
    <x v="44"/>
    <s v="SVC-01"/>
    <n v="384.13"/>
    <x v="0"/>
    <s v="Credit Card"/>
    <m/>
    <x v="0"/>
    <s v="Australia"/>
    <s v="T. Novak"/>
    <x v="0"/>
    <s v="Payments"/>
    <n v="2.9000000000000001E-2"/>
    <s v="Enterprise"/>
    <s v="Standard"/>
    <s v="Yes"/>
    <s v="No"/>
    <x v="1"/>
    <x v="0"/>
    <s v="APACQ2"/>
    <n v="110000"/>
  </r>
  <r>
    <s v="TXN-101549"/>
    <d v="2024-05-21T00:00:00"/>
    <x v="76"/>
    <s v="SVC-08"/>
    <n v="329.45"/>
    <x v="0"/>
    <s v="ACH"/>
    <s v="VIP account"/>
    <x v="3"/>
    <s v="United Kingdom"/>
    <s v="R. Patel"/>
    <x v="1"/>
    <s v="Risk"/>
    <n v="2.5000000000000001E-3"/>
    <s v="Startup"/>
    <s v="High Value"/>
    <s v="Yes"/>
    <s v="No"/>
    <x v="2"/>
    <x v="0"/>
    <s v="EMEAQ2"/>
    <n v="140000"/>
  </r>
  <r>
    <s v="TXN-100021"/>
    <d v="2024-01-19T00:00:00"/>
    <x v="97"/>
    <s v="SVC-03"/>
    <n v="651.04999999999995"/>
    <x v="0"/>
    <s v="Credit Card"/>
    <m/>
    <x v="0"/>
    <s v="United Kingdom"/>
    <s v="L. Chen"/>
    <x v="5"/>
    <s v="Billing"/>
    <n v="5.0000000000000001E-3"/>
    <s v="Enterprise"/>
    <s v="High Value"/>
    <s v="Yes"/>
    <s v="No"/>
    <x v="2"/>
    <x v="3"/>
    <s v="EMEAQ1"/>
    <n v="133000"/>
  </r>
  <r>
    <s v="TXN-100912"/>
    <d v="2024-03-17T00:00:00"/>
    <x v="76"/>
    <s v="SVC-04"/>
    <n v="673.89"/>
    <x v="0"/>
    <s v="ACH"/>
    <m/>
    <x v="3"/>
    <s v="United Kingdom"/>
    <s v="R. Patel"/>
    <x v="2"/>
    <s v="Risk"/>
    <n v="1E-3"/>
    <s v="Startup"/>
    <s v="High Value"/>
    <s v="Yes"/>
    <s v="Yes"/>
    <x v="2"/>
    <x v="3"/>
    <s v="EMEAQ1"/>
    <n v="133000"/>
  </r>
  <r>
    <s v="TXN-102334"/>
    <d v="2024-04-11T00:00:00"/>
    <x v="108"/>
    <s v="SVC-01"/>
    <n v="264.11"/>
    <x v="0"/>
    <s v="Credit Card"/>
    <m/>
    <x v="1"/>
    <s v="Germany"/>
    <s v="M. Santos"/>
    <x v="0"/>
    <s v="Payments"/>
    <n v="2.9000000000000001E-2"/>
    <s v="SMB"/>
    <s v="Standard"/>
    <s v="No"/>
    <s v="No"/>
    <x v="2"/>
    <x v="0"/>
    <s v="EMEAQ2"/>
    <n v="140000"/>
  </r>
  <r>
    <s v="TXN-101125"/>
    <d v="2024-09-16T00:00:00"/>
    <x v="35"/>
    <s v="SVC-01"/>
    <n v="100.31"/>
    <x v="0"/>
    <s v="Credit Card"/>
    <m/>
    <x v="3"/>
    <s v="Philippines"/>
    <s v="R. Patel"/>
    <x v="0"/>
    <s v="Payments"/>
    <n v="2.9000000000000001E-2"/>
    <s v="Startup"/>
    <s v="Standard"/>
    <s v="No"/>
    <s v="No"/>
    <x v="1"/>
    <x v="1"/>
    <s v="APACQ3"/>
    <n v="115500"/>
  </r>
  <r>
    <s v="TXN-101205"/>
    <d v="2024-10-02T00:00:00"/>
    <x v="92"/>
    <s v="SVC-05"/>
    <n v="557.21"/>
    <x v="0"/>
    <s v="Credit Card"/>
    <s v="VIP account"/>
    <x v="1"/>
    <s v="Canada"/>
    <s v="R. Patel"/>
    <x v="3"/>
    <s v="Analytics"/>
    <n v="0"/>
    <s v="SMB"/>
    <s v="High Value"/>
    <s v="Yes"/>
    <s v="Yes"/>
    <x v="0"/>
    <x v="2"/>
    <s v="NAQ4"/>
    <n v="299000"/>
  </r>
  <r>
    <s v="TXN-100340"/>
    <d v="2024-04-24T00:00:00"/>
    <x v="0"/>
    <s v="SVC-01"/>
    <n v="280.51"/>
    <x v="0"/>
    <s v="Debit Card"/>
    <m/>
    <x v="0"/>
    <s v="USA"/>
    <s v="J. Reyes"/>
    <x v="0"/>
    <s v="Payments"/>
    <n v="2.9000000000000001E-2"/>
    <s v="Enterprise"/>
    <s v="Standard"/>
    <s v="No"/>
    <s v="No"/>
    <x v="0"/>
    <x v="0"/>
    <s v="NAQ2"/>
    <n v="260000"/>
  </r>
  <r>
    <s v="TXN-100176"/>
    <d v="2024-01-09T00:00:00"/>
    <x v="119"/>
    <s v="SVC-05"/>
    <n v="680.21"/>
    <x v="0"/>
    <s v="ACH"/>
    <s v="VIP account"/>
    <x v="1"/>
    <s v="USA"/>
    <s v="R. Patel"/>
    <x v="3"/>
    <s v="Analytics"/>
    <n v="0"/>
    <s v="SMB"/>
    <s v="High Value"/>
    <s v="Yes"/>
    <s v="No"/>
    <x v="0"/>
    <x v="3"/>
    <s v="NAQ1"/>
    <n v="247000"/>
  </r>
  <r>
    <s v="TXN-100093"/>
    <d v="2024-09-16T00:00:00"/>
    <x v="72"/>
    <s v="SVC-06"/>
    <n v="236.15"/>
    <x v="0"/>
    <s v="Credit Card"/>
    <s v="escalated to support"/>
    <x v="1"/>
    <s v="United Kingdom"/>
    <s v="A. Kim"/>
    <x v="4"/>
    <s v="Platform"/>
    <n v="0"/>
    <s v="SMB"/>
    <s v="Standard"/>
    <s v="Yes"/>
    <s v="Yes"/>
    <x v="2"/>
    <x v="1"/>
    <s v="EMEAQ3"/>
    <n v="147000"/>
  </r>
  <r>
    <s v="TXN-102349"/>
    <d v="2024-02-16T00:00:00"/>
    <x v="118"/>
    <s v="SVC-06"/>
    <n v="105.16"/>
    <x v="0"/>
    <s v="Credit Card"/>
    <m/>
    <x v="1"/>
    <s v="USA"/>
    <s v="L. Chen"/>
    <x v="4"/>
    <s v="Platform"/>
    <n v="0"/>
    <s v="SMB"/>
    <s v="Standard"/>
    <s v="Yes"/>
    <s v="No"/>
    <x v="0"/>
    <x v="3"/>
    <s v="NAQ1"/>
    <n v="247000"/>
  </r>
  <r>
    <s v="TXN-100033"/>
    <d v="2024-11-17T00:00:00"/>
    <x v="43"/>
    <s v="SVC-04"/>
    <n v="236.74"/>
    <x v="0"/>
    <s v="Credit Card"/>
    <s v="VIP account"/>
    <x v="1"/>
    <s v="USA"/>
    <s v="M. Santos"/>
    <x v="2"/>
    <s v="Risk"/>
    <n v="1E-3"/>
    <s v="SMB"/>
    <s v="Standard"/>
    <s v="Yes"/>
    <s v="No"/>
    <x v="0"/>
    <x v="2"/>
    <s v="NAQ4"/>
    <n v="299000"/>
  </r>
  <r>
    <s v="TXN-101568"/>
    <d v="2024-02-26T00:00:00"/>
    <x v="128"/>
    <s v="SVC-01"/>
    <n v="1104.9100000000001"/>
    <x v="0"/>
    <s v="Credit Card"/>
    <m/>
    <x v="0"/>
    <s v="Philippines"/>
    <s v="L. Chen"/>
    <x v="0"/>
    <s v="Payments"/>
    <n v="2.9000000000000001E-2"/>
    <s v="Enterprise"/>
    <s v="High Value"/>
    <s v="Yes"/>
    <s v="No"/>
    <x v="1"/>
    <x v="3"/>
    <s v="APACQ1"/>
    <n v="104500"/>
  </r>
  <r>
    <s v="TXN-101061"/>
    <d v="2024-06-04T00:00:00"/>
    <x v="10"/>
    <s v="SVC-01"/>
    <n v="391.7"/>
    <x v="0"/>
    <s v="Credit Card"/>
    <s v="callback requested"/>
    <x v="1"/>
    <s v="USA"/>
    <s v="T. Novak"/>
    <x v="0"/>
    <s v="Payments"/>
    <n v="2.9000000000000001E-2"/>
    <s v="SMB"/>
    <s v="Standard"/>
    <s v="Yes"/>
    <s v="No"/>
    <x v="0"/>
    <x v="0"/>
    <s v="NAQ2"/>
    <n v="260000"/>
  </r>
  <r>
    <s v="TXN-100107"/>
    <d v="2024-03-10T00:00:00"/>
    <x v="6"/>
    <s v="SVC-01"/>
    <n v="393.46"/>
    <x v="3"/>
    <s v="Debit Card"/>
    <s v="callback requested"/>
    <x v="0"/>
    <s v="United Kingdom"/>
    <s v="R. Patel"/>
    <x v="0"/>
    <s v="Payments"/>
    <n v="2.9000000000000001E-2"/>
    <s v="N/A"/>
    <s v="Standard"/>
    <s v="Yes"/>
    <s v="No"/>
    <x v="2"/>
    <x v="3"/>
    <s v="EMEAQ1"/>
    <n v="133000"/>
  </r>
  <r>
    <s v="TXN-101504"/>
    <d v="2024-07-27T00:00:00"/>
    <x v="104"/>
    <s v="SVC-05"/>
    <n v="858.7"/>
    <x v="0"/>
    <s v="Credit Card"/>
    <m/>
    <x v="1"/>
    <s v="USA"/>
    <s v="M. Santos"/>
    <x v="3"/>
    <s v="Analytics"/>
    <n v="0"/>
    <s v="SMB"/>
    <s v="High Value"/>
    <s v="Yes"/>
    <s v="Yes"/>
    <x v="0"/>
    <x v="1"/>
    <s v="NAQ3"/>
    <n v="273000"/>
  </r>
  <r>
    <s v="TXN-101660"/>
    <d v="2024-05-23T00:00:00"/>
    <x v="113"/>
    <s v="SVC-01"/>
    <n v="471.61"/>
    <x v="0"/>
    <s v="Debit Card"/>
    <m/>
    <x v="3"/>
    <s v="United Kingdom"/>
    <s v="R. Patel"/>
    <x v="0"/>
    <s v="Payments"/>
    <n v="2.9000000000000001E-2"/>
    <s v="Startup"/>
    <s v="Standard"/>
    <s v="Yes"/>
    <s v="No"/>
    <x v="2"/>
    <x v="0"/>
    <s v="EMEAQ2"/>
    <n v="140000"/>
  </r>
  <r>
    <s v="TXN-101482"/>
    <d v="2024-08-17T00:00:00"/>
    <x v="30"/>
    <s v="SVC-06"/>
    <n v="555.72"/>
    <x v="0"/>
    <s v="Debit Card"/>
    <m/>
    <x v="1"/>
    <s v="Germany"/>
    <s v="M. Santos"/>
    <x v="4"/>
    <s v="Platform"/>
    <n v="0"/>
    <s v="SMB"/>
    <s v="High Value"/>
    <s v="Yes"/>
    <s v="Yes"/>
    <x v="2"/>
    <x v="1"/>
    <s v="EMEAQ3"/>
    <n v="147000"/>
  </r>
  <r>
    <s v="TXN-100546"/>
    <d v="2024-08-10T00:00:00"/>
    <x v="79"/>
    <s v="SVC-06"/>
    <n v="490.91"/>
    <x v="0"/>
    <s v="Wire Transfer"/>
    <m/>
    <x v="3"/>
    <s v="USA"/>
    <s v="T. Novak"/>
    <x v="4"/>
    <s v="Platform"/>
    <n v="0"/>
    <s v="Startup"/>
    <s v="High Value"/>
    <s v="Yes"/>
    <s v="No"/>
    <x v="0"/>
    <x v="1"/>
    <s v="NAQ3"/>
    <n v="273000"/>
  </r>
  <r>
    <s v="TXN-102415"/>
    <d v="2024-01-24T00:00:00"/>
    <x v="92"/>
    <s v="SVC-08"/>
    <n v="800.23"/>
    <x v="0"/>
    <s v="Credit Card"/>
    <m/>
    <x v="1"/>
    <s v="Canada"/>
    <s v="R. Patel"/>
    <x v="1"/>
    <s v="Risk"/>
    <n v="2.5000000000000001E-3"/>
    <s v="SMB"/>
    <s v="High Value"/>
    <s v="Yes"/>
    <s v="No"/>
    <x v="0"/>
    <x v="3"/>
    <s v="NAQ1"/>
    <n v="247000"/>
  </r>
  <r>
    <s v="TXN-101597"/>
    <d v="2024-07-19T00:00:00"/>
    <x v="55"/>
    <s v="SVC-06"/>
    <n v="57.21"/>
    <x v="3"/>
    <s v="ACH"/>
    <m/>
    <x v="3"/>
    <s v="USA"/>
    <s v="J. Reyes"/>
    <x v="4"/>
    <s v="Platform"/>
    <n v="0"/>
    <s v="N/A"/>
    <s v="Standard"/>
    <s v="Yes"/>
    <s v="No"/>
    <x v="0"/>
    <x v="1"/>
    <s v="NAQ3"/>
    <n v="273000"/>
  </r>
  <r>
    <s v="TXN-100640"/>
    <d v="2024-07-04T00:00:00"/>
    <x v="22"/>
    <s v="SVC-04"/>
    <n v="668.93"/>
    <x v="0"/>
    <s v="Debit Card"/>
    <s v="escalated to support"/>
    <x v="0"/>
    <s v="Australia"/>
    <s v="M. Santos"/>
    <x v="2"/>
    <s v="Risk"/>
    <n v="1E-3"/>
    <s v="Enterprise"/>
    <s v="High Value"/>
    <s v="Yes"/>
    <s v="No"/>
    <x v="1"/>
    <x v="1"/>
    <s v="APACQ3"/>
    <n v="115500"/>
  </r>
  <r>
    <s v="TXN-101867"/>
    <d v="2024-07-01T00:00:00"/>
    <x v="7"/>
    <s v="SVC-01"/>
    <n v="81.64"/>
    <x v="0"/>
    <s v="Credit Card"/>
    <m/>
    <x v="1"/>
    <s v="USA"/>
    <s v="T. Novak"/>
    <x v="0"/>
    <s v="Payments"/>
    <n v="2.9000000000000001E-2"/>
    <s v="SMB"/>
    <s v="Standard"/>
    <s v="No"/>
    <s v="No"/>
    <x v="0"/>
    <x v="1"/>
    <s v="NAQ3"/>
    <n v="273000"/>
  </r>
  <r>
    <s v="TXN-101837"/>
    <d v="2024-12-26T00:00:00"/>
    <x v="31"/>
    <s v="SVC-08"/>
    <n v="1067.48"/>
    <x v="0"/>
    <s v="Credit Card"/>
    <s v="callback requested"/>
    <x v="0"/>
    <s v="Philippines"/>
    <s v="M. Santos"/>
    <x v="1"/>
    <s v="Risk"/>
    <n v="2.5000000000000001E-3"/>
    <s v="Enterprise"/>
    <s v="High Value"/>
    <s v="Yes"/>
    <s v="No"/>
    <x v="1"/>
    <x v="2"/>
    <s v="APACQ4"/>
    <n v="126500"/>
  </r>
  <r>
    <s v="TXN-100755"/>
    <d v="2024-06-09T00:00:00"/>
    <x v="67"/>
    <s v="SVC-05"/>
    <n v="430.73"/>
    <x v="1"/>
    <s v="ACH"/>
    <s v="VIP account"/>
    <x v="3"/>
    <s v="Australia"/>
    <s v="Unassigned"/>
    <x v="3"/>
    <s v="Analytics"/>
    <n v="0"/>
    <s v="N/A"/>
    <s v="High Value"/>
    <s v="Yes"/>
    <s v="No"/>
    <x v="1"/>
    <x v="0"/>
    <s v="APACQ2"/>
    <n v="110000"/>
  </r>
  <r>
    <s v="TXN-100597"/>
    <d v="2024-09-28T00:00:00"/>
    <x v="84"/>
    <s v="SVC-01"/>
    <n v="-275.48"/>
    <x v="2"/>
    <s v="Debit Card"/>
    <s v="VIP account"/>
    <x v="3"/>
    <s v="Singapore"/>
    <s v="T. Novak"/>
    <x v="0"/>
    <s v="Payments"/>
    <n v="2.9000000000000001E-2"/>
    <s v="N/A"/>
    <s v="Refund"/>
    <s v="No"/>
    <s v="No"/>
    <x v="1"/>
    <x v="1"/>
    <s v="APACQ3"/>
    <n v="115500"/>
  </r>
  <r>
    <s v="TXN-101214"/>
    <d v="2024-04-01T00:00:00"/>
    <x v="68"/>
    <s v="SVC-05"/>
    <n v="441.02"/>
    <x v="0"/>
    <s v="Credit Card"/>
    <s v="escalated to support"/>
    <x v="1"/>
    <s v="USA"/>
    <s v="R. Patel"/>
    <x v="3"/>
    <s v="Analytics"/>
    <n v="0"/>
    <s v="SMB"/>
    <s v="High Value"/>
    <s v="Yes"/>
    <s v="No"/>
    <x v="0"/>
    <x v="0"/>
    <s v="NAQ2"/>
    <n v="260000"/>
  </r>
  <r>
    <s v="TXN-102068"/>
    <d v="2024-07-30T00:00:00"/>
    <x v="102"/>
    <s v="SVC-08"/>
    <n v="209.15"/>
    <x v="0"/>
    <s v="Unknown"/>
    <m/>
    <x v="1"/>
    <s v="Philippines"/>
    <s v="L. Chen"/>
    <x v="1"/>
    <s v="Risk"/>
    <n v="2.5000000000000001E-3"/>
    <s v="SMB"/>
    <s v="Standard"/>
    <s v="Yes"/>
    <s v="No"/>
    <x v="1"/>
    <x v="1"/>
    <s v="APACQ3"/>
    <n v="115500"/>
  </r>
  <r>
    <s v="TXN-101492"/>
    <d v="2024-11-04T00:00:00"/>
    <x v="36"/>
    <s v="SVC-08"/>
    <n v="104.96"/>
    <x v="0"/>
    <s v="Credit Card"/>
    <s v="VIP account"/>
    <x v="1"/>
    <s v="USA"/>
    <s v="M. Santos"/>
    <x v="1"/>
    <s v="Risk"/>
    <n v="2.5000000000000001E-3"/>
    <s v="SMB"/>
    <s v="Standard"/>
    <s v="Yes"/>
    <s v="Yes"/>
    <x v="0"/>
    <x v="2"/>
    <s v="NAQ4"/>
    <n v="299000"/>
  </r>
  <r>
    <s v="TXN-101498"/>
    <d v="2024-12-20T00:00:00"/>
    <x v="95"/>
    <s v="SVC-01"/>
    <n v="575.82000000000005"/>
    <x v="0"/>
    <s v="Wire Transfer"/>
    <m/>
    <x v="1"/>
    <s v="USA"/>
    <s v="R. Patel"/>
    <x v="0"/>
    <s v="Payments"/>
    <n v="2.9000000000000001E-2"/>
    <s v="SMB"/>
    <s v="High Value"/>
    <s v="Yes"/>
    <s v="No"/>
    <x v="0"/>
    <x v="2"/>
    <s v="NAQ4"/>
    <n v="299000"/>
  </r>
  <r>
    <s v="TXN-102556"/>
    <d v="2024-02-20T00:00:00"/>
    <x v="23"/>
    <s v="SVC-07"/>
    <n v="305.51"/>
    <x v="0"/>
    <s v="Debit Card"/>
    <s v="escalated to support"/>
    <x v="0"/>
    <s v="USA"/>
    <s v="L. Chen"/>
    <x v="7"/>
    <s v="Support"/>
    <n v="0"/>
    <s v="Enterprise"/>
    <s v="High Value"/>
    <s v="Yes"/>
    <s v="No"/>
    <x v="0"/>
    <x v="3"/>
    <s v="NAQ1"/>
    <n v="247000"/>
  </r>
  <r>
    <s v="TXN-101647"/>
    <d v="2024-12-06T00:00:00"/>
    <x v="47"/>
    <s v="SVC-01"/>
    <n v="774.9"/>
    <x v="3"/>
    <s v="Credit Card"/>
    <m/>
    <x v="1"/>
    <s v="Canada"/>
    <s v="R. Patel"/>
    <x v="0"/>
    <s v="Payments"/>
    <n v="2.9000000000000001E-2"/>
    <s v="N/A"/>
    <s v="High Value"/>
    <s v="Yes"/>
    <s v="No"/>
    <x v="0"/>
    <x v="2"/>
    <s v="NAQ4"/>
    <n v="299000"/>
  </r>
  <r>
    <s v="TXN-101425"/>
    <d v="2024-06-21T00:00:00"/>
    <x v="23"/>
    <s v="SVC-03"/>
    <n v="502.61"/>
    <x v="0"/>
    <s v="Wire Transfer"/>
    <m/>
    <x v="0"/>
    <s v="USA"/>
    <s v="L. Chen"/>
    <x v="5"/>
    <s v="Billing"/>
    <n v="5.0000000000000001E-3"/>
    <s v="Enterprise"/>
    <s v="High Value"/>
    <s v="Yes"/>
    <s v="No"/>
    <x v="0"/>
    <x v="0"/>
    <s v="NAQ2"/>
    <n v="260000"/>
  </r>
  <r>
    <s v="TXN-102489"/>
    <d v="2024-07-06T00:00:00"/>
    <x v="39"/>
    <s v="SVC-08"/>
    <n v="663.87"/>
    <x v="0"/>
    <s v="Credit Card"/>
    <s v="callback requested"/>
    <x v="1"/>
    <s v="United Kingdom"/>
    <s v="A. Kim"/>
    <x v="1"/>
    <s v="Risk"/>
    <n v="2.5000000000000001E-3"/>
    <s v="SMB"/>
    <s v="High Value"/>
    <s v="Yes"/>
    <s v="No"/>
    <x v="2"/>
    <x v="1"/>
    <s v="EMEAQ3"/>
    <n v="147000"/>
  </r>
  <r>
    <s v="TXN-101773"/>
    <d v="2024-11-07T00:00:00"/>
    <x v="62"/>
    <s v="SVC-02"/>
    <n v="248.18"/>
    <x v="3"/>
    <s v="ACH"/>
    <s v="VIP account"/>
    <x v="0"/>
    <s v="USA"/>
    <s v="A. Kim"/>
    <x v="6"/>
    <s v="HR &amp; Payroll"/>
    <n v="0"/>
    <s v="N/A"/>
    <s v="Standard"/>
    <s v="Yes"/>
    <s v="No"/>
    <x v="0"/>
    <x v="2"/>
    <s v="NAQ4"/>
    <n v="299000"/>
  </r>
  <r>
    <s v="TXN-101396"/>
    <d v="2024-02-03T00:00:00"/>
    <x v="38"/>
    <s v="SVC-05"/>
    <n v="308.64"/>
    <x v="0"/>
    <s v="ACH"/>
    <s v="callback requested"/>
    <x v="0"/>
    <s v="Australia"/>
    <s v="A. Kim"/>
    <x v="3"/>
    <s v="Analytics"/>
    <n v="0"/>
    <s v="Enterprise"/>
    <s v="High Value"/>
    <s v="Yes"/>
    <s v="Yes"/>
    <x v="1"/>
    <x v="3"/>
    <s v="APACQ1"/>
    <n v="104500"/>
  </r>
  <r>
    <s v="TXN-100435"/>
    <d v="2024-12-29T00:00:00"/>
    <x v="44"/>
    <s v="SVC-05"/>
    <n v="441.05"/>
    <x v="0"/>
    <s v="ACH"/>
    <s v="callback requested"/>
    <x v="0"/>
    <s v="Australia"/>
    <s v="T. Novak"/>
    <x v="3"/>
    <s v="Analytics"/>
    <n v="0"/>
    <s v="Enterprise"/>
    <s v="High Value"/>
    <s v="Yes"/>
    <s v="No"/>
    <x v="1"/>
    <x v="2"/>
    <s v="APACQ4"/>
    <n v="126500"/>
  </r>
  <r>
    <s v="TXN-101513"/>
    <d v="2024-06-02T00:00:00"/>
    <x v="1"/>
    <s v="SVC-05"/>
    <n v="495.74"/>
    <x v="0"/>
    <s v="Credit Card"/>
    <s v="VIP account"/>
    <x v="0"/>
    <s v="USA"/>
    <s v="J. Reyes"/>
    <x v="3"/>
    <s v="Analytics"/>
    <n v="0"/>
    <s v="Enterprise"/>
    <s v="High Value"/>
    <s v="Yes"/>
    <s v="No"/>
    <x v="0"/>
    <x v="0"/>
    <s v="NAQ2"/>
    <n v="260000"/>
  </r>
  <r>
    <s v="TXN-100126"/>
    <d v="2024-12-31T00:00:00"/>
    <x v="10"/>
    <s v="SVC-01"/>
    <n v="741.14"/>
    <x v="0"/>
    <s v="Credit Card"/>
    <s v="VIP account"/>
    <x v="1"/>
    <s v="USA"/>
    <s v="T. Novak"/>
    <x v="0"/>
    <s v="Payments"/>
    <n v="2.9000000000000001E-2"/>
    <s v="SMB"/>
    <s v="High Value"/>
    <s v="Yes"/>
    <s v="No"/>
    <x v="0"/>
    <x v="2"/>
    <s v="NAQ4"/>
    <n v="299000"/>
  </r>
  <r>
    <s v="TXN-100240"/>
    <d v="2024-05-02T00:00:00"/>
    <x v="68"/>
    <s v="SVC-05"/>
    <n v="579.4"/>
    <x v="0"/>
    <s v="Credit Card"/>
    <s v="callback requested"/>
    <x v="1"/>
    <s v="USA"/>
    <s v="R. Patel"/>
    <x v="3"/>
    <s v="Analytics"/>
    <n v="0"/>
    <s v="SMB"/>
    <s v="High Value"/>
    <s v="Yes"/>
    <s v="No"/>
    <x v="0"/>
    <x v="0"/>
    <s v="NAQ2"/>
    <n v="260000"/>
  </r>
  <r>
    <s v="TXN-100905"/>
    <d v="2024-04-17T00:00:00"/>
    <x v="109"/>
    <s v="SVC-01"/>
    <n v="879.47"/>
    <x v="3"/>
    <s v="ACH"/>
    <s v="escalated to support"/>
    <x v="0"/>
    <s v="USA"/>
    <s v="L. Chen"/>
    <x v="0"/>
    <s v="Payments"/>
    <n v="2.9000000000000001E-2"/>
    <s v="N/A"/>
    <s v="High Value"/>
    <s v="Yes"/>
    <s v="No"/>
    <x v="0"/>
    <x v="0"/>
    <s v="NAQ2"/>
    <n v="260000"/>
  </r>
  <r>
    <s v="TXN-102076"/>
    <d v="2024-08-09T00:00:00"/>
    <x v="67"/>
    <s v="SVC-01"/>
    <n v="436.24"/>
    <x v="3"/>
    <s v="ACH"/>
    <s v="escalated to support"/>
    <x v="3"/>
    <s v="Australia"/>
    <s v="Unassigned"/>
    <x v="0"/>
    <s v="Payments"/>
    <n v="2.9000000000000001E-2"/>
    <s v="N/A"/>
    <s v="Standard"/>
    <s v="Yes"/>
    <s v="No"/>
    <x v="1"/>
    <x v="1"/>
    <s v="APACQ3"/>
    <n v="115500"/>
  </r>
  <r>
    <s v="TXN-101157"/>
    <d v="2024-05-05T00:00:00"/>
    <x v="40"/>
    <s v="SVC-08"/>
    <n v="817.75"/>
    <x v="0"/>
    <s v="Credit Card"/>
    <m/>
    <x v="1"/>
    <s v="Philippines"/>
    <s v="M. Santos"/>
    <x v="1"/>
    <s v="Risk"/>
    <n v="2.5000000000000001E-3"/>
    <s v="SMB"/>
    <s v="High Value"/>
    <s v="Yes"/>
    <s v="Yes"/>
    <x v="1"/>
    <x v="0"/>
    <s v="APACQ2"/>
    <n v="110000"/>
  </r>
  <r>
    <s v="TXN-101600"/>
    <d v="2024-12-27T00:00:00"/>
    <x v="73"/>
    <s v="SVC-01"/>
    <n v="238.48"/>
    <x v="3"/>
    <s v="Debit Card"/>
    <m/>
    <x v="1"/>
    <s v="United Kingdom"/>
    <s v="R. Patel"/>
    <x v="0"/>
    <s v="Payments"/>
    <n v="2.9000000000000001E-2"/>
    <s v="N/A"/>
    <s v="Standard"/>
    <s v="No"/>
    <s v="No"/>
    <x v="2"/>
    <x v="2"/>
    <s v="EMEAQ4"/>
    <n v="161000"/>
  </r>
  <r>
    <s v="TXN-101745"/>
    <d v="2024-06-25T00:00:00"/>
    <x v="104"/>
    <s v="SVC-03"/>
    <n v="251.09"/>
    <x v="0"/>
    <s v="Credit Card"/>
    <s v="escalated to support"/>
    <x v="1"/>
    <s v="USA"/>
    <s v="M. Santos"/>
    <x v="5"/>
    <s v="Billing"/>
    <n v="5.0000000000000001E-3"/>
    <s v="SMB"/>
    <s v="High Value"/>
    <s v="Yes"/>
    <s v="No"/>
    <x v="0"/>
    <x v="0"/>
    <s v="NAQ2"/>
    <n v="260000"/>
  </r>
  <r>
    <s v="TXN-101471"/>
    <d v="2024-04-24T00:00:00"/>
    <x v="20"/>
    <s v="SVC-03"/>
    <n v="175.41"/>
    <x v="0"/>
    <s v="Debit Card"/>
    <s v="callback requested"/>
    <x v="1"/>
    <s v="USA"/>
    <s v="R. Patel"/>
    <x v="5"/>
    <s v="Billing"/>
    <n v="5.0000000000000001E-3"/>
    <s v="SMB"/>
    <s v="Standard"/>
    <s v="Yes"/>
    <s v="No"/>
    <x v="0"/>
    <x v="0"/>
    <s v="NAQ2"/>
    <n v="260000"/>
  </r>
  <r>
    <s v="TXN-102154"/>
    <d v="2024-01-24T00:00:00"/>
    <x v="117"/>
    <s v="SVC-01"/>
    <n v="340.27"/>
    <x v="0"/>
    <s v="Debit Card"/>
    <s v="callback requested"/>
    <x v="1"/>
    <s v="Canada"/>
    <s v="A. Kim"/>
    <x v="0"/>
    <s v="Payments"/>
    <n v="2.9000000000000001E-2"/>
    <s v="SMB"/>
    <s v="Standard"/>
    <s v="Yes"/>
    <s v="No"/>
    <x v="0"/>
    <x v="3"/>
    <s v="NAQ1"/>
    <n v="247000"/>
  </r>
  <r>
    <s v="TXN-102133"/>
    <d v="2024-09-04T00:00:00"/>
    <x v="58"/>
    <s v="SVC-01"/>
    <n v="990.4"/>
    <x v="0"/>
    <s v="Credit Card"/>
    <s v="escalated to support"/>
    <x v="1"/>
    <s v="Canada"/>
    <s v="M. Santos"/>
    <x v="0"/>
    <s v="Payments"/>
    <n v="2.9000000000000001E-2"/>
    <s v="SMB"/>
    <s v="High Value"/>
    <s v="Yes"/>
    <s v="No"/>
    <x v="0"/>
    <x v="1"/>
    <s v="NAQ3"/>
    <n v="273000"/>
  </r>
  <r>
    <s v="TXN-101131"/>
    <d v="2024-02-09T00:00:00"/>
    <x v="9"/>
    <s v="SVC-05"/>
    <n v="873"/>
    <x v="0"/>
    <s v="Credit Card"/>
    <s v="escalated to support"/>
    <x v="3"/>
    <s v="Philippines"/>
    <s v="T. Novak"/>
    <x v="3"/>
    <s v="Analytics"/>
    <n v="0"/>
    <s v="Startup"/>
    <s v="High Value"/>
    <s v="Yes"/>
    <s v="No"/>
    <x v="1"/>
    <x v="3"/>
    <s v="APACQ1"/>
    <n v="104500"/>
  </r>
  <r>
    <s v="TXN-102224"/>
    <d v="2024-11-14T00:00:00"/>
    <x v="34"/>
    <s v="SVC-01"/>
    <n v="445.04"/>
    <x v="0"/>
    <s v="Credit Card"/>
    <s v="callback requested"/>
    <x v="1"/>
    <s v="Germany"/>
    <s v="M. Santos"/>
    <x v="0"/>
    <s v="Payments"/>
    <n v="2.9000000000000001E-2"/>
    <s v="SMB"/>
    <s v="Standard"/>
    <s v="Yes"/>
    <s v="No"/>
    <x v="2"/>
    <x v="2"/>
    <s v="EMEAQ4"/>
    <n v="161000"/>
  </r>
  <r>
    <s v="TXN-101911"/>
    <d v="2024-09-27T00:00:00"/>
    <x v="114"/>
    <s v="SVC-08"/>
    <n v="361.2"/>
    <x v="0"/>
    <s v="Debit Card"/>
    <s v="escalated to support"/>
    <x v="3"/>
    <s v="Australia"/>
    <s v="A. Kim"/>
    <x v="1"/>
    <s v="Risk"/>
    <n v="2.5000000000000001E-3"/>
    <s v="Startup"/>
    <s v="High Value"/>
    <s v="Yes"/>
    <s v="No"/>
    <x v="1"/>
    <x v="1"/>
    <s v="APACQ3"/>
    <n v="115500"/>
  </r>
  <r>
    <s v="TXN-100267"/>
    <d v="2024-08-29T00:00:00"/>
    <x v="0"/>
    <s v="SVC-01"/>
    <n v="362.32"/>
    <x v="0"/>
    <s v="Unknown"/>
    <m/>
    <x v="0"/>
    <s v="USA"/>
    <s v="J. Reyes"/>
    <x v="0"/>
    <s v="Payments"/>
    <n v="2.9000000000000001E-2"/>
    <s v="Enterprise"/>
    <s v="Standard"/>
    <s v="Yes"/>
    <s v="No"/>
    <x v="0"/>
    <x v="1"/>
    <s v="NAQ3"/>
    <n v="273000"/>
  </r>
  <r>
    <s v="TXN-101993"/>
    <d v="2024-07-03T00:00:00"/>
    <x v="13"/>
    <s v="SVC-01"/>
    <n v="747.08"/>
    <x v="0"/>
    <s v="Wire Transfer"/>
    <s v="escalated to support"/>
    <x v="0"/>
    <s v="Canada"/>
    <s v="J. Reyes"/>
    <x v="0"/>
    <s v="Payments"/>
    <n v="2.9000000000000001E-2"/>
    <s v="Enterprise"/>
    <s v="High Value"/>
    <s v="Yes"/>
    <s v="No"/>
    <x v="0"/>
    <x v="1"/>
    <s v="NAQ3"/>
    <n v="273000"/>
  </r>
  <r>
    <s v="TXN-101160"/>
    <d v="2024-01-13T00:00:00"/>
    <x v="108"/>
    <s v="SVC-07"/>
    <n v="576.96"/>
    <x v="0"/>
    <s v="ACH"/>
    <s v="VIP account"/>
    <x v="1"/>
    <s v="Germany"/>
    <s v="M. Santos"/>
    <x v="7"/>
    <s v="Support"/>
    <n v="0"/>
    <s v="SMB"/>
    <s v="High Value"/>
    <s v="Yes"/>
    <s v="No"/>
    <x v="2"/>
    <x v="3"/>
    <s v="EMEAQ1"/>
    <n v="133000"/>
  </r>
  <r>
    <s v="TXN-101489"/>
    <d v="2024-02-24T00:00:00"/>
    <x v="13"/>
    <s v="SVC-01"/>
    <n v="179.17"/>
    <x v="0"/>
    <s v="ACH"/>
    <s v="VIP account"/>
    <x v="0"/>
    <s v="Canada"/>
    <s v="J. Reyes"/>
    <x v="0"/>
    <s v="Payments"/>
    <n v="2.9000000000000001E-2"/>
    <s v="Enterprise"/>
    <s v="Standard"/>
    <s v="No"/>
    <s v="No"/>
    <x v="0"/>
    <x v="3"/>
    <s v="NAQ1"/>
    <n v="247000"/>
  </r>
  <r>
    <s v="TXN-100570"/>
    <d v="2024-06-10T00:00:00"/>
    <x v="19"/>
    <s v="SVC-02"/>
    <n v="-397.17"/>
    <x v="2"/>
    <s v="ACH"/>
    <s v="VIP account"/>
    <x v="0"/>
    <s v="Canada"/>
    <s v="M. Santos"/>
    <x v="6"/>
    <s v="HR &amp; Payroll"/>
    <n v="0"/>
    <s v="N/A"/>
    <s v="Refund"/>
    <s v="No"/>
    <s v="No"/>
    <x v="0"/>
    <x v="0"/>
    <s v="NAQ2"/>
    <n v="260000"/>
  </r>
  <r>
    <s v="TXN-100009"/>
    <d v="2024-11-05T00:00:00"/>
    <x v="79"/>
    <s v="SVC-05"/>
    <n v="457.69"/>
    <x v="0"/>
    <s v="Unknown"/>
    <s v="VIP account"/>
    <x v="3"/>
    <s v="USA"/>
    <s v="T. Novak"/>
    <x v="3"/>
    <s v="Analytics"/>
    <n v="0"/>
    <s v="Startup"/>
    <s v="High Value"/>
    <s v="Yes"/>
    <s v="No"/>
    <x v="0"/>
    <x v="2"/>
    <s v="NAQ4"/>
    <n v="299000"/>
  </r>
  <r>
    <s v="TXN-102352"/>
    <d v="2024-02-20T00:00:00"/>
    <x v="19"/>
    <s v="SVC-02"/>
    <n v="369.64"/>
    <x v="0"/>
    <s v="Credit Card"/>
    <s v="escalated to support"/>
    <x v="0"/>
    <s v="Canada"/>
    <s v="M. Santos"/>
    <x v="6"/>
    <s v="HR &amp; Payroll"/>
    <n v="0"/>
    <s v="Enterprise"/>
    <s v="High Value"/>
    <s v="Yes"/>
    <s v="No"/>
    <x v="0"/>
    <x v="3"/>
    <s v="NAQ1"/>
    <n v="247000"/>
  </r>
  <r>
    <s v="TXN-101278"/>
    <d v="2024-08-28T00:00:00"/>
    <x v="113"/>
    <s v="SVC-07"/>
    <n v="279.44"/>
    <x v="3"/>
    <s v="Credit Card"/>
    <m/>
    <x v="3"/>
    <s v="United Kingdom"/>
    <s v="R. Patel"/>
    <x v="7"/>
    <s v="Support"/>
    <n v="0"/>
    <s v="N/A"/>
    <s v="High Value"/>
    <s v="Yes"/>
    <s v="No"/>
    <x v="2"/>
    <x v="1"/>
    <s v="EMEAQ3"/>
    <n v="147000"/>
  </r>
  <r>
    <s v="TXN-102036"/>
    <d v="2024-02-14T00:00:00"/>
    <x v="3"/>
    <s v="SVC-03"/>
    <n v="486.79"/>
    <x v="0"/>
    <s v="Credit Card"/>
    <m/>
    <x v="1"/>
    <s v="Canada"/>
    <s v="J. Reyes"/>
    <x v="5"/>
    <s v="Billing"/>
    <n v="5.0000000000000001E-3"/>
    <s v="SMB"/>
    <s v="High Value"/>
    <s v="Yes"/>
    <s v="Yes"/>
    <x v="0"/>
    <x v="3"/>
    <s v="NAQ1"/>
    <n v="247000"/>
  </r>
  <r>
    <s v="TXN-100719"/>
    <d v="2024-01-25T00:00:00"/>
    <x v="106"/>
    <s v="SVC-01"/>
    <n v="225.78"/>
    <x v="3"/>
    <s v="Debit Card"/>
    <s v="escalated to support"/>
    <x v="1"/>
    <s v="USA"/>
    <s v="J. Reyes"/>
    <x v="0"/>
    <s v="Payments"/>
    <n v="2.9000000000000001E-2"/>
    <s v="N/A"/>
    <s v="Standard"/>
    <s v="No"/>
    <s v="No"/>
    <x v="0"/>
    <x v="3"/>
    <s v="NAQ1"/>
    <n v="247000"/>
  </r>
  <r>
    <s v="TXN-101324"/>
    <d v="2024-04-21T00:00:00"/>
    <x v="90"/>
    <s v="SVC-08"/>
    <n v="264.57"/>
    <x v="0"/>
    <s v="Debit Card"/>
    <s v="callback requested"/>
    <x v="1"/>
    <s v="USA"/>
    <s v="A. Kim"/>
    <x v="1"/>
    <s v="Risk"/>
    <n v="2.5000000000000001E-3"/>
    <s v="SMB"/>
    <s v="High Value"/>
    <s v="Yes"/>
    <s v="No"/>
    <x v="0"/>
    <x v="0"/>
    <s v="NAQ2"/>
    <n v="260000"/>
  </r>
  <r>
    <s v="TXN-100685"/>
    <d v="2024-02-12T00:00:00"/>
    <x v="129"/>
    <s v="SVC-07"/>
    <n v="423.31"/>
    <x v="0"/>
    <s v="ACH"/>
    <s v="callback requested"/>
    <x v="1"/>
    <s v="Australia"/>
    <s v="A. Kim"/>
    <x v="7"/>
    <s v="Support"/>
    <n v="0"/>
    <s v="SMB"/>
    <s v="High Value"/>
    <s v="Yes"/>
    <s v="No"/>
    <x v="1"/>
    <x v="3"/>
    <s v="APACQ1"/>
    <n v="104500"/>
  </r>
  <r>
    <s v="TXN-101381"/>
    <d v="2024-10-21T00:00:00"/>
    <x v="63"/>
    <s v="SVC-03"/>
    <n v="614.12"/>
    <x v="3"/>
    <s v="Credit Card"/>
    <s v="VIP account"/>
    <x v="1"/>
    <s v="Philippines"/>
    <s v="T. Novak"/>
    <x v="5"/>
    <s v="Billing"/>
    <n v="5.0000000000000001E-3"/>
    <s v="N/A"/>
    <s v="High Value"/>
    <s v="Yes"/>
    <s v="No"/>
    <x v="1"/>
    <x v="2"/>
    <s v="APACQ4"/>
    <n v="126500"/>
  </r>
  <r>
    <s v="TXN-102516"/>
    <d v="2024-05-27T00:00:00"/>
    <x v="35"/>
    <s v="SVC-02"/>
    <n v="334.84"/>
    <x v="0"/>
    <s v="ACH"/>
    <m/>
    <x v="3"/>
    <s v="Philippines"/>
    <s v="R. Patel"/>
    <x v="6"/>
    <s v="HR &amp; Payroll"/>
    <n v="0"/>
    <s v="Startup"/>
    <s v="High Value"/>
    <s v="Yes"/>
    <s v="No"/>
    <x v="1"/>
    <x v="0"/>
    <s v="APACQ2"/>
    <n v="110000"/>
  </r>
  <r>
    <s v="TXN-101038"/>
    <d v="2024-10-01T00:00:00"/>
    <x v="62"/>
    <s v="SVC-01"/>
    <n v="176.17"/>
    <x v="3"/>
    <s v="Debit Card"/>
    <s v="callback requested"/>
    <x v="0"/>
    <s v="USA"/>
    <s v="A. Kim"/>
    <x v="0"/>
    <s v="Payments"/>
    <n v="2.9000000000000001E-2"/>
    <s v="N/A"/>
    <s v="Standard"/>
    <s v="No"/>
    <s v="No"/>
    <x v="0"/>
    <x v="2"/>
    <s v="NAQ4"/>
    <n v="299000"/>
  </r>
  <r>
    <s v="TXN-102245"/>
    <d v="2024-03-01T00:00:00"/>
    <x v="15"/>
    <s v="SVC-03"/>
    <n v="525.1"/>
    <x v="0"/>
    <s v="Credit Card"/>
    <m/>
    <x v="0"/>
    <s v="USA"/>
    <s v="L. Chen"/>
    <x v="5"/>
    <s v="Billing"/>
    <n v="5.0000000000000001E-3"/>
    <s v="Enterprise"/>
    <s v="High Value"/>
    <s v="Yes"/>
    <s v="No"/>
    <x v="0"/>
    <x v="3"/>
    <s v="NAQ1"/>
    <n v="247000"/>
  </r>
  <r>
    <s v="TXN-101666"/>
    <d v="2024-03-09T00:00:00"/>
    <x v="123"/>
    <s v="SVC-01"/>
    <n v="410.89"/>
    <x v="0"/>
    <s v="Wire Transfer"/>
    <m/>
    <x v="3"/>
    <s v="Australia"/>
    <s v="L. Chen"/>
    <x v="0"/>
    <s v="Payments"/>
    <n v="2.9000000000000001E-2"/>
    <s v="Startup"/>
    <s v="Standard"/>
    <s v="Yes"/>
    <s v="No"/>
    <x v="1"/>
    <x v="3"/>
    <s v="APACQ1"/>
    <n v="104500"/>
  </r>
  <r>
    <s v="TXN-100273"/>
    <d v="2024-07-10T00:00:00"/>
    <x v="77"/>
    <s v="SVC-08"/>
    <n v="360.99"/>
    <x v="0"/>
    <s v="Credit Card"/>
    <m/>
    <x v="1"/>
    <s v="Australia"/>
    <s v="L. Chen"/>
    <x v="1"/>
    <s v="Risk"/>
    <n v="2.5000000000000001E-3"/>
    <s v="SMB"/>
    <s v="High Value"/>
    <s v="Yes"/>
    <s v="No"/>
    <x v="1"/>
    <x v="1"/>
    <s v="APACQ3"/>
    <n v="115500"/>
  </r>
  <r>
    <s v="TXN-102518"/>
    <d v="2024-11-22T00:00:00"/>
    <x v="80"/>
    <s v="SVC-01"/>
    <n v="79.13"/>
    <x v="0"/>
    <s v="Credit Card"/>
    <s v="VIP account"/>
    <x v="1"/>
    <s v="Philippines"/>
    <s v="R. Patel"/>
    <x v="0"/>
    <s v="Payments"/>
    <n v="2.9000000000000001E-2"/>
    <s v="SMB"/>
    <s v="Standard"/>
    <s v="No"/>
    <s v="No"/>
    <x v="1"/>
    <x v="2"/>
    <s v="APACQ4"/>
    <n v="126500"/>
  </r>
  <r>
    <s v="TXN-100760"/>
    <d v="2024-10-20T00:00:00"/>
    <x v="9"/>
    <s v="SVC-03"/>
    <n v="390.81"/>
    <x v="0"/>
    <s v="Unknown"/>
    <s v="escalated to support"/>
    <x v="3"/>
    <s v="Philippines"/>
    <s v="T. Novak"/>
    <x v="5"/>
    <s v="Billing"/>
    <n v="5.0000000000000001E-3"/>
    <s v="Startup"/>
    <s v="High Value"/>
    <s v="Yes"/>
    <s v="No"/>
    <x v="1"/>
    <x v="2"/>
    <s v="APACQ4"/>
    <n v="126500"/>
  </r>
  <r>
    <s v="TXN-101775"/>
    <d v="2024-12-14T00:00:00"/>
    <x v="37"/>
    <s v="SVC-06"/>
    <n v="73.58"/>
    <x v="0"/>
    <s v="ACH"/>
    <m/>
    <x v="1"/>
    <s v="Canada"/>
    <s v="T. Novak"/>
    <x v="4"/>
    <s v="Platform"/>
    <n v="0"/>
    <s v="SMB"/>
    <s v="Standard"/>
    <s v="Yes"/>
    <s v="No"/>
    <x v="0"/>
    <x v="2"/>
    <s v="NAQ4"/>
    <n v="299000"/>
  </r>
  <r>
    <s v="TXN-101684"/>
    <d v="2024-09-21T00:00:00"/>
    <x v="30"/>
    <s v="SVC-02"/>
    <n v="442.66"/>
    <x v="0"/>
    <s v="Credit Card"/>
    <m/>
    <x v="1"/>
    <s v="Germany"/>
    <s v="M. Santos"/>
    <x v="6"/>
    <s v="HR &amp; Payroll"/>
    <n v="0"/>
    <s v="SMB"/>
    <s v="High Value"/>
    <s v="Yes"/>
    <s v="No"/>
    <x v="2"/>
    <x v="1"/>
    <s v="EMEAQ3"/>
    <n v="147000"/>
  </r>
  <r>
    <s v="TXN-100211"/>
    <d v="2024-08-02T00:00:00"/>
    <x v="7"/>
    <s v="SVC-03"/>
    <n v="318.41000000000003"/>
    <x v="0"/>
    <s v="Credit Card"/>
    <s v="callback requested"/>
    <x v="1"/>
    <s v="USA"/>
    <s v="T. Novak"/>
    <x v="5"/>
    <s v="Billing"/>
    <n v="5.0000000000000001E-3"/>
    <s v="SMB"/>
    <s v="High Value"/>
    <s v="Yes"/>
    <s v="Yes"/>
    <x v="0"/>
    <x v="1"/>
    <s v="NAQ3"/>
    <n v="273000"/>
  </r>
  <r>
    <s v="TXN-101358"/>
    <d v="2024-05-10T00:00:00"/>
    <x v="15"/>
    <s v="SVC-02"/>
    <n v="383.79"/>
    <x v="0"/>
    <s v="Credit Card"/>
    <s v="escalated to support"/>
    <x v="0"/>
    <s v="USA"/>
    <s v="L. Chen"/>
    <x v="6"/>
    <s v="HR &amp; Payroll"/>
    <n v="0"/>
    <s v="Enterprise"/>
    <s v="High Value"/>
    <s v="Yes"/>
    <s v="No"/>
    <x v="0"/>
    <x v="0"/>
    <s v="NAQ2"/>
    <n v="260000"/>
  </r>
  <r>
    <s v="TXN-100893"/>
    <d v="2024-12-24T00:00:00"/>
    <x v="64"/>
    <s v="SVC-08"/>
    <n v="225.95"/>
    <x v="1"/>
    <s v="ACH"/>
    <m/>
    <x v="1"/>
    <s v="United Kingdom"/>
    <s v="J. Reyes"/>
    <x v="1"/>
    <s v="Risk"/>
    <n v="2.5000000000000001E-3"/>
    <s v="N/A"/>
    <s v="Standard"/>
    <s v="Yes"/>
    <s v="No"/>
    <x v="2"/>
    <x v="2"/>
    <s v="EMEAQ4"/>
    <n v="161000"/>
  </r>
  <r>
    <s v="TXN-101375"/>
    <d v="2024-01-21T00:00:00"/>
    <x v="63"/>
    <s v="SVC-03"/>
    <n v="145.4"/>
    <x v="0"/>
    <s v="Unknown"/>
    <m/>
    <x v="1"/>
    <s v="Philippines"/>
    <s v="T. Novak"/>
    <x v="5"/>
    <s v="Billing"/>
    <n v="5.0000000000000001E-3"/>
    <s v="SMB"/>
    <s v="Standard"/>
    <s v="Yes"/>
    <s v="No"/>
    <x v="1"/>
    <x v="3"/>
    <s v="APACQ1"/>
    <n v="104500"/>
  </r>
  <r>
    <s v="TXN-100338"/>
    <d v="2024-05-07T00:00:00"/>
    <x v="33"/>
    <s v="SVC-03"/>
    <n v="582.83000000000004"/>
    <x v="0"/>
    <s v="Credit Card"/>
    <m/>
    <x v="3"/>
    <s v="Canada"/>
    <s v="T. Novak"/>
    <x v="5"/>
    <s v="Billing"/>
    <n v="5.0000000000000001E-3"/>
    <s v="Startup"/>
    <s v="High Value"/>
    <s v="Yes"/>
    <s v="No"/>
    <x v="0"/>
    <x v="0"/>
    <s v="NAQ2"/>
    <n v="260000"/>
  </r>
  <r>
    <s v="TXN-100973"/>
    <d v="2024-01-11T00:00:00"/>
    <x v="105"/>
    <s v="SVC-05"/>
    <n v="495.63"/>
    <x v="0"/>
    <s v="Debit Card"/>
    <s v="escalated to support"/>
    <x v="3"/>
    <s v="Philippines"/>
    <s v="T. Novak"/>
    <x v="3"/>
    <s v="Analytics"/>
    <n v="0"/>
    <s v="Startup"/>
    <s v="High Value"/>
    <s v="Yes"/>
    <s v="No"/>
    <x v="1"/>
    <x v="3"/>
    <s v="APACQ1"/>
    <n v="104500"/>
  </r>
  <r>
    <s v="TXN-100312"/>
    <d v="2024-10-12T00:00:00"/>
    <x v="2"/>
    <s v="SVC-07"/>
    <n v="241.53"/>
    <x v="0"/>
    <s v="ACH"/>
    <m/>
    <x v="0"/>
    <s v="USA"/>
    <s v="A. Kim"/>
    <x v="7"/>
    <s v="Support"/>
    <n v="0"/>
    <s v="Enterprise"/>
    <s v="Standard"/>
    <s v="Yes"/>
    <s v="No"/>
    <x v="0"/>
    <x v="2"/>
    <s v="NAQ4"/>
    <n v="299000"/>
  </r>
  <r>
    <s v="TXN-100197"/>
    <d v="2024-05-29T00:00:00"/>
    <x v="125"/>
    <s v="SVC-03"/>
    <n v="352.32"/>
    <x v="3"/>
    <s v="Debit Card"/>
    <s v="callback requested"/>
    <x v="1"/>
    <s v="USA"/>
    <s v="A. Kim"/>
    <x v="5"/>
    <s v="Billing"/>
    <n v="5.0000000000000001E-3"/>
    <s v="N/A"/>
    <s v="High Value"/>
    <s v="Yes"/>
    <s v="No"/>
    <x v="0"/>
    <x v="0"/>
    <s v="NAQ2"/>
    <n v="260000"/>
  </r>
  <r>
    <s v="TXN-101164"/>
    <d v="2024-07-08T00:00:00"/>
    <x v="86"/>
    <s v="SVC-04"/>
    <n v="261.56"/>
    <x v="0"/>
    <s v="Credit Card"/>
    <m/>
    <x v="1"/>
    <s v="Canada"/>
    <s v="L. Chen"/>
    <x v="2"/>
    <s v="Risk"/>
    <n v="1E-3"/>
    <s v="SMB"/>
    <s v="High Value"/>
    <s v="Yes"/>
    <s v="No"/>
    <x v="0"/>
    <x v="1"/>
    <s v="NAQ3"/>
    <n v="273000"/>
  </r>
  <r>
    <s v="TXN-101427"/>
    <d v="2024-08-28T00:00:00"/>
    <x v="60"/>
    <s v="SVC-02"/>
    <n v="178.32"/>
    <x v="0"/>
    <s v="Credit Card"/>
    <s v="VIP account"/>
    <x v="1"/>
    <s v="Australia"/>
    <s v="J. Reyes"/>
    <x v="6"/>
    <s v="HR &amp; Payroll"/>
    <n v="0"/>
    <s v="SMB"/>
    <s v="Standard"/>
    <s v="Yes"/>
    <s v="No"/>
    <x v="1"/>
    <x v="1"/>
    <s v="APACQ3"/>
    <n v="115500"/>
  </r>
  <r>
    <s v="TXN-102416"/>
    <d v="2024-01-25T00:00:00"/>
    <x v="15"/>
    <s v="SVC-03"/>
    <n v="266.64999999999998"/>
    <x v="0"/>
    <s v="Credit Card"/>
    <s v="VIP account"/>
    <x v="0"/>
    <s v="USA"/>
    <s v="L. Chen"/>
    <x v="5"/>
    <s v="Billing"/>
    <n v="5.0000000000000001E-3"/>
    <s v="Enterprise"/>
    <s v="High Value"/>
    <s v="Yes"/>
    <s v="No"/>
    <x v="0"/>
    <x v="3"/>
    <s v="NAQ1"/>
    <n v="247000"/>
  </r>
  <r>
    <s v="TXN-100622"/>
    <d v="2024-10-17T00:00:00"/>
    <x v="28"/>
    <s v="SVC-03"/>
    <n v="304.73"/>
    <x v="0"/>
    <s v="ACH"/>
    <m/>
    <x v="1"/>
    <s v="United Kingdom"/>
    <s v="L. Chen"/>
    <x v="5"/>
    <s v="Billing"/>
    <n v="5.0000000000000001E-3"/>
    <s v="SMB"/>
    <s v="High Value"/>
    <s v="Yes"/>
    <s v="No"/>
    <x v="2"/>
    <x v="2"/>
    <s v="EMEAQ4"/>
    <n v="161000"/>
  </r>
  <r>
    <s v="TXN-101022"/>
    <d v="2024-09-12T00:00:00"/>
    <x v="36"/>
    <s v="SVC-08"/>
    <n v="679.15"/>
    <x v="3"/>
    <s v="Unknown"/>
    <s v="callback requested"/>
    <x v="1"/>
    <s v="USA"/>
    <s v="M. Santos"/>
    <x v="1"/>
    <s v="Risk"/>
    <n v="2.5000000000000001E-3"/>
    <s v="N/A"/>
    <s v="High Value"/>
    <s v="Yes"/>
    <s v="No"/>
    <x v="0"/>
    <x v="1"/>
    <s v="NAQ3"/>
    <n v="273000"/>
  </r>
  <r>
    <s v="TXN-100694"/>
    <d v="2024-09-08T00:00:00"/>
    <x v="111"/>
    <s v="SVC-07"/>
    <n v="1279.17"/>
    <x v="0"/>
    <s v="Debit Card"/>
    <s v="escalated to support"/>
    <x v="1"/>
    <s v="Australia"/>
    <s v="A. Kim"/>
    <x v="7"/>
    <s v="Support"/>
    <n v="0"/>
    <s v="SMB"/>
    <s v="High Value"/>
    <s v="Yes"/>
    <s v="No"/>
    <x v="1"/>
    <x v="1"/>
    <s v="APACQ3"/>
    <n v="115500"/>
  </r>
  <r>
    <s v="TXN-101173"/>
    <d v="2024-08-20T00:00:00"/>
    <x v="72"/>
    <s v="SVC-02"/>
    <n v="196.5"/>
    <x v="0"/>
    <s v="Debit Card"/>
    <s v="escalated to support"/>
    <x v="1"/>
    <s v="United Kingdom"/>
    <s v="A. Kim"/>
    <x v="6"/>
    <s v="HR &amp; Payroll"/>
    <n v="0"/>
    <s v="SMB"/>
    <s v="Standard"/>
    <s v="Yes"/>
    <s v="No"/>
    <x v="2"/>
    <x v="1"/>
    <s v="EMEAQ3"/>
    <n v="147000"/>
  </r>
  <r>
    <s v="TXN-100501"/>
    <d v="2024-07-17T00:00:00"/>
    <x v="74"/>
    <s v="SVC-01"/>
    <n v="214.42"/>
    <x v="0"/>
    <s v="ACH"/>
    <m/>
    <x v="0"/>
    <s v="USA"/>
    <s v="A. Kim"/>
    <x v="0"/>
    <s v="Payments"/>
    <n v="2.9000000000000001E-2"/>
    <s v="Enterprise"/>
    <s v="Standard"/>
    <s v="No"/>
    <s v="No"/>
    <x v="0"/>
    <x v="1"/>
    <s v="NAQ3"/>
    <n v="273000"/>
  </r>
  <r>
    <s v="TXN-101553"/>
    <d v="2024-11-03T00:00:00"/>
    <x v="73"/>
    <s v="SVC-03"/>
    <n v="173.93"/>
    <x v="3"/>
    <s v="ACH"/>
    <m/>
    <x v="1"/>
    <s v="United Kingdom"/>
    <s v="R. Patel"/>
    <x v="5"/>
    <s v="Billing"/>
    <n v="5.0000000000000001E-3"/>
    <s v="N/A"/>
    <s v="Standard"/>
    <s v="Yes"/>
    <s v="No"/>
    <x v="2"/>
    <x v="2"/>
    <s v="EMEAQ4"/>
    <n v="161000"/>
  </r>
  <r>
    <s v="TXN-100456"/>
    <d v="2024-06-22T00:00:00"/>
    <x v="32"/>
    <s v="SVC-05"/>
    <n v="379.61"/>
    <x v="1"/>
    <s v="Credit Card"/>
    <m/>
    <x v="1"/>
    <s v="Philippines"/>
    <s v="T. Novak"/>
    <x v="3"/>
    <s v="Analytics"/>
    <n v="0"/>
    <s v="N/A"/>
    <s v="High Value"/>
    <s v="Yes"/>
    <s v="No"/>
    <x v="1"/>
    <x v="0"/>
    <s v="APACQ2"/>
    <n v="110000"/>
  </r>
  <r>
    <s v="TXN-101236"/>
    <d v="2024-06-02T00:00:00"/>
    <x v="119"/>
    <s v="SVC-05"/>
    <n v="573.09"/>
    <x v="0"/>
    <s v="ACH"/>
    <s v="VIP account"/>
    <x v="1"/>
    <s v="USA"/>
    <s v="R. Patel"/>
    <x v="3"/>
    <s v="Analytics"/>
    <n v="0"/>
    <s v="SMB"/>
    <s v="High Value"/>
    <s v="Yes"/>
    <s v="No"/>
    <x v="0"/>
    <x v="0"/>
    <s v="NAQ2"/>
    <n v="260000"/>
  </r>
  <r>
    <s v="TXN-102046"/>
    <d v="2024-10-13T00:00:00"/>
    <x v="87"/>
    <s v="SVC-01"/>
    <n v="-464.44"/>
    <x v="2"/>
    <s v="Wire Transfer"/>
    <m/>
    <x v="1"/>
    <s v="United Kingdom"/>
    <s v="J. Reyes"/>
    <x v="0"/>
    <s v="Payments"/>
    <n v="2.9000000000000001E-2"/>
    <s v="N/A"/>
    <s v="Refund"/>
    <s v="No"/>
    <s v="No"/>
    <x v="2"/>
    <x v="2"/>
    <s v="EMEAQ4"/>
    <n v="161000"/>
  </r>
  <r>
    <s v="TXN-100154"/>
    <d v="2024-10-23T00:00:00"/>
    <x v="82"/>
    <s v="SVC-06"/>
    <n v="831.19"/>
    <x v="0"/>
    <s v="Wire Transfer"/>
    <s v="VIP account"/>
    <x v="1"/>
    <s v="USA"/>
    <s v="T. Novak"/>
    <x v="4"/>
    <s v="Platform"/>
    <n v="0"/>
    <s v="SMB"/>
    <s v="High Value"/>
    <s v="Yes"/>
    <s v="No"/>
    <x v="0"/>
    <x v="2"/>
    <s v="NAQ4"/>
    <n v="299000"/>
  </r>
  <r>
    <s v="TXN-100327"/>
    <d v="2024-11-07T00:00:00"/>
    <x v="31"/>
    <s v="SVC-03"/>
    <n v="288.75"/>
    <x v="0"/>
    <s v="Credit Card"/>
    <m/>
    <x v="0"/>
    <s v="Philippines"/>
    <s v="M. Santos"/>
    <x v="5"/>
    <s v="Billing"/>
    <n v="5.0000000000000001E-3"/>
    <s v="Enterprise"/>
    <s v="High Value"/>
    <s v="Yes"/>
    <s v="No"/>
    <x v="1"/>
    <x v="2"/>
    <s v="APACQ4"/>
    <n v="126500"/>
  </r>
  <r>
    <s v="TXN-102270"/>
    <d v="2024-07-06T00:00:00"/>
    <x v="109"/>
    <s v="SVC-01"/>
    <n v="570.01"/>
    <x v="0"/>
    <s v="Credit Card"/>
    <m/>
    <x v="0"/>
    <s v="USA"/>
    <s v="L. Chen"/>
    <x v="0"/>
    <s v="Payments"/>
    <n v="2.9000000000000001E-2"/>
    <s v="Enterprise"/>
    <s v="High Value"/>
    <s v="Yes"/>
    <s v="No"/>
    <x v="0"/>
    <x v="1"/>
    <s v="NAQ3"/>
    <n v="273000"/>
  </r>
  <r>
    <s v="TXN-100979"/>
    <d v="2024-07-31T00:00:00"/>
    <x v="35"/>
    <s v="SVC-03"/>
    <n v="699.86"/>
    <x v="0"/>
    <s v="ACH"/>
    <s v="callback requested"/>
    <x v="3"/>
    <s v="Philippines"/>
    <s v="R. Patel"/>
    <x v="5"/>
    <s v="Billing"/>
    <n v="5.0000000000000001E-3"/>
    <s v="Startup"/>
    <s v="High Value"/>
    <s v="Yes"/>
    <s v="No"/>
    <x v="1"/>
    <x v="1"/>
    <s v="APACQ3"/>
    <n v="115500"/>
  </r>
  <r>
    <s v="TXN-100294"/>
    <d v="2024-10-28T00:00:00"/>
    <x v="97"/>
    <s v="SVC-01"/>
    <n v="124.42"/>
    <x v="0"/>
    <s v="ACH"/>
    <m/>
    <x v="0"/>
    <s v="United Kingdom"/>
    <s v="L. Chen"/>
    <x v="0"/>
    <s v="Payments"/>
    <n v="2.9000000000000001E-2"/>
    <s v="Enterprise"/>
    <s v="Standard"/>
    <s v="No"/>
    <s v="No"/>
    <x v="2"/>
    <x v="2"/>
    <s v="EMEAQ4"/>
    <n v="161000"/>
  </r>
  <r>
    <s v="TXN-100769"/>
    <d v="2024-10-07T00:00:00"/>
    <x v="6"/>
    <s v="SVC-01"/>
    <n v="262.44"/>
    <x v="0"/>
    <s v="Credit Card"/>
    <s v="VIP account"/>
    <x v="0"/>
    <s v="United Kingdom"/>
    <s v="R. Patel"/>
    <x v="0"/>
    <s v="Payments"/>
    <n v="2.9000000000000001E-2"/>
    <s v="Enterprise"/>
    <s v="Standard"/>
    <s v="No"/>
    <s v="No"/>
    <x v="2"/>
    <x v="2"/>
    <s v="EMEAQ4"/>
    <n v="161000"/>
  </r>
  <r>
    <s v="TXN-101756"/>
    <d v="2024-12-17T00:00:00"/>
    <x v="19"/>
    <s v="SVC-08"/>
    <n v="157.13"/>
    <x v="0"/>
    <s v="Wire Transfer"/>
    <s v="VIP account"/>
    <x v="0"/>
    <s v="Canada"/>
    <s v="M. Santos"/>
    <x v="1"/>
    <s v="Risk"/>
    <n v="2.5000000000000001E-3"/>
    <s v="Enterprise"/>
    <s v="Standard"/>
    <s v="Yes"/>
    <s v="No"/>
    <x v="0"/>
    <x v="2"/>
    <s v="NAQ4"/>
    <n v="299000"/>
  </r>
  <r>
    <s v="TXN-101207"/>
    <d v="2024-10-14T00:00:00"/>
    <x v="61"/>
    <s v="SVC-08"/>
    <n v="776.79"/>
    <x v="0"/>
    <s v="ACH"/>
    <m/>
    <x v="1"/>
    <s v="Australia"/>
    <s v="M. Santos"/>
    <x v="1"/>
    <s v="Risk"/>
    <n v="2.5000000000000001E-3"/>
    <s v="SMB"/>
    <s v="High Value"/>
    <s v="Yes"/>
    <s v="No"/>
    <x v="1"/>
    <x v="2"/>
    <s v="APACQ4"/>
    <n v="126500"/>
  </r>
  <r>
    <s v="TXN-101559"/>
    <d v="2024-08-16T00:00:00"/>
    <x v="6"/>
    <s v="SVC-03"/>
    <n v="205.63"/>
    <x v="1"/>
    <s v="ACH"/>
    <m/>
    <x v="0"/>
    <s v="United Kingdom"/>
    <s v="R. Patel"/>
    <x v="5"/>
    <s v="Billing"/>
    <n v="5.0000000000000001E-3"/>
    <s v="N/A"/>
    <s v="Standard"/>
    <s v="Yes"/>
    <s v="No"/>
    <x v="2"/>
    <x v="1"/>
    <s v="EMEAQ3"/>
    <n v="147000"/>
  </r>
  <r>
    <s v="TXN-102011"/>
    <d v="2024-04-30T00:00:00"/>
    <x v="129"/>
    <s v="SVC-02"/>
    <n v="127.62"/>
    <x v="0"/>
    <s v="ACH"/>
    <m/>
    <x v="1"/>
    <s v="Australia"/>
    <s v="A. Kim"/>
    <x v="6"/>
    <s v="HR &amp; Payroll"/>
    <n v="0"/>
    <s v="SMB"/>
    <s v="Standard"/>
    <s v="Yes"/>
    <s v="No"/>
    <x v="1"/>
    <x v="0"/>
    <s v="APACQ2"/>
    <n v="110000"/>
  </r>
  <r>
    <s v="TXN-101510"/>
    <d v="2024-09-15T00:00:00"/>
    <x v="57"/>
    <s v="SVC-05"/>
    <n v="968.19"/>
    <x v="3"/>
    <s v="Debit Card"/>
    <s v="escalated to support"/>
    <x v="1"/>
    <s v="USA"/>
    <s v="L. Chen"/>
    <x v="3"/>
    <s v="Analytics"/>
    <n v="0"/>
    <s v="N/A"/>
    <s v="High Value"/>
    <s v="Yes"/>
    <s v="No"/>
    <x v="0"/>
    <x v="1"/>
    <s v="NAQ3"/>
    <n v="273000"/>
  </r>
  <r>
    <s v="TXN-102090"/>
    <d v="2024-07-05T00:00:00"/>
    <x v="98"/>
    <s v="SVC-06"/>
    <n v="847.35"/>
    <x v="1"/>
    <s v="Debit Card"/>
    <m/>
    <x v="1"/>
    <s v="Philippines"/>
    <s v="T. Novak"/>
    <x v="4"/>
    <s v="Platform"/>
    <n v="0"/>
    <s v="N/A"/>
    <s v="High Value"/>
    <s v="Yes"/>
    <s v="No"/>
    <x v="1"/>
    <x v="1"/>
    <s v="APACQ3"/>
    <n v="115500"/>
  </r>
  <r>
    <s v="TXN-101952"/>
    <d v="2024-05-31T00:00:00"/>
    <x v="105"/>
    <s v="SVC-01"/>
    <n v="32.19"/>
    <x v="0"/>
    <s v="Debit Card"/>
    <m/>
    <x v="3"/>
    <s v="Philippines"/>
    <s v="T. Novak"/>
    <x v="0"/>
    <s v="Payments"/>
    <n v="2.9000000000000001E-2"/>
    <s v="Startup"/>
    <s v="Standard"/>
    <s v="No"/>
    <s v="No"/>
    <x v="1"/>
    <x v="0"/>
    <s v="APACQ2"/>
    <n v="110000"/>
  </r>
  <r>
    <s v="TXN-101787"/>
    <d v="2024-01-14T00:00:00"/>
    <x v="98"/>
    <s v="SVC-08"/>
    <n v="627.1"/>
    <x v="0"/>
    <s v="Debit Card"/>
    <m/>
    <x v="1"/>
    <s v="Philippines"/>
    <s v="T. Novak"/>
    <x v="1"/>
    <s v="Risk"/>
    <n v="2.5000000000000001E-3"/>
    <s v="SMB"/>
    <s v="High Value"/>
    <s v="Yes"/>
    <s v="No"/>
    <x v="1"/>
    <x v="3"/>
    <s v="APACQ1"/>
    <n v="104500"/>
  </r>
  <r>
    <s v="TXN-100873"/>
    <d v="2024-09-13T00:00:00"/>
    <x v="57"/>
    <s v="SVC-01"/>
    <n v="251.21"/>
    <x v="0"/>
    <s v="Credit Card"/>
    <s v="callback requested"/>
    <x v="1"/>
    <s v="USA"/>
    <s v="L. Chen"/>
    <x v="0"/>
    <s v="Payments"/>
    <n v="2.9000000000000001E-2"/>
    <s v="SMB"/>
    <s v="Standard"/>
    <s v="No"/>
    <s v="No"/>
    <x v="0"/>
    <x v="1"/>
    <s v="NAQ3"/>
    <n v="273000"/>
  </r>
  <r>
    <s v="TXN-100308"/>
    <d v="2024-02-25T00:00:00"/>
    <x v="71"/>
    <s v="SVC-01"/>
    <n v="98.19"/>
    <x v="0"/>
    <s v="ACH"/>
    <m/>
    <x v="1"/>
    <s v="United Kingdom"/>
    <s v="R. Patel"/>
    <x v="0"/>
    <s v="Payments"/>
    <n v="2.9000000000000001E-2"/>
    <s v="SMB"/>
    <s v="Standard"/>
    <s v="No"/>
    <s v="No"/>
    <x v="2"/>
    <x v="3"/>
    <s v="EMEAQ1"/>
    <n v="133000"/>
  </r>
  <r>
    <s v="TXN-101985"/>
    <d v="2024-09-25T00:00:00"/>
    <x v="2"/>
    <s v="SVC-01"/>
    <n v="211.4"/>
    <x v="3"/>
    <s v="Debit Card"/>
    <s v="escalated to support"/>
    <x v="0"/>
    <s v="USA"/>
    <s v="A. Kim"/>
    <x v="0"/>
    <s v="Payments"/>
    <n v="2.9000000000000001E-2"/>
    <s v="N/A"/>
    <s v="Standard"/>
    <s v="No"/>
    <s v="No"/>
    <x v="0"/>
    <x v="1"/>
    <s v="NAQ3"/>
    <n v="273000"/>
  </r>
  <r>
    <s v="TXN-100560"/>
    <d v="2024-11-18T00:00:00"/>
    <x v="30"/>
    <s v="SVC-01"/>
    <n v="73.03"/>
    <x v="0"/>
    <s v="ACH"/>
    <s v="escalated to support"/>
    <x v="1"/>
    <s v="Germany"/>
    <s v="M. Santos"/>
    <x v="0"/>
    <s v="Payments"/>
    <n v="2.9000000000000001E-2"/>
    <s v="SMB"/>
    <s v="Standard"/>
    <s v="No"/>
    <s v="No"/>
    <x v="2"/>
    <x v="2"/>
    <s v="EMEAQ4"/>
    <n v="161000"/>
  </r>
  <r>
    <s v="TXN-101299"/>
    <d v="2024-08-13T00:00:00"/>
    <x v="14"/>
    <s v="SVC-02"/>
    <n v="634.92999999999995"/>
    <x v="0"/>
    <s v="ACH"/>
    <m/>
    <x v="3"/>
    <s v="Canada"/>
    <s v="A. Kim"/>
    <x v="6"/>
    <s v="HR &amp; Payroll"/>
    <n v="0"/>
    <s v="Startup"/>
    <s v="High Value"/>
    <s v="Yes"/>
    <s v="No"/>
    <x v="0"/>
    <x v="1"/>
    <s v="NAQ3"/>
    <n v="273000"/>
  </r>
  <r>
    <s v="TXN-101226"/>
    <d v="2024-05-06T00:00:00"/>
    <x v="74"/>
    <s v="SVC-03"/>
    <n v="239.59"/>
    <x v="0"/>
    <s v="Debit Card"/>
    <m/>
    <x v="0"/>
    <s v="USA"/>
    <s v="A. Kim"/>
    <x v="5"/>
    <s v="Billing"/>
    <n v="5.0000000000000001E-3"/>
    <s v="Enterprise"/>
    <s v="Standard"/>
    <s v="Yes"/>
    <s v="No"/>
    <x v="0"/>
    <x v="0"/>
    <s v="NAQ2"/>
    <n v="260000"/>
  </r>
  <r>
    <s v="TXN-101882"/>
    <d v="2024-12-29T00:00:00"/>
    <x v="87"/>
    <s v="SVC-01"/>
    <n v="428.02"/>
    <x v="0"/>
    <s v="Credit Card"/>
    <m/>
    <x v="1"/>
    <s v="United Kingdom"/>
    <s v="J. Reyes"/>
    <x v="0"/>
    <s v="Payments"/>
    <n v="2.9000000000000001E-2"/>
    <s v="SMB"/>
    <s v="Standard"/>
    <s v="Yes"/>
    <s v="No"/>
    <x v="2"/>
    <x v="2"/>
    <s v="EMEAQ4"/>
    <n v="161000"/>
  </r>
  <r>
    <s v="TXN-102451"/>
    <d v="2024-11-07T00:00:00"/>
    <x v="19"/>
    <s v="SVC-01"/>
    <n v="82.84"/>
    <x v="0"/>
    <s v="Credit Card"/>
    <s v="callback requested"/>
    <x v="0"/>
    <s v="Canada"/>
    <s v="M. Santos"/>
    <x v="0"/>
    <s v="Payments"/>
    <n v="2.9000000000000001E-2"/>
    <s v="Enterprise"/>
    <s v="Standard"/>
    <s v="No"/>
    <s v="No"/>
    <x v="0"/>
    <x v="2"/>
    <s v="NAQ4"/>
    <n v="299000"/>
  </r>
  <r>
    <s v="TXN-100543"/>
    <d v="2024-06-28T00:00:00"/>
    <x v="94"/>
    <s v="SVC-03"/>
    <n v="364.31"/>
    <x v="0"/>
    <s v="ACH"/>
    <m/>
    <x v="1"/>
    <s v="United Kingdom"/>
    <s v="L. Chen"/>
    <x v="5"/>
    <s v="Billing"/>
    <n v="5.0000000000000001E-3"/>
    <s v="SMB"/>
    <s v="High Value"/>
    <s v="Yes"/>
    <s v="Yes"/>
    <x v="2"/>
    <x v="0"/>
    <s v="EMEAQ2"/>
    <n v="140000"/>
  </r>
  <r>
    <s v="TXN-100489"/>
    <d v="2024-12-03T00:00:00"/>
    <x v="70"/>
    <s v="SVC-05"/>
    <n v="797.47"/>
    <x v="0"/>
    <s v="ACH"/>
    <s v="escalated to support"/>
    <x v="3"/>
    <s v="Singapore"/>
    <s v="A. Kim"/>
    <x v="3"/>
    <s v="Analytics"/>
    <n v="0"/>
    <s v="Startup"/>
    <s v="High Value"/>
    <s v="Yes"/>
    <s v="No"/>
    <x v="1"/>
    <x v="2"/>
    <s v="APACQ4"/>
    <n v="126500"/>
  </r>
  <r>
    <s v="TXN-100377"/>
    <d v="2024-10-17T00:00:00"/>
    <x v="105"/>
    <s v="SVC-05"/>
    <n v="323.01"/>
    <x v="3"/>
    <s v="Debit Card"/>
    <s v="VIP account"/>
    <x v="3"/>
    <s v="Philippines"/>
    <s v="T. Novak"/>
    <x v="3"/>
    <s v="Analytics"/>
    <n v="0"/>
    <s v="N/A"/>
    <s v="High Value"/>
    <s v="Yes"/>
    <s v="No"/>
    <x v="1"/>
    <x v="2"/>
    <s v="APACQ4"/>
    <n v="126500"/>
  </r>
  <r>
    <s v="TXN-101186"/>
    <d v="2024-09-22T00:00:00"/>
    <x v="94"/>
    <s v="SVC-05"/>
    <n v="611.91"/>
    <x v="0"/>
    <s v="Unknown"/>
    <s v="VIP account"/>
    <x v="1"/>
    <s v="United Kingdom"/>
    <s v="L. Chen"/>
    <x v="3"/>
    <s v="Analytics"/>
    <n v="0"/>
    <s v="SMB"/>
    <s v="High Value"/>
    <s v="Yes"/>
    <s v="Yes"/>
    <x v="2"/>
    <x v="1"/>
    <s v="EMEAQ3"/>
    <n v="147000"/>
  </r>
  <r>
    <s v="TXN-100362"/>
    <d v="2024-10-20T00:00:00"/>
    <x v="67"/>
    <s v="SVC-03"/>
    <n v="182.17"/>
    <x v="0"/>
    <s v="Wire Transfer"/>
    <s v="VIP account"/>
    <x v="3"/>
    <s v="Australia"/>
    <s v="Unassigned"/>
    <x v="5"/>
    <s v="Billing"/>
    <n v="5.0000000000000001E-3"/>
    <s v="Startup"/>
    <s v="Standard"/>
    <s v="Yes"/>
    <s v="No"/>
    <x v="1"/>
    <x v="2"/>
    <s v="APACQ4"/>
    <n v="126500"/>
  </r>
  <r>
    <s v="TXN-102276"/>
    <d v="2024-07-30T00:00:00"/>
    <x v="66"/>
    <s v="SVC-01"/>
    <n v="-317.12"/>
    <x v="2"/>
    <s v="Credit Card"/>
    <s v="VIP account"/>
    <x v="3"/>
    <s v="Australia"/>
    <s v="L. Chen"/>
    <x v="0"/>
    <s v="Payments"/>
    <n v="2.9000000000000001E-2"/>
    <s v="N/A"/>
    <s v="Refund"/>
    <s v="No"/>
    <s v="No"/>
    <x v="1"/>
    <x v="1"/>
    <s v="APACQ3"/>
    <n v="115500"/>
  </r>
  <r>
    <s v="TXN-102134"/>
    <d v="2024-08-20T00:00:00"/>
    <x v="61"/>
    <s v="SVC-01"/>
    <n v="653.16999999999996"/>
    <x v="0"/>
    <s v="Credit Card"/>
    <m/>
    <x v="1"/>
    <s v="Australia"/>
    <s v="M. Santos"/>
    <x v="0"/>
    <s v="Payments"/>
    <n v="2.9000000000000001E-2"/>
    <s v="SMB"/>
    <s v="High Value"/>
    <s v="Yes"/>
    <s v="No"/>
    <x v="1"/>
    <x v="1"/>
    <s v="APACQ3"/>
    <n v="115500"/>
  </r>
  <r>
    <s v="TXN-102423"/>
    <d v="2024-02-11T00:00:00"/>
    <x v="17"/>
    <s v="SVC-07"/>
    <n v="1219.82"/>
    <x v="0"/>
    <s v="ACH"/>
    <s v="escalated to support"/>
    <x v="1"/>
    <s v="USA"/>
    <s v="A. Kim"/>
    <x v="7"/>
    <s v="Support"/>
    <n v="0"/>
    <s v="SMB"/>
    <s v="High Value"/>
    <s v="Yes"/>
    <s v="Yes"/>
    <x v="0"/>
    <x v="3"/>
    <s v="NAQ1"/>
    <n v="247000"/>
  </r>
  <r>
    <s v="TXN-100018"/>
    <d v="2024-01-02T00:00:00"/>
    <x v="72"/>
    <s v="SVC-01"/>
    <n v="317.70999999999998"/>
    <x v="0"/>
    <s v="Credit Card"/>
    <s v="escalated to support"/>
    <x v="1"/>
    <s v="United Kingdom"/>
    <s v="A. Kim"/>
    <x v="0"/>
    <s v="Payments"/>
    <n v="2.9000000000000001E-2"/>
    <s v="SMB"/>
    <s v="Standard"/>
    <s v="Yes"/>
    <s v="No"/>
    <x v="2"/>
    <x v="3"/>
    <s v="EMEAQ1"/>
    <n v="133000"/>
  </r>
  <r>
    <s v="TXN-101901"/>
    <d v="2024-10-02T00:00:00"/>
    <x v="19"/>
    <s v="SVC-01"/>
    <n v="460.82"/>
    <x v="0"/>
    <s v="Unknown"/>
    <s v="escalated to support"/>
    <x v="0"/>
    <s v="Canada"/>
    <s v="M. Santos"/>
    <x v="0"/>
    <s v="Payments"/>
    <n v="2.9000000000000001E-2"/>
    <s v="Enterprise"/>
    <s v="Standard"/>
    <s v="Yes"/>
    <s v="No"/>
    <x v="0"/>
    <x v="2"/>
    <s v="NAQ4"/>
    <n v="299000"/>
  </r>
  <r>
    <s v="TXN-101243"/>
    <d v="2024-12-08T00:00:00"/>
    <x v="122"/>
    <s v="SVC-02"/>
    <n v="242.01"/>
    <x v="0"/>
    <s v="ACH"/>
    <s v="VIP account"/>
    <x v="3"/>
    <s v="United Kingdom"/>
    <s v="A. Kim"/>
    <x v="6"/>
    <s v="HR &amp; Payroll"/>
    <n v="0"/>
    <s v="Startup"/>
    <s v="Standard"/>
    <s v="Yes"/>
    <s v="No"/>
    <x v="2"/>
    <x v="2"/>
    <s v="EMEAQ4"/>
    <n v="161000"/>
  </r>
  <r>
    <s v="TXN-100555"/>
    <d v="2024-02-06T00:00:00"/>
    <x v="40"/>
    <s v="SVC-01"/>
    <n v="236.84"/>
    <x v="0"/>
    <s v="Debit Card"/>
    <s v="escalated to support"/>
    <x v="1"/>
    <s v="Philippines"/>
    <s v="M. Santos"/>
    <x v="0"/>
    <s v="Payments"/>
    <n v="2.9000000000000001E-2"/>
    <s v="SMB"/>
    <s v="Standard"/>
    <s v="No"/>
    <s v="No"/>
    <x v="1"/>
    <x v="3"/>
    <s v="APACQ1"/>
    <n v="104500"/>
  </r>
  <r>
    <s v="TXN-100067"/>
    <d v="2024-03-27T00:00:00"/>
    <x v="62"/>
    <s v="SVC-02"/>
    <n v="70.52"/>
    <x v="0"/>
    <s v="Credit Card"/>
    <m/>
    <x v="0"/>
    <s v="USA"/>
    <s v="A. Kim"/>
    <x v="6"/>
    <s v="HR &amp; Payroll"/>
    <n v="0"/>
    <s v="Enterprise"/>
    <s v="Standard"/>
    <s v="Yes"/>
    <s v="No"/>
    <x v="0"/>
    <x v="3"/>
    <s v="NAQ1"/>
    <n v="247000"/>
  </r>
  <r>
    <s v="TXN-101268"/>
    <d v="2024-04-01T00:00:00"/>
    <x v="13"/>
    <s v="SVC-04"/>
    <n v="489.56"/>
    <x v="3"/>
    <s v="Unknown"/>
    <s v="callback requested"/>
    <x v="0"/>
    <s v="Canada"/>
    <s v="J. Reyes"/>
    <x v="2"/>
    <s v="Risk"/>
    <n v="1E-3"/>
    <s v="N/A"/>
    <s v="High Value"/>
    <s v="Yes"/>
    <s v="No"/>
    <x v="0"/>
    <x v="0"/>
    <s v="NAQ2"/>
    <n v="260000"/>
  </r>
  <r>
    <s v="TXN-100401"/>
    <d v="2024-12-23T00:00:00"/>
    <x v="52"/>
    <s v="SVC-07"/>
    <n v="313.60000000000002"/>
    <x v="0"/>
    <s v="Debit Card"/>
    <s v="callback requested"/>
    <x v="1"/>
    <s v="USA"/>
    <s v="M. Santos"/>
    <x v="7"/>
    <s v="Support"/>
    <n v="0"/>
    <s v="SMB"/>
    <s v="High Value"/>
    <s v="Yes"/>
    <s v="Yes"/>
    <x v="0"/>
    <x v="2"/>
    <s v="NAQ4"/>
    <n v="299000"/>
  </r>
  <r>
    <s v="TXN-100554"/>
    <d v="2024-08-31T00:00:00"/>
    <x v="60"/>
    <s v="SVC-05"/>
    <n v="609.63"/>
    <x v="0"/>
    <s v="Debit Card"/>
    <m/>
    <x v="1"/>
    <s v="Australia"/>
    <s v="J. Reyes"/>
    <x v="3"/>
    <s v="Analytics"/>
    <n v="0"/>
    <s v="SMB"/>
    <s v="High Value"/>
    <s v="Yes"/>
    <s v="Yes"/>
    <x v="1"/>
    <x v="1"/>
    <s v="APACQ3"/>
    <n v="115500"/>
  </r>
  <r>
    <s v="TXN-100833"/>
    <d v="2024-01-16T00:00:00"/>
    <x v="123"/>
    <s v="SVC-07"/>
    <n v="504.19"/>
    <x v="0"/>
    <s v="ACH"/>
    <s v="escalated to support"/>
    <x v="3"/>
    <s v="Australia"/>
    <s v="L. Chen"/>
    <x v="7"/>
    <s v="Support"/>
    <n v="0"/>
    <s v="Startup"/>
    <s v="High Value"/>
    <s v="Yes"/>
    <s v="No"/>
    <x v="1"/>
    <x v="3"/>
    <s v="APACQ1"/>
    <n v="104500"/>
  </r>
  <r>
    <s v="TXN-100476"/>
    <d v="2024-06-02T00:00:00"/>
    <x v="33"/>
    <s v="SVC-04"/>
    <n v="179.86"/>
    <x v="0"/>
    <s v="Credit Card"/>
    <m/>
    <x v="3"/>
    <s v="Canada"/>
    <s v="T. Novak"/>
    <x v="2"/>
    <s v="Risk"/>
    <n v="1E-3"/>
    <s v="Startup"/>
    <s v="Standard"/>
    <s v="Yes"/>
    <s v="No"/>
    <x v="0"/>
    <x v="0"/>
    <s v="NAQ2"/>
    <n v="260000"/>
  </r>
  <r>
    <s v="TXN-102030"/>
    <d v="2024-01-14T00:00:00"/>
    <x v="55"/>
    <s v="SVC-01"/>
    <n v="57.25"/>
    <x v="0"/>
    <s v="Credit Card"/>
    <m/>
    <x v="3"/>
    <s v="USA"/>
    <s v="J. Reyes"/>
    <x v="0"/>
    <s v="Payments"/>
    <n v="2.9000000000000001E-2"/>
    <s v="Startup"/>
    <s v="Standard"/>
    <s v="No"/>
    <s v="No"/>
    <x v="0"/>
    <x v="3"/>
    <s v="NAQ1"/>
    <n v="247000"/>
  </r>
  <r>
    <s v="TXN-100354"/>
    <d v="2024-09-24T00:00:00"/>
    <x v="114"/>
    <s v="SVC-06"/>
    <n v="468.98"/>
    <x v="0"/>
    <s v="ACH"/>
    <m/>
    <x v="3"/>
    <s v="Australia"/>
    <s v="A. Kim"/>
    <x v="4"/>
    <s v="Platform"/>
    <n v="0"/>
    <s v="Startup"/>
    <s v="High Value"/>
    <s v="Yes"/>
    <s v="No"/>
    <x v="1"/>
    <x v="1"/>
    <s v="APACQ3"/>
    <n v="115500"/>
  </r>
  <r>
    <s v="TXN-100406"/>
    <d v="2024-06-06T00:00:00"/>
    <x v="119"/>
    <s v="SVC-01"/>
    <n v="105.87"/>
    <x v="0"/>
    <s v="Credit Card"/>
    <m/>
    <x v="1"/>
    <s v="USA"/>
    <s v="R. Patel"/>
    <x v="0"/>
    <s v="Payments"/>
    <n v="2.9000000000000001E-2"/>
    <s v="SMB"/>
    <s v="Standard"/>
    <s v="No"/>
    <s v="No"/>
    <x v="0"/>
    <x v="0"/>
    <s v="NAQ2"/>
    <n v="260000"/>
  </r>
  <r>
    <s v="TXN-101969"/>
    <d v="2024-02-18T00:00:00"/>
    <x v="80"/>
    <s v="SVC-04"/>
    <n v="-489.26"/>
    <x v="2"/>
    <s v="Credit Card"/>
    <s v="VIP account"/>
    <x v="1"/>
    <s v="Philippines"/>
    <s v="R. Patel"/>
    <x v="2"/>
    <s v="Risk"/>
    <n v="1E-3"/>
    <s v="N/A"/>
    <s v="Refund"/>
    <s v="No"/>
    <s v="No"/>
    <x v="1"/>
    <x v="3"/>
    <s v="APACQ1"/>
    <n v="104500"/>
  </r>
  <r>
    <s v="TXN-101327"/>
    <d v="2024-07-02T00:00:00"/>
    <x v="6"/>
    <s v="SVC-06"/>
    <n v="262.02"/>
    <x v="0"/>
    <s v="ACH"/>
    <m/>
    <x v="0"/>
    <s v="United Kingdom"/>
    <s v="R. Patel"/>
    <x v="4"/>
    <s v="Platform"/>
    <n v="0"/>
    <s v="Enterprise"/>
    <s v="High Value"/>
    <s v="Yes"/>
    <s v="No"/>
    <x v="2"/>
    <x v="1"/>
    <s v="EMEAQ3"/>
    <n v="147000"/>
  </r>
  <r>
    <s v="TXN-102499"/>
    <d v="2024-11-11T00:00:00"/>
    <x v="82"/>
    <s v="SVC-01"/>
    <n v="371.87"/>
    <x v="0"/>
    <s v="ACH"/>
    <m/>
    <x v="1"/>
    <s v="USA"/>
    <s v="T. Novak"/>
    <x v="0"/>
    <s v="Payments"/>
    <n v="2.9000000000000001E-2"/>
    <s v="SMB"/>
    <s v="Standard"/>
    <s v="Yes"/>
    <s v="No"/>
    <x v="0"/>
    <x v="2"/>
    <s v="NAQ4"/>
    <n v="299000"/>
  </r>
  <r>
    <s v="TXN-100241"/>
    <d v="2024-12-28T00:00:00"/>
    <x v="54"/>
    <s v="SVC-01"/>
    <n v="422.75"/>
    <x v="0"/>
    <s v="Credit Card"/>
    <m/>
    <x v="1"/>
    <s v="USA"/>
    <s v="J. Reyes"/>
    <x v="0"/>
    <s v="Payments"/>
    <n v="2.9000000000000001E-2"/>
    <s v="SMB"/>
    <s v="Standard"/>
    <s v="Yes"/>
    <s v="No"/>
    <x v="0"/>
    <x v="2"/>
    <s v="NAQ4"/>
    <n v="299000"/>
  </r>
  <r>
    <s v="TXN-101566"/>
    <d v="2024-01-05T00:00:00"/>
    <x v="127"/>
    <s v="SVC-01"/>
    <n v="359.87"/>
    <x v="0"/>
    <s v="ACH"/>
    <m/>
    <x v="0"/>
    <s v="USA"/>
    <s v="R. Patel"/>
    <x v="0"/>
    <s v="Payments"/>
    <n v="2.9000000000000001E-2"/>
    <s v="Enterprise"/>
    <s v="Standard"/>
    <s v="Yes"/>
    <s v="No"/>
    <x v="0"/>
    <x v="3"/>
    <s v="NAQ1"/>
    <n v="247000"/>
  </r>
  <r>
    <s v="TXN-102227"/>
    <d v="2024-10-05T00:00:00"/>
    <x v="66"/>
    <s v="SVC-01"/>
    <n v="268.29000000000002"/>
    <x v="0"/>
    <s v="Credit Card"/>
    <s v="VIP account"/>
    <x v="3"/>
    <s v="Australia"/>
    <s v="L. Chen"/>
    <x v="0"/>
    <s v="Payments"/>
    <n v="2.9000000000000001E-2"/>
    <s v="Startup"/>
    <s v="Standard"/>
    <s v="No"/>
    <s v="No"/>
    <x v="1"/>
    <x v="2"/>
    <s v="APACQ4"/>
    <n v="126500"/>
  </r>
  <r>
    <s v="TXN-100842"/>
    <d v="2024-05-06T00:00:00"/>
    <x v="24"/>
    <s v="SVC-04"/>
    <n v="121.98"/>
    <x v="0"/>
    <s v="Debit Card"/>
    <s v="callback requested"/>
    <x v="1"/>
    <s v="USA"/>
    <s v="M. Santos"/>
    <x v="2"/>
    <s v="Risk"/>
    <n v="1E-3"/>
    <s v="SMB"/>
    <s v="Standard"/>
    <s v="Yes"/>
    <s v="No"/>
    <x v="0"/>
    <x v="0"/>
    <s v="NAQ2"/>
    <n v="260000"/>
  </r>
  <r>
    <s v="TXN-100409"/>
    <d v="2024-07-24T00:00:00"/>
    <x v="107"/>
    <s v="SVC-05"/>
    <n v="1034.27"/>
    <x v="0"/>
    <s v="Wire Transfer"/>
    <s v="VIP account"/>
    <x v="1"/>
    <s v="USA"/>
    <s v="M. Santos"/>
    <x v="3"/>
    <s v="Analytics"/>
    <n v="0"/>
    <s v="SMB"/>
    <s v="High Value"/>
    <s v="Yes"/>
    <s v="No"/>
    <x v="0"/>
    <x v="1"/>
    <s v="NAQ3"/>
    <n v="273000"/>
  </r>
  <r>
    <s v="TXN-101990"/>
    <d v="2024-12-02T00:00:00"/>
    <x v="134"/>
    <s v="SVC-07"/>
    <n v="137.87"/>
    <x v="0"/>
    <s v="ACH"/>
    <s v="callback requested"/>
    <x v="1"/>
    <s v="Philippines"/>
    <s v="T. Novak"/>
    <x v="7"/>
    <s v="Support"/>
    <n v="0"/>
    <s v="SMB"/>
    <s v="Standard"/>
    <s v="Yes"/>
    <s v="No"/>
    <x v="1"/>
    <x v="2"/>
    <s v="APACQ4"/>
    <n v="126500"/>
  </r>
  <r>
    <s v="TXN-102571"/>
    <d v="2024-07-20T00:00:00"/>
    <x v="90"/>
    <s v="SVC-01"/>
    <n v="-236.3"/>
    <x v="2"/>
    <s v="ACH"/>
    <m/>
    <x v="1"/>
    <s v="USA"/>
    <s v="A. Kim"/>
    <x v="0"/>
    <s v="Payments"/>
    <n v="2.9000000000000001E-2"/>
    <s v="N/A"/>
    <s v="Refund"/>
    <s v="No"/>
    <s v="No"/>
    <x v="0"/>
    <x v="1"/>
    <s v="NAQ3"/>
    <n v="273000"/>
  </r>
  <r>
    <s v="TXN-102580"/>
    <d v="2024-05-03T00:00:00"/>
    <x v="85"/>
    <s v="SVC-05"/>
    <n v="-1284.9000000000001"/>
    <x v="2"/>
    <s v="ACH"/>
    <m/>
    <x v="0"/>
    <s v="Canada"/>
    <s v="T. Novak"/>
    <x v="3"/>
    <s v="Analytics"/>
    <n v="0"/>
    <s v="N/A"/>
    <s v="Refund"/>
    <s v="No"/>
    <s v="No"/>
    <x v="0"/>
    <x v="0"/>
    <s v="NAQ2"/>
    <n v="260000"/>
  </r>
  <r>
    <s v="TXN-101959"/>
    <d v="2024-02-21T00:00:00"/>
    <x v="35"/>
    <s v="SVC-07"/>
    <n v="-363.23"/>
    <x v="2"/>
    <s v="Credit Card"/>
    <s v="VIP account"/>
    <x v="3"/>
    <s v="Philippines"/>
    <s v="R. Patel"/>
    <x v="7"/>
    <s v="Support"/>
    <n v="0"/>
    <s v="N/A"/>
    <s v="Refund"/>
    <s v="No"/>
    <s v="No"/>
    <x v="1"/>
    <x v="3"/>
    <s v="APACQ1"/>
    <n v="104500"/>
  </r>
  <r>
    <s v="TXN-100252"/>
    <d v="2024-03-13T00:00:00"/>
    <x v="20"/>
    <s v="SVC-08"/>
    <n v="84.97"/>
    <x v="0"/>
    <s v="Debit Card"/>
    <s v="VIP account"/>
    <x v="1"/>
    <s v="USA"/>
    <s v="R. Patel"/>
    <x v="1"/>
    <s v="Risk"/>
    <n v="2.5000000000000001E-3"/>
    <s v="SMB"/>
    <s v="Standard"/>
    <s v="Yes"/>
    <s v="No"/>
    <x v="0"/>
    <x v="3"/>
    <s v="NAQ1"/>
    <n v="247000"/>
  </r>
  <r>
    <s v="TXN-101743"/>
    <d v="2024-04-14T00:00:00"/>
    <x v="27"/>
    <s v="SVC-03"/>
    <n v="323.3"/>
    <x v="3"/>
    <s v="ACH"/>
    <m/>
    <x v="1"/>
    <s v="Canada"/>
    <s v="L. Chen"/>
    <x v="5"/>
    <s v="Billing"/>
    <n v="5.0000000000000001E-3"/>
    <s v="N/A"/>
    <s v="High Value"/>
    <s v="Yes"/>
    <s v="Yes"/>
    <x v="0"/>
    <x v="0"/>
    <s v="NAQ2"/>
    <n v="260000"/>
  </r>
  <r>
    <s v="TXN-100306"/>
    <d v="2024-12-29T00:00:00"/>
    <x v="73"/>
    <s v="SVC-05"/>
    <n v="239.46"/>
    <x v="0"/>
    <s v="Credit Card"/>
    <m/>
    <x v="1"/>
    <s v="United Kingdom"/>
    <s v="R. Patel"/>
    <x v="3"/>
    <s v="Analytics"/>
    <n v="0"/>
    <s v="SMB"/>
    <s v="Standard"/>
    <s v="Yes"/>
    <s v="No"/>
    <x v="2"/>
    <x v="2"/>
    <s v="EMEAQ4"/>
    <n v="161000"/>
  </r>
  <r>
    <s v="TXN-100809"/>
    <d v="2024-11-29T00:00:00"/>
    <x v="68"/>
    <s v="SVC-03"/>
    <n v="66.569999999999993"/>
    <x v="0"/>
    <s v="Debit Card"/>
    <m/>
    <x v="1"/>
    <s v="USA"/>
    <s v="R. Patel"/>
    <x v="5"/>
    <s v="Billing"/>
    <n v="5.0000000000000001E-3"/>
    <s v="SMB"/>
    <s v="Standard"/>
    <s v="Yes"/>
    <s v="Yes"/>
    <x v="0"/>
    <x v="2"/>
    <s v="NAQ4"/>
    <n v="299000"/>
  </r>
  <r>
    <s v="TXN-101308"/>
    <d v="2024-02-24T00:00:00"/>
    <x v="41"/>
    <s v="SVC-07"/>
    <n v="606"/>
    <x v="0"/>
    <s v="Wire Transfer"/>
    <s v="escalated to support"/>
    <x v="0"/>
    <s v="Canada"/>
    <s v="M. Santos"/>
    <x v="7"/>
    <s v="Support"/>
    <n v="0"/>
    <s v="Enterprise"/>
    <s v="High Value"/>
    <s v="Yes"/>
    <s v="No"/>
    <x v="0"/>
    <x v="3"/>
    <s v="NAQ1"/>
    <n v="247000"/>
  </r>
  <r>
    <s v="TXN-100859"/>
    <d v="2024-11-19T00:00:00"/>
    <x v="33"/>
    <s v="SVC-04"/>
    <n v="358.62"/>
    <x v="0"/>
    <s v="Unknown"/>
    <s v="escalated to support"/>
    <x v="3"/>
    <s v="Canada"/>
    <s v="T. Novak"/>
    <x v="2"/>
    <s v="Risk"/>
    <n v="1E-3"/>
    <s v="Startup"/>
    <s v="High Value"/>
    <s v="Yes"/>
    <s v="No"/>
    <x v="0"/>
    <x v="2"/>
    <s v="NAQ4"/>
    <n v="299000"/>
  </r>
  <r>
    <s v="TXN-100246"/>
    <d v="2024-12-31T00:00:00"/>
    <x v="107"/>
    <s v="SVC-03"/>
    <n v="421.46"/>
    <x v="0"/>
    <s v="Credit Card"/>
    <s v="callback requested"/>
    <x v="1"/>
    <s v="USA"/>
    <s v="M. Santos"/>
    <x v="5"/>
    <s v="Billing"/>
    <n v="5.0000000000000001E-3"/>
    <s v="SMB"/>
    <s v="High Value"/>
    <s v="Yes"/>
    <s v="No"/>
    <x v="0"/>
    <x v="2"/>
    <s v="NAQ4"/>
    <n v="299000"/>
  </r>
  <r>
    <s v="TXN-100639"/>
    <d v="2024-09-08T00:00:00"/>
    <x v="85"/>
    <s v="SVC-02"/>
    <n v="1148.7"/>
    <x v="1"/>
    <s v="ACH"/>
    <m/>
    <x v="0"/>
    <s v="Canada"/>
    <s v="T. Novak"/>
    <x v="6"/>
    <s v="HR &amp; Payroll"/>
    <n v="0"/>
    <s v="N/A"/>
    <s v="High Value"/>
    <s v="Yes"/>
    <s v="No"/>
    <x v="0"/>
    <x v="1"/>
    <s v="NAQ3"/>
    <n v="273000"/>
  </r>
  <r>
    <s v="TXN-101070"/>
    <d v="2024-02-13T00:00:00"/>
    <x v="99"/>
    <s v="SVC-08"/>
    <n v="151.49"/>
    <x v="0"/>
    <s v="Credit Card"/>
    <s v="callback requested"/>
    <x v="1"/>
    <s v="Canada"/>
    <s v="R. Patel"/>
    <x v="1"/>
    <s v="Risk"/>
    <n v="2.5000000000000001E-3"/>
    <s v="SMB"/>
    <s v="Standard"/>
    <s v="Yes"/>
    <s v="No"/>
    <x v="0"/>
    <x v="3"/>
    <s v="NAQ1"/>
    <n v="247000"/>
  </r>
  <r>
    <s v="TXN-102268"/>
    <d v="2024-05-12T00:00:00"/>
    <x v="75"/>
    <s v="SVC-01"/>
    <n v="817.15"/>
    <x v="0"/>
    <s v="Unknown"/>
    <m/>
    <x v="0"/>
    <s v="Canada"/>
    <s v="R. Patel"/>
    <x v="0"/>
    <s v="Payments"/>
    <n v="2.9000000000000001E-2"/>
    <s v="Enterprise"/>
    <s v="High Value"/>
    <s v="Yes"/>
    <s v="No"/>
    <x v="0"/>
    <x v="0"/>
    <s v="NAQ2"/>
    <n v="260000"/>
  </r>
  <r>
    <s v="TXN-101239"/>
    <d v="2024-12-03T00:00:00"/>
    <x v="26"/>
    <s v="SVC-03"/>
    <n v="1252.78"/>
    <x v="0"/>
    <s v="Credit Card"/>
    <m/>
    <x v="3"/>
    <s v="USA"/>
    <s v="R. Patel"/>
    <x v="5"/>
    <s v="Billing"/>
    <n v="5.0000000000000001E-3"/>
    <s v="Startup"/>
    <s v="High Value"/>
    <s v="Yes"/>
    <s v="No"/>
    <x v="0"/>
    <x v="2"/>
    <s v="NAQ4"/>
    <n v="299000"/>
  </r>
  <r>
    <s v="TXN-101349"/>
    <d v="2024-07-04T00:00:00"/>
    <x v="117"/>
    <s v="SVC-06"/>
    <n v="193.92"/>
    <x v="0"/>
    <s v="Unknown"/>
    <m/>
    <x v="1"/>
    <s v="Canada"/>
    <s v="A. Kim"/>
    <x v="4"/>
    <s v="Platform"/>
    <n v="0"/>
    <s v="SMB"/>
    <s v="Standard"/>
    <s v="Yes"/>
    <s v="Yes"/>
    <x v="0"/>
    <x v="1"/>
    <s v="NAQ3"/>
    <n v="273000"/>
  </r>
  <r>
    <s v="TXN-102056"/>
    <d v="2024-09-28T00:00:00"/>
    <x v="76"/>
    <s v="SVC-05"/>
    <n v="477.31"/>
    <x v="0"/>
    <s v="Credit Card"/>
    <m/>
    <x v="3"/>
    <s v="United Kingdom"/>
    <s v="R. Patel"/>
    <x v="3"/>
    <s v="Analytics"/>
    <n v="0"/>
    <s v="Startup"/>
    <s v="High Value"/>
    <s v="Yes"/>
    <s v="No"/>
    <x v="2"/>
    <x v="1"/>
    <s v="EMEAQ3"/>
    <n v="147000"/>
  </r>
  <r>
    <s v="TXN-101057"/>
    <d v="2024-02-18T00:00:00"/>
    <x v="91"/>
    <s v="SVC-01"/>
    <n v="253.14"/>
    <x v="3"/>
    <s v="Credit Card"/>
    <m/>
    <x v="1"/>
    <s v="Singapore"/>
    <s v="A. Kim"/>
    <x v="0"/>
    <s v="Payments"/>
    <n v="2.9000000000000001E-2"/>
    <s v="N/A"/>
    <s v="Standard"/>
    <s v="No"/>
    <s v="No"/>
    <x v="1"/>
    <x v="3"/>
    <s v="APACQ1"/>
    <n v="104500"/>
  </r>
  <r>
    <s v="TXN-100822"/>
    <d v="2024-07-17T00:00:00"/>
    <x v="94"/>
    <s v="SVC-01"/>
    <n v="818.69"/>
    <x v="0"/>
    <s v="Credit Card"/>
    <s v="callback requested"/>
    <x v="1"/>
    <s v="United Kingdom"/>
    <s v="L. Chen"/>
    <x v="0"/>
    <s v="Payments"/>
    <n v="2.9000000000000001E-2"/>
    <s v="SMB"/>
    <s v="High Value"/>
    <s v="Yes"/>
    <s v="No"/>
    <x v="2"/>
    <x v="1"/>
    <s v="EMEAQ3"/>
    <n v="147000"/>
  </r>
  <r>
    <s v="TXN-100500"/>
    <d v="2024-07-02T00:00:00"/>
    <x v="90"/>
    <s v="SVC-05"/>
    <n v="344.97"/>
    <x v="0"/>
    <s v="ACH"/>
    <s v="VIP account"/>
    <x v="1"/>
    <s v="USA"/>
    <s v="A. Kim"/>
    <x v="3"/>
    <s v="Analytics"/>
    <n v="0"/>
    <s v="SMB"/>
    <s v="High Value"/>
    <s v="Yes"/>
    <s v="Yes"/>
    <x v="0"/>
    <x v="1"/>
    <s v="NAQ3"/>
    <n v="273000"/>
  </r>
  <r>
    <s v="TXN-100592"/>
    <d v="2024-10-30T00:00:00"/>
    <x v="60"/>
    <s v="SVC-06"/>
    <n v="517.4"/>
    <x v="0"/>
    <s v="ACH"/>
    <s v="callback requested"/>
    <x v="1"/>
    <s v="Australia"/>
    <s v="J. Reyes"/>
    <x v="4"/>
    <s v="Platform"/>
    <n v="0"/>
    <s v="SMB"/>
    <s v="High Value"/>
    <s v="Yes"/>
    <s v="No"/>
    <x v="1"/>
    <x v="2"/>
    <s v="APACQ4"/>
    <n v="126500"/>
  </r>
  <r>
    <s v="TXN-101196"/>
    <d v="2024-09-07T00:00:00"/>
    <x v="2"/>
    <s v="SVC-01"/>
    <n v="101.03"/>
    <x v="0"/>
    <s v="Credit Card"/>
    <s v="callback requested"/>
    <x v="0"/>
    <s v="USA"/>
    <s v="A. Kim"/>
    <x v="0"/>
    <s v="Payments"/>
    <n v="2.9000000000000001E-2"/>
    <s v="Enterprise"/>
    <s v="Standard"/>
    <s v="No"/>
    <s v="No"/>
    <x v="0"/>
    <x v="1"/>
    <s v="NAQ3"/>
    <n v="273000"/>
  </r>
  <r>
    <s v="TXN-102589"/>
    <d v="2024-07-01T00:00:00"/>
    <x v="22"/>
    <s v="SVC-04"/>
    <n v="171.92"/>
    <x v="0"/>
    <s v="Debit Card"/>
    <s v="escalated to support"/>
    <x v="0"/>
    <s v="Australia"/>
    <s v="M. Santos"/>
    <x v="2"/>
    <s v="Risk"/>
    <n v="1E-3"/>
    <s v="Enterprise"/>
    <s v="Standard"/>
    <s v="Yes"/>
    <s v="No"/>
    <x v="1"/>
    <x v="1"/>
    <s v="APACQ3"/>
    <n v="115500"/>
  </r>
  <r>
    <s v="TXN-100163"/>
    <d v="2024-08-06T00:00:00"/>
    <x v="54"/>
    <s v="SVC-04"/>
    <n v="119.86"/>
    <x v="0"/>
    <s v="Credit Card"/>
    <s v="escalated to support"/>
    <x v="1"/>
    <s v="USA"/>
    <s v="J. Reyes"/>
    <x v="2"/>
    <s v="Risk"/>
    <n v="1E-3"/>
    <s v="SMB"/>
    <s v="Standard"/>
    <s v="Yes"/>
    <s v="Yes"/>
    <x v="0"/>
    <x v="1"/>
    <s v="NAQ3"/>
    <n v="273000"/>
  </r>
  <r>
    <s v="TXN-100297"/>
    <d v="2024-07-09T00:00:00"/>
    <x v="64"/>
    <s v="SVC-08"/>
    <n v="274.64999999999998"/>
    <x v="0"/>
    <s v="Credit Card"/>
    <m/>
    <x v="1"/>
    <s v="United Kingdom"/>
    <s v="J. Reyes"/>
    <x v="1"/>
    <s v="Risk"/>
    <n v="2.5000000000000001E-3"/>
    <s v="SMB"/>
    <s v="High Value"/>
    <s v="Yes"/>
    <s v="No"/>
    <x v="2"/>
    <x v="1"/>
    <s v="EMEAQ3"/>
    <n v="147000"/>
  </r>
  <r>
    <s v="TXN-100136"/>
    <d v="2024-07-21T00:00:00"/>
    <x v="53"/>
    <s v="SVC-07"/>
    <n v="277.85000000000002"/>
    <x v="3"/>
    <s v="Debit Card"/>
    <m/>
    <x v="0"/>
    <s v="Singapore"/>
    <s v="L. Chen"/>
    <x v="7"/>
    <s v="Support"/>
    <n v="0"/>
    <s v="N/A"/>
    <s v="High Value"/>
    <s v="Yes"/>
    <s v="Yes"/>
    <x v="1"/>
    <x v="1"/>
    <s v="APACQ3"/>
    <n v="115500"/>
  </r>
  <r>
    <s v="TXN-102435"/>
    <d v="2024-08-25T00:00:00"/>
    <x v="24"/>
    <s v="SVC-03"/>
    <n v="696.92"/>
    <x v="0"/>
    <s v="ACH"/>
    <s v="callback requested"/>
    <x v="1"/>
    <s v="USA"/>
    <s v="M. Santos"/>
    <x v="5"/>
    <s v="Billing"/>
    <n v="5.0000000000000001E-3"/>
    <s v="SMB"/>
    <s v="High Value"/>
    <s v="Yes"/>
    <s v="No"/>
    <x v="0"/>
    <x v="1"/>
    <s v="NAQ3"/>
    <n v="273000"/>
  </r>
  <r>
    <s v="TXN-100488"/>
    <d v="2024-12-22T00:00:00"/>
    <x v="71"/>
    <s v="SVC-01"/>
    <n v="244.33"/>
    <x v="0"/>
    <s v="Wire Transfer"/>
    <m/>
    <x v="1"/>
    <s v="United Kingdom"/>
    <s v="R. Patel"/>
    <x v="0"/>
    <s v="Payments"/>
    <n v="2.9000000000000001E-2"/>
    <s v="SMB"/>
    <s v="Standard"/>
    <s v="No"/>
    <s v="No"/>
    <x v="2"/>
    <x v="2"/>
    <s v="EMEAQ4"/>
    <n v="161000"/>
  </r>
  <r>
    <s v="TXN-102428"/>
    <d v="2024-05-04T00:00:00"/>
    <x v="0"/>
    <s v="SVC-05"/>
    <n v="429.93"/>
    <x v="1"/>
    <s v="ACH"/>
    <s v="VIP account"/>
    <x v="0"/>
    <s v="USA"/>
    <s v="J. Reyes"/>
    <x v="3"/>
    <s v="Analytics"/>
    <n v="0"/>
    <s v="N/A"/>
    <s v="High Value"/>
    <s v="Yes"/>
    <s v="No"/>
    <x v="0"/>
    <x v="0"/>
    <s v="NAQ2"/>
    <n v="260000"/>
  </r>
  <r>
    <s v="TXN-101709"/>
    <d v="2024-11-06T00:00:00"/>
    <x v="49"/>
    <s v="SVC-08"/>
    <n v="1001.82"/>
    <x v="0"/>
    <s v="ACH"/>
    <m/>
    <x v="1"/>
    <s v="USA"/>
    <s v="A. Kim"/>
    <x v="1"/>
    <s v="Risk"/>
    <n v="2.5000000000000001E-3"/>
    <s v="SMB"/>
    <s v="High Value"/>
    <s v="Yes"/>
    <s v="No"/>
    <x v="0"/>
    <x v="2"/>
    <s v="NAQ4"/>
    <n v="299000"/>
  </r>
  <r>
    <s v="TXN-102302"/>
    <d v="2024-04-21T00:00:00"/>
    <x v="95"/>
    <s v="SVC-08"/>
    <n v="276.69"/>
    <x v="0"/>
    <s v="Debit Card"/>
    <s v="escalated to support"/>
    <x v="1"/>
    <s v="USA"/>
    <s v="R. Patel"/>
    <x v="1"/>
    <s v="Risk"/>
    <n v="2.5000000000000001E-3"/>
    <s v="SMB"/>
    <s v="High Value"/>
    <s v="Yes"/>
    <s v="No"/>
    <x v="0"/>
    <x v="0"/>
    <s v="NAQ2"/>
    <n v="260000"/>
  </r>
  <r>
    <s v="TXN-102170"/>
    <d v="2024-06-06T00:00:00"/>
    <x v="16"/>
    <s v="SVC-03"/>
    <n v="206.23"/>
    <x v="0"/>
    <s v="Credit Card"/>
    <m/>
    <x v="1"/>
    <s v="Germany"/>
    <s v="R. Patel"/>
    <x v="5"/>
    <s v="Billing"/>
    <n v="5.0000000000000001E-3"/>
    <s v="SMB"/>
    <s v="Standard"/>
    <s v="Yes"/>
    <s v="No"/>
    <x v="2"/>
    <x v="0"/>
    <s v="EMEAQ2"/>
    <n v="140000"/>
  </r>
  <r>
    <s v="TXN-100617"/>
    <d v="2024-03-03T00:00:00"/>
    <x v="14"/>
    <s v="SVC-03"/>
    <n v="530.54"/>
    <x v="0"/>
    <s v="Debit Card"/>
    <m/>
    <x v="3"/>
    <s v="Canada"/>
    <s v="A. Kim"/>
    <x v="5"/>
    <s v="Billing"/>
    <n v="5.0000000000000001E-3"/>
    <s v="Startup"/>
    <s v="High Value"/>
    <s v="Yes"/>
    <s v="No"/>
    <x v="0"/>
    <x v="3"/>
    <s v="NAQ1"/>
    <n v="247000"/>
  </r>
  <r>
    <s v="TXN-100159"/>
    <d v="2024-02-27T00:00:00"/>
    <x v="57"/>
    <s v="SVC-08"/>
    <n v="176.68"/>
    <x v="0"/>
    <s v="Credit Card"/>
    <m/>
    <x v="1"/>
    <s v="USA"/>
    <s v="L. Chen"/>
    <x v="1"/>
    <s v="Risk"/>
    <n v="2.5000000000000001E-3"/>
    <s v="SMB"/>
    <s v="Standard"/>
    <s v="Yes"/>
    <s v="Yes"/>
    <x v="0"/>
    <x v="3"/>
    <s v="NAQ1"/>
    <n v="247000"/>
  </r>
  <r>
    <s v="TXN-100662"/>
    <d v="2024-09-18T00:00:00"/>
    <x v="61"/>
    <s v="SVC-08"/>
    <n v="1006.88"/>
    <x v="0"/>
    <s v="ACH"/>
    <m/>
    <x v="1"/>
    <s v="Australia"/>
    <s v="M. Santos"/>
    <x v="1"/>
    <s v="Risk"/>
    <n v="2.5000000000000001E-3"/>
    <s v="SMB"/>
    <s v="High Value"/>
    <s v="Yes"/>
    <s v="No"/>
    <x v="1"/>
    <x v="1"/>
    <s v="APACQ3"/>
    <n v="115500"/>
  </r>
  <r>
    <s v="TXN-101277"/>
    <d v="2024-03-22T00:00:00"/>
    <x v="120"/>
    <s v="SVC-07"/>
    <n v="236.61"/>
    <x v="0"/>
    <s v="ACH"/>
    <s v="escalated to support"/>
    <x v="3"/>
    <s v="Australia"/>
    <s v="M. Santos"/>
    <x v="7"/>
    <s v="Support"/>
    <n v="0"/>
    <s v="Startup"/>
    <s v="Standard"/>
    <s v="Yes"/>
    <s v="No"/>
    <x v="1"/>
    <x v="3"/>
    <s v="APACQ1"/>
    <n v="104500"/>
  </r>
  <r>
    <s v="TXN-100195"/>
    <d v="2024-05-04T00:00:00"/>
    <x v="6"/>
    <s v="SVC-08"/>
    <n v="197.3"/>
    <x v="0"/>
    <s v="Debit Card"/>
    <m/>
    <x v="0"/>
    <s v="United Kingdom"/>
    <s v="R. Patel"/>
    <x v="1"/>
    <s v="Risk"/>
    <n v="2.5000000000000001E-3"/>
    <s v="Enterprise"/>
    <s v="Standard"/>
    <s v="Yes"/>
    <s v="No"/>
    <x v="2"/>
    <x v="0"/>
    <s v="EMEAQ2"/>
    <n v="140000"/>
  </r>
  <r>
    <s v="TXN-100103"/>
    <d v="2024-03-14T00:00:00"/>
    <x v="49"/>
    <s v="SVC-08"/>
    <n v="328.53"/>
    <x v="3"/>
    <s v="Credit Card"/>
    <m/>
    <x v="1"/>
    <s v="USA"/>
    <s v="A. Kim"/>
    <x v="1"/>
    <s v="Risk"/>
    <n v="2.5000000000000001E-3"/>
    <s v="N/A"/>
    <s v="High Value"/>
    <s v="Yes"/>
    <s v="No"/>
    <x v="0"/>
    <x v="3"/>
    <s v="NAQ1"/>
    <n v="247000"/>
  </r>
  <r>
    <s v="TXN-100341"/>
    <d v="2024-09-12T00:00:00"/>
    <x v="19"/>
    <s v="SVC-01"/>
    <n v="205.39"/>
    <x v="0"/>
    <s v="Credit Card"/>
    <s v="escalated to support"/>
    <x v="0"/>
    <s v="Canada"/>
    <s v="M. Santos"/>
    <x v="0"/>
    <s v="Payments"/>
    <n v="2.9000000000000001E-2"/>
    <s v="Enterprise"/>
    <s v="Standard"/>
    <s v="No"/>
    <s v="No"/>
    <x v="0"/>
    <x v="1"/>
    <s v="NAQ3"/>
    <n v="273000"/>
  </r>
  <r>
    <s v="TXN-102578"/>
    <d v="2024-12-07T00:00:00"/>
    <x v="80"/>
    <s v="SVC-07"/>
    <n v="580.70000000000005"/>
    <x v="0"/>
    <s v="ACH"/>
    <s v="VIP account"/>
    <x v="1"/>
    <s v="Philippines"/>
    <s v="R. Patel"/>
    <x v="7"/>
    <s v="Support"/>
    <n v="0"/>
    <s v="SMB"/>
    <s v="High Value"/>
    <s v="Yes"/>
    <s v="No"/>
    <x v="1"/>
    <x v="2"/>
    <s v="APACQ4"/>
    <n v="126500"/>
  </r>
  <r>
    <s v="TXN-102520"/>
    <d v="2024-09-24T00:00:00"/>
    <x v="12"/>
    <s v="SVC-01"/>
    <n v="496.54"/>
    <x v="0"/>
    <s v="Unknown"/>
    <m/>
    <x v="1"/>
    <s v="Canada"/>
    <s v="R. Patel"/>
    <x v="0"/>
    <s v="Payments"/>
    <n v="2.9000000000000001E-2"/>
    <s v="SMB"/>
    <s v="Standard"/>
    <s v="Yes"/>
    <s v="No"/>
    <x v="0"/>
    <x v="1"/>
    <s v="NAQ3"/>
    <n v="273000"/>
  </r>
  <r>
    <s v="TXN-101159"/>
    <d v="2024-03-02T00:00:00"/>
    <x v="128"/>
    <s v="SVC-01"/>
    <n v="444.65"/>
    <x v="0"/>
    <s v="Wire Transfer"/>
    <s v="callback requested"/>
    <x v="0"/>
    <s v="Philippines"/>
    <s v="L. Chen"/>
    <x v="0"/>
    <s v="Payments"/>
    <n v="2.9000000000000001E-2"/>
    <s v="Enterprise"/>
    <s v="Standard"/>
    <s v="Yes"/>
    <s v="No"/>
    <x v="1"/>
    <x v="3"/>
    <s v="APACQ1"/>
    <n v="104500"/>
  </r>
  <r>
    <s v="TXN-100043"/>
    <d v="2024-03-03T00:00:00"/>
    <x v="111"/>
    <s v="SVC-01"/>
    <n v="-493.88"/>
    <x v="2"/>
    <s v="ACH"/>
    <m/>
    <x v="1"/>
    <s v="Australia"/>
    <s v="A. Kim"/>
    <x v="0"/>
    <s v="Payments"/>
    <n v="2.9000000000000001E-2"/>
    <s v="N/A"/>
    <s v="Refund"/>
    <s v="No"/>
    <s v="No"/>
    <x v="1"/>
    <x v="3"/>
    <s v="APACQ1"/>
    <n v="104500"/>
  </r>
  <r>
    <s v="TXN-101641"/>
    <d v="2024-07-29T00:00:00"/>
    <x v="61"/>
    <s v="SVC-08"/>
    <n v="158.1"/>
    <x v="1"/>
    <s v="ACH"/>
    <m/>
    <x v="1"/>
    <s v="Australia"/>
    <s v="M. Santos"/>
    <x v="1"/>
    <s v="Risk"/>
    <n v="2.5000000000000001E-3"/>
    <s v="N/A"/>
    <s v="Standard"/>
    <s v="Yes"/>
    <s v="No"/>
    <x v="1"/>
    <x v="1"/>
    <s v="APACQ3"/>
    <n v="115500"/>
  </r>
  <r>
    <s v="TXN-100425"/>
    <d v="2024-02-21T00:00:00"/>
    <x v="125"/>
    <s v="SVC-02"/>
    <n v="712.61"/>
    <x v="0"/>
    <s v="ACH"/>
    <s v="VIP account"/>
    <x v="1"/>
    <s v="USA"/>
    <s v="A. Kim"/>
    <x v="6"/>
    <s v="HR &amp; Payroll"/>
    <n v="0"/>
    <s v="SMB"/>
    <s v="High Value"/>
    <s v="Yes"/>
    <s v="No"/>
    <x v="0"/>
    <x v="3"/>
    <s v="NAQ1"/>
    <n v="247000"/>
  </r>
  <r>
    <s v="TXN-100374"/>
    <d v="2024-03-14T00:00:00"/>
    <x v="45"/>
    <s v="SVC-08"/>
    <n v="375.79"/>
    <x v="0"/>
    <s v="Unknown"/>
    <s v="escalated to support"/>
    <x v="0"/>
    <s v="United Kingdom"/>
    <s v="R. Patel"/>
    <x v="1"/>
    <s v="Risk"/>
    <n v="2.5000000000000001E-3"/>
    <s v="Enterprise"/>
    <s v="High Value"/>
    <s v="Yes"/>
    <s v="Yes"/>
    <x v="2"/>
    <x v="3"/>
    <s v="EMEAQ1"/>
    <n v="133000"/>
  </r>
  <r>
    <s v="TXN-102230"/>
    <d v="2024-12-01T00:00:00"/>
    <x v="124"/>
    <s v="SVC-07"/>
    <n v="636.63"/>
    <x v="0"/>
    <s v="ACH"/>
    <m/>
    <x v="1"/>
    <s v="United Kingdom"/>
    <s v="A. Kim"/>
    <x v="7"/>
    <s v="Support"/>
    <n v="0"/>
    <s v="SMB"/>
    <s v="High Value"/>
    <s v="Yes"/>
    <s v="No"/>
    <x v="2"/>
    <x v="2"/>
    <s v="EMEAQ4"/>
    <n v="161000"/>
  </r>
  <r>
    <s v="TXN-101029"/>
    <d v="2024-09-14T00:00:00"/>
    <x v="34"/>
    <s v="SVC-04"/>
    <n v="364.46"/>
    <x v="0"/>
    <s v="ACH"/>
    <s v="callback requested"/>
    <x v="1"/>
    <s v="Germany"/>
    <s v="M. Santos"/>
    <x v="2"/>
    <s v="Risk"/>
    <n v="1E-3"/>
    <s v="SMB"/>
    <s v="High Value"/>
    <s v="Yes"/>
    <s v="No"/>
    <x v="2"/>
    <x v="1"/>
    <s v="EMEAQ3"/>
    <n v="147000"/>
  </r>
  <r>
    <s v="TXN-100303"/>
    <d v="2024-06-28T00:00:00"/>
    <x v="64"/>
    <s v="SVC-04"/>
    <n v="626.33000000000004"/>
    <x v="0"/>
    <s v="ACH"/>
    <s v="escalated to support"/>
    <x v="1"/>
    <s v="United Kingdom"/>
    <s v="J. Reyes"/>
    <x v="2"/>
    <s v="Risk"/>
    <n v="1E-3"/>
    <s v="SMB"/>
    <s v="High Value"/>
    <s v="Yes"/>
    <s v="No"/>
    <x v="2"/>
    <x v="0"/>
    <s v="EMEAQ2"/>
    <n v="140000"/>
  </r>
  <r>
    <s v="TXN-100155"/>
    <d v="2024-08-29T00:00:00"/>
    <x v="22"/>
    <s v="SVC-08"/>
    <n v="230.94"/>
    <x v="0"/>
    <s v="Debit Card"/>
    <s v="escalated to support"/>
    <x v="0"/>
    <s v="Australia"/>
    <s v="M. Santos"/>
    <x v="1"/>
    <s v="Risk"/>
    <n v="2.5000000000000001E-3"/>
    <s v="Enterprise"/>
    <s v="Standard"/>
    <s v="Yes"/>
    <s v="No"/>
    <x v="1"/>
    <x v="1"/>
    <s v="APACQ3"/>
    <n v="115500"/>
  </r>
  <r>
    <s v="TXN-100887"/>
    <d v="2024-01-22T00:00:00"/>
    <x v="86"/>
    <s v="SVC-05"/>
    <n v="105.21"/>
    <x v="0"/>
    <s v="ACH"/>
    <s v="VIP account"/>
    <x v="1"/>
    <s v="Canada"/>
    <s v="L. Chen"/>
    <x v="3"/>
    <s v="Analytics"/>
    <n v="0"/>
    <s v="SMB"/>
    <s v="Standard"/>
    <s v="Yes"/>
    <s v="No"/>
    <x v="0"/>
    <x v="3"/>
    <s v="NAQ1"/>
    <n v="247000"/>
  </r>
  <r>
    <s v="TXN-102022"/>
    <d v="2024-09-28T00:00:00"/>
    <x v="9"/>
    <s v="SVC-03"/>
    <n v="343.6"/>
    <x v="3"/>
    <s v="ACH"/>
    <m/>
    <x v="3"/>
    <s v="Philippines"/>
    <s v="T. Novak"/>
    <x v="5"/>
    <s v="Billing"/>
    <n v="5.0000000000000001E-3"/>
    <s v="N/A"/>
    <s v="High Value"/>
    <s v="Yes"/>
    <s v="No"/>
    <x v="1"/>
    <x v="1"/>
    <s v="APACQ3"/>
    <n v="115500"/>
  </r>
  <r>
    <s v="TXN-100292"/>
    <d v="2024-05-12T00:00:00"/>
    <x v="46"/>
    <s v="SVC-07"/>
    <n v="341.71"/>
    <x v="0"/>
    <s v="Debit Card"/>
    <m/>
    <x v="1"/>
    <s v="Australia"/>
    <s v="L. Chen"/>
    <x v="7"/>
    <s v="Support"/>
    <n v="0"/>
    <s v="SMB"/>
    <s v="High Value"/>
    <s v="Yes"/>
    <s v="No"/>
    <x v="1"/>
    <x v="0"/>
    <s v="APACQ2"/>
    <n v="110000"/>
  </r>
  <r>
    <s v="TXN-100255"/>
    <d v="2024-04-13T00:00:00"/>
    <x v="70"/>
    <s v="SVC-01"/>
    <n v="1000.21"/>
    <x v="0"/>
    <s v="ACH"/>
    <m/>
    <x v="3"/>
    <s v="Singapore"/>
    <s v="A. Kim"/>
    <x v="0"/>
    <s v="Payments"/>
    <n v="2.9000000000000001E-2"/>
    <s v="Startup"/>
    <s v="High Value"/>
    <s v="Yes"/>
    <s v="No"/>
    <x v="1"/>
    <x v="0"/>
    <s v="APACQ2"/>
    <n v="110000"/>
  </r>
  <r>
    <s v="TXN-102491"/>
    <d v="2024-07-26T00:00:00"/>
    <x v="80"/>
    <s v="SVC-07"/>
    <n v="151.44999999999999"/>
    <x v="0"/>
    <s v="Credit Card"/>
    <m/>
    <x v="1"/>
    <s v="Philippines"/>
    <s v="R. Patel"/>
    <x v="7"/>
    <s v="Support"/>
    <n v="0"/>
    <s v="SMB"/>
    <s v="Standard"/>
    <s v="Yes"/>
    <s v="No"/>
    <x v="1"/>
    <x v="1"/>
    <s v="APACQ3"/>
    <n v="115500"/>
  </r>
  <r>
    <s v="TXN-101087"/>
    <d v="2024-05-30T00:00:00"/>
    <x v="85"/>
    <s v="SVC-01"/>
    <n v="295.16000000000003"/>
    <x v="0"/>
    <s v="ACH"/>
    <s v="VIP account"/>
    <x v="0"/>
    <s v="Canada"/>
    <s v="T. Novak"/>
    <x v="0"/>
    <s v="Payments"/>
    <n v="2.9000000000000001E-2"/>
    <s v="Enterprise"/>
    <s v="Standard"/>
    <s v="Yes"/>
    <s v="No"/>
    <x v="0"/>
    <x v="0"/>
    <s v="NAQ2"/>
    <n v="260000"/>
  </r>
  <r>
    <s v="TXN-102235"/>
    <d v="2024-08-30T00:00:00"/>
    <x v="19"/>
    <s v="SVC-06"/>
    <n v="157.6"/>
    <x v="1"/>
    <s v="ACH"/>
    <s v="escalated to support"/>
    <x v="0"/>
    <s v="Canada"/>
    <s v="M. Santos"/>
    <x v="4"/>
    <s v="Platform"/>
    <n v="0"/>
    <s v="N/A"/>
    <s v="Standard"/>
    <s v="Yes"/>
    <s v="No"/>
    <x v="0"/>
    <x v="1"/>
    <s v="NAQ3"/>
    <n v="273000"/>
  </r>
  <r>
    <s v="TXN-102308"/>
    <d v="2024-10-26T00:00:00"/>
    <x v="48"/>
    <s v="SVC-03"/>
    <n v="230.14"/>
    <x v="3"/>
    <s v="ACH"/>
    <s v="callback requested"/>
    <x v="1"/>
    <s v="Germany"/>
    <s v="J. Reyes"/>
    <x v="5"/>
    <s v="Billing"/>
    <n v="5.0000000000000001E-3"/>
    <s v="N/A"/>
    <s v="Standard"/>
    <s v="Yes"/>
    <s v="No"/>
    <x v="2"/>
    <x v="2"/>
    <s v="EMEAQ4"/>
    <n v="161000"/>
  </r>
  <r>
    <s v="TXN-100187"/>
    <d v="2024-11-12T00:00:00"/>
    <x v="53"/>
    <s v="SVC-01"/>
    <n v="395.59"/>
    <x v="0"/>
    <s v="ACH"/>
    <m/>
    <x v="0"/>
    <s v="Singapore"/>
    <s v="L. Chen"/>
    <x v="0"/>
    <s v="Payments"/>
    <n v="2.9000000000000001E-2"/>
    <s v="Enterprise"/>
    <s v="Standard"/>
    <s v="Yes"/>
    <s v="No"/>
    <x v="1"/>
    <x v="2"/>
    <s v="APACQ4"/>
    <n v="126500"/>
  </r>
  <r>
    <s v="TXN-101153"/>
    <d v="2024-10-21T00:00:00"/>
    <x v="63"/>
    <s v="SVC-04"/>
    <n v="363.29"/>
    <x v="0"/>
    <s v="Credit Card"/>
    <m/>
    <x v="1"/>
    <s v="Philippines"/>
    <s v="T. Novak"/>
    <x v="2"/>
    <s v="Risk"/>
    <n v="1E-3"/>
    <s v="SMB"/>
    <s v="High Value"/>
    <s v="Yes"/>
    <s v="No"/>
    <x v="1"/>
    <x v="2"/>
    <s v="APACQ4"/>
    <n v="126500"/>
  </r>
  <r>
    <s v="TXN-100412"/>
    <d v="2024-07-21T00:00:00"/>
    <x v="24"/>
    <s v="SVC-02"/>
    <n v="421.05"/>
    <x v="0"/>
    <s v="ACH"/>
    <s v="escalated to support"/>
    <x v="1"/>
    <s v="USA"/>
    <s v="M. Santos"/>
    <x v="6"/>
    <s v="HR &amp; Payroll"/>
    <n v="0"/>
    <s v="SMB"/>
    <s v="High Value"/>
    <s v="Yes"/>
    <s v="No"/>
    <x v="0"/>
    <x v="1"/>
    <s v="NAQ3"/>
    <n v="273000"/>
  </r>
  <r>
    <s v="TXN-102186"/>
    <d v="2024-02-06T00:00:00"/>
    <x v="18"/>
    <s v="SVC-01"/>
    <n v="37.64"/>
    <x v="0"/>
    <s v="Wire Transfer"/>
    <s v="VIP account"/>
    <x v="1"/>
    <s v="Philippines"/>
    <s v="R. Patel"/>
    <x v="0"/>
    <s v="Payments"/>
    <n v="2.9000000000000001E-2"/>
    <s v="SMB"/>
    <s v="Standard"/>
    <s v="No"/>
    <s v="No"/>
    <x v="1"/>
    <x v="3"/>
    <s v="APACQ1"/>
    <n v="104500"/>
  </r>
  <r>
    <s v="TXN-101121"/>
    <d v="2024-02-26T00:00:00"/>
    <x v="129"/>
    <s v="SVC-03"/>
    <n v="72.680000000000007"/>
    <x v="0"/>
    <s v="Unknown"/>
    <s v="escalated to support"/>
    <x v="1"/>
    <s v="Australia"/>
    <s v="A. Kim"/>
    <x v="5"/>
    <s v="Billing"/>
    <n v="5.0000000000000001E-3"/>
    <s v="SMB"/>
    <s v="Standard"/>
    <s v="Yes"/>
    <s v="No"/>
    <x v="1"/>
    <x v="3"/>
    <s v="APACQ1"/>
    <n v="104500"/>
  </r>
  <r>
    <s v="TXN-102545"/>
    <d v="2024-08-15T00:00:00"/>
    <x v="125"/>
    <s v="SVC-01"/>
    <n v="799.22"/>
    <x v="0"/>
    <s v="Credit Card"/>
    <s v="VIP account"/>
    <x v="1"/>
    <s v="USA"/>
    <s v="A. Kim"/>
    <x v="0"/>
    <s v="Payments"/>
    <n v="2.9000000000000001E-2"/>
    <s v="SMB"/>
    <s v="High Value"/>
    <s v="Yes"/>
    <s v="No"/>
    <x v="0"/>
    <x v="1"/>
    <s v="NAQ3"/>
    <n v="273000"/>
  </r>
  <r>
    <s v="TXN-102543"/>
    <d v="2024-08-03T00:00:00"/>
    <x v="111"/>
    <s v="SVC-01"/>
    <n v="182.98"/>
    <x v="0"/>
    <s v="ACH"/>
    <s v="callback requested"/>
    <x v="1"/>
    <s v="Australia"/>
    <s v="A. Kim"/>
    <x v="0"/>
    <s v="Payments"/>
    <n v="2.9000000000000001E-2"/>
    <s v="SMB"/>
    <s v="Standard"/>
    <s v="No"/>
    <s v="No"/>
    <x v="1"/>
    <x v="1"/>
    <s v="APACQ3"/>
    <n v="115500"/>
  </r>
  <r>
    <s v="TXN-101718"/>
    <d v="2024-07-10T00:00:00"/>
    <x v="60"/>
    <s v="SVC-01"/>
    <n v="365.5"/>
    <x v="0"/>
    <s v="ACH"/>
    <m/>
    <x v="1"/>
    <s v="Australia"/>
    <s v="J. Reyes"/>
    <x v="0"/>
    <s v="Payments"/>
    <n v="2.9000000000000001E-2"/>
    <s v="SMB"/>
    <s v="Standard"/>
    <s v="Yes"/>
    <s v="No"/>
    <x v="1"/>
    <x v="1"/>
    <s v="APACQ3"/>
    <n v="115500"/>
  </r>
  <r>
    <s v="TXN-101951"/>
    <d v="2024-06-19T00:00:00"/>
    <x v="122"/>
    <s v="SVC-01"/>
    <n v="538.94000000000005"/>
    <x v="0"/>
    <s v="Credit Card"/>
    <s v="VIP account"/>
    <x v="3"/>
    <s v="United Kingdom"/>
    <s v="A. Kim"/>
    <x v="0"/>
    <s v="Payments"/>
    <n v="2.9000000000000001E-2"/>
    <s v="Startup"/>
    <s v="High Value"/>
    <s v="Yes"/>
    <s v="No"/>
    <x v="2"/>
    <x v="0"/>
    <s v="EMEAQ2"/>
    <n v="140000"/>
  </r>
  <r>
    <s v="TXN-100883"/>
    <d v="2024-03-28T00:00:00"/>
    <x v="85"/>
    <s v="SVC-05"/>
    <n v="35.78"/>
    <x v="0"/>
    <s v="ACH"/>
    <s v="callback requested"/>
    <x v="0"/>
    <s v="Canada"/>
    <s v="T. Novak"/>
    <x v="3"/>
    <s v="Analytics"/>
    <n v="0"/>
    <s v="Enterprise"/>
    <s v="Standard"/>
    <s v="Yes"/>
    <s v="No"/>
    <x v="0"/>
    <x v="3"/>
    <s v="NAQ1"/>
    <n v="247000"/>
  </r>
  <r>
    <s v="TXN-101114"/>
    <d v="2024-11-22T00:00:00"/>
    <x v="39"/>
    <s v="SVC-01"/>
    <n v="625.92999999999995"/>
    <x v="0"/>
    <s v="ACH"/>
    <s v="callback requested"/>
    <x v="1"/>
    <s v="United Kingdom"/>
    <s v="A. Kim"/>
    <x v="0"/>
    <s v="Payments"/>
    <n v="2.9000000000000001E-2"/>
    <s v="SMB"/>
    <s v="High Value"/>
    <s v="Yes"/>
    <s v="No"/>
    <x v="2"/>
    <x v="2"/>
    <s v="EMEAQ4"/>
    <n v="161000"/>
  </r>
  <r>
    <s v="TXN-102466"/>
    <d v="2024-10-10T00:00:00"/>
    <x v="109"/>
    <s v="SVC-03"/>
    <n v="471.61"/>
    <x v="0"/>
    <s v="ACH"/>
    <s v="callback requested"/>
    <x v="0"/>
    <s v="USA"/>
    <s v="L. Chen"/>
    <x v="5"/>
    <s v="Billing"/>
    <n v="5.0000000000000001E-3"/>
    <s v="Enterprise"/>
    <s v="High Value"/>
    <s v="Yes"/>
    <s v="No"/>
    <x v="0"/>
    <x v="2"/>
    <s v="NAQ4"/>
    <n v="299000"/>
  </r>
  <r>
    <s v="TXN-100949"/>
    <d v="2024-02-12T00:00:00"/>
    <x v="12"/>
    <s v="SVC-01"/>
    <n v="153.59"/>
    <x v="0"/>
    <s v="ACH"/>
    <s v="VIP account"/>
    <x v="1"/>
    <s v="Canada"/>
    <s v="R. Patel"/>
    <x v="0"/>
    <s v="Payments"/>
    <n v="2.9000000000000001E-2"/>
    <s v="SMB"/>
    <s v="Standard"/>
    <s v="No"/>
    <s v="No"/>
    <x v="0"/>
    <x v="3"/>
    <s v="NAQ1"/>
    <n v="247000"/>
  </r>
  <r>
    <s v="TXN-100928"/>
    <d v="2024-02-23T00:00:00"/>
    <x v="62"/>
    <s v="SVC-02"/>
    <n v="396.45"/>
    <x v="3"/>
    <s v="Credit Card"/>
    <m/>
    <x v="0"/>
    <s v="USA"/>
    <s v="A. Kim"/>
    <x v="6"/>
    <s v="HR &amp; Payroll"/>
    <n v="0"/>
    <s v="N/A"/>
    <s v="High Value"/>
    <s v="Yes"/>
    <s v="No"/>
    <x v="0"/>
    <x v="3"/>
    <s v="NAQ1"/>
    <n v="247000"/>
  </r>
  <r>
    <s v="TXN-100798"/>
    <d v="2024-04-24T00:00:00"/>
    <x v="10"/>
    <s v="SVC-07"/>
    <n v="221.89"/>
    <x v="0"/>
    <s v="Credit Card"/>
    <m/>
    <x v="1"/>
    <s v="USA"/>
    <s v="T. Novak"/>
    <x v="7"/>
    <s v="Support"/>
    <n v="0"/>
    <s v="SMB"/>
    <s v="Standard"/>
    <s v="Yes"/>
    <s v="No"/>
    <x v="0"/>
    <x v="0"/>
    <s v="NAQ2"/>
    <n v="260000"/>
  </r>
  <r>
    <s v="TXN-100334"/>
    <d v="2024-11-28T00:00:00"/>
    <x v="95"/>
    <s v="SVC-06"/>
    <n v="653.61"/>
    <x v="1"/>
    <s v="ACH"/>
    <s v="escalated to support"/>
    <x v="1"/>
    <s v="USA"/>
    <s v="R. Patel"/>
    <x v="4"/>
    <s v="Platform"/>
    <n v="0"/>
    <s v="N/A"/>
    <s v="High Value"/>
    <s v="Yes"/>
    <s v="No"/>
    <x v="0"/>
    <x v="2"/>
    <s v="NAQ4"/>
    <n v="299000"/>
  </r>
  <r>
    <s v="TXN-100139"/>
    <d v="2024-06-18T00:00:00"/>
    <x v="18"/>
    <s v="SVC-01"/>
    <n v="599.19000000000005"/>
    <x v="0"/>
    <s v="Debit Card"/>
    <m/>
    <x v="1"/>
    <s v="Philippines"/>
    <s v="R. Patel"/>
    <x v="0"/>
    <s v="Payments"/>
    <n v="2.9000000000000001E-2"/>
    <s v="SMB"/>
    <s v="High Value"/>
    <s v="Yes"/>
    <s v="No"/>
    <x v="1"/>
    <x v="0"/>
    <s v="APACQ2"/>
    <n v="110000"/>
  </r>
  <r>
    <s v="TXN-102508"/>
    <d v="2024-11-27T00:00:00"/>
    <x v="70"/>
    <s v="SVC-01"/>
    <n v="793.68"/>
    <x v="3"/>
    <s v="Debit Card"/>
    <s v="VIP account"/>
    <x v="3"/>
    <s v="Singapore"/>
    <s v="A. Kim"/>
    <x v="0"/>
    <s v="Payments"/>
    <n v="2.9000000000000001E-2"/>
    <s v="N/A"/>
    <s v="High Value"/>
    <s v="Yes"/>
    <s v="No"/>
    <x v="1"/>
    <x v="2"/>
    <s v="APACQ4"/>
    <n v="126500"/>
  </r>
  <r>
    <s v="TXN-101115"/>
    <d v="2024-09-27T00:00:00"/>
    <x v="50"/>
    <s v="SVC-03"/>
    <n v="490.72"/>
    <x v="3"/>
    <s v="Credit Card"/>
    <s v="escalated to support"/>
    <x v="1"/>
    <s v="USA"/>
    <s v="M. Santos"/>
    <x v="5"/>
    <s v="Billing"/>
    <n v="5.0000000000000001E-3"/>
    <s v="N/A"/>
    <s v="High Value"/>
    <s v="Yes"/>
    <s v="Yes"/>
    <x v="0"/>
    <x v="1"/>
    <s v="NAQ3"/>
    <n v="273000"/>
  </r>
  <r>
    <s v="TXN-102465"/>
    <d v="2024-02-10T00:00:00"/>
    <x v="71"/>
    <s v="SVC-07"/>
    <n v="831.51"/>
    <x v="0"/>
    <s v="Debit Card"/>
    <s v="callback requested"/>
    <x v="1"/>
    <s v="United Kingdom"/>
    <s v="R. Patel"/>
    <x v="7"/>
    <s v="Support"/>
    <n v="0"/>
    <s v="SMB"/>
    <s v="High Value"/>
    <s v="Yes"/>
    <s v="Yes"/>
    <x v="2"/>
    <x v="3"/>
    <s v="EMEAQ1"/>
    <n v="133000"/>
  </r>
  <r>
    <s v="TXN-102326"/>
    <d v="2024-07-25T00:00:00"/>
    <x v="105"/>
    <s v="SVC-03"/>
    <n v="561.75"/>
    <x v="0"/>
    <s v="Wire Transfer"/>
    <m/>
    <x v="3"/>
    <s v="Philippines"/>
    <s v="T. Novak"/>
    <x v="5"/>
    <s v="Billing"/>
    <n v="5.0000000000000001E-3"/>
    <s v="Startup"/>
    <s v="High Value"/>
    <s v="Yes"/>
    <s v="No"/>
    <x v="1"/>
    <x v="1"/>
    <s v="APACQ3"/>
    <n v="115500"/>
  </r>
  <r>
    <s v="TXN-101012"/>
    <d v="2024-05-05T00:00:00"/>
    <x v="129"/>
    <s v="SVC-06"/>
    <n v="222.77"/>
    <x v="0"/>
    <s v="ACH"/>
    <m/>
    <x v="1"/>
    <s v="Australia"/>
    <s v="A. Kim"/>
    <x v="4"/>
    <s v="Platform"/>
    <n v="0"/>
    <s v="SMB"/>
    <s v="Standard"/>
    <s v="Yes"/>
    <s v="Yes"/>
    <x v="1"/>
    <x v="0"/>
    <s v="APACQ2"/>
    <n v="110000"/>
  </r>
  <r>
    <s v="TXN-101644"/>
    <d v="2024-04-21T00:00:00"/>
    <x v="78"/>
    <s v="SVC-01"/>
    <n v="634.37"/>
    <x v="0"/>
    <s v="ACH"/>
    <m/>
    <x v="1"/>
    <s v="USA"/>
    <s v="L. Chen"/>
    <x v="0"/>
    <s v="Payments"/>
    <n v="2.9000000000000001E-2"/>
    <s v="SMB"/>
    <s v="High Value"/>
    <s v="Yes"/>
    <s v="No"/>
    <x v="0"/>
    <x v="0"/>
    <s v="NAQ2"/>
    <n v="260000"/>
  </r>
  <r>
    <s v="TXN-100466"/>
    <d v="2024-05-16T00:00:00"/>
    <x v="129"/>
    <s v="SVC-06"/>
    <n v="465.12"/>
    <x v="0"/>
    <s v="Debit Card"/>
    <m/>
    <x v="1"/>
    <s v="Australia"/>
    <s v="A. Kim"/>
    <x v="4"/>
    <s v="Platform"/>
    <n v="0"/>
    <s v="SMB"/>
    <s v="High Value"/>
    <s v="Yes"/>
    <s v="No"/>
    <x v="1"/>
    <x v="0"/>
    <s v="APACQ2"/>
    <n v="110000"/>
  </r>
  <r>
    <s v="TXN-100113"/>
    <d v="2024-12-29T00:00:00"/>
    <x v="50"/>
    <s v="SVC-02"/>
    <n v="333.74"/>
    <x v="0"/>
    <s v="Credit Card"/>
    <m/>
    <x v="1"/>
    <s v="USA"/>
    <s v="M. Santos"/>
    <x v="6"/>
    <s v="HR &amp; Payroll"/>
    <n v="0"/>
    <s v="SMB"/>
    <s v="High Value"/>
    <s v="Yes"/>
    <s v="No"/>
    <x v="0"/>
    <x v="2"/>
    <s v="NAQ4"/>
    <n v="299000"/>
  </r>
  <r>
    <s v="TXN-102340"/>
    <d v="2024-04-15T00:00:00"/>
    <x v="67"/>
    <s v="SVC-02"/>
    <n v="275.77"/>
    <x v="0"/>
    <s v="Wire Transfer"/>
    <s v="VIP account"/>
    <x v="3"/>
    <s v="Australia"/>
    <s v="Unassigned"/>
    <x v="6"/>
    <s v="HR &amp; Payroll"/>
    <n v="0"/>
    <s v="Startup"/>
    <s v="High Value"/>
    <s v="Yes"/>
    <s v="No"/>
    <x v="1"/>
    <x v="0"/>
    <s v="APACQ2"/>
    <n v="110000"/>
  </r>
  <r>
    <s v="TXN-101434"/>
    <d v="2024-03-01T00:00:00"/>
    <x v="97"/>
    <s v="SVC-01"/>
    <n v="376.85"/>
    <x v="0"/>
    <s v="ACH"/>
    <s v="VIP account"/>
    <x v="0"/>
    <s v="United Kingdom"/>
    <s v="L. Chen"/>
    <x v="0"/>
    <s v="Payments"/>
    <n v="2.9000000000000001E-2"/>
    <s v="Enterprise"/>
    <s v="Standard"/>
    <s v="Yes"/>
    <s v="No"/>
    <x v="2"/>
    <x v="3"/>
    <s v="EMEAQ1"/>
    <n v="133000"/>
  </r>
  <r>
    <s v="TXN-100696"/>
    <d v="2024-11-24T00:00:00"/>
    <x v="11"/>
    <s v="SVC-06"/>
    <n v="510.23"/>
    <x v="0"/>
    <s v="Debit Card"/>
    <m/>
    <x v="0"/>
    <s v="United Kingdom"/>
    <s v="L. Chen"/>
    <x v="4"/>
    <s v="Platform"/>
    <n v="0"/>
    <s v="Enterprise"/>
    <s v="High Value"/>
    <s v="Yes"/>
    <s v="No"/>
    <x v="2"/>
    <x v="2"/>
    <s v="EMEAQ4"/>
    <n v="161000"/>
  </r>
  <r>
    <s v="TXN-100441"/>
    <d v="2024-09-03T00:00:00"/>
    <x v="134"/>
    <s v="SVC-07"/>
    <n v="1072.47"/>
    <x v="0"/>
    <s v="Credit Card"/>
    <m/>
    <x v="1"/>
    <s v="Philippines"/>
    <s v="T. Novak"/>
    <x v="7"/>
    <s v="Support"/>
    <n v="0"/>
    <s v="SMB"/>
    <s v="High Value"/>
    <s v="Yes"/>
    <s v="No"/>
    <x v="1"/>
    <x v="1"/>
    <s v="APACQ3"/>
    <n v="115500"/>
  </r>
  <r>
    <s v="TXN-101596"/>
    <d v="2024-06-07T00:00:00"/>
    <x v="30"/>
    <s v="SVC-01"/>
    <n v="814.65"/>
    <x v="0"/>
    <s v="Credit Card"/>
    <m/>
    <x v="1"/>
    <s v="Germany"/>
    <s v="M. Santos"/>
    <x v="0"/>
    <s v="Payments"/>
    <n v="2.9000000000000001E-2"/>
    <s v="SMB"/>
    <s v="High Value"/>
    <s v="Yes"/>
    <s v="No"/>
    <x v="2"/>
    <x v="0"/>
    <s v="EMEAQ2"/>
    <n v="140000"/>
  </r>
  <r>
    <s v="TXN-100430"/>
    <d v="2024-12-19T00:00:00"/>
    <x v="117"/>
    <s v="SVC-02"/>
    <n v="249.38"/>
    <x v="0"/>
    <s v="ACH"/>
    <s v="escalated to support"/>
    <x v="1"/>
    <s v="Canada"/>
    <s v="A. Kim"/>
    <x v="6"/>
    <s v="HR &amp; Payroll"/>
    <n v="0"/>
    <s v="SMB"/>
    <s v="Standard"/>
    <s v="Yes"/>
    <s v="No"/>
    <x v="0"/>
    <x v="2"/>
    <s v="NAQ4"/>
    <n v="299000"/>
  </r>
  <r>
    <s v="TXN-100135"/>
    <d v="2024-06-27T00:00:00"/>
    <x v="6"/>
    <s v="SVC-02"/>
    <n v="74.98"/>
    <x v="0"/>
    <s v="Wire Transfer"/>
    <m/>
    <x v="0"/>
    <s v="United Kingdom"/>
    <s v="R. Patel"/>
    <x v="6"/>
    <s v="HR &amp; Payroll"/>
    <n v="0"/>
    <s v="Enterprise"/>
    <s v="Standard"/>
    <s v="Yes"/>
    <s v="No"/>
    <x v="2"/>
    <x v="0"/>
    <s v="EMEAQ2"/>
    <n v="140000"/>
  </r>
  <r>
    <s v="TXN-100455"/>
    <d v="2024-12-19T00:00:00"/>
    <x v="15"/>
    <s v="SVC-04"/>
    <n v="740.87"/>
    <x v="0"/>
    <s v="Credit Card"/>
    <m/>
    <x v="0"/>
    <s v="USA"/>
    <s v="L. Chen"/>
    <x v="2"/>
    <s v="Risk"/>
    <n v="1E-3"/>
    <s v="Enterprise"/>
    <s v="High Value"/>
    <s v="Yes"/>
    <s v="No"/>
    <x v="0"/>
    <x v="2"/>
    <s v="NAQ4"/>
    <n v="299000"/>
  </r>
  <r>
    <s v="TXN-102458"/>
    <d v="2024-06-12T00:00:00"/>
    <x v="5"/>
    <s v="SVC-05"/>
    <n v="599.41999999999996"/>
    <x v="1"/>
    <s v="ACH"/>
    <m/>
    <x v="1"/>
    <s v="Australia"/>
    <s v="A. Kim"/>
    <x v="3"/>
    <s v="Analytics"/>
    <n v="0"/>
    <s v="N/A"/>
    <s v="High Value"/>
    <s v="Yes"/>
    <s v="Yes"/>
    <x v="1"/>
    <x v="0"/>
    <s v="APACQ2"/>
    <n v="110000"/>
  </r>
  <r>
    <s v="TXN-100904"/>
    <d v="2024-12-27T00:00:00"/>
    <x v="9"/>
    <s v="SVC-01"/>
    <n v="343.52"/>
    <x v="0"/>
    <s v="ACH"/>
    <m/>
    <x v="3"/>
    <s v="Philippines"/>
    <s v="T. Novak"/>
    <x v="0"/>
    <s v="Payments"/>
    <n v="2.9000000000000001E-2"/>
    <s v="Startup"/>
    <s v="Standard"/>
    <s v="Yes"/>
    <s v="No"/>
    <x v="1"/>
    <x v="2"/>
    <s v="APACQ4"/>
    <n v="126500"/>
  </r>
  <r>
    <s v="TXN-101347"/>
    <d v="2024-06-26T00:00:00"/>
    <x v="45"/>
    <s v="SVC-01"/>
    <n v="158.02000000000001"/>
    <x v="0"/>
    <s v="Unknown"/>
    <m/>
    <x v="0"/>
    <s v="United Kingdom"/>
    <s v="R. Patel"/>
    <x v="0"/>
    <s v="Payments"/>
    <n v="2.9000000000000001E-2"/>
    <s v="Enterprise"/>
    <s v="Standard"/>
    <s v="No"/>
    <s v="No"/>
    <x v="2"/>
    <x v="0"/>
    <s v="EMEAQ2"/>
    <n v="140000"/>
  </r>
  <r>
    <s v="TXN-100895"/>
    <d v="2024-09-03T00:00:00"/>
    <x v="19"/>
    <s v="SVC-08"/>
    <n v="178.02"/>
    <x v="0"/>
    <s v="ACH"/>
    <s v="escalated to support"/>
    <x v="0"/>
    <s v="Canada"/>
    <s v="M. Santos"/>
    <x v="1"/>
    <s v="Risk"/>
    <n v="2.5000000000000001E-3"/>
    <s v="Enterprise"/>
    <s v="Standard"/>
    <s v="Yes"/>
    <s v="No"/>
    <x v="0"/>
    <x v="1"/>
    <s v="NAQ3"/>
    <n v="273000"/>
  </r>
  <r>
    <s v="TXN-100919"/>
    <d v="2024-10-21T00:00:00"/>
    <x v="9"/>
    <s v="SVC-01"/>
    <n v="751.86"/>
    <x v="0"/>
    <s v="Credit Card"/>
    <m/>
    <x v="3"/>
    <s v="Philippines"/>
    <s v="T. Novak"/>
    <x v="0"/>
    <s v="Payments"/>
    <n v="2.9000000000000001E-2"/>
    <s v="Startup"/>
    <s v="High Value"/>
    <s v="Yes"/>
    <s v="No"/>
    <x v="1"/>
    <x v="2"/>
    <s v="APACQ4"/>
    <n v="126500"/>
  </r>
  <r>
    <s v="TXN-102256"/>
    <d v="2024-12-06T00:00:00"/>
    <x v="57"/>
    <s v="SVC-04"/>
    <n v="352.85"/>
    <x v="0"/>
    <s v="Credit Card"/>
    <m/>
    <x v="1"/>
    <s v="USA"/>
    <s v="L. Chen"/>
    <x v="2"/>
    <s v="Risk"/>
    <n v="1E-3"/>
    <s v="SMB"/>
    <s v="High Value"/>
    <s v="Yes"/>
    <s v="No"/>
    <x v="0"/>
    <x v="2"/>
    <s v="NAQ4"/>
    <n v="299000"/>
  </r>
  <r>
    <s v="TXN-101687"/>
    <d v="2024-11-21T00:00:00"/>
    <x v="91"/>
    <s v="SVC-06"/>
    <n v="-240.3"/>
    <x v="2"/>
    <s v="Credit Card"/>
    <m/>
    <x v="1"/>
    <s v="Singapore"/>
    <s v="A. Kim"/>
    <x v="4"/>
    <s v="Platform"/>
    <n v="0"/>
    <s v="N/A"/>
    <s v="Refund"/>
    <s v="No"/>
    <s v="Yes"/>
    <x v="1"/>
    <x v="2"/>
    <s v="APACQ4"/>
    <n v="126500"/>
  </r>
  <r>
    <s v="TXN-100105"/>
    <d v="2024-09-28T00:00:00"/>
    <x v="25"/>
    <s v="SVC-04"/>
    <n v="369.93"/>
    <x v="0"/>
    <s v="ACH"/>
    <m/>
    <x v="0"/>
    <s v="USA"/>
    <s v="A. Kim"/>
    <x v="2"/>
    <s v="Risk"/>
    <n v="1E-3"/>
    <s v="Enterprise"/>
    <s v="High Value"/>
    <s v="Yes"/>
    <s v="No"/>
    <x v="0"/>
    <x v="1"/>
    <s v="NAQ3"/>
    <n v="273000"/>
  </r>
  <r>
    <s v="TXN-101850"/>
    <d v="2024-08-11T00:00:00"/>
    <x v="54"/>
    <s v="SVC-06"/>
    <n v="562.73"/>
    <x v="0"/>
    <s v="Unknown"/>
    <s v="escalated to support"/>
    <x v="1"/>
    <s v="USA"/>
    <s v="J. Reyes"/>
    <x v="4"/>
    <s v="Platform"/>
    <n v="0"/>
    <s v="SMB"/>
    <s v="High Value"/>
    <s v="Yes"/>
    <s v="No"/>
    <x v="0"/>
    <x v="1"/>
    <s v="NAQ3"/>
    <n v="273000"/>
  </r>
  <r>
    <s v="TXN-101680"/>
    <d v="2024-06-29T00:00:00"/>
    <x v="103"/>
    <s v="SVC-05"/>
    <n v="17.989999999999998"/>
    <x v="0"/>
    <s v="Debit Card"/>
    <s v="VIP account"/>
    <x v="1"/>
    <s v="United Kingdom"/>
    <s v="R. Patel"/>
    <x v="3"/>
    <s v="Analytics"/>
    <n v="0"/>
    <s v="SMB"/>
    <s v="Standard"/>
    <s v="Yes"/>
    <s v="No"/>
    <x v="2"/>
    <x v="0"/>
    <s v="EMEAQ2"/>
    <n v="140000"/>
  </r>
  <r>
    <s v="TXN-102510"/>
    <d v="2024-04-07T00:00:00"/>
    <x v="133"/>
    <s v="SVC-05"/>
    <n v="376.1"/>
    <x v="3"/>
    <s v="Credit Card"/>
    <s v="callback requested"/>
    <x v="1"/>
    <s v="Canada"/>
    <s v="R. Patel"/>
    <x v="3"/>
    <s v="Analytics"/>
    <n v="0"/>
    <s v="N/A"/>
    <s v="High Value"/>
    <s v="Yes"/>
    <s v="No"/>
    <x v="0"/>
    <x v="0"/>
    <s v="NAQ2"/>
    <n v="260000"/>
  </r>
  <r>
    <s v="TXN-102324"/>
    <d v="2024-01-30T00:00:00"/>
    <x v="37"/>
    <s v="SVC-02"/>
    <n v="104.87"/>
    <x v="0"/>
    <s v="Debit Card"/>
    <s v="callback requested"/>
    <x v="1"/>
    <s v="Canada"/>
    <s v="T. Novak"/>
    <x v="6"/>
    <s v="HR &amp; Payroll"/>
    <n v="0"/>
    <s v="SMB"/>
    <s v="Standard"/>
    <s v="Yes"/>
    <s v="No"/>
    <x v="0"/>
    <x v="3"/>
    <s v="NAQ1"/>
    <n v="247000"/>
  </r>
  <r>
    <s v="TXN-101197"/>
    <d v="2024-06-08T00:00:00"/>
    <x v="104"/>
    <s v="SVC-01"/>
    <n v="209.1"/>
    <x v="0"/>
    <s v="ACH"/>
    <s v="escalated to support"/>
    <x v="1"/>
    <s v="USA"/>
    <s v="M. Santos"/>
    <x v="0"/>
    <s v="Payments"/>
    <n v="2.9000000000000001E-2"/>
    <s v="SMB"/>
    <s v="Standard"/>
    <s v="No"/>
    <s v="No"/>
    <x v="0"/>
    <x v="0"/>
    <s v="NAQ2"/>
    <n v="260000"/>
  </r>
  <r>
    <s v="TXN-101570"/>
    <d v="2024-09-23T00:00:00"/>
    <x v="126"/>
    <s v="SVC-08"/>
    <n v="503.92"/>
    <x v="0"/>
    <s v="Wire Transfer"/>
    <s v="escalated to support"/>
    <x v="3"/>
    <s v="Canada"/>
    <s v="A. Kim"/>
    <x v="1"/>
    <s v="Risk"/>
    <n v="2.5000000000000001E-3"/>
    <s v="Startup"/>
    <s v="High Value"/>
    <s v="Yes"/>
    <s v="No"/>
    <x v="0"/>
    <x v="1"/>
    <s v="NAQ3"/>
    <n v="273000"/>
  </r>
  <r>
    <s v="TXN-101695"/>
    <d v="2024-01-12T00:00:00"/>
    <x v="127"/>
    <s v="SVC-01"/>
    <n v="307.52"/>
    <x v="0"/>
    <s v="Credit Card"/>
    <m/>
    <x v="0"/>
    <s v="USA"/>
    <s v="R. Patel"/>
    <x v="0"/>
    <s v="Payments"/>
    <n v="2.9000000000000001E-2"/>
    <s v="Enterprise"/>
    <s v="Standard"/>
    <s v="Yes"/>
    <s v="No"/>
    <x v="0"/>
    <x v="3"/>
    <s v="NAQ1"/>
    <n v="247000"/>
  </r>
  <r>
    <s v="TXN-100744"/>
    <d v="2024-07-01T00:00:00"/>
    <x v="81"/>
    <s v="SVC-07"/>
    <n v="392.75"/>
    <x v="0"/>
    <s v="Debit Card"/>
    <s v="VIP account"/>
    <x v="3"/>
    <s v="Germany"/>
    <s v="R. Patel"/>
    <x v="7"/>
    <s v="Support"/>
    <n v="0"/>
    <s v="Startup"/>
    <s v="High Value"/>
    <s v="Yes"/>
    <s v="No"/>
    <x v="2"/>
    <x v="1"/>
    <s v="EMEAQ3"/>
    <n v="147000"/>
  </r>
  <r>
    <s v="TXN-100450"/>
    <d v="2024-08-28T00:00:00"/>
    <x v="51"/>
    <s v="SVC-01"/>
    <n v="655.29999999999995"/>
    <x v="0"/>
    <s v="ACH"/>
    <s v="callback requested"/>
    <x v="0"/>
    <s v="United Kingdom"/>
    <s v="R. Patel"/>
    <x v="0"/>
    <s v="Payments"/>
    <n v="2.9000000000000001E-2"/>
    <s v="Enterprise"/>
    <s v="High Value"/>
    <s v="Yes"/>
    <s v="No"/>
    <x v="2"/>
    <x v="1"/>
    <s v="EMEAQ3"/>
    <n v="147000"/>
  </r>
  <r>
    <s v="TXN-100328"/>
    <d v="2024-10-07T00:00:00"/>
    <x v="45"/>
    <s v="SVC-01"/>
    <n v="669.33"/>
    <x v="0"/>
    <s v="Debit Card"/>
    <m/>
    <x v="0"/>
    <s v="United Kingdom"/>
    <s v="R. Patel"/>
    <x v="0"/>
    <s v="Payments"/>
    <n v="2.9000000000000001E-2"/>
    <s v="Enterprise"/>
    <s v="High Value"/>
    <s v="Yes"/>
    <s v="No"/>
    <x v="2"/>
    <x v="2"/>
    <s v="EMEAQ4"/>
    <n v="161000"/>
  </r>
  <r>
    <s v="TXN-102072"/>
    <d v="2024-12-08T00:00:00"/>
    <x v="110"/>
    <s v="SVC-08"/>
    <n v="130.77000000000001"/>
    <x v="3"/>
    <s v="Debit Card"/>
    <s v="VIP account"/>
    <x v="0"/>
    <s v="USA"/>
    <s v="A. Kim"/>
    <x v="1"/>
    <s v="Risk"/>
    <n v="2.5000000000000001E-3"/>
    <s v="N/A"/>
    <s v="Standard"/>
    <s v="Yes"/>
    <s v="No"/>
    <x v="0"/>
    <x v="2"/>
    <s v="NAQ4"/>
    <n v="299000"/>
  </r>
  <r>
    <s v="TXN-101075"/>
    <d v="2024-02-18T00:00:00"/>
    <x v="85"/>
    <s v="SVC-05"/>
    <n v="247.55"/>
    <x v="0"/>
    <s v="Credit Card"/>
    <s v="escalated to support"/>
    <x v="0"/>
    <s v="Canada"/>
    <s v="T. Novak"/>
    <x v="3"/>
    <s v="Analytics"/>
    <n v="0"/>
    <s v="Enterprise"/>
    <s v="Standard"/>
    <s v="Yes"/>
    <s v="No"/>
    <x v="0"/>
    <x v="3"/>
    <s v="NAQ1"/>
    <n v="247000"/>
  </r>
  <r>
    <s v="TXN-102346"/>
    <d v="2024-05-25T00:00:00"/>
    <x v="63"/>
    <s v="SVC-08"/>
    <n v="512.11"/>
    <x v="0"/>
    <s v="Debit Card"/>
    <m/>
    <x v="1"/>
    <s v="Philippines"/>
    <s v="T. Novak"/>
    <x v="1"/>
    <s v="Risk"/>
    <n v="2.5000000000000001E-3"/>
    <s v="SMB"/>
    <s v="High Value"/>
    <s v="Yes"/>
    <s v="No"/>
    <x v="1"/>
    <x v="0"/>
    <s v="APACQ2"/>
    <n v="110000"/>
  </r>
  <r>
    <s v="TXN-101620"/>
    <d v="2024-02-03T00:00:00"/>
    <x v="82"/>
    <s v="SVC-08"/>
    <n v="601.28"/>
    <x v="0"/>
    <s v="Debit Card"/>
    <m/>
    <x v="1"/>
    <s v="USA"/>
    <s v="T. Novak"/>
    <x v="1"/>
    <s v="Risk"/>
    <n v="2.5000000000000001E-3"/>
    <s v="SMB"/>
    <s v="High Value"/>
    <s v="Yes"/>
    <s v="No"/>
    <x v="0"/>
    <x v="3"/>
    <s v="NAQ1"/>
    <n v="247000"/>
  </r>
  <r>
    <s v="TXN-100882"/>
    <d v="2024-01-04T00:00:00"/>
    <x v="78"/>
    <s v="SVC-05"/>
    <n v="-322.49"/>
    <x v="2"/>
    <s v="ACH"/>
    <m/>
    <x v="1"/>
    <s v="USA"/>
    <s v="L. Chen"/>
    <x v="3"/>
    <s v="Analytics"/>
    <n v="0"/>
    <s v="N/A"/>
    <s v="Refund"/>
    <s v="No"/>
    <s v="No"/>
    <x v="0"/>
    <x v="3"/>
    <s v="NAQ1"/>
    <n v="247000"/>
  </r>
  <r>
    <s v="TXN-100047"/>
    <d v="2024-08-03T00:00:00"/>
    <x v="96"/>
    <s v="SVC-01"/>
    <n v="413.52"/>
    <x v="0"/>
    <s v="Credit Card"/>
    <m/>
    <x v="1"/>
    <s v="Philippines"/>
    <s v="A. Kim"/>
    <x v="0"/>
    <s v="Payments"/>
    <n v="2.9000000000000001E-2"/>
    <s v="SMB"/>
    <s v="Standard"/>
    <s v="Yes"/>
    <s v="No"/>
    <x v="1"/>
    <x v="1"/>
    <s v="APACQ3"/>
    <n v="115500"/>
  </r>
  <r>
    <s v="TXN-101232"/>
    <d v="2024-11-19T00:00:00"/>
    <x v="38"/>
    <s v="SVC-03"/>
    <n v="529.03"/>
    <x v="0"/>
    <s v="Credit Card"/>
    <m/>
    <x v="0"/>
    <s v="Australia"/>
    <s v="A. Kim"/>
    <x v="5"/>
    <s v="Billing"/>
    <n v="5.0000000000000001E-3"/>
    <s v="Enterprise"/>
    <s v="High Value"/>
    <s v="Yes"/>
    <s v="No"/>
    <x v="1"/>
    <x v="2"/>
    <s v="APACQ4"/>
    <n v="126500"/>
  </r>
  <r>
    <s v="TXN-102412"/>
    <d v="2024-10-02T00:00:00"/>
    <x v="25"/>
    <s v="SVC-03"/>
    <n v="568.63"/>
    <x v="0"/>
    <s v="Debit Card"/>
    <m/>
    <x v="0"/>
    <s v="USA"/>
    <s v="A. Kim"/>
    <x v="5"/>
    <s v="Billing"/>
    <n v="5.0000000000000001E-3"/>
    <s v="Enterprise"/>
    <s v="High Value"/>
    <s v="Yes"/>
    <s v="No"/>
    <x v="0"/>
    <x v="2"/>
    <s v="NAQ4"/>
    <n v="299000"/>
  </r>
  <r>
    <s v="TXN-102397"/>
    <d v="2024-08-29T00:00:00"/>
    <x v="8"/>
    <s v="SVC-06"/>
    <n v="680.56"/>
    <x v="0"/>
    <s v="ACH"/>
    <m/>
    <x v="1"/>
    <s v="USA"/>
    <s v="M. Santos"/>
    <x v="4"/>
    <s v="Platform"/>
    <n v="0"/>
    <s v="SMB"/>
    <s v="High Value"/>
    <s v="Yes"/>
    <s v="No"/>
    <x v="0"/>
    <x v="1"/>
    <s v="NAQ3"/>
    <n v="273000"/>
  </r>
  <r>
    <s v="TXN-100569"/>
    <d v="2024-12-27T00:00:00"/>
    <x v="90"/>
    <s v="SVC-02"/>
    <n v="334.34"/>
    <x v="0"/>
    <s v="Credit Card"/>
    <s v="callback requested"/>
    <x v="1"/>
    <s v="USA"/>
    <s v="A. Kim"/>
    <x v="6"/>
    <s v="HR &amp; Payroll"/>
    <n v="0"/>
    <s v="SMB"/>
    <s v="High Value"/>
    <s v="Yes"/>
    <s v="No"/>
    <x v="0"/>
    <x v="2"/>
    <s v="NAQ4"/>
    <n v="299000"/>
  </r>
  <r>
    <s v="TXN-101885"/>
    <d v="2024-08-11T00:00:00"/>
    <x v="121"/>
    <s v="SVC-01"/>
    <n v="539.88"/>
    <x v="0"/>
    <s v="Debit Card"/>
    <m/>
    <x v="0"/>
    <s v="USA"/>
    <s v="J. Reyes"/>
    <x v="0"/>
    <s v="Payments"/>
    <n v="2.9000000000000001E-2"/>
    <s v="Enterprise"/>
    <s v="High Value"/>
    <s v="Yes"/>
    <s v="No"/>
    <x v="0"/>
    <x v="1"/>
    <s v="NAQ3"/>
    <n v="273000"/>
  </r>
  <r>
    <s v="TXN-100446"/>
    <d v="2024-02-05T00:00:00"/>
    <x v="118"/>
    <s v="SVC-02"/>
    <n v="370.61"/>
    <x v="0"/>
    <s v="Credit Card"/>
    <s v="VIP account"/>
    <x v="1"/>
    <s v="USA"/>
    <s v="L. Chen"/>
    <x v="6"/>
    <s v="HR &amp; Payroll"/>
    <n v="0"/>
    <s v="SMB"/>
    <s v="High Value"/>
    <s v="Yes"/>
    <s v="No"/>
    <x v="0"/>
    <x v="3"/>
    <s v="NAQ1"/>
    <n v="247000"/>
  </r>
  <r>
    <s v="TXN-102449"/>
    <d v="2024-12-05T00:00:00"/>
    <x v="30"/>
    <s v="SVC-06"/>
    <n v="490.39"/>
    <x v="0"/>
    <s v="Wire Transfer"/>
    <s v="VIP account"/>
    <x v="1"/>
    <s v="Germany"/>
    <s v="M. Santos"/>
    <x v="4"/>
    <s v="Platform"/>
    <n v="0"/>
    <s v="SMB"/>
    <s v="High Value"/>
    <s v="Yes"/>
    <s v="No"/>
    <x v="2"/>
    <x v="2"/>
    <s v="EMEAQ4"/>
    <n v="161000"/>
  </r>
  <r>
    <s v="TXN-100784"/>
    <d v="2024-03-26T00:00:00"/>
    <x v="12"/>
    <s v="SVC-05"/>
    <n v="250.52"/>
    <x v="0"/>
    <s v="Credit Card"/>
    <s v="VIP account"/>
    <x v="1"/>
    <s v="Canada"/>
    <s v="R. Patel"/>
    <x v="3"/>
    <s v="Analytics"/>
    <n v="0"/>
    <s v="SMB"/>
    <s v="High Value"/>
    <s v="Yes"/>
    <s v="No"/>
    <x v="0"/>
    <x v="3"/>
    <s v="NAQ1"/>
    <n v="247000"/>
  </r>
  <r>
    <s v="TXN-100841"/>
    <d v="2024-09-14T00:00:00"/>
    <x v="134"/>
    <s v="SVC-04"/>
    <n v="293.41000000000003"/>
    <x v="0"/>
    <s v="ACH"/>
    <m/>
    <x v="1"/>
    <s v="Philippines"/>
    <s v="T. Novak"/>
    <x v="2"/>
    <s v="Risk"/>
    <n v="1E-3"/>
    <s v="SMB"/>
    <s v="High Value"/>
    <s v="Yes"/>
    <s v="No"/>
    <x v="1"/>
    <x v="1"/>
    <s v="APACQ3"/>
    <n v="115500"/>
  </r>
  <r>
    <s v="TXN-101661"/>
    <d v="2024-05-08T00:00:00"/>
    <x v="99"/>
    <s v="SVC-01"/>
    <n v="358.38"/>
    <x v="3"/>
    <s v="Credit Card"/>
    <m/>
    <x v="1"/>
    <s v="Canada"/>
    <s v="R. Patel"/>
    <x v="0"/>
    <s v="Payments"/>
    <n v="2.9000000000000001E-2"/>
    <s v="N/A"/>
    <s v="Standard"/>
    <s v="Yes"/>
    <s v="No"/>
    <x v="0"/>
    <x v="0"/>
    <s v="NAQ2"/>
    <n v="260000"/>
  </r>
  <r>
    <s v="TXN-101411"/>
    <d v="2024-05-26T00:00:00"/>
    <x v="78"/>
    <s v="SVC-01"/>
    <n v="192.44"/>
    <x v="0"/>
    <s v="ACH"/>
    <m/>
    <x v="1"/>
    <s v="USA"/>
    <s v="L. Chen"/>
    <x v="0"/>
    <s v="Payments"/>
    <n v="2.9000000000000001E-2"/>
    <s v="SMB"/>
    <s v="Standard"/>
    <s v="No"/>
    <s v="No"/>
    <x v="0"/>
    <x v="0"/>
    <s v="NAQ2"/>
    <n v="260000"/>
  </r>
  <r>
    <s v="TXN-101215"/>
    <d v="2024-04-07T00:00:00"/>
    <x v="60"/>
    <s v="SVC-04"/>
    <n v="341.78"/>
    <x v="0"/>
    <s v="Wire Transfer"/>
    <m/>
    <x v="1"/>
    <s v="Australia"/>
    <s v="J. Reyes"/>
    <x v="2"/>
    <s v="Risk"/>
    <n v="1E-3"/>
    <s v="SMB"/>
    <s v="High Value"/>
    <s v="Yes"/>
    <s v="No"/>
    <x v="1"/>
    <x v="0"/>
    <s v="APACQ2"/>
    <n v="110000"/>
  </r>
  <r>
    <s v="TXN-101592"/>
    <d v="2024-07-21T00:00:00"/>
    <x v="6"/>
    <s v="SVC-08"/>
    <n v="532.77"/>
    <x v="0"/>
    <s v="Debit Card"/>
    <m/>
    <x v="0"/>
    <s v="United Kingdom"/>
    <s v="R. Patel"/>
    <x v="1"/>
    <s v="Risk"/>
    <n v="2.5000000000000001E-3"/>
    <s v="Enterprise"/>
    <s v="High Value"/>
    <s v="Yes"/>
    <s v="No"/>
    <x v="2"/>
    <x v="1"/>
    <s v="EMEAQ3"/>
    <n v="147000"/>
  </r>
  <r>
    <s v="TXN-100674"/>
    <d v="2024-02-21T00:00:00"/>
    <x v="34"/>
    <s v="SVC-06"/>
    <n v="182.33"/>
    <x v="0"/>
    <s v="Credit Card"/>
    <s v="escalated to support"/>
    <x v="1"/>
    <s v="Germany"/>
    <s v="M. Santos"/>
    <x v="4"/>
    <s v="Platform"/>
    <n v="0"/>
    <s v="SMB"/>
    <s v="Standard"/>
    <s v="Yes"/>
    <s v="No"/>
    <x v="2"/>
    <x v="3"/>
    <s v="EMEAQ1"/>
    <n v="133000"/>
  </r>
  <r>
    <s v="TXN-102369"/>
    <d v="2024-10-18T00:00:00"/>
    <x v="111"/>
    <s v="SVC-01"/>
    <n v="363.78"/>
    <x v="0"/>
    <s v="Debit Card"/>
    <s v="VIP account"/>
    <x v="1"/>
    <s v="Australia"/>
    <s v="A. Kim"/>
    <x v="0"/>
    <s v="Payments"/>
    <n v="2.9000000000000001E-2"/>
    <s v="SMB"/>
    <s v="Standard"/>
    <s v="Yes"/>
    <s v="No"/>
    <x v="1"/>
    <x v="2"/>
    <s v="APACQ4"/>
    <n v="126500"/>
  </r>
  <r>
    <s v="TXN-100591"/>
    <d v="2024-12-13T00:00:00"/>
    <x v="92"/>
    <s v="SVC-03"/>
    <n v="1050.1300000000001"/>
    <x v="0"/>
    <s v="Wire Transfer"/>
    <s v="VIP account"/>
    <x v="1"/>
    <s v="Canada"/>
    <s v="R. Patel"/>
    <x v="5"/>
    <s v="Billing"/>
    <n v="5.0000000000000001E-3"/>
    <s v="SMB"/>
    <s v="High Value"/>
    <s v="Yes"/>
    <s v="No"/>
    <x v="0"/>
    <x v="2"/>
    <s v="NAQ4"/>
    <n v="299000"/>
  </r>
  <r>
    <s v="TXN-101139"/>
    <d v="2024-11-14T00:00:00"/>
    <x v="116"/>
    <s v="SVC-05"/>
    <n v="270.08999999999997"/>
    <x v="0"/>
    <s v="Wire Transfer"/>
    <s v="escalated to support"/>
    <x v="1"/>
    <s v="USA"/>
    <s v="J. Reyes"/>
    <x v="3"/>
    <s v="Analytics"/>
    <n v="0"/>
    <s v="SMB"/>
    <s v="High Value"/>
    <s v="Yes"/>
    <s v="No"/>
    <x v="0"/>
    <x v="2"/>
    <s v="NAQ4"/>
    <n v="299000"/>
  </r>
  <r>
    <s v="TXN-101325"/>
    <d v="2024-04-16T00:00:00"/>
    <x v="39"/>
    <s v="SVC-01"/>
    <n v="89.99"/>
    <x v="0"/>
    <s v="Credit Card"/>
    <m/>
    <x v="1"/>
    <s v="United Kingdom"/>
    <s v="A. Kim"/>
    <x v="0"/>
    <s v="Payments"/>
    <n v="2.9000000000000001E-2"/>
    <s v="SMB"/>
    <s v="Standard"/>
    <s v="No"/>
    <s v="No"/>
    <x v="2"/>
    <x v="0"/>
    <s v="EMEAQ2"/>
    <n v="140000"/>
  </r>
  <r>
    <s v="TXN-100754"/>
    <d v="2024-12-31T00:00:00"/>
    <x v="129"/>
    <s v="SVC-08"/>
    <n v="336.14"/>
    <x v="3"/>
    <s v="Unknown"/>
    <s v="callback requested"/>
    <x v="1"/>
    <s v="Australia"/>
    <s v="A. Kim"/>
    <x v="1"/>
    <s v="Risk"/>
    <n v="2.5000000000000001E-3"/>
    <s v="N/A"/>
    <s v="High Value"/>
    <s v="Yes"/>
    <s v="No"/>
    <x v="1"/>
    <x v="2"/>
    <s v="APACQ4"/>
    <n v="126500"/>
  </r>
  <r>
    <s v="TXN-101626"/>
    <d v="2024-11-24T00:00:00"/>
    <x v="36"/>
    <s v="SVC-02"/>
    <n v="360.01"/>
    <x v="0"/>
    <s v="ACH"/>
    <m/>
    <x v="1"/>
    <s v="USA"/>
    <s v="M. Santos"/>
    <x v="6"/>
    <s v="HR &amp; Payroll"/>
    <n v="0"/>
    <s v="SMB"/>
    <s v="High Value"/>
    <s v="Yes"/>
    <s v="No"/>
    <x v="0"/>
    <x v="2"/>
    <s v="NAQ4"/>
    <n v="299000"/>
  </r>
  <r>
    <s v="TXN-101811"/>
    <d v="2024-11-22T00:00:00"/>
    <x v="81"/>
    <s v="SVC-01"/>
    <n v="402.32"/>
    <x v="0"/>
    <s v="Debit Card"/>
    <m/>
    <x v="3"/>
    <s v="Germany"/>
    <s v="R. Patel"/>
    <x v="0"/>
    <s v="Payments"/>
    <n v="2.9000000000000001E-2"/>
    <s v="Startup"/>
    <s v="Standard"/>
    <s v="Yes"/>
    <s v="No"/>
    <x v="2"/>
    <x v="2"/>
    <s v="EMEAQ4"/>
    <n v="161000"/>
  </r>
  <r>
    <s v="TXN-102610"/>
    <d v="2024-07-12T00:00:00"/>
    <x v="144"/>
    <s v="SVC-01"/>
    <n v="250"/>
    <x v="0"/>
    <s v="Unknown"/>
    <m/>
    <x v="2"/>
    <m/>
    <m/>
    <x v="0"/>
    <s v="Payments"/>
    <n v="2.9000000000000001E-2"/>
    <s v="Customer Not Found"/>
    <s v="Standard"/>
    <s v="No"/>
    <s v="Yes"/>
    <x v="1"/>
    <x v="1"/>
    <s v="APACQ3"/>
    <n v="115500"/>
  </r>
  <r>
    <s v="TXN-102426"/>
    <d v="2024-08-17T00:00:00"/>
    <x v="39"/>
    <s v="SVC-05"/>
    <n v="250.17"/>
    <x v="0"/>
    <s v="ACH"/>
    <s v="callback requested"/>
    <x v="1"/>
    <s v="United Kingdom"/>
    <s v="A. Kim"/>
    <x v="3"/>
    <s v="Analytics"/>
    <n v="0"/>
    <s v="SMB"/>
    <s v="High Value"/>
    <s v="Yes"/>
    <s v="No"/>
    <x v="2"/>
    <x v="1"/>
    <s v="EMEAQ3"/>
    <n v="147000"/>
  </r>
  <r>
    <s v="TXN-102602"/>
    <d v="2024-02-06T00:00:00"/>
    <x v="145"/>
    <s v="SVC-05"/>
    <n v="541.38"/>
    <x v="0"/>
    <s v="ACH"/>
    <m/>
    <x v="2"/>
    <m/>
    <m/>
    <x v="3"/>
    <s v="Analytics"/>
    <n v="0"/>
    <s v="Customer Not Found"/>
    <s v="High Value"/>
    <s v="Yes"/>
    <s v="Yes"/>
    <x v="1"/>
    <x v="3"/>
    <s v="APACQ1"/>
    <n v="104500"/>
  </r>
  <r>
    <s v="TXN-101632"/>
    <d v="2024-12-30T00:00:00"/>
    <x v="71"/>
    <s v="SVC-02"/>
    <n v="671.2"/>
    <x v="0"/>
    <s v="Credit Card"/>
    <s v="VIP account"/>
    <x v="1"/>
    <s v="United Kingdom"/>
    <s v="R. Patel"/>
    <x v="6"/>
    <s v="HR &amp; Payroll"/>
    <n v="0"/>
    <s v="SMB"/>
    <s v="High Value"/>
    <s v="Yes"/>
    <s v="No"/>
    <x v="2"/>
    <x v="2"/>
    <s v="EMEAQ4"/>
    <n v="161000"/>
  </r>
  <r>
    <s v="TXN-101170"/>
    <d v="2024-05-24T00:00:00"/>
    <x v="103"/>
    <s v="SVC-02"/>
    <n v="-595.98"/>
    <x v="2"/>
    <s v="Wire Transfer"/>
    <s v="VIP account"/>
    <x v="1"/>
    <s v="United Kingdom"/>
    <s v="R. Patel"/>
    <x v="6"/>
    <s v="HR &amp; Payroll"/>
    <n v="0"/>
    <s v="N/A"/>
    <s v="Refund"/>
    <s v="No"/>
    <s v="No"/>
    <x v="2"/>
    <x v="0"/>
    <s v="EMEAQ2"/>
    <n v="140000"/>
  </r>
  <r>
    <s v="TXN-100502"/>
    <d v="2024-07-30T00:00:00"/>
    <x v="5"/>
    <s v="SVC-08"/>
    <n v="381.29"/>
    <x v="0"/>
    <s v="ACH"/>
    <m/>
    <x v="1"/>
    <s v="Australia"/>
    <s v="A. Kim"/>
    <x v="1"/>
    <s v="Risk"/>
    <n v="2.5000000000000001E-3"/>
    <s v="SMB"/>
    <s v="High Value"/>
    <s v="Yes"/>
    <s v="No"/>
    <x v="1"/>
    <x v="1"/>
    <s v="APACQ3"/>
    <n v="115500"/>
  </r>
  <r>
    <s v="TXN-100540"/>
    <d v="2024-04-11T00:00:00"/>
    <x v="134"/>
    <s v="SVC-02"/>
    <n v="139.63"/>
    <x v="0"/>
    <s v="Credit Card"/>
    <s v="callback requested"/>
    <x v="1"/>
    <s v="Philippines"/>
    <s v="T. Novak"/>
    <x v="6"/>
    <s v="HR &amp; Payroll"/>
    <n v="0"/>
    <s v="SMB"/>
    <s v="Standard"/>
    <s v="Yes"/>
    <s v="Yes"/>
    <x v="1"/>
    <x v="0"/>
    <s v="APACQ2"/>
    <n v="110000"/>
  </r>
  <r>
    <s v="TXN-100483"/>
    <d v="2024-10-31T00:00:00"/>
    <x v="57"/>
    <s v="SVC-02"/>
    <n v="500.35"/>
    <x v="0"/>
    <s v="ACH"/>
    <m/>
    <x v="1"/>
    <s v="USA"/>
    <s v="L. Chen"/>
    <x v="6"/>
    <s v="HR &amp; Payroll"/>
    <n v="0"/>
    <s v="SMB"/>
    <s v="High Value"/>
    <s v="Yes"/>
    <s v="No"/>
    <x v="0"/>
    <x v="2"/>
    <s v="NAQ4"/>
    <n v="299000"/>
  </r>
  <r>
    <s v="TXN-100852"/>
    <d v="2024-09-24T00:00:00"/>
    <x v="117"/>
    <s v="SVC-07"/>
    <n v="210.9"/>
    <x v="0"/>
    <s v="Debit Card"/>
    <s v="callback requested"/>
    <x v="1"/>
    <s v="Canada"/>
    <s v="A. Kim"/>
    <x v="7"/>
    <s v="Support"/>
    <n v="0"/>
    <s v="SMB"/>
    <s v="Standard"/>
    <s v="Yes"/>
    <s v="No"/>
    <x v="0"/>
    <x v="1"/>
    <s v="NAQ3"/>
    <n v="273000"/>
  </r>
  <r>
    <s v="TXN-102351"/>
    <d v="2024-02-03T00:00:00"/>
    <x v="74"/>
    <s v="SVC-01"/>
    <n v="915.67"/>
    <x v="1"/>
    <s v="Credit Card"/>
    <m/>
    <x v="0"/>
    <s v="USA"/>
    <s v="A. Kim"/>
    <x v="0"/>
    <s v="Payments"/>
    <n v="2.9000000000000001E-2"/>
    <s v="N/A"/>
    <s v="High Value"/>
    <s v="Yes"/>
    <s v="No"/>
    <x v="0"/>
    <x v="3"/>
    <s v="NAQ1"/>
    <n v="247000"/>
  </r>
  <r>
    <s v="TXN-101127"/>
    <d v="2024-07-12T00:00:00"/>
    <x v="18"/>
    <s v="SVC-02"/>
    <n v="653.64"/>
    <x v="0"/>
    <s v="Credit Card"/>
    <m/>
    <x v="1"/>
    <s v="Philippines"/>
    <s v="R. Patel"/>
    <x v="6"/>
    <s v="HR &amp; Payroll"/>
    <n v="0"/>
    <s v="SMB"/>
    <s v="High Value"/>
    <s v="Yes"/>
    <s v="No"/>
    <x v="1"/>
    <x v="1"/>
    <s v="APACQ3"/>
    <n v="115500"/>
  </r>
  <r>
    <s v="TXN-101584"/>
    <d v="2024-05-15T00:00:00"/>
    <x v="50"/>
    <s v="SVC-07"/>
    <n v="165.53"/>
    <x v="0"/>
    <s v="ACH"/>
    <m/>
    <x v="1"/>
    <s v="USA"/>
    <s v="M. Santos"/>
    <x v="7"/>
    <s v="Support"/>
    <n v="0"/>
    <s v="SMB"/>
    <s v="Standard"/>
    <s v="Yes"/>
    <s v="Yes"/>
    <x v="0"/>
    <x v="0"/>
    <s v="NAQ2"/>
    <n v="260000"/>
  </r>
  <r>
    <s v="TXN-100574"/>
    <d v="2024-05-25T00:00:00"/>
    <x v="102"/>
    <s v="SVC-01"/>
    <n v="320.16000000000003"/>
    <x v="0"/>
    <s v="Credit Card"/>
    <m/>
    <x v="1"/>
    <s v="Philippines"/>
    <s v="L. Chen"/>
    <x v="0"/>
    <s v="Payments"/>
    <n v="2.9000000000000001E-2"/>
    <s v="SMB"/>
    <s v="Standard"/>
    <s v="Yes"/>
    <s v="No"/>
    <x v="1"/>
    <x v="0"/>
    <s v="APACQ2"/>
    <n v="110000"/>
  </r>
  <r>
    <s v="TXN-102278"/>
    <d v="2024-02-26T00:00:00"/>
    <x v="39"/>
    <s v="SVC-03"/>
    <n v="779.26"/>
    <x v="0"/>
    <s v="Credit Card"/>
    <m/>
    <x v="1"/>
    <s v="United Kingdom"/>
    <s v="A. Kim"/>
    <x v="5"/>
    <s v="Billing"/>
    <n v="5.0000000000000001E-3"/>
    <s v="SMB"/>
    <s v="High Value"/>
    <s v="Yes"/>
    <s v="Yes"/>
    <x v="2"/>
    <x v="3"/>
    <s v="EMEAQ1"/>
    <n v="133000"/>
  </r>
  <r>
    <s v="TXN-100079"/>
    <d v="2024-01-10T00:00:00"/>
    <x v="114"/>
    <s v="SVC-03"/>
    <n v="106.53"/>
    <x v="0"/>
    <s v="ACH"/>
    <s v="callback requested"/>
    <x v="3"/>
    <s v="Australia"/>
    <s v="A. Kim"/>
    <x v="5"/>
    <s v="Billing"/>
    <n v="5.0000000000000001E-3"/>
    <s v="Startup"/>
    <s v="Standard"/>
    <s v="Yes"/>
    <s v="No"/>
    <x v="1"/>
    <x v="3"/>
    <s v="APACQ1"/>
    <n v="104500"/>
  </r>
  <r>
    <s v="TXN-102269"/>
    <d v="2024-04-22T00:00:00"/>
    <x v="41"/>
    <s v="SVC-02"/>
    <n v="175.5"/>
    <x v="3"/>
    <s v="Debit Card"/>
    <m/>
    <x v="0"/>
    <s v="Canada"/>
    <s v="M. Santos"/>
    <x v="6"/>
    <s v="HR &amp; Payroll"/>
    <n v="0"/>
    <s v="N/A"/>
    <s v="Standard"/>
    <s v="Yes"/>
    <s v="No"/>
    <x v="0"/>
    <x v="0"/>
    <s v="NAQ2"/>
    <n v="260000"/>
  </r>
  <r>
    <s v="TXN-101975"/>
    <d v="2024-06-27T00:00:00"/>
    <x v="110"/>
    <s v="SVC-01"/>
    <n v="454.99"/>
    <x v="3"/>
    <s v="ACH"/>
    <s v="callback requested"/>
    <x v="0"/>
    <s v="USA"/>
    <s v="A. Kim"/>
    <x v="0"/>
    <s v="Payments"/>
    <n v="2.9000000000000001E-2"/>
    <s v="N/A"/>
    <s v="Standard"/>
    <s v="Yes"/>
    <s v="No"/>
    <x v="0"/>
    <x v="0"/>
    <s v="NAQ2"/>
    <n v="260000"/>
  </r>
  <r>
    <s v="TXN-101736"/>
    <d v="2024-11-18T00:00:00"/>
    <x v="0"/>
    <s v="SVC-01"/>
    <n v="71.319999999999993"/>
    <x v="0"/>
    <s v="Credit Card"/>
    <s v="callback requested"/>
    <x v="0"/>
    <s v="USA"/>
    <s v="J. Reyes"/>
    <x v="0"/>
    <s v="Payments"/>
    <n v="2.9000000000000001E-2"/>
    <s v="Enterprise"/>
    <s v="Standard"/>
    <s v="No"/>
    <s v="No"/>
    <x v="0"/>
    <x v="2"/>
    <s v="NAQ4"/>
    <n v="299000"/>
  </r>
  <r>
    <s v="TXN-102514"/>
    <d v="2024-12-04T00:00:00"/>
    <x v="71"/>
    <s v="SVC-04"/>
    <n v="621.64"/>
    <x v="0"/>
    <s v="Debit Card"/>
    <s v="callback requested"/>
    <x v="1"/>
    <s v="United Kingdom"/>
    <s v="R. Patel"/>
    <x v="2"/>
    <s v="Risk"/>
    <n v="1E-3"/>
    <s v="SMB"/>
    <s v="High Value"/>
    <s v="Yes"/>
    <s v="No"/>
    <x v="2"/>
    <x v="2"/>
    <s v="EMEAQ4"/>
    <n v="161000"/>
  </r>
  <r>
    <s v="TXN-102197"/>
    <d v="2024-03-03T00:00:00"/>
    <x v="34"/>
    <s v="SVC-07"/>
    <n v="250.03"/>
    <x v="0"/>
    <s v="Debit Card"/>
    <m/>
    <x v="1"/>
    <s v="Germany"/>
    <s v="M. Santos"/>
    <x v="7"/>
    <s v="Support"/>
    <n v="0"/>
    <s v="SMB"/>
    <s v="High Value"/>
    <s v="Yes"/>
    <s v="No"/>
    <x v="2"/>
    <x v="3"/>
    <s v="EMEAQ1"/>
    <n v="133000"/>
  </r>
  <r>
    <s v="TXN-101122"/>
    <d v="2024-06-20T00:00:00"/>
    <x v="83"/>
    <s v="SVC-01"/>
    <n v="449.29"/>
    <x v="1"/>
    <s v="ACH"/>
    <s v="escalated to support"/>
    <x v="1"/>
    <s v="Canada"/>
    <s v="L. Chen"/>
    <x v="0"/>
    <s v="Payments"/>
    <n v="2.9000000000000001E-2"/>
    <s v="N/A"/>
    <s v="Standard"/>
    <s v="Yes"/>
    <s v="No"/>
    <x v="0"/>
    <x v="0"/>
    <s v="NAQ2"/>
    <n v="260000"/>
  </r>
  <r>
    <s v="TXN-100391"/>
    <d v="2024-04-24T00:00:00"/>
    <x v="39"/>
    <s v="SVC-08"/>
    <n v="833.22"/>
    <x v="0"/>
    <s v="Debit Card"/>
    <s v="callback requested"/>
    <x v="1"/>
    <s v="United Kingdom"/>
    <s v="A. Kim"/>
    <x v="1"/>
    <s v="Risk"/>
    <n v="2.5000000000000001E-3"/>
    <s v="SMB"/>
    <s v="High Value"/>
    <s v="Yes"/>
    <s v="No"/>
    <x v="2"/>
    <x v="0"/>
    <s v="EMEAQ2"/>
    <n v="140000"/>
  </r>
  <r>
    <s v="TXN-100017"/>
    <d v="2024-11-02T00:00:00"/>
    <x v="46"/>
    <s v="SVC-02"/>
    <n v="251.52"/>
    <x v="0"/>
    <s v="Debit Card"/>
    <m/>
    <x v="1"/>
    <s v="Australia"/>
    <s v="L. Chen"/>
    <x v="6"/>
    <s v="HR &amp; Payroll"/>
    <n v="0"/>
    <s v="SMB"/>
    <s v="High Value"/>
    <s v="Yes"/>
    <s v="No"/>
    <x v="1"/>
    <x v="2"/>
    <s v="APACQ4"/>
    <n v="126500"/>
  </r>
  <r>
    <s v="TXN-100681"/>
    <d v="2024-07-29T00:00:00"/>
    <x v="80"/>
    <s v="SVC-07"/>
    <n v="132.57"/>
    <x v="0"/>
    <s v="ACH"/>
    <m/>
    <x v="1"/>
    <s v="Philippines"/>
    <s v="R. Patel"/>
    <x v="7"/>
    <s v="Support"/>
    <n v="0"/>
    <s v="SMB"/>
    <s v="Standard"/>
    <s v="Yes"/>
    <s v="No"/>
    <x v="1"/>
    <x v="1"/>
    <s v="APACQ3"/>
    <n v="115500"/>
  </r>
  <r>
    <s v="TXN-101932"/>
    <d v="2024-01-03T00:00:00"/>
    <x v="27"/>
    <s v="SVC-03"/>
    <n v="373.24"/>
    <x v="0"/>
    <s v="Credit Card"/>
    <m/>
    <x v="1"/>
    <s v="Canada"/>
    <s v="L. Chen"/>
    <x v="5"/>
    <s v="Billing"/>
    <n v="5.0000000000000001E-3"/>
    <s v="SMB"/>
    <s v="High Value"/>
    <s v="Yes"/>
    <s v="No"/>
    <x v="0"/>
    <x v="3"/>
    <s v="NAQ1"/>
    <n v="247000"/>
  </r>
  <r>
    <s v="TXN-100242"/>
    <d v="2024-05-17T00:00:00"/>
    <x v="40"/>
    <s v="SVC-06"/>
    <n v="542.79999999999995"/>
    <x v="0"/>
    <s v="Debit Card"/>
    <m/>
    <x v="1"/>
    <s v="Philippines"/>
    <s v="M. Santos"/>
    <x v="4"/>
    <s v="Platform"/>
    <n v="0"/>
    <s v="SMB"/>
    <s v="High Value"/>
    <s v="Yes"/>
    <s v="No"/>
    <x v="1"/>
    <x v="0"/>
    <s v="APACQ2"/>
    <n v="110000"/>
  </r>
  <r>
    <s v="TXN-101555"/>
    <d v="2024-09-25T00:00:00"/>
    <x v="6"/>
    <s v="SVC-03"/>
    <n v="137.52000000000001"/>
    <x v="0"/>
    <s v="Credit Card"/>
    <s v="callback requested"/>
    <x v="0"/>
    <s v="United Kingdom"/>
    <s v="R. Patel"/>
    <x v="5"/>
    <s v="Billing"/>
    <n v="5.0000000000000001E-3"/>
    <s v="Enterprise"/>
    <s v="Standard"/>
    <s v="Yes"/>
    <s v="No"/>
    <x v="2"/>
    <x v="1"/>
    <s v="EMEAQ3"/>
    <n v="147000"/>
  </r>
  <r>
    <s v="TXN-100536"/>
    <d v="2024-09-29T00:00:00"/>
    <x v="55"/>
    <s v="SVC-01"/>
    <n v="118.4"/>
    <x v="0"/>
    <s v="ACH"/>
    <m/>
    <x v="3"/>
    <s v="USA"/>
    <s v="J. Reyes"/>
    <x v="0"/>
    <s v="Payments"/>
    <n v="2.9000000000000001E-2"/>
    <s v="Startup"/>
    <s v="Standard"/>
    <s v="No"/>
    <s v="No"/>
    <x v="0"/>
    <x v="1"/>
    <s v="NAQ3"/>
    <n v="273000"/>
  </r>
  <r>
    <s v="TXN-101942"/>
    <d v="2024-05-03T00:00:00"/>
    <x v="96"/>
    <s v="SVC-05"/>
    <n v="403.72"/>
    <x v="0"/>
    <s v="ACH"/>
    <s v="VIP account"/>
    <x v="1"/>
    <s v="Philippines"/>
    <s v="A. Kim"/>
    <x v="3"/>
    <s v="Analytics"/>
    <n v="0"/>
    <s v="SMB"/>
    <s v="High Value"/>
    <s v="Yes"/>
    <s v="Yes"/>
    <x v="1"/>
    <x v="0"/>
    <s v="APACQ2"/>
    <n v="110000"/>
  </r>
  <r>
    <s v="TXN-100853"/>
    <d v="2024-07-12T00:00:00"/>
    <x v="86"/>
    <s v="SVC-01"/>
    <n v="389.11"/>
    <x v="0"/>
    <s v="Credit Card"/>
    <m/>
    <x v="1"/>
    <s v="Canada"/>
    <s v="L. Chen"/>
    <x v="0"/>
    <s v="Payments"/>
    <n v="2.9000000000000001E-2"/>
    <s v="SMB"/>
    <s v="Standard"/>
    <s v="Yes"/>
    <s v="No"/>
    <x v="0"/>
    <x v="1"/>
    <s v="NAQ3"/>
    <n v="273000"/>
  </r>
  <r>
    <s v="TXN-102037"/>
    <d v="2024-04-05T00:00:00"/>
    <x v="36"/>
    <s v="SVC-01"/>
    <n v="731.29"/>
    <x v="0"/>
    <s v="Unknown"/>
    <s v="VIP account"/>
    <x v="1"/>
    <s v="USA"/>
    <s v="M. Santos"/>
    <x v="0"/>
    <s v="Payments"/>
    <n v="2.9000000000000001E-2"/>
    <s v="SMB"/>
    <s v="High Value"/>
    <s v="Yes"/>
    <s v="No"/>
    <x v="0"/>
    <x v="0"/>
    <s v="NAQ2"/>
    <n v="260000"/>
  </r>
  <r>
    <s v="TXN-100095"/>
    <d v="2024-06-29T00:00:00"/>
    <x v="109"/>
    <s v="SVC-01"/>
    <n v="472.92"/>
    <x v="0"/>
    <s v="ACH"/>
    <s v="escalated to support"/>
    <x v="0"/>
    <s v="USA"/>
    <s v="L. Chen"/>
    <x v="0"/>
    <s v="Payments"/>
    <n v="2.9000000000000001E-2"/>
    <s v="Enterprise"/>
    <s v="Standard"/>
    <s v="Yes"/>
    <s v="No"/>
    <x v="0"/>
    <x v="0"/>
    <s v="NAQ2"/>
    <n v="260000"/>
  </r>
  <r>
    <s v="TXN-101003"/>
    <d v="2024-07-14T00:00:00"/>
    <x v="97"/>
    <s v="SVC-01"/>
    <n v="233.8"/>
    <x v="0"/>
    <s v="ACH"/>
    <m/>
    <x v="0"/>
    <s v="United Kingdom"/>
    <s v="L. Chen"/>
    <x v="0"/>
    <s v="Payments"/>
    <n v="2.9000000000000001E-2"/>
    <s v="Enterprise"/>
    <s v="Standard"/>
    <s v="No"/>
    <s v="No"/>
    <x v="2"/>
    <x v="1"/>
    <s v="EMEAQ3"/>
    <n v="147000"/>
  </r>
  <r>
    <s v="TXN-100120"/>
    <d v="2024-03-22T00:00:00"/>
    <x v="83"/>
    <s v="SVC-01"/>
    <n v="144.29"/>
    <x v="3"/>
    <s v="Wire Transfer"/>
    <m/>
    <x v="1"/>
    <s v="Canada"/>
    <s v="L. Chen"/>
    <x v="0"/>
    <s v="Payments"/>
    <n v="2.9000000000000001E-2"/>
    <s v="N/A"/>
    <s v="Standard"/>
    <s v="No"/>
    <s v="No"/>
    <x v="0"/>
    <x v="3"/>
    <s v="NAQ1"/>
    <n v="247000"/>
  </r>
  <r>
    <s v="TXN-100363"/>
    <d v="2024-03-22T00:00:00"/>
    <x v="22"/>
    <s v="SVC-06"/>
    <n v="357.61"/>
    <x v="0"/>
    <s v="ACH"/>
    <m/>
    <x v="0"/>
    <s v="Australia"/>
    <s v="M. Santos"/>
    <x v="4"/>
    <s v="Platform"/>
    <n v="0"/>
    <s v="Enterprise"/>
    <s v="High Value"/>
    <s v="Yes"/>
    <s v="Yes"/>
    <x v="1"/>
    <x v="3"/>
    <s v="APACQ1"/>
    <n v="104500"/>
  </r>
  <r>
    <s v="TXN-101892"/>
    <d v="2024-09-14T00:00:00"/>
    <x v="34"/>
    <s v="SVC-01"/>
    <n v="333.97"/>
    <x v="3"/>
    <s v="Debit Card"/>
    <s v="escalated to support"/>
    <x v="1"/>
    <s v="Germany"/>
    <s v="M. Santos"/>
    <x v="0"/>
    <s v="Payments"/>
    <n v="2.9000000000000001E-2"/>
    <s v="N/A"/>
    <s v="Standard"/>
    <s v="Yes"/>
    <s v="No"/>
    <x v="2"/>
    <x v="1"/>
    <s v="EMEAQ3"/>
    <n v="147000"/>
  </r>
  <r>
    <s v="TXN-100806"/>
    <d v="2024-11-13T00:00:00"/>
    <x v="21"/>
    <s v="SVC-06"/>
    <n v="301.08"/>
    <x v="0"/>
    <s v="Debit Card"/>
    <m/>
    <x v="0"/>
    <s v="Australia"/>
    <s v="M. Santos"/>
    <x v="4"/>
    <s v="Platform"/>
    <n v="0"/>
    <s v="Enterprise"/>
    <s v="High Value"/>
    <s v="Yes"/>
    <s v="No"/>
    <x v="1"/>
    <x v="2"/>
    <s v="APACQ4"/>
    <n v="126500"/>
  </r>
  <r>
    <s v="TXN-102111"/>
    <d v="2024-09-11T00:00:00"/>
    <x v="118"/>
    <s v="SVC-01"/>
    <n v="125.66"/>
    <x v="0"/>
    <s v="ACH"/>
    <m/>
    <x v="1"/>
    <s v="USA"/>
    <s v="L. Chen"/>
    <x v="0"/>
    <s v="Payments"/>
    <n v="2.9000000000000001E-2"/>
    <s v="SMB"/>
    <s v="Standard"/>
    <s v="No"/>
    <s v="No"/>
    <x v="0"/>
    <x v="1"/>
    <s v="NAQ3"/>
    <n v="273000"/>
  </r>
  <r>
    <s v="TXN-101613"/>
    <d v="2024-01-03T00:00:00"/>
    <x v="69"/>
    <s v="SVC-02"/>
    <n v="288.05"/>
    <x v="0"/>
    <s v="Unknown"/>
    <s v="callback requested"/>
    <x v="1"/>
    <s v="Philippines"/>
    <s v="J. Reyes"/>
    <x v="6"/>
    <s v="HR &amp; Payroll"/>
    <n v="0"/>
    <s v="SMB"/>
    <s v="High Value"/>
    <s v="Yes"/>
    <s v="No"/>
    <x v="1"/>
    <x v="3"/>
    <s v="APACQ1"/>
    <n v="104500"/>
  </r>
  <r>
    <s v="TXN-100416"/>
    <d v="2024-05-04T00:00:00"/>
    <x v="39"/>
    <s v="SVC-04"/>
    <n v="437.05"/>
    <x v="0"/>
    <s v="Credit Card"/>
    <s v="callback requested"/>
    <x v="1"/>
    <s v="United Kingdom"/>
    <s v="A. Kim"/>
    <x v="2"/>
    <s v="Risk"/>
    <n v="1E-3"/>
    <s v="SMB"/>
    <s v="High Value"/>
    <s v="Yes"/>
    <s v="No"/>
    <x v="2"/>
    <x v="0"/>
    <s v="EMEAQ2"/>
    <n v="140000"/>
  </r>
  <r>
    <s v="TXN-100342"/>
    <d v="2024-10-08T00:00:00"/>
    <x v="121"/>
    <s v="SVC-01"/>
    <n v="409.27"/>
    <x v="0"/>
    <s v="Credit Card"/>
    <s v="VIP account"/>
    <x v="0"/>
    <s v="USA"/>
    <s v="J. Reyes"/>
    <x v="0"/>
    <s v="Payments"/>
    <n v="2.9000000000000001E-2"/>
    <s v="Enterprise"/>
    <s v="Standard"/>
    <s v="Yes"/>
    <s v="No"/>
    <x v="0"/>
    <x v="2"/>
    <s v="NAQ4"/>
    <n v="299000"/>
  </r>
  <r>
    <s v="TXN-102591"/>
    <d v="2024-10-07T00:00:00"/>
    <x v="103"/>
    <s v="SVC-01"/>
    <n v="762.49"/>
    <x v="0"/>
    <s v="Wire Transfer"/>
    <m/>
    <x v="1"/>
    <s v="United Kingdom"/>
    <s v="R. Patel"/>
    <x v="0"/>
    <s v="Payments"/>
    <n v="2.9000000000000001E-2"/>
    <s v="SMB"/>
    <s v="High Value"/>
    <s v="Yes"/>
    <s v="No"/>
    <x v="2"/>
    <x v="2"/>
    <s v="EMEAQ4"/>
    <n v="161000"/>
  </r>
  <r>
    <s v="TXN-102599"/>
    <d v="2024-02-23T00:00:00"/>
    <x v="121"/>
    <s v="SVC-01"/>
    <n v="-458.02"/>
    <x v="2"/>
    <s v="Debit Card"/>
    <m/>
    <x v="0"/>
    <s v="USA"/>
    <s v="J. Reyes"/>
    <x v="0"/>
    <s v="Payments"/>
    <n v="2.9000000000000001E-2"/>
    <s v="N/A"/>
    <s v="Refund"/>
    <s v="No"/>
    <s v="No"/>
    <x v="0"/>
    <x v="3"/>
    <s v="NAQ1"/>
    <n v="247000"/>
  </r>
  <r>
    <s v="TXN-101452"/>
    <d v="2024-10-04T00:00:00"/>
    <x v="29"/>
    <s v="SVC-01"/>
    <n v="578.30999999999995"/>
    <x v="0"/>
    <s v="ACH"/>
    <m/>
    <x v="1"/>
    <s v="Germany"/>
    <s v="L. Chen"/>
    <x v="0"/>
    <s v="Payments"/>
    <n v="2.9000000000000001E-2"/>
    <s v="SMB"/>
    <s v="High Value"/>
    <s v="Yes"/>
    <s v="No"/>
    <x v="2"/>
    <x v="2"/>
    <s v="EMEAQ4"/>
    <n v="161000"/>
  </r>
  <r>
    <s v="TXN-100394"/>
    <d v="2024-03-23T00:00:00"/>
    <x v="95"/>
    <s v="SVC-01"/>
    <n v="266.88"/>
    <x v="0"/>
    <s v="ACH"/>
    <m/>
    <x v="1"/>
    <s v="USA"/>
    <s v="R. Patel"/>
    <x v="0"/>
    <s v="Payments"/>
    <n v="2.9000000000000001E-2"/>
    <s v="SMB"/>
    <s v="Standard"/>
    <s v="No"/>
    <s v="No"/>
    <x v="0"/>
    <x v="3"/>
    <s v="NAQ1"/>
    <n v="247000"/>
  </r>
  <r>
    <s v="TXN-101701"/>
    <d v="2024-03-09T00:00:00"/>
    <x v="29"/>
    <s v="SVC-03"/>
    <n v="294.27999999999997"/>
    <x v="0"/>
    <s v="ACH"/>
    <s v="callback requested"/>
    <x v="1"/>
    <s v="Germany"/>
    <s v="L. Chen"/>
    <x v="5"/>
    <s v="Billing"/>
    <n v="5.0000000000000001E-3"/>
    <s v="SMB"/>
    <s v="High Value"/>
    <s v="Yes"/>
    <s v="No"/>
    <x v="2"/>
    <x v="3"/>
    <s v="EMEAQ1"/>
    <n v="133000"/>
  </r>
  <r>
    <s v="TXN-100317"/>
    <d v="2024-03-31T00:00:00"/>
    <x v="17"/>
    <s v="SVC-02"/>
    <n v="910.2"/>
    <x v="0"/>
    <s v="Credit Card"/>
    <m/>
    <x v="1"/>
    <s v="USA"/>
    <s v="A. Kim"/>
    <x v="6"/>
    <s v="HR &amp; Payroll"/>
    <n v="0"/>
    <s v="SMB"/>
    <s v="High Value"/>
    <s v="Yes"/>
    <s v="No"/>
    <x v="0"/>
    <x v="3"/>
    <s v="NAQ1"/>
    <n v="247000"/>
  </r>
  <r>
    <s v="TXN-102238"/>
    <d v="2024-02-24T00:00:00"/>
    <x v="107"/>
    <s v="SVC-01"/>
    <n v="334.2"/>
    <x v="0"/>
    <s v="Unknown"/>
    <s v="VIP account"/>
    <x v="1"/>
    <s v="USA"/>
    <s v="M. Santos"/>
    <x v="0"/>
    <s v="Payments"/>
    <n v="2.9000000000000001E-2"/>
    <s v="SMB"/>
    <s v="Standard"/>
    <s v="Yes"/>
    <s v="No"/>
    <x v="0"/>
    <x v="3"/>
    <s v="NAQ1"/>
    <n v="247000"/>
  </r>
  <r>
    <s v="TXN-102493"/>
    <d v="2024-04-05T00:00:00"/>
    <x v="126"/>
    <s v="SVC-01"/>
    <n v="-130.19999999999999"/>
    <x v="2"/>
    <s v="Wire Transfer"/>
    <s v="callback requested"/>
    <x v="3"/>
    <s v="Canada"/>
    <s v="A. Kim"/>
    <x v="0"/>
    <s v="Payments"/>
    <n v="2.9000000000000001E-2"/>
    <s v="N/A"/>
    <s v="Refund"/>
    <s v="No"/>
    <s v="No"/>
    <x v="0"/>
    <x v="0"/>
    <s v="NAQ2"/>
    <n v="260000"/>
  </r>
  <r>
    <s v="TXN-102523"/>
    <d v="2024-11-13T00:00:00"/>
    <x v="112"/>
    <s v="SVC-08"/>
    <n v="331.93"/>
    <x v="3"/>
    <s v="ACH"/>
    <m/>
    <x v="1"/>
    <s v="USA"/>
    <s v="A. Kim"/>
    <x v="1"/>
    <s v="Risk"/>
    <n v="2.5000000000000001E-3"/>
    <s v="N/A"/>
    <s v="High Value"/>
    <s v="Yes"/>
    <s v="No"/>
    <x v="0"/>
    <x v="2"/>
    <s v="NAQ4"/>
    <n v="299000"/>
  </r>
  <r>
    <s v="TXN-100969"/>
    <d v="2024-01-06T00:00:00"/>
    <x v="129"/>
    <s v="SVC-04"/>
    <n v="620.33000000000004"/>
    <x v="3"/>
    <s v="Unknown"/>
    <m/>
    <x v="1"/>
    <s v="Australia"/>
    <s v="A. Kim"/>
    <x v="2"/>
    <s v="Risk"/>
    <n v="1E-3"/>
    <s v="N/A"/>
    <s v="High Value"/>
    <s v="Yes"/>
    <s v="No"/>
    <x v="1"/>
    <x v="3"/>
    <s v="APACQ1"/>
    <n v="104500"/>
  </r>
  <r>
    <s v="TXN-102418"/>
    <d v="2024-01-16T00:00:00"/>
    <x v="75"/>
    <s v="SVC-06"/>
    <n v="86.56"/>
    <x v="0"/>
    <s v="ACH"/>
    <s v="VIP account"/>
    <x v="0"/>
    <s v="Canada"/>
    <s v="R. Patel"/>
    <x v="4"/>
    <s v="Platform"/>
    <n v="0"/>
    <s v="Enterprise"/>
    <s v="Standard"/>
    <s v="Yes"/>
    <s v="No"/>
    <x v="0"/>
    <x v="3"/>
    <s v="NAQ1"/>
    <n v="247000"/>
  </r>
  <r>
    <s v="TXN-101927"/>
    <d v="2024-03-13T00:00:00"/>
    <x v="92"/>
    <s v="SVC-01"/>
    <n v="710.68"/>
    <x v="0"/>
    <s v="Credit Card"/>
    <s v="callback requested"/>
    <x v="1"/>
    <s v="Canada"/>
    <s v="R. Patel"/>
    <x v="0"/>
    <s v="Payments"/>
    <n v="2.9000000000000001E-2"/>
    <s v="SMB"/>
    <s v="High Value"/>
    <s v="Yes"/>
    <s v="No"/>
    <x v="0"/>
    <x v="3"/>
    <s v="NAQ1"/>
    <n v="247000"/>
  </r>
  <r>
    <s v="TXN-102317"/>
    <d v="2024-07-25T00:00:00"/>
    <x v="51"/>
    <s v="SVC-05"/>
    <n v="-493.21"/>
    <x v="2"/>
    <s v="ACH"/>
    <s v="VIP account"/>
    <x v="0"/>
    <s v="United Kingdom"/>
    <s v="R. Patel"/>
    <x v="3"/>
    <s v="Analytics"/>
    <n v="0"/>
    <s v="N/A"/>
    <s v="Refund"/>
    <s v="No"/>
    <s v="No"/>
    <x v="2"/>
    <x v="1"/>
    <s v="EMEAQ3"/>
    <n v="147000"/>
  </r>
  <r>
    <s v="TXN-101213"/>
    <d v="2024-08-11T00:00:00"/>
    <x v="0"/>
    <s v="SVC-05"/>
    <n v="100.3"/>
    <x v="0"/>
    <s v="Debit Card"/>
    <s v="escalated to support"/>
    <x v="0"/>
    <s v="USA"/>
    <s v="J. Reyes"/>
    <x v="3"/>
    <s v="Analytics"/>
    <n v="0"/>
    <s v="Enterprise"/>
    <s v="Standard"/>
    <s v="Yes"/>
    <s v="No"/>
    <x v="0"/>
    <x v="1"/>
    <s v="NAQ3"/>
    <n v="273000"/>
  </r>
  <r>
    <s v="TXN-100603"/>
    <d v="2024-07-10T00:00:00"/>
    <x v="128"/>
    <s v="SVC-01"/>
    <n v="589.62"/>
    <x v="0"/>
    <s v="Credit Card"/>
    <m/>
    <x v="0"/>
    <s v="Philippines"/>
    <s v="L. Chen"/>
    <x v="0"/>
    <s v="Payments"/>
    <n v="2.9000000000000001E-2"/>
    <s v="Enterprise"/>
    <s v="High Value"/>
    <s v="Yes"/>
    <s v="No"/>
    <x v="1"/>
    <x v="1"/>
    <s v="APACQ3"/>
    <n v="115500"/>
  </r>
  <r>
    <s v="TXN-102206"/>
    <d v="2024-05-15T00:00:00"/>
    <x v="80"/>
    <s v="SVC-02"/>
    <n v="1006.18"/>
    <x v="0"/>
    <s v="ACH"/>
    <m/>
    <x v="1"/>
    <s v="Philippines"/>
    <s v="R. Patel"/>
    <x v="6"/>
    <s v="HR &amp; Payroll"/>
    <n v="0"/>
    <s v="SMB"/>
    <s v="High Value"/>
    <s v="Yes"/>
    <s v="No"/>
    <x v="1"/>
    <x v="0"/>
    <s v="APACQ2"/>
    <n v="110000"/>
  </r>
  <r>
    <s v="TXN-101611"/>
    <d v="2024-10-28T00:00:00"/>
    <x v="109"/>
    <s v="SVC-01"/>
    <n v="1048.67"/>
    <x v="0"/>
    <s v="Credit Card"/>
    <s v="callback requested"/>
    <x v="0"/>
    <s v="USA"/>
    <s v="L. Chen"/>
    <x v="0"/>
    <s v="Payments"/>
    <n v="2.9000000000000001E-2"/>
    <s v="Enterprise"/>
    <s v="High Value"/>
    <s v="Yes"/>
    <s v="No"/>
    <x v="0"/>
    <x v="2"/>
    <s v="NAQ4"/>
    <n v="299000"/>
  </r>
  <r>
    <s v="TXN-100415"/>
    <d v="2024-09-19T00:00:00"/>
    <x v="116"/>
    <s v="SVC-08"/>
    <n v="-89.71"/>
    <x v="2"/>
    <s v="Debit Card"/>
    <s v="VIP account"/>
    <x v="1"/>
    <s v="USA"/>
    <s v="J. Reyes"/>
    <x v="1"/>
    <s v="Risk"/>
    <n v="2.5000000000000001E-3"/>
    <s v="N/A"/>
    <s v="Refund"/>
    <s v="No"/>
    <s v="No"/>
    <x v="0"/>
    <x v="1"/>
    <s v="NAQ3"/>
    <n v="273000"/>
  </r>
  <r>
    <s v="TXN-101692"/>
    <d v="2024-03-07T00:00:00"/>
    <x v="133"/>
    <s v="SVC-07"/>
    <n v="254.32"/>
    <x v="0"/>
    <s v="Credit Card"/>
    <m/>
    <x v="1"/>
    <s v="Canada"/>
    <s v="R. Patel"/>
    <x v="7"/>
    <s v="Support"/>
    <n v="0"/>
    <s v="SMB"/>
    <s v="High Value"/>
    <s v="Yes"/>
    <s v="No"/>
    <x v="0"/>
    <x v="3"/>
    <s v="NAQ1"/>
    <n v="247000"/>
  </r>
  <r>
    <s v="TXN-100108"/>
    <d v="2024-12-29T00:00:00"/>
    <x v="44"/>
    <s v="SVC-05"/>
    <n v="915.79"/>
    <x v="0"/>
    <s v="Debit Card"/>
    <m/>
    <x v="0"/>
    <s v="Australia"/>
    <s v="T. Novak"/>
    <x v="3"/>
    <s v="Analytics"/>
    <n v="0"/>
    <s v="Enterprise"/>
    <s v="High Value"/>
    <s v="Yes"/>
    <s v="No"/>
    <x v="1"/>
    <x v="2"/>
    <s v="APACQ4"/>
    <n v="126500"/>
  </r>
  <r>
    <s v="TXN-102367"/>
    <d v="2024-12-05T00:00:00"/>
    <x v="105"/>
    <s v="SVC-02"/>
    <n v="267.04000000000002"/>
    <x v="1"/>
    <s v="Debit Card"/>
    <m/>
    <x v="3"/>
    <s v="Philippines"/>
    <s v="T. Novak"/>
    <x v="6"/>
    <s v="HR &amp; Payroll"/>
    <n v="0"/>
    <s v="N/A"/>
    <s v="High Value"/>
    <s v="Yes"/>
    <s v="No"/>
    <x v="1"/>
    <x v="2"/>
    <s v="APACQ4"/>
    <n v="126500"/>
  </r>
  <r>
    <s v="TXN-101010"/>
    <d v="2024-05-26T00:00:00"/>
    <x v="17"/>
    <s v="SVC-01"/>
    <n v="421.28"/>
    <x v="0"/>
    <s v="Debit Card"/>
    <m/>
    <x v="1"/>
    <s v="USA"/>
    <s v="A. Kim"/>
    <x v="0"/>
    <s v="Payments"/>
    <n v="2.9000000000000001E-2"/>
    <s v="SMB"/>
    <s v="Standard"/>
    <s v="Yes"/>
    <s v="No"/>
    <x v="0"/>
    <x v="0"/>
    <s v="NAQ2"/>
    <n v="260000"/>
  </r>
  <r>
    <s v="TXN-101758"/>
    <d v="2024-01-09T00:00:00"/>
    <x v="85"/>
    <s v="SVC-06"/>
    <n v="-364.96"/>
    <x v="2"/>
    <s v="Debit Card"/>
    <m/>
    <x v="0"/>
    <s v="Canada"/>
    <s v="T. Novak"/>
    <x v="4"/>
    <s v="Platform"/>
    <n v="0"/>
    <s v="N/A"/>
    <s v="Refund"/>
    <s v="No"/>
    <s v="No"/>
    <x v="0"/>
    <x v="3"/>
    <s v="NAQ1"/>
    <n v="247000"/>
  </r>
  <r>
    <s v="TXN-102049"/>
    <d v="2024-11-16T00:00:00"/>
    <x v="122"/>
    <s v="SVC-06"/>
    <n v="809.99"/>
    <x v="0"/>
    <s v="Credit Card"/>
    <s v="escalated to support"/>
    <x v="3"/>
    <s v="United Kingdom"/>
    <s v="A. Kim"/>
    <x v="4"/>
    <s v="Platform"/>
    <n v="0"/>
    <s v="Startup"/>
    <s v="High Value"/>
    <s v="Yes"/>
    <s v="No"/>
    <x v="2"/>
    <x v="2"/>
    <s v="EMEAQ4"/>
    <n v="161000"/>
  </r>
  <r>
    <s v="TXN-101346"/>
    <d v="2024-01-14T00:00:00"/>
    <x v="77"/>
    <s v="SVC-03"/>
    <n v="-646.9"/>
    <x v="2"/>
    <s v="ACH"/>
    <s v="callback requested"/>
    <x v="1"/>
    <s v="Australia"/>
    <s v="L. Chen"/>
    <x v="5"/>
    <s v="Billing"/>
    <n v="5.0000000000000001E-3"/>
    <s v="N/A"/>
    <s v="Refund"/>
    <s v="No"/>
    <s v="No"/>
    <x v="1"/>
    <x v="3"/>
    <s v="APACQ1"/>
    <n v="104500"/>
  </r>
  <r>
    <s v="TXN-102247"/>
    <d v="2024-01-01T00:00:00"/>
    <x v="81"/>
    <s v="SVC-07"/>
    <n v="919.85"/>
    <x v="1"/>
    <s v="ACH"/>
    <m/>
    <x v="3"/>
    <s v="Germany"/>
    <s v="R. Patel"/>
    <x v="7"/>
    <s v="Support"/>
    <n v="0"/>
    <s v="N/A"/>
    <s v="High Value"/>
    <s v="Yes"/>
    <s v="No"/>
    <x v="2"/>
    <x v="3"/>
    <s v="EMEAQ1"/>
    <n v="133000"/>
  </r>
  <r>
    <s v="TXN-101683"/>
    <d v="2024-11-02T00:00:00"/>
    <x v="126"/>
    <s v="SVC-01"/>
    <n v="295.85000000000002"/>
    <x v="0"/>
    <s v="Debit Card"/>
    <s v="callback requested"/>
    <x v="3"/>
    <s v="Canada"/>
    <s v="A. Kim"/>
    <x v="0"/>
    <s v="Payments"/>
    <n v="2.9000000000000001E-2"/>
    <s v="Startup"/>
    <s v="Standard"/>
    <s v="Yes"/>
    <s v="No"/>
    <x v="0"/>
    <x v="2"/>
    <s v="NAQ4"/>
    <n v="299000"/>
  </r>
  <r>
    <s v="TXN-101174"/>
    <d v="2024-12-27T00:00:00"/>
    <x v="107"/>
    <s v="SVC-03"/>
    <n v="152.12"/>
    <x v="3"/>
    <s v="Debit Card"/>
    <s v="escalated to support"/>
    <x v="1"/>
    <s v="USA"/>
    <s v="M. Santos"/>
    <x v="5"/>
    <s v="Billing"/>
    <n v="5.0000000000000001E-3"/>
    <s v="N/A"/>
    <s v="Standard"/>
    <s v="Yes"/>
    <s v="No"/>
    <x v="0"/>
    <x v="2"/>
    <s v="NAQ4"/>
    <n v="299000"/>
  </r>
  <r>
    <s v="TXN-100871"/>
    <d v="2024-06-02T00:00:00"/>
    <x v="93"/>
    <s v="SVC-06"/>
    <n v="382.76"/>
    <x v="0"/>
    <s v="Wire Transfer"/>
    <m/>
    <x v="1"/>
    <s v="Philippines"/>
    <s v="J. Reyes"/>
    <x v="4"/>
    <s v="Platform"/>
    <n v="0"/>
    <s v="SMB"/>
    <s v="High Value"/>
    <s v="Yes"/>
    <s v="Yes"/>
    <x v="1"/>
    <x v="0"/>
    <s v="APACQ2"/>
    <n v="110000"/>
  </r>
  <r>
    <s v="TXN-101112"/>
    <d v="2024-07-15T00:00:00"/>
    <x v="54"/>
    <s v="SVC-05"/>
    <n v="543.37"/>
    <x v="0"/>
    <s v="ACH"/>
    <s v="VIP account"/>
    <x v="1"/>
    <s v="USA"/>
    <s v="J. Reyes"/>
    <x v="3"/>
    <s v="Analytics"/>
    <n v="0"/>
    <s v="SMB"/>
    <s v="High Value"/>
    <s v="Yes"/>
    <s v="No"/>
    <x v="0"/>
    <x v="1"/>
    <s v="NAQ3"/>
    <n v="273000"/>
  </r>
  <r>
    <s v="TXN-101328"/>
    <d v="2024-01-09T00:00:00"/>
    <x v="13"/>
    <s v="SVC-08"/>
    <n v="767.29"/>
    <x v="0"/>
    <s v="Credit Card"/>
    <m/>
    <x v="0"/>
    <s v="Canada"/>
    <s v="J. Reyes"/>
    <x v="1"/>
    <s v="Risk"/>
    <n v="2.5000000000000001E-3"/>
    <s v="Enterprise"/>
    <s v="High Value"/>
    <s v="Yes"/>
    <s v="No"/>
    <x v="0"/>
    <x v="3"/>
    <s v="NAQ1"/>
    <n v="247000"/>
  </r>
  <r>
    <s v="TXN-100920"/>
    <d v="2024-10-05T00:00:00"/>
    <x v="72"/>
    <s v="SVC-01"/>
    <n v="408.26"/>
    <x v="0"/>
    <s v="Wire Transfer"/>
    <m/>
    <x v="1"/>
    <s v="United Kingdom"/>
    <s v="A. Kim"/>
    <x v="0"/>
    <s v="Payments"/>
    <n v="2.9000000000000001E-2"/>
    <s v="SMB"/>
    <s v="Standard"/>
    <s v="Yes"/>
    <s v="No"/>
    <x v="2"/>
    <x v="2"/>
    <s v="EMEAQ4"/>
    <n v="161000"/>
  </r>
  <r>
    <s v="TXN-102241"/>
    <d v="2024-05-12T00:00:00"/>
    <x v="118"/>
    <s v="SVC-02"/>
    <n v="692.89"/>
    <x v="0"/>
    <s v="Credit Card"/>
    <s v="escalated to support"/>
    <x v="1"/>
    <s v="USA"/>
    <s v="L. Chen"/>
    <x v="6"/>
    <s v="HR &amp; Payroll"/>
    <n v="0"/>
    <s v="SMB"/>
    <s v="High Value"/>
    <s v="Yes"/>
    <s v="No"/>
    <x v="0"/>
    <x v="0"/>
    <s v="NAQ2"/>
    <n v="260000"/>
  </r>
  <r>
    <s v="TXN-102562"/>
    <d v="2024-01-17T00:00:00"/>
    <x v="44"/>
    <s v="SVC-03"/>
    <n v="313.58"/>
    <x v="0"/>
    <s v="Credit Card"/>
    <s v="VIP account"/>
    <x v="0"/>
    <s v="Australia"/>
    <s v="T. Novak"/>
    <x v="5"/>
    <s v="Billing"/>
    <n v="5.0000000000000001E-3"/>
    <s v="Enterprise"/>
    <s v="High Value"/>
    <s v="Yes"/>
    <s v="No"/>
    <x v="1"/>
    <x v="3"/>
    <s v="APACQ1"/>
    <n v="104500"/>
  </r>
  <r>
    <s v="TXN-100805"/>
    <d v="2024-11-12T00:00:00"/>
    <x v="53"/>
    <s v="SVC-02"/>
    <n v="540.62"/>
    <x v="0"/>
    <s v="Credit Card"/>
    <s v="escalated to support"/>
    <x v="0"/>
    <s v="Singapore"/>
    <s v="L. Chen"/>
    <x v="6"/>
    <s v="HR &amp; Payroll"/>
    <n v="0"/>
    <s v="Enterprise"/>
    <s v="High Value"/>
    <s v="Yes"/>
    <s v="No"/>
    <x v="1"/>
    <x v="2"/>
    <s v="APACQ4"/>
    <n v="126500"/>
  </r>
  <r>
    <s v="TXN-101714"/>
    <d v="2024-04-18T00:00:00"/>
    <x v="128"/>
    <s v="SVC-01"/>
    <n v="342.8"/>
    <x v="0"/>
    <s v="ACH"/>
    <m/>
    <x v="0"/>
    <s v="Philippines"/>
    <s v="L. Chen"/>
    <x v="0"/>
    <s v="Payments"/>
    <n v="2.9000000000000001E-2"/>
    <s v="Enterprise"/>
    <s v="Standard"/>
    <s v="Yes"/>
    <s v="No"/>
    <x v="1"/>
    <x v="0"/>
    <s v="APACQ2"/>
    <n v="110000"/>
  </r>
  <r>
    <s v="TXN-101875"/>
    <d v="2024-02-03T00:00:00"/>
    <x v="119"/>
    <s v="SVC-07"/>
    <n v="320.45999999999998"/>
    <x v="0"/>
    <s v="ACH"/>
    <s v="VIP account"/>
    <x v="1"/>
    <s v="USA"/>
    <s v="R. Patel"/>
    <x v="7"/>
    <s v="Support"/>
    <n v="0"/>
    <s v="SMB"/>
    <s v="High Value"/>
    <s v="Yes"/>
    <s v="No"/>
    <x v="0"/>
    <x v="3"/>
    <s v="NAQ1"/>
    <n v="247000"/>
  </r>
  <r>
    <s v="TXN-100642"/>
    <d v="2024-01-28T00:00:00"/>
    <x v="100"/>
    <s v="SVC-02"/>
    <n v="1436.25"/>
    <x v="0"/>
    <s v="Debit Card"/>
    <m/>
    <x v="1"/>
    <s v="USA"/>
    <s v="J. Reyes"/>
    <x v="6"/>
    <s v="HR &amp; Payroll"/>
    <n v="0"/>
    <s v="SMB"/>
    <s v="High Value"/>
    <s v="Yes"/>
    <s v="No"/>
    <x v="0"/>
    <x v="3"/>
    <s v="NAQ1"/>
    <n v="247000"/>
  </r>
  <r>
    <s v="TXN-100336"/>
    <d v="2024-03-07T00:00:00"/>
    <x v="11"/>
    <s v="SVC-07"/>
    <n v="114.78"/>
    <x v="0"/>
    <s v="Debit Card"/>
    <s v="callback requested"/>
    <x v="0"/>
    <s v="United Kingdom"/>
    <s v="L. Chen"/>
    <x v="7"/>
    <s v="Support"/>
    <n v="0"/>
    <s v="Enterprise"/>
    <s v="Standard"/>
    <s v="Yes"/>
    <s v="No"/>
    <x v="2"/>
    <x v="3"/>
    <s v="EMEAQ1"/>
    <n v="133000"/>
  </r>
  <r>
    <s v="TXN-101945"/>
    <d v="2024-01-23T00:00:00"/>
    <x v="98"/>
    <s v="SVC-01"/>
    <n v="811.13"/>
    <x v="0"/>
    <s v="Debit Card"/>
    <s v="callback requested"/>
    <x v="1"/>
    <s v="Philippines"/>
    <s v="T. Novak"/>
    <x v="0"/>
    <s v="Payments"/>
    <n v="2.9000000000000001E-2"/>
    <s v="SMB"/>
    <s v="High Value"/>
    <s v="Yes"/>
    <s v="No"/>
    <x v="1"/>
    <x v="3"/>
    <s v="APACQ1"/>
    <n v="104500"/>
  </r>
  <r>
    <s v="TXN-101388"/>
    <d v="2024-07-14T00:00:00"/>
    <x v="23"/>
    <s v="SVC-06"/>
    <n v="396.77"/>
    <x v="0"/>
    <s v="Credit Card"/>
    <m/>
    <x v="0"/>
    <s v="USA"/>
    <s v="L. Chen"/>
    <x v="4"/>
    <s v="Platform"/>
    <n v="0"/>
    <s v="Enterprise"/>
    <s v="High Value"/>
    <s v="Yes"/>
    <s v="No"/>
    <x v="0"/>
    <x v="1"/>
    <s v="NAQ3"/>
    <n v="273000"/>
  </r>
  <r>
    <s v="TXN-100423"/>
    <d v="2024-10-22T00:00:00"/>
    <x v="0"/>
    <s v="SVC-02"/>
    <n v="529.1"/>
    <x v="0"/>
    <s v="Credit Card"/>
    <s v="VIP account"/>
    <x v="0"/>
    <s v="USA"/>
    <s v="J. Reyes"/>
    <x v="6"/>
    <s v="HR &amp; Payroll"/>
    <n v="0"/>
    <s v="Enterprise"/>
    <s v="High Value"/>
    <s v="Yes"/>
    <s v="Yes"/>
    <x v="0"/>
    <x v="2"/>
    <s v="NAQ4"/>
    <n v="299000"/>
  </r>
  <r>
    <s v="TXN-101220"/>
    <d v="2024-11-22T00:00:00"/>
    <x v="99"/>
    <s v="SVC-01"/>
    <n v="323.52999999999997"/>
    <x v="0"/>
    <s v="Debit Card"/>
    <m/>
    <x v="1"/>
    <s v="Canada"/>
    <s v="R. Patel"/>
    <x v="0"/>
    <s v="Payments"/>
    <n v="2.9000000000000001E-2"/>
    <s v="SMB"/>
    <s v="Standard"/>
    <s v="Yes"/>
    <s v="No"/>
    <x v="0"/>
    <x v="2"/>
    <s v="NAQ4"/>
    <n v="299000"/>
  </r>
  <r>
    <s v="TXN-100618"/>
    <d v="2024-08-22T00:00:00"/>
    <x v="94"/>
    <s v="SVC-01"/>
    <n v="410.71"/>
    <x v="0"/>
    <s v="ACH"/>
    <m/>
    <x v="1"/>
    <s v="United Kingdom"/>
    <s v="L. Chen"/>
    <x v="0"/>
    <s v="Payments"/>
    <n v="2.9000000000000001E-2"/>
    <s v="SMB"/>
    <s v="Standard"/>
    <s v="Yes"/>
    <s v="No"/>
    <x v="2"/>
    <x v="1"/>
    <s v="EMEAQ3"/>
    <n v="147000"/>
  </r>
  <r>
    <s v="TXN-102427"/>
    <d v="2024-06-30T00:00:00"/>
    <x v="73"/>
    <s v="SVC-01"/>
    <n v="292.37"/>
    <x v="0"/>
    <s v="ACH"/>
    <m/>
    <x v="1"/>
    <s v="United Kingdom"/>
    <s v="R. Patel"/>
    <x v="0"/>
    <s v="Payments"/>
    <n v="2.9000000000000001E-2"/>
    <s v="SMB"/>
    <s v="Standard"/>
    <s v="Yes"/>
    <s v="No"/>
    <x v="2"/>
    <x v="0"/>
    <s v="EMEAQ2"/>
    <n v="140000"/>
  </r>
  <r>
    <s v="TXN-102023"/>
    <d v="2024-10-12T00:00:00"/>
    <x v="19"/>
    <s v="SVC-01"/>
    <n v="212.17"/>
    <x v="0"/>
    <s v="Credit Card"/>
    <s v="escalated to support"/>
    <x v="0"/>
    <s v="Canada"/>
    <s v="M. Santos"/>
    <x v="0"/>
    <s v="Payments"/>
    <n v="2.9000000000000001E-2"/>
    <s v="Enterprise"/>
    <s v="Standard"/>
    <s v="No"/>
    <s v="No"/>
    <x v="0"/>
    <x v="2"/>
    <s v="NAQ4"/>
    <n v="299000"/>
  </r>
  <r>
    <s v="TXN-101591"/>
    <d v="2024-08-30T00:00:00"/>
    <x v="79"/>
    <s v="SVC-01"/>
    <n v="-265.51"/>
    <x v="2"/>
    <s v="Credit Card"/>
    <m/>
    <x v="3"/>
    <s v="USA"/>
    <s v="T. Novak"/>
    <x v="0"/>
    <s v="Payments"/>
    <n v="2.9000000000000001E-2"/>
    <s v="N/A"/>
    <s v="Refund"/>
    <s v="No"/>
    <s v="No"/>
    <x v="0"/>
    <x v="1"/>
    <s v="NAQ3"/>
    <n v="273000"/>
  </r>
  <r>
    <s v="TXN-100830"/>
    <d v="2024-06-26T00:00:00"/>
    <x v="80"/>
    <s v="SVC-01"/>
    <n v="337.2"/>
    <x v="3"/>
    <s v="Credit Card"/>
    <s v="VIP account"/>
    <x v="1"/>
    <s v="Philippines"/>
    <s v="R. Patel"/>
    <x v="0"/>
    <s v="Payments"/>
    <n v="2.9000000000000001E-2"/>
    <s v="N/A"/>
    <s v="Standard"/>
    <s v="Yes"/>
    <s v="No"/>
    <x v="1"/>
    <x v="0"/>
    <s v="APACQ2"/>
    <n v="110000"/>
  </r>
  <r>
    <s v="TXN-101187"/>
    <d v="2024-03-23T00:00:00"/>
    <x v="3"/>
    <s v="SVC-01"/>
    <n v="612.91"/>
    <x v="1"/>
    <s v="ACH"/>
    <s v="escalated to support"/>
    <x v="1"/>
    <s v="Canada"/>
    <s v="J. Reyes"/>
    <x v="0"/>
    <s v="Payments"/>
    <n v="2.9000000000000001E-2"/>
    <s v="N/A"/>
    <s v="High Value"/>
    <s v="Yes"/>
    <s v="No"/>
    <x v="0"/>
    <x v="3"/>
    <s v="NAQ1"/>
    <n v="247000"/>
  </r>
  <r>
    <s v="TXN-100632"/>
    <d v="2024-06-11T00:00:00"/>
    <x v="51"/>
    <s v="SVC-01"/>
    <n v="686.65"/>
    <x v="0"/>
    <s v="ACH"/>
    <s v="escalated to support"/>
    <x v="0"/>
    <s v="United Kingdom"/>
    <s v="R. Patel"/>
    <x v="0"/>
    <s v="Payments"/>
    <n v="2.9000000000000001E-2"/>
    <s v="Enterprise"/>
    <s v="High Value"/>
    <s v="Yes"/>
    <s v="No"/>
    <x v="2"/>
    <x v="0"/>
    <s v="EMEAQ2"/>
    <n v="140000"/>
  </r>
  <r>
    <s v="TXN-101024"/>
    <d v="2024-10-06T00:00:00"/>
    <x v="57"/>
    <s v="SVC-03"/>
    <n v="228.8"/>
    <x v="0"/>
    <s v="ACH"/>
    <m/>
    <x v="1"/>
    <s v="USA"/>
    <s v="L. Chen"/>
    <x v="5"/>
    <s v="Billing"/>
    <n v="5.0000000000000001E-3"/>
    <s v="SMB"/>
    <s v="Standard"/>
    <s v="Yes"/>
    <s v="No"/>
    <x v="0"/>
    <x v="2"/>
    <s v="NAQ4"/>
    <n v="299000"/>
  </r>
  <r>
    <s v="TXN-101389"/>
    <d v="2024-09-12T00:00:00"/>
    <x v="79"/>
    <s v="SVC-07"/>
    <n v="70.45"/>
    <x v="0"/>
    <s v="ACH"/>
    <m/>
    <x v="3"/>
    <s v="USA"/>
    <s v="T. Novak"/>
    <x v="7"/>
    <s v="Support"/>
    <n v="0"/>
    <s v="Startup"/>
    <s v="Standard"/>
    <s v="Yes"/>
    <s v="No"/>
    <x v="0"/>
    <x v="1"/>
    <s v="NAQ3"/>
    <n v="273000"/>
  </r>
  <r>
    <s v="TXN-102259"/>
    <d v="2024-03-18T00:00:00"/>
    <x v="32"/>
    <s v="SVC-05"/>
    <n v="314.5"/>
    <x v="1"/>
    <s v="Credit Card"/>
    <s v="VIP account"/>
    <x v="1"/>
    <s v="Philippines"/>
    <s v="T. Novak"/>
    <x v="3"/>
    <s v="Analytics"/>
    <n v="0"/>
    <s v="N/A"/>
    <s v="High Value"/>
    <s v="Yes"/>
    <s v="No"/>
    <x v="1"/>
    <x v="3"/>
    <s v="APACQ1"/>
    <n v="104500"/>
  </r>
  <r>
    <s v="TXN-102362"/>
    <d v="2024-08-27T00:00:00"/>
    <x v="129"/>
    <s v="SVC-01"/>
    <n v="627.83000000000004"/>
    <x v="0"/>
    <s v="Unknown"/>
    <m/>
    <x v="1"/>
    <s v="Australia"/>
    <s v="A. Kim"/>
    <x v="0"/>
    <s v="Payments"/>
    <n v="2.9000000000000001E-2"/>
    <s v="SMB"/>
    <s v="High Value"/>
    <s v="Yes"/>
    <s v="No"/>
    <x v="1"/>
    <x v="1"/>
    <s v="APACQ3"/>
    <n v="115500"/>
  </r>
  <r>
    <s v="TXN-102597"/>
    <d v="2024-09-27T00:00:00"/>
    <x v="55"/>
    <s v="SVC-01"/>
    <n v="188.55"/>
    <x v="3"/>
    <s v="ACH"/>
    <s v="escalated to support"/>
    <x v="3"/>
    <s v="USA"/>
    <s v="J. Reyes"/>
    <x v="0"/>
    <s v="Payments"/>
    <n v="2.9000000000000001E-2"/>
    <s v="N/A"/>
    <s v="Standard"/>
    <s v="No"/>
    <s v="No"/>
    <x v="0"/>
    <x v="1"/>
    <s v="NAQ3"/>
    <n v="273000"/>
  </r>
  <r>
    <s v="TXN-100522"/>
    <d v="2024-04-02T00:00:00"/>
    <x v="65"/>
    <s v="SVC-03"/>
    <n v="587.24"/>
    <x v="1"/>
    <s v="ACH"/>
    <m/>
    <x v="0"/>
    <s v="USA"/>
    <s v="A. Kim"/>
    <x v="5"/>
    <s v="Billing"/>
    <n v="5.0000000000000001E-3"/>
    <s v="N/A"/>
    <s v="High Value"/>
    <s v="Yes"/>
    <s v="No"/>
    <x v="0"/>
    <x v="0"/>
    <s v="NAQ2"/>
    <n v="260000"/>
  </r>
  <r>
    <s v="TXN-101671"/>
    <d v="2024-05-13T00:00:00"/>
    <x v="28"/>
    <s v="SVC-01"/>
    <n v="290.36"/>
    <x v="0"/>
    <s v="Debit Card"/>
    <m/>
    <x v="1"/>
    <s v="United Kingdom"/>
    <s v="L. Chen"/>
    <x v="0"/>
    <s v="Payments"/>
    <n v="2.9000000000000001E-2"/>
    <s v="SMB"/>
    <s v="Standard"/>
    <s v="Yes"/>
    <s v="No"/>
    <x v="2"/>
    <x v="0"/>
    <s v="EMEAQ2"/>
    <n v="140000"/>
  </r>
  <r>
    <s v="TXN-102378"/>
    <d v="2024-02-17T00:00:00"/>
    <x v="16"/>
    <s v="SVC-01"/>
    <n v="-114.14"/>
    <x v="2"/>
    <s v="Debit Card"/>
    <s v="escalated to support"/>
    <x v="1"/>
    <s v="Germany"/>
    <s v="R. Patel"/>
    <x v="0"/>
    <s v="Payments"/>
    <n v="2.9000000000000001E-2"/>
    <s v="N/A"/>
    <s v="Refund"/>
    <s v="No"/>
    <s v="No"/>
    <x v="2"/>
    <x v="3"/>
    <s v="EMEAQ1"/>
    <n v="133000"/>
  </r>
  <r>
    <s v="TXN-102299"/>
    <d v="2024-07-14T00:00:00"/>
    <x v="115"/>
    <s v="SVC-04"/>
    <n v="413.26"/>
    <x v="0"/>
    <s v="ACH"/>
    <s v="escalated to support"/>
    <x v="3"/>
    <s v="USA"/>
    <s v="L. Chen"/>
    <x v="2"/>
    <s v="Risk"/>
    <n v="1E-3"/>
    <s v="Startup"/>
    <s v="High Value"/>
    <s v="Yes"/>
    <s v="No"/>
    <x v="0"/>
    <x v="1"/>
    <s v="NAQ3"/>
    <n v="273000"/>
  </r>
  <r>
    <s v="TXN-100854"/>
    <d v="2024-01-08T00:00:00"/>
    <x v="83"/>
    <s v="SVC-01"/>
    <n v="605.14"/>
    <x v="0"/>
    <s v="Wire Transfer"/>
    <m/>
    <x v="1"/>
    <s v="Canada"/>
    <s v="L. Chen"/>
    <x v="0"/>
    <s v="Payments"/>
    <n v="2.9000000000000001E-2"/>
    <s v="SMB"/>
    <s v="High Value"/>
    <s v="Yes"/>
    <s v="No"/>
    <x v="0"/>
    <x v="3"/>
    <s v="NAQ1"/>
    <n v="247000"/>
  </r>
  <r>
    <s v="TXN-101385"/>
    <d v="2024-10-03T00:00:00"/>
    <x v="113"/>
    <s v="SVC-01"/>
    <n v="-220.1"/>
    <x v="2"/>
    <s v="Debit Card"/>
    <s v="VIP account"/>
    <x v="3"/>
    <s v="United Kingdom"/>
    <s v="R. Patel"/>
    <x v="0"/>
    <s v="Payments"/>
    <n v="2.9000000000000001E-2"/>
    <s v="N/A"/>
    <s v="Refund"/>
    <s v="No"/>
    <s v="No"/>
    <x v="2"/>
    <x v="2"/>
    <s v="EMEAQ4"/>
    <n v="161000"/>
  </r>
  <r>
    <s v="TXN-100956"/>
    <d v="2024-12-08T00:00:00"/>
    <x v="67"/>
    <s v="SVC-01"/>
    <n v="236.58"/>
    <x v="0"/>
    <s v="Debit Card"/>
    <m/>
    <x v="3"/>
    <s v="Australia"/>
    <s v="Unassigned"/>
    <x v="0"/>
    <s v="Payments"/>
    <n v="2.9000000000000001E-2"/>
    <s v="Startup"/>
    <s v="Standard"/>
    <s v="No"/>
    <s v="No"/>
    <x v="1"/>
    <x v="2"/>
    <s v="APACQ4"/>
    <n v="126500"/>
  </r>
  <r>
    <s v="TXN-101302"/>
    <d v="2024-04-17T00:00:00"/>
    <x v="80"/>
    <s v="SVC-08"/>
    <n v="604.84"/>
    <x v="0"/>
    <s v="ACH"/>
    <s v="callback requested"/>
    <x v="1"/>
    <s v="Philippines"/>
    <s v="R. Patel"/>
    <x v="1"/>
    <s v="Risk"/>
    <n v="2.5000000000000001E-3"/>
    <s v="SMB"/>
    <s v="High Value"/>
    <s v="Yes"/>
    <s v="Yes"/>
    <x v="1"/>
    <x v="0"/>
    <s v="APACQ2"/>
    <n v="110000"/>
  </r>
  <r>
    <s v="TXN-101779"/>
    <d v="2024-08-06T00:00:00"/>
    <x v="33"/>
    <s v="SVC-01"/>
    <n v="236.72"/>
    <x v="0"/>
    <s v="ACH"/>
    <s v="VIP account"/>
    <x v="3"/>
    <s v="Canada"/>
    <s v="T. Novak"/>
    <x v="0"/>
    <s v="Payments"/>
    <n v="2.9000000000000001E-2"/>
    <s v="Startup"/>
    <s v="Standard"/>
    <s v="No"/>
    <s v="No"/>
    <x v="0"/>
    <x v="1"/>
    <s v="NAQ3"/>
    <n v="273000"/>
  </r>
  <r>
    <s v="TXN-101614"/>
    <d v="2024-02-08T00:00:00"/>
    <x v="79"/>
    <s v="SVC-01"/>
    <n v="257.67"/>
    <x v="3"/>
    <s v="Debit Card"/>
    <s v="VIP account"/>
    <x v="3"/>
    <s v="USA"/>
    <s v="T. Novak"/>
    <x v="0"/>
    <s v="Payments"/>
    <n v="2.9000000000000001E-2"/>
    <s v="N/A"/>
    <s v="Standard"/>
    <s v="No"/>
    <s v="No"/>
    <x v="0"/>
    <x v="3"/>
    <s v="NAQ1"/>
    <n v="247000"/>
  </r>
  <r>
    <s v="TXN-101110"/>
    <d v="2024-10-24T00:00:00"/>
    <x v="37"/>
    <s v="SVC-04"/>
    <n v="542.35"/>
    <x v="0"/>
    <s v="Credit Card"/>
    <m/>
    <x v="1"/>
    <s v="Canada"/>
    <s v="T. Novak"/>
    <x v="2"/>
    <s v="Risk"/>
    <n v="1E-3"/>
    <s v="SMB"/>
    <s v="High Value"/>
    <s v="Yes"/>
    <s v="Yes"/>
    <x v="0"/>
    <x v="2"/>
    <s v="NAQ4"/>
    <n v="299000"/>
  </r>
  <r>
    <s v="TXN-101809"/>
    <d v="2024-01-28T00:00:00"/>
    <x v="77"/>
    <s v="SVC-02"/>
    <n v="230.09"/>
    <x v="0"/>
    <s v="Debit Card"/>
    <m/>
    <x v="1"/>
    <s v="Australia"/>
    <s v="L. Chen"/>
    <x v="6"/>
    <s v="HR &amp; Payroll"/>
    <n v="0"/>
    <s v="SMB"/>
    <s v="Standard"/>
    <s v="Yes"/>
    <s v="No"/>
    <x v="1"/>
    <x v="3"/>
    <s v="APACQ1"/>
    <n v="104500"/>
  </r>
  <r>
    <s v="TXN-101182"/>
    <d v="2024-09-16T00:00:00"/>
    <x v="11"/>
    <s v="SVC-01"/>
    <n v="1442.07"/>
    <x v="0"/>
    <s v="Credit Card"/>
    <s v="VIP account"/>
    <x v="0"/>
    <s v="United Kingdom"/>
    <s v="L. Chen"/>
    <x v="0"/>
    <s v="Payments"/>
    <n v="2.9000000000000001E-2"/>
    <s v="Enterprise"/>
    <s v="High Value"/>
    <s v="Yes"/>
    <s v="No"/>
    <x v="2"/>
    <x v="1"/>
    <s v="EMEAQ3"/>
    <n v="147000"/>
  </r>
  <r>
    <s v="TXN-100653"/>
    <d v="2024-11-09T00:00:00"/>
    <x v="14"/>
    <s v="SVC-06"/>
    <n v="146.78"/>
    <x v="0"/>
    <s v="ACH"/>
    <s v="VIP account"/>
    <x v="3"/>
    <s v="Canada"/>
    <s v="A. Kim"/>
    <x v="4"/>
    <s v="Platform"/>
    <n v="0"/>
    <s v="Startup"/>
    <s v="Standard"/>
    <s v="Yes"/>
    <s v="No"/>
    <x v="0"/>
    <x v="2"/>
    <s v="NAQ4"/>
    <n v="299000"/>
  </r>
  <r>
    <s v="TXN-102383"/>
    <d v="2024-03-27T00:00:00"/>
    <x v="105"/>
    <s v="SVC-01"/>
    <n v="215.45"/>
    <x v="0"/>
    <s v="Credit Card"/>
    <m/>
    <x v="3"/>
    <s v="Philippines"/>
    <s v="T. Novak"/>
    <x v="0"/>
    <s v="Payments"/>
    <n v="2.9000000000000001E-2"/>
    <s v="Startup"/>
    <s v="Standard"/>
    <s v="No"/>
    <s v="No"/>
    <x v="1"/>
    <x v="3"/>
    <s v="APACQ1"/>
    <n v="104500"/>
  </r>
  <r>
    <s v="TXN-101657"/>
    <d v="2024-09-09T00:00:00"/>
    <x v="112"/>
    <s v="SVC-03"/>
    <n v="552.45000000000005"/>
    <x v="0"/>
    <s v="ACH"/>
    <m/>
    <x v="1"/>
    <s v="USA"/>
    <s v="A. Kim"/>
    <x v="5"/>
    <s v="Billing"/>
    <n v="5.0000000000000001E-3"/>
    <s v="SMB"/>
    <s v="High Value"/>
    <s v="Yes"/>
    <s v="No"/>
    <x v="0"/>
    <x v="1"/>
    <s v="NAQ3"/>
    <n v="273000"/>
  </r>
  <r>
    <s v="TXN-101021"/>
    <d v="2024-12-07T00:00:00"/>
    <x v="29"/>
    <s v="SVC-01"/>
    <n v="992.1"/>
    <x v="0"/>
    <s v="Wire Transfer"/>
    <s v="escalated to support"/>
    <x v="1"/>
    <s v="Germany"/>
    <s v="L. Chen"/>
    <x v="0"/>
    <s v="Payments"/>
    <n v="2.9000000000000001E-2"/>
    <s v="SMB"/>
    <s v="High Value"/>
    <s v="Yes"/>
    <s v="No"/>
    <x v="2"/>
    <x v="2"/>
    <s v="EMEAQ4"/>
    <n v="161000"/>
  </r>
  <r>
    <s v="TXN-100898"/>
    <d v="2024-07-12T00:00:00"/>
    <x v="94"/>
    <s v="SVC-05"/>
    <n v="300.61"/>
    <x v="1"/>
    <s v="Wire Transfer"/>
    <s v="escalated to support"/>
    <x v="1"/>
    <s v="United Kingdom"/>
    <s v="L. Chen"/>
    <x v="3"/>
    <s v="Analytics"/>
    <n v="0"/>
    <s v="N/A"/>
    <s v="High Value"/>
    <s v="Yes"/>
    <s v="No"/>
    <x v="2"/>
    <x v="1"/>
    <s v="EMEAQ3"/>
    <n v="147000"/>
  </r>
  <r>
    <s v="TXN-101514"/>
    <d v="2024-01-17T00:00:00"/>
    <x v="15"/>
    <s v="SVC-05"/>
    <n v="580.30999999999995"/>
    <x v="0"/>
    <s v="ACH"/>
    <s v="callback requested"/>
    <x v="0"/>
    <s v="USA"/>
    <s v="L. Chen"/>
    <x v="3"/>
    <s v="Analytics"/>
    <n v="0"/>
    <s v="Enterprise"/>
    <s v="High Value"/>
    <s v="Yes"/>
    <s v="Yes"/>
    <x v="0"/>
    <x v="3"/>
    <s v="NAQ1"/>
    <n v="247000"/>
  </r>
  <r>
    <s v="TXN-101937"/>
    <d v="2024-10-10T00:00:00"/>
    <x v="106"/>
    <s v="SVC-01"/>
    <n v="541.83000000000004"/>
    <x v="0"/>
    <s v="Credit Card"/>
    <m/>
    <x v="1"/>
    <s v="USA"/>
    <s v="J. Reyes"/>
    <x v="0"/>
    <s v="Payments"/>
    <n v="2.9000000000000001E-2"/>
    <s v="SMB"/>
    <s v="High Value"/>
    <s v="Yes"/>
    <s v="No"/>
    <x v="0"/>
    <x v="2"/>
    <s v="NAQ4"/>
    <n v="299000"/>
  </r>
  <r>
    <s v="TXN-101092"/>
    <d v="2024-08-01T00:00:00"/>
    <x v="92"/>
    <s v="SVC-01"/>
    <n v="83.6"/>
    <x v="0"/>
    <s v="ACH"/>
    <s v="VIP account"/>
    <x v="1"/>
    <s v="Canada"/>
    <s v="R. Patel"/>
    <x v="0"/>
    <s v="Payments"/>
    <n v="2.9000000000000001E-2"/>
    <s v="SMB"/>
    <s v="Standard"/>
    <s v="No"/>
    <s v="No"/>
    <x v="0"/>
    <x v="1"/>
    <s v="NAQ3"/>
    <n v="273000"/>
  </r>
  <r>
    <s v="TXN-100432"/>
    <d v="2024-11-28T00:00:00"/>
    <x v="29"/>
    <s v="SVC-04"/>
    <n v="184.37"/>
    <x v="0"/>
    <s v="Debit Card"/>
    <m/>
    <x v="1"/>
    <s v="Germany"/>
    <s v="L. Chen"/>
    <x v="2"/>
    <s v="Risk"/>
    <n v="1E-3"/>
    <s v="SMB"/>
    <s v="Standard"/>
    <s v="Yes"/>
    <s v="Yes"/>
    <x v="2"/>
    <x v="2"/>
    <s v="EMEAQ4"/>
    <n v="161000"/>
  </r>
  <r>
    <s v="TXN-101230"/>
    <d v="2024-08-10T00:00:00"/>
    <x v="125"/>
    <s v="SVC-08"/>
    <n v="341.57"/>
    <x v="0"/>
    <s v="Debit Card"/>
    <m/>
    <x v="1"/>
    <s v="USA"/>
    <s v="A. Kim"/>
    <x v="1"/>
    <s v="Risk"/>
    <n v="2.5000000000000001E-3"/>
    <s v="SMB"/>
    <s v="High Value"/>
    <s v="Yes"/>
    <s v="No"/>
    <x v="0"/>
    <x v="1"/>
    <s v="NAQ3"/>
    <n v="273000"/>
  </r>
  <r>
    <s v="TXN-101706"/>
    <d v="2024-11-13T00:00:00"/>
    <x v="89"/>
    <s v="SVC-07"/>
    <n v="452.78"/>
    <x v="0"/>
    <s v="Credit Card"/>
    <m/>
    <x v="0"/>
    <s v="USA"/>
    <s v="A. Kim"/>
    <x v="7"/>
    <s v="Support"/>
    <n v="0"/>
    <s v="Enterprise"/>
    <s v="High Value"/>
    <s v="Yes"/>
    <s v="Yes"/>
    <x v="0"/>
    <x v="2"/>
    <s v="NAQ4"/>
    <n v="299000"/>
  </r>
  <r>
    <s v="TXN-101707"/>
    <d v="2024-02-06T00:00:00"/>
    <x v="25"/>
    <s v="SVC-02"/>
    <n v="603.84"/>
    <x v="3"/>
    <s v="Credit Card"/>
    <s v="VIP account"/>
    <x v="0"/>
    <s v="USA"/>
    <s v="A. Kim"/>
    <x v="6"/>
    <s v="HR &amp; Payroll"/>
    <n v="0"/>
    <s v="N/A"/>
    <s v="High Value"/>
    <s v="Yes"/>
    <s v="Yes"/>
    <x v="0"/>
    <x v="3"/>
    <s v="NAQ1"/>
    <n v="247000"/>
  </r>
  <r>
    <s v="TXN-102538"/>
    <d v="2024-11-11T00:00:00"/>
    <x v="79"/>
    <s v="SVC-01"/>
    <n v="334.2"/>
    <x v="0"/>
    <s v="Debit Card"/>
    <m/>
    <x v="3"/>
    <s v="USA"/>
    <s v="T. Novak"/>
    <x v="0"/>
    <s v="Payments"/>
    <n v="2.9000000000000001E-2"/>
    <s v="Startup"/>
    <s v="Standard"/>
    <s v="Yes"/>
    <s v="No"/>
    <x v="0"/>
    <x v="2"/>
    <s v="NAQ4"/>
    <n v="299000"/>
  </r>
  <r>
    <s v="TXN-100249"/>
    <d v="2024-06-04T00:00:00"/>
    <x v="12"/>
    <s v="SVC-04"/>
    <n v="587.20000000000005"/>
    <x v="0"/>
    <s v="Credit Card"/>
    <s v="callback requested"/>
    <x v="1"/>
    <s v="Canada"/>
    <s v="R. Patel"/>
    <x v="2"/>
    <s v="Risk"/>
    <n v="1E-3"/>
    <s v="SMB"/>
    <s v="High Value"/>
    <s v="Yes"/>
    <s v="Yes"/>
    <x v="0"/>
    <x v="0"/>
    <s v="NAQ2"/>
    <n v="260000"/>
  </r>
  <r>
    <s v="TXN-102093"/>
    <d v="2024-03-08T00:00:00"/>
    <x v="11"/>
    <s v="SVC-01"/>
    <n v="217.33"/>
    <x v="0"/>
    <s v="Credit Card"/>
    <s v="VIP account"/>
    <x v="0"/>
    <s v="United Kingdom"/>
    <s v="L. Chen"/>
    <x v="0"/>
    <s v="Payments"/>
    <n v="2.9000000000000001E-2"/>
    <s v="Enterprise"/>
    <s v="Standard"/>
    <s v="No"/>
    <s v="No"/>
    <x v="2"/>
    <x v="3"/>
    <s v="EMEAQ1"/>
    <n v="133000"/>
  </r>
  <r>
    <s v="TXN-101009"/>
    <d v="2024-08-23T00:00:00"/>
    <x v="122"/>
    <s v="SVC-01"/>
    <n v="222.73"/>
    <x v="0"/>
    <s v="ACH"/>
    <s v="callback requested"/>
    <x v="3"/>
    <s v="United Kingdom"/>
    <s v="A. Kim"/>
    <x v="0"/>
    <s v="Payments"/>
    <n v="2.9000000000000001E-2"/>
    <s v="Startup"/>
    <s v="Standard"/>
    <s v="No"/>
    <s v="No"/>
    <x v="2"/>
    <x v="1"/>
    <s v="EMEAQ3"/>
    <n v="147000"/>
  </r>
  <r>
    <s v="TXN-101515"/>
    <d v="2024-10-27T00:00:00"/>
    <x v="34"/>
    <s v="SVC-03"/>
    <n v="674.7"/>
    <x v="0"/>
    <s v="Unknown"/>
    <s v="callback requested"/>
    <x v="1"/>
    <s v="Germany"/>
    <s v="M. Santos"/>
    <x v="5"/>
    <s v="Billing"/>
    <n v="5.0000000000000001E-3"/>
    <s v="SMB"/>
    <s v="High Value"/>
    <s v="Yes"/>
    <s v="No"/>
    <x v="2"/>
    <x v="2"/>
    <s v="EMEAQ4"/>
    <n v="161000"/>
  </r>
  <r>
    <s v="TXN-100646"/>
    <d v="2024-10-13T00:00:00"/>
    <x v="57"/>
    <s v="SVC-06"/>
    <n v="1002.61"/>
    <x v="0"/>
    <s v="Credit Card"/>
    <s v="VIP account"/>
    <x v="1"/>
    <s v="USA"/>
    <s v="L. Chen"/>
    <x v="4"/>
    <s v="Platform"/>
    <n v="0"/>
    <s v="SMB"/>
    <s v="High Value"/>
    <s v="Yes"/>
    <s v="No"/>
    <x v="0"/>
    <x v="2"/>
    <s v="NAQ4"/>
    <n v="299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027645-AAE0-4331-8598-6BB26D757CD4}"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O14" firstHeaderRow="1" firstDataRow="1" firstDataCol="1"/>
  <pivotFields count="22">
    <pivotField showAll="0"/>
    <pivotField numFmtId="14" showAll="0"/>
    <pivotField axis="axisRow" showAll="0" measureFilter="1" sortType="descending">
      <items count="147">
        <item x="82"/>
        <item x="86"/>
        <item x="1"/>
        <item x="5"/>
        <item x="91"/>
        <item x="8"/>
        <item x="103"/>
        <item x="11"/>
        <item x="108"/>
        <item x="107"/>
        <item x="15"/>
        <item x="117"/>
        <item x="18"/>
        <item x="129"/>
        <item x="20"/>
        <item x="94"/>
        <item x="22"/>
        <item x="122"/>
        <item x="10"/>
        <item x="25"/>
        <item x="27"/>
        <item x="93"/>
        <item x="30"/>
        <item x="32"/>
        <item x="33"/>
        <item x="34"/>
        <item x="35"/>
        <item x="31"/>
        <item x="13"/>
        <item x="38"/>
        <item x="99"/>
        <item x="9"/>
        <item x="40"/>
        <item x="106"/>
        <item x="100"/>
        <item x="43"/>
        <item x="7"/>
        <item x="46"/>
        <item x="97"/>
        <item x="48"/>
        <item x="49"/>
        <item x="50"/>
        <item x="26"/>
        <item x="2"/>
        <item x="54"/>
        <item x="42"/>
        <item x="105"/>
        <item x="127"/>
        <item x="57"/>
        <item x="55"/>
        <item x="29"/>
        <item x="92"/>
        <item x="58"/>
        <item x="125"/>
        <item x="60"/>
        <item x="110"/>
        <item x="62"/>
        <item x="63"/>
        <item x="3"/>
        <item x="90"/>
        <item x="84"/>
        <item x="112"/>
        <item x="133"/>
        <item x="56"/>
        <item x="101"/>
        <item x="69"/>
        <item x="16"/>
        <item x="96"/>
        <item x="118"/>
        <item x="70"/>
        <item x="111"/>
        <item x="0"/>
        <item x="71"/>
        <item x="85"/>
        <item x="12"/>
        <item x="45"/>
        <item x="80"/>
        <item x="67"/>
        <item x="73"/>
        <item x="134"/>
        <item x="87"/>
        <item x="44"/>
        <item x="37"/>
        <item x="75"/>
        <item x="120"/>
        <item x="109"/>
        <item x="76"/>
        <item x="116"/>
        <item x="59"/>
        <item x="102"/>
        <item x="47"/>
        <item x="81"/>
        <item x="66"/>
        <item x="77"/>
        <item x="52"/>
        <item x="74"/>
        <item x="39"/>
        <item x="53"/>
        <item x="115"/>
        <item x="23"/>
        <item x="51"/>
        <item x="78"/>
        <item x="24"/>
        <item x="61"/>
        <item x="113"/>
        <item x="121"/>
        <item x="89"/>
        <item x="83"/>
        <item x="114"/>
        <item x="98"/>
        <item x="79"/>
        <item x="68"/>
        <item x="41"/>
        <item x="28"/>
        <item x="19"/>
        <item x="123"/>
        <item x="128"/>
        <item x="36"/>
        <item x="21"/>
        <item x="126"/>
        <item x="124"/>
        <item x="64"/>
        <item x="95"/>
        <item x="119"/>
        <item x="17"/>
        <item x="6"/>
        <item x="104"/>
        <item x="65"/>
        <item x="14"/>
        <item x="72"/>
        <item x="130"/>
        <item x="143"/>
        <item x="142"/>
        <item x="141"/>
        <item x="138"/>
        <item x="137"/>
        <item x="135"/>
        <item x="136"/>
        <item x="139"/>
        <item x="140"/>
        <item x="144"/>
        <item x="132"/>
        <item x="131"/>
        <item x="88"/>
        <item x="145"/>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1">
    <i>
      <x v="18"/>
    </i>
    <i>
      <x v="19"/>
    </i>
    <i>
      <x v="95"/>
    </i>
    <i>
      <x v="25"/>
    </i>
    <i>
      <x v="2"/>
    </i>
    <i>
      <x v="99"/>
    </i>
    <i>
      <x v="105"/>
    </i>
    <i>
      <x v="69"/>
    </i>
    <i>
      <x v="24"/>
    </i>
    <i>
      <x v="80"/>
    </i>
    <i t="grand">
      <x/>
    </i>
  </rowItems>
  <colItems count="1">
    <i/>
  </colItems>
  <dataFields count="1">
    <dataField name="Sum of Amount" fld="4" baseField="0"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485133-4BC9-4244-9897-002402318EDA}"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L8" firstHeaderRow="1" firstDataRow="1" firstDataCol="1"/>
  <pivotFields count="22">
    <pivotField showAll="0"/>
    <pivotField numFmtId="14" showAll="0"/>
    <pivotField showAll="0"/>
    <pivotField showAll="0"/>
    <pivotField dataField="1" showAll="0"/>
    <pivotField showAll="0"/>
    <pivotField showAll="0"/>
    <pivotField showAll="0"/>
    <pivotField axis="axisRow" showAll="0">
      <items count="5">
        <item x="0"/>
        <item x="1"/>
        <item x="3"/>
        <item n="Unattributed" x="2"/>
        <item t="default"/>
      </items>
    </pivotField>
    <pivotField showAll="0"/>
    <pivotField showAll="0"/>
    <pivotField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s>
  <rowFields count="1">
    <field x="8"/>
  </rowFields>
  <rowItems count="5">
    <i>
      <x/>
    </i>
    <i>
      <x v="1"/>
    </i>
    <i>
      <x v="2"/>
    </i>
    <i>
      <x v="3"/>
    </i>
    <i t="grand">
      <x/>
    </i>
  </rowItems>
  <colItems count="1">
    <i/>
  </colItems>
  <dataFields count="1">
    <dataField name="Sum of Amount" fld="4" baseField="0"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 chart="3" format="9">
      <pivotArea type="data" outline="0" fieldPosition="0">
        <references count="2">
          <reference field="4294967294" count="1" selected="0">
            <x v="0"/>
          </reference>
          <reference field="8" count="1" selected="0">
            <x v="2"/>
          </reference>
        </references>
      </pivotArea>
    </chartFormat>
    <chartFormat chart="3"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8A94B7-C04E-4C59-9889-0450407F3F91}"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I14" firstHeaderRow="1" firstDataRow="2" firstDataCol="1"/>
  <pivotFields count="22">
    <pivotField showAll="0"/>
    <pivotField numFmtId="14" showAll="0"/>
    <pivotField showAll="0"/>
    <pivotField showAll="0"/>
    <pivotField dataField="1" showAll="0"/>
    <pivotField axis="axisCol" showAll="0">
      <items count="5">
        <item x="0"/>
        <item x="3"/>
        <item x="1"/>
        <item x="2"/>
        <item t="default"/>
      </items>
    </pivotField>
    <pivotField showAll="0"/>
    <pivotField showAll="0"/>
    <pivotField showAll="0"/>
    <pivotField showAll="0"/>
    <pivotField showAll="0"/>
    <pivotField axis="axisRow" showAll="0">
      <items count="10">
        <item x="3"/>
        <item x="4"/>
        <item x="1"/>
        <item x="2"/>
        <item x="5"/>
        <item x="7"/>
        <item x="0"/>
        <item x="6"/>
        <item n="Unattributed" x="8"/>
        <item t="default"/>
      </items>
    </pivotField>
    <pivotField showAll="0"/>
    <pivotField showAll="0"/>
    <pivotField showAll="0"/>
    <pivotField showAll="0"/>
    <pivotField showAll="0"/>
    <pivotField showAll="0"/>
    <pivotField showAll="0"/>
    <pivotField showAll="0"/>
    <pivotField showAll="0"/>
    <pivotField showAll="0"/>
  </pivotFields>
  <rowFields count="1">
    <field x="11"/>
  </rowFields>
  <rowItems count="10">
    <i>
      <x/>
    </i>
    <i>
      <x v="1"/>
    </i>
    <i>
      <x v="2"/>
    </i>
    <i>
      <x v="3"/>
    </i>
    <i>
      <x v="4"/>
    </i>
    <i>
      <x v="5"/>
    </i>
    <i>
      <x v="6"/>
    </i>
    <i>
      <x v="7"/>
    </i>
    <i>
      <x v="8"/>
    </i>
    <i t="grand">
      <x/>
    </i>
  </rowItems>
  <colFields count="1">
    <field x="5"/>
  </colFields>
  <colItems count="5">
    <i>
      <x/>
    </i>
    <i>
      <x v="1"/>
    </i>
    <i>
      <x v="2"/>
    </i>
    <i>
      <x v="3"/>
    </i>
    <i t="grand">
      <x/>
    </i>
  </colItems>
  <dataFields count="1">
    <dataField name="Sum of Amount" fld="4" baseField="0" baseItem="0"/>
  </dataField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2" format="8" series="1">
      <pivotArea type="data" outline="0" fieldPosition="0">
        <references count="2">
          <reference field="4294967294" count="1" selected="0">
            <x v="0"/>
          </reference>
          <reference field="5" count="1" selected="0">
            <x v="0"/>
          </reference>
        </references>
      </pivotArea>
    </chartFormat>
    <chartFormat chart="2" format="9" series="1">
      <pivotArea type="data" outline="0" fieldPosition="0">
        <references count="2">
          <reference field="4294967294" count="1" selected="0">
            <x v="0"/>
          </reference>
          <reference field="5" count="1" selected="0">
            <x v="1"/>
          </reference>
        </references>
      </pivotArea>
    </chartFormat>
    <chartFormat chart="2" format="10" series="1">
      <pivotArea type="data" outline="0" fieldPosition="0">
        <references count="2">
          <reference field="4294967294" count="1" selected="0">
            <x v="0"/>
          </reference>
          <reference field="5" count="1" selected="0">
            <x v="2"/>
          </reference>
        </references>
      </pivotArea>
    </chartFormat>
    <chartFormat chart="2" format="11"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133958-9CCE-4002-A7D1-3C5E6202EBB3}"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9" firstHeaderRow="1" firstDataRow="1" firstDataCol="1"/>
  <pivotFields count="22">
    <pivotField showAll="0"/>
    <pivotField numFmtId="14"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 axis="axisRow" showAll="0">
      <items count="5">
        <item x="3"/>
        <item x="0"/>
        <item x="1"/>
        <item x="2"/>
        <item t="default"/>
      </items>
    </pivotField>
    <pivotField showAll="0"/>
    <pivotField showAll="0"/>
  </pivotFields>
  <rowFields count="2">
    <field x="18"/>
    <field x="19"/>
  </rowFields>
  <rowItems count="16">
    <i>
      <x/>
    </i>
    <i r="1">
      <x/>
    </i>
    <i r="1">
      <x v="1"/>
    </i>
    <i r="1">
      <x v="2"/>
    </i>
    <i r="1">
      <x v="3"/>
    </i>
    <i>
      <x v="1"/>
    </i>
    <i r="1">
      <x/>
    </i>
    <i r="1">
      <x v="1"/>
    </i>
    <i r="1">
      <x v="2"/>
    </i>
    <i r="1">
      <x v="3"/>
    </i>
    <i>
      <x v="2"/>
    </i>
    <i r="1">
      <x/>
    </i>
    <i r="1">
      <x v="1"/>
    </i>
    <i r="1">
      <x v="2"/>
    </i>
    <i r="1">
      <x v="3"/>
    </i>
    <i t="grand">
      <x/>
    </i>
  </rowItems>
  <colItems count="1">
    <i/>
  </colItems>
  <dataFields count="1">
    <dataField name="Sum of Amount" fld="4"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485840F2-EBC1-4F49-AF4D-F9D20D0F8C0B}" autoFormatId="16" applyNumberFormats="0" applyBorderFormats="0" applyFontFormats="0" applyPatternFormats="0" applyAlignmentFormats="0" applyWidthHeightFormats="0">
  <queryTableRefresh nextId="30" unboundColumnsRight="8">
    <queryTableFields count="22">
      <queryTableField id="1" name="TransactionID" tableColumnId="1"/>
      <queryTableField id="2" name="TransactionDate" tableColumnId="2"/>
      <queryTableField id="3" name="CustomerID" tableColumnId="3"/>
      <queryTableField id="4" name="ServiceID" tableColumnId="4"/>
      <queryTableField id="5" name="Amount" tableColumnId="5"/>
      <queryTableField id="6" name="Status" tableColumnId="6"/>
      <queryTableField id="7" name="PaymentMethod" tableColumnId="7"/>
      <queryTableField id="8" name="RepNotes" tableColumnId="8"/>
      <queryTableField id="9" name="Segment" tableColumnId="9"/>
      <queryTableField id="10" name="Country" tableColumnId="10"/>
      <queryTableField id="11" name="AccountManager" tableColumnId="11"/>
      <queryTableField id="12" name="ServiceName" tableColumnId="12"/>
      <queryTableField id="13" name="Category" tableColumnId="13"/>
      <queryTableField id="14" name="TransactionFeePct" tableColumnId="14"/>
      <queryTableField id="16" dataBound="0" tableColumnId="16"/>
      <queryTableField id="17" dataBound="0" tableColumnId="15"/>
      <queryTableField id="18" dataBound="0" tableColumnId="17"/>
      <queryTableField id="19" dataBound="0" tableColumnId="18"/>
      <queryTableField id="22" dataBound="0" tableColumnId="21"/>
      <queryTableField id="23" dataBound="0" tableColumnId="22"/>
      <queryTableField id="28" dataBound="0" tableColumnId="23"/>
      <queryTableField id="20" dataBound="0"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726D631B-5CB8-436A-BD13-B7460BB8087F}" autoFormatId="16" applyNumberFormats="0" applyBorderFormats="0" applyFontFormats="0" applyPatternFormats="0" applyAlignmentFormats="0" applyWidthHeightFormats="0">
  <queryTableRefresh nextId="6">
    <queryTableFields count="5">
      <queryTableField id="1" name="ServiceID" tableColumnId="1"/>
      <queryTableField id="2" name="ServiceName" tableColumnId="2"/>
      <queryTableField id="3" name="Category" tableColumnId="3"/>
      <queryTableField id="4" name="MonthlyBaseFee" tableColumnId="4"/>
      <queryTableField id="5" name="TransactionFeePct"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5E6235A5-BE92-4590-AB18-3C447A51B3A1}" autoFormatId="16" applyNumberFormats="0" applyBorderFormats="0" applyFontFormats="0" applyPatternFormats="0" applyAlignmentFormats="0" applyWidthHeightFormats="0">
  <queryTableRefresh nextId="5" unboundColumnsRight="1">
    <queryTableFields count="4">
      <queryTableField id="1" name="Region" tableColumnId="1"/>
      <queryTableField id="2" name="Quarter" tableColumnId="2"/>
      <queryTableField id="3" name="TargetRevenue" tableColumnId="3"/>
      <queryTableField id="4" dataBound="0"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6271217D-3455-4E83-9EA6-FEBE16EDD0E2}" autoFormatId="16" applyNumberFormats="0" applyBorderFormats="0" applyFontFormats="0" applyPatternFormats="0" applyAlignmentFormats="0" applyWidthHeightFormats="0">
  <queryTableRefresh nextId="7">
    <queryTableFields count="6">
      <queryTableField id="1" name="CustomerID" tableColumnId="1"/>
      <queryTableField id="2" name="CustomerName" tableColumnId="2"/>
      <queryTableField id="3" name="Segment" tableColumnId="3"/>
      <queryTableField id="4" name="Country" tableColumnId="4"/>
      <queryTableField id="5" name="SignupDate" tableColumnId="5"/>
      <queryTableField id="6" name="AccountManager"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CCB5D138-FB6F-4923-8B8C-6BB3FEFCA239}" sourceName="Quarter ">
  <pivotTables>
    <pivotTable tabId="10" name="PivotTable3"/>
  </pivotTables>
  <data>
    <tabular pivotCacheId="518505810">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 xr10:uid="{889783BE-1AC5-400D-AE08-110199EC915F}" cache="Slicer_Quarter" caption="Quarter "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52AB699-6522-40A5-B126-FCCE60D0C412}" name="Transactions_RAW_cleaned" displayName="Transactions_RAW_cleaned" ref="A1:V2616" tableType="queryTable" totalsRowShown="0">
  <autoFilter ref="A1:V2616" xr:uid="{052AB699-6522-40A5-B126-FCCE60D0C412}"/>
  <tableColumns count="22">
    <tableColumn id="1" xr3:uid="{FC104183-A9F6-47A1-A7A8-81AB8A8029A4}" uniqueName="1" name="TransactionID" queryTableFieldId="1" dataDxfId="31"/>
    <tableColumn id="2" xr3:uid="{1278000E-FE40-41F6-A153-4FE7AF2DE44A}" uniqueName="2" name="TransactionDate" queryTableFieldId="2" dataDxfId="30"/>
    <tableColumn id="3" xr3:uid="{C9BBB757-3C75-45B3-A2B8-D8AEF207055D}" uniqueName="3" name="CustomerID" queryTableFieldId="3" dataDxfId="29"/>
    <tableColumn id="4" xr3:uid="{CF9F459A-A7AF-49BE-8E56-035373D716E5}" uniqueName="4" name="ServiceID" queryTableFieldId="4" dataDxfId="28"/>
    <tableColumn id="5" xr3:uid="{131C4C4D-85A0-428D-BDF2-52F064D461DE}" uniqueName="5" name="Amount" queryTableFieldId="5"/>
    <tableColumn id="6" xr3:uid="{3B862B6E-25B0-47F2-A21C-54ED3125CC61}" uniqueName="6" name="Status" queryTableFieldId="6" dataDxfId="27"/>
    <tableColumn id="7" xr3:uid="{D3D7C5E0-894B-4469-91BA-BE6BA10831BF}" uniqueName="7" name="PaymentMethod" queryTableFieldId="7" dataDxfId="26"/>
    <tableColumn id="8" xr3:uid="{7EDFD9B6-0A32-414B-98E4-DDDA7D09349A}" uniqueName="8" name="RepNotes" queryTableFieldId="8" dataDxfId="25"/>
    <tableColumn id="9" xr3:uid="{CBCD0B93-CE47-4D84-969F-009B02615652}" uniqueName="9" name="Segment" queryTableFieldId="9" dataDxfId="24"/>
    <tableColumn id="10" xr3:uid="{195D3B16-4A31-452A-A3F3-6637BA037FC2}" uniqueName="10" name="Country" queryTableFieldId="10" dataDxfId="23"/>
    <tableColumn id="11" xr3:uid="{009FF7F4-3B88-464E-B60F-E10ADEBB4DB5}" uniqueName="11" name="AccountManager" queryTableFieldId="11" dataDxfId="22"/>
    <tableColumn id="12" xr3:uid="{CB87E519-D820-43C2-B3E4-CFD40FEC3FAE}" uniqueName="12" name="ServiceName" queryTableFieldId="12" dataDxfId="21"/>
    <tableColumn id="13" xr3:uid="{1CC13338-254E-440B-80C2-2A33F8014146}" uniqueName="13" name="Category" queryTableFieldId="13" dataDxfId="20"/>
    <tableColumn id="14" xr3:uid="{F4B83282-5EF0-4A70-ACA5-DE12BF7BA40D}" uniqueName="14" name="TransactionFeePct" queryTableFieldId="14"/>
    <tableColumn id="16" xr3:uid="{FECD352C-AADE-4E4E-87D0-C709101A37D9}" uniqueName="16" name="SegmentIfCompleted" queryTableFieldId="16" dataDxfId="8">
      <calculatedColumnFormula>IF(Transactions_RAW_cleaned[[#This Row],[Status]]="Completed", IFERROR(_xlfn.XLOOKUP(Transactions_RAW_cleaned[[#This Row],[CustomerID]], Customers_cleaned[CustomerID], Customers_cleaned[Segment]), "Customer Not Found"), "N/A")</calculatedColumnFormula>
    </tableColumn>
    <tableColumn id="15" xr3:uid="{15D5B28C-FD47-41B5-A157-F5AF34011BD1}" uniqueName="15" name="ValueTier" queryTableFieldId="17" dataDxfId="7">
      <calculatedColumnFormula>IF(Transactions_RAW_cleaned[[#This Row],[Status]]="Refunded", "Refund",
  IF(Transactions_RAW_cleaned[[#This Row],[Category]]="Payments", IF(Transactions_RAW_cleaned[[#This Row],[Amount]]&gt;500,"High Value","Standard"),
    IF(Transactions_RAW_cleaned[[#This Row],[Amount]]&gt;250,"High Value","Standard")))</calculatedColumnFormula>
    </tableColumn>
    <tableColumn id="17" xr3:uid="{F6374E14-5139-46EA-9BED-CE009791B66A}" uniqueName="17" name="ExceedsFeeThreshold" queryTableFieldId="18" dataDxfId="6">
      <calculatedColumnFormula>IF(Transactions_RAW_cleaned[[#This Row],[Amount]] &gt; (_xlfn.XLOOKUP(Transactions_RAW_cleaned[[#This Row],[ServiceID]],Services_cleaned[ServiceID],Services_cleaned[TransactionFeePct]) * 10000), "Yes", "No")</calculatedColumnFormula>
    </tableColumn>
    <tableColumn id="18" xr3:uid="{5959BBD0-14F6-4A7E-AD17-3AF461CDC474}" uniqueName="18" name="IsFirstTxnForService" queryTableFieldId="19" dataDxfId="5">
      <calculatedColumnFormula>IF(COUNTIFS($C$2:Transactions_RAW_cleaned[[#This Row],[CustomerID]],Transactions_RAW_cleaned[[#This Row],[CustomerID]],$D$2:Transactions_RAW_cleaned[[#This Row],[ServiceID]],Transactions_RAW_cleaned[[#This Row],[ServiceID]])=1,"Yes","No")</calculatedColumnFormula>
    </tableColumn>
    <tableColumn id="21" xr3:uid="{5067CE23-70F6-495E-BF49-A51862390816}" uniqueName="21" name="Region " queryTableFieldId="22" dataDxfId="4">
      <calculatedColumnFormula>IF(OR(Transactions_RAW_cleaned[[#This Row],[Country]]="United States",Transactions_RAW_cleaned[[#This Row],[Country]]="USA",Transactions_RAW_cleaned[[#This Row],[Country]]="Canada"), "NA",
  IF(OR(Transactions_RAW_cleaned[[#This Row],[Country]]="United Kingdom",Transactions_RAW_cleaned[[#This Row],[Country]]="Germany"), "EMEA",
    "APAC"))</calculatedColumnFormula>
    </tableColumn>
    <tableColumn id="22" xr3:uid="{29FF86EB-C395-43D1-A1E0-A8F8206851FF}" uniqueName="22" name="Quarter " queryTableFieldId="23" dataDxfId="3">
      <calculatedColumnFormula>"Q"&amp;ROUNDUP(MONTH(Transactions_RAW_cleaned[[#This Row],[TransactionDate]])/3,0)</calculatedColumnFormula>
    </tableColumn>
    <tableColumn id="23" xr3:uid="{C8480ED6-B87E-40EE-9023-13590E1322F7}" uniqueName="23" name="RegionQuarterKey" queryTableFieldId="28" dataDxfId="1">
      <calculatedColumnFormula>Transactions_RAW_cleaned[[#This Row],[Region ]]&amp;Transactions_RAW_cleaned[[#This Row],[Quarter ]]</calculatedColumnFormula>
    </tableColumn>
    <tableColumn id="19" xr3:uid="{0A084CBB-F9BC-461C-A585-3617E6FBC79C}" uniqueName="19" name="TargetRevenue_Lookup" queryTableFieldId="20" dataDxfId="0">
      <calculatedColumnFormula>_xlfn.XLOOKUP(Transactions_RAW_cleaned[[#This Row],[RegionQuarterKey]], Quarterly_Targets_cleaned[RegionQuarterKey], Quarterly_Targets_cleaned[TargetRevenue])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616A59-0F48-4CED-AD93-6C50F056E84C}" name="Services_cleaned" displayName="Services_cleaned" ref="A1:E9" tableType="queryTable" totalsRowShown="0">
  <autoFilter ref="A1:E9" xr:uid="{46616A59-0F48-4CED-AD93-6C50F056E84C}"/>
  <tableColumns count="5">
    <tableColumn id="1" xr3:uid="{1B830ACB-0BE5-4D8A-BAEF-7D88B5BB50F6}" uniqueName="1" name="ServiceID" queryTableFieldId="1" dataDxfId="19"/>
    <tableColumn id="2" xr3:uid="{3C4EC573-43A6-458B-96BF-777121BE5E89}" uniqueName="2" name="ServiceName" queryTableFieldId="2" dataDxfId="18"/>
    <tableColumn id="3" xr3:uid="{D3F786B1-8AB9-41ED-8F09-36E954CEE90B}" uniqueName="3" name="Category" queryTableFieldId="3" dataDxfId="17"/>
    <tableColumn id="4" xr3:uid="{908554D1-FED7-4EE0-9478-1E6B5B05B309}" uniqueName="4" name="MonthlyBaseFee" queryTableFieldId="4"/>
    <tableColumn id="5" xr3:uid="{24050F78-0C78-416A-AD5D-1D979806DEC3}" uniqueName="5" name="TransactionFeePct"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528356-1F9A-4402-9972-6C01A86AEC19}" name="Quarterly_Targets_cleaned" displayName="Quarterly_Targets_cleaned" ref="A1:D13" tableType="queryTable" totalsRowShown="0">
  <autoFilter ref="A1:D13" xr:uid="{1A528356-1F9A-4402-9972-6C01A86AEC19}"/>
  <tableColumns count="4">
    <tableColumn id="1" xr3:uid="{C2B49E73-B72A-415E-A2F3-BFF391FB0680}" uniqueName="1" name="Region" queryTableFieldId="1" dataDxfId="16"/>
    <tableColumn id="2" xr3:uid="{07FD1881-73EB-4EA0-9995-93B2B791A493}" uniqueName="2" name="Quarter" queryTableFieldId="2" dataDxfId="15"/>
    <tableColumn id="3" xr3:uid="{AD351797-8E07-40B1-BDEF-9F6517288BDF}" uniqueName="3" name="TargetRevenue" queryTableFieldId="3"/>
    <tableColumn id="4" xr3:uid="{5C58615B-1C6C-48AB-8818-37AEE55A74E2}" uniqueName="4" name="RegionQuarterKey" queryTableFieldId="4" dataDxfId="2">
      <calculatedColumnFormula>Quarterly_Targets_cleaned[[#This Row],[Region]]&amp;Quarterly_Targets_cleaned[[#This Row],[Quarter]]</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1B6784-5E9C-4239-BA7F-7BC5FACBF737}" name="Customers_cleaned" displayName="Customers_cleaned" ref="A1:F131" tableType="queryTable" totalsRowShown="0">
  <autoFilter ref="A1:F131" xr:uid="{271B6784-5E9C-4239-BA7F-7BC5FACBF737}"/>
  <tableColumns count="6">
    <tableColumn id="1" xr3:uid="{157E33C8-F282-482E-9454-E756508539B7}" uniqueName="1" name="CustomerID" queryTableFieldId="1" dataDxfId="14"/>
    <tableColumn id="2" xr3:uid="{8B4669B3-1FE9-469B-ADB0-6A1BA83E1442}" uniqueName="2" name="CustomerName" queryTableFieldId="2" dataDxfId="13"/>
    <tableColumn id="3" xr3:uid="{4B33597B-8369-40DD-954E-4BDCA1C5C09D}" uniqueName="3" name="Segment" queryTableFieldId="3" dataDxfId="12"/>
    <tableColumn id="4" xr3:uid="{4BD610BA-CCF0-4D8B-812F-76E55D2BD198}" uniqueName="4" name="Country" queryTableFieldId="4" dataDxfId="11"/>
    <tableColumn id="5" xr3:uid="{B0D08999-D876-407A-A7F3-216F8624EB28}" uniqueName="5" name="SignupDate" queryTableFieldId="5" dataDxfId="10"/>
    <tableColumn id="6" xr3:uid="{A8ECBCD6-5503-4572-938D-35684EBE8A73}" uniqueName="6" name="AccountManager" queryTableFieldId="6" data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4B983-76F2-4D93-BFC8-70A0412DF0C3}">
  <sheetPr codeName="Sheet2"/>
  <dimension ref="A1:H2656"/>
  <sheetViews>
    <sheetView topLeftCell="D1" workbookViewId="0">
      <pane ySplit="1" topLeftCell="A2" activePane="bottomLeft" state="frozen"/>
      <selection pane="bottomLeft"/>
    </sheetView>
  </sheetViews>
  <sheetFormatPr defaultRowHeight="15" x14ac:dyDescent="0.25"/>
  <cols>
    <col min="1" max="1" width="15" customWidth="1"/>
    <col min="2" max="2" width="20" customWidth="1"/>
    <col min="3" max="3" width="12" customWidth="1"/>
    <col min="4" max="4" width="11" customWidth="1"/>
    <col min="5" max="5" width="12" customWidth="1"/>
    <col min="6" max="6" width="13" customWidth="1"/>
    <col min="7" max="7" width="15" customWidth="1"/>
    <col min="8" max="8" width="22" customWidth="1"/>
  </cols>
  <sheetData>
    <row r="1" spans="1:8" x14ac:dyDescent="0.25">
      <c r="A1" s="2" t="s">
        <v>317</v>
      </c>
      <c r="B1" s="2" t="s">
        <v>318</v>
      </c>
      <c r="C1" s="2" t="s">
        <v>0</v>
      </c>
      <c r="D1" s="2" t="s">
        <v>289</v>
      </c>
      <c r="E1" s="2" t="s">
        <v>319</v>
      </c>
      <c r="F1" s="2" t="s">
        <v>320</v>
      </c>
      <c r="G1" s="2" t="s">
        <v>321</v>
      </c>
      <c r="H1" s="2" t="s">
        <v>322</v>
      </c>
    </row>
    <row r="2" spans="1:8" x14ac:dyDescent="0.25">
      <c r="A2" s="3" t="s">
        <v>323</v>
      </c>
      <c r="B2" s="3" t="s">
        <v>2970</v>
      </c>
      <c r="C2" s="3" t="s">
        <v>163</v>
      </c>
      <c r="D2" s="3" t="s">
        <v>294</v>
      </c>
      <c r="E2" s="3">
        <v>385.62</v>
      </c>
      <c r="F2" s="3" t="s">
        <v>324</v>
      </c>
      <c r="G2" s="3" t="s">
        <v>325</v>
      </c>
      <c r="H2" s="3"/>
    </row>
    <row r="3" spans="1:8" x14ac:dyDescent="0.25">
      <c r="A3" s="3" t="s">
        <v>326</v>
      </c>
      <c r="B3" s="3" t="s">
        <v>2971</v>
      </c>
      <c r="C3" s="3" t="s">
        <v>107</v>
      </c>
      <c r="D3" s="3" t="s">
        <v>315</v>
      </c>
      <c r="E3" s="3" t="s">
        <v>2972</v>
      </c>
      <c r="F3" s="3" t="s">
        <v>2973</v>
      </c>
      <c r="G3" s="3" t="s">
        <v>327</v>
      </c>
      <c r="H3" s="3"/>
    </row>
    <row r="4" spans="1:8" x14ac:dyDescent="0.25">
      <c r="A4" s="3" t="s">
        <v>328</v>
      </c>
      <c r="B4" s="3" t="s">
        <v>2974</v>
      </c>
      <c r="C4" s="3" t="s">
        <v>137</v>
      </c>
      <c r="D4" s="3" t="s">
        <v>306</v>
      </c>
      <c r="E4" s="3" t="s">
        <v>2975</v>
      </c>
      <c r="F4" s="3" t="s">
        <v>2976</v>
      </c>
      <c r="G4" s="3" t="s">
        <v>329</v>
      </c>
      <c r="H4" s="3"/>
    </row>
    <row r="5" spans="1:8" x14ac:dyDescent="0.25">
      <c r="A5" s="3" t="s">
        <v>2965</v>
      </c>
      <c r="B5" s="3" t="s">
        <v>2977</v>
      </c>
      <c r="C5" s="3"/>
      <c r="D5" s="3" t="s">
        <v>297</v>
      </c>
      <c r="E5" s="3">
        <v>835.6</v>
      </c>
      <c r="F5" s="3" t="s">
        <v>324</v>
      </c>
      <c r="G5" s="3" t="s">
        <v>329</v>
      </c>
      <c r="H5" s="3"/>
    </row>
    <row r="6" spans="1:8" x14ac:dyDescent="0.25">
      <c r="A6" s="3" t="s">
        <v>330</v>
      </c>
      <c r="B6" s="3" t="s">
        <v>2978</v>
      </c>
      <c r="C6" s="3" t="s">
        <v>269</v>
      </c>
      <c r="D6" s="3" t="s">
        <v>306</v>
      </c>
      <c r="E6" s="3" t="s">
        <v>2979</v>
      </c>
      <c r="F6" s="3" t="s">
        <v>2980</v>
      </c>
      <c r="G6" s="3"/>
      <c r="H6" s="3" t="s">
        <v>332</v>
      </c>
    </row>
    <row r="7" spans="1:8" x14ac:dyDescent="0.25">
      <c r="A7" s="3" t="s">
        <v>333</v>
      </c>
      <c r="B7" s="3" t="s">
        <v>2981</v>
      </c>
      <c r="C7" s="3" t="s">
        <v>92</v>
      </c>
      <c r="D7" s="3" t="s">
        <v>294</v>
      </c>
      <c r="E7" s="3" t="s">
        <v>2982</v>
      </c>
      <c r="F7" s="3" t="s">
        <v>2976</v>
      </c>
      <c r="G7" s="3" t="s">
        <v>327</v>
      </c>
      <c r="H7" s="3" t="s">
        <v>334</v>
      </c>
    </row>
    <row r="8" spans="1:8" x14ac:dyDescent="0.25">
      <c r="A8" s="3" t="s">
        <v>335</v>
      </c>
      <c r="B8" s="3" t="s">
        <v>2983</v>
      </c>
      <c r="C8" s="3" t="s">
        <v>82</v>
      </c>
      <c r="D8" s="3" t="s">
        <v>294</v>
      </c>
      <c r="E8" s="3">
        <v>1024.1199999999999</v>
      </c>
      <c r="F8" s="3" t="s">
        <v>331</v>
      </c>
      <c r="G8" s="3" t="s">
        <v>327</v>
      </c>
      <c r="H8" s="3" t="s">
        <v>334</v>
      </c>
    </row>
    <row r="9" spans="1:8" x14ac:dyDescent="0.25">
      <c r="A9" s="3" t="s">
        <v>336</v>
      </c>
      <c r="B9" s="3" t="s">
        <v>2984</v>
      </c>
      <c r="C9" s="3" t="s">
        <v>42</v>
      </c>
      <c r="D9" s="3" t="s">
        <v>312</v>
      </c>
      <c r="E9" s="3" t="s">
        <v>2985</v>
      </c>
      <c r="F9" s="3" t="s">
        <v>324</v>
      </c>
      <c r="G9" s="3" t="s">
        <v>337</v>
      </c>
      <c r="H9" s="3" t="s">
        <v>334</v>
      </c>
    </row>
    <row r="10" spans="1:8" x14ac:dyDescent="0.25">
      <c r="A10" s="3" t="s">
        <v>338</v>
      </c>
      <c r="B10" s="3" t="s">
        <v>2986</v>
      </c>
      <c r="C10" s="3" t="s">
        <v>169</v>
      </c>
      <c r="D10" s="3" t="s">
        <v>312</v>
      </c>
      <c r="E10" s="3" t="s">
        <v>2987</v>
      </c>
      <c r="F10" s="3" t="s">
        <v>2988</v>
      </c>
      <c r="G10" s="3" t="s">
        <v>327</v>
      </c>
      <c r="H10" s="3"/>
    </row>
    <row r="11" spans="1:8" x14ac:dyDescent="0.25">
      <c r="A11" s="3" t="s">
        <v>339</v>
      </c>
      <c r="B11" s="3" t="s">
        <v>2989</v>
      </c>
      <c r="C11" s="3" t="s">
        <v>76</v>
      </c>
      <c r="D11" s="3" t="s">
        <v>303</v>
      </c>
      <c r="E11" s="3" t="s">
        <v>2990</v>
      </c>
      <c r="F11" s="3" t="s">
        <v>324</v>
      </c>
      <c r="G11" s="3" t="s">
        <v>327</v>
      </c>
      <c r="H11" s="3"/>
    </row>
    <row r="12" spans="1:8" x14ac:dyDescent="0.25">
      <c r="A12" s="3" t="s">
        <v>340</v>
      </c>
      <c r="B12" s="3" t="s">
        <v>2991</v>
      </c>
      <c r="C12" s="3" t="s">
        <v>275</v>
      </c>
      <c r="D12" s="3" t="s">
        <v>294</v>
      </c>
      <c r="E12" s="3" t="s">
        <v>2992</v>
      </c>
      <c r="F12" s="3" t="s">
        <v>324</v>
      </c>
      <c r="G12" s="3" t="s">
        <v>329</v>
      </c>
      <c r="H12" s="3" t="s">
        <v>332</v>
      </c>
    </row>
    <row r="13" spans="1:8" x14ac:dyDescent="0.25">
      <c r="A13" s="3" t="s">
        <v>341</v>
      </c>
      <c r="B13" s="3" t="s">
        <v>2993</v>
      </c>
      <c r="C13" s="3" t="s">
        <v>153</v>
      </c>
      <c r="D13" s="3" t="s">
        <v>309</v>
      </c>
      <c r="E13" s="3" t="s">
        <v>2994</v>
      </c>
      <c r="F13" s="3" t="s">
        <v>2995</v>
      </c>
      <c r="G13" s="3" t="s">
        <v>337</v>
      </c>
      <c r="H13" s="3"/>
    </row>
    <row r="14" spans="1:8" x14ac:dyDescent="0.25">
      <c r="A14" s="3" t="s">
        <v>342</v>
      </c>
      <c r="B14" s="3" t="s">
        <v>2996</v>
      </c>
      <c r="C14" s="3" t="s">
        <v>107</v>
      </c>
      <c r="D14" s="3" t="s">
        <v>306</v>
      </c>
      <c r="E14" s="3">
        <v>359.55</v>
      </c>
      <c r="F14" s="3" t="s">
        <v>2997</v>
      </c>
      <c r="G14" s="3" t="s">
        <v>327</v>
      </c>
      <c r="H14" s="3"/>
    </row>
    <row r="15" spans="1:8" x14ac:dyDescent="0.25">
      <c r="A15" s="3" t="s">
        <v>343</v>
      </c>
      <c r="B15" s="3" t="s">
        <v>2998</v>
      </c>
      <c r="C15" s="3" t="s">
        <v>267</v>
      </c>
      <c r="D15" s="3" t="s">
        <v>309</v>
      </c>
      <c r="E15" s="3">
        <v>255.62</v>
      </c>
      <c r="F15" s="3" t="s">
        <v>2995</v>
      </c>
      <c r="G15" s="3" t="s">
        <v>325</v>
      </c>
      <c r="H15" s="3" t="s">
        <v>334</v>
      </c>
    </row>
    <row r="16" spans="1:8" x14ac:dyDescent="0.25">
      <c r="A16" s="3" t="s">
        <v>344</v>
      </c>
      <c r="B16" s="3" t="s">
        <v>2999</v>
      </c>
      <c r="C16" s="3" t="s">
        <v>247</v>
      </c>
      <c r="D16" s="3" t="s">
        <v>294</v>
      </c>
      <c r="E16" s="3" t="s">
        <v>3000</v>
      </c>
      <c r="F16" s="3" t="s">
        <v>2988</v>
      </c>
      <c r="G16" s="3" t="s">
        <v>325</v>
      </c>
      <c r="H16" s="3"/>
    </row>
    <row r="17" spans="1:8" x14ac:dyDescent="0.25">
      <c r="A17" s="3" t="s">
        <v>345</v>
      </c>
      <c r="B17" s="3" t="s">
        <v>3001</v>
      </c>
      <c r="C17" s="3" t="s">
        <v>44</v>
      </c>
      <c r="D17" s="3" t="s">
        <v>297</v>
      </c>
      <c r="E17" s="3">
        <v>393.79</v>
      </c>
      <c r="F17" s="3" t="s">
        <v>2988</v>
      </c>
      <c r="G17" s="3" t="s">
        <v>337</v>
      </c>
      <c r="H17" s="3" t="s">
        <v>346</v>
      </c>
    </row>
    <row r="18" spans="1:8" x14ac:dyDescent="0.25">
      <c r="A18" s="3" t="s">
        <v>347</v>
      </c>
      <c r="B18" s="3" t="s">
        <v>3002</v>
      </c>
      <c r="C18" s="3" t="s">
        <v>255</v>
      </c>
      <c r="D18" s="3" t="s">
        <v>309</v>
      </c>
      <c r="E18" s="3" t="s">
        <v>3003</v>
      </c>
      <c r="F18" s="3" t="s">
        <v>2973</v>
      </c>
      <c r="G18" s="3" t="s">
        <v>327</v>
      </c>
      <c r="H18" s="3" t="s">
        <v>346</v>
      </c>
    </row>
    <row r="19" spans="1:8" x14ac:dyDescent="0.25">
      <c r="A19" s="3" t="s">
        <v>348</v>
      </c>
      <c r="B19" s="3" t="s">
        <v>3004</v>
      </c>
      <c r="C19" s="3" t="s">
        <v>107</v>
      </c>
      <c r="D19" s="3" t="s">
        <v>309</v>
      </c>
      <c r="E19" s="3" t="s">
        <v>3005</v>
      </c>
      <c r="F19" s="3" t="s">
        <v>3006</v>
      </c>
      <c r="G19" s="3" t="s">
        <v>327</v>
      </c>
      <c r="H19" s="3"/>
    </row>
    <row r="20" spans="1:8" x14ac:dyDescent="0.25">
      <c r="A20" s="3" t="s">
        <v>350</v>
      </c>
      <c r="B20" s="3" t="s">
        <v>3007</v>
      </c>
      <c r="C20" s="3" t="s">
        <v>217</v>
      </c>
      <c r="D20" s="3" t="s">
        <v>294</v>
      </c>
      <c r="E20" s="3">
        <v>885.93</v>
      </c>
      <c r="F20" s="3" t="s">
        <v>331</v>
      </c>
      <c r="G20" s="3" t="s">
        <v>337</v>
      </c>
      <c r="H20" s="3" t="s">
        <v>346</v>
      </c>
    </row>
    <row r="21" spans="1:8" x14ac:dyDescent="0.25">
      <c r="A21" s="3" t="s">
        <v>351</v>
      </c>
      <c r="B21" s="3" t="s">
        <v>3008</v>
      </c>
      <c r="C21" s="3" t="s">
        <v>223</v>
      </c>
      <c r="D21" s="3" t="s">
        <v>303</v>
      </c>
      <c r="E21" s="3">
        <v>618.1</v>
      </c>
      <c r="F21" s="3" t="s">
        <v>2976</v>
      </c>
      <c r="G21" s="3" t="s">
        <v>325</v>
      </c>
      <c r="H21" s="3" t="s">
        <v>334</v>
      </c>
    </row>
    <row r="22" spans="1:8" x14ac:dyDescent="0.25">
      <c r="A22" s="3" t="s">
        <v>352</v>
      </c>
      <c r="B22" s="3" t="s">
        <v>3009</v>
      </c>
      <c r="C22" s="3" t="s">
        <v>105</v>
      </c>
      <c r="D22" s="3" t="s">
        <v>294</v>
      </c>
      <c r="E22" s="3">
        <v>589.62</v>
      </c>
      <c r="F22" s="3" t="s">
        <v>2973</v>
      </c>
      <c r="G22" s="3" t="s">
        <v>327</v>
      </c>
      <c r="H22" s="3"/>
    </row>
    <row r="23" spans="1:8" x14ac:dyDescent="0.25">
      <c r="A23" s="3" t="s">
        <v>353</v>
      </c>
      <c r="B23" s="3" t="s">
        <v>3010</v>
      </c>
      <c r="C23" s="3" t="s">
        <v>245</v>
      </c>
      <c r="D23" s="3" t="s">
        <v>309</v>
      </c>
      <c r="E23" s="3">
        <v>596.35</v>
      </c>
      <c r="F23" s="3" t="s">
        <v>324</v>
      </c>
      <c r="G23" s="3" t="s">
        <v>337</v>
      </c>
      <c r="H23" s="3"/>
    </row>
    <row r="24" spans="1:8" x14ac:dyDescent="0.25">
      <c r="A24" s="3" t="s">
        <v>354</v>
      </c>
      <c r="B24" s="3" t="s">
        <v>3011</v>
      </c>
      <c r="C24" s="3" t="s">
        <v>121</v>
      </c>
      <c r="D24" s="3" t="s">
        <v>294</v>
      </c>
      <c r="E24" s="3">
        <v>110.37</v>
      </c>
      <c r="F24" s="3" t="s">
        <v>324</v>
      </c>
      <c r="G24" s="3" t="s">
        <v>325</v>
      </c>
      <c r="H24" s="3"/>
    </row>
    <row r="25" spans="1:8" x14ac:dyDescent="0.25">
      <c r="A25" s="3" t="s">
        <v>355</v>
      </c>
      <c r="B25" s="3" t="s">
        <v>3012</v>
      </c>
      <c r="C25" s="3" t="s">
        <v>74</v>
      </c>
      <c r="D25" s="3" t="s">
        <v>294</v>
      </c>
      <c r="E25" s="3">
        <v>599.87</v>
      </c>
      <c r="F25" s="3" t="s">
        <v>2988</v>
      </c>
      <c r="G25" s="3" t="s">
        <v>327</v>
      </c>
      <c r="H25" s="3"/>
    </row>
    <row r="26" spans="1:8" x14ac:dyDescent="0.25">
      <c r="A26" s="3" t="s">
        <v>356</v>
      </c>
      <c r="B26" s="3" t="s">
        <v>3013</v>
      </c>
      <c r="C26" s="3" t="s">
        <v>64</v>
      </c>
      <c r="D26" s="3" t="s">
        <v>312</v>
      </c>
      <c r="E26" s="3">
        <v>309.83999999999997</v>
      </c>
      <c r="F26" s="3" t="s">
        <v>2988</v>
      </c>
      <c r="G26" s="3" t="s">
        <v>325</v>
      </c>
      <c r="H26" s="3" t="s">
        <v>332</v>
      </c>
    </row>
    <row r="27" spans="1:8" x14ac:dyDescent="0.25">
      <c r="A27" s="3" t="s">
        <v>357</v>
      </c>
      <c r="B27" s="3" t="s">
        <v>3014</v>
      </c>
      <c r="C27" s="3" t="s">
        <v>70</v>
      </c>
      <c r="D27" s="3" t="s">
        <v>309</v>
      </c>
      <c r="E27" s="3">
        <v>583.16999999999996</v>
      </c>
      <c r="F27" s="3" t="s">
        <v>324</v>
      </c>
      <c r="G27" s="3" t="s">
        <v>327</v>
      </c>
      <c r="H27" s="3" t="s">
        <v>334</v>
      </c>
    </row>
    <row r="28" spans="1:8" x14ac:dyDescent="0.25">
      <c r="A28" s="3" t="s">
        <v>358</v>
      </c>
      <c r="B28" s="3" t="s">
        <v>3015</v>
      </c>
      <c r="C28" s="3" t="s">
        <v>26</v>
      </c>
      <c r="D28" s="3" t="s">
        <v>297</v>
      </c>
      <c r="E28" s="3">
        <v>566.83000000000004</v>
      </c>
      <c r="F28" s="3" t="s">
        <v>2976</v>
      </c>
      <c r="G28" s="3" t="s">
        <v>325</v>
      </c>
      <c r="H28" s="3" t="s">
        <v>334</v>
      </c>
    </row>
    <row r="29" spans="1:8" x14ac:dyDescent="0.25">
      <c r="A29" s="3" t="s">
        <v>359</v>
      </c>
      <c r="B29" s="3" t="s">
        <v>3016</v>
      </c>
      <c r="C29" s="3" t="s">
        <v>253</v>
      </c>
      <c r="D29" s="3" t="s">
        <v>297</v>
      </c>
      <c r="E29" s="3">
        <v>-654.44000000000005</v>
      </c>
      <c r="F29" s="3" t="s">
        <v>3017</v>
      </c>
      <c r="G29" s="3" t="s">
        <v>327</v>
      </c>
      <c r="H29" s="3" t="s">
        <v>332</v>
      </c>
    </row>
    <row r="30" spans="1:8" x14ac:dyDescent="0.25">
      <c r="A30" s="3" t="s">
        <v>360</v>
      </c>
      <c r="B30" s="3" t="s">
        <v>3018</v>
      </c>
      <c r="C30" s="3" t="s">
        <v>68</v>
      </c>
      <c r="D30" s="3" t="s">
        <v>297</v>
      </c>
      <c r="E30" s="3" t="s">
        <v>3019</v>
      </c>
      <c r="F30" s="3" t="s">
        <v>2988</v>
      </c>
      <c r="G30" s="3" t="s">
        <v>325</v>
      </c>
      <c r="H30" s="3"/>
    </row>
    <row r="31" spans="1:8" x14ac:dyDescent="0.25">
      <c r="A31" s="3" t="s">
        <v>361</v>
      </c>
      <c r="B31" s="3" t="s">
        <v>3020</v>
      </c>
      <c r="C31" s="3" t="s">
        <v>183</v>
      </c>
      <c r="D31" s="3" t="s">
        <v>294</v>
      </c>
      <c r="E31" s="3">
        <v>-910.07</v>
      </c>
      <c r="F31" s="3" t="s">
        <v>3021</v>
      </c>
      <c r="G31" s="3" t="s">
        <v>327</v>
      </c>
      <c r="H31" s="3"/>
    </row>
    <row r="32" spans="1:8" x14ac:dyDescent="0.25">
      <c r="A32" s="3" t="s">
        <v>362</v>
      </c>
      <c r="B32" s="3" t="s">
        <v>3022</v>
      </c>
      <c r="C32" s="3" t="s">
        <v>60</v>
      </c>
      <c r="D32" s="3" t="s">
        <v>303</v>
      </c>
      <c r="E32" s="3" t="s">
        <v>3023</v>
      </c>
      <c r="F32" s="3" t="s">
        <v>2995</v>
      </c>
      <c r="G32" s="3" t="s">
        <v>327</v>
      </c>
      <c r="H32" s="3"/>
    </row>
    <row r="33" spans="1:8" x14ac:dyDescent="0.25">
      <c r="A33" s="3" t="s">
        <v>363</v>
      </c>
      <c r="B33" s="3" t="s">
        <v>3024</v>
      </c>
      <c r="C33" s="3" t="s">
        <v>60</v>
      </c>
      <c r="D33" s="3" t="s">
        <v>312</v>
      </c>
      <c r="E33" s="3">
        <v>101.1</v>
      </c>
      <c r="F33" s="3" t="s">
        <v>2976</v>
      </c>
      <c r="G33" s="3" t="s">
        <v>327</v>
      </c>
      <c r="H33" s="3"/>
    </row>
    <row r="34" spans="1:8" x14ac:dyDescent="0.25">
      <c r="A34" s="3" t="s">
        <v>364</v>
      </c>
      <c r="B34" s="3" t="s">
        <v>3025</v>
      </c>
      <c r="C34" s="3" t="s">
        <v>211</v>
      </c>
      <c r="D34" s="3" t="s">
        <v>315</v>
      </c>
      <c r="E34" s="3" t="s">
        <v>3026</v>
      </c>
      <c r="F34" s="3" t="s">
        <v>324</v>
      </c>
      <c r="G34" s="3" t="s">
        <v>325</v>
      </c>
      <c r="H34" s="3" t="s">
        <v>346</v>
      </c>
    </row>
    <row r="35" spans="1:8" x14ac:dyDescent="0.25">
      <c r="A35" s="3" t="s">
        <v>365</v>
      </c>
      <c r="B35" s="3" t="s">
        <v>3027</v>
      </c>
      <c r="C35" s="3" t="s">
        <v>40</v>
      </c>
      <c r="D35" s="3" t="s">
        <v>297</v>
      </c>
      <c r="E35" s="3">
        <v>217.72</v>
      </c>
      <c r="F35" s="3" t="s">
        <v>324</v>
      </c>
      <c r="G35" s="3" t="s">
        <v>327</v>
      </c>
      <c r="H35" s="3" t="s">
        <v>346</v>
      </c>
    </row>
    <row r="36" spans="1:8" x14ac:dyDescent="0.25">
      <c r="A36" s="3" t="s">
        <v>366</v>
      </c>
      <c r="B36" s="3" t="s">
        <v>3028</v>
      </c>
      <c r="C36" s="3" t="s">
        <v>243</v>
      </c>
      <c r="D36" s="3" t="s">
        <v>306</v>
      </c>
      <c r="E36" s="3">
        <v>499.66</v>
      </c>
      <c r="F36" s="3" t="s">
        <v>2988</v>
      </c>
      <c r="G36" s="3" t="s">
        <v>325</v>
      </c>
      <c r="H36" s="3" t="s">
        <v>346</v>
      </c>
    </row>
    <row r="37" spans="1:8" x14ac:dyDescent="0.25">
      <c r="A37" s="3" t="s">
        <v>367</v>
      </c>
      <c r="B37" s="3" t="s">
        <v>3029</v>
      </c>
      <c r="C37" s="3" t="s">
        <v>111</v>
      </c>
      <c r="D37" s="3" t="s">
        <v>309</v>
      </c>
      <c r="E37" s="3">
        <v>650.28</v>
      </c>
      <c r="F37" s="3" t="s">
        <v>2976</v>
      </c>
      <c r="G37" s="3" t="s">
        <v>337</v>
      </c>
      <c r="H37" s="3" t="s">
        <v>346</v>
      </c>
    </row>
    <row r="38" spans="1:8" x14ac:dyDescent="0.25">
      <c r="A38" s="3" t="s">
        <v>368</v>
      </c>
      <c r="B38" s="3" t="s">
        <v>3030</v>
      </c>
      <c r="C38" s="3" t="s">
        <v>181</v>
      </c>
      <c r="D38" s="3" t="s">
        <v>315</v>
      </c>
      <c r="E38" s="3">
        <v>176.71</v>
      </c>
      <c r="F38" s="3" t="s">
        <v>324</v>
      </c>
      <c r="G38" s="3" t="s">
        <v>327</v>
      </c>
      <c r="H38" s="3" t="s">
        <v>332</v>
      </c>
    </row>
    <row r="39" spans="1:8" x14ac:dyDescent="0.25">
      <c r="A39" s="3" t="s">
        <v>369</v>
      </c>
      <c r="B39" s="3" t="s">
        <v>3031</v>
      </c>
      <c r="C39" s="3" t="s">
        <v>171</v>
      </c>
      <c r="D39" s="3" t="s">
        <v>297</v>
      </c>
      <c r="E39" s="3">
        <v>241.25</v>
      </c>
      <c r="F39" s="3" t="s">
        <v>324</v>
      </c>
      <c r="G39" s="3" t="s">
        <v>325</v>
      </c>
      <c r="H39" s="3" t="s">
        <v>334</v>
      </c>
    </row>
    <row r="40" spans="1:8" x14ac:dyDescent="0.25">
      <c r="A40" s="3" t="s">
        <v>370</v>
      </c>
      <c r="B40" s="3" t="s">
        <v>3032</v>
      </c>
      <c r="C40" s="3" t="s">
        <v>199</v>
      </c>
      <c r="D40" s="3" t="s">
        <v>294</v>
      </c>
      <c r="E40" s="3" t="s">
        <v>3033</v>
      </c>
      <c r="F40" s="3" t="s">
        <v>2995</v>
      </c>
      <c r="G40" s="3" t="s">
        <v>325</v>
      </c>
      <c r="H40" s="3"/>
    </row>
    <row r="41" spans="1:8" x14ac:dyDescent="0.25">
      <c r="A41" s="3" t="s">
        <v>371</v>
      </c>
      <c r="B41" s="3" t="s">
        <v>3034</v>
      </c>
      <c r="C41" s="3" t="s">
        <v>169</v>
      </c>
      <c r="D41" s="3" t="s">
        <v>300</v>
      </c>
      <c r="E41" s="3">
        <v>489.53</v>
      </c>
      <c r="F41" s="3" t="s">
        <v>2976</v>
      </c>
      <c r="G41" s="3" t="s">
        <v>327</v>
      </c>
      <c r="H41" s="3" t="s">
        <v>346</v>
      </c>
    </row>
    <row r="42" spans="1:8" x14ac:dyDescent="0.25">
      <c r="A42" s="3" t="s">
        <v>372</v>
      </c>
      <c r="B42" s="3" t="s">
        <v>3035</v>
      </c>
      <c r="C42" s="3" t="s">
        <v>121</v>
      </c>
      <c r="D42" s="3" t="s">
        <v>315</v>
      </c>
      <c r="E42" s="3" t="s">
        <v>3036</v>
      </c>
      <c r="F42" s="3" t="s">
        <v>3037</v>
      </c>
      <c r="G42" s="3" t="s">
        <v>327</v>
      </c>
      <c r="H42" s="3" t="s">
        <v>334</v>
      </c>
    </row>
    <row r="43" spans="1:8" x14ac:dyDescent="0.25">
      <c r="A43" s="3" t="s">
        <v>373</v>
      </c>
      <c r="B43" s="3" t="s">
        <v>3038</v>
      </c>
      <c r="C43" s="3" t="s">
        <v>253</v>
      </c>
      <c r="D43" s="3" t="s">
        <v>294</v>
      </c>
      <c r="E43" s="3">
        <v>133.05000000000001</v>
      </c>
      <c r="F43" s="3" t="s">
        <v>324</v>
      </c>
      <c r="G43" s="3"/>
      <c r="H43" s="3" t="s">
        <v>334</v>
      </c>
    </row>
    <row r="44" spans="1:8" x14ac:dyDescent="0.25">
      <c r="A44" s="3" t="s">
        <v>374</v>
      </c>
      <c r="B44" s="3" t="s">
        <v>3039</v>
      </c>
      <c r="C44" s="3" t="s">
        <v>219</v>
      </c>
      <c r="D44" s="3" t="s">
        <v>294</v>
      </c>
      <c r="E44" s="3">
        <v>236.97</v>
      </c>
      <c r="F44" s="3" t="s">
        <v>2995</v>
      </c>
      <c r="G44" s="3" t="s">
        <v>337</v>
      </c>
      <c r="H44" s="3" t="s">
        <v>346</v>
      </c>
    </row>
    <row r="45" spans="1:8" x14ac:dyDescent="0.25">
      <c r="A45" s="3" t="s">
        <v>375</v>
      </c>
      <c r="B45" s="3" t="s">
        <v>3040</v>
      </c>
      <c r="C45" s="3" t="s">
        <v>207</v>
      </c>
      <c r="D45" s="3" t="s">
        <v>297</v>
      </c>
      <c r="E45" s="3">
        <v>566.20000000000005</v>
      </c>
      <c r="F45" s="3" t="s">
        <v>324</v>
      </c>
      <c r="G45" s="3" t="s">
        <v>327</v>
      </c>
      <c r="H45" s="3"/>
    </row>
    <row r="46" spans="1:8" x14ac:dyDescent="0.25">
      <c r="A46" s="3" t="s">
        <v>376</v>
      </c>
      <c r="B46" s="3" t="s">
        <v>3041</v>
      </c>
      <c r="C46" s="3" t="s">
        <v>213</v>
      </c>
      <c r="D46" s="3" t="s">
        <v>294</v>
      </c>
      <c r="E46" s="3">
        <v>380.88</v>
      </c>
      <c r="F46" s="3" t="s">
        <v>324</v>
      </c>
      <c r="G46" s="3" t="s">
        <v>325</v>
      </c>
      <c r="H46" s="3" t="s">
        <v>332</v>
      </c>
    </row>
    <row r="47" spans="1:8" x14ac:dyDescent="0.25">
      <c r="A47" s="3" t="s">
        <v>377</v>
      </c>
      <c r="B47" s="3" t="s">
        <v>3042</v>
      </c>
      <c r="C47" s="3" t="s">
        <v>119</v>
      </c>
      <c r="D47" s="3" t="s">
        <v>303</v>
      </c>
      <c r="E47" s="3">
        <v>165.1</v>
      </c>
      <c r="F47" s="3" t="s">
        <v>324</v>
      </c>
      <c r="G47" s="3" t="s">
        <v>325</v>
      </c>
      <c r="H47" s="3" t="s">
        <v>346</v>
      </c>
    </row>
    <row r="48" spans="1:8" x14ac:dyDescent="0.25">
      <c r="A48" s="3" t="s">
        <v>378</v>
      </c>
      <c r="B48" s="3" t="s">
        <v>3043</v>
      </c>
      <c r="C48" s="3" t="s">
        <v>60</v>
      </c>
      <c r="D48" s="3" t="s">
        <v>303</v>
      </c>
      <c r="E48" s="3">
        <v>433.91</v>
      </c>
      <c r="F48" s="3" t="s">
        <v>324</v>
      </c>
      <c r="G48" s="3" t="s">
        <v>327</v>
      </c>
      <c r="H48" s="3" t="s">
        <v>334</v>
      </c>
    </row>
    <row r="49" spans="1:8" x14ac:dyDescent="0.25">
      <c r="A49" s="3" t="s">
        <v>379</v>
      </c>
      <c r="B49" s="3" t="s">
        <v>3044</v>
      </c>
      <c r="C49" s="3" t="s">
        <v>119</v>
      </c>
      <c r="D49" s="3" t="s">
        <v>297</v>
      </c>
      <c r="E49" s="3">
        <v>574.25</v>
      </c>
      <c r="F49" s="3" t="s">
        <v>331</v>
      </c>
      <c r="G49" s="3" t="s">
        <v>327</v>
      </c>
      <c r="H49" s="3"/>
    </row>
    <row r="50" spans="1:8" x14ac:dyDescent="0.25">
      <c r="A50" s="3" t="s">
        <v>380</v>
      </c>
      <c r="B50" s="3" t="s">
        <v>3045</v>
      </c>
      <c r="C50" s="3" t="s">
        <v>147</v>
      </c>
      <c r="D50" s="3" t="s">
        <v>303</v>
      </c>
      <c r="E50" s="3" t="s">
        <v>3046</v>
      </c>
      <c r="F50" s="3" t="s">
        <v>381</v>
      </c>
      <c r="G50" s="3" t="s">
        <v>337</v>
      </c>
      <c r="H50" s="3"/>
    </row>
    <row r="51" spans="1:8" x14ac:dyDescent="0.25">
      <c r="A51" s="3" t="s">
        <v>382</v>
      </c>
      <c r="B51" s="3" t="s">
        <v>3047</v>
      </c>
      <c r="C51" s="3" t="s">
        <v>40</v>
      </c>
      <c r="D51" s="3" t="s">
        <v>300</v>
      </c>
      <c r="E51" s="3" t="s">
        <v>3048</v>
      </c>
      <c r="F51" s="3" t="s">
        <v>2980</v>
      </c>
      <c r="G51" s="3" t="s">
        <v>327</v>
      </c>
      <c r="H51" s="3" t="s">
        <v>332</v>
      </c>
    </row>
    <row r="52" spans="1:8" x14ac:dyDescent="0.25">
      <c r="A52" s="3" t="s">
        <v>383</v>
      </c>
      <c r="B52" s="3" t="s">
        <v>3049</v>
      </c>
      <c r="C52" s="3" t="s">
        <v>26</v>
      </c>
      <c r="D52" s="3" t="s">
        <v>300</v>
      </c>
      <c r="E52" s="3" t="s">
        <v>3050</v>
      </c>
      <c r="F52" s="3" t="s">
        <v>331</v>
      </c>
      <c r="G52" s="3" t="s">
        <v>337</v>
      </c>
      <c r="H52" s="3" t="s">
        <v>346</v>
      </c>
    </row>
    <row r="53" spans="1:8" x14ac:dyDescent="0.25">
      <c r="A53" s="3" t="s">
        <v>384</v>
      </c>
      <c r="B53" s="3" t="s">
        <v>3051</v>
      </c>
      <c r="C53" s="3" t="s">
        <v>125</v>
      </c>
      <c r="D53" s="3" t="s">
        <v>315</v>
      </c>
      <c r="E53" s="3">
        <v>216.81</v>
      </c>
      <c r="F53" s="3" t="s">
        <v>2976</v>
      </c>
      <c r="G53" s="3" t="s">
        <v>325</v>
      </c>
      <c r="H53" s="3" t="s">
        <v>332</v>
      </c>
    </row>
    <row r="54" spans="1:8" x14ac:dyDescent="0.25">
      <c r="A54" s="3" t="s">
        <v>385</v>
      </c>
      <c r="B54" s="3" t="s">
        <v>3052</v>
      </c>
      <c r="C54" s="3" t="s">
        <v>195</v>
      </c>
      <c r="D54" s="3" t="s">
        <v>315</v>
      </c>
      <c r="E54" s="3">
        <v>280.24</v>
      </c>
      <c r="F54" s="3" t="s">
        <v>2995</v>
      </c>
      <c r="G54" s="3" t="s">
        <v>325</v>
      </c>
      <c r="H54" s="3"/>
    </row>
    <row r="55" spans="1:8" x14ac:dyDescent="0.25">
      <c r="A55" s="3" t="s">
        <v>386</v>
      </c>
      <c r="B55" s="3" t="s">
        <v>3053</v>
      </c>
      <c r="C55" s="3" t="s">
        <v>147</v>
      </c>
      <c r="D55" s="3" t="s">
        <v>297</v>
      </c>
      <c r="E55" s="3" t="s">
        <v>3054</v>
      </c>
      <c r="F55" s="3" t="s">
        <v>324</v>
      </c>
      <c r="G55" s="3" t="s">
        <v>325</v>
      </c>
      <c r="H55" s="3" t="s">
        <v>334</v>
      </c>
    </row>
    <row r="56" spans="1:8" x14ac:dyDescent="0.25">
      <c r="A56" s="3" t="s">
        <v>387</v>
      </c>
      <c r="B56" s="3" t="s">
        <v>3055</v>
      </c>
      <c r="C56" s="3" t="s">
        <v>213</v>
      </c>
      <c r="D56" s="3" t="s">
        <v>294</v>
      </c>
      <c r="E56" s="3">
        <v>474.63</v>
      </c>
      <c r="F56" s="3" t="s">
        <v>2976</v>
      </c>
      <c r="G56" s="3" t="s">
        <v>325</v>
      </c>
      <c r="H56" s="3"/>
    </row>
    <row r="57" spans="1:8" x14ac:dyDescent="0.25">
      <c r="A57" s="3" t="s">
        <v>388</v>
      </c>
      <c r="B57" s="3" t="s">
        <v>3056</v>
      </c>
      <c r="C57" s="3" t="s">
        <v>183</v>
      </c>
      <c r="D57" s="3" t="s">
        <v>312</v>
      </c>
      <c r="E57" s="3" t="s">
        <v>3057</v>
      </c>
      <c r="F57" s="3" t="s">
        <v>381</v>
      </c>
      <c r="G57" s="3" t="s">
        <v>325</v>
      </c>
      <c r="H57" s="3" t="s">
        <v>346</v>
      </c>
    </row>
    <row r="58" spans="1:8" x14ac:dyDescent="0.25">
      <c r="A58" s="3" t="s">
        <v>389</v>
      </c>
      <c r="B58" s="3" t="s">
        <v>3058</v>
      </c>
      <c r="C58" s="3" t="s">
        <v>225</v>
      </c>
      <c r="D58" s="3" t="s">
        <v>303</v>
      </c>
      <c r="E58" s="3">
        <v>700.25</v>
      </c>
      <c r="F58" s="3" t="s">
        <v>2976</v>
      </c>
      <c r="G58" s="3" t="s">
        <v>337</v>
      </c>
      <c r="H58" s="3"/>
    </row>
    <row r="59" spans="1:8" x14ac:dyDescent="0.25">
      <c r="A59" s="3" t="s">
        <v>390</v>
      </c>
      <c r="B59" s="3" t="s">
        <v>3059</v>
      </c>
      <c r="C59" s="3" t="s">
        <v>269</v>
      </c>
      <c r="D59" s="3" t="s">
        <v>294</v>
      </c>
      <c r="E59" s="3">
        <v>-649.27</v>
      </c>
      <c r="F59" s="3" t="s">
        <v>3060</v>
      </c>
      <c r="G59" s="3" t="s">
        <v>325</v>
      </c>
      <c r="H59" s="3" t="s">
        <v>332</v>
      </c>
    </row>
    <row r="60" spans="1:8" x14ac:dyDescent="0.25">
      <c r="A60" s="3" t="s">
        <v>391</v>
      </c>
      <c r="B60" s="3" t="s">
        <v>3061</v>
      </c>
      <c r="C60" s="3" t="s">
        <v>261</v>
      </c>
      <c r="D60" s="3" t="s">
        <v>294</v>
      </c>
      <c r="E60" s="3">
        <v>335.62</v>
      </c>
      <c r="F60" s="3" t="s">
        <v>2976</v>
      </c>
      <c r="G60" s="3"/>
      <c r="H60" s="3"/>
    </row>
    <row r="61" spans="1:8" x14ac:dyDescent="0.25">
      <c r="A61" s="3" t="s">
        <v>392</v>
      </c>
      <c r="B61" s="3" t="s">
        <v>3062</v>
      </c>
      <c r="C61" s="3" t="s">
        <v>273</v>
      </c>
      <c r="D61" s="3" t="s">
        <v>294</v>
      </c>
      <c r="E61" s="3">
        <v>348.37</v>
      </c>
      <c r="F61" s="3" t="s">
        <v>2973</v>
      </c>
      <c r="G61" s="3" t="s">
        <v>327</v>
      </c>
      <c r="H61" s="3" t="s">
        <v>332</v>
      </c>
    </row>
    <row r="62" spans="1:8" x14ac:dyDescent="0.25">
      <c r="A62" s="3" t="s">
        <v>393</v>
      </c>
      <c r="B62" s="3" t="s">
        <v>3063</v>
      </c>
      <c r="C62" s="3" t="s">
        <v>181</v>
      </c>
      <c r="D62" s="3" t="s">
        <v>309</v>
      </c>
      <c r="E62" s="3">
        <v>112.26</v>
      </c>
      <c r="F62" s="3" t="s">
        <v>2995</v>
      </c>
      <c r="G62" s="3"/>
      <c r="H62" s="3" t="s">
        <v>346</v>
      </c>
    </row>
    <row r="63" spans="1:8" x14ac:dyDescent="0.25">
      <c r="A63" s="3" t="s">
        <v>394</v>
      </c>
      <c r="B63" s="3" t="s">
        <v>3064</v>
      </c>
      <c r="C63" s="3" t="s">
        <v>203</v>
      </c>
      <c r="D63" s="3" t="s">
        <v>306</v>
      </c>
      <c r="E63" s="3" t="s">
        <v>3065</v>
      </c>
      <c r="F63" s="3" t="s">
        <v>2973</v>
      </c>
      <c r="G63" s="3" t="s">
        <v>337</v>
      </c>
      <c r="H63" s="3"/>
    </row>
    <row r="64" spans="1:8" x14ac:dyDescent="0.25">
      <c r="A64" s="3" t="s">
        <v>395</v>
      </c>
      <c r="B64" s="3" t="s">
        <v>3066</v>
      </c>
      <c r="C64" s="3" t="s">
        <v>396</v>
      </c>
      <c r="D64" s="3" t="s">
        <v>312</v>
      </c>
      <c r="E64" s="3">
        <v>96.31</v>
      </c>
      <c r="F64" s="3" t="s">
        <v>2976</v>
      </c>
      <c r="G64" s="3" t="s">
        <v>329</v>
      </c>
      <c r="H64" s="3" t="s">
        <v>346</v>
      </c>
    </row>
    <row r="65" spans="1:8" x14ac:dyDescent="0.25">
      <c r="A65" s="3" t="s">
        <v>397</v>
      </c>
      <c r="B65" s="3" t="s">
        <v>3067</v>
      </c>
      <c r="C65" s="3" t="s">
        <v>195</v>
      </c>
      <c r="D65" s="3" t="s">
        <v>294</v>
      </c>
      <c r="E65" s="3">
        <v>771.11</v>
      </c>
      <c r="F65" s="3" t="s">
        <v>381</v>
      </c>
      <c r="G65" s="3" t="s">
        <v>325</v>
      </c>
      <c r="H65" s="3" t="s">
        <v>332</v>
      </c>
    </row>
    <row r="66" spans="1:8" x14ac:dyDescent="0.25">
      <c r="A66" s="3" t="s">
        <v>398</v>
      </c>
      <c r="B66" s="3" t="s">
        <v>3068</v>
      </c>
      <c r="C66" s="3" t="s">
        <v>133</v>
      </c>
      <c r="D66" s="3" t="s">
        <v>303</v>
      </c>
      <c r="E66" s="3" t="s">
        <v>3069</v>
      </c>
      <c r="F66" s="3" t="s">
        <v>2976</v>
      </c>
      <c r="G66" s="3" t="s">
        <v>337</v>
      </c>
      <c r="H66" s="3" t="s">
        <v>346</v>
      </c>
    </row>
    <row r="67" spans="1:8" x14ac:dyDescent="0.25">
      <c r="A67" s="3" t="s">
        <v>399</v>
      </c>
      <c r="B67" s="3" t="s">
        <v>3070</v>
      </c>
      <c r="C67" s="3" t="s">
        <v>241</v>
      </c>
      <c r="D67" s="3" t="s">
        <v>294</v>
      </c>
      <c r="E67" s="3" t="s">
        <v>3071</v>
      </c>
      <c r="F67" s="3" t="s">
        <v>324</v>
      </c>
      <c r="G67" s="3" t="s">
        <v>337</v>
      </c>
      <c r="H67" s="3" t="s">
        <v>346</v>
      </c>
    </row>
    <row r="68" spans="1:8" x14ac:dyDescent="0.25">
      <c r="A68" s="3" t="s">
        <v>400</v>
      </c>
      <c r="B68" s="3" t="s">
        <v>3072</v>
      </c>
      <c r="C68" s="3" t="s">
        <v>211</v>
      </c>
      <c r="D68" s="3" t="s">
        <v>309</v>
      </c>
      <c r="E68" s="3">
        <v>274.52999999999997</v>
      </c>
      <c r="F68" s="3" t="s">
        <v>2976</v>
      </c>
      <c r="G68" s="3" t="s">
        <v>327</v>
      </c>
      <c r="H68" s="3"/>
    </row>
    <row r="69" spans="1:8" x14ac:dyDescent="0.25">
      <c r="A69" s="3" t="s">
        <v>401</v>
      </c>
      <c r="B69" s="3" t="s">
        <v>3073</v>
      </c>
      <c r="C69" s="3" t="s">
        <v>273</v>
      </c>
      <c r="D69" s="3" t="s">
        <v>315</v>
      </c>
      <c r="E69" s="3">
        <v>575.17999999999995</v>
      </c>
      <c r="F69" s="3" t="s">
        <v>324</v>
      </c>
      <c r="G69" s="3" t="s">
        <v>325</v>
      </c>
      <c r="H69" s="3"/>
    </row>
    <row r="70" spans="1:8" x14ac:dyDescent="0.25">
      <c r="A70" s="3" t="s">
        <v>402</v>
      </c>
      <c r="B70" s="3" t="s">
        <v>3074</v>
      </c>
      <c r="C70" s="3" t="s">
        <v>82</v>
      </c>
      <c r="D70" s="3" t="s">
        <v>294</v>
      </c>
      <c r="E70" s="3">
        <v>469.29</v>
      </c>
      <c r="F70" s="3" t="s">
        <v>2973</v>
      </c>
      <c r="G70" s="3" t="s">
        <v>337</v>
      </c>
      <c r="H70" s="3"/>
    </row>
    <row r="71" spans="1:8" x14ac:dyDescent="0.25">
      <c r="A71" s="3" t="s">
        <v>403</v>
      </c>
      <c r="B71" s="3" t="s">
        <v>3075</v>
      </c>
      <c r="C71" s="3" t="s">
        <v>223</v>
      </c>
      <c r="D71" s="3" t="s">
        <v>300</v>
      </c>
      <c r="E71" s="3" t="s">
        <v>3076</v>
      </c>
      <c r="F71" s="3" t="s">
        <v>2988</v>
      </c>
      <c r="G71" s="3" t="s">
        <v>337</v>
      </c>
      <c r="H71" s="3" t="s">
        <v>346</v>
      </c>
    </row>
    <row r="72" spans="1:8" x14ac:dyDescent="0.25">
      <c r="A72" s="3" t="s">
        <v>404</v>
      </c>
      <c r="B72" s="3" t="s">
        <v>3077</v>
      </c>
      <c r="C72" s="3" t="s">
        <v>78</v>
      </c>
      <c r="D72" s="3" t="s">
        <v>297</v>
      </c>
      <c r="E72" s="3">
        <v>349.62</v>
      </c>
      <c r="F72" s="3" t="s">
        <v>324</v>
      </c>
      <c r="G72" s="3" t="s">
        <v>327</v>
      </c>
      <c r="H72" s="3"/>
    </row>
    <row r="73" spans="1:8" x14ac:dyDescent="0.25">
      <c r="A73" s="3" t="s">
        <v>405</v>
      </c>
      <c r="B73" s="3" t="s">
        <v>3078</v>
      </c>
      <c r="C73" s="3" t="s">
        <v>90</v>
      </c>
      <c r="D73" s="3" t="s">
        <v>294</v>
      </c>
      <c r="E73" s="3">
        <v>445.37</v>
      </c>
      <c r="F73" s="3" t="s">
        <v>2976</v>
      </c>
      <c r="G73" s="3"/>
      <c r="H73" s="3"/>
    </row>
    <row r="74" spans="1:8" x14ac:dyDescent="0.25">
      <c r="A74" s="3" t="s">
        <v>406</v>
      </c>
      <c r="B74" s="3" t="s">
        <v>2981</v>
      </c>
      <c r="C74" s="3" t="s">
        <v>203</v>
      </c>
      <c r="D74" s="3" t="s">
        <v>294</v>
      </c>
      <c r="E74" s="3" t="s">
        <v>3079</v>
      </c>
      <c r="F74" s="3" t="s">
        <v>324</v>
      </c>
      <c r="G74" s="3" t="s">
        <v>337</v>
      </c>
      <c r="H74" s="3"/>
    </row>
    <row r="75" spans="1:8" x14ac:dyDescent="0.25">
      <c r="A75" s="3" t="s">
        <v>407</v>
      </c>
      <c r="B75" s="3" t="s">
        <v>3080</v>
      </c>
      <c r="C75" s="3" t="s">
        <v>94</v>
      </c>
      <c r="D75" s="3" t="s">
        <v>300</v>
      </c>
      <c r="E75" s="3" t="s">
        <v>3081</v>
      </c>
      <c r="F75" s="3" t="s">
        <v>381</v>
      </c>
      <c r="G75" s="3" t="s">
        <v>327</v>
      </c>
      <c r="H75" s="3"/>
    </row>
    <row r="76" spans="1:8" x14ac:dyDescent="0.25">
      <c r="A76" s="3" t="s">
        <v>408</v>
      </c>
      <c r="B76" s="3" t="s">
        <v>3082</v>
      </c>
      <c r="C76" s="3" t="s">
        <v>163</v>
      </c>
      <c r="D76" s="3" t="s">
        <v>294</v>
      </c>
      <c r="E76" s="3" t="s">
        <v>3083</v>
      </c>
      <c r="F76" s="3" t="s">
        <v>324</v>
      </c>
      <c r="G76" s="3"/>
      <c r="H76" s="3" t="s">
        <v>346</v>
      </c>
    </row>
    <row r="77" spans="1:8" x14ac:dyDescent="0.25">
      <c r="A77" s="3" t="s">
        <v>409</v>
      </c>
      <c r="B77" s="3" t="s">
        <v>3084</v>
      </c>
      <c r="C77" s="3" t="s">
        <v>82</v>
      </c>
      <c r="D77" s="3" t="s">
        <v>294</v>
      </c>
      <c r="E77" s="3">
        <v>447.66</v>
      </c>
      <c r="F77" s="3" t="s">
        <v>2995</v>
      </c>
      <c r="G77" s="3" t="s">
        <v>325</v>
      </c>
      <c r="H77" s="3" t="s">
        <v>334</v>
      </c>
    </row>
    <row r="78" spans="1:8" x14ac:dyDescent="0.25">
      <c r="A78" s="3" t="s">
        <v>410</v>
      </c>
      <c r="B78" s="3" t="s">
        <v>3085</v>
      </c>
      <c r="C78" s="3" t="s">
        <v>151</v>
      </c>
      <c r="D78" s="3" t="s">
        <v>312</v>
      </c>
      <c r="E78" s="3" t="s">
        <v>3086</v>
      </c>
      <c r="F78" s="3" t="s">
        <v>3021</v>
      </c>
      <c r="G78" s="3" t="s">
        <v>325</v>
      </c>
      <c r="H78" s="3"/>
    </row>
    <row r="79" spans="1:8" x14ac:dyDescent="0.25">
      <c r="A79" s="3" t="s">
        <v>411</v>
      </c>
      <c r="B79" s="3" t="s">
        <v>3087</v>
      </c>
      <c r="C79" s="3" t="s">
        <v>277</v>
      </c>
      <c r="D79" s="3" t="s">
        <v>294</v>
      </c>
      <c r="E79" s="3" t="s">
        <v>3088</v>
      </c>
      <c r="F79" s="3" t="s">
        <v>2995</v>
      </c>
      <c r="G79" s="3" t="s">
        <v>327</v>
      </c>
      <c r="H79" s="3"/>
    </row>
    <row r="80" spans="1:8" x14ac:dyDescent="0.25">
      <c r="A80" s="3" t="s">
        <v>412</v>
      </c>
      <c r="B80" s="3" t="s">
        <v>3089</v>
      </c>
      <c r="C80" s="3" t="s">
        <v>133</v>
      </c>
      <c r="D80" s="3" t="s">
        <v>315</v>
      </c>
      <c r="E80" s="3" t="s">
        <v>3090</v>
      </c>
      <c r="F80" s="3" t="s">
        <v>2976</v>
      </c>
      <c r="G80" s="3" t="s">
        <v>329</v>
      </c>
      <c r="H80" s="3"/>
    </row>
    <row r="81" spans="1:8" x14ac:dyDescent="0.25">
      <c r="A81" s="3" t="s">
        <v>413</v>
      </c>
      <c r="B81" s="3" t="s">
        <v>3091</v>
      </c>
      <c r="C81" s="3" t="s">
        <v>15</v>
      </c>
      <c r="D81" s="3" t="s">
        <v>303</v>
      </c>
      <c r="E81" s="3" t="s">
        <v>3092</v>
      </c>
      <c r="F81" s="3" t="s">
        <v>324</v>
      </c>
      <c r="G81" s="3" t="s">
        <v>325</v>
      </c>
      <c r="H81" s="3" t="s">
        <v>334</v>
      </c>
    </row>
    <row r="82" spans="1:8" x14ac:dyDescent="0.25">
      <c r="A82" s="3" t="s">
        <v>414</v>
      </c>
      <c r="B82" s="3" t="s">
        <v>3093</v>
      </c>
      <c r="C82" s="3" t="s">
        <v>209</v>
      </c>
      <c r="D82" s="3" t="s">
        <v>309</v>
      </c>
      <c r="E82" s="3" t="s">
        <v>3094</v>
      </c>
      <c r="F82" s="3" t="s">
        <v>324</v>
      </c>
      <c r="G82" s="3" t="s">
        <v>329</v>
      </c>
      <c r="H82" s="3"/>
    </row>
    <row r="83" spans="1:8" x14ac:dyDescent="0.25">
      <c r="A83" s="3" t="s">
        <v>415</v>
      </c>
      <c r="B83" s="3" t="s">
        <v>3095</v>
      </c>
      <c r="C83" s="3" t="s">
        <v>125</v>
      </c>
      <c r="D83" s="3" t="s">
        <v>300</v>
      </c>
      <c r="E83" s="3">
        <v>565.61</v>
      </c>
      <c r="F83" s="3" t="s">
        <v>324</v>
      </c>
      <c r="G83" s="3" t="s">
        <v>337</v>
      </c>
      <c r="H83" s="3"/>
    </row>
    <row r="84" spans="1:8" x14ac:dyDescent="0.25">
      <c r="A84" s="3" t="s">
        <v>416</v>
      </c>
      <c r="B84" s="3" t="s">
        <v>3096</v>
      </c>
      <c r="C84" s="3" t="s">
        <v>117</v>
      </c>
      <c r="D84" s="3" t="s">
        <v>303</v>
      </c>
      <c r="E84" s="3">
        <v>390.9</v>
      </c>
      <c r="F84" s="3" t="s">
        <v>3097</v>
      </c>
      <c r="G84" s="3" t="s">
        <v>327</v>
      </c>
      <c r="H84" s="3" t="s">
        <v>346</v>
      </c>
    </row>
    <row r="85" spans="1:8" x14ac:dyDescent="0.25">
      <c r="A85" s="3" t="s">
        <v>417</v>
      </c>
      <c r="B85" s="3" t="s">
        <v>3098</v>
      </c>
      <c r="C85" s="3" t="s">
        <v>213</v>
      </c>
      <c r="D85" s="3" t="s">
        <v>294</v>
      </c>
      <c r="E85" s="3">
        <v>101.69</v>
      </c>
      <c r="F85" s="3" t="s">
        <v>324</v>
      </c>
      <c r="G85" s="3" t="s">
        <v>325</v>
      </c>
      <c r="H85" s="3" t="s">
        <v>332</v>
      </c>
    </row>
    <row r="86" spans="1:8" x14ac:dyDescent="0.25">
      <c r="A86" s="3" t="s">
        <v>418</v>
      </c>
      <c r="B86" s="3" t="s">
        <v>3099</v>
      </c>
      <c r="C86" s="3" t="s">
        <v>135</v>
      </c>
      <c r="D86" s="3" t="s">
        <v>300</v>
      </c>
      <c r="E86" s="3" t="s">
        <v>3100</v>
      </c>
      <c r="F86" s="3" t="s">
        <v>324</v>
      </c>
      <c r="G86" s="3" t="s">
        <v>337</v>
      </c>
      <c r="H86" s="3" t="s">
        <v>346</v>
      </c>
    </row>
    <row r="87" spans="1:8" x14ac:dyDescent="0.25">
      <c r="A87" s="3" t="s">
        <v>419</v>
      </c>
      <c r="B87" s="3" t="s">
        <v>3101</v>
      </c>
      <c r="C87" s="3" t="s">
        <v>129</v>
      </c>
      <c r="D87" s="3" t="s">
        <v>294</v>
      </c>
      <c r="E87" s="3">
        <v>347.38</v>
      </c>
      <c r="F87" s="3" t="s">
        <v>381</v>
      </c>
      <c r="G87" s="3" t="s">
        <v>327</v>
      </c>
      <c r="H87" s="3"/>
    </row>
    <row r="88" spans="1:8" x14ac:dyDescent="0.25">
      <c r="A88" s="3" t="s">
        <v>420</v>
      </c>
      <c r="B88" s="3" t="s">
        <v>3102</v>
      </c>
      <c r="C88" s="3" t="s">
        <v>199</v>
      </c>
      <c r="D88" s="3" t="s">
        <v>297</v>
      </c>
      <c r="E88" s="3">
        <v>17.760000000000002</v>
      </c>
      <c r="F88" s="3" t="s">
        <v>2980</v>
      </c>
      <c r="G88" s="3" t="s">
        <v>325</v>
      </c>
      <c r="H88" s="3" t="s">
        <v>346</v>
      </c>
    </row>
    <row r="89" spans="1:8" x14ac:dyDescent="0.25">
      <c r="A89" s="3" t="s">
        <v>421</v>
      </c>
      <c r="B89" s="3" t="s">
        <v>3103</v>
      </c>
      <c r="C89" s="3" t="s">
        <v>153</v>
      </c>
      <c r="D89" s="3" t="s">
        <v>309</v>
      </c>
      <c r="E89" s="3">
        <v>409.63</v>
      </c>
      <c r="F89" s="3" t="s">
        <v>2995</v>
      </c>
      <c r="G89" s="3" t="s">
        <v>325</v>
      </c>
      <c r="H89" s="3"/>
    </row>
    <row r="90" spans="1:8" x14ac:dyDescent="0.25">
      <c r="A90" s="3" t="s">
        <v>422</v>
      </c>
      <c r="B90" s="3" t="s">
        <v>3104</v>
      </c>
      <c r="C90" s="3" t="s">
        <v>72</v>
      </c>
      <c r="D90" s="3" t="s">
        <v>294</v>
      </c>
      <c r="E90" s="3">
        <v>426.68</v>
      </c>
      <c r="F90" s="3" t="s">
        <v>2976</v>
      </c>
      <c r="G90" s="3" t="s">
        <v>325</v>
      </c>
      <c r="H90" s="3" t="s">
        <v>332</v>
      </c>
    </row>
    <row r="91" spans="1:8" x14ac:dyDescent="0.25">
      <c r="A91" s="3" t="s">
        <v>423</v>
      </c>
      <c r="B91" s="3" t="s">
        <v>3105</v>
      </c>
      <c r="C91" s="3" t="s">
        <v>84</v>
      </c>
      <c r="D91" s="3" t="s">
        <v>312</v>
      </c>
      <c r="E91" s="3">
        <v>1125.4100000000001</v>
      </c>
      <c r="F91" s="3" t="s">
        <v>324</v>
      </c>
      <c r="G91" s="3" t="s">
        <v>337</v>
      </c>
      <c r="H91" s="3" t="s">
        <v>346</v>
      </c>
    </row>
    <row r="92" spans="1:8" x14ac:dyDescent="0.25">
      <c r="A92" s="3" t="s">
        <v>424</v>
      </c>
      <c r="B92" s="3" t="s">
        <v>3106</v>
      </c>
      <c r="C92" s="3" t="s">
        <v>42</v>
      </c>
      <c r="D92" s="3" t="s">
        <v>294</v>
      </c>
      <c r="E92" s="3" t="s">
        <v>3107</v>
      </c>
      <c r="F92" s="3" t="s">
        <v>2976</v>
      </c>
      <c r="G92" s="3" t="s">
        <v>325</v>
      </c>
      <c r="H92" s="3"/>
    </row>
    <row r="93" spans="1:8" x14ac:dyDescent="0.25">
      <c r="A93" s="3" t="s">
        <v>425</v>
      </c>
      <c r="B93" s="3" t="s">
        <v>3108</v>
      </c>
      <c r="C93" s="3" t="s">
        <v>267</v>
      </c>
      <c r="D93" s="3" t="s">
        <v>309</v>
      </c>
      <c r="E93" s="3">
        <v>782.45</v>
      </c>
      <c r="F93" s="3" t="s">
        <v>324</v>
      </c>
      <c r="G93" s="3" t="s">
        <v>327</v>
      </c>
      <c r="H93" s="3"/>
    </row>
    <row r="94" spans="1:8" x14ac:dyDescent="0.25">
      <c r="A94" s="3" t="s">
        <v>426</v>
      </c>
      <c r="B94" s="3" t="s">
        <v>3109</v>
      </c>
      <c r="C94" s="3" t="s">
        <v>125</v>
      </c>
      <c r="D94" s="3" t="s">
        <v>294</v>
      </c>
      <c r="E94" s="3">
        <v>561.01</v>
      </c>
      <c r="F94" s="3" t="s">
        <v>2995</v>
      </c>
      <c r="G94" s="3" t="s">
        <v>325</v>
      </c>
      <c r="H94" s="3"/>
    </row>
    <row r="95" spans="1:8" x14ac:dyDescent="0.25">
      <c r="A95" s="3" t="s">
        <v>427</v>
      </c>
      <c r="B95" s="3" t="s">
        <v>3110</v>
      </c>
      <c r="C95" s="3" t="s">
        <v>159</v>
      </c>
      <c r="D95" s="3" t="s">
        <v>312</v>
      </c>
      <c r="E95" s="3" t="s">
        <v>3111</v>
      </c>
      <c r="F95" s="3" t="s">
        <v>3112</v>
      </c>
      <c r="G95" s="3"/>
      <c r="H95" s="3"/>
    </row>
    <row r="96" spans="1:8" x14ac:dyDescent="0.25">
      <c r="A96" s="3" t="s">
        <v>428</v>
      </c>
      <c r="B96" s="3" t="s">
        <v>3113</v>
      </c>
      <c r="C96" s="3" t="s">
        <v>33</v>
      </c>
      <c r="D96" s="3" t="s">
        <v>306</v>
      </c>
      <c r="E96" s="3" t="s">
        <v>3114</v>
      </c>
      <c r="F96" s="3" t="s">
        <v>349</v>
      </c>
      <c r="G96" s="3" t="s">
        <v>325</v>
      </c>
      <c r="H96" s="3" t="s">
        <v>334</v>
      </c>
    </row>
    <row r="97" spans="1:8" x14ac:dyDescent="0.25">
      <c r="A97" s="3" t="s">
        <v>429</v>
      </c>
      <c r="B97" s="3" t="s">
        <v>3115</v>
      </c>
      <c r="C97" s="3" t="s">
        <v>153</v>
      </c>
      <c r="D97" s="3" t="s">
        <v>312</v>
      </c>
      <c r="E97" s="3" t="s">
        <v>3116</v>
      </c>
      <c r="F97" s="3" t="s">
        <v>324</v>
      </c>
      <c r="G97" s="3" t="s">
        <v>327</v>
      </c>
      <c r="H97" s="3"/>
    </row>
    <row r="98" spans="1:8" x14ac:dyDescent="0.25">
      <c r="A98" s="3" t="s">
        <v>430</v>
      </c>
      <c r="B98" s="3" t="s">
        <v>3117</v>
      </c>
      <c r="C98" s="3" t="s">
        <v>53</v>
      </c>
      <c r="D98" s="3" t="s">
        <v>294</v>
      </c>
      <c r="E98" s="3">
        <v>301.97000000000003</v>
      </c>
      <c r="F98" s="3" t="s">
        <v>2973</v>
      </c>
      <c r="G98" s="3" t="s">
        <v>327</v>
      </c>
      <c r="H98" s="3" t="s">
        <v>332</v>
      </c>
    </row>
    <row r="99" spans="1:8" x14ac:dyDescent="0.25">
      <c r="A99" s="3" t="s">
        <v>431</v>
      </c>
      <c r="B99" s="3" t="s">
        <v>3118</v>
      </c>
      <c r="C99" s="3" t="s">
        <v>163</v>
      </c>
      <c r="D99" s="3" t="s">
        <v>294</v>
      </c>
      <c r="E99" s="3" t="s">
        <v>3119</v>
      </c>
      <c r="F99" s="3" t="s">
        <v>2976</v>
      </c>
      <c r="G99" s="3" t="s">
        <v>327</v>
      </c>
      <c r="H99" s="3" t="s">
        <v>346</v>
      </c>
    </row>
    <row r="100" spans="1:8" x14ac:dyDescent="0.25">
      <c r="A100" s="3" t="s">
        <v>432</v>
      </c>
      <c r="B100" s="3" t="s">
        <v>3018</v>
      </c>
      <c r="C100" s="3" t="s">
        <v>129</v>
      </c>
      <c r="D100" s="3" t="s">
        <v>312</v>
      </c>
      <c r="E100" s="3" t="s">
        <v>3120</v>
      </c>
      <c r="F100" s="3" t="s">
        <v>324</v>
      </c>
      <c r="G100" s="3" t="s">
        <v>327</v>
      </c>
      <c r="H100" s="3" t="s">
        <v>334</v>
      </c>
    </row>
    <row r="101" spans="1:8" x14ac:dyDescent="0.25">
      <c r="A101" s="3" t="s">
        <v>433</v>
      </c>
      <c r="B101" s="3" t="s">
        <v>3121</v>
      </c>
      <c r="C101" s="3" t="s">
        <v>219</v>
      </c>
      <c r="D101" s="3" t="s">
        <v>294</v>
      </c>
      <c r="E101" s="3">
        <v>221.89</v>
      </c>
      <c r="F101" s="3" t="s">
        <v>2976</v>
      </c>
      <c r="G101" s="3" t="s">
        <v>327</v>
      </c>
      <c r="H101" s="3" t="s">
        <v>334</v>
      </c>
    </row>
    <row r="102" spans="1:8" x14ac:dyDescent="0.25">
      <c r="A102" s="3" t="s">
        <v>434</v>
      </c>
      <c r="B102" s="3" t="s">
        <v>3122</v>
      </c>
      <c r="C102" s="3" t="s">
        <v>135</v>
      </c>
      <c r="D102" s="3" t="s">
        <v>306</v>
      </c>
      <c r="E102" s="3">
        <v>278.37</v>
      </c>
      <c r="F102" s="3" t="s">
        <v>381</v>
      </c>
      <c r="G102" s="3" t="s">
        <v>325</v>
      </c>
      <c r="H102" s="3"/>
    </row>
    <row r="103" spans="1:8" x14ac:dyDescent="0.25">
      <c r="A103" s="3" t="s">
        <v>435</v>
      </c>
      <c r="B103" s="3" t="s">
        <v>3123</v>
      </c>
      <c r="C103" s="3" t="s">
        <v>225</v>
      </c>
      <c r="D103" s="3" t="s">
        <v>297</v>
      </c>
      <c r="E103" s="3">
        <v>567.65</v>
      </c>
      <c r="F103" s="3" t="s">
        <v>2988</v>
      </c>
      <c r="G103" s="3" t="s">
        <v>337</v>
      </c>
      <c r="H103" s="3" t="s">
        <v>332</v>
      </c>
    </row>
    <row r="104" spans="1:8" x14ac:dyDescent="0.25">
      <c r="A104" s="3" t="s">
        <v>436</v>
      </c>
      <c r="B104" s="3" t="s">
        <v>3124</v>
      </c>
      <c r="C104" s="3" t="s">
        <v>103</v>
      </c>
      <c r="D104" s="3" t="s">
        <v>294</v>
      </c>
      <c r="E104" s="3" t="s">
        <v>3125</v>
      </c>
      <c r="F104" s="3" t="s">
        <v>2976</v>
      </c>
      <c r="G104" s="3" t="s">
        <v>325</v>
      </c>
      <c r="H104" s="3" t="s">
        <v>346</v>
      </c>
    </row>
    <row r="105" spans="1:8" x14ac:dyDescent="0.25">
      <c r="A105" s="3" t="s">
        <v>437</v>
      </c>
      <c r="B105" s="3" t="s">
        <v>3126</v>
      </c>
      <c r="C105" s="3" t="s">
        <v>267</v>
      </c>
      <c r="D105" s="3" t="s">
        <v>315</v>
      </c>
      <c r="E105" s="3" t="s">
        <v>3127</v>
      </c>
      <c r="F105" s="3" t="s">
        <v>324</v>
      </c>
      <c r="G105" s="3" t="s">
        <v>327</v>
      </c>
      <c r="H105" s="3"/>
    </row>
    <row r="106" spans="1:8" x14ac:dyDescent="0.25">
      <c r="A106" s="3" t="s">
        <v>438</v>
      </c>
      <c r="B106" s="3" t="s">
        <v>3128</v>
      </c>
      <c r="C106" s="3" t="s">
        <v>58</v>
      </c>
      <c r="D106" s="3" t="s">
        <v>306</v>
      </c>
      <c r="E106" s="3">
        <v>553.66</v>
      </c>
      <c r="F106" s="3" t="s">
        <v>2997</v>
      </c>
      <c r="G106" s="3" t="s">
        <v>325</v>
      </c>
      <c r="H106" s="3"/>
    </row>
    <row r="107" spans="1:8" x14ac:dyDescent="0.25">
      <c r="A107" s="3" t="s">
        <v>439</v>
      </c>
      <c r="B107" s="3" t="s">
        <v>3129</v>
      </c>
      <c r="C107" s="3" t="s">
        <v>49</v>
      </c>
      <c r="D107" s="3" t="s">
        <v>312</v>
      </c>
      <c r="E107" s="3" t="s">
        <v>3130</v>
      </c>
      <c r="F107" s="3" t="s">
        <v>2995</v>
      </c>
      <c r="G107" s="3" t="s">
        <v>325</v>
      </c>
      <c r="H107" s="3"/>
    </row>
    <row r="108" spans="1:8" x14ac:dyDescent="0.25">
      <c r="A108" s="3" t="s">
        <v>440</v>
      </c>
      <c r="B108" s="3" t="s">
        <v>2991</v>
      </c>
      <c r="C108" s="3" t="s">
        <v>109</v>
      </c>
      <c r="D108" s="3" t="s">
        <v>315</v>
      </c>
      <c r="E108" s="3">
        <v>458.19</v>
      </c>
      <c r="F108" s="3" t="s">
        <v>2976</v>
      </c>
      <c r="G108" s="3" t="s">
        <v>325</v>
      </c>
      <c r="H108" s="3" t="s">
        <v>346</v>
      </c>
    </row>
    <row r="109" spans="1:8" x14ac:dyDescent="0.25">
      <c r="A109" s="3" t="s">
        <v>441</v>
      </c>
      <c r="B109" s="3" t="s">
        <v>3044</v>
      </c>
      <c r="C109" s="3" t="s">
        <v>42</v>
      </c>
      <c r="D109" s="3" t="s">
        <v>306</v>
      </c>
      <c r="E109" s="3">
        <v>147.44</v>
      </c>
      <c r="F109" s="3" t="s">
        <v>331</v>
      </c>
      <c r="G109" s="3" t="s">
        <v>337</v>
      </c>
      <c r="H109" s="3" t="s">
        <v>334</v>
      </c>
    </row>
    <row r="110" spans="1:8" x14ac:dyDescent="0.25">
      <c r="A110" s="3" t="s">
        <v>442</v>
      </c>
      <c r="B110" s="3" t="s">
        <v>3131</v>
      </c>
      <c r="C110" s="3" t="s">
        <v>19</v>
      </c>
      <c r="D110" s="3" t="s">
        <v>315</v>
      </c>
      <c r="E110" s="3">
        <v>49.36</v>
      </c>
      <c r="F110" s="3" t="s">
        <v>324</v>
      </c>
      <c r="G110" s="3" t="s">
        <v>327</v>
      </c>
      <c r="H110" s="3"/>
    </row>
    <row r="111" spans="1:8" x14ac:dyDescent="0.25">
      <c r="A111" s="3" t="s">
        <v>443</v>
      </c>
      <c r="B111" s="3" t="s">
        <v>3132</v>
      </c>
      <c r="C111" s="3" t="s">
        <v>217</v>
      </c>
      <c r="D111" s="3" t="s">
        <v>309</v>
      </c>
      <c r="E111" s="3" t="s">
        <v>3133</v>
      </c>
      <c r="F111" s="3" t="s">
        <v>2976</v>
      </c>
      <c r="G111" s="3"/>
      <c r="H111" s="3"/>
    </row>
    <row r="112" spans="1:8" x14ac:dyDescent="0.25">
      <c r="A112" s="3" t="s">
        <v>444</v>
      </c>
      <c r="B112" s="3" t="s">
        <v>3134</v>
      </c>
      <c r="C112" s="3" t="s">
        <v>217</v>
      </c>
      <c r="D112" s="3" t="s">
        <v>294</v>
      </c>
      <c r="E112" s="3" t="s">
        <v>3135</v>
      </c>
      <c r="F112" s="3" t="s">
        <v>324</v>
      </c>
      <c r="G112" s="3" t="s">
        <v>327</v>
      </c>
      <c r="H112" s="3"/>
    </row>
    <row r="113" spans="1:8" x14ac:dyDescent="0.25">
      <c r="A113" s="3" t="s">
        <v>445</v>
      </c>
      <c r="B113" s="3" t="s">
        <v>3136</v>
      </c>
      <c r="C113" s="3" t="s">
        <v>239</v>
      </c>
      <c r="D113" s="3" t="s">
        <v>300</v>
      </c>
      <c r="E113" s="3">
        <v>478.04</v>
      </c>
      <c r="F113" s="3" t="s">
        <v>2988</v>
      </c>
      <c r="G113" s="3" t="s">
        <v>327</v>
      </c>
      <c r="H113" s="3" t="s">
        <v>346</v>
      </c>
    </row>
    <row r="114" spans="1:8" x14ac:dyDescent="0.25">
      <c r="A114" s="3" t="s">
        <v>446</v>
      </c>
      <c r="B114" s="3" t="s">
        <v>3137</v>
      </c>
      <c r="C114" s="3" t="s">
        <v>125</v>
      </c>
      <c r="D114" s="3" t="s">
        <v>306</v>
      </c>
      <c r="E114" s="3">
        <v>-276.64</v>
      </c>
      <c r="F114" s="3" t="s">
        <v>349</v>
      </c>
      <c r="G114" s="3" t="s">
        <v>325</v>
      </c>
      <c r="H114" s="3"/>
    </row>
    <row r="115" spans="1:8" x14ac:dyDescent="0.25">
      <c r="A115" s="3" t="s">
        <v>447</v>
      </c>
      <c r="B115" s="3" t="s">
        <v>3138</v>
      </c>
      <c r="C115" s="3" t="s">
        <v>211</v>
      </c>
      <c r="D115" s="3" t="s">
        <v>309</v>
      </c>
      <c r="E115" s="3" t="s">
        <v>3139</v>
      </c>
      <c r="F115" s="3" t="s">
        <v>324</v>
      </c>
      <c r="G115" s="3" t="s">
        <v>337</v>
      </c>
      <c r="H115" s="3"/>
    </row>
    <row r="116" spans="1:8" x14ac:dyDescent="0.25">
      <c r="A116" s="3" t="s">
        <v>448</v>
      </c>
      <c r="B116" s="3" t="s">
        <v>3140</v>
      </c>
      <c r="C116" s="3" t="s">
        <v>185</v>
      </c>
      <c r="D116" s="3" t="s">
        <v>300</v>
      </c>
      <c r="E116" s="3" t="s">
        <v>3141</v>
      </c>
      <c r="F116" s="3" t="s">
        <v>324</v>
      </c>
      <c r="G116" s="3" t="s">
        <v>327</v>
      </c>
      <c r="H116" s="3"/>
    </row>
    <row r="117" spans="1:8" x14ac:dyDescent="0.25">
      <c r="A117" s="3" t="s">
        <v>449</v>
      </c>
      <c r="B117" s="3" t="s">
        <v>3142</v>
      </c>
      <c r="C117" s="3" t="s">
        <v>100</v>
      </c>
      <c r="D117" s="3" t="s">
        <v>297</v>
      </c>
      <c r="E117" s="3">
        <v>160.82</v>
      </c>
      <c r="F117" s="3" t="s">
        <v>2976</v>
      </c>
      <c r="G117" s="3" t="s">
        <v>327</v>
      </c>
      <c r="H117" s="3"/>
    </row>
    <row r="118" spans="1:8" x14ac:dyDescent="0.25">
      <c r="A118" s="3" t="s">
        <v>450</v>
      </c>
      <c r="B118" s="3" t="s">
        <v>3143</v>
      </c>
      <c r="C118" s="3" t="s">
        <v>70</v>
      </c>
      <c r="D118" s="3" t="s">
        <v>300</v>
      </c>
      <c r="E118" s="3">
        <v>622.27</v>
      </c>
      <c r="F118" s="3" t="s">
        <v>2988</v>
      </c>
      <c r="G118" s="3" t="s">
        <v>327</v>
      </c>
      <c r="H118" s="3" t="s">
        <v>346</v>
      </c>
    </row>
    <row r="119" spans="1:8" x14ac:dyDescent="0.25">
      <c r="A119" s="3" t="s">
        <v>451</v>
      </c>
      <c r="B119" s="3" t="s">
        <v>3144</v>
      </c>
      <c r="C119" s="3" t="s">
        <v>82</v>
      </c>
      <c r="D119" s="3" t="s">
        <v>306</v>
      </c>
      <c r="E119" s="3">
        <v>-542.74</v>
      </c>
      <c r="F119" s="3" t="s">
        <v>3017</v>
      </c>
      <c r="G119" s="3" t="s">
        <v>327</v>
      </c>
      <c r="H119" s="3" t="s">
        <v>334</v>
      </c>
    </row>
    <row r="120" spans="1:8" x14ac:dyDescent="0.25">
      <c r="A120" s="3" t="s">
        <v>452</v>
      </c>
      <c r="B120" s="3" t="s">
        <v>3145</v>
      </c>
      <c r="C120" s="3" t="s">
        <v>119</v>
      </c>
      <c r="D120" s="3" t="s">
        <v>306</v>
      </c>
      <c r="E120" s="3">
        <v>423.41</v>
      </c>
      <c r="F120" s="3" t="s">
        <v>2973</v>
      </c>
      <c r="G120" s="3" t="s">
        <v>337</v>
      </c>
      <c r="H120" s="3" t="s">
        <v>332</v>
      </c>
    </row>
    <row r="121" spans="1:8" x14ac:dyDescent="0.25">
      <c r="A121" s="3" t="s">
        <v>453</v>
      </c>
      <c r="B121" s="3" t="s">
        <v>3146</v>
      </c>
      <c r="C121" s="3" t="s">
        <v>191</v>
      </c>
      <c r="D121" s="3" t="s">
        <v>309</v>
      </c>
      <c r="E121" s="3" t="s">
        <v>3147</v>
      </c>
      <c r="F121" s="3" t="s">
        <v>2973</v>
      </c>
      <c r="G121" s="3" t="s">
        <v>325</v>
      </c>
      <c r="H121" s="3" t="s">
        <v>346</v>
      </c>
    </row>
    <row r="122" spans="1:8" x14ac:dyDescent="0.25">
      <c r="A122" s="3" t="s">
        <v>454</v>
      </c>
      <c r="B122" s="3" t="s">
        <v>3148</v>
      </c>
      <c r="C122" s="3" t="s">
        <v>205</v>
      </c>
      <c r="D122" s="3" t="s">
        <v>309</v>
      </c>
      <c r="E122" s="3">
        <v>307.77</v>
      </c>
      <c r="F122" s="3" t="s">
        <v>324</v>
      </c>
      <c r="G122" s="3" t="s">
        <v>329</v>
      </c>
      <c r="H122" s="3" t="s">
        <v>334</v>
      </c>
    </row>
    <row r="123" spans="1:8" x14ac:dyDescent="0.25">
      <c r="A123" s="3" t="s">
        <v>455</v>
      </c>
      <c r="B123" s="3" t="s">
        <v>3149</v>
      </c>
      <c r="C123" s="3" t="s">
        <v>223</v>
      </c>
      <c r="D123" s="3" t="s">
        <v>297</v>
      </c>
      <c r="E123" s="3">
        <v>534.52</v>
      </c>
      <c r="F123" s="3" t="s">
        <v>324</v>
      </c>
      <c r="G123" s="3" t="s">
        <v>327</v>
      </c>
      <c r="H123" s="3"/>
    </row>
    <row r="124" spans="1:8" x14ac:dyDescent="0.25">
      <c r="A124" s="3" t="s">
        <v>456</v>
      </c>
      <c r="B124" s="3" t="s">
        <v>3150</v>
      </c>
      <c r="C124" s="3" t="s">
        <v>165</v>
      </c>
      <c r="D124" s="3" t="s">
        <v>306</v>
      </c>
      <c r="E124" s="3" t="s">
        <v>3151</v>
      </c>
      <c r="F124" s="3" t="s">
        <v>2973</v>
      </c>
      <c r="G124" s="3" t="s">
        <v>325</v>
      </c>
      <c r="H124" s="3"/>
    </row>
    <row r="125" spans="1:8" x14ac:dyDescent="0.25">
      <c r="A125" s="3" t="s">
        <v>457</v>
      </c>
      <c r="B125" s="3" t="s">
        <v>3152</v>
      </c>
      <c r="C125" s="3" t="s">
        <v>15</v>
      </c>
      <c r="D125" s="3" t="s">
        <v>294</v>
      </c>
      <c r="E125" s="3">
        <v>314</v>
      </c>
      <c r="F125" s="3" t="s">
        <v>2995</v>
      </c>
      <c r="G125" s="3"/>
      <c r="H125" s="3" t="s">
        <v>334</v>
      </c>
    </row>
    <row r="126" spans="1:8" x14ac:dyDescent="0.25">
      <c r="A126" s="3" t="s">
        <v>458</v>
      </c>
      <c r="B126" s="3" t="s">
        <v>3153</v>
      </c>
      <c r="C126" s="3" t="s">
        <v>66</v>
      </c>
      <c r="D126" s="3" t="s">
        <v>294</v>
      </c>
      <c r="E126" s="3" t="s">
        <v>3154</v>
      </c>
      <c r="F126" s="3" t="s">
        <v>324</v>
      </c>
      <c r="G126" s="3" t="s">
        <v>325</v>
      </c>
      <c r="H126" s="3" t="s">
        <v>334</v>
      </c>
    </row>
    <row r="127" spans="1:8" x14ac:dyDescent="0.25">
      <c r="A127" s="3" t="s">
        <v>459</v>
      </c>
      <c r="B127" s="3" t="s">
        <v>3155</v>
      </c>
      <c r="C127" s="3" t="s">
        <v>40</v>
      </c>
      <c r="D127" s="3" t="s">
        <v>297</v>
      </c>
      <c r="E127" s="3" t="s">
        <v>3156</v>
      </c>
      <c r="F127" s="3" t="s">
        <v>3157</v>
      </c>
      <c r="G127" s="3" t="s">
        <v>329</v>
      </c>
      <c r="H127" s="3" t="s">
        <v>332</v>
      </c>
    </row>
    <row r="128" spans="1:8" x14ac:dyDescent="0.25">
      <c r="A128" s="3" t="s">
        <v>460</v>
      </c>
      <c r="B128" s="3" t="s">
        <v>3158</v>
      </c>
      <c r="C128" s="3" t="s">
        <v>175</v>
      </c>
      <c r="D128" s="3" t="s">
        <v>294</v>
      </c>
      <c r="E128" s="3" t="s">
        <v>3159</v>
      </c>
      <c r="F128" s="3" t="s">
        <v>324</v>
      </c>
      <c r="G128" s="3" t="s">
        <v>329</v>
      </c>
      <c r="H128" s="3" t="s">
        <v>346</v>
      </c>
    </row>
    <row r="129" spans="1:8" x14ac:dyDescent="0.25">
      <c r="A129" s="3" t="s">
        <v>461</v>
      </c>
      <c r="B129" s="3" t="s">
        <v>3160</v>
      </c>
      <c r="C129" s="3" t="s">
        <v>225</v>
      </c>
      <c r="D129" s="3" t="s">
        <v>309</v>
      </c>
      <c r="E129" s="3">
        <v>380.13</v>
      </c>
      <c r="F129" s="3" t="s">
        <v>2988</v>
      </c>
      <c r="G129" s="3" t="s">
        <v>327</v>
      </c>
      <c r="H129" s="3" t="s">
        <v>332</v>
      </c>
    </row>
    <row r="130" spans="1:8" x14ac:dyDescent="0.25">
      <c r="A130" s="3" t="s">
        <v>462</v>
      </c>
      <c r="B130" s="3" t="s">
        <v>3161</v>
      </c>
      <c r="C130" s="3" t="s">
        <v>15</v>
      </c>
      <c r="D130" s="3" t="s">
        <v>300</v>
      </c>
      <c r="E130" s="3" t="s">
        <v>3162</v>
      </c>
      <c r="F130" s="3" t="s">
        <v>324</v>
      </c>
      <c r="G130" s="3" t="s">
        <v>327</v>
      </c>
      <c r="H130" s="3"/>
    </row>
    <row r="131" spans="1:8" x14ac:dyDescent="0.25">
      <c r="A131" s="3" t="s">
        <v>463</v>
      </c>
      <c r="B131" s="3" t="s">
        <v>3163</v>
      </c>
      <c r="C131" s="3" t="s">
        <v>221</v>
      </c>
      <c r="D131" s="3" t="s">
        <v>306</v>
      </c>
      <c r="E131" s="3" t="s">
        <v>3164</v>
      </c>
      <c r="F131" s="3" t="s">
        <v>3157</v>
      </c>
      <c r="G131" s="3" t="s">
        <v>327</v>
      </c>
      <c r="H131" s="3"/>
    </row>
    <row r="132" spans="1:8" x14ac:dyDescent="0.25">
      <c r="A132" s="3" t="s">
        <v>464</v>
      </c>
      <c r="B132" s="3" t="s">
        <v>3165</v>
      </c>
      <c r="C132" s="3" t="s">
        <v>98</v>
      </c>
      <c r="D132" s="3" t="s">
        <v>303</v>
      </c>
      <c r="E132" s="3">
        <v>651.33000000000004</v>
      </c>
      <c r="F132" s="3" t="s">
        <v>324</v>
      </c>
      <c r="G132" s="3" t="s">
        <v>327</v>
      </c>
      <c r="H132" s="3" t="s">
        <v>332</v>
      </c>
    </row>
    <row r="133" spans="1:8" x14ac:dyDescent="0.25">
      <c r="A133" s="3" t="s">
        <v>465</v>
      </c>
      <c r="B133" s="3" t="s">
        <v>3166</v>
      </c>
      <c r="C133" s="3" t="s">
        <v>64</v>
      </c>
      <c r="D133" s="3" t="s">
        <v>306</v>
      </c>
      <c r="E133" s="3">
        <v>482.05</v>
      </c>
      <c r="F133" s="3" t="s">
        <v>2973</v>
      </c>
      <c r="G133" s="3" t="s">
        <v>327</v>
      </c>
      <c r="H133" s="3"/>
    </row>
    <row r="134" spans="1:8" x14ac:dyDescent="0.25">
      <c r="A134" s="3" t="s">
        <v>466</v>
      </c>
      <c r="B134" s="3" t="s">
        <v>3167</v>
      </c>
      <c r="C134" s="3" t="s">
        <v>90</v>
      </c>
      <c r="D134" s="3" t="s">
        <v>303</v>
      </c>
      <c r="E134" s="3" t="s">
        <v>3168</v>
      </c>
      <c r="F134" s="3" t="s">
        <v>2976</v>
      </c>
      <c r="G134" s="3" t="s">
        <v>337</v>
      </c>
      <c r="H134" s="3" t="s">
        <v>346</v>
      </c>
    </row>
    <row r="135" spans="1:8" x14ac:dyDescent="0.25">
      <c r="A135" s="3" t="s">
        <v>467</v>
      </c>
      <c r="B135" s="3" t="s">
        <v>3169</v>
      </c>
      <c r="C135" s="3" t="s">
        <v>171</v>
      </c>
      <c r="D135" s="3" t="s">
        <v>300</v>
      </c>
      <c r="E135" s="3" t="s">
        <v>3170</v>
      </c>
      <c r="F135" s="3" t="s">
        <v>324</v>
      </c>
      <c r="G135" s="3" t="s">
        <v>327</v>
      </c>
      <c r="H135" s="3" t="s">
        <v>332</v>
      </c>
    </row>
    <row r="136" spans="1:8" x14ac:dyDescent="0.25">
      <c r="A136" s="3" t="s">
        <v>468</v>
      </c>
      <c r="B136" s="3" t="s">
        <v>3171</v>
      </c>
      <c r="C136" s="3" t="s">
        <v>273</v>
      </c>
      <c r="D136" s="3" t="s">
        <v>300</v>
      </c>
      <c r="E136" s="3" t="s">
        <v>3172</v>
      </c>
      <c r="F136" s="3" t="s">
        <v>2976</v>
      </c>
      <c r="G136" s="3" t="s">
        <v>329</v>
      </c>
      <c r="H136" s="3"/>
    </row>
    <row r="137" spans="1:8" x14ac:dyDescent="0.25">
      <c r="A137" s="3" t="s">
        <v>469</v>
      </c>
      <c r="B137" s="3" t="s">
        <v>3173</v>
      </c>
      <c r="C137" s="3" t="s">
        <v>173</v>
      </c>
      <c r="D137" s="3" t="s">
        <v>306</v>
      </c>
      <c r="E137" s="3">
        <v>554.05999999999995</v>
      </c>
      <c r="F137" s="3" t="s">
        <v>324</v>
      </c>
      <c r="G137" s="3" t="s">
        <v>337</v>
      </c>
      <c r="H137" s="3" t="s">
        <v>332</v>
      </c>
    </row>
    <row r="138" spans="1:8" x14ac:dyDescent="0.25">
      <c r="A138" s="3" t="s">
        <v>470</v>
      </c>
      <c r="B138" s="3" t="s">
        <v>3174</v>
      </c>
      <c r="C138" s="3" t="s">
        <v>201</v>
      </c>
      <c r="D138" s="3" t="s">
        <v>312</v>
      </c>
      <c r="E138" s="3" t="s">
        <v>3175</v>
      </c>
      <c r="F138" s="3" t="s">
        <v>324</v>
      </c>
      <c r="G138" s="3" t="s">
        <v>325</v>
      </c>
      <c r="H138" s="3" t="s">
        <v>346</v>
      </c>
    </row>
    <row r="139" spans="1:8" x14ac:dyDescent="0.25">
      <c r="A139" s="3" t="s">
        <v>471</v>
      </c>
      <c r="B139" s="3" t="s">
        <v>3176</v>
      </c>
      <c r="C139" s="3" t="s">
        <v>98</v>
      </c>
      <c r="D139" s="3" t="s">
        <v>303</v>
      </c>
      <c r="E139" s="3" t="s">
        <v>3177</v>
      </c>
      <c r="F139" s="3" t="s">
        <v>3178</v>
      </c>
      <c r="G139" s="3" t="s">
        <v>325</v>
      </c>
      <c r="H139" s="3"/>
    </row>
    <row r="140" spans="1:8" x14ac:dyDescent="0.25">
      <c r="A140" s="3" t="s">
        <v>472</v>
      </c>
      <c r="B140" s="3" t="s">
        <v>3179</v>
      </c>
      <c r="C140" s="3" t="s">
        <v>6</v>
      </c>
      <c r="D140" s="3" t="s">
        <v>315</v>
      </c>
      <c r="E140" s="3" t="s">
        <v>3180</v>
      </c>
      <c r="F140" s="3" t="s">
        <v>2988</v>
      </c>
      <c r="G140" s="3" t="s">
        <v>327</v>
      </c>
      <c r="H140" s="3"/>
    </row>
    <row r="141" spans="1:8" x14ac:dyDescent="0.25">
      <c r="A141" s="3" t="s">
        <v>473</v>
      </c>
      <c r="B141" s="3" t="s">
        <v>3181</v>
      </c>
      <c r="C141" s="3" t="s">
        <v>125</v>
      </c>
      <c r="D141" s="3" t="s">
        <v>306</v>
      </c>
      <c r="E141" s="3" t="s">
        <v>3182</v>
      </c>
      <c r="F141" s="3" t="s">
        <v>324</v>
      </c>
      <c r="G141" s="3" t="s">
        <v>325</v>
      </c>
      <c r="H141" s="3" t="s">
        <v>334</v>
      </c>
    </row>
    <row r="142" spans="1:8" x14ac:dyDescent="0.25">
      <c r="A142" s="3" t="s">
        <v>474</v>
      </c>
      <c r="B142" s="3" t="s">
        <v>3183</v>
      </c>
      <c r="C142" s="3" t="s">
        <v>105</v>
      </c>
      <c r="D142" s="3" t="s">
        <v>303</v>
      </c>
      <c r="E142" s="3">
        <v>381.08</v>
      </c>
      <c r="F142" s="3" t="s">
        <v>2976</v>
      </c>
      <c r="G142" s="3" t="s">
        <v>327</v>
      </c>
      <c r="H142" s="3"/>
    </row>
    <row r="143" spans="1:8" x14ac:dyDescent="0.25">
      <c r="A143" s="3" t="s">
        <v>475</v>
      </c>
      <c r="B143" s="3" t="s">
        <v>3184</v>
      </c>
      <c r="C143" s="3" t="s">
        <v>233</v>
      </c>
      <c r="D143" s="3" t="s">
        <v>297</v>
      </c>
      <c r="E143" s="3" t="s">
        <v>3185</v>
      </c>
      <c r="F143" s="3" t="s">
        <v>2980</v>
      </c>
      <c r="G143" s="3" t="s">
        <v>337</v>
      </c>
      <c r="H143" s="3" t="s">
        <v>332</v>
      </c>
    </row>
    <row r="144" spans="1:8" x14ac:dyDescent="0.25">
      <c r="A144" s="3" t="s">
        <v>476</v>
      </c>
      <c r="B144" s="3" t="s">
        <v>3186</v>
      </c>
      <c r="C144" s="3" t="s">
        <v>141</v>
      </c>
      <c r="D144" s="3" t="s">
        <v>294</v>
      </c>
      <c r="E144" s="3">
        <v>277.20999999999998</v>
      </c>
      <c r="F144" s="3" t="s">
        <v>2976</v>
      </c>
      <c r="G144" s="3" t="s">
        <v>329</v>
      </c>
      <c r="H144" s="3" t="s">
        <v>334</v>
      </c>
    </row>
    <row r="145" spans="1:8" x14ac:dyDescent="0.25">
      <c r="A145" s="3" t="s">
        <v>477</v>
      </c>
      <c r="B145" s="3" t="s">
        <v>3187</v>
      </c>
      <c r="C145" s="3" t="s">
        <v>203</v>
      </c>
      <c r="D145" s="3" t="s">
        <v>309</v>
      </c>
      <c r="E145" s="3" t="s">
        <v>3188</v>
      </c>
      <c r="F145" s="3" t="s">
        <v>324</v>
      </c>
      <c r="G145" s="3" t="s">
        <v>327</v>
      </c>
      <c r="H145" s="3"/>
    </row>
    <row r="146" spans="1:8" x14ac:dyDescent="0.25">
      <c r="A146" s="3" t="s">
        <v>478</v>
      </c>
      <c r="B146" s="3" t="s">
        <v>3189</v>
      </c>
      <c r="C146" s="3" t="s">
        <v>78</v>
      </c>
      <c r="D146" s="3" t="s">
        <v>294</v>
      </c>
      <c r="E146" s="3" t="s">
        <v>3190</v>
      </c>
      <c r="F146" s="3" t="s">
        <v>324</v>
      </c>
      <c r="G146" s="3" t="s">
        <v>325</v>
      </c>
      <c r="H146" s="3" t="s">
        <v>334</v>
      </c>
    </row>
    <row r="147" spans="1:8" x14ac:dyDescent="0.25">
      <c r="A147" s="3" t="s">
        <v>479</v>
      </c>
      <c r="B147" s="3" t="s">
        <v>3191</v>
      </c>
      <c r="C147" s="3" t="s">
        <v>92</v>
      </c>
      <c r="D147" s="3" t="s">
        <v>303</v>
      </c>
      <c r="E147" s="3">
        <v>310.75</v>
      </c>
      <c r="F147" s="3" t="s">
        <v>2976</v>
      </c>
      <c r="G147" s="3" t="s">
        <v>325</v>
      </c>
      <c r="H147" s="3" t="s">
        <v>334</v>
      </c>
    </row>
    <row r="148" spans="1:8" x14ac:dyDescent="0.25">
      <c r="A148" s="3" t="s">
        <v>480</v>
      </c>
      <c r="B148" s="3" t="s">
        <v>3192</v>
      </c>
      <c r="C148" s="3" t="s">
        <v>167</v>
      </c>
      <c r="D148" s="3" t="s">
        <v>297</v>
      </c>
      <c r="E148" s="3">
        <v>408.86</v>
      </c>
      <c r="F148" s="3" t="s">
        <v>2988</v>
      </c>
      <c r="G148" s="3" t="s">
        <v>327</v>
      </c>
      <c r="H148" s="3"/>
    </row>
    <row r="149" spans="1:8" x14ac:dyDescent="0.25">
      <c r="A149" s="3" t="s">
        <v>481</v>
      </c>
      <c r="B149" s="3" t="s">
        <v>3193</v>
      </c>
      <c r="C149" s="3" t="s">
        <v>195</v>
      </c>
      <c r="D149" s="3" t="s">
        <v>306</v>
      </c>
      <c r="E149" s="3">
        <v>137.99</v>
      </c>
      <c r="F149" s="3" t="s">
        <v>381</v>
      </c>
      <c r="G149" s="3" t="s">
        <v>327</v>
      </c>
      <c r="H149" s="3"/>
    </row>
    <row r="150" spans="1:8" x14ac:dyDescent="0.25">
      <c r="A150" s="3" t="s">
        <v>482</v>
      </c>
      <c r="B150" s="3" t="s">
        <v>3194</v>
      </c>
      <c r="C150" s="3" t="s">
        <v>173</v>
      </c>
      <c r="D150" s="3" t="s">
        <v>312</v>
      </c>
      <c r="E150" s="3">
        <v>385.12</v>
      </c>
      <c r="F150" s="3" t="s">
        <v>324</v>
      </c>
      <c r="G150" s="3" t="s">
        <v>325</v>
      </c>
      <c r="H150" s="3"/>
    </row>
    <row r="151" spans="1:8" x14ac:dyDescent="0.25">
      <c r="A151" s="3" t="s">
        <v>483</v>
      </c>
      <c r="B151" s="3" t="s">
        <v>3020</v>
      </c>
      <c r="C151" s="3" t="s">
        <v>129</v>
      </c>
      <c r="D151" s="3" t="s">
        <v>294</v>
      </c>
      <c r="E151" s="3">
        <v>457.96</v>
      </c>
      <c r="F151" s="3" t="s">
        <v>324</v>
      </c>
      <c r="G151" s="3" t="s">
        <v>325</v>
      </c>
      <c r="H151" s="3" t="s">
        <v>332</v>
      </c>
    </row>
    <row r="152" spans="1:8" x14ac:dyDescent="0.25">
      <c r="A152" s="3" t="s">
        <v>484</v>
      </c>
      <c r="B152" s="3" t="s">
        <v>3195</v>
      </c>
      <c r="C152" s="3" t="s">
        <v>11</v>
      </c>
      <c r="D152" s="3" t="s">
        <v>306</v>
      </c>
      <c r="E152" s="3">
        <v>143.56</v>
      </c>
      <c r="F152" s="3" t="s">
        <v>2976</v>
      </c>
      <c r="G152" s="3" t="s">
        <v>325</v>
      </c>
      <c r="H152" s="3" t="s">
        <v>334</v>
      </c>
    </row>
    <row r="153" spans="1:8" x14ac:dyDescent="0.25">
      <c r="A153" s="3" t="s">
        <v>485</v>
      </c>
      <c r="B153" s="3" t="s">
        <v>3196</v>
      </c>
      <c r="C153" s="3" t="s">
        <v>207</v>
      </c>
      <c r="D153" s="3" t="s">
        <v>297</v>
      </c>
      <c r="E153" s="3">
        <v>340.87</v>
      </c>
      <c r="F153" s="3" t="s">
        <v>324</v>
      </c>
      <c r="G153" s="3" t="s">
        <v>325</v>
      </c>
      <c r="H153" s="3" t="s">
        <v>332</v>
      </c>
    </row>
    <row r="154" spans="1:8" x14ac:dyDescent="0.25">
      <c r="A154" s="3" t="s">
        <v>486</v>
      </c>
      <c r="B154" s="3" t="s">
        <v>3197</v>
      </c>
      <c r="C154" s="3" t="s">
        <v>53</v>
      </c>
      <c r="D154" s="3" t="s">
        <v>300</v>
      </c>
      <c r="E154" s="3">
        <v>572.64</v>
      </c>
      <c r="F154" s="3" t="s">
        <v>2976</v>
      </c>
      <c r="G154" s="3" t="s">
        <v>327</v>
      </c>
      <c r="H154" s="3"/>
    </row>
    <row r="155" spans="1:8" x14ac:dyDescent="0.25">
      <c r="A155" s="3" t="s">
        <v>487</v>
      </c>
      <c r="B155" s="3" t="s">
        <v>3198</v>
      </c>
      <c r="C155" s="3" t="s">
        <v>171</v>
      </c>
      <c r="D155" s="3" t="s">
        <v>306</v>
      </c>
      <c r="E155" s="3" t="s">
        <v>3199</v>
      </c>
      <c r="F155" s="3" t="s">
        <v>3017</v>
      </c>
      <c r="G155" s="3" t="s">
        <v>329</v>
      </c>
      <c r="H155" s="3" t="s">
        <v>334</v>
      </c>
    </row>
    <row r="156" spans="1:8" x14ac:dyDescent="0.25">
      <c r="A156" s="3" t="s">
        <v>488</v>
      </c>
      <c r="B156" s="3" t="s">
        <v>3200</v>
      </c>
      <c r="C156" s="3" t="s">
        <v>179</v>
      </c>
      <c r="D156" s="3" t="s">
        <v>300</v>
      </c>
      <c r="E156" s="3">
        <v>213.24</v>
      </c>
      <c r="F156" s="3" t="s">
        <v>324</v>
      </c>
      <c r="G156" s="3" t="s">
        <v>325</v>
      </c>
      <c r="H156" s="3" t="s">
        <v>346</v>
      </c>
    </row>
    <row r="157" spans="1:8" x14ac:dyDescent="0.25">
      <c r="A157" s="3" t="s">
        <v>489</v>
      </c>
      <c r="B157" s="3" t="s">
        <v>3201</v>
      </c>
      <c r="C157" s="3" t="s">
        <v>247</v>
      </c>
      <c r="D157" s="3" t="s">
        <v>303</v>
      </c>
      <c r="E157" s="3">
        <v>362.5</v>
      </c>
      <c r="F157" s="3" t="s">
        <v>331</v>
      </c>
      <c r="G157" s="3" t="s">
        <v>337</v>
      </c>
      <c r="H157" s="3" t="s">
        <v>346</v>
      </c>
    </row>
    <row r="158" spans="1:8" x14ac:dyDescent="0.25">
      <c r="A158" s="3" t="s">
        <v>490</v>
      </c>
      <c r="B158" s="3" t="s">
        <v>3202</v>
      </c>
      <c r="C158" s="3" t="s">
        <v>243</v>
      </c>
      <c r="D158" s="3" t="s">
        <v>294</v>
      </c>
      <c r="E158" s="3">
        <v>142.56</v>
      </c>
      <c r="F158" s="3" t="s">
        <v>324</v>
      </c>
      <c r="G158" s="3" t="s">
        <v>327</v>
      </c>
      <c r="H158" s="3" t="s">
        <v>332</v>
      </c>
    </row>
    <row r="159" spans="1:8" x14ac:dyDescent="0.25">
      <c r="A159" s="3" t="s">
        <v>491</v>
      </c>
      <c r="B159" s="3" t="s">
        <v>3203</v>
      </c>
      <c r="C159" s="3" t="s">
        <v>492</v>
      </c>
      <c r="D159" s="3" t="s">
        <v>300</v>
      </c>
      <c r="E159" s="3">
        <v>379.82</v>
      </c>
      <c r="F159" s="3" t="s">
        <v>324</v>
      </c>
      <c r="G159" s="3" t="s">
        <v>329</v>
      </c>
      <c r="H159" s="3"/>
    </row>
    <row r="160" spans="1:8" x14ac:dyDescent="0.25">
      <c r="A160" s="3" t="s">
        <v>493</v>
      </c>
      <c r="B160" s="3" t="s">
        <v>3204</v>
      </c>
      <c r="C160" s="3" t="s">
        <v>105</v>
      </c>
      <c r="D160" s="3" t="s">
        <v>300</v>
      </c>
      <c r="E160" s="3">
        <v>400.16</v>
      </c>
      <c r="F160" s="3" t="s">
        <v>2988</v>
      </c>
      <c r="G160" s="3" t="s">
        <v>337</v>
      </c>
      <c r="H160" s="3" t="s">
        <v>332</v>
      </c>
    </row>
    <row r="161" spans="1:8" x14ac:dyDescent="0.25">
      <c r="A161" s="3" t="s">
        <v>494</v>
      </c>
      <c r="B161" s="3" t="s">
        <v>3205</v>
      </c>
      <c r="C161" s="3" t="s">
        <v>117</v>
      </c>
      <c r="D161" s="3" t="s">
        <v>294</v>
      </c>
      <c r="E161" s="3">
        <v>75.040000000000006</v>
      </c>
      <c r="F161" s="3" t="s">
        <v>324</v>
      </c>
      <c r="G161" s="3" t="s">
        <v>329</v>
      </c>
      <c r="H161" s="3" t="s">
        <v>346</v>
      </c>
    </row>
    <row r="162" spans="1:8" x14ac:dyDescent="0.25">
      <c r="A162" s="3" t="s">
        <v>495</v>
      </c>
      <c r="B162" s="3" t="s">
        <v>3206</v>
      </c>
      <c r="C162" s="3" t="s">
        <v>261</v>
      </c>
      <c r="D162" s="3" t="s">
        <v>300</v>
      </c>
      <c r="E162" s="3">
        <v>324.45999999999998</v>
      </c>
      <c r="F162" s="3" t="s">
        <v>381</v>
      </c>
      <c r="G162" s="3" t="s">
        <v>327</v>
      </c>
      <c r="H162" s="3"/>
    </row>
    <row r="163" spans="1:8" x14ac:dyDescent="0.25">
      <c r="A163" s="3" t="s">
        <v>496</v>
      </c>
      <c r="B163" s="3" t="s">
        <v>3207</v>
      </c>
      <c r="C163" s="3" t="s">
        <v>231</v>
      </c>
      <c r="D163" s="3" t="s">
        <v>315</v>
      </c>
      <c r="E163" s="3" t="s">
        <v>3208</v>
      </c>
      <c r="F163" s="3" t="s">
        <v>324</v>
      </c>
      <c r="G163" s="3" t="s">
        <v>325</v>
      </c>
      <c r="H163" s="3"/>
    </row>
    <row r="164" spans="1:8" x14ac:dyDescent="0.25">
      <c r="A164" s="3" t="s">
        <v>497</v>
      </c>
      <c r="B164" s="3" t="s">
        <v>3209</v>
      </c>
      <c r="C164" s="3" t="s">
        <v>273</v>
      </c>
      <c r="D164" s="3" t="s">
        <v>294</v>
      </c>
      <c r="E164" s="3">
        <v>817.6</v>
      </c>
      <c r="F164" s="3" t="s">
        <v>2976</v>
      </c>
      <c r="G164" s="3" t="s">
        <v>327</v>
      </c>
      <c r="H164" s="3" t="s">
        <v>334</v>
      </c>
    </row>
    <row r="165" spans="1:8" x14ac:dyDescent="0.25">
      <c r="A165" s="3" t="s">
        <v>498</v>
      </c>
      <c r="B165" s="3" t="s">
        <v>3210</v>
      </c>
      <c r="C165" s="3" t="s">
        <v>139</v>
      </c>
      <c r="D165" s="3" t="s">
        <v>300</v>
      </c>
      <c r="E165" s="3">
        <v>-1116.3699999999999</v>
      </c>
      <c r="F165" s="3" t="s">
        <v>349</v>
      </c>
      <c r="G165" s="3" t="s">
        <v>327</v>
      </c>
      <c r="H165" s="3"/>
    </row>
    <row r="166" spans="1:8" x14ac:dyDescent="0.25">
      <c r="A166" s="3" t="s">
        <v>499</v>
      </c>
      <c r="B166" s="3" t="s">
        <v>3211</v>
      </c>
      <c r="C166" s="3" t="s">
        <v>23</v>
      </c>
      <c r="D166" s="3" t="s">
        <v>303</v>
      </c>
      <c r="E166" s="3">
        <v>313.69</v>
      </c>
      <c r="F166" s="3" t="s">
        <v>324</v>
      </c>
      <c r="G166" s="3" t="s">
        <v>329</v>
      </c>
      <c r="H166" s="3" t="s">
        <v>334</v>
      </c>
    </row>
    <row r="167" spans="1:8" x14ac:dyDescent="0.25">
      <c r="A167" s="3" t="s">
        <v>500</v>
      </c>
      <c r="B167" s="3" t="s">
        <v>3212</v>
      </c>
      <c r="C167" s="3" t="s">
        <v>26</v>
      </c>
      <c r="D167" s="3" t="s">
        <v>315</v>
      </c>
      <c r="E167" s="3" t="s">
        <v>3213</v>
      </c>
      <c r="F167" s="3" t="s">
        <v>324</v>
      </c>
      <c r="G167" s="3" t="s">
        <v>327</v>
      </c>
      <c r="H167" s="3"/>
    </row>
    <row r="168" spans="1:8" x14ac:dyDescent="0.25">
      <c r="A168" s="3" t="s">
        <v>501</v>
      </c>
      <c r="B168" s="3" t="s">
        <v>3214</v>
      </c>
      <c r="C168" s="3" t="s">
        <v>123</v>
      </c>
      <c r="D168" s="3" t="s">
        <v>312</v>
      </c>
      <c r="E168" s="3">
        <v>195.57</v>
      </c>
      <c r="F168" s="3" t="s">
        <v>324</v>
      </c>
      <c r="G168" s="3" t="s">
        <v>327</v>
      </c>
      <c r="H168" s="3"/>
    </row>
    <row r="169" spans="1:8" x14ac:dyDescent="0.25">
      <c r="A169" s="3" t="s">
        <v>502</v>
      </c>
      <c r="B169" s="3" t="s">
        <v>3215</v>
      </c>
      <c r="C169" s="3" t="s">
        <v>72</v>
      </c>
      <c r="D169" s="3" t="s">
        <v>312</v>
      </c>
      <c r="E169" s="3">
        <v>246.48</v>
      </c>
      <c r="F169" s="3" t="s">
        <v>2973</v>
      </c>
      <c r="G169" s="3" t="s">
        <v>337</v>
      </c>
      <c r="H169" s="3"/>
    </row>
    <row r="170" spans="1:8" x14ac:dyDescent="0.25">
      <c r="A170" s="3" t="s">
        <v>503</v>
      </c>
      <c r="B170" s="3" t="s">
        <v>3216</v>
      </c>
      <c r="C170" s="3" t="s">
        <v>211</v>
      </c>
      <c r="D170" s="3" t="s">
        <v>309</v>
      </c>
      <c r="E170" s="3">
        <v>829</v>
      </c>
      <c r="F170" s="3" t="s">
        <v>324</v>
      </c>
      <c r="G170" s="3" t="s">
        <v>329</v>
      </c>
      <c r="H170" s="3" t="s">
        <v>332</v>
      </c>
    </row>
    <row r="171" spans="1:8" x14ac:dyDescent="0.25">
      <c r="A171" s="3" t="s">
        <v>504</v>
      </c>
      <c r="B171" s="3" t="s">
        <v>3217</v>
      </c>
      <c r="C171" s="3" t="s">
        <v>62</v>
      </c>
      <c r="D171" s="3" t="s">
        <v>306</v>
      </c>
      <c r="E171" s="3" t="s">
        <v>3218</v>
      </c>
      <c r="F171" s="3" t="s">
        <v>2973</v>
      </c>
      <c r="G171" s="3" t="s">
        <v>325</v>
      </c>
      <c r="H171" s="3"/>
    </row>
    <row r="172" spans="1:8" x14ac:dyDescent="0.25">
      <c r="A172" s="3" t="s">
        <v>505</v>
      </c>
      <c r="B172" s="3" t="s">
        <v>2977</v>
      </c>
      <c r="C172" s="3" t="s">
        <v>51</v>
      </c>
      <c r="D172" s="3" t="s">
        <v>294</v>
      </c>
      <c r="E172" s="3">
        <v>137.43</v>
      </c>
      <c r="F172" s="3" t="s">
        <v>3097</v>
      </c>
      <c r="G172" s="3" t="s">
        <v>327</v>
      </c>
      <c r="H172" s="3"/>
    </row>
    <row r="173" spans="1:8" x14ac:dyDescent="0.25">
      <c r="A173" s="3" t="s">
        <v>506</v>
      </c>
      <c r="B173" s="3" t="s">
        <v>3219</v>
      </c>
      <c r="C173" s="3" t="s">
        <v>209</v>
      </c>
      <c r="D173" s="3" t="s">
        <v>300</v>
      </c>
      <c r="E173" s="3">
        <v>463.78</v>
      </c>
      <c r="F173" s="3" t="s">
        <v>324</v>
      </c>
      <c r="G173" s="3" t="s">
        <v>325</v>
      </c>
      <c r="H173" s="3"/>
    </row>
    <row r="174" spans="1:8" x14ac:dyDescent="0.25">
      <c r="A174" s="3" t="s">
        <v>507</v>
      </c>
      <c r="B174" s="3" t="s">
        <v>3220</v>
      </c>
      <c r="C174" s="3" t="s">
        <v>263</v>
      </c>
      <c r="D174" s="3" t="s">
        <v>294</v>
      </c>
      <c r="E174" s="3" t="s">
        <v>3221</v>
      </c>
      <c r="F174" s="3" t="s">
        <v>324</v>
      </c>
      <c r="G174" s="3" t="s">
        <v>327</v>
      </c>
      <c r="H174" s="3" t="s">
        <v>334</v>
      </c>
    </row>
    <row r="175" spans="1:8" x14ac:dyDescent="0.25">
      <c r="A175" s="3" t="s">
        <v>508</v>
      </c>
      <c r="B175" s="3" t="s">
        <v>3222</v>
      </c>
      <c r="C175" s="3" t="s">
        <v>209</v>
      </c>
      <c r="D175" s="3" t="s">
        <v>312</v>
      </c>
      <c r="E175" s="3" t="s">
        <v>3223</v>
      </c>
      <c r="F175" s="3" t="s">
        <v>2976</v>
      </c>
      <c r="G175" s="3" t="s">
        <v>325</v>
      </c>
      <c r="H175" s="3" t="s">
        <v>334</v>
      </c>
    </row>
    <row r="176" spans="1:8" x14ac:dyDescent="0.25">
      <c r="A176" s="3" t="s">
        <v>509</v>
      </c>
      <c r="B176" s="3" t="s">
        <v>3224</v>
      </c>
      <c r="C176" s="3" t="s">
        <v>74</v>
      </c>
      <c r="D176" s="3" t="s">
        <v>297</v>
      </c>
      <c r="E176" s="3">
        <v>525.82000000000005</v>
      </c>
      <c r="F176" s="3" t="s">
        <v>2988</v>
      </c>
      <c r="G176" s="3" t="s">
        <v>337</v>
      </c>
      <c r="H176" s="3" t="s">
        <v>346</v>
      </c>
    </row>
    <row r="177" spans="1:8" x14ac:dyDescent="0.25">
      <c r="A177" s="3" t="s">
        <v>510</v>
      </c>
      <c r="B177" s="3" t="s">
        <v>3225</v>
      </c>
      <c r="C177" s="3" t="s">
        <v>273</v>
      </c>
      <c r="D177" s="3" t="s">
        <v>294</v>
      </c>
      <c r="E177" s="3">
        <v>673.25</v>
      </c>
      <c r="F177" s="3" t="s">
        <v>324</v>
      </c>
      <c r="G177" s="3" t="s">
        <v>325</v>
      </c>
      <c r="H177" s="3"/>
    </row>
    <row r="178" spans="1:8" x14ac:dyDescent="0.25">
      <c r="A178" s="3" t="s">
        <v>511</v>
      </c>
      <c r="B178" s="3" t="s">
        <v>3226</v>
      </c>
      <c r="C178" s="3" t="s">
        <v>42</v>
      </c>
      <c r="D178" s="3" t="s">
        <v>312</v>
      </c>
      <c r="E178" s="3">
        <v>157.28</v>
      </c>
      <c r="F178" s="3" t="s">
        <v>2988</v>
      </c>
      <c r="G178" s="3" t="s">
        <v>327</v>
      </c>
      <c r="H178" s="3" t="s">
        <v>346</v>
      </c>
    </row>
    <row r="179" spans="1:8" x14ac:dyDescent="0.25">
      <c r="A179" s="3" t="s">
        <v>512</v>
      </c>
      <c r="B179" s="3" t="s">
        <v>3227</v>
      </c>
      <c r="C179" s="3" t="s">
        <v>207</v>
      </c>
      <c r="D179" s="3" t="s">
        <v>303</v>
      </c>
      <c r="E179" s="3" t="s">
        <v>3228</v>
      </c>
      <c r="F179" s="3" t="s">
        <v>324</v>
      </c>
      <c r="G179" s="3" t="s">
        <v>325</v>
      </c>
      <c r="H179" s="3" t="s">
        <v>334</v>
      </c>
    </row>
    <row r="180" spans="1:8" x14ac:dyDescent="0.25">
      <c r="A180" s="3" t="s">
        <v>513</v>
      </c>
      <c r="B180" s="3" t="s">
        <v>3113</v>
      </c>
      <c r="C180" s="3" t="s">
        <v>155</v>
      </c>
      <c r="D180" s="3" t="s">
        <v>303</v>
      </c>
      <c r="E180" s="3">
        <v>64.36</v>
      </c>
      <c r="F180" s="3" t="s">
        <v>2988</v>
      </c>
      <c r="G180" s="3" t="s">
        <v>325</v>
      </c>
      <c r="H180" s="3" t="s">
        <v>334</v>
      </c>
    </row>
    <row r="181" spans="1:8" x14ac:dyDescent="0.25">
      <c r="A181" s="3" t="s">
        <v>514</v>
      </c>
      <c r="B181" s="3" t="s">
        <v>3229</v>
      </c>
      <c r="C181" s="3" t="s">
        <v>269</v>
      </c>
      <c r="D181" s="3" t="s">
        <v>294</v>
      </c>
      <c r="E181" s="3" t="s">
        <v>3230</v>
      </c>
      <c r="F181" s="3" t="s">
        <v>324</v>
      </c>
      <c r="G181" s="3" t="s">
        <v>325</v>
      </c>
      <c r="H181" s="3"/>
    </row>
    <row r="182" spans="1:8" x14ac:dyDescent="0.25">
      <c r="A182" s="3" t="s">
        <v>515</v>
      </c>
      <c r="B182" s="3" t="s">
        <v>3059</v>
      </c>
      <c r="C182" s="3" t="s">
        <v>169</v>
      </c>
      <c r="D182" s="3" t="s">
        <v>306</v>
      </c>
      <c r="E182" s="3">
        <v>264.66000000000003</v>
      </c>
      <c r="F182" s="3" t="s">
        <v>2988</v>
      </c>
      <c r="G182" s="3" t="s">
        <v>329</v>
      </c>
      <c r="H182" s="3"/>
    </row>
    <row r="183" spans="1:8" x14ac:dyDescent="0.25">
      <c r="A183" s="3" t="s">
        <v>516</v>
      </c>
      <c r="B183" s="3" t="s">
        <v>3231</v>
      </c>
      <c r="C183" s="3" t="s">
        <v>70</v>
      </c>
      <c r="D183" s="3" t="s">
        <v>312</v>
      </c>
      <c r="E183" s="3" t="s">
        <v>3232</v>
      </c>
      <c r="F183" s="3" t="s">
        <v>324</v>
      </c>
      <c r="G183" s="3" t="s">
        <v>325</v>
      </c>
      <c r="H183" s="3" t="s">
        <v>346</v>
      </c>
    </row>
    <row r="184" spans="1:8" x14ac:dyDescent="0.25">
      <c r="A184" s="3" t="s">
        <v>517</v>
      </c>
      <c r="B184" s="3" t="s">
        <v>3233</v>
      </c>
      <c r="C184" s="3" t="s">
        <v>253</v>
      </c>
      <c r="D184" s="3" t="s">
        <v>294</v>
      </c>
      <c r="E184" s="3">
        <v>88.17</v>
      </c>
      <c r="F184" s="3" t="s">
        <v>2973</v>
      </c>
      <c r="G184" s="3" t="s">
        <v>325</v>
      </c>
      <c r="H184" s="3" t="s">
        <v>346</v>
      </c>
    </row>
    <row r="185" spans="1:8" x14ac:dyDescent="0.25">
      <c r="A185" s="3" t="s">
        <v>518</v>
      </c>
      <c r="B185" s="3" t="s">
        <v>3234</v>
      </c>
      <c r="C185" s="3" t="s">
        <v>141</v>
      </c>
      <c r="D185" s="3" t="s">
        <v>315</v>
      </c>
      <c r="E185" s="3">
        <v>289.79000000000002</v>
      </c>
      <c r="F185" s="3" t="s">
        <v>2976</v>
      </c>
      <c r="G185" s="3" t="s">
        <v>327</v>
      </c>
      <c r="H185" s="3"/>
    </row>
    <row r="186" spans="1:8" x14ac:dyDescent="0.25">
      <c r="A186" s="3" t="s">
        <v>519</v>
      </c>
      <c r="B186" s="3" t="s">
        <v>3235</v>
      </c>
      <c r="C186" s="3" t="s">
        <v>207</v>
      </c>
      <c r="D186" s="3" t="s">
        <v>309</v>
      </c>
      <c r="E186" s="3">
        <v>528.73</v>
      </c>
      <c r="F186" s="3" t="s">
        <v>324</v>
      </c>
      <c r="G186" s="3" t="s">
        <v>329</v>
      </c>
      <c r="H186" s="3"/>
    </row>
    <row r="187" spans="1:8" x14ac:dyDescent="0.25">
      <c r="A187" s="3" t="s">
        <v>520</v>
      </c>
      <c r="B187" s="3" t="s">
        <v>3236</v>
      </c>
      <c r="C187" s="3" t="s">
        <v>163</v>
      </c>
      <c r="D187" s="3" t="s">
        <v>294</v>
      </c>
      <c r="E187" s="3">
        <v>731.49</v>
      </c>
      <c r="F187" s="3" t="s">
        <v>324</v>
      </c>
      <c r="G187" s="3" t="s">
        <v>325</v>
      </c>
      <c r="H187" s="3" t="s">
        <v>334</v>
      </c>
    </row>
    <row r="188" spans="1:8" x14ac:dyDescent="0.25">
      <c r="A188" s="3" t="s">
        <v>521</v>
      </c>
      <c r="B188" s="3" t="s">
        <v>3237</v>
      </c>
      <c r="C188" s="3" t="s">
        <v>96</v>
      </c>
      <c r="D188" s="3" t="s">
        <v>300</v>
      </c>
      <c r="E188" s="3">
        <v>391.91</v>
      </c>
      <c r="F188" s="3" t="s">
        <v>2976</v>
      </c>
      <c r="G188" s="3" t="s">
        <v>327</v>
      </c>
      <c r="H188" s="3"/>
    </row>
    <row r="189" spans="1:8" x14ac:dyDescent="0.25">
      <c r="A189" s="3" t="s">
        <v>522</v>
      </c>
      <c r="B189" s="3" t="s">
        <v>3238</v>
      </c>
      <c r="C189" s="3" t="s">
        <v>223</v>
      </c>
      <c r="D189" s="3" t="s">
        <v>297</v>
      </c>
      <c r="E189" s="3" t="s">
        <v>3239</v>
      </c>
      <c r="F189" s="3" t="s">
        <v>3006</v>
      </c>
      <c r="G189" s="3" t="s">
        <v>337</v>
      </c>
      <c r="H189" s="3"/>
    </row>
    <row r="190" spans="1:8" x14ac:dyDescent="0.25">
      <c r="A190" s="3" t="s">
        <v>523</v>
      </c>
      <c r="B190" s="3" t="s">
        <v>3240</v>
      </c>
      <c r="C190" s="3" t="s">
        <v>237</v>
      </c>
      <c r="D190" s="3" t="s">
        <v>294</v>
      </c>
      <c r="E190" s="3" t="s">
        <v>3241</v>
      </c>
      <c r="F190" s="3" t="s">
        <v>324</v>
      </c>
      <c r="G190" s="3" t="s">
        <v>327</v>
      </c>
      <c r="H190" s="3" t="s">
        <v>332</v>
      </c>
    </row>
    <row r="191" spans="1:8" x14ac:dyDescent="0.25">
      <c r="A191" s="3" t="s">
        <v>524</v>
      </c>
      <c r="B191" s="3" t="s">
        <v>3242</v>
      </c>
      <c r="C191" s="3" t="s">
        <v>275</v>
      </c>
      <c r="D191" s="3" t="s">
        <v>294</v>
      </c>
      <c r="E191" s="3">
        <v>193.6</v>
      </c>
      <c r="F191" s="3" t="s">
        <v>324</v>
      </c>
      <c r="G191" s="3" t="s">
        <v>337</v>
      </c>
      <c r="H191" s="3"/>
    </row>
    <row r="192" spans="1:8" x14ac:dyDescent="0.25">
      <c r="A192" s="3" t="s">
        <v>525</v>
      </c>
      <c r="B192" s="3" t="s">
        <v>3243</v>
      </c>
      <c r="C192" s="3" t="s">
        <v>225</v>
      </c>
      <c r="D192" s="3" t="s">
        <v>303</v>
      </c>
      <c r="E192" s="3" t="s">
        <v>3244</v>
      </c>
      <c r="F192" s="3" t="s">
        <v>3037</v>
      </c>
      <c r="G192" s="3" t="s">
        <v>337</v>
      </c>
      <c r="H192" s="3"/>
    </row>
    <row r="193" spans="1:8" x14ac:dyDescent="0.25">
      <c r="A193" s="3" t="s">
        <v>526</v>
      </c>
      <c r="B193" s="3" t="s">
        <v>3012</v>
      </c>
      <c r="C193" s="3" t="s">
        <v>175</v>
      </c>
      <c r="D193" s="3" t="s">
        <v>306</v>
      </c>
      <c r="E193" s="3">
        <v>197.11</v>
      </c>
      <c r="F193" s="3" t="s">
        <v>324</v>
      </c>
      <c r="G193" s="3" t="s">
        <v>325</v>
      </c>
      <c r="H193" s="3"/>
    </row>
    <row r="194" spans="1:8" x14ac:dyDescent="0.25">
      <c r="A194" s="3" t="s">
        <v>527</v>
      </c>
      <c r="B194" s="3" t="s">
        <v>3224</v>
      </c>
      <c r="C194" s="3" t="s">
        <v>64</v>
      </c>
      <c r="D194" s="3" t="s">
        <v>297</v>
      </c>
      <c r="E194" s="3">
        <v>-486.01</v>
      </c>
      <c r="F194" s="3" t="s">
        <v>3006</v>
      </c>
      <c r="G194" s="3" t="s">
        <v>325</v>
      </c>
      <c r="H194" s="3" t="s">
        <v>332</v>
      </c>
    </row>
    <row r="195" spans="1:8" x14ac:dyDescent="0.25">
      <c r="A195" s="3" t="s">
        <v>528</v>
      </c>
      <c r="B195" s="3" t="s">
        <v>3245</v>
      </c>
      <c r="C195" s="3" t="s">
        <v>100</v>
      </c>
      <c r="D195" s="3" t="s">
        <v>294</v>
      </c>
      <c r="E195" s="3" t="s">
        <v>3246</v>
      </c>
      <c r="F195" s="3" t="s">
        <v>324</v>
      </c>
      <c r="G195" s="3" t="s">
        <v>327</v>
      </c>
      <c r="H195" s="3"/>
    </row>
    <row r="196" spans="1:8" x14ac:dyDescent="0.25">
      <c r="A196" s="3" t="s">
        <v>529</v>
      </c>
      <c r="B196" s="3" t="s">
        <v>3247</v>
      </c>
      <c r="C196" s="3" t="s">
        <v>211</v>
      </c>
      <c r="D196" s="3" t="s">
        <v>306</v>
      </c>
      <c r="E196" s="3">
        <v>296.56</v>
      </c>
      <c r="F196" s="3" t="s">
        <v>324</v>
      </c>
      <c r="G196" s="3" t="s">
        <v>337</v>
      </c>
      <c r="H196" s="3" t="s">
        <v>332</v>
      </c>
    </row>
    <row r="197" spans="1:8" x14ac:dyDescent="0.25">
      <c r="A197" s="3" t="s">
        <v>530</v>
      </c>
      <c r="B197" s="3" t="s">
        <v>3248</v>
      </c>
      <c r="C197" s="3" t="s">
        <v>221</v>
      </c>
      <c r="D197" s="3" t="s">
        <v>294</v>
      </c>
      <c r="E197" s="3" t="s">
        <v>3249</v>
      </c>
      <c r="F197" s="3" t="s">
        <v>2995</v>
      </c>
      <c r="G197" s="3" t="s">
        <v>327</v>
      </c>
      <c r="H197" s="3" t="s">
        <v>346</v>
      </c>
    </row>
    <row r="198" spans="1:8" x14ac:dyDescent="0.25">
      <c r="A198" s="3" t="s">
        <v>531</v>
      </c>
      <c r="B198" s="3" t="s">
        <v>3250</v>
      </c>
      <c r="C198" s="3" t="s">
        <v>273</v>
      </c>
      <c r="D198" s="3" t="s">
        <v>309</v>
      </c>
      <c r="E198" s="3">
        <v>826.3</v>
      </c>
      <c r="F198" s="3" t="s">
        <v>324</v>
      </c>
      <c r="G198" s="3" t="s">
        <v>327</v>
      </c>
      <c r="H198" s="3"/>
    </row>
    <row r="199" spans="1:8" x14ac:dyDescent="0.25">
      <c r="A199" s="3" t="s">
        <v>532</v>
      </c>
      <c r="B199" s="3" t="s">
        <v>3251</v>
      </c>
      <c r="C199" s="3" t="s">
        <v>68</v>
      </c>
      <c r="D199" s="3" t="s">
        <v>300</v>
      </c>
      <c r="E199" s="3">
        <v>273.39</v>
      </c>
      <c r="F199" s="3" t="s">
        <v>331</v>
      </c>
      <c r="G199" s="3" t="s">
        <v>327</v>
      </c>
      <c r="H199" s="3" t="s">
        <v>334</v>
      </c>
    </row>
    <row r="200" spans="1:8" x14ac:dyDescent="0.25">
      <c r="A200" s="3" t="s">
        <v>533</v>
      </c>
      <c r="B200" s="3" t="s">
        <v>3252</v>
      </c>
      <c r="C200" s="3" t="s">
        <v>241</v>
      </c>
      <c r="D200" s="3" t="s">
        <v>306</v>
      </c>
      <c r="E200" s="3">
        <v>671.25</v>
      </c>
      <c r="F200" s="3" t="s">
        <v>324</v>
      </c>
      <c r="G200" s="3" t="s">
        <v>337</v>
      </c>
      <c r="H200" s="3" t="s">
        <v>334</v>
      </c>
    </row>
    <row r="201" spans="1:8" x14ac:dyDescent="0.25">
      <c r="A201" s="3" t="s">
        <v>534</v>
      </c>
      <c r="B201" s="3" t="s">
        <v>3253</v>
      </c>
      <c r="C201" s="3" t="s">
        <v>64</v>
      </c>
      <c r="D201" s="3" t="s">
        <v>300</v>
      </c>
      <c r="E201" s="3">
        <v>307.45</v>
      </c>
      <c r="F201" s="3" t="s">
        <v>324</v>
      </c>
      <c r="G201" s="3" t="s">
        <v>337</v>
      </c>
      <c r="H201" s="3"/>
    </row>
    <row r="202" spans="1:8" x14ac:dyDescent="0.25">
      <c r="A202" s="3" t="s">
        <v>535</v>
      </c>
      <c r="B202" s="3" t="s">
        <v>3254</v>
      </c>
      <c r="C202" s="3" t="s">
        <v>80</v>
      </c>
      <c r="D202" s="3" t="s">
        <v>300</v>
      </c>
      <c r="E202" s="3" t="s">
        <v>3255</v>
      </c>
      <c r="F202" s="3" t="s">
        <v>324</v>
      </c>
      <c r="G202" s="3" t="s">
        <v>325</v>
      </c>
      <c r="H202" s="3" t="s">
        <v>346</v>
      </c>
    </row>
    <row r="203" spans="1:8" x14ac:dyDescent="0.25">
      <c r="A203" s="3" t="s">
        <v>536</v>
      </c>
      <c r="B203" s="3" t="s">
        <v>3256</v>
      </c>
      <c r="C203" s="3" t="s">
        <v>277</v>
      </c>
      <c r="D203" s="3" t="s">
        <v>294</v>
      </c>
      <c r="E203" s="3">
        <v>308.07</v>
      </c>
      <c r="F203" s="3" t="s">
        <v>2988</v>
      </c>
      <c r="G203" s="3"/>
      <c r="H203" s="3" t="s">
        <v>332</v>
      </c>
    </row>
    <row r="204" spans="1:8" x14ac:dyDescent="0.25">
      <c r="A204" s="3" t="s">
        <v>537</v>
      </c>
      <c r="B204" s="3" t="s">
        <v>3257</v>
      </c>
      <c r="C204" s="3" t="s">
        <v>88</v>
      </c>
      <c r="D204" s="3" t="s">
        <v>294</v>
      </c>
      <c r="E204" s="3">
        <v>723.4</v>
      </c>
      <c r="F204" s="3" t="s">
        <v>3097</v>
      </c>
      <c r="G204" s="3" t="s">
        <v>325</v>
      </c>
      <c r="H204" s="3"/>
    </row>
    <row r="205" spans="1:8" x14ac:dyDescent="0.25">
      <c r="A205" s="3" t="s">
        <v>538</v>
      </c>
      <c r="B205" s="3" t="s">
        <v>3258</v>
      </c>
      <c r="C205" s="3" t="s">
        <v>68</v>
      </c>
      <c r="D205" s="3" t="s">
        <v>294</v>
      </c>
      <c r="E205" s="3">
        <v>676.39</v>
      </c>
      <c r="F205" s="3" t="s">
        <v>2976</v>
      </c>
      <c r="G205" s="3" t="s">
        <v>327</v>
      </c>
      <c r="H205" s="3"/>
    </row>
    <row r="206" spans="1:8" x14ac:dyDescent="0.25">
      <c r="A206" s="3" t="s">
        <v>539</v>
      </c>
      <c r="B206" s="3" t="s">
        <v>3259</v>
      </c>
      <c r="C206" s="3" t="s">
        <v>151</v>
      </c>
      <c r="D206" s="3" t="s">
        <v>303</v>
      </c>
      <c r="E206" s="3">
        <v>218.16</v>
      </c>
      <c r="F206" s="3" t="s">
        <v>2988</v>
      </c>
      <c r="G206" s="3" t="s">
        <v>329</v>
      </c>
      <c r="H206" s="3"/>
    </row>
    <row r="207" spans="1:8" x14ac:dyDescent="0.25">
      <c r="A207" s="3" t="s">
        <v>540</v>
      </c>
      <c r="B207" s="3" t="s">
        <v>3260</v>
      </c>
      <c r="C207" s="3" t="s">
        <v>199</v>
      </c>
      <c r="D207" s="3" t="s">
        <v>297</v>
      </c>
      <c r="E207" s="3" t="s">
        <v>3261</v>
      </c>
      <c r="F207" s="3" t="s">
        <v>2976</v>
      </c>
      <c r="G207" s="3" t="s">
        <v>327</v>
      </c>
      <c r="H207" s="3" t="s">
        <v>346</v>
      </c>
    </row>
    <row r="208" spans="1:8" x14ac:dyDescent="0.25">
      <c r="A208" s="3" t="s">
        <v>541</v>
      </c>
      <c r="B208" s="3" t="s">
        <v>3262</v>
      </c>
      <c r="C208" s="3" t="s">
        <v>231</v>
      </c>
      <c r="D208" s="3" t="s">
        <v>315</v>
      </c>
      <c r="E208" s="3" t="s">
        <v>3263</v>
      </c>
      <c r="F208" s="3" t="s">
        <v>349</v>
      </c>
      <c r="G208" s="3" t="s">
        <v>337</v>
      </c>
      <c r="H208" s="3"/>
    </row>
    <row r="209" spans="1:8" x14ac:dyDescent="0.25">
      <c r="A209" s="3" t="s">
        <v>542</v>
      </c>
      <c r="B209" s="3" t="s">
        <v>3264</v>
      </c>
      <c r="C209" s="3" t="s">
        <v>233</v>
      </c>
      <c r="D209" s="3" t="s">
        <v>294</v>
      </c>
      <c r="E209" s="3">
        <v>598.59</v>
      </c>
      <c r="F209" s="3" t="s">
        <v>324</v>
      </c>
      <c r="G209" s="3"/>
      <c r="H209" s="3" t="s">
        <v>334</v>
      </c>
    </row>
    <row r="210" spans="1:8" x14ac:dyDescent="0.25">
      <c r="A210" s="3" t="s">
        <v>543</v>
      </c>
      <c r="B210" s="3" t="s">
        <v>3265</v>
      </c>
      <c r="C210" s="3" t="s">
        <v>247</v>
      </c>
      <c r="D210" s="3" t="s">
        <v>294</v>
      </c>
      <c r="E210" s="3">
        <v>723.26</v>
      </c>
      <c r="F210" s="3" t="s">
        <v>3037</v>
      </c>
      <c r="G210" s="3" t="s">
        <v>327</v>
      </c>
      <c r="H210" s="3"/>
    </row>
    <row r="211" spans="1:8" x14ac:dyDescent="0.25">
      <c r="A211" s="3" t="s">
        <v>544</v>
      </c>
      <c r="B211" s="3" t="s">
        <v>3266</v>
      </c>
      <c r="C211" s="3" t="s">
        <v>68</v>
      </c>
      <c r="D211" s="3" t="s">
        <v>294</v>
      </c>
      <c r="E211" s="3" t="s">
        <v>3267</v>
      </c>
      <c r="F211" s="3" t="s">
        <v>331</v>
      </c>
      <c r="G211" s="3" t="s">
        <v>337</v>
      </c>
      <c r="H211" s="3"/>
    </row>
    <row r="212" spans="1:8" x14ac:dyDescent="0.25">
      <c r="A212" s="3" t="s">
        <v>545</v>
      </c>
      <c r="B212" s="3" t="s">
        <v>3268</v>
      </c>
      <c r="C212" s="3" t="s">
        <v>15</v>
      </c>
      <c r="D212" s="3" t="s">
        <v>297</v>
      </c>
      <c r="E212" s="3">
        <v>171.41</v>
      </c>
      <c r="F212" s="3" t="s">
        <v>324</v>
      </c>
      <c r="G212" s="3" t="s">
        <v>325</v>
      </c>
      <c r="H212" s="3"/>
    </row>
    <row r="213" spans="1:8" x14ac:dyDescent="0.25">
      <c r="A213" s="3" t="s">
        <v>546</v>
      </c>
      <c r="B213" s="3" t="s">
        <v>3183</v>
      </c>
      <c r="C213" s="3" t="s">
        <v>149</v>
      </c>
      <c r="D213" s="3" t="s">
        <v>294</v>
      </c>
      <c r="E213" s="3" t="s">
        <v>3269</v>
      </c>
      <c r="F213" s="3" t="s">
        <v>381</v>
      </c>
      <c r="G213" s="3"/>
      <c r="H213" s="3"/>
    </row>
    <row r="214" spans="1:8" x14ac:dyDescent="0.25">
      <c r="A214" s="3" t="s">
        <v>547</v>
      </c>
      <c r="B214" s="3" t="s">
        <v>3004</v>
      </c>
      <c r="C214" s="3" t="s">
        <v>197</v>
      </c>
      <c r="D214" s="3" t="s">
        <v>294</v>
      </c>
      <c r="E214" s="3">
        <v>633.35</v>
      </c>
      <c r="F214" s="3" t="s">
        <v>2995</v>
      </c>
      <c r="G214" s="3"/>
      <c r="H214" s="3"/>
    </row>
    <row r="215" spans="1:8" x14ac:dyDescent="0.25">
      <c r="A215" s="3" t="s">
        <v>548</v>
      </c>
      <c r="B215" s="3" t="s">
        <v>3270</v>
      </c>
      <c r="C215" s="3" t="s">
        <v>68</v>
      </c>
      <c r="D215" s="3" t="s">
        <v>297</v>
      </c>
      <c r="E215" s="3" t="s">
        <v>3271</v>
      </c>
      <c r="F215" s="3" t="s">
        <v>324</v>
      </c>
      <c r="G215" s="3" t="s">
        <v>327</v>
      </c>
      <c r="H215" s="3" t="s">
        <v>334</v>
      </c>
    </row>
    <row r="216" spans="1:8" x14ac:dyDescent="0.25">
      <c r="A216" s="3" t="s">
        <v>549</v>
      </c>
      <c r="B216" s="3" t="s">
        <v>3272</v>
      </c>
      <c r="C216" s="3" t="s">
        <v>96</v>
      </c>
      <c r="D216" s="3" t="s">
        <v>300</v>
      </c>
      <c r="E216" s="3">
        <v>497.74</v>
      </c>
      <c r="F216" s="3" t="s">
        <v>324</v>
      </c>
      <c r="G216" s="3" t="s">
        <v>325</v>
      </c>
      <c r="H216" s="3"/>
    </row>
    <row r="217" spans="1:8" x14ac:dyDescent="0.25">
      <c r="A217" s="3" t="s">
        <v>550</v>
      </c>
      <c r="B217" s="3" t="s">
        <v>3165</v>
      </c>
      <c r="C217" s="3" t="s">
        <v>243</v>
      </c>
      <c r="D217" s="3" t="s">
        <v>294</v>
      </c>
      <c r="E217" s="3">
        <v>435.79</v>
      </c>
      <c r="F217" s="3" t="s">
        <v>2988</v>
      </c>
      <c r="G217" s="3" t="s">
        <v>337</v>
      </c>
      <c r="H217" s="3"/>
    </row>
    <row r="218" spans="1:8" x14ac:dyDescent="0.25">
      <c r="A218" s="3" t="s">
        <v>551</v>
      </c>
      <c r="B218" s="3" t="s">
        <v>3273</v>
      </c>
      <c r="C218" s="3" t="s">
        <v>233</v>
      </c>
      <c r="D218" s="3" t="s">
        <v>315</v>
      </c>
      <c r="E218" s="3">
        <v>343.87</v>
      </c>
      <c r="F218" s="3" t="s">
        <v>324</v>
      </c>
      <c r="G218" s="3" t="s">
        <v>329</v>
      </c>
      <c r="H218" s="3" t="s">
        <v>346</v>
      </c>
    </row>
    <row r="219" spans="1:8" x14ac:dyDescent="0.25">
      <c r="A219" s="3" t="s">
        <v>552</v>
      </c>
      <c r="B219" s="3" t="s">
        <v>3274</v>
      </c>
      <c r="C219" s="3" t="s">
        <v>119</v>
      </c>
      <c r="D219" s="3" t="s">
        <v>315</v>
      </c>
      <c r="E219" s="3">
        <v>1380.9</v>
      </c>
      <c r="F219" s="3" t="s">
        <v>2988</v>
      </c>
      <c r="G219" s="3"/>
      <c r="H219" s="3"/>
    </row>
    <row r="220" spans="1:8" x14ac:dyDescent="0.25">
      <c r="A220" s="3" t="s">
        <v>553</v>
      </c>
      <c r="B220" s="3" t="s">
        <v>3275</v>
      </c>
      <c r="C220" s="3" t="s">
        <v>239</v>
      </c>
      <c r="D220" s="3" t="s">
        <v>297</v>
      </c>
      <c r="E220" s="3">
        <v>336.14</v>
      </c>
      <c r="F220" s="3" t="s">
        <v>331</v>
      </c>
      <c r="G220" s="3" t="s">
        <v>327</v>
      </c>
      <c r="H220" s="3"/>
    </row>
    <row r="221" spans="1:8" x14ac:dyDescent="0.25">
      <c r="A221" s="3" t="s">
        <v>554</v>
      </c>
      <c r="B221" s="3" t="s">
        <v>3276</v>
      </c>
      <c r="C221" s="3" t="s">
        <v>29</v>
      </c>
      <c r="D221" s="3" t="s">
        <v>297</v>
      </c>
      <c r="E221" s="3" t="s">
        <v>3277</v>
      </c>
      <c r="F221" s="3" t="s">
        <v>3178</v>
      </c>
      <c r="G221" s="3" t="s">
        <v>325</v>
      </c>
      <c r="H221" s="3" t="s">
        <v>334</v>
      </c>
    </row>
    <row r="222" spans="1:8" x14ac:dyDescent="0.25">
      <c r="A222" s="3" t="s">
        <v>555</v>
      </c>
      <c r="B222" s="3" t="s">
        <v>3278</v>
      </c>
      <c r="C222" s="3" t="s">
        <v>42</v>
      </c>
      <c r="D222" s="3" t="s">
        <v>309</v>
      </c>
      <c r="E222" s="3">
        <v>387.54</v>
      </c>
      <c r="F222" s="3" t="s">
        <v>2988</v>
      </c>
      <c r="G222" s="3" t="s">
        <v>327</v>
      </c>
      <c r="H222" s="3"/>
    </row>
    <row r="223" spans="1:8" x14ac:dyDescent="0.25">
      <c r="A223" s="3" t="s">
        <v>556</v>
      </c>
      <c r="B223" s="3" t="s">
        <v>3279</v>
      </c>
      <c r="C223" s="3" t="s">
        <v>68</v>
      </c>
      <c r="D223" s="3" t="s">
        <v>300</v>
      </c>
      <c r="E223" s="3">
        <v>170.22</v>
      </c>
      <c r="F223" s="3" t="s">
        <v>2988</v>
      </c>
      <c r="G223" s="3" t="s">
        <v>327</v>
      </c>
      <c r="H223" s="3" t="s">
        <v>332</v>
      </c>
    </row>
    <row r="224" spans="1:8" x14ac:dyDescent="0.25">
      <c r="A224" s="3" t="s">
        <v>557</v>
      </c>
      <c r="B224" s="3" t="s">
        <v>3280</v>
      </c>
      <c r="C224" s="3" t="s">
        <v>271</v>
      </c>
      <c r="D224" s="3" t="s">
        <v>297</v>
      </c>
      <c r="E224" s="3" t="s">
        <v>3281</v>
      </c>
      <c r="F224" s="3" t="s">
        <v>324</v>
      </c>
      <c r="G224" s="3" t="s">
        <v>337</v>
      </c>
      <c r="H224" s="3"/>
    </row>
    <row r="225" spans="1:8" x14ac:dyDescent="0.25">
      <c r="A225" s="3" t="s">
        <v>558</v>
      </c>
      <c r="B225" s="3" t="s">
        <v>3282</v>
      </c>
      <c r="C225" s="3" t="s">
        <v>66</v>
      </c>
      <c r="D225" s="3" t="s">
        <v>312</v>
      </c>
      <c r="E225" s="3">
        <v>575.54999999999995</v>
      </c>
      <c r="F225" s="3" t="s">
        <v>324</v>
      </c>
      <c r="G225" s="3" t="s">
        <v>325</v>
      </c>
      <c r="H225" s="3" t="s">
        <v>332</v>
      </c>
    </row>
    <row r="226" spans="1:8" x14ac:dyDescent="0.25">
      <c r="A226" s="3" t="s">
        <v>559</v>
      </c>
      <c r="B226" s="3" t="s">
        <v>3283</v>
      </c>
      <c r="C226" s="3" t="s">
        <v>11</v>
      </c>
      <c r="D226" s="3" t="s">
        <v>312</v>
      </c>
      <c r="E226" s="3" t="s">
        <v>3284</v>
      </c>
      <c r="F226" s="3" t="s">
        <v>381</v>
      </c>
      <c r="G226" s="3"/>
      <c r="H226" s="3" t="s">
        <v>346</v>
      </c>
    </row>
    <row r="227" spans="1:8" x14ac:dyDescent="0.25">
      <c r="A227" s="3" t="s">
        <v>560</v>
      </c>
      <c r="B227" s="3" t="s">
        <v>3285</v>
      </c>
      <c r="C227" s="3" t="s">
        <v>96</v>
      </c>
      <c r="D227" s="3" t="s">
        <v>309</v>
      </c>
      <c r="E227" s="3">
        <v>785.94</v>
      </c>
      <c r="F227" s="3" t="s">
        <v>324</v>
      </c>
      <c r="G227" s="3" t="s">
        <v>329</v>
      </c>
      <c r="H227" s="3" t="s">
        <v>346</v>
      </c>
    </row>
    <row r="228" spans="1:8" x14ac:dyDescent="0.25">
      <c r="A228" s="3" t="s">
        <v>561</v>
      </c>
      <c r="B228" s="3" t="s">
        <v>3286</v>
      </c>
      <c r="C228" s="3" t="s">
        <v>117</v>
      </c>
      <c r="D228" s="3" t="s">
        <v>294</v>
      </c>
      <c r="E228" s="3">
        <v>351.61</v>
      </c>
      <c r="F228" s="3" t="s">
        <v>381</v>
      </c>
      <c r="G228" s="3" t="s">
        <v>325</v>
      </c>
      <c r="H228" s="3" t="s">
        <v>332</v>
      </c>
    </row>
    <row r="229" spans="1:8" x14ac:dyDescent="0.25">
      <c r="A229" s="3" t="s">
        <v>562</v>
      </c>
      <c r="B229" s="3" t="s">
        <v>3287</v>
      </c>
      <c r="C229" s="3" t="s">
        <v>113</v>
      </c>
      <c r="D229" s="3" t="s">
        <v>315</v>
      </c>
      <c r="E229" s="3" t="s">
        <v>3288</v>
      </c>
      <c r="F229" s="3" t="s">
        <v>3017</v>
      </c>
      <c r="G229" s="3" t="s">
        <v>327</v>
      </c>
      <c r="H229" s="3"/>
    </row>
    <row r="230" spans="1:8" x14ac:dyDescent="0.25">
      <c r="A230" s="3" t="s">
        <v>563</v>
      </c>
      <c r="B230" s="3" t="s">
        <v>3289</v>
      </c>
      <c r="C230" s="3" t="s">
        <v>179</v>
      </c>
      <c r="D230" s="3" t="s">
        <v>297</v>
      </c>
      <c r="E230" s="3" t="s">
        <v>3290</v>
      </c>
      <c r="F230" s="3" t="s">
        <v>2973</v>
      </c>
      <c r="G230" s="3" t="s">
        <v>327</v>
      </c>
      <c r="H230" s="3" t="s">
        <v>346</v>
      </c>
    </row>
    <row r="231" spans="1:8" x14ac:dyDescent="0.25">
      <c r="A231" s="3" t="s">
        <v>564</v>
      </c>
      <c r="B231" s="3" t="s">
        <v>3291</v>
      </c>
      <c r="C231" s="3" t="s">
        <v>125</v>
      </c>
      <c r="D231" s="3" t="s">
        <v>300</v>
      </c>
      <c r="E231" s="3">
        <v>311.14</v>
      </c>
      <c r="F231" s="3" t="s">
        <v>324</v>
      </c>
      <c r="G231" s="3" t="s">
        <v>327</v>
      </c>
      <c r="H231" s="3" t="s">
        <v>334</v>
      </c>
    </row>
    <row r="232" spans="1:8" x14ac:dyDescent="0.25">
      <c r="A232" s="3" t="s">
        <v>565</v>
      </c>
      <c r="B232" s="3" t="s">
        <v>3292</v>
      </c>
      <c r="C232" s="3" t="s">
        <v>90</v>
      </c>
      <c r="D232" s="3" t="s">
        <v>294</v>
      </c>
      <c r="E232" s="3">
        <v>428.64</v>
      </c>
      <c r="F232" s="3" t="s">
        <v>324</v>
      </c>
      <c r="G232" s="3" t="s">
        <v>325</v>
      </c>
      <c r="H232" s="3"/>
    </row>
    <row r="233" spans="1:8" x14ac:dyDescent="0.25">
      <c r="A233" s="3" t="s">
        <v>566</v>
      </c>
      <c r="B233" s="3" t="s">
        <v>3293</v>
      </c>
      <c r="C233" s="3" t="s">
        <v>86</v>
      </c>
      <c r="D233" s="3" t="s">
        <v>309</v>
      </c>
      <c r="E233" s="3">
        <v>1019.5</v>
      </c>
      <c r="F233" s="3" t="s">
        <v>324</v>
      </c>
      <c r="G233" s="3" t="s">
        <v>337</v>
      </c>
      <c r="H233" s="3" t="s">
        <v>332</v>
      </c>
    </row>
    <row r="234" spans="1:8" x14ac:dyDescent="0.25">
      <c r="A234" s="3" t="s">
        <v>567</v>
      </c>
      <c r="B234" s="3" t="s">
        <v>3294</v>
      </c>
      <c r="C234" s="3" t="s">
        <v>269</v>
      </c>
      <c r="D234" s="3" t="s">
        <v>312</v>
      </c>
      <c r="E234" s="3" t="s">
        <v>3295</v>
      </c>
      <c r="F234" s="3" t="s">
        <v>324</v>
      </c>
      <c r="G234" s="3" t="s">
        <v>325</v>
      </c>
      <c r="H234" s="3"/>
    </row>
    <row r="235" spans="1:8" x14ac:dyDescent="0.25">
      <c r="A235" s="3" t="s">
        <v>568</v>
      </c>
      <c r="B235" s="3" t="s">
        <v>3296</v>
      </c>
      <c r="C235" s="3" t="s">
        <v>153</v>
      </c>
      <c r="D235" s="3" t="s">
        <v>315</v>
      </c>
      <c r="E235" s="3" t="s">
        <v>3297</v>
      </c>
      <c r="F235" s="3" t="s">
        <v>324</v>
      </c>
      <c r="G235" s="3" t="s">
        <v>327</v>
      </c>
      <c r="H235" s="3"/>
    </row>
    <row r="236" spans="1:8" x14ac:dyDescent="0.25">
      <c r="A236" s="3" t="s">
        <v>569</v>
      </c>
      <c r="B236" s="3" t="s">
        <v>3298</v>
      </c>
      <c r="C236" s="3" t="s">
        <v>153</v>
      </c>
      <c r="D236" s="3" t="s">
        <v>294</v>
      </c>
      <c r="E236" s="3" t="s">
        <v>3299</v>
      </c>
      <c r="F236" s="3" t="s">
        <v>331</v>
      </c>
      <c r="G236" s="3" t="s">
        <v>325</v>
      </c>
      <c r="H236" s="3"/>
    </row>
    <row r="237" spans="1:8" x14ac:dyDescent="0.25">
      <c r="A237" s="3" t="s">
        <v>570</v>
      </c>
      <c r="B237" s="3" t="s">
        <v>3300</v>
      </c>
      <c r="C237" s="3" t="s">
        <v>38</v>
      </c>
      <c r="D237" s="3" t="s">
        <v>294</v>
      </c>
      <c r="E237" s="3">
        <v>325.35000000000002</v>
      </c>
      <c r="F237" s="3" t="s">
        <v>331</v>
      </c>
      <c r="G237" s="3" t="s">
        <v>327</v>
      </c>
      <c r="H237" s="3"/>
    </row>
    <row r="238" spans="1:8" x14ac:dyDescent="0.25">
      <c r="A238" s="3" t="s">
        <v>571</v>
      </c>
      <c r="B238" s="3" t="s">
        <v>3301</v>
      </c>
      <c r="C238" s="3" t="s">
        <v>217</v>
      </c>
      <c r="D238" s="3" t="s">
        <v>297</v>
      </c>
      <c r="E238" s="3" t="s">
        <v>3302</v>
      </c>
      <c r="F238" s="3" t="s">
        <v>324</v>
      </c>
      <c r="G238" s="3" t="s">
        <v>325</v>
      </c>
      <c r="H238" s="3"/>
    </row>
    <row r="239" spans="1:8" x14ac:dyDescent="0.25">
      <c r="A239" s="3" t="s">
        <v>572</v>
      </c>
      <c r="B239" s="3" t="s">
        <v>3205</v>
      </c>
      <c r="C239" s="3" t="s">
        <v>70</v>
      </c>
      <c r="D239" s="3" t="s">
        <v>312</v>
      </c>
      <c r="E239" s="3">
        <v>382.3</v>
      </c>
      <c r="F239" s="3" t="s">
        <v>2976</v>
      </c>
      <c r="G239" s="3" t="s">
        <v>327</v>
      </c>
      <c r="H239" s="3"/>
    </row>
    <row r="240" spans="1:8" x14ac:dyDescent="0.25">
      <c r="A240" s="3" t="s">
        <v>573</v>
      </c>
      <c r="B240" s="3" t="s">
        <v>3303</v>
      </c>
      <c r="C240" s="3" t="s">
        <v>137</v>
      </c>
      <c r="D240" s="3" t="s">
        <v>306</v>
      </c>
      <c r="E240" s="3">
        <v>-533.47</v>
      </c>
      <c r="F240" s="3" t="s">
        <v>349</v>
      </c>
      <c r="G240" s="3" t="s">
        <v>327</v>
      </c>
      <c r="H240" s="3" t="s">
        <v>334</v>
      </c>
    </row>
    <row r="241" spans="1:8" x14ac:dyDescent="0.25">
      <c r="A241" s="3" t="s">
        <v>574</v>
      </c>
      <c r="B241" s="3" t="s">
        <v>3304</v>
      </c>
      <c r="C241" s="3" t="s">
        <v>271</v>
      </c>
      <c r="D241" s="3" t="s">
        <v>294</v>
      </c>
      <c r="E241" s="3">
        <v>205.12</v>
      </c>
      <c r="F241" s="3" t="s">
        <v>2995</v>
      </c>
      <c r="G241" s="3" t="s">
        <v>327</v>
      </c>
      <c r="H241" s="3" t="s">
        <v>334</v>
      </c>
    </row>
    <row r="242" spans="1:8" x14ac:dyDescent="0.25">
      <c r="A242" s="3" t="s">
        <v>575</v>
      </c>
      <c r="B242" s="3" t="s">
        <v>3137</v>
      </c>
      <c r="C242" s="3" t="s">
        <v>82</v>
      </c>
      <c r="D242" s="3" t="s">
        <v>294</v>
      </c>
      <c r="E242" s="3">
        <v>-980.49</v>
      </c>
      <c r="F242" s="3" t="s">
        <v>3006</v>
      </c>
      <c r="G242" s="3" t="s">
        <v>325</v>
      </c>
      <c r="H242" s="3" t="s">
        <v>332</v>
      </c>
    </row>
    <row r="243" spans="1:8" x14ac:dyDescent="0.25">
      <c r="A243" s="3" t="s">
        <v>576</v>
      </c>
      <c r="B243" s="3" t="s">
        <v>3305</v>
      </c>
      <c r="C243" s="3" t="s">
        <v>133</v>
      </c>
      <c r="D243" s="3" t="s">
        <v>297</v>
      </c>
      <c r="E243" s="3">
        <v>850.76</v>
      </c>
      <c r="F243" s="3" t="s">
        <v>2976</v>
      </c>
      <c r="G243" s="3" t="s">
        <v>325</v>
      </c>
      <c r="H243" s="3"/>
    </row>
    <row r="244" spans="1:8" x14ac:dyDescent="0.25">
      <c r="A244" s="3" t="s">
        <v>577</v>
      </c>
      <c r="B244" s="3" t="s">
        <v>3306</v>
      </c>
      <c r="C244" s="3" t="s">
        <v>35</v>
      </c>
      <c r="D244" s="3" t="s">
        <v>294</v>
      </c>
      <c r="E244" s="3">
        <v>97.08</v>
      </c>
      <c r="F244" s="3" t="s">
        <v>324</v>
      </c>
      <c r="G244" s="3" t="s">
        <v>327</v>
      </c>
      <c r="H244" s="3" t="s">
        <v>334</v>
      </c>
    </row>
    <row r="245" spans="1:8" x14ac:dyDescent="0.25">
      <c r="A245" s="3" t="s">
        <v>578</v>
      </c>
      <c r="B245" s="3" t="s">
        <v>3070</v>
      </c>
      <c r="C245" s="3" t="s">
        <v>189</v>
      </c>
      <c r="D245" s="3" t="s">
        <v>315</v>
      </c>
      <c r="E245" s="3">
        <v>-188.91</v>
      </c>
      <c r="F245" s="3" t="s">
        <v>349</v>
      </c>
      <c r="G245" s="3" t="s">
        <v>327</v>
      </c>
      <c r="H245" s="3"/>
    </row>
    <row r="246" spans="1:8" x14ac:dyDescent="0.25">
      <c r="A246" s="3" t="s">
        <v>579</v>
      </c>
      <c r="B246" s="3" t="s">
        <v>3044</v>
      </c>
      <c r="C246" s="3" t="s">
        <v>163</v>
      </c>
      <c r="D246" s="3" t="s">
        <v>300</v>
      </c>
      <c r="E246" s="3" t="s">
        <v>3307</v>
      </c>
      <c r="F246" s="3" t="s">
        <v>324</v>
      </c>
      <c r="G246" s="3" t="s">
        <v>329</v>
      </c>
      <c r="H246" s="3"/>
    </row>
    <row r="247" spans="1:8" x14ac:dyDescent="0.25">
      <c r="A247" s="3" t="s">
        <v>580</v>
      </c>
      <c r="B247" s="3" t="s">
        <v>3308</v>
      </c>
      <c r="C247" s="3" t="s">
        <v>131</v>
      </c>
      <c r="D247" s="3" t="s">
        <v>315</v>
      </c>
      <c r="E247" s="3">
        <v>107.17</v>
      </c>
      <c r="F247" s="3" t="s">
        <v>2973</v>
      </c>
      <c r="G247" s="3" t="s">
        <v>327</v>
      </c>
      <c r="H247" s="3" t="s">
        <v>334</v>
      </c>
    </row>
    <row r="248" spans="1:8" x14ac:dyDescent="0.25">
      <c r="A248" s="3" t="s">
        <v>581</v>
      </c>
      <c r="B248" s="3" t="s">
        <v>3309</v>
      </c>
      <c r="C248" s="3" t="s">
        <v>161</v>
      </c>
      <c r="D248" s="3" t="s">
        <v>294</v>
      </c>
      <c r="E248" s="3">
        <v>611.41</v>
      </c>
      <c r="F248" s="3" t="s">
        <v>324</v>
      </c>
      <c r="G248" s="3" t="s">
        <v>327</v>
      </c>
      <c r="H248" s="3" t="s">
        <v>332</v>
      </c>
    </row>
    <row r="249" spans="1:8" x14ac:dyDescent="0.25">
      <c r="A249" s="3" t="s">
        <v>582</v>
      </c>
      <c r="B249" s="3" t="s">
        <v>3310</v>
      </c>
      <c r="C249" s="3" t="s">
        <v>201</v>
      </c>
      <c r="D249" s="3" t="s">
        <v>300</v>
      </c>
      <c r="E249" s="3">
        <v>301.89</v>
      </c>
      <c r="F249" s="3" t="s">
        <v>324</v>
      </c>
      <c r="G249" s="3" t="s">
        <v>337</v>
      </c>
      <c r="H249" s="3" t="s">
        <v>346</v>
      </c>
    </row>
    <row r="250" spans="1:8" x14ac:dyDescent="0.25">
      <c r="A250" s="3" t="s">
        <v>583</v>
      </c>
      <c r="B250" s="3" t="s">
        <v>3311</v>
      </c>
      <c r="C250" s="3" t="s">
        <v>169</v>
      </c>
      <c r="D250" s="3" t="s">
        <v>300</v>
      </c>
      <c r="E250" s="3">
        <v>269.88</v>
      </c>
      <c r="F250" s="3" t="s">
        <v>324</v>
      </c>
      <c r="G250" s="3" t="s">
        <v>325</v>
      </c>
      <c r="H250" s="3"/>
    </row>
    <row r="251" spans="1:8" x14ac:dyDescent="0.25">
      <c r="A251" s="3" t="s">
        <v>584</v>
      </c>
      <c r="B251" s="3" t="s">
        <v>3312</v>
      </c>
      <c r="C251" s="3" t="s">
        <v>60</v>
      </c>
      <c r="D251" s="3" t="s">
        <v>312</v>
      </c>
      <c r="E251" s="3">
        <v>664.37</v>
      </c>
      <c r="F251" s="3" t="s">
        <v>2976</v>
      </c>
      <c r="G251" s="3" t="s">
        <v>337</v>
      </c>
      <c r="H251" s="3" t="s">
        <v>332</v>
      </c>
    </row>
    <row r="252" spans="1:8" x14ac:dyDescent="0.25">
      <c r="A252" s="3" t="s">
        <v>585</v>
      </c>
      <c r="B252" s="3" t="s">
        <v>3313</v>
      </c>
      <c r="C252" s="3" t="s">
        <v>161</v>
      </c>
      <c r="D252" s="3" t="s">
        <v>294</v>
      </c>
      <c r="E252" s="3" t="s">
        <v>3314</v>
      </c>
      <c r="F252" s="3" t="s">
        <v>3178</v>
      </c>
      <c r="G252" s="3" t="s">
        <v>325</v>
      </c>
      <c r="H252" s="3"/>
    </row>
    <row r="253" spans="1:8" x14ac:dyDescent="0.25">
      <c r="A253" s="3" t="s">
        <v>586</v>
      </c>
      <c r="B253" s="3" t="s">
        <v>3315</v>
      </c>
      <c r="C253" s="3" t="s">
        <v>175</v>
      </c>
      <c r="D253" s="3" t="s">
        <v>315</v>
      </c>
      <c r="E253" s="3">
        <v>270.04000000000002</v>
      </c>
      <c r="F253" s="3" t="s">
        <v>324</v>
      </c>
      <c r="G253" s="3" t="s">
        <v>327</v>
      </c>
      <c r="H253" s="3"/>
    </row>
    <row r="254" spans="1:8" x14ac:dyDescent="0.25">
      <c r="A254" s="3" t="s">
        <v>587</v>
      </c>
      <c r="B254" s="3" t="s">
        <v>3316</v>
      </c>
      <c r="C254" s="3" t="s">
        <v>78</v>
      </c>
      <c r="D254" s="3" t="s">
        <v>297</v>
      </c>
      <c r="E254" s="3" t="s">
        <v>3317</v>
      </c>
      <c r="F254" s="3" t="s">
        <v>324</v>
      </c>
      <c r="G254" s="3" t="s">
        <v>325</v>
      </c>
      <c r="H254" s="3"/>
    </row>
    <row r="255" spans="1:8" x14ac:dyDescent="0.25">
      <c r="A255" s="3" t="s">
        <v>588</v>
      </c>
      <c r="B255" s="3" t="s">
        <v>3318</v>
      </c>
      <c r="C255" s="3" t="s">
        <v>137</v>
      </c>
      <c r="D255" s="3" t="s">
        <v>297</v>
      </c>
      <c r="E255" s="3">
        <v>676.16</v>
      </c>
      <c r="F255" s="3" t="s">
        <v>331</v>
      </c>
      <c r="G255" s="3" t="s">
        <v>337</v>
      </c>
      <c r="H255" s="3" t="s">
        <v>334</v>
      </c>
    </row>
    <row r="256" spans="1:8" x14ac:dyDescent="0.25">
      <c r="A256" s="3" t="s">
        <v>589</v>
      </c>
      <c r="B256" s="3" t="s">
        <v>3319</v>
      </c>
      <c r="C256" s="3" t="s">
        <v>90</v>
      </c>
      <c r="D256" s="3" t="s">
        <v>312</v>
      </c>
      <c r="E256" s="3">
        <v>747.8</v>
      </c>
      <c r="F256" s="3" t="s">
        <v>2976</v>
      </c>
      <c r="G256" s="3" t="s">
        <v>337</v>
      </c>
      <c r="H256" s="3"/>
    </row>
    <row r="257" spans="1:8" x14ac:dyDescent="0.25">
      <c r="A257" s="3" t="s">
        <v>590</v>
      </c>
      <c r="B257" s="3" t="s">
        <v>3129</v>
      </c>
      <c r="C257" s="3" t="s">
        <v>271</v>
      </c>
      <c r="D257" s="3" t="s">
        <v>303</v>
      </c>
      <c r="E257" s="3">
        <v>559.29999999999995</v>
      </c>
      <c r="F257" s="3" t="s">
        <v>324</v>
      </c>
      <c r="G257" s="3"/>
      <c r="H257" s="3"/>
    </row>
    <row r="258" spans="1:8" x14ac:dyDescent="0.25">
      <c r="A258" s="3" t="s">
        <v>591</v>
      </c>
      <c r="B258" s="3" t="s">
        <v>3103</v>
      </c>
      <c r="C258" s="3" t="s">
        <v>217</v>
      </c>
      <c r="D258" s="3" t="s">
        <v>300</v>
      </c>
      <c r="E258" s="3" t="s">
        <v>3320</v>
      </c>
      <c r="F258" s="3" t="s">
        <v>3017</v>
      </c>
      <c r="G258" s="3" t="s">
        <v>337</v>
      </c>
      <c r="H258" s="3" t="s">
        <v>346</v>
      </c>
    </row>
    <row r="259" spans="1:8" x14ac:dyDescent="0.25">
      <c r="A259" s="3" t="s">
        <v>592</v>
      </c>
      <c r="B259" s="3" t="s">
        <v>3321</v>
      </c>
      <c r="C259" s="3" t="s">
        <v>143</v>
      </c>
      <c r="D259" s="3" t="s">
        <v>294</v>
      </c>
      <c r="E259" s="3">
        <v>385.06</v>
      </c>
      <c r="F259" s="3" t="s">
        <v>2995</v>
      </c>
      <c r="G259" s="3" t="s">
        <v>325</v>
      </c>
      <c r="H259" s="3" t="s">
        <v>334</v>
      </c>
    </row>
    <row r="260" spans="1:8" x14ac:dyDescent="0.25">
      <c r="A260" s="3" t="s">
        <v>593</v>
      </c>
      <c r="B260" s="3" t="s">
        <v>3193</v>
      </c>
      <c r="C260" s="3" t="s">
        <v>90</v>
      </c>
      <c r="D260" s="3" t="s">
        <v>300</v>
      </c>
      <c r="E260" s="3" t="s">
        <v>3322</v>
      </c>
      <c r="F260" s="3" t="s">
        <v>324</v>
      </c>
      <c r="G260" s="3" t="s">
        <v>325</v>
      </c>
      <c r="H260" s="3" t="s">
        <v>334</v>
      </c>
    </row>
    <row r="261" spans="1:8" x14ac:dyDescent="0.25">
      <c r="A261" s="3" t="s">
        <v>594</v>
      </c>
      <c r="B261" s="3" t="s">
        <v>3323</v>
      </c>
      <c r="C261" s="3" t="s">
        <v>68</v>
      </c>
      <c r="D261" s="3" t="s">
        <v>300</v>
      </c>
      <c r="E261" s="3">
        <v>-230.1</v>
      </c>
      <c r="F261" s="3" t="s">
        <v>349</v>
      </c>
      <c r="G261" s="3" t="s">
        <v>325</v>
      </c>
      <c r="H261" s="3"/>
    </row>
    <row r="262" spans="1:8" x14ac:dyDescent="0.25">
      <c r="A262" s="3" t="s">
        <v>595</v>
      </c>
      <c r="B262" s="3" t="s">
        <v>3324</v>
      </c>
      <c r="C262" s="3" t="s">
        <v>191</v>
      </c>
      <c r="D262" s="3" t="s">
        <v>309</v>
      </c>
      <c r="E262" s="3" t="s">
        <v>3325</v>
      </c>
      <c r="F262" s="3" t="s">
        <v>3178</v>
      </c>
      <c r="G262" s="3" t="s">
        <v>325</v>
      </c>
      <c r="H262" s="3"/>
    </row>
    <row r="263" spans="1:8" x14ac:dyDescent="0.25">
      <c r="A263" s="3" t="s">
        <v>596</v>
      </c>
      <c r="B263" s="3" t="s">
        <v>3326</v>
      </c>
      <c r="C263" s="3" t="s">
        <v>98</v>
      </c>
      <c r="D263" s="3" t="s">
        <v>300</v>
      </c>
      <c r="E263" s="3">
        <v>285.83</v>
      </c>
      <c r="F263" s="3" t="s">
        <v>2988</v>
      </c>
      <c r="G263" s="3" t="s">
        <v>337</v>
      </c>
      <c r="H263" s="3" t="s">
        <v>332</v>
      </c>
    </row>
    <row r="264" spans="1:8" x14ac:dyDescent="0.25">
      <c r="A264" s="3" t="s">
        <v>597</v>
      </c>
      <c r="B264" s="3" t="s">
        <v>3327</v>
      </c>
      <c r="C264" s="3" t="s">
        <v>139</v>
      </c>
      <c r="D264" s="3" t="s">
        <v>294</v>
      </c>
      <c r="E264" s="3" t="s">
        <v>3328</v>
      </c>
      <c r="F264" s="3" t="s">
        <v>381</v>
      </c>
      <c r="G264" s="3" t="s">
        <v>327</v>
      </c>
      <c r="H264" s="3" t="s">
        <v>346</v>
      </c>
    </row>
    <row r="265" spans="1:8" x14ac:dyDescent="0.25">
      <c r="A265" s="3" t="s">
        <v>598</v>
      </c>
      <c r="B265" s="3" t="s">
        <v>3329</v>
      </c>
      <c r="C265" s="3" t="s">
        <v>103</v>
      </c>
      <c r="D265" s="3" t="s">
        <v>315</v>
      </c>
      <c r="E265" s="3" t="s">
        <v>3330</v>
      </c>
      <c r="F265" s="3" t="s">
        <v>2988</v>
      </c>
      <c r="G265" s="3" t="s">
        <v>329</v>
      </c>
      <c r="H265" s="3"/>
    </row>
    <row r="266" spans="1:8" x14ac:dyDescent="0.25">
      <c r="A266" s="3" t="s">
        <v>599</v>
      </c>
      <c r="B266" s="3" t="s">
        <v>3331</v>
      </c>
      <c r="C266" s="3" t="s">
        <v>76</v>
      </c>
      <c r="D266" s="3" t="s">
        <v>297</v>
      </c>
      <c r="E266" s="3">
        <v>137.71</v>
      </c>
      <c r="F266" s="3" t="s">
        <v>2976</v>
      </c>
      <c r="G266" s="3" t="s">
        <v>325</v>
      </c>
      <c r="H266" s="3" t="s">
        <v>332</v>
      </c>
    </row>
    <row r="267" spans="1:8" x14ac:dyDescent="0.25">
      <c r="A267" s="3" t="s">
        <v>600</v>
      </c>
      <c r="B267" s="3" t="s">
        <v>3332</v>
      </c>
      <c r="C267" s="3" t="s">
        <v>227</v>
      </c>
      <c r="D267" s="3" t="s">
        <v>300</v>
      </c>
      <c r="E267" s="3" t="s">
        <v>3333</v>
      </c>
      <c r="F267" s="3" t="s">
        <v>324</v>
      </c>
      <c r="G267" s="3" t="s">
        <v>325</v>
      </c>
      <c r="H267" s="3"/>
    </row>
    <row r="268" spans="1:8" x14ac:dyDescent="0.25">
      <c r="A268" s="3" t="s">
        <v>601</v>
      </c>
      <c r="B268" s="3" t="s">
        <v>3334</v>
      </c>
      <c r="C268" s="3" t="s">
        <v>221</v>
      </c>
      <c r="D268" s="3" t="s">
        <v>306</v>
      </c>
      <c r="E268" s="3" t="s">
        <v>3335</v>
      </c>
      <c r="F268" s="3" t="s">
        <v>2973</v>
      </c>
      <c r="G268" s="3" t="s">
        <v>337</v>
      </c>
      <c r="H268" s="3"/>
    </row>
    <row r="269" spans="1:8" x14ac:dyDescent="0.25">
      <c r="A269" s="3" t="s">
        <v>602</v>
      </c>
      <c r="B269" s="3" t="s">
        <v>3336</v>
      </c>
      <c r="C269" s="3" t="s">
        <v>123</v>
      </c>
      <c r="D269" s="3" t="s">
        <v>294</v>
      </c>
      <c r="E269" s="3">
        <v>797.67</v>
      </c>
      <c r="F269" s="3" t="s">
        <v>324</v>
      </c>
      <c r="G269" s="3" t="s">
        <v>329</v>
      </c>
      <c r="H269" s="3"/>
    </row>
    <row r="270" spans="1:8" x14ac:dyDescent="0.25">
      <c r="A270" s="3" t="s">
        <v>603</v>
      </c>
      <c r="B270" s="3" t="s">
        <v>3337</v>
      </c>
      <c r="C270" s="3" t="s">
        <v>90</v>
      </c>
      <c r="D270" s="3" t="s">
        <v>294</v>
      </c>
      <c r="E270" s="3">
        <v>408.45</v>
      </c>
      <c r="F270" s="3" t="s">
        <v>3097</v>
      </c>
      <c r="G270" s="3" t="s">
        <v>337</v>
      </c>
      <c r="H270" s="3" t="s">
        <v>334</v>
      </c>
    </row>
    <row r="271" spans="1:8" x14ac:dyDescent="0.25">
      <c r="A271" s="3" t="s">
        <v>604</v>
      </c>
      <c r="B271" s="3" t="s">
        <v>3338</v>
      </c>
      <c r="C271" s="3" t="s">
        <v>121</v>
      </c>
      <c r="D271" s="3" t="s">
        <v>294</v>
      </c>
      <c r="E271" s="3">
        <v>809.54</v>
      </c>
      <c r="F271" s="3" t="s">
        <v>2976</v>
      </c>
      <c r="G271" s="3" t="s">
        <v>329</v>
      </c>
      <c r="H271" s="3"/>
    </row>
    <row r="272" spans="1:8" x14ac:dyDescent="0.25">
      <c r="A272" s="3" t="s">
        <v>605</v>
      </c>
      <c r="B272" s="3" t="s">
        <v>3339</v>
      </c>
      <c r="C272" s="3" t="s">
        <v>235</v>
      </c>
      <c r="D272" s="3" t="s">
        <v>303</v>
      </c>
      <c r="E272" s="3" t="s">
        <v>3340</v>
      </c>
      <c r="F272" s="3" t="s">
        <v>2976</v>
      </c>
      <c r="G272" s="3" t="s">
        <v>325</v>
      </c>
      <c r="H272" s="3" t="s">
        <v>346</v>
      </c>
    </row>
    <row r="273" spans="1:8" x14ac:dyDescent="0.25">
      <c r="A273" s="3" t="s">
        <v>606</v>
      </c>
      <c r="B273" s="3" t="s">
        <v>3341</v>
      </c>
      <c r="C273" s="3" t="s">
        <v>11</v>
      </c>
      <c r="D273" s="3" t="s">
        <v>300</v>
      </c>
      <c r="E273" s="3">
        <v>626.91</v>
      </c>
      <c r="F273" s="3" t="s">
        <v>2976</v>
      </c>
      <c r="G273" s="3" t="s">
        <v>327</v>
      </c>
      <c r="H273" s="3" t="s">
        <v>332</v>
      </c>
    </row>
    <row r="274" spans="1:8" x14ac:dyDescent="0.25">
      <c r="A274" s="3" t="s">
        <v>607</v>
      </c>
      <c r="B274" s="3" t="s">
        <v>3342</v>
      </c>
      <c r="C274" s="3" t="s">
        <v>215</v>
      </c>
      <c r="D274" s="3" t="s">
        <v>309</v>
      </c>
      <c r="E274" s="3">
        <v>579.35</v>
      </c>
      <c r="F274" s="3" t="s">
        <v>324</v>
      </c>
      <c r="G274" s="3" t="s">
        <v>329</v>
      </c>
      <c r="H274" s="3" t="s">
        <v>332</v>
      </c>
    </row>
    <row r="275" spans="1:8" x14ac:dyDescent="0.25">
      <c r="A275" s="3" t="s">
        <v>608</v>
      </c>
      <c r="B275" s="3" t="s">
        <v>3343</v>
      </c>
      <c r="C275" s="3" t="s">
        <v>123</v>
      </c>
      <c r="D275" s="3" t="s">
        <v>300</v>
      </c>
      <c r="E275" s="3">
        <v>457.33</v>
      </c>
      <c r="F275" s="3" t="s">
        <v>2995</v>
      </c>
      <c r="G275" s="3" t="s">
        <v>337</v>
      </c>
      <c r="H275" s="3" t="s">
        <v>332</v>
      </c>
    </row>
    <row r="276" spans="1:8" x14ac:dyDescent="0.25">
      <c r="A276" s="3" t="s">
        <v>609</v>
      </c>
      <c r="B276" s="3" t="s">
        <v>3344</v>
      </c>
      <c r="C276" s="3" t="s">
        <v>261</v>
      </c>
      <c r="D276" s="3" t="s">
        <v>300</v>
      </c>
      <c r="E276" s="3" t="s">
        <v>3345</v>
      </c>
      <c r="F276" s="3" t="s">
        <v>324</v>
      </c>
      <c r="G276" s="3" t="s">
        <v>337</v>
      </c>
      <c r="H276" s="3" t="s">
        <v>334</v>
      </c>
    </row>
    <row r="277" spans="1:8" x14ac:dyDescent="0.25">
      <c r="A277" s="3" t="s">
        <v>610</v>
      </c>
      <c r="B277" s="3" t="s">
        <v>3337</v>
      </c>
      <c r="C277" s="3" t="s">
        <v>193</v>
      </c>
      <c r="D277" s="3" t="s">
        <v>312</v>
      </c>
      <c r="E277" s="3">
        <v>912.88</v>
      </c>
      <c r="F277" s="3" t="s">
        <v>2973</v>
      </c>
      <c r="G277" s="3" t="s">
        <v>337</v>
      </c>
      <c r="H277" s="3"/>
    </row>
    <row r="278" spans="1:8" x14ac:dyDescent="0.25">
      <c r="A278" s="3" t="s">
        <v>611</v>
      </c>
      <c r="B278" s="3" t="s">
        <v>3346</v>
      </c>
      <c r="C278" s="3" t="s">
        <v>211</v>
      </c>
      <c r="D278" s="3" t="s">
        <v>303</v>
      </c>
      <c r="E278" s="3">
        <v>409.19</v>
      </c>
      <c r="F278" s="3" t="s">
        <v>324</v>
      </c>
      <c r="G278" s="3" t="s">
        <v>337</v>
      </c>
      <c r="H278" s="3" t="s">
        <v>332</v>
      </c>
    </row>
    <row r="279" spans="1:8" x14ac:dyDescent="0.25">
      <c r="A279" s="3" t="s">
        <v>612</v>
      </c>
      <c r="B279" s="3" t="s">
        <v>3347</v>
      </c>
      <c r="C279" s="3" t="s">
        <v>137</v>
      </c>
      <c r="D279" s="3" t="s">
        <v>306</v>
      </c>
      <c r="E279" s="3">
        <v>71.459999999999994</v>
      </c>
      <c r="F279" s="3" t="s">
        <v>2973</v>
      </c>
      <c r="G279" s="3" t="s">
        <v>327</v>
      </c>
      <c r="H279" s="3" t="s">
        <v>334</v>
      </c>
    </row>
    <row r="280" spans="1:8" x14ac:dyDescent="0.25">
      <c r="A280" s="3" t="s">
        <v>613</v>
      </c>
      <c r="B280" s="3" t="s">
        <v>3348</v>
      </c>
      <c r="C280" s="3" t="s">
        <v>231</v>
      </c>
      <c r="D280" s="3" t="s">
        <v>303</v>
      </c>
      <c r="E280" s="3" t="s">
        <v>3349</v>
      </c>
      <c r="F280" s="3" t="s">
        <v>2980</v>
      </c>
      <c r="G280" s="3" t="s">
        <v>327</v>
      </c>
      <c r="H280" s="3"/>
    </row>
    <row r="281" spans="1:8" x14ac:dyDescent="0.25">
      <c r="A281" s="3" t="s">
        <v>614</v>
      </c>
      <c r="B281" s="3" t="s">
        <v>3350</v>
      </c>
      <c r="C281" s="3" t="s">
        <v>86</v>
      </c>
      <c r="D281" s="3" t="s">
        <v>303</v>
      </c>
      <c r="E281" s="3">
        <v>204.12</v>
      </c>
      <c r="F281" s="3" t="s">
        <v>2988</v>
      </c>
      <c r="G281" s="3" t="s">
        <v>329</v>
      </c>
      <c r="H281" s="3" t="s">
        <v>346</v>
      </c>
    </row>
    <row r="282" spans="1:8" x14ac:dyDescent="0.25">
      <c r="A282" s="3" t="s">
        <v>615</v>
      </c>
      <c r="B282" s="3" t="s">
        <v>3207</v>
      </c>
      <c r="C282" s="3" t="s">
        <v>231</v>
      </c>
      <c r="D282" s="3" t="s">
        <v>294</v>
      </c>
      <c r="E282" s="3" t="s">
        <v>3351</v>
      </c>
      <c r="F282" s="3" t="s">
        <v>324</v>
      </c>
      <c r="G282" s="3" t="s">
        <v>337</v>
      </c>
      <c r="H282" s="3"/>
    </row>
    <row r="283" spans="1:8" x14ac:dyDescent="0.25">
      <c r="A283" s="3" t="s">
        <v>616</v>
      </c>
      <c r="B283" s="3" t="s">
        <v>3352</v>
      </c>
      <c r="C283" s="3" t="s">
        <v>119</v>
      </c>
      <c r="D283" s="3" t="s">
        <v>300</v>
      </c>
      <c r="E283" s="3">
        <v>256.25</v>
      </c>
      <c r="F283" s="3" t="s">
        <v>2995</v>
      </c>
      <c r="G283" s="3" t="s">
        <v>325</v>
      </c>
      <c r="H283" s="3"/>
    </row>
    <row r="284" spans="1:8" x14ac:dyDescent="0.25">
      <c r="A284" s="3" t="s">
        <v>617</v>
      </c>
      <c r="B284" s="3" t="s">
        <v>3353</v>
      </c>
      <c r="C284" s="3" t="s">
        <v>29</v>
      </c>
      <c r="D284" s="3" t="s">
        <v>309</v>
      </c>
      <c r="E284" s="3" t="s">
        <v>3354</v>
      </c>
      <c r="F284" s="3" t="s">
        <v>2976</v>
      </c>
      <c r="G284" s="3" t="s">
        <v>329</v>
      </c>
      <c r="H284" s="3" t="s">
        <v>334</v>
      </c>
    </row>
    <row r="285" spans="1:8" x14ac:dyDescent="0.25">
      <c r="A285" s="3" t="s">
        <v>618</v>
      </c>
      <c r="B285" s="3" t="s">
        <v>3225</v>
      </c>
      <c r="C285" s="3" t="s">
        <v>201</v>
      </c>
      <c r="D285" s="3" t="s">
        <v>294</v>
      </c>
      <c r="E285" s="3">
        <v>469.76</v>
      </c>
      <c r="F285" s="3" t="s">
        <v>2995</v>
      </c>
      <c r="G285" s="3" t="s">
        <v>327</v>
      </c>
      <c r="H285" s="3"/>
    </row>
    <row r="286" spans="1:8" x14ac:dyDescent="0.25">
      <c r="A286" s="3" t="s">
        <v>619</v>
      </c>
      <c r="B286" s="3" t="s">
        <v>3355</v>
      </c>
      <c r="C286" s="3" t="s">
        <v>237</v>
      </c>
      <c r="D286" s="3" t="s">
        <v>297</v>
      </c>
      <c r="E286" s="3">
        <v>489.19</v>
      </c>
      <c r="F286" s="3" t="s">
        <v>324</v>
      </c>
      <c r="G286" s="3" t="s">
        <v>327</v>
      </c>
      <c r="H286" s="3" t="s">
        <v>346</v>
      </c>
    </row>
    <row r="287" spans="1:8" x14ac:dyDescent="0.25">
      <c r="A287" s="3" t="s">
        <v>620</v>
      </c>
      <c r="B287" s="3" t="s">
        <v>3356</v>
      </c>
      <c r="C287" s="3" t="s">
        <v>100</v>
      </c>
      <c r="D287" s="3" t="s">
        <v>294</v>
      </c>
      <c r="E287" s="3" t="s">
        <v>3357</v>
      </c>
      <c r="F287" s="3" t="s">
        <v>349</v>
      </c>
      <c r="G287" s="3" t="s">
        <v>327</v>
      </c>
      <c r="H287" s="3"/>
    </row>
    <row r="288" spans="1:8" x14ac:dyDescent="0.25">
      <c r="A288" s="3" t="s">
        <v>621</v>
      </c>
      <c r="B288" s="3" t="s">
        <v>3358</v>
      </c>
      <c r="C288" s="3" t="s">
        <v>58</v>
      </c>
      <c r="D288" s="3" t="s">
        <v>315</v>
      </c>
      <c r="E288" s="3">
        <v>117.26</v>
      </c>
      <c r="F288" s="3" t="s">
        <v>324</v>
      </c>
      <c r="G288" s="3" t="s">
        <v>337</v>
      </c>
      <c r="H288" s="3"/>
    </row>
    <row r="289" spans="1:8" x14ac:dyDescent="0.25">
      <c r="A289" s="3" t="s">
        <v>622</v>
      </c>
      <c r="B289" s="3" t="s">
        <v>3359</v>
      </c>
      <c r="C289" s="3" t="s">
        <v>123</v>
      </c>
      <c r="D289" s="3" t="s">
        <v>309</v>
      </c>
      <c r="E289" s="3" t="s">
        <v>3360</v>
      </c>
      <c r="F289" s="3" t="s">
        <v>2973</v>
      </c>
      <c r="G289" s="3" t="s">
        <v>325</v>
      </c>
      <c r="H289" s="3" t="s">
        <v>334</v>
      </c>
    </row>
    <row r="290" spans="1:8" x14ac:dyDescent="0.25">
      <c r="A290" s="3" t="s">
        <v>623</v>
      </c>
      <c r="B290" s="3" t="s">
        <v>3361</v>
      </c>
      <c r="C290" s="3" t="s">
        <v>179</v>
      </c>
      <c r="D290" s="3" t="s">
        <v>303</v>
      </c>
      <c r="E290" s="3">
        <v>349.14</v>
      </c>
      <c r="F290" s="3" t="s">
        <v>2973</v>
      </c>
      <c r="G290" s="3" t="s">
        <v>327</v>
      </c>
      <c r="H290" s="3" t="s">
        <v>346</v>
      </c>
    </row>
    <row r="291" spans="1:8" x14ac:dyDescent="0.25">
      <c r="A291" s="3" t="s">
        <v>624</v>
      </c>
      <c r="B291" s="3" t="s">
        <v>3362</v>
      </c>
      <c r="C291" s="3" t="s">
        <v>15</v>
      </c>
      <c r="D291" s="3" t="s">
        <v>303</v>
      </c>
      <c r="E291" s="3" t="s">
        <v>3363</v>
      </c>
      <c r="F291" s="3" t="s">
        <v>2988</v>
      </c>
      <c r="G291" s="3" t="s">
        <v>327</v>
      </c>
      <c r="H291" s="3"/>
    </row>
    <row r="292" spans="1:8" x14ac:dyDescent="0.25">
      <c r="A292" s="3" t="s">
        <v>625</v>
      </c>
      <c r="B292" s="3" t="s">
        <v>3356</v>
      </c>
      <c r="C292" s="3" t="s">
        <v>49</v>
      </c>
      <c r="D292" s="3" t="s">
        <v>297</v>
      </c>
      <c r="E292" s="3">
        <v>1147.28</v>
      </c>
      <c r="F292" s="3" t="s">
        <v>331</v>
      </c>
      <c r="G292" s="3" t="s">
        <v>327</v>
      </c>
      <c r="H292" s="3" t="s">
        <v>346</v>
      </c>
    </row>
    <row r="293" spans="1:8" x14ac:dyDescent="0.25">
      <c r="A293" s="3" t="s">
        <v>626</v>
      </c>
      <c r="B293" s="3" t="s">
        <v>3364</v>
      </c>
      <c r="C293" s="3" t="s">
        <v>137</v>
      </c>
      <c r="D293" s="3" t="s">
        <v>294</v>
      </c>
      <c r="E293" s="3" t="s">
        <v>3365</v>
      </c>
      <c r="F293" s="3" t="s">
        <v>2973</v>
      </c>
      <c r="G293" s="3" t="s">
        <v>337</v>
      </c>
      <c r="H293" s="3"/>
    </row>
    <row r="294" spans="1:8" x14ac:dyDescent="0.25">
      <c r="A294" s="3" t="s">
        <v>627</v>
      </c>
      <c r="B294" s="3" t="s">
        <v>3077</v>
      </c>
      <c r="C294" s="3" t="s">
        <v>86</v>
      </c>
      <c r="D294" s="3" t="s">
        <v>312</v>
      </c>
      <c r="E294" s="3" t="s">
        <v>3366</v>
      </c>
      <c r="F294" s="3" t="s">
        <v>381</v>
      </c>
      <c r="G294" s="3" t="s">
        <v>337</v>
      </c>
      <c r="H294" s="3" t="s">
        <v>334</v>
      </c>
    </row>
    <row r="295" spans="1:8" x14ac:dyDescent="0.25">
      <c r="A295" s="3" t="s">
        <v>2958</v>
      </c>
      <c r="B295" s="3" t="s">
        <v>3342</v>
      </c>
      <c r="C295" s="3" t="s">
        <v>74</v>
      </c>
      <c r="D295" s="3"/>
      <c r="E295" s="3" t="s">
        <v>3367</v>
      </c>
      <c r="F295" s="3" t="s">
        <v>2973</v>
      </c>
      <c r="G295" s="3" t="s">
        <v>337</v>
      </c>
      <c r="H295" s="3" t="s">
        <v>334</v>
      </c>
    </row>
    <row r="296" spans="1:8" x14ac:dyDescent="0.25">
      <c r="A296" s="3" t="s">
        <v>628</v>
      </c>
      <c r="B296" s="3" t="s">
        <v>3368</v>
      </c>
      <c r="C296" s="3" t="s">
        <v>195</v>
      </c>
      <c r="D296" s="3" t="s">
        <v>297</v>
      </c>
      <c r="E296" s="3">
        <v>502.41</v>
      </c>
      <c r="F296" s="3" t="s">
        <v>3037</v>
      </c>
      <c r="G296" s="3" t="s">
        <v>327</v>
      </c>
      <c r="H296" s="3" t="s">
        <v>346</v>
      </c>
    </row>
    <row r="297" spans="1:8" x14ac:dyDescent="0.25">
      <c r="A297" s="3" t="s">
        <v>629</v>
      </c>
      <c r="B297" s="3" t="s">
        <v>3145</v>
      </c>
      <c r="C297" s="3" t="s">
        <v>11</v>
      </c>
      <c r="D297" s="3" t="s">
        <v>294</v>
      </c>
      <c r="E297" s="3" t="s">
        <v>3369</v>
      </c>
      <c r="F297" s="3" t="s">
        <v>324</v>
      </c>
      <c r="G297" s="3" t="s">
        <v>337</v>
      </c>
      <c r="H297" s="3"/>
    </row>
    <row r="298" spans="1:8" x14ac:dyDescent="0.25">
      <c r="A298" s="3" t="s">
        <v>630</v>
      </c>
      <c r="B298" s="3" t="s">
        <v>3370</v>
      </c>
      <c r="C298" s="3" t="s">
        <v>159</v>
      </c>
      <c r="D298" s="3" t="s">
        <v>315</v>
      </c>
      <c r="E298" s="3" t="s">
        <v>3371</v>
      </c>
      <c r="F298" s="3" t="s">
        <v>324</v>
      </c>
      <c r="G298" s="3" t="s">
        <v>325</v>
      </c>
      <c r="H298" s="3"/>
    </row>
    <row r="299" spans="1:8" x14ac:dyDescent="0.25">
      <c r="A299" s="3" t="s">
        <v>631</v>
      </c>
      <c r="B299" s="3" t="s">
        <v>3372</v>
      </c>
      <c r="C299" s="3" t="s">
        <v>105</v>
      </c>
      <c r="D299" s="3" t="s">
        <v>303</v>
      </c>
      <c r="E299" s="3">
        <v>810.89</v>
      </c>
      <c r="F299" s="3" t="s">
        <v>2976</v>
      </c>
      <c r="G299" s="3" t="s">
        <v>327</v>
      </c>
      <c r="H299" s="3" t="s">
        <v>334</v>
      </c>
    </row>
    <row r="300" spans="1:8" x14ac:dyDescent="0.25">
      <c r="A300" s="3" t="s">
        <v>632</v>
      </c>
      <c r="B300" s="3" t="s">
        <v>3085</v>
      </c>
      <c r="C300" s="3" t="s">
        <v>231</v>
      </c>
      <c r="D300" s="3" t="s">
        <v>303</v>
      </c>
      <c r="E300" s="3" t="s">
        <v>3373</v>
      </c>
      <c r="F300" s="3" t="s">
        <v>324</v>
      </c>
      <c r="G300" s="3" t="s">
        <v>325</v>
      </c>
      <c r="H300" s="3"/>
    </row>
    <row r="301" spans="1:8" x14ac:dyDescent="0.25">
      <c r="A301" s="3" t="s">
        <v>633</v>
      </c>
      <c r="B301" s="3" t="s">
        <v>3374</v>
      </c>
      <c r="C301" s="3" t="s">
        <v>107</v>
      </c>
      <c r="D301" s="3" t="s">
        <v>306</v>
      </c>
      <c r="E301" s="3">
        <v>1248.56</v>
      </c>
      <c r="F301" s="3" t="s">
        <v>324</v>
      </c>
      <c r="G301" s="3" t="s">
        <v>327</v>
      </c>
      <c r="H301" s="3"/>
    </row>
    <row r="302" spans="1:8" x14ac:dyDescent="0.25">
      <c r="A302" s="3" t="s">
        <v>634</v>
      </c>
      <c r="B302" s="3" t="s">
        <v>3375</v>
      </c>
      <c r="C302" s="3" t="s">
        <v>76</v>
      </c>
      <c r="D302" s="3" t="s">
        <v>312</v>
      </c>
      <c r="E302" s="3">
        <v>352.33</v>
      </c>
      <c r="F302" s="3" t="s">
        <v>324</v>
      </c>
      <c r="G302" s="3" t="s">
        <v>329</v>
      </c>
      <c r="H302" s="3" t="s">
        <v>346</v>
      </c>
    </row>
    <row r="303" spans="1:8" x14ac:dyDescent="0.25">
      <c r="A303" s="3" t="s">
        <v>635</v>
      </c>
      <c r="B303" s="3" t="s">
        <v>3376</v>
      </c>
      <c r="C303" s="3" t="s">
        <v>119</v>
      </c>
      <c r="D303" s="3" t="s">
        <v>309</v>
      </c>
      <c r="E303" s="3">
        <v>114.04</v>
      </c>
      <c r="F303" s="3" t="s">
        <v>324</v>
      </c>
      <c r="G303" s="3" t="s">
        <v>327</v>
      </c>
      <c r="H303" s="3" t="s">
        <v>346</v>
      </c>
    </row>
    <row r="304" spans="1:8" x14ac:dyDescent="0.25">
      <c r="A304" s="3" t="s">
        <v>636</v>
      </c>
      <c r="B304" s="3" t="s">
        <v>3377</v>
      </c>
      <c r="C304" s="3" t="s">
        <v>165</v>
      </c>
      <c r="D304" s="3" t="s">
        <v>306</v>
      </c>
      <c r="E304" s="3">
        <v>1000.11</v>
      </c>
      <c r="F304" s="3" t="s">
        <v>324</v>
      </c>
      <c r="G304" s="3" t="s">
        <v>325</v>
      </c>
      <c r="H304" s="3"/>
    </row>
    <row r="305" spans="1:8" x14ac:dyDescent="0.25">
      <c r="A305" s="3" t="s">
        <v>637</v>
      </c>
      <c r="B305" s="3" t="s">
        <v>3358</v>
      </c>
      <c r="C305" s="3" t="s">
        <v>205</v>
      </c>
      <c r="D305" s="3" t="s">
        <v>297</v>
      </c>
      <c r="E305" s="3">
        <v>222.44</v>
      </c>
      <c r="F305" s="3" t="s">
        <v>324</v>
      </c>
      <c r="G305" s="3" t="s">
        <v>327</v>
      </c>
      <c r="H305" s="3"/>
    </row>
    <row r="306" spans="1:8" x14ac:dyDescent="0.25">
      <c r="A306" s="3" t="s">
        <v>638</v>
      </c>
      <c r="B306" s="3" t="s">
        <v>3378</v>
      </c>
      <c r="C306" s="3" t="s">
        <v>269</v>
      </c>
      <c r="D306" s="3" t="s">
        <v>309</v>
      </c>
      <c r="E306" s="3">
        <v>1005.06</v>
      </c>
      <c r="F306" s="3" t="s">
        <v>2976</v>
      </c>
      <c r="G306" s="3" t="s">
        <v>325</v>
      </c>
      <c r="H306" s="3" t="s">
        <v>346</v>
      </c>
    </row>
    <row r="307" spans="1:8" x14ac:dyDescent="0.25">
      <c r="A307" s="3" t="s">
        <v>639</v>
      </c>
      <c r="B307" s="3" t="s">
        <v>3247</v>
      </c>
      <c r="C307" s="3" t="s">
        <v>243</v>
      </c>
      <c r="D307" s="3" t="s">
        <v>294</v>
      </c>
      <c r="E307" s="3">
        <v>191.93</v>
      </c>
      <c r="F307" s="3" t="s">
        <v>381</v>
      </c>
      <c r="G307" s="3" t="s">
        <v>327</v>
      </c>
      <c r="H307" s="3"/>
    </row>
    <row r="308" spans="1:8" x14ac:dyDescent="0.25">
      <c r="A308" s="3" t="s">
        <v>640</v>
      </c>
      <c r="B308" s="3" t="s">
        <v>3379</v>
      </c>
      <c r="C308" s="3" t="s">
        <v>641</v>
      </c>
      <c r="D308" s="3" t="s">
        <v>306</v>
      </c>
      <c r="E308" s="3">
        <v>230.95</v>
      </c>
      <c r="F308" s="3" t="s">
        <v>381</v>
      </c>
      <c r="G308" s="3" t="s">
        <v>325</v>
      </c>
      <c r="H308" s="3" t="s">
        <v>346</v>
      </c>
    </row>
    <row r="309" spans="1:8" x14ac:dyDescent="0.25">
      <c r="A309" s="3" t="s">
        <v>642</v>
      </c>
      <c r="B309" s="3" t="s">
        <v>3380</v>
      </c>
      <c r="C309" s="3" t="s">
        <v>231</v>
      </c>
      <c r="D309" s="3" t="s">
        <v>309</v>
      </c>
      <c r="E309" s="3" t="s">
        <v>3381</v>
      </c>
      <c r="F309" s="3" t="s">
        <v>324</v>
      </c>
      <c r="G309" s="3" t="s">
        <v>329</v>
      </c>
      <c r="H309" s="3" t="s">
        <v>346</v>
      </c>
    </row>
    <row r="310" spans="1:8" x14ac:dyDescent="0.25">
      <c r="A310" s="3" t="s">
        <v>643</v>
      </c>
      <c r="B310" s="3" t="s">
        <v>3251</v>
      </c>
      <c r="C310" s="3" t="s">
        <v>6</v>
      </c>
      <c r="D310" s="3" t="s">
        <v>294</v>
      </c>
      <c r="E310" s="3" t="s">
        <v>3382</v>
      </c>
      <c r="F310" s="3" t="s">
        <v>324</v>
      </c>
      <c r="G310" s="3" t="s">
        <v>327</v>
      </c>
      <c r="H310" s="3" t="s">
        <v>332</v>
      </c>
    </row>
    <row r="311" spans="1:8" x14ac:dyDescent="0.25">
      <c r="A311" s="3" t="s">
        <v>644</v>
      </c>
      <c r="B311" s="3" t="s">
        <v>3383</v>
      </c>
      <c r="C311" s="3" t="s">
        <v>84</v>
      </c>
      <c r="D311" s="3" t="s">
        <v>312</v>
      </c>
      <c r="E311" s="3">
        <v>157.62</v>
      </c>
      <c r="F311" s="3" t="s">
        <v>381</v>
      </c>
      <c r="G311" s="3" t="s">
        <v>327</v>
      </c>
      <c r="H311" s="3"/>
    </row>
    <row r="312" spans="1:8" x14ac:dyDescent="0.25">
      <c r="A312" s="3" t="s">
        <v>645</v>
      </c>
      <c r="B312" s="3" t="s">
        <v>3346</v>
      </c>
      <c r="C312" s="3" t="s">
        <v>105</v>
      </c>
      <c r="D312" s="3" t="s">
        <v>294</v>
      </c>
      <c r="E312" s="3">
        <v>244.68</v>
      </c>
      <c r="F312" s="3" t="s">
        <v>381</v>
      </c>
      <c r="G312" s="3" t="s">
        <v>327</v>
      </c>
      <c r="H312" s="3"/>
    </row>
    <row r="313" spans="1:8" x14ac:dyDescent="0.25">
      <c r="A313" s="3" t="s">
        <v>646</v>
      </c>
      <c r="B313" s="3" t="s">
        <v>3384</v>
      </c>
      <c r="C313" s="3" t="s">
        <v>15</v>
      </c>
      <c r="D313" s="3" t="s">
        <v>294</v>
      </c>
      <c r="E313" s="3">
        <v>358.13</v>
      </c>
      <c r="F313" s="3" t="s">
        <v>324</v>
      </c>
      <c r="G313" s="3" t="s">
        <v>327</v>
      </c>
      <c r="H313" s="3"/>
    </row>
    <row r="314" spans="1:8" x14ac:dyDescent="0.25">
      <c r="A314" s="3" t="s">
        <v>647</v>
      </c>
      <c r="B314" s="3" t="s">
        <v>3385</v>
      </c>
      <c r="C314" s="3" t="s">
        <v>269</v>
      </c>
      <c r="D314" s="3" t="s">
        <v>300</v>
      </c>
      <c r="E314" s="3">
        <v>-166.59</v>
      </c>
      <c r="F314" s="3" t="s">
        <v>3021</v>
      </c>
      <c r="G314" s="3" t="s">
        <v>325</v>
      </c>
      <c r="H314" s="3"/>
    </row>
    <row r="315" spans="1:8" x14ac:dyDescent="0.25">
      <c r="A315" s="3" t="s">
        <v>648</v>
      </c>
      <c r="B315" s="3" t="s">
        <v>3386</v>
      </c>
      <c r="C315" s="3" t="s">
        <v>175</v>
      </c>
      <c r="D315" s="3" t="s">
        <v>297</v>
      </c>
      <c r="E315" s="3">
        <v>703.78</v>
      </c>
      <c r="F315" s="3" t="s">
        <v>324</v>
      </c>
      <c r="G315" s="3" t="s">
        <v>325</v>
      </c>
      <c r="H315" s="3" t="s">
        <v>332</v>
      </c>
    </row>
    <row r="316" spans="1:8" x14ac:dyDescent="0.25">
      <c r="A316" s="3" t="s">
        <v>649</v>
      </c>
      <c r="B316" s="3" t="s">
        <v>3193</v>
      </c>
      <c r="C316" s="3" t="s">
        <v>86</v>
      </c>
      <c r="D316" s="3" t="s">
        <v>312</v>
      </c>
      <c r="E316" s="3" t="s">
        <v>3387</v>
      </c>
      <c r="F316" s="3" t="s">
        <v>324</v>
      </c>
      <c r="G316" s="3" t="s">
        <v>325</v>
      </c>
      <c r="H316" s="3"/>
    </row>
    <row r="317" spans="1:8" x14ac:dyDescent="0.25">
      <c r="A317" s="3" t="s">
        <v>650</v>
      </c>
      <c r="B317" s="3" t="s">
        <v>3388</v>
      </c>
      <c r="C317" s="3" t="s">
        <v>227</v>
      </c>
      <c r="D317" s="3" t="s">
        <v>312</v>
      </c>
      <c r="E317" s="3" t="s">
        <v>3389</v>
      </c>
      <c r="F317" s="3" t="s">
        <v>2988</v>
      </c>
      <c r="G317" s="3" t="s">
        <v>337</v>
      </c>
      <c r="H317" s="3" t="s">
        <v>346</v>
      </c>
    </row>
    <row r="318" spans="1:8" x14ac:dyDescent="0.25">
      <c r="A318" s="3" t="s">
        <v>651</v>
      </c>
      <c r="B318" s="3" t="s">
        <v>3390</v>
      </c>
      <c r="C318" s="3" t="s">
        <v>203</v>
      </c>
      <c r="D318" s="3" t="s">
        <v>312</v>
      </c>
      <c r="E318" s="3">
        <v>914.57</v>
      </c>
      <c r="F318" s="3" t="s">
        <v>324</v>
      </c>
      <c r="G318" s="3" t="s">
        <v>325</v>
      </c>
      <c r="H318" s="3" t="s">
        <v>332</v>
      </c>
    </row>
    <row r="319" spans="1:8" x14ac:dyDescent="0.25">
      <c r="A319" s="3" t="s">
        <v>652</v>
      </c>
      <c r="B319" s="3" t="s">
        <v>3391</v>
      </c>
      <c r="C319" s="3" t="s">
        <v>157</v>
      </c>
      <c r="D319" s="3" t="s">
        <v>300</v>
      </c>
      <c r="E319" s="3">
        <v>17.239999999999998</v>
      </c>
      <c r="F319" s="3" t="s">
        <v>2973</v>
      </c>
      <c r="G319" s="3" t="s">
        <v>337</v>
      </c>
      <c r="H319" s="3" t="s">
        <v>346</v>
      </c>
    </row>
    <row r="320" spans="1:8" x14ac:dyDescent="0.25">
      <c r="A320" s="3" t="s">
        <v>653</v>
      </c>
      <c r="B320" s="3" t="s">
        <v>3392</v>
      </c>
      <c r="C320" s="3" t="s">
        <v>273</v>
      </c>
      <c r="D320" s="3" t="s">
        <v>309</v>
      </c>
      <c r="E320" s="3" t="s">
        <v>3393</v>
      </c>
      <c r="F320" s="3" t="s">
        <v>3157</v>
      </c>
      <c r="G320" s="3" t="s">
        <v>327</v>
      </c>
      <c r="H320" s="3"/>
    </row>
    <row r="321" spans="1:8" x14ac:dyDescent="0.25">
      <c r="A321" s="3" t="s">
        <v>654</v>
      </c>
      <c r="B321" s="3" t="s">
        <v>3394</v>
      </c>
      <c r="C321" s="3" t="s">
        <v>217</v>
      </c>
      <c r="D321" s="3" t="s">
        <v>294</v>
      </c>
      <c r="E321" s="3">
        <v>694.85</v>
      </c>
      <c r="F321" s="3" t="s">
        <v>324</v>
      </c>
      <c r="G321" s="3" t="s">
        <v>327</v>
      </c>
      <c r="H321" s="3" t="s">
        <v>346</v>
      </c>
    </row>
    <row r="322" spans="1:8" x14ac:dyDescent="0.25">
      <c r="A322" s="3" t="s">
        <v>655</v>
      </c>
      <c r="B322" s="3" t="s">
        <v>3395</v>
      </c>
      <c r="C322" s="3" t="s">
        <v>207</v>
      </c>
      <c r="D322" s="3" t="s">
        <v>309</v>
      </c>
      <c r="E322" s="3">
        <v>1246.29</v>
      </c>
      <c r="F322" s="3" t="s">
        <v>381</v>
      </c>
      <c r="G322" s="3" t="s">
        <v>327</v>
      </c>
      <c r="H322" s="3" t="s">
        <v>334</v>
      </c>
    </row>
    <row r="323" spans="1:8" x14ac:dyDescent="0.25">
      <c r="A323" s="3" t="s">
        <v>656</v>
      </c>
      <c r="B323" s="3" t="s">
        <v>3396</v>
      </c>
      <c r="C323" s="3" t="s">
        <v>237</v>
      </c>
      <c r="D323" s="3" t="s">
        <v>297</v>
      </c>
      <c r="E323" s="3" t="s">
        <v>3397</v>
      </c>
      <c r="F323" s="3" t="s">
        <v>3060</v>
      </c>
      <c r="G323" s="3" t="s">
        <v>325</v>
      </c>
      <c r="H323" s="3"/>
    </row>
    <row r="324" spans="1:8" x14ac:dyDescent="0.25">
      <c r="A324" s="3" t="s">
        <v>657</v>
      </c>
      <c r="B324" s="3" t="s">
        <v>3398</v>
      </c>
      <c r="C324" s="3" t="s">
        <v>66</v>
      </c>
      <c r="D324" s="3" t="s">
        <v>294</v>
      </c>
      <c r="E324" s="3" t="s">
        <v>3399</v>
      </c>
      <c r="F324" s="3" t="s">
        <v>324</v>
      </c>
      <c r="G324" s="3" t="s">
        <v>337</v>
      </c>
      <c r="H324" s="3" t="s">
        <v>346</v>
      </c>
    </row>
    <row r="325" spans="1:8" x14ac:dyDescent="0.25">
      <c r="A325" s="3" t="s">
        <v>658</v>
      </c>
      <c r="B325" s="3" t="s">
        <v>3400</v>
      </c>
      <c r="C325" s="3" t="s">
        <v>111</v>
      </c>
      <c r="D325" s="3" t="s">
        <v>297</v>
      </c>
      <c r="E325" s="3" t="s">
        <v>3401</v>
      </c>
      <c r="F325" s="3" t="s">
        <v>324</v>
      </c>
      <c r="G325" s="3" t="s">
        <v>325</v>
      </c>
      <c r="H325" s="3" t="s">
        <v>332</v>
      </c>
    </row>
    <row r="326" spans="1:8" x14ac:dyDescent="0.25">
      <c r="A326" s="3" t="s">
        <v>659</v>
      </c>
      <c r="B326" s="3" t="s">
        <v>3402</v>
      </c>
      <c r="C326" s="3" t="s">
        <v>195</v>
      </c>
      <c r="D326" s="3" t="s">
        <v>294</v>
      </c>
      <c r="E326" s="3">
        <v>731.62</v>
      </c>
      <c r="F326" s="3" t="s">
        <v>2995</v>
      </c>
      <c r="G326" s="3" t="s">
        <v>327</v>
      </c>
      <c r="H326" s="3"/>
    </row>
    <row r="327" spans="1:8" x14ac:dyDescent="0.25">
      <c r="A327" s="3" t="s">
        <v>660</v>
      </c>
      <c r="B327" s="3" t="s">
        <v>3306</v>
      </c>
      <c r="C327" s="3" t="s">
        <v>263</v>
      </c>
      <c r="D327" s="3" t="s">
        <v>294</v>
      </c>
      <c r="E327" s="3" t="s">
        <v>3403</v>
      </c>
      <c r="F327" s="3" t="s">
        <v>2988</v>
      </c>
      <c r="G327" s="3" t="s">
        <v>325</v>
      </c>
      <c r="H327" s="3"/>
    </row>
    <row r="328" spans="1:8" x14ac:dyDescent="0.25">
      <c r="A328" s="3" t="s">
        <v>661</v>
      </c>
      <c r="B328" s="3" t="s">
        <v>3404</v>
      </c>
      <c r="C328" s="3" t="s">
        <v>217</v>
      </c>
      <c r="D328" s="3" t="s">
        <v>312</v>
      </c>
      <c r="E328" s="3">
        <v>-290.39</v>
      </c>
      <c r="F328" s="3" t="s">
        <v>349</v>
      </c>
      <c r="G328" s="3" t="s">
        <v>327</v>
      </c>
      <c r="H328" s="3"/>
    </row>
    <row r="329" spans="1:8" x14ac:dyDescent="0.25">
      <c r="A329" s="3" t="s">
        <v>662</v>
      </c>
      <c r="B329" s="3" t="s">
        <v>3405</v>
      </c>
      <c r="C329" s="3" t="s">
        <v>58</v>
      </c>
      <c r="D329" s="3" t="s">
        <v>315</v>
      </c>
      <c r="E329" s="3">
        <v>441.15</v>
      </c>
      <c r="F329" s="3" t="s">
        <v>3037</v>
      </c>
      <c r="G329" s="3" t="s">
        <v>325</v>
      </c>
      <c r="H329" s="3"/>
    </row>
    <row r="330" spans="1:8" x14ac:dyDescent="0.25">
      <c r="A330" s="3" t="s">
        <v>663</v>
      </c>
      <c r="B330" s="3" t="s">
        <v>3013</v>
      </c>
      <c r="C330" s="3" t="s">
        <v>641</v>
      </c>
      <c r="D330" s="3" t="s">
        <v>294</v>
      </c>
      <c r="E330" s="3">
        <v>687.42</v>
      </c>
      <c r="F330" s="3" t="s">
        <v>2976</v>
      </c>
      <c r="G330" s="3" t="s">
        <v>329</v>
      </c>
      <c r="H330" s="3"/>
    </row>
    <row r="331" spans="1:8" x14ac:dyDescent="0.25">
      <c r="A331" s="3" t="s">
        <v>664</v>
      </c>
      <c r="B331" s="3" t="s">
        <v>3406</v>
      </c>
      <c r="C331" s="3" t="s">
        <v>217</v>
      </c>
      <c r="D331" s="3" t="s">
        <v>315</v>
      </c>
      <c r="E331" s="3">
        <v>1049.8399999999999</v>
      </c>
      <c r="F331" s="3" t="s">
        <v>324</v>
      </c>
      <c r="G331" s="3" t="s">
        <v>327</v>
      </c>
      <c r="H331" s="3" t="s">
        <v>334</v>
      </c>
    </row>
    <row r="332" spans="1:8" x14ac:dyDescent="0.25">
      <c r="A332" s="3" t="s">
        <v>665</v>
      </c>
      <c r="B332" s="3" t="s">
        <v>3407</v>
      </c>
      <c r="C332" s="3" t="s">
        <v>199</v>
      </c>
      <c r="D332" s="3" t="s">
        <v>315</v>
      </c>
      <c r="E332" s="3">
        <v>508.1</v>
      </c>
      <c r="F332" s="3" t="s">
        <v>331</v>
      </c>
      <c r="G332" s="3" t="s">
        <v>325</v>
      </c>
      <c r="H332" s="3"/>
    </row>
    <row r="333" spans="1:8" x14ac:dyDescent="0.25">
      <c r="A333" s="3" t="s">
        <v>666</v>
      </c>
      <c r="B333" s="3" t="s">
        <v>3408</v>
      </c>
      <c r="C333" s="3" t="s">
        <v>179</v>
      </c>
      <c r="D333" s="3" t="s">
        <v>306</v>
      </c>
      <c r="E333" s="3">
        <v>1219.83</v>
      </c>
      <c r="F333" s="3" t="s">
        <v>2973</v>
      </c>
      <c r="G333" s="3" t="s">
        <v>337</v>
      </c>
      <c r="H333" s="3"/>
    </row>
    <row r="334" spans="1:8" x14ac:dyDescent="0.25">
      <c r="A334" s="3" t="s">
        <v>667</v>
      </c>
      <c r="B334" s="3" t="s">
        <v>3409</v>
      </c>
      <c r="C334" s="3" t="s">
        <v>139</v>
      </c>
      <c r="D334" s="3" t="s">
        <v>300</v>
      </c>
      <c r="E334" s="3" t="s">
        <v>3410</v>
      </c>
      <c r="F334" s="3" t="s">
        <v>324</v>
      </c>
      <c r="G334" s="3" t="s">
        <v>327</v>
      </c>
      <c r="H334" s="3" t="s">
        <v>334</v>
      </c>
    </row>
    <row r="335" spans="1:8" x14ac:dyDescent="0.25">
      <c r="A335" s="3" t="s">
        <v>668</v>
      </c>
      <c r="B335" s="3" t="s">
        <v>3411</v>
      </c>
      <c r="C335" s="3" t="s">
        <v>109</v>
      </c>
      <c r="D335" s="3" t="s">
        <v>294</v>
      </c>
      <c r="E335" s="3" t="s">
        <v>3412</v>
      </c>
      <c r="F335" s="3" t="s">
        <v>381</v>
      </c>
      <c r="G335" s="3" t="s">
        <v>337</v>
      </c>
      <c r="H335" s="3"/>
    </row>
    <row r="336" spans="1:8" x14ac:dyDescent="0.25">
      <c r="A336" s="3" t="s">
        <v>669</v>
      </c>
      <c r="B336" s="3" t="s">
        <v>3413</v>
      </c>
      <c r="C336" s="3" t="s">
        <v>215</v>
      </c>
      <c r="D336" s="3" t="s">
        <v>297</v>
      </c>
      <c r="E336" s="3">
        <v>-333.02</v>
      </c>
      <c r="F336" s="3" t="s">
        <v>3006</v>
      </c>
      <c r="G336" s="3" t="s">
        <v>337</v>
      </c>
      <c r="H336" s="3" t="s">
        <v>346</v>
      </c>
    </row>
    <row r="337" spans="1:8" x14ac:dyDescent="0.25">
      <c r="A337" s="3" t="s">
        <v>670</v>
      </c>
      <c r="B337" s="3" t="s">
        <v>3414</v>
      </c>
      <c r="C337" s="3" t="s">
        <v>243</v>
      </c>
      <c r="D337" s="3" t="s">
        <v>312</v>
      </c>
      <c r="E337" s="3" t="s">
        <v>3415</v>
      </c>
      <c r="F337" s="3" t="s">
        <v>2988</v>
      </c>
      <c r="G337" s="3" t="s">
        <v>337</v>
      </c>
      <c r="H337" s="3" t="s">
        <v>346</v>
      </c>
    </row>
    <row r="338" spans="1:8" x14ac:dyDescent="0.25">
      <c r="A338" s="3" t="s">
        <v>671</v>
      </c>
      <c r="B338" s="3" t="s">
        <v>3416</v>
      </c>
      <c r="C338" s="3" t="s">
        <v>68</v>
      </c>
      <c r="D338" s="3" t="s">
        <v>297</v>
      </c>
      <c r="E338" s="3">
        <v>753.09</v>
      </c>
      <c r="F338" s="3" t="s">
        <v>324</v>
      </c>
      <c r="G338" s="3" t="s">
        <v>325</v>
      </c>
      <c r="H338" s="3" t="s">
        <v>332</v>
      </c>
    </row>
    <row r="339" spans="1:8" x14ac:dyDescent="0.25">
      <c r="A339" s="3" t="s">
        <v>672</v>
      </c>
      <c r="B339" s="3" t="s">
        <v>3417</v>
      </c>
      <c r="C339" s="3" t="s">
        <v>265</v>
      </c>
      <c r="D339" s="3" t="s">
        <v>294</v>
      </c>
      <c r="E339" s="3" t="s">
        <v>3418</v>
      </c>
      <c r="F339" s="3" t="s">
        <v>2976</v>
      </c>
      <c r="G339" s="3" t="s">
        <v>325</v>
      </c>
      <c r="H339" s="3" t="s">
        <v>346</v>
      </c>
    </row>
    <row r="340" spans="1:8" x14ac:dyDescent="0.25">
      <c r="A340" s="3" t="s">
        <v>673</v>
      </c>
      <c r="B340" s="3" t="s">
        <v>3419</v>
      </c>
      <c r="C340" s="3" t="s">
        <v>42</v>
      </c>
      <c r="D340" s="3" t="s">
        <v>315</v>
      </c>
      <c r="E340" s="3">
        <v>583.74</v>
      </c>
      <c r="F340" s="3" t="s">
        <v>331</v>
      </c>
      <c r="G340" s="3" t="s">
        <v>325</v>
      </c>
      <c r="H340" s="3"/>
    </row>
    <row r="341" spans="1:8" x14ac:dyDescent="0.25">
      <c r="A341" s="3" t="s">
        <v>674</v>
      </c>
      <c r="B341" s="3" t="s">
        <v>3420</v>
      </c>
      <c r="C341" s="3" t="s">
        <v>221</v>
      </c>
      <c r="D341" s="3" t="s">
        <v>300</v>
      </c>
      <c r="E341" s="3">
        <v>266.60000000000002</v>
      </c>
      <c r="F341" s="3" t="s">
        <v>324</v>
      </c>
      <c r="G341" s="3" t="s">
        <v>327</v>
      </c>
      <c r="H341" s="3" t="s">
        <v>332</v>
      </c>
    </row>
    <row r="342" spans="1:8" x14ac:dyDescent="0.25">
      <c r="A342" s="3" t="s">
        <v>675</v>
      </c>
      <c r="B342" s="3" t="s">
        <v>3421</v>
      </c>
      <c r="C342" s="3" t="s">
        <v>231</v>
      </c>
      <c r="D342" s="3" t="s">
        <v>306</v>
      </c>
      <c r="E342" s="3">
        <v>471.13</v>
      </c>
      <c r="F342" s="3" t="s">
        <v>3112</v>
      </c>
      <c r="G342" s="3" t="s">
        <v>325</v>
      </c>
      <c r="H342" s="3"/>
    </row>
    <row r="343" spans="1:8" x14ac:dyDescent="0.25">
      <c r="A343" s="3" t="s">
        <v>676</v>
      </c>
      <c r="B343" s="3" t="s">
        <v>3422</v>
      </c>
      <c r="C343" s="3" t="s">
        <v>187</v>
      </c>
      <c r="D343" s="3" t="s">
        <v>309</v>
      </c>
      <c r="E343" s="3" t="s">
        <v>3423</v>
      </c>
      <c r="F343" s="3" t="s">
        <v>2976</v>
      </c>
      <c r="G343" s="3"/>
      <c r="H343" s="3" t="s">
        <v>332</v>
      </c>
    </row>
    <row r="344" spans="1:8" x14ac:dyDescent="0.25">
      <c r="A344" s="3" t="s">
        <v>677</v>
      </c>
      <c r="B344" s="3" t="s">
        <v>3424</v>
      </c>
      <c r="C344" s="3" t="s">
        <v>165</v>
      </c>
      <c r="D344" s="3" t="s">
        <v>294</v>
      </c>
      <c r="E344" s="3">
        <v>232.99</v>
      </c>
      <c r="F344" s="3" t="s">
        <v>324</v>
      </c>
      <c r="G344" s="3" t="s">
        <v>325</v>
      </c>
      <c r="H344" s="3" t="s">
        <v>332</v>
      </c>
    </row>
    <row r="345" spans="1:8" x14ac:dyDescent="0.25">
      <c r="A345" s="3" t="s">
        <v>678</v>
      </c>
      <c r="B345" s="3" t="s">
        <v>3425</v>
      </c>
      <c r="C345" s="3" t="s">
        <v>229</v>
      </c>
      <c r="D345" s="3" t="s">
        <v>312</v>
      </c>
      <c r="E345" s="3">
        <v>83.79</v>
      </c>
      <c r="F345" s="3" t="s">
        <v>2976</v>
      </c>
      <c r="G345" s="3" t="s">
        <v>329</v>
      </c>
      <c r="H345" s="3"/>
    </row>
    <row r="346" spans="1:8" x14ac:dyDescent="0.25">
      <c r="A346" s="3" t="s">
        <v>679</v>
      </c>
      <c r="B346" s="3" t="s">
        <v>3426</v>
      </c>
      <c r="C346" s="3" t="s">
        <v>277</v>
      </c>
      <c r="D346" s="3" t="s">
        <v>294</v>
      </c>
      <c r="E346" s="3">
        <v>212.3</v>
      </c>
      <c r="F346" s="3" t="s">
        <v>381</v>
      </c>
      <c r="G346" s="3" t="s">
        <v>329</v>
      </c>
      <c r="H346" s="3" t="s">
        <v>332</v>
      </c>
    </row>
    <row r="347" spans="1:8" x14ac:dyDescent="0.25">
      <c r="A347" s="3" t="s">
        <v>680</v>
      </c>
      <c r="B347" s="3" t="s">
        <v>3427</v>
      </c>
      <c r="C347" s="3" t="s">
        <v>245</v>
      </c>
      <c r="D347" s="3" t="s">
        <v>294</v>
      </c>
      <c r="E347" s="3">
        <v>372.23</v>
      </c>
      <c r="F347" s="3" t="s">
        <v>2995</v>
      </c>
      <c r="G347" s="3" t="s">
        <v>337</v>
      </c>
      <c r="H347" s="3"/>
    </row>
    <row r="348" spans="1:8" x14ac:dyDescent="0.25">
      <c r="A348" s="3" t="s">
        <v>681</v>
      </c>
      <c r="B348" s="3" t="s">
        <v>3428</v>
      </c>
      <c r="C348" s="3" t="s">
        <v>66</v>
      </c>
      <c r="D348" s="3" t="s">
        <v>306</v>
      </c>
      <c r="E348" s="3">
        <v>-404.01</v>
      </c>
      <c r="F348" s="3" t="s">
        <v>349</v>
      </c>
      <c r="G348" s="3" t="s">
        <v>327</v>
      </c>
      <c r="H348" s="3"/>
    </row>
    <row r="349" spans="1:8" x14ac:dyDescent="0.25">
      <c r="A349" s="3" t="s">
        <v>682</v>
      </c>
      <c r="B349" s="3" t="s">
        <v>3429</v>
      </c>
      <c r="C349" s="3" t="s">
        <v>53</v>
      </c>
      <c r="D349" s="3" t="s">
        <v>300</v>
      </c>
      <c r="E349" s="3" t="s">
        <v>3430</v>
      </c>
      <c r="F349" s="3" t="s">
        <v>324</v>
      </c>
      <c r="G349" s="3" t="s">
        <v>337</v>
      </c>
      <c r="H349" s="3"/>
    </row>
    <row r="350" spans="1:8" x14ac:dyDescent="0.25">
      <c r="A350" s="3" t="s">
        <v>683</v>
      </c>
      <c r="B350" s="3" t="s">
        <v>3431</v>
      </c>
      <c r="C350" s="3" t="s">
        <v>90</v>
      </c>
      <c r="D350" s="3" t="s">
        <v>294</v>
      </c>
      <c r="E350" s="3">
        <v>351.85</v>
      </c>
      <c r="F350" s="3" t="s">
        <v>324</v>
      </c>
      <c r="G350" s="3" t="s">
        <v>337</v>
      </c>
      <c r="H350" s="3"/>
    </row>
    <row r="351" spans="1:8" x14ac:dyDescent="0.25">
      <c r="A351" s="3" t="s">
        <v>684</v>
      </c>
      <c r="B351" s="3" t="s">
        <v>3012</v>
      </c>
      <c r="C351" s="3" t="s">
        <v>143</v>
      </c>
      <c r="D351" s="3" t="s">
        <v>303</v>
      </c>
      <c r="E351" s="3">
        <v>171.52</v>
      </c>
      <c r="F351" s="3" t="s">
        <v>381</v>
      </c>
      <c r="G351" s="3" t="s">
        <v>327</v>
      </c>
      <c r="H351" s="3" t="s">
        <v>346</v>
      </c>
    </row>
    <row r="352" spans="1:8" x14ac:dyDescent="0.25">
      <c r="A352" s="3" t="s">
        <v>685</v>
      </c>
      <c r="B352" s="3" t="s">
        <v>3432</v>
      </c>
      <c r="C352" s="3" t="s">
        <v>261</v>
      </c>
      <c r="D352" s="3" t="s">
        <v>294</v>
      </c>
      <c r="E352" s="3" t="s">
        <v>3433</v>
      </c>
      <c r="F352" s="3" t="s">
        <v>349</v>
      </c>
      <c r="G352" s="3" t="s">
        <v>327</v>
      </c>
      <c r="H352" s="3"/>
    </row>
    <row r="353" spans="1:8" x14ac:dyDescent="0.25">
      <c r="A353" s="3" t="s">
        <v>686</v>
      </c>
      <c r="B353" s="3" t="s">
        <v>3434</v>
      </c>
      <c r="C353" s="3" t="s">
        <v>171</v>
      </c>
      <c r="D353" s="3" t="s">
        <v>306</v>
      </c>
      <c r="E353" s="3" t="s">
        <v>3435</v>
      </c>
      <c r="F353" s="3" t="s">
        <v>2976</v>
      </c>
      <c r="G353" s="3" t="s">
        <v>329</v>
      </c>
      <c r="H353" s="3" t="s">
        <v>334</v>
      </c>
    </row>
    <row r="354" spans="1:8" x14ac:dyDescent="0.25">
      <c r="A354" s="3" t="s">
        <v>687</v>
      </c>
      <c r="B354" s="3" t="s">
        <v>3436</v>
      </c>
      <c r="C354" s="3" t="s">
        <v>137</v>
      </c>
      <c r="D354" s="3" t="s">
        <v>294</v>
      </c>
      <c r="E354" s="3" t="s">
        <v>3437</v>
      </c>
      <c r="F354" s="3" t="s">
        <v>3021</v>
      </c>
      <c r="G354" s="3" t="s">
        <v>325</v>
      </c>
      <c r="H354" s="3"/>
    </row>
    <row r="355" spans="1:8" x14ac:dyDescent="0.25">
      <c r="A355" s="3" t="s">
        <v>688</v>
      </c>
      <c r="B355" s="3" t="s">
        <v>3438</v>
      </c>
      <c r="C355" s="3" t="s">
        <v>92</v>
      </c>
      <c r="D355" s="3" t="s">
        <v>297</v>
      </c>
      <c r="E355" s="3" t="s">
        <v>3439</v>
      </c>
      <c r="F355" s="3" t="s">
        <v>324</v>
      </c>
      <c r="G355" s="3"/>
      <c r="H355" s="3"/>
    </row>
    <row r="356" spans="1:8" x14ac:dyDescent="0.25">
      <c r="A356" s="3" t="s">
        <v>689</v>
      </c>
      <c r="B356" s="3" t="s">
        <v>3329</v>
      </c>
      <c r="C356" s="3" t="s">
        <v>149</v>
      </c>
      <c r="D356" s="3" t="s">
        <v>306</v>
      </c>
      <c r="E356" s="3" t="s">
        <v>3440</v>
      </c>
      <c r="F356" s="3" t="s">
        <v>3017</v>
      </c>
      <c r="G356" s="3" t="s">
        <v>327</v>
      </c>
      <c r="H356" s="3"/>
    </row>
    <row r="357" spans="1:8" x14ac:dyDescent="0.25">
      <c r="A357" s="3" t="s">
        <v>690</v>
      </c>
      <c r="B357" s="3" t="s">
        <v>3441</v>
      </c>
      <c r="C357" s="3" t="s">
        <v>55</v>
      </c>
      <c r="D357" s="3" t="s">
        <v>294</v>
      </c>
      <c r="E357" s="3">
        <v>169.51</v>
      </c>
      <c r="F357" s="3" t="s">
        <v>2973</v>
      </c>
      <c r="G357" s="3" t="s">
        <v>329</v>
      </c>
      <c r="H357" s="3"/>
    </row>
    <row r="358" spans="1:8" x14ac:dyDescent="0.25">
      <c r="A358" s="3" t="s">
        <v>691</v>
      </c>
      <c r="B358" s="3" t="s">
        <v>3442</v>
      </c>
      <c r="C358" s="3" t="s">
        <v>70</v>
      </c>
      <c r="D358" s="3" t="s">
        <v>294</v>
      </c>
      <c r="E358" s="3" t="s">
        <v>3443</v>
      </c>
      <c r="F358" s="3" t="s">
        <v>324</v>
      </c>
      <c r="G358" s="3" t="s">
        <v>327</v>
      </c>
      <c r="H358" s="3" t="s">
        <v>346</v>
      </c>
    </row>
    <row r="359" spans="1:8" x14ac:dyDescent="0.25">
      <c r="A359" s="3" t="s">
        <v>692</v>
      </c>
      <c r="B359" s="3" t="s">
        <v>3444</v>
      </c>
      <c r="C359" s="3" t="s">
        <v>131</v>
      </c>
      <c r="D359" s="3" t="s">
        <v>294</v>
      </c>
      <c r="E359" s="3" t="s">
        <v>3445</v>
      </c>
      <c r="F359" s="3" t="s">
        <v>324</v>
      </c>
      <c r="G359" s="3" t="s">
        <v>327</v>
      </c>
      <c r="H359" s="3" t="s">
        <v>334</v>
      </c>
    </row>
    <row r="360" spans="1:8" x14ac:dyDescent="0.25">
      <c r="A360" s="3" t="s">
        <v>693</v>
      </c>
      <c r="B360" s="3" t="s">
        <v>3446</v>
      </c>
      <c r="C360" s="3" t="s">
        <v>187</v>
      </c>
      <c r="D360" s="3" t="s">
        <v>297</v>
      </c>
      <c r="E360" s="3" t="s">
        <v>3447</v>
      </c>
      <c r="F360" s="3" t="s">
        <v>349</v>
      </c>
      <c r="G360" s="3" t="s">
        <v>327</v>
      </c>
      <c r="H360" s="3" t="s">
        <v>332</v>
      </c>
    </row>
    <row r="361" spans="1:8" x14ac:dyDescent="0.25">
      <c r="A361" s="3" t="s">
        <v>694</v>
      </c>
      <c r="B361" s="3" t="s">
        <v>3448</v>
      </c>
      <c r="C361" s="3" t="s">
        <v>249</v>
      </c>
      <c r="D361" s="3" t="s">
        <v>300</v>
      </c>
      <c r="E361" s="3">
        <v>572.27</v>
      </c>
      <c r="F361" s="3" t="s">
        <v>324</v>
      </c>
      <c r="G361" s="3" t="s">
        <v>327</v>
      </c>
      <c r="H361" s="3"/>
    </row>
    <row r="362" spans="1:8" x14ac:dyDescent="0.25">
      <c r="A362" s="3" t="s">
        <v>695</v>
      </c>
      <c r="B362" s="3" t="s">
        <v>3449</v>
      </c>
      <c r="C362" s="3" t="s">
        <v>90</v>
      </c>
      <c r="D362" s="3" t="s">
        <v>300</v>
      </c>
      <c r="E362" s="3" t="s">
        <v>3450</v>
      </c>
      <c r="F362" s="3" t="s">
        <v>324</v>
      </c>
      <c r="G362" s="3" t="s">
        <v>327</v>
      </c>
      <c r="H362" s="3" t="s">
        <v>332</v>
      </c>
    </row>
    <row r="363" spans="1:8" x14ac:dyDescent="0.25">
      <c r="A363" s="3" t="s">
        <v>696</v>
      </c>
      <c r="B363" s="3" t="s">
        <v>3451</v>
      </c>
      <c r="C363" s="3" t="s">
        <v>203</v>
      </c>
      <c r="D363" s="3" t="s">
        <v>309</v>
      </c>
      <c r="E363" s="3">
        <v>465.14</v>
      </c>
      <c r="F363" s="3" t="s">
        <v>324</v>
      </c>
      <c r="G363" s="3" t="s">
        <v>325</v>
      </c>
      <c r="H363" s="3" t="s">
        <v>334</v>
      </c>
    </row>
    <row r="364" spans="1:8" x14ac:dyDescent="0.25">
      <c r="A364" s="3" t="s">
        <v>697</v>
      </c>
      <c r="B364" s="3" t="s">
        <v>3452</v>
      </c>
      <c r="C364" s="3" t="s">
        <v>167</v>
      </c>
      <c r="D364" s="3" t="s">
        <v>297</v>
      </c>
      <c r="E364" s="3" t="s">
        <v>3453</v>
      </c>
      <c r="F364" s="3" t="s">
        <v>2973</v>
      </c>
      <c r="G364" s="3" t="s">
        <v>325</v>
      </c>
      <c r="H364" s="3"/>
    </row>
    <row r="365" spans="1:8" x14ac:dyDescent="0.25">
      <c r="A365" s="3" t="s">
        <v>698</v>
      </c>
      <c r="B365" s="3" t="s">
        <v>3454</v>
      </c>
      <c r="C365" s="3" t="s">
        <v>70</v>
      </c>
      <c r="D365" s="3" t="s">
        <v>294</v>
      </c>
      <c r="E365" s="3" t="s">
        <v>3455</v>
      </c>
      <c r="F365" s="3" t="s">
        <v>324</v>
      </c>
      <c r="G365" s="3" t="s">
        <v>327</v>
      </c>
      <c r="H365" s="3"/>
    </row>
    <row r="366" spans="1:8" x14ac:dyDescent="0.25">
      <c r="A366" s="3" t="s">
        <v>699</v>
      </c>
      <c r="B366" s="3" t="s">
        <v>3456</v>
      </c>
      <c r="C366" s="3" t="s">
        <v>149</v>
      </c>
      <c r="D366" s="3" t="s">
        <v>312</v>
      </c>
      <c r="E366" s="3">
        <v>-733.7</v>
      </c>
      <c r="F366" s="3" t="s">
        <v>3017</v>
      </c>
      <c r="G366" s="3" t="s">
        <v>325</v>
      </c>
      <c r="H366" s="3"/>
    </row>
    <row r="367" spans="1:8" x14ac:dyDescent="0.25">
      <c r="A367" s="3" t="s">
        <v>700</v>
      </c>
      <c r="B367" s="3" t="s">
        <v>3444</v>
      </c>
      <c r="C367" s="3" t="s">
        <v>259</v>
      </c>
      <c r="D367" s="3" t="s">
        <v>294</v>
      </c>
      <c r="E367" s="3">
        <v>192.8</v>
      </c>
      <c r="F367" s="3" t="s">
        <v>331</v>
      </c>
      <c r="G367" s="3" t="s">
        <v>327</v>
      </c>
      <c r="H367" s="3" t="s">
        <v>332</v>
      </c>
    </row>
    <row r="368" spans="1:8" x14ac:dyDescent="0.25">
      <c r="A368" s="3" t="s">
        <v>701</v>
      </c>
      <c r="B368" s="3" t="s">
        <v>3457</v>
      </c>
      <c r="C368" s="3" t="s">
        <v>100</v>
      </c>
      <c r="D368" s="3" t="s">
        <v>294</v>
      </c>
      <c r="E368" s="3">
        <v>878.91</v>
      </c>
      <c r="F368" s="3" t="s">
        <v>2988</v>
      </c>
      <c r="G368" s="3" t="s">
        <v>325</v>
      </c>
      <c r="H368" s="3" t="s">
        <v>346</v>
      </c>
    </row>
    <row r="369" spans="1:8" x14ac:dyDescent="0.25">
      <c r="A369" s="3" t="s">
        <v>702</v>
      </c>
      <c r="B369" s="3" t="s">
        <v>3458</v>
      </c>
      <c r="C369" s="3" t="s">
        <v>123</v>
      </c>
      <c r="D369" s="3" t="s">
        <v>303</v>
      </c>
      <c r="E369" s="3">
        <v>-748.53</v>
      </c>
      <c r="F369" s="3" t="s">
        <v>349</v>
      </c>
      <c r="G369" s="3" t="s">
        <v>325</v>
      </c>
      <c r="H369" s="3"/>
    </row>
    <row r="370" spans="1:8" x14ac:dyDescent="0.25">
      <c r="A370" s="3" t="s">
        <v>703</v>
      </c>
      <c r="B370" s="3" t="s">
        <v>3459</v>
      </c>
      <c r="C370" s="3" t="s">
        <v>127</v>
      </c>
      <c r="D370" s="3" t="s">
        <v>315</v>
      </c>
      <c r="E370" s="3" t="s">
        <v>3460</v>
      </c>
      <c r="F370" s="3" t="s">
        <v>2976</v>
      </c>
      <c r="G370" s="3" t="s">
        <v>329</v>
      </c>
      <c r="H370" s="3"/>
    </row>
    <row r="371" spans="1:8" x14ac:dyDescent="0.25">
      <c r="A371" s="3" t="s">
        <v>704</v>
      </c>
      <c r="B371" s="3" t="s">
        <v>2999</v>
      </c>
      <c r="C371" s="3" t="s">
        <v>125</v>
      </c>
      <c r="D371" s="3" t="s">
        <v>297</v>
      </c>
      <c r="E371" s="3" t="s">
        <v>3461</v>
      </c>
      <c r="F371" s="3" t="s">
        <v>324</v>
      </c>
      <c r="G371" s="3" t="s">
        <v>327</v>
      </c>
      <c r="H371" s="3" t="s">
        <v>332</v>
      </c>
    </row>
    <row r="372" spans="1:8" x14ac:dyDescent="0.25">
      <c r="A372" s="3" t="s">
        <v>705</v>
      </c>
      <c r="B372" s="3" t="s">
        <v>3462</v>
      </c>
      <c r="C372" s="3" t="s">
        <v>127</v>
      </c>
      <c r="D372" s="3" t="s">
        <v>297</v>
      </c>
      <c r="E372" s="3">
        <v>439.96</v>
      </c>
      <c r="F372" s="3" t="s">
        <v>2973</v>
      </c>
      <c r="G372" s="3" t="s">
        <v>325</v>
      </c>
      <c r="H372" s="3" t="s">
        <v>332</v>
      </c>
    </row>
    <row r="373" spans="1:8" x14ac:dyDescent="0.25">
      <c r="A373" s="3" t="s">
        <v>706</v>
      </c>
      <c r="B373" s="3" t="s">
        <v>3463</v>
      </c>
      <c r="C373" s="3" t="s">
        <v>42</v>
      </c>
      <c r="D373" s="3" t="s">
        <v>294</v>
      </c>
      <c r="E373" s="3">
        <v>463.22</v>
      </c>
      <c r="F373" s="3" t="s">
        <v>2973</v>
      </c>
      <c r="G373" s="3" t="s">
        <v>327</v>
      </c>
      <c r="H373" s="3" t="s">
        <v>346</v>
      </c>
    </row>
    <row r="374" spans="1:8" x14ac:dyDescent="0.25">
      <c r="A374" s="3" t="s">
        <v>707</v>
      </c>
      <c r="B374" s="3" t="s">
        <v>3464</v>
      </c>
      <c r="C374" s="3" t="s">
        <v>58</v>
      </c>
      <c r="D374" s="3" t="s">
        <v>294</v>
      </c>
      <c r="E374" s="3" t="s">
        <v>3465</v>
      </c>
      <c r="F374" s="3" t="s">
        <v>2995</v>
      </c>
      <c r="G374" s="3" t="s">
        <v>325</v>
      </c>
      <c r="H374" s="3" t="s">
        <v>332</v>
      </c>
    </row>
    <row r="375" spans="1:8" x14ac:dyDescent="0.25">
      <c r="A375" s="3" t="s">
        <v>708</v>
      </c>
      <c r="B375" s="3" t="s">
        <v>3466</v>
      </c>
      <c r="C375" s="3" t="s">
        <v>269</v>
      </c>
      <c r="D375" s="3" t="s">
        <v>312</v>
      </c>
      <c r="E375" s="3" t="s">
        <v>3467</v>
      </c>
      <c r="F375" s="3" t="s">
        <v>2973</v>
      </c>
      <c r="G375" s="3" t="s">
        <v>327</v>
      </c>
      <c r="H375" s="3"/>
    </row>
    <row r="376" spans="1:8" x14ac:dyDescent="0.25">
      <c r="A376" s="3" t="s">
        <v>709</v>
      </c>
      <c r="B376" s="3" t="s">
        <v>3468</v>
      </c>
      <c r="C376" s="3" t="s">
        <v>113</v>
      </c>
      <c r="D376" s="3" t="s">
        <v>294</v>
      </c>
      <c r="E376" s="3">
        <v>595.37</v>
      </c>
      <c r="F376" s="3" t="s">
        <v>324</v>
      </c>
      <c r="G376" s="3" t="s">
        <v>327</v>
      </c>
      <c r="H376" s="3"/>
    </row>
    <row r="377" spans="1:8" x14ac:dyDescent="0.25">
      <c r="A377" s="3" t="s">
        <v>710</v>
      </c>
      <c r="B377" s="3" t="s">
        <v>3469</v>
      </c>
      <c r="C377" s="3" t="s">
        <v>94</v>
      </c>
      <c r="D377" s="3" t="s">
        <v>297</v>
      </c>
      <c r="E377" s="3">
        <v>319.69</v>
      </c>
      <c r="F377" s="3" t="s">
        <v>2976</v>
      </c>
      <c r="G377" s="3" t="s">
        <v>329</v>
      </c>
      <c r="H377" s="3"/>
    </row>
    <row r="378" spans="1:8" x14ac:dyDescent="0.25">
      <c r="A378" s="3" t="s">
        <v>711</v>
      </c>
      <c r="B378" s="3" t="s">
        <v>3470</v>
      </c>
      <c r="C378" s="3" t="s">
        <v>189</v>
      </c>
      <c r="D378" s="3" t="s">
        <v>312</v>
      </c>
      <c r="E378" s="3">
        <v>187.92</v>
      </c>
      <c r="F378" s="3" t="s">
        <v>324</v>
      </c>
      <c r="G378" s="3" t="s">
        <v>327</v>
      </c>
      <c r="H378" s="3" t="s">
        <v>346</v>
      </c>
    </row>
    <row r="379" spans="1:8" x14ac:dyDescent="0.25">
      <c r="A379" s="3" t="s">
        <v>712</v>
      </c>
      <c r="B379" s="3" t="s">
        <v>3471</v>
      </c>
      <c r="C379" s="3" t="s">
        <v>161</v>
      </c>
      <c r="D379" s="3" t="s">
        <v>294</v>
      </c>
      <c r="E379" s="3" t="s">
        <v>3472</v>
      </c>
      <c r="F379" s="3" t="s">
        <v>324</v>
      </c>
      <c r="G379" s="3" t="s">
        <v>327</v>
      </c>
      <c r="H379" s="3"/>
    </row>
    <row r="380" spans="1:8" x14ac:dyDescent="0.25">
      <c r="A380" s="3" t="s">
        <v>713</v>
      </c>
      <c r="B380" s="3" t="s">
        <v>3117</v>
      </c>
      <c r="C380" s="3" t="s">
        <v>121</v>
      </c>
      <c r="D380" s="3" t="s">
        <v>294</v>
      </c>
      <c r="E380" s="3">
        <v>198.95</v>
      </c>
      <c r="F380" s="3" t="s">
        <v>324</v>
      </c>
      <c r="G380" s="3" t="s">
        <v>329</v>
      </c>
      <c r="H380" s="3"/>
    </row>
    <row r="381" spans="1:8" x14ac:dyDescent="0.25">
      <c r="A381" s="3" t="s">
        <v>714</v>
      </c>
      <c r="B381" s="3" t="s">
        <v>3473</v>
      </c>
      <c r="C381" s="3" t="s">
        <v>185</v>
      </c>
      <c r="D381" s="3" t="s">
        <v>297</v>
      </c>
      <c r="E381" s="3">
        <v>751.3</v>
      </c>
      <c r="F381" s="3" t="s">
        <v>331</v>
      </c>
      <c r="G381" s="3" t="s">
        <v>325</v>
      </c>
      <c r="H381" s="3"/>
    </row>
    <row r="382" spans="1:8" x14ac:dyDescent="0.25">
      <c r="A382" s="3" t="s">
        <v>715</v>
      </c>
      <c r="B382" s="3" t="s">
        <v>3474</v>
      </c>
      <c r="C382" s="3" t="s">
        <v>80</v>
      </c>
      <c r="D382" s="3" t="s">
        <v>294</v>
      </c>
      <c r="E382" s="3">
        <v>124.32</v>
      </c>
      <c r="F382" s="3" t="s">
        <v>2976</v>
      </c>
      <c r="G382" s="3"/>
      <c r="H382" s="3" t="s">
        <v>346</v>
      </c>
    </row>
    <row r="383" spans="1:8" x14ac:dyDescent="0.25">
      <c r="A383" s="3" t="s">
        <v>716</v>
      </c>
      <c r="B383" s="3" t="s">
        <v>3475</v>
      </c>
      <c r="C383" s="3" t="s">
        <v>257</v>
      </c>
      <c r="D383" s="3" t="s">
        <v>300</v>
      </c>
      <c r="E383" s="3">
        <v>199.56</v>
      </c>
      <c r="F383" s="3" t="s">
        <v>324</v>
      </c>
      <c r="G383" s="3" t="s">
        <v>327</v>
      </c>
      <c r="H383" s="3" t="s">
        <v>346</v>
      </c>
    </row>
    <row r="384" spans="1:8" x14ac:dyDescent="0.25">
      <c r="A384" s="3" t="s">
        <v>717</v>
      </c>
      <c r="B384" s="3" t="s">
        <v>3392</v>
      </c>
      <c r="C384" s="3" t="s">
        <v>163</v>
      </c>
      <c r="D384" s="3" t="s">
        <v>315</v>
      </c>
      <c r="E384" s="3" t="s">
        <v>3476</v>
      </c>
      <c r="F384" s="3" t="s">
        <v>324</v>
      </c>
      <c r="G384" s="3" t="s">
        <v>327</v>
      </c>
      <c r="H384" s="3" t="s">
        <v>334</v>
      </c>
    </row>
    <row r="385" spans="1:8" x14ac:dyDescent="0.25">
      <c r="A385" s="3" t="s">
        <v>718</v>
      </c>
      <c r="B385" s="3" t="s">
        <v>3477</v>
      </c>
      <c r="C385" s="3" t="s">
        <v>119</v>
      </c>
      <c r="D385" s="3" t="s">
        <v>297</v>
      </c>
      <c r="E385" s="3">
        <v>158.79</v>
      </c>
      <c r="F385" s="3" t="s">
        <v>324</v>
      </c>
      <c r="G385" s="3" t="s">
        <v>337</v>
      </c>
      <c r="H385" s="3"/>
    </row>
    <row r="386" spans="1:8" x14ac:dyDescent="0.25">
      <c r="A386" s="3" t="s">
        <v>719</v>
      </c>
      <c r="B386" s="3" t="s">
        <v>3478</v>
      </c>
      <c r="C386" s="3" t="s">
        <v>113</v>
      </c>
      <c r="D386" s="3" t="s">
        <v>297</v>
      </c>
      <c r="E386" s="3">
        <v>178.19</v>
      </c>
      <c r="F386" s="3" t="s">
        <v>324</v>
      </c>
      <c r="G386" s="3" t="s">
        <v>329</v>
      </c>
      <c r="H386" s="3" t="s">
        <v>332</v>
      </c>
    </row>
    <row r="387" spans="1:8" x14ac:dyDescent="0.25">
      <c r="A387" s="3" t="s">
        <v>720</v>
      </c>
      <c r="B387" s="3" t="s">
        <v>3253</v>
      </c>
      <c r="C387" s="3" t="s">
        <v>173</v>
      </c>
      <c r="D387" s="3" t="s">
        <v>294</v>
      </c>
      <c r="E387" s="3" t="s">
        <v>3479</v>
      </c>
      <c r="F387" s="3" t="s">
        <v>2976</v>
      </c>
      <c r="G387" s="3" t="s">
        <v>337</v>
      </c>
      <c r="H387" s="3" t="s">
        <v>332</v>
      </c>
    </row>
    <row r="388" spans="1:8" x14ac:dyDescent="0.25">
      <c r="A388" s="3" t="s">
        <v>721</v>
      </c>
      <c r="B388" s="3" t="s">
        <v>3480</v>
      </c>
      <c r="C388" s="3" t="s">
        <v>277</v>
      </c>
      <c r="D388" s="3" t="s">
        <v>312</v>
      </c>
      <c r="E388" s="3" t="s">
        <v>3481</v>
      </c>
      <c r="F388" s="3" t="s">
        <v>2973</v>
      </c>
      <c r="G388" s="3" t="s">
        <v>327</v>
      </c>
      <c r="H388" s="3" t="s">
        <v>332</v>
      </c>
    </row>
    <row r="389" spans="1:8" x14ac:dyDescent="0.25">
      <c r="A389" s="3" t="s">
        <v>722</v>
      </c>
      <c r="B389" s="3" t="s">
        <v>3482</v>
      </c>
      <c r="C389" s="3" t="s">
        <v>181</v>
      </c>
      <c r="D389" s="3" t="s">
        <v>309</v>
      </c>
      <c r="E389" s="3">
        <v>172.68</v>
      </c>
      <c r="F389" s="3" t="s">
        <v>2995</v>
      </c>
      <c r="G389" s="3" t="s">
        <v>327</v>
      </c>
      <c r="H389" s="3" t="s">
        <v>332</v>
      </c>
    </row>
    <row r="390" spans="1:8" x14ac:dyDescent="0.25">
      <c r="A390" s="3" t="s">
        <v>723</v>
      </c>
      <c r="B390" s="3" t="s">
        <v>3483</v>
      </c>
      <c r="C390" s="3" t="s">
        <v>159</v>
      </c>
      <c r="D390" s="3" t="s">
        <v>294</v>
      </c>
      <c r="E390" s="3">
        <v>321.82</v>
      </c>
      <c r="F390" s="3" t="s">
        <v>2988</v>
      </c>
      <c r="G390" s="3" t="s">
        <v>325</v>
      </c>
      <c r="H390" s="3" t="s">
        <v>346</v>
      </c>
    </row>
    <row r="391" spans="1:8" x14ac:dyDescent="0.25">
      <c r="A391" s="3" t="s">
        <v>724</v>
      </c>
      <c r="B391" s="3" t="s">
        <v>3115</v>
      </c>
      <c r="C391" s="3" t="s">
        <v>96</v>
      </c>
      <c r="D391" s="3" t="s">
        <v>315</v>
      </c>
      <c r="E391" s="3">
        <v>1025.27</v>
      </c>
      <c r="F391" s="3" t="s">
        <v>324</v>
      </c>
      <c r="G391" s="3" t="s">
        <v>327</v>
      </c>
      <c r="H391" s="3"/>
    </row>
    <row r="392" spans="1:8" x14ac:dyDescent="0.25">
      <c r="A392" s="3" t="s">
        <v>725</v>
      </c>
      <c r="B392" s="3" t="s">
        <v>3484</v>
      </c>
      <c r="C392" s="3" t="s">
        <v>38</v>
      </c>
      <c r="D392" s="3" t="s">
        <v>303</v>
      </c>
      <c r="E392" s="3">
        <v>93.91</v>
      </c>
      <c r="F392" s="3" t="s">
        <v>324</v>
      </c>
      <c r="G392" s="3" t="s">
        <v>337</v>
      </c>
      <c r="H392" s="3"/>
    </row>
    <row r="393" spans="1:8" x14ac:dyDescent="0.25">
      <c r="A393" s="3" t="s">
        <v>726</v>
      </c>
      <c r="B393" s="3" t="s">
        <v>3485</v>
      </c>
      <c r="C393" s="3" t="s">
        <v>76</v>
      </c>
      <c r="D393" s="3" t="s">
        <v>303</v>
      </c>
      <c r="E393" s="3" t="s">
        <v>3486</v>
      </c>
      <c r="F393" s="3" t="s">
        <v>324</v>
      </c>
      <c r="G393" s="3" t="s">
        <v>325</v>
      </c>
      <c r="H393" s="3" t="s">
        <v>346</v>
      </c>
    </row>
    <row r="394" spans="1:8" x14ac:dyDescent="0.25">
      <c r="A394" s="3" t="s">
        <v>727</v>
      </c>
      <c r="B394" s="3" t="s">
        <v>3487</v>
      </c>
      <c r="C394" s="3" t="s">
        <v>255</v>
      </c>
      <c r="D394" s="3" t="s">
        <v>303</v>
      </c>
      <c r="E394" s="3" t="s">
        <v>3488</v>
      </c>
      <c r="F394" s="3" t="s">
        <v>2976</v>
      </c>
      <c r="G394" s="3" t="s">
        <v>325</v>
      </c>
      <c r="H394" s="3"/>
    </row>
    <row r="395" spans="1:8" x14ac:dyDescent="0.25">
      <c r="A395" s="3" t="s">
        <v>728</v>
      </c>
      <c r="B395" s="3" t="s">
        <v>3321</v>
      </c>
      <c r="C395" s="3" t="s">
        <v>257</v>
      </c>
      <c r="D395" s="3" t="s">
        <v>306</v>
      </c>
      <c r="E395" s="3">
        <v>552.14</v>
      </c>
      <c r="F395" s="3" t="s">
        <v>2976</v>
      </c>
      <c r="G395" s="3" t="s">
        <v>327</v>
      </c>
      <c r="H395" s="3" t="s">
        <v>346</v>
      </c>
    </row>
    <row r="396" spans="1:8" x14ac:dyDescent="0.25">
      <c r="A396" s="3" t="s">
        <v>729</v>
      </c>
      <c r="B396" s="3" t="s">
        <v>3489</v>
      </c>
      <c r="C396" s="3" t="s">
        <v>205</v>
      </c>
      <c r="D396" s="3" t="s">
        <v>306</v>
      </c>
      <c r="E396" s="3" t="s">
        <v>3490</v>
      </c>
      <c r="F396" s="3" t="s">
        <v>349</v>
      </c>
      <c r="G396" s="3" t="s">
        <v>337</v>
      </c>
      <c r="H396" s="3" t="s">
        <v>346</v>
      </c>
    </row>
    <row r="397" spans="1:8" x14ac:dyDescent="0.25">
      <c r="A397" s="3" t="s">
        <v>730</v>
      </c>
      <c r="B397" s="3" t="s">
        <v>3491</v>
      </c>
      <c r="C397" s="3" t="s">
        <v>115</v>
      </c>
      <c r="D397" s="3" t="s">
        <v>294</v>
      </c>
      <c r="E397" s="3">
        <v>653.73</v>
      </c>
      <c r="F397" s="3" t="s">
        <v>324</v>
      </c>
      <c r="G397" s="3" t="s">
        <v>325</v>
      </c>
      <c r="H397" s="3"/>
    </row>
    <row r="398" spans="1:8" x14ac:dyDescent="0.25">
      <c r="A398" s="3" t="s">
        <v>2959</v>
      </c>
      <c r="B398" s="3" t="s">
        <v>3176</v>
      </c>
      <c r="C398" s="3" t="s">
        <v>105</v>
      </c>
      <c r="D398" s="3"/>
      <c r="E398" s="3">
        <v>226.21</v>
      </c>
      <c r="F398" s="3" t="s">
        <v>324</v>
      </c>
      <c r="G398" s="3" t="s">
        <v>327</v>
      </c>
      <c r="H398" s="3" t="s">
        <v>332</v>
      </c>
    </row>
    <row r="399" spans="1:8" x14ac:dyDescent="0.25">
      <c r="A399" s="3" t="s">
        <v>731</v>
      </c>
      <c r="B399" s="3" t="s">
        <v>3492</v>
      </c>
      <c r="C399" s="3" t="s">
        <v>117</v>
      </c>
      <c r="D399" s="3" t="s">
        <v>300</v>
      </c>
      <c r="E399" s="3">
        <v>482.31</v>
      </c>
      <c r="F399" s="3" t="s">
        <v>324</v>
      </c>
      <c r="G399" s="3" t="s">
        <v>329</v>
      </c>
      <c r="H399" s="3"/>
    </row>
    <row r="400" spans="1:8" x14ac:dyDescent="0.25">
      <c r="A400" s="3" t="s">
        <v>732</v>
      </c>
      <c r="B400" s="3" t="s">
        <v>3380</v>
      </c>
      <c r="C400" s="3" t="s">
        <v>211</v>
      </c>
      <c r="D400" s="3" t="s">
        <v>297</v>
      </c>
      <c r="E400" s="3">
        <v>481.56</v>
      </c>
      <c r="F400" s="3" t="s">
        <v>2995</v>
      </c>
      <c r="G400" s="3" t="s">
        <v>325</v>
      </c>
      <c r="H400" s="3" t="s">
        <v>332</v>
      </c>
    </row>
    <row r="401" spans="1:8" x14ac:dyDescent="0.25">
      <c r="A401" s="3" t="s">
        <v>733</v>
      </c>
      <c r="B401" s="3" t="s">
        <v>3493</v>
      </c>
      <c r="C401" s="3" t="s">
        <v>165</v>
      </c>
      <c r="D401" s="3" t="s">
        <v>306</v>
      </c>
      <c r="E401" s="3">
        <v>351.51</v>
      </c>
      <c r="F401" s="3" t="s">
        <v>324</v>
      </c>
      <c r="G401" s="3" t="s">
        <v>325</v>
      </c>
      <c r="H401" s="3"/>
    </row>
    <row r="402" spans="1:8" x14ac:dyDescent="0.25">
      <c r="A402" s="3" t="s">
        <v>734</v>
      </c>
      <c r="B402" s="3" t="s">
        <v>3118</v>
      </c>
      <c r="C402" s="3" t="s">
        <v>199</v>
      </c>
      <c r="D402" s="3" t="s">
        <v>315</v>
      </c>
      <c r="E402" s="3" t="s">
        <v>3494</v>
      </c>
      <c r="F402" s="3" t="s">
        <v>324</v>
      </c>
      <c r="G402" s="3" t="s">
        <v>337</v>
      </c>
      <c r="H402" s="3" t="s">
        <v>346</v>
      </c>
    </row>
    <row r="403" spans="1:8" x14ac:dyDescent="0.25">
      <c r="A403" s="3" t="s">
        <v>735</v>
      </c>
      <c r="B403" s="3" t="s">
        <v>3495</v>
      </c>
      <c r="C403" s="3" t="s">
        <v>103</v>
      </c>
      <c r="D403" s="3" t="s">
        <v>315</v>
      </c>
      <c r="E403" s="3">
        <v>663.05</v>
      </c>
      <c r="F403" s="3" t="s">
        <v>324</v>
      </c>
      <c r="G403" s="3" t="s">
        <v>327</v>
      </c>
      <c r="H403" s="3"/>
    </row>
    <row r="404" spans="1:8" x14ac:dyDescent="0.25">
      <c r="A404" s="3" t="s">
        <v>736</v>
      </c>
      <c r="B404" s="3" t="s">
        <v>3438</v>
      </c>
      <c r="C404" s="3" t="s">
        <v>179</v>
      </c>
      <c r="D404" s="3" t="s">
        <v>294</v>
      </c>
      <c r="E404" s="3" t="s">
        <v>3496</v>
      </c>
      <c r="F404" s="3" t="s">
        <v>2973</v>
      </c>
      <c r="G404" s="3" t="s">
        <v>325</v>
      </c>
      <c r="H404" s="3" t="s">
        <v>332</v>
      </c>
    </row>
    <row r="405" spans="1:8" x14ac:dyDescent="0.25">
      <c r="A405" s="3" t="s">
        <v>737</v>
      </c>
      <c r="B405" s="3" t="s">
        <v>3301</v>
      </c>
      <c r="C405" s="3" t="s">
        <v>115</v>
      </c>
      <c r="D405" s="3" t="s">
        <v>294</v>
      </c>
      <c r="E405" s="3" t="s">
        <v>3497</v>
      </c>
      <c r="F405" s="3" t="s">
        <v>2976</v>
      </c>
      <c r="G405" s="3" t="s">
        <v>337</v>
      </c>
      <c r="H405" s="3" t="s">
        <v>346</v>
      </c>
    </row>
    <row r="406" spans="1:8" x14ac:dyDescent="0.25">
      <c r="A406" s="3" t="s">
        <v>738</v>
      </c>
      <c r="B406" s="3" t="s">
        <v>3498</v>
      </c>
      <c r="C406" s="3" t="s">
        <v>109</v>
      </c>
      <c r="D406" s="3" t="s">
        <v>306</v>
      </c>
      <c r="E406" s="3" t="s">
        <v>3499</v>
      </c>
      <c r="F406" s="3" t="s">
        <v>324</v>
      </c>
      <c r="G406" s="3" t="s">
        <v>337</v>
      </c>
      <c r="H406" s="3" t="s">
        <v>332</v>
      </c>
    </row>
    <row r="407" spans="1:8" x14ac:dyDescent="0.25">
      <c r="A407" s="3" t="s">
        <v>739</v>
      </c>
      <c r="B407" s="3" t="s">
        <v>3500</v>
      </c>
      <c r="C407" s="3" t="s">
        <v>275</v>
      </c>
      <c r="D407" s="3" t="s">
        <v>294</v>
      </c>
      <c r="E407" s="3" t="s">
        <v>3501</v>
      </c>
      <c r="F407" s="3" t="s">
        <v>381</v>
      </c>
      <c r="G407" s="3" t="s">
        <v>327</v>
      </c>
      <c r="H407" s="3"/>
    </row>
    <row r="408" spans="1:8" x14ac:dyDescent="0.25">
      <c r="A408" s="3" t="s">
        <v>740</v>
      </c>
      <c r="B408" s="3" t="s">
        <v>3502</v>
      </c>
      <c r="C408" s="3" t="s">
        <v>121</v>
      </c>
      <c r="D408" s="3" t="s">
        <v>297</v>
      </c>
      <c r="E408" s="3" t="s">
        <v>3503</v>
      </c>
      <c r="F408" s="3" t="s">
        <v>2988</v>
      </c>
      <c r="G408" s="3" t="s">
        <v>327</v>
      </c>
      <c r="H408" s="3" t="s">
        <v>332</v>
      </c>
    </row>
    <row r="409" spans="1:8" x14ac:dyDescent="0.25">
      <c r="A409" s="3" t="s">
        <v>741</v>
      </c>
      <c r="B409" s="3" t="s">
        <v>3024</v>
      </c>
      <c r="C409" s="3" t="s">
        <v>76</v>
      </c>
      <c r="D409" s="3" t="s">
        <v>294</v>
      </c>
      <c r="E409" s="3" t="s">
        <v>3504</v>
      </c>
      <c r="F409" s="3" t="s">
        <v>324</v>
      </c>
      <c r="G409" s="3" t="s">
        <v>337</v>
      </c>
      <c r="H409" s="3"/>
    </row>
    <row r="410" spans="1:8" x14ac:dyDescent="0.25">
      <c r="A410" s="3" t="s">
        <v>742</v>
      </c>
      <c r="B410" s="3" t="s">
        <v>3505</v>
      </c>
      <c r="C410" s="3" t="s">
        <v>76</v>
      </c>
      <c r="D410" s="3" t="s">
        <v>294</v>
      </c>
      <c r="E410" s="3" t="s">
        <v>3506</v>
      </c>
      <c r="F410" s="3" t="s">
        <v>324</v>
      </c>
      <c r="G410" s="3" t="s">
        <v>327</v>
      </c>
      <c r="H410" s="3"/>
    </row>
    <row r="411" spans="1:8" x14ac:dyDescent="0.25">
      <c r="A411" s="3" t="s">
        <v>743</v>
      </c>
      <c r="B411" s="3" t="s">
        <v>3507</v>
      </c>
      <c r="C411" s="3" t="s">
        <v>40</v>
      </c>
      <c r="D411" s="3" t="s">
        <v>294</v>
      </c>
      <c r="E411" s="3" t="s">
        <v>3508</v>
      </c>
      <c r="F411" s="3" t="s">
        <v>3037</v>
      </c>
      <c r="G411" s="3" t="s">
        <v>327</v>
      </c>
      <c r="H411" s="3"/>
    </row>
    <row r="412" spans="1:8" x14ac:dyDescent="0.25">
      <c r="A412" s="3" t="s">
        <v>744</v>
      </c>
      <c r="B412" s="3" t="s">
        <v>3163</v>
      </c>
      <c r="C412" s="3" t="s">
        <v>147</v>
      </c>
      <c r="D412" s="3" t="s">
        <v>294</v>
      </c>
      <c r="E412" s="3" t="s">
        <v>3509</v>
      </c>
      <c r="F412" s="3" t="s">
        <v>2973</v>
      </c>
      <c r="G412" s="3" t="s">
        <v>325</v>
      </c>
      <c r="H412" s="3" t="s">
        <v>346</v>
      </c>
    </row>
    <row r="413" spans="1:8" x14ac:dyDescent="0.25">
      <c r="A413" s="3" t="s">
        <v>745</v>
      </c>
      <c r="B413" s="3" t="s">
        <v>3510</v>
      </c>
      <c r="C413" s="3" t="s">
        <v>219</v>
      </c>
      <c r="D413" s="3" t="s">
        <v>312</v>
      </c>
      <c r="E413" s="3">
        <v>-165.52</v>
      </c>
      <c r="F413" s="3" t="s">
        <v>349</v>
      </c>
      <c r="G413" s="3" t="s">
        <v>337</v>
      </c>
      <c r="H413" s="3"/>
    </row>
    <row r="414" spans="1:8" x14ac:dyDescent="0.25">
      <c r="A414" s="3" t="s">
        <v>746</v>
      </c>
      <c r="B414" s="3" t="s">
        <v>3511</v>
      </c>
      <c r="C414" s="3" t="s">
        <v>119</v>
      </c>
      <c r="D414" s="3" t="s">
        <v>315</v>
      </c>
      <c r="E414" s="3" t="s">
        <v>3512</v>
      </c>
      <c r="F414" s="3" t="s">
        <v>2995</v>
      </c>
      <c r="G414" s="3" t="s">
        <v>337</v>
      </c>
      <c r="H414" s="3" t="s">
        <v>334</v>
      </c>
    </row>
    <row r="415" spans="1:8" x14ac:dyDescent="0.25">
      <c r="A415" s="3" t="s">
        <v>747</v>
      </c>
      <c r="B415" s="3" t="s">
        <v>3513</v>
      </c>
      <c r="C415" s="3" t="s">
        <v>153</v>
      </c>
      <c r="D415" s="3" t="s">
        <v>294</v>
      </c>
      <c r="E415" s="3" t="s">
        <v>3514</v>
      </c>
      <c r="F415" s="3" t="s">
        <v>324</v>
      </c>
      <c r="G415" s="3" t="s">
        <v>327</v>
      </c>
      <c r="H415" s="3"/>
    </row>
    <row r="416" spans="1:8" x14ac:dyDescent="0.25">
      <c r="A416" s="3" t="s">
        <v>748</v>
      </c>
      <c r="B416" s="3" t="s">
        <v>3515</v>
      </c>
      <c r="C416" s="3" t="s">
        <v>251</v>
      </c>
      <c r="D416" s="3" t="s">
        <v>300</v>
      </c>
      <c r="E416" s="3">
        <v>291.29000000000002</v>
      </c>
      <c r="F416" s="3" t="s">
        <v>324</v>
      </c>
      <c r="G416" s="3" t="s">
        <v>325</v>
      </c>
      <c r="H416" s="3" t="s">
        <v>334</v>
      </c>
    </row>
    <row r="417" spans="1:8" x14ac:dyDescent="0.25">
      <c r="A417" s="3" t="s">
        <v>749</v>
      </c>
      <c r="B417" s="3" t="s">
        <v>3250</v>
      </c>
      <c r="C417" s="3" t="s">
        <v>55</v>
      </c>
      <c r="D417" s="3" t="s">
        <v>309</v>
      </c>
      <c r="E417" s="3" t="s">
        <v>3516</v>
      </c>
      <c r="F417" s="3" t="s">
        <v>324</v>
      </c>
      <c r="G417" s="3" t="s">
        <v>325</v>
      </c>
      <c r="H417" s="3"/>
    </row>
    <row r="418" spans="1:8" x14ac:dyDescent="0.25">
      <c r="A418" s="3" t="s">
        <v>750</v>
      </c>
      <c r="B418" s="3" t="s">
        <v>3517</v>
      </c>
      <c r="C418" s="3" t="s">
        <v>197</v>
      </c>
      <c r="D418" s="3" t="s">
        <v>312</v>
      </c>
      <c r="E418" s="3" t="s">
        <v>3518</v>
      </c>
      <c r="F418" s="3" t="s">
        <v>2973</v>
      </c>
      <c r="G418" s="3" t="s">
        <v>337</v>
      </c>
      <c r="H418" s="3"/>
    </row>
    <row r="419" spans="1:8" x14ac:dyDescent="0.25">
      <c r="A419" s="3" t="s">
        <v>751</v>
      </c>
      <c r="B419" s="3" t="s">
        <v>3471</v>
      </c>
      <c r="C419" s="3" t="s">
        <v>119</v>
      </c>
      <c r="D419" s="3" t="s">
        <v>294</v>
      </c>
      <c r="E419" s="3">
        <v>207.23</v>
      </c>
      <c r="F419" s="3" t="s">
        <v>2976</v>
      </c>
      <c r="G419" s="3" t="s">
        <v>337</v>
      </c>
      <c r="H419" s="3"/>
    </row>
    <row r="420" spans="1:8" x14ac:dyDescent="0.25">
      <c r="A420" s="3" t="s">
        <v>752</v>
      </c>
      <c r="B420" s="3" t="s">
        <v>3519</v>
      </c>
      <c r="C420" s="3" t="s">
        <v>105</v>
      </c>
      <c r="D420" s="3" t="s">
        <v>297</v>
      </c>
      <c r="E420" s="3" t="s">
        <v>3520</v>
      </c>
      <c r="F420" s="3" t="s">
        <v>2988</v>
      </c>
      <c r="G420" s="3" t="s">
        <v>329</v>
      </c>
      <c r="H420" s="3"/>
    </row>
    <row r="421" spans="1:8" x14ac:dyDescent="0.25">
      <c r="A421" s="3" t="s">
        <v>753</v>
      </c>
      <c r="B421" s="3" t="s">
        <v>3521</v>
      </c>
      <c r="C421" s="3" t="s">
        <v>133</v>
      </c>
      <c r="D421" s="3" t="s">
        <v>297</v>
      </c>
      <c r="E421" s="3" t="s">
        <v>3522</v>
      </c>
      <c r="F421" s="3" t="s">
        <v>324</v>
      </c>
      <c r="G421" s="3" t="s">
        <v>337</v>
      </c>
      <c r="H421" s="3"/>
    </row>
    <row r="422" spans="1:8" x14ac:dyDescent="0.25">
      <c r="A422" s="3" t="s">
        <v>754</v>
      </c>
      <c r="B422" s="3" t="s">
        <v>3523</v>
      </c>
      <c r="C422" s="3" t="s">
        <v>92</v>
      </c>
      <c r="D422" s="3" t="s">
        <v>306</v>
      </c>
      <c r="E422" s="3">
        <v>265.55</v>
      </c>
      <c r="F422" s="3" t="s">
        <v>324</v>
      </c>
      <c r="G422" s="3" t="s">
        <v>329</v>
      </c>
      <c r="H422" s="3"/>
    </row>
    <row r="423" spans="1:8" x14ac:dyDescent="0.25">
      <c r="A423" s="3" t="s">
        <v>755</v>
      </c>
      <c r="B423" s="3" t="s">
        <v>3524</v>
      </c>
      <c r="C423" s="3" t="s">
        <v>143</v>
      </c>
      <c r="D423" s="3" t="s">
        <v>303</v>
      </c>
      <c r="E423" s="3">
        <v>299.95</v>
      </c>
      <c r="F423" s="3" t="s">
        <v>324</v>
      </c>
      <c r="G423" s="3" t="s">
        <v>337</v>
      </c>
      <c r="H423" s="3" t="s">
        <v>346</v>
      </c>
    </row>
    <row r="424" spans="1:8" x14ac:dyDescent="0.25">
      <c r="A424" s="3" t="s">
        <v>756</v>
      </c>
      <c r="B424" s="3" t="s">
        <v>3115</v>
      </c>
      <c r="C424" s="3" t="s">
        <v>35</v>
      </c>
      <c r="D424" s="3" t="s">
        <v>297</v>
      </c>
      <c r="E424" s="3">
        <v>272.01</v>
      </c>
      <c r="F424" s="3" t="s">
        <v>324</v>
      </c>
      <c r="G424" s="3" t="s">
        <v>325</v>
      </c>
      <c r="H424" s="3"/>
    </row>
    <row r="425" spans="1:8" x14ac:dyDescent="0.25">
      <c r="A425" s="3" t="s">
        <v>757</v>
      </c>
      <c r="B425" s="3" t="s">
        <v>3525</v>
      </c>
      <c r="C425" s="3" t="s">
        <v>209</v>
      </c>
      <c r="D425" s="3" t="s">
        <v>300</v>
      </c>
      <c r="E425" s="3">
        <v>395.66</v>
      </c>
      <c r="F425" s="3" t="s">
        <v>324</v>
      </c>
      <c r="G425" s="3" t="s">
        <v>325</v>
      </c>
      <c r="H425" s="3" t="s">
        <v>346</v>
      </c>
    </row>
    <row r="426" spans="1:8" x14ac:dyDescent="0.25">
      <c r="A426" s="3" t="s">
        <v>758</v>
      </c>
      <c r="B426" s="3" t="s">
        <v>3526</v>
      </c>
      <c r="C426" s="3" t="s">
        <v>396</v>
      </c>
      <c r="D426" s="3" t="s">
        <v>294</v>
      </c>
      <c r="E426" s="3">
        <v>509.96</v>
      </c>
      <c r="F426" s="3" t="s">
        <v>2976</v>
      </c>
      <c r="G426" s="3" t="s">
        <v>327</v>
      </c>
      <c r="H426" s="3" t="s">
        <v>346</v>
      </c>
    </row>
    <row r="427" spans="1:8" x14ac:dyDescent="0.25">
      <c r="A427" s="3" t="s">
        <v>759</v>
      </c>
      <c r="B427" s="3" t="s">
        <v>3527</v>
      </c>
      <c r="C427" s="3" t="s">
        <v>105</v>
      </c>
      <c r="D427" s="3" t="s">
        <v>306</v>
      </c>
      <c r="E427" s="3">
        <v>701.82</v>
      </c>
      <c r="F427" s="3" t="s">
        <v>2976</v>
      </c>
      <c r="G427" s="3" t="s">
        <v>327</v>
      </c>
      <c r="H427" s="3" t="s">
        <v>332</v>
      </c>
    </row>
    <row r="428" spans="1:8" x14ac:dyDescent="0.25">
      <c r="A428" s="3" t="s">
        <v>760</v>
      </c>
      <c r="B428" s="3" t="s">
        <v>3528</v>
      </c>
      <c r="C428" s="3" t="s">
        <v>100</v>
      </c>
      <c r="D428" s="3" t="s">
        <v>294</v>
      </c>
      <c r="E428" s="3" t="s">
        <v>3529</v>
      </c>
      <c r="F428" s="3" t="s">
        <v>324</v>
      </c>
      <c r="G428" s="3" t="s">
        <v>327</v>
      </c>
      <c r="H428" s="3"/>
    </row>
    <row r="429" spans="1:8" x14ac:dyDescent="0.25">
      <c r="A429" s="3" t="s">
        <v>761</v>
      </c>
      <c r="B429" s="3" t="s">
        <v>3530</v>
      </c>
      <c r="C429" s="3" t="s">
        <v>159</v>
      </c>
      <c r="D429" s="3" t="s">
        <v>306</v>
      </c>
      <c r="E429" s="3" t="s">
        <v>3531</v>
      </c>
      <c r="F429" s="3" t="s">
        <v>324</v>
      </c>
      <c r="G429" s="3" t="s">
        <v>329</v>
      </c>
      <c r="H429" s="3"/>
    </row>
    <row r="430" spans="1:8" x14ac:dyDescent="0.25">
      <c r="A430" s="3" t="s">
        <v>762</v>
      </c>
      <c r="B430" s="3" t="s">
        <v>3298</v>
      </c>
      <c r="C430" s="3" t="s">
        <v>11</v>
      </c>
      <c r="D430" s="3" t="s">
        <v>303</v>
      </c>
      <c r="E430" s="3">
        <v>882.79</v>
      </c>
      <c r="F430" s="3" t="s">
        <v>324</v>
      </c>
      <c r="G430" s="3" t="s">
        <v>327</v>
      </c>
      <c r="H430" s="3" t="s">
        <v>346</v>
      </c>
    </row>
    <row r="431" spans="1:8" x14ac:dyDescent="0.25">
      <c r="A431" s="3" t="s">
        <v>763</v>
      </c>
      <c r="B431" s="3" t="s">
        <v>3532</v>
      </c>
      <c r="C431" s="3" t="s">
        <v>209</v>
      </c>
      <c r="D431" s="3" t="s">
        <v>294</v>
      </c>
      <c r="E431" s="3">
        <v>433.13</v>
      </c>
      <c r="F431" s="3" t="s">
        <v>324</v>
      </c>
      <c r="G431" s="3" t="s">
        <v>337</v>
      </c>
      <c r="H431" s="3"/>
    </row>
    <row r="432" spans="1:8" x14ac:dyDescent="0.25">
      <c r="A432" s="3" t="s">
        <v>764</v>
      </c>
      <c r="B432" s="3" t="s">
        <v>3533</v>
      </c>
      <c r="C432" s="3" t="s">
        <v>119</v>
      </c>
      <c r="D432" s="3" t="s">
        <v>309</v>
      </c>
      <c r="E432" s="3">
        <v>209.32</v>
      </c>
      <c r="F432" s="3" t="s">
        <v>324</v>
      </c>
      <c r="G432" s="3" t="s">
        <v>329</v>
      </c>
      <c r="H432" s="3" t="s">
        <v>346</v>
      </c>
    </row>
    <row r="433" spans="1:8" x14ac:dyDescent="0.25">
      <c r="A433" s="3" t="s">
        <v>765</v>
      </c>
      <c r="B433" s="3" t="s">
        <v>3534</v>
      </c>
      <c r="C433" s="3" t="s">
        <v>131</v>
      </c>
      <c r="D433" s="3" t="s">
        <v>294</v>
      </c>
      <c r="E433" s="3">
        <v>369.42</v>
      </c>
      <c r="F433" s="3" t="s">
        <v>2995</v>
      </c>
      <c r="G433" s="3" t="s">
        <v>329</v>
      </c>
      <c r="H433" s="3"/>
    </row>
    <row r="434" spans="1:8" x14ac:dyDescent="0.25">
      <c r="A434" s="3" t="s">
        <v>766</v>
      </c>
      <c r="B434" s="3" t="s">
        <v>3233</v>
      </c>
      <c r="C434" s="3" t="s">
        <v>94</v>
      </c>
      <c r="D434" s="3" t="s">
        <v>294</v>
      </c>
      <c r="E434" s="3" t="s">
        <v>3535</v>
      </c>
      <c r="F434" s="3" t="s">
        <v>2976</v>
      </c>
      <c r="G434" s="3" t="s">
        <v>325</v>
      </c>
      <c r="H434" s="3"/>
    </row>
    <row r="435" spans="1:8" x14ac:dyDescent="0.25">
      <c r="A435" s="3" t="s">
        <v>767</v>
      </c>
      <c r="B435" s="3" t="s">
        <v>3536</v>
      </c>
      <c r="C435" s="3" t="s">
        <v>233</v>
      </c>
      <c r="D435" s="3" t="s">
        <v>315</v>
      </c>
      <c r="E435" s="3">
        <v>563.57000000000005</v>
      </c>
      <c r="F435" s="3" t="s">
        <v>2988</v>
      </c>
      <c r="G435" s="3" t="s">
        <v>327</v>
      </c>
      <c r="H435" s="3"/>
    </row>
    <row r="436" spans="1:8" x14ac:dyDescent="0.25">
      <c r="A436" s="3" t="s">
        <v>768</v>
      </c>
      <c r="B436" s="3" t="s">
        <v>3537</v>
      </c>
      <c r="C436" s="3" t="s">
        <v>243</v>
      </c>
      <c r="D436" s="3" t="s">
        <v>312</v>
      </c>
      <c r="E436" s="3">
        <v>464.06</v>
      </c>
      <c r="F436" s="3" t="s">
        <v>3097</v>
      </c>
      <c r="G436" s="3" t="s">
        <v>327</v>
      </c>
      <c r="H436" s="3" t="s">
        <v>334</v>
      </c>
    </row>
    <row r="437" spans="1:8" x14ac:dyDescent="0.25">
      <c r="A437" s="3" t="s">
        <v>769</v>
      </c>
      <c r="B437" s="3" t="s">
        <v>3538</v>
      </c>
      <c r="C437" s="3" t="s">
        <v>219</v>
      </c>
      <c r="D437" s="3" t="s">
        <v>294</v>
      </c>
      <c r="E437" s="3">
        <v>474.45</v>
      </c>
      <c r="F437" s="3" t="s">
        <v>324</v>
      </c>
      <c r="G437" s="3" t="s">
        <v>325</v>
      </c>
      <c r="H437" s="3" t="s">
        <v>346</v>
      </c>
    </row>
    <row r="438" spans="1:8" x14ac:dyDescent="0.25">
      <c r="A438" s="3" t="s">
        <v>770</v>
      </c>
      <c r="B438" s="3" t="s">
        <v>3539</v>
      </c>
      <c r="C438" s="3" t="s">
        <v>179</v>
      </c>
      <c r="D438" s="3" t="s">
        <v>294</v>
      </c>
      <c r="E438" s="3" t="s">
        <v>3540</v>
      </c>
      <c r="F438" s="3" t="s">
        <v>324</v>
      </c>
      <c r="G438" s="3" t="s">
        <v>337</v>
      </c>
      <c r="H438" s="3" t="s">
        <v>332</v>
      </c>
    </row>
    <row r="439" spans="1:8" x14ac:dyDescent="0.25">
      <c r="A439" s="3" t="s">
        <v>771</v>
      </c>
      <c r="B439" s="3" t="s">
        <v>3541</v>
      </c>
      <c r="C439" s="3" t="s">
        <v>84</v>
      </c>
      <c r="D439" s="3" t="s">
        <v>294</v>
      </c>
      <c r="E439" s="3" t="s">
        <v>3542</v>
      </c>
      <c r="F439" s="3" t="s">
        <v>324</v>
      </c>
      <c r="G439" s="3" t="s">
        <v>327</v>
      </c>
      <c r="H439" s="3" t="s">
        <v>332</v>
      </c>
    </row>
    <row r="440" spans="1:8" x14ac:dyDescent="0.25">
      <c r="A440" s="3" t="s">
        <v>772</v>
      </c>
      <c r="B440" s="3" t="s">
        <v>3543</v>
      </c>
      <c r="C440" s="3" t="s">
        <v>155</v>
      </c>
      <c r="D440" s="3" t="s">
        <v>309</v>
      </c>
      <c r="E440" s="3" t="s">
        <v>3544</v>
      </c>
      <c r="F440" s="3" t="s">
        <v>2988</v>
      </c>
      <c r="G440" s="3" t="s">
        <v>327</v>
      </c>
      <c r="H440" s="3"/>
    </row>
    <row r="441" spans="1:8" x14ac:dyDescent="0.25">
      <c r="A441" s="3" t="s">
        <v>773</v>
      </c>
      <c r="B441" s="3" t="s">
        <v>3545</v>
      </c>
      <c r="C441" s="3" t="s">
        <v>233</v>
      </c>
      <c r="D441" s="3" t="s">
        <v>294</v>
      </c>
      <c r="E441" s="3">
        <v>320.26</v>
      </c>
      <c r="F441" s="3" t="s">
        <v>324</v>
      </c>
      <c r="G441" s="3" t="s">
        <v>327</v>
      </c>
      <c r="H441" s="3" t="s">
        <v>332</v>
      </c>
    </row>
    <row r="442" spans="1:8" x14ac:dyDescent="0.25">
      <c r="A442" s="3" t="s">
        <v>774</v>
      </c>
      <c r="B442" s="3" t="s">
        <v>3004</v>
      </c>
      <c r="C442" s="3" t="s">
        <v>105</v>
      </c>
      <c r="D442" s="3" t="s">
        <v>294</v>
      </c>
      <c r="E442" s="3" t="s">
        <v>3546</v>
      </c>
      <c r="F442" s="3" t="s">
        <v>2976</v>
      </c>
      <c r="G442" s="3" t="s">
        <v>337</v>
      </c>
      <c r="H442" s="3"/>
    </row>
    <row r="443" spans="1:8" x14ac:dyDescent="0.25">
      <c r="A443" s="3" t="s">
        <v>775</v>
      </c>
      <c r="B443" s="3" t="s">
        <v>3293</v>
      </c>
      <c r="C443" s="3" t="s">
        <v>267</v>
      </c>
      <c r="D443" s="3" t="s">
        <v>294</v>
      </c>
      <c r="E443" s="3">
        <v>657.81</v>
      </c>
      <c r="F443" s="3" t="s">
        <v>2973</v>
      </c>
      <c r="G443" s="3" t="s">
        <v>327</v>
      </c>
      <c r="H443" s="3"/>
    </row>
    <row r="444" spans="1:8" x14ac:dyDescent="0.25">
      <c r="A444" s="3" t="s">
        <v>776</v>
      </c>
      <c r="B444" s="3" t="s">
        <v>3132</v>
      </c>
      <c r="C444" s="3" t="s">
        <v>217</v>
      </c>
      <c r="D444" s="3" t="s">
        <v>306</v>
      </c>
      <c r="E444" s="3">
        <v>640.4</v>
      </c>
      <c r="F444" s="3" t="s">
        <v>324</v>
      </c>
      <c r="G444" s="3" t="s">
        <v>329</v>
      </c>
      <c r="H444" s="3" t="s">
        <v>332</v>
      </c>
    </row>
    <row r="445" spans="1:8" x14ac:dyDescent="0.25">
      <c r="A445" s="3" t="s">
        <v>777</v>
      </c>
      <c r="B445" s="3" t="s">
        <v>3547</v>
      </c>
      <c r="C445" s="3" t="s">
        <v>60</v>
      </c>
      <c r="D445" s="3" t="s">
        <v>294</v>
      </c>
      <c r="E445" s="3">
        <v>498.69</v>
      </c>
      <c r="F445" s="3" t="s">
        <v>324</v>
      </c>
      <c r="G445" s="3" t="s">
        <v>337</v>
      </c>
      <c r="H445" s="3" t="s">
        <v>334</v>
      </c>
    </row>
    <row r="446" spans="1:8" x14ac:dyDescent="0.25">
      <c r="A446" s="3" t="s">
        <v>778</v>
      </c>
      <c r="B446" s="3" t="s">
        <v>3548</v>
      </c>
      <c r="C446" s="3" t="s">
        <v>179</v>
      </c>
      <c r="D446" s="3" t="s">
        <v>306</v>
      </c>
      <c r="E446" s="3">
        <v>1128.54</v>
      </c>
      <c r="F446" s="3" t="s">
        <v>2995</v>
      </c>
      <c r="G446" s="3" t="s">
        <v>327</v>
      </c>
      <c r="H446" s="3"/>
    </row>
    <row r="447" spans="1:8" x14ac:dyDescent="0.25">
      <c r="A447" s="3" t="s">
        <v>779</v>
      </c>
      <c r="B447" s="3" t="s">
        <v>3549</v>
      </c>
      <c r="C447" s="3" t="s">
        <v>111</v>
      </c>
      <c r="D447" s="3" t="s">
        <v>303</v>
      </c>
      <c r="E447" s="3" t="s">
        <v>3550</v>
      </c>
      <c r="F447" s="3" t="s">
        <v>324</v>
      </c>
      <c r="G447" s="3" t="s">
        <v>329</v>
      </c>
      <c r="H447" s="3" t="s">
        <v>346</v>
      </c>
    </row>
    <row r="448" spans="1:8" x14ac:dyDescent="0.25">
      <c r="A448" s="3" t="s">
        <v>780</v>
      </c>
      <c r="B448" s="3" t="s">
        <v>3551</v>
      </c>
      <c r="C448" s="3" t="s">
        <v>139</v>
      </c>
      <c r="D448" s="3" t="s">
        <v>300</v>
      </c>
      <c r="E448" s="3" t="s">
        <v>3552</v>
      </c>
      <c r="F448" s="3" t="s">
        <v>2976</v>
      </c>
      <c r="G448" s="3" t="s">
        <v>325</v>
      </c>
      <c r="H448" s="3" t="s">
        <v>334</v>
      </c>
    </row>
    <row r="449" spans="1:8" x14ac:dyDescent="0.25">
      <c r="A449" s="3" t="s">
        <v>781</v>
      </c>
      <c r="B449" s="3" t="s">
        <v>3553</v>
      </c>
      <c r="C449" s="3" t="s">
        <v>233</v>
      </c>
      <c r="D449" s="3" t="s">
        <v>294</v>
      </c>
      <c r="E449" s="3" t="s">
        <v>3554</v>
      </c>
      <c r="F449" s="3" t="s">
        <v>324</v>
      </c>
      <c r="G449" s="3" t="s">
        <v>337</v>
      </c>
      <c r="H449" s="3" t="s">
        <v>334</v>
      </c>
    </row>
    <row r="450" spans="1:8" x14ac:dyDescent="0.25">
      <c r="A450" s="3" t="s">
        <v>782</v>
      </c>
      <c r="B450" s="3" t="s">
        <v>3084</v>
      </c>
      <c r="C450" s="3" t="s">
        <v>253</v>
      </c>
      <c r="D450" s="3" t="s">
        <v>303</v>
      </c>
      <c r="E450" s="3" t="s">
        <v>3555</v>
      </c>
      <c r="F450" s="3" t="s">
        <v>2980</v>
      </c>
      <c r="G450" s="3" t="s">
        <v>337</v>
      </c>
      <c r="H450" s="3" t="s">
        <v>332</v>
      </c>
    </row>
    <row r="451" spans="1:8" x14ac:dyDescent="0.25">
      <c r="A451" s="3" t="s">
        <v>783</v>
      </c>
      <c r="B451" s="3" t="s">
        <v>3298</v>
      </c>
      <c r="C451" s="3" t="s">
        <v>273</v>
      </c>
      <c r="D451" s="3" t="s">
        <v>300</v>
      </c>
      <c r="E451" s="3" t="s">
        <v>3556</v>
      </c>
      <c r="F451" s="3" t="s">
        <v>324</v>
      </c>
      <c r="G451" s="3" t="s">
        <v>327</v>
      </c>
      <c r="H451" s="3" t="s">
        <v>332</v>
      </c>
    </row>
    <row r="452" spans="1:8" x14ac:dyDescent="0.25">
      <c r="A452" s="3" t="s">
        <v>784</v>
      </c>
      <c r="B452" s="3" t="s">
        <v>3316</v>
      </c>
      <c r="C452" s="3" t="s">
        <v>68</v>
      </c>
      <c r="D452" s="3" t="s">
        <v>294</v>
      </c>
      <c r="E452" s="3" t="s">
        <v>3557</v>
      </c>
      <c r="F452" s="3" t="s">
        <v>324</v>
      </c>
      <c r="G452" s="3" t="s">
        <v>325</v>
      </c>
      <c r="H452" s="3" t="s">
        <v>332</v>
      </c>
    </row>
    <row r="453" spans="1:8" x14ac:dyDescent="0.25">
      <c r="A453" s="3" t="s">
        <v>785</v>
      </c>
      <c r="B453" s="3" t="s">
        <v>3558</v>
      </c>
      <c r="C453" s="3" t="s">
        <v>233</v>
      </c>
      <c r="D453" s="3" t="s">
        <v>306</v>
      </c>
      <c r="E453" s="3">
        <v>888.98</v>
      </c>
      <c r="F453" s="3" t="s">
        <v>324</v>
      </c>
      <c r="G453" s="3" t="s">
        <v>325</v>
      </c>
      <c r="H453" s="3" t="s">
        <v>346</v>
      </c>
    </row>
    <row r="454" spans="1:8" x14ac:dyDescent="0.25">
      <c r="A454" s="3" t="s">
        <v>2966</v>
      </c>
      <c r="B454" s="3" t="s">
        <v>3559</v>
      </c>
      <c r="C454" s="3"/>
      <c r="D454" s="3" t="s">
        <v>297</v>
      </c>
      <c r="E454" s="3" t="s">
        <v>3560</v>
      </c>
      <c r="F454" s="3" t="s">
        <v>324</v>
      </c>
      <c r="G454" s="3" t="s">
        <v>325</v>
      </c>
      <c r="H454" s="3" t="s">
        <v>346</v>
      </c>
    </row>
    <row r="455" spans="1:8" x14ac:dyDescent="0.25">
      <c r="A455" s="3" t="s">
        <v>786</v>
      </c>
      <c r="B455" s="3" t="s">
        <v>3254</v>
      </c>
      <c r="C455" s="3" t="s">
        <v>33</v>
      </c>
      <c r="D455" s="3" t="s">
        <v>294</v>
      </c>
      <c r="E455" s="3" t="s">
        <v>3561</v>
      </c>
      <c r="F455" s="3" t="s">
        <v>2973</v>
      </c>
      <c r="G455" s="3" t="s">
        <v>325</v>
      </c>
      <c r="H455" s="3" t="s">
        <v>346</v>
      </c>
    </row>
    <row r="456" spans="1:8" x14ac:dyDescent="0.25">
      <c r="A456" s="3" t="s">
        <v>787</v>
      </c>
      <c r="B456" s="3" t="s">
        <v>3562</v>
      </c>
      <c r="C456" s="3" t="s">
        <v>33</v>
      </c>
      <c r="D456" s="3" t="s">
        <v>294</v>
      </c>
      <c r="E456" s="3">
        <v>334.64</v>
      </c>
      <c r="F456" s="3" t="s">
        <v>381</v>
      </c>
      <c r="G456" s="3" t="s">
        <v>325</v>
      </c>
      <c r="H456" s="3" t="s">
        <v>334</v>
      </c>
    </row>
    <row r="457" spans="1:8" x14ac:dyDescent="0.25">
      <c r="A457" s="3" t="s">
        <v>788</v>
      </c>
      <c r="B457" s="3" t="s">
        <v>3563</v>
      </c>
      <c r="C457" s="3" t="s">
        <v>47</v>
      </c>
      <c r="D457" s="3" t="s">
        <v>300</v>
      </c>
      <c r="E457" s="3">
        <v>311.06</v>
      </c>
      <c r="F457" s="3" t="s">
        <v>324</v>
      </c>
      <c r="G457" s="3" t="s">
        <v>329</v>
      </c>
      <c r="H457" s="3" t="s">
        <v>334</v>
      </c>
    </row>
    <row r="458" spans="1:8" x14ac:dyDescent="0.25">
      <c r="A458" s="3" t="s">
        <v>789</v>
      </c>
      <c r="B458" s="3" t="s">
        <v>3007</v>
      </c>
      <c r="C458" s="3" t="s">
        <v>74</v>
      </c>
      <c r="D458" s="3" t="s">
        <v>297</v>
      </c>
      <c r="E458" s="3">
        <v>449.52</v>
      </c>
      <c r="F458" s="3" t="s">
        <v>2995</v>
      </c>
      <c r="G458" s="3" t="s">
        <v>325</v>
      </c>
      <c r="H458" s="3"/>
    </row>
    <row r="459" spans="1:8" x14ac:dyDescent="0.25">
      <c r="A459" s="3" t="s">
        <v>790</v>
      </c>
      <c r="B459" s="3" t="s">
        <v>3564</v>
      </c>
      <c r="C459" s="3" t="s">
        <v>53</v>
      </c>
      <c r="D459" s="3" t="s">
        <v>312</v>
      </c>
      <c r="E459" s="3">
        <v>203.16</v>
      </c>
      <c r="F459" s="3" t="s">
        <v>324</v>
      </c>
      <c r="G459" s="3" t="s">
        <v>337</v>
      </c>
      <c r="H459" s="3" t="s">
        <v>346</v>
      </c>
    </row>
    <row r="460" spans="1:8" x14ac:dyDescent="0.25">
      <c r="A460" s="3" t="s">
        <v>791</v>
      </c>
      <c r="B460" s="3" t="s">
        <v>3565</v>
      </c>
      <c r="C460" s="3" t="s">
        <v>223</v>
      </c>
      <c r="D460" s="3" t="s">
        <v>294</v>
      </c>
      <c r="E460" s="3">
        <v>605.95000000000005</v>
      </c>
      <c r="F460" s="3" t="s">
        <v>331</v>
      </c>
      <c r="G460" s="3" t="s">
        <v>325</v>
      </c>
      <c r="H460" s="3" t="s">
        <v>332</v>
      </c>
    </row>
    <row r="461" spans="1:8" x14ac:dyDescent="0.25">
      <c r="A461" s="3" t="s">
        <v>792</v>
      </c>
      <c r="B461" s="3" t="s">
        <v>3566</v>
      </c>
      <c r="C461" s="3" t="s">
        <v>223</v>
      </c>
      <c r="D461" s="3" t="s">
        <v>309</v>
      </c>
      <c r="E461" s="3" t="s">
        <v>3567</v>
      </c>
      <c r="F461" s="3" t="s">
        <v>324</v>
      </c>
      <c r="G461" s="3" t="s">
        <v>325</v>
      </c>
      <c r="H461" s="3" t="s">
        <v>334</v>
      </c>
    </row>
    <row r="462" spans="1:8" x14ac:dyDescent="0.25">
      <c r="A462" s="3" t="s">
        <v>793</v>
      </c>
      <c r="B462" s="3" t="s">
        <v>3298</v>
      </c>
      <c r="C462" s="3" t="s">
        <v>209</v>
      </c>
      <c r="D462" s="3" t="s">
        <v>303</v>
      </c>
      <c r="E462" s="3" t="s">
        <v>3568</v>
      </c>
      <c r="F462" s="3" t="s">
        <v>331</v>
      </c>
      <c r="G462" s="3" t="s">
        <v>327</v>
      </c>
      <c r="H462" s="3"/>
    </row>
    <row r="463" spans="1:8" x14ac:dyDescent="0.25">
      <c r="A463" s="3" t="s">
        <v>794</v>
      </c>
      <c r="B463" s="3" t="s">
        <v>3569</v>
      </c>
      <c r="C463" s="3" t="s">
        <v>100</v>
      </c>
      <c r="D463" s="3" t="s">
        <v>294</v>
      </c>
      <c r="E463" s="3">
        <v>198.05</v>
      </c>
      <c r="F463" s="3" t="s">
        <v>324</v>
      </c>
      <c r="G463" s="3" t="s">
        <v>337</v>
      </c>
      <c r="H463" s="3" t="s">
        <v>346</v>
      </c>
    </row>
    <row r="464" spans="1:8" x14ac:dyDescent="0.25">
      <c r="A464" s="3" t="s">
        <v>795</v>
      </c>
      <c r="B464" s="3" t="s">
        <v>3570</v>
      </c>
      <c r="C464" s="3" t="s">
        <v>6</v>
      </c>
      <c r="D464" s="3" t="s">
        <v>303</v>
      </c>
      <c r="E464" s="3">
        <v>617.86</v>
      </c>
      <c r="F464" s="3" t="s">
        <v>324</v>
      </c>
      <c r="G464" s="3" t="s">
        <v>337</v>
      </c>
      <c r="H464" s="3" t="s">
        <v>346</v>
      </c>
    </row>
    <row r="465" spans="1:8" x14ac:dyDescent="0.25">
      <c r="A465" s="3" t="s">
        <v>796</v>
      </c>
      <c r="B465" s="3" t="s">
        <v>3571</v>
      </c>
      <c r="C465" s="3" t="s">
        <v>123</v>
      </c>
      <c r="D465" s="3" t="s">
        <v>294</v>
      </c>
      <c r="E465" s="3">
        <v>310.11</v>
      </c>
      <c r="F465" s="3" t="s">
        <v>2995</v>
      </c>
      <c r="G465" s="3" t="s">
        <v>327</v>
      </c>
      <c r="H465" s="3" t="s">
        <v>332</v>
      </c>
    </row>
    <row r="466" spans="1:8" x14ac:dyDescent="0.25">
      <c r="A466" s="3" t="s">
        <v>797</v>
      </c>
      <c r="B466" s="3" t="s">
        <v>3572</v>
      </c>
      <c r="C466" s="3" t="s">
        <v>92</v>
      </c>
      <c r="D466" s="3" t="s">
        <v>297</v>
      </c>
      <c r="E466" s="3" t="s">
        <v>3573</v>
      </c>
      <c r="F466" s="3" t="s">
        <v>2988</v>
      </c>
      <c r="G466" s="3"/>
      <c r="H466" s="3"/>
    </row>
    <row r="467" spans="1:8" x14ac:dyDescent="0.25">
      <c r="A467" s="3" t="s">
        <v>798</v>
      </c>
      <c r="B467" s="3" t="s">
        <v>3113</v>
      </c>
      <c r="C467" s="3" t="s">
        <v>267</v>
      </c>
      <c r="D467" s="3" t="s">
        <v>294</v>
      </c>
      <c r="E467" s="3">
        <v>123.31</v>
      </c>
      <c r="F467" s="3" t="s">
        <v>324</v>
      </c>
      <c r="G467" s="3" t="s">
        <v>325</v>
      </c>
      <c r="H467" s="3"/>
    </row>
    <row r="468" spans="1:8" x14ac:dyDescent="0.25">
      <c r="A468" s="3" t="s">
        <v>799</v>
      </c>
      <c r="B468" s="3" t="s">
        <v>3470</v>
      </c>
      <c r="C468" s="3" t="s">
        <v>189</v>
      </c>
      <c r="D468" s="3" t="s">
        <v>297</v>
      </c>
      <c r="E468" s="3">
        <v>-78.16</v>
      </c>
      <c r="F468" s="3" t="s">
        <v>3021</v>
      </c>
      <c r="G468" s="3" t="s">
        <v>327</v>
      </c>
      <c r="H468" s="3" t="s">
        <v>334</v>
      </c>
    </row>
    <row r="469" spans="1:8" x14ac:dyDescent="0.25">
      <c r="A469" s="3" t="s">
        <v>800</v>
      </c>
      <c r="B469" s="3" t="s">
        <v>3574</v>
      </c>
      <c r="C469" s="3" t="s">
        <v>109</v>
      </c>
      <c r="D469" s="3" t="s">
        <v>300</v>
      </c>
      <c r="E469" s="3">
        <v>330.56</v>
      </c>
      <c r="F469" s="3" t="s">
        <v>2976</v>
      </c>
      <c r="G469" s="3" t="s">
        <v>337</v>
      </c>
      <c r="H469" s="3" t="s">
        <v>334</v>
      </c>
    </row>
    <row r="470" spans="1:8" x14ac:dyDescent="0.25">
      <c r="A470" s="3" t="s">
        <v>801</v>
      </c>
      <c r="B470" s="3" t="s">
        <v>3575</v>
      </c>
      <c r="C470" s="3" t="s">
        <v>49</v>
      </c>
      <c r="D470" s="3" t="s">
        <v>294</v>
      </c>
      <c r="E470" s="3">
        <v>381.51</v>
      </c>
      <c r="F470" s="3" t="s">
        <v>2995</v>
      </c>
      <c r="G470" s="3" t="s">
        <v>325</v>
      </c>
      <c r="H470" s="3" t="s">
        <v>334</v>
      </c>
    </row>
    <row r="471" spans="1:8" x14ac:dyDescent="0.25">
      <c r="A471" s="3" t="s">
        <v>802</v>
      </c>
      <c r="B471" s="3" t="s">
        <v>3492</v>
      </c>
      <c r="C471" s="3" t="s">
        <v>82</v>
      </c>
      <c r="D471" s="3" t="s">
        <v>300</v>
      </c>
      <c r="E471" s="3">
        <v>822.8</v>
      </c>
      <c r="F471" s="3" t="s">
        <v>381</v>
      </c>
      <c r="G471" s="3" t="s">
        <v>337</v>
      </c>
      <c r="H471" s="3" t="s">
        <v>346</v>
      </c>
    </row>
    <row r="472" spans="1:8" x14ac:dyDescent="0.25">
      <c r="A472" s="3" t="s">
        <v>803</v>
      </c>
      <c r="B472" s="3" t="s">
        <v>3576</v>
      </c>
      <c r="C472" s="3" t="s">
        <v>139</v>
      </c>
      <c r="D472" s="3" t="s">
        <v>294</v>
      </c>
      <c r="E472" s="3" t="s">
        <v>3577</v>
      </c>
      <c r="F472" s="3" t="s">
        <v>2976</v>
      </c>
      <c r="G472" s="3" t="s">
        <v>325</v>
      </c>
      <c r="H472" s="3"/>
    </row>
    <row r="473" spans="1:8" x14ac:dyDescent="0.25">
      <c r="A473" s="3" t="s">
        <v>804</v>
      </c>
      <c r="B473" s="3" t="s">
        <v>3578</v>
      </c>
      <c r="C473" s="3" t="s">
        <v>805</v>
      </c>
      <c r="D473" s="3" t="s">
        <v>297</v>
      </c>
      <c r="E473" s="3" t="s">
        <v>3579</v>
      </c>
      <c r="F473" s="3" t="s">
        <v>324</v>
      </c>
      <c r="G473" s="3" t="s">
        <v>327</v>
      </c>
      <c r="H473" s="3"/>
    </row>
    <row r="474" spans="1:8" x14ac:dyDescent="0.25">
      <c r="A474" s="3" t="s">
        <v>806</v>
      </c>
      <c r="B474" s="3" t="s">
        <v>3113</v>
      </c>
      <c r="C474" s="3" t="s">
        <v>195</v>
      </c>
      <c r="D474" s="3" t="s">
        <v>294</v>
      </c>
      <c r="E474" s="3">
        <v>156.56</v>
      </c>
      <c r="F474" s="3" t="s">
        <v>324</v>
      </c>
      <c r="G474" s="3" t="s">
        <v>325</v>
      </c>
      <c r="H474" s="3" t="s">
        <v>346</v>
      </c>
    </row>
    <row r="475" spans="1:8" x14ac:dyDescent="0.25">
      <c r="A475" s="3" t="s">
        <v>807</v>
      </c>
      <c r="B475" s="3" t="s">
        <v>3580</v>
      </c>
      <c r="C475" s="3" t="s">
        <v>42</v>
      </c>
      <c r="D475" s="3" t="s">
        <v>315</v>
      </c>
      <c r="E475" s="3" t="s">
        <v>3581</v>
      </c>
      <c r="F475" s="3" t="s">
        <v>2995</v>
      </c>
      <c r="G475" s="3" t="s">
        <v>327</v>
      </c>
      <c r="H475" s="3" t="s">
        <v>334</v>
      </c>
    </row>
    <row r="476" spans="1:8" x14ac:dyDescent="0.25">
      <c r="A476" s="3" t="s">
        <v>808</v>
      </c>
      <c r="B476" s="3" t="s">
        <v>3209</v>
      </c>
      <c r="C476" s="3" t="s">
        <v>84</v>
      </c>
      <c r="D476" s="3" t="s">
        <v>294</v>
      </c>
      <c r="E476" s="3">
        <v>-277.98</v>
      </c>
      <c r="F476" s="3" t="s">
        <v>3006</v>
      </c>
      <c r="G476" s="3" t="s">
        <v>327</v>
      </c>
      <c r="H476" s="3"/>
    </row>
    <row r="477" spans="1:8" x14ac:dyDescent="0.25">
      <c r="A477" s="3" t="s">
        <v>809</v>
      </c>
      <c r="B477" s="3" t="s">
        <v>3129</v>
      </c>
      <c r="C477" s="3" t="s">
        <v>810</v>
      </c>
      <c r="D477" s="3" t="s">
        <v>303</v>
      </c>
      <c r="E477" s="3">
        <v>380.05</v>
      </c>
      <c r="F477" s="3" t="s">
        <v>2988</v>
      </c>
      <c r="G477" s="3" t="s">
        <v>329</v>
      </c>
      <c r="H477" s="3"/>
    </row>
    <row r="478" spans="1:8" x14ac:dyDescent="0.25">
      <c r="A478" s="3" t="s">
        <v>811</v>
      </c>
      <c r="B478" s="3" t="s">
        <v>3533</v>
      </c>
      <c r="C478" s="3" t="s">
        <v>221</v>
      </c>
      <c r="D478" s="3" t="s">
        <v>300</v>
      </c>
      <c r="E478" s="3" t="s">
        <v>3582</v>
      </c>
      <c r="F478" s="3" t="s">
        <v>324</v>
      </c>
      <c r="G478" s="3" t="s">
        <v>327</v>
      </c>
      <c r="H478" s="3" t="s">
        <v>334</v>
      </c>
    </row>
    <row r="479" spans="1:8" x14ac:dyDescent="0.25">
      <c r="A479" s="3" t="s">
        <v>812</v>
      </c>
      <c r="B479" s="3" t="s">
        <v>3583</v>
      </c>
      <c r="C479" s="3" t="s">
        <v>197</v>
      </c>
      <c r="D479" s="3" t="s">
        <v>297</v>
      </c>
      <c r="E479" s="3">
        <v>523.69000000000005</v>
      </c>
      <c r="F479" s="3" t="s">
        <v>2988</v>
      </c>
      <c r="G479" s="3" t="s">
        <v>337</v>
      </c>
      <c r="H479" s="3"/>
    </row>
    <row r="480" spans="1:8" x14ac:dyDescent="0.25">
      <c r="A480" s="3" t="s">
        <v>813</v>
      </c>
      <c r="B480" s="3" t="s">
        <v>3584</v>
      </c>
      <c r="C480" s="3" t="s">
        <v>80</v>
      </c>
      <c r="D480" s="3" t="s">
        <v>312</v>
      </c>
      <c r="E480" s="3" t="s">
        <v>3585</v>
      </c>
      <c r="F480" s="3" t="s">
        <v>324</v>
      </c>
      <c r="G480" s="3" t="s">
        <v>325</v>
      </c>
      <c r="H480" s="3" t="s">
        <v>346</v>
      </c>
    </row>
    <row r="481" spans="1:8" x14ac:dyDescent="0.25">
      <c r="A481" s="3" t="s">
        <v>814</v>
      </c>
      <c r="B481" s="3" t="s">
        <v>2977</v>
      </c>
      <c r="C481" s="3" t="s">
        <v>49</v>
      </c>
      <c r="D481" s="3" t="s">
        <v>300</v>
      </c>
      <c r="E481" s="3">
        <v>612.67999999999995</v>
      </c>
      <c r="F481" s="3" t="s">
        <v>324</v>
      </c>
      <c r="G481" s="3" t="s">
        <v>327</v>
      </c>
      <c r="H481" s="3" t="s">
        <v>346</v>
      </c>
    </row>
    <row r="482" spans="1:8" x14ac:dyDescent="0.25">
      <c r="A482" s="3" t="s">
        <v>815</v>
      </c>
      <c r="B482" s="3" t="s">
        <v>3586</v>
      </c>
      <c r="C482" s="3" t="s">
        <v>6</v>
      </c>
      <c r="D482" s="3" t="s">
        <v>300</v>
      </c>
      <c r="E482" s="3">
        <v>1238.05</v>
      </c>
      <c r="F482" s="3" t="s">
        <v>2973</v>
      </c>
      <c r="G482" s="3" t="s">
        <v>325</v>
      </c>
      <c r="H482" s="3" t="s">
        <v>334</v>
      </c>
    </row>
    <row r="483" spans="1:8" x14ac:dyDescent="0.25">
      <c r="A483" s="3" t="s">
        <v>816</v>
      </c>
      <c r="B483" s="3" t="s">
        <v>3202</v>
      </c>
      <c r="C483" s="3" t="s">
        <v>273</v>
      </c>
      <c r="D483" s="3" t="s">
        <v>303</v>
      </c>
      <c r="E483" s="3" t="s">
        <v>3587</v>
      </c>
      <c r="F483" s="3" t="s">
        <v>324</v>
      </c>
      <c r="G483" s="3" t="s">
        <v>329</v>
      </c>
      <c r="H483" s="3" t="s">
        <v>346</v>
      </c>
    </row>
    <row r="484" spans="1:8" x14ac:dyDescent="0.25">
      <c r="A484" s="3" t="s">
        <v>817</v>
      </c>
      <c r="B484" s="3" t="s">
        <v>3588</v>
      </c>
      <c r="C484" s="3" t="s">
        <v>185</v>
      </c>
      <c r="D484" s="3" t="s">
        <v>294</v>
      </c>
      <c r="E484" s="3">
        <v>-200.04</v>
      </c>
      <c r="F484" s="3" t="s">
        <v>349</v>
      </c>
      <c r="G484" s="3" t="s">
        <v>325</v>
      </c>
      <c r="H484" s="3"/>
    </row>
    <row r="485" spans="1:8" x14ac:dyDescent="0.25">
      <c r="A485" s="3" t="s">
        <v>818</v>
      </c>
      <c r="B485" s="3" t="s">
        <v>3589</v>
      </c>
      <c r="C485" s="3" t="s">
        <v>103</v>
      </c>
      <c r="D485" s="3" t="s">
        <v>315</v>
      </c>
      <c r="E485" s="3" t="s">
        <v>3590</v>
      </c>
      <c r="F485" s="3" t="s">
        <v>2988</v>
      </c>
      <c r="G485" s="3" t="s">
        <v>329</v>
      </c>
      <c r="H485" s="3"/>
    </row>
    <row r="486" spans="1:8" x14ac:dyDescent="0.25">
      <c r="A486" s="3" t="s">
        <v>819</v>
      </c>
      <c r="B486" s="3" t="s">
        <v>3591</v>
      </c>
      <c r="C486" s="3" t="s">
        <v>62</v>
      </c>
      <c r="D486" s="3" t="s">
        <v>294</v>
      </c>
      <c r="E486" s="3" t="s">
        <v>3592</v>
      </c>
      <c r="F486" s="3" t="s">
        <v>324</v>
      </c>
      <c r="G486" s="3" t="s">
        <v>337</v>
      </c>
      <c r="H486" s="3"/>
    </row>
    <row r="487" spans="1:8" x14ac:dyDescent="0.25">
      <c r="A487" s="3" t="s">
        <v>820</v>
      </c>
      <c r="B487" s="3" t="s">
        <v>3593</v>
      </c>
      <c r="C487" s="3" t="s">
        <v>86</v>
      </c>
      <c r="D487" s="3" t="s">
        <v>297</v>
      </c>
      <c r="E487" s="3" t="s">
        <v>3594</v>
      </c>
      <c r="F487" s="3" t="s">
        <v>2976</v>
      </c>
      <c r="G487" s="3" t="s">
        <v>325</v>
      </c>
      <c r="H487" s="3" t="s">
        <v>334</v>
      </c>
    </row>
    <row r="488" spans="1:8" x14ac:dyDescent="0.25">
      <c r="A488" s="3" t="s">
        <v>821</v>
      </c>
      <c r="B488" s="3" t="s">
        <v>3595</v>
      </c>
      <c r="C488" s="3" t="s">
        <v>149</v>
      </c>
      <c r="D488" s="3" t="s">
        <v>300</v>
      </c>
      <c r="E488" s="3" t="s">
        <v>3596</v>
      </c>
      <c r="F488" s="3" t="s">
        <v>331</v>
      </c>
      <c r="G488" s="3" t="s">
        <v>329</v>
      </c>
      <c r="H488" s="3"/>
    </row>
    <row r="489" spans="1:8" x14ac:dyDescent="0.25">
      <c r="A489" s="3" t="s">
        <v>822</v>
      </c>
      <c r="B489" s="3" t="s">
        <v>3597</v>
      </c>
      <c r="C489" s="3" t="s">
        <v>165</v>
      </c>
      <c r="D489" s="3" t="s">
        <v>306</v>
      </c>
      <c r="E489" s="3">
        <v>431.19</v>
      </c>
      <c r="F489" s="3" t="s">
        <v>3037</v>
      </c>
      <c r="G489" s="3"/>
      <c r="H489" s="3"/>
    </row>
    <row r="490" spans="1:8" x14ac:dyDescent="0.25">
      <c r="A490" s="3" t="s">
        <v>823</v>
      </c>
      <c r="B490" s="3" t="s">
        <v>3598</v>
      </c>
      <c r="C490" s="3" t="s">
        <v>149</v>
      </c>
      <c r="D490" s="3" t="s">
        <v>309</v>
      </c>
      <c r="E490" s="3">
        <v>454.83</v>
      </c>
      <c r="F490" s="3" t="s">
        <v>3178</v>
      </c>
      <c r="G490" s="3" t="s">
        <v>329</v>
      </c>
      <c r="H490" s="3" t="s">
        <v>334</v>
      </c>
    </row>
    <row r="491" spans="1:8" x14ac:dyDescent="0.25">
      <c r="A491" s="3" t="s">
        <v>824</v>
      </c>
      <c r="B491" s="3" t="s">
        <v>3599</v>
      </c>
      <c r="C491" s="3" t="s">
        <v>143</v>
      </c>
      <c r="D491" s="3" t="s">
        <v>315</v>
      </c>
      <c r="E491" s="3">
        <v>604.95000000000005</v>
      </c>
      <c r="F491" s="3" t="s">
        <v>381</v>
      </c>
      <c r="G491" s="3" t="s">
        <v>325</v>
      </c>
      <c r="H491" s="3"/>
    </row>
    <row r="492" spans="1:8" x14ac:dyDescent="0.25">
      <c r="A492" s="3" t="s">
        <v>825</v>
      </c>
      <c r="B492" s="3" t="s">
        <v>3600</v>
      </c>
      <c r="C492" s="3" t="s">
        <v>15</v>
      </c>
      <c r="D492" s="3" t="s">
        <v>294</v>
      </c>
      <c r="E492" s="3">
        <v>438.57</v>
      </c>
      <c r="F492" s="3" t="s">
        <v>324</v>
      </c>
      <c r="G492" s="3" t="s">
        <v>337</v>
      </c>
      <c r="H492" s="3" t="s">
        <v>334</v>
      </c>
    </row>
    <row r="493" spans="1:8" x14ac:dyDescent="0.25">
      <c r="A493" s="3" t="s">
        <v>826</v>
      </c>
      <c r="B493" s="3" t="s">
        <v>3601</v>
      </c>
      <c r="C493" s="3" t="s">
        <v>121</v>
      </c>
      <c r="D493" s="3" t="s">
        <v>315</v>
      </c>
      <c r="E493" s="3">
        <v>262.35000000000002</v>
      </c>
      <c r="F493" s="3" t="s">
        <v>324</v>
      </c>
      <c r="G493" s="3" t="s">
        <v>337</v>
      </c>
      <c r="H493" s="3"/>
    </row>
    <row r="494" spans="1:8" x14ac:dyDescent="0.25">
      <c r="A494" s="3" t="s">
        <v>827</v>
      </c>
      <c r="B494" s="3" t="s">
        <v>2989</v>
      </c>
      <c r="C494" s="3" t="s">
        <v>207</v>
      </c>
      <c r="D494" s="3" t="s">
        <v>300</v>
      </c>
      <c r="E494" s="3" t="s">
        <v>3602</v>
      </c>
      <c r="F494" s="3" t="s">
        <v>324</v>
      </c>
      <c r="G494" s="3" t="s">
        <v>327</v>
      </c>
      <c r="H494" s="3"/>
    </row>
    <row r="495" spans="1:8" x14ac:dyDescent="0.25">
      <c r="A495" s="3" t="s">
        <v>828</v>
      </c>
      <c r="B495" s="3" t="s">
        <v>3603</v>
      </c>
      <c r="C495" s="3" t="s">
        <v>40</v>
      </c>
      <c r="D495" s="3" t="s">
        <v>309</v>
      </c>
      <c r="E495" s="3" t="s">
        <v>3604</v>
      </c>
      <c r="F495" s="3" t="s">
        <v>324</v>
      </c>
      <c r="G495" s="3" t="s">
        <v>325</v>
      </c>
      <c r="H495" s="3" t="s">
        <v>346</v>
      </c>
    </row>
    <row r="496" spans="1:8" x14ac:dyDescent="0.25">
      <c r="A496" s="3" t="s">
        <v>829</v>
      </c>
      <c r="B496" s="3" t="s">
        <v>3605</v>
      </c>
      <c r="C496" s="3" t="s">
        <v>830</v>
      </c>
      <c r="D496" s="3" t="s">
        <v>306</v>
      </c>
      <c r="E496" s="3">
        <v>1426.77</v>
      </c>
      <c r="F496" s="3" t="s">
        <v>324</v>
      </c>
      <c r="G496" s="3" t="s">
        <v>327</v>
      </c>
      <c r="H496" s="3"/>
    </row>
    <row r="497" spans="1:8" x14ac:dyDescent="0.25">
      <c r="A497" s="3" t="s">
        <v>831</v>
      </c>
      <c r="B497" s="3" t="s">
        <v>3312</v>
      </c>
      <c r="C497" s="3" t="s">
        <v>201</v>
      </c>
      <c r="D497" s="3" t="s">
        <v>294</v>
      </c>
      <c r="E497" s="3" t="s">
        <v>3606</v>
      </c>
      <c r="F497" s="3" t="s">
        <v>324</v>
      </c>
      <c r="G497" s="3" t="s">
        <v>325</v>
      </c>
      <c r="H497" s="3" t="s">
        <v>346</v>
      </c>
    </row>
    <row r="498" spans="1:8" x14ac:dyDescent="0.25">
      <c r="A498" s="3" t="s">
        <v>832</v>
      </c>
      <c r="B498" s="3" t="s">
        <v>3283</v>
      </c>
      <c r="C498" s="3" t="s">
        <v>42</v>
      </c>
      <c r="D498" s="3" t="s">
        <v>294</v>
      </c>
      <c r="E498" s="3">
        <v>372.84</v>
      </c>
      <c r="F498" s="3" t="s">
        <v>324</v>
      </c>
      <c r="G498" s="3" t="s">
        <v>337</v>
      </c>
      <c r="H498" s="3" t="s">
        <v>334</v>
      </c>
    </row>
    <row r="499" spans="1:8" x14ac:dyDescent="0.25">
      <c r="A499" s="3" t="s">
        <v>833</v>
      </c>
      <c r="B499" s="3" t="s">
        <v>3607</v>
      </c>
      <c r="C499" s="3" t="s">
        <v>201</v>
      </c>
      <c r="D499" s="3" t="s">
        <v>300</v>
      </c>
      <c r="E499" s="3">
        <v>1054.46</v>
      </c>
      <c r="F499" s="3" t="s">
        <v>324</v>
      </c>
      <c r="G499" s="3" t="s">
        <v>325</v>
      </c>
      <c r="H499" s="3"/>
    </row>
    <row r="500" spans="1:8" x14ac:dyDescent="0.25">
      <c r="A500" s="3" t="s">
        <v>834</v>
      </c>
      <c r="B500" s="3" t="s">
        <v>3608</v>
      </c>
      <c r="C500" s="3" t="s">
        <v>109</v>
      </c>
      <c r="D500" s="3" t="s">
        <v>309</v>
      </c>
      <c r="E500" s="3" t="s">
        <v>3609</v>
      </c>
      <c r="F500" s="3" t="s">
        <v>324</v>
      </c>
      <c r="G500" s="3" t="s">
        <v>325</v>
      </c>
      <c r="H500" s="3" t="s">
        <v>332</v>
      </c>
    </row>
    <row r="501" spans="1:8" x14ac:dyDescent="0.25">
      <c r="A501" s="3" t="s">
        <v>835</v>
      </c>
      <c r="B501" s="3" t="s">
        <v>3610</v>
      </c>
      <c r="C501" s="3" t="s">
        <v>161</v>
      </c>
      <c r="D501" s="3" t="s">
        <v>300</v>
      </c>
      <c r="E501" s="3">
        <v>438.31</v>
      </c>
      <c r="F501" s="3" t="s">
        <v>2973</v>
      </c>
      <c r="G501" s="3" t="s">
        <v>327</v>
      </c>
      <c r="H501" s="3" t="s">
        <v>332</v>
      </c>
    </row>
    <row r="502" spans="1:8" x14ac:dyDescent="0.25">
      <c r="A502" s="3" t="s">
        <v>836</v>
      </c>
      <c r="B502" s="3" t="s">
        <v>3025</v>
      </c>
      <c r="C502" s="3" t="s">
        <v>58</v>
      </c>
      <c r="D502" s="3" t="s">
        <v>294</v>
      </c>
      <c r="E502" s="3">
        <v>158.30000000000001</v>
      </c>
      <c r="F502" s="3" t="s">
        <v>3112</v>
      </c>
      <c r="G502" s="3" t="s">
        <v>327</v>
      </c>
      <c r="H502" s="3"/>
    </row>
    <row r="503" spans="1:8" x14ac:dyDescent="0.25">
      <c r="A503" s="3" t="s">
        <v>837</v>
      </c>
      <c r="B503" s="3" t="s">
        <v>3611</v>
      </c>
      <c r="C503" s="3" t="s">
        <v>217</v>
      </c>
      <c r="D503" s="3" t="s">
        <v>306</v>
      </c>
      <c r="E503" s="3" t="s">
        <v>3612</v>
      </c>
      <c r="F503" s="3" t="s">
        <v>324</v>
      </c>
      <c r="G503" s="3" t="s">
        <v>325</v>
      </c>
      <c r="H503" s="3" t="s">
        <v>334</v>
      </c>
    </row>
    <row r="504" spans="1:8" x14ac:dyDescent="0.25">
      <c r="A504" s="3" t="s">
        <v>838</v>
      </c>
      <c r="B504" s="3" t="s">
        <v>3613</v>
      </c>
      <c r="C504" s="3" t="s">
        <v>223</v>
      </c>
      <c r="D504" s="3" t="s">
        <v>312</v>
      </c>
      <c r="E504" s="3">
        <v>750.2</v>
      </c>
      <c r="F504" s="3" t="s">
        <v>2976</v>
      </c>
      <c r="G504" s="3" t="s">
        <v>325</v>
      </c>
      <c r="H504" s="3" t="s">
        <v>346</v>
      </c>
    </row>
    <row r="505" spans="1:8" x14ac:dyDescent="0.25">
      <c r="A505" s="3" t="s">
        <v>839</v>
      </c>
      <c r="B505" s="3" t="s">
        <v>3614</v>
      </c>
      <c r="C505" s="3" t="s">
        <v>44</v>
      </c>
      <c r="D505" s="3" t="s">
        <v>297</v>
      </c>
      <c r="E505" s="3">
        <v>512.70000000000005</v>
      </c>
      <c r="F505" s="3" t="s">
        <v>324</v>
      </c>
      <c r="G505" s="3" t="s">
        <v>327</v>
      </c>
      <c r="H505" s="3" t="s">
        <v>346</v>
      </c>
    </row>
    <row r="506" spans="1:8" x14ac:dyDescent="0.25">
      <c r="A506" s="3" t="s">
        <v>840</v>
      </c>
      <c r="B506" s="3" t="s">
        <v>3072</v>
      </c>
      <c r="C506" s="3" t="s">
        <v>203</v>
      </c>
      <c r="D506" s="3" t="s">
        <v>303</v>
      </c>
      <c r="E506" s="3">
        <v>1033.56</v>
      </c>
      <c r="F506" s="3" t="s">
        <v>2976</v>
      </c>
      <c r="G506" s="3" t="s">
        <v>327</v>
      </c>
      <c r="H506" s="3"/>
    </row>
    <row r="507" spans="1:8" x14ac:dyDescent="0.25">
      <c r="A507" s="3" t="s">
        <v>841</v>
      </c>
      <c r="B507" s="3" t="s">
        <v>3615</v>
      </c>
      <c r="C507" s="3" t="s">
        <v>273</v>
      </c>
      <c r="D507" s="3" t="s">
        <v>300</v>
      </c>
      <c r="E507" s="3" t="s">
        <v>3616</v>
      </c>
      <c r="F507" s="3" t="s">
        <v>3097</v>
      </c>
      <c r="G507" s="3" t="s">
        <v>327</v>
      </c>
      <c r="H507" s="3"/>
    </row>
    <row r="508" spans="1:8" x14ac:dyDescent="0.25">
      <c r="A508" s="3" t="s">
        <v>842</v>
      </c>
      <c r="B508" s="3" t="s">
        <v>3617</v>
      </c>
      <c r="C508" s="3" t="s">
        <v>159</v>
      </c>
      <c r="D508" s="3" t="s">
        <v>309</v>
      </c>
      <c r="E508" s="3" t="s">
        <v>3618</v>
      </c>
      <c r="F508" s="3" t="s">
        <v>349</v>
      </c>
      <c r="G508" s="3" t="s">
        <v>329</v>
      </c>
      <c r="H508" s="3"/>
    </row>
    <row r="509" spans="1:8" x14ac:dyDescent="0.25">
      <c r="A509" s="3" t="s">
        <v>843</v>
      </c>
      <c r="B509" s="3" t="s">
        <v>3619</v>
      </c>
      <c r="C509" s="3" t="s">
        <v>195</v>
      </c>
      <c r="D509" s="3" t="s">
        <v>297</v>
      </c>
      <c r="E509" s="3">
        <v>579.13</v>
      </c>
      <c r="F509" s="3" t="s">
        <v>2973</v>
      </c>
      <c r="G509" s="3" t="s">
        <v>327</v>
      </c>
      <c r="H509" s="3"/>
    </row>
    <row r="510" spans="1:8" x14ac:dyDescent="0.25">
      <c r="A510" s="3" t="s">
        <v>844</v>
      </c>
      <c r="B510" s="3" t="s">
        <v>3620</v>
      </c>
      <c r="C510" s="3" t="s">
        <v>26</v>
      </c>
      <c r="D510" s="3" t="s">
        <v>300</v>
      </c>
      <c r="E510" s="3" t="s">
        <v>3621</v>
      </c>
      <c r="F510" s="3" t="s">
        <v>324</v>
      </c>
      <c r="G510" s="3" t="s">
        <v>337</v>
      </c>
      <c r="H510" s="3" t="s">
        <v>332</v>
      </c>
    </row>
    <row r="511" spans="1:8" x14ac:dyDescent="0.25">
      <c r="A511" s="3" t="s">
        <v>845</v>
      </c>
      <c r="B511" s="3" t="s">
        <v>3622</v>
      </c>
      <c r="C511" s="3" t="s">
        <v>183</v>
      </c>
      <c r="D511" s="3" t="s">
        <v>306</v>
      </c>
      <c r="E511" s="3">
        <v>566.74</v>
      </c>
      <c r="F511" s="3" t="s">
        <v>2976</v>
      </c>
      <c r="G511" s="3" t="s">
        <v>327</v>
      </c>
      <c r="H511" s="3"/>
    </row>
    <row r="512" spans="1:8" x14ac:dyDescent="0.25">
      <c r="A512" s="3" t="s">
        <v>846</v>
      </c>
      <c r="B512" s="3" t="s">
        <v>3623</v>
      </c>
      <c r="C512" s="3" t="s">
        <v>273</v>
      </c>
      <c r="D512" s="3" t="s">
        <v>294</v>
      </c>
      <c r="E512" s="3" t="s">
        <v>3624</v>
      </c>
      <c r="F512" s="3" t="s">
        <v>3017</v>
      </c>
      <c r="G512" s="3" t="s">
        <v>337</v>
      </c>
      <c r="H512" s="3" t="s">
        <v>334</v>
      </c>
    </row>
    <row r="513" spans="1:8" x14ac:dyDescent="0.25">
      <c r="A513" s="3" t="s">
        <v>847</v>
      </c>
      <c r="B513" s="3" t="s">
        <v>3625</v>
      </c>
      <c r="C513" s="3" t="s">
        <v>191</v>
      </c>
      <c r="D513" s="3" t="s">
        <v>315</v>
      </c>
      <c r="E513" s="3">
        <v>291.79000000000002</v>
      </c>
      <c r="F513" s="3" t="s">
        <v>324</v>
      </c>
      <c r="G513" s="3" t="s">
        <v>337</v>
      </c>
      <c r="H513" s="3" t="s">
        <v>334</v>
      </c>
    </row>
    <row r="514" spans="1:8" x14ac:dyDescent="0.25">
      <c r="A514" s="3" t="s">
        <v>848</v>
      </c>
      <c r="B514" s="3" t="s">
        <v>3252</v>
      </c>
      <c r="C514" s="3" t="s">
        <v>221</v>
      </c>
      <c r="D514" s="3" t="s">
        <v>294</v>
      </c>
      <c r="E514" s="3">
        <v>972.87</v>
      </c>
      <c r="F514" s="3" t="s">
        <v>324</v>
      </c>
      <c r="G514" s="3" t="s">
        <v>327</v>
      </c>
      <c r="H514" s="3"/>
    </row>
    <row r="515" spans="1:8" x14ac:dyDescent="0.25">
      <c r="A515" s="3" t="s">
        <v>849</v>
      </c>
      <c r="B515" s="3" t="s">
        <v>3626</v>
      </c>
      <c r="C515" s="3" t="s">
        <v>273</v>
      </c>
      <c r="D515" s="3" t="s">
        <v>294</v>
      </c>
      <c r="E515" s="3">
        <v>215.47</v>
      </c>
      <c r="F515" s="3" t="s">
        <v>324</v>
      </c>
      <c r="G515" s="3" t="s">
        <v>337</v>
      </c>
      <c r="H515" s="3"/>
    </row>
    <row r="516" spans="1:8" x14ac:dyDescent="0.25">
      <c r="A516" s="3" t="s">
        <v>850</v>
      </c>
      <c r="B516" s="3" t="s">
        <v>3627</v>
      </c>
      <c r="C516" s="3" t="s">
        <v>215</v>
      </c>
      <c r="D516" s="3" t="s">
        <v>300</v>
      </c>
      <c r="E516" s="3" t="s">
        <v>3628</v>
      </c>
      <c r="F516" s="3" t="s">
        <v>2973</v>
      </c>
      <c r="G516" s="3" t="s">
        <v>337</v>
      </c>
      <c r="H516" s="3" t="s">
        <v>346</v>
      </c>
    </row>
    <row r="517" spans="1:8" x14ac:dyDescent="0.25">
      <c r="A517" s="3" t="s">
        <v>851</v>
      </c>
      <c r="B517" s="3" t="s">
        <v>3629</v>
      </c>
      <c r="C517" s="3" t="s">
        <v>49</v>
      </c>
      <c r="D517" s="3" t="s">
        <v>303</v>
      </c>
      <c r="E517" s="3">
        <v>669.98</v>
      </c>
      <c r="F517" s="3" t="s">
        <v>324</v>
      </c>
      <c r="G517" s="3" t="s">
        <v>325</v>
      </c>
      <c r="H517" s="3"/>
    </row>
    <row r="518" spans="1:8" x14ac:dyDescent="0.25">
      <c r="A518" s="3" t="s">
        <v>852</v>
      </c>
      <c r="B518" s="3" t="s">
        <v>3438</v>
      </c>
      <c r="C518" s="3" t="s">
        <v>94</v>
      </c>
      <c r="D518" s="3" t="s">
        <v>315</v>
      </c>
      <c r="E518" s="3" t="s">
        <v>3630</v>
      </c>
      <c r="F518" s="3" t="s">
        <v>2976</v>
      </c>
      <c r="G518" s="3" t="s">
        <v>327</v>
      </c>
      <c r="H518" s="3" t="s">
        <v>332</v>
      </c>
    </row>
    <row r="519" spans="1:8" x14ac:dyDescent="0.25">
      <c r="A519" s="3" t="s">
        <v>853</v>
      </c>
      <c r="B519" s="3" t="s">
        <v>3631</v>
      </c>
      <c r="C519" s="3" t="s">
        <v>169</v>
      </c>
      <c r="D519" s="3" t="s">
        <v>300</v>
      </c>
      <c r="E519" s="3">
        <v>531.45000000000005</v>
      </c>
      <c r="F519" s="3" t="s">
        <v>2973</v>
      </c>
      <c r="G519" s="3" t="s">
        <v>325</v>
      </c>
      <c r="H519" s="3" t="s">
        <v>346</v>
      </c>
    </row>
    <row r="520" spans="1:8" x14ac:dyDescent="0.25">
      <c r="A520" s="3" t="s">
        <v>854</v>
      </c>
      <c r="B520" s="3" t="s">
        <v>3632</v>
      </c>
      <c r="C520" s="3" t="s">
        <v>137</v>
      </c>
      <c r="D520" s="3" t="s">
        <v>297</v>
      </c>
      <c r="E520" s="3">
        <v>134.36000000000001</v>
      </c>
      <c r="F520" s="3" t="s">
        <v>2976</v>
      </c>
      <c r="G520" s="3" t="s">
        <v>325</v>
      </c>
      <c r="H520" s="3" t="s">
        <v>346</v>
      </c>
    </row>
    <row r="521" spans="1:8" x14ac:dyDescent="0.25">
      <c r="A521" s="3" t="s">
        <v>855</v>
      </c>
      <c r="B521" s="3" t="s">
        <v>3633</v>
      </c>
      <c r="C521" s="3" t="s">
        <v>55</v>
      </c>
      <c r="D521" s="3" t="s">
        <v>300</v>
      </c>
      <c r="E521" s="3">
        <v>413.04</v>
      </c>
      <c r="F521" s="3" t="s">
        <v>324</v>
      </c>
      <c r="G521" s="3" t="s">
        <v>325</v>
      </c>
      <c r="H521" s="3"/>
    </row>
    <row r="522" spans="1:8" x14ac:dyDescent="0.25">
      <c r="A522" s="3" t="s">
        <v>856</v>
      </c>
      <c r="B522" s="3" t="s">
        <v>3634</v>
      </c>
      <c r="C522" s="3" t="s">
        <v>193</v>
      </c>
      <c r="D522" s="3" t="s">
        <v>306</v>
      </c>
      <c r="E522" s="3">
        <v>449.49</v>
      </c>
      <c r="F522" s="3" t="s">
        <v>2973</v>
      </c>
      <c r="G522" s="3" t="s">
        <v>329</v>
      </c>
      <c r="H522" s="3"/>
    </row>
    <row r="523" spans="1:8" x14ac:dyDescent="0.25">
      <c r="A523" s="3" t="s">
        <v>857</v>
      </c>
      <c r="B523" s="3" t="s">
        <v>3013</v>
      </c>
      <c r="C523" s="3" t="s">
        <v>199</v>
      </c>
      <c r="D523" s="3" t="s">
        <v>294</v>
      </c>
      <c r="E523" s="3">
        <v>540.87</v>
      </c>
      <c r="F523" s="3" t="s">
        <v>324</v>
      </c>
      <c r="G523" s="3" t="s">
        <v>325</v>
      </c>
      <c r="H523" s="3" t="s">
        <v>346</v>
      </c>
    </row>
    <row r="524" spans="1:8" x14ac:dyDescent="0.25">
      <c r="A524" s="3" t="s">
        <v>858</v>
      </c>
      <c r="B524" s="3" t="s">
        <v>3635</v>
      </c>
      <c r="C524" s="3" t="s">
        <v>213</v>
      </c>
      <c r="D524" s="3" t="s">
        <v>294</v>
      </c>
      <c r="E524" s="3">
        <v>-441.02</v>
      </c>
      <c r="F524" s="3" t="s">
        <v>349</v>
      </c>
      <c r="G524" s="3" t="s">
        <v>327</v>
      </c>
      <c r="H524" s="3" t="s">
        <v>332</v>
      </c>
    </row>
    <row r="525" spans="1:8" x14ac:dyDescent="0.25">
      <c r="A525" s="3" t="s">
        <v>859</v>
      </c>
      <c r="B525" s="3" t="s">
        <v>3463</v>
      </c>
      <c r="C525" s="3" t="s">
        <v>76</v>
      </c>
      <c r="D525" s="3" t="s">
        <v>309</v>
      </c>
      <c r="E525" s="3">
        <v>-578.03</v>
      </c>
      <c r="F525" s="3" t="s">
        <v>349</v>
      </c>
      <c r="G525" s="3" t="s">
        <v>337</v>
      </c>
      <c r="H525" s="3" t="s">
        <v>334</v>
      </c>
    </row>
    <row r="526" spans="1:8" x14ac:dyDescent="0.25">
      <c r="A526" s="3" t="s">
        <v>860</v>
      </c>
      <c r="B526" s="3" t="s">
        <v>3011</v>
      </c>
      <c r="C526" s="3" t="s">
        <v>245</v>
      </c>
      <c r="D526" s="3" t="s">
        <v>294</v>
      </c>
      <c r="E526" s="3" t="s">
        <v>3636</v>
      </c>
      <c r="F526" s="3" t="s">
        <v>3157</v>
      </c>
      <c r="G526" s="3" t="s">
        <v>325</v>
      </c>
      <c r="H526" s="3"/>
    </row>
    <row r="527" spans="1:8" x14ac:dyDescent="0.25">
      <c r="A527" s="3" t="s">
        <v>861</v>
      </c>
      <c r="B527" s="3" t="s">
        <v>3477</v>
      </c>
      <c r="C527" s="3" t="s">
        <v>58</v>
      </c>
      <c r="D527" s="3" t="s">
        <v>294</v>
      </c>
      <c r="E527" s="3" t="s">
        <v>3637</v>
      </c>
      <c r="F527" s="3" t="s">
        <v>324</v>
      </c>
      <c r="G527" s="3" t="s">
        <v>327</v>
      </c>
      <c r="H527" s="3" t="s">
        <v>346</v>
      </c>
    </row>
    <row r="528" spans="1:8" x14ac:dyDescent="0.25">
      <c r="A528" s="3" t="s">
        <v>862</v>
      </c>
      <c r="B528" s="3" t="s">
        <v>3279</v>
      </c>
      <c r="C528" s="3" t="s">
        <v>271</v>
      </c>
      <c r="D528" s="3" t="s">
        <v>300</v>
      </c>
      <c r="E528" s="3">
        <v>506.41</v>
      </c>
      <c r="F528" s="3" t="s">
        <v>2988</v>
      </c>
      <c r="G528" s="3" t="s">
        <v>327</v>
      </c>
      <c r="H528" s="3"/>
    </row>
    <row r="529" spans="1:8" x14ac:dyDescent="0.25">
      <c r="A529" s="3" t="s">
        <v>863</v>
      </c>
      <c r="B529" s="3" t="s">
        <v>3638</v>
      </c>
      <c r="C529" s="3" t="s">
        <v>74</v>
      </c>
      <c r="D529" s="3" t="s">
        <v>309</v>
      </c>
      <c r="E529" s="3">
        <v>521.05999999999995</v>
      </c>
      <c r="F529" s="3" t="s">
        <v>324</v>
      </c>
      <c r="G529" s="3" t="s">
        <v>325</v>
      </c>
      <c r="H529" s="3" t="s">
        <v>346</v>
      </c>
    </row>
    <row r="530" spans="1:8" x14ac:dyDescent="0.25">
      <c r="A530" s="3" t="s">
        <v>864</v>
      </c>
      <c r="B530" s="3" t="s">
        <v>3537</v>
      </c>
      <c r="C530" s="3" t="s">
        <v>100</v>
      </c>
      <c r="D530" s="3" t="s">
        <v>312</v>
      </c>
      <c r="E530" s="3" t="s">
        <v>3639</v>
      </c>
      <c r="F530" s="3" t="s">
        <v>324</v>
      </c>
      <c r="G530" s="3" t="s">
        <v>325</v>
      </c>
      <c r="H530" s="3" t="s">
        <v>334</v>
      </c>
    </row>
    <row r="531" spans="1:8" x14ac:dyDescent="0.25">
      <c r="A531" s="3" t="s">
        <v>865</v>
      </c>
      <c r="B531" s="3" t="s">
        <v>3640</v>
      </c>
      <c r="C531" s="3" t="s">
        <v>66</v>
      </c>
      <c r="D531" s="3" t="s">
        <v>303</v>
      </c>
      <c r="E531" s="3">
        <v>210.9</v>
      </c>
      <c r="F531" s="3" t="s">
        <v>3097</v>
      </c>
      <c r="G531" s="3" t="s">
        <v>327</v>
      </c>
      <c r="H531" s="3"/>
    </row>
    <row r="532" spans="1:8" x14ac:dyDescent="0.25">
      <c r="A532" s="3" t="s">
        <v>866</v>
      </c>
      <c r="B532" s="3" t="s">
        <v>3641</v>
      </c>
      <c r="C532" s="3" t="s">
        <v>201</v>
      </c>
      <c r="D532" s="3" t="s">
        <v>297</v>
      </c>
      <c r="E532" s="3" t="s">
        <v>3642</v>
      </c>
      <c r="F532" s="3" t="s">
        <v>331</v>
      </c>
      <c r="G532" s="3" t="s">
        <v>327</v>
      </c>
      <c r="H532" s="3"/>
    </row>
    <row r="533" spans="1:8" x14ac:dyDescent="0.25">
      <c r="A533" s="3" t="s">
        <v>867</v>
      </c>
      <c r="B533" s="3" t="s">
        <v>3643</v>
      </c>
      <c r="C533" s="3" t="s">
        <v>86</v>
      </c>
      <c r="D533" s="3" t="s">
        <v>315</v>
      </c>
      <c r="E533" s="3">
        <v>-83.07</v>
      </c>
      <c r="F533" s="3" t="s">
        <v>3017</v>
      </c>
      <c r="G533" s="3" t="s">
        <v>327</v>
      </c>
      <c r="H533" s="3" t="s">
        <v>334</v>
      </c>
    </row>
    <row r="534" spans="1:8" x14ac:dyDescent="0.25">
      <c r="A534" s="3" t="s">
        <v>868</v>
      </c>
      <c r="B534" s="3" t="s">
        <v>3644</v>
      </c>
      <c r="C534" s="3" t="s">
        <v>159</v>
      </c>
      <c r="D534" s="3" t="s">
        <v>297</v>
      </c>
      <c r="E534" s="3" t="s">
        <v>3645</v>
      </c>
      <c r="F534" s="3" t="s">
        <v>324</v>
      </c>
      <c r="G534" s="3" t="s">
        <v>327</v>
      </c>
      <c r="H534" s="3"/>
    </row>
    <row r="535" spans="1:8" x14ac:dyDescent="0.25">
      <c r="A535" s="3" t="s">
        <v>869</v>
      </c>
      <c r="B535" s="3" t="s">
        <v>3646</v>
      </c>
      <c r="C535" s="3" t="s">
        <v>253</v>
      </c>
      <c r="D535" s="3" t="s">
        <v>297</v>
      </c>
      <c r="E535" s="3">
        <v>464.69</v>
      </c>
      <c r="F535" s="3" t="s">
        <v>324</v>
      </c>
      <c r="G535" s="3" t="s">
        <v>327</v>
      </c>
      <c r="H535" s="3"/>
    </row>
    <row r="536" spans="1:8" x14ac:dyDescent="0.25">
      <c r="A536" s="3" t="s">
        <v>870</v>
      </c>
      <c r="B536" s="3" t="s">
        <v>3647</v>
      </c>
      <c r="C536" s="3" t="s">
        <v>159</v>
      </c>
      <c r="D536" s="3" t="s">
        <v>306</v>
      </c>
      <c r="E536" s="3" t="s">
        <v>3648</v>
      </c>
      <c r="F536" s="3" t="s">
        <v>324</v>
      </c>
      <c r="G536" s="3" t="s">
        <v>327</v>
      </c>
      <c r="H536" s="3"/>
    </row>
    <row r="537" spans="1:8" x14ac:dyDescent="0.25">
      <c r="A537" s="3" t="s">
        <v>871</v>
      </c>
      <c r="B537" s="3" t="s">
        <v>3649</v>
      </c>
      <c r="C537" s="3" t="s">
        <v>78</v>
      </c>
      <c r="D537" s="3" t="s">
        <v>294</v>
      </c>
      <c r="E537" s="3">
        <v>342.85</v>
      </c>
      <c r="F537" s="3" t="s">
        <v>2976</v>
      </c>
      <c r="G537" s="3" t="s">
        <v>329</v>
      </c>
      <c r="H537" s="3" t="s">
        <v>334</v>
      </c>
    </row>
    <row r="538" spans="1:8" x14ac:dyDescent="0.25">
      <c r="A538" s="3" t="s">
        <v>872</v>
      </c>
      <c r="B538" s="3" t="s">
        <v>3273</v>
      </c>
      <c r="C538" s="3" t="s">
        <v>179</v>
      </c>
      <c r="D538" s="3" t="s">
        <v>303</v>
      </c>
      <c r="E538" s="3">
        <v>1152.1500000000001</v>
      </c>
      <c r="F538" s="3" t="s">
        <v>2976</v>
      </c>
      <c r="G538" s="3" t="s">
        <v>329</v>
      </c>
      <c r="H538" s="3"/>
    </row>
    <row r="539" spans="1:8" x14ac:dyDescent="0.25">
      <c r="A539" s="3" t="s">
        <v>873</v>
      </c>
      <c r="B539" s="3" t="s">
        <v>3650</v>
      </c>
      <c r="C539" s="3" t="s">
        <v>271</v>
      </c>
      <c r="D539" s="3" t="s">
        <v>297</v>
      </c>
      <c r="E539" s="3">
        <v>709.69</v>
      </c>
      <c r="F539" s="3" t="s">
        <v>3157</v>
      </c>
      <c r="G539" s="3" t="s">
        <v>327</v>
      </c>
      <c r="H539" s="3" t="s">
        <v>346</v>
      </c>
    </row>
    <row r="540" spans="1:8" x14ac:dyDescent="0.25">
      <c r="A540" s="3" t="s">
        <v>874</v>
      </c>
      <c r="B540" s="3" t="s">
        <v>3651</v>
      </c>
      <c r="C540" s="3" t="s">
        <v>15</v>
      </c>
      <c r="D540" s="3" t="s">
        <v>294</v>
      </c>
      <c r="E540" s="3" t="s">
        <v>3652</v>
      </c>
      <c r="F540" s="3" t="s">
        <v>2988</v>
      </c>
      <c r="G540" s="3" t="s">
        <v>325</v>
      </c>
      <c r="H540" s="3" t="s">
        <v>346</v>
      </c>
    </row>
    <row r="541" spans="1:8" x14ac:dyDescent="0.25">
      <c r="A541" s="3" t="s">
        <v>875</v>
      </c>
      <c r="B541" s="3" t="s">
        <v>3627</v>
      </c>
      <c r="C541" s="3" t="s">
        <v>396</v>
      </c>
      <c r="D541" s="3" t="s">
        <v>300</v>
      </c>
      <c r="E541" s="3">
        <v>-315.32</v>
      </c>
      <c r="F541" s="3" t="s">
        <v>3060</v>
      </c>
      <c r="G541" s="3" t="s">
        <v>327</v>
      </c>
      <c r="H541" s="3" t="s">
        <v>334</v>
      </c>
    </row>
    <row r="542" spans="1:8" x14ac:dyDescent="0.25">
      <c r="A542" s="3" t="s">
        <v>876</v>
      </c>
      <c r="B542" s="3" t="s">
        <v>3653</v>
      </c>
      <c r="C542" s="3" t="s">
        <v>265</v>
      </c>
      <c r="D542" s="3" t="s">
        <v>297</v>
      </c>
      <c r="E542" s="3">
        <v>700.96</v>
      </c>
      <c r="F542" s="3" t="s">
        <v>324</v>
      </c>
      <c r="G542" s="3" t="s">
        <v>329</v>
      </c>
      <c r="H542" s="3" t="s">
        <v>332</v>
      </c>
    </row>
    <row r="543" spans="1:8" x14ac:dyDescent="0.25">
      <c r="A543" s="3" t="s">
        <v>877</v>
      </c>
      <c r="B543" s="3" t="s">
        <v>3654</v>
      </c>
      <c r="C543" s="3" t="s">
        <v>267</v>
      </c>
      <c r="D543" s="3" t="s">
        <v>297</v>
      </c>
      <c r="E543" s="3" t="s">
        <v>3655</v>
      </c>
      <c r="F543" s="3" t="s">
        <v>331</v>
      </c>
      <c r="G543" s="3"/>
      <c r="H543" s="3"/>
    </row>
    <row r="544" spans="1:8" x14ac:dyDescent="0.25">
      <c r="A544" s="3" t="s">
        <v>878</v>
      </c>
      <c r="B544" s="3" t="s">
        <v>3656</v>
      </c>
      <c r="C544" s="3" t="s">
        <v>231</v>
      </c>
      <c r="D544" s="3" t="s">
        <v>294</v>
      </c>
      <c r="E544" s="3">
        <v>462.3</v>
      </c>
      <c r="F544" s="3" t="s">
        <v>2973</v>
      </c>
      <c r="G544" s="3" t="s">
        <v>337</v>
      </c>
      <c r="H544" s="3" t="s">
        <v>332</v>
      </c>
    </row>
    <row r="545" spans="1:8" x14ac:dyDescent="0.25">
      <c r="A545" s="3" t="s">
        <v>879</v>
      </c>
      <c r="B545" s="3" t="s">
        <v>3657</v>
      </c>
      <c r="C545" s="3" t="s">
        <v>277</v>
      </c>
      <c r="D545" s="3" t="s">
        <v>303</v>
      </c>
      <c r="E545" s="3" t="s">
        <v>3658</v>
      </c>
      <c r="F545" s="3" t="s">
        <v>324</v>
      </c>
      <c r="G545" s="3" t="s">
        <v>337</v>
      </c>
      <c r="H545" s="3"/>
    </row>
    <row r="546" spans="1:8" x14ac:dyDescent="0.25">
      <c r="A546" s="3" t="s">
        <v>880</v>
      </c>
      <c r="B546" s="3" t="s">
        <v>3659</v>
      </c>
      <c r="C546" s="3" t="s">
        <v>161</v>
      </c>
      <c r="D546" s="3" t="s">
        <v>300</v>
      </c>
      <c r="E546" s="3">
        <v>584.66</v>
      </c>
      <c r="F546" s="3" t="s">
        <v>324</v>
      </c>
      <c r="G546" s="3" t="s">
        <v>325</v>
      </c>
      <c r="H546" s="3"/>
    </row>
    <row r="547" spans="1:8" x14ac:dyDescent="0.25">
      <c r="A547" s="3" t="s">
        <v>881</v>
      </c>
      <c r="B547" s="3" t="s">
        <v>3547</v>
      </c>
      <c r="C547" s="3" t="s">
        <v>135</v>
      </c>
      <c r="D547" s="3" t="s">
        <v>306</v>
      </c>
      <c r="E547" s="3">
        <v>190.77</v>
      </c>
      <c r="F547" s="3" t="s">
        <v>324</v>
      </c>
      <c r="G547" s="3" t="s">
        <v>325</v>
      </c>
      <c r="H547" s="3" t="s">
        <v>346</v>
      </c>
    </row>
    <row r="548" spans="1:8" x14ac:dyDescent="0.25">
      <c r="A548" s="3" t="s">
        <v>882</v>
      </c>
      <c r="B548" s="3" t="s">
        <v>3660</v>
      </c>
      <c r="C548" s="3" t="s">
        <v>109</v>
      </c>
      <c r="D548" s="3" t="s">
        <v>294</v>
      </c>
      <c r="E548" s="3" t="s">
        <v>3661</v>
      </c>
      <c r="F548" s="3" t="s">
        <v>324</v>
      </c>
      <c r="G548" s="3" t="s">
        <v>327</v>
      </c>
      <c r="H548" s="3"/>
    </row>
    <row r="549" spans="1:8" x14ac:dyDescent="0.25">
      <c r="A549" s="3" t="s">
        <v>883</v>
      </c>
      <c r="B549" s="3" t="s">
        <v>3662</v>
      </c>
      <c r="C549" s="3" t="s">
        <v>215</v>
      </c>
      <c r="D549" s="3" t="s">
        <v>300</v>
      </c>
      <c r="E549" s="3" t="s">
        <v>3663</v>
      </c>
      <c r="F549" s="3" t="s">
        <v>2988</v>
      </c>
      <c r="G549" s="3" t="s">
        <v>327</v>
      </c>
      <c r="H549" s="3" t="s">
        <v>334</v>
      </c>
    </row>
    <row r="550" spans="1:8" x14ac:dyDescent="0.25">
      <c r="A550" s="3" t="s">
        <v>884</v>
      </c>
      <c r="B550" s="3" t="s">
        <v>3664</v>
      </c>
      <c r="C550" s="3" t="s">
        <v>84</v>
      </c>
      <c r="D550" s="3" t="s">
        <v>303</v>
      </c>
      <c r="E550" s="3">
        <v>677.52</v>
      </c>
      <c r="F550" s="3" t="s">
        <v>324</v>
      </c>
      <c r="G550" s="3" t="s">
        <v>329</v>
      </c>
      <c r="H550" s="3" t="s">
        <v>334</v>
      </c>
    </row>
    <row r="551" spans="1:8" x14ac:dyDescent="0.25">
      <c r="A551" s="3" t="s">
        <v>885</v>
      </c>
      <c r="B551" s="3" t="s">
        <v>3665</v>
      </c>
      <c r="C551" s="3" t="s">
        <v>185</v>
      </c>
      <c r="D551" s="3" t="s">
        <v>294</v>
      </c>
      <c r="E551" s="3" t="s">
        <v>3666</v>
      </c>
      <c r="F551" s="3" t="s">
        <v>324</v>
      </c>
      <c r="G551" s="3" t="s">
        <v>327</v>
      </c>
      <c r="H551" s="3"/>
    </row>
    <row r="552" spans="1:8" x14ac:dyDescent="0.25">
      <c r="A552" s="3" t="s">
        <v>886</v>
      </c>
      <c r="B552" s="3" t="s">
        <v>3301</v>
      </c>
      <c r="C552" s="3" t="s">
        <v>143</v>
      </c>
      <c r="D552" s="3" t="s">
        <v>297</v>
      </c>
      <c r="E552" s="3">
        <v>186.02</v>
      </c>
      <c r="F552" s="3" t="s">
        <v>324</v>
      </c>
      <c r="G552" s="3" t="s">
        <v>337</v>
      </c>
      <c r="H552" s="3" t="s">
        <v>332</v>
      </c>
    </row>
    <row r="553" spans="1:8" x14ac:dyDescent="0.25">
      <c r="A553" s="3" t="s">
        <v>887</v>
      </c>
      <c r="B553" s="3" t="s">
        <v>3667</v>
      </c>
      <c r="C553" s="3" t="s">
        <v>195</v>
      </c>
      <c r="D553" s="3" t="s">
        <v>309</v>
      </c>
      <c r="E553" s="3" t="s">
        <v>3668</v>
      </c>
      <c r="F553" s="3" t="s">
        <v>324</v>
      </c>
      <c r="G553" s="3" t="s">
        <v>325</v>
      </c>
      <c r="H553" s="3" t="s">
        <v>334</v>
      </c>
    </row>
    <row r="554" spans="1:8" x14ac:dyDescent="0.25">
      <c r="A554" s="3" t="s">
        <v>888</v>
      </c>
      <c r="B554" s="3" t="s">
        <v>3669</v>
      </c>
      <c r="C554" s="3" t="s">
        <v>78</v>
      </c>
      <c r="D554" s="3" t="s">
        <v>315</v>
      </c>
      <c r="E554" s="3">
        <v>128.51</v>
      </c>
      <c r="F554" s="3" t="s">
        <v>3157</v>
      </c>
      <c r="G554" s="3" t="s">
        <v>337</v>
      </c>
      <c r="H554" s="3"/>
    </row>
    <row r="555" spans="1:8" x14ac:dyDescent="0.25">
      <c r="A555" s="3" t="s">
        <v>889</v>
      </c>
      <c r="B555" s="3" t="s">
        <v>3670</v>
      </c>
      <c r="C555" s="3" t="s">
        <v>219</v>
      </c>
      <c r="D555" s="3" t="s">
        <v>315</v>
      </c>
      <c r="E555" s="3">
        <v>455.41</v>
      </c>
      <c r="F555" s="3" t="s">
        <v>324</v>
      </c>
      <c r="G555" s="3" t="s">
        <v>327</v>
      </c>
      <c r="H555" s="3" t="s">
        <v>346</v>
      </c>
    </row>
    <row r="556" spans="1:8" x14ac:dyDescent="0.25">
      <c r="A556" s="3" t="s">
        <v>890</v>
      </c>
      <c r="B556" s="3" t="s">
        <v>3671</v>
      </c>
      <c r="C556" s="3" t="s">
        <v>66</v>
      </c>
      <c r="D556" s="3" t="s">
        <v>309</v>
      </c>
      <c r="E556" s="3">
        <v>267.94</v>
      </c>
      <c r="F556" s="3" t="s">
        <v>381</v>
      </c>
      <c r="G556" s="3" t="s">
        <v>325</v>
      </c>
      <c r="H556" s="3" t="s">
        <v>332</v>
      </c>
    </row>
    <row r="557" spans="1:8" x14ac:dyDescent="0.25">
      <c r="A557" s="3" t="s">
        <v>891</v>
      </c>
      <c r="B557" s="3" t="s">
        <v>3169</v>
      </c>
      <c r="C557" s="3" t="s">
        <v>35</v>
      </c>
      <c r="D557" s="3" t="s">
        <v>315</v>
      </c>
      <c r="E557" s="3">
        <v>125.53</v>
      </c>
      <c r="F557" s="3" t="s">
        <v>324</v>
      </c>
      <c r="G557" s="3" t="s">
        <v>327</v>
      </c>
      <c r="H557" s="3" t="s">
        <v>346</v>
      </c>
    </row>
    <row r="558" spans="1:8" x14ac:dyDescent="0.25">
      <c r="A558" s="3" t="s">
        <v>892</v>
      </c>
      <c r="B558" s="3" t="s">
        <v>3672</v>
      </c>
      <c r="C558" s="3" t="s">
        <v>60</v>
      </c>
      <c r="D558" s="3" t="s">
        <v>309</v>
      </c>
      <c r="E558" s="3">
        <v>356.03</v>
      </c>
      <c r="F558" s="3" t="s">
        <v>2988</v>
      </c>
      <c r="G558" s="3" t="s">
        <v>325</v>
      </c>
      <c r="H558" s="3"/>
    </row>
    <row r="559" spans="1:8" x14ac:dyDescent="0.25">
      <c r="A559" s="3" t="s">
        <v>893</v>
      </c>
      <c r="B559" s="3" t="s">
        <v>3673</v>
      </c>
      <c r="C559" s="3" t="s">
        <v>40</v>
      </c>
      <c r="D559" s="3" t="s">
        <v>315</v>
      </c>
      <c r="E559" s="3">
        <v>1239.58</v>
      </c>
      <c r="F559" s="3" t="s">
        <v>2976</v>
      </c>
      <c r="G559" s="3" t="s">
        <v>325</v>
      </c>
      <c r="H559" s="3" t="s">
        <v>332</v>
      </c>
    </row>
    <row r="560" spans="1:8" x14ac:dyDescent="0.25">
      <c r="A560" s="3" t="s">
        <v>894</v>
      </c>
      <c r="B560" s="3" t="s">
        <v>3674</v>
      </c>
      <c r="C560" s="3" t="s">
        <v>109</v>
      </c>
      <c r="D560" s="3" t="s">
        <v>315</v>
      </c>
      <c r="E560" s="3">
        <v>486.75</v>
      </c>
      <c r="F560" s="3" t="s">
        <v>324</v>
      </c>
      <c r="G560" s="3" t="s">
        <v>337</v>
      </c>
      <c r="H560" s="3"/>
    </row>
    <row r="561" spans="1:8" x14ac:dyDescent="0.25">
      <c r="A561" s="3" t="s">
        <v>895</v>
      </c>
      <c r="B561" s="3" t="s">
        <v>3142</v>
      </c>
      <c r="C561" s="3" t="s">
        <v>127</v>
      </c>
      <c r="D561" s="3" t="s">
        <v>315</v>
      </c>
      <c r="E561" s="3">
        <v>1126.6600000000001</v>
      </c>
      <c r="F561" s="3" t="s">
        <v>2973</v>
      </c>
      <c r="G561" s="3" t="s">
        <v>325</v>
      </c>
      <c r="H561" s="3" t="s">
        <v>332</v>
      </c>
    </row>
    <row r="562" spans="1:8" x14ac:dyDescent="0.25">
      <c r="A562" s="3" t="s">
        <v>896</v>
      </c>
      <c r="B562" s="3" t="s">
        <v>3675</v>
      </c>
      <c r="C562" s="3" t="s">
        <v>98</v>
      </c>
      <c r="D562" s="3" t="s">
        <v>306</v>
      </c>
      <c r="E562" s="3" t="s">
        <v>3676</v>
      </c>
      <c r="F562" s="3" t="s">
        <v>2973</v>
      </c>
      <c r="G562" s="3" t="s">
        <v>325</v>
      </c>
      <c r="H562" s="3"/>
    </row>
    <row r="563" spans="1:8" x14ac:dyDescent="0.25">
      <c r="A563" s="3" t="s">
        <v>897</v>
      </c>
      <c r="B563" s="3" t="s">
        <v>3677</v>
      </c>
      <c r="C563" s="3" t="s">
        <v>275</v>
      </c>
      <c r="D563" s="3" t="s">
        <v>303</v>
      </c>
      <c r="E563" s="3">
        <v>-469.98</v>
      </c>
      <c r="F563" s="3" t="s">
        <v>349</v>
      </c>
      <c r="G563" s="3" t="s">
        <v>327</v>
      </c>
      <c r="H563" s="3"/>
    </row>
    <row r="564" spans="1:8" x14ac:dyDescent="0.25">
      <c r="A564" s="3" t="s">
        <v>898</v>
      </c>
      <c r="B564" s="3" t="s">
        <v>3678</v>
      </c>
      <c r="C564" s="3" t="s">
        <v>255</v>
      </c>
      <c r="D564" s="3" t="s">
        <v>294</v>
      </c>
      <c r="E564" s="3">
        <v>76.349999999999994</v>
      </c>
      <c r="F564" s="3" t="s">
        <v>2976</v>
      </c>
      <c r="G564" s="3" t="s">
        <v>325</v>
      </c>
      <c r="H564" s="3"/>
    </row>
    <row r="565" spans="1:8" x14ac:dyDescent="0.25">
      <c r="A565" s="3" t="s">
        <v>899</v>
      </c>
      <c r="B565" s="3" t="s">
        <v>3679</v>
      </c>
      <c r="C565" s="3" t="s">
        <v>6</v>
      </c>
      <c r="D565" s="3" t="s">
        <v>297</v>
      </c>
      <c r="E565" s="3" t="s">
        <v>3680</v>
      </c>
      <c r="F565" s="3" t="s">
        <v>2973</v>
      </c>
      <c r="G565" s="3" t="s">
        <v>327</v>
      </c>
      <c r="H565" s="3" t="s">
        <v>334</v>
      </c>
    </row>
    <row r="566" spans="1:8" x14ac:dyDescent="0.25">
      <c r="A566" s="3" t="s">
        <v>900</v>
      </c>
      <c r="B566" s="3" t="s">
        <v>3681</v>
      </c>
      <c r="C566" s="3" t="s">
        <v>125</v>
      </c>
      <c r="D566" s="3" t="s">
        <v>312</v>
      </c>
      <c r="E566" s="3" t="s">
        <v>3682</v>
      </c>
      <c r="F566" s="3" t="s">
        <v>324</v>
      </c>
      <c r="G566" s="3" t="s">
        <v>325</v>
      </c>
      <c r="H566" s="3"/>
    </row>
    <row r="567" spans="1:8" x14ac:dyDescent="0.25">
      <c r="A567" s="3" t="s">
        <v>901</v>
      </c>
      <c r="B567" s="3" t="s">
        <v>3099</v>
      </c>
      <c r="C567" s="3" t="s">
        <v>29</v>
      </c>
      <c r="D567" s="3" t="s">
        <v>312</v>
      </c>
      <c r="E567" s="3" t="s">
        <v>3683</v>
      </c>
      <c r="F567" s="3" t="s">
        <v>2973</v>
      </c>
      <c r="G567" s="3" t="s">
        <v>325</v>
      </c>
      <c r="H567" s="3" t="s">
        <v>346</v>
      </c>
    </row>
    <row r="568" spans="1:8" x14ac:dyDescent="0.25">
      <c r="A568" s="3" t="s">
        <v>902</v>
      </c>
      <c r="B568" s="3" t="s">
        <v>3684</v>
      </c>
      <c r="C568" s="3" t="s">
        <v>26</v>
      </c>
      <c r="D568" s="3" t="s">
        <v>294</v>
      </c>
      <c r="E568" s="3" t="s">
        <v>3685</v>
      </c>
      <c r="F568" s="3" t="s">
        <v>324</v>
      </c>
      <c r="G568" s="3" t="s">
        <v>325</v>
      </c>
      <c r="H568" s="3"/>
    </row>
    <row r="569" spans="1:8" x14ac:dyDescent="0.25">
      <c r="A569" s="3" t="s">
        <v>903</v>
      </c>
      <c r="B569" s="3" t="s">
        <v>3324</v>
      </c>
      <c r="C569" s="3" t="s">
        <v>213</v>
      </c>
      <c r="D569" s="3" t="s">
        <v>297</v>
      </c>
      <c r="E569" s="3">
        <v>384.49</v>
      </c>
      <c r="F569" s="3" t="s">
        <v>2976</v>
      </c>
      <c r="G569" s="3" t="s">
        <v>325</v>
      </c>
      <c r="H569" s="3" t="s">
        <v>346</v>
      </c>
    </row>
    <row r="570" spans="1:8" x14ac:dyDescent="0.25">
      <c r="A570" s="3" t="s">
        <v>904</v>
      </c>
      <c r="B570" s="3" t="s">
        <v>3686</v>
      </c>
      <c r="C570" s="3" t="s">
        <v>58</v>
      </c>
      <c r="D570" s="3" t="s">
        <v>300</v>
      </c>
      <c r="E570" s="3">
        <v>374.93</v>
      </c>
      <c r="F570" s="3" t="s">
        <v>2973</v>
      </c>
      <c r="G570" s="3" t="s">
        <v>337</v>
      </c>
      <c r="H570" s="3" t="s">
        <v>332</v>
      </c>
    </row>
    <row r="571" spans="1:8" x14ac:dyDescent="0.25">
      <c r="A571" s="3" t="s">
        <v>905</v>
      </c>
      <c r="B571" s="3" t="s">
        <v>3383</v>
      </c>
      <c r="C571" s="3" t="s">
        <v>127</v>
      </c>
      <c r="D571" s="3" t="s">
        <v>300</v>
      </c>
      <c r="E571" s="3">
        <v>1493.6</v>
      </c>
      <c r="F571" s="3" t="s">
        <v>324</v>
      </c>
      <c r="G571" s="3" t="s">
        <v>327</v>
      </c>
      <c r="H571" s="3" t="s">
        <v>332</v>
      </c>
    </row>
    <row r="572" spans="1:8" x14ac:dyDescent="0.25">
      <c r="A572" s="3" t="s">
        <v>906</v>
      </c>
      <c r="B572" s="3" t="s">
        <v>3551</v>
      </c>
      <c r="C572" s="3" t="s">
        <v>221</v>
      </c>
      <c r="D572" s="3" t="s">
        <v>315</v>
      </c>
      <c r="E572" s="3">
        <v>288.83</v>
      </c>
      <c r="F572" s="3" t="s">
        <v>324</v>
      </c>
      <c r="G572" s="3" t="s">
        <v>325</v>
      </c>
      <c r="H572" s="3"/>
    </row>
    <row r="573" spans="1:8" x14ac:dyDescent="0.25">
      <c r="A573" s="3" t="s">
        <v>907</v>
      </c>
      <c r="B573" s="3" t="s">
        <v>3687</v>
      </c>
      <c r="C573" s="3" t="s">
        <v>105</v>
      </c>
      <c r="D573" s="3" t="s">
        <v>303</v>
      </c>
      <c r="E573" s="3" t="s">
        <v>3688</v>
      </c>
      <c r="F573" s="3" t="s">
        <v>2995</v>
      </c>
      <c r="G573" s="3" t="s">
        <v>325</v>
      </c>
      <c r="H573" s="3"/>
    </row>
    <row r="574" spans="1:8" x14ac:dyDescent="0.25">
      <c r="A574" s="3" t="s">
        <v>908</v>
      </c>
      <c r="B574" s="3" t="s">
        <v>3689</v>
      </c>
      <c r="C574" s="3" t="s">
        <v>145</v>
      </c>
      <c r="D574" s="3" t="s">
        <v>294</v>
      </c>
      <c r="E574" s="3" t="s">
        <v>3690</v>
      </c>
      <c r="F574" s="3" t="s">
        <v>349</v>
      </c>
      <c r="G574" s="3" t="s">
        <v>337</v>
      </c>
      <c r="H574" s="3"/>
    </row>
    <row r="575" spans="1:8" x14ac:dyDescent="0.25">
      <c r="A575" s="3" t="s">
        <v>909</v>
      </c>
      <c r="B575" s="3" t="s">
        <v>3352</v>
      </c>
      <c r="C575" s="3" t="s">
        <v>119</v>
      </c>
      <c r="D575" s="3" t="s">
        <v>294</v>
      </c>
      <c r="E575" s="3">
        <v>161.78</v>
      </c>
      <c r="F575" s="3" t="s">
        <v>2976</v>
      </c>
      <c r="G575" s="3" t="s">
        <v>329</v>
      </c>
      <c r="H575" s="3"/>
    </row>
    <row r="576" spans="1:8" x14ac:dyDescent="0.25">
      <c r="A576" s="3" t="s">
        <v>910</v>
      </c>
      <c r="B576" s="3" t="s">
        <v>3691</v>
      </c>
      <c r="C576" s="3" t="s">
        <v>225</v>
      </c>
      <c r="D576" s="3" t="s">
        <v>297</v>
      </c>
      <c r="E576" s="3">
        <v>538</v>
      </c>
      <c r="F576" s="3" t="s">
        <v>324</v>
      </c>
      <c r="G576" s="3" t="s">
        <v>337</v>
      </c>
      <c r="H576" s="3"/>
    </row>
    <row r="577" spans="1:8" x14ac:dyDescent="0.25">
      <c r="A577" s="3" t="s">
        <v>911</v>
      </c>
      <c r="B577" s="3" t="s">
        <v>3053</v>
      </c>
      <c r="C577" s="3" t="s">
        <v>78</v>
      </c>
      <c r="D577" s="3" t="s">
        <v>300</v>
      </c>
      <c r="E577" s="3">
        <v>380.92</v>
      </c>
      <c r="F577" s="3" t="s">
        <v>324</v>
      </c>
      <c r="G577" s="3" t="s">
        <v>325</v>
      </c>
      <c r="H577" s="3"/>
    </row>
    <row r="578" spans="1:8" x14ac:dyDescent="0.25">
      <c r="A578" s="3" t="s">
        <v>912</v>
      </c>
      <c r="B578" s="3" t="s">
        <v>3692</v>
      </c>
      <c r="C578" s="3" t="s">
        <v>70</v>
      </c>
      <c r="D578" s="3" t="s">
        <v>309</v>
      </c>
      <c r="E578" s="3">
        <v>404.99</v>
      </c>
      <c r="F578" s="3" t="s">
        <v>3037</v>
      </c>
      <c r="G578" s="3" t="s">
        <v>327</v>
      </c>
      <c r="H578" s="3"/>
    </row>
    <row r="579" spans="1:8" x14ac:dyDescent="0.25">
      <c r="A579" s="3" t="s">
        <v>913</v>
      </c>
      <c r="B579" s="3" t="s">
        <v>3693</v>
      </c>
      <c r="C579" s="3" t="s">
        <v>121</v>
      </c>
      <c r="D579" s="3" t="s">
        <v>294</v>
      </c>
      <c r="E579" s="3" t="s">
        <v>3694</v>
      </c>
      <c r="F579" s="3" t="s">
        <v>2988</v>
      </c>
      <c r="G579" s="3" t="s">
        <v>325</v>
      </c>
      <c r="H579" s="3"/>
    </row>
    <row r="580" spans="1:8" x14ac:dyDescent="0.25">
      <c r="A580" s="3" t="s">
        <v>914</v>
      </c>
      <c r="B580" s="3" t="s">
        <v>3695</v>
      </c>
      <c r="C580" s="3" t="s">
        <v>78</v>
      </c>
      <c r="D580" s="3" t="s">
        <v>294</v>
      </c>
      <c r="E580" s="3">
        <v>529.42999999999995</v>
      </c>
      <c r="F580" s="3" t="s">
        <v>2995</v>
      </c>
      <c r="G580" s="3" t="s">
        <v>325</v>
      </c>
      <c r="H580" s="3" t="s">
        <v>334</v>
      </c>
    </row>
    <row r="581" spans="1:8" x14ac:dyDescent="0.25">
      <c r="A581" s="3" t="s">
        <v>915</v>
      </c>
      <c r="B581" s="3" t="s">
        <v>3696</v>
      </c>
      <c r="C581" s="3" t="s">
        <v>47</v>
      </c>
      <c r="D581" s="3" t="s">
        <v>297</v>
      </c>
      <c r="E581" s="3">
        <v>241.61</v>
      </c>
      <c r="F581" s="3" t="s">
        <v>2995</v>
      </c>
      <c r="G581" s="3" t="s">
        <v>329</v>
      </c>
      <c r="H581" s="3" t="s">
        <v>332</v>
      </c>
    </row>
    <row r="582" spans="1:8" x14ac:dyDescent="0.25">
      <c r="A582" s="3" t="s">
        <v>916</v>
      </c>
      <c r="B582" s="3" t="s">
        <v>3040</v>
      </c>
      <c r="C582" s="3" t="s">
        <v>115</v>
      </c>
      <c r="D582" s="3" t="s">
        <v>306</v>
      </c>
      <c r="E582" s="3">
        <v>262.48</v>
      </c>
      <c r="F582" s="3" t="s">
        <v>2995</v>
      </c>
      <c r="G582" s="3" t="s">
        <v>327</v>
      </c>
      <c r="H582" s="3"/>
    </row>
    <row r="583" spans="1:8" x14ac:dyDescent="0.25">
      <c r="A583" s="3" t="s">
        <v>917</v>
      </c>
      <c r="B583" s="3" t="s">
        <v>3078</v>
      </c>
      <c r="C583" s="3" t="s">
        <v>62</v>
      </c>
      <c r="D583" s="3" t="s">
        <v>294</v>
      </c>
      <c r="E583" s="3">
        <v>101.33</v>
      </c>
      <c r="F583" s="3" t="s">
        <v>324</v>
      </c>
      <c r="G583" s="3" t="s">
        <v>327</v>
      </c>
      <c r="H583" s="3"/>
    </row>
    <row r="584" spans="1:8" x14ac:dyDescent="0.25">
      <c r="A584" s="3" t="s">
        <v>918</v>
      </c>
      <c r="B584" s="3" t="s">
        <v>3697</v>
      </c>
      <c r="C584" s="3" t="s">
        <v>221</v>
      </c>
      <c r="D584" s="3" t="s">
        <v>294</v>
      </c>
      <c r="E584" s="3">
        <v>54.53</v>
      </c>
      <c r="F584" s="3" t="s">
        <v>381</v>
      </c>
      <c r="G584" s="3" t="s">
        <v>327</v>
      </c>
      <c r="H584" s="3"/>
    </row>
    <row r="585" spans="1:8" x14ac:dyDescent="0.25">
      <c r="A585" s="3" t="s">
        <v>919</v>
      </c>
      <c r="B585" s="3" t="s">
        <v>3698</v>
      </c>
      <c r="C585" s="3" t="s">
        <v>23</v>
      </c>
      <c r="D585" s="3" t="s">
        <v>297</v>
      </c>
      <c r="E585" s="3">
        <v>524.14</v>
      </c>
      <c r="F585" s="3" t="s">
        <v>2973</v>
      </c>
      <c r="G585" s="3" t="s">
        <v>327</v>
      </c>
      <c r="H585" s="3"/>
    </row>
    <row r="586" spans="1:8" x14ac:dyDescent="0.25">
      <c r="A586" s="3" t="s">
        <v>900</v>
      </c>
      <c r="B586" s="3" t="s">
        <v>3681</v>
      </c>
      <c r="C586" s="3" t="s">
        <v>125</v>
      </c>
      <c r="D586" s="3" t="s">
        <v>312</v>
      </c>
      <c r="E586" s="3" t="s">
        <v>3682</v>
      </c>
      <c r="F586" s="3" t="s">
        <v>324</v>
      </c>
      <c r="G586" s="3" t="s">
        <v>325</v>
      </c>
      <c r="H586" s="3"/>
    </row>
    <row r="587" spans="1:8" x14ac:dyDescent="0.25">
      <c r="A587" s="3" t="s">
        <v>920</v>
      </c>
      <c r="B587" s="3" t="s">
        <v>3699</v>
      </c>
      <c r="C587" s="3" t="s">
        <v>137</v>
      </c>
      <c r="D587" s="3" t="s">
        <v>294</v>
      </c>
      <c r="E587" s="3">
        <v>354.45</v>
      </c>
      <c r="F587" s="3" t="s">
        <v>324</v>
      </c>
      <c r="G587" s="3" t="s">
        <v>327</v>
      </c>
      <c r="H587" s="3" t="s">
        <v>334</v>
      </c>
    </row>
    <row r="588" spans="1:8" x14ac:dyDescent="0.25">
      <c r="A588" s="3" t="s">
        <v>921</v>
      </c>
      <c r="B588" s="3" t="s">
        <v>3427</v>
      </c>
      <c r="C588" s="3" t="s">
        <v>145</v>
      </c>
      <c r="D588" s="3" t="s">
        <v>294</v>
      </c>
      <c r="E588" s="3">
        <v>876.62</v>
      </c>
      <c r="F588" s="3" t="s">
        <v>2995</v>
      </c>
      <c r="G588" s="3" t="s">
        <v>327</v>
      </c>
      <c r="H588" s="3" t="s">
        <v>334</v>
      </c>
    </row>
    <row r="589" spans="1:8" x14ac:dyDescent="0.25">
      <c r="A589" s="3" t="s">
        <v>922</v>
      </c>
      <c r="B589" s="3" t="s">
        <v>3324</v>
      </c>
      <c r="C589" s="3" t="s">
        <v>235</v>
      </c>
      <c r="D589" s="3" t="s">
        <v>312</v>
      </c>
      <c r="E589" s="3">
        <v>128.38</v>
      </c>
      <c r="F589" s="3" t="s">
        <v>2973</v>
      </c>
      <c r="G589" s="3" t="s">
        <v>329</v>
      </c>
      <c r="H589" s="3" t="s">
        <v>346</v>
      </c>
    </row>
    <row r="590" spans="1:8" x14ac:dyDescent="0.25">
      <c r="A590" s="3" t="s">
        <v>923</v>
      </c>
      <c r="B590" s="3" t="s">
        <v>3700</v>
      </c>
      <c r="C590" s="3" t="s">
        <v>181</v>
      </c>
      <c r="D590" s="3" t="s">
        <v>294</v>
      </c>
      <c r="E590" s="3">
        <v>-402.43</v>
      </c>
      <c r="F590" s="3" t="s">
        <v>349</v>
      </c>
      <c r="G590" s="3" t="s">
        <v>325</v>
      </c>
      <c r="H590" s="3" t="s">
        <v>332</v>
      </c>
    </row>
    <row r="591" spans="1:8" x14ac:dyDescent="0.25">
      <c r="A591" s="3" t="s">
        <v>924</v>
      </c>
      <c r="B591" s="3" t="s">
        <v>3701</v>
      </c>
      <c r="C591" s="3" t="s">
        <v>273</v>
      </c>
      <c r="D591" s="3" t="s">
        <v>309</v>
      </c>
      <c r="E591" s="3">
        <v>939.34</v>
      </c>
      <c r="F591" s="3" t="s">
        <v>2995</v>
      </c>
      <c r="G591" s="3" t="s">
        <v>325</v>
      </c>
      <c r="H591" s="3"/>
    </row>
    <row r="592" spans="1:8" x14ac:dyDescent="0.25">
      <c r="A592" s="3" t="s">
        <v>925</v>
      </c>
      <c r="B592" s="3" t="s">
        <v>3702</v>
      </c>
      <c r="C592" s="3" t="s">
        <v>261</v>
      </c>
      <c r="D592" s="3" t="s">
        <v>303</v>
      </c>
      <c r="E592" s="3">
        <v>393.76</v>
      </c>
      <c r="F592" s="3" t="s">
        <v>331</v>
      </c>
      <c r="G592" s="3" t="s">
        <v>325</v>
      </c>
      <c r="H592" s="3"/>
    </row>
    <row r="593" spans="1:8" x14ac:dyDescent="0.25">
      <c r="A593" s="3" t="s">
        <v>926</v>
      </c>
      <c r="B593" s="3" t="s">
        <v>3613</v>
      </c>
      <c r="C593" s="3" t="s">
        <v>19</v>
      </c>
      <c r="D593" s="3" t="s">
        <v>297</v>
      </c>
      <c r="E593" s="3" t="s">
        <v>3703</v>
      </c>
      <c r="F593" s="3" t="s">
        <v>2995</v>
      </c>
      <c r="G593" s="3" t="s">
        <v>325</v>
      </c>
      <c r="H593" s="3" t="s">
        <v>346</v>
      </c>
    </row>
    <row r="594" spans="1:8" x14ac:dyDescent="0.25">
      <c r="A594" s="3" t="s">
        <v>927</v>
      </c>
      <c r="B594" s="3" t="s">
        <v>3704</v>
      </c>
      <c r="C594" s="3" t="s">
        <v>157</v>
      </c>
      <c r="D594" s="3" t="s">
        <v>297</v>
      </c>
      <c r="E594" s="3">
        <v>440.77</v>
      </c>
      <c r="F594" s="3" t="s">
        <v>324</v>
      </c>
      <c r="G594" s="3" t="s">
        <v>337</v>
      </c>
      <c r="H594" s="3" t="s">
        <v>334</v>
      </c>
    </row>
    <row r="595" spans="1:8" x14ac:dyDescent="0.25">
      <c r="A595" s="3" t="s">
        <v>928</v>
      </c>
      <c r="B595" s="3" t="s">
        <v>3285</v>
      </c>
      <c r="C595" s="3" t="s">
        <v>145</v>
      </c>
      <c r="D595" s="3" t="s">
        <v>315</v>
      </c>
      <c r="E595" s="3" t="s">
        <v>3705</v>
      </c>
      <c r="F595" s="3" t="s">
        <v>381</v>
      </c>
      <c r="G595" s="3" t="s">
        <v>325</v>
      </c>
      <c r="H595" s="3" t="s">
        <v>334</v>
      </c>
    </row>
    <row r="596" spans="1:8" x14ac:dyDescent="0.25">
      <c r="A596" s="3" t="s">
        <v>929</v>
      </c>
      <c r="B596" s="3" t="s">
        <v>3152</v>
      </c>
      <c r="C596" s="3" t="s">
        <v>6</v>
      </c>
      <c r="D596" s="3" t="s">
        <v>312</v>
      </c>
      <c r="E596" s="3">
        <v>299.36</v>
      </c>
      <c r="F596" s="3" t="s">
        <v>2988</v>
      </c>
      <c r="G596" s="3" t="s">
        <v>329</v>
      </c>
      <c r="H596" s="3"/>
    </row>
    <row r="597" spans="1:8" x14ac:dyDescent="0.25">
      <c r="A597" s="3" t="s">
        <v>930</v>
      </c>
      <c r="B597" s="3" t="s">
        <v>3706</v>
      </c>
      <c r="C597" s="3" t="s">
        <v>245</v>
      </c>
      <c r="D597" s="3" t="s">
        <v>309</v>
      </c>
      <c r="E597" s="3">
        <v>200.25</v>
      </c>
      <c r="F597" s="3" t="s">
        <v>324</v>
      </c>
      <c r="G597" s="3" t="s">
        <v>329</v>
      </c>
      <c r="H597" s="3" t="s">
        <v>332</v>
      </c>
    </row>
    <row r="598" spans="1:8" x14ac:dyDescent="0.25">
      <c r="A598" s="3" t="s">
        <v>931</v>
      </c>
      <c r="B598" s="3" t="s">
        <v>3707</v>
      </c>
      <c r="C598" s="3" t="s">
        <v>255</v>
      </c>
      <c r="D598" s="3" t="s">
        <v>306</v>
      </c>
      <c r="E598" s="3">
        <v>7.34</v>
      </c>
      <c r="F598" s="3" t="s">
        <v>324</v>
      </c>
      <c r="G598" s="3" t="s">
        <v>325</v>
      </c>
      <c r="H598" s="3" t="s">
        <v>346</v>
      </c>
    </row>
    <row r="599" spans="1:8" x14ac:dyDescent="0.25">
      <c r="A599" s="3" t="s">
        <v>932</v>
      </c>
      <c r="B599" s="3" t="s">
        <v>3708</v>
      </c>
      <c r="C599" s="3" t="s">
        <v>80</v>
      </c>
      <c r="D599" s="3" t="s">
        <v>312</v>
      </c>
      <c r="E599" s="3">
        <v>127.02</v>
      </c>
      <c r="F599" s="3" t="s">
        <v>324</v>
      </c>
      <c r="G599" s="3" t="s">
        <v>325</v>
      </c>
      <c r="H599" s="3" t="s">
        <v>346</v>
      </c>
    </row>
    <row r="600" spans="1:8" x14ac:dyDescent="0.25">
      <c r="A600" s="3" t="s">
        <v>933</v>
      </c>
      <c r="B600" s="3" t="s">
        <v>3709</v>
      </c>
      <c r="C600" s="3" t="s">
        <v>175</v>
      </c>
      <c r="D600" s="3" t="s">
        <v>294</v>
      </c>
      <c r="E600" s="3">
        <v>250.86</v>
      </c>
      <c r="F600" s="3" t="s">
        <v>324</v>
      </c>
      <c r="G600" s="3" t="s">
        <v>329</v>
      </c>
      <c r="H600" s="3" t="s">
        <v>332</v>
      </c>
    </row>
    <row r="601" spans="1:8" x14ac:dyDescent="0.25">
      <c r="A601" s="3" t="s">
        <v>934</v>
      </c>
      <c r="B601" s="3" t="s">
        <v>3492</v>
      </c>
      <c r="C601" s="3" t="s">
        <v>64</v>
      </c>
      <c r="D601" s="3" t="s">
        <v>300</v>
      </c>
      <c r="E601" s="3" t="s">
        <v>3710</v>
      </c>
      <c r="F601" s="3" t="s">
        <v>324</v>
      </c>
      <c r="G601" s="3" t="s">
        <v>327</v>
      </c>
      <c r="H601" s="3" t="s">
        <v>332</v>
      </c>
    </row>
    <row r="602" spans="1:8" x14ac:dyDescent="0.25">
      <c r="A602" s="3" t="s">
        <v>935</v>
      </c>
      <c r="B602" s="3" t="s">
        <v>3711</v>
      </c>
      <c r="C602" s="3" t="s">
        <v>257</v>
      </c>
      <c r="D602" s="3" t="s">
        <v>297</v>
      </c>
      <c r="E602" s="3">
        <v>561.55999999999995</v>
      </c>
      <c r="F602" s="3" t="s">
        <v>3097</v>
      </c>
      <c r="G602" s="3" t="s">
        <v>325</v>
      </c>
      <c r="H602" s="3" t="s">
        <v>332</v>
      </c>
    </row>
    <row r="603" spans="1:8" x14ac:dyDescent="0.25">
      <c r="A603" s="3" t="s">
        <v>936</v>
      </c>
      <c r="B603" s="3" t="s">
        <v>3712</v>
      </c>
      <c r="C603" s="3" t="s">
        <v>215</v>
      </c>
      <c r="D603" s="3" t="s">
        <v>297</v>
      </c>
      <c r="E603" s="3" t="s">
        <v>3713</v>
      </c>
      <c r="F603" s="3" t="s">
        <v>324</v>
      </c>
      <c r="G603" s="3" t="s">
        <v>327</v>
      </c>
      <c r="H603" s="3"/>
    </row>
    <row r="604" spans="1:8" x14ac:dyDescent="0.25">
      <c r="A604" s="3" t="s">
        <v>937</v>
      </c>
      <c r="B604" s="3" t="s">
        <v>3714</v>
      </c>
      <c r="C604" s="3" t="s">
        <v>98</v>
      </c>
      <c r="D604" s="3" t="s">
        <v>315</v>
      </c>
      <c r="E604" s="3">
        <v>110.71</v>
      </c>
      <c r="F604" s="3" t="s">
        <v>324</v>
      </c>
      <c r="G604" s="3" t="s">
        <v>325</v>
      </c>
      <c r="H604" s="3" t="s">
        <v>332</v>
      </c>
    </row>
    <row r="605" spans="1:8" x14ac:dyDescent="0.25">
      <c r="A605" s="3" t="s">
        <v>938</v>
      </c>
      <c r="B605" s="3" t="s">
        <v>3715</v>
      </c>
      <c r="C605" s="3" t="s">
        <v>163</v>
      </c>
      <c r="D605" s="3" t="s">
        <v>312</v>
      </c>
      <c r="E605" s="3" t="s">
        <v>3716</v>
      </c>
      <c r="F605" s="3" t="s">
        <v>381</v>
      </c>
      <c r="G605" s="3" t="s">
        <v>325</v>
      </c>
      <c r="H605" s="3"/>
    </row>
    <row r="606" spans="1:8" x14ac:dyDescent="0.25">
      <c r="A606" s="3" t="s">
        <v>939</v>
      </c>
      <c r="B606" s="3" t="s">
        <v>3395</v>
      </c>
      <c r="C606" s="3" t="s">
        <v>217</v>
      </c>
      <c r="D606" s="3" t="s">
        <v>309</v>
      </c>
      <c r="E606" s="3">
        <v>340.66</v>
      </c>
      <c r="F606" s="3" t="s">
        <v>324</v>
      </c>
      <c r="G606" s="3" t="s">
        <v>337</v>
      </c>
      <c r="H606" s="3"/>
    </row>
    <row r="607" spans="1:8" x14ac:dyDescent="0.25">
      <c r="A607" s="3" t="s">
        <v>940</v>
      </c>
      <c r="B607" s="3" t="s">
        <v>3717</v>
      </c>
      <c r="C607" s="3" t="s">
        <v>237</v>
      </c>
      <c r="D607" s="3" t="s">
        <v>294</v>
      </c>
      <c r="E607" s="3" t="s">
        <v>3718</v>
      </c>
      <c r="F607" s="3" t="s">
        <v>324</v>
      </c>
      <c r="G607" s="3" t="s">
        <v>327</v>
      </c>
      <c r="H607" s="3"/>
    </row>
    <row r="608" spans="1:8" x14ac:dyDescent="0.25">
      <c r="A608" s="3" t="s">
        <v>941</v>
      </c>
      <c r="B608" s="3" t="s">
        <v>3250</v>
      </c>
      <c r="C608" s="3" t="s">
        <v>131</v>
      </c>
      <c r="D608" s="3" t="s">
        <v>315</v>
      </c>
      <c r="E608" s="3">
        <v>798.62</v>
      </c>
      <c r="F608" s="3" t="s">
        <v>2988</v>
      </c>
      <c r="G608" s="3" t="s">
        <v>329</v>
      </c>
      <c r="H608" s="3"/>
    </row>
    <row r="609" spans="1:8" x14ac:dyDescent="0.25">
      <c r="A609" s="3" t="s">
        <v>942</v>
      </c>
      <c r="B609" s="3" t="s">
        <v>3719</v>
      </c>
      <c r="C609" s="3" t="s">
        <v>179</v>
      </c>
      <c r="D609" s="3" t="s">
        <v>303</v>
      </c>
      <c r="E609" s="3">
        <v>687.74</v>
      </c>
      <c r="F609" s="3" t="s">
        <v>381</v>
      </c>
      <c r="G609" s="3" t="s">
        <v>325</v>
      </c>
      <c r="H609" s="3"/>
    </row>
    <row r="610" spans="1:8" x14ac:dyDescent="0.25">
      <c r="A610" s="3" t="s">
        <v>943</v>
      </c>
      <c r="B610" s="3" t="s">
        <v>3720</v>
      </c>
      <c r="C610" s="3" t="s">
        <v>169</v>
      </c>
      <c r="D610" s="3" t="s">
        <v>294</v>
      </c>
      <c r="E610" s="3" t="s">
        <v>3721</v>
      </c>
      <c r="F610" s="3" t="s">
        <v>2988</v>
      </c>
      <c r="G610" s="3" t="s">
        <v>337</v>
      </c>
      <c r="H610" s="3" t="s">
        <v>332</v>
      </c>
    </row>
    <row r="611" spans="1:8" x14ac:dyDescent="0.25">
      <c r="A611" s="3" t="s">
        <v>944</v>
      </c>
      <c r="B611" s="3" t="s">
        <v>3722</v>
      </c>
      <c r="C611" s="3" t="s">
        <v>189</v>
      </c>
      <c r="D611" s="3" t="s">
        <v>303</v>
      </c>
      <c r="E611" s="3">
        <v>317.69</v>
      </c>
      <c r="F611" s="3" t="s">
        <v>2995</v>
      </c>
      <c r="G611" s="3" t="s">
        <v>337</v>
      </c>
      <c r="H611" s="3" t="s">
        <v>332</v>
      </c>
    </row>
    <row r="612" spans="1:8" x14ac:dyDescent="0.25">
      <c r="A612" s="3" t="s">
        <v>945</v>
      </c>
      <c r="B612" s="3" t="s">
        <v>3723</v>
      </c>
      <c r="C612" s="3" t="s">
        <v>239</v>
      </c>
      <c r="D612" s="3" t="s">
        <v>294</v>
      </c>
      <c r="E612" s="3">
        <v>485.41</v>
      </c>
      <c r="F612" s="3" t="s">
        <v>381</v>
      </c>
      <c r="G612" s="3" t="s">
        <v>327</v>
      </c>
      <c r="H612" s="3"/>
    </row>
    <row r="613" spans="1:8" x14ac:dyDescent="0.25">
      <c r="A613" s="3" t="s">
        <v>946</v>
      </c>
      <c r="B613" s="3" t="s">
        <v>3724</v>
      </c>
      <c r="C613" s="3" t="s">
        <v>15</v>
      </c>
      <c r="D613" s="3" t="s">
        <v>300</v>
      </c>
      <c r="E613" s="3">
        <v>981.45</v>
      </c>
      <c r="F613" s="3" t="s">
        <v>381</v>
      </c>
      <c r="G613" s="3" t="s">
        <v>325</v>
      </c>
      <c r="H613" s="3" t="s">
        <v>346</v>
      </c>
    </row>
    <row r="614" spans="1:8" x14ac:dyDescent="0.25">
      <c r="A614" s="3" t="s">
        <v>947</v>
      </c>
      <c r="B614" s="3" t="s">
        <v>3725</v>
      </c>
      <c r="C614" s="3" t="s">
        <v>257</v>
      </c>
      <c r="D614" s="3" t="s">
        <v>294</v>
      </c>
      <c r="E614" s="3" t="s">
        <v>3726</v>
      </c>
      <c r="F614" s="3" t="s">
        <v>324</v>
      </c>
      <c r="G614" s="3" t="s">
        <v>329</v>
      </c>
      <c r="H614" s="3"/>
    </row>
    <row r="615" spans="1:8" x14ac:dyDescent="0.25">
      <c r="A615" s="3" t="s">
        <v>948</v>
      </c>
      <c r="B615" s="3" t="s">
        <v>3262</v>
      </c>
      <c r="C615" s="3" t="s">
        <v>60</v>
      </c>
      <c r="D615" s="3" t="s">
        <v>297</v>
      </c>
      <c r="E615" s="3">
        <v>-160.66999999999999</v>
      </c>
      <c r="F615" s="3" t="s">
        <v>349</v>
      </c>
      <c r="G615" s="3" t="s">
        <v>325</v>
      </c>
      <c r="H615" s="3" t="s">
        <v>334</v>
      </c>
    </row>
    <row r="616" spans="1:8" x14ac:dyDescent="0.25">
      <c r="A616" s="3" t="s">
        <v>949</v>
      </c>
      <c r="B616" s="3" t="s">
        <v>3727</v>
      </c>
      <c r="C616" s="3" t="s">
        <v>147</v>
      </c>
      <c r="D616" s="3" t="s">
        <v>294</v>
      </c>
      <c r="E616" s="3" t="s">
        <v>3728</v>
      </c>
      <c r="F616" s="3" t="s">
        <v>2997</v>
      </c>
      <c r="G616" s="3" t="s">
        <v>327</v>
      </c>
      <c r="H616" s="3"/>
    </row>
    <row r="617" spans="1:8" x14ac:dyDescent="0.25">
      <c r="A617" s="3" t="s">
        <v>950</v>
      </c>
      <c r="B617" s="3" t="s">
        <v>3342</v>
      </c>
      <c r="C617" s="3" t="s">
        <v>197</v>
      </c>
      <c r="D617" s="3" t="s">
        <v>309</v>
      </c>
      <c r="E617" s="3">
        <v>304.10000000000002</v>
      </c>
      <c r="F617" s="3" t="s">
        <v>2973</v>
      </c>
      <c r="G617" s="3" t="s">
        <v>327</v>
      </c>
      <c r="H617" s="3" t="s">
        <v>346</v>
      </c>
    </row>
    <row r="618" spans="1:8" x14ac:dyDescent="0.25">
      <c r="A618" s="3" t="s">
        <v>951</v>
      </c>
      <c r="B618" s="3" t="s">
        <v>3729</v>
      </c>
      <c r="C618" s="3" t="s">
        <v>35</v>
      </c>
      <c r="D618" s="3" t="s">
        <v>294</v>
      </c>
      <c r="E618" s="3">
        <v>77.400000000000006</v>
      </c>
      <c r="F618" s="3" t="s">
        <v>2995</v>
      </c>
      <c r="G618" s="3" t="s">
        <v>327</v>
      </c>
      <c r="H618" s="3" t="s">
        <v>346</v>
      </c>
    </row>
    <row r="619" spans="1:8" x14ac:dyDescent="0.25">
      <c r="A619" s="3" t="s">
        <v>952</v>
      </c>
      <c r="B619" s="3" t="s">
        <v>3730</v>
      </c>
      <c r="C619" s="3" t="s">
        <v>253</v>
      </c>
      <c r="D619" s="3" t="s">
        <v>312</v>
      </c>
      <c r="E619" s="3">
        <v>441.56</v>
      </c>
      <c r="F619" s="3" t="s">
        <v>3112</v>
      </c>
      <c r="G619" s="3" t="s">
        <v>337</v>
      </c>
      <c r="H619" s="3" t="s">
        <v>334</v>
      </c>
    </row>
    <row r="620" spans="1:8" x14ac:dyDescent="0.25">
      <c r="A620" s="3" t="s">
        <v>953</v>
      </c>
      <c r="B620" s="3" t="s">
        <v>3731</v>
      </c>
      <c r="C620" s="3" t="s">
        <v>277</v>
      </c>
      <c r="D620" s="3" t="s">
        <v>297</v>
      </c>
      <c r="E620" s="3">
        <v>95.15</v>
      </c>
      <c r="F620" s="3" t="s">
        <v>2988</v>
      </c>
      <c r="G620" s="3" t="s">
        <v>337</v>
      </c>
      <c r="H620" s="3"/>
    </row>
    <row r="621" spans="1:8" x14ac:dyDescent="0.25">
      <c r="A621" s="3" t="s">
        <v>954</v>
      </c>
      <c r="B621" s="3" t="s">
        <v>3732</v>
      </c>
      <c r="C621" s="3" t="s">
        <v>88</v>
      </c>
      <c r="D621" s="3" t="s">
        <v>315</v>
      </c>
      <c r="E621" s="3" t="s">
        <v>3733</v>
      </c>
      <c r="F621" s="3" t="s">
        <v>2976</v>
      </c>
      <c r="G621" s="3" t="s">
        <v>337</v>
      </c>
      <c r="H621" s="3"/>
    </row>
    <row r="622" spans="1:8" x14ac:dyDescent="0.25">
      <c r="A622" s="3" t="s">
        <v>919</v>
      </c>
      <c r="B622" s="3" t="s">
        <v>3698</v>
      </c>
      <c r="C622" s="3" t="s">
        <v>23</v>
      </c>
      <c r="D622" s="3" t="s">
        <v>297</v>
      </c>
      <c r="E622" s="3">
        <v>524.14</v>
      </c>
      <c r="F622" s="3" t="s">
        <v>2973</v>
      </c>
      <c r="G622" s="3" t="s">
        <v>327</v>
      </c>
      <c r="H622" s="3"/>
    </row>
    <row r="623" spans="1:8" x14ac:dyDescent="0.25">
      <c r="A623" s="3" t="s">
        <v>955</v>
      </c>
      <c r="B623" s="3" t="s">
        <v>3734</v>
      </c>
      <c r="C623" s="3" t="s">
        <v>129</v>
      </c>
      <c r="D623" s="3" t="s">
        <v>309</v>
      </c>
      <c r="E623" s="3" t="s">
        <v>3735</v>
      </c>
      <c r="F623" s="3" t="s">
        <v>2995</v>
      </c>
      <c r="G623" s="3" t="s">
        <v>337</v>
      </c>
      <c r="H623" s="3" t="s">
        <v>334</v>
      </c>
    </row>
    <row r="624" spans="1:8" x14ac:dyDescent="0.25">
      <c r="A624" s="3" t="s">
        <v>956</v>
      </c>
      <c r="B624" s="3" t="s">
        <v>3245</v>
      </c>
      <c r="C624" s="3" t="s">
        <v>181</v>
      </c>
      <c r="D624" s="3" t="s">
        <v>297</v>
      </c>
      <c r="E624" s="3">
        <v>542.53</v>
      </c>
      <c r="F624" s="3" t="s">
        <v>2976</v>
      </c>
      <c r="G624" s="3" t="s">
        <v>327</v>
      </c>
      <c r="H624" s="3" t="s">
        <v>346</v>
      </c>
    </row>
    <row r="625" spans="1:8" x14ac:dyDescent="0.25">
      <c r="A625" s="3" t="s">
        <v>957</v>
      </c>
      <c r="B625" s="3" t="s">
        <v>3736</v>
      </c>
      <c r="C625" s="3" t="s">
        <v>119</v>
      </c>
      <c r="D625" s="3" t="s">
        <v>294</v>
      </c>
      <c r="E625" s="3" t="s">
        <v>3737</v>
      </c>
      <c r="F625" s="3" t="s">
        <v>349</v>
      </c>
      <c r="G625" s="3" t="s">
        <v>327</v>
      </c>
      <c r="H625" s="3" t="s">
        <v>332</v>
      </c>
    </row>
    <row r="626" spans="1:8" x14ac:dyDescent="0.25">
      <c r="A626" s="3" t="s">
        <v>958</v>
      </c>
      <c r="B626" s="3" t="s">
        <v>3355</v>
      </c>
      <c r="C626" s="3" t="s">
        <v>273</v>
      </c>
      <c r="D626" s="3" t="s">
        <v>306</v>
      </c>
      <c r="E626" s="3" t="s">
        <v>3738</v>
      </c>
      <c r="F626" s="3" t="s">
        <v>324</v>
      </c>
      <c r="G626" s="3" t="s">
        <v>327</v>
      </c>
      <c r="H626" s="3" t="s">
        <v>332</v>
      </c>
    </row>
    <row r="627" spans="1:8" x14ac:dyDescent="0.25">
      <c r="A627" s="3" t="s">
        <v>959</v>
      </c>
      <c r="B627" s="3" t="s">
        <v>3739</v>
      </c>
      <c r="C627" s="3" t="s">
        <v>47</v>
      </c>
      <c r="D627" s="3" t="s">
        <v>294</v>
      </c>
      <c r="E627" s="3" t="s">
        <v>3740</v>
      </c>
      <c r="F627" s="3" t="s">
        <v>381</v>
      </c>
      <c r="G627" s="3" t="s">
        <v>327</v>
      </c>
      <c r="H627" s="3"/>
    </row>
    <row r="628" spans="1:8" x14ac:dyDescent="0.25">
      <c r="A628" s="3" t="s">
        <v>960</v>
      </c>
      <c r="B628" s="3" t="s">
        <v>3741</v>
      </c>
      <c r="C628" s="3" t="s">
        <v>100</v>
      </c>
      <c r="D628" s="3" t="s">
        <v>300</v>
      </c>
      <c r="E628" s="3" t="s">
        <v>3742</v>
      </c>
      <c r="F628" s="3" t="s">
        <v>381</v>
      </c>
      <c r="G628" s="3" t="s">
        <v>325</v>
      </c>
      <c r="H628" s="3" t="s">
        <v>346</v>
      </c>
    </row>
    <row r="629" spans="1:8" x14ac:dyDescent="0.25">
      <c r="A629" s="3" t="s">
        <v>961</v>
      </c>
      <c r="B629" s="3" t="s">
        <v>3205</v>
      </c>
      <c r="C629" s="3" t="s">
        <v>133</v>
      </c>
      <c r="D629" s="3" t="s">
        <v>300</v>
      </c>
      <c r="E629" s="3" t="s">
        <v>3743</v>
      </c>
      <c r="F629" s="3" t="s">
        <v>349</v>
      </c>
      <c r="G629" s="3" t="s">
        <v>325</v>
      </c>
      <c r="H629" s="3" t="s">
        <v>334</v>
      </c>
    </row>
    <row r="630" spans="1:8" x14ac:dyDescent="0.25">
      <c r="A630" s="3" t="s">
        <v>962</v>
      </c>
      <c r="B630" s="3" t="s">
        <v>3744</v>
      </c>
      <c r="C630" s="3" t="s">
        <v>62</v>
      </c>
      <c r="D630" s="3" t="s">
        <v>300</v>
      </c>
      <c r="E630" s="3">
        <v>532.11</v>
      </c>
      <c r="F630" s="3" t="s">
        <v>2995</v>
      </c>
      <c r="G630" s="3" t="s">
        <v>327</v>
      </c>
      <c r="H630" s="3"/>
    </row>
    <row r="631" spans="1:8" x14ac:dyDescent="0.25">
      <c r="A631" s="3" t="s">
        <v>963</v>
      </c>
      <c r="B631" s="3" t="s">
        <v>3745</v>
      </c>
      <c r="C631" s="3" t="s">
        <v>191</v>
      </c>
      <c r="D631" s="3" t="s">
        <v>294</v>
      </c>
      <c r="E631" s="3">
        <v>340.23</v>
      </c>
      <c r="F631" s="3" t="s">
        <v>381</v>
      </c>
      <c r="G631" s="3" t="s">
        <v>327</v>
      </c>
      <c r="H631" s="3" t="s">
        <v>334</v>
      </c>
    </row>
    <row r="632" spans="1:8" x14ac:dyDescent="0.25">
      <c r="A632" s="3" t="s">
        <v>964</v>
      </c>
      <c r="B632" s="3" t="s">
        <v>3419</v>
      </c>
      <c r="C632" s="3" t="s">
        <v>96</v>
      </c>
      <c r="D632" s="3" t="s">
        <v>297</v>
      </c>
      <c r="E632" s="3" t="s">
        <v>3746</v>
      </c>
      <c r="F632" s="3" t="s">
        <v>324</v>
      </c>
      <c r="G632" s="3" t="s">
        <v>337</v>
      </c>
      <c r="H632" s="3"/>
    </row>
    <row r="633" spans="1:8" x14ac:dyDescent="0.25">
      <c r="A633" s="3" t="s">
        <v>965</v>
      </c>
      <c r="B633" s="3" t="s">
        <v>3747</v>
      </c>
      <c r="C633" s="3" t="s">
        <v>171</v>
      </c>
      <c r="D633" s="3" t="s">
        <v>297</v>
      </c>
      <c r="E633" s="3">
        <v>210.16</v>
      </c>
      <c r="F633" s="3" t="s">
        <v>324</v>
      </c>
      <c r="G633" s="3" t="s">
        <v>325</v>
      </c>
      <c r="H633" s="3"/>
    </row>
    <row r="634" spans="1:8" x14ac:dyDescent="0.25">
      <c r="A634" s="3" t="s">
        <v>966</v>
      </c>
      <c r="B634" s="3" t="s">
        <v>3169</v>
      </c>
      <c r="C634" s="3" t="s">
        <v>23</v>
      </c>
      <c r="D634" s="3" t="s">
        <v>297</v>
      </c>
      <c r="E634" s="3" t="s">
        <v>3748</v>
      </c>
      <c r="F634" s="3" t="s">
        <v>2988</v>
      </c>
      <c r="G634" s="3" t="s">
        <v>327</v>
      </c>
      <c r="H634" s="3" t="s">
        <v>334</v>
      </c>
    </row>
    <row r="635" spans="1:8" x14ac:dyDescent="0.25">
      <c r="A635" s="3" t="s">
        <v>967</v>
      </c>
      <c r="B635" s="3" t="s">
        <v>3749</v>
      </c>
      <c r="C635" s="3" t="s">
        <v>255</v>
      </c>
      <c r="D635" s="3" t="s">
        <v>297</v>
      </c>
      <c r="E635" s="3">
        <v>722.45</v>
      </c>
      <c r="F635" s="3" t="s">
        <v>324</v>
      </c>
      <c r="G635" s="3" t="s">
        <v>327</v>
      </c>
      <c r="H635" s="3"/>
    </row>
    <row r="636" spans="1:8" x14ac:dyDescent="0.25">
      <c r="A636" s="3" t="s">
        <v>968</v>
      </c>
      <c r="B636" s="3" t="s">
        <v>3750</v>
      </c>
      <c r="C636" s="3" t="s">
        <v>249</v>
      </c>
      <c r="D636" s="3" t="s">
        <v>300</v>
      </c>
      <c r="E636" s="3">
        <v>452.35</v>
      </c>
      <c r="F636" s="3" t="s">
        <v>3037</v>
      </c>
      <c r="G636" s="3" t="s">
        <v>327</v>
      </c>
      <c r="H636" s="3" t="s">
        <v>334</v>
      </c>
    </row>
    <row r="637" spans="1:8" x14ac:dyDescent="0.25">
      <c r="A637" s="3" t="s">
        <v>969</v>
      </c>
      <c r="B637" s="3" t="s">
        <v>3751</v>
      </c>
      <c r="C637" s="3" t="s">
        <v>203</v>
      </c>
      <c r="D637" s="3" t="s">
        <v>297</v>
      </c>
      <c r="E637" s="3">
        <v>252.36</v>
      </c>
      <c r="F637" s="3" t="s">
        <v>324</v>
      </c>
      <c r="G637" s="3" t="s">
        <v>337</v>
      </c>
      <c r="H637" s="3" t="s">
        <v>346</v>
      </c>
    </row>
    <row r="638" spans="1:8" x14ac:dyDescent="0.25">
      <c r="A638" s="3" t="s">
        <v>970</v>
      </c>
      <c r="B638" s="3" t="s">
        <v>3752</v>
      </c>
      <c r="C638" s="3" t="s">
        <v>66</v>
      </c>
      <c r="D638" s="3" t="s">
        <v>294</v>
      </c>
      <c r="E638" s="3">
        <v>127.74</v>
      </c>
      <c r="F638" s="3" t="s">
        <v>324</v>
      </c>
      <c r="G638" s="3" t="s">
        <v>325</v>
      </c>
      <c r="H638" s="3"/>
    </row>
    <row r="639" spans="1:8" x14ac:dyDescent="0.25">
      <c r="A639" s="3" t="s">
        <v>971</v>
      </c>
      <c r="B639" s="3" t="s">
        <v>3753</v>
      </c>
      <c r="C639" s="3" t="s">
        <v>159</v>
      </c>
      <c r="D639" s="3" t="s">
        <v>303</v>
      </c>
      <c r="E639" s="3" t="s">
        <v>3754</v>
      </c>
      <c r="F639" s="3" t="s">
        <v>324</v>
      </c>
      <c r="G639" s="3" t="s">
        <v>325</v>
      </c>
      <c r="H639" s="3"/>
    </row>
    <row r="640" spans="1:8" x14ac:dyDescent="0.25">
      <c r="A640" s="3" t="s">
        <v>972</v>
      </c>
      <c r="B640" s="3" t="s">
        <v>3537</v>
      </c>
      <c r="C640" s="3" t="s">
        <v>255</v>
      </c>
      <c r="D640" s="3" t="s">
        <v>294</v>
      </c>
      <c r="E640" s="3" t="s">
        <v>3755</v>
      </c>
      <c r="F640" s="3" t="s">
        <v>324</v>
      </c>
      <c r="G640" s="3" t="s">
        <v>327</v>
      </c>
      <c r="H640" s="3" t="s">
        <v>346</v>
      </c>
    </row>
    <row r="641" spans="1:8" x14ac:dyDescent="0.25">
      <c r="A641" s="3" t="s">
        <v>973</v>
      </c>
      <c r="B641" s="3" t="s">
        <v>3339</v>
      </c>
      <c r="C641" s="3" t="s">
        <v>261</v>
      </c>
      <c r="D641" s="3" t="s">
        <v>294</v>
      </c>
      <c r="E641" s="3">
        <v>837.67</v>
      </c>
      <c r="F641" s="3" t="s">
        <v>2988</v>
      </c>
      <c r="G641" s="3"/>
      <c r="H641" s="3"/>
    </row>
    <row r="642" spans="1:8" x14ac:dyDescent="0.25">
      <c r="A642" s="3" t="s">
        <v>974</v>
      </c>
      <c r="B642" s="3" t="s">
        <v>3321</v>
      </c>
      <c r="C642" s="3" t="s">
        <v>80</v>
      </c>
      <c r="D642" s="3" t="s">
        <v>312</v>
      </c>
      <c r="E642" s="3">
        <v>-613.97</v>
      </c>
      <c r="F642" s="3" t="s">
        <v>349</v>
      </c>
      <c r="G642" s="3" t="s">
        <v>337</v>
      </c>
      <c r="H642" s="3"/>
    </row>
    <row r="643" spans="1:8" x14ac:dyDescent="0.25">
      <c r="A643" s="3" t="s">
        <v>975</v>
      </c>
      <c r="B643" s="3" t="s">
        <v>3059</v>
      </c>
      <c r="C643" s="3" t="s">
        <v>249</v>
      </c>
      <c r="D643" s="3" t="s">
        <v>306</v>
      </c>
      <c r="E643" s="3" t="s">
        <v>3756</v>
      </c>
      <c r="F643" s="3" t="s">
        <v>324</v>
      </c>
      <c r="G643" s="3" t="s">
        <v>337</v>
      </c>
      <c r="H643" s="3" t="s">
        <v>346</v>
      </c>
    </row>
    <row r="644" spans="1:8" x14ac:dyDescent="0.25">
      <c r="A644" s="3" t="s">
        <v>976</v>
      </c>
      <c r="B644" s="3" t="s">
        <v>3757</v>
      </c>
      <c r="C644" s="3" t="s">
        <v>55</v>
      </c>
      <c r="D644" s="3" t="s">
        <v>297</v>
      </c>
      <c r="E644" s="3">
        <v>301.64</v>
      </c>
      <c r="F644" s="3" t="s">
        <v>2988</v>
      </c>
      <c r="G644" s="3" t="s">
        <v>327</v>
      </c>
      <c r="H644" s="3"/>
    </row>
    <row r="645" spans="1:8" x14ac:dyDescent="0.25">
      <c r="A645" s="3" t="s">
        <v>977</v>
      </c>
      <c r="B645" s="3" t="s">
        <v>3758</v>
      </c>
      <c r="C645" s="3" t="s">
        <v>177</v>
      </c>
      <c r="D645" s="3" t="s">
        <v>312</v>
      </c>
      <c r="E645" s="3">
        <v>537.94000000000005</v>
      </c>
      <c r="F645" s="3" t="s">
        <v>2976</v>
      </c>
      <c r="G645" s="3" t="s">
        <v>327</v>
      </c>
      <c r="H645" s="3"/>
    </row>
    <row r="646" spans="1:8" x14ac:dyDescent="0.25">
      <c r="A646" s="3" t="s">
        <v>978</v>
      </c>
      <c r="B646" s="3" t="s">
        <v>3031</v>
      </c>
      <c r="C646" s="3" t="s">
        <v>189</v>
      </c>
      <c r="D646" s="3" t="s">
        <v>306</v>
      </c>
      <c r="E646" s="3" t="s">
        <v>3759</v>
      </c>
      <c r="F646" s="3" t="s">
        <v>324</v>
      </c>
      <c r="G646" s="3" t="s">
        <v>327</v>
      </c>
      <c r="H646" s="3"/>
    </row>
    <row r="647" spans="1:8" x14ac:dyDescent="0.25">
      <c r="A647" s="3" t="s">
        <v>979</v>
      </c>
      <c r="B647" s="3" t="s">
        <v>3417</v>
      </c>
      <c r="C647" s="3" t="s">
        <v>185</v>
      </c>
      <c r="D647" s="3" t="s">
        <v>300</v>
      </c>
      <c r="E647" s="3">
        <v>509.2</v>
      </c>
      <c r="F647" s="3" t="s">
        <v>2973</v>
      </c>
      <c r="G647" s="3" t="s">
        <v>337</v>
      </c>
      <c r="H647" s="3" t="s">
        <v>346</v>
      </c>
    </row>
    <row r="648" spans="1:8" x14ac:dyDescent="0.25">
      <c r="A648" s="3" t="s">
        <v>980</v>
      </c>
      <c r="B648" s="3" t="s">
        <v>3251</v>
      </c>
      <c r="C648" s="3" t="s">
        <v>209</v>
      </c>
      <c r="D648" s="3" t="s">
        <v>312</v>
      </c>
      <c r="E648" s="3">
        <v>423.53</v>
      </c>
      <c r="F648" s="3" t="s">
        <v>324</v>
      </c>
      <c r="G648" s="3" t="s">
        <v>327</v>
      </c>
      <c r="H648" s="3"/>
    </row>
    <row r="649" spans="1:8" x14ac:dyDescent="0.25">
      <c r="A649" s="3" t="s">
        <v>981</v>
      </c>
      <c r="B649" s="3" t="s">
        <v>3160</v>
      </c>
      <c r="C649" s="3" t="s">
        <v>233</v>
      </c>
      <c r="D649" s="3" t="s">
        <v>315</v>
      </c>
      <c r="E649" s="3">
        <v>167.04</v>
      </c>
      <c r="F649" s="3" t="s">
        <v>2976</v>
      </c>
      <c r="G649" s="3" t="s">
        <v>325</v>
      </c>
      <c r="H649" s="3" t="s">
        <v>332</v>
      </c>
    </row>
    <row r="650" spans="1:8" x14ac:dyDescent="0.25">
      <c r="A650" s="3" t="s">
        <v>982</v>
      </c>
      <c r="B650" s="3" t="s">
        <v>3760</v>
      </c>
      <c r="C650" s="3" t="s">
        <v>205</v>
      </c>
      <c r="D650" s="3" t="s">
        <v>300</v>
      </c>
      <c r="E650" s="3" t="s">
        <v>3761</v>
      </c>
      <c r="F650" s="3" t="s">
        <v>2995</v>
      </c>
      <c r="G650" s="3" t="s">
        <v>327</v>
      </c>
      <c r="H650" s="3"/>
    </row>
    <row r="651" spans="1:8" x14ac:dyDescent="0.25">
      <c r="A651" s="3" t="s">
        <v>983</v>
      </c>
      <c r="B651" s="3" t="s">
        <v>3762</v>
      </c>
      <c r="C651" s="3" t="s">
        <v>64</v>
      </c>
      <c r="D651" s="3" t="s">
        <v>315</v>
      </c>
      <c r="E651" s="3" t="s">
        <v>3763</v>
      </c>
      <c r="F651" s="3" t="s">
        <v>324</v>
      </c>
      <c r="G651" s="3" t="s">
        <v>325</v>
      </c>
      <c r="H651" s="3" t="s">
        <v>346</v>
      </c>
    </row>
    <row r="652" spans="1:8" x14ac:dyDescent="0.25">
      <c r="A652" s="3" t="s">
        <v>984</v>
      </c>
      <c r="B652" s="3" t="s">
        <v>3614</v>
      </c>
      <c r="C652" s="3" t="s">
        <v>19</v>
      </c>
      <c r="D652" s="3" t="s">
        <v>294</v>
      </c>
      <c r="E652" s="3">
        <v>572.96</v>
      </c>
      <c r="F652" s="3" t="s">
        <v>324</v>
      </c>
      <c r="G652" s="3" t="s">
        <v>337</v>
      </c>
      <c r="H652" s="3" t="s">
        <v>334</v>
      </c>
    </row>
    <row r="653" spans="1:8" x14ac:dyDescent="0.25">
      <c r="A653" s="3" t="s">
        <v>985</v>
      </c>
      <c r="B653" s="3" t="s">
        <v>3764</v>
      </c>
      <c r="C653" s="3" t="s">
        <v>98</v>
      </c>
      <c r="D653" s="3" t="s">
        <v>315</v>
      </c>
      <c r="E653" s="3" t="s">
        <v>3765</v>
      </c>
      <c r="F653" s="3" t="s">
        <v>324</v>
      </c>
      <c r="G653" s="3" t="s">
        <v>329</v>
      </c>
      <c r="H653" s="3" t="s">
        <v>334</v>
      </c>
    </row>
    <row r="654" spans="1:8" x14ac:dyDescent="0.25">
      <c r="A654" s="3" t="s">
        <v>986</v>
      </c>
      <c r="B654" s="3" t="s">
        <v>3766</v>
      </c>
      <c r="C654" s="3" t="s">
        <v>251</v>
      </c>
      <c r="D654" s="3" t="s">
        <v>297</v>
      </c>
      <c r="E654" s="3">
        <v>410.72</v>
      </c>
      <c r="F654" s="3" t="s">
        <v>2995</v>
      </c>
      <c r="G654" s="3" t="s">
        <v>327</v>
      </c>
      <c r="H654" s="3"/>
    </row>
    <row r="655" spans="1:8" x14ac:dyDescent="0.25">
      <c r="A655" s="3" t="s">
        <v>405</v>
      </c>
      <c r="B655" s="3" t="s">
        <v>3078</v>
      </c>
      <c r="C655" s="3" t="s">
        <v>90</v>
      </c>
      <c r="D655" s="3" t="s">
        <v>294</v>
      </c>
      <c r="E655" s="3">
        <v>445.37</v>
      </c>
      <c r="F655" s="3" t="s">
        <v>2976</v>
      </c>
      <c r="G655" s="3"/>
      <c r="H655" s="3"/>
    </row>
    <row r="656" spans="1:8" x14ac:dyDescent="0.25">
      <c r="A656" s="3" t="s">
        <v>987</v>
      </c>
      <c r="B656" s="3" t="s">
        <v>3767</v>
      </c>
      <c r="C656" s="3" t="s">
        <v>243</v>
      </c>
      <c r="D656" s="3" t="s">
        <v>297</v>
      </c>
      <c r="E656" s="3">
        <v>111.92</v>
      </c>
      <c r="F656" s="3" t="s">
        <v>2988</v>
      </c>
      <c r="G656" s="3" t="s">
        <v>325</v>
      </c>
      <c r="H656" s="3" t="s">
        <v>334</v>
      </c>
    </row>
    <row r="657" spans="1:8" x14ac:dyDescent="0.25">
      <c r="A657" s="3" t="s">
        <v>988</v>
      </c>
      <c r="B657" s="3" t="s">
        <v>3768</v>
      </c>
      <c r="C657" s="3" t="s">
        <v>183</v>
      </c>
      <c r="D657" s="3" t="s">
        <v>306</v>
      </c>
      <c r="E657" s="3" t="s">
        <v>3769</v>
      </c>
      <c r="F657" s="3" t="s">
        <v>324</v>
      </c>
      <c r="G657" s="3" t="s">
        <v>327</v>
      </c>
      <c r="H657" s="3" t="s">
        <v>332</v>
      </c>
    </row>
    <row r="658" spans="1:8" x14ac:dyDescent="0.25">
      <c r="A658" s="3" t="s">
        <v>989</v>
      </c>
      <c r="B658" s="3" t="s">
        <v>3409</v>
      </c>
      <c r="C658" s="3" t="s">
        <v>117</v>
      </c>
      <c r="D658" s="3" t="s">
        <v>306</v>
      </c>
      <c r="E658" s="3">
        <v>457.5</v>
      </c>
      <c r="F658" s="3" t="s">
        <v>324</v>
      </c>
      <c r="G658" s="3" t="s">
        <v>327</v>
      </c>
      <c r="H658" s="3" t="s">
        <v>334</v>
      </c>
    </row>
    <row r="659" spans="1:8" x14ac:dyDescent="0.25">
      <c r="A659" s="3" t="s">
        <v>990</v>
      </c>
      <c r="B659" s="3" t="s">
        <v>3123</v>
      </c>
      <c r="C659" s="3" t="s">
        <v>185</v>
      </c>
      <c r="D659" s="3" t="s">
        <v>300</v>
      </c>
      <c r="E659" s="3" t="s">
        <v>3770</v>
      </c>
      <c r="F659" s="3" t="s">
        <v>324</v>
      </c>
      <c r="G659" s="3" t="s">
        <v>327</v>
      </c>
      <c r="H659" s="3"/>
    </row>
    <row r="660" spans="1:8" x14ac:dyDescent="0.25">
      <c r="A660" s="3" t="s">
        <v>991</v>
      </c>
      <c r="B660" s="3" t="s">
        <v>3771</v>
      </c>
      <c r="C660" s="3" t="s">
        <v>183</v>
      </c>
      <c r="D660" s="3" t="s">
        <v>312</v>
      </c>
      <c r="E660" s="3">
        <v>768.8</v>
      </c>
      <c r="F660" s="3" t="s">
        <v>324</v>
      </c>
      <c r="G660" s="3" t="s">
        <v>325</v>
      </c>
      <c r="H660" s="3"/>
    </row>
    <row r="661" spans="1:8" x14ac:dyDescent="0.25">
      <c r="A661" s="3" t="s">
        <v>992</v>
      </c>
      <c r="B661" s="3" t="s">
        <v>3137</v>
      </c>
      <c r="C661" s="3" t="s">
        <v>189</v>
      </c>
      <c r="D661" s="3" t="s">
        <v>315</v>
      </c>
      <c r="E661" s="3" t="s">
        <v>3772</v>
      </c>
      <c r="F661" s="3" t="s">
        <v>324</v>
      </c>
      <c r="G661" s="3" t="s">
        <v>327</v>
      </c>
      <c r="H661" s="3" t="s">
        <v>332</v>
      </c>
    </row>
    <row r="662" spans="1:8" x14ac:dyDescent="0.25">
      <c r="A662" s="3" t="s">
        <v>993</v>
      </c>
      <c r="B662" s="3" t="s">
        <v>3773</v>
      </c>
      <c r="C662" s="3" t="s">
        <v>33</v>
      </c>
      <c r="D662" s="3" t="s">
        <v>303</v>
      </c>
      <c r="E662" s="3">
        <v>110.62</v>
      </c>
      <c r="F662" s="3" t="s">
        <v>324</v>
      </c>
      <c r="G662" s="3" t="s">
        <v>325</v>
      </c>
      <c r="H662" s="3" t="s">
        <v>332</v>
      </c>
    </row>
    <row r="663" spans="1:8" x14ac:dyDescent="0.25">
      <c r="A663" s="3" t="s">
        <v>994</v>
      </c>
      <c r="B663" s="3" t="s">
        <v>3720</v>
      </c>
      <c r="C663" s="3" t="s">
        <v>15</v>
      </c>
      <c r="D663" s="3" t="s">
        <v>306</v>
      </c>
      <c r="E663" s="3">
        <v>569</v>
      </c>
      <c r="F663" s="3" t="s">
        <v>324</v>
      </c>
      <c r="G663" s="3" t="s">
        <v>329</v>
      </c>
      <c r="H663" s="3" t="s">
        <v>334</v>
      </c>
    </row>
    <row r="664" spans="1:8" x14ac:dyDescent="0.25">
      <c r="A664" s="3" t="s">
        <v>995</v>
      </c>
      <c r="B664" s="3" t="s">
        <v>3551</v>
      </c>
      <c r="C664" s="3" t="s">
        <v>143</v>
      </c>
      <c r="D664" s="3" t="s">
        <v>294</v>
      </c>
      <c r="E664" s="3" t="s">
        <v>3774</v>
      </c>
      <c r="F664" s="3" t="s">
        <v>2995</v>
      </c>
      <c r="G664" s="3" t="s">
        <v>327</v>
      </c>
      <c r="H664" s="3" t="s">
        <v>346</v>
      </c>
    </row>
    <row r="665" spans="1:8" x14ac:dyDescent="0.25">
      <c r="A665" s="3" t="s">
        <v>996</v>
      </c>
      <c r="B665" s="3" t="s">
        <v>3416</v>
      </c>
      <c r="C665" s="3" t="s">
        <v>181</v>
      </c>
      <c r="D665" s="3" t="s">
        <v>297</v>
      </c>
      <c r="E665" s="3" t="s">
        <v>3775</v>
      </c>
      <c r="F665" s="3" t="s">
        <v>2988</v>
      </c>
      <c r="G665" s="3"/>
      <c r="H665" s="3"/>
    </row>
    <row r="666" spans="1:8" x14ac:dyDescent="0.25">
      <c r="A666" s="3" t="s">
        <v>997</v>
      </c>
      <c r="B666" s="3" t="s">
        <v>3776</v>
      </c>
      <c r="C666" s="3" t="s">
        <v>88</v>
      </c>
      <c r="D666" s="3" t="s">
        <v>294</v>
      </c>
      <c r="E666" s="3">
        <v>185.92</v>
      </c>
      <c r="F666" s="3" t="s">
        <v>324</v>
      </c>
      <c r="G666" s="3" t="s">
        <v>325</v>
      </c>
      <c r="H666" s="3"/>
    </row>
    <row r="667" spans="1:8" x14ac:dyDescent="0.25">
      <c r="A667" s="3" t="s">
        <v>998</v>
      </c>
      <c r="B667" s="3" t="s">
        <v>3777</v>
      </c>
      <c r="C667" s="3" t="s">
        <v>251</v>
      </c>
      <c r="D667" s="3" t="s">
        <v>300</v>
      </c>
      <c r="E667" s="3">
        <v>395.02</v>
      </c>
      <c r="F667" s="3" t="s">
        <v>2995</v>
      </c>
      <c r="G667" s="3" t="s">
        <v>325</v>
      </c>
      <c r="H667" s="3" t="s">
        <v>346</v>
      </c>
    </row>
    <row r="668" spans="1:8" x14ac:dyDescent="0.25">
      <c r="A668" s="3" t="s">
        <v>999</v>
      </c>
      <c r="B668" s="3" t="s">
        <v>3778</v>
      </c>
      <c r="C668" s="3" t="s">
        <v>171</v>
      </c>
      <c r="D668" s="3" t="s">
        <v>306</v>
      </c>
      <c r="E668" s="3" t="s">
        <v>3779</v>
      </c>
      <c r="F668" s="3" t="s">
        <v>324</v>
      </c>
      <c r="G668" s="3" t="s">
        <v>329</v>
      </c>
      <c r="H668" s="3" t="s">
        <v>346</v>
      </c>
    </row>
    <row r="669" spans="1:8" x14ac:dyDescent="0.25">
      <c r="A669" s="3" t="s">
        <v>1000</v>
      </c>
      <c r="B669" s="3" t="s">
        <v>3780</v>
      </c>
      <c r="C669" s="3" t="s">
        <v>213</v>
      </c>
      <c r="D669" s="3" t="s">
        <v>294</v>
      </c>
      <c r="E669" s="3">
        <v>763.68</v>
      </c>
      <c r="F669" s="3" t="s">
        <v>3112</v>
      </c>
      <c r="G669" s="3" t="s">
        <v>329</v>
      </c>
      <c r="H669" s="3"/>
    </row>
    <row r="670" spans="1:8" x14ac:dyDescent="0.25">
      <c r="A670" s="3" t="s">
        <v>1001</v>
      </c>
      <c r="B670" s="3" t="s">
        <v>3781</v>
      </c>
      <c r="C670" s="3" t="s">
        <v>195</v>
      </c>
      <c r="D670" s="3" t="s">
        <v>294</v>
      </c>
      <c r="E670" s="3">
        <v>-799.06</v>
      </c>
      <c r="F670" s="3" t="s">
        <v>3060</v>
      </c>
      <c r="G670" s="3" t="s">
        <v>337</v>
      </c>
      <c r="H670" s="3" t="s">
        <v>334</v>
      </c>
    </row>
    <row r="671" spans="1:8" x14ac:dyDescent="0.25">
      <c r="A671" s="3" t="s">
        <v>1002</v>
      </c>
      <c r="B671" s="3" t="s">
        <v>3782</v>
      </c>
      <c r="C671" s="3" t="s">
        <v>66</v>
      </c>
      <c r="D671" s="3" t="s">
        <v>297</v>
      </c>
      <c r="E671" s="3">
        <v>646.67999999999995</v>
      </c>
      <c r="F671" s="3" t="s">
        <v>2995</v>
      </c>
      <c r="G671" s="3" t="s">
        <v>337</v>
      </c>
      <c r="H671" s="3" t="s">
        <v>346</v>
      </c>
    </row>
    <row r="672" spans="1:8" x14ac:dyDescent="0.25">
      <c r="A672" s="3" t="s">
        <v>1003</v>
      </c>
      <c r="B672" s="3" t="s">
        <v>3783</v>
      </c>
      <c r="C672" s="3" t="s">
        <v>269</v>
      </c>
      <c r="D672" s="3" t="s">
        <v>315</v>
      </c>
      <c r="E672" s="3">
        <v>247.19</v>
      </c>
      <c r="F672" s="3" t="s">
        <v>324</v>
      </c>
      <c r="G672" s="3" t="s">
        <v>329</v>
      </c>
      <c r="H672" s="3"/>
    </row>
    <row r="673" spans="1:8" x14ac:dyDescent="0.25">
      <c r="A673" s="3" t="s">
        <v>1004</v>
      </c>
      <c r="B673" s="3" t="s">
        <v>3388</v>
      </c>
      <c r="C673" s="3" t="s">
        <v>58</v>
      </c>
      <c r="D673" s="3" t="s">
        <v>294</v>
      </c>
      <c r="E673" s="3">
        <v>86.22</v>
      </c>
      <c r="F673" s="3" t="s">
        <v>324</v>
      </c>
      <c r="G673" s="3" t="s">
        <v>327</v>
      </c>
      <c r="H673" s="3" t="s">
        <v>346</v>
      </c>
    </row>
    <row r="674" spans="1:8" x14ac:dyDescent="0.25">
      <c r="A674" s="3" t="s">
        <v>1005</v>
      </c>
      <c r="B674" s="3" t="s">
        <v>3784</v>
      </c>
      <c r="C674" s="3" t="s">
        <v>109</v>
      </c>
      <c r="D674" s="3" t="s">
        <v>312</v>
      </c>
      <c r="E674" s="3">
        <v>-793</v>
      </c>
      <c r="F674" s="3" t="s">
        <v>349</v>
      </c>
      <c r="G674" s="3" t="s">
        <v>325</v>
      </c>
      <c r="H674" s="3"/>
    </row>
    <row r="675" spans="1:8" x14ac:dyDescent="0.25">
      <c r="A675" s="3" t="s">
        <v>1006</v>
      </c>
      <c r="B675" s="3" t="s">
        <v>3785</v>
      </c>
      <c r="C675" s="3" t="s">
        <v>213</v>
      </c>
      <c r="D675" s="3" t="s">
        <v>294</v>
      </c>
      <c r="E675" s="3" t="s">
        <v>3786</v>
      </c>
      <c r="F675" s="3" t="s">
        <v>2973</v>
      </c>
      <c r="G675" s="3" t="s">
        <v>337</v>
      </c>
      <c r="H675" s="3"/>
    </row>
    <row r="676" spans="1:8" x14ac:dyDescent="0.25">
      <c r="A676" s="3" t="s">
        <v>1007</v>
      </c>
      <c r="B676" s="3" t="s">
        <v>3750</v>
      </c>
      <c r="C676" s="3" t="s">
        <v>265</v>
      </c>
      <c r="D676" s="3" t="s">
        <v>309</v>
      </c>
      <c r="E676" s="3">
        <v>992.83</v>
      </c>
      <c r="F676" s="3" t="s">
        <v>324</v>
      </c>
      <c r="G676" s="3" t="s">
        <v>329</v>
      </c>
      <c r="H676" s="3" t="s">
        <v>332</v>
      </c>
    </row>
    <row r="677" spans="1:8" x14ac:dyDescent="0.25">
      <c r="A677" s="3" t="s">
        <v>1008</v>
      </c>
      <c r="B677" s="3" t="s">
        <v>3787</v>
      </c>
      <c r="C677" s="3" t="s">
        <v>193</v>
      </c>
      <c r="D677" s="3" t="s">
        <v>294</v>
      </c>
      <c r="E677" s="3" t="s">
        <v>3788</v>
      </c>
      <c r="F677" s="3" t="s">
        <v>324</v>
      </c>
      <c r="G677" s="3" t="s">
        <v>329</v>
      </c>
      <c r="H677" s="3"/>
    </row>
    <row r="678" spans="1:8" x14ac:dyDescent="0.25">
      <c r="A678" s="3" t="s">
        <v>1009</v>
      </c>
      <c r="B678" s="3" t="s">
        <v>3789</v>
      </c>
      <c r="C678" s="3" t="s">
        <v>243</v>
      </c>
      <c r="D678" s="3" t="s">
        <v>300</v>
      </c>
      <c r="E678" s="3" t="s">
        <v>3790</v>
      </c>
      <c r="F678" s="3" t="s">
        <v>324</v>
      </c>
      <c r="G678" s="3" t="s">
        <v>337</v>
      </c>
      <c r="H678" s="3"/>
    </row>
    <row r="679" spans="1:8" x14ac:dyDescent="0.25">
      <c r="A679" s="3" t="s">
        <v>1010</v>
      </c>
      <c r="B679" s="3" t="s">
        <v>3693</v>
      </c>
      <c r="C679" s="3" t="s">
        <v>51</v>
      </c>
      <c r="D679" s="3" t="s">
        <v>294</v>
      </c>
      <c r="E679" s="3" t="s">
        <v>3791</v>
      </c>
      <c r="F679" s="3" t="s">
        <v>324</v>
      </c>
      <c r="G679" s="3" t="s">
        <v>325</v>
      </c>
      <c r="H679" s="3"/>
    </row>
    <row r="680" spans="1:8" x14ac:dyDescent="0.25">
      <c r="A680" s="3" t="s">
        <v>1011</v>
      </c>
      <c r="B680" s="3" t="s">
        <v>3792</v>
      </c>
      <c r="C680" s="3" t="s">
        <v>207</v>
      </c>
      <c r="D680" s="3" t="s">
        <v>306</v>
      </c>
      <c r="E680" s="3" t="s">
        <v>3793</v>
      </c>
      <c r="F680" s="3" t="s">
        <v>2995</v>
      </c>
      <c r="G680" s="3"/>
      <c r="H680" s="3"/>
    </row>
    <row r="681" spans="1:8" x14ac:dyDescent="0.25">
      <c r="A681" s="3" t="s">
        <v>1012</v>
      </c>
      <c r="B681" s="3" t="s">
        <v>3794</v>
      </c>
      <c r="C681" s="3" t="s">
        <v>133</v>
      </c>
      <c r="D681" s="3" t="s">
        <v>294</v>
      </c>
      <c r="E681" s="3" t="s">
        <v>3795</v>
      </c>
      <c r="F681" s="3" t="s">
        <v>324</v>
      </c>
      <c r="G681" s="3" t="s">
        <v>327</v>
      </c>
      <c r="H681" s="3" t="s">
        <v>346</v>
      </c>
    </row>
    <row r="682" spans="1:8" x14ac:dyDescent="0.25">
      <c r="A682" s="3" t="s">
        <v>1013</v>
      </c>
      <c r="B682" s="3" t="s">
        <v>3161</v>
      </c>
      <c r="C682" s="3" t="s">
        <v>181</v>
      </c>
      <c r="D682" s="3" t="s">
        <v>294</v>
      </c>
      <c r="E682" s="3">
        <v>1451.03</v>
      </c>
      <c r="F682" s="3" t="s">
        <v>2988</v>
      </c>
      <c r="G682" s="3" t="s">
        <v>325</v>
      </c>
      <c r="H682" s="3" t="s">
        <v>334</v>
      </c>
    </row>
    <row r="683" spans="1:8" x14ac:dyDescent="0.25">
      <c r="A683" s="3" t="s">
        <v>1014</v>
      </c>
      <c r="B683" s="3" t="s">
        <v>3796</v>
      </c>
      <c r="C683" s="3" t="s">
        <v>245</v>
      </c>
      <c r="D683" s="3" t="s">
        <v>297</v>
      </c>
      <c r="E683" s="3" t="s">
        <v>3797</v>
      </c>
      <c r="F683" s="3" t="s">
        <v>324</v>
      </c>
      <c r="G683" s="3" t="s">
        <v>325</v>
      </c>
      <c r="H683" s="3"/>
    </row>
    <row r="684" spans="1:8" x14ac:dyDescent="0.25">
      <c r="A684" s="3" t="s">
        <v>1015</v>
      </c>
      <c r="B684" s="3" t="s">
        <v>3798</v>
      </c>
      <c r="C684" s="3" t="s">
        <v>33</v>
      </c>
      <c r="D684" s="3" t="s">
        <v>297</v>
      </c>
      <c r="E684" s="3" t="s">
        <v>3799</v>
      </c>
      <c r="F684" s="3" t="s">
        <v>2973</v>
      </c>
      <c r="G684" s="3" t="s">
        <v>337</v>
      </c>
      <c r="H684" s="3"/>
    </row>
    <row r="685" spans="1:8" x14ac:dyDescent="0.25">
      <c r="A685" s="3" t="s">
        <v>1016</v>
      </c>
      <c r="B685" s="3" t="s">
        <v>3238</v>
      </c>
      <c r="C685" s="3" t="s">
        <v>231</v>
      </c>
      <c r="D685" s="3" t="s">
        <v>300</v>
      </c>
      <c r="E685" s="3" t="s">
        <v>3800</v>
      </c>
      <c r="F685" s="3" t="s">
        <v>324</v>
      </c>
      <c r="G685" s="3" t="s">
        <v>327</v>
      </c>
      <c r="H685" s="3"/>
    </row>
    <row r="686" spans="1:8" x14ac:dyDescent="0.25">
      <c r="A686" s="3" t="s">
        <v>1017</v>
      </c>
      <c r="B686" s="3" t="s">
        <v>3801</v>
      </c>
      <c r="C686" s="3" t="s">
        <v>199</v>
      </c>
      <c r="D686" s="3" t="s">
        <v>303</v>
      </c>
      <c r="E686" s="3" t="s">
        <v>3802</v>
      </c>
      <c r="F686" s="3" t="s">
        <v>2973</v>
      </c>
      <c r="G686" s="3" t="s">
        <v>327</v>
      </c>
      <c r="H686" s="3" t="s">
        <v>334</v>
      </c>
    </row>
    <row r="687" spans="1:8" x14ac:dyDescent="0.25">
      <c r="A687" s="3" t="s">
        <v>1018</v>
      </c>
      <c r="B687" s="3" t="s">
        <v>3122</v>
      </c>
      <c r="C687" s="3" t="s">
        <v>135</v>
      </c>
      <c r="D687" s="3" t="s">
        <v>297</v>
      </c>
      <c r="E687" s="3">
        <v>377.7</v>
      </c>
      <c r="F687" s="3" t="s">
        <v>324</v>
      </c>
      <c r="G687" s="3" t="s">
        <v>325</v>
      </c>
      <c r="H687" s="3"/>
    </row>
    <row r="688" spans="1:8" x14ac:dyDescent="0.25">
      <c r="A688" s="3" t="s">
        <v>1019</v>
      </c>
      <c r="B688" s="3" t="s">
        <v>3803</v>
      </c>
      <c r="C688" s="3" t="s">
        <v>267</v>
      </c>
      <c r="D688" s="3" t="s">
        <v>294</v>
      </c>
      <c r="E688" s="3">
        <v>295.14</v>
      </c>
      <c r="F688" s="3" t="s">
        <v>2973</v>
      </c>
      <c r="G688" s="3" t="s">
        <v>327</v>
      </c>
      <c r="H688" s="3"/>
    </row>
    <row r="689" spans="1:8" x14ac:dyDescent="0.25">
      <c r="A689" s="3" t="s">
        <v>1020</v>
      </c>
      <c r="B689" s="3" t="s">
        <v>3804</v>
      </c>
      <c r="C689" s="3" t="s">
        <v>94</v>
      </c>
      <c r="D689" s="3" t="s">
        <v>294</v>
      </c>
      <c r="E689" s="3" t="s">
        <v>3805</v>
      </c>
      <c r="F689" s="3" t="s">
        <v>2973</v>
      </c>
      <c r="G689" s="3" t="s">
        <v>325</v>
      </c>
      <c r="H689" s="3" t="s">
        <v>332</v>
      </c>
    </row>
    <row r="690" spans="1:8" x14ac:dyDescent="0.25">
      <c r="A690" s="3" t="s">
        <v>1021</v>
      </c>
      <c r="B690" s="3" t="s">
        <v>3806</v>
      </c>
      <c r="C690" s="3" t="s">
        <v>157</v>
      </c>
      <c r="D690" s="3" t="s">
        <v>294</v>
      </c>
      <c r="E690" s="3">
        <v>193.1</v>
      </c>
      <c r="F690" s="3" t="s">
        <v>324</v>
      </c>
      <c r="G690" s="3" t="s">
        <v>325</v>
      </c>
      <c r="H690" s="3" t="s">
        <v>334</v>
      </c>
    </row>
    <row r="691" spans="1:8" x14ac:dyDescent="0.25">
      <c r="A691" s="3" t="s">
        <v>1022</v>
      </c>
      <c r="B691" s="3" t="s">
        <v>2993</v>
      </c>
      <c r="C691" s="3" t="s">
        <v>38</v>
      </c>
      <c r="D691" s="3" t="s">
        <v>303</v>
      </c>
      <c r="E691" s="3" t="s">
        <v>3807</v>
      </c>
      <c r="F691" s="3" t="s">
        <v>324</v>
      </c>
      <c r="G691" s="3"/>
      <c r="H691" s="3" t="s">
        <v>334</v>
      </c>
    </row>
    <row r="692" spans="1:8" x14ac:dyDescent="0.25">
      <c r="A692" s="3" t="s">
        <v>1023</v>
      </c>
      <c r="B692" s="3" t="s">
        <v>3808</v>
      </c>
      <c r="C692" s="3" t="s">
        <v>40</v>
      </c>
      <c r="D692" s="3" t="s">
        <v>300</v>
      </c>
      <c r="E692" s="3" t="s">
        <v>3809</v>
      </c>
      <c r="F692" s="3" t="s">
        <v>2976</v>
      </c>
      <c r="G692" s="3" t="s">
        <v>327</v>
      </c>
      <c r="H692" s="3"/>
    </row>
    <row r="693" spans="1:8" x14ac:dyDescent="0.25">
      <c r="A693" s="3" t="s">
        <v>1024</v>
      </c>
      <c r="B693" s="3" t="s">
        <v>3810</v>
      </c>
      <c r="C693" s="3" t="s">
        <v>151</v>
      </c>
      <c r="D693" s="3" t="s">
        <v>300</v>
      </c>
      <c r="E693" s="3">
        <v>490.22</v>
      </c>
      <c r="F693" s="3" t="s">
        <v>324</v>
      </c>
      <c r="G693" s="3" t="s">
        <v>337</v>
      </c>
      <c r="H693" s="3"/>
    </row>
    <row r="694" spans="1:8" x14ac:dyDescent="0.25">
      <c r="A694" s="3" t="s">
        <v>1025</v>
      </c>
      <c r="B694" s="3" t="s">
        <v>3148</v>
      </c>
      <c r="C694" s="3" t="s">
        <v>265</v>
      </c>
      <c r="D694" s="3" t="s">
        <v>306</v>
      </c>
      <c r="E694" s="3">
        <v>-187.66</v>
      </c>
      <c r="F694" s="3" t="s">
        <v>349</v>
      </c>
      <c r="G694" s="3" t="s">
        <v>337</v>
      </c>
      <c r="H694" s="3"/>
    </row>
    <row r="695" spans="1:8" x14ac:dyDescent="0.25">
      <c r="A695" s="3" t="s">
        <v>1026</v>
      </c>
      <c r="B695" s="3" t="s">
        <v>3811</v>
      </c>
      <c r="C695" s="3" t="s">
        <v>143</v>
      </c>
      <c r="D695" s="3" t="s">
        <v>294</v>
      </c>
      <c r="E695" s="3">
        <v>157.94</v>
      </c>
      <c r="F695" s="3" t="s">
        <v>3037</v>
      </c>
      <c r="G695" s="3" t="s">
        <v>325</v>
      </c>
      <c r="H695" s="3"/>
    </row>
    <row r="696" spans="1:8" x14ac:dyDescent="0.25">
      <c r="A696" s="3" t="s">
        <v>1027</v>
      </c>
      <c r="B696" s="3" t="s">
        <v>3812</v>
      </c>
      <c r="C696" s="3" t="s">
        <v>205</v>
      </c>
      <c r="D696" s="3" t="s">
        <v>294</v>
      </c>
      <c r="E696" s="3">
        <v>207.23</v>
      </c>
      <c r="F696" s="3" t="s">
        <v>2976</v>
      </c>
      <c r="G696" s="3" t="s">
        <v>327</v>
      </c>
      <c r="H696" s="3" t="s">
        <v>334</v>
      </c>
    </row>
    <row r="697" spans="1:8" x14ac:dyDescent="0.25">
      <c r="A697" s="3" t="s">
        <v>1028</v>
      </c>
      <c r="B697" s="3" t="s">
        <v>3702</v>
      </c>
      <c r="C697" s="3" t="s">
        <v>80</v>
      </c>
      <c r="D697" s="3" t="s">
        <v>297</v>
      </c>
      <c r="E697" s="3">
        <v>536.63</v>
      </c>
      <c r="F697" s="3" t="s">
        <v>324</v>
      </c>
      <c r="G697" s="3" t="s">
        <v>327</v>
      </c>
      <c r="H697" s="3"/>
    </row>
    <row r="698" spans="1:8" x14ac:dyDescent="0.25">
      <c r="A698" s="3" t="s">
        <v>1029</v>
      </c>
      <c r="B698" s="3" t="s">
        <v>3813</v>
      </c>
      <c r="C698" s="3" t="s">
        <v>173</v>
      </c>
      <c r="D698" s="3" t="s">
        <v>312</v>
      </c>
      <c r="E698" s="3">
        <v>708.81</v>
      </c>
      <c r="F698" s="3" t="s">
        <v>324</v>
      </c>
      <c r="G698" s="3" t="s">
        <v>327</v>
      </c>
      <c r="H698" s="3"/>
    </row>
    <row r="699" spans="1:8" x14ac:dyDescent="0.25">
      <c r="A699" s="3" t="s">
        <v>1030</v>
      </c>
      <c r="B699" s="3" t="s">
        <v>3732</v>
      </c>
      <c r="C699" s="3" t="s">
        <v>47</v>
      </c>
      <c r="D699" s="3" t="s">
        <v>294</v>
      </c>
      <c r="E699" s="3">
        <v>442.85</v>
      </c>
      <c r="F699" s="3" t="s">
        <v>324</v>
      </c>
      <c r="G699" s="3" t="s">
        <v>329</v>
      </c>
      <c r="H699" s="3" t="s">
        <v>332</v>
      </c>
    </row>
    <row r="700" spans="1:8" x14ac:dyDescent="0.25">
      <c r="A700" s="3" t="s">
        <v>1031</v>
      </c>
      <c r="B700" s="3" t="s">
        <v>3814</v>
      </c>
      <c r="C700" s="3" t="s">
        <v>53</v>
      </c>
      <c r="D700" s="3" t="s">
        <v>297</v>
      </c>
      <c r="E700" s="3" t="s">
        <v>3815</v>
      </c>
      <c r="F700" s="3" t="s">
        <v>3017</v>
      </c>
      <c r="G700" s="3" t="s">
        <v>327</v>
      </c>
      <c r="H700" s="3"/>
    </row>
    <row r="701" spans="1:8" x14ac:dyDescent="0.25">
      <c r="A701" s="3" t="s">
        <v>1032</v>
      </c>
      <c r="B701" s="3" t="s">
        <v>3816</v>
      </c>
      <c r="C701" s="3" t="s">
        <v>115</v>
      </c>
      <c r="D701" s="3" t="s">
        <v>294</v>
      </c>
      <c r="E701" s="3">
        <v>439.29</v>
      </c>
      <c r="F701" s="3" t="s">
        <v>324</v>
      </c>
      <c r="G701" s="3" t="s">
        <v>337</v>
      </c>
      <c r="H701" s="3" t="s">
        <v>332</v>
      </c>
    </row>
    <row r="702" spans="1:8" x14ac:dyDescent="0.25">
      <c r="A702" s="3" t="s">
        <v>1033</v>
      </c>
      <c r="B702" s="3" t="s">
        <v>3817</v>
      </c>
      <c r="C702" s="3" t="s">
        <v>175</v>
      </c>
      <c r="D702" s="3" t="s">
        <v>309</v>
      </c>
      <c r="E702" s="3" t="s">
        <v>3818</v>
      </c>
      <c r="F702" s="3" t="s">
        <v>2988</v>
      </c>
      <c r="G702" s="3" t="s">
        <v>325</v>
      </c>
      <c r="H702" s="3" t="s">
        <v>334</v>
      </c>
    </row>
    <row r="703" spans="1:8" x14ac:dyDescent="0.25">
      <c r="A703" s="3" t="s">
        <v>1034</v>
      </c>
      <c r="B703" s="3" t="s">
        <v>3819</v>
      </c>
      <c r="C703" s="3" t="s">
        <v>183</v>
      </c>
      <c r="D703" s="3" t="s">
        <v>294</v>
      </c>
      <c r="E703" s="3" t="s">
        <v>3820</v>
      </c>
      <c r="F703" s="3" t="s">
        <v>324</v>
      </c>
      <c r="G703" s="3" t="s">
        <v>327</v>
      </c>
      <c r="H703" s="3"/>
    </row>
    <row r="704" spans="1:8" x14ac:dyDescent="0.25">
      <c r="A704" s="3" t="s">
        <v>1035</v>
      </c>
      <c r="B704" s="3" t="s">
        <v>3821</v>
      </c>
      <c r="C704" s="3" t="s">
        <v>26</v>
      </c>
      <c r="D704" s="3" t="s">
        <v>297</v>
      </c>
      <c r="E704" s="3">
        <v>844.04</v>
      </c>
      <c r="F704" s="3" t="s">
        <v>2973</v>
      </c>
      <c r="G704" s="3" t="s">
        <v>325</v>
      </c>
      <c r="H704" s="3" t="s">
        <v>334</v>
      </c>
    </row>
    <row r="705" spans="1:8" x14ac:dyDescent="0.25">
      <c r="A705" s="3" t="s">
        <v>1036</v>
      </c>
      <c r="B705" s="3" t="s">
        <v>3822</v>
      </c>
      <c r="C705" s="3" t="s">
        <v>133</v>
      </c>
      <c r="D705" s="3" t="s">
        <v>306</v>
      </c>
      <c r="E705" s="3" t="s">
        <v>3823</v>
      </c>
      <c r="F705" s="3" t="s">
        <v>324</v>
      </c>
      <c r="G705" s="3"/>
      <c r="H705" s="3" t="s">
        <v>346</v>
      </c>
    </row>
    <row r="706" spans="1:8" x14ac:dyDescent="0.25">
      <c r="A706" s="3" t="s">
        <v>1037</v>
      </c>
      <c r="B706" s="3" t="s">
        <v>3824</v>
      </c>
      <c r="C706" s="3" t="s">
        <v>111</v>
      </c>
      <c r="D706" s="3" t="s">
        <v>294</v>
      </c>
      <c r="E706" s="3">
        <v>187.33</v>
      </c>
      <c r="F706" s="3" t="s">
        <v>324</v>
      </c>
      <c r="G706" s="3" t="s">
        <v>327</v>
      </c>
      <c r="H706" s="3" t="s">
        <v>332</v>
      </c>
    </row>
    <row r="707" spans="1:8" x14ac:dyDescent="0.25">
      <c r="A707" s="3" t="s">
        <v>1038</v>
      </c>
      <c r="B707" s="3" t="s">
        <v>3392</v>
      </c>
      <c r="C707" s="3" t="s">
        <v>66</v>
      </c>
      <c r="D707" s="3" t="s">
        <v>297</v>
      </c>
      <c r="E707" s="3">
        <v>762.52</v>
      </c>
      <c r="F707" s="3" t="s">
        <v>2976</v>
      </c>
      <c r="G707" s="3" t="s">
        <v>329</v>
      </c>
      <c r="H707" s="3"/>
    </row>
    <row r="708" spans="1:8" x14ac:dyDescent="0.25">
      <c r="A708" s="3" t="s">
        <v>1039</v>
      </c>
      <c r="B708" s="3" t="s">
        <v>3825</v>
      </c>
      <c r="C708" s="3" t="s">
        <v>265</v>
      </c>
      <c r="D708" s="3" t="s">
        <v>315</v>
      </c>
      <c r="E708" s="3">
        <v>362.63</v>
      </c>
      <c r="F708" s="3" t="s">
        <v>3112</v>
      </c>
      <c r="G708" s="3" t="s">
        <v>325</v>
      </c>
      <c r="H708" s="3"/>
    </row>
    <row r="709" spans="1:8" x14ac:dyDescent="0.25">
      <c r="A709" s="3" t="s">
        <v>1040</v>
      </c>
      <c r="B709" s="3" t="s">
        <v>3298</v>
      </c>
      <c r="C709" s="3" t="s">
        <v>109</v>
      </c>
      <c r="D709" s="3" t="s">
        <v>294</v>
      </c>
      <c r="E709" s="3" t="s">
        <v>3826</v>
      </c>
      <c r="F709" s="3" t="s">
        <v>349</v>
      </c>
      <c r="G709" s="3" t="s">
        <v>325</v>
      </c>
      <c r="H709" s="3" t="s">
        <v>332</v>
      </c>
    </row>
    <row r="710" spans="1:8" x14ac:dyDescent="0.25">
      <c r="A710" s="3" t="s">
        <v>1041</v>
      </c>
      <c r="B710" s="3" t="s">
        <v>3827</v>
      </c>
      <c r="C710" s="3" t="s">
        <v>60</v>
      </c>
      <c r="D710" s="3" t="s">
        <v>312</v>
      </c>
      <c r="E710" s="3">
        <v>-123.46</v>
      </c>
      <c r="F710" s="3" t="s">
        <v>3017</v>
      </c>
      <c r="G710" s="3" t="s">
        <v>325</v>
      </c>
      <c r="H710" s="3" t="s">
        <v>334</v>
      </c>
    </row>
    <row r="711" spans="1:8" x14ac:dyDescent="0.25">
      <c r="A711" s="3" t="s">
        <v>1042</v>
      </c>
      <c r="B711" s="3" t="s">
        <v>3828</v>
      </c>
      <c r="C711" s="3" t="s">
        <v>191</v>
      </c>
      <c r="D711" s="3" t="s">
        <v>309</v>
      </c>
      <c r="E711" s="3">
        <v>360.38</v>
      </c>
      <c r="F711" s="3" t="s">
        <v>2973</v>
      </c>
      <c r="G711" s="3" t="s">
        <v>327</v>
      </c>
      <c r="H711" s="3" t="s">
        <v>334</v>
      </c>
    </row>
    <row r="712" spans="1:8" x14ac:dyDescent="0.25">
      <c r="A712" s="3" t="s">
        <v>1043</v>
      </c>
      <c r="B712" s="3" t="s">
        <v>3829</v>
      </c>
      <c r="C712" s="3" t="s">
        <v>86</v>
      </c>
      <c r="D712" s="3" t="s">
        <v>294</v>
      </c>
      <c r="E712" s="3" t="s">
        <v>3830</v>
      </c>
      <c r="F712" s="3" t="s">
        <v>324</v>
      </c>
      <c r="G712" s="3" t="s">
        <v>325</v>
      </c>
      <c r="H712" s="3"/>
    </row>
    <row r="713" spans="1:8" x14ac:dyDescent="0.25">
      <c r="A713" s="3" t="s">
        <v>1044</v>
      </c>
      <c r="B713" s="3" t="s">
        <v>3831</v>
      </c>
      <c r="C713" s="3" t="s">
        <v>86</v>
      </c>
      <c r="D713" s="3" t="s">
        <v>300</v>
      </c>
      <c r="E713" s="3">
        <v>594.38</v>
      </c>
      <c r="F713" s="3" t="s">
        <v>324</v>
      </c>
      <c r="G713" s="3" t="s">
        <v>337</v>
      </c>
      <c r="H713" s="3" t="s">
        <v>346</v>
      </c>
    </row>
    <row r="714" spans="1:8" x14ac:dyDescent="0.25">
      <c r="A714" s="3" t="s">
        <v>1045</v>
      </c>
      <c r="B714" s="3" t="s">
        <v>3832</v>
      </c>
      <c r="C714" s="3" t="s">
        <v>209</v>
      </c>
      <c r="D714" s="3" t="s">
        <v>294</v>
      </c>
      <c r="E714" s="3">
        <v>253.66</v>
      </c>
      <c r="F714" s="3" t="s">
        <v>324</v>
      </c>
      <c r="G714" s="3"/>
      <c r="H714" s="3" t="s">
        <v>346</v>
      </c>
    </row>
    <row r="715" spans="1:8" x14ac:dyDescent="0.25">
      <c r="A715" s="3" t="s">
        <v>1046</v>
      </c>
      <c r="B715" s="3" t="s">
        <v>3833</v>
      </c>
      <c r="C715" s="3" t="s">
        <v>1047</v>
      </c>
      <c r="D715" s="3" t="s">
        <v>297</v>
      </c>
      <c r="E715" s="3">
        <v>118.73</v>
      </c>
      <c r="F715" s="3" t="s">
        <v>2988</v>
      </c>
      <c r="G715" s="3" t="s">
        <v>325</v>
      </c>
      <c r="H715" s="3"/>
    </row>
    <row r="716" spans="1:8" x14ac:dyDescent="0.25">
      <c r="A716" s="3" t="s">
        <v>1048</v>
      </c>
      <c r="B716" s="3" t="s">
        <v>3422</v>
      </c>
      <c r="C716" s="3" t="s">
        <v>219</v>
      </c>
      <c r="D716" s="3" t="s">
        <v>294</v>
      </c>
      <c r="E716" s="3" t="s">
        <v>3834</v>
      </c>
      <c r="F716" s="3" t="s">
        <v>324</v>
      </c>
      <c r="G716" s="3" t="s">
        <v>337</v>
      </c>
      <c r="H716" s="3" t="s">
        <v>346</v>
      </c>
    </row>
    <row r="717" spans="1:8" x14ac:dyDescent="0.25">
      <c r="A717" s="3" t="s">
        <v>1049</v>
      </c>
      <c r="B717" s="3" t="s">
        <v>3491</v>
      </c>
      <c r="C717" s="3" t="s">
        <v>229</v>
      </c>
      <c r="D717" s="3" t="s">
        <v>300</v>
      </c>
      <c r="E717" s="3" t="s">
        <v>3835</v>
      </c>
      <c r="F717" s="3" t="s">
        <v>381</v>
      </c>
      <c r="G717" s="3" t="s">
        <v>325</v>
      </c>
      <c r="H717" s="3" t="s">
        <v>332</v>
      </c>
    </row>
    <row r="718" spans="1:8" x14ac:dyDescent="0.25">
      <c r="A718" s="3" t="s">
        <v>1050</v>
      </c>
      <c r="B718" s="3" t="s">
        <v>3020</v>
      </c>
      <c r="C718" s="3" t="s">
        <v>161</v>
      </c>
      <c r="D718" s="3" t="s">
        <v>294</v>
      </c>
      <c r="E718" s="3" t="s">
        <v>3836</v>
      </c>
      <c r="F718" s="3" t="s">
        <v>324</v>
      </c>
      <c r="G718" s="3" t="s">
        <v>327</v>
      </c>
      <c r="H718" s="3"/>
    </row>
    <row r="719" spans="1:8" x14ac:dyDescent="0.25">
      <c r="A719" s="3" t="s">
        <v>1051</v>
      </c>
      <c r="B719" s="3" t="s">
        <v>3672</v>
      </c>
      <c r="C719" s="3" t="s">
        <v>111</v>
      </c>
      <c r="D719" s="3" t="s">
        <v>312</v>
      </c>
      <c r="E719" s="3" t="s">
        <v>3837</v>
      </c>
      <c r="F719" s="3" t="s">
        <v>324</v>
      </c>
      <c r="G719" s="3" t="s">
        <v>337</v>
      </c>
      <c r="H719" s="3"/>
    </row>
    <row r="720" spans="1:8" x14ac:dyDescent="0.25">
      <c r="A720" s="3" t="s">
        <v>1052</v>
      </c>
      <c r="B720" s="3" t="s">
        <v>3838</v>
      </c>
      <c r="C720" s="3" t="s">
        <v>225</v>
      </c>
      <c r="D720" s="3" t="s">
        <v>294</v>
      </c>
      <c r="E720" s="3">
        <v>603.04</v>
      </c>
      <c r="F720" s="3" t="s">
        <v>2973</v>
      </c>
      <c r="G720" s="3" t="s">
        <v>325</v>
      </c>
      <c r="H720" s="3"/>
    </row>
    <row r="721" spans="1:8" x14ac:dyDescent="0.25">
      <c r="A721" s="3" t="s">
        <v>1053</v>
      </c>
      <c r="B721" s="3" t="s">
        <v>3385</v>
      </c>
      <c r="C721" s="3" t="s">
        <v>82</v>
      </c>
      <c r="D721" s="3" t="s">
        <v>306</v>
      </c>
      <c r="E721" s="3" t="s">
        <v>3839</v>
      </c>
      <c r="F721" s="3" t="s">
        <v>2973</v>
      </c>
      <c r="G721" s="3" t="s">
        <v>327</v>
      </c>
      <c r="H721" s="3" t="s">
        <v>334</v>
      </c>
    </row>
    <row r="722" spans="1:8" x14ac:dyDescent="0.25">
      <c r="A722" s="3" t="s">
        <v>1054</v>
      </c>
      <c r="B722" s="3" t="s">
        <v>3469</v>
      </c>
      <c r="C722" s="3" t="s">
        <v>26</v>
      </c>
      <c r="D722" s="3" t="s">
        <v>306</v>
      </c>
      <c r="E722" s="3">
        <v>695.16</v>
      </c>
      <c r="F722" s="3" t="s">
        <v>2976</v>
      </c>
      <c r="G722" s="3" t="s">
        <v>325</v>
      </c>
      <c r="H722" s="3" t="s">
        <v>334</v>
      </c>
    </row>
    <row r="723" spans="1:8" x14ac:dyDescent="0.25">
      <c r="A723" s="3" t="s">
        <v>1055</v>
      </c>
      <c r="B723" s="3" t="s">
        <v>3819</v>
      </c>
      <c r="C723" s="3" t="s">
        <v>243</v>
      </c>
      <c r="D723" s="3" t="s">
        <v>300</v>
      </c>
      <c r="E723" s="3">
        <v>370.22</v>
      </c>
      <c r="F723" s="3" t="s">
        <v>324</v>
      </c>
      <c r="G723" s="3" t="s">
        <v>325</v>
      </c>
      <c r="H723" s="3" t="s">
        <v>332</v>
      </c>
    </row>
    <row r="724" spans="1:8" x14ac:dyDescent="0.25">
      <c r="A724" s="3" t="s">
        <v>1056</v>
      </c>
      <c r="B724" s="3" t="s">
        <v>3840</v>
      </c>
      <c r="C724" s="3" t="s">
        <v>249</v>
      </c>
      <c r="D724" s="3" t="s">
        <v>312</v>
      </c>
      <c r="E724" s="3">
        <v>721.85</v>
      </c>
      <c r="F724" s="3" t="s">
        <v>3037</v>
      </c>
      <c r="G724" s="3" t="s">
        <v>327</v>
      </c>
      <c r="H724" s="3" t="s">
        <v>346</v>
      </c>
    </row>
    <row r="725" spans="1:8" x14ac:dyDescent="0.25">
      <c r="A725" s="3" t="s">
        <v>1057</v>
      </c>
      <c r="B725" s="3" t="s">
        <v>3841</v>
      </c>
      <c r="C725" s="3" t="s">
        <v>66</v>
      </c>
      <c r="D725" s="3" t="s">
        <v>294</v>
      </c>
      <c r="E725" s="3">
        <v>403.64</v>
      </c>
      <c r="F725" s="3" t="s">
        <v>324</v>
      </c>
      <c r="G725" s="3" t="s">
        <v>337</v>
      </c>
      <c r="H725" s="3" t="s">
        <v>332</v>
      </c>
    </row>
    <row r="726" spans="1:8" x14ac:dyDescent="0.25">
      <c r="A726" s="3" t="s">
        <v>1058</v>
      </c>
      <c r="B726" s="3" t="s">
        <v>3132</v>
      </c>
      <c r="C726" s="3" t="s">
        <v>103</v>
      </c>
      <c r="D726" s="3" t="s">
        <v>297</v>
      </c>
      <c r="E726" s="3" t="s">
        <v>3842</v>
      </c>
      <c r="F726" s="3" t="s">
        <v>324</v>
      </c>
      <c r="G726" s="3" t="s">
        <v>329</v>
      </c>
      <c r="H726" s="3"/>
    </row>
    <row r="727" spans="1:8" x14ac:dyDescent="0.25">
      <c r="A727" s="3" t="s">
        <v>1059</v>
      </c>
      <c r="B727" s="3" t="s">
        <v>3843</v>
      </c>
      <c r="C727" s="3" t="s">
        <v>70</v>
      </c>
      <c r="D727" s="3" t="s">
        <v>300</v>
      </c>
      <c r="E727" s="3" t="s">
        <v>3844</v>
      </c>
      <c r="F727" s="3" t="s">
        <v>324</v>
      </c>
      <c r="G727" s="3" t="s">
        <v>329</v>
      </c>
      <c r="H727" s="3" t="s">
        <v>346</v>
      </c>
    </row>
    <row r="728" spans="1:8" x14ac:dyDescent="0.25">
      <c r="A728" s="3" t="s">
        <v>1060</v>
      </c>
      <c r="B728" s="3" t="s">
        <v>3845</v>
      </c>
      <c r="C728" s="3" t="s">
        <v>92</v>
      </c>
      <c r="D728" s="3" t="s">
        <v>297</v>
      </c>
      <c r="E728" s="3" t="s">
        <v>3846</v>
      </c>
      <c r="F728" s="3" t="s">
        <v>324</v>
      </c>
      <c r="G728" s="3" t="s">
        <v>325</v>
      </c>
      <c r="H728" s="3"/>
    </row>
    <row r="729" spans="1:8" x14ac:dyDescent="0.25">
      <c r="A729" s="3" t="s">
        <v>1061</v>
      </c>
      <c r="B729" s="3" t="s">
        <v>3247</v>
      </c>
      <c r="C729" s="3" t="s">
        <v>74</v>
      </c>
      <c r="D729" s="3" t="s">
        <v>294</v>
      </c>
      <c r="E729" s="3">
        <v>439.54</v>
      </c>
      <c r="F729" s="3" t="s">
        <v>324</v>
      </c>
      <c r="G729" s="3" t="s">
        <v>337</v>
      </c>
      <c r="H729" s="3" t="s">
        <v>334</v>
      </c>
    </row>
    <row r="730" spans="1:8" x14ac:dyDescent="0.25">
      <c r="A730" s="3" t="s">
        <v>1062</v>
      </c>
      <c r="B730" s="3" t="s">
        <v>3165</v>
      </c>
      <c r="C730" s="3" t="s">
        <v>29</v>
      </c>
      <c r="D730" s="3" t="s">
        <v>294</v>
      </c>
      <c r="E730" s="3">
        <v>499.96</v>
      </c>
      <c r="F730" s="3" t="s">
        <v>2988</v>
      </c>
      <c r="G730" s="3" t="s">
        <v>337</v>
      </c>
      <c r="H730" s="3"/>
    </row>
    <row r="731" spans="1:8" x14ac:dyDescent="0.25">
      <c r="A731" s="3" t="s">
        <v>1063</v>
      </c>
      <c r="B731" s="3" t="s">
        <v>3847</v>
      </c>
      <c r="C731" s="3" t="s">
        <v>113</v>
      </c>
      <c r="D731" s="3" t="s">
        <v>300</v>
      </c>
      <c r="E731" s="3">
        <v>106.91</v>
      </c>
      <c r="F731" s="3" t="s">
        <v>381</v>
      </c>
      <c r="G731" s="3" t="s">
        <v>325</v>
      </c>
      <c r="H731" s="3" t="s">
        <v>332</v>
      </c>
    </row>
    <row r="732" spans="1:8" x14ac:dyDescent="0.25">
      <c r="A732" s="3" t="s">
        <v>1064</v>
      </c>
      <c r="B732" s="3" t="s">
        <v>3204</v>
      </c>
      <c r="C732" s="3" t="s">
        <v>147</v>
      </c>
      <c r="D732" s="3" t="s">
        <v>306</v>
      </c>
      <c r="E732" s="3" t="s">
        <v>3848</v>
      </c>
      <c r="F732" s="3" t="s">
        <v>2976</v>
      </c>
      <c r="G732" s="3" t="s">
        <v>327</v>
      </c>
      <c r="H732" s="3" t="s">
        <v>332</v>
      </c>
    </row>
    <row r="733" spans="1:8" x14ac:dyDescent="0.25">
      <c r="A733" s="3" t="s">
        <v>1065</v>
      </c>
      <c r="B733" s="3" t="s">
        <v>3318</v>
      </c>
      <c r="C733" s="3" t="s">
        <v>213</v>
      </c>
      <c r="D733" s="3" t="s">
        <v>297</v>
      </c>
      <c r="E733" s="3" t="s">
        <v>3849</v>
      </c>
      <c r="F733" s="3" t="s">
        <v>324</v>
      </c>
      <c r="G733" s="3" t="s">
        <v>325</v>
      </c>
      <c r="H733" s="3" t="s">
        <v>334</v>
      </c>
    </row>
    <row r="734" spans="1:8" x14ac:dyDescent="0.25">
      <c r="A734" s="3" t="s">
        <v>1066</v>
      </c>
      <c r="B734" s="3" t="s">
        <v>3700</v>
      </c>
      <c r="C734" s="3" t="s">
        <v>149</v>
      </c>
      <c r="D734" s="3" t="s">
        <v>300</v>
      </c>
      <c r="E734" s="3" t="s">
        <v>3850</v>
      </c>
      <c r="F734" s="3" t="s">
        <v>381</v>
      </c>
      <c r="G734" s="3" t="s">
        <v>327</v>
      </c>
      <c r="H734" s="3" t="s">
        <v>346</v>
      </c>
    </row>
    <row r="735" spans="1:8" x14ac:dyDescent="0.25">
      <c r="A735" s="3" t="s">
        <v>1067</v>
      </c>
      <c r="B735" s="3" t="s">
        <v>3459</v>
      </c>
      <c r="C735" s="3" t="s">
        <v>269</v>
      </c>
      <c r="D735" s="3" t="s">
        <v>306</v>
      </c>
      <c r="E735" s="3">
        <v>883.75</v>
      </c>
      <c r="F735" s="3" t="s">
        <v>324</v>
      </c>
      <c r="G735" s="3" t="s">
        <v>327</v>
      </c>
      <c r="H735" s="3"/>
    </row>
    <row r="736" spans="1:8" x14ac:dyDescent="0.25">
      <c r="A736" s="3" t="s">
        <v>1068</v>
      </c>
      <c r="B736" s="3" t="s">
        <v>3851</v>
      </c>
      <c r="C736" s="3" t="s">
        <v>251</v>
      </c>
      <c r="D736" s="3" t="s">
        <v>294</v>
      </c>
      <c r="E736" s="3">
        <v>1085.22</v>
      </c>
      <c r="F736" s="3" t="s">
        <v>2995</v>
      </c>
      <c r="G736" s="3" t="s">
        <v>329</v>
      </c>
      <c r="H736" s="3" t="s">
        <v>334</v>
      </c>
    </row>
    <row r="737" spans="1:8" x14ac:dyDescent="0.25">
      <c r="A737" s="3" t="s">
        <v>1069</v>
      </c>
      <c r="B737" s="3" t="s">
        <v>3852</v>
      </c>
      <c r="C737" s="3" t="s">
        <v>98</v>
      </c>
      <c r="D737" s="3" t="s">
        <v>312</v>
      </c>
      <c r="E737" s="3">
        <v>647.32000000000005</v>
      </c>
      <c r="F737" s="3" t="s">
        <v>2976</v>
      </c>
      <c r="G737" s="3" t="s">
        <v>327</v>
      </c>
      <c r="H737" s="3"/>
    </row>
    <row r="738" spans="1:8" x14ac:dyDescent="0.25">
      <c r="A738" s="3" t="s">
        <v>1070</v>
      </c>
      <c r="B738" s="3" t="s">
        <v>3817</v>
      </c>
      <c r="C738" s="3" t="s">
        <v>107</v>
      </c>
      <c r="D738" s="3" t="s">
        <v>294</v>
      </c>
      <c r="E738" s="3" t="s">
        <v>3853</v>
      </c>
      <c r="F738" s="3" t="s">
        <v>324</v>
      </c>
      <c r="G738" s="3" t="s">
        <v>337</v>
      </c>
      <c r="H738" s="3" t="s">
        <v>346</v>
      </c>
    </row>
    <row r="739" spans="1:8" x14ac:dyDescent="0.25">
      <c r="A739" s="3" t="s">
        <v>1071</v>
      </c>
      <c r="B739" s="3" t="s">
        <v>3854</v>
      </c>
      <c r="C739" s="3" t="s">
        <v>42</v>
      </c>
      <c r="D739" s="3" t="s">
        <v>294</v>
      </c>
      <c r="E739" s="3" t="s">
        <v>3855</v>
      </c>
      <c r="F739" s="3" t="s">
        <v>2995</v>
      </c>
      <c r="G739" s="3" t="s">
        <v>325</v>
      </c>
      <c r="H739" s="3"/>
    </row>
    <row r="740" spans="1:8" x14ac:dyDescent="0.25">
      <c r="A740" s="3" t="s">
        <v>1072</v>
      </c>
      <c r="B740" s="3" t="s">
        <v>3469</v>
      </c>
      <c r="C740" s="3" t="s">
        <v>70</v>
      </c>
      <c r="D740" s="3" t="s">
        <v>294</v>
      </c>
      <c r="E740" s="3">
        <v>389.81</v>
      </c>
      <c r="F740" s="3" t="s">
        <v>2973</v>
      </c>
      <c r="G740" s="3" t="s">
        <v>325</v>
      </c>
      <c r="H740" s="3"/>
    </row>
    <row r="741" spans="1:8" x14ac:dyDescent="0.25">
      <c r="A741" s="3" t="s">
        <v>1073</v>
      </c>
      <c r="B741" s="3" t="s">
        <v>3243</v>
      </c>
      <c r="C741" s="3" t="s">
        <v>259</v>
      </c>
      <c r="D741" s="3" t="s">
        <v>309</v>
      </c>
      <c r="E741" s="3">
        <v>992.13</v>
      </c>
      <c r="F741" s="3" t="s">
        <v>2988</v>
      </c>
      <c r="G741" s="3" t="s">
        <v>327</v>
      </c>
      <c r="H741" s="3"/>
    </row>
    <row r="742" spans="1:8" x14ac:dyDescent="0.25">
      <c r="A742" s="3" t="s">
        <v>1074</v>
      </c>
      <c r="B742" s="3" t="s">
        <v>3856</v>
      </c>
      <c r="C742" s="3" t="s">
        <v>261</v>
      </c>
      <c r="D742" s="3" t="s">
        <v>306</v>
      </c>
      <c r="E742" s="3" t="s">
        <v>3857</v>
      </c>
      <c r="F742" s="3" t="s">
        <v>324</v>
      </c>
      <c r="G742" s="3" t="s">
        <v>337</v>
      </c>
      <c r="H742" s="3"/>
    </row>
    <row r="743" spans="1:8" x14ac:dyDescent="0.25">
      <c r="A743" s="3" t="s">
        <v>1075</v>
      </c>
      <c r="B743" s="3" t="s">
        <v>3858</v>
      </c>
      <c r="C743" s="3" t="s">
        <v>62</v>
      </c>
      <c r="D743" s="3" t="s">
        <v>312</v>
      </c>
      <c r="E743" s="3">
        <v>365.78</v>
      </c>
      <c r="F743" s="3" t="s">
        <v>324</v>
      </c>
      <c r="G743" s="3"/>
      <c r="H743" s="3" t="s">
        <v>346</v>
      </c>
    </row>
    <row r="744" spans="1:8" x14ac:dyDescent="0.25">
      <c r="A744" s="3" t="s">
        <v>1076</v>
      </c>
      <c r="B744" s="3" t="s">
        <v>3859</v>
      </c>
      <c r="C744" s="3" t="s">
        <v>117</v>
      </c>
      <c r="D744" s="3" t="s">
        <v>309</v>
      </c>
      <c r="E744" s="3">
        <v>223.75</v>
      </c>
      <c r="F744" s="3" t="s">
        <v>331</v>
      </c>
      <c r="G744" s="3"/>
      <c r="H744" s="3" t="s">
        <v>332</v>
      </c>
    </row>
    <row r="745" spans="1:8" x14ac:dyDescent="0.25">
      <c r="A745" s="3" t="s">
        <v>1077</v>
      </c>
      <c r="B745" s="3" t="s">
        <v>3040</v>
      </c>
      <c r="C745" s="3" t="s">
        <v>185</v>
      </c>
      <c r="D745" s="3" t="s">
        <v>312</v>
      </c>
      <c r="E745" s="3" t="s">
        <v>3860</v>
      </c>
      <c r="F745" s="3" t="s">
        <v>324</v>
      </c>
      <c r="G745" s="3" t="s">
        <v>327</v>
      </c>
      <c r="H745" s="3"/>
    </row>
    <row r="746" spans="1:8" x14ac:dyDescent="0.25">
      <c r="A746" s="3" t="s">
        <v>1078</v>
      </c>
      <c r="B746" s="3" t="s">
        <v>3459</v>
      </c>
      <c r="C746" s="3" t="s">
        <v>53</v>
      </c>
      <c r="D746" s="3" t="s">
        <v>303</v>
      </c>
      <c r="E746" s="3" t="s">
        <v>3861</v>
      </c>
      <c r="F746" s="3" t="s">
        <v>381</v>
      </c>
      <c r="G746" s="3" t="s">
        <v>327</v>
      </c>
      <c r="H746" s="3" t="s">
        <v>346</v>
      </c>
    </row>
    <row r="747" spans="1:8" x14ac:dyDescent="0.25">
      <c r="A747" s="3" t="s">
        <v>1079</v>
      </c>
      <c r="B747" s="3" t="s">
        <v>3862</v>
      </c>
      <c r="C747" s="3" t="s">
        <v>263</v>
      </c>
      <c r="D747" s="3" t="s">
        <v>303</v>
      </c>
      <c r="E747" s="3" t="s">
        <v>3863</v>
      </c>
      <c r="F747" s="3" t="s">
        <v>324</v>
      </c>
      <c r="G747" s="3" t="s">
        <v>327</v>
      </c>
      <c r="H747" s="3"/>
    </row>
    <row r="748" spans="1:8" x14ac:dyDescent="0.25">
      <c r="A748" s="3" t="s">
        <v>1080</v>
      </c>
      <c r="B748" s="3" t="s">
        <v>3864</v>
      </c>
      <c r="C748" s="3" t="s">
        <v>58</v>
      </c>
      <c r="D748" s="3" t="s">
        <v>294</v>
      </c>
      <c r="E748" s="3">
        <v>982.73</v>
      </c>
      <c r="F748" s="3" t="s">
        <v>324</v>
      </c>
      <c r="G748" s="3" t="s">
        <v>325</v>
      </c>
      <c r="H748" s="3"/>
    </row>
    <row r="749" spans="1:8" x14ac:dyDescent="0.25">
      <c r="A749" s="3" t="s">
        <v>1081</v>
      </c>
      <c r="B749" s="3" t="s">
        <v>3361</v>
      </c>
      <c r="C749" s="3" t="s">
        <v>201</v>
      </c>
      <c r="D749" s="3" t="s">
        <v>309</v>
      </c>
      <c r="E749" s="3">
        <v>-402.72</v>
      </c>
      <c r="F749" s="3" t="s">
        <v>349</v>
      </c>
      <c r="G749" s="3"/>
      <c r="H749" s="3" t="s">
        <v>332</v>
      </c>
    </row>
    <row r="750" spans="1:8" x14ac:dyDescent="0.25">
      <c r="A750" s="3" t="s">
        <v>1082</v>
      </c>
      <c r="B750" s="3" t="s">
        <v>3762</v>
      </c>
      <c r="C750" s="3" t="s">
        <v>245</v>
      </c>
      <c r="D750" s="3" t="s">
        <v>300</v>
      </c>
      <c r="E750" s="3">
        <v>841.92</v>
      </c>
      <c r="F750" s="3" t="s">
        <v>2973</v>
      </c>
      <c r="G750" s="3" t="s">
        <v>325</v>
      </c>
      <c r="H750" s="3" t="s">
        <v>332</v>
      </c>
    </row>
    <row r="751" spans="1:8" x14ac:dyDescent="0.25">
      <c r="A751" s="3" t="s">
        <v>1083</v>
      </c>
      <c r="B751" s="3" t="s">
        <v>3865</v>
      </c>
      <c r="C751" s="3" t="s">
        <v>15</v>
      </c>
      <c r="D751" s="3" t="s">
        <v>294</v>
      </c>
      <c r="E751" s="3" t="s">
        <v>3866</v>
      </c>
      <c r="F751" s="3" t="s">
        <v>324</v>
      </c>
      <c r="G751" s="3" t="s">
        <v>329</v>
      </c>
      <c r="H751" s="3"/>
    </row>
    <row r="752" spans="1:8" x14ac:dyDescent="0.25">
      <c r="A752" s="3" t="s">
        <v>1084</v>
      </c>
      <c r="B752" s="3" t="s">
        <v>3867</v>
      </c>
      <c r="C752" s="3" t="s">
        <v>53</v>
      </c>
      <c r="D752" s="3" t="s">
        <v>315</v>
      </c>
      <c r="E752" s="3" t="s">
        <v>3868</v>
      </c>
      <c r="F752" s="3" t="s">
        <v>324</v>
      </c>
      <c r="G752" s="3" t="s">
        <v>337</v>
      </c>
      <c r="H752" s="3"/>
    </row>
    <row r="753" spans="1:8" x14ac:dyDescent="0.25">
      <c r="A753" s="3" t="s">
        <v>1085</v>
      </c>
      <c r="B753" s="3" t="s">
        <v>3619</v>
      </c>
      <c r="C753" s="3" t="s">
        <v>277</v>
      </c>
      <c r="D753" s="3" t="s">
        <v>297</v>
      </c>
      <c r="E753" s="3" t="s">
        <v>3869</v>
      </c>
      <c r="F753" s="3" t="s">
        <v>324</v>
      </c>
      <c r="G753" s="3" t="s">
        <v>337</v>
      </c>
      <c r="H753" s="3" t="s">
        <v>346</v>
      </c>
    </row>
    <row r="754" spans="1:8" x14ac:dyDescent="0.25">
      <c r="A754" s="3" t="s">
        <v>1086</v>
      </c>
      <c r="B754" s="3" t="s">
        <v>3292</v>
      </c>
      <c r="C754" s="3" t="s">
        <v>241</v>
      </c>
      <c r="D754" s="3" t="s">
        <v>297</v>
      </c>
      <c r="E754" s="3">
        <v>187.73</v>
      </c>
      <c r="F754" s="3" t="s">
        <v>324</v>
      </c>
      <c r="G754" s="3" t="s">
        <v>327</v>
      </c>
      <c r="H754" s="3" t="s">
        <v>334</v>
      </c>
    </row>
    <row r="755" spans="1:8" x14ac:dyDescent="0.25">
      <c r="A755" s="3" t="s">
        <v>1087</v>
      </c>
      <c r="B755" s="3" t="s">
        <v>3536</v>
      </c>
      <c r="C755" s="3" t="s">
        <v>269</v>
      </c>
      <c r="D755" s="3" t="s">
        <v>309</v>
      </c>
      <c r="E755" s="3" t="s">
        <v>3870</v>
      </c>
      <c r="F755" s="3" t="s">
        <v>324</v>
      </c>
      <c r="G755" s="3" t="s">
        <v>325</v>
      </c>
      <c r="H755" s="3" t="s">
        <v>334</v>
      </c>
    </row>
    <row r="756" spans="1:8" x14ac:dyDescent="0.25">
      <c r="A756" s="3" t="s">
        <v>1088</v>
      </c>
      <c r="B756" s="3" t="s">
        <v>3871</v>
      </c>
      <c r="C756" s="3" t="s">
        <v>82</v>
      </c>
      <c r="D756" s="3" t="s">
        <v>294</v>
      </c>
      <c r="E756" s="3">
        <v>195.54</v>
      </c>
      <c r="F756" s="3" t="s">
        <v>2976</v>
      </c>
      <c r="G756" s="3" t="s">
        <v>327</v>
      </c>
      <c r="H756" s="3" t="s">
        <v>334</v>
      </c>
    </row>
    <row r="757" spans="1:8" x14ac:dyDescent="0.25">
      <c r="A757" s="3" t="s">
        <v>1089</v>
      </c>
      <c r="B757" s="3" t="s">
        <v>3248</v>
      </c>
      <c r="C757" s="3" t="s">
        <v>19</v>
      </c>
      <c r="D757" s="3" t="s">
        <v>309</v>
      </c>
      <c r="E757" s="3">
        <v>185.8</v>
      </c>
      <c r="F757" s="3" t="s">
        <v>2973</v>
      </c>
      <c r="G757" s="3" t="s">
        <v>325</v>
      </c>
      <c r="H757" s="3" t="s">
        <v>346</v>
      </c>
    </row>
    <row r="758" spans="1:8" x14ac:dyDescent="0.25">
      <c r="A758" s="3" t="s">
        <v>1090</v>
      </c>
      <c r="B758" s="3" t="s">
        <v>3872</v>
      </c>
      <c r="C758" s="3" t="s">
        <v>98</v>
      </c>
      <c r="D758" s="3" t="s">
        <v>300</v>
      </c>
      <c r="E758" s="3">
        <v>1085.57</v>
      </c>
      <c r="F758" s="3" t="s">
        <v>3037</v>
      </c>
      <c r="G758" s="3" t="s">
        <v>327</v>
      </c>
      <c r="H758" s="3"/>
    </row>
    <row r="759" spans="1:8" x14ac:dyDescent="0.25">
      <c r="A759" s="3" t="s">
        <v>1091</v>
      </c>
      <c r="B759" s="3" t="s">
        <v>3873</v>
      </c>
      <c r="C759" s="3" t="s">
        <v>263</v>
      </c>
      <c r="D759" s="3" t="s">
        <v>309</v>
      </c>
      <c r="E759" s="3" t="s">
        <v>3874</v>
      </c>
      <c r="F759" s="3" t="s">
        <v>2976</v>
      </c>
      <c r="G759" s="3" t="s">
        <v>327</v>
      </c>
      <c r="H759" s="3"/>
    </row>
    <row r="760" spans="1:8" x14ac:dyDescent="0.25">
      <c r="A760" s="3" t="s">
        <v>1092</v>
      </c>
      <c r="B760" s="3" t="s">
        <v>3875</v>
      </c>
      <c r="C760" s="3" t="s">
        <v>115</v>
      </c>
      <c r="D760" s="3" t="s">
        <v>306</v>
      </c>
      <c r="E760" s="3" t="s">
        <v>3876</v>
      </c>
      <c r="F760" s="3" t="s">
        <v>324</v>
      </c>
      <c r="G760" s="3" t="s">
        <v>325</v>
      </c>
      <c r="H760" s="3" t="s">
        <v>332</v>
      </c>
    </row>
    <row r="761" spans="1:8" x14ac:dyDescent="0.25">
      <c r="A761" s="3" t="s">
        <v>1093</v>
      </c>
      <c r="B761" s="3" t="s">
        <v>3274</v>
      </c>
      <c r="C761" s="3" t="s">
        <v>129</v>
      </c>
      <c r="D761" s="3" t="s">
        <v>309</v>
      </c>
      <c r="E761" s="3">
        <v>302.93</v>
      </c>
      <c r="F761" s="3" t="s">
        <v>3157</v>
      </c>
      <c r="G761" s="3" t="s">
        <v>325</v>
      </c>
      <c r="H761" s="3"/>
    </row>
    <row r="762" spans="1:8" x14ac:dyDescent="0.25">
      <c r="A762" s="3" t="s">
        <v>1094</v>
      </c>
      <c r="B762" s="3" t="s">
        <v>3877</v>
      </c>
      <c r="C762" s="3" t="s">
        <v>55</v>
      </c>
      <c r="D762" s="3" t="s">
        <v>294</v>
      </c>
      <c r="E762" s="3">
        <v>1546.33</v>
      </c>
      <c r="F762" s="3" t="s">
        <v>324</v>
      </c>
      <c r="G762" s="3" t="s">
        <v>327</v>
      </c>
      <c r="H762" s="3"/>
    </row>
    <row r="763" spans="1:8" x14ac:dyDescent="0.25">
      <c r="A763" s="3" t="s">
        <v>1095</v>
      </c>
      <c r="B763" s="3" t="s">
        <v>3303</v>
      </c>
      <c r="C763" s="3" t="s">
        <v>82</v>
      </c>
      <c r="D763" s="3" t="s">
        <v>306</v>
      </c>
      <c r="E763" s="3">
        <v>438.64</v>
      </c>
      <c r="F763" s="3" t="s">
        <v>2995</v>
      </c>
      <c r="G763" s="3" t="s">
        <v>337</v>
      </c>
      <c r="H763" s="3"/>
    </row>
    <row r="764" spans="1:8" x14ac:dyDescent="0.25">
      <c r="A764" s="3" t="s">
        <v>1096</v>
      </c>
      <c r="B764" s="3" t="s">
        <v>3878</v>
      </c>
      <c r="C764" s="3" t="s">
        <v>261</v>
      </c>
      <c r="D764" s="3" t="s">
        <v>309</v>
      </c>
      <c r="E764" s="3">
        <v>265.95</v>
      </c>
      <c r="F764" s="3" t="s">
        <v>2995</v>
      </c>
      <c r="G764" s="3" t="s">
        <v>337</v>
      </c>
      <c r="H764" s="3"/>
    </row>
    <row r="765" spans="1:8" x14ac:dyDescent="0.25">
      <c r="A765" s="3" t="s">
        <v>1097</v>
      </c>
      <c r="B765" s="3" t="s">
        <v>3879</v>
      </c>
      <c r="C765" s="3" t="s">
        <v>255</v>
      </c>
      <c r="D765" s="3" t="s">
        <v>294</v>
      </c>
      <c r="E765" s="3">
        <v>216.62</v>
      </c>
      <c r="F765" s="3" t="s">
        <v>381</v>
      </c>
      <c r="G765" s="3" t="s">
        <v>327</v>
      </c>
      <c r="H765" s="3" t="s">
        <v>334</v>
      </c>
    </row>
    <row r="766" spans="1:8" x14ac:dyDescent="0.25">
      <c r="A766" s="3" t="s">
        <v>1098</v>
      </c>
      <c r="B766" s="3" t="s">
        <v>3880</v>
      </c>
      <c r="C766" s="3" t="s">
        <v>165</v>
      </c>
      <c r="D766" s="3" t="s">
        <v>297</v>
      </c>
      <c r="E766" s="3">
        <v>892.25</v>
      </c>
      <c r="F766" s="3" t="s">
        <v>324</v>
      </c>
      <c r="G766" s="3" t="s">
        <v>327</v>
      </c>
      <c r="H766" s="3"/>
    </row>
    <row r="767" spans="1:8" x14ac:dyDescent="0.25">
      <c r="A767" s="3" t="s">
        <v>1099</v>
      </c>
      <c r="B767" s="3" t="s">
        <v>3298</v>
      </c>
      <c r="C767" s="3" t="s">
        <v>40</v>
      </c>
      <c r="D767" s="3" t="s">
        <v>300</v>
      </c>
      <c r="E767" s="3">
        <v>-618.82000000000005</v>
      </c>
      <c r="F767" s="3" t="s">
        <v>349</v>
      </c>
      <c r="G767" s="3" t="s">
        <v>329</v>
      </c>
      <c r="H767" s="3"/>
    </row>
    <row r="768" spans="1:8" x14ac:dyDescent="0.25">
      <c r="A768" s="3" t="s">
        <v>1100</v>
      </c>
      <c r="B768" s="3" t="s">
        <v>3881</v>
      </c>
      <c r="C768" s="3" t="s">
        <v>78</v>
      </c>
      <c r="D768" s="3" t="s">
        <v>297</v>
      </c>
      <c r="E768" s="3">
        <v>290.73</v>
      </c>
      <c r="F768" s="3" t="s">
        <v>324</v>
      </c>
      <c r="G768" s="3" t="s">
        <v>329</v>
      </c>
      <c r="H768" s="3"/>
    </row>
    <row r="769" spans="1:8" x14ac:dyDescent="0.25">
      <c r="A769" s="3" t="s">
        <v>1101</v>
      </c>
      <c r="B769" s="3" t="s">
        <v>3882</v>
      </c>
      <c r="C769" s="3" t="s">
        <v>207</v>
      </c>
      <c r="D769" s="3" t="s">
        <v>297</v>
      </c>
      <c r="E769" s="3">
        <v>285.62</v>
      </c>
      <c r="F769" s="3" t="s">
        <v>331</v>
      </c>
      <c r="G769" s="3" t="s">
        <v>325</v>
      </c>
      <c r="H769" s="3" t="s">
        <v>332</v>
      </c>
    </row>
    <row r="770" spans="1:8" x14ac:dyDescent="0.25">
      <c r="A770" s="3" t="s">
        <v>1102</v>
      </c>
      <c r="B770" s="3" t="s">
        <v>3883</v>
      </c>
      <c r="C770" s="3" t="s">
        <v>96</v>
      </c>
      <c r="D770" s="3" t="s">
        <v>294</v>
      </c>
      <c r="E770" s="3">
        <v>961.22</v>
      </c>
      <c r="F770" s="3" t="s">
        <v>381</v>
      </c>
      <c r="G770" s="3" t="s">
        <v>327</v>
      </c>
      <c r="H770" s="3"/>
    </row>
    <row r="771" spans="1:8" x14ac:dyDescent="0.25">
      <c r="A771" s="3" t="s">
        <v>1103</v>
      </c>
      <c r="B771" s="3" t="s">
        <v>3884</v>
      </c>
      <c r="C771" s="3" t="s">
        <v>84</v>
      </c>
      <c r="D771" s="3" t="s">
        <v>312</v>
      </c>
      <c r="E771" s="3">
        <v>517.48</v>
      </c>
      <c r="F771" s="3" t="s">
        <v>2973</v>
      </c>
      <c r="G771" s="3" t="s">
        <v>325</v>
      </c>
      <c r="H771" s="3" t="s">
        <v>332</v>
      </c>
    </row>
    <row r="772" spans="1:8" x14ac:dyDescent="0.25">
      <c r="A772" s="3" t="s">
        <v>1104</v>
      </c>
      <c r="B772" s="3" t="s">
        <v>3532</v>
      </c>
      <c r="C772" s="3" t="s">
        <v>115</v>
      </c>
      <c r="D772" s="3" t="s">
        <v>309</v>
      </c>
      <c r="E772" s="3" t="s">
        <v>3885</v>
      </c>
      <c r="F772" s="3" t="s">
        <v>324</v>
      </c>
      <c r="G772" s="3" t="s">
        <v>327</v>
      </c>
      <c r="H772" s="3" t="s">
        <v>346</v>
      </c>
    </row>
    <row r="773" spans="1:8" x14ac:dyDescent="0.25">
      <c r="A773" s="3" t="s">
        <v>1105</v>
      </c>
      <c r="B773" s="3" t="s">
        <v>3886</v>
      </c>
      <c r="C773" s="3" t="s">
        <v>141</v>
      </c>
      <c r="D773" s="3" t="s">
        <v>303</v>
      </c>
      <c r="E773" s="3" t="s">
        <v>3887</v>
      </c>
      <c r="F773" s="3" t="s">
        <v>2976</v>
      </c>
      <c r="G773" s="3" t="s">
        <v>337</v>
      </c>
      <c r="H773" s="3"/>
    </row>
    <row r="774" spans="1:8" x14ac:dyDescent="0.25">
      <c r="A774" s="3" t="s">
        <v>1106</v>
      </c>
      <c r="B774" s="3" t="s">
        <v>3454</v>
      </c>
      <c r="C774" s="3" t="s">
        <v>215</v>
      </c>
      <c r="D774" s="3" t="s">
        <v>297</v>
      </c>
      <c r="E774" s="3">
        <v>-281.81</v>
      </c>
      <c r="F774" s="3" t="s">
        <v>349</v>
      </c>
      <c r="G774" s="3" t="s">
        <v>337</v>
      </c>
      <c r="H774" s="3" t="s">
        <v>334</v>
      </c>
    </row>
    <row r="775" spans="1:8" x14ac:dyDescent="0.25">
      <c r="A775" s="3" t="s">
        <v>1107</v>
      </c>
      <c r="B775" s="3" t="s">
        <v>3888</v>
      </c>
      <c r="C775" s="3" t="s">
        <v>213</v>
      </c>
      <c r="D775" s="3" t="s">
        <v>294</v>
      </c>
      <c r="E775" s="3" t="s">
        <v>3889</v>
      </c>
      <c r="F775" s="3" t="s">
        <v>324</v>
      </c>
      <c r="G775" s="3"/>
      <c r="H775" s="3" t="s">
        <v>332</v>
      </c>
    </row>
    <row r="776" spans="1:8" x14ac:dyDescent="0.25">
      <c r="A776" s="3" t="s">
        <v>1108</v>
      </c>
      <c r="B776" s="3" t="s">
        <v>3890</v>
      </c>
      <c r="C776" s="3" t="s">
        <v>265</v>
      </c>
      <c r="D776" s="3" t="s">
        <v>294</v>
      </c>
      <c r="E776" s="3">
        <v>134.38999999999999</v>
      </c>
      <c r="F776" s="3" t="s">
        <v>324</v>
      </c>
      <c r="G776" s="3"/>
      <c r="H776" s="3"/>
    </row>
    <row r="777" spans="1:8" x14ac:dyDescent="0.25">
      <c r="A777" s="3" t="s">
        <v>1109</v>
      </c>
      <c r="B777" s="3" t="s">
        <v>3173</v>
      </c>
      <c r="C777" s="3" t="s">
        <v>215</v>
      </c>
      <c r="D777" s="3" t="s">
        <v>294</v>
      </c>
      <c r="E777" s="3">
        <v>416.91</v>
      </c>
      <c r="F777" s="3" t="s">
        <v>324</v>
      </c>
      <c r="G777" s="3" t="s">
        <v>325</v>
      </c>
      <c r="H777" s="3"/>
    </row>
    <row r="778" spans="1:8" x14ac:dyDescent="0.25">
      <c r="A778" s="3" t="s">
        <v>1110</v>
      </c>
      <c r="B778" s="3" t="s">
        <v>3796</v>
      </c>
      <c r="C778" s="3" t="s">
        <v>155</v>
      </c>
      <c r="D778" s="3" t="s">
        <v>303</v>
      </c>
      <c r="E778" s="3" t="s">
        <v>3891</v>
      </c>
      <c r="F778" s="3" t="s">
        <v>324</v>
      </c>
      <c r="G778" s="3" t="s">
        <v>327</v>
      </c>
      <c r="H778" s="3" t="s">
        <v>334</v>
      </c>
    </row>
    <row r="779" spans="1:8" x14ac:dyDescent="0.25">
      <c r="A779" s="3" t="s">
        <v>1111</v>
      </c>
      <c r="B779" s="3" t="s">
        <v>3485</v>
      </c>
      <c r="C779" s="3" t="s">
        <v>80</v>
      </c>
      <c r="D779" s="3" t="s">
        <v>306</v>
      </c>
      <c r="E779" s="3">
        <v>224.5</v>
      </c>
      <c r="F779" s="3" t="s">
        <v>2976</v>
      </c>
      <c r="G779" s="3" t="s">
        <v>337</v>
      </c>
      <c r="H779" s="3"/>
    </row>
    <row r="780" spans="1:8" x14ac:dyDescent="0.25">
      <c r="A780" s="3" t="s">
        <v>1112</v>
      </c>
      <c r="B780" s="3" t="s">
        <v>3117</v>
      </c>
      <c r="C780" s="3" t="s">
        <v>55</v>
      </c>
      <c r="D780" s="3" t="s">
        <v>294</v>
      </c>
      <c r="E780" s="3" t="s">
        <v>3892</v>
      </c>
      <c r="F780" s="3" t="s">
        <v>324</v>
      </c>
      <c r="G780" s="3" t="s">
        <v>327</v>
      </c>
      <c r="H780" s="3"/>
    </row>
    <row r="781" spans="1:8" x14ac:dyDescent="0.25">
      <c r="A781" s="3" t="s">
        <v>1113</v>
      </c>
      <c r="B781" s="3" t="s">
        <v>3893</v>
      </c>
      <c r="C781" s="3" t="s">
        <v>213</v>
      </c>
      <c r="D781" s="3" t="s">
        <v>300</v>
      </c>
      <c r="E781" s="3">
        <v>291.3</v>
      </c>
      <c r="F781" s="3" t="s">
        <v>2995</v>
      </c>
      <c r="G781" s="3" t="s">
        <v>337</v>
      </c>
      <c r="H781" s="3"/>
    </row>
    <row r="782" spans="1:8" x14ac:dyDescent="0.25">
      <c r="A782" s="3" t="s">
        <v>1114</v>
      </c>
      <c r="B782" s="3" t="s">
        <v>3894</v>
      </c>
      <c r="C782" s="3" t="s">
        <v>153</v>
      </c>
      <c r="D782" s="3" t="s">
        <v>303</v>
      </c>
      <c r="E782" s="3">
        <v>646.67999999999995</v>
      </c>
      <c r="F782" s="3" t="s">
        <v>324</v>
      </c>
      <c r="G782" s="3" t="s">
        <v>325</v>
      </c>
      <c r="H782" s="3"/>
    </row>
    <row r="783" spans="1:8" x14ac:dyDescent="0.25">
      <c r="A783" s="3" t="s">
        <v>1115</v>
      </c>
      <c r="B783" s="3" t="s">
        <v>3009</v>
      </c>
      <c r="C783" s="3" t="s">
        <v>165</v>
      </c>
      <c r="D783" s="3" t="s">
        <v>294</v>
      </c>
      <c r="E783" s="3" t="s">
        <v>3895</v>
      </c>
      <c r="F783" s="3" t="s">
        <v>324</v>
      </c>
      <c r="G783" s="3"/>
      <c r="H783" s="3"/>
    </row>
    <row r="784" spans="1:8" x14ac:dyDescent="0.25">
      <c r="A784" s="3" t="s">
        <v>1116</v>
      </c>
      <c r="B784" s="3" t="s">
        <v>3896</v>
      </c>
      <c r="C784" s="3" t="s">
        <v>241</v>
      </c>
      <c r="D784" s="3" t="s">
        <v>297</v>
      </c>
      <c r="E784" s="3">
        <v>219.89</v>
      </c>
      <c r="F784" s="3" t="s">
        <v>3097</v>
      </c>
      <c r="G784" s="3" t="s">
        <v>329</v>
      </c>
      <c r="H784" s="3" t="s">
        <v>332</v>
      </c>
    </row>
    <row r="785" spans="1:8" x14ac:dyDescent="0.25">
      <c r="A785" s="3" t="s">
        <v>1117</v>
      </c>
      <c r="B785" s="3" t="s">
        <v>3108</v>
      </c>
      <c r="C785" s="3" t="s">
        <v>51</v>
      </c>
      <c r="D785" s="3" t="s">
        <v>294</v>
      </c>
      <c r="E785" s="3">
        <v>1113.8499999999999</v>
      </c>
      <c r="F785" s="3" t="s">
        <v>381</v>
      </c>
      <c r="G785" s="3" t="s">
        <v>329</v>
      </c>
      <c r="H785" s="3" t="s">
        <v>332</v>
      </c>
    </row>
    <row r="786" spans="1:8" x14ac:dyDescent="0.25">
      <c r="A786" s="3" t="s">
        <v>1118</v>
      </c>
      <c r="B786" s="3" t="s">
        <v>3897</v>
      </c>
      <c r="C786" s="3" t="s">
        <v>35</v>
      </c>
      <c r="D786" s="3" t="s">
        <v>306</v>
      </c>
      <c r="E786" s="3">
        <v>48.49</v>
      </c>
      <c r="F786" s="3" t="s">
        <v>2976</v>
      </c>
      <c r="G786" s="3" t="s">
        <v>329</v>
      </c>
      <c r="H786" s="3"/>
    </row>
    <row r="787" spans="1:8" x14ac:dyDescent="0.25">
      <c r="A787" s="3" t="s">
        <v>1119</v>
      </c>
      <c r="B787" s="3" t="s">
        <v>3898</v>
      </c>
      <c r="C787" s="3" t="s">
        <v>143</v>
      </c>
      <c r="D787" s="3" t="s">
        <v>309</v>
      </c>
      <c r="E787" s="3" t="s">
        <v>3899</v>
      </c>
      <c r="F787" s="3" t="s">
        <v>324</v>
      </c>
      <c r="G787" s="3" t="s">
        <v>327</v>
      </c>
      <c r="H787" s="3" t="s">
        <v>346</v>
      </c>
    </row>
    <row r="788" spans="1:8" x14ac:dyDescent="0.25">
      <c r="A788" s="3" t="s">
        <v>1120</v>
      </c>
      <c r="B788" s="3" t="s">
        <v>3900</v>
      </c>
      <c r="C788" s="3" t="s">
        <v>147</v>
      </c>
      <c r="D788" s="3" t="s">
        <v>294</v>
      </c>
      <c r="E788" s="3">
        <v>-510.12</v>
      </c>
      <c r="F788" s="3" t="s">
        <v>3006</v>
      </c>
      <c r="G788" s="3" t="s">
        <v>325</v>
      </c>
      <c r="H788" s="3" t="s">
        <v>346</v>
      </c>
    </row>
    <row r="789" spans="1:8" x14ac:dyDescent="0.25">
      <c r="A789" s="3" t="s">
        <v>1121</v>
      </c>
      <c r="B789" s="3" t="s">
        <v>3901</v>
      </c>
      <c r="C789" s="3" t="s">
        <v>42</v>
      </c>
      <c r="D789" s="3" t="s">
        <v>294</v>
      </c>
      <c r="E789" s="3">
        <v>394.9</v>
      </c>
      <c r="F789" s="3" t="s">
        <v>2973</v>
      </c>
      <c r="G789" s="3" t="s">
        <v>327</v>
      </c>
      <c r="H789" s="3" t="s">
        <v>346</v>
      </c>
    </row>
    <row r="790" spans="1:8" x14ac:dyDescent="0.25">
      <c r="A790" s="3" t="s">
        <v>1122</v>
      </c>
      <c r="B790" s="3" t="s">
        <v>3750</v>
      </c>
      <c r="C790" s="3" t="s">
        <v>265</v>
      </c>
      <c r="D790" s="3" t="s">
        <v>315</v>
      </c>
      <c r="E790" s="3">
        <v>473.97</v>
      </c>
      <c r="F790" s="3" t="s">
        <v>324</v>
      </c>
      <c r="G790" s="3" t="s">
        <v>329</v>
      </c>
      <c r="H790" s="3"/>
    </row>
    <row r="791" spans="1:8" x14ac:dyDescent="0.25">
      <c r="A791" s="3" t="s">
        <v>1123</v>
      </c>
      <c r="B791" s="3" t="s">
        <v>3902</v>
      </c>
      <c r="C791" s="3" t="s">
        <v>135</v>
      </c>
      <c r="D791" s="3" t="s">
        <v>294</v>
      </c>
      <c r="E791" s="3">
        <v>580.37</v>
      </c>
      <c r="F791" s="3" t="s">
        <v>381</v>
      </c>
      <c r="G791" s="3" t="s">
        <v>327</v>
      </c>
      <c r="H791" s="3"/>
    </row>
    <row r="792" spans="1:8" x14ac:dyDescent="0.25">
      <c r="A792" s="3" t="s">
        <v>1124</v>
      </c>
      <c r="B792" s="3" t="s">
        <v>3359</v>
      </c>
      <c r="C792" s="3" t="s">
        <v>191</v>
      </c>
      <c r="D792" s="3" t="s">
        <v>306</v>
      </c>
      <c r="E792" s="3">
        <v>1183.01</v>
      </c>
      <c r="F792" s="3" t="s">
        <v>324</v>
      </c>
      <c r="G792" s="3" t="s">
        <v>327</v>
      </c>
      <c r="H792" s="3"/>
    </row>
    <row r="793" spans="1:8" x14ac:dyDescent="0.25">
      <c r="A793" s="3" t="s">
        <v>1125</v>
      </c>
      <c r="B793" s="3" t="s">
        <v>3903</v>
      </c>
      <c r="C793" s="3" t="s">
        <v>149</v>
      </c>
      <c r="D793" s="3" t="s">
        <v>309</v>
      </c>
      <c r="E793" s="3">
        <v>242.48</v>
      </c>
      <c r="F793" s="3" t="s">
        <v>331</v>
      </c>
      <c r="G793" s="3" t="s">
        <v>327</v>
      </c>
      <c r="H793" s="3"/>
    </row>
    <row r="794" spans="1:8" x14ac:dyDescent="0.25">
      <c r="A794" s="3" t="s">
        <v>1126</v>
      </c>
      <c r="B794" s="3" t="s">
        <v>3904</v>
      </c>
      <c r="C794" s="3" t="s">
        <v>70</v>
      </c>
      <c r="D794" s="3" t="s">
        <v>306</v>
      </c>
      <c r="E794" s="3" t="s">
        <v>3905</v>
      </c>
      <c r="F794" s="3" t="s">
        <v>324</v>
      </c>
      <c r="G794" s="3" t="s">
        <v>327</v>
      </c>
      <c r="H794" s="3"/>
    </row>
    <row r="795" spans="1:8" x14ac:dyDescent="0.25">
      <c r="A795" s="3" t="s">
        <v>1127</v>
      </c>
      <c r="B795" s="3" t="s">
        <v>3906</v>
      </c>
      <c r="C795" s="3" t="s">
        <v>145</v>
      </c>
      <c r="D795" s="3" t="s">
        <v>306</v>
      </c>
      <c r="E795" s="3" t="s">
        <v>3907</v>
      </c>
      <c r="F795" s="3" t="s">
        <v>324</v>
      </c>
      <c r="G795" s="3" t="s">
        <v>327</v>
      </c>
      <c r="H795" s="3"/>
    </row>
    <row r="796" spans="1:8" x14ac:dyDescent="0.25">
      <c r="A796" s="3" t="s">
        <v>1128</v>
      </c>
      <c r="B796" s="3" t="s">
        <v>3216</v>
      </c>
      <c r="C796" s="3" t="s">
        <v>225</v>
      </c>
      <c r="D796" s="3" t="s">
        <v>315</v>
      </c>
      <c r="E796" s="3">
        <v>309.61</v>
      </c>
      <c r="F796" s="3" t="s">
        <v>324</v>
      </c>
      <c r="G796" s="3" t="s">
        <v>327</v>
      </c>
      <c r="H796" s="3" t="s">
        <v>346</v>
      </c>
    </row>
    <row r="797" spans="1:8" x14ac:dyDescent="0.25">
      <c r="A797" s="3" t="s">
        <v>1129</v>
      </c>
      <c r="B797" s="3" t="s">
        <v>3449</v>
      </c>
      <c r="C797" s="3" t="s">
        <v>78</v>
      </c>
      <c r="D797" s="3" t="s">
        <v>294</v>
      </c>
      <c r="E797" s="3">
        <v>313.95</v>
      </c>
      <c r="F797" s="3" t="s">
        <v>324</v>
      </c>
      <c r="G797" s="3" t="s">
        <v>325</v>
      </c>
      <c r="H797" s="3"/>
    </row>
    <row r="798" spans="1:8" x14ac:dyDescent="0.25">
      <c r="A798" s="3" t="s">
        <v>1130</v>
      </c>
      <c r="B798" s="3" t="s">
        <v>3908</v>
      </c>
      <c r="C798" s="3" t="s">
        <v>153</v>
      </c>
      <c r="D798" s="3" t="s">
        <v>300</v>
      </c>
      <c r="E798" s="3">
        <v>378.76</v>
      </c>
      <c r="F798" s="3" t="s">
        <v>2973</v>
      </c>
      <c r="G798" s="3" t="s">
        <v>327</v>
      </c>
      <c r="H798" s="3" t="s">
        <v>334</v>
      </c>
    </row>
    <row r="799" spans="1:8" x14ac:dyDescent="0.25">
      <c r="A799" s="3" t="s">
        <v>1131</v>
      </c>
      <c r="B799" s="3" t="s">
        <v>3478</v>
      </c>
      <c r="C799" s="3" t="s">
        <v>187</v>
      </c>
      <c r="D799" s="3" t="s">
        <v>309</v>
      </c>
      <c r="E799" s="3" t="s">
        <v>3909</v>
      </c>
      <c r="F799" s="3" t="s">
        <v>2988</v>
      </c>
      <c r="G799" s="3" t="s">
        <v>337</v>
      </c>
      <c r="H799" s="3"/>
    </row>
    <row r="800" spans="1:8" x14ac:dyDescent="0.25">
      <c r="A800" s="3" t="s">
        <v>1132</v>
      </c>
      <c r="B800" s="3" t="s">
        <v>3910</v>
      </c>
      <c r="C800" s="3" t="s">
        <v>161</v>
      </c>
      <c r="D800" s="3" t="s">
        <v>300</v>
      </c>
      <c r="E800" s="3">
        <v>1244.9100000000001</v>
      </c>
      <c r="F800" s="3" t="s">
        <v>3097</v>
      </c>
      <c r="G800" s="3" t="s">
        <v>329</v>
      </c>
      <c r="H800" s="3"/>
    </row>
    <row r="801" spans="1:8" x14ac:dyDescent="0.25">
      <c r="A801" s="3" t="s">
        <v>1133</v>
      </c>
      <c r="B801" s="3" t="s">
        <v>3911</v>
      </c>
      <c r="C801" s="3" t="s">
        <v>167</v>
      </c>
      <c r="D801" s="3" t="s">
        <v>294</v>
      </c>
      <c r="E801" s="3" t="s">
        <v>3912</v>
      </c>
      <c r="F801" s="3" t="s">
        <v>381</v>
      </c>
      <c r="G801" s="3" t="s">
        <v>329</v>
      </c>
      <c r="H801" s="3"/>
    </row>
    <row r="802" spans="1:8" x14ac:dyDescent="0.25">
      <c r="A802" s="3" t="s">
        <v>1134</v>
      </c>
      <c r="B802" s="3" t="s">
        <v>3913</v>
      </c>
      <c r="C802" s="3" t="s">
        <v>241</v>
      </c>
      <c r="D802" s="3" t="s">
        <v>306</v>
      </c>
      <c r="E802" s="3">
        <v>-586.28</v>
      </c>
      <c r="F802" s="3" t="s">
        <v>3006</v>
      </c>
      <c r="G802" s="3" t="s">
        <v>327</v>
      </c>
      <c r="H802" s="3" t="s">
        <v>332</v>
      </c>
    </row>
    <row r="803" spans="1:8" x14ac:dyDescent="0.25">
      <c r="A803" s="3" t="s">
        <v>1135</v>
      </c>
      <c r="B803" s="3" t="s">
        <v>3517</v>
      </c>
      <c r="C803" s="3" t="s">
        <v>221</v>
      </c>
      <c r="D803" s="3" t="s">
        <v>309</v>
      </c>
      <c r="E803" s="3">
        <v>502.28</v>
      </c>
      <c r="F803" s="3" t="s">
        <v>2973</v>
      </c>
      <c r="G803" s="3" t="s">
        <v>325</v>
      </c>
      <c r="H803" s="3"/>
    </row>
    <row r="804" spans="1:8" x14ac:dyDescent="0.25">
      <c r="A804" s="3" t="s">
        <v>1136</v>
      </c>
      <c r="B804" s="3" t="s">
        <v>3914</v>
      </c>
      <c r="C804" s="3" t="s">
        <v>233</v>
      </c>
      <c r="D804" s="3" t="s">
        <v>297</v>
      </c>
      <c r="E804" s="3">
        <v>108.73</v>
      </c>
      <c r="F804" s="3" t="s">
        <v>2973</v>
      </c>
      <c r="G804" s="3" t="s">
        <v>325</v>
      </c>
      <c r="H804" s="3"/>
    </row>
    <row r="805" spans="1:8" x14ac:dyDescent="0.25">
      <c r="A805" s="3" t="s">
        <v>1137</v>
      </c>
      <c r="B805" s="3" t="s">
        <v>3915</v>
      </c>
      <c r="C805" s="3" t="s">
        <v>157</v>
      </c>
      <c r="D805" s="3" t="s">
        <v>294</v>
      </c>
      <c r="E805" s="3" t="s">
        <v>3916</v>
      </c>
      <c r="F805" s="3" t="s">
        <v>331</v>
      </c>
      <c r="G805" s="3" t="s">
        <v>325</v>
      </c>
      <c r="H805" s="3" t="s">
        <v>334</v>
      </c>
    </row>
    <row r="806" spans="1:8" x14ac:dyDescent="0.25">
      <c r="A806" s="3" t="s">
        <v>1138</v>
      </c>
      <c r="B806" s="3" t="s">
        <v>3298</v>
      </c>
      <c r="C806" s="3" t="s">
        <v>40</v>
      </c>
      <c r="D806" s="3" t="s">
        <v>294</v>
      </c>
      <c r="E806" s="3">
        <v>394.14</v>
      </c>
      <c r="F806" s="3" t="s">
        <v>324</v>
      </c>
      <c r="G806" s="3" t="s">
        <v>327</v>
      </c>
      <c r="H806" s="3"/>
    </row>
    <row r="807" spans="1:8" x14ac:dyDescent="0.25">
      <c r="A807" s="3" t="s">
        <v>1139</v>
      </c>
      <c r="B807" s="3" t="s">
        <v>3845</v>
      </c>
      <c r="C807" s="3" t="s">
        <v>62</v>
      </c>
      <c r="D807" s="3" t="s">
        <v>294</v>
      </c>
      <c r="E807" s="3">
        <v>513.94000000000005</v>
      </c>
      <c r="F807" s="3" t="s">
        <v>3157</v>
      </c>
      <c r="G807" s="3" t="s">
        <v>325</v>
      </c>
      <c r="H807" s="3"/>
    </row>
    <row r="808" spans="1:8" x14ac:dyDescent="0.25">
      <c r="A808" s="3" t="s">
        <v>1140</v>
      </c>
      <c r="B808" s="3" t="s">
        <v>3673</v>
      </c>
      <c r="C808" s="3" t="s">
        <v>55</v>
      </c>
      <c r="D808" s="3" t="s">
        <v>294</v>
      </c>
      <c r="E808" s="3">
        <v>429.24</v>
      </c>
      <c r="F808" s="3" t="s">
        <v>324</v>
      </c>
      <c r="G808" s="3" t="s">
        <v>329</v>
      </c>
      <c r="H808" s="3" t="s">
        <v>346</v>
      </c>
    </row>
    <row r="809" spans="1:8" x14ac:dyDescent="0.25">
      <c r="A809" s="3" t="s">
        <v>1141</v>
      </c>
      <c r="B809" s="3" t="s">
        <v>3917</v>
      </c>
      <c r="C809" s="3" t="s">
        <v>55</v>
      </c>
      <c r="D809" s="3" t="s">
        <v>300</v>
      </c>
      <c r="E809" s="3">
        <v>665.74</v>
      </c>
      <c r="F809" s="3" t="s">
        <v>324</v>
      </c>
      <c r="G809" s="3" t="s">
        <v>337</v>
      </c>
      <c r="H809" s="3" t="s">
        <v>332</v>
      </c>
    </row>
    <row r="810" spans="1:8" x14ac:dyDescent="0.25">
      <c r="A810" s="3" t="s">
        <v>1142</v>
      </c>
      <c r="B810" s="3" t="s">
        <v>3189</v>
      </c>
      <c r="C810" s="3" t="s">
        <v>229</v>
      </c>
      <c r="D810" s="3" t="s">
        <v>306</v>
      </c>
      <c r="E810" s="3">
        <v>-603.88</v>
      </c>
      <c r="F810" s="3" t="s">
        <v>349</v>
      </c>
      <c r="G810" s="3" t="s">
        <v>327</v>
      </c>
      <c r="H810" s="3" t="s">
        <v>334</v>
      </c>
    </row>
    <row r="811" spans="1:8" x14ac:dyDescent="0.25">
      <c r="A811" s="3" t="s">
        <v>1143</v>
      </c>
      <c r="B811" s="3" t="s">
        <v>3918</v>
      </c>
      <c r="C811" s="3" t="s">
        <v>161</v>
      </c>
      <c r="D811" s="3" t="s">
        <v>315</v>
      </c>
      <c r="E811" s="3">
        <v>739.19</v>
      </c>
      <c r="F811" s="3" t="s">
        <v>324</v>
      </c>
      <c r="G811" s="3" t="s">
        <v>337</v>
      </c>
      <c r="H811" s="3" t="s">
        <v>346</v>
      </c>
    </row>
    <row r="812" spans="1:8" x14ac:dyDescent="0.25">
      <c r="A812" s="3" t="s">
        <v>1144</v>
      </c>
      <c r="B812" s="3" t="s">
        <v>3919</v>
      </c>
      <c r="C812" s="3" t="s">
        <v>70</v>
      </c>
      <c r="D812" s="3" t="s">
        <v>312</v>
      </c>
      <c r="E812" s="3">
        <v>440.99</v>
      </c>
      <c r="F812" s="3" t="s">
        <v>2988</v>
      </c>
      <c r="G812" s="3" t="s">
        <v>325</v>
      </c>
      <c r="H812" s="3" t="s">
        <v>346</v>
      </c>
    </row>
    <row r="813" spans="1:8" x14ac:dyDescent="0.25">
      <c r="A813" s="3" t="s">
        <v>1145</v>
      </c>
      <c r="B813" s="3" t="s">
        <v>3559</v>
      </c>
      <c r="C813" s="3" t="s">
        <v>396</v>
      </c>
      <c r="D813" s="3" t="s">
        <v>294</v>
      </c>
      <c r="E813" s="3">
        <v>588.21</v>
      </c>
      <c r="F813" s="3" t="s">
        <v>324</v>
      </c>
      <c r="G813" s="3" t="s">
        <v>337</v>
      </c>
      <c r="H813" s="3" t="s">
        <v>332</v>
      </c>
    </row>
    <row r="814" spans="1:8" x14ac:dyDescent="0.25">
      <c r="A814" s="3" t="s">
        <v>1146</v>
      </c>
      <c r="B814" s="3" t="s">
        <v>3920</v>
      </c>
      <c r="C814" s="3" t="s">
        <v>135</v>
      </c>
      <c r="D814" s="3" t="s">
        <v>312</v>
      </c>
      <c r="E814" s="3">
        <v>641.88</v>
      </c>
      <c r="F814" s="3" t="s">
        <v>324</v>
      </c>
      <c r="G814" s="3" t="s">
        <v>327</v>
      </c>
      <c r="H814" s="3"/>
    </row>
    <row r="815" spans="1:8" x14ac:dyDescent="0.25">
      <c r="A815" s="3" t="s">
        <v>1147</v>
      </c>
      <c r="B815" s="3" t="s">
        <v>3051</v>
      </c>
      <c r="C815" s="3" t="s">
        <v>117</v>
      </c>
      <c r="D815" s="3" t="s">
        <v>300</v>
      </c>
      <c r="E815" s="3">
        <v>186.49</v>
      </c>
      <c r="F815" s="3" t="s">
        <v>2976</v>
      </c>
      <c r="G815" s="3" t="s">
        <v>329</v>
      </c>
      <c r="H815" s="3"/>
    </row>
    <row r="816" spans="1:8" x14ac:dyDescent="0.25">
      <c r="A816" s="3" t="s">
        <v>1148</v>
      </c>
      <c r="B816" s="3" t="s">
        <v>3921</v>
      </c>
      <c r="C816" s="3" t="s">
        <v>147</v>
      </c>
      <c r="D816" s="3" t="s">
        <v>306</v>
      </c>
      <c r="E816" s="3" t="s">
        <v>3922</v>
      </c>
      <c r="F816" s="3" t="s">
        <v>2995</v>
      </c>
      <c r="G816" s="3" t="s">
        <v>327</v>
      </c>
      <c r="H816" s="3" t="s">
        <v>334</v>
      </c>
    </row>
    <row r="817" spans="1:8" x14ac:dyDescent="0.25">
      <c r="A817" s="3" t="s">
        <v>1149</v>
      </c>
      <c r="B817" s="3" t="s">
        <v>3923</v>
      </c>
      <c r="C817" s="3" t="s">
        <v>229</v>
      </c>
      <c r="D817" s="3" t="s">
        <v>300</v>
      </c>
      <c r="E817" s="3">
        <v>760.42</v>
      </c>
      <c r="F817" s="3" t="s">
        <v>324</v>
      </c>
      <c r="G817" s="3" t="s">
        <v>337</v>
      </c>
      <c r="H817" s="3" t="s">
        <v>346</v>
      </c>
    </row>
    <row r="818" spans="1:8" x14ac:dyDescent="0.25">
      <c r="A818" s="3" t="s">
        <v>1150</v>
      </c>
      <c r="B818" s="3" t="s">
        <v>3924</v>
      </c>
      <c r="C818" s="3" t="s">
        <v>193</v>
      </c>
      <c r="D818" s="3" t="s">
        <v>297</v>
      </c>
      <c r="E818" s="3">
        <v>413.96</v>
      </c>
      <c r="F818" s="3" t="s">
        <v>2973</v>
      </c>
      <c r="G818" s="3" t="s">
        <v>325</v>
      </c>
      <c r="H818" s="3" t="s">
        <v>346</v>
      </c>
    </row>
    <row r="819" spans="1:8" x14ac:dyDescent="0.25">
      <c r="A819" s="3" t="s">
        <v>1151</v>
      </c>
      <c r="B819" s="3" t="s">
        <v>3925</v>
      </c>
      <c r="C819" s="3" t="s">
        <v>64</v>
      </c>
      <c r="D819" s="3" t="s">
        <v>294</v>
      </c>
      <c r="E819" s="3">
        <v>194.12</v>
      </c>
      <c r="F819" s="3" t="s">
        <v>324</v>
      </c>
      <c r="G819" s="3" t="s">
        <v>325</v>
      </c>
      <c r="H819" s="3"/>
    </row>
    <row r="820" spans="1:8" x14ac:dyDescent="0.25">
      <c r="A820" s="3" t="s">
        <v>1152</v>
      </c>
      <c r="B820" s="3" t="s">
        <v>3014</v>
      </c>
      <c r="C820" s="3" t="s">
        <v>98</v>
      </c>
      <c r="D820" s="3" t="s">
        <v>315</v>
      </c>
      <c r="E820" s="3">
        <v>229.03</v>
      </c>
      <c r="F820" s="3" t="s">
        <v>324</v>
      </c>
      <c r="G820" s="3" t="s">
        <v>329</v>
      </c>
      <c r="H820" s="3" t="s">
        <v>346</v>
      </c>
    </row>
    <row r="821" spans="1:8" x14ac:dyDescent="0.25">
      <c r="A821" s="3" t="s">
        <v>1153</v>
      </c>
      <c r="B821" s="3" t="s">
        <v>3926</v>
      </c>
      <c r="C821" s="3" t="s">
        <v>123</v>
      </c>
      <c r="D821" s="3" t="s">
        <v>294</v>
      </c>
      <c r="E821" s="3" t="s">
        <v>3927</v>
      </c>
      <c r="F821" s="3" t="s">
        <v>324</v>
      </c>
      <c r="G821" s="3" t="s">
        <v>327</v>
      </c>
      <c r="H821" s="3"/>
    </row>
    <row r="822" spans="1:8" x14ac:dyDescent="0.25">
      <c r="A822" s="3" t="s">
        <v>1154</v>
      </c>
      <c r="B822" s="3" t="s">
        <v>3928</v>
      </c>
      <c r="C822" s="3" t="s">
        <v>103</v>
      </c>
      <c r="D822" s="3" t="s">
        <v>294</v>
      </c>
      <c r="E822" s="3" t="s">
        <v>3929</v>
      </c>
      <c r="F822" s="3" t="s">
        <v>324</v>
      </c>
      <c r="G822" s="3" t="s">
        <v>325</v>
      </c>
      <c r="H822" s="3" t="s">
        <v>334</v>
      </c>
    </row>
    <row r="823" spans="1:8" x14ac:dyDescent="0.25">
      <c r="A823" s="3" t="s">
        <v>1155</v>
      </c>
      <c r="B823" s="3" t="s">
        <v>3231</v>
      </c>
      <c r="C823" s="3" t="s">
        <v>96</v>
      </c>
      <c r="D823" s="3" t="s">
        <v>306</v>
      </c>
      <c r="E823" s="3">
        <v>680.51</v>
      </c>
      <c r="F823" s="3" t="s">
        <v>3178</v>
      </c>
      <c r="G823" s="3" t="s">
        <v>337</v>
      </c>
      <c r="H823" s="3"/>
    </row>
    <row r="824" spans="1:8" x14ac:dyDescent="0.25">
      <c r="A824" s="3" t="s">
        <v>1156</v>
      </c>
      <c r="B824" s="3" t="s">
        <v>3080</v>
      </c>
      <c r="C824" s="3" t="s">
        <v>23</v>
      </c>
      <c r="D824" s="3" t="s">
        <v>312</v>
      </c>
      <c r="E824" s="3" t="s">
        <v>3930</v>
      </c>
      <c r="F824" s="3" t="s">
        <v>2973</v>
      </c>
      <c r="G824" s="3"/>
      <c r="H824" s="3"/>
    </row>
    <row r="825" spans="1:8" x14ac:dyDescent="0.25">
      <c r="A825" s="3" t="s">
        <v>1157</v>
      </c>
      <c r="B825" s="3" t="s">
        <v>3931</v>
      </c>
      <c r="C825" s="3" t="s">
        <v>55</v>
      </c>
      <c r="D825" s="3" t="s">
        <v>294</v>
      </c>
      <c r="E825" s="3">
        <v>261.47000000000003</v>
      </c>
      <c r="F825" s="3" t="s">
        <v>324</v>
      </c>
      <c r="G825" s="3" t="s">
        <v>327</v>
      </c>
      <c r="H825" s="3"/>
    </row>
    <row r="826" spans="1:8" x14ac:dyDescent="0.25">
      <c r="A826" s="3" t="s">
        <v>1158</v>
      </c>
      <c r="B826" s="3" t="s">
        <v>3478</v>
      </c>
      <c r="C826" s="3" t="s">
        <v>6</v>
      </c>
      <c r="D826" s="3" t="s">
        <v>315</v>
      </c>
      <c r="E826" s="3">
        <v>911.17</v>
      </c>
      <c r="F826" s="3" t="s">
        <v>2973</v>
      </c>
      <c r="G826" s="3" t="s">
        <v>327</v>
      </c>
      <c r="H826" s="3" t="s">
        <v>332</v>
      </c>
    </row>
    <row r="827" spans="1:8" x14ac:dyDescent="0.25">
      <c r="A827" s="3" t="s">
        <v>1159</v>
      </c>
      <c r="B827" s="3" t="s">
        <v>3932</v>
      </c>
      <c r="C827" s="3" t="s">
        <v>167</v>
      </c>
      <c r="D827" s="3" t="s">
        <v>294</v>
      </c>
      <c r="E827" s="3" t="s">
        <v>3933</v>
      </c>
      <c r="F827" s="3" t="s">
        <v>381</v>
      </c>
      <c r="G827" s="3" t="s">
        <v>327</v>
      </c>
      <c r="H827" s="3" t="s">
        <v>334</v>
      </c>
    </row>
    <row r="828" spans="1:8" x14ac:dyDescent="0.25">
      <c r="A828" s="3" t="s">
        <v>1160</v>
      </c>
      <c r="B828" s="3" t="s">
        <v>3934</v>
      </c>
      <c r="C828" s="3" t="s">
        <v>72</v>
      </c>
      <c r="D828" s="3" t="s">
        <v>294</v>
      </c>
      <c r="E828" s="3">
        <v>356.52</v>
      </c>
      <c r="F828" s="3" t="s">
        <v>324</v>
      </c>
      <c r="G828" s="3" t="s">
        <v>327</v>
      </c>
      <c r="H828" s="3"/>
    </row>
    <row r="829" spans="1:8" x14ac:dyDescent="0.25">
      <c r="A829" s="3" t="s">
        <v>1161</v>
      </c>
      <c r="B829" s="3" t="s">
        <v>3935</v>
      </c>
      <c r="C829" s="3" t="s">
        <v>159</v>
      </c>
      <c r="D829" s="3" t="s">
        <v>294</v>
      </c>
      <c r="E829" s="3">
        <v>612.08000000000004</v>
      </c>
      <c r="F829" s="3" t="s">
        <v>2988</v>
      </c>
      <c r="G829" s="3" t="s">
        <v>337</v>
      </c>
      <c r="H829" s="3"/>
    </row>
    <row r="830" spans="1:8" x14ac:dyDescent="0.25">
      <c r="A830" s="3" t="s">
        <v>1162</v>
      </c>
      <c r="B830" s="3" t="s">
        <v>3014</v>
      </c>
      <c r="C830" s="3" t="s">
        <v>131</v>
      </c>
      <c r="D830" s="3" t="s">
        <v>315</v>
      </c>
      <c r="E830" s="3" t="s">
        <v>3936</v>
      </c>
      <c r="F830" s="3" t="s">
        <v>2973</v>
      </c>
      <c r="G830" s="3" t="s">
        <v>329</v>
      </c>
      <c r="H830" s="3" t="s">
        <v>332</v>
      </c>
    </row>
    <row r="831" spans="1:8" x14ac:dyDescent="0.25">
      <c r="A831" s="3" t="s">
        <v>1163</v>
      </c>
      <c r="B831" s="3" t="s">
        <v>3937</v>
      </c>
      <c r="C831" s="3" t="s">
        <v>183</v>
      </c>
      <c r="D831" s="3" t="s">
        <v>309</v>
      </c>
      <c r="E831" s="3" t="s">
        <v>3938</v>
      </c>
      <c r="F831" s="3" t="s">
        <v>2973</v>
      </c>
      <c r="G831" s="3" t="s">
        <v>337</v>
      </c>
      <c r="H831" s="3" t="s">
        <v>346</v>
      </c>
    </row>
    <row r="832" spans="1:8" x14ac:dyDescent="0.25">
      <c r="A832" s="3" t="s">
        <v>1164</v>
      </c>
      <c r="B832" s="3" t="s">
        <v>3939</v>
      </c>
      <c r="C832" s="3" t="s">
        <v>265</v>
      </c>
      <c r="D832" s="3" t="s">
        <v>294</v>
      </c>
      <c r="E832" s="3">
        <v>206.34</v>
      </c>
      <c r="F832" s="3" t="s">
        <v>324</v>
      </c>
      <c r="G832" s="3" t="s">
        <v>325</v>
      </c>
      <c r="H832" s="3"/>
    </row>
    <row r="833" spans="1:8" x14ac:dyDescent="0.25">
      <c r="A833" s="3" t="s">
        <v>1165</v>
      </c>
      <c r="B833" s="3" t="s">
        <v>3940</v>
      </c>
      <c r="C833" s="3" t="s">
        <v>129</v>
      </c>
      <c r="D833" s="3" t="s">
        <v>297</v>
      </c>
      <c r="E833" s="3">
        <v>895.26</v>
      </c>
      <c r="F833" s="3" t="s">
        <v>331</v>
      </c>
      <c r="G833" s="3"/>
      <c r="H833" s="3" t="s">
        <v>346</v>
      </c>
    </row>
    <row r="834" spans="1:8" x14ac:dyDescent="0.25">
      <c r="A834" s="3" t="s">
        <v>1166</v>
      </c>
      <c r="B834" s="3" t="s">
        <v>3656</v>
      </c>
      <c r="C834" s="3" t="s">
        <v>239</v>
      </c>
      <c r="D834" s="3" t="s">
        <v>300</v>
      </c>
      <c r="E834" s="3" t="s">
        <v>3941</v>
      </c>
      <c r="F834" s="3" t="s">
        <v>349</v>
      </c>
      <c r="G834" s="3" t="s">
        <v>329</v>
      </c>
      <c r="H834" s="3" t="s">
        <v>332</v>
      </c>
    </row>
    <row r="835" spans="1:8" x14ac:dyDescent="0.25">
      <c r="A835" s="3" t="s">
        <v>1167</v>
      </c>
      <c r="B835" s="3" t="s">
        <v>3174</v>
      </c>
      <c r="C835" s="3" t="s">
        <v>175</v>
      </c>
      <c r="D835" s="3" t="s">
        <v>294</v>
      </c>
      <c r="E835" s="3">
        <v>578.96</v>
      </c>
      <c r="F835" s="3" t="s">
        <v>2988</v>
      </c>
      <c r="G835" s="3" t="s">
        <v>325</v>
      </c>
      <c r="H835" s="3"/>
    </row>
    <row r="836" spans="1:8" x14ac:dyDescent="0.25">
      <c r="A836" s="3" t="s">
        <v>1168</v>
      </c>
      <c r="B836" s="3" t="s">
        <v>3942</v>
      </c>
      <c r="C836" s="3" t="s">
        <v>33</v>
      </c>
      <c r="D836" s="3" t="s">
        <v>297</v>
      </c>
      <c r="E836" s="3" t="s">
        <v>3943</v>
      </c>
      <c r="F836" s="3" t="s">
        <v>324</v>
      </c>
      <c r="G836" s="3" t="s">
        <v>325</v>
      </c>
      <c r="H836" s="3"/>
    </row>
    <row r="837" spans="1:8" x14ac:dyDescent="0.25">
      <c r="A837" s="3" t="s">
        <v>1169</v>
      </c>
      <c r="B837" s="3" t="s">
        <v>3944</v>
      </c>
      <c r="C837" s="3" t="s">
        <v>29</v>
      </c>
      <c r="D837" s="3" t="s">
        <v>297</v>
      </c>
      <c r="E837" s="3">
        <v>598.96</v>
      </c>
      <c r="F837" s="3" t="s">
        <v>2976</v>
      </c>
      <c r="G837" s="3" t="s">
        <v>337</v>
      </c>
      <c r="H837" s="3"/>
    </row>
    <row r="838" spans="1:8" x14ac:dyDescent="0.25">
      <c r="A838" s="3" t="s">
        <v>1170</v>
      </c>
      <c r="B838" s="3" t="s">
        <v>3945</v>
      </c>
      <c r="C838" s="3" t="s">
        <v>38</v>
      </c>
      <c r="D838" s="3" t="s">
        <v>312</v>
      </c>
      <c r="E838" s="3">
        <v>596.82000000000005</v>
      </c>
      <c r="F838" s="3" t="s">
        <v>324</v>
      </c>
      <c r="G838" s="3" t="s">
        <v>327</v>
      </c>
      <c r="H838" s="3"/>
    </row>
    <row r="839" spans="1:8" x14ac:dyDescent="0.25">
      <c r="A839" s="3" t="s">
        <v>1171</v>
      </c>
      <c r="B839" s="3" t="s">
        <v>3946</v>
      </c>
      <c r="C839" s="3" t="s">
        <v>58</v>
      </c>
      <c r="D839" s="3" t="s">
        <v>309</v>
      </c>
      <c r="E839" s="3">
        <v>309.69</v>
      </c>
      <c r="F839" s="3" t="s">
        <v>2995</v>
      </c>
      <c r="G839" s="3" t="s">
        <v>325</v>
      </c>
      <c r="H839" s="3" t="s">
        <v>332</v>
      </c>
    </row>
    <row r="840" spans="1:8" x14ac:dyDescent="0.25">
      <c r="A840" s="3" t="s">
        <v>2967</v>
      </c>
      <c r="B840" s="3" t="s">
        <v>3881</v>
      </c>
      <c r="C840" s="3"/>
      <c r="D840" s="3" t="s">
        <v>294</v>
      </c>
      <c r="E840" s="3">
        <v>539.84</v>
      </c>
      <c r="F840" s="3" t="s">
        <v>324</v>
      </c>
      <c r="G840" s="3" t="s">
        <v>325</v>
      </c>
      <c r="H840" s="3"/>
    </row>
    <row r="841" spans="1:8" x14ac:dyDescent="0.25">
      <c r="A841" s="3" t="s">
        <v>1172</v>
      </c>
      <c r="B841" s="3" t="s">
        <v>3947</v>
      </c>
      <c r="C841" s="3" t="s">
        <v>33</v>
      </c>
      <c r="D841" s="3" t="s">
        <v>303</v>
      </c>
      <c r="E841" s="3">
        <v>326.57</v>
      </c>
      <c r="F841" s="3" t="s">
        <v>2995</v>
      </c>
      <c r="G841" s="3" t="s">
        <v>337</v>
      </c>
      <c r="H841" s="3"/>
    </row>
    <row r="842" spans="1:8" x14ac:dyDescent="0.25">
      <c r="A842" s="3" t="s">
        <v>1173</v>
      </c>
      <c r="B842" s="3" t="s">
        <v>3356</v>
      </c>
      <c r="C842" s="3" t="s">
        <v>115</v>
      </c>
      <c r="D842" s="3" t="s">
        <v>297</v>
      </c>
      <c r="E842" s="3">
        <v>553.53</v>
      </c>
      <c r="F842" s="3" t="s">
        <v>324</v>
      </c>
      <c r="G842" s="3" t="s">
        <v>325</v>
      </c>
      <c r="H842" s="3" t="s">
        <v>332</v>
      </c>
    </row>
    <row r="843" spans="1:8" x14ac:dyDescent="0.25">
      <c r="A843" s="3" t="s">
        <v>1174</v>
      </c>
      <c r="B843" s="3" t="s">
        <v>3224</v>
      </c>
      <c r="C843" s="3" t="s">
        <v>113</v>
      </c>
      <c r="D843" s="3" t="s">
        <v>294</v>
      </c>
      <c r="E843" s="3" t="s">
        <v>3948</v>
      </c>
      <c r="F843" s="3" t="s">
        <v>381</v>
      </c>
      <c r="G843" s="3" t="s">
        <v>325</v>
      </c>
      <c r="H843" s="3" t="s">
        <v>346</v>
      </c>
    </row>
    <row r="844" spans="1:8" x14ac:dyDescent="0.25">
      <c r="A844" s="3" t="s">
        <v>1175</v>
      </c>
      <c r="B844" s="3" t="s">
        <v>3709</v>
      </c>
      <c r="C844" s="3" t="s">
        <v>169</v>
      </c>
      <c r="D844" s="3" t="s">
        <v>294</v>
      </c>
      <c r="E844" s="3" t="s">
        <v>3949</v>
      </c>
      <c r="F844" s="3" t="s">
        <v>3157</v>
      </c>
      <c r="G844" s="3" t="s">
        <v>337</v>
      </c>
      <c r="H844" s="3" t="s">
        <v>346</v>
      </c>
    </row>
    <row r="845" spans="1:8" x14ac:dyDescent="0.25">
      <c r="A845" s="3" t="s">
        <v>1176</v>
      </c>
      <c r="B845" s="3" t="s">
        <v>3950</v>
      </c>
      <c r="C845" s="3" t="s">
        <v>247</v>
      </c>
      <c r="D845" s="3" t="s">
        <v>294</v>
      </c>
      <c r="E845" s="3">
        <v>320.99</v>
      </c>
      <c r="F845" s="3" t="s">
        <v>324</v>
      </c>
      <c r="G845" s="3" t="s">
        <v>327</v>
      </c>
      <c r="H845" s="3"/>
    </row>
    <row r="846" spans="1:8" x14ac:dyDescent="0.25">
      <c r="A846" s="3" t="s">
        <v>1177</v>
      </c>
      <c r="B846" s="3" t="s">
        <v>3951</v>
      </c>
      <c r="C846" s="3" t="s">
        <v>229</v>
      </c>
      <c r="D846" s="3" t="s">
        <v>315</v>
      </c>
      <c r="E846" s="3">
        <v>536.1</v>
      </c>
      <c r="F846" s="3" t="s">
        <v>3097</v>
      </c>
      <c r="G846" s="3"/>
      <c r="H846" s="3"/>
    </row>
    <row r="847" spans="1:8" x14ac:dyDescent="0.25">
      <c r="A847" s="3" t="s">
        <v>1178</v>
      </c>
      <c r="B847" s="3" t="s">
        <v>3952</v>
      </c>
      <c r="C847" s="3" t="s">
        <v>141</v>
      </c>
      <c r="D847" s="3" t="s">
        <v>306</v>
      </c>
      <c r="E847" s="3">
        <v>235.95</v>
      </c>
      <c r="F847" s="3" t="s">
        <v>2988</v>
      </c>
      <c r="G847" s="3" t="s">
        <v>327</v>
      </c>
      <c r="H847" s="3"/>
    </row>
    <row r="848" spans="1:8" x14ac:dyDescent="0.25">
      <c r="A848" s="3" t="s">
        <v>1179</v>
      </c>
      <c r="B848" s="3" t="s">
        <v>3103</v>
      </c>
      <c r="C848" s="3" t="s">
        <v>269</v>
      </c>
      <c r="D848" s="3" t="s">
        <v>315</v>
      </c>
      <c r="E848" s="3" t="s">
        <v>3953</v>
      </c>
      <c r="F848" s="3" t="s">
        <v>2988</v>
      </c>
      <c r="G848" s="3" t="s">
        <v>337</v>
      </c>
      <c r="H848" s="3" t="s">
        <v>332</v>
      </c>
    </row>
    <row r="849" spans="1:8" x14ac:dyDescent="0.25">
      <c r="A849" s="3" t="s">
        <v>1180</v>
      </c>
      <c r="B849" s="3" t="s">
        <v>3954</v>
      </c>
      <c r="C849" s="3" t="s">
        <v>149</v>
      </c>
      <c r="D849" s="3" t="s">
        <v>312</v>
      </c>
      <c r="E849" s="3" t="s">
        <v>3955</v>
      </c>
      <c r="F849" s="3" t="s">
        <v>331</v>
      </c>
      <c r="G849" s="3" t="s">
        <v>337</v>
      </c>
      <c r="H849" s="3" t="s">
        <v>334</v>
      </c>
    </row>
    <row r="850" spans="1:8" x14ac:dyDescent="0.25">
      <c r="A850" s="3" t="s">
        <v>1181</v>
      </c>
      <c r="B850" s="3" t="s">
        <v>3902</v>
      </c>
      <c r="C850" s="3" t="s">
        <v>23</v>
      </c>
      <c r="D850" s="3" t="s">
        <v>297</v>
      </c>
      <c r="E850" s="3">
        <v>214.11</v>
      </c>
      <c r="F850" s="3" t="s">
        <v>3037</v>
      </c>
      <c r="G850" s="3" t="s">
        <v>325</v>
      </c>
      <c r="H850" s="3" t="s">
        <v>334</v>
      </c>
    </row>
    <row r="851" spans="1:8" x14ac:dyDescent="0.25">
      <c r="A851" s="3" t="s">
        <v>1182</v>
      </c>
      <c r="B851" s="3" t="s">
        <v>3833</v>
      </c>
      <c r="C851" s="3" t="s">
        <v>277</v>
      </c>
      <c r="D851" s="3" t="s">
        <v>312</v>
      </c>
      <c r="E851" s="3">
        <v>963.71</v>
      </c>
      <c r="F851" s="3" t="s">
        <v>324</v>
      </c>
      <c r="G851" s="3" t="s">
        <v>327</v>
      </c>
      <c r="H851" s="3" t="s">
        <v>334</v>
      </c>
    </row>
    <row r="852" spans="1:8" x14ac:dyDescent="0.25">
      <c r="A852" s="3" t="s">
        <v>1183</v>
      </c>
      <c r="B852" s="3" t="s">
        <v>2974</v>
      </c>
      <c r="C852" s="3" t="s">
        <v>82</v>
      </c>
      <c r="D852" s="3" t="s">
        <v>294</v>
      </c>
      <c r="E852" s="3" t="s">
        <v>3956</v>
      </c>
      <c r="F852" s="3" t="s">
        <v>324</v>
      </c>
      <c r="G852" s="3" t="s">
        <v>337</v>
      </c>
      <c r="H852" s="3"/>
    </row>
    <row r="853" spans="1:8" x14ac:dyDescent="0.25">
      <c r="A853" s="3" t="s">
        <v>1184</v>
      </c>
      <c r="B853" s="3" t="s">
        <v>3957</v>
      </c>
      <c r="C853" s="3" t="s">
        <v>96</v>
      </c>
      <c r="D853" s="3" t="s">
        <v>309</v>
      </c>
      <c r="E853" s="3" t="s">
        <v>3958</v>
      </c>
      <c r="F853" s="3" t="s">
        <v>324</v>
      </c>
      <c r="G853" s="3" t="s">
        <v>325</v>
      </c>
      <c r="H853" s="3" t="s">
        <v>346</v>
      </c>
    </row>
    <row r="854" spans="1:8" x14ac:dyDescent="0.25">
      <c r="A854" s="3" t="s">
        <v>1185</v>
      </c>
      <c r="B854" s="3" t="s">
        <v>3959</v>
      </c>
      <c r="C854" s="3" t="s">
        <v>225</v>
      </c>
      <c r="D854" s="3" t="s">
        <v>309</v>
      </c>
      <c r="E854" s="3" t="s">
        <v>3960</v>
      </c>
      <c r="F854" s="3" t="s">
        <v>324</v>
      </c>
      <c r="G854" s="3" t="s">
        <v>337</v>
      </c>
      <c r="H854" s="3" t="s">
        <v>332</v>
      </c>
    </row>
    <row r="855" spans="1:8" x14ac:dyDescent="0.25">
      <c r="A855" s="3" t="s">
        <v>1186</v>
      </c>
      <c r="B855" s="3" t="s">
        <v>3282</v>
      </c>
      <c r="C855" s="3" t="s">
        <v>117</v>
      </c>
      <c r="D855" s="3" t="s">
        <v>294</v>
      </c>
      <c r="E855" s="3">
        <v>483.86</v>
      </c>
      <c r="F855" s="3" t="s">
        <v>324</v>
      </c>
      <c r="G855" s="3" t="s">
        <v>325</v>
      </c>
      <c r="H855" s="3" t="s">
        <v>332</v>
      </c>
    </row>
    <row r="856" spans="1:8" x14ac:dyDescent="0.25">
      <c r="A856" s="3" t="s">
        <v>1187</v>
      </c>
      <c r="B856" s="3" t="s">
        <v>3961</v>
      </c>
      <c r="C856" s="3" t="s">
        <v>29</v>
      </c>
      <c r="D856" s="3" t="s">
        <v>303</v>
      </c>
      <c r="E856" s="3" t="s">
        <v>3962</v>
      </c>
      <c r="F856" s="3" t="s">
        <v>3017</v>
      </c>
      <c r="G856" s="3" t="s">
        <v>337</v>
      </c>
      <c r="H856" s="3" t="s">
        <v>332</v>
      </c>
    </row>
    <row r="857" spans="1:8" x14ac:dyDescent="0.25">
      <c r="A857" s="3" t="s">
        <v>1188</v>
      </c>
      <c r="B857" s="3" t="s">
        <v>3963</v>
      </c>
      <c r="C857" s="3" t="s">
        <v>29</v>
      </c>
      <c r="D857" s="3" t="s">
        <v>294</v>
      </c>
      <c r="E857" s="3" t="s">
        <v>3964</v>
      </c>
      <c r="F857" s="3" t="s">
        <v>2988</v>
      </c>
      <c r="G857" s="3" t="s">
        <v>325</v>
      </c>
      <c r="H857" s="3" t="s">
        <v>346</v>
      </c>
    </row>
    <row r="858" spans="1:8" x14ac:dyDescent="0.25">
      <c r="A858" s="3" t="s">
        <v>1056</v>
      </c>
      <c r="B858" s="3" t="s">
        <v>3840</v>
      </c>
      <c r="C858" s="3" t="s">
        <v>249</v>
      </c>
      <c r="D858" s="3" t="s">
        <v>312</v>
      </c>
      <c r="E858" s="3">
        <v>721.85</v>
      </c>
      <c r="F858" s="3" t="s">
        <v>3037</v>
      </c>
      <c r="G858" s="3" t="s">
        <v>327</v>
      </c>
      <c r="H858" s="3" t="s">
        <v>346</v>
      </c>
    </row>
    <row r="859" spans="1:8" x14ac:dyDescent="0.25">
      <c r="A859" s="3" t="s">
        <v>1189</v>
      </c>
      <c r="B859" s="3" t="s">
        <v>3965</v>
      </c>
      <c r="C859" s="3" t="s">
        <v>88</v>
      </c>
      <c r="D859" s="3" t="s">
        <v>297</v>
      </c>
      <c r="E859" s="3">
        <v>600</v>
      </c>
      <c r="F859" s="3" t="s">
        <v>2973</v>
      </c>
      <c r="G859" s="3" t="s">
        <v>327</v>
      </c>
      <c r="H859" s="3" t="s">
        <v>334</v>
      </c>
    </row>
    <row r="860" spans="1:8" x14ac:dyDescent="0.25">
      <c r="A860" s="3" t="s">
        <v>1190</v>
      </c>
      <c r="B860" s="3" t="s">
        <v>3966</v>
      </c>
      <c r="C860" s="3" t="s">
        <v>159</v>
      </c>
      <c r="D860" s="3" t="s">
        <v>309</v>
      </c>
      <c r="E860" s="3">
        <v>452.19</v>
      </c>
      <c r="F860" s="3" t="s">
        <v>2976</v>
      </c>
      <c r="G860" s="3" t="s">
        <v>337</v>
      </c>
      <c r="H860" s="3" t="s">
        <v>332</v>
      </c>
    </row>
    <row r="861" spans="1:8" x14ac:dyDescent="0.25">
      <c r="A861" s="3" t="s">
        <v>1191</v>
      </c>
      <c r="B861" s="3" t="s">
        <v>3967</v>
      </c>
      <c r="C861" s="3" t="s">
        <v>247</v>
      </c>
      <c r="D861" s="3" t="s">
        <v>294</v>
      </c>
      <c r="E861" s="3">
        <v>340.49</v>
      </c>
      <c r="F861" s="3" t="s">
        <v>324</v>
      </c>
      <c r="G861" s="3"/>
      <c r="H861" s="3"/>
    </row>
    <row r="862" spans="1:8" x14ac:dyDescent="0.25">
      <c r="A862" s="3" t="s">
        <v>1192</v>
      </c>
      <c r="B862" s="3" t="s">
        <v>3968</v>
      </c>
      <c r="C862" s="3" t="s">
        <v>66</v>
      </c>
      <c r="D862" s="3" t="s">
        <v>306</v>
      </c>
      <c r="E862" s="3">
        <v>1809.37</v>
      </c>
      <c r="F862" s="3" t="s">
        <v>2980</v>
      </c>
      <c r="G862" s="3" t="s">
        <v>329</v>
      </c>
      <c r="H862" s="3" t="s">
        <v>332</v>
      </c>
    </row>
    <row r="863" spans="1:8" x14ac:dyDescent="0.25">
      <c r="A863" s="3" t="s">
        <v>1193</v>
      </c>
      <c r="B863" s="3" t="s">
        <v>3969</v>
      </c>
      <c r="C863" s="3" t="s">
        <v>227</v>
      </c>
      <c r="D863" s="3" t="s">
        <v>315</v>
      </c>
      <c r="E863" s="3">
        <v>167.25</v>
      </c>
      <c r="F863" s="3" t="s">
        <v>2995</v>
      </c>
      <c r="G863" s="3" t="s">
        <v>327</v>
      </c>
      <c r="H863" s="3" t="s">
        <v>334</v>
      </c>
    </row>
    <row r="864" spans="1:8" x14ac:dyDescent="0.25">
      <c r="A864" s="3" t="s">
        <v>1194</v>
      </c>
      <c r="B864" s="3" t="s">
        <v>3970</v>
      </c>
      <c r="C864" s="3" t="s">
        <v>70</v>
      </c>
      <c r="D864" s="3" t="s">
        <v>312</v>
      </c>
      <c r="E864" s="3">
        <v>255.62</v>
      </c>
      <c r="F864" s="3" t="s">
        <v>324</v>
      </c>
      <c r="G864" s="3" t="s">
        <v>327</v>
      </c>
      <c r="H864" s="3"/>
    </row>
    <row r="865" spans="1:8" x14ac:dyDescent="0.25">
      <c r="A865" s="3" t="s">
        <v>1195</v>
      </c>
      <c r="B865" s="3" t="s">
        <v>3398</v>
      </c>
      <c r="C865" s="3" t="s">
        <v>64</v>
      </c>
      <c r="D865" s="3" t="s">
        <v>303</v>
      </c>
      <c r="E865" s="3">
        <v>905.46</v>
      </c>
      <c r="F865" s="3" t="s">
        <v>381</v>
      </c>
      <c r="G865" s="3" t="s">
        <v>327</v>
      </c>
      <c r="H865" s="3"/>
    </row>
    <row r="866" spans="1:8" x14ac:dyDescent="0.25">
      <c r="A866" s="3" t="s">
        <v>1196</v>
      </c>
      <c r="B866" s="3" t="s">
        <v>3647</v>
      </c>
      <c r="C866" s="3" t="s">
        <v>47</v>
      </c>
      <c r="D866" s="3" t="s">
        <v>312</v>
      </c>
      <c r="E866" s="3" t="s">
        <v>3971</v>
      </c>
      <c r="F866" s="3" t="s">
        <v>331</v>
      </c>
      <c r="G866" s="3" t="s">
        <v>337</v>
      </c>
      <c r="H866" s="3"/>
    </row>
    <row r="867" spans="1:8" x14ac:dyDescent="0.25">
      <c r="A867" s="3" t="s">
        <v>1197</v>
      </c>
      <c r="B867" s="3" t="s">
        <v>3262</v>
      </c>
      <c r="C867" s="3" t="s">
        <v>251</v>
      </c>
      <c r="D867" s="3" t="s">
        <v>294</v>
      </c>
      <c r="E867" s="3" t="s">
        <v>3972</v>
      </c>
      <c r="F867" s="3" t="s">
        <v>324</v>
      </c>
      <c r="G867" s="3" t="s">
        <v>325</v>
      </c>
      <c r="H867" s="3"/>
    </row>
    <row r="868" spans="1:8" x14ac:dyDescent="0.25">
      <c r="A868" s="3" t="s">
        <v>1198</v>
      </c>
      <c r="B868" s="3" t="s">
        <v>3882</v>
      </c>
      <c r="C868" s="3" t="s">
        <v>171</v>
      </c>
      <c r="D868" s="3" t="s">
        <v>312</v>
      </c>
      <c r="E868" s="3">
        <v>169.36</v>
      </c>
      <c r="F868" s="3" t="s">
        <v>331</v>
      </c>
      <c r="G868" s="3" t="s">
        <v>337</v>
      </c>
      <c r="H868" s="3" t="s">
        <v>346</v>
      </c>
    </row>
    <row r="869" spans="1:8" x14ac:dyDescent="0.25">
      <c r="A869" s="3" t="s">
        <v>1199</v>
      </c>
      <c r="B869" s="3" t="s">
        <v>2989</v>
      </c>
      <c r="C869" s="3" t="s">
        <v>157</v>
      </c>
      <c r="D869" s="3" t="s">
        <v>312</v>
      </c>
      <c r="E869" s="3" t="s">
        <v>3973</v>
      </c>
      <c r="F869" s="3" t="s">
        <v>2980</v>
      </c>
      <c r="G869" s="3" t="s">
        <v>325</v>
      </c>
      <c r="H869" s="3"/>
    </row>
    <row r="870" spans="1:8" x14ac:dyDescent="0.25">
      <c r="A870" s="3" t="s">
        <v>1200</v>
      </c>
      <c r="B870" s="3" t="s">
        <v>3709</v>
      </c>
      <c r="C870" s="3" t="s">
        <v>179</v>
      </c>
      <c r="D870" s="3" t="s">
        <v>312</v>
      </c>
      <c r="E870" s="3">
        <v>286.20999999999998</v>
      </c>
      <c r="F870" s="3" t="s">
        <v>2988</v>
      </c>
      <c r="G870" s="3" t="s">
        <v>325</v>
      </c>
      <c r="H870" s="3" t="s">
        <v>346</v>
      </c>
    </row>
    <row r="871" spans="1:8" x14ac:dyDescent="0.25">
      <c r="A871" s="3" t="s">
        <v>1201</v>
      </c>
      <c r="B871" s="3" t="s">
        <v>3925</v>
      </c>
      <c r="C871" s="3" t="s">
        <v>265</v>
      </c>
      <c r="D871" s="3" t="s">
        <v>294</v>
      </c>
      <c r="E871" s="3">
        <v>742.49</v>
      </c>
      <c r="F871" s="3" t="s">
        <v>2995</v>
      </c>
      <c r="G871" s="3"/>
      <c r="H871" s="3"/>
    </row>
    <row r="872" spans="1:8" x14ac:dyDescent="0.25">
      <c r="A872" s="3" t="s">
        <v>1202</v>
      </c>
      <c r="B872" s="3" t="s">
        <v>3974</v>
      </c>
      <c r="C872" s="3" t="s">
        <v>185</v>
      </c>
      <c r="D872" s="3" t="s">
        <v>294</v>
      </c>
      <c r="E872" s="3" t="s">
        <v>3975</v>
      </c>
      <c r="F872" s="3" t="s">
        <v>2988</v>
      </c>
      <c r="G872" s="3" t="s">
        <v>329</v>
      </c>
      <c r="H872" s="3" t="s">
        <v>332</v>
      </c>
    </row>
    <row r="873" spans="1:8" x14ac:dyDescent="0.25">
      <c r="A873" s="3" t="s">
        <v>1203</v>
      </c>
      <c r="B873" s="3" t="s">
        <v>3897</v>
      </c>
      <c r="C873" s="3" t="s">
        <v>195</v>
      </c>
      <c r="D873" s="3" t="s">
        <v>300</v>
      </c>
      <c r="E873" s="3" t="s">
        <v>3976</v>
      </c>
      <c r="F873" s="3" t="s">
        <v>324</v>
      </c>
      <c r="G873" s="3"/>
      <c r="H873" s="3" t="s">
        <v>334</v>
      </c>
    </row>
    <row r="874" spans="1:8" x14ac:dyDescent="0.25">
      <c r="A874" s="3" t="s">
        <v>1204</v>
      </c>
      <c r="B874" s="3" t="s">
        <v>3053</v>
      </c>
      <c r="C874" s="3" t="s">
        <v>203</v>
      </c>
      <c r="D874" s="3" t="s">
        <v>315</v>
      </c>
      <c r="E874" s="3">
        <v>149.27000000000001</v>
      </c>
      <c r="F874" s="3" t="s">
        <v>324</v>
      </c>
      <c r="G874" s="3" t="s">
        <v>337</v>
      </c>
      <c r="H874" s="3"/>
    </row>
    <row r="875" spans="1:8" x14ac:dyDescent="0.25">
      <c r="A875" s="3" t="s">
        <v>1205</v>
      </c>
      <c r="B875" s="3" t="s">
        <v>3977</v>
      </c>
      <c r="C875" s="3" t="s">
        <v>15</v>
      </c>
      <c r="D875" s="3" t="s">
        <v>306</v>
      </c>
      <c r="E875" s="3">
        <v>263.76</v>
      </c>
      <c r="F875" s="3" t="s">
        <v>2976</v>
      </c>
      <c r="G875" s="3" t="s">
        <v>329</v>
      </c>
      <c r="H875" s="3"/>
    </row>
    <row r="876" spans="1:8" x14ac:dyDescent="0.25">
      <c r="A876" s="3" t="s">
        <v>1206</v>
      </c>
      <c r="B876" s="3" t="s">
        <v>3978</v>
      </c>
      <c r="C876" s="3" t="s">
        <v>259</v>
      </c>
      <c r="D876" s="3" t="s">
        <v>294</v>
      </c>
      <c r="E876" s="3">
        <v>244.26</v>
      </c>
      <c r="F876" s="3" t="s">
        <v>2976</v>
      </c>
      <c r="G876" s="3" t="s">
        <v>327</v>
      </c>
      <c r="H876" s="3"/>
    </row>
    <row r="877" spans="1:8" x14ac:dyDescent="0.25">
      <c r="A877" s="3" t="s">
        <v>1207</v>
      </c>
      <c r="B877" s="3" t="s">
        <v>3459</v>
      </c>
      <c r="C877" s="3" t="s">
        <v>100</v>
      </c>
      <c r="D877" s="3" t="s">
        <v>309</v>
      </c>
      <c r="E877" s="3">
        <v>486.59</v>
      </c>
      <c r="F877" s="3" t="s">
        <v>324</v>
      </c>
      <c r="G877" s="3" t="s">
        <v>329</v>
      </c>
      <c r="H877" s="3"/>
    </row>
    <row r="878" spans="1:8" x14ac:dyDescent="0.25">
      <c r="A878" s="3" t="s">
        <v>1208</v>
      </c>
      <c r="B878" s="3" t="s">
        <v>3711</v>
      </c>
      <c r="C878" s="3" t="s">
        <v>139</v>
      </c>
      <c r="D878" s="3" t="s">
        <v>312</v>
      </c>
      <c r="E878" s="3">
        <v>287.20999999999998</v>
      </c>
      <c r="F878" s="3" t="s">
        <v>324</v>
      </c>
      <c r="G878" s="3" t="s">
        <v>327</v>
      </c>
      <c r="H878" s="3" t="s">
        <v>334</v>
      </c>
    </row>
    <row r="879" spans="1:8" x14ac:dyDescent="0.25">
      <c r="A879" s="3" t="s">
        <v>1209</v>
      </c>
      <c r="B879" s="3" t="s">
        <v>3669</v>
      </c>
      <c r="C879" s="3" t="s">
        <v>267</v>
      </c>
      <c r="D879" s="3" t="s">
        <v>309</v>
      </c>
      <c r="E879" s="3">
        <v>741.07</v>
      </c>
      <c r="F879" s="3" t="s">
        <v>3112</v>
      </c>
      <c r="G879" s="3" t="s">
        <v>325</v>
      </c>
      <c r="H879" s="3" t="s">
        <v>334</v>
      </c>
    </row>
    <row r="880" spans="1:8" x14ac:dyDescent="0.25">
      <c r="A880" s="3" t="s">
        <v>1210</v>
      </c>
      <c r="B880" s="3" t="s">
        <v>3979</v>
      </c>
      <c r="C880" s="3" t="s">
        <v>15</v>
      </c>
      <c r="D880" s="3" t="s">
        <v>303</v>
      </c>
      <c r="E880" s="3">
        <v>833.37</v>
      </c>
      <c r="F880" s="3" t="s">
        <v>2988</v>
      </c>
      <c r="G880" s="3" t="s">
        <v>325</v>
      </c>
      <c r="H880" s="3" t="s">
        <v>332</v>
      </c>
    </row>
    <row r="881" spans="1:8" x14ac:dyDescent="0.25">
      <c r="A881" s="3" t="s">
        <v>1211</v>
      </c>
      <c r="B881" s="3" t="s">
        <v>2986</v>
      </c>
      <c r="C881" s="3" t="s">
        <v>117</v>
      </c>
      <c r="D881" s="3" t="s">
        <v>312</v>
      </c>
      <c r="E881" s="3" t="s">
        <v>3980</v>
      </c>
      <c r="F881" s="3" t="s">
        <v>2976</v>
      </c>
      <c r="G881" s="3" t="s">
        <v>329</v>
      </c>
      <c r="H881" s="3"/>
    </row>
    <row r="882" spans="1:8" x14ac:dyDescent="0.25">
      <c r="A882" s="3" t="s">
        <v>1212</v>
      </c>
      <c r="B882" s="3" t="s">
        <v>3951</v>
      </c>
      <c r="C882" s="3" t="s">
        <v>193</v>
      </c>
      <c r="D882" s="3" t="s">
        <v>297</v>
      </c>
      <c r="E882" s="3" t="s">
        <v>3981</v>
      </c>
      <c r="F882" s="3" t="s">
        <v>2980</v>
      </c>
      <c r="G882" s="3" t="s">
        <v>325</v>
      </c>
      <c r="H882" s="3" t="s">
        <v>334</v>
      </c>
    </row>
    <row r="883" spans="1:8" x14ac:dyDescent="0.25">
      <c r="A883" s="3" t="s">
        <v>1213</v>
      </c>
      <c r="B883" s="3" t="s">
        <v>3954</v>
      </c>
      <c r="C883" s="3" t="s">
        <v>273</v>
      </c>
      <c r="D883" s="3" t="s">
        <v>300</v>
      </c>
      <c r="E883" s="3">
        <v>309.93</v>
      </c>
      <c r="F883" s="3" t="s">
        <v>3112</v>
      </c>
      <c r="G883" s="3" t="s">
        <v>327</v>
      </c>
      <c r="H883" s="3"/>
    </row>
    <row r="884" spans="1:8" x14ac:dyDescent="0.25">
      <c r="A884" s="3" t="s">
        <v>1214</v>
      </c>
      <c r="B884" s="3" t="s">
        <v>3982</v>
      </c>
      <c r="C884" s="3" t="s">
        <v>173</v>
      </c>
      <c r="D884" s="3" t="s">
        <v>300</v>
      </c>
      <c r="E884" s="3" t="s">
        <v>3983</v>
      </c>
      <c r="F884" s="3" t="s">
        <v>2988</v>
      </c>
      <c r="G884" s="3"/>
      <c r="H884" s="3" t="s">
        <v>332</v>
      </c>
    </row>
    <row r="885" spans="1:8" x14ac:dyDescent="0.25">
      <c r="A885" s="3" t="s">
        <v>1215</v>
      </c>
      <c r="B885" s="3" t="s">
        <v>3121</v>
      </c>
      <c r="C885" s="3" t="s">
        <v>49</v>
      </c>
      <c r="D885" s="3" t="s">
        <v>297</v>
      </c>
      <c r="E885" s="3">
        <v>412.63</v>
      </c>
      <c r="F885" s="3" t="s">
        <v>324</v>
      </c>
      <c r="G885" s="3" t="s">
        <v>327</v>
      </c>
      <c r="H885" s="3"/>
    </row>
    <row r="886" spans="1:8" x14ac:dyDescent="0.25">
      <c r="A886" s="3" t="s">
        <v>1216</v>
      </c>
      <c r="B886" s="3" t="s">
        <v>3984</v>
      </c>
      <c r="C886" s="3" t="s">
        <v>219</v>
      </c>
      <c r="D886" s="3" t="s">
        <v>300</v>
      </c>
      <c r="E886" s="3" t="s">
        <v>3985</v>
      </c>
      <c r="F886" s="3" t="s">
        <v>2976</v>
      </c>
      <c r="G886" s="3" t="s">
        <v>327</v>
      </c>
      <c r="H886" s="3"/>
    </row>
    <row r="887" spans="1:8" x14ac:dyDescent="0.25">
      <c r="A887" s="3" t="s">
        <v>1217</v>
      </c>
      <c r="B887" s="3" t="s">
        <v>3890</v>
      </c>
      <c r="C887" s="3" t="s">
        <v>123</v>
      </c>
      <c r="D887" s="3" t="s">
        <v>312</v>
      </c>
      <c r="E887" s="3">
        <v>1122.6300000000001</v>
      </c>
      <c r="F887" s="3" t="s">
        <v>331</v>
      </c>
      <c r="G887" s="3"/>
      <c r="H887" s="3" t="s">
        <v>332</v>
      </c>
    </row>
    <row r="888" spans="1:8" x14ac:dyDescent="0.25">
      <c r="A888" s="3" t="s">
        <v>1218</v>
      </c>
      <c r="B888" s="3" t="s">
        <v>3741</v>
      </c>
      <c r="C888" s="3" t="s">
        <v>179</v>
      </c>
      <c r="D888" s="3" t="s">
        <v>294</v>
      </c>
      <c r="E888" s="3">
        <v>593.03</v>
      </c>
      <c r="F888" s="3" t="s">
        <v>324</v>
      </c>
      <c r="G888" s="3"/>
      <c r="H888" s="3"/>
    </row>
    <row r="889" spans="1:8" x14ac:dyDescent="0.25">
      <c r="A889" s="3" t="s">
        <v>1219</v>
      </c>
      <c r="B889" s="3" t="s">
        <v>3570</v>
      </c>
      <c r="C889" s="3" t="s">
        <v>70</v>
      </c>
      <c r="D889" s="3" t="s">
        <v>315</v>
      </c>
      <c r="E889" s="3" t="s">
        <v>3986</v>
      </c>
      <c r="F889" s="3" t="s">
        <v>2988</v>
      </c>
      <c r="G889" s="3" t="s">
        <v>327</v>
      </c>
      <c r="H889" s="3"/>
    </row>
    <row r="890" spans="1:8" x14ac:dyDescent="0.25">
      <c r="A890" s="3" t="s">
        <v>1220</v>
      </c>
      <c r="B890" s="3" t="s">
        <v>3987</v>
      </c>
      <c r="C890" s="3" t="s">
        <v>47</v>
      </c>
      <c r="D890" s="3" t="s">
        <v>306</v>
      </c>
      <c r="E890" s="3">
        <v>347.38</v>
      </c>
      <c r="F890" s="3" t="s">
        <v>324</v>
      </c>
      <c r="G890" s="3" t="s">
        <v>327</v>
      </c>
      <c r="H890" s="3" t="s">
        <v>332</v>
      </c>
    </row>
    <row r="891" spans="1:8" x14ac:dyDescent="0.25">
      <c r="A891" s="3" t="s">
        <v>1221</v>
      </c>
      <c r="B891" s="3" t="s">
        <v>3698</v>
      </c>
      <c r="C891" s="3" t="s">
        <v>213</v>
      </c>
      <c r="D891" s="3" t="s">
        <v>315</v>
      </c>
      <c r="E891" s="3">
        <v>981.09</v>
      </c>
      <c r="F891" s="3" t="s">
        <v>324</v>
      </c>
      <c r="G891" s="3" t="s">
        <v>325</v>
      </c>
      <c r="H891" s="3" t="s">
        <v>346</v>
      </c>
    </row>
    <row r="892" spans="1:8" x14ac:dyDescent="0.25">
      <c r="A892" s="3" t="s">
        <v>1222</v>
      </c>
      <c r="B892" s="3" t="s">
        <v>3537</v>
      </c>
      <c r="C892" s="3" t="s">
        <v>233</v>
      </c>
      <c r="D892" s="3" t="s">
        <v>309</v>
      </c>
      <c r="E892" s="3" t="s">
        <v>3988</v>
      </c>
      <c r="F892" s="3" t="s">
        <v>381</v>
      </c>
      <c r="G892" s="3" t="s">
        <v>329</v>
      </c>
      <c r="H892" s="3" t="s">
        <v>332</v>
      </c>
    </row>
    <row r="893" spans="1:8" x14ac:dyDescent="0.25">
      <c r="A893" s="3" t="s">
        <v>1223</v>
      </c>
      <c r="B893" s="3" t="s">
        <v>3989</v>
      </c>
      <c r="C893" s="3" t="s">
        <v>86</v>
      </c>
      <c r="D893" s="3" t="s">
        <v>300</v>
      </c>
      <c r="E893" s="3" t="s">
        <v>3990</v>
      </c>
      <c r="F893" s="3" t="s">
        <v>2973</v>
      </c>
      <c r="G893" s="3" t="s">
        <v>325</v>
      </c>
      <c r="H893" s="3"/>
    </row>
    <row r="894" spans="1:8" x14ac:dyDescent="0.25">
      <c r="A894" s="3" t="s">
        <v>1224</v>
      </c>
      <c r="B894" s="3" t="s">
        <v>3378</v>
      </c>
      <c r="C894" s="3" t="s">
        <v>51</v>
      </c>
      <c r="D894" s="3" t="s">
        <v>303</v>
      </c>
      <c r="E894" s="3">
        <v>664.23</v>
      </c>
      <c r="F894" s="3" t="s">
        <v>324</v>
      </c>
      <c r="G894" s="3" t="s">
        <v>327</v>
      </c>
      <c r="H894" s="3"/>
    </row>
    <row r="895" spans="1:8" x14ac:dyDescent="0.25">
      <c r="A895" s="3" t="s">
        <v>1225</v>
      </c>
      <c r="B895" s="3" t="s">
        <v>3991</v>
      </c>
      <c r="C895" s="3" t="s">
        <v>191</v>
      </c>
      <c r="D895" s="3" t="s">
        <v>294</v>
      </c>
      <c r="E895" s="3">
        <v>1113.45</v>
      </c>
      <c r="F895" s="3" t="s">
        <v>324</v>
      </c>
      <c r="G895" s="3" t="s">
        <v>329</v>
      </c>
      <c r="H895" s="3"/>
    </row>
    <row r="896" spans="1:8" x14ac:dyDescent="0.25">
      <c r="A896" s="3" t="s">
        <v>2968</v>
      </c>
      <c r="B896" s="3" t="s">
        <v>3665</v>
      </c>
      <c r="C896" s="3"/>
      <c r="D896" s="3" t="s">
        <v>315</v>
      </c>
      <c r="E896" s="3">
        <v>498.47</v>
      </c>
      <c r="F896" s="3" t="s">
        <v>324</v>
      </c>
      <c r="G896" s="3" t="s">
        <v>325</v>
      </c>
      <c r="H896" s="3"/>
    </row>
    <row r="897" spans="1:8" x14ac:dyDescent="0.25">
      <c r="A897" s="3" t="s">
        <v>1226</v>
      </c>
      <c r="B897" s="3" t="s">
        <v>3992</v>
      </c>
      <c r="C897" s="3" t="s">
        <v>40</v>
      </c>
      <c r="D897" s="3" t="s">
        <v>294</v>
      </c>
      <c r="E897" s="3">
        <v>-526.42999999999995</v>
      </c>
      <c r="F897" s="3" t="s">
        <v>3021</v>
      </c>
      <c r="G897" s="3" t="s">
        <v>337</v>
      </c>
      <c r="H897" s="3" t="s">
        <v>334</v>
      </c>
    </row>
    <row r="898" spans="1:8" x14ac:dyDescent="0.25">
      <c r="A898" s="3" t="s">
        <v>1227</v>
      </c>
      <c r="B898" s="3" t="s">
        <v>3610</v>
      </c>
      <c r="C898" s="3" t="s">
        <v>161</v>
      </c>
      <c r="D898" s="3" t="s">
        <v>297</v>
      </c>
      <c r="E898" s="3" t="s">
        <v>3993</v>
      </c>
      <c r="F898" s="3" t="s">
        <v>2995</v>
      </c>
      <c r="G898" s="3" t="s">
        <v>325</v>
      </c>
      <c r="H898" s="3" t="s">
        <v>334</v>
      </c>
    </row>
    <row r="899" spans="1:8" x14ac:dyDescent="0.25">
      <c r="A899" s="3" t="s">
        <v>1228</v>
      </c>
      <c r="B899" s="3" t="s">
        <v>3665</v>
      </c>
      <c r="C899" s="3" t="s">
        <v>96</v>
      </c>
      <c r="D899" s="3" t="s">
        <v>309</v>
      </c>
      <c r="E899" s="3" t="s">
        <v>3994</v>
      </c>
      <c r="F899" s="3" t="s">
        <v>324</v>
      </c>
      <c r="G899" s="3" t="s">
        <v>325</v>
      </c>
      <c r="H899" s="3"/>
    </row>
    <row r="900" spans="1:8" x14ac:dyDescent="0.25">
      <c r="A900" s="3" t="s">
        <v>1229</v>
      </c>
      <c r="B900" s="3" t="s">
        <v>3995</v>
      </c>
      <c r="C900" s="3" t="s">
        <v>6</v>
      </c>
      <c r="D900" s="3" t="s">
        <v>309</v>
      </c>
      <c r="E900" s="3" t="s">
        <v>3996</v>
      </c>
      <c r="F900" s="3" t="s">
        <v>381</v>
      </c>
      <c r="G900" s="3" t="s">
        <v>325</v>
      </c>
      <c r="H900" s="3" t="s">
        <v>332</v>
      </c>
    </row>
    <row r="901" spans="1:8" x14ac:dyDescent="0.25">
      <c r="A901" s="3" t="s">
        <v>1230</v>
      </c>
      <c r="B901" s="3" t="s">
        <v>3944</v>
      </c>
      <c r="C901" s="3" t="s">
        <v>199</v>
      </c>
      <c r="D901" s="3" t="s">
        <v>294</v>
      </c>
      <c r="E901" s="3" t="s">
        <v>3997</v>
      </c>
      <c r="F901" s="3" t="s">
        <v>324</v>
      </c>
      <c r="G901" s="3" t="s">
        <v>325</v>
      </c>
      <c r="H901" s="3"/>
    </row>
    <row r="902" spans="1:8" x14ac:dyDescent="0.25">
      <c r="A902" s="3" t="s">
        <v>1231</v>
      </c>
      <c r="B902" s="3" t="s">
        <v>3617</v>
      </c>
      <c r="C902" s="3" t="s">
        <v>223</v>
      </c>
      <c r="D902" s="3" t="s">
        <v>294</v>
      </c>
      <c r="E902" s="3" t="s">
        <v>3998</v>
      </c>
      <c r="F902" s="3" t="s">
        <v>324</v>
      </c>
      <c r="G902" s="3" t="s">
        <v>325</v>
      </c>
      <c r="H902" s="3" t="s">
        <v>346</v>
      </c>
    </row>
    <row r="903" spans="1:8" x14ac:dyDescent="0.25">
      <c r="A903" s="3" t="s">
        <v>1232</v>
      </c>
      <c r="B903" s="3" t="s">
        <v>3999</v>
      </c>
      <c r="C903" s="3" t="s">
        <v>173</v>
      </c>
      <c r="D903" s="3" t="s">
        <v>300</v>
      </c>
      <c r="E903" s="3" t="s">
        <v>4000</v>
      </c>
      <c r="F903" s="3" t="s">
        <v>324</v>
      </c>
      <c r="G903" s="3" t="s">
        <v>327</v>
      </c>
      <c r="H903" s="3"/>
    </row>
    <row r="904" spans="1:8" x14ac:dyDescent="0.25">
      <c r="A904" s="3" t="s">
        <v>1233</v>
      </c>
      <c r="B904" s="3" t="s">
        <v>3378</v>
      </c>
      <c r="C904" s="3" t="s">
        <v>11</v>
      </c>
      <c r="D904" s="3" t="s">
        <v>309</v>
      </c>
      <c r="E904" s="3">
        <v>237.11</v>
      </c>
      <c r="F904" s="3" t="s">
        <v>2988</v>
      </c>
      <c r="G904" s="3" t="s">
        <v>327</v>
      </c>
      <c r="H904" s="3" t="s">
        <v>346</v>
      </c>
    </row>
    <row r="905" spans="1:8" x14ac:dyDescent="0.25">
      <c r="A905" s="3" t="s">
        <v>1234</v>
      </c>
      <c r="B905" s="3" t="s">
        <v>3987</v>
      </c>
      <c r="C905" s="3" t="s">
        <v>171</v>
      </c>
      <c r="D905" s="3" t="s">
        <v>294</v>
      </c>
      <c r="E905" s="3">
        <v>35.799999999999997</v>
      </c>
      <c r="F905" s="3" t="s">
        <v>324</v>
      </c>
      <c r="G905" s="3" t="s">
        <v>327</v>
      </c>
      <c r="H905" s="3" t="s">
        <v>332</v>
      </c>
    </row>
    <row r="906" spans="1:8" x14ac:dyDescent="0.25">
      <c r="A906" s="3" t="s">
        <v>1235</v>
      </c>
      <c r="B906" s="3" t="s">
        <v>3018</v>
      </c>
      <c r="C906" s="3" t="s">
        <v>42</v>
      </c>
      <c r="D906" s="3" t="s">
        <v>300</v>
      </c>
      <c r="E906" s="3">
        <v>524.41999999999996</v>
      </c>
      <c r="F906" s="3" t="s">
        <v>324</v>
      </c>
      <c r="G906" s="3" t="s">
        <v>325</v>
      </c>
      <c r="H906" s="3" t="s">
        <v>334</v>
      </c>
    </row>
    <row r="907" spans="1:8" x14ac:dyDescent="0.25">
      <c r="A907" s="3" t="s">
        <v>1236</v>
      </c>
      <c r="B907" s="3" t="s">
        <v>3063</v>
      </c>
      <c r="C907" s="3" t="s">
        <v>217</v>
      </c>
      <c r="D907" s="3" t="s">
        <v>294</v>
      </c>
      <c r="E907" s="3">
        <v>-170.81</v>
      </c>
      <c r="F907" s="3" t="s">
        <v>3021</v>
      </c>
      <c r="G907" s="3" t="s">
        <v>327</v>
      </c>
      <c r="H907" s="3" t="s">
        <v>346</v>
      </c>
    </row>
    <row r="908" spans="1:8" x14ac:dyDescent="0.25">
      <c r="A908" s="3" t="s">
        <v>1237</v>
      </c>
      <c r="B908" s="3" t="s">
        <v>4001</v>
      </c>
      <c r="C908" s="3" t="s">
        <v>163</v>
      </c>
      <c r="D908" s="3" t="s">
        <v>309</v>
      </c>
      <c r="E908" s="3">
        <v>-217.48</v>
      </c>
      <c r="F908" s="3" t="s">
        <v>3006</v>
      </c>
      <c r="G908" s="3" t="s">
        <v>325</v>
      </c>
      <c r="H908" s="3"/>
    </row>
    <row r="909" spans="1:8" x14ac:dyDescent="0.25">
      <c r="A909" s="3" t="s">
        <v>1238</v>
      </c>
      <c r="B909" s="3" t="s">
        <v>4002</v>
      </c>
      <c r="C909" s="3" t="s">
        <v>51</v>
      </c>
      <c r="D909" s="3" t="s">
        <v>294</v>
      </c>
      <c r="E909" s="3" t="s">
        <v>4003</v>
      </c>
      <c r="F909" s="3" t="s">
        <v>349</v>
      </c>
      <c r="G909" s="3" t="s">
        <v>337</v>
      </c>
      <c r="H909" s="3"/>
    </row>
    <row r="910" spans="1:8" x14ac:dyDescent="0.25">
      <c r="A910" s="3" t="s">
        <v>1239</v>
      </c>
      <c r="B910" s="3" t="s">
        <v>4004</v>
      </c>
      <c r="C910" s="3" t="s">
        <v>76</v>
      </c>
      <c r="D910" s="3" t="s">
        <v>300</v>
      </c>
      <c r="E910" s="3">
        <v>674.25</v>
      </c>
      <c r="F910" s="3" t="s">
        <v>2995</v>
      </c>
      <c r="G910" s="3" t="s">
        <v>325</v>
      </c>
      <c r="H910" s="3"/>
    </row>
    <row r="911" spans="1:8" x14ac:dyDescent="0.25">
      <c r="A911" s="3" t="s">
        <v>1240</v>
      </c>
      <c r="B911" s="3" t="s">
        <v>3521</v>
      </c>
      <c r="C911" s="3" t="s">
        <v>47</v>
      </c>
      <c r="D911" s="3" t="s">
        <v>300</v>
      </c>
      <c r="E911" s="3">
        <v>428.38</v>
      </c>
      <c r="F911" s="3" t="s">
        <v>324</v>
      </c>
      <c r="G911" s="3" t="s">
        <v>327</v>
      </c>
      <c r="H911" s="3"/>
    </row>
    <row r="912" spans="1:8" x14ac:dyDescent="0.25">
      <c r="A912" s="3" t="s">
        <v>1241</v>
      </c>
      <c r="B912" s="3" t="s">
        <v>3272</v>
      </c>
      <c r="C912" s="3" t="s">
        <v>215</v>
      </c>
      <c r="D912" s="3" t="s">
        <v>294</v>
      </c>
      <c r="E912" s="3" t="s">
        <v>4005</v>
      </c>
      <c r="F912" s="3" t="s">
        <v>3060</v>
      </c>
      <c r="G912" s="3" t="s">
        <v>325</v>
      </c>
      <c r="H912" s="3"/>
    </row>
    <row r="913" spans="1:8" x14ac:dyDescent="0.25">
      <c r="A913" s="3" t="s">
        <v>1242</v>
      </c>
      <c r="B913" s="3" t="s">
        <v>3650</v>
      </c>
      <c r="C913" s="3" t="s">
        <v>169</v>
      </c>
      <c r="D913" s="3" t="s">
        <v>306</v>
      </c>
      <c r="E913" s="3">
        <v>289.42</v>
      </c>
      <c r="F913" s="3" t="s">
        <v>2995</v>
      </c>
      <c r="G913" s="3" t="s">
        <v>337</v>
      </c>
      <c r="H913" s="3" t="s">
        <v>334</v>
      </c>
    </row>
    <row r="914" spans="1:8" x14ac:dyDescent="0.25">
      <c r="A914" s="3" t="s">
        <v>1243</v>
      </c>
      <c r="B914" s="3" t="s">
        <v>4006</v>
      </c>
      <c r="C914" s="3" t="s">
        <v>58</v>
      </c>
      <c r="D914" s="3" t="s">
        <v>300</v>
      </c>
      <c r="E914" s="3" t="s">
        <v>4007</v>
      </c>
      <c r="F914" s="3" t="s">
        <v>331</v>
      </c>
      <c r="G914" s="3" t="s">
        <v>325</v>
      </c>
      <c r="H914" s="3" t="s">
        <v>334</v>
      </c>
    </row>
    <row r="915" spans="1:8" x14ac:dyDescent="0.25">
      <c r="A915" s="3" t="s">
        <v>1244</v>
      </c>
      <c r="B915" s="3" t="s">
        <v>4008</v>
      </c>
      <c r="C915" s="3" t="s">
        <v>35</v>
      </c>
      <c r="D915" s="3" t="s">
        <v>297</v>
      </c>
      <c r="E915" s="3" t="s">
        <v>4009</v>
      </c>
      <c r="F915" s="3" t="s">
        <v>324</v>
      </c>
      <c r="G915" s="3" t="s">
        <v>329</v>
      </c>
      <c r="H915" s="3"/>
    </row>
    <row r="916" spans="1:8" x14ac:dyDescent="0.25">
      <c r="A916" s="3" t="s">
        <v>1245</v>
      </c>
      <c r="B916" s="3" t="s">
        <v>3432</v>
      </c>
      <c r="C916" s="3" t="s">
        <v>171</v>
      </c>
      <c r="D916" s="3" t="s">
        <v>294</v>
      </c>
      <c r="E916" s="3">
        <v>175.9</v>
      </c>
      <c r="F916" s="3" t="s">
        <v>2976</v>
      </c>
      <c r="G916" s="3" t="s">
        <v>327</v>
      </c>
      <c r="H916" s="3"/>
    </row>
    <row r="917" spans="1:8" x14ac:dyDescent="0.25">
      <c r="A917" s="3" t="s">
        <v>1246</v>
      </c>
      <c r="B917" s="3" t="s">
        <v>3018</v>
      </c>
      <c r="C917" s="3" t="s">
        <v>92</v>
      </c>
      <c r="D917" s="3" t="s">
        <v>294</v>
      </c>
      <c r="E917" s="3" t="s">
        <v>4010</v>
      </c>
      <c r="F917" s="3" t="s">
        <v>381</v>
      </c>
      <c r="G917" s="3" t="s">
        <v>325</v>
      </c>
      <c r="H917" s="3"/>
    </row>
    <row r="918" spans="1:8" x14ac:dyDescent="0.25">
      <c r="A918" s="3" t="s">
        <v>1247</v>
      </c>
      <c r="B918" s="3" t="s">
        <v>4011</v>
      </c>
      <c r="C918" s="3" t="s">
        <v>257</v>
      </c>
      <c r="D918" s="3" t="s">
        <v>297</v>
      </c>
      <c r="E918" s="3">
        <v>101.7</v>
      </c>
      <c r="F918" s="3" t="s">
        <v>2995</v>
      </c>
      <c r="G918" s="3" t="s">
        <v>325</v>
      </c>
      <c r="H918" s="3"/>
    </row>
    <row r="919" spans="1:8" x14ac:dyDescent="0.25">
      <c r="A919" s="3" t="s">
        <v>1248</v>
      </c>
      <c r="B919" s="3" t="s">
        <v>4012</v>
      </c>
      <c r="C919" s="3" t="s">
        <v>113</v>
      </c>
      <c r="D919" s="3" t="s">
        <v>300</v>
      </c>
      <c r="E919" s="3">
        <v>745.9</v>
      </c>
      <c r="F919" s="3" t="s">
        <v>2995</v>
      </c>
      <c r="G919" s="3"/>
      <c r="H919" s="3" t="s">
        <v>346</v>
      </c>
    </row>
    <row r="920" spans="1:8" x14ac:dyDescent="0.25">
      <c r="A920" s="3" t="s">
        <v>1249</v>
      </c>
      <c r="B920" s="3" t="s">
        <v>4013</v>
      </c>
      <c r="C920" s="3" t="s">
        <v>96</v>
      </c>
      <c r="D920" s="3" t="s">
        <v>294</v>
      </c>
      <c r="E920" s="3" t="s">
        <v>4014</v>
      </c>
      <c r="F920" s="3" t="s">
        <v>2976</v>
      </c>
      <c r="G920" s="3" t="s">
        <v>325</v>
      </c>
      <c r="H920" s="3" t="s">
        <v>334</v>
      </c>
    </row>
    <row r="921" spans="1:8" x14ac:dyDescent="0.25">
      <c r="A921" s="3" t="s">
        <v>1250</v>
      </c>
      <c r="B921" s="3" t="s">
        <v>3785</v>
      </c>
      <c r="C921" s="3" t="s">
        <v>147</v>
      </c>
      <c r="D921" s="3" t="s">
        <v>294</v>
      </c>
      <c r="E921" s="3">
        <v>425.77</v>
      </c>
      <c r="F921" s="3" t="s">
        <v>2995</v>
      </c>
      <c r="G921" s="3" t="s">
        <v>327</v>
      </c>
      <c r="H921" s="3" t="s">
        <v>334</v>
      </c>
    </row>
    <row r="922" spans="1:8" x14ac:dyDescent="0.25">
      <c r="A922" s="3" t="s">
        <v>1251</v>
      </c>
      <c r="B922" s="3" t="s">
        <v>4015</v>
      </c>
      <c r="C922" s="3" t="s">
        <v>40</v>
      </c>
      <c r="D922" s="3" t="s">
        <v>312</v>
      </c>
      <c r="E922" s="3" t="s">
        <v>4016</v>
      </c>
      <c r="F922" s="3" t="s">
        <v>324</v>
      </c>
      <c r="G922" s="3" t="s">
        <v>327</v>
      </c>
      <c r="H922" s="3"/>
    </row>
    <row r="923" spans="1:8" x14ac:dyDescent="0.25">
      <c r="A923" s="3" t="s">
        <v>1252</v>
      </c>
      <c r="B923" s="3" t="s">
        <v>4017</v>
      </c>
      <c r="C923" s="3" t="s">
        <v>119</v>
      </c>
      <c r="D923" s="3" t="s">
        <v>294</v>
      </c>
      <c r="E923" s="3">
        <v>684.73</v>
      </c>
      <c r="F923" s="3" t="s">
        <v>2976</v>
      </c>
      <c r="G923" s="3" t="s">
        <v>329</v>
      </c>
      <c r="H923" s="3"/>
    </row>
    <row r="924" spans="1:8" x14ac:dyDescent="0.25">
      <c r="A924" s="3" t="s">
        <v>1253</v>
      </c>
      <c r="B924" s="3" t="s">
        <v>4018</v>
      </c>
      <c r="C924" s="3" t="s">
        <v>185</v>
      </c>
      <c r="D924" s="3" t="s">
        <v>312</v>
      </c>
      <c r="E924" s="3">
        <v>268.37</v>
      </c>
      <c r="F924" s="3" t="s">
        <v>2976</v>
      </c>
      <c r="G924" s="3" t="s">
        <v>329</v>
      </c>
      <c r="H924" s="3" t="s">
        <v>332</v>
      </c>
    </row>
    <row r="925" spans="1:8" x14ac:dyDescent="0.25">
      <c r="A925" s="3" t="s">
        <v>1254</v>
      </c>
      <c r="B925" s="3" t="s">
        <v>4019</v>
      </c>
      <c r="C925" s="3" t="s">
        <v>137</v>
      </c>
      <c r="D925" s="3" t="s">
        <v>303</v>
      </c>
      <c r="E925" s="3">
        <v>568.76</v>
      </c>
      <c r="F925" s="3" t="s">
        <v>324</v>
      </c>
      <c r="G925" s="3" t="s">
        <v>325</v>
      </c>
      <c r="H925" s="3" t="s">
        <v>346</v>
      </c>
    </row>
    <row r="926" spans="1:8" x14ac:dyDescent="0.25">
      <c r="A926" s="3" t="s">
        <v>1255</v>
      </c>
      <c r="B926" s="3" t="s">
        <v>3935</v>
      </c>
      <c r="C926" s="3" t="s">
        <v>189</v>
      </c>
      <c r="D926" s="3" t="s">
        <v>297</v>
      </c>
      <c r="E926" s="3" t="s">
        <v>4020</v>
      </c>
      <c r="F926" s="3" t="s">
        <v>381</v>
      </c>
      <c r="G926" s="3" t="s">
        <v>327</v>
      </c>
      <c r="H926" s="3"/>
    </row>
    <row r="927" spans="1:8" x14ac:dyDescent="0.25">
      <c r="A927" s="3" t="s">
        <v>1256</v>
      </c>
      <c r="B927" s="3" t="s">
        <v>4021</v>
      </c>
      <c r="C927" s="3" t="s">
        <v>201</v>
      </c>
      <c r="D927" s="3" t="s">
        <v>303</v>
      </c>
      <c r="E927" s="3">
        <v>261.76</v>
      </c>
      <c r="F927" s="3" t="s">
        <v>324</v>
      </c>
      <c r="G927" s="3" t="s">
        <v>329</v>
      </c>
      <c r="H927" s="3" t="s">
        <v>334</v>
      </c>
    </row>
    <row r="928" spans="1:8" x14ac:dyDescent="0.25">
      <c r="A928" s="3" t="s">
        <v>1257</v>
      </c>
      <c r="B928" s="3" t="s">
        <v>4022</v>
      </c>
      <c r="C928" s="3" t="s">
        <v>141</v>
      </c>
      <c r="D928" s="3" t="s">
        <v>300</v>
      </c>
      <c r="E928" s="3">
        <v>735.5</v>
      </c>
      <c r="F928" s="3" t="s">
        <v>324</v>
      </c>
      <c r="G928" s="3" t="s">
        <v>325</v>
      </c>
      <c r="H928" s="3" t="s">
        <v>346</v>
      </c>
    </row>
    <row r="929" spans="1:8" x14ac:dyDescent="0.25">
      <c r="A929" s="3" t="s">
        <v>1258</v>
      </c>
      <c r="B929" s="3" t="s">
        <v>4023</v>
      </c>
      <c r="C929" s="3" t="s">
        <v>51</v>
      </c>
      <c r="D929" s="3" t="s">
        <v>297</v>
      </c>
      <c r="E929" s="3">
        <v>543.29</v>
      </c>
      <c r="F929" s="3" t="s">
        <v>324</v>
      </c>
      <c r="G929" s="3" t="s">
        <v>337</v>
      </c>
      <c r="H929" s="3"/>
    </row>
    <row r="930" spans="1:8" x14ac:dyDescent="0.25">
      <c r="A930" s="3" t="s">
        <v>1259</v>
      </c>
      <c r="B930" s="3" t="s">
        <v>3436</v>
      </c>
      <c r="C930" s="3" t="s">
        <v>33</v>
      </c>
      <c r="D930" s="3" t="s">
        <v>303</v>
      </c>
      <c r="E930" s="3" t="s">
        <v>4024</v>
      </c>
      <c r="F930" s="3" t="s">
        <v>324</v>
      </c>
      <c r="G930" s="3" t="s">
        <v>337</v>
      </c>
      <c r="H930" s="3"/>
    </row>
    <row r="931" spans="1:8" x14ac:dyDescent="0.25">
      <c r="A931" s="3" t="s">
        <v>1260</v>
      </c>
      <c r="B931" s="3" t="s">
        <v>4025</v>
      </c>
      <c r="C931" s="3" t="s">
        <v>44</v>
      </c>
      <c r="D931" s="3" t="s">
        <v>294</v>
      </c>
      <c r="E931" s="3" t="s">
        <v>4026</v>
      </c>
      <c r="F931" s="3" t="s">
        <v>2995</v>
      </c>
      <c r="G931" s="3" t="s">
        <v>337</v>
      </c>
      <c r="H931" s="3" t="s">
        <v>346</v>
      </c>
    </row>
    <row r="932" spans="1:8" x14ac:dyDescent="0.25">
      <c r="A932" s="3" t="s">
        <v>1261</v>
      </c>
      <c r="B932" s="3" t="s">
        <v>3118</v>
      </c>
      <c r="C932" s="3" t="s">
        <v>271</v>
      </c>
      <c r="D932" s="3" t="s">
        <v>300</v>
      </c>
      <c r="E932" s="3">
        <v>406.18</v>
      </c>
      <c r="F932" s="3" t="s">
        <v>2973</v>
      </c>
      <c r="G932" s="3" t="s">
        <v>337</v>
      </c>
      <c r="H932" s="3" t="s">
        <v>332</v>
      </c>
    </row>
    <row r="933" spans="1:8" x14ac:dyDescent="0.25">
      <c r="A933" s="3" t="s">
        <v>1262</v>
      </c>
      <c r="B933" s="3" t="s">
        <v>4027</v>
      </c>
      <c r="C933" s="3" t="s">
        <v>121</v>
      </c>
      <c r="D933" s="3" t="s">
        <v>300</v>
      </c>
      <c r="E933" s="3" t="s">
        <v>4028</v>
      </c>
      <c r="F933" s="3" t="s">
        <v>324</v>
      </c>
      <c r="G933" s="3" t="s">
        <v>327</v>
      </c>
      <c r="H933" s="3" t="s">
        <v>332</v>
      </c>
    </row>
    <row r="934" spans="1:8" x14ac:dyDescent="0.25">
      <c r="A934" s="3" t="s">
        <v>1263</v>
      </c>
      <c r="B934" s="3" t="s">
        <v>4029</v>
      </c>
      <c r="C934" s="3" t="s">
        <v>88</v>
      </c>
      <c r="D934" s="3" t="s">
        <v>315</v>
      </c>
      <c r="E934" s="3">
        <v>380.8</v>
      </c>
      <c r="F934" s="3" t="s">
        <v>324</v>
      </c>
      <c r="G934" s="3" t="s">
        <v>327</v>
      </c>
      <c r="H934" s="3" t="s">
        <v>334</v>
      </c>
    </row>
    <row r="935" spans="1:8" x14ac:dyDescent="0.25">
      <c r="A935" s="3" t="s">
        <v>1264</v>
      </c>
      <c r="B935" s="3" t="s">
        <v>3235</v>
      </c>
      <c r="C935" s="3" t="s">
        <v>251</v>
      </c>
      <c r="D935" s="3" t="s">
        <v>303</v>
      </c>
      <c r="E935" s="3" t="s">
        <v>4030</v>
      </c>
      <c r="F935" s="3" t="s">
        <v>324</v>
      </c>
      <c r="G935" s="3" t="s">
        <v>329</v>
      </c>
      <c r="H935" s="3" t="s">
        <v>332</v>
      </c>
    </row>
    <row r="936" spans="1:8" x14ac:dyDescent="0.25">
      <c r="A936" s="3" t="s">
        <v>1265</v>
      </c>
      <c r="B936" s="3" t="s">
        <v>3355</v>
      </c>
      <c r="C936" s="3" t="s">
        <v>131</v>
      </c>
      <c r="D936" s="3" t="s">
        <v>294</v>
      </c>
      <c r="E936" s="3">
        <v>-245.78</v>
      </c>
      <c r="F936" s="3" t="s">
        <v>3021</v>
      </c>
      <c r="G936" s="3" t="s">
        <v>327</v>
      </c>
      <c r="H936" s="3"/>
    </row>
    <row r="937" spans="1:8" x14ac:dyDescent="0.25">
      <c r="A937" s="3" t="s">
        <v>1266</v>
      </c>
      <c r="B937" s="3" t="s">
        <v>4031</v>
      </c>
      <c r="C937" s="3" t="s">
        <v>139</v>
      </c>
      <c r="D937" s="3" t="s">
        <v>300</v>
      </c>
      <c r="E937" s="3">
        <v>241.58</v>
      </c>
      <c r="F937" s="3" t="s">
        <v>2997</v>
      </c>
      <c r="G937" s="3" t="s">
        <v>337</v>
      </c>
      <c r="H937" s="3"/>
    </row>
    <row r="938" spans="1:8" x14ac:dyDescent="0.25">
      <c r="A938" s="3" t="s">
        <v>1267</v>
      </c>
      <c r="B938" s="3" t="s">
        <v>4032</v>
      </c>
      <c r="C938" s="3" t="s">
        <v>257</v>
      </c>
      <c r="D938" s="3" t="s">
        <v>294</v>
      </c>
      <c r="E938" s="3" t="s">
        <v>4033</v>
      </c>
      <c r="F938" s="3" t="s">
        <v>324</v>
      </c>
      <c r="G938" s="3" t="s">
        <v>327</v>
      </c>
      <c r="H938" s="3" t="s">
        <v>334</v>
      </c>
    </row>
    <row r="939" spans="1:8" x14ac:dyDescent="0.25">
      <c r="A939" s="3" t="s">
        <v>1268</v>
      </c>
      <c r="B939" s="3" t="s">
        <v>3649</v>
      </c>
      <c r="C939" s="3" t="s">
        <v>76</v>
      </c>
      <c r="D939" s="3" t="s">
        <v>306</v>
      </c>
      <c r="E939" s="3">
        <v>297.11</v>
      </c>
      <c r="F939" s="3" t="s">
        <v>324</v>
      </c>
      <c r="G939" s="3" t="s">
        <v>327</v>
      </c>
      <c r="H939" s="3" t="s">
        <v>346</v>
      </c>
    </row>
    <row r="940" spans="1:8" x14ac:dyDescent="0.25">
      <c r="A940" s="3" t="s">
        <v>1088</v>
      </c>
      <c r="B940" s="3" t="s">
        <v>3871</v>
      </c>
      <c r="C940" s="3" t="s">
        <v>82</v>
      </c>
      <c r="D940" s="3" t="s">
        <v>294</v>
      </c>
      <c r="E940" s="3">
        <v>195.54</v>
      </c>
      <c r="F940" s="3" t="s">
        <v>2976</v>
      </c>
      <c r="G940" s="3" t="s">
        <v>327</v>
      </c>
      <c r="H940" s="3" t="s">
        <v>334</v>
      </c>
    </row>
    <row r="941" spans="1:8" x14ac:dyDescent="0.25">
      <c r="A941" s="3" t="s">
        <v>1269</v>
      </c>
      <c r="B941" s="3" t="s">
        <v>4034</v>
      </c>
      <c r="C941" s="3" t="s">
        <v>151</v>
      </c>
      <c r="D941" s="3" t="s">
        <v>297</v>
      </c>
      <c r="E941" s="3">
        <v>173.51</v>
      </c>
      <c r="F941" s="3" t="s">
        <v>324</v>
      </c>
      <c r="G941" s="3" t="s">
        <v>325</v>
      </c>
      <c r="H941" s="3"/>
    </row>
    <row r="942" spans="1:8" x14ac:dyDescent="0.25">
      <c r="A942" s="3" t="s">
        <v>1270</v>
      </c>
      <c r="B942" s="3" t="s">
        <v>2986</v>
      </c>
      <c r="C942" s="3" t="s">
        <v>277</v>
      </c>
      <c r="D942" s="3" t="s">
        <v>300</v>
      </c>
      <c r="E942" s="3">
        <v>975.03</v>
      </c>
      <c r="F942" s="3" t="s">
        <v>2973</v>
      </c>
      <c r="G942" s="3" t="s">
        <v>327</v>
      </c>
      <c r="H942" s="3" t="s">
        <v>332</v>
      </c>
    </row>
    <row r="943" spans="1:8" x14ac:dyDescent="0.25">
      <c r="A943" s="3" t="s">
        <v>1271</v>
      </c>
      <c r="B943" s="3" t="s">
        <v>3781</v>
      </c>
      <c r="C943" s="3" t="s">
        <v>47</v>
      </c>
      <c r="D943" s="3" t="s">
        <v>294</v>
      </c>
      <c r="E943" s="3">
        <v>437.19</v>
      </c>
      <c r="F943" s="3" t="s">
        <v>324</v>
      </c>
      <c r="G943" s="3" t="s">
        <v>327</v>
      </c>
      <c r="H943" s="3" t="s">
        <v>334</v>
      </c>
    </row>
    <row r="944" spans="1:8" x14ac:dyDescent="0.25">
      <c r="A944" s="3" t="s">
        <v>1272</v>
      </c>
      <c r="B944" s="3" t="s">
        <v>3117</v>
      </c>
      <c r="C944" s="3" t="s">
        <v>38</v>
      </c>
      <c r="D944" s="3" t="s">
        <v>303</v>
      </c>
      <c r="E944" s="3">
        <v>-82.34</v>
      </c>
      <c r="F944" s="3" t="s">
        <v>349</v>
      </c>
      <c r="G944" s="3" t="s">
        <v>327</v>
      </c>
      <c r="H944" s="3" t="s">
        <v>346</v>
      </c>
    </row>
    <row r="945" spans="1:8" x14ac:dyDescent="0.25">
      <c r="A945" s="3" t="s">
        <v>1273</v>
      </c>
      <c r="B945" s="3" t="s">
        <v>4035</v>
      </c>
      <c r="C945" s="3" t="s">
        <v>111</v>
      </c>
      <c r="D945" s="3" t="s">
        <v>294</v>
      </c>
      <c r="E945" s="3">
        <v>180.17</v>
      </c>
      <c r="F945" s="3" t="s">
        <v>324</v>
      </c>
      <c r="G945" s="3" t="s">
        <v>325</v>
      </c>
      <c r="H945" s="3" t="s">
        <v>334</v>
      </c>
    </row>
    <row r="946" spans="1:8" x14ac:dyDescent="0.25">
      <c r="A946" s="3" t="s">
        <v>1274</v>
      </c>
      <c r="B946" s="3" t="s">
        <v>4036</v>
      </c>
      <c r="C946" s="3" t="s">
        <v>267</v>
      </c>
      <c r="D946" s="3" t="s">
        <v>294</v>
      </c>
      <c r="E946" s="3">
        <v>143.5</v>
      </c>
      <c r="F946" s="3" t="s">
        <v>2995</v>
      </c>
      <c r="G946" s="3" t="s">
        <v>337</v>
      </c>
      <c r="H946" s="3"/>
    </row>
    <row r="947" spans="1:8" x14ac:dyDescent="0.25">
      <c r="A947" s="3" t="s">
        <v>1275</v>
      </c>
      <c r="B947" s="3" t="s">
        <v>3053</v>
      </c>
      <c r="C947" s="3" t="s">
        <v>223</v>
      </c>
      <c r="D947" s="3" t="s">
        <v>306</v>
      </c>
      <c r="E947" s="3">
        <v>311.82</v>
      </c>
      <c r="F947" s="3" t="s">
        <v>324</v>
      </c>
      <c r="G947" s="3" t="s">
        <v>325</v>
      </c>
      <c r="H947" s="3"/>
    </row>
    <row r="948" spans="1:8" x14ac:dyDescent="0.25">
      <c r="A948" s="3" t="s">
        <v>1276</v>
      </c>
      <c r="B948" s="3" t="s">
        <v>4037</v>
      </c>
      <c r="C948" s="3" t="s">
        <v>173</v>
      </c>
      <c r="D948" s="3" t="s">
        <v>294</v>
      </c>
      <c r="E948" s="3" t="s">
        <v>4038</v>
      </c>
      <c r="F948" s="3" t="s">
        <v>324</v>
      </c>
      <c r="G948" s="3" t="s">
        <v>325</v>
      </c>
      <c r="H948" s="3" t="s">
        <v>334</v>
      </c>
    </row>
    <row r="949" spans="1:8" x14ac:dyDescent="0.25">
      <c r="A949" s="3" t="s">
        <v>1277</v>
      </c>
      <c r="B949" s="3" t="s">
        <v>3847</v>
      </c>
      <c r="C949" s="3" t="s">
        <v>175</v>
      </c>
      <c r="D949" s="3" t="s">
        <v>306</v>
      </c>
      <c r="E949" s="3">
        <v>669.4</v>
      </c>
      <c r="F949" s="3" t="s">
        <v>324</v>
      </c>
      <c r="G949" s="3" t="s">
        <v>325</v>
      </c>
      <c r="H949" s="3" t="s">
        <v>346</v>
      </c>
    </row>
    <row r="950" spans="1:8" x14ac:dyDescent="0.25">
      <c r="A950" s="3" t="s">
        <v>1278</v>
      </c>
      <c r="B950" s="3" t="s">
        <v>4039</v>
      </c>
      <c r="C950" s="3" t="s">
        <v>199</v>
      </c>
      <c r="D950" s="3" t="s">
        <v>297</v>
      </c>
      <c r="E950" s="3" t="s">
        <v>4040</v>
      </c>
      <c r="F950" s="3" t="s">
        <v>324</v>
      </c>
      <c r="G950" s="3" t="s">
        <v>337</v>
      </c>
      <c r="H950" s="3"/>
    </row>
    <row r="951" spans="1:8" x14ac:dyDescent="0.25">
      <c r="A951" s="3" t="s">
        <v>1279</v>
      </c>
      <c r="B951" s="3" t="s">
        <v>4041</v>
      </c>
      <c r="C951" s="3" t="s">
        <v>86</v>
      </c>
      <c r="D951" s="3" t="s">
        <v>312</v>
      </c>
      <c r="E951" s="3">
        <v>143.01</v>
      </c>
      <c r="F951" s="3" t="s">
        <v>2976</v>
      </c>
      <c r="G951" s="3" t="s">
        <v>325</v>
      </c>
      <c r="H951" s="3"/>
    </row>
    <row r="952" spans="1:8" x14ac:dyDescent="0.25">
      <c r="A952" s="3" t="s">
        <v>1280</v>
      </c>
      <c r="B952" s="3" t="s">
        <v>4042</v>
      </c>
      <c r="C952" s="3" t="s">
        <v>273</v>
      </c>
      <c r="D952" s="3" t="s">
        <v>303</v>
      </c>
      <c r="E952" s="3">
        <v>545.28</v>
      </c>
      <c r="F952" s="3" t="s">
        <v>324</v>
      </c>
      <c r="G952" s="3" t="s">
        <v>329</v>
      </c>
      <c r="H952" s="3"/>
    </row>
    <row r="953" spans="1:8" x14ac:dyDescent="0.25">
      <c r="A953" s="3" t="s">
        <v>1281</v>
      </c>
      <c r="B953" s="3" t="s">
        <v>3308</v>
      </c>
      <c r="C953" s="3" t="s">
        <v>70</v>
      </c>
      <c r="D953" s="3" t="s">
        <v>306</v>
      </c>
      <c r="E953" s="3">
        <v>1000.72</v>
      </c>
      <c r="F953" s="3" t="s">
        <v>324</v>
      </c>
      <c r="G953" s="3" t="s">
        <v>327</v>
      </c>
      <c r="H953" s="3" t="s">
        <v>332</v>
      </c>
    </row>
    <row r="954" spans="1:8" x14ac:dyDescent="0.25">
      <c r="A954" s="3" t="s">
        <v>1282</v>
      </c>
      <c r="B954" s="3" t="s">
        <v>4043</v>
      </c>
      <c r="C954" s="3" t="s">
        <v>33</v>
      </c>
      <c r="D954" s="3" t="s">
        <v>294</v>
      </c>
      <c r="E954" s="3">
        <v>208.09</v>
      </c>
      <c r="F954" s="3" t="s">
        <v>2976</v>
      </c>
      <c r="G954" s="3" t="s">
        <v>327</v>
      </c>
      <c r="H954" s="3"/>
    </row>
    <row r="955" spans="1:8" x14ac:dyDescent="0.25">
      <c r="A955" s="3" t="s">
        <v>1283</v>
      </c>
      <c r="B955" s="3" t="s">
        <v>4044</v>
      </c>
      <c r="C955" s="3" t="s">
        <v>111</v>
      </c>
      <c r="D955" s="3" t="s">
        <v>297</v>
      </c>
      <c r="E955" s="3" t="s">
        <v>4045</v>
      </c>
      <c r="F955" s="3" t="s">
        <v>2995</v>
      </c>
      <c r="G955" s="3" t="s">
        <v>337</v>
      </c>
      <c r="H955" s="3"/>
    </row>
    <row r="956" spans="1:8" x14ac:dyDescent="0.25">
      <c r="A956" s="3" t="s">
        <v>1284</v>
      </c>
      <c r="B956" s="3" t="s">
        <v>4046</v>
      </c>
      <c r="C956" s="3" t="s">
        <v>94</v>
      </c>
      <c r="D956" s="3" t="s">
        <v>294</v>
      </c>
      <c r="E956" s="3" t="s">
        <v>4047</v>
      </c>
      <c r="F956" s="3" t="s">
        <v>3157</v>
      </c>
      <c r="G956" s="3" t="s">
        <v>327</v>
      </c>
      <c r="H956" s="3"/>
    </row>
    <row r="957" spans="1:8" x14ac:dyDescent="0.25">
      <c r="A957" s="3" t="s">
        <v>1285</v>
      </c>
      <c r="B957" s="3" t="s">
        <v>3932</v>
      </c>
      <c r="C957" s="3" t="s">
        <v>72</v>
      </c>
      <c r="D957" s="3" t="s">
        <v>294</v>
      </c>
      <c r="E957" s="3" t="s">
        <v>4048</v>
      </c>
      <c r="F957" s="3" t="s">
        <v>2988</v>
      </c>
      <c r="G957" s="3" t="s">
        <v>327</v>
      </c>
      <c r="H957" s="3" t="s">
        <v>346</v>
      </c>
    </row>
    <row r="958" spans="1:8" x14ac:dyDescent="0.25">
      <c r="A958" s="3" t="s">
        <v>1286</v>
      </c>
      <c r="B958" s="3" t="s">
        <v>4049</v>
      </c>
      <c r="C958" s="3" t="s">
        <v>641</v>
      </c>
      <c r="D958" s="3" t="s">
        <v>315</v>
      </c>
      <c r="E958" s="3">
        <v>196.73</v>
      </c>
      <c r="F958" s="3" t="s">
        <v>324</v>
      </c>
      <c r="G958" s="3" t="s">
        <v>325</v>
      </c>
      <c r="H958" s="3" t="s">
        <v>346</v>
      </c>
    </row>
    <row r="959" spans="1:8" x14ac:dyDescent="0.25">
      <c r="A959" s="3" t="s">
        <v>1287</v>
      </c>
      <c r="B959" s="3" t="s">
        <v>3510</v>
      </c>
      <c r="C959" s="3" t="s">
        <v>70</v>
      </c>
      <c r="D959" s="3" t="s">
        <v>306</v>
      </c>
      <c r="E959" s="3">
        <v>519</v>
      </c>
      <c r="F959" s="3" t="s">
        <v>324</v>
      </c>
      <c r="G959" s="3" t="s">
        <v>327</v>
      </c>
      <c r="H959" s="3"/>
    </row>
    <row r="960" spans="1:8" x14ac:dyDescent="0.25">
      <c r="A960" s="3" t="s">
        <v>1288</v>
      </c>
      <c r="B960" s="3" t="s">
        <v>3052</v>
      </c>
      <c r="C960" s="3" t="s">
        <v>229</v>
      </c>
      <c r="D960" s="3" t="s">
        <v>297</v>
      </c>
      <c r="E960" s="3">
        <v>659.52</v>
      </c>
      <c r="F960" s="3" t="s">
        <v>324</v>
      </c>
      <c r="G960" s="3" t="s">
        <v>325</v>
      </c>
      <c r="H960" s="3"/>
    </row>
    <row r="961" spans="1:8" x14ac:dyDescent="0.25">
      <c r="A961" s="3" t="s">
        <v>1289</v>
      </c>
      <c r="B961" s="3" t="s">
        <v>3878</v>
      </c>
      <c r="C961" s="3" t="s">
        <v>171</v>
      </c>
      <c r="D961" s="3" t="s">
        <v>300</v>
      </c>
      <c r="E961" s="3" t="s">
        <v>4050</v>
      </c>
      <c r="F961" s="3" t="s">
        <v>324</v>
      </c>
      <c r="G961" s="3" t="s">
        <v>325</v>
      </c>
      <c r="H961" s="3" t="s">
        <v>334</v>
      </c>
    </row>
    <row r="962" spans="1:8" x14ac:dyDescent="0.25">
      <c r="A962" s="3" t="s">
        <v>1290</v>
      </c>
      <c r="B962" s="3" t="s">
        <v>3441</v>
      </c>
      <c r="C962" s="3" t="s">
        <v>19</v>
      </c>
      <c r="D962" s="3" t="s">
        <v>315</v>
      </c>
      <c r="E962" s="3" t="s">
        <v>4051</v>
      </c>
      <c r="F962" s="3" t="s">
        <v>2988</v>
      </c>
      <c r="G962" s="3" t="s">
        <v>327</v>
      </c>
      <c r="H962" s="3"/>
    </row>
    <row r="963" spans="1:8" x14ac:dyDescent="0.25">
      <c r="A963" s="3" t="s">
        <v>1291</v>
      </c>
      <c r="B963" s="3" t="s">
        <v>3042</v>
      </c>
      <c r="C963" s="3" t="s">
        <v>177</v>
      </c>
      <c r="D963" s="3" t="s">
        <v>300</v>
      </c>
      <c r="E963" s="3">
        <v>315.22000000000003</v>
      </c>
      <c r="F963" s="3" t="s">
        <v>324</v>
      </c>
      <c r="G963" s="3" t="s">
        <v>337</v>
      </c>
      <c r="H963" s="3" t="s">
        <v>332</v>
      </c>
    </row>
    <row r="964" spans="1:8" x14ac:dyDescent="0.25">
      <c r="A964" s="3" t="s">
        <v>1292</v>
      </c>
      <c r="B964" s="3" t="s">
        <v>3744</v>
      </c>
      <c r="C964" s="3" t="s">
        <v>213</v>
      </c>
      <c r="D964" s="3" t="s">
        <v>294</v>
      </c>
      <c r="E964" s="3" t="s">
        <v>4052</v>
      </c>
      <c r="F964" s="3" t="s">
        <v>2976</v>
      </c>
      <c r="G964" s="3" t="s">
        <v>337</v>
      </c>
      <c r="H964" s="3"/>
    </row>
    <row r="965" spans="1:8" x14ac:dyDescent="0.25">
      <c r="A965" s="3" t="s">
        <v>1293</v>
      </c>
      <c r="B965" s="3" t="s">
        <v>4053</v>
      </c>
      <c r="C965" s="3" t="s">
        <v>137</v>
      </c>
      <c r="D965" s="3" t="s">
        <v>297</v>
      </c>
      <c r="E965" s="3" t="s">
        <v>4054</v>
      </c>
      <c r="F965" s="3" t="s">
        <v>324</v>
      </c>
      <c r="G965" s="3" t="s">
        <v>327</v>
      </c>
      <c r="H965" s="3"/>
    </row>
    <row r="966" spans="1:8" x14ac:dyDescent="0.25">
      <c r="A966" s="3" t="s">
        <v>1294</v>
      </c>
      <c r="B966" s="3" t="s">
        <v>4032</v>
      </c>
      <c r="C966" s="3" t="s">
        <v>55</v>
      </c>
      <c r="D966" s="3" t="s">
        <v>294</v>
      </c>
      <c r="E966" s="3" t="s">
        <v>4055</v>
      </c>
      <c r="F966" s="3" t="s">
        <v>2995</v>
      </c>
      <c r="G966" s="3" t="s">
        <v>329</v>
      </c>
      <c r="H966" s="3"/>
    </row>
    <row r="967" spans="1:8" x14ac:dyDescent="0.25">
      <c r="A967" s="3" t="s">
        <v>1295</v>
      </c>
      <c r="B967" s="3" t="s">
        <v>3918</v>
      </c>
      <c r="C967" s="3" t="s">
        <v>23</v>
      </c>
      <c r="D967" s="3" t="s">
        <v>294</v>
      </c>
      <c r="E967" s="3">
        <v>664.96</v>
      </c>
      <c r="F967" s="3" t="s">
        <v>324</v>
      </c>
      <c r="G967" s="3" t="s">
        <v>327</v>
      </c>
      <c r="H967" s="3"/>
    </row>
    <row r="968" spans="1:8" x14ac:dyDescent="0.25">
      <c r="A968" s="3" t="s">
        <v>1296</v>
      </c>
      <c r="B968" s="3" t="s">
        <v>4056</v>
      </c>
      <c r="C968" s="3" t="s">
        <v>195</v>
      </c>
      <c r="D968" s="3" t="s">
        <v>294</v>
      </c>
      <c r="E968" s="3">
        <v>647.69000000000005</v>
      </c>
      <c r="F968" s="3" t="s">
        <v>2995</v>
      </c>
      <c r="G968" s="3" t="s">
        <v>327</v>
      </c>
      <c r="H968" s="3" t="s">
        <v>332</v>
      </c>
    </row>
    <row r="969" spans="1:8" x14ac:dyDescent="0.25">
      <c r="A969" s="3" t="s">
        <v>1297</v>
      </c>
      <c r="B969" s="3" t="s">
        <v>3882</v>
      </c>
      <c r="C969" s="3" t="s">
        <v>125</v>
      </c>
      <c r="D969" s="3" t="s">
        <v>294</v>
      </c>
      <c r="E969" s="3">
        <v>283.95</v>
      </c>
      <c r="F969" s="3" t="s">
        <v>381</v>
      </c>
      <c r="G969" s="3" t="s">
        <v>325</v>
      </c>
      <c r="H969" s="3" t="s">
        <v>332</v>
      </c>
    </row>
    <row r="970" spans="1:8" x14ac:dyDescent="0.25">
      <c r="A970" s="3" t="s">
        <v>1298</v>
      </c>
      <c r="B970" s="3" t="s">
        <v>3669</v>
      </c>
      <c r="C970" s="3" t="s">
        <v>44</v>
      </c>
      <c r="D970" s="3" t="s">
        <v>297</v>
      </c>
      <c r="E970" s="3" t="s">
        <v>4057</v>
      </c>
      <c r="F970" s="3" t="s">
        <v>324</v>
      </c>
      <c r="G970" s="3" t="s">
        <v>327</v>
      </c>
      <c r="H970" s="3" t="s">
        <v>332</v>
      </c>
    </row>
    <row r="971" spans="1:8" x14ac:dyDescent="0.25">
      <c r="A971" s="3" t="s">
        <v>1299</v>
      </c>
      <c r="B971" s="3" t="s">
        <v>4058</v>
      </c>
      <c r="C971" s="3" t="s">
        <v>42</v>
      </c>
      <c r="D971" s="3" t="s">
        <v>300</v>
      </c>
      <c r="E971" s="3">
        <v>366.5</v>
      </c>
      <c r="F971" s="3" t="s">
        <v>2973</v>
      </c>
      <c r="G971" s="3" t="s">
        <v>337</v>
      </c>
      <c r="H971" s="3"/>
    </row>
    <row r="972" spans="1:8" x14ac:dyDescent="0.25">
      <c r="A972" s="3" t="s">
        <v>1300</v>
      </c>
      <c r="B972" s="3" t="s">
        <v>3047</v>
      </c>
      <c r="C972" s="3" t="s">
        <v>15</v>
      </c>
      <c r="D972" s="3" t="s">
        <v>300</v>
      </c>
      <c r="E972" s="3" t="s">
        <v>4059</v>
      </c>
      <c r="F972" s="3" t="s">
        <v>2976</v>
      </c>
      <c r="G972" s="3" t="s">
        <v>325</v>
      </c>
      <c r="H972" s="3"/>
    </row>
    <row r="973" spans="1:8" x14ac:dyDescent="0.25">
      <c r="A973" s="3" t="s">
        <v>1301</v>
      </c>
      <c r="B973" s="3" t="s">
        <v>4060</v>
      </c>
      <c r="C973" s="3" t="s">
        <v>141</v>
      </c>
      <c r="D973" s="3" t="s">
        <v>297</v>
      </c>
      <c r="E973" s="3" t="s">
        <v>4061</v>
      </c>
      <c r="F973" s="3" t="s">
        <v>2988</v>
      </c>
      <c r="G973" s="3" t="s">
        <v>327</v>
      </c>
      <c r="H973" s="3" t="s">
        <v>334</v>
      </c>
    </row>
    <row r="974" spans="1:8" x14ac:dyDescent="0.25">
      <c r="A974" s="3" t="s">
        <v>1302</v>
      </c>
      <c r="B974" s="3" t="s">
        <v>3767</v>
      </c>
      <c r="C974" s="3" t="s">
        <v>103</v>
      </c>
      <c r="D974" s="3" t="s">
        <v>315</v>
      </c>
      <c r="E974" s="3">
        <v>221.36</v>
      </c>
      <c r="F974" s="3" t="s">
        <v>3157</v>
      </c>
      <c r="G974" s="3" t="s">
        <v>337</v>
      </c>
      <c r="H974" s="3"/>
    </row>
    <row r="975" spans="1:8" x14ac:dyDescent="0.25">
      <c r="A975" s="3" t="s">
        <v>1303</v>
      </c>
      <c r="B975" s="3" t="s">
        <v>3041</v>
      </c>
      <c r="C975" s="3" t="s">
        <v>155</v>
      </c>
      <c r="D975" s="3" t="s">
        <v>294</v>
      </c>
      <c r="E975" s="3">
        <v>519.54</v>
      </c>
      <c r="F975" s="3" t="s">
        <v>324</v>
      </c>
      <c r="G975" s="3"/>
      <c r="H975" s="3"/>
    </row>
    <row r="976" spans="1:8" x14ac:dyDescent="0.25">
      <c r="A976" s="3" t="s">
        <v>1304</v>
      </c>
      <c r="B976" s="3" t="s">
        <v>3613</v>
      </c>
      <c r="C976" s="3" t="s">
        <v>197</v>
      </c>
      <c r="D976" s="3" t="s">
        <v>297</v>
      </c>
      <c r="E976" s="3" t="s">
        <v>4062</v>
      </c>
      <c r="F976" s="3" t="s">
        <v>324</v>
      </c>
      <c r="G976" s="3" t="s">
        <v>325</v>
      </c>
      <c r="H976" s="3" t="s">
        <v>346</v>
      </c>
    </row>
    <row r="977" spans="1:8" x14ac:dyDescent="0.25">
      <c r="A977" s="3" t="s">
        <v>1305</v>
      </c>
      <c r="B977" s="3" t="s">
        <v>3129</v>
      </c>
      <c r="C977" s="3" t="s">
        <v>19</v>
      </c>
      <c r="D977" s="3" t="s">
        <v>303</v>
      </c>
      <c r="E977" s="3">
        <v>384.88</v>
      </c>
      <c r="F977" s="3" t="s">
        <v>324</v>
      </c>
      <c r="G977" s="3" t="s">
        <v>325</v>
      </c>
      <c r="H977" s="3" t="s">
        <v>334</v>
      </c>
    </row>
    <row r="978" spans="1:8" x14ac:dyDescent="0.25">
      <c r="A978" s="3" t="s">
        <v>1306</v>
      </c>
      <c r="B978" s="3" t="s">
        <v>4063</v>
      </c>
      <c r="C978" s="3" t="s">
        <v>113</v>
      </c>
      <c r="D978" s="3" t="s">
        <v>297</v>
      </c>
      <c r="E978" s="3">
        <v>410.49</v>
      </c>
      <c r="F978" s="3" t="s">
        <v>324</v>
      </c>
      <c r="G978" s="3" t="s">
        <v>325</v>
      </c>
      <c r="H978" s="3"/>
    </row>
    <row r="979" spans="1:8" x14ac:dyDescent="0.25">
      <c r="A979" s="3" t="s">
        <v>1307</v>
      </c>
      <c r="B979" s="3" t="s">
        <v>3470</v>
      </c>
      <c r="C979" s="3" t="s">
        <v>261</v>
      </c>
      <c r="D979" s="3" t="s">
        <v>306</v>
      </c>
      <c r="E979" s="3">
        <v>734.55</v>
      </c>
      <c r="F979" s="3" t="s">
        <v>324</v>
      </c>
      <c r="G979" s="3" t="s">
        <v>337</v>
      </c>
      <c r="H979" s="3"/>
    </row>
    <row r="980" spans="1:8" x14ac:dyDescent="0.25">
      <c r="A980" s="3" t="s">
        <v>1308</v>
      </c>
      <c r="B980" s="3" t="s">
        <v>3877</v>
      </c>
      <c r="C980" s="3" t="s">
        <v>55</v>
      </c>
      <c r="D980" s="3" t="s">
        <v>294</v>
      </c>
      <c r="E980" s="3">
        <v>391.39</v>
      </c>
      <c r="F980" s="3" t="s">
        <v>2976</v>
      </c>
      <c r="G980" s="3" t="s">
        <v>337</v>
      </c>
      <c r="H980" s="3" t="s">
        <v>346</v>
      </c>
    </row>
    <row r="981" spans="1:8" x14ac:dyDescent="0.25">
      <c r="A981" s="3" t="s">
        <v>1309</v>
      </c>
      <c r="B981" s="3" t="s">
        <v>4064</v>
      </c>
      <c r="C981" s="3" t="s">
        <v>241</v>
      </c>
      <c r="D981" s="3" t="s">
        <v>297</v>
      </c>
      <c r="E981" s="3">
        <v>754.3</v>
      </c>
      <c r="F981" s="3" t="s">
        <v>2976</v>
      </c>
      <c r="G981" s="3" t="s">
        <v>325</v>
      </c>
      <c r="H981" s="3"/>
    </row>
    <row r="982" spans="1:8" x14ac:dyDescent="0.25">
      <c r="A982" s="3" t="s">
        <v>1310</v>
      </c>
      <c r="B982" s="3" t="s">
        <v>3073</v>
      </c>
      <c r="C982" s="3" t="s">
        <v>58</v>
      </c>
      <c r="D982" s="3" t="s">
        <v>294</v>
      </c>
      <c r="E982" s="3" t="s">
        <v>4065</v>
      </c>
      <c r="F982" s="3" t="s">
        <v>331</v>
      </c>
      <c r="G982" s="3" t="s">
        <v>325</v>
      </c>
      <c r="H982" s="3" t="s">
        <v>346</v>
      </c>
    </row>
    <row r="983" spans="1:8" x14ac:dyDescent="0.25">
      <c r="A983" s="3" t="s">
        <v>1311</v>
      </c>
      <c r="B983" s="3" t="s">
        <v>4066</v>
      </c>
      <c r="C983" s="3" t="s">
        <v>163</v>
      </c>
      <c r="D983" s="3" t="s">
        <v>309</v>
      </c>
      <c r="E983" s="3">
        <v>915.13</v>
      </c>
      <c r="F983" s="3" t="s">
        <v>2973</v>
      </c>
      <c r="G983" s="3" t="s">
        <v>327</v>
      </c>
      <c r="H983" s="3" t="s">
        <v>346</v>
      </c>
    </row>
    <row r="984" spans="1:8" x14ac:dyDescent="0.25">
      <c r="A984" s="3" t="s">
        <v>1312</v>
      </c>
      <c r="B984" s="3" t="s">
        <v>3448</v>
      </c>
      <c r="C984" s="3" t="s">
        <v>72</v>
      </c>
      <c r="D984" s="3" t="s">
        <v>297</v>
      </c>
      <c r="E984" s="3" t="s">
        <v>4067</v>
      </c>
      <c r="F984" s="3" t="s">
        <v>2988</v>
      </c>
      <c r="G984" s="3" t="s">
        <v>337</v>
      </c>
      <c r="H984" s="3"/>
    </row>
    <row r="985" spans="1:8" x14ac:dyDescent="0.25">
      <c r="A985" s="3" t="s">
        <v>1313</v>
      </c>
      <c r="B985" s="3" t="s">
        <v>4068</v>
      </c>
      <c r="C985" s="3" t="s">
        <v>109</v>
      </c>
      <c r="D985" s="3" t="s">
        <v>294</v>
      </c>
      <c r="E985" s="3">
        <v>968.79</v>
      </c>
      <c r="F985" s="3" t="s">
        <v>324</v>
      </c>
      <c r="G985" s="3" t="s">
        <v>337</v>
      </c>
      <c r="H985" s="3" t="s">
        <v>332</v>
      </c>
    </row>
    <row r="986" spans="1:8" x14ac:dyDescent="0.25">
      <c r="A986" s="3" t="s">
        <v>1314</v>
      </c>
      <c r="B986" s="3" t="s">
        <v>3374</v>
      </c>
      <c r="C986" s="3" t="s">
        <v>153</v>
      </c>
      <c r="D986" s="3" t="s">
        <v>300</v>
      </c>
      <c r="E986" s="3">
        <v>302.26</v>
      </c>
      <c r="F986" s="3" t="s">
        <v>2973</v>
      </c>
      <c r="G986" s="3" t="s">
        <v>327</v>
      </c>
      <c r="H986" s="3" t="s">
        <v>332</v>
      </c>
    </row>
    <row r="987" spans="1:8" x14ac:dyDescent="0.25">
      <c r="A987" s="3" t="s">
        <v>1315</v>
      </c>
      <c r="B987" s="3" t="s">
        <v>4069</v>
      </c>
      <c r="C987" s="3" t="s">
        <v>111</v>
      </c>
      <c r="D987" s="3" t="s">
        <v>312</v>
      </c>
      <c r="E987" s="3" t="s">
        <v>4070</v>
      </c>
      <c r="F987" s="3" t="s">
        <v>324</v>
      </c>
      <c r="G987" s="3" t="s">
        <v>325</v>
      </c>
      <c r="H987" s="3" t="s">
        <v>332</v>
      </c>
    </row>
    <row r="988" spans="1:8" x14ac:dyDescent="0.25">
      <c r="A988" s="3" t="s">
        <v>1316</v>
      </c>
      <c r="B988" s="3" t="s">
        <v>3115</v>
      </c>
      <c r="C988" s="3" t="s">
        <v>143</v>
      </c>
      <c r="D988" s="3" t="s">
        <v>306</v>
      </c>
      <c r="E988" s="3" t="s">
        <v>4071</v>
      </c>
      <c r="F988" s="3" t="s">
        <v>324</v>
      </c>
      <c r="G988" s="3" t="s">
        <v>329</v>
      </c>
      <c r="H988" s="3"/>
    </row>
    <row r="989" spans="1:8" x14ac:dyDescent="0.25">
      <c r="A989" s="3" t="s">
        <v>1317</v>
      </c>
      <c r="B989" s="3" t="s">
        <v>4072</v>
      </c>
      <c r="C989" s="3" t="s">
        <v>100</v>
      </c>
      <c r="D989" s="3" t="s">
        <v>300</v>
      </c>
      <c r="E989" s="3">
        <v>563.75</v>
      </c>
      <c r="F989" s="3" t="s">
        <v>324</v>
      </c>
      <c r="G989" s="3" t="s">
        <v>327</v>
      </c>
      <c r="H989" s="3" t="s">
        <v>346</v>
      </c>
    </row>
    <row r="990" spans="1:8" x14ac:dyDescent="0.25">
      <c r="A990" s="3" t="s">
        <v>1318</v>
      </c>
      <c r="B990" s="3" t="s">
        <v>4073</v>
      </c>
      <c r="C990" s="3" t="s">
        <v>217</v>
      </c>
      <c r="D990" s="3" t="s">
        <v>297</v>
      </c>
      <c r="E990" s="3">
        <v>358.97</v>
      </c>
      <c r="F990" s="3" t="s">
        <v>2973</v>
      </c>
      <c r="G990" s="3" t="s">
        <v>327</v>
      </c>
      <c r="H990" s="3" t="s">
        <v>332</v>
      </c>
    </row>
    <row r="991" spans="1:8" x14ac:dyDescent="0.25">
      <c r="A991" s="3" t="s">
        <v>1319</v>
      </c>
      <c r="B991" s="3" t="s">
        <v>3248</v>
      </c>
      <c r="C991" s="3" t="s">
        <v>161</v>
      </c>
      <c r="D991" s="3" t="s">
        <v>294</v>
      </c>
      <c r="E991" s="3" t="s">
        <v>4074</v>
      </c>
      <c r="F991" s="3" t="s">
        <v>349</v>
      </c>
      <c r="G991" s="3" t="s">
        <v>337</v>
      </c>
      <c r="H991" s="3" t="s">
        <v>334</v>
      </c>
    </row>
    <row r="992" spans="1:8" x14ac:dyDescent="0.25">
      <c r="A992" s="3" t="s">
        <v>1320</v>
      </c>
      <c r="B992" s="3" t="s">
        <v>3062</v>
      </c>
      <c r="C992" s="3" t="s">
        <v>70</v>
      </c>
      <c r="D992" s="3" t="s">
        <v>315</v>
      </c>
      <c r="E992" s="3">
        <v>331.2</v>
      </c>
      <c r="F992" s="3" t="s">
        <v>2976</v>
      </c>
      <c r="G992" s="3" t="s">
        <v>325</v>
      </c>
      <c r="H992" s="3"/>
    </row>
    <row r="993" spans="1:8" x14ac:dyDescent="0.25">
      <c r="A993" s="3" t="s">
        <v>1321</v>
      </c>
      <c r="B993" s="3" t="s">
        <v>4075</v>
      </c>
      <c r="C993" s="3" t="s">
        <v>191</v>
      </c>
      <c r="D993" s="3" t="s">
        <v>300</v>
      </c>
      <c r="E993" s="3">
        <v>135.46</v>
      </c>
      <c r="F993" s="3" t="s">
        <v>2988</v>
      </c>
      <c r="G993" s="3" t="s">
        <v>327</v>
      </c>
      <c r="H993" s="3"/>
    </row>
    <row r="994" spans="1:8" x14ac:dyDescent="0.25">
      <c r="A994" s="3" t="s">
        <v>1322</v>
      </c>
      <c r="B994" s="3" t="s">
        <v>3559</v>
      </c>
      <c r="C994" s="3" t="s">
        <v>70</v>
      </c>
      <c r="D994" s="3" t="s">
        <v>315</v>
      </c>
      <c r="E994" s="3">
        <v>519.20000000000005</v>
      </c>
      <c r="F994" s="3" t="s">
        <v>2988</v>
      </c>
      <c r="G994" s="3" t="s">
        <v>337</v>
      </c>
      <c r="H994" s="3"/>
    </row>
    <row r="995" spans="1:8" x14ac:dyDescent="0.25">
      <c r="A995" s="3" t="s">
        <v>1323</v>
      </c>
      <c r="B995" s="3" t="s">
        <v>3436</v>
      </c>
      <c r="C995" s="3" t="s">
        <v>38</v>
      </c>
      <c r="D995" s="3" t="s">
        <v>300</v>
      </c>
      <c r="E995" s="3">
        <v>969.22</v>
      </c>
      <c r="F995" s="3" t="s">
        <v>381</v>
      </c>
      <c r="G995" s="3" t="s">
        <v>327</v>
      </c>
      <c r="H995" s="3"/>
    </row>
    <row r="996" spans="1:8" x14ac:dyDescent="0.25">
      <c r="A996" s="3" t="s">
        <v>1324</v>
      </c>
      <c r="B996" s="3" t="s">
        <v>3187</v>
      </c>
      <c r="C996" s="3" t="s">
        <v>275</v>
      </c>
      <c r="D996" s="3" t="s">
        <v>300</v>
      </c>
      <c r="E996" s="3" t="s">
        <v>4076</v>
      </c>
      <c r="F996" s="3" t="s">
        <v>324</v>
      </c>
      <c r="G996" s="3" t="s">
        <v>325</v>
      </c>
      <c r="H996" s="3" t="s">
        <v>346</v>
      </c>
    </row>
    <row r="997" spans="1:8" x14ac:dyDescent="0.25">
      <c r="A997" s="3" t="s">
        <v>1325</v>
      </c>
      <c r="B997" s="3" t="s">
        <v>4018</v>
      </c>
      <c r="C997" s="3" t="s">
        <v>98</v>
      </c>
      <c r="D997" s="3" t="s">
        <v>312</v>
      </c>
      <c r="E997" s="3">
        <v>389.05</v>
      </c>
      <c r="F997" s="3" t="s">
        <v>324</v>
      </c>
      <c r="G997" s="3" t="s">
        <v>327</v>
      </c>
      <c r="H997" s="3" t="s">
        <v>334</v>
      </c>
    </row>
    <row r="998" spans="1:8" x14ac:dyDescent="0.25">
      <c r="A998" s="3" t="s">
        <v>1326</v>
      </c>
      <c r="B998" s="3" t="s">
        <v>3808</v>
      </c>
      <c r="C998" s="3" t="s">
        <v>127</v>
      </c>
      <c r="D998" s="3" t="s">
        <v>315</v>
      </c>
      <c r="E998" s="3" t="s">
        <v>4077</v>
      </c>
      <c r="F998" s="3" t="s">
        <v>381</v>
      </c>
      <c r="G998" s="3" t="s">
        <v>329</v>
      </c>
      <c r="H998" s="3" t="s">
        <v>332</v>
      </c>
    </row>
    <row r="999" spans="1:8" x14ac:dyDescent="0.25">
      <c r="A999" s="3" t="s">
        <v>1327</v>
      </c>
      <c r="B999" s="3" t="s">
        <v>3796</v>
      </c>
      <c r="C999" s="3" t="s">
        <v>255</v>
      </c>
      <c r="D999" s="3" t="s">
        <v>306</v>
      </c>
      <c r="E999" s="3">
        <v>702.36</v>
      </c>
      <c r="F999" s="3" t="s">
        <v>381</v>
      </c>
      <c r="G999" s="3" t="s">
        <v>327</v>
      </c>
      <c r="H999" s="3" t="s">
        <v>332</v>
      </c>
    </row>
    <row r="1000" spans="1:8" x14ac:dyDescent="0.25">
      <c r="A1000" s="3" t="s">
        <v>1328</v>
      </c>
      <c r="B1000" s="3" t="s">
        <v>4008</v>
      </c>
      <c r="C1000" s="3" t="s">
        <v>117</v>
      </c>
      <c r="D1000" s="3" t="s">
        <v>297</v>
      </c>
      <c r="E1000" s="3">
        <v>213.71</v>
      </c>
      <c r="F1000" s="3" t="s">
        <v>324</v>
      </c>
      <c r="G1000" s="3" t="s">
        <v>327</v>
      </c>
      <c r="H1000" s="3" t="s">
        <v>346</v>
      </c>
    </row>
    <row r="1001" spans="1:8" x14ac:dyDescent="0.25">
      <c r="A1001" s="3" t="s">
        <v>1329</v>
      </c>
      <c r="B1001" s="3" t="s">
        <v>4078</v>
      </c>
      <c r="C1001" s="3" t="s">
        <v>171</v>
      </c>
      <c r="D1001" s="3" t="s">
        <v>294</v>
      </c>
      <c r="E1001" s="3" t="s">
        <v>4079</v>
      </c>
      <c r="F1001" s="3" t="s">
        <v>2995</v>
      </c>
      <c r="G1001" s="3" t="s">
        <v>325</v>
      </c>
      <c r="H1001" s="3" t="s">
        <v>346</v>
      </c>
    </row>
    <row r="1002" spans="1:8" x14ac:dyDescent="0.25">
      <c r="A1002" s="3" t="s">
        <v>1330</v>
      </c>
      <c r="B1002" s="3" t="s">
        <v>4080</v>
      </c>
      <c r="C1002" s="3" t="s">
        <v>55</v>
      </c>
      <c r="D1002" s="3" t="s">
        <v>309</v>
      </c>
      <c r="E1002" s="3" t="s">
        <v>4081</v>
      </c>
      <c r="F1002" s="3" t="s">
        <v>324</v>
      </c>
      <c r="G1002" s="3" t="s">
        <v>327</v>
      </c>
      <c r="H1002" s="3"/>
    </row>
    <row r="1003" spans="1:8" x14ac:dyDescent="0.25">
      <c r="A1003" s="3" t="s">
        <v>1331</v>
      </c>
      <c r="B1003" s="3" t="s">
        <v>4082</v>
      </c>
      <c r="C1003" s="3" t="s">
        <v>259</v>
      </c>
      <c r="D1003" s="3" t="s">
        <v>312</v>
      </c>
      <c r="E1003" s="3">
        <v>609.4</v>
      </c>
      <c r="F1003" s="3" t="s">
        <v>2976</v>
      </c>
      <c r="G1003" s="3" t="s">
        <v>327</v>
      </c>
      <c r="H1003" s="3"/>
    </row>
    <row r="1004" spans="1:8" x14ac:dyDescent="0.25">
      <c r="A1004" s="3" t="s">
        <v>1332</v>
      </c>
      <c r="B1004" s="3" t="s">
        <v>4083</v>
      </c>
      <c r="C1004" s="3" t="s">
        <v>229</v>
      </c>
      <c r="D1004" s="3" t="s">
        <v>294</v>
      </c>
      <c r="E1004" s="3" t="s">
        <v>4084</v>
      </c>
      <c r="F1004" s="3" t="s">
        <v>324</v>
      </c>
      <c r="G1004" s="3"/>
      <c r="H1004" s="3"/>
    </row>
    <row r="1005" spans="1:8" x14ac:dyDescent="0.25">
      <c r="A1005" s="3" t="s">
        <v>1333</v>
      </c>
      <c r="B1005" s="3" t="s">
        <v>3505</v>
      </c>
      <c r="C1005" s="3" t="s">
        <v>35</v>
      </c>
      <c r="D1005" s="3" t="s">
        <v>306</v>
      </c>
      <c r="E1005" s="3">
        <v>103.69</v>
      </c>
      <c r="F1005" s="3" t="s">
        <v>2988</v>
      </c>
      <c r="G1005" s="3" t="s">
        <v>327</v>
      </c>
      <c r="H1005" s="3" t="s">
        <v>346</v>
      </c>
    </row>
    <row r="1006" spans="1:8" x14ac:dyDescent="0.25">
      <c r="A1006" s="3" t="s">
        <v>1334</v>
      </c>
      <c r="B1006" s="3" t="s">
        <v>4085</v>
      </c>
      <c r="C1006" s="3" t="s">
        <v>255</v>
      </c>
      <c r="D1006" s="3" t="s">
        <v>312</v>
      </c>
      <c r="E1006" s="3">
        <v>276.32</v>
      </c>
      <c r="F1006" s="3" t="s">
        <v>2995</v>
      </c>
      <c r="G1006" s="3" t="s">
        <v>325</v>
      </c>
      <c r="H1006" s="3"/>
    </row>
    <row r="1007" spans="1:8" x14ac:dyDescent="0.25">
      <c r="A1007" s="3" t="s">
        <v>1335</v>
      </c>
      <c r="B1007" s="3" t="s">
        <v>3138</v>
      </c>
      <c r="C1007" s="3" t="s">
        <v>133</v>
      </c>
      <c r="D1007" s="3" t="s">
        <v>303</v>
      </c>
      <c r="E1007" s="3" t="s">
        <v>4086</v>
      </c>
      <c r="F1007" s="3" t="s">
        <v>324</v>
      </c>
      <c r="G1007" s="3" t="s">
        <v>337</v>
      </c>
      <c r="H1007" s="3" t="s">
        <v>334</v>
      </c>
    </row>
    <row r="1008" spans="1:8" x14ac:dyDescent="0.25">
      <c r="A1008" s="3" t="s">
        <v>1336</v>
      </c>
      <c r="B1008" s="3" t="s">
        <v>4087</v>
      </c>
      <c r="C1008" s="3" t="s">
        <v>26</v>
      </c>
      <c r="D1008" s="3" t="s">
        <v>300</v>
      </c>
      <c r="E1008" s="3" t="s">
        <v>4088</v>
      </c>
      <c r="F1008" s="3" t="s">
        <v>2973</v>
      </c>
      <c r="G1008" s="3" t="s">
        <v>337</v>
      </c>
      <c r="H1008" s="3"/>
    </row>
    <row r="1009" spans="1:8" x14ac:dyDescent="0.25">
      <c r="A1009" s="3" t="s">
        <v>1337</v>
      </c>
      <c r="B1009" s="3" t="s">
        <v>4089</v>
      </c>
      <c r="C1009" s="3" t="s">
        <v>64</v>
      </c>
      <c r="D1009" s="3" t="s">
        <v>297</v>
      </c>
      <c r="E1009" s="3" t="s">
        <v>4090</v>
      </c>
      <c r="F1009" s="3" t="s">
        <v>331</v>
      </c>
      <c r="G1009" s="3" t="s">
        <v>327</v>
      </c>
      <c r="H1009" s="3"/>
    </row>
    <row r="1010" spans="1:8" x14ac:dyDescent="0.25">
      <c r="A1010" s="3" t="s">
        <v>1338</v>
      </c>
      <c r="B1010" s="3" t="s">
        <v>4091</v>
      </c>
      <c r="C1010" s="3" t="s">
        <v>239</v>
      </c>
      <c r="D1010" s="3" t="s">
        <v>315</v>
      </c>
      <c r="E1010" s="3" t="s">
        <v>4092</v>
      </c>
      <c r="F1010" s="3" t="s">
        <v>3037</v>
      </c>
      <c r="G1010" s="3" t="s">
        <v>337</v>
      </c>
      <c r="H1010" s="3"/>
    </row>
    <row r="1011" spans="1:8" x14ac:dyDescent="0.25">
      <c r="A1011" s="3" t="s">
        <v>1339</v>
      </c>
      <c r="B1011" s="3" t="s">
        <v>4093</v>
      </c>
      <c r="C1011" s="3" t="s">
        <v>199</v>
      </c>
      <c r="D1011" s="3" t="s">
        <v>294</v>
      </c>
      <c r="E1011" s="3" t="s">
        <v>4094</v>
      </c>
      <c r="F1011" s="3" t="s">
        <v>2995</v>
      </c>
      <c r="G1011" s="3" t="s">
        <v>327</v>
      </c>
      <c r="H1011" s="3"/>
    </row>
    <row r="1012" spans="1:8" x14ac:dyDescent="0.25">
      <c r="A1012" s="3" t="s">
        <v>1340</v>
      </c>
      <c r="B1012" s="3" t="s">
        <v>4095</v>
      </c>
      <c r="C1012" s="3" t="s">
        <v>207</v>
      </c>
      <c r="D1012" s="3" t="s">
        <v>297</v>
      </c>
      <c r="E1012" s="3" t="s">
        <v>4096</v>
      </c>
      <c r="F1012" s="3" t="s">
        <v>381</v>
      </c>
      <c r="G1012" s="3" t="s">
        <v>337</v>
      </c>
      <c r="H1012" s="3"/>
    </row>
    <row r="1013" spans="1:8" x14ac:dyDescent="0.25">
      <c r="A1013" s="3" t="s">
        <v>1341</v>
      </c>
      <c r="B1013" s="3" t="s">
        <v>3448</v>
      </c>
      <c r="C1013" s="3" t="s">
        <v>64</v>
      </c>
      <c r="D1013" s="3" t="s">
        <v>300</v>
      </c>
      <c r="E1013" s="3">
        <v>302.17</v>
      </c>
      <c r="F1013" s="3" t="s">
        <v>331</v>
      </c>
      <c r="G1013" s="3" t="s">
        <v>325</v>
      </c>
      <c r="H1013" s="3" t="s">
        <v>332</v>
      </c>
    </row>
    <row r="1014" spans="1:8" x14ac:dyDescent="0.25">
      <c r="A1014" s="3" t="s">
        <v>1342</v>
      </c>
      <c r="B1014" s="3" t="s">
        <v>4097</v>
      </c>
      <c r="C1014" s="3" t="s">
        <v>100</v>
      </c>
      <c r="D1014" s="3" t="s">
        <v>297</v>
      </c>
      <c r="E1014" s="3">
        <v>-228.94</v>
      </c>
      <c r="F1014" s="3" t="s">
        <v>3021</v>
      </c>
      <c r="G1014" s="3" t="s">
        <v>327</v>
      </c>
      <c r="H1014" s="3"/>
    </row>
    <row r="1015" spans="1:8" x14ac:dyDescent="0.25">
      <c r="A1015" s="3" t="s">
        <v>1343</v>
      </c>
      <c r="B1015" s="3" t="s">
        <v>3804</v>
      </c>
      <c r="C1015" s="3" t="s">
        <v>15</v>
      </c>
      <c r="D1015" s="3" t="s">
        <v>294</v>
      </c>
      <c r="E1015" s="3">
        <v>512.41999999999996</v>
      </c>
      <c r="F1015" s="3" t="s">
        <v>324</v>
      </c>
      <c r="G1015" s="3" t="s">
        <v>337</v>
      </c>
      <c r="H1015" s="3"/>
    </row>
    <row r="1016" spans="1:8" x14ac:dyDescent="0.25">
      <c r="A1016" s="3" t="s">
        <v>1344</v>
      </c>
      <c r="B1016" s="3" t="s">
        <v>3974</v>
      </c>
      <c r="C1016" s="3" t="s">
        <v>161</v>
      </c>
      <c r="D1016" s="3" t="s">
        <v>315</v>
      </c>
      <c r="E1016" s="3" t="s">
        <v>4098</v>
      </c>
      <c r="F1016" s="3" t="s">
        <v>331</v>
      </c>
      <c r="G1016" s="3" t="s">
        <v>327</v>
      </c>
      <c r="H1016" s="3" t="s">
        <v>332</v>
      </c>
    </row>
    <row r="1017" spans="1:8" x14ac:dyDescent="0.25">
      <c r="A1017" s="3" t="s">
        <v>1345</v>
      </c>
      <c r="B1017" s="3" t="s">
        <v>3675</v>
      </c>
      <c r="C1017" s="3" t="s">
        <v>88</v>
      </c>
      <c r="D1017" s="3" t="s">
        <v>312</v>
      </c>
      <c r="E1017" s="3">
        <v>163.34</v>
      </c>
      <c r="F1017" s="3" t="s">
        <v>2995</v>
      </c>
      <c r="G1017" s="3" t="s">
        <v>325</v>
      </c>
      <c r="H1017" s="3" t="s">
        <v>334</v>
      </c>
    </row>
    <row r="1018" spans="1:8" x14ac:dyDescent="0.25">
      <c r="A1018" s="3" t="s">
        <v>1346</v>
      </c>
      <c r="B1018" s="3" t="s">
        <v>4099</v>
      </c>
      <c r="C1018" s="3" t="s">
        <v>147</v>
      </c>
      <c r="D1018" s="3" t="s">
        <v>294</v>
      </c>
      <c r="E1018" s="3">
        <v>282.89</v>
      </c>
      <c r="F1018" s="3" t="s">
        <v>324</v>
      </c>
      <c r="G1018" s="3" t="s">
        <v>325</v>
      </c>
      <c r="H1018" s="3"/>
    </row>
    <row r="1019" spans="1:8" x14ac:dyDescent="0.25">
      <c r="A1019" s="3" t="s">
        <v>1347</v>
      </c>
      <c r="B1019" s="3" t="s">
        <v>4100</v>
      </c>
      <c r="C1019" s="3" t="s">
        <v>60</v>
      </c>
      <c r="D1019" s="3" t="s">
        <v>303</v>
      </c>
      <c r="E1019" s="3">
        <v>162.19999999999999</v>
      </c>
      <c r="F1019" s="3" t="s">
        <v>2973</v>
      </c>
      <c r="G1019" s="3" t="s">
        <v>337</v>
      </c>
      <c r="H1019" s="3" t="s">
        <v>334</v>
      </c>
    </row>
    <row r="1020" spans="1:8" x14ac:dyDescent="0.25">
      <c r="A1020" s="3" t="s">
        <v>1348</v>
      </c>
      <c r="B1020" s="3" t="s">
        <v>4101</v>
      </c>
      <c r="C1020" s="3" t="s">
        <v>197</v>
      </c>
      <c r="D1020" s="3" t="s">
        <v>315</v>
      </c>
      <c r="E1020" s="3" t="s">
        <v>4102</v>
      </c>
      <c r="F1020" s="3" t="s">
        <v>2976</v>
      </c>
      <c r="G1020" s="3" t="s">
        <v>327</v>
      </c>
      <c r="H1020" s="3"/>
    </row>
    <row r="1021" spans="1:8" x14ac:dyDescent="0.25">
      <c r="A1021" s="3" t="s">
        <v>1349</v>
      </c>
      <c r="B1021" s="3" t="s">
        <v>3813</v>
      </c>
      <c r="C1021" s="3" t="s">
        <v>185</v>
      </c>
      <c r="D1021" s="3" t="s">
        <v>303</v>
      </c>
      <c r="E1021" s="3">
        <v>212.65</v>
      </c>
      <c r="F1021" s="3" t="s">
        <v>2988</v>
      </c>
      <c r="G1021" s="3" t="s">
        <v>329</v>
      </c>
      <c r="H1021" s="3"/>
    </row>
    <row r="1022" spans="1:8" x14ac:dyDescent="0.25">
      <c r="A1022" s="3" t="s">
        <v>1350</v>
      </c>
      <c r="B1022" s="3" t="s">
        <v>3342</v>
      </c>
      <c r="C1022" s="3" t="s">
        <v>235</v>
      </c>
      <c r="D1022" s="3" t="s">
        <v>297</v>
      </c>
      <c r="E1022" s="3" t="s">
        <v>4103</v>
      </c>
      <c r="F1022" s="3" t="s">
        <v>2988</v>
      </c>
      <c r="G1022" s="3" t="s">
        <v>325</v>
      </c>
      <c r="H1022" s="3"/>
    </row>
    <row r="1023" spans="1:8" x14ac:dyDescent="0.25">
      <c r="A1023" s="3" t="s">
        <v>1351</v>
      </c>
      <c r="B1023" s="3" t="s">
        <v>3777</v>
      </c>
      <c r="C1023" s="3" t="s">
        <v>51</v>
      </c>
      <c r="D1023" s="3" t="s">
        <v>312</v>
      </c>
      <c r="E1023" s="3">
        <v>222.4</v>
      </c>
      <c r="F1023" s="3" t="s">
        <v>2976</v>
      </c>
      <c r="G1023" s="3" t="s">
        <v>327</v>
      </c>
      <c r="H1023" s="3" t="s">
        <v>346</v>
      </c>
    </row>
    <row r="1024" spans="1:8" x14ac:dyDescent="0.25">
      <c r="A1024" s="3" t="s">
        <v>1352</v>
      </c>
      <c r="B1024" s="3" t="s">
        <v>3013</v>
      </c>
      <c r="C1024" s="3" t="s">
        <v>243</v>
      </c>
      <c r="D1024" s="3" t="s">
        <v>294</v>
      </c>
      <c r="E1024" s="3" t="s">
        <v>4104</v>
      </c>
      <c r="F1024" s="3" t="s">
        <v>324</v>
      </c>
      <c r="G1024" s="3" t="s">
        <v>327</v>
      </c>
      <c r="H1024" s="3"/>
    </row>
    <row r="1025" spans="1:8" x14ac:dyDescent="0.25">
      <c r="A1025" s="3" t="s">
        <v>1353</v>
      </c>
      <c r="B1025" s="3" t="s">
        <v>4105</v>
      </c>
      <c r="C1025" s="3" t="s">
        <v>113</v>
      </c>
      <c r="D1025" s="3" t="s">
        <v>306</v>
      </c>
      <c r="E1025" s="3" t="s">
        <v>4106</v>
      </c>
      <c r="F1025" s="3" t="s">
        <v>2976</v>
      </c>
      <c r="G1025" s="3" t="s">
        <v>327</v>
      </c>
      <c r="H1025" s="3" t="s">
        <v>346</v>
      </c>
    </row>
    <row r="1026" spans="1:8" x14ac:dyDescent="0.25">
      <c r="A1026" s="3" t="s">
        <v>1354</v>
      </c>
      <c r="B1026" s="3" t="s">
        <v>4107</v>
      </c>
      <c r="C1026" s="3" t="s">
        <v>107</v>
      </c>
      <c r="D1026" s="3" t="s">
        <v>294</v>
      </c>
      <c r="E1026" s="3">
        <v>184.65</v>
      </c>
      <c r="F1026" s="3" t="s">
        <v>324</v>
      </c>
      <c r="G1026" s="3" t="s">
        <v>325</v>
      </c>
      <c r="H1026" s="3" t="s">
        <v>346</v>
      </c>
    </row>
    <row r="1027" spans="1:8" x14ac:dyDescent="0.25">
      <c r="A1027" s="3" t="s">
        <v>1355</v>
      </c>
      <c r="B1027" s="3" t="s">
        <v>3840</v>
      </c>
      <c r="C1027" s="3" t="s">
        <v>96</v>
      </c>
      <c r="D1027" s="3" t="s">
        <v>294</v>
      </c>
      <c r="E1027" s="3">
        <v>253.65</v>
      </c>
      <c r="F1027" s="3" t="s">
        <v>324</v>
      </c>
      <c r="G1027" s="3" t="s">
        <v>327</v>
      </c>
      <c r="H1027" s="3" t="s">
        <v>346</v>
      </c>
    </row>
    <row r="1028" spans="1:8" x14ac:dyDescent="0.25">
      <c r="A1028" s="3" t="s">
        <v>1356</v>
      </c>
      <c r="B1028" s="3" t="s">
        <v>4108</v>
      </c>
      <c r="C1028" s="3" t="s">
        <v>161</v>
      </c>
      <c r="D1028" s="3" t="s">
        <v>312</v>
      </c>
      <c r="E1028" s="3" t="s">
        <v>4109</v>
      </c>
      <c r="F1028" s="3" t="s">
        <v>2976</v>
      </c>
      <c r="G1028" s="3" t="s">
        <v>327</v>
      </c>
      <c r="H1028" s="3" t="s">
        <v>346</v>
      </c>
    </row>
    <row r="1029" spans="1:8" x14ac:dyDescent="0.25">
      <c r="A1029" s="3" t="s">
        <v>1357</v>
      </c>
      <c r="B1029" s="3" t="s">
        <v>4110</v>
      </c>
      <c r="C1029" s="3" t="s">
        <v>225</v>
      </c>
      <c r="D1029" s="3" t="s">
        <v>294</v>
      </c>
      <c r="E1029" s="3">
        <v>205.91</v>
      </c>
      <c r="F1029" s="3" t="s">
        <v>324</v>
      </c>
      <c r="G1029" s="3" t="s">
        <v>327</v>
      </c>
      <c r="H1029" s="3" t="s">
        <v>346</v>
      </c>
    </row>
    <row r="1030" spans="1:8" x14ac:dyDescent="0.25">
      <c r="A1030" s="3" t="s">
        <v>1358</v>
      </c>
      <c r="B1030" s="3" t="s">
        <v>3181</v>
      </c>
      <c r="C1030" s="3" t="s">
        <v>243</v>
      </c>
      <c r="D1030" s="3" t="s">
        <v>312</v>
      </c>
      <c r="E1030" s="3">
        <v>632.30999999999995</v>
      </c>
      <c r="F1030" s="3" t="s">
        <v>2976</v>
      </c>
      <c r="G1030" s="3" t="s">
        <v>337</v>
      </c>
      <c r="H1030" s="3"/>
    </row>
    <row r="1031" spans="1:8" x14ac:dyDescent="0.25">
      <c r="A1031" s="3" t="s">
        <v>1359</v>
      </c>
      <c r="B1031" s="3" t="s">
        <v>4111</v>
      </c>
      <c r="C1031" s="3" t="s">
        <v>163</v>
      </c>
      <c r="D1031" s="3" t="s">
        <v>312</v>
      </c>
      <c r="E1031" s="3" t="s">
        <v>4112</v>
      </c>
      <c r="F1031" s="3" t="s">
        <v>3017</v>
      </c>
      <c r="G1031" s="3" t="s">
        <v>325</v>
      </c>
      <c r="H1031" s="3"/>
    </row>
    <row r="1032" spans="1:8" x14ac:dyDescent="0.25">
      <c r="A1032" s="3" t="s">
        <v>1360</v>
      </c>
      <c r="B1032" s="3" t="s">
        <v>3014</v>
      </c>
      <c r="C1032" s="3" t="s">
        <v>249</v>
      </c>
      <c r="D1032" s="3" t="s">
        <v>300</v>
      </c>
      <c r="E1032" s="3" t="s">
        <v>4113</v>
      </c>
      <c r="F1032" s="3" t="s">
        <v>3060</v>
      </c>
      <c r="G1032" s="3" t="s">
        <v>325</v>
      </c>
      <c r="H1032" s="3"/>
    </row>
    <row r="1033" spans="1:8" x14ac:dyDescent="0.25">
      <c r="A1033" s="3" t="s">
        <v>1361</v>
      </c>
      <c r="B1033" s="3" t="s">
        <v>3292</v>
      </c>
      <c r="C1033" s="3" t="s">
        <v>51</v>
      </c>
      <c r="D1033" s="3" t="s">
        <v>297</v>
      </c>
      <c r="E1033" s="3" t="s">
        <v>4114</v>
      </c>
      <c r="F1033" s="3" t="s">
        <v>324</v>
      </c>
      <c r="G1033" s="3" t="s">
        <v>327</v>
      </c>
      <c r="H1033" s="3"/>
    </row>
    <row r="1034" spans="1:8" x14ac:dyDescent="0.25">
      <c r="A1034" s="3" t="s">
        <v>1362</v>
      </c>
      <c r="B1034" s="3" t="s">
        <v>4115</v>
      </c>
      <c r="C1034" s="3" t="s">
        <v>88</v>
      </c>
      <c r="D1034" s="3" t="s">
        <v>306</v>
      </c>
      <c r="E1034" s="3" t="s">
        <v>4116</v>
      </c>
      <c r="F1034" s="3" t="s">
        <v>381</v>
      </c>
      <c r="G1034" s="3" t="s">
        <v>337</v>
      </c>
      <c r="H1034" s="3"/>
    </row>
    <row r="1035" spans="1:8" x14ac:dyDescent="0.25">
      <c r="A1035" s="3" t="s">
        <v>1363</v>
      </c>
      <c r="B1035" s="3" t="s">
        <v>4117</v>
      </c>
      <c r="C1035" s="3" t="s">
        <v>74</v>
      </c>
      <c r="D1035" s="3" t="s">
        <v>300</v>
      </c>
      <c r="E1035" s="3" t="s">
        <v>4118</v>
      </c>
      <c r="F1035" s="3" t="s">
        <v>324</v>
      </c>
      <c r="G1035" s="3" t="s">
        <v>329</v>
      </c>
      <c r="H1035" s="3" t="s">
        <v>346</v>
      </c>
    </row>
    <row r="1036" spans="1:8" x14ac:dyDescent="0.25">
      <c r="A1036" s="3" t="s">
        <v>1364</v>
      </c>
      <c r="B1036" s="3" t="s">
        <v>3521</v>
      </c>
      <c r="C1036" s="3" t="s">
        <v>251</v>
      </c>
      <c r="D1036" s="3" t="s">
        <v>315</v>
      </c>
      <c r="E1036" s="3" t="s">
        <v>4119</v>
      </c>
      <c r="F1036" s="3" t="s">
        <v>324</v>
      </c>
      <c r="G1036" s="3"/>
      <c r="H1036" s="3"/>
    </row>
    <row r="1037" spans="1:8" x14ac:dyDescent="0.25">
      <c r="A1037" s="3" t="s">
        <v>1365</v>
      </c>
      <c r="B1037" s="3" t="s">
        <v>3293</v>
      </c>
      <c r="C1037" s="3" t="s">
        <v>74</v>
      </c>
      <c r="D1037" s="3" t="s">
        <v>312</v>
      </c>
      <c r="E1037" s="3">
        <v>110.11</v>
      </c>
      <c r="F1037" s="3" t="s">
        <v>2988</v>
      </c>
      <c r="G1037" s="3" t="s">
        <v>325</v>
      </c>
      <c r="H1037" s="3" t="s">
        <v>334</v>
      </c>
    </row>
    <row r="1038" spans="1:8" x14ac:dyDescent="0.25">
      <c r="A1038" s="3" t="s">
        <v>1366</v>
      </c>
      <c r="B1038" s="3" t="s">
        <v>4120</v>
      </c>
      <c r="C1038" s="3" t="s">
        <v>183</v>
      </c>
      <c r="D1038" s="3" t="s">
        <v>306</v>
      </c>
      <c r="E1038" s="3">
        <v>472.26</v>
      </c>
      <c r="F1038" s="3" t="s">
        <v>381</v>
      </c>
      <c r="G1038" s="3" t="s">
        <v>337</v>
      </c>
      <c r="H1038" s="3"/>
    </row>
    <row r="1039" spans="1:8" x14ac:dyDescent="0.25">
      <c r="A1039" s="3" t="s">
        <v>1367</v>
      </c>
      <c r="B1039" s="3" t="s">
        <v>3278</v>
      </c>
      <c r="C1039" s="3" t="s">
        <v>131</v>
      </c>
      <c r="D1039" s="3" t="s">
        <v>297</v>
      </c>
      <c r="E1039" s="3" t="s">
        <v>4121</v>
      </c>
      <c r="F1039" s="3" t="s">
        <v>324</v>
      </c>
      <c r="G1039" s="3" t="s">
        <v>327</v>
      </c>
      <c r="H1039" s="3" t="s">
        <v>334</v>
      </c>
    </row>
    <row r="1040" spans="1:8" x14ac:dyDescent="0.25">
      <c r="A1040" s="3" t="s">
        <v>1368</v>
      </c>
      <c r="B1040" s="3" t="s">
        <v>3681</v>
      </c>
      <c r="C1040" s="3" t="s">
        <v>15</v>
      </c>
      <c r="D1040" s="3" t="s">
        <v>303</v>
      </c>
      <c r="E1040" s="3">
        <v>770.19</v>
      </c>
      <c r="F1040" s="3" t="s">
        <v>2976</v>
      </c>
      <c r="G1040" s="3" t="s">
        <v>327</v>
      </c>
      <c r="H1040" s="3" t="s">
        <v>346</v>
      </c>
    </row>
    <row r="1041" spans="1:8" x14ac:dyDescent="0.25">
      <c r="A1041" s="3" t="s">
        <v>1369</v>
      </c>
      <c r="B1041" s="3" t="s">
        <v>3215</v>
      </c>
      <c r="C1041" s="3" t="s">
        <v>131</v>
      </c>
      <c r="D1041" s="3" t="s">
        <v>297</v>
      </c>
      <c r="E1041" s="3">
        <v>309.41000000000003</v>
      </c>
      <c r="F1041" s="3" t="s">
        <v>331</v>
      </c>
      <c r="G1041" s="3" t="s">
        <v>327</v>
      </c>
      <c r="H1041" s="3"/>
    </row>
    <row r="1042" spans="1:8" x14ac:dyDescent="0.25">
      <c r="A1042" s="3" t="s">
        <v>1370</v>
      </c>
      <c r="B1042" s="3" t="s">
        <v>4122</v>
      </c>
      <c r="C1042" s="3" t="s">
        <v>177</v>
      </c>
      <c r="D1042" s="3" t="s">
        <v>303</v>
      </c>
      <c r="E1042" s="3">
        <v>800.7</v>
      </c>
      <c r="F1042" s="3" t="s">
        <v>2995</v>
      </c>
      <c r="G1042" s="3"/>
      <c r="H1042" s="3" t="s">
        <v>332</v>
      </c>
    </row>
    <row r="1043" spans="1:8" x14ac:dyDescent="0.25">
      <c r="A1043" s="3" t="s">
        <v>1371</v>
      </c>
      <c r="B1043" s="3" t="s">
        <v>3341</v>
      </c>
      <c r="C1043" s="3" t="s">
        <v>167</v>
      </c>
      <c r="D1043" s="3" t="s">
        <v>309</v>
      </c>
      <c r="E1043" s="3">
        <v>304.58999999999997</v>
      </c>
      <c r="F1043" s="3" t="s">
        <v>2988</v>
      </c>
      <c r="G1043" s="3"/>
      <c r="H1043" s="3" t="s">
        <v>332</v>
      </c>
    </row>
    <row r="1044" spans="1:8" x14ac:dyDescent="0.25">
      <c r="A1044" s="3" t="s">
        <v>1372</v>
      </c>
      <c r="B1044" s="3" t="s">
        <v>3209</v>
      </c>
      <c r="C1044" s="3" t="s">
        <v>167</v>
      </c>
      <c r="D1044" s="3" t="s">
        <v>294</v>
      </c>
      <c r="E1044" s="3" t="s">
        <v>4123</v>
      </c>
      <c r="F1044" s="3" t="s">
        <v>324</v>
      </c>
      <c r="G1044" s="3" t="s">
        <v>337</v>
      </c>
      <c r="H1044" s="3"/>
    </row>
    <row r="1045" spans="1:8" x14ac:dyDescent="0.25">
      <c r="A1045" s="3" t="s">
        <v>1373</v>
      </c>
      <c r="B1045" s="3" t="s">
        <v>3558</v>
      </c>
      <c r="C1045" s="3" t="s">
        <v>199</v>
      </c>
      <c r="D1045" s="3" t="s">
        <v>303</v>
      </c>
      <c r="E1045" s="3" t="s">
        <v>4124</v>
      </c>
      <c r="F1045" s="3" t="s">
        <v>324</v>
      </c>
      <c r="G1045" s="3" t="s">
        <v>337</v>
      </c>
      <c r="H1045" s="3"/>
    </row>
    <row r="1046" spans="1:8" x14ac:dyDescent="0.25">
      <c r="A1046" s="3" t="s">
        <v>1374</v>
      </c>
      <c r="B1046" s="3" t="s">
        <v>3478</v>
      </c>
      <c r="C1046" s="3" t="s">
        <v>94</v>
      </c>
      <c r="D1046" s="3" t="s">
        <v>309</v>
      </c>
      <c r="E1046" s="3">
        <v>460.5</v>
      </c>
      <c r="F1046" s="3" t="s">
        <v>2973</v>
      </c>
      <c r="G1046" s="3" t="s">
        <v>337</v>
      </c>
      <c r="H1046" s="3"/>
    </row>
    <row r="1047" spans="1:8" x14ac:dyDescent="0.25">
      <c r="A1047" s="3" t="s">
        <v>1375</v>
      </c>
      <c r="B1047" s="3" t="s">
        <v>3619</v>
      </c>
      <c r="C1047" s="3" t="s">
        <v>55</v>
      </c>
      <c r="D1047" s="3" t="s">
        <v>294</v>
      </c>
      <c r="E1047" s="3" t="s">
        <v>3658</v>
      </c>
      <c r="F1047" s="3" t="s">
        <v>324</v>
      </c>
      <c r="G1047" s="3"/>
      <c r="H1047" s="3" t="s">
        <v>334</v>
      </c>
    </row>
    <row r="1048" spans="1:8" x14ac:dyDescent="0.25">
      <c r="A1048" s="3" t="s">
        <v>1376</v>
      </c>
      <c r="B1048" s="3" t="s">
        <v>3301</v>
      </c>
      <c r="C1048" s="3" t="s">
        <v>199</v>
      </c>
      <c r="D1048" s="3" t="s">
        <v>312</v>
      </c>
      <c r="E1048" s="3">
        <v>373.86</v>
      </c>
      <c r="F1048" s="3" t="s">
        <v>324</v>
      </c>
      <c r="G1048" s="3" t="s">
        <v>337</v>
      </c>
      <c r="H1048" s="3"/>
    </row>
    <row r="1049" spans="1:8" x14ac:dyDescent="0.25">
      <c r="A1049" s="3" t="s">
        <v>1377</v>
      </c>
      <c r="B1049" s="3" t="s">
        <v>4125</v>
      </c>
      <c r="C1049" s="3" t="s">
        <v>38</v>
      </c>
      <c r="D1049" s="3" t="s">
        <v>297</v>
      </c>
      <c r="E1049" s="3" t="s">
        <v>4126</v>
      </c>
      <c r="F1049" s="3" t="s">
        <v>324</v>
      </c>
      <c r="G1049" s="3" t="s">
        <v>327</v>
      </c>
      <c r="H1049" s="3" t="s">
        <v>346</v>
      </c>
    </row>
    <row r="1050" spans="1:8" x14ac:dyDescent="0.25">
      <c r="A1050" s="3" t="s">
        <v>1378</v>
      </c>
      <c r="B1050" s="3" t="s">
        <v>4127</v>
      </c>
      <c r="C1050" s="3" t="s">
        <v>86</v>
      </c>
      <c r="D1050" s="3" t="s">
        <v>303</v>
      </c>
      <c r="E1050" s="3" t="s">
        <v>4128</v>
      </c>
      <c r="F1050" s="3" t="s">
        <v>324</v>
      </c>
      <c r="G1050" s="3" t="s">
        <v>337</v>
      </c>
      <c r="H1050" s="3"/>
    </row>
    <row r="1051" spans="1:8" x14ac:dyDescent="0.25">
      <c r="A1051" s="3" t="s">
        <v>1379</v>
      </c>
      <c r="B1051" s="3" t="s">
        <v>4129</v>
      </c>
      <c r="C1051" s="3" t="s">
        <v>51</v>
      </c>
      <c r="D1051" s="3" t="s">
        <v>294</v>
      </c>
      <c r="E1051" s="3">
        <v>655.61</v>
      </c>
      <c r="F1051" s="3" t="s">
        <v>324</v>
      </c>
      <c r="G1051" s="3" t="s">
        <v>327</v>
      </c>
      <c r="H1051" s="3" t="s">
        <v>332</v>
      </c>
    </row>
    <row r="1052" spans="1:8" x14ac:dyDescent="0.25">
      <c r="A1052" s="3" t="s">
        <v>1380</v>
      </c>
      <c r="B1052" s="3" t="s">
        <v>3578</v>
      </c>
      <c r="C1052" s="3" t="s">
        <v>78</v>
      </c>
      <c r="D1052" s="3" t="s">
        <v>294</v>
      </c>
      <c r="E1052" s="3">
        <v>232.47</v>
      </c>
      <c r="F1052" s="3" t="s">
        <v>324</v>
      </c>
      <c r="G1052" s="3" t="s">
        <v>327</v>
      </c>
      <c r="H1052" s="3"/>
    </row>
    <row r="1053" spans="1:8" x14ac:dyDescent="0.25">
      <c r="A1053" s="3" t="s">
        <v>1381</v>
      </c>
      <c r="B1053" s="3" t="s">
        <v>3394</v>
      </c>
      <c r="C1053" s="3" t="s">
        <v>273</v>
      </c>
      <c r="D1053" s="3" t="s">
        <v>297</v>
      </c>
      <c r="E1053" s="3">
        <v>701.75</v>
      </c>
      <c r="F1053" s="3" t="s">
        <v>2976</v>
      </c>
      <c r="G1053" s="3" t="s">
        <v>327</v>
      </c>
      <c r="H1053" s="3" t="s">
        <v>346</v>
      </c>
    </row>
    <row r="1054" spans="1:8" x14ac:dyDescent="0.25">
      <c r="A1054" s="3" t="s">
        <v>1382</v>
      </c>
      <c r="B1054" s="3" t="s">
        <v>3762</v>
      </c>
      <c r="C1054" s="3" t="s">
        <v>203</v>
      </c>
      <c r="D1054" s="3" t="s">
        <v>297</v>
      </c>
      <c r="E1054" s="3">
        <v>-952.15</v>
      </c>
      <c r="F1054" s="3" t="s">
        <v>3021</v>
      </c>
      <c r="G1054" s="3" t="s">
        <v>327</v>
      </c>
      <c r="H1054" s="3"/>
    </row>
    <row r="1055" spans="1:8" x14ac:dyDescent="0.25">
      <c r="A1055" s="3" t="s">
        <v>1383</v>
      </c>
      <c r="B1055" s="3" t="s">
        <v>3225</v>
      </c>
      <c r="C1055" s="3" t="s">
        <v>181</v>
      </c>
      <c r="D1055" s="3" t="s">
        <v>312</v>
      </c>
      <c r="E1055" s="3">
        <v>405.58</v>
      </c>
      <c r="F1055" s="3" t="s">
        <v>324</v>
      </c>
      <c r="G1055" s="3" t="s">
        <v>337</v>
      </c>
      <c r="H1055" s="3"/>
    </row>
    <row r="1056" spans="1:8" x14ac:dyDescent="0.25">
      <c r="A1056" s="3" t="s">
        <v>1384</v>
      </c>
      <c r="B1056" s="3" t="s">
        <v>3608</v>
      </c>
      <c r="C1056" s="3" t="s">
        <v>257</v>
      </c>
      <c r="D1056" s="3" t="s">
        <v>294</v>
      </c>
      <c r="E1056" s="3" t="s">
        <v>4130</v>
      </c>
      <c r="F1056" s="3" t="s">
        <v>324</v>
      </c>
      <c r="G1056" s="3" t="s">
        <v>327</v>
      </c>
      <c r="H1056" s="3"/>
    </row>
    <row r="1057" spans="1:8" x14ac:dyDescent="0.25">
      <c r="A1057" s="3" t="s">
        <v>1385</v>
      </c>
      <c r="B1057" s="3" t="s">
        <v>3597</v>
      </c>
      <c r="C1057" s="3" t="s">
        <v>177</v>
      </c>
      <c r="D1057" s="3" t="s">
        <v>300</v>
      </c>
      <c r="E1057" s="3">
        <v>-452.39</v>
      </c>
      <c r="F1057" s="3" t="s">
        <v>349</v>
      </c>
      <c r="G1057" s="3" t="s">
        <v>337</v>
      </c>
      <c r="H1057" s="3"/>
    </row>
    <row r="1058" spans="1:8" x14ac:dyDescent="0.25">
      <c r="A1058" s="3" t="s">
        <v>1386</v>
      </c>
      <c r="B1058" s="3" t="s">
        <v>4131</v>
      </c>
      <c r="C1058" s="3" t="s">
        <v>203</v>
      </c>
      <c r="D1058" s="3" t="s">
        <v>297</v>
      </c>
      <c r="E1058" s="3">
        <v>279</v>
      </c>
      <c r="F1058" s="3" t="s">
        <v>324</v>
      </c>
      <c r="G1058" s="3" t="s">
        <v>327</v>
      </c>
      <c r="H1058" s="3"/>
    </row>
    <row r="1059" spans="1:8" x14ac:dyDescent="0.25">
      <c r="A1059" s="3" t="s">
        <v>1387</v>
      </c>
      <c r="B1059" s="3" t="s">
        <v>4025</v>
      </c>
      <c r="C1059" s="3" t="s">
        <v>247</v>
      </c>
      <c r="D1059" s="3" t="s">
        <v>297</v>
      </c>
      <c r="E1059" s="3">
        <v>289.7</v>
      </c>
      <c r="F1059" s="3" t="s">
        <v>324</v>
      </c>
      <c r="G1059" s="3" t="s">
        <v>337</v>
      </c>
      <c r="H1059" s="3" t="s">
        <v>334</v>
      </c>
    </row>
    <row r="1060" spans="1:8" x14ac:dyDescent="0.25">
      <c r="A1060" s="3" t="s">
        <v>1388</v>
      </c>
      <c r="B1060" s="3" t="s">
        <v>4132</v>
      </c>
      <c r="C1060" s="3" t="s">
        <v>261</v>
      </c>
      <c r="D1060" s="3" t="s">
        <v>315</v>
      </c>
      <c r="E1060" s="3">
        <v>445.12</v>
      </c>
      <c r="F1060" s="3" t="s">
        <v>2973</v>
      </c>
      <c r="G1060" s="3" t="s">
        <v>337</v>
      </c>
      <c r="H1060" s="3"/>
    </row>
    <row r="1061" spans="1:8" x14ac:dyDescent="0.25">
      <c r="A1061" s="3" t="s">
        <v>1389</v>
      </c>
      <c r="B1061" s="3" t="s">
        <v>3723</v>
      </c>
      <c r="C1061" s="3" t="s">
        <v>191</v>
      </c>
      <c r="D1061" s="3" t="s">
        <v>300</v>
      </c>
      <c r="E1061" s="3">
        <v>367.64</v>
      </c>
      <c r="F1061" s="3" t="s">
        <v>324</v>
      </c>
      <c r="G1061" s="3" t="s">
        <v>325</v>
      </c>
      <c r="H1061" s="3" t="s">
        <v>332</v>
      </c>
    </row>
    <row r="1062" spans="1:8" x14ac:dyDescent="0.25">
      <c r="A1062" s="3" t="s">
        <v>1390</v>
      </c>
      <c r="B1062" s="3" t="s">
        <v>4095</v>
      </c>
      <c r="C1062" s="3" t="s">
        <v>257</v>
      </c>
      <c r="D1062" s="3" t="s">
        <v>312</v>
      </c>
      <c r="E1062" s="3">
        <v>268.89</v>
      </c>
      <c r="F1062" s="3" t="s">
        <v>2988</v>
      </c>
      <c r="G1062" s="3" t="s">
        <v>325</v>
      </c>
      <c r="H1062" s="3"/>
    </row>
    <row r="1063" spans="1:8" x14ac:dyDescent="0.25">
      <c r="A1063" s="3" t="s">
        <v>1391</v>
      </c>
      <c r="B1063" s="3" t="s">
        <v>4133</v>
      </c>
      <c r="C1063" s="3" t="s">
        <v>159</v>
      </c>
      <c r="D1063" s="3" t="s">
        <v>294</v>
      </c>
      <c r="E1063" s="3">
        <v>499.52</v>
      </c>
      <c r="F1063" s="3" t="s">
        <v>2997</v>
      </c>
      <c r="G1063" s="3" t="s">
        <v>325</v>
      </c>
      <c r="H1063" s="3"/>
    </row>
    <row r="1064" spans="1:8" x14ac:dyDescent="0.25">
      <c r="A1064" s="3" t="s">
        <v>1392</v>
      </c>
      <c r="B1064" s="3" t="s">
        <v>4134</v>
      </c>
      <c r="C1064" s="3" t="s">
        <v>209</v>
      </c>
      <c r="D1064" s="3" t="s">
        <v>315</v>
      </c>
      <c r="E1064" s="3">
        <v>374.06</v>
      </c>
      <c r="F1064" s="3" t="s">
        <v>324</v>
      </c>
      <c r="G1064" s="3" t="s">
        <v>337</v>
      </c>
      <c r="H1064" s="3" t="s">
        <v>334</v>
      </c>
    </row>
    <row r="1065" spans="1:8" x14ac:dyDescent="0.25">
      <c r="A1065" s="3" t="s">
        <v>1393</v>
      </c>
      <c r="B1065" s="3" t="s">
        <v>4135</v>
      </c>
      <c r="C1065" s="3" t="s">
        <v>64</v>
      </c>
      <c r="D1065" s="3" t="s">
        <v>315</v>
      </c>
      <c r="E1065" s="3" t="s">
        <v>4136</v>
      </c>
      <c r="F1065" s="3" t="s">
        <v>331</v>
      </c>
      <c r="G1065" s="3" t="s">
        <v>325</v>
      </c>
      <c r="H1065" s="3"/>
    </row>
    <row r="1066" spans="1:8" x14ac:dyDescent="0.25">
      <c r="A1066" s="3" t="s">
        <v>1394</v>
      </c>
      <c r="B1066" s="3" t="s">
        <v>4137</v>
      </c>
      <c r="C1066" s="3" t="s">
        <v>257</v>
      </c>
      <c r="D1066" s="3" t="s">
        <v>294</v>
      </c>
      <c r="E1066" s="3" t="s">
        <v>4138</v>
      </c>
      <c r="F1066" s="3" t="s">
        <v>324</v>
      </c>
      <c r="G1066" s="3" t="s">
        <v>337</v>
      </c>
      <c r="H1066" s="3" t="s">
        <v>346</v>
      </c>
    </row>
    <row r="1067" spans="1:8" x14ac:dyDescent="0.25">
      <c r="A1067" s="3" t="s">
        <v>1395</v>
      </c>
      <c r="B1067" s="3" t="s">
        <v>4139</v>
      </c>
      <c r="C1067" s="3" t="s">
        <v>98</v>
      </c>
      <c r="D1067" s="3" t="s">
        <v>306</v>
      </c>
      <c r="E1067" s="3">
        <v>482.35</v>
      </c>
      <c r="F1067" s="3" t="s">
        <v>2988</v>
      </c>
      <c r="G1067" s="3" t="s">
        <v>337</v>
      </c>
      <c r="H1067" s="3" t="s">
        <v>346</v>
      </c>
    </row>
    <row r="1068" spans="1:8" x14ac:dyDescent="0.25">
      <c r="A1068" s="3" t="s">
        <v>1396</v>
      </c>
      <c r="B1068" s="3" t="s">
        <v>3900</v>
      </c>
      <c r="C1068" s="3" t="s">
        <v>259</v>
      </c>
      <c r="D1068" s="3" t="s">
        <v>315</v>
      </c>
      <c r="E1068" s="3">
        <v>77.33</v>
      </c>
      <c r="F1068" s="3" t="s">
        <v>324</v>
      </c>
      <c r="G1068" s="3" t="s">
        <v>325</v>
      </c>
      <c r="H1068" s="3" t="s">
        <v>334</v>
      </c>
    </row>
    <row r="1069" spans="1:8" x14ac:dyDescent="0.25">
      <c r="A1069" s="3" t="s">
        <v>1397</v>
      </c>
      <c r="B1069" s="3" t="s">
        <v>4140</v>
      </c>
      <c r="C1069" s="3" t="s">
        <v>55</v>
      </c>
      <c r="D1069" s="3" t="s">
        <v>294</v>
      </c>
      <c r="E1069" s="3" t="s">
        <v>4141</v>
      </c>
      <c r="F1069" s="3" t="s">
        <v>3021</v>
      </c>
      <c r="G1069" s="3" t="s">
        <v>327</v>
      </c>
      <c r="H1069" s="3"/>
    </row>
    <row r="1070" spans="1:8" x14ac:dyDescent="0.25">
      <c r="A1070" s="3" t="s">
        <v>1398</v>
      </c>
      <c r="B1070" s="3" t="s">
        <v>4142</v>
      </c>
      <c r="C1070" s="3" t="s">
        <v>76</v>
      </c>
      <c r="D1070" s="3" t="s">
        <v>294</v>
      </c>
      <c r="E1070" s="3" t="s">
        <v>4143</v>
      </c>
      <c r="F1070" s="3" t="s">
        <v>324</v>
      </c>
      <c r="G1070" s="3" t="s">
        <v>329</v>
      </c>
      <c r="H1070" s="3"/>
    </row>
    <row r="1071" spans="1:8" x14ac:dyDescent="0.25">
      <c r="A1071" s="3" t="s">
        <v>1399</v>
      </c>
      <c r="B1071" s="3" t="s">
        <v>3229</v>
      </c>
      <c r="C1071" s="3" t="s">
        <v>219</v>
      </c>
      <c r="D1071" s="3" t="s">
        <v>309</v>
      </c>
      <c r="E1071" s="3">
        <v>261.22000000000003</v>
      </c>
      <c r="F1071" s="3" t="s">
        <v>2973</v>
      </c>
      <c r="G1071" s="3" t="s">
        <v>327</v>
      </c>
      <c r="H1071" s="3"/>
    </row>
    <row r="1072" spans="1:8" x14ac:dyDescent="0.25">
      <c r="A1072" s="3" t="s">
        <v>672</v>
      </c>
      <c r="B1072" s="3" t="s">
        <v>3417</v>
      </c>
      <c r="C1072" s="3" t="s">
        <v>265</v>
      </c>
      <c r="D1072" s="3" t="s">
        <v>294</v>
      </c>
      <c r="E1072" s="3" t="s">
        <v>3418</v>
      </c>
      <c r="F1072" s="3" t="s">
        <v>2976</v>
      </c>
      <c r="G1072" s="3" t="s">
        <v>325</v>
      </c>
      <c r="H1072" s="3" t="s">
        <v>346</v>
      </c>
    </row>
    <row r="1073" spans="1:8" x14ac:dyDescent="0.25">
      <c r="A1073" s="3" t="s">
        <v>1400</v>
      </c>
      <c r="B1073" s="3" t="s">
        <v>4144</v>
      </c>
      <c r="C1073" s="3" t="s">
        <v>163</v>
      </c>
      <c r="D1073" s="3" t="s">
        <v>303</v>
      </c>
      <c r="E1073" s="3">
        <v>550.16999999999996</v>
      </c>
      <c r="F1073" s="3" t="s">
        <v>324</v>
      </c>
      <c r="G1073" s="3" t="s">
        <v>329</v>
      </c>
      <c r="H1073" s="3" t="s">
        <v>334</v>
      </c>
    </row>
    <row r="1074" spans="1:8" x14ac:dyDescent="0.25">
      <c r="A1074" s="3" t="s">
        <v>1401</v>
      </c>
      <c r="B1074" s="3" t="s">
        <v>4145</v>
      </c>
      <c r="C1074" s="3" t="s">
        <v>173</v>
      </c>
      <c r="D1074" s="3" t="s">
        <v>309</v>
      </c>
      <c r="E1074" s="3">
        <v>451.4</v>
      </c>
      <c r="F1074" s="3" t="s">
        <v>324</v>
      </c>
      <c r="G1074" s="3" t="s">
        <v>325</v>
      </c>
      <c r="H1074" s="3"/>
    </row>
    <row r="1075" spans="1:8" x14ac:dyDescent="0.25">
      <c r="A1075" s="3" t="s">
        <v>1402</v>
      </c>
      <c r="B1075" s="3" t="s">
        <v>4146</v>
      </c>
      <c r="C1075" s="3" t="s">
        <v>70</v>
      </c>
      <c r="D1075" s="3" t="s">
        <v>306</v>
      </c>
      <c r="E1075" s="3" t="s">
        <v>4147</v>
      </c>
      <c r="F1075" s="3" t="s">
        <v>2973</v>
      </c>
      <c r="G1075" s="3" t="s">
        <v>337</v>
      </c>
      <c r="H1075" s="3" t="s">
        <v>334</v>
      </c>
    </row>
    <row r="1076" spans="1:8" x14ac:dyDescent="0.25">
      <c r="A1076" s="3" t="s">
        <v>1403</v>
      </c>
      <c r="B1076" s="3" t="s">
        <v>3588</v>
      </c>
      <c r="C1076" s="3" t="s">
        <v>100</v>
      </c>
      <c r="D1076" s="3" t="s">
        <v>297</v>
      </c>
      <c r="E1076" s="3" t="s">
        <v>4148</v>
      </c>
      <c r="F1076" s="3" t="s">
        <v>2988</v>
      </c>
      <c r="G1076" s="3" t="s">
        <v>325</v>
      </c>
      <c r="H1076" s="3"/>
    </row>
    <row r="1077" spans="1:8" x14ac:dyDescent="0.25">
      <c r="A1077" s="3" t="s">
        <v>1404</v>
      </c>
      <c r="B1077" s="3" t="s">
        <v>3551</v>
      </c>
      <c r="C1077" s="3" t="s">
        <v>163</v>
      </c>
      <c r="D1077" s="3" t="s">
        <v>294</v>
      </c>
      <c r="E1077" s="3">
        <v>22.71</v>
      </c>
      <c r="F1077" s="3" t="s">
        <v>324</v>
      </c>
      <c r="G1077" s="3" t="s">
        <v>327</v>
      </c>
      <c r="H1077" s="3" t="s">
        <v>334</v>
      </c>
    </row>
    <row r="1078" spans="1:8" x14ac:dyDescent="0.25">
      <c r="A1078" s="3" t="s">
        <v>1405</v>
      </c>
      <c r="B1078" s="3" t="s">
        <v>4149</v>
      </c>
      <c r="C1078" s="3" t="s">
        <v>64</v>
      </c>
      <c r="D1078" s="3" t="s">
        <v>294</v>
      </c>
      <c r="E1078" s="3">
        <v>-430.18</v>
      </c>
      <c r="F1078" s="3" t="s">
        <v>3060</v>
      </c>
      <c r="G1078" s="3" t="s">
        <v>325</v>
      </c>
      <c r="H1078" s="3" t="s">
        <v>334</v>
      </c>
    </row>
    <row r="1079" spans="1:8" x14ac:dyDescent="0.25">
      <c r="A1079" s="3" t="s">
        <v>1406</v>
      </c>
      <c r="B1079" s="3" t="s">
        <v>4150</v>
      </c>
      <c r="C1079" s="3" t="s">
        <v>185</v>
      </c>
      <c r="D1079" s="3" t="s">
        <v>300</v>
      </c>
      <c r="E1079" s="3" t="s">
        <v>4151</v>
      </c>
      <c r="F1079" s="3" t="s">
        <v>2995</v>
      </c>
      <c r="G1079" s="3" t="s">
        <v>325</v>
      </c>
      <c r="H1079" s="3"/>
    </row>
    <row r="1080" spans="1:8" x14ac:dyDescent="0.25">
      <c r="A1080" s="3" t="s">
        <v>1407</v>
      </c>
      <c r="B1080" s="3" t="s">
        <v>4152</v>
      </c>
      <c r="C1080" s="3" t="s">
        <v>161</v>
      </c>
      <c r="D1080" s="3" t="s">
        <v>315</v>
      </c>
      <c r="E1080" s="3">
        <v>142.68</v>
      </c>
      <c r="F1080" s="3" t="s">
        <v>324</v>
      </c>
      <c r="G1080" s="3" t="s">
        <v>325</v>
      </c>
      <c r="H1080" s="3"/>
    </row>
    <row r="1081" spans="1:8" x14ac:dyDescent="0.25">
      <c r="A1081" s="3" t="s">
        <v>1389</v>
      </c>
      <c r="B1081" s="3" t="s">
        <v>3723</v>
      </c>
      <c r="C1081" s="3" t="s">
        <v>191</v>
      </c>
      <c r="D1081" s="3" t="s">
        <v>300</v>
      </c>
      <c r="E1081" s="3">
        <v>367.64</v>
      </c>
      <c r="F1081" s="3" t="s">
        <v>324</v>
      </c>
      <c r="G1081" s="3" t="s">
        <v>325</v>
      </c>
      <c r="H1081" s="3" t="s">
        <v>332</v>
      </c>
    </row>
    <row r="1082" spans="1:8" x14ac:dyDescent="0.25">
      <c r="A1082" s="3" t="s">
        <v>1408</v>
      </c>
      <c r="B1082" s="3" t="s">
        <v>3700</v>
      </c>
      <c r="C1082" s="3" t="s">
        <v>187</v>
      </c>
      <c r="D1082" s="3" t="s">
        <v>312</v>
      </c>
      <c r="E1082" s="3" t="s">
        <v>4153</v>
      </c>
      <c r="F1082" s="3" t="s">
        <v>324</v>
      </c>
      <c r="G1082" s="3" t="s">
        <v>337</v>
      </c>
      <c r="H1082" s="3" t="s">
        <v>346</v>
      </c>
    </row>
    <row r="1083" spans="1:8" x14ac:dyDescent="0.25">
      <c r="A1083" s="3" t="s">
        <v>1409</v>
      </c>
      <c r="B1083" s="3" t="s">
        <v>4154</v>
      </c>
      <c r="C1083" s="3" t="s">
        <v>183</v>
      </c>
      <c r="D1083" s="3" t="s">
        <v>309</v>
      </c>
      <c r="E1083" s="3">
        <v>219.97</v>
      </c>
      <c r="F1083" s="3" t="s">
        <v>324</v>
      </c>
      <c r="G1083" s="3" t="s">
        <v>327</v>
      </c>
      <c r="H1083" s="3" t="s">
        <v>334</v>
      </c>
    </row>
    <row r="1084" spans="1:8" x14ac:dyDescent="0.25">
      <c r="A1084" s="3" t="s">
        <v>1410</v>
      </c>
      <c r="B1084" s="3" t="s">
        <v>3903</v>
      </c>
      <c r="C1084" s="3" t="s">
        <v>58</v>
      </c>
      <c r="D1084" s="3" t="s">
        <v>306</v>
      </c>
      <c r="E1084" s="3" t="s">
        <v>4155</v>
      </c>
      <c r="F1084" s="3" t="s">
        <v>3178</v>
      </c>
      <c r="G1084" s="3" t="s">
        <v>337</v>
      </c>
      <c r="H1084" s="3" t="s">
        <v>332</v>
      </c>
    </row>
    <row r="1085" spans="1:8" x14ac:dyDescent="0.25">
      <c r="A1085" s="3" t="s">
        <v>1411</v>
      </c>
      <c r="B1085" s="3" t="s">
        <v>3811</v>
      </c>
      <c r="C1085" s="3" t="s">
        <v>92</v>
      </c>
      <c r="D1085" s="3" t="s">
        <v>309</v>
      </c>
      <c r="E1085" s="3" t="s">
        <v>4156</v>
      </c>
      <c r="F1085" s="3" t="s">
        <v>3097</v>
      </c>
      <c r="G1085" s="3" t="s">
        <v>325</v>
      </c>
      <c r="H1085" s="3" t="s">
        <v>332</v>
      </c>
    </row>
    <row r="1086" spans="1:8" x14ac:dyDescent="0.25">
      <c r="A1086" s="3" t="s">
        <v>1412</v>
      </c>
      <c r="B1086" s="3" t="s">
        <v>4053</v>
      </c>
      <c r="C1086" s="3" t="s">
        <v>64</v>
      </c>
      <c r="D1086" s="3" t="s">
        <v>300</v>
      </c>
      <c r="E1086" s="3" t="s">
        <v>4157</v>
      </c>
      <c r="F1086" s="3" t="s">
        <v>324</v>
      </c>
      <c r="G1086" s="3" t="s">
        <v>325</v>
      </c>
      <c r="H1086" s="3"/>
    </row>
    <row r="1087" spans="1:8" x14ac:dyDescent="0.25">
      <c r="A1087" s="3" t="s">
        <v>1413</v>
      </c>
      <c r="B1087" s="3" t="s">
        <v>3526</v>
      </c>
      <c r="C1087" s="3" t="s">
        <v>147</v>
      </c>
      <c r="D1087" s="3" t="s">
        <v>297</v>
      </c>
      <c r="E1087" s="3">
        <v>993.36</v>
      </c>
      <c r="F1087" s="3" t="s">
        <v>324</v>
      </c>
      <c r="G1087" s="3" t="s">
        <v>337</v>
      </c>
      <c r="H1087" s="3" t="s">
        <v>334</v>
      </c>
    </row>
    <row r="1088" spans="1:8" x14ac:dyDescent="0.25">
      <c r="A1088" s="3" t="s">
        <v>1414</v>
      </c>
      <c r="B1088" s="3" t="s">
        <v>3538</v>
      </c>
      <c r="C1088" s="3" t="s">
        <v>113</v>
      </c>
      <c r="D1088" s="3" t="s">
        <v>300</v>
      </c>
      <c r="E1088" s="3" t="s">
        <v>4158</v>
      </c>
      <c r="F1088" s="3" t="s">
        <v>3006</v>
      </c>
      <c r="G1088" s="3" t="s">
        <v>327</v>
      </c>
      <c r="H1088" s="3"/>
    </row>
    <row r="1089" spans="1:8" x14ac:dyDescent="0.25">
      <c r="A1089" s="3" t="s">
        <v>1415</v>
      </c>
      <c r="B1089" s="3" t="s">
        <v>4159</v>
      </c>
      <c r="C1089" s="3" t="s">
        <v>261</v>
      </c>
      <c r="D1089" s="3" t="s">
        <v>303</v>
      </c>
      <c r="E1089" s="3" t="s">
        <v>4160</v>
      </c>
      <c r="F1089" s="3" t="s">
        <v>324</v>
      </c>
      <c r="G1089" s="3" t="s">
        <v>325</v>
      </c>
      <c r="H1089" s="3" t="s">
        <v>334</v>
      </c>
    </row>
    <row r="1090" spans="1:8" x14ac:dyDescent="0.25">
      <c r="A1090" s="3" t="s">
        <v>1416</v>
      </c>
      <c r="B1090" s="3" t="s">
        <v>3875</v>
      </c>
      <c r="C1090" s="3" t="s">
        <v>82</v>
      </c>
      <c r="D1090" s="3" t="s">
        <v>294</v>
      </c>
      <c r="E1090" s="3">
        <v>514.49</v>
      </c>
      <c r="F1090" s="3" t="s">
        <v>324</v>
      </c>
      <c r="G1090" s="3" t="s">
        <v>325</v>
      </c>
      <c r="H1090" s="3"/>
    </row>
    <row r="1091" spans="1:8" x14ac:dyDescent="0.25">
      <c r="A1091" s="3" t="s">
        <v>1417</v>
      </c>
      <c r="B1091" s="3" t="s">
        <v>3893</v>
      </c>
      <c r="C1091" s="3" t="s">
        <v>64</v>
      </c>
      <c r="D1091" s="3" t="s">
        <v>306</v>
      </c>
      <c r="E1091" s="3">
        <v>-61.03</v>
      </c>
      <c r="F1091" s="3" t="s">
        <v>349</v>
      </c>
      <c r="G1091" s="3"/>
      <c r="H1091" s="3" t="s">
        <v>332</v>
      </c>
    </row>
    <row r="1092" spans="1:8" x14ac:dyDescent="0.25">
      <c r="A1092" s="3" t="s">
        <v>1418</v>
      </c>
      <c r="B1092" s="3" t="s">
        <v>3262</v>
      </c>
      <c r="C1092" s="3" t="s">
        <v>80</v>
      </c>
      <c r="D1092" s="3" t="s">
        <v>312</v>
      </c>
      <c r="E1092" s="3">
        <v>-741.21</v>
      </c>
      <c r="F1092" s="3" t="s">
        <v>349</v>
      </c>
      <c r="G1092" s="3" t="s">
        <v>325</v>
      </c>
      <c r="H1092" s="3"/>
    </row>
    <row r="1093" spans="1:8" x14ac:dyDescent="0.25">
      <c r="A1093" s="3" t="s">
        <v>1419</v>
      </c>
      <c r="B1093" s="3" t="s">
        <v>4161</v>
      </c>
      <c r="C1093" s="3" t="s">
        <v>66</v>
      </c>
      <c r="D1093" s="3" t="s">
        <v>297</v>
      </c>
      <c r="E1093" s="3">
        <v>416.56</v>
      </c>
      <c r="F1093" s="3" t="s">
        <v>381</v>
      </c>
      <c r="G1093" s="3" t="s">
        <v>325</v>
      </c>
      <c r="H1093" s="3"/>
    </row>
    <row r="1094" spans="1:8" x14ac:dyDescent="0.25">
      <c r="A1094" s="3" t="s">
        <v>1420</v>
      </c>
      <c r="B1094" s="3" t="s">
        <v>4162</v>
      </c>
      <c r="C1094" s="3" t="s">
        <v>247</v>
      </c>
      <c r="D1094" s="3" t="s">
        <v>294</v>
      </c>
      <c r="E1094" s="3">
        <v>834.68</v>
      </c>
      <c r="F1094" s="3" t="s">
        <v>2976</v>
      </c>
      <c r="G1094" s="3" t="s">
        <v>337</v>
      </c>
      <c r="H1094" s="3"/>
    </row>
    <row r="1095" spans="1:8" x14ac:dyDescent="0.25">
      <c r="A1095" s="3" t="s">
        <v>1421</v>
      </c>
      <c r="B1095" s="3" t="s">
        <v>3427</v>
      </c>
      <c r="C1095" s="3" t="s">
        <v>159</v>
      </c>
      <c r="D1095" s="3" t="s">
        <v>300</v>
      </c>
      <c r="E1095" s="3" t="s">
        <v>4163</v>
      </c>
      <c r="F1095" s="3" t="s">
        <v>381</v>
      </c>
      <c r="G1095" s="3" t="s">
        <v>327</v>
      </c>
      <c r="H1095" s="3" t="s">
        <v>346</v>
      </c>
    </row>
    <row r="1096" spans="1:8" x14ac:dyDescent="0.25">
      <c r="A1096" s="3" t="s">
        <v>1422</v>
      </c>
      <c r="B1096" s="3" t="s">
        <v>3781</v>
      </c>
      <c r="C1096" s="3" t="s">
        <v>47</v>
      </c>
      <c r="D1096" s="3" t="s">
        <v>300</v>
      </c>
      <c r="E1096" s="3">
        <v>144.55000000000001</v>
      </c>
      <c r="F1096" s="3" t="s">
        <v>2995</v>
      </c>
      <c r="G1096" s="3" t="s">
        <v>327</v>
      </c>
      <c r="H1096" s="3" t="s">
        <v>346</v>
      </c>
    </row>
    <row r="1097" spans="1:8" x14ac:dyDescent="0.25">
      <c r="A1097" s="3" t="s">
        <v>1423</v>
      </c>
      <c r="B1097" s="3" t="s">
        <v>4164</v>
      </c>
      <c r="C1097" s="3" t="s">
        <v>29</v>
      </c>
      <c r="D1097" s="3" t="s">
        <v>315</v>
      </c>
      <c r="E1097" s="3" t="s">
        <v>4165</v>
      </c>
      <c r="F1097" s="3" t="s">
        <v>324</v>
      </c>
      <c r="G1097" s="3" t="s">
        <v>337</v>
      </c>
      <c r="H1097" s="3"/>
    </row>
    <row r="1098" spans="1:8" x14ac:dyDescent="0.25">
      <c r="A1098" s="3" t="s">
        <v>1424</v>
      </c>
      <c r="B1098" s="3" t="s">
        <v>4127</v>
      </c>
      <c r="C1098" s="3" t="s">
        <v>42</v>
      </c>
      <c r="D1098" s="3" t="s">
        <v>303</v>
      </c>
      <c r="E1098" s="3" t="s">
        <v>4166</v>
      </c>
      <c r="F1098" s="3" t="s">
        <v>324</v>
      </c>
      <c r="G1098" s="3" t="s">
        <v>337</v>
      </c>
      <c r="H1098" s="3"/>
    </row>
    <row r="1099" spans="1:8" x14ac:dyDescent="0.25">
      <c r="A1099" s="3" t="s">
        <v>1425</v>
      </c>
      <c r="B1099" s="3" t="s">
        <v>4167</v>
      </c>
      <c r="C1099" s="3" t="s">
        <v>211</v>
      </c>
      <c r="D1099" s="3" t="s">
        <v>309</v>
      </c>
      <c r="E1099" s="3" t="s">
        <v>4168</v>
      </c>
      <c r="F1099" s="3" t="s">
        <v>2997</v>
      </c>
      <c r="G1099" s="3" t="s">
        <v>325</v>
      </c>
      <c r="H1099" s="3" t="s">
        <v>334</v>
      </c>
    </row>
    <row r="1100" spans="1:8" x14ac:dyDescent="0.25">
      <c r="A1100" s="3" t="s">
        <v>1426</v>
      </c>
      <c r="B1100" s="3" t="s">
        <v>4169</v>
      </c>
      <c r="C1100" s="3" t="s">
        <v>147</v>
      </c>
      <c r="D1100" s="3" t="s">
        <v>300</v>
      </c>
      <c r="E1100" s="3">
        <v>252.53</v>
      </c>
      <c r="F1100" s="3" t="s">
        <v>2976</v>
      </c>
      <c r="G1100" s="3" t="s">
        <v>325</v>
      </c>
      <c r="H1100" s="3" t="s">
        <v>346</v>
      </c>
    </row>
    <row r="1101" spans="1:8" x14ac:dyDescent="0.25">
      <c r="A1101" s="3" t="s">
        <v>1427</v>
      </c>
      <c r="B1101" s="3" t="s">
        <v>4170</v>
      </c>
      <c r="C1101" s="3" t="s">
        <v>183</v>
      </c>
      <c r="D1101" s="3" t="s">
        <v>315</v>
      </c>
      <c r="E1101" s="3">
        <v>377.58</v>
      </c>
      <c r="F1101" s="3" t="s">
        <v>324</v>
      </c>
      <c r="G1101" s="3" t="s">
        <v>325</v>
      </c>
      <c r="H1101" s="3" t="s">
        <v>334</v>
      </c>
    </row>
    <row r="1102" spans="1:8" x14ac:dyDescent="0.25">
      <c r="A1102" s="3" t="s">
        <v>1428</v>
      </c>
      <c r="B1102" s="3" t="s">
        <v>4171</v>
      </c>
      <c r="C1102" s="3" t="s">
        <v>35</v>
      </c>
      <c r="D1102" s="3" t="s">
        <v>294</v>
      </c>
      <c r="E1102" s="3" t="s">
        <v>4172</v>
      </c>
      <c r="F1102" s="3" t="s">
        <v>2997</v>
      </c>
      <c r="G1102" s="3" t="s">
        <v>325</v>
      </c>
      <c r="H1102" s="3" t="s">
        <v>332</v>
      </c>
    </row>
    <row r="1103" spans="1:8" x14ac:dyDescent="0.25">
      <c r="A1103" s="3" t="s">
        <v>1429</v>
      </c>
      <c r="B1103" s="3" t="s">
        <v>4173</v>
      </c>
      <c r="C1103" s="3" t="s">
        <v>203</v>
      </c>
      <c r="D1103" s="3" t="s">
        <v>300</v>
      </c>
      <c r="E1103" s="3" t="s">
        <v>4174</v>
      </c>
      <c r="F1103" s="3" t="s">
        <v>2976</v>
      </c>
      <c r="G1103" s="3" t="s">
        <v>327</v>
      </c>
      <c r="H1103" s="3"/>
    </row>
    <row r="1104" spans="1:8" x14ac:dyDescent="0.25">
      <c r="A1104" s="3" t="s">
        <v>1430</v>
      </c>
      <c r="B1104" s="3" t="s">
        <v>4063</v>
      </c>
      <c r="C1104" s="3" t="s">
        <v>159</v>
      </c>
      <c r="D1104" s="3" t="s">
        <v>312</v>
      </c>
      <c r="E1104" s="3" t="s">
        <v>4175</v>
      </c>
      <c r="F1104" s="3" t="s">
        <v>324</v>
      </c>
      <c r="G1104" s="3" t="s">
        <v>337</v>
      </c>
      <c r="H1104" s="3" t="s">
        <v>346</v>
      </c>
    </row>
    <row r="1105" spans="1:8" x14ac:dyDescent="0.25">
      <c r="A1105" s="3" t="s">
        <v>1431</v>
      </c>
      <c r="B1105" s="3" t="s">
        <v>3260</v>
      </c>
      <c r="C1105" s="3" t="s">
        <v>80</v>
      </c>
      <c r="D1105" s="3" t="s">
        <v>315</v>
      </c>
      <c r="E1105" s="3">
        <v>804.74</v>
      </c>
      <c r="F1105" s="3" t="s">
        <v>2988</v>
      </c>
      <c r="G1105" s="3"/>
      <c r="H1105" s="3" t="s">
        <v>334</v>
      </c>
    </row>
    <row r="1106" spans="1:8" x14ac:dyDescent="0.25">
      <c r="A1106" s="3" t="s">
        <v>1432</v>
      </c>
      <c r="B1106" s="3" t="s">
        <v>4176</v>
      </c>
      <c r="C1106" s="3" t="s">
        <v>247</v>
      </c>
      <c r="D1106" s="3" t="s">
        <v>300</v>
      </c>
      <c r="E1106" s="3" t="s">
        <v>4177</v>
      </c>
      <c r="F1106" s="3" t="s">
        <v>2995</v>
      </c>
      <c r="G1106" s="3" t="s">
        <v>327</v>
      </c>
      <c r="H1106" s="3"/>
    </row>
    <row r="1107" spans="1:8" x14ac:dyDescent="0.25">
      <c r="A1107" s="3" t="s">
        <v>1433</v>
      </c>
      <c r="B1107" s="3" t="s">
        <v>3593</v>
      </c>
      <c r="C1107" s="3" t="s">
        <v>193</v>
      </c>
      <c r="D1107" s="3" t="s">
        <v>300</v>
      </c>
      <c r="E1107" s="3" t="s">
        <v>4178</v>
      </c>
      <c r="F1107" s="3" t="s">
        <v>324</v>
      </c>
      <c r="G1107" s="3" t="s">
        <v>337</v>
      </c>
      <c r="H1107" s="3" t="s">
        <v>334</v>
      </c>
    </row>
    <row r="1108" spans="1:8" x14ac:dyDescent="0.25">
      <c r="A1108" s="3" t="s">
        <v>1434</v>
      </c>
      <c r="B1108" s="3" t="s">
        <v>3032</v>
      </c>
      <c r="C1108" s="3" t="s">
        <v>113</v>
      </c>
      <c r="D1108" s="3" t="s">
        <v>300</v>
      </c>
      <c r="E1108" s="3" t="s">
        <v>4179</v>
      </c>
      <c r="F1108" s="3" t="s">
        <v>324</v>
      </c>
      <c r="G1108" s="3" t="s">
        <v>327</v>
      </c>
      <c r="H1108" s="3" t="s">
        <v>334</v>
      </c>
    </row>
    <row r="1109" spans="1:8" x14ac:dyDescent="0.25">
      <c r="A1109" s="3" t="s">
        <v>1435</v>
      </c>
      <c r="B1109" s="3" t="s">
        <v>4180</v>
      </c>
      <c r="C1109" s="3" t="s">
        <v>72</v>
      </c>
      <c r="D1109" s="3" t="s">
        <v>300</v>
      </c>
      <c r="E1109" s="3" t="s">
        <v>4181</v>
      </c>
      <c r="F1109" s="3" t="s">
        <v>324</v>
      </c>
      <c r="G1109" s="3" t="s">
        <v>327</v>
      </c>
      <c r="H1109" s="3" t="s">
        <v>334</v>
      </c>
    </row>
    <row r="1110" spans="1:8" x14ac:dyDescent="0.25">
      <c r="A1110" s="3" t="s">
        <v>1436</v>
      </c>
      <c r="B1110" s="3" t="s">
        <v>3566</v>
      </c>
      <c r="C1110" s="3" t="s">
        <v>237</v>
      </c>
      <c r="D1110" s="3" t="s">
        <v>297</v>
      </c>
      <c r="E1110" s="3" t="s">
        <v>4182</v>
      </c>
      <c r="F1110" s="3" t="s">
        <v>2995</v>
      </c>
      <c r="G1110" s="3" t="s">
        <v>327</v>
      </c>
      <c r="H1110" s="3" t="s">
        <v>346</v>
      </c>
    </row>
    <row r="1111" spans="1:8" x14ac:dyDescent="0.25">
      <c r="A1111" s="3" t="s">
        <v>1437</v>
      </c>
      <c r="B1111" s="3" t="s">
        <v>4183</v>
      </c>
      <c r="C1111" s="3" t="s">
        <v>167</v>
      </c>
      <c r="D1111" s="3" t="s">
        <v>294</v>
      </c>
      <c r="E1111" s="3">
        <v>635.99</v>
      </c>
      <c r="F1111" s="3" t="s">
        <v>324</v>
      </c>
      <c r="G1111" s="3" t="s">
        <v>337</v>
      </c>
      <c r="H1111" s="3" t="s">
        <v>346</v>
      </c>
    </row>
    <row r="1112" spans="1:8" x14ac:dyDescent="0.25">
      <c r="A1112" s="3" t="s">
        <v>1438</v>
      </c>
      <c r="B1112" s="3" t="s">
        <v>4184</v>
      </c>
      <c r="C1112" s="3" t="s">
        <v>82</v>
      </c>
      <c r="D1112" s="3" t="s">
        <v>297</v>
      </c>
      <c r="E1112" s="3">
        <v>125.14</v>
      </c>
      <c r="F1112" s="3" t="s">
        <v>324</v>
      </c>
      <c r="G1112" s="3" t="s">
        <v>329</v>
      </c>
      <c r="H1112" s="3" t="s">
        <v>334</v>
      </c>
    </row>
    <row r="1113" spans="1:8" x14ac:dyDescent="0.25">
      <c r="A1113" s="3" t="s">
        <v>1439</v>
      </c>
      <c r="B1113" s="3" t="s">
        <v>3524</v>
      </c>
      <c r="C1113" s="3" t="s">
        <v>127</v>
      </c>
      <c r="D1113" s="3" t="s">
        <v>312</v>
      </c>
      <c r="E1113" s="3" t="s">
        <v>4185</v>
      </c>
      <c r="F1113" s="3" t="s">
        <v>324</v>
      </c>
      <c r="G1113" s="3" t="s">
        <v>337</v>
      </c>
      <c r="H1113" s="3" t="s">
        <v>346</v>
      </c>
    </row>
    <row r="1114" spans="1:8" x14ac:dyDescent="0.25">
      <c r="A1114" s="3" t="s">
        <v>1440</v>
      </c>
      <c r="B1114" s="3" t="s">
        <v>4186</v>
      </c>
      <c r="C1114" s="3" t="s">
        <v>275</v>
      </c>
      <c r="D1114" s="3" t="s">
        <v>300</v>
      </c>
      <c r="E1114" s="3">
        <v>252.11</v>
      </c>
      <c r="F1114" s="3" t="s">
        <v>324</v>
      </c>
      <c r="G1114" s="3" t="s">
        <v>327</v>
      </c>
      <c r="H1114" s="3" t="s">
        <v>346</v>
      </c>
    </row>
    <row r="1115" spans="1:8" x14ac:dyDescent="0.25">
      <c r="A1115" s="3" t="s">
        <v>1441</v>
      </c>
      <c r="B1115" s="3" t="s">
        <v>3291</v>
      </c>
      <c r="C1115" s="3" t="s">
        <v>181</v>
      </c>
      <c r="D1115" s="3" t="s">
        <v>297</v>
      </c>
      <c r="E1115" s="3">
        <v>637.01</v>
      </c>
      <c r="F1115" s="3" t="s">
        <v>324</v>
      </c>
      <c r="G1115" s="3" t="s">
        <v>325</v>
      </c>
      <c r="H1115" s="3" t="s">
        <v>346</v>
      </c>
    </row>
    <row r="1116" spans="1:8" x14ac:dyDescent="0.25">
      <c r="A1116" s="3" t="s">
        <v>1442</v>
      </c>
      <c r="B1116" s="3" t="s">
        <v>4187</v>
      </c>
      <c r="C1116" s="3" t="s">
        <v>171</v>
      </c>
      <c r="D1116" s="3" t="s">
        <v>306</v>
      </c>
      <c r="E1116" s="3">
        <v>360.43</v>
      </c>
      <c r="F1116" s="3" t="s">
        <v>324</v>
      </c>
      <c r="G1116" s="3" t="s">
        <v>327</v>
      </c>
      <c r="H1116" s="3" t="s">
        <v>332</v>
      </c>
    </row>
    <row r="1117" spans="1:8" x14ac:dyDescent="0.25">
      <c r="A1117" s="3" t="s">
        <v>1443</v>
      </c>
      <c r="B1117" s="3" t="s">
        <v>4129</v>
      </c>
      <c r="C1117" s="3" t="s">
        <v>245</v>
      </c>
      <c r="D1117" s="3" t="s">
        <v>300</v>
      </c>
      <c r="E1117" s="3">
        <v>455.3</v>
      </c>
      <c r="F1117" s="3" t="s">
        <v>2976</v>
      </c>
      <c r="G1117" s="3" t="s">
        <v>327</v>
      </c>
      <c r="H1117" s="3"/>
    </row>
    <row r="1118" spans="1:8" x14ac:dyDescent="0.25">
      <c r="A1118" s="3" t="s">
        <v>1444</v>
      </c>
      <c r="B1118" s="3" t="s">
        <v>3334</v>
      </c>
      <c r="C1118" s="3" t="s">
        <v>66</v>
      </c>
      <c r="D1118" s="3" t="s">
        <v>297</v>
      </c>
      <c r="E1118" s="3">
        <v>552.39</v>
      </c>
      <c r="F1118" s="3" t="s">
        <v>324</v>
      </c>
      <c r="G1118" s="3" t="s">
        <v>327</v>
      </c>
      <c r="H1118" s="3"/>
    </row>
    <row r="1119" spans="1:8" x14ac:dyDescent="0.25">
      <c r="A1119" s="3" t="s">
        <v>1445</v>
      </c>
      <c r="B1119" s="3" t="s">
        <v>3258</v>
      </c>
      <c r="C1119" s="3" t="s">
        <v>237</v>
      </c>
      <c r="D1119" s="3" t="s">
        <v>312</v>
      </c>
      <c r="E1119" s="3">
        <v>298.88</v>
      </c>
      <c r="F1119" s="3" t="s">
        <v>331</v>
      </c>
      <c r="G1119" s="3" t="s">
        <v>337</v>
      </c>
      <c r="H1119" s="3" t="s">
        <v>332</v>
      </c>
    </row>
    <row r="1120" spans="1:8" x14ac:dyDescent="0.25">
      <c r="A1120" s="3" t="s">
        <v>1446</v>
      </c>
      <c r="B1120" s="3" t="s">
        <v>3689</v>
      </c>
      <c r="C1120" s="3" t="s">
        <v>229</v>
      </c>
      <c r="D1120" s="3" t="s">
        <v>294</v>
      </c>
      <c r="E1120" s="3" t="s">
        <v>4188</v>
      </c>
      <c r="F1120" s="3" t="s">
        <v>3178</v>
      </c>
      <c r="G1120" s="3" t="s">
        <v>337</v>
      </c>
      <c r="H1120" s="3"/>
    </row>
    <row r="1121" spans="1:8" x14ac:dyDescent="0.25">
      <c r="A1121" s="3" t="s">
        <v>1447</v>
      </c>
      <c r="B1121" s="3" t="s">
        <v>3278</v>
      </c>
      <c r="C1121" s="3" t="s">
        <v>38</v>
      </c>
      <c r="D1121" s="3" t="s">
        <v>294</v>
      </c>
      <c r="E1121" s="3">
        <v>-187.03</v>
      </c>
      <c r="F1121" s="3" t="s">
        <v>349</v>
      </c>
      <c r="G1121" s="3" t="s">
        <v>337</v>
      </c>
      <c r="H1121" s="3"/>
    </row>
    <row r="1122" spans="1:8" x14ac:dyDescent="0.25">
      <c r="A1122" s="3" t="s">
        <v>1448</v>
      </c>
      <c r="B1122" s="3" t="s">
        <v>3672</v>
      </c>
      <c r="C1122" s="3" t="s">
        <v>641</v>
      </c>
      <c r="D1122" s="3" t="s">
        <v>315</v>
      </c>
      <c r="E1122" s="3">
        <v>405.84</v>
      </c>
      <c r="F1122" s="3" t="s">
        <v>324</v>
      </c>
      <c r="G1122" s="3" t="s">
        <v>337</v>
      </c>
      <c r="H1122" s="3" t="s">
        <v>332</v>
      </c>
    </row>
    <row r="1123" spans="1:8" x14ac:dyDescent="0.25">
      <c r="A1123" s="3" t="s">
        <v>1449</v>
      </c>
      <c r="B1123" s="3" t="s">
        <v>4189</v>
      </c>
      <c r="C1123" s="3" t="s">
        <v>103</v>
      </c>
      <c r="D1123" s="3" t="s">
        <v>303</v>
      </c>
      <c r="E1123" s="3">
        <v>197.41</v>
      </c>
      <c r="F1123" s="3" t="s">
        <v>331</v>
      </c>
      <c r="G1123" s="3" t="s">
        <v>337</v>
      </c>
      <c r="H1123" s="3"/>
    </row>
    <row r="1124" spans="1:8" x14ac:dyDescent="0.25">
      <c r="A1124" s="3" t="s">
        <v>1450</v>
      </c>
      <c r="B1124" s="3" t="s">
        <v>4190</v>
      </c>
      <c r="C1124" s="3" t="s">
        <v>153</v>
      </c>
      <c r="D1124" s="3" t="s">
        <v>303</v>
      </c>
      <c r="E1124" s="3" t="s">
        <v>4191</v>
      </c>
      <c r="F1124" s="3" t="s">
        <v>2976</v>
      </c>
      <c r="G1124" s="3" t="s">
        <v>337</v>
      </c>
      <c r="H1124" s="3" t="s">
        <v>334</v>
      </c>
    </row>
    <row r="1125" spans="1:8" x14ac:dyDescent="0.25">
      <c r="A1125" s="3" t="s">
        <v>1451</v>
      </c>
      <c r="B1125" s="3" t="s">
        <v>3078</v>
      </c>
      <c r="C1125" s="3" t="s">
        <v>229</v>
      </c>
      <c r="D1125" s="3" t="s">
        <v>303</v>
      </c>
      <c r="E1125" s="3">
        <v>1153.83</v>
      </c>
      <c r="F1125" s="3" t="s">
        <v>2976</v>
      </c>
      <c r="G1125" s="3" t="s">
        <v>329</v>
      </c>
      <c r="H1125" s="3" t="s">
        <v>334</v>
      </c>
    </row>
    <row r="1126" spans="1:8" x14ac:dyDescent="0.25">
      <c r="A1126" s="3" t="s">
        <v>1452</v>
      </c>
      <c r="B1126" s="3" t="s">
        <v>3179</v>
      </c>
      <c r="C1126" s="3" t="s">
        <v>189</v>
      </c>
      <c r="D1126" s="3" t="s">
        <v>294</v>
      </c>
      <c r="E1126" s="3">
        <v>242.83</v>
      </c>
      <c r="F1126" s="3" t="s">
        <v>3097</v>
      </c>
      <c r="G1126" s="3" t="s">
        <v>337</v>
      </c>
      <c r="H1126" s="3" t="s">
        <v>332</v>
      </c>
    </row>
    <row r="1127" spans="1:8" x14ac:dyDescent="0.25">
      <c r="A1127" s="3" t="s">
        <v>1453</v>
      </c>
      <c r="B1127" s="3" t="s">
        <v>3272</v>
      </c>
      <c r="C1127" s="3" t="s">
        <v>161</v>
      </c>
      <c r="D1127" s="3" t="s">
        <v>300</v>
      </c>
      <c r="E1127" s="3" t="s">
        <v>4192</v>
      </c>
      <c r="F1127" s="3" t="s">
        <v>2988</v>
      </c>
      <c r="G1127" s="3" t="s">
        <v>337</v>
      </c>
      <c r="H1127" s="3" t="s">
        <v>346</v>
      </c>
    </row>
    <row r="1128" spans="1:8" x14ac:dyDescent="0.25">
      <c r="A1128" s="3" t="s">
        <v>1454</v>
      </c>
      <c r="B1128" s="3" t="s">
        <v>3123</v>
      </c>
      <c r="C1128" s="3" t="s">
        <v>151</v>
      </c>
      <c r="D1128" s="3" t="s">
        <v>300</v>
      </c>
      <c r="E1128" s="3" t="s">
        <v>4193</v>
      </c>
      <c r="F1128" s="3" t="s">
        <v>324</v>
      </c>
      <c r="G1128" s="3" t="s">
        <v>337</v>
      </c>
      <c r="H1128" s="3" t="s">
        <v>334</v>
      </c>
    </row>
    <row r="1129" spans="1:8" x14ac:dyDescent="0.25">
      <c r="A1129" s="3" t="s">
        <v>1455</v>
      </c>
      <c r="B1129" s="3" t="s">
        <v>3780</v>
      </c>
      <c r="C1129" s="3" t="s">
        <v>175</v>
      </c>
      <c r="D1129" s="3" t="s">
        <v>303</v>
      </c>
      <c r="E1129" s="3">
        <v>103.06</v>
      </c>
      <c r="F1129" s="3" t="s">
        <v>2995</v>
      </c>
      <c r="G1129" s="3" t="s">
        <v>325</v>
      </c>
      <c r="H1129" s="3" t="s">
        <v>334</v>
      </c>
    </row>
    <row r="1130" spans="1:8" x14ac:dyDescent="0.25">
      <c r="A1130" s="3" t="s">
        <v>1456</v>
      </c>
      <c r="B1130" s="3" t="s">
        <v>3706</v>
      </c>
      <c r="C1130" s="3" t="s">
        <v>217</v>
      </c>
      <c r="D1130" s="3" t="s">
        <v>294</v>
      </c>
      <c r="E1130" s="3" t="s">
        <v>4194</v>
      </c>
      <c r="F1130" s="3" t="s">
        <v>381</v>
      </c>
      <c r="G1130" s="3" t="s">
        <v>329</v>
      </c>
      <c r="H1130" s="3"/>
    </row>
    <row r="1131" spans="1:8" x14ac:dyDescent="0.25">
      <c r="A1131" s="3" t="s">
        <v>877</v>
      </c>
      <c r="B1131" s="3" t="s">
        <v>3654</v>
      </c>
      <c r="C1131" s="3" t="s">
        <v>267</v>
      </c>
      <c r="D1131" s="3" t="s">
        <v>297</v>
      </c>
      <c r="E1131" s="3" t="s">
        <v>3655</v>
      </c>
      <c r="F1131" s="3" t="s">
        <v>331</v>
      </c>
      <c r="G1131" s="3"/>
      <c r="H1131" s="3"/>
    </row>
    <row r="1132" spans="1:8" x14ac:dyDescent="0.25">
      <c r="A1132" s="3" t="s">
        <v>1457</v>
      </c>
      <c r="B1132" s="3" t="s">
        <v>4195</v>
      </c>
      <c r="C1132" s="3" t="s">
        <v>187</v>
      </c>
      <c r="D1132" s="3" t="s">
        <v>303</v>
      </c>
      <c r="E1132" s="3" t="s">
        <v>4196</v>
      </c>
      <c r="F1132" s="3" t="s">
        <v>331</v>
      </c>
      <c r="G1132" s="3" t="s">
        <v>325</v>
      </c>
      <c r="H1132" s="3" t="s">
        <v>334</v>
      </c>
    </row>
    <row r="1133" spans="1:8" x14ac:dyDescent="0.25">
      <c r="A1133" s="3" t="s">
        <v>1458</v>
      </c>
      <c r="B1133" s="3" t="s">
        <v>3906</v>
      </c>
      <c r="C1133" s="3" t="s">
        <v>58</v>
      </c>
      <c r="D1133" s="3" t="s">
        <v>294</v>
      </c>
      <c r="E1133" s="3" t="s">
        <v>4197</v>
      </c>
      <c r="F1133" s="3" t="s">
        <v>324</v>
      </c>
      <c r="G1133" s="3" t="s">
        <v>337</v>
      </c>
      <c r="H1133" s="3"/>
    </row>
    <row r="1134" spans="1:8" x14ac:dyDescent="0.25">
      <c r="A1134" s="3" t="s">
        <v>1459</v>
      </c>
      <c r="B1134" s="3" t="s">
        <v>4198</v>
      </c>
      <c r="C1134" s="3" t="s">
        <v>98</v>
      </c>
      <c r="D1134" s="3" t="s">
        <v>303</v>
      </c>
      <c r="E1134" s="3" t="s">
        <v>4199</v>
      </c>
      <c r="F1134" s="3" t="s">
        <v>3157</v>
      </c>
      <c r="G1134" s="3" t="s">
        <v>325</v>
      </c>
      <c r="H1134" s="3"/>
    </row>
    <row r="1135" spans="1:8" x14ac:dyDescent="0.25">
      <c r="A1135" s="3" t="s">
        <v>1460</v>
      </c>
      <c r="B1135" s="3" t="s">
        <v>4200</v>
      </c>
      <c r="C1135" s="3" t="s">
        <v>195</v>
      </c>
      <c r="D1135" s="3" t="s">
        <v>294</v>
      </c>
      <c r="E1135" s="3">
        <v>225.55</v>
      </c>
      <c r="F1135" s="3" t="s">
        <v>2976</v>
      </c>
      <c r="G1135" s="3" t="s">
        <v>327</v>
      </c>
      <c r="H1135" s="3" t="s">
        <v>346</v>
      </c>
    </row>
    <row r="1136" spans="1:8" x14ac:dyDescent="0.25">
      <c r="A1136" s="3" t="s">
        <v>1461</v>
      </c>
      <c r="B1136" s="3" t="s">
        <v>4093</v>
      </c>
      <c r="C1136" s="3" t="s">
        <v>49</v>
      </c>
      <c r="D1136" s="3" t="s">
        <v>294</v>
      </c>
      <c r="E1136" s="3" t="s">
        <v>4201</v>
      </c>
      <c r="F1136" s="3" t="s">
        <v>324</v>
      </c>
      <c r="G1136" s="3" t="s">
        <v>325</v>
      </c>
      <c r="H1136" s="3"/>
    </row>
    <row r="1137" spans="1:8" x14ac:dyDescent="0.25">
      <c r="A1137" s="3" t="s">
        <v>1462</v>
      </c>
      <c r="B1137" s="3" t="s">
        <v>3838</v>
      </c>
      <c r="C1137" s="3" t="s">
        <v>149</v>
      </c>
      <c r="D1137" s="3" t="s">
        <v>294</v>
      </c>
      <c r="E1137" s="3">
        <v>452.47</v>
      </c>
      <c r="F1137" s="3" t="s">
        <v>381</v>
      </c>
      <c r="G1137" s="3"/>
      <c r="H1137" s="3" t="s">
        <v>346</v>
      </c>
    </row>
    <row r="1138" spans="1:8" x14ac:dyDescent="0.25">
      <c r="A1138" s="3" t="s">
        <v>1463</v>
      </c>
      <c r="B1138" s="3" t="s">
        <v>3372</v>
      </c>
      <c r="C1138" s="3" t="s">
        <v>111</v>
      </c>
      <c r="D1138" s="3" t="s">
        <v>297</v>
      </c>
      <c r="E1138" s="3">
        <v>747.65</v>
      </c>
      <c r="F1138" s="3" t="s">
        <v>324</v>
      </c>
      <c r="G1138" s="3" t="s">
        <v>327</v>
      </c>
      <c r="H1138" s="3"/>
    </row>
    <row r="1139" spans="1:8" x14ac:dyDescent="0.25">
      <c r="A1139" s="3" t="s">
        <v>1464</v>
      </c>
      <c r="B1139" s="3" t="s">
        <v>4202</v>
      </c>
      <c r="C1139" s="3" t="s">
        <v>227</v>
      </c>
      <c r="D1139" s="3" t="s">
        <v>306</v>
      </c>
      <c r="E1139" s="3">
        <v>99.67</v>
      </c>
      <c r="F1139" s="3" t="s">
        <v>324</v>
      </c>
      <c r="G1139" s="3" t="s">
        <v>325</v>
      </c>
      <c r="H1139" s="3"/>
    </row>
    <row r="1140" spans="1:8" x14ac:dyDescent="0.25">
      <c r="A1140" s="3" t="s">
        <v>1465</v>
      </c>
      <c r="B1140" s="3" t="s">
        <v>4200</v>
      </c>
      <c r="C1140" s="3" t="s">
        <v>259</v>
      </c>
      <c r="D1140" s="3" t="s">
        <v>312</v>
      </c>
      <c r="E1140" s="3">
        <v>1036.05</v>
      </c>
      <c r="F1140" s="3" t="s">
        <v>324</v>
      </c>
      <c r="G1140" s="3" t="s">
        <v>337</v>
      </c>
      <c r="H1140" s="3" t="s">
        <v>332</v>
      </c>
    </row>
    <row r="1141" spans="1:8" x14ac:dyDescent="0.25">
      <c r="A1141" s="3" t="s">
        <v>1466</v>
      </c>
      <c r="B1141" s="3" t="s">
        <v>3719</v>
      </c>
      <c r="C1141" s="3" t="s">
        <v>129</v>
      </c>
      <c r="D1141" s="3" t="s">
        <v>303</v>
      </c>
      <c r="E1141" s="3">
        <v>257.27999999999997</v>
      </c>
      <c r="F1141" s="3" t="s">
        <v>2973</v>
      </c>
      <c r="G1141" s="3" t="s">
        <v>325</v>
      </c>
      <c r="H1141" s="3" t="s">
        <v>346</v>
      </c>
    </row>
    <row r="1142" spans="1:8" x14ac:dyDescent="0.25">
      <c r="A1142" s="3" t="s">
        <v>1467</v>
      </c>
      <c r="B1142" s="3" t="s">
        <v>4203</v>
      </c>
      <c r="C1142" s="3" t="s">
        <v>109</v>
      </c>
      <c r="D1142" s="3" t="s">
        <v>312</v>
      </c>
      <c r="E1142" s="3" t="s">
        <v>4204</v>
      </c>
      <c r="F1142" s="3" t="s">
        <v>2973</v>
      </c>
      <c r="G1142" s="3" t="s">
        <v>327</v>
      </c>
      <c r="H1142" s="3"/>
    </row>
    <row r="1143" spans="1:8" x14ac:dyDescent="0.25">
      <c r="A1143" s="3" t="s">
        <v>1468</v>
      </c>
      <c r="B1143" s="3" t="s">
        <v>3653</v>
      </c>
      <c r="C1143" s="3" t="s">
        <v>201</v>
      </c>
      <c r="D1143" s="3" t="s">
        <v>294</v>
      </c>
      <c r="E1143" s="3" t="s">
        <v>4205</v>
      </c>
      <c r="F1143" s="3" t="s">
        <v>324</v>
      </c>
      <c r="G1143" s="3" t="s">
        <v>327</v>
      </c>
      <c r="H1143" s="3"/>
    </row>
    <row r="1144" spans="1:8" x14ac:dyDescent="0.25">
      <c r="A1144" s="3" t="s">
        <v>1469</v>
      </c>
      <c r="B1144" s="3" t="s">
        <v>4206</v>
      </c>
      <c r="C1144" s="3" t="s">
        <v>145</v>
      </c>
      <c r="D1144" s="3" t="s">
        <v>294</v>
      </c>
      <c r="E1144" s="3">
        <v>65.83</v>
      </c>
      <c r="F1144" s="3" t="s">
        <v>2973</v>
      </c>
      <c r="G1144" s="3" t="s">
        <v>337</v>
      </c>
      <c r="H1144" s="3" t="s">
        <v>346</v>
      </c>
    </row>
    <row r="1145" spans="1:8" x14ac:dyDescent="0.25">
      <c r="A1145" s="3" t="s">
        <v>1470</v>
      </c>
      <c r="B1145" s="3" t="s">
        <v>3629</v>
      </c>
      <c r="C1145" s="3" t="s">
        <v>257</v>
      </c>
      <c r="D1145" s="3" t="s">
        <v>315</v>
      </c>
      <c r="E1145" s="3">
        <v>692.44</v>
      </c>
      <c r="F1145" s="3" t="s">
        <v>2995</v>
      </c>
      <c r="G1145" s="3" t="s">
        <v>329</v>
      </c>
      <c r="H1145" s="3" t="s">
        <v>334</v>
      </c>
    </row>
    <row r="1146" spans="1:8" x14ac:dyDescent="0.25">
      <c r="A1146" s="3" t="s">
        <v>1418</v>
      </c>
      <c r="B1146" s="3" t="s">
        <v>3262</v>
      </c>
      <c r="C1146" s="3" t="s">
        <v>80</v>
      </c>
      <c r="D1146" s="3" t="s">
        <v>312</v>
      </c>
      <c r="E1146" s="3">
        <v>-741.21</v>
      </c>
      <c r="F1146" s="3" t="s">
        <v>349</v>
      </c>
      <c r="G1146" s="3" t="s">
        <v>325</v>
      </c>
      <c r="H1146" s="3"/>
    </row>
    <row r="1147" spans="1:8" x14ac:dyDescent="0.25">
      <c r="A1147" s="3" t="s">
        <v>1471</v>
      </c>
      <c r="B1147" s="3" t="s">
        <v>4207</v>
      </c>
      <c r="C1147" s="3" t="s">
        <v>229</v>
      </c>
      <c r="D1147" s="3" t="s">
        <v>294</v>
      </c>
      <c r="E1147" s="3" t="s">
        <v>4208</v>
      </c>
      <c r="F1147" s="3" t="s">
        <v>2973</v>
      </c>
      <c r="G1147" s="3" t="s">
        <v>327</v>
      </c>
      <c r="H1147" s="3"/>
    </row>
    <row r="1148" spans="1:8" x14ac:dyDescent="0.25">
      <c r="A1148" s="3" t="s">
        <v>1472</v>
      </c>
      <c r="B1148" s="3" t="s">
        <v>4209</v>
      </c>
      <c r="C1148" s="3" t="s">
        <v>42</v>
      </c>
      <c r="D1148" s="3" t="s">
        <v>294</v>
      </c>
      <c r="E1148" s="3">
        <v>545.58000000000004</v>
      </c>
      <c r="F1148" s="3" t="s">
        <v>324</v>
      </c>
      <c r="G1148" s="3" t="s">
        <v>325</v>
      </c>
      <c r="H1148" s="3"/>
    </row>
    <row r="1149" spans="1:8" x14ac:dyDescent="0.25">
      <c r="A1149" s="3" t="s">
        <v>1473</v>
      </c>
      <c r="B1149" s="3" t="s">
        <v>3216</v>
      </c>
      <c r="C1149" s="3" t="s">
        <v>92</v>
      </c>
      <c r="D1149" s="3" t="s">
        <v>306</v>
      </c>
      <c r="E1149" s="3">
        <v>790.11</v>
      </c>
      <c r="F1149" s="3" t="s">
        <v>3097</v>
      </c>
      <c r="G1149" s="3" t="s">
        <v>325</v>
      </c>
      <c r="H1149" s="3"/>
    </row>
    <row r="1150" spans="1:8" x14ac:dyDescent="0.25">
      <c r="A1150" s="3" t="s">
        <v>1474</v>
      </c>
      <c r="B1150" s="3" t="s">
        <v>4210</v>
      </c>
      <c r="C1150" s="3" t="s">
        <v>265</v>
      </c>
      <c r="D1150" s="3" t="s">
        <v>300</v>
      </c>
      <c r="E1150" s="3">
        <v>336.01</v>
      </c>
      <c r="F1150" s="3" t="s">
        <v>324</v>
      </c>
      <c r="G1150" s="3" t="s">
        <v>327</v>
      </c>
      <c r="H1150" s="3" t="s">
        <v>334</v>
      </c>
    </row>
    <row r="1151" spans="1:8" x14ac:dyDescent="0.25">
      <c r="A1151" s="3" t="s">
        <v>1475</v>
      </c>
      <c r="B1151" s="3" t="s">
        <v>4211</v>
      </c>
      <c r="C1151" s="3" t="s">
        <v>70</v>
      </c>
      <c r="D1151" s="3" t="s">
        <v>294</v>
      </c>
      <c r="E1151" s="3">
        <v>216.3</v>
      </c>
      <c r="F1151" s="3" t="s">
        <v>2988</v>
      </c>
      <c r="G1151" s="3" t="s">
        <v>337</v>
      </c>
      <c r="H1151" s="3"/>
    </row>
    <row r="1152" spans="1:8" x14ac:dyDescent="0.25">
      <c r="A1152" s="3" t="s">
        <v>1476</v>
      </c>
      <c r="B1152" s="3" t="s">
        <v>4212</v>
      </c>
      <c r="C1152" s="3" t="s">
        <v>117</v>
      </c>
      <c r="D1152" s="3" t="s">
        <v>309</v>
      </c>
      <c r="E1152" s="3">
        <v>349.49</v>
      </c>
      <c r="F1152" s="3" t="s">
        <v>331</v>
      </c>
      <c r="G1152" s="3" t="s">
        <v>337</v>
      </c>
      <c r="H1152" s="3"/>
    </row>
    <row r="1153" spans="1:8" x14ac:dyDescent="0.25">
      <c r="A1153" s="3" t="s">
        <v>1477</v>
      </c>
      <c r="B1153" s="3" t="s">
        <v>4110</v>
      </c>
      <c r="C1153" s="3" t="s">
        <v>175</v>
      </c>
      <c r="D1153" s="3" t="s">
        <v>306</v>
      </c>
      <c r="E1153" s="3">
        <v>640.16</v>
      </c>
      <c r="F1153" s="3" t="s">
        <v>3178</v>
      </c>
      <c r="G1153" s="3" t="s">
        <v>325</v>
      </c>
      <c r="H1153" s="3" t="s">
        <v>332</v>
      </c>
    </row>
    <row r="1154" spans="1:8" x14ac:dyDescent="0.25">
      <c r="A1154" s="3" t="s">
        <v>1478</v>
      </c>
      <c r="B1154" s="3" t="s">
        <v>3274</v>
      </c>
      <c r="C1154" s="3" t="s">
        <v>109</v>
      </c>
      <c r="D1154" s="3" t="s">
        <v>300</v>
      </c>
      <c r="E1154" s="3">
        <v>218.66</v>
      </c>
      <c r="F1154" s="3" t="s">
        <v>331</v>
      </c>
      <c r="G1154" s="3" t="s">
        <v>337</v>
      </c>
      <c r="H1154" s="3"/>
    </row>
    <row r="1155" spans="1:8" x14ac:dyDescent="0.25">
      <c r="A1155" s="3" t="s">
        <v>1479</v>
      </c>
      <c r="B1155" s="3" t="s">
        <v>4015</v>
      </c>
      <c r="C1155" s="3" t="s">
        <v>233</v>
      </c>
      <c r="D1155" s="3" t="s">
        <v>312</v>
      </c>
      <c r="E1155" s="3">
        <v>441.3</v>
      </c>
      <c r="F1155" s="3" t="s">
        <v>2988</v>
      </c>
      <c r="G1155" s="3" t="s">
        <v>325</v>
      </c>
      <c r="H1155" s="3"/>
    </row>
    <row r="1156" spans="1:8" x14ac:dyDescent="0.25">
      <c r="A1156" s="3" t="s">
        <v>1480</v>
      </c>
      <c r="B1156" s="3" t="s">
        <v>3697</v>
      </c>
      <c r="C1156" s="3" t="s">
        <v>275</v>
      </c>
      <c r="D1156" s="3" t="s">
        <v>294</v>
      </c>
      <c r="E1156" s="3" t="s">
        <v>4213</v>
      </c>
      <c r="F1156" s="3" t="s">
        <v>2976</v>
      </c>
      <c r="G1156" s="3" t="s">
        <v>337</v>
      </c>
      <c r="H1156" s="3"/>
    </row>
    <row r="1157" spans="1:8" x14ac:dyDescent="0.25">
      <c r="A1157" s="3" t="s">
        <v>1481</v>
      </c>
      <c r="B1157" s="3" t="s">
        <v>4214</v>
      </c>
      <c r="C1157" s="3" t="s">
        <v>209</v>
      </c>
      <c r="D1157" s="3" t="s">
        <v>294</v>
      </c>
      <c r="E1157" s="3">
        <v>1565.21</v>
      </c>
      <c r="F1157" s="3" t="s">
        <v>2976</v>
      </c>
      <c r="G1157" s="3" t="s">
        <v>327</v>
      </c>
      <c r="H1157" s="3"/>
    </row>
    <row r="1158" spans="1:8" x14ac:dyDescent="0.25">
      <c r="A1158" s="3" t="s">
        <v>1482</v>
      </c>
      <c r="B1158" s="3" t="s">
        <v>3977</v>
      </c>
      <c r="C1158" s="3" t="s">
        <v>26</v>
      </c>
      <c r="D1158" s="3" t="s">
        <v>294</v>
      </c>
      <c r="E1158" s="3">
        <v>618.91</v>
      </c>
      <c r="F1158" s="3" t="s">
        <v>331</v>
      </c>
      <c r="G1158" s="3" t="s">
        <v>329</v>
      </c>
      <c r="H1158" s="3" t="s">
        <v>346</v>
      </c>
    </row>
    <row r="1159" spans="1:8" x14ac:dyDescent="0.25">
      <c r="A1159" s="3" t="s">
        <v>1483</v>
      </c>
      <c r="B1159" s="3" t="s">
        <v>3305</v>
      </c>
      <c r="C1159" s="3" t="s">
        <v>153</v>
      </c>
      <c r="D1159" s="3" t="s">
        <v>306</v>
      </c>
      <c r="E1159" s="3" t="s">
        <v>4215</v>
      </c>
      <c r="F1159" s="3" t="s">
        <v>2995</v>
      </c>
      <c r="G1159" s="3" t="s">
        <v>325</v>
      </c>
      <c r="H1159" s="3"/>
    </row>
    <row r="1160" spans="1:8" x14ac:dyDescent="0.25">
      <c r="A1160" s="3" t="s">
        <v>1484</v>
      </c>
      <c r="B1160" s="3" t="s">
        <v>4216</v>
      </c>
      <c r="C1160" s="3" t="s">
        <v>223</v>
      </c>
      <c r="D1160" s="3" t="s">
        <v>306</v>
      </c>
      <c r="E1160" s="3">
        <v>143.13</v>
      </c>
      <c r="F1160" s="3" t="s">
        <v>324</v>
      </c>
      <c r="G1160" s="3" t="s">
        <v>327</v>
      </c>
      <c r="H1160" s="3" t="s">
        <v>334</v>
      </c>
    </row>
    <row r="1161" spans="1:8" x14ac:dyDescent="0.25">
      <c r="A1161" s="3" t="s">
        <v>1485</v>
      </c>
      <c r="B1161" s="3" t="s">
        <v>3406</v>
      </c>
      <c r="C1161" s="3" t="s">
        <v>105</v>
      </c>
      <c r="D1161" s="3" t="s">
        <v>303</v>
      </c>
      <c r="E1161" s="3">
        <v>405.2</v>
      </c>
      <c r="F1161" s="3" t="s">
        <v>2980</v>
      </c>
      <c r="G1161" s="3" t="s">
        <v>325</v>
      </c>
      <c r="H1161" s="3" t="s">
        <v>346</v>
      </c>
    </row>
    <row r="1162" spans="1:8" x14ac:dyDescent="0.25">
      <c r="A1162" s="3" t="s">
        <v>1486</v>
      </c>
      <c r="B1162" s="3" t="s">
        <v>3640</v>
      </c>
      <c r="C1162" s="3" t="s">
        <v>247</v>
      </c>
      <c r="D1162" s="3" t="s">
        <v>294</v>
      </c>
      <c r="E1162" s="3" t="s">
        <v>4217</v>
      </c>
      <c r="F1162" s="3" t="s">
        <v>2995</v>
      </c>
      <c r="G1162" s="3" t="s">
        <v>327</v>
      </c>
      <c r="H1162" s="3" t="s">
        <v>346</v>
      </c>
    </row>
    <row r="1163" spans="1:8" x14ac:dyDescent="0.25">
      <c r="A1163" s="3" t="s">
        <v>1487</v>
      </c>
      <c r="B1163" s="3" t="s">
        <v>4218</v>
      </c>
      <c r="C1163" s="3" t="s">
        <v>42</v>
      </c>
      <c r="D1163" s="3" t="s">
        <v>312</v>
      </c>
      <c r="E1163" s="3">
        <v>332.23</v>
      </c>
      <c r="F1163" s="3" t="s">
        <v>2988</v>
      </c>
      <c r="G1163" s="3" t="s">
        <v>325</v>
      </c>
      <c r="H1163" s="3"/>
    </row>
    <row r="1164" spans="1:8" x14ac:dyDescent="0.25">
      <c r="A1164" s="3" t="s">
        <v>1488</v>
      </c>
      <c r="B1164" s="3" t="s">
        <v>4219</v>
      </c>
      <c r="C1164" s="3" t="s">
        <v>157</v>
      </c>
      <c r="D1164" s="3" t="s">
        <v>309</v>
      </c>
      <c r="E1164" s="3" t="s">
        <v>4220</v>
      </c>
      <c r="F1164" s="3" t="s">
        <v>324</v>
      </c>
      <c r="G1164" s="3" t="s">
        <v>327</v>
      </c>
      <c r="H1164" s="3" t="s">
        <v>332</v>
      </c>
    </row>
    <row r="1165" spans="1:8" x14ac:dyDescent="0.25">
      <c r="A1165" s="3" t="s">
        <v>1489</v>
      </c>
      <c r="B1165" s="3" t="s">
        <v>4221</v>
      </c>
      <c r="C1165" s="3" t="s">
        <v>229</v>
      </c>
      <c r="D1165" s="3" t="s">
        <v>297</v>
      </c>
      <c r="E1165" s="3">
        <v>1060.33</v>
      </c>
      <c r="F1165" s="3" t="s">
        <v>324</v>
      </c>
      <c r="G1165" s="3" t="s">
        <v>325</v>
      </c>
      <c r="H1165" s="3" t="s">
        <v>334</v>
      </c>
    </row>
    <row r="1166" spans="1:8" x14ac:dyDescent="0.25">
      <c r="A1166" s="3" t="s">
        <v>1490</v>
      </c>
      <c r="B1166" s="3" t="s">
        <v>4056</v>
      </c>
      <c r="C1166" s="3" t="s">
        <v>103</v>
      </c>
      <c r="D1166" s="3" t="s">
        <v>294</v>
      </c>
      <c r="E1166" s="3" t="s">
        <v>4222</v>
      </c>
      <c r="F1166" s="3" t="s">
        <v>3021</v>
      </c>
      <c r="G1166" s="3" t="s">
        <v>337</v>
      </c>
      <c r="H1166" s="3"/>
    </row>
    <row r="1167" spans="1:8" x14ac:dyDescent="0.25">
      <c r="A1167" s="3" t="s">
        <v>1491</v>
      </c>
      <c r="B1167" s="3" t="s">
        <v>4223</v>
      </c>
      <c r="C1167" s="3" t="s">
        <v>88</v>
      </c>
      <c r="D1167" s="3" t="s">
        <v>297</v>
      </c>
      <c r="E1167" s="3" t="s">
        <v>4224</v>
      </c>
      <c r="F1167" s="3" t="s">
        <v>324</v>
      </c>
      <c r="G1167" s="3" t="s">
        <v>337</v>
      </c>
      <c r="H1167" s="3"/>
    </row>
    <row r="1168" spans="1:8" x14ac:dyDescent="0.25">
      <c r="A1168" s="3" t="s">
        <v>1492</v>
      </c>
      <c r="B1168" s="3" t="s">
        <v>3075</v>
      </c>
      <c r="C1168" s="3" t="s">
        <v>139</v>
      </c>
      <c r="D1168" s="3" t="s">
        <v>315</v>
      </c>
      <c r="E1168" s="3">
        <v>378.07</v>
      </c>
      <c r="F1168" s="3" t="s">
        <v>2976</v>
      </c>
      <c r="G1168" s="3" t="s">
        <v>337</v>
      </c>
      <c r="H1168" s="3"/>
    </row>
    <row r="1169" spans="1:8" x14ac:dyDescent="0.25">
      <c r="A1169" s="3" t="s">
        <v>1493</v>
      </c>
      <c r="B1169" s="3" t="s">
        <v>3179</v>
      </c>
      <c r="C1169" s="3" t="s">
        <v>241</v>
      </c>
      <c r="D1169" s="3" t="s">
        <v>294</v>
      </c>
      <c r="E1169" s="3">
        <v>420.79</v>
      </c>
      <c r="F1169" s="3" t="s">
        <v>324</v>
      </c>
      <c r="G1169" s="3" t="s">
        <v>337</v>
      </c>
      <c r="H1169" s="3" t="s">
        <v>332</v>
      </c>
    </row>
    <row r="1170" spans="1:8" x14ac:dyDescent="0.25">
      <c r="A1170" s="3" t="s">
        <v>1494</v>
      </c>
      <c r="B1170" s="3" t="s">
        <v>3448</v>
      </c>
      <c r="C1170" s="3" t="s">
        <v>209</v>
      </c>
      <c r="D1170" s="3" t="s">
        <v>303</v>
      </c>
      <c r="E1170" s="3">
        <v>142.33000000000001</v>
      </c>
      <c r="F1170" s="3" t="s">
        <v>324</v>
      </c>
      <c r="G1170" s="3" t="s">
        <v>325</v>
      </c>
      <c r="H1170" s="3" t="s">
        <v>332</v>
      </c>
    </row>
    <row r="1171" spans="1:8" x14ac:dyDescent="0.25">
      <c r="A1171" s="3" t="s">
        <v>1495</v>
      </c>
      <c r="B1171" s="3" t="s">
        <v>4225</v>
      </c>
      <c r="C1171" s="3" t="s">
        <v>113</v>
      </c>
      <c r="D1171" s="3" t="s">
        <v>312</v>
      </c>
      <c r="E1171" s="3">
        <v>557.41999999999996</v>
      </c>
      <c r="F1171" s="3" t="s">
        <v>381</v>
      </c>
      <c r="G1171" s="3" t="s">
        <v>329</v>
      </c>
      <c r="H1171" s="3"/>
    </row>
    <row r="1172" spans="1:8" x14ac:dyDescent="0.25">
      <c r="A1172" s="3" t="s">
        <v>1496</v>
      </c>
      <c r="B1172" s="3" t="s">
        <v>3020</v>
      </c>
      <c r="C1172" s="3" t="s">
        <v>183</v>
      </c>
      <c r="D1172" s="3" t="s">
        <v>297</v>
      </c>
      <c r="E1172" s="3" t="s">
        <v>4226</v>
      </c>
      <c r="F1172" s="3" t="s">
        <v>3112</v>
      </c>
      <c r="G1172" s="3" t="s">
        <v>325</v>
      </c>
      <c r="H1172" s="3"/>
    </row>
    <row r="1173" spans="1:8" x14ac:dyDescent="0.25">
      <c r="A1173" s="3" t="s">
        <v>1497</v>
      </c>
      <c r="B1173" s="3" t="s">
        <v>4227</v>
      </c>
      <c r="C1173" s="3" t="s">
        <v>109</v>
      </c>
      <c r="D1173" s="3" t="s">
        <v>294</v>
      </c>
      <c r="E1173" s="3">
        <v>320.66000000000003</v>
      </c>
      <c r="F1173" s="3" t="s">
        <v>2976</v>
      </c>
      <c r="G1173" s="3"/>
      <c r="H1173" s="3"/>
    </row>
    <row r="1174" spans="1:8" x14ac:dyDescent="0.25">
      <c r="A1174" s="3" t="s">
        <v>1498</v>
      </c>
      <c r="B1174" s="3" t="s">
        <v>4228</v>
      </c>
      <c r="C1174" s="3" t="s">
        <v>219</v>
      </c>
      <c r="D1174" s="3" t="s">
        <v>309</v>
      </c>
      <c r="E1174" s="3">
        <v>194.7</v>
      </c>
      <c r="F1174" s="3" t="s">
        <v>2995</v>
      </c>
      <c r="G1174" s="3" t="s">
        <v>337</v>
      </c>
      <c r="H1174" s="3" t="s">
        <v>346</v>
      </c>
    </row>
    <row r="1175" spans="1:8" x14ac:dyDescent="0.25">
      <c r="A1175" s="3" t="s">
        <v>1499</v>
      </c>
      <c r="B1175" s="3" t="s">
        <v>4229</v>
      </c>
      <c r="C1175" s="3" t="s">
        <v>261</v>
      </c>
      <c r="D1175" s="3" t="s">
        <v>306</v>
      </c>
      <c r="E1175" s="3">
        <v>325.7</v>
      </c>
      <c r="F1175" s="3" t="s">
        <v>2976</v>
      </c>
      <c r="G1175" s="3" t="s">
        <v>327</v>
      </c>
      <c r="H1175" s="3"/>
    </row>
    <row r="1176" spans="1:8" x14ac:dyDescent="0.25">
      <c r="A1176" s="3" t="s">
        <v>1500</v>
      </c>
      <c r="B1176" s="3" t="s">
        <v>3878</v>
      </c>
      <c r="C1176" s="3" t="s">
        <v>133</v>
      </c>
      <c r="D1176" s="3" t="s">
        <v>312</v>
      </c>
      <c r="E1176" s="3" t="s">
        <v>4230</v>
      </c>
      <c r="F1176" s="3" t="s">
        <v>324</v>
      </c>
      <c r="G1176" s="3"/>
      <c r="H1176" s="3"/>
    </row>
    <row r="1177" spans="1:8" x14ac:dyDescent="0.25">
      <c r="A1177" s="3" t="s">
        <v>1501</v>
      </c>
      <c r="B1177" s="3" t="s">
        <v>3879</v>
      </c>
      <c r="C1177" s="3" t="s">
        <v>92</v>
      </c>
      <c r="D1177" s="3" t="s">
        <v>309</v>
      </c>
      <c r="E1177" s="3">
        <v>298.88</v>
      </c>
      <c r="F1177" s="3" t="s">
        <v>2995</v>
      </c>
      <c r="G1177" s="3" t="s">
        <v>325</v>
      </c>
      <c r="H1177" s="3" t="s">
        <v>334</v>
      </c>
    </row>
    <row r="1178" spans="1:8" x14ac:dyDescent="0.25">
      <c r="A1178" s="3" t="s">
        <v>1502</v>
      </c>
      <c r="B1178" s="3" t="s">
        <v>3183</v>
      </c>
      <c r="C1178" s="3" t="s">
        <v>233</v>
      </c>
      <c r="D1178" s="3" t="s">
        <v>315</v>
      </c>
      <c r="E1178" s="3">
        <v>410.86</v>
      </c>
      <c r="F1178" s="3" t="s">
        <v>381</v>
      </c>
      <c r="G1178" s="3" t="s">
        <v>337</v>
      </c>
      <c r="H1178" s="3" t="s">
        <v>346</v>
      </c>
    </row>
    <row r="1179" spans="1:8" x14ac:dyDescent="0.25">
      <c r="A1179" s="3" t="s">
        <v>1503</v>
      </c>
      <c r="B1179" s="3" t="s">
        <v>4231</v>
      </c>
      <c r="C1179" s="3" t="s">
        <v>255</v>
      </c>
      <c r="D1179" s="3" t="s">
        <v>294</v>
      </c>
      <c r="E1179" s="3">
        <v>46.77</v>
      </c>
      <c r="F1179" s="3" t="s">
        <v>2995</v>
      </c>
      <c r="G1179" s="3" t="s">
        <v>337</v>
      </c>
      <c r="H1179" s="3"/>
    </row>
    <row r="1180" spans="1:8" x14ac:dyDescent="0.25">
      <c r="A1180" s="3" t="s">
        <v>1504</v>
      </c>
      <c r="B1180" s="3" t="s">
        <v>3253</v>
      </c>
      <c r="C1180" s="3" t="s">
        <v>35</v>
      </c>
      <c r="D1180" s="3" t="s">
        <v>300</v>
      </c>
      <c r="E1180" s="3" t="s">
        <v>4232</v>
      </c>
      <c r="F1180" s="3" t="s">
        <v>381</v>
      </c>
      <c r="G1180" s="3" t="s">
        <v>327</v>
      </c>
      <c r="H1180" s="3"/>
    </row>
    <row r="1181" spans="1:8" x14ac:dyDescent="0.25">
      <c r="A1181" s="3" t="s">
        <v>1505</v>
      </c>
      <c r="B1181" s="3" t="s">
        <v>3856</v>
      </c>
      <c r="C1181" s="3" t="s">
        <v>243</v>
      </c>
      <c r="D1181" s="3" t="s">
        <v>312</v>
      </c>
      <c r="E1181" s="3">
        <v>184.56</v>
      </c>
      <c r="F1181" s="3" t="s">
        <v>2973</v>
      </c>
      <c r="G1181" s="3" t="s">
        <v>329</v>
      </c>
      <c r="H1181" s="3"/>
    </row>
    <row r="1182" spans="1:8" x14ac:dyDescent="0.25">
      <c r="A1182" s="3" t="s">
        <v>1506</v>
      </c>
      <c r="B1182" s="3" t="s">
        <v>4233</v>
      </c>
      <c r="C1182" s="3" t="s">
        <v>227</v>
      </c>
      <c r="D1182" s="3" t="s">
        <v>294</v>
      </c>
      <c r="E1182" s="3" t="s">
        <v>4234</v>
      </c>
      <c r="F1182" s="3" t="s">
        <v>324</v>
      </c>
      <c r="G1182" s="3" t="s">
        <v>337</v>
      </c>
      <c r="H1182" s="3"/>
    </row>
    <row r="1183" spans="1:8" x14ac:dyDescent="0.25">
      <c r="A1183" s="3" t="s">
        <v>1507</v>
      </c>
      <c r="B1183" s="3" t="s">
        <v>3270</v>
      </c>
      <c r="C1183" s="3" t="s">
        <v>237</v>
      </c>
      <c r="D1183" s="3" t="s">
        <v>294</v>
      </c>
      <c r="E1183" s="3">
        <v>92</v>
      </c>
      <c r="F1183" s="3" t="s">
        <v>324</v>
      </c>
      <c r="G1183" s="3" t="s">
        <v>327</v>
      </c>
      <c r="H1183" s="3"/>
    </row>
    <row r="1184" spans="1:8" x14ac:dyDescent="0.25">
      <c r="A1184" s="3" t="s">
        <v>1508</v>
      </c>
      <c r="B1184" s="3" t="s">
        <v>3599</v>
      </c>
      <c r="C1184" s="3" t="s">
        <v>271</v>
      </c>
      <c r="D1184" s="3" t="s">
        <v>294</v>
      </c>
      <c r="E1184" s="3">
        <v>899.51</v>
      </c>
      <c r="F1184" s="3" t="s">
        <v>324</v>
      </c>
      <c r="G1184" s="3" t="s">
        <v>329</v>
      </c>
      <c r="H1184" s="3"/>
    </row>
    <row r="1185" spans="1:8" x14ac:dyDescent="0.25">
      <c r="A1185" s="3" t="s">
        <v>1509</v>
      </c>
      <c r="B1185" s="3" t="s">
        <v>3969</v>
      </c>
      <c r="C1185" s="3" t="s">
        <v>189</v>
      </c>
      <c r="D1185" s="3" t="s">
        <v>312</v>
      </c>
      <c r="E1185" s="3">
        <v>172.5</v>
      </c>
      <c r="F1185" s="3" t="s">
        <v>2976</v>
      </c>
      <c r="G1185" s="3" t="s">
        <v>329</v>
      </c>
      <c r="H1185" s="3" t="s">
        <v>334</v>
      </c>
    </row>
    <row r="1186" spans="1:8" x14ac:dyDescent="0.25">
      <c r="A1186" s="3" t="s">
        <v>1510</v>
      </c>
      <c r="B1186" s="3" t="s">
        <v>4235</v>
      </c>
      <c r="C1186" s="3" t="s">
        <v>84</v>
      </c>
      <c r="D1186" s="3" t="s">
        <v>294</v>
      </c>
      <c r="E1186" s="3" t="s">
        <v>4236</v>
      </c>
      <c r="F1186" s="3" t="s">
        <v>2976</v>
      </c>
      <c r="G1186" s="3" t="s">
        <v>325</v>
      </c>
      <c r="H1186" s="3" t="s">
        <v>332</v>
      </c>
    </row>
    <row r="1187" spans="1:8" x14ac:dyDescent="0.25">
      <c r="A1187" s="3" t="s">
        <v>1511</v>
      </c>
      <c r="B1187" s="3" t="s">
        <v>3347</v>
      </c>
      <c r="C1187" s="3" t="s">
        <v>159</v>
      </c>
      <c r="D1187" s="3" t="s">
        <v>294</v>
      </c>
      <c r="E1187" s="3">
        <v>749.93</v>
      </c>
      <c r="F1187" s="3" t="s">
        <v>324</v>
      </c>
      <c r="G1187" s="3" t="s">
        <v>329</v>
      </c>
      <c r="H1187" s="3"/>
    </row>
    <row r="1188" spans="1:8" x14ac:dyDescent="0.25">
      <c r="A1188" s="3" t="s">
        <v>1512</v>
      </c>
      <c r="B1188" s="3" t="s">
        <v>3015</v>
      </c>
      <c r="C1188" s="3" t="s">
        <v>121</v>
      </c>
      <c r="D1188" s="3" t="s">
        <v>294</v>
      </c>
      <c r="E1188" s="3">
        <v>392.09</v>
      </c>
      <c r="F1188" s="3" t="s">
        <v>324</v>
      </c>
      <c r="G1188" s="3" t="s">
        <v>337</v>
      </c>
      <c r="H1188" s="3"/>
    </row>
    <row r="1189" spans="1:8" x14ac:dyDescent="0.25">
      <c r="A1189" s="3" t="s">
        <v>1513</v>
      </c>
      <c r="B1189" s="3" t="s">
        <v>3698</v>
      </c>
      <c r="C1189" s="3" t="s">
        <v>157</v>
      </c>
      <c r="D1189" s="3" t="s">
        <v>297</v>
      </c>
      <c r="E1189" s="3" t="s">
        <v>4237</v>
      </c>
      <c r="F1189" s="3" t="s">
        <v>2976</v>
      </c>
      <c r="G1189" s="3" t="s">
        <v>327</v>
      </c>
      <c r="H1189" s="3" t="s">
        <v>332</v>
      </c>
    </row>
    <row r="1190" spans="1:8" x14ac:dyDescent="0.25">
      <c r="A1190" s="3" t="s">
        <v>1514</v>
      </c>
      <c r="B1190" s="3" t="s">
        <v>3635</v>
      </c>
      <c r="C1190" s="3" t="s">
        <v>189</v>
      </c>
      <c r="D1190" s="3" t="s">
        <v>294</v>
      </c>
      <c r="E1190" s="3" t="s">
        <v>4238</v>
      </c>
      <c r="F1190" s="3" t="s">
        <v>381</v>
      </c>
      <c r="G1190" s="3" t="s">
        <v>325</v>
      </c>
      <c r="H1190" s="3" t="s">
        <v>334</v>
      </c>
    </row>
    <row r="1191" spans="1:8" x14ac:dyDescent="0.25">
      <c r="A1191" s="3" t="s">
        <v>1515</v>
      </c>
      <c r="B1191" s="3" t="s">
        <v>3635</v>
      </c>
      <c r="C1191" s="3" t="s">
        <v>181</v>
      </c>
      <c r="D1191" s="3" t="s">
        <v>297</v>
      </c>
      <c r="E1191" s="3">
        <v>-158.68</v>
      </c>
      <c r="F1191" s="3" t="s">
        <v>3006</v>
      </c>
      <c r="G1191" s="3"/>
      <c r="H1191" s="3"/>
    </row>
    <row r="1192" spans="1:8" x14ac:dyDescent="0.25">
      <c r="A1192" s="3" t="s">
        <v>1516</v>
      </c>
      <c r="B1192" s="3" t="s">
        <v>3558</v>
      </c>
      <c r="C1192" s="3" t="s">
        <v>23</v>
      </c>
      <c r="D1192" s="3" t="s">
        <v>294</v>
      </c>
      <c r="E1192" s="3" t="s">
        <v>4239</v>
      </c>
      <c r="F1192" s="3" t="s">
        <v>349</v>
      </c>
      <c r="G1192" s="3" t="s">
        <v>325</v>
      </c>
      <c r="H1192" s="3" t="s">
        <v>334</v>
      </c>
    </row>
    <row r="1193" spans="1:8" x14ac:dyDescent="0.25">
      <c r="A1193" s="3" t="s">
        <v>1517</v>
      </c>
      <c r="B1193" s="3" t="s">
        <v>4240</v>
      </c>
      <c r="C1193" s="3" t="s">
        <v>129</v>
      </c>
      <c r="D1193" s="3" t="s">
        <v>312</v>
      </c>
      <c r="E1193" s="3" t="s">
        <v>4241</v>
      </c>
      <c r="F1193" s="3" t="s">
        <v>2976</v>
      </c>
      <c r="G1193" s="3" t="s">
        <v>325</v>
      </c>
      <c r="H1193" s="3" t="s">
        <v>332</v>
      </c>
    </row>
    <row r="1194" spans="1:8" x14ac:dyDescent="0.25">
      <c r="A1194" s="3" t="s">
        <v>1518</v>
      </c>
      <c r="B1194" s="3" t="s">
        <v>3780</v>
      </c>
      <c r="C1194" s="3" t="s">
        <v>119</v>
      </c>
      <c r="D1194" s="3" t="s">
        <v>315</v>
      </c>
      <c r="E1194" s="3">
        <v>316.35000000000002</v>
      </c>
      <c r="F1194" s="3" t="s">
        <v>2997</v>
      </c>
      <c r="G1194" s="3"/>
      <c r="H1194" s="3"/>
    </row>
    <row r="1195" spans="1:8" x14ac:dyDescent="0.25">
      <c r="A1195" s="3" t="s">
        <v>1519</v>
      </c>
      <c r="B1195" s="3" t="s">
        <v>3368</v>
      </c>
      <c r="C1195" s="3" t="s">
        <v>151</v>
      </c>
      <c r="D1195" s="3" t="s">
        <v>294</v>
      </c>
      <c r="E1195" s="3">
        <v>306.54000000000002</v>
      </c>
      <c r="F1195" s="3" t="s">
        <v>2988</v>
      </c>
      <c r="G1195" s="3" t="s">
        <v>325</v>
      </c>
      <c r="H1195" s="3"/>
    </row>
    <row r="1196" spans="1:8" x14ac:dyDescent="0.25">
      <c r="A1196" s="3" t="s">
        <v>1520</v>
      </c>
      <c r="B1196" s="3" t="s">
        <v>4095</v>
      </c>
      <c r="C1196" s="3" t="s">
        <v>233</v>
      </c>
      <c r="D1196" s="3" t="s">
        <v>312</v>
      </c>
      <c r="E1196" s="3">
        <v>459.85</v>
      </c>
      <c r="F1196" s="3" t="s">
        <v>2988</v>
      </c>
      <c r="G1196" s="3" t="s">
        <v>327</v>
      </c>
      <c r="H1196" s="3"/>
    </row>
    <row r="1197" spans="1:8" x14ac:dyDescent="0.25">
      <c r="A1197" s="3" t="s">
        <v>1521</v>
      </c>
      <c r="B1197" s="3" t="s">
        <v>4242</v>
      </c>
      <c r="C1197" s="3" t="s">
        <v>193</v>
      </c>
      <c r="D1197" s="3" t="s">
        <v>297</v>
      </c>
      <c r="E1197" s="3" t="s">
        <v>4243</v>
      </c>
      <c r="F1197" s="3" t="s">
        <v>2976</v>
      </c>
      <c r="G1197" s="3" t="s">
        <v>325</v>
      </c>
      <c r="H1197" s="3" t="s">
        <v>334</v>
      </c>
    </row>
    <row r="1198" spans="1:8" x14ac:dyDescent="0.25">
      <c r="A1198" s="3" t="s">
        <v>1522</v>
      </c>
      <c r="B1198" s="3" t="s">
        <v>4244</v>
      </c>
      <c r="C1198" s="3" t="s">
        <v>53</v>
      </c>
      <c r="D1198" s="3" t="s">
        <v>312</v>
      </c>
      <c r="E1198" s="3">
        <v>1064.45</v>
      </c>
      <c r="F1198" s="3" t="s">
        <v>324</v>
      </c>
      <c r="G1198" s="3" t="s">
        <v>325</v>
      </c>
      <c r="H1198" s="3" t="s">
        <v>346</v>
      </c>
    </row>
    <row r="1199" spans="1:8" x14ac:dyDescent="0.25">
      <c r="A1199" s="3" t="s">
        <v>1523</v>
      </c>
      <c r="B1199" s="3" t="s">
        <v>4245</v>
      </c>
      <c r="C1199" s="3" t="s">
        <v>275</v>
      </c>
      <c r="D1199" s="3" t="s">
        <v>309</v>
      </c>
      <c r="E1199" s="3">
        <v>402.58</v>
      </c>
      <c r="F1199" s="3" t="s">
        <v>324</v>
      </c>
      <c r="G1199" s="3" t="s">
        <v>327</v>
      </c>
      <c r="H1199" s="3" t="s">
        <v>332</v>
      </c>
    </row>
    <row r="1200" spans="1:8" x14ac:dyDescent="0.25">
      <c r="A1200" s="3" t="s">
        <v>1524</v>
      </c>
      <c r="B1200" s="3" t="s">
        <v>3841</v>
      </c>
      <c r="C1200" s="3" t="s">
        <v>64</v>
      </c>
      <c r="D1200" s="3" t="s">
        <v>315</v>
      </c>
      <c r="E1200" s="3" t="s">
        <v>4246</v>
      </c>
      <c r="F1200" s="3" t="s">
        <v>2995</v>
      </c>
      <c r="G1200" s="3" t="s">
        <v>327</v>
      </c>
      <c r="H1200" s="3"/>
    </row>
    <row r="1201" spans="1:8" x14ac:dyDescent="0.25">
      <c r="A1201" s="3" t="s">
        <v>1525</v>
      </c>
      <c r="B1201" s="3" t="s">
        <v>3169</v>
      </c>
      <c r="C1201" s="3" t="s">
        <v>247</v>
      </c>
      <c r="D1201" s="3" t="s">
        <v>303</v>
      </c>
      <c r="E1201" s="3">
        <v>596.72</v>
      </c>
      <c r="F1201" s="3" t="s">
        <v>331</v>
      </c>
      <c r="G1201" s="3" t="s">
        <v>327</v>
      </c>
      <c r="H1201" s="3" t="s">
        <v>332</v>
      </c>
    </row>
    <row r="1202" spans="1:8" x14ac:dyDescent="0.25">
      <c r="A1202" s="3" t="s">
        <v>1526</v>
      </c>
      <c r="B1202" s="3" t="s">
        <v>4013</v>
      </c>
      <c r="C1202" s="3" t="s">
        <v>243</v>
      </c>
      <c r="D1202" s="3" t="s">
        <v>306</v>
      </c>
      <c r="E1202" s="3">
        <v>618.04999999999995</v>
      </c>
      <c r="F1202" s="3" t="s">
        <v>2995</v>
      </c>
      <c r="G1202" s="3" t="s">
        <v>325</v>
      </c>
      <c r="H1202" s="3"/>
    </row>
    <row r="1203" spans="1:8" x14ac:dyDescent="0.25">
      <c r="A1203" s="3" t="s">
        <v>1527</v>
      </c>
      <c r="B1203" s="3" t="s">
        <v>4247</v>
      </c>
      <c r="C1203" s="3" t="s">
        <v>257</v>
      </c>
      <c r="D1203" s="3" t="s">
        <v>297</v>
      </c>
      <c r="E1203" s="3">
        <v>177.89</v>
      </c>
      <c r="F1203" s="3" t="s">
        <v>2988</v>
      </c>
      <c r="G1203" s="3" t="s">
        <v>325</v>
      </c>
      <c r="H1203" s="3"/>
    </row>
    <row r="1204" spans="1:8" x14ac:dyDescent="0.25">
      <c r="A1204" s="3" t="s">
        <v>1528</v>
      </c>
      <c r="B1204" s="3" t="s">
        <v>3708</v>
      </c>
      <c r="C1204" s="3" t="s">
        <v>396</v>
      </c>
      <c r="D1204" s="3" t="s">
        <v>309</v>
      </c>
      <c r="E1204" s="3">
        <v>238.59</v>
      </c>
      <c r="F1204" s="3" t="s">
        <v>2976</v>
      </c>
      <c r="G1204" s="3" t="s">
        <v>325</v>
      </c>
      <c r="H1204" s="3" t="s">
        <v>346</v>
      </c>
    </row>
    <row r="1205" spans="1:8" x14ac:dyDescent="0.25">
      <c r="A1205" s="3" t="s">
        <v>1529</v>
      </c>
      <c r="B1205" s="3" t="s">
        <v>4248</v>
      </c>
      <c r="C1205" s="3" t="s">
        <v>257</v>
      </c>
      <c r="D1205" s="3" t="s">
        <v>300</v>
      </c>
      <c r="E1205" s="3">
        <v>501.73</v>
      </c>
      <c r="F1205" s="3" t="s">
        <v>3097</v>
      </c>
      <c r="G1205" s="3" t="s">
        <v>325</v>
      </c>
      <c r="H1205" s="3" t="s">
        <v>332</v>
      </c>
    </row>
    <row r="1206" spans="1:8" x14ac:dyDescent="0.25">
      <c r="A1206" s="3" t="s">
        <v>1530</v>
      </c>
      <c r="B1206" s="3" t="s">
        <v>4049</v>
      </c>
      <c r="C1206" s="3" t="s">
        <v>269</v>
      </c>
      <c r="D1206" s="3" t="s">
        <v>294</v>
      </c>
      <c r="E1206" s="3">
        <v>268.63</v>
      </c>
      <c r="F1206" s="3" t="s">
        <v>324</v>
      </c>
      <c r="G1206" s="3" t="s">
        <v>327</v>
      </c>
      <c r="H1206" s="3" t="s">
        <v>332</v>
      </c>
    </row>
    <row r="1207" spans="1:8" x14ac:dyDescent="0.25">
      <c r="A1207" s="3" t="s">
        <v>1531</v>
      </c>
      <c r="B1207" s="3" t="s">
        <v>4249</v>
      </c>
      <c r="C1207" s="3" t="s">
        <v>88</v>
      </c>
      <c r="D1207" s="3" t="s">
        <v>300</v>
      </c>
      <c r="E1207" s="3" t="s">
        <v>4250</v>
      </c>
      <c r="F1207" s="3" t="s">
        <v>324</v>
      </c>
      <c r="G1207" s="3" t="s">
        <v>327</v>
      </c>
      <c r="H1207" s="3"/>
    </row>
    <row r="1208" spans="1:8" x14ac:dyDescent="0.25">
      <c r="A1208" s="3" t="s">
        <v>1532</v>
      </c>
      <c r="B1208" s="3" t="s">
        <v>4251</v>
      </c>
      <c r="C1208" s="3" t="s">
        <v>107</v>
      </c>
      <c r="D1208" s="3" t="s">
        <v>294</v>
      </c>
      <c r="E1208" s="3">
        <v>51.2</v>
      </c>
      <c r="F1208" s="3" t="s">
        <v>3157</v>
      </c>
      <c r="G1208" s="3" t="s">
        <v>329</v>
      </c>
      <c r="H1208" s="3" t="s">
        <v>346</v>
      </c>
    </row>
    <row r="1209" spans="1:8" x14ac:dyDescent="0.25">
      <c r="A1209" s="3" t="s">
        <v>1533</v>
      </c>
      <c r="B1209" s="3" t="s">
        <v>4252</v>
      </c>
      <c r="C1209" s="3" t="s">
        <v>157</v>
      </c>
      <c r="D1209" s="3" t="s">
        <v>309</v>
      </c>
      <c r="E1209" s="3">
        <v>513.92999999999995</v>
      </c>
      <c r="F1209" s="3" t="s">
        <v>381</v>
      </c>
      <c r="G1209" s="3" t="s">
        <v>327</v>
      </c>
      <c r="H1209" s="3"/>
    </row>
    <row r="1210" spans="1:8" x14ac:dyDescent="0.25">
      <c r="A1210" s="3" t="s">
        <v>1534</v>
      </c>
      <c r="B1210" s="3" t="s">
        <v>3214</v>
      </c>
      <c r="C1210" s="3" t="s">
        <v>44</v>
      </c>
      <c r="D1210" s="3" t="s">
        <v>306</v>
      </c>
      <c r="E1210" s="3">
        <v>-609.79</v>
      </c>
      <c r="F1210" s="3" t="s">
        <v>3021</v>
      </c>
      <c r="G1210" s="3" t="s">
        <v>325</v>
      </c>
      <c r="H1210" s="3" t="s">
        <v>334</v>
      </c>
    </row>
    <row r="1211" spans="1:8" x14ac:dyDescent="0.25">
      <c r="A1211" s="3" t="s">
        <v>1535</v>
      </c>
      <c r="B1211" s="3" t="s">
        <v>3687</v>
      </c>
      <c r="C1211" s="3" t="s">
        <v>251</v>
      </c>
      <c r="D1211" s="3" t="s">
        <v>297</v>
      </c>
      <c r="E1211" s="3">
        <v>-915.36</v>
      </c>
      <c r="F1211" s="3" t="s">
        <v>3006</v>
      </c>
      <c r="G1211" s="3" t="s">
        <v>325</v>
      </c>
      <c r="H1211" s="3" t="s">
        <v>346</v>
      </c>
    </row>
    <row r="1212" spans="1:8" x14ac:dyDescent="0.25">
      <c r="A1212" s="3" t="s">
        <v>1536</v>
      </c>
      <c r="B1212" s="3" t="s">
        <v>4253</v>
      </c>
      <c r="C1212" s="3" t="s">
        <v>109</v>
      </c>
      <c r="D1212" s="3" t="s">
        <v>306</v>
      </c>
      <c r="E1212" s="3" t="s">
        <v>4254</v>
      </c>
      <c r="F1212" s="3" t="s">
        <v>324</v>
      </c>
      <c r="G1212" s="3" t="s">
        <v>325</v>
      </c>
      <c r="H1212" s="3"/>
    </row>
    <row r="1213" spans="1:8" x14ac:dyDescent="0.25">
      <c r="A1213" s="3" t="s">
        <v>1537</v>
      </c>
      <c r="B1213" s="3" t="s">
        <v>4255</v>
      </c>
      <c r="C1213" s="3" t="s">
        <v>221</v>
      </c>
      <c r="D1213" s="3" t="s">
        <v>309</v>
      </c>
      <c r="E1213" s="3" t="s">
        <v>4256</v>
      </c>
      <c r="F1213" s="3" t="s">
        <v>324</v>
      </c>
      <c r="G1213" s="3" t="s">
        <v>329</v>
      </c>
      <c r="H1213" s="3"/>
    </row>
    <row r="1214" spans="1:8" x14ac:dyDescent="0.25">
      <c r="A1214" s="3" t="s">
        <v>1538</v>
      </c>
      <c r="B1214" s="3" t="s">
        <v>4233</v>
      </c>
      <c r="C1214" s="3" t="s">
        <v>98</v>
      </c>
      <c r="D1214" s="3" t="s">
        <v>294</v>
      </c>
      <c r="E1214" s="3">
        <v>553.22</v>
      </c>
      <c r="F1214" s="3" t="s">
        <v>2995</v>
      </c>
      <c r="G1214" s="3" t="s">
        <v>327</v>
      </c>
      <c r="H1214" s="3" t="s">
        <v>346</v>
      </c>
    </row>
    <row r="1215" spans="1:8" x14ac:dyDescent="0.25">
      <c r="A1215" s="3" t="s">
        <v>1539</v>
      </c>
      <c r="B1215" s="3" t="s">
        <v>3646</v>
      </c>
      <c r="C1215" s="3" t="s">
        <v>219</v>
      </c>
      <c r="D1215" s="3" t="s">
        <v>312</v>
      </c>
      <c r="E1215" s="3">
        <v>870.7</v>
      </c>
      <c r="F1215" s="3" t="s">
        <v>324</v>
      </c>
      <c r="G1215" s="3" t="s">
        <v>327</v>
      </c>
      <c r="H1215" s="3"/>
    </row>
    <row r="1216" spans="1:8" x14ac:dyDescent="0.25">
      <c r="A1216" s="3" t="s">
        <v>1540</v>
      </c>
      <c r="B1216" s="3" t="s">
        <v>3611</v>
      </c>
      <c r="C1216" s="3" t="s">
        <v>96</v>
      </c>
      <c r="D1216" s="3" t="s">
        <v>294</v>
      </c>
      <c r="E1216" s="3">
        <v>69.010000000000005</v>
      </c>
      <c r="F1216" s="3" t="s">
        <v>324</v>
      </c>
      <c r="G1216" s="3" t="s">
        <v>327</v>
      </c>
      <c r="H1216" s="3"/>
    </row>
    <row r="1217" spans="1:8" x14ac:dyDescent="0.25">
      <c r="A1217" s="3" t="s">
        <v>2969</v>
      </c>
      <c r="B1217" s="3" t="s">
        <v>4073</v>
      </c>
      <c r="C1217" s="3"/>
      <c r="D1217" s="3" t="s">
        <v>300</v>
      </c>
      <c r="E1217" s="3" t="s">
        <v>4257</v>
      </c>
      <c r="F1217" s="3" t="s">
        <v>324</v>
      </c>
      <c r="G1217" s="3" t="s">
        <v>325</v>
      </c>
      <c r="H1217" s="3"/>
    </row>
    <row r="1218" spans="1:8" x14ac:dyDescent="0.25">
      <c r="A1218" s="3" t="s">
        <v>1541</v>
      </c>
      <c r="B1218" s="3" t="s">
        <v>4258</v>
      </c>
      <c r="C1218" s="3" t="s">
        <v>76</v>
      </c>
      <c r="D1218" s="3" t="s">
        <v>303</v>
      </c>
      <c r="E1218" s="3">
        <v>366.2</v>
      </c>
      <c r="F1218" s="3" t="s">
        <v>2976</v>
      </c>
      <c r="G1218" s="3" t="s">
        <v>327</v>
      </c>
      <c r="H1218" s="3" t="s">
        <v>346</v>
      </c>
    </row>
    <row r="1219" spans="1:8" x14ac:dyDescent="0.25">
      <c r="A1219" s="3" t="s">
        <v>1542</v>
      </c>
      <c r="B1219" s="3" t="s">
        <v>3161</v>
      </c>
      <c r="C1219" s="3" t="s">
        <v>117</v>
      </c>
      <c r="D1219" s="3" t="s">
        <v>309</v>
      </c>
      <c r="E1219" s="3">
        <v>300.11</v>
      </c>
      <c r="F1219" s="3" t="s">
        <v>2976</v>
      </c>
      <c r="G1219" s="3" t="s">
        <v>327</v>
      </c>
      <c r="H1219" s="3" t="s">
        <v>334</v>
      </c>
    </row>
    <row r="1220" spans="1:8" x14ac:dyDescent="0.25">
      <c r="A1220" s="3" t="s">
        <v>1543</v>
      </c>
      <c r="B1220" s="3" t="s">
        <v>4259</v>
      </c>
      <c r="C1220" s="3" t="s">
        <v>235</v>
      </c>
      <c r="D1220" s="3" t="s">
        <v>306</v>
      </c>
      <c r="E1220" s="3">
        <v>241.48</v>
      </c>
      <c r="F1220" s="3" t="s">
        <v>324</v>
      </c>
      <c r="G1220" s="3" t="s">
        <v>325</v>
      </c>
      <c r="H1220" s="3"/>
    </row>
    <row r="1221" spans="1:8" x14ac:dyDescent="0.25">
      <c r="A1221" s="3" t="s">
        <v>1544</v>
      </c>
      <c r="B1221" s="3" t="s">
        <v>3072</v>
      </c>
      <c r="C1221" s="3" t="s">
        <v>125</v>
      </c>
      <c r="D1221" s="3" t="s">
        <v>294</v>
      </c>
      <c r="E1221" s="3">
        <v>785.5</v>
      </c>
      <c r="F1221" s="3" t="s">
        <v>2988</v>
      </c>
      <c r="G1221" s="3" t="s">
        <v>327</v>
      </c>
      <c r="H1221" s="3" t="s">
        <v>332</v>
      </c>
    </row>
    <row r="1222" spans="1:8" x14ac:dyDescent="0.25">
      <c r="A1222" s="3" t="s">
        <v>1545</v>
      </c>
      <c r="B1222" s="3" t="s">
        <v>3771</v>
      </c>
      <c r="C1222" s="3" t="s">
        <v>213</v>
      </c>
      <c r="D1222" s="3" t="s">
        <v>306</v>
      </c>
      <c r="E1222" s="3">
        <v>514.07000000000005</v>
      </c>
      <c r="F1222" s="3" t="s">
        <v>2973</v>
      </c>
      <c r="G1222" s="3" t="s">
        <v>327</v>
      </c>
      <c r="H1222" s="3"/>
    </row>
    <row r="1223" spans="1:8" x14ac:dyDescent="0.25">
      <c r="A1223" s="3" t="s">
        <v>2960</v>
      </c>
      <c r="B1223" s="3" t="s">
        <v>3339</v>
      </c>
      <c r="C1223" s="3" t="s">
        <v>271</v>
      </c>
      <c r="D1223" s="3"/>
      <c r="E1223" s="3" t="s">
        <v>4260</v>
      </c>
      <c r="F1223" s="3" t="s">
        <v>2976</v>
      </c>
      <c r="G1223" s="3" t="s">
        <v>327</v>
      </c>
      <c r="H1223" s="3"/>
    </row>
    <row r="1224" spans="1:8" x14ac:dyDescent="0.25">
      <c r="A1224" s="3" t="s">
        <v>1546</v>
      </c>
      <c r="B1224" s="3" t="s">
        <v>3747</v>
      </c>
      <c r="C1224" s="3" t="s">
        <v>147</v>
      </c>
      <c r="D1224" s="3" t="s">
        <v>315</v>
      </c>
      <c r="E1224" s="3" t="s">
        <v>4261</v>
      </c>
      <c r="F1224" s="3" t="s">
        <v>2995</v>
      </c>
      <c r="G1224" s="3" t="s">
        <v>325</v>
      </c>
      <c r="H1224" s="3"/>
    </row>
    <row r="1225" spans="1:8" x14ac:dyDescent="0.25">
      <c r="A1225" s="3" t="s">
        <v>1547</v>
      </c>
      <c r="B1225" s="3" t="s">
        <v>4200</v>
      </c>
      <c r="C1225" s="3" t="s">
        <v>137</v>
      </c>
      <c r="D1225" s="3" t="s">
        <v>297</v>
      </c>
      <c r="E1225" s="3">
        <v>345.92</v>
      </c>
      <c r="F1225" s="3" t="s">
        <v>2976</v>
      </c>
      <c r="G1225" s="3" t="s">
        <v>325</v>
      </c>
      <c r="H1225" s="3"/>
    </row>
    <row r="1226" spans="1:8" x14ac:dyDescent="0.25">
      <c r="A1226" s="3" t="s">
        <v>1548</v>
      </c>
      <c r="B1226" s="3" t="s">
        <v>4046</v>
      </c>
      <c r="C1226" s="3" t="s">
        <v>263</v>
      </c>
      <c r="D1226" s="3" t="s">
        <v>294</v>
      </c>
      <c r="E1226" s="3" t="s">
        <v>4262</v>
      </c>
      <c r="F1226" s="3" t="s">
        <v>324</v>
      </c>
      <c r="G1226" s="3"/>
      <c r="H1226" s="3" t="s">
        <v>334</v>
      </c>
    </row>
    <row r="1227" spans="1:8" x14ac:dyDescent="0.25">
      <c r="A1227" s="3" t="s">
        <v>1549</v>
      </c>
      <c r="B1227" s="3" t="s">
        <v>3493</v>
      </c>
      <c r="C1227" s="3" t="s">
        <v>84</v>
      </c>
      <c r="D1227" s="3" t="s">
        <v>294</v>
      </c>
      <c r="E1227" s="3">
        <v>476.16</v>
      </c>
      <c r="F1227" s="3" t="s">
        <v>2988</v>
      </c>
      <c r="G1227" s="3" t="s">
        <v>325</v>
      </c>
      <c r="H1227" s="3" t="s">
        <v>332</v>
      </c>
    </row>
    <row r="1228" spans="1:8" x14ac:dyDescent="0.25">
      <c r="A1228" s="3" t="s">
        <v>1550</v>
      </c>
      <c r="B1228" s="3" t="s">
        <v>4263</v>
      </c>
      <c r="C1228" s="3" t="s">
        <v>265</v>
      </c>
      <c r="D1228" s="3" t="s">
        <v>300</v>
      </c>
      <c r="E1228" s="3">
        <v>468.5</v>
      </c>
      <c r="F1228" s="3" t="s">
        <v>324</v>
      </c>
      <c r="G1228" s="3" t="s">
        <v>329</v>
      </c>
      <c r="H1228" s="3"/>
    </row>
    <row r="1229" spans="1:8" x14ac:dyDescent="0.25">
      <c r="A1229" s="3" t="s">
        <v>1551</v>
      </c>
      <c r="B1229" s="3" t="s">
        <v>3072</v>
      </c>
      <c r="C1229" s="3" t="s">
        <v>74</v>
      </c>
      <c r="D1229" s="3" t="s">
        <v>315</v>
      </c>
      <c r="E1229" s="3" t="s">
        <v>4264</v>
      </c>
      <c r="F1229" s="3" t="s">
        <v>2973</v>
      </c>
      <c r="G1229" s="3" t="s">
        <v>327</v>
      </c>
      <c r="H1229" s="3" t="s">
        <v>346</v>
      </c>
    </row>
    <row r="1230" spans="1:8" x14ac:dyDescent="0.25">
      <c r="A1230" s="3" t="s">
        <v>1552</v>
      </c>
      <c r="B1230" s="3" t="s">
        <v>4265</v>
      </c>
      <c r="C1230" s="3" t="s">
        <v>275</v>
      </c>
      <c r="D1230" s="3" t="s">
        <v>294</v>
      </c>
      <c r="E1230" s="3" t="s">
        <v>4266</v>
      </c>
      <c r="F1230" s="3" t="s">
        <v>2976</v>
      </c>
      <c r="G1230" s="3" t="s">
        <v>337</v>
      </c>
      <c r="H1230" s="3" t="s">
        <v>346</v>
      </c>
    </row>
    <row r="1231" spans="1:8" x14ac:dyDescent="0.25">
      <c r="A1231" s="3" t="s">
        <v>1553</v>
      </c>
      <c r="B1231" s="3" t="s">
        <v>4267</v>
      </c>
      <c r="C1231" s="3" t="s">
        <v>237</v>
      </c>
      <c r="D1231" s="3" t="s">
        <v>303</v>
      </c>
      <c r="E1231" s="3">
        <v>892.51</v>
      </c>
      <c r="F1231" s="3" t="s">
        <v>324</v>
      </c>
      <c r="G1231" s="3" t="s">
        <v>329</v>
      </c>
      <c r="H1231" s="3" t="s">
        <v>334</v>
      </c>
    </row>
    <row r="1232" spans="1:8" x14ac:dyDescent="0.25">
      <c r="A1232" s="3" t="s">
        <v>1554</v>
      </c>
      <c r="B1232" s="3" t="s">
        <v>4129</v>
      </c>
      <c r="C1232" s="3" t="s">
        <v>159</v>
      </c>
      <c r="D1232" s="3" t="s">
        <v>315</v>
      </c>
      <c r="E1232" s="3">
        <v>-626.76</v>
      </c>
      <c r="F1232" s="3" t="s">
        <v>3021</v>
      </c>
      <c r="G1232" s="3" t="s">
        <v>325</v>
      </c>
      <c r="H1232" s="3" t="s">
        <v>332</v>
      </c>
    </row>
    <row r="1233" spans="1:8" x14ac:dyDescent="0.25">
      <c r="A1233" s="3" t="s">
        <v>1555</v>
      </c>
      <c r="B1233" s="3" t="s">
        <v>4268</v>
      </c>
      <c r="C1233" s="3" t="s">
        <v>197</v>
      </c>
      <c r="D1233" s="3" t="s">
        <v>294</v>
      </c>
      <c r="E1233" s="3">
        <v>131.05000000000001</v>
      </c>
      <c r="F1233" s="3" t="s">
        <v>2973</v>
      </c>
      <c r="G1233" s="3" t="s">
        <v>325</v>
      </c>
      <c r="H1233" s="3"/>
    </row>
    <row r="1234" spans="1:8" x14ac:dyDescent="0.25">
      <c r="A1234" s="3" t="s">
        <v>1556</v>
      </c>
      <c r="B1234" s="3" t="s">
        <v>4269</v>
      </c>
      <c r="C1234" s="3" t="s">
        <v>237</v>
      </c>
      <c r="D1234" s="3" t="s">
        <v>294</v>
      </c>
      <c r="E1234" s="3">
        <v>1117.74</v>
      </c>
      <c r="F1234" s="3" t="s">
        <v>2973</v>
      </c>
      <c r="G1234" s="3" t="s">
        <v>327</v>
      </c>
      <c r="H1234" s="3"/>
    </row>
    <row r="1235" spans="1:8" x14ac:dyDescent="0.25">
      <c r="A1235" s="3" t="s">
        <v>1557</v>
      </c>
      <c r="B1235" s="3" t="s">
        <v>4270</v>
      </c>
      <c r="C1235" s="3" t="s">
        <v>64</v>
      </c>
      <c r="D1235" s="3" t="s">
        <v>294</v>
      </c>
      <c r="E1235" s="3">
        <v>934.24</v>
      </c>
      <c r="F1235" s="3" t="s">
        <v>2995</v>
      </c>
      <c r="G1235" s="3" t="s">
        <v>325</v>
      </c>
      <c r="H1235" s="3" t="s">
        <v>334</v>
      </c>
    </row>
    <row r="1236" spans="1:8" x14ac:dyDescent="0.25">
      <c r="A1236" s="3" t="s">
        <v>1558</v>
      </c>
      <c r="B1236" s="3" t="s">
        <v>3723</v>
      </c>
      <c r="C1236" s="3" t="s">
        <v>275</v>
      </c>
      <c r="D1236" s="3" t="s">
        <v>297</v>
      </c>
      <c r="E1236" s="3" t="s">
        <v>4271</v>
      </c>
      <c r="F1236" s="3" t="s">
        <v>324</v>
      </c>
      <c r="G1236" s="3" t="s">
        <v>325</v>
      </c>
      <c r="H1236" s="3"/>
    </row>
    <row r="1237" spans="1:8" x14ac:dyDescent="0.25">
      <c r="A1237" s="3" t="s">
        <v>1559</v>
      </c>
      <c r="B1237" s="3" t="s">
        <v>4272</v>
      </c>
      <c r="C1237" s="3" t="s">
        <v>177</v>
      </c>
      <c r="D1237" s="3" t="s">
        <v>294</v>
      </c>
      <c r="E1237" s="3">
        <v>274.41000000000003</v>
      </c>
      <c r="F1237" s="3" t="s">
        <v>3037</v>
      </c>
      <c r="G1237" s="3" t="s">
        <v>325</v>
      </c>
      <c r="H1237" s="3" t="s">
        <v>346</v>
      </c>
    </row>
    <row r="1238" spans="1:8" x14ac:dyDescent="0.25">
      <c r="A1238" s="3" t="s">
        <v>1560</v>
      </c>
      <c r="B1238" s="3" t="s">
        <v>3300</v>
      </c>
      <c r="C1238" s="3" t="s">
        <v>171</v>
      </c>
      <c r="D1238" s="3" t="s">
        <v>312</v>
      </c>
      <c r="E1238" s="3">
        <v>287.48</v>
      </c>
      <c r="F1238" s="3" t="s">
        <v>2976</v>
      </c>
      <c r="G1238" s="3" t="s">
        <v>325</v>
      </c>
      <c r="H1238" s="3" t="s">
        <v>332</v>
      </c>
    </row>
    <row r="1239" spans="1:8" x14ac:dyDescent="0.25">
      <c r="A1239" s="3" t="s">
        <v>1561</v>
      </c>
      <c r="B1239" s="3" t="s">
        <v>3432</v>
      </c>
      <c r="C1239" s="3" t="s">
        <v>223</v>
      </c>
      <c r="D1239" s="3" t="s">
        <v>300</v>
      </c>
      <c r="E1239" s="3" t="s">
        <v>4273</v>
      </c>
      <c r="F1239" s="3" t="s">
        <v>324</v>
      </c>
      <c r="G1239" s="3" t="s">
        <v>337</v>
      </c>
      <c r="H1239" s="3"/>
    </row>
    <row r="1240" spans="1:8" x14ac:dyDescent="0.25">
      <c r="A1240" s="3" t="s">
        <v>1562</v>
      </c>
      <c r="B1240" s="3" t="s">
        <v>4274</v>
      </c>
      <c r="C1240" s="3" t="s">
        <v>86</v>
      </c>
      <c r="D1240" s="3" t="s">
        <v>294</v>
      </c>
      <c r="E1240" s="3">
        <v>350.19</v>
      </c>
      <c r="F1240" s="3" t="s">
        <v>324</v>
      </c>
      <c r="G1240" s="3" t="s">
        <v>327</v>
      </c>
      <c r="H1240" s="3" t="s">
        <v>334</v>
      </c>
    </row>
    <row r="1241" spans="1:8" x14ac:dyDescent="0.25">
      <c r="A1241" s="3" t="s">
        <v>1563</v>
      </c>
      <c r="B1241" s="3" t="s">
        <v>4275</v>
      </c>
      <c r="C1241" s="3" t="s">
        <v>6</v>
      </c>
      <c r="D1241" s="3" t="s">
        <v>312</v>
      </c>
      <c r="E1241" s="3">
        <v>186.2</v>
      </c>
      <c r="F1241" s="3" t="s">
        <v>381</v>
      </c>
      <c r="G1241" s="3" t="s">
        <v>325</v>
      </c>
      <c r="H1241" s="3" t="s">
        <v>346</v>
      </c>
    </row>
    <row r="1242" spans="1:8" x14ac:dyDescent="0.25">
      <c r="A1242" s="3" t="s">
        <v>1564</v>
      </c>
      <c r="B1242" s="3" t="s">
        <v>3875</v>
      </c>
      <c r="C1242" s="3" t="s">
        <v>74</v>
      </c>
      <c r="D1242" s="3" t="s">
        <v>294</v>
      </c>
      <c r="E1242" s="3">
        <v>71.08</v>
      </c>
      <c r="F1242" s="3" t="s">
        <v>2976</v>
      </c>
      <c r="G1242" s="3"/>
      <c r="H1242" s="3" t="s">
        <v>332</v>
      </c>
    </row>
    <row r="1243" spans="1:8" x14ac:dyDescent="0.25">
      <c r="A1243" s="3" t="s">
        <v>1565</v>
      </c>
      <c r="B1243" s="3" t="s">
        <v>3323</v>
      </c>
      <c r="C1243" s="3" t="s">
        <v>11</v>
      </c>
      <c r="D1243" s="3" t="s">
        <v>312</v>
      </c>
      <c r="E1243" s="3" t="s">
        <v>4276</v>
      </c>
      <c r="F1243" s="3" t="s">
        <v>324</v>
      </c>
      <c r="G1243" s="3" t="s">
        <v>325</v>
      </c>
      <c r="H1243" s="3" t="s">
        <v>332</v>
      </c>
    </row>
    <row r="1244" spans="1:8" x14ac:dyDescent="0.25">
      <c r="A1244" s="3" t="s">
        <v>1566</v>
      </c>
      <c r="B1244" s="3" t="s">
        <v>4270</v>
      </c>
      <c r="C1244" s="3" t="s">
        <v>183</v>
      </c>
      <c r="D1244" s="3" t="s">
        <v>309</v>
      </c>
      <c r="E1244" s="3">
        <v>-526.04</v>
      </c>
      <c r="F1244" s="3" t="s">
        <v>349</v>
      </c>
      <c r="G1244" s="3" t="s">
        <v>327</v>
      </c>
      <c r="H1244" s="3"/>
    </row>
    <row r="1245" spans="1:8" x14ac:dyDescent="0.25">
      <c r="A1245" s="3" t="s">
        <v>1567</v>
      </c>
      <c r="B1245" s="3" t="s">
        <v>4277</v>
      </c>
      <c r="C1245" s="3" t="s">
        <v>273</v>
      </c>
      <c r="D1245" s="3" t="s">
        <v>303</v>
      </c>
      <c r="E1245" s="3">
        <v>333.19</v>
      </c>
      <c r="F1245" s="3" t="s">
        <v>324</v>
      </c>
      <c r="G1245" s="3" t="s">
        <v>337</v>
      </c>
      <c r="H1245" s="3" t="s">
        <v>346</v>
      </c>
    </row>
    <row r="1246" spans="1:8" x14ac:dyDescent="0.25">
      <c r="A1246" s="3" t="s">
        <v>1568</v>
      </c>
      <c r="B1246" s="3" t="s">
        <v>4278</v>
      </c>
      <c r="C1246" s="3" t="s">
        <v>127</v>
      </c>
      <c r="D1246" s="3" t="s">
        <v>306</v>
      </c>
      <c r="E1246" s="3" t="s">
        <v>4279</v>
      </c>
      <c r="F1246" s="3" t="s">
        <v>324</v>
      </c>
      <c r="G1246" s="3" t="s">
        <v>327</v>
      </c>
      <c r="H1246" s="3" t="s">
        <v>332</v>
      </c>
    </row>
    <row r="1247" spans="1:8" x14ac:dyDescent="0.25">
      <c r="A1247" s="3" t="s">
        <v>1569</v>
      </c>
      <c r="B1247" s="3" t="s">
        <v>3644</v>
      </c>
      <c r="C1247" s="3" t="s">
        <v>55</v>
      </c>
      <c r="D1247" s="3" t="s">
        <v>300</v>
      </c>
      <c r="E1247" s="3">
        <v>261.56</v>
      </c>
      <c r="F1247" s="3" t="s">
        <v>3097</v>
      </c>
      <c r="G1247" s="3" t="s">
        <v>329</v>
      </c>
      <c r="H1247" s="3" t="s">
        <v>334</v>
      </c>
    </row>
    <row r="1248" spans="1:8" x14ac:dyDescent="0.25">
      <c r="A1248" s="3" t="s">
        <v>1570</v>
      </c>
      <c r="B1248" s="3" t="s">
        <v>4280</v>
      </c>
      <c r="C1248" s="3" t="s">
        <v>223</v>
      </c>
      <c r="D1248" s="3" t="s">
        <v>294</v>
      </c>
      <c r="E1248" s="3" t="s">
        <v>4281</v>
      </c>
      <c r="F1248" s="3" t="s">
        <v>2973</v>
      </c>
      <c r="G1248" s="3" t="s">
        <v>329</v>
      </c>
      <c r="H1248" s="3"/>
    </row>
    <row r="1249" spans="1:8" x14ac:dyDescent="0.25">
      <c r="A1249" s="3" t="s">
        <v>1571</v>
      </c>
      <c r="B1249" s="3" t="s">
        <v>4282</v>
      </c>
      <c r="C1249" s="3" t="s">
        <v>90</v>
      </c>
      <c r="D1249" s="3" t="s">
        <v>309</v>
      </c>
      <c r="E1249" s="3">
        <v>58.96</v>
      </c>
      <c r="F1249" s="3" t="s">
        <v>324</v>
      </c>
      <c r="G1249" s="3" t="s">
        <v>337</v>
      </c>
      <c r="H1249" s="3" t="s">
        <v>346</v>
      </c>
    </row>
    <row r="1250" spans="1:8" x14ac:dyDescent="0.25">
      <c r="A1250" s="3" t="s">
        <v>1572</v>
      </c>
      <c r="B1250" s="3" t="s">
        <v>4283</v>
      </c>
      <c r="C1250" s="3" t="s">
        <v>74</v>
      </c>
      <c r="D1250" s="3" t="s">
        <v>300</v>
      </c>
      <c r="E1250" s="3">
        <v>-108.55</v>
      </c>
      <c r="F1250" s="3" t="s">
        <v>3060</v>
      </c>
      <c r="G1250" s="3" t="s">
        <v>325</v>
      </c>
      <c r="H1250" s="3" t="s">
        <v>346</v>
      </c>
    </row>
    <row r="1251" spans="1:8" x14ac:dyDescent="0.25">
      <c r="A1251" s="3" t="s">
        <v>1573</v>
      </c>
      <c r="B1251" s="3" t="s">
        <v>3108</v>
      </c>
      <c r="C1251" s="3" t="s">
        <v>49</v>
      </c>
      <c r="D1251" s="3" t="s">
        <v>294</v>
      </c>
      <c r="E1251" s="3">
        <v>592.04</v>
      </c>
      <c r="F1251" s="3" t="s">
        <v>381</v>
      </c>
      <c r="G1251" s="3" t="s">
        <v>327</v>
      </c>
      <c r="H1251" s="3"/>
    </row>
    <row r="1252" spans="1:8" x14ac:dyDescent="0.25">
      <c r="A1252" s="3" t="s">
        <v>1574</v>
      </c>
      <c r="B1252" s="3" t="s">
        <v>3951</v>
      </c>
      <c r="C1252" s="3" t="s">
        <v>115</v>
      </c>
      <c r="D1252" s="3" t="s">
        <v>306</v>
      </c>
      <c r="E1252" s="3">
        <v>585.5</v>
      </c>
      <c r="F1252" s="3" t="s">
        <v>2988</v>
      </c>
      <c r="G1252" s="3" t="s">
        <v>337</v>
      </c>
      <c r="H1252" s="3" t="s">
        <v>346</v>
      </c>
    </row>
    <row r="1253" spans="1:8" x14ac:dyDescent="0.25">
      <c r="A1253" s="3" t="s">
        <v>1575</v>
      </c>
      <c r="B1253" s="3" t="s">
        <v>4284</v>
      </c>
      <c r="C1253" s="3" t="s">
        <v>251</v>
      </c>
      <c r="D1253" s="3" t="s">
        <v>294</v>
      </c>
      <c r="E1253" s="3">
        <v>1073.23</v>
      </c>
      <c r="F1253" s="3" t="s">
        <v>324</v>
      </c>
      <c r="G1253" s="3" t="s">
        <v>325</v>
      </c>
      <c r="H1253" s="3" t="s">
        <v>346</v>
      </c>
    </row>
    <row r="1254" spans="1:8" x14ac:dyDescent="0.25">
      <c r="A1254" s="3" t="s">
        <v>1576</v>
      </c>
      <c r="B1254" s="3" t="s">
        <v>3042</v>
      </c>
      <c r="C1254" s="3" t="s">
        <v>90</v>
      </c>
      <c r="D1254" s="3" t="s">
        <v>312</v>
      </c>
      <c r="E1254" s="3" t="s">
        <v>4285</v>
      </c>
      <c r="F1254" s="3" t="s">
        <v>381</v>
      </c>
      <c r="G1254" s="3" t="s">
        <v>329</v>
      </c>
      <c r="H1254" s="3" t="s">
        <v>346</v>
      </c>
    </row>
    <row r="1255" spans="1:8" x14ac:dyDescent="0.25">
      <c r="A1255" s="3" t="s">
        <v>1577</v>
      </c>
      <c r="B1255" s="3" t="s">
        <v>3623</v>
      </c>
      <c r="C1255" s="3" t="s">
        <v>243</v>
      </c>
      <c r="D1255" s="3" t="s">
        <v>306</v>
      </c>
      <c r="E1255" s="3" t="s">
        <v>4286</v>
      </c>
      <c r="F1255" s="3" t="s">
        <v>324</v>
      </c>
      <c r="G1255" s="3" t="s">
        <v>325</v>
      </c>
      <c r="H1255" s="3"/>
    </row>
    <row r="1256" spans="1:8" x14ac:dyDescent="0.25">
      <c r="A1256" s="3" t="s">
        <v>1578</v>
      </c>
      <c r="B1256" s="3" t="s">
        <v>4287</v>
      </c>
      <c r="C1256" s="3" t="s">
        <v>227</v>
      </c>
      <c r="D1256" s="3" t="s">
        <v>306</v>
      </c>
      <c r="E1256" s="3">
        <v>370.73</v>
      </c>
      <c r="F1256" s="3" t="s">
        <v>2976</v>
      </c>
      <c r="G1256" s="3" t="s">
        <v>325</v>
      </c>
      <c r="H1256" s="3"/>
    </row>
    <row r="1257" spans="1:8" x14ac:dyDescent="0.25">
      <c r="A1257" s="3" t="s">
        <v>1579</v>
      </c>
      <c r="B1257" s="3" t="s">
        <v>3760</v>
      </c>
      <c r="C1257" s="3" t="s">
        <v>60</v>
      </c>
      <c r="D1257" s="3" t="s">
        <v>297</v>
      </c>
      <c r="E1257" s="3" t="s">
        <v>4288</v>
      </c>
      <c r="F1257" s="3" t="s">
        <v>2995</v>
      </c>
      <c r="G1257" s="3" t="s">
        <v>325</v>
      </c>
      <c r="H1257" s="3" t="s">
        <v>332</v>
      </c>
    </row>
    <row r="1258" spans="1:8" x14ac:dyDescent="0.25">
      <c r="A1258" s="3" t="s">
        <v>1580</v>
      </c>
      <c r="B1258" s="3" t="s">
        <v>4289</v>
      </c>
      <c r="C1258" s="3" t="s">
        <v>259</v>
      </c>
      <c r="D1258" s="3" t="s">
        <v>300</v>
      </c>
      <c r="E1258" s="3">
        <v>462.99</v>
      </c>
      <c r="F1258" s="3" t="s">
        <v>331</v>
      </c>
      <c r="G1258" s="3" t="s">
        <v>325</v>
      </c>
      <c r="H1258" s="3"/>
    </row>
    <row r="1259" spans="1:8" x14ac:dyDescent="0.25">
      <c r="A1259" s="3" t="s">
        <v>1581</v>
      </c>
      <c r="B1259" s="3" t="s">
        <v>4290</v>
      </c>
      <c r="C1259" s="3" t="s">
        <v>641</v>
      </c>
      <c r="D1259" s="3" t="s">
        <v>294</v>
      </c>
      <c r="E1259" s="3" t="s">
        <v>4291</v>
      </c>
      <c r="F1259" s="3" t="s">
        <v>324</v>
      </c>
      <c r="G1259" s="3" t="s">
        <v>337</v>
      </c>
      <c r="H1259" s="3" t="s">
        <v>332</v>
      </c>
    </row>
    <row r="1260" spans="1:8" x14ac:dyDescent="0.25">
      <c r="A1260" s="3" t="s">
        <v>1582</v>
      </c>
      <c r="B1260" s="3" t="s">
        <v>4292</v>
      </c>
      <c r="C1260" s="3" t="s">
        <v>203</v>
      </c>
      <c r="D1260" s="3" t="s">
        <v>306</v>
      </c>
      <c r="E1260" s="3" t="s">
        <v>4293</v>
      </c>
      <c r="F1260" s="3" t="s">
        <v>324</v>
      </c>
      <c r="G1260" s="3" t="s">
        <v>325</v>
      </c>
      <c r="H1260" s="3" t="s">
        <v>346</v>
      </c>
    </row>
    <row r="1261" spans="1:8" x14ac:dyDescent="0.25">
      <c r="A1261" s="3" t="s">
        <v>1583</v>
      </c>
      <c r="B1261" s="3" t="s">
        <v>3495</v>
      </c>
      <c r="C1261" s="3" t="s">
        <v>133</v>
      </c>
      <c r="D1261" s="3" t="s">
        <v>306</v>
      </c>
      <c r="E1261" s="3">
        <v>538.4</v>
      </c>
      <c r="F1261" s="3" t="s">
        <v>2995</v>
      </c>
      <c r="G1261" s="3" t="s">
        <v>337</v>
      </c>
      <c r="H1261" s="3"/>
    </row>
    <row r="1262" spans="1:8" x14ac:dyDescent="0.25">
      <c r="A1262" s="3" t="s">
        <v>1584</v>
      </c>
      <c r="B1262" s="3" t="s">
        <v>4294</v>
      </c>
      <c r="C1262" s="3" t="s">
        <v>247</v>
      </c>
      <c r="D1262" s="3" t="s">
        <v>315</v>
      </c>
      <c r="E1262" s="3" t="s">
        <v>4295</v>
      </c>
      <c r="F1262" s="3" t="s">
        <v>349</v>
      </c>
      <c r="G1262" s="3" t="s">
        <v>327</v>
      </c>
      <c r="H1262" s="3" t="s">
        <v>346</v>
      </c>
    </row>
    <row r="1263" spans="1:8" x14ac:dyDescent="0.25">
      <c r="A1263" s="3" t="s">
        <v>1585</v>
      </c>
      <c r="B1263" s="3" t="s">
        <v>4296</v>
      </c>
      <c r="C1263" s="3" t="s">
        <v>6</v>
      </c>
      <c r="D1263" s="3" t="s">
        <v>300</v>
      </c>
      <c r="E1263" s="3" t="s">
        <v>4297</v>
      </c>
      <c r="F1263" s="3" t="s">
        <v>324</v>
      </c>
      <c r="G1263" s="3" t="s">
        <v>325</v>
      </c>
      <c r="H1263" s="3" t="s">
        <v>346</v>
      </c>
    </row>
    <row r="1264" spans="1:8" x14ac:dyDescent="0.25">
      <c r="A1264" s="3" t="s">
        <v>1586</v>
      </c>
      <c r="B1264" s="3" t="s">
        <v>4298</v>
      </c>
      <c r="C1264" s="3" t="s">
        <v>105</v>
      </c>
      <c r="D1264" s="3" t="s">
        <v>315</v>
      </c>
      <c r="E1264" s="3">
        <v>174.68</v>
      </c>
      <c r="F1264" s="3" t="s">
        <v>2995</v>
      </c>
      <c r="G1264" s="3"/>
      <c r="H1264" s="3" t="s">
        <v>346</v>
      </c>
    </row>
    <row r="1265" spans="1:8" x14ac:dyDescent="0.25">
      <c r="A1265" s="3" t="s">
        <v>1587</v>
      </c>
      <c r="B1265" s="3" t="s">
        <v>4299</v>
      </c>
      <c r="C1265" s="3" t="s">
        <v>231</v>
      </c>
      <c r="D1265" s="3" t="s">
        <v>300</v>
      </c>
      <c r="E1265" s="3">
        <v>660.65</v>
      </c>
      <c r="F1265" s="3" t="s">
        <v>324</v>
      </c>
      <c r="G1265" s="3" t="s">
        <v>325</v>
      </c>
      <c r="H1265" s="3" t="s">
        <v>346</v>
      </c>
    </row>
    <row r="1266" spans="1:8" x14ac:dyDescent="0.25">
      <c r="A1266" s="3" t="s">
        <v>1588</v>
      </c>
      <c r="B1266" s="3" t="s">
        <v>3617</v>
      </c>
      <c r="C1266" s="3" t="s">
        <v>255</v>
      </c>
      <c r="D1266" s="3" t="s">
        <v>300</v>
      </c>
      <c r="E1266" s="3">
        <v>571.14</v>
      </c>
      <c r="F1266" s="3" t="s">
        <v>324</v>
      </c>
      <c r="G1266" s="3" t="s">
        <v>337</v>
      </c>
      <c r="H1266" s="3"/>
    </row>
    <row r="1267" spans="1:8" x14ac:dyDescent="0.25">
      <c r="A1267" s="3" t="s">
        <v>1589</v>
      </c>
      <c r="B1267" s="3" t="s">
        <v>4300</v>
      </c>
      <c r="C1267" s="3" t="s">
        <v>64</v>
      </c>
      <c r="D1267" s="3" t="s">
        <v>294</v>
      </c>
      <c r="E1267" s="3">
        <v>557.42999999999995</v>
      </c>
      <c r="F1267" s="3" t="s">
        <v>2995</v>
      </c>
      <c r="G1267" s="3" t="s">
        <v>327</v>
      </c>
      <c r="H1267" s="3"/>
    </row>
    <row r="1268" spans="1:8" x14ac:dyDescent="0.25">
      <c r="A1268" s="3" t="s">
        <v>1590</v>
      </c>
      <c r="B1268" s="3" t="s">
        <v>3231</v>
      </c>
      <c r="C1268" s="3" t="s">
        <v>239</v>
      </c>
      <c r="D1268" s="3" t="s">
        <v>294</v>
      </c>
      <c r="E1268" s="3">
        <v>406.01</v>
      </c>
      <c r="F1268" s="3" t="s">
        <v>324</v>
      </c>
      <c r="G1268" s="3" t="s">
        <v>325</v>
      </c>
      <c r="H1268" s="3"/>
    </row>
    <row r="1269" spans="1:8" x14ac:dyDescent="0.25">
      <c r="A1269" s="3" t="s">
        <v>1591</v>
      </c>
      <c r="B1269" s="3" t="s">
        <v>3080</v>
      </c>
      <c r="C1269" s="3" t="s">
        <v>100</v>
      </c>
      <c r="D1269" s="3" t="s">
        <v>294</v>
      </c>
      <c r="E1269" s="3">
        <v>48.54</v>
      </c>
      <c r="F1269" s="3" t="s">
        <v>2988</v>
      </c>
      <c r="G1269" s="3" t="s">
        <v>327</v>
      </c>
      <c r="H1269" s="3" t="s">
        <v>332</v>
      </c>
    </row>
    <row r="1270" spans="1:8" x14ac:dyDescent="0.25">
      <c r="A1270" s="3" t="s">
        <v>1592</v>
      </c>
      <c r="B1270" s="3" t="s">
        <v>4146</v>
      </c>
      <c r="C1270" s="3" t="s">
        <v>117</v>
      </c>
      <c r="D1270" s="3" t="s">
        <v>312</v>
      </c>
      <c r="E1270" s="3">
        <v>169.52</v>
      </c>
      <c r="F1270" s="3" t="s">
        <v>2976</v>
      </c>
      <c r="G1270" s="3" t="s">
        <v>337</v>
      </c>
      <c r="H1270" s="3"/>
    </row>
    <row r="1271" spans="1:8" x14ac:dyDescent="0.25">
      <c r="A1271" s="3" t="s">
        <v>1593</v>
      </c>
      <c r="B1271" s="3" t="s">
        <v>4301</v>
      </c>
      <c r="C1271" s="3" t="s">
        <v>119</v>
      </c>
      <c r="D1271" s="3" t="s">
        <v>294</v>
      </c>
      <c r="E1271" s="3" t="s">
        <v>4302</v>
      </c>
      <c r="F1271" s="3" t="s">
        <v>2976</v>
      </c>
      <c r="G1271" s="3" t="s">
        <v>337</v>
      </c>
      <c r="H1271" s="3" t="s">
        <v>332</v>
      </c>
    </row>
    <row r="1272" spans="1:8" x14ac:dyDescent="0.25">
      <c r="A1272" s="3" t="s">
        <v>1594</v>
      </c>
      <c r="B1272" s="3" t="s">
        <v>4242</v>
      </c>
      <c r="C1272" s="3" t="s">
        <v>26</v>
      </c>
      <c r="D1272" s="3" t="s">
        <v>300</v>
      </c>
      <c r="E1272" s="3">
        <v>164.4</v>
      </c>
      <c r="F1272" s="3" t="s">
        <v>324</v>
      </c>
      <c r="G1272" s="3" t="s">
        <v>327</v>
      </c>
      <c r="H1272" s="3" t="s">
        <v>334</v>
      </c>
    </row>
    <row r="1273" spans="1:8" x14ac:dyDescent="0.25">
      <c r="A1273" s="3" t="s">
        <v>1595</v>
      </c>
      <c r="B1273" s="3" t="s">
        <v>4303</v>
      </c>
      <c r="C1273" s="3" t="s">
        <v>44</v>
      </c>
      <c r="D1273" s="3" t="s">
        <v>306</v>
      </c>
      <c r="E1273" s="3" t="s">
        <v>4304</v>
      </c>
      <c r="F1273" s="3" t="s">
        <v>324</v>
      </c>
      <c r="G1273" s="3" t="s">
        <v>325</v>
      </c>
      <c r="H1273" s="3" t="s">
        <v>332</v>
      </c>
    </row>
    <row r="1274" spans="1:8" x14ac:dyDescent="0.25">
      <c r="A1274" s="3" t="s">
        <v>1596</v>
      </c>
      <c r="B1274" s="3" t="s">
        <v>4305</v>
      </c>
      <c r="C1274" s="3" t="s">
        <v>261</v>
      </c>
      <c r="D1274" s="3" t="s">
        <v>297</v>
      </c>
      <c r="E1274" s="3" t="s">
        <v>4306</v>
      </c>
      <c r="F1274" s="3" t="s">
        <v>324</v>
      </c>
      <c r="G1274" s="3" t="s">
        <v>327</v>
      </c>
      <c r="H1274" s="3"/>
    </row>
    <row r="1275" spans="1:8" x14ac:dyDescent="0.25">
      <c r="A1275" s="3" t="s">
        <v>1597</v>
      </c>
      <c r="B1275" s="3" t="s">
        <v>4134</v>
      </c>
      <c r="C1275" s="3" t="s">
        <v>76</v>
      </c>
      <c r="D1275" s="3" t="s">
        <v>315</v>
      </c>
      <c r="E1275" s="3" t="s">
        <v>4307</v>
      </c>
      <c r="F1275" s="3" t="s">
        <v>324</v>
      </c>
      <c r="G1275" s="3" t="s">
        <v>325</v>
      </c>
      <c r="H1275" s="3" t="s">
        <v>332</v>
      </c>
    </row>
    <row r="1276" spans="1:8" x14ac:dyDescent="0.25">
      <c r="A1276" s="3" t="s">
        <v>1598</v>
      </c>
      <c r="B1276" s="3" t="s">
        <v>3115</v>
      </c>
      <c r="C1276" s="3" t="s">
        <v>98</v>
      </c>
      <c r="D1276" s="3" t="s">
        <v>300</v>
      </c>
      <c r="E1276" s="3" t="s">
        <v>4308</v>
      </c>
      <c r="F1276" s="3" t="s">
        <v>2988</v>
      </c>
      <c r="G1276" s="3" t="s">
        <v>327</v>
      </c>
      <c r="H1276" s="3"/>
    </row>
    <row r="1277" spans="1:8" x14ac:dyDescent="0.25">
      <c r="A1277" s="3" t="s">
        <v>1599</v>
      </c>
      <c r="B1277" s="3" t="s">
        <v>4309</v>
      </c>
      <c r="C1277" s="3" t="s">
        <v>163</v>
      </c>
      <c r="D1277" s="3" t="s">
        <v>300</v>
      </c>
      <c r="E1277" s="3">
        <v>160.59</v>
      </c>
      <c r="F1277" s="3" t="s">
        <v>324</v>
      </c>
      <c r="G1277" s="3" t="s">
        <v>327</v>
      </c>
      <c r="H1277" s="3"/>
    </row>
    <row r="1278" spans="1:8" x14ac:dyDescent="0.25">
      <c r="A1278" s="3" t="s">
        <v>1600</v>
      </c>
      <c r="B1278" s="3" t="s">
        <v>3803</v>
      </c>
      <c r="C1278" s="3" t="s">
        <v>209</v>
      </c>
      <c r="D1278" s="3" t="s">
        <v>294</v>
      </c>
      <c r="E1278" s="3">
        <v>767.06</v>
      </c>
      <c r="F1278" s="3" t="s">
        <v>2995</v>
      </c>
      <c r="G1278" s="3" t="s">
        <v>337</v>
      </c>
      <c r="H1278" s="3" t="s">
        <v>334</v>
      </c>
    </row>
    <row r="1279" spans="1:8" x14ac:dyDescent="0.25">
      <c r="A1279" s="3" t="s">
        <v>1601</v>
      </c>
      <c r="B1279" s="3" t="s">
        <v>4310</v>
      </c>
      <c r="C1279" s="3" t="s">
        <v>92</v>
      </c>
      <c r="D1279" s="3" t="s">
        <v>294</v>
      </c>
      <c r="E1279" s="3" t="s">
        <v>4311</v>
      </c>
      <c r="F1279" s="3" t="s">
        <v>324</v>
      </c>
      <c r="G1279" s="3" t="s">
        <v>337</v>
      </c>
      <c r="H1279" s="3"/>
    </row>
    <row r="1280" spans="1:8" x14ac:dyDescent="0.25">
      <c r="A1280" s="3" t="s">
        <v>1602</v>
      </c>
      <c r="B1280" s="3" t="s">
        <v>3425</v>
      </c>
      <c r="C1280" s="3" t="s">
        <v>145</v>
      </c>
      <c r="D1280" s="3" t="s">
        <v>312</v>
      </c>
      <c r="E1280" s="3">
        <v>358.55</v>
      </c>
      <c r="F1280" s="3" t="s">
        <v>324</v>
      </c>
      <c r="G1280" s="3" t="s">
        <v>325</v>
      </c>
      <c r="H1280" s="3"/>
    </row>
    <row r="1281" spans="1:8" x14ac:dyDescent="0.25">
      <c r="A1281" s="3" t="s">
        <v>1603</v>
      </c>
      <c r="B1281" s="3" t="s">
        <v>4312</v>
      </c>
      <c r="C1281" s="3" t="s">
        <v>94</v>
      </c>
      <c r="D1281" s="3" t="s">
        <v>294</v>
      </c>
      <c r="E1281" s="3">
        <v>286.56</v>
      </c>
      <c r="F1281" s="3" t="s">
        <v>324</v>
      </c>
      <c r="G1281" s="3" t="s">
        <v>327</v>
      </c>
      <c r="H1281" s="3" t="s">
        <v>334</v>
      </c>
    </row>
    <row r="1282" spans="1:8" x14ac:dyDescent="0.25">
      <c r="A1282" s="3" t="s">
        <v>1604</v>
      </c>
      <c r="B1282" s="3" t="s">
        <v>3068</v>
      </c>
      <c r="C1282" s="3" t="s">
        <v>125</v>
      </c>
      <c r="D1282" s="3" t="s">
        <v>300</v>
      </c>
      <c r="E1282" s="3" t="s">
        <v>4313</v>
      </c>
      <c r="F1282" s="3" t="s">
        <v>349</v>
      </c>
      <c r="G1282" s="3" t="s">
        <v>329</v>
      </c>
      <c r="H1282" s="3"/>
    </row>
    <row r="1283" spans="1:8" x14ac:dyDescent="0.25">
      <c r="A1283" s="3" t="s">
        <v>1605</v>
      </c>
      <c r="B1283" s="3" t="s">
        <v>4314</v>
      </c>
      <c r="C1283" s="3" t="s">
        <v>259</v>
      </c>
      <c r="D1283" s="3" t="s">
        <v>294</v>
      </c>
      <c r="E1283" s="3">
        <v>1022.19</v>
      </c>
      <c r="F1283" s="3" t="s">
        <v>324</v>
      </c>
      <c r="G1283" s="3" t="s">
        <v>337</v>
      </c>
      <c r="H1283" s="3" t="s">
        <v>346</v>
      </c>
    </row>
    <row r="1284" spans="1:8" x14ac:dyDescent="0.25">
      <c r="A1284" s="3" t="s">
        <v>1606</v>
      </c>
      <c r="B1284" s="3" t="s">
        <v>4315</v>
      </c>
      <c r="C1284" s="3" t="s">
        <v>6</v>
      </c>
      <c r="D1284" s="3" t="s">
        <v>300</v>
      </c>
      <c r="E1284" s="3">
        <v>624.34</v>
      </c>
      <c r="F1284" s="3" t="s">
        <v>324</v>
      </c>
      <c r="G1284" s="3" t="s">
        <v>325</v>
      </c>
      <c r="H1284" s="3"/>
    </row>
    <row r="1285" spans="1:8" x14ac:dyDescent="0.25">
      <c r="A1285" s="3" t="s">
        <v>1607</v>
      </c>
      <c r="B1285" s="3" t="s">
        <v>4316</v>
      </c>
      <c r="C1285" s="3" t="s">
        <v>185</v>
      </c>
      <c r="D1285" s="3" t="s">
        <v>312</v>
      </c>
      <c r="E1285" s="3">
        <v>565.42999999999995</v>
      </c>
      <c r="F1285" s="3" t="s">
        <v>324</v>
      </c>
      <c r="G1285" s="3" t="s">
        <v>325</v>
      </c>
      <c r="H1285" s="3" t="s">
        <v>332</v>
      </c>
    </row>
    <row r="1286" spans="1:8" x14ac:dyDescent="0.25">
      <c r="A1286" s="3" t="s">
        <v>1608</v>
      </c>
      <c r="B1286" s="3" t="s">
        <v>3186</v>
      </c>
      <c r="C1286" s="3" t="s">
        <v>227</v>
      </c>
      <c r="D1286" s="3" t="s">
        <v>312</v>
      </c>
      <c r="E1286" s="3" t="s">
        <v>4317</v>
      </c>
      <c r="F1286" s="3" t="s">
        <v>349</v>
      </c>
      <c r="G1286" s="3" t="s">
        <v>327</v>
      </c>
      <c r="H1286" s="3" t="s">
        <v>346</v>
      </c>
    </row>
    <row r="1287" spans="1:8" x14ac:dyDescent="0.25">
      <c r="A1287" s="3" t="s">
        <v>1609</v>
      </c>
      <c r="B1287" s="3" t="s">
        <v>4318</v>
      </c>
      <c r="C1287" s="3" t="s">
        <v>253</v>
      </c>
      <c r="D1287" s="3" t="s">
        <v>306</v>
      </c>
      <c r="E1287" s="3" t="s">
        <v>4319</v>
      </c>
      <c r="F1287" s="3" t="s">
        <v>3021</v>
      </c>
      <c r="G1287" s="3" t="s">
        <v>327</v>
      </c>
      <c r="H1287" s="3" t="s">
        <v>332</v>
      </c>
    </row>
    <row r="1288" spans="1:8" x14ac:dyDescent="0.25">
      <c r="A1288" s="3" t="s">
        <v>1610</v>
      </c>
      <c r="B1288" s="3" t="s">
        <v>3380</v>
      </c>
      <c r="C1288" s="3" t="s">
        <v>197</v>
      </c>
      <c r="D1288" s="3" t="s">
        <v>303</v>
      </c>
      <c r="E1288" s="3" t="s">
        <v>4320</v>
      </c>
      <c r="F1288" s="3" t="s">
        <v>324</v>
      </c>
      <c r="G1288" s="3" t="s">
        <v>329</v>
      </c>
      <c r="H1288" s="3"/>
    </row>
    <row r="1289" spans="1:8" x14ac:dyDescent="0.25">
      <c r="A1289" s="3" t="s">
        <v>1611</v>
      </c>
      <c r="B1289" s="3" t="s">
        <v>4321</v>
      </c>
      <c r="C1289" s="3" t="s">
        <v>251</v>
      </c>
      <c r="D1289" s="3" t="s">
        <v>312</v>
      </c>
      <c r="E1289" s="3">
        <v>-218.08</v>
      </c>
      <c r="F1289" s="3" t="s">
        <v>3006</v>
      </c>
      <c r="G1289" s="3" t="s">
        <v>329</v>
      </c>
      <c r="H1289" s="3" t="s">
        <v>332</v>
      </c>
    </row>
    <row r="1290" spans="1:8" x14ac:dyDescent="0.25">
      <c r="A1290" s="3" t="s">
        <v>1612</v>
      </c>
      <c r="B1290" s="3" t="s">
        <v>3578</v>
      </c>
      <c r="C1290" s="3" t="s">
        <v>92</v>
      </c>
      <c r="D1290" s="3" t="s">
        <v>294</v>
      </c>
      <c r="E1290" s="3" t="s">
        <v>4322</v>
      </c>
      <c r="F1290" s="3" t="s">
        <v>324</v>
      </c>
      <c r="G1290" s="3" t="s">
        <v>327</v>
      </c>
      <c r="H1290" s="3"/>
    </row>
    <row r="1291" spans="1:8" x14ac:dyDescent="0.25">
      <c r="A1291" s="3" t="s">
        <v>1613</v>
      </c>
      <c r="B1291" s="3" t="s">
        <v>4323</v>
      </c>
      <c r="C1291" s="3" t="s">
        <v>185</v>
      </c>
      <c r="D1291" s="3" t="s">
        <v>306</v>
      </c>
      <c r="E1291" s="3">
        <v>276.41000000000003</v>
      </c>
      <c r="F1291" s="3" t="s">
        <v>2988</v>
      </c>
      <c r="G1291" s="3" t="s">
        <v>327</v>
      </c>
      <c r="H1291" s="3"/>
    </row>
    <row r="1292" spans="1:8" x14ac:dyDescent="0.25">
      <c r="A1292" s="3" t="s">
        <v>1614</v>
      </c>
      <c r="B1292" s="3" t="s">
        <v>4162</v>
      </c>
      <c r="C1292" s="3" t="s">
        <v>271</v>
      </c>
      <c r="D1292" s="3" t="s">
        <v>294</v>
      </c>
      <c r="E1292" s="3">
        <v>587.15</v>
      </c>
      <c r="F1292" s="3" t="s">
        <v>2973</v>
      </c>
      <c r="G1292" s="3" t="s">
        <v>327</v>
      </c>
      <c r="H1292" s="3" t="s">
        <v>334</v>
      </c>
    </row>
    <row r="1293" spans="1:8" x14ac:dyDescent="0.25">
      <c r="A1293" s="3" t="s">
        <v>1615</v>
      </c>
      <c r="B1293" s="3" t="s">
        <v>4145</v>
      </c>
      <c r="C1293" s="3" t="s">
        <v>167</v>
      </c>
      <c r="D1293" s="3" t="s">
        <v>306</v>
      </c>
      <c r="E1293" s="3">
        <v>518.73</v>
      </c>
      <c r="F1293" s="3" t="s">
        <v>324</v>
      </c>
      <c r="G1293" s="3" t="s">
        <v>325</v>
      </c>
      <c r="H1293" s="3"/>
    </row>
    <row r="1294" spans="1:8" x14ac:dyDescent="0.25">
      <c r="A1294" s="3" t="s">
        <v>1616</v>
      </c>
      <c r="B1294" s="3" t="s">
        <v>4324</v>
      </c>
      <c r="C1294" s="3" t="s">
        <v>223</v>
      </c>
      <c r="D1294" s="3" t="s">
        <v>294</v>
      </c>
      <c r="E1294" s="3">
        <v>-309.47000000000003</v>
      </c>
      <c r="F1294" s="3" t="s">
        <v>349</v>
      </c>
      <c r="G1294" s="3" t="s">
        <v>327</v>
      </c>
      <c r="H1294" s="3" t="s">
        <v>346</v>
      </c>
    </row>
    <row r="1295" spans="1:8" x14ac:dyDescent="0.25">
      <c r="A1295" s="3" t="s">
        <v>1617</v>
      </c>
      <c r="B1295" s="3" t="s">
        <v>3234</v>
      </c>
      <c r="C1295" s="3" t="s">
        <v>203</v>
      </c>
      <c r="D1295" s="3" t="s">
        <v>309</v>
      </c>
      <c r="E1295" s="3" t="s">
        <v>4325</v>
      </c>
      <c r="F1295" s="3" t="s">
        <v>324</v>
      </c>
      <c r="G1295" s="3" t="s">
        <v>329</v>
      </c>
      <c r="H1295" s="3" t="s">
        <v>332</v>
      </c>
    </row>
    <row r="1296" spans="1:8" x14ac:dyDescent="0.25">
      <c r="A1296" s="3" t="s">
        <v>1618</v>
      </c>
      <c r="B1296" s="3" t="s">
        <v>4326</v>
      </c>
      <c r="C1296" s="3" t="s">
        <v>113</v>
      </c>
      <c r="D1296" s="3" t="s">
        <v>297</v>
      </c>
      <c r="E1296" s="3">
        <v>448.94</v>
      </c>
      <c r="F1296" s="3" t="s">
        <v>324</v>
      </c>
      <c r="G1296" s="3" t="s">
        <v>337</v>
      </c>
      <c r="H1296" s="3" t="s">
        <v>334</v>
      </c>
    </row>
    <row r="1297" spans="1:8" x14ac:dyDescent="0.25">
      <c r="A1297" s="3" t="s">
        <v>1619</v>
      </c>
      <c r="B1297" s="3" t="s">
        <v>3686</v>
      </c>
      <c r="C1297" s="3" t="s">
        <v>62</v>
      </c>
      <c r="D1297" s="3" t="s">
        <v>294</v>
      </c>
      <c r="E1297" s="3" t="s">
        <v>4327</v>
      </c>
      <c r="F1297" s="3" t="s">
        <v>2973</v>
      </c>
      <c r="G1297" s="3" t="s">
        <v>325</v>
      </c>
      <c r="H1297" s="3"/>
    </row>
    <row r="1298" spans="1:8" x14ac:dyDescent="0.25">
      <c r="A1298" s="3" t="s">
        <v>1620</v>
      </c>
      <c r="B1298" s="3" t="s">
        <v>4328</v>
      </c>
      <c r="C1298" s="3" t="s">
        <v>239</v>
      </c>
      <c r="D1298" s="3" t="s">
        <v>294</v>
      </c>
      <c r="E1298" s="3" t="s">
        <v>4329</v>
      </c>
      <c r="F1298" s="3" t="s">
        <v>324</v>
      </c>
      <c r="G1298" s="3" t="s">
        <v>327</v>
      </c>
      <c r="H1298" s="3"/>
    </row>
    <row r="1299" spans="1:8" x14ac:dyDescent="0.25">
      <c r="A1299" s="3" t="s">
        <v>1621</v>
      </c>
      <c r="B1299" s="3" t="s">
        <v>4330</v>
      </c>
      <c r="C1299" s="3" t="s">
        <v>223</v>
      </c>
      <c r="D1299" s="3" t="s">
        <v>312</v>
      </c>
      <c r="E1299" s="3">
        <v>957.88</v>
      </c>
      <c r="F1299" s="3" t="s">
        <v>2976</v>
      </c>
      <c r="G1299" s="3" t="s">
        <v>329</v>
      </c>
      <c r="H1299" s="3"/>
    </row>
    <row r="1300" spans="1:8" x14ac:dyDescent="0.25">
      <c r="A1300" s="3" t="s">
        <v>1622</v>
      </c>
      <c r="B1300" s="3" t="s">
        <v>3149</v>
      </c>
      <c r="C1300" s="3" t="s">
        <v>147</v>
      </c>
      <c r="D1300" s="3" t="s">
        <v>306</v>
      </c>
      <c r="E1300" s="3">
        <v>430.57</v>
      </c>
      <c r="F1300" s="3" t="s">
        <v>324</v>
      </c>
      <c r="G1300" s="3" t="s">
        <v>327</v>
      </c>
      <c r="H1300" s="3"/>
    </row>
    <row r="1301" spans="1:8" x14ac:dyDescent="0.25">
      <c r="A1301" s="3" t="s">
        <v>1623</v>
      </c>
      <c r="B1301" s="3" t="s">
        <v>3383</v>
      </c>
      <c r="C1301" s="3" t="s">
        <v>11</v>
      </c>
      <c r="D1301" s="3" t="s">
        <v>309</v>
      </c>
      <c r="E1301" s="3" t="s">
        <v>4331</v>
      </c>
      <c r="F1301" s="3" t="s">
        <v>324</v>
      </c>
      <c r="G1301" s="3" t="s">
        <v>325</v>
      </c>
      <c r="H1301" s="3"/>
    </row>
    <row r="1302" spans="1:8" x14ac:dyDescent="0.25">
      <c r="A1302" s="3" t="s">
        <v>1624</v>
      </c>
      <c r="B1302" s="3" t="s">
        <v>3194</v>
      </c>
      <c r="C1302" s="3" t="s">
        <v>86</v>
      </c>
      <c r="D1302" s="3" t="s">
        <v>309</v>
      </c>
      <c r="E1302" s="3">
        <v>244.29</v>
      </c>
      <c r="F1302" s="3" t="s">
        <v>2976</v>
      </c>
      <c r="G1302" s="3" t="s">
        <v>325</v>
      </c>
      <c r="H1302" s="3"/>
    </row>
    <row r="1303" spans="1:8" x14ac:dyDescent="0.25">
      <c r="A1303" s="3" t="s">
        <v>1625</v>
      </c>
      <c r="B1303" s="3" t="s">
        <v>4135</v>
      </c>
      <c r="C1303" s="3" t="s">
        <v>237</v>
      </c>
      <c r="D1303" s="3" t="s">
        <v>309</v>
      </c>
      <c r="E1303" s="3">
        <v>630.15</v>
      </c>
      <c r="F1303" s="3" t="s">
        <v>324</v>
      </c>
      <c r="G1303" s="3" t="s">
        <v>327</v>
      </c>
      <c r="H1303" s="3"/>
    </row>
    <row r="1304" spans="1:8" x14ac:dyDescent="0.25">
      <c r="A1304" s="3" t="s">
        <v>1626</v>
      </c>
      <c r="B1304" s="3" t="s">
        <v>4031</v>
      </c>
      <c r="C1304" s="3" t="s">
        <v>82</v>
      </c>
      <c r="D1304" s="3" t="s">
        <v>312</v>
      </c>
      <c r="E1304" s="3" t="s">
        <v>4332</v>
      </c>
      <c r="F1304" s="3" t="s">
        <v>2973</v>
      </c>
      <c r="G1304" s="3" t="s">
        <v>327</v>
      </c>
      <c r="H1304" s="3" t="s">
        <v>332</v>
      </c>
    </row>
    <row r="1305" spans="1:8" x14ac:dyDescent="0.25">
      <c r="A1305" s="3" t="s">
        <v>1627</v>
      </c>
      <c r="B1305" s="3" t="s">
        <v>3121</v>
      </c>
      <c r="C1305" s="3" t="s">
        <v>153</v>
      </c>
      <c r="D1305" s="3" t="s">
        <v>312</v>
      </c>
      <c r="E1305" s="3">
        <v>77.75</v>
      </c>
      <c r="F1305" s="3" t="s">
        <v>2976</v>
      </c>
      <c r="G1305" s="3" t="s">
        <v>327</v>
      </c>
      <c r="H1305" s="3"/>
    </row>
    <row r="1306" spans="1:8" x14ac:dyDescent="0.25">
      <c r="A1306" s="3" t="s">
        <v>1628</v>
      </c>
      <c r="B1306" s="3" t="s">
        <v>4203</v>
      </c>
      <c r="C1306" s="3" t="s">
        <v>135</v>
      </c>
      <c r="D1306" s="3" t="s">
        <v>294</v>
      </c>
      <c r="E1306" s="3">
        <v>169.32</v>
      </c>
      <c r="F1306" s="3" t="s">
        <v>2976</v>
      </c>
      <c r="G1306" s="3" t="s">
        <v>329</v>
      </c>
      <c r="H1306" s="3"/>
    </row>
    <row r="1307" spans="1:8" x14ac:dyDescent="0.25">
      <c r="A1307" s="3" t="s">
        <v>1629</v>
      </c>
      <c r="B1307" s="3" t="s">
        <v>3434</v>
      </c>
      <c r="C1307" s="3" t="s">
        <v>245</v>
      </c>
      <c r="D1307" s="3" t="s">
        <v>306</v>
      </c>
      <c r="E1307" s="3">
        <v>-441.01</v>
      </c>
      <c r="F1307" s="3" t="s">
        <v>3006</v>
      </c>
      <c r="G1307" s="3" t="s">
        <v>327</v>
      </c>
      <c r="H1307" s="3" t="s">
        <v>346</v>
      </c>
    </row>
    <row r="1308" spans="1:8" x14ac:dyDescent="0.25">
      <c r="A1308" s="3" t="s">
        <v>1630</v>
      </c>
      <c r="B1308" s="3" t="s">
        <v>3749</v>
      </c>
      <c r="C1308" s="3" t="s">
        <v>221</v>
      </c>
      <c r="D1308" s="3" t="s">
        <v>300</v>
      </c>
      <c r="E1308" s="3" t="s">
        <v>4333</v>
      </c>
      <c r="F1308" s="3" t="s">
        <v>3037</v>
      </c>
      <c r="G1308" s="3" t="s">
        <v>325</v>
      </c>
      <c r="H1308" s="3" t="s">
        <v>332</v>
      </c>
    </row>
    <row r="1309" spans="1:8" x14ac:dyDescent="0.25">
      <c r="A1309" s="3" t="s">
        <v>1631</v>
      </c>
      <c r="B1309" s="3" t="s">
        <v>4228</v>
      </c>
      <c r="C1309" s="3" t="s">
        <v>249</v>
      </c>
      <c r="D1309" s="3" t="s">
        <v>294</v>
      </c>
      <c r="E1309" s="3">
        <v>662.27</v>
      </c>
      <c r="F1309" s="3" t="s">
        <v>2995</v>
      </c>
      <c r="G1309" s="3" t="s">
        <v>327</v>
      </c>
      <c r="H1309" s="3"/>
    </row>
    <row r="1310" spans="1:8" x14ac:dyDescent="0.25">
      <c r="A1310" s="3" t="s">
        <v>1632</v>
      </c>
      <c r="B1310" s="3" t="s">
        <v>3298</v>
      </c>
      <c r="C1310" s="3" t="s">
        <v>68</v>
      </c>
      <c r="D1310" s="3" t="s">
        <v>294</v>
      </c>
      <c r="E1310" s="3">
        <v>147.74</v>
      </c>
      <c r="F1310" s="3" t="s">
        <v>324</v>
      </c>
      <c r="G1310" s="3" t="s">
        <v>337</v>
      </c>
      <c r="H1310" s="3" t="s">
        <v>332</v>
      </c>
    </row>
    <row r="1311" spans="1:8" x14ac:dyDescent="0.25">
      <c r="A1311" s="3" t="s">
        <v>1633</v>
      </c>
      <c r="B1311" s="3" t="s">
        <v>3603</v>
      </c>
      <c r="C1311" s="3" t="s">
        <v>229</v>
      </c>
      <c r="D1311" s="3" t="s">
        <v>294</v>
      </c>
      <c r="E1311" s="3" t="s">
        <v>4334</v>
      </c>
      <c r="F1311" s="3" t="s">
        <v>324</v>
      </c>
      <c r="G1311" s="3" t="s">
        <v>325</v>
      </c>
      <c r="H1311" s="3" t="s">
        <v>332</v>
      </c>
    </row>
    <row r="1312" spans="1:8" x14ac:dyDescent="0.25">
      <c r="A1312" s="3" t="s">
        <v>1634</v>
      </c>
      <c r="B1312" s="3" t="s">
        <v>4335</v>
      </c>
      <c r="C1312" s="3" t="s">
        <v>62</v>
      </c>
      <c r="D1312" s="3" t="s">
        <v>315</v>
      </c>
      <c r="E1312" s="3" t="s">
        <v>4336</v>
      </c>
      <c r="F1312" s="3" t="s">
        <v>3037</v>
      </c>
      <c r="G1312" s="3" t="s">
        <v>327</v>
      </c>
      <c r="H1312" s="3"/>
    </row>
    <row r="1313" spans="1:8" x14ac:dyDescent="0.25">
      <c r="A1313" s="3" t="s">
        <v>1635</v>
      </c>
      <c r="B1313" s="3" t="s">
        <v>3195</v>
      </c>
      <c r="C1313" s="3" t="s">
        <v>113</v>
      </c>
      <c r="D1313" s="3" t="s">
        <v>300</v>
      </c>
      <c r="E1313" s="3">
        <v>428.53</v>
      </c>
      <c r="F1313" s="3" t="s">
        <v>2995</v>
      </c>
      <c r="G1313" s="3"/>
      <c r="H1313" s="3"/>
    </row>
    <row r="1314" spans="1:8" x14ac:dyDescent="0.25">
      <c r="A1314" s="3" t="s">
        <v>1636</v>
      </c>
      <c r="B1314" s="3" t="s">
        <v>3022</v>
      </c>
      <c r="C1314" s="3" t="s">
        <v>64</v>
      </c>
      <c r="D1314" s="3" t="s">
        <v>294</v>
      </c>
      <c r="E1314" s="3">
        <v>553.38</v>
      </c>
      <c r="F1314" s="3" t="s">
        <v>381</v>
      </c>
      <c r="G1314" s="3" t="s">
        <v>325</v>
      </c>
      <c r="H1314" s="3" t="s">
        <v>334</v>
      </c>
    </row>
    <row r="1315" spans="1:8" x14ac:dyDescent="0.25">
      <c r="A1315" s="3" t="s">
        <v>1637</v>
      </c>
      <c r="B1315" s="3" t="s">
        <v>3689</v>
      </c>
      <c r="C1315" s="3" t="s">
        <v>123</v>
      </c>
      <c r="D1315" s="3" t="s">
        <v>294</v>
      </c>
      <c r="E1315" s="3" t="s">
        <v>4337</v>
      </c>
      <c r="F1315" s="3" t="s">
        <v>324</v>
      </c>
      <c r="G1315" s="3" t="s">
        <v>327</v>
      </c>
      <c r="H1315" s="3"/>
    </row>
    <row r="1316" spans="1:8" x14ac:dyDescent="0.25">
      <c r="A1316" s="3" t="s">
        <v>1638</v>
      </c>
      <c r="B1316" s="3" t="s">
        <v>4338</v>
      </c>
      <c r="C1316" s="3" t="s">
        <v>125</v>
      </c>
      <c r="D1316" s="3" t="s">
        <v>312</v>
      </c>
      <c r="E1316" s="3">
        <v>936.15</v>
      </c>
      <c r="F1316" s="3" t="s">
        <v>324</v>
      </c>
      <c r="G1316" s="3" t="s">
        <v>325</v>
      </c>
      <c r="H1316" s="3"/>
    </row>
    <row r="1317" spans="1:8" x14ac:dyDescent="0.25">
      <c r="A1317" s="3" t="s">
        <v>1639</v>
      </c>
      <c r="B1317" s="3" t="s">
        <v>3627</v>
      </c>
      <c r="C1317" s="3" t="s">
        <v>60</v>
      </c>
      <c r="D1317" s="3" t="s">
        <v>306</v>
      </c>
      <c r="E1317" s="3" t="s">
        <v>4339</v>
      </c>
      <c r="F1317" s="3" t="s">
        <v>381</v>
      </c>
      <c r="G1317" s="3" t="s">
        <v>327</v>
      </c>
      <c r="H1317" s="3" t="s">
        <v>332</v>
      </c>
    </row>
    <row r="1318" spans="1:8" x14ac:dyDescent="0.25">
      <c r="A1318" s="3" t="s">
        <v>1640</v>
      </c>
      <c r="B1318" s="3" t="s">
        <v>3451</v>
      </c>
      <c r="C1318" s="3" t="s">
        <v>11</v>
      </c>
      <c r="D1318" s="3" t="s">
        <v>294</v>
      </c>
      <c r="E1318" s="3">
        <v>407.33</v>
      </c>
      <c r="F1318" s="3" t="s">
        <v>324</v>
      </c>
      <c r="G1318" s="3" t="s">
        <v>325</v>
      </c>
      <c r="H1318" s="3"/>
    </row>
    <row r="1319" spans="1:8" x14ac:dyDescent="0.25">
      <c r="A1319" s="3" t="s">
        <v>1641</v>
      </c>
      <c r="B1319" s="3" t="s">
        <v>4036</v>
      </c>
      <c r="C1319" s="3" t="s">
        <v>197</v>
      </c>
      <c r="D1319" s="3" t="s">
        <v>300</v>
      </c>
      <c r="E1319" s="3">
        <v>537.39</v>
      </c>
      <c r="F1319" s="3" t="s">
        <v>2995</v>
      </c>
      <c r="G1319" s="3" t="s">
        <v>329</v>
      </c>
      <c r="H1319" s="3"/>
    </row>
    <row r="1320" spans="1:8" x14ac:dyDescent="0.25">
      <c r="A1320" s="3" t="s">
        <v>1642</v>
      </c>
      <c r="B1320" s="3" t="s">
        <v>4340</v>
      </c>
      <c r="C1320" s="3" t="s">
        <v>123</v>
      </c>
      <c r="D1320" s="3" t="s">
        <v>315</v>
      </c>
      <c r="E1320" s="3">
        <v>289.54000000000002</v>
      </c>
      <c r="F1320" s="3" t="s">
        <v>381</v>
      </c>
      <c r="G1320" s="3" t="s">
        <v>327</v>
      </c>
      <c r="H1320" s="3"/>
    </row>
    <row r="1321" spans="1:8" x14ac:dyDescent="0.25">
      <c r="A1321" s="3" t="s">
        <v>1643</v>
      </c>
      <c r="B1321" s="3" t="s">
        <v>4341</v>
      </c>
      <c r="C1321" s="3" t="s">
        <v>53</v>
      </c>
      <c r="D1321" s="3" t="s">
        <v>312</v>
      </c>
      <c r="E1321" s="3">
        <v>373.51</v>
      </c>
      <c r="F1321" s="3" t="s">
        <v>324</v>
      </c>
      <c r="G1321" s="3" t="s">
        <v>329</v>
      </c>
      <c r="H1321" s="3" t="s">
        <v>346</v>
      </c>
    </row>
    <row r="1322" spans="1:8" x14ac:dyDescent="0.25">
      <c r="A1322" s="3" t="s">
        <v>1644</v>
      </c>
      <c r="B1322" s="3" t="s">
        <v>2984</v>
      </c>
      <c r="C1322" s="3" t="s">
        <v>177</v>
      </c>
      <c r="D1322" s="3" t="s">
        <v>312</v>
      </c>
      <c r="E1322" s="3" t="s">
        <v>4342</v>
      </c>
      <c r="F1322" s="3" t="s">
        <v>3021</v>
      </c>
      <c r="G1322" s="3" t="s">
        <v>325</v>
      </c>
      <c r="H1322" s="3" t="s">
        <v>334</v>
      </c>
    </row>
    <row r="1323" spans="1:8" x14ac:dyDescent="0.25">
      <c r="A1323" s="3" t="s">
        <v>1645</v>
      </c>
      <c r="B1323" s="3" t="s">
        <v>4169</v>
      </c>
      <c r="C1323" s="3" t="s">
        <v>29</v>
      </c>
      <c r="D1323" s="3" t="s">
        <v>306</v>
      </c>
      <c r="E1323" s="3" t="s">
        <v>4343</v>
      </c>
      <c r="F1323" s="3" t="s">
        <v>2973</v>
      </c>
      <c r="G1323" s="3" t="s">
        <v>329</v>
      </c>
      <c r="H1323" s="3"/>
    </row>
    <row r="1324" spans="1:8" x14ac:dyDescent="0.25">
      <c r="A1324" s="3" t="s">
        <v>1646</v>
      </c>
      <c r="B1324" s="3" t="s">
        <v>3291</v>
      </c>
      <c r="C1324" s="3" t="s">
        <v>121</v>
      </c>
      <c r="D1324" s="3" t="s">
        <v>312</v>
      </c>
      <c r="E1324" s="3" t="s">
        <v>4344</v>
      </c>
      <c r="F1324" s="3" t="s">
        <v>2976</v>
      </c>
      <c r="G1324" s="3" t="s">
        <v>325</v>
      </c>
      <c r="H1324" s="3"/>
    </row>
    <row r="1325" spans="1:8" x14ac:dyDescent="0.25">
      <c r="A1325" s="3" t="s">
        <v>1647</v>
      </c>
      <c r="B1325" s="3" t="s">
        <v>4025</v>
      </c>
      <c r="C1325" s="3" t="s">
        <v>187</v>
      </c>
      <c r="D1325" s="3" t="s">
        <v>297</v>
      </c>
      <c r="E1325" s="3">
        <v>-652.36</v>
      </c>
      <c r="F1325" s="3" t="s">
        <v>3021</v>
      </c>
      <c r="G1325" s="3" t="s">
        <v>325</v>
      </c>
      <c r="H1325" s="3" t="s">
        <v>346</v>
      </c>
    </row>
    <row r="1326" spans="1:8" x14ac:dyDescent="0.25">
      <c r="A1326" s="3" t="s">
        <v>1648</v>
      </c>
      <c r="B1326" s="3" t="s">
        <v>4345</v>
      </c>
      <c r="C1326" s="3" t="s">
        <v>153</v>
      </c>
      <c r="D1326" s="3" t="s">
        <v>309</v>
      </c>
      <c r="E1326" s="3">
        <v>432.58</v>
      </c>
      <c r="F1326" s="3" t="s">
        <v>2973</v>
      </c>
      <c r="G1326" s="3" t="s">
        <v>325</v>
      </c>
      <c r="H1326" s="3"/>
    </row>
    <row r="1327" spans="1:8" x14ac:dyDescent="0.25">
      <c r="A1327" s="3" t="s">
        <v>1649</v>
      </c>
      <c r="B1327" s="3" t="s">
        <v>3110</v>
      </c>
      <c r="C1327" s="3" t="s">
        <v>197</v>
      </c>
      <c r="D1327" s="3" t="s">
        <v>315</v>
      </c>
      <c r="E1327" s="3">
        <v>760.47</v>
      </c>
      <c r="F1327" s="3" t="s">
        <v>2988</v>
      </c>
      <c r="G1327" s="3" t="s">
        <v>327</v>
      </c>
      <c r="H1327" s="3"/>
    </row>
    <row r="1328" spans="1:8" x14ac:dyDescent="0.25">
      <c r="A1328" s="3" t="s">
        <v>1288</v>
      </c>
      <c r="B1328" s="3" t="s">
        <v>3052</v>
      </c>
      <c r="C1328" s="3" t="s">
        <v>229</v>
      </c>
      <c r="D1328" s="3" t="s">
        <v>297</v>
      </c>
      <c r="E1328" s="3">
        <v>659.52</v>
      </c>
      <c r="F1328" s="3" t="s">
        <v>324</v>
      </c>
      <c r="G1328" s="3" t="s">
        <v>325</v>
      </c>
      <c r="H1328" s="3"/>
    </row>
    <row r="1329" spans="1:8" x14ac:dyDescent="0.25">
      <c r="A1329" s="3" t="s">
        <v>1650</v>
      </c>
      <c r="B1329" s="3" t="s">
        <v>3329</v>
      </c>
      <c r="C1329" s="3" t="s">
        <v>1651</v>
      </c>
      <c r="D1329" s="3" t="s">
        <v>306</v>
      </c>
      <c r="E1329" s="3" t="s">
        <v>4346</v>
      </c>
      <c r="F1329" s="3" t="s">
        <v>324</v>
      </c>
      <c r="G1329" s="3" t="s">
        <v>325</v>
      </c>
      <c r="H1329" s="3"/>
    </row>
    <row r="1330" spans="1:8" x14ac:dyDescent="0.25">
      <c r="A1330" s="3" t="s">
        <v>748</v>
      </c>
      <c r="B1330" s="3" t="s">
        <v>3515</v>
      </c>
      <c r="C1330" s="3" t="s">
        <v>251</v>
      </c>
      <c r="D1330" s="3" t="s">
        <v>300</v>
      </c>
      <c r="E1330" s="3">
        <v>291.29000000000002</v>
      </c>
      <c r="F1330" s="3" t="s">
        <v>324</v>
      </c>
      <c r="G1330" s="3" t="s">
        <v>325</v>
      </c>
      <c r="H1330" s="3" t="s">
        <v>334</v>
      </c>
    </row>
    <row r="1331" spans="1:8" x14ac:dyDescent="0.25">
      <c r="A1331" s="3" t="s">
        <v>1652</v>
      </c>
      <c r="B1331" s="3" t="s">
        <v>3893</v>
      </c>
      <c r="C1331" s="3" t="s">
        <v>19</v>
      </c>
      <c r="D1331" s="3" t="s">
        <v>309</v>
      </c>
      <c r="E1331" s="3" t="s">
        <v>4347</v>
      </c>
      <c r="F1331" s="3" t="s">
        <v>324</v>
      </c>
      <c r="G1331" s="3" t="s">
        <v>327</v>
      </c>
      <c r="H1331" s="3" t="s">
        <v>332</v>
      </c>
    </row>
    <row r="1332" spans="1:8" x14ac:dyDescent="0.25">
      <c r="A1332" s="3" t="s">
        <v>1653</v>
      </c>
      <c r="B1332" s="3" t="s">
        <v>4083</v>
      </c>
      <c r="C1332" s="3" t="s">
        <v>149</v>
      </c>
      <c r="D1332" s="3" t="s">
        <v>297</v>
      </c>
      <c r="E1332" s="3">
        <v>699.74</v>
      </c>
      <c r="F1332" s="3" t="s">
        <v>2973</v>
      </c>
      <c r="G1332" s="3" t="s">
        <v>337</v>
      </c>
      <c r="H1332" s="3" t="s">
        <v>332</v>
      </c>
    </row>
    <row r="1333" spans="1:8" x14ac:dyDescent="0.25">
      <c r="A1333" s="3" t="s">
        <v>1654</v>
      </c>
      <c r="B1333" s="3" t="s">
        <v>3014</v>
      </c>
      <c r="C1333" s="3" t="s">
        <v>177</v>
      </c>
      <c r="D1333" s="3" t="s">
        <v>315</v>
      </c>
      <c r="E1333" s="3">
        <v>182.02</v>
      </c>
      <c r="F1333" s="3" t="s">
        <v>2976</v>
      </c>
      <c r="G1333" s="3" t="s">
        <v>329</v>
      </c>
      <c r="H1333" s="3"/>
    </row>
    <row r="1334" spans="1:8" x14ac:dyDescent="0.25">
      <c r="A1334" s="3" t="s">
        <v>1655</v>
      </c>
      <c r="B1334" s="3" t="s">
        <v>3689</v>
      </c>
      <c r="C1334" s="3" t="s">
        <v>217</v>
      </c>
      <c r="D1334" s="3" t="s">
        <v>306</v>
      </c>
      <c r="E1334" s="3" t="s">
        <v>4348</v>
      </c>
      <c r="F1334" s="3" t="s">
        <v>2976</v>
      </c>
      <c r="G1334" s="3" t="s">
        <v>327</v>
      </c>
      <c r="H1334" s="3"/>
    </row>
    <row r="1335" spans="1:8" x14ac:dyDescent="0.25">
      <c r="A1335" s="3" t="s">
        <v>1656</v>
      </c>
      <c r="B1335" s="3" t="s">
        <v>3353</v>
      </c>
      <c r="C1335" s="3" t="s">
        <v>273</v>
      </c>
      <c r="D1335" s="3" t="s">
        <v>300</v>
      </c>
      <c r="E1335" s="3">
        <v>698.12</v>
      </c>
      <c r="F1335" s="3" t="s">
        <v>324</v>
      </c>
      <c r="G1335" s="3"/>
      <c r="H1335" s="3"/>
    </row>
    <row r="1336" spans="1:8" x14ac:dyDescent="0.25">
      <c r="A1336" s="3" t="s">
        <v>1657</v>
      </c>
      <c r="B1336" s="3" t="s">
        <v>3725</v>
      </c>
      <c r="C1336" s="3" t="s">
        <v>229</v>
      </c>
      <c r="D1336" s="3" t="s">
        <v>312</v>
      </c>
      <c r="E1336" s="3" t="s">
        <v>4349</v>
      </c>
      <c r="F1336" s="3" t="s">
        <v>3112</v>
      </c>
      <c r="G1336" s="3" t="s">
        <v>327</v>
      </c>
      <c r="H1336" s="3" t="s">
        <v>346</v>
      </c>
    </row>
    <row r="1337" spans="1:8" x14ac:dyDescent="0.25">
      <c r="A1337" s="3" t="s">
        <v>1658</v>
      </c>
      <c r="B1337" s="3" t="s">
        <v>3991</v>
      </c>
      <c r="C1337" s="3" t="s">
        <v>139</v>
      </c>
      <c r="D1337" s="3" t="s">
        <v>300</v>
      </c>
      <c r="E1337" s="3">
        <v>1117.1300000000001</v>
      </c>
      <c r="F1337" s="3" t="s">
        <v>2973</v>
      </c>
      <c r="G1337" s="3" t="s">
        <v>327</v>
      </c>
      <c r="H1337" s="3" t="s">
        <v>346</v>
      </c>
    </row>
    <row r="1338" spans="1:8" x14ac:dyDescent="0.25">
      <c r="A1338" s="3" t="s">
        <v>1659</v>
      </c>
      <c r="B1338" s="3" t="s">
        <v>4350</v>
      </c>
      <c r="C1338" s="3" t="s">
        <v>211</v>
      </c>
      <c r="D1338" s="3" t="s">
        <v>294</v>
      </c>
      <c r="E1338" s="3" t="s">
        <v>4351</v>
      </c>
      <c r="F1338" s="3" t="s">
        <v>2976</v>
      </c>
      <c r="G1338" s="3" t="s">
        <v>327</v>
      </c>
      <c r="H1338" s="3" t="s">
        <v>332</v>
      </c>
    </row>
    <row r="1339" spans="1:8" x14ac:dyDescent="0.25">
      <c r="A1339" s="3" t="s">
        <v>1660</v>
      </c>
      <c r="B1339" s="3" t="s">
        <v>4164</v>
      </c>
      <c r="C1339" s="3" t="s">
        <v>62</v>
      </c>
      <c r="D1339" s="3" t="s">
        <v>315</v>
      </c>
      <c r="E1339" s="3" t="s">
        <v>4352</v>
      </c>
      <c r="F1339" s="3" t="s">
        <v>2995</v>
      </c>
      <c r="G1339" s="3" t="s">
        <v>327</v>
      </c>
      <c r="H1339" s="3"/>
    </row>
    <row r="1340" spans="1:8" x14ac:dyDescent="0.25">
      <c r="A1340" s="3" t="s">
        <v>1661</v>
      </c>
      <c r="B1340" s="3" t="s">
        <v>4353</v>
      </c>
      <c r="C1340" s="3" t="s">
        <v>68</v>
      </c>
      <c r="D1340" s="3" t="s">
        <v>294</v>
      </c>
      <c r="E1340" s="3" t="s">
        <v>4354</v>
      </c>
      <c r="F1340" s="3" t="s">
        <v>324</v>
      </c>
      <c r="G1340" s="3" t="s">
        <v>325</v>
      </c>
      <c r="H1340" s="3" t="s">
        <v>334</v>
      </c>
    </row>
    <row r="1341" spans="1:8" x14ac:dyDescent="0.25">
      <c r="A1341" s="3" t="s">
        <v>1662</v>
      </c>
      <c r="B1341" s="3" t="s">
        <v>4355</v>
      </c>
      <c r="C1341" s="3" t="s">
        <v>84</v>
      </c>
      <c r="D1341" s="3" t="s">
        <v>312</v>
      </c>
      <c r="E1341" s="3">
        <v>-503.76</v>
      </c>
      <c r="F1341" s="3" t="s">
        <v>349</v>
      </c>
      <c r="G1341" s="3" t="s">
        <v>325</v>
      </c>
      <c r="H1341" s="3" t="s">
        <v>346</v>
      </c>
    </row>
    <row r="1342" spans="1:8" x14ac:dyDescent="0.25">
      <c r="A1342" s="3" t="s">
        <v>1663</v>
      </c>
      <c r="B1342" s="3" t="s">
        <v>3377</v>
      </c>
      <c r="C1342" s="3" t="s">
        <v>213</v>
      </c>
      <c r="D1342" s="3" t="s">
        <v>297</v>
      </c>
      <c r="E1342" s="3">
        <v>400.55</v>
      </c>
      <c r="F1342" s="3" t="s">
        <v>324</v>
      </c>
      <c r="G1342" s="3" t="s">
        <v>329</v>
      </c>
      <c r="H1342" s="3" t="s">
        <v>332</v>
      </c>
    </row>
    <row r="1343" spans="1:8" x14ac:dyDescent="0.25">
      <c r="A1343" s="3" t="s">
        <v>1664</v>
      </c>
      <c r="B1343" s="3" t="s">
        <v>4356</v>
      </c>
      <c r="C1343" s="3" t="s">
        <v>66</v>
      </c>
      <c r="D1343" s="3" t="s">
        <v>294</v>
      </c>
      <c r="E1343" s="3">
        <v>714.07</v>
      </c>
      <c r="F1343" s="3" t="s">
        <v>324</v>
      </c>
      <c r="G1343" s="3" t="s">
        <v>337</v>
      </c>
      <c r="H1343" s="3" t="s">
        <v>346</v>
      </c>
    </row>
    <row r="1344" spans="1:8" x14ac:dyDescent="0.25">
      <c r="A1344" s="3" t="s">
        <v>1665</v>
      </c>
      <c r="B1344" s="3" t="s">
        <v>4357</v>
      </c>
      <c r="C1344" s="3" t="s">
        <v>84</v>
      </c>
      <c r="D1344" s="3" t="s">
        <v>297</v>
      </c>
      <c r="E1344" s="3" t="s">
        <v>4358</v>
      </c>
      <c r="F1344" s="3" t="s">
        <v>324</v>
      </c>
      <c r="G1344" s="3" t="s">
        <v>327</v>
      </c>
      <c r="H1344" s="3"/>
    </row>
    <row r="1345" spans="1:8" x14ac:dyDescent="0.25">
      <c r="A1345" s="3" t="s">
        <v>1666</v>
      </c>
      <c r="B1345" s="3" t="s">
        <v>3205</v>
      </c>
      <c r="C1345" s="3" t="s">
        <v>149</v>
      </c>
      <c r="D1345" s="3" t="s">
        <v>294</v>
      </c>
      <c r="E1345" s="3" t="s">
        <v>4359</v>
      </c>
      <c r="F1345" s="3" t="s">
        <v>2976</v>
      </c>
      <c r="G1345" s="3" t="s">
        <v>337</v>
      </c>
      <c r="H1345" s="3" t="s">
        <v>332</v>
      </c>
    </row>
    <row r="1346" spans="1:8" x14ac:dyDescent="0.25">
      <c r="A1346" s="3" t="s">
        <v>1667</v>
      </c>
      <c r="B1346" s="3" t="s">
        <v>4360</v>
      </c>
      <c r="C1346" s="3" t="s">
        <v>179</v>
      </c>
      <c r="D1346" s="3" t="s">
        <v>300</v>
      </c>
      <c r="E1346" s="3" t="s">
        <v>4361</v>
      </c>
      <c r="F1346" s="3" t="s">
        <v>2973</v>
      </c>
      <c r="G1346" s="3" t="s">
        <v>327</v>
      </c>
      <c r="H1346" s="3" t="s">
        <v>334</v>
      </c>
    </row>
    <row r="1347" spans="1:8" x14ac:dyDescent="0.25">
      <c r="A1347" s="3" t="s">
        <v>1668</v>
      </c>
      <c r="B1347" s="3" t="s">
        <v>3265</v>
      </c>
      <c r="C1347" s="3" t="s">
        <v>257</v>
      </c>
      <c r="D1347" s="3" t="s">
        <v>300</v>
      </c>
      <c r="E1347" s="3">
        <v>625.59</v>
      </c>
      <c r="F1347" s="3" t="s">
        <v>324</v>
      </c>
      <c r="G1347" s="3" t="s">
        <v>327</v>
      </c>
      <c r="H1347" s="3" t="s">
        <v>346</v>
      </c>
    </row>
    <row r="1348" spans="1:8" x14ac:dyDescent="0.25">
      <c r="A1348" s="3" t="s">
        <v>1669</v>
      </c>
      <c r="B1348" s="3" t="s">
        <v>4362</v>
      </c>
      <c r="C1348" s="3" t="s">
        <v>253</v>
      </c>
      <c r="D1348" s="3" t="s">
        <v>294</v>
      </c>
      <c r="E1348" s="3" t="s">
        <v>4363</v>
      </c>
      <c r="F1348" s="3" t="s">
        <v>324</v>
      </c>
      <c r="G1348" s="3" t="s">
        <v>325</v>
      </c>
      <c r="H1348" s="3" t="s">
        <v>332</v>
      </c>
    </row>
    <row r="1349" spans="1:8" x14ac:dyDescent="0.25">
      <c r="A1349" s="3" t="s">
        <v>1670</v>
      </c>
      <c r="B1349" s="3" t="s">
        <v>4364</v>
      </c>
      <c r="C1349" s="3" t="s">
        <v>29</v>
      </c>
      <c r="D1349" s="3" t="s">
        <v>294</v>
      </c>
      <c r="E1349" s="3">
        <v>570.6</v>
      </c>
      <c r="F1349" s="3" t="s">
        <v>2995</v>
      </c>
      <c r="G1349" s="3" t="s">
        <v>325</v>
      </c>
      <c r="H1349" s="3"/>
    </row>
    <row r="1350" spans="1:8" x14ac:dyDescent="0.25">
      <c r="A1350" s="3" t="s">
        <v>1671</v>
      </c>
      <c r="B1350" s="3" t="s">
        <v>4345</v>
      </c>
      <c r="C1350" s="3" t="s">
        <v>47</v>
      </c>
      <c r="D1350" s="3" t="s">
        <v>303</v>
      </c>
      <c r="E1350" s="3">
        <v>52.46</v>
      </c>
      <c r="F1350" s="3" t="s">
        <v>2973</v>
      </c>
      <c r="G1350" s="3" t="s">
        <v>325</v>
      </c>
      <c r="H1350" s="3" t="s">
        <v>346</v>
      </c>
    </row>
    <row r="1351" spans="1:8" x14ac:dyDescent="0.25">
      <c r="A1351" s="3" t="s">
        <v>1672</v>
      </c>
      <c r="B1351" s="3" t="s">
        <v>4202</v>
      </c>
      <c r="C1351" s="3" t="s">
        <v>29</v>
      </c>
      <c r="D1351" s="3" t="s">
        <v>300</v>
      </c>
      <c r="E1351" s="3">
        <v>525.67999999999995</v>
      </c>
      <c r="F1351" s="3" t="s">
        <v>324</v>
      </c>
      <c r="G1351" s="3" t="s">
        <v>337</v>
      </c>
      <c r="H1351" s="3"/>
    </row>
    <row r="1352" spans="1:8" x14ac:dyDescent="0.25">
      <c r="A1352" s="3" t="s">
        <v>1673</v>
      </c>
      <c r="B1352" s="3" t="s">
        <v>3091</v>
      </c>
      <c r="C1352" s="3" t="s">
        <v>29</v>
      </c>
      <c r="D1352" s="3" t="s">
        <v>297</v>
      </c>
      <c r="E1352" s="3">
        <v>100.32</v>
      </c>
      <c r="F1352" s="3" t="s">
        <v>324</v>
      </c>
      <c r="G1352" s="3"/>
      <c r="H1352" s="3"/>
    </row>
    <row r="1353" spans="1:8" x14ac:dyDescent="0.25">
      <c r="A1353" s="3" t="s">
        <v>1674</v>
      </c>
      <c r="B1353" s="3" t="s">
        <v>3409</v>
      </c>
      <c r="C1353" s="3" t="s">
        <v>209</v>
      </c>
      <c r="D1353" s="3" t="s">
        <v>300</v>
      </c>
      <c r="E1353" s="3" t="s">
        <v>4365</v>
      </c>
      <c r="F1353" s="3" t="s">
        <v>2976</v>
      </c>
      <c r="G1353" s="3" t="s">
        <v>325</v>
      </c>
      <c r="H1353" s="3" t="s">
        <v>346</v>
      </c>
    </row>
    <row r="1354" spans="1:8" x14ac:dyDescent="0.25">
      <c r="A1354" s="3" t="s">
        <v>1675</v>
      </c>
      <c r="B1354" s="3" t="s">
        <v>4259</v>
      </c>
      <c r="C1354" s="3" t="s">
        <v>159</v>
      </c>
      <c r="D1354" s="3" t="s">
        <v>297</v>
      </c>
      <c r="E1354" s="3">
        <v>512.23</v>
      </c>
      <c r="F1354" s="3" t="s">
        <v>324</v>
      </c>
      <c r="G1354" s="3" t="s">
        <v>325</v>
      </c>
      <c r="H1354" s="3"/>
    </row>
    <row r="1355" spans="1:8" x14ac:dyDescent="0.25">
      <c r="A1355" s="3" t="s">
        <v>1676</v>
      </c>
      <c r="B1355" s="3" t="s">
        <v>4366</v>
      </c>
      <c r="C1355" s="3" t="s">
        <v>100</v>
      </c>
      <c r="D1355" s="3" t="s">
        <v>315</v>
      </c>
      <c r="E1355" s="3">
        <v>73.7</v>
      </c>
      <c r="F1355" s="3" t="s">
        <v>324</v>
      </c>
      <c r="G1355" s="3" t="s">
        <v>325</v>
      </c>
      <c r="H1355" s="3" t="s">
        <v>332</v>
      </c>
    </row>
    <row r="1356" spans="1:8" x14ac:dyDescent="0.25">
      <c r="A1356" s="3" t="s">
        <v>1677</v>
      </c>
      <c r="B1356" s="3" t="s">
        <v>3201</v>
      </c>
      <c r="C1356" s="3" t="s">
        <v>239</v>
      </c>
      <c r="D1356" s="3" t="s">
        <v>306</v>
      </c>
      <c r="E1356" s="3" t="s">
        <v>4367</v>
      </c>
      <c r="F1356" s="3" t="s">
        <v>331</v>
      </c>
      <c r="G1356" s="3" t="s">
        <v>327</v>
      </c>
      <c r="H1356" s="3"/>
    </row>
    <row r="1357" spans="1:8" x14ac:dyDescent="0.25">
      <c r="A1357" s="3" t="s">
        <v>1678</v>
      </c>
      <c r="B1357" s="3" t="s">
        <v>3315</v>
      </c>
      <c r="C1357" s="3" t="s">
        <v>100</v>
      </c>
      <c r="D1357" s="3" t="s">
        <v>303</v>
      </c>
      <c r="E1357" s="3" t="s">
        <v>4368</v>
      </c>
      <c r="F1357" s="3" t="s">
        <v>324</v>
      </c>
      <c r="G1357" s="3" t="s">
        <v>325</v>
      </c>
      <c r="H1357" s="3"/>
    </row>
    <row r="1358" spans="1:8" x14ac:dyDescent="0.25">
      <c r="A1358" s="3" t="s">
        <v>1679</v>
      </c>
      <c r="B1358" s="3" t="s">
        <v>4369</v>
      </c>
      <c r="C1358" s="3" t="s">
        <v>235</v>
      </c>
      <c r="D1358" s="3" t="s">
        <v>300</v>
      </c>
      <c r="E1358" s="3">
        <v>844.46</v>
      </c>
      <c r="F1358" s="3" t="s">
        <v>324</v>
      </c>
      <c r="G1358" s="3" t="s">
        <v>337</v>
      </c>
      <c r="H1358" s="3"/>
    </row>
    <row r="1359" spans="1:8" x14ac:dyDescent="0.25">
      <c r="A1359" s="3" t="s">
        <v>1680</v>
      </c>
      <c r="B1359" s="3" t="s">
        <v>4370</v>
      </c>
      <c r="C1359" s="3" t="s">
        <v>227</v>
      </c>
      <c r="D1359" s="3" t="s">
        <v>303</v>
      </c>
      <c r="E1359" s="3">
        <v>763.46</v>
      </c>
      <c r="F1359" s="3" t="s">
        <v>324</v>
      </c>
      <c r="G1359" s="3" t="s">
        <v>329</v>
      </c>
      <c r="H1359" s="3"/>
    </row>
    <row r="1360" spans="1:8" x14ac:dyDescent="0.25">
      <c r="A1360" s="3" t="s">
        <v>1681</v>
      </c>
      <c r="B1360" s="3" t="s">
        <v>3153</v>
      </c>
      <c r="C1360" s="3" t="s">
        <v>145</v>
      </c>
      <c r="D1360" s="3" t="s">
        <v>294</v>
      </c>
      <c r="E1360" s="3">
        <v>169.98</v>
      </c>
      <c r="F1360" s="3" t="s">
        <v>324</v>
      </c>
      <c r="G1360" s="3" t="s">
        <v>325</v>
      </c>
      <c r="H1360" s="3"/>
    </row>
    <row r="1361" spans="1:8" x14ac:dyDescent="0.25">
      <c r="A1361" s="3" t="s">
        <v>1682</v>
      </c>
      <c r="B1361" s="3" t="s">
        <v>4371</v>
      </c>
      <c r="C1361" s="3" t="s">
        <v>175</v>
      </c>
      <c r="D1361" s="3" t="s">
        <v>303</v>
      </c>
      <c r="E1361" s="3" t="s">
        <v>4372</v>
      </c>
      <c r="F1361" s="3" t="s">
        <v>324</v>
      </c>
      <c r="G1361" s="3"/>
      <c r="H1361" s="3"/>
    </row>
    <row r="1362" spans="1:8" x14ac:dyDescent="0.25">
      <c r="A1362" s="3" t="s">
        <v>1683</v>
      </c>
      <c r="B1362" s="3" t="s">
        <v>3890</v>
      </c>
      <c r="C1362" s="3" t="s">
        <v>53</v>
      </c>
      <c r="D1362" s="3" t="s">
        <v>297</v>
      </c>
      <c r="E1362" s="3" t="s">
        <v>4373</v>
      </c>
      <c r="F1362" s="3" t="s">
        <v>2997</v>
      </c>
      <c r="G1362" s="3" t="s">
        <v>325</v>
      </c>
      <c r="H1362" s="3"/>
    </row>
    <row r="1363" spans="1:8" x14ac:dyDescent="0.25">
      <c r="A1363" s="3" t="s">
        <v>1684</v>
      </c>
      <c r="B1363" s="3" t="s">
        <v>4122</v>
      </c>
      <c r="C1363" s="3" t="s">
        <v>161</v>
      </c>
      <c r="D1363" s="3" t="s">
        <v>300</v>
      </c>
      <c r="E1363" s="3" t="s">
        <v>4374</v>
      </c>
      <c r="F1363" s="3" t="s">
        <v>324</v>
      </c>
      <c r="G1363" s="3" t="s">
        <v>327</v>
      </c>
      <c r="H1363" s="3"/>
    </row>
    <row r="1364" spans="1:8" x14ac:dyDescent="0.25">
      <c r="A1364" s="3" t="s">
        <v>1685</v>
      </c>
      <c r="B1364" s="3" t="s">
        <v>4375</v>
      </c>
      <c r="C1364" s="3" t="s">
        <v>19</v>
      </c>
      <c r="D1364" s="3" t="s">
        <v>297</v>
      </c>
      <c r="E1364" s="3">
        <v>188.74</v>
      </c>
      <c r="F1364" s="3" t="s">
        <v>324</v>
      </c>
      <c r="G1364" s="3" t="s">
        <v>329</v>
      </c>
      <c r="H1364" s="3"/>
    </row>
    <row r="1365" spans="1:8" x14ac:dyDescent="0.25">
      <c r="A1365" s="3" t="s">
        <v>1686</v>
      </c>
      <c r="B1365" s="3" t="s">
        <v>3709</v>
      </c>
      <c r="C1365" s="3" t="s">
        <v>100</v>
      </c>
      <c r="D1365" s="3" t="s">
        <v>294</v>
      </c>
      <c r="E1365" s="3">
        <v>188.25</v>
      </c>
      <c r="F1365" s="3" t="s">
        <v>324</v>
      </c>
      <c r="G1365" s="3" t="s">
        <v>325</v>
      </c>
      <c r="H1365" s="3"/>
    </row>
    <row r="1366" spans="1:8" x14ac:dyDescent="0.25">
      <c r="A1366" s="3" t="s">
        <v>1687</v>
      </c>
      <c r="B1366" s="3" t="s">
        <v>3311</v>
      </c>
      <c r="C1366" s="3" t="s">
        <v>86</v>
      </c>
      <c r="D1366" s="3" t="s">
        <v>297</v>
      </c>
      <c r="E1366" s="3">
        <v>408.66</v>
      </c>
      <c r="F1366" s="3" t="s">
        <v>2976</v>
      </c>
      <c r="G1366" s="3" t="s">
        <v>337</v>
      </c>
      <c r="H1366" s="3"/>
    </row>
    <row r="1367" spans="1:8" x14ac:dyDescent="0.25">
      <c r="A1367" s="3" t="s">
        <v>1688</v>
      </c>
      <c r="B1367" s="3" t="s">
        <v>3771</v>
      </c>
      <c r="C1367" s="3" t="s">
        <v>259</v>
      </c>
      <c r="D1367" s="3" t="s">
        <v>300</v>
      </c>
      <c r="E1367" s="3">
        <v>388.52</v>
      </c>
      <c r="F1367" s="3" t="s">
        <v>2976</v>
      </c>
      <c r="G1367" s="3" t="s">
        <v>327</v>
      </c>
      <c r="H1367" s="3" t="s">
        <v>346</v>
      </c>
    </row>
    <row r="1368" spans="1:8" x14ac:dyDescent="0.25">
      <c r="A1368" s="3" t="s">
        <v>1689</v>
      </c>
      <c r="B1368" s="3" t="s">
        <v>3521</v>
      </c>
      <c r="C1368" s="3" t="s">
        <v>125</v>
      </c>
      <c r="D1368" s="3" t="s">
        <v>303</v>
      </c>
      <c r="E1368" s="3" t="s">
        <v>4376</v>
      </c>
      <c r="F1368" s="3" t="s">
        <v>2995</v>
      </c>
      <c r="G1368" s="3" t="s">
        <v>329</v>
      </c>
      <c r="H1368" s="3" t="s">
        <v>334</v>
      </c>
    </row>
    <row r="1369" spans="1:8" x14ac:dyDescent="0.25">
      <c r="A1369" s="3" t="s">
        <v>1690</v>
      </c>
      <c r="B1369" s="3" t="s">
        <v>4099</v>
      </c>
      <c r="C1369" s="3" t="s">
        <v>255</v>
      </c>
      <c r="D1369" s="3" t="s">
        <v>294</v>
      </c>
      <c r="E1369" s="3" t="s">
        <v>4377</v>
      </c>
      <c r="F1369" s="3" t="s">
        <v>2995</v>
      </c>
      <c r="G1369" s="3" t="s">
        <v>325</v>
      </c>
      <c r="H1369" s="3" t="s">
        <v>334</v>
      </c>
    </row>
    <row r="1370" spans="1:8" x14ac:dyDescent="0.25">
      <c r="A1370" s="3" t="s">
        <v>1691</v>
      </c>
      <c r="B1370" s="3" t="s">
        <v>3315</v>
      </c>
      <c r="C1370" s="3" t="s">
        <v>159</v>
      </c>
      <c r="D1370" s="3" t="s">
        <v>294</v>
      </c>
      <c r="E1370" s="3">
        <v>104.34</v>
      </c>
      <c r="F1370" s="3" t="s">
        <v>324</v>
      </c>
      <c r="G1370" s="3" t="s">
        <v>337</v>
      </c>
      <c r="H1370" s="3" t="s">
        <v>334</v>
      </c>
    </row>
    <row r="1371" spans="1:8" x14ac:dyDescent="0.25">
      <c r="A1371" s="3" t="s">
        <v>1692</v>
      </c>
      <c r="B1371" s="3" t="s">
        <v>3432</v>
      </c>
      <c r="C1371" s="3" t="s">
        <v>98</v>
      </c>
      <c r="D1371" s="3" t="s">
        <v>294</v>
      </c>
      <c r="E1371" s="3">
        <v>780.63</v>
      </c>
      <c r="F1371" s="3" t="s">
        <v>324</v>
      </c>
      <c r="G1371" s="3" t="s">
        <v>325</v>
      </c>
      <c r="H1371" s="3" t="s">
        <v>334</v>
      </c>
    </row>
    <row r="1372" spans="1:8" x14ac:dyDescent="0.25">
      <c r="A1372" s="3" t="s">
        <v>1693</v>
      </c>
      <c r="B1372" s="3" t="s">
        <v>4378</v>
      </c>
      <c r="C1372" s="3" t="s">
        <v>213</v>
      </c>
      <c r="D1372" s="3" t="s">
        <v>300</v>
      </c>
      <c r="E1372" s="3" t="s">
        <v>4379</v>
      </c>
      <c r="F1372" s="3" t="s">
        <v>2976</v>
      </c>
      <c r="G1372" s="3" t="s">
        <v>329</v>
      </c>
      <c r="H1372" s="3" t="s">
        <v>332</v>
      </c>
    </row>
    <row r="1373" spans="1:8" x14ac:dyDescent="0.25">
      <c r="A1373" s="3" t="s">
        <v>1694</v>
      </c>
      <c r="B1373" s="3" t="s">
        <v>3142</v>
      </c>
      <c r="C1373" s="3" t="s">
        <v>88</v>
      </c>
      <c r="D1373" s="3" t="s">
        <v>315</v>
      </c>
      <c r="E1373" s="3" t="s">
        <v>4380</v>
      </c>
      <c r="F1373" s="3" t="s">
        <v>324</v>
      </c>
      <c r="G1373" s="3" t="s">
        <v>327</v>
      </c>
      <c r="H1373" s="3"/>
    </row>
    <row r="1374" spans="1:8" x14ac:dyDescent="0.25">
      <c r="A1374" s="3" t="s">
        <v>1695</v>
      </c>
      <c r="B1374" s="3" t="s">
        <v>3886</v>
      </c>
      <c r="C1374" s="3" t="s">
        <v>193</v>
      </c>
      <c r="D1374" s="3" t="s">
        <v>315</v>
      </c>
      <c r="E1374" s="3">
        <v>-887.5</v>
      </c>
      <c r="F1374" s="3" t="s">
        <v>3060</v>
      </c>
      <c r="G1374" s="3" t="s">
        <v>325</v>
      </c>
      <c r="H1374" s="3" t="s">
        <v>332</v>
      </c>
    </row>
    <row r="1375" spans="1:8" x14ac:dyDescent="0.25">
      <c r="A1375" s="3" t="s">
        <v>1696</v>
      </c>
      <c r="B1375" s="3" t="s">
        <v>3689</v>
      </c>
      <c r="C1375" s="3" t="s">
        <v>98</v>
      </c>
      <c r="D1375" s="3" t="s">
        <v>294</v>
      </c>
      <c r="E1375" s="3">
        <v>318.55</v>
      </c>
      <c r="F1375" s="3" t="s">
        <v>331</v>
      </c>
      <c r="G1375" s="3" t="s">
        <v>327</v>
      </c>
      <c r="H1375" s="3"/>
    </row>
    <row r="1376" spans="1:8" x14ac:dyDescent="0.25">
      <c r="A1376" s="3" t="s">
        <v>1697</v>
      </c>
      <c r="B1376" s="3" t="s">
        <v>4381</v>
      </c>
      <c r="C1376" s="3" t="s">
        <v>253</v>
      </c>
      <c r="D1376" s="3" t="s">
        <v>306</v>
      </c>
      <c r="E1376" s="3">
        <v>338.65</v>
      </c>
      <c r="F1376" s="3" t="s">
        <v>2988</v>
      </c>
      <c r="G1376" s="3"/>
      <c r="H1376" s="3" t="s">
        <v>332</v>
      </c>
    </row>
    <row r="1377" spans="1:8" x14ac:dyDescent="0.25">
      <c r="A1377" s="3" t="s">
        <v>1698</v>
      </c>
      <c r="B1377" s="3" t="s">
        <v>3847</v>
      </c>
      <c r="C1377" s="3" t="s">
        <v>171</v>
      </c>
      <c r="D1377" s="3" t="s">
        <v>294</v>
      </c>
      <c r="E1377" s="3">
        <v>226.25</v>
      </c>
      <c r="F1377" s="3" t="s">
        <v>381</v>
      </c>
      <c r="G1377" s="3" t="s">
        <v>337</v>
      </c>
      <c r="H1377" s="3"/>
    </row>
    <row r="1378" spans="1:8" x14ac:dyDescent="0.25">
      <c r="A1378" s="3" t="s">
        <v>1699</v>
      </c>
      <c r="B1378" s="3" t="s">
        <v>3380</v>
      </c>
      <c r="C1378" s="3" t="s">
        <v>35</v>
      </c>
      <c r="D1378" s="3" t="s">
        <v>309</v>
      </c>
      <c r="E1378" s="3">
        <v>281.33</v>
      </c>
      <c r="F1378" s="3" t="s">
        <v>2973</v>
      </c>
      <c r="G1378" s="3" t="s">
        <v>337</v>
      </c>
      <c r="H1378" s="3"/>
    </row>
    <row r="1379" spans="1:8" x14ac:dyDescent="0.25">
      <c r="A1379" s="3" t="s">
        <v>1700</v>
      </c>
      <c r="B1379" s="3" t="s">
        <v>3608</v>
      </c>
      <c r="C1379" s="3" t="s">
        <v>123</v>
      </c>
      <c r="D1379" s="3" t="s">
        <v>312</v>
      </c>
      <c r="E1379" s="3" t="s">
        <v>4382</v>
      </c>
      <c r="F1379" s="3" t="s">
        <v>2976</v>
      </c>
      <c r="G1379" s="3" t="s">
        <v>337</v>
      </c>
      <c r="H1379" s="3" t="s">
        <v>346</v>
      </c>
    </row>
    <row r="1380" spans="1:8" x14ac:dyDescent="0.25">
      <c r="A1380" s="3" t="s">
        <v>1701</v>
      </c>
      <c r="B1380" s="3" t="s">
        <v>4383</v>
      </c>
      <c r="C1380" s="3" t="s">
        <v>251</v>
      </c>
      <c r="D1380" s="3" t="s">
        <v>300</v>
      </c>
      <c r="E1380" s="3">
        <v>424.94</v>
      </c>
      <c r="F1380" s="3" t="s">
        <v>3097</v>
      </c>
      <c r="G1380" s="3" t="s">
        <v>325</v>
      </c>
      <c r="H1380" s="3" t="s">
        <v>346</v>
      </c>
    </row>
    <row r="1381" spans="1:8" x14ac:dyDescent="0.25">
      <c r="A1381" s="3" t="s">
        <v>1702</v>
      </c>
      <c r="B1381" s="3" t="s">
        <v>4384</v>
      </c>
      <c r="C1381" s="3" t="s">
        <v>107</v>
      </c>
      <c r="D1381" s="3" t="s">
        <v>294</v>
      </c>
      <c r="E1381" s="3">
        <v>131.97999999999999</v>
      </c>
      <c r="F1381" s="3" t="s">
        <v>324</v>
      </c>
      <c r="G1381" s="3" t="s">
        <v>327</v>
      </c>
      <c r="H1381" s="3" t="s">
        <v>334</v>
      </c>
    </row>
    <row r="1382" spans="1:8" x14ac:dyDescent="0.25">
      <c r="A1382" s="3" t="s">
        <v>1703</v>
      </c>
      <c r="B1382" s="3" t="s">
        <v>4385</v>
      </c>
      <c r="C1382" s="3" t="s">
        <v>47</v>
      </c>
      <c r="D1382" s="3" t="s">
        <v>300</v>
      </c>
      <c r="E1382" s="3" t="s">
        <v>4386</v>
      </c>
      <c r="F1382" s="3" t="s">
        <v>324</v>
      </c>
      <c r="G1382" s="3" t="s">
        <v>325</v>
      </c>
      <c r="H1382" s="3" t="s">
        <v>334</v>
      </c>
    </row>
    <row r="1383" spans="1:8" x14ac:dyDescent="0.25">
      <c r="A1383" s="3" t="s">
        <v>1704</v>
      </c>
      <c r="B1383" s="3" t="s">
        <v>3656</v>
      </c>
      <c r="C1383" s="3" t="s">
        <v>275</v>
      </c>
      <c r="D1383" s="3" t="s">
        <v>294</v>
      </c>
      <c r="E1383" s="3">
        <v>390.18</v>
      </c>
      <c r="F1383" s="3" t="s">
        <v>2995</v>
      </c>
      <c r="G1383" s="3" t="s">
        <v>337</v>
      </c>
      <c r="H1383" s="3" t="s">
        <v>346</v>
      </c>
    </row>
    <row r="1384" spans="1:8" x14ac:dyDescent="0.25">
      <c r="A1384" s="3" t="s">
        <v>1705</v>
      </c>
      <c r="B1384" s="3" t="s">
        <v>3910</v>
      </c>
      <c r="C1384" s="3" t="s">
        <v>261</v>
      </c>
      <c r="D1384" s="3" t="s">
        <v>300</v>
      </c>
      <c r="E1384" s="3">
        <v>402.2</v>
      </c>
      <c r="F1384" s="3" t="s">
        <v>2976</v>
      </c>
      <c r="G1384" s="3" t="s">
        <v>325</v>
      </c>
      <c r="H1384" s="3"/>
    </row>
    <row r="1385" spans="1:8" x14ac:dyDescent="0.25">
      <c r="A1385" s="3" t="s">
        <v>1706</v>
      </c>
      <c r="B1385" s="3" t="s">
        <v>3444</v>
      </c>
      <c r="C1385" s="3" t="s">
        <v>86</v>
      </c>
      <c r="D1385" s="3" t="s">
        <v>294</v>
      </c>
      <c r="E1385" s="3">
        <v>985.36</v>
      </c>
      <c r="F1385" s="3" t="s">
        <v>2995</v>
      </c>
      <c r="G1385" s="3" t="s">
        <v>325</v>
      </c>
      <c r="H1385" s="3"/>
    </row>
    <row r="1386" spans="1:8" x14ac:dyDescent="0.25">
      <c r="A1386" s="3" t="s">
        <v>1707</v>
      </c>
      <c r="B1386" s="3" t="s">
        <v>4173</v>
      </c>
      <c r="C1386" s="3" t="s">
        <v>235</v>
      </c>
      <c r="D1386" s="3" t="s">
        <v>309</v>
      </c>
      <c r="E1386" s="3">
        <v>887.96</v>
      </c>
      <c r="F1386" s="3" t="s">
        <v>331</v>
      </c>
      <c r="G1386" s="3" t="s">
        <v>327</v>
      </c>
      <c r="H1386" s="3"/>
    </row>
    <row r="1387" spans="1:8" x14ac:dyDescent="0.25">
      <c r="A1387" s="3" t="s">
        <v>1708</v>
      </c>
      <c r="B1387" s="3" t="s">
        <v>4387</v>
      </c>
      <c r="C1387" s="3" t="s">
        <v>53</v>
      </c>
      <c r="D1387" s="3" t="s">
        <v>294</v>
      </c>
      <c r="E1387" s="3">
        <v>1066.1500000000001</v>
      </c>
      <c r="F1387" s="3" t="s">
        <v>2995</v>
      </c>
      <c r="G1387" s="3" t="s">
        <v>325</v>
      </c>
      <c r="H1387" s="3" t="s">
        <v>334</v>
      </c>
    </row>
    <row r="1388" spans="1:8" x14ac:dyDescent="0.25">
      <c r="A1388" s="3" t="s">
        <v>1709</v>
      </c>
      <c r="B1388" s="3" t="s">
        <v>4006</v>
      </c>
      <c r="C1388" s="3" t="s">
        <v>109</v>
      </c>
      <c r="D1388" s="3" t="s">
        <v>294</v>
      </c>
      <c r="E1388" s="3">
        <v>625.08000000000004</v>
      </c>
      <c r="F1388" s="3" t="s">
        <v>324</v>
      </c>
      <c r="G1388" s="3" t="s">
        <v>327</v>
      </c>
      <c r="H1388" s="3"/>
    </row>
    <row r="1389" spans="1:8" x14ac:dyDescent="0.25">
      <c r="A1389" s="3" t="s">
        <v>1710</v>
      </c>
      <c r="B1389" s="3" t="s">
        <v>4388</v>
      </c>
      <c r="C1389" s="3" t="s">
        <v>42</v>
      </c>
      <c r="D1389" s="3" t="s">
        <v>309</v>
      </c>
      <c r="E1389" s="3" t="s">
        <v>4389</v>
      </c>
      <c r="F1389" s="3" t="s">
        <v>324</v>
      </c>
      <c r="G1389" s="3" t="s">
        <v>327</v>
      </c>
      <c r="H1389" s="3"/>
    </row>
    <row r="1390" spans="1:8" x14ac:dyDescent="0.25">
      <c r="A1390" s="3" t="s">
        <v>456</v>
      </c>
      <c r="B1390" s="3" t="s">
        <v>3150</v>
      </c>
      <c r="C1390" s="3" t="s">
        <v>165</v>
      </c>
      <c r="D1390" s="3" t="s">
        <v>306</v>
      </c>
      <c r="E1390" s="3" t="s">
        <v>3151</v>
      </c>
      <c r="F1390" s="3" t="s">
        <v>2973</v>
      </c>
      <c r="G1390" s="3" t="s">
        <v>325</v>
      </c>
      <c r="H1390" s="3"/>
    </row>
    <row r="1391" spans="1:8" x14ac:dyDescent="0.25">
      <c r="A1391" s="3" t="s">
        <v>1711</v>
      </c>
      <c r="B1391" s="3" t="s">
        <v>3492</v>
      </c>
      <c r="C1391" s="3" t="s">
        <v>51</v>
      </c>
      <c r="D1391" s="3" t="s">
        <v>294</v>
      </c>
      <c r="E1391" s="3" t="s">
        <v>4390</v>
      </c>
      <c r="F1391" s="3" t="s">
        <v>2973</v>
      </c>
      <c r="G1391" s="3" t="s">
        <v>325</v>
      </c>
      <c r="H1391" s="3"/>
    </row>
    <row r="1392" spans="1:8" x14ac:dyDescent="0.25">
      <c r="A1392" s="3" t="s">
        <v>1712</v>
      </c>
      <c r="B1392" s="3" t="s">
        <v>3146</v>
      </c>
      <c r="C1392" s="3" t="s">
        <v>263</v>
      </c>
      <c r="D1392" s="3" t="s">
        <v>294</v>
      </c>
      <c r="E1392" s="3">
        <v>491.05</v>
      </c>
      <c r="F1392" s="3" t="s">
        <v>324</v>
      </c>
      <c r="G1392" s="3" t="s">
        <v>327</v>
      </c>
      <c r="H1392" s="3"/>
    </row>
    <row r="1393" spans="1:8" x14ac:dyDescent="0.25">
      <c r="A1393" s="3" t="s">
        <v>1713</v>
      </c>
      <c r="B1393" s="3" t="s">
        <v>3533</v>
      </c>
      <c r="C1393" s="3" t="s">
        <v>209</v>
      </c>
      <c r="D1393" s="3" t="s">
        <v>294</v>
      </c>
      <c r="E1393" s="3">
        <v>579.04</v>
      </c>
      <c r="F1393" s="3" t="s">
        <v>2973</v>
      </c>
      <c r="G1393" s="3" t="s">
        <v>329</v>
      </c>
      <c r="H1393" s="3" t="s">
        <v>334</v>
      </c>
    </row>
    <row r="1394" spans="1:8" x14ac:dyDescent="0.25">
      <c r="A1394" s="3" t="s">
        <v>1714</v>
      </c>
      <c r="B1394" s="3" t="s">
        <v>4391</v>
      </c>
      <c r="C1394" s="3" t="s">
        <v>84</v>
      </c>
      <c r="D1394" s="3" t="s">
        <v>294</v>
      </c>
      <c r="E1394" s="3">
        <v>292.66000000000003</v>
      </c>
      <c r="F1394" s="3" t="s">
        <v>2995</v>
      </c>
      <c r="G1394" s="3" t="s">
        <v>337</v>
      </c>
      <c r="H1394" s="3" t="s">
        <v>346</v>
      </c>
    </row>
    <row r="1395" spans="1:8" x14ac:dyDescent="0.25">
      <c r="A1395" s="3" t="s">
        <v>1715</v>
      </c>
      <c r="B1395" s="3" t="s">
        <v>4353</v>
      </c>
      <c r="C1395" s="3" t="s">
        <v>191</v>
      </c>
      <c r="D1395" s="3" t="s">
        <v>300</v>
      </c>
      <c r="E1395" s="3" t="s">
        <v>4392</v>
      </c>
      <c r="F1395" s="3" t="s">
        <v>2995</v>
      </c>
      <c r="G1395" s="3" t="s">
        <v>327</v>
      </c>
      <c r="H1395" s="3" t="s">
        <v>346</v>
      </c>
    </row>
    <row r="1396" spans="1:8" x14ac:dyDescent="0.25">
      <c r="A1396" s="3" t="s">
        <v>1716</v>
      </c>
      <c r="B1396" s="3" t="s">
        <v>4330</v>
      </c>
      <c r="C1396" s="3" t="s">
        <v>90</v>
      </c>
      <c r="D1396" s="3" t="s">
        <v>297</v>
      </c>
      <c r="E1396" s="3" t="s">
        <v>4393</v>
      </c>
      <c r="F1396" s="3" t="s">
        <v>349</v>
      </c>
      <c r="G1396" s="3"/>
      <c r="H1396" s="3" t="s">
        <v>332</v>
      </c>
    </row>
    <row r="1397" spans="1:8" x14ac:dyDescent="0.25">
      <c r="A1397" s="3" t="s">
        <v>1717</v>
      </c>
      <c r="B1397" s="3" t="s">
        <v>4012</v>
      </c>
      <c r="C1397" s="3" t="s">
        <v>241</v>
      </c>
      <c r="D1397" s="3" t="s">
        <v>315</v>
      </c>
      <c r="E1397" s="3">
        <v>807.3</v>
      </c>
      <c r="F1397" s="3" t="s">
        <v>3037</v>
      </c>
      <c r="G1397" s="3" t="s">
        <v>327</v>
      </c>
      <c r="H1397" s="3"/>
    </row>
    <row r="1398" spans="1:8" x14ac:dyDescent="0.25">
      <c r="A1398" s="3" t="s">
        <v>1718</v>
      </c>
      <c r="B1398" s="3" t="s">
        <v>3098</v>
      </c>
      <c r="C1398" s="3" t="s">
        <v>6</v>
      </c>
      <c r="D1398" s="3" t="s">
        <v>300</v>
      </c>
      <c r="E1398" s="3" t="s">
        <v>4394</v>
      </c>
      <c r="F1398" s="3" t="s">
        <v>324</v>
      </c>
      <c r="G1398" s="3" t="s">
        <v>327</v>
      </c>
      <c r="H1398" s="3"/>
    </row>
    <row r="1399" spans="1:8" x14ac:dyDescent="0.25">
      <c r="A1399" s="3" t="s">
        <v>1719</v>
      </c>
      <c r="B1399" s="3" t="s">
        <v>4122</v>
      </c>
      <c r="C1399" s="3" t="s">
        <v>251</v>
      </c>
      <c r="D1399" s="3" t="s">
        <v>300</v>
      </c>
      <c r="E1399" s="3" t="s">
        <v>4395</v>
      </c>
      <c r="F1399" s="3" t="s">
        <v>2976</v>
      </c>
      <c r="G1399" s="3" t="s">
        <v>325</v>
      </c>
      <c r="H1399" s="3" t="s">
        <v>332</v>
      </c>
    </row>
    <row r="1400" spans="1:8" x14ac:dyDescent="0.25">
      <c r="A1400" s="3" t="s">
        <v>1720</v>
      </c>
      <c r="B1400" s="3" t="s">
        <v>3305</v>
      </c>
      <c r="C1400" s="3" t="s">
        <v>55</v>
      </c>
      <c r="D1400" s="3" t="s">
        <v>300</v>
      </c>
      <c r="E1400" s="3" t="s">
        <v>4396</v>
      </c>
      <c r="F1400" s="3" t="s">
        <v>2980</v>
      </c>
      <c r="G1400" s="3" t="s">
        <v>325</v>
      </c>
      <c r="H1400" s="3" t="s">
        <v>332</v>
      </c>
    </row>
    <row r="1401" spans="1:8" x14ac:dyDescent="0.25">
      <c r="A1401" s="3" t="s">
        <v>1721</v>
      </c>
      <c r="B1401" s="3" t="s">
        <v>3871</v>
      </c>
      <c r="C1401" s="3" t="s">
        <v>253</v>
      </c>
      <c r="D1401" s="3" t="s">
        <v>297</v>
      </c>
      <c r="E1401" s="3">
        <v>1143.32</v>
      </c>
      <c r="F1401" s="3" t="s">
        <v>2988</v>
      </c>
      <c r="G1401" s="3" t="s">
        <v>327</v>
      </c>
      <c r="H1401" s="3"/>
    </row>
    <row r="1402" spans="1:8" x14ac:dyDescent="0.25">
      <c r="A1402" s="3" t="s">
        <v>1722</v>
      </c>
      <c r="B1402" s="3" t="s">
        <v>4397</v>
      </c>
      <c r="C1402" s="3" t="s">
        <v>141</v>
      </c>
      <c r="D1402" s="3" t="s">
        <v>315</v>
      </c>
      <c r="E1402" s="3" t="s">
        <v>4398</v>
      </c>
      <c r="F1402" s="3" t="s">
        <v>324</v>
      </c>
      <c r="G1402" s="3" t="s">
        <v>327</v>
      </c>
      <c r="H1402" s="3" t="s">
        <v>332</v>
      </c>
    </row>
    <row r="1403" spans="1:8" x14ac:dyDescent="0.25">
      <c r="A1403" s="3" t="s">
        <v>1723</v>
      </c>
      <c r="B1403" s="3" t="s">
        <v>4399</v>
      </c>
      <c r="C1403" s="3" t="s">
        <v>42</v>
      </c>
      <c r="D1403" s="3" t="s">
        <v>294</v>
      </c>
      <c r="E1403" s="3">
        <v>794.43</v>
      </c>
      <c r="F1403" s="3" t="s">
        <v>2995</v>
      </c>
      <c r="G1403" s="3"/>
      <c r="H1403" s="3"/>
    </row>
    <row r="1404" spans="1:8" x14ac:dyDescent="0.25">
      <c r="A1404" s="3" t="s">
        <v>1724</v>
      </c>
      <c r="B1404" s="3" t="s">
        <v>4400</v>
      </c>
      <c r="C1404" s="3" t="s">
        <v>241</v>
      </c>
      <c r="D1404" s="3" t="s">
        <v>315</v>
      </c>
      <c r="E1404" s="3">
        <v>418.59</v>
      </c>
      <c r="F1404" s="3" t="s">
        <v>2988</v>
      </c>
      <c r="G1404" s="3" t="s">
        <v>327</v>
      </c>
      <c r="H1404" s="3"/>
    </row>
    <row r="1405" spans="1:8" x14ac:dyDescent="0.25">
      <c r="A1405" s="3" t="s">
        <v>1725</v>
      </c>
      <c r="B1405" s="3" t="s">
        <v>3405</v>
      </c>
      <c r="C1405" s="3" t="s">
        <v>119</v>
      </c>
      <c r="D1405" s="3" t="s">
        <v>300</v>
      </c>
      <c r="E1405" s="3">
        <v>520.11</v>
      </c>
      <c r="F1405" s="3" t="s">
        <v>2973</v>
      </c>
      <c r="G1405" s="3" t="s">
        <v>337</v>
      </c>
      <c r="H1405" s="3" t="s">
        <v>334</v>
      </c>
    </row>
    <row r="1406" spans="1:8" x14ac:dyDescent="0.25">
      <c r="A1406" s="3" t="s">
        <v>1726</v>
      </c>
      <c r="B1406" s="3" t="s">
        <v>4159</v>
      </c>
      <c r="C1406" s="3" t="s">
        <v>155</v>
      </c>
      <c r="D1406" s="3" t="s">
        <v>294</v>
      </c>
      <c r="E1406" s="3">
        <v>38.69</v>
      </c>
      <c r="F1406" s="3" t="s">
        <v>324</v>
      </c>
      <c r="G1406" s="3" t="s">
        <v>327</v>
      </c>
      <c r="H1406" s="3"/>
    </row>
    <row r="1407" spans="1:8" x14ac:dyDescent="0.25">
      <c r="A1407" s="3" t="s">
        <v>1727</v>
      </c>
      <c r="B1407" s="3" t="s">
        <v>4401</v>
      </c>
      <c r="C1407" s="3" t="s">
        <v>396</v>
      </c>
      <c r="D1407" s="3" t="s">
        <v>294</v>
      </c>
      <c r="E1407" s="3" t="s">
        <v>4402</v>
      </c>
      <c r="F1407" s="3" t="s">
        <v>2988</v>
      </c>
      <c r="G1407" s="3" t="s">
        <v>327</v>
      </c>
      <c r="H1407" s="3" t="s">
        <v>332</v>
      </c>
    </row>
    <row r="1408" spans="1:8" x14ac:dyDescent="0.25">
      <c r="A1408" s="3" t="s">
        <v>1728</v>
      </c>
      <c r="B1408" s="3" t="s">
        <v>4403</v>
      </c>
      <c r="C1408" s="3" t="s">
        <v>205</v>
      </c>
      <c r="D1408" s="3" t="s">
        <v>315</v>
      </c>
      <c r="E1408" s="3">
        <v>368.31</v>
      </c>
      <c r="F1408" s="3" t="s">
        <v>324</v>
      </c>
      <c r="G1408" s="3" t="s">
        <v>329</v>
      </c>
      <c r="H1408" s="3" t="s">
        <v>332</v>
      </c>
    </row>
    <row r="1409" spans="1:8" x14ac:dyDescent="0.25">
      <c r="A1409" s="3" t="s">
        <v>1729</v>
      </c>
      <c r="B1409" s="3" t="s">
        <v>3812</v>
      </c>
      <c r="C1409" s="3" t="s">
        <v>191</v>
      </c>
      <c r="D1409" s="3" t="s">
        <v>294</v>
      </c>
      <c r="E1409" s="3">
        <v>818.41</v>
      </c>
      <c r="F1409" s="3" t="s">
        <v>2973</v>
      </c>
      <c r="G1409" s="3" t="s">
        <v>327</v>
      </c>
      <c r="H1409" s="3"/>
    </row>
    <row r="1410" spans="1:8" x14ac:dyDescent="0.25">
      <c r="A1410" s="3" t="s">
        <v>1730</v>
      </c>
      <c r="B1410" s="3" t="s">
        <v>4127</v>
      </c>
      <c r="C1410" s="3" t="s">
        <v>169</v>
      </c>
      <c r="D1410" s="3" t="s">
        <v>294</v>
      </c>
      <c r="E1410" s="3">
        <v>256.33</v>
      </c>
      <c r="F1410" s="3" t="s">
        <v>324</v>
      </c>
      <c r="G1410" s="3" t="s">
        <v>327</v>
      </c>
      <c r="H1410" s="3"/>
    </row>
    <row r="1411" spans="1:8" x14ac:dyDescent="0.25">
      <c r="A1411" s="3" t="s">
        <v>1731</v>
      </c>
      <c r="B1411" s="3" t="s">
        <v>3448</v>
      </c>
      <c r="C1411" s="3" t="s">
        <v>42</v>
      </c>
      <c r="D1411" s="3" t="s">
        <v>303</v>
      </c>
      <c r="E1411" s="3" t="s">
        <v>4404</v>
      </c>
      <c r="F1411" s="3" t="s">
        <v>324</v>
      </c>
      <c r="G1411" s="3" t="s">
        <v>327</v>
      </c>
      <c r="H1411" s="3"/>
    </row>
    <row r="1412" spans="1:8" x14ac:dyDescent="0.25">
      <c r="A1412" s="3" t="s">
        <v>1732</v>
      </c>
      <c r="B1412" s="3" t="s">
        <v>4405</v>
      </c>
      <c r="C1412" s="3" t="s">
        <v>179</v>
      </c>
      <c r="D1412" s="3" t="s">
        <v>309</v>
      </c>
      <c r="E1412" s="3">
        <v>355.49</v>
      </c>
      <c r="F1412" s="3" t="s">
        <v>324</v>
      </c>
      <c r="G1412" s="3"/>
      <c r="H1412" s="3" t="s">
        <v>346</v>
      </c>
    </row>
    <row r="1413" spans="1:8" x14ac:dyDescent="0.25">
      <c r="A1413" s="3" t="s">
        <v>1733</v>
      </c>
      <c r="B1413" s="3" t="s">
        <v>4356</v>
      </c>
      <c r="C1413" s="3" t="s">
        <v>189</v>
      </c>
      <c r="D1413" s="3" t="s">
        <v>300</v>
      </c>
      <c r="E1413" s="3" t="s">
        <v>4406</v>
      </c>
      <c r="F1413" s="3" t="s">
        <v>324</v>
      </c>
      <c r="G1413" s="3" t="s">
        <v>327</v>
      </c>
      <c r="H1413" s="3" t="s">
        <v>346</v>
      </c>
    </row>
    <row r="1414" spans="1:8" x14ac:dyDescent="0.25">
      <c r="A1414" s="3" t="s">
        <v>1734</v>
      </c>
      <c r="B1414" s="3" t="s">
        <v>4407</v>
      </c>
      <c r="C1414" s="3" t="s">
        <v>396</v>
      </c>
      <c r="D1414" s="3" t="s">
        <v>294</v>
      </c>
      <c r="E1414" s="3" t="s">
        <v>4408</v>
      </c>
      <c r="F1414" s="3" t="s">
        <v>324</v>
      </c>
      <c r="G1414" s="3" t="s">
        <v>329</v>
      </c>
      <c r="H1414" s="3"/>
    </row>
    <row r="1415" spans="1:8" x14ac:dyDescent="0.25">
      <c r="A1415" s="3" t="s">
        <v>1735</v>
      </c>
      <c r="B1415" s="3" t="s">
        <v>3359</v>
      </c>
      <c r="C1415" s="3" t="s">
        <v>187</v>
      </c>
      <c r="D1415" s="3" t="s">
        <v>303</v>
      </c>
      <c r="E1415" s="3" t="s">
        <v>4409</v>
      </c>
      <c r="F1415" s="3" t="s">
        <v>2976</v>
      </c>
      <c r="G1415" s="3" t="s">
        <v>325</v>
      </c>
      <c r="H1415" s="3" t="s">
        <v>332</v>
      </c>
    </row>
    <row r="1416" spans="1:8" x14ac:dyDescent="0.25">
      <c r="A1416" s="3" t="s">
        <v>1736</v>
      </c>
      <c r="B1416" s="3" t="s">
        <v>3459</v>
      </c>
      <c r="C1416" s="3" t="s">
        <v>98</v>
      </c>
      <c r="D1416" s="3" t="s">
        <v>315</v>
      </c>
      <c r="E1416" s="3">
        <v>166.3</v>
      </c>
      <c r="F1416" s="3" t="s">
        <v>324</v>
      </c>
      <c r="G1416" s="3" t="s">
        <v>325</v>
      </c>
      <c r="H1416" s="3" t="s">
        <v>346</v>
      </c>
    </row>
    <row r="1417" spans="1:8" x14ac:dyDescent="0.25">
      <c r="A1417" s="3" t="s">
        <v>1737</v>
      </c>
      <c r="B1417" s="3" t="s">
        <v>4410</v>
      </c>
      <c r="C1417" s="3" t="s">
        <v>42</v>
      </c>
      <c r="D1417" s="3" t="s">
        <v>297</v>
      </c>
      <c r="E1417" s="3" t="s">
        <v>4411</v>
      </c>
      <c r="F1417" s="3" t="s">
        <v>324</v>
      </c>
      <c r="G1417" s="3" t="s">
        <v>327</v>
      </c>
      <c r="H1417" s="3" t="s">
        <v>346</v>
      </c>
    </row>
    <row r="1418" spans="1:8" x14ac:dyDescent="0.25">
      <c r="A1418" s="3" t="s">
        <v>1738</v>
      </c>
      <c r="B1418" s="3" t="s">
        <v>3392</v>
      </c>
      <c r="C1418" s="3" t="s">
        <v>135</v>
      </c>
      <c r="D1418" s="3" t="s">
        <v>312</v>
      </c>
      <c r="E1418" s="3">
        <v>939.62</v>
      </c>
      <c r="F1418" s="3" t="s">
        <v>324</v>
      </c>
      <c r="G1418" s="3" t="s">
        <v>327</v>
      </c>
      <c r="H1418" s="3" t="s">
        <v>332</v>
      </c>
    </row>
    <row r="1419" spans="1:8" x14ac:dyDescent="0.25">
      <c r="A1419" s="3" t="s">
        <v>1739</v>
      </c>
      <c r="B1419" s="3" t="s">
        <v>3152</v>
      </c>
      <c r="C1419" s="3" t="s">
        <v>215</v>
      </c>
      <c r="D1419" s="3" t="s">
        <v>297</v>
      </c>
      <c r="E1419" s="3">
        <v>278.43</v>
      </c>
      <c r="F1419" s="3" t="s">
        <v>2976</v>
      </c>
      <c r="G1419" s="3" t="s">
        <v>325</v>
      </c>
      <c r="H1419" s="3"/>
    </row>
    <row r="1420" spans="1:8" x14ac:dyDescent="0.25">
      <c r="A1420" s="3" t="s">
        <v>1740</v>
      </c>
      <c r="B1420" s="3" t="s">
        <v>4219</v>
      </c>
      <c r="C1420" s="3" t="s">
        <v>191</v>
      </c>
      <c r="D1420" s="3" t="s">
        <v>294</v>
      </c>
      <c r="E1420" s="3">
        <v>270.76</v>
      </c>
      <c r="F1420" s="3" t="s">
        <v>2976</v>
      </c>
      <c r="G1420" s="3" t="s">
        <v>337</v>
      </c>
      <c r="H1420" s="3" t="s">
        <v>346</v>
      </c>
    </row>
    <row r="1421" spans="1:8" x14ac:dyDescent="0.25">
      <c r="A1421" s="3" t="s">
        <v>1741</v>
      </c>
      <c r="B1421" s="3" t="s">
        <v>3845</v>
      </c>
      <c r="C1421" s="3" t="s">
        <v>100</v>
      </c>
      <c r="D1421" s="3" t="s">
        <v>300</v>
      </c>
      <c r="E1421" s="3" t="s">
        <v>4412</v>
      </c>
      <c r="F1421" s="3" t="s">
        <v>324</v>
      </c>
      <c r="G1421" s="3" t="s">
        <v>325</v>
      </c>
      <c r="H1421" s="3" t="s">
        <v>332</v>
      </c>
    </row>
    <row r="1422" spans="1:8" x14ac:dyDescent="0.25">
      <c r="A1422" s="3" t="s">
        <v>1742</v>
      </c>
      <c r="B1422" s="3" t="s">
        <v>4413</v>
      </c>
      <c r="C1422" s="3" t="s">
        <v>173</v>
      </c>
      <c r="D1422" s="3" t="s">
        <v>300</v>
      </c>
      <c r="E1422" s="3">
        <v>253.81</v>
      </c>
      <c r="F1422" s="3" t="s">
        <v>324</v>
      </c>
      <c r="G1422" s="3" t="s">
        <v>337</v>
      </c>
      <c r="H1422" s="3"/>
    </row>
    <row r="1423" spans="1:8" x14ac:dyDescent="0.25">
      <c r="A1423" s="3" t="s">
        <v>1743</v>
      </c>
      <c r="B1423" s="3" t="s">
        <v>4414</v>
      </c>
      <c r="C1423" s="3" t="s">
        <v>80</v>
      </c>
      <c r="D1423" s="3" t="s">
        <v>294</v>
      </c>
      <c r="E1423" s="3">
        <v>106.44</v>
      </c>
      <c r="F1423" s="3" t="s">
        <v>324</v>
      </c>
      <c r="G1423" s="3" t="s">
        <v>327</v>
      </c>
      <c r="H1423" s="3" t="s">
        <v>334</v>
      </c>
    </row>
    <row r="1424" spans="1:8" x14ac:dyDescent="0.25">
      <c r="A1424" s="3" t="s">
        <v>1744</v>
      </c>
      <c r="B1424" s="3" t="s">
        <v>4012</v>
      </c>
      <c r="C1424" s="3" t="s">
        <v>396</v>
      </c>
      <c r="D1424" s="3" t="s">
        <v>306</v>
      </c>
      <c r="E1424" s="3">
        <v>434.11</v>
      </c>
      <c r="F1424" s="3" t="s">
        <v>324</v>
      </c>
      <c r="G1424" s="3" t="s">
        <v>327</v>
      </c>
      <c r="H1424" s="3" t="s">
        <v>334</v>
      </c>
    </row>
    <row r="1425" spans="1:8" x14ac:dyDescent="0.25">
      <c r="A1425" s="3" t="s">
        <v>1745</v>
      </c>
      <c r="B1425" s="3" t="s">
        <v>4415</v>
      </c>
      <c r="C1425" s="3" t="s">
        <v>211</v>
      </c>
      <c r="D1425" s="3" t="s">
        <v>312</v>
      </c>
      <c r="E1425" s="3">
        <v>502.87</v>
      </c>
      <c r="F1425" s="3" t="s">
        <v>2995</v>
      </c>
      <c r="G1425" s="3" t="s">
        <v>337</v>
      </c>
      <c r="H1425" s="3" t="s">
        <v>334</v>
      </c>
    </row>
    <row r="1426" spans="1:8" x14ac:dyDescent="0.25">
      <c r="A1426" s="3" t="s">
        <v>1746</v>
      </c>
      <c r="B1426" s="3" t="s">
        <v>3620</v>
      </c>
      <c r="C1426" s="3" t="s">
        <v>259</v>
      </c>
      <c r="D1426" s="3" t="s">
        <v>315</v>
      </c>
      <c r="E1426" s="3" t="s">
        <v>4416</v>
      </c>
      <c r="F1426" s="3" t="s">
        <v>324</v>
      </c>
      <c r="G1426" s="3" t="s">
        <v>325</v>
      </c>
      <c r="H1426" s="3" t="s">
        <v>334</v>
      </c>
    </row>
    <row r="1427" spans="1:8" x14ac:dyDescent="0.25">
      <c r="A1427" s="3" t="s">
        <v>1747</v>
      </c>
      <c r="B1427" s="3" t="s">
        <v>4417</v>
      </c>
      <c r="C1427" s="3" t="s">
        <v>241</v>
      </c>
      <c r="D1427" s="3" t="s">
        <v>309</v>
      </c>
      <c r="E1427" s="3">
        <v>477.12</v>
      </c>
      <c r="F1427" s="3" t="s">
        <v>324</v>
      </c>
      <c r="G1427" s="3" t="s">
        <v>327</v>
      </c>
      <c r="H1427" s="3"/>
    </row>
    <row r="1428" spans="1:8" x14ac:dyDescent="0.25">
      <c r="A1428" s="3" t="s">
        <v>1748</v>
      </c>
      <c r="B1428" s="3" t="s">
        <v>4418</v>
      </c>
      <c r="C1428" s="3" t="s">
        <v>82</v>
      </c>
      <c r="D1428" s="3" t="s">
        <v>294</v>
      </c>
      <c r="E1428" s="3">
        <v>1033.9000000000001</v>
      </c>
      <c r="F1428" s="3" t="s">
        <v>381</v>
      </c>
      <c r="G1428" s="3" t="s">
        <v>327</v>
      </c>
      <c r="H1428" s="3"/>
    </row>
    <row r="1429" spans="1:8" x14ac:dyDescent="0.25">
      <c r="A1429" s="3" t="s">
        <v>1749</v>
      </c>
      <c r="B1429" s="3" t="s">
        <v>3386</v>
      </c>
      <c r="C1429" s="3" t="s">
        <v>261</v>
      </c>
      <c r="D1429" s="3" t="s">
        <v>300</v>
      </c>
      <c r="E1429" s="3" t="s">
        <v>4419</v>
      </c>
      <c r="F1429" s="3" t="s">
        <v>2976</v>
      </c>
      <c r="G1429" s="3"/>
      <c r="H1429" s="3"/>
    </row>
    <row r="1430" spans="1:8" x14ac:dyDescent="0.25">
      <c r="A1430" s="3" t="s">
        <v>1750</v>
      </c>
      <c r="B1430" s="3" t="s">
        <v>3615</v>
      </c>
      <c r="C1430" s="3" t="s">
        <v>169</v>
      </c>
      <c r="D1430" s="3" t="s">
        <v>294</v>
      </c>
      <c r="E1430" s="3">
        <v>446.1</v>
      </c>
      <c r="F1430" s="3" t="s">
        <v>324</v>
      </c>
      <c r="G1430" s="3" t="s">
        <v>325</v>
      </c>
      <c r="H1430" s="3"/>
    </row>
    <row r="1431" spans="1:8" x14ac:dyDescent="0.25">
      <c r="A1431" s="3" t="s">
        <v>1751</v>
      </c>
      <c r="B1431" s="3" t="s">
        <v>4401</v>
      </c>
      <c r="C1431" s="3" t="s">
        <v>249</v>
      </c>
      <c r="D1431" s="3" t="s">
        <v>315</v>
      </c>
      <c r="E1431" s="3">
        <v>566.54</v>
      </c>
      <c r="F1431" s="3" t="s">
        <v>2995</v>
      </c>
      <c r="G1431" s="3" t="s">
        <v>329</v>
      </c>
      <c r="H1431" s="3" t="s">
        <v>346</v>
      </c>
    </row>
    <row r="1432" spans="1:8" x14ac:dyDescent="0.25">
      <c r="A1432" s="3" t="s">
        <v>1752</v>
      </c>
      <c r="B1432" s="3" t="s">
        <v>3613</v>
      </c>
      <c r="C1432" s="3" t="s">
        <v>235</v>
      </c>
      <c r="D1432" s="3" t="s">
        <v>306</v>
      </c>
      <c r="E1432" s="3">
        <v>286.74</v>
      </c>
      <c r="F1432" s="3" t="s">
        <v>324</v>
      </c>
      <c r="G1432" s="3" t="s">
        <v>337</v>
      </c>
      <c r="H1432" s="3"/>
    </row>
    <row r="1433" spans="1:8" x14ac:dyDescent="0.25">
      <c r="A1433" s="3" t="s">
        <v>890</v>
      </c>
      <c r="B1433" s="3" t="s">
        <v>3671</v>
      </c>
      <c r="C1433" s="3" t="s">
        <v>66</v>
      </c>
      <c r="D1433" s="3" t="s">
        <v>309</v>
      </c>
      <c r="E1433" s="3">
        <v>267.94</v>
      </c>
      <c r="F1433" s="3" t="s">
        <v>381</v>
      </c>
      <c r="G1433" s="3" t="s">
        <v>325</v>
      </c>
      <c r="H1433" s="3" t="s">
        <v>332</v>
      </c>
    </row>
    <row r="1434" spans="1:8" x14ac:dyDescent="0.25">
      <c r="A1434" s="3" t="s">
        <v>1753</v>
      </c>
      <c r="B1434" s="3" t="s">
        <v>3771</v>
      </c>
      <c r="C1434" s="3" t="s">
        <v>143</v>
      </c>
      <c r="D1434" s="3" t="s">
        <v>297</v>
      </c>
      <c r="E1434" s="3" t="s">
        <v>4420</v>
      </c>
      <c r="F1434" s="3" t="s">
        <v>381</v>
      </c>
      <c r="G1434" s="3" t="s">
        <v>325</v>
      </c>
      <c r="H1434" s="3"/>
    </row>
    <row r="1435" spans="1:8" x14ac:dyDescent="0.25">
      <c r="A1435" s="3" t="s">
        <v>1754</v>
      </c>
      <c r="B1435" s="3" t="s">
        <v>4421</v>
      </c>
      <c r="C1435" s="3" t="s">
        <v>141</v>
      </c>
      <c r="D1435" s="3" t="s">
        <v>315</v>
      </c>
      <c r="E1435" s="3">
        <v>239.41</v>
      </c>
      <c r="F1435" s="3" t="s">
        <v>324</v>
      </c>
      <c r="G1435" s="3"/>
      <c r="H1435" s="3" t="s">
        <v>346</v>
      </c>
    </row>
    <row r="1436" spans="1:8" x14ac:dyDescent="0.25">
      <c r="A1436" s="3" t="s">
        <v>1755</v>
      </c>
      <c r="B1436" s="3" t="s">
        <v>3995</v>
      </c>
      <c r="C1436" s="3" t="s">
        <v>90</v>
      </c>
      <c r="D1436" s="3" t="s">
        <v>312</v>
      </c>
      <c r="E1436" s="3">
        <v>531.59</v>
      </c>
      <c r="F1436" s="3" t="s">
        <v>381</v>
      </c>
      <c r="G1436" s="3" t="s">
        <v>327</v>
      </c>
      <c r="H1436" s="3" t="s">
        <v>346</v>
      </c>
    </row>
    <row r="1437" spans="1:8" x14ac:dyDescent="0.25">
      <c r="A1437" s="3" t="s">
        <v>1756</v>
      </c>
      <c r="B1437" s="3" t="s">
        <v>3910</v>
      </c>
      <c r="C1437" s="3" t="s">
        <v>47</v>
      </c>
      <c r="D1437" s="3" t="s">
        <v>306</v>
      </c>
      <c r="E1437" s="3" t="s">
        <v>4422</v>
      </c>
      <c r="F1437" s="3" t="s">
        <v>331</v>
      </c>
      <c r="G1437" s="3" t="s">
        <v>325</v>
      </c>
      <c r="H1437" s="3" t="s">
        <v>334</v>
      </c>
    </row>
    <row r="1438" spans="1:8" x14ac:dyDescent="0.25">
      <c r="A1438" s="3" t="s">
        <v>1757</v>
      </c>
      <c r="B1438" s="3" t="s">
        <v>4423</v>
      </c>
      <c r="C1438" s="3" t="s">
        <v>219</v>
      </c>
      <c r="D1438" s="3" t="s">
        <v>312</v>
      </c>
      <c r="E1438" s="3">
        <v>461.84</v>
      </c>
      <c r="F1438" s="3" t="s">
        <v>324</v>
      </c>
      <c r="G1438" s="3" t="s">
        <v>327</v>
      </c>
      <c r="H1438" s="3"/>
    </row>
    <row r="1439" spans="1:8" x14ac:dyDescent="0.25">
      <c r="A1439" s="3" t="s">
        <v>1758</v>
      </c>
      <c r="B1439" s="3" t="s">
        <v>3257</v>
      </c>
      <c r="C1439" s="3" t="s">
        <v>40</v>
      </c>
      <c r="D1439" s="3" t="s">
        <v>303</v>
      </c>
      <c r="E1439" s="3">
        <v>32.44</v>
      </c>
      <c r="F1439" s="3" t="s">
        <v>2976</v>
      </c>
      <c r="G1439" s="3" t="s">
        <v>327</v>
      </c>
      <c r="H1439" s="3" t="s">
        <v>332</v>
      </c>
    </row>
    <row r="1440" spans="1:8" x14ac:dyDescent="0.25">
      <c r="A1440" s="3" t="s">
        <v>1759</v>
      </c>
      <c r="B1440" s="3" t="s">
        <v>3954</v>
      </c>
      <c r="C1440" s="3" t="s">
        <v>123</v>
      </c>
      <c r="D1440" s="3" t="s">
        <v>315</v>
      </c>
      <c r="E1440" s="3" t="s">
        <v>4424</v>
      </c>
      <c r="F1440" s="3" t="s">
        <v>324</v>
      </c>
      <c r="G1440" s="3" t="s">
        <v>327</v>
      </c>
      <c r="H1440" s="3" t="s">
        <v>346</v>
      </c>
    </row>
    <row r="1441" spans="1:8" x14ac:dyDescent="0.25">
      <c r="A1441" s="3" t="s">
        <v>1760</v>
      </c>
      <c r="B1441" s="3" t="s">
        <v>3013</v>
      </c>
      <c r="C1441" s="3" t="s">
        <v>40</v>
      </c>
      <c r="D1441" s="3" t="s">
        <v>294</v>
      </c>
      <c r="E1441" s="3" t="s">
        <v>4425</v>
      </c>
      <c r="F1441" s="3" t="s">
        <v>2973</v>
      </c>
      <c r="G1441" s="3" t="s">
        <v>329</v>
      </c>
      <c r="H1441" s="3"/>
    </row>
    <row r="1442" spans="1:8" x14ac:dyDescent="0.25">
      <c r="A1442" s="3" t="s">
        <v>1242</v>
      </c>
      <c r="B1442" s="3" t="s">
        <v>3650</v>
      </c>
      <c r="C1442" s="3" t="s">
        <v>169</v>
      </c>
      <c r="D1442" s="3" t="s">
        <v>306</v>
      </c>
      <c r="E1442" s="3">
        <v>289.42</v>
      </c>
      <c r="F1442" s="3" t="s">
        <v>2995</v>
      </c>
      <c r="G1442" s="3" t="s">
        <v>337</v>
      </c>
      <c r="H1442" s="3" t="s">
        <v>334</v>
      </c>
    </row>
    <row r="1443" spans="1:8" x14ac:dyDescent="0.25">
      <c r="A1443" s="3" t="s">
        <v>1761</v>
      </c>
      <c r="B1443" s="3" t="s">
        <v>4044</v>
      </c>
      <c r="C1443" s="3" t="s">
        <v>96</v>
      </c>
      <c r="D1443" s="3" t="s">
        <v>312</v>
      </c>
      <c r="E1443" s="3" t="s">
        <v>4426</v>
      </c>
      <c r="F1443" s="3" t="s">
        <v>2988</v>
      </c>
      <c r="G1443" s="3" t="s">
        <v>327</v>
      </c>
      <c r="H1443" s="3" t="s">
        <v>332</v>
      </c>
    </row>
    <row r="1444" spans="1:8" x14ac:dyDescent="0.25">
      <c r="A1444" s="3" t="s">
        <v>1762</v>
      </c>
      <c r="B1444" s="3" t="s">
        <v>3024</v>
      </c>
      <c r="C1444" s="3" t="s">
        <v>80</v>
      </c>
      <c r="D1444" s="3" t="s">
        <v>294</v>
      </c>
      <c r="E1444" s="3">
        <v>380.58</v>
      </c>
      <c r="F1444" s="3" t="s">
        <v>324</v>
      </c>
      <c r="G1444" s="3" t="s">
        <v>325</v>
      </c>
      <c r="H1444" s="3"/>
    </row>
    <row r="1445" spans="1:8" x14ac:dyDescent="0.25">
      <c r="A1445" s="3" t="s">
        <v>1763</v>
      </c>
      <c r="B1445" s="3" t="s">
        <v>3882</v>
      </c>
      <c r="C1445" s="3" t="s">
        <v>275</v>
      </c>
      <c r="D1445" s="3" t="s">
        <v>294</v>
      </c>
      <c r="E1445" s="3">
        <v>246.4</v>
      </c>
      <c r="F1445" s="3" t="s">
        <v>2976</v>
      </c>
      <c r="G1445" s="3" t="s">
        <v>325</v>
      </c>
      <c r="H1445" s="3"/>
    </row>
    <row r="1446" spans="1:8" x14ac:dyDescent="0.25">
      <c r="A1446" s="3" t="s">
        <v>1764</v>
      </c>
      <c r="B1446" s="3" t="s">
        <v>3720</v>
      </c>
      <c r="C1446" s="3" t="s">
        <v>47</v>
      </c>
      <c r="D1446" s="3" t="s">
        <v>297</v>
      </c>
      <c r="E1446" s="3">
        <v>-230.59</v>
      </c>
      <c r="F1446" s="3" t="s">
        <v>349</v>
      </c>
      <c r="G1446" s="3" t="s">
        <v>325</v>
      </c>
      <c r="H1446" s="3" t="s">
        <v>334</v>
      </c>
    </row>
    <row r="1447" spans="1:8" x14ac:dyDescent="0.25">
      <c r="A1447" s="3" t="s">
        <v>1765</v>
      </c>
      <c r="B1447" s="3" t="s">
        <v>3673</v>
      </c>
      <c r="C1447" s="3" t="s">
        <v>1766</v>
      </c>
      <c r="D1447" s="3" t="s">
        <v>303</v>
      </c>
      <c r="E1447" s="3" t="s">
        <v>4427</v>
      </c>
      <c r="F1447" s="3" t="s">
        <v>324</v>
      </c>
      <c r="G1447" s="3"/>
      <c r="H1447" s="3"/>
    </row>
    <row r="1448" spans="1:8" x14ac:dyDescent="0.25">
      <c r="A1448" s="3" t="s">
        <v>1767</v>
      </c>
      <c r="B1448" s="3" t="s">
        <v>3730</v>
      </c>
      <c r="C1448" s="3" t="s">
        <v>119</v>
      </c>
      <c r="D1448" s="3" t="s">
        <v>303</v>
      </c>
      <c r="E1448" s="3">
        <v>327.43</v>
      </c>
      <c r="F1448" s="3" t="s">
        <v>2973</v>
      </c>
      <c r="G1448" s="3" t="s">
        <v>325</v>
      </c>
      <c r="H1448" s="3"/>
    </row>
    <row r="1449" spans="1:8" x14ac:dyDescent="0.25">
      <c r="A1449" s="3" t="s">
        <v>1768</v>
      </c>
      <c r="B1449" s="3" t="s">
        <v>4428</v>
      </c>
      <c r="C1449" s="3" t="s">
        <v>223</v>
      </c>
      <c r="D1449" s="3" t="s">
        <v>315</v>
      </c>
      <c r="E1449" s="3" t="s">
        <v>4429</v>
      </c>
      <c r="F1449" s="3" t="s">
        <v>324</v>
      </c>
      <c r="G1449" s="3" t="s">
        <v>325</v>
      </c>
      <c r="H1449" s="3" t="s">
        <v>332</v>
      </c>
    </row>
    <row r="1450" spans="1:8" x14ac:dyDescent="0.25">
      <c r="A1450" s="3" t="s">
        <v>1769</v>
      </c>
      <c r="B1450" s="3" t="s">
        <v>3165</v>
      </c>
      <c r="C1450" s="3" t="s">
        <v>33</v>
      </c>
      <c r="D1450" s="3" t="s">
        <v>297</v>
      </c>
      <c r="E1450" s="3">
        <v>598.6</v>
      </c>
      <c r="F1450" s="3" t="s">
        <v>331</v>
      </c>
      <c r="G1450" s="3" t="s">
        <v>327</v>
      </c>
      <c r="H1450" s="3" t="s">
        <v>332</v>
      </c>
    </row>
    <row r="1451" spans="1:8" x14ac:dyDescent="0.25">
      <c r="A1451" s="3" t="s">
        <v>1770</v>
      </c>
      <c r="B1451" s="3" t="s">
        <v>4430</v>
      </c>
      <c r="C1451" s="3" t="s">
        <v>1771</v>
      </c>
      <c r="D1451" s="3" t="s">
        <v>312</v>
      </c>
      <c r="E1451" s="3" t="s">
        <v>4431</v>
      </c>
      <c r="F1451" s="3" t="s">
        <v>2976</v>
      </c>
      <c r="G1451" s="3" t="s">
        <v>327</v>
      </c>
      <c r="H1451" s="3"/>
    </row>
    <row r="1452" spans="1:8" x14ac:dyDescent="0.25">
      <c r="A1452" s="3" t="s">
        <v>1772</v>
      </c>
      <c r="B1452" s="3" t="s">
        <v>4432</v>
      </c>
      <c r="C1452" s="3" t="s">
        <v>98</v>
      </c>
      <c r="D1452" s="3" t="s">
        <v>294</v>
      </c>
      <c r="E1452" s="3">
        <v>294.16000000000003</v>
      </c>
      <c r="F1452" s="3" t="s">
        <v>2995</v>
      </c>
      <c r="G1452" s="3" t="s">
        <v>325</v>
      </c>
      <c r="H1452" s="3"/>
    </row>
    <row r="1453" spans="1:8" x14ac:dyDescent="0.25">
      <c r="A1453" s="3" t="s">
        <v>1773</v>
      </c>
      <c r="B1453" s="3" t="s">
        <v>4433</v>
      </c>
      <c r="C1453" s="3" t="s">
        <v>167</v>
      </c>
      <c r="D1453" s="3" t="s">
        <v>294</v>
      </c>
      <c r="E1453" s="3" t="s">
        <v>4434</v>
      </c>
      <c r="F1453" s="3" t="s">
        <v>2988</v>
      </c>
      <c r="G1453" s="3" t="s">
        <v>325</v>
      </c>
      <c r="H1453" s="3" t="s">
        <v>332</v>
      </c>
    </row>
    <row r="1454" spans="1:8" x14ac:dyDescent="0.25">
      <c r="A1454" s="3" t="s">
        <v>1774</v>
      </c>
      <c r="B1454" s="3" t="s">
        <v>4435</v>
      </c>
      <c r="C1454" s="3" t="s">
        <v>84</v>
      </c>
      <c r="D1454" s="3" t="s">
        <v>294</v>
      </c>
      <c r="E1454" s="3" t="s">
        <v>4436</v>
      </c>
      <c r="F1454" s="3" t="s">
        <v>324</v>
      </c>
      <c r="G1454" s="3" t="s">
        <v>325</v>
      </c>
      <c r="H1454" s="3" t="s">
        <v>332</v>
      </c>
    </row>
    <row r="1455" spans="1:8" x14ac:dyDescent="0.25">
      <c r="A1455" s="3" t="s">
        <v>1775</v>
      </c>
      <c r="B1455" s="3" t="s">
        <v>4437</v>
      </c>
      <c r="C1455" s="3" t="s">
        <v>249</v>
      </c>
      <c r="D1455" s="3" t="s">
        <v>297</v>
      </c>
      <c r="E1455" s="3">
        <v>256.5</v>
      </c>
      <c r="F1455" s="3" t="s">
        <v>381</v>
      </c>
      <c r="G1455" s="3" t="s">
        <v>325</v>
      </c>
      <c r="H1455" s="3"/>
    </row>
    <row r="1456" spans="1:8" x14ac:dyDescent="0.25">
      <c r="A1456" s="3" t="s">
        <v>1776</v>
      </c>
      <c r="B1456" s="3" t="s">
        <v>3452</v>
      </c>
      <c r="C1456" s="3" t="s">
        <v>119</v>
      </c>
      <c r="D1456" s="3" t="s">
        <v>309</v>
      </c>
      <c r="E1456" s="3" t="s">
        <v>4438</v>
      </c>
      <c r="F1456" s="3" t="s">
        <v>324</v>
      </c>
      <c r="G1456" s="3" t="s">
        <v>325</v>
      </c>
      <c r="H1456" s="3" t="s">
        <v>346</v>
      </c>
    </row>
    <row r="1457" spans="1:8" x14ac:dyDescent="0.25">
      <c r="A1457" s="3" t="s">
        <v>964</v>
      </c>
      <c r="B1457" s="3" t="s">
        <v>3419</v>
      </c>
      <c r="C1457" s="3" t="s">
        <v>96</v>
      </c>
      <c r="D1457" s="3" t="s">
        <v>297</v>
      </c>
      <c r="E1457" s="3" t="s">
        <v>3746</v>
      </c>
      <c r="F1457" s="3" t="s">
        <v>324</v>
      </c>
      <c r="G1457" s="3" t="s">
        <v>337</v>
      </c>
      <c r="H1457" s="3"/>
    </row>
    <row r="1458" spans="1:8" x14ac:dyDescent="0.25">
      <c r="A1458" s="3" t="s">
        <v>1777</v>
      </c>
      <c r="B1458" s="3" t="s">
        <v>3507</v>
      </c>
      <c r="C1458" s="3" t="s">
        <v>55</v>
      </c>
      <c r="D1458" s="3" t="s">
        <v>300</v>
      </c>
      <c r="E1458" s="3" t="s">
        <v>4439</v>
      </c>
      <c r="F1458" s="3" t="s">
        <v>2976</v>
      </c>
      <c r="G1458" s="3" t="s">
        <v>337</v>
      </c>
      <c r="H1458" s="3"/>
    </row>
    <row r="1459" spans="1:8" x14ac:dyDescent="0.25">
      <c r="A1459" s="3" t="s">
        <v>1778</v>
      </c>
      <c r="B1459" s="3" t="s">
        <v>3146</v>
      </c>
      <c r="C1459" s="3" t="s">
        <v>51</v>
      </c>
      <c r="D1459" s="3" t="s">
        <v>294</v>
      </c>
      <c r="E1459" s="3" t="s">
        <v>4440</v>
      </c>
      <c r="F1459" s="3" t="s">
        <v>2976</v>
      </c>
      <c r="G1459" s="3" t="s">
        <v>327</v>
      </c>
      <c r="H1459" s="3" t="s">
        <v>346</v>
      </c>
    </row>
    <row r="1460" spans="1:8" x14ac:dyDescent="0.25">
      <c r="A1460" s="3" t="s">
        <v>1779</v>
      </c>
      <c r="B1460" s="3" t="s">
        <v>3706</v>
      </c>
      <c r="C1460" s="3" t="s">
        <v>145</v>
      </c>
      <c r="D1460" s="3" t="s">
        <v>294</v>
      </c>
      <c r="E1460" s="3">
        <v>453.9</v>
      </c>
      <c r="F1460" s="3" t="s">
        <v>324</v>
      </c>
      <c r="G1460" s="3" t="s">
        <v>325</v>
      </c>
      <c r="H1460" s="3"/>
    </row>
    <row r="1461" spans="1:8" x14ac:dyDescent="0.25">
      <c r="A1461" s="3" t="s">
        <v>1605</v>
      </c>
      <c r="B1461" s="3" t="s">
        <v>4314</v>
      </c>
      <c r="C1461" s="3" t="s">
        <v>259</v>
      </c>
      <c r="D1461" s="3" t="s">
        <v>294</v>
      </c>
      <c r="E1461" s="3">
        <v>1022.19</v>
      </c>
      <c r="F1461" s="3" t="s">
        <v>324</v>
      </c>
      <c r="G1461" s="3" t="s">
        <v>337</v>
      </c>
      <c r="H1461" s="3" t="s">
        <v>346</v>
      </c>
    </row>
    <row r="1462" spans="1:8" x14ac:dyDescent="0.25">
      <c r="A1462" s="3" t="s">
        <v>1780</v>
      </c>
      <c r="B1462" s="3" t="s">
        <v>3474</v>
      </c>
      <c r="C1462" s="3" t="s">
        <v>247</v>
      </c>
      <c r="D1462" s="3" t="s">
        <v>294</v>
      </c>
      <c r="E1462" s="3">
        <v>523.97</v>
      </c>
      <c r="F1462" s="3" t="s">
        <v>2997</v>
      </c>
      <c r="G1462" s="3" t="s">
        <v>337</v>
      </c>
      <c r="H1462" s="3" t="s">
        <v>334</v>
      </c>
    </row>
    <row r="1463" spans="1:8" x14ac:dyDescent="0.25">
      <c r="A1463" s="3" t="s">
        <v>1781</v>
      </c>
      <c r="B1463" s="3" t="s">
        <v>3424</v>
      </c>
      <c r="C1463" s="3" t="s">
        <v>221</v>
      </c>
      <c r="D1463" s="3" t="s">
        <v>294</v>
      </c>
      <c r="E1463" s="3">
        <v>700.97</v>
      </c>
      <c r="F1463" s="3" t="s">
        <v>381</v>
      </c>
      <c r="G1463" s="3" t="s">
        <v>325</v>
      </c>
      <c r="H1463" s="3" t="s">
        <v>334</v>
      </c>
    </row>
    <row r="1464" spans="1:8" x14ac:dyDescent="0.25">
      <c r="A1464" s="3" t="s">
        <v>1782</v>
      </c>
      <c r="B1464" s="3" t="s">
        <v>3470</v>
      </c>
      <c r="C1464" s="3" t="s">
        <v>42</v>
      </c>
      <c r="D1464" s="3" t="s">
        <v>294</v>
      </c>
      <c r="E1464" s="3">
        <v>452.54</v>
      </c>
      <c r="F1464" s="3" t="s">
        <v>324</v>
      </c>
      <c r="G1464" s="3" t="s">
        <v>327</v>
      </c>
      <c r="H1464" s="3" t="s">
        <v>346</v>
      </c>
    </row>
    <row r="1465" spans="1:8" x14ac:dyDescent="0.25">
      <c r="A1465" s="3" t="s">
        <v>1783</v>
      </c>
      <c r="B1465" s="3" t="s">
        <v>3470</v>
      </c>
      <c r="C1465" s="3" t="s">
        <v>51</v>
      </c>
      <c r="D1465" s="3" t="s">
        <v>297</v>
      </c>
      <c r="E1465" s="3">
        <v>256.04000000000002</v>
      </c>
      <c r="F1465" s="3" t="s">
        <v>324</v>
      </c>
      <c r="G1465" s="3" t="s">
        <v>325</v>
      </c>
      <c r="H1465" s="3"/>
    </row>
    <row r="1466" spans="1:8" x14ac:dyDescent="0.25">
      <c r="A1466" s="3" t="s">
        <v>1394</v>
      </c>
      <c r="B1466" s="3" t="s">
        <v>4137</v>
      </c>
      <c r="C1466" s="3" t="s">
        <v>257</v>
      </c>
      <c r="D1466" s="3" t="s">
        <v>294</v>
      </c>
      <c r="E1466" s="3" t="s">
        <v>4138</v>
      </c>
      <c r="F1466" s="3" t="s">
        <v>324</v>
      </c>
      <c r="G1466" s="3" t="s">
        <v>337</v>
      </c>
      <c r="H1466" s="3" t="s">
        <v>346</v>
      </c>
    </row>
    <row r="1467" spans="1:8" x14ac:dyDescent="0.25">
      <c r="A1467" s="3" t="s">
        <v>1784</v>
      </c>
      <c r="B1467" s="3" t="s">
        <v>3233</v>
      </c>
      <c r="C1467" s="3" t="s">
        <v>171</v>
      </c>
      <c r="D1467" s="3" t="s">
        <v>297</v>
      </c>
      <c r="E1467" s="3">
        <v>704.98</v>
      </c>
      <c r="F1467" s="3" t="s">
        <v>2988</v>
      </c>
      <c r="G1467" s="3" t="s">
        <v>327</v>
      </c>
      <c r="H1467" s="3" t="s">
        <v>346</v>
      </c>
    </row>
    <row r="1468" spans="1:8" x14ac:dyDescent="0.25">
      <c r="A1468" s="3" t="s">
        <v>1785</v>
      </c>
      <c r="B1468" s="3" t="s">
        <v>4441</v>
      </c>
      <c r="C1468" s="3" t="s">
        <v>74</v>
      </c>
      <c r="D1468" s="3" t="s">
        <v>297</v>
      </c>
      <c r="E1468" s="3" t="s">
        <v>4442</v>
      </c>
      <c r="F1468" s="3" t="s">
        <v>2976</v>
      </c>
      <c r="G1468" s="3" t="s">
        <v>327</v>
      </c>
      <c r="H1468" s="3" t="s">
        <v>346</v>
      </c>
    </row>
    <row r="1469" spans="1:8" x14ac:dyDescent="0.25">
      <c r="A1469" s="3" t="s">
        <v>1786</v>
      </c>
      <c r="B1469" s="3" t="s">
        <v>3227</v>
      </c>
      <c r="C1469" s="3" t="s">
        <v>117</v>
      </c>
      <c r="D1469" s="3" t="s">
        <v>297</v>
      </c>
      <c r="E1469" s="3">
        <v>94.64</v>
      </c>
      <c r="F1469" s="3" t="s">
        <v>324</v>
      </c>
      <c r="G1469" s="3" t="s">
        <v>337</v>
      </c>
      <c r="H1469" s="3" t="s">
        <v>334</v>
      </c>
    </row>
    <row r="1470" spans="1:8" x14ac:dyDescent="0.25">
      <c r="A1470" s="3" t="s">
        <v>1787</v>
      </c>
      <c r="B1470" s="3" t="s">
        <v>4443</v>
      </c>
      <c r="C1470" s="3" t="s">
        <v>23</v>
      </c>
      <c r="D1470" s="3" t="s">
        <v>315</v>
      </c>
      <c r="E1470" s="3">
        <v>325.95</v>
      </c>
      <c r="F1470" s="3" t="s">
        <v>2976</v>
      </c>
      <c r="G1470" s="3" t="s">
        <v>337</v>
      </c>
      <c r="H1470" s="3"/>
    </row>
    <row r="1471" spans="1:8" x14ac:dyDescent="0.25">
      <c r="A1471" s="3" t="s">
        <v>1788</v>
      </c>
      <c r="B1471" s="3" t="s">
        <v>3584</v>
      </c>
      <c r="C1471" s="3" t="s">
        <v>185</v>
      </c>
      <c r="D1471" s="3" t="s">
        <v>309</v>
      </c>
      <c r="E1471" s="3" t="s">
        <v>4444</v>
      </c>
      <c r="F1471" s="3" t="s">
        <v>324</v>
      </c>
      <c r="G1471" s="3" t="s">
        <v>327</v>
      </c>
      <c r="H1471" s="3"/>
    </row>
    <row r="1472" spans="1:8" x14ac:dyDescent="0.25">
      <c r="A1472" s="3" t="s">
        <v>1789</v>
      </c>
      <c r="B1472" s="3" t="s">
        <v>4152</v>
      </c>
      <c r="C1472" s="3" t="s">
        <v>96</v>
      </c>
      <c r="D1472" s="3" t="s">
        <v>312</v>
      </c>
      <c r="E1472" s="3" t="s">
        <v>4445</v>
      </c>
      <c r="F1472" s="3" t="s">
        <v>2988</v>
      </c>
      <c r="G1472" s="3" t="s">
        <v>325</v>
      </c>
      <c r="H1472" s="3"/>
    </row>
    <row r="1473" spans="1:8" x14ac:dyDescent="0.25">
      <c r="A1473" s="3" t="s">
        <v>1790</v>
      </c>
      <c r="B1473" s="3" t="s">
        <v>3714</v>
      </c>
      <c r="C1473" s="3" t="s">
        <v>253</v>
      </c>
      <c r="D1473" s="3" t="s">
        <v>300</v>
      </c>
      <c r="E1473" s="3">
        <v>337.96</v>
      </c>
      <c r="F1473" s="3" t="s">
        <v>324</v>
      </c>
      <c r="G1473" s="3" t="s">
        <v>325</v>
      </c>
      <c r="H1473" s="3" t="s">
        <v>346</v>
      </c>
    </row>
    <row r="1474" spans="1:8" x14ac:dyDescent="0.25">
      <c r="A1474" s="3" t="s">
        <v>1791</v>
      </c>
      <c r="B1474" s="3" t="s">
        <v>4446</v>
      </c>
      <c r="C1474" s="3" t="s">
        <v>68</v>
      </c>
      <c r="D1474" s="3" t="s">
        <v>300</v>
      </c>
      <c r="E1474" s="3" t="s">
        <v>4447</v>
      </c>
      <c r="F1474" s="3" t="s">
        <v>324</v>
      </c>
      <c r="G1474" s="3"/>
      <c r="H1474" s="3"/>
    </row>
    <row r="1475" spans="1:8" x14ac:dyDescent="0.25">
      <c r="A1475" s="3" t="s">
        <v>1792</v>
      </c>
      <c r="B1475" s="3" t="s">
        <v>4448</v>
      </c>
      <c r="C1475" s="3" t="s">
        <v>209</v>
      </c>
      <c r="D1475" s="3" t="s">
        <v>297</v>
      </c>
      <c r="E1475" s="3">
        <v>527.85</v>
      </c>
      <c r="F1475" s="3" t="s">
        <v>324</v>
      </c>
      <c r="G1475" s="3" t="s">
        <v>327</v>
      </c>
      <c r="H1475" s="3"/>
    </row>
    <row r="1476" spans="1:8" x14ac:dyDescent="0.25">
      <c r="A1476" s="3" t="s">
        <v>1793</v>
      </c>
      <c r="B1476" s="3" t="s">
        <v>3080</v>
      </c>
      <c r="C1476" s="3" t="s">
        <v>193</v>
      </c>
      <c r="D1476" s="3" t="s">
        <v>294</v>
      </c>
      <c r="E1476" s="3">
        <v>605.34</v>
      </c>
      <c r="F1476" s="3" t="s">
        <v>2976</v>
      </c>
      <c r="G1476" s="3" t="s">
        <v>327</v>
      </c>
      <c r="H1476" s="3"/>
    </row>
    <row r="1477" spans="1:8" x14ac:dyDescent="0.25">
      <c r="A1477" s="3" t="s">
        <v>1794</v>
      </c>
      <c r="B1477" s="3" t="s">
        <v>4449</v>
      </c>
      <c r="C1477" s="3" t="s">
        <v>68</v>
      </c>
      <c r="D1477" s="3" t="s">
        <v>294</v>
      </c>
      <c r="E1477" s="3">
        <v>673.33</v>
      </c>
      <c r="F1477" s="3" t="s">
        <v>3157</v>
      </c>
      <c r="G1477" s="3" t="s">
        <v>337</v>
      </c>
      <c r="H1477" s="3"/>
    </row>
    <row r="1478" spans="1:8" x14ac:dyDescent="0.25">
      <c r="A1478" s="3" t="s">
        <v>1795</v>
      </c>
      <c r="B1478" s="3" t="s">
        <v>4450</v>
      </c>
      <c r="C1478" s="3" t="s">
        <v>90</v>
      </c>
      <c r="D1478" s="3" t="s">
        <v>297</v>
      </c>
      <c r="E1478" s="3">
        <v>504.55</v>
      </c>
      <c r="F1478" s="3" t="s">
        <v>324</v>
      </c>
      <c r="G1478" s="3" t="s">
        <v>329</v>
      </c>
      <c r="H1478" s="3" t="s">
        <v>346</v>
      </c>
    </row>
    <row r="1479" spans="1:8" x14ac:dyDescent="0.25">
      <c r="A1479" s="3" t="s">
        <v>1796</v>
      </c>
      <c r="B1479" s="3" t="s">
        <v>3709</v>
      </c>
      <c r="C1479" s="3" t="s">
        <v>191</v>
      </c>
      <c r="D1479" s="3" t="s">
        <v>306</v>
      </c>
      <c r="E1479" s="3" t="s">
        <v>4451</v>
      </c>
      <c r="F1479" s="3" t="s">
        <v>2976</v>
      </c>
      <c r="G1479" s="3" t="s">
        <v>325</v>
      </c>
      <c r="H1479" s="3"/>
    </row>
    <row r="1480" spans="1:8" x14ac:dyDescent="0.25">
      <c r="A1480" s="3" t="s">
        <v>1797</v>
      </c>
      <c r="B1480" s="3" t="s">
        <v>4452</v>
      </c>
      <c r="C1480" s="3" t="s">
        <v>205</v>
      </c>
      <c r="D1480" s="3" t="s">
        <v>306</v>
      </c>
      <c r="E1480" s="3" t="s">
        <v>4453</v>
      </c>
      <c r="F1480" s="3" t="s">
        <v>2995</v>
      </c>
      <c r="G1480" s="3" t="s">
        <v>327</v>
      </c>
      <c r="H1480" s="3"/>
    </row>
    <row r="1481" spans="1:8" x14ac:dyDescent="0.25">
      <c r="A1481" s="3" t="s">
        <v>1798</v>
      </c>
      <c r="B1481" s="3" t="s">
        <v>3313</v>
      </c>
      <c r="C1481" s="3" t="s">
        <v>105</v>
      </c>
      <c r="D1481" s="3" t="s">
        <v>297</v>
      </c>
      <c r="E1481" s="3">
        <v>508.59</v>
      </c>
      <c r="F1481" s="3" t="s">
        <v>2988</v>
      </c>
      <c r="G1481" s="3" t="s">
        <v>325</v>
      </c>
      <c r="H1481" s="3"/>
    </row>
    <row r="1482" spans="1:8" x14ac:dyDescent="0.25">
      <c r="A1482" s="3" t="s">
        <v>1799</v>
      </c>
      <c r="B1482" s="3" t="s">
        <v>3959</v>
      </c>
      <c r="C1482" s="3" t="s">
        <v>179</v>
      </c>
      <c r="D1482" s="3" t="s">
        <v>297</v>
      </c>
      <c r="E1482" s="3" t="s">
        <v>4454</v>
      </c>
      <c r="F1482" s="3" t="s">
        <v>2976</v>
      </c>
      <c r="G1482" s="3" t="s">
        <v>325</v>
      </c>
      <c r="H1482" s="3" t="s">
        <v>332</v>
      </c>
    </row>
    <row r="1483" spans="1:8" x14ac:dyDescent="0.25">
      <c r="A1483" s="3" t="s">
        <v>1800</v>
      </c>
      <c r="B1483" s="3" t="s">
        <v>4087</v>
      </c>
      <c r="C1483" s="3" t="s">
        <v>193</v>
      </c>
      <c r="D1483" s="3" t="s">
        <v>294</v>
      </c>
      <c r="E1483" s="3" t="s">
        <v>4455</v>
      </c>
      <c r="F1483" s="3" t="s">
        <v>324</v>
      </c>
      <c r="G1483" s="3" t="s">
        <v>325</v>
      </c>
      <c r="H1483" s="3"/>
    </row>
    <row r="1484" spans="1:8" x14ac:dyDescent="0.25">
      <c r="A1484" s="3" t="s">
        <v>1801</v>
      </c>
      <c r="B1484" s="3" t="s">
        <v>3002</v>
      </c>
      <c r="C1484" s="3" t="s">
        <v>70</v>
      </c>
      <c r="D1484" s="3" t="s">
        <v>309</v>
      </c>
      <c r="E1484" s="3">
        <v>620.20000000000005</v>
      </c>
      <c r="F1484" s="3" t="s">
        <v>331</v>
      </c>
      <c r="G1484" s="3" t="s">
        <v>329</v>
      </c>
      <c r="H1484" s="3"/>
    </row>
    <row r="1485" spans="1:8" x14ac:dyDescent="0.25">
      <c r="A1485" s="3" t="s">
        <v>1802</v>
      </c>
      <c r="B1485" s="3" t="s">
        <v>4456</v>
      </c>
      <c r="C1485" s="3" t="s">
        <v>173</v>
      </c>
      <c r="D1485" s="3" t="s">
        <v>312</v>
      </c>
      <c r="E1485" s="3" t="s">
        <v>4457</v>
      </c>
      <c r="F1485" s="3" t="s">
        <v>381</v>
      </c>
      <c r="G1485" s="3" t="s">
        <v>327</v>
      </c>
      <c r="H1485" s="3"/>
    </row>
    <row r="1486" spans="1:8" x14ac:dyDescent="0.25">
      <c r="A1486" s="3" t="s">
        <v>1803</v>
      </c>
      <c r="B1486" s="3" t="s">
        <v>3967</v>
      </c>
      <c r="C1486" s="3" t="s">
        <v>145</v>
      </c>
      <c r="D1486" s="3" t="s">
        <v>315</v>
      </c>
      <c r="E1486" s="3" t="s">
        <v>4458</v>
      </c>
      <c r="F1486" s="3" t="s">
        <v>324</v>
      </c>
      <c r="G1486" s="3" t="s">
        <v>325</v>
      </c>
      <c r="H1486" s="3"/>
    </row>
    <row r="1487" spans="1:8" x14ac:dyDescent="0.25">
      <c r="A1487" s="3" t="s">
        <v>1804</v>
      </c>
      <c r="B1487" s="3" t="s">
        <v>4459</v>
      </c>
      <c r="C1487" s="3" t="s">
        <v>23</v>
      </c>
      <c r="D1487" s="3" t="s">
        <v>315</v>
      </c>
      <c r="E1487" s="3">
        <v>449.7</v>
      </c>
      <c r="F1487" s="3" t="s">
        <v>324</v>
      </c>
      <c r="G1487" s="3" t="s">
        <v>337</v>
      </c>
      <c r="H1487" s="3"/>
    </row>
    <row r="1488" spans="1:8" x14ac:dyDescent="0.25">
      <c r="A1488" s="3" t="s">
        <v>1805</v>
      </c>
      <c r="B1488" s="3" t="s">
        <v>2993</v>
      </c>
      <c r="C1488" s="3" t="s">
        <v>215</v>
      </c>
      <c r="D1488" s="3" t="s">
        <v>294</v>
      </c>
      <c r="E1488" s="3" t="s">
        <v>4460</v>
      </c>
      <c r="F1488" s="3" t="s">
        <v>324</v>
      </c>
      <c r="G1488" s="3" t="s">
        <v>327</v>
      </c>
      <c r="H1488" s="3"/>
    </row>
    <row r="1489" spans="1:8" x14ac:dyDescent="0.25">
      <c r="A1489" s="3" t="s">
        <v>1806</v>
      </c>
      <c r="B1489" s="3" t="s">
        <v>3109</v>
      </c>
      <c r="C1489" s="3" t="s">
        <v>269</v>
      </c>
      <c r="D1489" s="3" t="s">
        <v>300</v>
      </c>
      <c r="E1489" s="3">
        <v>748.37</v>
      </c>
      <c r="F1489" s="3" t="s">
        <v>324</v>
      </c>
      <c r="G1489" s="3" t="s">
        <v>325</v>
      </c>
      <c r="H1489" s="3"/>
    </row>
    <row r="1490" spans="1:8" x14ac:dyDescent="0.25">
      <c r="A1490" s="3" t="s">
        <v>1807</v>
      </c>
      <c r="B1490" s="3" t="s">
        <v>4312</v>
      </c>
      <c r="C1490" s="3" t="s">
        <v>76</v>
      </c>
      <c r="D1490" s="3" t="s">
        <v>294</v>
      </c>
      <c r="E1490" s="3" t="s">
        <v>4461</v>
      </c>
      <c r="F1490" s="3" t="s">
        <v>3060</v>
      </c>
      <c r="G1490" s="3" t="s">
        <v>327</v>
      </c>
      <c r="H1490" s="3" t="s">
        <v>334</v>
      </c>
    </row>
    <row r="1491" spans="1:8" x14ac:dyDescent="0.25">
      <c r="A1491" s="3" t="s">
        <v>1808</v>
      </c>
      <c r="B1491" s="3" t="s">
        <v>4462</v>
      </c>
      <c r="C1491" s="3" t="s">
        <v>175</v>
      </c>
      <c r="D1491" s="3" t="s">
        <v>294</v>
      </c>
      <c r="E1491" s="3">
        <v>-483.75</v>
      </c>
      <c r="F1491" s="3" t="s">
        <v>349</v>
      </c>
      <c r="G1491" s="3" t="s">
        <v>337</v>
      </c>
      <c r="H1491" s="3"/>
    </row>
    <row r="1492" spans="1:8" x14ac:dyDescent="0.25">
      <c r="A1492" s="3" t="s">
        <v>1809</v>
      </c>
      <c r="B1492" s="3" t="s">
        <v>4463</v>
      </c>
      <c r="C1492" s="3" t="s">
        <v>33</v>
      </c>
      <c r="D1492" s="3" t="s">
        <v>294</v>
      </c>
      <c r="E1492" s="3" t="s">
        <v>4464</v>
      </c>
      <c r="F1492" s="3" t="s">
        <v>324</v>
      </c>
      <c r="G1492" s="3" t="s">
        <v>329</v>
      </c>
      <c r="H1492" s="3" t="s">
        <v>346</v>
      </c>
    </row>
    <row r="1493" spans="1:8" x14ac:dyDescent="0.25">
      <c r="A1493" s="3" t="s">
        <v>1810</v>
      </c>
      <c r="B1493" s="3" t="s">
        <v>4187</v>
      </c>
      <c r="C1493" s="3" t="s">
        <v>105</v>
      </c>
      <c r="D1493" s="3" t="s">
        <v>294</v>
      </c>
      <c r="E1493" s="3">
        <v>134.49</v>
      </c>
      <c r="F1493" s="3" t="s">
        <v>324</v>
      </c>
      <c r="G1493" s="3"/>
      <c r="H1493" s="3"/>
    </row>
    <row r="1494" spans="1:8" x14ac:dyDescent="0.25">
      <c r="A1494" s="3" t="s">
        <v>1811</v>
      </c>
      <c r="B1494" s="3" t="s">
        <v>3906</v>
      </c>
      <c r="C1494" s="3" t="s">
        <v>38</v>
      </c>
      <c r="D1494" s="3" t="s">
        <v>306</v>
      </c>
      <c r="E1494" s="3">
        <v>664.53</v>
      </c>
      <c r="F1494" s="3" t="s">
        <v>2973</v>
      </c>
      <c r="G1494" s="3" t="s">
        <v>337</v>
      </c>
      <c r="H1494" s="3"/>
    </row>
    <row r="1495" spans="1:8" x14ac:dyDescent="0.25">
      <c r="A1495" s="3" t="s">
        <v>1812</v>
      </c>
      <c r="B1495" s="3" t="s">
        <v>3900</v>
      </c>
      <c r="C1495" s="3" t="s">
        <v>253</v>
      </c>
      <c r="D1495" s="3" t="s">
        <v>309</v>
      </c>
      <c r="E1495" s="3" t="s">
        <v>4465</v>
      </c>
      <c r="F1495" s="3" t="s">
        <v>2976</v>
      </c>
      <c r="G1495" s="3" t="s">
        <v>337</v>
      </c>
      <c r="H1495" s="3"/>
    </row>
    <row r="1496" spans="1:8" x14ac:dyDescent="0.25">
      <c r="A1496" s="3" t="s">
        <v>1813</v>
      </c>
      <c r="B1496" s="3" t="s">
        <v>3118</v>
      </c>
      <c r="C1496" s="3" t="s">
        <v>191</v>
      </c>
      <c r="D1496" s="3" t="s">
        <v>312</v>
      </c>
      <c r="E1496" s="3" t="s">
        <v>4466</v>
      </c>
      <c r="F1496" s="3" t="s">
        <v>2976</v>
      </c>
      <c r="G1496" s="3" t="s">
        <v>325</v>
      </c>
      <c r="H1496" s="3" t="s">
        <v>334</v>
      </c>
    </row>
    <row r="1497" spans="1:8" x14ac:dyDescent="0.25">
      <c r="A1497" s="3" t="s">
        <v>1814</v>
      </c>
      <c r="B1497" s="3" t="s">
        <v>4338</v>
      </c>
      <c r="C1497" s="3" t="s">
        <v>217</v>
      </c>
      <c r="D1497" s="3" t="s">
        <v>300</v>
      </c>
      <c r="E1497" s="3" t="s">
        <v>4467</v>
      </c>
      <c r="F1497" s="3" t="s">
        <v>324</v>
      </c>
      <c r="G1497" s="3" t="s">
        <v>327</v>
      </c>
      <c r="H1497" s="3" t="s">
        <v>334</v>
      </c>
    </row>
    <row r="1498" spans="1:8" x14ac:dyDescent="0.25">
      <c r="A1498" s="3" t="s">
        <v>1815</v>
      </c>
      <c r="B1498" s="3" t="s">
        <v>4468</v>
      </c>
      <c r="C1498" s="3" t="s">
        <v>58</v>
      </c>
      <c r="D1498" s="3" t="s">
        <v>312</v>
      </c>
      <c r="E1498" s="3">
        <v>388.53</v>
      </c>
      <c r="F1498" s="3" t="s">
        <v>3037</v>
      </c>
      <c r="G1498" s="3" t="s">
        <v>325</v>
      </c>
      <c r="H1498" s="3"/>
    </row>
    <row r="1499" spans="1:8" x14ac:dyDescent="0.25">
      <c r="A1499" s="3" t="s">
        <v>1816</v>
      </c>
      <c r="B1499" s="3" t="s">
        <v>4469</v>
      </c>
      <c r="C1499" s="3" t="s">
        <v>219</v>
      </c>
      <c r="D1499" s="3" t="s">
        <v>312</v>
      </c>
      <c r="E1499" s="3" t="s">
        <v>4470</v>
      </c>
      <c r="F1499" s="3" t="s">
        <v>3157</v>
      </c>
      <c r="G1499" s="3" t="s">
        <v>337</v>
      </c>
      <c r="H1499" s="3" t="s">
        <v>346</v>
      </c>
    </row>
    <row r="1500" spans="1:8" x14ac:dyDescent="0.25">
      <c r="A1500" s="3" t="s">
        <v>1817</v>
      </c>
      <c r="B1500" s="3" t="s">
        <v>4137</v>
      </c>
      <c r="C1500" s="3" t="s">
        <v>94</v>
      </c>
      <c r="D1500" s="3" t="s">
        <v>294</v>
      </c>
      <c r="E1500" s="3">
        <v>245.9</v>
      </c>
      <c r="F1500" s="3" t="s">
        <v>324</v>
      </c>
      <c r="G1500" s="3" t="s">
        <v>337</v>
      </c>
      <c r="H1500" s="3"/>
    </row>
    <row r="1501" spans="1:8" x14ac:dyDescent="0.25">
      <c r="A1501" s="3" t="s">
        <v>1818</v>
      </c>
      <c r="B1501" s="3" t="s">
        <v>4471</v>
      </c>
      <c r="C1501" s="3" t="s">
        <v>237</v>
      </c>
      <c r="D1501" s="3" t="s">
        <v>306</v>
      </c>
      <c r="E1501" s="3">
        <v>105.14</v>
      </c>
      <c r="F1501" s="3" t="s">
        <v>331</v>
      </c>
      <c r="G1501" s="3"/>
      <c r="H1501" s="3"/>
    </row>
    <row r="1502" spans="1:8" x14ac:dyDescent="0.25">
      <c r="A1502" s="3" t="s">
        <v>1819</v>
      </c>
      <c r="B1502" s="3" t="s">
        <v>4472</v>
      </c>
      <c r="C1502" s="3" t="s">
        <v>165</v>
      </c>
      <c r="D1502" s="3" t="s">
        <v>315</v>
      </c>
      <c r="E1502" s="3" t="s">
        <v>4473</v>
      </c>
      <c r="F1502" s="3" t="s">
        <v>2973</v>
      </c>
      <c r="G1502" s="3" t="s">
        <v>337</v>
      </c>
      <c r="H1502" s="3"/>
    </row>
    <row r="1503" spans="1:8" x14ac:dyDescent="0.25">
      <c r="A1503" s="3" t="s">
        <v>1820</v>
      </c>
      <c r="B1503" s="3" t="s">
        <v>4474</v>
      </c>
      <c r="C1503" s="3" t="s">
        <v>229</v>
      </c>
      <c r="D1503" s="3" t="s">
        <v>315</v>
      </c>
      <c r="E1503" s="3" t="s">
        <v>4475</v>
      </c>
      <c r="F1503" s="3" t="s">
        <v>324</v>
      </c>
      <c r="G1503" s="3" t="s">
        <v>337</v>
      </c>
      <c r="H1503" s="3" t="s">
        <v>334</v>
      </c>
    </row>
    <row r="1504" spans="1:8" x14ac:dyDescent="0.25">
      <c r="A1504" s="3" t="s">
        <v>1821</v>
      </c>
      <c r="B1504" s="3" t="s">
        <v>3961</v>
      </c>
      <c r="C1504" s="3" t="s">
        <v>195</v>
      </c>
      <c r="D1504" s="3" t="s">
        <v>312</v>
      </c>
      <c r="E1504" s="3">
        <v>558.98</v>
      </c>
      <c r="F1504" s="3" t="s">
        <v>324</v>
      </c>
      <c r="G1504" s="3" t="s">
        <v>327</v>
      </c>
      <c r="H1504" s="3"/>
    </row>
    <row r="1505" spans="1:8" x14ac:dyDescent="0.25">
      <c r="A1505" s="3" t="s">
        <v>1822</v>
      </c>
      <c r="B1505" s="3" t="s">
        <v>3872</v>
      </c>
      <c r="C1505" s="3" t="s">
        <v>80</v>
      </c>
      <c r="D1505" s="3" t="s">
        <v>309</v>
      </c>
      <c r="E1505" s="3">
        <v>639.13</v>
      </c>
      <c r="F1505" s="3" t="s">
        <v>2997</v>
      </c>
      <c r="G1505" s="3" t="s">
        <v>329</v>
      </c>
      <c r="H1505" s="3" t="s">
        <v>332</v>
      </c>
    </row>
    <row r="1506" spans="1:8" x14ac:dyDescent="0.25">
      <c r="A1506" s="3" t="s">
        <v>1823</v>
      </c>
      <c r="B1506" s="3" t="s">
        <v>3136</v>
      </c>
      <c r="C1506" s="3" t="s">
        <v>143</v>
      </c>
      <c r="D1506" s="3" t="s">
        <v>300</v>
      </c>
      <c r="E1506" s="3" t="s">
        <v>4476</v>
      </c>
      <c r="F1506" s="3" t="s">
        <v>324</v>
      </c>
      <c r="G1506" s="3" t="s">
        <v>327</v>
      </c>
      <c r="H1506" s="3" t="s">
        <v>346</v>
      </c>
    </row>
    <row r="1507" spans="1:8" x14ac:dyDescent="0.25">
      <c r="A1507" s="3" t="s">
        <v>1824</v>
      </c>
      <c r="B1507" s="3" t="s">
        <v>4477</v>
      </c>
      <c r="C1507" s="3" t="s">
        <v>19</v>
      </c>
      <c r="D1507" s="3" t="s">
        <v>294</v>
      </c>
      <c r="E1507" s="3" t="s">
        <v>4478</v>
      </c>
      <c r="F1507" s="3" t="s">
        <v>2976</v>
      </c>
      <c r="G1507" s="3" t="s">
        <v>325</v>
      </c>
      <c r="H1507" s="3" t="s">
        <v>346</v>
      </c>
    </row>
    <row r="1508" spans="1:8" x14ac:dyDescent="0.25">
      <c r="A1508" s="3" t="s">
        <v>1825</v>
      </c>
      <c r="B1508" s="3" t="s">
        <v>3706</v>
      </c>
      <c r="C1508" s="3" t="s">
        <v>82</v>
      </c>
      <c r="D1508" s="3" t="s">
        <v>294</v>
      </c>
      <c r="E1508" s="3">
        <v>395.01</v>
      </c>
      <c r="F1508" s="3" t="s">
        <v>2976</v>
      </c>
      <c r="G1508" s="3" t="s">
        <v>337</v>
      </c>
      <c r="H1508" s="3"/>
    </row>
    <row r="1509" spans="1:8" x14ac:dyDescent="0.25">
      <c r="A1509" s="3" t="s">
        <v>1826</v>
      </c>
      <c r="B1509" s="3" t="s">
        <v>3979</v>
      </c>
      <c r="C1509" s="3" t="s">
        <v>233</v>
      </c>
      <c r="D1509" s="3" t="s">
        <v>294</v>
      </c>
      <c r="E1509" s="3" t="s">
        <v>4479</v>
      </c>
      <c r="F1509" s="3" t="s">
        <v>324</v>
      </c>
      <c r="G1509" s="3" t="s">
        <v>329</v>
      </c>
      <c r="H1509" s="3" t="s">
        <v>346</v>
      </c>
    </row>
    <row r="1510" spans="1:8" x14ac:dyDescent="0.25">
      <c r="A1510" s="3" t="s">
        <v>1827</v>
      </c>
      <c r="B1510" s="3" t="s">
        <v>4019</v>
      </c>
      <c r="C1510" s="3" t="s">
        <v>109</v>
      </c>
      <c r="D1510" s="3" t="s">
        <v>297</v>
      </c>
      <c r="E1510" s="3">
        <v>265.64999999999998</v>
      </c>
      <c r="F1510" s="3" t="s">
        <v>2973</v>
      </c>
      <c r="G1510" s="3" t="s">
        <v>325</v>
      </c>
      <c r="H1510" s="3" t="s">
        <v>334</v>
      </c>
    </row>
    <row r="1511" spans="1:8" x14ac:dyDescent="0.25">
      <c r="A1511" s="3" t="s">
        <v>1828</v>
      </c>
      <c r="B1511" s="3" t="s">
        <v>4480</v>
      </c>
      <c r="C1511" s="3" t="s">
        <v>193</v>
      </c>
      <c r="D1511" s="3" t="s">
        <v>312</v>
      </c>
      <c r="E1511" s="3">
        <v>527.5</v>
      </c>
      <c r="F1511" s="3" t="s">
        <v>324</v>
      </c>
      <c r="G1511" s="3"/>
      <c r="H1511" s="3"/>
    </row>
    <row r="1512" spans="1:8" x14ac:dyDescent="0.25">
      <c r="A1512" s="3" t="s">
        <v>1829</v>
      </c>
      <c r="B1512" s="3" t="s">
        <v>4480</v>
      </c>
      <c r="C1512" s="3" t="s">
        <v>255</v>
      </c>
      <c r="D1512" s="3" t="s">
        <v>294</v>
      </c>
      <c r="E1512" s="3">
        <v>601.57000000000005</v>
      </c>
      <c r="F1512" s="3" t="s">
        <v>381</v>
      </c>
      <c r="G1512" s="3" t="s">
        <v>325</v>
      </c>
      <c r="H1512" s="3" t="s">
        <v>332</v>
      </c>
    </row>
    <row r="1513" spans="1:8" x14ac:dyDescent="0.25">
      <c r="A1513" s="3" t="s">
        <v>1830</v>
      </c>
      <c r="B1513" s="3" t="s">
        <v>4087</v>
      </c>
      <c r="C1513" s="3" t="s">
        <v>147</v>
      </c>
      <c r="D1513" s="3" t="s">
        <v>294</v>
      </c>
      <c r="E1513" s="3">
        <v>463.11</v>
      </c>
      <c r="F1513" s="3" t="s">
        <v>2976</v>
      </c>
      <c r="G1513" s="3" t="s">
        <v>329</v>
      </c>
      <c r="H1513" s="3"/>
    </row>
    <row r="1514" spans="1:8" x14ac:dyDescent="0.25">
      <c r="A1514" s="3" t="s">
        <v>1831</v>
      </c>
      <c r="B1514" s="3" t="s">
        <v>4036</v>
      </c>
      <c r="C1514" s="3" t="s">
        <v>35</v>
      </c>
      <c r="D1514" s="3" t="s">
        <v>315</v>
      </c>
      <c r="E1514" s="3">
        <v>283.47000000000003</v>
      </c>
      <c r="F1514" s="3" t="s">
        <v>2995</v>
      </c>
      <c r="G1514" s="3" t="s">
        <v>337</v>
      </c>
      <c r="H1514" s="3"/>
    </row>
    <row r="1515" spans="1:8" x14ac:dyDescent="0.25">
      <c r="A1515" s="3" t="s">
        <v>1832</v>
      </c>
      <c r="B1515" s="3" t="s">
        <v>4481</v>
      </c>
      <c r="C1515" s="3" t="s">
        <v>269</v>
      </c>
      <c r="D1515" s="3" t="s">
        <v>297</v>
      </c>
      <c r="E1515" s="3" t="s">
        <v>4482</v>
      </c>
      <c r="F1515" s="3" t="s">
        <v>2973</v>
      </c>
      <c r="G1515" s="3" t="s">
        <v>325</v>
      </c>
      <c r="H1515" s="3" t="s">
        <v>332</v>
      </c>
    </row>
    <row r="1516" spans="1:8" x14ac:dyDescent="0.25">
      <c r="A1516" s="3" t="s">
        <v>1833</v>
      </c>
      <c r="B1516" s="3" t="s">
        <v>4483</v>
      </c>
      <c r="C1516" s="3" t="s">
        <v>6</v>
      </c>
      <c r="D1516" s="3" t="s">
        <v>297</v>
      </c>
      <c r="E1516" s="3">
        <v>364.33</v>
      </c>
      <c r="F1516" s="3" t="s">
        <v>324</v>
      </c>
      <c r="G1516" s="3" t="s">
        <v>327</v>
      </c>
      <c r="H1516" s="3" t="s">
        <v>334</v>
      </c>
    </row>
    <row r="1517" spans="1:8" x14ac:dyDescent="0.25">
      <c r="A1517" s="3" t="s">
        <v>1834</v>
      </c>
      <c r="B1517" s="3" t="s">
        <v>3253</v>
      </c>
      <c r="C1517" s="3" t="s">
        <v>80</v>
      </c>
      <c r="D1517" s="3" t="s">
        <v>294</v>
      </c>
      <c r="E1517" s="3">
        <v>551.59</v>
      </c>
      <c r="F1517" s="3" t="s">
        <v>381</v>
      </c>
      <c r="G1517" s="3" t="s">
        <v>325</v>
      </c>
      <c r="H1517" s="3" t="s">
        <v>334</v>
      </c>
    </row>
    <row r="1518" spans="1:8" x14ac:dyDescent="0.25">
      <c r="A1518" s="3" t="s">
        <v>1835</v>
      </c>
      <c r="B1518" s="3" t="s">
        <v>4484</v>
      </c>
      <c r="C1518" s="3" t="s">
        <v>33</v>
      </c>
      <c r="D1518" s="3" t="s">
        <v>300</v>
      </c>
      <c r="E1518" s="3" t="s">
        <v>4485</v>
      </c>
      <c r="F1518" s="3" t="s">
        <v>3006</v>
      </c>
      <c r="G1518" s="3" t="s">
        <v>325</v>
      </c>
      <c r="H1518" s="3" t="s">
        <v>332</v>
      </c>
    </row>
    <row r="1519" spans="1:8" x14ac:dyDescent="0.25">
      <c r="A1519" s="3" t="s">
        <v>1836</v>
      </c>
      <c r="B1519" s="3" t="s">
        <v>3913</v>
      </c>
      <c r="C1519" s="3" t="s">
        <v>265</v>
      </c>
      <c r="D1519" s="3" t="s">
        <v>300</v>
      </c>
      <c r="E1519" s="3" t="s">
        <v>4486</v>
      </c>
      <c r="F1519" s="3" t="s">
        <v>2995</v>
      </c>
      <c r="G1519" s="3"/>
      <c r="H1519" s="3" t="s">
        <v>346</v>
      </c>
    </row>
    <row r="1520" spans="1:8" x14ac:dyDescent="0.25">
      <c r="A1520" s="3" t="s">
        <v>1837</v>
      </c>
      <c r="B1520" s="3" t="s">
        <v>4139</v>
      </c>
      <c r="C1520" s="3" t="s">
        <v>121</v>
      </c>
      <c r="D1520" s="3" t="s">
        <v>294</v>
      </c>
      <c r="E1520" s="3" t="s">
        <v>4487</v>
      </c>
      <c r="F1520" s="3" t="s">
        <v>2976</v>
      </c>
      <c r="G1520" s="3" t="s">
        <v>325</v>
      </c>
      <c r="H1520" s="3" t="s">
        <v>346</v>
      </c>
    </row>
    <row r="1521" spans="1:8" x14ac:dyDescent="0.25">
      <c r="A1521" s="3" t="s">
        <v>1838</v>
      </c>
      <c r="B1521" s="3" t="s">
        <v>3343</v>
      </c>
      <c r="C1521" s="3" t="s">
        <v>219</v>
      </c>
      <c r="D1521" s="3" t="s">
        <v>306</v>
      </c>
      <c r="E1521" s="3">
        <v>401.87</v>
      </c>
      <c r="F1521" s="3" t="s">
        <v>324</v>
      </c>
      <c r="G1521" s="3" t="s">
        <v>325</v>
      </c>
      <c r="H1521" s="3"/>
    </row>
    <row r="1522" spans="1:8" x14ac:dyDescent="0.25">
      <c r="A1522" s="3" t="s">
        <v>1839</v>
      </c>
      <c r="B1522" s="3" t="s">
        <v>3505</v>
      </c>
      <c r="C1522" s="3" t="s">
        <v>58</v>
      </c>
      <c r="D1522" s="3" t="s">
        <v>315</v>
      </c>
      <c r="E1522" s="3" t="s">
        <v>4488</v>
      </c>
      <c r="F1522" s="3" t="s">
        <v>324</v>
      </c>
      <c r="G1522" s="3" t="s">
        <v>327</v>
      </c>
      <c r="H1522" s="3" t="s">
        <v>346</v>
      </c>
    </row>
    <row r="1523" spans="1:8" x14ac:dyDescent="0.25">
      <c r="A1523" s="3" t="s">
        <v>1840</v>
      </c>
      <c r="B1523" s="3" t="s">
        <v>4170</v>
      </c>
      <c r="C1523" s="3" t="s">
        <v>177</v>
      </c>
      <c r="D1523" s="3" t="s">
        <v>294</v>
      </c>
      <c r="E1523" s="3">
        <v>-282.49</v>
      </c>
      <c r="F1523" s="3" t="s">
        <v>349</v>
      </c>
      <c r="G1523" s="3" t="s">
        <v>327</v>
      </c>
      <c r="H1523" s="3" t="s">
        <v>332</v>
      </c>
    </row>
    <row r="1524" spans="1:8" x14ac:dyDescent="0.25">
      <c r="A1524" s="3" t="s">
        <v>1841</v>
      </c>
      <c r="B1524" s="3" t="s">
        <v>4489</v>
      </c>
      <c r="C1524" s="3" t="s">
        <v>119</v>
      </c>
      <c r="D1524" s="3" t="s">
        <v>309</v>
      </c>
      <c r="E1524" s="3">
        <v>1354.47</v>
      </c>
      <c r="F1524" s="3" t="s">
        <v>2988</v>
      </c>
      <c r="G1524" s="3" t="s">
        <v>337</v>
      </c>
      <c r="H1524" s="3"/>
    </row>
    <row r="1525" spans="1:8" x14ac:dyDescent="0.25">
      <c r="A1525" s="3" t="s">
        <v>1842</v>
      </c>
      <c r="B1525" s="3" t="s">
        <v>3928</v>
      </c>
      <c r="C1525" s="3" t="s">
        <v>107</v>
      </c>
      <c r="D1525" s="3" t="s">
        <v>312</v>
      </c>
      <c r="E1525" s="3">
        <v>357.08</v>
      </c>
      <c r="F1525" s="3" t="s">
        <v>2976</v>
      </c>
      <c r="G1525" s="3" t="s">
        <v>337</v>
      </c>
      <c r="H1525" s="3"/>
    </row>
    <row r="1526" spans="1:8" x14ac:dyDescent="0.25">
      <c r="A1526" s="3" t="s">
        <v>1843</v>
      </c>
      <c r="B1526" s="3" t="s">
        <v>3321</v>
      </c>
      <c r="C1526" s="3" t="s">
        <v>78</v>
      </c>
      <c r="D1526" s="3" t="s">
        <v>312</v>
      </c>
      <c r="E1526" s="3" t="s">
        <v>4490</v>
      </c>
      <c r="F1526" s="3" t="s">
        <v>2988</v>
      </c>
      <c r="G1526" s="3" t="s">
        <v>325</v>
      </c>
      <c r="H1526" s="3" t="s">
        <v>334</v>
      </c>
    </row>
    <row r="1527" spans="1:8" x14ac:dyDescent="0.25">
      <c r="A1527" s="3" t="s">
        <v>1844</v>
      </c>
      <c r="B1527" s="3" t="s">
        <v>3921</v>
      </c>
      <c r="C1527" s="3" t="s">
        <v>42</v>
      </c>
      <c r="D1527" s="3" t="s">
        <v>294</v>
      </c>
      <c r="E1527" s="3" t="s">
        <v>4491</v>
      </c>
      <c r="F1527" s="3" t="s">
        <v>349</v>
      </c>
      <c r="G1527" s="3" t="s">
        <v>327</v>
      </c>
      <c r="H1527" s="3" t="s">
        <v>334</v>
      </c>
    </row>
    <row r="1528" spans="1:8" x14ac:dyDescent="0.25">
      <c r="A1528" s="3" t="s">
        <v>1845</v>
      </c>
      <c r="B1528" s="3" t="s">
        <v>4492</v>
      </c>
      <c r="C1528" s="3" t="s">
        <v>53</v>
      </c>
      <c r="D1528" s="3" t="s">
        <v>300</v>
      </c>
      <c r="E1528" s="3">
        <v>437.32</v>
      </c>
      <c r="F1528" s="3" t="s">
        <v>324</v>
      </c>
      <c r="G1528" s="3" t="s">
        <v>337</v>
      </c>
      <c r="H1528" s="3" t="s">
        <v>334</v>
      </c>
    </row>
    <row r="1529" spans="1:8" x14ac:dyDescent="0.25">
      <c r="A1529" s="3" t="s">
        <v>1846</v>
      </c>
      <c r="B1529" s="3" t="s">
        <v>3829</v>
      </c>
      <c r="C1529" s="3" t="s">
        <v>193</v>
      </c>
      <c r="D1529" s="3" t="s">
        <v>309</v>
      </c>
      <c r="E1529" s="3">
        <v>507.2</v>
      </c>
      <c r="F1529" s="3" t="s">
        <v>2995</v>
      </c>
      <c r="G1529" s="3"/>
      <c r="H1529" s="3" t="s">
        <v>332</v>
      </c>
    </row>
    <row r="1530" spans="1:8" x14ac:dyDescent="0.25">
      <c r="A1530" s="3" t="s">
        <v>1847</v>
      </c>
      <c r="B1530" s="3" t="s">
        <v>2993</v>
      </c>
      <c r="C1530" s="3" t="s">
        <v>44</v>
      </c>
      <c r="D1530" s="3" t="s">
        <v>297</v>
      </c>
      <c r="E1530" s="3">
        <v>399.1</v>
      </c>
      <c r="F1530" s="3" t="s">
        <v>324</v>
      </c>
      <c r="G1530" s="3" t="s">
        <v>327</v>
      </c>
      <c r="H1530" s="3" t="s">
        <v>334</v>
      </c>
    </row>
    <row r="1531" spans="1:8" x14ac:dyDescent="0.25">
      <c r="A1531" s="3" t="s">
        <v>1848</v>
      </c>
      <c r="B1531" s="3" t="s">
        <v>3165</v>
      </c>
      <c r="C1531" s="3" t="s">
        <v>96</v>
      </c>
      <c r="D1531" s="3" t="s">
        <v>309</v>
      </c>
      <c r="E1531" s="3">
        <v>275.33</v>
      </c>
      <c r="F1531" s="3" t="s">
        <v>331</v>
      </c>
      <c r="G1531" s="3" t="s">
        <v>325</v>
      </c>
      <c r="H1531" s="3" t="s">
        <v>334</v>
      </c>
    </row>
    <row r="1532" spans="1:8" x14ac:dyDescent="0.25">
      <c r="A1532" s="3" t="s">
        <v>1849</v>
      </c>
      <c r="B1532" s="3" t="s">
        <v>4493</v>
      </c>
      <c r="C1532" s="3" t="s">
        <v>225</v>
      </c>
      <c r="D1532" s="3" t="s">
        <v>312</v>
      </c>
      <c r="E1532" s="3">
        <v>921.47</v>
      </c>
      <c r="F1532" s="3" t="s">
        <v>2976</v>
      </c>
      <c r="G1532" s="3" t="s">
        <v>327</v>
      </c>
      <c r="H1532" s="3"/>
    </row>
    <row r="1533" spans="1:8" x14ac:dyDescent="0.25">
      <c r="A1533" s="3" t="s">
        <v>1850</v>
      </c>
      <c r="B1533" s="3" t="s">
        <v>3254</v>
      </c>
      <c r="C1533" s="3" t="s">
        <v>179</v>
      </c>
      <c r="D1533" s="3" t="s">
        <v>315</v>
      </c>
      <c r="E1533" s="3">
        <v>331.08</v>
      </c>
      <c r="F1533" s="3" t="s">
        <v>2976</v>
      </c>
      <c r="G1533" s="3" t="s">
        <v>325</v>
      </c>
      <c r="H1533" s="3"/>
    </row>
    <row r="1534" spans="1:8" x14ac:dyDescent="0.25">
      <c r="A1534" s="3" t="s">
        <v>1851</v>
      </c>
      <c r="B1534" s="3" t="s">
        <v>3339</v>
      </c>
      <c r="C1534" s="3" t="s">
        <v>209</v>
      </c>
      <c r="D1534" s="3" t="s">
        <v>294</v>
      </c>
      <c r="E1534" s="3">
        <v>485.68</v>
      </c>
      <c r="F1534" s="3" t="s">
        <v>324</v>
      </c>
      <c r="G1534" s="3" t="s">
        <v>325</v>
      </c>
      <c r="H1534" s="3"/>
    </row>
    <row r="1535" spans="1:8" x14ac:dyDescent="0.25">
      <c r="A1535" s="3" t="s">
        <v>1852</v>
      </c>
      <c r="B1535" s="3" t="s">
        <v>3327</v>
      </c>
      <c r="C1535" s="3" t="s">
        <v>109</v>
      </c>
      <c r="D1535" s="3" t="s">
        <v>312</v>
      </c>
      <c r="E1535" s="3" t="s">
        <v>4494</v>
      </c>
      <c r="F1535" s="3" t="s">
        <v>2973</v>
      </c>
      <c r="G1535" s="3" t="s">
        <v>329</v>
      </c>
      <c r="H1535" s="3"/>
    </row>
    <row r="1536" spans="1:8" x14ac:dyDescent="0.25">
      <c r="A1536" s="3" t="s">
        <v>1853</v>
      </c>
      <c r="B1536" s="3" t="s">
        <v>3873</v>
      </c>
      <c r="C1536" s="3" t="s">
        <v>113</v>
      </c>
      <c r="D1536" s="3" t="s">
        <v>312</v>
      </c>
      <c r="E1536" s="3">
        <v>143.04</v>
      </c>
      <c r="F1536" s="3" t="s">
        <v>324</v>
      </c>
      <c r="G1536" s="3"/>
      <c r="H1536" s="3" t="s">
        <v>332</v>
      </c>
    </row>
    <row r="1537" spans="1:8" x14ac:dyDescent="0.25">
      <c r="A1537" s="3" t="s">
        <v>1854</v>
      </c>
      <c r="B1537" s="3" t="s">
        <v>4495</v>
      </c>
      <c r="C1537" s="3" t="s">
        <v>76</v>
      </c>
      <c r="D1537" s="3" t="s">
        <v>294</v>
      </c>
      <c r="E1537" s="3" t="s">
        <v>4496</v>
      </c>
      <c r="F1537" s="3" t="s">
        <v>2976</v>
      </c>
      <c r="G1537" s="3" t="s">
        <v>337</v>
      </c>
      <c r="H1537" s="3"/>
    </row>
    <row r="1538" spans="1:8" x14ac:dyDescent="0.25">
      <c r="A1538" s="3" t="s">
        <v>1855</v>
      </c>
      <c r="B1538" s="3" t="s">
        <v>3473</v>
      </c>
      <c r="C1538" s="3" t="s">
        <v>135</v>
      </c>
      <c r="D1538" s="3" t="s">
        <v>303</v>
      </c>
      <c r="E1538" s="3">
        <v>223.24</v>
      </c>
      <c r="F1538" s="3" t="s">
        <v>324</v>
      </c>
      <c r="G1538" s="3" t="s">
        <v>337</v>
      </c>
      <c r="H1538" s="3" t="s">
        <v>332</v>
      </c>
    </row>
    <row r="1539" spans="1:8" x14ac:dyDescent="0.25">
      <c r="A1539" s="3" t="s">
        <v>1856</v>
      </c>
      <c r="B1539" s="3" t="s">
        <v>3109</v>
      </c>
      <c r="C1539" s="3" t="s">
        <v>263</v>
      </c>
      <c r="D1539" s="3" t="s">
        <v>315</v>
      </c>
      <c r="E1539" s="3">
        <v>947.89</v>
      </c>
      <c r="F1539" s="3" t="s">
        <v>324</v>
      </c>
      <c r="G1539" s="3" t="s">
        <v>327</v>
      </c>
      <c r="H1539" s="3" t="s">
        <v>334</v>
      </c>
    </row>
    <row r="1540" spans="1:8" x14ac:dyDescent="0.25">
      <c r="A1540" s="3" t="s">
        <v>1857</v>
      </c>
      <c r="B1540" s="3" t="s">
        <v>4497</v>
      </c>
      <c r="C1540" s="3" t="s">
        <v>179</v>
      </c>
      <c r="D1540" s="3" t="s">
        <v>297</v>
      </c>
      <c r="E1540" s="3">
        <v>449.26</v>
      </c>
      <c r="F1540" s="3" t="s">
        <v>2976</v>
      </c>
      <c r="G1540" s="3" t="s">
        <v>337</v>
      </c>
      <c r="H1540" s="3" t="s">
        <v>334</v>
      </c>
    </row>
    <row r="1541" spans="1:8" x14ac:dyDescent="0.25">
      <c r="A1541" s="3" t="s">
        <v>1858</v>
      </c>
      <c r="B1541" s="3" t="s">
        <v>4498</v>
      </c>
      <c r="C1541" s="3" t="s">
        <v>157</v>
      </c>
      <c r="D1541" s="3" t="s">
        <v>309</v>
      </c>
      <c r="E1541" s="3" t="s">
        <v>4499</v>
      </c>
      <c r="F1541" s="3" t="s">
        <v>324</v>
      </c>
      <c r="G1541" s="3" t="s">
        <v>327</v>
      </c>
      <c r="H1541" s="3"/>
    </row>
    <row r="1542" spans="1:8" x14ac:dyDescent="0.25">
      <c r="A1542" s="3" t="s">
        <v>1859</v>
      </c>
      <c r="B1542" s="3" t="s">
        <v>3442</v>
      </c>
      <c r="C1542" s="3" t="s">
        <v>253</v>
      </c>
      <c r="D1542" s="3" t="s">
        <v>306</v>
      </c>
      <c r="E1542" s="3" t="s">
        <v>4500</v>
      </c>
      <c r="F1542" s="3" t="s">
        <v>2995</v>
      </c>
      <c r="G1542" s="3" t="s">
        <v>325</v>
      </c>
      <c r="H1542" s="3" t="s">
        <v>332</v>
      </c>
    </row>
    <row r="1543" spans="1:8" x14ac:dyDescent="0.25">
      <c r="A1543" s="3" t="s">
        <v>1860</v>
      </c>
      <c r="B1543" s="3" t="s">
        <v>4287</v>
      </c>
      <c r="C1543" s="3" t="s">
        <v>255</v>
      </c>
      <c r="D1543" s="3" t="s">
        <v>300</v>
      </c>
      <c r="E1543" s="3" t="s">
        <v>4501</v>
      </c>
      <c r="F1543" s="3" t="s">
        <v>331</v>
      </c>
      <c r="G1543" s="3" t="s">
        <v>325</v>
      </c>
      <c r="H1543" s="3" t="s">
        <v>346</v>
      </c>
    </row>
    <row r="1544" spans="1:8" x14ac:dyDescent="0.25">
      <c r="A1544" s="3" t="s">
        <v>1861</v>
      </c>
      <c r="B1544" s="3" t="s">
        <v>4502</v>
      </c>
      <c r="C1544" s="3" t="s">
        <v>201</v>
      </c>
      <c r="D1544" s="3" t="s">
        <v>300</v>
      </c>
      <c r="E1544" s="3">
        <v>439.22</v>
      </c>
      <c r="F1544" s="3" t="s">
        <v>2995</v>
      </c>
      <c r="G1544" s="3" t="s">
        <v>327</v>
      </c>
      <c r="H1544" s="3" t="s">
        <v>334</v>
      </c>
    </row>
    <row r="1545" spans="1:8" x14ac:dyDescent="0.25">
      <c r="A1545" s="3" t="s">
        <v>1862</v>
      </c>
      <c r="B1545" s="3" t="s">
        <v>3254</v>
      </c>
      <c r="C1545" s="3" t="s">
        <v>245</v>
      </c>
      <c r="D1545" s="3" t="s">
        <v>306</v>
      </c>
      <c r="E1545" s="3" t="s">
        <v>4503</v>
      </c>
      <c r="F1545" s="3" t="s">
        <v>2976</v>
      </c>
      <c r="G1545" s="3" t="s">
        <v>325</v>
      </c>
      <c r="H1545" s="3" t="s">
        <v>332</v>
      </c>
    </row>
    <row r="1546" spans="1:8" x14ac:dyDescent="0.25">
      <c r="A1546" s="3" t="s">
        <v>1863</v>
      </c>
      <c r="B1546" s="3" t="s">
        <v>3013</v>
      </c>
      <c r="C1546" s="3" t="s">
        <v>165</v>
      </c>
      <c r="D1546" s="3" t="s">
        <v>306</v>
      </c>
      <c r="E1546" s="3" t="s">
        <v>4504</v>
      </c>
      <c r="F1546" s="3" t="s">
        <v>324</v>
      </c>
      <c r="G1546" s="3" t="s">
        <v>327</v>
      </c>
      <c r="H1546" s="3"/>
    </row>
    <row r="1547" spans="1:8" x14ac:dyDescent="0.25">
      <c r="A1547" s="3" t="s">
        <v>1864</v>
      </c>
      <c r="B1547" s="3" t="s">
        <v>3238</v>
      </c>
      <c r="C1547" s="3" t="s">
        <v>6</v>
      </c>
      <c r="D1547" s="3" t="s">
        <v>306</v>
      </c>
      <c r="E1547" s="3" t="s">
        <v>4505</v>
      </c>
      <c r="F1547" s="3" t="s">
        <v>324</v>
      </c>
      <c r="G1547" s="3" t="s">
        <v>325</v>
      </c>
      <c r="H1547" s="3" t="s">
        <v>346</v>
      </c>
    </row>
    <row r="1548" spans="1:8" x14ac:dyDescent="0.25">
      <c r="A1548" s="3" t="s">
        <v>1865</v>
      </c>
      <c r="B1548" s="3" t="s">
        <v>3235</v>
      </c>
      <c r="C1548" s="3" t="s">
        <v>153</v>
      </c>
      <c r="D1548" s="3" t="s">
        <v>294</v>
      </c>
      <c r="E1548" s="3" t="s">
        <v>4506</v>
      </c>
      <c r="F1548" s="3" t="s">
        <v>381</v>
      </c>
      <c r="G1548" s="3" t="s">
        <v>327</v>
      </c>
      <c r="H1548" s="3" t="s">
        <v>346</v>
      </c>
    </row>
    <row r="1549" spans="1:8" x14ac:dyDescent="0.25">
      <c r="A1549" s="3" t="s">
        <v>1866</v>
      </c>
      <c r="B1549" s="3" t="s">
        <v>4042</v>
      </c>
      <c r="C1549" s="3" t="s">
        <v>35</v>
      </c>
      <c r="D1549" s="3" t="s">
        <v>300</v>
      </c>
      <c r="E1549" s="3">
        <v>587.41999999999996</v>
      </c>
      <c r="F1549" s="3" t="s">
        <v>324</v>
      </c>
      <c r="G1549" s="3" t="s">
        <v>325</v>
      </c>
      <c r="H1549" s="3"/>
    </row>
    <row r="1550" spans="1:8" x14ac:dyDescent="0.25">
      <c r="A1550" s="3" t="s">
        <v>1867</v>
      </c>
      <c r="B1550" s="3" t="s">
        <v>3854</v>
      </c>
      <c r="C1550" s="3" t="s">
        <v>253</v>
      </c>
      <c r="D1550" s="3" t="s">
        <v>294</v>
      </c>
      <c r="E1550" s="3">
        <v>487.74</v>
      </c>
      <c r="F1550" s="3" t="s">
        <v>2973</v>
      </c>
      <c r="G1550" s="3"/>
      <c r="H1550" s="3"/>
    </row>
    <row r="1551" spans="1:8" x14ac:dyDescent="0.25">
      <c r="A1551" s="3" t="s">
        <v>1868</v>
      </c>
      <c r="B1551" s="3" t="s">
        <v>4068</v>
      </c>
      <c r="C1551" s="3" t="s">
        <v>219</v>
      </c>
      <c r="D1551" s="3" t="s">
        <v>297</v>
      </c>
      <c r="E1551" s="3">
        <v>-610.95000000000005</v>
      </c>
      <c r="F1551" s="3" t="s">
        <v>349</v>
      </c>
      <c r="G1551" s="3" t="s">
        <v>325</v>
      </c>
      <c r="H1551" s="3" t="s">
        <v>346</v>
      </c>
    </row>
    <row r="1552" spans="1:8" x14ac:dyDescent="0.25">
      <c r="A1552" s="3" t="s">
        <v>1869</v>
      </c>
      <c r="B1552" s="3" t="s">
        <v>4044</v>
      </c>
      <c r="C1552" s="3" t="s">
        <v>185</v>
      </c>
      <c r="D1552" s="3" t="s">
        <v>306</v>
      </c>
      <c r="E1552" s="3">
        <v>530.02</v>
      </c>
      <c r="F1552" s="3" t="s">
        <v>3097</v>
      </c>
      <c r="G1552" s="3" t="s">
        <v>327</v>
      </c>
      <c r="H1552" s="3" t="s">
        <v>346</v>
      </c>
    </row>
    <row r="1553" spans="1:8" x14ac:dyDescent="0.25">
      <c r="A1553" s="3" t="s">
        <v>1870</v>
      </c>
      <c r="B1553" s="3" t="s">
        <v>3968</v>
      </c>
      <c r="C1553" s="3" t="s">
        <v>157</v>
      </c>
      <c r="D1553" s="3" t="s">
        <v>300</v>
      </c>
      <c r="E1553" s="3">
        <v>521.54</v>
      </c>
      <c r="F1553" s="3" t="s">
        <v>2988</v>
      </c>
      <c r="G1553" s="3" t="s">
        <v>327</v>
      </c>
      <c r="H1553" s="3"/>
    </row>
    <row r="1554" spans="1:8" x14ac:dyDescent="0.25">
      <c r="A1554" s="3" t="s">
        <v>1871</v>
      </c>
      <c r="B1554" s="3" t="s">
        <v>4507</v>
      </c>
      <c r="C1554" s="3" t="s">
        <v>229</v>
      </c>
      <c r="D1554" s="3" t="s">
        <v>297</v>
      </c>
      <c r="E1554" s="3">
        <v>481.59</v>
      </c>
      <c r="F1554" s="3" t="s">
        <v>381</v>
      </c>
      <c r="G1554" s="3" t="s">
        <v>337</v>
      </c>
      <c r="H1554" s="3"/>
    </row>
    <row r="1555" spans="1:8" x14ac:dyDescent="0.25">
      <c r="A1555" s="3" t="s">
        <v>1872</v>
      </c>
      <c r="B1555" s="3" t="s">
        <v>4508</v>
      </c>
      <c r="C1555" s="3" t="s">
        <v>171</v>
      </c>
      <c r="D1555" s="3" t="s">
        <v>294</v>
      </c>
      <c r="E1555" s="3">
        <v>-858.8</v>
      </c>
      <c r="F1555" s="3" t="s">
        <v>3006</v>
      </c>
      <c r="G1555" s="3" t="s">
        <v>327</v>
      </c>
      <c r="H1555" s="3"/>
    </row>
    <row r="1556" spans="1:8" x14ac:dyDescent="0.25">
      <c r="A1556" s="3" t="s">
        <v>1873</v>
      </c>
      <c r="B1556" s="3" t="s">
        <v>4509</v>
      </c>
      <c r="C1556" s="3" t="s">
        <v>44</v>
      </c>
      <c r="D1556" s="3" t="s">
        <v>309</v>
      </c>
      <c r="E1556" s="3" t="s">
        <v>4510</v>
      </c>
      <c r="F1556" s="3" t="s">
        <v>3037</v>
      </c>
      <c r="G1556" s="3" t="s">
        <v>327</v>
      </c>
      <c r="H1556" s="3"/>
    </row>
    <row r="1557" spans="1:8" x14ac:dyDescent="0.25">
      <c r="A1557" s="3" t="s">
        <v>1874</v>
      </c>
      <c r="B1557" s="3" t="s">
        <v>3052</v>
      </c>
      <c r="C1557" s="3" t="s">
        <v>147</v>
      </c>
      <c r="D1557" s="3" t="s">
        <v>300</v>
      </c>
      <c r="E1557" s="3">
        <v>351.27</v>
      </c>
      <c r="F1557" s="3" t="s">
        <v>2988</v>
      </c>
      <c r="G1557" s="3" t="s">
        <v>329</v>
      </c>
      <c r="H1557" s="3"/>
    </row>
    <row r="1558" spans="1:8" x14ac:dyDescent="0.25">
      <c r="A1558" s="3" t="s">
        <v>1875</v>
      </c>
      <c r="B1558" s="3" t="s">
        <v>4032</v>
      </c>
      <c r="C1558" s="3" t="s">
        <v>72</v>
      </c>
      <c r="D1558" s="3" t="s">
        <v>294</v>
      </c>
      <c r="E1558" s="3" t="s">
        <v>4511</v>
      </c>
      <c r="F1558" s="3" t="s">
        <v>3060</v>
      </c>
      <c r="G1558" s="3" t="s">
        <v>327</v>
      </c>
      <c r="H1558" s="3" t="s">
        <v>346</v>
      </c>
    </row>
    <row r="1559" spans="1:8" x14ac:dyDescent="0.25">
      <c r="A1559" s="3" t="s">
        <v>1876</v>
      </c>
      <c r="B1559" s="3" t="s">
        <v>4512</v>
      </c>
      <c r="C1559" s="3" t="s">
        <v>145</v>
      </c>
      <c r="D1559" s="3" t="s">
        <v>312</v>
      </c>
      <c r="E1559" s="3">
        <v>335.99</v>
      </c>
      <c r="F1559" s="3" t="s">
        <v>324</v>
      </c>
      <c r="G1559" s="3" t="s">
        <v>325</v>
      </c>
      <c r="H1559" s="3"/>
    </row>
    <row r="1560" spans="1:8" x14ac:dyDescent="0.25">
      <c r="A1560" s="3" t="s">
        <v>1877</v>
      </c>
      <c r="B1560" s="3" t="s">
        <v>4513</v>
      </c>
      <c r="C1560" s="3" t="s">
        <v>94</v>
      </c>
      <c r="D1560" s="3" t="s">
        <v>303</v>
      </c>
      <c r="E1560" s="3" t="s">
        <v>4514</v>
      </c>
      <c r="F1560" s="3" t="s">
        <v>324</v>
      </c>
      <c r="G1560" s="3" t="s">
        <v>337</v>
      </c>
      <c r="H1560" s="3"/>
    </row>
    <row r="1561" spans="1:8" x14ac:dyDescent="0.25">
      <c r="A1561" s="3" t="s">
        <v>1878</v>
      </c>
      <c r="B1561" s="3" t="s">
        <v>3395</v>
      </c>
      <c r="C1561" s="3" t="s">
        <v>60</v>
      </c>
      <c r="D1561" s="3" t="s">
        <v>312</v>
      </c>
      <c r="E1561" s="3" t="s">
        <v>4515</v>
      </c>
      <c r="F1561" s="3" t="s">
        <v>3021</v>
      </c>
      <c r="G1561" s="3" t="s">
        <v>327</v>
      </c>
      <c r="H1561" s="3"/>
    </row>
    <row r="1562" spans="1:8" x14ac:dyDescent="0.25">
      <c r="A1562" s="3" t="s">
        <v>1879</v>
      </c>
      <c r="B1562" s="3" t="s">
        <v>4516</v>
      </c>
      <c r="C1562" s="3" t="s">
        <v>6</v>
      </c>
      <c r="D1562" s="3" t="s">
        <v>300</v>
      </c>
      <c r="E1562" s="3" t="s">
        <v>4517</v>
      </c>
      <c r="F1562" s="3" t="s">
        <v>2976</v>
      </c>
      <c r="G1562" s="3" t="s">
        <v>327</v>
      </c>
      <c r="H1562" s="3" t="s">
        <v>334</v>
      </c>
    </row>
    <row r="1563" spans="1:8" x14ac:dyDescent="0.25">
      <c r="A1563" s="3" t="s">
        <v>1880</v>
      </c>
      <c r="B1563" s="3" t="s">
        <v>3719</v>
      </c>
      <c r="C1563" s="3" t="s">
        <v>165</v>
      </c>
      <c r="D1563" s="3" t="s">
        <v>309</v>
      </c>
      <c r="E1563" s="3">
        <v>1007.56</v>
      </c>
      <c r="F1563" s="3" t="s">
        <v>2976</v>
      </c>
      <c r="G1563" s="3" t="s">
        <v>325</v>
      </c>
      <c r="H1563" s="3"/>
    </row>
    <row r="1564" spans="1:8" x14ac:dyDescent="0.25">
      <c r="A1564" s="3" t="s">
        <v>1881</v>
      </c>
      <c r="B1564" s="3" t="s">
        <v>4265</v>
      </c>
      <c r="C1564" s="3" t="s">
        <v>261</v>
      </c>
      <c r="D1564" s="3" t="s">
        <v>297</v>
      </c>
      <c r="E1564" s="3" t="s">
        <v>4518</v>
      </c>
      <c r="F1564" s="3" t="s">
        <v>324</v>
      </c>
      <c r="G1564" s="3" t="s">
        <v>325</v>
      </c>
      <c r="H1564" s="3"/>
    </row>
    <row r="1565" spans="1:8" x14ac:dyDescent="0.25">
      <c r="A1565" s="3" t="s">
        <v>527</v>
      </c>
      <c r="B1565" s="3" t="s">
        <v>3224</v>
      </c>
      <c r="C1565" s="3" t="s">
        <v>64</v>
      </c>
      <c r="D1565" s="3" t="s">
        <v>297</v>
      </c>
      <c r="E1565" s="3">
        <v>-486.01</v>
      </c>
      <c r="F1565" s="3" t="s">
        <v>3006</v>
      </c>
      <c r="G1565" s="3" t="s">
        <v>325</v>
      </c>
      <c r="H1565" s="3" t="s">
        <v>332</v>
      </c>
    </row>
    <row r="1566" spans="1:8" x14ac:dyDescent="0.25">
      <c r="A1566" s="3" t="s">
        <v>1882</v>
      </c>
      <c r="B1566" s="3" t="s">
        <v>3901</v>
      </c>
      <c r="C1566" s="3" t="s">
        <v>253</v>
      </c>
      <c r="D1566" s="3" t="s">
        <v>297</v>
      </c>
      <c r="E1566" s="3" t="s">
        <v>4519</v>
      </c>
      <c r="F1566" s="3" t="s">
        <v>324</v>
      </c>
      <c r="G1566" s="3" t="s">
        <v>325</v>
      </c>
      <c r="H1566" s="3"/>
    </row>
    <row r="1567" spans="1:8" x14ac:dyDescent="0.25">
      <c r="A1567" s="3" t="s">
        <v>1883</v>
      </c>
      <c r="B1567" s="3" t="s">
        <v>3331</v>
      </c>
      <c r="C1567" s="3" t="s">
        <v>197</v>
      </c>
      <c r="D1567" s="3" t="s">
        <v>294</v>
      </c>
      <c r="E1567" s="3" t="s">
        <v>4520</v>
      </c>
      <c r="F1567" s="3" t="s">
        <v>324</v>
      </c>
      <c r="G1567" s="3" t="s">
        <v>327</v>
      </c>
      <c r="H1567" s="3" t="s">
        <v>346</v>
      </c>
    </row>
    <row r="1568" spans="1:8" x14ac:dyDescent="0.25">
      <c r="A1568" s="3" t="s">
        <v>1884</v>
      </c>
      <c r="B1568" s="3" t="s">
        <v>4521</v>
      </c>
      <c r="C1568" s="3" t="s">
        <v>127</v>
      </c>
      <c r="D1568" s="3" t="s">
        <v>306</v>
      </c>
      <c r="E1568" s="3">
        <v>178.61</v>
      </c>
      <c r="F1568" s="3" t="s">
        <v>3097</v>
      </c>
      <c r="G1568" s="3" t="s">
        <v>325</v>
      </c>
      <c r="H1568" s="3" t="s">
        <v>332</v>
      </c>
    </row>
    <row r="1569" spans="1:8" x14ac:dyDescent="0.25">
      <c r="A1569" s="3" t="s">
        <v>1885</v>
      </c>
      <c r="B1569" s="3" t="s">
        <v>4021</v>
      </c>
      <c r="C1569" s="3" t="s">
        <v>33</v>
      </c>
      <c r="D1569" s="3" t="s">
        <v>309</v>
      </c>
      <c r="E1569" s="3" t="s">
        <v>4522</v>
      </c>
      <c r="F1569" s="3" t="s">
        <v>349</v>
      </c>
      <c r="G1569" s="3" t="s">
        <v>337</v>
      </c>
      <c r="H1569" s="3"/>
    </row>
    <row r="1570" spans="1:8" x14ac:dyDescent="0.25">
      <c r="A1570" s="3" t="s">
        <v>1886</v>
      </c>
      <c r="B1570" s="3" t="s">
        <v>4064</v>
      </c>
      <c r="C1570" s="3" t="s">
        <v>181</v>
      </c>
      <c r="D1570" s="3" t="s">
        <v>300</v>
      </c>
      <c r="E1570" s="3">
        <v>589.34</v>
      </c>
      <c r="F1570" s="3" t="s">
        <v>324</v>
      </c>
      <c r="G1570" s="3" t="s">
        <v>327</v>
      </c>
      <c r="H1570" s="3" t="s">
        <v>332</v>
      </c>
    </row>
    <row r="1571" spans="1:8" x14ac:dyDescent="0.25">
      <c r="A1571" s="3" t="s">
        <v>1887</v>
      </c>
      <c r="B1571" s="3" t="s">
        <v>3167</v>
      </c>
      <c r="C1571" s="3" t="s">
        <v>221</v>
      </c>
      <c r="D1571" s="3" t="s">
        <v>315</v>
      </c>
      <c r="E1571" s="3">
        <v>158.97</v>
      </c>
      <c r="F1571" s="3" t="s">
        <v>2976</v>
      </c>
      <c r="G1571" s="3" t="s">
        <v>327</v>
      </c>
      <c r="H1571" s="3"/>
    </row>
    <row r="1572" spans="1:8" x14ac:dyDescent="0.25">
      <c r="A1572" s="3" t="s">
        <v>1888</v>
      </c>
      <c r="B1572" s="3" t="s">
        <v>3730</v>
      </c>
      <c r="C1572" s="3" t="s">
        <v>26</v>
      </c>
      <c r="D1572" s="3" t="s">
        <v>297</v>
      </c>
      <c r="E1572" s="3">
        <v>119.57</v>
      </c>
      <c r="F1572" s="3" t="s">
        <v>3178</v>
      </c>
      <c r="G1572" s="3" t="s">
        <v>325</v>
      </c>
      <c r="H1572" s="3" t="s">
        <v>332</v>
      </c>
    </row>
    <row r="1573" spans="1:8" x14ac:dyDescent="0.25">
      <c r="A1573" s="3" t="s">
        <v>1889</v>
      </c>
      <c r="B1573" s="3" t="s">
        <v>3900</v>
      </c>
      <c r="C1573" s="3" t="s">
        <v>66</v>
      </c>
      <c r="D1573" s="3" t="s">
        <v>306</v>
      </c>
      <c r="E1573" s="3" t="s">
        <v>4523</v>
      </c>
      <c r="F1573" s="3" t="s">
        <v>2995</v>
      </c>
      <c r="G1573" s="3" t="s">
        <v>325</v>
      </c>
      <c r="H1573" s="3" t="s">
        <v>334</v>
      </c>
    </row>
    <row r="1574" spans="1:8" x14ac:dyDescent="0.25">
      <c r="A1574" s="3" t="s">
        <v>1890</v>
      </c>
      <c r="B1574" s="3" t="s">
        <v>4203</v>
      </c>
      <c r="C1574" s="3" t="s">
        <v>141</v>
      </c>
      <c r="D1574" s="3" t="s">
        <v>312</v>
      </c>
      <c r="E1574" s="3" t="s">
        <v>4524</v>
      </c>
      <c r="F1574" s="3" t="s">
        <v>2980</v>
      </c>
      <c r="G1574" s="3" t="s">
        <v>327</v>
      </c>
      <c r="H1574" s="3"/>
    </row>
    <row r="1575" spans="1:8" x14ac:dyDescent="0.25">
      <c r="A1575" s="3" t="s">
        <v>1891</v>
      </c>
      <c r="B1575" s="3" t="s">
        <v>3047</v>
      </c>
      <c r="C1575" s="3" t="s">
        <v>88</v>
      </c>
      <c r="D1575" s="3" t="s">
        <v>294</v>
      </c>
      <c r="E1575" s="3">
        <v>647.92999999999995</v>
      </c>
      <c r="F1575" s="3" t="s">
        <v>2973</v>
      </c>
      <c r="G1575" s="3" t="s">
        <v>337</v>
      </c>
      <c r="H1575" s="3" t="s">
        <v>332</v>
      </c>
    </row>
    <row r="1576" spans="1:8" x14ac:dyDescent="0.25">
      <c r="A1576" s="3" t="s">
        <v>1892</v>
      </c>
      <c r="B1576" s="3" t="s">
        <v>4283</v>
      </c>
      <c r="C1576" s="3" t="s">
        <v>40</v>
      </c>
      <c r="D1576" s="3" t="s">
        <v>300</v>
      </c>
      <c r="E1576" s="3">
        <v>1132.74</v>
      </c>
      <c r="F1576" s="3" t="s">
        <v>324</v>
      </c>
      <c r="G1576" s="3" t="s">
        <v>325</v>
      </c>
      <c r="H1576" s="3" t="s">
        <v>334</v>
      </c>
    </row>
    <row r="1577" spans="1:8" x14ac:dyDescent="0.25">
      <c r="A1577" s="3" t="s">
        <v>1893</v>
      </c>
      <c r="B1577" s="3" t="s">
        <v>3256</v>
      </c>
      <c r="C1577" s="3" t="s">
        <v>113</v>
      </c>
      <c r="D1577" s="3" t="s">
        <v>309</v>
      </c>
      <c r="E1577" s="3" t="s">
        <v>4525</v>
      </c>
      <c r="F1577" s="3" t="s">
        <v>324</v>
      </c>
      <c r="G1577" s="3" t="s">
        <v>325</v>
      </c>
      <c r="H1577" s="3"/>
    </row>
    <row r="1578" spans="1:8" x14ac:dyDescent="0.25">
      <c r="A1578" s="3" t="s">
        <v>1894</v>
      </c>
      <c r="B1578" s="3" t="s">
        <v>4526</v>
      </c>
      <c r="C1578" s="3" t="s">
        <v>265</v>
      </c>
      <c r="D1578" s="3" t="s">
        <v>312</v>
      </c>
      <c r="E1578" s="3" t="s">
        <v>4527</v>
      </c>
      <c r="F1578" s="3" t="s">
        <v>2976</v>
      </c>
      <c r="G1578" s="3" t="s">
        <v>325</v>
      </c>
      <c r="H1578" s="3"/>
    </row>
    <row r="1579" spans="1:8" x14ac:dyDescent="0.25">
      <c r="A1579" s="3" t="s">
        <v>1895</v>
      </c>
      <c r="B1579" s="3" t="s">
        <v>4528</v>
      </c>
      <c r="C1579" s="3" t="s">
        <v>243</v>
      </c>
      <c r="D1579" s="3" t="s">
        <v>315</v>
      </c>
      <c r="E1579" s="3">
        <v>183.34</v>
      </c>
      <c r="F1579" s="3" t="s">
        <v>331</v>
      </c>
      <c r="G1579" s="3" t="s">
        <v>325</v>
      </c>
      <c r="H1579" s="3"/>
    </row>
    <row r="1580" spans="1:8" x14ac:dyDescent="0.25">
      <c r="A1580" s="3" t="s">
        <v>1896</v>
      </c>
      <c r="B1580" s="3" t="s">
        <v>4529</v>
      </c>
      <c r="C1580" s="3" t="s">
        <v>86</v>
      </c>
      <c r="D1580" s="3" t="s">
        <v>303</v>
      </c>
      <c r="E1580" s="3" t="s">
        <v>4530</v>
      </c>
      <c r="F1580" s="3" t="s">
        <v>3097</v>
      </c>
      <c r="G1580" s="3" t="s">
        <v>337</v>
      </c>
      <c r="H1580" s="3"/>
    </row>
    <row r="1581" spans="1:8" x14ac:dyDescent="0.25">
      <c r="A1581" s="3" t="s">
        <v>1897</v>
      </c>
      <c r="B1581" s="3" t="s">
        <v>4531</v>
      </c>
      <c r="C1581" s="3" t="s">
        <v>33</v>
      </c>
      <c r="D1581" s="3" t="s">
        <v>294</v>
      </c>
      <c r="E1581" s="3">
        <v>874.58</v>
      </c>
      <c r="F1581" s="3" t="s">
        <v>2988</v>
      </c>
      <c r="G1581" s="3" t="s">
        <v>337</v>
      </c>
      <c r="H1581" s="3" t="s">
        <v>334</v>
      </c>
    </row>
    <row r="1582" spans="1:8" x14ac:dyDescent="0.25">
      <c r="A1582" s="3" t="s">
        <v>1898</v>
      </c>
      <c r="B1582" s="3" t="s">
        <v>3160</v>
      </c>
      <c r="C1582" s="3" t="s">
        <v>237</v>
      </c>
      <c r="D1582" s="3" t="s">
        <v>300</v>
      </c>
      <c r="E1582" s="3" t="s">
        <v>4532</v>
      </c>
      <c r="F1582" s="3" t="s">
        <v>2988</v>
      </c>
      <c r="G1582" s="3" t="s">
        <v>325</v>
      </c>
      <c r="H1582" s="3" t="s">
        <v>346</v>
      </c>
    </row>
    <row r="1583" spans="1:8" x14ac:dyDescent="0.25">
      <c r="A1583" s="3" t="s">
        <v>1899</v>
      </c>
      <c r="B1583" s="3" t="s">
        <v>3310</v>
      </c>
      <c r="C1583" s="3" t="s">
        <v>213</v>
      </c>
      <c r="D1583" s="3" t="s">
        <v>315</v>
      </c>
      <c r="E1583" s="3" t="s">
        <v>4533</v>
      </c>
      <c r="F1583" s="3" t="s">
        <v>324</v>
      </c>
      <c r="G1583" s="3" t="s">
        <v>325</v>
      </c>
      <c r="H1583" s="3"/>
    </row>
    <row r="1584" spans="1:8" x14ac:dyDescent="0.25">
      <c r="A1584" s="3" t="s">
        <v>1900</v>
      </c>
      <c r="B1584" s="3" t="s">
        <v>4534</v>
      </c>
      <c r="C1584" s="3" t="s">
        <v>42</v>
      </c>
      <c r="D1584" s="3" t="s">
        <v>294</v>
      </c>
      <c r="E1584" s="3" t="s">
        <v>4535</v>
      </c>
      <c r="F1584" s="3" t="s">
        <v>324</v>
      </c>
      <c r="G1584" s="3" t="s">
        <v>325</v>
      </c>
      <c r="H1584" s="3" t="s">
        <v>334</v>
      </c>
    </row>
    <row r="1585" spans="1:8" x14ac:dyDescent="0.25">
      <c r="A1585" s="3" t="s">
        <v>1901</v>
      </c>
      <c r="B1585" s="3" t="s">
        <v>4267</v>
      </c>
      <c r="C1585" s="3" t="s">
        <v>131</v>
      </c>
      <c r="D1585" s="3" t="s">
        <v>297</v>
      </c>
      <c r="E1585" s="3" t="s">
        <v>4536</v>
      </c>
      <c r="F1585" s="3" t="s">
        <v>324</v>
      </c>
      <c r="G1585" s="3" t="s">
        <v>329</v>
      </c>
      <c r="H1585" s="3" t="s">
        <v>332</v>
      </c>
    </row>
    <row r="1586" spans="1:8" x14ac:dyDescent="0.25">
      <c r="A1586" s="3" t="s">
        <v>1902</v>
      </c>
      <c r="B1586" s="3" t="s">
        <v>4537</v>
      </c>
      <c r="C1586" s="3" t="s">
        <v>58</v>
      </c>
      <c r="D1586" s="3" t="s">
        <v>294</v>
      </c>
      <c r="E1586" s="3" t="s">
        <v>4538</v>
      </c>
      <c r="F1586" s="3" t="s">
        <v>2988</v>
      </c>
      <c r="G1586" s="3" t="s">
        <v>325</v>
      </c>
      <c r="H1586" s="3"/>
    </row>
    <row r="1587" spans="1:8" x14ac:dyDescent="0.25">
      <c r="A1587" s="3" t="s">
        <v>1903</v>
      </c>
      <c r="B1587" s="3" t="s">
        <v>4539</v>
      </c>
      <c r="C1587" s="3" t="s">
        <v>267</v>
      </c>
      <c r="D1587" s="3" t="s">
        <v>297</v>
      </c>
      <c r="E1587" s="3">
        <v>215.39</v>
      </c>
      <c r="F1587" s="3" t="s">
        <v>324</v>
      </c>
      <c r="G1587" s="3" t="s">
        <v>325</v>
      </c>
      <c r="H1587" s="3"/>
    </row>
    <row r="1588" spans="1:8" x14ac:dyDescent="0.25">
      <c r="A1588" s="3" t="s">
        <v>1904</v>
      </c>
      <c r="B1588" s="3" t="s">
        <v>3193</v>
      </c>
      <c r="C1588" s="3" t="s">
        <v>76</v>
      </c>
      <c r="D1588" s="3" t="s">
        <v>306</v>
      </c>
      <c r="E1588" s="3">
        <v>717.27</v>
      </c>
      <c r="F1588" s="3" t="s">
        <v>381</v>
      </c>
      <c r="G1588" s="3" t="s">
        <v>327</v>
      </c>
      <c r="H1588" s="3" t="s">
        <v>346</v>
      </c>
    </row>
    <row r="1589" spans="1:8" x14ac:dyDescent="0.25">
      <c r="A1589" s="3" t="s">
        <v>1905</v>
      </c>
      <c r="B1589" s="3" t="s">
        <v>4540</v>
      </c>
      <c r="C1589" s="3" t="s">
        <v>105</v>
      </c>
      <c r="D1589" s="3" t="s">
        <v>294</v>
      </c>
      <c r="E1589" s="3">
        <v>1536.29</v>
      </c>
      <c r="F1589" s="3" t="s">
        <v>324</v>
      </c>
      <c r="G1589" s="3" t="s">
        <v>327</v>
      </c>
      <c r="H1589" s="3" t="s">
        <v>334</v>
      </c>
    </row>
    <row r="1590" spans="1:8" x14ac:dyDescent="0.25">
      <c r="A1590" s="3" t="s">
        <v>1906</v>
      </c>
      <c r="B1590" s="3" t="s">
        <v>3832</v>
      </c>
      <c r="C1590" s="3" t="s">
        <v>271</v>
      </c>
      <c r="D1590" s="3" t="s">
        <v>294</v>
      </c>
      <c r="E1590" s="3">
        <v>479.33</v>
      </c>
      <c r="F1590" s="3" t="s">
        <v>381</v>
      </c>
      <c r="G1590" s="3" t="s">
        <v>327</v>
      </c>
      <c r="H1590" s="3"/>
    </row>
    <row r="1591" spans="1:8" x14ac:dyDescent="0.25">
      <c r="A1591" s="3" t="s">
        <v>1907</v>
      </c>
      <c r="B1591" s="3" t="s">
        <v>4541</v>
      </c>
      <c r="C1591" s="3" t="s">
        <v>165</v>
      </c>
      <c r="D1591" s="3" t="s">
        <v>297</v>
      </c>
      <c r="E1591" s="3" t="s">
        <v>4542</v>
      </c>
      <c r="F1591" s="3" t="s">
        <v>324</v>
      </c>
      <c r="G1591" s="3" t="s">
        <v>325</v>
      </c>
      <c r="H1591" s="3"/>
    </row>
    <row r="1592" spans="1:8" x14ac:dyDescent="0.25">
      <c r="A1592" s="3" t="s">
        <v>1908</v>
      </c>
      <c r="B1592" s="3" t="s">
        <v>4095</v>
      </c>
      <c r="C1592" s="3" t="s">
        <v>171</v>
      </c>
      <c r="D1592" s="3" t="s">
        <v>294</v>
      </c>
      <c r="E1592" s="3">
        <v>663.44</v>
      </c>
      <c r="F1592" s="3" t="s">
        <v>3112</v>
      </c>
      <c r="G1592" s="3" t="s">
        <v>337</v>
      </c>
      <c r="H1592" s="3"/>
    </row>
    <row r="1593" spans="1:8" x14ac:dyDescent="0.25">
      <c r="A1593" s="3" t="s">
        <v>1909</v>
      </c>
      <c r="B1593" s="3" t="s">
        <v>3880</v>
      </c>
      <c r="C1593" s="3" t="s">
        <v>205</v>
      </c>
      <c r="D1593" s="3" t="s">
        <v>297</v>
      </c>
      <c r="E1593" s="3">
        <v>901.28</v>
      </c>
      <c r="F1593" s="3" t="s">
        <v>324</v>
      </c>
      <c r="G1593" s="3" t="s">
        <v>327</v>
      </c>
      <c r="H1593" s="3"/>
    </row>
    <row r="1594" spans="1:8" x14ac:dyDescent="0.25">
      <c r="A1594" s="3" t="s">
        <v>1910</v>
      </c>
      <c r="B1594" s="3" t="s">
        <v>3391</v>
      </c>
      <c r="C1594" s="3" t="s">
        <v>249</v>
      </c>
      <c r="D1594" s="3" t="s">
        <v>294</v>
      </c>
      <c r="E1594" s="3">
        <v>-222.68</v>
      </c>
      <c r="F1594" s="3" t="s">
        <v>3021</v>
      </c>
      <c r="G1594" s="3" t="s">
        <v>327</v>
      </c>
      <c r="H1594" s="3" t="s">
        <v>346</v>
      </c>
    </row>
    <row r="1595" spans="1:8" x14ac:dyDescent="0.25">
      <c r="A1595" s="3" t="s">
        <v>1911</v>
      </c>
      <c r="B1595" s="3" t="s">
        <v>3279</v>
      </c>
      <c r="C1595" s="3" t="s">
        <v>245</v>
      </c>
      <c r="D1595" s="3" t="s">
        <v>297</v>
      </c>
      <c r="E1595" s="3" t="s">
        <v>4543</v>
      </c>
      <c r="F1595" s="3" t="s">
        <v>324</v>
      </c>
      <c r="G1595" s="3" t="s">
        <v>325</v>
      </c>
      <c r="H1595" s="3" t="s">
        <v>332</v>
      </c>
    </row>
    <row r="1596" spans="1:8" x14ac:dyDescent="0.25">
      <c r="A1596" s="3" t="s">
        <v>1912</v>
      </c>
      <c r="B1596" s="3" t="s">
        <v>3018</v>
      </c>
      <c r="C1596" s="3" t="s">
        <v>275</v>
      </c>
      <c r="D1596" s="3" t="s">
        <v>312</v>
      </c>
      <c r="E1596" s="3">
        <v>265.89</v>
      </c>
      <c r="F1596" s="3" t="s">
        <v>2973</v>
      </c>
      <c r="G1596" s="3" t="s">
        <v>325</v>
      </c>
      <c r="H1596" s="3"/>
    </row>
    <row r="1597" spans="1:8" x14ac:dyDescent="0.25">
      <c r="A1597" s="3" t="s">
        <v>1913</v>
      </c>
      <c r="B1597" s="3" t="s">
        <v>3896</v>
      </c>
      <c r="C1597" s="3" t="s">
        <v>58</v>
      </c>
      <c r="D1597" s="3" t="s">
        <v>303</v>
      </c>
      <c r="E1597" s="3" t="s">
        <v>4544</v>
      </c>
      <c r="F1597" s="3" t="s">
        <v>2995</v>
      </c>
      <c r="G1597" s="3" t="s">
        <v>325</v>
      </c>
      <c r="H1597" s="3" t="s">
        <v>332</v>
      </c>
    </row>
    <row r="1598" spans="1:8" x14ac:dyDescent="0.25">
      <c r="A1598" s="3" t="s">
        <v>1914</v>
      </c>
      <c r="B1598" s="3" t="s">
        <v>4545</v>
      </c>
      <c r="C1598" s="3" t="s">
        <v>143</v>
      </c>
      <c r="D1598" s="3" t="s">
        <v>300</v>
      </c>
      <c r="E1598" s="3" t="s">
        <v>4546</v>
      </c>
      <c r="F1598" s="3" t="s">
        <v>324</v>
      </c>
      <c r="G1598" s="3" t="s">
        <v>327</v>
      </c>
      <c r="H1598" s="3"/>
    </row>
    <row r="1599" spans="1:8" x14ac:dyDescent="0.25">
      <c r="A1599" s="3" t="s">
        <v>1915</v>
      </c>
      <c r="B1599" s="3" t="s">
        <v>3473</v>
      </c>
      <c r="C1599" s="3" t="s">
        <v>115</v>
      </c>
      <c r="D1599" s="3" t="s">
        <v>300</v>
      </c>
      <c r="E1599" s="3" t="s">
        <v>4547</v>
      </c>
      <c r="F1599" s="3" t="s">
        <v>324</v>
      </c>
      <c r="G1599" s="3" t="s">
        <v>327</v>
      </c>
      <c r="H1599" s="3" t="s">
        <v>332</v>
      </c>
    </row>
    <row r="1600" spans="1:8" x14ac:dyDescent="0.25">
      <c r="A1600" s="3" t="s">
        <v>1916</v>
      </c>
      <c r="B1600" s="3" t="s">
        <v>4150</v>
      </c>
      <c r="C1600" s="3" t="s">
        <v>396</v>
      </c>
      <c r="D1600" s="3" t="s">
        <v>294</v>
      </c>
      <c r="E1600" s="3" t="s">
        <v>4548</v>
      </c>
      <c r="F1600" s="3" t="s">
        <v>324</v>
      </c>
      <c r="G1600" s="3" t="s">
        <v>337</v>
      </c>
      <c r="H1600" s="3" t="s">
        <v>332</v>
      </c>
    </row>
    <row r="1601" spans="1:8" x14ac:dyDescent="0.25">
      <c r="A1601" s="3" t="s">
        <v>1917</v>
      </c>
      <c r="B1601" s="3" t="s">
        <v>3427</v>
      </c>
      <c r="C1601" s="3" t="s">
        <v>42</v>
      </c>
      <c r="D1601" s="3" t="s">
        <v>297</v>
      </c>
      <c r="E1601" s="3" t="s">
        <v>4549</v>
      </c>
      <c r="F1601" s="3" t="s">
        <v>2995</v>
      </c>
      <c r="G1601" s="3" t="s">
        <v>327</v>
      </c>
      <c r="H1601" s="3" t="s">
        <v>334</v>
      </c>
    </row>
    <row r="1602" spans="1:8" x14ac:dyDescent="0.25">
      <c r="A1602" s="3" t="s">
        <v>1918</v>
      </c>
      <c r="B1602" s="3" t="s">
        <v>3825</v>
      </c>
      <c r="C1602" s="3" t="s">
        <v>239</v>
      </c>
      <c r="D1602" s="3" t="s">
        <v>303</v>
      </c>
      <c r="E1602" s="3">
        <v>328.11</v>
      </c>
      <c r="F1602" s="3" t="s">
        <v>3097</v>
      </c>
      <c r="G1602" s="3" t="s">
        <v>325</v>
      </c>
      <c r="H1602" s="3"/>
    </row>
    <row r="1603" spans="1:8" x14ac:dyDescent="0.25">
      <c r="A1603" s="3" t="s">
        <v>1919</v>
      </c>
      <c r="B1603" s="3" t="s">
        <v>3808</v>
      </c>
      <c r="C1603" s="3" t="s">
        <v>33</v>
      </c>
      <c r="D1603" s="3" t="s">
        <v>309</v>
      </c>
      <c r="E1603" s="3">
        <v>464.08</v>
      </c>
      <c r="F1603" s="3" t="s">
        <v>331</v>
      </c>
      <c r="G1603" s="3" t="s">
        <v>327</v>
      </c>
      <c r="H1603" s="3" t="s">
        <v>334</v>
      </c>
    </row>
    <row r="1604" spans="1:8" x14ac:dyDescent="0.25">
      <c r="A1604" s="3" t="s">
        <v>1920</v>
      </c>
      <c r="B1604" s="3" t="s">
        <v>3570</v>
      </c>
      <c r="C1604" s="3" t="s">
        <v>177</v>
      </c>
      <c r="D1604" s="3" t="s">
        <v>294</v>
      </c>
      <c r="E1604" s="3" t="s">
        <v>4550</v>
      </c>
      <c r="F1604" s="3" t="s">
        <v>324</v>
      </c>
      <c r="G1604" s="3" t="s">
        <v>329</v>
      </c>
      <c r="H1604" s="3" t="s">
        <v>346</v>
      </c>
    </row>
    <row r="1605" spans="1:8" x14ac:dyDescent="0.25">
      <c r="A1605" s="3" t="s">
        <v>1921</v>
      </c>
      <c r="B1605" s="3" t="s">
        <v>3485</v>
      </c>
      <c r="C1605" s="3" t="s">
        <v>211</v>
      </c>
      <c r="D1605" s="3" t="s">
        <v>309</v>
      </c>
      <c r="E1605" s="3">
        <v>315.98</v>
      </c>
      <c r="F1605" s="3" t="s">
        <v>324</v>
      </c>
      <c r="G1605" s="3"/>
      <c r="H1605" s="3" t="s">
        <v>332</v>
      </c>
    </row>
    <row r="1606" spans="1:8" x14ac:dyDescent="0.25">
      <c r="A1606" s="3" t="s">
        <v>1922</v>
      </c>
      <c r="B1606" s="3" t="s">
        <v>4551</v>
      </c>
      <c r="C1606" s="3" t="s">
        <v>135</v>
      </c>
      <c r="D1606" s="3" t="s">
        <v>297</v>
      </c>
      <c r="E1606" s="3">
        <v>537.46</v>
      </c>
      <c r="F1606" s="3" t="s">
        <v>331</v>
      </c>
      <c r="G1606" s="3" t="s">
        <v>337</v>
      </c>
      <c r="H1606" s="3" t="s">
        <v>346</v>
      </c>
    </row>
    <row r="1607" spans="1:8" x14ac:dyDescent="0.25">
      <c r="A1607" s="3" t="s">
        <v>1923</v>
      </c>
      <c r="B1607" s="3" t="s">
        <v>4292</v>
      </c>
      <c r="C1607" s="3" t="s">
        <v>229</v>
      </c>
      <c r="D1607" s="3" t="s">
        <v>312</v>
      </c>
      <c r="E1607" s="3">
        <v>379.89</v>
      </c>
      <c r="F1607" s="3" t="s">
        <v>331</v>
      </c>
      <c r="G1607" s="3" t="s">
        <v>327</v>
      </c>
      <c r="H1607" s="3"/>
    </row>
    <row r="1608" spans="1:8" x14ac:dyDescent="0.25">
      <c r="A1608" s="3" t="s">
        <v>1924</v>
      </c>
      <c r="B1608" s="3" t="s">
        <v>3491</v>
      </c>
      <c r="C1608" s="3" t="s">
        <v>125</v>
      </c>
      <c r="D1608" s="3" t="s">
        <v>315</v>
      </c>
      <c r="E1608" s="3">
        <v>94.54</v>
      </c>
      <c r="F1608" s="3" t="s">
        <v>2976</v>
      </c>
      <c r="G1608" s="3" t="s">
        <v>327</v>
      </c>
      <c r="H1608" s="3"/>
    </row>
    <row r="1609" spans="1:8" x14ac:dyDescent="0.25">
      <c r="A1609" s="3" t="s">
        <v>1925</v>
      </c>
      <c r="B1609" s="3" t="s">
        <v>3865</v>
      </c>
      <c r="C1609" s="3" t="s">
        <v>105</v>
      </c>
      <c r="D1609" s="3" t="s">
        <v>309</v>
      </c>
      <c r="E1609" s="3" t="s">
        <v>4552</v>
      </c>
      <c r="F1609" s="3" t="s">
        <v>324</v>
      </c>
      <c r="G1609" s="3" t="s">
        <v>325</v>
      </c>
      <c r="H1609" s="3"/>
    </row>
    <row r="1610" spans="1:8" x14ac:dyDescent="0.25">
      <c r="A1610" s="3" t="s">
        <v>1926</v>
      </c>
      <c r="B1610" s="3" t="s">
        <v>4251</v>
      </c>
      <c r="C1610" s="3" t="s">
        <v>109</v>
      </c>
      <c r="D1610" s="3" t="s">
        <v>294</v>
      </c>
      <c r="E1610" s="3">
        <v>461.17</v>
      </c>
      <c r="F1610" s="3" t="s">
        <v>324</v>
      </c>
      <c r="G1610" s="3" t="s">
        <v>327</v>
      </c>
      <c r="H1610" s="3"/>
    </row>
    <row r="1611" spans="1:8" x14ac:dyDescent="0.25">
      <c r="A1611" s="3" t="s">
        <v>1927</v>
      </c>
      <c r="B1611" s="3" t="s">
        <v>3041</v>
      </c>
      <c r="C1611" s="3" t="s">
        <v>265</v>
      </c>
      <c r="D1611" s="3" t="s">
        <v>306</v>
      </c>
      <c r="E1611" s="3">
        <v>498.72</v>
      </c>
      <c r="F1611" s="3" t="s">
        <v>324</v>
      </c>
      <c r="G1611" s="3" t="s">
        <v>337</v>
      </c>
      <c r="H1611" s="3"/>
    </row>
    <row r="1612" spans="1:8" x14ac:dyDescent="0.25">
      <c r="A1612" s="3" t="s">
        <v>1928</v>
      </c>
      <c r="B1612" s="3" t="s">
        <v>3431</v>
      </c>
      <c r="C1612" s="3" t="s">
        <v>40</v>
      </c>
      <c r="D1612" s="3" t="s">
        <v>294</v>
      </c>
      <c r="E1612" s="3">
        <v>245.76</v>
      </c>
      <c r="F1612" s="3" t="s">
        <v>2976</v>
      </c>
      <c r="G1612" s="3" t="s">
        <v>329</v>
      </c>
      <c r="H1612" s="3"/>
    </row>
    <row r="1613" spans="1:8" x14ac:dyDescent="0.25">
      <c r="A1613" s="3" t="s">
        <v>1929</v>
      </c>
      <c r="B1613" s="3" t="s">
        <v>3256</v>
      </c>
      <c r="C1613" s="3" t="s">
        <v>161</v>
      </c>
      <c r="D1613" s="3" t="s">
        <v>306</v>
      </c>
      <c r="E1613" s="3" t="s">
        <v>4553</v>
      </c>
      <c r="F1613" s="3" t="s">
        <v>2988</v>
      </c>
      <c r="G1613" s="3" t="s">
        <v>325</v>
      </c>
      <c r="H1613" s="3" t="s">
        <v>334</v>
      </c>
    </row>
    <row r="1614" spans="1:8" x14ac:dyDescent="0.25">
      <c r="A1614" s="3" t="s">
        <v>1930</v>
      </c>
      <c r="B1614" s="3" t="s">
        <v>4554</v>
      </c>
      <c r="C1614" s="3" t="s">
        <v>60</v>
      </c>
      <c r="D1614" s="3" t="s">
        <v>297</v>
      </c>
      <c r="E1614" s="3">
        <v>342.01</v>
      </c>
      <c r="F1614" s="3" t="s">
        <v>2988</v>
      </c>
      <c r="G1614" s="3" t="s">
        <v>325</v>
      </c>
      <c r="H1614" s="3" t="s">
        <v>334</v>
      </c>
    </row>
    <row r="1615" spans="1:8" x14ac:dyDescent="0.25">
      <c r="A1615" s="3" t="s">
        <v>1931</v>
      </c>
      <c r="B1615" s="3" t="s">
        <v>4371</v>
      </c>
      <c r="C1615" s="3" t="s">
        <v>15</v>
      </c>
      <c r="D1615" s="3" t="s">
        <v>294</v>
      </c>
      <c r="E1615" s="3">
        <v>130.88999999999999</v>
      </c>
      <c r="F1615" s="3" t="s">
        <v>3037</v>
      </c>
      <c r="G1615" s="3" t="s">
        <v>325</v>
      </c>
      <c r="H1615" s="3"/>
    </row>
    <row r="1616" spans="1:8" x14ac:dyDescent="0.25">
      <c r="A1616" s="3" t="s">
        <v>1932</v>
      </c>
      <c r="B1616" s="3" t="s">
        <v>4555</v>
      </c>
      <c r="C1616" s="3" t="s">
        <v>167</v>
      </c>
      <c r="D1616" s="3" t="s">
        <v>303</v>
      </c>
      <c r="E1616" s="3" t="s">
        <v>4556</v>
      </c>
      <c r="F1616" s="3" t="s">
        <v>324</v>
      </c>
      <c r="G1616" s="3" t="s">
        <v>337</v>
      </c>
      <c r="H1616" s="3" t="s">
        <v>332</v>
      </c>
    </row>
    <row r="1617" spans="1:8" x14ac:dyDescent="0.25">
      <c r="A1617" s="3" t="s">
        <v>1933</v>
      </c>
      <c r="B1617" s="3" t="s">
        <v>3209</v>
      </c>
      <c r="C1617" s="3" t="s">
        <v>396</v>
      </c>
      <c r="D1617" s="3" t="s">
        <v>294</v>
      </c>
      <c r="E1617" s="3">
        <v>762.36</v>
      </c>
      <c r="F1617" s="3" t="s">
        <v>324</v>
      </c>
      <c r="G1617" s="3" t="s">
        <v>327</v>
      </c>
      <c r="H1617" s="3"/>
    </row>
    <row r="1618" spans="1:8" x14ac:dyDescent="0.25">
      <c r="A1618" s="3" t="s">
        <v>1934</v>
      </c>
      <c r="B1618" s="3" t="s">
        <v>4557</v>
      </c>
      <c r="C1618" s="3" t="s">
        <v>255</v>
      </c>
      <c r="D1618" s="3" t="s">
        <v>303</v>
      </c>
      <c r="E1618" s="3" t="s">
        <v>4558</v>
      </c>
      <c r="F1618" s="3" t="s">
        <v>2997</v>
      </c>
      <c r="G1618" s="3" t="s">
        <v>327</v>
      </c>
      <c r="H1618" s="3"/>
    </row>
    <row r="1619" spans="1:8" x14ac:dyDescent="0.25">
      <c r="A1619" s="3" t="s">
        <v>1935</v>
      </c>
      <c r="B1619" s="3" t="s">
        <v>3882</v>
      </c>
      <c r="C1619" s="3" t="s">
        <v>217</v>
      </c>
      <c r="D1619" s="3" t="s">
        <v>309</v>
      </c>
      <c r="E1619" s="3">
        <v>748.96</v>
      </c>
      <c r="F1619" s="3" t="s">
        <v>381</v>
      </c>
      <c r="G1619" s="3" t="s">
        <v>337</v>
      </c>
      <c r="H1619" s="3" t="s">
        <v>346</v>
      </c>
    </row>
    <row r="1620" spans="1:8" x14ac:dyDescent="0.25">
      <c r="A1620" s="3" t="s">
        <v>1936</v>
      </c>
      <c r="B1620" s="3" t="s">
        <v>3211</v>
      </c>
      <c r="C1620" s="3" t="s">
        <v>70</v>
      </c>
      <c r="D1620" s="3" t="s">
        <v>294</v>
      </c>
      <c r="E1620" s="3">
        <v>547.85</v>
      </c>
      <c r="F1620" s="3" t="s">
        <v>2988</v>
      </c>
      <c r="G1620" s="3" t="s">
        <v>337</v>
      </c>
      <c r="H1620" s="3" t="s">
        <v>346</v>
      </c>
    </row>
    <row r="1621" spans="1:8" x14ac:dyDescent="0.25">
      <c r="A1621" s="3" t="s">
        <v>1937</v>
      </c>
      <c r="B1621" s="3" t="s">
        <v>3598</v>
      </c>
      <c r="C1621" s="3" t="s">
        <v>179</v>
      </c>
      <c r="D1621" s="3" t="s">
        <v>309</v>
      </c>
      <c r="E1621" s="3" t="s">
        <v>4559</v>
      </c>
      <c r="F1621" s="3" t="s">
        <v>349</v>
      </c>
      <c r="G1621" s="3" t="s">
        <v>325</v>
      </c>
      <c r="H1621" s="3" t="s">
        <v>346</v>
      </c>
    </row>
    <row r="1622" spans="1:8" x14ac:dyDescent="0.25">
      <c r="A1622" s="3" t="s">
        <v>1938</v>
      </c>
      <c r="B1622" s="3" t="s">
        <v>4214</v>
      </c>
      <c r="C1622" s="3" t="s">
        <v>249</v>
      </c>
      <c r="D1622" s="3" t="s">
        <v>303</v>
      </c>
      <c r="E1622" s="3">
        <v>568.36</v>
      </c>
      <c r="F1622" s="3" t="s">
        <v>324</v>
      </c>
      <c r="G1622" s="3" t="s">
        <v>337</v>
      </c>
      <c r="H1622" s="3" t="s">
        <v>332</v>
      </c>
    </row>
    <row r="1623" spans="1:8" x14ac:dyDescent="0.25">
      <c r="A1623" s="3" t="s">
        <v>1939</v>
      </c>
      <c r="B1623" s="3" t="s">
        <v>4560</v>
      </c>
      <c r="C1623" s="3" t="s">
        <v>229</v>
      </c>
      <c r="D1623" s="3" t="s">
        <v>315</v>
      </c>
      <c r="E1623" s="3">
        <v>701.81</v>
      </c>
      <c r="F1623" s="3" t="s">
        <v>324</v>
      </c>
      <c r="G1623" s="3" t="s">
        <v>329</v>
      </c>
      <c r="H1623" s="3" t="s">
        <v>346</v>
      </c>
    </row>
    <row r="1624" spans="1:8" x14ac:dyDescent="0.25">
      <c r="A1624" s="3" t="s">
        <v>1940</v>
      </c>
      <c r="B1624" s="3" t="s">
        <v>4561</v>
      </c>
      <c r="C1624" s="3" t="s">
        <v>277</v>
      </c>
      <c r="D1624" s="3" t="s">
        <v>303</v>
      </c>
      <c r="E1624" s="3" t="s">
        <v>4562</v>
      </c>
      <c r="F1624" s="3" t="s">
        <v>3021</v>
      </c>
      <c r="G1624" s="3" t="s">
        <v>325</v>
      </c>
      <c r="H1624" s="3" t="s">
        <v>332</v>
      </c>
    </row>
    <row r="1625" spans="1:8" x14ac:dyDescent="0.25">
      <c r="A1625" s="3" t="s">
        <v>1941</v>
      </c>
      <c r="B1625" s="3" t="s">
        <v>3309</v>
      </c>
      <c r="C1625" s="3" t="s">
        <v>193</v>
      </c>
      <c r="D1625" s="3" t="s">
        <v>294</v>
      </c>
      <c r="E1625" s="3" t="s">
        <v>4563</v>
      </c>
      <c r="F1625" s="3" t="s">
        <v>2976</v>
      </c>
      <c r="G1625" s="3" t="s">
        <v>325</v>
      </c>
      <c r="H1625" s="3" t="s">
        <v>334</v>
      </c>
    </row>
    <row r="1626" spans="1:8" x14ac:dyDescent="0.25">
      <c r="A1626" s="3" t="s">
        <v>1942</v>
      </c>
      <c r="B1626" s="3" t="s">
        <v>3474</v>
      </c>
      <c r="C1626" s="3" t="s">
        <v>275</v>
      </c>
      <c r="D1626" s="3" t="s">
        <v>294</v>
      </c>
      <c r="E1626" s="3" t="s">
        <v>4564</v>
      </c>
      <c r="F1626" s="3" t="s">
        <v>324</v>
      </c>
      <c r="G1626" s="3" t="s">
        <v>325</v>
      </c>
      <c r="H1626" s="3"/>
    </row>
    <row r="1627" spans="1:8" x14ac:dyDescent="0.25">
      <c r="A1627" s="3" t="s">
        <v>1943</v>
      </c>
      <c r="B1627" s="3" t="s">
        <v>4441</v>
      </c>
      <c r="C1627" s="3" t="s">
        <v>15</v>
      </c>
      <c r="D1627" s="3" t="s">
        <v>300</v>
      </c>
      <c r="E1627" s="3">
        <v>1113.6300000000001</v>
      </c>
      <c r="F1627" s="3" t="s">
        <v>324</v>
      </c>
      <c r="G1627" s="3" t="s">
        <v>327</v>
      </c>
      <c r="H1627" s="3" t="s">
        <v>346</v>
      </c>
    </row>
    <row r="1628" spans="1:8" x14ac:dyDescent="0.25">
      <c r="A1628" s="3" t="s">
        <v>1944</v>
      </c>
      <c r="B1628" s="3" t="s">
        <v>4565</v>
      </c>
      <c r="C1628" s="3" t="s">
        <v>177</v>
      </c>
      <c r="D1628" s="3" t="s">
        <v>294</v>
      </c>
      <c r="E1628" s="3">
        <v>224.5</v>
      </c>
      <c r="F1628" s="3" t="s">
        <v>2976</v>
      </c>
      <c r="G1628" s="3" t="s">
        <v>325</v>
      </c>
      <c r="H1628" s="3" t="s">
        <v>332</v>
      </c>
    </row>
    <row r="1629" spans="1:8" x14ac:dyDescent="0.25">
      <c r="A1629" s="3" t="s">
        <v>1945</v>
      </c>
      <c r="B1629" s="3" t="s">
        <v>2977</v>
      </c>
      <c r="C1629" s="3" t="s">
        <v>119</v>
      </c>
      <c r="D1629" s="3" t="s">
        <v>294</v>
      </c>
      <c r="E1629" s="3">
        <v>114.68</v>
      </c>
      <c r="F1629" s="3" t="s">
        <v>324</v>
      </c>
      <c r="G1629" s="3" t="s">
        <v>337</v>
      </c>
      <c r="H1629" s="3" t="s">
        <v>346</v>
      </c>
    </row>
    <row r="1630" spans="1:8" x14ac:dyDescent="0.25">
      <c r="A1630" s="3" t="s">
        <v>1946</v>
      </c>
      <c r="B1630" s="3" t="s">
        <v>3576</v>
      </c>
      <c r="C1630" s="3" t="s">
        <v>143</v>
      </c>
      <c r="D1630" s="3" t="s">
        <v>309</v>
      </c>
      <c r="E1630" s="3" t="s">
        <v>4566</v>
      </c>
      <c r="F1630" s="3" t="s">
        <v>324</v>
      </c>
      <c r="G1630" s="3" t="s">
        <v>327</v>
      </c>
      <c r="H1630" s="3" t="s">
        <v>332</v>
      </c>
    </row>
    <row r="1631" spans="1:8" x14ac:dyDescent="0.25">
      <c r="A1631" s="3" t="s">
        <v>1947</v>
      </c>
      <c r="B1631" s="3" t="s">
        <v>3519</v>
      </c>
      <c r="C1631" s="3" t="s">
        <v>396</v>
      </c>
      <c r="D1631" s="3" t="s">
        <v>303</v>
      </c>
      <c r="E1631" s="3">
        <v>752.65</v>
      </c>
      <c r="F1631" s="3" t="s">
        <v>2976</v>
      </c>
      <c r="G1631" s="3"/>
      <c r="H1631" s="3" t="s">
        <v>346</v>
      </c>
    </row>
    <row r="1632" spans="1:8" x14ac:dyDescent="0.25">
      <c r="A1632" s="3" t="s">
        <v>1948</v>
      </c>
      <c r="B1632" s="3" t="s">
        <v>3915</v>
      </c>
      <c r="C1632" s="3" t="s">
        <v>42</v>
      </c>
      <c r="D1632" s="3" t="s">
        <v>300</v>
      </c>
      <c r="E1632" s="3">
        <v>802.4</v>
      </c>
      <c r="F1632" s="3" t="s">
        <v>2995</v>
      </c>
      <c r="G1632" s="3" t="s">
        <v>337</v>
      </c>
      <c r="H1632" s="3"/>
    </row>
    <row r="1633" spans="1:8" x14ac:dyDescent="0.25">
      <c r="A1633" s="3" t="s">
        <v>1949</v>
      </c>
      <c r="B1633" s="3" t="s">
        <v>4029</v>
      </c>
      <c r="C1633" s="3" t="s">
        <v>265</v>
      </c>
      <c r="D1633" s="3" t="s">
        <v>309</v>
      </c>
      <c r="E1633" s="3" t="s">
        <v>4567</v>
      </c>
      <c r="F1633" s="3" t="s">
        <v>2976</v>
      </c>
      <c r="G1633" s="3" t="s">
        <v>325</v>
      </c>
      <c r="H1633" s="3" t="s">
        <v>334</v>
      </c>
    </row>
    <row r="1634" spans="1:8" x14ac:dyDescent="0.25">
      <c r="A1634" s="3" t="s">
        <v>1950</v>
      </c>
      <c r="B1634" s="3" t="s">
        <v>4568</v>
      </c>
      <c r="C1634" s="3" t="s">
        <v>15</v>
      </c>
      <c r="D1634" s="3" t="s">
        <v>294</v>
      </c>
      <c r="E1634" s="3" t="s">
        <v>4569</v>
      </c>
      <c r="F1634" s="3" t="s">
        <v>2973</v>
      </c>
      <c r="G1634" s="3" t="s">
        <v>329</v>
      </c>
      <c r="H1634" s="3" t="s">
        <v>334</v>
      </c>
    </row>
    <row r="1635" spans="1:8" x14ac:dyDescent="0.25">
      <c r="A1635" s="3" t="s">
        <v>1951</v>
      </c>
      <c r="B1635" s="3" t="s">
        <v>4360</v>
      </c>
      <c r="C1635" s="3" t="s">
        <v>78</v>
      </c>
      <c r="D1635" s="3" t="s">
        <v>315</v>
      </c>
      <c r="E1635" s="3" t="s">
        <v>4570</v>
      </c>
      <c r="F1635" s="3" t="s">
        <v>2976</v>
      </c>
      <c r="G1635" s="3" t="s">
        <v>325</v>
      </c>
      <c r="H1635" s="3"/>
    </row>
    <row r="1636" spans="1:8" x14ac:dyDescent="0.25">
      <c r="A1636" s="3" t="s">
        <v>1952</v>
      </c>
      <c r="B1636" s="3" t="s">
        <v>3032</v>
      </c>
      <c r="C1636" s="3" t="s">
        <v>35</v>
      </c>
      <c r="D1636" s="3" t="s">
        <v>312</v>
      </c>
      <c r="E1636" s="3">
        <v>1091.51</v>
      </c>
      <c r="F1636" s="3" t="s">
        <v>324</v>
      </c>
      <c r="G1636" s="3" t="s">
        <v>327</v>
      </c>
      <c r="H1636" s="3" t="s">
        <v>346</v>
      </c>
    </row>
    <row r="1637" spans="1:8" x14ac:dyDescent="0.25">
      <c r="A1637" s="3" t="s">
        <v>1953</v>
      </c>
      <c r="B1637" s="3" t="s">
        <v>4571</v>
      </c>
      <c r="C1637" s="3" t="s">
        <v>44</v>
      </c>
      <c r="D1637" s="3" t="s">
        <v>315</v>
      </c>
      <c r="E1637" s="3">
        <v>738.42</v>
      </c>
      <c r="F1637" s="3" t="s">
        <v>2988</v>
      </c>
      <c r="G1637" s="3" t="s">
        <v>327</v>
      </c>
      <c r="H1637" s="3"/>
    </row>
    <row r="1638" spans="1:8" x14ac:dyDescent="0.25">
      <c r="A1638" s="3" t="s">
        <v>1954</v>
      </c>
      <c r="B1638" s="3" t="s">
        <v>3935</v>
      </c>
      <c r="C1638" s="3" t="s">
        <v>153</v>
      </c>
      <c r="D1638" s="3" t="s">
        <v>294</v>
      </c>
      <c r="E1638" s="3">
        <v>1045.78</v>
      </c>
      <c r="F1638" s="3" t="s">
        <v>324</v>
      </c>
      <c r="G1638" s="3" t="s">
        <v>325</v>
      </c>
      <c r="H1638" s="3"/>
    </row>
    <row r="1639" spans="1:8" x14ac:dyDescent="0.25">
      <c r="A1639" s="3" t="s">
        <v>1955</v>
      </c>
      <c r="B1639" s="3" t="s">
        <v>3787</v>
      </c>
      <c r="C1639" s="3" t="s">
        <v>209</v>
      </c>
      <c r="D1639" s="3" t="s">
        <v>303</v>
      </c>
      <c r="E1639" s="3">
        <v>470.11</v>
      </c>
      <c r="F1639" s="3" t="s">
        <v>2988</v>
      </c>
      <c r="G1639" s="3"/>
      <c r="H1639" s="3"/>
    </row>
    <row r="1640" spans="1:8" x14ac:dyDescent="0.25">
      <c r="A1640" s="3" t="s">
        <v>1956</v>
      </c>
      <c r="B1640" s="3" t="s">
        <v>4572</v>
      </c>
      <c r="C1640" s="3" t="s">
        <v>219</v>
      </c>
      <c r="D1640" s="3" t="s">
        <v>300</v>
      </c>
      <c r="E1640" s="3">
        <v>677.94</v>
      </c>
      <c r="F1640" s="3" t="s">
        <v>2976</v>
      </c>
      <c r="G1640" s="3" t="s">
        <v>337</v>
      </c>
      <c r="H1640" s="3"/>
    </row>
    <row r="1641" spans="1:8" x14ac:dyDescent="0.25">
      <c r="A1641" s="3" t="s">
        <v>1957</v>
      </c>
      <c r="B1641" s="3" t="s">
        <v>4573</v>
      </c>
      <c r="C1641" s="3" t="s">
        <v>1958</v>
      </c>
      <c r="D1641" s="3" t="s">
        <v>294</v>
      </c>
      <c r="E1641" s="3">
        <v>563.85</v>
      </c>
      <c r="F1641" s="3" t="s">
        <v>324</v>
      </c>
      <c r="G1641" s="3" t="s">
        <v>329</v>
      </c>
      <c r="H1641" s="3"/>
    </row>
    <row r="1642" spans="1:8" x14ac:dyDescent="0.25">
      <c r="A1642" s="3" t="s">
        <v>1959</v>
      </c>
      <c r="B1642" s="3" t="s">
        <v>3827</v>
      </c>
      <c r="C1642" s="3" t="s">
        <v>241</v>
      </c>
      <c r="D1642" s="3" t="s">
        <v>303</v>
      </c>
      <c r="E1642" s="3">
        <v>443.13</v>
      </c>
      <c r="F1642" s="3" t="s">
        <v>2995</v>
      </c>
      <c r="G1642" s="3" t="s">
        <v>327</v>
      </c>
      <c r="H1642" s="3"/>
    </row>
    <row r="1643" spans="1:8" x14ac:dyDescent="0.25">
      <c r="A1643" s="3" t="s">
        <v>1960</v>
      </c>
      <c r="B1643" s="3" t="s">
        <v>3660</v>
      </c>
      <c r="C1643" s="3" t="s">
        <v>84</v>
      </c>
      <c r="D1643" s="3" t="s">
        <v>309</v>
      </c>
      <c r="E1643" s="3">
        <v>796.06</v>
      </c>
      <c r="F1643" s="3" t="s">
        <v>324</v>
      </c>
      <c r="G1643" s="3" t="s">
        <v>325</v>
      </c>
      <c r="H1643" s="3" t="s">
        <v>332</v>
      </c>
    </row>
    <row r="1644" spans="1:8" x14ac:dyDescent="0.25">
      <c r="A1644" s="3" t="s">
        <v>1961</v>
      </c>
      <c r="B1644" s="3" t="s">
        <v>4574</v>
      </c>
      <c r="C1644" s="3" t="s">
        <v>80</v>
      </c>
      <c r="D1644" s="3" t="s">
        <v>294</v>
      </c>
      <c r="E1644" s="3">
        <v>348.81</v>
      </c>
      <c r="F1644" s="3" t="s">
        <v>324</v>
      </c>
      <c r="G1644" s="3" t="s">
        <v>329</v>
      </c>
      <c r="H1644" s="3" t="s">
        <v>332</v>
      </c>
    </row>
    <row r="1645" spans="1:8" x14ac:dyDescent="0.25">
      <c r="A1645" s="3" t="s">
        <v>1962</v>
      </c>
      <c r="B1645" s="3" t="s">
        <v>4497</v>
      </c>
      <c r="C1645" s="3" t="s">
        <v>149</v>
      </c>
      <c r="D1645" s="3" t="s">
        <v>297</v>
      </c>
      <c r="E1645" s="3" t="s">
        <v>4575</v>
      </c>
      <c r="F1645" s="3" t="s">
        <v>324</v>
      </c>
      <c r="G1645" s="3" t="s">
        <v>325</v>
      </c>
      <c r="H1645" s="3" t="s">
        <v>346</v>
      </c>
    </row>
    <row r="1646" spans="1:8" x14ac:dyDescent="0.25">
      <c r="A1646" s="3" t="s">
        <v>1963</v>
      </c>
      <c r="B1646" s="3" t="s">
        <v>3013</v>
      </c>
      <c r="C1646" s="3" t="s">
        <v>261</v>
      </c>
      <c r="D1646" s="3" t="s">
        <v>303</v>
      </c>
      <c r="E1646" s="3" t="s">
        <v>4576</v>
      </c>
      <c r="F1646" s="3" t="s">
        <v>324</v>
      </c>
      <c r="G1646" s="3" t="s">
        <v>337</v>
      </c>
      <c r="H1646" s="3" t="s">
        <v>332</v>
      </c>
    </row>
    <row r="1647" spans="1:8" x14ac:dyDescent="0.25">
      <c r="A1647" s="3" t="s">
        <v>1964</v>
      </c>
      <c r="B1647" s="3" t="s">
        <v>4019</v>
      </c>
      <c r="C1647" s="3" t="s">
        <v>155</v>
      </c>
      <c r="D1647" s="3" t="s">
        <v>297</v>
      </c>
      <c r="E1647" s="3" t="s">
        <v>4577</v>
      </c>
      <c r="F1647" s="3" t="s">
        <v>2976</v>
      </c>
      <c r="G1647" s="3" t="s">
        <v>337</v>
      </c>
      <c r="H1647" s="3" t="s">
        <v>332</v>
      </c>
    </row>
    <row r="1648" spans="1:8" x14ac:dyDescent="0.25">
      <c r="A1648" s="3" t="s">
        <v>1965</v>
      </c>
      <c r="B1648" s="3" t="s">
        <v>3063</v>
      </c>
      <c r="C1648" s="3" t="s">
        <v>219</v>
      </c>
      <c r="D1648" s="3" t="s">
        <v>300</v>
      </c>
      <c r="E1648" s="3">
        <v>278.04000000000002</v>
      </c>
      <c r="F1648" s="3" t="s">
        <v>324</v>
      </c>
      <c r="G1648" s="3" t="s">
        <v>327</v>
      </c>
      <c r="H1648" s="3"/>
    </row>
    <row r="1649" spans="1:8" x14ac:dyDescent="0.25">
      <c r="A1649" s="3" t="s">
        <v>1966</v>
      </c>
      <c r="B1649" s="3" t="s">
        <v>4578</v>
      </c>
      <c r="C1649" s="3" t="s">
        <v>88</v>
      </c>
      <c r="D1649" s="3" t="s">
        <v>297</v>
      </c>
      <c r="E1649" s="3">
        <v>-386.76</v>
      </c>
      <c r="F1649" s="3" t="s">
        <v>349</v>
      </c>
      <c r="G1649" s="3" t="s">
        <v>327</v>
      </c>
      <c r="H1649" s="3" t="s">
        <v>346</v>
      </c>
    </row>
    <row r="1650" spans="1:8" x14ac:dyDescent="0.25">
      <c r="A1650" s="3" t="s">
        <v>1967</v>
      </c>
      <c r="B1650" s="3" t="s">
        <v>3776</v>
      </c>
      <c r="C1650" s="3" t="s">
        <v>44</v>
      </c>
      <c r="D1650" s="3" t="s">
        <v>306</v>
      </c>
      <c r="E1650" s="3">
        <v>647.69000000000005</v>
      </c>
      <c r="F1650" s="3" t="s">
        <v>324</v>
      </c>
      <c r="G1650" s="3" t="s">
        <v>337</v>
      </c>
      <c r="H1650" s="3"/>
    </row>
    <row r="1651" spans="1:8" x14ac:dyDescent="0.25">
      <c r="A1651" s="3" t="s">
        <v>1968</v>
      </c>
      <c r="B1651" s="3" t="s">
        <v>4579</v>
      </c>
      <c r="C1651" s="3" t="s">
        <v>233</v>
      </c>
      <c r="D1651" s="3" t="s">
        <v>312</v>
      </c>
      <c r="E1651" s="3">
        <v>403.85</v>
      </c>
      <c r="F1651" s="3" t="s">
        <v>324</v>
      </c>
      <c r="G1651" s="3" t="s">
        <v>337</v>
      </c>
      <c r="H1651" s="3" t="s">
        <v>332</v>
      </c>
    </row>
    <row r="1652" spans="1:8" x14ac:dyDescent="0.25">
      <c r="A1652" s="3" t="s">
        <v>1969</v>
      </c>
      <c r="B1652" s="3" t="s">
        <v>3700</v>
      </c>
      <c r="C1652" s="3" t="s">
        <v>44</v>
      </c>
      <c r="D1652" s="3" t="s">
        <v>312</v>
      </c>
      <c r="E1652" s="3">
        <v>538.32000000000005</v>
      </c>
      <c r="F1652" s="3" t="s">
        <v>324</v>
      </c>
      <c r="G1652" s="3" t="s">
        <v>325</v>
      </c>
      <c r="H1652" s="3"/>
    </row>
    <row r="1653" spans="1:8" x14ac:dyDescent="0.25">
      <c r="A1653" s="3" t="s">
        <v>1970</v>
      </c>
      <c r="B1653" s="3" t="s">
        <v>3070</v>
      </c>
      <c r="C1653" s="3" t="s">
        <v>189</v>
      </c>
      <c r="D1653" s="3" t="s">
        <v>294</v>
      </c>
      <c r="E1653" s="3" t="s">
        <v>4580</v>
      </c>
      <c r="F1653" s="3" t="s">
        <v>324</v>
      </c>
      <c r="G1653" s="3" t="s">
        <v>325</v>
      </c>
      <c r="H1653" s="3"/>
    </row>
    <row r="1654" spans="1:8" x14ac:dyDescent="0.25">
      <c r="A1654" s="3" t="s">
        <v>1971</v>
      </c>
      <c r="B1654" s="3" t="s">
        <v>4089</v>
      </c>
      <c r="C1654" s="3" t="s">
        <v>121</v>
      </c>
      <c r="D1654" s="3" t="s">
        <v>294</v>
      </c>
      <c r="E1654" s="3" t="s">
        <v>4581</v>
      </c>
      <c r="F1654" s="3" t="s">
        <v>324</v>
      </c>
      <c r="G1654" s="3" t="s">
        <v>337</v>
      </c>
      <c r="H1654" s="3" t="s">
        <v>332</v>
      </c>
    </row>
    <row r="1655" spans="1:8" x14ac:dyDescent="0.25">
      <c r="A1655" s="3" t="s">
        <v>1972</v>
      </c>
      <c r="B1655" s="3" t="s">
        <v>3047</v>
      </c>
      <c r="C1655" s="3" t="s">
        <v>211</v>
      </c>
      <c r="D1655" s="3" t="s">
        <v>297</v>
      </c>
      <c r="E1655" s="3" t="s">
        <v>4582</v>
      </c>
      <c r="F1655" s="3" t="s">
        <v>324</v>
      </c>
      <c r="G1655" s="3" t="s">
        <v>329</v>
      </c>
      <c r="H1655" s="3" t="s">
        <v>334</v>
      </c>
    </row>
    <row r="1656" spans="1:8" x14ac:dyDescent="0.25">
      <c r="A1656" s="3" t="s">
        <v>1973</v>
      </c>
      <c r="B1656" s="3" t="s">
        <v>4583</v>
      </c>
      <c r="C1656" s="3" t="s">
        <v>135</v>
      </c>
      <c r="D1656" s="3" t="s">
        <v>312</v>
      </c>
      <c r="E1656" s="3">
        <v>579.17999999999995</v>
      </c>
      <c r="F1656" s="3" t="s">
        <v>3037</v>
      </c>
      <c r="G1656" s="3" t="s">
        <v>327</v>
      </c>
      <c r="H1656" s="3"/>
    </row>
    <row r="1657" spans="1:8" x14ac:dyDescent="0.25">
      <c r="A1657" s="3" t="s">
        <v>1974</v>
      </c>
      <c r="B1657" s="3" t="s">
        <v>4584</v>
      </c>
      <c r="C1657" s="3" t="s">
        <v>80</v>
      </c>
      <c r="D1657" s="3" t="s">
        <v>294</v>
      </c>
      <c r="E1657" s="3" t="s">
        <v>4585</v>
      </c>
      <c r="F1657" s="3" t="s">
        <v>324</v>
      </c>
      <c r="G1657" s="3" t="s">
        <v>327</v>
      </c>
      <c r="H1657" s="3" t="s">
        <v>334</v>
      </c>
    </row>
    <row r="1658" spans="1:8" x14ac:dyDescent="0.25">
      <c r="A1658" s="3" t="s">
        <v>1975</v>
      </c>
      <c r="B1658" s="3" t="s">
        <v>3548</v>
      </c>
      <c r="C1658" s="3" t="s">
        <v>229</v>
      </c>
      <c r="D1658" s="3" t="s">
        <v>315</v>
      </c>
      <c r="E1658" s="3">
        <v>261.3</v>
      </c>
      <c r="F1658" s="3" t="s">
        <v>324</v>
      </c>
      <c r="G1658" s="3" t="s">
        <v>337</v>
      </c>
      <c r="H1658" s="3" t="s">
        <v>332</v>
      </c>
    </row>
    <row r="1659" spans="1:8" x14ac:dyDescent="0.25">
      <c r="A1659" s="3" t="s">
        <v>1976</v>
      </c>
      <c r="B1659" s="3" t="s">
        <v>4586</v>
      </c>
      <c r="C1659" s="3" t="s">
        <v>111</v>
      </c>
      <c r="D1659" s="3" t="s">
        <v>294</v>
      </c>
      <c r="E1659" s="3">
        <v>540.91</v>
      </c>
      <c r="F1659" s="3" t="s">
        <v>324</v>
      </c>
      <c r="G1659" s="3" t="s">
        <v>337</v>
      </c>
      <c r="H1659" s="3" t="s">
        <v>346</v>
      </c>
    </row>
    <row r="1660" spans="1:8" x14ac:dyDescent="0.25">
      <c r="A1660" s="3" t="s">
        <v>1977</v>
      </c>
      <c r="B1660" s="3" t="s">
        <v>4446</v>
      </c>
      <c r="C1660" s="3" t="s">
        <v>123</v>
      </c>
      <c r="D1660" s="3" t="s">
        <v>294</v>
      </c>
      <c r="E1660" s="3">
        <v>821.47</v>
      </c>
      <c r="F1660" s="3" t="s">
        <v>324</v>
      </c>
      <c r="G1660" s="3" t="s">
        <v>337</v>
      </c>
      <c r="H1660" s="3" t="s">
        <v>346</v>
      </c>
    </row>
    <row r="1661" spans="1:8" x14ac:dyDescent="0.25">
      <c r="A1661" s="3" t="s">
        <v>1978</v>
      </c>
      <c r="B1661" s="3" t="s">
        <v>4587</v>
      </c>
      <c r="C1661" s="3" t="s">
        <v>273</v>
      </c>
      <c r="D1661" s="3" t="s">
        <v>294</v>
      </c>
      <c r="E1661" s="3">
        <v>413.01</v>
      </c>
      <c r="F1661" s="3" t="s">
        <v>2973</v>
      </c>
      <c r="G1661" s="3" t="s">
        <v>325</v>
      </c>
      <c r="H1661" s="3"/>
    </row>
    <row r="1662" spans="1:8" x14ac:dyDescent="0.25">
      <c r="A1662" s="3" t="s">
        <v>1979</v>
      </c>
      <c r="B1662" s="3" t="s">
        <v>4588</v>
      </c>
      <c r="C1662" s="3" t="s">
        <v>119</v>
      </c>
      <c r="D1662" s="3" t="s">
        <v>300</v>
      </c>
      <c r="E1662" s="3">
        <v>477.37</v>
      </c>
      <c r="F1662" s="3" t="s">
        <v>324</v>
      </c>
      <c r="G1662" s="3" t="s">
        <v>327</v>
      </c>
      <c r="H1662" s="3"/>
    </row>
    <row r="1663" spans="1:8" x14ac:dyDescent="0.25">
      <c r="A1663" s="3" t="s">
        <v>1980</v>
      </c>
      <c r="B1663" s="3" t="s">
        <v>3189</v>
      </c>
      <c r="C1663" s="3" t="s">
        <v>265</v>
      </c>
      <c r="D1663" s="3" t="s">
        <v>294</v>
      </c>
      <c r="E1663" s="3" t="s">
        <v>4589</v>
      </c>
      <c r="F1663" s="3" t="s">
        <v>2973</v>
      </c>
      <c r="G1663" s="3" t="s">
        <v>325</v>
      </c>
      <c r="H1663" s="3" t="s">
        <v>332</v>
      </c>
    </row>
    <row r="1664" spans="1:8" x14ac:dyDescent="0.25">
      <c r="A1664" s="3" t="s">
        <v>1981</v>
      </c>
      <c r="B1664" s="3" t="s">
        <v>4590</v>
      </c>
      <c r="C1664" s="3" t="s">
        <v>15</v>
      </c>
      <c r="D1664" s="3" t="s">
        <v>309</v>
      </c>
      <c r="E1664" s="3" t="s">
        <v>4591</v>
      </c>
      <c r="F1664" s="3" t="s">
        <v>324</v>
      </c>
      <c r="G1664" s="3" t="s">
        <v>329</v>
      </c>
      <c r="H1664" s="3"/>
    </row>
    <row r="1665" spans="1:8" x14ac:dyDescent="0.25">
      <c r="A1665" s="3" t="s">
        <v>1982</v>
      </c>
      <c r="B1665" s="3" t="s">
        <v>3332</v>
      </c>
      <c r="C1665" s="3" t="s">
        <v>191</v>
      </c>
      <c r="D1665" s="3" t="s">
        <v>294</v>
      </c>
      <c r="E1665" s="3">
        <v>412.25</v>
      </c>
      <c r="F1665" s="3" t="s">
        <v>381</v>
      </c>
      <c r="G1665" s="3" t="s">
        <v>337</v>
      </c>
      <c r="H1665" s="3" t="s">
        <v>334</v>
      </c>
    </row>
    <row r="1666" spans="1:8" x14ac:dyDescent="0.25">
      <c r="A1666" s="3" t="s">
        <v>1983</v>
      </c>
      <c r="B1666" s="3" t="s">
        <v>3934</v>
      </c>
      <c r="C1666" s="3" t="s">
        <v>269</v>
      </c>
      <c r="D1666" s="3" t="s">
        <v>294</v>
      </c>
      <c r="E1666" s="3">
        <v>481.91</v>
      </c>
      <c r="F1666" s="3" t="s">
        <v>324</v>
      </c>
      <c r="G1666" s="3" t="s">
        <v>325</v>
      </c>
      <c r="H1666" s="3"/>
    </row>
    <row r="1667" spans="1:8" x14ac:dyDescent="0.25">
      <c r="A1667" s="3" t="s">
        <v>1984</v>
      </c>
      <c r="B1667" s="3" t="s">
        <v>3650</v>
      </c>
      <c r="C1667" s="3" t="s">
        <v>199</v>
      </c>
      <c r="D1667" s="3" t="s">
        <v>294</v>
      </c>
      <c r="E1667" s="3">
        <v>443.72</v>
      </c>
      <c r="F1667" s="3" t="s">
        <v>2976</v>
      </c>
      <c r="G1667" s="3"/>
      <c r="H1667" s="3" t="s">
        <v>334</v>
      </c>
    </row>
    <row r="1668" spans="1:8" x14ac:dyDescent="0.25">
      <c r="A1668" s="3" t="s">
        <v>1985</v>
      </c>
      <c r="B1668" s="3" t="s">
        <v>3729</v>
      </c>
      <c r="C1668" s="3" t="s">
        <v>163</v>
      </c>
      <c r="D1668" s="3" t="s">
        <v>294</v>
      </c>
      <c r="E1668" s="3">
        <v>916.86</v>
      </c>
      <c r="F1668" s="3" t="s">
        <v>2995</v>
      </c>
      <c r="G1668" s="3" t="s">
        <v>327</v>
      </c>
      <c r="H1668" s="3"/>
    </row>
    <row r="1669" spans="1:8" x14ac:dyDescent="0.25">
      <c r="A1669" s="3" t="s">
        <v>1190</v>
      </c>
      <c r="B1669" s="3" t="s">
        <v>3966</v>
      </c>
      <c r="C1669" s="3" t="s">
        <v>159</v>
      </c>
      <c r="D1669" s="3" t="s">
        <v>309</v>
      </c>
      <c r="E1669" s="3">
        <v>452.19</v>
      </c>
      <c r="F1669" s="3" t="s">
        <v>2976</v>
      </c>
      <c r="G1669" s="3" t="s">
        <v>337</v>
      </c>
      <c r="H1669" s="3" t="s">
        <v>332</v>
      </c>
    </row>
    <row r="1670" spans="1:8" x14ac:dyDescent="0.25">
      <c r="A1670" s="3" t="s">
        <v>1986</v>
      </c>
      <c r="B1670" s="3" t="s">
        <v>3963</v>
      </c>
      <c r="C1670" s="3" t="s">
        <v>179</v>
      </c>
      <c r="D1670" s="3" t="s">
        <v>294</v>
      </c>
      <c r="E1670" s="3" t="s">
        <v>4592</v>
      </c>
      <c r="F1670" s="3" t="s">
        <v>324</v>
      </c>
      <c r="G1670" s="3"/>
      <c r="H1670" s="3"/>
    </row>
    <row r="1671" spans="1:8" x14ac:dyDescent="0.25">
      <c r="A1671" s="3" t="s">
        <v>1987</v>
      </c>
      <c r="B1671" s="3" t="s">
        <v>4244</v>
      </c>
      <c r="C1671" s="3" t="s">
        <v>76</v>
      </c>
      <c r="D1671" s="3" t="s">
        <v>294</v>
      </c>
      <c r="E1671" s="3" t="s">
        <v>4593</v>
      </c>
      <c r="F1671" s="3" t="s">
        <v>2976</v>
      </c>
      <c r="G1671" s="3" t="s">
        <v>325</v>
      </c>
      <c r="H1671" s="3"/>
    </row>
    <row r="1672" spans="1:8" x14ac:dyDescent="0.25">
      <c r="A1672" s="3" t="s">
        <v>1988</v>
      </c>
      <c r="B1672" s="3" t="s">
        <v>3832</v>
      </c>
      <c r="C1672" s="3" t="s">
        <v>133</v>
      </c>
      <c r="D1672" s="3" t="s">
        <v>294</v>
      </c>
      <c r="E1672" s="3" t="s">
        <v>4594</v>
      </c>
      <c r="F1672" s="3" t="s">
        <v>2995</v>
      </c>
      <c r="G1672" s="3" t="s">
        <v>327</v>
      </c>
      <c r="H1672" s="3" t="s">
        <v>332</v>
      </c>
    </row>
    <row r="1673" spans="1:8" x14ac:dyDescent="0.25">
      <c r="A1673" s="3" t="s">
        <v>1989</v>
      </c>
      <c r="B1673" s="3" t="s">
        <v>4595</v>
      </c>
      <c r="C1673" s="3" t="s">
        <v>239</v>
      </c>
      <c r="D1673" s="3" t="s">
        <v>312</v>
      </c>
      <c r="E1673" s="3" t="s">
        <v>4596</v>
      </c>
      <c r="F1673" s="3" t="s">
        <v>324</v>
      </c>
      <c r="G1673" s="3" t="s">
        <v>325</v>
      </c>
      <c r="H1673" s="3"/>
    </row>
    <row r="1674" spans="1:8" x14ac:dyDescent="0.25">
      <c r="A1674" s="3" t="s">
        <v>1990</v>
      </c>
      <c r="B1674" s="3" t="s">
        <v>3614</v>
      </c>
      <c r="C1674" s="3" t="s">
        <v>84</v>
      </c>
      <c r="D1674" s="3" t="s">
        <v>306</v>
      </c>
      <c r="E1674" s="3" t="s">
        <v>4597</v>
      </c>
      <c r="F1674" s="3" t="s">
        <v>2995</v>
      </c>
      <c r="G1674" s="3" t="s">
        <v>327</v>
      </c>
      <c r="H1674" s="3" t="s">
        <v>346</v>
      </c>
    </row>
    <row r="1675" spans="1:8" x14ac:dyDescent="0.25">
      <c r="A1675" s="3" t="s">
        <v>1991</v>
      </c>
      <c r="B1675" s="3" t="s">
        <v>3004</v>
      </c>
      <c r="C1675" s="3" t="s">
        <v>62</v>
      </c>
      <c r="D1675" s="3" t="s">
        <v>297</v>
      </c>
      <c r="E1675" s="3">
        <v>365.71</v>
      </c>
      <c r="F1675" s="3" t="s">
        <v>324</v>
      </c>
      <c r="G1675" s="3" t="s">
        <v>327</v>
      </c>
      <c r="H1675" s="3"/>
    </row>
    <row r="1676" spans="1:8" x14ac:dyDescent="0.25">
      <c r="A1676" s="3" t="s">
        <v>1992</v>
      </c>
      <c r="B1676" s="3" t="s">
        <v>3965</v>
      </c>
      <c r="C1676" s="3" t="s">
        <v>181</v>
      </c>
      <c r="D1676" s="3" t="s">
        <v>294</v>
      </c>
      <c r="E1676" s="3" t="s">
        <v>4598</v>
      </c>
      <c r="F1676" s="3" t="s">
        <v>324</v>
      </c>
      <c r="G1676" s="3" t="s">
        <v>337</v>
      </c>
      <c r="H1676" s="3"/>
    </row>
    <row r="1677" spans="1:8" x14ac:dyDescent="0.25">
      <c r="A1677" s="3" t="s">
        <v>1993</v>
      </c>
      <c r="B1677" s="3" t="s">
        <v>3487</v>
      </c>
      <c r="C1677" s="3" t="s">
        <v>147</v>
      </c>
      <c r="D1677" s="3" t="s">
        <v>294</v>
      </c>
      <c r="E1677" s="3" t="s">
        <v>4599</v>
      </c>
      <c r="F1677" s="3" t="s">
        <v>324</v>
      </c>
      <c r="G1677" s="3" t="s">
        <v>337</v>
      </c>
      <c r="H1677" s="3" t="s">
        <v>332</v>
      </c>
    </row>
    <row r="1678" spans="1:8" x14ac:dyDescent="0.25">
      <c r="A1678" s="3" t="s">
        <v>1994</v>
      </c>
      <c r="B1678" s="3" t="s">
        <v>3073</v>
      </c>
      <c r="C1678" s="3" t="s">
        <v>74</v>
      </c>
      <c r="D1678" s="3" t="s">
        <v>315</v>
      </c>
      <c r="E1678" s="3">
        <v>361.41</v>
      </c>
      <c r="F1678" s="3" t="s">
        <v>324</v>
      </c>
      <c r="G1678" s="3" t="s">
        <v>327</v>
      </c>
      <c r="H1678" s="3"/>
    </row>
    <row r="1679" spans="1:8" x14ac:dyDescent="0.25">
      <c r="A1679" s="3" t="s">
        <v>1995</v>
      </c>
      <c r="B1679" s="3" t="s">
        <v>4600</v>
      </c>
      <c r="C1679" s="3" t="s">
        <v>90</v>
      </c>
      <c r="D1679" s="3" t="s">
        <v>315</v>
      </c>
      <c r="E1679" s="3" t="s">
        <v>4601</v>
      </c>
      <c r="F1679" s="3" t="s">
        <v>3157</v>
      </c>
      <c r="G1679" s="3" t="s">
        <v>327</v>
      </c>
      <c r="H1679" s="3"/>
    </row>
    <row r="1680" spans="1:8" x14ac:dyDescent="0.25">
      <c r="A1680" s="3" t="s">
        <v>1996</v>
      </c>
      <c r="B1680" s="3" t="s">
        <v>3001</v>
      </c>
      <c r="C1680" s="3" t="s">
        <v>111</v>
      </c>
      <c r="D1680" s="3" t="s">
        <v>315</v>
      </c>
      <c r="E1680" s="3">
        <v>395.1</v>
      </c>
      <c r="F1680" s="3" t="s">
        <v>324</v>
      </c>
      <c r="G1680" s="3" t="s">
        <v>327</v>
      </c>
      <c r="H1680" s="3" t="s">
        <v>332</v>
      </c>
    </row>
    <row r="1681" spans="1:8" x14ac:dyDescent="0.25">
      <c r="A1681" s="3" t="s">
        <v>1997</v>
      </c>
      <c r="B1681" s="3" t="s">
        <v>3523</v>
      </c>
      <c r="C1681" s="3" t="s">
        <v>191</v>
      </c>
      <c r="D1681" s="3" t="s">
        <v>315</v>
      </c>
      <c r="E1681" s="3" t="s">
        <v>4602</v>
      </c>
      <c r="F1681" s="3" t="s">
        <v>2988</v>
      </c>
      <c r="G1681" s="3" t="s">
        <v>329</v>
      </c>
      <c r="H1681" s="3" t="s">
        <v>346</v>
      </c>
    </row>
    <row r="1682" spans="1:8" x14ac:dyDescent="0.25">
      <c r="A1682" s="3" t="s">
        <v>1998</v>
      </c>
      <c r="B1682" s="3" t="s">
        <v>3871</v>
      </c>
      <c r="C1682" s="3" t="s">
        <v>33</v>
      </c>
      <c r="D1682" s="3" t="s">
        <v>294</v>
      </c>
      <c r="E1682" s="3" t="s">
        <v>4603</v>
      </c>
      <c r="F1682" s="3" t="s">
        <v>2997</v>
      </c>
      <c r="G1682" s="3" t="s">
        <v>325</v>
      </c>
      <c r="H1682" s="3"/>
    </row>
    <row r="1683" spans="1:8" x14ac:dyDescent="0.25">
      <c r="A1683" s="3" t="s">
        <v>1999</v>
      </c>
      <c r="B1683" s="3" t="s">
        <v>4604</v>
      </c>
      <c r="C1683" s="3" t="s">
        <v>209</v>
      </c>
      <c r="D1683" s="3" t="s">
        <v>309</v>
      </c>
      <c r="E1683" s="3">
        <v>259.86</v>
      </c>
      <c r="F1683" s="3" t="s">
        <v>331</v>
      </c>
      <c r="G1683" s="3" t="s">
        <v>325</v>
      </c>
      <c r="H1683" s="3" t="s">
        <v>346</v>
      </c>
    </row>
    <row r="1684" spans="1:8" x14ac:dyDescent="0.25">
      <c r="A1684" s="3" t="s">
        <v>2000</v>
      </c>
      <c r="B1684" s="3" t="s">
        <v>3235</v>
      </c>
      <c r="C1684" s="3" t="s">
        <v>6</v>
      </c>
      <c r="D1684" s="3" t="s">
        <v>300</v>
      </c>
      <c r="E1684" s="3" t="s">
        <v>4605</v>
      </c>
      <c r="F1684" s="3" t="s">
        <v>2988</v>
      </c>
      <c r="G1684" s="3" t="s">
        <v>327</v>
      </c>
      <c r="H1684" s="3" t="s">
        <v>346</v>
      </c>
    </row>
    <row r="1685" spans="1:8" x14ac:dyDescent="0.25">
      <c r="A1685" s="3" t="s">
        <v>2001</v>
      </c>
      <c r="B1685" s="3" t="s">
        <v>4053</v>
      </c>
      <c r="C1685" s="3" t="s">
        <v>231</v>
      </c>
      <c r="D1685" s="3" t="s">
        <v>297</v>
      </c>
      <c r="E1685" s="3">
        <v>-186.25</v>
      </c>
      <c r="F1685" s="3" t="s">
        <v>349</v>
      </c>
      <c r="G1685" s="3" t="s">
        <v>327</v>
      </c>
      <c r="H1685" s="3"/>
    </row>
    <row r="1686" spans="1:8" x14ac:dyDescent="0.25">
      <c r="A1686" s="3" t="s">
        <v>2002</v>
      </c>
      <c r="B1686" s="3" t="s">
        <v>3098</v>
      </c>
      <c r="C1686" s="3" t="s">
        <v>257</v>
      </c>
      <c r="D1686" s="3" t="s">
        <v>303</v>
      </c>
      <c r="E1686" s="3" t="s">
        <v>4606</v>
      </c>
      <c r="F1686" s="3" t="s">
        <v>2976</v>
      </c>
      <c r="G1686" s="3" t="s">
        <v>329</v>
      </c>
      <c r="H1686" s="3"/>
    </row>
    <row r="1687" spans="1:8" x14ac:dyDescent="0.25">
      <c r="A1687" s="3" t="s">
        <v>2003</v>
      </c>
      <c r="B1687" s="3" t="s">
        <v>3798</v>
      </c>
      <c r="C1687" s="3" t="s">
        <v>215</v>
      </c>
      <c r="D1687" s="3" t="s">
        <v>303</v>
      </c>
      <c r="E1687" s="3" t="s">
        <v>4607</v>
      </c>
      <c r="F1687" s="3" t="s">
        <v>2976</v>
      </c>
      <c r="G1687" s="3" t="s">
        <v>327</v>
      </c>
      <c r="H1687" s="3"/>
    </row>
    <row r="1688" spans="1:8" x14ac:dyDescent="0.25">
      <c r="A1688" s="3" t="s">
        <v>2004</v>
      </c>
      <c r="B1688" s="3" t="s">
        <v>4608</v>
      </c>
      <c r="C1688" s="3" t="s">
        <v>205</v>
      </c>
      <c r="D1688" s="3" t="s">
        <v>312</v>
      </c>
      <c r="E1688" s="3" t="s">
        <v>4609</v>
      </c>
      <c r="F1688" s="3" t="s">
        <v>324</v>
      </c>
      <c r="G1688" s="3" t="s">
        <v>337</v>
      </c>
      <c r="H1688" s="3"/>
    </row>
    <row r="1689" spans="1:8" x14ac:dyDescent="0.25">
      <c r="A1689" s="3" t="s">
        <v>2005</v>
      </c>
      <c r="B1689" s="3" t="s">
        <v>4610</v>
      </c>
      <c r="C1689" s="3" t="s">
        <v>189</v>
      </c>
      <c r="D1689" s="3" t="s">
        <v>303</v>
      </c>
      <c r="E1689" s="3">
        <v>444.12</v>
      </c>
      <c r="F1689" s="3" t="s">
        <v>324</v>
      </c>
      <c r="G1689" s="3" t="s">
        <v>329</v>
      </c>
      <c r="H1689" s="3" t="s">
        <v>334</v>
      </c>
    </row>
    <row r="1690" spans="1:8" x14ac:dyDescent="0.25">
      <c r="A1690" s="3" t="s">
        <v>2006</v>
      </c>
      <c r="B1690" s="3" t="s">
        <v>4497</v>
      </c>
      <c r="C1690" s="3" t="s">
        <v>227</v>
      </c>
      <c r="D1690" s="3" t="s">
        <v>300</v>
      </c>
      <c r="E1690" s="3" t="s">
        <v>4611</v>
      </c>
      <c r="F1690" s="3" t="s">
        <v>324</v>
      </c>
      <c r="G1690" s="3" t="s">
        <v>327</v>
      </c>
      <c r="H1690" s="3" t="s">
        <v>332</v>
      </c>
    </row>
    <row r="1691" spans="1:8" x14ac:dyDescent="0.25">
      <c r="A1691" s="3" t="s">
        <v>2007</v>
      </c>
      <c r="B1691" s="3" t="s">
        <v>4612</v>
      </c>
      <c r="C1691" s="3" t="s">
        <v>131</v>
      </c>
      <c r="D1691" s="3" t="s">
        <v>297</v>
      </c>
      <c r="E1691" s="3" t="s">
        <v>4613</v>
      </c>
      <c r="F1691" s="3" t="s">
        <v>2976</v>
      </c>
      <c r="G1691" s="3" t="s">
        <v>327</v>
      </c>
      <c r="H1691" s="3" t="s">
        <v>346</v>
      </c>
    </row>
    <row r="1692" spans="1:8" x14ac:dyDescent="0.25">
      <c r="A1692" s="3" t="s">
        <v>2008</v>
      </c>
      <c r="B1692" s="3" t="s">
        <v>4565</v>
      </c>
      <c r="C1692" s="3" t="s">
        <v>49</v>
      </c>
      <c r="D1692" s="3" t="s">
        <v>315</v>
      </c>
      <c r="E1692" s="3">
        <v>477.33</v>
      </c>
      <c r="F1692" s="3" t="s">
        <v>324</v>
      </c>
      <c r="G1692" s="3" t="s">
        <v>337</v>
      </c>
      <c r="H1692" s="3" t="s">
        <v>332</v>
      </c>
    </row>
    <row r="1693" spans="1:8" x14ac:dyDescent="0.25">
      <c r="A1693" s="3" t="s">
        <v>2009</v>
      </c>
      <c r="B1693" s="3" t="s">
        <v>4435</v>
      </c>
      <c r="C1693" s="3" t="s">
        <v>115</v>
      </c>
      <c r="D1693" s="3" t="s">
        <v>294</v>
      </c>
      <c r="E1693" s="3" t="s">
        <v>4614</v>
      </c>
      <c r="F1693" s="3" t="s">
        <v>324</v>
      </c>
      <c r="G1693" s="3" t="s">
        <v>327</v>
      </c>
      <c r="H1693" s="3" t="s">
        <v>346</v>
      </c>
    </row>
    <row r="1694" spans="1:8" x14ac:dyDescent="0.25">
      <c r="A1694" s="3" t="s">
        <v>2010</v>
      </c>
      <c r="B1694" s="3" t="s">
        <v>3095</v>
      </c>
      <c r="C1694" s="3" t="s">
        <v>90</v>
      </c>
      <c r="D1694" s="3" t="s">
        <v>309</v>
      </c>
      <c r="E1694" s="3" t="s">
        <v>4615</v>
      </c>
      <c r="F1694" s="3" t="s">
        <v>324</v>
      </c>
      <c r="G1694" s="3" t="s">
        <v>327</v>
      </c>
      <c r="H1694" s="3" t="s">
        <v>332</v>
      </c>
    </row>
    <row r="1695" spans="1:8" x14ac:dyDescent="0.25">
      <c r="A1695" s="3" t="s">
        <v>2011</v>
      </c>
      <c r="B1695" s="3" t="s">
        <v>3967</v>
      </c>
      <c r="C1695" s="3" t="s">
        <v>163</v>
      </c>
      <c r="D1695" s="3" t="s">
        <v>303</v>
      </c>
      <c r="E1695" s="3">
        <v>915.29</v>
      </c>
      <c r="F1695" s="3" t="s">
        <v>324</v>
      </c>
      <c r="G1695" s="3" t="s">
        <v>325</v>
      </c>
      <c r="H1695" s="3"/>
    </row>
    <row r="1696" spans="1:8" x14ac:dyDescent="0.25">
      <c r="A1696" s="3" t="s">
        <v>2012</v>
      </c>
      <c r="B1696" s="3" t="s">
        <v>3605</v>
      </c>
      <c r="C1696" s="3" t="s">
        <v>119</v>
      </c>
      <c r="D1696" s="3" t="s">
        <v>309</v>
      </c>
      <c r="E1696" s="3" t="s">
        <v>4616</v>
      </c>
      <c r="F1696" s="3" t="s">
        <v>381</v>
      </c>
      <c r="G1696" s="3" t="s">
        <v>325</v>
      </c>
      <c r="H1696" s="3"/>
    </row>
    <row r="1697" spans="1:8" x14ac:dyDescent="0.25">
      <c r="A1697" s="3" t="s">
        <v>2013</v>
      </c>
      <c r="B1697" s="3" t="s">
        <v>4617</v>
      </c>
      <c r="C1697" s="3" t="s">
        <v>119</v>
      </c>
      <c r="D1697" s="3" t="s">
        <v>297</v>
      </c>
      <c r="E1697" s="3">
        <v>450.3</v>
      </c>
      <c r="F1697" s="3" t="s">
        <v>2995</v>
      </c>
      <c r="G1697" s="3"/>
      <c r="H1697" s="3"/>
    </row>
    <row r="1698" spans="1:8" x14ac:dyDescent="0.25">
      <c r="A1698" s="3" t="s">
        <v>2014</v>
      </c>
      <c r="B1698" s="3" t="s">
        <v>3022</v>
      </c>
      <c r="C1698" s="3" t="s">
        <v>94</v>
      </c>
      <c r="D1698" s="3" t="s">
        <v>297</v>
      </c>
      <c r="E1698" s="3">
        <v>233.71</v>
      </c>
      <c r="F1698" s="3" t="s">
        <v>3157</v>
      </c>
      <c r="G1698" s="3"/>
      <c r="H1698" s="3" t="s">
        <v>332</v>
      </c>
    </row>
    <row r="1699" spans="1:8" x14ac:dyDescent="0.25">
      <c r="A1699" s="3" t="s">
        <v>2015</v>
      </c>
      <c r="B1699" s="3" t="s">
        <v>4618</v>
      </c>
      <c r="C1699" s="3" t="s">
        <v>197</v>
      </c>
      <c r="D1699" s="3" t="s">
        <v>306</v>
      </c>
      <c r="E1699" s="3" t="s">
        <v>4619</v>
      </c>
      <c r="F1699" s="3" t="s">
        <v>2995</v>
      </c>
      <c r="G1699" s="3" t="s">
        <v>337</v>
      </c>
      <c r="H1699" s="3"/>
    </row>
    <row r="1700" spans="1:8" x14ac:dyDescent="0.25">
      <c r="A1700" s="3" t="s">
        <v>2016</v>
      </c>
      <c r="B1700" s="3" t="s">
        <v>4268</v>
      </c>
      <c r="C1700" s="3" t="s">
        <v>257</v>
      </c>
      <c r="D1700" s="3" t="s">
        <v>300</v>
      </c>
      <c r="E1700" s="3">
        <v>330.25</v>
      </c>
      <c r="F1700" s="3" t="s">
        <v>3097</v>
      </c>
      <c r="G1700" s="3" t="s">
        <v>329</v>
      </c>
      <c r="H1700" s="3" t="s">
        <v>334</v>
      </c>
    </row>
    <row r="1701" spans="1:8" x14ac:dyDescent="0.25">
      <c r="A1701" s="3" t="s">
        <v>2017</v>
      </c>
      <c r="B1701" s="3" t="s">
        <v>4620</v>
      </c>
      <c r="C1701" s="3" t="s">
        <v>157</v>
      </c>
      <c r="D1701" s="3" t="s">
        <v>303</v>
      </c>
      <c r="E1701" s="3" t="s">
        <v>4621</v>
      </c>
      <c r="F1701" s="3" t="s">
        <v>2973</v>
      </c>
      <c r="G1701" s="3" t="s">
        <v>327</v>
      </c>
      <c r="H1701" s="3"/>
    </row>
    <row r="1702" spans="1:8" x14ac:dyDescent="0.25">
      <c r="A1702" s="3" t="s">
        <v>2018</v>
      </c>
      <c r="B1702" s="3" t="s">
        <v>4622</v>
      </c>
      <c r="C1702" s="3" t="s">
        <v>641</v>
      </c>
      <c r="D1702" s="3" t="s">
        <v>306</v>
      </c>
      <c r="E1702" s="3">
        <v>463.34</v>
      </c>
      <c r="F1702" s="3" t="s">
        <v>324</v>
      </c>
      <c r="G1702" s="3" t="s">
        <v>327</v>
      </c>
      <c r="H1702" s="3" t="s">
        <v>346</v>
      </c>
    </row>
    <row r="1703" spans="1:8" x14ac:dyDescent="0.25">
      <c r="A1703" s="3" t="s">
        <v>2019</v>
      </c>
      <c r="B1703" s="3" t="s">
        <v>3463</v>
      </c>
      <c r="C1703" s="3" t="s">
        <v>177</v>
      </c>
      <c r="D1703" s="3" t="s">
        <v>315</v>
      </c>
      <c r="E1703" s="3">
        <v>217.11</v>
      </c>
      <c r="F1703" s="3" t="s">
        <v>331</v>
      </c>
      <c r="G1703" s="3" t="s">
        <v>329</v>
      </c>
      <c r="H1703" s="3" t="s">
        <v>332</v>
      </c>
    </row>
    <row r="1704" spans="1:8" x14ac:dyDescent="0.25">
      <c r="A1704" s="3" t="s">
        <v>2020</v>
      </c>
      <c r="B1704" s="3" t="s">
        <v>4623</v>
      </c>
      <c r="C1704" s="3" t="s">
        <v>2021</v>
      </c>
      <c r="D1704" s="3" t="s">
        <v>309</v>
      </c>
      <c r="E1704" s="3" t="s">
        <v>4624</v>
      </c>
      <c r="F1704" s="3" t="s">
        <v>324</v>
      </c>
      <c r="G1704" s="3" t="s">
        <v>329</v>
      </c>
      <c r="H1704" s="3"/>
    </row>
    <row r="1705" spans="1:8" x14ac:dyDescent="0.25">
      <c r="A1705" s="3" t="s">
        <v>2022</v>
      </c>
      <c r="B1705" s="3" t="s">
        <v>3285</v>
      </c>
      <c r="C1705" s="3" t="s">
        <v>40</v>
      </c>
      <c r="D1705" s="3" t="s">
        <v>312</v>
      </c>
      <c r="E1705" s="3">
        <v>534.55999999999995</v>
      </c>
      <c r="F1705" s="3" t="s">
        <v>2973</v>
      </c>
      <c r="G1705" s="3" t="s">
        <v>325</v>
      </c>
      <c r="H1705" s="3" t="s">
        <v>346</v>
      </c>
    </row>
    <row r="1706" spans="1:8" x14ac:dyDescent="0.25">
      <c r="A1706" s="3" t="s">
        <v>2961</v>
      </c>
      <c r="B1706" s="3" t="s">
        <v>3049</v>
      </c>
      <c r="C1706" s="3" t="s">
        <v>249</v>
      </c>
      <c r="D1706" s="3"/>
      <c r="E1706" s="3">
        <v>157.22999999999999</v>
      </c>
      <c r="F1706" s="3" t="s">
        <v>324</v>
      </c>
      <c r="G1706" s="3" t="s">
        <v>337</v>
      </c>
      <c r="H1706" s="3" t="s">
        <v>334</v>
      </c>
    </row>
    <row r="1707" spans="1:8" x14ac:dyDescent="0.25">
      <c r="A1707" s="3" t="s">
        <v>2023</v>
      </c>
      <c r="B1707" s="3" t="s">
        <v>4625</v>
      </c>
      <c r="C1707" s="3" t="s">
        <v>68</v>
      </c>
      <c r="D1707" s="3" t="s">
        <v>297</v>
      </c>
      <c r="E1707" s="3">
        <v>343.93</v>
      </c>
      <c r="F1707" s="3" t="s">
        <v>2976</v>
      </c>
      <c r="G1707" s="3" t="s">
        <v>337</v>
      </c>
      <c r="H1707" s="3"/>
    </row>
    <row r="1708" spans="1:8" x14ac:dyDescent="0.25">
      <c r="A1708" s="3" t="s">
        <v>2024</v>
      </c>
      <c r="B1708" s="3" t="s">
        <v>3282</v>
      </c>
      <c r="C1708" s="3" t="s">
        <v>233</v>
      </c>
      <c r="D1708" s="3" t="s">
        <v>309</v>
      </c>
      <c r="E1708" s="3">
        <v>758.96</v>
      </c>
      <c r="F1708" s="3" t="s">
        <v>324</v>
      </c>
      <c r="G1708" s="3"/>
      <c r="H1708" s="3"/>
    </row>
    <row r="1709" spans="1:8" x14ac:dyDescent="0.25">
      <c r="A1709" s="3" t="s">
        <v>2025</v>
      </c>
      <c r="B1709" s="3" t="s">
        <v>4626</v>
      </c>
      <c r="C1709" s="3" t="s">
        <v>44</v>
      </c>
      <c r="D1709" s="3" t="s">
        <v>300</v>
      </c>
      <c r="E1709" s="3" t="s">
        <v>4627</v>
      </c>
      <c r="F1709" s="3" t="s">
        <v>2995</v>
      </c>
      <c r="G1709" s="3" t="s">
        <v>337</v>
      </c>
      <c r="H1709" s="3"/>
    </row>
    <row r="1710" spans="1:8" x14ac:dyDescent="0.25">
      <c r="A1710" s="3" t="s">
        <v>2026</v>
      </c>
      <c r="B1710" s="3" t="s">
        <v>4628</v>
      </c>
      <c r="C1710" s="3" t="s">
        <v>229</v>
      </c>
      <c r="D1710" s="3" t="s">
        <v>294</v>
      </c>
      <c r="E1710" s="3">
        <v>567.57000000000005</v>
      </c>
      <c r="F1710" s="3" t="s">
        <v>324</v>
      </c>
      <c r="G1710" s="3" t="s">
        <v>327</v>
      </c>
      <c r="H1710" s="3" t="s">
        <v>332</v>
      </c>
    </row>
    <row r="1711" spans="1:8" x14ac:dyDescent="0.25">
      <c r="A1711" s="3" t="s">
        <v>2027</v>
      </c>
      <c r="B1711" s="3" t="s">
        <v>4629</v>
      </c>
      <c r="C1711" s="3" t="s">
        <v>121</v>
      </c>
      <c r="D1711" s="3" t="s">
        <v>297</v>
      </c>
      <c r="E1711" s="3">
        <v>469.29</v>
      </c>
      <c r="F1711" s="3" t="s">
        <v>324</v>
      </c>
      <c r="G1711" s="3" t="s">
        <v>327</v>
      </c>
      <c r="H1711" s="3" t="s">
        <v>334</v>
      </c>
    </row>
    <row r="1712" spans="1:8" x14ac:dyDescent="0.25">
      <c r="A1712" s="3" t="s">
        <v>2028</v>
      </c>
      <c r="B1712" s="3" t="s">
        <v>3378</v>
      </c>
      <c r="C1712" s="3" t="s">
        <v>233</v>
      </c>
      <c r="D1712" s="3" t="s">
        <v>300</v>
      </c>
      <c r="E1712" s="3">
        <v>430.2</v>
      </c>
      <c r="F1712" s="3" t="s">
        <v>2973</v>
      </c>
      <c r="G1712" s="3" t="s">
        <v>329</v>
      </c>
      <c r="H1712" s="3"/>
    </row>
    <row r="1713" spans="1:8" x14ac:dyDescent="0.25">
      <c r="A1713" s="3" t="s">
        <v>2029</v>
      </c>
      <c r="B1713" s="3" t="s">
        <v>4630</v>
      </c>
      <c r="C1713" s="3" t="s">
        <v>127</v>
      </c>
      <c r="D1713" s="3" t="s">
        <v>300</v>
      </c>
      <c r="E1713" s="3" t="s">
        <v>4631</v>
      </c>
      <c r="F1713" s="3" t="s">
        <v>3017</v>
      </c>
      <c r="G1713" s="3" t="s">
        <v>325</v>
      </c>
      <c r="H1713" s="3" t="s">
        <v>334</v>
      </c>
    </row>
    <row r="1714" spans="1:8" x14ac:dyDescent="0.25">
      <c r="A1714" s="3" t="s">
        <v>2030</v>
      </c>
      <c r="B1714" s="3" t="s">
        <v>4632</v>
      </c>
      <c r="C1714" s="3" t="s">
        <v>255</v>
      </c>
      <c r="D1714" s="3" t="s">
        <v>300</v>
      </c>
      <c r="E1714" s="3" t="s">
        <v>4633</v>
      </c>
      <c r="F1714" s="3" t="s">
        <v>324</v>
      </c>
      <c r="G1714" s="3" t="s">
        <v>329</v>
      </c>
      <c r="H1714" s="3" t="s">
        <v>346</v>
      </c>
    </row>
    <row r="1715" spans="1:8" x14ac:dyDescent="0.25">
      <c r="A1715" s="3" t="s">
        <v>2031</v>
      </c>
      <c r="B1715" s="3" t="s">
        <v>4634</v>
      </c>
      <c r="C1715" s="3" t="s">
        <v>223</v>
      </c>
      <c r="D1715" s="3" t="s">
        <v>315</v>
      </c>
      <c r="E1715" s="3">
        <v>571.53</v>
      </c>
      <c r="F1715" s="3" t="s">
        <v>2995</v>
      </c>
      <c r="G1715" s="3" t="s">
        <v>325</v>
      </c>
      <c r="H1715" s="3" t="s">
        <v>334</v>
      </c>
    </row>
    <row r="1716" spans="1:8" x14ac:dyDescent="0.25">
      <c r="A1716" s="3" t="s">
        <v>2032</v>
      </c>
      <c r="B1716" s="3" t="s">
        <v>4355</v>
      </c>
      <c r="C1716" s="3" t="s">
        <v>35</v>
      </c>
      <c r="D1716" s="3" t="s">
        <v>309</v>
      </c>
      <c r="E1716" s="3">
        <v>75.680000000000007</v>
      </c>
      <c r="F1716" s="3" t="s">
        <v>324</v>
      </c>
      <c r="G1716" s="3" t="s">
        <v>327</v>
      </c>
      <c r="H1716" s="3" t="s">
        <v>334</v>
      </c>
    </row>
    <row r="1717" spans="1:8" x14ac:dyDescent="0.25">
      <c r="A1717" s="3" t="s">
        <v>2033</v>
      </c>
      <c r="B1717" s="3" t="s">
        <v>3911</v>
      </c>
      <c r="C1717" s="3" t="s">
        <v>82</v>
      </c>
      <c r="D1717" s="3" t="s">
        <v>294</v>
      </c>
      <c r="E1717" s="3">
        <v>350.14</v>
      </c>
      <c r="F1717" s="3" t="s">
        <v>324</v>
      </c>
      <c r="G1717" s="3" t="s">
        <v>327</v>
      </c>
      <c r="H1717" s="3"/>
    </row>
    <row r="1718" spans="1:8" x14ac:dyDescent="0.25">
      <c r="A1718" s="3" t="s">
        <v>2034</v>
      </c>
      <c r="B1718" s="3" t="s">
        <v>3310</v>
      </c>
      <c r="C1718" s="3" t="s">
        <v>396</v>
      </c>
      <c r="D1718" s="3" t="s">
        <v>297</v>
      </c>
      <c r="E1718" s="3" t="s">
        <v>4635</v>
      </c>
      <c r="F1718" s="3" t="s">
        <v>3006</v>
      </c>
      <c r="G1718" s="3" t="s">
        <v>327</v>
      </c>
      <c r="H1718" s="3"/>
    </row>
    <row r="1719" spans="1:8" x14ac:dyDescent="0.25">
      <c r="A1719" s="3" t="s">
        <v>2035</v>
      </c>
      <c r="B1719" s="3" t="s">
        <v>4636</v>
      </c>
      <c r="C1719" s="3" t="s">
        <v>161</v>
      </c>
      <c r="D1719" s="3" t="s">
        <v>300</v>
      </c>
      <c r="E1719" s="3">
        <v>123.55</v>
      </c>
      <c r="F1719" s="3" t="s">
        <v>2995</v>
      </c>
      <c r="G1719" s="3" t="s">
        <v>325</v>
      </c>
      <c r="H1719" s="3"/>
    </row>
    <row r="1720" spans="1:8" x14ac:dyDescent="0.25">
      <c r="A1720" s="3" t="s">
        <v>2036</v>
      </c>
      <c r="B1720" s="3" t="s">
        <v>3240</v>
      </c>
      <c r="C1720" s="3" t="s">
        <v>72</v>
      </c>
      <c r="D1720" s="3" t="s">
        <v>294</v>
      </c>
      <c r="E1720" s="3">
        <v>513.49</v>
      </c>
      <c r="F1720" s="3" t="s">
        <v>381</v>
      </c>
      <c r="G1720" s="3"/>
      <c r="H1720" s="3" t="s">
        <v>334</v>
      </c>
    </row>
    <row r="1721" spans="1:8" x14ac:dyDescent="0.25">
      <c r="A1721" s="3" t="s">
        <v>2037</v>
      </c>
      <c r="B1721" s="3" t="s">
        <v>4637</v>
      </c>
      <c r="C1721" s="3" t="s">
        <v>100</v>
      </c>
      <c r="D1721" s="3" t="s">
        <v>297</v>
      </c>
      <c r="E1721" s="3" t="s">
        <v>4638</v>
      </c>
      <c r="F1721" s="3" t="s">
        <v>349</v>
      </c>
      <c r="G1721" s="3" t="s">
        <v>337</v>
      </c>
      <c r="H1721" s="3" t="s">
        <v>334</v>
      </c>
    </row>
    <row r="1722" spans="1:8" x14ac:dyDescent="0.25">
      <c r="A1722" s="3" t="s">
        <v>2038</v>
      </c>
      <c r="B1722" s="3" t="s">
        <v>4639</v>
      </c>
      <c r="C1722" s="3" t="s">
        <v>60</v>
      </c>
      <c r="D1722" s="3" t="s">
        <v>306</v>
      </c>
      <c r="E1722" s="3" t="s">
        <v>4640</v>
      </c>
      <c r="F1722" s="3" t="s">
        <v>324</v>
      </c>
      <c r="G1722" s="3"/>
      <c r="H1722" s="3"/>
    </row>
    <row r="1723" spans="1:8" x14ac:dyDescent="0.25">
      <c r="A1723" s="3" t="s">
        <v>2039</v>
      </c>
      <c r="B1723" s="3" t="s">
        <v>3811</v>
      </c>
      <c r="C1723" s="3" t="s">
        <v>143</v>
      </c>
      <c r="D1723" s="3" t="s">
        <v>306</v>
      </c>
      <c r="E1723" s="3" t="s">
        <v>4641</v>
      </c>
      <c r="F1723" s="3" t="s">
        <v>324</v>
      </c>
      <c r="G1723" s="3" t="s">
        <v>329</v>
      </c>
      <c r="H1723" s="3"/>
    </row>
    <row r="1724" spans="1:8" x14ac:dyDescent="0.25">
      <c r="A1724" s="3" t="s">
        <v>2040</v>
      </c>
      <c r="B1724" s="3" t="s">
        <v>4642</v>
      </c>
      <c r="C1724" s="3" t="s">
        <v>125</v>
      </c>
      <c r="D1724" s="3" t="s">
        <v>315</v>
      </c>
      <c r="E1724" s="3" t="s">
        <v>4643</v>
      </c>
      <c r="F1724" s="3" t="s">
        <v>324</v>
      </c>
      <c r="G1724" s="3" t="s">
        <v>329</v>
      </c>
      <c r="H1724" s="3"/>
    </row>
    <row r="1725" spans="1:8" x14ac:dyDescent="0.25">
      <c r="A1725" s="3" t="s">
        <v>2041</v>
      </c>
      <c r="B1725" s="3" t="s">
        <v>3122</v>
      </c>
      <c r="C1725" s="3" t="s">
        <v>141</v>
      </c>
      <c r="D1725" s="3" t="s">
        <v>300</v>
      </c>
      <c r="E1725" s="3">
        <v>-667.3</v>
      </c>
      <c r="F1725" s="3" t="s">
        <v>3021</v>
      </c>
      <c r="G1725" s="3" t="s">
        <v>329</v>
      </c>
      <c r="H1725" s="3"/>
    </row>
    <row r="1726" spans="1:8" x14ac:dyDescent="0.25">
      <c r="A1726" s="3" t="s">
        <v>2042</v>
      </c>
      <c r="B1726" s="3" t="s">
        <v>3781</v>
      </c>
      <c r="C1726" s="3" t="s">
        <v>38</v>
      </c>
      <c r="D1726" s="3" t="s">
        <v>300</v>
      </c>
      <c r="E1726" s="3" t="s">
        <v>4644</v>
      </c>
      <c r="F1726" s="3" t="s">
        <v>349</v>
      </c>
      <c r="G1726" s="3" t="s">
        <v>337</v>
      </c>
      <c r="H1726" s="3" t="s">
        <v>332</v>
      </c>
    </row>
    <row r="1727" spans="1:8" x14ac:dyDescent="0.25">
      <c r="A1727" s="3" t="s">
        <v>2043</v>
      </c>
      <c r="B1727" s="3" t="s">
        <v>3829</v>
      </c>
      <c r="C1727" s="3" t="s">
        <v>82</v>
      </c>
      <c r="D1727" s="3" t="s">
        <v>294</v>
      </c>
      <c r="E1727" s="3">
        <v>395.56</v>
      </c>
      <c r="F1727" s="3" t="s">
        <v>3097</v>
      </c>
      <c r="G1727" s="3" t="s">
        <v>337</v>
      </c>
      <c r="H1727" s="3" t="s">
        <v>346</v>
      </c>
    </row>
    <row r="1728" spans="1:8" x14ac:dyDescent="0.25">
      <c r="A1728" s="3" t="s">
        <v>2044</v>
      </c>
      <c r="B1728" s="3" t="s">
        <v>3181</v>
      </c>
      <c r="C1728" s="3" t="s">
        <v>251</v>
      </c>
      <c r="D1728" s="3" t="s">
        <v>309</v>
      </c>
      <c r="E1728" s="3">
        <v>132.93</v>
      </c>
      <c r="F1728" s="3" t="s">
        <v>324</v>
      </c>
      <c r="G1728" s="3"/>
      <c r="H1728" s="3"/>
    </row>
    <row r="1729" spans="1:8" x14ac:dyDescent="0.25">
      <c r="A1729" s="3" t="s">
        <v>2045</v>
      </c>
      <c r="B1729" s="3" t="s">
        <v>4645</v>
      </c>
      <c r="C1729" s="3" t="s">
        <v>165</v>
      </c>
      <c r="D1729" s="3" t="s">
        <v>300</v>
      </c>
      <c r="E1729" s="3">
        <v>218.97</v>
      </c>
      <c r="F1729" s="3" t="s">
        <v>324</v>
      </c>
      <c r="G1729" s="3" t="s">
        <v>325</v>
      </c>
      <c r="H1729" s="3" t="s">
        <v>334</v>
      </c>
    </row>
    <row r="1730" spans="1:8" x14ac:dyDescent="0.25">
      <c r="A1730" s="3" t="s">
        <v>2046</v>
      </c>
      <c r="B1730" s="3" t="s">
        <v>4646</v>
      </c>
      <c r="C1730" s="3" t="s">
        <v>209</v>
      </c>
      <c r="D1730" s="3" t="s">
        <v>300</v>
      </c>
      <c r="E1730" s="3">
        <v>322.89</v>
      </c>
      <c r="F1730" s="3" t="s">
        <v>2976</v>
      </c>
      <c r="G1730" s="3" t="s">
        <v>327</v>
      </c>
      <c r="H1730" s="3" t="s">
        <v>346</v>
      </c>
    </row>
    <row r="1731" spans="1:8" x14ac:dyDescent="0.25">
      <c r="A1731" s="3" t="s">
        <v>2047</v>
      </c>
      <c r="B1731" s="3" t="s">
        <v>4370</v>
      </c>
      <c r="C1731" s="3" t="s">
        <v>235</v>
      </c>
      <c r="D1731" s="3" t="s">
        <v>315</v>
      </c>
      <c r="E1731" s="3">
        <v>-100.91</v>
      </c>
      <c r="F1731" s="3" t="s">
        <v>349</v>
      </c>
      <c r="G1731" s="3"/>
      <c r="H1731" s="3"/>
    </row>
    <row r="1732" spans="1:8" x14ac:dyDescent="0.25">
      <c r="A1732" s="3" t="s">
        <v>2048</v>
      </c>
      <c r="B1732" s="3" t="s">
        <v>3014</v>
      </c>
      <c r="C1732" s="3" t="s">
        <v>167</v>
      </c>
      <c r="D1732" s="3" t="s">
        <v>309</v>
      </c>
      <c r="E1732" s="3" t="s">
        <v>4647</v>
      </c>
      <c r="F1732" s="3" t="s">
        <v>2973</v>
      </c>
      <c r="G1732" s="3" t="s">
        <v>325</v>
      </c>
      <c r="H1732" s="3"/>
    </row>
    <row r="1733" spans="1:8" x14ac:dyDescent="0.25">
      <c r="A1733" s="3" t="s">
        <v>2049</v>
      </c>
      <c r="B1733" s="3" t="s">
        <v>4648</v>
      </c>
      <c r="C1733" s="3" t="s">
        <v>247</v>
      </c>
      <c r="D1733" s="3" t="s">
        <v>309</v>
      </c>
      <c r="E1733" s="3">
        <v>573.61</v>
      </c>
      <c r="F1733" s="3" t="s">
        <v>324</v>
      </c>
      <c r="G1733" s="3" t="s">
        <v>337</v>
      </c>
      <c r="H1733" s="3" t="s">
        <v>332</v>
      </c>
    </row>
    <row r="1734" spans="1:8" x14ac:dyDescent="0.25">
      <c r="A1734" s="3" t="s">
        <v>2050</v>
      </c>
      <c r="B1734" s="3" t="s">
        <v>4432</v>
      </c>
      <c r="C1734" s="3" t="s">
        <v>163</v>
      </c>
      <c r="D1734" s="3" t="s">
        <v>294</v>
      </c>
      <c r="E1734" s="3" t="s">
        <v>4649</v>
      </c>
      <c r="F1734" s="3" t="s">
        <v>324</v>
      </c>
      <c r="G1734" s="3" t="s">
        <v>337</v>
      </c>
      <c r="H1734" s="3" t="s">
        <v>332</v>
      </c>
    </row>
    <row r="1735" spans="1:8" x14ac:dyDescent="0.25">
      <c r="A1735" s="3" t="s">
        <v>2051</v>
      </c>
      <c r="B1735" s="3" t="s">
        <v>3153</v>
      </c>
      <c r="C1735" s="3" t="s">
        <v>155</v>
      </c>
      <c r="D1735" s="3" t="s">
        <v>294</v>
      </c>
      <c r="E1735" s="3">
        <v>875.82</v>
      </c>
      <c r="F1735" s="3" t="s">
        <v>324</v>
      </c>
      <c r="G1735" s="3" t="s">
        <v>325</v>
      </c>
      <c r="H1735" s="3"/>
    </row>
    <row r="1736" spans="1:8" x14ac:dyDescent="0.25">
      <c r="A1736" s="3" t="s">
        <v>2052</v>
      </c>
      <c r="B1736" s="3" t="s">
        <v>3419</v>
      </c>
      <c r="C1736" s="3" t="s">
        <v>94</v>
      </c>
      <c r="D1736" s="3" t="s">
        <v>312</v>
      </c>
      <c r="E1736" s="3">
        <v>250.37</v>
      </c>
      <c r="F1736" s="3" t="s">
        <v>324</v>
      </c>
      <c r="G1736" s="3" t="s">
        <v>327</v>
      </c>
      <c r="H1736" s="3"/>
    </row>
    <row r="1737" spans="1:8" x14ac:dyDescent="0.25">
      <c r="A1737" s="3" t="s">
        <v>2053</v>
      </c>
      <c r="B1737" s="3" t="s">
        <v>4650</v>
      </c>
      <c r="C1737" s="3" t="s">
        <v>66</v>
      </c>
      <c r="D1737" s="3" t="s">
        <v>294</v>
      </c>
      <c r="E1737" s="3">
        <v>232.01</v>
      </c>
      <c r="F1737" s="3" t="s">
        <v>2973</v>
      </c>
      <c r="G1737" s="3" t="s">
        <v>337</v>
      </c>
      <c r="H1737" s="3" t="s">
        <v>334</v>
      </c>
    </row>
    <row r="1738" spans="1:8" x14ac:dyDescent="0.25">
      <c r="A1738" s="3" t="s">
        <v>2054</v>
      </c>
      <c r="B1738" s="3" t="s">
        <v>4651</v>
      </c>
      <c r="C1738" s="3" t="s">
        <v>111</v>
      </c>
      <c r="D1738" s="3" t="s">
        <v>300</v>
      </c>
      <c r="E1738" s="3">
        <v>218</v>
      </c>
      <c r="F1738" s="3" t="s">
        <v>324</v>
      </c>
      <c r="G1738" s="3" t="s">
        <v>325</v>
      </c>
      <c r="H1738" s="3" t="s">
        <v>334</v>
      </c>
    </row>
    <row r="1739" spans="1:8" x14ac:dyDescent="0.25">
      <c r="A1739" s="3" t="s">
        <v>2055</v>
      </c>
      <c r="B1739" s="3" t="s">
        <v>4430</v>
      </c>
      <c r="C1739" s="3" t="s">
        <v>207</v>
      </c>
      <c r="D1739" s="3" t="s">
        <v>306</v>
      </c>
      <c r="E1739" s="3">
        <v>813.77</v>
      </c>
      <c r="F1739" s="3" t="s">
        <v>2995</v>
      </c>
      <c r="G1739" s="3" t="s">
        <v>325</v>
      </c>
      <c r="H1739" s="3" t="s">
        <v>346</v>
      </c>
    </row>
    <row r="1740" spans="1:8" x14ac:dyDescent="0.25">
      <c r="A1740" s="3" t="s">
        <v>2056</v>
      </c>
      <c r="B1740" s="3" t="s">
        <v>4652</v>
      </c>
      <c r="C1740" s="3" t="s">
        <v>131</v>
      </c>
      <c r="D1740" s="3" t="s">
        <v>303</v>
      </c>
      <c r="E1740" s="3">
        <v>259.99</v>
      </c>
      <c r="F1740" s="3" t="s">
        <v>2988</v>
      </c>
      <c r="G1740" s="3" t="s">
        <v>337</v>
      </c>
      <c r="H1740" s="3"/>
    </row>
    <row r="1741" spans="1:8" x14ac:dyDescent="0.25">
      <c r="A1741" s="3" t="s">
        <v>2057</v>
      </c>
      <c r="B1741" s="3" t="s">
        <v>4653</v>
      </c>
      <c r="C1741" s="3" t="s">
        <v>267</v>
      </c>
      <c r="D1741" s="3" t="s">
        <v>309</v>
      </c>
      <c r="E1741" s="3" t="s">
        <v>4654</v>
      </c>
      <c r="F1741" s="3" t="s">
        <v>2995</v>
      </c>
      <c r="G1741" s="3" t="s">
        <v>327</v>
      </c>
      <c r="H1741" s="3"/>
    </row>
    <row r="1742" spans="1:8" x14ac:dyDescent="0.25">
      <c r="A1742" s="3" t="s">
        <v>2058</v>
      </c>
      <c r="B1742" s="3" t="s">
        <v>3282</v>
      </c>
      <c r="C1742" s="3" t="s">
        <v>249</v>
      </c>
      <c r="D1742" s="3" t="s">
        <v>303</v>
      </c>
      <c r="E1742" s="3">
        <v>1018.56</v>
      </c>
      <c r="F1742" s="3" t="s">
        <v>324</v>
      </c>
      <c r="G1742" s="3" t="s">
        <v>337</v>
      </c>
      <c r="H1742" s="3"/>
    </row>
    <row r="1743" spans="1:8" x14ac:dyDescent="0.25">
      <c r="A1743" s="3" t="s">
        <v>2059</v>
      </c>
      <c r="B1743" s="3" t="s">
        <v>3650</v>
      </c>
      <c r="C1743" s="3" t="s">
        <v>177</v>
      </c>
      <c r="D1743" s="3" t="s">
        <v>294</v>
      </c>
      <c r="E1743" s="3" t="s">
        <v>4655</v>
      </c>
      <c r="F1743" s="3" t="s">
        <v>324</v>
      </c>
      <c r="G1743" s="3" t="s">
        <v>337</v>
      </c>
      <c r="H1743" s="3" t="s">
        <v>334</v>
      </c>
    </row>
    <row r="1744" spans="1:8" x14ac:dyDescent="0.25">
      <c r="A1744" s="3" t="s">
        <v>831</v>
      </c>
      <c r="B1744" s="3" t="s">
        <v>3312</v>
      </c>
      <c r="C1744" s="3" t="s">
        <v>201</v>
      </c>
      <c r="D1744" s="3" t="s">
        <v>294</v>
      </c>
      <c r="E1744" s="3" t="s">
        <v>3606</v>
      </c>
      <c r="F1744" s="3" t="s">
        <v>324</v>
      </c>
      <c r="G1744" s="3" t="s">
        <v>325</v>
      </c>
      <c r="H1744" s="3" t="s">
        <v>346</v>
      </c>
    </row>
    <row r="1745" spans="1:8" x14ac:dyDescent="0.25">
      <c r="A1745" s="3" t="s">
        <v>2060</v>
      </c>
      <c r="B1745" s="3" t="s">
        <v>2991</v>
      </c>
      <c r="C1745" s="3" t="s">
        <v>60</v>
      </c>
      <c r="D1745" s="3" t="s">
        <v>297</v>
      </c>
      <c r="E1745" s="3">
        <v>492.48</v>
      </c>
      <c r="F1745" s="3" t="s">
        <v>324</v>
      </c>
      <c r="G1745" s="3" t="s">
        <v>327</v>
      </c>
      <c r="H1745" s="3" t="s">
        <v>332</v>
      </c>
    </row>
    <row r="1746" spans="1:8" x14ac:dyDescent="0.25">
      <c r="A1746" s="3" t="s">
        <v>2061</v>
      </c>
      <c r="B1746" s="3" t="s">
        <v>3085</v>
      </c>
      <c r="C1746" s="3" t="s">
        <v>115</v>
      </c>
      <c r="D1746" s="3" t="s">
        <v>294</v>
      </c>
      <c r="E1746" s="3">
        <v>250.14</v>
      </c>
      <c r="F1746" s="3" t="s">
        <v>324</v>
      </c>
      <c r="G1746" s="3" t="s">
        <v>327</v>
      </c>
      <c r="H1746" s="3" t="s">
        <v>334</v>
      </c>
    </row>
    <row r="1747" spans="1:8" x14ac:dyDescent="0.25">
      <c r="A1747" s="3" t="s">
        <v>2062</v>
      </c>
      <c r="B1747" s="3" t="s">
        <v>4314</v>
      </c>
      <c r="C1747" s="3" t="s">
        <v>111</v>
      </c>
      <c r="D1747" s="3" t="s">
        <v>312</v>
      </c>
      <c r="E1747" s="3" t="s">
        <v>4656</v>
      </c>
      <c r="F1747" s="3" t="s">
        <v>3097</v>
      </c>
      <c r="G1747" s="3" t="s">
        <v>327</v>
      </c>
      <c r="H1747" s="3" t="s">
        <v>346</v>
      </c>
    </row>
    <row r="1748" spans="1:8" x14ac:dyDescent="0.25">
      <c r="A1748" s="3" t="s">
        <v>2063</v>
      </c>
      <c r="B1748" s="3" t="s">
        <v>4657</v>
      </c>
      <c r="C1748" s="3" t="s">
        <v>135</v>
      </c>
      <c r="D1748" s="3" t="s">
        <v>297</v>
      </c>
      <c r="E1748" s="3" t="s">
        <v>4658</v>
      </c>
      <c r="F1748" s="3" t="s">
        <v>331</v>
      </c>
      <c r="G1748" s="3" t="s">
        <v>329</v>
      </c>
      <c r="H1748" s="3" t="s">
        <v>346</v>
      </c>
    </row>
    <row r="1749" spans="1:8" x14ac:dyDescent="0.25">
      <c r="A1749" s="3" t="s">
        <v>2064</v>
      </c>
      <c r="B1749" s="3" t="s">
        <v>3358</v>
      </c>
      <c r="C1749" s="3" t="s">
        <v>249</v>
      </c>
      <c r="D1749" s="3" t="s">
        <v>306</v>
      </c>
      <c r="E1749" s="3">
        <v>212.65</v>
      </c>
      <c r="F1749" s="3" t="s">
        <v>324</v>
      </c>
      <c r="G1749" s="3" t="s">
        <v>325</v>
      </c>
      <c r="H1749" s="3" t="s">
        <v>332</v>
      </c>
    </row>
    <row r="1750" spans="1:8" x14ac:dyDescent="0.25">
      <c r="A1750" s="3" t="s">
        <v>2065</v>
      </c>
      <c r="B1750" s="3" t="s">
        <v>3138</v>
      </c>
      <c r="C1750" s="3" t="s">
        <v>167</v>
      </c>
      <c r="D1750" s="3" t="s">
        <v>294</v>
      </c>
      <c r="E1750" s="3" t="s">
        <v>4659</v>
      </c>
      <c r="F1750" s="3" t="s">
        <v>324</v>
      </c>
      <c r="G1750" s="3" t="s">
        <v>337</v>
      </c>
      <c r="H1750" s="3"/>
    </row>
    <row r="1751" spans="1:8" x14ac:dyDescent="0.25">
      <c r="A1751" s="3" t="s">
        <v>2066</v>
      </c>
      <c r="B1751" s="3" t="s">
        <v>3586</v>
      </c>
      <c r="C1751" s="3" t="s">
        <v>189</v>
      </c>
      <c r="D1751" s="3" t="s">
        <v>312</v>
      </c>
      <c r="E1751" s="3">
        <v>523.69000000000005</v>
      </c>
      <c r="F1751" s="3" t="s">
        <v>324</v>
      </c>
      <c r="G1751" s="3" t="s">
        <v>327</v>
      </c>
      <c r="H1751" s="3"/>
    </row>
    <row r="1752" spans="1:8" x14ac:dyDescent="0.25">
      <c r="A1752" s="3" t="s">
        <v>2067</v>
      </c>
      <c r="B1752" s="3" t="s">
        <v>3757</v>
      </c>
      <c r="C1752" s="3" t="s">
        <v>165</v>
      </c>
      <c r="D1752" s="3" t="s">
        <v>309</v>
      </c>
      <c r="E1752" s="3" t="s">
        <v>4660</v>
      </c>
      <c r="F1752" s="3" t="s">
        <v>2988</v>
      </c>
      <c r="G1752" s="3" t="s">
        <v>337</v>
      </c>
      <c r="H1752" s="3"/>
    </row>
    <row r="1753" spans="1:8" x14ac:dyDescent="0.25">
      <c r="A1753" s="3" t="s">
        <v>2068</v>
      </c>
      <c r="B1753" s="3" t="s">
        <v>4661</v>
      </c>
      <c r="C1753" s="3" t="s">
        <v>199</v>
      </c>
      <c r="D1753" s="3" t="s">
        <v>294</v>
      </c>
      <c r="E1753" s="3" t="s">
        <v>4662</v>
      </c>
      <c r="F1753" s="3" t="s">
        <v>324</v>
      </c>
      <c r="G1753" s="3" t="s">
        <v>329</v>
      </c>
      <c r="H1753" s="3" t="s">
        <v>334</v>
      </c>
    </row>
    <row r="1754" spans="1:8" x14ac:dyDescent="0.25">
      <c r="A1754" s="3" t="s">
        <v>2069</v>
      </c>
      <c r="B1754" s="3" t="s">
        <v>3934</v>
      </c>
      <c r="C1754" s="3" t="s">
        <v>221</v>
      </c>
      <c r="D1754" s="3" t="s">
        <v>309</v>
      </c>
      <c r="E1754" s="3" t="s">
        <v>4663</v>
      </c>
      <c r="F1754" s="3" t="s">
        <v>331</v>
      </c>
      <c r="G1754" s="3" t="s">
        <v>337</v>
      </c>
      <c r="H1754" s="3"/>
    </row>
    <row r="1755" spans="1:8" x14ac:dyDescent="0.25">
      <c r="A1755" s="3" t="s">
        <v>2070</v>
      </c>
      <c r="B1755" s="3" t="s">
        <v>3693</v>
      </c>
      <c r="C1755" s="3" t="s">
        <v>213</v>
      </c>
      <c r="D1755" s="3" t="s">
        <v>306</v>
      </c>
      <c r="E1755" s="3" t="s">
        <v>4664</v>
      </c>
      <c r="F1755" s="3" t="s">
        <v>324</v>
      </c>
      <c r="G1755" s="3" t="s">
        <v>327</v>
      </c>
      <c r="H1755" s="3" t="s">
        <v>332</v>
      </c>
    </row>
    <row r="1756" spans="1:8" x14ac:dyDescent="0.25">
      <c r="A1756" s="3" t="s">
        <v>2071</v>
      </c>
      <c r="B1756" s="3" t="s">
        <v>4665</v>
      </c>
      <c r="C1756" s="3" t="s">
        <v>38</v>
      </c>
      <c r="D1756" s="3" t="s">
        <v>294</v>
      </c>
      <c r="E1756" s="3">
        <v>232.43</v>
      </c>
      <c r="F1756" s="3" t="s">
        <v>2973</v>
      </c>
      <c r="G1756" s="3" t="s">
        <v>327</v>
      </c>
      <c r="H1756" s="3"/>
    </row>
    <row r="1757" spans="1:8" x14ac:dyDescent="0.25">
      <c r="A1757" s="3" t="s">
        <v>2072</v>
      </c>
      <c r="B1757" s="3" t="s">
        <v>4666</v>
      </c>
      <c r="C1757" s="3" t="s">
        <v>11</v>
      </c>
      <c r="D1757" s="3" t="s">
        <v>303</v>
      </c>
      <c r="E1757" s="3" t="s">
        <v>4667</v>
      </c>
      <c r="F1757" s="3" t="s">
        <v>324</v>
      </c>
      <c r="G1757" s="3" t="s">
        <v>327</v>
      </c>
      <c r="H1757" s="3"/>
    </row>
    <row r="1758" spans="1:8" x14ac:dyDescent="0.25">
      <c r="A1758" s="3" t="s">
        <v>2073</v>
      </c>
      <c r="B1758" s="3" t="s">
        <v>4668</v>
      </c>
      <c r="C1758" s="3" t="s">
        <v>74</v>
      </c>
      <c r="D1758" s="3" t="s">
        <v>300</v>
      </c>
      <c r="E1758" s="3" t="s">
        <v>4669</v>
      </c>
      <c r="F1758" s="3" t="s">
        <v>2976</v>
      </c>
      <c r="G1758" s="3" t="s">
        <v>327</v>
      </c>
      <c r="H1758" s="3" t="s">
        <v>346</v>
      </c>
    </row>
    <row r="1759" spans="1:8" x14ac:dyDescent="0.25">
      <c r="A1759" s="3" t="s">
        <v>2074</v>
      </c>
      <c r="B1759" s="3" t="s">
        <v>4122</v>
      </c>
      <c r="C1759" s="3" t="s">
        <v>243</v>
      </c>
      <c r="D1759" s="3" t="s">
        <v>300</v>
      </c>
      <c r="E1759" s="3" t="s">
        <v>4670</v>
      </c>
      <c r="F1759" s="3" t="s">
        <v>2988</v>
      </c>
      <c r="G1759" s="3" t="s">
        <v>337</v>
      </c>
      <c r="H1759" s="3" t="s">
        <v>332</v>
      </c>
    </row>
    <row r="1760" spans="1:8" x14ac:dyDescent="0.25">
      <c r="A1760" s="3" t="s">
        <v>2075</v>
      </c>
      <c r="B1760" s="3" t="s">
        <v>3812</v>
      </c>
      <c r="C1760" s="3" t="s">
        <v>241</v>
      </c>
      <c r="D1760" s="3" t="s">
        <v>306</v>
      </c>
      <c r="E1760" s="3" t="s">
        <v>4671</v>
      </c>
      <c r="F1760" s="3" t="s">
        <v>324</v>
      </c>
      <c r="G1760" s="3" t="s">
        <v>337</v>
      </c>
      <c r="H1760" s="3" t="s">
        <v>334</v>
      </c>
    </row>
    <row r="1761" spans="1:8" x14ac:dyDescent="0.25">
      <c r="A1761" s="3" t="s">
        <v>2076</v>
      </c>
      <c r="B1761" s="3" t="s">
        <v>3545</v>
      </c>
      <c r="C1761" s="3" t="s">
        <v>201</v>
      </c>
      <c r="D1761" s="3" t="s">
        <v>294</v>
      </c>
      <c r="E1761" s="3">
        <v>537.02</v>
      </c>
      <c r="F1761" s="3" t="s">
        <v>2988</v>
      </c>
      <c r="G1761" s="3" t="s">
        <v>325</v>
      </c>
      <c r="H1761" s="3"/>
    </row>
    <row r="1762" spans="1:8" x14ac:dyDescent="0.25">
      <c r="A1762" s="3" t="s">
        <v>2077</v>
      </c>
      <c r="B1762" s="3" t="s">
        <v>4672</v>
      </c>
      <c r="C1762" s="3" t="s">
        <v>245</v>
      </c>
      <c r="D1762" s="3" t="s">
        <v>294</v>
      </c>
      <c r="E1762" s="3">
        <v>1265.77</v>
      </c>
      <c r="F1762" s="3" t="s">
        <v>324</v>
      </c>
      <c r="G1762" s="3" t="s">
        <v>337</v>
      </c>
      <c r="H1762" s="3" t="s">
        <v>346</v>
      </c>
    </row>
    <row r="1763" spans="1:8" x14ac:dyDescent="0.25">
      <c r="A1763" s="3" t="s">
        <v>2078</v>
      </c>
      <c r="B1763" s="3" t="s">
        <v>2974</v>
      </c>
      <c r="C1763" s="3" t="s">
        <v>173</v>
      </c>
      <c r="D1763" s="3" t="s">
        <v>309</v>
      </c>
      <c r="E1763" s="3">
        <v>308.01</v>
      </c>
      <c r="F1763" s="3" t="s">
        <v>2973</v>
      </c>
      <c r="G1763" s="3" t="s">
        <v>325</v>
      </c>
      <c r="H1763" s="3" t="s">
        <v>334</v>
      </c>
    </row>
    <row r="1764" spans="1:8" x14ac:dyDescent="0.25">
      <c r="A1764" s="3" t="s">
        <v>2079</v>
      </c>
      <c r="B1764" s="3" t="s">
        <v>4673</v>
      </c>
      <c r="C1764" s="3" t="s">
        <v>199</v>
      </c>
      <c r="D1764" s="3" t="s">
        <v>297</v>
      </c>
      <c r="E1764" s="3" t="s">
        <v>4674</v>
      </c>
      <c r="F1764" s="3" t="s">
        <v>324</v>
      </c>
      <c r="G1764" s="3" t="s">
        <v>337</v>
      </c>
      <c r="H1764" s="3" t="s">
        <v>334</v>
      </c>
    </row>
    <row r="1765" spans="1:8" x14ac:dyDescent="0.25">
      <c r="A1765" s="3" t="s">
        <v>2080</v>
      </c>
      <c r="B1765" s="3" t="s">
        <v>3534</v>
      </c>
      <c r="C1765" s="3" t="s">
        <v>205</v>
      </c>
      <c r="D1765" s="3" t="s">
        <v>294</v>
      </c>
      <c r="E1765" s="3">
        <v>156.84</v>
      </c>
      <c r="F1765" s="3" t="s">
        <v>324</v>
      </c>
      <c r="G1765" s="3" t="s">
        <v>329</v>
      </c>
      <c r="H1765" s="3"/>
    </row>
    <row r="1766" spans="1:8" x14ac:dyDescent="0.25">
      <c r="A1766" s="3" t="s">
        <v>2081</v>
      </c>
      <c r="B1766" s="3" t="s">
        <v>3725</v>
      </c>
      <c r="C1766" s="3" t="s">
        <v>94</v>
      </c>
      <c r="D1766" s="3" t="s">
        <v>312</v>
      </c>
      <c r="E1766" s="3">
        <v>168.15</v>
      </c>
      <c r="F1766" s="3" t="s">
        <v>381</v>
      </c>
      <c r="G1766" s="3" t="s">
        <v>327</v>
      </c>
      <c r="H1766" s="3" t="s">
        <v>332</v>
      </c>
    </row>
    <row r="1767" spans="1:8" x14ac:dyDescent="0.25">
      <c r="A1767" s="3" t="s">
        <v>2082</v>
      </c>
      <c r="B1767" s="3" t="s">
        <v>3873</v>
      </c>
      <c r="C1767" s="3" t="s">
        <v>62</v>
      </c>
      <c r="D1767" s="3" t="s">
        <v>294</v>
      </c>
      <c r="E1767" s="3" t="s">
        <v>4675</v>
      </c>
      <c r="F1767" s="3" t="s">
        <v>324</v>
      </c>
      <c r="G1767" s="3" t="s">
        <v>337</v>
      </c>
      <c r="H1767" s="3"/>
    </row>
    <row r="1768" spans="1:8" x14ac:dyDescent="0.25">
      <c r="A1768" s="3" t="s">
        <v>2083</v>
      </c>
      <c r="B1768" s="3" t="s">
        <v>3697</v>
      </c>
      <c r="C1768" s="3" t="s">
        <v>227</v>
      </c>
      <c r="D1768" s="3" t="s">
        <v>294</v>
      </c>
      <c r="E1768" s="3">
        <v>983.38</v>
      </c>
      <c r="F1768" s="3" t="s">
        <v>324</v>
      </c>
      <c r="G1768" s="3" t="s">
        <v>337</v>
      </c>
      <c r="H1768" s="3" t="s">
        <v>346</v>
      </c>
    </row>
    <row r="1769" spans="1:8" x14ac:dyDescent="0.25">
      <c r="A1769" s="3" t="s">
        <v>2084</v>
      </c>
      <c r="B1769" s="3" t="s">
        <v>4676</v>
      </c>
      <c r="C1769" s="3" t="s">
        <v>111</v>
      </c>
      <c r="D1769" s="3" t="s">
        <v>300</v>
      </c>
      <c r="E1769" s="3" t="s">
        <v>4677</v>
      </c>
      <c r="F1769" s="3" t="s">
        <v>2976</v>
      </c>
      <c r="G1769" s="3" t="s">
        <v>329</v>
      </c>
      <c r="H1769" s="3" t="s">
        <v>332</v>
      </c>
    </row>
    <row r="1770" spans="1:8" x14ac:dyDescent="0.25">
      <c r="A1770" s="3" t="s">
        <v>2085</v>
      </c>
      <c r="B1770" s="3" t="s">
        <v>3260</v>
      </c>
      <c r="C1770" s="3" t="s">
        <v>163</v>
      </c>
      <c r="D1770" s="3" t="s">
        <v>306</v>
      </c>
      <c r="E1770" s="3" t="s">
        <v>4678</v>
      </c>
      <c r="F1770" s="3" t="s">
        <v>3017</v>
      </c>
      <c r="G1770" s="3" t="s">
        <v>325</v>
      </c>
      <c r="H1770" s="3" t="s">
        <v>346</v>
      </c>
    </row>
    <row r="1771" spans="1:8" x14ac:dyDescent="0.25">
      <c r="A1771" s="3" t="s">
        <v>2086</v>
      </c>
      <c r="B1771" s="3" t="s">
        <v>4679</v>
      </c>
      <c r="C1771" s="3" t="s">
        <v>68</v>
      </c>
      <c r="D1771" s="3" t="s">
        <v>306</v>
      </c>
      <c r="E1771" s="3">
        <v>733.96</v>
      </c>
      <c r="F1771" s="3" t="s">
        <v>2973</v>
      </c>
      <c r="G1771" s="3" t="s">
        <v>327</v>
      </c>
      <c r="H1771" s="3"/>
    </row>
    <row r="1772" spans="1:8" x14ac:dyDescent="0.25">
      <c r="A1772" s="3" t="s">
        <v>2087</v>
      </c>
      <c r="B1772" s="3" t="s">
        <v>4680</v>
      </c>
      <c r="C1772" s="3" t="s">
        <v>64</v>
      </c>
      <c r="D1772" s="3" t="s">
        <v>306</v>
      </c>
      <c r="E1772" s="3">
        <v>468.2</v>
      </c>
      <c r="F1772" s="3" t="s">
        <v>324</v>
      </c>
      <c r="G1772" s="3" t="s">
        <v>327</v>
      </c>
      <c r="H1772" s="3"/>
    </row>
    <row r="1773" spans="1:8" x14ac:dyDescent="0.25">
      <c r="A1773" s="3" t="s">
        <v>2088</v>
      </c>
      <c r="B1773" s="3" t="s">
        <v>3643</v>
      </c>
      <c r="C1773" s="3" t="s">
        <v>141</v>
      </c>
      <c r="D1773" s="3" t="s">
        <v>306</v>
      </c>
      <c r="E1773" s="3" t="s">
        <v>4681</v>
      </c>
      <c r="F1773" s="3" t="s">
        <v>324</v>
      </c>
      <c r="G1773" s="3" t="s">
        <v>325</v>
      </c>
      <c r="H1773" s="3"/>
    </row>
    <row r="1774" spans="1:8" x14ac:dyDescent="0.25">
      <c r="A1774" s="3" t="s">
        <v>2089</v>
      </c>
      <c r="B1774" s="3" t="s">
        <v>3202</v>
      </c>
      <c r="C1774" s="3" t="s">
        <v>70</v>
      </c>
      <c r="D1774" s="3" t="s">
        <v>300</v>
      </c>
      <c r="E1774" s="3">
        <v>182.96</v>
      </c>
      <c r="F1774" s="3" t="s">
        <v>324</v>
      </c>
      <c r="G1774" s="3" t="s">
        <v>337</v>
      </c>
      <c r="H1774" s="3" t="s">
        <v>332</v>
      </c>
    </row>
    <row r="1775" spans="1:8" x14ac:dyDescent="0.25">
      <c r="A1775" s="3" t="s">
        <v>2090</v>
      </c>
      <c r="B1775" s="3" t="s">
        <v>4452</v>
      </c>
      <c r="C1775" s="3" t="s">
        <v>211</v>
      </c>
      <c r="D1775" s="3" t="s">
        <v>297</v>
      </c>
      <c r="E1775" s="3" t="s">
        <v>4682</v>
      </c>
      <c r="F1775" s="3" t="s">
        <v>324</v>
      </c>
      <c r="G1775" s="3" t="s">
        <v>327</v>
      </c>
      <c r="H1775" s="3"/>
    </row>
    <row r="1776" spans="1:8" x14ac:dyDescent="0.25">
      <c r="A1776" s="3" t="s">
        <v>2091</v>
      </c>
      <c r="B1776" s="3" t="s">
        <v>4634</v>
      </c>
      <c r="C1776" s="3" t="s">
        <v>115</v>
      </c>
      <c r="D1776" s="3" t="s">
        <v>294</v>
      </c>
      <c r="E1776" s="3">
        <v>-885.61</v>
      </c>
      <c r="F1776" s="3" t="s">
        <v>349</v>
      </c>
      <c r="G1776" s="3" t="s">
        <v>327</v>
      </c>
      <c r="H1776" s="3"/>
    </row>
    <row r="1777" spans="1:8" x14ac:dyDescent="0.25">
      <c r="A1777" s="3" t="s">
        <v>2092</v>
      </c>
      <c r="B1777" s="3" t="s">
        <v>3027</v>
      </c>
      <c r="C1777" s="3" t="s">
        <v>265</v>
      </c>
      <c r="D1777" s="3" t="s">
        <v>294</v>
      </c>
      <c r="E1777" s="3" t="s">
        <v>4683</v>
      </c>
      <c r="F1777" s="3" t="s">
        <v>3097</v>
      </c>
      <c r="G1777" s="3" t="s">
        <v>337</v>
      </c>
      <c r="H1777" s="3" t="s">
        <v>332</v>
      </c>
    </row>
    <row r="1778" spans="1:8" x14ac:dyDescent="0.25">
      <c r="A1778" s="3" t="s">
        <v>2093</v>
      </c>
      <c r="B1778" s="3" t="s">
        <v>3183</v>
      </c>
      <c r="C1778" s="3" t="s">
        <v>66</v>
      </c>
      <c r="D1778" s="3" t="s">
        <v>294</v>
      </c>
      <c r="E1778" s="3" t="s">
        <v>4684</v>
      </c>
      <c r="F1778" s="3" t="s">
        <v>324</v>
      </c>
      <c r="G1778" s="3" t="s">
        <v>327</v>
      </c>
      <c r="H1778" s="3"/>
    </row>
    <row r="1779" spans="1:8" x14ac:dyDescent="0.25">
      <c r="A1779" s="3" t="s">
        <v>2094</v>
      </c>
      <c r="B1779" s="3" t="s">
        <v>4152</v>
      </c>
      <c r="C1779" s="3" t="s">
        <v>159</v>
      </c>
      <c r="D1779" s="3" t="s">
        <v>294</v>
      </c>
      <c r="E1779" s="3">
        <v>229.52</v>
      </c>
      <c r="F1779" s="3" t="s">
        <v>2976</v>
      </c>
      <c r="G1779" s="3" t="s">
        <v>325</v>
      </c>
      <c r="H1779" s="3" t="s">
        <v>332</v>
      </c>
    </row>
    <row r="1780" spans="1:8" x14ac:dyDescent="0.25">
      <c r="A1780" s="3" t="s">
        <v>2095</v>
      </c>
      <c r="B1780" s="3" t="s">
        <v>4685</v>
      </c>
      <c r="C1780" s="3" t="s">
        <v>155</v>
      </c>
      <c r="D1780" s="3" t="s">
        <v>315</v>
      </c>
      <c r="E1780" s="3">
        <v>265.31</v>
      </c>
      <c r="F1780" s="3" t="s">
        <v>2973</v>
      </c>
      <c r="G1780" s="3" t="s">
        <v>327</v>
      </c>
      <c r="H1780" s="3"/>
    </row>
    <row r="1781" spans="1:8" x14ac:dyDescent="0.25">
      <c r="A1781" s="3" t="s">
        <v>2096</v>
      </c>
      <c r="B1781" s="3" t="s">
        <v>3979</v>
      </c>
      <c r="C1781" s="3" t="s">
        <v>209</v>
      </c>
      <c r="D1781" s="3" t="s">
        <v>294</v>
      </c>
      <c r="E1781" s="3" t="s">
        <v>4686</v>
      </c>
      <c r="F1781" s="3" t="s">
        <v>324</v>
      </c>
      <c r="G1781" s="3" t="s">
        <v>327</v>
      </c>
      <c r="H1781" s="3" t="s">
        <v>346</v>
      </c>
    </row>
    <row r="1782" spans="1:8" x14ac:dyDescent="0.25">
      <c r="A1782" s="3" t="s">
        <v>2097</v>
      </c>
      <c r="B1782" s="3" t="s">
        <v>4687</v>
      </c>
      <c r="C1782" s="3" t="s">
        <v>125</v>
      </c>
      <c r="D1782" s="3" t="s">
        <v>306</v>
      </c>
      <c r="E1782" s="3">
        <v>506.02</v>
      </c>
      <c r="F1782" s="3" t="s">
        <v>324</v>
      </c>
      <c r="G1782" s="3" t="s">
        <v>327</v>
      </c>
      <c r="H1782" s="3"/>
    </row>
    <row r="1783" spans="1:8" x14ac:dyDescent="0.25">
      <c r="A1783" s="3" t="s">
        <v>2098</v>
      </c>
      <c r="B1783" s="3" t="s">
        <v>4688</v>
      </c>
      <c r="C1783" s="3" t="s">
        <v>251</v>
      </c>
      <c r="D1783" s="3" t="s">
        <v>300</v>
      </c>
      <c r="E1783" s="3" t="s">
        <v>4689</v>
      </c>
      <c r="F1783" s="3" t="s">
        <v>324</v>
      </c>
      <c r="G1783" s="3" t="s">
        <v>325</v>
      </c>
      <c r="H1783" s="3"/>
    </row>
    <row r="1784" spans="1:8" x14ac:dyDescent="0.25">
      <c r="A1784" s="3" t="s">
        <v>2099</v>
      </c>
      <c r="B1784" s="3" t="s">
        <v>3745</v>
      </c>
      <c r="C1784" s="3" t="s">
        <v>153</v>
      </c>
      <c r="D1784" s="3" t="s">
        <v>294</v>
      </c>
      <c r="E1784" s="3" t="s">
        <v>4690</v>
      </c>
      <c r="F1784" s="3" t="s">
        <v>2973</v>
      </c>
      <c r="G1784" s="3" t="s">
        <v>327</v>
      </c>
      <c r="H1784" s="3" t="s">
        <v>332</v>
      </c>
    </row>
    <row r="1785" spans="1:8" x14ac:dyDescent="0.25">
      <c r="A1785" s="3" t="s">
        <v>2100</v>
      </c>
      <c r="B1785" s="3" t="s">
        <v>4452</v>
      </c>
      <c r="C1785" s="3" t="s">
        <v>641</v>
      </c>
      <c r="D1785" s="3" t="s">
        <v>294</v>
      </c>
      <c r="E1785" s="3" t="s">
        <v>4691</v>
      </c>
      <c r="F1785" s="3" t="s">
        <v>324</v>
      </c>
      <c r="G1785" s="3" t="s">
        <v>327</v>
      </c>
      <c r="H1785" s="3"/>
    </row>
    <row r="1786" spans="1:8" x14ac:dyDescent="0.25">
      <c r="A1786" s="3" t="s">
        <v>2101</v>
      </c>
      <c r="B1786" s="3" t="s">
        <v>3436</v>
      </c>
      <c r="C1786" s="3" t="s">
        <v>221</v>
      </c>
      <c r="D1786" s="3" t="s">
        <v>306</v>
      </c>
      <c r="E1786" s="3">
        <v>178.19</v>
      </c>
      <c r="F1786" s="3" t="s">
        <v>2976</v>
      </c>
      <c r="G1786" s="3" t="s">
        <v>327</v>
      </c>
      <c r="H1786" s="3"/>
    </row>
    <row r="1787" spans="1:8" x14ac:dyDescent="0.25">
      <c r="A1787" s="3" t="s">
        <v>2102</v>
      </c>
      <c r="B1787" s="3" t="s">
        <v>3871</v>
      </c>
      <c r="C1787" s="3" t="s">
        <v>72</v>
      </c>
      <c r="D1787" s="3" t="s">
        <v>309</v>
      </c>
      <c r="E1787" s="3" t="s">
        <v>4692</v>
      </c>
      <c r="F1787" s="3" t="s">
        <v>2976</v>
      </c>
      <c r="G1787" s="3" t="s">
        <v>327</v>
      </c>
      <c r="H1787" s="3"/>
    </row>
    <row r="1788" spans="1:8" x14ac:dyDescent="0.25">
      <c r="A1788" s="3" t="s">
        <v>2103</v>
      </c>
      <c r="B1788" s="3" t="s">
        <v>4693</v>
      </c>
      <c r="C1788" s="3" t="s">
        <v>175</v>
      </c>
      <c r="D1788" s="3" t="s">
        <v>297</v>
      </c>
      <c r="E1788" s="3">
        <v>401.72</v>
      </c>
      <c r="F1788" s="3" t="s">
        <v>2973</v>
      </c>
      <c r="G1788" s="3" t="s">
        <v>329</v>
      </c>
      <c r="H1788" s="3" t="s">
        <v>334</v>
      </c>
    </row>
    <row r="1789" spans="1:8" x14ac:dyDescent="0.25">
      <c r="A1789" s="3" t="s">
        <v>2104</v>
      </c>
      <c r="B1789" s="3" t="s">
        <v>2989</v>
      </c>
      <c r="C1789" s="3" t="s">
        <v>269</v>
      </c>
      <c r="D1789" s="3" t="s">
        <v>294</v>
      </c>
      <c r="E1789" s="3">
        <v>-823.62</v>
      </c>
      <c r="F1789" s="3" t="s">
        <v>3017</v>
      </c>
      <c r="G1789" s="3" t="s">
        <v>327</v>
      </c>
      <c r="H1789" s="3" t="s">
        <v>334</v>
      </c>
    </row>
    <row r="1790" spans="1:8" x14ac:dyDescent="0.25">
      <c r="A1790" s="3" t="s">
        <v>2105</v>
      </c>
      <c r="B1790" s="3" t="s">
        <v>3105</v>
      </c>
      <c r="C1790" s="3" t="s">
        <v>107</v>
      </c>
      <c r="D1790" s="3" t="s">
        <v>294</v>
      </c>
      <c r="E1790" s="3" t="s">
        <v>4694</v>
      </c>
      <c r="F1790" s="3" t="s">
        <v>2973</v>
      </c>
      <c r="G1790" s="3" t="s">
        <v>327</v>
      </c>
      <c r="H1790" s="3" t="s">
        <v>346</v>
      </c>
    </row>
    <row r="1791" spans="1:8" x14ac:dyDescent="0.25">
      <c r="A1791" s="3" t="s">
        <v>2106</v>
      </c>
      <c r="B1791" s="3" t="s">
        <v>4227</v>
      </c>
      <c r="C1791" s="3" t="s">
        <v>237</v>
      </c>
      <c r="D1791" s="3" t="s">
        <v>309</v>
      </c>
      <c r="E1791" s="3">
        <v>333.02</v>
      </c>
      <c r="F1791" s="3" t="s">
        <v>324</v>
      </c>
      <c r="G1791" s="3" t="s">
        <v>327</v>
      </c>
      <c r="H1791" s="3"/>
    </row>
    <row r="1792" spans="1:8" x14ac:dyDescent="0.25">
      <c r="A1792" s="3" t="s">
        <v>2107</v>
      </c>
      <c r="B1792" s="3" t="s">
        <v>4154</v>
      </c>
      <c r="C1792" s="3" t="s">
        <v>203</v>
      </c>
      <c r="D1792" s="3" t="s">
        <v>303</v>
      </c>
      <c r="E1792" s="3" t="s">
        <v>4695</v>
      </c>
      <c r="F1792" s="3" t="s">
        <v>2995</v>
      </c>
      <c r="G1792" s="3" t="s">
        <v>325</v>
      </c>
      <c r="H1792" s="3" t="s">
        <v>332</v>
      </c>
    </row>
    <row r="1793" spans="1:8" x14ac:dyDescent="0.25">
      <c r="A1793" s="3" t="s">
        <v>2108</v>
      </c>
      <c r="B1793" s="3" t="s">
        <v>3478</v>
      </c>
      <c r="C1793" s="3" t="s">
        <v>205</v>
      </c>
      <c r="D1793" s="3" t="s">
        <v>312</v>
      </c>
      <c r="E1793" s="3">
        <v>490.73</v>
      </c>
      <c r="F1793" s="3" t="s">
        <v>2973</v>
      </c>
      <c r="G1793" s="3"/>
      <c r="H1793" s="3"/>
    </row>
    <row r="1794" spans="1:8" x14ac:dyDescent="0.25">
      <c r="A1794" s="3" t="s">
        <v>2109</v>
      </c>
      <c r="B1794" s="3" t="s">
        <v>2981</v>
      </c>
      <c r="C1794" s="3" t="s">
        <v>119</v>
      </c>
      <c r="D1794" s="3" t="s">
        <v>306</v>
      </c>
      <c r="E1794" s="3" t="s">
        <v>4696</v>
      </c>
      <c r="F1794" s="3" t="s">
        <v>324</v>
      </c>
      <c r="G1794" s="3" t="s">
        <v>327</v>
      </c>
      <c r="H1794" s="3" t="s">
        <v>346</v>
      </c>
    </row>
    <row r="1795" spans="1:8" x14ac:dyDescent="0.25">
      <c r="A1795" s="3" t="s">
        <v>2110</v>
      </c>
      <c r="B1795" s="3" t="s">
        <v>4697</v>
      </c>
      <c r="C1795" s="3" t="s">
        <v>58</v>
      </c>
      <c r="D1795" s="3" t="s">
        <v>294</v>
      </c>
      <c r="E1795" s="3" t="s">
        <v>4698</v>
      </c>
      <c r="F1795" s="3" t="s">
        <v>2988</v>
      </c>
      <c r="G1795" s="3" t="s">
        <v>329</v>
      </c>
      <c r="H1795" s="3"/>
    </row>
    <row r="1796" spans="1:8" x14ac:dyDescent="0.25">
      <c r="A1796" s="3" t="s">
        <v>2111</v>
      </c>
      <c r="B1796" s="3" t="s">
        <v>3444</v>
      </c>
      <c r="C1796" s="3" t="s">
        <v>173</v>
      </c>
      <c r="D1796" s="3" t="s">
        <v>312</v>
      </c>
      <c r="E1796" s="3" t="s">
        <v>4699</v>
      </c>
      <c r="F1796" s="3" t="s">
        <v>381</v>
      </c>
      <c r="G1796" s="3" t="s">
        <v>327</v>
      </c>
      <c r="H1796" s="3" t="s">
        <v>346</v>
      </c>
    </row>
    <row r="1797" spans="1:8" x14ac:dyDescent="0.25">
      <c r="A1797" s="3" t="s">
        <v>2112</v>
      </c>
      <c r="B1797" s="3" t="s">
        <v>3942</v>
      </c>
      <c r="C1797" s="3" t="s">
        <v>62</v>
      </c>
      <c r="D1797" s="3" t="s">
        <v>303</v>
      </c>
      <c r="E1797" s="3">
        <v>361.89</v>
      </c>
      <c r="F1797" s="3" t="s">
        <v>2976</v>
      </c>
      <c r="G1797" s="3" t="s">
        <v>327</v>
      </c>
      <c r="H1797" s="3"/>
    </row>
    <row r="1798" spans="1:8" x14ac:dyDescent="0.25">
      <c r="A1798" s="3" t="s">
        <v>2113</v>
      </c>
      <c r="B1798" s="3" t="s">
        <v>3669</v>
      </c>
      <c r="C1798" s="3" t="s">
        <v>179</v>
      </c>
      <c r="D1798" s="3" t="s">
        <v>303</v>
      </c>
      <c r="E1798" s="3" t="s">
        <v>4700</v>
      </c>
      <c r="F1798" s="3" t="s">
        <v>2995</v>
      </c>
      <c r="G1798" s="3" t="s">
        <v>325</v>
      </c>
      <c r="H1798" s="3"/>
    </row>
    <row r="1799" spans="1:8" x14ac:dyDescent="0.25">
      <c r="A1799" s="3" t="s">
        <v>2114</v>
      </c>
      <c r="B1799" s="3" t="s">
        <v>4701</v>
      </c>
      <c r="C1799" s="3" t="s">
        <v>641</v>
      </c>
      <c r="D1799" s="3" t="s">
        <v>297</v>
      </c>
      <c r="E1799" s="3" t="s">
        <v>4702</v>
      </c>
      <c r="F1799" s="3" t="s">
        <v>324</v>
      </c>
      <c r="G1799" s="3" t="s">
        <v>325</v>
      </c>
      <c r="H1799" s="3" t="s">
        <v>334</v>
      </c>
    </row>
    <row r="1800" spans="1:8" x14ac:dyDescent="0.25">
      <c r="A1800" s="3" t="s">
        <v>2115</v>
      </c>
      <c r="B1800" s="3" t="s">
        <v>4229</v>
      </c>
      <c r="C1800" s="3" t="s">
        <v>2116</v>
      </c>
      <c r="D1800" s="3" t="s">
        <v>300</v>
      </c>
      <c r="E1800" s="3" t="s">
        <v>4703</v>
      </c>
      <c r="F1800" s="3" t="s">
        <v>324</v>
      </c>
      <c r="G1800" s="3" t="s">
        <v>325</v>
      </c>
      <c r="H1800" s="3"/>
    </row>
    <row r="1801" spans="1:8" x14ac:dyDescent="0.25">
      <c r="A1801" s="3" t="s">
        <v>2117</v>
      </c>
      <c r="B1801" s="3" t="s">
        <v>4704</v>
      </c>
      <c r="C1801" s="3" t="s">
        <v>70</v>
      </c>
      <c r="D1801" s="3" t="s">
        <v>300</v>
      </c>
      <c r="E1801" s="3">
        <v>482.95</v>
      </c>
      <c r="F1801" s="3" t="s">
        <v>324</v>
      </c>
      <c r="G1801" s="3" t="s">
        <v>337</v>
      </c>
      <c r="H1801" s="3"/>
    </row>
    <row r="1802" spans="1:8" x14ac:dyDescent="0.25">
      <c r="A1802" s="3" t="s">
        <v>2118</v>
      </c>
      <c r="B1802" s="3" t="s">
        <v>4150</v>
      </c>
      <c r="C1802" s="3" t="s">
        <v>269</v>
      </c>
      <c r="D1802" s="3" t="s">
        <v>300</v>
      </c>
      <c r="E1802" s="3">
        <v>428.77</v>
      </c>
      <c r="F1802" s="3" t="s">
        <v>2976</v>
      </c>
      <c r="G1802" s="3" t="s">
        <v>327</v>
      </c>
      <c r="H1802" s="3" t="s">
        <v>346</v>
      </c>
    </row>
    <row r="1803" spans="1:8" x14ac:dyDescent="0.25">
      <c r="A1803" s="3" t="s">
        <v>2119</v>
      </c>
      <c r="B1803" s="3" t="s">
        <v>4078</v>
      </c>
      <c r="C1803" s="3" t="s">
        <v>23</v>
      </c>
      <c r="D1803" s="3" t="s">
        <v>315</v>
      </c>
      <c r="E1803" s="3" t="s">
        <v>4705</v>
      </c>
      <c r="F1803" s="3" t="s">
        <v>324</v>
      </c>
      <c r="G1803" s="3"/>
      <c r="H1803" s="3" t="s">
        <v>346</v>
      </c>
    </row>
    <row r="1804" spans="1:8" x14ac:dyDescent="0.25">
      <c r="A1804" s="3" t="s">
        <v>2120</v>
      </c>
      <c r="B1804" s="3" t="s">
        <v>3578</v>
      </c>
      <c r="C1804" s="3" t="s">
        <v>237</v>
      </c>
      <c r="D1804" s="3" t="s">
        <v>300</v>
      </c>
      <c r="E1804" s="3" t="s">
        <v>4706</v>
      </c>
      <c r="F1804" s="3" t="s">
        <v>324</v>
      </c>
      <c r="G1804" s="3"/>
      <c r="H1804" s="3"/>
    </row>
    <row r="1805" spans="1:8" x14ac:dyDescent="0.25">
      <c r="A1805" s="3" t="s">
        <v>2121</v>
      </c>
      <c r="B1805" s="3" t="s">
        <v>3671</v>
      </c>
      <c r="C1805" s="3" t="s">
        <v>42</v>
      </c>
      <c r="D1805" s="3" t="s">
        <v>303</v>
      </c>
      <c r="E1805" s="3">
        <v>386.81</v>
      </c>
      <c r="F1805" s="3" t="s">
        <v>2976</v>
      </c>
      <c r="G1805" s="3" t="s">
        <v>327</v>
      </c>
      <c r="H1805" s="3"/>
    </row>
    <row r="1806" spans="1:8" x14ac:dyDescent="0.25">
      <c r="A1806" s="3" t="s">
        <v>2122</v>
      </c>
      <c r="B1806" s="3" t="s">
        <v>4707</v>
      </c>
      <c r="C1806" s="3" t="s">
        <v>51</v>
      </c>
      <c r="D1806" s="3" t="s">
        <v>294</v>
      </c>
      <c r="E1806" s="3">
        <v>108.39</v>
      </c>
      <c r="F1806" s="3" t="s">
        <v>2973</v>
      </c>
      <c r="G1806" s="3" t="s">
        <v>327</v>
      </c>
      <c r="H1806" s="3"/>
    </row>
    <row r="1807" spans="1:8" x14ac:dyDescent="0.25">
      <c r="A1807" s="3" t="s">
        <v>2123</v>
      </c>
      <c r="B1807" s="3" t="s">
        <v>4708</v>
      </c>
      <c r="C1807" s="3" t="s">
        <v>135</v>
      </c>
      <c r="D1807" s="3" t="s">
        <v>297</v>
      </c>
      <c r="E1807" s="3" t="s">
        <v>4709</v>
      </c>
      <c r="F1807" s="3" t="s">
        <v>324</v>
      </c>
      <c r="G1807" s="3" t="s">
        <v>337</v>
      </c>
      <c r="H1807" s="3" t="s">
        <v>332</v>
      </c>
    </row>
    <row r="1808" spans="1:8" x14ac:dyDescent="0.25">
      <c r="A1808" s="3" t="s">
        <v>2124</v>
      </c>
      <c r="B1808" s="3" t="s">
        <v>4403</v>
      </c>
      <c r="C1808" s="3" t="s">
        <v>82</v>
      </c>
      <c r="D1808" s="3" t="s">
        <v>315</v>
      </c>
      <c r="E1808" s="3">
        <v>-21.03</v>
      </c>
      <c r="F1808" s="3" t="s">
        <v>3006</v>
      </c>
      <c r="G1808" s="3" t="s">
        <v>327</v>
      </c>
      <c r="H1808" s="3" t="s">
        <v>334</v>
      </c>
    </row>
    <row r="1809" spans="1:8" x14ac:dyDescent="0.25">
      <c r="A1809" s="3" t="s">
        <v>2125</v>
      </c>
      <c r="B1809" s="3" t="s">
        <v>4710</v>
      </c>
      <c r="C1809" s="3" t="s">
        <v>60</v>
      </c>
      <c r="D1809" s="3" t="s">
        <v>303</v>
      </c>
      <c r="E1809" s="3">
        <v>360.15</v>
      </c>
      <c r="F1809" s="3" t="s">
        <v>324</v>
      </c>
      <c r="G1809" s="3" t="s">
        <v>337</v>
      </c>
      <c r="H1809" s="3"/>
    </row>
    <row r="1810" spans="1:8" x14ac:dyDescent="0.25">
      <c r="A1810" s="3" t="s">
        <v>2126</v>
      </c>
      <c r="B1810" s="3" t="s">
        <v>4255</v>
      </c>
      <c r="C1810" s="3" t="s">
        <v>253</v>
      </c>
      <c r="D1810" s="3" t="s">
        <v>309</v>
      </c>
      <c r="E1810" s="3">
        <v>230.55</v>
      </c>
      <c r="F1810" s="3" t="s">
        <v>3097</v>
      </c>
      <c r="G1810" s="3" t="s">
        <v>327</v>
      </c>
      <c r="H1810" s="3"/>
    </row>
    <row r="1811" spans="1:8" x14ac:dyDescent="0.25">
      <c r="A1811" s="3" t="s">
        <v>2127</v>
      </c>
      <c r="B1811" s="3" t="s">
        <v>4711</v>
      </c>
      <c r="C1811" s="3" t="s">
        <v>229</v>
      </c>
      <c r="D1811" s="3" t="s">
        <v>294</v>
      </c>
      <c r="E1811" s="3">
        <v>146.57</v>
      </c>
      <c r="F1811" s="3" t="s">
        <v>381</v>
      </c>
      <c r="G1811" s="3" t="s">
        <v>325</v>
      </c>
      <c r="H1811" s="3" t="s">
        <v>332</v>
      </c>
    </row>
    <row r="1812" spans="1:8" x14ac:dyDescent="0.25">
      <c r="A1812" s="3" t="s">
        <v>2128</v>
      </c>
      <c r="B1812" s="3" t="s">
        <v>3041</v>
      </c>
      <c r="C1812" s="3" t="s">
        <v>92</v>
      </c>
      <c r="D1812" s="3" t="s">
        <v>303</v>
      </c>
      <c r="E1812" s="3">
        <v>67.819999999999993</v>
      </c>
      <c r="F1812" s="3" t="s">
        <v>381</v>
      </c>
      <c r="G1812" s="3"/>
      <c r="H1812" s="3"/>
    </row>
    <row r="1813" spans="1:8" x14ac:dyDescent="0.25">
      <c r="A1813" s="3" t="s">
        <v>2129</v>
      </c>
      <c r="B1813" s="3" t="s">
        <v>4712</v>
      </c>
      <c r="C1813" s="3" t="s">
        <v>125</v>
      </c>
      <c r="D1813" s="3" t="s">
        <v>294</v>
      </c>
      <c r="E1813" s="3">
        <v>825.03</v>
      </c>
      <c r="F1813" s="3" t="s">
        <v>324</v>
      </c>
      <c r="G1813" s="3" t="s">
        <v>337</v>
      </c>
      <c r="H1813" s="3" t="s">
        <v>334</v>
      </c>
    </row>
    <row r="1814" spans="1:8" x14ac:dyDescent="0.25">
      <c r="A1814" s="3" t="s">
        <v>2130</v>
      </c>
      <c r="B1814" s="3" t="s">
        <v>4713</v>
      </c>
      <c r="C1814" s="3" t="s">
        <v>239</v>
      </c>
      <c r="D1814" s="3" t="s">
        <v>300</v>
      </c>
      <c r="E1814" s="3">
        <v>295.89</v>
      </c>
      <c r="F1814" s="3" t="s">
        <v>2973</v>
      </c>
      <c r="G1814" s="3" t="s">
        <v>325</v>
      </c>
      <c r="H1814" s="3" t="s">
        <v>334</v>
      </c>
    </row>
    <row r="1815" spans="1:8" x14ac:dyDescent="0.25">
      <c r="A1815" s="3" t="s">
        <v>2131</v>
      </c>
      <c r="B1815" s="3" t="s">
        <v>4105</v>
      </c>
      <c r="C1815" s="3" t="s">
        <v>197</v>
      </c>
      <c r="D1815" s="3" t="s">
        <v>300</v>
      </c>
      <c r="E1815" s="3" t="s">
        <v>4714</v>
      </c>
      <c r="F1815" s="3" t="s">
        <v>331</v>
      </c>
      <c r="G1815" s="3" t="s">
        <v>337</v>
      </c>
      <c r="H1815" s="3" t="s">
        <v>346</v>
      </c>
    </row>
    <row r="1816" spans="1:8" x14ac:dyDescent="0.25">
      <c r="A1816" s="3" t="s">
        <v>2132</v>
      </c>
      <c r="B1816" s="3" t="s">
        <v>4443</v>
      </c>
      <c r="C1816" s="3" t="s">
        <v>23</v>
      </c>
      <c r="D1816" s="3" t="s">
        <v>312</v>
      </c>
      <c r="E1816" s="3">
        <v>422.67</v>
      </c>
      <c r="F1816" s="3" t="s">
        <v>324</v>
      </c>
      <c r="G1816" s="3" t="s">
        <v>325</v>
      </c>
      <c r="H1816" s="3" t="s">
        <v>334</v>
      </c>
    </row>
    <row r="1817" spans="1:8" x14ac:dyDescent="0.25">
      <c r="A1817" s="3" t="s">
        <v>2133</v>
      </c>
      <c r="B1817" s="3" t="s">
        <v>3169</v>
      </c>
      <c r="C1817" s="3" t="s">
        <v>199</v>
      </c>
      <c r="D1817" s="3" t="s">
        <v>294</v>
      </c>
      <c r="E1817" s="3" t="s">
        <v>4715</v>
      </c>
      <c r="F1817" s="3" t="s">
        <v>324</v>
      </c>
      <c r="G1817" s="3" t="s">
        <v>337</v>
      </c>
      <c r="H1817" s="3" t="s">
        <v>346</v>
      </c>
    </row>
    <row r="1818" spans="1:8" x14ac:dyDescent="0.25">
      <c r="A1818" s="3" t="s">
        <v>2134</v>
      </c>
      <c r="B1818" s="3" t="s">
        <v>3708</v>
      </c>
      <c r="C1818" s="3" t="s">
        <v>113</v>
      </c>
      <c r="D1818" s="3" t="s">
        <v>312</v>
      </c>
      <c r="E1818" s="3" t="s">
        <v>4716</v>
      </c>
      <c r="F1818" s="3" t="s">
        <v>324</v>
      </c>
      <c r="G1818" s="3" t="s">
        <v>327</v>
      </c>
      <c r="H1818" s="3"/>
    </row>
    <row r="1819" spans="1:8" x14ac:dyDescent="0.25">
      <c r="A1819" s="3" t="s">
        <v>2135</v>
      </c>
      <c r="B1819" s="3" t="s">
        <v>4717</v>
      </c>
      <c r="C1819" s="3" t="s">
        <v>169</v>
      </c>
      <c r="D1819" s="3" t="s">
        <v>306</v>
      </c>
      <c r="E1819" s="3" t="s">
        <v>4718</v>
      </c>
      <c r="F1819" s="3" t="s">
        <v>2973</v>
      </c>
      <c r="G1819" s="3" t="s">
        <v>329</v>
      </c>
      <c r="H1819" s="3"/>
    </row>
    <row r="1820" spans="1:8" x14ac:dyDescent="0.25">
      <c r="A1820" s="3" t="s">
        <v>2136</v>
      </c>
      <c r="B1820" s="3" t="s">
        <v>4719</v>
      </c>
      <c r="C1820" s="3" t="s">
        <v>11</v>
      </c>
      <c r="D1820" s="3" t="s">
        <v>312</v>
      </c>
      <c r="E1820" s="3" t="s">
        <v>4720</v>
      </c>
      <c r="F1820" s="3" t="s">
        <v>324</v>
      </c>
      <c r="G1820" s="3" t="s">
        <v>329</v>
      </c>
      <c r="H1820" s="3" t="s">
        <v>346</v>
      </c>
    </row>
    <row r="1821" spans="1:8" x14ac:dyDescent="0.25">
      <c r="A1821" s="3" t="s">
        <v>2137</v>
      </c>
      <c r="B1821" s="3" t="s">
        <v>3829</v>
      </c>
      <c r="C1821" s="3" t="s">
        <v>23</v>
      </c>
      <c r="D1821" s="3" t="s">
        <v>312</v>
      </c>
      <c r="E1821" s="3">
        <v>1038.1600000000001</v>
      </c>
      <c r="F1821" s="3" t="s">
        <v>324</v>
      </c>
      <c r="G1821" s="3" t="s">
        <v>329</v>
      </c>
      <c r="H1821" s="3"/>
    </row>
    <row r="1822" spans="1:8" x14ac:dyDescent="0.25">
      <c r="A1822" s="3" t="s">
        <v>2138</v>
      </c>
      <c r="B1822" s="3" t="s">
        <v>4721</v>
      </c>
      <c r="C1822" s="3" t="s">
        <v>273</v>
      </c>
      <c r="D1822" s="3" t="s">
        <v>294</v>
      </c>
      <c r="E1822" s="3" t="s">
        <v>4722</v>
      </c>
      <c r="F1822" s="3" t="s">
        <v>3178</v>
      </c>
      <c r="G1822" s="3" t="s">
        <v>329</v>
      </c>
      <c r="H1822" s="3" t="s">
        <v>334</v>
      </c>
    </row>
    <row r="1823" spans="1:8" x14ac:dyDescent="0.25">
      <c r="A1823" s="3" t="s">
        <v>2139</v>
      </c>
      <c r="B1823" s="3" t="s">
        <v>4723</v>
      </c>
      <c r="C1823" s="3" t="s">
        <v>84</v>
      </c>
      <c r="D1823" s="3" t="s">
        <v>294</v>
      </c>
      <c r="E1823" s="3">
        <v>54.76</v>
      </c>
      <c r="F1823" s="3" t="s">
        <v>324</v>
      </c>
      <c r="G1823" s="3" t="s">
        <v>327</v>
      </c>
      <c r="H1823" s="3"/>
    </row>
    <row r="1824" spans="1:8" x14ac:dyDescent="0.25">
      <c r="A1824" s="3" t="s">
        <v>2140</v>
      </c>
      <c r="B1824" s="3" t="s">
        <v>4002</v>
      </c>
      <c r="C1824" s="3" t="s">
        <v>157</v>
      </c>
      <c r="D1824" s="3" t="s">
        <v>297</v>
      </c>
      <c r="E1824" s="3">
        <v>131.03</v>
      </c>
      <c r="F1824" s="3" t="s">
        <v>324</v>
      </c>
      <c r="G1824" s="3" t="s">
        <v>337</v>
      </c>
      <c r="H1824" s="3"/>
    </row>
    <row r="1825" spans="1:8" x14ac:dyDescent="0.25">
      <c r="A1825" s="3" t="s">
        <v>2141</v>
      </c>
      <c r="B1825" s="3" t="s">
        <v>4724</v>
      </c>
      <c r="C1825" s="3" t="s">
        <v>98</v>
      </c>
      <c r="D1825" s="3" t="s">
        <v>294</v>
      </c>
      <c r="E1825" s="3" t="s">
        <v>4725</v>
      </c>
      <c r="F1825" s="3" t="s">
        <v>2973</v>
      </c>
      <c r="G1825" s="3" t="s">
        <v>337</v>
      </c>
      <c r="H1825" s="3" t="s">
        <v>332</v>
      </c>
    </row>
    <row r="1826" spans="1:8" x14ac:dyDescent="0.25">
      <c r="A1826" s="3" t="s">
        <v>2142</v>
      </c>
      <c r="B1826" s="3" t="s">
        <v>4726</v>
      </c>
      <c r="C1826" s="3" t="s">
        <v>137</v>
      </c>
      <c r="D1826" s="3" t="s">
        <v>294</v>
      </c>
      <c r="E1826" s="3">
        <v>588.97</v>
      </c>
      <c r="F1826" s="3" t="s">
        <v>324</v>
      </c>
      <c r="G1826" s="3" t="s">
        <v>325</v>
      </c>
      <c r="H1826" s="3"/>
    </row>
    <row r="1827" spans="1:8" x14ac:dyDescent="0.25">
      <c r="A1827" s="3" t="s">
        <v>2143</v>
      </c>
      <c r="B1827" s="3" t="s">
        <v>3424</v>
      </c>
      <c r="C1827" s="3" t="s">
        <v>175</v>
      </c>
      <c r="D1827" s="3" t="s">
        <v>297</v>
      </c>
      <c r="E1827" s="3">
        <v>332.08</v>
      </c>
      <c r="F1827" s="3" t="s">
        <v>331</v>
      </c>
      <c r="G1827" s="3" t="s">
        <v>327</v>
      </c>
      <c r="H1827" s="3"/>
    </row>
    <row r="1828" spans="1:8" x14ac:dyDescent="0.25">
      <c r="A1828" s="3" t="s">
        <v>2144</v>
      </c>
      <c r="B1828" s="3" t="s">
        <v>4727</v>
      </c>
      <c r="C1828" s="3" t="s">
        <v>125</v>
      </c>
      <c r="D1828" s="3" t="s">
        <v>297</v>
      </c>
      <c r="E1828" s="3" t="s">
        <v>4728</v>
      </c>
      <c r="F1828" s="3" t="s">
        <v>2980</v>
      </c>
      <c r="G1828" s="3" t="s">
        <v>327</v>
      </c>
      <c r="H1828" s="3"/>
    </row>
    <row r="1829" spans="1:8" x14ac:dyDescent="0.25">
      <c r="A1829" s="3" t="s">
        <v>2145</v>
      </c>
      <c r="B1829" s="3" t="s">
        <v>3822</v>
      </c>
      <c r="C1829" s="3" t="s">
        <v>195</v>
      </c>
      <c r="D1829" s="3" t="s">
        <v>312</v>
      </c>
      <c r="E1829" s="3">
        <v>471.08</v>
      </c>
      <c r="F1829" s="3" t="s">
        <v>324</v>
      </c>
      <c r="G1829" s="3" t="s">
        <v>325</v>
      </c>
      <c r="H1829" s="3" t="s">
        <v>346</v>
      </c>
    </row>
    <row r="1830" spans="1:8" x14ac:dyDescent="0.25">
      <c r="A1830" s="3" t="s">
        <v>2146</v>
      </c>
      <c r="B1830" s="3" t="s">
        <v>3644</v>
      </c>
      <c r="C1830" s="3" t="s">
        <v>62</v>
      </c>
      <c r="D1830" s="3" t="s">
        <v>300</v>
      </c>
      <c r="E1830" s="3">
        <v>713.25</v>
      </c>
      <c r="F1830" s="3" t="s">
        <v>2988</v>
      </c>
      <c r="G1830" s="3" t="s">
        <v>327</v>
      </c>
      <c r="H1830" s="3" t="s">
        <v>346</v>
      </c>
    </row>
    <row r="1831" spans="1:8" x14ac:dyDescent="0.25">
      <c r="A1831" s="3" t="s">
        <v>2147</v>
      </c>
      <c r="B1831" s="3" t="s">
        <v>3089</v>
      </c>
      <c r="C1831" s="3" t="s">
        <v>111</v>
      </c>
      <c r="D1831" s="3" t="s">
        <v>309</v>
      </c>
      <c r="E1831" s="3">
        <v>558.95000000000005</v>
      </c>
      <c r="F1831" s="3" t="s">
        <v>324</v>
      </c>
      <c r="G1831" s="3" t="s">
        <v>337</v>
      </c>
      <c r="H1831" s="3" t="s">
        <v>332</v>
      </c>
    </row>
    <row r="1832" spans="1:8" x14ac:dyDescent="0.25">
      <c r="A1832" s="3" t="s">
        <v>2148</v>
      </c>
      <c r="B1832" s="3" t="s">
        <v>3368</v>
      </c>
      <c r="C1832" s="3" t="s">
        <v>135</v>
      </c>
      <c r="D1832" s="3" t="s">
        <v>294</v>
      </c>
      <c r="E1832" s="3">
        <v>478.42</v>
      </c>
      <c r="F1832" s="3" t="s">
        <v>381</v>
      </c>
      <c r="G1832" s="3" t="s">
        <v>325</v>
      </c>
      <c r="H1832" s="3"/>
    </row>
    <row r="1833" spans="1:8" x14ac:dyDescent="0.25">
      <c r="A1833" s="3" t="s">
        <v>2149</v>
      </c>
      <c r="B1833" s="3" t="s">
        <v>4729</v>
      </c>
      <c r="C1833" s="3" t="s">
        <v>133</v>
      </c>
      <c r="D1833" s="3" t="s">
        <v>294</v>
      </c>
      <c r="E1833" s="3">
        <v>104.37</v>
      </c>
      <c r="F1833" s="3" t="s">
        <v>324</v>
      </c>
      <c r="G1833" s="3" t="s">
        <v>337</v>
      </c>
      <c r="H1833" s="3" t="s">
        <v>332</v>
      </c>
    </row>
    <row r="1834" spans="1:8" x14ac:dyDescent="0.25">
      <c r="A1834" s="3" t="s">
        <v>2150</v>
      </c>
      <c r="B1834" s="3" t="s">
        <v>3219</v>
      </c>
      <c r="C1834" s="3" t="s">
        <v>159</v>
      </c>
      <c r="D1834" s="3" t="s">
        <v>309</v>
      </c>
      <c r="E1834" s="3" t="s">
        <v>4730</v>
      </c>
      <c r="F1834" s="3" t="s">
        <v>2976</v>
      </c>
      <c r="G1834" s="3" t="s">
        <v>329</v>
      </c>
      <c r="H1834" s="3" t="s">
        <v>332</v>
      </c>
    </row>
    <row r="1835" spans="1:8" x14ac:dyDescent="0.25">
      <c r="A1835" s="3" t="s">
        <v>2151</v>
      </c>
      <c r="B1835" s="3" t="s">
        <v>3747</v>
      </c>
      <c r="C1835" s="3" t="s">
        <v>88</v>
      </c>
      <c r="D1835" s="3" t="s">
        <v>294</v>
      </c>
      <c r="E1835" s="3">
        <v>-458.15</v>
      </c>
      <c r="F1835" s="3" t="s">
        <v>3017</v>
      </c>
      <c r="G1835" s="3" t="s">
        <v>337</v>
      </c>
      <c r="H1835" s="3" t="s">
        <v>346</v>
      </c>
    </row>
    <row r="1836" spans="1:8" x14ac:dyDescent="0.25">
      <c r="A1836" s="3" t="s">
        <v>2152</v>
      </c>
      <c r="B1836" s="3" t="s">
        <v>4731</v>
      </c>
      <c r="C1836" s="3" t="s">
        <v>249</v>
      </c>
      <c r="D1836" s="3" t="s">
        <v>312</v>
      </c>
      <c r="E1836" s="3" t="s">
        <v>4732</v>
      </c>
      <c r="F1836" s="3" t="s">
        <v>2973</v>
      </c>
      <c r="G1836" s="3" t="s">
        <v>325</v>
      </c>
      <c r="H1836" s="3" t="s">
        <v>346</v>
      </c>
    </row>
    <row r="1837" spans="1:8" x14ac:dyDescent="0.25">
      <c r="A1837" s="3" t="s">
        <v>2153</v>
      </c>
      <c r="B1837" s="3" t="s">
        <v>4405</v>
      </c>
      <c r="C1837" s="3" t="s">
        <v>187</v>
      </c>
      <c r="D1837" s="3" t="s">
        <v>294</v>
      </c>
      <c r="E1837" s="3" t="s">
        <v>4733</v>
      </c>
      <c r="F1837" s="3" t="s">
        <v>324</v>
      </c>
      <c r="G1837" s="3" t="s">
        <v>327</v>
      </c>
      <c r="H1837" s="3" t="s">
        <v>334</v>
      </c>
    </row>
    <row r="1838" spans="1:8" x14ac:dyDescent="0.25">
      <c r="A1838" s="3" t="s">
        <v>2154</v>
      </c>
      <c r="B1838" s="3" t="s">
        <v>3138</v>
      </c>
      <c r="C1838" s="3" t="s">
        <v>181</v>
      </c>
      <c r="D1838" s="3" t="s">
        <v>306</v>
      </c>
      <c r="E1838" s="3" t="s">
        <v>4734</v>
      </c>
      <c r="F1838" s="3" t="s">
        <v>324</v>
      </c>
      <c r="G1838" s="3" t="s">
        <v>327</v>
      </c>
      <c r="H1838" s="3" t="s">
        <v>334</v>
      </c>
    </row>
    <row r="1839" spans="1:8" x14ac:dyDescent="0.25">
      <c r="A1839" s="3" t="s">
        <v>2155</v>
      </c>
      <c r="B1839" s="3" t="s">
        <v>3056</v>
      </c>
      <c r="C1839" s="3" t="s">
        <v>141</v>
      </c>
      <c r="D1839" s="3" t="s">
        <v>312</v>
      </c>
      <c r="E1839" s="3" t="s">
        <v>4735</v>
      </c>
      <c r="F1839" s="3" t="s">
        <v>324</v>
      </c>
      <c r="G1839" s="3" t="s">
        <v>325</v>
      </c>
      <c r="H1839" s="3" t="s">
        <v>346</v>
      </c>
    </row>
    <row r="1840" spans="1:8" x14ac:dyDescent="0.25">
      <c r="A1840" s="3" t="s">
        <v>2156</v>
      </c>
      <c r="B1840" s="3" t="s">
        <v>3409</v>
      </c>
      <c r="C1840" s="3" t="s">
        <v>44</v>
      </c>
      <c r="D1840" s="3" t="s">
        <v>294</v>
      </c>
      <c r="E1840" s="3">
        <v>536.96</v>
      </c>
      <c r="F1840" s="3" t="s">
        <v>324</v>
      </c>
      <c r="G1840" s="3" t="s">
        <v>327</v>
      </c>
      <c r="H1840" s="3" t="s">
        <v>332</v>
      </c>
    </row>
    <row r="1841" spans="1:8" x14ac:dyDescent="0.25">
      <c r="A1841" s="3" t="s">
        <v>2157</v>
      </c>
      <c r="B1841" s="3" t="s">
        <v>3576</v>
      </c>
      <c r="C1841" s="3" t="s">
        <v>127</v>
      </c>
      <c r="D1841" s="3" t="s">
        <v>306</v>
      </c>
      <c r="E1841" s="3" t="s">
        <v>4736</v>
      </c>
      <c r="F1841" s="3" t="s">
        <v>2973</v>
      </c>
      <c r="G1841" s="3" t="s">
        <v>327</v>
      </c>
      <c r="H1841" s="3" t="s">
        <v>334</v>
      </c>
    </row>
    <row r="1842" spans="1:8" x14ac:dyDescent="0.25">
      <c r="A1842" s="3" t="s">
        <v>2158</v>
      </c>
      <c r="B1842" s="3" t="s">
        <v>4737</v>
      </c>
      <c r="C1842" s="3" t="s">
        <v>185</v>
      </c>
      <c r="D1842" s="3" t="s">
        <v>312</v>
      </c>
      <c r="E1842" s="3" t="s">
        <v>4738</v>
      </c>
      <c r="F1842" s="3" t="s">
        <v>324</v>
      </c>
      <c r="G1842" s="3" t="s">
        <v>337</v>
      </c>
      <c r="H1842" s="3" t="s">
        <v>332</v>
      </c>
    </row>
    <row r="1843" spans="1:8" x14ac:dyDescent="0.25">
      <c r="A1843" s="3" t="s">
        <v>2159</v>
      </c>
      <c r="B1843" s="3" t="s">
        <v>4289</v>
      </c>
      <c r="C1843" s="3" t="s">
        <v>125</v>
      </c>
      <c r="D1843" s="3" t="s">
        <v>294</v>
      </c>
      <c r="E1843" s="3" t="s">
        <v>4739</v>
      </c>
      <c r="F1843" s="3" t="s">
        <v>324</v>
      </c>
      <c r="G1843" s="3" t="s">
        <v>337</v>
      </c>
      <c r="H1843" s="3"/>
    </row>
    <row r="1844" spans="1:8" x14ac:dyDescent="0.25">
      <c r="A1844" s="3" t="s">
        <v>2160</v>
      </c>
      <c r="B1844" s="3" t="s">
        <v>4740</v>
      </c>
      <c r="C1844" s="3" t="s">
        <v>187</v>
      </c>
      <c r="D1844" s="3" t="s">
        <v>294</v>
      </c>
      <c r="E1844" s="3" t="s">
        <v>4741</v>
      </c>
      <c r="F1844" s="3" t="s">
        <v>2995</v>
      </c>
      <c r="G1844" s="3" t="s">
        <v>325</v>
      </c>
      <c r="H1844" s="3" t="s">
        <v>346</v>
      </c>
    </row>
    <row r="1845" spans="1:8" x14ac:dyDescent="0.25">
      <c r="A1845" s="3" t="s">
        <v>2161</v>
      </c>
      <c r="B1845" s="3" t="s">
        <v>3055</v>
      </c>
      <c r="C1845" s="3" t="s">
        <v>26</v>
      </c>
      <c r="D1845" s="3" t="s">
        <v>309</v>
      </c>
      <c r="E1845" s="3">
        <v>599.11</v>
      </c>
      <c r="F1845" s="3" t="s">
        <v>324</v>
      </c>
      <c r="G1845" s="3" t="s">
        <v>325</v>
      </c>
      <c r="H1845" s="3"/>
    </row>
    <row r="1846" spans="1:8" x14ac:dyDescent="0.25">
      <c r="A1846" s="3" t="s">
        <v>587</v>
      </c>
      <c r="B1846" s="3" t="s">
        <v>3316</v>
      </c>
      <c r="C1846" s="3" t="s">
        <v>78</v>
      </c>
      <c r="D1846" s="3" t="s">
        <v>297</v>
      </c>
      <c r="E1846" s="3" t="s">
        <v>3317</v>
      </c>
      <c r="F1846" s="3" t="s">
        <v>324</v>
      </c>
      <c r="G1846" s="3" t="s">
        <v>325</v>
      </c>
      <c r="H1846" s="3"/>
    </row>
    <row r="1847" spans="1:8" x14ac:dyDescent="0.25">
      <c r="A1847" s="3" t="s">
        <v>2162</v>
      </c>
      <c r="B1847" s="3" t="s">
        <v>3099</v>
      </c>
      <c r="C1847" s="3" t="s">
        <v>171</v>
      </c>
      <c r="D1847" s="3" t="s">
        <v>306</v>
      </c>
      <c r="E1847" s="3">
        <v>662.39</v>
      </c>
      <c r="F1847" s="3" t="s">
        <v>2976</v>
      </c>
      <c r="G1847" s="3" t="s">
        <v>327</v>
      </c>
      <c r="H1847" s="3"/>
    </row>
    <row r="1848" spans="1:8" x14ac:dyDescent="0.25">
      <c r="A1848" s="3" t="s">
        <v>2163</v>
      </c>
      <c r="B1848" s="3" t="s">
        <v>4474</v>
      </c>
      <c r="C1848" s="3" t="s">
        <v>129</v>
      </c>
      <c r="D1848" s="3" t="s">
        <v>312</v>
      </c>
      <c r="E1848" s="3">
        <v>66.87</v>
      </c>
      <c r="F1848" s="3" t="s">
        <v>324</v>
      </c>
      <c r="G1848" s="3" t="s">
        <v>327</v>
      </c>
      <c r="H1848" s="3" t="s">
        <v>332</v>
      </c>
    </row>
    <row r="1849" spans="1:8" x14ac:dyDescent="0.25">
      <c r="A1849" s="3" t="s">
        <v>2164</v>
      </c>
      <c r="B1849" s="3" t="s">
        <v>3665</v>
      </c>
      <c r="C1849" s="3" t="s">
        <v>19</v>
      </c>
      <c r="D1849" s="3" t="s">
        <v>309</v>
      </c>
      <c r="E1849" s="3">
        <v>441.51</v>
      </c>
      <c r="F1849" s="3" t="s">
        <v>324</v>
      </c>
      <c r="G1849" s="3" t="s">
        <v>327</v>
      </c>
      <c r="H1849" s="3" t="s">
        <v>334</v>
      </c>
    </row>
    <row r="1850" spans="1:8" x14ac:dyDescent="0.25">
      <c r="A1850" s="3" t="s">
        <v>2165</v>
      </c>
      <c r="B1850" s="3" t="s">
        <v>4526</v>
      </c>
      <c r="C1850" s="3" t="s">
        <v>245</v>
      </c>
      <c r="D1850" s="3" t="s">
        <v>309</v>
      </c>
      <c r="E1850" s="3">
        <v>1246.25</v>
      </c>
      <c r="F1850" s="3" t="s">
        <v>381</v>
      </c>
      <c r="G1850" s="3" t="s">
        <v>337</v>
      </c>
      <c r="H1850" s="3" t="s">
        <v>346</v>
      </c>
    </row>
    <row r="1851" spans="1:8" x14ac:dyDescent="0.25">
      <c r="A1851" s="3" t="s">
        <v>2166</v>
      </c>
      <c r="B1851" s="3" t="s">
        <v>3856</v>
      </c>
      <c r="C1851" s="3" t="s">
        <v>80</v>
      </c>
      <c r="D1851" s="3" t="s">
        <v>294</v>
      </c>
      <c r="E1851" s="3" t="s">
        <v>4742</v>
      </c>
      <c r="F1851" s="3" t="s">
        <v>2976</v>
      </c>
      <c r="G1851" s="3" t="s">
        <v>325</v>
      </c>
      <c r="H1851" s="3" t="s">
        <v>334</v>
      </c>
    </row>
    <row r="1852" spans="1:8" x14ac:dyDescent="0.25">
      <c r="A1852" s="3" t="s">
        <v>2167</v>
      </c>
      <c r="B1852" s="3" t="s">
        <v>3216</v>
      </c>
      <c r="C1852" s="3" t="s">
        <v>62</v>
      </c>
      <c r="D1852" s="3" t="s">
        <v>294</v>
      </c>
      <c r="E1852" s="3" t="s">
        <v>4743</v>
      </c>
      <c r="F1852" s="3" t="s">
        <v>2973</v>
      </c>
      <c r="G1852" s="3" t="s">
        <v>327</v>
      </c>
      <c r="H1852" s="3"/>
    </row>
    <row r="1853" spans="1:8" x14ac:dyDescent="0.25">
      <c r="A1853" s="3" t="s">
        <v>2168</v>
      </c>
      <c r="B1853" s="3" t="s">
        <v>4723</v>
      </c>
      <c r="C1853" s="3" t="s">
        <v>64</v>
      </c>
      <c r="D1853" s="3" t="s">
        <v>294</v>
      </c>
      <c r="E1853" s="3">
        <v>-745.77</v>
      </c>
      <c r="F1853" s="3" t="s">
        <v>349</v>
      </c>
      <c r="G1853" s="3" t="s">
        <v>337</v>
      </c>
      <c r="H1853" s="3" t="s">
        <v>346</v>
      </c>
    </row>
    <row r="1854" spans="1:8" x14ac:dyDescent="0.25">
      <c r="A1854" s="3" t="s">
        <v>2169</v>
      </c>
      <c r="B1854" s="3" t="s">
        <v>4744</v>
      </c>
      <c r="C1854" s="3" t="s">
        <v>267</v>
      </c>
      <c r="D1854" s="3" t="s">
        <v>309</v>
      </c>
      <c r="E1854" s="3">
        <v>1170.68</v>
      </c>
      <c r="F1854" s="3" t="s">
        <v>324</v>
      </c>
      <c r="G1854" s="3" t="s">
        <v>325</v>
      </c>
      <c r="H1854" s="3" t="s">
        <v>334</v>
      </c>
    </row>
    <row r="1855" spans="1:8" x14ac:dyDescent="0.25">
      <c r="A1855" s="3" t="s">
        <v>2170</v>
      </c>
      <c r="B1855" s="3" t="s">
        <v>3233</v>
      </c>
      <c r="C1855" s="3" t="s">
        <v>51</v>
      </c>
      <c r="D1855" s="3" t="s">
        <v>297</v>
      </c>
      <c r="E1855" s="3">
        <v>850.37</v>
      </c>
      <c r="F1855" s="3" t="s">
        <v>2976</v>
      </c>
      <c r="G1855" s="3" t="s">
        <v>327</v>
      </c>
      <c r="H1855" s="3" t="s">
        <v>334</v>
      </c>
    </row>
    <row r="1856" spans="1:8" x14ac:dyDescent="0.25">
      <c r="A1856" s="3" t="s">
        <v>2171</v>
      </c>
      <c r="B1856" s="3" t="s">
        <v>4745</v>
      </c>
      <c r="C1856" s="3" t="s">
        <v>49</v>
      </c>
      <c r="D1856" s="3" t="s">
        <v>306</v>
      </c>
      <c r="E1856" s="3">
        <v>218.98</v>
      </c>
      <c r="F1856" s="3" t="s">
        <v>324</v>
      </c>
      <c r="G1856" s="3" t="s">
        <v>329</v>
      </c>
      <c r="H1856" s="3" t="s">
        <v>332</v>
      </c>
    </row>
    <row r="1857" spans="1:8" x14ac:dyDescent="0.25">
      <c r="A1857" s="3" t="s">
        <v>2172</v>
      </c>
      <c r="B1857" s="3" t="s">
        <v>4642</v>
      </c>
      <c r="C1857" s="3" t="s">
        <v>62</v>
      </c>
      <c r="D1857" s="3" t="s">
        <v>300</v>
      </c>
      <c r="E1857" s="3">
        <v>304.55</v>
      </c>
      <c r="F1857" s="3" t="s">
        <v>324</v>
      </c>
      <c r="G1857" s="3" t="s">
        <v>325</v>
      </c>
      <c r="H1857" s="3" t="s">
        <v>334</v>
      </c>
    </row>
    <row r="1858" spans="1:8" x14ac:dyDescent="0.25">
      <c r="A1858" s="3" t="s">
        <v>2173</v>
      </c>
      <c r="B1858" s="3" t="s">
        <v>3750</v>
      </c>
      <c r="C1858" s="3" t="s">
        <v>44</v>
      </c>
      <c r="D1858" s="3" t="s">
        <v>297</v>
      </c>
      <c r="E1858" s="3">
        <v>511.46</v>
      </c>
      <c r="F1858" s="3" t="s">
        <v>324</v>
      </c>
      <c r="G1858" s="3" t="s">
        <v>337</v>
      </c>
      <c r="H1858" s="3"/>
    </row>
    <row r="1859" spans="1:8" x14ac:dyDescent="0.25">
      <c r="A1859" s="3" t="s">
        <v>2174</v>
      </c>
      <c r="B1859" s="3" t="s">
        <v>3040</v>
      </c>
      <c r="C1859" s="3" t="s">
        <v>115</v>
      </c>
      <c r="D1859" s="3" t="s">
        <v>294</v>
      </c>
      <c r="E1859" s="3">
        <v>562.23</v>
      </c>
      <c r="F1859" s="3" t="s">
        <v>2976</v>
      </c>
      <c r="G1859" s="3" t="s">
        <v>327</v>
      </c>
      <c r="H1859" s="3"/>
    </row>
    <row r="1860" spans="1:8" x14ac:dyDescent="0.25">
      <c r="A1860" s="3" t="s">
        <v>2175</v>
      </c>
      <c r="B1860" s="3" t="s">
        <v>4101</v>
      </c>
      <c r="C1860" s="3" t="s">
        <v>111</v>
      </c>
      <c r="D1860" s="3" t="s">
        <v>312</v>
      </c>
      <c r="E1860" s="3">
        <v>664.96</v>
      </c>
      <c r="F1860" s="3" t="s">
        <v>2995</v>
      </c>
      <c r="G1860" s="3" t="s">
        <v>325</v>
      </c>
      <c r="H1860" s="3"/>
    </row>
    <row r="1861" spans="1:8" x14ac:dyDescent="0.25">
      <c r="A1861" s="3" t="s">
        <v>2176</v>
      </c>
      <c r="B1861" s="3" t="s">
        <v>4231</v>
      </c>
      <c r="C1861" s="3" t="s">
        <v>217</v>
      </c>
      <c r="D1861" s="3" t="s">
        <v>312</v>
      </c>
      <c r="E1861" s="3" t="s">
        <v>4746</v>
      </c>
      <c r="F1861" s="3" t="s">
        <v>2988</v>
      </c>
      <c r="G1861" s="3" t="s">
        <v>329</v>
      </c>
      <c r="H1861" s="3" t="s">
        <v>332</v>
      </c>
    </row>
    <row r="1862" spans="1:8" x14ac:dyDescent="0.25">
      <c r="A1862" s="3" t="s">
        <v>2177</v>
      </c>
      <c r="B1862" s="3" t="s">
        <v>3240</v>
      </c>
      <c r="C1862" s="3" t="s">
        <v>107</v>
      </c>
      <c r="D1862" s="3" t="s">
        <v>294</v>
      </c>
      <c r="E1862" s="3">
        <v>299.82</v>
      </c>
      <c r="F1862" s="3" t="s">
        <v>2988</v>
      </c>
      <c r="G1862" s="3" t="s">
        <v>325</v>
      </c>
      <c r="H1862" s="3" t="s">
        <v>334</v>
      </c>
    </row>
    <row r="1863" spans="1:8" x14ac:dyDescent="0.25">
      <c r="A1863" s="3" t="s">
        <v>2178</v>
      </c>
      <c r="B1863" s="3" t="s">
        <v>4713</v>
      </c>
      <c r="C1863" s="3" t="s">
        <v>237</v>
      </c>
      <c r="D1863" s="3" t="s">
        <v>297</v>
      </c>
      <c r="E1863" s="3">
        <v>411.53</v>
      </c>
      <c r="F1863" s="3" t="s">
        <v>324</v>
      </c>
      <c r="G1863" s="3" t="s">
        <v>327</v>
      </c>
      <c r="H1863" s="3" t="s">
        <v>346</v>
      </c>
    </row>
    <row r="1864" spans="1:8" x14ac:dyDescent="0.25">
      <c r="A1864" s="3" t="s">
        <v>2179</v>
      </c>
      <c r="B1864" s="3" t="s">
        <v>3438</v>
      </c>
      <c r="C1864" s="3" t="s">
        <v>229</v>
      </c>
      <c r="D1864" s="3" t="s">
        <v>309</v>
      </c>
      <c r="E1864" s="3" t="s">
        <v>4747</v>
      </c>
      <c r="F1864" s="3" t="s">
        <v>2988</v>
      </c>
      <c r="G1864" s="3" t="s">
        <v>325</v>
      </c>
      <c r="H1864" s="3"/>
    </row>
    <row r="1865" spans="1:8" x14ac:dyDescent="0.25">
      <c r="A1865" s="3" t="s">
        <v>2180</v>
      </c>
      <c r="B1865" s="3" t="s">
        <v>4748</v>
      </c>
      <c r="C1865" s="3" t="s">
        <v>74</v>
      </c>
      <c r="D1865" s="3" t="s">
        <v>294</v>
      </c>
      <c r="E1865" s="3">
        <v>1010.61</v>
      </c>
      <c r="F1865" s="3" t="s">
        <v>324</v>
      </c>
      <c r="G1865" s="3"/>
      <c r="H1865" s="3" t="s">
        <v>346</v>
      </c>
    </row>
    <row r="1866" spans="1:8" x14ac:dyDescent="0.25">
      <c r="A1866" s="3" t="s">
        <v>2181</v>
      </c>
      <c r="B1866" s="3" t="s">
        <v>3341</v>
      </c>
      <c r="C1866" s="3" t="s">
        <v>245</v>
      </c>
      <c r="D1866" s="3" t="s">
        <v>300</v>
      </c>
      <c r="E1866" s="3">
        <v>249.4</v>
      </c>
      <c r="F1866" s="3" t="s">
        <v>324</v>
      </c>
      <c r="G1866" s="3" t="s">
        <v>337</v>
      </c>
      <c r="H1866" s="3" t="s">
        <v>346</v>
      </c>
    </row>
    <row r="1867" spans="1:8" x14ac:dyDescent="0.25">
      <c r="A1867" s="3" t="s">
        <v>2182</v>
      </c>
      <c r="B1867" s="3" t="s">
        <v>4481</v>
      </c>
      <c r="C1867" s="3" t="s">
        <v>100</v>
      </c>
      <c r="D1867" s="3" t="s">
        <v>294</v>
      </c>
      <c r="E1867" s="3">
        <v>330.05</v>
      </c>
      <c r="F1867" s="3" t="s">
        <v>324</v>
      </c>
      <c r="G1867" s="3" t="s">
        <v>337</v>
      </c>
      <c r="H1867" s="3" t="s">
        <v>332</v>
      </c>
    </row>
    <row r="1868" spans="1:8" x14ac:dyDescent="0.25">
      <c r="A1868" s="3" t="s">
        <v>2183</v>
      </c>
      <c r="B1868" s="3" t="s">
        <v>3422</v>
      </c>
      <c r="C1868" s="3" t="s">
        <v>191</v>
      </c>
      <c r="D1868" s="3" t="s">
        <v>300</v>
      </c>
      <c r="E1868" s="3" t="s">
        <v>4749</v>
      </c>
      <c r="F1868" s="3" t="s">
        <v>3037</v>
      </c>
      <c r="G1868" s="3" t="s">
        <v>327</v>
      </c>
      <c r="H1868" s="3"/>
    </row>
    <row r="1869" spans="1:8" x14ac:dyDescent="0.25">
      <c r="A1869" s="3" t="s">
        <v>2184</v>
      </c>
      <c r="B1869" s="3" t="s">
        <v>3257</v>
      </c>
      <c r="C1869" s="3" t="s">
        <v>641</v>
      </c>
      <c r="D1869" s="3" t="s">
        <v>297</v>
      </c>
      <c r="E1869" s="3">
        <v>154.33000000000001</v>
      </c>
      <c r="F1869" s="3" t="s">
        <v>324</v>
      </c>
      <c r="G1869" s="3" t="s">
        <v>325</v>
      </c>
      <c r="H1869" s="3"/>
    </row>
    <row r="1870" spans="1:8" x14ac:dyDescent="0.25">
      <c r="A1870" s="3" t="s">
        <v>2185</v>
      </c>
      <c r="B1870" s="3" t="s">
        <v>3431</v>
      </c>
      <c r="C1870" s="3" t="s">
        <v>271</v>
      </c>
      <c r="D1870" s="3" t="s">
        <v>300</v>
      </c>
      <c r="E1870" s="3" t="s">
        <v>4750</v>
      </c>
      <c r="F1870" s="3" t="s">
        <v>2995</v>
      </c>
      <c r="G1870" s="3" t="s">
        <v>327</v>
      </c>
      <c r="H1870" s="3" t="s">
        <v>334</v>
      </c>
    </row>
    <row r="1871" spans="1:8" x14ac:dyDescent="0.25">
      <c r="A1871" s="3" t="s">
        <v>2186</v>
      </c>
      <c r="B1871" s="3" t="s">
        <v>4751</v>
      </c>
      <c r="C1871" s="3" t="s">
        <v>26</v>
      </c>
      <c r="D1871" s="3" t="s">
        <v>315</v>
      </c>
      <c r="E1871" s="3">
        <v>128.01</v>
      </c>
      <c r="F1871" s="3" t="s">
        <v>324</v>
      </c>
      <c r="G1871" s="3" t="s">
        <v>325</v>
      </c>
      <c r="H1871" s="3" t="s">
        <v>346</v>
      </c>
    </row>
    <row r="1872" spans="1:8" x14ac:dyDescent="0.25">
      <c r="A1872" s="3" t="s">
        <v>2187</v>
      </c>
      <c r="B1872" s="3" t="s">
        <v>3384</v>
      </c>
      <c r="C1872" s="3" t="s">
        <v>62</v>
      </c>
      <c r="D1872" s="3" t="s">
        <v>297</v>
      </c>
      <c r="E1872" s="3">
        <v>368.49</v>
      </c>
      <c r="F1872" s="3" t="s">
        <v>324</v>
      </c>
      <c r="G1872" s="3" t="s">
        <v>325</v>
      </c>
      <c r="H1872" s="3"/>
    </row>
    <row r="1873" spans="1:8" x14ac:dyDescent="0.25">
      <c r="A1873" s="3" t="s">
        <v>2188</v>
      </c>
      <c r="B1873" s="3" t="s">
        <v>4752</v>
      </c>
      <c r="C1873" s="3" t="s">
        <v>26</v>
      </c>
      <c r="D1873" s="3" t="s">
        <v>297</v>
      </c>
      <c r="E1873" s="3">
        <v>435.3</v>
      </c>
      <c r="F1873" s="3" t="s">
        <v>324</v>
      </c>
      <c r="G1873" s="3" t="s">
        <v>329</v>
      </c>
      <c r="H1873" s="3" t="s">
        <v>346</v>
      </c>
    </row>
    <row r="1874" spans="1:8" x14ac:dyDescent="0.25">
      <c r="A1874" s="3" t="s">
        <v>2962</v>
      </c>
      <c r="B1874" s="3" t="s">
        <v>4753</v>
      </c>
      <c r="C1874" s="3" t="s">
        <v>199</v>
      </c>
      <c r="D1874" s="3"/>
      <c r="E1874" s="3" t="s">
        <v>4754</v>
      </c>
      <c r="F1874" s="3" t="s">
        <v>2976</v>
      </c>
      <c r="G1874" s="3" t="s">
        <v>325</v>
      </c>
      <c r="H1874" s="3" t="s">
        <v>334</v>
      </c>
    </row>
    <row r="1875" spans="1:8" x14ac:dyDescent="0.25">
      <c r="A1875" s="3" t="s">
        <v>2189</v>
      </c>
      <c r="B1875" s="3" t="s">
        <v>3875</v>
      </c>
      <c r="C1875" s="3" t="s">
        <v>191</v>
      </c>
      <c r="D1875" s="3" t="s">
        <v>294</v>
      </c>
      <c r="E1875" s="3" t="s">
        <v>4755</v>
      </c>
      <c r="F1875" s="3" t="s">
        <v>2973</v>
      </c>
      <c r="G1875" s="3" t="s">
        <v>325</v>
      </c>
      <c r="H1875" s="3" t="s">
        <v>346</v>
      </c>
    </row>
    <row r="1876" spans="1:8" x14ac:dyDescent="0.25">
      <c r="A1876" s="3" t="s">
        <v>2190</v>
      </c>
      <c r="B1876" s="3" t="s">
        <v>4756</v>
      </c>
      <c r="C1876" s="3" t="s">
        <v>139</v>
      </c>
      <c r="D1876" s="3" t="s">
        <v>297</v>
      </c>
      <c r="E1876" s="3">
        <v>380.58</v>
      </c>
      <c r="F1876" s="3" t="s">
        <v>381</v>
      </c>
      <c r="G1876" s="3" t="s">
        <v>325</v>
      </c>
      <c r="H1876" s="3"/>
    </row>
    <row r="1877" spans="1:8" x14ac:dyDescent="0.25">
      <c r="A1877" s="3" t="s">
        <v>2191</v>
      </c>
      <c r="B1877" s="3" t="s">
        <v>4757</v>
      </c>
      <c r="C1877" s="3" t="s">
        <v>103</v>
      </c>
      <c r="D1877" s="3" t="s">
        <v>303</v>
      </c>
      <c r="E1877" s="3">
        <v>1167.48</v>
      </c>
      <c r="F1877" s="3" t="s">
        <v>2980</v>
      </c>
      <c r="G1877" s="3" t="s">
        <v>325</v>
      </c>
      <c r="H1877" s="3" t="s">
        <v>332</v>
      </c>
    </row>
    <row r="1878" spans="1:8" x14ac:dyDescent="0.25">
      <c r="A1878" s="3" t="s">
        <v>2192</v>
      </c>
      <c r="B1878" s="3" t="s">
        <v>4758</v>
      </c>
      <c r="C1878" s="3" t="s">
        <v>171</v>
      </c>
      <c r="D1878" s="3" t="s">
        <v>300</v>
      </c>
      <c r="E1878" s="3">
        <v>610.17999999999995</v>
      </c>
      <c r="F1878" s="3" t="s">
        <v>2976</v>
      </c>
      <c r="G1878" s="3" t="s">
        <v>337</v>
      </c>
      <c r="H1878" s="3"/>
    </row>
    <row r="1879" spans="1:8" x14ac:dyDescent="0.25">
      <c r="A1879" s="3" t="s">
        <v>2193</v>
      </c>
      <c r="B1879" s="3" t="s">
        <v>4759</v>
      </c>
      <c r="C1879" s="3" t="s">
        <v>100</v>
      </c>
      <c r="D1879" s="3" t="s">
        <v>294</v>
      </c>
      <c r="E1879" s="3">
        <v>975.89</v>
      </c>
      <c r="F1879" s="3" t="s">
        <v>2988</v>
      </c>
      <c r="G1879" s="3" t="s">
        <v>325</v>
      </c>
      <c r="H1879" s="3"/>
    </row>
    <row r="1880" spans="1:8" x14ac:dyDescent="0.25">
      <c r="A1880" s="3" t="s">
        <v>2194</v>
      </c>
      <c r="B1880" s="3" t="s">
        <v>4676</v>
      </c>
      <c r="C1880" s="3" t="s">
        <v>181</v>
      </c>
      <c r="D1880" s="3" t="s">
        <v>294</v>
      </c>
      <c r="E1880" s="3">
        <v>542.99</v>
      </c>
      <c r="F1880" s="3" t="s">
        <v>2988</v>
      </c>
      <c r="G1880" s="3" t="s">
        <v>327</v>
      </c>
      <c r="H1880" s="3" t="s">
        <v>332</v>
      </c>
    </row>
    <row r="1881" spans="1:8" x14ac:dyDescent="0.25">
      <c r="A1881" s="3" t="s">
        <v>2195</v>
      </c>
      <c r="B1881" s="3" t="s">
        <v>4760</v>
      </c>
      <c r="C1881" s="3" t="s">
        <v>157</v>
      </c>
      <c r="D1881" s="3" t="s">
        <v>315</v>
      </c>
      <c r="E1881" s="3">
        <v>278.25</v>
      </c>
      <c r="F1881" s="3" t="s">
        <v>2995</v>
      </c>
      <c r="G1881" s="3" t="s">
        <v>325</v>
      </c>
      <c r="H1881" s="3"/>
    </row>
    <row r="1882" spans="1:8" x14ac:dyDescent="0.25">
      <c r="A1882" s="3" t="s">
        <v>2196</v>
      </c>
      <c r="B1882" s="3" t="s">
        <v>3452</v>
      </c>
      <c r="C1882" s="3" t="s">
        <v>269</v>
      </c>
      <c r="D1882" s="3" t="s">
        <v>294</v>
      </c>
      <c r="E1882" s="3" t="s">
        <v>4761</v>
      </c>
      <c r="F1882" s="3" t="s">
        <v>3017</v>
      </c>
      <c r="G1882" s="3" t="s">
        <v>327</v>
      </c>
      <c r="H1882" s="3"/>
    </row>
    <row r="1883" spans="1:8" x14ac:dyDescent="0.25">
      <c r="A1883" s="3" t="s">
        <v>2197</v>
      </c>
      <c r="B1883" s="3" t="s">
        <v>3066</v>
      </c>
      <c r="C1883" s="3" t="s">
        <v>225</v>
      </c>
      <c r="D1883" s="3" t="s">
        <v>309</v>
      </c>
      <c r="E1883" s="3">
        <v>401.67</v>
      </c>
      <c r="F1883" s="3" t="s">
        <v>324</v>
      </c>
      <c r="G1883" s="3" t="s">
        <v>327</v>
      </c>
      <c r="H1883" s="3"/>
    </row>
    <row r="1884" spans="1:8" x14ac:dyDescent="0.25">
      <c r="A1884" s="3" t="s">
        <v>2198</v>
      </c>
      <c r="B1884" s="3" t="s">
        <v>4762</v>
      </c>
      <c r="C1884" s="3" t="s">
        <v>253</v>
      </c>
      <c r="D1884" s="3" t="s">
        <v>309</v>
      </c>
      <c r="E1884" s="3">
        <v>55.84</v>
      </c>
      <c r="F1884" s="3" t="s">
        <v>324</v>
      </c>
      <c r="G1884" s="3" t="s">
        <v>327</v>
      </c>
      <c r="H1884" s="3" t="s">
        <v>334</v>
      </c>
    </row>
    <row r="1885" spans="1:8" x14ac:dyDescent="0.25">
      <c r="A1885" s="3" t="s">
        <v>2199</v>
      </c>
      <c r="B1885" s="3" t="s">
        <v>4255</v>
      </c>
      <c r="C1885" s="3" t="s">
        <v>251</v>
      </c>
      <c r="D1885" s="3" t="s">
        <v>315</v>
      </c>
      <c r="E1885" s="3">
        <v>910.38</v>
      </c>
      <c r="F1885" s="3" t="s">
        <v>2973</v>
      </c>
      <c r="G1885" s="3" t="s">
        <v>327</v>
      </c>
      <c r="H1885" s="3" t="s">
        <v>346</v>
      </c>
    </row>
    <row r="1886" spans="1:8" x14ac:dyDescent="0.25">
      <c r="A1886" s="3" t="s">
        <v>2200</v>
      </c>
      <c r="B1886" s="3" t="s">
        <v>4462</v>
      </c>
      <c r="C1886" s="3" t="s">
        <v>53</v>
      </c>
      <c r="D1886" s="3" t="s">
        <v>294</v>
      </c>
      <c r="E1886" s="3">
        <v>197.75</v>
      </c>
      <c r="F1886" s="3" t="s">
        <v>324</v>
      </c>
      <c r="G1886" s="3" t="s">
        <v>325</v>
      </c>
      <c r="H1886" s="3"/>
    </row>
    <row r="1887" spans="1:8" x14ac:dyDescent="0.25">
      <c r="A1887" s="3" t="s">
        <v>2201</v>
      </c>
      <c r="B1887" s="3" t="s">
        <v>4214</v>
      </c>
      <c r="C1887" s="3" t="s">
        <v>641</v>
      </c>
      <c r="D1887" s="3" t="s">
        <v>306</v>
      </c>
      <c r="E1887" s="3">
        <v>784.89</v>
      </c>
      <c r="F1887" s="3" t="s">
        <v>324</v>
      </c>
      <c r="G1887" s="3" t="s">
        <v>337</v>
      </c>
      <c r="H1887" s="3" t="s">
        <v>332</v>
      </c>
    </row>
    <row r="1888" spans="1:8" x14ac:dyDescent="0.25">
      <c r="A1888" s="3" t="s">
        <v>2202</v>
      </c>
      <c r="B1888" s="3" t="s">
        <v>4763</v>
      </c>
      <c r="C1888" s="3" t="s">
        <v>35</v>
      </c>
      <c r="D1888" s="3" t="s">
        <v>309</v>
      </c>
      <c r="E1888" s="3" t="s">
        <v>4764</v>
      </c>
      <c r="F1888" s="3" t="s">
        <v>324</v>
      </c>
      <c r="G1888" s="3" t="s">
        <v>327</v>
      </c>
      <c r="H1888" s="3" t="s">
        <v>346</v>
      </c>
    </row>
    <row r="1889" spans="1:8" x14ac:dyDescent="0.25">
      <c r="A1889" s="3" t="s">
        <v>2203</v>
      </c>
      <c r="B1889" s="3" t="s">
        <v>3348</v>
      </c>
      <c r="C1889" s="3" t="s">
        <v>191</v>
      </c>
      <c r="D1889" s="3" t="s">
        <v>300</v>
      </c>
      <c r="E1889" s="3" t="s">
        <v>4765</v>
      </c>
      <c r="F1889" s="3" t="s">
        <v>324</v>
      </c>
      <c r="G1889" s="3" t="s">
        <v>325</v>
      </c>
      <c r="H1889" s="3"/>
    </row>
    <row r="1890" spans="1:8" x14ac:dyDescent="0.25">
      <c r="A1890" s="3" t="s">
        <v>2204</v>
      </c>
      <c r="B1890" s="3" t="s">
        <v>3784</v>
      </c>
      <c r="C1890" s="3" t="s">
        <v>76</v>
      </c>
      <c r="D1890" s="3" t="s">
        <v>315</v>
      </c>
      <c r="E1890" s="3" t="s">
        <v>4766</v>
      </c>
      <c r="F1890" s="3" t="s">
        <v>324</v>
      </c>
      <c r="G1890" s="3" t="s">
        <v>337</v>
      </c>
      <c r="H1890" s="3"/>
    </row>
    <row r="1891" spans="1:8" x14ac:dyDescent="0.25">
      <c r="A1891" s="3" t="s">
        <v>2205</v>
      </c>
      <c r="B1891" s="3" t="s">
        <v>4767</v>
      </c>
      <c r="C1891" s="3" t="s">
        <v>58</v>
      </c>
      <c r="D1891" s="3" t="s">
        <v>303</v>
      </c>
      <c r="E1891" s="3">
        <v>463.39</v>
      </c>
      <c r="F1891" s="3" t="s">
        <v>3097</v>
      </c>
      <c r="G1891" s="3" t="s">
        <v>337</v>
      </c>
      <c r="H1891" s="3"/>
    </row>
    <row r="1892" spans="1:8" x14ac:dyDescent="0.25">
      <c r="A1892" s="3" t="s">
        <v>2206</v>
      </c>
      <c r="B1892" s="3" t="s">
        <v>3171</v>
      </c>
      <c r="C1892" s="3" t="s">
        <v>275</v>
      </c>
      <c r="D1892" s="3" t="s">
        <v>315</v>
      </c>
      <c r="E1892" s="3">
        <v>257.48</v>
      </c>
      <c r="F1892" s="3" t="s">
        <v>331</v>
      </c>
      <c r="G1892" s="3" t="s">
        <v>325</v>
      </c>
      <c r="H1892" s="3" t="s">
        <v>332</v>
      </c>
    </row>
    <row r="1893" spans="1:8" x14ac:dyDescent="0.25">
      <c r="A1893" s="3" t="s">
        <v>2207</v>
      </c>
      <c r="B1893" s="3" t="s">
        <v>4768</v>
      </c>
      <c r="C1893" s="3" t="s">
        <v>195</v>
      </c>
      <c r="D1893" s="3" t="s">
        <v>306</v>
      </c>
      <c r="E1893" s="3" t="s">
        <v>4769</v>
      </c>
      <c r="F1893" s="3" t="s">
        <v>2976</v>
      </c>
      <c r="G1893" s="3" t="s">
        <v>337</v>
      </c>
      <c r="H1893" s="3" t="s">
        <v>346</v>
      </c>
    </row>
    <row r="1894" spans="1:8" x14ac:dyDescent="0.25">
      <c r="A1894" s="3" t="s">
        <v>2208</v>
      </c>
      <c r="B1894" s="3" t="s">
        <v>3361</v>
      </c>
      <c r="C1894" s="3" t="s">
        <v>197</v>
      </c>
      <c r="D1894" s="3" t="s">
        <v>312</v>
      </c>
      <c r="E1894" s="3">
        <v>396.53</v>
      </c>
      <c r="F1894" s="3" t="s">
        <v>2973</v>
      </c>
      <c r="G1894" s="3" t="s">
        <v>325</v>
      </c>
      <c r="H1894" s="3"/>
    </row>
    <row r="1895" spans="1:8" x14ac:dyDescent="0.25">
      <c r="A1895" s="3" t="s">
        <v>2209</v>
      </c>
      <c r="B1895" s="3" t="s">
        <v>3233</v>
      </c>
      <c r="C1895" s="3" t="s">
        <v>235</v>
      </c>
      <c r="D1895" s="3" t="s">
        <v>294</v>
      </c>
      <c r="E1895" s="3">
        <v>-637.91999999999996</v>
      </c>
      <c r="F1895" s="3" t="s">
        <v>349</v>
      </c>
      <c r="G1895" s="3" t="s">
        <v>325</v>
      </c>
      <c r="H1895" s="3"/>
    </row>
    <row r="1896" spans="1:8" x14ac:dyDescent="0.25">
      <c r="A1896" s="3" t="s">
        <v>2210</v>
      </c>
      <c r="B1896" s="3" t="s">
        <v>4770</v>
      </c>
      <c r="C1896" s="3" t="s">
        <v>265</v>
      </c>
      <c r="D1896" s="3" t="s">
        <v>300</v>
      </c>
      <c r="E1896" s="3">
        <v>96.54</v>
      </c>
      <c r="F1896" s="3" t="s">
        <v>331</v>
      </c>
      <c r="G1896" s="3" t="s">
        <v>325</v>
      </c>
      <c r="H1896" s="3"/>
    </row>
    <row r="1897" spans="1:8" x14ac:dyDescent="0.25">
      <c r="A1897" s="3" t="s">
        <v>2211</v>
      </c>
      <c r="B1897" s="3" t="s">
        <v>3822</v>
      </c>
      <c r="C1897" s="3" t="s">
        <v>133</v>
      </c>
      <c r="D1897" s="3" t="s">
        <v>294</v>
      </c>
      <c r="E1897" s="3" t="s">
        <v>4771</v>
      </c>
      <c r="F1897" s="3" t="s">
        <v>2995</v>
      </c>
      <c r="G1897" s="3" t="s">
        <v>325</v>
      </c>
      <c r="H1897" s="3"/>
    </row>
    <row r="1898" spans="1:8" x14ac:dyDescent="0.25">
      <c r="A1898" s="3" t="s">
        <v>2212</v>
      </c>
      <c r="B1898" s="3" t="s">
        <v>3553</v>
      </c>
      <c r="C1898" s="3" t="s">
        <v>123</v>
      </c>
      <c r="D1898" s="3" t="s">
        <v>303</v>
      </c>
      <c r="E1898" s="3" t="s">
        <v>4772</v>
      </c>
      <c r="F1898" s="3" t="s">
        <v>2995</v>
      </c>
      <c r="G1898" s="3" t="s">
        <v>325</v>
      </c>
      <c r="H1898" s="3" t="s">
        <v>334</v>
      </c>
    </row>
    <row r="1899" spans="1:8" x14ac:dyDescent="0.25">
      <c r="A1899" s="3" t="s">
        <v>2213</v>
      </c>
      <c r="B1899" s="3" t="s">
        <v>4773</v>
      </c>
      <c r="C1899" s="3" t="s">
        <v>19</v>
      </c>
      <c r="D1899" s="3" t="s">
        <v>297</v>
      </c>
      <c r="E1899" s="3" t="s">
        <v>4774</v>
      </c>
      <c r="F1899" s="3" t="s">
        <v>324</v>
      </c>
      <c r="G1899" s="3" t="s">
        <v>325</v>
      </c>
      <c r="H1899" s="3" t="s">
        <v>332</v>
      </c>
    </row>
    <row r="1900" spans="1:8" x14ac:dyDescent="0.25">
      <c r="A1900" s="3" t="s">
        <v>2214</v>
      </c>
      <c r="B1900" s="3" t="s">
        <v>4775</v>
      </c>
      <c r="C1900" s="3" t="s">
        <v>151</v>
      </c>
      <c r="D1900" s="3" t="s">
        <v>312</v>
      </c>
      <c r="E1900" s="3">
        <v>472.81</v>
      </c>
      <c r="F1900" s="3" t="s">
        <v>2976</v>
      </c>
      <c r="G1900" s="3" t="s">
        <v>337</v>
      </c>
      <c r="H1900" s="3"/>
    </row>
    <row r="1901" spans="1:8" x14ac:dyDescent="0.25">
      <c r="A1901" s="3" t="s">
        <v>2215</v>
      </c>
      <c r="B1901" s="3" t="s">
        <v>4776</v>
      </c>
      <c r="C1901" s="3" t="s">
        <v>90</v>
      </c>
      <c r="D1901" s="3" t="s">
        <v>306</v>
      </c>
      <c r="E1901" s="3">
        <v>584.84</v>
      </c>
      <c r="F1901" s="3" t="s">
        <v>2988</v>
      </c>
      <c r="G1901" s="3" t="s">
        <v>337</v>
      </c>
      <c r="H1901" s="3" t="s">
        <v>346</v>
      </c>
    </row>
    <row r="1902" spans="1:8" x14ac:dyDescent="0.25">
      <c r="A1902" s="3" t="s">
        <v>2216</v>
      </c>
      <c r="B1902" s="3" t="s">
        <v>4777</v>
      </c>
      <c r="C1902" s="3" t="s">
        <v>141</v>
      </c>
      <c r="D1902" s="3" t="s">
        <v>294</v>
      </c>
      <c r="E1902" s="3">
        <v>405.9</v>
      </c>
      <c r="F1902" s="3" t="s">
        <v>2976</v>
      </c>
      <c r="G1902" s="3" t="s">
        <v>327</v>
      </c>
      <c r="H1902" s="3"/>
    </row>
    <row r="1903" spans="1:8" x14ac:dyDescent="0.25">
      <c r="A1903" s="3" t="s">
        <v>2217</v>
      </c>
      <c r="B1903" s="3" t="s">
        <v>4778</v>
      </c>
      <c r="C1903" s="3" t="s">
        <v>98</v>
      </c>
      <c r="D1903" s="3" t="s">
        <v>300</v>
      </c>
      <c r="E1903" s="3">
        <v>420.13</v>
      </c>
      <c r="F1903" s="3" t="s">
        <v>324</v>
      </c>
      <c r="G1903" s="3" t="s">
        <v>337</v>
      </c>
      <c r="H1903" s="3" t="s">
        <v>346</v>
      </c>
    </row>
    <row r="1904" spans="1:8" x14ac:dyDescent="0.25">
      <c r="A1904" s="3" t="s">
        <v>2218</v>
      </c>
      <c r="B1904" s="3" t="s">
        <v>3917</v>
      </c>
      <c r="C1904" s="3" t="s">
        <v>255</v>
      </c>
      <c r="D1904" s="3" t="s">
        <v>294</v>
      </c>
      <c r="E1904" s="3">
        <v>412.09</v>
      </c>
      <c r="F1904" s="3" t="s">
        <v>2995</v>
      </c>
      <c r="G1904" s="3" t="s">
        <v>325</v>
      </c>
      <c r="H1904" s="3" t="s">
        <v>334</v>
      </c>
    </row>
    <row r="1905" spans="1:8" x14ac:dyDescent="0.25">
      <c r="A1905" s="3" t="s">
        <v>2219</v>
      </c>
      <c r="B1905" s="3" t="s">
        <v>4779</v>
      </c>
      <c r="C1905" s="3" t="s">
        <v>203</v>
      </c>
      <c r="D1905" s="3" t="s">
        <v>294</v>
      </c>
      <c r="E1905" s="3" t="s">
        <v>4780</v>
      </c>
      <c r="F1905" s="3" t="s">
        <v>324</v>
      </c>
      <c r="G1905" s="3" t="s">
        <v>325</v>
      </c>
      <c r="H1905" s="3"/>
    </row>
    <row r="1906" spans="1:8" x14ac:dyDescent="0.25">
      <c r="A1906" s="3" t="s">
        <v>2220</v>
      </c>
      <c r="B1906" s="3" t="s">
        <v>4781</v>
      </c>
      <c r="C1906" s="3" t="s">
        <v>165</v>
      </c>
      <c r="D1906" s="3" t="s">
        <v>294</v>
      </c>
      <c r="E1906" s="3">
        <v>254.71</v>
      </c>
      <c r="F1906" s="3" t="s">
        <v>324</v>
      </c>
      <c r="G1906" s="3" t="s">
        <v>327</v>
      </c>
      <c r="H1906" s="3" t="s">
        <v>334</v>
      </c>
    </row>
    <row r="1907" spans="1:8" x14ac:dyDescent="0.25">
      <c r="A1907" s="3" t="s">
        <v>2221</v>
      </c>
      <c r="B1907" s="3" t="s">
        <v>4284</v>
      </c>
      <c r="C1907" s="3" t="s">
        <v>275</v>
      </c>
      <c r="D1907" s="3" t="s">
        <v>306</v>
      </c>
      <c r="E1907" s="3">
        <v>300.04000000000002</v>
      </c>
      <c r="F1907" s="3" t="s">
        <v>324</v>
      </c>
      <c r="G1907" s="3" t="s">
        <v>325</v>
      </c>
      <c r="H1907" s="3" t="s">
        <v>334</v>
      </c>
    </row>
    <row r="1908" spans="1:8" x14ac:dyDescent="0.25">
      <c r="A1908" s="3" t="s">
        <v>2222</v>
      </c>
      <c r="B1908" s="3" t="s">
        <v>4415</v>
      </c>
      <c r="C1908" s="3" t="s">
        <v>88</v>
      </c>
      <c r="D1908" s="3" t="s">
        <v>294</v>
      </c>
      <c r="E1908" s="3" t="s">
        <v>4782</v>
      </c>
      <c r="F1908" s="3" t="s">
        <v>324</v>
      </c>
      <c r="G1908" s="3" t="s">
        <v>327</v>
      </c>
      <c r="H1908" s="3" t="s">
        <v>334</v>
      </c>
    </row>
    <row r="1909" spans="1:8" x14ac:dyDescent="0.25">
      <c r="A1909" s="3" t="s">
        <v>2223</v>
      </c>
      <c r="B1909" s="3" t="s">
        <v>3379</v>
      </c>
      <c r="C1909" s="3" t="s">
        <v>84</v>
      </c>
      <c r="D1909" s="3" t="s">
        <v>306</v>
      </c>
      <c r="E1909" s="3" t="s">
        <v>4783</v>
      </c>
      <c r="F1909" s="3" t="s">
        <v>2988</v>
      </c>
      <c r="G1909" s="3" t="s">
        <v>337</v>
      </c>
      <c r="H1909" s="3" t="s">
        <v>334</v>
      </c>
    </row>
    <row r="1910" spans="1:8" x14ac:dyDescent="0.25">
      <c r="A1910" s="3" t="s">
        <v>2224</v>
      </c>
      <c r="B1910" s="3" t="s">
        <v>3211</v>
      </c>
      <c r="C1910" s="3" t="s">
        <v>19</v>
      </c>
      <c r="D1910" s="3" t="s">
        <v>297</v>
      </c>
      <c r="E1910" s="3" t="s">
        <v>4784</v>
      </c>
      <c r="F1910" s="3" t="s">
        <v>2976</v>
      </c>
      <c r="G1910" s="3" t="s">
        <v>327</v>
      </c>
      <c r="H1910" s="3"/>
    </row>
    <row r="1911" spans="1:8" x14ac:dyDescent="0.25">
      <c r="A1911" s="3" t="s">
        <v>2225</v>
      </c>
      <c r="B1911" s="3" t="s">
        <v>3149</v>
      </c>
      <c r="C1911" s="3" t="s">
        <v>40</v>
      </c>
      <c r="D1911" s="3" t="s">
        <v>294</v>
      </c>
      <c r="E1911" s="3" t="s">
        <v>4785</v>
      </c>
      <c r="F1911" s="3" t="s">
        <v>381</v>
      </c>
      <c r="G1911" s="3" t="s">
        <v>327</v>
      </c>
      <c r="H1911" s="3" t="s">
        <v>334</v>
      </c>
    </row>
    <row r="1912" spans="1:8" x14ac:dyDescent="0.25">
      <c r="A1912" s="3" t="s">
        <v>2226</v>
      </c>
      <c r="B1912" s="3" t="s">
        <v>4786</v>
      </c>
      <c r="C1912" s="3" t="s">
        <v>267</v>
      </c>
      <c r="D1912" s="3" t="s">
        <v>294</v>
      </c>
      <c r="E1912" s="3">
        <v>454.37</v>
      </c>
      <c r="F1912" s="3" t="s">
        <v>324</v>
      </c>
      <c r="G1912" s="3" t="s">
        <v>325</v>
      </c>
      <c r="H1912" s="3"/>
    </row>
    <row r="1913" spans="1:8" x14ac:dyDescent="0.25">
      <c r="A1913" s="3" t="s">
        <v>2227</v>
      </c>
      <c r="B1913" s="3" t="s">
        <v>3312</v>
      </c>
      <c r="C1913" s="3" t="s">
        <v>76</v>
      </c>
      <c r="D1913" s="3" t="s">
        <v>294</v>
      </c>
      <c r="E1913" s="3" t="s">
        <v>4787</v>
      </c>
      <c r="F1913" s="3" t="s">
        <v>2976</v>
      </c>
      <c r="G1913" s="3" t="s">
        <v>327</v>
      </c>
      <c r="H1913" s="3" t="s">
        <v>332</v>
      </c>
    </row>
    <row r="1914" spans="1:8" x14ac:dyDescent="0.25">
      <c r="A1914" s="3" t="s">
        <v>2228</v>
      </c>
      <c r="B1914" s="3" t="s">
        <v>4788</v>
      </c>
      <c r="C1914" s="3" t="s">
        <v>23</v>
      </c>
      <c r="D1914" s="3" t="s">
        <v>303</v>
      </c>
      <c r="E1914" s="3" t="s">
        <v>4789</v>
      </c>
      <c r="F1914" s="3" t="s">
        <v>324</v>
      </c>
      <c r="G1914" s="3" t="s">
        <v>327</v>
      </c>
      <c r="H1914" s="3"/>
    </row>
    <row r="1915" spans="1:8" x14ac:dyDescent="0.25">
      <c r="A1915" s="3" t="s">
        <v>398</v>
      </c>
      <c r="B1915" s="3" t="s">
        <v>3068</v>
      </c>
      <c r="C1915" s="3" t="s">
        <v>133</v>
      </c>
      <c r="D1915" s="3" t="s">
        <v>303</v>
      </c>
      <c r="E1915" s="3" t="s">
        <v>3069</v>
      </c>
      <c r="F1915" s="3" t="s">
        <v>2976</v>
      </c>
      <c r="G1915" s="3" t="s">
        <v>337</v>
      </c>
      <c r="H1915" s="3" t="s">
        <v>346</v>
      </c>
    </row>
    <row r="1916" spans="1:8" x14ac:dyDescent="0.25">
      <c r="A1916" s="3" t="s">
        <v>2229</v>
      </c>
      <c r="B1916" s="3" t="s">
        <v>4790</v>
      </c>
      <c r="C1916" s="3" t="s">
        <v>396</v>
      </c>
      <c r="D1916" s="3" t="s">
        <v>294</v>
      </c>
      <c r="E1916" s="3" t="s">
        <v>4791</v>
      </c>
      <c r="F1916" s="3" t="s">
        <v>3097</v>
      </c>
      <c r="G1916" s="3" t="s">
        <v>327</v>
      </c>
      <c r="H1916" s="3" t="s">
        <v>346</v>
      </c>
    </row>
    <row r="1917" spans="1:8" x14ac:dyDescent="0.25">
      <c r="A1917" s="3" t="s">
        <v>2230</v>
      </c>
      <c r="B1917" s="3" t="s">
        <v>4792</v>
      </c>
      <c r="C1917" s="3" t="s">
        <v>94</v>
      </c>
      <c r="D1917" s="3" t="s">
        <v>294</v>
      </c>
      <c r="E1917" s="3">
        <v>383.02</v>
      </c>
      <c r="F1917" s="3" t="s">
        <v>324</v>
      </c>
      <c r="G1917" s="3" t="s">
        <v>325</v>
      </c>
      <c r="H1917" s="3" t="s">
        <v>334</v>
      </c>
    </row>
    <row r="1918" spans="1:8" x14ac:dyDescent="0.25">
      <c r="A1918" s="3" t="s">
        <v>2231</v>
      </c>
      <c r="B1918" s="3" t="s">
        <v>3072</v>
      </c>
      <c r="C1918" s="3" t="s">
        <v>175</v>
      </c>
      <c r="D1918" s="3" t="s">
        <v>294</v>
      </c>
      <c r="E1918" s="3">
        <v>461</v>
      </c>
      <c r="F1918" s="3" t="s">
        <v>2988</v>
      </c>
      <c r="G1918" s="3" t="s">
        <v>325</v>
      </c>
      <c r="H1918" s="3" t="s">
        <v>346</v>
      </c>
    </row>
    <row r="1919" spans="1:8" x14ac:dyDescent="0.25">
      <c r="A1919" s="3" t="s">
        <v>1327</v>
      </c>
      <c r="B1919" s="3" t="s">
        <v>3796</v>
      </c>
      <c r="C1919" s="3" t="s">
        <v>255</v>
      </c>
      <c r="D1919" s="3" t="s">
        <v>306</v>
      </c>
      <c r="E1919" s="3">
        <v>702.36</v>
      </c>
      <c r="F1919" s="3" t="s">
        <v>381</v>
      </c>
      <c r="G1919" s="3" t="s">
        <v>327</v>
      </c>
      <c r="H1919" s="3" t="s">
        <v>332</v>
      </c>
    </row>
    <row r="1920" spans="1:8" x14ac:dyDescent="0.25">
      <c r="A1920" s="3" t="s">
        <v>2232</v>
      </c>
      <c r="B1920" s="3" t="s">
        <v>4793</v>
      </c>
      <c r="C1920" s="3" t="s">
        <v>60</v>
      </c>
      <c r="D1920" s="3" t="s">
        <v>294</v>
      </c>
      <c r="E1920" s="3" t="s">
        <v>4794</v>
      </c>
      <c r="F1920" s="3" t="s">
        <v>324</v>
      </c>
      <c r="G1920" s="3" t="s">
        <v>327</v>
      </c>
      <c r="H1920" s="3" t="s">
        <v>332</v>
      </c>
    </row>
    <row r="1921" spans="1:8" x14ac:dyDescent="0.25">
      <c r="A1921" s="3" t="s">
        <v>2233</v>
      </c>
      <c r="B1921" s="3" t="s">
        <v>3752</v>
      </c>
      <c r="C1921" s="3" t="s">
        <v>123</v>
      </c>
      <c r="D1921" s="3" t="s">
        <v>297</v>
      </c>
      <c r="E1921" s="3">
        <v>669.78</v>
      </c>
      <c r="F1921" s="3" t="s">
        <v>2973</v>
      </c>
      <c r="G1921" s="3" t="s">
        <v>327</v>
      </c>
      <c r="H1921" s="3"/>
    </row>
    <row r="1922" spans="1:8" x14ac:dyDescent="0.25">
      <c r="A1922" s="3" t="s">
        <v>2234</v>
      </c>
      <c r="B1922" s="3" t="s">
        <v>3915</v>
      </c>
      <c r="C1922" s="3" t="s">
        <v>221</v>
      </c>
      <c r="D1922" s="3" t="s">
        <v>312</v>
      </c>
      <c r="E1922" s="3">
        <v>722.33</v>
      </c>
      <c r="F1922" s="3" t="s">
        <v>2976</v>
      </c>
      <c r="G1922" s="3" t="s">
        <v>337</v>
      </c>
      <c r="H1922" s="3" t="s">
        <v>334</v>
      </c>
    </row>
    <row r="1923" spans="1:8" x14ac:dyDescent="0.25">
      <c r="A1923" s="3" t="s">
        <v>2235</v>
      </c>
      <c r="B1923" s="3" t="s">
        <v>4795</v>
      </c>
      <c r="C1923" s="3" t="s">
        <v>257</v>
      </c>
      <c r="D1923" s="3" t="s">
        <v>303</v>
      </c>
      <c r="E1923" s="3">
        <v>665.3</v>
      </c>
      <c r="F1923" s="3" t="s">
        <v>381</v>
      </c>
      <c r="G1923" s="3" t="s">
        <v>327</v>
      </c>
      <c r="H1923" s="3"/>
    </row>
    <row r="1924" spans="1:8" x14ac:dyDescent="0.25">
      <c r="A1924" s="3" t="s">
        <v>2236</v>
      </c>
      <c r="B1924" s="3" t="s">
        <v>3741</v>
      </c>
      <c r="C1924" s="3" t="s">
        <v>269</v>
      </c>
      <c r="D1924" s="3" t="s">
        <v>315</v>
      </c>
      <c r="E1924" s="3">
        <v>178.49</v>
      </c>
      <c r="F1924" s="3" t="s">
        <v>324</v>
      </c>
      <c r="G1924" s="3" t="s">
        <v>329</v>
      </c>
      <c r="H1924" s="3"/>
    </row>
    <row r="1925" spans="1:8" x14ac:dyDescent="0.25">
      <c r="A1925" s="3" t="s">
        <v>2237</v>
      </c>
      <c r="B1925" s="3" t="s">
        <v>3118</v>
      </c>
      <c r="C1925" s="3" t="s">
        <v>217</v>
      </c>
      <c r="D1925" s="3" t="s">
        <v>312</v>
      </c>
      <c r="E1925" s="3">
        <v>1139.8699999999999</v>
      </c>
      <c r="F1925" s="3" t="s">
        <v>2988</v>
      </c>
      <c r="G1925" s="3" t="s">
        <v>337</v>
      </c>
      <c r="H1925" s="3" t="s">
        <v>346</v>
      </c>
    </row>
    <row r="1926" spans="1:8" x14ac:dyDescent="0.25">
      <c r="A1926" s="3" t="s">
        <v>328</v>
      </c>
      <c r="B1926" s="3" t="s">
        <v>2974</v>
      </c>
      <c r="C1926" s="3" t="s">
        <v>137</v>
      </c>
      <c r="D1926" s="3" t="s">
        <v>306</v>
      </c>
      <c r="E1926" s="3" t="s">
        <v>2975</v>
      </c>
      <c r="F1926" s="3" t="s">
        <v>2976</v>
      </c>
      <c r="G1926" s="3" t="s">
        <v>329</v>
      </c>
      <c r="H1926" s="3"/>
    </row>
    <row r="1927" spans="1:8" x14ac:dyDescent="0.25">
      <c r="A1927" s="3" t="s">
        <v>2238</v>
      </c>
      <c r="B1927" s="3" t="s">
        <v>3343</v>
      </c>
      <c r="C1927" s="3" t="s">
        <v>189</v>
      </c>
      <c r="D1927" s="3" t="s">
        <v>309</v>
      </c>
      <c r="E1927" s="3">
        <v>272.82</v>
      </c>
      <c r="F1927" s="3" t="s">
        <v>324</v>
      </c>
      <c r="G1927" s="3" t="s">
        <v>325</v>
      </c>
      <c r="H1927" s="3" t="s">
        <v>332</v>
      </c>
    </row>
    <row r="1928" spans="1:8" x14ac:dyDescent="0.25">
      <c r="A1928" s="3" t="s">
        <v>2239</v>
      </c>
      <c r="B1928" s="3" t="s">
        <v>3279</v>
      </c>
      <c r="C1928" s="3" t="s">
        <v>205</v>
      </c>
      <c r="D1928" s="3" t="s">
        <v>294</v>
      </c>
      <c r="E1928" s="3" t="s">
        <v>4796</v>
      </c>
      <c r="F1928" s="3" t="s">
        <v>2976</v>
      </c>
      <c r="G1928" s="3"/>
      <c r="H1928" s="3"/>
    </row>
    <row r="1929" spans="1:8" x14ac:dyDescent="0.25">
      <c r="A1929" s="3" t="s">
        <v>2240</v>
      </c>
      <c r="B1929" s="3" t="s">
        <v>4797</v>
      </c>
      <c r="C1929" s="3" t="s">
        <v>90</v>
      </c>
      <c r="D1929" s="3" t="s">
        <v>294</v>
      </c>
      <c r="E1929" s="3">
        <v>464.77</v>
      </c>
      <c r="F1929" s="3" t="s">
        <v>381</v>
      </c>
      <c r="G1929" s="3" t="s">
        <v>325</v>
      </c>
      <c r="H1929" s="3"/>
    </row>
    <row r="1930" spans="1:8" x14ac:dyDescent="0.25">
      <c r="A1930" s="3" t="s">
        <v>2241</v>
      </c>
      <c r="B1930" s="3" t="s">
        <v>3882</v>
      </c>
      <c r="C1930" s="3" t="s">
        <v>58</v>
      </c>
      <c r="D1930" s="3" t="s">
        <v>294</v>
      </c>
      <c r="E1930" s="3">
        <v>200.48</v>
      </c>
      <c r="F1930" s="3" t="s">
        <v>324</v>
      </c>
      <c r="G1930" s="3" t="s">
        <v>329</v>
      </c>
      <c r="H1930" s="3"/>
    </row>
    <row r="1931" spans="1:8" x14ac:dyDescent="0.25">
      <c r="A1931" s="3" t="s">
        <v>2242</v>
      </c>
      <c r="B1931" s="3" t="s">
        <v>3712</v>
      </c>
      <c r="C1931" s="3" t="s">
        <v>255</v>
      </c>
      <c r="D1931" s="3" t="s">
        <v>297</v>
      </c>
      <c r="E1931" s="3">
        <v>1020.85</v>
      </c>
      <c r="F1931" s="3" t="s">
        <v>324</v>
      </c>
      <c r="G1931" s="3" t="s">
        <v>337</v>
      </c>
      <c r="H1931" s="3" t="s">
        <v>334</v>
      </c>
    </row>
    <row r="1932" spans="1:8" x14ac:dyDescent="0.25">
      <c r="A1932" s="3" t="s">
        <v>2243</v>
      </c>
      <c r="B1932" s="3" t="s">
        <v>3324</v>
      </c>
      <c r="C1932" s="3" t="s">
        <v>90</v>
      </c>
      <c r="D1932" s="3" t="s">
        <v>306</v>
      </c>
      <c r="E1932" s="3">
        <v>444.31</v>
      </c>
      <c r="F1932" s="3" t="s">
        <v>324</v>
      </c>
      <c r="G1932" s="3" t="s">
        <v>325</v>
      </c>
      <c r="H1932" s="3" t="s">
        <v>346</v>
      </c>
    </row>
    <row r="1933" spans="1:8" x14ac:dyDescent="0.25">
      <c r="A1933" s="3" t="s">
        <v>2244</v>
      </c>
      <c r="B1933" s="3" t="s">
        <v>3331</v>
      </c>
      <c r="C1933" s="3" t="s">
        <v>151</v>
      </c>
      <c r="D1933" s="3" t="s">
        <v>294</v>
      </c>
      <c r="E1933" s="3">
        <v>269.63</v>
      </c>
      <c r="F1933" s="3" t="s">
        <v>2988</v>
      </c>
      <c r="G1933" s="3" t="s">
        <v>325</v>
      </c>
      <c r="H1933" s="3"/>
    </row>
    <row r="1934" spans="1:8" x14ac:dyDescent="0.25">
      <c r="A1934" s="3" t="s">
        <v>2245</v>
      </c>
      <c r="B1934" s="3" t="s">
        <v>4798</v>
      </c>
      <c r="C1934" s="3" t="s">
        <v>94</v>
      </c>
      <c r="D1934" s="3" t="s">
        <v>294</v>
      </c>
      <c r="E1934" s="3">
        <v>714.45</v>
      </c>
      <c r="F1934" s="3" t="s">
        <v>331</v>
      </c>
      <c r="G1934" s="3" t="s">
        <v>337</v>
      </c>
      <c r="H1934" s="3"/>
    </row>
    <row r="1935" spans="1:8" x14ac:dyDescent="0.25">
      <c r="A1935" s="3" t="s">
        <v>2246</v>
      </c>
      <c r="B1935" s="3" t="s">
        <v>4737</v>
      </c>
      <c r="C1935" s="3" t="s">
        <v>64</v>
      </c>
      <c r="D1935" s="3" t="s">
        <v>306</v>
      </c>
      <c r="E1935" s="3" t="s">
        <v>4799</v>
      </c>
      <c r="F1935" s="3" t="s">
        <v>349</v>
      </c>
      <c r="G1935" s="3" t="s">
        <v>327</v>
      </c>
      <c r="H1935" s="3"/>
    </row>
    <row r="1936" spans="1:8" x14ac:dyDescent="0.25">
      <c r="A1936" s="3" t="s">
        <v>2247</v>
      </c>
      <c r="B1936" s="3" t="s">
        <v>4788</v>
      </c>
      <c r="C1936" s="3" t="s">
        <v>109</v>
      </c>
      <c r="D1936" s="3" t="s">
        <v>306</v>
      </c>
      <c r="E1936" s="3">
        <v>357.7</v>
      </c>
      <c r="F1936" s="3" t="s">
        <v>2995</v>
      </c>
      <c r="G1936" s="3" t="s">
        <v>327</v>
      </c>
      <c r="H1936" s="3"/>
    </row>
    <row r="1937" spans="1:8" x14ac:dyDescent="0.25">
      <c r="A1937" s="3" t="s">
        <v>2248</v>
      </c>
      <c r="B1937" s="3" t="s">
        <v>3227</v>
      </c>
      <c r="C1937" s="3" t="s">
        <v>72</v>
      </c>
      <c r="D1937" s="3" t="s">
        <v>303</v>
      </c>
      <c r="E1937" s="3">
        <v>465.22</v>
      </c>
      <c r="F1937" s="3" t="s">
        <v>324</v>
      </c>
      <c r="G1937" s="3" t="s">
        <v>327</v>
      </c>
      <c r="H1937" s="3" t="s">
        <v>332</v>
      </c>
    </row>
    <row r="1938" spans="1:8" x14ac:dyDescent="0.25">
      <c r="A1938" s="3" t="s">
        <v>2249</v>
      </c>
      <c r="B1938" s="3" t="s">
        <v>3471</v>
      </c>
      <c r="C1938" s="3" t="s">
        <v>6</v>
      </c>
      <c r="D1938" s="3" t="s">
        <v>294</v>
      </c>
      <c r="E1938" s="3">
        <v>962.25</v>
      </c>
      <c r="F1938" s="3" t="s">
        <v>2995</v>
      </c>
      <c r="G1938" s="3" t="s">
        <v>327</v>
      </c>
      <c r="H1938" s="3"/>
    </row>
    <row r="1939" spans="1:8" x14ac:dyDescent="0.25">
      <c r="A1939" s="3" t="s">
        <v>2250</v>
      </c>
      <c r="B1939" s="3" t="s">
        <v>4610</v>
      </c>
      <c r="C1939" s="3" t="s">
        <v>113</v>
      </c>
      <c r="D1939" s="3" t="s">
        <v>312</v>
      </c>
      <c r="E1939" s="3" t="s">
        <v>4800</v>
      </c>
      <c r="F1939" s="3" t="s">
        <v>3021</v>
      </c>
      <c r="G1939" s="3" t="s">
        <v>329</v>
      </c>
      <c r="H1939" s="3"/>
    </row>
    <row r="1940" spans="1:8" x14ac:dyDescent="0.25">
      <c r="A1940" s="3" t="s">
        <v>2251</v>
      </c>
      <c r="B1940" s="3" t="s">
        <v>4371</v>
      </c>
      <c r="C1940" s="3" t="s">
        <v>35</v>
      </c>
      <c r="D1940" s="3" t="s">
        <v>306</v>
      </c>
      <c r="E1940" s="3">
        <v>463.64</v>
      </c>
      <c r="F1940" s="3" t="s">
        <v>324</v>
      </c>
      <c r="G1940" s="3" t="s">
        <v>325</v>
      </c>
      <c r="H1940" s="3" t="s">
        <v>346</v>
      </c>
    </row>
    <row r="1941" spans="1:8" x14ac:dyDescent="0.25">
      <c r="A1941" s="3" t="s">
        <v>2252</v>
      </c>
      <c r="B1941" s="3" t="s">
        <v>3055</v>
      </c>
      <c r="C1941" s="3" t="s">
        <v>257</v>
      </c>
      <c r="D1941" s="3" t="s">
        <v>312</v>
      </c>
      <c r="E1941" s="3">
        <v>300.73</v>
      </c>
      <c r="F1941" s="3" t="s">
        <v>331</v>
      </c>
      <c r="G1941" s="3" t="s">
        <v>325</v>
      </c>
      <c r="H1941" s="3" t="s">
        <v>332</v>
      </c>
    </row>
    <row r="1942" spans="1:8" x14ac:dyDescent="0.25">
      <c r="A1942" s="3" t="s">
        <v>2253</v>
      </c>
      <c r="B1942" s="3" t="s">
        <v>3383</v>
      </c>
      <c r="C1942" s="3" t="s">
        <v>257</v>
      </c>
      <c r="D1942" s="3" t="s">
        <v>297</v>
      </c>
      <c r="E1942" s="3" t="s">
        <v>4801</v>
      </c>
      <c r="F1942" s="3" t="s">
        <v>381</v>
      </c>
      <c r="G1942" s="3" t="s">
        <v>325</v>
      </c>
      <c r="H1942" s="3"/>
    </row>
    <row r="1943" spans="1:8" x14ac:dyDescent="0.25">
      <c r="A1943" s="3" t="s">
        <v>2254</v>
      </c>
      <c r="B1943" s="3" t="s">
        <v>4802</v>
      </c>
      <c r="C1943" s="3" t="s">
        <v>19</v>
      </c>
      <c r="D1943" s="3" t="s">
        <v>294</v>
      </c>
      <c r="E1943" s="3" t="s">
        <v>4803</v>
      </c>
      <c r="F1943" s="3" t="s">
        <v>324</v>
      </c>
      <c r="G1943" s="3" t="s">
        <v>327</v>
      </c>
      <c r="H1943" s="3"/>
    </row>
    <row r="1944" spans="1:8" x14ac:dyDescent="0.25">
      <c r="A1944" s="3" t="s">
        <v>897</v>
      </c>
      <c r="B1944" s="3" t="s">
        <v>3677</v>
      </c>
      <c r="C1944" s="3" t="s">
        <v>275</v>
      </c>
      <c r="D1944" s="3" t="s">
        <v>303</v>
      </c>
      <c r="E1944" s="3">
        <v>-469.98</v>
      </c>
      <c r="F1944" s="3" t="s">
        <v>349</v>
      </c>
      <c r="G1944" s="3" t="s">
        <v>327</v>
      </c>
      <c r="H1944" s="3"/>
    </row>
    <row r="1945" spans="1:8" x14ac:dyDescent="0.25">
      <c r="A1945" s="3" t="s">
        <v>2255</v>
      </c>
      <c r="B1945" s="3" t="s">
        <v>3547</v>
      </c>
      <c r="C1945" s="3" t="s">
        <v>26</v>
      </c>
      <c r="D1945" s="3" t="s">
        <v>303</v>
      </c>
      <c r="E1945" s="3">
        <v>249.72</v>
      </c>
      <c r="F1945" s="3" t="s">
        <v>2997</v>
      </c>
      <c r="G1945" s="3"/>
      <c r="H1945" s="3"/>
    </row>
    <row r="1946" spans="1:8" x14ac:dyDescent="0.25">
      <c r="A1946" s="3" t="s">
        <v>2256</v>
      </c>
      <c r="B1946" s="3" t="s">
        <v>3032</v>
      </c>
      <c r="C1946" s="3" t="s">
        <v>253</v>
      </c>
      <c r="D1946" s="3" t="s">
        <v>303</v>
      </c>
      <c r="E1946" s="3" t="s">
        <v>4804</v>
      </c>
      <c r="F1946" s="3" t="s">
        <v>324</v>
      </c>
      <c r="G1946" s="3" t="s">
        <v>337</v>
      </c>
      <c r="H1946" s="3" t="s">
        <v>334</v>
      </c>
    </row>
    <row r="1947" spans="1:8" x14ac:dyDescent="0.25">
      <c r="A1947" s="3" t="s">
        <v>2257</v>
      </c>
      <c r="B1947" s="3" t="s">
        <v>4805</v>
      </c>
      <c r="C1947" s="3" t="s">
        <v>76</v>
      </c>
      <c r="D1947" s="3" t="s">
        <v>306</v>
      </c>
      <c r="E1947" s="3">
        <v>139.27000000000001</v>
      </c>
      <c r="F1947" s="3" t="s">
        <v>324</v>
      </c>
      <c r="G1947" s="3"/>
      <c r="H1947" s="3"/>
    </row>
    <row r="1948" spans="1:8" x14ac:dyDescent="0.25">
      <c r="A1948" s="3" t="s">
        <v>2258</v>
      </c>
      <c r="B1948" s="3" t="s">
        <v>4806</v>
      </c>
      <c r="C1948" s="3" t="s">
        <v>44</v>
      </c>
      <c r="D1948" s="3" t="s">
        <v>315</v>
      </c>
      <c r="E1948" s="3">
        <v>416.29</v>
      </c>
      <c r="F1948" s="3" t="s">
        <v>324</v>
      </c>
      <c r="G1948" s="3" t="s">
        <v>327</v>
      </c>
      <c r="H1948" s="3"/>
    </row>
    <row r="1949" spans="1:8" x14ac:dyDescent="0.25">
      <c r="A1949" s="3" t="s">
        <v>2259</v>
      </c>
      <c r="B1949" s="3" t="s">
        <v>4435</v>
      </c>
      <c r="C1949" s="3" t="s">
        <v>109</v>
      </c>
      <c r="D1949" s="3" t="s">
        <v>294</v>
      </c>
      <c r="E1949" s="3" t="s">
        <v>4807</v>
      </c>
      <c r="F1949" s="3" t="s">
        <v>2988</v>
      </c>
      <c r="G1949" s="3" t="s">
        <v>327</v>
      </c>
      <c r="H1949" s="3" t="s">
        <v>332</v>
      </c>
    </row>
    <row r="1950" spans="1:8" x14ac:dyDescent="0.25">
      <c r="A1950" s="3" t="s">
        <v>2260</v>
      </c>
      <c r="B1950" s="3" t="s">
        <v>4808</v>
      </c>
      <c r="C1950" s="3" t="s">
        <v>151</v>
      </c>
      <c r="D1950" s="3" t="s">
        <v>303</v>
      </c>
      <c r="E1950" s="3" t="s">
        <v>4809</v>
      </c>
      <c r="F1950" s="3" t="s">
        <v>324</v>
      </c>
      <c r="G1950" s="3" t="s">
        <v>337</v>
      </c>
      <c r="H1950" s="3"/>
    </row>
    <row r="1951" spans="1:8" x14ac:dyDescent="0.25">
      <c r="A1951" s="3" t="s">
        <v>2261</v>
      </c>
      <c r="B1951" s="3" t="s">
        <v>3894</v>
      </c>
      <c r="C1951" s="3" t="s">
        <v>263</v>
      </c>
      <c r="D1951" s="3" t="s">
        <v>294</v>
      </c>
      <c r="E1951" s="3" t="s">
        <v>4810</v>
      </c>
      <c r="F1951" s="3" t="s">
        <v>324</v>
      </c>
      <c r="G1951" s="3"/>
      <c r="H1951" s="3" t="s">
        <v>346</v>
      </c>
    </row>
    <row r="1952" spans="1:8" x14ac:dyDescent="0.25">
      <c r="A1952" s="3" t="s">
        <v>2262</v>
      </c>
      <c r="B1952" s="3" t="s">
        <v>3124</v>
      </c>
      <c r="C1952" s="3" t="s">
        <v>243</v>
      </c>
      <c r="D1952" s="3" t="s">
        <v>315</v>
      </c>
      <c r="E1952" s="3" t="s">
        <v>4811</v>
      </c>
      <c r="F1952" s="3" t="s">
        <v>324</v>
      </c>
      <c r="G1952" s="3" t="s">
        <v>327</v>
      </c>
      <c r="H1952" s="3" t="s">
        <v>332</v>
      </c>
    </row>
    <row r="1953" spans="1:8" x14ac:dyDescent="0.25">
      <c r="A1953" s="3" t="s">
        <v>2263</v>
      </c>
      <c r="B1953" s="3" t="s">
        <v>3908</v>
      </c>
      <c r="C1953" s="3" t="s">
        <v>88</v>
      </c>
      <c r="D1953" s="3" t="s">
        <v>297</v>
      </c>
      <c r="E1953" s="3">
        <v>413.4</v>
      </c>
      <c r="F1953" s="3" t="s">
        <v>324</v>
      </c>
      <c r="G1953" s="3" t="s">
        <v>337</v>
      </c>
      <c r="H1953" s="3" t="s">
        <v>346</v>
      </c>
    </row>
    <row r="1954" spans="1:8" x14ac:dyDescent="0.25">
      <c r="A1954" s="3" t="s">
        <v>2264</v>
      </c>
      <c r="B1954" s="3" t="s">
        <v>4385</v>
      </c>
      <c r="C1954" s="3" t="s">
        <v>129</v>
      </c>
      <c r="D1954" s="3" t="s">
        <v>312</v>
      </c>
      <c r="E1954" s="3">
        <v>214.91</v>
      </c>
      <c r="F1954" s="3" t="s">
        <v>324</v>
      </c>
      <c r="G1954" s="3" t="s">
        <v>325</v>
      </c>
      <c r="H1954" s="3" t="s">
        <v>346</v>
      </c>
    </row>
    <row r="1955" spans="1:8" x14ac:dyDescent="0.25">
      <c r="A1955" s="3" t="s">
        <v>2265</v>
      </c>
      <c r="B1955" s="3" t="s">
        <v>3276</v>
      </c>
      <c r="C1955" s="3" t="s">
        <v>269</v>
      </c>
      <c r="D1955" s="3" t="s">
        <v>312</v>
      </c>
      <c r="E1955" s="3" t="s">
        <v>4812</v>
      </c>
      <c r="F1955" s="3" t="s">
        <v>2988</v>
      </c>
      <c r="G1955" s="3" t="s">
        <v>325</v>
      </c>
      <c r="H1955" s="3" t="s">
        <v>334</v>
      </c>
    </row>
    <row r="1956" spans="1:8" x14ac:dyDescent="0.25">
      <c r="A1956" s="3" t="s">
        <v>2266</v>
      </c>
      <c r="B1956" s="3" t="s">
        <v>4053</v>
      </c>
      <c r="C1956" s="3" t="s">
        <v>235</v>
      </c>
      <c r="D1956" s="3" t="s">
        <v>306</v>
      </c>
      <c r="E1956" s="3" t="s">
        <v>4813</v>
      </c>
      <c r="F1956" s="3" t="s">
        <v>2988</v>
      </c>
      <c r="G1956" s="3" t="s">
        <v>337</v>
      </c>
      <c r="H1956" s="3" t="s">
        <v>332</v>
      </c>
    </row>
    <row r="1957" spans="1:8" x14ac:dyDescent="0.25">
      <c r="A1957" s="3" t="s">
        <v>2267</v>
      </c>
      <c r="B1957" s="3" t="s">
        <v>4814</v>
      </c>
      <c r="C1957" s="3" t="s">
        <v>125</v>
      </c>
      <c r="D1957" s="3" t="s">
        <v>300</v>
      </c>
      <c r="E1957" s="3">
        <v>118.39</v>
      </c>
      <c r="F1957" s="3" t="s">
        <v>324</v>
      </c>
      <c r="G1957" s="3" t="s">
        <v>329</v>
      </c>
      <c r="H1957" s="3"/>
    </row>
    <row r="1958" spans="1:8" x14ac:dyDescent="0.25">
      <c r="A1958" s="3" t="s">
        <v>2268</v>
      </c>
      <c r="B1958" s="3" t="s">
        <v>4815</v>
      </c>
      <c r="C1958" s="3" t="s">
        <v>151</v>
      </c>
      <c r="D1958" s="3" t="s">
        <v>309</v>
      </c>
      <c r="E1958" s="3" t="s">
        <v>4816</v>
      </c>
      <c r="F1958" s="3" t="s">
        <v>324</v>
      </c>
      <c r="G1958" s="3" t="s">
        <v>329</v>
      </c>
      <c r="H1958" s="3" t="s">
        <v>334</v>
      </c>
    </row>
    <row r="1959" spans="1:8" x14ac:dyDescent="0.25">
      <c r="A1959" s="3" t="s">
        <v>2269</v>
      </c>
      <c r="B1959" s="3" t="s">
        <v>3675</v>
      </c>
      <c r="C1959" s="3" t="s">
        <v>191</v>
      </c>
      <c r="D1959" s="3" t="s">
        <v>300</v>
      </c>
      <c r="E1959" s="3" t="s">
        <v>4817</v>
      </c>
      <c r="F1959" s="3" t="s">
        <v>349</v>
      </c>
      <c r="G1959" s="3" t="s">
        <v>327</v>
      </c>
      <c r="H1959" s="3" t="s">
        <v>332</v>
      </c>
    </row>
    <row r="1960" spans="1:8" x14ac:dyDescent="0.25">
      <c r="A1960" s="3" t="s">
        <v>2270</v>
      </c>
      <c r="B1960" s="3" t="s">
        <v>4242</v>
      </c>
      <c r="C1960" s="3" t="s">
        <v>185</v>
      </c>
      <c r="D1960" s="3" t="s">
        <v>294</v>
      </c>
      <c r="E1960" s="3">
        <v>848.22</v>
      </c>
      <c r="F1960" s="3" t="s">
        <v>381</v>
      </c>
      <c r="G1960" s="3" t="s">
        <v>325</v>
      </c>
      <c r="H1960" s="3" t="s">
        <v>332</v>
      </c>
    </row>
    <row r="1961" spans="1:8" x14ac:dyDescent="0.25">
      <c r="A1961" s="3" t="s">
        <v>2271</v>
      </c>
      <c r="B1961" s="3" t="s">
        <v>4818</v>
      </c>
      <c r="C1961" s="3" t="s">
        <v>15</v>
      </c>
      <c r="D1961" s="3" t="s">
        <v>294</v>
      </c>
      <c r="E1961" s="3">
        <v>607.64</v>
      </c>
      <c r="F1961" s="3" t="s">
        <v>2976</v>
      </c>
      <c r="G1961" s="3" t="s">
        <v>325</v>
      </c>
      <c r="H1961" s="3"/>
    </row>
    <row r="1962" spans="1:8" x14ac:dyDescent="0.25">
      <c r="A1962" s="3" t="s">
        <v>2272</v>
      </c>
      <c r="B1962" s="3" t="s">
        <v>4206</v>
      </c>
      <c r="C1962" s="3" t="s">
        <v>195</v>
      </c>
      <c r="D1962" s="3" t="s">
        <v>294</v>
      </c>
      <c r="E1962" s="3">
        <v>169.49</v>
      </c>
      <c r="F1962" s="3" t="s">
        <v>324</v>
      </c>
      <c r="G1962" s="3" t="s">
        <v>327</v>
      </c>
      <c r="H1962" s="3" t="s">
        <v>334</v>
      </c>
    </row>
    <row r="1963" spans="1:8" x14ac:dyDescent="0.25">
      <c r="A1963" s="3" t="s">
        <v>2273</v>
      </c>
      <c r="B1963" s="3" t="s">
        <v>3291</v>
      </c>
      <c r="C1963" s="3" t="s">
        <v>243</v>
      </c>
      <c r="D1963" s="3" t="s">
        <v>306</v>
      </c>
      <c r="E1963" s="3">
        <v>709.89</v>
      </c>
      <c r="F1963" s="3" t="s">
        <v>2988</v>
      </c>
      <c r="G1963" s="3" t="s">
        <v>337</v>
      </c>
      <c r="H1963" s="3"/>
    </row>
    <row r="1964" spans="1:8" x14ac:dyDescent="0.25">
      <c r="A1964" s="3" t="s">
        <v>2274</v>
      </c>
      <c r="B1964" s="3" t="s">
        <v>4819</v>
      </c>
      <c r="C1964" s="3" t="s">
        <v>247</v>
      </c>
      <c r="D1964" s="3" t="s">
        <v>303</v>
      </c>
      <c r="E1964" s="3">
        <v>495.74</v>
      </c>
      <c r="F1964" s="3" t="s">
        <v>324</v>
      </c>
      <c r="G1964" s="3" t="s">
        <v>325</v>
      </c>
      <c r="H1964" s="3"/>
    </row>
    <row r="1965" spans="1:8" x14ac:dyDescent="0.25">
      <c r="A1965" s="3" t="s">
        <v>2275</v>
      </c>
      <c r="B1965" s="3" t="s">
        <v>3138</v>
      </c>
      <c r="C1965" s="3" t="s">
        <v>62</v>
      </c>
      <c r="D1965" s="3" t="s">
        <v>294</v>
      </c>
      <c r="E1965" s="3" t="s">
        <v>4820</v>
      </c>
      <c r="F1965" s="3" t="s">
        <v>2995</v>
      </c>
      <c r="G1965" s="3" t="s">
        <v>327</v>
      </c>
      <c r="H1965" s="3" t="s">
        <v>332</v>
      </c>
    </row>
    <row r="1966" spans="1:8" x14ac:dyDescent="0.25">
      <c r="A1966" s="3" t="s">
        <v>2276</v>
      </c>
      <c r="B1966" s="3" t="s">
        <v>4142</v>
      </c>
      <c r="C1966" s="3" t="s">
        <v>121</v>
      </c>
      <c r="D1966" s="3" t="s">
        <v>315</v>
      </c>
      <c r="E1966" s="3">
        <v>198.9</v>
      </c>
      <c r="F1966" s="3" t="s">
        <v>324</v>
      </c>
      <c r="G1966" s="3"/>
      <c r="H1966" s="3" t="s">
        <v>346</v>
      </c>
    </row>
    <row r="1967" spans="1:8" x14ac:dyDescent="0.25">
      <c r="A1967" s="3" t="s">
        <v>2277</v>
      </c>
      <c r="B1967" s="3" t="s">
        <v>4134</v>
      </c>
      <c r="C1967" s="3" t="s">
        <v>245</v>
      </c>
      <c r="D1967" s="3" t="s">
        <v>294</v>
      </c>
      <c r="E1967" s="3">
        <v>951.32</v>
      </c>
      <c r="F1967" s="3" t="s">
        <v>324</v>
      </c>
      <c r="G1967" s="3" t="s">
        <v>329</v>
      </c>
      <c r="H1967" s="3" t="s">
        <v>332</v>
      </c>
    </row>
    <row r="1968" spans="1:8" x14ac:dyDescent="0.25">
      <c r="A1968" s="3" t="s">
        <v>2278</v>
      </c>
      <c r="B1968" s="3" t="s">
        <v>3969</v>
      </c>
      <c r="C1968" s="3" t="s">
        <v>42</v>
      </c>
      <c r="D1968" s="3" t="s">
        <v>315</v>
      </c>
      <c r="E1968" s="3">
        <v>380.63</v>
      </c>
      <c r="F1968" s="3" t="s">
        <v>324</v>
      </c>
      <c r="G1968" s="3" t="s">
        <v>327</v>
      </c>
      <c r="H1968" s="3" t="s">
        <v>334</v>
      </c>
    </row>
    <row r="1969" spans="1:8" x14ac:dyDescent="0.25">
      <c r="A1969" s="3" t="s">
        <v>2279</v>
      </c>
      <c r="B1969" s="3" t="s">
        <v>4821</v>
      </c>
      <c r="C1969" s="3" t="s">
        <v>125</v>
      </c>
      <c r="D1969" s="3" t="s">
        <v>300</v>
      </c>
      <c r="E1969" s="3">
        <v>328.14</v>
      </c>
      <c r="F1969" s="3" t="s">
        <v>324</v>
      </c>
      <c r="G1969" s="3" t="s">
        <v>337</v>
      </c>
      <c r="H1969" s="3"/>
    </row>
    <row r="1970" spans="1:8" x14ac:dyDescent="0.25">
      <c r="A1970" s="3" t="s">
        <v>2280</v>
      </c>
      <c r="B1970" s="3" t="s">
        <v>3202</v>
      </c>
      <c r="C1970" s="3" t="s">
        <v>247</v>
      </c>
      <c r="D1970" s="3" t="s">
        <v>294</v>
      </c>
      <c r="E1970" s="3">
        <v>1029.55</v>
      </c>
      <c r="F1970" s="3" t="s">
        <v>2988</v>
      </c>
      <c r="G1970" s="3" t="s">
        <v>325</v>
      </c>
      <c r="H1970" s="3"/>
    </row>
    <row r="1971" spans="1:8" x14ac:dyDescent="0.25">
      <c r="A1971" s="3" t="s">
        <v>2281</v>
      </c>
      <c r="B1971" s="3" t="s">
        <v>4822</v>
      </c>
      <c r="C1971" s="3" t="s">
        <v>161</v>
      </c>
      <c r="D1971" s="3" t="s">
        <v>297</v>
      </c>
      <c r="E1971" s="3" t="s">
        <v>4823</v>
      </c>
      <c r="F1971" s="3" t="s">
        <v>324</v>
      </c>
      <c r="G1971" s="3" t="s">
        <v>325</v>
      </c>
      <c r="H1971" s="3" t="s">
        <v>334</v>
      </c>
    </row>
    <row r="1972" spans="1:8" x14ac:dyDescent="0.25">
      <c r="A1972" s="3" t="s">
        <v>2282</v>
      </c>
      <c r="B1972" s="3" t="s">
        <v>4362</v>
      </c>
      <c r="C1972" s="3" t="s">
        <v>133</v>
      </c>
      <c r="D1972" s="3" t="s">
        <v>294</v>
      </c>
      <c r="E1972" s="3">
        <v>129.83000000000001</v>
      </c>
      <c r="F1972" s="3" t="s">
        <v>2995</v>
      </c>
      <c r="G1972" s="3" t="s">
        <v>327</v>
      </c>
      <c r="H1972" s="3" t="s">
        <v>346</v>
      </c>
    </row>
    <row r="1973" spans="1:8" x14ac:dyDescent="0.25">
      <c r="A1973" s="3" t="s">
        <v>2283</v>
      </c>
      <c r="B1973" s="3" t="s">
        <v>4142</v>
      </c>
      <c r="C1973" s="3" t="s">
        <v>131</v>
      </c>
      <c r="D1973" s="3" t="s">
        <v>300</v>
      </c>
      <c r="E1973" s="3">
        <v>871</v>
      </c>
      <c r="F1973" s="3" t="s">
        <v>381</v>
      </c>
      <c r="G1973" s="3" t="s">
        <v>329</v>
      </c>
      <c r="H1973" s="3" t="s">
        <v>332</v>
      </c>
    </row>
    <row r="1974" spans="1:8" x14ac:dyDescent="0.25">
      <c r="A1974" s="3" t="s">
        <v>2284</v>
      </c>
      <c r="B1974" s="3" t="s">
        <v>4824</v>
      </c>
      <c r="C1974" s="3" t="s">
        <v>113</v>
      </c>
      <c r="D1974" s="3" t="s">
        <v>297</v>
      </c>
      <c r="E1974" s="3" t="s">
        <v>4825</v>
      </c>
      <c r="F1974" s="3" t="s">
        <v>2976</v>
      </c>
      <c r="G1974" s="3" t="s">
        <v>325</v>
      </c>
      <c r="H1974" s="3"/>
    </row>
    <row r="1975" spans="1:8" x14ac:dyDescent="0.25">
      <c r="A1975" s="3" t="s">
        <v>2285</v>
      </c>
      <c r="B1975" s="3" t="s">
        <v>3212</v>
      </c>
      <c r="C1975" s="3" t="s">
        <v>94</v>
      </c>
      <c r="D1975" s="3" t="s">
        <v>303</v>
      </c>
      <c r="E1975" s="3" t="s">
        <v>4826</v>
      </c>
      <c r="F1975" s="3" t="s">
        <v>2976</v>
      </c>
      <c r="G1975" s="3" t="s">
        <v>325</v>
      </c>
      <c r="H1975" s="3"/>
    </row>
    <row r="1976" spans="1:8" x14ac:dyDescent="0.25">
      <c r="A1976" s="3" t="s">
        <v>2286</v>
      </c>
      <c r="B1976" s="3" t="s">
        <v>3420</v>
      </c>
      <c r="C1976" s="3" t="s">
        <v>217</v>
      </c>
      <c r="D1976" s="3" t="s">
        <v>306</v>
      </c>
      <c r="E1976" s="3">
        <v>912.73</v>
      </c>
      <c r="F1976" s="3" t="s">
        <v>324</v>
      </c>
      <c r="G1976" s="3" t="s">
        <v>325</v>
      </c>
      <c r="H1976" s="3"/>
    </row>
    <row r="1977" spans="1:8" x14ac:dyDescent="0.25">
      <c r="A1977" s="3" t="s">
        <v>2287</v>
      </c>
      <c r="B1977" s="3" t="s">
        <v>4341</v>
      </c>
      <c r="C1977" s="3" t="s">
        <v>271</v>
      </c>
      <c r="D1977" s="3" t="s">
        <v>312</v>
      </c>
      <c r="E1977" s="3">
        <v>173.18</v>
      </c>
      <c r="F1977" s="3" t="s">
        <v>324</v>
      </c>
      <c r="G1977" s="3"/>
      <c r="H1977" s="3" t="s">
        <v>334</v>
      </c>
    </row>
    <row r="1978" spans="1:8" x14ac:dyDescent="0.25">
      <c r="A1978" s="3" t="s">
        <v>2288</v>
      </c>
      <c r="B1978" s="3" t="s">
        <v>3364</v>
      </c>
      <c r="C1978" s="3" t="s">
        <v>199</v>
      </c>
      <c r="D1978" s="3" t="s">
        <v>306</v>
      </c>
      <c r="E1978" s="3">
        <v>1012.68</v>
      </c>
      <c r="F1978" s="3" t="s">
        <v>324</v>
      </c>
      <c r="G1978" s="3"/>
      <c r="H1978" s="3"/>
    </row>
    <row r="1979" spans="1:8" x14ac:dyDescent="0.25">
      <c r="A1979" s="3" t="s">
        <v>2289</v>
      </c>
      <c r="B1979" s="3" t="s">
        <v>3767</v>
      </c>
      <c r="C1979" s="3" t="s">
        <v>221</v>
      </c>
      <c r="D1979" s="3" t="s">
        <v>300</v>
      </c>
      <c r="E1979" s="3" t="s">
        <v>4827</v>
      </c>
      <c r="F1979" s="3" t="s">
        <v>324</v>
      </c>
      <c r="G1979" s="3" t="s">
        <v>327</v>
      </c>
      <c r="H1979" s="3"/>
    </row>
    <row r="1980" spans="1:8" x14ac:dyDescent="0.25">
      <c r="A1980" s="3" t="s">
        <v>856</v>
      </c>
      <c r="B1980" s="3" t="s">
        <v>3634</v>
      </c>
      <c r="C1980" s="3" t="s">
        <v>193</v>
      </c>
      <c r="D1980" s="3" t="s">
        <v>306</v>
      </c>
      <c r="E1980" s="3">
        <v>449.49</v>
      </c>
      <c r="F1980" s="3" t="s">
        <v>2973</v>
      </c>
      <c r="G1980" s="3" t="s">
        <v>329</v>
      </c>
      <c r="H1980" s="3"/>
    </row>
    <row r="1981" spans="1:8" x14ac:dyDescent="0.25">
      <c r="A1981" s="3" t="s">
        <v>2290</v>
      </c>
      <c r="B1981" s="3" t="s">
        <v>4272</v>
      </c>
      <c r="C1981" s="3" t="s">
        <v>213</v>
      </c>
      <c r="D1981" s="3" t="s">
        <v>309</v>
      </c>
      <c r="E1981" s="3">
        <v>292.37</v>
      </c>
      <c r="F1981" s="3" t="s">
        <v>324</v>
      </c>
      <c r="G1981" s="3" t="s">
        <v>329</v>
      </c>
      <c r="H1981" s="3"/>
    </row>
    <row r="1982" spans="1:8" x14ac:dyDescent="0.25">
      <c r="A1982" s="3" t="s">
        <v>2291</v>
      </c>
      <c r="B1982" s="3" t="s">
        <v>4630</v>
      </c>
      <c r="C1982" s="3" t="s">
        <v>153</v>
      </c>
      <c r="D1982" s="3" t="s">
        <v>309</v>
      </c>
      <c r="E1982" s="3" t="s">
        <v>4828</v>
      </c>
      <c r="F1982" s="3" t="s">
        <v>324</v>
      </c>
      <c r="G1982" s="3" t="s">
        <v>325</v>
      </c>
      <c r="H1982" s="3"/>
    </row>
    <row r="1983" spans="1:8" x14ac:dyDescent="0.25">
      <c r="A1983" s="3" t="s">
        <v>2292</v>
      </c>
      <c r="B1983" s="3" t="s">
        <v>4018</v>
      </c>
      <c r="C1983" s="3" t="s">
        <v>55</v>
      </c>
      <c r="D1983" s="3" t="s">
        <v>297</v>
      </c>
      <c r="E1983" s="3" t="s">
        <v>4829</v>
      </c>
      <c r="F1983" s="3" t="s">
        <v>3097</v>
      </c>
      <c r="G1983" s="3" t="s">
        <v>327</v>
      </c>
      <c r="H1983" s="3" t="s">
        <v>332</v>
      </c>
    </row>
    <row r="1984" spans="1:8" x14ac:dyDescent="0.25">
      <c r="A1984" s="3" t="s">
        <v>2293</v>
      </c>
      <c r="B1984" s="3" t="s">
        <v>4830</v>
      </c>
      <c r="C1984" s="3" t="s">
        <v>72</v>
      </c>
      <c r="D1984" s="3" t="s">
        <v>309</v>
      </c>
      <c r="E1984" s="3" t="s">
        <v>4831</v>
      </c>
      <c r="F1984" s="3" t="s">
        <v>324</v>
      </c>
      <c r="G1984" s="3" t="s">
        <v>327</v>
      </c>
      <c r="H1984" s="3" t="s">
        <v>332</v>
      </c>
    </row>
    <row r="1985" spans="1:8" x14ac:dyDescent="0.25">
      <c r="A1985" s="3" t="s">
        <v>2294</v>
      </c>
      <c r="B1985" s="3" t="s">
        <v>4832</v>
      </c>
      <c r="C1985" s="3" t="s">
        <v>203</v>
      </c>
      <c r="D1985" s="3" t="s">
        <v>300</v>
      </c>
      <c r="E1985" s="3" t="s">
        <v>4833</v>
      </c>
      <c r="F1985" s="3" t="s">
        <v>324</v>
      </c>
      <c r="G1985" s="3" t="s">
        <v>329</v>
      </c>
      <c r="H1985" s="3"/>
    </row>
    <row r="1986" spans="1:8" x14ac:dyDescent="0.25">
      <c r="A1986" s="3" t="s">
        <v>2295</v>
      </c>
      <c r="B1986" s="3" t="s">
        <v>4834</v>
      </c>
      <c r="C1986" s="3" t="s">
        <v>159</v>
      </c>
      <c r="D1986" s="3" t="s">
        <v>294</v>
      </c>
      <c r="E1986" s="3">
        <v>366.83</v>
      </c>
      <c r="F1986" s="3" t="s">
        <v>2973</v>
      </c>
      <c r="G1986" s="3" t="s">
        <v>327</v>
      </c>
      <c r="H1986" s="3"/>
    </row>
    <row r="1987" spans="1:8" x14ac:dyDescent="0.25">
      <c r="A1987" s="3" t="s">
        <v>2296</v>
      </c>
      <c r="B1987" s="3" t="s">
        <v>3961</v>
      </c>
      <c r="C1987" s="3" t="s">
        <v>221</v>
      </c>
      <c r="D1987" s="3" t="s">
        <v>294</v>
      </c>
      <c r="E1987" s="3" t="s">
        <v>4835</v>
      </c>
      <c r="F1987" s="3" t="s">
        <v>3157</v>
      </c>
      <c r="G1987" s="3" t="s">
        <v>337</v>
      </c>
      <c r="H1987" s="3"/>
    </row>
    <row r="1988" spans="1:8" x14ac:dyDescent="0.25">
      <c r="A1988" s="3" t="s">
        <v>2297</v>
      </c>
      <c r="B1988" s="3" t="s">
        <v>3286</v>
      </c>
      <c r="C1988" s="3" t="s">
        <v>221</v>
      </c>
      <c r="D1988" s="3" t="s">
        <v>300</v>
      </c>
      <c r="E1988" s="3" t="s">
        <v>4836</v>
      </c>
      <c r="F1988" s="3" t="s">
        <v>324</v>
      </c>
      <c r="G1988" s="3" t="s">
        <v>337</v>
      </c>
      <c r="H1988" s="3"/>
    </row>
    <row r="1989" spans="1:8" x14ac:dyDescent="0.25">
      <c r="A1989" s="3" t="s">
        <v>2298</v>
      </c>
      <c r="B1989" s="3" t="s">
        <v>4740</v>
      </c>
      <c r="C1989" s="3" t="s">
        <v>55</v>
      </c>
      <c r="D1989" s="3" t="s">
        <v>297</v>
      </c>
      <c r="E1989" s="3" t="s">
        <v>4837</v>
      </c>
      <c r="F1989" s="3" t="s">
        <v>2988</v>
      </c>
      <c r="G1989" s="3" t="s">
        <v>327</v>
      </c>
      <c r="H1989" s="3"/>
    </row>
    <row r="1990" spans="1:8" x14ac:dyDescent="0.25">
      <c r="A1990" s="3" t="s">
        <v>2299</v>
      </c>
      <c r="B1990" s="3" t="s">
        <v>3719</v>
      </c>
      <c r="C1990" s="3" t="s">
        <v>259</v>
      </c>
      <c r="D1990" s="3" t="s">
        <v>294</v>
      </c>
      <c r="E1990" s="3">
        <v>364.38</v>
      </c>
      <c r="F1990" s="3" t="s">
        <v>324</v>
      </c>
      <c r="G1990" s="3" t="s">
        <v>327</v>
      </c>
      <c r="H1990" s="3" t="s">
        <v>346</v>
      </c>
    </row>
    <row r="1991" spans="1:8" x14ac:dyDescent="0.25">
      <c r="A1991" s="3" t="s">
        <v>2300</v>
      </c>
      <c r="B1991" s="3" t="s">
        <v>4441</v>
      </c>
      <c r="C1991" s="3" t="s">
        <v>121</v>
      </c>
      <c r="D1991" s="3" t="s">
        <v>294</v>
      </c>
      <c r="E1991" s="3">
        <v>307.49</v>
      </c>
      <c r="F1991" s="3" t="s">
        <v>324</v>
      </c>
      <c r="G1991" s="3" t="s">
        <v>325</v>
      </c>
      <c r="H1991" s="3"/>
    </row>
    <row r="1992" spans="1:8" x14ac:dyDescent="0.25">
      <c r="A1992" s="3" t="s">
        <v>2301</v>
      </c>
      <c r="B1992" s="3" t="s">
        <v>3417</v>
      </c>
      <c r="C1992" s="3" t="s">
        <v>249</v>
      </c>
      <c r="D1992" s="3" t="s">
        <v>309</v>
      </c>
      <c r="E1992" s="3">
        <v>1090.01</v>
      </c>
      <c r="F1992" s="3" t="s">
        <v>381</v>
      </c>
      <c r="G1992" s="3" t="s">
        <v>337</v>
      </c>
      <c r="H1992" s="3" t="s">
        <v>346</v>
      </c>
    </row>
    <row r="1993" spans="1:8" x14ac:dyDescent="0.25">
      <c r="A1993" s="3" t="s">
        <v>2302</v>
      </c>
      <c r="B1993" s="3" t="s">
        <v>4838</v>
      </c>
      <c r="C1993" s="3" t="s">
        <v>88</v>
      </c>
      <c r="D1993" s="3" t="s">
        <v>315</v>
      </c>
      <c r="E1993" s="3">
        <v>1191.96</v>
      </c>
      <c r="F1993" s="3" t="s">
        <v>324</v>
      </c>
      <c r="G1993" s="3" t="s">
        <v>329</v>
      </c>
      <c r="H1993" s="3"/>
    </row>
    <row r="1994" spans="1:8" x14ac:dyDescent="0.25">
      <c r="A1994" s="3" t="s">
        <v>2303</v>
      </c>
      <c r="B1994" s="3" t="s">
        <v>4022</v>
      </c>
      <c r="C1994" s="3" t="s">
        <v>111</v>
      </c>
      <c r="D1994" s="3" t="s">
        <v>300</v>
      </c>
      <c r="E1994" s="3">
        <v>163.03</v>
      </c>
      <c r="F1994" s="3" t="s">
        <v>381</v>
      </c>
      <c r="G1994" s="3" t="s">
        <v>337</v>
      </c>
      <c r="H1994" s="3" t="s">
        <v>334</v>
      </c>
    </row>
    <row r="1995" spans="1:8" x14ac:dyDescent="0.25">
      <c r="A1995" s="3" t="s">
        <v>2304</v>
      </c>
      <c r="B1995" s="3" t="s">
        <v>3171</v>
      </c>
      <c r="C1995" s="3" t="s">
        <v>68</v>
      </c>
      <c r="D1995" s="3" t="s">
        <v>303</v>
      </c>
      <c r="E1995" s="3">
        <v>668.58</v>
      </c>
      <c r="F1995" s="3" t="s">
        <v>324</v>
      </c>
      <c r="G1995" s="3" t="s">
        <v>327</v>
      </c>
      <c r="H1995" s="3" t="s">
        <v>332</v>
      </c>
    </row>
    <row r="1996" spans="1:8" x14ac:dyDescent="0.25">
      <c r="A1996" s="3" t="s">
        <v>2305</v>
      </c>
      <c r="B1996" s="3" t="s">
        <v>4839</v>
      </c>
      <c r="C1996" s="3" t="s">
        <v>111</v>
      </c>
      <c r="D1996" s="3" t="s">
        <v>297</v>
      </c>
      <c r="E1996" s="3">
        <v>399.12</v>
      </c>
      <c r="F1996" s="3" t="s">
        <v>324</v>
      </c>
      <c r="G1996" s="3" t="s">
        <v>327</v>
      </c>
      <c r="H1996" s="3"/>
    </row>
    <row r="1997" spans="1:8" x14ac:dyDescent="0.25">
      <c r="A1997" s="3" t="s">
        <v>2306</v>
      </c>
      <c r="B1997" s="3" t="s">
        <v>3352</v>
      </c>
      <c r="C1997" s="3" t="s">
        <v>92</v>
      </c>
      <c r="D1997" s="3" t="s">
        <v>303</v>
      </c>
      <c r="E1997" s="3">
        <v>241.76</v>
      </c>
      <c r="F1997" s="3" t="s">
        <v>324</v>
      </c>
      <c r="G1997" s="3" t="s">
        <v>337</v>
      </c>
      <c r="H1997" s="3"/>
    </row>
    <row r="1998" spans="1:8" x14ac:dyDescent="0.25">
      <c r="A1998" s="3" t="s">
        <v>2307</v>
      </c>
      <c r="B1998" s="3" t="s">
        <v>4840</v>
      </c>
      <c r="C1998" s="3" t="s">
        <v>127</v>
      </c>
      <c r="D1998" s="3" t="s">
        <v>312</v>
      </c>
      <c r="E1998" s="3" t="s">
        <v>4841</v>
      </c>
      <c r="F1998" s="3" t="s">
        <v>324</v>
      </c>
      <c r="G1998" s="3" t="s">
        <v>325</v>
      </c>
      <c r="H1998" s="3" t="s">
        <v>332</v>
      </c>
    </row>
    <row r="1999" spans="1:8" x14ac:dyDescent="0.25">
      <c r="A1999" s="3" t="s">
        <v>2308</v>
      </c>
      <c r="B1999" s="3" t="s">
        <v>3640</v>
      </c>
      <c r="C1999" s="3" t="s">
        <v>141</v>
      </c>
      <c r="D1999" s="3" t="s">
        <v>303</v>
      </c>
      <c r="E1999" s="3" t="s">
        <v>4842</v>
      </c>
      <c r="F1999" s="3" t="s">
        <v>324</v>
      </c>
      <c r="G1999" s="3" t="s">
        <v>327</v>
      </c>
      <c r="H1999" s="3" t="s">
        <v>346</v>
      </c>
    </row>
    <row r="2000" spans="1:8" x14ac:dyDescent="0.25">
      <c r="A2000" s="3" t="s">
        <v>2309</v>
      </c>
      <c r="B2000" s="3" t="s">
        <v>3124</v>
      </c>
      <c r="C2000" s="3" t="s">
        <v>221</v>
      </c>
      <c r="D2000" s="3" t="s">
        <v>294</v>
      </c>
      <c r="E2000" s="3">
        <v>423.23</v>
      </c>
      <c r="F2000" s="3" t="s">
        <v>331</v>
      </c>
      <c r="G2000" s="3" t="s">
        <v>325</v>
      </c>
      <c r="H2000" s="3" t="s">
        <v>346</v>
      </c>
    </row>
    <row r="2001" spans="1:8" x14ac:dyDescent="0.25">
      <c r="A2001" s="3" t="s">
        <v>2310</v>
      </c>
      <c r="B2001" s="3" t="s">
        <v>3258</v>
      </c>
      <c r="C2001" s="3" t="s">
        <v>105</v>
      </c>
      <c r="D2001" s="3" t="s">
        <v>300</v>
      </c>
      <c r="E2001" s="3" t="s">
        <v>4843</v>
      </c>
      <c r="F2001" s="3" t="s">
        <v>331</v>
      </c>
      <c r="G2001" s="3" t="s">
        <v>327</v>
      </c>
      <c r="H2001" s="3" t="s">
        <v>334</v>
      </c>
    </row>
    <row r="2002" spans="1:8" x14ac:dyDescent="0.25">
      <c r="A2002" s="3" t="s">
        <v>2311</v>
      </c>
      <c r="B2002" s="3" t="s">
        <v>4481</v>
      </c>
      <c r="C2002" s="3" t="s">
        <v>213</v>
      </c>
      <c r="D2002" s="3" t="s">
        <v>300</v>
      </c>
      <c r="E2002" s="3">
        <v>900.42</v>
      </c>
      <c r="F2002" s="3" t="s">
        <v>324</v>
      </c>
      <c r="G2002" s="3" t="s">
        <v>337</v>
      </c>
      <c r="H2002" s="3" t="s">
        <v>332</v>
      </c>
    </row>
    <row r="2003" spans="1:8" x14ac:dyDescent="0.25">
      <c r="A2003" s="3" t="s">
        <v>2312</v>
      </c>
      <c r="B2003" s="3" t="s">
        <v>4673</v>
      </c>
      <c r="C2003" s="3" t="s">
        <v>161</v>
      </c>
      <c r="D2003" s="3" t="s">
        <v>303</v>
      </c>
      <c r="E2003" s="3" t="s">
        <v>4844</v>
      </c>
      <c r="F2003" s="3" t="s">
        <v>2973</v>
      </c>
      <c r="G2003" s="3" t="s">
        <v>327</v>
      </c>
      <c r="H2003" s="3"/>
    </row>
    <row r="2004" spans="1:8" x14ac:dyDescent="0.25">
      <c r="A2004" s="3" t="s">
        <v>2313</v>
      </c>
      <c r="B2004" s="3" t="s">
        <v>4381</v>
      </c>
      <c r="C2004" s="3" t="s">
        <v>64</v>
      </c>
      <c r="D2004" s="3" t="s">
        <v>297</v>
      </c>
      <c r="E2004" s="3">
        <v>513.34</v>
      </c>
      <c r="F2004" s="3" t="s">
        <v>324</v>
      </c>
      <c r="G2004" s="3" t="s">
        <v>337</v>
      </c>
      <c r="H2004" s="3"/>
    </row>
    <row r="2005" spans="1:8" x14ac:dyDescent="0.25">
      <c r="A2005" s="3" t="s">
        <v>2314</v>
      </c>
      <c r="B2005" s="3" t="s">
        <v>3045</v>
      </c>
      <c r="C2005" s="3" t="s">
        <v>247</v>
      </c>
      <c r="D2005" s="3" t="s">
        <v>306</v>
      </c>
      <c r="E2005" s="3" t="s">
        <v>4845</v>
      </c>
      <c r="F2005" s="3" t="s">
        <v>2988</v>
      </c>
      <c r="G2005" s="3" t="s">
        <v>327</v>
      </c>
      <c r="H2005" s="3"/>
    </row>
    <row r="2006" spans="1:8" x14ac:dyDescent="0.25">
      <c r="A2006" s="3" t="s">
        <v>2315</v>
      </c>
      <c r="B2006" s="3" t="s">
        <v>4251</v>
      </c>
      <c r="C2006" s="3" t="s">
        <v>179</v>
      </c>
      <c r="D2006" s="3" t="s">
        <v>294</v>
      </c>
      <c r="E2006" s="3" t="s">
        <v>4846</v>
      </c>
      <c r="F2006" s="3" t="s">
        <v>324</v>
      </c>
      <c r="G2006" s="3" t="s">
        <v>329</v>
      </c>
      <c r="H2006" s="3"/>
    </row>
    <row r="2007" spans="1:8" x14ac:dyDescent="0.25">
      <c r="A2007" s="3" t="s">
        <v>2316</v>
      </c>
      <c r="B2007" s="3" t="s">
        <v>3796</v>
      </c>
      <c r="C2007" s="3" t="s">
        <v>233</v>
      </c>
      <c r="D2007" s="3" t="s">
        <v>294</v>
      </c>
      <c r="E2007" s="3" t="s">
        <v>4847</v>
      </c>
      <c r="F2007" s="3" t="s">
        <v>3112</v>
      </c>
      <c r="G2007" s="3" t="s">
        <v>327</v>
      </c>
      <c r="H2007" s="3"/>
    </row>
    <row r="2008" spans="1:8" x14ac:dyDescent="0.25">
      <c r="A2008" s="3" t="s">
        <v>2317</v>
      </c>
      <c r="B2008" s="3" t="s">
        <v>4727</v>
      </c>
      <c r="C2008" s="3" t="s">
        <v>66</v>
      </c>
      <c r="D2008" s="3" t="s">
        <v>297</v>
      </c>
      <c r="E2008" s="3">
        <v>1024.1400000000001</v>
      </c>
      <c r="F2008" s="3" t="s">
        <v>2976</v>
      </c>
      <c r="G2008" s="3"/>
      <c r="H2008" s="3"/>
    </row>
    <row r="2009" spans="1:8" x14ac:dyDescent="0.25">
      <c r="A2009" s="3" t="s">
        <v>2318</v>
      </c>
      <c r="B2009" s="3" t="s">
        <v>3687</v>
      </c>
      <c r="C2009" s="3" t="s">
        <v>221</v>
      </c>
      <c r="D2009" s="3" t="s">
        <v>294</v>
      </c>
      <c r="E2009" s="3" t="s">
        <v>4848</v>
      </c>
      <c r="F2009" s="3" t="s">
        <v>3157</v>
      </c>
      <c r="G2009" s="3"/>
      <c r="H2009" s="3" t="s">
        <v>332</v>
      </c>
    </row>
    <row r="2010" spans="1:8" x14ac:dyDescent="0.25">
      <c r="A2010" s="3" t="s">
        <v>2319</v>
      </c>
      <c r="B2010" s="3" t="s">
        <v>4849</v>
      </c>
      <c r="C2010" s="3" t="s">
        <v>42</v>
      </c>
      <c r="D2010" s="3" t="s">
        <v>300</v>
      </c>
      <c r="E2010" s="3">
        <v>199.4</v>
      </c>
      <c r="F2010" s="3" t="s">
        <v>324</v>
      </c>
      <c r="G2010" s="3" t="s">
        <v>325</v>
      </c>
      <c r="H2010" s="3" t="s">
        <v>332</v>
      </c>
    </row>
    <row r="2011" spans="1:8" x14ac:dyDescent="0.25">
      <c r="A2011" s="3" t="s">
        <v>1538</v>
      </c>
      <c r="B2011" s="3" t="s">
        <v>4233</v>
      </c>
      <c r="C2011" s="3" t="s">
        <v>98</v>
      </c>
      <c r="D2011" s="3" t="s">
        <v>294</v>
      </c>
      <c r="E2011" s="3">
        <v>553.22</v>
      </c>
      <c r="F2011" s="3" t="s">
        <v>2995</v>
      </c>
      <c r="G2011" s="3" t="s">
        <v>327</v>
      </c>
      <c r="H2011" s="3" t="s">
        <v>346</v>
      </c>
    </row>
    <row r="2012" spans="1:8" x14ac:dyDescent="0.25">
      <c r="A2012" s="3" t="s">
        <v>2320</v>
      </c>
      <c r="B2012" s="3" t="s">
        <v>4850</v>
      </c>
      <c r="C2012" s="3" t="s">
        <v>243</v>
      </c>
      <c r="D2012" s="3" t="s">
        <v>297</v>
      </c>
      <c r="E2012" s="3">
        <v>35</v>
      </c>
      <c r="F2012" s="3" t="s">
        <v>381</v>
      </c>
      <c r="G2012" s="3" t="s">
        <v>325</v>
      </c>
      <c r="H2012" s="3"/>
    </row>
    <row r="2013" spans="1:8" x14ac:dyDescent="0.25">
      <c r="A2013" s="3" t="s">
        <v>2321</v>
      </c>
      <c r="B2013" s="3" t="s">
        <v>3187</v>
      </c>
      <c r="C2013" s="3" t="s">
        <v>209</v>
      </c>
      <c r="D2013" s="3" t="s">
        <v>294</v>
      </c>
      <c r="E2013" s="3">
        <v>420.03</v>
      </c>
      <c r="F2013" s="3" t="s">
        <v>381</v>
      </c>
      <c r="G2013" s="3" t="s">
        <v>327</v>
      </c>
      <c r="H2013" s="3"/>
    </row>
    <row r="2014" spans="1:8" x14ac:dyDescent="0.25">
      <c r="A2014" s="3" t="s">
        <v>2322</v>
      </c>
      <c r="B2014" s="3" t="s">
        <v>3448</v>
      </c>
      <c r="C2014" s="3" t="s">
        <v>223</v>
      </c>
      <c r="D2014" s="3" t="s">
        <v>294</v>
      </c>
      <c r="E2014" s="3">
        <v>398.65</v>
      </c>
      <c r="F2014" s="3" t="s">
        <v>2973</v>
      </c>
      <c r="G2014" s="3" t="s">
        <v>325</v>
      </c>
      <c r="H2014" s="3"/>
    </row>
    <row r="2015" spans="1:8" x14ac:dyDescent="0.25">
      <c r="A2015" s="3" t="s">
        <v>2323</v>
      </c>
      <c r="B2015" s="3" t="s">
        <v>4788</v>
      </c>
      <c r="C2015" s="3" t="s">
        <v>167</v>
      </c>
      <c r="D2015" s="3" t="s">
        <v>306</v>
      </c>
      <c r="E2015" s="3">
        <v>615.63</v>
      </c>
      <c r="F2015" s="3" t="s">
        <v>2997</v>
      </c>
      <c r="G2015" s="3"/>
      <c r="H2015" s="3" t="s">
        <v>334</v>
      </c>
    </row>
    <row r="2016" spans="1:8" x14ac:dyDescent="0.25">
      <c r="A2016" s="3" t="s">
        <v>2324</v>
      </c>
      <c r="B2016" s="3" t="s">
        <v>4851</v>
      </c>
      <c r="C2016" s="3" t="s">
        <v>193</v>
      </c>
      <c r="D2016" s="3" t="s">
        <v>303</v>
      </c>
      <c r="E2016" s="3">
        <v>525.01</v>
      </c>
      <c r="F2016" s="3" t="s">
        <v>324</v>
      </c>
      <c r="G2016" s="3"/>
      <c r="H2016" s="3"/>
    </row>
    <row r="2017" spans="1:8" x14ac:dyDescent="0.25">
      <c r="A2017" s="3" t="s">
        <v>2325</v>
      </c>
      <c r="B2017" s="3" t="s">
        <v>3640</v>
      </c>
      <c r="C2017" s="3" t="s">
        <v>100</v>
      </c>
      <c r="D2017" s="3" t="s">
        <v>297</v>
      </c>
      <c r="E2017" s="3">
        <v>473.84</v>
      </c>
      <c r="F2017" s="3" t="s">
        <v>324</v>
      </c>
      <c r="G2017" s="3" t="s">
        <v>325</v>
      </c>
      <c r="H2017" s="3"/>
    </row>
    <row r="2018" spans="1:8" x14ac:dyDescent="0.25">
      <c r="A2018" s="3" t="s">
        <v>2326</v>
      </c>
      <c r="B2018" s="3" t="s">
        <v>4025</v>
      </c>
      <c r="C2018" s="3" t="s">
        <v>229</v>
      </c>
      <c r="D2018" s="3" t="s">
        <v>294</v>
      </c>
      <c r="E2018" s="3" t="s">
        <v>4852</v>
      </c>
      <c r="F2018" s="3" t="s">
        <v>331</v>
      </c>
      <c r="G2018" s="3" t="s">
        <v>325</v>
      </c>
      <c r="H2018" s="3"/>
    </row>
    <row r="2019" spans="1:8" x14ac:dyDescent="0.25">
      <c r="A2019" s="3" t="s">
        <v>2327</v>
      </c>
      <c r="B2019" s="3" t="s">
        <v>4284</v>
      </c>
      <c r="C2019" s="3" t="s">
        <v>157</v>
      </c>
      <c r="D2019" s="3" t="s">
        <v>306</v>
      </c>
      <c r="E2019" s="3">
        <v>363.28</v>
      </c>
      <c r="F2019" s="3" t="s">
        <v>381</v>
      </c>
      <c r="G2019" s="3" t="s">
        <v>327</v>
      </c>
      <c r="H2019" s="3" t="s">
        <v>334</v>
      </c>
    </row>
    <row r="2020" spans="1:8" x14ac:dyDescent="0.25">
      <c r="A2020" s="3" t="s">
        <v>2328</v>
      </c>
      <c r="B2020" s="3" t="s">
        <v>4853</v>
      </c>
      <c r="C2020" s="3" t="s">
        <v>23</v>
      </c>
      <c r="D2020" s="3" t="s">
        <v>294</v>
      </c>
      <c r="E2020" s="3">
        <v>145.21</v>
      </c>
      <c r="F2020" s="3" t="s">
        <v>324</v>
      </c>
      <c r="G2020" s="3" t="s">
        <v>327</v>
      </c>
      <c r="H2020" s="3" t="s">
        <v>334</v>
      </c>
    </row>
    <row r="2021" spans="1:8" x14ac:dyDescent="0.25">
      <c r="A2021" s="3" t="s">
        <v>2329</v>
      </c>
      <c r="B2021" s="3" t="s">
        <v>4854</v>
      </c>
      <c r="C2021" s="3" t="s">
        <v>40</v>
      </c>
      <c r="D2021" s="3" t="s">
        <v>312</v>
      </c>
      <c r="E2021" s="3">
        <v>1013.57</v>
      </c>
      <c r="F2021" s="3" t="s">
        <v>2976</v>
      </c>
      <c r="G2021" s="3" t="s">
        <v>325</v>
      </c>
      <c r="H2021" s="3" t="s">
        <v>332</v>
      </c>
    </row>
    <row r="2022" spans="1:8" x14ac:dyDescent="0.25">
      <c r="A2022" s="3" t="s">
        <v>2330</v>
      </c>
      <c r="B2022" s="3" t="s">
        <v>4586</v>
      </c>
      <c r="C2022" s="3" t="s">
        <v>155</v>
      </c>
      <c r="D2022" s="3" t="s">
        <v>294</v>
      </c>
      <c r="E2022" s="3" t="s">
        <v>4855</v>
      </c>
      <c r="F2022" s="3" t="s">
        <v>324</v>
      </c>
      <c r="G2022" s="3" t="s">
        <v>327</v>
      </c>
      <c r="H2022" s="3"/>
    </row>
    <row r="2023" spans="1:8" x14ac:dyDescent="0.25">
      <c r="A2023" s="3" t="s">
        <v>2331</v>
      </c>
      <c r="B2023" s="3" t="s">
        <v>4169</v>
      </c>
      <c r="C2023" s="3" t="s">
        <v>121</v>
      </c>
      <c r="D2023" s="3" t="s">
        <v>294</v>
      </c>
      <c r="E2023" s="3" t="s">
        <v>4856</v>
      </c>
      <c r="F2023" s="3" t="s">
        <v>3157</v>
      </c>
      <c r="G2023" s="3"/>
      <c r="H2023" s="3"/>
    </row>
    <row r="2024" spans="1:8" x14ac:dyDescent="0.25">
      <c r="A2024" s="3" t="s">
        <v>2220</v>
      </c>
      <c r="B2024" s="3" t="s">
        <v>4781</v>
      </c>
      <c r="C2024" s="3" t="s">
        <v>165</v>
      </c>
      <c r="D2024" s="3" t="s">
        <v>294</v>
      </c>
      <c r="E2024" s="3">
        <v>254.71</v>
      </c>
      <c r="F2024" s="3" t="s">
        <v>324</v>
      </c>
      <c r="G2024" s="3" t="s">
        <v>327</v>
      </c>
      <c r="H2024" s="3" t="s">
        <v>334</v>
      </c>
    </row>
    <row r="2025" spans="1:8" x14ac:dyDescent="0.25">
      <c r="A2025" s="3" t="s">
        <v>2332</v>
      </c>
      <c r="B2025" s="3" t="s">
        <v>3543</v>
      </c>
      <c r="C2025" s="3" t="s">
        <v>141</v>
      </c>
      <c r="D2025" s="3" t="s">
        <v>294</v>
      </c>
      <c r="E2025" s="3" t="s">
        <v>4857</v>
      </c>
      <c r="F2025" s="3" t="s">
        <v>2980</v>
      </c>
      <c r="G2025" s="3" t="s">
        <v>337</v>
      </c>
      <c r="H2025" s="3" t="s">
        <v>334</v>
      </c>
    </row>
    <row r="2026" spans="1:8" x14ac:dyDescent="0.25">
      <c r="A2026" s="3" t="s">
        <v>2333</v>
      </c>
      <c r="B2026" s="3" t="s">
        <v>4858</v>
      </c>
      <c r="C2026" s="3" t="s">
        <v>396</v>
      </c>
      <c r="D2026" s="3" t="s">
        <v>309</v>
      </c>
      <c r="E2026" s="3">
        <v>879.27</v>
      </c>
      <c r="F2026" s="3" t="s">
        <v>324</v>
      </c>
      <c r="G2026" s="3" t="s">
        <v>327</v>
      </c>
      <c r="H2026" s="3" t="s">
        <v>332</v>
      </c>
    </row>
    <row r="2027" spans="1:8" x14ac:dyDescent="0.25">
      <c r="A2027" s="3" t="s">
        <v>2334</v>
      </c>
      <c r="B2027" s="3" t="s">
        <v>3254</v>
      </c>
      <c r="C2027" s="3" t="s">
        <v>237</v>
      </c>
      <c r="D2027" s="3" t="s">
        <v>297</v>
      </c>
      <c r="E2027" s="3">
        <v>469.35</v>
      </c>
      <c r="F2027" s="3" t="s">
        <v>2976</v>
      </c>
      <c r="G2027" s="3" t="s">
        <v>325</v>
      </c>
      <c r="H2027" s="3"/>
    </row>
    <row r="2028" spans="1:8" x14ac:dyDescent="0.25">
      <c r="A2028" s="3" t="s">
        <v>2335</v>
      </c>
      <c r="B2028" s="3" t="s">
        <v>4859</v>
      </c>
      <c r="C2028" s="3" t="s">
        <v>58</v>
      </c>
      <c r="D2028" s="3" t="s">
        <v>303</v>
      </c>
      <c r="E2028" s="3" t="s">
        <v>4860</v>
      </c>
      <c r="F2028" s="3" t="s">
        <v>2995</v>
      </c>
      <c r="G2028" s="3" t="s">
        <v>329</v>
      </c>
      <c r="H2028" s="3"/>
    </row>
    <row r="2029" spans="1:8" x14ac:dyDescent="0.25">
      <c r="A2029" s="3" t="s">
        <v>2336</v>
      </c>
      <c r="B2029" s="3" t="s">
        <v>4861</v>
      </c>
      <c r="C2029" s="3" t="s">
        <v>263</v>
      </c>
      <c r="D2029" s="3" t="s">
        <v>312</v>
      </c>
      <c r="E2029" s="3">
        <v>603.88</v>
      </c>
      <c r="F2029" s="3" t="s">
        <v>324</v>
      </c>
      <c r="G2029" s="3" t="s">
        <v>325</v>
      </c>
      <c r="H2029" s="3" t="s">
        <v>334</v>
      </c>
    </row>
    <row r="2030" spans="1:8" x14ac:dyDescent="0.25">
      <c r="A2030" s="3" t="s">
        <v>2337</v>
      </c>
      <c r="B2030" s="3" t="s">
        <v>3911</v>
      </c>
      <c r="C2030" s="3" t="s">
        <v>121</v>
      </c>
      <c r="D2030" s="3" t="s">
        <v>294</v>
      </c>
      <c r="E2030" s="3">
        <v>535.08000000000004</v>
      </c>
      <c r="F2030" s="3" t="s">
        <v>324</v>
      </c>
      <c r="G2030" s="3" t="s">
        <v>325</v>
      </c>
      <c r="H2030" s="3" t="s">
        <v>332</v>
      </c>
    </row>
    <row r="2031" spans="1:8" x14ac:dyDescent="0.25">
      <c r="A2031" s="3" t="s">
        <v>2338</v>
      </c>
      <c r="B2031" s="3" t="s">
        <v>4762</v>
      </c>
      <c r="C2031" s="3" t="s">
        <v>173</v>
      </c>
      <c r="D2031" s="3" t="s">
        <v>300</v>
      </c>
      <c r="E2031" s="3" t="s">
        <v>4862</v>
      </c>
      <c r="F2031" s="3" t="s">
        <v>324</v>
      </c>
      <c r="G2031" s="3" t="s">
        <v>325</v>
      </c>
      <c r="H2031" s="3" t="s">
        <v>346</v>
      </c>
    </row>
    <row r="2032" spans="1:8" x14ac:dyDescent="0.25">
      <c r="A2032" s="3" t="s">
        <v>2339</v>
      </c>
      <c r="B2032" s="3" t="s">
        <v>3706</v>
      </c>
      <c r="C2032" s="3" t="s">
        <v>115</v>
      </c>
      <c r="D2032" s="3" t="s">
        <v>297</v>
      </c>
      <c r="E2032" s="3">
        <v>413.42</v>
      </c>
      <c r="F2032" s="3" t="s">
        <v>2976</v>
      </c>
      <c r="G2032" s="3" t="s">
        <v>327</v>
      </c>
      <c r="H2032" s="3" t="s">
        <v>334</v>
      </c>
    </row>
    <row r="2033" spans="1:8" x14ac:dyDescent="0.25">
      <c r="A2033" s="3" t="s">
        <v>2340</v>
      </c>
      <c r="B2033" s="3" t="s">
        <v>3202</v>
      </c>
      <c r="C2033" s="3" t="s">
        <v>641</v>
      </c>
      <c r="D2033" s="3" t="s">
        <v>294</v>
      </c>
      <c r="E2033" s="3">
        <v>1515.72</v>
      </c>
      <c r="F2033" s="3" t="s">
        <v>324</v>
      </c>
      <c r="G2033" s="3" t="s">
        <v>337</v>
      </c>
      <c r="H2033" s="3" t="s">
        <v>346</v>
      </c>
    </row>
    <row r="2034" spans="1:8" x14ac:dyDescent="0.25">
      <c r="A2034" s="3" t="s">
        <v>2341</v>
      </c>
      <c r="B2034" s="3" t="s">
        <v>4863</v>
      </c>
      <c r="C2034" s="3" t="s">
        <v>107</v>
      </c>
      <c r="D2034" s="3" t="s">
        <v>294</v>
      </c>
      <c r="E2034" s="3">
        <v>213.47</v>
      </c>
      <c r="F2034" s="3" t="s">
        <v>2995</v>
      </c>
      <c r="G2034" s="3" t="s">
        <v>325</v>
      </c>
      <c r="H2034" s="3"/>
    </row>
    <row r="2035" spans="1:8" x14ac:dyDescent="0.25">
      <c r="A2035" s="3" t="s">
        <v>2342</v>
      </c>
      <c r="B2035" s="3" t="s">
        <v>3077</v>
      </c>
      <c r="C2035" s="3" t="s">
        <v>173</v>
      </c>
      <c r="D2035" s="3" t="s">
        <v>300</v>
      </c>
      <c r="E2035" s="3">
        <v>183.31</v>
      </c>
      <c r="F2035" s="3" t="s">
        <v>2976</v>
      </c>
      <c r="G2035" s="3" t="s">
        <v>325</v>
      </c>
      <c r="H2035" s="3" t="s">
        <v>332</v>
      </c>
    </row>
    <row r="2036" spans="1:8" x14ac:dyDescent="0.25">
      <c r="A2036" s="3" t="s">
        <v>2343</v>
      </c>
      <c r="B2036" s="3" t="s">
        <v>2991</v>
      </c>
      <c r="C2036" s="3" t="s">
        <v>257</v>
      </c>
      <c r="D2036" s="3" t="s">
        <v>309</v>
      </c>
      <c r="E2036" s="3">
        <v>299.83999999999997</v>
      </c>
      <c r="F2036" s="3" t="s">
        <v>324</v>
      </c>
      <c r="G2036" s="3" t="s">
        <v>325</v>
      </c>
      <c r="H2036" s="3" t="s">
        <v>346</v>
      </c>
    </row>
    <row r="2037" spans="1:8" x14ac:dyDescent="0.25">
      <c r="A2037" s="3" t="s">
        <v>2344</v>
      </c>
      <c r="B2037" s="3" t="s">
        <v>4240</v>
      </c>
      <c r="C2037" s="3" t="s">
        <v>396</v>
      </c>
      <c r="D2037" s="3" t="s">
        <v>294</v>
      </c>
      <c r="E2037" s="3">
        <v>1128.21</v>
      </c>
      <c r="F2037" s="3" t="s">
        <v>324</v>
      </c>
      <c r="G2037" s="3" t="s">
        <v>325</v>
      </c>
      <c r="H2037" s="3" t="s">
        <v>334</v>
      </c>
    </row>
    <row r="2038" spans="1:8" x14ac:dyDescent="0.25">
      <c r="A2038" s="3" t="s">
        <v>2345</v>
      </c>
      <c r="B2038" s="3" t="s">
        <v>3390</v>
      </c>
      <c r="C2038" s="3" t="s">
        <v>133</v>
      </c>
      <c r="D2038" s="3" t="s">
        <v>309</v>
      </c>
      <c r="E2038" s="3">
        <v>369</v>
      </c>
      <c r="F2038" s="3" t="s">
        <v>2995</v>
      </c>
      <c r="G2038" s="3" t="s">
        <v>337</v>
      </c>
      <c r="H2038" s="3" t="s">
        <v>334</v>
      </c>
    </row>
    <row r="2039" spans="1:8" x14ac:dyDescent="0.25">
      <c r="A2039" s="3" t="s">
        <v>2346</v>
      </c>
      <c r="B2039" s="3" t="s">
        <v>4508</v>
      </c>
      <c r="C2039" s="3" t="s">
        <v>249</v>
      </c>
      <c r="D2039" s="3" t="s">
        <v>300</v>
      </c>
      <c r="E2039" s="3">
        <v>58.66</v>
      </c>
      <c r="F2039" s="3" t="s">
        <v>324</v>
      </c>
      <c r="G2039" s="3" t="s">
        <v>337</v>
      </c>
      <c r="H2039" s="3"/>
    </row>
    <row r="2040" spans="1:8" x14ac:dyDescent="0.25">
      <c r="A2040" s="3" t="s">
        <v>2347</v>
      </c>
      <c r="B2040" s="3" t="s">
        <v>4044</v>
      </c>
      <c r="C2040" s="3" t="s">
        <v>183</v>
      </c>
      <c r="D2040" s="3" t="s">
        <v>309</v>
      </c>
      <c r="E2040" s="3" t="s">
        <v>4864</v>
      </c>
      <c r="F2040" s="3" t="s">
        <v>324</v>
      </c>
      <c r="G2040" s="3" t="s">
        <v>327</v>
      </c>
      <c r="H2040" s="3" t="s">
        <v>332</v>
      </c>
    </row>
    <row r="2041" spans="1:8" x14ac:dyDescent="0.25">
      <c r="A2041" s="3" t="s">
        <v>2348</v>
      </c>
      <c r="B2041" s="3" t="s">
        <v>4865</v>
      </c>
      <c r="C2041" s="3" t="s">
        <v>153</v>
      </c>
      <c r="D2041" s="3" t="s">
        <v>294</v>
      </c>
      <c r="E2041" s="3" t="s">
        <v>4866</v>
      </c>
      <c r="F2041" s="3" t="s">
        <v>324</v>
      </c>
      <c r="G2041" s="3" t="s">
        <v>325</v>
      </c>
      <c r="H2041" s="3" t="s">
        <v>332</v>
      </c>
    </row>
    <row r="2042" spans="1:8" x14ac:dyDescent="0.25">
      <c r="A2042" s="3" t="s">
        <v>2349</v>
      </c>
      <c r="B2042" s="3" t="s">
        <v>4867</v>
      </c>
      <c r="C2042" s="3" t="s">
        <v>181</v>
      </c>
      <c r="D2042" s="3" t="s">
        <v>306</v>
      </c>
      <c r="E2042" s="3">
        <v>183.47</v>
      </c>
      <c r="F2042" s="3" t="s">
        <v>2973</v>
      </c>
      <c r="G2042" s="3" t="s">
        <v>337</v>
      </c>
      <c r="H2042" s="3" t="s">
        <v>346</v>
      </c>
    </row>
    <row r="2043" spans="1:8" x14ac:dyDescent="0.25">
      <c r="A2043" s="3" t="s">
        <v>2350</v>
      </c>
      <c r="B2043" s="3" t="s">
        <v>4868</v>
      </c>
      <c r="C2043" s="3" t="s">
        <v>193</v>
      </c>
      <c r="D2043" s="3" t="s">
        <v>300</v>
      </c>
      <c r="E2043" s="3">
        <v>282.02</v>
      </c>
      <c r="F2043" s="3" t="s">
        <v>324</v>
      </c>
      <c r="G2043" s="3" t="s">
        <v>327</v>
      </c>
      <c r="H2043" s="3" t="s">
        <v>334</v>
      </c>
    </row>
    <row r="2044" spans="1:8" x14ac:dyDescent="0.25">
      <c r="A2044" s="3" t="s">
        <v>2351</v>
      </c>
      <c r="B2044" s="3" t="s">
        <v>3727</v>
      </c>
      <c r="C2044" s="3" t="s">
        <v>203</v>
      </c>
      <c r="D2044" s="3" t="s">
        <v>294</v>
      </c>
      <c r="E2044" s="3">
        <v>370.61</v>
      </c>
      <c r="F2044" s="3" t="s">
        <v>2988</v>
      </c>
      <c r="G2044" s="3" t="s">
        <v>327</v>
      </c>
      <c r="H2044" s="3" t="s">
        <v>346</v>
      </c>
    </row>
    <row r="2045" spans="1:8" x14ac:dyDescent="0.25">
      <c r="A2045" s="3" t="s">
        <v>2352</v>
      </c>
      <c r="B2045" s="3" t="s">
        <v>3484</v>
      </c>
      <c r="C2045" s="3" t="s">
        <v>227</v>
      </c>
      <c r="D2045" s="3" t="s">
        <v>294</v>
      </c>
      <c r="E2045" s="3">
        <v>320.68</v>
      </c>
      <c r="F2045" s="3" t="s">
        <v>324</v>
      </c>
      <c r="G2045" s="3" t="s">
        <v>325</v>
      </c>
      <c r="H2045" s="3"/>
    </row>
    <row r="2046" spans="1:8" x14ac:dyDescent="0.25">
      <c r="A2046" s="3" t="s">
        <v>2353</v>
      </c>
      <c r="B2046" s="3" t="s">
        <v>3206</v>
      </c>
      <c r="C2046" s="3" t="s">
        <v>157</v>
      </c>
      <c r="D2046" s="3" t="s">
        <v>303</v>
      </c>
      <c r="E2046" s="3" t="s">
        <v>4869</v>
      </c>
      <c r="F2046" s="3" t="s">
        <v>2976</v>
      </c>
      <c r="G2046" s="3" t="s">
        <v>337</v>
      </c>
      <c r="H2046" s="3"/>
    </row>
    <row r="2047" spans="1:8" x14ac:dyDescent="0.25">
      <c r="A2047" s="3" t="s">
        <v>2354</v>
      </c>
      <c r="B2047" s="3" t="s">
        <v>4870</v>
      </c>
      <c r="C2047" s="3" t="s">
        <v>149</v>
      </c>
      <c r="D2047" s="3" t="s">
        <v>303</v>
      </c>
      <c r="E2047" s="3" t="s">
        <v>4871</v>
      </c>
      <c r="F2047" s="3" t="s">
        <v>324</v>
      </c>
      <c r="G2047" s="3"/>
      <c r="H2047" s="3" t="s">
        <v>332</v>
      </c>
    </row>
    <row r="2048" spans="1:8" x14ac:dyDescent="0.25">
      <c r="A2048" s="3" t="s">
        <v>2355</v>
      </c>
      <c r="B2048" s="3" t="s">
        <v>4872</v>
      </c>
      <c r="C2048" s="3" t="s">
        <v>2356</v>
      </c>
      <c r="D2048" s="3" t="s">
        <v>303</v>
      </c>
      <c r="E2048" s="3">
        <v>569</v>
      </c>
      <c r="F2048" s="3" t="s">
        <v>324</v>
      </c>
      <c r="G2048" s="3" t="s">
        <v>327</v>
      </c>
      <c r="H2048" s="3"/>
    </row>
    <row r="2049" spans="1:8" x14ac:dyDescent="0.25">
      <c r="A2049" s="3" t="s">
        <v>2357</v>
      </c>
      <c r="B2049" s="3" t="s">
        <v>3384</v>
      </c>
      <c r="C2049" s="3" t="s">
        <v>15</v>
      </c>
      <c r="D2049" s="3" t="s">
        <v>294</v>
      </c>
      <c r="E2049" s="3">
        <v>214.81</v>
      </c>
      <c r="F2049" s="3" t="s">
        <v>324</v>
      </c>
      <c r="G2049" s="3" t="s">
        <v>327</v>
      </c>
      <c r="H2049" s="3" t="s">
        <v>346</v>
      </c>
    </row>
    <row r="2050" spans="1:8" x14ac:dyDescent="0.25">
      <c r="A2050" s="3" t="s">
        <v>2358</v>
      </c>
      <c r="B2050" s="3" t="s">
        <v>4032</v>
      </c>
      <c r="C2050" s="3" t="s">
        <v>267</v>
      </c>
      <c r="D2050" s="3" t="s">
        <v>300</v>
      </c>
      <c r="E2050" s="3" t="s">
        <v>4873</v>
      </c>
      <c r="F2050" s="3" t="s">
        <v>3157</v>
      </c>
      <c r="G2050" s="3" t="s">
        <v>325</v>
      </c>
      <c r="H2050" s="3"/>
    </row>
    <row r="2051" spans="1:8" x14ac:dyDescent="0.25">
      <c r="A2051" s="3" t="s">
        <v>2359</v>
      </c>
      <c r="B2051" s="3" t="s">
        <v>4874</v>
      </c>
      <c r="C2051" s="3" t="s">
        <v>175</v>
      </c>
      <c r="D2051" s="3" t="s">
        <v>309</v>
      </c>
      <c r="E2051" s="3" t="s">
        <v>4875</v>
      </c>
      <c r="F2051" s="3" t="s">
        <v>324</v>
      </c>
      <c r="G2051" s="3" t="s">
        <v>325</v>
      </c>
      <c r="H2051" s="3" t="s">
        <v>332</v>
      </c>
    </row>
    <row r="2052" spans="1:8" x14ac:dyDescent="0.25">
      <c r="A2052" s="3" t="s">
        <v>2360</v>
      </c>
      <c r="B2052" s="3" t="s">
        <v>4310</v>
      </c>
      <c r="C2052" s="3" t="s">
        <v>257</v>
      </c>
      <c r="D2052" s="3" t="s">
        <v>303</v>
      </c>
      <c r="E2052" s="3">
        <v>486.57</v>
      </c>
      <c r="F2052" s="3" t="s">
        <v>324</v>
      </c>
      <c r="G2052" s="3" t="s">
        <v>337</v>
      </c>
      <c r="H2052" s="3"/>
    </row>
    <row r="2053" spans="1:8" x14ac:dyDescent="0.25">
      <c r="A2053" s="3" t="s">
        <v>2361</v>
      </c>
      <c r="B2053" s="3" t="s">
        <v>3264</v>
      </c>
      <c r="C2053" s="3" t="s">
        <v>185</v>
      </c>
      <c r="D2053" s="3" t="s">
        <v>297</v>
      </c>
      <c r="E2053" s="3">
        <v>260.43</v>
      </c>
      <c r="F2053" s="3" t="s">
        <v>324</v>
      </c>
      <c r="G2053" s="3" t="s">
        <v>325</v>
      </c>
      <c r="H2053" s="3"/>
    </row>
    <row r="2054" spans="1:8" x14ac:dyDescent="0.25">
      <c r="A2054" s="3" t="s">
        <v>2362</v>
      </c>
      <c r="B2054" s="3" t="s">
        <v>3667</v>
      </c>
      <c r="C2054" s="3" t="s">
        <v>29</v>
      </c>
      <c r="D2054" s="3" t="s">
        <v>309</v>
      </c>
      <c r="E2054" s="3" t="s">
        <v>4876</v>
      </c>
      <c r="F2054" s="3" t="s">
        <v>3097</v>
      </c>
      <c r="G2054" s="3" t="s">
        <v>337</v>
      </c>
      <c r="H2054" s="3" t="s">
        <v>334</v>
      </c>
    </row>
    <row r="2055" spans="1:8" x14ac:dyDescent="0.25">
      <c r="A2055" s="3" t="s">
        <v>2363</v>
      </c>
      <c r="B2055" s="3" t="s">
        <v>4877</v>
      </c>
      <c r="C2055" s="3" t="s">
        <v>277</v>
      </c>
      <c r="D2055" s="3" t="s">
        <v>294</v>
      </c>
      <c r="E2055" s="3" t="s">
        <v>4878</v>
      </c>
      <c r="F2055" s="3" t="s">
        <v>2976</v>
      </c>
      <c r="G2055" s="3" t="s">
        <v>327</v>
      </c>
      <c r="H2055" s="3" t="s">
        <v>346</v>
      </c>
    </row>
    <row r="2056" spans="1:8" x14ac:dyDescent="0.25">
      <c r="A2056" s="3" t="s">
        <v>2364</v>
      </c>
      <c r="B2056" s="3" t="s">
        <v>4665</v>
      </c>
      <c r="C2056" s="3" t="s">
        <v>209</v>
      </c>
      <c r="D2056" s="3" t="s">
        <v>294</v>
      </c>
      <c r="E2056" s="3" t="s">
        <v>4879</v>
      </c>
      <c r="F2056" s="3" t="s">
        <v>2976</v>
      </c>
      <c r="G2056" s="3" t="s">
        <v>337</v>
      </c>
      <c r="H2056" s="3"/>
    </row>
    <row r="2057" spans="1:8" x14ac:dyDescent="0.25">
      <c r="A2057" s="3" t="s">
        <v>2365</v>
      </c>
      <c r="B2057" s="3" t="s">
        <v>3337</v>
      </c>
      <c r="C2057" s="3" t="s">
        <v>109</v>
      </c>
      <c r="D2057" s="3" t="s">
        <v>309</v>
      </c>
      <c r="E2057" s="3" t="s">
        <v>4880</v>
      </c>
      <c r="F2057" s="3" t="s">
        <v>324</v>
      </c>
      <c r="G2057" s="3" t="s">
        <v>325</v>
      </c>
      <c r="H2057" s="3" t="s">
        <v>346</v>
      </c>
    </row>
    <row r="2058" spans="1:8" x14ac:dyDescent="0.25">
      <c r="A2058" s="3" t="s">
        <v>2366</v>
      </c>
      <c r="B2058" s="3" t="s">
        <v>4056</v>
      </c>
      <c r="C2058" s="3" t="s">
        <v>195</v>
      </c>
      <c r="D2058" s="3" t="s">
        <v>300</v>
      </c>
      <c r="E2058" s="3">
        <v>222.08</v>
      </c>
      <c r="F2058" s="3" t="s">
        <v>324</v>
      </c>
      <c r="G2058" s="3" t="s">
        <v>325</v>
      </c>
      <c r="H2058" s="3"/>
    </row>
    <row r="2059" spans="1:8" x14ac:dyDescent="0.25">
      <c r="A2059" s="3" t="s">
        <v>2367</v>
      </c>
      <c r="B2059" s="3" t="s">
        <v>4881</v>
      </c>
      <c r="C2059" s="3" t="s">
        <v>641</v>
      </c>
      <c r="D2059" s="3" t="s">
        <v>312</v>
      </c>
      <c r="E2059" s="3" t="s">
        <v>4882</v>
      </c>
      <c r="F2059" s="3" t="s">
        <v>3157</v>
      </c>
      <c r="G2059" s="3" t="s">
        <v>329</v>
      </c>
      <c r="H2059" s="3"/>
    </row>
    <row r="2060" spans="1:8" x14ac:dyDescent="0.25">
      <c r="A2060" s="3" t="s">
        <v>2368</v>
      </c>
      <c r="B2060" s="3" t="s">
        <v>4818</v>
      </c>
      <c r="C2060" s="3" t="s">
        <v>149</v>
      </c>
      <c r="D2060" s="3" t="s">
        <v>294</v>
      </c>
      <c r="E2060" s="3" t="s">
        <v>4883</v>
      </c>
      <c r="F2060" s="3" t="s">
        <v>331</v>
      </c>
      <c r="G2060" s="3" t="s">
        <v>329</v>
      </c>
      <c r="H2060" s="3"/>
    </row>
    <row r="2061" spans="1:8" x14ac:dyDescent="0.25">
      <c r="A2061" s="3" t="s">
        <v>2369</v>
      </c>
      <c r="B2061" s="3" t="s">
        <v>4884</v>
      </c>
      <c r="C2061" s="3" t="s">
        <v>40</v>
      </c>
      <c r="D2061" s="3" t="s">
        <v>297</v>
      </c>
      <c r="E2061" s="3">
        <v>457.99</v>
      </c>
      <c r="F2061" s="3" t="s">
        <v>324</v>
      </c>
      <c r="G2061" s="3" t="s">
        <v>325</v>
      </c>
      <c r="H2061" s="3" t="s">
        <v>332</v>
      </c>
    </row>
    <row r="2062" spans="1:8" x14ac:dyDescent="0.25">
      <c r="A2062" s="3" t="s">
        <v>2370</v>
      </c>
      <c r="B2062" s="3" t="s">
        <v>4885</v>
      </c>
      <c r="C2062" s="3" t="s">
        <v>271</v>
      </c>
      <c r="D2062" s="3" t="s">
        <v>297</v>
      </c>
      <c r="E2062" s="3" t="s">
        <v>4886</v>
      </c>
      <c r="F2062" s="3" t="s">
        <v>324</v>
      </c>
      <c r="G2062" s="3" t="s">
        <v>325</v>
      </c>
      <c r="H2062" s="3" t="s">
        <v>346</v>
      </c>
    </row>
    <row r="2063" spans="1:8" x14ac:dyDescent="0.25">
      <c r="A2063" s="3" t="s">
        <v>2371</v>
      </c>
      <c r="B2063" s="3" t="s">
        <v>4651</v>
      </c>
      <c r="C2063" s="3" t="s">
        <v>215</v>
      </c>
      <c r="D2063" s="3" t="s">
        <v>306</v>
      </c>
      <c r="E2063" s="3">
        <v>207.94</v>
      </c>
      <c r="F2063" s="3" t="s">
        <v>2995</v>
      </c>
      <c r="G2063" s="3" t="s">
        <v>327</v>
      </c>
      <c r="H2063" s="3" t="s">
        <v>332</v>
      </c>
    </row>
    <row r="2064" spans="1:8" x14ac:dyDescent="0.25">
      <c r="A2064" s="3" t="s">
        <v>2372</v>
      </c>
      <c r="B2064" s="3" t="s">
        <v>3245</v>
      </c>
      <c r="C2064" s="3" t="s">
        <v>47</v>
      </c>
      <c r="D2064" s="3" t="s">
        <v>315</v>
      </c>
      <c r="E2064" s="3">
        <v>-198.65</v>
      </c>
      <c r="F2064" s="3" t="s">
        <v>349</v>
      </c>
      <c r="G2064" s="3" t="s">
        <v>325</v>
      </c>
      <c r="H2064" s="3" t="s">
        <v>346</v>
      </c>
    </row>
    <row r="2065" spans="1:8" x14ac:dyDescent="0.25">
      <c r="A2065" s="3" t="s">
        <v>2373</v>
      </c>
      <c r="B2065" s="3" t="s">
        <v>4223</v>
      </c>
      <c r="C2065" s="3" t="s">
        <v>269</v>
      </c>
      <c r="D2065" s="3" t="s">
        <v>306</v>
      </c>
      <c r="E2065" s="3" t="s">
        <v>4887</v>
      </c>
      <c r="F2065" s="3" t="s">
        <v>324</v>
      </c>
      <c r="G2065" s="3" t="s">
        <v>325</v>
      </c>
      <c r="H2065" s="3"/>
    </row>
    <row r="2066" spans="1:8" x14ac:dyDescent="0.25">
      <c r="A2066" s="3" t="s">
        <v>2374</v>
      </c>
      <c r="B2066" s="3" t="s">
        <v>4381</v>
      </c>
      <c r="C2066" s="3" t="s">
        <v>68</v>
      </c>
      <c r="D2066" s="3" t="s">
        <v>315</v>
      </c>
      <c r="E2066" s="3">
        <v>924.78</v>
      </c>
      <c r="F2066" s="3" t="s">
        <v>324</v>
      </c>
      <c r="G2066" s="3" t="s">
        <v>327</v>
      </c>
      <c r="H2066" s="3" t="s">
        <v>332</v>
      </c>
    </row>
    <row r="2067" spans="1:8" x14ac:dyDescent="0.25">
      <c r="A2067" s="3" t="s">
        <v>2375</v>
      </c>
      <c r="B2067" s="3" t="s">
        <v>4888</v>
      </c>
      <c r="C2067" s="3" t="s">
        <v>6</v>
      </c>
      <c r="D2067" s="3" t="s">
        <v>312</v>
      </c>
      <c r="E2067" s="3">
        <v>211.92</v>
      </c>
      <c r="F2067" s="3" t="s">
        <v>2973</v>
      </c>
      <c r="G2067" s="3" t="s">
        <v>327</v>
      </c>
      <c r="H2067" s="3" t="s">
        <v>332</v>
      </c>
    </row>
    <row r="2068" spans="1:8" x14ac:dyDescent="0.25">
      <c r="A2068" s="3" t="s">
        <v>2376</v>
      </c>
      <c r="B2068" s="3" t="s">
        <v>4889</v>
      </c>
      <c r="C2068" s="3" t="s">
        <v>44</v>
      </c>
      <c r="D2068" s="3" t="s">
        <v>312</v>
      </c>
      <c r="E2068" s="3" t="s">
        <v>4890</v>
      </c>
      <c r="F2068" s="3" t="s">
        <v>324</v>
      </c>
      <c r="G2068" s="3" t="s">
        <v>325</v>
      </c>
      <c r="H2068" s="3" t="s">
        <v>334</v>
      </c>
    </row>
    <row r="2069" spans="1:8" x14ac:dyDescent="0.25">
      <c r="A2069" s="3" t="s">
        <v>2377</v>
      </c>
      <c r="B2069" s="3" t="s">
        <v>4891</v>
      </c>
      <c r="C2069" s="3" t="s">
        <v>231</v>
      </c>
      <c r="D2069" s="3" t="s">
        <v>294</v>
      </c>
      <c r="E2069" s="3">
        <v>210.72</v>
      </c>
      <c r="F2069" s="3" t="s">
        <v>2997</v>
      </c>
      <c r="G2069" s="3" t="s">
        <v>327</v>
      </c>
      <c r="H2069" s="3"/>
    </row>
    <row r="2070" spans="1:8" x14ac:dyDescent="0.25">
      <c r="A2070" s="3" t="s">
        <v>2378</v>
      </c>
      <c r="B2070" s="3" t="s">
        <v>4043</v>
      </c>
      <c r="C2070" s="3" t="s">
        <v>165</v>
      </c>
      <c r="D2070" s="3" t="s">
        <v>309</v>
      </c>
      <c r="E2070" s="3" t="s">
        <v>4892</v>
      </c>
      <c r="F2070" s="3" t="s">
        <v>2973</v>
      </c>
      <c r="G2070" s="3" t="s">
        <v>337</v>
      </c>
      <c r="H2070" s="3" t="s">
        <v>332</v>
      </c>
    </row>
    <row r="2071" spans="1:8" x14ac:dyDescent="0.25">
      <c r="A2071" s="3" t="s">
        <v>2379</v>
      </c>
      <c r="B2071" s="3" t="s">
        <v>3176</v>
      </c>
      <c r="C2071" s="3" t="s">
        <v>235</v>
      </c>
      <c r="D2071" s="3" t="s">
        <v>297</v>
      </c>
      <c r="E2071" s="3" t="s">
        <v>4893</v>
      </c>
      <c r="F2071" s="3" t="s">
        <v>381</v>
      </c>
      <c r="G2071" s="3" t="s">
        <v>325</v>
      </c>
      <c r="H2071" s="3" t="s">
        <v>334</v>
      </c>
    </row>
    <row r="2072" spans="1:8" x14ac:dyDescent="0.25">
      <c r="A2072" s="3" t="s">
        <v>2380</v>
      </c>
      <c r="B2072" s="3" t="s">
        <v>3669</v>
      </c>
      <c r="C2072" s="3" t="s">
        <v>261</v>
      </c>
      <c r="D2072" s="3" t="s">
        <v>294</v>
      </c>
      <c r="E2072" s="3">
        <v>605.67999999999995</v>
      </c>
      <c r="F2072" s="3" t="s">
        <v>2995</v>
      </c>
      <c r="G2072" s="3" t="s">
        <v>337</v>
      </c>
      <c r="H2072" s="3" t="s">
        <v>334</v>
      </c>
    </row>
    <row r="2073" spans="1:8" x14ac:dyDescent="0.25">
      <c r="A2073" s="3" t="s">
        <v>2381</v>
      </c>
      <c r="B2073" s="3" t="s">
        <v>4894</v>
      </c>
      <c r="C2073" s="3" t="s">
        <v>159</v>
      </c>
      <c r="D2073" s="3" t="s">
        <v>309</v>
      </c>
      <c r="E2073" s="3" t="s">
        <v>4895</v>
      </c>
      <c r="F2073" s="3" t="s">
        <v>324</v>
      </c>
      <c r="G2073" s="3" t="s">
        <v>327</v>
      </c>
      <c r="H2073" s="3" t="s">
        <v>332</v>
      </c>
    </row>
    <row r="2074" spans="1:8" x14ac:dyDescent="0.25">
      <c r="A2074" s="3" t="s">
        <v>2382</v>
      </c>
      <c r="B2074" s="3" t="s">
        <v>3879</v>
      </c>
      <c r="C2074" s="3" t="s">
        <v>70</v>
      </c>
      <c r="D2074" s="3" t="s">
        <v>315</v>
      </c>
      <c r="E2074" s="3" t="s">
        <v>4896</v>
      </c>
      <c r="F2074" s="3" t="s">
        <v>324</v>
      </c>
      <c r="G2074" s="3" t="s">
        <v>327</v>
      </c>
      <c r="H2074" s="3"/>
    </row>
    <row r="2075" spans="1:8" x14ac:dyDescent="0.25">
      <c r="A2075" s="3" t="s">
        <v>2383</v>
      </c>
      <c r="B2075" s="3" t="s">
        <v>4744</v>
      </c>
      <c r="C2075" s="3" t="s">
        <v>66</v>
      </c>
      <c r="D2075" s="3" t="s">
        <v>294</v>
      </c>
      <c r="E2075" s="3">
        <v>442.45</v>
      </c>
      <c r="F2075" s="3" t="s">
        <v>324</v>
      </c>
      <c r="G2075" s="3"/>
      <c r="H2075" s="3"/>
    </row>
    <row r="2076" spans="1:8" x14ac:dyDescent="0.25">
      <c r="A2076" s="3" t="s">
        <v>2384</v>
      </c>
      <c r="B2076" s="3" t="s">
        <v>3635</v>
      </c>
      <c r="C2076" s="3" t="s">
        <v>68</v>
      </c>
      <c r="D2076" s="3" t="s">
        <v>294</v>
      </c>
      <c r="E2076" s="3">
        <v>121.51</v>
      </c>
      <c r="F2076" s="3" t="s">
        <v>324</v>
      </c>
      <c r="G2076" s="3" t="s">
        <v>325</v>
      </c>
      <c r="H2076" s="3"/>
    </row>
    <row r="2077" spans="1:8" x14ac:dyDescent="0.25">
      <c r="A2077" s="3" t="s">
        <v>2385</v>
      </c>
      <c r="B2077" s="3" t="s">
        <v>4588</v>
      </c>
      <c r="C2077" s="3" t="s">
        <v>2386</v>
      </c>
      <c r="D2077" s="3" t="s">
        <v>300</v>
      </c>
      <c r="E2077" s="3">
        <v>833.67</v>
      </c>
      <c r="F2077" s="3" t="s">
        <v>324</v>
      </c>
      <c r="G2077" s="3"/>
      <c r="H2077" s="3"/>
    </row>
    <row r="2078" spans="1:8" x14ac:dyDescent="0.25">
      <c r="A2078" s="3" t="s">
        <v>2387</v>
      </c>
      <c r="B2078" s="3" t="s">
        <v>4292</v>
      </c>
      <c r="C2078" s="3" t="s">
        <v>109</v>
      </c>
      <c r="D2078" s="3" t="s">
        <v>306</v>
      </c>
      <c r="E2078" s="3" t="s">
        <v>4897</v>
      </c>
      <c r="F2078" s="3" t="s">
        <v>2973</v>
      </c>
      <c r="G2078" s="3" t="s">
        <v>329</v>
      </c>
      <c r="H2078" s="3"/>
    </row>
    <row r="2079" spans="1:8" x14ac:dyDescent="0.25">
      <c r="A2079" s="3" t="s">
        <v>2388</v>
      </c>
      <c r="B2079" s="3" t="s">
        <v>4898</v>
      </c>
      <c r="C2079" s="3" t="s">
        <v>175</v>
      </c>
      <c r="D2079" s="3" t="s">
        <v>300</v>
      </c>
      <c r="E2079" s="3" t="s">
        <v>4899</v>
      </c>
      <c r="F2079" s="3" t="s">
        <v>324</v>
      </c>
      <c r="G2079" s="3" t="s">
        <v>337</v>
      </c>
      <c r="H2079" s="3"/>
    </row>
    <row r="2080" spans="1:8" x14ac:dyDescent="0.25">
      <c r="A2080" s="3" t="s">
        <v>2389</v>
      </c>
      <c r="B2080" s="3" t="s">
        <v>4778</v>
      </c>
      <c r="C2080" s="3" t="s">
        <v>47</v>
      </c>
      <c r="D2080" s="3" t="s">
        <v>315</v>
      </c>
      <c r="E2080" s="3" t="s">
        <v>4900</v>
      </c>
      <c r="F2080" s="3" t="s">
        <v>2973</v>
      </c>
      <c r="G2080" s="3" t="s">
        <v>325</v>
      </c>
      <c r="H2080" s="3"/>
    </row>
    <row r="2081" spans="1:8" x14ac:dyDescent="0.25">
      <c r="A2081" s="3" t="s">
        <v>2390</v>
      </c>
      <c r="B2081" s="3" t="s">
        <v>3265</v>
      </c>
      <c r="C2081" s="3" t="s">
        <v>119</v>
      </c>
      <c r="D2081" s="3" t="s">
        <v>300</v>
      </c>
      <c r="E2081" s="3">
        <v>789.47</v>
      </c>
      <c r="F2081" s="3" t="s">
        <v>2988</v>
      </c>
      <c r="G2081" s="3" t="s">
        <v>325</v>
      </c>
      <c r="H2081" s="3" t="s">
        <v>334</v>
      </c>
    </row>
    <row r="2082" spans="1:8" x14ac:dyDescent="0.25">
      <c r="A2082" s="3" t="s">
        <v>2391</v>
      </c>
      <c r="B2082" s="3" t="s">
        <v>4901</v>
      </c>
      <c r="C2082" s="3" t="s">
        <v>107</v>
      </c>
      <c r="D2082" s="3" t="s">
        <v>312</v>
      </c>
      <c r="E2082" s="3">
        <v>256.89</v>
      </c>
      <c r="F2082" s="3" t="s">
        <v>381</v>
      </c>
      <c r="G2082" s="3" t="s">
        <v>327</v>
      </c>
      <c r="H2082" s="3" t="s">
        <v>332</v>
      </c>
    </row>
    <row r="2083" spans="1:8" x14ac:dyDescent="0.25">
      <c r="A2083" s="3" t="s">
        <v>2392</v>
      </c>
      <c r="B2083" s="3" t="s">
        <v>4474</v>
      </c>
      <c r="C2083" s="3" t="s">
        <v>155</v>
      </c>
      <c r="D2083" s="3" t="s">
        <v>300</v>
      </c>
      <c r="E2083" s="3">
        <v>110.23</v>
      </c>
      <c r="F2083" s="3" t="s">
        <v>324</v>
      </c>
      <c r="G2083" s="3" t="s">
        <v>329</v>
      </c>
      <c r="H2083" s="3" t="s">
        <v>334</v>
      </c>
    </row>
    <row r="2084" spans="1:8" x14ac:dyDescent="0.25">
      <c r="A2084" s="3" t="s">
        <v>2393</v>
      </c>
      <c r="B2084" s="3" t="s">
        <v>4588</v>
      </c>
      <c r="C2084" s="3" t="s">
        <v>173</v>
      </c>
      <c r="D2084" s="3" t="s">
        <v>294</v>
      </c>
      <c r="E2084" s="3">
        <v>332.29</v>
      </c>
      <c r="F2084" s="3" t="s">
        <v>2976</v>
      </c>
      <c r="G2084" s="3" t="s">
        <v>337</v>
      </c>
      <c r="H2084" s="3" t="s">
        <v>346</v>
      </c>
    </row>
    <row r="2085" spans="1:8" x14ac:dyDescent="0.25">
      <c r="A2085" s="3" t="s">
        <v>2394</v>
      </c>
      <c r="B2085" s="3" t="s">
        <v>3827</v>
      </c>
      <c r="C2085" s="3" t="s">
        <v>6</v>
      </c>
      <c r="D2085" s="3" t="s">
        <v>294</v>
      </c>
      <c r="E2085" s="3" t="s">
        <v>4902</v>
      </c>
      <c r="F2085" s="3" t="s">
        <v>2976</v>
      </c>
      <c r="G2085" s="3" t="s">
        <v>327</v>
      </c>
      <c r="H2085" s="3"/>
    </row>
    <row r="2086" spans="1:8" x14ac:dyDescent="0.25">
      <c r="A2086" s="3" t="s">
        <v>2395</v>
      </c>
      <c r="B2086" s="3" t="s">
        <v>3945</v>
      </c>
      <c r="C2086" s="3" t="s">
        <v>143</v>
      </c>
      <c r="D2086" s="3" t="s">
        <v>294</v>
      </c>
      <c r="E2086" s="3">
        <v>209.01</v>
      </c>
      <c r="F2086" s="3" t="s">
        <v>2995</v>
      </c>
      <c r="G2086" s="3" t="s">
        <v>337</v>
      </c>
      <c r="H2086" s="3"/>
    </row>
    <row r="2087" spans="1:8" x14ac:dyDescent="0.25">
      <c r="A2087" s="3" t="s">
        <v>2396</v>
      </c>
      <c r="B2087" s="3" t="s">
        <v>4903</v>
      </c>
      <c r="C2087" s="3" t="s">
        <v>193</v>
      </c>
      <c r="D2087" s="3" t="s">
        <v>306</v>
      </c>
      <c r="E2087" s="3" t="s">
        <v>4904</v>
      </c>
      <c r="F2087" s="3" t="s">
        <v>324</v>
      </c>
      <c r="G2087" s="3" t="s">
        <v>325</v>
      </c>
      <c r="H2087" s="3" t="s">
        <v>332</v>
      </c>
    </row>
    <row r="2088" spans="1:8" x14ac:dyDescent="0.25">
      <c r="A2088" s="3" t="s">
        <v>2397</v>
      </c>
      <c r="B2088" s="3" t="s">
        <v>4231</v>
      </c>
      <c r="C2088" s="3" t="s">
        <v>237</v>
      </c>
      <c r="D2088" s="3" t="s">
        <v>294</v>
      </c>
      <c r="E2088" s="3">
        <v>-275.02999999999997</v>
      </c>
      <c r="F2088" s="3" t="s">
        <v>349</v>
      </c>
      <c r="G2088" s="3" t="s">
        <v>327</v>
      </c>
      <c r="H2088" s="3"/>
    </row>
    <row r="2089" spans="1:8" x14ac:dyDescent="0.25">
      <c r="A2089" s="3" t="s">
        <v>2398</v>
      </c>
      <c r="B2089" s="3" t="s">
        <v>4905</v>
      </c>
      <c r="C2089" s="3" t="s">
        <v>201</v>
      </c>
      <c r="D2089" s="3" t="s">
        <v>294</v>
      </c>
      <c r="E2089" s="3">
        <v>-313.95999999999998</v>
      </c>
      <c r="F2089" s="3" t="s">
        <v>349</v>
      </c>
      <c r="G2089" s="3" t="s">
        <v>327</v>
      </c>
      <c r="H2089" s="3" t="s">
        <v>332</v>
      </c>
    </row>
    <row r="2090" spans="1:8" x14ac:dyDescent="0.25">
      <c r="A2090" s="3" t="s">
        <v>2399</v>
      </c>
      <c r="B2090" s="3" t="s">
        <v>4906</v>
      </c>
      <c r="C2090" s="3" t="s">
        <v>125</v>
      </c>
      <c r="D2090" s="3" t="s">
        <v>300</v>
      </c>
      <c r="E2090" s="3">
        <v>543.08000000000004</v>
      </c>
      <c r="F2090" s="3" t="s">
        <v>2988</v>
      </c>
      <c r="G2090" s="3" t="s">
        <v>327</v>
      </c>
      <c r="H2090" s="3"/>
    </row>
    <row r="2091" spans="1:8" x14ac:dyDescent="0.25">
      <c r="A2091" s="3" t="s">
        <v>2400</v>
      </c>
      <c r="B2091" s="3" t="s">
        <v>4265</v>
      </c>
      <c r="C2091" s="3" t="s">
        <v>203</v>
      </c>
      <c r="D2091" s="3" t="s">
        <v>309</v>
      </c>
      <c r="E2091" s="3">
        <v>542.62</v>
      </c>
      <c r="F2091" s="3" t="s">
        <v>324</v>
      </c>
      <c r="G2091" s="3" t="s">
        <v>329</v>
      </c>
      <c r="H2091" s="3"/>
    </row>
    <row r="2092" spans="1:8" x14ac:dyDescent="0.25">
      <c r="A2092" s="3" t="s">
        <v>2401</v>
      </c>
      <c r="B2092" s="3" t="s">
        <v>4018</v>
      </c>
      <c r="C2092" s="3" t="s">
        <v>235</v>
      </c>
      <c r="D2092" s="3" t="s">
        <v>300</v>
      </c>
      <c r="E2092" s="3" t="s">
        <v>4907</v>
      </c>
      <c r="F2092" s="3" t="s">
        <v>324</v>
      </c>
      <c r="G2092" s="3" t="s">
        <v>325</v>
      </c>
      <c r="H2092" s="3" t="s">
        <v>334</v>
      </c>
    </row>
    <row r="2093" spans="1:8" x14ac:dyDescent="0.25">
      <c r="A2093" s="3" t="s">
        <v>2402</v>
      </c>
      <c r="B2093" s="3" t="s">
        <v>4908</v>
      </c>
      <c r="C2093" s="3" t="s">
        <v>213</v>
      </c>
      <c r="D2093" s="3" t="s">
        <v>300</v>
      </c>
      <c r="E2093" s="3" t="s">
        <v>4909</v>
      </c>
      <c r="F2093" s="3" t="s">
        <v>324</v>
      </c>
      <c r="G2093" s="3" t="s">
        <v>327</v>
      </c>
      <c r="H2093" s="3"/>
    </row>
    <row r="2094" spans="1:8" x14ac:dyDescent="0.25">
      <c r="A2094" s="3" t="s">
        <v>2403</v>
      </c>
      <c r="B2094" s="3" t="s">
        <v>4534</v>
      </c>
      <c r="C2094" s="3" t="s">
        <v>171</v>
      </c>
      <c r="D2094" s="3" t="s">
        <v>294</v>
      </c>
      <c r="E2094" s="3" t="s">
        <v>4910</v>
      </c>
      <c r="F2094" s="3" t="s">
        <v>2976</v>
      </c>
      <c r="G2094" s="3" t="s">
        <v>327</v>
      </c>
      <c r="H2094" s="3"/>
    </row>
    <row r="2095" spans="1:8" x14ac:dyDescent="0.25">
      <c r="A2095" s="3" t="s">
        <v>2404</v>
      </c>
      <c r="B2095" s="3" t="s">
        <v>4432</v>
      </c>
      <c r="C2095" s="3" t="s">
        <v>135</v>
      </c>
      <c r="D2095" s="3" t="s">
        <v>300</v>
      </c>
      <c r="E2095" s="3" t="s">
        <v>4911</v>
      </c>
      <c r="F2095" s="3" t="s">
        <v>3006</v>
      </c>
      <c r="G2095" s="3" t="s">
        <v>327</v>
      </c>
      <c r="H2095" s="3"/>
    </row>
    <row r="2096" spans="1:8" x14ac:dyDescent="0.25">
      <c r="A2096" s="3" t="s">
        <v>2405</v>
      </c>
      <c r="B2096" s="3" t="s">
        <v>3047</v>
      </c>
      <c r="C2096" s="3" t="s">
        <v>245</v>
      </c>
      <c r="D2096" s="3" t="s">
        <v>294</v>
      </c>
      <c r="E2096" s="3" t="s">
        <v>4912</v>
      </c>
      <c r="F2096" s="3" t="s">
        <v>2973</v>
      </c>
      <c r="G2096" s="3" t="s">
        <v>327</v>
      </c>
      <c r="H2096" s="3"/>
    </row>
    <row r="2097" spans="1:8" x14ac:dyDescent="0.25">
      <c r="A2097" s="3" t="s">
        <v>2406</v>
      </c>
      <c r="B2097" s="3" t="s">
        <v>3153</v>
      </c>
      <c r="C2097" s="3" t="s">
        <v>277</v>
      </c>
      <c r="D2097" s="3" t="s">
        <v>315</v>
      </c>
      <c r="E2097" s="3">
        <v>258.89999999999998</v>
      </c>
      <c r="F2097" s="3" t="s">
        <v>324</v>
      </c>
      <c r="G2097" s="3"/>
      <c r="H2097" s="3" t="s">
        <v>334</v>
      </c>
    </row>
    <row r="2098" spans="1:8" x14ac:dyDescent="0.25">
      <c r="A2098" s="3" t="s">
        <v>2407</v>
      </c>
      <c r="B2098" s="3" t="s">
        <v>3216</v>
      </c>
      <c r="C2098" s="3" t="s">
        <v>100</v>
      </c>
      <c r="D2098" s="3" t="s">
        <v>306</v>
      </c>
      <c r="E2098" s="3" t="s">
        <v>4913</v>
      </c>
      <c r="F2098" s="3" t="s">
        <v>381</v>
      </c>
      <c r="G2098" s="3" t="s">
        <v>327</v>
      </c>
      <c r="H2098" s="3"/>
    </row>
    <row r="2099" spans="1:8" x14ac:dyDescent="0.25">
      <c r="A2099" s="3" t="s">
        <v>2408</v>
      </c>
      <c r="B2099" s="3" t="s">
        <v>4277</v>
      </c>
      <c r="C2099" s="3" t="s">
        <v>233</v>
      </c>
      <c r="D2099" s="3" t="s">
        <v>294</v>
      </c>
      <c r="E2099" s="3" t="s">
        <v>4914</v>
      </c>
      <c r="F2099" s="3" t="s">
        <v>349</v>
      </c>
      <c r="G2099" s="3" t="s">
        <v>327</v>
      </c>
      <c r="H2099" s="3"/>
    </row>
    <row r="2100" spans="1:8" x14ac:dyDescent="0.25">
      <c r="A2100" s="3" t="s">
        <v>2409</v>
      </c>
      <c r="B2100" s="3" t="s">
        <v>3937</v>
      </c>
      <c r="C2100" s="3" t="s">
        <v>78</v>
      </c>
      <c r="D2100" s="3" t="s">
        <v>297</v>
      </c>
      <c r="E2100" s="3" t="s">
        <v>4915</v>
      </c>
      <c r="F2100" s="3" t="s">
        <v>324</v>
      </c>
      <c r="G2100" s="3" t="s">
        <v>327</v>
      </c>
      <c r="H2100" s="3" t="s">
        <v>334</v>
      </c>
    </row>
    <row r="2101" spans="1:8" x14ac:dyDescent="0.25">
      <c r="A2101" s="3" t="s">
        <v>2410</v>
      </c>
      <c r="B2101" s="3" t="s">
        <v>4916</v>
      </c>
      <c r="C2101" s="3" t="s">
        <v>100</v>
      </c>
      <c r="D2101" s="3" t="s">
        <v>303</v>
      </c>
      <c r="E2101" s="3">
        <v>603.85</v>
      </c>
      <c r="F2101" s="3" t="s">
        <v>2976</v>
      </c>
      <c r="G2101" s="3" t="s">
        <v>337</v>
      </c>
      <c r="H2101" s="3"/>
    </row>
    <row r="2102" spans="1:8" x14ac:dyDescent="0.25">
      <c r="A2102" s="3" t="s">
        <v>2411</v>
      </c>
      <c r="B2102" s="3" t="s">
        <v>4917</v>
      </c>
      <c r="C2102" s="3" t="s">
        <v>171</v>
      </c>
      <c r="D2102" s="3" t="s">
        <v>300</v>
      </c>
      <c r="E2102" s="3" t="s">
        <v>4918</v>
      </c>
      <c r="F2102" s="3" t="s">
        <v>3017</v>
      </c>
      <c r="G2102" s="3"/>
      <c r="H2102" s="3" t="s">
        <v>334</v>
      </c>
    </row>
    <row r="2103" spans="1:8" x14ac:dyDescent="0.25">
      <c r="A2103" s="3" t="s">
        <v>2412</v>
      </c>
      <c r="B2103" s="3" t="s">
        <v>4537</v>
      </c>
      <c r="C2103" s="3" t="s">
        <v>181</v>
      </c>
      <c r="D2103" s="3" t="s">
        <v>300</v>
      </c>
      <c r="E2103" s="3">
        <v>505.22</v>
      </c>
      <c r="F2103" s="3" t="s">
        <v>2995</v>
      </c>
      <c r="G2103" s="3" t="s">
        <v>337</v>
      </c>
      <c r="H2103" s="3" t="s">
        <v>334</v>
      </c>
    </row>
    <row r="2104" spans="1:8" x14ac:dyDescent="0.25">
      <c r="A2104" s="3" t="s">
        <v>2413</v>
      </c>
      <c r="B2104" s="3" t="s">
        <v>4919</v>
      </c>
      <c r="C2104" s="3" t="s">
        <v>23</v>
      </c>
      <c r="D2104" s="3" t="s">
        <v>297</v>
      </c>
      <c r="E2104" s="3">
        <v>286.97000000000003</v>
      </c>
      <c r="F2104" s="3" t="s">
        <v>381</v>
      </c>
      <c r="G2104" s="3" t="s">
        <v>329</v>
      </c>
      <c r="H2104" s="3" t="s">
        <v>332</v>
      </c>
    </row>
    <row r="2105" spans="1:8" x14ac:dyDescent="0.25">
      <c r="A2105" s="3" t="s">
        <v>2414</v>
      </c>
      <c r="B2105" s="3" t="s">
        <v>4920</v>
      </c>
      <c r="C2105" s="3" t="s">
        <v>187</v>
      </c>
      <c r="D2105" s="3" t="s">
        <v>315</v>
      </c>
      <c r="E2105" s="3">
        <v>270.51</v>
      </c>
      <c r="F2105" s="3" t="s">
        <v>324</v>
      </c>
      <c r="G2105" s="3" t="s">
        <v>325</v>
      </c>
      <c r="H2105" s="3" t="s">
        <v>334</v>
      </c>
    </row>
    <row r="2106" spans="1:8" x14ac:dyDescent="0.25">
      <c r="A2106" s="3" t="s">
        <v>2415</v>
      </c>
      <c r="B2106" s="3" t="s">
        <v>4540</v>
      </c>
      <c r="C2106" s="3" t="s">
        <v>249</v>
      </c>
      <c r="D2106" s="3" t="s">
        <v>303</v>
      </c>
      <c r="E2106" s="3" t="s">
        <v>4921</v>
      </c>
      <c r="F2106" s="3" t="s">
        <v>324</v>
      </c>
      <c r="G2106" s="3" t="s">
        <v>337</v>
      </c>
      <c r="H2106" s="3" t="s">
        <v>334</v>
      </c>
    </row>
    <row r="2107" spans="1:8" x14ac:dyDescent="0.25">
      <c r="A2107" s="3" t="s">
        <v>2416</v>
      </c>
      <c r="B2107" s="3" t="s">
        <v>4384</v>
      </c>
      <c r="C2107" s="3" t="s">
        <v>11</v>
      </c>
      <c r="D2107" s="3" t="s">
        <v>309</v>
      </c>
      <c r="E2107" s="3">
        <v>429.29</v>
      </c>
      <c r="F2107" s="3" t="s">
        <v>381</v>
      </c>
      <c r="G2107" s="3" t="s">
        <v>325</v>
      </c>
      <c r="H2107" s="3" t="s">
        <v>334</v>
      </c>
    </row>
    <row r="2108" spans="1:8" x14ac:dyDescent="0.25">
      <c r="A2108" s="3" t="s">
        <v>2417</v>
      </c>
      <c r="B2108" s="3" t="s">
        <v>3053</v>
      </c>
      <c r="C2108" s="3" t="s">
        <v>213</v>
      </c>
      <c r="D2108" s="3" t="s">
        <v>300</v>
      </c>
      <c r="E2108" s="3">
        <v>331.19</v>
      </c>
      <c r="F2108" s="3" t="s">
        <v>2976</v>
      </c>
      <c r="G2108" s="3" t="s">
        <v>327</v>
      </c>
      <c r="H2108" s="3" t="s">
        <v>332</v>
      </c>
    </row>
    <row r="2109" spans="1:8" x14ac:dyDescent="0.25">
      <c r="A2109" s="3" t="s">
        <v>2418</v>
      </c>
      <c r="B2109" s="3" t="s">
        <v>4922</v>
      </c>
      <c r="C2109" s="3" t="s">
        <v>84</v>
      </c>
      <c r="D2109" s="3" t="s">
        <v>300</v>
      </c>
      <c r="E2109" s="3" t="s">
        <v>4923</v>
      </c>
      <c r="F2109" s="3" t="s">
        <v>324</v>
      </c>
      <c r="G2109" s="3" t="s">
        <v>337</v>
      </c>
      <c r="H2109" s="3"/>
    </row>
    <row r="2110" spans="1:8" x14ac:dyDescent="0.25">
      <c r="A2110" s="3" t="s">
        <v>2419</v>
      </c>
      <c r="B2110" s="3" t="s">
        <v>4251</v>
      </c>
      <c r="C2110" s="3" t="s">
        <v>217</v>
      </c>
      <c r="D2110" s="3" t="s">
        <v>315</v>
      </c>
      <c r="E2110" s="3" t="s">
        <v>4924</v>
      </c>
      <c r="F2110" s="3" t="s">
        <v>324</v>
      </c>
      <c r="G2110" s="3" t="s">
        <v>327</v>
      </c>
      <c r="H2110" s="3" t="s">
        <v>346</v>
      </c>
    </row>
    <row r="2111" spans="1:8" x14ac:dyDescent="0.25">
      <c r="A2111" s="3" t="s">
        <v>2420</v>
      </c>
      <c r="B2111" s="3" t="s">
        <v>4925</v>
      </c>
      <c r="C2111" s="3" t="s">
        <v>103</v>
      </c>
      <c r="D2111" s="3" t="s">
        <v>294</v>
      </c>
      <c r="E2111" s="3">
        <v>146.33000000000001</v>
      </c>
      <c r="F2111" s="3" t="s">
        <v>2973</v>
      </c>
      <c r="G2111" s="3" t="s">
        <v>337</v>
      </c>
      <c r="H2111" s="3"/>
    </row>
    <row r="2112" spans="1:8" x14ac:dyDescent="0.25">
      <c r="A2112" s="3" t="s">
        <v>2421</v>
      </c>
      <c r="B2112" s="3" t="s">
        <v>3598</v>
      </c>
      <c r="C2112" s="3" t="s">
        <v>38</v>
      </c>
      <c r="D2112" s="3" t="s">
        <v>303</v>
      </c>
      <c r="E2112" s="3">
        <v>105.03</v>
      </c>
      <c r="F2112" s="3" t="s">
        <v>324</v>
      </c>
      <c r="G2112" s="3" t="s">
        <v>327</v>
      </c>
      <c r="H2112" s="3"/>
    </row>
    <row r="2113" spans="1:8" x14ac:dyDescent="0.25">
      <c r="A2113" s="3" t="s">
        <v>2422</v>
      </c>
      <c r="B2113" s="3" t="s">
        <v>4600</v>
      </c>
      <c r="C2113" s="3" t="s">
        <v>35</v>
      </c>
      <c r="D2113" s="3" t="s">
        <v>294</v>
      </c>
      <c r="E2113" s="3">
        <v>487.92</v>
      </c>
      <c r="F2113" s="3" t="s">
        <v>324</v>
      </c>
      <c r="G2113" s="3" t="s">
        <v>325</v>
      </c>
      <c r="H2113" s="3" t="s">
        <v>334</v>
      </c>
    </row>
    <row r="2114" spans="1:8" x14ac:dyDescent="0.25">
      <c r="A2114" s="3" t="s">
        <v>2423</v>
      </c>
      <c r="B2114" s="3" t="s">
        <v>4905</v>
      </c>
      <c r="C2114" s="3" t="s">
        <v>121</v>
      </c>
      <c r="D2114" s="3" t="s">
        <v>294</v>
      </c>
      <c r="E2114" s="3" t="s">
        <v>4926</v>
      </c>
      <c r="F2114" s="3" t="s">
        <v>349</v>
      </c>
      <c r="G2114" s="3" t="s">
        <v>327</v>
      </c>
      <c r="H2114" s="3"/>
    </row>
    <row r="2115" spans="1:8" x14ac:dyDescent="0.25">
      <c r="A2115" s="3" t="s">
        <v>2424</v>
      </c>
      <c r="B2115" s="3" t="s">
        <v>3687</v>
      </c>
      <c r="C2115" s="3" t="s">
        <v>107</v>
      </c>
      <c r="D2115" s="3" t="s">
        <v>306</v>
      </c>
      <c r="E2115" s="3">
        <v>248.83</v>
      </c>
      <c r="F2115" s="3" t="s">
        <v>324</v>
      </c>
      <c r="G2115" s="3" t="s">
        <v>327</v>
      </c>
      <c r="H2115" s="3" t="s">
        <v>332</v>
      </c>
    </row>
    <row r="2116" spans="1:8" x14ac:dyDescent="0.25">
      <c r="A2116" s="3" t="s">
        <v>1200</v>
      </c>
      <c r="B2116" s="3" t="s">
        <v>3709</v>
      </c>
      <c r="C2116" s="3" t="s">
        <v>179</v>
      </c>
      <c r="D2116" s="3" t="s">
        <v>312</v>
      </c>
      <c r="E2116" s="3">
        <v>286.20999999999998</v>
      </c>
      <c r="F2116" s="3" t="s">
        <v>2988</v>
      </c>
      <c r="G2116" s="3" t="s">
        <v>325</v>
      </c>
      <c r="H2116" s="3" t="s">
        <v>346</v>
      </c>
    </row>
    <row r="2117" spans="1:8" x14ac:dyDescent="0.25">
      <c r="A2117" s="3" t="s">
        <v>2425</v>
      </c>
      <c r="B2117" s="3" t="s">
        <v>4623</v>
      </c>
      <c r="C2117" s="3" t="s">
        <v>271</v>
      </c>
      <c r="D2117" s="3" t="s">
        <v>312</v>
      </c>
      <c r="E2117" s="3" t="s">
        <v>4927</v>
      </c>
      <c r="F2117" s="3" t="s">
        <v>2995</v>
      </c>
      <c r="G2117" s="3" t="s">
        <v>337</v>
      </c>
      <c r="H2117" s="3"/>
    </row>
    <row r="2118" spans="1:8" x14ac:dyDescent="0.25">
      <c r="A2118" s="3" t="s">
        <v>2426</v>
      </c>
      <c r="B2118" s="3" t="s">
        <v>4097</v>
      </c>
      <c r="C2118" s="3" t="s">
        <v>209</v>
      </c>
      <c r="D2118" s="3" t="s">
        <v>294</v>
      </c>
      <c r="E2118" s="3">
        <v>403.34</v>
      </c>
      <c r="F2118" s="3" t="s">
        <v>3097</v>
      </c>
      <c r="G2118" s="3" t="s">
        <v>327</v>
      </c>
      <c r="H2118" s="3"/>
    </row>
    <row r="2119" spans="1:8" x14ac:dyDescent="0.25">
      <c r="A2119" s="3" t="s">
        <v>2427</v>
      </c>
      <c r="B2119" s="3" t="s">
        <v>4370</v>
      </c>
      <c r="C2119" s="3" t="s">
        <v>157</v>
      </c>
      <c r="D2119" s="3" t="s">
        <v>294</v>
      </c>
      <c r="E2119" s="3">
        <v>231.99</v>
      </c>
      <c r="F2119" s="3" t="s">
        <v>2973</v>
      </c>
      <c r="G2119" s="3" t="s">
        <v>327</v>
      </c>
      <c r="H2119" s="3"/>
    </row>
    <row r="2120" spans="1:8" x14ac:dyDescent="0.25">
      <c r="A2120" s="3" t="s">
        <v>2428</v>
      </c>
      <c r="B2120" s="3" t="s">
        <v>4303</v>
      </c>
      <c r="C2120" s="3" t="s">
        <v>76</v>
      </c>
      <c r="D2120" s="3" t="s">
        <v>312</v>
      </c>
      <c r="E2120" s="3">
        <v>265.95999999999998</v>
      </c>
      <c r="F2120" s="3" t="s">
        <v>2976</v>
      </c>
      <c r="G2120" s="3" t="s">
        <v>337</v>
      </c>
      <c r="H2120" s="3" t="s">
        <v>346</v>
      </c>
    </row>
    <row r="2121" spans="1:8" x14ac:dyDescent="0.25">
      <c r="A2121" s="3" t="s">
        <v>2429</v>
      </c>
      <c r="B2121" s="3" t="s">
        <v>4100</v>
      </c>
      <c r="C2121" s="3" t="s">
        <v>111</v>
      </c>
      <c r="D2121" s="3" t="s">
        <v>300</v>
      </c>
      <c r="E2121" s="3" t="s">
        <v>4928</v>
      </c>
      <c r="F2121" s="3" t="s">
        <v>2976</v>
      </c>
      <c r="G2121" s="3" t="s">
        <v>325</v>
      </c>
      <c r="H2121" s="3" t="s">
        <v>334</v>
      </c>
    </row>
    <row r="2122" spans="1:8" x14ac:dyDescent="0.25">
      <c r="A2122" s="3" t="s">
        <v>2430</v>
      </c>
      <c r="B2122" s="3" t="s">
        <v>4717</v>
      </c>
      <c r="C2122" s="3" t="s">
        <v>253</v>
      </c>
      <c r="D2122" s="3" t="s">
        <v>300</v>
      </c>
      <c r="E2122" s="3">
        <v>436.41</v>
      </c>
      <c r="F2122" s="3" t="s">
        <v>2976</v>
      </c>
      <c r="G2122" s="3" t="s">
        <v>327</v>
      </c>
      <c r="H2122" s="3"/>
    </row>
    <row r="2123" spans="1:8" x14ac:dyDescent="0.25">
      <c r="A2123" s="3" t="s">
        <v>2431</v>
      </c>
      <c r="B2123" s="3" t="s">
        <v>4929</v>
      </c>
      <c r="C2123" s="3" t="s">
        <v>90</v>
      </c>
      <c r="D2123" s="3" t="s">
        <v>315</v>
      </c>
      <c r="E2123" s="3">
        <v>203.34</v>
      </c>
      <c r="F2123" s="3" t="s">
        <v>324</v>
      </c>
      <c r="G2123" s="3" t="s">
        <v>325</v>
      </c>
      <c r="H2123" s="3" t="s">
        <v>332</v>
      </c>
    </row>
    <row r="2124" spans="1:8" x14ac:dyDescent="0.25">
      <c r="A2124" s="3" t="s">
        <v>2432</v>
      </c>
      <c r="B2124" s="3" t="s">
        <v>3010</v>
      </c>
      <c r="C2124" s="3" t="s">
        <v>396</v>
      </c>
      <c r="D2124" s="3" t="s">
        <v>300</v>
      </c>
      <c r="E2124" s="3">
        <v>998.26</v>
      </c>
      <c r="F2124" s="3" t="s">
        <v>324</v>
      </c>
      <c r="G2124" s="3" t="s">
        <v>327</v>
      </c>
      <c r="H2124" s="3"/>
    </row>
    <row r="2125" spans="1:8" x14ac:dyDescent="0.25">
      <c r="A2125" s="3" t="s">
        <v>2433</v>
      </c>
      <c r="B2125" s="3" t="s">
        <v>3482</v>
      </c>
      <c r="C2125" s="3" t="s">
        <v>68</v>
      </c>
      <c r="D2125" s="3" t="s">
        <v>294</v>
      </c>
      <c r="E2125" s="3" t="s">
        <v>4930</v>
      </c>
      <c r="F2125" s="3" t="s">
        <v>324</v>
      </c>
      <c r="G2125" s="3" t="s">
        <v>327</v>
      </c>
      <c r="H2125" s="3"/>
    </row>
    <row r="2126" spans="1:8" x14ac:dyDescent="0.25">
      <c r="A2126" s="3" t="s">
        <v>2434</v>
      </c>
      <c r="B2126" s="3" t="s">
        <v>4931</v>
      </c>
      <c r="C2126" s="3" t="s">
        <v>127</v>
      </c>
      <c r="D2126" s="3" t="s">
        <v>294</v>
      </c>
      <c r="E2126" s="3">
        <v>973.34</v>
      </c>
      <c r="F2126" s="3" t="s">
        <v>324</v>
      </c>
      <c r="G2126" s="3" t="s">
        <v>337</v>
      </c>
      <c r="H2126" s="3" t="s">
        <v>346</v>
      </c>
    </row>
    <row r="2127" spans="1:8" x14ac:dyDescent="0.25">
      <c r="A2127" s="3" t="s">
        <v>2435</v>
      </c>
      <c r="B2127" s="3" t="s">
        <v>4323</v>
      </c>
      <c r="C2127" s="3" t="s">
        <v>173</v>
      </c>
      <c r="D2127" s="3" t="s">
        <v>303</v>
      </c>
      <c r="E2127" s="3">
        <v>219.03</v>
      </c>
      <c r="F2127" s="3" t="s">
        <v>2973</v>
      </c>
      <c r="G2127" s="3" t="s">
        <v>327</v>
      </c>
      <c r="H2127" s="3"/>
    </row>
    <row r="2128" spans="1:8" x14ac:dyDescent="0.25">
      <c r="A2128" s="3" t="s">
        <v>2436</v>
      </c>
      <c r="B2128" s="3" t="s">
        <v>3877</v>
      </c>
      <c r="C2128" s="3" t="s">
        <v>49</v>
      </c>
      <c r="D2128" s="3" t="s">
        <v>309</v>
      </c>
      <c r="E2128" s="3">
        <v>866.48</v>
      </c>
      <c r="F2128" s="3" t="s">
        <v>324</v>
      </c>
      <c r="G2128" s="3" t="s">
        <v>325</v>
      </c>
      <c r="H2128" s="3"/>
    </row>
    <row r="2129" spans="1:8" x14ac:dyDescent="0.25">
      <c r="A2129" s="3" t="s">
        <v>2437</v>
      </c>
      <c r="B2129" s="3" t="s">
        <v>3214</v>
      </c>
      <c r="C2129" s="3" t="s">
        <v>207</v>
      </c>
      <c r="D2129" s="3" t="s">
        <v>306</v>
      </c>
      <c r="E2129" s="3">
        <v>796.78</v>
      </c>
      <c r="F2129" s="3" t="s">
        <v>2988</v>
      </c>
      <c r="G2129" s="3" t="s">
        <v>327</v>
      </c>
      <c r="H2129" s="3" t="s">
        <v>346</v>
      </c>
    </row>
    <row r="2130" spans="1:8" x14ac:dyDescent="0.25">
      <c r="A2130" s="3" t="s">
        <v>2438</v>
      </c>
      <c r="B2130" s="3" t="s">
        <v>4283</v>
      </c>
      <c r="C2130" s="3" t="s">
        <v>47</v>
      </c>
      <c r="D2130" s="3" t="s">
        <v>297</v>
      </c>
      <c r="E2130" s="3">
        <v>169.62</v>
      </c>
      <c r="F2130" s="3" t="s">
        <v>2973</v>
      </c>
      <c r="G2130" s="3" t="s">
        <v>325</v>
      </c>
      <c r="H2130" s="3"/>
    </row>
    <row r="2131" spans="1:8" x14ac:dyDescent="0.25">
      <c r="A2131" s="3" t="s">
        <v>2439</v>
      </c>
      <c r="B2131" s="3" t="s">
        <v>4932</v>
      </c>
      <c r="C2131" s="3" t="s">
        <v>113</v>
      </c>
      <c r="D2131" s="3" t="s">
        <v>306</v>
      </c>
      <c r="E2131" s="3" t="s">
        <v>4933</v>
      </c>
      <c r="F2131" s="3" t="s">
        <v>324</v>
      </c>
      <c r="G2131" s="3" t="s">
        <v>327</v>
      </c>
      <c r="H2131" s="3" t="s">
        <v>334</v>
      </c>
    </row>
    <row r="2132" spans="1:8" x14ac:dyDescent="0.25">
      <c r="A2132" s="3" t="s">
        <v>2440</v>
      </c>
      <c r="B2132" s="3" t="s">
        <v>3368</v>
      </c>
      <c r="C2132" s="3" t="s">
        <v>181</v>
      </c>
      <c r="D2132" s="3" t="s">
        <v>294</v>
      </c>
      <c r="E2132" s="3">
        <v>826.15</v>
      </c>
      <c r="F2132" s="3" t="s">
        <v>324</v>
      </c>
      <c r="G2132" s="3" t="s">
        <v>327</v>
      </c>
      <c r="H2132" s="3" t="s">
        <v>346</v>
      </c>
    </row>
    <row r="2133" spans="1:8" x14ac:dyDescent="0.25">
      <c r="A2133" s="3" t="s">
        <v>2441</v>
      </c>
      <c r="B2133" s="3" t="s">
        <v>4620</v>
      </c>
      <c r="C2133" s="3" t="s">
        <v>121</v>
      </c>
      <c r="D2133" s="3" t="s">
        <v>306</v>
      </c>
      <c r="E2133" s="3" t="s">
        <v>4934</v>
      </c>
      <c r="F2133" s="3" t="s">
        <v>2995</v>
      </c>
      <c r="G2133" s="3" t="s">
        <v>325</v>
      </c>
      <c r="H2133" s="3"/>
    </row>
    <row r="2134" spans="1:8" x14ac:dyDescent="0.25">
      <c r="A2134" s="3" t="s">
        <v>2442</v>
      </c>
      <c r="B2134" s="3" t="s">
        <v>4935</v>
      </c>
      <c r="C2134" s="3" t="s">
        <v>239</v>
      </c>
      <c r="D2134" s="3" t="s">
        <v>309</v>
      </c>
      <c r="E2134" s="3">
        <v>998.9</v>
      </c>
      <c r="F2134" s="3" t="s">
        <v>2995</v>
      </c>
      <c r="G2134" s="3" t="s">
        <v>329</v>
      </c>
      <c r="H2134" s="3" t="s">
        <v>332</v>
      </c>
    </row>
    <row r="2135" spans="1:8" x14ac:dyDescent="0.25">
      <c r="A2135" s="3" t="s">
        <v>2443</v>
      </c>
      <c r="B2135" s="3" t="s">
        <v>4418</v>
      </c>
      <c r="C2135" s="3" t="s">
        <v>191</v>
      </c>
      <c r="D2135" s="3" t="s">
        <v>297</v>
      </c>
      <c r="E2135" s="3" t="s">
        <v>4936</v>
      </c>
      <c r="F2135" s="3" t="s">
        <v>349</v>
      </c>
      <c r="G2135" s="3" t="s">
        <v>327</v>
      </c>
      <c r="H2135" s="3" t="s">
        <v>346</v>
      </c>
    </row>
    <row r="2136" spans="1:8" x14ac:dyDescent="0.25">
      <c r="A2136" s="3" t="s">
        <v>2444</v>
      </c>
      <c r="B2136" s="3" t="s">
        <v>4270</v>
      </c>
      <c r="C2136" s="3" t="s">
        <v>135</v>
      </c>
      <c r="D2136" s="3" t="s">
        <v>294</v>
      </c>
      <c r="E2136" s="3">
        <v>-222.8</v>
      </c>
      <c r="F2136" s="3" t="s">
        <v>349</v>
      </c>
      <c r="G2136" s="3" t="s">
        <v>329</v>
      </c>
      <c r="H2136" s="3"/>
    </row>
    <row r="2137" spans="1:8" x14ac:dyDescent="0.25">
      <c r="A2137" s="3" t="s">
        <v>2445</v>
      </c>
      <c r="B2137" s="3" t="s">
        <v>3631</v>
      </c>
      <c r="C2137" s="3" t="s">
        <v>15</v>
      </c>
      <c r="D2137" s="3" t="s">
        <v>294</v>
      </c>
      <c r="E2137" s="3">
        <v>184.45</v>
      </c>
      <c r="F2137" s="3" t="s">
        <v>2976</v>
      </c>
      <c r="G2137" s="3" t="s">
        <v>327</v>
      </c>
      <c r="H2137" s="3" t="s">
        <v>334</v>
      </c>
    </row>
    <row r="2138" spans="1:8" x14ac:dyDescent="0.25">
      <c r="A2138" s="3" t="s">
        <v>2446</v>
      </c>
      <c r="B2138" s="3" t="s">
        <v>3316</v>
      </c>
      <c r="C2138" s="3" t="s">
        <v>109</v>
      </c>
      <c r="D2138" s="3" t="s">
        <v>306</v>
      </c>
      <c r="E2138" s="3" t="s">
        <v>4937</v>
      </c>
      <c r="F2138" s="3" t="s">
        <v>324</v>
      </c>
      <c r="G2138" s="3" t="s">
        <v>327</v>
      </c>
      <c r="H2138" s="3"/>
    </row>
    <row r="2139" spans="1:8" x14ac:dyDescent="0.25">
      <c r="A2139" s="3" t="s">
        <v>2447</v>
      </c>
      <c r="B2139" s="3" t="s">
        <v>3952</v>
      </c>
      <c r="C2139" s="3" t="s">
        <v>263</v>
      </c>
      <c r="D2139" s="3" t="s">
        <v>300</v>
      </c>
      <c r="E2139" s="3">
        <v>122.55</v>
      </c>
      <c r="F2139" s="3" t="s">
        <v>324</v>
      </c>
      <c r="G2139" s="3"/>
      <c r="H2139" s="3" t="s">
        <v>334</v>
      </c>
    </row>
    <row r="2140" spans="1:8" x14ac:dyDescent="0.25">
      <c r="A2140" s="3" t="s">
        <v>2448</v>
      </c>
      <c r="B2140" s="3" t="s">
        <v>4938</v>
      </c>
      <c r="C2140" s="3" t="s">
        <v>259</v>
      </c>
      <c r="D2140" s="3" t="s">
        <v>309</v>
      </c>
      <c r="E2140" s="3" t="s">
        <v>4939</v>
      </c>
      <c r="F2140" s="3" t="s">
        <v>381</v>
      </c>
      <c r="G2140" s="3" t="s">
        <v>329</v>
      </c>
      <c r="H2140" s="3" t="s">
        <v>332</v>
      </c>
    </row>
    <row r="2141" spans="1:8" x14ac:dyDescent="0.25">
      <c r="A2141" s="3" t="s">
        <v>2449</v>
      </c>
      <c r="B2141" s="3" t="s">
        <v>4251</v>
      </c>
      <c r="C2141" s="3" t="s">
        <v>173</v>
      </c>
      <c r="D2141" s="3" t="s">
        <v>303</v>
      </c>
      <c r="E2141" s="3">
        <v>283.27</v>
      </c>
      <c r="F2141" s="3" t="s">
        <v>2988</v>
      </c>
      <c r="G2141" s="3" t="s">
        <v>325</v>
      </c>
      <c r="H2141" s="3" t="s">
        <v>334</v>
      </c>
    </row>
    <row r="2142" spans="1:8" x14ac:dyDescent="0.25">
      <c r="A2142" s="3" t="s">
        <v>2450</v>
      </c>
      <c r="B2142" s="3" t="s">
        <v>3466</v>
      </c>
      <c r="C2142" s="3" t="s">
        <v>90</v>
      </c>
      <c r="D2142" s="3" t="s">
        <v>312</v>
      </c>
      <c r="E2142" s="3">
        <v>1204.7</v>
      </c>
      <c r="F2142" s="3" t="s">
        <v>324</v>
      </c>
      <c r="G2142" s="3" t="s">
        <v>329</v>
      </c>
      <c r="H2142" s="3" t="s">
        <v>346</v>
      </c>
    </row>
    <row r="2143" spans="1:8" x14ac:dyDescent="0.25">
      <c r="A2143" s="3" t="s">
        <v>2451</v>
      </c>
      <c r="B2143" s="3" t="s">
        <v>3672</v>
      </c>
      <c r="C2143" s="3" t="s">
        <v>277</v>
      </c>
      <c r="D2143" s="3" t="s">
        <v>294</v>
      </c>
      <c r="E2143" s="3" t="s">
        <v>4940</v>
      </c>
      <c r="F2143" s="3" t="s">
        <v>324</v>
      </c>
      <c r="G2143" s="3" t="s">
        <v>337</v>
      </c>
      <c r="H2143" s="3" t="s">
        <v>346</v>
      </c>
    </row>
    <row r="2144" spans="1:8" x14ac:dyDescent="0.25">
      <c r="A2144" s="3" t="s">
        <v>2452</v>
      </c>
      <c r="B2144" s="3" t="s">
        <v>3576</v>
      </c>
      <c r="C2144" s="3" t="s">
        <v>253</v>
      </c>
      <c r="D2144" s="3" t="s">
        <v>294</v>
      </c>
      <c r="E2144" s="3" t="s">
        <v>4941</v>
      </c>
      <c r="F2144" s="3" t="s">
        <v>324</v>
      </c>
      <c r="G2144" s="3" t="s">
        <v>327</v>
      </c>
      <c r="H2144" s="3" t="s">
        <v>332</v>
      </c>
    </row>
    <row r="2145" spans="1:8" x14ac:dyDescent="0.25">
      <c r="A2145" s="3" t="s">
        <v>2453</v>
      </c>
      <c r="B2145" s="3" t="s">
        <v>4942</v>
      </c>
      <c r="C2145" s="3" t="s">
        <v>217</v>
      </c>
      <c r="D2145" s="3" t="s">
        <v>300</v>
      </c>
      <c r="E2145" s="3" t="s">
        <v>4943</v>
      </c>
      <c r="F2145" s="3" t="s">
        <v>2973</v>
      </c>
      <c r="G2145" s="3" t="s">
        <v>327</v>
      </c>
      <c r="H2145" s="3"/>
    </row>
    <row r="2146" spans="1:8" x14ac:dyDescent="0.25">
      <c r="A2146" s="3" t="s">
        <v>2454</v>
      </c>
      <c r="B2146" s="3" t="s">
        <v>4944</v>
      </c>
      <c r="C2146" s="3" t="s">
        <v>167</v>
      </c>
      <c r="D2146" s="3" t="s">
        <v>297</v>
      </c>
      <c r="E2146" s="3" t="s">
        <v>4945</v>
      </c>
      <c r="F2146" s="3" t="s">
        <v>2976</v>
      </c>
      <c r="G2146" s="3" t="s">
        <v>325</v>
      </c>
      <c r="H2146" s="3" t="s">
        <v>346</v>
      </c>
    </row>
    <row r="2147" spans="1:8" x14ac:dyDescent="0.25">
      <c r="A2147" s="3" t="s">
        <v>2455</v>
      </c>
      <c r="B2147" s="3" t="s">
        <v>4630</v>
      </c>
      <c r="C2147" s="3" t="s">
        <v>143</v>
      </c>
      <c r="D2147" s="3" t="s">
        <v>294</v>
      </c>
      <c r="E2147" s="3">
        <v>65.52</v>
      </c>
      <c r="F2147" s="3" t="s">
        <v>2976</v>
      </c>
      <c r="G2147" s="3" t="s">
        <v>337</v>
      </c>
      <c r="H2147" s="3"/>
    </row>
    <row r="2148" spans="1:8" x14ac:dyDescent="0.25">
      <c r="A2148" s="3" t="s">
        <v>2456</v>
      </c>
      <c r="B2148" s="3" t="s">
        <v>4216</v>
      </c>
      <c r="C2148" s="3" t="s">
        <v>11</v>
      </c>
      <c r="D2148" s="3" t="s">
        <v>300</v>
      </c>
      <c r="E2148" s="3">
        <v>614.16</v>
      </c>
      <c r="F2148" s="3" t="s">
        <v>324</v>
      </c>
      <c r="G2148" s="3" t="s">
        <v>327</v>
      </c>
      <c r="H2148" s="3"/>
    </row>
    <row r="2149" spans="1:8" x14ac:dyDescent="0.25">
      <c r="A2149" s="3" t="s">
        <v>2457</v>
      </c>
      <c r="B2149" s="3" t="s">
        <v>3798</v>
      </c>
      <c r="C2149" s="3" t="s">
        <v>60</v>
      </c>
      <c r="D2149" s="3" t="s">
        <v>315</v>
      </c>
      <c r="E2149" s="3" t="s">
        <v>4946</v>
      </c>
      <c r="F2149" s="3" t="s">
        <v>331</v>
      </c>
      <c r="G2149" s="3" t="s">
        <v>327</v>
      </c>
      <c r="H2149" s="3"/>
    </row>
    <row r="2150" spans="1:8" x14ac:dyDescent="0.25">
      <c r="A2150" s="3" t="s">
        <v>2458</v>
      </c>
      <c r="B2150" s="3" t="s">
        <v>4859</v>
      </c>
      <c r="C2150" s="3" t="s">
        <v>203</v>
      </c>
      <c r="D2150" s="3" t="s">
        <v>315</v>
      </c>
      <c r="E2150" s="3">
        <v>496.06</v>
      </c>
      <c r="F2150" s="3" t="s">
        <v>2973</v>
      </c>
      <c r="G2150" s="3" t="s">
        <v>337</v>
      </c>
      <c r="H2150" s="3"/>
    </row>
    <row r="2151" spans="1:8" x14ac:dyDescent="0.25">
      <c r="A2151" s="3" t="s">
        <v>2459</v>
      </c>
      <c r="B2151" s="3" t="s">
        <v>4947</v>
      </c>
      <c r="C2151" s="3" t="s">
        <v>143</v>
      </c>
      <c r="D2151" s="3" t="s">
        <v>297</v>
      </c>
      <c r="E2151" s="3" t="s">
        <v>4948</v>
      </c>
      <c r="F2151" s="3" t="s">
        <v>324</v>
      </c>
      <c r="G2151" s="3" t="s">
        <v>337</v>
      </c>
      <c r="H2151" s="3" t="s">
        <v>334</v>
      </c>
    </row>
    <row r="2152" spans="1:8" x14ac:dyDescent="0.25">
      <c r="A2152" s="3" t="s">
        <v>2460</v>
      </c>
      <c r="B2152" s="3" t="s">
        <v>4949</v>
      </c>
      <c r="C2152" s="3" t="s">
        <v>66</v>
      </c>
      <c r="D2152" s="3" t="s">
        <v>297</v>
      </c>
      <c r="E2152" s="3">
        <v>333.21</v>
      </c>
      <c r="F2152" s="3" t="s">
        <v>2976</v>
      </c>
      <c r="G2152" s="3" t="s">
        <v>329</v>
      </c>
      <c r="H2152" s="3" t="s">
        <v>332</v>
      </c>
    </row>
    <row r="2153" spans="1:8" x14ac:dyDescent="0.25">
      <c r="A2153" s="3" t="s">
        <v>2461</v>
      </c>
      <c r="B2153" s="3" t="s">
        <v>4950</v>
      </c>
      <c r="C2153" s="3" t="s">
        <v>251</v>
      </c>
      <c r="D2153" s="3" t="s">
        <v>303</v>
      </c>
      <c r="E2153" s="3">
        <v>143.66</v>
      </c>
      <c r="F2153" s="3" t="s">
        <v>2976</v>
      </c>
      <c r="G2153" s="3" t="s">
        <v>337</v>
      </c>
      <c r="H2153" s="3"/>
    </row>
    <row r="2154" spans="1:8" x14ac:dyDescent="0.25">
      <c r="A2154" s="3" t="s">
        <v>2254</v>
      </c>
      <c r="B2154" s="3" t="s">
        <v>4802</v>
      </c>
      <c r="C2154" s="3" t="s">
        <v>19</v>
      </c>
      <c r="D2154" s="3" t="s">
        <v>294</v>
      </c>
      <c r="E2154" s="3" t="s">
        <v>4803</v>
      </c>
      <c r="F2154" s="3" t="s">
        <v>324</v>
      </c>
      <c r="G2154" s="3" t="s">
        <v>327</v>
      </c>
      <c r="H2154" s="3"/>
    </row>
    <row r="2155" spans="1:8" x14ac:dyDescent="0.25">
      <c r="A2155" s="3" t="s">
        <v>2462</v>
      </c>
      <c r="B2155" s="3" t="s">
        <v>3061</v>
      </c>
      <c r="C2155" s="3" t="s">
        <v>105</v>
      </c>
      <c r="D2155" s="3" t="s">
        <v>303</v>
      </c>
      <c r="E2155" s="3" t="s">
        <v>4951</v>
      </c>
      <c r="F2155" s="3" t="s">
        <v>2973</v>
      </c>
      <c r="G2155" s="3" t="s">
        <v>329</v>
      </c>
      <c r="H2155" s="3" t="s">
        <v>332</v>
      </c>
    </row>
    <row r="2156" spans="1:8" x14ac:dyDescent="0.25">
      <c r="A2156" s="3" t="s">
        <v>2463</v>
      </c>
      <c r="B2156" s="3" t="s">
        <v>3672</v>
      </c>
      <c r="C2156" s="3" t="s">
        <v>269</v>
      </c>
      <c r="D2156" s="3" t="s">
        <v>309</v>
      </c>
      <c r="E2156" s="3">
        <v>180.17</v>
      </c>
      <c r="F2156" s="3" t="s">
        <v>2995</v>
      </c>
      <c r="G2156" s="3" t="s">
        <v>325</v>
      </c>
      <c r="H2156" s="3"/>
    </row>
    <row r="2157" spans="1:8" x14ac:dyDescent="0.25">
      <c r="A2157" s="3" t="s">
        <v>2464</v>
      </c>
      <c r="B2157" s="3" t="s">
        <v>4952</v>
      </c>
      <c r="C2157" s="3" t="s">
        <v>123</v>
      </c>
      <c r="D2157" s="3" t="s">
        <v>294</v>
      </c>
      <c r="E2157" s="3">
        <v>444.23</v>
      </c>
      <c r="F2157" s="3" t="s">
        <v>331</v>
      </c>
      <c r="G2157" s="3" t="s">
        <v>325</v>
      </c>
      <c r="H2157" s="3"/>
    </row>
    <row r="2158" spans="1:8" x14ac:dyDescent="0.25">
      <c r="A2158" s="3" t="s">
        <v>1097</v>
      </c>
      <c r="B2158" s="3" t="s">
        <v>3879</v>
      </c>
      <c r="C2158" s="3" t="s">
        <v>255</v>
      </c>
      <c r="D2158" s="3" t="s">
        <v>294</v>
      </c>
      <c r="E2158" s="3">
        <v>216.62</v>
      </c>
      <c r="F2158" s="3" t="s">
        <v>381</v>
      </c>
      <c r="G2158" s="3" t="s">
        <v>327</v>
      </c>
      <c r="H2158" s="3" t="s">
        <v>334</v>
      </c>
    </row>
    <row r="2159" spans="1:8" x14ac:dyDescent="0.25">
      <c r="A2159" s="3" t="s">
        <v>2465</v>
      </c>
      <c r="B2159" s="3" t="s">
        <v>3240</v>
      </c>
      <c r="C2159" s="3" t="s">
        <v>117</v>
      </c>
      <c r="D2159" s="3" t="s">
        <v>294</v>
      </c>
      <c r="E2159" s="3">
        <v>529.5</v>
      </c>
      <c r="F2159" s="3" t="s">
        <v>3157</v>
      </c>
      <c r="G2159" s="3" t="s">
        <v>325</v>
      </c>
      <c r="H2159" s="3"/>
    </row>
    <row r="2160" spans="1:8" x14ac:dyDescent="0.25">
      <c r="A2160" s="3" t="s">
        <v>2466</v>
      </c>
      <c r="B2160" s="3" t="s">
        <v>4004</v>
      </c>
      <c r="C2160" s="3" t="s">
        <v>64</v>
      </c>
      <c r="D2160" s="3" t="s">
        <v>294</v>
      </c>
      <c r="E2160" s="3">
        <v>208.67</v>
      </c>
      <c r="F2160" s="3" t="s">
        <v>3112</v>
      </c>
      <c r="G2160" s="3" t="s">
        <v>327</v>
      </c>
      <c r="H2160" s="3" t="s">
        <v>332</v>
      </c>
    </row>
    <row r="2161" spans="1:8" x14ac:dyDescent="0.25">
      <c r="A2161" s="3" t="s">
        <v>2467</v>
      </c>
      <c r="B2161" s="3" t="s">
        <v>4953</v>
      </c>
      <c r="C2161" s="3" t="s">
        <v>55</v>
      </c>
      <c r="D2161" s="3" t="s">
        <v>297</v>
      </c>
      <c r="E2161" s="3">
        <v>341.22</v>
      </c>
      <c r="F2161" s="3" t="s">
        <v>2976</v>
      </c>
      <c r="G2161" s="3" t="s">
        <v>325</v>
      </c>
      <c r="H2161" s="3" t="s">
        <v>334</v>
      </c>
    </row>
    <row r="2162" spans="1:8" x14ac:dyDescent="0.25">
      <c r="A2162" s="3" t="s">
        <v>2468</v>
      </c>
      <c r="B2162" s="3" t="s">
        <v>3142</v>
      </c>
      <c r="C2162" s="3" t="s">
        <v>257</v>
      </c>
      <c r="D2162" s="3" t="s">
        <v>303</v>
      </c>
      <c r="E2162" s="3">
        <v>1289.79</v>
      </c>
      <c r="F2162" s="3" t="s">
        <v>324</v>
      </c>
      <c r="G2162" s="3" t="s">
        <v>327</v>
      </c>
      <c r="H2162" s="3" t="s">
        <v>346</v>
      </c>
    </row>
    <row r="2163" spans="1:8" x14ac:dyDescent="0.25">
      <c r="A2163" s="3" t="s">
        <v>2469</v>
      </c>
      <c r="B2163" s="3" t="s">
        <v>3458</v>
      </c>
      <c r="C2163" s="3" t="s">
        <v>135</v>
      </c>
      <c r="D2163" s="3" t="s">
        <v>315</v>
      </c>
      <c r="E2163" s="3" t="s">
        <v>4954</v>
      </c>
      <c r="F2163" s="3" t="s">
        <v>324</v>
      </c>
      <c r="G2163" s="3" t="s">
        <v>325</v>
      </c>
      <c r="H2163" s="3" t="s">
        <v>346</v>
      </c>
    </row>
    <row r="2164" spans="1:8" x14ac:dyDescent="0.25">
      <c r="A2164" s="3" t="s">
        <v>2470</v>
      </c>
      <c r="B2164" s="3" t="s">
        <v>3274</v>
      </c>
      <c r="C2164" s="3" t="s">
        <v>237</v>
      </c>
      <c r="D2164" s="3" t="s">
        <v>315</v>
      </c>
      <c r="E2164" s="3">
        <v>192.28</v>
      </c>
      <c r="F2164" s="3" t="s">
        <v>324</v>
      </c>
      <c r="G2164" s="3" t="s">
        <v>325</v>
      </c>
      <c r="H2164" s="3" t="s">
        <v>346</v>
      </c>
    </row>
    <row r="2165" spans="1:8" x14ac:dyDescent="0.25">
      <c r="A2165" s="3" t="s">
        <v>2471</v>
      </c>
      <c r="B2165" s="3" t="s">
        <v>3303</v>
      </c>
      <c r="C2165" s="3" t="s">
        <v>169</v>
      </c>
      <c r="D2165" s="3" t="s">
        <v>309</v>
      </c>
      <c r="E2165" s="3">
        <v>433.31</v>
      </c>
      <c r="F2165" s="3" t="s">
        <v>2976</v>
      </c>
      <c r="G2165" s="3" t="s">
        <v>325</v>
      </c>
      <c r="H2165" s="3" t="s">
        <v>332</v>
      </c>
    </row>
    <row r="2166" spans="1:8" x14ac:dyDescent="0.25">
      <c r="A2166" s="3" t="s">
        <v>2472</v>
      </c>
      <c r="B2166" s="3" t="s">
        <v>4955</v>
      </c>
      <c r="C2166" s="3" t="s">
        <v>119</v>
      </c>
      <c r="D2166" s="3" t="s">
        <v>312</v>
      </c>
      <c r="E2166" s="3" t="s">
        <v>4956</v>
      </c>
      <c r="F2166" s="3" t="s">
        <v>2988</v>
      </c>
      <c r="G2166" s="3" t="s">
        <v>337</v>
      </c>
      <c r="H2166" s="3" t="s">
        <v>346</v>
      </c>
    </row>
    <row r="2167" spans="1:8" x14ac:dyDescent="0.25">
      <c r="A2167" s="3" t="s">
        <v>2473</v>
      </c>
      <c r="B2167" s="3" t="s">
        <v>3601</v>
      </c>
      <c r="C2167" s="3" t="s">
        <v>189</v>
      </c>
      <c r="D2167" s="3" t="s">
        <v>297</v>
      </c>
      <c r="E2167" s="3">
        <v>979.22</v>
      </c>
      <c r="F2167" s="3" t="s">
        <v>2995</v>
      </c>
      <c r="G2167" s="3" t="s">
        <v>329</v>
      </c>
      <c r="H2167" s="3" t="s">
        <v>334</v>
      </c>
    </row>
    <row r="2168" spans="1:8" x14ac:dyDescent="0.25">
      <c r="A2168" s="3" t="s">
        <v>2474</v>
      </c>
      <c r="B2168" s="3" t="s">
        <v>3627</v>
      </c>
      <c r="C2168" s="3" t="s">
        <v>117</v>
      </c>
      <c r="D2168" s="3" t="s">
        <v>306</v>
      </c>
      <c r="E2168" s="3">
        <v>399.09</v>
      </c>
      <c r="F2168" s="3" t="s">
        <v>324</v>
      </c>
      <c r="G2168" s="3" t="s">
        <v>327</v>
      </c>
      <c r="H2168" s="3" t="s">
        <v>346</v>
      </c>
    </row>
    <row r="2169" spans="1:8" x14ac:dyDescent="0.25">
      <c r="A2169" s="3" t="s">
        <v>2475</v>
      </c>
      <c r="B2169" s="3" t="s">
        <v>4957</v>
      </c>
      <c r="C2169" s="3" t="s">
        <v>80</v>
      </c>
      <c r="D2169" s="3" t="s">
        <v>294</v>
      </c>
      <c r="E2169" s="3">
        <v>205.77</v>
      </c>
      <c r="F2169" s="3" t="s">
        <v>2988</v>
      </c>
      <c r="G2169" s="3" t="s">
        <v>337</v>
      </c>
      <c r="H2169" s="3"/>
    </row>
    <row r="2170" spans="1:8" x14ac:dyDescent="0.25">
      <c r="A2170" s="3" t="s">
        <v>2476</v>
      </c>
      <c r="B2170" s="3" t="s">
        <v>4889</v>
      </c>
      <c r="C2170" s="3" t="s">
        <v>157</v>
      </c>
      <c r="D2170" s="3" t="s">
        <v>309</v>
      </c>
      <c r="E2170" s="3">
        <v>161.75</v>
      </c>
      <c r="F2170" s="3" t="s">
        <v>324</v>
      </c>
      <c r="G2170" s="3" t="s">
        <v>325</v>
      </c>
      <c r="H2170" s="3" t="s">
        <v>346</v>
      </c>
    </row>
    <row r="2171" spans="1:8" x14ac:dyDescent="0.25">
      <c r="A2171" s="3" t="s">
        <v>2477</v>
      </c>
      <c r="B2171" s="3" t="s">
        <v>4958</v>
      </c>
      <c r="C2171" s="3" t="s">
        <v>187</v>
      </c>
      <c r="D2171" s="3" t="s">
        <v>294</v>
      </c>
      <c r="E2171" s="3" t="s">
        <v>4959</v>
      </c>
      <c r="F2171" s="3" t="s">
        <v>2995</v>
      </c>
      <c r="G2171" s="3" t="s">
        <v>337</v>
      </c>
      <c r="H2171" s="3"/>
    </row>
    <row r="2172" spans="1:8" x14ac:dyDescent="0.25">
      <c r="A2172" s="3" t="s">
        <v>2478</v>
      </c>
      <c r="B2172" s="3" t="s">
        <v>4289</v>
      </c>
      <c r="C2172" s="3" t="s">
        <v>181</v>
      </c>
      <c r="D2172" s="3" t="s">
        <v>294</v>
      </c>
      <c r="E2172" s="3">
        <v>182.45</v>
      </c>
      <c r="F2172" s="3" t="s">
        <v>2976</v>
      </c>
      <c r="G2172" s="3" t="s">
        <v>327</v>
      </c>
      <c r="H2172" s="3" t="s">
        <v>334</v>
      </c>
    </row>
    <row r="2173" spans="1:8" x14ac:dyDescent="0.25">
      <c r="A2173" s="3" t="s">
        <v>2479</v>
      </c>
      <c r="B2173" s="3" t="s">
        <v>4960</v>
      </c>
      <c r="C2173" s="3" t="s">
        <v>60</v>
      </c>
      <c r="D2173" s="3" t="s">
        <v>315</v>
      </c>
      <c r="E2173" s="3">
        <v>182.91</v>
      </c>
      <c r="F2173" s="3" t="s">
        <v>381</v>
      </c>
      <c r="G2173" s="3" t="s">
        <v>325</v>
      </c>
      <c r="H2173" s="3" t="s">
        <v>334</v>
      </c>
    </row>
    <row r="2174" spans="1:8" x14ac:dyDescent="0.25">
      <c r="A2174" s="3" t="s">
        <v>2480</v>
      </c>
      <c r="B2174" s="3" t="s">
        <v>4369</v>
      </c>
      <c r="C2174" s="3" t="s">
        <v>165</v>
      </c>
      <c r="D2174" s="3" t="s">
        <v>303</v>
      </c>
      <c r="E2174" s="3" t="s">
        <v>4961</v>
      </c>
      <c r="F2174" s="3" t="s">
        <v>324</v>
      </c>
      <c r="G2174" s="3" t="s">
        <v>327</v>
      </c>
      <c r="H2174" s="3" t="s">
        <v>346</v>
      </c>
    </row>
    <row r="2175" spans="1:8" x14ac:dyDescent="0.25">
      <c r="A2175" s="3" t="s">
        <v>2481</v>
      </c>
      <c r="B2175" s="3" t="s">
        <v>3462</v>
      </c>
      <c r="C2175" s="3" t="s">
        <v>53</v>
      </c>
      <c r="D2175" s="3" t="s">
        <v>306</v>
      </c>
      <c r="E2175" s="3">
        <v>452.48</v>
      </c>
      <c r="F2175" s="3" t="s">
        <v>381</v>
      </c>
      <c r="G2175" s="3" t="s">
        <v>327</v>
      </c>
      <c r="H2175" s="3"/>
    </row>
    <row r="2176" spans="1:8" x14ac:dyDescent="0.25">
      <c r="A2176" s="3" t="s">
        <v>2482</v>
      </c>
      <c r="B2176" s="3" t="s">
        <v>4962</v>
      </c>
      <c r="C2176" s="3" t="s">
        <v>173</v>
      </c>
      <c r="D2176" s="3" t="s">
        <v>297</v>
      </c>
      <c r="E2176" s="3" t="s">
        <v>4963</v>
      </c>
      <c r="F2176" s="3" t="s">
        <v>324</v>
      </c>
      <c r="G2176" s="3"/>
      <c r="H2176" s="3"/>
    </row>
    <row r="2177" spans="1:8" x14ac:dyDescent="0.25">
      <c r="A2177" s="3" t="s">
        <v>2483</v>
      </c>
      <c r="B2177" s="3" t="s">
        <v>3329</v>
      </c>
      <c r="C2177" s="3" t="s">
        <v>100</v>
      </c>
      <c r="D2177" s="3" t="s">
        <v>294</v>
      </c>
      <c r="E2177" s="3" t="s">
        <v>4964</v>
      </c>
      <c r="F2177" s="3" t="s">
        <v>2976</v>
      </c>
      <c r="G2177" s="3" t="s">
        <v>337</v>
      </c>
      <c r="H2177" s="3"/>
    </row>
    <row r="2178" spans="1:8" x14ac:dyDescent="0.25">
      <c r="A2178" s="3" t="s">
        <v>2484</v>
      </c>
      <c r="B2178" s="3" t="s">
        <v>4595</v>
      </c>
      <c r="C2178" s="3" t="s">
        <v>119</v>
      </c>
      <c r="D2178" s="3" t="s">
        <v>294</v>
      </c>
      <c r="E2178" s="3">
        <v>587.59</v>
      </c>
      <c r="F2178" s="3" t="s">
        <v>3037</v>
      </c>
      <c r="G2178" s="3"/>
      <c r="H2178" s="3"/>
    </row>
    <row r="2179" spans="1:8" x14ac:dyDescent="0.25">
      <c r="A2179" s="3" t="s">
        <v>2485</v>
      </c>
      <c r="B2179" s="3" t="s">
        <v>4410</v>
      </c>
      <c r="C2179" s="3" t="s">
        <v>90</v>
      </c>
      <c r="D2179" s="3" t="s">
        <v>315</v>
      </c>
      <c r="E2179" s="3" t="s">
        <v>4965</v>
      </c>
      <c r="F2179" s="3" t="s">
        <v>324</v>
      </c>
      <c r="G2179" s="3" t="s">
        <v>325</v>
      </c>
      <c r="H2179" s="3" t="s">
        <v>334</v>
      </c>
    </row>
    <row r="2180" spans="1:8" x14ac:dyDescent="0.25">
      <c r="A2180" s="3" t="s">
        <v>2486</v>
      </c>
      <c r="B2180" s="3" t="s">
        <v>3153</v>
      </c>
      <c r="C2180" s="3" t="s">
        <v>26</v>
      </c>
      <c r="D2180" s="3" t="s">
        <v>315</v>
      </c>
      <c r="E2180" s="3" t="s">
        <v>4966</v>
      </c>
      <c r="F2180" s="3" t="s">
        <v>2995</v>
      </c>
      <c r="G2180" s="3" t="s">
        <v>329</v>
      </c>
      <c r="H2180" s="3" t="s">
        <v>346</v>
      </c>
    </row>
    <row r="2181" spans="1:8" x14ac:dyDescent="0.25">
      <c r="A2181" s="3" t="s">
        <v>2487</v>
      </c>
      <c r="B2181" s="3" t="s">
        <v>4688</v>
      </c>
      <c r="C2181" s="3" t="s">
        <v>267</v>
      </c>
      <c r="D2181" s="3" t="s">
        <v>306</v>
      </c>
      <c r="E2181" s="3">
        <v>296.86</v>
      </c>
      <c r="F2181" s="3" t="s">
        <v>324</v>
      </c>
      <c r="G2181" s="3" t="s">
        <v>327</v>
      </c>
      <c r="H2181" s="3" t="s">
        <v>334</v>
      </c>
    </row>
    <row r="2182" spans="1:8" x14ac:dyDescent="0.25">
      <c r="A2182" s="3" t="s">
        <v>2488</v>
      </c>
      <c r="B2182" s="3" t="s">
        <v>4618</v>
      </c>
      <c r="C2182" s="3" t="s">
        <v>199</v>
      </c>
      <c r="D2182" s="3" t="s">
        <v>294</v>
      </c>
      <c r="E2182" s="3" t="s">
        <v>4967</v>
      </c>
      <c r="F2182" s="3" t="s">
        <v>324</v>
      </c>
      <c r="G2182" s="3" t="s">
        <v>329</v>
      </c>
      <c r="H2182" s="3" t="s">
        <v>346</v>
      </c>
    </row>
    <row r="2183" spans="1:8" x14ac:dyDescent="0.25">
      <c r="A2183" s="3" t="s">
        <v>2489</v>
      </c>
      <c r="B2183" s="3" t="s">
        <v>4775</v>
      </c>
      <c r="C2183" s="3" t="s">
        <v>98</v>
      </c>
      <c r="D2183" s="3" t="s">
        <v>300</v>
      </c>
      <c r="E2183" s="3">
        <v>728.04</v>
      </c>
      <c r="F2183" s="3" t="s">
        <v>2973</v>
      </c>
      <c r="G2183" s="3" t="s">
        <v>329</v>
      </c>
      <c r="H2183" s="3" t="s">
        <v>346</v>
      </c>
    </row>
    <row r="2184" spans="1:8" x14ac:dyDescent="0.25">
      <c r="A2184" s="3" t="s">
        <v>1048</v>
      </c>
      <c r="B2184" s="3" t="s">
        <v>3422</v>
      </c>
      <c r="C2184" s="3" t="s">
        <v>219</v>
      </c>
      <c r="D2184" s="3" t="s">
        <v>294</v>
      </c>
      <c r="E2184" s="3" t="s">
        <v>3834</v>
      </c>
      <c r="F2184" s="3" t="s">
        <v>324</v>
      </c>
      <c r="G2184" s="3" t="s">
        <v>337</v>
      </c>
      <c r="H2184" s="3" t="s">
        <v>346</v>
      </c>
    </row>
    <row r="2185" spans="1:8" x14ac:dyDescent="0.25">
      <c r="A2185" s="3" t="s">
        <v>2490</v>
      </c>
      <c r="B2185" s="3" t="s">
        <v>3480</v>
      </c>
      <c r="C2185" s="3" t="s">
        <v>129</v>
      </c>
      <c r="D2185" s="3" t="s">
        <v>312</v>
      </c>
      <c r="E2185" s="3" t="s">
        <v>4968</v>
      </c>
      <c r="F2185" s="3" t="s">
        <v>324</v>
      </c>
      <c r="G2185" s="3" t="s">
        <v>337</v>
      </c>
      <c r="H2185" s="3" t="s">
        <v>332</v>
      </c>
    </row>
    <row r="2186" spans="1:8" x14ac:dyDescent="0.25">
      <c r="A2186" s="3" t="s">
        <v>2491</v>
      </c>
      <c r="B2186" s="3" t="s">
        <v>4324</v>
      </c>
      <c r="C2186" s="3" t="s">
        <v>153</v>
      </c>
      <c r="D2186" s="3" t="s">
        <v>294</v>
      </c>
      <c r="E2186" s="3">
        <v>343.26</v>
      </c>
      <c r="F2186" s="3" t="s">
        <v>381</v>
      </c>
      <c r="G2186" s="3" t="s">
        <v>329</v>
      </c>
      <c r="H2186" s="3"/>
    </row>
    <row r="2187" spans="1:8" x14ac:dyDescent="0.25">
      <c r="A2187" s="3" t="s">
        <v>2492</v>
      </c>
      <c r="B2187" s="3" t="s">
        <v>4468</v>
      </c>
      <c r="C2187" s="3" t="s">
        <v>139</v>
      </c>
      <c r="D2187" s="3" t="s">
        <v>294</v>
      </c>
      <c r="E2187" s="3" t="s">
        <v>4969</v>
      </c>
      <c r="F2187" s="3" t="s">
        <v>324</v>
      </c>
      <c r="G2187" s="3" t="s">
        <v>325</v>
      </c>
      <c r="H2187" s="3"/>
    </row>
    <row r="2188" spans="1:8" x14ac:dyDescent="0.25">
      <c r="A2188" s="3" t="s">
        <v>2493</v>
      </c>
      <c r="B2188" s="3" t="s">
        <v>3712</v>
      </c>
      <c r="C2188" s="3" t="s">
        <v>105</v>
      </c>
      <c r="D2188" s="3" t="s">
        <v>303</v>
      </c>
      <c r="E2188" s="3">
        <v>436.36</v>
      </c>
      <c r="F2188" s="3" t="s">
        <v>2976</v>
      </c>
      <c r="G2188" s="3" t="s">
        <v>327</v>
      </c>
      <c r="H2188" s="3"/>
    </row>
    <row r="2189" spans="1:8" x14ac:dyDescent="0.25">
      <c r="A2189" s="3" t="s">
        <v>2494</v>
      </c>
      <c r="B2189" s="3" t="s">
        <v>4421</v>
      </c>
      <c r="C2189" s="3" t="s">
        <v>223</v>
      </c>
      <c r="D2189" s="3" t="s">
        <v>303</v>
      </c>
      <c r="E2189" s="3" t="s">
        <v>4970</v>
      </c>
      <c r="F2189" s="3" t="s">
        <v>2973</v>
      </c>
      <c r="G2189" s="3" t="s">
        <v>337</v>
      </c>
      <c r="H2189" s="3"/>
    </row>
    <row r="2190" spans="1:8" x14ac:dyDescent="0.25">
      <c r="A2190" s="3" t="s">
        <v>2495</v>
      </c>
      <c r="B2190" s="3" t="s">
        <v>4971</v>
      </c>
      <c r="C2190" s="3" t="s">
        <v>47</v>
      </c>
      <c r="D2190" s="3" t="s">
        <v>312</v>
      </c>
      <c r="E2190" s="3">
        <v>608.58000000000004</v>
      </c>
      <c r="F2190" s="3" t="s">
        <v>324</v>
      </c>
      <c r="G2190" s="3" t="s">
        <v>337</v>
      </c>
      <c r="H2190" s="3" t="s">
        <v>334</v>
      </c>
    </row>
    <row r="2191" spans="1:8" x14ac:dyDescent="0.25">
      <c r="A2191" s="3" t="s">
        <v>2496</v>
      </c>
      <c r="B2191" s="3" t="s">
        <v>4972</v>
      </c>
      <c r="C2191" s="3" t="s">
        <v>49</v>
      </c>
      <c r="D2191" s="3" t="s">
        <v>294</v>
      </c>
      <c r="E2191" s="3" t="s">
        <v>4973</v>
      </c>
      <c r="F2191" s="3" t="s">
        <v>2976</v>
      </c>
      <c r="G2191" s="3" t="s">
        <v>325</v>
      </c>
      <c r="H2191" s="3"/>
    </row>
    <row r="2192" spans="1:8" x14ac:dyDescent="0.25">
      <c r="A2192" s="3" t="s">
        <v>2497</v>
      </c>
      <c r="B2192" s="3" t="s">
        <v>4974</v>
      </c>
      <c r="C2192" s="3" t="s">
        <v>70</v>
      </c>
      <c r="D2192" s="3" t="s">
        <v>303</v>
      </c>
      <c r="E2192" s="3" t="s">
        <v>4975</v>
      </c>
      <c r="F2192" s="3" t="s">
        <v>324</v>
      </c>
      <c r="G2192" s="3" t="s">
        <v>325</v>
      </c>
      <c r="H2192" s="3" t="s">
        <v>334</v>
      </c>
    </row>
    <row r="2193" spans="1:8" x14ac:dyDescent="0.25">
      <c r="A2193" s="3" t="s">
        <v>1094</v>
      </c>
      <c r="B2193" s="3" t="s">
        <v>3877</v>
      </c>
      <c r="C2193" s="3" t="s">
        <v>55</v>
      </c>
      <c r="D2193" s="3" t="s">
        <v>294</v>
      </c>
      <c r="E2193" s="3">
        <v>1546.33</v>
      </c>
      <c r="F2193" s="3" t="s">
        <v>324</v>
      </c>
      <c r="G2193" s="3" t="s">
        <v>327</v>
      </c>
      <c r="H2193" s="3"/>
    </row>
    <row r="2194" spans="1:8" x14ac:dyDescent="0.25">
      <c r="A2194" s="3" t="s">
        <v>2498</v>
      </c>
      <c r="B2194" s="3" t="s">
        <v>4484</v>
      </c>
      <c r="C2194" s="3" t="s">
        <v>243</v>
      </c>
      <c r="D2194" s="3" t="s">
        <v>300</v>
      </c>
      <c r="E2194" s="3">
        <v>224.06</v>
      </c>
      <c r="F2194" s="3" t="s">
        <v>331</v>
      </c>
      <c r="G2194" s="3" t="s">
        <v>325</v>
      </c>
      <c r="H2194" s="3" t="s">
        <v>332</v>
      </c>
    </row>
    <row r="2195" spans="1:8" x14ac:dyDescent="0.25">
      <c r="A2195" s="3" t="s">
        <v>2499</v>
      </c>
      <c r="B2195" s="3" t="s">
        <v>4665</v>
      </c>
      <c r="C2195" s="3" t="s">
        <v>251</v>
      </c>
      <c r="D2195" s="3" t="s">
        <v>294</v>
      </c>
      <c r="E2195" s="3" t="s">
        <v>4976</v>
      </c>
      <c r="F2195" s="3" t="s">
        <v>331</v>
      </c>
      <c r="G2195" s="3" t="s">
        <v>327</v>
      </c>
      <c r="H2195" s="3" t="s">
        <v>334</v>
      </c>
    </row>
    <row r="2196" spans="1:8" x14ac:dyDescent="0.25">
      <c r="A2196" s="3" t="s">
        <v>2500</v>
      </c>
      <c r="B2196" s="3" t="s">
        <v>4977</v>
      </c>
      <c r="C2196" s="3" t="s">
        <v>76</v>
      </c>
      <c r="D2196" s="3" t="s">
        <v>294</v>
      </c>
      <c r="E2196" s="3">
        <v>589.29999999999995</v>
      </c>
      <c r="F2196" s="3" t="s">
        <v>2973</v>
      </c>
      <c r="G2196" s="3" t="s">
        <v>329</v>
      </c>
      <c r="H2196" s="3" t="s">
        <v>346</v>
      </c>
    </row>
    <row r="2197" spans="1:8" x14ac:dyDescent="0.25">
      <c r="A2197" s="3" t="s">
        <v>2501</v>
      </c>
      <c r="B2197" s="3" t="s">
        <v>4978</v>
      </c>
      <c r="C2197" s="3" t="s">
        <v>33</v>
      </c>
      <c r="D2197" s="3" t="s">
        <v>312</v>
      </c>
      <c r="E2197" s="3" t="s">
        <v>4979</v>
      </c>
      <c r="F2197" s="3" t="s">
        <v>349</v>
      </c>
      <c r="G2197" s="3" t="s">
        <v>327</v>
      </c>
      <c r="H2197" s="3" t="s">
        <v>346</v>
      </c>
    </row>
    <row r="2198" spans="1:8" x14ac:dyDescent="0.25">
      <c r="A2198" s="3" t="s">
        <v>2502</v>
      </c>
      <c r="B2198" s="3" t="s">
        <v>4798</v>
      </c>
      <c r="C2198" s="3" t="s">
        <v>179</v>
      </c>
      <c r="D2198" s="3" t="s">
        <v>303</v>
      </c>
      <c r="E2198" s="3">
        <v>473.97</v>
      </c>
      <c r="F2198" s="3" t="s">
        <v>381</v>
      </c>
      <c r="G2198" s="3" t="s">
        <v>327</v>
      </c>
      <c r="H2198" s="3"/>
    </row>
    <row r="2199" spans="1:8" x14ac:dyDescent="0.25">
      <c r="A2199" s="3" t="s">
        <v>2503</v>
      </c>
      <c r="B2199" s="3" t="s">
        <v>3032</v>
      </c>
      <c r="C2199" s="3" t="s">
        <v>229</v>
      </c>
      <c r="D2199" s="3" t="s">
        <v>300</v>
      </c>
      <c r="E2199" s="3" t="s">
        <v>4980</v>
      </c>
      <c r="F2199" s="3" t="s">
        <v>324</v>
      </c>
      <c r="G2199" s="3" t="s">
        <v>327</v>
      </c>
      <c r="H2199" s="3" t="s">
        <v>334</v>
      </c>
    </row>
    <row r="2200" spans="1:8" x14ac:dyDescent="0.25">
      <c r="A2200" s="3" t="s">
        <v>2504</v>
      </c>
      <c r="B2200" s="3" t="s">
        <v>3982</v>
      </c>
      <c r="C2200" s="3" t="s">
        <v>201</v>
      </c>
      <c r="D2200" s="3" t="s">
        <v>306</v>
      </c>
      <c r="E2200" s="3" t="s">
        <v>4981</v>
      </c>
      <c r="F2200" s="3" t="s">
        <v>2980</v>
      </c>
      <c r="G2200" s="3" t="s">
        <v>327</v>
      </c>
      <c r="H2200" s="3"/>
    </row>
    <row r="2201" spans="1:8" x14ac:dyDescent="0.25">
      <c r="A2201" s="3" t="s">
        <v>2505</v>
      </c>
      <c r="B2201" s="3" t="s">
        <v>4982</v>
      </c>
      <c r="C2201" s="3" t="s">
        <v>255</v>
      </c>
      <c r="D2201" s="3" t="s">
        <v>294</v>
      </c>
      <c r="E2201" s="3">
        <v>246.98</v>
      </c>
      <c r="F2201" s="3" t="s">
        <v>324</v>
      </c>
      <c r="G2201" s="3" t="s">
        <v>327</v>
      </c>
      <c r="H2201" s="3" t="s">
        <v>334</v>
      </c>
    </row>
    <row r="2202" spans="1:8" x14ac:dyDescent="0.25">
      <c r="A2202" s="3" t="s">
        <v>2506</v>
      </c>
      <c r="B2202" s="3" t="s">
        <v>4983</v>
      </c>
      <c r="C2202" s="3" t="s">
        <v>86</v>
      </c>
      <c r="D2202" s="3" t="s">
        <v>309</v>
      </c>
      <c r="E2202" s="3">
        <v>118.2</v>
      </c>
      <c r="F2202" s="3" t="s">
        <v>2973</v>
      </c>
      <c r="G2202" s="3" t="s">
        <v>325</v>
      </c>
      <c r="H2202" s="3" t="s">
        <v>346</v>
      </c>
    </row>
    <row r="2203" spans="1:8" x14ac:dyDescent="0.25">
      <c r="A2203" s="3" t="s">
        <v>2507</v>
      </c>
      <c r="B2203" s="3" t="s">
        <v>4378</v>
      </c>
      <c r="C2203" s="3" t="s">
        <v>58</v>
      </c>
      <c r="D2203" s="3" t="s">
        <v>303</v>
      </c>
      <c r="E2203" s="3">
        <v>884.7</v>
      </c>
      <c r="F2203" s="3" t="s">
        <v>324</v>
      </c>
      <c r="G2203" s="3" t="s">
        <v>325</v>
      </c>
      <c r="H2203" s="3"/>
    </row>
    <row r="2204" spans="1:8" x14ac:dyDescent="0.25">
      <c r="A2204" s="3" t="s">
        <v>2508</v>
      </c>
      <c r="B2204" s="3" t="s">
        <v>3736</v>
      </c>
      <c r="C2204" s="3" t="s">
        <v>197</v>
      </c>
      <c r="D2204" s="3" t="s">
        <v>315</v>
      </c>
      <c r="E2204" s="3">
        <v>503.48</v>
      </c>
      <c r="F2204" s="3" t="s">
        <v>2988</v>
      </c>
      <c r="G2204" s="3" t="s">
        <v>337</v>
      </c>
      <c r="H2204" s="3"/>
    </row>
    <row r="2205" spans="1:8" x14ac:dyDescent="0.25">
      <c r="A2205" s="3" t="s">
        <v>2509</v>
      </c>
      <c r="B2205" s="3" t="s">
        <v>3641</v>
      </c>
      <c r="C2205" s="3" t="s">
        <v>179</v>
      </c>
      <c r="D2205" s="3" t="s">
        <v>297</v>
      </c>
      <c r="E2205" s="3">
        <v>631.23</v>
      </c>
      <c r="F2205" s="3" t="s">
        <v>2973</v>
      </c>
      <c r="G2205" s="3" t="s">
        <v>325</v>
      </c>
      <c r="H2205" s="3" t="s">
        <v>332</v>
      </c>
    </row>
    <row r="2206" spans="1:8" x14ac:dyDescent="0.25">
      <c r="A2206" s="3" t="s">
        <v>2510</v>
      </c>
      <c r="B2206" s="3" t="s">
        <v>3533</v>
      </c>
      <c r="C2206" s="3" t="s">
        <v>49</v>
      </c>
      <c r="D2206" s="3" t="s">
        <v>303</v>
      </c>
      <c r="E2206" s="3" t="s">
        <v>4984</v>
      </c>
      <c r="F2206" s="3" t="s">
        <v>2973</v>
      </c>
      <c r="G2206" s="3" t="s">
        <v>327</v>
      </c>
      <c r="H2206" s="3" t="s">
        <v>334</v>
      </c>
    </row>
    <row r="2207" spans="1:8" x14ac:dyDescent="0.25">
      <c r="A2207" s="3" t="s">
        <v>2511</v>
      </c>
      <c r="B2207" s="3" t="s">
        <v>4985</v>
      </c>
      <c r="C2207" s="3" t="s">
        <v>263</v>
      </c>
      <c r="D2207" s="3" t="s">
        <v>306</v>
      </c>
      <c r="E2207" s="3">
        <v>571.96</v>
      </c>
      <c r="F2207" s="3" t="s">
        <v>324</v>
      </c>
      <c r="G2207" s="3" t="s">
        <v>337</v>
      </c>
      <c r="H2207" s="3" t="s">
        <v>332</v>
      </c>
    </row>
    <row r="2208" spans="1:8" x14ac:dyDescent="0.25">
      <c r="A2208" s="3" t="s">
        <v>2512</v>
      </c>
      <c r="B2208" s="3" t="s">
        <v>4986</v>
      </c>
      <c r="C2208" s="3" t="s">
        <v>64</v>
      </c>
      <c r="D2208" s="3" t="s">
        <v>294</v>
      </c>
      <c r="E2208" s="3" t="s">
        <v>4987</v>
      </c>
      <c r="F2208" s="3" t="s">
        <v>324</v>
      </c>
      <c r="G2208" s="3"/>
      <c r="H2208" s="3"/>
    </row>
    <row r="2209" spans="1:8" x14ac:dyDescent="0.25">
      <c r="A2209" s="3" t="s">
        <v>2513</v>
      </c>
      <c r="B2209" s="3" t="s">
        <v>3194</v>
      </c>
      <c r="C2209" s="3" t="s">
        <v>82</v>
      </c>
      <c r="D2209" s="3" t="s">
        <v>297</v>
      </c>
      <c r="E2209" s="3">
        <v>436.62</v>
      </c>
      <c r="F2209" s="3" t="s">
        <v>331</v>
      </c>
      <c r="G2209" s="3" t="s">
        <v>327</v>
      </c>
      <c r="H2209" s="3"/>
    </row>
    <row r="2210" spans="1:8" x14ac:dyDescent="0.25">
      <c r="A2210" s="3" t="s">
        <v>2514</v>
      </c>
      <c r="B2210" s="3" t="s">
        <v>3875</v>
      </c>
      <c r="C2210" s="3" t="s">
        <v>103</v>
      </c>
      <c r="D2210" s="3" t="s">
        <v>303</v>
      </c>
      <c r="E2210" s="3">
        <v>383.41</v>
      </c>
      <c r="F2210" s="3" t="s">
        <v>324</v>
      </c>
      <c r="G2210" s="3" t="s">
        <v>327</v>
      </c>
      <c r="H2210" s="3"/>
    </row>
    <row r="2211" spans="1:8" x14ac:dyDescent="0.25">
      <c r="A2211" s="3" t="s">
        <v>2515</v>
      </c>
      <c r="B2211" s="3" t="s">
        <v>2984</v>
      </c>
      <c r="C2211" s="3" t="s">
        <v>147</v>
      </c>
      <c r="D2211" s="3" t="s">
        <v>294</v>
      </c>
      <c r="E2211" s="3" t="s">
        <v>4988</v>
      </c>
      <c r="F2211" s="3" t="s">
        <v>324</v>
      </c>
      <c r="G2211" s="3" t="s">
        <v>327</v>
      </c>
      <c r="H2211" s="3"/>
    </row>
    <row r="2212" spans="1:8" x14ac:dyDescent="0.25">
      <c r="A2212" s="3" t="s">
        <v>2516</v>
      </c>
      <c r="B2212" s="3" t="s">
        <v>3231</v>
      </c>
      <c r="C2212" s="3" t="s">
        <v>51</v>
      </c>
      <c r="D2212" s="3" t="s">
        <v>309</v>
      </c>
      <c r="E2212" s="3">
        <v>444.82</v>
      </c>
      <c r="F2212" s="3" t="s">
        <v>324</v>
      </c>
      <c r="G2212" s="3" t="s">
        <v>337</v>
      </c>
      <c r="H2212" s="3" t="s">
        <v>346</v>
      </c>
    </row>
    <row r="2213" spans="1:8" x14ac:dyDescent="0.25">
      <c r="A2213" s="3" t="s">
        <v>2517</v>
      </c>
      <c r="B2213" s="3" t="s">
        <v>4989</v>
      </c>
      <c r="C2213" s="3" t="s">
        <v>265</v>
      </c>
      <c r="D2213" s="3" t="s">
        <v>294</v>
      </c>
      <c r="E2213" s="3" t="s">
        <v>4990</v>
      </c>
      <c r="F2213" s="3" t="s">
        <v>2995</v>
      </c>
      <c r="G2213" s="3" t="s">
        <v>327</v>
      </c>
      <c r="H2213" s="3"/>
    </row>
    <row r="2214" spans="1:8" x14ac:dyDescent="0.25">
      <c r="A2214" s="3" t="s">
        <v>2518</v>
      </c>
      <c r="B2214" s="3" t="s">
        <v>4397</v>
      </c>
      <c r="C2214" s="3" t="s">
        <v>199</v>
      </c>
      <c r="D2214" s="3" t="s">
        <v>312</v>
      </c>
      <c r="E2214" s="3">
        <v>-153.88999999999999</v>
      </c>
      <c r="F2214" s="3" t="s">
        <v>349</v>
      </c>
      <c r="G2214" s="3" t="s">
        <v>327</v>
      </c>
      <c r="H2214" s="3" t="s">
        <v>332</v>
      </c>
    </row>
    <row r="2215" spans="1:8" x14ac:dyDescent="0.25">
      <c r="A2215" s="3" t="s">
        <v>2519</v>
      </c>
      <c r="B2215" s="3" t="s">
        <v>4531</v>
      </c>
      <c r="C2215" s="3" t="s">
        <v>235</v>
      </c>
      <c r="D2215" s="3" t="s">
        <v>306</v>
      </c>
      <c r="E2215" s="3" t="s">
        <v>4991</v>
      </c>
      <c r="F2215" s="3" t="s">
        <v>324</v>
      </c>
      <c r="G2215" s="3" t="s">
        <v>327</v>
      </c>
      <c r="H2215" s="3" t="s">
        <v>334</v>
      </c>
    </row>
    <row r="2216" spans="1:8" x14ac:dyDescent="0.25">
      <c r="A2216" s="3" t="s">
        <v>2520</v>
      </c>
      <c r="B2216" s="3" t="s">
        <v>4992</v>
      </c>
      <c r="C2216" s="3" t="s">
        <v>183</v>
      </c>
      <c r="D2216" s="3" t="s">
        <v>294</v>
      </c>
      <c r="E2216" s="3" t="s">
        <v>4993</v>
      </c>
      <c r="F2216" s="3" t="s">
        <v>2995</v>
      </c>
      <c r="G2216" s="3" t="s">
        <v>327</v>
      </c>
      <c r="H2216" s="3" t="s">
        <v>332</v>
      </c>
    </row>
    <row r="2217" spans="1:8" x14ac:dyDescent="0.25">
      <c r="A2217" s="3" t="s">
        <v>2521</v>
      </c>
      <c r="B2217" s="3" t="s">
        <v>4173</v>
      </c>
      <c r="C2217" s="3" t="s">
        <v>117</v>
      </c>
      <c r="D2217" s="3" t="s">
        <v>294</v>
      </c>
      <c r="E2217" s="3" t="s">
        <v>4994</v>
      </c>
      <c r="F2217" s="3" t="s">
        <v>2976</v>
      </c>
      <c r="G2217" s="3" t="s">
        <v>327</v>
      </c>
      <c r="H2217" s="3" t="s">
        <v>332</v>
      </c>
    </row>
    <row r="2218" spans="1:8" x14ac:dyDescent="0.25">
      <c r="A2218" s="3" t="s">
        <v>2522</v>
      </c>
      <c r="B2218" s="3" t="s">
        <v>4995</v>
      </c>
      <c r="C2218" s="3" t="s">
        <v>113</v>
      </c>
      <c r="D2218" s="3" t="s">
        <v>300</v>
      </c>
      <c r="E2218" s="3">
        <v>256.33999999999997</v>
      </c>
      <c r="F2218" s="3" t="s">
        <v>324</v>
      </c>
      <c r="G2218" s="3" t="s">
        <v>327</v>
      </c>
      <c r="H2218" s="3"/>
    </row>
    <row r="2219" spans="1:8" x14ac:dyDescent="0.25">
      <c r="A2219" s="3" t="s">
        <v>2523</v>
      </c>
      <c r="B2219" s="3" t="s">
        <v>3233</v>
      </c>
      <c r="C2219" s="3" t="s">
        <v>139</v>
      </c>
      <c r="D2219" s="3" t="s">
        <v>294</v>
      </c>
      <c r="E2219" s="3">
        <v>-353.98</v>
      </c>
      <c r="F2219" s="3" t="s">
        <v>349</v>
      </c>
      <c r="G2219" s="3" t="s">
        <v>327</v>
      </c>
      <c r="H2219" s="3" t="s">
        <v>346</v>
      </c>
    </row>
    <row r="2220" spans="1:8" x14ac:dyDescent="0.25">
      <c r="A2220" s="3" t="s">
        <v>2524</v>
      </c>
      <c r="B2220" s="3" t="s">
        <v>3153</v>
      </c>
      <c r="C2220" s="3" t="s">
        <v>187</v>
      </c>
      <c r="D2220" s="3" t="s">
        <v>294</v>
      </c>
      <c r="E2220" s="3" t="s">
        <v>4996</v>
      </c>
      <c r="F2220" s="3" t="s">
        <v>2976</v>
      </c>
      <c r="G2220" s="3" t="s">
        <v>327</v>
      </c>
      <c r="H2220" s="3"/>
    </row>
    <row r="2221" spans="1:8" x14ac:dyDescent="0.25">
      <c r="A2221" s="3" t="s">
        <v>2525</v>
      </c>
      <c r="B2221" s="3" t="s">
        <v>4323</v>
      </c>
      <c r="C2221" s="3" t="s">
        <v>44</v>
      </c>
      <c r="D2221" s="3" t="s">
        <v>306</v>
      </c>
      <c r="E2221" s="3">
        <v>316.95999999999998</v>
      </c>
      <c r="F2221" s="3" t="s">
        <v>2995</v>
      </c>
      <c r="G2221" s="3" t="s">
        <v>327</v>
      </c>
      <c r="H2221" s="3" t="s">
        <v>334</v>
      </c>
    </row>
    <row r="2222" spans="1:8" x14ac:dyDescent="0.25">
      <c r="A2222" s="3" t="s">
        <v>2526</v>
      </c>
      <c r="B2222" s="3" t="s">
        <v>3670</v>
      </c>
      <c r="C2222" s="3" t="s">
        <v>100</v>
      </c>
      <c r="D2222" s="3" t="s">
        <v>309</v>
      </c>
      <c r="E2222" s="3">
        <v>203.57</v>
      </c>
      <c r="F2222" s="3" t="s">
        <v>2976</v>
      </c>
      <c r="G2222" s="3"/>
      <c r="H2222" s="3" t="s">
        <v>346</v>
      </c>
    </row>
    <row r="2223" spans="1:8" x14ac:dyDescent="0.25">
      <c r="A2223" s="3" t="s">
        <v>1382</v>
      </c>
      <c r="B2223" s="3" t="s">
        <v>3762</v>
      </c>
      <c r="C2223" s="3" t="s">
        <v>203</v>
      </c>
      <c r="D2223" s="3" t="s">
        <v>297</v>
      </c>
      <c r="E2223" s="3">
        <v>-952.15</v>
      </c>
      <c r="F2223" s="3" t="s">
        <v>3021</v>
      </c>
      <c r="G2223" s="3" t="s">
        <v>327</v>
      </c>
      <c r="H2223" s="3"/>
    </row>
    <row r="2224" spans="1:8" x14ac:dyDescent="0.25">
      <c r="A2224" s="3" t="s">
        <v>2527</v>
      </c>
      <c r="B2224" s="3" t="s">
        <v>4626</v>
      </c>
      <c r="C2224" s="3" t="s">
        <v>167</v>
      </c>
      <c r="D2224" s="3" t="s">
        <v>309</v>
      </c>
      <c r="E2224" s="3">
        <v>296.61</v>
      </c>
      <c r="F2224" s="3" t="s">
        <v>2976</v>
      </c>
      <c r="G2224" s="3" t="s">
        <v>327</v>
      </c>
      <c r="H2224" s="3" t="s">
        <v>332</v>
      </c>
    </row>
    <row r="2225" spans="1:8" x14ac:dyDescent="0.25">
      <c r="A2225" s="3" t="s">
        <v>2528</v>
      </c>
      <c r="B2225" s="3" t="s">
        <v>3108</v>
      </c>
      <c r="C2225" s="3" t="s">
        <v>183</v>
      </c>
      <c r="D2225" s="3" t="s">
        <v>294</v>
      </c>
      <c r="E2225" s="3">
        <v>890.67</v>
      </c>
      <c r="F2225" s="3" t="s">
        <v>2995</v>
      </c>
      <c r="G2225" s="3" t="s">
        <v>327</v>
      </c>
      <c r="H2225" s="3"/>
    </row>
    <row r="2226" spans="1:8" x14ac:dyDescent="0.25">
      <c r="A2226" s="3" t="s">
        <v>2529</v>
      </c>
      <c r="B2226" s="3" t="s">
        <v>4133</v>
      </c>
      <c r="C2226" s="3" t="s">
        <v>64</v>
      </c>
      <c r="D2226" s="3" t="s">
        <v>297</v>
      </c>
      <c r="E2226" s="3" t="s">
        <v>4997</v>
      </c>
      <c r="F2226" s="3" t="s">
        <v>331</v>
      </c>
      <c r="G2226" s="3" t="s">
        <v>325</v>
      </c>
      <c r="H2226" s="3" t="s">
        <v>332</v>
      </c>
    </row>
    <row r="2227" spans="1:8" x14ac:dyDescent="0.25">
      <c r="A2227" s="3" t="s">
        <v>2530</v>
      </c>
      <c r="B2227" s="3" t="s">
        <v>4512</v>
      </c>
      <c r="C2227" s="3" t="s">
        <v>88</v>
      </c>
      <c r="D2227" s="3" t="s">
        <v>294</v>
      </c>
      <c r="E2227" s="3" t="s">
        <v>4998</v>
      </c>
      <c r="F2227" s="3" t="s">
        <v>3097</v>
      </c>
      <c r="G2227" s="3" t="s">
        <v>337</v>
      </c>
      <c r="H2227" s="3" t="s">
        <v>334</v>
      </c>
    </row>
    <row r="2228" spans="1:8" x14ac:dyDescent="0.25">
      <c r="A2228" s="3" t="s">
        <v>2531</v>
      </c>
      <c r="B2228" s="3" t="s">
        <v>3275</v>
      </c>
      <c r="C2228" s="3" t="s">
        <v>111</v>
      </c>
      <c r="D2228" s="3" t="s">
        <v>300</v>
      </c>
      <c r="E2228" s="3">
        <v>819.25</v>
      </c>
      <c r="F2228" s="3" t="s">
        <v>2976</v>
      </c>
      <c r="G2228" s="3" t="s">
        <v>337</v>
      </c>
      <c r="H2228" s="3"/>
    </row>
    <row r="2229" spans="1:8" x14ac:dyDescent="0.25">
      <c r="A2229" s="3" t="s">
        <v>2532</v>
      </c>
      <c r="B2229" s="3" t="s">
        <v>4162</v>
      </c>
      <c r="C2229" s="3" t="s">
        <v>139</v>
      </c>
      <c r="D2229" s="3" t="s">
        <v>303</v>
      </c>
      <c r="E2229" s="3">
        <v>505.6</v>
      </c>
      <c r="F2229" s="3" t="s">
        <v>2995</v>
      </c>
      <c r="G2229" s="3" t="s">
        <v>325</v>
      </c>
      <c r="H2229" s="3"/>
    </row>
    <row r="2230" spans="1:8" x14ac:dyDescent="0.25">
      <c r="A2230" s="3" t="s">
        <v>2533</v>
      </c>
      <c r="B2230" s="3" t="s">
        <v>3970</v>
      </c>
      <c r="C2230" s="3" t="s">
        <v>187</v>
      </c>
      <c r="D2230" s="3" t="s">
        <v>294</v>
      </c>
      <c r="E2230" s="3">
        <v>151.4</v>
      </c>
      <c r="F2230" s="3" t="s">
        <v>324</v>
      </c>
      <c r="G2230" s="3" t="s">
        <v>327</v>
      </c>
      <c r="H2230" s="3" t="s">
        <v>334</v>
      </c>
    </row>
    <row r="2231" spans="1:8" x14ac:dyDescent="0.25">
      <c r="A2231" s="3" t="s">
        <v>2534</v>
      </c>
      <c r="B2231" s="3" t="s">
        <v>3906</v>
      </c>
      <c r="C2231" s="3" t="s">
        <v>127</v>
      </c>
      <c r="D2231" s="3" t="s">
        <v>300</v>
      </c>
      <c r="E2231" s="3">
        <v>335.53</v>
      </c>
      <c r="F2231" s="3" t="s">
        <v>324</v>
      </c>
      <c r="G2231" s="3" t="s">
        <v>327</v>
      </c>
      <c r="H2231" s="3"/>
    </row>
    <row r="2232" spans="1:8" x14ac:dyDescent="0.25">
      <c r="A2232" s="3" t="s">
        <v>2535</v>
      </c>
      <c r="B2232" s="3" t="s">
        <v>4134</v>
      </c>
      <c r="C2232" s="3" t="s">
        <v>139</v>
      </c>
      <c r="D2232" s="3" t="s">
        <v>312</v>
      </c>
      <c r="E2232" s="3" t="s">
        <v>4999</v>
      </c>
      <c r="F2232" s="3" t="s">
        <v>324</v>
      </c>
      <c r="G2232" s="3" t="s">
        <v>327</v>
      </c>
      <c r="H2232" s="3"/>
    </row>
    <row r="2233" spans="1:8" x14ac:dyDescent="0.25">
      <c r="A2233" s="3" t="s">
        <v>2536</v>
      </c>
      <c r="B2233" s="3" t="s">
        <v>3631</v>
      </c>
      <c r="C2233" s="3" t="s">
        <v>125</v>
      </c>
      <c r="D2233" s="3" t="s">
        <v>294</v>
      </c>
      <c r="E2233" s="3">
        <v>857.29</v>
      </c>
      <c r="F2233" s="3" t="s">
        <v>324</v>
      </c>
      <c r="G2233" s="3" t="s">
        <v>325</v>
      </c>
      <c r="H2233" s="3" t="s">
        <v>346</v>
      </c>
    </row>
    <row r="2234" spans="1:8" x14ac:dyDescent="0.25">
      <c r="A2234" s="3" t="s">
        <v>2537</v>
      </c>
      <c r="B2234" s="3" t="s">
        <v>5000</v>
      </c>
      <c r="C2234" s="3" t="s">
        <v>66</v>
      </c>
      <c r="D2234" s="3" t="s">
        <v>300</v>
      </c>
      <c r="E2234" s="3">
        <v>504.43</v>
      </c>
      <c r="F2234" s="3" t="s">
        <v>324</v>
      </c>
      <c r="G2234" s="3" t="s">
        <v>327</v>
      </c>
      <c r="H2234" s="3" t="s">
        <v>332</v>
      </c>
    </row>
    <row r="2235" spans="1:8" x14ac:dyDescent="0.25">
      <c r="A2235" s="3" t="s">
        <v>2538</v>
      </c>
      <c r="B2235" s="3" t="s">
        <v>5001</v>
      </c>
      <c r="C2235" s="3" t="s">
        <v>143</v>
      </c>
      <c r="D2235" s="3" t="s">
        <v>306</v>
      </c>
      <c r="E2235" s="3">
        <v>262.81</v>
      </c>
      <c r="F2235" s="3" t="s">
        <v>2995</v>
      </c>
      <c r="G2235" s="3" t="s">
        <v>325</v>
      </c>
      <c r="H2235" s="3"/>
    </row>
    <row r="2236" spans="1:8" x14ac:dyDescent="0.25">
      <c r="A2236" s="3" t="s">
        <v>2539</v>
      </c>
      <c r="B2236" s="3" t="s">
        <v>4983</v>
      </c>
      <c r="C2236" s="3" t="s">
        <v>251</v>
      </c>
      <c r="D2236" s="3" t="s">
        <v>294</v>
      </c>
      <c r="E2236" s="3" t="s">
        <v>5002</v>
      </c>
      <c r="F2236" s="3" t="s">
        <v>324</v>
      </c>
      <c r="G2236" s="3" t="s">
        <v>325</v>
      </c>
      <c r="H2236" s="3" t="s">
        <v>346</v>
      </c>
    </row>
    <row r="2237" spans="1:8" x14ac:dyDescent="0.25">
      <c r="A2237" s="3" t="s">
        <v>2540</v>
      </c>
      <c r="B2237" s="3" t="s">
        <v>4391</v>
      </c>
      <c r="C2237" s="3" t="s">
        <v>74</v>
      </c>
      <c r="D2237" s="3" t="s">
        <v>294</v>
      </c>
      <c r="E2237" s="3" t="s">
        <v>5003</v>
      </c>
      <c r="F2237" s="3" t="s">
        <v>2973</v>
      </c>
      <c r="G2237" s="3" t="s">
        <v>327</v>
      </c>
      <c r="H2237" s="3" t="s">
        <v>332</v>
      </c>
    </row>
    <row r="2238" spans="1:8" x14ac:dyDescent="0.25">
      <c r="A2238" s="3" t="s">
        <v>2541</v>
      </c>
      <c r="B2238" s="3" t="s">
        <v>4290</v>
      </c>
      <c r="C2238" s="3" t="s">
        <v>51</v>
      </c>
      <c r="D2238" s="3" t="s">
        <v>309</v>
      </c>
      <c r="E2238" s="3" t="s">
        <v>5004</v>
      </c>
      <c r="F2238" s="3" t="s">
        <v>324</v>
      </c>
      <c r="G2238" s="3" t="s">
        <v>329</v>
      </c>
      <c r="H2238" s="3" t="s">
        <v>332</v>
      </c>
    </row>
    <row r="2239" spans="1:8" x14ac:dyDescent="0.25">
      <c r="A2239" s="3" t="s">
        <v>2542</v>
      </c>
      <c r="B2239" s="3" t="s">
        <v>4044</v>
      </c>
      <c r="C2239" s="3" t="s">
        <v>203</v>
      </c>
      <c r="D2239" s="3" t="s">
        <v>303</v>
      </c>
      <c r="E2239" s="3" t="s">
        <v>5005</v>
      </c>
      <c r="F2239" s="3" t="s">
        <v>2976</v>
      </c>
      <c r="G2239" s="3" t="s">
        <v>325</v>
      </c>
      <c r="H2239" s="3" t="s">
        <v>334</v>
      </c>
    </row>
    <row r="2240" spans="1:8" x14ac:dyDescent="0.25">
      <c r="A2240" s="3" t="s">
        <v>2543</v>
      </c>
      <c r="B2240" s="3" t="s">
        <v>4751</v>
      </c>
      <c r="C2240" s="3" t="s">
        <v>151</v>
      </c>
      <c r="D2240" s="3" t="s">
        <v>294</v>
      </c>
      <c r="E2240" s="3">
        <v>408.79</v>
      </c>
      <c r="F2240" s="3" t="s">
        <v>324</v>
      </c>
      <c r="G2240" s="3" t="s">
        <v>327</v>
      </c>
      <c r="H2240" s="3" t="s">
        <v>332</v>
      </c>
    </row>
    <row r="2241" spans="1:8" x14ac:dyDescent="0.25">
      <c r="A2241" s="3" t="s">
        <v>2544</v>
      </c>
      <c r="B2241" s="3" t="s">
        <v>4278</v>
      </c>
      <c r="C2241" s="3" t="s">
        <v>117</v>
      </c>
      <c r="D2241" s="3" t="s">
        <v>294</v>
      </c>
      <c r="E2241" s="3">
        <v>362.26</v>
      </c>
      <c r="F2241" s="3" t="s">
        <v>324</v>
      </c>
      <c r="G2241" s="3" t="s">
        <v>337</v>
      </c>
      <c r="H2241" s="3" t="s">
        <v>334</v>
      </c>
    </row>
    <row r="2242" spans="1:8" x14ac:dyDescent="0.25">
      <c r="A2242" s="3" t="s">
        <v>2545</v>
      </c>
      <c r="B2242" s="3" t="s">
        <v>3753</v>
      </c>
      <c r="C2242" s="3" t="s">
        <v>23</v>
      </c>
      <c r="D2242" s="3" t="s">
        <v>300</v>
      </c>
      <c r="E2242" s="3">
        <v>345.46</v>
      </c>
      <c r="F2242" s="3" t="s">
        <v>324</v>
      </c>
      <c r="G2242" s="3" t="s">
        <v>327</v>
      </c>
      <c r="H2242" s="3" t="s">
        <v>346</v>
      </c>
    </row>
    <row r="2243" spans="1:8" x14ac:dyDescent="0.25">
      <c r="A2243" s="3" t="s">
        <v>2546</v>
      </c>
      <c r="B2243" s="3" t="s">
        <v>2978</v>
      </c>
      <c r="C2243" s="3" t="s">
        <v>26</v>
      </c>
      <c r="D2243" s="3" t="s">
        <v>315</v>
      </c>
      <c r="E2243" s="3" t="s">
        <v>5006</v>
      </c>
      <c r="F2243" s="3" t="s">
        <v>2976</v>
      </c>
      <c r="G2243" s="3" t="s">
        <v>327</v>
      </c>
      <c r="H2243" s="3" t="s">
        <v>346</v>
      </c>
    </row>
    <row r="2244" spans="1:8" x14ac:dyDescent="0.25">
      <c r="A2244" s="3" t="s">
        <v>2547</v>
      </c>
      <c r="B2244" s="3" t="s">
        <v>4555</v>
      </c>
      <c r="C2244" s="3" t="s">
        <v>181</v>
      </c>
      <c r="D2244" s="3" t="s">
        <v>294</v>
      </c>
      <c r="E2244" s="3" t="s">
        <v>5007</v>
      </c>
      <c r="F2244" s="3" t="s">
        <v>324</v>
      </c>
      <c r="G2244" s="3" t="s">
        <v>327</v>
      </c>
      <c r="H2244" s="3"/>
    </row>
    <row r="2245" spans="1:8" x14ac:dyDescent="0.25">
      <c r="A2245" s="3" t="s">
        <v>2548</v>
      </c>
      <c r="B2245" s="3" t="s">
        <v>5008</v>
      </c>
      <c r="C2245" s="3" t="s">
        <v>191</v>
      </c>
      <c r="D2245" s="3" t="s">
        <v>315</v>
      </c>
      <c r="E2245" s="3">
        <v>329.45</v>
      </c>
      <c r="F2245" s="3" t="s">
        <v>2995</v>
      </c>
      <c r="G2245" s="3" t="s">
        <v>325</v>
      </c>
      <c r="H2245" s="3" t="s">
        <v>332</v>
      </c>
    </row>
    <row r="2246" spans="1:8" x14ac:dyDescent="0.25">
      <c r="A2246" s="3" t="s">
        <v>2549</v>
      </c>
      <c r="B2246" s="3" t="s">
        <v>3464</v>
      </c>
      <c r="C2246" s="3" t="s">
        <v>96</v>
      </c>
      <c r="D2246" s="3" t="s">
        <v>300</v>
      </c>
      <c r="E2246" s="3" t="s">
        <v>5009</v>
      </c>
      <c r="F2246" s="3" t="s">
        <v>324</v>
      </c>
      <c r="G2246" s="3" t="s">
        <v>327</v>
      </c>
      <c r="H2246" s="3"/>
    </row>
    <row r="2247" spans="1:8" x14ac:dyDescent="0.25">
      <c r="A2247" s="3" t="s">
        <v>2550</v>
      </c>
      <c r="B2247" s="3" t="s">
        <v>5010</v>
      </c>
      <c r="C2247" s="3" t="s">
        <v>191</v>
      </c>
      <c r="D2247" s="3" t="s">
        <v>303</v>
      </c>
      <c r="E2247" s="3">
        <v>673.89</v>
      </c>
      <c r="F2247" s="3" t="s">
        <v>324</v>
      </c>
      <c r="G2247" s="3" t="s">
        <v>325</v>
      </c>
      <c r="H2247" s="3"/>
    </row>
    <row r="2248" spans="1:8" x14ac:dyDescent="0.25">
      <c r="A2248" s="3" t="s">
        <v>2551</v>
      </c>
      <c r="B2248" s="3" t="s">
        <v>4636</v>
      </c>
      <c r="C2248" s="3" t="s">
        <v>35</v>
      </c>
      <c r="D2248" s="3" t="s">
        <v>294</v>
      </c>
      <c r="E2248" s="3">
        <v>264.11</v>
      </c>
      <c r="F2248" s="3" t="s">
        <v>324</v>
      </c>
      <c r="G2248" s="3" t="s">
        <v>327</v>
      </c>
      <c r="H2248" s="3"/>
    </row>
    <row r="2249" spans="1:8" x14ac:dyDescent="0.25">
      <c r="A2249" s="3" t="s">
        <v>2552</v>
      </c>
      <c r="B2249" s="3" t="s">
        <v>3049</v>
      </c>
      <c r="C2249" s="3" t="s">
        <v>72</v>
      </c>
      <c r="D2249" s="3" t="s">
        <v>294</v>
      </c>
      <c r="E2249" s="3">
        <v>100.31</v>
      </c>
      <c r="F2249" s="3" t="s">
        <v>2995</v>
      </c>
      <c r="G2249" s="3" t="s">
        <v>327</v>
      </c>
      <c r="H2249" s="3"/>
    </row>
    <row r="2250" spans="1:8" x14ac:dyDescent="0.25">
      <c r="A2250" s="3" t="s">
        <v>2553</v>
      </c>
      <c r="B2250" s="3" t="s">
        <v>5011</v>
      </c>
      <c r="C2250" s="3" t="s">
        <v>123</v>
      </c>
      <c r="D2250" s="3" t="s">
        <v>306</v>
      </c>
      <c r="E2250" s="3">
        <v>557.21</v>
      </c>
      <c r="F2250" s="3" t="s">
        <v>324</v>
      </c>
      <c r="G2250" s="3" t="s">
        <v>327</v>
      </c>
      <c r="H2250" s="3" t="s">
        <v>332</v>
      </c>
    </row>
    <row r="2251" spans="1:8" x14ac:dyDescent="0.25">
      <c r="A2251" s="3" t="s">
        <v>2554</v>
      </c>
      <c r="B2251" s="3" t="s">
        <v>3613</v>
      </c>
      <c r="C2251" s="3" t="s">
        <v>163</v>
      </c>
      <c r="D2251" s="3" t="s">
        <v>294</v>
      </c>
      <c r="E2251" s="3">
        <v>280.51</v>
      </c>
      <c r="F2251" s="3" t="s">
        <v>324</v>
      </c>
      <c r="G2251" s="3" t="s">
        <v>337</v>
      </c>
      <c r="H2251" s="3"/>
    </row>
    <row r="2252" spans="1:8" x14ac:dyDescent="0.25">
      <c r="A2252" s="3" t="s">
        <v>2555</v>
      </c>
      <c r="B2252" s="3" t="s">
        <v>3982</v>
      </c>
      <c r="C2252" s="3" t="s">
        <v>265</v>
      </c>
      <c r="D2252" s="3" t="s">
        <v>306</v>
      </c>
      <c r="E2252" s="3">
        <v>680.21</v>
      </c>
      <c r="F2252" s="3" t="s">
        <v>324</v>
      </c>
      <c r="G2252" s="3" t="s">
        <v>325</v>
      </c>
      <c r="H2252" s="3" t="s">
        <v>332</v>
      </c>
    </row>
    <row r="2253" spans="1:8" x14ac:dyDescent="0.25">
      <c r="A2253" s="3" t="s">
        <v>2556</v>
      </c>
      <c r="B2253" s="3" t="s">
        <v>4540</v>
      </c>
      <c r="C2253" s="3" t="s">
        <v>277</v>
      </c>
      <c r="D2253" s="3" t="s">
        <v>309</v>
      </c>
      <c r="E2253" s="3">
        <v>236.15</v>
      </c>
      <c r="F2253" s="3" t="s">
        <v>2995</v>
      </c>
      <c r="G2253" s="3" t="s">
        <v>327</v>
      </c>
      <c r="H2253" s="3" t="s">
        <v>334</v>
      </c>
    </row>
    <row r="2254" spans="1:8" x14ac:dyDescent="0.25">
      <c r="A2254" s="3" t="s">
        <v>2557</v>
      </c>
      <c r="B2254" s="3" t="s">
        <v>3970</v>
      </c>
      <c r="C2254" s="3" t="s">
        <v>157</v>
      </c>
      <c r="D2254" s="3" t="s">
        <v>309</v>
      </c>
      <c r="E2254" s="3">
        <v>105.16</v>
      </c>
      <c r="F2254" s="3" t="s">
        <v>324</v>
      </c>
      <c r="G2254" s="3" t="s">
        <v>327</v>
      </c>
      <c r="H2254" s="3"/>
    </row>
    <row r="2255" spans="1:8" x14ac:dyDescent="0.25">
      <c r="A2255" s="3" t="s">
        <v>2558</v>
      </c>
      <c r="B2255" s="3" t="s">
        <v>3686</v>
      </c>
      <c r="C2255" s="3" t="s">
        <v>90</v>
      </c>
      <c r="D2255" s="3" t="s">
        <v>303</v>
      </c>
      <c r="E2255" s="3">
        <v>236.74</v>
      </c>
      <c r="F2255" s="3" t="s">
        <v>2988</v>
      </c>
      <c r="G2255" s="3" t="s">
        <v>327</v>
      </c>
      <c r="H2255" s="3" t="s">
        <v>332</v>
      </c>
    </row>
    <row r="2256" spans="1:8" x14ac:dyDescent="0.25">
      <c r="A2256" s="3" t="s">
        <v>2559</v>
      </c>
      <c r="B2256" s="3" t="s">
        <v>5012</v>
      </c>
      <c r="C2256" s="3" t="s">
        <v>251</v>
      </c>
      <c r="D2256" s="3" t="s">
        <v>294</v>
      </c>
      <c r="E2256" s="3">
        <v>1104.9100000000001</v>
      </c>
      <c r="F2256" s="3" t="s">
        <v>2995</v>
      </c>
      <c r="G2256" s="3" t="s">
        <v>327</v>
      </c>
      <c r="H2256" s="3"/>
    </row>
    <row r="2257" spans="1:8" x14ac:dyDescent="0.25">
      <c r="A2257" s="3" t="s">
        <v>2560</v>
      </c>
      <c r="B2257" s="3" t="s">
        <v>4474</v>
      </c>
      <c r="C2257" s="3" t="s">
        <v>42</v>
      </c>
      <c r="D2257" s="3" t="s">
        <v>294</v>
      </c>
      <c r="E2257" s="3">
        <v>391.7</v>
      </c>
      <c r="F2257" s="3" t="s">
        <v>2976</v>
      </c>
      <c r="G2257" s="3" t="s">
        <v>327</v>
      </c>
      <c r="H2257" s="3" t="s">
        <v>346</v>
      </c>
    </row>
    <row r="2258" spans="1:8" x14ac:dyDescent="0.25">
      <c r="A2258" s="3" t="s">
        <v>2561</v>
      </c>
      <c r="B2258" s="3" t="s">
        <v>5013</v>
      </c>
      <c r="C2258" s="3" t="s">
        <v>269</v>
      </c>
      <c r="D2258" s="3" t="s">
        <v>294</v>
      </c>
      <c r="E2258" s="3">
        <v>393.46</v>
      </c>
      <c r="F2258" s="3" t="s">
        <v>3157</v>
      </c>
      <c r="G2258" s="3" t="s">
        <v>337</v>
      </c>
      <c r="H2258" s="3" t="s">
        <v>346</v>
      </c>
    </row>
    <row r="2259" spans="1:8" x14ac:dyDescent="0.25">
      <c r="A2259" s="3" t="s">
        <v>2562</v>
      </c>
      <c r="B2259" s="3" t="s">
        <v>4357</v>
      </c>
      <c r="C2259" s="3" t="s">
        <v>271</v>
      </c>
      <c r="D2259" s="3" t="s">
        <v>306</v>
      </c>
      <c r="E2259" s="3">
        <v>858.7</v>
      </c>
      <c r="F2259" s="3" t="s">
        <v>2995</v>
      </c>
      <c r="G2259" s="3" t="s">
        <v>327</v>
      </c>
      <c r="H2259" s="3"/>
    </row>
    <row r="2260" spans="1:8" x14ac:dyDescent="0.25">
      <c r="A2260" s="3" t="s">
        <v>2563</v>
      </c>
      <c r="B2260" s="3" t="s">
        <v>5014</v>
      </c>
      <c r="C2260" s="3" t="s">
        <v>227</v>
      </c>
      <c r="D2260" s="3" t="s">
        <v>294</v>
      </c>
      <c r="E2260" s="3" t="s">
        <v>5015</v>
      </c>
      <c r="F2260" s="3" t="s">
        <v>2995</v>
      </c>
      <c r="G2260" s="3" t="s">
        <v>337</v>
      </c>
      <c r="H2260" s="3"/>
    </row>
    <row r="2261" spans="1:8" x14ac:dyDescent="0.25">
      <c r="A2261" s="3" t="s">
        <v>2564</v>
      </c>
      <c r="B2261" s="3" t="s">
        <v>4384</v>
      </c>
      <c r="C2261" s="3" t="s">
        <v>64</v>
      </c>
      <c r="D2261" s="3" t="s">
        <v>309</v>
      </c>
      <c r="E2261" s="3" t="s">
        <v>5016</v>
      </c>
      <c r="F2261" s="3" t="s">
        <v>324</v>
      </c>
      <c r="G2261" s="3" t="s">
        <v>337</v>
      </c>
      <c r="H2261" s="3"/>
    </row>
    <row r="2262" spans="1:8" x14ac:dyDescent="0.25">
      <c r="A2262" s="3" t="s">
        <v>2565</v>
      </c>
      <c r="B2262" s="3" t="s">
        <v>2984</v>
      </c>
      <c r="C2262" s="3" t="s">
        <v>239</v>
      </c>
      <c r="D2262" s="3" t="s">
        <v>309</v>
      </c>
      <c r="E2262" s="3">
        <v>490.91</v>
      </c>
      <c r="F2262" s="3" t="s">
        <v>2988</v>
      </c>
      <c r="G2262" s="3" t="s">
        <v>329</v>
      </c>
      <c r="H2262" s="3"/>
    </row>
    <row r="2263" spans="1:8" x14ac:dyDescent="0.25">
      <c r="A2263" s="3" t="s">
        <v>2566</v>
      </c>
      <c r="B2263" s="3" t="s">
        <v>4579</v>
      </c>
      <c r="C2263" s="3" t="s">
        <v>123</v>
      </c>
      <c r="D2263" s="3" t="s">
        <v>315</v>
      </c>
      <c r="E2263" s="3">
        <v>800.23</v>
      </c>
      <c r="F2263" s="3" t="s">
        <v>2976</v>
      </c>
      <c r="G2263" s="3" t="s">
        <v>327</v>
      </c>
      <c r="H2263" s="3"/>
    </row>
    <row r="2264" spans="1:8" x14ac:dyDescent="0.25">
      <c r="A2264" s="3" t="s">
        <v>2567</v>
      </c>
      <c r="B2264" s="3" t="s">
        <v>3672</v>
      </c>
      <c r="C2264" s="3" t="s">
        <v>119</v>
      </c>
      <c r="D2264" s="3" t="s">
        <v>309</v>
      </c>
      <c r="E2264" s="3">
        <v>57.21</v>
      </c>
      <c r="F2264" s="3" t="s">
        <v>3157</v>
      </c>
      <c r="G2264" s="3" t="s">
        <v>325</v>
      </c>
      <c r="H2264" s="3"/>
    </row>
    <row r="2265" spans="1:8" x14ac:dyDescent="0.25">
      <c r="A2265" s="3" t="s">
        <v>2568</v>
      </c>
      <c r="B2265" s="3" t="s">
        <v>2983</v>
      </c>
      <c r="C2265" s="3" t="s">
        <v>53</v>
      </c>
      <c r="D2265" s="3" t="s">
        <v>303</v>
      </c>
      <c r="E2265" s="3">
        <v>668.93</v>
      </c>
      <c r="F2265" s="3" t="s">
        <v>2995</v>
      </c>
      <c r="G2265" s="3" t="s">
        <v>337</v>
      </c>
      <c r="H2265" s="3" t="s">
        <v>334</v>
      </c>
    </row>
    <row r="2266" spans="1:8" x14ac:dyDescent="0.25">
      <c r="A2266" s="3" t="s">
        <v>2569</v>
      </c>
      <c r="B2266" s="3" t="s">
        <v>4060</v>
      </c>
      <c r="C2266" s="3" t="s">
        <v>92</v>
      </c>
      <c r="D2266" s="3" t="s">
        <v>294</v>
      </c>
      <c r="E2266" s="3">
        <v>81.64</v>
      </c>
      <c r="F2266" s="3" t="s">
        <v>324</v>
      </c>
      <c r="G2266" s="3" t="s">
        <v>327</v>
      </c>
      <c r="H2266" s="3"/>
    </row>
    <row r="2267" spans="1:8" x14ac:dyDescent="0.25">
      <c r="A2267" s="3" t="s">
        <v>918</v>
      </c>
      <c r="B2267" s="3" t="s">
        <v>3697</v>
      </c>
      <c r="C2267" s="3" t="s">
        <v>221</v>
      </c>
      <c r="D2267" s="3" t="s">
        <v>294</v>
      </c>
      <c r="E2267" s="3">
        <v>54.53</v>
      </c>
      <c r="F2267" s="3" t="s">
        <v>381</v>
      </c>
      <c r="G2267" s="3" t="s">
        <v>327</v>
      </c>
      <c r="H2267" s="3"/>
    </row>
    <row r="2268" spans="1:8" x14ac:dyDescent="0.25">
      <c r="A2268" s="3" t="s">
        <v>2570</v>
      </c>
      <c r="B2268" s="3" t="s">
        <v>4768</v>
      </c>
      <c r="C2268" s="3" t="s">
        <v>74</v>
      </c>
      <c r="D2268" s="3" t="s">
        <v>315</v>
      </c>
      <c r="E2268" s="3">
        <v>1067.48</v>
      </c>
      <c r="F2268" s="3" t="s">
        <v>324</v>
      </c>
      <c r="G2268" s="3" t="s">
        <v>327</v>
      </c>
      <c r="H2268" s="3" t="s">
        <v>346</v>
      </c>
    </row>
    <row r="2269" spans="1:8" x14ac:dyDescent="0.25">
      <c r="A2269" s="3" t="s">
        <v>2571</v>
      </c>
      <c r="B2269" s="3" t="s">
        <v>4537</v>
      </c>
      <c r="C2269" s="3" t="s">
        <v>396</v>
      </c>
      <c r="D2269" s="3" t="s">
        <v>306</v>
      </c>
      <c r="E2269" s="3">
        <v>430.73</v>
      </c>
      <c r="F2269" s="3" t="s">
        <v>2980</v>
      </c>
      <c r="G2269" s="3" t="s">
        <v>325</v>
      </c>
      <c r="H2269" s="3" t="s">
        <v>332</v>
      </c>
    </row>
    <row r="2270" spans="1:8" x14ac:dyDescent="0.25">
      <c r="A2270" s="3" t="s">
        <v>2572</v>
      </c>
      <c r="B2270" s="3" t="s">
        <v>4133</v>
      </c>
      <c r="C2270" s="3" t="s">
        <v>141</v>
      </c>
      <c r="D2270" s="3" t="s">
        <v>294</v>
      </c>
      <c r="E2270" s="3" t="s">
        <v>5017</v>
      </c>
      <c r="F2270" s="3" t="s">
        <v>349</v>
      </c>
      <c r="G2270" s="3" t="s">
        <v>337</v>
      </c>
      <c r="H2270" s="3" t="s">
        <v>332</v>
      </c>
    </row>
    <row r="2271" spans="1:8" x14ac:dyDescent="0.25">
      <c r="A2271" s="3" t="s">
        <v>2573</v>
      </c>
      <c r="B2271" s="3" t="s">
        <v>3771</v>
      </c>
      <c r="C2271" s="3" t="s">
        <v>241</v>
      </c>
      <c r="D2271" s="3" t="s">
        <v>306</v>
      </c>
      <c r="E2271" s="3">
        <v>441.02</v>
      </c>
      <c r="F2271" s="3" t="s">
        <v>2988</v>
      </c>
      <c r="G2271" s="3" t="s">
        <v>327</v>
      </c>
      <c r="H2271" s="3" t="s">
        <v>334</v>
      </c>
    </row>
    <row r="2272" spans="1:8" x14ac:dyDescent="0.25">
      <c r="A2272" s="3" t="s">
        <v>2574</v>
      </c>
      <c r="B2272" s="3" t="s">
        <v>5018</v>
      </c>
      <c r="C2272" s="3" t="s">
        <v>197</v>
      </c>
      <c r="D2272" s="3" t="s">
        <v>315</v>
      </c>
      <c r="E2272" s="3">
        <v>209.15</v>
      </c>
      <c r="F2272" s="3" t="s">
        <v>2988</v>
      </c>
      <c r="G2272" s="3"/>
      <c r="H2272" s="3"/>
    </row>
    <row r="2273" spans="1:8" x14ac:dyDescent="0.25">
      <c r="A2273" s="3" t="s">
        <v>2575</v>
      </c>
      <c r="B2273" s="3" t="s">
        <v>4578</v>
      </c>
      <c r="C2273" s="3" t="s">
        <v>253</v>
      </c>
      <c r="D2273" s="3" t="s">
        <v>315</v>
      </c>
      <c r="E2273" s="3" t="s">
        <v>5019</v>
      </c>
      <c r="F2273" s="3" t="s">
        <v>2988</v>
      </c>
      <c r="G2273" s="3" t="s">
        <v>327</v>
      </c>
      <c r="H2273" s="3" t="s">
        <v>332</v>
      </c>
    </row>
    <row r="2274" spans="1:8" x14ac:dyDescent="0.25">
      <c r="A2274" s="3" t="s">
        <v>2576</v>
      </c>
      <c r="B2274" s="3" t="s">
        <v>3153</v>
      </c>
      <c r="C2274" s="3" t="s">
        <v>263</v>
      </c>
      <c r="D2274" s="3" t="s">
        <v>294</v>
      </c>
      <c r="E2274" s="3">
        <v>575.82000000000005</v>
      </c>
      <c r="F2274" s="3" t="s">
        <v>324</v>
      </c>
      <c r="G2274" s="3" t="s">
        <v>329</v>
      </c>
      <c r="H2274" s="3"/>
    </row>
    <row r="2275" spans="1:8" x14ac:dyDescent="0.25">
      <c r="A2275" s="3" t="s">
        <v>2577</v>
      </c>
      <c r="B2275" s="3" t="s">
        <v>5020</v>
      </c>
      <c r="C2275" s="3" t="s">
        <v>217</v>
      </c>
      <c r="D2275" s="3" t="s">
        <v>312</v>
      </c>
      <c r="E2275" s="3">
        <v>305.51</v>
      </c>
      <c r="F2275" s="3" t="s">
        <v>324</v>
      </c>
      <c r="G2275" s="3" t="s">
        <v>337</v>
      </c>
      <c r="H2275" s="3" t="s">
        <v>334</v>
      </c>
    </row>
    <row r="2276" spans="1:8" x14ac:dyDescent="0.25">
      <c r="A2276" s="3" t="s">
        <v>2578</v>
      </c>
      <c r="B2276" s="3" t="s">
        <v>3068</v>
      </c>
      <c r="C2276" s="3" t="s">
        <v>199</v>
      </c>
      <c r="D2276" s="3" t="s">
        <v>294</v>
      </c>
      <c r="E2276" s="3" t="s">
        <v>5021</v>
      </c>
      <c r="F2276" s="3" t="s">
        <v>381</v>
      </c>
      <c r="G2276" s="3" t="s">
        <v>327</v>
      </c>
      <c r="H2276" s="3"/>
    </row>
    <row r="2277" spans="1:8" x14ac:dyDescent="0.25">
      <c r="A2277" s="3" t="s">
        <v>2579</v>
      </c>
      <c r="B2277" s="3" t="s">
        <v>5022</v>
      </c>
      <c r="C2277" s="3" t="s">
        <v>217</v>
      </c>
      <c r="D2277" s="3" t="s">
        <v>300</v>
      </c>
      <c r="E2277" s="3">
        <v>502.61</v>
      </c>
      <c r="F2277" s="3" t="s">
        <v>324</v>
      </c>
      <c r="G2277" s="3" t="s">
        <v>329</v>
      </c>
      <c r="H2277" s="3"/>
    </row>
    <row r="2278" spans="1:8" x14ac:dyDescent="0.25">
      <c r="A2278" s="3" t="s">
        <v>2580</v>
      </c>
      <c r="B2278" s="3" t="s">
        <v>5023</v>
      </c>
      <c r="C2278" s="3" t="s">
        <v>211</v>
      </c>
      <c r="D2278" s="3" t="s">
        <v>315</v>
      </c>
      <c r="E2278" s="3" t="s">
        <v>5024</v>
      </c>
      <c r="F2278" s="3" t="s">
        <v>324</v>
      </c>
      <c r="G2278" s="3" t="s">
        <v>327</v>
      </c>
      <c r="H2278" s="3" t="s">
        <v>346</v>
      </c>
    </row>
    <row r="2279" spans="1:8" x14ac:dyDescent="0.25">
      <c r="A2279" s="3" t="s">
        <v>2581</v>
      </c>
      <c r="B2279" s="3" t="s">
        <v>3851</v>
      </c>
      <c r="C2279" s="3" t="s">
        <v>133</v>
      </c>
      <c r="D2279" s="3" t="s">
        <v>297</v>
      </c>
      <c r="E2279" s="3">
        <v>248.18</v>
      </c>
      <c r="F2279" s="3" t="s">
        <v>3097</v>
      </c>
      <c r="G2279" s="3" t="s">
        <v>325</v>
      </c>
      <c r="H2279" s="3" t="s">
        <v>332</v>
      </c>
    </row>
    <row r="2280" spans="1:8" x14ac:dyDescent="0.25">
      <c r="A2280" s="3" t="s">
        <v>2582</v>
      </c>
      <c r="B2280" s="3" t="s">
        <v>5025</v>
      </c>
      <c r="C2280" s="3" t="s">
        <v>78</v>
      </c>
      <c r="D2280" s="3" t="s">
        <v>306</v>
      </c>
      <c r="E2280" s="3">
        <v>308.64</v>
      </c>
      <c r="F2280" s="3" t="s">
        <v>2988</v>
      </c>
      <c r="G2280" s="3" t="s">
        <v>325</v>
      </c>
      <c r="H2280" s="3" t="s">
        <v>346</v>
      </c>
    </row>
    <row r="2281" spans="1:8" x14ac:dyDescent="0.25">
      <c r="A2281" s="3" t="s">
        <v>2583</v>
      </c>
      <c r="B2281" s="3" t="s">
        <v>4120</v>
      </c>
      <c r="C2281" s="3" t="s">
        <v>181</v>
      </c>
      <c r="D2281" s="3" t="s">
        <v>306</v>
      </c>
      <c r="E2281" s="3" t="s">
        <v>5026</v>
      </c>
      <c r="F2281" s="3" t="s">
        <v>2988</v>
      </c>
      <c r="G2281" s="3" t="s">
        <v>325</v>
      </c>
      <c r="H2281" s="3" t="s">
        <v>346</v>
      </c>
    </row>
    <row r="2282" spans="1:8" x14ac:dyDescent="0.25">
      <c r="A2282" s="3" t="s">
        <v>2584</v>
      </c>
      <c r="B2282" s="3" t="s">
        <v>4652</v>
      </c>
      <c r="C2282" s="3" t="s">
        <v>15</v>
      </c>
      <c r="D2282" s="3" t="s">
        <v>306</v>
      </c>
      <c r="E2282" s="3">
        <v>495.74</v>
      </c>
      <c r="F2282" s="3" t="s">
        <v>2976</v>
      </c>
      <c r="G2282" s="3" t="s">
        <v>327</v>
      </c>
      <c r="H2282" s="3" t="s">
        <v>332</v>
      </c>
    </row>
    <row r="2283" spans="1:8" x14ac:dyDescent="0.25">
      <c r="A2283" s="3" t="s">
        <v>2585</v>
      </c>
      <c r="B2283" s="3" t="s">
        <v>5027</v>
      </c>
      <c r="C2283" s="3" t="s">
        <v>42</v>
      </c>
      <c r="D2283" s="3" t="s">
        <v>294</v>
      </c>
      <c r="E2283" s="3">
        <v>741.14</v>
      </c>
      <c r="F2283" s="3" t="s">
        <v>324</v>
      </c>
      <c r="G2283" s="3" t="s">
        <v>327</v>
      </c>
      <c r="H2283" s="3" t="s">
        <v>332</v>
      </c>
    </row>
    <row r="2284" spans="1:8" x14ac:dyDescent="0.25">
      <c r="A2284" s="3" t="s">
        <v>2586</v>
      </c>
      <c r="B2284" s="3" t="s">
        <v>4187</v>
      </c>
      <c r="C2284" s="3" t="s">
        <v>241</v>
      </c>
      <c r="D2284" s="3" t="s">
        <v>306</v>
      </c>
      <c r="E2284" s="3">
        <v>579.4</v>
      </c>
      <c r="F2284" s="3" t="s">
        <v>324</v>
      </c>
      <c r="G2284" s="3" t="s">
        <v>327</v>
      </c>
      <c r="H2284" s="3" t="s">
        <v>346</v>
      </c>
    </row>
    <row r="2285" spans="1:8" x14ac:dyDescent="0.25">
      <c r="A2285" s="3" t="s">
        <v>2587</v>
      </c>
      <c r="B2285" s="3" t="s">
        <v>3691</v>
      </c>
      <c r="C2285" s="3" t="s">
        <v>189</v>
      </c>
      <c r="D2285" s="3" t="s">
        <v>294</v>
      </c>
      <c r="E2285" s="3" t="s">
        <v>5028</v>
      </c>
      <c r="F2285" s="3" t="s">
        <v>381</v>
      </c>
      <c r="G2285" s="3" t="s">
        <v>325</v>
      </c>
      <c r="H2285" s="3" t="s">
        <v>334</v>
      </c>
    </row>
    <row r="2286" spans="1:8" x14ac:dyDescent="0.25">
      <c r="A2286" s="3" t="s">
        <v>2588</v>
      </c>
      <c r="B2286" s="3" t="s">
        <v>3395</v>
      </c>
      <c r="C2286" s="3" t="s">
        <v>396</v>
      </c>
      <c r="D2286" s="3" t="s">
        <v>294</v>
      </c>
      <c r="E2286" s="3">
        <v>436.24</v>
      </c>
      <c r="F2286" s="3" t="s">
        <v>3097</v>
      </c>
      <c r="G2286" s="3" t="s">
        <v>325</v>
      </c>
      <c r="H2286" s="3" t="s">
        <v>334</v>
      </c>
    </row>
    <row r="2287" spans="1:8" x14ac:dyDescent="0.25">
      <c r="A2287" s="3" t="s">
        <v>2589</v>
      </c>
      <c r="B2287" s="3" t="s">
        <v>3262</v>
      </c>
      <c r="C2287" s="3" t="s">
        <v>84</v>
      </c>
      <c r="D2287" s="3" t="s">
        <v>315</v>
      </c>
      <c r="E2287" s="3">
        <v>817.75</v>
      </c>
      <c r="F2287" s="3" t="s">
        <v>2988</v>
      </c>
      <c r="G2287" s="3" t="s">
        <v>327</v>
      </c>
      <c r="H2287" s="3"/>
    </row>
    <row r="2288" spans="1:8" x14ac:dyDescent="0.25">
      <c r="A2288" s="3" t="s">
        <v>2590</v>
      </c>
      <c r="B2288" s="3" t="s">
        <v>3882</v>
      </c>
      <c r="C2288" s="3" t="s">
        <v>175</v>
      </c>
      <c r="D2288" s="3" t="s">
        <v>294</v>
      </c>
      <c r="E2288" s="3">
        <v>238.48</v>
      </c>
      <c r="F2288" s="3" t="s">
        <v>381</v>
      </c>
      <c r="G2288" s="3" t="s">
        <v>337</v>
      </c>
      <c r="H2288" s="3"/>
    </row>
    <row r="2289" spans="1:8" x14ac:dyDescent="0.25">
      <c r="A2289" s="3" t="s">
        <v>2591</v>
      </c>
      <c r="B2289" s="3" t="s">
        <v>4107</v>
      </c>
      <c r="C2289" s="3" t="s">
        <v>271</v>
      </c>
      <c r="D2289" s="3" t="s">
        <v>300</v>
      </c>
      <c r="E2289" s="3">
        <v>251.09</v>
      </c>
      <c r="F2289" s="3" t="s">
        <v>324</v>
      </c>
      <c r="G2289" s="3" t="s">
        <v>327</v>
      </c>
      <c r="H2289" s="3" t="s">
        <v>334</v>
      </c>
    </row>
    <row r="2290" spans="1:8" x14ac:dyDescent="0.25">
      <c r="A2290" s="3" t="s">
        <v>2592</v>
      </c>
      <c r="B2290" s="3" t="s">
        <v>3264</v>
      </c>
      <c r="C2290" s="3" t="s">
        <v>49</v>
      </c>
      <c r="D2290" s="3" t="s">
        <v>300</v>
      </c>
      <c r="E2290" s="3">
        <v>175.41</v>
      </c>
      <c r="F2290" s="3" t="s">
        <v>2988</v>
      </c>
      <c r="G2290" s="3" t="s">
        <v>337</v>
      </c>
      <c r="H2290" s="3" t="s">
        <v>346</v>
      </c>
    </row>
    <row r="2291" spans="1:8" x14ac:dyDescent="0.25">
      <c r="A2291" s="3" t="s">
        <v>2593</v>
      </c>
      <c r="B2291" s="3" t="s">
        <v>4872</v>
      </c>
      <c r="C2291" s="3" t="s">
        <v>641</v>
      </c>
      <c r="D2291" s="3" t="s">
        <v>294</v>
      </c>
      <c r="E2291" s="3" t="s">
        <v>5029</v>
      </c>
      <c r="F2291" s="3" t="s">
        <v>2976</v>
      </c>
      <c r="G2291" s="3" t="s">
        <v>337</v>
      </c>
      <c r="H2291" s="3" t="s">
        <v>346</v>
      </c>
    </row>
    <row r="2292" spans="1:8" x14ac:dyDescent="0.25">
      <c r="A2292" s="3" t="s">
        <v>2594</v>
      </c>
      <c r="B2292" s="3" t="s">
        <v>3525</v>
      </c>
      <c r="C2292" s="3" t="s">
        <v>125</v>
      </c>
      <c r="D2292" s="3" t="s">
        <v>294</v>
      </c>
      <c r="E2292" s="3" t="s">
        <v>5030</v>
      </c>
      <c r="F2292" s="3" t="s">
        <v>2973</v>
      </c>
      <c r="G2292" s="3" t="s">
        <v>327</v>
      </c>
      <c r="H2292" s="3" t="s">
        <v>334</v>
      </c>
    </row>
    <row r="2293" spans="1:8" x14ac:dyDescent="0.25">
      <c r="A2293" s="3" t="s">
        <v>2595</v>
      </c>
      <c r="B2293" s="3" t="s">
        <v>3845</v>
      </c>
      <c r="C2293" s="3" t="s">
        <v>82</v>
      </c>
      <c r="D2293" s="3" t="s">
        <v>306</v>
      </c>
      <c r="E2293" s="3">
        <v>873</v>
      </c>
      <c r="F2293" s="3" t="s">
        <v>2973</v>
      </c>
      <c r="G2293" s="3" t="s">
        <v>327</v>
      </c>
      <c r="H2293" s="3" t="s">
        <v>334</v>
      </c>
    </row>
    <row r="2294" spans="1:8" x14ac:dyDescent="0.25">
      <c r="A2294" s="3" t="s">
        <v>2596</v>
      </c>
      <c r="B2294" s="3" t="s">
        <v>5031</v>
      </c>
      <c r="C2294" s="3" t="s">
        <v>70</v>
      </c>
      <c r="D2294" s="3" t="s">
        <v>294</v>
      </c>
      <c r="E2294" s="3">
        <v>445.04</v>
      </c>
      <c r="F2294" s="3" t="s">
        <v>2976</v>
      </c>
      <c r="G2294" s="3" t="s">
        <v>327</v>
      </c>
      <c r="H2294" s="3" t="s">
        <v>346</v>
      </c>
    </row>
    <row r="2295" spans="1:8" x14ac:dyDescent="0.25">
      <c r="A2295" s="3" t="s">
        <v>2597</v>
      </c>
      <c r="B2295" s="3" t="s">
        <v>4762</v>
      </c>
      <c r="C2295" s="3" t="s">
        <v>235</v>
      </c>
      <c r="D2295" s="3" t="s">
        <v>315</v>
      </c>
      <c r="E2295" s="3">
        <v>361.2</v>
      </c>
      <c r="F2295" s="3" t="s">
        <v>324</v>
      </c>
      <c r="G2295" s="3" t="s">
        <v>337</v>
      </c>
      <c r="H2295" s="3" t="s">
        <v>334</v>
      </c>
    </row>
    <row r="2296" spans="1:8" x14ac:dyDescent="0.25">
      <c r="A2296" s="3" t="s">
        <v>2598</v>
      </c>
      <c r="B2296" s="3" t="s">
        <v>4978</v>
      </c>
      <c r="C2296" s="3" t="s">
        <v>163</v>
      </c>
      <c r="D2296" s="3" t="s">
        <v>294</v>
      </c>
      <c r="E2296" s="3" t="s">
        <v>5032</v>
      </c>
      <c r="F2296" s="3" t="s">
        <v>324</v>
      </c>
      <c r="G2296" s="3"/>
      <c r="H2296" s="3"/>
    </row>
    <row r="2297" spans="1:8" x14ac:dyDescent="0.25">
      <c r="A2297" s="3" t="s">
        <v>2599</v>
      </c>
      <c r="B2297" s="3" t="s">
        <v>3319</v>
      </c>
      <c r="C2297" s="3" t="s">
        <v>76</v>
      </c>
      <c r="D2297" s="3" t="s">
        <v>294</v>
      </c>
      <c r="E2297" s="3" t="s">
        <v>5033</v>
      </c>
      <c r="F2297" s="3" t="s">
        <v>2988</v>
      </c>
      <c r="G2297" s="3" t="s">
        <v>329</v>
      </c>
      <c r="H2297" s="3" t="s">
        <v>334</v>
      </c>
    </row>
    <row r="2298" spans="1:8" x14ac:dyDescent="0.25">
      <c r="A2298" s="3" t="s">
        <v>2600</v>
      </c>
      <c r="B2298" s="3" t="s">
        <v>3359</v>
      </c>
      <c r="C2298" s="3" t="s">
        <v>35</v>
      </c>
      <c r="D2298" s="3" t="s">
        <v>312</v>
      </c>
      <c r="E2298" s="3" t="s">
        <v>5034</v>
      </c>
      <c r="F2298" s="3" t="s">
        <v>2995</v>
      </c>
      <c r="G2298" s="3" t="s">
        <v>325</v>
      </c>
      <c r="H2298" s="3" t="s">
        <v>332</v>
      </c>
    </row>
    <row r="2299" spans="1:8" x14ac:dyDescent="0.25">
      <c r="A2299" s="3" t="s">
        <v>2601</v>
      </c>
      <c r="B2299" s="3" t="s">
        <v>3727</v>
      </c>
      <c r="C2299" s="3" t="s">
        <v>76</v>
      </c>
      <c r="D2299" s="3" t="s">
        <v>294</v>
      </c>
      <c r="E2299" s="3" t="s">
        <v>5035</v>
      </c>
      <c r="F2299" s="3" t="s">
        <v>2973</v>
      </c>
      <c r="G2299" s="3" t="s">
        <v>325</v>
      </c>
      <c r="H2299" s="3" t="s">
        <v>332</v>
      </c>
    </row>
    <row r="2300" spans="1:8" x14ac:dyDescent="0.25">
      <c r="A2300" s="3" t="s">
        <v>2602</v>
      </c>
      <c r="B2300" s="3" t="s">
        <v>3667</v>
      </c>
      <c r="C2300" s="3" t="s">
        <v>247</v>
      </c>
      <c r="D2300" s="3" t="s">
        <v>297</v>
      </c>
      <c r="E2300" s="3" t="s">
        <v>5036</v>
      </c>
      <c r="F2300" s="3" t="s">
        <v>3060</v>
      </c>
      <c r="G2300" s="3" t="s">
        <v>325</v>
      </c>
      <c r="H2300" s="3" t="s">
        <v>332</v>
      </c>
    </row>
    <row r="2301" spans="1:8" x14ac:dyDescent="0.25">
      <c r="A2301" s="3" t="s">
        <v>2603</v>
      </c>
      <c r="B2301" s="3" t="s">
        <v>5037</v>
      </c>
      <c r="C2301" s="3" t="s">
        <v>239</v>
      </c>
      <c r="D2301" s="3" t="s">
        <v>306</v>
      </c>
      <c r="E2301" s="3">
        <v>457.69</v>
      </c>
      <c r="F2301" s="3" t="s">
        <v>2995</v>
      </c>
      <c r="G2301" s="3"/>
      <c r="H2301" s="3" t="s">
        <v>332</v>
      </c>
    </row>
    <row r="2302" spans="1:8" x14ac:dyDescent="0.25">
      <c r="A2302" s="3" t="s">
        <v>2604</v>
      </c>
      <c r="B2302" s="3" t="s">
        <v>3752</v>
      </c>
      <c r="C2302" s="3" t="s">
        <v>247</v>
      </c>
      <c r="D2302" s="3" t="s">
        <v>297</v>
      </c>
      <c r="E2302" s="3">
        <v>369.64</v>
      </c>
      <c r="F2302" s="3" t="s">
        <v>324</v>
      </c>
      <c r="G2302" s="3" t="s">
        <v>327</v>
      </c>
      <c r="H2302" s="3" t="s">
        <v>334</v>
      </c>
    </row>
    <row r="2303" spans="1:8" x14ac:dyDescent="0.25">
      <c r="A2303" s="3" t="s">
        <v>2605</v>
      </c>
      <c r="B2303" s="3" t="s">
        <v>5038</v>
      </c>
      <c r="C2303" s="3" t="s">
        <v>227</v>
      </c>
      <c r="D2303" s="3" t="s">
        <v>312</v>
      </c>
      <c r="E2303" s="3">
        <v>279.44</v>
      </c>
      <c r="F2303" s="3" t="s">
        <v>3178</v>
      </c>
      <c r="G2303" s="3" t="s">
        <v>327</v>
      </c>
      <c r="H2303" s="3"/>
    </row>
    <row r="2304" spans="1:8" x14ac:dyDescent="0.25">
      <c r="A2304" s="3" t="s">
        <v>2606</v>
      </c>
      <c r="B2304" s="3" t="s">
        <v>4744</v>
      </c>
      <c r="C2304" s="3" t="s">
        <v>137</v>
      </c>
      <c r="D2304" s="3" t="s">
        <v>300</v>
      </c>
      <c r="E2304" s="3" t="s">
        <v>5039</v>
      </c>
      <c r="F2304" s="3" t="s">
        <v>2976</v>
      </c>
      <c r="G2304" s="3" t="s">
        <v>327</v>
      </c>
      <c r="H2304" s="3"/>
    </row>
    <row r="2305" spans="1:8" x14ac:dyDescent="0.25">
      <c r="A2305" s="3" t="s">
        <v>2607</v>
      </c>
      <c r="B2305" s="3" t="s">
        <v>4360</v>
      </c>
      <c r="C2305" s="3" t="s">
        <v>86</v>
      </c>
      <c r="D2305" s="3" t="s">
        <v>294</v>
      </c>
      <c r="E2305" s="3">
        <v>225.78</v>
      </c>
      <c r="F2305" s="3" t="s">
        <v>381</v>
      </c>
      <c r="G2305" s="3" t="s">
        <v>337</v>
      </c>
      <c r="H2305" s="3" t="s">
        <v>334</v>
      </c>
    </row>
    <row r="2306" spans="1:8" x14ac:dyDescent="0.25">
      <c r="A2306" s="3" t="s">
        <v>2608</v>
      </c>
      <c r="B2306" s="3" t="s">
        <v>3446</v>
      </c>
      <c r="C2306" s="3" t="s">
        <v>139</v>
      </c>
      <c r="D2306" s="3" t="s">
        <v>315</v>
      </c>
      <c r="E2306" s="3">
        <v>264.57</v>
      </c>
      <c r="F2306" s="3" t="s">
        <v>2973</v>
      </c>
      <c r="G2306" s="3" t="s">
        <v>337</v>
      </c>
      <c r="H2306" s="3" t="s">
        <v>346</v>
      </c>
    </row>
    <row r="2307" spans="1:8" x14ac:dyDescent="0.25">
      <c r="A2307" s="3" t="s">
        <v>2609</v>
      </c>
      <c r="B2307" s="3" t="s">
        <v>4418</v>
      </c>
      <c r="C2307" s="3" t="s">
        <v>47</v>
      </c>
      <c r="D2307" s="3" t="s">
        <v>312</v>
      </c>
      <c r="E2307" s="3">
        <v>423.31</v>
      </c>
      <c r="F2307" s="3" t="s">
        <v>2976</v>
      </c>
      <c r="G2307" s="3" t="s">
        <v>325</v>
      </c>
      <c r="H2307" s="3" t="s">
        <v>346</v>
      </c>
    </row>
    <row r="2308" spans="1:8" x14ac:dyDescent="0.25">
      <c r="A2308" s="3" t="s">
        <v>2610</v>
      </c>
      <c r="B2308" s="3" t="s">
        <v>3700</v>
      </c>
      <c r="C2308" s="3" t="s">
        <v>135</v>
      </c>
      <c r="D2308" s="3" t="s">
        <v>300</v>
      </c>
      <c r="E2308" s="3">
        <v>614.12</v>
      </c>
      <c r="F2308" s="3" t="s">
        <v>381</v>
      </c>
      <c r="G2308" s="3" t="s">
        <v>327</v>
      </c>
      <c r="H2308" s="3" t="s">
        <v>332</v>
      </c>
    </row>
    <row r="2309" spans="1:8" x14ac:dyDescent="0.25">
      <c r="A2309" s="3" t="s">
        <v>2611</v>
      </c>
      <c r="B2309" s="3" t="s">
        <v>3477</v>
      </c>
      <c r="C2309" s="3" t="s">
        <v>72</v>
      </c>
      <c r="D2309" s="3" t="s">
        <v>297</v>
      </c>
      <c r="E2309" s="3">
        <v>334.84</v>
      </c>
      <c r="F2309" s="3" t="s">
        <v>324</v>
      </c>
      <c r="G2309" s="3" t="s">
        <v>325</v>
      </c>
      <c r="H2309" s="3"/>
    </row>
    <row r="2310" spans="1:8" x14ac:dyDescent="0.25">
      <c r="A2310" s="3" t="s">
        <v>2612</v>
      </c>
      <c r="B2310" s="3" t="s">
        <v>3289</v>
      </c>
      <c r="C2310" s="3" t="s">
        <v>133</v>
      </c>
      <c r="D2310" s="3" t="s">
        <v>294</v>
      </c>
      <c r="E2310" s="3" t="s">
        <v>5040</v>
      </c>
      <c r="F2310" s="3" t="s">
        <v>3097</v>
      </c>
      <c r="G2310" s="3" t="s">
        <v>337</v>
      </c>
      <c r="H2310" s="3" t="s">
        <v>346</v>
      </c>
    </row>
    <row r="2311" spans="1:8" x14ac:dyDescent="0.25">
      <c r="A2311" s="3" t="s">
        <v>2613</v>
      </c>
      <c r="B2311" s="3" t="s">
        <v>3142</v>
      </c>
      <c r="C2311" s="3" t="s">
        <v>40</v>
      </c>
      <c r="D2311" s="3" t="s">
        <v>300</v>
      </c>
      <c r="E2311" s="3" t="s">
        <v>5041</v>
      </c>
      <c r="F2311" s="3" t="s">
        <v>324</v>
      </c>
      <c r="G2311" s="3" t="s">
        <v>327</v>
      </c>
      <c r="H2311" s="3"/>
    </row>
    <row r="2312" spans="1:8" x14ac:dyDescent="0.25">
      <c r="A2312" s="3" t="s">
        <v>2614</v>
      </c>
      <c r="B2312" s="3" t="s">
        <v>4822</v>
      </c>
      <c r="C2312" s="3" t="s">
        <v>249</v>
      </c>
      <c r="D2312" s="3" t="s">
        <v>294</v>
      </c>
      <c r="E2312" s="3" t="s">
        <v>5042</v>
      </c>
      <c r="F2312" s="3" t="s">
        <v>2973</v>
      </c>
      <c r="G2312" s="3" t="s">
        <v>329</v>
      </c>
      <c r="H2312" s="3"/>
    </row>
    <row r="2313" spans="1:8" x14ac:dyDescent="0.25">
      <c r="A2313" s="3" t="s">
        <v>2615</v>
      </c>
      <c r="B2313" s="3" t="s">
        <v>3424</v>
      </c>
      <c r="C2313" s="3" t="s">
        <v>205</v>
      </c>
      <c r="D2313" s="3" t="s">
        <v>315</v>
      </c>
      <c r="E2313" s="3" t="s">
        <v>5043</v>
      </c>
      <c r="F2313" s="3" t="s">
        <v>324</v>
      </c>
      <c r="G2313" s="3" t="s">
        <v>327</v>
      </c>
      <c r="H2313" s="3"/>
    </row>
    <row r="2314" spans="1:8" x14ac:dyDescent="0.25">
      <c r="A2314" s="3" t="s">
        <v>2616</v>
      </c>
      <c r="B2314" s="3" t="s">
        <v>5044</v>
      </c>
      <c r="C2314" s="3" t="s">
        <v>173</v>
      </c>
      <c r="D2314" s="3" t="s">
        <v>294</v>
      </c>
      <c r="E2314" s="3">
        <v>79.13</v>
      </c>
      <c r="F2314" s="3" t="s">
        <v>324</v>
      </c>
      <c r="G2314" s="3" t="s">
        <v>327</v>
      </c>
      <c r="H2314" s="3" t="s">
        <v>332</v>
      </c>
    </row>
    <row r="2315" spans="1:8" x14ac:dyDescent="0.25">
      <c r="A2315" s="3" t="s">
        <v>2617</v>
      </c>
      <c r="B2315" s="3" t="s">
        <v>4270</v>
      </c>
      <c r="C2315" s="3" t="s">
        <v>82</v>
      </c>
      <c r="D2315" s="3" t="s">
        <v>300</v>
      </c>
      <c r="E2315" s="3">
        <v>390.81</v>
      </c>
      <c r="F2315" s="3" t="s">
        <v>324</v>
      </c>
      <c r="G2315" s="3"/>
      <c r="H2315" s="3" t="s">
        <v>334</v>
      </c>
    </row>
    <row r="2316" spans="1:8" x14ac:dyDescent="0.25">
      <c r="A2316" s="3" t="s">
        <v>2618</v>
      </c>
      <c r="B2316" s="3" t="s">
        <v>4630</v>
      </c>
      <c r="C2316" s="3" t="s">
        <v>183</v>
      </c>
      <c r="D2316" s="3" t="s">
        <v>309</v>
      </c>
      <c r="E2316" s="3">
        <v>73.58</v>
      </c>
      <c r="F2316" s="3" t="s">
        <v>2973</v>
      </c>
      <c r="G2316" s="3" t="s">
        <v>325</v>
      </c>
      <c r="H2316" s="3"/>
    </row>
    <row r="2317" spans="1:8" x14ac:dyDescent="0.25">
      <c r="A2317" s="3" t="s">
        <v>2619</v>
      </c>
      <c r="B2317" s="3" t="s">
        <v>3808</v>
      </c>
      <c r="C2317" s="3" t="s">
        <v>64</v>
      </c>
      <c r="D2317" s="3" t="s">
        <v>297</v>
      </c>
      <c r="E2317" s="3">
        <v>442.66</v>
      </c>
      <c r="F2317" s="3" t="s">
        <v>324</v>
      </c>
      <c r="G2317" s="3" t="s">
        <v>327</v>
      </c>
      <c r="H2317" s="3"/>
    </row>
    <row r="2318" spans="1:8" x14ac:dyDescent="0.25">
      <c r="A2318" s="3" t="s">
        <v>2620</v>
      </c>
      <c r="B2318" s="3" t="s">
        <v>5045</v>
      </c>
      <c r="C2318" s="3" t="s">
        <v>92</v>
      </c>
      <c r="D2318" s="3" t="s">
        <v>300</v>
      </c>
      <c r="E2318" s="3">
        <v>318.41000000000003</v>
      </c>
      <c r="F2318" s="3" t="s">
        <v>2976</v>
      </c>
      <c r="G2318" s="3" t="s">
        <v>327</v>
      </c>
      <c r="H2318" s="3" t="s">
        <v>346</v>
      </c>
    </row>
    <row r="2319" spans="1:8" x14ac:dyDescent="0.25">
      <c r="A2319" s="3" t="s">
        <v>2621</v>
      </c>
      <c r="B2319" s="3" t="s">
        <v>4704</v>
      </c>
      <c r="C2319" s="3" t="s">
        <v>40</v>
      </c>
      <c r="D2319" s="3" t="s">
        <v>297</v>
      </c>
      <c r="E2319" s="3">
        <v>383.79</v>
      </c>
      <c r="F2319" s="3" t="s">
        <v>2988</v>
      </c>
      <c r="G2319" s="3" t="s">
        <v>327</v>
      </c>
      <c r="H2319" s="3" t="s">
        <v>334</v>
      </c>
    </row>
    <row r="2320" spans="1:8" x14ac:dyDescent="0.25">
      <c r="A2320" s="3" t="s">
        <v>2622</v>
      </c>
      <c r="B2320" s="3" t="s">
        <v>3564</v>
      </c>
      <c r="C2320" s="3" t="s">
        <v>261</v>
      </c>
      <c r="D2320" s="3" t="s">
        <v>315</v>
      </c>
      <c r="E2320" s="3" t="s">
        <v>5046</v>
      </c>
      <c r="F2320" s="3" t="s">
        <v>3112</v>
      </c>
      <c r="G2320" s="3" t="s">
        <v>325</v>
      </c>
      <c r="H2320" s="3"/>
    </row>
    <row r="2321" spans="1:8" x14ac:dyDescent="0.25">
      <c r="A2321" s="3" t="s">
        <v>2623</v>
      </c>
      <c r="B2321" s="3" t="s">
        <v>4027</v>
      </c>
      <c r="C2321" s="3" t="s">
        <v>135</v>
      </c>
      <c r="D2321" s="3" t="s">
        <v>300</v>
      </c>
      <c r="E2321" s="3">
        <v>145.4</v>
      </c>
      <c r="F2321" s="3" t="s">
        <v>324</v>
      </c>
      <c r="G2321" s="3"/>
      <c r="H2321" s="3"/>
    </row>
    <row r="2322" spans="1:8" x14ac:dyDescent="0.25">
      <c r="A2322" s="3" t="s">
        <v>2624</v>
      </c>
      <c r="B2322" s="3" t="s">
        <v>3260</v>
      </c>
      <c r="C2322" s="3" t="s">
        <v>68</v>
      </c>
      <c r="D2322" s="3" t="s">
        <v>300</v>
      </c>
      <c r="E2322" s="3" t="s">
        <v>5047</v>
      </c>
      <c r="F2322" s="3" t="s">
        <v>324</v>
      </c>
      <c r="G2322" s="3" t="s">
        <v>327</v>
      </c>
      <c r="H2322" s="3"/>
    </row>
    <row r="2323" spans="1:8" x14ac:dyDescent="0.25">
      <c r="A2323" s="3" t="s">
        <v>2625</v>
      </c>
      <c r="B2323" s="3" t="s">
        <v>5048</v>
      </c>
      <c r="C2323" s="3" t="s">
        <v>113</v>
      </c>
      <c r="D2323" s="3" t="s">
        <v>306</v>
      </c>
      <c r="E2323" s="3" t="s">
        <v>5049</v>
      </c>
      <c r="F2323" s="3" t="s">
        <v>324</v>
      </c>
      <c r="G2323" s="3" t="s">
        <v>337</v>
      </c>
      <c r="H2323" s="3" t="s">
        <v>334</v>
      </c>
    </row>
    <row r="2324" spans="1:8" x14ac:dyDescent="0.25">
      <c r="A2324" s="3" t="s">
        <v>2626</v>
      </c>
      <c r="B2324" s="3" t="s">
        <v>4041</v>
      </c>
      <c r="C2324" s="3" t="s">
        <v>107</v>
      </c>
      <c r="D2324" s="3" t="s">
        <v>312</v>
      </c>
      <c r="E2324" s="3">
        <v>241.53</v>
      </c>
      <c r="F2324" s="3" t="s">
        <v>2995</v>
      </c>
      <c r="G2324" s="3" t="s">
        <v>325</v>
      </c>
      <c r="H2324" s="3"/>
    </row>
    <row r="2325" spans="1:8" x14ac:dyDescent="0.25">
      <c r="A2325" s="3" t="s">
        <v>2627</v>
      </c>
      <c r="B2325" s="3" t="s">
        <v>5050</v>
      </c>
      <c r="C2325" s="3" t="s">
        <v>127</v>
      </c>
      <c r="D2325" s="3" t="s">
        <v>300</v>
      </c>
      <c r="E2325" s="3">
        <v>352.32</v>
      </c>
      <c r="F2325" s="3" t="s">
        <v>381</v>
      </c>
      <c r="G2325" s="3" t="s">
        <v>337</v>
      </c>
      <c r="H2325" s="3" t="s">
        <v>346</v>
      </c>
    </row>
    <row r="2326" spans="1:8" x14ac:dyDescent="0.25">
      <c r="A2326" s="3" t="s">
        <v>2628</v>
      </c>
      <c r="B2326" s="3" t="s">
        <v>4371</v>
      </c>
      <c r="C2326" s="3" t="s">
        <v>11</v>
      </c>
      <c r="D2326" s="3" t="s">
        <v>303</v>
      </c>
      <c r="E2326" s="3">
        <v>261.56</v>
      </c>
      <c r="F2326" s="3" t="s">
        <v>2995</v>
      </c>
      <c r="G2326" s="3" t="s">
        <v>327</v>
      </c>
      <c r="H2326" s="3"/>
    </row>
    <row r="2327" spans="1:8" x14ac:dyDescent="0.25">
      <c r="A2327" s="3" t="s">
        <v>2629</v>
      </c>
      <c r="B2327" s="3" t="s">
        <v>3463</v>
      </c>
      <c r="C2327" s="3" t="s">
        <v>129</v>
      </c>
      <c r="D2327" s="3" t="s">
        <v>297</v>
      </c>
      <c r="E2327" s="3" t="s">
        <v>5051</v>
      </c>
      <c r="F2327" s="3" t="s">
        <v>324</v>
      </c>
      <c r="G2327" s="3" t="s">
        <v>327</v>
      </c>
      <c r="H2327" s="3" t="s">
        <v>332</v>
      </c>
    </row>
    <row r="2328" spans="1:8" x14ac:dyDescent="0.25">
      <c r="A2328" s="3" t="s">
        <v>2630</v>
      </c>
      <c r="B2328" s="3" t="s">
        <v>4360</v>
      </c>
      <c r="C2328" s="3" t="s">
        <v>40</v>
      </c>
      <c r="D2328" s="3" t="s">
        <v>300</v>
      </c>
      <c r="E2328" s="3">
        <v>266.64999999999998</v>
      </c>
      <c r="F2328" s="3" t="s">
        <v>324</v>
      </c>
      <c r="G2328" s="3" t="s">
        <v>327</v>
      </c>
      <c r="H2328" s="3" t="s">
        <v>332</v>
      </c>
    </row>
    <row r="2329" spans="1:8" x14ac:dyDescent="0.25">
      <c r="A2329" s="3" t="s">
        <v>2631</v>
      </c>
      <c r="B2329" s="3" t="s">
        <v>3627</v>
      </c>
      <c r="C2329" s="3" t="s">
        <v>245</v>
      </c>
      <c r="D2329" s="3" t="s">
        <v>300</v>
      </c>
      <c r="E2329" s="3" t="s">
        <v>5052</v>
      </c>
      <c r="F2329" s="3" t="s">
        <v>324</v>
      </c>
      <c r="G2329" s="3" t="s">
        <v>325</v>
      </c>
      <c r="H2329" s="3"/>
    </row>
    <row r="2330" spans="1:8" x14ac:dyDescent="0.25">
      <c r="A2330" s="3" t="s">
        <v>2632</v>
      </c>
      <c r="B2330" s="3" t="s">
        <v>3484</v>
      </c>
      <c r="C2330" s="3" t="s">
        <v>253</v>
      </c>
      <c r="D2330" s="3" t="s">
        <v>315</v>
      </c>
      <c r="E2330" s="3">
        <v>679.15</v>
      </c>
      <c r="F2330" s="3" t="s">
        <v>381</v>
      </c>
      <c r="G2330" s="3"/>
      <c r="H2330" s="3" t="s">
        <v>346</v>
      </c>
    </row>
    <row r="2331" spans="1:8" x14ac:dyDescent="0.25">
      <c r="A2331" s="3" t="s">
        <v>2633</v>
      </c>
      <c r="B2331" s="3" t="s">
        <v>3744</v>
      </c>
      <c r="C2331" s="3" t="s">
        <v>161</v>
      </c>
      <c r="D2331" s="3" t="s">
        <v>312</v>
      </c>
      <c r="E2331" s="3">
        <v>1279.17</v>
      </c>
      <c r="F2331" s="3" t="s">
        <v>2973</v>
      </c>
      <c r="G2331" s="3" t="s">
        <v>337</v>
      </c>
      <c r="H2331" s="3" t="s">
        <v>334</v>
      </c>
    </row>
    <row r="2332" spans="1:8" x14ac:dyDescent="0.25">
      <c r="A2332" s="3" t="s">
        <v>2634</v>
      </c>
      <c r="B2332" s="3" t="s">
        <v>4053</v>
      </c>
      <c r="C2332" s="3" t="s">
        <v>277</v>
      </c>
      <c r="D2332" s="3" t="s">
        <v>297</v>
      </c>
      <c r="E2332" s="3">
        <v>196.5</v>
      </c>
      <c r="F2332" s="3" t="s">
        <v>2973</v>
      </c>
      <c r="G2332" s="3" t="s">
        <v>337</v>
      </c>
      <c r="H2332" s="3" t="s">
        <v>334</v>
      </c>
    </row>
    <row r="2333" spans="1:8" x14ac:dyDescent="0.25">
      <c r="A2333" s="3" t="s">
        <v>2635</v>
      </c>
      <c r="B2333" s="3" t="s">
        <v>4495</v>
      </c>
      <c r="C2333" s="3" t="s">
        <v>209</v>
      </c>
      <c r="D2333" s="3" t="s">
        <v>294</v>
      </c>
      <c r="E2333" s="3">
        <v>214.42</v>
      </c>
      <c r="F2333" s="3" t="s">
        <v>2988</v>
      </c>
      <c r="G2333" s="3" t="s">
        <v>325</v>
      </c>
      <c r="H2333" s="3"/>
    </row>
    <row r="2334" spans="1:8" x14ac:dyDescent="0.25">
      <c r="A2334" s="3" t="s">
        <v>2636</v>
      </c>
      <c r="B2334" s="3" t="s">
        <v>4806</v>
      </c>
      <c r="C2334" s="3" t="s">
        <v>175</v>
      </c>
      <c r="D2334" s="3" t="s">
        <v>300</v>
      </c>
      <c r="E2334" s="3">
        <v>173.93</v>
      </c>
      <c r="F2334" s="3" t="s">
        <v>3178</v>
      </c>
      <c r="G2334" s="3" t="s">
        <v>325</v>
      </c>
      <c r="H2334" s="3"/>
    </row>
    <row r="2335" spans="1:8" x14ac:dyDescent="0.25">
      <c r="A2335" s="3" t="s">
        <v>2637</v>
      </c>
      <c r="B2335" s="3" t="s">
        <v>5053</v>
      </c>
      <c r="C2335" s="3" t="s">
        <v>66</v>
      </c>
      <c r="D2335" s="3" t="s">
        <v>306</v>
      </c>
      <c r="E2335" s="3" t="s">
        <v>5054</v>
      </c>
      <c r="F2335" s="3" t="s">
        <v>3037</v>
      </c>
      <c r="G2335" s="3" t="s">
        <v>327</v>
      </c>
      <c r="H2335" s="3"/>
    </row>
    <row r="2336" spans="1:8" x14ac:dyDescent="0.25">
      <c r="A2336" s="3" t="s">
        <v>2638</v>
      </c>
      <c r="B2336" s="3" t="s">
        <v>4468</v>
      </c>
      <c r="C2336" s="3" t="s">
        <v>265</v>
      </c>
      <c r="D2336" s="3" t="s">
        <v>306</v>
      </c>
      <c r="E2336" s="3" t="s">
        <v>5055</v>
      </c>
      <c r="F2336" s="3" t="s">
        <v>324</v>
      </c>
      <c r="G2336" s="3" t="s">
        <v>325</v>
      </c>
      <c r="H2336" s="3" t="s">
        <v>332</v>
      </c>
    </row>
    <row r="2337" spans="1:8" x14ac:dyDescent="0.25">
      <c r="A2337" s="3" t="s">
        <v>2639</v>
      </c>
      <c r="B2337" s="3" t="s">
        <v>3597</v>
      </c>
      <c r="C2337" s="3" t="s">
        <v>179</v>
      </c>
      <c r="D2337" s="3" t="s">
        <v>294</v>
      </c>
      <c r="E2337" s="3" t="s">
        <v>5056</v>
      </c>
      <c r="F2337" s="3" t="s">
        <v>349</v>
      </c>
      <c r="G2337" s="3" t="s">
        <v>329</v>
      </c>
      <c r="H2337" s="3"/>
    </row>
    <row r="2338" spans="1:8" x14ac:dyDescent="0.25">
      <c r="A2338" s="3" t="s">
        <v>2640</v>
      </c>
      <c r="B2338" s="3" t="s">
        <v>3215</v>
      </c>
      <c r="C2338" s="3" t="s">
        <v>6</v>
      </c>
      <c r="D2338" s="3" t="s">
        <v>309</v>
      </c>
      <c r="E2338" s="3">
        <v>831.19</v>
      </c>
      <c r="F2338" s="3" t="s">
        <v>2995</v>
      </c>
      <c r="G2338" s="3" t="s">
        <v>329</v>
      </c>
      <c r="H2338" s="3" t="s">
        <v>332</v>
      </c>
    </row>
    <row r="2339" spans="1:8" x14ac:dyDescent="0.25">
      <c r="A2339" s="3" t="s">
        <v>2641</v>
      </c>
      <c r="B2339" s="3" t="s">
        <v>4489</v>
      </c>
      <c r="C2339" s="3" t="s">
        <v>74</v>
      </c>
      <c r="D2339" s="3" t="s">
        <v>300</v>
      </c>
      <c r="E2339" s="3">
        <v>288.75</v>
      </c>
      <c r="F2339" s="3" t="s">
        <v>2988</v>
      </c>
      <c r="G2339" s="3" t="s">
        <v>327</v>
      </c>
      <c r="H2339" s="3"/>
    </row>
    <row r="2340" spans="1:8" x14ac:dyDescent="0.25">
      <c r="A2340" s="3" t="s">
        <v>2642</v>
      </c>
      <c r="B2340" s="3" t="s">
        <v>4534</v>
      </c>
      <c r="C2340" s="3" t="s">
        <v>189</v>
      </c>
      <c r="D2340" s="3" t="s">
        <v>294</v>
      </c>
      <c r="E2340" s="3" t="s">
        <v>5057</v>
      </c>
      <c r="F2340" s="3" t="s">
        <v>324</v>
      </c>
      <c r="G2340" s="3" t="s">
        <v>327</v>
      </c>
      <c r="H2340" s="3"/>
    </row>
    <row r="2341" spans="1:8" x14ac:dyDescent="0.25">
      <c r="A2341" s="3" t="s">
        <v>2643</v>
      </c>
      <c r="B2341" s="3" t="s">
        <v>4526</v>
      </c>
      <c r="C2341" s="3" t="s">
        <v>72</v>
      </c>
      <c r="D2341" s="3" t="s">
        <v>300</v>
      </c>
      <c r="E2341" s="3" t="s">
        <v>5058</v>
      </c>
      <c r="F2341" s="3" t="s">
        <v>324</v>
      </c>
      <c r="G2341" s="3" t="s">
        <v>325</v>
      </c>
      <c r="H2341" s="3" t="s">
        <v>346</v>
      </c>
    </row>
    <row r="2342" spans="1:8" x14ac:dyDescent="0.25">
      <c r="A2342" s="3" t="s">
        <v>2644</v>
      </c>
      <c r="B2342" s="3" t="s">
        <v>3392</v>
      </c>
      <c r="C2342" s="3" t="s">
        <v>96</v>
      </c>
      <c r="D2342" s="3" t="s">
        <v>294</v>
      </c>
      <c r="E2342" s="3" t="s">
        <v>5059</v>
      </c>
      <c r="F2342" s="3" t="s">
        <v>2988</v>
      </c>
      <c r="G2342" s="3" t="s">
        <v>325</v>
      </c>
      <c r="H2342" s="3"/>
    </row>
    <row r="2343" spans="1:8" x14ac:dyDescent="0.25">
      <c r="A2343" s="3" t="s">
        <v>2645</v>
      </c>
      <c r="B2343" s="3" t="s">
        <v>4786</v>
      </c>
      <c r="C2343" s="3" t="s">
        <v>269</v>
      </c>
      <c r="D2343" s="3" t="s">
        <v>294</v>
      </c>
      <c r="E2343" s="3" t="s">
        <v>5060</v>
      </c>
      <c r="F2343" s="3" t="s">
        <v>2976</v>
      </c>
      <c r="G2343" s="3" t="s">
        <v>327</v>
      </c>
      <c r="H2343" s="3" t="s">
        <v>332</v>
      </c>
    </row>
    <row r="2344" spans="1:8" x14ac:dyDescent="0.25">
      <c r="A2344" s="3" t="s">
        <v>2646</v>
      </c>
      <c r="B2344" s="3" t="s">
        <v>3417</v>
      </c>
      <c r="C2344" s="3" t="s">
        <v>247</v>
      </c>
      <c r="D2344" s="3" t="s">
        <v>315</v>
      </c>
      <c r="E2344" s="3">
        <v>157.13</v>
      </c>
      <c r="F2344" s="3" t="s">
        <v>324</v>
      </c>
      <c r="G2344" s="3" t="s">
        <v>329</v>
      </c>
      <c r="H2344" s="3" t="s">
        <v>332</v>
      </c>
    </row>
    <row r="2345" spans="1:8" x14ac:dyDescent="0.25">
      <c r="A2345" s="3" t="s">
        <v>2647</v>
      </c>
      <c r="B2345" s="3" t="s">
        <v>5061</v>
      </c>
      <c r="C2345" s="3" t="s">
        <v>225</v>
      </c>
      <c r="D2345" s="3" t="s">
        <v>315</v>
      </c>
      <c r="E2345" s="3" t="s">
        <v>5062</v>
      </c>
      <c r="F2345" s="3" t="s">
        <v>2988</v>
      </c>
      <c r="G2345" s="3" t="s">
        <v>325</v>
      </c>
      <c r="H2345" s="3"/>
    </row>
    <row r="2346" spans="1:8" x14ac:dyDescent="0.25">
      <c r="A2346" s="3" t="s">
        <v>2648</v>
      </c>
      <c r="B2346" s="3" t="s">
        <v>4944</v>
      </c>
      <c r="C2346" s="3" t="s">
        <v>269</v>
      </c>
      <c r="D2346" s="3" t="s">
        <v>300</v>
      </c>
      <c r="E2346" s="3">
        <v>205.63</v>
      </c>
      <c r="F2346" s="3" t="s">
        <v>331</v>
      </c>
      <c r="G2346" s="3" t="s">
        <v>325</v>
      </c>
      <c r="H2346" s="3"/>
    </row>
    <row r="2347" spans="1:8" x14ac:dyDescent="0.25">
      <c r="A2347" s="3" t="s">
        <v>2649</v>
      </c>
      <c r="B2347" s="3" t="s">
        <v>3343</v>
      </c>
      <c r="C2347" s="3" t="s">
        <v>47</v>
      </c>
      <c r="D2347" s="3" t="s">
        <v>297</v>
      </c>
      <c r="E2347" s="3">
        <v>127.62</v>
      </c>
      <c r="F2347" s="3" t="s">
        <v>324</v>
      </c>
      <c r="G2347" s="3" t="s">
        <v>325</v>
      </c>
      <c r="H2347" s="3"/>
    </row>
    <row r="2348" spans="1:8" x14ac:dyDescent="0.25">
      <c r="A2348" s="3" t="s">
        <v>2650</v>
      </c>
      <c r="B2348" s="3" t="s">
        <v>4012</v>
      </c>
      <c r="C2348" s="3" t="s">
        <v>117</v>
      </c>
      <c r="D2348" s="3" t="s">
        <v>306</v>
      </c>
      <c r="E2348" s="3">
        <v>968.19</v>
      </c>
      <c r="F2348" s="3" t="s">
        <v>381</v>
      </c>
      <c r="G2348" s="3" t="s">
        <v>337</v>
      </c>
      <c r="H2348" s="3" t="s">
        <v>334</v>
      </c>
    </row>
    <row r="2349" spans="1:8" x14ac:dyDescent="0.25">
      <c r="A2349" s="3" t="s">
        <v>2651</v>
      </c>
      <c r="B2349" s="3" t="s">
        <v>3211</v>
      </c>
      <c r="C2349" s="3" t="s">
        <v>237</v>
      </c>
      <c r="D2349" s="3" t="s">
        <v>309</v>
      </c>
      <c r="E2349" s="3">
        <v>847.35</v>
      </c>
      <c r="F2349" s="3" t="s">
        <v>3037</v>
      </c>
      <c r="G2349" s="3" t="s">
        <v>337</v>
      </c>
      <c r="H2349" s="3"/>
    </row>
    <row r="2350" spans="1:8" x14ac:dyDescent="0.25">
      <c r="A2350" s="3" t="s">
        <v>2652</v>
      </c>
      <c r="B2350" s="3" t="s">
        <v>5063</v>
      </c>
      <c r="C2350" s="3" t="s">
        <v>113</v>
      </c>
      <c r="D2350" s="3" t="s">
        <v>294</v>
      </c>
      <c r="E2350" s="3" t="s">
        <v>5064</v>
      </c>
      <c r="F2350" s="3" t="s">
        <v>324</v>
      </c>
      <c r="G2350" s="3" t="s">
        <v>337</v>
      </c>
      <c r="H2350" s="3"/>
    </row>
    <row r="2351" spans="1:8" x14ac:dyDescent="0.25">
      <c r="A2351" s="3" t="s">
        <v>2653</v>
      </c>
      <c r="B2351" s="3" t="s">
        <v>5065</v>
      </c>
      <c r="C2351" s="3" t="s">
        <v>237</v>
      </c>
      <c r="D2351" s="3" t="s">
        <v>315</v>
      </c>
      <c r="E2351" s="3" t="s">
        <v>5066</v>
      </c>
      <c r="F2351" s="3" t="s">
        <v>2973</v>
      </c>
      <c r="G2351" s="3" t="s">
        <v>337</v>
      </c>
      <c r="H2351" s="3"/>
    </row>
    <row r="2352" spans="1:8" x14ac:dyDescent="0.25">
      <c r="A2352" s="3" t="s">
        <v>2654</v>
      </c>
      <c r="B2352" s="3" t="s">
        <v>3329</v>
      </c>
      <c r="C2352" s="3" t="s">
        <v>117</v>
      </c>
      <c r="D2352" s="3" t="s">
        <v>294</v>
      </c>
      <c r="E2352" s="3">
        <v>251.21</v>
      </c>
      <c r="F2352" s="3" t="s">
        <v>2995</v>
      </c>
      <c r="G2352" s="3" t="s">
        <v>327</v>
      </c>
      <c r="H2352" s="3" t="s">
        <v>346</v>
      </c>
    </row>
    <row r="2353" spans="1:8" x14ac:dyDescent="0.25">
      <c r="A2353" s="3" t="s">
        <v>2655</v>
      </c>
      <c r="B2353" s="3" t="s">
        <v>4687</v>
      </c>
      <c r="C2353" s="3" t="s">
        <v>165</v>
      </c>
      <c r="D2353" s="3" t="s">
        <v>294</v>
      </c>
      <c r="E2353" s="3">
        <v>98.19</v>
      </c>
      <c r="F2353" s="3" t="s">
        <v>324</v>
      </c>
      <c r="G2353" s="3" t="s">
        <v>325</v>
      </c>
      <c r="H2353" s="3"/>
    </row>
    <row r="2354" spans="1:8" x14ac:dyDescent="0.25">
      <c r="A2354" s="3" t="s">
        <v>2656</v>
      </c>
      <c r="B2354" s="3" t="s">
        <v>4688</v>
      </c>
      <c r="C2354" s="3" t="s">
        <v>107</v>
      </c>
      <c r="D2354" s="3" t="s">
        <v>294</v>
      </c>
      <c r="E2354" s="3">
        <v>211.4</v>
      </c>
      <c r="F2354" s="3" t="s">
        <v>3097</v>
      </c>
      <c r="G2354" s="3" t="s">
        <v>337</v>
      </c>
      <c r="H2354" s="3" t="s">
        <v>334</v>
      </c>
    </row>
    <row r="2355" spans="1:8" x14ac:dyDescent="0.25">
      <c r="A2355" s="3" t="s">
        <v>2657</v>
      </c>
      <c r="B2355" s="3" t="s">
        <v>3732</v>
      </c>
      <c r="C2355" s="3" t="s">
        <v>64</v>
      </c>
      <c r="D2355" s="3" t="s">
        <v>294</v>
      </c>
      <c r="E2355" s="3" t="s">
        <v>5067</v>
      </c>
      <c r="F2355" s="3" t="s">
        <v>2976</v>
      </c>
      <c r="G2355" s="3" t="s">
        <v>325</v>
      </c>
      <c r="H2355" s="3" t="s">
        <v>334</v>
      </c>
    </row>
    <row r="2356" spans="1:8" x14ac:dyDescent="0.25">
      <c r="A2356" s="3" t="s">
        <v>2658</v>
      </c>
      <c r="B2356" s="3" t="s">
        <v>5068</v>
      </c>
      <c r="C2356" s="3" t="s">
        <v>275</v>
      </c>
      <c r="D2356" s="3" t="s">
        <v>297</v>
      </c>
      <c r="E2356" s="3" t="s">
        <v>5069</v>
      </c>
      <c r="F2356" s="3" t="s">
        <v>2973</v>
      </c>
      <c r="G2356" s="3" t="s">
        <v>325</v>
      </c>
      <c r="H2356" s="3"/>
    </row>
    <row r="2357" spans="1:8" x14ac:dyDescent="0.25">
      <c r="A2357" s="3" t="s">
        <v>2659</v>
      </c>
      <c r="B2357" s="3" t="s">
        <v>3034</v>
      </c>
      <c r="C2357" s="3" t="s">
        <v>209</v>
      </c>
      <c r="D2357" s="3" t="s">
        <v>300</v>
      </c>
      <c r="E2357" s="3" t="s">
        <v>5070</v>
      </c>
      <c r="F2357" s="3" t="s">
        <v>324</v>
      </c>
      <c r="G2357" s="3" t="s">
        <v>337</v>
      </c>
      <c r="H2357" s="3"/>
    </row>
    <row r="2358" spans="1:8" x14ac:dyDescent="0.25">
      <c r="A2358" s="3" t="s">
        <v>2660</v>
      </c>
      <c r="B2358" s="3" t="s">
        <v>4120</v>
      </c>
      <c r="C2358" s="3" t="s">
        <v>179</v>
      </c>
      <c r="D2358" s="3" t="s">
        <v>294</v>
      </c>
      <c r="E2358" s="3">
        <v>428.02</v>
      </c>
      <c r="F2358" s="3" t="s">
        <v>2976</v>
      </c>
      <c r="G2358" s="3" t="s">
        <v>327</v>
      </c>
      <c r="H2358" s="3"/>
    </row>
    <row r="2359" spans="1:8" x14ac:dyDescent="0.25">
      <c r="A2359" s="3" t="s">
        <v>2661</v>
      </c>
      <c r="B2359" s="3" t="s">
        <v>5071</v>
      </c>
      <c r="C2359" s="3" t="s">
        <v>247</v>
      </c>
      <c r="D2359" s="3" t="s">
        <v>294</v>
      </c>
      <c r="E2359" s="3">
        <v>82.84</v>
      </c>
      <c r="F2359" s="3" t="s">
        <v>2973</v>
      </c>
      <c r="G2359" s="3" t="s">
        <v>327</v>
      </c>
      <c r="H2359" s="3" t="s">
        <v>346</v>
      </c>
    </row>
    <row r="2360" spans="1:8" x14ac:dyDescent="0.25">
      <c r="A2360" s="3" t="s">
        <v>2662</v>
      </c>
      <c r="B2360" s="3" t="s">
        <v>3840</v>
      </c>
      <c r="C2360" s="3" t="s">
        <v>51</v>
      </c>
      <c r="D2360" s="3" t="s">
        <v>300</v>
      </c>
      <c r="E2360" s="3" t="s">
        <v>5072</v>
      </c>
      <c r="F2360" s="3" t="s">
        <v>324</v>
      </c>
      <c r="G2360" s="3" t="s">
        <v>325</v>
      </c>
      <c r="H2360" s="3"/>
    </row>
    <row r="2361" spans="1:8" x14ac:dyDescent="0.25">
      <c r="A2361" s="3" t="s">
        <v>2663</v>
      </c>
      <c r="B2361" s="3" t="s">
        <v>3526</v>
      </c>
      <c r="C2361" s="3" t="s">
        <v>159</v>
      </c>
      <c r="D2361" s="3" t="s">
        <v>306</v>
      </c>
      <c r="E2361" s="3">
        <v>797.47</v>
      </c>
      <c r="F2361" s="3" t="s">
        <v>324</v>
      </c>
      <c r="G2361" s="3" t="s">
        <v>325</v>
      </c>
      <c r="H2361" s="3" t="s">
        <v>334</v>
      </c>
    </row>
    <row r="2362" spans="1:8" x14ac:dyDescent="0.25">
      <c r="A2362" s="3" t="s">
        <v>2664</v>
      </c>
      <c r="B2362" s="3" t="s">
        <v>3828</v>
      </c>
      <c r="C2362" s="3" t="s">
        <v>113</v>
      </c>
      <c r="D2362" s="3" t="s">
        <v>306</v>
      </c>
      <c r="E2362" s="3" t="s">
        <v>5073</v>
      </c>
      <c r="F2362" s="3" t="s">
        <v>3097</v>
      </c>
      <c r="G2362" s="3" t="s">
        <v>337</v>
      </c>
      <c r="H2362" s="3" t="s">
        <v>332</v>
      </c>
    </row>
    <row r="2363" spans="1:8" x14ac:dyDescent="0.25">
      <c r="A2363" s="3" t="s">
        <v>2665</v>
      </c>
      <c r="B2363" s="3" t="s">
        <v>4745</v>
      </c>
      <c r="C2363" s="3" t="s">
        <v>51</v>
      </c>
      <c r="D2363" s="3" t="s">
        <v>306</v>
      </c>
      <c r="E2363" s="3">
        <v>611.91</v>
      </c>
      <c r="F2363" s="3" t="s">
        <v>2973</v>
      </c>
      <c r="G2363" s="3"/>
      <c r="H2363" s="3" t="s">
        <v>332</v>
      </c>
    </row>
    <row r="2364" spans="1:8" x14ac:dyDescent="0.25">
      <c r="A2364" s="3" t="s">
        <v>2666</v>
      </c>
      <c r="B2364" s="3" t="s">
        <v>4270</v>
      </c>
      <c r="C2364" s="3" t="s">
        <v>396</v>
      </c>
      <c r="D2364" s="3" t="s">
        <v>300</v>
      </c>
      <c r="E2364" s="3">
        <v>182.17</v>
      </c>
      <c r="F2364" s="3" t="s">
        <v>2995</v>
      </c>
      <c r="G2364" s="3" t="s">
        <v>329</v>
      </c>
      <c r="H2364" s="3" t="s">
        <v>332</v>
      </c>
    </row>
    <row r="2365" spans="1:8" x14ac:dyDescent="0.25">
      <c r="A2365" s="3" t="s">
        <v>2667</v>
      </c>
      <c r="B2365" s="3" t="s">
        <v>3536</v>
      </c>
      <c r="C2365" s="3" t="s">
        <v>203</v>
      </c>
      <c r="D2365" s="3" t="s">
        <v>294</v>
      </c>
      <c r="E2365" s="3">
        <v>-317.12</v>
      </c>
      <c r="F2365" s="3" t="s">
        <v>3060</v>
      </c>
      <c r="G2365" s="3" t="s">
        <v>327</v>
      </c>
      <c r="H2365" s="3" t="s">
        <v>332</v>
      </c>
    </row>
    <row r="2366" spans="1:8" x14ac:dyDescent="0.25">
      <c r="A2366" s="3" t="s">
        <v>2668</v>
      </c>
      <c r="B2366" s="3" t="s">
        <v>5074</v>
      </c>
      <c r="C2366" s="3" t="s">
        <v>225</v>
      </c>
      <c r="D2366" s="3" t="s">
        <v>294</v>
      </c>
      <c r="E2366" s="3">
        <v>653.16999999999996</v>
      </c>
      <c r="F2366" s="3" t="s">
        <v>2995</v>
      </c>
      <c r="G2366" s="3" t="s">
        <v>327</v>
      </c>
      <c r="H2366" s="3"/>
    </row>
    <row r="2367" spans="1:8" x14ac:dyDescent="0.25">
      <c r="A2367" s="3" t="s">
        <v>2669</v>
      </c>
      <c r="B2367" s="3" t="s">
        <v>3924</v>
      </c>
      <c r="C2367" s="3" t="s">
        <v>267</v>
      </c>
      <c r="D2367" s="3" t="s">
        <v>312</v>
      </c>
      <c r="E2367" s="3" t="s">
        <v>5075</v>
      </c>
      <c r="F2367" s="3" t="s">
        <v>324</v>
      </c>
      <c r="G2367" s="3" t="s">
        <v>325</v>
      </c>
      <c r="H2367" s="3" t="s">
        <v>334</v>
      </c>
    </row>
    <row r="2368" spans="1:8" x14ac:dyDescent="0.25">
      <c r="A2368" s="3" t="s">
        <v>2670</v>
      </c>
      <c r="B2368" s="3" t="s">
        <v>4982</v>
      </c>
      <c r="C2368" s="3" t="s">
        <v>277</v>
      </c>
      <c r="D2368" s="3" t="s">
        <v>294</v>
      </c>
      <c r="E2368" s="3">
        <v>317.70999999999998</v>
      </c>
      <c r="F2368" s="3" t="s">
        <v>2973</v>
      </c>
      <c r="G2368" s="3" t="s">
        <v>327</v>
      </c>
      <c r="H2368" s="3" t="s">
        <v>334</v>
      </c>
    </row>
    <row r="2369" spans="1:8" x14ac:dyDescent="0.25">
      <c r="A2369" s="3" t="s">
        <v>2671</v>
      </c>
      <c r="B2369" s="3" t="s">
        <v>3004</v>
      </c>
      <c r="C2369" s="3" t="s">
        <v>247</v>
      </c>
      <c r="D2369" s="3" t="s">
        <v>294</v>
      </c>
      <c r="E2369" s="3" t="s">
        <v>5076</v>
      </c>
      <c r="F2369" s="3" t="s">
        <v>324</v>
      </c>
      <c r="G2369" s="3"/>
      <c r="H2369" s="3" t="s">
        <v>334</v>
      </c>
    </row>
    <row r="2370" spans="1:8" x14ac:dyDescent="0.25">
      <c r="A2370" s="3" t="s">
        <v>2672</v>
      </c>
      <c r="B2370" s="3" t="s">
        <v>4403</v>
      </c>
      <c r="C2370" s="3" t="s">
        <v>55</v>
      </c>
      <c r="D2370" s="3" t="s">
        <v>297</v>
      </c>
      <c r="E2370" s="3">
        <v>242.01</v>
      </c>
      <c r="F2370" s="3" t="s">
        <v>2988</v>
      </c>
      <c r="G2370" s="3" t="s">
        <v>325</v>
      </c>
      <c r="H2370" s="3" t="s">
        <v>332</v>
      </c>
    </row>
    <row r="2371" spans="1:8" x14ac:dyDescent="0.25">
      <c r="A2371" s="3" t="s">
        <v>2673</v>
      </c>
      <c r="B2371" s="3" t="s">
        <v>4413</v>
      </c>
      <c r="C2371" s="3" t="s">
        <v>84</v>
      </c>
      <c r="D2371" s="3" t="s">
        <v>294</v>
      </c>
      <c r="E2371" s="3">
        <v>236.84</v>
      </c>
      <c r="F2371" s="3" t="s">
        <v>2995</v>
      </c>
      <c r="G2371" s="3" t="s">
        <v>337</v>
      </c>
      <c r="H2371" s="3" t="s">
        <v>334</v>
      </c>
    </row>
    <row r="2372" spans="1:8" x14ac:dyDescent="0.25">
      <c r="A2372" s="3" t="s">
        <v>2674</v>
      </c>
      <c r="B2372" s="3" t="s">
        <v>3379</v>
      </c>
      <c r="C2372" s="3" t="s">
        <v>133</v>
      </c>
      <c r="D2372" s="3" t="s">
        <v>297</v>
      </c>
      <c r="E2372" s="3" t="s">
        <v>5077</v>
      </c>
      <c r="F2372" s="3" t="s">
        <v>324</v>
      </c>
      <c r="G2372" s="3" t="s">
        <v>327</v>
      </c>
      <c r="H2372" s="3"/>
    </row>
    <row r="2373" spans="1:8" x14ac:dyDescent="0.25">
      <c r="A2373" s="3" t="s">
        <v>2675</v>
      </c>
      <c r="B2373" s="3" t="s">
        <v>5078</v>
      </c>
      <c r="C2373" s="3" t="s">
        <v>76</v>
      </c>
      <c r="D2373" s="3" t="s">
        <v>303</v>
      </c>
      <c r="E2373" s="3" t="s">
        <v>5079</v>
      </c>
      <c r="F2373" s="3" t="s">
        <v>381</v>
      </c>
      <c r="G2373" s="3"/>
      <c r="H2373" s="3" t="s">
        <v>346</v>
      </c>
    </row>
    <row r="2374" spans="1:8" x14ac:dyDescent="0.25">
      <c r="A2374" s="3" t="s">
        <v>2676</v>
      </c>
      <c r="B2374" s="3" t="s">
        <v>3014</v>
      </c>
      <c r="C2374" s="3" t="s">
        <v>207</v>
      </c>
      <c r="D2374" s="3" t="s">
        <v>312</v>
      </c>
      <c r="E2374" s="3">
        <v>313.60000000000002</v>
      </c>
      <c r="F2374" s="3" t="s">
        <v>2976</v>
      </c>
      <c r="G2374" s="3" t="s">
        <v>337</v>
      </c>
      <c r="H2374" s="3" t="s">
        <v>346</v>
      </c>
    </row>
    <row r="2375" spans="1:8" x14ac:dyDescent="0.25">
      <c r="A2375" s="3" t="s">
        <v>2677</v>
      </c>
      <c r="B2375" s="3" t="s">
        <v>3324</v>
      </c>
      <c r="C2375" s="3" t="s">
        <v>129</v>
      </c>
      <c r="D2375" s="3" t="s">
        <v>306</v>
      </c>
      <c r="E2375" s="3">
        <v>609.63</v>
      </c>
      <c r="F2375" s="3" t="s">
        <v>324</v>
      </c>
      <c r="G2375" s="3" t="s">
        <v>337</v>
      </c>
      <c r="H2375" s="3"/>
    </row>
    <row r="2376" spans="1:8" x14ac:dyDescent="0.25">
      <c r="A2376" s="3" t="s">
        <v>2678</v>
      </c>
      <c r="B2376" s="3" t="s">
        <v>4101</v>
      </c>
      <c r="C2376" s="3" t="s">
        <v>249</v>
      </c>
      <c r="D2376" s="3" t="s">
        <v>312</v>
      </c>
      <c r="E2376" s="3">
        <v>504.19</v>
      </c>
      <c r="F2376" s="3" t="s">
        <v>324</v>
      </c>
      <c r="G2376" s="3" t="s">
        <v>325</v>
      </c>
      <c r="H2376" s="3" t="s">
        <v>334</v>
      </c>
    </row>
    <row r="2377" spans="1:8" x14ac:dyDescent="0.25">
      <c r="A2377" s="3" t="s">
        <v>2679</v>
      </c>
      <c r="B2377" s="3" t="s">
        <v>5080</v>
      </c>
      <c r="C2377" s="3" t="s">
        <v>68</v>
      </c>
      <c r="D2377" s="3" t="s">
        <v>303</v>
      </c>
      <c r="E2377" s="3" t="s">
        <v>5081</v>
      </c>
      <c r="F2377" s="3" t="s">
        <v>324</v>
      </c>
      <c r="G2377" s="3" t="s">
        <v>327</v>
      </c>
      <c r="H2377" s="3"/>
    </row>
    <row r="2378" spans="1:8" x14ac:dyDescent="0.25">
      <c r="A2378" s="3" t="s">
        <v>2680</v>
      </c>
      <c r="B2378" s="3" t="s">
        <v>5065</v>
      </c>
      <c r="C2378" s="3" t="s">
        <v>119</v>
      </c>
      <c r="D2378" s="3" t="s">
        <v>294</v>
      </c>
      <c r="E2378" s="3">
        <v>57.25</v>
      </c>
      <c r="F2378" s="3" t="s">
        <v>2988</v>
      </c>
      <c r="G2378" s="3" t="s">
        <v>327</v>
      </c>
      <c r="H2378" s="3"/>
    </row>
    <row r="2379" spans="1:8" x14ac:dyDescent="0.25">
      <c r="A2379" s="3" t="s">
        <v>2681</v>
      </c>
      <c r="B2379" s="3" t="s">
        <v>3563</v>
      </c>
      <c r="C2379" s="3" t="s">
        <v>235</v>
      </c>
      <c r="D2379" s="3" t="s">
        <v>309</v>
      </c>
      <c r="E2379" s="3">
        <v>468.98</v>
      </c>
      <c r="F2379" s="3" t="s">
        <v>324</v>
      </c>
      <c r="G2379" s="3" t="s">
        <v>325</v>
      </c>
      <c r="H2379" s="3"/>
    </row>
    <row r="2380" spans="1:8" x14ac:dyDescent="0.25">
      <c r="A2380" s="3" t="s">
        <v>2682</v>
      </c>
      <c r="B2380" s="3" t="s">
        <v>4448</v>
      </c>
      <c r="C2380" s="3" t="s">
        <v>265</v>
      </c>
      <c r="D2380" s="3" t="s">
        <v>294</v>
      </c>
      <c r="E2380" s="3" t="s">
        <v>3990</v>
      </c>
      <c r="F2380" s="3" t="s">
        <v>2988</v>
      </c>
      <c r="G2380" s="3" t="s">
        <v>327</v>
      </c>
      <c r="H2380" s="3"/>
    </row>
    <row r="2381" spans="1:8" x14ac:dyDescent="0.25">
      <c r="A2381" s="3" t="s">
        <v>2683</v>
      </c>
      <c r="B2381" s="3" t="s">
        <v>5082</v>
      </c>
      <c r="C2381" s="3" t="s">
        <v>173</v>
      </c>
      <c r="D2381" s="3" t="s">
        <v>303</v>
      </c>
      <c r="E2381" s="3" t="s">
        <v>5083</v>
      </c>
      <c r="F2381" s="3" t="s">
        <v>3060</v>
      </c>
      <c r="G2381" s="3" t="s">
        <v>327</v>
      </c>
      <c r="H2381" s="3" t="s">
        <v>332</v>
      </c>
    </row>
    <row r="2382" spans="1:8" x14ac:dyDescent="0.25">
      <c r="A2382" s="3" t="s">
        <v>2684</v>
      </c>
      <c r="B2382" s="3" t="s">
        <v>5084</v>
      </c>
      <c r="C2382" s="3" t="s">
        <v>269</v>
      </c>
      <c r="D2382" s="3" t="s">
        <v>309</v>
      </c>
      <c r="E2382" s="3">
        <v>262.02</v>
      </c>
      <c r="F2382" s="3" t="s">
        <v>324</v>
      </c>
      <c r="G2382" s="3" t="s">
        <v>325</v>
      </c>
      <c r="H2382" s="3"/>
    </row>
    <row r="2383" spans="1:8" x14ac:dyDescent="0.25">
      <c r="A2383" s="3" t="s">
        <v>2685</v>
      </c>
      <c r="B2383" s="3" t="s">
        <v>3967</v>
      </c>
      <c r="C2383" s="3" t="s">
        <v>6</v>
      </c>
      <c r="D2383" s="3" t="s">
        <v>294</v>
      </c>
      <c r="E2383" s="3" t="s">
        <v>5085</v>
      </c>
      <c r="F2383" s="3" t="s">
        <v>324</v>
      </c>
      <c r="G2383" s="3" t="s">
        <v>325</v>
      </c>
      <c r="H2383" s="3"/>
    </row>
    <row r="2384" spans="1:8" x14ac:dyDescent="0.25">
      <c r="A2384" s="3" t="s">
        <v>2686</v>
      </c>
      <c r="B2384" s="3" t="s">
        <v>4006</v>
      </c>
      <c r="C2384" s="3" t="s">
        <v>109</v>
      </c>
      <c r="D2384" s="3" t="s">
        <v>294</v>
      </c>
      <c r="E2384" s="3">
        <v>422.75</v>
      </c>
      <c r="F2384" s="3" t="s">
        <v>324</v>
      </c>
      <c r="G2384" s="3" t="s">
        <v>327</v>
      </c>
      <c r="H2384" s="3"/>
    </row>
    <row r="2385" spans="1:8" x14ac:dyDescent="0.25">
      <c r="A2385" s="3" t="s">
        <v>2687</v>
      </c>
      <c r="B2385" s="3" t="s">
        <v>4087</v>
      </c>
      <c r="C2385" s="3" t="s">
        <v>115</v>
      </c>
      <c r="D2385" s="3" t="s">
        <v>294</v>
      </c>
      <c r="E2385" s="3">
        <v>359.87</v>
      </c>
      <c r="F2385" s="3" t="s">
        <v>324</v>
      </c>
      <c r="G2385" s="3" t="s">
        <v>325</v>
      </c>
      <c r="H2385" s="3"/>
    </row>
    <row r="2386" spans="1:8" x14ac:dyDescent="0.25">
      <c r="A2386" s="3" t="s">
        <v>2688</v>
      </c>
      <c r="B2386" s="3" t="s">
        <v>3707</v>
      </c>
      <c r="C2386" s="3" t="s">
        <v>203</v>
      </c>
      <c r="D2386" s="3" t="s">
        <v>294</v>
      </c>
      <c r="E2386" s="3">
        <v>268.29000000000002</v>
      </c>
      <c r="F2386" s="3" t="s">
        <v>324</v>
      </c>
      <c r="G2386" s="3" t="s">
        <v>327</v>
      </c>
      <c r="H2386" s="3" t="s">
        <v>332</v>
      </c>
    </row>
    <row r="2387" spans="1:8" x14ac:dyDescent="0.25">
      <c r="A2387" s="3" t="s">
        <v>2689</v>
      </c>
      <c r="B2387" s="3" t="s">
        <v>5086</v>
      </c>
      <c r="C2387" s="3" t="s">
        <v>223</v>
      </c>
      <c r="D2387" s="3" t="s">
        <v>303</v>
      </c>
      <c r="E2387" s="3" t="s">
        <v>5087</v>
      </c>
      <c r="F2387" s="3" t="s">
        <v>2976</v>
      </c>
      <c r="G2387" s="3" t="s">
        <v>337</v>
      </c>
      <c r="H2387" s="3" t="s">
        <v>346</v>
      </c>
    </row>
    <row r="2388" spans="1:8" x14ac:dyDescent="0.25">
      <c r="A2388" s="3" t="s">
        <v>2690</v>
      </c>
      <c r="B2388" s="3" t="s">
        <v>5088</v>
      </c>
      <c r="C2388" s="3" t="s">
        <v>38</v>
      </c>
      <c r="D2388" s="3" t="s">
        <v>306</v>
      </c>
      <c r="E2388" s="3">
        <v>1034.27</v>
      </c>
      <c r="F2388" s="3" t="s">
        <v>2995</v>
      </c>
      <c r="G2388" s="3" t="s">
        <v>329</v>
      </c>
      <c r="H2388" s="3" t="s">
        <v>332</v>
      </c>
    </row>
    <row r="2389" spans="1:8" x14ac:dyDescent="0.25">
      <c r="A2389" s="3" t="s">
        <v>2691</v>
      </c>
      <c r="B2389" s="3" t="s">
        <v>3272</v>
      </c>
      <c r="C2389" s="3" t="s">
        <v>177</v>
      </c>
      <c r="D2389" s="3" t="s">
        <v>312</v>
      </c>
      <c r="E2389" s="3">
        <v>137.87</v>
      </c>
      <c r="F2389" s="3" t="s">
        <v>324</v>
      </c>
      <c r="G2389" s="3" t="s">
        <v>325</v>
      </c>
      <c r="H2389" s="3" t="s">
        <v>346</v>
      </c>
    </row>
    <row r="2390" spans="1:8" x14ac:dyDescent="0.25">
      <c r="A2390" s="3" t="s">
        <v>2692</v>
      </c>
      <c r="B2390" s="3" t="s">
        <v>4572</v>
      </c>
      <c r="C2390" s="3" t="s">
        <v>139</v>
      </c>
      <c r="D2390" s="3" t="s">
        <v>294</v>
      </c>
      <c r="E2390" s="3" t="s">
        <v>5089</v>
      </c>
      <c r="F2390" s="3" t="s">
        <v>3021</v>
      </c>
      <c r="G2390" s="3" t="s">
        <v>325</v>
      </c>
      <c r="H2390" s="3"/>
    </row>
    <row r="2391" spans="1:8" x14ac:dyDescent="0.25">
      <c r="A2391" s="3" t="s">
        <v>2693</v>
      </c>
      <c r="B2391" s="3" t="s">
        <v>3638</v>
      </c>
      <c r="C2391" s="3" t="s">
        <v>167</v>
      </c>
      <c r="D2391" s="3" t="s">
        <v>306</v>
      </c>
      <c r="E2391" s="3" t="s">
        <v>5090</v>
      </c>
      <c r="F2391" s="3" t="s">
        <v>3060</v>
      </c>
      <c r="G2391" s="3" t="s">
        <v>325</v>
      </c>
      <c r="H2391" s="3"/>
    </row>
    <row r="2392" spans="1:8" x14ac:dyDescent="0.25">
      <c r="A2392" s="3" t="s">
        <v>2694</v>
      </c>
      <c r="B2392" s="3" t="s">
        <v>3946</v>
      </c>
      <c r="C2392" s="3" t="s">
        <v>72</v>
      </c>
      <c r="D2392" s="3" t="s">
        <v>312</v>
      </c>
      <c r="E2392" s="3" t="s">
        <v>5091</v>
      </c>
      <c r="F2392" s="3" t="s">
        <v>349</v>
      </c>
      <c r="G2392" s="3" t="s">
        <v>327</v>
      </c>
      <c r="H2392" s="3" t="s">
        <v>332</v>
      </c>
    </row>
    <row r="2393" spans="1:8" x14ac:dyDescent="0.25">
      <c r="A2393" s="3" t="s">
        <v>2695</v>
      </c>
      <c r="B2393" s="3" t="s">
        <v>3629</v>
      </c>
      <c r="C2393" s="3" t="s">
        <v>49</v>
      </c>
      <c r="D2393" s="3" t="s">
        <v>315</v>
      </c>
      <c r="E2393" s="3">
        <v>84.97</v>
      </c>
      <c r="F2393" s="3" t="s">
        <v>2988</v>
      </c>
      <c r="G2393" s="3" t="s">
        <v>337</v>
      </c>
      <c r="H2393" s="3" t="s">
        <v>332</v>
      </c>
    </row>
    <row r="2394" spans="1:8" x14ac:dyDescent="0.25">
      <c r="A2394" s="3" t="s">
        <v>2696</v>
      </c>
      <c r="B2394" s="3" t="s">
        <v>4170</v>
      </c>
      <c r="C2394" s="3" t="s">
        <v>60</v>
      </c>
      <c r="D2394" s="3" t="s">
        <v>300</v>
      </c>
      <c r="E2394" s="3" t="s">
        <v>5092</v>
      </c>
      <c r="F2394" s="3" t="s">
        <v>3097</v>
      </c>
      <c r="G2394" s="3" t="s">
        <v>325</v>
      </c>
      <c r="H2394" s="3"/>
    </row>
    <row r="2395" spans="1:8" x14ac:dyDescent="0.25">
      <c r="A2395" s="3" t="s">
        <v>2697</v>
      </c>
      <c r="B2395" s="3" t="s">
        <v>3633</v>
      </c>
      <c r="C2395" s="3" t="s">
        <v>175</v>
      </c>
      <c r="D2395" s="3" t="s">
        <v>306</v>
      </c>
      <c r="E2395" s="3">
        <v>239.46</v>
      </c>
      <c r="F2395" s="3" t="s">
        <v>324</v>
      </c>
      <c r="G2395" s="3" t="s">
        <v>327</v>
      </c>
      <c r="H2395" s="3"/>
    </row>
    <row r="2396" spans="1:8" x14ac:dyDescent="0.25">
      <c r="A2396" s="3" t="s">
        <v>2698</v>
      </c>
      <c r="B2396" s="3" t="s">
        <v>5093</v>
      </c>
      <c r="C2396" s="3" t="s">
        <v>241</v>
      </c>
      <c r="D2396" s="3" t="s">
        <v>300</v>
      </c>
      <c r="E2396" s="3">
        <v>66.569999999999993</v>
      </c>
      <c r="F2396" s="3" t="s">
        <v>324</v>
      </c>
      <c r="G2396" s="3" t="s">
        <v>337</v>
      </c>
      <c r="H2396" s="3"/>
    </row>
    <row r="2397" spans="1:8" x14ac:dyDescent="0.25">
      <c r="A2397" s="3" t="s">
        <v>2699</v>
      </c>
      <c r="B2397" s="3" t="s">
        <v>3959</v>
      </c>
      <c r="C2397" s="3" t="s">
        <v>243</v>
      </c>
      <c r="D2397" s="3" t="s">
        <v>312</v>
      </c>
      <c r="E2397" s="3">
        <v>606</v>
      </c>
      <c r="F2397" s="3" t="s">
        <v>2995</v>
      </c>
      <c r="G2397" s="3" t="s">
        <v>329</v>
      </c>
      <c r="H2397" s="3" t="s">
        <v>334</v>
      </c>
    </row>
    <row r="2398" spans="1:8" x14ac:dyDescent="0.25">
      <c r="A2398" s="3" t="s">
        <v>2700</v>
      </c>
      <c r="B2398" s="3" t="s">
        <v>3607</v>
      </c>
      <c r="C2398" s="3" t="s">
        <v>68</v>
      </c>
      <c r="D2398" s="3" t="s">
        <v>303</v>
      </c>
      <c r="E2398" s="3" t="s">
        <v>5094</v>
      </c>
      <c r="F2398" s="3" t="s">
        <v>324</v>
      </c>
      <c r="G2398" s="3"/>
      <c r="H2398" s="3" t="s">
        <v>334</v>
      </c>
    </row>
    <row r="2399" spans="1:8" x14ac:dyDescent="0.25">
      <c r="A2399" s="3" t="s">
        <v>2701</v>
      </c>
      <c r="B2399" s="3" t="s">
        <v>3227</v>
      </c>
      <c r="C2399" s="3" t="s">
        <v>38</v>
      </c>
      <c r="D2399" s="3" t="s">
        <v>300</v>
      </c>
      <c r="E2399" s="3">
        <v>421.46</v>
      </c>
      <c r="F2399" s="3" t="s">
        <v>324</v>
      </c>
      <c r="G2399" s="3" t="s">
        <v>327</v>
      </c>
      <c r="H2399" s="3" t="s">
        <v>346</v>
      </c>
    </row>
    <row r="2400" spans="1:8" x14ac:dyDescent="0.25">
      <c r="A2400" s="3" t="s">
        <v>2702</v>
      </c>
      <c r="B2400" s="3" t="s">
        <v>3744</v>
      </c>
      <c r="C2400" s="3" t="s">
        <v>167</v>
      </c>
      <c r="D2400" s="3" t="s">
        <v>297</v>
      </c>
      <c r="E2400" s="3" t="s">
        <v>5095</v>
      </c>
      <c r="F2400" s="3" t="s">
        <v>2997</v>
      </c>
      <c r="G2400" s="3" t="s">
        <v>325</v>
      </c>
      <c r="H2400" s="3"/>
    </row>
    <row r="2401" spans="1:8" x14ac:dyDescent="0.25">
      <c r="A2401" s="3" t="s">
        <v>2703</v>
      </c>
      <c r="B2401" s="3" t="s">
        <v>3207</v>
      </c>
      <c r="C2401" s="3" t="s">
        <v>80</v>
      </c>
      <c r="D2401" s="3" t="s">
        <v>315</v>
      </c>
      <c r="E2401" s="3">
        <v>151.49</v>
      </c>
      <c r="F2401" s="3" t="s">
        <v>324</v>
      </c>
      <c r="G2401" s="3" t="s">
        <v>327</v>
      </c>
      <c r="H2401" s="3" t="s">
        <v>346</v>
      </c>
    </row>
    <row r="2402" spans="1:8" x14ac:dyDescent="0.25">
      <c r="A2402" s="3" t="s">
        <v>2704</v>
      </c>
      <c r="B2402" s="3" t="s">
        <v>5096</v>
      </c>
      <c r="C2402" s="3" t="s">
        <v>185</v>
      </c>
      <c r="D2402" s="3" t="s">
        <v>294</v>
      </c>
      <c r="E2402" s="3" t="s">
        <v>5097</v>
      </c>
      <c r="F2402" s="3" t="s">
        <v>2973</v>
      </c>
      <c r="G2402" s="3"/>
      <c r="H2402" s="3"/>
    </row>
    <row r="2403" spans="1:8" x14ac:dyDescent="0.25">
      <c r="A2403" s="3" t="s">
        <v>2705</v>
      </c>
      <c r="B2403" s="3" t="s">
        <v>3283</v>
      </c>
      <c r="C2403" s="3" t="s">
        <v>105</v>
      </c>
      <c r="D2403" s="3" t="s">
        <v>300</v>
      </c>
      <c r="E2403" s="3" t="s">
        <v>5098</v>
      </c>
      <c r="F2403" s="3" t="s">
        <v>324</v>
      </c>
      <c r="G2403" s="3" t="s">
        <v>327</v>
      </c>
      <c r="H2403" s="3"/>
    </row>
    <row r="2404" spans="1:8" x14ac:dyDescent="0.25">
      <c r="A2404" s="3" t="s">
        <v>2706</v>
      </c>
      <c r="B2404" s="3" t="s">
        <v>5099</v>
      </c>
      <c r="C2404" s="3" t="s">
        <v>641</v>
      </c>
      <c r="D2404" s="3" t="s">
        <v>309</v>
      </c>
      <c r="E2404" s="3" t="s">
        <v>5100</v>
      </c>
      <c r="F2404" s="3" t="s">
        <v>324</v>
      </c>
      <c r="G2404" s="3"/>
      <c r="H2404" s="3"/>
    </row>
    <row r="2405" spans="1:8" x14ac:dyDescent="0.25">
      <c r="A2405" s="3" t="s">
        <v>2707</v>
      </c>
      <c r="B2405" s="3" t="s">
        <v>4133</v>
      </c>
      <c r="C2405" s="3" t="s">
        <v>191</v>
      </c>
      <c r="D2405" s="3" t="s">
        <v>306</v>
      </c>
      <c r="E2405" s="3">
        <v>477.31</v>
      </c>
      <c r="F2405" s="3" t="s">
        <v>2973</v>
      </c>
      <c r="G2405" s="3" t="s">
        <v>327</v>
      </c>
      <c r="H2405" s="3"/>
    </row>
    <row r="2406" spans="1:8" x14ac:dyDescent="0.25">
      <c r="A2406" s="3" t="s">
        <v>2708</v>
      </c>
      <c r="B2406" s="3" t="s">
        <v>5101</v>
      </c>
      <c r="C2406" s="3" t="s">
        <v>23</v>
      </c>
      <c r="D2406" s="3" t="s">
        <v>294</v>
      </c>
      <c r="E2406" s="3">
        <v>253.14</v>
      </c>
      <c r="F2406" s="3" t="s">
        <v>381</v>
      </c>
      <c r="G2406" s="3" t="s">
        <v>327</v>
      </c>
      <c r="H2406" s="3"/>
    </row>
    <row r="2407" spans="1:8" x14ac:dyDescent="0.25">
      <c r="A2407" s="3" t="s">
        <v>2709</v>
      </c>
      <c r="B2407" s="3" t="s">
        <v>4495</v>
      </c>
      <c r="C2407" s="3" t="s">
        <v>51</v>
      </c>
      <c r="D2407" s="3" t="s">
        <v>294</v>
      </c>
      <c r="E2407" s="3" t="s">
        <v>5102</v>
      </c>
      <c r="F2407" s="3" t="s">
        <v>324</v>
      </c>
      <c r="G2407" s="3" t="s">
        <v>327</v>
      </c>
      <c r="H2407" s="3" t="s">
        <v>346</v>
      </c>
    </row>
    <row r="2408" spans="1:8" x14ac:dyDescent="0.25">
      <c r="A2408" s="3" t="s">
        <v>2710</v>
      </c>
      <c r="B2408" s="3" t="s">
        <v>3469</v>
      </c>
      <c r="C2408" s="3" t="s">
        <v>139</v>
      </c>
      <c r="D2408" s="3" t="s">
        <v>306</v>
      </c>
      <c r="E2408" s="3" t="s">
        <v>5103</v>
      </c>
      <c r="F2408" s="3" t="s">
        <v>2988</v>
      </c>
      <c r="G2408" s="3" t="s">
        <v>325</v>
      </c>
      <c r="H2408" s="3" t="s">
        <v>332</v>
      </c>
    </row>
    <row r="2409" spans="1:8" x14ac:dyDescent="0.25">
      <c r="A2409" s="3" t="s">
        <v>2711</v>
      </c>
      <c r="B2409" s="3" t="s">
        <v>3646</v>
      </c>
      <c r="C2409" s="3" t="s">
        <v>129</v>
      </c>
      <c r="D2409" s="3" t="s">
        <v>309</v>
      </c>
      <c r="E2409" s="3">
        <v>517.4</v>
      </c>
      <c r="F2409" s="3" t="s">
        <v>2976</v>
      </c>
      <c r="G2409" s="3" t="s">
        <v>325</v>
      </c>
      <c r="H2409" s="3" t="s">
        <v>346</v>
      </c>
    </row>
    <row r="2410" spans="1:8" x14ac:dyDescent="0.25">
      <c r="A2410" s="3" t="s">
        <v>2712</v>
      </c>
      <c r="B2410" s="3" t="s">
        <v>5104</v>
      </c>
      <c r="C2410" s="3" t="s">
        <v>107</v>
      </c>
      <c r="D2410" s="3" t="s">
        <v>294</v>
      </c>
      <c r="E2410" s="3">
        <v>101.03</v>
      </c>
      <c r="F2410" s="3" t="s">
        <v>324</v>
      </c>
      <c r="G2410" s="3" t="s">
        <v>327</v>
      </c>
      <c r="H2410" s="3" t="s">
        <v>346</v>
      </c>
    </row>
    <row r="2411" spans="1:8" x14ac:dyDescent="0.25">
      <c r="A2411" s="3" t="s">
        <v>2713</v>
      </c>
      <c r="B2411" s="3" t="s">
        <v>3254</v>
      </c>
      <c r="C2411" s="3" t="s">
        <v>53</v>
      </c>
      <c r="D2411" s="3" t="s">
        <v>303</v>
      </c>
      <c r="E2411" s="3" t="s">
        <v>5105</v>
      </c>
      <c r="F2411" s="3" t="s">
        <v>324</v>
      </c>
      <c r="G2411" s="3" t="s">
        <v>337</v>
      </c>
      <c r="H2411" s="3" t="s">
        <v>334</v>
      </c>
    </row>
    <row r="2412" spans="1:8" x14ac:dyDescent="0.25">
      <c r="A2412" s="3" t="s">
        <v>2714</v>
      </c>
      <c r="B2412" s="3" t="s">
        <v>5106</v>
      </c>
      <c r="C2412" s="3" t="s">
        <v>109</v>
      </c>
      <c r="D2412" s="3" t="s">
        <v>303</v>
      </c>
      <c r="E2412" s="3">
        <v>119.86</v>
      </c>
      <c r="F2412" s="3" t="s">
        <v>2988</v>
      </c>
      <c r="G2412" s="3" t="s">
        <v>327</v>
      </c>
      <c r="H2412" s="3" t="s">
        <v>334</v>
      </c>
    </row>
    <row r="2413" spans="1:8" x14ac:dyDescent="0.25">
      <c r="A2413" s="3" t="s">
        <v>2715</v>
      </c>
      <c r="B2413" s="3" t="s">
        <v>4459</v>
      </c>
      <c r="C2413" s="3" t="s">
        <v>261</v>
      </c>
      <c r="D2413" s="3" t="s">
        <v>315</v>
      </c>
      <c r="E2413" s="3" t="s">
        <v>5107</v>
      </c>
      <c r="F2413" s="3" t="s">
        <v>2973</v>
      </c>
      <c r="G2413" s="3" t="s">
        <v>327</v>
      </c>
      <c r="H2413" s="3"/>
    </row>
    <row r="2414" spans="1:8" x14ac:dyDescent="0.25">
      <c r="A2414" s="3" t="s">
        <v>2716</v>
      </c>
      <c r="B2414" s="3" t="s">
        <v>3747</v>
      </c>
      <c r="C2414" s="3" t="s">
        <v>213</v>
      </c>
      <c r="D2414" s="3" t="s">
        <v>312</v>
      </c>
      <c r="E2414" s="3" t="s">
        <v>5108</v>
      </c>
      <c r="F2414" s="3" t="s">
        <v>381</v>
      </c>
      <c r="G2414" s="3" t="s">
        <v>337</v>
      </c>
      <c r="H2414" s="3"/>
    </row>
    <row r="2415" spans="1:8" x14ac:dyDescent="0.25">
      <c r="A2415" s="3" t="s">
        <v>2717</v>
      </c>
      <c r="B2415" s="3" t="s">
        <v>3073</v>
      </c>
      <c r="C2415" s="3" t="s">
        <v>223</v>
      </c>
      <c r="D2415" s="3" t="s">
        <v>300</v>
      </c>
      <c r="E2415" s="3">
        <v>696.92</v>
      </c>
      <c r="F2415" s="3" t="s">
        <v>324</v>
      </c>
      <c r="G2415" s="3" t="s">
        <v>325</v>
      </c>
      <c r="H2415" s="3" t="s">
        <v>346</v>
      </c>
    </row>
    <row r="2416" spans="1:8" x14ac:dyDescent="0.25">
      <c r="A2416" s="3" t="s">
        <v>1468</v>
      </c>
      <c r="B2416" s="3" t="s">
        <v>3653</v>
      </c>
      <c r="C2416" s="3" t="s">
        <v>201</v>
      </c>
      <c r="D2416" s="3" t="s">
        <v>294</v>
      </c>
      <c r="E2416" s="3" t="s">
        <v>4205</v>
      </c>
      <c r="F2416" s="3" t="s">
        <v>324</v>
      </c>
      <c r="G2416" s="3" t="s">
        <v>327</v>
      </c>
      <c r="H2416" s="3"/>
    </row>
    <row r="2417" spans="1:8" x14ac:dyDescent="0.25">
      <c r="A2417" s="3" t="s">
        <v>2718</v>
      </c>
      <c r="B2417" s="3" t="s">
        <v>3032</v>
      </c>
      <c r="C2417" s="3" t="s">
        <v>165</v>
      </c>
      <c r="D2417" s="3" t="s">
        <v>294</v>
      </c>
      <c r="E2417" s="3">
        <v>244.33</v>
      </c>
      <c r="F2417" s="3" t="s">
        <v>324</v>
      </c>
      <c r="G2417" s="3" t="s">
        <v>329</v>
      </c>
      <c r="H2417" s="3"/>
    </row>
    <row r="2418" spans="1:8" x14ac:dyDescent="0.25">
      <c r="A2418" s="3" t="s">
        <v>2719</v>
      </c>
      <c r="B2418" s="3" t="s">
        <v>4207</v>
      </c>
      <c r="C2418" s="3" t="s">
        <v>163</v>
      </c>
      <c r="D2418" s="3" t="s">
        <v>306</v>
      </c>
      <c r="E2418" s="3" t="s">
        <v>5109</v>
      </c>
      <c r="F2418" s="3" t="s">
        <v>331</v>
      </c>
      <c r="G2418" s="3" t="s">
        <v>325</v>
      </c>
      <c r="H2418" s="3" t="s">
        <v>332</v>
      </c>
    </row>
    <row r="2419" spans="1:8" x14ac:dyDescent="0.25">
      <c r="A2419" s="3" t="s">
        <v>2720</v>
      </c>
      <c r="B2419" s="3" t="s">
        <v>5110</v>
      </c>
      <c r="C2419" s="3" t="s">
        <v>100</v>
      </c>
      <c r="D2419" s="3" t="s">
        <v>315</v>
      </c>
      <c r="E2419" s="3">
        <v>1001.82</v>
      </c>
      <c r="F2419" s="3" t="s">
        <v>324</v>
      </c>
      <c r="G2419" s="3" t="s">
        <v>325</v>
      </c>
      <c r="H2419" s="3"/>
    </row>
    <row r="2420" spans="1:8" x14ac:dyDescent="0.25">
      <c r="A2420" s="3" t="s">
        <v>2721</v>
      </c>
      <c r="B2420" s="3" t="s">
        <v>4159</v>
      </c>
      <c r="C2420" s="3" t="s">
        <v>263</v>
      </c>
      <c r="D2420" s="3" t="s">
        <v>315</v>
      </c>
      <c r="E2420" s="3">
        <v>276.69</v>
      </c>
      <c r="F2420" s="3" t="s">
        <v>2973</v>
      </c>
      <c r="G2420" s="3" t="s">
        <v>337</v>
      </c>
      <c r="H2420" s="3" t="s">
        <v>334</v>
      </c>
    </row>
    <row r="2421" spans="1:8" x14ac:dyDescent="0.25">
      <c r="A2421" s="3" t="s">
        <v>2722</v>
      </c>
      <c r="B2421" s="3" t="s">
        <v>5111</v>
      </c>
      <c r="C2421" s="3" t="s">
        <v>153</v>
      </c>
      <c r="D2421" s="3" t="s">
        <v>300</v>
      </c>
      <c r="E2421" s="3">
        <v>206.23</v>
      </c>
      <c r="F2421" s="3" t="s">
        <v>2988</v>
      </c>
      <c r="G2421" s="3" t="s">
        <v>327</v>
      </c>
      <c r="H2421" s="3"/>
    </row>
    <row r="2422" spans="1:8" x14ac:dyDescent="0.25">
      <c r="A2422" s="3" t="s">
        <v>2723</v>
      </c>
      <c r="B2422" s="3" t="s">
        <v>4650</v>
      </c>
      <c r="C2422" s="3" t="s">
        <v>275</v>
      </c>
      <c r="D2422" s="3" t="s">
        <v>300</v>
      </c>
      <c r="E2422" s="3">
        <v>530.54</v>
      </c>
      <c r="F2422" s="3" t="s">
        <v>2976</v>
      </c>
      <c r="G2422" s="3" t="s">
        <v>337</v>
      </c>
      <c r="H2422" s="3"/>
    </row>
    <row r="2423" spans="1:8" x14ac:dyDescent="0.25">
      <c r="A2423" s="3" t="s">
        <v>2724</v>
      </c>
      <c r="B2423" s="3" t="s">
        <v>4032</v>
      </c>
      <c r="C2423" s="3" t="s">
        <v>117</v>
      </c>
      <c r="D2423" s="3" t="s">
        <v>315</v>
      </c>
      <c r="E2423" s="3" t="s">
        <v>5112</v>
      </c>
      <c r="F2423" s="3" t="s">
        <v>324</v>
      </c>
      <c r="G2423" s="3" t="s">
        <v>327</v>
      </c>
      <c r="H2423" s="3"/>
    </row>
    <row r="2424" spans="1:8" x14ac:dyDescent="0.25">
      <c r="A2424" s="3" t="s">
        <v>2725</v>
      </c>
      <c r="B2424" s="3" t="s">
        <v>4335</v>
      </c>
      <c r="C2424" s="3" t="s">
        <v>225</v>
      </c>
      <c r="D2424" s="3" t="s">
        <v>315</v>
      </c>
      <c r="E2424" s="3" t="s">
        <v>5113</v>
      </c>
      <c r="F2424" s="3" t="s">
        <v>324</v>
      </c>
      <c r="G2424" s="3" t="s">
        <v>325</v>
      </c>
      <c r="H2424" s="3"/>
    </row>
    <row r="2425" spans="1:8" x14ac:dyDescent="0.25">
      <c r="A2425" s="3" t="s">
        <v>2726</v>
      </c>
      <c r="B2425" s="3" t="s">
        <v>3583</v>
      </c>
      <c r="C2425" s="3" t="s">
        <v>187</v>
      </c>
      <c r="D2425" s="3" t="s">
        <v>312</v>
      </c>
      <c r="E2425" s="3" t="s">
        <v>5114</v>
      </c>
      <c r="F2425" s="3" t="s">
        <v>2976</v>
      </c>
      <c r="G2425" s="3" t="s">
        <v>325</v>
      </c>
      <c r="H2425" s="3" t="s">
        <v>334</v>
      </c>
    </row>
    <row r="2426" spans="1:8" x14ac:dyDescent="0.25">
      <c r="A2426" s="3" t="s">
        <v>2727</v>
      </c>
      <c r="B2426" s="3" t="s">
        <v>4881</v>
      </c>
      <c r="C2426" s="3" t="s">
        <v>269</v>
      </c>
      <c r="D2426" s="3" t="s">
        <v>315</v>
      </c>
      <c r="E2426" s="3">
        <v>197.3</v>
      </c>
      <c r="F2426" s="3" t="s">
        <v>2995</v>
      </c>
      <c r="G2426" s="3" t="s">
        <v>337</v>
      </c>
      <c r="H2426" s="3"/>
    </row>
    <row r="2427" spans="1:8" x14ac:dyDescent="0.25">
      <c r="A2427" s="3" t="s">
        <v>2728</v>
      </c>
      <c r="B2427" s="3" t="s">
        <v>3020</v>
      </c>
      <c r="C2427" s="3" t="s">
        <v>100</v>
      </c>
      <c r="D2427" s="3" t="s">
        <v>315</v>
      </c>
      <c r="E2427" s="3" t="s">
        <v>5115</v>
      </c>
      <c r="F2427" s="3" t="s">
        <v>381</v>
      </c>
      <c r="G2427" s="3" t="s">
        <v>327</v>
      </c>
      <c r="H2427" s="3"/>
    </row>
    <row r="2428" spans="1:8" x14ac:dyDescent="0.25">
      <c r="A2428" s="3" t="s">
        <v>2729</v>
      </c>
      <c r="B2428" s="3" t="s">
        <v>5116</v>
      </c>
      <c r="C2428" s="3" t="s">
        <v>247</v>
      </c>
      <c r="D2428" s="3" t="s">
        <v>294</v>
      </c>
      <c r="E2428" s="3">
        <v>205.39</v>
      </c>
      <c r="F2428" s="3" t="s">
        <v>324</v>
      </c>
      <c r="G2428" s="3" t="s">
        <v>327</v>
      </c>
      <c r="H2428" s="3" t="s">
        <v>334</v>
      </c>
    </row>
    <row r="2429" spans="1:8" x14ac:dyDescent="0.25">
      <c r="A2429" s="3" t="s">
        <v>2730</v>
      </c>
      <c r="B2429" s="3" t="s">
        <v>4888</v>
      </c>
      <c r="C2429" s="3" t="s">
        <v>173</v>
      </c>
      <c r="D2429" s="3" t="s">
        <v>312</v>
      </c>
      <c r="E2429" s="3" t="s">
        <v>5117</v>
      </c>
      <c r="F2429" s="3" t="s">
        <v>2973</v>
      </c>
      <c r="G2429" s="3" t="s">
        <v>325</v>
      </c>
      <c r="H2429" s="3" t="s">
        <v>332</v>
      </c>
    </row>
    <row r="2430" spans="1:8" x14ac:dyDescent="0.25">
      <c r="A2430" s="3" t="s">
        <v>2731</v>
      </c>
      <c r="B2430" s="3" t="s">
        <v>3778</v>
      </c>
      <c r="C2430" s="3" t="s">
        <v>169</v>
      </c>
      <c r="D2430" s="3" t="s">
        <v>294</v>
      </c>
      <c r="E2430" s="3" t="s">
        <v>5118</v>
      </c>
      <c r="F2430" s="3" t="s">
        <v>2976</v>
      </c>
      <c r="G2430" s="3"/>
      <c r="H2430" s="3"/>
    </row>
    <row r="2431" spans="1:8" x14ac:dyDescent="0.25">
      <c r="A2431" s="3" t="s">
        <v>2732</v>
      </c>
      <c r="B2431" s="3" t="s">
        <v>3896</v>
      </c>
      <c r="C2431" s="3" t="s">
        <v>251</v>
      </c>
      <c r="D2431" s="3" t="s">
        <v>294</v>
      </c>
      <c r="E2431" s="3" t="s">
        <v>5119</v>
      </c>
      <c r="F2431" s="3" t="s">
        <v>324</v>
      </c>
      <c r="G2431" s="3" t="s">
        <v>329</v>
      </c>
      <c r="H2431" s="3" t="s">
        <v>346</v>
      </c>
    </row>
    <row r="2432" spans="1:8" x14ac:dyDescent="0.25">
      <c r="A2432" s="3" t="s">
        <v>2733</v>
      </c>
      <c r="B2432" s="3" t="s">
        <v>4183</v>
      </c>
      <c r="C2432" s="3" t="s">
        <v>161</v>
      </c>
      <c r="D2432" s="3" t="s">
        <v>294</v>
      </c>
      <c r="E2432" s="3" t="s">
        <v>5120</v>
      </c>
      <c r="F2432" s="3" t="s">
        <v>349</v>
      </c>
      <c r="G2432" s="3" t="s">
        <v>325</v>
      </c>
      <c r="H2432" s="3"/>
    </row>
    <row r="2433" spans="1:8" x14ac:dyDescent="0.25">
      <c r="A2433" s="3" t="s">
        <v>2734</v>
      </c>
      <c r="B2433" s="3" t="s">
        <v>3651</v>
      </c>
      <c r="C2433" s="3" t="s">
        <v>225</v>
      </c>
      <c r="D2433" s="3" t="s">
        <v>315</v>
      </c>
      <c r="E2433" s="3">
        <v>158.1</v>
      </c>
      <c r="F2433" s="3" t="s">
        <v>331</v>
      </c>
      <c r="G2433" s="3" t="s">
        <v>325</v>
      </c>
      <c r="H2433" s="3"/>
    </row>
    <row r="2434" spans="1:8" x14ac:dyDescent="0.25">
      <c r="A2434" s="3" t="s">
        <v>2735</v>
      </c>
      <c r="B2434" s="3" t="s">
        <v>5121</v>
      </c>
      <c r="C2434" s="3" t="s">
        <v>127</v>
      </c>
      <c r="D2434" s="3" t="s">
        <v>297</v>
      </c>
      <c r="E2434" s="3" t="s">
        <v>5122</v>
      </c>
      <c r="F2434" s="3" t="s">
        <v>324</v>
      </c>
      <c r="G2434" s="3" t="s">
        <v>325</v>
      </c>
      <c r="H2434" s="3" t="s">
        <v>332</v>
      </c>
    </row>
    <row r="2435" spans="1:8" x14ac:dyDescent="0.25">
      <c r="A2435" s="3" t="s">
        <v>2736</v>
      </c>
      <c r="B2435" s="3" t="s">
        <v>4983</v>
      </c>
      <c r="C2435" s="3" t="s">
        <v>171</v>
      </c>
      <c r="D2435" s="3" t="s">
        <v>315</v>
      </c>
      <c r="E2435" s="3" t="s">
        <v>5123</v>
      </c>
      <c r="F2435" s="3" t="s">
        <v>2995</v>
      </c>
      <c r="G2435" s="3"/>
      <c r="H2435" s="3" t="s">
        <v>334</v>
      </c>
    </row>
    <row r="2436" spans="1:8" x14ac:dyDescent="0.25">
      <c r="A2436" s="3" t="s">
        <v>2737</v>
      </c>
      <c r="B2436" s="3" t="s">
        <v>4290</v>
      </c>
      <c r="C2436" s="3" t="s">
        <v>259</v>
      </c>
      <c r="D2436" s="3" t="s">
        <v>312</v>
      </c>
      <c r="E2436" s="3">
        <v>636.63</v>
      </c>
      <c r="F2436" s="3" t="s">
        <v>2973</v>
      </c>
      <c r="G2436" s="3" t="s">
        <v>325</v>
      </c>
      <c r="H2436" s="3"/>
    </row>
    <row r="2437" spans="1:8" x14ac:dyDescent="0.25">
      <c r="A2437" s="3" t="s">
        <v>2738</v>
      </c>
      <c r="B2437" s="3" t="s">
        <v>4043</v>
      </c>
      <c r="C2437" s="3" t="s">
        <v>70</v>
      </c>
      <c r="D2437" s="3" t="s">
        <v>303</v>
      </c>
      <c r="E2437" s="3">
        <v>364.46</v>
      </c>
      <c r="F2437" s="3" t="s">
        <v>324</v>
      </c>
      <c r="G2437" s="3" t="s">
        <v>325</v>
      </c>
      <c r="H2437" s="3" t="s">
        <v>346</v>
      </c>
    </row>
    <row r="2438" spans="1:8" x14ac:dyDescent="0.25">
      <c r="A2438" s="3" t="s">
        <v>2739</v>
      </c>
      <c r="B2438" s="3" t="s">
        <v>4002</v>
      </c>
      <c r="C2438" s="3" t="s">
        <v>261</v>
      </c>
      <c r="D2438" s="3" t="s">
        <v>303</v>
      </c>
      <c r="E2438" s="3" t="s">
        <v>5124</v>
      </c>
      <c r="F2438" s="3" t="s">
        <v>324</v>
      </c>
      <c r="G2438" s="3" t="s">
        <v>325</v>
      </c>
      <c r="H2438" s="3" t="s">
        <v>334</v>
      </c>
    </row>
    <row r="2439" spans="1:8" x14ac:dyDescent="0.25">
      <c r="A2439" s="3" t="s">
        <v>2740</v>
      </c>
      <c r="B2439" s="3" t="s">
        <v>3819</v>
      </c>
      <c r="C2439" s="3" t="s">
        <v>53</v>
      </c>
      <c r="D2439" s="3" t="s">
        <v>315</v>
      </c>
      <c r="E2439" s="3">
        <v>230.94</v>
      </c>
      <c r="F2439" s="3" t="s">
        <v>324</v>
      </c>
      <c r="G2439" s="3" t="s">
        <v>337</v>
      </c>
      <c r="H2439" s="3" t="s">
        <v>334</v>
      </c>
    </row>
    <row r="2440" spans="1:8" x14ac:dyDescent="0.25">
      <c r="A2440" s="3" t="s">
        <v>2741</v>
      </c>
      <c r="B2440" s="3" t="s">
        <v>3093</v>
      </c>
      <c r="C2440" s="3" t="s">
        <v>11</v>
      </c>
      <c r="D2440" s="3" t="s">
        <v>306</v>
      </c>
      <c r="E2440" s="3">
        <v>105.21</v>
      </c>
      <c r="F2440" s="3" t="s">
        <v>2995</v>
      </c>
      <c r="G2440" s="3" t="s">
        <v>325</v>
      </c>
      <c r="H2440" s="3" t="s">
        <v>332</v>
      </c>
    </row>
    <row r="2441" spans="1:8" x14ac:dyDescent="0.25">
      <c r="A2441" s="3" t="s">
        <v>2742</v>
      </c>
      <c r="B2441" s="3" t="s">
        <v>4560</v>
      </c>
      <c r="C2441" s="3" t="s">
        <v>82</v>
      </c>
      <c r="D2441" s="3" t="s">
        <v>300</v>
      </c>
      <c r="E2441" s="3" t="s">
        <v>5125</v>
      </c>
      <c r="F2441" s="3" t="s">
        <v>381</v>
      </c>
      <c r="G2441" s="3" t="s">
        <v>325</v>
      </c>
      <c r="H2441" s="3"/>
    </row>
    <row r="2442" spans="1:8" x14ac:dyDescent="0.25">
      <c r="A2442" s="3" t="s">
        <v>1093</v>
      </c>
      <c r="B2442" s="3" t="s">
        <v>3274</v>
      </c>
      <c r="C2442" s="3" t="s">
        <v>129</v>
      </c>
      <c r="D2442" s="3" t="s">
        <v>309</v>
      </c>
      <c r="E2442" s="3">
        <v>302.93</v>
      </c>
      <c r="F2442" s="3" t="s">
        <v>3157</v>
      </c>
      <c r="G2442" s="3" t="s">
        <v>325</v>
      </c>
      <c r="H2442" s="3"/>
    </row>
    <row r="2443" spans="1:8" x14ac:dyDescent="0.25">
      <c r="A2443" s="3" t="s">
        <v>2743</v>
      </c>
      <c r="B2443" s="3" t="s">
        <v>3425</v>
      </c>
      <c r="C2443" s="3" t="s">
        <v>94</v>
      </c>
      <c r="D2443" s="3" t="s">
        <v>312</v>
      </c>
      <c r="E2443" s="3" t="s">
        <v>5126</v>
      </c>
      <c r="F2443" s="3" t="s">
        <v>2976</v>
      </c>
      <c r="G2443" s="3" t="s">
        <v>337</v>
      </c>
      <c r="H2443" s="3"/>
    </row>
    <row r="2444" spans="1:8" x14ac:dyDescent="0.25">
      <c r="A2444" s="3" t="s">
        <v>2744</v>
      </c>
      <c r="B2444" s="3" t="s">
        <v>4604</v>
      </c>
      <c r="C2444" s="3" t="s">
        <v>159</v>
      </c>
      <c r="D2444" s="3" t="s">
        <v>294</v>
      </c>
      <c r="E2444" s="3" t="s">
        <v>5127</v>
      </c>
      <c r="F2444" s="3" t="s">
        <v>324</v>
      </c>
      <c r="G2444" s="3" t="s">
        <v>325</v>
      </c>
      <c r="H2444" s="3"/>
    </row>
    <row r="2445" spans="1:8" x14ac:dyDescent="0.25">
      <c r="A2445" s="3" t="s">
        <v>2745</v>
      </c>
      <c r="B2445" s="3" t="s">
        <v>5128</v>
      </c>
      <c r="C2445" s="3" t="s">
        <v>173</v>
      </c>
      <c r="D2445" s="3" t="s">
        <v>312</v>
      </c>
      <c r="E2445" s="3">
        <v>151.44999999999999</v>
      </c>
      <c r="F2445" s="3" t="s">
        <v>324</v>
      </c>
      <c r="G2445" s="3" t="s">
        <v>327</v>
      </c>
      <c r="H2445" s="3"/>
    </row>
    <row r="2446" spans="1:8" x14ac:dyDescent="0.25">
      <c r="A2446" s="3" t="s">
        <v>2746</v>
      </c>
      <c r="B2446" s="3" t="s">
        <v>3219</v>
      </c>
      <c r="C2446" s="3" t="s">
        <v>167</v>
      </c>
      <c r="D2446" s="3" t="s">
        <v>294</v>
      </c>
      <c r="E2446" s="3">
        <v>295.16000000000003</v>
      </c>
      <c r="F2446" s="3" t="s">
        <v>324</v>
      </c>
      <c r="G2446" s="3" t="s">
        <v>325</v>
      </c>
      <c r="H2446" s="3" t="s">
        <v>332</v>
      </c>
    </row>
    <row r="2447" spans="1:8" x14ac:dyDescent="0.25">
      <c r="A2447" s="3" t="s">
        <v>2747</v>
      </c>
      <c r="B2447" s="3" t="s">
        <v>4701</v>
      </c>
      <c r="C2447" s="3" t="s">
        <v>247</v>
      </c>
      <c r="D2447" s="3" t="s">
        <v>309</v>
      </c>
      <c r="E2447" s="3">
        <v>157.6</v>
      </c>
      <c r="F2447" s="3" t="s">
        <v>331</v>
      </c>
      <c r="G2447" s="3" t="s">
        <v>325</v>
      </c>
      <c r="H2447" s="3" t="s">
        <v>334</v>
      </c>
    </row>
    <row r="2448" spans="1:8" x14ac:dyDescent="0.25">
      <c r="A2448" s="3" t="s">
        <v>2748</v>
      </c>
      <c r="B2448" s="3" t="s">
        <v>4972</v>
      </c>
      <c r="C2448" s="3" t="s">
        <v>98</v>
      </c>
      <c r="D2448" s="3" t="s">
        <v>300</v>
      </c>
      <c r="E2448" s="3" t="s">
        <v>5129</v>
      </c>
      <c r="F2448" s="3" t="s">
        <v>3097</v>
      </c>
      <c r="G2448" s="3" t="s">
        <v>325</v>
      </c>
      <c r="H2448" s="3" t="s">
        <v>346</v>
      </c>
    </row>
    <row r="2449" spans="1:8" x14ac:dyDescent="0.25">
      <c r="A2449" s="3" t="s">
        <v>2749</v>
      </c>
      <c r="B2449" s="3" t="s">
        <v>4863</v>
      </c>
      <c r="C2449" s="3" t="s">
        <v>213</v>
      </c>
      <c r="D2449" s="3" t="s">
        <v>294</v>
      </c>
      <c r="E2449" s="3">
        <v>395.59</v>
      </c>
      <c r="F2449" s="3" t="s">
        <v>324</v>
      </c>
      <c r="G2449" s="3" t="s">
        <v>325</v>
      </c>
      <c r="H2449" s="3"/>
    </row>
    <row r="2450" spans="1:8" x14ac:dyDescent="0.25">
      <c r="A2450" s="3" t="s">
        <v>2750</v>
      </c>
      <c r="B2450" s="3" t="s">
        <v>3673</v>
      </c>
      <c r="C2450" s="3" t="s">
        <v>135</v>
      </c>
      <c r="D2450" s="3" t="s">
        <v>303</v>
      </c>
      <c r="E2450" s="3" t="s">
        <v>5130</v>
      </c>
      <c r="F2450" s="3" t="s">
        <v>2976</v>
      </c>
      <c r="G2450" s="3" t="s">
        <v>327</v>
      </c>
      <c r="H2450" s="3"/>
    </row>
    <row r="2451" spans="1:8" x14ac:dyDescent="0.25">
      <c r="A2451" s="3" t="s">
        <v>2751</v>
      </c>
      <c r="B2451" s="3" t="s">
        <v>3747</v>
      </c>
      <c r="C2451" s="3" t="s">
        <v>223</v>
      </c>
      <c r="D2451" s="3" t="s">
        <v>297</v>
      </c>
      <c r="E2451" s="3">
        <v>421.05</v>
      </c>
      <c r="F2451" s="3" t="s">
        <v>2995</v>
      </c>
      <c r="G2451" s="3" t="s">
        <v>325</v>
      </c>
      <c r="H2451" s="3" t="s">
        <v>334</v>
      </c>
    </row>
    <row r="2452" spans="1:8" x14ac:dyDescent="0.25">
      <c r="A2452" s="3" t="s">
        <v>2752</v>
      </c>
      <c r="B2452" s="3" t="s">
        <v>5131</v>
      </c>
      <c r="C2452" s="3" t="s">
        <v>44</v>
      </c>
      <c r="D2452" s="3" t="s">
        <v>294</v>
      </c>
      <c r="E2452" s="3">
        <v>37.64</v>
      </c>
      <c r="F2452" s="3" t="s">
        <v>2973</v>
      </c>
      <c r="G2452" s="3" t="s">
        <v>329</v>
      </c>
      <c r="H2452" s="3" t="s">
        <v>332</v>
      </c>
    </row>
    <row r="2453" spans="1:8" x14ac:dyDescent="0.25">
      <c r="A2453" s="3" t="s">
        <v>2753</v>
      </c>
      <c r="B2453" s="3" t="s">
        <v>5012</v>
      </c>
      <c r="C2453" s="3" t="s">
        <v>47</v>
      </c>
      <c r="D2453" s="3" t="s">
        <v>300</v>
      </c>
      <c r="E2453" s="3" t="s">
        <v>5132</v>
      </c>
      <c r="F2453" s="3" t="s">
        <v>324</v>
      </c>
      <c r="G2453" s="3"/>
      <c r="H2453" s="3" t="s">
        <v>334</v>
      </c>
    </row>
    <row r="2454" spans="1:8" x14ac:dyDescent="0.25">
      <c r="A2454" s="3" t="s">
        <v>2754</v>
      </c>
      <c r="B2454" s="3" t="s">
        <v>3099</v>
      </c>
      <c r="C2454" s="3" t="s">
        <v>127</v>
      </c>
      <c r="D2454" s="3" t="s">
        <v>294</v>
      </c>
      <c r="E2454" s="3">
        <v>799.22</v>
      </c>
      <c r="F2454" s="3" t="s">
        <v>2976</v>
      </c>
      <c r="G2454" s="3" t="s">
        <v>327</v>
      </c>
      <c r="H2454" s="3" t="s">
        <v>332</v>
      </c>
    </row>
    <row r="2455" spans="1:8" x14ac:dyDescent="0.25">
      <c r="A2455" s="3" t="s">
        <v>2755</v>
      </c>
      <c r="B2455" s="3" t="s">
        <v>3989</v>
      </c>
      <c r="C2455" s="3" t="s">
        <v>161</v>
      </c>
      <c r="D2455" s="3" t="s">
        <v>294</v>
      </c>
      <c r="E2455" s="3" t="s">
        <v>5133</v>
      </c>
      <c r="F2455" s="3" t="s">
        <v>2988</v>
      </c>
      <c r="G2455" s="3" t="s">
        <v>325</v>
      </c>
      <c r="H2455" s="3" t="s">
        <v>346</v>
      </c>
    </row>
    <row r="2456" spans="1:8" x14ac:dyDescent="0.25">
      <c r="A2456" s="3" t="s">
        <v>2756</v>
      </c>
      <c r="B2456" s="3" t="s">
        <v>3311</v>
      </c>
      <c r="C2456" s="3" t="s">
        <v>129</v>
      </c>
      <c r="D2456" s="3" t="s">
        <v>294</v>
      </c>
      <c r="E2456" s="3">
        <v>365.5</v>
      </c>
      <c r="F2456" s="3" t="s">
        <v>2976</v>
      </c>
      <c r="G2456" s="3" t="s">
        <v>325</v>
      </c>
      <c r="H2456" s="3"/>
    </row>
    <row r="2457" spans="1:8" x14ac:dyDescent="0.25">
      <c r="A2457" s="3" t="s">
        <v>2757</v>
      </c>
      <c r="B2457" s="3" t="s">
        <v>5134</v>
      </c>
      <c r="C2457" s="3" t="s">
        <v>55</v>
      </c>
      <c r="D2457" s="3" t="s">
        <v>294</v>
      </c>
      <c r="E2457" s="3">
        <v>538.94000000000005</v>
      </c>
      <c r="F2457" s="3" t="s">
        <v>324</v>
      </c>
      <c r="G2457" s="3" t="s">
        <v>327</v>
      </c>
      <c r="H2457" s="3" t="s">
        <v>332</v>
      </c>
    </row>
    <row r="2458" spans="1:8" x14ac:dyDescent="0.25">
      <c r="A2458" s="3" t="s">
        <v>2758</v>
      </c>
      <c r="B2458" s="3" t="s">
        <v>3780</v>
      </c>
      <c r="C2458" s="3" t="s">
        <v>167</v>
      </c>
      <c r="D2458" s="3" t="s">
        <v>306</v>
      </c>
      <c r="E2458" s="3">
        <v>35.78</v>
      </c>
      <c r="F2458" s="3" t="s">
        <v>324</v>
      </c>
      <c r="G2458" s="3" t="s">
        <v>325</v>
      </c>
      <c r="H2458" s="3" t="s">
        <v>346</v>
      </c>
    </row>
    <row r="2459" spans="1:8" x14ac:dyDescent="0.25">
      <c r="A2459" s="3" t="s">
        <v>2759</v>
      </c>
      <c r="B2459" s="3" t="s">
        <v>4554</v>
      </c>
      <c r="C2459" s="3" t="s">
        <v>211</v>
      </c>
      <c r="D2459" s="3" t="s">
        <v>294</v>
      </c>
      <c r="E2459" s="3">
        <v>625.92999999999995</v>
      </c>
      <c r="F2459" s="3" t="s">
        <v>324</v>
      </c>
      <c r="G2459" s="3" t="s">
        <v>325</v>
      </c>
      <c r="H2459" s="3" t="s">
        <v>346</v>
      </c>
    </row>
    <row r="2460" spans="1:8" x14ac:dyDescent="0.25">
      <c r="A2460" s="3" t="s">
        <v>2760</v>
      </c>
      <c r="B2460" s="3" t="s">
        <v>5135</v>
      </c>
      <c r="C2460" s="3" t="s">
        <v>189</v>
      </c>
      <c r="D2460" s="3" t="s">
        <v>300</v>
      </c>
      <c r="E2460" s="3">
        <v>471.61</v>
      </c>
      <c r="F2460" s="3" t="s">
        <v>324</v>
      </c>
      <c r="G2460" s="3" t="s">
        <v>325</v>
      </c>
      <c r="H2460" s="3" t="s">
        <v>346</v>
      </c>
    </row>
    <row r="2461" spans="1:8" x14ac:dyDescent="0.25">
      <c r="A2461" s="3" t="s">
        <v>2761</v>
      </c>
      <c r="B2461" s="3" t="s">
        <v>4693</v>
      </c>
      <c r="C2461" s="3" t="s">
        <v>169</v>
      </c>
      <c r="D2461" s="3" t="s">
        <v>294</v>
      </c>
      <c r="E2461" s="3">
        <v>153.59</v>
      </c>
      <c r="F2461" s="3" t="s">
        <v>324</v>
      </c>
      <c r="G2461" s="3" t="s">
        <v>325</v>
      </c>
      <c r="H2461" s="3" t="s">
        <v>332</v>
      </c>
    </row>
    <row r="2462" spans="1:8" x14ac:dyDescent="0.25">
      <c r="A2462" s="3" t="s">
        <v>2762</v>
      </c>
      <c r="B2462" s="3" t="s">
        <v>3559</v>
      </c>
      <c r="C2462" s="3" t="s">
        <v>133</v>
      </c>
      <c r="D2462" s="3" t="s">
        <v>297</v>
      </c>
      <c r="E2462" s="3">
        <v>396.45</v>
      </c>
      <c r="F2462" s="3" t="s">
        <v>381</v>
      </c>
      <c r="G2462" s="3" t="s">
        <v>327</v>
      </c>
      <c r="H2462" s="3"/>
    </row>
    <row r="2463" spans="1:8" x14ac:dyDescent="0.25">
      <c r="A2463" s="3" t="s">
        <v>2763</v>
      </c>
      <c r="B2463" s="3" t="s">
        <v>4748</v>
      </c>
      <c r="C2463" s="3" t="s">
        <v>42</v>
      </c>
      <c r="D2463" s="3" t="s">
        <v>312</v>
      </c>
      <c r="E2463" s="3" t="s">
        <v>5136</v>
      </c>
      <c r="F2463" s="3" t="s">
        <v>324</v>
      </c>
      <c r="G2463" s="3" t="s">
        <v>327</v>
      </c>
      <c r="H2463" s="3"/>
    </row>
    <row r="2464" spans="1:8" x14ac:dyDescent="0.25">
      <c r="A2464" s="3" t="s">
        <v>2764</v>
      </c>
      <c r="B2464" s="3" t="s">
        <v>4209</v>
      </c>
      <c r="C2464" s="3" t="s">
        <v>263</v>
      </c>
      <c r="D2464" s="3" t="s">
        <v>309</v>
      </c>
      <c r="E2464" s="3">
        <v>653.61</v>
      </c>
      <c r="F2464" s="3" t="s">
        <v>2997</v>
      </c>
      <c r="G2464" s="3" t="s">
        <v>325</v>
      </c>
      <c r="H2464" s="3" t="s">
        <v>334</v>
      </c>
    </row>
    <row r="2465" spans="1:8" x14ac:dyDescent="0.25">
      <c r="A2465" s="3" t="s">
        <v>2765</v>
      </c>
      <c r="B2465" s="3" t="s">
        <v>3306</v>
      </c>
      <c r="C2465" s="3" t="s">
        <v>44</v>
      </c>
      <c r="D2465" s="3" t="s">
        <v>294</v>
      </c>
      <c r="E2465" s="3">
        <v>599.19000000000005</v>
      </c>
      <c r="F2465" s="3" t="s">
        <v>324</v>
      </c>
      <c r="G2465" s="3" t="s">
        <v>337</v>
      </c>
      <c r="H2465" s="3"/>
    </row>
    <row r="2466" spans="1:8" x14ac:dyDescent="0.25">
      <c r="A2466" s="3" t="s">
        <v>2766</v>
      </c>
      <c r="B2466" s="3" t="s">
        <v>4751</v>
      </c>
      <c r="C2466" s="3" t="s">
        <v>159</v>
      </c>
      <c r="D2466" s="3" t="s">
        <v>294</v>
      </c>
      <c r="E2466" s="3">
        <v>793.68</v>
      </c>
      <c r="F2466" s="3" t="s">
        <v>381</v>
      </c>
      <c r="G2466" s="3" t="s">
        <v>337</v>
      </c>
      <c r="H2466" s="3" t="s">
        <v>332</v>
      </c>
    </row>
    <row r="2467" spans="1:8" x14ac:dyDescent="0.25">
      <c r="A2467" s="3" t="s">
        <v>2767</v>
      </c>
      <c r="B2467" s="3" t="s">
        <v>4762</v>
      </c>
      <c r="C2467" s="3" t="s">
        <v>103</v>
      </c>
      <c r="D2467" s="3" t="s">
        <v>300</v>
      </c>
      <c r="E2467" s="3">
        <v>490.72</v>
      </c>
      <c r="F2467" s="3" t="s">
        <v>381</v>
      </c>
      <c r="G2467" s="3" t="s">
        <v>327</v>
      </c>
      <c r="H2467" s="3" t="s">
        <v>334</v>
      </c>
    </row>
    <row r="2468" spans="1:8" x14ac:dyDescent="0.25">
      <c r="A2468" s="3" t="s">
        <v>2768</v>
      </c>
      <c r="B2468" s="3" t="s">
        <v>3576</v>
      </c>
      <c r="C2468" s="3" t="s">
        <v>165</v>
      </c>
      <c r="D2468" s="3" t="s">
        <v>312</v>
      </c>
      <c r="E2468" s="3" t="s">
        <v>5137</v>
      </c>
      <c r="F2468" s="3" t="s">
        <v>324</v>
      </c>
      <c r="G2468" s="3" t="s">
        <v>337</v>
      </c>
      <c r="H2468" s="3" t="s">
        <v>346</v>
      </c>
    </row>
    <row r="2469" spans="1:8" x14ac:dyDescent="0.25">
      <c r="A2469" s="3" t="s">
        <v>2769</v>
      </c>
      <c r="B2469" s="3" t="s">
        <v>4588</v>
      </c>
      <c r="C2469" s="3" t="s">
        <v>113</v>
      </c>
      <c r="D2469" s="3" t="s">
        <v>300</v>
      </c>
      <c r="E2469" s="3">
        <v>561.75</v>
      </c>
      <c r="F2469" s="3" t="s">
        <v>2988</v>
      </c>
      <c r="G2469" s="3" t="s">
        <v>329</v>
      </c>
      <c r="H2469" s="3"/>
    </row>
    <row r="2470" spans="1:8" x14ac:dyDescent="0.25">
      <c r="A2470" s="3" t="s">
        <v>2770</v>
      </c>
      <c r="B2470" s="3" t="s">
        <v>3262</v>
      </c>
      <c r="C2470" s="3" t="s">
        <v>47</v>
      </c>
      <c r="D2470" s="3" t="s">
        <v>309</v>
      </c>
      <c r="E2470" s="3">
        <v>222.77</v>
      </c>
      <c r="F2470" s="3" t="s">
        <v>324</v>
      </c>
      <c r="G2470" s="3" t="s">
        <v>325</v>
      </c>
      <c r="H2470" s="3"/>
    </row>
    <row r="2471" spans="1:8" x14ac:dyDescent="0.25">
      <c r="A2471" s="3" t="s">
        <v>2771</v>
      </c>
      <c r="B2471" s="3" t="s">
        <v>3446</v>
      </c>
      <c r="C2471" s="3" t="s">
        <v>221</v>
      </c>
      <c r="D2471" s="3" t="s">
        <v>294</v>
      </c>
      <c r="E2471" s="3">
        <v>634.37</v>
      </c>
      <c r="F2471" s="3" t="s">
        <v>2973</v>
      </c>
      <c r="G2471" s="3" t="s">
        <v>325</v>
      </c>
      <c r="H2471" s="3"/>
    </row>
    <row r="2472" spans="1:8" x14ac:dyDescent="0.25">
      <c r="A2472" s="3" t="s">
        <v>2772</v>
      </c>
      <c r="B2472" s="3" t="s">
        <v>3109</v>
      </c>
      <c r="C2472" s="3" t="s">
        <v>47</v>
      </c>
      <c r="D2472" s="3" t="s">
        <v>309</v>
      </c>
      <c r="E2472" s="3" t="s">
        <v>5138</v>
      </c>
      <c r="F2472" s="3" t="s">
        <v>2995</v>
      </c>
      <c r="G2472" s="3" t="s">
        <v>337</v>
      </c>
      <c r="H2472" s="3"/>
    </row>
    <row r="2473" spans="1:8" x14ac:dyDescent="0.25">
      <c r="A2473" s="3" t="s">
        <v>2773</v>
      </c>
      <c r="B2473" s="3" t="s">
        <v>4481</v>
      </c>
      <c r="C2473" s="3" t="s">
        <v>103</v>
      </c>
      <c r="D2473" s="3" t="s">
        <v>297</v>
      </c>
      <c r="E2473" s="3" t="s">
        <v>5139</v>
      </c>
      <c r="F2473" s="3" t="s">
        <v>324</v>
      </c>
      <c r="G2473" s="3" t="s">
        <v>327</v>
      </c>
      <c r="H2473" s="3"/>
    </row>
    <row r="2474" spans="1:8" x14ac:dyDescent="0.25">
      <c r="A2474" s="3" t="s">
        <v>2774</v>
      </c>
      <c r="B2474" s="3" t="s">
        <v>5140</v>
      </c>
      <c r="C2474" s="3" t="s">
        <v>396</v>
      </c>
      <c r="D2474" s="3" t="s">
        <v>297</v>
      </c>
      <c r="E2474" s="3">
        <v>275.77</v>
      </c>
      <c r="F2474" s="3" t="s">
        <v>324</v>
      </c>
      <c r="G2474" s="3" t="s">
        <v>329</v>
      </c>
      <c r="H2474" s="3" t="s">
        <v>332</v>
      </c>
    </row>
    <row r="2475" spans="1:8" x14ac:dyDescent="0.25">
      <c r="A2475" s="3" t="s">
        <v>2775</v>
      </c>
      <c r="B2475" s="3" t="s">
        <v>3142</v>
      </c>
      <c r="C2475" s="3" t="s">
        <v>96</v>
      </c>
      <c r="D2475" s="3" t="s">
        <v>294</v>
      </c>
      <c r="E2475" s="3" t="s">
        <v>5141</v>
      </c>
      <c r="F2475" s="3" t="s">
        <v>2976</v>
      </c>
      <c r="G2475" s="3" t="s">
        <v>325</v>
      </c>
      <c r="H2475" s="3" t="s">
        <v>332</v>
      </c>
    </row>
    <row r="2476" spans="1:8" x14ac:dyDescent="0.25">
      <c r="A2476" s="3" t="s">
        <v>2776</v>
      </c>
      <c r="B2476" s="3" t="s">
        <v>4263</v>
      </c>
      <c r="C2476" s="3" t="s">
        <v>33</v>
      </c>
      <c r="D2476" s="3" t="s">
        <v>309</v>
      </c>
      <c r="E2476" s="3" t="s">
        <v>5142</v>
      </c>
      <c r="F2476" s="3" t="s">
        <v>324</v>
      </c>
      <c r="G2476" s="3" t="s">
        <v>337</v>
      </c>
      <c r="H2476" s="3"/>
    </row>
    <row r="2477" spans="1:8" x14ac:dyDescent="0.25">
      <c r="A2477" s="3" t="s">
        <v>2777</v>
      </c>
      <c r="B2477" s="3" t="s">
        <v>3689</v>
      </c>
      <c r="C2477" s="3" t="s">
        <v>177</v>
      </c>
      <c r="D2477" s="3" t="s">
        <v>312</v>
      </c>
      <c r="E2477" s="3" t="s">
        <v>5143</v>
      </c>
      <c r="F2477" s="3" t="s">
        <v>324</v>
      </c>
      <c r="G2477" s="3" t="s">
        <v>327</v>
      </c>
      <c r="H2477" s="3"/>
    </row>
    <row r="2478" spans="1:8" x14ac:dyDescent="0.25">
      <c r="A2478" s="3" t="s">
        <v>2778</v>
      </c>
      <c r="B2478" s="3" t="s">
        <v>4301</v>
      </c>
      <c r="C2478" s="3" t="s">
        <v>64</v>
      </c>
      <c r="D2478" s="3" t="s">
        <v>294</v>
      </c>
      <c r="E2478" s="3">
        <v>814.65</v>
      </c>
      <c r="F2478" s="3" t="s">
        <v>2973</v>
      </c>
      <c r="G2478" s="3" t="s">
        <v>327</v>
      </c>
      <c r="H2478" s="3"/>
    </row>
    <row r="2479" spans="1:8" x14ac:dyDescent="0.25">
      <c r="A2479" s="3" t="s">
        <v>2779</v>
      </c>
      <c r="B2479" s="3" t="s">
        <v>5144</v>
      </c>
      <c r="C2479" s="3" t="s">
        <v>641</v>
      </c>
      <c r="D2479" s="3" t="s">
        <v>297</v>
      </c>
      <c r="E2479" s="3">
        <v>249.38</v>
      </c>
      <c r="F2479" s="3" t="s">
        <v>324</v>
      </c>
      <c r="G2479" s="3" t="s">
        <v>325</v>
      </c>
      <c r="H2479" s="3" t="s">
        <v>334</v>
      </c>
    </row>
    <row r="2480" spans="1:8" x14ac:dyDescent="0.25">
      <c r="A2480" s="3" t="s">
        <v>2780</v>
      </c>
      <c r="B2480" s="3" t="s">
        <v>4814</v>
      </c>
      <c r="C2480" s="3" t="s">
        <v>269</v>
      </c>
      <c r="D2480" s="3" t="s">
        <v>297</v>
      </c>
      <c r="E2480" s="3" t="s">
        <v>5145</v>
      </c>
      <c r="F2480" s="3" t="s">
        <v>2976</v>
      </c>
      <c r="G2480" s="3" t="s">
        <v>329</v>
      </c>
      <c r="H2480" s="3"/>
    </row>
    <row r="2481" spans="1:8" x14ac:dyDescent="0.25">
      <c r="A2481" s="3" t="s">
        <v>2781</v>
      </c>
      <c r="B2481" s="3" t="s">
        <v>3757</v>
      </c>
      <c r="C2481" s="3" t="s">
        <v>40</v>
      </c>
      <c r="D2481" s="3" t="s">
        <v>303</v>
      </c>
      <c r="E2481" s="3">
        <v>740.87</v>
      </c>
      <c r="F2481" s="3" t="s">
        <v>324</v>
      </c>
      <c r="G2481" s="3" t="s">
        <v>327</v>
      </c>
      <c r="H2481" s="3"/>
    </row>
    <row r="2482" spans="1:8" x14ac:dyDescent="0.25">
      <c r="A2482" s="3" t="s">
        <v>2782</v>
      </c>
      <c r="B2482" s="3" t="s">
        <v>3203</v>
      </c>
      <c r="C2482" s="3" t="s">
        <v>19</v>
      </c>
      <c r="D2482" s="3" t="s">
        <v>306</v>
      </c>
      <c r="E2482" s="3">
        <v>599.41999999999996</v>
      </c>
      <c r="F2482" s="3" t="s">
        <v>3037</v>
      </c>
      <c r="G2482" s="3" t="s">
        <v>325</v>
      </c>
      <c r="H2482" s="3"/>
    </row>
    <row r="2483" spans="1:8" x14ac:dyDescent="0.25">
      <c r="A2483" s="3" t="s">
        <v>2783</v>
      </c>
      <c r="B2483" s="3" t="s">
        <v>4341</v>
      </c>
      <c r="C2483" s="3" t="s">
        <v>82</v>
      </c>
      <c r="D2483" s="3" t="s">
        <v>294</v>
      </c>
      <c r="E2483" s="3" t="s">
        <v>5146</v>
      </c>
      <c r="F2483" s="3" t="s">
        <v>324</v>
      </c>
      <c r="G2483" s="3" t="s">
        <v>325</v>
      </c>
      <c r="H2483" s="3"/>
    </row>
    <row r="2484" spans="1:8" x14ac:dyDescent="0.25">
      <c r="A2484" s="3" t="s">
        <v>2784</v>
      </c>
      <c r="B2484" s="3" t="s">
        <v>5147</v>
      </c>
      <c r="C2484" s="3" t="s">
        <v>171</v>
      </c>
      <c r="D2484" s="3" t="s">
        <v>294</v>
      </c>
      <c r="E2484" s="3">
        <v>158.02000000000001</v>
      </c>
      <c r="F2484" s="3" t="s">
        <v>324</v>
      </c>
      <c r="G2484" s="3"/>
      <c r="H2484" s="3"/>
    </row>
    <row r="2485" spans="1:8" x14ac:dyDescent="0.25">
      <c r="A2485" s="3" t="s">
        <v>2785</v>
      </c>
      <c r="B2485" s="3" t="s">
        <v>4034</v>
      </c>
      <c r="C2485" s="3" t="s">
        <v>247</v>
      </c>
      <c r="D2485" s="3" t="s">
        <v>315</v>
      </c>
      <c r="E2485" s="3">
        <v>178.02</v>
      </c>
      <c r="F2485" s="3" t="s">
        <v>324</v>
      </c>
      <c r="G2485" s="3" t="s">
        <v>325</v>
      </c>
      <c r="H2485" s="3" t="s">
        <v>334</v>
      </c>
    </row>
    <row r="2486" spans="1:8" x14ac:dyDescent="0.25">
      <c r="A2486" s="3" t="s">
        <v>2786</v>
      </c>
      <c r="B2486" s="3" t="s">
        <v>3673</v>
      </c>
      <c r="C2486" s="3" t="s">
        <v>82</v>
      </c>
      <c r="D2486" s="3" t="s">
        <v>294</v>
      </c>
      <c r="E2486" s="3">
        <v>751.86</v>
      </c>
      <c r="F2486" s="3" t="s">
        <v>2995</v>
      </c>
      <c r="G2486" s="3" t="s">
        <v>327</v>
      </c>
      <c r="H2486" s="3"/>
    </row>
    <row r="2487" spans="1:8" x14ac:dyDescent="0.25">
      <c r="A2487" s="3" t="s">
        <v>2787</v>
      </c>
      <c r="B2487" s="3" t="s">
        <v>4590</v>
      </c>
      <c r="C2487" s="3" t="s">
        <v>117</v>
      </c>
      <c r="D2487" s="3" t="s">
        <v>303</v>
      </c>
      <c r="E2487" s="3">
        <v>352.85</v>
      </c>
      <c r="F2487" s="3" t="s">
        <v>324</v>
      </c>
      <c r="G2487" s="3" t="s">
        <v>327</v>
      </c>
      <c r="H2487" s="3"/>
    </row>
    <row r="2488" spans="1:8" x14ac:dyDescent="0.25">
      <c r="A2488" s="3" t="s">
        <v>2788</v>
      </c>
      <c r="B2488" s="3" t="s">
        <v>5148</v>
      </c>
      <c r="C2488" s="3" t="s">
        <v>23</v>
      </c>
      <c r="D2488" s="3" t="s">
        <v>309</v>
      </c>
      <c r="E2488" s="3" t="s">
        <v>5149</v>
      </c>
      <c r="F2488" s="3" t="s">
        <v>349</v>
      </c>
      <c r="G2488" s="3" t="s">
        <v>327</v>
      </c>
      <c r="H2488" s="3"/>
    </row>
    <row r="2489" spans="1:8" x14ac:dyDescent="0.25">
      <c r="A2489" s="3" t="s">
        <v>2789</v>
      </c>
      <c r="B2489" s="3" t="s">
        <v>4560</v>
      </c>
      <c r="C2489" s="3" t="s">
        <v>58</v>
      </c>
      <c r="D2489" s="3" t="s">
        <v>303</v>
      </c>
      <c r="E2489" s="3">
        <v>369.93</v>
      </c>
      <c r="F2489" s="3" t="s">
        <v>2988</v>
      </c>
      <c r="G2489" s="3" t="s">
        <v>325</v>
      </c>
      <c r="H2489" s="3"/>
    </row>
    <row r="2490" spans="1:8" x14ac:dyDescent="0.25">
      <c r="A2490" s="3" t="s">
        <v>2790</v>
      </c>
      <c r="B2490" s="3" t="s">
        <v>3216</v>
      </c>
      <c r="C2490" s="3" t="s">
        <v>109</v>
      </c>
      <c r="D2490" s="3" t="s">
        <v>309</v>
      </c>
      <c r="E2490" s="3" t="s">
        <v>5150</v>
      </c>
      <c r="F2490" s="3" t="s">
        <v>2976</v>
      </c>
      <c r="G2490" s="3"/>
      <c r="H2490" s="3" t="s">
        <v>334</v>
      </c>
    </row>
    <row r="2491" spans="1:8" x14ac:dyDescent="0.25">
      <c r="A2491" s="3" t="s">
        <v>2791</v>
      </c>
      <c r="B2491" s="3" t="s">
        <v>3174</v>
      </c>
      <c r="C2491" s="3" t="s">
        <v>29</v>
      </c>
      <c r="D2491" s="3" t="s">
        <v>306</v>
      </c>
      <c r="E2491" s="3" t="s">
        <v>5151</v>
      </c>
      <c r="F2491" s="3" t="s">
        <v>2988</v>
      </c>
      <c r="G2491" s="3" t="s">
        <v>337</v>
      </c>
      <c r="H2491" s="3" t="s">
        <v>332</v>
      </c>
    </row>
    <row r="2492" spans="1:8" x14ac:dyDescent="0.25">
      <c r="A2492" s="3" t="s">
        <v>912</v>
      </c>
      <c r="B2492" s="3" t="s">
        <v>3692</v>
      </c>
      <c r="C2492" s="3" t="s">
        <v>70</v>
      </c>
      <c r="D2492" s="3" t="s">
        <v>309</v>
      </c>
      <c r="E2492" s="3">
        <v>404.99</v>
      </c>
      <c r="F2492" s="3" t="s">
        <v>3037</v>
      </c>
      <c r="G2492" s="3" t="s">
        <v>327</v>
      </c>
      <c r="H2492" s="3"/>
    </row>
    <row r="2493" spans="1:8" x14ac:dyDescent="0.25">
      <c r="A2493" s="3" t="s">
        <v>2792</v>
      </c>
      <c r="B2493" s="3" t="s">
        <v>4793</v>
      </c>
      <c r="C2493" s="3" t="s">
        <v>145</v>
      </c>
      <c r="D2493" s="3" t="s">
        <v>306</v>
      </c>
      <c r="E2493" s="3" t="s">
        <v>5152</v>
      </c>
      <c r="F2493" s="3" t="s">
        <v>381</v>
      </c>
      <c r="G2493" s="3" t="s">
        <v>327</v>
      </c>
      <c r="H2493" s="3" t="s">
        <v>346</v>
      </c>
    </row>
    <row r="2494" spans="1:8" x14ac:dyDescent="0.25">
      <c r="A2494" s="3" t="s">
        <v>2793</v>
      </c>
      <c r="B2494" s="3" t="s">
        <v>5153</v>
      </c>
      <c r="C2494" s="3" t="s">
        <v>183</v>
      </c>
      <c r="D2494" s="3" t="s">
        <v>297</v>
      </c>
      <c r="E2494" s="3">
        <v>104.87</v>
      </c>
      <c r="F2494" s="3" t="s">
        <v>324</v>
      </c>
      <c r="G2494" s="3" t="s">
        <v>337</v>
      </c>
      <c r="H2494" s="3" t="s">
        <v>346</v>
      </c>
    </row>
    <row r="2495" spans="1:8" x14ac:dyDescent="0.25">
      <c r="A2495" s="3" t="s">
        <v>2794</v>
      </c>
      <c r="B2495" s="3" t="s">
        <v>5001</v>
      </c>
      <c r="C2495" s="3" t="s">
        <v>271</v>
      </c>
      <c r="D2495" s="3" t="s">
        <v>294</v>
      </c>
      <c r="E2495" s="3" t="s">
        <v>5154</v>
      </c>
      <c r="F2495" s="3" t="s">
        <v>2973</v>
      </c>
      <c r="G2495" s="3" t="s">
        <v>325</v>
      </c>
      <c r="H2495" s="3" t="s">
        <v>334</v>
      </c>
    </row>
    <row r="2496" spans="1:8" x14ac:dyDescent="0.25">
      <c r="A2496" s="3" t="s">
        <v>2795</v>
      </c>
      <c r="B2496" s="3" t="s">
        <v>4737</v>
      </c>
      <c r="C2496" s="3" t="s">
        <v>257</v>
      </c>
      <c r="D2496" s="3" t="s">
        <v>315</v>
      </c>
      <c r="E2496" s="3" t="s">
        <v>5155</v>
      </c>
      <c r="F2496" s="3" t="s">
        <v>2988</v>
      </c>
      <c r="G2496" s="3" t="s">
        <v>329</v>
      </c>
      <c r="H2496" s="3" t="s">
        <v>334</v>
      </c>
    </row>
    <row r="2497" spans="1:8" x14ac:dyDescent="0.25">
      <c r="A2497" s="3" t="s">
        <v>2796</v>
      </c>
      <c r="B2497" s="3" t="s">
        <v>4849</v>
      </c>
      <c r="C2497" s="3" t="s">
        <v>115</v>
      </c>
      <c r="D2497" s="3" t="s">
        <v>294</v>
      </c>
      <c r="E2497" s="3">
        <v>307.52</v>
      </c>
      <c r="F2497" s="3" t="s">
        <v>324</v>
      </c>
      <c r="G2497" s="3" t="s">
        <v>327</v>
      </c>
      <c r="H2497" s="3"/>
    </row>
    <row r="2498" spans="1:8" x14ac:dyDescent="0.25">
      <c r="A2498" s="3" t="s">
        <v>2797</v>
      </c>
      <c r="B2498" s="3" t="s">
        <v>3598</v>
      </c>
      <c r="C2498" s="3" t="s">
        <v>201</v>
      </c>
      <c r="D2498" s="3" t="s">
        <v>312</v>
      </c>
      <c r="E2498" s="3">
        <v>392.75</v>
      </c>
      <c r="F2498" s="3" t="s">
        <v>2973</v>
      </c>
      <c r="G2498" s="3" t="s">
        <v>337</v>
      </c>
      <c r="H2498" s="3" t="s">
        <v>332</v>
      </c>
    </row>
    <row r="2499" spans="1:8" x14ac:dyDescent="0.25">
      <c r="A2499" s="3" t="s">
        <v>2798</v>
      </c>
      <c r="B2499" s="3" t="s">
        <v>5038</v>
      </c>
      <c r="C2499" s="3" t="s">
        <v>219</v>
      </c>
      <c r="D2499" s="3" t="s">
        <v>294</v>
      </c>
      <c r="E2499" s="3" t="s">
        <v>5156</v>
      </c>
      <c r="F2499" s="3" t="s">
        <v>324</v>
      </c>
      <c r="G2499" s="3" t="s">
        <v>325</v>
      </c>
      <c r="H2499" s="3" t="s">
        <v>346</v>
      </c>
    </row>
    <row r="2500" spans="1:8" x14ac:dyDescent="0.25">
      <c r="A2500" s="3" t="s">
        <v>2799</v>
      </c>
      <c r="B2500" s="3" t="s">
        <v>5157</v>
      </c>
      <c r="C2500" s="3" t="s">
        <v>171</v>
      </c>
      <c r="D2500" s="3" t="s">
        <v>294</v>
      </c>
      <c r="E2500" s="3">
        <v>669.33</v>
      </c>
      <c r="F2500" s="3" t="s">
        <v>324</v>
      </c>
      <c r="G2500" s="3" t="s">
        <v>337</v>
      </c>
      <c r="H2500" s="3"/>
    </row>
    <row r="2501" spans="1:8" x14ac:dyDescent="0.25">
      <c r="A2501" s="3" t="s">
        <v>2800</v>
      </c>
      <c r="B2501" s="3" t="s">
        <v>3523</v>
      </c>
      <c r="C2501" s="3" t="s">
        <v>131</v>
      </c>
      <c r="D2501" s="3" t="s">
        <v>315</v>
      </c>
      <c r="E2501" s="3" t="s">
        <v>5158</v>
      </c>
      <c r="F2501" s="3" t="s">
        <v>381</v>
      </c>
      <c r="G2501" s="3" t="s">
        <v>337</v>
      </c>
      <c r="H2501" s="3" t="s">
        <v>332</v>
      </c>
    </row>
    <row r="2502" spans="1:8" x14ac:dyDescent="0.25">
      <c r="A2502" s="3" t="s">
        <v>2801</v>
      </c>
      <c r="B2502" s="3" t="s">
        <v>5101</v>
      </c>
      <c r="C2502" s="3" t="s">
        <v>167</v>
      </c>
      <c r="D2502" s="3" t="s">
        <v>306</v>
      </c>
      <c r="E2502" s="3" t="s">
        <v>5159</v>
      </c>
      <c r="F2502" s="3" t="s">
        <v>2973</v>
      </c>
      <c r="G2502" s="3" t="s">
        <v>327</v>
      </c>
      <c r="H2502" s="3" t="s">
        <v>334</v>
      </c>
    </row>
    <row r="2503" spans="1:8" x14ac:dyDescent="0.25">
      <c r="A2503" s="3" t="s">
        <v>2802</v>
      </c>
      <c r="B2503" s="3" t="s">
        <v>4105</v>
      </c>
      <c r="C2503" s="3" t="s">
        <v>135</v>
      </c>
      <c r="D2503" s="3" t="s">
        <v>315</v>
      </c>
      <c r="E2503" s="3" t="s">
        <v>5160</v>
      </c>
      <c r="F2503" s="3" t="s">
        <v>2976</v>
      </c>
      <c r="G2503" s="3" t="s">
        <v>337</v>
      </c>
      <c r="H2503" s="3"/>
    </row>
    <row r="2504" spans="1:8" x14ac:dyDescent="0.25">
      <c r="A2504" s="3" t="s">
        <v>2803</v>
      </c>
      <c r="B2504" s="3" t="s">
        <v>5161</v>
      </c>
      <c r="C2504" s="3" t="s">
        <v>6</v>
      </c>
      <c r="D2504" s="3" t="s">
        <v>315</v>
      </c>
      <c r="E2504" s="3" t="s">
        <v>5162</v>
      </c>
      <c r="F2504" s="3" t="s">
        <v>2988</v>
      </c>
      <c r="G2504" s="3" t="s">
        <v>337</v>
      </c>
      <c r="H2504" s="3"/>
    </row>
    <row r="2505" spans="1:8" x14ac:dyDescent="0.25">
      <c r="A2505" s="3" t="s">
        <v>2804</v>
      </c>
      <c r="B2505" s="3" t="s">
        <v>4258</v>
      </c>
      <c r="C2505" s="3" t="s">
        <v>221</v>
      </c>
      <c r="D2505" s="3" t="s">
        <v>306</v>
      </c>
      <c r="E2505" s="3" t="s">
        <v>5163</v>
      </c>
      <c r="F2505" s="3" t="s">
        <v>349</v>
      </c>
      <c r="G2505" s="3" t="s">
        <v>325</v>
      </c>
      <c r="H2505" s="3"/>
    </row>
    <row r="2506" spans="1:8" x14ac:dyDescent="0.25">
      <c r="A2506" s="3" t="s">
        <v>2805</v>
      </c>
      <c r="B2506" s="3" t="s">
        <v>3989</v>
      </c>
      <c r="C2506" s="3" t="s">
        <v>155</v>
      </c>
      <c r="D2506" s="3" t="s">
        <v>294</v>
      </c>
      <c r="E2506" s="3" t="s">
        <v>5164</v>
      </c>
      <c r="F2506" s="3" t="s">
        <v>324</v>
      </c>
      <c r="G2506" s="3" t="s">
        <v>327</v>
      </c>
      <c r="H2506" s="3"/>
    </row>
    <row r="2507" spans="1:8" x14ac:dyDescent="0.25">
      <c r="A2507" s="3" t="s">
        <v>2806</v>
      </c>
      <c r="B2507" s="3" t="s">
        <v>4184</v>
      </c>
      <c r="C2507" s="3" t="s">
        <v>78</v>
      </c>
      <c r="D2507" s="3" t="s">
        <v>300</v>
      </c>
      <c r="E2507" s="3">
        <v>529.03</v>
      </c>
      <c r="F2507" s="3" t="s">
        <v>2976</v>
      </c>
      <c r="G2507" s="3" t="s">
        <v>327</v>
      </c>
      <c r="H2507" s="3"/>
    </row>
    <row r="2508" spans="1:8" x14ac:dyDescent="0.25">
      <c r="A2508" s="3" t="s">
        <v>2807</v>
      </c>
      <c r="B2508" s="3" t="s">
        <v>3649</v>
      </c>
      <c r="C2508" s="3" t="s">
        <v>58</v>
      </c>
      <c r="D2508" s="3" t="s">
        <v>300</v>
      </c>
      <c r="E2508" s="3">
        <v>568.63</v>
      </c>
      <c r="F2508" s="3" t="s">
        <v>2976</v>
      </c>
      <c r="G2508" s="3" t="s">
        <v>337</v>
      </c>
      <c r="H2508" s="3"/>
    </row>
    <row r="2509" spans="1:8" x14ac:dyDescent="0.25">
      <c r="A2509" s="3" t="s">
        <v>2808</v>
      </c>
      <c r="B2509" s="3" t="s">
        <v>4507</v>
      </c>
      <c r="C2509" s="3" t="s">
        <v>26</v>
      </c>
      <c r="D2509" s="3" t="s">
        <v>309</v>
      </c>
      <c r="E2509" s="3" t="s">
        <v>5165</v>
      </c>
      <c r="F2509" s="3" t="s">
        <v>2988</v>
      </c>
      <c r="G2509" s="3" t="s">
        <v>325</v>
      </c>
      <c r="H2509" s="3"/>
    </row>
    <row r="2510" spans="1:8" x14ac:dyDescent="0.25">
      <c r="A2510" s="3" t="s">
        <v>2809</v>
      </c>
      <c r="B2510" s="3" t="s">
        <v>4314</v>
      </c>
      <c r="C2510" s="3" t="s">
        <v>139</v>
      </c>
      <c r="D2510" s="3" t="s">
        <v>297</v>
      </c>
      <c r="E2510" s="3">
        <v>334.34</v>
      </c>
      <c r="F2510" s="3" t="s">
        <v>324</v>
      </c>
      <c r="G2510" s="3" t="s">
        <v>327</v>
      </c>
      <c r="H2510" s="3" t="s">
        <v>346</v>
      </c>
    </row>
    <row r="2511" spans="1:8" x14ac:dyDescent="0.25">
      <c r="A2511" s="3" t="s">
        <v>2810</v>
      </c>
      <c r="B2511" s="3" t="s">
        <v>3216</v>
      </c>
      <c r="C2511" s="3" t="s">
        <v>229</v>
      </c>
      <c r="D2511" s="3" t="s">
        <v>294</v>
      </c>
      <c r="E2511" s="3">
        <v>539.88</v>
      </c>
      <c r="F2511" s="3" t="s">
        <v>324</v>
      </c>
      <c r="G2511" s="3" t="s">
        <v>337</v>
      </c>
      <c r="H2511" s="3"/>
    </row>
    <row r="2512" spans="1:8" x14ac:dyDescent="0.25">
      <c r="A2512" s="3" t="s">
        <v>2811</v>
      </c>
      <c r="B2512" s="3" t="s">
        <v>4586</v>
      </c>
      <c r="C2512" s="3" t="s">
        <v>157</v>
      </c>
      <c r="D2512" s="3" t="s">
        <v>297</v>
      </c>
      <c r="E2512" s="3">
        <v>370.61</v>
      </c>
      <c r="F2512" s="3" t="s">
        <v>324</v>
      </c>
      <c r="G2512" s="3" t="s">
        <v>327</v>
      </c>
      <c r="H2512" s="3" t="s">
        <v>332</v>
      </c>
    </row>
    <row r="2513" spans="1:8" x14ac:dyDescent="0.25">
      <c r="A2513" s="3" t="s">
        <v>2812</v>
      </c>
      <c r="B2513" s="3" t="s">
        <v>5166</v>
      </c>
      <c r="C2513" s="3" t="s">
        <v>64</v>
      </c>
      <c r="D2513" s="3" t="s">
        <v>309</v>
      </c>
      <c r="E2513" s="3">
        <v>490.39</v>
      </c>
      <c r="F2513" s="3" t="s">
        <v>2976</v>
      </c>
      <c r="G2513" s="3" t="s">
        <v>329</v>
      </c>
      <c r="H2513" s="3" t="s">
        <v>332</v>
      </c>
    </row>
    <row r="2514" spans="1:8" x14ac:dyDescent="0.25">
      <c r="A2514" s="3" t="s">
        <v>2813</v>
      </c>
      <c r="B2514" s="3" t="s">
        <v>3347</v>
      </c>
      <c r="C2514" s="3" t="s">
        <v>169</v>
      </c>
      <c r="D2514" s="3" t="s">
        <v>306</v>
      </c>
      <c r="E2514" s="3" t="s">
        <v>5167</v>
      </c>
      <c r="F2514" s="3" t="s">
        <v>2973</v>
      </c>
      <c r="G2514" s="3" t="s">
        <v>327</v>
      </c>
      <c r="H2514" s="3" t="s">
        <v>332</v>
      </c>
    </row>
    <row r="2515" spans="1:8" x14ac:dyDescent="0.25">
      <c r="A2515" s="3" t="s">
        <v>2814</v>
      </c>
      <c r="B2515" s="3" t="s">
        <v>5168</v>
      </c>
      <c r="C2515" s="3" t="s">
        <v>177</v>
      </c>
      <c r="D2515" s="3" t="s">
        <v>303</v>
      </c>
      <c r="E2515" s="3">
        <v>293.41000000000003</v>
      </c>
      <c r="F2515" s="3" t="s">
        <v>324</v>
      </c>
      <c r="G2515" s="3" t="s">
        <v>325</v>
      </c>
      <c r="H2515" s="3"/>
    </row>
    <row r="2516" spans="1:8" x14ac:dyDescent="0.25">
      <c r="A2516" s="3" t="s">
        <v>2815</v>
      </c>
      <c r="B2516" s="3" t="s">
        <v>4037</v>
      </c>
      <c r="C2516" s="3" t="s">
        <v>80</v>
      </c>
      <c r="D2516" s="3" t="s">
        <v>294</v>
      </c>
      <c r="E2516" s="3">
        <v>358.38</v>
      </c>
      <c r="F2516" s="3" t="s">
        <v>381</v>
      </c>
      <c r="G2516" s="3" t="s">
        <v>327</v>
      </c>
      <c r="H2516" s="3"/>
    </row>
    <row r="2517" spans="1:8" x14ac:dyDescent="0.25">
      <c r="A2517" s="3" t="s">
        <v>2816</v>
      </c>
      <c r="B2517" s="3" t="s">
        <v>5169</v>
      </c>
      <c r="C2517" s="3" t="s">
        <v>221</v>
      </c>
      <c r="D2517" s="3" t="s">
        <v>294</v>
      </c>
      <c r="E2517" s="3">
        <v>192.44</v>
      </c>
      <c r="F2517" s="3" t="s">
        <v>2973</v>
      </c>
      <c r="G2517" s="3" t="s">
        <v>325</v>
      </c>
      <c r="H2517" s="3"/>
    </row>
    <row r="2518" spans="1:8" x14ac:dyDescent="0.25">
      <c r="A2518" s="3" t="s">
        <v>2817</v>
      </c>
      <c r="B2518" s="3" t="s">
        <v>5170</v>
      </c>
      <c r="C2518" s="3" t="s">
        <v>129</v>
      </c>
      <c r="D2518" s="3" t="s">
        <v>303</v>
      </c>
      <c r="E2518" s="3">
        <v>341.78</v>
      </c>
      <c r="F2518" s="3" t="s">
        <v>324</v>
      </c>
      <c r="G2518" s="3" t="s">
        <v>329</v>
      </c>
      <c r="H2518" s="3"/>
    </row>
    <row r="2519" spans="1:8" x14ac:dyDescent="0.25">
      <c r="A2519" s="3" t="s">
        <v>2818</v>
      </c>
      <c r="B2519" s="3" t="s">
        <v>3091</v>
      </c>
      <c r="C2519" s="3" t="s">
        <v>269</v>
      </c>
      <c r="D2519" s="3" t="s">
        <v>315</v>
      </c>
      <c r="E2519" s="3">
        <v>532.77</v>
      </c>
      <c r="F2519" s="3" t="s">
        <v>2976</v>
      </c>
      <c r="G2519" s="3" t="s">
        <v>337</v>
      </c>
      <c r="H2519" s="3"/>
    </row>
    <row r="2520" spans="1:8" x14ac:dyDescent="0.25">
      <c r="A2520" s="3" t="s">
        <v>2819</v>
      </c>
      <c r="B2520" s="3" t="s">
        <v>5121</v>
      </c>
      <c r="C2520" s="3" t="s">
        <v>70</v>
      </c>
      <c r="D2520" s="3" t="s">
        <v>309</v>
      </c>
      <c r="E2520" s="3">
        <v>182.33</v>
      </c>
      <c r="F2520" s="3" t="s">
        <v>324</v>
      </c>
      <c r="G2520" s="3" t="s">
        <v>327</v>
      </c>
      <c r="H2520" s="3" t="s">
        <v>334</v>
      </c>
    </row>
    <row r="2521" spans="1:8" x14ac:dyDescent="0.25">
      <c r="A2521" s="3" t="s">
        <v>2820</v>
      </c>
      <c r="B2521" s="3" t="s">
        <v>5171</v>
      </c>
      <c r="C2521" s="3" t="s">
        <v>161</v>
      </c>
      <c r="D2521" s="3" t="s">
        <v>294</v>
      </c>
      <c r="E2521" s="3">
        <v>363.78</v>
      </c>
      <c r="F2521" s="3" t="s">
        <v>324</v>
      </c>
      <c r="G2521" s="3" t="s">
        <v>337</v>
      </c>
      <c r="H2521" s="3" t="s">
        <v>332</v>
      </c>
    </row>
    <row r="2522" spans="1:8" x14ac:dyDescent="0.25">
      <c r="A2522" s="3" t="s">
        <v>2821</v>
      </c>
      <c r="B2522" s="3" t="s">
        <v>5172</v>
      </c>
      <c r="C2522" s="3" t="s">
        <v>123</v>
      </c>
      <c r="D2522" s="3" t="s">
        <v>300</v>
      </c>
      <c r="E2522" s="3">
        <v>1050.1300000000001</v>
      </c>
      <c r="F2522" s="3" t="s">
        <v>324</v>
      </c>
      <c r="G2522" s="3" t="s">
        <v>329</v>
      </c>
      <c r="H2522" s="3" t="s">
        <v>332</v>
      </c>
    </row>
    <row r="2523" spans="1:8" x14ac:dyDescent="0.25">
      <c r="A2523" s="3" t="s">
        <v>2822</v>
      </c>
      <c r="B2523" s="3" t="s">
        <v>5031</v>
      </c>
      <c r="C2523" s="3" t="s">
        <v>193</v>
      </c>
      <c r="D2523" s="3" t="s">
        <v>306</v>
      </c>
      <c r="E2523" s="3">
        <v>270.08999999999997</v>
      </c>
      <c r="F2523" s="3" t="s">
        <v>2973</v>
      </c>
      <c r="G2523" s="3" t="s">
        <v>329</v>
      </c>
      <c r="H2523" s="3" t="s">
        <v>334</v>
      </c>
    </row>
    <row r="2524" spans="1:8" x14ac:dyDescent="0.25">
      <c r="A2524" s="3" t="s">
        <v>2823</v>
      </c>
      <c r="B2524" s="3" t="s">
        <v>5173</v>
      </c>
      <c r="C2524" s="3" t="s">
        <v>211</v>
      </c>
      <c r="D2524" s="3" t="s">
        <v>294</v>
      </c>
      <c r="E2524" s="3">
        <v>89.99</v>
      </c>
      <c r="F2524" s="3" t="s">
        <v>2976</v>
      </c>
      <c r="G2524" s="3" t="s">
        <v>327</v>
      </c>
      <c r="H2524" s="3"/>
    </row>
    <row r="2525" spans="1:8" x14ac:dyDescent="0.25">
      <c r="A2525" s="3" t="s">
        <v>2824</v>
      </c>
      <c r="B2525" s="3" t="s">
        <v>3287</v>
      </c>
      <c r="C2525" s="3" t="s">
        <v>47</v>
      </c>
      <c r="D2525" s="3" t="s">
        <v>315</v>
      </c>
      <c r="E2525" s="3" t="s">
        <v>5174</v>
      </c>
      <c r="F2525" s="3" t="s">
        <v>3157</v>
      </c>
      <c r="G2525" s="3"/>
      <c r="H2525" s="3" t="s">
        <v>346</v>
      </c>
    </row>
    <row r="2526" spans="1:8" x14ac:dyDescent="0.25">
      <c r="A2526" s="3" t="s">
        <v>2825</v>
      </c>
      <c r="B2526" s="3" t="s">
        <v>4263</v>
      </c>
      <c r="C2526" s="3" t="s">
        <v>253</v>
      </c>
      <c r="D2526" s="3" t="s">
        <v>297</v>
      </c>
      <c r="E2526" s="3" t="s">
        <v>5175</v>
      </c>
      <c r="F2526" s="3" t="s">
        <v>2976</v>
      </c>
      <c r="G2526" s="3" t="s">
        <v>325</v>
      </c>
      <c r="H2526" s="3"/>
    </row>
    <row r="2527" spans="1:8" x14ac:dyDescent="0.25">
      <c r="A2527" s="3" t="s">
        <v>2826</v>
      </c>
      <c r="B2527" s="3" t="s">
        <v>3084</v>
      </c>
      <c r="C2527" s="3" t="s">
        <v>201</v>
      </c>
      <c r="D2527" s="3" t="s">
        <v>294</v>
      </c>
      <c r="E2527" s="3" t="s">
        <v>5176</v>
      </c>
      <c r="F2527" s="3" t="s">
        <v>324</v>
      </c>
      <c r="G2527" s="3" t="s">
        <v>337</v>
      </c>
      <c r="H2527" s="3"/>
    </row>
    <row r="2528" spans="1:8" x14ac:dyDescent="0.25">
      <c r="A2528" s="3" t="s">
        <v>2827</v>
      </c>
      <c r="B2528" s="3" t="s">
        <v>4378</v>
      </c>
      <c r="C2528" s="3" t="s">
        <v>2828</v>
      </c>
      <c r="D2528" s="3" t="s">
        <v>294</v>
      </c>
      <c r="E2528" s="3">
        <v>250</v>
      </c>
      <c r="F2528" s="3" t="s">
        <v>2976</v>
      </c>
      <c r="G2528" s="3"/>
      <c r="H2528" s="3"/>
    </row>
    <row r="2529" spans="1:8" x14ac:dyDescent="0.25">
      <c r="A2529" s="3" t="s">
        <v>2829</v>
      </c>
      <c r="B2529" s="3" t="s">
        <v>4653</v>
      </c>
      <c r="C2529" s="3" t="s">
        <v>211</v>
      </c>
      <c r="D2529" s="3" t="s">
        <v>306</v>
      </c>
      <c r="E2529" s="3" t="s">
        <v>5177</v>
      </c>
      <c r="F2529" s="3" t="s">
        <v>324</v>
      </c>
      <c r="G2529" s="3" t="s">
        <v>325</v>
      </c>
      <c r="H2529" s="3" t="s">
        <v>346</v>
      </c>
    </row>
    <row r="2530" spans="1:8" x14ac:dyDescent="0.25">
      <c r="A2530" s="3" t="s">
        <v>2830</v>
      </c>
      <c r="B2530" s="3" t="s">
        <v>3699</v>
      </c>
      <c r="C2530" s="3" t="s">
        <v>2831</v>
      </c>
      <c r="D2530" s="3" t="s">
        <v>306</v>
      </c>
      <c r="E2530" s="3">
        <v>541.38</v>
      </c>
      <c r="F2530" s="3" t="s">
        <v>2988</v>
      </c>
      <c r="G2530" s="3" t="s">
        <v>325</v>
      </c>
      <c r="H2530" s="3"/>
    </row>
    <row r="2531" spans="1:8" x14ac:dyDescent="0.25">
      <c r="A2531" s="3" t="s">
        <v>2832</v>
      </c>
      <c r="B2531" s="3" t="s">
        <v>5178</v>
      </c>
      <c r="C2531" s="3" t="s">
        <v>165</v>
      </c>
      <c r="D2531" s="3" t="s">
        <v>297</v>
      </c>
      <c r="E2531" s="3">
        <v>671.2</v>
      </c>
      <c r="F2531" s="3" t="s">
        <v>324</v>
      </c>
      <c r="G2531" s="3" t="s">
        <v>327</v>
      </c>
      <c r="H2531" s="3" t="s">
        <v>332</v>
      </c>
    </row>
    <row r="2532" spans="1:8" x14ac:dyDescent="0.25">
      <c r="A2532" s="3" t="s">
        <v>2833</v>
      </c>
      <c r="B2532" s="3" t="s">
        <v>3875</v>
      </c>
      <c r="C2532" s="3" t="s">
        <v>29</v>
      </c>
      <c r="D2532" s="3" t="s">
        <v>297</v>
      </c>
      <c r="E2532" s="3">
        <v>-595.98</v>
      </c>
      <c r="F2532" s="3" t="s">
        <v>3006</v>
      </c>
      <c r="G2532" s="3" t="s">
        <v>329</v>
      </c>
      <c r="H2532" s="3" t="s">
        <v>332</v>
      </c>
    </row>
    <row r="2533" spans="1:8" x14ac:dyDescent="0.25">
      <c r="A2533" s="3" t="s">
        <v>2834</v>
      </c>
      <c r="B2533" s="3" t="s">
        <v>4385</v>
      </c>
      <c r="C2533" s="3" t="s">
        <v>19</v>
      </c>
      <c r="D2533" s="3" t="s">
        <v>315</v>
      </c>
      <c r="E2533" s="3" t="s">
        <v>5179</v>
      </c>
      <c r="F2533" s="3" t="s">
        <v>324</v>
      </c>
      <c r="G2533" s="3" t="s">
        <v>325</v>
      </c>
      <c r="H2533" s="3"/>
    </row>
    <row r="2534" spans="1:8" x14ac:dyDescent="0.25">
      <c r="A2534" s="3" t="s">
        <v>2835</v>
      </c>
      <c r="B2534" s="3" t="s">
        <v>3442</v>
      </c>
      <c r="C2534" s="3" t="s">
        <v>177</v>
      </c>
      <c r="D2534" s="3" t="s">
        <v>297</v>
      </c>
      <c r="E2534" s="3" t="s">
        <v>5180</v>
      </c>
      <c r="F2534" s="3" t="s">
        <v>324</v>
      </c>
      <c r="G2534" s="3" t="s">
        <v>327</v>
      </c>
      <c r="H2534" s="3" t="s">
        <v>346</v>
      </c>
    </row>
    <row r="2535" spans="1:8" x14ac:dyDescent="0.25">
      <c r="A2535" s="3" t="s">
        <v>2836</v>
      </c>
      <c r="B2535" s="3" t="s">
        <v>4502</v>
      </c>
      <c r="C2535" s="3" t="s">
        <v>117</v>
      </c>
      <c r="D2535" s="3" t="s">
        <v>297</v>
      </c>
      <c r="E2535" s="3" t="s">
        <v>5181</v>
      </c>
      <c r="F2535" s="3" t="s">
        <v>2976</v>
      </c>
      <c r="G2535" s="3" t="s">
        <v>325</v>
      </c>
      <c r="H2535" s="3"/>
    </row>
    <row r="2536" spans="1:8" x14ac:dyDescent="0.25">
      <c r="A2536" s="3" t="s">
        <v>2837</v>
      </c>
      <c r="B2536" s="3" t="s">
        <v>3778</v>
      </c>
      <c r="C2536" s="3" t="s">
        <v>641</v>
      </c>
      <c r="D2536" s="3" t="s">
        <v>312</v>
      </c>
      <c r="E2536" s="3" t="s">
        <v>5182</v>
      </c>
      <c r="F2536" s="3" t="s">
        <v>324</v>
      </c>
      <c r="G2536" s="3" t="s">
        <v>337</v>
      </c>
      <c r="H2536" s="3" t="s">
        <v>346</v>
      </c>
    </row>
    <row r="2537" spans="1:8" x14ac:dyDescent="0.25">
      <c r="A2537" s="3" t="s">
        <v>2838</v>
      </c>
      <c r="B2537" s="3" t="s">
        <v>5161</v>
      </c>
      <c r="C2537" s="3" t="s">
        <v>209</v>
      </c>
      <c r="D2537" s="3" t="s">
        <v>294</v>
      </c>
      <c r="E2537" s="3">
        <v>915.67</v>
      </c>
      <c r="F2537" s="3" t="s">
        <v>3037</v>
      </c>
      <c r="G2537" s="3" t="s">
        <v>327</v>
      </c>
      <c r="H2537" s="3"/>
    </row>
    <row r="2538" spans="1:8" x14ac:dyDescent="0.25">
      <c r="A2538" s="3" t="s">
        <v>2839</v>
      </c>
      <c r="B2538" s="3" t="s">
        <v>3129</v>
      </c>
      <c r="C2538" s="3" t="s">
        <v>44</v>
      </c>
      <c r="D2538" s="3" t="s">
        <v>297</v>
      </c>
      <c r="E2538" s="3">
        <v>653.64</v>
      </c>
      <c r="F2538" s="3" t="s">
        <v>324</v>
      </c>
      <c r="G2538" s="3" t="s">
        <v>327</v>
      </c>
      <c r="H2538" s="3"/>
    </row>
    <row r="2539" spans="1:8" x14ac:dyDescent="0.25">
      <c r="A2539" s="3" t="s">
        <v>2840</v>
      </c>
      <c r="B2539" s="3" t="s">
        <v>3113</v>
      </c>
      <c r="C2539" s="3" t="s">
        <v>103</v>
      </c>
      <c r="D2539" s="3" t="s">
        <v>312</v>
      </c>
      <c r="E2539" s="3" t="s">
        <v>5183</v>
      </c>
      <c r="F2539" s="3" t="s">
        <v>324</v>
      </c>
      <c r="G2539" s="3" t="s">
        <v>325</v>
      </c>
      <c r="H2539" s="3"/>
    </row>
    <row r="2540" spans="1:8" x14ac:dyDescent="0.25">
      <c r="A2540" s="3" t="s">
        <v>2841</v>
      </c>
      <c r="B2540" s="3" t="s">
        <v>3338</v>
      </c>
      <c r="C2540" s="3" t="s">
        <v>197</v>
      </c>
      <c r="D2540" s="3" t="s">
        <v>294</v>
      </c>
      <c r="E2540" s="3">
        <v>320.16000000000003</v>
      </c>
      <c r="F2540" s="3" t="s">
        <v>2995</v>
      </c>
      <c r="G2540" s="3" t="s">
        <v>327</v>
      </c>
      <c r="H2540" s="3"/>
    </row>
    <row r="2541" spans="1:8" x14ac:dyDescent="0.25">
      <c r="A2541" s="3" t="s">
        <v>2842</v>
      </c>
      <c r="B2541" s="3" t="s">
        <v>3937</v>
      </c>
      <c r="C2541" s="3" t="s">
        <v>211</v>
      </c>
      <c r="D2541" s="3" t="s">
        <v>300</v>
      </c>
      <c r="E2541" s="3">
        <v>779.26</v>
      </c>
      <c r="F2541" s="3" t="s">
        <v>324</v>
      </c>
      <c r="G2541" s="3" t="s">
        <v>327</v>
      </c>
      <c r="H2541" s="3"/>
    </row>
    <row r="2542" spans="1:8" x14ac:dyDescent="0.25">
      <c r="A2542" s="3" t="s">
        <v>2843</v>
      </c>
      <c r="B2542" s="3" t="s">
        <v>5184</v>
      </c>
      <c r="C2542" s="3" t="s">
        <v>235</v>
      </c>
      <c r="D2542" s="3" t="s">
        <v>300</v>
      </c>
      <c r="E2542" s="3">
        <v>106.53</v>
      </c>
      <c r="F2542" s="3" t="s">
        <v>324</v>
      </c>
      <c r="G2542" s="3" t="s">
        <v>325</v>
      </c>
      <c r="H2542" s="3" t="s">
        <v>346</v>
      </c>
    </row>
    <row r="2543" spans="1:8" x14ac:dyDescent="0.25">
      <c r="A2543" s="3" t="s">
        <v>2844</v>
      </c>
      <c r="B2543" s="3" t="s">
        <v>3631</v>
      </c>
      <c r="C2543" s="3" t="s">
        <v>243</v>
      </c>
      <c r="D2543" s="3" t="s">
        <v>297</v>
      </c>
      <c r="E2543" s="3">
        <v>175.5</v>
      </c>
      <c r="F2543" s="3" t="s">
        <v>3097</v>
      </c>
      <c r="G2543" s="3" t="s">
        <v>337</v>
      </c>
      <c r="H2543" s="3"/>
    </row>
    <row r="2544" spans="1:8" x14ac:dyDescent="0.25">
      <c r="A2544" s="3" t="s">
        <v>2845</v>
      </c>
      <c r="B2544" s="3" t="s">
        <v>3024</v>
      </c>
      <c r="C2544" s="3" t="s">
        <v>131</v>
      </c>
      <c r="D2544" s="3" t="s">
        <v>294</v>
      </c>
      <c r="E2544" s="3">
        <v>454.99</v>
      </c>
      <c r="F2544" s="3" t="s">
        <v>381</v>
      </c>
      <c r="G2544" s="3" t="s">
        <v>325</v>
      </c>
      <c r="H2544" s="3" t="s">
        <v>346</v>
      </c>
    </row>
    <row r="2545" spans="1:8" x14ac:dyDescent="0.25">
      <c r="A2545" s="3" t="s">
        <v>2846</v>
      </c>
      <c r="B2545" s="3" t="s">
        <v>3603</v>
      </c>
      <c r="C2545" s="3" t="s">
        <v>163</v>
      </c>
      <c r="D2545" s="3" t="s">
        <v>294</v>
      </c>
      <c r="E2545" s="3" t="s">
        <v>5185</v>
      </c>
      <c r="F2545" s="3" t="s">
        <v>2988</v>
      </c>
      <c r="G2545" s="3" t="s">
        <v>327</v>
      </c>
      <c r="H2545" s="3" t="s">
        <v>346</v>
      </c>
    </row>
    <row r="2546" spans="1:8" x14ac:dyDescent="0.25">
      <c r="A2546" s="3" t="s">
        <v>2847</v>
      </c>
      <c r="B2546" s="3" t="s">
        <v>4971</v>
      </c>
      <c r="C2546" s="3" t="s">
        <v>165</v>
      </c>
      <c r="D2546" s="3" t="s">
        <v>303</v>
      </c>
      <c r="E2546" s="3" t="s">
        <v>5186</v>
      </c>
      <c r="F2546" s="3" t="s">
        <v>324</v>
      </c>
      <c r="G2546" s="3" t="s">
        <v>337</v>
      </c>
      <c r="H2546" s="3" t="s">
        <v>346</v>
      </c>
    </row>
    <row r="2547" spans="1:8" x14ac:dyDescent="0.25">
      <c r="A2547" s="3" t="s">
        <v>2848</v>
      </c>
      <c r="B2547" s="3" t="s">
        <v>3158</v>
      </c>
      <c r="C2547" s="3" t="s">
        <v>70</v>
      </c>
      <c r="D2547" s="3" t="s">
        <v>312</v>
      </c>
      <c r="E2547" s="3">
        <v>250.03</v>
      </c>
      <c r="F2547" s="3" t="s">
        <v>2988</v>
      </c>
      <c r="G2547" s="3" t="s">
        <v>337</v>
      </c>
      <c r="H2547" s="3"/>
    </row>
    <row r="2548" spans="1:8" x14ac:dyDescent="0.25">
      <c r="A2548" s="3" t="s">
        <v>2849</v>
      </c>
      <c r="B2548" s="3" t="s">
        <v>4100</v>
      </c>
      <c r="C2548" s="3" t="s">
        <v>233</v>
      </c>
      <c r="D2548" s="3" t="s">
        <v>294</v>
      </c>
      <c r="E2548" s="3">
        <v>449.29</v>
      </c>
      <c r="F2548" s="3" t="s">
        <v>2997</v>
      </c>
      <c r="G2548" s="3" t="s">
        <v>325</v>
      </c>
      <c r="H2548" s="3" t="s">
        <v>334</v>
      </c>
    </row>
    <row r="2549" spans="1:8" x14ac:dyDescent="0.25">
      <c r="A2549" s="3" t="s">
        <v>2850</v>
      </c>
      <c r="B2549" s="3" t="s">
        <v>3613</v>
      </c>
      <c r="C2549" s="3" t="s">
        <v>211</v>
      </c>
      <c r="D2549" s="3" t="s">
        <v>315</v>
      </c>
      <c r="E2549" s="3">
        <v>833.22</v>
      </c>
      <c r="F2549" s="3" t="s">
        <v>2973</v>
      </c>
      <c r="G2549" s="3" t="s">
        <v>337</v>
      </c>
      <c r="H2549" s="3" t="s">
        <v>346</v>
      </c>
    </row>
    <row r="2550" spans="1:8" x14ac:dyDescent="0.25">
      <c r="A2550" s="3" t="s">
        <v>2851</v>
      </c>
      <c r="B2550" s="3" t="s">
        <v>5187</v>
      </c>
      <c r="C2550" s="3" t="s">
        <v>94</v>
      </c>
      <c r="D2550" s="3" t="s">
        <v>297</v>
      </c>
      <c r="E2550" s="3" t="s">
        <v>5188</v>
      </c>
      <c r="F2550" s="3" t="s">
        <v>324</v>
      </c>
      <c r="G2550" s="3" t="s">
        <v>337</v>
      </c>
      <c r="H2550" s="3"/>
    </row>
    <row r="2551" spans="1:8" x14ac:dyDescent="0.25">
      <c r="A2551" s="3" t="s">
        <v>2852</v>
      </c>
      <c r="B2551" s="3" t="s">
        <v>3651</v>
      </c>
      <c r="C2551" s="3" t="s">
        <v>173</v>
      </c>
      <c r="D2551" s="3" t="s">
        <v>312</v>
      </c>
      <c r="E2551" s="3" t="s">
        <v>5189</v>
      </c>
      <c r="F2551" s="3" t="s">
        <v>324</v>
      </c>
      <c r="G2551" s="3" t="s">
        <v>325</v>
      </c>
      <c r="H2551" s="3"/>
    </row>
    <row r="2552" spans="1:8" x14ac:dyDescent="0.25">
      <c r="A2552" s="3" t="s">
        <v>2853</v>
      </c>
      <c r="B2552" s="3" t="s">
        <v>5190</v>
      </c>
      <c r="C2552" s="3" t="s">
        <v>60</v>
      </c>
      <c r="D2552" s="3" t="s">
        <v>300</v>
      </c>
      <c r="E2552" s="3" t="s">
        <v>4567</v>
      </c>
      <c r="F2552" s="3" t="s">
        <v>2988</v>
      </c>
      <c r="G2552" s="3" t="s">
        <v>327</v>
      </c>
      <c r="H2552" s="3"/>
    </row>
    <row r="2553" spans="1:8" x14ac:dyDescent="0.25">
      <c r="A2553" s="3" t="s">
        <v>2854</v>
      </c>
      <c r="B2553" s="3" t="s">
        <v>3952</v>
      </c>
      <c r="C2553" s="3" t="s">
        <v>84</v>
      </c>
      <c r="D2553" s="3" t="s">
        <v>309</v>
      </c>
      <c r="E2553" s="3">
        <v>542.79999999999995</v>
      </c>
      <c r="F2553" s="3" t="s">
        <v>324</v>
      </c>
      <c r="G2553" s="3" t="s">
        <v>337</v>
      </c>
      <c r="H2553" s="3"/>
    </row>
    <row r="2554" spans="1:8" x14ac:dyDescent="0.25">
      <c r="A2554" s="3" t="s">
        <v>2855</v>
      </c>
      <c r="B2554" s="3" t="s">
        <v>5191</v>
      </c>
      <c r="C2554" s="3" t="s">
        <v>269</v>
      </c>
      <c r="D2554" s="3" t="s">
        <v>300</v>
      </c>
      <c r="E2554" s="3">
        <v>137.52000000000001</v>
      </c>
      <c r="F2554" s="3" t="s">
        <v>2976</v>
      </c>
      <c r="G2554" s="3" t="s">
        <v>327</v>
      </c>
      <c r="H2554" s="3" t="s">
        <v>346</v>
      </c>
    </row>
    <row r="2555" spans="1:8" x14ac:dyDescent="0.25">
      <c r="A2555" s="3" t="s">
        <v>2856</v>
      </c>
      <c r="B2555" s="3" t="s">
        <v>5192</v>
      </c>
      <c r="C2555" s="3" t="s">
        <v>119</v>
      </c>
      <c r="D2555" s="3" t="s">
        <v>294</v>
      </c>
      <c r="E2555" s="3">
        <v>118.4</v>
      </c>
      <c r="F2555" s="3" t="s">
        <v>324</v>
      </c>
      <c r="G2555" s="3" t="s">
        <v>325</v>
      </c>
      <c r="H2555" s="3"/>
    </row>
    <row r="2556" spans="1:8" x14ac:dyDescent="0.25">
      <c r="A2556" s="3" t="s">
        <v>2857</v>
      </c>
      <c r="B2556" s="3" t="s">
        <v>4952</v>
      </c>
      <c r="C2556" s="3" t="s">
        <v>155</v>
      </c>
      <c r="D2556" s="3" t="s">
        <v>306</v>
      </c>
      <c r="E2556" s="3" t="s">
        <v>5193</v>
      </c>
      <c r="F2556" s="3" t="s">
        <v>324</v>
      </c>
      <c r="G2556" s="3" t="s">
        <v>325</v>
      </c>
      <c r="H2556" s="3" t="s">
        <v>332</v>
      </c>
    </row>
    <row r="2557" spans="1:8" x14ac:dyDescent="0.25">
      <c r="A2557" s="3" t="s">
        <v>2858</v>
      </c>
      <c r="B2557" s="3" t="s">
        <v>4378</v>
      </c>
      <c r="C2557" s="3" t="s">
        <v>11</v>
      </c>
      <c r="D2557" s="3" t="s">
        <v>294</v>
      </c>
      <c r="E2557" s="3" t="s">
        <v>5194</v>
      </c>
      <c r="F2557" s="3" t="s">
        <v>324</v>
      </c>
      <c r="G2557" s="3" t="s">
        <v>327</v>
      </c>
      <c r="H2557" s="3"/>
    </row>
    <row r="2558" spans="1:8" x14ac:dyDescent="0.25">
      <c r="A2558" s="3" t="s">
        <v>2859</v>
      </c>
      <c r="B2558" s="3" t="s">
        <v>4049</v>
      </c>
      <c r="C2558" s="3" t="s">
        <v>253</v>
      </c>
      <c r="D2558" s="3" t="s">
        <v>294</v>
      </c>
      <c r="E2558" s="3">
        <v>731.29</v>
      </c>
      <c r="F2558" s="3" t="s">
        <v>2973</v>
      </c>
      <c r="G2558" s="3"/>
      <c r="H2558" s="3" t="s">
        <v>332</v>
      </c>
    </row>
    <row r="2559" spans="1:8" x14ac:dyDescent="0.25">
      <c r="A2559" s="3" t="s">
        <v>2860</v>
      </c>
      <c r="B2559" s="3" t="s">
        <v>3105</v>
      </c>
      <c r="C2559" s="3" t="s">
        <v>189</v>
      </c>
      <c r="D2559" s="3" t="s">
        <v>294</v>
      </c>
      <c r="E2559" s="3" t="s">
        <v>5195</v>
      </c>
      <c r="F2559" s="3" t="s">
        <v>2995</v>
      </c>
      <c r="G2559" s="3" t="s">
        <v>325</v>
      </c>
      <c r="H2559" s="3" t="s">
        <v>334</v>
      </c>
    </row>
    <row r="2560" spans="1:8" x14ac:dyDescent="0.25">
      <c r="A2560" s="3" t="s">
        <v>2861</v>
      </c>
      <c r="B2560" s="3" t="s">
        <v>4710</v>
      </c>
      <c r="C2560" s="3" t="s">
        <v>96</v>
      </c>
      <c r="D2560" s="3" t="s">
        <v>294</v>
      </c>
      <c r="E2560" s="3" t="s">
        <v>5196</v>
      </c>
      <c r="F2560" s="3" t="s">
        <v>2976</v>
      </c>
      <c r="G2560" s="3" t="s">
        <v>325</v>
      </c>
      <c r="H2560" s="3"/>
    </row>
    <row r="2561" spans="1:8" x14ac:dyDescent="0.25">
      <c r="A2561" s="3" t="s">
        <v>2862</v>
      </c>
      <c r="B2561" s="3" t="s">
        <v>4906</v>
      </c>
      <c r="C2561" s="3" t="s">
        <v>233</v>
      </c>
      <c r="D2561" s="3" t="s">
        <v>294</v>
      </c>
      <c r="E2561" s="3" t="s">
        <v>5197</v>
      </c>
      <c r="F2561" s="3" t="s">
        <v>381</v>
      </c>
      <c r="G2561" s="3" t="s">
        <v>329</v>
      </c>
      <c r="H2561" s="3"/>
    </row>
    <row r="2562" spans="1:8" x14ac:dyDescent="0.25">
      <c r="A2562" s="3" t="s">
        <v>2863</v>
      </c>
      <c r="B2562" s="3" t="s">
        <v>4906</v>
      </c>
      <c r="C2562" s="3" t="s">
        <v>53</v>
      </c>
      <c r="D2562" s="3" t="s">
        <v>309</v>
      </c>
      <c r="E2562" s="3">
        <v>357.61</v>
      </c>
      <c r="F2562" s="3" t="s">
        <v>2976</v>
      </c>
      <c r="G2562" s="3" t="s">
        <v>325</v>
      </c>
      <c r="H2562" s="3"/>
    </row>
    <row r="2563" spans="1:8" x14ac:dyDescent="0.25">
      <c r="A2563" s="3" t="s">
        <v>2864</v>
      </c>
      <c r="B2563" s="3" t="s">
        <v>5168</v>
      </c>
      <c r="C2563" s="3" t="s">
        <v>70</v>
      </c>
      <c r="D2563" s="3" t="s">
        <v>294</v>
      </c>
      <c r="E2563" s="3">
        <v>333.97</v>
      </c>
      <c r="F2563" s="3" t="s">
        <v>381</v>
      </c>
      <c r="G2563" s="3" t="s">
        <v>337</v>
      </c>
      <c r="H2563" s="3" t="s">
        <v>334</v>
      </c>
    </row>
    <row r="2564" spans="1:8" x14ac:dyDescent="0.25">
      <c r="A2564" s="3" t="s">
        <v>2865</v>
      </c>
      <c r="B2564" s="3" t="s">
        <v>5198</v>
      </c>
      <c r="C2564" s="3" t="s">
        <v>255</v>
      </c>
      <c r="D2564" s="3" t="s">
        <v>309</v>
      </c>
      <c r="E2564" s="3">
        <v>301.08</v>
      </c>
      <c r="F2564" s="3" t="s">
        <v>324</v>
      </c>
      <c r="G2564" s="3" t="s">
        <v>337</v>
      </c>
      <c r="H2564" s="3"/>
    </row>
    <row r="2565" spans="1:8" x14ac:dyDescent="0.25">
      <c r="A2565" s="3" t="s">
        <v>2866</v>
      </c>
      <c r="B2565" s="3" t="s">
        <v>4832</v>
      </c>
      <c r="C2565" s="3" t="s">
        <v>157</v>
      </c>
      <c r="D2565" s="3" t="s">
        <v>294</v>
      </c>
      <c r="E2565" s="3" t="s">
        <v>5199</v>
      </c>
      <c r="F2565" s="3" t="s">
        <v>324</v>
      </c>
      <c r="G2565" s="3" t="s">
        <v>325</v>
      </c>
      <c r="H2565" s="3"/>
    </row>
    <row r="2566" spans="1:8" x14ac:dyDescent="0.25">
      <c r="A2566" s="3" t="s">
        <v>2867</v>
      </c>
      <c r="B2566" s="3" t="s">
        <v>5200</v>
      </c>
      <c r="C2566" s="3" t="s">
        <v>151</v>
      </c>
      <c r="D2566" s="3" t="s">
        <v>297</v>
      </c>
      <c r="E2566" s="3">
        <v>288.05</v>
      </c>
      <c r="F2566" s="3" t="s">
        <v>324</v>
      </c>
      <c r="G2566" s="3"/>
      <c r="H2566" s="3" t="s">
        <v>346</v>
      </c>
    </row>
    <row r="2567" spans="1:8" x14ac:dyDescent="0.25">
      <c r="A2567" s="3" t="s">
        <v>2868</v>
      </c>
      <c r="B2567" s="3" t="s">
        <v>4881</v>
      </c>
      <c r="C2567" s="3" t="s">
        <v>211</v>
      </c>
      <c r="D2567" s="3" t="s">
        <v>303</v>
      </c>
      <c r="E2567" s="3" t="s">
        <v>5201</v>
      </c>
      <c r="F2567" s="3" t="s">
        <v>324</v>
      </c>
      <c r="G2567" s="3" t="s">
        <v>327</v>
      </c>
      <c r="H2567" s="3" t="s">
        <v>346</v>
      </c>
    </row>
    <row r="2568" spans="1:8" x14ac:dyDescent="0.25">
      <c r="A2568" s="3" t="s">
        <v>2869</v>
      </c>
      <c r="B2568" s="3" t="s">
        <v>3610</v>
      </c>
      <c r="C2568" s="3" t="s">
        <v>229</v>
      </c>
      <c r="D2568" s="3" t="s">
        <v>294</v>
      </c>
      <c r="E2568" s="3">
        <v>409.27</v>
      </c>
      <c r="F2568" s="3" t="s">
        <v>2973</v>
      </c>
      <c r="G2568" s="3" t="s">
        <v>327</v>
      </c>
      <c r="H2568" s="3" t="s">
        <v>332</v>
      </c>
    </row>
    <row r="2569" spans="1:8" x14ac:dyDescent="0.25">
      <c r="A2569" s="3" t="s">
        <v>2870</v>
      </c>
      <c r="B2569" s="3" t="s">
        <v>4786</v>
      </c>
      <c r="C2569" s="3" t="s">
        <v>29</v>
      </c>
      <c r="D2569" s="3" t="s">
        <v>294</v>
      </c>
      <c r="E2569" s="3" t="s">
        <v>5202</v>
      </c>
      <c r="F2569" s="3" t="s">
        <v>324</v>
      </c>
      <c r="G2569" s="3" t="s">
        <v>329</v>
      </c>
      <c r="H2569" s="3"/>
    </row>
    <row r="2570" spans="1:8" x14ac:dyDescent="0.25">
      <c r="A2570" s="3" t="s">
        <v>2871</v>
      </c>
      <c r="B2570" s="3" t="s">
        <v>3559</v>
      </c>
      <c r="C2570" s="3" t="s">
        <v>229</v>
      </c>
      <c r="D2570" s="3" t="s">
        <v>294</v>
      </c>
      <c r="E2570" s="3">
        <v>-458.02</v>
      </c>
      <c r="F2570" s="3" t="s">
        <v>349</v>
      </c>
      <c r="G2570" s="3" t="s">
        <v>337</v>
      </c>
      <c r="H2570" s="3"/>
    </row>
    <row r="2571" spans="1:8" x14ac:dyDescent="0.25">
      <c r="A2571" s="3" t="s">
        <v>2872</v>
      </c>
      <c r="B2571" s="3" t="s">
        <v>5203</v>
      </c>
      <c r="C2571" s="3" t="s">
        <v>121</v>
      </c>
      <c r="D2571" s="3" t="s">
        <v>294</v>
      </c>
      <c r="E2571" s="3">
        <v>578.30999999999995</v>
      </c>
      <c r="F2571" s="3" t="s">
        <v>324</v>
      </c>
      <c r="G2571" s="3" t="s">
        <v>325</v>
      </c>
      <c r="H2571" s="3"/>
    </row>
    <row r="2572" spans="1:8" x14ac:dyDescent="0.25">
      <c r="A2572" s="3" t="s">
        <v>2873</v>
      </c>
      <c r="B2572" s="3" t="s">
        <v>5204</v>
      </c>
      <c r="C2572" s="3" t="s">
        <v>263</v>
      </c>
      <c r="D2572" s="3" t="s">
        <v>294</v>
      </c>
      <c r="E2572" s="3">
        <v>266.88</v>
      </c>
      <c r="F2572" s="3" t="s">
        <v>324</v>
      </c>
      <c r="G2572" s="3" t="s">
        <v>325</v>
      </c>
      <c r="H2572" s="3"/>
    </row>
    <row r="2573" spans="1:8" x14ac:dyDescent="0.25">
      <c r="A2573" s="3" t="s">
        <v>2874</v>
      </c>
      <c r="B2573" s="3" t="s">
        <v>4305</v>
      </c>
      <c r="C2573" s="3" t="s">
        <v>121</v>
      </c>
      <c r="D2573" s="3" t="s">
        <v>300</v>
      </c>
      <c r="E2573" s="3">
        <v>294.27999999999997</v>
      </c>
      <c r="F2573" s="3" t="s">
        <v>2988</v>
      </c>
      <c r="G2573" s="3" t="s">
        <v>325</v>
      </c>
      <c r="H2573" s="3" t="s">
        <v>346</v>
      </c>
    </row>
    <row r="2574" spans="1:8" x14ac:dyDescent="0.25">
      <c r="A2574" s="3" t="s">
        <v>2875</v>
      </c>
      <c r="B2574" s="3" t="s">
        <v>4571</v>
      </c>
      <c r="C2574" s="3" t="s">
        <v>267</v>
      </c>
      <c r="D2574" s="3" t="s">
        <v>297</v>
      </c>
      <c r="E2574" s="3">
        <v>910.2</v>
      </c>
      <c r="F2574" s="3" t="s">
        <v>2976</v>
      </c>
      <c r="G2574" s="3" t="s">
        <v>327</v>
      </c>
      <c r="H2574" s="3"/>
    </row>
    <row r="2575" spans="1:8" x14ac:dyDescent="0.25">
      <c r="A2575" s="3" t="s">
        <v>2876</v>
      </c>
      <c r="B2575" s="3" t="s">
        <v>4131</v>
      </c>
      <c r="C2575" s="3" t="s">
        <v>38</v>
      </c>
      <c r="D2575" s="3" t="s">
        <v>294</v>
      </c>
      <c r="E2575" s="3">
        <v>334.2</v>
      </c>
      <c r="F2575" s="3" t="s">
        <v>324</v>
      </c>
      <c r="G2575" s="3"/>
      <c r="H2575" s="3" t="s">
        <v>332</v>
      </c>
    </row>
    <row r="2576" spans="1:8" x14ac:dyDescent="0.25">
      <c r="A2576" s="3" t="s">
        <v>2877</v>
      </c>
      <c r="B2576" s="3" t="s">
        <v>3934</v>
      </c>
      <c r="C2576" s="3" t="s">
        <v>257</v>
      </c>
      <c r="D2576" s="3" t="s">
        <v>294</v>
      </c>
      <c r="E2576" s="3" t="s">
        <v>5205</v>
      </c>
      <c r="F2576" s="3" t="s">
        <v>349</v>
      </c>
      <c r="G2576" s="3" t="s">
        <v>329</v>
      </c>
      <c r="H2576" s="3" t="s">
        <v>346</v>
      </c>
    </row>
    <row r="2577" spans="1:8" x14ac:dyDescent="0.25">
      <c r="A2577" s="3" t="s">
        <v>2878</v>
      </c>
      <c r="B2577" s="3" t="s">
        <v>3944</v>
      </c>
      <c r="C2577" s="3" t="s">
        <v>143</v>
      </c>
      <c r="D2577" s="3" t="s">
        <v>315</v>
      </c>
      <c r="E2577" s="3">
        <v>331.93</v>
      </c>
      <c r="F2577" s="3" t="s">
        <v>3157</v>
      </c>
      <c r="G2577" s="3" t="s">
        <v>325</v>
      </c>
      <c r="H2577" s="3"/>
    </row>
    <row r="2578" spans="1:8" x14ac:dyDescent="0.25">
      <c r="A2578" s="3" t="s">
        <v>2879</v>
      </c>
      <c r="B2578" s="3" t="s">
        <v>4868</v>
      </c>
      <c r="C2578" s="3" t="s">
        <v>47</v>
      </c>
      <c r="D2578" s="3" t="s">
        <v>303</v>
      </c>
      <c r="E2578" s="3">
        <v>620.33000000000004</v>
      </c>
      <c r="F2578" s="3" t="s">
        <v>381</v>
      </c>
      <c r="G2578" s="3"/>
      <c r="H2578" s="3"/>
    </row>
    <row r="2579" spans="1:8" x14ac:dyDescent="0.25">
      <c r="A2579" s="3" t="s">
        <v>2880</v>
      </c>
      <c r="B2579" s="3" t="s">
        <v>4758</v>
      </c>
      <c r="C2579" s="3" t="s">
        <v>185</v>
      </c>
      <c r="D2579" s="3" t="s">
        <v>309</v>
      </c>
      <c r="E2579" s="3">
        <v>86.56</v>
      </c>
      <c r="F2579" s="3" t="s">
        <v>2995</v>
      </c>
      <c r="G2579" s="3" t="s">
        <v>325</v>
      </c>
      <c r="H2579" s="3" t="s">
        <v>332</v>
      </c>
    </row>
    <row r="2580" spans="1:8" x14ac:dyDescent="0.25">
      <c r="A2580" s="3" t="s">
        <v>2881</v>
      </c>
      <c r="B2580" s="3" t="s">
        <v>3408</v>
      </c>
      <c r="C2580" s="3" t="s">
        <v>123</v>
      </c>
      <c r="D2580" s="3" t="s">
        <v>294</v>
      </c>
      <c r="E2580" s="3" t="s">
        <v>5206</v>
      </c>
      <c r="F2580" s="3" t="s">
        <v>324</v>
      </c>
      <c r="G2580" s="3" t="s">
        <v>327</v>
      </c>
      <c r="H2580" s="3" t="s">
        <v>346</v>
      </c>
    </row>
    <row r="2581" spans="1:8" x14ac:dyDescent="0.25">
      <c r="A2581" s="3" t="s">
        <v>2882</v>
      </c>
      <c r="B2581" s="3" t="s">
        <v>3132</v>
      </c>
      <c r="C2581" s="3" t="s">
        <v>219</v>
      </c>
      <c r="D2581" s="3" t="s">
        <v>306</v>
      </c>
      <c r="E2581" s="3" t="s">
        <v>5207</v>
      </c>
      <c r="F2581" s="3" t="s">
        <v>3060</v>
      </c>
      <c r="G2581" s="3" t="s">
        <v>325</v>
      </c>
      <c r="H2581" s="3" t="s">
        <v>332</v>
      </c>
    </row>
    <row r="2582" spans="1:8" x14ac:dyDescent="0.25">
      <c r="A2582" s="3" t="s">
        <v>2883</v>
      </c>
      <c r="B2582" s="3" t="s">
        <v>4528</v>
      </c>
      <c r="C2582" s="3" t="s">
        <v>163</v>
      </c>
      <c r="D2582" s="3" t="s">
        <v>306</v>
      </c>
      <c r="E2582" s="3">
        <v>100.3</v>
      </c>
      <c r="F2582" s="3" t="s">
        <v>2976</v>
      </c>
      <c r="G2582" s="3" t="s">
        <v>337</v>
      </c>
      <c r="H2582" s="3" t="s">
        <v>334</v>
      </c>
    </row>
    <row r="2583" spans="1:8" x14ac:dyDescent="0.25">
      <c r="A2583" s="3" t="s">
        <v>2884</v>
      </c>
      <c r="B2583" s="3" t="s">
        <v>3781</v>
      </c>
      <c r="C2583" s="3" t="s">
        <v>251</v>
      </c>
      <c r="D2583" s="3" t="s">
        <v>294</v>
      </c>
      <c r="E2583" s="3" t="s">
        <v>5208</v>
      </c>
      <c r="F2583" s="3" t="s">
        <v>324</v>
      </c>
      <c r="G2583" s="3" t="s">
        <v>327</v>
      </c>
      <c r="H2583" s="3"/>
    </row>
    <row r="2584" spans="1:8" x14ac:dyDescent="0.25">
      <c r="A2584" s="3" t="s">
        <v>2885</v>
      </c>
      <c r="B2584" s="3" t="s">
        <v>4668</v>
      </c>
      <c r="C2584" s="3" t="s">
        <v>173</v>
      </c>
      <c r="D2584" s="3" t="s">
        <v>297</v>
      </c>
      <c r="E2584" s="3">
        <v>1006.18</v>
      </c>
      <c r="F2584" s="3" t="s">
        <v>324</v>
      </c>
      <c r="G2584" s="3" t="s">
        <v>325</v>
      </c>
      <c r="H2584" s="3"/>
    </row>
    <row r="2585" spans="1:8" x14ac:dyDescent="0.25">
      <c r="A2585" s="3" t="s">
        <v>2886</v>
      </c>
      <c r="B2585" s="3" t="s">
        <v>4265</v>
      </c>
      <c r="C2585" s="3" t="s">
        <v>189</v>
      </c>
      <c r="D2585" s="3" t="s">
        <v>294</v>
      </c>
      <c r="E2585" s="3" t="s">
        <v>5209</v>
      </c>
      <c r="F2585" s="3" t="s">
        <v>2995</v>
      </c>
      <c r="G2585" s="3" t="s">
        <v>327</v>
      </c>
      <c r="H2585" s="3" t="s">
        <v>346</v>
      </c>
    </row>
    <row r="2586" spans="1:8" x14ac:dyDescent="0.25">
      <c r="A2586" s="3" t="s">
        <v>2887</v>
      </c>
      <c r="B2586" s="3" t="s">
        <v>4865</v>
      </c>
      <c r="C2586" s="3" t="s">
        <v>193</v>
      </c>
      <c r="D2586" s="3" t="s">
        <v>315</v>
      </c>
      <c r="E2586" s="3" t="s">
        <v>5210</v>
      </c>
      <c r="F2586" s="3" t="s">
        <v>3021</v>
      </c>
      <c r="G2586" s="3" t="s">
        <v>337</v>
      </c>
      <c r="H2586" s="3" t="s">
        <v>332</v>
      </c>
    </row>
    <row r="2587" spans="1:8" x14ac:dyDescent="0.25">
      <c r="A2587" s="3" t="s">
        <v>2888</v>
      </c>
      <c r="B2587" s="3" t="s">
        <v>4462</v>
      </c>
      <c r="C2587" s="3" t="s">
        <v>145</v>
      </c>
      <c r="D2587" s="3" t="s">
        <v>312</v>
      </c>
      <c r="E2587" s="3" t="s">
        <v>5211</v>
      </c>
      <c r="F2587" s="3" t="s">
        <v>324</v>
      </c>
      <c r="G2587" s="3" t="s">
        <v>327</v>
      </c>
      <c r="H2587" s="3"/>
    </row>
    <row r="2588" spans="1:8" x14ac:dyDescent="0.25">
      <c r="A2588" s="3" t="s">
        <v>2889</v>
      </c>
      <c r="B2588" s="3" t="s">
        <v>3268</v>
      </c>
      <c r="C2588" s="3" t="s">
        <v>181</v>
      </c>
      <c r="D2588" s="3" t="s">
        <v>306</v>
      </c>
      <c r="E2588" s="3">
        <v>915.79</v>
      </c>
      <c r="F2588" s="3" t="s">
        <v>2988</v>
      </c>
      <c r="G2588" s="3" t="s">
        <v>337</v>
      </c>
      <c r="H2588" s="3"/>
    </row>
    <row r="2589" spans="1:8" x14ac:dyDescent="0.25">
      <c r="A2589" s="3" t="s">
        <v>2890</v>
      </c>
      <c r="B2589" s="3" t="s">
        <v>5212</v>
      </c>
      <c r="C2589" s="3" t="s">
        <v>113</v>
      </c>
      <c r="D2589" s="3" t="s">
        <v>297</v>
      </c>
      <c r="E2589" s="3">
        <v>267.04000000000002</v>
      </c>
      <c r="F2589" s="3" t="s">
        <v>331</v>
      </c>
      <c r="G2589" s="3" t="s">
        <v>337</v>
      </c>
      <c r="H2589" s="3"/>
    </row>
    <row r="2590" spans="1:8" x14ac:dyDescent="0.25">
      <c r="A2590" s="3" t="s">
        <v>2891</v>
      </c>
      <c r="B2590" s="3" t="s">
        <v>5169</v>
      </c>
      <c r="C2590" s="3" t="s">
        <v>267</v>
      </c>
      <c r="D2590" s="3" t="s">
        <v>294</v>
      </c>
      <c r="E2590" s="3" t="s">
        <v>5213</v>
      </c>
      <c r="F2590" s="3" t="s">
        <v>324</v>
      </c>
      <c r="G2590" s="3" t="s">
        <v>337</v>
      </c>
      <c r="H2590" s="3"/>
    </row>
    <row r="2591" spans="1:8" x14ac:dyDescent="0.25">
      <c r="A2591" s="3" t="s">
        <v>2892</v>
      </c>
      <c r="B2591" s="3" t="s">
        <v>3404</v>
      </c>
      <c r="C2591" s="3" t="s">
        <v>167</v>
      </c>
      <c r="D2591" s="3" t="s">
        <v>309</v>
      </c>
      <c r="E2591" s="3">
        <v>-364.96</v>
      </c>
      <c r="F2591" s="3" t="s">
        <v>3060</v>
      </c>
      <c r="G2591" s="3" t="s">
        <v>337</v>
      </c>
      <c r="H2591" s="3"/>
    </row>
    <row r="2592" spans="1:8" x14ac:dyDescent="0.25">
      <c r="A2592" s="3" t="s">
        <v>2893</v>
      </c>
      <c r="B2592" s="3" t="s">
        <v>5214</v>
      </c>
      <c r="C2592" s="3" t="s">
        <v>55</v>
      </c>
      <c r="D2592" s="3" t="s">
        <v>309</v>
      </c>
      <c r="E2592" s="3">
        <v>809.99</v>
      </c>
      <c r="F2592" s="3" t="s">
        <v>324</v>
      </c>
      <c r="G2592" s="3" t="s">
        <v>327</v>
      </c>
      <c r="H2592" s="3" t="s">
        <v>334</v>
      </c>
    </row>
    <row r="2593" spans="1:8" x14ac:dyDescent="0.25">
      <c r="A2593" s="3" t="s">
        <v>2894</v>
      </c>
      <c r="B2593" s="3" t="s">
        <v>3894</v>
      </c>
      <c r="C2593" s="3" t="s">
        <v>205</v>
      </c>
      <c r="D2593" s="3" t="s">
        <v>300</v>
      </c>
      <c r="E2593" s="3">
        <v>-646.9</v>
      </c>
      <c r="F2593" s="3" t="s">
        <v>349</v>
      </c>
      <c r="G2593" s="3" t="s">
        <v>325</v>
      </c>
      <c r="H2593" s="3" t="s">
        <v>346</v>
      </c>
    </row>
    <row r="2594" spans="1:8" x14ac:dyDescent="0.25">
      <c r="A2594" s="3" t="s">
        <v>2895</v>
      </c>
      <c r="B2594" s="3" t="s">
        <v>5215</v>
      </c>
      <c r="C2594" s="3" t="s">
        <v>201</v>
      </c>
      <c r="D2594" s="3" t="s">
        <v>312</v>
      </c>
      <c r="E2594" s="3" t="s">
        <v>5216</v>
      </c>
      <c r="F2594" s="3" t="s">
        <v>331</v>
      </c>
      <c r="G2594" s="3" t="s">
        <v>325</v>
      </c>
      <c r="H2594" s="3"/>
    </row>
    <row r="2595" spans="1:8" x14ac:dyDescent="0.25">
      <c r="A2595" s="3" t="s">
        <v>2896</v>
      </c>
      <c r="B2595" s="3" t="s">
        <v>3278</v>
      </c>
      <c r="C2595" s="3" t="s">
        <v>257</v>
      </c>
      <c r="D2595" s="3" t="s">
        <v>294</v>
      </c>
      <c r="E2595" s="3" t="s">
        <v>4886</v>
      </c>
      <c r="F2595" s="3" t="s">
        <v>2976</v>
      </c>
      <c r="G2595" s="3" t="s">
        <v>337</v>
      </c>
      <c r="H2595" s="3" t="s">
        <v>346</v>
      </c>
    </row>
    <row r="2596" spans="1:8" x14ac:dyDescent="0.25">
      <c r="A2596" s="3" t="s">
        <v>2897</v>
      </c>
      <c r="B2596" s="3" t="s">
        <v>4314</v>
      </c>
      <c r="C2596" s="3" t="s">
        <v>38</v>
      </c>
      <c r="D2596" s="3" t="s">
        <v>300</v>
      </c>
      <c r="E2596" s="3">
        <v>152.12</v>
      </c>
      <c r="F2596" s="3" t="s">
        <v>381</v>
      </c>
      <c r="G2596" s="3" t="s">
        <v>337</v>
      </c>
      <c r="H2596" s="3" t="s">
        <v>334</v>
      </c>
    </row>
    <row r="2597" spans="1:8" x14ac:dyDescent="0.25">
      <c r="A2597" s="3" t="s">
        <v>2898</v>
      </c>
      <c r="B2597" s="3" t="s">
        <v>4652</v>
      </c>
      <c r="C2597" s="3" t="s">
        <v>62</v>
      </c>
      <c r="D2597" s="3" t="s">
        <v>309</v>
      </c>
      <c r="E2597" s="3">
        <v>382.76</v>
      </c>
      <c r="F2597" s="3" t="s">
        <v>324</v>
      </c>
      <c r="G2597" s="3" t="s">
        <v>329</v>
      </c>
      <c r="H2597" s="3"/>
    </row>
    <row r="2598" spans="1:8" x14ac:dyDescent="0.25">
      <c r="A2598" s="3" t="s">
        <v>2899</v>
      </c>
      <c r="B2598" s="3" t="s">
        <v>5217</v>
      </c>
      <c r="C2598" s="3" t="s">
        <v>109</v>
      </c>
      <c r="D2598" s="3" t="s">
        <v>306</v>
      </c>
      <c r="E2598" s="3">
        <v>543.37</v>
      </c>
      <c r="F2598" s="3" t="s">
        <v>324</v>
      </c>
      <c r="G2598" s="3" t="s">
        <v>325</v>
      </c>
      <c r="H2598" s="3" t="s">
        <v>332</v>
      </c>
    </row>
    <row r="2599" spans="1:8" x14ac:dyDescent="0.25">
      <c r="A2599" s="3" t="s">
        <v>2900</v>
      </c>
      <c r="B2599" s="3" t="s">
        <v>3982</v>
      </c>
      <c r="C2599" s="3" t="s">
        <v>76</v>
      </c>
      <c r="D2599" s="3" t="s">
        <v>315</v>
      </c>
      <c r="E2599" s="3" t="s">
        <v>5218</v>
      </c>
      <c r="F2599" s="3" t="s">
        <v>324</v>
      </c>
      <c r="G2599" s="3" t="s">
        <v>327</v>
      </c>
      <c r="H2599" s="3"/>
    </row>
    <row r="2600" spans="1:8" x14ac:dyDescent="0.25">
      <c r="A2600" s="3" t="s">
        <v>2901</v>
      </c>
      <c r="B2600" s="3" t="s">
        <v>3707</v>
      </c>
      <c r="C2600" s="3" t="s">
        <v>277</v>
      </c>
      <c r="D2600" s="3" t="s">
        <v>294</v>
      </c>
      <c r="E2600" s="3" t="s">
        <v>5219</v>
      </c>
      <c r="F2600" s="3" t="s">
        <v>324</v>
      </c>
      <c r="G2600" s="3" t="s">
        <v>329</v>
      </c>
      <c r="H2600" s="3"/>
    </row>
    <row r="2601" spans="1:8" x14ac:dyDescent="0.25">
      <c r="A2601" s="3" t="s">
        <v>2902</v>
      </c>
      <c r="B2601" s="3" t="s">
        <v>5220</v>
      </c>
      <c r="C2601" s="3" t="s">
        <v>157</v>
      </c>
      <c r="D2601" s="3" t="s">
        <v>297</v>
      </c>
      <c r="E2601" s="3" t="s">
        <v>5221</v>
      </c>
      <c r="F2601" s="3" t="s">
        <v>2995</v>
      </c>
      <c r="G2601" s="3" t="s">
        <v>327</v>
      </c>
      <c r="H2601" s="3" t="s">
        <v>334</v>
      </c>
    </row>
    <row r="2602" spans="1:8" x14ac:dyDescent="0.25">
      <c r="A2602" s="3" t="s">
        <v>2903</v>
      </c>
      <c r="B2602" s="3" t="s">
        <v>3957</v>
      </c>
      <c r="C2602" s="3" t="s">
        <v>181</v>
      </c>
      <c r="D2602" s="3" t="s">
        <v>300</v>
      </c>
      <c r="E2602" s="3" t="s">
        <v>5222</v>
      </c>
      <c r="F2602" s="3" t="s">
        <v>324</v>
      </c>
      <c r="G2602" s="3" t="s">
        <v>327</v>
      </c>
      <c r="H2602" s="3" t="s">
        <v>332</v>
      </c>
    </row>
    <row r="2603" spans="1:8" x14ac:dyDescent="0.25">
      <c r="A2603" s="3" t="s">
        <v>2904</v>
      </c>
      <c r="B2603" s="3" t="s">
        <v>5223</v>
      </c>
      <c r="C2603" s="3" t="s">
        <v>213</v>
      </c>
      <c r="D2603" s="3" t="s">
        <v>297</v>
      </c>
      <c r="E2603" s="3">
        <v>540.62</v>
      </c>
      <c r="F2603" s="3" t="s">
        <v>324</v>
      </c>
      <c r="G2603" s="3" t="s">
        <v>327</v>
      </c>
      <c r="H2603" s="3" t="s">
        <v>334</v>
      </c>
    </row>
    <row r="2604" spans="1:8" x14ac:dyDescent="0.25">
      <c r="A2604" s="3" t="s">
        <v>2905</v>
      </c>
      <c r="B2604" s="3" t="s">
        <v>4004</v>
      </c>
      <c r="C2604" s="3" t="s">
        <v>251</v>
      </c>
      <c r="D2604" s="3" t="s">
        <v>294</v>
      </c>
      <c r="E2604" s="3">
        <v>342.8</v>
      </c>
      <c r="F2604" s="3" t="s">
        <v>324</v>
      </c>
      <c r="G2604" s="3" t="s">
        <v>325</v>
      </c>
      <c r="H2604" s="3"/>
    </row>
    <row r="2605" spans="1:8" x14ac:dyDescent="0.25">
      <c r="A2605" s="3" t="s">
        <v>2906</v>
      </c>
      <c r="B2605" s="3" t="s">
        <v>5161</v>
      </c>
      <c r="C2605" s="3" t="s">
        <v>265</v>
      </c>
      <c r="D2605" s="3" t="s">
        <v>312</v>
      </c>
      <c r="E2605" s="3">
        <v>320.45999999999998</v>
      </c>
      <c r="F2605" s="3" t="s">
        <v>324</v>
      </c>
      <c r="G2605" s="3" t="s">
        <v>325</v>
      </c>
      <c r="H2605" s="3" t="s">
        <v>332</v>
      </c>
    </row>
    <row r="2606" spans="1:8" x14ac:dyDescent="0.25">
      <c r="A2606" s="3" t="s">
        <v>2907</v>
      </c>
      <c r="B2606" s="3" t="s">
        <v>4713</v>
      </c>
      <c r="C2606" s="3" t="s">
        <v>88</v>
      </c>
      <c r="D2606" s="3" t="s">
        <v>297</v>
      </c>
      <c r="E2606" s="3">
        <v>1436.25</v>
      </c>
      <c r="F2606" s="3" t="s">
        <v>324</v>
      </c>
      <c r="G2606" s="3" t="s">
        <v>337</v>
      </c>
      <c r="H2606" s="3"/>
    </row>
    <row r="2607" spans="1:8" x14ac:dyDescent="0.25">
      <c r="A2607" s="3" t="s">
        <v>2908</v>
      </c>
      <c r="B2607" s="3" t="s">
        <v>4462</v>
      </c>
      <c r="C2607" s="3" t="s">
        <v>33</v>
      </c>
      <c r="D2607" s="3" t="s">
        <v>312</v>
      </c>
      <c r="E2607" s="3">
        <v>114.78</v>
      </c>
      <c r="F2607" s="3" t="s">
        <v>324</v>
      </c>
      <c r="G2607" s="3" t="s">
        <v>337</v>
      </c>
      <c r="H2607" s="3" t="s">
        <v>346</v>
      </c>
    </row>
    <row r="2608" spans="1:8" x14ac:dyDescent="0.25">
      <c r="A2608" s="3" t="s">
        <v>2909</v>
      </c>
      <c r="B2608" s="3" t="s">
        <v>3078</v>
      </c>
      <c r="C2608" s="3" t="s">
        <v>237</v>
      </c>
      <c r="D2608" s="3" t="s">
        <v>294</v>
      </c>
      <c r="E2608" s="3">
        <v>811.13</v>
      </c>
      <c r="F2608" s="3" t="s">
        <v>2973</v>
      </c>
      <c r="G2608" s="3" t="s">
        <v>337</v>
      </c>
      <c r="H2608" s="3" t="s">
        <v>346</v>
      </c>
    </row>
    <row r="2609" spans="1:8" x14ac:dyDescent="0.25">
      <c r="A2609" s="3" t="s">
        <v>2910</v>
      </c>
      <c r="B2609" s="3" t="s">
        <v>5224</v>
      </c>
      <c r="C2609" s="3" t="s">
        <v>217</v>
      </c>
      <c r="D2609" s="3" t="s">
        <v>309</v>
      </c>
      <c r="E2609" s="3">
        <v>396.77</v>
      </c>
      <c r="F2609" s="3" t="s">
        <v>324</v>
      </c>
      <c r="G2609" s="3" t="s">
        <v>327</v>
      </c>
      <c r="H2609" s="3"/>
    </row>
    <row r="2610" spans="1:8" x14ac:dyDescent="0.25">
      <c r="A2610" s="3" t="s">
        <v>2911</v>
      </c>
      <c r="B2610" s="3" t="s">
        <v>3087</v>
      </c>
      <c r="C2610" s="3" t="s">
        <v>163</v>
      </c>
      <c r="D2610" s="3" t="s">
        <v>297</v>
      </c>
      <c r="E2610" s="3">
        <v>529.1</v>
      </c>
      <c r="F2610" s="3" t="s">
        <v>324</v>
      </c>
      <c r="G2610" s="3" t="s">
        <v>327</v>
      </c>
      <c r="H2610" s="3" t="s">
        <v>332</v>
      </c>
    </row>
    <row r="2611" spans="1:8" x14ac:dyDescent="0.25">
      <c r="A2611" s="3" t="s">
        <v>2912</v>
      </c>
      <c r="B2611" s="3" t="s">
        <v>3084</v>
      </c>
      <c r="C2611" s="3" t="s">
        <v>80</v>
      </c>
      <c r="D2611" s="3" t="s">
        <v>294</v>
      </c>
      <c r="E2611" s="3">
        <v>323.52999999999997</v>
      </c>
      <c r="F2611" s="3" t="s">
        <v>2976</v>
      </c>
      <c r="G2611" s="3" t="s">
        <v>337</v>
      </c>
      <c r="H2611" s="3"/>
    </row>
    <row r="2612" spans="1:8" x14ac:dyDescent="0.25">
      <c r="A2612" s="3" t="s">
        <v>2913</v>
      </c>
      <c r="B2612" s="3" t="s">
        <v>4099</v>
      </c>
      <c r="C2612" s="3" t="s">
        <v>51</v>
      </c>
      <c r="D2612" s="3" t="s">
        <v>294</v>
      </c>
      <c r="E2612" s="3">
        <v>410.71</v>
      </c>
      <c r="F2612" s="3" t="s">
        <v>324</v>
      </c>
      <c r="G2612" s="3" t="s">
        <v>325</v>
      </c>
      <c r="H2612" s="3"/>
    </row>
    <row r="2613" spans="1:8" x14ac:dyDescent="0.25">
      <c r="A2613" s="3" t="s">
        <v>2914</v>
      </c>
      <c r="B2613" s="3" t="s">
        <v>3921</v>
      </c>
      <c r="C2613" s="3" t="s">
        <v>175</v>
      </c>
      <c r="D2613" s="3" t="s">
        <v>294</v>
      </c>
      <c r="E2613" s="3" t="s">
        <v>5225</v>
      </c>
      <c r="F2613" s="3" t="s">
        <v>2988</v>
      </c>
      <c r="G2613" s="3" t="s">
        <v>325</v>
      </c>
      <c r="H2613" s="3"/>
    </row>
    <row r="2614" spans="1:8" x14ac:dyDescent="0.25">
      <c r="A2614" s="3" t="s">
        <v>2915</v>
      </c>
      <c r="B2614" s="3" t="s">
        <v>4600</v>
      </c>
      <c r="C2614" s="3" t="s">
        <v>247</v>
      </c>
      <c r="D2614" s="3" t="s">
        <v>294</v>
      </c>
      <c r="E2614" s="3">
        <v>212.17</v>
      </c>
      <c r="F2614" s="3" t="s">
        <v>2988</v>
      </c>
      <c r="G2614" s="3" t="s">
        <v>327</v>
      </c>
      <c r="H2614" s="3" t="s">
        <v>334</v>
      </c>
    </row>
    <row r="2615" spans="1:8" x14ac:dyDescent="0.25">
      <c r="A2615" s="3" t="s">
        <v>2916</v>
      </c>
      <c r="B2615" s="3" t="s">
        <v>4701</v>
      </c>
      <c r="C2615" s="3" t="s">
        <v>239</v>
      </c>
      <c r="D2615" s="3" t="s">
        <v>294</v>
      </c>
      <c r="E2615" s="3">
        <v>-265.51</v>
      </c>
      <c r="F2615" s="3" t="s">
        <v>349</v>
      </c>
      <c r="G2615" s="3" t="s">
        <v>327</v>
      </c>
      <c r="H2615" s="3"/>
    </row>
    <row r="2616" spans="1:8" x14ac:dyDescent="0.25">
      <c r="A2616" s="3" t="s">
        <v>2917</v>
      </c>
      <c r="B2616" s="3" t="s">
        <v>3992</v>
      </c>
      <c r="C2616" s="3" t="s">
        <v>173</v>
      </c>
      <c r="D2616" s="3" t="s">
        <v>294</v>
      </c>
      <c r="E2616" s="3">
        <v>337.2</v>
      </c>
      <c r="F2616" s="3" t="s">
        <v>381</v>
      </c>
      <c r="G2616" s="3" t="s">
        <v>327</v>
      </c>
      <c r="H2616" s="3" t="s">
        <v>332</v>
      </c>
    </row>
    <row r="2617" spans="1:8" x14ac:dyDescent="0.25">
      <c r="A2617" s="3" t="s">
        <v>2918</v>
      </c>
      <c r="B2617" s="3" t="s">
        <v>5204</v>
      </c>
      <c r="C2617" s="3" t="s">
        <v>137</v>
      </c>
      <c r="D2617" s="3" t="s">
        <v>294</v>
      </c>
      <c r="E2617" s="3">
        <v>612.91</v>
      </c>
      <c r="F2617" s="3" t="s">
        <v>2997</v>
      </c>
      <c r="G2617" s="3" t="s">
        <v>325</v>
      </c>
      <c r="H2617" s="3" t="s">
        <v>334</v>
      </c>
    </row>
    <row r="2618" spans="1:8" x14ac:dyDescent="0.25">
      <c r="A2618" s="3" t="s">
        <v>2919</v>
      </c>
      <c r="B2618" s="3" t="s">
        <v>4139</v>
      </c>
      <c r="C2618" s="3" t="s">
        <v>219</v>
      </c>
      <c r="D2618" s="3" t="s">
        <v>294</v>
      </c>
      <c r="E2618" s="3">
        <v>686.65</v>
      </c>
      <c r="F2618" s="3" t="s">
        <v>324</v>
      </c>
      <c r="G2618" s="3" t="s">
        <v>325</v>
      </c>
      <c r="H2618" s="3" t="s">
        <v>334</v>
      </c>
    </row>
    <row r="2619" spans="1:8" x14ac:dyDescent="0.25">
      <c r="A2619" s="3" t="s">
        <v>2920</v>
      </c>
      <c r="B2619" s="3" t="s">
        <v>4492</v>
      </c>
      <c r="C2619" s="3" t="s">
        <v>117</v>
      </c>
      <c r="D2619" s="3" t="s">
        <v>300</v>
      </c>
      <c r="E2619" s="3" t="s">
        <v>5226</v>
      </c>
      <c r="F2619" s="3" t="s">
        <v>2995</v>
      </c>
      <c r="G2619" s="3" t="s">
        <v>325</v>
      </c>
      <c r="H2619" s="3"/>
    </row>
    <row r="2620" spans="1:8" x14ac:dyDescent="0.25">
      <c r="A2620" s="3" t="s">
        <v>2921</v>
      </c>
      <c r="B2620" s="3" t="s">
        <v>5116</v>
      </c>
      <c r="C2620" s="3" t="s">
        <v>239</v>
      </c>
      <c r="D2620" s="3" t="s">
        <v>312</v>
      </c>
      <c r="E2620" s="3">
        <v>70.45</v>
      </c>
      <c r="F2620" s="3" t="s">
        <v>324</v>
      </c>
      <c r="G2620" s="3" t="s">
        <v>325</v>
      </c>
      <c r="H2620" s="3"/>
    </row>
    <row r="2621" spans="1:8" x14ac:dyDescent="0.25">
      <c r="A2621" s="3" t="s">
        <v>2922</v>
      </c>
      <c r="B2621" s="3" t="s">
        <v>3591</v>
      </c>
      <c r="C2621" s="3" t="s">
        <v>66</v>
      </c>
      <c r="D2621" s="3" t="s">
        <v>306</v>
      </c>
      <c r="E2621" s="3" t="s">
        <v>5227</v>
      </c>
      <c r="F2621" s="3" t="s">
        <v>2997</v>
      </c>
      <c r="G2621" s="3" t="s">
        <v>327</v>
      </c>
      <c r="H2621" s="3" t="s">
        <v>332</v>
      </c>
    </row>
    <row r="2622" spans="1:8" x14ac:dyDescent="0.25">
      <c r="A2622" s="3" t="s">
        <v>2923</v>
      </c>
      <c r="B2622" s="3" t="s">
        <v>3431</v>
      </c>
      <c r="C2622" s="3" t="s">
        <v>47</v>
      </c>
      <c r="D2622" s="3" t="s">
        <v>294</v>
      </c>
      <c r="E2622" s="3" t="s">
        <v>5228</v>
      </c>
      <c r="F2622" s="3" t="s">
        <v>2973</v>
      </c>
      <c r="G2622" s="3"/>
      <c r="H2622" s="3"/>
    </row>
    <row r="2623" spans="1:8" x14ac:dyDescent="0.25">
      <c r="A2623" s="3" t="s">
        <v>2924</v>
      </c>
      <c r="B2623" s="3" t="s">
        <v>3243</v>
      </c>
      <c r="C2623" s="3" t="s">
        <v>119</v>
      </c>
      <c r="D2623" s="3" t="s">
        <v>294</v>
      </c>
      <c r="E2623" s="3">
        <v>188.55</v>
      </c>
      <c r="F2623" s="3" t="s">
        <v>381</v>
      </c>
      <c r="G2623" s="3" t="s">
        <v>325</v>
      </c>
      <c r="H2623" s="3" t="s">
        <v>334</v>
      </c>
    </row>
    <row r="2624" spans="1:8" x14ac:dyDescent="0.25">
      <c r="A2624" s="3" t="s">
        <v>2925</v>
      </c>
      <c r="B2624" s="3" t="s">
        <v>3963</v>
      </c>
      <c r="C2624" s="3" t="s">
        <v>273</v>
      </c>
      <c r="D2624" s="3" t="s">
        <v>300</v>
      </c>
      <c r="E2624" s="3">
        <v>587.24</v>
      </c>
      <c r="F2624" s="3" t="s">
        <v>331</v>
      </c>
      <c r="G2624" s="3" t="s">
        <v>325</v>
      </c>
      <c r="H2624" s="3"/>
    </row>
    <row r="2625" spans="1:8" x14ac:dyDescent="0.25">
      <c r="A2625" s="3" t="s">
        <v>2926</v>
      </c>
      <c r="B2625" s="3" t="s">
        <v>5229</v>
      </c>
      <c r="C2625" s="3" t="s">
        <v>245</v>
      </c>
      <c r="D2625" s="3" t="s">
        <v>294</v>
      </c>
      <c r="E2625" s="3" t="s">
        <v>5230</v>
      </c>
      <c r="F2625" s="3" t="s">
        <v>324</v>
      </c>
      <c r="G2625" s="3" t="s">
        <v>337</v>
      </c>
      <c r="H2625" s="3"/>
    </row>
    <row r="2626" spans="1:8" x14ac:dyDescent="0.25">
      <c r="A2626" s="3" t="s">
        <v>2927</v>
      </c>
      <c r="B2626" s="3" t="s">
        <v>3813</v>
      </c>
      <c r="C2626" s="3" t="s">
        <v>153</v>
      </c>
      <c r="D2626" s="3" t="s">
        <v>294</v>
      </c>
      <c r="E2626" s="3">
        <v>-114.14</v>
      </c>
      <c r="F2626" s="3" t="s">
        <v>349</v>
      </c>
      <c r="G2626" s="3" t="s">
        <v>337</v>
      </c>
      <c r="H2626" s="3" t="s">
        <v>334</v>
      </c>
    </row>
    <row r="2627" spans="1:8" x14ac:dyDescent="0.25">
      <c r="A2627" s="3" t="s">
        <v>2928</v>
      </c>
      <c r="B2627" s="3" t="s">
        <v>5231</v>
      </c>
      <c r="C2627" s="3" t="s">
        <v>215</v>
      </c>
      <c r="D2627" s="3" t="s">
        <v>303</v>
      </c>
      <c r="E2627" s="3" t="s">
        <v>5232</v>
      </c>
      <c r="F2627" s="3" t="s">
        <v>324</v>
      </c>
      <c r="G2627" s="3" t="s">
        <v>325</v>
      </c>
      <c r="H2627" s="3" t="s">
        <v>334</v>
      </c>
    </row>
    <row r="2628" spans="1:8" x14ac:dyDescent="0.25">
      <c r="A2628" s="3" t="s">
        <v>2929</v>
      </c>
      <c r="B2628" s="3" t="s">
        <v>5233</v>
      </c>
      <c r="C2628" s="3" t="s">
        <v>233</v>
      </c>
      <c r="D2628" s="3" t="s">
        <v>294</v>
      </c>
      <c r="E2628" s="3">
        <v>605.14</v>
      </c>
      <c r="F2628" s="3" t="s">
        <v>2988</v>
      </c>
      <c r="G2628" s="3" t="s">
        <v>329</v>
      </c>
      <c r="H2628" s="3"/>
    </row>
    <row r="2629" spans="1:8" x14ac:dyDescent="0.25">
      <c r="A2629" s="3" t="s">
        <v>2930</v>
      </c>
      <c r="B2629" s="3" t="s">
        <v>3611</v>
      </c>
      <c r="C2629" s="3" t="s">
        <v>227</v>
      </c>
      <c r="D2629" s="3" t="s">
        <v>294</v>
      </c>
      <c r="E2629" s="3">
        <v>-220.1</v>
      </c>
      <c r="F2629" s="3" t="s">
        <v>3017</v>
      </c>
      <c r="G2629" s="3" t="s">
        <v>337</v>
      </c>
      <c r="H2629" s="3" t="s">
        <v>332</v>
      </c>
    </row>
    <row r="2630" spans="1:8" x14ac:dyDescent="0.25">
      <c r="A2630" s="3" t="s">
        <v>2931</v>
      </c>
      <c r="B2630" s="3" t="s">
        <v>3523</v>
      </c>
      <c r="C2630" s="3" t="s">
        <v>396</v>
      </c>
      <c r="D2630" s="3" t="s">
        <v>294</v>
      </c>
      <c r="E2630" s="3">
        <v>236.58</v>
      </c>
      <c r="F2630" s="3" t="s">
        <v>2988</v>
      </c>
      <c r="G2630" s="3" t="s">
        <v>337</v>
      </c>
      <c r="H2630" s="3"/>
    </row>
    <row r="2631" spans="1:8" x14ac:dyDescent="0.25">
      <c r="A2631" s="3" t="s">
        <v>2932</v>
      </c>
      <c r="B2631" s="3" t="s">
        <v>3595</v>
      </c>
      <c r="C2631" s="3" t="s">
        <v>173</v>
      </c>
      <c r="D2631" s="3" t="s">
        <v>315</v>
      </c>
      <c r="E2631" s="3">
        <v>604.84</v>
      </c>
      <c r="F2631" s="3" t="s">
        <v>2973</v>
      </c>
      <c r="G2631" s="3" t="s">
        <v>325</v>
      </c>
      <c r="H2631" s="3" t="s">
        <v>346</v>
      </c>
    </row>
    <row r="2632" spans="1:8" x14ac:dyDescent="0.25">
      <c r="A2632" s="3" t="s">
        <v>2933</v>
      </c>
      <c r="B2632" s="3" t="s">
        <v>4891</v>
      </c>
      <c r="C2632" s="3" t="s">
        <v>68</v>
      </c>
      <c r="D2632" s="3" t="s">
        <v>294</v>
      </c>
      <c r="E2632" s="3">
        <v>236.72</v>
      </c>
      <c r="F2632" s="3" t="s">
        <v>2995</v>
      </c>
      <c r="G2632" s="3" t="s">
        <v>325</v>
      </c>
      <c r="H2632" s="3" t="s">
        <v>332</v>
      </c>
    </row>
    <row r="2633" spans="1:8" x14ac:dyDescent="0.25">
      <c r="A2633" s="3" t="s">
        <v>2934</v>
      </c>
      <c r="B2633" s="3" t="s">
        <v>5234</v>
      </c>
      <c r="C2633" s="3" t="s">
        <v>239</v>
      </c>
      <c r="D2633" s="3" t="s">
        <v>294</v>
      </c>
      <c r="E2633" s="3">
        <v>257.67</v>
      </c>
      <c r="F2633" s="3" t="s">
        <v>381</v>
      </c>
      <c r="G2633" s="3" t="s">
        <v>337</v>
      </c>
      <c r="H2633" s="3" t="s">
        <v>332</v>
      </c>
    </row>
    <row r="2634" spans="1:8" x14ac:dyDescent="0.25">
      <c r="A2634" s="3" t="s">
        <v>2935</v>
      </c>
      <c r="B2634" s="3" t="s">
        <v>3954</v>
      </c>
      <c r="C2634" s="3" t="s">
        <v>183</v>
      </c>
      <c r="D2634" s="3" t="s">
        <v>303</v>
      </c>
      <c r="E2634" s="3" t="s">
        <v>5235</v>
      </c>
      <c r="F2634" s="3" t="s">
        <v>2973</v>
      </c>
      <c r="G2634" s="3" t="s">
        <v>327</v>
      </c>
      <c r="H2634" s="3"/>
    </row>
    <row r="2635" spans="1:8" x14ac:dyDescent="0.25">
      <c r="A2635" s="3" t="s">
        <v>2936</v>
      </c>
      <c r="B2635" s="3" t="s">
        <v>3257</v>
      </c>
      <c r="C2635" s="3" t="s">
        <v>205</v>
      </c>
      <c r="D2635" s="3" t="s">
        <v>297</v>
      </c>
      <c r="E2635" s="3">
        <v>230.09</v>
      </c>
      <c r="F2635" s="3" t="s">
        <v>2976</v>
      </c>
      <c r="G2635" s="3" t="s">
        <v>337</v>
      </c>
      <c r="H2635" s="3"/>
    </row>
    <row r="2636" spans="1:8" x14ac:dyDescent="0.25">
      <c r="A2636" s="3" t="s">
        <v>2937</v>
      </c>
      <c r="B2636" s="3" t="s">
        <v>4268</v>
      </c>
      <c r="C2636" s="3" t="s">
        <v>33</v>
      </c>
      <c r="D2636" s="3" t="s">
        <v>294</v>
      </c>
      <c r="E2636" s="3" t="s">
        <v>5236</v>
      </c>
      <c r="F2636" s="3" t="s">
        <v>324</v>
      </c>
      <c r="G2636" s="3" t="s">
        <v>327</v>
      </c>
      <c r="H2636" s="3" t="s">
        <v>332</v>
      </c>
    </row>
    <row r="2637" spans="1:8" x14ac:dyDescent="0.25">
      <c r="A2637" s="3" t="s">
        <v>2938</v>
      </c>
      <c r="B2637" s="3" t="s">
        <v>3858</v>
      </c>
      <c r="C2637" s="3" t="s">
        <v>275</v>
      </c>
      <c r="D2637" s="3" t="s">
        <v>309</v>
      </c>
      <c r="E2637" s="3">
        <v>146.78</v>
      </c>
      <c r="F2637" s="3" t="s">
        <v>324</v>
      </c>
      <c r="G2637" s="3" t="s">
        <v>325</v>
      </c>
      <c r="H2637" s="3" t="s">
        <v>332</v>
      </c>
    </row>
    <row r="2638" spans="1:8" x14ac:dyDescent="0.25">
      <c r="A2638" s="3" t="s">
        <v>1111</v>
      </c>
      <c r="B2638" s="3" t="s">
        <v>3485</v>
      </c>
      <c r="C2638" s="3" t="s">
        <v>80</v>
      </c>
      <c r="D2638" s="3" t="s">
        <v>306</v>
      </c>
      <c r="E2638" s="3">
        <v>224.5</v>
      </c>
      <c r="F2638" s="3" t="s">
        <v>2976</v>
      </c>
      <c r="G2638" s="3" t="s">
        <v>337</v>
      </c>
      <c r="H2638" s="3"/>
    </row>
    <row r="2639" spans="1:8" x14ac:dyDescent="0.25">
      <c r="A2639" s="3" t="s">
        <v>2939</v>
      </c>
      <c r="B2639" s="3" t="s">
        <v>4471</v>
      </c>
      <c r="C2639" s="3" t="s">
        <v>113</v>
      </c>
      <c r="D2639" s="3" t="s">
        <v>294</v>
      </c>
      <c r="E2639" s="3">
        <v>215.45</v>
      </c>
      <c r="F2639" s="3" t="s">
        <v>2988</v>
      </c>
      <c r="G2639" s="3" t="s">
        <v>327</v>
      </c>
      <c r="H2639" s="3"/>
    </row>
    <row r="2640" spans="1:8" x14ac:dyDescent="0.25">
      <c r="A2640" s="3" t="s">
        <v>2940</v>
      </c>
      <c r="B2640" s="3" t="s">
        <v>3659</v>
      </c>
      <c r="C2640" s="3" t="s">
        <v>143</v>
      </c>
      <c r="D2640" s="3" t="s">
        <v>300</v>
      </c>
      <c r="E2640" s="3" t="s">
        <v>5237</v>
      </c>
      <c r="F2640" s="3" t="s">
        <v>2976</v>
      </c>
      <c r="G2640" s="3" t="s">
        <v>325</v>
      </c>
      <c r="H2640" s="3"/>
    </row>
    <row r="2641" spans="1:8" x14ac:dyDescent="0.25">
      <c r="A2641" s="3" t="s">
        <v>2941</v>
      </c>
      <c r="B2641" s="3" t="s">
        <v>4888</v>
      </c>
      <c r="C2641" s="3" t="s">
        <v>121</v>
      </c>
      <c r="D2641" s="3" t="s">
        <v>294</v>
      </c>
      <c r="E2641" s="3">
        <v>992.1</v>
      </c>
      <c r="F2641" s="3" t="s">
        <v>324</v>
      </c>
      <c r="G2641" s="3" t="s">
        <v>329</v>
      </c>
      <c r="H2641" s="3" t="s">
        <v>334</v>
      </c>
    </row>
    <row r="2642" spans="1:8" x14ac:dyDescent="0.25">
      <c r="A2642" s="3" t="s">
        <v>2942</v>
      </c>
      <c r="B2642" s="3" t="s">
        <v>3511</v>
      </c>
      <c r="C2642" s="3" t="s">
        <v>51</v>
      </c>
      <c r="D2642" s="3" t="s">
        <v>306</v>
      </c>
      <c r="E2642" s="3" t="s">
        <v>5238</v>
      </c>
      <c r="F2642" s="3" t="s">
        <v>3112</v>
      </c>
      <c r="G2642" s="3" t="s">
        <v>329</v>
      </c>
      <c r="H2642" s="3" t="s">
        <v>334</v>
      </c>
    </row>
    <row r="2643" spans="1:8" x14ac:dyDescent="0.25">
      <c r="A2643" s="3" t="s">
        <v>2943</v>
      </c>
      <c r="B2643" s="3" t="s">
        <v>3547</v>
      </c>
      <c r="C2643" s="3" t="s">
        <v>40</v>
      </c>
      <c r="D2643" s="3" t="s">
        <v>306</v>
      </c>
      <c r="E2643" s="3">
        <v>580.30999999999995</v>
      </c>
      <c r="F2643" s="3" t="s">
        <v>2988</v>
      </c>
      <c r="G2643" s="3" t="s">
        <v>325</v>
      </c>
      <c r="H2643" s="3" t="s">
        <v>346</v>
      </c>
    </row>
    <row r="2644" spans="1:8" x14ac:dyDescent="0.25">
      <c r="A2644" s="3" t="s">
        <v>2944</v>
      </c>
      <c r="B2644" s="3" t="s">
        <v>3548</v>
      </c>
      <c r="C2644" s="3" t="s">
        <v>86</v>
      </c>
      <c r="D2644" s="3" t="s">
        <v>294</v>
      </c>
      <c r="E2644" s="3">
        <v>541.83000000000004</v>
      </c>
      <c r="F2644" s="3" t="s">
        <v>324</v>
      </c>
      <c r="G2644" s="3" t="s">
        <v>327</v>
      </c>
      <c r="H2644" s="3"/>
    </row>
    <row r="2645" spans="1:8" x14ac:dyDescent="0.25">
      <c r="A2645" s="3" t="s">
        <v>2945</v>
      </c>
      <c r="B2645" s="3" t="s">
        <v>5239</v>
      </c>
      <c r="C2645" s="3" t="s">
        <v>123</v>
      </c>
      <c r="D2645" s="3" t="s">
        <v>294</v>
      </c>
      <c r="E2645" s="3">
        <v>83.6</v>
      </c>
      <c r="F2645" s="3" t="s">
        <v>324</v>
      </c>
      <c r="G2645" s="3" t="s">
        <v>325</v>
      </c>
      <c r="H2645" s="3" t="s">
        <v>332</v>
      </c>
    </row>
    <row r="2646" spans="1:8" x14ac:dyDescent="0.25">
      <c r="A2646" s="3" t="s">
        <v>2946</v>
      </c>
      <c r="B2646" s="3" t="s">
        <v>3643</v>
      </c>
      <c r="C2646" s="3" t="s">
        <v>121</v>
      </c>
      <c r="D2646" s="3" t="s">
        <v>303</v>
      </c>
      <c r="E2646" s="3">
        <v>184.37</v>
      </c>
      <c r="F2646" s="3" t="s">
        <v>2976</v>
      </c>
      <c r="G2646" s="3" t="s">
        <v>337</v>
      </c>
      <c r="H2646" s="3"/>
    </row>
    <row r="2647" spans="1:8" x14ac:dyDescent="0.25">
      <c r="A2647" s="3" t="s">
        <v>2947</v>
      </c>
      <c r="B2647" s="3" t="s">
        <v>5240</v>
      </c>
      <c r="C2647" s="3" t="s">
        <v>127</v>
      </c>
      <c r="D2647" s="3" t="s">
        <v>315</v>
      </c>
      <c r="E2647" s="3" t="s">
        <v>5241</v>
      </c>
      <c r="F2647" s="3" t="s">
        <v>2976</v>
      </c>
      <c r="G2647" s="3" t="s">
        <v>337</v>
      </c>
      <c r="H2647" s="3"/>
    </row>
    <row r="2648" spans="1:8" x14ac:dyDescent="0.25">
      <c r="A2648" s="3" t="s">
        <v>2948</v>
      </c>
      <c r="B2648" s="3" t="s">
        <v>4227</v>
      </c>
      <c r="C2648" s="3" t="s">
        <v>231</v>
      </c>
      <c r="D2648" s="3" t="s">
        <v>312</v>
      </c>
      <c r="E2648" s="3">
        <v>452.78</v>
      </c>
      <c r="F2648" s="3" t="s">
        <v>2973</v>
      </c>
      <c r="G2648" s="3" t="s">
        <v>327</v>
      </c>
      <c r="H2648" s="3"/>
    </row>
    <row r="2649" spans="1:8" x14ac:dyDescent="0.25">
      <c r="A2649" s="3" t="s">
        <v>2949</v>
      </c>
      <c r="B2649" s="3" t="s">
        <v>3699</v>
      </c>
      <c r="C2649" s="3" t="s">
        <v>58</v>
      </c>
      <c r="D2649" s="3" t="s">
        <v>297</v>
      </c>
      <c r="E2649" s="3" t="s">
        <v>5242</v>
      </c>
      <c r="F2649" s="3" t="s">
        <v>381</v>
      </c>
      <c r="G2649" s="3" t="s">
        <v>327</v>
      </c>
      <c r="H2649" s="3" t="s">
        <v>332</v>
      </c>
    </row>
    <row r="2650" spans="1:8" x14ac:dyDescent="0.25">
      <c r="A2650" s="3" t="s">
        <v>2950</v>
      </c>
      <c r="B2650" s="3" t="s">
        <v>4152</v>
      </c>
      <c r="C2650" s="3" t="s">
        <v>239</v>
      </c>
      <c r="D2650" s="3" t="s">
        <v>294</v>
      </c>
      <c r="E2650" s="3">
        <v>334.2</v>
      </c>
      <c r="F2650" s="3" t="s">
        <v>2995</v>
      </c>
      <c r="G2650" s="3" t="s">
        <v>337</v>
      </c>
      <c r="H2650" s="3"/>
    </row>
    <row r="2651" spans="1:8" x14ac:dyDescent="0.25">
      <c r="A2651" s="3" t="s">
        <v>2951</v>
      </c>
      <c r="B2651" s="3" t="s">
        <v>3309</v>
      </c>
      <c r="C2651" s="3" t="s">
        <v>169</v>
      </c>
      <c r="D2651" s="3" t="s">
        <v>303</v>
      </c>
      <c r="E2651" s="3">
        <v>587.20000000000005</v>
      </c>
      <c r="F2651" s="3" t="s">
        <v>2988</v>
      </c>
      <c r="G2651" s="3" t="s">
        <v>327</v>
      </c>
      <c r="H2651" s="3" t="s">
        <v>346</v>
      </c>
    </row>
    <row r="2652" spans="1:8" x14ac:dyDescent="0.25">
      <c r="A2652" s="3" t="s">
        <v>2952</v>
      </c>
      <c r="B2652" s="3" t="s">
        <v>5243</v>
      </c>
      <c r="C2652" s="3" t="s">
        <v>33</v>
      </c>
      <c r="D2652" s="3" t="s">
        <v>294</v>
      </c>
      <c r="E2652" s="3">
        <v>217.33</v>
      </c>
      <c r="F2652" s="3" t="s">
        <v>324</v>
      </c>
      <c r="G2652" s="3" t="s">
        <v>327</v>
      </c>
      <c r="H2652" s="3" t="s">
        <v>332</v>
      </c>
    </row>
    <row r="2653" spans="1:8" x14ac:dyDescent="0.25">
      <c r="A2653" s="3" t="s">
        <v>1273</v>
      </c>
      <c r="B2653" s="3" t="s">
        <v>4035</v>
      </c>
      <c r="C2653" s="3" t="s">
        <v>111</v>
      </c>
      <c r="D2653" s="3" t="s">
        <v>294</v>
      </c>
      <c r="E2653" s="3">
        <v>180.17</v>
      </c>
      <c r="F2653" s="3" t="s">
        <v>324</v>
      </c>
      <c r="G2653" s="3" t="s">
        <v>325</v>
      </c>
      <c r="H2653" s="3" t="s">
        <v>334</v>
      </c>
    </row>
    <row r="2654" spans="1:8" x14ac:dyDescent="0.25">
      <c r="A2654" s="3" t="s">
        <v>2953</v>
      </c>
      <c r="B2654" s="3" t="s">
        <v>5244</v>
      </c>
      <c r="C2654" s="3" t="s">
        <v>55</v>
      </c>
      <c r="D2654" s="3" t="s">
        <v>294</v>
      </c>
      <c r="E2654" s="3">
        <v>222.73</v>
      </c>
      <c r="F2654" s="3" t="s">
        <v>2995</v>
      </c>
      <c r="G2654" s="3" t="s">
        <v>325</v>
      </c>
      <c r="H2654" s="3" t="s">
        <v>346</v>
      </c>
    </row>
    <row r="2655" spans="1:8" x14ac:dyDescent="0.25">
      <c r="A2655" s="3" t="s">
        <v>2954</v>
      </c>
      <c r="B2655" s="3" t="s">
        <v>3787</v>
      </c>
      <c r="C2655" s="3" t="s">
        <v>70</v>
      </c>
      <c r="D2655" s="3" t="s">
        <v>300</v>
      </c>
      <c r="E2655" s="3">
        <v>674.7</v>
      </c>
      <c r="F2655" s="3" t="s">
        <v>324</v>
      </c>
      <c r="G2655" s="3"/>
      <c r="H2655" s="3" t="s">
        <v>346</v>
      </c>
    </row>
    <row r="2656" spans="1:8" x14ac:dyDescent="0.25">
      <c r="A2656" s="3" t="s">
        <v>2955</v>
      </c>
      <c r="B2656" s="3" t="s">
        <v>4763</v>
      </c>
      <c r="C2656" s="3" t="s">
        <v>117</v>
      </c>
      <c r="D2656" s="3" t="s">
        <v>309</v>
      </c>
      <c r="E2656" s="3" t="s">
        <v>5245</v>
      </c>
      <c r="F2656" s="3" t="s">
        <v>324</v>
      </c>
      <c r="G2656" s="3" t="s">
        <v>327</v>
      </c>
      <c r="H2656" s="3" t="s">
        <v>332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917F6-DAA9-46C2-85CF-516C3C75ADCC}">
  <sheetPr codeName="Sheet1"/>
  <dimension ref="A1:E9"/>
  <sheetViews>
    <sheetView workbookViewId="0">
      <pane ySplit="1" topLeftCell="A2" activePane="bottomLeft" state="frozen"/>
      <selection pane="bottomLeft"/>
    </sheetView>
  </sheetViews>
  <sheetFormatPr defaultRowHeight="15" x14ac:dyDescent="0.25"/>
  <cols>
    <col min="1" max="1" width="11" customWidth="1"/>
    <col min="2" max="2" width="24" customWidth="1"/>
    <col min="3" max="3" width="14" customWidth="1"/>
    <col min="4" max="4" width="16" customWidth="1"/>
    <col min="5" max="5" width="19" customWidth="1"/>
  </cols>
  <sheetData>
    <row r="1" spans="1:5" x14ac:dyDescent="0.25">
      <c r="A1" s="2" t="s">
        <v>289</v>
      </c>
      <c r="B1" s="2" t="s">
        <v>290</v>
      </c>
      <c r="C1" s="2" t="s">
        <v>291</v>
      </c>
      <c r="D1" s="2" t="s">
        <v>292</v>
      </c>
      <c r="E1" s="2" t="s">
        <v>293</v>
      </c>
    </row>
    <row r="2" spans="1:5" x14ac:dyDescent="0.25">
      <c r="A2" s="3" t="s">
        <v>294</v>
      </c>
      <c r="B2" s="3" t="s">
        <v>295</v>
      </c>
      <c r="C2" s="3" t="s">
        <v>296</v>
      </c>
      <c r="D2" s="3">
        <v>0</v>
      </c>
      <c r="E2" s="3">
        <v>2.9000000000000001E-2</v>
      </c>
    </row>
    <row r="3" spans="1:5" x14ac:dyDescent="0.25">
      <c r="A3" s="3" t="s">
        <v>297</v>
      </c>
      <c r="B3" s="3" t="s">
        <v>298</v>
      </c>
      <c r="C3" s="3" t="s">
        <v>299</v>
      </c>
      <c r="D3" s="3">
        <v>199</v>
      </c>
      <c r="E3" s="3">
        <v>0</v>
      </c>
    </row>
    <row r="4" spans="1:5" x14ac:dyDescent="0.25">
      <c r="A4" s="3" t="s">
        <v>300</v>
      </c>
      <c r="B4" s="3" t="s">
        <v>301</v>
      </c>
      <c r="C4" s="3" t="s">
        <v>302</v>
      </c>
      <c r="D4" s="3">
        <v>49</v>
      </c>
      <c r="E4" s="3">
        <v>5.0000000000000001E-3</v>
      </c>
    </row>
    <row r="5" spans="1:5" x14ac:dyDescent="0.25">
      <c r="A5" s="3" t="s">
        <v>303</v>
      </c>
      <c r="B5" s="3" t="s">
        <v>304</v>
      </c>
      <c r="C5" s="3" t="s">
        <v>305</v>
      </c>
      <c r="D5" s="3">
        <v>99</v>
      </c>
      <c r="E5" s="3">
        <v>1E-3</v>
      </c>
    </row>
    <row r="6" spans="1:5" x14ac:dyDescent="0.25">
      <c r="A6" s="3" t="s">
        <v>306</v>
      </c>
      <c r="B6" s="3" t="s">
        <v>307</v>
      </c>
      <c r="C6" s="3" t="s">
        <v>308</v>
      </c>
      <c r="D6" s="3">
        <v>79</v>
      </c>
      <c r="E6" s="3">
        <v>0</v>
      </c>
    </row>
    <row r="7" spans="1:5" x14ac:dyDescent="0.25">
      <c r="A7" s="3" t="s">
        <v>309</v>
      </c>
      <c r="B7" s="3" t="s">
        <v>310</v>
      </c>
      <c r="C7" s="3" t="s">
        <v>311</v>
      </c>
      <c r="D7" s="3">
        <v>149</v>
      </c>
      <c r="E7" s="3">
        <v>0</v>
      </c>
    </row>
    <row r="8" spans="1:5" x14ac:dyDescent="0.25">
      <c r="A8" s="3" t="s">
        <v>312</v>
      </c>
      <c r="B8" s="3" t="s">
        <v>313</v>
      </c>
      <c r="C8" s="3" t="s">
        <v>314</v>
      </c>
      <c r="D8" s="3">
        <v>39</v>
      </c>
      <c r="E8" s="3">
        <v>0</v>
      </c>
    </row>
    <row r="9" spans="1:5" x14ac:dyDescent="0.25">
      <c r="A9" s="3" t="s">
        <v>315</v>
      </c>
      <c r="B9" s="3" t="s">
        <v>316</v>
      </c>
      <c r="C9" s="3" t="s">
        <v>305</v>
      </c>
      <c r="D9" s="3">
        <v>129</v>
      </c>
      <c r="E9" s="3">
        <v>2.5000000000000001E-3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339D0-B524-4A40-A872-AD83869CA97F}">
  <dimension ref="A1:C13"/>
  <sheetViews>
    <sheetView topLeftCell="H1" workbookViewId="0">
      <pane ySplit="1" topLeftCell="A2" activePane="bottomLeft" state="frozen"/>
      <selection pane="bottomLeft"/>
    </sheetView>
  </sheetViews>
  <sheetFormatPr defaultRowHeight="15" x14ac:dyDescent="0.25"/>
  <cols>
    <col min="1" max="2" width="10" customWidth="1"/>
    <col min="3" max="3" width="15" customWidth="1"/>
  </cols>
  <sheetData>
    <row r="1" spans="1:3" x14ac:dyDescent="0.25">
      <c r="A1" s="2" t="s">
        <v>279</v>
      </c>
      <c r="B1" s="2" t="s">
        <v>280</v>
      </c>
      <c r="C1" s="2" t="s">
        <v>281</v>
      </c>
    </row>
    <row r="2" spans="1:3" x14ac:dyDescent="0.25">
      <c r="A2" s="3" t="s">
        <v>282</v>
      </c>
      <c r="B2" s="3" t="s">
        <v>283</v>
      </c>
      <c r="C2" s="3">
        <v>247000</v>
      </c>
    </row>
    <row r="3" spans="1:3" x14ac:dyDescent="0.25">
      <c r="A3" s="3" t="s">
        <v>282</v>
      </c>
      <c r="B3" s="3" t="s">
        <v>284</v>
      </c>
      <c r="C3" s="3">
        <v>260000</v>
      </c>
    </row>
    <row r="4" spans="1:3" x14ac:dyDescent="0.25">
      <c r="A4" s="3" t="s">
        <v>282</v>
      </c>
      <c r="B4" s="3" t="s">
        <v>285</v>
      </c>
      <c r="C4" s="3">
        <v>273000</v>
      </c>
    </row>
    <row r="5" spans="1:3" x14ac:dyDescent="0.25">
      <c r="A5" s="3" t="s">
        <v>282</v>
      </c>
      <c r="B5" s="3" t="s">
        <v>286</v>
      </c>
      <c r="C5" s="3">
        <v>299000</v>
      </c>
    </row>
    <row r="6" spans="1:3" x14ac:dyDescent="0.25">
      <c r="A6" s="3" t="s">
        <v>287</v>
      </c>
      <c r="B6" s="3" t="s">
        <v>283</v>
      </c>
      <c r="C6" s="3">
        <v>133000</v>
      </c>
    </row>
    <row r="7" spans="1:3" x14ac:dyDescent="0.25">
      <c r="A7" s="3" t="s">
        <v>287</v>
      </c>
      <c r="B7" s="3" t="s">
        <v>284</v>
      </c>
      <c r="C7" s="3">
        <v>140000</v>
      </c>
    </row>
    <row r="8" spans="1:3" x14ac:dyDescent="0.25">
      <c r="A8" s="3" t="s">
        <v>287</v>
      </c>
      <c r="B8" s="3" t="s">
        <v>285</v>
      </c>
      <c r="C8" s="3">
        <v>147000</v>
      </c>
    </row>
    <row r="9" spans="1:3" x14ac:dyDescent="0.25">
      <c r="A9" s="3" t="s">
        <v>287</v>
      </c>
      <c r="B9" s="3" t="s">
        <v>286</v>
      </c>
      <c r="C9" s="3">
        <v>161000</v>
      </c>
    </row>
    <row r="10" spans="1:3" x14ac:dyDescent="0.25">
      <c r="A10" s="3" t="s">
        <v>288</v>
      </c>
      <c r="B10" s="3" t="s">
        <v>283</v>
      </c>
      <c r="C10" s="3">
        <v>104500</v>
      </c>
    </row>
    <row r="11" spans="1:3" x14ac:dyDescent="0.25">
      <c r="A11" s="3" t="s">
        <v>288</v>
      </c>
      <c r="B11" s="3" t="s">
        <v>284</v>
      </c>
      <c r="C11" s="3">
        <v>110000</v>
      </c>
    </row>
    <row r="12" spans="1:3" x14ac:dyDescent="0.25">
      <c r="A12" s="3" t="s">
        <v>288</v>
      </c>
      <c r="B12" s="3" t="s">
        <v>285</v>
      </c>
      <c r="C12" s="3">
        <v>115500</v>
      </c>
    </row>
    <row r="13" spans="1:3" x14ac:dyDescent="0.25">
      <c r="A13" s="3" t="s">
        <v>288</v>
      </c>
      <c r="B13" s="3" t="s">
        <v>286</v>
      </c>
      <c r="C13" s="3">
        <v>126500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98F58-D890-400E-9719-D88D61681E7A}">
  <sheetPr codeName="Sheet3"/>
  <dimension ref="A1:F131"/>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16" customWidth="1"/>
    <col min="5" max="5" width="21" customWidth="1"/>
    <col min="6" max="6" width="16" customWidth="1"/>
  </cols>
  <sheetData>
    <row r="1" spans="1:6" x14ac:dyDescent="0.25">
      <c r="A1" s="2" t="s">
        <v>0</v>
      </c>
      <c r="B1" s="2" t="s">
        <v>1</v>
      </c>
      <c r="C1" s="2" t="s">
        <v>2</v>
      </c>
      <c r="D1" s="2" t="s">
        <v>3</v>
      </c>
      <c r="E1" s="2" t="s">
        <v>4</v>
      </c>
      <c r="F1" s="2" t="s">
        <v>5</v>
      </c>
    </row>
    <row r="2" spans="1:6" x14ac:dyDescent="0.25">
      <c r="A2" s="3" t="s">
        <v>6</v>
      </c>
      <c r="B2" s="3" t="s">
        <v>7</v>
      </c>
      <c r="C2" s="3" t="s">
        <v>8</v>
      </c>
      <c r="D2" s="3" t="s">
        <v>9</v>
      </c>
      <c r="E2" s="4">
        <v>43751</v>
      </c>
      <c r="F2" s="3" t="s">
        <v>10</v>
      </c>
    </row>
    <row r="3" spans="1:6" x14ac:dyDescent="0.25">
      <c r="A3" s="3" t="s">
        <v>11</v>
      </c>
      <c r="B3" s="3" t="s">
        <v>12</v>
      </c>
      <c r="C3" s="3" t="s">
        <v>8</v>
      </c>
      <c r="D3" s="3" t="s">
        <v>13</v>
      </c>
      <c r="E3" s="4">
        <v>44675</v>
      </c>
      <c r="F3" s="3" t="s">
        <v>14</v>
      </c>
    </row>
    <row r="4" spans="1:6" x14ac:dyDescent="0.25">
      <c r="A4" s="3" t="s">
        <v>15</v>
      </c>
      <c r="B4" s="3" t="s">
        <v>16</v>
      </c>
      <c r="C4" s="3" t="s">
        <v>17</v>
      </c>
      <c r="D4" s="3" t="s">
        <v>9</v>
      </c>
      <c r="E4" s="4">
        <v>44698</v>
      </c>
      <c r="F4" s="3" t="s">
        <v>18</v>
      </c>
    </row>
    <row r="5" spans="1:6" x14ac:dyDescent="0.25">
      <c r="A5" s="3" t="s">
        <v>19</v>
      </c>
      <c r="B5" s="3" t="s">
        <v>20</v>
      </c>
      <c r="C5" s="3" t="s">
        <v>8</v>
      </c>
      <c r="D5" s="3" t="s">
        <v>21</v>
      </c>
      <c r="E5" s="4">
        <v>44325</v>
      </c>
      <c r="F5" s="3" t="s">
        <v>22</v>
      </c>
    </row>
    <row r="6" spans="1:6" x14ac:dyDescent="0.25">
      <c r="A6" s="3" t="s">
        <v>23</v>
      </c>
      <c r="B6" s="3" t="s">
        <v>24</v>
      </c>
      <c r="C6" s="3" t="s">
        <v>8</v>
      </c>
      <c r="D6" s="3" t="s">
        <v>25</v>
      </c>
      <c r="E6" s="4">
        <v>45020</v>
      </c>
      <c r="F6" s="3" t="s">
        <v>22</v>
      </c>
    </row>
    <row r="7" spans="1:6" x14ac:dyDescent="0.25">
      <c r="A7" s="3" t="s">
        <v>26</v>
      </c>
      <c r="B7" s="3" t="s">
        <v>5246</v>
      </c>
      <c r="C7" s="3" t="s">
        <v>8</v>
      </c>
      <c r="D7" s="3" t="s">
        <v>9</v>
      </c>
      <c r="E7" s="4">
        <v>45029</v>
      </c>
      <c r="F7" s="3" t="s">
        <v>28</v>
      </c>
    </row>
    <row r="8" spans="1:6" x14ac:dyDescent="0.25">
      <c r="A8" s="3" t="s">
        <v>29</v>
      </c>
      <c r="B8" s="3" t="s">
        <v>30</v>
      </c>
      <c r="C8" s="3" t="s">
        <v>8</v>
      </c>
      <c r="D8" s="3" t="s">
        <v>31</v>
      </c>
      <c r="E8" s="4">
        <v>44170</v>
      </c>
      <c r="F8" s="3" t="s">
        <v>32</v>
      </c>
    </row>
    <row r="9" spans="1:6" x14ac:dyDescent="0.25">
      <c r="A9" s="3" t="s">
        <v>33</v>
      </c>
      <c r="B9" s="3" t="s">
        <v>34</v>
      </c>
      <c r="C9" s="3" t="s">
        <v>17</v>
      </c>
      <c r="D9" s="3" t="s">
        <v>31</v>
      </c>
      <c r="E9" s="4">
        <v>43721</v>
      </c>
      <c r="F9" s="3" t="s">
        <v>14</v>
      </c>
    </row>
    <row r="10" spans="1:6" x14ac:dyDescent="0.25">
      <c r="A10" s="3" t="s">
        <v>35</v>
      </c>
      <c r="B10" s="3" t="s">
        <v>36</v>
      </c>
      <c r="C10" s="3" t="s">
        <v>8</v>
      </c>
      <c r="D10" s="3" t="s">
        <v>37</v>
      </c>
      <c r="E10" s="4">
        <v>45230</v>
      </c>
      <c r="F10" s="3" t="s">
        <v>28</v>
      </c>
    </row>
    <row r="11" spans="1:6" x14ac:dyDescent="0.25">
      <c r="A11" s="3" t="s">
        <v>38</v>
      </c>
      <c r="B11" s="3" t="s">
        <v>39</v>
      </c>
      <c r="C11" s="3" t="s">
        <v>8</v>
      </c>
      <c r="D11" s="3" t="s">
        <v>9</v>
      </c>
      <c r="E11" s="4">
        <v>43932</v>
      </c>
      <c r="F11" s="3" t="s">
        <v>28</v>
      </c>
    </row>
    <row r="12" spans="1:6" x14ac:dyDescent="0.25">
      <c r="A12" s="3" t="s">
        <v>40</v>
      </c>
      <c r="B12" s="3" t="s">
        <v>41</v>
      </c>
      <c r="C12" s="3" t="s">
        <v>17</v>
      </c>
      <c r="D12" s="3" t="s">
        <v>9</v>
      </c>
      <c r="E12" s="4">
        <v>44035</v>
      </c>
      <c r="F12" s="3" t="s">
        <v>14</v>
      </c>
    </row>
    <row r="13" spans="1:6" x14ac:dyDescent="0.25">
      <c r="A13" s="3" t="s">
        <v>42</v>
      </c>
      <c r="B13" s="3" t="s">
        <v>43</v>
      </c>
      <c r="C13" s="3" t="s">
        <v>8</v>
      </c>
      <c r="D13" s="3" t="s">
        <v>9</v>
      </c>
      <c r="E13" s="4">
        <v>44012</v>
      </c>
      <c r="F13" s="3" t="s">
        <v>10</v>
      </c>
    </row>
    <row r="14" spans="1:6" x14ac:dyDescent="0.25">
      <c r="A14" s="3" t="s">
        <v>641</v>
      </c>
      <c r="B14" s="3" t="s">
        <v>2956</v>
      </c>
      <c r="C14" s="3" t="s">
        <v>8</v>
      </c>
      <c r="D14" s="3" t="s">
        <v>13</v>
      </c>
      <c r="E14" s="3"/>
      <c r="F14" s="3" t="s">
        <v>22</v>
      </c>
    </row>
    <row r="15" spans="1:6" x14ac:dyDescent="0.25">
      <c r="A15" s="3" t="s">
        <v>44</v>
      </c>
      <c r="B15" s="3" t="s">
        <v>45</v>
      </c>
      <c r="C15" s="3" t="s">
        <v>8</v>
      </c>
      <c r="D15" s="3" t="s">
        <v>46</v>
      </c>
      <c r="E15" s="4">
        <v>44875</v>
      </c>
      <c r="F15" s="3" t="s">
        <v>32</v>
      </c>
    </row>
    <row r="16" spans="1:6" x14ac:dyDescent="0.25">
      <c r="A16" s="3" t="s">
        <v>47</v>
      </c>
      <c r="B16" s="3" t="s">
        <v>48</v>
      </c>
      <c r="C16" s="3" t="s">
        <v>8</v>
      </c>
      <c r="D16" s="3" t="s">
        <v>21</v>
      </c>
      <c r="E16" s="4">
        <v>43580</v>
      </c>
      <c r="F16" s="3" t="s">
        <v>22</v>
      </c>
    </row>
    <row r="17" spans="1:6" x14ac:dyDescent="0.25">
      <c r="A17" s="3" t="s">
        <v>49</v>
      </c>
      <c r="B17" s="3" t="s">
        <v>50</v>
      </c>
      <c r="C17" s="3" t="s">
        <v>8</v>
      </c>
      <c r="D17" s="3" t="s">
        <v>9</v>
      </c>
      <c r="E17" s="4">
        <v>43898</v>
      </c>
      <c r="F17" s="3" t="s">
        <v>32</v>
      </c>
    </row>
    <row r="18" spans="1:6" x14ac:dyDescent="0.25">
      <c r="A18" s="3" t="s">
        <v>51</v>
      </c>
      <c r="B18" s="3" t="s">
        <v>52</v>
      </c>
      <c r="C18" s="3" t="s">
        <v>8</v>
      </c>
      <c r="D18" s="3" t="s">
        <v>31</v>
      </c>
      <c r="E18" s="4">
        <v>44782</v>
      </c>
      <c r="F18" s="3" t="s">
        <v>14</v>
      </c>
    </row>
    <row r="19" spans="1:6" x14ac:dyDescent="0.25">
      <c r="A19" s="3" t="s">
        <v>53</v>
      </c>
      <c r="B19" s="3" t="s">
        <v>54</v>
      </c>
      <c r="C19" s="3" t="s">
        <v>17</v>
      </c>
      <c r="D19" s="3" t="s">
        <v>21</v>
      </c>
      <c r="E19" s="4">
        <v>44569</v>
      </c>
      <c r="F19" s="3" t="s">
        <v>28</v>
      </c>
    </row>
    <row r="20" spans="1:6" x14ac:dyDescent="0.25">
      <c r="A20" s="3" t="s">
        <v>55</v>
      </c>
      <c r="B20" s="3" t="s">
        <v>56</v>
      </c>
      <c r="C20" s="3" t="s">
        <v>57</v>
      </c>
      <c r="D20" s="3" t="s">
        <v>31</v>
      </c>
      <c r="E20" s="4">
        <v>43915</v>
      </c>
      <c r="F20" s="3" t="s">
        <v>22</v>
      </c>
    </row>
    <row r="21" spans="1:6" x14ac:dyDescent="0.25">
      <c r="A21" s="3" t="s">
        <v>58</v>
      </c>
      <c r="B21" s="3" t="s">
        <v>59</v>
      </c>
      <c r="C21" s="3" t="s">
        <v>17</v>
      </c>
      <c r="D21" s="3" t="s">
        <v>9</v>
      </c>
      <c r="E21" s="4">
        <v>43690</v>
      </c>
      <c r="F21" s="3" t="s">
        <v>22</v>
      </c>
    </row>
    <row r="22" spans="1:6" x14ac:dyDescent="0.25">
      <c r="A22" s="3" t="s">
        <v>60</v>
      </c>
      <c r="B22" s="3" t="s">
        <v>61</v>
      </c>
      <c r="C22" s="3" t="s">
        <v>8</v>
      </c>
      <c r="D22" s="3" t="s">
        <v>13</v>
      </c>
      <c r="E22" s="4">
        <v>44254</v>
      </c>
      <c r="F22" s="3" t="s">
        <v>14</v>
      </c>
    </row>
    <row r="23" spans="1:6" x14ac:dyDescent="0.25">
      <c r="A23" s="3" t="s">
        <v>62</v>
      </c>
      <c r="B23" s="3" t="s">
        <v>63</v>
      </c>
      <c r="C23" s="3" t="s">
        <v>8</v>
      </c>
      <c r="D23" s="3" t="s">
        <v>46</v>
      </c>
      <c r="E23" s="4">
        <v>45228</v>
      </c>
      <c r="F23" s="3" t="s">
        <v>18</v>
      </c>
    </row>
    <row r="24" spans="1:6" x14ac:dyDescent="0.25">
      <c r="A24" s="3" t="s">
        <v>64</v>
      </c>
      <c r="B24" s="3" t="s">
        <v>65</v>
      </c>
      <c r="C24" s="3" t="s">
        <v>8</v>
      </c>
      <c r="D24" s="3" t="s">
        <v>37</v>
      </c>
      <c r="E24" s="4">
        <v>43694</v>
      </c>
      <c r="F24" s="3" t="s">
        <v>28</v>
      </c>
    </row>
    <row r="25" spans="1:6" x14ac:dyDescent="0.25">
      <c r="A25" s="3" t="s">
        <v>66</v>
      </c>
      <c r="B25" s="3" t="s">
        <v>67</v>
      </c>
      <c r="C25" s="3" t="s">
        <v>8</v>
      </c>
      <c r="D25" s="3" t="s">
        <v>46</v>
      </c>
      <c r="E25" s="4">
        <v>45259</v>
      </c>
      <c r="F25" s="3" t="s">
        <v>10</v>
      </c>
    </row>
    <row r="26" spans="1:6" x14ac:dyDescent="0.25">
      <c r="A26" s="3" t="s">
        <v>68</v>
      </c>
      <c r="B26" s="3" t="s">
        <v>69</v>
      </c>
      <c r="C26" s="3" t="s">
        <v>57</v>
      </c>
      <c r="D26" s="3" t="s">
        <v>13</v>
      </c>
      <c r="E26" s="4">
        <v>43683</v>
      </c>
      <c r="F26" s="3" t="s">
        <v>10</v>
      </c>
    </row>
    <row r="27" spans="1:6" x14ac:dyDescent="0.25">
      <c r="A27" s="3" t="s">
        <v>70</v>
      </c>
      <c r="B27" s="3" t="s">
        <v>71</v>
      </c>
      <c r="C27" s="3" t="s">
        <v>8</v>
      </c>
      <c r="D27" s="3" t="s">
        <v>37</v>
      </c>
      <c r="E27" s="4">
        <v>43779</v>
      </c>
      <c r="F27" s="3" t="s">
        <v>28</v>
      </c>
    </row>
    <row r="28" spans="1:6" x14ac:dyDescent="0.25">
      <c r="A28" s="3" t="s">
        <v>72</v>
      </c>
      <c r="B28" s="3" t="s">
        <v>73</v>
      </c>
      <c r="C28" s="3" t="s">
        <v>57</v>
      </c>
      <c r="D28" s="3" t="s">
        <v>46</v>
      </c>
      <c r="E28" s="4">
        <v>43467</v>
      </c>
      <c r="F28" s="3" t="s">
        <v>32</v>
      </c>
    </row>
    <row r="29" spans="1:6" x14ac:dyDescent="0.25">
      <c r="A29" s="3" t="s">
        <v>74</v>
      </c>
      <c r="B29" s="3" t="s">
        <v>75</v>
      </c>
      <c r="C29" s="3" t="s">
        <v>17</v>
      </c>
      <c r="D29" s="3" t="s">
        <v>46</v>
      </c>
      <c r="E29" s="4">
        <v>45265</v>
      </c>
      <c r="F29" s="3" t="s">
        <v>28</v>
      </c>
    </row>
    <row r="30" spans="1:6" x14ac:dyDescent="0.25">
      <c r="A30" s="3" t="s">
        <v>76</v>
      </c>
      <c r="B30" s="3" t="s">
        <v>77</v>
      </c>
      <c r="C30" s="3" t="s">
        <v>17</v>
      </c>
      <c r="D30" s="3" t="s">
        <v>13</v>
      </c>
      <c r="E30" s="4">
        <v>43627</v>
      </c>
      <c r="F30" s="3" t="s">
        <v>18</v>
      </c>
    </row>
    <row r="31" spans="1:6" x14ac:dyDescent="0.25">
      <c r="A31" s="3" t="s">
        <v>78</v>
      </c>
      <c r="B31" s="3" t="s">
        <v>79</v>
      </c>
      <c r="C31" s="3" t="s">
        <v>17</v>
      </c>
      <c r="D31" s="3" t="s">
        <v>21</v>
      </c>
      <c r="E31" s="4">
        <v>45034</v>
      </c>
      <c r="F31" s="3" t="s">
        <v>22</v>
      </c>
    </row>
    <row r="32" spans="1:6" x14ac:dyDescent="0.25">
      <c r="A32" s="3" t="s">
        <v>80</v>
      </c>
      <c r="B32" s="3" t="s">
        <v>81</v>
      </c>
      <c r="C32" s="3" t="s">
        <v>8</v>
      </c>
      <c r="D32" s="3" t="s">
        <v>13</v>
      </c>
      <c r="E32" s="4">
        <v>44008</v>
      </c>
      <c r="F32" s="3" t="s">
        <v>32</v>
      </c>
    </row>
    <row r="33" spans="1:6" x14ac:dyDescent="0.25">
      <c r="A33" s="3" t="s">
        <v>82</v>
      </c>
      <c r="B33" s="3" t="s">
        <v>83</v>
      </c>
      <c r="C33" s="3" t="s">
        <v>57</v>
      </c>
      <c r="D33" s="3" t="s">
        <v>46</v>
      </c>
      <c r="E33" s="4">
        <v>45012</v>
      </c>
      <c r="F33" s="3" t="s">
        <v>10</v>
      </c>
    </row>
    <row r="34" spans="1:6" x14ac:dyDescent="0.25">
      <c r="A34" s="3" t="s">
        <v>84</v>
      </c>
      <c r="B34" s="3" t="s">
        <v>85</v>
      </c>
      <c r="C34" s="3" t="s">
        <v>8</v>
      </c>
      <c r="D34" s="3" t="s">
        <v>46</v>
      </c>
      <c r="E34" s="4">
        <v>44796</v>
      </c>
      <c r="F34" s="3" t="s">
        <v>28</v>
      </c>
    </row>
    <row r="35" spans="1:6" x14ac:dyDescent="0.25">
      <c r="A35" s="3" t="s">
        <v>86</v>
      </c>
      <c r="B35" s="3" t="s">
        <v>87</v>
      </c>
      <c r="C35" s="3" t="s">
        <v>8</v>
      </c>
      <c r="D35" s="3" t="s">
        <v>9</v>
      </c>
      <c r="E35" s="4">
        <v>43926</v>
      </c>
      <c r="F35" s="3" t="s">
        <v>18</v>
      </c>
    </row>
    <row r="36" spans="1:6" x14ac:dyDescent="0.25">
      <c r="A36" s="3" t="s">
        <v>88</v>
      </c>
      <c r="B36" s="3" t="s">
        <v>89</v>
      </c>
      <c r="C36" s="3" t="s">
        <v>8</v>
      </c>
      <c r="D36" s="3" t="s">
        <v>9</v>
      </c>
      <c r="E36" s="4">
        <v>43917</v>
      </c>
      <c r="F36" s="3" t="s">
        <v>18</v>
      </c>
    </row>
    <row r="37" spans="1:6" x14ac:dyDescent="0.25">
      <c r="A37" s="3" t="s">
        <v>90</v>
      </c>
      <c r="B37" s="3" t="s">
        <v>91</v>
      </c>
      <c r="C37" s="3" t="s">
        <v>8</v>
      </c>
      <c r="D37" s="3" t="s">
        <v>9</v>
      </c>
      <c r="E37" s="4">
        <v>43530</v>
      </c>
      <c r="F37" s="3" t="s">
        <v>28</v>
      </c>
    </row>
    <row r="38" spans="1:6" x14ac:dyDescent="0.25">
      <c r="A38" s="3" t="s">
        <v>92</v>
      </c>
      <c r="B38" s="3" t="s">
        <v>93</v>
      </c>
      <c r="C38" s="3" t="s">
        <v>8</v>
      </c>
      <c r="D38" s="3" t="s">
        <v>9</v>
      </c>
      <c r="E38" s="4">
        <v>43736</v>
      </c>
      <c r="F38" s="3" t="s">
        <v>10</v>
      </c>
    </row>
    <row r="39" spans="1:6" x14ac:dyDescent="0.25">
      <c r="A39" s="3" t="s">
        <v>94</v>
      </c>
      <c r="B39" s="3" t="s">
        <v>95</v>
      </c>
      <c r="C39" s="3" t="s">
        <v>8</v>
      </c>
      <c r="D39" s="3" t="s">
        <v>21</v>
      </c>
      <c r="E39" s="4">
        <v>45119</v>
      </c>
      <c r="F39" s="3" t="s">
        <v>14</v>
      </c>
    </row>
    <row r="40" spans="1:6" x14ac:dyDescent="0.25">
      <c r="A40" s="3" t="s">
        <v>96</v>
      </c>
      <c r="B40" s="3" t="s">
        <v>97</v>
      </c>
      <c r="C40" s="3" t="s">
        <v>17</v>
      </c>
      <c r="D40" s="3" t="s">
        <v>31</v>
      </c>
      <c r="E40" s="4">
        <v>44333</v>
      </c>
      <c r="F40" s="3" t="s">
        <v>14</v>
      </c>
    </row>
    <row r="41" spans="1:6" x14ac:dyDescent="0.25">
      <c r="A41" s="3" t="s">
        <v>98</v>
      </c>
      <c r="B41" s="3" t="s">
        <v>99</v>
      </c>
      <c r="C41" s="3" t="s">
        <v>8</v>
      </c>
      <c r="D41" s="3" t="s">
        <v>37</v>
      </c>
      <c r="E41" s="4">
        <v>44789</v>
      </c>
      <c r="F41" s="3" t="s">
        <v>18</v>
      </c>
    </row>
    <row r="42" spans="1:6" x14ac:dyDescent="0.25">
      <c r="A42" s="3" t="s">
        <v>100</v>
      </c>
      <c r="B42" s="3" t="s">
        <v>101</v>
      </c>
      <c r="C42" s="3" t="s">
        <v>8</v>
      </c>
      <c r="D42" s="3" t="s">
        <v>102</v>
      </c>
      <c r="E42" s="4">
        <v>43689</v>
      </c>
      <c r="F42" s="3" t="s">
        <v>22</v>
      </c>
    </row>
    <row r="43" spans="1:6" x14ac:dyDescent="0.25">
      <c r="A43" s="3" t="s">
        <v>103</v>
      </c>
      <c r="B43" s="3" t="s">
        <v>104</v>
      </c>
      <c r="C43" s="3" t="s">
        <v>8</v>
      </c>
      <c r="D43" s="3" t="s">
        <v>5247</v>
      </c>
      <c r="E43" s="4">
        <v>43841</v>
      </c>
      <c r="F43" s="3" t="s">
        <v>28</v>
      </c>
    </row>
    <row r="44" spans="1:6" x14ac:dyDescent="0.25">
      <c r="A44" s="3" t="s">
        <v>105</v>
      </c>
      <c r="B44" s="3" t="s">
        <v>106</v>
      </c>
      <c r="C44" s="3" t="s">
        <v>57</v>
      </c>
      <c r="D44" s="3" t="s">
        <v>9</v>
      </c>
      <c r="E44" s="4">
        <v>45120</v>
      </c>
      <c r="F44" s="3" t="s">
        <v>32</v>
      </c>
    </row>
    <row r="45" spans="1:6" x14ac:dyDescent="0.25">
      <c r="A45" s="3" t="s">
        <v>107</v>
      </c>
      <c r="B45" s="3" t="s">
        <v>108</v>
      </c>
      <c r="C45" s="3" t="s">
        <v>17</v>
      </c>
      <c r="D45" s="3" t="s">
        <v>9</v>
      </c>
      <c r="E45" s="4">
        <v>45009</v>
      </c>
      <c r="F45" s="3" t="s">
        <v>22</v>
      </c>
    </row>
    <row r="46" spans="1:6" x14ac:dyDescent="0.25">
      <c r="A46" s="3" t="s">
        <v>109</v>
      </c>
      <c r="B46" s="3" t="s">
        <v>110</v>
      </c>
      <c r="C46" s="3" t="s">
        <v>8</v>
      </c>
      <c r="D46" s="3" t="s">
        <v>9</v>
      </c>
      <c r="E46" s="4">
        <v>44287</v>
      </c>
      <c r="F46" s="3" t="s">
        <v>18</v>
      </c>
    </row>
    <row r="47" spans="1:6" x14ac:dyDescent="0.25">
      <c r="A47" s="3" t="s">
        <v>111</v>
      </c>
      <c r="B47" s="3" t="s">
        <v>112</v>
      </c>
      <c r="C47" s="3" t="s">
        <v>8</v>
      </c>
      <c r="D47" s="3" t="s">
        <v>21</v>
      </c>
      <c r="E47" s="4">
        <v>44397</v>
      </c>
      <c r="F47" s="3" t="s">
        <v>28</v>
      </c>
    </row>
    <row r="48" spans="1:6" x14ac:dyDescent="0.25">
      <c r="A48" s="3" t="s">
        <v>113</v>
      </c>
      <c r="B48" s="3" t="s">
        <v>114</v>
      </c>
      <c r="C48" s="3" t="s">
        <v>57</v>
      </c>
      <c r="D48" s="3" t="s">
        <v>46</v>
      </c>
      <c r="E48" s="4">
        <v>44604</v>
      </c>
      <c r="F48" s="3" t="s">
        <v>10</v>
      </c>
    </row>
    <row r="49" spans="1:6" x14ac:dyDescent="0.25">
      <c r="A49" s="3" t="s">
        <v>115</v>
      </c>
      <c r="B49" s="3" t="s">
        <v>116</v>
      </c>
      <c r="C49" s="3" t="s">
        <v>17</v>
      </c>
      <c r="D49" s="3" t="s">
        <v>9</v>
      </c>
      <c r="E49" s="4">
        <v>43585</v>
      </c>
      <c r="F49" s="3" t="s">
        <v>32</v>
      </c>
    </row>
    <row r="50" spans="1:6" x14ac:dyDescent="0.25">
      <c r="A50" s="3" t="s">
        <v>117</v>
      </c>
      <c r="B50" s="3" t="s">
        <v>118</v>
      </c>
      <c r="C50" s="3" t="s">
        <v>8</v>
      </c>
      <c r="D50" s="3" t="s">
        <v>9</v>
      </c>
      <c r="E50" s="4">
        <v>44662</v>
      </c>
      <c r="F50" s="3" t="s">
        <v>14</v>
      </c>
    </row>
    <row r="51" spans="1:6" x14ac:dyDescent="0.25">
      <c r="A51" s="3" t="s">
        <v>119</v>
      </c>
      <c r="B51" s="3" t="s">
        <v>120</v>
      </c>
      <c r="C51" s="3" t="s">
        <v>57</v>
      </c>
      <c r="D51" s="3" t="s">
        <v>9</v>
      </c>
      <c r="E51" s="4">
        <v>44506</v>
      </c>
      <c r="F51" s="3" t="s">
        <v>18</v>
      </c>
    </row>
    <row r="52" spans="1:6" x14ac:dyDescent="0.25">
      <c r="A52" s="3" t="s">
        <v>121</v>
      </c>
      <c r="B52" s="3" t="s">
        <v>122</v>
      </c>
      <c r="C52" s="3" t="s">
        <v>8</v>
      </c>
      <c r="D52" s="3" t="s">
        <v>37</v>
      </c>
      <c r="E52" s="4">
        <v>43947</v>
      </c>
      <c r="F52" s="3" t="s">
        <v>14</v>
      </c>
    </row>
    <row r="53" spans="1:6" x14ac:dyDescent="0.25">
      <c r="A53" s="3" t="s">
        <v>123</v>
      </c>
      <c r="B53" s="3" t="s">
        <v>124</v>
      </c>
      <c r="C53" s="3" t="s">
        <v>8</v>
      </c>
      <c r="D53" s="3" t="s">
        <v>13</v>
      </c>
      <c r="E53" s="4">
        <v>43547</v>
      </c>
      <c r="F53" s="3" t="s">
        <v>32</v>
      </c>
    </row>
    <row r="54" spans="1:6" x14ac:dyDescent="0.25">
      <c r="A54" s="3" t="s">
        <v>125</v>
      </c>
      <c r="B54" s="3" t="s">
        <v>126</v>
      </c>
      <c r="C54" s="3" t="s">
        <v>8</v>
      </c>
      <c r="D54" s="3" t="s">
        <v>13</v>
      </c>
      <c r="E54" s="4">
        <v>44113</v>
      </c>
      <c r="F54" s="3" t="s">
        <v>28</v>
      </c>
    </row>
    <row r="55" spans="1:6" x14ac:dyDescent="0.25">
      <c r="A55" s="3" t="s">
        <v>127</v>
      </c>
      <c r="B55" s="3" t="s">
        <v>128</v>
      </c>
      <c r="C55" s="3" t="s">
        <v>8</v>
      </c>
      <c r="D55" s="3" t="s">
        <v>9</v>
      </c>
      <c r="E55" s="4">
        <v>44276</v>
      </c>
      <c r="F55" s="3" t="s">
        <v>22</v>
      </c>
    </row>
    <row r="56" spans="1:6" x14ac:dyDescent="0.25">
      <c r="A56" s="3" t="s">
        <v>129</v>
      </c>
      <c r="B56" s="3" t="s">
        <v>130</v>
      </c>
      <c r="C56" s="3" t="s">
        <v>8</v>
      </c>
      <c r="D56" s="3" t="s">
        <v>21</v>
      </c>
      <c r="E56" s="4">
        <v>43614</v>
      </c>
      <c r="F56" s="3" t="s">
        <v>18</v>
      </c>
    </row>
    <row r="57" spans="1:6" x14ac:dyDescent="0.25">
      <c r="A57" s="3" t="s">
        <v>131</v>
      </c>
      <c r="B57" s="3" t="s">
        <v>132</v>
      </c>
      <c r="C57" s="3" t="s">
        <v>17</v>
      </c>
      <c r="D57" s="3" t="s">
        <v>9</v>
      </c>
      <c r="E57" s="4">
        <v>44009</v>
      </c>
      <c r="F57" s="3" t="s">
        <v>22</v>
      </c>
    </row>
    <row r="58" spans="1:6" x14ac:dyDescent="0.25">
      <c r="A58" s="3" t="s">
        <v>133</v>
      </c>
      <c r="B58" s="3" t="s">
        <v>134</v>
      </c>
      <c r="C58" s="3" t="s">
        <v>17</v>
      </c>
      <c r="D58" s="3" t="s">
        <v>9</v>
      </c>
      <c r="E58" s="4">
        <v>44049</v>
      </c>
      <c r="F58" s="3" t="s">
        <v>22</v>
      </c>
    </row>
    <row r="59" spans="1:6" x14ac:dyDescent="0.25">
      <c r="A59" s="3" t="s">
        <v>135</v>
      </c>
      <c r="B59" s="3" t="s">
        <v>136</v>
      </c>
      <c r="C59" s="3" t="s">
        <v>8</v>
      </c>
      <c r="D59" s="3" t="s">
        <v>46</v>
      </c>
      <c r="E59" s="4">
        <v>45118</v>
      </c>
      <c r="F59" s="3" t="s">
        <v>10</v>
      </c>
    </row>
    <row r="60" spans="1:6" x14ac:dyDescent="0.25">
      <c r="A60" s="3" t="s">
        <v>137</v>
      </c>
      <c r="B60" s="3" t="s">
        <v>138</v>
      </c>
      <c r="C60" s="3" t="s">
        <v>8</v>
      </c>
      <c r="D60" s="3" t="s">
        <v>13</v>
      </c>
      <c r="E60" s="4">
        <v>44824</v>
      </c>
      <c r="F60" s="3" t="s">
        <v>18</v>
      </c>
    </row>
    <row r="61" spans="1:6" x14ac:dyDescent="0.25">
      <c r="A61" s="3" t="s">
        <v>139</v>
      </c>
      <c r="B61" s="3" t="s">
        <v>140</v>
      </c>
      <c r="C61" s="3" t="s">
        <v>8</v>
      </c>
      <c r="D61" s="3" t="s">
        <v>9</v>
      </c>
      <c r="E61" s="4">
        <v>44704</v>
      </c>
      <c r="F61" s="3" t="s">
        <v>22</v>
      </c>
    </row>
    <row r="62" spans="1:6" x14ac:dyDescent="0.25">
      <c r="A62" s="3" t="s">
        <v>141</v>
      </c>
      <c r="B62" s="3" t="s">
        <v>142</v>
      </c>
      <c r="C62" s="3" t="s">
        <v>57</v>
      </c>
      <c r="D62" s="3" t="s">
        <v>25</v>
      </c>
      <c r="E62" s="4">
        <v>43655</v>
      </c>
      <c r="F62" s="3" t="s">
        <v>10</v>
      </c>
    </row>
    <row r="63" spans="1:6" x14ac:dyDescent="0.25">
      <c r="A63" s="3" t="s">
        <v>143</v>
      </c>
      <c r="B63" s="3" t="s">
        <v>144</v>
      </c>
      <c r="C63" s="3" t="s">
        <v>8</v>
      </c>
      <c r="D63" s="3" t="s">
        <v>9</v>
      </c>
      <c r="E63" s="4">
        <v>45045</v>
      </c>
      <c r="F63" s="3" t="s">
        <v>22</v>
      </c>
    </row>
    <row r="64" spans="1:6" x14ac:dyDescent="0.25">
      <c r="A64" s="3" t="s">
        <v>145</v>
      </c>
      <c r="B64" s="3" t="s">
        <v>146</v>
      </c>
      <c r="C64" s="3" t="s">
        <v>8</v>
      </c>
      <c r="D64" s="3" t="s">
        <v>13</v>
      </c>
      <c r="E64" s="4">
        <v>44341</v>
      </c>
      <c r="F64" s="3" t="s">
        <v>32</v>
      </c>
    </row>
    <row r="65" spans="1:6" x14ac:dyDescent="0.25">
      <c r="A65" s="3" t="s">
        <v>147</v>
      </c>
      <c r="B65" s="3" t="s">
        <v>148</v>
      </c>
      <c r="C65" s="3" t="s">
        <v>17</v>
      </c>
      <c r="D65" s="3" t="s">
        <v>25</v>
      </c>
      <c r="E65" s="4">
        <v>43771</v>
      </c>
      <c r="F65" s="3" t="s">
        <v>32</v>
      </c>
    </row>
    <row r="66" spans="1:6" x14ac:dyDescent="0.25">
      <c r="A66" s="3" t="s">
        <v>149</v>
      </c>
      <c r="B66" s="3" t="s">
        <v>150</v>
      </c>
      <c r="C66" s="3" t="s">
        <v>8</v>
      </c>
      <c r="D66" s="3" t="s">
        <v>13</v>
      </c>
      <c r="E66" s="4">
        <v>44346</v>
      </c>
      <c r="F66" s="3" t="s">
        <v>22</v>
      </c>
    </row>
    <row r="67" spans="1:6" x14ac:dyDescent="0.25">
      <c r="A67" s="3" t="s">
        <v>151</v>
      </c>
      <c r="B67" s="3" t="s">
        <v>152</v>
      </c>
      <c r="C67" s="3" t="s">
        <v>8</v>
      </c>
      <c r="D67" s="3" t="s">
        <v>46</v>
      </c>
      <c r="E67" s="4">
        <v>45228</v>
      </c>
      <c r="F67" s="3" t="s">
        <v>18</v>
      </c>
    </row>
    <row r="68" spans="1:6" x14ac:dyDescent="0.25">
      <c r="A68" s="3" t="s">
        <v>153</v>
      </c>
      <c r="B68" s="3" t="s">
        <v>154</v>
      </c>
      <c r="C68" s="3" t="s">
        <v>8</v>
      </c>
      <c r="D68" s="3" t="s">
        <v>37</v>
      </c>
      <c r="E68" s="4">
        <v>44190</v>
      </c>
      <c r="F68" s="3" t="s">
        <v>32</v>
      </c>
    </row>
    <row r="69" spans="1:6" x14ac:dyDescent="0.25">
      <c r="A69" s="3" t="s">
        <v>155</v>
      </c>
      <c r="B69" s="3" t="s">
        <v>156</v>
      </c>
      <c r="C69" s="3" t="s">
        <v>8</v>
      </c>
      <c r="D69" s="3" t="s">
        <v>46</v>
      </c>
      <c r="E69" s="4">
        <v>43950</v>
      </c>
      <c r="F69" s="3" t="s">
        <v>22</v>
      </c>
    </row>
    <row r="70" spans="1:6" x14ac:dyDescent="0.25">
      <c r="A70" s="3" t="s">
        <v>157</v>
      </c>
      <c r="B70" s="3" t="s">
        <v>158</v>
      </c>
      <c r="C70" s="3" t="s">
        <v>8</v>
      </c>
      <c r="D70" s="3" t="s">
        <v>9</v>
      </c>
      <c r="E70" s="4">
        <v>44146</v>
      </c>
      <c r="F70" s="3" t="s">
        <v>14</v>
      </c>
    </row>
    <row r="71" spans="1:6" x14ac:dyDescent="0.25">
      <c r="A71" s="3" t="s">
        <v>159</v>
      </c>
      <c r="B71" s="3" t="s">
        <v>160</v>
      </c>
      <c r="C71" s="3" t="s">
        <v>57</v>
      </c>
      <c r="D71" s="3" t="s">
        <v>25</v>
      </c>
      <c r="E71" s="4">
        <v>43921</v>
      </c>
      <c r="F71" s="3" t="s">
        <v>22</v>
      </c>
    </row>
    <row r="72" spans="1:6" x14ac:dyDescent="0.25">
      <c r="A72" s="3" t="s">
        <v>161</v>
      </c>
      <c r="B72" s="3" t="s">
        <v>162</v>
      </c>
      <c r="C72" s="3" t="s">
        <v>8</v>
      </c>
      <c r="D72" s="3" t="s">
        <v>21</v>
      </c>
      <c r="E72" s="4">
        <v>43932</v>
      </c>
      <c r="F72" s="3" t="s">
        <v>22</v>
      </c>
    </row>
    <row r="73" spans="1:6" x14ac:dyDescent="0.25">
      <c r="A73" s="3" t="s">
        <v>163</v>
      </c>
      <c r="B73" s="3" t="s">
        <v>164</v>
      </c>
      <c r="C73" s="3" t="s">
        <v>17</v>
      </c>
      <c r="D73" s="3" t="s">
        <v>9</v>
      </c>
      <c r="E73" s="4">
        <v>45236</v>
      </c>
      <c r="F73" s="3" t="s">
        <v>18</v>
      </c>
    </row>
    <row r="74" spans="1:6" x14ac:dyDescent="0.25">
      <c r="A74" s="3" t="s">
        <v>165</v>
      </c>
      <c r="B74" s="3" t="s">
        <v>166</v>
      </c>
      <c r="C74" s="3" t="s">
        <v>8</v>
      </c>
      <c r="D74" s="3" t="s">
        <v>31</v>
      </c>
      <c r="E74" s="4">
        <v>45193</v>
      </c>
      <c r="F74" s="3" t="s">
        <v>32</v>
      </c>
    </row>
    <row r="75" spans="1:6" x14ac:dyDescent="0.25">
      <c r="A75" s="3" t="s">
        <v>167</v>
      </c>
      <c r="B75" s="3" t="s">
        <v>168</v>
      </c>
      <c r="C75" s="3" t="s">
        <v>17</v>
      </c>
      <c r="D75" s="3" t="s">
        <v>13</v>
      </c>
      <c r="E75" s="4">
        <v>44173</v>
      </c>
      <c r="F75" s="3" t="s">
        <v>10</v>
      </c>
    </row>
    <row r="76" spans="1:6" x14ac:dyDescent="0.25">
      <c r="A76" s="3" t="s">
        <v>169</v>
      </c>
      <c r="B76" s="3" t="s">
        <v>170</v>
      </c>
      <c r="C76" s="3" t="s">
        <v>8</v>
      </c>
      <c r="D76" s="3" t="s">
        <v>13</v>
      </c>
      <c r="E76" s="4">
        <v>44254</v>
      </c>
      <c r="F76" s="3" t="s">
        <v>32</v>
      </c>
    </row>
    <row r="77" spans="1:6" x14ac:dyDescent="0.25">
      <c r="A77" s="3" t="s">
        <v>171</v>
      </c>
      <c r="B77" s="3" t="s">
        <v>172</v>
      </c>
      <c r="C77" s="3" t="s">
        <v>17</v>
      </c>
      <c r="D77" s="3" t="s">
        <v>31</v>
      </c>
      <c r="E77" s="4">
        <v>44530</v>
      </c>
      <c r="F77" s="3" t="s">
        <v>32</v>
      </c>
    </row>
    <row r="78" spans="1:6" x14ac:dyDescent="0.25">
      <c r="A78" s="3" t="s">
        <v>173</v>
      </c>
      <c r="B78" s="3" t="s">
        <v>174</v>
      </c>
      <c r="C78" s="3" t="s">
        <v>8</v>
      </c>
      <c r="D78" s="3" t="s">
        <v>46</v>
      </c>
      <c r="E78" s="4">
        <v>44142</v>
      </c>
      <c r="F78" s="3" t="s">
        <v>32</v>
      </c>
    </row>
    <row r="79" spans="1:6" x14ac:dyDescent="0.25">
      <c r="A79" s="3" t="s">
        <v>396</v>
      </c>
      <c r="B79" s="3" t="s">
        <v>2957</v>
      </c>
      <c r="C79" s="3" t="s">
        <v>57</v>
      </c>
      <c r="D79" s="3" t="s">
        <v>21</v>
      </c>
      <c r="E79" s="4">
        <v>44081</v>
      </c>
      <c r="F79" s="3"/>
    </row>
    <row r="80" spans="1:6" x14ac:dyDescent="0.25">
      <c r="A80" s="3" t="s">
        <v>175</v>
      </c>
      <c r="B80" s="3" t="s">
        <v>176</v>
      </c>
      <c r="C80" s="3" t="s">
        <v>8</v>
      </c>
      <c r="D80" s="3" t="s">
        <v>31</v>
      </c>
      <c r="E80" s="4">
        <v>44071</v>
      </c>
      <c r="F80" s="3" t="s">
        <v>32</v>
      </c>
    </row>
    <row r="81" spans="1:6" x14ac:dyDescent="0.25">
      <c r="A81" s="3" t="s">
        <v>177</v>
      </c>
      <c r="B81" s="3" t="s">
        <v>178</v>
      </c>
      <c r="C81" s="3" t="s">
        <v>8</v>
      </c>
      <c r="D81" s="3" t="s">
        <v>46</v>
      </c>
      <c r="E81" s="4">
        <v>44853</v>
      </c>
      <c r="F81" s="3" t="s">
        <v>10</v>
      </c>
    </row>
    <row r="82" spans="1:6" x14ac:dyDescent="0.25">
      <c r="A82" s="3" t="s">
        <v>179</v>
      </c>
      <c r="B82" s="3" t="s">
        <v>180</v>
      </c>
      <c r="C82" s="3" t="s">
        <v>8</v>
      </c>
      <c r="D82" s="3" t="s">
        <v>31</v>
      </c>
      <c r="E82" s="4">
        <v>45173</v>
      </c>
      <c r="F82" s="3" t="s">
        <v>18</v>
      </c>
    </row>
    <row r="83" spans="1:6" x14ac:dyDescent="0.25">
      <c r="A83" s="3" t="s">
        <v>181</v>
      </c>
      <c r="B83" s="3" t="s">
        <v>182</v>
      </c>
      <c r="C83" s="3" t="s">
        <v>17</v>
      </c>
      <c r="D83" s="3" t="s">
        <v>21</v>
      </c>
      <c r="E83" s="4">
        <v>44708</v>
      </c>
      <c r="F83" s="3" t="s">
        <v>10</v>
      </c>
    </row>
    <row r="84" spans="1:6" x14ac:dyDescent="0.25">
      <c r="A84" s="3" t="s">
        <v>183</v>
      </c>
      <c r="B84" s="3" t="s">
        <v>184</v>
      </c>
      <c r="C84" s="3" t="s">
        <v>8</v>
      </c>
      <c r="D84" s="3" t="s">
        <v>13</v>
      </c>
      <c r="E84" s="4">
        <v>45091</v>
      </c>
      <c r="F84" s="3" t="s">
        <v>10</v>
      </c>
    </row>
    <row r="85" spans="1:6" x14ac:dyDescent="0.25">
      <c r="A85" s="3" t="s">
        <v>185</v>
      </c>
      <c r="B85" s="3" t="s">
        <v>186</v>
      </c>
      <c r="C85" s="3" t="s">
        <v>17</v>
      </c>
      <c r="D85" s="3" t="s">
        <v>13</v>
      </c>
      <c r="E85" s="4">
        <v>44762</v>
      </c>
      <c r="F85" s="3" t="s">
        <v>32</v>
      </c>
    </row>
    <row r="86" spans="1:6" x14ac:dyDescent="0.25">
      <c r="A86" s="3" t="s">
        <v>187</v>
      </c>
      <c r="B86" s="3" t="s">
        <v>188</v>
      </c>
      <c r="C86" s="3" t="s">
        <v>57</v>
      </c>
      <c r="D86" s="3" t="s">
        <v>21</v>
      </c>
      <c r="E86" s="4">
        <v>44843</v>
      </c>
      <c r="F86" s="3" t="s">
        <v>28</v>
      </c>
    </row>
    <row r="87" spans="1:6" x14ac:dyDescent="0.25">
      <c r="A87" s="3" t="s">
        <v>189</v>
      </c>
      <c r="B87" s="3" t="s">
        <v>190</v>
      </c>
      <c r="C87" s="3" t="s">
        <v>17</v>
      </c>
      <c r="D87" s="3" t="s">
        <v>9</v>
      </c>
      <c r="E87" s="4">
        <v>43967</v>
      </c>
      <c r="F87" s="3" t="s">
        <v>14</v>
      </c>
    </row>
    <row r="88" spans="1:6" x14ac:dyDescent="0.25">
      <c r="A88" s="3" t="s">
        <v>191</v>
      </c>
      <c r="B88" s="3" t="s">
        <v>192</v>
      </c>
      <c r="C88" s="3" t="s">
        <v>57</v>
      </c>
      <c r="D88" s="3" t="s">
        <v>31</v>
      </c>
      <c r="E88" s="4">
        <v>44755</v>
      </c>
      <c r="F88" s="3" t="s">
        <v>32</v>
      </c>
    </row>
    <row r="89" spans="1:6" x14ac:dyDescent="0.25">
      <c r="A89" s="3" t="s">
        <v>193</v>
      </c>
      <c r="B89" s="3" t="s">
        <v>194</v>
      </c>
      <c r="C89" s="3" t="s">
        <v>8</v>
      </c>
      <c r="D89" s="3" t="s">
        <v>9</v>
      </c>
      <c r="E89" s="4">
        <v>44874</v>
      </c>
      <c r="F89" s="3" t="s">
        <v>18</v>
      </c>
    </row>
    <row r="90" spans="1:6" x14ac:dyDescent="0.25">
      <c r="A90" s="3" t="s">
        <v>195</v>
      </c>
      <c r="B90" s="3" t="s">
        <v>196</v>
      </c>
      <c r="C90" s="3" t="s">
        <v>8</v>
      </c>
      <c r="D90" s="3" t="s">
        <v>9</v>
      </c>
      <c r="E90" s="4">
        <v>44891</v>
      </c>
      <c r="F90" s="3" t="s">
        <v>32</v>
      </c>
    </row>
    <row r="91" spans="1:6" x14ac:dyDescent="0.25">
      <c r="A91" s="3" t="s">
        <v>197</v>
      </c>
      <c r="B91" s="3" t="s">
        <v>198</v>
      </c>
      <c r="C91" s="3" t="s">
        <v>8</v>
      </c>
      <c r="D91" s="3" t="s">
        <v>46</v>
      </c>
      <c r="E91" s="4">
        <v>43714</v>
      </c>
      <c r="F91" s="3" t="s">
        <v>14</v>
      </c>
    </row>
    <row r="92" spans="1:6" x14ac:dyDescent="0.25">
      <c r="A92" s="3" t="s">
        <v>199</v>
      </c>
      <c r="B92" s="3" t="s">
        <v>200</v>
      </c>
      <c r="C92" s="3" t="s">
        <v>8</v>
      </c>
      <c r="D92" s="3" t="s">
        <v>13</v>
      </c>
      <c r="E92" s="4">
        <v>44610</v>
      </c>
      <c r="F92" s="3" t="s">
        <v>32</v>
      </c>
    </row>
    <row r="93" spans="1:6" x14ac:dyDescent="0.25">
      <c r="A93" s="3" t="s">
        <v>201</v>
      </c>
      <c r="B93" s="3" t="s">
        <v>202</v>
      </c>
      <c r="C93" s="3" t="s">
        <v>57</v>
      </c>
      <c r="D93" s="3" t="s">
        <v>37</v>
      </c>
      <c r="E93" s="4">
        <v>44939</v>
      </c>
      <c r="F93" s="3" t="s">
        <v>32</v>
      </c>
    </row>
    <row r="94" spans="1:6" x14ac:dyDescent="0.25">
      <c r="A94" s="3" t="s">
        <v>203</v>
      </c>
      <c r="B94" s="3" t="s">
        <v>204</v>
      </c>
      <c r="C94" s="3" t="s">
        <v>57</v>
      </c>
      <c r="D94" s="3" t="s">
        <v>21</v>
      </c>
      <c r="E94" s="4">
        <v>44438</v>
      </c>
      <c r="F94" s="3" t="s">
        <v>14</v>
      </c>
    </row>
    <row r="95" spans="1:6" x14ac:dyDescent="0.25">
      <c r="A95" s="3" t="s">
        <v>205</v>
      </c>
      <c r="B95" s="3" t="s">
        <v>206</v>
      </c>
      <c r="C95" s="3" t="s">
        <v>8</v>
      </c>
      <c r="D95" s="3" t="s">
        <v>21</v>
      </c>
      <c r="E95" s="4">
        <v>44533</v>
      </c>
      <c r="F95" s="3" t="s">
        <v>14</v>
      </c>
    </row>
    <row r="96" spans="1:6" x14ac:dyDescent="0.25">
      <c r="A96" s="3" t="s">
        <v>207</v>
      </c>
      <c r="B96" s="3" t="s">
        <v>208</v>
      </c>
      <c r="C96" s="3" t="s">
        <v>8</v>
      </c>
      <c r="D96" s="3" t="s">
        <v>9</v>
      </c>
      <c r="E96" s="4">
        <v>44153</v>
      </c>
      <c r="F96" s="3" t="s">
        <v>28</v>
      </c>
    </row>
    <row r="97" spans="1:6" x14ac:dyDescent="0.25">
      <c r="A97" s="3" t="s">
        <v>209</v>
      </c>
      <c r="B97" s="3" t="s">
        <v>210</v>
      </c>
      <c r="C97" s="3" t="s">
        <v>17</v>
      </c>
      <c r="D97" s="3" t="s">
        <v>9</v>
      </c>
      <c r="E97" s="4">
        <v>44887</v>
      </c>
      <c r="F97" s="3" t="s">
        <v>22</v>
      </c>
    </row>
    <row r="98" spans="1:6" x14ac:dyDescent="0.25">
      <c r="A98" s="3" t="s">
        <v>211</v>
      </c>
      <c r="B98" s="3" t="s">
        <v>212</v>
      </c>
      <c r="C98" s="3" t="s">
        <v>8</v>
      </c>
      <c r="D98" s="3" t="s">
        <v>31</v>
      </c>
      <c r="E98" s="4">
        <v>43593</v>
      </c>
      <c r="F98" s="3" t="s">
        <v>22</v>
      </c>
    </row>
    <row r="99" spans="1:6" x14ac:dyDescent="0.25">
      <c r="A99" s="3" t="s">
        <v>213</v>
      </c>
      <c r="B99" s="3" t="s">
        <v>214</v>
      </c>
      <c r="C99" s="3" t="s">
        <v>17</v>
      </c>
      <c r="D99" s="3" t="s">
        <v>25</v>
      </c>
      <c r="E99" s="4">
        <v>44645</v>
      </c>
      <c r="F99" s="3" t="s">
        <v>14</v>
      </c>
    </row>
    <row r="100" spans="1:6" x14ac:dyDescent="0.25">
      <c r="A100" s="3" t="s">
        <v>215</v>
      </c>
      <c r="B100" s="3" t="s">
        <v>216</v>
      </c>
      <c r="C100" s="3" t="s">
        <v>57</v>
      </c>
      <c r="D100" s="3" t="s">
        <v>9</v>
      </c>
      <c r="E100" s="4">
        <v>44264</v>
      </c>
      <c r="F100" s="3" t="s">
        <v>14</v>
      </c>
    </row>
    <row r="101" spans="1:6" x14ac:dyDescent="0.25">
      <c r="A101" s="3" t="s">
        <v>217</v>
      </c>
      <c r="B101" s="3" t="s">
        <v>218</v>
      </c>
      <c r="C101" s="3" t="s">
        <v>17</v>
      </c>
      <c r="D101" s="3" t="s">
        <v>9</v>
      </c>
      <c r="E101" s="4">
        <v>44358</v>
      </c>
      <c r="F101" s="3" t="s">
        <v>14</v>
      </c>
    </row>
    <row r="102" spans="1:6" x14ac:dyDescent="0.25">
      <c r="A102" s="3" t="s">
        <v>219</v>
      </c>
      <c r="B102" s="3" t="s">
        <v>220</v>
      </c>
      <c r="C102" s="3" t="s">
        <v>17</v>
      </c>
      <c r="D102" s="3" t="s">
        <v>31</v>
      </c>
      <c r="E102" s="4">
        <v>43727</v>
      </c>
      <c r="F102" s="3" t="s">
        <v>32</v>
      </c>
    </row>
    <row r="103" spans="1:6" x14ac:dyDescent="0.25">
      <c r="A103" s="3" t="s">
        <v>221</v>
      </c>
      <c r="B103" s="3" t="s">
        <v>222</v>
      </c>
      <c r="C103" s="3" t="s">
        <v>8</v>
      </c>
      <c r="D103" s="3" t="s">
        <v>9</v>
      </c>
      <c r="E103" s="4">
        <v>44782</v>
      </c>
      <c r="F103" s="3" t="s">
        <v>14</v>
      </c>
    </row>
    <row r="104" spans="1:6" x14ac:dyDescent="0.25">
      <c r="A104" s="3" t="s">
        <v>223</v>
      </c>
      <c r="B104" s="3" t="s">
        <v>224</v>
      </c>
      <c r="C104" s="3" t="s">
        <v>8</v>
      </c>
      <c r="D104" s="3" t="s">
        <v>9</v>
      </c>
      <c r="E104" s="4">
        <v>44242</v>
      </c>
      <c r="F104" s="3" t="s">
        <v>28</v>
      </c>
    </row>
    <row r="105" spans="1:6" x14ac:dyDescent="0.25">
      <c r="A105" s="3" t="s">
        <v>225</v>
      </c>
      <c r="B105" s="3" t="s">
        <v>226</v>
      </c>
      <c r="C105" s="3" t="s">
        <v>8</v>
      </c>
      <c r="D105" s="3" t="s">
        <v>21</v>
      </c>
      <c r="E105" s="4">
        <v>44242</v>
      </c>
      <c r="F105" s="3" t="s">
        <v>28</v>
      </c>
    </row>
    <row r="106" spans="1:6" x14ac:dyDescent="0.25">
      <c r="A106" s="3" t="s">
        <v>227</v>
      </c>
      <c r="B106" s="3" t="s">
        <v>228</v>
      </c>
      <c r="C106" s="3" t="s">
        <v>57</v>
      </c>
      <c r="D106" s="3" t="s">
        <v>31</v>
      </c>
      <c r="E106" s="4">
        <v>45000</v>
      </c>
      <c r="F106" s="3" t="s">
        <v>32</v>
      </c>
    </row>
    <row r="107" spans="1:6" x14ac:dyDescent="0.25">
      <c r="A107" s="3" t="s">
        <v>229</v>
      </c>
      <c r="B107" s="3" t="s">
        <v>230</v>
      </c>
      <c r="C107" s="3" t="s">
        <v>17</v>
      </c>
      <c r="D107" s="3" t="s">
        <v>9</v>
      </c>
      <c r="E107" s="4">
        <v>44800</v>
      </c>
      <c r="F107" s="3" t="s">
        <v>18</v>
      </c>
    </row>
    <row r="108" spans="1:6" x14ac:dyDescent="0.25">
      <c r="A108" s="3" t="s">
        <v>231</v>
      </c>
      <c r="B108" s="3" t="s">
        <v>232</v>
      </c>
      <c r="C108" s="3" t="s">
        <v>17</v>
      </c>
      <c r="D108" s="3" t="s">
        <v>9</v>
      </c>
      <c r="E108" s="4">
        <v>43778</v>
      </c>
      <c r="F108" s="3" t="s">
        <v>22</v>
      </c>
    </row>
    <row r="109" spans="1:6" x14ac:dyDescent="0.25">
      <c r="A109" s="3" t="s">
        <v>233</v>
      </c>
      <c r="B109" s="3" t="s">
        <v>234</v>
      </c>
      <c r="C109" s="3" t="s">
        <v>8</v>
      </c>
      <c r="D109" s="3" t="s">
        <v>13</v>
      </c>
      <c r="E109" s="4">
        <v>43912</v>
      </c>
      <c r="F109" s="3" t="s">
        <v>14</v>
      </c>
    </row>
    <row r="110" spans="1:6" x14ac:dyDescent="0.25">
      <c r="A110" s="3" t="s">
        <v>235</v>
      </c>
      <c r="B110" s="3" t="s">
        <v>236</v>
      </c>
      <c r="C110" s="3" t="s">
        <v>57</v>
      </c>
      <c r="D110" s="3" t="s">
        <v>21</v>
      </c>
      <c r="E110" s="4">
        <v>45058</v>
      </c>
      <c r="F110" s="3" t="s">
        <v>22</v>
      </c>
    </row>
    <row r="111" spans="1:6" x14ac:dyDescent="0.25">
      <c r="A111" s="3" t="s">
        <v>237</v>
      </c>
      <c r="B111" s="3" t="s">
        <v>238</v>
      </c>
      <c r="C111" s="3" t="s">
        <v>8</v>
      </c>
      <c r="D111" s="3" t="s">
        <v>46</v>
      </c>
      <c r="E111" s="4">
        <v>44645</v>
      </c>
      <c r="F111" s="3" t="s">
        <v>10</v>
      </c>
    </row>
    <row r="112" spans="1:6" x14ac:dyDescent="0.25">
      <c r="A112" s="3" t="s">
        <v>239</v>
      </c>
      <c r="B112" s="3" t="s">
        <v>240</v>
      </c>
      <c r="C112" s="3" t="s">
        <v>57</v>
      </c>
      <c r="D112" s="3" t="s">
        <v>9</v>
      </c>
      <c r="E112" s="4">
        <v>44678</v>
      </c>
      <c r="F112" s="3" t="s">
        <v>10</v>
      </c>
    </row>
    <row r="113" spans="1:6" x14ac:dyDescent="0.25">
      <c r="A113" s="3" t="s">
        <v>241</v>
      </c>
      <c r="B113" s="3" t="s">
        <v>242</v>
      </c>
      <c r="C113" s="3" t="s">
        <v>8</v>
      </c>
      <c r="D113" s="3" t="s">
        <v>9</v>
      </c>
      <c r="E113" s="4">
        <v>44867</v>
      </c>
      <c r="F113" s="3" t="s">
        <v>32</v>
      </c>
    </row>
    <row r="114" spans="1:6" x14ac:dyDescent="0.25">
      <c r="A114" s="3" t="s">
        <v>243</v>
      </c>
      <c r="B114" s="3" t="s">
        <v>244</v>
      </c>
      <c r="C114" s="3" t="s">
        <v>17</v>
      </c>
      <c r="D114" s="3" t="s">
        <v>13</v>
      </c>
      <c r="E114" s="4">
        <v>44820</v>
      </c>
      <c r="F114" s="3" t="s">
        <v>28</v>
      </c>
    </row>
    <row r="115" spans="1:6" x14ac:dyDescent="0.25">
      <c r="A115" s="3" t="s">
        <v>245</v>
      </c>
      <c r="B115" s="3" t="s">
        <v>246</v>
      </c>
      <c r="C115" s="3" t="s">
        <v>8</v>
      </c>
      <c r="D115" s="3" t="s">
        <v>31</v>
      </c>
      <c r="E115" s="4">
        <v>45163</v>
      </c>
      <c r="F115" s="3" t="s">
        <v>14</v>
      </c>
    </row>
    <row r="116" spans="1:6" x14ac:dyDescent="0.25">
      <c r="A116" s="3" t="s">
        <v>247</v>
      </c>
      <c r="B116" s="3" t="s">
        <v>248</v>
      </c>
      <c r="C116" s="3" t="s">
        <v>17</v>
      </c>
      <c r="D116" s="3" t="s">
        <v>13</v>
      </c>
      <c r="E116" s="4">
        <v>44798</v>
      </c>
      <c r="F116" s="3" t="s">
        <v>28</v>
      </c>
    </row>
    <row r="117" spans="1:6" x14ac:dyDescent="0.25">
      <c r="A117" s="3" t="s">
        <v>249</v>
      </c>
      <c r="B117" s="3" t="s">
        <v>250</v>
      </c>
      <c r="C117" s="3" t="s">
        <v>57</v>
      </c>
      <c r="D117" s="3" t="s">
        <v>21</v>
      </c>
      <c r="E117" s="4">
        <v>44418</v>
      </c>
      <c r="F117" s="3" t="s">
        <v>14</v>
      </c>
    </row>
    <row r="118" spans="1:6" x14ac:dyDescent="0.25">
      <c r="A118" s="3" t="s">
        <v>251</v>
      </c>
      <c r="B118" s="3" t="s">
        <v>252</v>
      </c>
      <c r="C118" s="3" t="s">
        <v>17</v>
      </c>
      <c r="D118" s="3" t="s">
        <v>46</v>
      </c>
      <c r="E118" s="4">
        <v>44037</v>
      </c>
      <c r="F118" s="3" t="s">
        <v>14</v>
      </c>
    </row>
    <row r="119" spans="1:6" x14ac:dyDescent="0.25">
      <c r="A119" s="3" t="s">
        <v>253</v>
      </c>
      <c r="B119" s="3" t="s">
        <v>254</v>
      </c>
      <c r="C119" s="3" t="s">
        <v>8</v>
      </c>
      <c r="D119" s="3" t="s">
        <v>9</v>
      </c>
      <c r="E119" s="4">
        <v>45208</v>
      </c>
      <c r="F119" s="3" t="s">
        <v>28</v>
      </c>
    </row>
    <row r="120" spans="1:6" x14ac:dyDescent="0.25">
      <c r="A120" s="3" t="s">
        <v>255</v>
      </c>
      <c r="B120" s="3" t="s">
        <v>256</v>
      </c>
      <c r="C120" s="3" t="s">
        <v>17</v>
      </c>
      <c r="D120" s="3" t="s">
        <v>21</v>
      </c>
      <c r="E120" s="4">
        <v>44163</v>
      </c>
      <c r="F120" s="3" t="s">
        <v>28</v>
      </c>
    </row>
    <row r="121" spans="1:6" x14ac:dyDescent="0.25">
      <c r="A121" s="3" t="s">
        <v>257</v>
      </c>
      <c r="B121" s="3" t="s">
        <v>258</v>
      </c>
      <c r="C121" s="3" t="s">
        <v>57</v>
      </c>
      <c r="D121" s="3" t="s">
        <v>13</v>
      </c>
      <c r="E121" s="4">
        <v>44524</v>
      </c>
      <c r="F121" s="3" t="s">
        <v>22</v>
      </c>
    </row>
    <row r="122" spans="1:6" x14ac:dyDescent="0.25">
      <c r="A122" s="3" t="s">
        <v>259</v>
      </c>
      <c r="B122" s="3" t="s">
        <v>260</v>
      </c>
      <c r="C122" s="3" t="s">
        <v>8</v>
      </c>
      <c r="D122" s="3" t="s">
        <v>31</v>
      </c>
      <c r="E122" s="4">
        <v>45018</v>
      </c>
      <c r="F122" s="3" t="s">
        <v>22</v>
      </c>
    </row>
    <row r="123" spans="1:6" x14ac:dyDescent="0.25">
      <c r="A123" s="3" t="s">
        <v>261</v>
      </c>
      <c r="B123" s="3" t="s">
        <v>262</v>
      </c>
      <c r="C123" s="3" t="s">
        <v>8</v>
      </c>
      <c r="D123" s="3" t="s">
        <v>31</v>
      </c>
      <c r="E123" s="4">
        <v>43501</v>
      </c>
      <c r="F123" s="3" t="s">
        <v>18</v>
      </c>
    </row>
    <row r="124" spans="1:6" x14ac:dyDescent="0.25">
      <c r="A124" s="3" t="s">
        <v>263</v>
      </c>
      <c r="B124" s="3" t="s">
        <v>264</v>
      </c>
      <c r="C124" s="3" t="s">
        <v>8</v>
      </c>
      <c r="D124" s="3" t="s">
        <v>9</v>
      </c>
      <c r="E124" s="4">
        <v>44825</v>
      </c>
      <c r="F124" s="3" t="s">
        <v>32</v>
      </c>
    </row>
    <row r="125" spans="1:6" x14ac:dyDescent="0.25">
      <c r="A125" s="3" t="s">
        <v>265</v>
      </c>
      <c r="B125" s="3" t="s">
        <v>266</v>
      </c>
      <c r="C125" s="3" t="s">
        <v>8</v>
      </c>
      <c r="D125" s="3" t="s">
        <v>9</v>
      </c>
      <c r="E125" s="4">
        <v>44993</v>
      </c>
      <c r="F125" s="3" t="s">
        <v>32</v>
      </c>
    </row>
    <row r="126" spans="1:6" x14ac:dyDescent="0.25">
      <c r="A126" s="3" t="s">
        <v>267</v>
      </c>
      <c r="B126" s="3" t="s">
        <v>268</v>
      </c>
      <c r="C126" s="3" t="s">
        <v>8</v>
      </c>
      <c r="D126" s="3" t="s">
        <v>9</v>
      </c>
      <c r="E126" s="4">
        <v>43980</v>
      </c>
      <c r="F126" s="3" t="s">
        <v>22</v>
      </c>
    </row>
    <row r="127" spans="1:6" x14ac:dyDescent="0.25">
      <c r="A127" s="3" t="s">
        <v>269</v>
      </c>
      <c r="B127" s="3" t="s">
        <v>270</v>
      </c>
      <c r="C127" s="3" t="s">
        <v>17</v>
      </c>
      <c r="D127" s="3" t="s">
        <v>31</v>
      </c>
      <c r="E127" s="4">
        <v>44949</v>
      </c>
      <c r="F127" s="3" t="s">
        <v>32</v>
      </c>
    </row>
    <row r="128" spans="1:6" x14ac:dyDescent="0.25">
      <c r="A128" s="3" t="s">
        <v>271</v>
      </c>
      <c r="B128" s="3" t="s">
        <v>272</v>
      </c>
      <c r="C128" s="3" t="s">
        <v>8</v>
      </c>
      <c r="D128" s="3" t="s">
        <v>9</v>
      </c>
      <c r="E128" s="4">
        <v>43863</v>
      </c>
      <c r="F128" s="3" t="s">
        <v>28</v>
      </c>
    </row>
    <row r="129" spans="1:6" x14ac:dyDescent="0.25">
      <c r="A129" s="3" t="s">
        <v>273</v>
      </c>
      <c r="B129" s="3" t="s">
        <v>274</v>
      </c>
      <c r="C129" s="3" t="s">
        <v>17</v>
      </c>
      <c r="D129" s="3" t="s">
        <v>9</v>
      </c>
      <c r="E129" s="4">
        <v>44559</v>
      </c>
      <c r="F129" s="3" t="s">
        <v>22</v>
      </c>
    </row>
    <row r="130" spans="1:6" x14ac:dyDescent="0.25">
      <c r="A130" s="3" t="s">
        <v>275</v>
      </c>
      <c r="B130" s="3" t="s">
        <v>276</v>
      </c>
      <c r="C130" s="3" t="s">
        <v>57</v>
      </c>
      <c r="D130" s="3" t="s">
        <v>13</v>
      </c>
      <c r="E130" s="4">
        <v>44894</v>
      </c>
      <c r="F130" s="3" t="s">
        <v>22</v>
      </c>
    </row>
    <row r="131" spans="1:6" x14ac:dyDescent="0.25">
      <c r="A131" s="3" t="s">
        <v>277</v>
      </c>
      <c r="B131" s="3" t="s">
        <v>278</v>
      </c>
      <c r="C131" s="3" t="s">
        <v>8</v>
      </c>
      <c r="D131" s="3" t="s">
        <v>31</v>
      </c>
      <c r="E131" s="4">
        <v>44163</v>
      </c>
      <c r="F131" s="3" t="s">
        <v>22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8FA94-41D9-4133-900E-A02D0DD0D505}">
  <sheetPr codeName="Sheet4"/>
  <dimension ref="A1:V2616"/>
  <sheetViews>
    <sheetView topLeftCell="A2" zoomScale="67" zoomScaleNormal="100" workbookViewId="0">
      <selection activeCell="V3" sqref="V3"/>
    </sheetView>
  </sheetViews>
  <sheetFormatPr defaultRowHeight="15" x14ac:dyDescent="0.25"/>
  <cols>
    <col min="1" max="1" width="15.85546875" bestFit="1" customWidth="1"/>
    <col min="2" max="2" width="18.140625" bestFit="1" customWidth="1"/>
    <col min="3" max="3" width="14.28515625" bestFit="1" customWidth="1"/>
    <col min="4" max="4" width="12" bestFit="1" customWidth="1"/>
    <col min="5" max="5" width="10.28515625" bestFit="1" customWidth="1"/>
    <col min="6" max="6" width="10.42578125" bestFit="1" customWidth="1"/>
    <col min="7" max="7" width="18.140625" bestFit="1" customWidth="1"/>
    <col min="8" max="8" width="19.28515625" bestFit="1" customWidth="1"/>
    <col min="9" max="9" width="11.28515625" bestFit="1" customWidth="1"/>
    <col min="10" max="10" width="15.140625" customWidth="1"/>
    <col min="12" max="12" width="10" bestFit="1" customWidth="1"/>
    <col min="13" max="14" width="15.140625" customWidth="1"/>
    <col min="15" max="15" width="18.28515625" bestFit="1" customWidth="1"/>
    <col min="16" max="16" width="23.7109375" bestFit="1" customWidth="1"/>
    <col min="17" max="17" width="11.7109375" bestFit="1" customWidth="1"/>
    <col min="18" max="18" width="20.140625" bestFit="1" customWidth="1"/>
    <col min="19" max="19" width="23" bestFit="1" customWidth="1"/>
    <col min="21" max="21" width="20" bestFit="1" customWidth="1"/>
    <col min="22" max="22" width="23" customWidth="1"/>
    <col min="23" max="23" width="24.7109375" bestFit="1" customWidth="1"/>
    <col min="25" max="25" width="23.7109375" bestFit="1" customWidth="1"/>
    <col min="26" max="26" width="22" bestFit="1" customWidth="1"/>
    <col min="27" max="27" width="24.7109375" bestFit="1" customWidth="1"/>
  </cols>
  <sheetData>
    <row r="1" spans="1:22" x14ac:dyDescent="0.25">
      <c r="A1" t="s">
        <v>317</v>
      </c>
      <c r="B1" t="s">
        <v>318</v>
      </c>
      <c r="C1" t="s">
        <v>0</v>
      </c>
      <c r="D1" t="s">
        <v>289</v>
      </c>
      <c r="E1" t="s">
        <v>319</v>
      </c>
      <c r="F1" t="s">
        <v>320</v>
      </c>
      <c r="G1" t="s">
        <v>321</v>
      </c>
      <c r="H1" t="s">
        <v>322</v>
      </c>
      <c r="I1" t="s">
        <v>2</v>
      </c>
      <c r="J1" t="s">
        <v>3</v>
      </c>
      <c r="K1" t="s">
        <v>5</v>
      </c>
      <c r="L1" t="s">
        <v>290</v>
      </c>
      <c r="M1" t="s">
        <v>291</v>
      </c>
      <c r="N1" t="s">
        <v>293</v>
      </c>
      <c r="O1" t="s">
        <v>5248</v>
      </c>
      <c r="P1" t="s">
        <v>5249</v>
      </c>
      <c r="Q1" t="s">
        <v>5250</v>
      </c>
      <c r="R1" t="s">
        <v>5251</v>
      </c>
      <c r="S1" t="s">
        <v>5253</v>
      </c>
      <c r="T1" t="s">
        <v>5254</v>
      </c>
      <c r="U1" t="s">
        <v>5255</v>
      </c>
      <c r="V1" t="s">
        <v>5252</v>
      </c>
    </row>
    <row r="2" spans="1:22" x14ac:dyDescent="0.25">
      <c r="A2" t="s">
        <v>323</v>
      </c>
      <c r="B2" s="1">
        <v>45451</v>
      </c>
      <c r="C2" t="s">
        <v>163</v>
      </c>
      <c r="D2" t="s">
        <v>294</v>
      </c>
      <c r="E2">
        <v>385.62</v>
      </c>
      <c r="F2" t="s">
        <v>324</v>
      </c>
      <c r="G2" t="s">
        <v>325</v>
      </c>
      <c r="I2" t="s">
        <v>17</v>
      </c>
      <c r="J2" t="s">
        <v>102</v>
      </c>
      <c r="K2" t="s">
        <v>18</v>
      </c>
      <c r="L2" t="s">
        <v>295</v>
      </c>
      <c r="M2" t="s">
        <v>296</v>
      </c>
      <c r="N2">
        <v>2.9000000000000001E-2</v>
      </c>
      <c r="O2" t="str">
        <f>IF(Transactions_RAW_cleaned[[#This Row],[Status]]="Completed", IFERROR(_xlfn.XLOOKUP(Transactions_RAW_cleaned[[#This Row],[CustomerID]], Customers_cleaned[CustomerID], Customers_cleaned[Segment]), "Customer Not Found"), "N/A")</f>
        <v>Enterprise</v>
      </c>
      <c r="P2" s="5" t="str">
        <f>IF(Transactions_RAW_cleaned[[#This Row],[Status]]="Refunded", "Refund",
  IF(Transactions_RAW_cleaned[[#This Row],[Category]]="Payments", IF(Transactions_RAW_cleaned[[#This Row],[Amount]]&gt;500,"High Value","Standard"),
    IF(Transactions_RAW_cleaned[[#This Row],[Amount]]&gt;250,"High Value","Standard")))</f>
        <v>Standard</v>
      </c>
      <c r="Q2" s="5" t="str">
        <f>IF(Transactions_RAW_cleaned[[#This Row],[Amount]] &gt; (_xlfn.XLOOKUP(Transactions_RAW_cleaned[[#This Row],[ServiceID]],Services_cleaned[ServiceID],Services_cleaned[TransactionFeePct]) * 10000), "Yes", "No")</f>
        <v>Yes</v>
      </c>
      <c r="R2" s="5" t="str">
        <f>IF(COUNTIFS($C$2:Transactions_RAW_cleaned[[#This Row],[CustomerID]],Transactions_RAW_cleaned[[#This Row],[CustomerID]],$D$2:Transactions_RAW_cleaned[[#This Row],[ServiceID]],Transactions_RAW_cleaned[[#This Row],[ServiceID]])=1,"Yes","No")</f>
        <v>Yes</v>
      </c>
      <c r="S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 t="str">
        <f>"Q"&amp;ROUNDUP(MONTH(Transactions_RAW_cleaned[[#This Row],[TransactionDate]])/3,0)</f>
        <v>Q2</v>
      </c>
      <c r="U2" t="str">
        <f>Transactions_RAW_cleaned[[#This Row],[Region ]]&amp;Transactions_RAW_cleaned[[#This Row],[Quarter ]]</f>
        <v>NAQ2</v>
      </c>
      <c r="V2" s="5">
        <f>_xlfn.XLOOKUP(Transactions_RAW_cleaned[[#This Row],[RegionQuarterKey]], Quarterly_Targets_cleaned[RegionQuarterKey], Quarterly_Targets_cleaned[TargetRevenue])</f>
        <v>260000</v>
      </c>
    </row>
    <row r="3" spans="1:22" x14ac:dyDescent="0.25">
      <c r="A3" t="s">
        <v>408</v>
      </c>
      <c r="B3" s="1">
        <v>45497</v>
      </c>
      <c r="C3" t="s">
        <v>163</v>
      </c>
      <c r="D3" t="s">
        <v>294</v>
      </c>
      <c r="E3">
        <v>487.38</v>
      </c>
      <c r="F3" t="s">
        <v>324</v>
      </c>
      <c r="G3" t="s">
        <v>2963</v>
      </c>
      <c r="H3" t="s">
        <v>346</v>
      </c>
      <c r="I3" t="s">
        <v>17</v>
      </c>
      <c r="J3" t="s">
        <v>102</v>
      </c>
      <c r="K3" t="s">
        <v>18</v>
      </c>
      <c r="L3" t="s">
        <v>295</v>
      </c>
      <c r="M3" t="s">
        <v>296</v>
      </c>
      <c r="N3">
        <v>2.9000000000000001E-2</v>
      </c>
      <c r="O3" t="str">
        <f>IF(Transactions_RAW_cleaned[[#This Row],[Status]]="Completed", IFERROR(_xlfn.XLOOKUP(Transactions_RAW_cleaned[[#This Row],[CustomerID]], Customers_cleaned[CustomerID], Customers_cleaned[Segment]), "Customer Not Found"), "N/A")</f>
        <v>Enterprise</v>
      </c>
      <c r="P3" s="5" t="str">
        <f>IF(Transactions_RAW_cleaned[[#This Row],[Status]]="Refunded", "Refund",
  IF(Transactions_RAW_cleaned[[#This Row],[Category]]="Payments", IF(Transactions_RAW_cleaned[[#This Row],[Amount]]&gt;500,"High Value","Standard"),
    IF(Transactions_RAW_cleaned[[#This Row],[Amount]]&gt;250,"High Value","Standard")))</f>
        <v>Standard</v>
      </c>
      <c r="Q3" s="5" t="str">
        <f>IF(Transactions_RAW_cleaned[[#This Row],[Amount]] &gt; (_xlfn.XLOOKUP(Transactions_RAW_cleaned[[#This Row],[ServiceID]],Services_cleaned[ServiceID],Services_cleaned[TransactionFeePct]) * 10000), "Yes", "No")</f>
        <v>Yes</v>
      </c>
      <c r="R3" s="5" t="str">
        <f>IF(COUNTIFS($C$2:Transactions_RAW_cleaned[[#This Row],[CustomerID]],Transactions_RAW_cleaned[[#This Row],[CustomerID]],$D$2:Transactions_RAW_cleaned[[#This Row],[ServiceID]],Transactions_RAW_cleaned[[#This Row],[ServiceID]])=1,"Yes","No")</f>
        <v>No</v>
      </c>
      <c r="S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 t="str">
        <f>"Q"&amp;ROUNDUP(MONTH(Transactions_RAW_cleaned[[#This Row],[TransactionDate]])/3,0)</f>
        <v>Q3</v>
      </c>
      <c r="U3" t="str">
        <f>Transactions_RAW_cleaned[[#This Row],[Region ]]&amp;Transactions_RAW_cleaned[[#This Row],[Quarter ]]</f>
        <v>NAQ3</v>
      </c>
      <c r="V3" s="5">
        <f>_xlfn.XLOOKUP(Transactions_RAW_cleaned[[#This Row],[RegionQuarterKey]], Quarterly_Targets_cleaned[RegionQuarterKey], Quarterly_Targets_cleaned[TargetRevenue])</f>
        <v>273000</v>
      </c>
    </row>
    <row r="4" spans="1:22" x14ac:dyDescent="0.25">
      <c r="A4" t="s">
        <v>431</v>
      </c>
      <c r="B4" s="1">
        <v>45580</v>
      </c>
      <c r="C4" t="s">
        <v>163</v>
      </c>
      <c r="D4" t="s">
        <v>294</v>
      </c>
      <c r="E4">
        <v>212.2</v>
      </c>
      <c r="F4" t="s">
        <v>324</v>
      </c>
      <c r="G4" t="s">
        <v>327</v>
      </c>
      <c r="H4" t="s">
        <v>346</v>
      </c>
      <c r="I4" t="s">
        <v>17</v>
      </c>
      <c r="J4" t="s">
        <v>102</v>
      </c>
      <c r="K4" t="s">
        <v>18</v>
      </c>
      <c r="L4" t="s">
        <v>295</v>
      </c>
      <c r="M4" t="s">
        <v>296</v>
      </c>
      <c r="N4">
        <v>2.9000000000000001E-2</v>
      </c>
      <c r="O4" t="str">
        <f>IF(Transactions_RAW_cleaned[[#This Row],[Status]]="Completed", IFERROR(_xlfn.XLOOKUP(Transactions_RAW_cleaned[[#This Row],[CustomerID]], Customers_cleaned[CustomerID], Customers_cleaned[Segment]), "Customer Not Found"), "N/A")</f>
        <v>Enterprise</v>
      </c>
      <c r="P4" s="5" t="str">
        <f>IF(Transactions_RAW_cleaned[[#This Row],[Status]]="Refunded", "Refund",
  IF(Transactions_RAW_cleaned[[#This Row],[Category]]="Payments", IF(Transactions_RAW_cleaned[[#This Row],[Amount]]&gt;500,"High Value","Standard"),
    IF(Transactions_RAW_cleaned[[#This Row],[Amount]]&gt;250,"High Value","Standard")))</f>
        <v>Standard</v>
      </c>
      <c r="Q4" s="5" t="str">
        <f>IF(Transactions_RAW_cleaned[[#This Row],[Amount]] &gt; (_xlfn.XLOOKUP(Transactions_RAW_cleaned[[#This Row],[ServiceID]],Services_cleaned[ServiceID],Services_cleaned[TransactionFeePct]) * 10000), "Yes", "No")</f>
        <v>No</v>
      </c>
      <c r="R4" s="5" t="str">
        <f>IF(COUNTIFS($C$2:Transactions_RAW_cleaned[[#This Row],[CustomerID]],Transactions_RAW_cleaned[[#This Row],[CustomerID]],$D$2:Transactions_RAW_cleaned[[#This Row],[ServiceID]],Transactions_RAW_cleaned[[#This Row],[ServiceID]])=1,"Yes","No")</f>
        <v>No</v>
      </c>
      <c r="S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 t="str">
        <f>"Q"&amp;ROUNDUP(MONTH(Transactions_RAW_cleaned[[#This Row],[TransactionDate]])/3,0)</f>
        <v>Q4</v>
      </c>
      <c r="U4" t="str">
        <f>Transactions_RAW_cleaned[[#This Row],[Region ]]&amp;Transactions_RAW_cleaned[[#This Row],[Quarter ]]</f>
        <v>NAQ4</v>
      </c>
      <c r="V4" s="5">
        <f>_xlfn.XLOOKUP(Transactions_RAW_cleaned[[#This Row],[RegionQuarterKey]], Quarterly_Targets_cleaned[RegionQuarterKey], Quarterly_Targets_cleaned[TargetRevenue])</f>
        <v>299000</v>
      </c>
    </row>
    <row r="5" spans="1:22" x14ac:dyDescent="0.25">
      <c r="A5" t="s">
        <v>457</v>
      </c>
      <c r="B5" s="1">
        <v>45511</v>
      </c>
      <c r="C5" t="s">
        <v>15</v>
      </c>
      <c r="D5" t="s">
        <v>294</v>
      </c>
      <c r="E5">
        <v>314</v>
      </c>
      <c r="F5" t="s">
        <v>324</v>
      </c>
      <c r="G5" t="s">
        <v>2963</v>
      </c>
      <c r="H5" t="s">
        <v>334</v>
      </c>
      <c r="I5" t="s">
        <v>17</v>
      </c>
      <c r="J5" t="s">
        <v>102</v>
      </c>
      <c r="K5" t="s">
        <v>18</v>
      </c>
      <c r="L5" t="s">
        <v>295</v>
      </c>
      <c r="M5" t="s">
        <v>296</v>
      </c>
      <c r="N5">
        <v>2.9000000000000001E-2</v>
      </c>
      <c r="O5" t="str">
        <f>IF(Transactions_RAW_cleaned[[#This Row],[Status]]="Completed", IFERROR(_xlfn.XLOOKUP(Transactions_RAW_cleaned[[#This Row],[CustomerID]], Customers_cleaned[CustomerID], Customers_cleaned[Segment]), "Customer Not Found"), "N/A")</f>
        <v>Enterprise</v>
      </c>
      <c r="P5" s="5" t="str">
        <f>IF(Transactions_RAW_cleaned[[#This Row],[Status]]="Refunded", "Refund",
  IF(Transactions_RAW_cleaned[[#This Row],[Category]]="Payments", IF(Transactions_RAW_cleaned[[#This Row],[Amount]]&gt;500,"High Value","Standard"),
    IF(Transactions_RAW_cleaned[[#This Row],[Amount]]&gt;250,"High Value","Standard")))</f>
        <v>Standard</v>
      </c>
      <c r="Q5" s="5" t="str">
        <f>IF(Transactions_RAW_cleaned[[#This Row],[Amount]] &gt; (_xlfn.XLOOKUP(Transactions_RAW_cleaned[[#This Row],[ServiceID]],Services_cleaned[ServiceID],Services_cleaned[TransactionFeePct]) * 10000), "Yes", "No")</f>
        <v>Yes</v>
      </c>
      <c r="R5" s="5" t="str">
        <f>IF(COUNTIFS($C$2:Transactions_RAW_cleaned[[#This Row],[CustomerID]],Transactions_RAW_cleaned[[#This Row],[CustomerID]],$D$2:Transactions_RAW_cleaned[[#This Row],[ServiceID]],Transactions_RAW_cleaned[[#This Row],[ServiceID]])=1,"Yes","No")</f>
        <v>Yes</v>
      </c>
      <c r="S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 t="str">
        <f>"Q"&amp;ROUNDUP(MONTH(Transactions_RAW_cleaned[[#This Row],[TransactionDate]])/3,0)</f>
        <v>Q3</v>
      </c>
      <c r="U5" t="str">
        <f>Transactions_RAW_cleaned[[#This Row],[Region ]]&amp;Transactions_RAW_cleaned[[#This Row],[Quarter ]]</f>
        <v>NAQ3</v>
      </c>
      <c r="V5" s="5">
        <f>_xlfn.XLOOKUP(Transactions_RAW_cleaned[[#This Row],[RegionQuarterKey]], Quarterly_Targets_cleaned[RegionQuarterKey], Quarterly_Targets_cleaned[TargetRevenue])</f>
        <v>273000</v>
      </c>
    </row>
    <row r="6" spans="1:22" x14ac:dyDescent="0.25">
      <c r="A6" t="s">
        <v>326</v>
      </c>
      <c r="B6" s="1">
        <v>45621</v>
      </c>
      <c r="C6" t="s">
        <v>107</v>
      </c>
      <c r="D6" t="s">
        <v>315</v>
      </c>
      <c r="E6">
        <v>111.93</v>
      </c>
      <c r="F6" t="s">
        <v>324</v>
      </c>
      <c r="G6" t="s">
        <v>327</v>
      </c>
      <c r="I6" t="s">
        <v>17</v>
      </c>
      <c r="J6" t="s">
        <v>102</v>
      </c>
      <c r="K6" t="s">
        <v>22</v>
      </c>
      <c r="L6" t="s">
        <v>316</v>
      </c>
      <c r="M6" t="s">
        <v>305</v>
      </c>
      <c r="N6">
        <v>2.5000000000000001E-3</v>
      </c>
      <c r="O6" t="str">
        <f>IF(Transactions_RAW_cleaned[[#This Row],[Status]]="Completed", IFERROR(_xlfn.XLOOKUP(Transactions_RAW_cleaned[[#This Row],[CustomerID]], Customers_cleaned[CustomerID], Customers_cleaned[Segment]), "Customer Not Found"), "N/A")</f>
        <v>Enterprise</v>
      </c>
      <c r="P6" s="5" t="str">
        <f>IF(Transactions_RAW_cleaned[[#This Row],[Status]]="Refunded", "Refund",
  IF(Transactions_RAW_cleaned[[#This Row],[Category]]="Payments", IF(Transactions_RAW_cleaned[[#This Row],[Amount]]&gt;500,"High Value","Standard"),
    IF(Transactions_RAW_cleaned[[#This Row],[Amount]]&gt;250,"High Value","Standard")))</f>
        <v>Standard</v>
      </c>
      <c r="Q6" s="5" t="str">
        <f>IF(Transactions_RAW_cleaned[[#This Row],[Amount]] &gt; (_xlfn.XLOOKUP(Transactions_RAW_cleaned[[#This Row],[ServiceID]],Services_cleaned[ServiceID],Services_cleaned[TransactionFeePct]) * 10000), "Yes", "No")</f>
        <v>Yes</v>
      </c>
      <c r="R6" s="5" t="str">
        <f>IF(COUNTIFS($C$2:Transactions_RAW_cleaned[[#This Row],[CustomerID]],Transactions_RAW_cleaned[[#This Row],[CustomerID]],$D$2:Transactions_RAW_cleaned[[#This Row],[ServiceID]],Transactions_RAW_cleaned[[#This Row],[ServiceID]])=1,"Yes","No")</f>
        <v>Yes</v>
      </c>
      <c r="S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 t="str">
        <f>"Q"&amp;ROUNDUP(MONTH(Transactions_RAW_cleaned[[#This Row],[TransactionDate]])/3,0)</f>
        <v>Q4</v>
      </c>
      <c r="U6" t="str">
        <f>Transactions_RAW_cleaned[[#This Row],[Region ]]&amp;Transactions_RAW_cleaned[[#This Row],[Quarter ]]</f>
        <v>NAQ4</v>
      </c>
      <c r="V6" s="5">
        <f>_xlfn.XLOOKUP(Transactions_RAW_cleaned[[#This Row],[RegionQuarterKey]], Quarterly_Targets_cleaned[RegionQuarterKey], Quarterly_Targets_cleaned[TargetRevenue])</f>
        <v>299000</v>
      </c>
    </row>
    <row r="7" spans="1:22" x14ac:dyDescent="0.25">
      <c r="A7" t="s">
        <v>413</v>
      </c>
      <c r="B7" s="1">
        <v>45494</v>
      </c>
      <c r="C7" t="s">
        <v>15</v>
      </c>
      <c r="D7" t="s">
        <v>303</v>
      </c>
      <c r="E7">
        <v>573.9</v>
      </c>
      <c r="F7" t="s">
        <v>324</v>
      </c>
      <c r="G7" t="s">
        <v>325</v>
      </c>
      <c r="H7" t="s">
        <v>334</v>
      </c>
      <c r="I7" t="s">
        <v>17</v>
      </c>
      <c r="J7" t="s">
        <v>102</v>
      </c>
      <c r="K7" t="s">
        <v>18</v>
      </c>
      <c r="L7" t="s">
        <v>304</v>
      </c>
      <c r="M7" t="s">
        <v>305</v>
      </c>
      <c r="N7">
        <v>1E-3</v>
      </c>
      <c r="O7" t="str">
        <f>IF(Transactions_RAW_cleaned[[#This Row],[Status]]="Completed", IFERROR(_xlfn.XLOOKUP(Transactions_RAW_cleaned[[#This Row],[CustomerID]], Customers_cleaned[CustomerID], Customers_cleaned[Segment]), "Customer Not Found"), "N/A")</f>
        <v>Enterprise</v>
      </c>
      <c r="P7" s="5" t="str">
        <f>IF(Transactions_RAW_cleaned[[#This Row],[Status]]="Refunded", "Refund",
  IF(Transactions_RAW_cleaned[[#This Row],[Category]]="Payments", IF(Transactions_RAW_cleaned[[#This Row],[Amount]]&gt;500,"High Value","Standard"),
    IF(Transactions_RAW_cleaned[[#This Row],[Amount]]&gt;250,"High Value","Standard")))</f>
        <v>High Value</v>
      </c>
      <c r="Q7" s="5" t="str">
        <f>IF(Transactions_RAW_cleaned[[#This Row],[Amount]] &gt; (_xlfn.XLOOKUP(Transactions_RAW_cleaned[[#This Row],[ServiceID]],Services_cleaned[ServiceID],Services_cleaned[TransactionFeePct]) * 10000), "Yes", "No")</f>
        <v>Yes</v>
      </c>
      <c r="R7" s="5" t="str">
        <f>IF(COUNTIFS($C$2:Transactions_RAW_cleaned[[#This Row],[CustomerID]],Transactions_RAW_cleaned[[#This Row],[CustomerID]],$D$2:Transactions_RAW_cleaned[[#This Row],[ServiceID]],Transactions_RAW_cleaned[[#This Row],[ServiceID]])=1,"Yes","No")</f>
        <v>Yes</v>
      </c>
      <c r="S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 t="str">
        <f>"Q"&amp;ROUNDUP(MONTH(Transactions_RAW_cleaned[[#This Row],[TransactionDate]])/3,0)</f>
        <v>Q3</v>
      </c>
      <c r="U7" t="str">
        <f>Transactions_RAW_cleaned[[#This Row],[Region ]]&amp;Transactions_RAW_cleaned[[#This Row],[Quarter ]]</f>
        <v>NAQ3</v>
      </c>
      <c r="V7" s="5">
        <f>_xlfn.XLOOKUP(Transactions_RAW_cleaned[[#This Row],[RegionQuarterKey]], Quarterly_Targets_cleaned[RegionQuarterKey], Quarterly_Targets_cleaned[TargetRevenue])</f>
        <v>273000</v>
      </c>
    </row>
    <row r="8" spans="1:22" x14ac:dyDescent="0.25">
      <c r="A8" t="s">
        <v>342</v>
      </c>
      <c r="B8" s="1">
        <v>45560</v>
      </c>
      <c r="C8" t="s">
        <v>107</v>
      </c>
      <c r="D8" t="s">
        <v>306</v>
      </c>
      <c r="E8">
        <v>359.55</v>
      </c>
      <c r="F8" t="s">
        <v>331</v>
      </c>
      <c r="G8" t="s">
        <v>327</v>
      </c>
      <c r="I8" t="s">
        <v>17</v>
      </c>
      <c r="J8" t="s">
        <v>102</v>
      </c>
      <c r="K8" t="s">
        <v>22</v>
      </c>
      <c r="L8" t="s">
        <v>307</v>
      </c>
      <c r="M8" t="s">
        <v>308</v>
      </c>
      <c r="N8">
        <v>0</v>
      </c>
      <c r="O8" t="str">
        <f>IF(Transactions_RAW_cleaned[[#This Row],[Status]]="Completed", IFERROR(_xlfn.XLOOKUP(Transactions_RAW_cleaned[[#This Row],[CustomerID]], Customers_cleaned[CustomerID], Customers_cleaned[Segment]), "Customer Not Found"), "N/A")</f>
        <v>N/A</v>
      </c>
      <c r="P8" s="5" t="str">
        <f>IF(Transactions_RAW_cleaned[[#This Row],[Status]]="Refunded", "Refund",
  IF(Transactions_RAW_cleaned[[#This Row],[Category]]="Payments", IF(Transactions_RAW_cleaned[[#This Row],[Amount]]&gt;500,"High Value","Standard"),
    IF(Transactions_RAW_cleaned[[#This Row],[Amount]]&gt;250,"High Value","Standard")))</f>
        <v>High Value</v>
      </c>
      <c r="Q8" s="5" t="str">
        <f>IF(Transactions_RAW_cleaned[[#This Row],[Amount]] &gt; (_xlfn.XLOOKUP(Transactions_RAW_cleaned[[#This Row],[ServiceID]],Services_cleaned[ServiceID],Services_cleaned[TransactionFeePct]) * 10000), "Yes", "No")</f>
        <v>Yes</v>
      </c>
      <c r="R8" s="5" t="str">
        <f>IF(COUNTIFS($C$2:Transactions_RAW_cleaned[[#This Row],[CustomerID]],Transactions_RAW_cleaned[[#This Row],[CustomerID]],$D$2:Transactions_RAW_cleaned[[#This Row],[ServiceID]],Transactions_RAW_cleaned[[#This Row],[ServiceID]])=1,"Yes","No")</f>
        <v>Yes</v>
      </c>
      <c r="S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 t="str">
        <f>"Q"&amp;ROUNDUP(MONTH(Transactions_RAW_cleaned[[#This Row],[TransactionDate]])/3,0)</f>
        <v>Q3</v>
      </c>
      <c r="U8" t="str">
        <f>Transactions_RAW_cleaned[[#This Row],[Region ]]&amp;Transactions_RAW_cleaned[[#This Row],[Quarter ]]</f>
        <v>NAQ3</v>
      </c>
      <c r="V8" s="5">
        <f>_xlfn.XLOOKUP(Transactions_RAW_cleaned[[#This Row],[RegionQuarterKey]], Quarterly_Targets_cleaned[RegionQuarterKey], Quarterly_Targets_cleaned[TargetRevenue])</f>
        <v>273000</v>
      </c>
    </row>
    <row r="9" spans="1:22" x14ac:dyDescent="0.25">
      <c r="A9" t="s">
        <v>328</v>
      </c>
      <c r="B9" s="1">
        <v>45569</v>
      </c>
      <c r="C9" t="s">
        <v>137</v>
      </c>
      <c r="D9" t="s">
        <v>306</v>
      </c>
      <c r="E9">
        <v>289.83999999999997</v>
      </c>
      <c r="F9" t="s">
        <v>324</v>
      </c>
      <c r="G9" t="s">
        <v>329</v>
      </c>
      <c r="I9" t="s">
        <v>8</v>
      </c>
      <c r="J9" t="s">
        <v>13</v>
      </c>
      <c r="K9" t="s">
        <v>18</v>
      </c>
      <c r="L9" t="s">
        <v>307</v>
      </c>
      <c r="M9" t="s">
        <v>308</v>
      </c>
      <c r="N9">
        <v>0</v>
      </c>
      <c r="O9" t="str">
        <f>IF(Transactions_RAW_cleaned[[#This Row],[Status]]="Completed", IFERROR(_xlfn.XLOOKUP(Transactions_RAW_cleaned[[#This Row],[CustomerID]], Customers_cleaned[CustomerID], Customers_cleaned[Segment]), "Customer Not Found"), "N/A")</f>
        <v>SMB</v>
      </c>
      <c r="P9" s="5" t="str">
        <f>IF(Transactions_RAW_cleaned[[#This Row],[Status]]="Refunded", "Refund",
  IF(Transactions_RAW_cleaned[[#This Row],[Category]]="Payments", IF(Transactions_RAW_cleaned[[#This Row],[Amount]]&gt;500,"High Value","Standard"),
    IF(Transactions_RAW_cleaned[[#This Row],[Amount]]&gt;250,"High Value","Standard")))</f>
        <v>High Value</v>
      </c>
      <c r="Q9" s="5" t="str">
        <f>IF(Transactions_RAW_cleaned[[#This Row],[Amount]] &gt; (_xlfn.XLOOKUP(Transactions_RAW_cleaned[[#This Row],[ServiceID]],Services_cleaned[ServiceID],Services_cleaned[TransactionFeePct]) * 10000), "Yes", "No")</f>
        <v>Yes</v>
      </c>
      <c r="R9" s="5" t="str">
        <f>IF(COUNTIFS($C$2:Transactions_RAW_cleaned[[#This Row],[CustomerID]],Transactions_RAW_cleaned[[#This Row],[CustomerID]],$D$2:Transactions_RAW_cleaned[[#This Row],[ServiceID]],Transactions_RAW_cleaned[[#This Row],[ServiceID]])=1,"Yes","No")</f>
        <v>Yes</v>
      </c>
      <c r="S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 t="str">
        <f>"Q"&amp;ROUNDUP(MONTH(Transactions_RAW_cleaned[[#This Row],[TransactionDate]])/3,0)</f>
        <v>Q4</v>
      </c>
      <c r="U9" t="str">
        <f>Transactions_RAW_cleaned[[#This Row],[Region ]]&amp;Transactions_RAW_cleaned[[#This Row],[Quarter ]]</f>
        <v>NAQ4</v>
      </c>
      <c r="V9" s="5">
        <f>_xlfn.XLOOKUP(Transactions_RAW_cleaned[[#This Row],[RegionQuarterKey]], Quarterly_Targets_cleaned[RegionQuarterKey], Quarterly_Targets_cleaned[TargetRevenue])</f>
        <v>299000</v>
      </c>
    </row>
    <row r="10" spans="1:22" x14ac:dyDescent="0.25">
      <c r="A10" t="s">
        <v>348</v>
      </c>
      <c r="B10" s="1">
        <v>45567</v>
      </c>
      <c r="C10" t="s">
        <v>107</v>
      </c>
      <c r="D10" t="s">
        <v>309</v>
      </c>
      <c r="E10">
        <v>-1286.3</v>
      </c>
      <c r="F10" t="s">
        <v>349</v>
      </c>
      <c r="G10" t="s">
        <v>327</v>
      </c>
      <c r="I10" t="s">
        <v>17</v>
      </c>
      <c r="J10" t="s">
        <v>102</v>
      </c>
      <c r="K10" t="s">
        <v>22</v>
      </c>
      <c r="L10" t="s">
        <v>310</v>
      </c>
      <c r="M10" t="s">
        <v>311</v>
      </c>
      <c r="N10">
        <v>0</v>
      </c>
      <c r="O10" t="str">
        <f>IF(Transactions_RAW_cleaned[[#This Row],[Status]]="Completed", IFERROR(_xlfn.XLOOKUP(Transactions_RAW_cleaned[[#This Row],[CustomerID]], Customers_cleaned[CustomerID], Customers_cleaned[Segment]), "Customer Not Found"), "N/A")</f>
        <v>N/A</v>
      </c>
      <c r="P10" s="5" t="str">
        <f>IF(Transactions_RAW_cleaned[[#This Row],[Status]]="Refunded", "Refund",
  IF(Transactions_RAW_cleaned[[#This Row],[Category]]="Payments", IF(Transactions_RAW_cleaned[[#This Row],[Amount]]&gt;500,"High Value","Standard"),
    IF(Transactions_RAW_cleaned[[#This Row],[Amount]]&gt;250,"High Value","Standard")))</f>
        <v>Refund</v>
      </c>
      <c r="Q10" s="5" t="str">
        <f>IF(Transactions_RAW_cleaned[[#This Row],[Amount]] &gt; (_xlfn.XLOOKUP(Transactions_RAW_cleaned[[#This Row],[ServiceID]],Services_cleaned[ServiceID],Services_cleaned[TransactionFeePct]) * 10000), "Yes", "No")</f>
        <v>No</v>
      </c>
      <c r="R10" s="5" t="str">
        <f>IF(COUNTIFS($C$2:Transactions_RAW_cleaned[[#This Row],[CustomerID]],Transactions_RAW_cleaned[[#This Row],[CustomerID]],$D$2:Transactions_RAW_cleaned[[#This Row],[ServiceID]],Transactions_RAW_cleaned[[#This Row],[ServiceID]])=1,"Yes","No")</f>
        <v>Yes</v>
      </c>
      <c r="S1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 t="str">
        <f>"Q"&amp;ROUNDUP(MONTH(Transactions_RAW_cleaned[[#This Row],[TransactionDate]])/3,0)</f>
        <v>Q4</v>
      </c>
      <c r="U10" t="str">
        <f>Transactions_RAW_cleaned[[#This Row],[Region ]]&amp;Transactions_RAW_cleaned[[#This Row],[Quarter ]]</f>
        <v>NAQ4</v>
      </c>
      <c r="V10" s="5">
        <f>_xlfn.XLOOKUP(Transactions_RAW_cleaned[[#This Row],[RegionQuarterKey]], Quarterly_Targets_cleaned[RegionQuarterKey], Quarterly_Targets_cleaned[TargetRevenue])</f>
        <v>299000</v>
      </c>
    </row>
    <row r="11" spans="1:22" x14ac:dyDescent="0.25">
      <c r="A11" t="s">
        <v>462</v>
      </c>
      <c r="B11" s="1">
        <v>45642</v>
      </c>
      <c r="C11" t="s">
        <v>15</v>
      </c>
      <c r="D11" t="s">
        <v>300</v>
      </c>
      <c r="E11">
        <v>477.44</v>
      </c>
      <c r="F11" t="s">
        <v>324</v>
      </c>
      <c r="G11" t="s">
        <v>327</v>
      </c>
      <c r="I11" t="s">
        <v>17</v>
      </c>
      <c r="J11" t="s">
        <v>102</v>
      </c>
      <c r="K11" t="s">
        <v>18</v>
      </c>
      <c r="L11" t="s">
        <v>301</v>
      </c>
      <c r="M11" t="s">
        <v>302</v>
      </c>
      <c r="N11">
        <v>5.0000000000000001E-3</v>
      </c>
      <c r="O11" t="str">
        <f>IF(Transactions_RAW_cleaned[[#This Row],[Status]]="Completed", IFERROR(_xlfn.XLOOKUP(Transactions_RAW_cleaned[[#This Row],[CustomerID]], Customers_cleaned[CustomerID], Customers_cleaned[Segment]), "Customer Not Found"), "N/A")</f>
        <v>Enterprise</v>
      </c>
      <c r="P11" s="5" t="str">
        <f>IF(Transactions_RAW_cleaned[[#This Row],[Status]]="Refunded", "Refund",
  IF(Transactions_RAW_cleaned[[#This Row],[Category]]="Payments", IF(Transactions_RAW_cleaned[[#This Row],[Amount]]&gt;500,"High Value","Standard"),
    IF(Transactions_RAW_cleaned[[#This Row],[Amount]]&gt;250,"High Value","Standard")))</f>
        <v>High Value</v>
      </c>
      <c r="Q11" s="5" t="str">
        <f>IF(Transactions_RAW_cleaned[[#This Row],[Amount]] &gt; (_xlfn.XLOOKUP(Transactions_RAW_cleaned[[#This Row],[ServiceID]],Services_cleaned[ServiceID],Services_cleaned[TransactionFeePct]) * 10000), "Yes", "No")</f>
        <v>Yes</v>
      </c>
      <c r="R11" s="5" t="str">
        <f>IF(COUNTIFS($C$2:Transactions_RAW_cleaned[[#This Row],[CustomerID]],Transactions_RAW_cleaned[[#This Row],[CustomerID]],$D$2:Transactions_RAW_cleaned[[#This Row],[ServiceID]],Transactions_RAW_cleaned[[#This Row],[ServiceID]])=1,"Yes","No")</f>
        <v>Yes</v>
      </c>
      <c r="S1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 t="str">
        <f>"Q"&amp;ROUNDUP(MONTH(Transactions_RAW_cleaned[[#This Row],[TransactionDate]])/3,0)</f>
        <v>Q4</v>
      </c>
      <c r="U11" t="str">
        <f>Transactions_RAW_cleaned[[#This Row],[Region ]]&amp;Transactions_RAW_cleaned[[#This Row],[Quarter ]]</f>
        <v>NAQ4</v>
      </c>
      <c r="V11" s="5">
        <f>_xlfn.XLOOKUP(Transactions_RAW_cleaned[[#This Row],[RegionQuarterKey]], Quarterly_Targets_cleaned[RegionQuarterKey], Quarterly_Targets_cleaned[TargetRevenue])</f>
        <v>299000</v>
      </c>
    </row>
    <row r="12" spans="1:22" x14ac:dyDescent="0.25">
      <c r="A12" t="s">
        <v>2965</v>
      </c>
      <c r="B12" s="1">
        <v>45358</v>
      </c>
      <c r="D12" t="s">
        <v>297</v>
      </c>
      <c r="E12">
        <v>835.6</v>
      </c>
      <c r="F12" t="s">
        <v>324</v>
      </c>
      <c r="G12" t="s">
        <v>329</v>
      </c>
      <c r="L12" t="s">
        <v>298</v>
      </c>
      <c r="M12" t="s">
        <v>299</v>
      </c>
      <c r="N12">
        <v>0</v>
      </c>
      <c r="O12" t="str">
        <f>IF(Transactions_RAW_cleaned[[#This Row],[Status]]="Completed", IFERROR(_xlfn.XLOOKUP(Transactions_RAW_cleaned[[#This Row],[CustomerID]], Customers_cleaned[CustomerID], Customers_cleaned[Segment]), "Customer Not Found"), "N/A")</f>
        <v>Customer Not Found</v>
      </c>
      <c r="P12" s="5" t="str">
        <f>IF(Transactions_RAW_cleaned[[#This Row],[Status]]="Refunded", "Refund",
  IF(Transactions_RAW_cleaned[[#This Row],[Category]]="Payments", IF(Transactions_RAW_cleaned[[#This Row],[Amount]]&gt;500,"High Value","Standard"),
    IF(Transactions_RAW_cleaned[[#This Row],[Amount]]&gt;250,"High Value","Standard")))</f>
        <v>High Value</v>
      </c>
      <c r="Q12" s="5" t="str">
        <f>IF(Transactions_RAW_cleaned[[#This Row],[Amount]] &gt; (_xlfn.XLOOKUP(Transactions_RAW_cleaned[[#This Row],[ServiceID]],Services_cleaned[ServiceID],Services_cleaned[TransactionFeePct]) * 10000), "Yes", "No")</f>
        <v>Yes</v>
      </c>
      <c r="R12" s="5" t="str">
        <f>IF(COUNTIFS($C$2:Transactions_RAW_cleaned[[#This Row],[CustomerID]],Transactions_RAW_cleaned[[#This Row],[CustomerID]],$D$2:Transactions_RAW_cleaned[[#This Row],[ServiceID]],Transactions_RAW_cleaned[[#This Row],[ServiceID]])=1,"Yes","No")</f>
        <v>No</v>
      </c>
      <c r="S1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 t="str">
        <f>"Q"&amp;ROUNDUP(MONTH(Transactions_RAW_cleaned[[#This Row],[TransactionDate]])/3,0)</f>
        <v>Q1</v>
      </c>
      <c r="U12" t="str">
        <f>Transactions_RAW_cleaned[[#This Row],[Region ]]&amp;Transactions_RAW_cleaned[[#This Row],[Quarter ]]</f>
        <v>APACQ1</v>
      </c>
      <c r="V12" s="5">
        <f>_xlfn.XLOOKUP(Transactions_RAW_cleaned[[#This Row],[RegionQuarterKey]], Quarterly_Targets_cleaned[RegionQuarterKey], Quarterly_Targets_cleaned[TargetRevenue])</f>
        <v>104500</v>
      </c>
    </row>
    <row r="13" spans="1:22" x14ac:dyDescent="0.25">
      <c r="A13" t="s">
        <v>442</v>
      </c>
      <c r="B13" s="1">
        <v>45578</v>
      </c>
      <c r="C13" t="s">
        <v>19</v>
      </c>
      <c r="D13" t="s">
        <v>315</v>
      </c>
      <c r="E13">
        <v>49.36</v>
      </c>
      <c r="F13" t="s">
        <v>324</v>
      </c>
      <c r="G13" t="s">
        <v>327</v>
      </c>
      <c r="I13" t="s">
        <v>8</v>
      </c>
      <c r="J13" t="s">
        <v>21</v>
      </c>
      <c r="K13" t="s">
        <v>22</v>
      </c>
      <c r="L13" t="s">
        <v>316</v>
      </c>
      <c r="M13" t="s">
        <v>305</v>
      </c>
      <c r="N13">
        <v>2.5000000000000001E-3</v>
      </c>
      <c r="O13" t="str">
        <f>IF(Transactions_RAW_cleaned[[#This Row],[Status]]="Completed", IFERROR(_xlfn.XLOOKUP(Transactions_RAW_cleaned[[#This Row],[CustomerID]], Customers_cleaned[CustomerID], Customers_cleaned[Segment]), "Customer Not Found"), "N/A")</f>
        <v>SMB</v>
      </c>
      <c r="P13" s="5" t="str">
        <f>IF(Transactions_RAW_cleaned[[#This Row],[Status]]="Refunded", "Refund",
  IF(Transactions_RAW_cleaned[[#This Row],[Category]]="Payments", IF(Transactions_RAW_cleaned[[#This Row],[Amount]]&gt;500,"High Value","Standard"),
    IF(Transactions_RAW_cleaned[[#This Row],[Amount]]&gt;250,"High Value","Standard")))</f>
        <v>Standard</v>
      </c>
      <c r="Q13" s="5" t="str">
        <f>IF(Transactions_RAW_cleaned[[#This Row],[Amount]] &gt; (_xlfn.XLOOKUP(Transactions_RAW_cleaned[[#This Row],[ServiceID]],Services_cleaned[ServiceID],Services_cleaned[TransactionFeePct]) * 10000), "Yes", "No")</f>
        <v>Yes</v>
      </c>
      <c r="R13" s="5" t="str">
        <f>IF(COUNTIFS($C$2:Transactions_RAW_cleaned[[#This Row],[CustomerID]],Transactions_RAW_cleaned[[#This Row],[CustomerID]],$D$2:Transactions_RAW_cleaned[[#This Row],[ServiceID]],Transactions_RAW_cleaned[[#This Row],[ServiceID]])=1,"Yes","No")</f>
        <v>Yes</v>
      </c>
      <c r="S1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 t="str">
        <f>"Q"&amp;ROUNDUP(MONTH(Transactions_RAW_cleaned[[#This Row],[TransactionDate]])/3,0)</f>
        <v>Q4</v>
      </c>
      <c r="U13" t="str">
        <f>Transactions_RAW_cleaned[[#This Row],[Region ]]&amp;Transactions_RAW_cleaned[[#This Row],[Quarter ]]</f>
        <v>APACQ4</v>
      </c>
      <c r="V13" s="5">
        <f>_xlfn.XLOOKUP(Transactions_RAW_cleaned[[#This Row],[RegionQuarterKey]], Quarterly_Targets_cleaned[RegionQuarterKey], Quarterly_Targets_cleaned[TargetRevenue])</f>
        <v>126500</v>
      </c>
    </row>
    <row r="14" spans="1:22" x14ac:dyDescent="0.25">
      <c r="A14" t="s">
        <v>330</v>
      </c>
      <c r="B14" s="1">
        <v>45534</v>
      </c>
      <c r="C14" t="s">
        <v>269</v>
      </c>
      <c r="D14" t="s">
        <v>306</v>
      </c>
      <c r="E14">
        <v>401.05</v>
      </c>
      <c r="F14" t="s">
        <v>331</v>
      </c>
      <c r="G14" t="s">
        <v>2963</v>
      </c>
      <c r="H14" t="s">
        <v>332</v>
      </c>
      <c r="I14" t="s">
        <v>17</v>
      </c>
      <c r="J14" t="s">
        <v>31</v>
      </c>
      <c r="K14" t="s">
        <v>32</v>
      </c>
      <c r="L14" t="s">
        <v>307</v>
      </c>
      <c r="M14" t="s">
        <v>308</v>
      </c>
      <c r="N14">
        <v>0</v>
      </c>
      <c r="O14" t="str">
        <f>IF(Transactions_RAW_cleaned[[#This Row],[Status]]="Completed", IFERROR(_xlfn.XLOOKUP(Transactions_RAW_cleaned[[#This Row],[CustomerID]], Customers_cleaned[CustomerID], Customers_cleaned[Segment]), "Customer Not Found"), "N/A")</f>
        <v>N/A</v>
      </c>
      <c r="P14" s="5" t="str">
        <f>IF(Transactions_RAW_cleaned[[#This Row],[Status]]="Refunded", "Refund",
  IF(Transactions_RAW_cleaned[[#This Row],[Category]]="Payments", IF(Transactions_RAW_cleaned[[#This Row],[Amount]]&gt;500,"High Value","Standard"),
    IF(Transactions_RAW_cleaned[[#This Row],[Amount]]&gt;250,"High Value","Standard")))</f>
        <v>High Value</v>
      </c>
      <c r="Q14" s="5" t="str">
        <f>IF(Transactions_RAW_cleaned[[#This Row],[Amount]] &gt; (_xlfn.XLOOKUP(Transactions_RAW_cleaned[[#This Row],[ServiceID]],Services_cleaned[ServiceID],Services_cleaned[TransactionFeePct]) * 10000), "Yes", "No")</f>
        <v>Yes</v>
      </c>
      <c r="R14" s="5" t="str">
        <f>IF(COUNTIFS($C$2:Transactions_RAW_cleaned[[#This Row],[CustomerID]],Transactions_RAW_cleaned[[#This Row],[CustomerID]],$D$2:Transactions_RAW_cleaned[[#This Row],[ServiceID]],Transactions_RAW_cleaned[[#This Row],[ServiceID]])=1,"Yes","No")</f>
        <v>Yes</v>
      </c>
      <c r="S1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 t="str">
        <f>"Q"&amp;ROUNDUP(MONTH(Transactions_RAW_cleaned[[#This Row],[TransactionDate]])/3,0)</f>
        <v>Q3</v>
      </c>
      <c r="U14" t="str">
        <f>Transactions_RAW_cleaned[[#This Row],[Region ]]&amp;Transactions_RAW_cleaned[[#This Row],[Quarter ]]</f>
        <v>EMEAQ3</v>
      </c>
      <c r="V14" s="5">
        <f>_xlfn.XLOOKUP(Transactions_RAW_cleaned[[#This Row],[RegionQuarterKey]], Quarterly_Targets_cleaned[RegionQuarterKey], Quarterly_Targets_cleaned[TargetRevenue])</f>
        <v>147000</v>
      </c>
    </row>
    <row r="15" spans="1:22" x14ac:dyDescent="0.25">
      <c r="A15" t="s">
        <v>390</v>
      </c>
      <c r="B15" s="1">
        <v>45504</v>
      </c>
      <c r="C15" t="s">
        <v>269</v>
      </c>
      <c r="D15" t="s">
        <v>294</v>
      </c>
      <c r="E15">
        <v>-649.27</v>
      </c>
      <c r="F15" t="s">
        <v>349</v>
      </c>
      <c r="G15" t="s">
        <v>325</v>
      </c>
      <c r="H15" t="s">
        <v>332</v>
      </c>
      <c r="I15" t="s">
        <v>17</v>
      </c>
      <c r="J15" t="s">
        <v>31</v>
      </c>
      <c r="K15" t="s">
        <v>32</v>
      </c>
      <c r="L15" t="s">
        <v>295</v>
      </c>
      <c r="M15" t="s">
        <v>296</v>
      </c>
      <c r="N15">
        <v>2.9000000000000001E-2</v>
      </c>
      <c r="O15" t="str">
        <f>IF(Transactions_RAW_cleaned[[#This Row],[Status]]="Completed", IFERROR(_xlfn.XLOOKUP(Transactions_RAW_cleaned[[#This Row],[CustomerID]], Customers_cleaned[CustomerID], Customers_cleaned[Segment]), "Customer Not Found"), "N/A")</f>
        <v>N/A</v>
      </c>
      <c r="P15" s="5" t="str">
        <f>IF(Transactions_RAW_cleaned[[#This Row],[Status]]="Refunded", "Refund",
  IF(Transactions_RAW_cleaned[[#This Row],[Category]]="Payments", IF(Transactions_RAW_cleaned[[#This Row],[Amount]]&gt;500,"High Value","Standard"),
    IF(Transactions_RAW_cleaned[[#This Row],[Amount]]&gt;250,"High Value","Standard")))</f>
        <v>Refund</v>
      </c>
      <c r="Q15" s="5" t="str">
        <f>IF(Transactions_RAW_cleaned[[#This Row],[Amount]] &gt; (_xlfn.XLOOKUP(Transactions_RAW_cleaned[[#This Row],[ServiceID]],Services_cleaned[ServiceID],Services_cleaned[TransactionFeePct]) * 10000), "Yes", "No")</f>
        <v>No</v>
      </c>
      <c r="R15" s="5" t="str">
        <f>IF(COUNTIFS($C$2:Transactions_RAW_cleaned[[#This Row],[CustomerID]],Transactions_RAW_cleaned[[#This Row],[CustomerID]],$D$2:Transactions_RAW_cleaned[[#This Row],[ServiceID]],Transactions_RAW_cleaned[[#This Row],[ServiceID]])=1,"Yes","No")</f>
        <v>Yes</v>
      </c>
      <c r="S1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 t="str">
        <f>"Q"&amp;ROUNDUP(MONTH(Transactions_RAW_cleaned[[#This Row],[TransactionDate]])/3,0)</f>
        <v>Q3</v>
      </c>
      <c r="U15" t="str">
        <f>Transactions_RAW_cleaned[[#This Row],[Region ]]&amp;Transactions_RAW_cleaned[[#This Row],[Quarter ]]</f>
        <v>EMEAQ3</v>
      </c>
      <c r="V15" s="5">
        <f>_xlfn.XLOOKUP(Transactions_RAW_cleaned[[#This Row],[RegionQuarterKey]], Quarterly_Targets_cleaned[RegionQuarterKey], Quarterly_Targets_cleaned[TargetRevenue])</f>
        <v>147000</v>
      </c>
    </row>
    <row r="16" spans="1:22" x14ac:dyDescent="0.25">
      <c r="A16" t="s">
        <v>333</v>
      </c>
      <c r="B16" s="1">
        <v>45580</v>
      </c>
      <c r="C16" t="s">
        <v>92</v>
      </c>
      <c r="D16" t="s">
        <v>294</v>
      </c>
      <c r="E16">
        <v>1104.33</v>
      </c>
      <c r="F16" t="s">
        <v>324</v>
      </c>
      <c r="G16" t="s">
        <v>327</v>
      </c>
      <c r="H16" t="s">
        <v>334</v>
      </c>
      <c r="I16" t="s">
        <v>8</v>
      </c>
      <c r="J16" t="s">
        <v>102</v>
      </c>
      <c r="K16" t="s">
        <v>10</v>
      </c>
      <c r="L16" t="s">
        <v>295</v>
      </c>
      <c r="M16" t="s">
        <v>296</v>
      </c>
      <c r="N16">
        <v>2.9000000000000001E-2</v>
      </c>
      <c r="O16" t="str">
        <f>IF(Transactions_RAW_cleaned[[#This Row],[Status]]="Completed", IFERROR(_xlfn.XLOOKUP(Transactions_RAW_cleaned[[#This Row],[CustomerID]], Customers_cleaned[CustomerID], Customers_cleaned[Segment]), "Customer Not Found"), "N/A")</f>
        <v>SMB</v>
      </c>
      <c r="P16" s="5" t="str">
        <f>IF(Transactions_RAW_cleaned[[#This Row],[Status]]="Refunded", "Refund",
  IF(Transactions_RAW_cleaned[[#This Row],[Category]]="Payments", IF(Transactions_RAW_cleaned[[#This Row],[Amount]]&gt;500,"High Value","Standard"),
    IF(Transactions_RAW_cleaned[[#This Row],[Amount]]&gt;250,"High Value","Standard")))</f>
        <v>High Value</v>
      </c>
      <c r="Q16" s="5" t="str">
        <f>IF(Transactions_RAW_cleaned[[#This Row],[Amount]] &gt; (_xlfn.XLOOKUP(Transactions_RAW_cleaned[[#This Row],[ServiceID]],Services_cleaned[ServiceID],Services_cleaned[TransactionFeePct]) * 10000), "Yes", "No")</f>
        <v>Yes</v>
      </c>
      <c r="R16" s="5" t="str">
        <f>IF(COUNTIFS($C$2:Transactions_RAW_cleaned[[#This Row],[CustomerID]],Transactions_RAW_cleaned[[#This Row],[CustomerID]],$D$2:Transactions_RAW_cleaned[[#This Row],[ServiceID]],Transactions_RAW_cleaned[[#This Row],[ServiceID]])=1,"Yes","No")</f>
        <v>Yes</v>
      </c>
      <c r="S1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 t="str">
        <f>"Q"&amp;ROUNDUP(MONTH(Transactions_RAW_cleaned[[#This Row],[TransactionDate]])/3,0)</f>
        <v>Q4</v>
      </c>
      <c r="U16" t="str">
        <f>Transactions_RAW_cleaned[[#This Row],[Region ]]&amp;Transactions_RAW_cleaned[[#This Row],[Quarter ]]</f>
        <v>NAQ4</v>
      </c>
      <c r="V16" s="5">
        <f>_xlfn.XLOOKUP(Transactions_RAW_cleaned[[#This Row],[RegionQuarterKey]], Quarterly_Targets_cleaned[RegionQuarterKey], Quarterly_Targets_cleaned[TargetRevenue])</f>
        <v>299000</v>
      </c>
    </row>
    <row r="17" spans="1:22" x14ac:dyDescent="0.25">
      <c r="A17" t="s">
        <v>358</v>
      </c>
      <c r="B17" s="1">
        <v>45440</v>
      </c>
      <c r="C17" t="s">
        <v>26</v>
      </c>
      <c r="D17" t="s">
        <v>297</v>
      </c>
      <c r="E17">
        <v>566.83000000000004</v>
      </c>
      <c r="F17" t="s">
        <v>324</v>
      </c>
      <c r="G17" t="s">
        <v>325</v>
      </c>
      <c r="H17" t="s">
        <v>334</v>
      </c>
      <c r="I17" t="s">
        <v>8</v>
      </c>
      <c r="J17" t="s">
        <v>102</v>
      </c>
      <c r="K17" t="s">
        <v>28</v>
      </c>
      <c r="L17" t="s">
        <v>298</v>
      </c>
      <c r="M17" t="s">
        <v>299</v>
      </c>
      <c r="N17">
        <v>0</v>
      </c>
      <c r="O17" t="str">
        <f>IF(Transactions_RAW_cleaned[[#This Row],[Status]]="Completed", IFERROR(_xlfn.XLOOKUP(Transactions_RAW_cleaned[[#This Row],[CustomerID]], Customers_cleaned[CustomerID], Customers_cleaned[Segment]), "Customer Not Found"), "N/A")</f>
        <v>SMB</v>
      </c>
      <c r="P17" s="5" t="str">
        <f>IF(Transactions_RAW_cleaned[[#This Row],[Status]]="Refunded", "Refund",
  IF(Transactions_RAW_cleaned[[#This Row],[Category]]="Payments", IF(Transactions_RAW_cleaned[[#This Row],[Amount]]&gt;500,"High Value","Standard"),
    IF(Transactions_RAW_cleaned[[#This Row],[Amount]]&gt;250,"High Value","Standard")))</f>
        <v>High Value</v>
      </c>
      <c r="Q17" s="5" t="str">
        <f>IF(Transactions_RAW_cleaned[[#This Row],[Amount]] &gt; (_xlfn.XLOOKUP(Transactions_RAW_cleaned[[#This Row],[ServiceID]],Services_cleaned[ServiceID],Services_cleaned[TransactionFeePct]) * 10000), "Yes", "No")</f>
        <v>Yes</v>
      </c>
      <c r="R17" s="5" t="str">
        <f>IF(COUNTIFS($C$2:Transactions_RAW_cleaned[[#This Row],[CustomerID]],Transactions_RAW_cleaned[[#This Row],[CustomerID]],$D$2:Transactions_RAW_cleaned[[#This Row],[ServiceID]],Transactions_RAW_cleaned[[#This Row],[ServiceID]])=1,"Yes","No")</f>
        <v>Yes</v>
      </c>
      <c r="S1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 t="str">
        <f>"Q"&amp;ROUNDUP(MONTH(Transactions_RAW_cleaned[[#This Row],[TransactionDate]])/3,0)</f>
        <v>Q2</v>
      </c>
      <c r="U17" t="str">
        <f>Transactions_RAW_cleaned[[#This Row],[Region ]]&amp;Transactions_RAW_cleaned[[#This Row],[Quarter ]]</f>
        <v>NAQ2</v>
      </c>
      <c r="V17" s="5">
        <f>_xlfn.XLOOKUP(Transactions_RAW_cleaned[[#This Row],[RegionQuarterKey]], Quarterly_Targets_cleaned[RegionQuarterKey], Quarterly_Targets_cleaned[TargetRevenue])</f>
        <v>260000</v>
      </c>
    </row>
    <row r="18" spans="1:22" x14ac:dyDescent="0.25">
      <c r="A18" t="s">
        <v>383</v>
      </c>
      <c r="B18" s="1">
        <v>45551</v>
      </c>
      <c r="C18" t="s">
        <v>26</v>
      </c>
      <c r="D18" t="s">
        <v>300</v>
      </c>
      <c r="E18">
        <v>780.8</v>
      </c>
      <c r="F18" t="s">
        <v>331</v>
      </c>
      <c r="G18" t="s">
        <v>337</v>
      </c>
      <c r="H18" t="s">
        <v>346</v>
      </c>
      <c r="I18" t="s">
        <v>8</v>
      </c>
      <c r="J18" t="s">
        <v>102</v>
      </c>
      <c r="K18" t="s">
        <v>28</v>
      </c>
      <c r="L18" t="s">
        <v>301</v>
      </c>
      <c r="M18" t="s">
        <v>302</v>
      </c>
      <c r="N18">
        <v>5.0000000000000001E-3</v>
      </c>
      <c r="O18" t="str">
        <f>IF(Transactions_RAW_cleaned[[#This Row],[Status]]="Completed", IFERROR(_xlfn.XLOOKUP(Transactions_RAW_cleaned[[#This Row],[CustomerID]], Customers_cleaned[CustomerID], Customers_cleaned[Segment]), "Customer Not Found"), "N/A")</f>
        <v>N/A</v>
      </c>
      <c r="P18" s="5" t="str">
        <f>IF(Transactions_RAW_cleaned[[#This Row],[Status]]="Refunded", "Refund",
  IF(Transactions_RAW_cleaned[[#This Row],[Category]]="Payments", IF(Transactions_RAW_cleaned[[#This Row],[Amount]]&gt;500,"High Value","Standard"),
    IF(Transactions_RAW_cleaned[[#This Row],[Amount]]&gt;250,"High Value","Standard")))</f>
        <v>High Value</v>
      </c>
      <c r="Q18" s="5" t="str">
        <f>IF(Transactions_RAW_cleaned[[#This Row],[Amount]] &gt; (_xlfn.XLOOKUP(Transactions_RAW_cleaned[[#This Row],[ServiceID]],Services_cleaned[ServiceID],Services_cleaned[TransactionFeePct]) * 10000), "Yes", "No")</f>
        <v>Yes</v>
      </c>
      <c r="R18" s="5" t="str">
        <f>IF(COUNTIFS($C$2:Transactions_RAW_cleaned[[#This Row],[CustomerID]],Transactions_RAW_cleaned[[#This Row],[CustomerID]],$D$2:Transactions_RAW_cleaned[[#This Row],[ServiceID]],Transactions_RAW_cleaned[[#This Row],[ServiceID]])=1,"Yes","No")</f>
        <v>Yes</v>
      </c>
      <c r="S1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 t="str">
        <f>"Q"&amp;ROUNDUP(MONTH(Transactions_RAW_cleaned[[#This Row],[TransactionDate]])/3,0)</f>
        <v>Q3</v>
      </c>
      <c r="U18" t="str">
        <f>Transactions_RAW_cleaned[[#This Row],[Region ]]&amp;Transactions_RAW_cleaned[[#This Row],[Quarter ]]</f>
        <v>NAQ3</v>
      </c>
      <c r="V18" s="5">
        <f>_xlfn.XLOOKUP(Transactions_RAW_cleaned[[#This Row],[RegionQuarterKey]], Quarterly_Targets_cleaned[RegionQuarterKey], Quarterly_Targets_cleaned[TargetRevenue])</f>
        <v>273000</v>
      </c>
    </row>
    <row r="19" spans="1:22" x14ac:dyDescent="0.25">
      <c r="A19" t="s">
        <v>335</v>
      </c>
      <c r="B19" s="1">
        <v>45477</v>
      </c>
      <c r="C19" t="s">
        <v>82</v>
      </c>
      <c r="D19" t="s">
        <v>294</v>
      </c>
      <c r="E19">
        <v>1024.1199999999999</v>
      </c>
      <c r="F19" t="s">
        <v>331</v>
      </c>
      <c r="G19" t="s">
        <v>327</v>
      </c>
      <c r="H19" t="s">
        <v>334</v>
      </c>
      <c r="I19" t="s">
        <v>57</v>
      </c>
      <c r="J19" t="s">
        <v>46</v>
      </c>
      <c r="K19" t="s">
        <v>10</v>
      </c>
      <c r="L19" t="s">
        <v>295</v>
      </c>
      <c r="M19" t="s">
        <v>296</v>
      </c>
      <c r="N19">
        <v>2.9000000000000001E-2</v>
      </c>
      <c r="O19" t="str">
        <f>IF(Transactions_RAW_cleaned[[#This Row],[Status]]="Completed", IFERROR(_xlfn.XLOOKUP(Transactions_RAW_cleaned[[#This Row],[CustomerID]], Customers_cleaned[CustomerID], Customers_cleaned[Segment]), "Customer Not Found"), "N/A")</f>
        <v>N/A</v>
      </c>
      <c r="P19" s="5" t="str">
        <f>IF(Transactions_RAW_cleaned[[#This Row],[Status]]="Refunded", "Refund",
  IF(Transactions_RAW_cleaned[[#This Row],[Category]]="Payments", IF(Transactions_RAW_cleaned[[#This Row],[Amount]]&gt;500,"High Value","Standard"),
    IF(Transactions_RAW_cleaned[[#This Row],[Amount]]&gt;250,"High Value","Standard")))</f>
        <v>High Value</v>
      </c>
      <c r="Q19" s="5" t="str">
        <f>IF(Transactions_RAW_cleaned[[#This Row],[Amount]] &gt; (_xlfn.XLOOKUP(Transactions_RAW_cleaned[[#This Row],[ServiceID]],Services_cleaned[ServiceID],Services_cleaned[TransactionFeePct]) * 10000), "Yes", "No")</f>
        <v>Yes</v>
      </c>
      <c r="R19" s="5" t="str">
        <f>IF(COUNTIFS($C$2:Transactions_RAW_cleaned[[#This Row],[CustomerID]],Transactions_RAW_cleaned[[#This Row],[CustomerID]],$D$2:Transactions_RAW_cleaned[[#This Row],[ServiceID]],Transactions_RAW_cleaned[[#This Row],[ServiceID]])=1,"Yes","No")</f>
        <v>Yes</v>
      </c>
      <c r="S1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 t="str">
        <f>"Q"&amp;ROUNDUP(MONTH(Transactions_RAW_cleaned[[#This Row],[TransactionDate]])/3,0)</f>
        <v>Q3</v>
      </c>
      <c r="U19" t="str">
        <f>Transactions_RAW_cleaned[[#This Row],[Region ]]&amp;Transactions_RAW_cleaned[[#This Row],[Quarter ]]</f>
        <v>APACQ3</v>
      </c>
      <c r="V19" s="5">
        <f>_xlfn.XLOOKUP(Transactions_RAW_cleaned[[#This Row],[RegionQuarterKey]], Quarterly_Targets_cleaned[RegionQuarterKey], Quarterly_Targets_cleaned[TargetRevenue])</f>
        <v>115500</v>
      </c>
    </row>
    <row r="20" spans="1:22" x14ac:dyDescent="0.25">
      <c r="A20" t="s">
        <v>402</v>
      </c>
      <c r="B20" s="1">
        <v>45373</v>
      </c>
      <c r="C20" t="s">
        <v>82</v>
      </c>
      <c r="D20" t="s">
        <v>294</v>
      </c>
      <c r="E20">
        <v>469.29</v>
      </c>
      <c r="F20" t="s">
        <v>324</v>
      </c>
      <c r="G20" t="s">
        <v>337</v>
      </c>
      <c r="I20" t="s">
        <v>57</v>
      </c>
      <c r="J20" t="s">
        <v>46</v>
      </c>
      <c r="K20" t="s">
        <v>10</v>
      </c>
      <c r="L20" t="s">
        <v>295</v>
      </c>
      <c r="M20" t="s">
        <v>296</v>
      </c>
      <c r="N20">
        <v>2.9000000000000001E-2</v>
      </c>
      <c r="O20" t="str">
        <f>IF(Transactions_RAW_cleaned[[#This Row],[Status]]="Completed", IFERROR(_xlfn.XLOOKUP(Transactions_RAW_cleaned[[#This Row],[CustomerID]], Customers_cleaned[CustomerID], Customers_cleaned[Segment]), "Customer Not Found"), "N/A")</f>
        <v>Startup</v>
      </c>
      <c r="P20" s="5" t="str">
        <f>IF(Transactions_RAW_cleaned[[#This Row],[Status]]="Refunded", "Refund",
  IF(Transactions_RAW_cleaned[[#This Row],[Category]]="Payments", IF(Transactions_RAW_cleaned[[#This Row],[Amount]]&gt;500,"High Value","Standard"),
    IF(Transactions_RAW_cleaned[[#This Row],[Amount]]&gt;250,"High Value","Standard")))</f>
        <v>Standard</v>
      </c>
      <c r="Q20" s="5" t="str">
        <f>IF(Transactions_RAW_cleaned[[#This Row],[Amount]] &gt; (_xlfn.XLOOKUP(Transactions_RAW_cleaned[[#This Row],[ServiceID]],Services_cleaned[ServiceID],Services_cleaned[TransactionFeePct]) * 10000), "Yes", "No")</f>
        <v>Yes</v>
      </c>
      <c r="R20" s="5" t="str">
        <f>IF(COUNTIFS($C$2:Transactions_RAW_cleaned[[#This Row],[CustomerID]],Transactions_RAW_cleaned[[#This Row],[CustomerID]],$D$2:Transactions_RAW_cleaned[[#This Row],[ServiceID]],Transactions_RAW_cleaned[[#This Row],[ServiceID]])=1,"Yes","No")</f>
        <v>No</v>
      </c>
      <c r="S2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 t="str">
        <f>"Q"&amp;ROUNDUP(MONTH(Transactions_RAW_cleaned[[#This Row],[TransactionDate]])/3,0)</f>
        <v>Q1</v>
      </c>
      <c r="U20" t="str">
        <f>Transactions_RAW_cleaned[[#This Row],[Region ]]&amp;Transactions_RAW_cleaned[[#This Row],[Quarter ]]</f>
        <v>APACQ1</v>
      </c>
      <c r="V20" s="5">
        <f>_xlfn.XLOOKUP(Transactions_RAW_cleaned[[#This Row],[RegionQuarterKey]], Quarterly_Targets_cleaned[RegionQuarterKey], Quarterly_Targets_cleaned[TargetRevenue])</f>
        <v>104500</v>
      </c>
    </row>
    <row r="21" spans="1:22" x14ac:dyDescent="0.25">
      <c r="A21" t="s">
        <v>409</v>
      </c>
      <c r="B21" s="1">
        <v>45618</v>
      </c>
      <c r="C21" t="s">
        <v>82</v>
      </c>
      <c r="D21" t="s">
        <v>294</v>
      </c>
      <c r="E21">
        <v>447.66</v>
      </c>
      <c r="F21" t="s">
        <v>324</v>
      </c>
      <c r="G21" t="s">
        <v>325</v>
      </c>
      <c r="H21" t="s">
        <v>334</v>
      </c>
      <c r="I21" t="s">
        <v>57</v>
      </c>
      <c r="J21" t="s">
        <v>46</v>
      </c>
      <c r="K21" t="s">
        <v>10</v>
      </c>
      <c r="L21" t="s">
        <v>295</v>
      </c>
      <c r="M21" t="s">
        <v>296</v>
      </c>
      <c r="N21">
        <v>2.9000000000000001E-2</v>
      </c>
      <c r="O21" t="str">
        <f>IF(Transactions_RAW_cleaned[[#This Row],[Status]]="Completed", IFERROR(_xlfn.XLOOKUP(Transactions_RAW_cleaned[[#This Row],[CustomerID]], Customers_cleaned[CustomerID], Customers_cleaned[Segment]), "Customer Not Found"), "N/A")</f>
        <v>Startup</v>
      </c>
      <c r="P21" s="5" t="str">
        <f>IF(Transactions_RAW_cleaned[[#This Row],[Status]]="Refunded", "Refund",
  IF(Transactions_RAW_cleaned[[#This Row],[Category]]="Payments", IF(Transactions_RAW_cleaned[[#This Row],[Amount]]&gt;500,"High Value","Standard"),
    IF(Transactions_RAW_cleaned[[#This Row],[Amount]]&gt;250,"High Value","Standard")))</f>
        <v>Standard</v>
      </c>
      <c r="Q21" s="5" t="str">
        <f>IF(Transactions_RAW_cleaned[[#This Row],[Amount]] &gt; (_xlfn.XLOOKUP(Transactions_RAW_cleaned[[#This Row],[ServiceID]],Services_cleaned[ServiceID],Services_cleaned[TransactionFeePct]) * 10000), "Yes", "No")</f>
        <v>Yes</v>
      </c>
      <c r="R21" s="5" t="str">
        <f>IF(COUNTIFS($C$2:Transactions_RAW_cleaned[[#This Row],[CustomerID]],Transactions_RAW_cleaned[[#This Row],[CustomerID]],$D$2:Transactions_RAW_cleaned[[#This Row],[ServiceID]],Transactions_RAW_cleaned[[#This Row],[ServiceID]])=1,"Yes","No")</f>
        <v>No</v>
      </c>
      <c r="S2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 t="str">
        <f>"Q"&amp;ROUNDUP(MONTH(Transactions_RAW_cleaned[[#This Row],[TransactionDate]])/3,0)</f>
        <v>Q4</v>
      </c>
      <c r="U21" t="str">
        <f>Transactions_RAW_cleaned[[#This Row],[Region ]]&amp;Transactions_RAW_cleaned[[#This Row],[Quarter ]]</f>
        <v>APACQ4</v>
      </c>
      <c r="V21" s="5">
        <f>_xlfn.XLOOKUP(Transactions_RAW_cleaned[[#This Row],[RegionQuarterKey]], Quarterly_Targets_cleaned[RegionQuarterKey], Quarterly_Targets_cleaned[TargetRevenue])</f>
        <v>126500</v>
      </c>
    </row>
    <row r="22" spans="1:22" x14ac:dyDescent="0.25">
      <c r="A22" t="s">
        <v>451</v>
      </c>
      <c r="B22" s="1">
        <v>45591</v>
      </c>
      <c r="C22" t="s">
        <v>82</v>
      </c>
      <c r="D22" t="s">
        <v>306</v>
      </c>
      <c r="E22">
        <v>-542.74</v>
      </c>
      <c r="F22" t="s">
        <v>349</v>
      </c>
      <c r="G22" t="s">
        <v>327</v>
      </c>
      <c r="H22" t="s">
        <v>334</v>
      </c>
      <c r="I22" t="s">
        <v>57</v>
      </c>
      <c r="J22" t="s">
        <v>46</v>
      </c>
      <c r="K22" t="s">
        <v>10</v>
      </c>
      <c r="L22" t="s">
        <v>307</v>
      </c>
      <c r="M22" t="s">
        <v>308</v>
      </c>
      <c r="N22">
        <v>0</v>
      </c>
      <c r="O22" t="str">
        <f>IF(Transactions_RAW_cleaned[[#This Row],[Status]]="Completed", IFERROR(_xlfn.XLOOKUP(Transactions_RAW_cleaned[[#This Row],[CustomerID]], Customers_cleaned[CustomerID], Customers_cleaned[Segment]), "Customer Not Found"), "N/A")</f>
        <v>N/A</v>
      </c>
      <c r="P22" s="5" t="str">
        <f>IF(Transactions_RAW_cleaned[[#This Row],[Status]]="Refunded", "Refund",
  IF(Transactions_RAW_cleaned[[#This Row],[Category]]="Payments", IF(Transactions_RAW_cleaned[[#This Row],[Amount]]&gt;500,"High Value","Standard"),
    IF(Transactions_RAW_cleaned[[#This Row],[Amount]]&gt;250,"High Value","Standard")))</f>
        <v>Refund</v>
      </c>
      <c r="Q22" s="5" t="str">
        <f>IF(Transactions_RAW_cleaned[[#This Row],[Amount]] &gt; (_xlfn.XLOOKUP(Transactions_RAW_cleaned[[#This Row],[ServiceID]],Services_cleaned[ServiceID],Services_cleaned[TransactionFeePct]) * 10000), "Yes", "No")</f>
        <v>No</v>
      </c>
      <c r="R22" s="5" t="str">
        <f>IF(COUNTIFS($C$2:Transactions_RAW_cleaned[[#This Row],[CustomerID]],Transactions_RAW_cleaned[[#This Row],[CustomerID]],$D$2:Transactions_RAW_cleaned[[#This Row],[ServiceID]],Transactions_RAW_cleaned[[#This Row],[ServiceID]])=1,"Yes","No")</f>
        <v>Yes</v>
      </c>
      <c r="S2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 t="str">
        <f>"Q"&amp;ROUNDUP(MONTH(Transactions_RAW_cleaned[[#This Row],[TransactionDate]])/3,0)</f>
        <v>Q4</v>
      </c>
      <c r="U22" t="str">
        <f>Transactions_RAW_cleaned[[#This Row],[Region ]]&amp;Transactions_RAW_cleaned[[#This Row],[Quarter ]]</f>
        <v>APACQ4</v>
      </c>
      <c r="V22" s="5">
        <f>_xlfn.XLOOKUP(Transactions_RAW_cleaned[[#This Row],[RegionQuarterKey]], Quarterly_Targets_cleaned[RegionQuarterKey], Quarterly_Targets_cleaned[TargetRevenue])</f>
        <v>126500</v>
      </c>
    </row>
    <row r="23" spans="1:22" x14ac:dyDescent="0.25">
      <c r="A23" t="s">
        <v>336</v>
      </c>
      <c r="B23" s="1">
        <v>45514</v>
      </c>
      <c r="C23" t="s">
        <v>42</v>
      </c>
      <c r="D23" t="s">
        <v>312</v>
      </c>
      <c r="E23">
        <v>485.31</v>
      </c>
      <c r="F23" t="s">
        <v>324</v>
      </c>
      <c r="G23" t="s">
        <v>337</v>
      </c>
      <c r="H23" t="s">
        <v>334</v>
      </c>
      <c r="I23" t="s">
        <v>8</v>
      </c>
      <c r="J23" t="s">
        <v>102</v>
      </c>
      <c r="K23" t="s">
        <v>10</v>
      </c>
      <c r="L23" t="s">
        <v>313</v>
      </c>
      <c r="M23" t="s">
        <v>314</v>
      </c>
      <c r="N23">
        <v>0</v>
      </c>
      <c r="O23" t="str">
        <f>IF(Transactions_RAW_cleaned[[#This Row],[Status]]="Completed", IFERROR(_xlfn.XLOOKUP(Transactions_RAW_cleaned[[#This Row],[CustomerID]], Customers_cleaned[CustomerID], Customers_cleaned[Segment]), "Customer Not Found"), "N/A")</f>
        <v>SMB</v>
      </c>
      <c r="P23" s="5" t="str">
        <f>IF(Transactions_RAW_cleaned[[#This Row],[Status]]="Refunded", "Refund",
  IF(Transactions_RAW_cleaned[[#This Row],[Category]]="Payments", IF(Transactions_RAW_cleaned[[#This Row],[Amount]]&gt;500,"High Value","Standard"),
    IF(Transactions_RAW_cleaned[[#This Row],[Amount]]&gt;250,"High Value","Standard")))</f>
        <v>High Value</v>
      </c>
      <c r="Q23" s="5" t="str">
        <f>IF(Transactions_RAW_cleaned[[#This Row],[Amount]] &gt; (_xlfn.XLOOKUP(Transactions_RAW_cleaned[[#This Row],[ServiceID]],Services_cleaned[ServiceID],Services_cleaned[TransactionFeePct]) * 10000), "Yes", "No")</f>
        <v>Yes</v>
      </c>
      <c r="R23" s="5" t="str">
        <f>IF(COUNTIFS($C$2:Transactions_RAW_cleaned[[#This Row],[CustomerID]],Transactions_RAW_cleaned[[#This Row],[CustomerID]],$D$2:Transactions_RAW_cleaned[[#This Row],[ServiceID]],Transactions_RAW_cleaned[[#This Row],[ServiceID]])=1,"Yes","No")</f>
        <v>Yes</v>
      </c>
      <c r="S2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 t="str">
        <f>"Q"&amp;ROUNDUP(MONTH(Transactions_RAW_cleaned[[#This Row],[TransactionDate]])/3,0)</f>
        <v>Q3</v>
      </c>
      <c r="U23" t="str">
        <f>Transactions_RAW_cleaned[[#This Row],[Region ]]&amp;Transactions_RAW_cleaned[[#This Row],[Quarter ]]</f>
        <v>NAQ3</v>
      </c>
      <c r="V23" s="5">
        <f>_xlfn.XLOOKUP(Transactions_RAW_cleaned[[#This Row],[RegionQuarterKey]], Quarterly_Targets_cleaned[RegionQuarterKey], Quarterly_Targets_cleaned[TargetRevenue])</f>
        <v>273000</v>
      </c>
    </row>
    <row r="24" spans="1:22" x14ac:dyDescent="0.25">
      <c r="A24" t="s">
        <v>424</v>
      </c>
      <c r="B24" s="1">
        <v>45388</v>
      </c>
      <c r="C24" t="s">
        <v>42</v>
      </c>
      <c r="D24" t="s">
        <v>294</v>
      </c>
      <c r="E24">
        <v>243.13</v>
      </c>
      <c r="F24" t="s">
        <v>324</v>
      </c>
      <c r="G24" t="s">
        <v>325</v>
      </c>
      <c r="I24" t="s">
        <v>8</v>
      </c>
      <c r="J24" t="s">
        <v>102</v>
      </c>
      <c r="K24" t="s">
        <v>10</v>
      </c>
      <c r="L24" t="s">
        <v>295</v>
      </c>
      <c r="M24" t="s">
        <v>296</v>
      </c>
      <c r="N24">
        <v>2.9000000000000001E-2</v>
      </c>
      <c r="O24" t="str">
        <f>IF(Transactions_RAW_cleaned[[#This Row],[Status]]="Completed", IFERROR(_xlfn.XLOOKUP(Transactions_RAW_cleaned[[#This Row],[CustomerID]], Customers_cleaned[CustomerID], Customers_cleaned[Segment]), "Customer Not Found"), "N/A")</f>
        <v>SMB</v>
      </c>
      <c r="P24" s="5" t="str">
        <f>IF(Transactions_RAW_cleaned[[#This Row],[Status]]="Refunded", "Refund",
  IF(Transactions_RAW_cleaned[[#This Row],[Category]]="Payments", IF(Transactions_RAW_cleaned[[#This Row],[Amount]]&gt;500,"High Value","Standard"),
    IF(Transactions_RAW_cleaned[[#This Row],[Amount]]&gt;250,"High Value","Standard")))</f>
        <v>Standard</v>
      </c>
      <c r="Q24" s="5" t="str">
        <f>IF(Transactions_RAW_cleaned[[#This Row],[Amount]] &gt; (_xlfn.XLOOKUP(Transactions_RAW_cleaned[[#This Row],[ServiceID]],Services_cleaned[ServiceID],Services_cleaned[TransactionFeePct]) * 10000), "Yes", "No")</f>
        <v>No</v>
      </c>
      <c r="R24" s="5" t="str">
        <f>IF(COUNTIFS($C$2:Transactions_RAW_cleaned[[#This Row],[CustomerID]],Transactions_RAW_cleaned[[#This Row],[CustomerID]],$D$2:Transactions_RAW_cleaned[[#This Row],[ServiceID]],Transactions_RAW_cleaned[[#This Row],[ServiceID]])=1,"Yes","No")</f>
        <v>Yes</v>
      </c>
      <c r="S2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 t="str">
        <f>"Q"&amp;ROUNDUP(MONTH(Transactions_RAW_cleaned[[#This Row],[TransactionDate]])/3,0)</f>
        <v>Q2</v>
      </c>
      <c r="U24" t="str">
        <f>Transactions_RAW_cleaned[[#This Row],[Region ]]&amp;Transactions_RAW_cleaned[[#This Row],[Quarter ]]</f>
        <v>NAQ2</v>
      </c>
      <c r="V24" s="5">
        <f>_xlfn.XLOOKUP(Transactions_RAW_cleaned[[#This Row],[RegionQuarterKey]], Quarterly_Targets_cleaned[RegionQuarterKey], Quarterly_Targets_cleaned[TargetRevenue])</f>
        <v>260000</v>
      </c>
    </row>
    <row r="25" spans="1:22" x14ac:dyDescent="0.25">
      <c r="A25" t="s">
        <v>441</v>
      </c>
      <c r="B25" s="1">
        <v>45465</v>
      </c>
      <c r="C25" t="s">
        <v>42</v>
      </c>
      <c r="D25" t="s">
        <v>306</v>
      </c>
      <c r="E25">
        <v>147.44</v>
      </c>
      <c r="F25" t="s">
        <v>331</v>
      </c>
      <c r="G25" t="s">
        <v>337</v>
      </c>
      <c r="H25" t="s">
        <v>334</v>
      </c>
      <c r="I25" t="s">
        <v>8</v>
      </c>
      <c r="J25" t="s">
        <v>102</v>
      </c>
      <c r="K25" t="s">
        <v>10</v>
      </c>
      <c r="L25" t="s">
        <v>307</v>
      </c>
      <c r="M25" t="s">
        <v>308</v>
      </c>
      <c r="N25">
        <v>0</v>
      </c>
      <c r="O25" t="str">
        <f>IF(Transactions_RAW_cleaned[[#This Row],[Status]]="Completed", IFERROR(_xlfn.XLOOKUP(Transactions_RAW_cleaned[[#This Row],[CustomerID]], Customers_cleaned[CustomerID], Customers_cleaned[Segment]), "Customer Not Found"), "N/A")</f>
        <v>N/A</v>
      </c>
      <c r="P25" s="5" t="str">
        <f>IF(Transactions_RAW_cleaned[[#This Row],[Status]]="Refunded", "Refund",
  IF(Transactions_RAW_cleaned[[#This Row],[Category]]="Payments", IF(Transactions_RAW_cleaned[[#This Row],[Amount]]&gt;500,"High Value","Standard"),
    IF(Transactions_RAW_cleaned[[#This Row],[Amount]]&gt;250,"High Value","Standard")))</f>
        <v>Standard</v>
      </c>
      <c r="Q25" s="5" t="str">
        <f>IF(Transactions_RAW_cleaned[[#This Row],[Amount]] &gt; (_xlfn.XLOOKUP(Transactions_RAW_cleaned[[#This Row],[ServiceID]],Services_cleaned[ServiceID],Services_cleaned[TransactionFeePct]) * 10000), "Yes", "No")</f>
        <v>Yes</v>
      </c>
      <c r="R25" s="5" t="str">
        <f>IF(COUNTIFS($C$2:Transactions_RAW_cleaned[[#This Row],[CustomerID]],Transactions_RAW_cleaned[[#This Row],[CustomerID]],$D$2:Transactions_RAW_cleaned[[#This Row],[ServiceID]],Transactions_RAW_cleaned[[#This Row],[ServiceID]])=1,"Yes","No")</f>
        <v>Yes</v>
      </c>
      <c r="S2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 t="str">
        <f>"Q"&amp;ROUNDUP(MONTH(Transactions_RAW_cleaned[[#This Row],[TransactionDate]])/3,0)</f>
        <v>Q2</v>
      </c>
      <c r="U25" t="str">
        <f>Transactions_RAW_cleaned[[#This Row],[Region ]]&amp;Transactions_RAW_cleaned[[#This Row],[Quarter ]]</f>
        <v>NAQ2</v>
      </c>
      <c r="V25" s="5">
        <f>_xlfn.XLOOKUP(Transactions_RAW_cleaned[[#This Row],[RegionQuarterKey]], Quarterly_Targets_cleaned[RegionQuarterKey], Quarterly_Targets_cleaned[TargetRevenue])</f>
        <v>260000</v>
      </c>
    </row>
    <row r="26" spans="1:22" x14ac:dyDescent="0.25">
      <c r="A26" t="s">
        <v>428</v>
      </c>
      <c r="B26" s="1">
        <v>45427</v>
      </c>
      <c r="C26" t="s">
        <v>33</v>
      </c>
      <c r="D26" t="s">
        <v>306</v>
      </c>
      <c r="E26">
        <v>-900.42</v>
      </c>
      <c r="F26" t="s">
        <v>349</v>
      </c>
      <c r="G26" t="s">
        <v>325</v>
      </c>
      <c r="H26" t="s">
        <v>334</v>
      </c>
      <c r="I26" t="s">
        <v>17</v>
      </c>
      <c r="J26" t="s">
        <v>31</v>
      </c>
      <c r="K26" t="s">
        <v>14</v>
      </c>
      <c r="L26" t="s">
        <v>307</v>
      </c>
      <c r="M26" t="s">
        <v>308</v>
      </c>
      <c r="N26">
        <v>0</v>
      </c>
      <c r="O26" t="str">
        <f>IF(Transactions_RAW_cleaned[[#This Row],[Status]]="Completed", IFERROR(_xlfn.XLOOKUP(Transactions_RAW_cleaned[[#This Row],[CustomerID]], Customers_cleaned[CustomerID], Customers_cleaned[Segment]), "Customer Not Found"), "N/A")</f>
        <v>N/A</v>
      </c>
      <c r="P26" s="5" t="str">
        <f>IF(Transactions_RAW_cleaned[[#This Row],[Status]]="Refunded", "Refund",
  IF(Transactions_RAW_cleaned[[#This Row],[Category]]="Payments", IF(Transactions_RAW_cleaned[[#This Row],[Amount]]&gt;500,"High Value","Standard"),
    IF(Transactions_RAW_cleaned[[#This Row],[Amount]]&gt;250,"High Value","Standard")))</f>
        <v>Refund</v>
      </c>
      <c r="Q26" s="5" t="str">
        <f>IF(Transactions_RAW_cleaned[[#This Row],[Amount]] &gt; (_xlfn.XLOOKUP(Transactions_RAW_cleaned[[#This Row],[ServiceID]],Services_cleaned[ServiceID],Services_cleaned[TransactionFeePct]) * 10000), "Yes", "No")</f>
        <v>No</v>
      </c>
      <c r="R26" s="5" t="str">
        <f>IF(COUNTIFS($C$2:Transactions_RAW_cleaned[[#This Row],[CustomerID]],Transactions_RAW_cleaned[[#This Row],[CustomerID]],$D$2:Transactions_RAW_cleaned[[#This Row],[ServiceID]],Transactions_RAW_cleaned[[#This Row],[ServiceID]])=1,"Yes","No")</f>
        <v>Yes</v>
      </c>
      <c r="S2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6" t="str">
        <f>"Q"&amp;ROUNDUP(MONTH(Transactions_RAW_cleaned[[#This Row],[TransactionDate]])/3,0)</f>
        <v>Q2</v>
      </c>
      <c r="U26" t="str">
        <f>Transactions_RAW_cleaned[[#This Row],[Region ]]&amp;Transactions_RAW_cleaned[[#This Row],[Quarter ]]</f>
        <v>EMEAQ2</v>
      </c>
      <c r="V26" s="5">
        <f>_xlfn.XLOOKUP(Transactions_RAW_cleaned[[#This Row],[RegionQuarterKey]], Quarterly_Targets_cleaned[RegionQuarterKey], Quarterly_Targets_cleaned[TargetRevenue])</f>
        <v>140000</v>
      </c>
    </row>
    <row r="27" spans="1:22" x14ac:dyDescent="0.25">
      <c r="A27" t="s">
        <v>338</v>
      </c>
      <c r="B27" s="1">
        <v>45295</v>
      </c>
      <c r="C27" t="s">
        <v>169</v>
      </c>
      <c r="D27" t="s">
        <v>312</v>
      </c>
      <c r="E27">
        <v>48.06</v>
      </c>
      <c r="F27" t="s">
        <v>324</v>
      </c>
      <c r="G27" t="s">
        <v>327</v>
      </c>
      <c r="I27" t="s">
        <v>8</v>
      </c>
      <c r="J27" t="s">
        <v>13</v>
      </c>
      <c r="K27" t="s">
        <v>32</v>
      </c>
      <c r="L27" t="s">
        <v>313</v>
      </c>
      <c r="M27" t="s">
        <v>314</v>
      </c>
      <c r="N27">
        <v>0</v>
      </c>
      <c r="O27" t="str">
        <f>IF(Transactions_RAW_cleaned[[#This Row],[Status]]="Completed", IFERROR(_xlfn.XLOOKUP(Transactions_RAW_cleaned[[#This Row],[CustomerID]], Customers_cleaned[CustomerID], Customers_cleaned[Segment]), "Customer Not Found"), "N/A")</f>
        <v>SMB</v>
      </c>
      <c r="P27" s="5" t="str">
        <f>IF(Transactions_RAW_cleaned[[#This Row],[Status]]="Refunded", "Refund",
  IF(Transactions_RAW_cleaned[[#This Row],[Category]]="Payments", IF(Transactions_RAW_cleaned[[#This Row],[Amount]]&gt;500,"High Value","Standard"),
    IF(Transactions_RAW_cleaned[[#This Row],[Amount]]&gt;250,"High Value","Standard")))</f>
        <v>Standard</v>
      </c>
      <c r="Q27" s="5" t="str">
        <f>IF(Transactions_RAW_cleaned[[#This Row],[Amount]] &gt; (_xlfn.XLOOKUP(Transactions_RAW_cleaned[[#This Row],[ServiceID]],Services_cleaned[ServiceID],Services_cleaned[TransactionFeePct]) * 10000), "Yes", "No")</f>
        <v>Yes</v>
      </c>
      <c r="R27" s="5" t="str">
        <f>IF(COUNTIFS($C$2:Transactions_RAW_cleaned[[#This Row],[CustomerID]],Transactions_RAW_cleaned[[#This Row],[CustomerID]],$D$2:Transactions_RAW_cleaned[[#This Row],[ServiceID]],Transactions_RAW_cleaned[[#This Row],[ServiceID]])=1,"Yes","No")</f>
        <v>Yes</v>
      </c>
      <c r="S2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7" t="str">
        <f>"Q"&amp;ROUNDUP(MONTH(Transactions_RAW_cleaned[[#This Row],[TransactionDate]])/3,0)</f>
        <v>Q1</v>
      </c>
      <c r="U27" t="str">
        <f>Transactions_RAW_cleaned[[#This Row],[Region ]]&amp;Transactions_RAW_cleaned[[#This Row],[Quarter ]]</f>
        <v>NAQ1</v>
      </c>
      <c r="V27" s="5">
        <f>_xlfn.XLOOKUP(Transactions_RAW_cleaned[[#This Row],[RegionQuarterKey]], Quarterly_Targets_cleaned[RegionQuarterKey], Quarterly_Targets_cleaned[TargetRevenue])</f>
        <v>247000</v>
      </c>
    </row>
    <row r="28" spans="1:22" x14ac:dyDescent="0.25">
      <c r="A28" t="s">
        <v>371</v>
      </c>
      <c r="B28" s="1">
        <v>45418</v>
      </c>
      <c r="C28" t="s">
        <v>169</v>
      </c>
      <c r="D28" t="s">
        <v>300</v>
      </c>
      <c r="E28">
        <v>489.53</v>
      </c>
      <c r="F28" t="s">
        <v>324</v>
      </c>
      <c r="G28" t="s">
        <v>327</v>
      </c>
      <c r="H28" t="s">
        <v>346</v>
      </c>
      <c r="I28" t="s">
        <v>8</v>
      </c>
      <c r="J28" t="s">
        <v>13</v>
      </c>
      <c r="K28" t="s">
        <v>32</v>
      </c>
      <c r="L28" t="s">
        <v>301</v>
      </c>
      <c r="M28" t="s">
        <v>302</v>
      </c>
      <c r="N28">
        <v>5.0000000000000001E-3</v>
      </c>
      <c r="O28" t="str">
        <f>IF(Transactions_RAW_cleaned[[#This Row],[Status]]="Completed", IFERROR(_xlfn.XLOOKUP(Transactions_RAW_cleaned[[#This Row],[CustomerID]], Customers_cleaned[CustomerID], Customers_cleaned[Segment]), "Customer Not Found"), "N/A")</f>
        <v>SMB</v>
      </c>
      <c r="P28" s="5" t="str">
        <f>IF(Transactions_RAW_cleaned[[#This Row],[Status]]="Refunded", "Refund",
  IF(Transactions_RAW_cleaned[[#This Row],[Category]]="Payments", IF(Transactions_RAW_cleaned[[#This Row],[Amount]]&gt;500,"High Value","Standard"),
    IF(Transactions_RAW_cleaned[[#This Row],[Amount]]&gt;250,"High Value","Standard")))</f>
        <v>High Value</v>
      </c>
      <c r="Q28" s="5" t="str">
        <f>IF(Transactions_RAW_cleaned[[#This Row],[Amount]] &gt; (_xlfn.XLOOKUP(Transactions_RAW_cleaned[[#This Row],[ServiceID]],Services_cleaned[ServiceID],Services_cleaned[TransactionFeePct]) * 10000), "Yes", "No")</f>
        <v>Yes</v>
      </c>
      <c r="R28" s="5" t="str">
        <f>IF(COUNTIFS($C$2:Transactions_RAW_cleaned[[#This Row],[CustomerID]],Transactions_RAW_cleaned[[#This Row],[CustomerID]],$D$2:Transactions_RAW_cleaned[[#This Row],[ServiceID]],Transactions_RAW_cleaned[[#This Row],[ServiceID]])=1,"Yes","No")</f>
        <v>Yes</v>
      </c>
      <c r="S2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8" t="str">
        <f>"Q"&amp;ROUNDUP(MONTH(Transactions_RAW_cleaned[[#This Row],[TransactionDate]])/3,0)</f>
        <v>Q2</v>
      </c>
      <c r="U28" t="str">
        <f>Transactions_RAW_cleaned[[#This Row],[Region ]]&amp;Transactions_RAW_cleaned[[#This Row],[Quarter ]]</f>
        <v>NAQ2</v>
      </c>
      <c r="V28" s="5">
        <f>_xlfn.XLOOKUP(Transactions_RAW_cleaned[[#This Row],[RegionQuarterKey]], Quarterly_Targets_cleaned[RegionQuarterKey], Quarterly_Targets_cleaned[TargetRevenue])</f>
        <v>260000</v>
      </c>
    </row>
    <row r="29" spans="1:22" x14ac:dyDescent="0.25">
      <c r="A29" t="s">
        <v>339</v>
      </c>
      <c r="B29" s="1">
        <v>45645</v>
      </c>
      <c r="C29" t="s">
        <v>76</v>
      </c>
      <c r="D29" t="s">
        <v>303</v>
      </c>
      <c r="E29">
        <v>283.32</v>
      </c>
      <c r="F29" t="s">
        <v>324</v>
      </c>
      <c r="G29" t="s">
        <v>327</v>
      </c>
      <c r="I29" t="s">
        <v>17</v>
      </c>
      <c r="J29" t="s">
        <v>13</v>
      </c>
      <c r="K29" t="s">
        <v>18</v>
      </c>
      <c r="L29" t="s">
        <v>304</v>
      </c>
      <c r="M29" t="s">
        <v>305</v>
      </c>
      <c r="N29">
        <v>1E-3</v>
      </c>
      <c r="O29" t="str">
        <f>IF(Transactions_RAW_cleaned[[#This Row],[Status]]="Completed", IFERROR(_xlfn.XLOOKUP(Transactions_RAW_cleaned[[#This Row],[CustomerID]], Customers_cleaned[CustomerID], Customers_cleaned[Segment]), "Customer Not Found"), "N/A")</f>
        <v>Enterprise</v>
      </c>
      <c r="P29" s="5" t="str">
        <f>IF(Transactions_RAW_cleaned[[#This Row],[Status]]="Refunded", "Refund",
  IF(Transactions_RAW_cleaned[[#This Row],[Category]]="Payments", IF(Transactions_RAW_cleaned[[#This Row],[Amount]]&gt;500,"High Value","Standard"),
    IF(Transactions_RAW_cleaned[[#This Row],[Amount]]&gt;250,"High Value","Standard")))</f>
        <v>High Value</v>
      </c>
      <c r="Q29" s="5" t="str">
        <f>IF(Transactions_RAW_cleaned[[#This Row],[Amount]] &gt; (_xlfn.XLOOKUP(Transactions_RAW_cleaned[[#This Row],[ServiceID]],Services_cleaned[ServiceID],Services_cleaned[TransactionFeePct]) * 10000), "Yes", "No")</f>
        <v>Yes</v>
      </c>
      <c r="R29" s="5" t="str">
        <f>IF(COUNTIFS($C$2:Transactions_RAW_cleaned[[#This Row],[CustomerID]],Transactions_RAW_cleaned[[#This Row],[CustomerID]],$D$2:Transactions_RAW_cleaned[[#This Row],[ServiceID]],Transactions_RAW_cleaned[[#This Row],[ServiceID]])=1,"Yes","No")</f>
        <v>Yes</v>
      </c>
      <c r="S2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9" t="str">
        <f>"Q"&amp;ROUNDUP(MONTH(Transactions_RAW_cleaned[[#This Row],[TransactionDate]])/3,0)</f>
        <v>Q4</v>
      </c>
      <c r="U29" t="str">
        <f>Transactions_RAW_cleaned[[#This Row],[Region ]]&amp;Transactions_RAW_cleaned[[#This Row],[Quarter ]]</f>
        <v>NAQ4</v>
      </c>
      <c r="V29" s="5">
        <f>_xlfn.XLOOKUP(Transactions_RAW_cleaned[[#This Row],[RegionQuarterKey]], Quarterly_Targets_cleaned[RegionQuarterKey], Quarterly_Targets_cleaned[TargetRevenue])</f>
        <v>299000</v>
      </c>
    </row>
    <row r="30" spans="1:22" x14ac:dyDescent="0.25">
      <c r="A30" t="s">
        <v>340</v>
      </c>
      <c r="B30" s="1">
        <v>45367</v>
      </c>
      <c r="C30" t="s">
        <v>275</v>
      </c>
      <c r="D30" t="s">
        <v>294</v>
      </c>
      <c r="E30">
        <v>2629.31</v>
      </c>
      <c r="F30" t="s">
        <v>324</v>
      </c>
      <c r="G30" t="s">
        <v>329</v>
      </c>
      <c r="H30" t="s">
        <v>332</v>
      </c>
      <c r="I30" t="s">
        <v>57</v>
      </c>
      <c r="J30" t="s">
        <v>13</v>
      </c>
      <c r="K30" t="s">
        <v>22</v>
      </c>
      <c r="L30" t="s">
        <v>295</v>
      </c>
      <c r="M30" t="s">
        <v>296</v>
      </c>
      <c r="N30">
        <v>2.9000000000000001E-2</v>
      </c>
      <c r="O30" t="str">
        <f>IF(Transactions_RAW_cleaned[[#This Row],[Status]]="Completed", IFERROR(_xlfn.XLOOKUP(Transactions_RAW_cleaned[[#This Row],[CustomerID]], Customers_cleaned[CustomerID], Customers_cleaned[Segment]), "Customer Not Found"), "N/A")</f>
        <v>Startup</v>
      </c>
      <c r="P30" s="5" t="str">
        <f>IF(Transactions_RAW_cleaned[[#This Row],[Status]]="Refunded", "Refund",
  IF(Transactions_RAW_cleaned[[#This Row],[Category]]="Payments", IF(Transactions_RAW_cleaned[[#This Row],[Amount]]&gt;500,"High Value","Standard"),
    IF(Transactions_RAW_cleaned[[#This Row],[Amount]]&gt;250,"High Value","Standard")))</f>
        <v>High Value</v>
      </c>
      <c r="Q30" s="5" t="str">
        <f>IF(Transactions_RAW_cleaned[[#This Row],[Amount]] &gt; (_xlfn.XLOOKUP(Transactions_RAW_cleaned[[#This Row],[ServiceID]],Services_cleaned[ServiceID],Services_cleaned[TransactionFeePct]) * 10000), "Yes", "No")</f>
        <v>Yes</v>
      </c>
      <c r="R30" s="5" t="str">
        <f>IF(COUNTIFS($C$2:Transactions_RAW_cleaned[[#This Row],[CustomerID]],Transactions_RAW_cleaned[[#This Row],[CustomerID]],$D$2:Transactions_RAW_cleaned[[#This Row],[ServiceID]],Transactions_RAW_cleaned[[#This Row],[ServiceID]])=1,"Yes","No")</f>
        <v>Yes</v>
      </c>
      <c r="S3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0" t="str">
        <f>"Q"&amp;ROUNDUP(MONTH(Transactions_RAW_cleaned[[#This Row],[TransactionDate]])/3,0)</f>
        <v>Q1</v>
      </c>
      <c r="U30" t="str">
        <f>Transactions_RAW_cleaned[[#This Row],[Region ]]&amp;Transactions_RAW_cleaned[[#This Row],[Quarter ]]</f>
        <v>NAQ1</v>
      </c>
      <c r="V30" s="5">
        <f>_xlfn.XLOOKUP(Transactions_RAW_cleaned[[#This Row],[RegionQuarterKey]], Quarterly_Targets_cleaned[RegionQuarterKey], Quarterly_Targets_cleaned[TargetRevenue])</f>
        <v>247000</v>
      </c>
    </row>
    <row r="31" spans="1:22" x14ac:dyDescent="0.25">
      <c r="A31" t="s">
        <v>365</v>
      </c>
      <c r="B31" s="1">
        <v>45650</v>
      </c>
      <c r="C31" t="s">
        <v>40</v>
      </c>
      <c r="D31" t="s">
        <v>297</v>
      </c>
      <c r="E31">
        <v>217.72</v>
      </c>
      <c r="F31" t="s">
        <v>324</v>
      </c>
      <c r="G31" t="s">
        <v>327</v>
      </c>
      <c r="H31" t="s">
        <v>346</v>
      </c>
      <c r="I31" t="s">
        <v>17</v>
      </c>
      <c r="J31" t="s">
        <v>102</v>
      </c>
      <c r="K31" t="s">
        <v>14</v>
      </c>
      <c r="L31" t="s">
        <v>298</v>
      </c>
      <c r="M31" t="s">
        <v>299</v>
      </c>
      <c r="N31">
        <v>0</v>
      </c>
      <c r="O31" t="str">
        <f>IF(Transactions_RAW_cleaned[[#This Row],[Status]]="Completed", IFERROR(_xlfn.XLOOKUP(Transactions_RAW_cleaned[[#This Row],[CustomerID]], Customers_cleaned[CustomerID], Customers_cleaned[Segment]), "Customer Not Found"), "N/A")</f>
        <v>Enterprise</v>
      </c>
      <c r="P31" s="5" t="str">
        <f>IF(Transactions_RAW_cleaned[[#This Row],[Status]]="Refunded", "Refund",
  IF(Transactions_RAW_cleaned[[#This Row],[Category]]="Payments", IF(Transactions_RAW_cleaned[[#This Row],[Amount]]&gt;500,"High Value","Standard"),
    IF(Transactions_RAW_cleaned[[#This Row],[Amount]]&gt;250,"High Value","Standard")))</f>
        <v>Standard</v>
      </c>
      <c r="Q31" s="5" t="str">
        <f>IF(Transactions_RAW_cleaned[[#This Row],[Amount]] &gt; (_xlfn.XLOOKUP(Transactions_RAW_cleaned[[#This Row],[ServiceID]],Services_cleaned[ServiceID],Services_cleaned[TransactionFeePct]) * 10000), "Yes", "No")</f>
        <v>Yes</v>
      </c>
      <c r="R31" s="5" t="str">
        <f>IF(COUNTIFS($C$2:Transactions_RAW_cleaned[[#This Row],[CustomerID]],Transactions_RAW_cleaned[[#This Row],[CustomerID]],$D$2:Transactions_RAW_cleaned[[#This Row],[ServiceID]],Transactions_RAW_cleaned[[#This Row],[ServiceID]])=1,"Yes","No")</f>
        <v>Yes</v>
      </c>
      <c r="S3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1" t="str">
        <f>"Q"&amp;ROUNDUP(MONTH(Transactions_RAW_cleaned[[#This Row],[TransactionDate]])/3,0)</f>
        <v>Q4</v>
      </c>
      <c r="U31" t="str">
        <f>Transactions_RAW_cleaned[[#This Row],[Region ]]&amp;Transactions_RAW_cleaned[[#This Row],[Quarter ]]</f>
        <v>NAQ4</v>
      </c>
      <c r="V31" s="5">
        <f>_xlfn.XLOOKUP(Transactions_RAW_cleaned[[#This Row],[RegionQuarterKey]], Quarterly_Targets_cleaned[RegionQuarterKey], Quarterly_Targets_cleaned[TargetRevenue])</f>
        <v>299000</v>
      </c>
    </row>
    <row r="32" spans="1:22" x14ac:dyDescent="0.25">
      <c r="A32" t="s">
        <v>382</v>
      </c>
      <c r="B32" s="1">
        <v>45527</v>
      </c>
      <c r="C32" t="s">
        <v>40</v>
      </c>
      <c r="D32" t="s">
        <v>300</v>
      </c>
      <c r="E32">
        <v>507.15</v>
      </c>
      <c r="F32" t="s">
        <v>331</v>
      </c>
      <c r="G32" t="s">
        <v>327</v>
      </c>
      <c r="H32" t="s">
        <v>332</v>
      </c>
      <c r="I32" t="s">
        <v>17</v>
      </c>
      <c r="J32" t="s">
        <v>102</v>
      </c>
      <c r="K32" t="s">
        <v>14</v>
      </c>
      <c r="L32" t="s">
        <v>301</v>
      </c>
      <c r="M32" t="s">
        <v>302</v>
      </c>
      <c r="N32">
        <v>5.0000000000000001E-3</v>
      </c>
      <c r="O32" t="str">
        <f>IF(Transactions_RAW_cleaned[[#This Row],[Status]]="Completed", IFERROR(_xlfn.XLOOKUP(Transactions_RAW_cleaned[[#This Row],[CustomerID]], Customers_cleaned[CustomerID], Customers_cleaned[Segment]), "Customer Not Found"), "N/A")</f>
        <v>N/A</v>
      </c>
      <c r="P32" s="5" t="str">
        <f>IF(Transactions_RAW_cleaned[[#This Row],[Status]]="Refunded", "Refund",
  IF(Transactions_RAW_cleaned[[#This Row],[Category]]="Payments", IF(Transactions_RAW_cleaned[[#This Row],[Amount]]&gt;500,"High Value","Standard"),
    IF(Transactions_RAW_cleaned[[#This Row],[Amount]]&gt;250,"High Value","Standard")))</f>
        <v>High Value</v>
      </c>
      <c r="Q32" s="5" t="str">
        <f>IF(Transactions_RAW_cleaned[[#This Row],[Amount]] &gt; (_xlfn.XLOOKUP(Transactions_RAW_cleaned[[#This Row],[ServiceID]],Services_cleaned[ServiceID],Services_cleaned[TransactionFeePct]) * 10000), "Yes", "No")</f>
        <v>Yes</v>
      </c>
      <c r="R32" s="5" t="str">
        <f>IF(COUNTIFS($C$2:Transactions_RAW_cleaned[[#This Row],[CustomerID]],Transactions_RAW_cleaned[[#This Row],[CustomerID]],$D$2:Transactions_RAW_cleaned[[#This Row],[ServiceID]],Transactions_RAW_cleaned[[#This Row],[ServiceID]])=1,"Yes","No")</f>
        <v>Yes</v>
      </c>
      <c r="S3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2" t="str">
        <f>"Q"&amp;ROUNDUP(MONTH(Transactions_RAW_cleaned[[#This Row],[TransactionDate]])/3,0)</f>
        <v>Q3</v>
      </c>
      <c r="U32" t="str">
        <f>Transactions_RAW_cleaned[[#This Row],[Region ]]&amp;Transactions_RAW_cleaned[[#This Row],[Quarter ]]</f>
        <v>NAQ3</v>
      </c>
      <c r="V32" s="5">
        <f>_xlfn.XLOOKUP(Transactions_RAW_cleaned[[#This Row],[RegionQuarterKey]], Quarterly_Targets_cleaned[RegionQuarterKey], Quarterly_Targets_cleaned[TargetRevenue])</f>
        <v>273000</v>
      </c>
    </row>
    <row r="33" spans="1:22" x14ac:dyDescent="0.25">
      <c r="A33" t="s">
        <v>459</v>
      </c>
      <c r="B33" s="1">
        <v>45537</v>
      </c>
      <c r="C33" t="s">
        <v>40</v>
      </c>
      <c r="D33" t="s">
        <v>297</v>
      </c>
      <c r="E33">
        <v>249.24</v>
      </c>
      <c r="F33" t="s">
        <v>381</v>
      </c>
      <c r="G33" t="s">
        <v>329</v>
      </c>
      <c r="H33" t="s">
        <v>332</v>
      </c>
      <c r="I33" t="s">
        <v>17</v>
      </c>
      <c r="J33" t="s">
        <v>102</v>
      </c>
      <c r="K33" t="s">
        <v>14</v>
      </c>
      <c r="L33" t="s">
        <v>298</v>
      </c>
      <c r="M33" t="s">
        <v>299</v>
      </c>
      <c r="N33">
        <v>0</v>
      </c>
      <c r="O33" t="str">
        <f>IF(Transactions_RAW_cleaned[[#This Row],[Status]]="Completed", IFERROR(_xlfn.XLOOKUP(Transactions_RAW_cleaned[[#This Row],[CustomerID]], Customers_cleaned[CustomerID], Customers_cleaned[Segment]), "Customer Not Found"), "N/A")</f>
        <v>N/A</v>
      </c>
      <c r="P33" s="5" t="str">
        <f>IF(Transactions_RAW_cleaned[[#This Row],[Status]]="Refunded", "Refund",
  IF(Transactions_RAW_cleaned[[#This Row],[Category]]="Payments", IF(Transactions_RAW_cleaned[[#This Row],[Amount]]&gt;500,"High Value","Standard"),
    IF(Transactions_RAW_cleaned[[#This Row],[Amount]]&gt;250,"High Value","Standard")))</f>
        <v>Standard</v>
      </c>
      <c r="Q33" s="5" t="str">
        <f>IF(Transactions_RAW_cleaned[[#This Row],[Amount]] &gt; (_xlfn.XLOOKUP(Transactions_RAW_cleaned[[#This Row],[ServiceID]],Services_cleaned[ServiceID],Services_cleaned[TransactionFeePct]) * 10000), "Yes", "No")</f>
        <v>Yes</v>
      </c>
      <c r="R33" s="5" t="str">
        <f>IF(COUNTIFS($C$2:Transactions_RAW_cleaned[[#This Row],[CustomerID]],Transactions_RAW_cleaned[[#This Row],[CustomerID]],$D$2:Transactions_RAW_cleaned[[#This Row],[ServiceID]],Transactions_RAW_cleaned[[#This Row],[ServiceID]])=1,"Yes","No")</f>
        <v>No</v>
      </c>
      <c r="S3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3" t="str">
        <f>"Q"&amp;ROUNDUP(MONTH(Transactions_RAW_cleaned[[#This Row],[TransactionDate]])/3,0)</f>
        <v>Q3</v>
      </c>
      <c r="U33" t="str">
        <f>Transactions_RAW_cleaned[[#This Row],[Region ]]&amp;Transactions_RAW_cleaned[[#This Row],[Quarter ]]</f>
        <v>NAQ3</v>
      </c>
      <c r="V33" s="5">
        <f>_xlfn.XLOOKUP(Transactions_RAW_cleaned[[#This Row],[RegionQuarterKey]], Quarterly_Targets_cleaned[RegionQuarterKey], Quarterly_Targets_cleaned[TargetRevenue])</f>
        <v>273000</v>
      </c>
    </row>
    <row r="34" spans="1:22" x14ac:dyDescent="0.25">
      <c r="A34" t="s">
        <v>341</v>
      </c>
      <c r="B34" s="1">
        <v>45412</v>
      </c>
      <c r="C34" t="s">
        <v>153</v>
      </c>
      <c r="D34" t="s">
        <v>309</v>
      </c>
      <c r="E34">
        <v>377.49</v>
      </c>
      <c r="F34" t="s">
        <v>324</v>
      </c>
      <c r="G34" t="s">
        <v>337</v>
      </c>
      <c r="I34" t="s">
        <v>8</v>
      </c>
      <c r="J34" t="s">
        <v>37</v>
      </c>
      <c r="K34" t="s">
        <v>32</v>
      </c>
      <c r="L34" t="s">
        <v>310</v>
      </c>
      <c r="M34" t="s">
        <v>311</v>
      </c>
      <c r="N34">
        <v>0</v>
      </c>
      <c r="O34" t="str">
        <f>IF(Transactions_RAW_cleaned[[#This Row],[Status]]="Completed", IFERROR(_xlfn.XLOOKUP(Transactions_RAW_cleaned[[#This Row],[CustomerID]], Customers_cleaned[CustomerID], Customers_cleaned[Segment]), "Customer Not Found"), "N/A")</f>
        <v>SMB</v>
      </c>
      <c r="P34" s="5" t="str">
        <f>IF(Transactions_RAW_cleaned[[#This Row],[Status]]="Refunded", "Refund",
  IF(Transactions_RAW_cleaned[[#This Row],[Category]]="Payments", IF(Transactions_RAW_cleaned[[#This Row],[Amount]]&gt;500,"High Value","Standard"),
    IF(Transactions_RAW_cleaned[[#This Row],[Amount]]&gt;250,"High Value","Standard")))</f>
        <v>High Value</v>
      </c>
      <c r="Q34" s="5" t="str">
        <f>IF(Transactions_RAW_cleaned[[#This Row],[Amount]] &gt; (_xlfn.XLOOKUP(Transactions_RAW_cleaned[[#This Row],[ServiceID]],Services_cleaned[ServiceID],Services_cleaned[TransactionFeePct]) * 10000), "Yes", "No")</f>
        <v>Yes</v>
      </c>
      <c r="R34" s="5" t="str">
        <f>IF(COUNTIFS($C$2:Transactions_RAW_cleaned[[#This Row],[CustomerID]],Transactions_RAW_cleaned[[#This Row],[CustomerID]],$D$2:Transactions_RAW_cleaned[[#This Row],[ServiceID]],Transactions_RAW_cleaned[[#This Row],[ServiceID]])=1,"Yes","No")</f>
        <v>Yes</v>
      </c>
      <c r="S3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34" t="str">
        <f>"Q"&amp;ROUNDUP(MONTH(Transactions_RAW_cleaned[[#This Row],[TransactionDate]])/3,0)</f>
        <v>Q2</v>
      </c>
      <c r="U34" t="str">
        <f>Transactions_RAW_cleaned[[#This Row],[Region ]]&amp;Transactions_RAW_cleaned[[#This Row],[Quarter ]]</f>
        <v>EMEAQ2</v>
      </c>
      <c r="V34" s="5">
        <f>_xlfn.XLOOKUP(Transactions_RAW_cleaned[[#This Row],[RegionQuarterKey]], Quarterly_Targets_cleaned[RegionQuarterKey], Quarterly_Targets_cleaned[TargetRevenue])</f>
        <v>140000</v>
      </c>
    </row>
    <row r="35" spans="1:22" x14ac:dyDescent="0.25">
      <c r="A35" t="s">
        <v>421</v>
      </c>
      <c r="B35" s="1">
        <v>45536</v>
      </c>
      <c r="C35" t="s">
        <v>153</v>
      </c>
      <c r="D35" t="s">
        <v>309</v>
      </c>
      <c r="E35">
        <v>409.63</v>
      </c>
      <c r="F35" t="s">
        <v>324</v>
      </c>
      <c r="G35" t="s">
        <v>325</v>
      </c>
      <c r="I35" t="s">
        <v>8</v>
      </c>
      <c r="J35" t="s">
        <v>37</v>
      </c>
      <c r="K35" t="s">
        <v>32</v>
      </c>
      <c r="L35" t="s">
        <v>310</v>
      </c>
      <c r="M35" t="s">
        <v>311</v>
      </c>
      <c r="N35">
        <v>0</v>
      </c>
      <c r="O35" t="str">
        <f>IF(Transactions_RAW_cleaned[[#This Row],[Status]]="Completed", IFERROR(_xlfn.XLOOKUP(Transactions_RAW_cleaned[[#This Row],[CustomerID]], Customers_cleaned[CustomerID], Customers_cleaned[Segment]), "Customer Not Found"), "N/A")</f>
        <v>SMB</v>
      </c>
      <c r="P35" s="5" t="str">
        <f>IF(Transactions_RAW_cleaned[[#This Row],[Status]]="Refunded", "Refund",
  IF(Transactions_RAW_cleaned[[#This Row],[Category]]="Payments", IF(Transactions_RAW_cleaned[[#This Row],[Amount]]&gt;500,"High Value","Standard"),
    IF(Transactions_RAW_cleaned[[#This Row],[Amount]]&gt;250,"High Value","Standard")))</f>
        <v>High Value</v>
      </c>
      <c r="Q35" s="5" t="str">
        <f>IF(Transactions_RAW_cleaned[[#This Row],[Amount]] &gt; (_xlfn.XLOOKUP(Transactions_RAW_cleaned[[#This Row],[ServiceID]],Services_cleaned[ServiceID],Services_cleaned[TransactionFeePct]) * 10000), "Yes", "No")</f>
        <v>Yes</v>
      </c>
      <c r="R35" s="5" t="str">
        <f>IF(COUNTIFS($C$2:Transactions_RAW_cleaned[[#This Row],[CustomerID]],Transactions_RAW_cleaned[[#This Row],[CustomerID]],$D$2:Transactions_RAW_cleaned[[#This Row],[ServiceID]],Transactions_RAW_cleaned[[#This Row],[ServiceID]])=1,"Yes","No")</f>
        <v>No</v>
      </c>
      <c r="S3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35" t="str">
        <f>"Q"&amp;ROUNDUP(MONTH(Transactions_RAW_cleaned[[#This Row],[TransactionDate]])/3,0)</f>
        <v>Q3</v>
      </c>
      <c r="U35" t="str">
        <f>Transactions_RAW_cleaned[[#This Row],[Region ]]&amp;Transactions_RAW_cleaned[[#This Row],[Quarter ]]</f>
        <v>EMEAQ3</v>
      </c>
      <c r="V35" s="5">
        <f>_xlfn.XLOOKUP(Transactions_RAW_cleaned[[#This Row],[RegionQuarterKey]], Quarterly_Targets_cleaned[RegionQuarterKey], Quarterly_Targets_cleaned[TargetRevenue])</f>
        <v>147000</v>
      </c>
    </row>
    <row r="36" spans="1:22" x14ac:dyDescent="0.25">
      <c r="A36" t="s">
        <v>429</v>
      </c>
      <c r="B36" s="1">
        <v>45492</v>
      </c>
      <c r="C36" t="s">
        <v>153</v>
      </c>
      <c r="D36" t="s">
        <v>312</v>
      </c>
      <c r="E36">
        <v>588.88</v>
      </c>
      <c r="F36" t="s">
        <v>324</v>
      </c>
      <c r="G36" t="s">
        <v>327</v>
      </c>
      <c r="I36" t="s">
        <v>8</v>
      </c>
      <c r="J36" t="s">
        <v>37</v>
      </c>
      <c r="K36" t="s">
        <v>32</v>
      </c>
      <c r="L36" t="s">
        <v>313</v>
      </c>
      <c r="M36" t="s">
        <v>314</v>
      </c>
      <c r="N36">
        <v>0</v>
      </c>
      <c r="O36" t="str">
        <f>IF(Transactions_RAW_cleaned[[#This Row],[Status]]="Completed", IFERROR(_xlfn.XLOOKUP(Transactions_RAW_cleaned[[#This Row],[CustomerID]], Customers_cleaned[CustomerID], Customers_cleaned[Segment]), "Customer Not Found"), "N/A")</f>
        <v>SMB</v>
      </c>
      <c r="P36" s="5" t="str">
        <f>IF(Transactions_RAW_cleaned[[#This Row],[Status]]="Refunded", "Refund",
  IF(Transactions_RAW_cleaned[[#This Row],[Category]]="Payments", IF(Transactions_RAW_cleaned[[#This Row],[Amount]]&gt;500,"High Value","Standard"),
    IF(Transactions_RAW_cleaned[[#This Row],[Amount]]&gt;250,"High Value","Standard")))</f>
        <v>High Value</v>
      </c>
      <c r="Q36" s="5" t="str">
        <f>IF(Transactions_RAW_cleaned[[#This Row],[Amount]] &gt; (_xlfn.XLOOKUP(Transactions_RAW_cleaned[[#This Row],[ServiceID]],Services_cleaned[ServiceID],Services_cleaned[TransactionFeePct]) * 10000), "Yes", "No")</f>
        <v>Yes</v>
      </c>
      <c r="R36" s="5" t="str">
        <f>IF(COUNTIFS($C$2:Transactions_RAW_cleaned[[#This Row],[CustomerID]],Transactions_RAW_cleaned[[#This Row],[CustomerID]],$D$2:Transactions_RAW_cleaned[[#This Row],[ServiceID]],Transactions_RAW_cleaned[[#This Row],[ServiceID]])=1,"Yes","No")</f>
        <v>Yes</v>
      </c>
      <c r="S3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36" t="str">
        <f>"Q"&amp;ROUNDUP(MONTH(Transactions_RAW_cleaned[[#This Row],[TransactionDate]])/3,0)</f>
        <v>Q3</v>
      </c>
      <c r="U36" t="str">
        <f>Transactions_RAW_cleaned[[#This Row],[Region ]]&amp;Transactions_RAW_cleaned[[#This Row],[Quarter ]]</f>
        <v>EMEAQ3</v>
      </c>
      <c r="V36" s="5">
        <f>_xlfn.XLOOKUP(Transactions_RAW_cleaned[[#This Row],[RegionQuarterKey]], Quarterly_Targets_cleaned[RegionQuarterKey], Quarterly_Targets_cleaned[TargetRevenue])</f>
        <v>147000</v>
      </c>
    </row>
    <row r="37" spans="1:22" x14ac:dyDescent="0.25">
      <c r="A37" t="s">
        <v>343</v>
      </c>
      <c r="B37" s="1">
        <v>45500</v>
      </c>
      <c r="C37" t="s">
        <v>267</v>
      </c>
      <c r="D37" t="s">
        <v>309</v>
      </c>
      <c r="E37">
        <v>255.62</v>
      </c>
      <c r="F37" t="s">
        <v>324</v>
      </c>
      <c r="G37" t="s">
        <v>325</v>
      </c>
      <c r="H37" t="s">
        <v>334</v>
      </c>
      <c r="I37" t="s">
        <v>8</v>
      </c>
      <c r="J37" t="s">
        <v>102</v>
      </c>
      <c r="K37" t="s">
        <v>22</v>
      </c>
      <c r="L37" t="s">
        <v>310</v>
      </c>
      <c r="M37" t="s">
        <v>311</v>
      </c>
      <c r="N37">
        <v>0</v>
      </c>
      <c r="O37" t="str">
        <f>IF(Transactions_RAW_cleaned[[#This Row],[Status]]="Completed", IFERROR(_xlfn.XLOOKUP(Transactions_RAW_cleaned[[#This Row],[CustomerID]], Customers_cleaned[CustomerID], Customers_cleaned[Segment]), "Customer Not Found"), "N/A")</f>
        <v>SMB</v>
      </c>
      <c r="P37" s="5" t="str">
        <f>IF(Transactions_RAW_cleaned[[#This Row],[Status]]="Refunded", "Refund",
  IF(Transactions_RAW_cleaned[[#This Row],[Category]]="Payments", IF(Transactions_RAW_cleaned[[#This Row],[Amount]]&gt;500,"High Value","Standard"),
    IF(Transactions_RAW_cleaned[[#This Row],[Amount]]&gt;250,"High Value","Standard")))</f>
        <v>High Value</v>
      </c>
      <c r="Q37" s="5" t="str">
        <f>IF(Transactions_RAW_cleaned[[#This Row],[Amount]] &gt; (_xlfn.XLOOKUP(Transactions_RAW_cleaned[[#This Row],[ServiceID]],Services_cleaned[ServiceID],Services_cleaned[TransactionFeePct]) * 10000), "Yes", "No")</f>
        <v>Yes</v>
      </c>
      <c r="R37" s="5" t="str">
        <f>IF(COUNTIFS($C$2:Transactions_RAW_cleaned[[#This Row],[CustomerID]],Transactions_RAW_cleaned[[#This Row],[CustomerID]],$D$2:Transactions_RAW_cleaned[[#This Row],[ServiceID]],Transactions_RAW_cleaned[[#This Row],[ServiceID]])=1,"Yes","No")</f>
        <v>Yes</v>
      </c>
      <c r="S3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7" t="str">
        <f>"Q"&amp;ROUNDUP(MONTH(Transactions_RAW_cleaned[[#This Row],[TransactionDate]])/3,0)</f>
        <v>Q3</v>
      </c>
      <c r="U37" t="str">
        <f>Transactions_RAW_cleaned[[#This Row],[Region ]]&amp;Transactions_RAW_cleaned[[#This Row],[Quarter ]]</f>
        <v>NAQ3</v>
      </c>
      <c r="V37" s="5">
        <f>_xlfn.XLOOKUP(Transactions_RAW_cleaned[[#This Row],[RegionQuarterKey]], Quarterly_Targets_cleaned[RegionQuarterKey], Quarterly_Targets_cleaned[TargetRevenue])</f>
        <v>273000</v>
      </c>
    </row>
    <row r="38" spans="1:22" x14ac:dyDescent="0.25">
      <c r="A38" t="s">
        <v>425</v>
      </c>
      <c r="B38" s="1">
        <v>45329</v>
      </c>
      <c r="C38" t="s">
        <v>267</v>
      </c>
      <c r="D38" t="s">
        <v>309</v>
      </c>
      <c r="E38">
        <v>782.45</v>
      </c>
      <c r="F38" t="s">
        <v>324</v>
      </c>
      <c r="G38" t="s">
        <v>327</v>
      </c>
      <c r="I38" t="s">
        <v>8</v>
      </c>
      <c r="J38" t="s">
        <v>102</v>
      </c>
      <c r="K38" t="s">
        <v>22</v>
      </c>
      <c r="L38" t="s">
        <v>310</v>
      </c>
      <c r="M38" t="s">
        <v>311</v>
      </c>
      <c r="N38">
        <v>0</v>
      </c>
      <c r="O38" t="str">
        <f>IF(Transactions_RAW_cleaned[[#This Row],[Status]]="Completed", IFERROR(_xlfn.XLOOKUP(Transactions_RAW_cleaned[[#This Row],[CustomerID]], Customers_cleaned[CustomerID], Customers_cleaned[Segment]), "Customer Not Found"), "N/A")</f>
        <v>SMB</v>
      </c>
      <c r="P38" s="5" t="str">
        <f>IF(Transactions_RAW_cleaned[[#This Row],[Status]]="Refunded", "Refund",
  IF(Transactions_RAW_cleaned[[#This Row],[Category]]="Payments", IF(Transactions_RAW_cleaned[[#This Row],[Amount]]&gt;500,"High Value","Standard"),
    IF(Transactions_RAW_cleaned[[#This Row],[Amount]]&gt;250,"High Value","Standard")))</f>
        <v>High Value</v>
      </c>
      <c r="Q38" s="5" t="str">
        <f>IF(Transactions_RAW_cleaned[[#This Row],[Amount]] &gt; (_xlfn.XLOOKUP(Transactions_RAW_cleaned[[#This Row],[ServiceID]],Services_cleaned[ServiceID],Services_cleaned[TransactionFeePct]) * 10000), "Yes", "No")</f>
        <v>Yes</v>
      </c>
      <c r="R38" s="5" t="str">
        <f>IF(COUNTIFS($C$2:Transactions_RAW_cleaned[[#This Row],[CustomerID]],Transactions_RAW_cleaned[[#This Row],[CustomerID]],$D$2:Transactions_RAW_cleaned[[#This Row],[ServiceID]],Transactions_RAW_cleaned[[#This Row],[ServiceID]])=1,"Yes","No")</f>
        <v>No</v>
      </c>
      <c r="S3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8" t="str">
        <f>"Q"&amp;ROUNDUP(MONTH(Transactions_RAW_cleaned[[#This Row],[TransactionDate]])/3,0)</f>
        <v>Q1</v>
      </c>
      <c r="U38" t="str">
        <f>Transactions_RAW_cleaned[[#This Row],[Region ]]&amp;Transactions_RAW_cleaned[[#This Row],[Quarter ]]</f>
        <v>NAQ1</v>
      </c>
      <c r="V38" s="5">
        <f>_xlfn.XLOOKUP(Transactions_RAW_cleaned[[#This Row],[RegionQuarterKey]], Quarterly_Targets_cleaned[RegionQuarterKey], Quarterly_Targets_cleaned[TargetRevenue])</f>
        <v>247000</v>
      </c>
    </row>
    <row r="39" spans="1:22" x14ac:dyDescent="0.25">
      <c r="A39" t="s">
        <v>437</v>
      </c>
      <c r="B39" s="1">
        <v>45511</v>
      </c>
      <c r="C39" t="s">
        <v>267</v>
      </c>
      <c r="D39" t="s">
        <v>315</v>
      </c>
      <c r="E39">
        <v>31.95</v>
      </c>
      <c r="F39" t="s">
        <v>324</v>
      </c>
      <c r="G39" t="s">
        <v>327</v>
      </c>
      <c r="I39" t="s">
        <v>8</v>
      </c>
      <c r="J39" t="s">
        <v>102</v>
      </c>
      <c r="K39" t="s">
        <v>22</v>
      </c>
      <c r="L39" t="s">
        <v>316</v>
      </c>
      <c r="M39" t="s">
        <v>305</v>
      </c>
      <c r="N39">
        <v>2.5000000000000001E-3</v>
      </c>
      <c r="O39" t="str">
        <f>IF(Transactions_RAW_cleaned[[#This Row],[Status]]="Completed", IFERROR(_xlfn.XLOOKUP(Transactions_RAW_cleaned[[#This Row],[CustomerID]], Customers_cleaned[CustomerID], Customers_cleaned[Segment]), "Customer Not Found"), "N/A")</f>
        <v>SMB</v>
      </c>
      <c r="P39" s="5" t="str">
        <f>IF(Transactions_RAW_cleaned[[#This Row],[Status]]="Refunded", "Refund",
  IF(Transactions_RAW_cleaned[[#This Row],[Category]]="Payments", IF(Transactions_RAW_cleaned[[#This Row],[Amount]]&gt;500,"High Value","Standard"),
    IF(Transactions_RAW_cleaned[[#This Row],[Amount]]&gt;250,"High Value","Standard")))</f>
        <v>Standard</v>
      </c>
      <c r="Q39" s="5" t="str">
        <f>IF(Transactions_RAW_cleaned[[#This Row],[Amount]] &gt; (_xlfn.XLOOKUP(Transactions_RAW_cleaned[[#This Row],[ServiceID]],Services_cleaned[ServiceID],Services_cleaned[TransactionFeePct]) * 10000), "Yes", "No")</f>
        <v>Yes</v>
      </c>
      <c r="R39" s="5" t="str">
        <f>IF(COUNTIFS($C$2:Transactions_RAW_cleaned[[#This Row],[CustomerID]],Transactions_RAW_cleaned[[#This Row],[CustomerID]],$D$2:Transactions_RAW_cleaned[[#This Row],[ServiceID]],Transactions_RAW_cleaned[[#This Row],[ServiceID]])=1,"Yes","No")</f>
        <v>Yes</v>
      </c>
      <c r="S3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9" t="str">
        <f>"Q"&amp;ROUNDUP(MONTH(Transactions_RAW_cleaned[[#This Row],[TransactionDate]])/3,0)</f>
        <v>Q3</v>
      </c>
      <c r="U39" t="str">
        <f>Transactions_RAW_cleaned[[#This Row],[Region ]]&amp;Transactions_RAW_cleaned[[#This Row],[Quarter ]]</f>
        <v>NAQ3</v>
      </c>
      <c r="V39" s="5">
        <f>_xlfn.XLOOKUP(Transactions_RAW_cleaned[[#This Row],[RegionQuarterKey]], Quarterly_Targets_cleaned[RegionQuarterKey], Quarterly_Targets_cleaned[TargetRevenue])</f>
        <v>273000</v>
      </c>
    </row>
    <row r="40" spans="1:22" x14ac:dyDescent="0.25">
      <c r="A40" t="s">
        <v>345</v>
      </c>
      <c r="B40" s="1">
        <v>45424</v>
      </c>
      <c r="C40" t="s">
        <v>44</v>
      </c>
      <c r="D40" t="s">
        <v>297</v>
      </c>
      <c r="E40">
        <v>393.79</v>
      </c>
      <c r="F40" t="s">
        <v>324</v>
      </c>
      <c r="G40" t="s">
        <v>337</v>
      </c>
      <c r="H40" t="s">
        <v>346</v>
      </c>
      <c r="I40" t="s">
        <v>8</v>
      </c>
      <c r="J40" t="s">
        <v>46</v>
      </c>
      <c r="K40" t="s">
        <v>32</v>
      </c>
      <c r="L40" t="s">
        <v>298</v>
      </c>
      <c r="M40" t="s">
        <v>299</v>
      </c>
      <c r="N40">
        <v>0</v>
      </c>
      <c r="O40" t="str">
        <f>IF(Transactions_RAW_cleaned[[#This Row],[Status]]="Completed", IFERROR(_xlfn.XLOOKUP(Transactions_RAW_cleaned[[#This Row],[CustomerID]], Customers_cleaned[CustomerID], Customers_cleaned[Segment]), "Customer Not Found"), "N/A")</f>
        <v>SMB</v>
      </c>
      <c r="P40" s="5" t="str">
        <f>IF(Transactions_RAW_cleaned[[#This Row],[Status]]="Refunded", "Refund",
  IF(Transactions_RAW_cleaned[[#This Row],[Category]]="Payments", IF(Transactions_RAW_cleaned[[#This Row],[Amount]]&gt;500,"High Value","Standard"),
    IF(Transactions_RAW_cleaned[[#This Row],[Amount]]&gt;250,"High Value","Standard")))</f>
        <v>High Value</v>
      </c>
      <c r="Q40" s="5" t="str">
        <f>IF(Transactions_RAW_cleaned[[#This Row],[Amount]] &gt; (_xlfn.XLOOKUP(Transactions_RAW_cleaned[[#This Row],[ServiceID]],Services_cleaned[ServiceID],Services_cleaned[TransactionFeePct]) * 10000), "Yes", "No")</f>
        <v>Yes</v>
      </c>
      <c r="R40" s="5" t="str">
        <f>IF(COUNTIFS($C$2:Transactions_RAW_cleaned[[#This Row],[CustomerID]],Transactions_RAW_cleaned[[#This Row],[CustomerID]],$D$2:Transactions_RAW_cleaned[[#This Row],[ServiceID]],Transactions_RAW_cleaned[[#This Row],[ServiceID]])=1,"Yes","No")</f>
        <v>Yes</v>
      </c>
      <c r="S4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40" t="str">
        <f>"Q"&amp;ROUNDUP(MONTH(Transactions_RAW_cleaned[[#This Row],[TransactionDate]])/3,0)</f>
        <v>Q2</v>
      </c>
      <c r="U40" t="str">
        <f>Transactions_RAW_cleaned[[#This Row],[Region ]]&amp;Transactions_RAW_cleaned[[#This Row],[Quarter ]]</f>
        <v>APACQ2</v>
      </c>
      <c r="V40" s="5">
        <f>_xlfn.XLOOKUP(Transactions_RAW_cleaned[[#This Row],[RegionQuarterKey]], Quarterly_Targets_cleaned[RegionQuarterKey], Quarterly_Targets_cleaned[TargetRevenue])</f>
        <v>110000</v>
      </c>
    </row>
    <row r="41" spans="1:22" x14ac:dyDescent="0.25">
      <c r="A41" t="s">
        <v>344</v>
      </c>
      <c r="B41" s="1">
        <v>45414</v>
      </c>
      <c r="C41" t="s">
        <v>247</v>
      </c>
      <c r="D41" t="s">
        <v>294</v>
      </c>
      <c r="E41">
        <v>622.27</v>
      </c>
      <c r="F41" t="s">
        <v>324</v>
      </c>
      <c r="G41" t="s">
        <v>325</v>
      </c>
      <c r="I41" t="s">
        <v>17</v>
      </c>
      <c r="J41" t="s">
        <v>13</v>
      </c>
      <c r="K41" t="s">
        <v>28</v>
      </c>
      <c r="L41" t="s">
        <v>295</v>
      </c>
      <c r="M41" t="s">
        <v>296</v>
      </c>
      <c r="N41">
        <v>2.9000000000000001E-2</v>
      </c>
      <c r="O41" t="str">
        <f>IF(Transactions_RAW_cleaned[[#This Row],[Status]]="Completed", IFERROR(_xlfn.XLOOKUP(Transactions_RAW_cleaned[[#This Row],[CustomerID]], Customers_cleaned[CustomerID], Customers_cleaned[Segment]), "Customer Not Found"), "N/A")</f>
        <v>Enterprise</v>
      </c>
      <c r="P41" s="5" t="str">
        <f>IF(Transactions_RAW_cleaned[[#This Row],[Status]]="Refunded", "Refund",
  IF(Transactions_RAW_cleaned[[#This Row],[Category]]="Payments", IF(Transactions_RAW_cleaned[[#This Row],[Amount]]&gt;500,"High Value","Standard"),
    IF(Transactions_RAW_cleaned[[#This Row],[Amount]]&gt;250,"High Value","Standard")))</f>
        <v>High Value</v>
      </c>
      <c r="Q41" s="5" t="str">
        <f>IF(Transactions_RAW_cleaned[[#This Row],[Amount]] &gt; (_xlfn.XLOOKUP(Transactions_RAW_cleaned[[#This Row],[ServiceID]],Services_cleaned[ServiceID],Services_cleaned[TransactionFeePct]) * 10000), "Yes", "No")</f>
        <v>Yes</v>
      </c>
      <c r="R41" s="5" t="str">
        <f>IF(COUNTIFS($C$2:Transactions_RAW_cleaned[[#This Row],[CustomerID]],Transactions_RAW_cleaned[[#This Row],[CustomerID]],$D$2:Transactions_RAW_cleaned[[#This Row],[ServiceID]],Transactions_RAW_cleaned[[#This Row],[ServiceID]])=1,"Yes","No")</f>
        <v>Yes</v>
      </c>
      <c r="S4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1" t="str">
        <f>"Q"&amp;ROUNDUP(MONTH(Transactions_RAW_cleaned[[#This Row],[TransactionDate]])/3,0)</f>
        <v>Q2</v>
      </c>
      <c r="U41" t="str">
        <f>Transactions_RAW_cleaned[[#This Row],[Region ]]&amp;Transactions_RAW_cleaned[[#This Row],[Quarter ]]</f>
        <v>NAQ2</v>
      </c>
      <c r="V41" s="5">
        <f>_xlfn.XLOOKUP(Transactions_RAW_cleaned[[#This Row],[RegionQuarterKey]], Quarterly_Targets_cleaned[RegionQuarterKey], Quarterly_Targets_cleaned[TargetRevenue])</f>
        <v>260000</v>
      </c>
    </row>
    <row r="42" spans="1:22" x14ac:dyDescent="0.25">
      <c r="A42" t="s">
        <v>439</v>
      </c>
      <c r="B42" s="1">
        <v>45485</v>
      </c>
      <c r="C42" t="s">
        <v>49</v>
      </c>
      <c r="D42" t="s">
        <v>312</v>
      </c>
      <c r="E42">
        <v>691.1</v>
      </c>
      <c r="F42" t="s">
        <v>324</v>
      </c>
      <c r="G42" t="s">
        <v>325</v>
      </c>
      <c r="I42" t="s">
        <v>8</v>
      </c>
      <c r="J42" t="s">
        <v>102</v>
      </c>
      <c r="K42" t="s">
        <v>32</v>
      </c>
      <c r="L42" t="s">
        <v>313</v>
      </c>
      <c r="M42" t="s">
        <v>314</v>
      </c>
      <c r="N42">
        <v>0</v>
      </c>
      <c r="O42" t="str">
        <f>IF(Transactions_RAW_cleaned[[#This Row],[Status]]="Completed", IFERROR(_xlfn.XLOOKUP(Transactions_RAW_cleaned[[#This Row],[CustomerID]], Customers_cleaned[CustomerID], Customers_cleaned[Segment]), "Customer Not Found"), "N/A")</f>
        <v>SMB</v>
      </c>
      <c r="P42" s="5" t="str">
        <f>IF(Transactions_RAW_cleaned[[#This Row],[Status]]="Refunded", "Refund",
  IF(Transactions_RAW_cleaned[[#This Row],[Category]]="Payments", IF(Transactions_RAW_cleaned[[#This Row],[Amount]]&gt;500,"High Value","Standard"),
    IF(Transactions_RAW_cleaned[[#This Row],[Amount]]&gt;250,"High Value","Standard")))</f>
        <v>High Value</v>
      </c>
      <c r="Q42" s="5" t="str">
        <f>IF(Transactions_RAW_cleaned[[#This Row],[Amount]] &gt; (_xlfn.XLOOKUP(Transactions_RAW_cleaned[[#This Row],[ServiceID]],Services_cleaned[ServiceID],Services_cleaned[TransactionFeePct]) * 10000), "Yes", "No")</f>
        <v>Yes</v>
      </c>
      <c r="R42" s="5" t="str">
        <f>IF(COUNTIFS($C$2:Transactions_RAW_cleaned[[#This Row],[CustomerID]],Transactions_RAW_cleaned[[#This Row],[CustomerID]],$D$2:Transactions_RAW_cleaned[[#This Row],[ServiceID]],Transactions_RAW_cleaned[[#This Row],[ServiceID]])=1,"Yes","No")</f>
        <v>Yes</v>
      </c>
      <c r="S4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2" t="str">
        <f>"Q"&amp;ROUNDUP(MONTH(Transactions_RAW_cleaned[[#This Row],[TransactionDate]])/3,0)</f>
        <v>Q3</v>
      </c>
      <c r="U42" t="str">
        <f>Transactions_RAW_cleaned[[#This Row],[Region ]]&amp;Transactions_RAW_cleaned[[#This Row],[Quarter ]]</f>
        <v>NAQ3</v>
      </c>
      <c r="V42" s="5">
        <f>_xlfn.XLOOKUP(Transactions_RAW_cleaned[[#This Row],[RegionQuarterKey]], Quarterly_Targets_cleaned[RegionQuarterKey], Quarterly_Targets_cleaned[TargetRevenue])</f>
        <v>273000</v>
      </c>
    </row>
    <row r="43" spans="1:22" x14ac:dyDescent="0.25">
      <c r="A43" t="s">
        <v>347</v>
      </c>
      <c r="B43" s="1">
        <v>45652</v>
      </c>
      <c r="C43" t="s">
        <v>255</v>
      </c>
      <c r="D43" t="s">
        <v>309</v>
      </c>
      <c r="E43">
        <v>632.28</v>
      </c>
      <c r="F43" t="s">
        <v>324</v>
      </c>
      <c r="G43" t="s">
        <v>327</v>
      </c>
      <c r="H43" t="s">
        <v>346</v>
      </c>
      <c r="I43" t="s">
        <v>17</v>
      </c>
      <c r="J43" t="s">
        <v>21</v>
      </c>
      <c r="K43" t="s">
        <v>28</v>
      </c>
      <c r="L43" t="s">
        <v>310</v>
      </c>
      <c r="M43" t="s">
        <v>311</v>
      </c>
      <c r="N43">
        <v>0</v>
      </c>
      <c r="O43" t="str">
        <f>IF(Transactions_RAW_cleaned[[#This Row],[Status]]="Completed", IFERROR(_xlfn.XLOOKUP(Transactions_RAW_cleaned[[#This Row],[CustomerID]], Customers_cleaned[CustomerID], Customers_cleaned[Segment]), "Customer Not Found"), "N/A")</f>
        <v>Enterprise</v>
      </c>
      <c r="P43" s="5" t="str">
        <f>IF(Transactions_RAW_cleaned[[#This Row],[Status]]="Refunded", "Refund",
  IF(Transactions_RAW_cleaned[[#This Row],[Category]]="Payments", IF(Transactions_RAW_cleaned[[#This Row],[Amount]]&gt;500,"High Value","Standard"),
    IF(Transactions_RAW_cleaned[[#This Row],[Amount]]&gt;250,"High Value","Standard")))</f>
        <v>High Value</v>
      </c>
      <c r="Q43" s="5" t="str">
        <f>IF(Transactions_RAW_cleaned[[#This Row],[Amount]] &gt; (_xlfn.XLOOKUP(Transactions_RAW_cleaned[[#This Row],[ServiceID]],Services_cleaned[ServiceID],Services_cleaned[TransactionFeePct]) * 10000), "Yes", "No")</f>
        <v>Yes</v>
      </c>
      <c r="R43" s="5" t="str">
        <f>IF(COUNTIFS($C$2:Transactions_RAW_cleaned[[#This Row],[CustomerID]],Transactions_RAW_cleaned[[#This Row],[CustomerID]],$D$2:Transactions_RAW_cleaned[[#This Row],[ServiceID]],Transactions_RAW_cleaned[[#This Row],[ServiceID]])=1,"Yes","No")</f>
        <v>Yes</v>
      </c>
      <c r="S4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43" t="str">
        <f>"Q"&amp;ROUNDUP(MONTH(Transactions_RAW_cleaned[[#This Row],[TransactionDate]])/3,0)</f>
        <v>Q4</v>
      </c>
      <c r="U43" t="str">
        <f>Transactions_RAW_cleaned[[#This Row],[Region ]]&amp;Transactions_RAW_cleaned[[#This Row],[Quarter ]]</f>
        <v>APACQ4</v>
      </c>
      <c r="V43" s="5">
        <f>_xlfn.XLOOKUP(Transactions_RAW_cleaned[[#This Row],[RegionQuarterKey]], Quarterly_Targets_cleaned[RegionQuarterKey], Quarterly_Targets_cleaned[TargetRevenue])</f>
        <v>126500</v>
      </c>
    </row>
    <row r="44" spans="1:22" x14ac:dyDescent="0.25">
      <c r="A44" t="s">
        <v>430</v>
      </c>
      <c r="B44" s="1">
        <v>45489</v>
      </c>
      <c r="C44" t="s">
        <v>53</v>
      </c>
      <c r="D44" t="s">
        <v>294</v>
      </c>
      <c r="E44">
        <v>301.97000000000003</v>
      </c>
      <c r="F44" t="s">
        <v>324</v>
      </c>
      <c r="G44" t="s">
        <v>327</v>
      </c>
      <c r="H44" t="s">
        <v>332</v>
      </c>
      <c r="I44" t="s">
        <v>17</v>
      </c>
      <c r="J44" t="s">
        <v>21</v>
      </c>
      <c r="K44" t="s">
        <v>28</v>
      </c>
      <c r="L44" t="s">
        <v>295</v>
      </c>
      <c r="M44" t="s">
        <v>296</v>
      </c>
      <c r="N44">
        <v>2.9000000000000001E-2</v>
      </c>
      <c r="O44" t="str">
        <f>IF(Transactions_RAW_cleaned[[#This Row],[Status]]="Completed", IFERROR(_xlfn.XLOOKUP(Transactions_RAW_cleaned[[#This Row],[CustomerID]], Customers_cleaned[CustomerID], Customers_cleaned[Segment]), "Customer Not Found"), "N/A")</f>
        <v>Enterprise</v>
      </c>
      <c r="P44" s="5" t="str">
        <f>IF(Transactions_RAW_cleaned[[#This Row],[Status]]="Refunded", "Refund",
  IF(Transactions_RAW_cleaned[[#This Row],[Category]]="Payments", IF(Transactions_RAW_cleaned[[#This Row],[Amount]]&gt;500,"High Value","Standard"),
    IF(Transactions_RAW_cleaned[[#This Row],[Amount]]&gt;250,"High Value","Standard")))</f>
        <v>Standard</v>
      </c>
      <c r="Q44" s="5" t="str">
        <f>IF(Transactions_RAW_cleaned[[#This Row],[Amount]] &gt; (_xlfn.XLOOKUP(Transactions_RAW_cleaned[[#This Row],[ServiceID]],Services_cleaned[ServiceID],Services_cleaned[TransactionFeePct]) * 10000), "Yes", "No")</f>
        <v>Yes</v>
      </c>
      <c r="R44" s="5" t="str">
        <f>IF(COUNTIFS($C$2:Transactions_RAW_cleaned[[#This Row],[CustomerID]],Transactions_RAW_cleaned[[#This Row],[CustomerID]],$D$2:Transactions_RAW_cleaned[[#This Row],[ServiceID]],Transactions_RAW_cleaned[[#This Row],[ServiceID]])=1,"Yes","No")</f>
        <v>Yes</v>
      </c>
      <c r="S4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44" t="str">
        <f>"Q"&amp;ROUNDUP(MONTH(Transactions_RAW_cleaned[[#This Row],[TransactionDate]])/3,0)</f>
        <v>Q3</v>
      </c>
      <c r="U44" t="str">
        <f>Transactions_RAW_cleaned[[#This Row],[Region ]]&amp;Transactions_RAW_cleaned[[#This Row],[Quarter ]]</f>
        <v>APACQ3</v>
      </c>
      <c r="V44" s="5">
        <f>_xlfn.XLOOKUP(Transactions_RAW_cleaned[[#This Row],[RegionQuarterKey]], Quarterly_Targets_cleaned[RegionQuarterKey], Quarterly_Targets_cleaned[TargetRevenue])</f>
        <v>115500</v>
      </c>
    </row>
    <row r="45" spans="1:22" x14ac:dyDescent="0.25">
      <c r="A45" t="s">
        <v>350</v>
      </c>
      <c r="B45" s="1">
        <v>45530</v>
      </c>
      <c r="C45" t="s">
        <v>217</v>
      </c>
      <c r="D45" t="s">
        <v>294</v>
      </c>
      <c r="E45">
        <v>885.93</v>
      </c>
      <c r="F45" t="s">
        <v>331</v>
      </c>
      <c r="G45" t="s">
        <v>337</v>
      </c>
      <c r="H45" t="s">
        <v>346</v>
      </c>
      <c r="I45" t="s">
        <v>17</v>
      </c>
      <c r="J45" t="s">
        <v>102</v>
      </c>
      <c r="K45" t="s">
        <v>14</v>
      </c>
      <c r="L45" t="s">
        <v>295</v>
      </c>
      <c r="M45" t="s">
        <v>296</v>
      </c>
      <c r="N45">
        <v>2.9000000000000001E-2</v>
      </c>
      <c r="O45" t="str">
        <f>IF(Transactions_RAW_cleaned[[#This Row],[Status]]="Completed", IFERROR(_xlfn.XLOOKUP(Transactions_RAW_cleaned[[#This Row],[CustomerID]], Customers_cleaned[CustomerID], Customers_cleaned[Segment]), "Customer Not Found"), "N/A")</f>
        <v>N/A</v>
      </c>
      <c r="P45" s="5" t="str">
        <f>IF(Transactions_RAW_cleaned[[#This Row],[Status]]="Refunded", "Refund",
  IF(Transactions_RAW_cleaned[[#This Row],[Category]]="Payments", IF(Transactions_RAW_cleaned[[#This Row],[Amount]]&gt;500,"High Value","Standard"),
    IF(Transactions_RAW_cleaned[[#This Row],[Amount]]&gt;250,"High Value","Standard")))</f>
        <v>High Value</v>
      </c>
      <c r="Q45" s="5" t="str">
        <f>IF(Transactions_RAW_cleaned[[#This Row],[Amount]] &gt; (_xlfn.XLOOKUP(Transactions_RAW_cleaned[[#This Row],[ServiceID]],Services_cleaned[ServiceID],Services_cleaned[TransactionFeePct]) * 10000), "Yes", "No")</f>
        <v>Yes</v>
      </c>
      <c r="R45" s="5" t="str">
        <f>IF(COUNTIFS($C$2:Transactions_RAW_cleaned[[#This Row],[CustomerID]],Transactions_RAW_cleaned[[#This Row],[CustomerID]],$D$2:Transactions_RAW_cleaned[[#This Row],[ServiceID]],Transactions_RAW_cleaned[[#This Row],[ServiceID]])=1,"Yes","No")</f>
        <v>Yes</v>
      </c>
      <c r="S4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5" t="str">
        <f>"Q"&amp;ROUNDUP(MONTH(Transactions_RAW_cleaned[[#This Row],[TransactionDate]])/3,0)</f>
        <v>Q3</v>
      </c>
      <c r="U45" t="str">
        <f>Transactions_RAW_cleaned[[#This Row],[Region ]]&amp;Transactions_RAW_cleaned[[#This Row],[Quarter ]]</f>
        <v>NAQ3</v>
      </c>
      <c r="V45" s="5">
        <f>_xlfn.XLOOKUP(Transactions_RAW_cleaned[[#This Row],[RegionQuarterKey]], Quarterly_Targets_cleaned[RegionQuarterKey], Quarterly_Targets_cleaned[TargetRevenue])</f>
        <v>273000</v>
      </c>
    </row>
    <row r="46" spans="1:22" x14ac:dyDescent="0.25">
      <c r="A46" t="s">
        <v>443</v>
      </c>
      <c r="B46" s="1">
        <v>45498</v>
      </c>
      <c r="C46" t="s">
        <v>217</v>
      </c>
      <c r="D46" t="s">
        <v>309</v>
      </c>
      <c r="E46">
        <v>432.38</v>
      </c>
      <c r="F46" t="s">
        <v>324</v>
      </c>
      <c r="G46" t="s">
        <v>2963</v>
      </c>
      <c r="I46" t="s">
        <v>17</v>
      </c>
      <c r="J46" t="s">
        <v>102</v>
      </c>
      <c r="K46" t="s">
        <v>14</v>
      </c>
      <c r="L46" t="s">
        <v>310</v>
      </c>
      <c r="M46" t="s">
        <v>311</v>
      </c>
      <c r="N46">
        <v>0</v>
      </c>
      <c r="O46" t="str">
        <f>IF(Transactions_RAW_cleaned[[#This Row],[Status]]="Completed", IFERROR(_xlfn.XLOOKUP(Transactions_RAW_cleaned[[#This Row],[CustomerID]], Customers_cleaned[CustomerID], Customers_cleaned[Segment]), "Customer Not Found"), "N/A")</f>
        <v>Enterprise</v>
      </c>
      <c r="P46" s="5" t="str">
        <f>IF(Transactions_RAW_cleaned[[#This Row],[Status]]="Refunded", "Refund",
  IF(Transactions_RAW_cleaned[[#This Row],[Category]]="Payments", IF(Transactions_RAW_cleaned[[#This Row],[Amount]]&gt;500,"High Value","Standard"),
    IF(Transactions_RAW_cleaned[[#This Row],[Amount]]&gt;250,"High Value","Standard")))</f>
        <v>High Value</v>
      </c>
      <c r="Q46" s="5" t="str">
        <f>IF(Transactions_RAW_cleaned[[#This Row],[Amount]] &gt; (_xlfn.XLOOKUP(Transactions_RAW_cleaned[[#This Row],[ServiceID]],Services_cleaned[ServiceID],Services_cleaned[TransactionFeePct]) * 10000), "Yes", "No")</f>
        <v>Yes</v>
      </c>
      <c r="R46" s="5" t="str">
        <f>IF(COUNTIFS($C$2:Transactions_RAW_cleaned[[#This Row],[CustomerID]],Transactions_RAW_cleaned[[#This Row],[CustomerID]],$D$2:Transactions_RAW_cleaned[[#This Row],[ServiceID]],Transactions_RAW_cleaned[[#This Row],[ServiceID]])=1,"Yes","No")</f>
        <v>Yes</v>
      </c>
      <c r="S4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6" t="str">
        <f>"Q"&amp;ROUNDUP(MONTH(Transactions_RAW_cleaned[[#This Row],[TransactionDate]])/3,0)</f>
        <v>Q3</v>
      </c>
      <c r="U46" t="str">
        <f>Transactions_RAW_cleaned[[#This Row],[Region ]]&amp;Transactions_RAW_cleaned[[#This Row],[Quarter ]]</f>
        <v>NAQ3</v>
      </c>
      <c r="V46" s="5">
        <f>_xlfn.XLOOKUP(Transactions_RAW_cleaned[[#This Row],[RegionQuarterKey]], Quarterly_Targets_cleaned[RegionQuarterKey], Quarterly_Targets_cleaned[TargetRevenue])</f>
        <v>273000</v>
      </c>
    </row>
    <row r="47" spans="1:22" x14ac:dyDescent="0.25">
      <c r="A47" t="s">
        <v>444</v>
      </c>
      <c r="B47" s="1">
        <v>45320</v>
      </c>
      <c r="C47" t="s">
        <v>217</v>
      </c>
      <c r="D47" t="s">
        <v>294</v>
      </c>
      <c r="E47">
        <v>535.16</v>
      </c>
      <c r="F47" t="s">
        <v>324</v>
      </c>
      <c r="G47" t="s">
        <v>327</v>
      </c>
      <c r="I47" t="s">
        <v>17</v>
      </c>
      <c r="J47" t="s">
        <v>102</v>
      </c>
      <c r="K47" t="s">
        <v>14</v>
      </c>
      <c r="L47" t="s">
        <v>295</v>
      </c>
      <c r="M47" t="s">
        <v>296</v>
      </c>
      <c r="N47">
        <v>2.9000000000000001E-2</v>
      </c>
      <c r="O47" t="str">
        <f>IF(Transactions_RAW_cleaned[[#This Row],[Status]]="Completed", IFERROR(_xlfn.XLOOKUP(Transactions_RAW_cleaned[[#This Row],[CustomerID]], Customers_cleaned[CustomerID], Customers_cleaned[Segment]), "Customer Not Found"), "N/A")</f>
        <v>Enterprise</v>
      </c>
      <c r="P47" s="5" t="str">
        <f>IF(Transactions_RAW_cleaned[[#This Row],[Status]]="Refunded", "Refund",
  IF(Transactions_RAW_cleaned[[#This Row],[Category]]="Payments", IF(Transactions_RAW_cleaned[[#This Row],[Amount]]&gt;500,"High Value","Standard"),
    IF(Transactions_RAW_cleaned[[#This Row],[Amount]]&gt;250,"High Value","Standard")))</f>
        <v>High Value</v>
      </c>
      <c r="Q47" s="5" t="str">
        <f>IF(Transactions_RAW_cleaned[[#This Row],[Amount]] &gt; (_xlfn.XLOOKUP(Transactions_RAW_cleaned[[#This Row],[ServiceID]],Services_cleaned[ServiceID],Services_cleaned[TransactionFeePct]) * 10000), "Yes", "No")</f>
        <v>Yes</v>
      </c>
      <c r="R47" s="5" t="str">
        <f>IF(COUNTIFS($C$2:Transactions_RAW_cleaned[[#This Row],[CustomerID]],Transactions_RAW_cleaned[[#This Row],[CustomerID]],$D$2:Transactions_RAW_cleaned[[#This Row],[ServiceID]],Transactions_RAW_cleaned[[#This Row],[ServiceID]])=1,"Yes","No")</f>
        <v>No</v>
      </c>
      <c r="S4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7" t="str">
        <f>"Q"&amp;ROUNDUP(MONTH(Transactions_RAW_cleaned[[#This Row],[TransactionDate]])/3,0)</f>
        <v>Q1</v>
      </c>
      <c r="U47" t="str">
        <f>Transactions_RAW_cleaned[[#This Row],[Region ]]&amp;Transactions_RAW_cleaned[[#This Row],[Quarter ]]</f>
        <v>NAQ1</v>
      </c>
      <c r="V47" s="5">
        <f>_xlfn.XLOOKUP(Transactions_RAW_cleaned[[#This Row],[RegionQuarterKey]], Quarterly_Targets_cleaned[RegionQuarterKey], Quarterly_Targets_cleaned[TargetRevenue])</f>
        <v>247000</v>
      </c>
    </row>
    <row r="48" spans="1:22" x14ac:dyDescent="0.25">
      <c r="A48" t="s">
        <v>351</v>
      </c>
      <c r="B48" s="1">
        <v>45404</v>
      </c>
      <c r="C48" t="s">
        <v>223</v>
      </c>
      <c r="D48" t="s">
        <v>303</v>
      </c>
      <c r="E48">
        <v>618.1</v>
      </c>
      <c r="F48" t="s">
        <v>324</v>
      </c>
      <c r="G48" t="s">
        <v>325</v>
      </c>
      <c r="H48" t="s">
        <v>334</v>
      </c>
      <c r="I48" t="s">
        <v>8</v>
      </c>
      <c r="J48" t="s">
        <v>102</v>
      </c>
      <c r="K48" t="s">
        <v>28</v>
      </c>
      <c r="L48" t="s">
        <v>304</v>
      </c>
      <c r="M48" t="s">
        <v>305</v>
      </c>
      <c r="N48">
        <v>1E-3</v>
      </c>
      <c r="O48" t="str">
        <f>IF(Transactions_RAW_cleaned[[#This Row],[Status]]="Completed", IFERROR(_xlfn.XLOOKUP(Transactions_RAW_cleaned[[#This Row],[CustomerID]], Customers_cleaned[CustomerID], Customers_cleaned[Segment]), "Customer Not Found"), "N/A")</f>
        <v>SMB</v>
      </c>
      <c r="P48" s="5" t="str">
        <f>IF(Transactions_RAW_cleaned[[#This Row],[Status]]="Refunded", "Refund",
  IF(Transactions_RAW_cleaned[[#This Row],[Category]]="Payments", IF(Transactions_RAW_cleaned[[#This Row],[Amount]]&gt;500,"High Value","Standard"),
    IF(Transactions_RAW_cleaned[[#This Row],[Amount]]&gt;250,"High Value","Standard")))</f>
        <v>High Value</v>
      </c>
      <c r="Q48" s="5" t="str">
        <f>IF(Transactions_RAW_cleaned[[#This Row],[Amount]] &gt; (_xlfn.XLOOKUP(Transactions_RAW_cleaned[[#This Row],[ServiceID]],Services_cleaned[ServiceID],Services_cleaned[TransactionFeePct]) * 10000), "Yes", "No")</f>
        <v>Yes</v>
      </c>
      <c r="R48" s="5" t="str">
        <f>IF(COUNTIFS($C$2:Transactions_RAW_cleaned[[#This Row],[CustomerID]],Transactions_RAW_cleaned[[#This Row],[CustomerID]],$D$2:Transactions_RAW_cleaned[[#This Row],[ServiceID]],Transactions_RAW_cleaned[[#This Row],[ServiceID]])=1,"Yes","No")</f>
        <v>Yes</v>
      </c>
      <c r="S4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8" t="str">
        <f>"Q"&amp;ROUNDUP(MONTH(Transactions_RAW_cleaned[[#This Row],[TransactionDate]])/3,0)</f>
        <v>Q2</v>
      </c>
      <c r="U48" t="str">
        <f>Transactions_RAW_cleaned[[#This Row],[Region ]]&amp;Transactions_RAW_cleaned[[#This Row],[Quarter ]]</f>
        <v>NAQ2</v>
      </c>
      <c r="V48" s="5">
        <f>_xlfn.XLOOKUP(Transactions_RAW_cleaned[[#This Row],[RegionQuarterKey]], Quarterly_Targets_cleaned[RegionQuarterKey], Quarterly_Targets_cleaned[TargetRevenue])</f>
        <v>260000</v>
      </c>
    </row>
    <row r="49" spans="1:22" x14ac:dyDescent="0.25">
      <c r="A49" t="s">
        <v>403</v>
      </c>
      <c r="B49" s="1">
        <v>45594</v>
      </c>
      <c r="C49" t="s">
        <v>223</v>
      </c>
      <c r="D49" t="s">
        <v>300</v>
      </c>
      <c r="E49">
        <v>481.59</v>
      </c>
      <c r="F49" t="s">
        <v>324</v>
      </c>
      <c r="G49" t="s">
        <v>337</v>
      </c>
      <c r="H49" t="s">
        <v>346</v>
      </c>
      <c r="I49" t="s">
        <v>8</v>
      </c>
      <c r="J49" t="s">
        <v>102</v>
      </c>
      <c r="K49" t="s">
        <v>28</v>
      </c>
      <c r="L49" t="s">
        <v>301</v>
      </c>
      <c r="M49" t="s">
        <v>302</v>
      </c>
      <c r="N49">
        <v>5.0000000000000001E-3</v>
      </c>
      <c r="O49" t="str">
        <f>IF(Transactions_RAW_cleaned[[#This Row],[Status]]="Completed", IFERROR(_xlfn.XLOOKUP(Transactions_RAW_cleaned[[#This Row],[CustomerID]], Customers_cleaned[CustomerID], Customers_cleaned[Segment]), "Customer Not Found"), "N/A")</f>
        <v>SMB</v>
      </c>
      <c r="P49" s="5" t="str">
        <f>IF(Transactions_RAW_cleaned[[#This Row],[Status]]="Refunded", "Refund",
  IF(Transactions_RAW_cleaned[[#This Row],[Category]]="Payments", IF(Transactions_RAW_cleaned[[#This Row],[Amount]]&gt;500,"High Value","Standard"),
    IF(Transactions_RAW_cleaned[[#This Row],[Amount]]&gt;250,"High Value","Standard")))</f>
        <v>High Value</v>
      </c>
      <c r="Q49" s="5" t="str">
        <f>IF(Transactions_RAW_cleaned[[#This Row],[Amount]] &gt; (_xlfn.XLOOKUP(Transactions_RAW_cleaned[[#This Row],[ServiceID]],Services_cleaned[ServiceID],Services_cleaned[TransactionFeePct]) * 10000), "Yes", "No")</f>
        <v>Yes</v>
      </c>
      <c r="R49" s="5" t="str">
        <f>IF(COUNTIFS($C$2:Transactions_RAW_cleaned[[#This Row],[CustomerID]],Transactions_RAW_cleaned[[#This Row],[CustomerID]],$D$2:Transactions_RAW_cleaned[[#This Row],[ServiceID]],Transactions_RAW_cleaned[[#This Row],[ServiceID]])=1,"Yes","No")</f>
        <v>Yes</v>
      </c>
      <c r="S4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9" t="str">
        <f>"Q"&amp;ROUNDUP(MONTH(Transactions_RAW_cleaned[[#This Row],[TransactionDate]])/3,0)</f>
        <v>Q4</v>
      </c>
      <c r="U49" t="str">
        <f>Transactions_RAW_cleaned[[#This Row],[Region ]]&amp;Transactions_RAW_cleaned[[#This Row],[Quarter ]]</f>
        <v>NAQ4</v>
      </c>
      <c r="V49" s="5">
        <f>_xlfn.XLOOKUP(Transactions_RAW_cleaned[[#This Row],[RegionQuarterKey]], Quarterly_Targets_cleaned[RegionQuarterKey], Quarterly_Targets_cleaned[TargetRevenue])</f>
        <v>299000</v>
      </c>
    </row>
    <row r="50" spans="1:22" x14ac:dyDescent="0.25">
      <c r="A50" t="s">
        <v>455</v>
      </c>
      <c r="B50" s="1">
        <v>45597</v>
      </c>
      <c r="C50" t="s">
        <v>223</v>
      </c>
      <c r="D50" t="s">
        <v>297</v>
      </c>
      <c r="E50">
        <v>534.52</v>
      </c>
      <c r="F50" t="s">
        <v>324</v>
      </c>
      <c r="G50" t="s">
        <v>327</v>
      </c>
      <c r="I50" t="s">
        <v>8</v>
      </c>
      <c r="J50" t="s">
        <v>102</v>
      </c>
      <c r="K50" t="s">
        <v>28</v>
      </c>
      <c r="L50" t="s">
        <v>298</v>
      </c>
      <c r="M50" t="s">
        <v>299</v>
      </c>
      <c r="N50">
        <v>0</v>
      </c>
      <c r="O50" t="str">
        <f>IF(Transactions_RAW_cleaned[[#This Row],[Status]]="Completed", IFERROR(_xlfn.XLOOKUP(Transactions_RAW_cleaned[[#This Row],[CustomerID]], Customers_cleaned[CustomerID], Customers_cleaned[Segment]), "Customer Not Found"), "N/A")</f>
        <v>SMB</v>
      </c>
      <c r="P50" s="5" t="str">
        <f>IF(Transactions_RAW_cleaned[[#This Row],[Status]]="Refunded", "Refund",
  IF(Transactions_RAW_cleaned[[#This Row],[Category]]="Payments", IF(Transactions_RAW_cleaned[[#This Row],[Amount]]&gt;500,"High Value","Standard"),
    IF(Transactions_RAW_cleaned[[#This Row],[Amount]]&gt;250,"High Value","Standard")))</f>
        <v>High Value</v>
      </c>
      <c r="Q50" s="5" t="str">
        <f>IF(Transactions_RAW_cleaned[[#This Row],[Amount]] &gt; (_xlfn.XLOOKUP(Transactions_RAW_cleaned[[#This Row],[ServiceID]],Services_cleaned[ServiceID],Services_cleaned[TransactionFeePct]) * 10000), "Yes", "No")</f>
        <v>Yes</v>
      </c>
      <c r="R50" s="5" t="str">
        <f>IF(COUNTIFS($C$2:Transactions_RAW_cleaned[[#This Row],[CustomerID]],Transactions_RAW_cleaned[[#This Row],[CustomerID]],$D$2:Transactions_RAW_cleaned[[#This Row],[ServiceID]],Transactions_RAW_cleaned[[#This Row],[ServiceID]])=1,"Yes","No")</f>
        <v>Yes</v>
      </c>
      <c r="S5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0" t="str">
        <f>"Q"&amp;ROUNDUP(MONTH(Transactions_RAW_cleaned[[#This Row],[TransactionDate]])/3,0)</f>
        <v>Q4</v>
      </c>
      <c r="U50" t="str">
        <f>Transactions_RAW_cleaned[[#This Row],[Region ]]&amp;Transactions_RAW_cleaned[[#This Row],[Quarter ]]</f>
        <v>NAQ4</v>
      </c>
      <c r="V50" s="5">
        <f>_xlfn.XLOOKUP(Transactions_RAW_cleaned[[#This Row],[RegionQuarterKey]], Quarterly_Targets_cleaned[RegionQuarterKey], Quarterly_Targets_cleaned[TargetRevenue])</f>
        <v>299000</v>
      </c>
    </row>
    <row r="51" spans="1:22" x14ac:dyDescent="0.25">
      <c r="A51" t="s">
        <v>438</v>
      </c>
      <c r="B51" s="1">
        <v>45435</v>
      </c>
      <c r="C51" t="s">
        <v>58</v>
      </c>
      <c r="D51" t="s">
        <v>306</v>
      </c>
      <c r="E51">
        <v>553.66</v>
      </c>
      <c r="F51" t="s">
        <v>331</v>
      </c>
      <c r="G51" t="s">
        <v>325</v>
      </c>
      <c r="I51" t="s">
        <v>17</v>
      </c>
      <c r="J51" t="s">
        <v>102</v>
      </c>
      <c r="K51" t="s">
        <v>22</v>
      </c>
      <c r="L51" t="s">
        <v>307</v>
      </c>
      <c r="M51" t="s">
        <v>308</v>
      </c>
      <c r="N51">
        <v>0</v>
      </c>
      <c r="O51" t="str">
        <f>IF(Transactions_RAW_cleaned[[#This Row],[Status]]="Completed", IFERROR(_xlfn.XLOOKUP(Transactions_RAW_cleaned[[#This Row],[CustomerID]], Customers_cleaned[CustomerID], Customers_cleaned[Segment]), "Customer Not Found"), "N/A")</f>
        <v>N/A</v>
      </c>
      <c r="P51" s="5" t="str">
        <f>IF(Transactions_RAW_cleaned[[#This Row],[Status]]="Refunded", "Refund",
  IF(Transactions_RAW_cleaned[[#This Row],[Category]]="Payments", IF(Transactions_RAW_cleaned[[#This Row],[Amount]]&gt;500,"High Value","Standard"),
    IF(Transactions_RAW_cleaned[[#This Row],[Amount]]&gt;250,"High Value","Standard")))</f>
        <v>High Value</v>
      </c>
      <c r="Q51" s="5" t="str">
        <f>IF(Transactions_RAW_cleaned[[#This Row],[Amount]] &gt; (_xlfn.XLOOKUP(Transactions_RAW_cleaned[[#This Row],[ServiceID]],Services_cleaned[ServiceID],Services_cleaned[TransactionFeePct]) * 10000), "Yes", "No")</f>
        <v>Yes</v>
      </c>
      <c r="R51" s="5" t="str">
        <f>IF(COUNTIFS($C$2:Transactions_RAW_cleaned[[#This Row],[CustomerID]],Transactions_RAW_cleaned[[#This Row],[CustomerID]],$D$2:Transactions_RAW_cleaned[[#This Row],[ServiceID]],Transactions_RAW_cleaned[[#This Row],[ServiceID]])=1,"Yes","No")</f>
        <v>Yes</v>
      </c>
      <c r="S5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1" t="str">
        <f>"Q"&amp;ROUNDUP(MONTH(Transactions_RAW_cleaned[[#This Row],[TransactionDate]])/3,0)</f>
        <v>Q2</v>
      </c>
      <c r="U51" t="str">
        <f>Transactions_RAW_cleaned[[#This Row],[Region ]]&amp;Transactions_RAW_cleaned[[#This Row],[Quarter ]]</f>
        <v>NAQ2</v>
      </c>
      <c r="V51" s="5">
        <f>_xlfn.XLOOKUP(Transactions_RAW_cleaned[[#This Row],[RegionQuarterKey]], Quarterly_Targets_cleaned[RegionQuarterKey], Quarterly_Targets_cleaned[TargetRevenue])</f>
        <v>260000</v>
      </c>
    </row>
    <row r="52" spans="1:22" x14ac:dyDescent="0.25">
      <c r="A52" t="s">
        <v>352</v>
      </c>
      <c r="B52" s="1">
        <v>45471</v>
      </c>
      <c r="C52" t="s">
        <v>105</v>
      </c>
      <c r="D52" t="s">
        <v>294</v>
      </c>
      <c r="E52">
        <v>589.62</v>
      </c>
      <c r="F52" t="s">
        <v>324</v>
      </c>
      <c r="G52" t="s">
        <v>327</v>
      </c>
      <c r="I52" t="s">
        <v>57</v>
      </c>
      <c r="J52" t="s">
        <v>102</v>
      </c>
      <c r="K52" t="s">
        <v>32</v>
      </c>
      <c r="L52" t="s">
        <v>295</v>
      </c>
      <c r="M52" t="s">
        <v>296</v>
      </c>
      <c r="N52">
        <v>2.9000000000000001E-2</v>
      </c>
      <c r="O52" t="str">
        <f>IF(Transactions_RAW_cleaned[[#This Row],[Status]]="Completed", IFERROR(_xlfn.XLOOKUP(Transactions_RAW_cleaned[[#This Row],[CustomerID]], Customers_cleaned[CustomerID], Customers_cleaned[Segment]), "Customer Not Found"), "N/A")</f>
        <v>Startup</v>
      </c>
      <c r="P52" s="5" t="str">
        <f>IF(Transactions_RAW_cleaned[[#This Row],[Status]]="Refunded", "Refund",
  IF(Transactions_RAW_cleaned[[#This Row],[Category]]="Payments", IF(Transactions_RAW_cleaned[[#This Row],[Amount]]&gt;500,"High Value","Standard"),
    IF(Transactions_RAW_cleaned[[#This Row],[Amount]]&gt;250,"High Value","Standard")))</f>
        <v>High Value</v>
      </c>
      <c r="Q52" s="5" t="str">
        <f>IF(Transactions_RAW_cleaned[[#This Row],[Amount]] &gt; (_xlfn.XLOOKUP(Transactions_RAW_cleaned[[#This Row],[ServiceID]],Services_cleaned[ServiceID],Services_cleaned[TransactionFeePct]) * 10000), "Yes", "No")</f>
        <v>Yes</v>
      </c>
      <c r="R52" s="5" t="str">
        <f>IF(COUNTIFS($C$2:Transactions_RAW_cleaned[[#This Row],[CustomerID]],Transactions_RAW_cleaned[[#This Row],[CustomerID]],$D$2:Transactions_RAW_cleaned[[#This Row],[ServiceID]],Transactions_RAW_cleaned[[#This Row],[ServiceID]])=1,"Yes","No")</f>
        <v>Yes</v>
      </c>
      <c r="S5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2" t="str">
        <f>"Q"&amp;ROUNDUP(MONTH(Transactions_RAW_cleaned[[#This Row],[TransactionDate]])/3,0)</f>
        <v>Q2</v>
      </c>
      <c r="U52" t="str">
        <f>Transactions_RAW_cleaned[[#This Row],[Region ]]&amp;Transactions_RAW_cleaned[[#This Row],[Quarter ]]</f>
        <v>NAQ2</v>
      </c>
      <c r="V52" s="5">
        <f>_xlfn.XLOOKUP(Transactions_RAW_cleaned[[#This Row],[RegionQuarterKey]], Quarterly_Targets_cleaned[RegionQuarterKey], Quarterly_Targets_cleaned[TargetRevenue])</f>
        <v>260000</v>
      </c>
    </row>
    <row r="53" spans="1:22" x14ac:dyDescent="0.25">
      <c r="A53" t="s">
        <v>362</v>
      </c>
      <c r="B53" s="1">
        <v>45480</v>
      </c>
      <c r="C53" t="s">
        <v>60</v>
      </c>
      <c r="D53" t="s">
        <v>303</v>
      </c>
      <c r="E53">
        <v>146.11000000000001</v>
      </c>
      <c r="F53" t="s">
        <v>324</v>
      </c>
      <c r="G53" t="s">
        <v>327</v>
      </c>
      <c r="I53" t="s">
        <v>8</v>
      </c>
      <c r="J53" t="s">
        <v>13</v>
      </c>
      <c r="K53" t="s">
        <v>14</v>
      </c>
      <c r="L53" t="s">
        <v>304</v>
      </c>
      <c r="M53" t="s">
        <v>305</v>
      </c>
      <c r="N53">
        <v>1E-3</v>
      </c>
      <c r="O53" t="str">
        <f>IF(Transactions_RAW_cleaned[[#This Row],[Status]]="Completed", IFERROR(_xlfn.XLOOKUP(Transactions_RAW_cleaned[[#This Row],[CustomerID]], Customers_cleaned[CustomerID], Customers_cleaned[Segment]), "Customer Not Found"), "N/A")</f>
        <v>SMB</v>
      </c>
      <c r="P53" s="5" t="str">
        <f>IF(Transactions_RAW_cleaned[[#This Row],[Status]]="Refunded", "Refund",
  IF(Transactions_RAW_cleaned[[#This Row],[Category]]="Payments", IF(Transactions_RAW_cleaned[[#This Row],[Amount]]&gt;500,"High Value","Standard"),
    IF(Transactions_RAW_cleaned[[#This Row],[Amount]]&gt;250,"High Value","Standard")))</f>
        <v>Standard</v>
      </c>
      <c r="Q53" s="5" t="str">
        <f>IF(Transactions_RAW_cleaned[[#This Row],[Amount]] &gt; (_xlfn.XLOOKUP(Transactions_RAW_cleaned[[#This Row],[ServiceID]],Services_cleaned[ServiceID],Services_cleaned[TransactionFeePct]) * 10000), "Yes", "No")</f>
        <v>Yes</v>
      </c>
      <c r="R53" s="5" t="str">
        <f>IF(COUNTIFS($C$2:Transactions_RAW_cleaned[[#This Row],[CustomerID]],Transactions_RAW_cleaned[[#This Row],[CustomerID]],$D$2:Transactions_RAW_cleaned[[#This Row],[ServiceID]],Transactions_RAW_cleaned[[#This Row],[ServiceID]])=1,"Yes","No")</f>
        <v>Yes</v>
      </c>
      <c r="S5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3" t="str">
        <f>"Q"&amp;ROUNDUP(MONTH(Transactions_RAW_cleaned[[#This Row],[TransactionDate]])/3,0)</f>
        <v>Q3</v>
      </c>
      <c r="U53" t="str">
        <f>Transactions_RAW_cleaned[[#This Row],[Region ]]&amp;Transactions_RAW_cleaned[[#This Row],[Quarter ]]</f>
        <v>NAQ3</v>
      </c>
      <c r="V53" s="5">
        <f>_xlfn.XLOOKUP(Transactions_RAW_cleaned[[#This Row],[RegionQuarterKey]], Quarterly_Targets_cleaned[RegionQuarterKey], Quarterly_Targets_cleaned[TargetRevenue])</f>
        <v>273000</v>
      </c>
    </row>
    <row r="54" spans="1:22" x14ac:dyDescent="0.25">
      <c r="A54" t="s">
        <v>363</v>
      </c>
      <c r="B54" s="1">
        <v>45470</v>
      </c>
      <c r="C54" t="s">
        <v>60</v>
      </c>
      <c r="D54" t="s">
        <v>312</v>
      </c>
      <c r="E54">
        <v>101.1</v>
      </c>
      <c r="F54" t="s">
        <v>324</v>
      </c>
      <c r="G54" t="s">
        <v>327</v>
      </c>
      <c r="I54" t="s">
        <v>8</v>
      </c>
      <c r="J54" t="s">
        <v>13</v>
      </c>
      <c r="K54" t="s">
        <v>14</v>
      </c>
      <c r="L54" t="s">
        <v>313</v>
      </c>
      <c r="M54" t="s">
        <v>314</v>
      </c>
      <c r="N54">
        <v>0</v>
      </c>
      <c r="O54" t="str">
        <f>IF(Transactions_RAW_cleaned[[#This Row],[Status]]="Completed", IFERROR(_xlfn.XLOOKUP(Transactions_RAW_cleaned[[#This Row],[CustomerID]], Customers_cleaned[CustomerID], Customers_cleaned[Segment]), "Customer Not Found"), "N/A")</f>
        <v>SMB</v>
      </c>
      <c r="P54" s="5" t="str">
        <f>IF(Transactions_RAW_cleaned[[#This Row],[Status]]="Refunded", "Refund",
  IF(Transactions_RAW_cleaned[[#This Row],[Category]]="Payments", IF(Transactions_RAW_cleaned[[#This Row],[Amount]]&gt;500,"High Value","Standard"),
    IF(Transactions_RAW_cleaned[[#This Row],[Amount]]&gt;250,"High Value","Standard")))</f>
        <v>Standard</v>
      </c>
      <c r="Q54" s="5" t="str">
        <f>IF(Transactions_RAW_cleaned[[#This Row],[Amount]] &gt; (_xlfn.XLOOKUP(Transactions_RAW_cleaned[[#This Row],[ServiceID]],Services_cleaned[ServiceID],Services_cleaned[TransactionFeePct]) * 10000), "Yes", "No")</f>
        <v>Yes</v>
      </c>
      <c r="R54" s="5" t="str">
        <f>IF(COUNTIFS($C$2:Transactions_RAW_cleaned[[#This Row],[CustomerID]],Transactions_RAW_cleaned[[#This Row],[CustomerID]],$D$2:Transactions_RAW_cleaned[[#This Row],[ServiceID]],Transactions_RAW_cleaned[[#This Row],[ServiceID]])=1,"Yes","No")</f>
        <v>Yes</v>
      </c>
      <c r="S5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4" t="str">
        <f>"Q"&amp;ROUNDUP(MONTH(Transactions_RAW_cleaned[[#This Row],[TransactionDate]])/3,0)</f>
        <v>Q2</v>
      </c>
      <c r="U54" t="str">
        <f>Transactions_RAW_cleaned[[#This Row],[Region ]]&amp;Transactions_RAW_cleaned[[#This Row],[Quarter ]]</f>
        <v>NAQ2</v>
      </c>
      <c r="V54" s="5">
        <f>_xlfn.XLOOKUP(Transactions_RAW_cleaned[[#This Row],[RegionQuarterKey]], Quarterly_Targets_cleaned[RegionQuarterKey], Quarterly_Targets_cleaned[TargetRevenue])</f>
        <v>260000</v>
      </c>
    </row>
    <row r="55" spans="1:22" x14ac:dyDescent="0.25">
      <c r="A55" t="s">
        <v>378</v>
      </c>
      <c r="B55" s="1">
        <v>45304</v>
      </c>
      <c r="C55" t="s">
        <v>60</v>
      </c>
      <c r="D55" t="s">
        <v>303</v>
      </c>
      <c r="E55">
        <v>433.91</v>
      </c>
      <c r="F55" t="s">
        <v>324</v>
      </c>
      <c r="G55" t="s">
        <v>327</v>
      </c>
      <c r="H55" t="s">
        <v>334</v>
      </c>
      <c r="I55" t="s">
        <v>8</v>
      </c>
      <c r="J55" t="s">
        <v>13</v>
      </c>
      <c r="K55" t="s">
        <v>14</v>
      </c>
      <c r="L55" t="s">
        <v>304</v>
      </c>
      <c r="M55" t="s">
        <v>305</v>
      </c>
      <c r="N55">
        <v>1E-3</v>
      </c>
      <c r="O55" t="str">
        <f>IF(Transactions_RAW_cleaned[[#This Row],[Status]]="Completed", IFERROR(_xlfn.XLOOKUP(Transactions_RAW_cleaned[[#This Row],[CustomerID]], Customers_cleaned[CustomerID], Customers_cleaned[Segment]), "Customer Not Found"), "N/A")</f>
        <v>SMB</v>
      </c>
      <c r="P55" s="5" t="str">
        <f>IF(Transactions_RAW_cleaned[[#This Row],[Status]]="Refunded", "Refund",
  IF(Transactions_RAW_cleaned[[#This Row],[Category]]="Payments", IF(Transactions_RAW_cleaned[[#This Row],[Amount]]&gt;500,"High Value","Standard"),
    IF(Transactions_RAW_cleaned[[#This Row],[Amount]]&gt;250,"High Value","Standard")))</f>
        <v>High Value</v>
      </c>
      <c r="Q55" s="5" t="str">
        <f>IF(Transactions_RAW_cleaned[[#This Row],[Amount]] &gt; (_xlfn.XLOOKUP(Transactions_RAW_cleaned[[#This Row],[ServiceID]],Services_cleaned[ServiceID],Services_cleaned[TransactionFeePct]) * 10000), "Yes", "No")</f>
        <v>Yes</v>
      </c>
      <c r="R55" s="5" t="str">
        <f>IF(COUNTIFS($C$2:Transactions_RAW_cleaned[[#This Row],[CustomerID]],Transactions_RAW_cleaned[[#This Row],[CustomerID]],$D$2:Transactions_RAW_cleaned[[#This Row],[ServiceID]],Transactions_RAW_cleaned[[#This Row],[ServiceID]])=1,"Yes","No")</f>
        <v>No</v>
      </c>
      <c r="S5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5" t="str">
        <f>"Q"&amp;ROUNDUP(MONTH(Transactions_RAW_cleaned[[#This Row],[TransactionDate]])/3,0)</f>
        <v>Q1</v>
      </c>
      <c r="U55" t="str">
        <f>Transactions_RAW_cleaned[[#This Row],[Region ]]&amp;Transactions_RAW_cleaned[[#This Row],[Quarter ]]</f>
        <v>NAQ1</v>
      </c>
      <c r="V55" s="5">
        <f>_xlfn.XLOOKUP(Transactions_RAW_cleaned[[#This Row],[RegionQuarterKey]], Quarterly_Targets_cleaned[RegionQuarterKey], Quarterly_Targets_cleaned[TargetRevenue])</f>
        <v>247000</v>
      </c>
    </row>
    <row r="56" spans="1:22" x14ac:dyDescent="0.25">
      <c r="A56" t="s">
        <v>353</v>
      </c>
      <c r="B56" s="1">
        <v>45375</v>
      </c>
      <c r="C56" t="s">
        <v>245</v>
      </c>
      <c r="D56" t="s">
        <v>309</v>
      </c>
      <c r="E56">
        <v>596.35</v>
      </c>
      <c r="F56" t="s">
        <v>324</v>
      </c>
      <c r="G56" t="s">
        <v>337</v>
      </c>
      <c r="I56" t="s">
        <v>8</v>
      </c>
      <c r="J56" t="s">
        <v>31</v>
      </c>
      <c r="K56" t="s">
        <v>14</v>
      </c>
      <c r="L56" t="s">
        <v>310</v>
      </c>
      <c r="M56" t="s">
        <v>311</v>
      </c>
      <c r="N56">
        <v>0</v>
      </c>
      <c r="O56" t="str">
        <f>IF(Transactions_RAW_cleaned[[#This Row],[Status]]="Completed", IFERROR(_xlfn.XLOOKUP(Transactions_RAW_cleaned[[#This Row],[CustomerID]], Customers_cleaned[CustomerID], Customers_cleaned[Segment]), "Customer Not Found"), "N/A")</f>
        <v>SMB</v>
      </c>
      <c r="P56" s="5" t="str">
        <f>IF(Transactions_RAW_cleaned[[#This Row],[Status]]="Refunded", "Refund",
  IF(Transactions_RAW_cleaned[[#This Row],[Category]]="Payments", IF(Transactions_RAW_cleaned[[#This Row],[Amount]]&gt;500,"High Value","Standard"),
    IF(Transactions_RAW_cleaned[[#This Row],[Amount]]&gt;250,"High Value","Standard")))</f>
        <v>High Value</v>
      </c>
      <c r="Q56" s="5" t="str">
        <f>IF(Transactions_RAW_cleaned[[#This Row],[Amount]] &gt; (_xlfn.XLOOKUP(Transactions_RAW_cleaned[[#This Row],[ServiceID]],Services_cleaned[ServiceID],Services_cleaned[TransactionFeePct]) * 10000), "Yes", "No")</f>
        <v>Yes</v>
      </c>
      <c r="R56" s="5" t="str">
        <f>IF(COUNTIFS($C$2:Transactions_RAW_cleaned[[#This Row],[CustomerID]],Transactions_RAW_cleaned[[#This Row],[CustomerID]],$D$2:Transactions_RAW_cleaned[[#This Row],[ServiceID]],Transactions_RAW_cleaned[[#This Row],[ServiceID]])=1,"Yes","No")</f>
        <v>Yes</v>
      </c>
      <c r="S5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56" t="str">
        <f>"Q"&amp;ROUNDUP(MONTH(Transactions_RAW_cleaned[[#This Row],[TransactionDate]])/3,0)</f>
        <v>Q1</v>
      </c>
      <c r="U56" t="str">
        <f>Transactions_RAW_cleaned[[#This Row],[Region ]]&amp;Transactions_RAW_cleaned[[#This Row],[Quarter ]]</f>
        <v>EMEAQ1</v>
      </c>
      <c r="V56" s="5">
        <f>_xlfn.XLOOKUP(Transactions_RAW_cleaned[[#This Row],[RegionQuarterKey]], Quarterly_Targets_cleaned[RegionQuarterKey], Quarterly_Targets_cleaned[TargetRevenue])</f>
        <v>133000</v>
      </c>
    </row>
    <row r="57" spans="1:22" x14ac:dyDescent="0.25">
      <c r="A57" t="s">
        <v>354</v>
      </c>
      <c r="B57" s="1">
        <v>45488</v>
      </c>
      <c r="C57" t="s">
        <v>121</v>
      </c>
      <c r="D57" t="s">
        <v>294</v>
      </c>
      <c r="E57">
        <v>110.37</v>
      </c>
      <c r="F57" t="s">
        <v>324</v>
      </c>
      <c r="G57" t="s">
        <v>325</v>
      </c>
      <c r="I57" t="s">
        <v>8</v>
      </c>
      <c r="J57" t="s">
        <v>37</v>
      </c>
      <c r="K57" t="s">
        <v>14</v>
      </c>
      <c r="L57" t="s">
        <v>295</v>
      </c>
      <c r="M57" t="s">
        <v>296</v>
      </c>
      <c r="N57">
        <v>2.9000000000000001E-2</v>
      </c>
      <c r="O57" t="str">
        <f>IF(Transactions_RAW_cleaned[[#This Row],[Status]]="Completed", IFERROR(_xlfn.XLOOKUP(Transactions_RAW_cleaned[[#This Row],[CustomerID]], Customers_cleaned[CustomerID], Customers_cleaned[Segment]), "Customer Not Found"), "N/A")</f>
        <v>SMB</v>
      </c>
      <c r="P57" s="5" t="str">
        <f>IF(Transactions_RAW_cleaned[[#This Row],[Status]]="Refunded", "Refund",
  IF(Transactions_RAW_cleaned[[#This Row],[Category]]="Payments", IF(Transactions_RAW_cleaned[[#This Row],[Amount]]&gt;500,"High Value","Standard"),
    IF(Transactions_RAW_cleaned[[#This Row],[Amount]]&gt;250,"High Value","Standard")))</f>
        <v>Standard</v>
      </c>
      <c r="Q57" s="5" t="str">
        <f>IF(Transactions_RAW_cleaned[[#This Row],[Amount]] &gt; (_xlfn.XLOOKUP(Transactions_RAW_cleaned[[#This Row],[ServiceID]],Services_cleaned[ServiceID],Services_cleaned[TransactionFeePct]) * 10000), "Yes", "No")</f>
        <v>No</v>
      </c>
      <c r="R57" s="5" t="str">
        <f>IF(COUNTIFS($C$2:Transactions_RAW_cleaned[[#This Row],[CustomerID]],Transactions_RAW_cleaned[[#This Row],[CustomerID]],$D$2:Transactions_RAW_cleaned[[#This Row],[ServiceID]],Transactions_RAW_cleaned[[#This Row],[ServiceID]])=1,"Yes","No")</f>
        <v>Yes</v>
      </c>
      <c r="S5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57" t="str">
        <f>"Q"&amp;ROUNDUP(MONTH(Transactions_RAW_cleaned[[#This Row],[TransactionDate]])/3,0)</f>
        <v>Q3</v>
      </c>
      <c r="U57" t="str">
        <f>Transactions_RAW_cleaned[[#This Row],[Region ]]&amp;Transactions_RAW_cleaned[[#This Row],[Quarter ]]</f>
        <v>EMEAQ3</v>
      </c>
      <c r="V57" s="5">
        <f>_xlfn.XLOOKUP(Transactions_RAW_cleaned[[#This Row],[RegionQuarterKey]], Quarterly_Targets_cleaned[RegionQuarterKey], Quarterly_Targets_cleaned[TargetRevenue])</f>
        <v>147000</v>
      </c>
    </row>
    <row r="58" spans="1:22" x14ac:dyDescent="0.25">
      <c r="A58" t="s">
        <v>372</v>
      </c>
      <c r="B58" s="1">
        <v>45619</v>
      </c>
      <c r="C58" t="s">
        <v>121</v>
      </c>
      <c r="D58" t="s">
        <v>315</v>
      </c>
      <c r="E58">
        <v>321.16000000000003</v>
      </c>
      <c r="F58" t="s">
        <v>331</v>
      </c>
      <c r="G58" t="s">
        <v>327</v>
      </c>
      <c r="H58" t="s">
        <v>334</v>
      </c>
      <c r="I58" t="s">
        <v>8</v>
      </c>
      <c r="J58" t="s">
        <v>37</v>
      </c>
      <c r="K58" t="s">
        <v>14</v>
      </c>
      <c r="L58" t="s">
        <v>316</v>
      </c>
      <c r="M58" t="s">
        <v>305</v>
      </c>
      <c r="N58">
        <v>2.5000000000000001E-3</v>
      </c>
      <c r="O58" t="str">
        <f>IF(Transactions_RAW_cleaned[[#This Row],[Status]]="Completed", IFERROR(_xlfn.XLOOKUP(Transactions_RAW_cleaned[[#This Row],[CustomerID]], Customers_cleaned[CustomerID], Customers_cleaned[Segment]), "Customer Not Found"), "N/A")</f>
        <v>N/A</v>
      </c>
      <c r="P58" s="5" t="str">
        <f>IF(Transactions_RAW_cleaned[[#This Row],[Status]]="Refunded", "Refund",
  IF(Transactions_RAW_cleaned[[#This Row],[Category]]="Payments", IF(Transactions_RAW_cleaned[[#This Row],[Amount]]&gt;500,"High Value","Standard"),
    IF(Transactions_RAW_cleaned[[#This Row],[Amount]]&gt;250,"High Value","Standard")))</f>
        <v>High Value</v>
      </c>
      <c r="Q58" s="5" t="str">
        <f>IF(Transactions_RAW_cleaned[[#This Row],[Amount]] &gt; (_xlfn.XLOOKUP(Transactions_RAW_cleaned[[#This Row],[ServiceID]],Services_cleaned[ServiceID],Services_cleaned[TransactionFeePct]) * 10000), "Yes", "No")</f>
        <v>Yes</v>
      </c>
      <c r="R58" s="5" t="str">
        <f>IF(COUNTIFS($C$2:Transactions_RAW_cleaned[[#This Row],[CustomerID]],Transactions_RAW_cleaned[[#This Row],[CustomerID]],$D$2:Transactions_RAW_cleaned[[#This Row],[ServiceID]],Transactions_RAW_cleaned[[#This Row],[ServiceID]])=1,"Yes","No")</f>
        <v>Yes</v>
      </c>
      <c r="S5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58" t="str">
        <f>"Q"&amp;ROUNDUP(MONTH(Transactions_RAW_cleaned[[#This Row],[TransactionDate]])/3,0)</f>
        <v>Q4</v>
      </c>
      <c r="U58" t="str">
        <f>Transactions_RAW_cleaned[[#This Row],[Region ]]&amp;Transactions_RAW_cleaned[[#This Row],[Quarter ]]</f>
        <v>EMEAQ4</v>
      </c>
      <c r="V58" s="5">
        <f>_xlfn.XLOOKUP(Transactions_RAW_cleaned[[#This Row],[RegionQuarterKey]], Quarterly_Targets_cleaned[RegionQuarterKey], Quarterly_Targets_cleaned[TargetRevenue])</f>
        <v>161000</v>
      </c>
    </row>
    <row r="59" spans="1:22" x14ac:dyDescent="0.25">
      <c r="A59" t="s">
        <v>356</v>
      </c>
      <c r="B59" s="1">
        <v>45585</v>
      </c>
      <c r="C59" t="s">
        <v>64</v>
      </c>
      <c r="D59" t="s">
        <v>312</v>
      </c>
      <c r="E59">
        <v>309.83999999999997</v>
      </c>
      <c r="F59" t="s">
        <v>324</v>
      </c>
      <c r="G59" t="s">
        <v>325</v>
      </c>
      <c r="H59" t="s">
        <v>332</v>
      </c>
      <c r="I59" t="s">
        <v>8</v>
      </c>
      <c r="J59" t="s">
        <v>37</v>
      </c>
      <c r="K59" t="s">
        <v>28</v>
      </c>
      <c r="L59" t="s">
        <v>313</v>
      </c>
      <c r="M59" t="s">
        <v>314</v>
      </c>
      <c r="N59">
        <v>0</v>
      </c>
      <c r="O59" t="str">
        <f>IF(Transactions_RAW_cleaned[[#This Row],[Status]]="Completed", IFERROR(_xlfn.XLOOKUP(Transactions_RAW_cleaned[[#This Row],[CustomerID]], Customers_cleaned[CustomerID], Customers_cleaned[Segment]), "Customer Not Found"), "N/A")</f>
        <v>SMB</v>
      </c>
      <c r="P59" s="5" t="str">
        <f>IF(Transactions_RAW_cleaned[[#This Row],[Status]]="Refunded", "Refund",
  IF(Transactions_RAW_cleaned[[#This Row],[Category]]="Payments", IF(Transactions_RAW_cleaned[[#This Row],[Amount]]&gt;500,"High Value","Standard"),
    IF(Transactions_RAW_cleaned[[#This Row],[Amount]]&gt;250,"High Value","Standard")))</f>
        <v>High Value</v>
      </c>
      <c r="Q59" s="5" t="str">
        <f>IF(Transactions_RAW_cleaned[[#This Row],[Amount]] &gt; (_xlfn.XLOOKUP(Transactions_RAW_cleaned[[#This Row],[ServiceID]],Services_cleaned[ServiceID],Services_cleaned[TransactionFeePct]) * 10000), "Yes", "No")</f>
        <v>Yes</v>
      </c>
      <c r="R59" s="5" t="str">
        <f>IF(COUNTIFS($C$2:Transactions_RAW_cleaned[[#This Row],[CustomerID]],Transactions_RAW_cleaned[[#This Row],[CustomerID]],$D$2:Transactions_RAW_cleaned[[#This Row],[ServiceID]],Transactions_RAW_cleaned[[#This Row],[ServiceID]])=1,"Yes","No")</f>
        <v>Yes</v>
      </c>
      <c r="S5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59" t="str">
        <f>"Q"&amp;ROUNDUP(MONTH(Transactions_RAW_cleaned[[#This Row],[TransactionDate]])/3,0)</f>
        <v>Q4</v>
      </c>
      <c r="U59" t="str">
        <f>Transactions_RAW_cleaned[[#This Row],[Region ]]&amp;Transactions_RAW_cleaned[[#This Row],[Quarter ]]</f>
        <v>EMEAQ4</v>
      </c>
      <c r="V59" s="5">
        <f>_xlfn.XLOOKUP(Transactions_RAW_cleaned[[#This Row],[RegionQuarterKey]], Quarterly_Targets_cleaned[RegionQuarterKey], Quarterly_Targets_cleaned[TargetRevenue])</f>
        <v>161000</v>
      </c>
    </row>
    <row r="60" spans="1:22" x14ac:dyDescent="0.25">
      <c r="A60" t="s">
        <v>355</v>
      </c>
      <c r="B60" s="1">
        <v>45411</v>
      </c>
      <c r="C60" t="s">
        <v>74</v>
      </c>
      <c r="D60" t="s">
        <v>294</v>
      </c>
      <c r="E60">
        <v>599.87</v>
      </c>
      <c r="F60" t="s">
        <v>324</v>
      </c>
      <c r="G60" t="s">
        <v>327</v>
      </c>
      <c r="I60" t="s">
        <v>17</v>
      </c>
      <c r="J60" t="s">
        <v>46</v>
      </c>
      <c r="K60" t="s">
        <v>28</v>
      </c>
      <c r="L60" t="s">
        <v>295</v>
      </c>
      <c r="M60" t="s">
        <v>296</v>
      </c>
      <c r="N60">
        <v>2.9000000000000001E-2</v>
      </c>
      <c r="O60" t="str">
        <f>IF(Transactions_RAW_cleaned[[#This Row],[Status]]="Completed", IFERROR(_xlfn.XLOOKUP(Transactions_RAW_cleaned[[#This Row],[CustomerID]], Customers_cleaned[CustomerID], Customers_cleaned[Segment]), "Customer Not Found"), "N/A")</f>
        <v>Enterprise</v>
      </c>
      <c r="P60" s="5" t="str">
        <f>IF(Transactions_RAW_cleaned[[#This Row],[Status]]="Refunded", "Refund",
  IF(Transactions_RAW_cleaned[[#This Row],[Category]]="Payments", IF(Transactions_RAW_cleaned[[#This Row],[Amount]]&gt;500,"High Value","Standard"),
    IF(Transactions_RAW_cleaned[[#This Row],[Amount]]&gt;250,"High Value","Standard")))</f>
        <v>High Value</v>
      </c>
      <c r="Q60" s="5" t="str">
        <f>IF(Transactions_RAW_cleaned[[#This Row],[Amount]] &gt; (_xlfn.XLOOKUP(Transactions_RAW_cleaned[[#This Row],[ServiceID]],Services_cleaned[ServiceID],Services_cleaned[TransactionFeePct]) * 10000), "Yes", "No")</f>
        <v>Yes</v>
      </c>
      <c r="R60" s="5" t="str">
        <f>IF(COUNTIFS($C$2:Transactions_RAW_cleaned[[#This Row],[CustomerID]],Transactions_RAW_cleaned[[#This Row],[CustomerID]],$D$2:Transactions_RAW_cleaned[[#This Row],[ServiceID]],Transactions_RAW_cleaned[[#This Row],[ServiceID]])=1,"Yes","No")</f>
        <v>Yes</v>
      </c>
      <c r="S6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0" t="str">
        <f>"Q"&amp;ROUNDUP(MONTH(Transactions_RAW_cleaned[[#This Row],[TransactionDate]])/3,0)</f>
        <v>Q2</v>
      </c>
      <c r="U60" t="str">
        <f>Transactions_RAW_cleaned[[#This Row],[Region ]]&amp;Transactions_RAW_cleaned[[#This Row],[Quarter ]]</f>
        <v>APACQ2</v>
      </c>
      <c r="V60" s="5">
        <f>_xlfn.XLOOKUP(Transactions_RAW_cleaned[[#This Row],[RegionQuarterKey]], Quarterly_Targets_cleaned[RegionQuarterKey], Quarterly_Targets_cleaned[TargetRevenue])</f>
        <v>110000</v>
      </c>
    </row>
    <row r="61" spans="1:22" x14ac:dyDescent="0.25">
      <c r="A61" t="s">
        <v>458</v>
      </c>
      <c r="B61" s="1">
        <v>45646</v>
      </c>
      <c r="C61" t="s">
        <v>66</v>
      </c>
      <c r="D61" t="s">
        <v>294</v>
      </c>
      <c r="E61">
        <v>1112.43</v>
      </c>
      <c r="F61" t="s">
        <v>324</v>
      </c>
      <c r="G61" t="s">
        <v>325</v>
      </c>
      <c r="H61" t="s">
        <v>334</v>
      </c>
      <c r="I61" t="s">
        <v>8</v>
      </c>
      <c r="J61" t="s">
        <v>46</v>
      </c>
      <c r="K61" t="s">
        <v>10</v>
      </c>
      <c r="L61" t="s">
        <v>295</v>
      </c>
      <c r="M61" t="s">
        <v>296</v>
      </c>
      <c r="N61">
        <v>2.9000000000000001E-2</v>
      </c>
      <c r="O61" t="str">
        <f>IF(Transactions_RAW_cleaned[[#This Row],[Status]]="Completed", IFERROR(_xlfn.XLOOKUP(Transactions_RAW_cleaned[[#This Row],[CustomerID]], Customers_cleaned[CustomerID], Customers_cleaned[Segment]), "Customer Not Found"), "N/A")</f>
        <v>SMB</v>
      </c>
      <c r="P61" s="5" t="str">
        <f>IF(Transactions_RAW_cleaned[[#This Row],[Status]]="Refunded", "Refund",
  IF(Transactions_RAW_cleaned[[#This Row],[Category]]="Payments", IF(Transactions_RAW_cleaned[[#This Row],[Amount]]&gt;500,"High Value","Standard"),
    IF(Transactions_RAW_cleaned[[#This Row],[Amount]]&gt;250,"High Value","Standard")))</f>
        <v>High Value</v>
      </c>
      <c r="Q61" s="5" t="str">
        <f>IF(Transactions_RAW_cleaned[[#This Row],[Amount]] &gt; (_xlfn.XLOOKUP(Transactions_RAW_cleaned[[#This Row],[ServiceID]],Services_cleaned[ServiceID],Services_cleaned[TransactionFeePct]) * 10000), "Yes", "No")</f>
        <v>Yes</v>
      </c>
      <c r="R61" s="5" t="str">
        <f>IF(COUNTIFS($C$2:Transactions_RAW_cleaned[[#This Row],[CustomerID]],Transactions_RAW_cleaned[[#This Row],[CustomerID]],$D$2:Transactions_RAW_cleaned[[#This Row],[ServiceID]],Transactions_RAW_cleaned[[#This Row],[ServiceID]])=1,"Yes","No")</f>
        <v>Yes</v>
      </c>
      <c r="S6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1" t="str">
        <f>"Q"&amp;ROUNDUP(MONTH(Transactions_RAW_cleaned[[#This Row],[TransactionDate]])/3,0)</f>
        <v>Q4</v>
      </c>
      <c r="U61" t="str">
        <f>Transactions_RAW_cleaned[[#This Row],[Region ]]&amp;Transactions_RAW_cleaned[[#This Row],[Quarter ]]</f>
        <v>APACQ4</v>
      </c>
      <c r="V61" s="5">
        <f>_xlfn.XLOOKUP(Transactions_RAW_cleaned[[#This Row],[RegionQuarterKey]], Quarterly_Targets_cleaned[RegionQuarterKey], Quarterly_Targets_cleaned[TargetRevenue])</f>
        <v>126500</v>
      </c>
    </row>
    <row r="62" spans="1:22" x14ac:dyDescent="0.25">
      <c r="A62" t="s">
        <v>360</v>
      </c>
      <c r="B62" s="1">
        <v>45574</v>
      </c>
      <c r="C62" t="s">
        <v>68</v>
      </c>
      <c r="D62" t="s">
        <v>297</v>
      </c>
      <c r="E62">
        <v>327.77</v>
      </c>
      <c r="F62" t="s">
        <v>324</v>
      </c>
      <c r="G62" t="s">
        <v>325</v>
      </c>
      <c r="I62" t="s">
        <v>57</v>
      </c>
      <c r="J62" t="s">
        <v>13</v>
      </c>
      <c r="K62" t="s">
        <v>10</v>
      </c>
      <c r="L62" t="s">
        <v>298</v>
      </c>
      <c r="M62" t="s">
        <v>299</v>
      </c>
      <c r="N62">
        <v>0</v>
      </c>
      <c r="O62" t="str">
        <f>IF(Transactions_RAW_cleaned[[#This Row],[Status]]="Completed", IFERROR(_xlfn.XLOOKUP(Transactions_RAW_cleaned[[#This Row],[CustomerID]], Customers_cleaned[CustomerID], Customers_cleaned[Segment]), "Customer Not Found"), "N/A")</f>
        <v>Startup</v>
      </c>
      <c r="P62" s="5" t="str">
        <f>IF(Transactions_RAW_cleaned[[#This Row],[Status]]="Refunded", "Refund",
  IF(Transactions_RAW_cleaned[[#This Row],[Category]]="Payments", IF(Transactions_RAW_cleaned[[#This Row],[Amount]]&gt;500,"High Value","Standard"),
    IF(Transactions_RAW_cleaned[[#This Row],[Amount]]&gt;250,"High Value","Standard")))</f>
        <v>High Value</v>
      </c>
      <c r="Q62" s="5" t="str">
        <f>IF(Transactions_RAW_cleaned[[#This Row],[Amount]] &gt; (_xlfn.XLOOKUP(Transactions_RAW_cleaned[[#This Row],[ServiceID]],Services_cleaned[ServiceID],Services_cleaned[TransactionFeePct]) * 10000), "Yes", "No")</f>
        <v>Yes</v>
      </c>
      <c r="R62" s="5" t="str">
        <f>IF(COUNTIFS($C$2:Transactions_RAW_cleaned[[#This Row],[CustomerID]],Transactions_RAW_cleaned[[#This Row],[CustomerID]],$D$2:Transactions_RAW_cleaned[[#This Row],[ServiceID]],Transactions_RAW_cleaned[[#This Row],[ServiceID]])=1,"Yes","No")</f>
        <v>Yes</v>
      </c>
      <c r="S6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2" t="str">
        <f>"Q"&amp;ROUNDUP(MONTH(Transactions_RAW_cleaned[[#This Row],[TransactionDate]])/3,0)</f>
        <v>Q4</v>
      </c>
      <c r="U62" t="str">
        <f>Transactions_RAW_cleaned[[#This Row],[Region ]]&amp;Transactions_RAW_cleaned[[#This Row],[Quarter ]]</f>
        <v>NAQ4</v>
      </c>
      <c r="V62" s="5">
        <f>_xlfn.XLOOKUP(Transactions_RAW_cleaned[[#This Row],[RegionQuarterKey]], Quarterly_Targets_cleaned[RegionQuarterKey], Quarterly_Targets_cleaned[TargetRevenue])</f>
        <v>299000</v>
      </c>
    </row>
    <row r="63" spans="1:22" x14ac:dyDescent="0.25">
      <c r="A63" t="s">
        <v>357</v>
      </c>
      <c r="B63" s="1">
        <v>45649</v>
      </c>
      <c r="C63" t="s">
        <v>70</v>
      </c>
      <c r="D63" t="s">
        <v>309</v>
      </c>
      <c r="E63">
        <v>583.16999999999996</v>
      </c>
      <c r="F63" t="s">
        <v>324</v>
      </c>
      <c r="G63" t="s">
        <v>327</v>
      </c>
      <c r="H63" t="s">
        <v>334</v>
      </c>
      <c r="I63" t="s">
        <v>8</v>
      </c>
      <c r="J63" t="s">
        <v>37</v>
      </c>
      <c r="K63" t="s">
        <v>28</v>
      </c>
      <c r="L63" t="s">
        <v>310</v>
      </c>
      <c r="M63" t="s">
        <v>311</v>
      </c>
      <c r="N63">
        <v>0</v>
      </c>
      <c r="O63" t="str">
        <f>IF(Transactions_RAW_cleaned[[#This Row],[Status]]="Completed", IFERROR(_xlfn.XLOOKUP(Transactions_RAW_cleaned[[#This Row],[CustomerID]], Customers_cleaned[CustomerID], Customers_cleaned[Segment]), "Customer Not Found"), "N/A")</f>
        <v>SMB</v>
      </c>
      <c r="P63" s="5" t="str">
        <f>IF(Transactions_RAW_cleaned[[#This Row],[Status]]="Refunded", "Refund",
  IF(Transactions_RAW_cleaned[[#This Row],[Category]]="Payments", IF(Transactions_RAW_cleaned[[#This Row],[Amount]]&gt;500,"High Value","Standard"),
    IF(Transactions_RAW_cleaned[[#This Row],[Amount]]&gt;250,"High Value","Standard")))</f>
        <v>High Value</v>
      </c>
      <c r="Q63" s="5" t="str">
        <f>IF(Transactions_RAW_cleaned[[#This Row],[Amount]] &gt; (_xlfn.XLOOKUP(Transactions_RAW_cleaned[[#This Row],[ServiceID]],Services_cleaned[ServiceID],Services_cleaned[TransactionFeePct]) * 10000), "Yes", "No")</f>
        <v>Yes</v>
      </c>
      <c r="R63" s="5" t="str">
        <f>IF(COUNTIFS($C$2:Transactions_RAW_cleaned[[#This Row],[CustomerID]],Transactions_RAW_cleaned[[#This Row],[CustomerID]],$D$2:Transactions_RAW_cleaned[[#This Row],[ServiceID]],Transactions_RAW_cleaned[[#This Row],[ServiceID]])=1,"Yes","No")</f>
        <v>Yes</v>
      </c>
      <c r="S6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63" t="str">
        <f>"Q"&amp;ROUNDUP(MONTH(Transactions_RAW_cleaned[[#This Row],[TransactionDate]])/3,0)</f>
        <v>Q4</v>
      </c>
      <c r="U63" t="str">
        <f>Transactions_RAW_cleaned[[#This Row],[Region ]]&amp;Transactions_RAW_cleaned[[#This Row],[Quarter ]]</f>
        <v>EMEAQ4</v>
      </c>
      <c r="V63" s="5">
        <f>_xlfn.XLOOKUP(Transactions_RAW_cleaned[[#This Row],[RegionQuarterKey]], Quarterly_Targets_cleaned[RegionQuarterKey], Quarterly_Targets_cleaned[TargetRevenue])</f>
        <v>161000</v>
      </c>
    </row>
    <row r="64" spans="1:22" x14ac:dyDescent="0.25">
      <c r="A64" t="s">
        <v>450</v>
      </c>
      <c r="B64" s="1">
        <v>45643</v>
      </c>
      <c r="C64" t="s">
        <v>70</v>
      </c>
      <c r="D64" t="s">
        <v>300</v>
      </c>
      <c r="E64">
        <v>622.27</v>
      </c>
      <c r="F64" t="s">
        <v>324</v>
      </c>
      <c r="G64" t="s">
        <v>327</v>
      </c>
      <c r="H64" t="s">
        <v>346</v>
      </c>
      <c r="I64" t="s">
        <v>8</v>
      </c>
      <c r="J64" t="s">
        <v>37</v>
      </c>
      <c r="K64" t="s">
        <v>28</v>
      </c>
      <c r="L64" t="s">
        <v>301</v>
      </c>
      <c r="M64" t="s">
        <v>302</v>
      </c>
      <c r="N64">
        <v>5.0000000000000001E-3</v>
      </c>
      <c r="O64" t="str">
        <f>IF(Transactions_RAW_cleaned[[#This Row],[Status]]="Completed", IFERROR(_xlfn.XLOOKUP(Transactions_RAW_cleaned[[#This Row],[CustomerID]], Customers_cleaned[CustomerID], Customers_cleaned[Segment]), "Customer Not Found"), "N/A")</f>
        <v>SMB</v>
      </c>
      <c r="P64" s="5" t="str">
        <f>IF(Transactions_RAW_cleaned[[#This Row],[Status]]="Refunded", "Refund",
  IF(Transactions_RAW_cleaned[[#This Row],[Category]]="Payments", IF(Transactions_RAW_cleaned[[#This Row],[Amount]]&gt;500,"High Value","Standard"),
    IF(Transactions_RAW_cleaned[[#This Row],[Amount]]&gt;250,"High Value","Standard")))</f>
        <v>High Value</v>
      </c>
      <c r="Q64" s="5" t="str">
        <f>IF(Transactions_RAW_cleaned[[#This Row],[Amount]] &gt; (_xlfn.XLOOKUP(Transactions_RAW_cleaned[[#This Row],[ServiceID]],Services_cleaned[ServiceID],Services_cleaned[TransactionFeePct]) * 10000), "Yes", "No")</f>
        <v>Yes</v>
      </c>
      <c r="R64" s="5" t="str">
        <f>IF(COUNTIFS($C$2:Transactions_RAW_cleaned[[#This Row],[CustomerID]],Transactions_RAW_cleaned[[#This Row],[CustomerID]],$D$2:Transactions_RAW_cleaned[[#This Row],[ServiceID]],Transactions_RAW_cleaned[[#This Row],[ServiceID]])=1,"Yes","No")</f>
        <v>Yes</v>
      </c>
      <c r="S6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64" t="str">
        <f>"Q"&amp;ROUNDUP(MONTH(Transactions_RAW_cleaned[[#This Row],[TransactionDate]])/3,0)</f>
        <v>Q4</v>
      </c>
      <c r="U64" t="str">
        <f>Transactions_RAW_cleaned[[#This Row],[Region ]]&amp;Transactions_RAW_cleaned[[#This Row],[Quarter ]]</f>
        <v>EMEAQ4</v>
      </c>
      <c r="V64" s="5">
        <f>_xlfn.XLOOKUP(Transactions_RAW_cleaned[[#This Row],[RegionQuarterKey]], Quarterly_Targets_cleaned[RegionQuarterKey], Quarterly_Targets_cleaned[TargetRevenue])</f>
        <v>161000</v>
      </c>
    </row>
    <row r="65" spans="1:22" x14ac:dyDescent="0.25">
      <c r="A65" t="s">
        <v>422</v>
      </c>
      <c r="B65" s="1">
        <v>45436</v>
      </c>
      <c r="C65" t="s">
        <v>72</v>
      </c>
      <c r="D65" t="s">
        <v>294</v>
      </c>
      <c r="E65">
        <v>426.68</v>
      </c>
      <c r="F65" t="s">
        <v>324</v>
      </c>
      <c r="G65" t="s">
        <v>325</v>
      </c>
      <c r="H65" t="s">
        <v>332</v>
      </c>
      <c r="I65" t="s">
        <v>57</v>
      </c>
      <c r="J65" t="s">
        <v>46</v>
      </c>
      <c r="K65" t="s">
        <v>32</v>
      </c>
      <c r="L65" t="s">
        <v>295</v>
      </c>
      <c r="M65" t="s">
        <v>296</v>
      </c>
      <c r="N65">
        <v>2.9000000000000001E-2</v>
      </c>
      <c r="O65" t="str">
        <f>IF(Transactions_RAW_cleaned[[#This Row],[Status]]="Completed", IFERROR(_xlfn.XLOOKUP(Transactions_RAW_cleaned[[#This Row],[CustomerID]], Customers_cleaned[CustomerID], Customers_cleaned[Segment]), "Customer Not Found"), "N/A")</f>
        <v>Startup</v>
      </c>
      <c r="P65" s="5" t="str">
        <f>IF(Transactions_RAW_cleaned[[#This Row],[Status]]="Refunded", "Refund",
  IF(Transactions_RAW_cleaned[[#This Row],[Category]]="Payments", IF(Transactions_RAW_cleaned[[#This Row],[Amount]]&gt;500,"High Value","Standard"),
    IF(Transactions_RAW_cleaned[[#This Row],[Amount]]&gt;250,"High Value","Standard")))</f>
        <v>Standard</v>
      </c>
      <c r="Q65" s="5" t="str">
        <f>IF(Transactions_RAW_cleaned[[#This Row],[Amount]] &gt; (_xlfn.XLOOKUP(Transactions_RAW_cleaned[[#This Row],[ServiceID]],Services_cleaned[ServiceID],Services_cleaned[TransactionFeePct]) * 10000), "Yes", "No")</f>
        <v>Yes</v>
      </c>
      <c r="R65" s="5" t="str">
        <f>IF(COUNTIFS($C$2:Transactions_RAW_cleaned[[#This Row],[CustomerID]],Transactions_RAW_cleaned[[#This Row],[CustomerID]],$D$2:Transactions_RAW_cleaned[[#This Row],[ServiceID]],Transactions_RAW_cleaned[[#This Row],[ServiceID]])=1,"Yes","No")</f>
        <v>Yes</v>
      </c>
      <c r="S6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5" t="str">
        <f>"Q"&amp;ROUNDUP(MONTH(Transactions_RAW_cleaned[[#This Row],[TransactionDate]])/3,0)</f>
        <v>Q2</v>
      </c>
      <c r="U65" t="str">
        <f>Transactions_RAW_cleaned[[#This Row],[Region ]]&amp;Transactions_RAW_cleaned[[#This Row],[Quarter ]]</f>
        <v>APACQ2</v>
      </c>
      <c r="V65" s="5">
        <f>_xlfn.XLOOKUP(Transactions_RAW_cleaned[[#This Row],[RegionQuarterKey]], Quarterly_Targets_cleaned[RegionQuarterKey], Quarterly_Targets_cleaned[TargetRevenue])</f>
        <v>110000</v>
      </c>
    </row>
    <row r="66" spans="1:22" x14ac:dyDescent="0.25">
      <c r="A66" t="s">
        <v>359</v>
      </c>
      <c r="B66" s="1">
        <v>45479</v>
      </c>
      <c r="C66" t="s">
        <v>253</v>
      </c>
      <c r="D66" t="s">
        <v>297</v>
      </c>
      <c r="E66">
        <v>-654.44000000000005</v>
      </c>
      <c r="F66" t="s">
        <v>349</v>
      </c>
      <c r="G66" t="s">
        <v>327</v>
      </c>
      <c r="H66" t="s">
        <v>332</v>
      </c>
      <c r="I66" t="s">
        <v>8</v>
      </c>
      <c r="J66" t="s">
        <v>102</v>
      </c>
      <c r="K66" t="s">
        <v>28</v>
      </c>
      <c r="L66" t="s">
        <v>298</v>
      </c>
      <c r="M66" t="s">
        <v>299</v>
      </c>
      <c r="N66">
        <v>0</v>
      </c>
      <c r="O66" t="str">
        <f>IF(Transactions_RAW_cleaned[[#This Row],[Status]]="Completed", IFERROR(_xlfn.XLOOKUP(Transactions_RAW_cleaned[[#This Row],[CustomerID]], Customers_cleaned[CustomerID], Customers_cleaned[Segment]), "Customer Not Found"), "N/A")</f>
        <v>N/A</v>
      </c>
      <c r="P66" s="5" t="str">
        <f>IF(Transactions_RAW_cleaned[[#This Row],[Status]]="Refunded", "Refund",
  IF(Transactions_RAW_cleaned[[#This Row],[Category]]="Payments", IF(Transactions_RAW_cleaned[[#This Row],[Amount]]&gt;500,"High Value","Standard"),
    IF(Transactions_RAW_cleaned[[#This Row],[Amount]]&gt;250,"High Value","Standard")))</f>
        <v>Refund</v>
      </c>
      <c r="Q66" s="5" t="str">
        <f>IF(Transactions_RAW_cleaned[[#This Row],[Amount]] &gt; (_xlfn.XLOOKUP(Transactions_RAW_cleaned[[#This Row],[ServiceID]],Services_cleaned[ServiceID],Services_cleaned[TransactionFeePct]) * 10000), "Yes", "No")</f>
        <v>No</v>
      </c>
      <c r="R66" s="5" t="str">
        <f>IF(COUNTIFS($C$2:Transactions_RAW_cleaned[[#This Row],[CustomerID]],Transactions_RAW_cleaned[[#This Row],[CustomerID]],$D$2:Transactions_RAW_cleaned[[#This Row],[ServiceID]],Transactions_RAW_cleaned[[#This Row],[ServiceID]])=1,"Yes","No")</f>
        <v>Yes</v>
      </c>
      <c r="S6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6" t="str">
        <f>"Q"&amp;ROUNDUP(MONTH(Transactions_RAW_cleaned[[#This Row],[TransactionDate]])/3,0)</f>
        <v>Q3</v>
      </c>
      <c r="U66" t="str">
        <f>Transactions_RAW_cleaned[[#This Row],[Region ]]&amp;Transactions_RAW_cleaned[[#This Row],[Quarter ]]</f>
        <v>NAQ3</v>
      </c>
      <c r="V66" s="5">
        <f>_xlfn.XLOOKUP(Transactions_RAW_cleaned[[#This Row],[RegionQuarterKey]], Quarterly_Targets_cleaned[RegionQuarterKey], Quarterly_Targets_cleaned[TargetRevenue])</f>
        <v>273000</v>
      </c>
    </row>
    <row r="67" spans="1:22" x14ac:dyDescent="0.25">
      <c r="A67" t="s">
        <v>373</v>
      </c>
      <c r="B67" s="1">
        <v>45459</v>
      </c>
      <c r="C67" t="s">
        <v>253</v>
      </c>
      <c r="D67" t="s">
        <v>294</v>
      </c>
      <c r="E67">
        <v>133.05000000000001</v>
      </c>
      <c r="F67" t="s">
        <v>324</v>
      </c>
      <c r="G67" t="s">
        <v>2963</v>
      </c>
      <c r="H67" t="s">
        <v>334</v>
      </c>
      <c r="I67" t="s">
        <v>8</v>
      </c>
      <c r="J67" t="s">
        <v>102</v>
      </c>
      <c r="K67" t="s">
        <v>28</v>
      </c>
      <c r="L67" t="s">
        <v>295</v>
      </c>
      <c r="M67" t="s">
        <v>296</v>
      </c>
      <c r="N67">
        <v>2.9000000000000001E-2</v>
      </c>
      <c r="O67" t="str">
        <f>IF(Transactions_RAW_cleaned[[#This Row],[Status]]="Completed", IFERROR(_xlfn.XLOOKUP(Transactions_RAW_cleaned[[#This Row],[CustomerID]], Customers_cleaned[CustomerID], Customers_cleaned[Segment]), "Customer Not Found"), "N/A")</f>
        <v>SMB</v>
      </c>
      <c r="P67" s="5" t="str">
        <f>IF(Transactions_RAW_cleaned[[#This Row],[Status]]="Refunded", "Refund",
  IF(Transactions_RAW_cleaned[[#This Row],[Category]]="Payments", IF(Transactions_RAW_cleaned[[#This Row],[Amount]]&gt;500,"High Value","Standard"),
    IF(Transactions_RAW_cleaned[[#This Row],[Amount]]&gt;250,"High Value","Standard")))</f>
        <v>Standard</v>
      </c>
      <c r="Q67" s="5" t="str">
        <f>IF(Transactions_RAW_cleaned[[#This Row],[Amount]] &gt; (_xlfn.XLOOKUP(Transactions_RAW_cleaned[[#This Row],[ServiceID]],Services_cleaned[ServiceID],Services_cleaned[TransactionFeePct]) * 10000), "Yes", "No")</f>
        <v>No</v>
      </c>
      <c r="R67" s="5" t="str">
        <f>IF(COUNTIFS($C$2:Transactions_RAW_cleaned[[#This Row],[CustomerID]],Transactions_RAW_cleaned[[#This Row],[CustomerID]],$D$2:Transactions_RAW_cleaned[[#This Row],[ServiceID]],Transactions_RAW_cleaned[[#This Row],[ServiceID]])=1,"Yes","No")</f>
        <v>Yes</v>
      </c>
      <c r="S6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7" t="str">
        <f>"Q"&amp;ROUNDUP(MONTH(Transactions_RAW_cleaned[[#This Row],[TransactionDate]])/3,0)</f>
        <v>Q2</v>
      </c>
      <c r="U67" t="str">
        <f>Transactions_RAW_cleaned[[#This Row],[Region ]]&amp;Transactions_RAW_cleaned[[#This Row],[Quarter ]]</f>
        <v>NAQ2</v>
      </c>
      <c r="V67" s="5">
        <f>_xlfn.XLOOKUP(Transactions_RAW_cleaned[[#This Row],[RegionQuarterKey]], Quarterly_Targets_cleaned[RegionQuarterKey], Quarterly_Targets_cleaned[TargetRevenue])</f>
        <v>260000</v>
      </c>
    </row>
    <row r="68" spans="1:22" x14ac:dyDescent="0.25">
      <c r="A68" t="s">
        <v>361</v>
      </c>
      <c r="B68" s="1">
        <v>45365</v>
      </c>
      <c r="C68" t="s">
        <v>183</v>
      </c>
      <c r="D68" t="s">
        <v>294</v>
      </c>
      <c r="E68">
        <v>-910.07</v>
      </c>
      <c r="F68" t="s">
        <v>349</v>
      </c>
      <c r="G68" t="s">
        <v>327</v>
      </c>
      <c r="I68" t="s">
        <v>8</v>
      </c>
      <c r="J68" t="s">
        <v>13</v>
      </c>
      <c r="K68" t="s">
        <v>10</v>
      </c>
      <c r="L68" t="s">
        <v>295</v>
      </c>
      <c r="M68" t="s">
        <v>296</v>
      </c>
      <c r="N68">
        <v>2.9000000000000001E-2</v>
      </c>
      <c r="O68" t="str">
        <f>IF(Transactions_RAW_cleaned[[#This Row],[Status]]="Completed", IFERROR(_xlfn.XLOOKUP(Transactions_RAW_cleaned[[#This Row],[CustomerID]], Customers_cleaned[CustomerID], Customers_cleaned[Segment]), "Customer Not Found"), "N/A")</f>
        <v>N/A</v>
      </c>
      <c r="P68" s="5" t="str">
        <f>IF(Transactions_RAW_cleaned[[#This Row],[Status]]="Refunded", "Refund",
  IF(Transactions_RAW_cleaned[[#This Row],[Category]]="Payments", IF(Transactions_RAW_cleaned[[#This Row],[Amount]]&gt;500,"High Value","Standard"),
    IF(Transactions_RAW_cleaned[[#This Row],[Amount]]&gt;250,"High Value","Standard")))</f>
        <v>Refund</v>
      </c>
      <c r="Q68" s="5" t="str">
        <f>IF(Transactions_RAW_cleaned[[#This Row],[Amount]] &gt; (_xlfn.XLOOKUP(Transactions_RAW_cleaned[[#This Row],[ServiceID]],Services_cleaned[ServiceID],Services_cleaned[TransactionFeePct]) * 10000), "Yes", "No")</f>
        <v>No</v>
      </c>
      <c r="R68" s="5" t="str">
        <f>IF(COUNTIFS($C$2:Transactions_RAW_cleaned[[#This Row],[CustomerID]],Transactions_RAW_cleaned[[#This Row],[CustomerID]],$D$2:Transactions_RAW_cleaned[[#This Row],[ServiceID]],Transactions_RAW_cleaned[[#This Row],[ServiceID]])=1,"Yes","No")</f>
        <v>Yes</v>
      </c>
      <c r="S6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8" t="str">
        <f>"Q"&amp;ROUNDUP(MONTH(Transactions_RAW_cleaned[[#This Row],[TransactionDate]])/3,0)</f>
        <v>Q1</v>
      </c>
      <c r="U68" t="str">
        <f>Transactions_RAW_cleaned[[#This Row],[Region ]]&amp;Transactions_RAW_cleaned[[#This Row],[Quarter ]]</f>
        <v>NAQ1</v>
      </c>
      <c r="V68" s="5">
        <f>_xlfn.XLOOKUP(Transactions_RAW_cleaned[[#This Row],[RegionQuarterKey]], Quarterly_Targets_cleaned[RegionQuarterKey], Quarterly_Targets_cleaned[TargetRevenue])</f>
        <v>247000</v>
      </c>
    </row>
    <row r="69" spans="1:22" x14ac:dyDescent="0.25">
      <c r="A69" t="s">
        <v>388</v>
      </c>
      <c r="B69" s="1">
        <v>45460</v>
      </c>
      <c r="C69" t="s">
        <v>183</v>
      </c>
      <c r="D69" t="s">
        <v>312</v>
      </c>
      <c r="E69">
        <v>190.92</v>
      </c>
      <c r="F69" t="s">
        <v>381</v>
      </c>
      <c r="G69" t="s">
        <v>325</v>
      </c>
      <c r="H69" t="s">
        <v>346</v>
      </c>
      <c r="I69" t="s">
        <v>8</v>
      </c>
      <c r="J69" t="s">
        <v>13</v>
      </c>
      <c r="K69" t="s">
        <v>10</v>
      </c>
      <c r="L69" t="s">
        <v>313</v>
      </c>
      <c r="M69" t="s">
        <v>314</v>
      </c>
      <c r="N69">
        <v>0</v>
      </c>
      <c r="O69" t="str">
        <f>IF(Transactions_RAW_cleaned[[#This Row],[Status]]="Completed", IFERROR(_xlfn.XLOOKUP(Transactions_RAW_cleaned[[#This Row],[CustomerID]], Customers_cleaned[CustomerID], Customers_cleaned[Segment]), "Customer Not Found"), "N/A")</f>
        <v>N/A</v>
      </c>
      <c r="P69" s="5" t="str">
        <f>IF(Transactions_RAW_cleaned[[#This Row],[Status]]="Refunded", "Refund",
  IF(Transactions_RAW_cleaned[[#This Row],[Category]]="Payments", IF(Transactions_RAW_cleaned[[#This Row],[Amount]]&gt;500,"High Value","Standard"),
    IF(Transactions_RAW_cleaned[[#This Row],[Amount]]&gt;250,"High Value","Standard")))</f>
        <v>Standard</v>
      </c>
      <c r="Q69" s="5" t="str">
        <f>IF(Transactions_RAW_cleaned[[#This Row],[Amount]] &gt; (_xlfn.XLOOKUP(Transactions_RAW_cleaned[[#This Row],[ServiceID]],Services_cleaned[ServiceID],Services_cleaned[TransactionFeePct]) * 10000), "Yes", "No")</f>
        <v>Yes</v>
      </c>
      <c r="R69" s="5" t="str">
        <f>IF(COUNTIFS($C$2:Transactions_RAW_cleaned[[#This Row],[CustomerID]],Transactions_RAW_cleaned[[#This Row],[CustomerID]],$D$2:Transactions_RAW_cleaned[[#This Row],[ServiceID]],Transactions_RAW_cleaned[[#This Row],[ServiceID]])=1,"Yes","No")</f>
        <v>Yes</v>
      </c>
      <c r="S6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9" t="str">
        <f>"Q"&amp;ROUNDUP(MONTH(Transactions_RAW_cleaned[[#This Row],[TransactionDate]])/3,0)</f>
        <v>Q2</v>
      </c>
      <c r="U69" t="str">
        <f>Transactions_RAW_cleaned[[#This Row],[Region ]]&amp;Transactions_RAW_cleaned[[#This Row],[Quarter ]]</f>
        <v>NAQ2</v>
      </c>
      <c r="V69" s="5">
        <f>_xlfn.XLOOKUP(Transactions_RAW_cleaned[[#This Row],[RegionQuarterKey]], Quarterly_Targets_cleaned[RegionQuarterKey], Quarterly_Targets_cleaned[TargetRevenue])</f>
        <v>260000</v>
      </c>
    </row>
    <row r="70" spans="1:22" x14ac:dyDescent="0.25">
      <c r="A70" t="s">
        <v>404</v>
      </c>
      <c r="B70" s="1">
        <v>45568</v>
      </c>
      <c r="C70" t="s">
        <v>78</v>
      </c>
      <c r="D70" t="s">
        <v>297</v>
      </c>
      <c r="E70">
        <v>349.62</v>
      </c>
      <c r="F70" t="s">
        <v>324</v>
      </c>
      <c r="G70" t="s">
        <v>327</v>
      </c>
      <c r="I70" t="s">
        <v>17</v>
      </c>
      <c r="J70" t="s">
        <v>21</v>
      </c>
      <c r="K70" t="s">
        <v>22</v>
      </c>
      <c r="L70" t="s">
        <v>298</v>
      </c>
      <c r="M70" t="s">
        <v>299</v>
      </c>
      <c r="N70">
        <v>0</v>
      </c>
      <c r="O70" t="str">
        <f>IF(Transactions_RAW_cleaned[[#This Row],[Status]]="Completed", IFERROR(_xlfn.XLOOKUP(Transactions_RAW_cleaned[[#This Row],[CustomerID]], Customers_cleaned[CustomerID], Customers_cleaned[Segment]), "Customer Not Found"), "N/A")</f>
        <v>Enterprise</v>
      </c>
      <c r="P70" s="5" t="str">
        <f>IF(Transactions_RAW_cleaned[[#This Row],[Status]]="Refunded", "Refund",
  IF(Transactions_RAW_cleaned[[#This Row],[Category]]="Payments", IF(Transactions_RAW_cleaned[[#This Row],[Amount]]&gt;500,"High Value","Standard"),
    IF(Transactions_RAW_cleaned[[#This Row],[Amount]]&gt;250,"High Value","Standard")))</f>
        <v>High Value</v>
      </c>
      <c r="Q70" s="5" t="str">
        <f>IF(Transactions_RAW_cleaned[[#This Row],[Amount]] &gt; (_xlfn.XLOOKUP(Transactions_RAW_cleaned[[#This Row],[ServiceID]],Services_cleaned[ServiceID],Services_cleaned[TransactionFeePct]) * 10000), "Yes", "No")</f>
        <v>Yes</v>
      </c>
      <c r="R70" s="5" t="str">
        <f>IF(COUNTIFS($C$2:Transactions_RAW_cleaned[[#This Row],[CustomerID]],Transactions_RAW_cleaned[[#This Row],[CustomerID]],$D$2:Transactions_RAW_cleaned[[#This Row],[ServiceID]],Transactions_RAW_cleaned[[#This Row],[ServiceID]])=1,"Yes","No")</f>
        <v>Yes</v>
      </c>
      <c r="S7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0" t="str">
        <f>"Q"&amp;ROUNDUP(MONTH(Transactions_RAW_cleaned[[#This Row],[TransactionDate]])/3,0)</f>
        <v>Q4</v>
      </c>
      <c r="U70" t="str">
        <f>Transactions_RAW_cleaned[[#This Row],[Region ]]&amp;Transactions_RAW_cleaned[[#This Row],[Quarter ]]</f>
        <v>APACQ4</v>
      </c>
      <c r="V70" s="5">
        <f>_xlfn.XLOOKUP(Transactions_RAW_cleaned[[#This Row],[RegionQuarterKey]], Quarterly_Targets_cleaned[RegionQuarterKey], Quarterly_Targets_cleaned[TargetRevenue])</f>
        <v>126500</v>
      </c>
    </row>
    <row r="71" spans="1:22" x14ac:dyDescent="0.25">
      <c r="A71" t="s">
        <v>364</v>
      </c>
      <c r="B71" s="1">
        <v>45359</v>
      </c>
      <c r="C71" t="s">
        <v>211</v>
      </c>
      <c r="D71" t="s">
        <v>315</v>
      </c>
      <c r="E71">
        <v>480.97</v>
      </c>
      <c r="F71" t="s">
        <v>324</v>
      </c>
      <c r="G71" t="s">
        <v>325</v>
      </c>
      <c r="H71" t="s">
        <v>346</v>
      </c>
      <c r="I71" t="s">
        <v>8</v>
      </c>
      <c r="J71" t="s">
        <v>31</v>
      </c>
      <c r="K71" t="s">
        <v>22</v>
      </c>
      <c r="L71" t="s">
        <v>316</v>
      </c>
      <c r="M71" t="s">
        <v>305</v>
      </c>
      <c r="N71">
        <v>2.5000000000000001E-3</v>
      </c>
      <c r="O71" t="str">
        <f>IF(Transactions_RAW_cleaned[[#This Row],[Status]]="Completed", IFERROR(_xlfn.XLOOKUP(Transactions_RAW_cleaned[[#This Row],[CustomerID]], Customers_cleaned[CustomerID], Customers_cleaned[Segment]), "Customer Not Found"), "N/A")</f>
        <v>SMB</v>
      </c>
      <c r="P71" s="5" t="str">
        <f>IF(Transactions_RAW_cleaned[[#This Row],[Status]]="Refunded", "Refund",
  IF(Transactions_RAW_cleaned[[#This Row],[Category]]="Payments", IF(Transactions_RAW_cleaned[[#This Row],[Amount]]&gt;500,"High Value","Standard"),
    IF(Transactions_RAW_cleaned[[#This Row],[Amount]]&gt;250,"High Value","Standard")))</f>
        <v>High Value</v>
      </c>
      <c r="Q71" s="5" t="str">
        <f>IF(Transactions_RAW_cleaned[[#This Row],[Amount]] &gt; (_xlfn.XLOOKUP(Transactions_RAW_cleaned[[#This Row],[ServiceID]],Services_cleaned[ServiceID],Services_cleaned[TransactionFeePct]) * 10000), "Yes", "No")</f>
        <v>Yes</v>
      </c>
      <c r="R71" s="5" t="str">
        <f>IF(COUNTIFS($C$2:Transactions_RAW_cleaned[[#This Row],[CustomerID]],Transactions_RAW_cleaned[[#This Row],[CustomerID]],$D$2:Transactions_RAW_cleaned[[#This Row],[ServiceID]],Transactions_RAW_cleaned[[#This Row],[ServiceID]])=1,"Yes","No")</f>
        <v>Yes</v>
      </c>
      <c r="S7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1" t="str">
        <f>"Q"&amp;ROUNDUP(MONTH(Transactions_RAW_cleaned[[#This Row],[TransactionDate]])/3,0)</f>
        <v>Q1</v>
      </c>
      <c r="U71" t="str">
        <f>Transactions_RAW_cleaned[[#This Row],[Region ]]&amp;Transactions_RAW_cleaned[[#This Row],[Quarter ]]</f>
        <v>EMEAQ1</v>
      </c>
      <c r="V71" s="5">
        <f>_xlfn.XLOOKUP(Transactions_RAW_cleaned[[#This Row],[RegionQuarterKey]], Quarterly_Targets_cleaned[RegionQuarterKey], Quarterly_Targets_cleaned[TargetRevenue])</f>
        <v>133000</v>
      </c>
    </row>
    <row r="72" spans="1:22" x14ac:dyDescent="0.25">
      <c r="A72" t="s">
        <v>400</v>
      </c>
      <c r="B72" s="1">
        <v>45463</v>
      </c>
      <c r="C72" t="s">
        <v>211</v>
      </c>
      <c r="D72" t="s">
        <v>309</v>
      </c>
      <c r="E72">
        <v>274.52999999999997</v>
      </c>
      <c r="F72" t="s">
        <v>324</v>
      </c>
      <c r="G72" t="s">
        <v>327</v>
      </c>
      <c r="I72" t="s">
        <v>8</v>
      </c>
      <c r="J72" t="s">
        <v>31</v>
      </c>
      <c r="K72" t="s">
        <v>22</v>
      </c>
      <c r="L72" t="s">
        <v>310</v>
      </c>
      <c r="M72" t="s">
        <v>311</v>
      </c>
      <c r="N72">
        <v>0</v>
      </c>
      <c r="O72" t="str">
        <f>IF(Transactions_RAW_cleaned[[#This Row],[Status]]="Completed", IFERROR(_xlfn.XLOOKUP(Transactions_RAW_cleaned[[#This Row],[CustomerID]], Customers_cleaned[CustomerID], Customers_cleaned[Segment]), "Customer Not Found"), "N/A")</f>
        <v>SMB</v>
      </c>
      <c r="P72" s="5" t="str">
        <f>IF(Transactions_RAW_cleaned[[#This Row],[Status]]="Refunded", "Refund",
  IF(Transactions_RAW_cleaned[[#This Row],[Category]]="Payments", IF(Transactions_RAW_cleaned[[#This Row],[Amount]]&gt;500,"High Value","Standard"),
    IF(Transactions_RAW_cleaned[[#This Row],[Amount]]&gt;250,"High Value","Standard")))</f>
        <v>High Value</v>
      </c>
      <c r="Q72" s="5" t="str">
        <f>IF(Transactions_RAW_cleaned[[#This Row],[Amount]] &gt; (_xlfn.XLOOKUP(Transactions_RAW_cleaned[[#This Row],[ServiceID]],Services_cleaned[ServiceID],Services_cleaned[TransactionFeePct]) * 10000), "Yes", "No")</f>
        <v>Yes</v>
      </c>
      <c r="R72" s="5" t="str">
        <f>IF(COUNTIFS($C$2:Transactions_RAW_cleaned[[#This Row],[CustomerID]],Transactions_RAW_cleaned[[#This Row],[CustomerID]],$D$2:Transactions_RAW_cleaned[[#This Row],[ServiceID]],Transactions_RAW_cleaned[[#This Row],[ServiceID]])=1,"Yes","No")</f>
        <v>Yes</v>
      </c>
      <c r="S7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2" t="str">
        <f>"Q"&amp;ROUNDUP(MONTH(Transactions_RAW_cleaned[[#This Row],[TransactionDate]])/3,0)</f>
        <v>Q2</v>
      </c>
      <c r="U72" t="str">
        <f>Transactions_RAW_cleaned[[#This Row],[Region ]]&amp;Transactions_RAW_cleaned[[#This Row],[Quarter ]]</f>
        <v>EMEAQ2</v>
      </c>
      <c r="V72" s="5">
        <f>_xlfn.XLOOKUP(Transactions_RAW_cleaned[[#This Row],[RegionQuarterKey]], Quarterly_Targets_cleaned[RegionQuarterKey], Quarterly_Targets_cleaned[TargetRevenue])</f>
        <v>140000</v>
      </c>
    </row>
    <row r="73" spans="1:22" x14ac:dyDescent="0.25">
      <c r="A73" t="s">
        <v>447</v>
      </c>
      <c r="B73" s="1">
        <v>45642</v>
      </c>
      <c r="C73" t="s">
        <v>211</v>
      </c>
      <c r="D73" t="s">
        <v>309</v>
      </c>
      <c r="E73">
        <v>348.06</v>
      </c>
      <c r="F73" t="s">
        <v>324</v>
      </c>
      <c r="G73" t="s">
        <v>337</v>
      </c>
      <c r="I73" t="s">
        <v>8</v>
      </c>
      <c r="J73" t="s">
        <v>31</v>
      </c>
      <c r="K73" t="s">
        <v>22</v>
      </c>
      <c r="L73" t="s">
        <v>310</v>
      </c>
      <c r="M73" t="s">
        <v>311</v>
      </c>
      <c r="N73">
        <v>0</v>
      </c>
      <c r="O73" t="str">
        <f>IF(Transactions_RAW_cleaned[[#This Row],[Status]]="Completed", IFERROR(_xlfn.XLOOKUP(Transactions_RAW_cleaned[[#This Row],[CustomerID]], Customers_cleaned[CustomerID], Customers_cleaned[Segment]), "Customer Not Found"), "N/A")</f>
        <v>SMB</v>
      </c>
      <c r="P73" s="5" t="str">
        <f>IF(Transactions_RAW_cleaned[[#This Row],[Status]]="Refunded", "Refund",
  IF(Transactions_RAW_cleaned[[#This Row],[Category]]="Payments", IF(Transactions_RAW_cleaned[[#This Row],[Amount]]&gt;500,"High Value","Standard"),
    IF(Transactions_RAW_cleaned[[#This Row],[Amount]]&gt;250,"High Value","Standard")))</f>
        <v>High Value</v>
      </c>
      <c r="Q73" s="5" t="str">
        <f>IF(Transactions_RAW_cleaned[[#This Row],[Amount]] &gt; (_xlfn.XLOOKUP(Transactions_RAW_cleaned[[#This Row],[ServiceID]],Services_cleaned[ServiceID],Services_cleaned[TransactionFeePct]) * 10000), "Yes", "No")</f>
        <v>Yes</v>
      </c>
      <c r="R73" s="5" t="str">
        <f>IF(COUNTIFS($C$2:Transactions_RAW_cleaned[[#This Row],[CustomerID]],Transactions_RAW_cleaned[[#This Row],[CustomerID]],$D$2:Transactions_RAW_cleaned[[#This Row],[ServiceID]],Transactions_RAW_cleaned[[#This Row],[ServiceID]])=1,"Yes","No")</f>
        <v>No</v>
      </c>
      <c r="S7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3" t="str">
        <f>"Q"&amp;ROUNDUP(MONTH(Transactions_RAW_cleaned[[#This Row],[TransactionDate]])/3,0)</f>
        <v>Q4</v>
      </c>
      <c r="U73" t="str">
        <f>Transactions_RAW_cleaned[[#This Row],[Region ]]&amp;Transactions_RAW_cleaned[[#This Row],[Quarter ]]</f>
        <v>EMEAQ4</v>
      </c>
      <c r="V73" s="5">
        <f>_xlfn.XLOOKUP(Transactions_RAW_cleaned[[#This Row],[RegionQuarterKey]], Quarterly_Targets_cleaned[RegionQuarterKey], Quarterly_Targets_cleaned[TargetRevenue])</f>
        <v>161000</v>
      </c>
    </row>
    <row r="74" spans="1:22" x14ac:dyDescent="0.25">
      <c r="A74" t="s">
        <v>423</v>
      </c>
      <c r="B74" s="1">
        <v>45472</v>
      </c>
      <c r="C74" t="s">
        <v>84</v>
      </c>
      <c r="D74" t="s">
        <v>312</v>
      </c>
      <c r="E74">
        <v>1125.4100000000001</v>
      </c>
      <c r="F74" t="s">
        <v>324</v>
      </c>
      <c r="G74" t="s">
        <v>337</v>
      </c>
      <c r="H74" t="s">
        <v>346</v>
      </c>
      <c r="I74" t="s">
        <v>8</v>
      </c>
      <c r="J74" t="s">
        <v>46</v>
      </c>
      <c r="K74" t="s">
        <v>28</v>
      </c>
      <c r="L74" t="s">
        <v>313</v>
      </c>
      <c r="M74" t="s">
        <v>314</v>
      </c>
      <c r="N74">
        <v>0</v>
      </c>
      <c r="O74" t="str">
        <f>IF(Transactions_RAW_cleaned[[#This Row],[Status]]="Completed", IFERROR(_xlfn.XLOOKUP(Transactions_RAW_cleaned[[#This Row],[CustomerID]], Customers_cleaned[CustomerID], Customers_cleaned[Segment]), "Customer Not Found"), "N/A")</f>
        <v>SMB</v>
      </c>
      <c r="P74" s="5" t="str">
        <f>IF(Transactions_RAW_cleaned[[#This Row],[Status]]="Refunded", "Refund",
  IF(Transactions_RAW_cleaned[[#This Row],[Category]]="Payments", IF(Transactions_RAW_cleaned[[#This Row],[Amount]]&gt;500,"High Value","Standard"),
    IF(Transactions_RAW_cleaned[[#This Row],[Amount]]&gt;250,"High Value","Standard")))</f>
        <v>High Value</v>
      </c>
      <c r="Q74" s="5" t="str">
        <f>IF(Transactions_RAW_cleaned[[#This Row],[Amount]] &gt; (_xlfn.XLOOKUP(Transactions_RAW_cleaned[[#This Row],[ServiceID]],Services_cleaned[ServiceID],Services_cleaned[TransactionFeePct]) * 10000), "Yes", "No")</f>
        <v>Yes</v>
      </c>
      <c r="R74" s="5" t="str">
        <f>IF(COUNTIFS($C$2:Transactions_RAW_cleaned[[#This Row],[CustomerID]],Transactions_RAW_cleaned[[#This Row],[CustomerID]],$D$2:Transactions_RAW_cleaned[[#This Row],[ServiceID]],Transactions_RAW_cleaned[[#This Row],[ServiceID]])=1,"Yes","No")</f>
        <v>Yes</v>
      </c>
      <c r="S7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4" t="str">
        <f>"Q"&amp;ROUNDUP(MONTH(Transactions_RAW_cleaned[[#This Row],[TransactionDate]])/3,0)</f>
        <v>Q2</v>
      </c>
      <c r="U74" t="str">
        <f>Transactions_RAW_cleaned[[#This Row],[Region ]]&amp;Transactions_RAW_cleaned[[#This Row],[Quarter ]]</f>
        <v>APACQ2</v>
      </c>
      <c r="V74" s="5">
        <f>_xlfn.XLOOKUP(Transactions_RAW_cleaned[[#This Row],[RegionQuarterKey]], Quarterly_Targets_cleaned[RegionQuarterKey], Quarterly_Targets_cleaned[TargetRevenue])</f>
        <v>110000</v>
      </c>
    </row>
    <row r="75" spans="1:22" x14ac:dyDescent="0.25">
      <c r="A75" t="s">
        <v>366</v>
      </c>
      <c r="B75" s="1">
        <v>45411</v>
      </c>
      <c r="C75" t="s">
        <v>243</v>
      </c>
      <c r="D75" t="s">
        <v>306</v>
      </c>
      <c r="E75">
        <v>499.66</v>
      </c>
      <c r="F75" t="s">
        <v>324</v>
      </c>
      <c r="G75" t="s">
        <v>325</v>
      </c>
      <c r="H75" t="s">
        <v>346</v>
      </c>
      <c r="I75" t="s">
        <v>17</v>
      </c>
      <c r="J75" t="s">
        <v>13</v>
      </c>
      <c r="K75" t="s">
        <v>28</v>
      </c>
      <c r="L75" t="s">
        <v>307</v>
      </c>
      <c r="M75" t="s">
        <v>308</v>
      </c>
      <c r="N75">
        <v>0</v>
      </c>
      <c r="O75" t="str">
        <f>IF(Transactions_RAW_cleaned[[#This Row],[Status]]="Completed", IFERROR(_xlfn.XLOOKUP(Transactions_RAW_cleaned[[#This Row],[CustomerID]], Customers_cleaned[CustomerID], Customers_cleaned[Segment]), "Customer Not Found"), "N/A")</f>
        <v>Enterprise</v>
      </c>
      <c r="P75" s="5" t="str">
        <f>IF(Transactions_RAW_cleaned[[#This Row],[Status]]="Refunded", "Refund",
  IF(Transactions_RAW_cleaned[[#This Row],[Category]]="Payments", IF(Transactions_RAW_cleaned[[#This Row],[Amount]]&gt;500,"High Value","Standard"),
    IF(Transactions_RAW_cleaned[[#This Row],[Amount]]&gt;250,"High Value","Standard")))</f>
        <v>High Value</v>
      </c>
      <c r="Q75" s="5" t="str">
        <f>IF(Transactions_RAW_cleaned[[#This Row],[Amount]] &gt; (_xlfn.XLOOKUP(Transactions_RAW_cleaned[[#This Row],[ServiceID]],Services_cleaned[ServiceID],Services_cleaned[TransactionFeePct]) * 10000), "Yes", "No")</f>
        <v>Yes</v>
      </c>
      <c r="R75" s="5" t="str">
        <f>IF(COUNTIFS($C$2:Transactions_RAW_cleaned[[#This Row],[CustomerID]],Transactions_RAW_cleaned[[#This Row],[CustomerID]],$D$2:Transactions_RAW_cleaned[[#This Row],[ServiceID]],Transactions_RAW_cleaned[[#This Row],[ServiceID]])=1,"Yes","No")</f>
        <v>Yes</v>
      </c>
      <c r="S7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5" t="str">
        <f>"Q"&amp;ROUNDUP(MONTH(Transactions_RAW_cleaned[[#This Row],[TransactionDate]])/3,0)</f>
        <v>Q2</v>
      </c>
      <c r="U75" t="str">
        <f>Transactions_RAW_cleaned[[#This Row],[Region ]]&amp;Transactions_RAW_cleaned[[#This Row],[Quarter ]]</f>
        <v>NAQ2</v>
      </c>
      <c r="V75" s="5">
        <f>_xlfn.XLOOKUP(Transactions_RAW_cleaned[[#This Row],[RegionQuarterKey]], Quarterly_Targets_cleaned[RegionQuarterKey], Quarterly_Targets_cleaned[TargetRevenue])</f>
        <v>260000</v>
      </c>
    </row>
    <row r="76" spans="1:22" x14ac:dyDescent="0.25">
      <c r="A76" t="s">
        <v>367</v>
      </c>
      <c r="B76" s="1">
        <v>45318</v>
      </c>
      <c r="C76" t="s">
        <v>111</v>
      </c>
      <c r="D76" t="s">
        <v>309</v>
      </c>
      <c r="E76">
        <v>650.28</v>
      </c>
      <c r="F76" t="s">
        <v>324</v>
      </c>
      <c r="G76" t="s">
        <v>337</v>
      </c>
      <c r="H76" t="s">
        <v>346</v>
      </c>
      <c r="I76" t="s">
        <v>8</v>
      </c>
      <c r="J76" t="s">
        <v>21</v>
      </c>
      <c r="K76" t="s">
        <v>28</v>
      </c>
      <c r="L76" t="s">
        <v>310</v>
      </c>
      <c r="M76" t="s">
        <v>311</v>
      </c>
      <c r="N76">
        <v>0</v>
      </c>
      <c r="O76" t="str">
        <f>IF(Transactions_RAW_cleaned[[#This Row],[Status]]="Completed", IFERROR(_xlfn.XLOOKUP(Transactions_RAW_cleaned[[#This Row],[CustomerID]], Customers_cleaned[CustomerID], Customers_cleaned[Segment]), "Customer Not Found"), "N/A")</f>
        <v>SMB</v>
      </c>
      <c r="P76" s="5" t="str">
        <f>IF(Transactions_RAW_cleaned[[#This Row],[Status]]="Refunded", "Refund",
  IF(Transactions_RAW_cleaned[[#This Row],[Category]]="Payments", IF(Transactions_RAW_cleaned[[#This Row],[Amount]]&gt;500,"High Value","Standard"),
    IF(Transactions_RAW_cleaned[[#This Row],[Amount]]&gt;250,"High Value","Standard")))</f>
        <v>High Value</v>
      </c>
      <c r="Q76" s="5" t="str">
        <f>IF(Transactions_RAW_cleaned[[#This Row],[Amount]] &gt; (_xlfn.XLOOKUP(Transactions_RAW_cleaned[[#This Row],[ServiceID]],Services_cleaned[ServiceID],Services_cleaned[TransactionFeePct]) * 10000), "Yes", "No")</f>
        <v>Yes</v>
      </c>
      <c r="R76" s="5" t="str">
        <f>IF(COUNTIFS($C$2:Transactions_RAW_cleaned[[#This Row],[CustomerID]],Transactions_RAW_cleaned[[#This Row],[CustomerID]],$D$2:Transactions_RAW_cleaned[[#This Row],[ServiceID]],Transactions_RAW_cleaned[[#This Row],[ServiceID]])=1,"Yes","No")</f>
        <v>Yes</v>
      </c>
      <c r="S7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6" t="str">
        <f>"Q"&amp;ROUNDUP(MONTH(Transactions_RAW_cleaned[[#This Row],[TransactionDate]])/3,0)</f>
        <v>Q1</v>
      </c>
      <c r="U76" t="str">
        <f>Transactions_RAW_cleaned[[#This Row],[Region ]]&amp;Transactions_RAW_cleaned[[#This Row],[Quarter ]]</f>
        <v>APACQ1</v>
      </c>
      <c r="V76" s="5">
        <f>_xlfn.XLOOKUP(Transactions_RAW_cleaned[[#This Row],[RegionQuarterKey]], Quarterly_Targets_cleaned[RegionQuarterKey], Quarterly_Targets_cleaned[TargetRevenue])</f>
        <v>104500</v>
      </c>
    </row>
    <row r="77" spans="1:22" x14ac:dyDescent="0.25">
      <c r="A77" t="s">
        <v>405</v>
      </c>
      <c r="B77" s="1">
        <v>45314</v>
      </c>
      <c r="C77" t="s">
        <v>90</v>
      </c>
      <c r="D77" t="s">
        <v>294</v>
      </c>
      <c r="E77">
        <v>445.37</v>
      </c>
      <c r="F77" t="s">
        <v>324</v>
      </c>
      <c r="G77" t="s">
        <v>2963</v>
      </c>
      <c r="I77" t="s">
        <v>8</v>
      </c>
      <c r="J77" t="s">
        <v>102</v>
      </c>
      <c r="K77" t="s">
        <v>28</v>
      </c>
      <c r="L77" t="s">
        <v>295</v>
      </c>
      <c r="M77" t="s">
        <v>296</v>
      </c>
      <c r="N77">
        <v>2.9000000000000001E-2</v>
      </c>
      <c r="O77" t="str">
        <f>IF(Transactions_RAW_cleaned[[#This Row],[Status]]="Completed", IFERROR(_xlfn.XLOOKUP(Transactions_RAW_cleaned[[#This Row],[CustomerID]], Customers_cleaned[CustomerID], Customers_cleaned[Segment]), "Customer Not Found"), "N/A")</f>
        <v>SMB</v>
      </c>
      <c r="P77" s="5" t="str">
        <f>IF(Transactions_RAW_cleaned[[#This Row],[Status]]="Refunded", "Refund",
  IF(Transactions_RAW_cleaned[[#This Row],[Category]]="Payments", IF(Transactions_RAW_cleaned[[#This Row],[Amount]]&gt;500,"High Value","Standard"),
    IF(Transactions_RAW_cleaned[[#This Row],[Amount]]&gt;250,"High Value","Standard")))</f>
        <v>Standard</v>
      </c>
      <c r="Q77" s="5" t="str">
        <f>IF(Transactions_RAW_cleaned[[#This Row],[Amount]] &gt; (_xlfn.XLOOKUP(Transactions_RAW_cleaned[[#This Row],[ServiceID]],Services_cleaned[ServiceID],Services_cleaned[TransactionFeePct]) * 10000), "Yes", "No")</f>
        <v>Yes</v>
      </c>
      <c r="R77" s="5" t="str">
        <f>IF(COUNTIFS($C$2:Transactions_RAW_cleaned[[#This Row],[CustomerID]],Transactions_RAW_cleaned[[#This Row],[CustomerID]],$D$2:Transactions_RAW_cleaned[[#This Row],[ServiceID]],Transactions_RAW_cleaned[[#This Row],[ServiceID]])=1,"Yes","No")</f>
        <v>Yes</v>
      </c>
      <c r="S7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7" t="str">
        <f>"Q"&amp;ROUNDUP(MONTH(Transactions_RAW_cleaned[[#This Row],[TransactionDate]])/3,0)</f>
        <v>Q1</v>
      </c>
      <c r="U77" t="str">
        <f>Transactions_RAW_cleaned[[#This Row],[Region ]]&amp;Transactions_RAW_cleaned[[#This Row],[Quarter ]]</f>
        <v>NAQ1</v>
      </c>
      <c r="V77" s="5">
        <f>_xlfn.XLOOKUP(Transactions_RAW_cleaned[[#This Row],[RegionQuarterKey]], Quarterly_Targets_cleaned[RegionQuarterKey], Quarterly_Targets_cleaned[TargetRevenue])</f>
        <v>247000</v>
      </c>
    </row>
    <row r="78" spans="1:22" x14ac:dyDescent="0.25">
      <c r="A78" t="s">
        <v>368</v>
      </c>
      <c r="B78" s="1">
        <v>45633</v>
      </c>
      <c r="C78" t="s">
        <v>181</v>
      </c>
      <c r="D78" t="s">
        <v>315</v>
      </c>
      <c r="E78">
        <v>176.71</v>
      </c>
      <c r="F78" t="s">
        <v>324</v>
      </c>
      <c r="G78" t="s">
        <v>327</v>
      </c>
      <c r="H78" t="s">
        <v>332</v>
      </c>
      <c r="I78" t="s">
        <v>17</v>
      </c>
      <c r="J78" t="s">
        <v>21</v>
      </c>
      <c r="K78" t="s">
        <v>10</v>
      </c>
      <c r="L78" t="s">
        <v>316</v>
      </c>
      <c r="M78" t="s">
        <v>305</v>
      </c>
      <c r="N78">
        <v>2.5000000000000001E-3</v>
      </c>
      <c r="O78" t="str">
        <f>IF(Transactions_RAW_cleaned[[#This Row],[Status]]="Completed", IFERROR(_xlfn.XLOOKUP(Transactions_RAW_cleaned[[#This Row],[CustomerID]], Customers_cleaned[CustomerID], Customers_cleaned[Segment]), "Customer Not Found"), "N/A")</f>
        <v>Enterprise</v>
      </c>
      <c r="P78" s="5" t="str">
        <f>IF(Transactions_RAW_cleaned[[#This Row],[Status]]="Refunded", "Refund",
  IF(Transactions_RAW_cleaned[[#This Row],[Category]]="Payments", IF(Transactions_RAW_cleaned[[#This Row],[Amount]]&gt;500,"High Value","Standard"),
    IF(Transactions_RAW_cleaned[[#This Row],[Amount]]&gt;250,"High Value","Standard")))</f>
        <v>Standard</v>
      </c>
      <c r="Q78" s="5" t="str">
        <f>IF(Transactions_RAW_cleaned[[#This Row],[Amount]] &gt; (_xlfn.XLOOKUP(Transactions_RAW_cleaned[[#This Row],[ServiceID]],Services_cleaned[ServiceID],Services_cleaned[TransactionFeePct]) * 10000), "Yes", "No")</f>
        <v>Yes</v>
      </c>
      <c r="R78" s="5" t="str">
        <f>IF(COUNTIFS($C$2:Transactions_RAW_cleaned[[#This Row],[CustomerID]],Transactions_RAW_cleaned[[#This Row],[CustomerID]],$D$2:Transactions_RAW_cleaned[[#This Row],[ServiceID]],Transactions_RAW_cleaned[[#This Row],[ServiceID]])=1,"Yes","No")</f>
        <v>Yes</v>
      </c>
      <c r="S7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8" t="str">
        <f>"Q"&amp;ROUNDUP(MONTH(Transactions_RAW_cleaned[[#This Row],[TransactionDate]])/3,0)</f>
        <v>Q4</v>
      </c>
      <c r="U78" t="str">
        <f>Transactions_RAW_cleaned[[#This Row],[Region ]]&amp;Transactions_RAW_cleaned[[#This Row],[Quarter ]]</f>
        <v>APACQ4</v>
      </c>
      <c r="V78" s="5">
        <f>_xlfn.XLOOKUP(Transactions_RAW_cleaned[[#This Row],[RegionQuarterKey]], Quarterly_Targets_cleaned[RegionQuarterKey], Quarterly_Targets_cleaned[TargetRevenue])</f>
        <v>126500</v>
      </c>
    </row>
    <row r="79" spans="1:22" x14ac:dyDescent="0.25">
      <c r="A79" t="s">
        <v>393</v>
      </c>
      <c r="B79" s="1">
        <v>45639</v>
      </c>
      <c r="C79" t="s">
        <v>181</v>
      </c>
      <c r="D79" t="s">
        <v>309</v>
      </c>
      <c r="E79">
        <v>112.26</v>
      </c>
      <c r="F79" t="s">
        <v>324</v>
      </c>
      <c r="G79" t="s">
        <v>2963</v>
      </c>
      <c r="H79" t="s">
        <v>346</v>
      </c>
      <c r="I79" t="s">
        <v>17</v>
      </c>
      <c r="J79" t="s">
        <v>21</v>
      </c>
      <c r="K79" t="s">
        <v>10</v>
      </c>
      <c r="L79" t="s">
        <v>310</v>
      </c>
      <c r="M79" t="s">
        <v>311</v>
      </c>
      <c r="N79">
        <v>0</v>
      </c>
      <c r="O79" t="str">
        <f>IF(Transactions_RAW_cleaned[[#This Row],[Status]]="Completed", IFERROR(_xlfn.XLOOKUP(Transactions_RAW_cleaned[[#This Row],[CustomerID]], Customers_cleaned[CustomerID], Customers_cleaned[Segment]), "Customer Not Found"), "N/A")</f>
        <v>Enterprise</v>
      </c>
      <c r="P79" s="5" t="str">
        <f>IF(Transactions_RAW_cleaned[[#This Row],[Status]]="Refunded", "Refund",
  IF(Transactions_RAW_cleaned[[#This Row],[Category]]="Payments", IF(Transactions_RAW_cleaned[[#This Row],[Amount]]&gt;500,"High Value","Standard"),
    IF(Transactions_RAW_cleaned[[#This Row],[Amount]]&gt;250,"High Value","Standard")))</f>
        <v>Standard</v>
      </c>
      <c r="Q79" s="5" t="str">
        <f>IF(Transactions_RAW_cleaned[[#This Row],[Amount]] &gt; (_xlfn.XLOOKUP(Transactions_RAW_cleaned[[#This Row],[ServiceID]],Services_cleaned[ServiceID],Services_cleaned[TransactionFeePct]) * 10000), "Yes", "No")</f>
        <v>Yes</v>
      </c>
      <c r="R79" s="5" t="str">
        <f>IF(COUNTIFS($C$2:Transactions_RAW_cleaned[[#This Row],[CustomerID]],Transactions_RAW_cleaned[[#This Row],[CustomerID]],$D$2:Transactions_RAW_cleaned[[#This Row],[ServiceID]],Transactions_RAW_cleaned[[#This Row],[ServiceID]])=1,"Yes","No")</f>
        <v>Yes</v>
      </c>
      <c r="S7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9" t="str">
        <f>"Q"&amp;ROUNDUP(MONTH(Transactions_RAW_cleaned[[#This Row],[TransactionDate]])/3,0)</f>
        <v>Q4</v>
      </c>
      <c r="U79" t="str">
        <f>Transactions_RAW_cleaned[[#This Row],[Region ]]&amp;Transactions_RAW_cleaned[[#This Row],[Quarter ]]</f>
        <v>APACQ4</v>
      </c>
      <c r="V79" s="5">
        <f>_xlfn.XLOOKUP(Transactions_RAW_cleaned[[#This Row],[RegionQuarterKey]], Quarterly_Targets_cleaned[RegionQuarterKey], Quarterly_Targets_cleaned[TargetRevenue])</f>
        <v>126500</v>
      </c>
    </row>
    <row r="80" spans="1:22" x14ac:dyDescent="0.25">
      <c r="A80" t="s">
        <v>369</v>
      </c>
      <c r="B80" s="1">
        <v>45405</v>
      </c>
      <c r="C80" t="s">
        <v>171</v>
      </c>
      <c r="D80" t="s">
        <v>297</v>
      </c>
      <c r="E80">
        <v>241.25</v>
      </c>
      <c r="F80" t="s">
        <v>324</v>
      </c>
      <c r="G80" t="s">
        <v>325</v>
      </c>
      <c r="H80" t="s">
        <v>334</v>
      </c>
      <c r="I80" t="s">
        <v>17</v>
      </c>
      <c r="J80" t="s">
        <v>31</v>
      </c>
      <c r="K80" t="s">
        <v>32</v>
      </c>
      <c r="L80" t="s">
        <v>298</v>
      </c>
      <c r="M80" t="s">
        <v>299</v>
      </c>
      <c r="N80">
        <v>0</v>
      </c>
      <c r="O80" t="str">
        <f>IF(Transactions_RAW_cleaned[[#This Row],[Status]]="Completed", IFERROR(_xlfn.XLOOKUP(Transactions_RAW_cleaned[[#This Row],[CustomerID]], Customers_cleaned[CustomerID], Customers_cleaned[Segment]), "Customer Not Found"), "N/A")</f>
        <v>Enterprise</v>
      </c>
      <c r="P80" s="5" t="str">
        <f>IF(Transactions_RAW_cleaned[[#This Row],[Status]]="Refunded", "Refund",
  IF(Transactions_RAW_cleaned[[#This Row],[Category]]="Payments", IF(Transactions_RAW_cleaned[[#This Row],[Amount]]&gt;500,"High Value","Standard"),
    IF(Transactions_RAW_cleaned[[#This Row],[Amount]]&gt;250,"High Value","Standard")))</f>
        <v>Standard</v>
      </c>
      <c r="Q80" s="5" t="str">
        <f>IF(Transactions_RAW_cleaned[[#This Row],[Amount]] &gt; (_xlfn.XLOOKUP(Transactions_RAW_cleaned[[#This Row],[ServiceID]],Services_cleaned[ServiceID],Services_cleaned[TransactionFeePct]) * 10000), "Yes", "No")</f>
        <v>Yes</v>
      </c>
      <c r="R80" s="5" t="str">
        <f>IF(COUNTIFS($C$2:Transactions_RAW_cleaned[[#This Row],[CustomerID]],Transactions_RAW_cleaned[[#This Row],[CustomerID]],$D$2:Transactions_RAW_cleaned[[#This Row],[ServiceID]],Transactions_RAW_cleaned[[#This Row],[ServiceID]])=1,"Yes","No")</f>
        <v>Yes</v>
      </c>
      <c r="S8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0" t="str">
        <f>"Q"&amp;ROUNDUP(MONTH(Transactions_RAW_cleaned[[#This Row],[TransactionDate]])/3,0)</f>
        <v>Q2</v>
      </c>
      <c r="U80" t="str">
        <f>Transactions_RAW_cleaned[[#This Row],[Region ]]&amp;Transactions_RAW_cleaned[[#This Row],[Quarter ]]</f>
        <v>EMEAQ2</v>
      </c>
      <c r="V80" s="5">
        <f>_xlfn.XLOOKUP(Transactions_RAW_cleaned[[#This Row],[RegionQuarterKey]], Quarterly_Targets_cleaned[RegionQuarterKey], Quarterly_Targets_cleaned[TargetRevenue])</f>
        <v>140000</v>
      </c>
    </row>
    <row r="81" spans="1:22" x14ac:dyDescent="0.25">
      <c r="A81" t="s">
        <v>407</v>
      </c>
      <c r="B81" s="1">
        <v>45594</v>
      </c>
      <c r="C81" t="s">
        <v>94</v>
      </c>
      <c r="D81" t="s">
        <v>300</v>
      </c>
      <c r="E81">
        <v>376.28</v>
      </c>
      <c r="F81" t="s">
        <v>381</v>
      </c>
      <c r="G81" t="s">
        <v>327</v>
      </c>
      <c r="I81" t="s">
        <v>8</v>
      </c>
      <c r="J81" t="s">
        <v>21</v>
      </c>
      <c r="K81" t="s">
        <v>14</v>
      </c>
      <c r="L81" t="s">
        <v>301</v>
      </c>
      <c r="M81" t="s">
        <v>302</v>
      </c>
      <c r="N81">
        <v>5.0000000000000001E-3</v>
      </c>
      <c r="O81" t="str">
        <f>IF(Transactions_RAW_cleaned[[#This Row],[Status]]="Completed", IFERROR(_xlfn.XLOOKUP(Transactions_RAW_cleaned[[#This Row],[CustomerID]], Customers_cleaned[CustomerID], Customers_cleaned[Segment]), "Customer Not Found"), "N/A")</f>
        <v>N/A</v>
      </c>
      <c r="P81" s="5" t="str">
        <f>IF(Transactions_RAW_cleaned[[#This Row],[Status]]="Refunded", "Refund",
  IF(Transactions_RAW_cleaned[[#This Row],[Category]]="Payments", IF(Transactions_RAW_cleaned[[#This Row],[Amount]]&gt;500,"High Value","Standard"),
    IF(Transactions_RAW_cleaned[[#This Row],[Amount]]&gt;250,"High Value","Standard")))</f>
        <v>High Value</v>
      </c>
      <c r="Q81" s="5" t="str">
        <f>IF(Transactions_RAW_cleaned[[#This Row],[Amount]] &gt; (_xlfn.XLOOKUP(Transactions_RAW_cleaned[[#This Row],[ServiceID]],Services_cleaned[ServiceID],Services_cleaned[TransactionFeePct]) * 10000), "Yes", "No")</f>
        <v>Yes</v>
      </c>
      <c r="R81" s="5" t="str">
        <f>IF(COUNTIFS($C$2:Transactions_RAW_cleaned[[#This Row],[CustomerID]],Transactions_RAW_cleaned[[#This Row],[CustomerID]],$D$2:Transactions_RAW_cleaned[[#This Row],[ServiceID]],Transactions_RAW_cleaned[[#This Row],[ServiceID]])=1,"Yes","No")</f>
        <v>Yes</v>
      </c>
      <c r="S8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1" t="str">
        <f>"Q"&amp;ROUNDUP(MONTH(Transactions_RAW_cleaned[[#This Row],[TransactionDate]])/3,0)</f>
        <v>Q4</v>
      </c>
      <c r="U81" t="str">
        <f>Transactions_RAW_cleaned[[#This Row],[Region ]]&amp;Transactions_RAW_cleaned[[#This Row],[Quarter ]]</f>
        <v>APACQ4</v>
      </c>
      <c r="V81" s="5">
        <f>_xlfn.XLOOKUP(Transactions_RAW_cleaned[[#This Row],[RegionQuarterKey]], Quarterly_Targets_cleaned[RegionQuarterKey], Quarterly_Targets_cleaned[TargetRevenue])</f>
        <v>126500</v>
      </c>
    </row>
    <row r="82" spans="1:22" x14ac:dyDescent="0.25">
      <c r="A82" t="s">
        <v>370</v>
      </c>
      <c r="B82" s="1">
        <v>45648</v>
      </c>
      <c r="C82" t="s">
        <v>199</v>
      </c>
      <c r="D82" t="s">
        <v>294</v>
      </c>
      <c r="E82">
        <v>803.84</v>
      </c>
      <c r="F82" t="s">
        <v>324</v>
      </c>
      <c r="G82" t="s">
        <v>325</v>
      </c>
      <c r="I82" t="s">
        <v>8</v>
      </c>
      <c r="J82" t="s">
        <v>13</v>
      </c>
      <c r="K82" t="s">
        <v>32</v>
      </c>
      <c r="L82" t="s">
        <v>295</v>
      </c>
      <c r="M82" t="s">
        <v>296</v>
      </c>
      <c r="N82">
        <v>2.9000000000000001E-2</v>
      </c>
      <c r="O82" t="str">
        <f>IF(Transactions_RAW_cleaned[[#This Row],[Status]]="Completed", IFERROR(_xlfn.XLOOKUP(Transactions_RAW_cleaned[[#This Row],[CustomerID]], Customers_cleaned[CustomerID], Customers_cleaned[Segment]), "Customer Not Found"), "N/A")</f>
        <v>SMB</v>
      </c>
      <c r="P82" s="5" t="str">
        <f>IF(Transactions_RAW_cleaned[[#This Row],[Status]]="Refunded", "Refund",
  IF(Transactions_RAW_cleaned[[#This Row],[Category]]="Payments", IF(Transactions_RAW_cleaned[[#This Row],[Amount]]&gt;500,"High Value","Standard"),
    IF(Transactions_RAW_cleaned[[#This Row],[Amount]]&gt;250,"High Value","Standard")))</f>
        <v>High Value</v>
      </c>
      <c r="Q82" s="5" t="str">
        <f>IF(Transactions_RAW_cleaned[[#This Row],[Amount]] &gt; (_xlfn.XLOOKUP(Transactions_RAW_cleaned[[#This Row],[ServiceID]],Services_cleaned[ServiceID],Services_cleaned[TransactionFeePct]) * 10000), "Yes", "No")</f>
        <v>Yes</v>
      </c>
      <c r="R82" s="5" t="str">
        <f>IF(COUNTIFS($C$2:Transactions_RAW_cleaned[[#This Row],[CustomerID]],Transactions_RAW_cleaned[[#This Row],[CustomerID]],$D$2:Transactions_RAW_cleaned[[#This Row],[ServiceID]],Transactions_RAW_cleaned[[#This Row],[ServiceID]])=1,"Yes","No")</f>
        <v>Yes</v>
      </c>
      <c r="S8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2" t="str">
        <f>"Q"&amp;ROUNDUP(MONTH(Transactions_RAW_cleaned[[#This Row],[TransactionDate]])/3,0)</f>
        <v>Q4</v>
      </c>
      <c r="U82" t="str">
        <f>Transactions_RAW_cleaned[[#This Row],[Region ]]&amp;Transactions_RAW_cleaned[[#This Row],[Quarter ]]</f>
        <v>NAQ4</v>
      </c>
      <c r="V82" s="5">
        <f>_xlfn.XLOOKUP(Transactions_RAW_cleaned[[#This Row],[RegionQuarterKey]], Quarterly_Targets_cleaned[RegionQuarterKey], Quarterly_Targets_cleaned[TargetRevenue])</f>
        <v>299000</v>
      </c>
    </row>
    <row r="83" spans="1:22" x14ac:dyDescent="0.25">
      <c r="A83" t="s">
        <v>420</v>
      </c>
      <c r="B83" s="1">
        <v>45407</v>
      </c>
      <c r="C83" t="s">
        <v>199</v>
      </c>
      <c r="D83" t="s">
        <v>297</v>
      </c>
      <c r="E83">
        <v>17.760000000000002</v>
      </c>
      <c r="F83" t="s">
        <v>331</v>
      </c>
      <c r="G83" t="s">
        <v>325</v>
      </c>
      <c r="H83" t="s">
        <v>346</v>
      </c>
      <c r="I83" t="s">
        <v>8</v>
      </c>
      <c r="J83" t="s">
        <v>13</v>
      </c>
      <c r="K83" t="s">
        <v>32</v>
      </c>
      <c r="L83" t="s">
        <v>298</v>
      </c>
      <c r="M83" t="s">
        <v>299</v>
      </c>
      <c r="N83">
        <v>0</v>
      </c>
      <c r="O83" t="str">
        <f>IF(Transactions_RAW_cleaned[[#This Row],[Status]]="Completed", IFERROR(_xlfn.XLOOKUP(Transactions_RAW_cleaned[[#This Row],[CustomerID]], Customers_cleaned[CustomerID], Customers_cleaned[Segment]), "Customer Not Found"), "N/A")</f>
        <v>N/A</v>
      </c>
      <c r="P83" s="5" t="str">
        <f>IF(Transactions_RAW_cleaned[[#This Row],[Status]]="Refunded", "Refund",
  IF(Transactions_RAW_cleaned[[#This Row],[Category]]="Payments", IF(Transactions_RAW_cleaned[[#This Row],[Amount]]&gt;500,"High Value","Standard"),
    IF(Transactions_RAW_cleaned[[#This Row],[Amount]]&gt;250,"High Value","Standard")))</f>
        <v>Standard</v>
      </c>
      <c r="Q83" s="5" t="str">
        <f>IF(Transactions_RAW_cleaned[[#This Row],[Amount]] &gt; (_xlfn.XLOOKUP(Transactions_RAW_cleaned[[#This Row],[ServiceID]],Services_cleaned[ServiceID],Services_cleaned[TransactionFeePct]) * 10000), "Yes", "No")</f>
        <v>Yes</v>
      </c>
      <c r="R83" s="5" t="str">
        <f>IF(COUNTIFS($C$2:Transactions_RAW_cleaned[[#This Row],[CustomerID]],Transactions_RAW_cleaned[[#This Row],[CustomerID]],$D$2:Transactions_RAW_cleaned[[#This Row],[ServiceID]],Transactions_RAW_cleaned[[#This Row],[ServiceID]])=1,"Yes","No")</f>
        <v>Yes</v>
      </c>
      <c r="S8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3" t="str">
        <f>"Q"&amp;ROUNDUP(MONTH(Transactions_RAW_cleaned[[#This Row],[TransactionDate]])/3,0)</f>
        <v>Q2</v>
      </c>
      <c r="U83" t="str">
        <f>Transactions_RAW_cleaned[[#This Row],[Region ]]&amp;Transactions_RAW_cleaned[[#This Row],[Quarter ]]</f>
        <v>NAQ2</v>
      </c>
      <c r="V83" s="5">
        <f>_xlfn.XLOOKUP(Transactions_RAW_cleaned[[#This Row],[RegionQuarterKey]], Quarterly_Targets_cleaned[RegionQuarterKey], Quarterly_Targets_cleaned[TargetRevenue])</f>
        <v>260000</v>
      </c>
    </row>
    <row r="84" spans="1:22" x14ac:dyDescent="0.25">
      <c r="A84" t="s">
        <v>464</v>
      </c>
      <c r="B84" s="1">
        <v>45411</v>
      </c>
      <c r="C84" t="s">
        <v>98</v>
      </c>
      <c r="D84" t="s">
        <v>303</v>
      </c>
      <c r="E84">
        <v>651.33000000000004</v>
      </c>
      <c r="F84" t="s">
        <v>324</v>
      </c>
      <c r="G84" t="s">
        <v>327</v>
      </c>
      <c r="H84" t="s">
        <v>332</v>
      </c>
      <c r="I84" t="s">
        <v>8</v>
      </c>
      <c r="J84" t="s">
        <v>37</v>
      </c>
      <c r="K84" t="s">
        <v>18</v>
      </c>
      <c r="L84" t="s">
        <v>304</v>
      </c>
      <c r="M84" t="s">
        <v>305</v>
      </c>
      <c r="N84">
        <v>1E-3</v>
      </c>
      <c r="O84" t="str">
        <f>IF(Transactions_RAW_cleaned[[#This Row],[Status]]="Completed", IFERROR(_xlfn.XLOOKUP(Transactions_RAW_cleaned[[#This Row],[CustomerID]], Customers_cleaned[CustomerID], Customers_cleaned[Segment]), "Customer Not Found"), "N/A")</f>
        <v>SMB</v>
      </c>
      <c r="P84" s="5" t="str">
        <f>IF(Transactions_RAW_cleaned[[#This Row],[Status]]="Refunded", "Refund",
  IF(Transactions_RAW_cleaned[[#This Row],[Category]]="Payments", IF(Transactions_RAW_cleaned[[#This Row],[Amount]]&gt;500,"High Value","Standard"),
    IF(Transactions_RAW_cleaned[[#This Row],[Amount]]&gt;250,"High Value","Standard")))</f>
        <v>High Value</v>
      </c>
      <c r="Q84" s="5" t="str">
        <f>IF(Transactions_RAW_cleaned[[#This Row],[Amount]] &gt; (_xlfn.XLOOKUP(Transactions_RAW_cleaned[[#This Row],[ServiceID]],Services_cleaned[ServiceID],Services_cleaned[TransactionFeePct]) * 10000), "Yes", "No")</f>
        <v>Yes</v>
      </c>
      <c r="R84" s="5" t="str">
        <f>IF(COUNTIFS($C$2:Transactions_RAW_cleaned[[#This Row],[CustomerID]],Transactions_RAW_cleaned[[#This Row],[CustomerID]],$D$2:Transactions_RAW_cleaned[[#This Row],[ServiceID]],Transactions_RAW_cleaned[[#This Row],[ServiceID]])=1,"Yes","No")</f>
        <v>Yes</v>
      </c>
      <c r="S8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4" t="str">
        <f>"Q"&amp;ROUNDUP(MONTH(Transactions_RAW_cleaned[[#This Row],[TransactionDate]])/3,0)</f>
        <v>Q2</v>
      </c>
      <c r="U84" t="str">
        <f>Transactions_RAW_cleaned[[#This Row],[Region ]]&amp;Transactions_RAW_cleaned[[#This Row],[Quarter ]]</f>
        <v>EMEAQ2</v>
      </c>
      <c r="V84" s="5">
        <f>_xlfn.XLOOKUP(Transactions_RAW_cleaned[[#This Row],[RegionQuarterKey]], Quarterly_Targets_cleaned[RegionQuarterKey], Quarterly_Targets_cleaned[TargetRevenue])</f>
        <v>140000</v>
      </c>
    </row>
    <row r="85" spans="1:22" x14ac:dyDescent="0.25">
      <c r="A85" t="s">
        <v>449</v>
      </c>
      <c r="B85" s="1">
        <v>45352</v>
      </c>
      <c r="C85" t="s">
        <v>100</v>
      </c>
      <c r="D85" t="s">
        <v>297</v>
      </c>
      <c r="E85">
        <v>160.82</v>
      </c>
      <c r="F85" t="s">
        <v>324</v>
      </c>
      <c r="G85" t="s">
        <v>327</v>
      </c>
      <c r="I85" t="s">
        <v>8</v>
      </c>
      <c r="J85" t="s">
        <v>102</v>
      </c>
      <c r="K85" t="s">
        <v>22</v>
      </c>
      <c r="L85" t="s">
        <v>298</v>
      </c>
      <c r="M85" t="s">
        <v>299</v>
      </c>
      <c r="N85">
        <v>0</v>
      </c>
      <c r="O85" t="str">
        <f>IF(Transactions_RAW_cleaned[[#This Row],[Status]]="Completed", IFERROR(_xlfn.XLOOKUP(Transactions_RAW_cleaned[[#This Row],[CustomerID]], Customers_cleaned[CustomerID], Customers_cleaned[Segment]), "Customer Not Found"), "N/A")</f>
        <v>SMB</v>
      </c>
      <c r="P85" s="5" t="str">
        <f>IF(Transactions_RAW_cleaned[[#This Row],[Status]]="Refunded", "Refund",
  IF(Transactions_RAW_cleaned[[#This Row],[Category]]="Payments", IF(Transactions_RAW_cleaned[[#This Row],[Amount]]&gt;500,"High Value","Standard"),
    IF(Transactions_RAW_cleaned[[#This Row],[Amount]]&gt;250,"High Value","Standard")))</f>
        <v>Standard</v>
      </c>
      <c r="Q85" s="5" t="str">
        <f>IF(Transactions_RAW_cleaned[[#This Row],[Amount]] &gt; (_xlfn.XLOOKUP(Transactions_RAW_cleaned[[#This Row],[ServiceID]],Services_cleaned[ServiceID],Services_cleaned[TransactionFeePct]) * 10000), "Yes", "No")</f>
        <v>Yes</v>
      </c>
      <c r="R85" s="5" t="str">
        <f>IF(COUNTIFS($C$2:Transactions_RAW_cleaned[[#This Row],[CustomerID]],Transactions_RAW_cleaned[[#This Row],[CustomerID]],$D$2:Transactions_RAW_cleaned[[#This Row],[ServiceID]],Transactions_RAW_cleaned[[#This Row],[ServiceID]])=1,"Yes","No")</f>
        <v>Yes</v>
      </c>
      <c r="S8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5" t="str">
        <f>"Q"&amp;ROUNDUP(MONTH(Transactions_RAW_cleaned[[#This Row],[TransactionDate]])/3,0)</f>
        <v>Q1</v>
      </c>
      <c r="U85" t="str">
        <f>Transactions_RAW_cleaned[[#This Row],[Region ]]&amp;Transactions_RAW_cleaned[[#This Row],[Quarter ]]</f>
        <v>NAQ1</v>
      </c>
      <c r="V85" s="5">
        <f>_xlfn.XLOOKUP(Transactions_RAW_cleaned[[#This Row],[RegionQuarterKey]], Quarterly_Targets_cleaned[RegionQuarterKey], Quarterly_Targets_cleaned[TargetRevenue])</f>
        <v>247000</v>
      </c>
    </row>
    <row r="86" spans="1:22" x14ac:dyDescent="0.25">
      <c r="A86" t="s">
        <v>436</v>
      </c>
      <c r="B86" s="1">
        <v>45324</v>
      </c>
      <c r="C86" t="s">
        <v>103</v>
      </c>
      <c r="D86" t="s">
        <v>294</v>
      </c>
      <c r="E86">
        <v>679.23</v>
      </c>
      <c r="F86" t="s">
        <v>324</v>
      </c>
      <c r="G86" t="s">
        <v>325</v>
      </c>
      <c r="H86" t="s">
        <v>346</v>
      </c>
      <c r="I86" t="s">
        <v>8</v>
      </c>
      <c r="J86" t="s">
        <v>102</v>
      </c>
      <c r="K86" t="s">
        <v>28</v>
      </c>
      <c r="L86" t="s">
        <v>295</v>
      </c>
      <c r="M86" t="s">
        <v>296</v>
      </c>
      <c r="N86">
        <v>2.9000000000000001E-2</v>
      </c>
      <c r="O86" t="str">
        <f>IF(Transactions_RAW_cleaned[[#This Row],[Status]]="Completed", IFERROR(_xlfn.XLOOKUP(Transactions_RAW_cleaned[[#This Row],[CustomerID]], Customers_cleaned[CustomerID], Customers_cleaned[Segment]), "Customer Not Found"), "N/A")</f>
        <v>SMB</v>
      </c>
      <c r="P86" s="5" t="str">
        <f>IF(Transactions_RAW_cleaned[[#This Row],[Status]]="Refunded", "Refund",
  IF(Transactions_RAW_cleaned[[#This Row],[Category]]="Payments", IF(Transactions_RAW_cleaned[[#This Row],[Amount]]&gt;500,"High Value","Standard"),
    IF(Transactions_RAW_cleaned[[#This Row],[Amount]]&gt;250,"High Value","Standard")))</f>
        <v>High Value</v>
      </c>
      <c r="Q86" s="5" t="str">
        <f>IF(Transactions_RAW_cleaned[[#This Row],[Amount]] &gt; (_xlfn.XLOOKUP(Transactions_RAW_cleaned[[#This Row],[ServiceID]],Services_cleaned[ServiceID],Services_cleaned[TransactionFeePct]) * 10000), "Yes", "No")</f>
        <v>Yes</v>
      </c>
      <c r="R86" s="5" t="str">
        <f>IF(COUNTIFS($C$2:Transactions_RAW_cleaned[[#This Row],[CustomerID]],Transactions_RAW_cleaned[[#This Row],[CustomerID]],$D$2:Transactions_RAW_cleaned[[#This Row],[ServiceID]],Transactions_RAW_cleaned[[#This Row],[ServiceID]])=1,"Yes","No")</f>
        <v>Yes</v>
      </c>
      <c r="S8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6" t="str">
        <f>"Q"&amp;ROUNDUP(MONTH(Transactions_RAW_cleaned[[#This Row],[TransactionDate]])/3,0)</f>
        <v>Q1</v>
      </c>
      <c r="U86" t="str">
        <f>Transactions_RAW_cleaned[[#This Row],[Region ]]&amp;Transactions_RAW_cleaned[[#This Row],[Quarter ]]</f>
        <v>NAQ1</v>
      </c>
      <c r="V86" s="5">
        <f>_xlfn.XLOOKUP(Transactions_RAW_cleaned[[#This Row],[RegionQuarterKey]], Quarterly_Targets_cleaned[RegionQuarterKey], Quarterly_Targets_cleaned[TargetRevenue])</f>
        <v>247000</v>
      </c>
    </row>
    <row r="87" spans="1:22" x14ac:dyDescent="0.25">
      <c r="A87" t="s">
        <v>374</v>
      </c>
      <c r="B87" s="1">
        <v>45498</v>
      </c>
      <c r="C87" t="s">
        <v>219</v>
      </c>
      <c r="D87" t="s">
        <v>294</v>
      </c>
      <c r="E87">
        <v>236.97</v>
      </c>
      <c r="F87" t="s">
        <v>324</v>
      </c>
      <c r="G87" t="s">
        <v>337</v>
      </c>
      <c r="H87" t="s">
        <v>346</v>
      </c>
      <c r="I87" t="s">
        <v>17</v>
      </c>
      <c r="J87" t="s">
        <v>31</v>
      </c>
      <c r="K87" t="s">
        <v>32</v>
      </c>
      <c r="L87" t="s">
        <v>295</v>
      </c>
      <c r="M87" t="s">
        <v>296</v>
      </c>
      <c r="N87">
        <v>2.9000000000000001E-2</v>
      </c>
      <c r="O87" t="str">
        <f>IF(Transactions_RAW_cleaned[[#This Row],[Status]]="Completed", IFERROR(_xlfn.XLOOKUP(Transactions_RAW_cleaned[[#This Row],[CustomerID]], Customers_cleaned[CustomerID], Customers_cleaned[Segment]), "Customer Not Found"), "N/A")</f>
        <v>Enterprise</v>
      </c>
      <c r="P87" s="5" t="str">
        <f>IF(Transactions_RAW_cleaned[[#This Row],[Status]]="Refunded", "Refund",
  IF(Transactions_RAW_cleaned[[#This Row],[Category]]="Payments", IF(Transactions_RAW_cleaned[[#This Row],[Amount]]&gt;500,"High Value","Standard"),
    IF(Transactions_RAW_cleaned[[#This Row],[Amount]]&gt;250,"High Value","Standard")))</f>
        <v>Standard</v>
      </c>
      <c r="Q87" s="5" t="str">
        <f>IF(Transactions_RAW_cleaned[[#This Row],[Amount]] &gt; (_xlfn.XLOOKUP(Transactions_RAW_cleaned[[#This Row],[ServiceID]],Services_cleaned[ServiceID],Services_cleaned[TransactionFeePct]) * 10000), "Yes", "No")</f>
        <v>No</v>
      </c>
      <c r="R87" s="5" t="str">
        <f>IF(COUNTIFS($C$2:Transactions_RAW_cleaned[[#This Row],[CustomerID]],Transactions_RAW_cleaned[[#This Row],[CustomerID]],$D$2:Transactions_RAW_cleaned[[#This Row],[ServiceID]],Transactions_RAW_cleaned[[#This Row],[ServiceID]])=1,"Yes","No")</f>
        <v>Yes</v>
      </c>
      <c r="S8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7" t="str">
        <f>"Q"&amp;ROUNDUP(MONTH(Transactions_RAW_cleaned[[#This Row],[TransactionDate]])/3,0)</f>
        <v>Q3</v>
      </c>
      <c r="U87" t="str">
        <f>Transactions_RAW_cleaned[[#This Row],[Region ]]&amp;Transactions_RAW_cleaned[[#This Row],[Quarter ]]</f>
        <v>EMEAQ3</v>
      </c>
      <c r="V87" s="5">
        <f>_xlfn.XLOOKUP(Transactions_RAW_cleaned[[#This Row],[RegionQuarterKey]], Quarterly_Targets_cleaned[RegionQuarterKey], Quarterly_Targets_cleaned[TargetRevenue])</f>
        <v>147000</v>
      </c>
    </row>
    <row r="88" spans="1:22" x14ac:dyDescent="0.25">
      <c r="A88" t="s">
        <v>433</v>
      </c>
      <c r="B88" s="1">
        <v>45346</v>
      </c>
      <c r="C88" t="s">
        <v>219</v>
      </c>
      <c r="D88" t="s">
        <v>294</v>
      </c>
      <c r="E88">
        <v>221.89</v>
      </c>
      <c r="F88" t="s">
        <v>324</v>
      </c>
      <c r="G88" t="s">
        <v>327</v>
      </c>
      <c r="H88" t="s">
        <v>334</v>
      </c>
      <c r="I88" t="s">
        <v>17</v>
      </c>
      <c r="J88" t="s">
        <v>31</v>
      </c>
      <c r="K88" t="s">
        <v>32</v>
      </c>
      <c r="L88" t="s">
        <v>295</v>
      </c>
      <c r="M88" t="s">
        <v>296</v>
      </c>
      <c r="N88">
        <v>2.9000000000000001E-2</v>
      </c>
      <c r="O88" t="str">
        <f>IF(Transactions_RAW_cleaned[[#This Row],[Status]]="Completed", IFERROR(_xlfn.XLOOKUP(Transactions_RAW_cleaned[[#This Row],[CustomerID]], Customers_cleaned[CustomerID], Customers_cleaned[Segment]), "Customer Not Found"), "N/A")</f>
        <v>Enterprise</v>
      </c>
      <c r="P88" s="5" t="str">
        <f>IF(Transactions_RAW_cleaned[[#This Row],[Status]]="Refunded", "Refund",
  IF(Transactions_RAW_cleaned[[#This Row],[Category]]="Payments", IF(Transactions_RAW_cleaned[[#This Row],[Amount]]&gt;500,"High Value","Standard"),
    IF(Transactions_RAW_cleaned[[#This Row],[Amount]]&gt;250,"High Value","Standard")))</f>
        <v>Standard</v>
      </c>
      <c r="Q88" s="5" t="str">
        <f>IF(Transactions_RAW_cleaned[[#This Row],[Amount]] &gt; (_xlfn.XLOOKUP(Transactions_RAW_cleaned[[#This Row],[ServiceID]],Services_cleaned[ServiceID],Services_cleaned[TransactionFeePct]) * 10000), "Yes", "No")</f>
        <v>No</v>
      </c>
      <c r="R88" s="5" t="str">
        <f>IF(COUNTIFS($C$2:Transactions_RAW_cleaned[[#This Row],[CustomerID]],Transactions_RAW_cleaned[[#This Row],[CustomerID]],$D$2:Transactions_RAW_cleaned[[#This Row],[ServiceID]],Transactions_RAW_cleaned[[#This Row],[ServiceID]])=1,"Yes","No")</f>
        <v>No</v>
      </c>
      <c r="S8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8" t="str">
        <f>"Q"&amp;ROUNDUP(MONTH(Transactions_RAW_cleaned[[#This Row],[TransactionDate]])/3,0)</f>
        <v>Q1</v>
      </c>
      <c r="U88" t="str">
        <f>Transactions_RAW_cleaned[[#This Row],[Region ]]&amp;Transactions_RAW_cleaned[[#This Row],[Quarter ]]</f>
        <v>EMEAQ1</v>
      </c>
      <c r="V88" s="5">
        <f>_xlfn.XLOOKUP(Transactions_RAW_cleaned[[#This Row],[RegionQuarterKey]], Quarterly_Targets_cleaned[RegionQuarterKey], Quarterly_Targets_cleaned[TargetRevenue])</f>
        <v>133000</v>
      </c>
    </row>
    <row r="89" spans="1:22" x14ac:dyDescent="0.25">
      <c r="A89" t="s">
        <v>375</v>
      </c>
      <c r="B89" s="1">
        <v>45531</v>
      </c>
      <c r="C89" t="s">
        <v>207</v>
      </c>
      <c r="D89" t="s">
        <v>297</v>
      </c>
      <c r="E89">
        <v>566.20000000000005</v>
      </c>
      <c r="F89" t="s">
        <v>324</v>
      </c>
      <c r="G89" t="s">
        <v>327</v>
      </c>
      <c r="I89" t="s">
        <v>8</v>
      </c>
      <c r="J89" t="s">
        <v>102</v>
      </c>
      <c r="K89" t="s">
        <v>28</v>
      </c>
      <c r="L89" t="s">
        <v>298</v>
      </c>
      <c r="M89" t="s">
        <v>299</v>
      </c>
      <c r="N89">
        <v>0</v>
      </c>
      <c r="O89" t="str">
        <f>IF(Transactions_RAW_cleaned[[#This Row],[Status]]="Completed", IFERROR(_xlfn.XLOOKUP(Transactions_RAW_cleaned[[#This Row],[CustomerID]], Customers_cleaned[CustomerID], Customers_cleaned[Segment]), "Customer Not Found"), "N/A")</f>
        <v>SMB</v>
      </c>
      <c r="P89" s="5" t="str">
        <f>IF(Transactions_RAW_cleaned[[#This Row],[Status]]="Refunded", "Refund",
  IF(Transactions_RAW_cleaned[[#This Row],[Category]]="Payments", IF(Transactions_RAW_cleaned[[#This Row],[Amount]]&gt;500,"High Value","Standard"),
    IF(Transactions_RAW_cleaned[[#This Row],[Amount]]&gt;250,"High Value","Standard")))</f>
        <v>High Value</v>
      </c>
      <c r="Q89" s="5" t="str">
        <f>IF(Transactions_RAW_cleaned[[#This Row],[Amount]] &gt; (_xlfn.XLOOKUP(Transactions_RAW_cleaned[[#This Row],[ServiceID]],Services_cleaned[ServiceID],Services_cleaned[TransactionFeePct]) * 10000), "Yes", "No")</f>
        <v>Yes</v>
      </c>
      <c r="R89" s="5" t="str">
        <f>IF(COUNTIFS($C$2:Transactions_RAW_cleaned[[#This Row],[CustomerID]],Transactions_RAW_cleaned[[#This Row],[CustomerID]],$D$2:Transactions_RAW_cleaned[[#This Row],[ServiceID]],Transactions_RAW_cleaned[[#This Row],[ServiceID]])=1,"Yes","No")</f>
        <v>Yes</v>
      </c>
      <c r="S8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9" t="str">
        <f>"Q"&amp;ROUNDUP(MONTH(Transactions_RAW_cleaned[[#This Row],[TransactionDate]])/3,0)</f>
        <v>Q3</v>
      </c>
      <c r="U89" t="str">
        <f>Transactions_RAW_cleaned[[#This Row],[Region ]]&amp;Transactions_RAW_cleaned[[#This Row],[Quarter ]]</f>
        <v>NAQ3</v>
      </c>
      <c r="V89" s="5">
        <f>_xlfn.XLOOKUP(Transactions_RAW_cleaned[[#This Row],[RegionQuarterKey]], Quarterly_Targets_cleaned[RegionQuarterKey], Quarterly_Targets_cleaned[TargetRevenue])</f>
        <v>273000</v>
      </c>
    </row>
    <row r="90" spans="1:22" x14ac:dyDescent="0.25">
      <c r="A90" t="s">
        <v>376</v>
      </c>
      <c r="B90" s="1">
        <v>45560</v>
      </c>
      <c r="C90" t="s">
        <v>213</v>
      </c>
      <c r="D90" t="s">
        <v>294</v>
      </c>
      <c r="E90">
        <v>380.88</v>
      </c>
      <c r="F90" t="s">
        <v>324</v>
      </c>
      <c r="G90" t="s">
        <v>325</v>
      </c>
      <c r="H90" t="s">
        <v>332</v>
      </c>
      <c r="I90" t="s">
        <v>17</v>
      </c>
      <c r="J90" t="s">
        <v>25</v>
      </c>
      <c r="K90" t="s">
        <v>14</v>
      </c>
      <c r="L90" t="s">
        <v>295</v>
      </c>
      <c r="M90" t="s">
        <v>296</v>
      </c>
      <c r="N90">
        <v>2.9000000000000001E-2</v>
      </c>
      <c r="O90" t="str">
        <f>IF(Transactions_RAW_cleaned[[#This Row],[Status]]="Completed", IFERROR(_xlfn.XLOOKUP(Transactions_RAW_cleaned[[#This Row],[CustomerID]], Customers_cleaned[CustomerID], Customers_cleaned[Segment]), "Customer Not Found"), "N/A")</f>
        <v>Enterprise</v>
      </c>
      <c r="P90" s="5" t="str">
        <f>IF(Transactions_RAW_cleaned[[#This Row],[Status]]="Refunded", "Refund",
  IF(Transactions_RAW_cleaned[[#This Row],[Category]]="Payments", IF(Transactions_RAW_cleaned[[#This Row],[Amount]]&gt;500,"High Value","Standard"),
    IF(Transactions_RAW_cleaned[[#This Row],[Amount]]&gt;250,"High Value","Standard")))</f>
        <v>Standard</v>
      </c>
      <c r="Q90" s="5" t="str">
        <f>IF(Transactions_RAW_cleaned[[#This Row],[Amount]] &gt; (_xlfn.XLOOKUP(Transactions_RAW_cleaned[[#This Row],[ServiceID]],Services_cleaned[ServiceID],Services_cleaned[TransactionFeePct]) * 10000), "Yes", "No")</f>
        <v>Yes</v>
      </c>
      <c r="R90" s="5" t="str">
        <f>IF(COUNTIFS($C$2:Transactions_RAW_cleaned[[#This Row],[CustomerID]],Transactions_RAW_cleaned[[#This Row],[CustomerID]],$D$2:Transactions_RAW_cleaned[[#This Row],[ServiceID]],Transactions_RAW_cleaned[[#This Row],[ServiceID]])=1,"Yes","No")</f>
        <v>Yes</v>
      </c>
      <c r="S9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0" t="str">
        <f>"Q"&amp;ROUNDUP(MONTH(Transactions_RAW_cleaned[[#This Row],[TransactionDate]])/3,0)</f>
        <v>Q3</v>
      </c>
      <c r="U90" t="str">
        <f>Transactions_RAW_cleaned[[#This Row],[Region ]]&amp;Transactions_RAW_cleaned[[#This Row],[Quarter ]]</f>
        <v>APACQ3</v>
      </c>
      <c r="V90" s="5">
        <f>_xlfn.XLOOKUP(Transactions_RAW_cleaned[[#This Row],[RegionQuarterKey]], Quarterly_Targets_cleaned[RegionQuarterKey], Quarterly_Targets_cleaned[TargetRevenue])</f>
        <v>115500</v>
      </c>
    </row>
    <row r="91" spans="1:22" x14ac:dyDescent="0.25">
      <c r="A91" t="s">
        <v>387</v>
      </c>
      <c r="B91" s="1">
        <v>45626</v>
      </c>
      <c r="C91" t="s">
        <v>213</v>
      </c>
      <c r="D91" t="s">
        <v>294</v>
      </c>
      <c r="E91">
        <v>474.63</v>
      </c>
      <c r="F91" t="s">
        <v>324</v>
      </c>
      <c r="G91" t="s">
        <v>325</v>
      </c>
      <c r="I91" t="s">
        <v>17</v>
      </c>
      <c r="J91" t="s">
        <v>25</v>
      </c>
      <c r="K91" t="s">
        <v>14</v>
      </c>
      <c r="L91" t="s">
        <v>295</v>
      </c>
      <c r="M91" t="s">
        <v>296</v>
      </c>
      <c r="N91">
        <v>2.9000000000000001E-2</v>
      </c>
      <c r="O91" t="str">
        <f>IF(Transactions_RAW_cleaned[[#This Row],[Status]]="Completed", IFERROR(_xlfn.XLOOKUP(Transactions_RAW_cleaned[[#This Row],[CustomerID]], Customers_cleaned[CustomerID], Customers_cleaned[Segment]), "Customer Not Found"), "N/A")</f>
        <v>Enterprise</v>
      </c>
      <c r="P91" s="5" t="str">
        <f>IF(Transactions_RAW_cleaned[[#This Row],[Status]]="Refunded", "Refund",
  IF(Transactions_RAW_cleaned[[#This Row],[Category]]="Payments", IF(Transactions_RAW_cleaned[[#This Row],[Amount]]&gt;500,"High Value","Standard"),
    IF(Transactions_RAW_cleaned[[#This Row],[Amount]]&gt;250,"High Value","Standard")))</f>
        <v>Standard</v>
      </c>
      <c r="Q91" s="5" t="str">
        <f>IF(Transactions_RAW_cleaned[[#This Row],[Amount]] &gt; (_xlfn.XLOOKUP(Transactions_RAW_cleaned[[#This Row],[ServiceID]],Services_cleaned[ServiceID],Services_cleaned[TransactionFeePct]) * 10000), "Yes", "No")</f>
        <v>Yes</v>
      </c>
      <c r="R91" s="5" t="str">
        <f>IF(COUNTIFS($C$2:Transactions_RAW_cleaned[[#This Row],[CustomerID]],Transactions_RAW_cleaned[[#This Row],[CustomerID]],$D$2:Transactions_RAW_cleaned[[#This Row],[ServiceID]],Transactions_RAW_cleaned[[#This Row],[ServiceID]])=1,"Yes","No")</f>
        <v>No</v>
      </c>
      <c r="S9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1" t="str">
        <f>"Q"&amp;ROUNDUP(MONTH(Transactions_RAW_cleaned[[#This Row],[TransactionDate]])/3,0)</f>
        <v>Q4</v>
      </c>
      <c r="U91" t="str">
        <f>Transactions_RAW_cleaned[[#This Row],[Region ]]&amp;Transactions_RAW_cleaned[[#This Row],[Quarter ]]</f>
        <v>APACQ4</v>
      </c>
      <c r="V91" s="5">
        <f>_xlfn.XLOOKUP(Transactions_RAW_cleaned[[#This Row],[RegionQuarterKey]], Quarterly_Targets_cleaned[RegionQuarterKey], Quarterly_Targets_cleaned[TargetRevenue])</f>
        <v>126500</v>
      </c>
    </row>
    <row r="92" spans="1:22" x14ac:dyDescent="0.25">
      <c r="A92" t="s">
        <v>417</v>
      </c>
      <c r="B92" s="1">
        <v>45501</v>
      </c>
      <c r="C92" t="s">
        <v>213</v>
      </c>
      <c r="D92" t="s">
        <v>294</v>
      </c>
      <c r="E92">
        <v>101.69</v>
      </c>
      <c r="F92" t="s">
        <v>324</v>
      </c>
      <c r="G92" t="s">
        <v>325</v>
      </c>
      <c r="H92" t="s">
        <v>332</v>
      </c>
      <c r="I92" t="s">
        <v>17</v>
      </c>
      <c r="J92" t="s">
        <v>25</v>
      </c>
      <c r="K92" t="s">
        <v>14</v>
      </c>
      <c r="L92" t="s">
        <v>295</v>
      </c>
      <c r="M92" t="s">
        <v>296</v>
      </c>
      <c r="N92">
        <v>2.9000000000000001E-2</v>
      </c>
      <c r="O92" t="str">
        <f>IF(Transactions_RAW_cleaned[[#This Row],[Status]]="Completed", IFERROR(_xlfn.XLOOKUP(Transactions_RAW_cleaned[[#This Row],[CustomerID]], Customers_cleaned[CustomerID], Customers_cleaned[Segment]), "Customer Not Found"), "N/A")</f>
        <v>Enterprise</v>
      </c>
      <c r="P92" s="5" t="str">
        <f>IF(Transactions_RAW_cleaned[[#This Row],[Status]]="Refunded", "Refund",
  IF(Transactions_RAW_cleaned[[#This Row],[Category]]="Payments", IF(Transactions_RAW_cleaned[[#This Row],[Amount]]&gt;500,"High Value","Standard"),
    IF(Transactions_RAW_cleaned[[#This Row],[Amount]]&gt;250,"High Value","Standard")))</f>
        <v>Standard</v>
      </c>
      <c r="Q92" s="5" t="str">
        <f>IF(Transactions_RAW_cleaned[[#This Row],[Amount]] &gt; (_xlfn.XLOOKUP(Transactions_RAW_cleaned[[#This Row],[ServiceID]],Services_cleaned[ServiceID],Services_cleaned[TransactionFeePct]) * 10000), "Yes", "No")</f>
        <v>No</v>
      </c>
      <c r="R92" s="5" t="str">
        <f>IF(COUNTIFS($C$2:Transactions_RAW_cleaned[[#This Row],[CustomerID]],Transactions_RAW_cleaned[[#This Row],[CustomerID]],$D$2:Transactions_RAW_cleaned[[#This Row],[ServiceID]],Transactions_RAW_cleaned[[#This Row],[ServiceID]])=1,"Yes","No")</f>
        <v>No</v>
      </c>
      <c r="S9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2" t="str">
        <f>"Q"&amp;ROUNDUP(MONTH(Transactions_RAW_cleaned[[#This Row],[TransactionDate]])/3,0)</f>
        <v>Q3</v>
      </c>
      <c r="U92" t="str">
        <f>Transactions_RAW_cleaned[[#This Row],[Region ]]&amp;Transactions_RAW_cleaned[[#This Row],[Quarter ]]</f>
        <v>APACQ3</v>
      </c>
      <c r="V92" s="5">
        <f>_xlfn.XLOOKUP(Transactions_RAW_cleaned[[#This Row],[RegionQuarterKey]], Quarterly_Targets_cleaned[RegionQuarterKey], Quarterly_Targets_cleaned[TargetRevenue])</f>
        <v>115500</v>
      </c>
    </row>
    <row r="93" spans="1:22" x14ac:dyDescent="0.25">
      <c r="A93" t="s">
        <v>440</v>
      </c>
      <c r="B93" s="1">
        <v>45367</v>
      </c>
      <c r="C93" t="s">
        <v>109</v>
      </c>
      <c r="D93" t="s">
        <v>315</v>
      </c>
      <c r="E93">
        <v>458.19</v>
      </c>
      <c r="F93" t="s">
        <v>324</v>
      </c>
      <c r="G93" t="s">
        <v>325</v>
      </c>
      <c r="H93" t="s">
        <v>346</v>
      </c>
      <c r="I93" t="s">
        <v>8</v>
      </c>
      <c r="J93" t="s">
        <v>102</v>
      </c>
      <c r="K93" t="s">
        <v>18</v>
      </c>
      <c r="L93" t="s">
        <v>316</v>
      </c>
      <c r="M93" t="s">
        <v>305</v>
      </c>
      <c r="N93">
        <v>2.5000000000000001E-3</v>
      </c>
      <c r="O93" t="str">
        <f>IF(Transactions_RAW_cleaned[[#This Row],[Status]]="Completed", IFERROR(_xlfn.XLOOKUP(Transactions_RAW_cleaned[[#This Row],[CustomerID]], Customers_cleaned[CustomerID], Customers_cleaned[Segment]), "Customer Not Found"), "N/A")</f>
        <v>SMB</v>
      </c>
      <c r="P93" s="5" t="str">
        <f>IF(Transactions_RAW_cleaned[[#This Row],[Status]]="Refunded", "Refund",
  IF(Transactions_RAW_cleaned[[#This Row],[Category]]="Payments", IF(Transactions_RAW_cleaned[[#This Row],[Amount]]&gt;500,"High Value","Standard"),
    IF(Transactions_RAW_cleaned[[#This Row],[Amount]]&gt;250,"High Value","Standard")))</f>
        <v>High Value</v>
      </c>
      <c r="Q93" s="5" t="str">
        <f>IF(Transactions_RAW_cleaned[[#This Row],[Amount]] &gt; (_xlfn.XLOOKUP(Transactions_RAW_cleaned[[#This Row],[ServiceID]],Services_cleaned[ServiceID],Services_cleaned[TransactionFeePct]) * 10000), "Yes", "No")</f>
        <v>Yes</v>
      </c>
      <c r="R93" s="5" t="str">
        <f>IF(COUNTIFS($C$2:Transactions_RAW_cleaned[[#This Row],[CustomerID]],Transactions_RAW_cleaned[[#This Row],[CustomerID]],$D$2:Transactions_RAW_cleaned[[#This Row],[ServiceID]],Transactions_RAW_cleaned[[#This Row],[ServiceID]])=1,"Yes","No")</f>
        <v>Yes</v>
      </c>
      <c r="S9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3" t="str">
        <f>"Q"&amp;ROUNDUP(MONTH(Transactions_RAW_cleaned[[#This Row],[TransactionDate]])/3,0)</f>
        <v>Q1</v>
      </c>
      <c r="U93" t="str">
        <f>Transactions_RAW_cleaned[[#This Row],[Region ]]&amp;Transactions_RAW_cleaned[[#This Row],[Quarter ]]</f>
        <v>NAQ1</v>
      </c>
      <c r="V93" s="5">
        <f>_xlfn.XLOOKUP(Transactions_RAW_cleaned[[#This Row],[RegionQuarterKey]], Quarterly_Targets_cleaned[RegionQuarterKey], Quarterly_Targets_cleaned[TargetRevenue])</f>
        <v>247000</v>
      </c>
    </row>
    <row r="94" spans="1:22" x14ac:dyDescent="0.25">
      <c r="A94" t="s">
        <v>377</v>
      </c>
      <c r="B94" s="1">
        <v>45617</v>
      </c>
      <c r="C94" t="s">
        <v>119</v>
      </c>
      <c r="D94" t="s">
        <v>303</v>
      </c>
      <c r="E94">
        <v>165.1</v>
      </c>
      <c r="F94" t="s">
        <v>324</v>
      </c>
      <c r="G94" t="s">
        <v>325</v>
      </c>
      <c r="H94" t="s">
        <v>346</v>
      </c>
      <c r="I94" t="s">
        <v>57</v>
      </c>
      <c r="J94" t="s">
        <v>102</v>
      </c>
      <c r="K94" t="s">
        <v>18</v>
      </c>
      <c r="L94" t="s">
        <v>304</v>
      </c>
      <c r="M94" t="s">
        <v>305</v>
      </c>
      <c r="N94">
        <v>1E-3</v>
      </c>
      <c r="O94" t="str">
        <f>IF(Transactions_RAW_cleaned[[#This Row],[Status]]="Completed", IFERROR(_xlfn.XLOOKUP(Transactions_RAW_cleaned[[#This Row],[CustomerID]], Customers_cleaned[CustomerID], Customers_cleaned[Segment]), "Customer Not Found"), "N/A")</f>
        <v>Startup</v>
      </c>
      <c r="P94" s="5" t="str">
        <f>IF(Transactions_RAW_cleaned[[#This Row],[Status]]="Refunded", "Refund",
  IF(Transactions_RAW_cleaned[[#This Row],[Category]]="Payments", IF(Transactions_RAW_cleaned[[#This Row],[Amount]]&gt;500,"High Value","Standard"),
    IF(Transactions_RAW_cleaned[[#This Row],[Amount]]&gt;250,"High Value","Standard")))</f>
        <v>Standard</v>
      </c>
      <c r="Q94" s="5" t="str">
        <f>IF(Transactions_RAW_cleaned[[#This Row],[Amount]] &gt; (_xlfn.XLOOKUP(Transactions_RAW_cleaned[[#This Row],[ServiceID]],Services_cleaned[ServiceID],Services_cleaned[TransactionFeePct]) * 10000), "Yes", "No")</f>
        <v>Yes</v>
      </c>
      <c r="R94" s="5" t="str">
        <f>IF(COUNTIFS($C$2:Transactions_RAW_cleaned[[#This Row],[CustomerID]],Transactions_RAW_cleaned[[#This Row],[CustomerID]],$D$2:Transactions_RAW_cleaned[[#This Row],[ServiceID]],Transactions_RAW_cleaned[[#This Row],[ServiceID]])=1,"Yes","No")</f>
        <v>Yes</v>
      </c>
      <c r="S9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4" t="str">
        <f>"Q"&amp;ROUNDUP(MONTH(Transactions_RAW_cleaned[[#This Row],[TransactionDate]])/3,0)</f>
        <v>Q4</v>
      </c>
      <c r="U94" t="str">
        <f>Transactions_RAW_cleaned[[#This Row],[Region ]]&amp;Transactions_RAW_cleaned[[#This Row],[Quarter ]]</f>
        <v>NAQ4</v>
      </c>
      <c r="V94" s="5">
        <f>_xlfn.XLOOKUP(Transactions_RAW_cleaned[[#This Row],[RegionQuarterKey]], Quarterly_Targets_cleaned[RegionQuarterKey], Quarterly_Targets_cleaned[TargetRevenue])</f>
        <v>299000</v>
      </c>
    </row>
    <row r="95" spans="1:22" x14ac:dyDescent="0.25">
      <c r="A95" t="s">
        <v>379</v>
      </c>
      <c r="B95" s="1">
        <v>45465</v>
      </c>
      <c r="C95" t="s">
        <v>119</v>
      </c>
      <c r="D95" t="s">
        <v>297</v>
      </c>
      <c r="E95">
        <v>574.25</v>
      </c>
      <c r="F95" t="s">
        <v>331</v>
      </c>
      <c r="G95" t="s">
        <v>327</v>
      </c>
      <c r="I95" t="s">
        <v>57</v>
      </c>
      <c r="J95" t="s">
        <v>102</v>
      </c>
      <c r="K95" t="s">
        <v>18</v>
      </c>
      <c r="L95" t="s">
        <v>298</v>
      </c>
      <c r="M95" t="s">
        <v>299</v>
      </c>
      <c r="N95">
        <v>0</v>
      </c>
      <c r="O95" t="str">
        <f>IF(Transactions_RAW_cleaned[[#This Row],[Status]]="Completed", IFERROR(_xlfn.XLOOKUP(Transactions_RAW_cleaned[[#This Row],[CustomerID]], Customers_cleaned[CustomerID], Customers_cleaned[Segment]), "Customer Not Found"), "N/A")</f>
        <v>N/A</v>
      </c>
      <c r="P95" s="5" t="str">
        <f>IF(Transactions_RAW_cleaned[[#This Row],[Status]]="Refunded", "Refund",
  IF(Transactions_RAW_cleaned[[#This Row],[Category]]="Payments", IF(Transactions_RAW_cleaned[[#This Row],[Amount]]&gt;500,"High Value","Standard"),
    IF(Transactions_RAW_cleaned[[#This Row],[Amount]]&gt;250,"High Value","Standard")))</f>
        <v>High Value</v>
      </c>
      <c r="Q95" s="5" t="str">
        <f>IF(Transactions_RAW_cleaned[[#This Row],[Amount]] &gt; (_xlfn.XLOOKUP(Transactions_RAW_cleaned[[#This Row],[ServiceID]],Services_cleaned[ServiceID],Services_cleaned[TransactionFeePct]) * 10000), "Yes", "No")</f>
        <v>Yes</v>
      </c>
      <c r="R95" s="5" t="str">
        <f>IF(COUNTIFS($C$2:Transactions_RAW_cleaned[[#This Row],[CustomerID]],Transactions_RAW_cleaned[[#This Row],[CustomerID]],$D$2:Transactions_RAW_cleaned[[#This Row],[ServiceID]],Transactions_RAW_cleaned[[#This Row],[ServiceID]])=1,"Yes","No")</f>
        <v>Yes</v>
      </c>
      <c r="S9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5" t="str">
        <f>"Q"&amp;ROUNDUP(MONTH(Transactions_RAW_cleaned[[#This Row],[TransactionDate]])/3,0)</f>
        <v>Q2</v>
      </c>
      <c r="U95" t="str">
        <f>Transactions_RAW_cleaned[[#This Row],[Region ]]&amp;Transactions_RAW_cleaned[[#This Row],[Quarter ]]</f>
        <v>NAQ2</v>
      </c>
      <c r="V95" s="5">
        <f>_xlfn.XLOOKUP(Transactions_RAW_cleaned[[#This Row],[RegionQuarterKey]], Quarterly_Targets_cleaned[RegionQuarterKey], Quarterly_Targets_cleaned[TargetRevenue])</f>
        <v>260000</v>
      </c>
    </row>
    <row r="96" spans="1:22" x14ac:dyDescent="0.25">
      <c r="A96" t="s">
        <v>452</v>
      </c>
      <c r="B96" s="1">
        <v>45572</v>
      </c>
      <c r="C96" t="s">
        <v>119</v>
      </c>
      <c r="D96" t="s">
        <v>306</v>
      </c>
      <c r="E96">
        <v>423.41</v>
      </c>
      <c r="F96" t="s">
        <v>324</v>
      </c>
      <c r="G96" t="s">
        <v>337</v>
      </c>
      <c r="H96" t="s">
        <v>332</v>
      </c>
      <c r="I96" t="s">
        <v>57</v>
      </c>
      <c r="J96" t="s">
        <v>102</v>
      </c>
      <c r="K96" t="s">
        <v>18</v>
      </c>
      <c r="L96" t="s">
        <v>307</v>
      </c>
      <c r="M96" t="s">
        <v>308</v>
      </c>
      <c r="N96">
        <v>0</v>
      </c>
      <c r="O96" t="str">
        <f>IF(Transactions_RAW_cleaned[[#This Row],[Status]]="Completed", IFERROR(_xlfn.XLOOKUP(Transactions_RAW_cleaned[[#This Row],[CustomerID]], Customers_cleaned[CustomerID], Customers_cleaned[Segment]), "Customer Not Found"), "N/A")</f>
        <v>Startup</v>
      </c>
      <c r="P96" s="5" t="str">
        <f>IF(Transactions_RAW_cleaned[[#This Row],[Status]]="Refunded", "Refund",
  IF(Transactions_RAW_cleaned[[#This Row],[Category]]="Payments", IF(Transactions_RAW_cleaned[[#This Row],[Amount]]&gt;500,"High Value","Standard"),
    IF(Transactions_RAW_cleaned[[#This Row],[Amount]]&gt;250,"High Value","Standard")))</f>
        <v>High Value</v>
      </c>
      <c r="Q96" s="5" t="str">
        <f>IF(Transactions_RAW_cleaned[[#This Row],[Amount]] &gt; (_xlfn.XLOOKUP(Transactions_RAW_cleaned[[#This Row],[ServiceID]],Services_cleaned[ServiceID],Services_cleaned[TransactionFeePct]) * 10000), "Yes", "No")</f>
        <v>Yes</v>
      </c>
      <c r="R96" s="5" t="str">
        <f>IF(COUNTIFS($C$2:Transactions_RAW_cleaned[[#This Row],[CustomerID]],Transactions_RAW_cleaned[[#This Row],[CustomerID]],$D$2:Transactions_RAW_cleaned[[#This Row],[ServiceID]],Transactions_RAW_cleaned[[#This Row],[ServiceID]])=1,"Yes","No")</f>
        <v>Yes</v>
      </c>
      <c r="S9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6" t="str">
        <f>"Q"&amp;ROUNDUP(MONTH(Transactions_RAW_cleaned[[#This Row],[TransactionDate]])/3,0)</f>
        <v>Q4</v>
      </c>
      <c r="U96" t="str">
        <f>Transactions_RAW_cleaned[[#This Row],[Region ]]&amp;Transactions_RAW_cleaned[[#This Row],[Quarter ]]</f>
        <v>NAQ4</v>
      </c>
      <c r="V96" s="5">
        <f>_xlfn.XLOOKUP(Transactions_RAW_cleaned[[#This Row],[RegionQuarterKey]], Quarterly_Targets_cleaned[RegionQuarterKey], Quarterly_Targets_cleaned[TargetRevenue])</f>
        <v>299000</v>
      </c>
    </row>
    <row r="97" spans="1:22" x14ac:dyDescent="0.25">
      <c r="A97" t="s">
        <v>380</v>
      </c>
      <c r="B97" s="1">
        <v>45570</v>
      </c>
      <c r="C97" t="s">
        <v>147</v>
      </c>
      <c r="D97" t="s">
        <v>303</v>
      </c>
      <c r="E97">
        <v>265.7</v>
      </c>
      <c r="F97" t="s">
        <v>381</v>
      </c>
      <c r="G97" t="s">
        <v>337</v>
      </c>
      <c r="I97" t="s">
        <v>17</v>
      </c>
      <c r="J97" t="s">
        <v>25</v>
      </c>
      <c r="K97" t="s">
        <v>32</v>
      </c>
      <c r="L97" t="s">
        <v>304</v>
      </c>
      <c r="M97" t="s">
        <v>305</v>
      </c>
      <c r="N97">
        <v>1E-3</v>
      </c>
      <c r="O97" t="str">
        <f>IF(Transactions_RAW_cleaned[[#This Row],[Status]]="Completed", IFERROR(_xlfn.XLOOKUP(Transactions_RAW_cleaned[[#This Row],[CustomerID]], Customers_cleaned[CustomerID], Customers_cleaned[Segment]), "Customer Not Found"), "N/A")</f>
        <v>N/A</v>
      </c>
      <c r="P97" s="5" t="str">
        <f>IF(Transactions_RAW_cleaned[[#This Row],[Status]]="Refunded", "Refund",
  IF(Transactions_RAW_cleaned[[#This Row],[Category]]="Payments", IF(Transactions_RAW_cleaned[[#This Row],[Amount]]&gt;500,"High Value","Standard"),
    IF(Transactions_RAW_cleaned[[#This Row],[Amount]]&gt;250,"High Value","Standard")))</f>
        <v>High Value</v>
      </c>
      <c r="Q97" s="5" t="str">
        <f>IF(Transactions_RAW_cleaned[[#This Row],[Amount]] &gt; (_xlfn.XLOOKUP(Transactions_RAW_cleaned[[#This Row],[ServiceID]],Services_cleaned[ServiceID],Services_cleaned[TransactionFeePct]) * 10000), "Yes", "No")</f>
        <v>Yes</v>
      </c>
      <c r="R97" s="5" t="str">
        <f>IF(COUNTIFS($C$2:Transactions_RAW_cleaned[[#This Row],[CustomerID]],Transactions_RAW_cleaned[[#This Row],[CustomerID]],$D$2:Transactions_RAW_cleaned[[#This Row],[ServiceID]],Transactions_RAW_cleaned[[#This Row],[ServiceID]])=1,"Yes","No")</f>
        <v>Yes</v>
      </c>
      <c r="S9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7" t="str">
        <f>"Q"&amp;ROUNDUP(MONTH(Transactions_RAW_cleaned[[#This Row],[TransactionDate]])/3,0)</f>
        <v>Q4</v>
      </c>
      <c r="U97" t="str">
        <f>Transactions_RAW_cleaned[[#This Row],[Region ]]&amp;Transactions_RAW_cleaned[[#This Row],[Quarter ]]</f>
        <v>APACQ4</v>
      </c>
      <c r="V97" s="5">
        <f>_xlfn.XLOOKUP(Transactions_RAW_cleaned[[#This Row],[RegionQuarterKey]], Quarterly_Targets_cleaned[RegionQuarterKey], Quarterly_Targets_cleaned[TargetRevenue])</f>
        <v>126500</v>
      </c>
    </row>
    <row r="98" spans="1:22" x14ac:dyDescent="0.25">
      <c r="A98" t="s">
        <v>386</v>
      </c>
      <c r="B98" s="1">
        <v>45518</v>
      </c>
      <c r="C98" t="s">
        <v>147</v>
      </c>
      <c r="D98" t="s">
        <v>297</v>
      </c>
      <c r="E98">
        <v>524.75</v>
      </c>
      <c r="F98" t="s">
        <v>324</v>
      </c>
      <c r="G98" t="s">
        <v>325</v>
      </c>
      <c r="H98" t="s">
        <v>334</v>
      </c>
      <c r="I98" t="s">
        <v>17</v>
      </c>
      <c r="J98" t="s">
        <v>25</v>
      </c>
      <c r="K98" t="s">
        <v>32</v>
      </c>
      <c r="L98" t="s">
        <v>298</v>
      </c>
      <c r="M98" t="s">
        <v>299</v>
      </c>
      <c r="N98">
        <v>0</v>
      </c>
      <c r="O98" t="str">
        <f>IF(Transactions_RAW_cleaned[[#This Row],[Status]]="Completed", IFERROR(_xlfn.XLOOKUP(Transactions_RAW_cleaned[[#This Row],[CustomerID]], Customers_cleaned[CustomerID], Customers_cleaned[Segment]), "Customer Not Found"), "N/A")</f>
        <v>Enterprise</v>
      </c>
      <c r="P98" s="5" t="str">
        <f>IF(Transactions_RAW_cleaned[[#This Row],[Status]]="Refunded", "Refund",
  IF(Transactions_RAW_cleaned[[#This Row],[Category]]="Payments", IF(Transactions_RAW_cleaned[[#This Row],[Amount]]&gt;500,"High Value","Standard"),
    IF(Transactions_RAW_cleaned[[#This Row],[Amount]]&gt;250,"High Value","Standard")))</f>
        <v>High Value</v>
      </c>
      <c r="Q98" s="5" t="str">
        <f>IF(Transactions_RAW_cleaned[[#This Row],[Amount]] &gt; (_xlfn.XLOOKUP(Transactions_RAW_cleaned[[#This Row],[ServiceID]],Services_cleaned[ServiceID],Services_cleaned[TransactionFeePct]) * 10000), "Yes", "No")</f>
        <v>Yes</v>
      </c>
      <c r="R98" s="5" t="str">
        <f>IF(COUNTIFS($C$2:Transactions_RAW_cleaned[[#This Row],[CustomerID]],Transactions_RAW_cleaned[[#This Row],[CustomerID]],$D$2:Transactions_RAW_cleaned[[#This Row],[ServiceID]],Transactions_RAW_cleaned[[#This Row],[ServiceID]])=1,"Yes","No")</f>
        <v>Yes</v>
      </c>
      <c r="S9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8" t="str">
        <f>"Q"&amp;ROUNDUP(MONTH(Transactions_RAW_cleaned[[#This Row],[TransactionDate]])/3,0)</f>
        <v>Q3</v>
      </c>
      <c r="U98" t="str">
        <f>Transactions_RAW_cleaned[[#This Row],[Region ]]&amp;Transactions_RAW_cleaned[[#This Row],[Quarter ]]</f>
        <v>APACQ3</v>
      </c>
      <c r="V98" s="5">
        <f>_xlfn.XLOOKUP(Transactions_RAW_cleaned[[#This Row],[RegionQuarterKey]], Quarterly_Targets_cleaned[RegionQuarterKey], Quarterly_Targets_cleaned[TargetRevenue])</f>
        <v>115500</v>
      </c>
    </row>
    <row r="99" spans="1:22" x14ac:dyDescent="0.25">
      <c r="A99" t="s">
        <v>416</v>
      </c>
      <c r="B99" s="1">
        <v>45629</v>
      </c>
      <c r="C99" t="s">
        <v>117</v>
      </c>
      <c r="D99" t="s">
        <v>303</v>
      </c>
      <c r="E99">
        <v>390.9</v>
      </c>
      <c r="F99" t="s">
        <v>381</v>
      </c>
      <c r="G99" t="s">
        <v>327</v>
      </c>
      <c r="H99" t="s">
        <v>346</v>
      </c>
      <c r="I99" t="s">
        <v>8</v>
      </c>
      <c r="J99" t="s">
        <v>102</v>
      </c>
      <c r="K99" t="s">
        <v>14</v>
      </c>
      <c r="L99" t="s">
        <v>304</v>
      </c>
      <c r="M99" t="s">
        <v>305</v>
      </c>
      <c r="N99">
        <v>1E-3</v>
      </c>
      <c r="O99" t="str">
        <f>IF(Transactions_RAW_cleaned[[#This Row],[Status]]="Completed", IFERROR(_xlfn.XLOOKUP(Transactions_RAW_cleaned[[#This Row],[CustomerID]], Customers_cleaned[CustomerID], Customers_cleaned[Segment]), "Customer Not Found"), "N/A")</f>
        <v>N/A</v>
      </c>
      <c r="P99" s="5" t="str">
        <f>IF(Transactions_RAW_cleaned[[#This Row],[Status]]="Refunded", "Refund",
  IF(Transactions_RAW_cleaned[[#This Row],[Category]]="Payments", IF(Transactions_RAW_cleaned[[#This Row],[Amount]]&gt;500,"High Value","Standard"),
    IF(Transactions_RAW_cleaned[[#This Row],[Amount]]&gt;250,"High Value","Standard")))</f>
        <v>High Value</v>
      </c>
      <c r="Q99" s="5" t="str">
        <f>IF(Transactions_RAW_cleaned[[#This Row],[Amount]] &gt; (_xlfn.XLOOKUP(Transactions_RAW_cleaned[[#This Row],[ServiceID]],Services_cleaned[ServiceID],Services_cleaned[TransactionFeePct]) * 10000), "Yes", "No")</f>
        <v>Yes</v>
      </c>
      <c r="R99" s="5" t="str">
        <f>IF(COUNTIFS($C$2:Transactions_RAW_cleaned[[#This Row],[CustomerID]],Transactions_RAW_cleaned[[#This Row],[CustomerID]],$D$2:Transactions_RAW_cleaned[[#This Row],[ServiceID]],Transactions_RAW_cleaned[[#This Row],[ServiceID]])=1,"Yes","No")</f>
        <v>Yes</v>
      </c>
      <c r="S9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9" t="str">
        <f>"Q"&amp;ROUNDUP(MONTH(Transactions_RAW_cleaned[[#This Row],[TransactionDate]])/3,0)</f>
        <v>Q4</v>
      </c>
      <c r="U99" t="str">
        <f>Transactions_RAW_cleaned[[#This Row],[Region ]]&amp;Transactions_RAW_cleaned[[#This Row],[Quarter ]]</f>
        <v>NAQ4</v>
      </c>
      <c r="V99" s="5">
        <f>_xlfn.XLOOKUP(Transactions_RAW_cleaned[[#This Row],[RegionQuarterKey]], Quarterly_Targets_cleaned[RegionQuarterKey], Quarterly_Targets_cleaned[TargetRevenue])</f>
        <v>299000</v>
      </c>
    </row>
    <row r="100" spans="1:22" x14ac:dyDescent="0.25">
      <c r="A100" t="s">
        <v>384</v>
      </c>
      <c r="B100" s="1">
        <v>45324</v>
      </c>
      <c r="C100" t="s">
        <v>125</v>
      </c>
      <c r="D100" t="s">
        <v>315</v>
      </c>
      <c r="E100">
        <v>216.81</v>
      </c>
      <c r="F100" t="s">
        <v>324</v>
      </c>
      <c r="G100" t="s">
        <v>325</v>
      </c>
      <c r="H100" t="s">
        <v>332</v>
      </c>
      <c r="I100" t="s">
        <v>8</v>
      </c>
      <c r="J100" t="s">
        <v>13</v>
      </c>
      <c r="K100" t="s">
        <v>28</v>
      </c>
      <c r="L100" t="s">
        <v>316</v>
      </c>
      <c r="M100" t="s">
        <v>305</v>
      </c>
      <c r="N100">
        <v>2.5000000000000001E-3</v>
      </c>
      <c r="O100" t="str">
        <f>IF(Transactions_RAW_cleaned[[#This Row],[Status]]="Completed", IFERROR(_xlfn.XLOOKUP(Transactions_RAW_cleaned[[#This Row],[CustomerID]], Customers_cleaned[CustomerID], Customers_cleaned[Segment]), "Customer Not Found"), "N/A")</f>
        <v>SMB</v>
      </c>
      <c r="P100" s="5" t="str">
        <f>IF(Transactions_RAW_cleaned[[#This Row],[Status]]="Refunded", "Refund",
  IF(Transactions_RAW_cleaned[[#This Row],[Category]]="Payments", IF(Transactions_RAW_cleaned[[#This Row],[Amount]]&gt;500,"High Value","Standard"),
    IF(Transactions_RAW_cleaned[[#This Row],[Amount]]&gt;250,"High Value","Standard")))</f>
        <v>Standard</v>
      </c>
      <c r="Q100" s="5" t="str">
        <f>IF(Transactions_RAW_cleaned[[#This Row],[Amount]] &gt; (_xlfn.XLOOKUP(Transactions_RAW_cleaned[[#This Row],[ServiceID]],Services_cleaned[ServiceID],Services_cleaned[TransactionFeePct]) * 10000), "Yes", "No")</f>
        <v>Yes</v>
      </c>
      <c r="R100" s="5" t="str">
        <f>IF(COUNTIFS($C$2:Transactions_RAW_cleaned[[#This Row],[CustomerID]],Transactions_RAW_cleaned[[#This Row],[CustomerID]],$D$2:Transactions_RAW_cleaned[[#This Row],[ServiceID]],Transactions_RAW_cleaned[[#This Row],[ServiceID]])=1,"Yes","No")</f>
        <v>Yes</v>
      </c>
      <c r="S10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0" t="str">
        <f>"Q"&amp;ROUNDUP(MONTH(Transactions_RAW_cleaned[[#This Row],[TransactionDate]])/3,0)</f>
        <v>Q1</v>
      </c>
      <c r="U100" t="str">
        <f>Transactions_RAW_cleaned[[#This Row],[Region ]]&amp;Transactions_RAW_cleaned[[#This Row],[Quarter ]]</f>
        <v>NAQ1</v>
      </c>
      <c r="V100" s="5">
        <f>_xlfn.XLOOKUP(Transactions_RAW_cleaned[[#This Row],[RegionQuarterKey]], Quarterly_Targets_cleaned[RegionQuarterKey], Quarterly_Targets_cleaned[TargetRevenue])</f>
        <v>247000</v>
      </c>
    </row>
    <row r="101" spans="1:22" x14ac:dyDescent="0.25">
      <c r="A101" t="s">
        <v>415</v>
      </c>
      <c r="B101" s="1">
        <v>45644</v>
      </c>
      <c r="C101" t="s">
        <v>125</v>
      </c>
      <c r="D101" t="s">
        <v>300</v>
      </c>
      <c r="E101">
        <v>565.61</v>
      </c>
      <c r="F101" t="s">
        <v>324</v>
      </c>
      <c r="G101" t="s">
        <v>337</v>
      </c>
      <c r="I101" t="s">
        <v>8</v>
      </c>
      <c r="J101" t="s">
        <v>13</v>
      </c>
      <c r="K101" t="s">
        <v>28</v>
      </c>
      <c r="L101" t="s">
        <v>301</v>
      </c>
      <c r="M101" t="s">
        <v>302</v>
      </c>
      <c r="N101">
        <v>5.0000000000000001E-3</v>
      </c>
      <c r="O101" t="str">
        <f>IF(Transactions_RAW_cleaned[[#This Row],[Status]]="Completed", IFERROR(_xlfn.XLOOKUP(Transactions_RAW_cleaned[[#This Row],[CustomerID]], Customers_cleaned[CustomerID], Customers_cleaned[Segment]), "Customer Not Found"), "N/A")</f>
        <v>SMB</v>
      </c>
      <c r="P101" s="5" t="str">
        <f>IF(Transactions_RAW_cleaned[[#This Row],[Status]]="Refunded", "Refund",
  IF(Transactions_RAW_cleaned[[#This Row],[Category]]="Payments", IF(Transactions_RAW_cleaned[[#This Row],[Amount]]&gt;500,"High Value","Standard"),
    IF(Transactions_RAW_cleaned[[#This Row],[Amount]]&gt;250,"High Value","Standard")))</f>
        <v>High Value</v>
      </c>
      <c r="Q101" s="5" t="str">
        <f>IF(Transactions_RAW_cleaned[[#This Row],[Amount]] &gt; (_xlfn.XLOOKUP(Transactions_RAW_cleaned[[#This Row],[ServiceID]],Services_cleaned[ServiceID],Services_cleaned[TransactionFeePct]) * 10000), "Yes", "No")</f>
        <v>Yes</v>
      </c>
      <c r="R101" s="5" t="str">
        <f>IF(COUNTIFS($C$2:Transactions_RAW_cleaned[[#This Row],[CustomerID]],Transactions_RAW_cleaned[[#This Row],[CustomerID]],$D$2:Transactions_RAW_cleaned[[#This Row],[ServiceID]],Transactions_RAW_cleaned[[#This Row],[ServiceID]])=1,"Yes","No")</f>
        <v>Yes</v>
      </c>
      <c r="S10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1" t="str">
        <f>"Q"&amp;ROUNDUP(MONTH(Transactions_RAW_cleaned[[#This Row],[TransactionDate]])/3,0)</f>
        <v>Q4</v>
      </c>
      <c r="U101" t="str">
        <f>Transactions_RAW_cleaned[[#This Row],[Region ]]&amp;Transactions_RAW_cleaned[[#This Row],[Quarter ]]</f>
        <v>NAQ4</v>
      </c>
      <c r="V101" s="5">
        <f>_xlfn.XLOOKUP(Transactions_RAW_cleaned[[#This Row],[RegionQuarterKey]], Quarterly_Targets_cleaned[RegionQuarterKey], Quarterly_Targets_cleaned[TargetRevenue])</f>
        <v>299000</v>
      </c>
    </row>
    <row r="102" spans="1:22" x14ac:dyDescent="0.25">
      <c r="A102" t="s">
        <v>426</v>
      </c>
      <c r="B102" s="1">
        <v>45428</v>
      </c>
      <c r="C102" t="s">
        <v>125</v>
      </c>
      <c r="D102" t="s">
        <v>294</v>
      </c>
      <c r="E102">
        <v>561.01</v>
      </c>
      <c r="F102" t="s">
        <v>324</v>
      </c>
      <c r="G102" t="s">
        <v>325</v>
      </c>
      <c r="I102" t="s">
        <v>8</v>
      </c>
      <c r="J102" t="s">
        <v>13</v>
      </c>
      <c r="K102" t="s">
        <v>28</v>
      </c>
      <c r="L102" t="s">
        <v>295</v>
      </c>
      <c r="M102" t="s">
        <v>296</v>
      </c>
      <c r="N102">
        <v>2.9000000000000001E-2</v>
      </c>
      <c r="O102" t="str">
        <f>IF(Transactions_RAW_cleaned[[#This Row],[Status]]="Completed", IFERROR(_xlfn.XLOOKUP(Transactions_RAW_cleaned[[#This Row],[CustomerID]], Customers_cleaned[CustomerID], Customers_cleaned[Segment]), "Customer Not Found"), "N/A")</f>
        <v>SMB</v>
      </c>
      <c r="P102" s="5" t="str">
        <f>IF(Transactions_RAW_cleaned[[#This Row],[Status]]="Refunded", "Refund",
  IF(Transactions_RAW_cleaned[[#This Row],[Category]]="Payments", IF(Transactions_RAW_cleaned[[#This Row],[Amount]]&gt;500,"High Value","Standard"),
    IF(Transactions_RAW_cleaned[[#This Row],[Amount]]&gt;250,"High Value","Standard")))</f>
        <v>High Value</v>
      </c>
      <c r="Q102" s="5" t="str">
        <f>IF(Transactions_RAW_cleaned[[#This Row],[Amount]] &gt; (_xlfn.XLOOKUP(Transactions_RAW_cleaned[[#This Row],[ServiceID]],Services_cleaned[ServiceID],Services_cleaned[TransactionFeePct]) * 10000), "Yes", "No")</f>
        <v>Yes</v>
      </c>
      <c r="R102" s="5" t="str">
        <f>IF(COUNTIFS($C$2:Transactions_RAW_cleaned[[#This Row],[CustomerID]],Transactions_RAW_cleaned[[#This Row],[CustomerID]],$D$2:Transactions_RAW_cleaned[[#This Row],[ServiceID]],Transactions_RAW_cleaned[[#This Row],[ServiceID]])=1,"Yes","No")</f>
        <v>Yes</v>
      </c>
      <c r="S10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2" t="str">
        <f>"Q"&amp;ROUNDUP(MONTH(Transactions_RAW_cleaned[[#This Row],[TransactionDate]])/3,0)</f>
        <v>Q2</v>
      </c>
      <c r="U102" t="str">
        <f>Transactions_RAW_cleaned[[#This Row],[Region ]]&amp;Transactions_RAW_cleaned[[#This Row],[Quarter ]]</f>
        <v>NAQ2</v>
      </c>
      <c r="V102" s="5">
        <f>_xlfn.XLOOKUP(Transactions_RAW_cleaned[[#This Row],[RegionQuarterKey]], Quarterly_Targets_cleaned[RegionQuarterKey], Quarterly_Targets_cleaned[TargetRevenue])</f>
        <v>260000</v>
      </c>
    </row>
    <row r="103" spans="1:22" x14ac:dyDescent="0.25">
      <c r="A103" t="s">
        <v>446</v>
      </c>
      <c r="B103" s="1">
        <v>45525</v>
      </c>
      <c r="C103" t="s">
        <v>125</v>
      </c>
      <c r="D103" t="s">
        <v>306</v>
      </c>
      <c r="E103">
        <v>-276.64</v>
      </c>
      <c r="F103" t="s">
        <v>349</v>
      </c>
      <c r="G103" t="s">
        <v>325</v>
      </c>
      <c r="I103" t="s">
        <v>8</v>
      </c>
      <c r="J103" t="s">
        <v>13</v>
      </c>
      <c r="K103" t="s">
        <v>28</v>
      </c>
      <c r="L103" t="s">
        <v>307</v>
      </c>
      <c r="M103" t="s">
        <v>308</v>
      </c>
      <c r="N103">
        <v>0</v>
      </c>
      <c r="O103" t="str">
        <f>IF(Transactions_RAW_cleaned[[#This Row],[Status]]="Completed", IFERROR(_xlfn.XLOOKUP(Transactions_RAW_cleaned[[#This Row],[CustomerID]], Customers_cleaned[CustomerID], Customers_cleaned[Segment]), "Customer Not Found"), "N/A")</f>
        <v>N/A</v>
      </c>
      <c r="P103" s="5" t="str">
        <f>IF(Transactions_RAW_cleaned[[#This Row],[Status]]="Refunded", "Refund",
  IF(Transactions_RAW_cleaned[[#This Row],[Category]]="Payments", IF(Transactions_RAW_cleaned[[#This Row],[Amount]]&gt;500,"High Value","Standard"),
    IF(Transactions_RAW_cleaned[[#This Row],[Amount]]&gt;250,"High Value","Standard")))</f>
        <v>Refund</v>
      </c>
      <c r="Q103" s="5" t="str">
        <f>IF(Transactions_RAW_cleaned[[#This Row],[Amount]] &gt; (_xlfn.XLOOKUP(Transactions_RAW_cleaned[[#This Row],[ServiceID]],Services_cleaned[ServiceID],Services_cleaned[TransactionFeePct]) * 10000), "Yes", "No")</f>
        <v>No</v>
      </c>
      <c r="R103" s="5" t="str">
        <f>IF(COUNTIFS($C$2:Transactions_RAW_cleaned[[#This Row],[CustomerID]],Transactions_RAW_cleaned[[#This Row],[CustomerID]],$D$2:Transactions_RAW_cleaned[[#This Row],[ServiceID]],Transactions_RAW_cleaned[[#This Row],[ServiceID]])=1,"Yes","No")</f>
        <v>Yes</v>
      </c>
      <c r="S10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3" t="str">
        <f>"Q"&amp;ROUNDUP(MONTH(Transactions_RAW_cleaned[[#This Row],[TransactionDate]])/3,0)</f>
        <v>Q3</v>
      </c>
      <c r="U103" t="str">
        <f>Transactions_RAW_cleaned[[#This Row],[Region ]]&amp;Transactions_RAW_cleaned[[#This Row],[Quarter ]]</f>
        <v>NAQ3</v>
      </c>
      <c r="V103" s="5">
        <f>_xlfn.XLOOKUP(Transactions_RAW_cleaned[[#This Row],[RegionQuarterKey]], Quarterly_Targets_cleaned[RegionQuarterKey], Quarterly_Targets_cleaned[TargetRevenue])</f>
        <v>273000</v>
      </c>
    </row>
    <row r="104" spans="1:22" x14ac:dyDescent="0.25">
      <c r="A104" t="s">
        <v>385</v>
      </c>
      <c r="B104" s="1">
        <v>45445</v>
      </c>
      <c r="C104" t="s">
        <v>195</v>
      </c>
      <c r="D104" t="s">
        <v>315</v>
      </c>
      <c r="E104">
        <v>280.24</v>
      </c>
      <c r="F104" t="s">
        <v>324</v>
      </c>
      <c r="G104" t="s">
        <v>325</v>
      </c>
      <c r="I104" t="s">
        <v>8</v>
      </c>
      <c r="J104" t="s">
        <v>102</v>
      </c>
      <c r="K104" t="s">
        <v>32</v>
      </c>
      <c r="L104" t="s">
        <v>316</v>
      </c>
      <c r="M104" t="s">
        <v>305</v>
      </c>
      <c r="N104">
        <v>2.5000000000000001E-3</v>
      </c>
      <c r="O104" t="str">
        <f>IF(Transactions_RAW_cleaned[[#This Row],[Status]]="Completed", IFERROR(_xlfn.XLOOKUP(Transactions_RAW_cleaned[[#This Row],[CustomerID]], Customers_cleaned[CustomerID], Customers_cleaned[Segment]), "Customer Not Found"), "N/A")</f>
        <v>SMB</v>
      </c>
      <c r="P104" s="5" t="str">
        <f>IF(Transactions_RAW_cleaned[[#This Row],[Status]]="Refunded", "Refund",
  IF(Transactions_RAW_cleaned[[#This Row],[Category]]="Payments", IF(Transactions_RAW_cleaned[[#This Row],[Amount]]&gt;500,"High Value","Standard"),
    IF(Transactions_RAW_cleaned[[#This Row],[Amount]]&gt;250,"High Value","Standard")))</f>
        <v>High Value</v>
      </c>
      <c r="Q104" s="5" t="str">
        <f>IF(Transactions_RAW_cleaned[[#This Row],[Amount]] &gt; (_xlfn.XLOOKUP(Transactions_RAW_cleaned[[#This Row],[ServiceID]],Services_cleaned[ServiceID],Services_cleaned[TransactionFeePct]) * 10000), "Yes", "No")</f>
        <v>Yes</v>
      </c>
      <c r="R104" s="5" t="str">
        <f>IF(COUNTIFS($C$2:Transactions_RAW_cleaned[[#This Row],[CustomerID]],Transactions_RAW_cleaned[[#This Row],[CustomerID]],$D$2:Transactions_RAW_cleaned[[#This Row],[ServiceID]],Transactions_RAW_cleaned[[#This Row],[ServiceID]])=1,"Yes","No")</f>
        <v>Yes</v>
      </c>
      <c r="S10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4" t="str">
        <f>"Q"&amp;ROUNDUP(MONTH(Transactions_RAW_cleaned[[#This Row],[TransactionDate]])/3,0)</f>
        <v>Q2</v>
      </c>
      <c r="U104" t="str">
        <f>Transactions_RAW_cleaned[[#This Row],[Region ]]&amp;Transactions_RAW_cleaned[[#This Row],[Quarter ]]</f>
        <v>NAQ2</v>
      </c>
      <c r="V104" s="5">
        <f>_xlfn.XLOOKUP(Transactions_RAW_cleaned[[#This Row],[RegionQuarterKey]], Quarterly_Targets_cleaned[RegionQuarterKey], Quarterly_Targets_cleaned[TargetRevenue])</f>
        <v>260000</v>
      </c>
    </row>
    <row r="105" spans="1:22" x14ac:dyDescent="0.25">
      <c r="A105" t="s">
        <v>397</v>
      </c>
      <c r="B105" s="1">
        <v>45622</v>
      </c>
      <c r="C105" t="s">
        <v>195</v>
      </c>
      <c r="D105" t="s">
        <v>294</v>
      </c>
      <c r="E105">
        <v>771.11</v>
      </c>
      <c r="F105" t="s">
        <v>381</v>
      </c>
      <c r="G105" t="s">
        <v>325</v>
      </c>
      <c r="H105" t="s">
        <v>332</v>
      </c>
      <c r="I105" t="s">
        <v>8</v>
      </c>
      <c r="J105" t="s">
        <v>102</v>
      </c>
      <c r="K105" t="s">
        <v>32</v>
      </c>
      <c r="L105" t="s">
        <v>295</v>
      </c>
      <c r="M105" t="s">
        <v>296</v>
      </c>
      <c r="N105">
        <v>2.9000000000000001E-2</v>
      </c>
      <c r="O105" t="str">
        <f>IF(Transactions_RAW_cleaned[[#This Row],[Status]]="Completed", IFERROR(_xlfn.XLOOKUP(Transactions_RAW_cleaned[[#This Row],[CustomerID]], Customers_cleaned[CustomerID], Customers_cleaned[Segment]), "Customer Not Found"), "N/A")</f>
        <v>N/A</v>
      </c>
      <c r="P105" s="5" t="str">
        <f>IF(Transactions_RAW_cleaned[[#This Row],[Status]]="Refunded", "Refund",
  IF(Transactions_RAW_cleaned[[#This Row],[Category]]="Payments", IF(Transactions_RAW_cleaned[[#This Row],[Amount]]&gt;500,"High Value","Standard"),
    IF(Transactions_RAW_cleaned[[#This Row],[Amount]]&gt;250,"High Value","Standard")))</f>
        <v>High Value</v>
      </c>
      <c r="Q105" s="5" t="str">
        <f>IF(Transactions_RAW_cleaned[[#This Row],[Amount]] &gt; (_xlfn.XLOOKUP(Transactions_RAW_cleaned[[#This Row],[ServiceID]],Services_cleaned[ServiceID],Services_cleaned[TransactionFeePct]) * 10000), "Yes", "No")</f>
        <v>Yes</v>
      </c>
      <c r="R105" s="5" t="str">
        <f>IF(COUNTIFS($C$2:Transactions_RAW_cleaned[[#This Row],[CustomerID]],Transactions_RAW_cleaned[[#This Row],[CustomerID]],$D$2:Transactions_RAW_cleaned[[#This Row],[ServiceID]],Transactions_RAW_cleaned[[#This Row],[ServiceID]])=1,"Yes","No")</f>
        <v>Yes</v>
      </c>
      <c r="S10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5" t="str">
        <f>"Q"&amp;ROUNDUP(MONTH(Transactions_RAW_cleaned[[#This Row],[TransactionDate]])/3,0)</f>
        <v>Q4</v>
      </c>
      <c r="U105" t="str">
        <f>Transactions_RAW_cleaned[[#This Row],[Region ]]&amp;Transactions_RAW_cleaned[[#This Row],[Quarter ]]</f>
        <v>NAQ4</v>
      </c>
      <c r="V105" s="5">
        <f>_xlfn.XLOOKUP(Transactions_RAW_cleaned[[#This Row],[RegionQuarterKey]], Quarterly_Targets_cleaned[RegionQuarterKey], Quarterly_Targets_cleaned[TargetRevenue])</f>
        <v>299000</v>
      </c>
    </row>
    <row r="106" spans="1:22" x14ac:dyDescent="0.25">
      <c r="A106" t="s">
        <v>419</v>
      </c>
      <c r="B106" s="1">
        <v>45461</v>
      </c>
      <c r="C106" t="s">
        <v>129</v>
      </c>
      <c r="D106" t="s">
        <v>294</v>
      </c>
      <c r="E106">
        <v>347.38</v>
      </c>
      <c r="F106" t="s">
        <v>381</v>
      </c>
      <c r="G106" t="s">
        <v>327</v>
      </c>
      <c r="I106" t="s">
        <v>8</v>
      </c>
      <c r="J106" t="s">
        <v>21</v>
      </c>
      <c r="K106" t="s">
        <v>18</v>
      </c>
      <c r="L106" t="s">
        <v>295</v>
      </c>
      <c r="M106" t="s">
        <v>296</v>
      </c>
      <c r="N106">
        <v>2.9000000000000001E-2</v>
      </c>
      <c r="O106" t="str">
        <f>IF(Transactions_RAW_cleaned[[#This Row],[Status]]="Completed", IFERROR(_xlfn.XLOOKUP(Transactions_RAW_cleaned[[#This Row],[CustomerID]], Customers_cleaned[CustomerID], Customers_cleaned[Segment]), "Customer Not Found"), "N/A")</f>
        <v>N/A</v>
      </c>
      <c r="P106" s="5" t="str">
        <f>IF(Transactions_RAW_cleaned[[#This Row],[Status]]="Refunded", "Refund",
  IF(Transactions_RAW_cleaned[[#This Row],[Category]]="Payments", IF(Transactions_RAW_cleaned[[#This Row],[Amount]]&gt;500,"High Value","Standard"),
    IF(Transactions_RAW_cleaned[[#This Row],[Amount]]&gt;250,"High Value","Standard")))</f>
        <v>Standard</v>
      </c>
      <c r="Q106" s="5" t="str">
        <f>IF(Transactions_RAW_cleaned[[#This Row],[Amount]] &gt; (_xlfn.XLOOKUP(Transactions_RAW_cleaned[[#This Row],[ServiceID]],Services_cleaned[ServiceID],Services_cleaned[TransactionFeePct]) * 10000), "Yes", "No")</f>
        <v>Yes</v>
      </c>
      <c r="R106" s="5" t="str">
        <f>IF(COUNTIFS($C$2:Transactions_RAW_cleaned[[#This Row],[CustomerID]],Transactions_RAW_cleaned[[#This Row],[CustomerID]],$D$2:Transactions_RAW_cleaned[[#This Row],[ServiceID]],Transactions_RAW_cleaned[[#This Row],[ServiceID]])=1,"Yes","No")</f>
        <v>Yes</v>
      </c>
      <c r="S10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6" t="str">
        <f>"Q"&amp;ROUNDUP(MONTH(Transactions_RAW_cleaned[[#This Row],[TransactionDate]])/3,0)</f>
        <v>Q2</v>
      </c>
      <c r="U106" t="str">
        <f>Transactions_RAW_cleaned[[#This Row],[Region ]]&amp;Transactions_RAW_cleaned[[#This Row],[Quarter ]]</f>
        <v>APACQ2</v>
      </c>
      <c r="V106" s="5">
        <f>_xlfn.XLOOKUP(Transactions_RAW_cleaned[[#This Row],[RegionQuarterKey]], Quarterly_Targets_cleaned[RegionQuarterKey], Quarterly_Targets_cleaned[TargetRevenue])</f>
        <v>110000</v>
      </c>
    </row>
    <row r="107" spans="1:22" x14ac:dyDescent="0.25">
      <c r="A107" t="s">
        <v>432</v>
      </c>
      <c r="B107" s="1">
        <v>45574</v>
      </c>
      <c r="C107" t="s">
        <v>129</v>
      </c>
      <c r="D107" t="s">
        <v>312</v>
      </c>
      <c r="E107">
        <v>326.27</v>
      </c>
      <c r="F107" t="s">
        <v>324</v>
      </c>
      <c r="G107" t="s">
        <v>327</v>
      </c>
      <c r="H107" t="s">
        <v>334</v>
      </c>
      <c r="I107" t="s">
        <v>8</v>
      </c>
      <c r="J107" t="s">
        <v>21</v>
      </c>
      <c r="K107" t="s">
        <v>18</v>
      </c>
      <c r="L107" t="s">
        <v>313</v>
      </c>
      <c r="M107" t="s">
        <v>314</v>
      </c>
      <c r="N107">
        <v>0</v>
      </c>
      <c r="O107" t="str">
        <f>IF(Transactions_RAW_cleaned[[#This Row],[Status]]="Completed", IFERROR(_xlfn.XLOOKUP(Transactions_RAW_cleaned[[#This Row],[CustomerID]], Customers_cleaned[CustomerID], Customers_cleaned[Segment]), "Customer Not Found"), "N/A")</f>
        <v>SMB</v>
      </c>
      <c r="P107" s="5" t="str">
        <f>IF(Transactions_RAW_cleaned[[#This Row],[Status]]="Refunded", "Refund",
  IF(Transactions_RAW_cleaned[[#This Row],[Category]]="Payments", IF(Transactions_RAW_cleaned[[#This Row],[Amount]]&gt;500,"High Value","Standard"),
    IF(Transactions_RAW_cleaned[[#This Row],[Amount]]&gt;250,"High Value","Standard")))</f>
        <v>High Value</v>
      </c>
      <c r="Q107" s="5" t="str">
        <f>IF(Transactions_RAW_cleaned[[#This Row],[Amount]] &gt; (_xlfn.XLOOKUP(Transactions_RAW_cleaned[[#This Row],[ServiceID]],Services_cleaned[ServiceID],Services_cleaned[TransactionFeePct]) * 10000), "Yes", "No")</f>
        <v>Yes</v>
      </c>
      <c r="R107" s="5" t="str">
        <f>IF(COUNTIFS($C$2:Transactions_RAW_cleaned[[#This Row],[CustomerID]],Transactions_RAW_cleaned[[#This Row],[CustomerID]],$D$2:Transactions_RAW_cleaned[[#This Row],[ServiceID]],Transactions_RAW_cleaned[[#This Row],[ServiceID]])=1,"Yes","No")</f>
        <v>Yes</v>
      </c>
      <c r="S10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7" t="str">
        <f>"Q"&amp;ROUNDUP(MONTH(Transactions_RAW_cleaned[[#This Row],[TransactionDate]])/3,0)</f>
        <v>Q4</v>
      </c>
      <c r="U107" t="str">
        <f>Transactions_RAW_cleaned[[#This Row],[Region ]]&amp;Transactions_RAW_cleaned[[#This Row],[Quarter ]]</f>
        <v>APACQ4</v>
      </c>
      <c r="V107" s="5">
        <f>_xlfn.XLOOKUP(Transactions_RAW_cleaned[[#This Row],[RegionQuarterKey]], Quarterly_Targets_cleaned[RegionQuarterKey], Quarterly_Targets_cleaned[TargetRevenue])</f>
        <v>126500</v>
      </c>
    </row>
    <row r="108" spans="1:22" x14ac:dyDescent="0.25">
      <c r="A108" t="s">
        <v>389</v>
      </c>
      <c r="B108" s="1">
        <v>45455</v>
      </c>
      <c r="C108" t="s">
        <v>225</v>
      </c>
      <c r="D108" t="s">
        <v>303</v>
      </c>
      <c r="E108">
        <v>700.25</v>
      </c>
      <c r="F108" t="s">
        <v>324</v>
      </c>
      <c r="G108" t="s">
        <v>337</v>
      </c>
      <c r="I108" t="s">
        <v>8</v>
      </c>
      <c r="J108" t="s">
        <v>21</v>
      </c>
      <c r="K108" t="s">
        <v>28</v>
      </c>
      <c r="L108" t="s">
        <v>304</v>
      </c>
      <c r="M108" t="s">
        <v>305</v>
      </c>
      <c r="N108">
        <v>1E-3</v>
      </c>
      <c r="O108" t="str">
        <f>IF(Transactions_RAW_cleaned[[#This Row],[Status]]="Completed", IFERROR(_xlfn.XLOOKUP(Transactions_RAW_cleaned[[#This Row],[CustomerID]], Customers_cleaned[CustomerID], Customers_cleaned[Segment]), "Customer Not Found"), "N/A")</f>
        <v>SMB</v>
      </c>
      <c r="P108" s="5" t="str">
        <f>IF(Transactions_RAW_cleaned[[#This Row],[Status]]="Refunded", "Refund",
  IF(Transactions_RAW_cleaned[[#This Row],[Category]]="Payments", IF(Transactions_RAW_cleaned[[#This Row],[Amount]]&gt;500,"High Value","Standard"),
    IF(Transactions_RAW_cleaned[[#This Row],[Amount]]&gt;250,"High Value","Standard")))</f>
        <v>High Value</v>
      </c>
      <c r="Q108" s="5" t="str">
        <f>IF(Transactions_RAW_cleaned[[#This Row],[Amount]] &gt; (_xlfn.XLOOKUP(Transactions_RAW_cleaned[[#This Row],[ServiceID]],Services_cleaned[ServiceID],Services_cleaned[TransactionFeePct]) * 10000), "Yes", "No")</f>
        <v>Yes</v>
      </c>
      <c r="R108" s="5" t="str">
        <f>IF(COUNTIFS($C$2:Transactions_RAW_cleaned[[#This Row],[CustomerID]],Transactions_RAW_cleaned[[#This Row],[CustomerID]],$D$2:Transactions_RAW_cleaned[[#This Row],[ServiceID]],Transactions_RAW_cleaned[[#This Row],[ServiceID]])=1,"Yes","No")</f>
        <v>Yes</v>
      </c>
      <c r="S10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8" t="str">
        <f>"Q"&amp;ROUNDUP(MONTH(Transactions_RAW_cleaned[[#This Row],[TransactionDate]])/3,0)</f>
        <v>Q2</v>
      </c>
      <c r="U108" t="str">
        <f>Transactions_RAW_cleaned[[#This Row],[Region ]]&amp;Transactions_RAW_cleaned[[#This Row],[Quarter ]]</f>
        <v>APACQ2</v>
      </c>
      <c r="V108" s="5">
        <f>_xlfn.XLOOKUP(Transactions_RAW_cleaned[[#This Row],[RegionQuarterKey]], Quarterly_Targets_cleaned[RegionQuarterKey], Quarterly_Targets_cleaned[TargetRevenue])</f>
        <v>110000</v>
      </c>
    </row>
    <row r="109" spans="1:22" x14ac:dyDescent="0.25">
      <c r="A109" t="s">
        <v>435</v>
      </c>
      <c r="B109" s="1">
        <v>45633</v>
      </c>
      <c r="C109" t="s">
        <v>225</v>
      </c>
      <c r="D109" t="s">
        <v>297</v>
      </c>
      <c r="E109">
        <v>567.65</v>
      </c>
      <c r="F109" t="s">
        <v>324</v>
      </c>
      <c r="G109" t="s">
        <v>337</v>
      </c>
      <c r="H109" t="s">
        <v>332</v>
      </c>
      <c r="I109" t="s">
        <v>8</v>
      </c>
      <c r="J109" t="s">
        <v>21</v>
      </c>
      <c r="K109" t="s">
        <v>28</v>
      </c>
      <c r="L109" t="s">
        <v>298</v>
      </c>
      <c r="M109" t="s">
        <v>299</v>
      </c>
      <c r="N109">
        <v>0</v>
      </c>
      <c r="O109" t="str">
        <f>IF(Transactions_RAW_cleaned[[#This Row],[Status]]="Completed", IFERROR(_xlfn.XLOOKUP(Transactions_RAW_cleaned[[#This Row],[CustomerID]], Customers_cleaned[CustomerID], Customers_cleaned[Segment]), "Customer Not Found"), "N/A")</f>
        <v>SMB</v>
      </c>
      <c r="P109" s="5" t="str">
        <f>IF(Transactions_RAW_cleaned[[#This Row],[Status]]="Refunded", "Refund",
  IF(Transactions_RAW_cleaned[[#This Row],[Category]]="Payments", IF(Transactions_RAW_cleaned[[#This Row],[Amount]]&gt;500,"High Value","Standard"),
    IF(Transactions_RAW_cleaned[[#This Row],[Amount]]&gt;250,"High Value","Standard")))</f>
        <v>High Value</v>
      </c>
      <c r="Q109" s="5" t="str">
        <f>IF(Transactions_RAW_cleaned[[#This Row],[Amount]] &gt; (_xlfn.XLOOKUP(Transactions_RAW_cleaned[[#This Row],[ServiceID]],Services_cleaned[ServiceID],Services_cleaned[TransactionFeePct]) * 10000), "Yes", "No")</f>
        <v>Yes</v>
      </c>
      <c r="R109" s="5" t="str">
        <f>IF(COUNTIFS($C$2:Transactions_RAW_cleaned[[#This Row],[CustomerID]],Transactions_RAW_cleaned[[#This Row],[CustomerID]],$D$2:Transactions_RAW_cleaned[[#This Row],[ServiceID]],Transactions_RAW_cleaned[[#This Row],[ServiceID]])=1,"Yes","No")</f>
        <v>Yes</v>
      </c>
      <c r="S10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9" t="str">
        <f>"Q"&amp;ROUNDUP(MONTH(Transactions_RAW_cleaned[[#This Row],[TransactionDate]])/3,0)</f>
        <v>Q4</v>
      </c>
      <c r="U109" t="str">
        <f>Transactions_RAW_cleaned[[#This Row],[Region ]]&amp;Transactions_RAW_cleaned[[#This Row],[Quarter ]]</f>
        <v>APACQ4</v>
      </c>
      <c r="V109" s="5">
        <f>_xlfn.XLOOKUP(Transactions_RAW_cleaned[[#This Row],[RegionQuarterKey]], Quarterly_Targets_cleaned[RegionQuarterKey], Quarterly_Targets_cleaned[TargetRevenue])</f>
        <v>126500</v>
      </c>
    </row>
    <row r="110" spans="1:22" x14ac:dyDescent="0.25">
      <c r="A110" t="s">
        <v>461</v>
      </c>
      <c r="B110" s="1">
        <v>45502</v>
      </c>
      <c r="C110" t="s">
        <v>225</v>
      </c>
      <c r="D110" t="s">
        <v>309</v>
      </c>
      <c r="E110">
        <v>380.13</v>
      </c>
      <c r="F110" t="s">
        <v>324</v>
      </c>
      <c r="G110" t="s">
        <v>327</v>
      </c>
      <c r="H110" t="s">
        <v>332</v>
      </c>
      <c r="I110" t="s">
        <v>8</v>
      </c>
      <c r="J110" t="s">
        <v>21</v>
      </c>
      <c r="K110" t="s">
        <v>28</v>
      </c>
      <c r="L110" t="s">
        <v>310</v>
      </c>
      <c r="M110" t="s">
        <v>311</v>
      </c>
      <c r="N110">
        <v>0</v>
      </c>
      <c r="O110" t="str">
        <f>IF(Transactions_RAW_cleaned[[#This Row],[Status]]="Completed", IFERROR(_xlfn.XLOOKUP(Transactions_RAW_cleaned[[#This Row],[CustomerID]], Customers_cleaned[CustomerID], Customers_cleaned[Segment]), "Customer Not Found"), "N/A")</f>
        <v>SMB</v>
      </c>
      <c r="P110" s="5" t="str">
        <f>IF(Transactions_RAW_cleaned[[#This Row],[Status]]="Refunded", "Refund",
  IF(Transactions_RAW_cleaned[[#This Row],[Category]]="Payments", IF(Transactions_RAW_cleaned[[#This Row],[Amount]]&gt;500,"High Value","Standard"),
    IF(Transactions_RAW_cleaned[[#This Row],[Amount]]&gt;250,"High Value","Standard")))</f>
        <v>High Value</v>
      </c>
      <c r="Q110" s="5" t="str">
        <f>IF(Transactions_RAW_cleaned[[#This Row],[Amount]] &gt; (_xlfn.XLOOKUP(Transactions_RAW_cleaned[[#This Row],[ServiceID]],Services_cleaned[ServiceID],Services_cleaned[TransactionFeePct]) * 10000), "Yes", "No")</f>
        <v>Yes</v>
      </c>
      <c r="R110" s="5" t="str">
        <f>IF(COUNTIFS($C$2:Transactions_RAW_cleaned[[#This Row],[CustomerID]],Transactions_RAW_cleaned[[#This Row],[CustomerID]],$D$2:Transactions_RAW_cleaned[[#This Row],[ServiceID]],Transactions_RAW_cleaned[[#This Row],[ServiceID]])=1,"Yes","No")</f>
        <v>Yes</v>
      </c>
      <c r="S11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0" t="str">
        <f>"Q"&amp;ROUNDUP(MONTH(Transactions_RAW_cleaned[[#This Row],[TransactionDate]])/3,0)</f>
        <v>Q3</v>
      </c>
      <c r="U110" t="str">
        <f>Transactions_RAW_cleaned[[#This Row],[Region ]]&amp;Transactions_RAW_cleaned[[#This Row],[Quarter ]]</f>
        <v>APACQ3</v>
      </c>
      <c r="V110" s="5">
        <f>_xlfn.XLOOKUP(Transactions_RAW_cleaned[[#This Row],[RegionQuarterKey]], Quarterly_Targets_cleaned[RegionQuarterKey], Quarterly_Targets_cleaned[TargetRevenue])</f>
        <v>115500</v>
      </c>
    </row>
    <row r="111" spans="1:22" x14ac:dyDescent="0.25">
      <c r="A111" t="s">
        <v>398</v>
      </c>
      <c r="B111" s="1">
        <v>45632</v>
      </c>
      <c r="C111" t="s">
        <v>133</v>
      </c>
      <c r="D111" t="s">
        <v>303</v>
      </c>
      <c r="E111">
        <v>1061.48</v>
      </c>
      <c r="F111" t="s">
        <v>324</v>
      </c>
      <c r="G111" t="s">
        <v>337</v>
      </c>
      <c r="H111" t="s">
        <v>346</v>
      </c>
      <c r="I111" t="s">
        <v>17</v>
      </c>
      <c r="J111" t="s">
        <v>102</v>
      </c>
      <c r="K111" t="s">
        <v>22</v>
      </c>
      <c r="L111" t="s">
        <v>304</v>
      </c>
      <c r="M111" t="s">
        <v>305</v>
      </c>
      <c r="N111">
        <v>1E-3</v>
      </c>
      <c r="O111" t="str">
        <f>IF(Transactions_RAW_cleaned[[#This Row],[Status]]="Completed", IFERROR(_xlfn.XLOOKUP(Transactions_RAW_cleaned[[#This Row],[CustomerID]], Customers_cleaned[CustomerID], Customers_cleaned[Segment]), "Customer Not Found"), "N/A")</f>
        <v>Enterprise</v>
      </c>
      <c r="P111" s="5" t="str">
        <f>IF(Transactions_RAW_cleaned[[#This Row],[Status]]="Refunded", "Refund",
  IF(Transactions_RAW_cleaned[[#This Row],[Category]]="Payments", IF(Transactions_RAW_cleaned[[#This Row],[Amount]]&gt;500,"High Value","Standard"),
    IF(Transactions_RAW_cleaned[[#This Row],[Amount]]&gt;250,"High Value","Standard")))</f>
        <v>High Value</v>
      </c>
      <c r="Q111" s="5" t="str">
        <f>IF(Transactions_RAW_cleaned[[#This Row],[Amount]] &gt; (_xlfn.XLOOKUP(Transactions_RAW_cleaned[[#This Row],[ServiceID]],Services_cleaned[ServiceID],Services_cleaned[TransactionFeePct]) * 10000), "Yes", "No")</f>
        <v>Yes</v>
      </c>
      <c r="R111" s="5" t="str">
        <f>IF(COUNTIFS($C$2:Transactions_RAW_cleaned[[#This Row],[CustomerID]],Transactions_RAW_cleaned[[#This Row],[CustomerID]],$D$2:Transactions_RAW_cleaned[[#This Row],[ServiceID]],Transactions_RAW_cleaned[[#This Row],[ServiceID]])=1,"Yes","No")</f>
        <v>Yes</v>
      </c>
      <c r="S11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1" t="str">
        <f>"Q"&amp;ROUNDUP(MONTH(Transactions_RAW_cleaned[[#This Row],[TransactionDate]])/3,0)</f>
        <v>Q4</v>
      </c>
      <c r="U111" t="str">
        <f>Transactions_RAW_cleaned[[#This Row],[Region ]]&amp;Transactions_RAW_cleaned[[#This Row],[Quarter ]]</f>
        <v>NAQ4</v>
      </c>
      <c r="V111" s="5">
        <f>_xlfn.XLOOKUP(Transactions_RAW_cleaned[[#This Row],[RegionQuarterKey]], Quarterly_Targets_cleaned[RegionQuarterKey], Quarterly_Targets_cleaned[TargetRevenue])</f>
        <v>299000</v>
      </c>
    </row>
    <row r="112" spans="1:22" x14ac:dyDescent="0.25">
      <c r="A112" t="s">
        <v>412</v>
      </c>
      <c r="B112" s="1">
        <v>45314</v>
      </c>
      <c r="C112" t="s">
        <v>133</v>
      </c>
      <c r="D112" t="s">
        <v>315</v>
      </c>
      <c r="E112">
        <v>316.02</v>
      </c>
      <c r="F112" t="s">
        <v>324</v>
      </c>
      <c r="G112" t="s">
        <v>329</v>
      </c>
      <c r="I112" t="s">
        <v>17</v>
      </c>
      <c r="J112" t="s">
        <v>102</v>
      </c>
      <c r="K112" t="s">
        <v>22</v>
      </c>
      <c r="L112" t="s">
        <v>316</v>
      </c>
      <c r="M112" t="s">
        <v>305</v>
      </c>
      <c r="N112">
        <v>2.5000000000000001E-3</v>
      </c>
      <c r="O112" t="str">
        <f>IF(Transactions_RAW_cleaned[[#This Row],[Status]]="Completed", IFERROR(_xlfn.XLOOKUP(Transactions_RAW_cleaned[[#This Row],[CustomerID]], Customers_cleaned[CustomerID], Customers_cleaned[Segment]), "Customer Not Found"), "N/A")</f>
        <v>Enterprise</v>
      </c>
      <c r="P112" s="5" t="str">
        <f>IF(Transactions_RAW_cleaned[[#This Row],[Status]]="Refunded", "Refund",
  IF(Transactions_RAW_cleaned[[#This Row],[Category]]="Payments", IF(Transactions_RAW_cleaned[[#This Row],[Amount]]&gt;500,"High Value","Standard"),
    IF(Transactions_RAW_cleaned[[#This Row],[Amount]]&gt;250,"High Value","Standard")))</f>
        <v>High Value</v>
      </c>
      <c r="Q112" s="5" t="str">
        <f>IF(Transactions_RAW_cleaned[[#This Row],[Amount]] &gt; (_xlfn.XLOOKUP(Transactions_RAW_cleaned[[#This Row],[ServiceID]],Services_cleaned[ServiceID],Services_cleaned[TransactionFeePct]) * 10000), "Yes", "No")</f>
        <v>Yes</v>
      </c>
      <c r="R112" s="5" t="str">
        <f>IF(COUNTIFS($C$2:Transactions_RAW_cleaned[[#This Row],[CustomerID]],Transactions_RAW_cleaned[[#This Row],[CustomerID]],$D$2:Transactions_RAW_cleaned[[#This Row],[ServiceID]],Transactions_RAW_cleaned[[#This Row],[ServiceID]])=1,"Yes","No")</f>
        <v>Yes</v>
      </c>
      <c r="S11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2" t="str">
        <f>"Q"&amp;ROUNDUP(MONTH(Transactions_RAW_cleaned[[#This Row],[TransactionDate]])/3,0)</f>
        <v>Q1</v>
      </c>
      <c r="U112" t="str">
        <f>Transactions_RAW_cleaned[[#This Row],[Region ]]&amp;Transactions_RAW_cleaned[[#This Row],[Quarter ]]</f>
        <v>NAQ1</v>
      </c>
      <c r="V112" s="5">
        <f>_xlfn.XLOOKUP(Transactions_RAW_cleaned[[#This Row],[RegionQuarterKey]], Quarterly_Targets_cleaned[RegionQuarterKey], Quarterly_Targets_cleaned[TargetRevenue])</f>
        <v>247000</v>
      </c>
    </row>
    <row r="113" spans="1:22" x14ac:dyDescent="0.25">
      <c r="A113" t="s">
        <v>418</v>
      </c>
      <c r="B113" s="1">
        <v>45519</v>
      </c>
      <c r="C113" t="s">
        <v>135</v>
      </c>
      <c r="D113" t="s">
        <v>300</v>
      </c>
      <c r="E113">
        <v>535.39</v>
      </c>
      <c r="F113" t="s">
        <v>324</v>
      </c>
      <c r="G113" t="s">
        <v>337</v>
      </c>
      <c r="H113" t="s">
        <v>346</v>
      </c>
      <c r="I113" t="s">
        <v>8</v>
      </c>
      <c r="J113" t="s">
        <v>46</v>
      </c>
      <c r="K113" t="s">
        <v>10</v>
      </c>
      <c r="L113" t="s">
        <v>301</v>
      </c>
      <c r="M113" t="s">
        <v>302</v>
      </c>
      <c r="N113">
        <v>5.0000000000000001E-3</v>
      </c>
      <c r="O113" t="str">
        <f>IF(Transactions_RAW_cleaned[[#This Row],[Status]]="Completed", IFERROR(_xlfn.XLOOKUP(Transactions_RAW_cleaned[[#This Row],[CustomerID]], Customers_cleaned[CustomerID], Customers_cleaned[Segment]), "Customer Not Found"), "N/A")</f>
        <v>SMB</v>
      </c>
      <c r="P113" s="5" t="str">
        <f>IF(Transactions_RAW_cleaned[[#This Row],[Status]]="Refunded", "Refund",
  IF(Transactions_RAW_cleaned[[#This Row],[Category]]="Payments", IF(Transactions_RAW_cleaned[[#This Row],[Amount]]&gt;500,"High Value","Standard"),
    IF(Transactions_RAW_cleaned[[#This Row],[Amount]]&gt;250,"High Value","Standard")))</f>
        <v>High Value</v>
      </c>
      <c r="Q113" s="5" t="str">
        <f>IF(Transactions_RAW_cleaned[[#This Row],[Amount]] &gt; (_xlfn.XLOOKUP(Transactions_RAW_cleaned[[#This Row],[ServiceID]],Services_cleaned[ServiceID],Services_cleaned[TransactionFeePct]) * 10000), "Yes", "No")</f>
        <v>Yes</v>
      </c>
      <c r="R113" s="5" t="str">
        <f>IF(COUNTIFS($C$2:Transactions_RAW_cleaned[[#This Row],[CustomerID]],Transactions_RAW_cleaned[[#This Row],[CustomerID]],$D$2:Transactions_RAW_cleaned[[#This Row],[ServiceID]],Transactions_RAW_cleaned[[#This Row],[ServiceID]])=1,"Yes","No")</f>
        <v>Yes</v>
      </c>
      <c r="S11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3" t="str">
        <f>"Q"&amp;ROUNDUP(MONTH(Transactions_RAW_cleaned[[#This Row],[TransactionDate]])/3,0)</f>
        <v>Q3</v>
      </c>
      <c r="U113" t="str">
        <f>Transactions_RAW_cleaned[[#This Row],[Region ]]&amp;Transactions_RAW_cleaned[[#This Row],[Quarter ]]</f>
        <v>APACQ3</v>
      </c>
      <c r="V113" s="5">
        <f>_xlfn.XLOOKUP(Transactions_RAW_cleaned[[#This Row],[RegionQuarterKey]], Quarterly_Targets_cleaned[RegionQuarterKey], Quarterly_Targets_cleaned[TargetRevenue])</f>
        <v>115500</v>
      </c>
    </row>
    <row r="114" spans="1:22" x14ac:dyDescent="0.25">
      <c r="A114" t="s">
        <v>434</v>
      </c>
      <c r="B114" s="1">
        <v>45428</v>
      </c>
      <c r="C114" t="s">
        <v>135</v>
      </c>
      <c r="D114" t="s">
        <v>306</v>
      </c>
      <c r="E114">
        <v>278.37</v>
      </c>
      <c r="F114" t="s">
        <v>381</v>
      </c>
      <c r="G114" t="s">
        <v>325</v>
      </c>
      <c r="I114" t="s">
        <v>8</v>
      </c>
      <c r="J114" t="s">
        <v>46</v>
      </c>
      <c r="K114" t="s">
        <v>10</v>
      </c>
      <c r="L114" t="s">
        <v>307</v>
      </c>
      <c r="M114" t="s">
        <v>308</v>
      </c>
      <c r="N114">
        <v>0</v>
      </c>
      <c r="O114" t="str">
        <f>IF(Transactions_RAW_cleaned[[#This Row],[Status]]="Completed", IFERROR(_xlfn.XLOOKUP(Transactions_RAW_cleaned[[#This Row],[CustomerID]], Customers_cleaned[CustomerID], Customers_cleaned[Segment]), "Customer Not Found"), "N/A")</f>
        <v>N/A</v>
      </c>
      <c r="P114" s="5" t="str">
        <f>IF(Transactions_RAW_cleaned[[#This Row],[Status]]="Refunded", "Refund",
  IF(Transactions_RAW_cleaned[[#This Row],[Category]]="Payments", IF(Transactions_RAW_cleaned[[#This Row],[Amount]]&gt;500,"High Value","Standard"),
    IF(Transactions_RAW_cleaned[[#This Row],[Amount]]&gt;250,"High Value","Standard")))</f>
        <v>High Value</v>
      </c>
      <c r="Q114" s="5" t="str">
        <f>IF(Transactions_RAW_cleaned[[#This Row],[Amount]] &gt; (_xlfn.XLOOKUP(Transactions_RAW_cleaned[[#This Row],[ServiceID]],Services_cleaned[ServiceID],Services_cleaned[TransactionFeePct]) * 10000), "Yes", "No")</f>
        <v>Yes</v>
      </c>
      <c r="R114" s="5" t="str">
        <f>IF(COUNTIFS($C$2:Transactions_RAW_cleaned[[#This Row],[CustomerID]],Transactions_RAW_cleaned[[#This Row],[CustomerID]],$D$2:Transactions_RAW_cleaned[[#This Row],[ServiceID]],Transactions_RAW_cleaned[[#This Row],[ServiceID]])=1,"Yes","No")</f>
        <v>Yes</v>
      </c>
      <c r="S11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4" t="str">
        <f>"Q"&amp;ROUNDUP(MONTH(Transactions_RAW_cleaned[[#This Row],[TransactionDate]])/3,0)</f>
        <v>Q2</v>
      </c>
      <c r="U114" t="str">
        <f>Transactions_RAW_cleaned[[#This Row],[Region ]]&amp;Transactions_RAW_cleaned[[#This Row],[Quarter ]]</f>
        <v>APACQ2</v>
      </c>
      <c r="V114" s="5">
        <f>_xlfn.XLOOKUP(Transactions_RAW_cleaned[[#This Row],[RegionQuarterKey]], Quarterly_Targets_cleaned[RegionQuarterKey], Quarterly_Targets_cleaned[TargetRevenue])</f>
        <v>110000</v>
      </c>
    </row>
    <row r="115" spans="1:22" x14ac:dyDescent="0.25">
      <c r="A115" t="s">
        <v>391</v>
      </c>
      <c r="B115" s="1">
        <v>45608</v>
      </c>
      <c r="C115" t="s">
        <v>261</v>
      </c>
      <c r="D115" t="s">
        <v>294</v>
      </c>
      <c r="E115">
        <v>335.62</v>
      </c>
      <c r="F115" t="s">
        <v>324</v>
      </c>
      <c r="G115" t="s">
        <v>2963</v>
      </c>
      <c r="I115" t="s">
        <v>8</v>
      </c>
      <c r="J115" t="s">
        <v>31</v>
      </c>
      <c r="K115" t="s">
        <v>18</v>
      </c>
      <c r="L115" t="s">
        <v>295</v>
      </c>
      <c r="M115" t="s">
        <v>296</v>
      </c>
      <c r="N115">
        <v>2.9000000000000001E-2</v>
      </c>
      <c r="O115" t="str">
        <f>IF(Transactions_RAW_cleaned[[#This Row],[Status]]="Completed", IFERROR(_xlfn.XLOOKUP(Transactions_RAW_cleaned[[#This Row],[CustomerID]], Customers_cleaned[CustomerID], Customers_cleaned[Segment]), "Customer Not Found"), "N/A")</f>
        <v>SMB</v>
      </c>
      <c r="P115" s="5" t="str">
        <f>IF(Transactions_RAW_cleaned[[#This Row],[Status]]="Refunded", "Refund",
  IF(Transactions_RAW_cleaned[[#This Row],[Category]]="Payments", IF(Transactions_RAW_cleaned[[#This Row],[Amount]]&gt;500,"High Value","Standard"),
    IF(Transactions_RAW_cleaned[[#This Row],[Amount]]&gt;250,"High Value","Standard")))</f>
        <v>Standard</v>
      </c>
      <c r="Q115" s="5" t="str">
        <f>IF(Transactions_RAW_cleaned[[#This Row],[Amount]] &gt; (_xlfn.XLOOKUP(Transactions_RAW_cleaned[[#This Row],[ServiceID]],Services_cleaned[ServiceID],Services_cleaned[TransactionFeePct]) * 10000), "Yes", "No")</f>
        <v>Yes</v>
      </c>
      <c r="R115" s="5" t="str">
        <f>IF(COUNTIFS($C$2:Transactions_RAW_cleaned[[#This Row],[CustomerID]],Transactions_RAW_cleaned[[#This Row],[CustomerID]],$D$2:Transactions_RAW_cleaned[[#This Row],[ServiceID]],Transactions_RAW_cleaned[[#This Row],[ServiceID]])=1,"Yes","No")</f>
        <v>Yes</v>
      </c>
      <c r="S11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15" t="str">
        <f>"Q"&amp;ROUNDUP(MONTH(Transactions_RAW_cleaned[[#This Row],[TransactionDate]])/3,0)</f>
        <v>Q4</v>
      </c>
      <c r="U115" t="str">
        <f>Transactions_RAW_cleaned[[#This Row],[Region ]]&amp;Transactions_RAW_cleaned[[#This Row],[Quarter ]]</f>
        <v>EMEAQ4</v>
      </c>
      <c r="V115" s="5">
        <f>_xlfn.XLOOKUP(Transactions_RAW_cleaned[[#This Row],[RegionQuarterKey]], Quarterly_Targets_cleaned[RegionQuarterKey], Quarterly_Targets_cleaned[TargetRevenue])</f>
        <v>161000</v>
      </c>
    </row>
    <row r="116" spans="1:22" x14ac:dyDescent="0.25">
      <c r="A116" t="s">
        <v>392</v>
      </c>
      <c r="B116" s="1">
        <v>45398</v>
      </c>
      <c r="C116" t="s">
        <v>273</v>
      </c>
      <c r="D116" t="s">
        <v>294</v>
      </c>
      <c r="E116">
        <v>348.37</v>
      </c>
      <c r="F116" t="s">
        <v>324</v>
      </c>
      <c r="G116" t="s">
        <v>327</v>
      </c>
      <c r="H116" t="s">
        <v>332</v>
      </c>
      <c r="I116" t="s">
        <v>17</v>
      </c>
      <c r="J116" t="s">
        <v>102</v>
      </c>
      <c r="K116" t="s">
        <v>22</v>
      </c>
      <c r="L116" t="s">
        <v>295</v>
      </c>
      <c r="M116" t="s">
        <v>296</v>
      </c>
      <c r="N116">
        <v>2.9000000000000001E-2</v>
      </c>
      <c r="O116" t="str">
        <f>IF(Transactions_RAW_cleaned[[#This Row],[Status]]="Completed", IFERROR(_xlfn.XLOOKUP(Transactions_RAW_cleaned[[#This Row],[CustomerID]], Customers_cleaned[CustomerID], Customers_cleaned[Segment]), "Customer Not Found"), "N/A")</f>
        <v>Enterprise</v>
      </c>
      <c r="P116" s="5" t="str">
        <f>IF(Transactions_RAW_cleaned[[#This Row],[Status]]="Refunded", "Refund",
  IF(Transactions_RAW_cleaned[[#This Row],[Category]]="Payments", IF(Transactions_RAW_cleaned[[#This Row],[Amount]]&gt;500,"High Value","Standard"),
    IF(Transactions_RAW_cleaned[[#This Row],[Amount]]&gt;250,"High Value","Standard")))</f>
        <v>Standard</v>
      </c>
      <c r="Q116" s="5" t="str">
        <f>IF(Transactions_RAW_cleaned[[#This Row],[Amount]] &gt; (_xlfn.XLOOKUP(Transactions_RAW_cleaned[[#This Row],[ServiceID]],Services_cleaned[ServiceID],Services_cleaned[TransactionFeePct]) * 10000), "Yes", "No")</f>
        <v>Yes</v>
      </c>
      <c r="R116" s="5" t="str">
        <f>IF(COUNTIFS($C$2:Transactions_RAW_cleaned[[#This Row],[CustomerID]],Transactions_RAW_cleaned[[#This Row],[CustomerID]],$D$2:Transactions_RAW_cleaned[[#This Row],[ServiceID]],Transactions_RAW_cleaned[[#This Row],[ServiceID]])=1,"Yes","No")</f>
        <v>Yes</v>
      </c>
      <c r="S11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6" t="str">
        <f>"Q"&amp;ROUNDUP(MONTH(Transactions_RAW_cleaned[[#This Row],[TransactionDate]])/3,0)</f>
        <v>Q2</v>
      </c>
      <c r="U116" t="str">
        <f>Transactions_RAW_cleaned[[#This Row],[Region ]]&amp;Transactions_RAW_cleaned[[#This Row],[Quarter ]]</f>
        <v>NAQ2</v>
      </c>
      <c r="V116" s="5">
        <f>_xlfn.XLOOKUP(Transactions_RAW_cleaned[[#This Row],[RegionQuarterKey]], Quarterly_Targets_cleaned[RegionQuarterKey], Quarterly_Targets_cleaned[TargetRevenue])</f>
        <v>260000</v>
      </c>
    </row>
    <row r="117" spans="1:22" x14ac:dyDescent="0.25">
      <c r="A117" t="s">
        <v>401</v>
      </c>
      <c r="B117" s="1">
        <v>45529</v>
      </c>
      <c r="C117" t="s">
        <v>273</v>
      </c>
      <c r="D117" t="s">
        <v>315</v>
      </c>
      <c r="E117">
        <v>575.17999999999995</v>
      </c>
      <c r="F117" t="s">
        <v>324</v>
      </c>
      <c r="G117" t="s">
        <v>325</v>
      </c>
      <c r="I117" t="s">
        <v>17</v>
      </c>
      <c r="J117" t="s">
        <v>102</v>
      </c>
      <c r="K117" t="s">
        <v>22</v>
      </c>
      <c r="L117" t="s">
        <v>316</v>
      </c>
      <c r="M117" t="s">
        <v>305</v>
      </c>
      <c r="N117">
        <v>2.5000000000000001E-3</v>
      </c>
      <c r="O117" t="str">
        <f>IF(Transactions_RAW_cleaned[[#This Row],[Status]]="Completed", IFERROR(_xlfn.XLOOKUP(Transactions_RAW_cleaned[[#This Row],[CustomerID]], Customers_cleaned[CustomerID], Customers_cleaned[Segment]), "Customer Not Found"), "N/A")</f>
        <v>Enterprise</v>
      </c>
      <c r="P117" s="5" t="str">
        <f>IF(Transactions_RAW_cleaned[[#This Row],[Status]]="Refunded", "Refund",
  IF(Transactions_RAW_cleaned[[#This Row],[Category]]="Payments", IF(Transactions_RAW_cleaned[[#This Row],[Amount]]&gt;500,"High Value","Standard"),
    IF(Transactions_RAW_cleaned[[#This Row],[Amount]]&gt;250,"High Value","Standard")))</f>
        <v>High Value</v>
      </c>
      <c r="Q117" s="5" t="str">
        <f>IF(Transactions_RAW_cleaned[[#This Row],[Amount]] &gt; (_xlfn.XLOOKUP(Transactions_RAW_cleaned[[#This Row],[ServiceID]],Services_cleaned[ServiceID],Services_cleaned[TransactionFeePct]) * 10000), "Yes", "No")</f>
        <v>Yes</v>
      </c>
      <c r="R117" s="5" t="str">
        <f>IF(COUNTIFS($C$2:Transactions_RAW_cleaned[[#This Row],[CustomerID]],Transactions_RAW_cleaned[[#This Row],[CustomerID]],$D$2:Transactions_RAW_cleaned[[#This Row],[ServiceID]],Transactions_RAW_cleaned[[#This Row],[ServiceID]])=1,"Yes","No")</f>
        <v>Yes</v>
      </c>
      <c r="S11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7" t="str">
        <f>"Q"&amp;ROUNDUP(MONTH(Transactions_RAW_cleaned[[#This Row],[TransactionDate]])/3,0)</f>
        <v>Q3</v>
      </c>
      <c r="U117" t="str">
        <f>Transactions_RAW_cleaned[[#This Row],[Region ]]&amp;Transactions_RAW_cleaned[[#This Row],[Quarter ]]</f>
        <v>NAQ3</v>
      </c>
      <c r="V117" s="5">
        <f>_xlfn.XLOOKUP(Transactions_RAW_cleaned[[#This Row],[RegionQuarterKey]], Quarterly_Targets_cleaned[RegionQuarterKey], Quarterly_Targets_cleaned[TargetRevenue])</f>
        <v>273000</v>
      </c>
    </row>
    <row r="118" spans="1:22" x14ac:dyDescent="0.25">
      <c r="A118" t="s">
        <v>394</v>
      </c>
      <c r="B118" s="1">
        <v>45558</v>
      </c>
      <c r="C118" t="s">
        <v>203</v>
      </c>
      <c r="D118" t="s">
        <v>306</v>
      </c>
      <c r="E118">
        <v>562.16</v>
      </c>
      <c r="F118" t="s">
        <v>324</v>
      </c>
      <c r="G118" t="s">
        <v>337</v>
      </c>
      <c r="I118" t="s">
        <v>57</v>
      </c>
      <c r="J118" t="s">
        <v>21</v>
      </c>
      <c r="K118" t="s">
        <v>14</v>
      </c>
      <c r="L118" t="s">
        <v>307</v>
      </c>
      <c r="M118" t="s">
        <v>308</v>
      </c>
      <c r="N118">
        <v>0</v>
      </c>
      <c r="O118" t="str">
        <f>IF(Transactions_RAW_cleaned[[#This Row],[Status]]="Completed", IFERROR(_xlfn.XLOOKUP(Transactions_RAW_cleaned[[#This Row],[CustomerID]], Customers_cleaned[CustomerID], Customers_cleaned[Segment]), "Customer Not Found"), "N/A")</f>
        <v>Startup</v>
      </c>
      <c r="P118" s="5" t="str">
        <f>IF(Transactions_RAW_cleaned[[#This Row],[Status]]="Refunded", "Refund",
  IF(Transactions_RAW_cleaned[[#This Row],[Category]]="Payments", IF(Transactions_RAW_cleaned[[#This Row],[Amount]]&gt;500,"High Value","Standard"),
    IF(Transactions_RAW_cleaned[[#This Row],[Amount]]&gt;250,"High Value","Standard")))</f>
        <v>High Value</v>
      </c>
      <c r="Q118" s="5" t="str">
        <f>IF(Transactions_RAW_cleaned[[#This Row],[Amount]] &gt; (_xlfn.XLOOKUP(Transactions_RAW_cleaned[[#This Row],[ServiceID]],Services_cleaned[ServiceID],Services_cleaned[TransactionFeePct]) * 10000), "Yes", "No")</f>
        <v>Yes</v>
      </c>
      <c r="R118" s="5" t="str">
        <f>IF(COUNTIFS($C$2:Transactions_RAW_cleaned[[#This Row],[CustomerID]],Transactions_RAW_cleaned[[#This Row],[CustomerID]],$D$2:Transactions_RAW_cleaned[[#This Row],[ServiceID]],Transactions_RAW_cleaned[[#This Row],[ServiceID]])=1,"Yes","No")</f>
        <v>Yes</v>
      </c>
      <c r="S11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8" t="str">
        <f>"Q"&amp;ROUNDUP(MONTH(Transactions_RAW_cleaned[[#This Row],[TransactionDate]])/3,0)</f>
        <v>Q3</v>
      </c>
      <c r="U118" t="str">
        <f>Transactions_RAW_cleaned[[#This Row],[Region ]]&amp;Transactions_RAW_cleaned[[#This Row],[Quarter ]]</f>
        <v>APACQ3</v>
      </c>
      <c r="V118" s="5">
        <f>_xlfn.XLOOKUP(Transactions_RAW_cleaned[[#This Row],[RegionQuarterKey]], Quarterly_Targets_cleaned[RegionQuarterKey], Quarterly_Targets_cleaned[TargetRevenue])</f>
        <v>115500</v>
      </c>
    </row>
    <row r="119" spans="1:22" x14ac:dyDescent="0.25">
      <c r="A119" t="s">
        <v>406</v>
      </c>
      <c r="B119" s="1">
        <v>45580</v>
      </c>
      <c r="C119" t="s">
        <v>203</v>
      </c>
      <c r="D119" t="s">
        <v>294</v>
      </c>
      <c r="E119">
        <v>687.24</v>
      </c>
      <c r="F119" t="s">
        <v>324</v>
      </c>
      <c r="G119" t="s">
        <v>337</v>
      </c>
      <c r="I119" t="s">
        <v>57</v>
      </c>
      <c r="J119" t="s">
        <v>21</v>
      </c>
      <c r="K119" t="s">
        <v>14</v>
      </c>
      <c r="L119" t="s">
        <v>295</v>
      </c>
      <c r="M119" t="s">
        <v>296</v>
      </c>
      <c r="N119">
        <v>2.9000000000000001E-2</v>
      </c>
      <c r="O119" t="str">
        <f>IF(Transactions_RAW_cleaned[[#This Row],[Status]]="Completed", IFERROR(_xlfn.XLOOKUP(Transactions_RAW_cleaned[[#This Row],[CustomerID]], Customers_cleaned[CustomerID], Customers_cleaned[Segment]), "Customer Not Found"), "N/A")</f>
        <v>Startup</v>
      </c>
      <c r="P119" s="5" t="str">
        <f>IF(Transactions_RAW_cleaned[[#This Row],[Status]]="Refunded", "Refund",
  IF(Transactions_RAW_cleaned[[#This Row],[Category]]="Payments", IF(Transactions_RAW_cleaned[[#This Row],[Amount]]&gt;500,"High Value","Standard"),
    IF(Transactions_RAW_cleaned[[#This Row],[Amount]]&gt;250,"High Value","Standard")))</f>
        <v>High Value</v>
      </c>
      <c r="Q119" s="5" t="str">
        <f>IF(Transactions_RAW_cleaned[[#This Row],[Amount]] &gt; (_xlfn.XLOOKUP(Transactions_RAW_cleaned[[#This Row],[ServiceID]],Services_cleaned[ServiceID],Services_cleaned[TransactionFeePct]) * 10000), "Yes", "No")</f>
        <v>Yes</v>
      </c>
      <c r="R119" s="5" t="str">
        <f>IF(COUNTIFS($C$2:Transactions_RAW_cleaned[[#This Row],[CustomerID]],Transactions_RAW_cleaned[[#This Row],[CustomerID]],$D$2:Transactions_RAW_cleaned[[#This Row],[ServiceID]],Transactions_RAW_cleaned[[#This Row],[ServiceID]])=1,"Yes","No")</f>
        <v>Yes</v>
      </c>
      <c r="S11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9" t="str">
        <f>"Q"&amp;ROUNDUP(MONTH(Transactions_RAW_cleaned[[#This Row],[TransactionDate]])/3,0)</f>
        <v>Q4</v>
      </c>
      <c r="U119" t="str">
        <f>Transactions_RAW_cleaned[[#This Row],[Region ]]&amp;Transactions_RAW_cleaned[[#This Row],[Quarter ]]</f>
        <v>APACQ4</v>
      </c>
      <c r="V119" s="5">
        <f>_xlfn.XLOOKUP(Transactions_RAW_cleaned[[#This Row],[RegionQuarterKey]], Quarterly_Targets_cleaned[RegionQuarterKey], Quarterly_Targets_cleaned[TargetRevenue])</f>
        <v>126500</v>
      </c>
    </row>
    <row r="120" spans="1:22" x14ac:dyDescent="0.25">
      <c r="A120" t="s">
        <v>395</v>
      </c>
      <c r="B120" s="1">
        <v>45376</v>
      </c>
      <c r="C120" t="s">
        <v>396</v>
      </c>
      <c r="D120" t="s">
        <v>312</v>
      </c>
      <c r="E120">
        <v>96.31</v>
      </c>
      <c r="F120" t="s">
        <v>324</v>
      </c>
      <c r="G120" t="s">
        <v>329</v>
      </c>
      <c r="H120" t="s">
        <v>346</v>
      </c>
      <c r="I120" t="s">
        <v>57</v>
      </c>
      <c r="J120" t="s">
        <v>21</v>
      </c>
      <c r="K120" t="s">
        <v>2964</v>
      </c>
      <c r="L120" t="s">
        <v>313</v>
      </c>
      <c r="M120" t="s">
        <v>314</v>
      </c>
      <c r="N120">
        <v>0</v>
      </c>
      <c r="O120" t="str">
        <f>IF(Transactions_RAW_cleaned[[#This Row],[Status]]="Completed", IFERROR(_xlfn.XLOOKUP(Transactions_RAW_cleaned[[#This Row],[CustomerID]], Customers_cleaned[CustomerID], Customers_cleaned[Segment]), "Customer Not Found"), "N/A")</f>
        <v>Startup</v>
      </c>
      <c r="P120" s="5" t="str">
        <f>IF(Transactions_RAW_cleaned[[#This Row],[Status]]="Refunded", "Refund",
  IF(Transactions_RAW_cleaned[[#This Row],[Category]]="Payments", IF(Transactions_RAW_cleaned[[#This Row],[Amount]]&gt;500,"High Value","Standard"),
    IF(Transactions_RAW_cleaned[[#This Row],[Amount]]&gt;250,"High Value","Standard")))</f>
        <v>Standard</v>
      </c>
      <c r="Q120" s="5" t="str">
        <f>IF(Transactions_RAW_cleaned[[#This Row],[Amount]] &gt; (_xlfn.XLOOKUP(Transactions_RAW_cleaned[[#This Row],[ServiceID]],Services_cleaned[ServiceID],Services_cleaned[TransactionFeePct]) * 10000), "Yes", "No")</f>
        <v>Yes</v>
      </c>
      <c r="R120" s="5" t="str">
        <f>IF(COUNTIFS($C$2:Transactions_RAW_cleaned[[#This Row],[CustomerID]],Transactions_RAW_cleaned[[#This Row],[CustomerID]],$D$2:Transactions_RAW_cleaned[[#This Row],[ServiceID]],Transactions_RAW_cleaned[[#This Row],[ServiceID]])=1,"Yes","No")</f>
        <v>Yes</v>
      </c>
      <c r="S12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0" t="str">
        <f>"Q"&amp;ROUNDUP(MONTH(Transactions_RAW_cleaned[[#This Row],[TransactionDate]])/3,0)</f>
        <v>Q1</v>
      </c>
      <c r="U120" t="str">
        <f>Transactions_RAW_cleaned[[#This Row],[Region ]]&amp;Transactions_RAW_cleaned[[#This Row],[Quarter ]]</f>
        <v>APACQ1</v>
      </c>
      <c r="V120" s="5">
        <f>_xlfn.XLOOKUP(Transactions_RAW_cleaned[[#This Row],[RegionQuarterKey]], Quarterly_Targets_cleaned[RegionQuarterKey], Quarterly_Targets_cleaned[TargetRevenue])</f>
        <v>104500</v>
      </c>
    </row>
    <row r="121" spans="1:22" x14ac:dyDescent="0.25">
      <c r="A121" t="s">
        <v>399</v>
      </c>
      <c r="B121" s="1">
        <v>45476</v>
      </c>
      <c r="C121" t="s">
        <v>241</v>
      </c>
      <c r="D121" t="s">
        <v>294</v>
      </c>
      <c r="E121">
        <v>352.99</v>
      </c>
      <c r="F121" t="s">
        <v>324</v>
      </c>
      <c r="G121" t="s">
        <v>337</v>
      </c>
      <c r="H121" t="s">
        <v>346</v>
      </c>
      <c r="I121" t="s">
        <v>8</v>
      </c>
      <c r="J121" t="s">
        <v>102</v>
      </c>
      <c r="K121" t="s">
        <v>32</v>
      </c>
      <c r="L121" t="s">
        <v>295</v>
      </c>
      <c r="M121" t="s">
        <v>296</v>
      </c>
      <c r="N121">
        <v>2.9000000000000001E-2</v>
      </c>
      <c r="O121" t="str">
        <f>IF(Transactions_RAW_cleaned[[#This Row],[Status]]="Completed", IFERROR(_xlfn.XLOOKUP(Transactions_RAW_cleaned[[#This Row],[CustomerID]], Customers_cleaned[CustomerID], Customers_cleaned[Segment]), "Customer Not Found"), "N/A")</f>
        <v>SMB</v>
      </c>
      <c r="P121" s="5" t="str">
        <f>IF(Transactions_RAW_cleaned[[#This Row],[Status]]="Refunded", "Refund",
  IF(Transactions_RAW_cleaned[[#This Row],[Category]]="Payments", IF(Transactions_RAW_cleaned[[#This Row],[Amount]]&gt;500,"High Value","Standard"),
    IF(Transactions_RAW_cleaned[[#This Row],[Amount]]&gt;250,"High Value","Standard")))</f>
        <v>Standard</v>
      </c>
      <c r="Q121" s="5" t="str">
        <f>IF(Transactions_RAW_cleaned[[#This Row],[Amount]] &gt; (_xlfn.XLOOKUP(Transactions_RAW_cleaned[[#This Row],[ServiceID]],Services_cleaned[ServiceID],Services_cleaned[TransactionFeePct]) * 10000), "Yes", "No")</f>
        <v>Yes</v>
      </c>
      <c r="R121" s="5" t="str">
        <f>IF(COUNTIFS($C$2:Transactions_RAW_cleaned[[#This Row],[CustomerID]],Transactions_RAW_cleaned[[#This Row],[CustomerID]],$D$2:Transactions_RAW_cleaned[[#This Row],[ServiceID]],Transactions_RAW_cleaned[[#This Row],[ServiceID]])=1,"Yes","No")</f>
        <v>Yes</v>
      </c>
      <c r="S12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1" t="str">
        <f>"Q"&amp;ROUNDUP(MONTH(Transactions_RAW_cleaned[[#This Row],[TransactionDate]])/3,0)</f>
        <v>Q3</v>
      </c>
      <c r="U121" t="str">
        <f>Transactions_RAW_cleaned[[#This Row],[Region ]]&amp;Transactions_RAW_cleaned[[#This Row],[Quarter ]]</f>
        <v>NAQ3</v>
      </c>
      <c r="V121" s="5">
        <f>_xlfn.XLOOKUP(Transactions_RAW_cleaned[[#This Row],[RegionQuarterKey]], Quarterly_Targets_cleaned[RegionQuarterKey], Quarterly_Targets_cleaned[TargetRevenue])</f>
        <v>273000</v>
      </c>
    </row>
    <row r="122" spans="1:22" x14ac:dyDescent="0.25">
      <c r="A122" t="s">
        <v>410</v>
      </c>
      <c r="B122" s="1">
        <v>45307</v>
      </c>
      <c r="C122" t="s">
        <v>151</v>
      </c>
      <c r="D122" t="s">
        <v>312</v>
      </c>
      <c r="E122">
        <v>-582.88</v>
      </c>
      <c r="F122" t="s">
        <v>349</v>
      </c>
      <c r="G122" t="s">
        <v>325</v>
      </c>
      <c r="I122" t="s">
        <v>8</v>
      </c>
      <c r="J122" t="s">
        <v>46</v>
      </c>
      <c r="K122" t="s">
        <v>18</v>
      </c>
      <c r="L122" t="s">
        <v>313</v>
      </c>
      <c r="M122" t="s">
        <v>314</v>
      </c>
      <c r="N122">
        <v>0</v>
      </c>
      <c r="O122" t="str">
        <f>IF(Transactions_RAW_cleaned[[#This Row],[Status]]="Completed", IFERROR(_xlfn.XLOOKUP(Transactions_RAW_cleaned[[#This Row],[CustomerID]], Customers_cleaned[CustomerID], Customers_cleaned[Segment]), "Customer Not Found"), "N/A")</f>
        <v>N/A</v>
      </c>
      <c r="P122" s="5" t="str">
        <f>IF(Transactions_RAW_cleaned[[#This Row],[Status]]="Refunded", "Refund",
  IF(Transactions_RAW_cleaned[[#This Row],[Category]]="Payments", IF(Transactions_RAW_cleaned[[#This Row],[Amount]]&gt;500,"High Value","Standard"),
    IF(Transactions_RAW_cleaned[[#This Row],[Amount]]&gt;250,"High Value","Standard")))</f>
        <v>Refund</v>
      </c>
      <c r="Q122" s="5" t="str">
        <f>IF(Transactions_RAW_cleaned[[#This Row],[Amount]] &gt; (_xlfn.XLOOKUP(Transactions_RAW_cleaned[[#This Row],[ServiceID]],Services_cleaned[ServiceID],Services_cleaned[TransactionFeePct]) * 10000), "Yes", "No")</f>
        <v>No</v>
      </c>
      <c r="R122" s="5" t="str">
        <f>IF(COUNTIFS($C$2:Transactions_RAW_cleaned[[#This Row],[CustomerID]],Transactions_RAW_cleaned[[#This Row],[CustomerID]],$D$2:Transactions_RAW_cleaned[[#This Row],[ServiceID]],Transactions_RAW_cleaned[[#This Row],[ServiceID]])=1,"Yes","No")</f>
        <v>Yes</v>
      </c>
      <c r="S12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2" t="str">
        <f>"Q"&amp;ROUNDUP(MONTH(Transactions_RAW_cleaned[[#This Row],[TransactionDate]])/3,0)</f>
        <v>Q1</v>
      </c>
      <c r="U122" t="str">
        <f>Transactions_RAW_cleaned[[#This Row],[Region ]]&amp;Transactions_RAW_cleaned[[#This Row],[Quarter ]]</f>
        <v>APACQ1</v>
      </c>
      <c r="V122" s="5">
        <f>_xlfn.XLOOKUP(Transactions_RAW_cleaned[[#This Row],[RegionQuarterKey]], Quarterly_Targets_cleaned[RegionQuarterKey], Quarterly_Targets_cleaned[TargetRevenue])</f>
        <v>104500</v>
      </c>
    </row>
    <row r="123" spans="1:22" x14ac:dyDescent="0.25">
      <c r="A123" t="s">
        <v>427</v>
      </c>
      <c r="B123" s="1">
        <v>45423</v>
      </c>
      <c r="C123" t="s">
        <v>159</v>
      </c>
      <c r="D123" t="s">
        <v>312</v>
      </c>
      <c r="E123">
        <v>731.91</v>
      </c>
      <c r="F123" t="s">
        <v>331</v>
      </c>
      <c r="G123" t="s">
        <v>2963</v>
      </c>
      <c r="I123" t="s">
        <v>57</v>
      </c>
      <c r="J123" t="s">
        <v>25</v>
      </c>
      <c r="K123" t="s">
        <v>22</v>
      </c>
      <c r="L123" t="s">
        <v>313</v>
      </c>
      <c r="M123" t="s">
        <v>314</v>
      </c>
      <c r="N123">
        <v>0</v>
      </c>
      <c r="O123" t="str">
        <f>IF(Transactions_RAW_cleaned[[#This Row],[Status]]="Completed", IFERROR(_xlfn.XLOOKUP(Transactions_RAW_cleaned[[#This Row],[CustomerID]], Customers_cleaned[CustomerID], Customers_cleaned[Segment]), "Customer Not Found"), "N/A")</f>
        <v>N/A</v>
      </c>
      <c r="P123" s="5" t="str">
        <f>IF(Transactions_RAW_cleaned[[#This Row],[Status]]="Refunded", "Refund",
  IF(Transactions_RAW_cleaned[[#This Row],[Category]]="Payments", IF(Transactions_RAW_cleaned[[#This Row],[Amount]]&gt;500,"High Value","Standard"),
    IF(Transactions_RAW_cleaned[[#This Row],[Amount]]&gt;250,"High Value","Standard")))</f>
        <v>High Value</v>
      </c>
      <c r="Q123" s="5" t="str">
        <f>IF(Transactions_RAW_cleaned[[#This Row],[Amount]] &gt; (_xlfn.XLOOKUP(Transactions_RAW_cleaned[[#This Row],[ServiceID]],Services_cleaned[ServiceID],Services_cleaned[TransactionFeePct]) * 10000), "Yes", "No")</f>
        <v>Yes</v>
      </c>
      <c r="R123" s="5" t="str">
        <f>IF(COUNTIFS($C$2:Transactions_RAW_cleaned[[#This Row],[CustomerID]],Transactions_RAW_cleaned[[#This Row],[CustomerID]],$D$2:Transactions_RAW_cleaned[[#This Row],[ServiceID]],Transactions_RAW_cleaned[[#This Row],[ServiceID]])=1,"Yes","No")</f>
        <v>Yes</v>
      </c>
      <c r="S12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3" t="str">
        <f>"Q"&amp;ROUNDUP(MONTH(Transactions_RAW_cleaned[[#This Row],[TransactionDate]])/3,0)</f>
        <v>Q2</v>
      </c>
      <c r="U123" t="str">
        <f>Transactions_RAW_cleaned[[#This Row],[Region ]]&amp;Transactions_RAW_cleaned[[#This Row],[Quarter ]]</f>
        <v>APACQ2</v>
      </c>
      <c r="V123" s="5">
        <f>_xlfn.XLOOKUP(Transactions_RAW_cleaned[[#This Row],[RegionQuarterKey]], Quarterly_Targets_cleaned[RegionQuarterKey], Quarterly_Targets_cleaned[TargetRevenue])</f>
        <v>110000</v>
      </c>
    </row>
    <row r="124" spans="1:22" x14ac:dyDescent="0.25">
      <c r="A124" t="s">
        <v>456</v>
      </c>
      <c r="B124" s="1">
        <v>45398</v>
      </c>
      <c r="C124" t="s">
        <v>165</v>
      </c>
      <c r="D124" t="s">
        <v>306</v>
      </c>
      <c r="E124">
        <v>104.29</v>
      </c>
      <c r="F124" t="s">
        <v>324</v>
      </c>
      <c r="G124" t="s">
        <v>325</v>
      </c>
      <c r="I124" t="s">
        <v>8</v>
      </c>
      <c r="J124" t="s">
        <v>31</v>
      </c>
      <c r="K124" t="s">
        <v>32</v>
      </c>
      <c r="L124" t="s">
        <v>307</v>
      </c>
      <c r="M124" t="s">
        <v>308</v>
      </c>
      <c r="N124">
        <v>0</v>
      </c>
      <c r="O124" t="str">
        <f>IF(Transactions_RAW_cleaned[[#This Row],[Status]]="Completed", IFERROR(_xlfn.XLOOKUP(Transactions_RAW_cleaned[[#This Row],[CustomerID]], Customers_cleaned[CustomerID], Customers_cleaned[Segment]), "Customer Not Found"), "N/A")</f>
        <v>SMB</v>
      </c>
      <c r="P124" s="5" t="str">
        <f>IF(Transactions_RAW_cleaned[[#This Row],[Status]]="Refunded", "Refund",
  IF(Transactions_RAW_cleaned[[#This Row],[Category]]="Payments", IF(Transactions_RAW_cleaned[[#This Row],[Amount]]&gt;500,"High Value","Standard"),
    IF(Transactions_RAW_cleaned[[#This Row],[Amount]]&gt;250,"High Value","Standard")))</f>
        <v>Standard</v>
      </c>
      <c r="Q124" s="5" t="str">
        <f>IF(Transactions_RAW_cleaned[[#This Row],[Amount]] &gt; (_xlfn.XLOOKUP(Transactions_RAW_cleaned[[#This Row],[ServiceID]],Services_cleaned[ServiceID],Services_cleaned[TransactionFeePct]) * 10000), "Yes", "No")</f>
        <v>Yes</v>
      </c>
      <c r="R124" s="5" t="str">
        <f>IF(COUNTIFS($C$2:Transactions_RAW_cleaned[[#This Row],[CustomerID]],Transactions_RAW_cleaned[[#This Row],[CustomerID]],$D$2:Transactions_RAW_cleaned[[#This Row],[ServiceID]],Transactions_RAW_cleaned[[#This Row],[ServiceID]])=1,"Yes","No")</f>
        <v>Yes</v>
      </c>
      <c r="S12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24" t="str">
        <f>"Q"&amp;ROUNDUP(MONTH(Transactions_RAW_cleaned[[#This Row],[TransactionDate]])/3,0)</f>
        <v>Q2</v>
      </c>
      <c r="U124" t="str">
        <f>Transactions_RAW_cleaned[[#This Row],[Region ]]&amp;Transactions_RAW_cleaned[[#This Row],[Quarter ]]</f>
        <v>EMEAQ2</v>
      </c>
      <c r="V124" s="5">
        <f>_xlfn.XLOOKUP(Transactions_RAW_cleaned[[#This Row],[RegionQuarterKey]], Quarterly_Targets_cleaned[RegionQuarterKey], Quarterly_Targets_cleaned[TargetRevenue])</f>
        <v>140000</v>
      </c>
    </row>
    <row r="125" spans="1:22" x14ac:dyDescent="0.25">
      <c r="A125" t="s">
        <v>411</v>
      </c>
      <c r="B125" s="1">
        <v>45587</v>
      </c>
      <c r="C125" t="s">
        <v>277</v>
      </c>
      <c r="D125" t="s">
        <v>294</v>
      </c>
      <c r="E125">
        <v>1160.24</v>
      </c>
      <c r="F125" t="s">
        <v>324</v>
      </c>
      <c r="G125" t="s">
        <v>327</v>
      </c>
      <c r="I125" t="s">
        <v>8</v>
      </c>
      <c r="J125" t="s">
        <v>31</v>
      </c>
      <c r="K125" t="s">
        <v>22</v>
      </c>
      <c r="L125" t="s">
        <v>295</v>
      </c>
      <c r="M125" t="s">
        <v>296</v>
      </c>
      <c r="N125">
        <v>2.9000000000000001E-2</v>
      </c>
      <c r="O125" t="str">
        <f>IF(Transactions_RAW_cleaned[[#This Row],[Status]]="Completed", IFERROR(_xlfn.XLOOKUP(Transactions_RAW_cleaned[[#This Row],[CustomerID]], Customers_cleaned[CustomerID], Customers_cleaned[Segment]), "Customer Not Found"), "N/A")</f>
        <v>SMB</v>
      </c>
      <c r="P125" s="5" t="str">
        <f>IF(Transactions_RAW_cleaned[[#This Row],[Status]]="Refunded", "Refund",
  IF(Transactions_RAW_cleaned[[#This Row],[Category]]="Payments", IF(Transactions_RAW_cleaned[[#This Row],[Amount]]&gt;500,"High Value","Standard"),
    IF(Transactions_RAW_cleaned[[#This Row],[Amount]]&gt;250,"High Value","Standard")))</f>
        <v>High Value</v>
      </c>
      <c r="Q125" s="5" t="str">
        <f>IF(Transactions_RAW_cleaned[[#This Row],[Amount]] &gt; (_xlfn.XLOOKUP(Transactions_RAW_cleaned[[#This Row],[ServiceID]],Services_cleaned[ServiceID],Services_cleaned[TransactionFeePct]) * 10000), "Yes", "No")</f>
        <v>Yes</v>
      </c>
      <c r="R125" s="5" t="str">
        <f>IF(COUNTIFS($C$2:Transactions_RAW_cleaned[[#This Row],[CustomerID]],Transactions_RAW_cleaned[[#This Row],[CustomerID]],$D$2:Transactions_RAW_cleaned[[#This Row],[ServiceID]],Transactions_RAW_cleaned[[#This Row],[ServiceID]])=1,"Yes","No")</f>
        <v>Yes</v>
      </c>
      <c r="S12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25" t="str">
        <f>"Q"&amp;ROUNDUP(MONTH(Transactions_RAW_cleaned[[#This Row],[TransactionDate]])/3,0)</f>
        <v>Q4</v>
      </c>
      <c r="U125" t="str">
        <f>Transactions_RAW_cleaned[[#This Row],[Region ]]&amp;Transactions_RAW_cleaned[[#This Row],[Quarter ]]</f>
        <v>EMEAQ4</v>
      </c>
      <c r="V125" s="5">
        <f>_xlfn.XLOOKUP(Transactions_RAW_cleaned[[#This Row],[RegionQuarterKey]], Quarterly_Targets_cleaned[RegionQuarterKey], Quarterly_Targets_cleaned[TargetRevenue])</f>
        <v>161000</v>
      </c>
    </row>
    <row r="126" spans="1:22" x14ac:dyDescent="0.25">
      <c r="A126" t="s">
        <v>460</v>
      </c>
      <c r="B126" s="1">
        <v>45354</v>
      </c>
      <c r="C126" t="s">
        <v>175</v>
      </c>
      <c r="D126" t="s">
        <v>294</v>
      </c>
      <c r="E126">
        <v>572.66</v>
      </c>
      <c r="F126" t="s">
        <v>324</v>
      </c>
      <c r="G126" t="s">
        <v>329</v>
      </c>
      <c r="H126" t="s">
        <v>346</v>
      </c>
      <c r="I126" t="s">
        <v>8</v>
      </c>
      <c r="J126" t="s">
        <v>31</v>
      </c>
      <c r="K126" t="s">
        <v>32</v>
      </c>
      <c r="L126" t="s">
        <v>295</v>
      </c>
      <c r="M126" t="s">
        <v>296</v>
      </c>
      <c r="N126">
        <v>2.9000000000000001E-2</v>
      </c>
      <c r="O126" t="str">
        <f>IF(Transactions_RAW_cleaned[[#This Row],[Status]]="Completed", IFERROR(_xlfn.XLOOKUP(Transactions_RAW_cleaned[[#This Row],[CustomerID]], Customers_cleaned[CustomerID], Customers_cleaned[Segment]), "Customer Not Found"), "N/A")</f>
        <v>SMB</v>
      </c>
      <c r="P126" s="5" t="str">
        <f>IF(Transactions_RAW_cleaned[[#This Row],[Status]]="Refunded", "Refund",
  IF(Transactions_RAW_cleaned[[#This Row],[Category]]="Payments", IF(Transactions_RAW_cleaned[[#This Row],[Amount]]&gt;500,"High Value","Standard"),
    IF(Transactions_RAW_cleaned[[#This Row],[Amount]]&gt;250,"High Value","Standard")))</f>
        <v>High Value</v>
      </c>
      <c r="Q126" s="5" t="str">
        <f>IF(Transactions_RAW_cleaned[[#This Row],[Amount]] &gt; (_xlfn.XLOOKUP(Transactions_RAW_cleaned[[#This Row],[ServiceID]],Services_cleaned[ServiceID],Services_cleaned[TransactionFeePct]) * 10000), "Yes", "No")</f>
        <v>Yes</v>
      </c>
      <c r="R126" s="5" t="str">
        <f>IF(COUNTIFS($C$2:Transactions_RAW_cleaned[[#This Row],[CustomerID]],Transactions_RAW_cleaned[[#This Row],[CustomerID]],$D$2:Transactions_RAW_cleaned[[#This Row],[ServiceID]],Transactions_RAW_cleaned[[#This Row],[ServiceID]])=1,"Yes","No")</f>
        <v>Yes</v>
      </c>
      <c r="S12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26" t="str">
        <f>"Q"&amp;ROUNDUP(MONTH(Transactions_RAW_cleaned[[#This Row],[TransactionDate]])/3,0)</f>
        <v>Q1</v>
      </c>
      <c r="U126" t="str">
        <f>Transactions_RAW_cleaned[[#This Row],[Region ]]&amp;Transactions_RAW_cleaned[[#This Row],[Quarter ]]</f>
        <v>EMEAQ1</v>
      </c>
      <c r="V126" s="5">
        <f>_xlfn.XLOOKUP(Transactions_RAW_cleaned[[#This Row],[RegionQuarterKey]], Quarterly_Targets_cleaned[RegionQuarterKey], Quarterly_Targets_cleaned[TargetRevenue])</f>
        <v>133000</v>
      </c>
    </row>
    <row r="127" spans="1:22" x14ac:dyDescent="0.25">
      <c r="A127" t="s">
        <v>414</v>
      </c>
      <c r="B127" s="1">
        <v>45313</v>
      </c>
      <c r="C127" t="s">
        <v>209</v>
      </c>
      <c r="D127" t="s">
        <v>309</v>
      </c>
      <c r="E127">
        <v>784.76</v>
      </c>
      <c r="F127" t="s">
        <v>324</v>
      </c>
      <c r="G127" t="s">
        <v>329</v>
      </c>
      <c r="I127" t="s">
        <v>17</v>
      </c>
      <c r="J127" t="s">
        <v>102</v>
      </c>
      <c r="K127" t="s">
        <v>22</v>
      </c>
      <c r="L127" t="s">
        <v>310</v>
      </c>
      <c r="M127" t="s">
        <v>311</v>
      </c>
      <c r="N127">
        <v>0</v>
      </c>
      <c r="O127" t="str">
        <f>IF(Transactions_RAW_cleaned[[#This Row],[Status]]="Completed", IFERROR(_xlfn.XLOOKUP(Transactions_RAW_cleaned[[#This Row],[CustomerID]], Customers_cleaned[CustomerID], Customers_cleaned[Segment]), "Customer Not Found"), "N/A")</f>
        <v>Enterprise</v>
      </c>
      <c r="P127" s="5" t="str">
        <f>IF(Transactions_RAW_cleaned[[#This Row],[Status]]="Refunded", "Refund",
  IF(Transactions_RAW_cleaned[[#This Row],[Category]]="Payments", IF(Transactions_RAW_cleaned[[#This Row],[Amount]]&gt;500,"High Value","Standard"),
    IF(Transactions_RAW_cleaned[[#This Row],[Amount]]&gt;250,"High Value","Standard")))</f>
        <v>High Value</v>
      </c>
      <c r="Q127" s="5" t="str">
        <f>IF(Transactions_RAW_cleaned[[#This Row],[Amount]] &gt; (_xlfn.XLOOKUP(Transactions_RAW_cleaned[[#This Row],[ServiceID]],Services_cleaned[ServiceID],Services_cleaned[TransactionFeePct]) * 10000), "Yes", "No")</f>
        <v>Yes</v>
      </c>
      <c r="R127" s="5" t="str">
        <f>IF(COUNTIFS($C$2:Transactions_RAW_cleaned[[#This Row],[CustomerID]],Transactions_RAW_cleaned[[#This Row],[CustomerID]],$D$2:Transactions_RAW_cleaned[[#This Row],[ServiceID]],Transactions_RAW_cleaned[[#This Row],[ServiceID]])=1,"Yes","No")</f>
        <v>Yes</v>
      </c>
      <c r="S12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7" t="str">
        <f>"Q"&amp;ROUNDUP(MONTH(Transactions_RAW_cleaned[[#This Row],[TransactionDate]])/3,0)</f>
        <v>Q1</v>
      </c>
      <c r="U127" t="str">
        <f>Transactions_RAW_cleaned[[#This Row],[Region ]]&amp;Transactions_RAW_cleaned[[#This Row],[Quarter ]]</f>
        <v>NAQ1</v>
      </c>
      <c r="V127" s="5">
        <f>_xlfn.XLOOKUP(Transactions_RAW_cleaned[[#This Row],[RegionQuarterKey]], Quarterly_Targets_cleaned[RegionQuarterKey], Quarterly_Targets_cleaned[TargetRevenue])</f>
        <v>247000</v>
      </c>
    </row>
    <row r="128" spans="1:22" x14ac:dyDescent="0.25">
      <c r="A128" t="s">
        <v>448</v>
      </c>
      <c r="B128" s="1">
        <v>45626</v>
      </c>
      <c r="C128" t="s">
        <v>185</v>
      </c>
      <c r="D128" t="s">
        <v>300</v>
      </c>
      <c r="E128">
        <v>130.18</v>
      </c>
      <c r="F128" t="s">
        <v>324</v>
      </c>
      <c r="G128" t="s">
        <v>327</v>
      </c>
      <c r="I128" t="s">
        <v>17</v>
      </c>
      <c r="J128" t="s">
        <v>13</v>
      </c>
      <c r="K128" t="s">
        <v>32</v>
      </c>
      <c r="L128" t="s">
        <v>301</v>
      </c>
      <c r="M128" t="s">
        <v>302</v>
      </c>
      <c r="N128">
        <v>5.0000000000000001E-3</v>
      </c>
      <c r="O128" t="str">
        <f>IF(Transactions_RAW_cleaned[[#This Row],[Status]]="Completed", IFERROR(_xlfn.XLOOKUP(Transactions_RAW_cleaned[[#This Row],[CustomerID]], Customers_cleaned[CustomerID], Customers_cleaned[Segment]), "Customer Not Found"), "N/A")</f>
        <v>Enterprise</v>
      </c>
      <c r="P128" s="5" t="str">
        <f>IF(Transactions_RAW_cleaned[[#This Row],[Status]]="Refunded", "Refund",
  IF(Transactions_RAW_cleaned[[#This Row],[Category]]="Payments", IF(Transactions_RAW_cleaned[[#This Row],[Amount]]&gt;500,"High Value","Standard"),
    IF(Transactions_RAW_cleaned[[#This Row],[Amount]]&gt;250,"High Value","Standard")))</f>
        <v>Standard</v>
      </c>
      <c r="Q128" s="5" t="str">
        <f>IF(Transactions_RAW_cleaned[[#This Row],[Amount]] &gt; (_xlfn.XLOOKUP(Transactions_RAW_cleaned[[#This Row],[ServiceID]],Services_cleaned[ServiceID],Services_cleaned[TransactionFeePct]) * 10000), "Yes", "No")</f>
        <v>Yes</v>
      </c>
      <c r="R128" s="5" t="str">
        <f>IF(COUNTIFS($C$2:Transactions_RAW_cleaned[[#This Row],[CustomerID]],Transactions_RAW_cleaned[[#This Row],[CustomerID]],$D$2:Transactions_RAW_cleaned[[#This Row],[ServiceID]],Transactions_RAW_cleaned[[#This Row],[ServiceID]])=1,"Yes","No")</f>
        <v>Yes</v>
      </c>
      <c r="S12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8" t="str">
        <f>"Q"&amp;ROUNDUP(MONTH(Transactions_RAW_cleaned[[#This Row],[TransactionDate]])/3,0)</f>
        <v>Q4</v>
      </c>
      <c r="U128" t="str">
        <f>Transactions_RAW_cleaned[[#This Row],[Region ]]&amp;Transactions_RAW_cleaned[[#This Row],[Quarter ]]</f>
        <v>NAQ4</v>
      </c>
      <c r="V128" s="5">
        <f>_xlfn.XLOOKUP(Transactions_RAW_cleaned[[#This Row],[RegionQuarterKey]], Quarterly_Targets_cleaned[RegionQuarterKey], Quarterly_Targets_cleaned[TargetRevenue])</f>
        <v>299000</v>
      </c>
    </row>
    <row r="129" spans="1:22" x14ac:dyDescent="0.25">
      <c r="A129" t="s">
        <v>453</v>
      </c>
      <c r="B129" s="1">
        <v>45360</v>
      </c>
      <c r="C129" t="s">
        <v>191</v>
      </c>
      <c r="D129" t="s">
        <v>309</v>
      </c>
      <c r="E129">
        <v>319.45</v>
      </c>
      <c r="F129" t="s">
        <v>324</v>
      </c>
      <c r="G129" t="s">
        <v>325</v>
      </c>
      <c r="H129" t="s">
        <v>346</v>
      </c>
      <c r="I129" t="s">
        <v>57</v>
      </c>
      <c r="J129" t="s">
        <v>31</v>
      </c>
      <c r="K129" t="s">
        <v>32</v>
      </c>
      <c r="L129" t="s">
        <v>310</v>
      </c>
      <c r="M129" t="s">
        <v>311</v>
      </c>
      <c r="N129">
        <v>0</v>
      </c>
      <c r="O129" t="str">
        <f>IF(Transactions_RAW_cleaned[[#This Row],[Status]]="Completed", IFERROR(_xlfn.XLOOKUP(Transactions_RAW_cleaned[[#This Row],[CustomerID]], Customers_cleaned[CustomerID], Customers_cleaned[Segment]), "Customer Not Found"), "N/A")</f>
        <v>Startup</v>
      </c>
      <c r="P129" s="5" t="str">
        <f>IF(Transactions_RAW_cleaned[[#This Row],[Status]]="Refunded", "Refund",
  IF(Transactions_RAW_cleaned[[#This Row],[Category]]="Payments", IF(Transactions_RAW_cleaned[[#This Row],[Amount]]&gt;500,"High Value","Standard"),
    IF(Transactions_RAW_cleaned[[#This Row],[Amount]]&gt;250,"High Value","Standard")))</f>
        <v>High Value</v>
      </c>
      <c r="Q129" s="5" t="str">
        <f>IF(Transactions_RAW_cleaned[[#This Row],[Amount]] &gt; (_xlfn.XLOOKUP(Transactions_RAW_cleaned[[#This Row],[ServiceID]],Services_cleaned[ServiceID],Services_cleaned[TransactionFeePct]) * 10000), "Yes", "No")</f>
        <v>Yes</v>
      </c>
      <c r="R129" s="5" t="str">
        <f>IF(COUNTIFS($C$2:Transactions_RAW_cleaned[[#This Row],[CustomerID]],Transactions_RAW_cleaned[[#This Row],[CustomerID]],$D$2:Transactions_RAW_cleaned[[#This Row],[ServiceID]],Transactions_RAW_cleaned[[#This Row],[ServiceID]])=1,"Yes","No")</f>
        <v>Yes</v>
      </c>
      <c r="S12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29" t="str">
        <f>"Q"&amp;ROUNDUP(MONTH(Transactions_RAW_cleaned[[#This Row],[TransactionDate]])/3,0)</f>
        <v>Q1</v>
      </c>
      <c r="U129" t="str">
        <f>Transactions_RAW_cleaned[[#This Row],[Region ]]&amp;Transactions_RAW_cleaned[[#This Row],[Quarter ]]</f>
        <v>EMEAQ1</v>
      </c>
      <c r="V129" s="5">
        <f>_xlfn.XLOOKUP(Transactions_RAW_cleaned[[#This Row],[RegionQuarterKey]], Quarterly_Targets_cleaned[RegionQuarterKey], Quarterly_Targets_cleaned[TargetRevenue])</f>
        <v>133000</v>
      </c>
    </row>
    <row r="130" spans="1:22" x14ac:dyDescent="0.25">
      <c r="A130" t="s">
        <v>454</v>
      </c>
      <c r="B130" s="1">
        <v>45512</v>
      </c>
      <c r="C130" t="s">
        <v>205</v>
      </c>
      <c r="D130" t="s">
        <v>309</v>
      </c>
      <c r="E130">
        <v>307.77</v>
      </c>
      <c r="F130" t="s">
        <v>324</v>
      </c>
      <c r="G130" t="s">
        <v>329</v>
      </c>
      <c r="H130" t="s">
        <v>334</v>
      </c>
      <c r="I130" t="s">
        <v>8</v>
      </c>
      <c r="J130" t="s">
        <v>21</v>
      </c>
      <c r="K130" t="s">
        <v>14</v>
      </c>
      <c r="L130" t="s">
        <v>310</v>
      </c>
      <c r="M130" t="s">
        <v>311</v>
      </c>
      <c r="N130">
        <v>0</v>
      </c>
      <c r="O130" t="str">
        <f>IF(Transactions_RAW_cleaned[[#This Row],[Status]]="Completed", IFERROR(_xlfn.XLOOKUP(Transactions_RAW_cleaned[[#This Row],[CustomerID]], Customers_cleaned[CustomerID], Customers_cleaned[Segment]), "Customer Not Found"), "N/A")</f>
        <v>SMB</v>
      </c>
      <c r="P130" s="5" t="str">
        <f>IF(Transactions_RAW_cleaned[[#This Row],[Status]]="Refunded", "Refund",
  IF(Transactions_RAW_cleaned[[#This Row],[Category]]="Payments", IF(Transactions_RAW_cleaned[[#This Row],[Amount]]&gt;500,"High Value","Standard"),
    IF(Transactions_RAW_cleaned[[#This Row],[Amount]]&gt;250,"High Value","Standard")))</f>
        <v>High Value</v>
      </c>
      <c r="Q130" s="5" t="str">
        <f>IF(Transactions_RAW_cleaned[[#This Row],[Amount]] &gt; (_xlfn.XLOOKUP(Transactions_RAW_cleaned[[#This Row],[ServiceID]],Services_cleaned[ServiceID],Services_cleaned[TransactionFeePct]) * 10000), "Yes", "No")</f>
        <v>Yes</v>
      </c>
      <c r="R130" s="5" t="str">
        <f>IF(COUNTIFS($C$2:Transactions_RAW_cleaned[[#This Row],[CustomerID]],Transactions_RAW_cleaned[[#This Row],[CustomerID]],$D$2:Transactions_RAW_cleaned[[#This Row],[ServiceID]],Transactions_RAW_cleaned[[#This Row],[ServiceID]])=1,"Yes","No")</f>
        <v>Yes</v>
      </c>
      <c r="S13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0" t="str">
        <f>"Q"&amp;ROUNDUP(MONTH(Transactions_RAW_cleaned[[#This Row],[TransactionDate]])/3,0)</f>
        <v>Q3</v>
      </c>
      <c r="U130" t="str">
        <f>Transactions_RAW_cleaned[[#This Row],[Region ]]&amp;Transactions_RAW_cleaned[[#This Row],[Quarter ]]</f>
        <v>APACQ3</v>
      </c>
      <c r="V130" s="5">
        <f>_xlfn.XLOOKUP(Transactions_RAW_cleaned[[#This Row],[RegionQuarterKey]], Quarterly_Targets_cleaned[RegionQuarterKey], Quarterly_Targets_cleaned[TargetRevenue])</f>
        <v>115500</v>
      </c>
    </row>
    <row r="131" spans="1:22" x14ac:dyDescent="0.25">
      <c r="A131" t="s">
        <v>463</v>
      </c>
      <c r="B131" s="1">
        <v>45460</v>
      </c>
      <c r="C131" t="s">
        <v>221</v>
      </c>
      <c r="D131" t="s">
        <v>306</v>
      </c>
      <c r="E131">
        <v>133.33000000000001</v>
      </c>
      <c r="F131" t="s">
        <v>381</v>
      </c>
      <c r="G131" t="s">
        <v>327</v>
      </c>
      <c r="I131" t="s">
        <v>8</v>
      </c>
      <c r="J131" t="s">
        <v>102</v>
      </c>
      <c r="K131" t="s">
        <v>14</v>
      </c>
      <c r="L131" t="s">
        <v>307</v>
      </c>
      <c r="M131" t="s">
        <v>308</v>
      </c>
      <c r="N131">
        <v>0</v>
      </c>
      <c r="O131" t="str">
        <f>IF(Transactions_RAW_cleaned[[#This Row],[Status]]="Completed", IFERROR(_xlfn.XLOOKUP(Transactions_RAW_cleaned[[#This Row],[CustomerID]], Customers_cleaned[CustomerID], Customers_cleaned[Segment]), "Customer Not Found"), "N/A")</f>
        <v>N/A</v>
      </c>
      <c r="P131" s="5" t="str">
        <f>IF(Transactions_RAW_cleaned[[#This Row],[Status]]="Refunded", "Refund",
  IF(Transactions_RAW_cleaned[[#This Row],[Category]]="Payments", IF(Transactions_RAW_cleaned[[#This Row],[Amount]]&gt;500,"High Value","Standard"),
    IF(Transactions_RAW_cleaned[[#This Row],[Amount]]&gt;250,"High Value","Standard")))</f>
        <v>Standard</v>
      </c>
      <c r="Q131" s="5" t="str">
        <f>IF(Transactions_RAW_cleaned[[#This Row],[Amount]] &gt; (_xlfn.XLOOKUP(Transactions_RAW_cleaned[[#This Row],[ServiceID]],Services_cleaned[ServiceID],Services_cleaned[TransactionFeePct]) * 10000), "Yes", "No")</f>
        <v>Yes</v>
      </c>
      <c r="R131" s="5" t="str">
        <f>IF(COUNTIFS($C$2:Transactions_RAW_cleaned[[#This Row],[CustomerID]],Transactions_RAW_cleaned[[#This Row],[CustomerID]],$D$2:Transactions_RAW_cleaned[[#This Row],[ServiceID]],Transactions_RAW_cleaned[[#This Row],[ServiceID]])=1,"Yes","No")</f>
        <v>Yes</v>
      </c>
      <c r="S13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1" t="str">
        <f>"Q"&amp;ROUNDUP(MONTH(Transactions_RAW_cleaned[[#This Row],[TransactionDate]])/3,0)</f>
        <v>Q2</v>
      </c>
      <c r="U131" t="str">
        <f>Transactions_RAW_cleaned[[#This Row],[Region ]]&amp;Transactions_RAW_cleaned[[#This Row],[Quarter ]]</f>
        <v>NAQ2</v>
      </c>
      <c r="V131" s="5">
        <f>_xlfn.XLOOKUP(Transactions_RAW_cleaned[[#This Row],[RegionQuarterKey]], Quarterly_Targets_cleaned[RegionQuarterKey], Quarterly_Targets_cleaned[TargetRevenue])</f>
        <v>260000</v>
      </c>
    </row>
    <row r="132" spans="1:22" x14ac:dyDescent="0.25">
      <c r="A132" t="s">
        <v>445</v>
      </c>
      <c r="B132" s="1">
        <v>45385</v>
      </c>
      <c r="C132" t="s">
        <v>239</v>
      </c>
      <c r="D132" t="s">
        <v>300</v>
      </c>
      <c r="E132">
        <v>478.04</v>
      </c>
      <c r="F132" t="s">
        <v>324</v>
      </c>
      <c r="G132" t="s">
        <v>327</v>
      </c>
      <c r="H132" t="s">
        <v>346</v>
      </c>
      <c r="I132" t="s">
        <v>57</v>
      </c>
      <c r="J132" t="s">
        <v>102</v>
      </c>
      <c r="K132" t="s">
        <v>10</v>
      </c>
      <c r="L132" t="s">
        <v>301</v>
      </c>
      <c r="M132" t="s">
        <v>302</v>
      </c>
      <c r="N132">
        <v>5.0000000000000001E-3</v>
      </c>
      <c r="O132" t="str">
        <f>IF(Transactions_RAW_cleaned[[#This Row],[Status]]="Completed", IFERROR(_xlfn.XLOOKUP(Transactions_RAW_cleaned[[#This Row],[CustomerID]], Customers_cleaned[CustomerID], Customers_cleaned[Segment]), "Customer Not Found"), "N/A")</f>
        <v>Startup</v>
      </c>
      <c r="P132" s="5" t="str">
        <f>IF(Transactions_RAW_cleaned[[#This Row],[Status]]="Refunded", "Refund",
  IF(Transactions_RAW_cleaned[[#This Row],[Category]]="Payments", IF(Transactions_RAW_cleaned[[#This Row],[Amount]]&gt;500,"High Value","Standard"),
    IF(Transactions_RAW_cleaned[[#This Row],[Amount]]&gt;250,"High Value","Standard")))</f>
        <v>High Value</v>
      </c>
      <c r="Q132" s="5" t="str">
        <f>IF(Transactions_RAW_cleaned[[#This Row],[Amount]] &gt; (_xlfn.XLOOKUP(Transactions_RAW_cleaned[[#This Row],[ServiceID]],Services_cleaned[ServiceID],Services_cleaned[TransactionFeePct]) * 10000), "Yes", "No")</f>
        <v>Yes</v>
      </c>
      <c r="R132" s="5" t="str">
        <f>IF(COUNTIFS($C$2:Transactions_RAW_cleaned[[#This Row],[CustomerID]],Transactions_RAW_cleaned[[#This Row],[CustomerID]],$D$2:Transactions_RAW_cleaned[[#This Row],[ServiceID]],Transactions_RAW_cleaned[[#This Row],[ServiceID]])=1,"Yes","No")</f>
        <v>Yes</v>
      </c>
      <c r="S13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2" t="str">
        <f>"Q"&amp;ROUNDUP(MONTH(Transactions_RAW_cleaned[[#This Row],[TransactionDate]])/3,0)</f>
        <v>Q2</v>
      </c>
      <c r="U132" t="str">
        <f>Transactions_RAW_cleaned[[#This Row],[Region ]]&amp;Transactions_RAW_cleaned[[#This Row],[Quarter ]]</f>
        <v>NAQ2</v>
      </c>
      <c r="V132" s="5">
        <f>_xlfn.XLOOKUP(Transactions_RAW_cleaned[[#This Row],[RegionQuarterKey]], Quarterly_Targets_cleaned[RegionQuarterKey], Quarterly_Targets_cleaned[TargetRevenue])</f>
        <v>260000</v>
      </c>
    </row>
    <row r="133" spans="1:22" x14ac:dyDescent="0.25">
      <c r="A133" t="s">
        <v>465</v>
      </c>
      <c r="B133" s="1">
        <v>45511</v>
      </c>
      <c r="C133" t="s">
        <v>64</v>
      </c>
      <c r="D133" t="s">
        <v>306</v>
      </c>
      <c r="E133">
        <v>482.05</v>
      </c>
      <c r="F133" t="s">
        <v>324</v>
      </c>
      <c r="G133" t="s">
        <v>327</v>
      </c>
      <c r="I133" t="s">
        <v>8</v>
      </c>
      <c r="J133" t="s">
        <v>37</v>
      </c>
      <c r="K133" t="s">
        <v>28</v>
      </c>
      <c r="L133" t="s">
        <v>307</v>
      </c>
      <c r="M133" t="s">
        <v>308</v>
      </c>
      <c r="N133">
        <v>0</v>
      </c>
      <c r="O133" t="str">
        <f>IF(Transactions_RAW_cleaned[[#This Row],[Status]]="Completed", IFERROR(_xlfn.XLOOKUP(Transactions_RAW_cleaned[[#This Row],[CustomerID]], Customers_cleaned[CustomerID], Customers_cleaned[Segment]), "Customer Not Found"), "N/A")</f>
        <v>SMB</v>
      </c>
      <c r="P133" s="5" t="str">
        <f>IF(Transactions_RAW_cleaned[[#This Row],[Status]]="Refunded", "Refund",
  IF(Transactions_RAW_cleaned[[#This Row],[Category]]="Payments", IF(Transactions_RAW_cleaned[[#This Row],[Amount]]&gt;500,"High Value","Standard"),
    IF(Transactions_RAW_cleaned[[#This Row],[Amount]]&gt;250,"High Value","Standard")))</f>
        <v>High Value</v>
      </c>
      <c r="Q133" s="5" t="str">
        <f>IF(Transactions_RAW_cleaned[[#This Row],[Amount]] &gt; (_xlfn.XLOOKUP(Transactions_RAW_cleaned[[#This Row],[ServiceID]],Services_cleaned[ServiceID],Services_cleaned[TransactionFeePct]) * 10000), "Yes", "No")</f>
        <v>Yes</v>
      </c>
      <c r="R133" s="5" t="str">
        <f>IF(COUNTIFS($C$2:Transactions_RAW_cleaned[[#This Row],[CustomerID]],Transactions_RAW_cleaned[[#This Row],[CustomerID]],$D$2:Transactions_RAW_cleaned[[#This Row],[ServiceID]],Transactions_RAW_cleaned[[#This Row],[ServiceID]])=1,"Yes","No")</f>
        <v>Yes</v>
      </c>
      <c r="S13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3" t="str">
        <f>"Q"&amp;ROUNDUP(MONTH(Transactions_RAW_cleaned[[#This Row],[TransactionDate]])/3,0)</f>
        <v>Q3</v>
      </c>
      <c r="U133" t="str">
        <f>Transactions_RAW_cleaned[[#This Row],[Region ]]&amp;Transactions_RAW_cleaned[[#This Row],[Quarter ]]</f>
        <v>EMEAQ3</v>
      </c>
      <c r="V133" s="5">
        <f>_xlfn.XLOOKUP(Transactions_RAW_cleaned[[#This Row],[RegionQuarterKey]], Quarterly_Targets_cleaned[RegionQuarterKey], Quarterly_Targets_cleaned[TargetRevenue])</f>
        <v>147000</v>
      </c>
    </row>
    <row r="134" spans="1:22" x14ac:dyDescent="0.25">
      <c r="A134" t="s">
        <v>466</v>
      </c>
      <c r="B134" s="1">
        <v>45353</v>
      </c>
      <c r="C134" t="s">
        <v>90</v>
      </c>
      <c r="D134" t="s">
        <v>303</v>
      </c>
      <c r="E134">
        <v>367.05</v>
      </c>
      <c r="F134" t="s">
        <v>324</v>
      </c>
      <c r="G134" t="s">
        <v>337</v>
      </c>
      <c r="H134" t="s">
        <v>346</v>
      </c>
      <c r="I134" t="s">
        <v>8</v>
      </c>
      <c r="J134" t="s">
        <v>102</v>
      </c>
      <c r="K134" t="s">
        <v>28</v>
      </c>
      <c r="L134" t="s">
        <v>304</v>
      </c>
      <c r="M134" t="s">
        <v>305</v>
      </c>
      <c r="N134">
        <v>1E-3</v>
      </c>
      <c r="O134" t="str">
        <f>IF(Transactions_RAW_cleaned[[#This Row],[Status]]="Completed", IFERROR(_xlfn.XLOOKUP(Transactions_RAW_cleaned[[#This Row],[CustomerID]], Customers_cleaned[CustomerID], Customers_cleaned[Segment]), "Customer Not Found"), "N/A")</f>
        <v>SMB</v>
      </c>
      <c r="P134" s="5" t="str">
        <f>IF(Transactions_RAW_cleaned[[#This Row],[Status]]="Refunded", "Refund",
  IF(Transactions_RAW_cleaned[[#This Row],[Category]]="Payments", IF(Transactions_RAW_cleaned[[#This Row],[Amount]]&gt;500,"High Value","Standard"),
    IF(Transactions_RAW_cleaned[[#This Row],[Amount]]&gt;250,"High Value","Standard")))</f>
        <v>High Value</v>
      </c>
      <c r="Q134" s="5" t="str">
        <f>IF(Transactions_RAW_cleaned[[#This Row],[Amount]] &gt; (_xlfn.XLOOKUP(Transactions_RAW_cleaned[[#This Row],[ServiceID]],Services_cleaned[ServiceID],Services_cleaned[TransactionFeePct]) * 10000), "Yes", "No")</f>
        <v>Yes</v>
      </c>
      <c r="R134" s="5" t="str">
        <f>IF(COUNTIFS($C$2:Transactions_RAW_cleaned[[#This Row],[CustomerID]],Transactions_RAW_cleaned[[#This Row],[CustomerID]],$D$2:Transactions_RAW_cleaned[[#This Row],[ServiceID]],Transactions_RAW_cleaned[[#This Row],[ServiceID]])=1,"Yes","No")</f>
        <v>Yes</v>
      </c>
      <c r="S13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4" t="str">
        <f>"Q"&amp;ROUNDUP(MONTH(Transactions_RAW_cleaned[[#This Row],[TransactionDate]])/3,0)</f>
        <v>Q1</v>
      </c>
      <c r="U134" t="str">
        <f>Transactions_RAW_cleaned[[#This Row],[Region ]]&amp;Transactions_RAW_cleaned[[#This Row],[Quarter ]]</f>
        <v>NAQ1</v>
      </c>
      <c r="V134" s="5">
        <f>_xlfn.XLOOKUP(Transactions_RAW_cleaned[[#This Row],[RegionQuarterKey]], Quarterly_Targets_cleaned[RegionQuarterKey], Quarterly_Targets_cleaned[TargetRevenue])</f>
        <v>247000</v>
      </c>
    </row>
    <row r="135" spans="1:22" x14ac:dyDescent="0.25">
      <c r="A135" t="s">
        <v>467</v>
      </c>
      <c r="B135" s="1">
        <v>45352</v>
      </c>
      <c r="C135" t="s">
        <v>171</v>
      </c>
      <c r="D135" t="s">
        <v>300</v>
      </c>
      <c r="E135">
        <v>721.99</v>
      </c>
      <c r="F135" t="s">
        <v>324</v>
      </c>
      <c r="G135" t="s">
        <v>327</v>
      </c>
      <c r="H135" t="s">
        <v>332</v>
      </c>
      <c r="I135" t="s">
        <v>17</v>
      </c>
      <c r="J135" t="s">
        <v>31</v>
      </c>
      <c r="K135" t="s">
        <v>32</v>
      </c>
      <c r="L135" t="s">
        <v>301</v>
      </c>
      <c r="M135" t="s">
        <v>302</v>
      </c>
      <c r="N135">
        <v>5.0000000000000001E-3</v>
      </c>
      <c r="O135" t="str">
        <f>IF(Transactions_RAW_cleaned[[#This Row],[Status]]="Completed", IFERROR(_xlfn.XLOOKUP(Transactions_RAW_cleaned[[#This Row],[CustomerID]], Customers_cleaned[CustomerID], Customers_cleaned[Segment]), "Customer Not Found"), "N/A")</f>
        <v>Enterprise</v>
      </c>
      <c r="P135" s="5" t="str">
        <f>IF(Transactions_RAW_cleaned[[#This Row],[Status]]="Refunded", "Refund",
  IF(Transactions_RAW_cleaned[[#This Row],[Category]]="Payments", IF(Transactions_RAW_cleaned[[#This Row],[Amount]]&gt;500,"High Value","Standard"),
    IF(Transactions_RAW_cleaned[[#This Row],[Amount]]&gt;250,"High Value","Standard")))</f>
        <v>High Value</v>
      </c>
      <c r="Q135" s="5" t="str">
        <f>IF(Transactions_RAW_cleaned[[#This Row],[Amount]] &gt; (_xlfn.XLOOKUP(Transactions_RAW_cleaned[[#This Row],[ServiceID]],Services_cleaned[ServiceID],Services_cleaned[TransactionFeePct]) * 10000), "Yes", "No")</f>
        <v>Yes</v>
      </c>
      <c r="R135" s="5" t="str">
        <f>IF(COUNTIFS($C$2:Transactions_RAW_cleaned[[#This Row],[CustomerID]],Transactions_RAW_cleaned[[#This Row],[CustomerID]],$D$2:Transactions_RAW_cleaned[[#This Row],[ServiceID]],Transactions_RAW_cleaned[[#This Row],[ServiceID]])=1,"Yes","No")</f>
        <v>Yes</v>
      </c>
      <c r="S13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5" t="str">
        <f>"Q"&amp;ROUNDUP(MONTH(Transactions_RAW_cleaned[[#This Row],[TransactionDate]])/3,0)</f>
        <v>Q1</v>
      </c>
      <c r="U135" t="str">
        <f>Transactions_RAW_cleaned[[#This Row],[Region ]]&amp;Transactions_RAW_cleaned[[#This Row],[Quarter ]]</f>
        <v>EMEAQ1</v>
      </c>
      <c r="V135" s="5">
        <f>_xlfn.XLOOKUP(Transactions_RAW_cleaned[[#This Row],[RegionQuarterKey]], Quarterly_Targets_cleaned[RegionQuarterKey], Quarterly_Targets_cleaned[TargetRevenue])</f>
        <v>133000</v>
      </c>
    </row>
    <row r="136" spans="1:22" x14ac:dyDescent="0.25">
      <c r="A136" t="s">
        <v>468</v>
      </c>
      <c r="B136" s="1">
        <v>45579</v>
      </c>
      <c r="C136" t="s">
        <v>273</v>
      </c>
      <c r="D136" t="s">
        <v>300</v>
      </c>
      <c r="E136">
        <v>487.55</v>
      </c>
      <c r="F136" t="s">
        <v>324</v>
      </c>
      <c r="G136" t="s">
        <v>329</v>
      </c>
      <c r="I136" t="s">
        <v>17</v>
      </c>
      <c r="J136" t="s">
        <v>102</v>
      </c>
      <c r="K136" t="s">
        <v>22</v>
      </c>
      <c r="L136" t="s">
        <v>301</v>
      </c>
      <c r="M136" t="s">
        <v>302</v>
      </c>
      <c r="N136">
        <v>5.0000000000000001E-3</v>
      </c>
      <c r="O136" t="str">
        <f>IF(Transactions_RAW_cleaned[[#This Row],[Status]]="Completed", IFERROR(_xlfn.XLOOKUP(Transactions_RAW_cleaned[[#This Row],[CustomerID]], Customers_cleaned[CustomerID], Customers_cleaned[Segment]), "Customer Not Found"), "N/A")</f>
        <v>Enterprise</v>
      </c>
      <c r="P136" s="5" t="str">
        <f>IF(Transactions_RAW_cleaned[[#This Row],[Status]]="Refunded", "Refund",
  IF(Transactions_RAW_cleaned[[#This Row],[Category]]="Payments", IF(Transactions_RAW_cleaned[[#This Row],[Amount]]&gt;500,"High Value","Standard"),
    IF(Transactions_RAW_cleaned[[#This Row],[Amount]]&gt;250,"High Value","Standard")))</f>
        <v>High Value</v>
      </c>
      <c r="Q136" s="5" t="str">
        <f>IF(Transactions_RAW_cleaned[[#This Row],[Amount]] &gt; (_xlfn.XLOOKUP(Transactions_RAW_cleaned[[#This Row],[ServiceID]],Services_cleaned[ServiceID],Services_cleaned[TransactionFeePct]) * 10000), "Yes", "No")</f>
        <v>Yes</v>
      </c>
      <c r="R136" s="5" t="str">
        <f>IF(COUNTIFS($C$2:Transactions_RAW_cleaned[[#This Row],[CustomerID]],Transactions_RAW_cleaned[[#This Row],[CustomerID]],$D$2:Transactions_RAW_cleaned[[#This Row],[ServiceID]],Transactions_RAW_cleaned[[#This Row],[ServiceID]])=1,"Yes","No")</f>
        <v>Yes</v>
      </c>
      <c r="S13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6" t="str">
        <f>"Q"&amp;ROUNDUP(MONTH(Transactions_RAW_cleaned[[#This Row],[TransactionDate]])/3,0)</f>
        <v>Q4</v>
      </c>
      <c r="U136" t="str">
        <f>Transactions_RAW_cleaned[[#This Row],[Region ]]&amp;Transactions_RAW_cleaned[[#This Row],[Quarter ]]</f>
        <v>NAQ4</v>
      </c>
      <c r="V136" s="5">
        <f>_xlfn.XLOOKUP(Transactions_RAW_cleaned[[#This Row],[RegionQuarterKey]], Quarterly_Targets_cleaned[RegionQuarterKey], Quarterly_Targets_cleaned[TargetRevenue])</f>
        <v>299000</v>
      </c>
    </row>
    <row r="137" spans="1:22" x14ac:dyDescent="0.25">
      <c r="A137" t="s">
        <v>469</v>
      </c>
      <c r="B137" s="1">
        <v>45584</v>
      </c>
      <c r="C137" t="s">
        <v>173</v>
      </c>
      <c r="D137" t="s">
        <v>306</v>
      </c>
      <c r="E137">
        <v>554.05999999999995</v>
      </c>
      <c r="F137" t="s">
        <v>324</v>
      </c>
      <c r="G137" t="s">
        <v>337</v>
      </c>
      <c r="H137" t="s">
        <v>332</v>
      </c>
      <c r="I137" t="s">
        <v>8</v>
      </c>
      <c r="J137" t="s">
        <v>46</v>
      </c>
      <c r="K137" t="s">
        <v>32</v>
      </c>
      <c r="L137" t="s">
        <v>307</v>
      </c>
      <c r="M137" t="s">
        <v>308</v>
      </c>
      <c r="N137">
        <v>0</v>
      </c>
      <c r="O137" t="str">
        <f>IF(Transactions_RAW_cleaned[[#This Row],[Status]]="Completed", IFERROR(_xlfn.XLOOKUP(Transactions_RAW_cleaned[[#This Row],[CustomerID]], Customers_cleaned[CustomerID], Customers_cleaned[Segment]), "Customer Not Found"), "N/A")</f>
        <v>SMB</v>
      </c>
      <c r="P137" s="5" t="str">
        <f>IF(Transactions_RAW_cleaned[[#This Row],[Status]]="Refunded", "Refund",
  IF(Transactions_RAW_cleaned[[#This Row],[Category]]="Payments", IF(Transactions_RAW_cleaned[[#This Row],[Amount]]&gt;500,"High Value","Standard"),
    IF(Transactions_RAW_cleaned[[#This Row],[Amount]]&gt;250,"High Value","Standard")))</f>
        <v>High Value</v>
      </c>
      <c r="Q137" s="5" t="str">
        <f>IF(Transactions_RAW_cleaned[[#This Row],[Amount]] &gt; (_xlfn.XLOOKUP(Transactions_RAW_cleaned[[#This Row],[ServiceID]],Services_cleaned[ServiceID],Services_cleaned[TransactionFeePct]) * 10000), "Yes", "No")</f>
        <v>Yes</v>
      </c>
      <c r="R137" s="5" t="str">
        <f>IF(COUNTIFS($C$2:Transactions_RAW_cleaned[[#This Row],[CustomerID]],Transactions_RAW_cleaned[[#This Row],[CustomerID]],$D$2:Transactions_RAW_cleaned[[#This Row],[ServiceID]],Transactions_RAW_cleaned[[#This Row],[ServiceID]])=1,"Yes","No")</f>
        <v>Yes</v>
      </c>
      <c r="S13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7" t="str">
        <f>"Q"&amp;ROUNDUP(MONTH(Transactions_RAW_cleaned[[#This Row],[TransactionDate]])/3,0)</f>
        <v>Q4</v>
      </c>
      <c r="U137" t="str">
        <f>Transactions_RAW_cleaned[[#This Row],[Region ]]&amp;Transactions_RAW_cleaned[[#This Row],[Quarter ]]</f>
        <v>APACQ4</v>
      </c>
      <c r="V137" s="5">
        <f>_xlfn.XLOOKUP(Transactions_RAW_cleaned[[#This Row],[RegionQuarterKey]], Quarterly_Targets_cleaned[RegionQuarterKey], Quarterly_Targets_cleaned[TargetRevenue])</f>
        <v>126500</v>
      </c>
    </row>
    <row r="138" spans="1:22" x14ac:dyDescent="0.25">
      <c r="A138" t="s">
        <v>470</v>
      </c>
      <c r="B138" s="1">
        <v>45472</v>
      </c>
      <c r="C138" t="s">
        <v>201</v>
      </c>
      <c r="D138" t="s">
        <v>312</v>
      </c>
      <c r="E138">
        <v>179.63</v>
      </c>
      <c r="F138" t="s">
        <v>324</v>
      </c>
      <c r="G138" t="s">
        <v>325</v>
      </c>
      <c r="H138" t="s">
        <v>346</v>
      </c>
      <c r="I138" t="s">
        <v>57</v>
      </c>
      <c r="J138" t="s">
        <v>37</v>
      </c>
      <c r="K138" t="s">
        <v>32</v>
      </c>
      <c r="L138" t="s">
        <v>313</v>
      </c>
      <c r="M138" t="s">
        <v>314</v>
      </c>
      <c r="N138">
        <v>0</v>
      </c>
      <c r="O138" t="str">
        <f>IF(Transactions_RAW_cleaned[[#This Row],[Status]]="Completed", IFERROR(_xlfn.XLOOKUP(Transactions_RAW_cleaned[[#This Row],[CustomerID]], Customers_cleaned[CustomerID], Customers_cleaned[Segment]), "Customer Not Found"), "N/A")</f>
        <v>Startup</v>
      </c>
      <c r="P138" s="5" t="str">
        <f>IF(Transactions_RAW_cleaned[[#This Row],[Status]]="Refunded", "Refund",
  IF(Transactions_RAW_cleaned[[#This Row],[Category]]="Payments", IF(Transactions_RAW_cleaned[[#This Row],[Amount]]&gt;500,"High Value","Standard"),
    IF(Transactions_RAW_cleaned[[#This Row],[Amount]]&gt;250,"High Value","Standard")))</f>
        <v>Standard</v>
      </c>
      <c r="Q138" s="5" t="str">
        <f>IF(Transactions_RAW_cleaned[[#This Row],[Amount]] &gt; (_xlfn.XLOOKUP(Transactions_RAW_cleaned[[#This Row],[ServiceID]],Services_cleaned[ServiceID],Services_cleaned[TransactionFeePct]) * 10000), "Yes", "No")</f>
        <v>Yes</v>
      </c>
      <c r="R138" s="5" t="str">
        <f>IF(COUNTIFS($C$2:Transactions_RAW_cleaned[[#This Row],[CustomerID]],Transactions_RAW_cleaned[[#This Row],[CustomerID]],$D$2:Transactions_RAW_cleaned[[#This Row],[ServiceID]],Transactions_RAW_cleaned[[#This Row],[ServiceID]])=1,"Yes","No")</f>
        <v>Yes</v>
      </c>
      <c r="S13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8" t="str">
        <f>"Q"&amp;ROUNDUP(MONTH(Transactions_RAW_cleaned[[#This Row],[TransactionDate]])/3,0)</f>
        <v>Q2</v>
      </c>
      <c r="U138" t="str">
        <f>Transactions_RAW_cleaned[[#This Row],[Region ]]&amp;Transactions_RAW_cleaned[[#This Row],[Quarter ]]</f>
        <v>EMEAQ2</v>
      </c>
      <c r="V138" s="5">
        <f>_xlfn.XLOOKUP(Transactions_RAW_cleaned[[#This Row],[RegionQuarterKey]], Quarterly_Targets_cleaned[RegionQuarterKey], Quarterly_Targets_cleaned[TargetRevenue])</f>
        <v>140000</v>
      </c>
    </row>
    <row r="139" spans="1:22" x14ac:dyDescent="0.25">
      <c r="A139" t="s">
        <v>471</v>
      </c>
      <c r="B139" s="1">
        <v>45478</v>
      </c>
      <c r="C139" t="s">
        <v>98</v>
      </c>
      <c r="D139" t="s">
        <v>303</v>
      </c>
      <c r="E139">
        <v>444.87</v>
      </c>
      <c r="F139" t="s">
        <v>381</v>
      </c>
      <c r="G139" t="s">
        <v>325</v>
      </c>
      <c r="I139" t="s">
        <v>8</v>
      </c>
      <c r="J139" t="s">
        <v>37</v>
      </c>
      <c r="K139" t="s">
        <v>18</v>
      </c>
      <c r="L139" t="s">
        <v>304</v>
      </c>
      <c r="M139" t="s">
        <v>305</v>
      </c>
      <c r="N139">
        <v>1E-3</v>
      </c>
      <c r="O139" t="str">
        <f>IF(Transactions_RAW_cleaned[[#This Row],[Status]]="Completed", IFERROR(_xlfn.XLOOKUP(Transactions_RAW_cleaned[[#This Row],[CustomerID]], Customers_cleaned[CustomerID], Customers_cleaned[Segment]), "Customer Not Found"), "N/A")</f>
        <v>N/A</v>
      </c>
      <c r="P139" s="5" t="str">
        <f>IF(Transactions_RAW_cleaned[[#This Row],[Status]]="Refunded", "Refund",
  IF(Transactions_RAW_cleaned[[#This Row],[Category]]="Payments", IF(Transactions_RAW_cleaned[[#This Row],[Amount]]&gt;500,"High Value","Standard"),
    IF(Transactions_RAW_cleaned[[#This Row],[Amount]]&gt;250,"High Value","Standard")))</f>
        <v>High Value</v>
      </c>
      <c r="Q139" s="5" t="str">
        <f>IF(Transactions_RAW_cleaned[[#This Row],[Amount]] &gt; (_xlfn.XLOOKUP(Transactions_RAW_cleaned[[#This Row],[ServiceID]],Services_cleaned[ServiceID],Services_cleaned[TransactionFeePct]) * 10000), "Yes", "No")</f>
        <v>Yes</v>
      </c>
      <c r="R139" s="5" t="str">
        <f>IF(COUNTIFS($C$2:Transactions_RAW_cleaned[[#This Row],[CustomerID]],Transactions_RAW_cleaned[[#This Row],[CustomerID]],$D$2:Transactions_RAW_cleaned[[#This Row],[ServiceID]],Transactions_RAW_cleaned[[#This Row],[ServiceID]])=1,"Yes","No")</f>
        <v>No</v>
      </c>
      <c r="S13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9" t="str">
        <f>"Q"&amp;ROUNDUP(MONTH(Transactions_RAW_cleaned[[#This Row],[TransactionDate]])/3,0)</f>
        <v>Q3</v>
      </c>
      <c r="U139" t="str">
        <f>Transactions_RAW_cleaned[[#This Row],[Region ]]&amp;Transactions_RAW_cleaned[[#This Row],[Quarter ]]</f>
        <v>EMEAQ3</v>
      </c>
      <c r="V139" s="5">
        <f>_xlfn.XLOOKUP(Transactions_RAW_cleaned[[#This Row],[RegionQuarterKey]], Quarterly_Targets_cleaned[RegionQuarterKey], Quarterly_Targets_cleaned[TargetRevenue])</f>
        <v>147000</v>
      </c>
    </row>
    <row r="140" spans="1:22" x14ac:dyDescent="0.25">
      <c r="A140" t="s">
        <v>472</v>
      </c>
      <c r="B140" s="1">
        <v>45356</v>
      </c>
      <c r="C140" t="s">
        <v>6</v>
      </c>
      <c r="D140" t="s">
        <v>315</v>
      </c>
      <c r="E140">
        <v>52.56</v>
      </c>
      <c r="F140" t="s">
        <v>324</v>
      </c>
      <c r="G140" t="s">
        <v>327</v>
      </c>
      <c r="I140" t="s">
        <v>8</v>
      </c>
      <c r="J140" t="s">
        <v>102</v>
      </c>
      <c r="K140" t="s">
        <v>10</v>
      </c>
      <c r="L140" t="s">
        <v>316</v>
      </c>
      <c r="M140" t="s">
        <v>305</v>
      </c>
      <c r="N140">
        <v>2.5000000000000001E-3</v>
      </c>
      <c r="O140" t="str">
        <f>IF(Transactions_RAW_cleaned[[#This Row],[Status]]="Completed", IFERROR(_xlfn.XLOOKUP(Transactions_RAW_cleaned[[#This Row],[CustomerID]], Customers_cleaned[CustomerID], Customers_cleaned[Segment]), "Customer Not Found"), "N/A")</f>
        <v>SMB</v>
      </c>
      <c r="P140" s="5" t="str">
        <f>IF(Transactions_RAW_cleaned[[#This Row],[Status]]="Refunded", "Refund",
  IF(Transactions_RAW_cleaned[[#This Row],[Category]]="Payments", IF(Transactions_RAW_cleaned[[#This Row],[Amount]]&gt;500,"High Value","Standard"),
    IF(Transactions_RAW_cleaned[[#This Row],[Amount]]&gt;250,"High Value","Standard")))</f>
        <v>Standard</v>
      </c>
      <c r="Q140" s="5" t="str">
        <f>IF(Transactions_RAW_cleaned[[#This Row],[Amount]] &gt; (_xlfn.XLOOKUP(Transactions_RAW_cleaned[[#This Row],[ServiceID]],Services_cleaned[ServiceID],Services_cleaned[TransactionFeePct]) * 10000), "Yes", "No")</f>
        <v>Yes</v>
      </c>
      <c r="R140" s="5" t="str">
        <f>IF(COUNTIFS($C$2:Transactions_RAW_cleaned[[#This Row],[CustomerID]],Transactions_RAW_cleaned[[#This Row],[CustomerID]],$D$2:Transactions_RAW_cleaned[[#This Row],[ServiceID]],Transactions_RAW_cleaned[[#This Row],[ServiceID]])=1,"Yes","No")</f>
        <v>Yes</v>
      </c>
      <c r="S14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0" t="str">
        <f>"Q"&amp;ROUNDUP(MONTH(Transactions_RAW_cleaned[[#This Row],[TransactionDate]])/3,0)</f>
        <v>Q1</v>
      </c>
      <c r="U140" t="str">
        <f>Transactions_RAW_cleaned[[#This Row],[Region ]]&amp;Transactions_RAW_cleaned[[#This Row],[Quarter ]]</f>
        <v>NAQ1</v>
      </c>
      <c r="V140" s="5">
        <f>_xlfn.XLOOKUP(Transactions_RAW_cleaned[[#This Row],[RegionQuarterKey]], Quarterly_Targets_cleaned[RegionQuarterKey], Quarterly_Targets_cleaned[TargetRevenue])</f>
        <v>247000</v>
      </c>
    </row>
    <row r="141" spans="1:22" x14ac:dyDescent="0.25">
      <c r="A141" t="s">
        <v>473</v>
      </c>
      <c r="B141" s="1">
        <v>45522</v>
      </c>
      <c r="C141" t="s">
        <v>125</v>
      </c>
      <c r="D141" t="s">
        <v>306</v>
      </c>
      <c r="E141">
        <v>607.64</v>
      </c>
      <c r="F141" t="s">
        <v>324</v>
      </c>
      <c r="G141" t="s">
        <v>325</v>
      </c>
      <c r="H141" t="s">
        <v>334</v>
      </c>
      <c r="I141" t="s">
        <v>8</v>
      </c>
      <c r="J141" t="s">
        <v>13</v>
      </c>
      <c r="K141" t="s">
        <v>28</v>
      </c>
      <c r="L141" t="s">
        <v>307</v>
      </c>
      <c r="M141" t="s">
        <v>308</v>
      </c>
      <c r="N141">
        <v>0</v>
      </c>
      <c r="O141" t="str">
        <f>IF(Transactions_RAW_cleaned[[#This Row],[Status]]="Completed", IFERROR(_xlfn.XLOOKUP(Transactions_RAW_cleaned[[#This Row],[CustomerID]], Customers_cleaned[CustomerID], Customers_cleaned[Segment]), "Customer Not Found"), "N/A")</f>
        <v>SMB</v>
      </c>
      <c r="P141" s="5" t="str">
        <f>IF(Transactions_RAW_cleaned[[#This Row],[Status]]="Refunded", "Refund",
  IF(Transactions_RAW_cleaned[[#This Row],[Category]]="Payments", IF(Transactions_RAW_cleaned[[#This Row],[Amount]]&gt;500,"High Value","Standard"),
    IF(Transactions_RAW_cleaned[[#This Row],[Amount]]&gt;250,"High Value","Standard")))</f>
        <v>High Value</v>
      </c>
      <c r="Q141" s="5" t="str">
        <f>IF(Transactions_RAW_cleaned[[#This Row],[Amount]] &gt; (_xlfn.XLOOKUP(Transactions_RAW_cleaned[[#This Row],[ServiceID]],Services_cleaned[ServiceID],Services_cleaned[TransactionFeePct]) * 10000), "Yes", "No")</f>
        <v>Yes</v>
      </c>
      <c r="R141" s="5" t="str">
        <f>IF(COUNTIFS($C$2:Transactions_RAW_cleaned[[#This Row],[CustomerID]],Transactions_RAW_cleaned[[#This Row],[CustomerID]],$D$2:Transactions_RAW_cleaned[[#This Row],[ServiceID]],Transactions_RAW_cleaned[[#This Row],[ServiceID]])=1,"Yes","No")</f>
        <v>No</v>
      </c>
      <c r="S14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1" t="str">
        <f>"Q"&amp;ROUNDUP(MONTH(Transactions_RAW_cleaned[[#This Row],[TransactionDate]])/3,0)</f>
        <v>Q3</v>
      </c>
      <c r="U141" t="str">
        <f>Transactions_RAW_cleaned[[#This Row],[Region ]]&amp;Transactions_RAW_cleaned[[#This Row],[Quarter ]]</f>
        <v>NAQ3</v>
      </c>
      <c r="V141" s="5">
        <f>_xlfn.XLOOKUP(Transactions_RAW_cleaned[[#This Row],[RegionQuarterKey]], Quarterly_Targets_cleaned[RegionQuarterKey], Quarterly_Targets_cleaned[TargetRevenue])</f>
        <v>273000</v>
      </c>
    </row>
    <row r="142" spans="1:22" x14ac:dyDescent="0.25">
      <c r="A142" t="s">
        <v>474</v>
      </c>
      <c r="B142" s="1">
        <v>45643</v>
      </c>
      <c r="C142" t="s">
        <v>105</v>
      </c>
      <c r="D142" t="s">
        <v>303</v>
      </c>
      <c r="E142">
        <v>381.08</v>
      </c>
      <c r="F142" t="s">
        <v>324</v>
      </c>
      <c r="G142" t="s">
        <v>327</v>
      </c>
      <c r="I142" t="s">
        <v>57</v>
      </c>
      <c r="J142" t="s">
        <v>102</v>
      </c>
      <c r="K142" t="s">
        <v>32</v>
      </c>
      <c r="L142" t="s">
        <v>304</v>
      </c>
      <c r="M142" t="s">
        <v>305</v>
      </c>
      <c r="N142">
        <v>1E-3</v>
      </c>
      <c r="O142" t="str">
        <f>IF(Transactions_RAW_cleaned[[#This Row],[Status]]="Completed", IFERROR(_xlfn.XLOOKUP(Transactions_RAW_cleaned[[#This Row],[CustomerID]], Customers_cleaned[CustomerID], Customers_cleaned[Segment]), "Customer Not Found"), "N/A")</f>
        <v>Startup</v>
      </c>
      <c r="P142" s="5" t="str">
        <f>IF(Transactions_RAW_cleaned[[#This Row],[Status]]="Refunded", "Refund",
  IF(Transactions_RAW_cleaned[[#This Row],[Category]]="Payments", IF(Transactions_RAW_cleaned[[#This Row],[Amount]]&gt;500,"High Value","Standard"),
    IF(Transactions_RAW_cleaned[[#This Row],[Amount]]&gt;250,"High Value","Standard")))</f>
        <v>High Value</v>
      </c>
      <c r="Q142" s="5" t="str">
        <f>IF(Transactions_RAW_cleaned[[#This Row],[Amount]] &gt; (_xlfn.XLOOKUP(Transactions_RAW_cleaned[[#This Row],[ServiceID]],Services_cleaned[ServiceID],Services_cleaned[TransactionFeePct]) * 10000), "Yes", "No")</f>
        <v>Yes</v>
      </c>
      <c r="R142" s="5" t="str">
        <f>IF(COUNTIFS($C$2:Transactions_RAW_cleaned[[#This Row],[CustomerID]],Transactions_RAW_cleaned[[#This Row],[CustomerID]],$D$2:Transactions_RAW_cleaned[[#This Row],[ServiceID]],Transactions_RAW_cleaned[[#This Row],[ServiceID]])=1,"Yes","No")</f>
        <v>Yes</v>
      </c>
      <c r="S14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2" t="str">
        <f>"Q"&amp;ROUNDUP(MONTH(Transactions_RAW_cleaned[[#This Row],[TransactionDate]])/3,0)</f>
        <v>Q4</v>
      </c>
      <c r="U142" t="str">
        <f>Transactions_RAW_cleaned[[#This Row],[Region ]]&amp;Transactions_RAW_cleaned[[#This Row],[Quarter ]]</f>
        <v>NAQ4</v>
      </c>
      <c r="V142" s="5">
        <f>_xlfn.XLOOKUP(Transactions_RAW_cleaned[[#This Row],[RegionQuarterKey]], Quarterly_Targets_cleaned[RegionQuarterKey], Quarterly_Targets_cleaned[TargetRevenue])</f>
        <v>299000</v>
      </c>
    </row>
    <row r="143" spans="1:22" x14ac:dyDescent="0.25">
      <c r="A143" t="s">
        <v>475</v>
      </c>
      <c r="B143" s="1">
        <v>45535</v>
      </c>
      <c r="C143" t="s">
        <v>233</v>
      </c>
      <c r="D143" t="s">
        <v>297</v>
      </c>
      <c r="E143">
        <v>599.82000000000005</v>
      </c>
      <c r="F143" t="s">
        <v>331</v>
      </c>
      <c r="G143" t="s">
        <v>337</v>
      </c>
      <c r="H143" t="s">
        <v>332</v>
      </c>
      <c r="I143" t="s">
        <v>8</v>
      </c>
      <c r="J143" t="s">
        <v>13</v>
      </c>
      <c r="K143" t="s">
        <v>14</v>
      </c>
      <c r="L143" t="s">
        <v>298</v>
      </c>
      <c r="M143" t="s">
        <v>299</v>
      </c>
      <c r="N143">
        <v>0</v>
      </c>
      <c r="O143" t="str">
        <f>IF(Transactions_RAW_cleaned[[#This Row],[Status]]="Completed", IFERROR(_xlfn.XLOOKUP(Transactions_RAW_cleaned[[#This Row],[CustomerID]], Customers_cleaned[CustomerID], Customers_cleaned[Segment]), "Customer Not Found"), "N/A")</f>
        <v>N/A</v>
      </c>
      <c r="P143" s="5" t="str">
        <f>IF(Transactions_RAW_cleaned[[#This Row],[Status]]="Refunded", "Refund",
  IF(Transactions_RAW_cleaned[[#This Row],[Category]]="Payments", IF(Transactions_RAW_cleaned[[#This Row],[Amount]]&gt;500,"High Value","Standard"),
    IF(Transactions_RAW_cleaned[[#This Row],[Amount]]&gt;250,"High Value","Standard")))</f>
        <v>High Value</v>
      </c>
      <c r="Q143" s="5" t="str">
        <f>IF(Transactions_RAW_cleaned[[#This Row],[Amount]] &gt; (_xlfn.XLOOKUP(Transactions_RAW_cleaned[[#This Row],[ServiceID]],Services_cleaned[ServiceID],Services_cleaned[TransactionFeePct]) * 10000), "Yes", "No")</f>
        <v>Yes</v>
      </c>
      <c r="R143" s="5" t="str">
        <f>IF(COUNTIFS($C$2:Transactions_RAW_cleaned[[#This Row],[CustomerID]],Transactions_RAW_cleaned[[#This Row],[CustomerID]],$D$2:Transactions_RAW_cleaned[[#This Row],[ServiceID]],Transactions_RAW_cleaned[[#This Row],[ServiceID]])=1,"Yes","No")</f>
        <v>Yes</v>
      </c>
      <c r="S14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3" t="str">
        <f>"Q"&amp;ROUNDUP(MONTH(Transactions_RAW_cleaned[[#This Row],[TransactionDate]])/3,0)</f>
        <v>Q3</v>
      </c>
      <c r="U143" t="str">
        <f>Transactions_RAW_cleaned[[#This Row],[Region ]]&amp;Transactions_RAW_cleaned[[#This Row],[Quarter ]]</f>
        <v>NAQ3</v>
      </c>
      <c r="V143" s="5">
        <f>_xlfn.XLOOKUP(Transactions_RAW_cleaned[[#This Row],[RegionQuarterKey]], Quarterly_Targets_cleaned[RegionQuarterKey], Quarterly_Targets_cleaned[TargetRevenue])</f>
        <v>273000</v>
      </c>
    </row>
    <row r="144" spans="1:22" x14ac:dyDescent="0.25">
      <c r="A144" t="s">
        <v>476</v>
      </c>
      <c r="B144" s="1">
        <v>45352</v>
      </c>
      <c r="C144" t="s">
        <v>141</v>
      </c>
      <c r="D144" t="s">
        <v>294</v>
      </c>
      <c r="E144">
        <v>277.20999999999998</v>
      </c>
      <c r="F144" t="s">
        <v>324</v>
      </c>
      <c r="G144" t="s">
        <v>329</v>
      </c>
      <c r="H144" t="s">
        <v>334</v>
      </c>
      <c r="I144" t="s">
        <v>57</v>
      </c>
      <c r="J144" t="s">
        <v>25</v>
      </c>
      <c r="K144" t="s">
        <v>10</v>
      </c>
      <c r="L144" t="s">
        <v>295</v>
      </c>
      <c r="M144" t="s">
        <v>296</v>
      </c>
      <c r="N144">
        <v>2.9000000000000001E-2</v>
      </c>
      <c r="O144" t="str">
        <f>IF(Transactions_RAW_cleaned[[#This Row],[Status]]="Completed", IFERROR(_xlfn.XLOOKUP(Transactions_RAW_cleaned[[#This Row],[CustomerID]], Customers_cleaned[CustomerID], Customers_cleaned[Segment]), "Customer Not Found"), "N/A")</f>
        <v>Startup</v>
      </c>
      <c r="P144" s="5" t="str">
        <f>IF(Transactions_RAW_cleaned[[#This Row],[Status]]="Refunded", "Refund",
  IF(Transactions_RAW_cleaned[[#This Row],[Category]]="Payments", IF(Transactions_RAW_cleaned[[#This Row],[Amount]]&gt;500,"High Value","Standard"),
    IF(Transactions_RAW_cleaned[[#This Row],[Amount]]&gt;250,"High Value","Standard")))</f>
        <v>Standard</v>
      </c>
      <c r="Q144" s="5" t="str">
        <f>IF(Transactions_RAW_cleaned[[#This Row],[Amount]] &gt; (_xlfn.XLOOKUP(Transactions_RAW_cleaned[[#This Row],[ServiceID]],Services_cleaned[ServiceID],Services_cleaned[TransactionFeePct]) * 10000), "Yes", "No")</f>
        <v>No</v>
      </c>
      <c r="R144" s="5" t="str">
        <f>IF(COUNTIFS($C$2:Transactions_RAW_cleaned[[#This Row],[CustomerID]],Transactions_RAW_cleaned[[#This Row],[CustomerID]],$D$2:Transactions_RAW_cleaned[[#This Row],[ServiceID]],Transactions_RAW_cleaned[[#This Row],[ServiceID]])=1,"Yes","No")</f>
        <v>Yes</v>
      </c>
      <c r="S14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4" t="str">
        <f>"Q"&amp;ROUNDUP(MONTH(Transactions_RAW_cleaned[[#This Row],[TransactionDate]])/3,0)</f>
        <v>Q1</v>
      </c>
      <c r="U144" t="str">
        <f>Transactions_RAW_cleaned[[#This Row],[Region ]]&amp;Transactions_RAW_cleaned[[#This Row],[Quarter ]]</f>
        <v>APACQ1</v>
      </c>
      <c r="V144" s="5">
        <f>_xlfn.XLOOKUP(Transactions_RAW_cleaned[[#This Row],[RegionQuarterKey]], Quarterly_Targets_cleaned[RegionQuarterKey], Quarterly_Targets_cleaned[TargetRevenue])</f>
        <v>104500</v>
      </c>
    </row>
    <row r="145" spans="1:22" x14ac:dyDescent="0.25">
      <c r="A145" t="s">
        <v>477</v>
      </c>
      <c r="B145" s="1">
        <v>45429</v>
      </c>
      <c r="C145" t="s">
        <v>203</v>
      </c>
      <c r="D145" t="s">
        <v>309</v>
      </c>
      <c r="E145">
        <v>514.05999999999995</v>
      </c>
      <c r="F145" t="s">
        <v>324</v>
      </c>
      <c r="G145" t="s">
        <v>327</v>
      </c>
      <c r="I145" t="s">
        <v>57</v>
      </c>
      <c r="J145" t="s">
        <v>21</v>
      </c>
      <c r="K145" t="s">
        <v>14</v>
      </c>
      <c r="L145" t="s">
        <v>310</v>
      </c>
      <c r="M145" t="s">
        <v>311</v>
      </c>
      <c r="N145">
        <v>0</v>
      </c>
      <c r="O145" t="str">
        <f>IF(Transactions_RAW_cleaned[[#This Row],[Status]]="Completed", IFERROR(_xlfn.XLOOKUP(Transactions_RAW_cleaned[[#This Row],[CustomerID]], Customers_cleaned[CustomerID], Customers_cleaned[Segment]), "Customer Not Found"), "N/A")</f>
        <v>Startup</v>
      </c>
      <c r="P145" s="5" t="str">
        <f>IF(Transactions_RAW_cleaned[[#This Row],[Status]]="Refunded", "Refund",
  IF(Transactions_RAW_cleaned[[#This Row],[Category]]="Payments", IF(Transactions_RAW_cleaned[[#This Row],[Amount]]&gt;500,"High Value","Standard"),
    IF(Transactions_RAW_cleaned[[#This Row],[Amount]]&gt;250,"High Value","Standard")))</f>
        <v>High Value</v>
      </c>
      <c r="Q145" s="5" t="str">
        <f>IF(Transactions_RAW_cleaned[[#This Row],[Amount]] &gt; (_xlfn.XLOOKUP(Transactions_RAW_cleaned[[#This Row],[ServiceID]],Services_cleaned[ServiceID],Services_cleaned[TransactionFeePct]) * 10000), "Yes", "No")</f>
        <v>Yes</v>
      </c>
      <c r="R145" s="5" t="str">
        <f>IF(COUNTIFS($C$2:Transactions_RAW_cleaned[[#This Row],[CustomerID]],Transactions_RAW_cleaned[[#This Row],[CustomerID]],$D$2:Transactions_RAW_cleaned[[#This Row],[ServiceID]],Transactions_RAW_cleaned[[#This Row],[ServiceID]])=1,"Yes","No")</f>
        <v>Yes</v>
      </c>
      <c r="S14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5" t="str">
        <f>"Q"&amp;ROUNDUP(MONTH(Transactions_RAW_cleaned[[#This Row],[TransactionDate]])/3,0)</f>
        <v>Q2</v>
      </c>
      <c r="U145" t="str">
        <f>Transactions_RAW_cleaned[[#This Row],[Region ]]&amp;Transactions_RAW_cleaned[[#This Row],[Quarter ]]</f>
        <v>APACQ2</v>
      </c>
      <c r="V145" s="5">
        <f>_xlfn.XLOOKUP(Transactions_RAW_cleaned[[#This Row],[RegionQuarterKey]], Quarterly_Targets_cleaned[RegionQuarterKey], Quarterly_Targets_cleaned[TargetRevenue])</f>
        <v>110000</v>
      </c>
    </row>
    <row r="146" spans="1:22" x14ac:dyDescent="0.25">
      <c r="A146" t="s">
        <v>478</v>
      </c>
      <c r="B146" s="1">
        <v>45467</v>
      </c>
      <c r="C146" t="s">
        <v>78</v>
      </c>
      <c r="D146" t="s">
        <v>294</v>
      </c>
      <c r="E146">
        <v>123.32</v>
      </c>
      <c r="F146" t="s">
        <v>324</v>
      </c>
      <c r="G146" t="s">
        <v>325</v>
      </c>
      <c r="H146" t="s">
        <v>334</v>
      </c>
      <c r="I146" t="s">
        <v>17</v>
      </c>
      <c r="J146" t="s">
        <v>21</v>
      </c>
      <c r="K146" t="s">
        <v>22</v>
      </c>
      <c r="L146" t="s">
        <v>295</v>
      </c>
      <c r="M146" t="s">
        <v>296</v>
      </c>
      <c r="N146">
        <v>2.9000000000000001E-2</v>
      </c>
      <c r="O146" t="str">
        <f>IF(Transactions_RAW_cleaned[[#This Row],[Status]]="Completed", IFERROR(_xlfn.XLOOKUP(Transactions_RAW_cleaned[[#This Row],[CustomerID]], Customers_cleaned[CustomerID], Customers_cleaned[Segment]), "Customer Not Found"), "N/A")</f>
        <v>Enterprise</v>
      </c>
      <c r="P146" s="5" t="str">
        <f>IF(Transactions_RAW_cleaned[[#This Row],[Status]]="Refunded", "Refund",
  IF(Transactions_RAW_cleaned[[#This Row],[Category]]="Payments", IF(Transactions_RAW_cleaned[[#This Row],[Amount]]&gt;500,"High Value","Standard"),
    IF(Transactions_RAW_cleaned[[#This Row],[Amount]]&gt;250,"High Value","Standard")))</f>
        <v>Standard</v>
      </c>
      <c r="Q146" s="5" t="str">
        <f>IF(Transactions_RAW_cleaned[[#This Row],[Amount]] &gt; (_xlfn.XLOOKUP(Transactions_RAW_cleaned[[#This Row],[ServiceID]],Services_cleaned[ServiceID],Services_cleaned[TransactionFeePct]) * 10000), "Yes", "No")</f>
        <v>No</v>
      </c>
      <c r="R146" s="5" t="str">
        <f>IF(COUNTIFS($C$2:Transactions_RAW_cleaned[[#This Row],[CustomerID]],Transactions_RAW_cleaned[[#This Row],[CustomerID]],$D$2:Transactions_RAW_cleaned[[#This Row],[ServiceID]],Transactions_RAW_cleaned[[#This Row],[ServiceID]])=1,"Yes","No")</f>
        <v>Yes</v>
      </c>
      <c r="S14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6" t="str">
        <f>"Q"&amp;ROUNDUP(MONTH(Transactions_RAW_cleaned[[#This Row],[TransactionDate]])/3,0)</f>
        <v>Q2</v>
      </c>
      <c r="U146" t="str">
        <f>Transactions_RAW_cleaned[[#This Row],[Region ]]&amp;Transactions_RAW_cleaned[[#This Row],[Quarter ]]</f>
        <v>APACQ2</v>
      </c>
      <c r="V146" s="5">
        <f>_xlfn.XLOOKUP(Transactions_RAW_cleaned[[#This Row],[RegionQuarterKey]], Quarterly_Targets_cleaned[RegionQuarterKey], Quarterly_Targets_cleaned[TargetRevenue])</f>
        <v>110000</v>
      </c>
    </row>
    <row r="147" spans="1:22" x14ac:dyDescent="0.25">
      <c r="A147" t="s">
        <v>479</v>
      </c>
      <c r="B147" s="1">
        <v>45529</v>
      </c>
      <c r="C147" t="s">
        <v>92</v>
      </c>
      <c r="D147" t="s">
        <v>303</v>
      </c>
      <c r="E147">
        <v>310.75</v>
      </c>
      <c r="F147" t="s">
        <v>324</v>
      </c>
      <c r="G147" t="s">
        <v>325</v>
      </c>
      <c r="H147" t="s">
        <v>334</v>
      </c>
      <c r="I147" t="s">
        <v>8</v>
      </c>
      <c r="J147" t="s">
        <v>102</v>
      </c>
      <c r="K147" t="s">
        <v>10</v>
      </c>
      <c r="L147" t="s">
        <v>304</v>
      </c>
      <c r="M147" t="s">
        <v>305</v>
      </c>
      <c r="N147">
        <v>1E-3</v>
      </c>
      <c r="O147" t="str">
        <f>IF(Transactions_RAW_cleaned[[#This Row],[Status]]="Completed", IFERROR(_xlfn.XLOOKUP(Transactions_RAW_cleaned[[#This Row],[CustomerID]], Customers_cleaned[CustomerID], Customers_cleaned[Segment]), "Customer Not Found"), "N/A")</f>
        <v>SMB</v>
      </c>
      <c r="P147" s="5" t="str">
        <f>IF(Transactions_RAW_cleaned[[#This Row],[Status]]="Refunded", "Refund",
  IF(Transactions_RAW_cleaned[[#This Row],[Category]]="Payments", IF(Transactions_RAW_cleaned[[#This Row],[Amount]]&gt;500,"High Value","Standard"),
    IF(Transactions_RAW_cleaned[[#This Row],[Amount]]&gt;250,"High Value","Standard")))</f>
        <v>High Value</v>
      </c>
      <c r="Q147" s="5" t="str">
        <f>IF(Transactions_RAW_cleaned[[#This Row],[Amount]] &gt; (_xlfn.XLOOKUP(Transactions_RAW_cleaned[[#This Row],[ServiceID]],Services_cleaned[ServiceID],Services_cleaned[TransactionFeePct]) * 10000), "Yes", "No")</f>
        <v>Yes</v>
      </c>
      <c r="R147" s="5" t="str">
        <f>IF(COUNTIFS($C$2:Transactions_RAW_cleaned[[#This Row],[CustomerID]],Transactions_RAW_cleaned[[#This Row],[CustomerID]],$D$2:Transactions_RAW_cleaned[[#This Row],[ServiceID]],Transactions_RAW_cleaned[[#This Row],[ServiceID]])=1,"Yes","No")</f>
        <v>Yes</v>
      </c>
      <c r="S14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7" t="str">
        <f>"Q"&amp;ROUNDUP(MONTH(Transactions_RAW_cleaned[[#This Row],[TransactionDate]])/3,0)</f>
        <v>Q3</v>
      </c>
      <c r="U147" t="str">
        <f>Transactions_RAW_cleaned[[#This Row],[Region ]]&amp;Transactions_RAW_cleaned[[#This Row],[Quarter ]]</f>
        <v>NAQ3</v>
      </c>
      <c r="V147" s="5">
        <f>_xlfn.XLOOKUP(Transactions_RAW_cleaned[[#This Row],[RegionQuarterKey]], Quarterly_Targets_cleaned[RegionQuarterKey], Quarterly_Targets_cleaned[TargetRevenue])</f>
        <v>273000</v>
      </c>
    </row>
    <row r="148" spans="1:22" x14ac:dyDescent="0.25">
      <c r="A148" t="s">
        <v>480</v>
      </c>
      <c r="B148" s="1">
        <v>45345</v>
      </c>
      <c r="C148" t="s">
        <v>167</v>
      </c>
      <c r="D148" t="s">
        <v>297</v>
      </c>
      <c r="E148">
        <v>408.86</v>
      </c>
      <c r="F148" t="s">
        <v>324</v>
      </c>
      <c r="G148" t="s">
        <v>327</v>
      </c>
      <c r="I148" t="s">
        <v>17</v>
      </c>
      <c r="J148" t="s">
        <v>13</v>
      </c>
      <c r="K148" t="s">
        <v>10</v>
      </c>
      <c r="L148" t="s">
        <v>298</v>
      </c>
      <c r="M148" t="s">
        <v>299</v>
      </c>
      <c r="N148">
        <v>0</v>
      </c>
      <c r="O148" t="str">
        <f>IF(Transactions_RAW_cleaned[[#This Row],[Status]]="Completed", IFERROR(_xlfn.XLOOKUP(Transactions_RAW_cleaned[[#This Row],[CustomerID]], Customers_cleaned[CustomerID], Customers_cleaned[Segment]), "Customer Not Found"), "N/A")</f>
        <v>Enterprise</v>
      </c>
      <c r="P148" s="5" t="str">
        <f>IF(Transactions_RAW_cleaned[[#This Row],[Status]]="Refunded", "Refund",
  IF(Transactions_RAW_cleaned[[#This Row],[Category]]="Payments", IF(Transactions_RAW_cleaned[[#This Row],[Amount]]&gt;500,"High Value","Standard"),
    IF(Transactions_RAW_cleaned[[#This Row],[Amount]]&gt;250,"High Value","Standard")))</f>
        <v>High Value</v>
      </c>
      <c r="Q148" s="5" t="str">
        <f>IF(Transactions_RAW_cleaned[[#This Row],[Amount]] &gt; (_xlfn.XLOOKUP(Transactions_RAW_cleaned[[#This Row],[ServiceID]],Services_cleaned[ServiceID],Services_cleaned[TransactionFeePct]) * 10000), "Yes", "No")</f>
        <v>Yes</v>
      </c>
      <c r="R148" s="5" t="str">
        <f>IF(COUNTIFS($C$2:Transactions_RAW_cleaned[[#This Row],[CustomerID]],Transactions_RAW_cleaned[[#This Row],[CustomerID]],$D$2:Transactions_RAW_cleaned[[#This Row],[ServiceID]],Transactions_RAW_cleaned[[#This Row],[ServiceID]])=1,"Yes","No")</f>
        <v>Yes</v>
      </c>
      <c r="S14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8" t="str">
        <f>"Q"&amp;ROUNDUP(MONTH(Transactions_RAW_cleaned[[#This Row],[TransactionDate]])/3,0)</f>
        <v>Q1</v>
      </c>
      <c r="U148" t="str">
        <f>Transactions_RAW_cleaned[[#This Row],[Region ]]&amp;Transactions_RAW_cleaned[[#This Row],[Quarter ]]</f>
        <v>NAQ1</v>
      </c>
      <c r="V148" s="5">
        <f>_xlfn.XLOOKUP(Transactions_RAW_cleaned[[#This Row],[RegionQuarterKey]], Quarterly_Targets_cleaned[RegionQuarterKey], Quarterly_Targets_cleaned[TargetRevenue])</f>
        <v>247000</v>
      </c>
    </row>
    <row r="149" spans="1:22" x14ac:dyDescent="0.25">
      <c r="A149" t="s">
        <v>481</v>
      </c>
      <c r="B149" s="1">
        <v>45489</v>
      </c>
      <c r="C149" t="s">
        <v>195</v>
      </c>
      <c r="D149" t="s">
        <v>306</v>
      </c>
      <c r="E149">
        <v>137.99</v>
      </c>
      <c r="F149" t="s">
        <v>381</v>
      </c>
      <c r="G149" t="s">
        <v>327</v>
      </c>
      <c r="I149" t="s">
        <v>8</v>
      </c>
      <c r="J149" t="s">
        <v>102</v>
      </c>
      <c r="K149" t="s">
        <v>32</v>
      </c>
      <c r="L149" t="s">
        <v>307</v>
      </c>
      <c r="M149" t="s">
        <v>308</v>
      </c>
      <c r="N149">
        <v>0</v>
      </c>
      <c r="O149" t="str">
        <f>IF(Transactions_RAW_cleaned[[#This Row],[Status]]="Completed", IFERROR(_xlfn.XLOOKUP(Transactions_RAW_cleaned[[#This Row],[CustomerID]], Customers_cleaned[CustomerID], Customers_cleaned[Segment]), "Customer Not Found"), "N/A")</f>
        <v>N/A</v>
      </c>
      <c r="P149" s="5" t="str">
        <f>IF(Transactions_RAW_cleaned[[#This Row],[Status]]="Refunded", "Refund",
  IF(Transactions_RAW_cleaned[[#This Row],[Category]]="Payments", IF(Transactions_RAW_cleaned[[#This Row],[Amount]]&gt;500,"High Value","Standard"),
    IF(Transactions_RAW_cleaned[[#This Row],[Amount]]&gt;250,"High Value","Standard")))</f>
        <v>Standard</v>
      </c>
      <c r="Q149" s="5" t="str">
        <f>IF(Transactions_RAW_cleaned[[#This Row],[Amount]] &gt; (_xlfn.XLOOKUP(Transactions_RAW_cleaned[[#This Row],[ServiceID]],Services_cleaned[ServiceID],Services_cleaned[TransactionFeePct]) * 10000), "Yes", "No")</f>
        <v>Yes</v>
      </c>
      <c r="R149" s="5" t="str">
        <f>IF(COUNTIFS($C$2:Transactions_RAW_cleaned[[#This Row],[CustomerID]],Transactions_RAW_cleaned[[#This Row],[CustomerID]],$D$2:Transactions_RAW_cleaned[[#This Row],[ServiceID]],Transactions_RAW_cleaned[[#This Row],[ServiceID]])=1,"Yes","No")</f>
        <v>Yes</v>
      </c>
      <c r="S14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9" t="str">
        <f>"Q"&amp;ROUNDUP(MONTH(Transactions_RAW_cleaned[[#This Row],[TransactionDate]])/3,0)</f>
        <v>Q3</v>
      </c>
      <c r="U149" t="str">
        <f>Transactions_RAW_cleaned[[#This Row],[Region ]]&amp;Transactions_RAW_cleaned[[#This Row],[Quarter ]]</f>
        <v>NAQ3</v>
      </c>
      <c r="V149" s="5">
        <f>_xlfn.XLOOKUP(Transactions_RAW_cleaned[[#This Row],[RegionQuarterKey]], Quarterly_Targets_cleaned[RegionQuarterKey], Quarterly_Targets_cleaned[TargetRevenue])</f>
        <v>273000</v>
      </c>
    </row>
    <row r="150" spans="1:22" x14ac:dyDescent="0.25">
      <c r="A150" t="s">
        <v>482</v>
      </c>
      <c r="B150" s="1">
        <v>45594</v>
      </c>
      <c r="C150" t="s">
        <v>173</v>
      </c>
      <c r="D150" t="s">
        <v>312</v>
      </c>
      <c r="E150">
        <v>385.12</v>
      </c>
      <c r="F150" t="s">
        <v>324</v>
      </c>
      <c r="G150" t="s">
        <v>325</v>
      </c>
      <c r="I150" t="s">
        <v>8</v>
      </c>
      <c r="J150" t="s">
        <v>46</v>
      </c>
      <c r="K150" t="s">
        <v>32</v>
      </c>
      <c r="L150" t="s">
        <v>313</v>
      </c>
      <c r="M150" t="s">
        <v>314</v>
      </c>
      <c r="N150">
        <v>0</v>
      </c>
      <c r="O150" t="str">
        <f>IF(Transactions_RAW_cleaned[[#This Row],[Status]]="Completed", IFERROR(_xlfn.XLOOKUP(Transactions_RAW_cleaned[[#This Row],[CustomerID]], Customers_cleaned[CustomerID], Customers_cleaned[Segment]), "Customer Not Found"), "N/A")</f>
        <v>SMB</v>
      </c>
      <c r="P150" s="5" t="str">
        <f>IF(Transactions_RAW_cleaned[[#This Row],[Status]]="Refunded", "Refund",
  IF(Transactions_RAW_cleaned[[#This Row],[Category]]="Payments", IF(Transactions_RAW_cleaned[[#This Row],[Amount]]&gt;500,"High Value","Standard"),
    IF(Transactions_RAW_cleaned[[#This Row],[Amount]]&gt;250,"High Value","Standard")))</f>
        <v>High Value</v>
      </c>
      <c r="Q150" s="5" t="str">
        <f>IF(Transactions_RAW_cleaned[[#This Row],[Amount]] &gt; (_xlfn.XLOOKUP(Transactions_RAW_cleaned[[#This Row],[ServiceID]],Services_cleaned[ServiceID],Services_cleaned[TransactionFeePct]) * 10000), "Yes", "No")</f>
        <v>Yes</v>
      </c>
      <c r="R150" s="5" t="str">
        <f>IF(COUNTIFS($C$2:Transactions_RAW_cleaned[[#This Row],[CustomerID]],Transactions_RAW_cleaned[[#This Row],[CustomerID]],$D$2:Transactions_RAW_cleaned[[#This Row],[ServiceID]],Transactions_RAW_cleaned[[#This Row],[ServiceID]])=1,"Yes","No")</f>
        <v>Yes</v>
      </c>
      <c r="S15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0" t="str">
        <f>"Q"&amp;ROUNDUP(MONTH(Transactions_RAW_cleaned[[#This Row],[TransactionDate]])/3,0)</f>
        <v>Q4</v>
      </c>
      <c r="U150" t="str">
        <f>Transactions_RAW_cleaned[[#This Row],[Region ]]&amp;Transactions_RAW_cleaned[[#This Row],[Quarter ]]</f>
        <v>APACQ4</v>
      </c>
      <c r="V150" s="5">
        <f>_xlfn.XLOOKUP(Transactions_RAW_cleaned[[#This Row],[RegionQuarterKey]], Quarterly_Targets_cleaned[RegionQuarterKey], Quarterly_Targets_cleaned[TargetRevenue])</f>
        <v>126500</v>
      </c>
    </row>
    <row r="151" spans="1:22" x14ac:dyDescent="0.25">
      <c r="A151" t="s">
        <v>483</v>
      </c>
      <c r="B151" s="1">
        <v>45365</v>
      </c>
      <c r="C151" t="s">
        <v>129</v>
      </c>
      <c r="D151" t="s">
        <v>294</v>
      </c>
      <c r="E151">
        <v>457.96</v>
      </c>
      <c r="F151" t="s">
        <v>324</v>
      </c>
      <c r="G151" t="s">
        <v>325</v>
      </c>
      <c r="H151" t="s">
        <v>332</v>
      </c>
      <c r="I151" t="s">
        <v>8</v>
      </c>
      <c r="J151" t="s">
        <v>21</v>
      </c>
      <c r="K151" t="s">
        <v>18</v>
      </c>
      <c r="L151" t="s">
        <v>295</v>
      </c>
      <c r="M151" t="s">
        <v>296</v>
      </c>
      <c r="N151">
        <v>2.9000000000000001E-2</v>
      </c>
      <c r="O151" t="str">
        <f>IF(Transactions_RAW_cleaned[[#This Row],[Status]]="Completed", IFERROR(_xlfn.XLOOKUP(Transactions_RAW_cleaned[[#This Row],[CustomerID]], Customers_cleaned[CustomerID], Customers_cleaned[Segment]), "Customer Not Found"), "N/A")</f>
        <v>SMB</v>
      </c>
      <c r="P151" s="5" t="str">
        <f>IF(Transactions_RAW_cleaned[[#This Row],[Status]]="Refunded", "Refund",
  IF(Transactions_RAW_cleaned[[#This Row],[Category]]="Payments", IF(Transactions_RAW_cleaned[[#This Row],[Amount]]&gt;500,"High Value","Standard"),
    IF(Transactions_RAW_cleaned[[#This Row],[Amount]]&gt;250,"High Value","Standard")))</f>
        <v>Standard</v>
      </c>
      <c r="Q151" s="5" t="str">
        <f>IF(Transactions_RAW_cleaned[[#This Row],[Amount]] &gt; (_xlfn.XLOOKUP(Transactions_RAW_cleaned[[#This Row],[ServiceID]],Services_cleaned[ServiceID],Services_cleaned[TransactionFeePct]) * 10000), "Yes", "No")</f>
        <v>Yes</v>
      </c>
      <c r="R151" s="5" t="str">
        <f>IF(COUNTIFS($C$2:Transactions_RAW_cleaned[[#This Row],[CustomerID]],Transactions_RAW_cleaned[[#This Row],[CustomerID]],$D$2:Transactions_RAW_cleaned[[#This Row],[ServiceID]],Transactions_RAW_cleaned[[#This Row],[ServiceID]])=1,"Yes","No")</f>
        <v>No</v>
      </c>
      <c r="S15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1" t="str">
        <f>"Q"&amp;ROUNDUP(MONTH(Transactions_RAW_cleaned[[#This Row],[TransactionDate]])/3,0)</f>
        <v>Q1</v>
      </c>
      <c r="U151" t="str">
        <f>Transactions_RAW_cleaned[[#This Row],[Region ]]&amp;Transactions_RAW_cleaned[[#This Row],[Quarter ]]</f>
        <v>APACQ1</v>
      </c>
      <c r="V151" s="5">
        <f>_xlfn.XLOOKUP(Transactions_RAW_cleaned[[#This Row],[RegionQuarterKey]], Quarterly_Targets_cleaned[RegionQuarterKey], Quarterly_Targets_cleaned[TargetRevenue])</f>
        <v>104500</v>
      </c>
    </row>
    <row r="152" spans="1:22" x14ac:dyDescent="0.25">
      <c r="A152" t="s">
        <v>484</v>
      </c>
      <c r="B152" s="1">
        <v>45295</v>
      </c>
      <c r="C152" t="s">
        <v>11</v>
      </c>
      <c r="D152" t="s">
        <v>306</v>
      </c>
      <c r="E152">
        <v>143.56</v>
      </c>
      <c r="F152" t="s">
        <v>324</v>
      </c>
      <c r="G152" t="s">
        <v>325</v>
      </c>
      <c r="H152" t="s">
        <v>334</v>
      </c>
      <c r="I152" t="s">
        <v>8</v>
      </c>
      <c r="J152" t="s">
        <v>13</v>
      </c>
      <c r="K152" t="s">
        <v>14</v>
      </c>
      <c r="L152" t="s">
        <v>307</v>
      </c>
      <c r="M152" t="s">
        <v>308</v>
      </c>
      <c r="N152">
        <v>0</v>
      </c>
      <c r="O152" t="str">
        <f>IF(Transactions_RAW_cleaned[[#This Row],[Status]]="Completed", IFERROR(_xlfn.XLOOKUP(Transactions_RAW_cleaned[[#This Row],[CustomerID]], Customers_cleaned[CustomerID], Customers_cleaned[Segment]), "Customer Not Found"), "N/A")</f>
        <v>SMB</v>
      </c>
      <c r="P152" s="5" t="str">
        <f>IF(Transactions_RAW_cleaned[[#This Row],[Status]]="Refunded", "Refund",
  IF(Transactions_RAW_cleaned[[#This Row],[Category]]="Payments", IF(Transactions_RAW_cleaned[[#This Row],[Amount]]&gt;500,"High Value","Standard"),
    IF(Transactions_RAW_cleaned[[#This Row],[Amount]]&gt;250,"High Value","Standard")))</f>
        <v>Standard</v>
      </c>
      <c r="Q152" s="5" t="str">
        <f>IF(Transactions_RAW_cleaned[[#This Row],[Amount]] &gt; (_xlfn.XLOOKUP(Transactions_RAW_cleaned[[#This Row],[ServiceID]],Services_cleaned[ServiceID],Services_cleaned[TransactionFeePct]) * 10000), "Yes", "No")</f>
        <v>Yes</v>
      </c>
      <c r="R152" s="5" t="str">
        <f>IF(COUNTIFS($C$2:Transactions_RAW_cleaned[[#This Row],[CustomerID]],Transactions_RAW_cleaned[[#This Row],[CustomerID]],$D$2:Transactions_RAW_cleaned[[#This Row],[ServiceID]],Transactions_RAW_cleaned[[#This Row],[ServiceID]])=1,"Yes","No")</f>
        <v>Yes</v>
      </c>
      <c r="S15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2" t="str">
        <f>"Q"&amp;ROUNDUP(MONTH(Transactions_RAW_cleaned[[#This Row],[TransactionDate]])/3,0)</f>
        <v>Q1</v>
      </c>
      <c r="U152" t="str">
        <f>Transactions_RAW_cleaned[[#This Row],[Region ]]&amp;Transactions_RAW_cleaned[[#This Row],[Quarter ]]</f>
        <v>NAQ1</v>
      </c>
      <c r="V152" s="5">
        <f>_xlfn.XLOOKUP(Transactions_RAW_cleaned[[#This Row],[RegionQuarterKey]], Quarterly_Targets_cleaned[RegionQuarterKey], Quarterly_Targets_cleaned[TargetRevenue])</f>
        <v>247000</v>
      </c>
    </row>
    <row r="153" spans="1:22" x14ac:dyDescent="0.25">
      <c r="A153" t="s">
        <v>485</v>
      </c>
      <c r="B153" s="1">
        <v>45467</v>
      </c>
      <c r="C153" t="s">
        <v>207</v>
      </c>
      <c r="D153" t="s">
        <v>297</v>
      </c>
      <c r="E153">
        <v>340.87</v>
      </c>
      <c r="F153" t="s">
        <v>324</v>
      </c>
      <c r="G153" t="s">
        <v>325</v>
      </c>
      <c r="H153" t="s">
        <v>332</v>
      </c>
      <c r="I153" t="s">
        <v>8</v>
      </c>
      <c r="J153" t="s">
        <v>102</v>
      </c>
      <c r="K153" t="s">
        <v>28</v>
      </c>
      <c r="L153" t="s">
        <v>298</v>
      </c>
      <c r="M153" t="s">
        <v>299</v>
      </c>
      <c r="N153">
        <v>0</v>
      </c>
      <c r="O153" t="str">
        <f>IF(Transactions_RAW_cleaned[[#This Row],[Status]]="Completed", IFERROR(_xlfn.XLOOKUP(Transactions_RAW_cleaned[[#This Row],[CustomerID]], Customers_cleaned[CustomerID], Customers_cleaned[Segment]), "Customer Not Found"), "N/A")</f>
        <v>SMB</v>
      </c>
      <c r="P153" s="5" t="str">
        <f>IF(Transactions_RAW_cleaned[[#This Row],[Status]]="Refunded", "Refund",
  IF(Transactions_RAW_cleaned[[#This Row],[Category]]="Payments", IF(Transactions_RAW_cleaned[[#This Row],[Amount]]&gt;500,"High Value","Standard"),
    IF(Transactions_RAW_cleaned[[#This Row],[Amount]]&gt;250,"High Value","Standard")))</f>
        <v>High Value</v>
      </c>
      <c r="Q153" s="5" t="str">
        <f>IF(Transactions_RAW_cleaned[[#This Row],[Amount]] &gt; (_xlfn.XLOOKUP(Transactions_RAW_cleaned[[#This Row],[ServiceID]],Services_cleaned[ServiceID],Services_cleaned[TransactionFeePct]) * 10000), "Yes", "No")</f>
        <v>Yes</v>
      </c>
      <c r="R153" s="5" t="str">
        <f>IF(COUNTIFS($C$2:Transactions_RAW_cleaned[[#This Row],[CustomerID]],Transactions_RAW_cleaned[[#This Row],[CustomerID]],$D$2:Transactions_RAW_cleaned[[#This Row],[ServiceID]],Transactions_RAW_cleaned[[#This Row],[ServiceID]])=1,"Yes","No")</f>
        <v>No</v>
      </c>
      <c r="S15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3" t="str">
        <f>"Q"&amp;ROUNDUP(MONTH(Transactions_RAW_cleaned[[#This Row],[TransactionDate]])/3,0)</f>
        <v>Q2</v>
      </c>
      <c r="U153" t="str">
        <f>Transactions_RAW_cleaned[[#This Row],[Region ]]&amp;Transactions_RAW_cleaned[[#This Row],[Quarter ]]</f>
        <v>NAQ2</v>
      </c>
      <c r="V153" s="5">
        <f>_xlfn.XLOOKUP(Transactions_RAW_cleaned[[#This Row],[RegionQuarterKey]], Quarterly_Targets_cleaned[RegionQuarterKey], Quarterly_Targets_cleaned[TargetRevenue])</f>
        <v>260000</v>
      </c>
    </row>
    <row r="154" spans="1:22" x14ac:dyDescent="0.25">
      <c r="A154" t="s">
        <v>486</v>
      </c>
      <c r="B154" s="1">
        <v>45604</v>
      </c>
      <c r="C154" t="s">
        <v>53</v>
      </c>
      <c r="D154" t="s">
        <v>300</v>
      </c>
      <c r="E154">
        <v>572.64</v>
      </c>
      <c r="F154" t="s">
        <v>324</v>
      </c>
      <c r="G154" t="s">
        <v>327</v>
      </c>
      <c r="I154" t="s">
        <v>17</v>
      </c>
      <c r="J154" t="s">
        <v>21</v>
      </c>
      <c r="K154" t="s">
        <v>28</v>
      </c>
      <c r="L154" t="s">
        <v>301</v>
      </c>
      <c r="M154" t="s">
        <v>302</v>
      </c>
      <c r="N154">
        <v>5.0000000000000001E-3</v>
      </c>
      <c r="O154" t="str">
        <f>IF(Transactions_RAW_cleaned[[#This Row],[Status]]="Completed", IFERROR(_xlfn.XLOOKUP(Transactions_RAW_cleaned[[#This Row],[CustomerID]], Customers_cleaned[CustomerID], Customers_cleaned[Segment]), "Customer Not Found"), "N/A")</f>
        <v>Enterprise</v>
      </c>
      <c r="P154" s="5" t="str">
        <f>IF(Transactions_RAW_cleaned[[#This Row],[Status]]="Refunded", "Refund",
  IF(Transactions_RAW_cleaned[[#This Row],[Category]]="Payments", IF(Transactions_RAW_cleaned[[#This Row],[Amount]]&gt;500,"High Value","Standard"),
    IF(Transactions_RAW_cleaned[[#This Row],[Amount]]&gt;250,"High Value","Standard")))</f>
        <v>High Value</v>
      </c>
      <c r="Q154" s="5" t="str">
        <f>IF(Transactions_RAW_cleaned[[#This Row],[Amount]] &gt; (_xlfn.XLOOKUP(Transactions_RAW_cleaned[[#This Row],[ServiceID]],Services_cleaned[ServiceID],Services_cleaned[TransactionFeePct]) * 10000), "Yes", "No")</f>
        <v>Yes</v>
      </c>
      <c r="R154" s="5" t="str">
        <f>IF(COUNTIFS($C$2:Transactions_RAW_cleaned[[#This Row],[CustomerID]],Transactions_RAW_cleaned[[#This Row],[CustomerID]],$D$2:Transactions_RAW_cleaned[[#This Row],[ServiceID]],Transactions_RAW_cleaned[[#This Row],[ServiceID]])=1,"Yes","No")</f>
        <v>Yes</v>
      </c>
      <c r="S15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4" t="str">
        <f>"Q"&amp;ROUNDUP(MONTH(Transactions_RAW_cleaned[[#This Row],[TransactionDate]])/3,0)</f>
        <v>Q4</v>
      </c>
      <c r="U154" t="str">
        <f>Transactions_RAW_cleaned[[#This Row],[Region ]]&amp;Transactions_RAW_cleaned[[#This Row],[Quarter ]]</f>
        <v>APACQ4</v>
      </c>
      <c r="V154" s="5">
        <f>_xlfn.XLOOKUP(Transactions_RAW_cleaned[[#This Row],[RegionQuarterKey]], Quarterly_Targets_cleaned[RegionQuarterKey], Quarterly_Targets_cleaned[TargetRevenue])</f>
        <v>126500</v>
      </c>
    </row>
    <row r="155" spans="1:22" x14ac:dyDescent="0.25">
      <c r="A155" t="s">
        <v>487</v>
      </c>
      <c r="B155" s="1">
        <v>45491</v>
      </c>
      <c r="C155" t="s">
        <v>171</v>
      </c>
      <c r="D155" t="s">
        <v>306</v>
      </c>
      <c r="E155">
        <v>-387.59</v>
      </c>
      <c r="F155" t="s">
        <v>349</v>
      </c>
      <c r="G155" t="s">
        <v>329</v>
      </c>
      <c r="H155" t="s">
        <v>334</v>
      </c>
      <c r="I155" t="s">
        <v>17</v>
      </c>
      <c r="J155" t="s">
        <v>31</v>
      </c>
      <c r="K155" t="s">
        <v>32</v>
      </c>
      <c r="L155" t="s">
        <v>307</v>
      </c>
      <c r="M155" t="s">
        <v>308</v>
      </c>
      <c r="N155">
        <v>0</v>
      </c>
      <c r="O155" t="str">
        <f>IF(Transactions_RAW_cleaned[[#This Row],[Status]]="Completed", IFERROR(_xlfn.XLOOKUP(Transactions_RAW_cleaned[[#This Row],[CustomerID]], Customers_cleaned[CustomerID], Customers_cleaned[Segment]), "Customer Not Found"), "N/A")</f>
        <v>N/A</v>
      </c>
      <c r="P155" s="5" t="str">
        <f>IF(Transactions_RAW_cleaned[[#This Row],[Status]]="Refunded", "Refund",
  IF(Transactions_RAW_cleaned[[#This Row],[Category]]="Payments", IF(Transactions_RAW_cleaned[[#This Row],[Amount]]&gt;500,"High Value","Standard"),
    IF(Transactions_RAW_cleaned[[#This Row],[Amount]]&gt;250,"High Value","Standard")))</f>
        <v>Refund</v>
      </c>
      <c r="Q155" s="5" t="str">
        <f>IF(Transactions_RAW_cleaned[[#This Row],[Amount]] &gt; (_xlfn.XLOOKUP(Transactions_RAW_cleaned[[#This Row],[ServiceID]],Services_cleaned[ServiceID],Services_cleaned[TransactionFeePct]) * 10000), "Yes", "No")</f>
        <v>No</v>
      </c>
      <c r="R155" s="5" t="str">
        <f>IF(COUNTIFS($C$2:Transactions_RAW_cleaned[[#This Row],[CustomerID]],Transactions_RAW_cleaned[[#This Row],[CustomerID]],$D$2:Transactions_RAW_cleaned[[#This Row],[ServiceID]],Transactions_RAW_cleaned[[#This Row],[ServiceID]])=1,"Yes","No")</f>
        <v>Yes</v>
      </c>
      <c r="S15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5" t="str">
        <f>"Q"&amp;ROUNDUP(MONTH(Transactions_RAW_cleaned[[#This Row],[TransactionDate]])/3,0)</f>
        <v>Q3</v>
      </c>
      <c r="U155" t="str">
        <f>Transactions_RAW_cleaned[[#This Row],[Region ]]&amp;Transactions_RAW_cleaned[[#This Row],[Quarter ]]</f>
        <v>EMEAQ3</v>
      </c>
      <c r="V155" s="5">
        <f>_xlfn.XLOOKUP(Transactions_RAW_cleaned[[#This Row],[RegionQuarterKey]], Quarterly_Targets_cleaned[RegionQuarterKey], Quarterly_Targets_cleaned[TargetRevenue])</f>
        <v>147000</v>
      </c>
    </row>
    <row r="156" spans="1:22" x14ac:dyDescent="0.25">
      <c r="A156" t="s">
        <v>488</v>
      </c>
      <c r="B156" s="1">
        <v>45651</v>
      </c>
      <c r="C156" t="s">
        <v>179</v>
      </c>
      <c r="D156" t="s">
        <v>300</v>
      </c>
      <c r="E156">
        <v>213.24</v>
      </c>
      <c r="F156" t="s">
        <v>324</v>
      </c>
      <c r="G156" t="s">
        <v>325</v>
      </c>
      <c r="H156" t="s">
        <v>346</v>
      </c>
      <c r="I156" t="s">
        <v>8</v>
      </c>
      <c r="J156" t="s">
        <v>31</v>
      </c>
      <c r="K156" t="s">
        <v>18</v>
      </c>
      <c r="L156" t="s">
        <v>301</v>
      </c>
      <c r="M156" t="s">
        <v>302</v>
      </c>
      <c r="N156">
        <v>5.0000000000000001E-3</v>
      </c>
      <c r="O156" t="str">
        <f>IF(Transactions_RAW_cleaned[[#This Row],[Status]]="Completed", IFERROR(_xlfn.XLOOKUP(Transactions_RAW_cleaned[[#This Row],[CustomerID]], Customers_cleaned[CustomerID], Customers_cleaned[Segment]), "Customer Not Found"), "N/A")</f>
        <v>SMB</v>
      </c>
      <c r="P156" s="5" t="str">
        <f>IF(Transactions_RAW_cleaned[[#This Row],[Status]]="Refunded", "Refund",
  IF(Transactions_RAW_cleaned[[#This Row],[Category]]="Payments", IF(Transactions_RAW_cleaned[[#This Row],[Amount]]&gt;500,"High Value","Standard"),
    IF(Transactions_RAW_cleaned[[#This Row],[Amount]]&gt;250,"High Value","Standard")))</f>
        <v>Standard</v>
      </c>
      <c r="Q156" s="5" t="str">
        <f>IF(Transactions_RAW_cleaned[[#This Row],[Amount]] &gt; (_xlfn.XLOOKUP(Transactions_RAW_cleaned[[#This Row],[ServiceID]],Services_cleaned[ServiceID],Services_cleaned[TransactionFeePct]) * 10000), "Yes", "No")</f>
        <v>Yes</v>
      </c>
      <c r="R156" s="5" t="str">
        <f>IF(COUNTIFS($C$2:Transactions_RAW_cleaned[[#This Row],[CustomerID]],Transactions_RAW_cleaned[[#This Row],[CustomerID]],$D$2:Transactions_RAW_cleaned[[#This Row],[ServiceID]],Transactions_RAW_cleaned[[#This Row],[ServiceID]])=1,"Yes","No")</f>
        <v>Yes</v>
      </c>
      <c r="S15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6" t="str">
        <f>"Q"&amp;ROUNDUP(MONTH(Transactions_RAW_cleaned[[#This Row],[TransactionDate]])/3,0)</f>
        <v>Q4</v>
      </c>
      <c r="U156" t="str">
        <f>Transactions_RAW_cleaned[[#This Row],[Region ]]&amp;Transactions_RAW_cleaned[[#This Row],[Quarter ]]</f>
        <v>EMEAQ4</v>
      </c>
      <c r="V156" s="5">
        <f>_xlfn.XLOOKUP(Transactions_RAW_cleaned[[#This Row],[RegionQuarterKey]], Quarterly_Targets_cleaned[RegionQuarterKey], Quarterly_Targets_cleaned[TargetRevenue])</f>
        <v>161000</v>
      </c>
    </row>
    <row r="157" spans="1:22" x14ac:dyDescent="0.25">
      <c r="A157" t="s">
        <v>489</v>
      </c>
      <c r="B157" s="1">
        <v>45450</v>
      </c>
      <c r="C157" t="s">
        <v>247</v>
      </c>
      <c r="D157" t="s">
        <v>303</v>
      </c>
      <c r="E157">
        <v>362.5</v>
      </c>
      <c r="F157" t="s">
        <v>331</v>
      </c>
      <c r="G157" t="s">
        <v>337</v>
      </c>
      <c r="H157" t="s">
        <v>346</v>
      </c>
      <c r="I157" t="s">
        <v>17</v>
      </c>
      <c r="J157" t="s">
        <v>13</v>
      </c>
      <c r="K157" t="s">
        <v>28</v>
      </c>
      <c r="L157" t="s">
        <v>304</v>
      </c>
      <c r="M157" t="s">
        <v>305</v>
      </c>
      <c r="N157">
        <v>1E-3</v>
      </c>
      <c r="O157" t="str">
        <f>IF(Transactions_RAW_cleaned[[#This Row],[Status]]="Completed", IFERROR(_xlfn.XLOOKUP(Transactions_RAW_cleaned[[#This Row],[CustomerID]], Customers_cleaned[CustomerID], Customers_cleaned[Segment]), "Customer Not Found"), "N/A")</f>
        <v>N/A</v>
      </c>
      <c r="P157" s="5" t="str">
        <f>IF(Transactions_RAW_cleaned[[#This Row],[Status]]="Refunded", "Refund",
  IF(Transactions_RAW_cleaned[[#This Row],[Category]]="Payments", IF(Transactions_RAW_cleaned[[#This Row],[Amount]]&gt;500,"High Value","Standard"),
    IF(Transactions_RAW_cleaned[[#This Row],[Amount]]&gt;250,"High Value","Standard")))</f>
        <v>High Value</v>
      </c>
      <c r="Q157" s="5" t="str">
        <f>IF(Transactions_RAW_cleaned[[#This Row],[Amount]] &gt; (_xlfn.XLOOKUP(Transactions_RAW_cleaned[[#This Row],[ServiceID]],Services_cleaned[ServiceID],Services_cleaned[TransactionFeePct]) * 10000), "Yes", "No")</f>
        <v>Yes</v>
      </c>
      <c r="R157" s="5" t="str">
        <f>IF(COUNTIFS($C$2:Transactions_RAW_cleaned[[#This Row],[CustomerID]],Transactions_RAW_cleaned[[#This Row],[CustomerID]],$D$2:Transactions_RAW_cleaned[[#This Row],[ServiceID]],Transactions_RAW_cleaned[[#This Row],[ServiceID]])=1,"Yes","No")</f>
        <v>Yes</v>
      </c>
      <c r="S15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7" t="str">
        <f>"Q"&amp;ROUNDUP(MONTH(Transactions_RAW_cleaned[[#This Row],[TransactionDate]])/3,0)</f>
        <v>Q2</v>
      </c>
      <c r="U157" t="str">
        <f>Transactions_RAW_cleaned[[#This Row],[Region ]]&amp;Transactions_RAW_cleaned[[#This Row],[Quarter ]]</f>
        <v>NAQ2</v>
      </c>
      <c r="V157" s="5">
        <f>_xlfn.XLOOKUP(Transactions_RAW_cleaned[[#This Row],[RegionQuarterKey]], Quarterly_Targets_cleaned[RegionQuarterKey], Quarterly_Targets_cleaned[TargetRevenue])</f>
        <v>260000</v>
      </c>
    </row>
    <row r="158" spans="1:22" x14ac:dyDescent="0.25">
      <c r="A158" t="s">
        <v>490</v>
      </c>
      <c r="B158" s="1">
        <v>45517</v>
      </c>
      <c r="C158" t="s">
        <v>243</v>
      </c>
      <c r="D158" t="s">
        <v>294</v>
      </c>
      <c r="E158">
        <v>142.56</v>
      </c>
      <c r="F158" t="s">
        <v>324</v>
      </c>
      <c r="G158" t="s">
        <v>327</v>
      </c>
      <c r="H158" t="s">
        <v>332</v>
      </c>
      <c r="I158" t="s">
        <v>17</v>
      </c>
      <c r="J158" t="s">
        <v>13</v>
      </c>
      <c r="K158" t="s">
        <v>28</v>
      </c>
      <c r="L158" t="s">
        <v>295</v>
      </c>
      <c r="M158" t="s">
        <v>296</v>
      </c>
      <c r="N158">
        <v>2.9000000000000001E-2</v>
      </c>
      <c r="O158" t="str">
        <f>IF(Transactions_RAW_cleaned[[#This Row],[Status]]="Completed", IFERROR(_xlfn.XLOOKUP(Transactions_RAW_cleaned[[#This Row],[CustomerID]], Customers_cleaned[CustomerID], Customers_cleaned[Segment]), "Customer Not Found"), "N/A")</f>
        <v>Enterprise</v>
      </c>
      <c r="P158" s="5" t="str">
        <f>IF(Transactions_RAW_cleaned[[#This Row],[Status]]="Refunded", "Refund",
  IF(Transactions_RAW_cleaned[[#This Row],[Category]]="Payments", IF(Transactions_RAW_cleaned[[#This Row],[Amount]]&gt;500,"High Value","Standard"),
    IF(Transactions_RAW_cleaned[[#This Row],[Amount]]&gt;250,"High Value","Standard")))</f>
        <v>Standard</v>
      </c>
      <c r="Q158" s="5" t="str">
        <f>IF(Transactions_RAW_cleaned[[#This Row],[Amount]] &gt; (_xlfn.XLOOKUP(Transactions_RAW_cleaned[[#This Row],[ServiceID]],Services_cleaned[ServiceID],Services_cleaned[TransactionFeePct]) * 10000), "Yes", "No")</f>
        <v>No</v>
      </c>
      <c r="R158" s="5" t="str">
        <f>IF(COUNTIFS($C$2:Transactions_RAW_cleaned[[#This Row],[CustomerID]],Transactions_RAW_cleaned[[#This Row],[CustomerID]],$D$2:Transactions_RAW_cleaned[[#This Row],[ServiceID]],Transactions_RAW_cleaned[[#This Row],[ServiceID]])=1,"Yes","No")</f>
        <v>Yes</v>
      </c>
      <c r="S15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8" t="str">
        <f>"Q"&amp;ROUNDUP(MONTH(Transactions_RAW_cleaned[[#This Row],[TransactionDate]])/3,0)</f>
        <v>Q3</v>
      </c>
      <c r="U158" t="str">
        <f>Transactions_RAW_cleaned[[#This Row],[Region ]]&amp;Transactions_RAW_cleaned[[#This Row],[Quarter ]]</f>
        <v>NAQ3</v>
      </c>
      <c r="V158" s="5">
        <f>_xlfn.XLOOKUP(Transactions_RAW_cleaned[[#This Row],[RegionQuarterKey]], Quarterly_Targets_cleaned[RegionQuarterKey], Quarterly_Targets_cleaned[TargetRevenue])</f>
        <v>273000</v>
      </c>
    </row>
    <row r="159" spans="1:22" x14ac:dyDescent="0.25">
      <c r="A159" t="s">
        <v>491</v>
      </c>
      <c r="B159" s="1">
        <v>45455</v>
      </c>
      <c r="C159" t="s">
        <v>492</v>
      </c>
      <c r="D159" t="s">
        <v>300</v>
      </c>
      <c r="E159">
        <v>379.82</v>
      </c>
      <c r="F159" t="s">
        <v>324</v>
      </c>
      <c r="G159" t="s">
        <v>329</v>
      </c>
      <c r="L159" t="s">
        <v>301</v>
      </c>
      <c r="M159" t="s">
        <v>302</v>
      </c>
      <c r="N159">
        <v>5.0000000000000001E-3</v>
      </c>
      <c r="O159" t="str">
        <f>IF(Transactions_RAW_cleaned[[#This Row],[Status]]="Completed", IFERROR(_xlfn.XLOOKUP(Transactions_RAW_cleaned[[#This Row],[CustomerID]], Customers_cleaned[CustomerID], Customers_cleaned[Segment]), "Customer Not Found"), "N/A")</f>
        <v>Customer Not Found</v>
      </c>
      <c r="P159" s="5" t="str">
        <f>IF(Transactions_RAW_cleaned[[#This Row],[Status]]="Refunded", "Refund",
  IF(Transactions_RAW_cleaned[[#This Row],[Category]]="Payments", IF(Transactions_RAW_cleaned[[#This Row],[Amount]]&gt;500,"High Value","Standard"),
    IF(Transactions_RAW_cleaned[[#This Row],[Amount]]&gt;250,"High Value","Standard")))</f>
        <v>High Value</v>
      </c>
      <c r="Q159" s="5" t="str">
        <f>IF(Transactions_RAW_cleaned[[#This Row],[Amount]] &gt; (_xlfn.XLOOKUP(Transactions_RAW_cleaned[[#This Row],[ServiceID]],Services_cleaned[ServiceID],Services_cleaned[TransactionFeePct]) * 10000), "Yes", "No")</f>
        <v>Yes</v>
      </c>
      <c r="R159" s="5" t="str">
        <f>IF(COUNTIFS($C$2:Transactions_RAW_cleaned[[#This Row],[CustomerID]],Transactions_RAW_cleaned[[#This Row],[CustomerID]],$D$2:Transactions_RAW_cleaned[[#This Row],[ServiceID]],Transactions_RAW_cleaned[[#This Row],[ServiceID]])=1,"Yes","No")</f>
        <v>Yes</v>
      </c>
      <c r="S15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9" t="str">
        <f>"Q"&amp;ROUNDUP(MONTH(Transactions_RAW_cleaned[[#This Row],[TransactionDate]])/3,0)</f>
        <v>Q2</v>
      </c>
      <c r="U159" t="str">
        <f>Transactions_RAW_cleaned[[#This Row],[Region ]]&amp;Transactions_RAW_cleaned[[#This Row],[Quarter ]]</f>
        <v>APACQ2</v>
      </c>
      <c r="V159" s="5">
        <f>_xlfn.XLOOKUP(Transactions_RAW_cleaned[[#This Row],[RegionQuarterKey]], Quarterly_Targets_cleaned[RegionQuarterKey], Quarterly_Targets_cleaned[TargetRevenue])</f>
        <v>110000</v>
      </c>
    </row>
    <row r="160" spans="1:22" x14ac:dyDescent="0.25">
      <c r="A160" t="s">
        <v>493</v>
      </c>
      <c r="B160" s="1">
        <v>45589</v>
      </c>
      <c r="C160" t="s">
        <v>105</v>
      </c>
      <c r="D160" t="s">
        <v>300</v>
      </c>
      <c r="E160">
        <v>400.16</v>
      </c>
      <c r="F160" t="s">
        <v>324</v>
      </c>
      <c r="G160" t="s">
        <v>337</v>
      </c>
      <c r="H160" t="s">
        <v>332</v>
      </c>
      <c r="I160" t="s">
        <v>57</v>
      </c>
      <c r="J160" t="s">
        <v>102</v>
      </c>
      <c r="K160" t="s">
        <v>32</v>
      </c>
      <c r="L160" t="s">
        <v>301</v>
      </c>
      <c r="M160" t="s">
        <v>302</v>
      </c>
      <c r="N160">
        <v>5.0000000000000001E-3</v>
      </c>
      <c r="O160" t="str">
        <f>IF(Transactions_RAW_cleaned[[#This Row],[Status]]="Completed", IFERROR(_xlfn.XLOOKUP(Transactions_RAW_cleaned[[#This Row],[CustomerID]], Customers_cleaned[CustomerID], Customers_cleaned[Segment]), "Customer Not Found"), "N/A")</f>
        <v>Startup</v>
      </c>
      <c r="P160" s="5" t="str">
        <f>IF(Transactions_RAW_cleaned[[#This Row],[Status]]="Refunded", "Refund",
  IF(Transactions_RAW_cleaned[[#This Row],[Category]]="Payments", IF(Transactions_RAW_cleaned[[#This Row],[Amount]]&gt;500,"High Value","Standard"),
    IF(Transactions_RAW_cleaned[[#This Row],[Amount]]&gt;250,"High Value","Standard")))</f>
        <v>High Value</v>
      </c>
      <c r="Q160" s="5" t="str">
        <f>IF(Transactions_RAW_cleaned[[#This Row],[Amount]] &gt; (_xlfn.XLOOKUP(Transactions_RAW_cleaned[[#This Row],[ServiceID]],Services_cleaned[ServiceID],Services_cleaned[TransactionFeePct]) * 10000), "Yes", "No")</f>
        <v>Yes</v>
      </c>
      <c r="R160" s="5" t="str">
        <f>IF(COUNTIFS($C$2:Transactions_RAW_cleaned[[#This Row],[CustomerID]],Transactions_RAW_cleaned[[#This Row],[CustomerID]],$D$2:Transactions_RAW_cleaned[[#This Row],[ServiceID]],Transactions_RAW_cleaned[[#This Row],[ServiceID]])=1,"Yes","No")</f>
        <v>Yes</v>
      </c>
      <c r="S16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0" t="str">
        <f>"Q"&amp;ROUNDUP(MONTH(Transactions_RAW_cleaned[[#This Row],[TransactionDate]])/3,0)</f>
        <v>Q4</v>
      </c>
      <c r="U160" t="str">
        <f>Transactions_RAW_cleaned[[#This Row],[Region ]]&amp;Transactions_RAW_cleaned[[#This Row],[Quarter ]]</f>
        <v>NAQ4</v>
      </c>
      <c r="V160" s="5">
        <f>_xlfn.XLOOKUP(Transactions_RAW_cleaned[[#This Row],[RegionQuarterKey]], Quarterly_Targets_cleaned[RegionQuarterKey], Quarterly_Targets_cleaned[TargetRevenue])</f>
        <v>299000</v>
      </c>
    </row>
    <row r="161" spans="1:22" x14ac:dyDescent="0.25">
      <c r="A161" t="s">
        <v>494</v>
      </c>
      <c r="B161" s="1">
        <v>45446</v>
      </c>
      <c r="C161" t="s">
        <v>117</v>
      </c>
      <c r="D161" t="s">
        <v>294</v>
      </c>
      <c r="E161">
        <v>75.040000000000006</v>
      </c>
      <c r="F161" t="s">
        <v>324</v>
      </c>
      <c r="G161" t="s">
        <v>329</v>
      </c>
      <c r="H161" t="s">
        <v>346</v>
      </c>
      <c r="I161" t="s">
        <v>8</v>
      </c>
      <c r="J161" t="s">
        <v>102</v>
      </c>
      <c r="K161" t="s">
        <v>14</v>
      </c>
      <c r="L161" t="s">
        <v>295</v>
      </c>
      <c r="M161" t="s">
        <v>296</v>
      </c>
      <c r="N161">
        <v>2.9000000000000001E-2</v>
      </c>
      <c r="O161" t="str">
        <f>IF(Transactions_RAW_cleaned[[#This Row],[Status]]="Completed", IFERROR(_xlfn.XLOOKUP(Transactions_RAW_cleaned[[#This Row],[CustomerID]], Customers_cleaned[CustomerID], Customers_cleaned[Segment]), "Customer Not Found"), "N/A")</f>
        <v>SMB</v>
      </c>
      <c r="P161" s="5" t="str">
        <f>IF(Transactions_RAW_cleaned[[#This Row],[Status]]="Refunded", "Refund",
  IF(Transactions_RAW_cleaned[[#This Row],[Category]]="Payments", IF(Transactions_RAW_cleaned[[#This Row],[Amount]]&gt;500,"High Value","Standard"),
    IF(Transactions_RAW_cleaned[[#This Row],[Amount]]&gt;250,"High Value","Standard")))</f>
        <v>Standard</v>
      </c>
      <c r="Q161" s="5" t="str">
        <f>IF(Transactions_RAW_cleaned[[#This Row],[Amount]] &gt; (_xlfn.XLOOKUP(Transactions_RAW_cleaned[[#This Row],[ServiceID]],Services_cleaned[ServiceID],Services_cleaned[TransactionFeePct]) * 10000), "Yes", "No")</f>
        <v>No</v>
      </c>
      <c r="R161" s="5" t="str">
        <f>IF(COUNTIFS($C$2:Transactions_RAW_cleaned[[#This Row],[CustomerID]],Transactions_RAW_cleaned[[#This Row],[CustomerID]],$D$2:Transactions_RAW_cleaned[[#This Row],[ServiceID]],Transactions_RAW_cleaned[[#This Row],[ServiceID]])=1,"Yes","No")</f>
        <v>Yes</v>
      </c>
      <c r="S16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1" t="str">
        <f>"Q"&amp;ROUNDUP(MONTH(Transactions_RAW_cleaned[[#This Row],[TransactionDate]])/3,0)</f>
        <v>Q2</v>
      </c>
      <c r="U161" t="str">
        <f>Transactions_RAW_cleaned[[#This Row],[Region ]]&amp;Transactions_RAW_cleaned[[#This Row],[Quarter ]]</f>
        <v>NAQ2</v>
      </c>
      <c r="V161" s="5">
        <f>_xlfn.XLOOKUP(Transactions_RAW_cleaned[[#This Row],[RegionQuarterKey]], Quarterly_Targets_cleaned[RegionQuarterKey], Quarterly_Targets_cleaned[TargetRevenue])</f>
        <v>260000</v>
      </c>
    </row>
    <row r="162" spans="1:22" x14ac:dyDescent="0.25">
      <c r="A162" t="s">
        <v>495</v>
      </c>
      <c r="B162" s="1">
        <v>45381</v>
      </c>
      <c r="C162" t="s">
        <v>261</v>
      </c>
      <c r="D162" t="s">
        <v>300</v>
      </c>
      <c r="E162">
        <v>324.45999999999998</v>
      </c>
      <c r="F162" t="s">
        <v>381</v>
      </c>
      <c r="G162" t="s">
        <v>327</v>
      </c>
      <c r="I162" t="s">
        <v>8</v>
      </c>
      <c r="J162" t="s">
        <v>31</v>
      </c>
      <c r="K162" t="s">
        <v>18</v>
      </c>
      <c r="L162" t="s">
        <v>301</v>
      </c>
      <c r="M162" t="s">
        <v>302</v>
      </c>
      <c r="N162">
        <v>5.0000000000000001E-3</v>
      </c>
      <c r="O162" t="str">
        <f>IF(Transactions_RAW_cleaned[[#This Row],[Status]]="Completed", IFERROR(_xlfn.XLOOKUP(Transactions_RAW_cleaned[[#This Row],[CustomerID]], Customers_cleaned[CustomerID], Customers_cleaned[Segment]), "Customer Not Found"), "N/A")</f>
        <v>N/A</v>
      </c>
      <c r="P162" s="5" t="str">
        <f>IF(Transactions_RAW_cleaned[[#This Row],[Status]]="Refunded", "Refund",
  IF(Transactions_RAW_cleaned[[#This Row],[Category]]="Payments", IF(Transactions_RAW_cleaned[[#This Row],[Amount]]&gt;500,"High Value","Standard"),
    IF(Transactions_RAW_cleaned[[#This Row],[Amount]]&gt;250,"High Value","Standard")))</f>
        <v>High Value</v>
      </c>
      <c r="Q162" s="5" t="str">
        <f>IF(Transactions_RAW_cleaned[[#This Row],[Amount]] &gt; (_xlfn.XLOOKUP(Transactions_RAW_cleaned[[#This Row],[ServiceID]],Services_cleaned[ServiceID],Services_cleaned[TransactionFeePct]) * 10000), "Yes", "No")</f>
        <v>Yes</v>
      </c>
      <c r="R162" s="5" t="str">
        <f>IF(COUNTIFS($C$2:Transactions_RAW_cleaned[[#This Row],[CustomerID]],Transactions_RAW_cleaned[[#This Row],[CustomerID]],$D$2:Transactions_RAW_cleaned[[#This Row],[ServiceID]],Transactions_RAW_cleaned[[#This Row],[ServiceID]])=1,"Yes","No")</f>
        <v>Yes</v>
      </c>
      <c r="S16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62" t="str">
        <f>"Q"&amp;ROUNDUP(MONTH(Transactions_RAW_cleaned[[#This Row],[TransactionDate]])/3,0)</f>
        <v>Q1</v>
      </c>
      <c r="U162" t="str">
        <f>Transactions_RAW_cleaned[[#This Row],[Region ]]&amp;Transactions_RAW_cleaned[[#This Row],[Quarter ]]</f>
        <v>EMEAQ1</v>
      </c>
      <c r="V162" s="5">
        <f>_xlfn.XLOOKUP(Transactions_RAW_cleaned[[#This Row],[RegionQuarterKey]], Quarterly_Targets_cleaned[RegionQuarterKey], Quarterly_Targets_cleaned[TargetRevenue])</f>
        <v>133000</v>
      </c>
    </row>
    <row r="163" spans="1:22" x14ac:dyDescent="0.25">
      <c r="A163" t="s">
        <v>496</v>
      </c>
      <c r="B163" s="1">
        <v>45335</v>
      </c>
      <c r="C163" t="s">
        <v>231</v>
      </c>
      <c r="D163" t="s">
        <v>315</v>
      </c>
      <c r="E163">
        <v>454.77</v>
      </c>
      <c r="F163" t="s">
        <v>324</v>
      </c>
      <c r="G163" t="s">
        <v>325</v>
      </c>
      <c r="I163" t="s">
        <v>17</v>
      </c>
      <c r="J163" t="s">
        <v>102</v>
      </c>
      <c r="K163" t="s">
        <v>22</v>
      </c>
      <c r="L163" t="s">
        <v>316</v>
      </c>
      <c r="M163" t="s">
        <v>305</v>
      </c>
      <c r="N163">
        <v>2.5000000000000001E-3</v>
      </c>
      <c r="O163" t="str">
        <f>IF(Transactions_RAW_cleaned[[#This Row],[Status]]="Completed", IFERROR(_xlfn.XLOOKUP(Transactions_RAW_cleaned[[#This Row],[CustomerID]], Customers_cleaned[CustomerID], Customers_cleaned[Segment]), "Customer Not Found"), "N/A")</f>
        <v>Enterprise</v>
      </c>
      <c r="P163" s="5" t="str">
        <f>IF(Transactions_RAW_cleaned[[#This Row],[Status]]="Refunded", "Refund",
  IF(Transactions_RAW_cleaned[[#This Row],[Category]]="Payments", IF(Transactions_RAW_cleaned[[#This Row],[Amount]]&gt;500,"High Value","Standard"),
    IF(Transactions_RAW_cleaned[[#This Row],[Amount]]&gt;250,"High Value","Standard")))</f>
        <v>High Value</v>
      </c>
      <c r="Q163" s="5" t="str">
        <f>IF(Transactions_RAW_cleaned[[#This Row],[Amount]] &gt; (_xlfn.XLOOKUP(Transactions_RAW_cleaned[[#This Row],[ServiceID]],Services_cleaned[ServiceID],Services_cleaned[TransactionFeePct]) * 10000), "Yes", "No")</f>
        <v>Yes</v>
      </c>
      <c r="R163" s="5" t="str">
        <f>IF(COUNTIFS($C$2:Transactions_RAW_cleaned[[#This Row],[CustomerID]],Transactions_RAW_cleaned[[#This Row],[CustomerID]],$D$2:Transactions_RAW_cleaned[[#This Row],[ServiceID]],Transactions_RAW_cleaned[[#This Row],[ServiceID]])=1,"Yes","No")</f>
        <v>Yes</v>
      </c>
      <c r="S16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3" t="str">
        <f>"Q"&amp;ROUNDUP(MONTH(Transactions_RAW_cleaned[[#This Row],[TransactionDate]])/3,0)</f>
        <v>Q1</v>
      </c>
      <c r="U163" t="str">
        <f>Transactions_RAW_cleaned[[#This Row],[Region ]]&amp;Transactions_RAW_cleaned[[#This Row],[Quarter ]]</f>
        <v>NAQ1</v>
      </c>
      <c r="V163" s="5">
        <f>_xlfn.XLOOKUP(Transactions_RAW_cleaned[[#This Row],[RegionQuarterKey]], Quarterly_Targets_cleaned[RegionQuarterKey], Quarterly_Targets_cleaned[TargetRevenue])</f>
        <v>247000</v>
      </c>
    </row>
    <row r="164" spans="1:22" x14ac:dyDescent="0.25">
      <c r="A164" t="s">
        <v>497</v>
      </c>
      <c r="B164" s="1">
        <v>45649</v>
      </c>
      <c r="C164" t="s">
        <v>273</v>
      </c>
      <c r="D164" t="s">
        <v>294</v>
      </c>
      <c r="E164">
        <v>817.6</v>
      </c>
      <c r="F164" t="s">
        <v>324</v>
      </c>
      <c r="G164" t="s">
        <v>327</v>
      </c>
      <c r="H164" t="s">
        <v>334</v>
      </c>
      <c r="I164" t="s">
        <v>17</v>
      </c>
      <c r="J164" t="s">
        <v>102</v>
      </c>
      <c r="K164" t="s">
        <v>22</v>
      </c>
      <c r="L164" t="s">
        <v>295</v>
      </c>
      <c r="M164" t="s">
        <v>296</v>
      </c>
      <c r="N164">
        <v>2.9000000000000001E-2</v>
      </c>
      <c r="O164" t="str">
        <f>IF(Transactions_RAW_cleaned[[#This Row],[Status]]="Completed", IFERROR(_xlfn.XLOOKUP(Transactions_RAW_cleaned[[#This Row],[CustomerID]], Customers_cleaned[CustomerID], Customers_cleaned[Segment]), "Customer Not Found"), "N/A")</f>
        <v>Enterprise</v>
      </c>
      <c r="P164" s="5" t="str">
        <f>IF(Transactions_RAW_cleaned[[#This Row],[Status]]="Refunded", "Refund",
  IF(Transactions_RAW_cleaned[[#This Row],[Category]]="Payments", IF(Transactions_RAW_cleaned[[#This Row],[Amount]]&gt;500,"High Value","Standard"),
    IF(Transactions_RAW_cleaned[[#This Row],[Amount]]&gt;250,"High Value","Standard")))</f>
        <v>High Value</v>
      </c>
      <c r="Q164" s="5" t="str">
        <f>IF(Transactions_RAW_cleaned[[#This Row],[Amount]] &gt; (_xlfn.XLOOKUP(Transactions_RAW_cleaned[[#This Row],[ServiceID]],Services_cleaned[ServiceID],Services_cleaned[TransactionFeePct]) * 10000), "Yes", "No")</f>
        <v>Yes</v>
      </c>
      <c r="R164" s="5" t="str">
        <f>IF(COUNTIFS($C$2:Transactions_RAW_cleaned[[#This Row],[CustomerID]],Transactions_RAW_cleaned[[#This Row],[CustomerID]],$D$2:Transactions_RAW_cleaned[[#This Row],[ServiceID]],Transactions_RAW_cleaned[[#This Row],[ServiceID]])=1,"Yes","No")</f>
        <v>No</v>
      </c>
      <c r="S16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4" t="str">
        <f>"Q"&amp;ROUNDUP(MONTH(Transactions_RAW_cleaned[[#This Row],[TransactionDate]])/3,0)</f>
        <v>Q4</v>
      </c>
      <c r="U164" t="str">
        <f>Transactions_RAW_cleaned[[#This Row],[Region ]]&amp;Transactions_RAW_cleaned[[#This Row],[Quarter ]]</f>
        <v>NAQ4</v>
      </c>
      <c r="V164" s="5">
        <f>_xlfn.XLOOKUP(Transactions_RAW_cleaned[[#This Row],[RegionQuarterKey]], Quarterly_Targets_cleaned[RegionQuarterKey], Quarterly_Targets_cleaned[TargetRevenue])</f>
        <v>299000</v>
      </c>
    </row>
    <row r="165" spans="1:22" x14ac:dyDescent="0.25">
      <c r="A165" t="s">
        <v>498</v>
      </c>
      <c r="B165" s="1">
        <v>45652</v>
      </c>
      <c r="C165" t="s">
        <v>139</v>
      </c>
      <c r="D165" t="s">
        <v>300</v>
      </c>
      <c r="E165">
        <v>-1116.3699999999999</v>
      </c>
      <c r="F165" t="s">
        <v>349</v>
      </c>
      <c r="G165" t="s">
        <v>327</v>
      </c>
      <c r="I165" t="s">
        <v>8</v>
      </c>
      <c r="J165" t="s">
        <v>102</v>
      </c>
      <c r="K165" t="s">
        <v>22</v>
      </c>
      <c r="L165" t="s">
        <v>301</v>
      </c>
      <c r="M165" t="s">
        <v>302</v>
      </c>
      <c r="N165">
        <v>5.0000000000000001E-3</v>
      </c>
      <c r="O165" t="str">
        <f>IF(Transactions_RAW_cleaned[[#This Row],[Status]]="Completed", IFERROR(_xlfn.XLOOKUP(Transactions_RAW_cleaned[[#This Row],[CustomerID]], Customers_cleaned[CustomerID], Customers_cleaned[Segment]), "Customer Not Found"), "N/A")</f>
        <v>N/A</v>
      </c>
      <c r="P165" s="5" t="str">
        <f>IF(Transactions_RAW_cleaned[[#This Row],[Status]]="Refunded", "Refund",
  IF(Transactions_RAW_cleaned[[#This Row],[Category]]="Payments", IF(Transactions_RAW_cleaned[[#This Row],[Amount]]&gt;500,"High Value","Standard"),
    IF(Transactions_RAW_cleaned[[#This Row],[Amount]]&gt;250,"High Value","Standard")))</f>
        <v>Refund</v>
      </c>
      <c r="Q165" s="5" t="str">
        <f>IF(Transactions_RAW_cleaned[[#This Row],[Amount]] &gt; (_xlfn.XLOOKUP(Transactions_RAW_cleaned[[#This Row],[ServiceID]],Services_cleaned[ServiceID],Services_cleaned[TransactionFeePct]) * 10000), "Yes", "No")</f>
        <v>No</v>
      </c>
      <c r="R165" s="5" t="str">
        <f>IF(COUNTIFS($C$2:Transactions_RAW_cleaned[[#This Row],[CustomerID]],Transactions_RAW_cleaned[[#This Row],[CustomerID]],$D$2:Transactions_RAW_cleaned[[#This Row],[ServiceID]],Transactions_RAW_cleaned[[#This Row],[ServiceID]])=1,"Yes","No")</f>
        <v>Yes</v>
      </c>
      <c r="S16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5" t="str">
        <f>"Q"&amp;ROUNDUP(MONTH(Transactions_RAW_cleaned[[#This Row],[TransactionDate]])/3,0)</f>
        <v>Q4</v>
      </c>
      <c r="U165" t="str">
        <f>Transactions_RAW_cleaned[[#This Row],[Region ]]&amp;Transactions_RAW_cleaned[[#This Row],[Quarter ]]</f>
        <v>NAQ4</v>
      </c>
      <c r="V165" s="5">
        <f>_xlfn.XLOOKUP(Transactions_RAW_cleaned[[#This Row],[RegionQuarterKey]], Quarterly_Targets_cleaned[RegionQuarterKey], Quarterly_Targets_cleaned[TargetRevenue])</f>
        <v>299000</v>
      </c>
    </row>
    <row r="166" spans="1:22" x14ac:dyDescent="0.25">
      <c r="A166" t="s">
        <v>499</v>
      </c>
      <c r="B166" s="1">
        <v>45478</v>
      </c>
      <c r="C166" t="s">
        <v>23</v>
      </c>
      <c r="D166" t="s">
        <v>303</v>
      </c>
      <c r="E166">
        <v>313.69</v>
      </c>
      <c r="F166" t="s">
        <v>324</v>
      </c>
      <c r="G166" t="s">
        <v>329</v>
      </c>
      <c r="H166" t="s">
        <v>334</v>
      </c>
      <c r="I166" t="s">
        <v>8</v>
      </c>
      <c r="J166" t="s">
        <v>25</v>
      </c>
      <c r="K166" t="s">
        <v>22</v>
      </c>
      <c r="L166" t="s">
        <v>304</v>
      </c>
      <c r="M166" t="s">
        <v>305</v>
      </c>
      <c r="N166">
        <v>1E-3</v>
      </c>
      <c r="O166" t="str">
        <f>IF(Transactions_RAW_cleaned[[#This Row],[Status]]="Completed", IFERROR(_xlfn.XLOOKUP(Transactions_RAW_cleaned[[#This Row],[CustomerID]], Customers_cleaned[CustomerID], Customers_cleaned[Segment]), "Customer Not Found"), "N/A")</f>
        <v>SMB</v>
      </c>
      <c r="P166" s="5" t="str">
        <f>IF(Transactions_RAW_cleaned[[#This Row],[Status]]="Refunded", "Refund",
  IF(Transactions_RAW_cleaned[[#This Row],[Category]]="Payments", IF(Transactions_RAW_cleaned[[#This Row],[Amount]]&gt;500,"High Value","Standard"),
    IF(Transactions_RAW_cleaned[[#This Row],[Amount]]&gt;250,"High Value","Standard")))</f>
        <v>High Value</v>
      </c>
      <c r="Q166" s="5" t="str">
        <f>IF(Transactions_RAW_cleaned[[#This Row],[Amount]] &gt; (_xlfn.XLOOKUP(Transactions_RAW_cleaned[[#This Row],[ServiceID]],Services_cleaned[ServiceID],Services_cleaned[TransactionFeePct]) * 10000), "Yes", "No")</f>
        <v>Yes</v>
      </c>
      <c r="R166" s="5" t="str">
        <f>IF(COUNTIFS($C$2:Transactions_RAW_cleaned[[#This Row],[CustomerID]],Transactions_RAW_cleaned[[#This Row],[CustomerID]],$D$2:Transactions_RAW_cleaned[[#This Row],[ServiceID]],Transactions_RAW_cleaned[[#This Row],[ServiceID]])=1,"Yes","No")</f>
        <v>Yes</v>
      </c>
      <c r="S16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6" t="str">
        <f>"Q"&amp;ROUNDUP(MONTH(Transactions_RAW_cleaned[[#This Row],[TransactionDate]])/3,0)</f>
        <v>Q3</v>
      </c>
      <c r="U166" t="str">
        <f>Transactions_RAW_cleaned[[#This Row],[Region ]]&amp;Transactions_RAW_cleaned[[#This Row],[Quarter ]]</f>
        <v>APACQ3</v>
      </c>
      <c r="V166" s="5">
        <f>_xlfn.XLOOKUP(Transactions_RAW_cleaned[[#This Row],[RegionQuarterKey]], Quarterly_Targets_cleaned[RegionQuarterKey], Quarterly_Targets_cleaned[TargetRevenue])</f>
        <v>115500</v>
      </c>
    </row>
    <row r="167" spans="1:22" x14ac:dyDescent="0.25">
      <c r="A167" t="s">
        <v>500</v>
      </c>
      <c r="B167" s="1">
        <v>45365</v>
      </c>
      <c r="C167" t="s">
        <v>26</v>
      </c>
      <c r="D167" t="s">
        <v>315</v>
      </c>
      <c r="E167">
        <v>280.88</v>
      </c>
      <c r="F167" t="s">
        <v>324</v>
      </c>
      <c r="G167" t="s">
        <v>327</v>
      </c>
      <c r="I167" t="s">
        <v>8</v>
      </c>
      <c r="J167" t="s">
        <v>102</v>
      </c>
      <c r="K167" t="s">
        <v>28</v>
      </c>
      <c r="L167" t="s">
        <v>316</v>
      </c>
      <c r="M167" t="s">
        <v>305</v>
      </c>
      <c r="N167">
        <v>2.5000000000000001E-3</v>
      </c>
      <c r="O167" t="str">
        <f>IF(Transactions_RAW_cleaned[[#This Row],[Status]]="Completed", IFERROR(_xlfn.XLOOKUP(Transactions_RAW_cleaned[[#This Row],[CustomerID]], Customers_cleaned[CustomerID], Customers_cleaned[Segment]), "Customer Not Found"), "N/A")</f>
        <v>SMB</v>
      </c>
      <c r="P167" s="5" t="str">
        <f>IF(Transactions_RAW_cleaned[[#This Row],[Status]]="Refunded", "Refund",
  IF(Transactions_RAW_cleaned[[#This Row],[Category]]="Payments", IF(Transactions_RAW_cleaned[[#This Row],[Amount]]&gt;500,"High Value","Standard"),
    IF(Transactions_RAW_cleaned[[#This Row],[Amount]]&gt;250,"High Value","Standard")))</f>
        <v>High Value</v>
      </c>
      <c r="Q167" s="5" t="str">
        <f>IF(Transactions_RAW_cleaned[[#This Row],[Amount]] &gt; (_xlfn.XLOOKUP(Transactions_RAW_cleaned[[#This Row],[ServiceID]],Services_cleaned[ServiceID],Services_cleaned[TransactionFeePct]) * 10000), "Yes", "No")</f>
        <v>Yes</v>
      </c>
      <c r="R167" s="5" t="str">
        <f>IF(COUNTIFS($C$2:Transactions_RAW_cleaned[[#This Row],[CustomerID]],Transactions_RAW_cleaned[[#This Row],[CustomerID]],$D$2:Transactions_RAW_cleaned[[#This Row],[ServiceID]],Transactions_RAW_cleaned[[#This Row],[ServiceID]])=1,"Yes","No")</f>
        <v>Yes</v>
      </c>
      <c r="S16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7" t="str">
        <f>"Q"&amp;ROUNDUP(MONTH(Transactions_RAW_cleaned[[#This Row],[TransactionDate]])/3,0)</f>
        <v>Q1</v>
      </c>
      <c r="U167" t="str">
        <f>Transactions_RAW_cleaned[[#This Row],[Region ]]&amp;Transactions_RAW_cleaned[[#This Row],[Quarter ]]</f>
        <v>NAQ1</v>
      </c>
      <c r="V167" s="5">
        <f>_xlfn.XLOOKUP(Transactions_RAW_cleaned[[#This Row],[RegionQuarterKey]], Quarterly_Targets_cleaned[RegionQuarterKey], Quarterly_Targets_cleaned[TargetRevenue])</f>
        <v>247000</v>
      </c>
    </row>
    <row r="168" spans="1:22" x14ac:dyDescent="0.25">
      <c r="A168" t="s">
        <v>501</v>
      </c>
      <c r="B168" s="1">
        <v>45419</v>
      </c>
      <c r="C168" t="s">
        <v>123</v>
      </c>
      <c r="D168" t="s">
        <v>312</v>
      </c>
      <c r="E168">
        <v>195.57</v>
      </c>
      <c r="F168" t="s">
        <v>324</v>
      </c>
      <c r="G168" t="s">
        <v>327</v>
      </c>
      <c r="I168" t="s">
        <v>8</v>
      </c>
      <c r="J168" t="s">
        <v>13</v>
      </c>
      <c r="K168" t="s">
        <v>32</v>
      </c>
      <c r="L168" t="s">
        <v>313</v>
      </c>
      <c r="M168" t="s">
        <v>314</v>
      </c>
      <c r="N168">
        <v>0</v>
      </c>
      <c r="O168" t="str">
        <f>IF(Transactions_RAW_cleaned[[#This Row],[Status]]="Completed", IFERROR(_xlfn.XLOOKUP(Transactions_RAW_cleaned[[#This Row],[CustomerID]], Customers_cleaned[CustomerID], Customers_cleaned[Segment]), "Customer Not Found"), "N/A")</f>
        <v>SMB</v>
      </c>
      <c r="P168" s="5" t="str">
        <f>IF(Transactions_RAW_cleaned[[#This Row],[Status]]="Refunded", "Refund",
  IF(Transactions_RAW_cleaned[[#This Row],[Category]]="Payments", IF(Transactions_RAW_cleaned[[#This Row],[Amount]]&gt;500,"High Value","Standard"),
    IF(Transactions_RAW_cleaned[[#This Row],[Amount]]&gt;250,"High Value","Standard")))</f>
        <v>Standard</v>
      </c>
      <c r="Q168" s="5" t="str">
        <f>IF(Transactions_RAW_cleaned[[#This Row],[Amount]] &gt; (_xlfn.XLOOKUP(Transactions_RAW_cleaned[[#This Row],[ServiceID]],Services_cleaned[ServiceID],Services_cleaned[TransactionFeePct]) * 10000), "Yes", "No")</f>
        <v>Yes</v>
      </c>
      <c r="R168" s="5" t="str">
        <f>IF(COUNTIFS($C$2:Transactions_RAW_cleaned[[#This Row],[CustomerID]],Transactions_RAW_cleaned[[#This Row],[CustomerID]],$D$2:Transactions_RAW_cleaned[[#This Row],[ServiceID]],Transactions_RAW_cleaned[[#This Row],[ServiceID]])=1,"Yes","No")</f>
        <v>Yes</v>
      </c>
      <c r="S16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8" t="str">
        <f>"Q"&amp;ROUNDUP(MONTH(Transactions_RAW_cleaned[[#This Row],[TransactionDate]])/3,0)</f>
        <v>Q2</v>
      </c>
      <c r="U168" t="str">
        <f>Transactions_RAW_cleaned[[#This Row],[Region ]]&amp;Transactions_RAW_cleaned[[#This Row],[Quarter ]]</f>
        <v>NAQ2</v>
      </c>
      <c r="V168" s="5">
        <f>_xlfn.XLOOKUP(Transactions_RAW_cleaned[[#This Row],[RegionQuarterKey]], Quarterly_Targets_cleaned[RegionQuarterKey], Quarterly_Targets_cleaned[TargetRevenue])</f>
        <v>260000</v>
      </c>
    </row>
    <row r="169" spans="1:22" x14ac:dyDescent="0.25">
      <c r="A169" t="s">
        <v>502</v>
      </c>
      <c r="B169" s="1">
        <v>45588</v>
      </c>
      <c r="C169" t="s">
        <v>72</v>
      </c>
      <c r="D169" t="s">
        <v>312</v>
      </c>
      <c r="E169">
        <v>246.48</v>
      </c>
      <c r="F169" t="s">
        <v>324</v>
      </c>
      <c r="G169" t="s">
        <v>337</v>
      </c>
      <c r="I169" t="s">
        <v>57</v>
      </c>
      <c r="J169" t="s">
        <v>46</v>
      </c>
      <c r="K169" t="s">
        <v>32</v>
      </c>
      <c r="L169" t="s">
        <v>313</v>
      </c>
      <c r="M169" t="s">
        <v>314</v>
      </c>
      <c r="N169">
        <v>0</v>
      </c>
      <c r="O169" t="str">
        <f>IF(Transactions_RAW_cleaned[[#This Row],[Status]]="Completed", IFERROR(_xlfn.XLOOKUP(Transactions_RAW_cleaned[[#This Row],[CustomerID]], Customers_cleaned[CustomerID], Customers_cleaned[Segment]), "Customer Not Found"), "N/A")</f>
        <v>Startup</v>
      </c>
      <c r="P169" s="5" t="str">
        <f>IF(Transactions_RAW_cleaned[[#This Row],[Status]]="Refunded", "Refund",
  IF(Transactions_RAW_cleaned[[#This Row],[Category]]="Payments", IF(Transactions_RAW_cleaned[[#This Row],[Amount]]&gt;500,"High Value","Standard"),
    IF(Transactions_RAW_cleaned[[#This Row],[Amount]]&gt;250,"High Value","Standard")))</f>
        <v>Standard</v>
      </c>
      <c r="Q169" s="5" t="str">
        <f>IF(Transactions_RAW_cleaned[[#This Row],[Amount]] &gt; (_xlfn.XLOOKUP(Transactions_RAW_cleaned[[#This Row],[ServiceID]],Services_cleaned[ServiceID],Services_cleaned[TransactionFeePct]) * 10000), "Yes", "No")</f>
        <v>Yes</v>
      </c>
      <c r="R169" s="5" t="str">
        <f>IF(COUNTIFS($C$2:Transactions_RAW_cleaned[[#This Row],[CustomerID]],Transactions_RAW_cleaned[[#This Row],[CustomerID]],$D$2:Transactions_RAW_cleaned[[#This Row],[ServiceID]],Transactions_RAW_cleaned[[#This Row],[ServiceID]])=1,"Yes","No")</f>
        <v>Yes</v>
      </c>
      <c r="S16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9" t="str">
        <f>"Q"&amp;ROUNDUP(MONTH(Transactions_RAW_cleaned[[#This Row],[TransactionDate]])/3,0)</f>
        <v>Q4</v>
      </c>
      <c r="U169" t="str">
        <f>Transactions_RAW_cleaned[[#This Row],[Region ]]&amp;Transactions_RAW_cleaned[[#This Row],[Quarter ]]</f>
        <v>APACQ4</v>
      </c>
      <c r="V169" s="5">
        <f>_xlfn.XLOOKUP(Transactions_RAW_cleaned[[#This Row],[RegionQuarterKey]], Quarterly_Targets_cleaned[RegionQuarterKey], Quarterly_Targets_cleaned[TargetRevenue])</f>
        <v>126500</v>
      </c>
    </row>
    <row r="170" spans="1:22" x14ac:dyDescent="0.25">
      <c r="A170" t="s">
        <v>503</v>
      </c>
      <c r="B170" s="1">
        <v>45515</v>
      </c>
      <c r="C170" t="s">
        <v>211</v>
      </c>
      <c r="D170" t="s">
        <v>309</v>
      </c>
      <c r="E170">
        <v>829</v>
      </c>
      <c r="F170" t="s">
        <v>324</v>
      </c>
      <c r="G170" t="s">
        <v>329</v>
      </c>
      <c r="H170" t="s">
        <v>332</v>
      </c>
      <c r="I170" t="s">
        <v>8</v>
      </c>
      <c r="J170" t="s">
        <v>31</v>
      </c>
      <c r="K170" t="s">
        <v>22</v>
      </c>
      <c r="L170" t="s">
        <v>310</v>
      </c>
      <c r="M170" t="s">
        <v>311</v>
      </c>
      <c r="N170">
        <v>0</v>
      </c>
      <c r="O170" t="str">
        <f>IF(Transactions_RAW_cleaned[[#This Row],[Status]]="Completed", IFERROR(_xlfn.XLOOKUP(Transactions_RAW_cleaned[[#This Row],[CustomerID]], Customers_cleaned[CustomerID], Customers_cleaned[Segment]), "Customer Not Found"), "N/A")</f>
        <v>SMB</v>
      </c>
      <c r="P170" s="5" t="str">
        <f>IF(Transactions_RAW_cleaned[[#This Row],[Status]]="Refunded", "Refund",
  IF(Transactions_RAW_cleaned[[#This Row],[Category]]="Payments", IF(Transactions_RAW_cleaned[[#This Row],[Amount]]&gt;500,"High Value","Standard"),
    IF(Transactions_RAW_cleaned[[#This Row],[Amount]]&gt;250,"High Value","Standard")))</f>
        <v>High Value</v>
      </c>
      <c r="Q170" s="5" t="str">
        <f>IF(Transactions_RAW_cleaned[[#This Row],[Amount]] &gt; (_xlfn.XLOOKUP(Transactions_RAW_cleaned[[#This Row],[ServiceID]],Services_cleaned[ServiceID],Services_cleaned[TransactionFeePct]) * 10000), "Yes", "No")</f>
        <v>Yes</v>
      </c>
      <c r="R170" s="5" t="str">
        <f>IF(COUNTIFS($C$2:Transactions_RAW_cleaned[[#This Row],[CustomerID]],Transactions_RAW_cleaned[[#This Row],[CustomerID]],$D$2:Transactions_RAW_cleaned[[#This Row],[ServiceID]],Transactions_RAW_cleaned[[#This Row],[ServiceID]])=1,"Yes","No")</f>
        <v>No</v>
      </c>
      <c r="S17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70" t="str">
        <f>"Q"&amp;ROUNDUP(MONTH(Transactions_RAW_cleaned[[#This Row],[TransactionDate]])/3,0)</f>
        <v>Q3</v>
      </c>
      <c r="U170" t="str">
        <f>Transactions_RAW_cleaned[[#This Row],[Region ]]&amp;Transactions_RAW_cleaned[[#This Row],[Quarter ]]</f>
        <v>EMEAQ3</v>
      </c>
      <c r="V170" s="5">
        <f>_xlfn.XLOOKUP(Transactions_RAW_cleaned[[#This Row],[RegionQuarterKey]], Quarterly_Targets_cleaned[RegionQuarterKey], Quarterly_Targets_cleaned[TargetRevenue])</f>
        <v>147000</v>
      </c>
    </row>
    <row r="171" spans="1:22" x14ac:dyDescent="0.25">
      <c r="A171" t="s">
        <v>504</v>
      </c>
      <c r="B171" s="1">
        <v>45311</v>
      </c>
      <c r="C171" t="s">
        <v>62</v>
      </c>
      <c r="D171" t="s">
        <v>306</v>
      </c>
      <c r="E171">
        <v>749.52</v>
      </c>
      <c r="F171" t="s">
        <v>324</v>
      </c>
      <c r="G171" t="s">
        <v>325</v>
      </c>
      <c r="I171" t="s">
        <v>8</v>
      </c>
      <c r="J171" t="s">
        <v>46</v>
      </c>
      <c r="K171" t="s">
        <v>18</v>
      </c>
      <c r="L171" t="s">
        <v>307</v>
      </c>
      <c r="M171" t="s">
        <v>308</v>
      </c>
      <c r="N171">
        <v>0</v>
      </c>
      <c r="O171" t="str">
        <f>IF(Transactions_RAW_cleaned[[#This Row],[Status]]="Completed", IFERROR(_xlfn.XLOOKUP(Transactions_RAW_cleaned[[#This Row],[CustomerID]], Customers_cleaned[CustomerID], Customers_cleaned[Segment]), "Customer Not Found"), "N/A")</f>
        <v>SMB</v>
      </c>
      <c r="P171" s="5" t="str">
        <f>IF(Transactions_RAW_cleaned[[#This Row],[Status]]="Refunded", "Refund",
  IF(Transactions_RAW_cleaned[[#This Row],[Category]]="Payments", IF(Transactions_RAW_cleaned[[#This Row],[Amount]]&gt;500,"High Value","Standard"),
    IF(Transactions_RAW_cleaned[[#This Row],[Amount]]&gt;250,"High Value","Standard")))</f>
        <v>High Value</v>
      </c>
      <c r="Q171" s="5" t="str">
        <f>IF(Transactions_RAW_cleaned[[#This Row],[Amount]] &gt; (_xlfn.XLOOKUP(Transactions_RAW_cleaned[[#This Row],[ServiceID]],Services_cleaned[ServiceID],Services_cleaned[TransactionFeePct]) * 10000), "Yes", "No")</f>
        <v>Yes</v>
      </c>
      <c r="R171" s="5" t="str">
        <f>IF(COUNTIFS($C$2:Transactions_RAW_cleaned[[#This Row],[CustomerID]],Transactions_RAW_cleaned[[#This Row],[CustomerID]],$D$2:Transactions_RAW_cleaned[[#This Row],[ServiceID]],Transactions_RAW_cleaned[[#This Row],[ServiceID]])=1,"Yes","No")</f>
        <v>Yes</v>
      </c>
      <c r="S17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1" t="str">
        <f>"Q"&amp;ROUNDUP(MONTH(Transactions_RAW_cleaned[[#This Row],[TransactionDate]])/3,0)</f>
        <v>Q1</v>
      </c>
      <c r="U171" t="str">
        <f>Transactions_RAW_cleaned[[#This Row],[Region ]]&amp;Transactions_RAW_cleaned[[#This Row],[Quarter ]]</f>
        <v>APACQ1</v>
      </c>
      <c r="V171" s="5">
        <f>_xlfn.XLOOKUP(Transactions_RAW_cleaned[[#This Row],[RegionQuarterKey]], Quarterly_Targets_cleaned[RegionQuarterKey], Quarterly_Targets_cleaned[TargetRevenue])</f>
        <v>104500</v>
      </c>
    </row>
    <row r="172" spans="1:22" x14ac:dyDescent="0.25">
      <c r="A172" t="s">
        <v>505</v>
      </c>
      <c r="B172" s="1">
        <v>45358</v>
      </c>
      <c r="C172" t="s">
        <v>51</v>
      </c>
      <c r="D172" t="s">
        <v>294</v>
      </c>
      <c r="E172">
        <v>137.43</v>
      </c>
      <c r="F172" t="s">
        <v>381</v>
      </c>
      <c r="G172" t="s">
        <v>327</v>
      </c>
      <c r="I172" t="s">
        <v>8</v>
      </c>
      <c r="J172" t="s">
        <v>31</v>
      </c>
      <c r="K172" t="s">
        <v>14</v>
      </c>
      <c r="L172" t="s">
        <v>295</v>
      </c>
      <c r="M172" t="s">
        <v>296</v>
      </c>
      <c r="N172">
        <v>2.9000000000000001E-2</v>
      </c>
      <c r="O172" t="str">
        <f>IF(Transactions_RAW_cleaned[[#This Row],[Status]]="Completed", IFERROR(_xlfn.XLOOKUP(Transactions_RAW_cleaned[[#This Row],[CustomerID]], Customers_cleaned[CustomerID], Customers_cleaned[Segment]), "Customer Not Found"), "N/A")</f>
        <v>N/A</v>
      </c>
      <c r="P172" s="5" t="str">
        <f>IF(Transactions_RAW_cleaned[[#This Row],[Status]]="Refunded", "Refund",
  IF(Transactions_RAW_cleaned[[#This Row],[Category]]="Payments", IF(Transactions_RAW_cleaned[[#This Row],[Amount]]&gt;500,"High Value","Standard"),
    IF(Transactions_RAW_cleaned[[#This Row],[Amount]]&gt;250,"High Value","Standard")))</f>
        <v>Standard</v>
      </c>
      <c r="Q172" s="5" t="str">
        <f>IF(Transactions_RAW_cleaned[[#This Row],[Amount]] &gt; (_xlfn.XLOOKUP(Transactions_RAW_cleaned[[#This Row],[ServiceID]],Services_cleaned[ServiceID],Services_cleaned[TransactionFeePct]) * 10000), "Yes", "No")</f>
        <v>No</v>
      </c>
      <c r="R172" s="5" t="str">
        <f>IF(COUNTIFS($C$2:Transactions_RAW_cleaned[[#This Row],[CustomerID]],Transactions_RAW_cleaned[[#This Row],[CustomerID]],$D$2:Transactions_RAW_cleaned[[#This Row],[ServiceID]],Transactions_RAW_cleaned[[#This Row],[ServiceID]])=1,"Yes","No")</f>
        <v>Yes</v>
      </c>
      <c r="S17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72" t="str">
        <f>"Q"&amp;ROUNDUP(MONTH(Transactions_RAW_cleaned[[#This Row],[TransactionDate]])/3,0)</f>
        <v>Q1</v>
      </c>
      <c r="U172" t="str">
        <f>Transactions_RAW_cleaned[[#This Row],[Region ]]&amp;Transactions_RAW_cleaned[[#This Row],[Quarter ]]</f>
        <v>EMEAQ1</v>
      </c>
      <c r="V172" s="5">
        <f>_xlfn.XLOOKUP(Transactions_RAW_cleaned[[#This Row],[RegionQuarterKey]], Quarterly_Targets_cleaned[RegionQuarterKey], Quarterly_Targets_cleaned[TargetRevenue])</f>
        <v>133000</v>
      </c>
    </row>
    <row r="173" spans="1:22" x14ac:dyDescent="0.25">
      <c r="A173" t="s">
        <v>506</v>
      </c>
      <c r="B173" s="1">
        <v>45442</v>
      </c>
      <c r="C173" t="s">
        <v>209</v>
      </c>
      <c r="D173" t="s">
        <v>300</v>
      </c>
      <c r="E173">
        <v>463.78</v>
      </c>
      <c r="F173" t="s">
        <v>324</v>
      </c>
      <c r="G173" t="s">
        <v>325</v>
      </c>
      <c r="I173" t="s">
        <v>17</v>
      </c>
      <c r="J173" t="s">
        <v>102</v>
      </c>
      <c r="K173" t="s">
        <v>22</v>
      </c>
      <c r="L173" t="s">
        <v>301</v>
      </c>
      <c r="M173" t="s">
        <v>302</v>
      </c>
      <c r="N173">
        <v>5.0000000000000001E-3</v>
      </c>
      <c r="O173" t="str">
        <f>IF(Transactions_RAW_cleaned[[#This Row],[Status]]="Completed", IFERROR(_xlfn.XLOOKUP(Transactions_RAW_cleaned[[#This Row],[CustomerID]], Customers_cleaned[CustomerID], Customers_cleaned[Segment]), "Customer Not Found"), "N/A")</f>
        <v>Enterprise</v>
      </c>
      <c r="P173" s="5" t="str">
        <f>IF(Transactions_RAW_cleaned[[#This Row],[Status]]="Refunded", "Refund",
  IF(Transactions_RAW_cleaned[[#This Row],[Category]]="Payments", IF(Transactions_RAW_cleaned[[#This Row],[Amount]]&gt;500,"High Value","Standard"),
    IF(Transactions_RAW_cleaned[[#This Row],[Amount]]&gt;250,"High Value","Standard")))</f>
        <v>High Value</v>
      </c>
      <c r="Q173" s="5" t="str">
        <f>IF(Transactions_RAW_cleaned[[#This Row],[Amount]] &gt; (_xlfn.XLOOKUP(Transactions_RAW_cleaned[[#This Row],[ServiceID]],Services_cleaned[ServiceID],Services_cleaned[TransactionFeePct]) * 10000), "Yes", "No")</f>
        <v>Yes</v>
      </c>
      <c r="R173" s="5" t="str">
        <f>IF(COUNTIFS($C$2:Transactions_RAW_cleaned[[#This Row],[CustomerID]],Transactions_RAW_cleaned[[#This Row],[CustomerID]],$D$2:Transactions_RAW_cleaned[[#This Row],[ServiceID]],Transactions_RAW_cleaned[[#This Row],[ServiceID]])=1,"Yes","No")</f>
        <v>Yes</v>
      </c>
      <c r="S17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3" t="str">
        <f>"Q"&amp;ROUNDUP(MONTH(Transactions_RAW_cleaned[[#This Row],[TransactionDate]])/3,0)</f>
        <v>Q2</v>
      </c>
      <c r="U173" t="str">
        <f>Transactions_RAW_cleaned[[#This Row],[Region ]]&amp;Transactions_RAW_cleaned[[#This Row],[Quarter ]]</f>
        <v>NAQ2</v>
      </c>
      <c r="V173" s="5">
        <f>_xlfn.XLOOKUP(Transactions_RAW_cleaned[[#This Row],[RegionQuarterKey]], Quarterly_Targets_cleaned[RegionQuarterKey], Quarterly_Targets_cleaned[TargetRevenue])</f>
        <v>260000</v>
      </c>
    </row>
    <row r="174" spans="1:22" x14ac:dyDescent="0.25">
      <c r="A174" t="s">
        <v>507</v>
      </c>
      <c r="B174" s="1">
        <v>45614</v>
      </c>
      <c r="C174" t="s">
        <v>263</v>
      </c>
      <c r="D174" t="s">
        <v>294</v>
      </c>
      <c r="E174">
        <v>701.31</v>
      </c>
      <c r="F174" t="s">
        <v>324</v>
      </c>
      <c r="G174" t="s">
        <v>327</v>
      </c>
      <c r="H174" t="s">
        <v>334</v>
      </c>
      <c r="I174" t="s">
        <v>8</v>
      </c>
      <c r="J174" t="s">
        <v>102</v>
      </c>
      <c r="K174" t="s">
        <v>32</v>
      </c>
      <c r="L174" t="s">
        <v>295</v>
      </c>
      <c r="M174" t="s">
        <v>296</v>
      </c>
      <c r="N174">
        <v>2.9000000000000001E-2</v>
      </c>
      <c r="O174" t="str">
        <f>IF(Transactions_RAW_cleaned[[#This Row],[Status]]="Completed", IFERROR(_xlfn.XLOOKUP(Transactions_RAW_cleaned[[#This Row],[CustomerID]], Customers_cleaned[CustomerID], Customers_cleaned[Segment]), "Customer Not Found"), "N/A")</f>
        <v>SMB</v>
      </c>
      <c r="P174" s="5" t="str">
        <f>IF(Transactions_RAW_cleaned[[#This Row],[Status]]="Refunded", "Refund",
  IF(Transactions_RAW_cleaned[[#This Row],[Category]]="Payments", IF(Transactions_RAW_cleaned[[#This Row],[Amount]]&gt;500,"High Value","Standard"),
    IF(Transactions_RAW_cleaned[[#This Row],[Amount]]&gt;250,"High Value","Standard")))</f>
        <v>High Value</v>
      </c>
      <c r="Q174" s="5" t="str">
        <f>IF(Transactions_RAW_cleaned[[#This Row],[Amount]] &gt; (_xlfn.XLOOKUP(Transactions_RAW_cleaned[[#This Row],[ServiceID]],Services_cleaned[ServiceID],Services_cleaned[TransactionFeePct]) * 10000), "Yes", "No")</f>
        <v>Yes</v>
      </c>
      <c r="R174" s="5" t="str">
        <f>IF(COUNTIFS($C$2:Transactions_RAW_cleaned[[#This Row],[CustomerID]],Transactions_RAW_cleaned[[#This Row],[CustomerID]],$D$2:Transactions_RAW_cleaned[[#This Row],[ServiceID]],Transactions_RAW_cleaned[[#This Row],[ServiceID]])=1,"Yes","No")</f>
        <v>Yes</v>
      </c>
      <c r="S17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4" t="str">
        <f>"Q"&amp;ROUNDUP(MONTH(Transactions_RAW_cleaned[[#This Row],[TransactionDate]])/3,0)</f>
        <v>Q4</v>
      </c>
      <c r="U174" t="str">
        <f>Transactions_RAW_cleaned[[#This Row],[Region ]]&amp;Transactions_RAW_cleaned[[#This Row],[Quarter ]]</f>
        <v>NAQ4</v>
      </c>
      <c r="V174" s="5">
        <f>_xlfn.XLOOKUP(Transactions_RAW_cleaned[[#This Row],[RegionQuarterKey]], Quarterly_Targets_cleaned[RegionQuarterKey], Quarterly_Targets_cleaned[TargetRevenue])</f>
        <v>299000</v>
      </c>
    </row>
    <row r="175" spans="1:22" x14ac:dyDescent="0.25">
      <c r="A175" t="s">
        <v>508</v>
      </c>
      <c r="B175" s="1">
        <v>45570</v>
      </c>
      <c r="C175" t="s">
        <v>209</v>
      </c>
      <c r="D175" t="s">
        <v>312</v>
      </c>
      <c r="E175">
        <v>221.06</v>
      </c>
      <c r="F175" t="s">
        <v>324</v>
      </c>
      <c r="G175" t="s">
        <v>325</v>
      </c>
      <c r="H175" t="s">
        <v>334</v>
      </c>
      <c r="I175" t="s">
        <v>17</v>
      </c>
      <c r="J175" t="s">
        <v>102</v>
      </c>
      <c r="K175" t="s">
        <v>22</v>
      </c>
      <c r="L175" t="s">
        <v>313</v>
      </c>
      <c r="M175" t="s">
        <v>314</v>
      </c>
      <c r="N175">
        <v>0</v>
      </c>
      <c r="O175" t="str">
        <f>IF(Transactions_RAW_cleaned[[#This Row],[Status]]="Completed", IFERROR(_xlfn.XLOOKUP(Transactions_RAW_cleaned[[#This Row],[CustomerID]], Customers_cleaned[CustomerID], Customers_cleaned[Segment]), "Customer Not Found"), "N/A")</f>
        <v>Enterprise</v>
      </c>
      <c r="P175" s="5" t="str">
        <f>IF(Transactions_RAW_cleaned[[#This Row],[Status]]="Refunded", "Refund",
  IF(Transactions_RAW_cleaned[[#This Row],[Category]]="Payments", IF(Transactions_RAW_cleaned[[#This Row],[Amount]]&gt;500,"High Value","Standard"),
    IF(Transactions_RAW_cleaned[[#This Row],[Amount]]&gt;250,"High Value","Standard")))</f>
        <v>Standard</v>
      </c>
      <c r="Q175" s="5" t="str">
        <f>IF(Transactions_RAW_cleaned[[#This Row],[Amount]] &gt; (_xlfn.XLOOKUP(Transactions_RAW_cleaned[[#This Row],[ServiceID]],Services_cleaned[ServiceID],Services_cleaned[TransactionFeePct]) * 10000), "Yes", "No")</f>
        <v>Yes</v>
      </c>
      <c r="R175" s="5" t="str">
        <f>IF(COUNTIFS($C$2:Transactions_RAW_cleaned[[#This Row],[CustomerID]],Transactions_RAW_cleaned[[#This Row],[CustomerID]],$D$2:Transactions_RAW_cleaned[[#This Row],[ServiceID]],Transactions_RAW_cleaned[[#This Row],[ServiceID]])=1,"Yes","No")</f>
        <v>Yes</v>
      </c>
      <c r="S17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5" t="str">
        <f>"Q"&amp;ROUNDUP(MONTH(Transactions_RAW_cleaned[[#This Row],[TransactionDate]])/3,0)</f>
        <v>Q4</v>
      </c>
      <c r="U175" t="str">
        <f>Transactions_RAW_cleaned[[#This Row],[Region ]]&amp;Transactions_RAW_cleaned[[#This Row],[Quarter ]]</f>
        <v>NAQ4</v>
      </c>
      <c r="V175" s="5">
        <f>_xlfn.XLOOKUP(Transactions_RAW_cleaned[[#This Row],[RegionQuarterKey]], Quarterly_Targets_cleaned[RegionQuarterKey], Quarterly_Targets_cleaned[TargetRevenue])</f>
        <v>299000</v>
      </c>
    </row>
    <row r="176" spans="1:22" x14ac:dyDescent="0.25">
      <c r="A176" t="s">
        <v>509</v>
      </c>
      <c r="B176" s="1">
        <v>45643</v>
      </c>
      <c r="C176" t="s">
        <v>74</v>
      </c>
      <c r="D176" t="s">
        <v>297</v>
      </c>
      <c r="E176">
        <v>525.82000000000005</v>
      </c>
      <c r="F176" t="s">
        <v>324</v>
      </c>
      <c r="G176" t="s">
        <v>337</v>
      </c>
      <c r="H176" t="s">
        <v>346</v>
      </c>
      <c r="I176" t="s">
        <v>17</v>
      </c>
      <c r="J176" t="s">
        <v>46</v>
      </c>
      <c r="K176" t="s">
        <v>28</v>
      </c>
      <c r="L176" t="s">
        <v>298</v>
      </c>
      <c r="M176" t="s">
        <v>299</v>
      </c>
      <c r="N176">
        <v>0</v>
      </c>
      <c r="O176" t="str">
        <f>IF(Transactions_RAW_cleaned[[#This Row],[Status]]="Completed", IFERROR(_xlfn.XLOOKUP(Transactions_RAW_cleaned[[#This Row],[CustomerID]], Customers_cleaned[CustomerID], Customers_cleaned[Segment]), "Customer Not Found"), "N/A")</f>
        <v>Enterprise</v>
      </c>
      <c r="P176" s="5" t="str">
        <f>IF(Transactions_RAW_cleaned[[#This Row],[Status]]="Refunded", "Refund",
  IF(Transactions_RAW_cleaned[[#This Row],[Category]]="Payments", IF(Transactions_RAW_cleaned[[#This Row],[Amount]]&gt;500,"High Value","Standard"),
    IF(Transactions_RAW_cleaned[[#This Row],[Amount]]&gt;250,"High Value","Standard")))</f>
        <v>High Value</v>
      </c>
      <c r="Q176" s="5" t="str">
        <f>IF(Transactions_RAW_cleaned[[#This Row],[Amount]] &gt; (_xlfn.XLOOKUP(Transactions_RAW_cleaned[[#This Row],[ServiceID]],Services_cleaned[ServiceID],Services_cleaned[TransactionFeePct]) * 10000), "Yes", "No")</f>
        <v>Yes</v>
      </c>
      <c r="R176" s="5" t="str">
        <f>IF(COUNTIFS($C$2:Transactions_RAW_cleaned[[#This Row],[CustomerID]],Transactions_RAW_cleaned[[#This Row],[CustomerID]],$D$2:Transactions_RAW_cleaned[[#This Row],[ServiceID]],Transactions_RAW_cleaned[[#This Row],[ServiceID]])=1,"Yes","No")</f>
        <v>Yes</v>
      </c>
      <c r="S17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6" t="str">
        <f>"Q"&amp;ROUNDUP(MONTH(Transactions_RAW_cleaned[[#This Row],[TransactionDate]])/3,0)</f>
        <v>Q4</v>
      </c>
      <c r="U176" t="str">
        <f>Transactions_RAW_cleaned[[#This Row],[Region ]]&amp;Transactions_RAW_cleaned[[#This Row],[Quarter ]]</f>
        <v>APACQ4</v>
      </c>
      <c r="V176" s="5">
        <f>_xlfn.XLOOKUP(Transactions_RAW_cleaned[[#This Row],[RegionQuarterKey]], Quarterly_Targets_cleaned[RegionQuarterKey], Quarterly_Targets_cleaned[TargetRevenue])</f>
        <v>126500</v>
      </c>
    </row>
    <row r="177" spans="1:22" x14ac:dyDescent="0.25">
      <c r="A177" t="s">
        <v>510</v>
      </c>
      <c r="B177" s="1">
        <v>45350</v>
      </c>
      <c r="C177" t="s">
        <v>273</v>
      </c>
      <c r="D177" t="s">
        <v>294</v>
      </c>
      <c r="E177">
        <v>673.25</v>
      </c>
      <c r="F177" t="s">
        <v>324</v>
      </c>
      <c r="G177" t="s">
        <v>325</v>
      </c>
      <c r="I177" t="s">
        <v>17</v>
      </c>
      <c r="J177" t="s">
        <v>102</v>
      </c>
      <c r="K177" t="s">
        <v>22</v>
      </c>
      <c r="L177" t="s">
        <v>295</v>
      </c>
      <c r="M177" t="s">
        <v>296</v>
      </c>
      <c r="N177">
        <v>2.9000000000000001E-2</v>
      </c>
      <c r="O177" t="str">
        <f>IF(Transactions_RAW_cleaned[[#This Row],[Status]]="Completed", IFERROR(_xlfn.XLOOKUP(Transactions_RAW_cleaned[[#This Row],[CustomerID]], Customers_cleaned[CustomerID], Customers_cleaned[Segment]), "Customer Not Found"), "N/A")</f>
        <v>Enterprise</v>
      </c>
      <c r="P177" s="5" t="str">
        <f>IF(Transactions_RAW_cleaned[[#This Row],[Status]]="Refunded", "Refund",
  IF(Transactions_RAW_cleaned[[#This Row],[Category]]="Payments", IF(Transactions_RAW_cleaned[[#This Row],[Amount]]&gt;500,"High Value","Standard"),
    IF(Transactions_RAW_cleaned[[#This Row],[Amount]]&gt;250,"High Value","Standard")))</f>
        <v>High Value</v>
      </c>
      <c r="Q177" s="5" t="str">
        <f>IF(Transactions_RAW_cleaned[[#This Row],[Amount]] &gt; (_xlfn.XLOOKUP(Transactions_RAW_cleaned[[#This Row],[ServiceID]],Services_cleaned[ServiceID],Services_cleaned[TransactionFeePct]) * 10000), "Yes", "No")</f>
        <v>Yes</v>
      </c>
      <c r="R177" s="5" t="str">
        <f>IF(COUNTIFS($C$2:Transactions_RAW_cleaned[[#This Row],[CustomerID]],Transactions_RAW_cleaned[[#This Row],[CustomerID]],$D$2:Transactions_RAW_cleaned[[#This Row],[ServiceID]],Transactions_RAW_cleaned[[#This Row],[ServiceID]])=1,"Yes","No")</f>
        <v>No</v>
      </c>
      <c r="S17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7" t="str">
        <f>"Q"&amp;ROUNDUP(MONTH(Transactions_RAW_cleaned[[#This Row],[TransactionDate]])/3,0)</f>
        <v>Q1</v>
      </c>
      <c r="U177" t="str">
        <f>Transactions_RAW_cleaned[[#This Row],[Region ]]&amp;Transactions_RAW_cleaned[[#This Row],[Quarter ]]</f>
        <v>NAQ1</v>
      </c>
      <c r="V177" s="5">
        <f>_xlfn.XLOOKUP(Transactions_RAW_cleaned[[#This Row],[RegionQuarterKey]], Quarterly_Targets_cleaned[RegionQuarterKey], Quarterly_Targets_cleaned[TargetRevenue])</f>
        <v>247000</v>
      </c>
    </row>
    <row r="178" spans="1:22" x14ac:dyDescent="0.25">
      <c r="A178" t="s">
        <v>511</v>
      </c>
      <c r="B178" s="1">
        <v>45507</v>
      </c>
      <c r="C178" t="s">
        <v>42</v>
      </c>
      <c r="D178" t="s">
        <v>312</v>
      </c>
      <c r="E178">
        <v>157.28</v>
      </c>
      <c r="F178" t="s">
        <v>324</v>
      </c>
      <c r="G178" t="s">
        <v>327</v>
      </c>
      <c r="H178" t="s">
        <v>346</v>
      </c>
      <c r="I178" t="s">
        <v>8</v>
      </c>
      <c r="J178" t="s">
        <v>102</v>
      </c>
      <c r="K178" t="s">
        <v>10</v>
      </c>
      <c r="L178" t="s">
        <v>313</v>
      </c>
      <c r="M178" t="s">
        <v>314</v>
      </c>
      <c r="N178">
        <v>0</v>
      </c>
      <c r="O178" t="str">
        <f>IF(Transactions_RAW_cleaned[[#This Row],[Status]]="Completed", IFERROR(_xlfn.XLOOKUP(Transactions_RAW_cleaned[[#This Row],[CustomerID]], Customers_cleaned[CustomerID], Customers_cleaned[Segment]), "Customer Not Found"), "N/A")</f>
        <v>SMB</v>
      </c>
      <c r="P178" s="5" t="str">
        <f>IF(Transactions_RAW_cleaned[[#This Row],[Status]]="Refunded", "Refund",
  IF(Transactions_RAW_cleaned[[#This Row],[Category]]="Payments", IF(Transactions_RAW_cleaned[[#This Row],[Amount]]&gt;500,"High Value","Standard"),
    IF(Transactions_RAW_cleaned[[#This Row],[Amount]]&gt;250,"High Value","Standard")))</f>
        <v>Standard</v>
      </c>
      <c r="Q178" s="5" t="str">
        <f>IF(Transactions_RAW_cleaned[[#This Row],[Amount]] &gt; (_xlfn.XLOOKUP(Transactions_RAW_cleaned[[#This Row],[ServiceID]],Services_cleaned[ServiceID],Services_cleaned[TransactionFeePct]) * 10000), "Yes", "No")</f>
        <v>Yes</v>
      </c>
      <c r="R178" s="5" t="str">
        <f>IF(COUNTIFS($C$2:Transactions_RAW_cleaned[[#This Row],[CustomerID]],Transactions_RAW_cleaned[[#This Row],[CustomerID]],$D$2:Transactions_RAW_cleaned[[#This Row],[ServiceID]],Transactions_RAW_cleaned[[#This Row],[ServiceID]])=1,"Yes","No")</f>
        <v>No</v>
      </c>
      <c r="S17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8" t="str">
        <f>"Q"&amp;ROUNDUP(MONTH(Transactions_RAW_cleaned[[#This Row],[TransactionDate]])/3,0)</f>
        <v>Q3</v>
      </c>
      <c r="U178" t="str">
        <f>Transactions_RAW_cleaned[[#This Row],[Region ]]&amp;Transactions_RAW_cleaned[[#This Row],[Quarter ]]</f>
        <v>NAQ3</v>
      </c>
      <c r="V178" s="5">
        <f>_xlfn.XLOOKUP(Transactions_RAW_cleaned[[#This Row],[RegionQuarterKey]], Quarterly_Targets_cleaned[RegionQuarterKey], Quarterly_Targets_cleaned[TargetRevenue])</f>
        <v>273000</v>
      </c>
    </row>
    <row r="179" spans="1:22" x14ac:dyDescent="0.25">
      <c r="A179" t="s">
        <v>512</v>
      </c>
      <c r="B179" s="1">
        <v>45657</v>
      </c>
      <c r="C179" t="s">
        <v>207</v>
      </c>
      <c r="D179" t="s">
        <v>303</v>
      </c>
      <c r="E179">
        <v>511.69</v>
      </c>
      <c r="F179" t="s">
        <v>324</v>
      </c>
      <c r="G179" t="s">
        <v>325</v>
      </c>
      <c r="H179" t="s">
        <v>334</v>
      </c>
      <c r="I179" t="s">
        <v>8</v>
      </c>
      <c r="J179" t="s">
        <v>102</v>
      </c>
      <c r="K179" t="s">
        <v>28</v>
      </c>
      <c r="L179" t="s">
        <v>304</v>
      </c>
      <c r="M179" t="s">
        <v>305</v>
      </c>
      <c r="N179">
        <v>1E-3</v>
      </c>
      <c r="O179" t="str">
        <f>IF(Transactions_RAW_cleaned[[#This Row],[Status]]="Completed", IFERROR(_xlfn.XLOOKUP(Transactions_RAW_cleaned[[#This Row],[CustomerID]], Customers_cleaned[CustomerID], Customers_cleaned[Segment]), "Customer Not Found"), "N/A")</f>
        <v>SMB</v>
      </c>
      <c r="P179" s="5" t="str">
        <f>IF(Transactions_RAW_cleaned[[#This Row],[Status]]="Refunded", "Refund",
  IF(Transactions_RAW_cleaned[[#This Row],[Category]]="Payments", IF(Transactions_RAW_cleaned[[#This Row],[Amount]]&gt;500,"High Value","Standard"),
    IF(Transactions_RAW_cleaned[[#This Row],[Amount]]&gt;250,"High Value","Standard")))</f>
        <v>High Value</v>
      </c>
      <c r="Q179" s="5" t="str">
        <f>IF(Transactions_RAW_cleaned[[#This Row],[Amount]] &gt; (_xlfn.XLOOKUP(Transactions_RAW_cleaned[[#This Row],[ServiceID]],Services_cleaned[ServiceID],Services_cleaned[TransactionFeePct]) * 10000), "Yes", "No")</f>
        <v>Yes</v>
      </c>
      <c r="R179" s="5" t="str">
        <f>IF(COUNTIFS($C$2:Transactions_RAW_cleaned[[#This Row],[CustomerID]],Transactions_RAW_cleaned[[#This Row],[CustomerID]],$D$2:Transactions_RAW_cleaned[[#This Row],[ServiceID]],Transactions_RAW_cleaned[[#This Row],[ServiceID]])=1,"Yes","No")</f>
        <v>Yes</v>
      </c>
      <c r="S17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9" t="str">
        <f>"Q"&amp;ROUNDUP(MONTH(Transactions_RAW_cleaned[[#This Row],[TransactionDate]])/3,0)</f>
        <v>Q4</v>
      </c>
      <c r="U179" t="str">
        <f>Transactions_RAW_cleaned[[#This Row],[Region ]]&amp;Transactions_RAW_cleaned[[#This Row],[Quarter ]]</f>
        <v>NAQ4</v>
      </c>
      <c r="V179" s="5">
        <f>_xlfn.XLOOKUP(Transactions_RAW_cleaned[[#This Row],[RegionQuarterKey]], Quarterly_Targets_cleaned[RegionQuarterKey], Quarterly_Targets_cleaned[TargetRevenue])</f>
        <v>299000</v>
      </c>
    </row>
    <row r="180" spans="1:22" x14ac:dyDescent="0.25">
      <c r="A180" t="s">
        <v>513</v>
      </c>
      <c r="B180" s="1">
        <v>45427</v>
      </c>
      <c r="C180" t="s">
        <v>155</v>
      </c>
      <c r="D180" t="s">
        <v>303</v>
      </c>
      <c r="E180">
        <v>64.36</v>
      </c>
      <c r="F180" t="s">
        <v>324</v>
      </c>
      <c r="G180" t="s">
        <v>325</v>
      </c>
      <c r="H180" t="s">
        <v>334</v>
      </c>
      <c r="I180" t="s">
        <v>8</v>
      </c>
      <c r="J180" t="s">
        <v>46</v>
      </c>
      <c r="K180" t="s">
        <v>22</v>
      </c>
      <c r="L180" t="s">
        <v>304</v>
      </c>
      <c r="M180" t="s">
        <v>305</v>
      </c>
      <c r="N180">
        <v>1E-3</v>
      </c>
      <c r="O180" t="str">
        <f>IF(Transactions_RAW_cleaned[[#This Row],[Status]]="Completed", IFERROR(_xlfn.XLOOKUP(Transactions_RAW_cleaned[[#This Row],[CustomerID]], Customers_cleaned[CustomerID], Customers_cleaned[Segment]), "Customer Not Found"), "N/A")</f>
        <v>SMB</v>
      </c>
      <c r="P180" s="5" t="str">
        <f>IF(Transactions_RAW_cleaned[[#This Row],[Status]]="Refunded", "Refund",
  IF(Transactions_RAW_cleaned[[#This Row],[Category]]="Payments", IF(Transactions_RAW_cleaned[[#This Row],[Amount]]&gt;500,"High Value","Standard"),
    IF(Transactions_RAW_cleaned[[#This Row],[Amount]]&gt;250,"High Value","Standard")))</f>
        <v>Standard</v>
      </c>
      <c r="Q180" s="5" t="str">
        <f>IF(Transactions_RAW_cleaned[[#This Row],[Amount]] &gt; (_xlfn.XLOOKUP(Transactions_RAW_cleaned[[#This Row],[ServiceID]],Services_cleaned[ServiceID],Services_cleaned[TransactionFeePct]) * 10000), "Yes", "No")</f>
        <v>Yes</v>
      </c>
      <c r="R180" s="5" t="str">
        <f>IF(COUNTIFS($C$2:Transactions_RAW_cleaned[[#This Row],[CustomerID]],Transactions_RAW_cleaned[[#This Row],[CustomerID]],$D$2:Transactions_RAW_cleaned[[#This Row],[ServiceID]],Transactions_RAW_cleaned[[#This Row],[ServiceID]])=1,"Yes","No")</f>
        <v>Yes</v>
      </c>
      <c r="S18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0" t="str">
        <f>"Q"&amp;ROUNDUP(MONTH(Transactions_RAW_cleaned[[#This Row],[TransactionDate]])/3,0)</f>
        <v>Q2</v>
      </c>
      <c r="U180" t="str">
        <f>Transactions_RAW_cleaned[[#This Row],[Region ]]&amp;Transactions_RAW_cleaned[[#This Row],[Quarter ]]</f>
        <v>APACQ2</v>
      </c>
      <c r="V180" s="5">
        <f>_xlfn.XLOOKUP(Transactions_RAW_cleaned[[#This Row],[RegionQuarterKey]], Quarterly_Targets_cleaned[RegionQuarterKey], Quarterly_Targets_cleaned[TargetRevenue])</f>
        <v>110000</v>
      </c>
    </row>
    <row r="181" spans="1:22" x14ac:dyDescent="0.25">
      <c r="A181" t="s">
        <v>514</v>
      </c>
      <c r="B181" s="1">
        <v>45301</v>
      </c>
      <c r="C181" t="s">
        <v>269</v>
      </c>
      <c r="D181" t="s">
        <v>294</v>
      </c>
      <c r="E181">
        <v>578.65</v>
      </c>
      <c r="F181" t="s">
        <v>324</v>
      </c>
      <c r="G181" t="s">
        <v>325</v>
      </c>
      <c r="I181" t="s">
        <v>17</v>
      </c>
      <c r="J181" t="s">
        <v>31</v>
      </c>
      <c r="K181" t="s">
        <v>32</v>
      </c>
      <c r="L181" t="s">
        <v>295</v>
      </c>
      <c r="M181" t="s">
        <v>296</v>
      </c>
      <c r="N181">
        <v>2.9000000000000001E-2</v>
      </c>
      <c r="O181" t="str">
        <f>IF(Transactions_RAW_cleaned[[#This Row],[Status]]="Completed", IFERROR(_xlfn.XLOOKUP(Transactions_RAW_cleaned[[#This Row],[CustomerID]], Customers_cleaned[CustomerID], Customers_cleaned[Segment]), "Customer Not Found"), "N/A")</f>
        <v>Enterprise</v>
      </c>
      <c r="P181" s="5" t="str">
        <f>IF(Transactions_RAW_cleaned[[#This Row],[Status]]="Refunded", "Refund",
  IF(Transactions_RAW_cleaned[[#This Row],[Category]]="Payments", IF(Transactions_RAW_cleaned[[#This Row],[Amount]]&gt;500,"High Value","Standard"),
    IF(Transactions_RAW_cleaned[[#This Row],[Amount]]&gt;250,"High Value","Standard")))</f>
        <v>High Value</v>
      </c>
      <c r="Q181" s="5" t="str">
        <f>IF(Transactions_RAW_cleaned[[#This Row],[Amount]] &gt; (_xlfn.XLOOKUP(Transactions_RAW_cleaned[[#This Row],[ServiceID]],Services_cleaned[ServiceID],Services_cleaned[TransactionFeePct]) * 10000), "Yes", "No")</f>
        <v>Yes</v>
      </c>
      <c r="R181" s="5" t="str">
        <f>IF(COUNTIFS($C$2:Transactions_RAW_cleaned[[#This Row],[CustomerID]],Transactions_RAW_cleaned[[#This Row],[CustomerID]],$D$2:Transactions_RAW_cleaned[[#This Row],[ServiceID]],Transactions_RAW_cleaned[[#This Row],[ServiceID]])=1,"Yes","No")</f>
        <v>No</v>
      </c>
      <c r="S18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81" t="str">
        <f>"Q"&amp;ROUNDUP(MONTH(Transactions_RAW_cleaned[[#This Row],[TransactionDate]])/3,0)</f>
        <v>Q1</v>
      </c>
      <c r="U181" t="str">
        <f>Transactions_RAW_cleaned[[#This Row],[Region ]]&amp;Transactions_RAW_cleaned[[#This Row],[Quarter ]]</f>
        <v>EMEAQ1</v>
      </c>
      <c r="V181" s="5">
        <f>_xlfn.XLOOKUP(Transactions_RAW_cleaned[[#This Row],[RegionQuarterKey]], Quarterly_Targets_cleaned[RegionQuarterKey], Quarterly_Targets_cleaned[TargetRevenue])</f>
        <v>133000</v>
      </c>
    </row>
    <row r="182" spans="1:22" x14ac:dyDescent="0.25">
      <c r="A182" t="s">
        <v>515</v>
      </c>
      <c r="B182" s="1">
        <v>45504</v>
      </c>
      <c r="C182" t="s">
        <v>169</v>
      </c>
      <c r="D182" t="s">
        <v>306</v>
      </c>
      <c r="E182">
        <v>264.66000000000003</v>
      </c>
      <c r="F182" t="s">
        <v>324</v>
      </c>
      <c r="G182" t="s">
        <v>329</v>
      </c>
      <c r="I182" t="s">
        <v>8</v>
      </c>
      <c r="J182" t="s">
        <v>13</v>
      </c>
      <c r="K182" t="s">
        <v>32</v>
      </c>
      <c r="L182" t="s">
        <v>307</v>
      </c>
      <c r="M182" t="s">
        <v>308</v>
      </c>
      <c r="N182">
        <v>0</v>
      </c>
      <c r="O182" t="str">
        <f>IF(Transactions_RAW_cleaned[[#This Row],[Status]]="Completed", IFERROR(_xlfn.XLOOKUP(Transactions_RAW_cleaned[[#This Row],[CustomerID]], Customers_cleaned[CustomerID], Customers_cleaned[Segment]), "Customer Not Found"), "N/A")</f>
        <v>SMB</v>
      </c>
      <c r="P182" s="5" t="str">
        <f>IF(Transactions_RAW_cleaned[[#This Row],[Status]]="Refunded", "Refund",
  IF(Transactions_RAW_cleaned[[#This Row],[Category]]="Payments", IF(Transactions_RAW_cleaned[[#This Row],[Amount]]&gt;500,"High Value","Standard"),
    IF(Transactions_RAW_cleaned[[#This Row],[Amount]]&gt;250,"High Value","Standard")))</f>
        <v>High Value</v>
      </c>
      <c r="Q182" s="5" t="str">
        <f>IF(Transactions_RAW_cleaned[[#This Row],[Amount]] &gt; (_xlfn.XLOOKUP(Transactions_RAW_cleaned[[#This Row],[ServiceID]],Services_cleaned[ServiceID],Services_cleaned[TransactionFeePct]) * 10000), "Yes", "No")</f>
        <v>Yes</v>
      </c>
      <c r="R182" s="5" t="str">
        <f>IF(COUNTIFS($C$2:Transactions_RAW_cleaned[[#This Row],[CustomerID]],Transactions_RAW_cleaned[[#This Row],[CustomerID]],$D$2:Transactions_RAW_cleaned[[#This Row],[ServiceID]],Transactions_RAW_cleaned[[#This Row],[ServiceID]])=1,"Yes","No")</f>
        <v>Yes</v>
      </c>
      <c r="S18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2" t="str">
        <f>"Q"&amp;ROUNDUP(MONTH(Transactions_RAW_cleaned[[#This Row],[TransactionDate]])/3,0)</f>
        <v>Q3</v>
      </c>
      <c r="U182" t="str">
        <f>Transactions_RAW_cleaned[[#This Row],[Region ]]&amp;Transactions_RAW_cleaned[[#This Row],[Quarter ]]</f>
        <v>NAQ3</v>
      </c>
      <c r="V182" s="5">
        <f>_xlfn.XLOOKUP(Transactions_RAW_cleaned[[#This Row],[RegionQuarterKey]], Quarterly_Targets_cleaned[RegionQuarterKey], Quarterly_Targets_cleaned[TargetRevenue])</f>
        <v>273000</v>
      </c>
    </row>
    <row r="183" spans="1:22" x14ac:dyDescent="0.25">
      <c r="A183" t="s">
        <v>516</v>
      </c>
      <c r="B183" s="1">
        <v>45621</v>
      </c>
      <c r="C183" t="s">
        <v>70</v>
      </c>
      <c r="D183" t="s">
        <v>312</v>
      </c>
      <c r="E183">
        <v>60.89</v>
      </c>
      <c r="F183" t="s">
        <v>324</v>
      </c>
      <c r="G183" t="s">
        <v>325</v>
      </c>
      <c r="H183" t="s">
        <v>346</v>
      </c>
      <c r="I183" t="s">
        <v>8</v>
      </c>
      <c r="J183" t="s">
        <v>37</v>
      </c>
      <c r="K183" t="s">
        <v>28</v>
      </c>
      <c r="L183" t="s">
        <v>313</v>
      </c>
      <c r="M183" t="s">
        <v>314</v>
      </c>
      <c r="N183">
        <v>0</v>
      </c>
      <c r="O183" t="str">
        <f>IF(Transactions_RAW_cleaned[[#This Row],[Status]]="Completed", IFERROR(_xlfn.XLOOKUP(Transactions_RAW_cleaned[[#This Row],[CustomerID]], Customers_cleaned[CustomerID], Customers_cleaned[Segment]), "Customer Not Found"), "N/A")</f>
        <v>SMB</v>
      </c>
      <c r="P183" s="5" t="str">
        <f>IF(Transactions_RAW_cleaned[[#This Row],[Status]]="Refunded", "Refund",
  IF(Transactions_RAW_cleaned[[#This Row],[Category]]="Payments", IF(Transactions_RAW_cleaned[[#This Row],[Amount]]&gt;500,"High Value","Standard"),
    IF(Transactions_RAW_cleaned[[#This Row],[Amount]]&gt;250,"High Value","Standard")))</f>
        <v>Standard</v>
      </c>
      <c r="Q183" s="5" t="str">
        <f>IF(Transactions_RAW_cleaned[[#This Row],[Amount]] &gt; (_xlfn.XLOOKUP(Transactions_RAW_cleaned[[#This Row],[ServiceID]],Services_cleaned[ServiceID],Services_cleaned[TransactionFeePct]) * 10000), "Yes", "No")</f>
        <v>Yes</v>
      </c>
      <c r="R183" s="5" t="str">
        <f>IF(COUNTIFS($C$2:Transactions_RAW_cleaned[[#This Row],[CustomerID]],Transactions_RAW_cleaned[[#This Row],[CustomerID]],$D$2:Transactions_RAW_cleaned[[#This Row],[ServiceID]],Transactions_RAW_cleaned[[#This Row],[ServiceID]])=1,"Yes","No")</f>
        <v>Yes</v>
      </c>
      <c r="S18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83" t="str">
        <f>"Q"&amp;ROUNDUP(MONTH(Transactions_RAW_cleaned[[#This Row],[TransactionDate]])/3,0)</f>
        <v>Q4</v>
      </c>
      <c r="U183" t="str">
        <f>Transactions_RAW_cleaned[[#This Row],[Region ]]&amp;Transactions_RAW_cleaned[[#This Row],[Quarter ]]</f>
        <v>EMEAQ4</v>
      </c>
      <c r="V183" s="5">
        <f>_xlfn.XLOOKUP(Transactions_RAW_cleaned[[#This Row],[RegionQuarterKey]], Quarterly_Targets_cleaned[RegionQuarterKey], Quarterly_Targets_cleaned[TargetRevenue])</f>
        <v>161000</v>
      </c>
    </row>
    <row r="184" spans="1:22" x14ac:dyDescent="0.25">
      <c r="A184" t="s">
        <v>517</v>
      </c>
      <c r="B184" s="1">
        <v>45600</v>
      </c>
      <c r="C184" t="s">
        <v>253</v>
      </c>
      <c r="D184" t="s">
        <v>294</v>
      </c>
      <c r="E184">
        <v>88.17</v>
      </c>
      <c r="F184" t="s">
        <v>324</v>
      </c>
      <c r="G184" t="s">
        <v>325</v>
      </c>
      <c r="H184" t="s">
        <v>346</v>
      </c>
      <c r="I184" t="s">
        <v>8</v>
      </c>
      <c r="J184" t="s">
        <v>102</v>
      </c>
      <c r="K184" t="s">
        <v>28</v>
      </c>
      <c r="L184" t="s">
        <v>295</v>
      </c>
      <c r="M184" t="s">
        <v>296</v>
      </c>
      <c r="N184">
        <v>2.9000000000000001E-2</v>
      </c>
      <c r="O184" t="str">
        <f>IF(Transactions_RAW_cleaned[[#This Row],[Status]]="Completed", IFERROR(_xlfn.XLOOKUP(Transactions_RAW_cleaned[[#This Row],[CustomerID]], Customers_cleaned[CustomerID], Customers_cleaned[Segment]), "Customer Not Found"), "N/A")</f>
        <v>SMB</v>
      </c>
      <c r="P184" s="5" t="str">
        <f>IF(Transactions_RAW_cleaned[[#This Row],[Status]]="Refunded", "Refund",
  IF(Transactions_RAW_cleaned[[#This Row],[Category]]="Payments", IF(Transactions_RAW_cleaned[[#This Row],[Amount]]&gt;500,"High Value","Standard"),
    IF(Transactions_RAW_cleaned[[#This Row],[Amount]]&gt;250,"High Value","Standard")))</f>
        <v>Standard</v>
      </c>
      <c r="Q184" s="5" t="str">
        <f>IF(Transactions_RAW_cleaned[[#This Row],[Amount]] &gt; (_xlfn.XLOOKUP(Transactions_RAW_cleaned[[#This Row],[ServiceID]],Services_cleaned[ServiceID],Services_cleaned[TransactionFeePct]) * 10000), "Yes", "No")</f>
        <v>No</v>
      </c>
      <c r="R184" s="5" t="str">
        <f>IF(COUNTIFS($C$2:Transactions_RAW_cleaned[[#This Row],[CustomerID]],Transactions_RAW_cleaned[[#This Row],[CustomerID]],$D$2:Transactions_RAW_cleaned[[#This Row],[ServiceID]],Transactions_RAW_cleaned[[#This Row],[ServiceID]])=1,"Yes","No")</f>
        <v>No</v>
      </c>
      <c r="S18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4" t="str">
        <f>"Q"&amp;ROUNDUP(MONTH(Transactions_RAW_cleaned[[#This Row],[TransactionDate]])/3,0)</f>
        <v>Q4</v>
      </c>
      <c r="U184" t="str">
        <f>Transactions_RAW_cleaned[[#This Row],[Region ]]&amp;Transactions_RAW_cleaned[[#This Row],[Quarter ]]</f>
        <v>NAQ4</v>
      </c>
      <c r="V184" s="5">
        <f>_xlfn.XLOOKUP(Transactions_RAW_cleaned[[#This Row],[RegionQuarterKey]], Quarterly_Targets_cleaned[RegionQuarterKey], Quarterly_Targets_cleaned[TargetRevenue])</f>
        <v>299000</v>
      </c>
    </row>
    <row r="185" spans="1:22" x14ac:dyDescent="0.25">
      <c r="A185" t="s">
        <v>518</v>
      </c>
      <c r="B185" s="1">
        <v>45491</v>
      </c>
      <c r="C185" t="s">
        <v>141</v>
      </c>
      <c r="D185" t="s">
        <v>315</v>
      </c>
      <c r="E185">
        <v>289.79000000000002</v>
      </c>
      <c r="F185" t="s">
        <v>324</v>
      </c>
      <c r="G185" t="s">
        <v>327</v>
      </c>
      <c r="I185" t="s">
        <v>57</v>
      </c>
      <c r="J185" t="s">
        <v>25</v>
      </c>
      <c r="K185" t="s">
        <v>10</v>
      </c>
      <c r="L185" t="s">
        <v>316</v>
      </c>
      <c r="M185" t="s">
        <v>305</v>
      </c>
      <c r="N185">
        <v>2.5000000000000001E-3</v>
      </c>
      <c r="O185" t="str">
        <f>IF(Transactions_RAW_cleaned[[#This Row],[Status]]="Completed", IFERROR(_xlfn.XLOOKUP(Transactions_RAW_cleaned[[#This Row],[CustomerID]], Customers_cleaned[CustomerID], Customers_cleaned[Segment]), "Customer Not Found"), "N/A")</f>
        <v>Startup</v>
      </c>
      <c r="P185" s="5" t="str">
        <f>IF(Transactions_RAW_cleaned[[#This Row],[Status]]="Refunded", "Refund",
  IF(Transactions_RAW_cleaned[[#This Row],[Category]]="Payments", IF(Transactions_RAW_cleaned[[#This Row],[Amount]]&gt;500,"High Value","Standard"),
    IF(Transactions_RAW_cleaned[[#This Row],[Amount]]&gt;250,"High Value","Standard")))</f>
        <v>High Value</v>
      </c>
      <c r="Q185" s="5" t="str">
        <f>IF(Transactions_RAW_cleaned[[#This Row],[Amount]] &gt; (_xlfn.XLOOKUP(Transactions_RAW_cleaned[[#This Row],[ServiceID]],Services_cleaned[ServiceID],Services_cleaned[TransactionFeePct]) * 10000), "Yes", "No")</f>
        <v>Yes</v>
      </c>
      <c r="R185" s="5" t="str">
        <f>IF(COUNTIFS($C$2:Transactions_RAW_cleaned[[#This Row],[CustomerID]],Transactions_RAW_cleaned[[#This Row],[CustomerID]],$D$2:Transactions_RAW_cleaned[[#This Row],[ServiceID]],Transactions_RAW_cleaned[[#This Row],[ServiceID]])=1,"Yes","No")</f>
        <v>Yes</v>
      </c>
      <c r="S18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5" t="str">
        <f>"Q"&amp;ROUNDUP(MONTH(Transactions_RAW_cleaned[[#This Row],[TransactionDate]])/3,0)</f>
        <v>Q3</v>
      </c>
      <c r="U185" t="str">
        <f>Transactions_RAW_cleaned[[#This Row],[Region ]]&amp;Transactions_RAW_cleaned[[#This Row],[Quarter ]]</f>
        <v>APACQ3</v>
      </c>
      <c r="V185" s="5">
        <f>_xlfn.XLOOKUP(Transactions_RAW_cleaned[[#This Row],[RegionQuarterKey]], Quarterly_Targets_cleaned[RegionQuarterKey], Quarterly_Targets_cleaned[TargetRevenue])</f>
        <v>115500</v>
      </c>
    </row>
    <row r="186" spans="1:22" x14ac:dyDescent="0.25">
      <c r="A186" t="s">
        <v>519</v>
      </c>
      <c r="B186" s="1">
        <v>45571</v>
      </c>
      <c r="C186" t="s">
        <v>207</v>
      </c>
      <c r="D186" t="s">
        <v>309</v>
      </c>
      <c r="E186">
        <v>528.73</v>
      </c>
      <c r="F186" t="s">
        <v>324</v>
      </c>
      <c r="G186" t="s">
        <v>329</v>
      </c>
      <c r="I186" t="s">
        <v>8</v>
      </c>
      <c r="J186" t="s">
        <v>102</v>
      </c>
      <c r="K186" t="s">
        <v>28</v>
      </c>
      <c r="L186" t="s">
        <v>310</v>
      </c>
      <c r="M186" t="s">
        <v>311</v>
      </c>
      <c r="N186">
        <v>0</v>
      </c>
      <c r="O186" t="str">
        <f>IF(Transactions_RAW_cleaned[[#This Row],[Status]]="Completed", IFERROR(_xlfn.XLOOKUP(Transactions_RAW_cleaned[[#This Row],[CustomerID]], Customers_cleaned[CustomerID], Customers_cleaned[Segment]), "Customer Not Found"), "N/A")</f>
        <v>SMB</v>
      </c>
      <c r="P186" s="5" t="str">
        <f>IF(Transactions_RAW_cleaned[[#This Row],[Status]]="Refunded", "Refund",
  IF(Transactions_RAW_cleaned[[#This Row],[Category]]="Payments", IF(Transactions_RAW_cleaned[[#This Row],[Amount]]&gt;500,"High Value","Standard"),
    IF(Transactions_RAW_cleaned[[#This Row],[Amount]]&gt;250,"High Value","Standard")))</f>
        <v>High Value</v>
      </c>
      <c r="Q186" s="5" t="str">
        <f>IF(Transactions_RAW_cleaned[[#This Row],[Amount]] &gt; (_xlfn.XLOOKUP(Transactions_RAW_cleaned[[#This Row],[ServiceID]],Services_cleaned[ServiceID],Services_cleaned[TransactionFeePct]) * 10000), "Yes", "No")</f>
        <v>Yes</v>
      </c>
      <c r="R186" s="5" t="str">
        <f>IF(COUNTIFS($C$2:Transactions_RAW_cleaned[[#This Row],[CustomerID]],Transactions_RAW_cleaned[[#This Row],[CustomerID]],$D$2:Transactions_RAW_cleaned[[#This Row],[ServiceID]],Transactions_RAW_cleaned[[#This Row],[ServiceID]])=1,"Yes","No")</f>
        <v>Yes</v>
      </c>
      <c r="S18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6" t="str">
        <f>"Q"&amp;ROUNDUP(MONTH(Transactions_RAW_cleaned[[#This Row],[TransactionDate]])/3,0)</f>
        <v>Q4</v>
      </c>
      <c r="U186" t="str">
        <f>Transactions_RAW_cleaned[[#This Row],[Region ]]&amp;Transactions_RAW_cleaned[[#This Row],[Quarter ]]</f>
        <v>NAQ4</v>
      </c>
      <c r="V186" s="5">
        <f>_xlfn.XLOOKUP(Transactions_RAW_cleaned[[#This Row],[RegionQuarterKey]], Quarterly_Targets_cleaned[RegionQuarterKey], Quarterly_Targets_cleaned[TargetRevenue])</f>
        <v>299000</v>
      </c>
    </row>
    <row r="187" spans="1:22" x14ac:dyDescent="0.25">
      <c r="A187" t="s">
        <v>520</v>
      </c>
      <c r="B187" s="1">
        <v>45610</v>
      </c>
      <c r="C187" t="s">
        <v>163</v>
      </c>
      <c r="D187" t="s">
        <v>294</v>
      </c>
      <c r="E187">
        <v>731.49</v>
      </c>
      <c r="F187" t="s">
        <v>324</v>
      </c>
      <c r="G187" t="s">
        <v>325</v>
      </c>
      <c r="H187" t="s">
        <v>334</v>
      </c>
      <c r="I187" t="s">
        <v>17</v>
      </c>
      <c r="J187" t="s">
        <v>102</v>
      </c>
      <c r="K187" t="s">
        <v>18</v>
      </c>
      <c r="L187" t="s">
        <v>295</v>
      </c>
      <c r="M187" t="s">
        <v>296</v>
      </c>
      <c r="N187">
        <v>2.9000000000000001E-2</v>
      </c>
      <c r="O187" t="str">
        <f>IF(Transactions_RAW_cleaned[[#This Row],[Status]]="Completed", IFERROR(_xlfn.XLOOKUP(Transactions_RAW_cleaned[[#This Row],[CustomerID]], Customers_cleaned[CustomerID], Customers_cleaned[Segment]), "Customer Not Found"), "N/A")</f>
        <v>Enterprise</v>
      </c>
      <c r="P187" s="5" t="str">
        <f>IF(Transactions_RAW_cleaned[[#This Row],[Status]]="Refunded", "Refund",
  IF(Transactions_RAW_cleaned[[#This Row],[Category]]="Payments", IF(Transactions_RAW_cleaned[[#This Row],[Amount]]&gt;500,"High Value","Standard"),
    IF(Transactions_RAW_cleaned[[#This Row],[Amount]]&gt;250,"High Value","Standard")))</f>
        <v>High Value</v>
      </c>
      <c r="Q187" s="5" t="str">
        <f>IF(Transactions_RAW_cleaned[[#This Row],[Amount]] &gt; (_xlfn.XLOOKUP(Transactions_RAW_cleaned[[#This Row],[ServiceID]],Services_cleaned[ServiceID],Services_cleaned[TransactionFeePct]) * 10000), "Yes", "No")</f>
        <v>Yes</v>
      </c>
      <c r="R187" s="5" t="str">
        <f>IF(COUNTIFS($C$2:Transactions_RAW_cleaned[[#This Row],[CustomerID]],Transactions_RAW_cleaned[[#This Row],[CustomerID]],$D$2:Transactions_RAW_cleaned[[#This Row],[ServiceID]],Transactions_RAW_cleaned[[#This Row],[ServiceID]])=1,"Yes","No")</f>
        <v>No</v>
      </c>
      <c r="S18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7" t="str">
        <f>"Q"&amp;ROUNDUP(MONTH(Transactions_RAW_cleaned[[#This Row],[TransactionDate]])/3,0)</f>
        <v>Q4</v>
      </c>
      <c r="U187" t="str">
        <f>Transactions_RAW_cleaned[[#This Row],[Region ]]&amp;Transactions_RAW_cleaned[[#This Row],[Quarter ]]</f>
        <v>NAQ4</v>
      </c>
      <c r="V187" s="5">
        <f>_xlfn.XLOOKUP(Transactions_RAW_cleaned[[#This Row],[RegionQuarterKey]], Quarterly_Targets_cleaned[RegionQuarterKey], Quarterly_Targets_cleaned[TargetRevenue])</f>
        <v>299000</v>
      </c>
    </row>
    <row r="188" spans="1:22" x14ac:dyDescent="0.25">
      <c r="A188" t="s">
        <v>521</v>
      </c>
      <c r="B188" s="1">
        <v>45641</v>
      </c>
      <c r="C188" t="s">
        <v>96</v>
      </c>
      <c r="D188" t="s">
        <v>300</v>
      </c>
      <c r="E188">
        <v>391.91</v>
      </c>
      <c r="F188" t="s">
        <v>324</v>
      </c>
      <c r="G188" t="s">
        <v>327</v>
      </c>
      <c r="I188" t="s">
        <v>17</v>
      </c>
      <c r="J188" t="s">
        <v>31</v>
      </c>
      <c r="K188" t="s">
        <v>14</v>
      </c>
      <c r="L188" t="s">
        <v>301</v>
      </c>
      <c r="M188" t="s">
        <v>302</v>
      </c>
      <c r="N188">
        <v>5.0000000000000001E-3</v>
      </c>
      <c r="O188" t="str">
        <f>IF(Transactions_RAW_cleaned[[#This Row],[Status]]="Completed", IFERROR(_xlfn.XLOOKUP(Transactions_RAW_cleaned[[#This Row],[CustomerID]], Customers_cleaned[CustomerID], Customers_cleaned[Segment]), "Customer Not Found"), "N/A")</f>
        <v>Enterprise</v>
      </c>
      <c r="P188" s="5" t="str">
        <f>IF(Transactions_RAW_cleaned[[#This Row],[Status]]="Refunded", "Refund",
  IF(Transactions_RAW_cleaned[[#This Row],[Category]]="Payments", IF(Transactions_RAW_cleaned[[#This Row],[Amount]]&gt;500,"High Value","Standard"),
    IF(Transactions_RAW_cleaned[[#This Row],[Amount]]&gt;250,"High Value","Standard")))</f>
        <v>High Value</v>
      </c>
      <c r="Q188" s="5" t="str">
        <f>IF(Transactions_RAW_cleaned[[#This Row],[Amount]] &gt; (_xlfn.XLOOKUP(Transactions_RAW_cleaned[[#This Row],[ServiceID]],Services_cleaned[ServiceID],Services_cleaned[TransactionFeePct]) * 10000), "Yes", "No")</f>
        <v>Yes</v>
      </c>
      <c r="R188" s="5" t="str">
        <f>IF(COUNTIFS($C$2:Transactions_RAW_cleaned[[#This Row],[CustomerID]],Transactions_RAW_cleaned[[#This Row],[CustomerID]],$D$2:Transactions_RAW_cleaned[[#This Row],[ServiceID]],Transactions_RAW_cleaned[[#This Row],[ServiceID]])=1,"Yes","No")</f>
        <v>Yes</v>
      </c>
      <c r="S18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88" t="str">
        <f>"Q"&amp;ROUNDUP(MONTH(Transactions_RAW_cleaned[[#This Row],[TransactionDate]])/3,0)</f>
        <v>Q4</v>
      </c>
      <c r="U188" t="str">
        <f>Transactions_RAW_cleaned[[#This Row],[Region ]]&amp;Transactions_RAW_cleaned[[#This Row],[Quarter ]]</f>
        <v>EMEAQ4</v>
      </c>
      <c r="V188" s="5">
        <f>_xlfn.XLOOKUP(Transactions_RAW_cleaned[[#This Row],[RegionQuarterKey]], Quarterly_Targets_cleaned[RegionQuarterKey], Quarterly_Targets_cleaned[TargetRevenue])</f>
        <v>161000</v>
      </c>
    </row>
    <row r="189" spans="1:22" x14ac:dyDescent="0.25">
      <c r="A189" t="s">
        <v>522</v>
      </c>
      <c r="B189" s="1">
        <v>45321</v>
      </c>
      <c r="C189" t="s">
        <v>223</v>
      </c>
      <c r="D189" t="s">
        <v>297</v>
      </c>
      <c r="E189">
        <v>-640.55999999999995</v>
      </c>
      <c r="F189" t="s">
        <v>349</v>
      </c>
      <c r="G189" t="s">
        <v>337</v>
      </c>
      <c r="I189" t="s">
        <v>8</v>
      </c>
      <c r="J189" t="s">
        <v>102</v>
      </c>
      <c r="K189" t="s">
        <v>28</v>
      </c>
      <c r="L189" t="s">
        <v>298</v>
      </c>
      <c r="M189" t="s">
        <v>299</v>
      </c>
      <c r="N189">
        <v>0</v>
      </c>
      <c r="O189" t="str">
        <f>IF(Transactions_RAW_cleaned[[#This Row],[Status]]="Completed", IFERROR(_xlfn.XLOOKUP(Transactions_RAW_cleaned[[#This Row],[CustomerID]], Customers_cleaned[CustomerID], Customers_cleaned[Segment]), "Customer Not Found"), "N/A")</f>
        <v>N/A</v>
      </c>
      <c r="P189" s="5" t="str">
        <f>IF(Transactions_RAW_cleaned[[#This Row],[Status]]="Refunded", "Refund",
  IF(Transactions_RAW_cleaned[[#This Row],[Category]]="Payments", IF(Transactions_RAW_cleaned[[#This Row],[Amount]]&gt;500,"High Value","Standard"),
    IF(Transactions_RAW_cleaned[[#This Row],[Amount]]&gt;250,"High Value","Standard")))</f>
        <v>Refund</v>
      </c>
      <c r="Q189" s="5" t="str">
        <f>IF(Transactions_RAW_cleaned[[#This Row],[Amount]] &gt; (_xlfn.XLOOKUP(Transactions_RAW_cleaned[[#This Row],[ServiceID]],Services_cleaned[ServiceID],Services_cleaned[TransactionFeePct]) * 10000), "Yes", "No")</f>
        <v>No</v>
      </c>
      <c r="R189" s="5" t="str">
        <f>IF(COUNTIFS($C$2:Transactions_RAW_cleaned[[#This Row],[CustomerID]],Transactions_RAW_cleaned[[#This Row],[CustomerID]],$D$2:Transactions_RAW_cleaned[[#This Row],[ServiceID]],Transactions_RAW_cleaned[[#This Row],[ServiceID]])=1,"Yes","No")</f>
        <v>No</v>
      </c>
      <c r="S18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9" t="str">
        <f>"Q"&amp;ROUNDUP(MONTH(Transactions_RAW_cleaned[[#This Row],[TransactionDate]])/3,0)</f>
        <v>Q1</v>
      </c>
      <c r="U189" t="str">
        <f>Transactions_RAW_cleaned[[#This Row],[Region ]]&amp;Transactions_RAW_cleaned[[#This Row],[Quarter ]]</f>
        <v>NAQ1</v>
      </c>
      <c r="V189" s="5">
        <f>_xlfn.XLOOKUP(Transactions_RAW_cleaned[[#This Row],[RegionQuarterKey]], Quarterly_Targets_cleaned[RegionQuarterKey], Quarterly_Targets_cleaned[TargetRevenue])</f>
        <v>247000</v>
      </c>
    </row>
    <row r="190" spans="1:22" x14ac:dyDescent="0.25">
      <c r="A190" t="s">
        <v>523</v>
      </c>
      <c r="B190" s="1">
        <v>45316</v>
      </c>
      <c r="C190" t="s">
        <v>237</v>
      </c>
      <c r="D190" t="s">
        <v>294</v>
      </c>
      <c r="E190">
        <v>609.30999999999995</v>
      </c>
      <c r="F190" t="s">
        <v>324</v>
      </c>
      <c r="G190" t="s">
        <v>327</v>
      </c>
      <c r="H190" t="s">
        <v>332</v>
      </c>
      <c r="I190" t="s">
        <v>8</v>
      </c>
      <c r="J190" t="s">
        <v>46</v>
      </c>
      <c r="K190" t="s">
        <v>10</v>
      </c>
      <c r="L190" t="s">
        <v>295</v>
      </c>
      <c r="M190" t="s">
        <v>296</v>
      </c>
      <c r="N190">
        <v>2.9000000000000001E-2</v>
      </c>
      <c r="O190" t="str">
        <f>IF(Transactions_RAW_cleaned[[#This Row],[Status]]="Completed", IFERROR(_xlfn.XLOOKUP(Transactions_RAW_cleaned[[#This Row],[CustomerID]], Customers_cleaned[CustomerID], Customers_cleaned[Segment]), "Customer Not Found"), "N/A")</f>
        <v>SMB</v>
      </c>
      <c r="P190" s="5" t="str">
        <f>IF(Transactions_RAW_cleaned[[#This Row],[Status]]="Refunded", "Refund",
  IF(Transactions_RAW_cleaned[[#This Row],[Category]]="Payments", IF(Transactions_RAW_cleaned[[#This Row],[Amount]]&gt;500,"High Value","Standard"),
    IF(Transactions_RAW_cleaned[[#This Row],[Amount]]&gt;250,"High Value","Standard")))</f>
        <v>High Value</v>
      </c>
      <c r="Q190" s="5" t="str">
        <f>IF(Transactions_RAW_cleaned[[#This Row],[Amount]] &gt; (_xlfn.XLOOKUP(Transactions_RAW_cleaned[[#This Row],[ServiceID]],Services_cleaned[ServiceID],Services_cleaned[TransactionFeePct]) * 10000), "Yes", "No")</f>
        <v>Yes</v>
      </c>
      <c r="R190" s="5" t="str">
        <f>IF(COUNTIFS($C$2:Transactions_RAW_cleaned[[#This Row],[CustomerID]],Transactions_RAW_cleaned[[#This Row],[CustomerID]],$D$2:Transactions_RAW_cleaned[[#This Row],[ServiceID]],Transactions_RAW_cleaned[[#This Row],[ServiceID]])=1,"Yes","No")</f>
        <v>Yes</v>
      </c>
      <c r="S19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0" t="str">
        <f>"Q"&amp;ROUNDUP(MONTH(Transactions_RAW_cleaned[[#This Row],[TransactionDate]])/3,0)</f>
        <v>Q1</v>
      </c>
      <c r="U190" t="str">
        <f>Transactions_RAW_cleaned[[#This Row],[Region ]]&amp;Transactions_RAW_cleaned[[#This Row],[Quarter ]]</f>
        <v>APACQ1</v>
      </c>
      <c r="V190" s="5">
        <f>_xlfn.XLOOKUP(Transactions_RAW_cleaned[[#This Row],[RegionQuarterKey]], Quarterly_Targets_cleaned[RegionQuarterKey], Quarterly_Targets_cleaned[TargetRevenue])</f>
        <v>104500</v>
      </c>
    </row>
    <row r="191" spans="1:22" x14ac:dyDescent="0.25">
      <c r="A191" t="s">
        <v>524</v>
      </c>
      <c r="B191" s="1">
        <v>45367</v>
      </c>
      <c r="C191" t="s">
        <v>275</v>
      </c>
      <c r="D191" t="s">
        <v>294</v>
      </c>
      <c r="E191">
        <v>193.6</v>
      </c>
      <c r="F191" t="s">
        <v>324</v>
      </c>
      <c r="G191" t="s">
        <v>337</v>
      </c>
      <c r="I191" t="s">
        <v>57</v>
      </c>
      <c r="J191" t="s">
        <v>13</v>
      </c>
      <c r="K191" t="s">
        <v>22</v>
      </c>
      <c r="L191" t="s">
        <v>295</v>
      </c>
      <c r="M191" t="s">
        <v>296</v>
      </c>
      <c r="N191">
        <v>2.9000000000000001E-2</v>
      </c>
      <c r="O191" t="str">
        <f>IF(Transactions_RAW_cleaned[[#This Row],[Status]]="Completed", IFERROR(_xlfn.XLOOKUP(Transactions_RAW_cleaned[[#This Row],[CustomerID]], Customers_cleaned[CustomerID], Customers_cleaned[Segment]), "Customer Not Found"), "N/A")</f>
        <v>Startup</v>
      </c>
      <c r="P191" s="5" t="str">
        <f>IF(Transactions_RAW_cleaned[[#This Row],[Status]]="Refunded", "Refund",
  IF(Transactions_RAW_cleaned[[#This Row],[Category]]="Payments", IF(Transactions_RAW_cleaned[[#This Row],[Amount]]&gt;500,"High Value","Standard"),
    IF(Transactions_RAW_cleaned[[#This Row],[Amount]]&gt;250,"High Value","Standard")))</f>
        <v>Standard</v>
      </c>
      <c r="Q191" s="5" t="str">
        <f>IF(Transactions_RAW_cleaned[[#This Row],[Amount]] &gt; (_xlfn.XLOOKUP(Transactions_RAW_cleaned[[#This Row],[ServiceID]],Services_cleaned[ServiceID],Services_cleaned[TransactionFeePct]) * 10000), "Yes", "No")</f>
        <v>No</v>
      </c>
      <c r="R191" s="5" t="str">
        <f>IF(COUNTIFS($C$2:Transactions_RAW_cleaned[[#This Row],[CustomerID]],Transactions_RAW_cleaned[[#This Row],[CustomerID]],$D$2:Transactions_RAW_cleaned[[#This Row],[ServiceID]],Transactions_RAW_cleaned[[#This Row],[ServiceID]])=1,"Yes","No")</f>
        <v>No</v>
      </c>
      <c r="S19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1" t="str">
        <f>"Q"&amp;ROUNDUP(MONTH(Transactions_RAW_cleaned[[#This Row],[TransactionDate]])/3,0)</f>
        <v>Q1</v>
      </c>
      <c r="U191" t="str">
        <f>Transactions_RAW_cleaned[[#This Row],[Region ]]&amp;Transactions_RAW_cleaned[[#This Row],[Quarter ]]</f>
        <v>NAQ1</v>
      </c>
      <c r="V191" s="5">
        <f>_xlfn.XLOOKUP(Transactions_RAW_cleaned[[#This Row],[RegionQuarterKey]], Quarterly_Targets_cleaned[RegionQuarterKey], Quarterly_Targets_cleaned[TargetRevenue])</f>
        <v>247000</v>
      </c>
    </row>
    <row r="192" spans="1:22" x14ac:dyDescent="0.25">
      <c r="A192" t="s">
        <v>525</v>
      </c>
      <c r="B192" s="1">
        <v>45562</v>
      </c>
      <c r="C192" t="s">
        <v>225</v>
      </c>
      <c r="D192" t="s">
        <v>303</v>
      </c>
      <c r="E192">
        <v>363</v>
      </c>
      <c r="F192" t="s">
        <v>331</v>
      </c>
      <c r="G192" t="s">
        <v>337</v>
      </c>
      <c r="I192" t="s">
        <v>8</v>
      </c>
      <c r="J192" t="s">
        <v>21</v>
      </c>
      <c r="K192" t="s">
        <v>28</v>
      </c>
      <c r="L192" t="s">
        <v>304</v>
      </c>
      <c r="M192" t="s">
        <v>305</v>
      </c>
      <c r="N192">
        <v>1E-3</v>
      </c>
      <c r="O192" t="str">
        <f>IF(Transactions_RAW_cleaned[[#This Row],[Status]]="Completed", IFERROR(_xlfn.XLOOKUP(Transactions_RAW_cleaned[[#This Row],[CustomerID]], Customers_cleaned[CustomerID], Customers_cleaned[Segment]), "Customer Not Found"), "N/A")</f>
        <v>N/A</v>
      </c>
      <c r="P192" s="5" t="str">
        <f>IF(Transactions_RAW_cleaned[[#This Row],[Status]]="Refunded", "Refund",
  IF(Transactions_RAW_cleaned[[#This Row],[Category]]="Payments", IF(Transactions_RAW_cleaned[[#This Row],[Amount]]&gt;500,"High Value","Standard"),
    IF(Transactions_RAW_cleaned[[#This Row],[Amount]]&gt;250,"High Value","Standard")))</f>
        <v>High Value</v>
      </c>
      <c r="Q192" s="5" t="str">
        <f>IF(Transactions_RAW_cleaned[[#This Row],[Amount]] &gt; (_xlfn.XLOOKUP(Transactions_RAW_cleaned[[#This Row],[ServiceID]],Services_cleaned[ServiceID],Services_cleaned[TransactionFeePct]) * 10000), "Yes", "No")</f>
        <v>Yes</v>
      </c>
      <c r="R192" s="5" t="str">
        <f>IF(COUNTIFS($C$2:Transactions_RAW_cleaned[[#This Row],[CustomerID]],Transactions_RAW_cleaned[[#This Row],[CustomerID]],$D$2:Transactions_RAW_cleaned[[#This Row],[ServiceID]],Transactions_RAW_cleaned[[#This Row],[ServiceID]])=1,"Yes","No")</f>
        <v>No</v>
      </c>
      <c r="S19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2" t="str">
        <f>"Q"&amp;ROUNDUP(MONTH(Transactions_RAW_cleaned[[#This Row],[TransactionDate]])/3,0)</f>
        <v>Q3</v>
      </c>
      <c r="U192" t="str">
        <f>Transactions_RAW_cleaned[[#This Row],[Region ]]&amp;Transactions_RAW_cleaned[[#This Row],[Quarter ]]</f>
        <v>APACQ3</v>
      </c>
      <c r="V192" s="5">
        <f>_xlfn.XLOOKUP(Transactions_RAW_cleaned[[#This Row],[RegionQuarterKey]], Quarterly_Targets_cleaned[RegionQuarterKey], Quarterly_Targets_cleaned[TargetRevenue])</f>
        <v>115500</v>
      </c>
    </row>
    <row r="193" spans="1:22" x14ac:dyDescent="0.25">
      <c r="A193" t="s">
        <v>526</v>
      </c>
      <c r="B193" s="1">
        <v>45411</v>
      </c>
      <c r="C193" t="s">
        <v>175</v>
      </c>
      <c r="D193" t="s">
        <v>306</v>
      </c>
      <c r="E193">
        <v>197.11</v>
      </c>
      <c r="F193" t="s">
        <v>324</v>
      </c>
      <c r="G193" t="s">
        <v>325</v>
      </c>
      <c r="I193" t="s">
        <v>8</v>
      </c>
      <c r="J193" t="s">
        <v>31</v>
      </c>
      <c r="K193" t="s">
        <v>32</v>
      </c>
      <c r="L193" t="s">
        <v>307</v>
      </c>
      <c r="M193" t="s">
        <v>308</v>
      </c>
      <c r="N193">
        <v>0</v>
      </c>
      <c r="O193" t="str">
        <f>IF(Transactions_RAW_cleaned[[#This Row],[Status]]="Completed", IFERROR(_xlfn.XLOOKUP(Transactions_RAW_cleaned[[#This Row],[CustomerID]], Customers_cleaned[CustomerID], Customers_cleaned[Segment]), "Customer Not Found"), "N/A")</f>
        <v>SMB</v>
      </c>
      <c r="P193" s="5" t="str">
        <f>IF(Transactions_RAW_cleaned[[#This Row],[Status]]="Refunded", "Refund",
  IF(Transactions_RAW_cleaned[[#This Row],[Category]]="Payments", IF(Transactions_RAW_cleaned[[#This Row],[Amount]]&gt;500,"High Value","Standard"),
    IF(Transactions_RAW_cleaned[[#This Row],[Amount]]&gt;250,"High Value","Standard")))</f>
        <v>Standard</v>
      </c>
      <c r="Q193" s="5" t="str">
        <f>IF(Transactions_RAW_cleaned[[#This Row],[Amount]] &gt; (_xlfn.XLOOKUP(Transactions_RAW_cleaned[[#This Row],[ServiceID]],Services_cleaned[ServiceID],Services_cleaned[TransactionFeePct]) * 10000), "Yes", "No")</f>
        <v>Yes</v>
      </c>
      <c r="R193" s="5" t="str">
        <f>IF(COUNTIFS($C$2:Transactions_RAW_cleaned[[#This Row],[CustomerID]],Transactions_RAW_cleaned[[#This Row],[CustomerID]],$D$2:Transactions_RAW_cleaned[[#This Row],[ServiceID]],Transactions_RAW_cleaned[[#This Row],[ServiceID]])=1,"Yes","No")</f>
        <v>Yes</v>
      </c>
      <c r="S19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93" t="str">
        <f>"Q"&amp;ROUNDUP(MONTH(Transactions_RAW_cleaned[[#This Row],[TransactionDate]])/3,0)</f>
        <v>Q2</v>
      </c>
      <c r="U193" t="str">
        <f>Transactions_RAW_cleaned[[#This Row],[Region ]]&amp;Transactions_RAW_cleaned[[#This Row],[Quarter ]]</f>
        <v>EMEAQ2</v>
      </c>
      <c r="V193" s="5">
        <f>_xlfn.XLOOKUP(Transactions_RAW_cleaned[[#This Row],[RegionQuarterKey]], Quarterly_Targets_cleaned[RegionQuarterKey], Quarterly_Targets_cleaned[TargetRevenue])</f>
        <v>140000</v>
      </c>
    </row>
    <row r="194" spans="1:22" x14ac:dyDescent="0.25">
      <c r="A194" t="s">
        <v>527</v>
      </c>
      <c r="B194" s="1">
        <v>45643</v>
      </c>
      <c r="C194" t="s">
        <v>64</v>
      </c>
      <c r="D194" t="s">
        <v>297</v>
      </c>
      <c r="E194">
        <v>-486.01</v>
      </c>
      <c r="F194" t="s">
        <v>349</v>
      </c>
      <c r="G194" t="s">
        <v>325</v>
      </c>
      <c r="H194" t="s">
        <v>332</v>
      </c>
      <c r="I194" t="s">
        <v>8</v>
      </c>
      <c r="J194" t="s">
        <v>37</v>
      </c>
      <c r="K194" t="s">
        <v>28</v>
      </c>
      <c r="L194" t="s">
        <v>298</v>
      </c>
      <c r="M194" t="s">
        <v>299</v>
      </c>
      <c r="N194">
        <v>0</v>
      </c>
      <c r="O194" t="str">
        <f>IF(Transactions_RAW_cleaned[[#This Row],[Status]]="Completed", IFERROR(_xlfn.XLOOKUP(Transactions_RAW_cleaned[[#This Row],[CustomerID]], Customers_cleaned[CustomerID], Customers_cleaned[Segment]), "Customer Not Found"), "N/A")</f>
        <v>N/A</v>
      </c>
      <c r="P194" s="5" t="str">
        <f>IF(Transactions_RAW_cleaned[[#This Row],[Status]]="Refunded", "Refund",
  IF(Transactions_RAW_cleaned[[#This Row],[Category]]="Payments", IF(Transactions_RAW_cleaned[[#This Row],[Amount]]&gt;500,"High Value","Standard"),
    IF(Transactions_RAW_cleaned[[#This Row],[Amount]]&gt;250,"High Value","Standard")))</f>
        <v>Refund</v>
      </c>
      <c r="Q194" s="5" t="str">
        <f>IF(Transactions_RAW_cleaned[[#This Row],[Amount]] &gt; (_xlfn.XLOOKUP(Transactions_RAW_cleaned[[#This Row],[ServiceID]],Services_cleaned[ServiceID],Services_cleaned[TransactionFeePct]) * 10000), "Yes", "No")</f>
        <v>No</v>
      </c>
      <c r="R194" s="5" t="str">
        <f>IF(COUNTIFS($C$2:Transactions_RAW_cleaned[[#This Row],[CustomerID]],Transactions_RAW_cleaned[[#This Row],[CustomerID]],$D$2:Transactions_RAW_cleaned[[#This Row],[ServiceID]],Transactions_RAW_cleaned[[#This Row],[ServiceID]])=1,"Yes","No")</f>
        <v>Yes</v>
      </c>
      <c r="S19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94" t="str">
        <f>"Q"&amp;ROUNDUP(MONTH(Transactions_RAW_cleaned[[#This Row],[TransactionDate]])/3,0)</f>
        <v>Q4</v>
      </c>
      <c r="U194" t="str">
        <f>Transactions_RAW_cleaned[[#This Row],[Region ]]&amp;Transactions_RAW_cleaned[[#This Row],[Quarter ]]</f>
        <v>EMEAQ4</v>
      </c>
      <c r="V194" s="5">
        <f>_xlfn.XLOOKUP(Transactions_RAW_cleaned[[#This Row],[RegionQuarterKey]], Quarterly_Targets_cleaned[RegionQuarterKey], Quarterly_Targets_cleaned[TargetRevenue])</f>
        <v>161000</v>
      </c>
    </row>
    <row r="195" spans="1:22" x14ac:dyDescent="0.25">
      <c r="A195" t="s">
        <v>528</v>
      </c>
      <c r="B195" s="1">
        <v>45632</v>
      </c>
      <c r="C195" t="s">
        <v>100</v>
      </c>
      <c r="D195" t="s">
        <v>294</v>
      </c>
      <c r="E195">
        <v>615.39</v>
      </c>
      <c r="F195" t="s">
        <v>324</v>
      </c>
      <c r="G195" t="s">
        <v>327</v>
      </c>
      <c r="I195" t="s">
        <v>8</v>
      </c>
      <c r="J195" t="s">
        <v>102</v>
      </c>
      <c r="K195" t="s">
        <v>22</v>
      </c>
      <c r="L195" t="s">
        <v>295</v>
      </c>
      <c r="M195" t="s">
        <v>296</v>
      </c>
      <c r="N195">
        <v>2.9000000000000001E-2</v>
      </c>
      <c r="O195" t="str">
        <f>IF(Transactions_RAW_cleaned[[#This Row],[Status]]="Completed", IFERROR(_xlfn.XLOOKUP(Transactions_RAW_cleaned[[#This Row],[CustomerID]], Customers_cleaned[CustomerID], Customers_cleaned[Segment]), "Customer Not Found"), "N/A")</f>
        <v>SMB</v>
      </c>
      <c r="P195" s="5" t="str">
        <f>IF(Transactions_RAW_cleaned[[#This Row],[Status]]="Refunded", "Refund",
  IF(Transactions_RAW_cleaned[[#This Row],[Category]]="Payments", IF(Transactions_RAW_cleaned[[#This Row],[Amount]]&gt;500,"High Value","Standard"),
    IF(Transactions_RAW_cleaned[[#This Row],[Amount]]&gt;250,"High Value","Standard")))</f>
        <v>High Value</v>
      </c>
      <c r="Q195" s="5" t="str">
        <f>IF(Transactions_RAW_cleaned[[#This Row],[Amount]] &gt; (_xlfn.XLOOKUP(Transactions_RAW_cleaned[[#This Row],[ServiceID]],Services_cleaned[ServiceID],Services_cleaned[TransactionFeePct]) * 10000), "Yes", "No")</f>
        <v>Yes</v>
      </c>
      <c r="R195" s="5" t="str">
        <f>IF(COUNTIFS($C$2:Transactions_RAW_cleaned[[#This Row],[CustomerID]],Transactions_RAW_cleaned[[#This Row],[CustomerID]],$D$2:Transactions_RAW_cleaned[[#This Row],[ServiceID]],Transactions_RAW_cleaned[[#This Row],[ServiceID]])=1,"Yes","No")</f>
        <v>Yes</v>
      </c>
      <c r="S19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5" t="str">
        <f>"Q"&amp;ROUNDUP(MONTH(Transactions_RAW_cleaned[[#This Row],[TransactionDate]])/3,0)</f>
        <v>Q4</v>
      </c>
      <c r="U195" t="str">
        <f>Transactions_RAW_cleaned[[#This Row],[Region ]]&amp;Transactions_RAW_cleaned[[#This Row],[Quarter ]]</f>
        <v>NAQ4</v>
      </c>
      <c r="V195" s="5">
        <f>_xlfn.XLOOKUP(Transactions_RAW_cleaned[[#This Row],[RegionQuarterKey]], Quarterly_Targets_cleaned[RegionQuarterKey], Quarterly_Targets_cleaned[TargetRevenue])</f>
        <v>299000</v>
      </c>
    </row>
    <row r="196" spans="1:22" x14ac:dyDescent="0.25">
      <c r="A196" t="s">
        <v>529</v>
      </c>
      <c r="B196" s="1">
        <v>45600</v>
      </c>
      <c r="C196" t="s">
        <v>211</v>
      </c>
      <c r="D196" t="s">
        <v>306</v>
      </c>
      <c r="E196">
        <v>296.56</v>
      </c>
      <c r="F196" t="s">
        <v>324</v>
      </c>
      <c r="G196" t="s">
        <v>337</v>
      </c>
      <c r="H196" t="s">
        <v>332</v>
      </c>
      <c r="I196" t="s">
        <v>8</v>
      </c>
      <c r="J196" t="s">
        <v>31</v>
      </c>
      <c r="K196" t="s">
        <v>22</v>
      </c>
      <c r="L196" t="s">
        <v>307</v>
      </c>
      <c r="M196" t="s">
        <v>308</v>
      </c>
      <c r="N196">
        <v>0</v>
      </c>
      <c r="O196" t="str">
        <f>IF(Transactions_RAW_cleaned[[#This Row],[Status]]="Completed", IFERROR(_xlfn.XLOOKUP(Transactions_RAW_cleaned[[#This Row],[CustomerID]], Customers_cleaned[CustomerID], Customers_cleaned[Segment]), "Customer Not Found"), "N/A")</f>
        <v>SMB</v>
      </c>
      <c r="P196" s="5" t="str">
        <f>IF(Transactions_RAW_cleaned[[#This Row],[Status]]="Refunded", "Refund",
  IF(Transactions_RAW_cleaned[[#This Row],[Category]]="Payments", IF(Transactions_RAW_cleaned[[#This Row],[Amount]]&gt;500,"High Value","Standard"),
    IF(Transactions_RAW_cleaned[[#This Row],[Amount]]&gt;250,"High Value","Standard")))</f>
        <v>High Value</v>
      </c>
      <c r="Q196" s="5" t="str">
        <f>IF(Transactions_RAW_cleaned[[#This Row],[Amount]] &gt; (_xlfn.XLOOKUP(Transactions_RAW_cleaned[[#This Row],[ServiceID]],Services_cleaned[ServiceID],Services_cleaned[TransactionFeePct]) * 10000), "Yes", "No")</f>
        <v>Yes</v>
      </c>
      <c r="R196" s="5" t="str">
        <f>IF(COUNTIFS($C$2:Transactions_RAW_cleaned[[#This Row],[CustomerID]],Transactions_RAW_cleaned[[#This Row],[CustomerID]],$D$2:Transactions_RAW_cleaned[[#This Row],[ServiceID]],Transactions_RAW_cleaned[[#This Row],[ServiceID]])=1,"Yes","No")</f>
        <v>Yes</v>
      </c>
      <c r="S19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96" t="str">
        <f>"Q"&amp;ROUNDUP(MONTH(Transactions_RAW_cleaned[[#This Row],[TransactionDate]])/3,0)</f>
        <v>Q4</v>
      </c>
      <c r="U196" t="str">
        <f>Transactions_RAW_cleaned[[#This Row],[Region ]]&amp;Transactions_RAW_cleaned[[#This Row],[Quarter ]]</f>
        <v>EMEAQ4</v>
      </c>
      <c r="V196" s="5">
        <f>_xlfn.XLOOKUP(Transactions_RAW_cleaned[[#This Row],[RegionQuarterKey]], Quarterly_Targets_cleaned[RegionQuarterKey], Quarterly_Targets_cleaned[TargetRevenue])</f>
        <v>161000</v>
      </c>
    </row>
    <row r="197" spans="1:22" x14ac:dyDescent="0.25">
      <c r="A197" t="s">
        <v>530</v>
      </c>
      <c r="B197" s="1">
        <v>45601</v>
      </c>
      <c r="C197" t="s">
        <v>221</v>
      </c>
      <c r="D197" t="s">
        <v>294</v>
      </c>
      <c r="E197">
        <v>951.11</v>
      </c>
      <c r="F197" t="s">
        <v>324</v>
      </c>
      <c r="G197" t="s">
        <v>327</v>
      </c>
      <c r="H197" t="s">
        <v>346</v>
      </c>
      <c r="I197" t="s">
        <v>8</v>
      </c>
      <c r="J197" t="s">
        <v>102</v>
      </c>
      <c r="K197" t="s">
        <v>14</v>
      </c>
      <c r="L197" t="s">
        <v>295</v>
      </c>
      <c r="M197" t="s">
        <v>296</v>
      </c>
      <c r="N197">
        <v>2.9000000000000001E-2</v>
      </c>
      <c r="O197" t="str">
        <f>IF(Transactions_RAW_cleaned[[#This Row],[Status]]="Completed", IFERROR(_xlfn.XLOOKUP(Transactions_RAW_cleaned[[#This Row],[CustomerID]], Customers_cleaned[CustomerID], Customers_cleaned[Segment]), "Customer Not Found"), "N/A")</f>
        <v>SMB</v>
      </c>
      <c r="P197" s="5" t="str">
        <f>IF(Transactions_RAW_cleaned[[#This Row],[Status]]="Refunded", "Refund",
  IF(Transactions_RAW_cleaned[[#This Row],[Category]]="Payments", IF(Transactions_RAW_cleaned[[#This Row],[Amount]]&gt;500,"High Value","Standard"),
    IF(Transactions_RAW_cleaned[[#This Row],[Amount]]&gt;250,"High Value","Standard")))</f>
        <v>High Value</v>
      </c>
      <c r="Q197" s="5" t="str">
        <f>IF(Transactions_RAW_cleaned[[#This Row],[Amount]] &gt; (_xlfn.XLOOKUP(Transactions_RAW_cleaned[[#This Row],[ServiceID]],Services_cleaned[ServiceID],Services_cleaned[TransactionFeePct]) * 10000), "Yes", "No")</f>
        <v>Yes</v>
      </c>
      <c r="R197" s="5" t="str">
        <f>IF(COUNTIFS($C$2:Transactions_RAW_cleaned[[#This Row],[CustomerID]],Transactions_RAW_cleaned[[#This Row],[CustomerID]],$D$2:Transactions_RAW_cleaned[[#This Row],[ServiceID]],Transactions_RAW_cleaned[[#This Row],[ServiceID]])=1,"Yes","No")</f>
        <v>Yes</v>
      </c>
      <c r="S19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7" t="str">
        <f>"Q"&amp;ROUNDUP(MONTH(Transactions_RAW_cleaned[[#This Row],[TransactionDate]])/3,0)</f>
        <v>Q4</v>
      </c>
      <c r="U197" t="str">
        <f>Transactions_RAW_cleaned[[#This Row],[Region ]]&amp;Transactions_RAW_cleaned[[#This Row],[Quarter ]]</f>
        <v>NAQ4</v>
      </c>
      <c r="V197" s="5">
        <f>_xlfn.XLOOKUP(Transactions_RAW_cleaned[[#This Row],[RegionQuarterKey]], Quarterly_Targets_cleaned[RegionQuarterKey], Quarterly_Targets_cleaned[TargetRevenue])</f>
        <v>299000</v>
      </c>
    </row>
    <row r="198" spans="1:22" x14ac:dyDescent="0.25">
      <c r="A198" t="s">
        <v>531</v>
      </c>
      <c r="B198" s="1">
        <v>45370</v>
      </c>
      <c r="C198" t="s">
        <v>273</v>
      </c>
      <c r="D198" t="s">
        <v>309</v>
      </c>
      <c r="E198">
        <v>826.3</v>
      </c>
      <c r="F198" t="s">
        <v>324</v>
      </c>
      <c r="G198" t="s">
        <v>327</v>
      </c>
      <c r="I198" t="s">
        <v>17</v>
      </c>
      <c r="J198" t="s">
        <v>102</v>
      </c>
      <c r="K198" t="s">
        <v>22</v>
      </c>
      <c r="L198" t="s">
        <v>310</v>
      </c>
      <c r="M198" t="s">
        <v>311</v>
      </c>
      <c r="N198">
        <v>0</v>
      </c>
      <c r="O198" t="str">
        <f>IF(Transactions_RAW_cleaned[[#This Row],[Status]]="Completed", IFERROR(_xlfn.XLOOKUP(Transactions_RAW_cleaned[[#This Row],[CustomerID]], Customers_cleaned[CustomerID], Customers_cleaned[Segment]), "Customer Not Found"), "N/A")</f>
        <v>Enterprise</v>
      </c>
      <c r="P198" s="5" t="str">
        <f>IF(Transactions_RAW_cleaned[[#This Row],[Status]]="Refunded", "Refund",
  IF(Transactions_RAW_cleaned[[#This Row],[Category]]="Payments", IF(Transactions_RAW_cleaned[[#This Row],[Amount]]&gt;500,"High Value","Standard"),
    IF(Transactions_RAW_cleaned[[#This Row],[Amount]]&gt;250,"High Value","Standard")))</f>
        <v>High Value</v>
      </c>
      <c r="Q198" s="5" t="str">
        <f>IF(Transactions_RAW_cleaned[[#This Row],[Amount]] &gt; (_xlfn.XLOOKUP(Transactions_RAW_cleaned[[#This Row],[ServiceID]],Services_cleaned[ServiceID],Services_cleaned[TransactionFeePct]) * 10000), "Yes", "No")</f>
        <v>Yes</v>
      </c>
      <c r="R198" s="5" t="str">
        <f>IF(COUNTIFS($C$2:Transactions_RAW_cleaned[[#This Row],[CustomerID]],Transactions_RAW_cleaned[[#This Row],[CustomerID]],$D$2:Transactions_RAW_cleaned[[#This Row],[ServiceID]],Transactions_RAW_cleaned[[#This Row],[ServiceID]])=1,"Yes","No")</f>
        <v>Yes</v>
      </c>
      <c r="S19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8" t="str">
        <f>"Q"&amp;ROUNDUP(MONTH(Transactions_RAW_cleaned[[#This Row],[TransactionDate]])/3,0)</f>
        <v>Q1</v>
      </c>
      <c r="U198" t="str">
        <f>Transactions_RAW_cleaned[[#This Row],[Region ]]&amp;Transactions_RAW_cleaned[[#This Row],[Quarter ]]</f>
        <v>NAQ1</v>
      </c>
      <c r="V198" s="5">
        <f>_xlfn.XLOOKUP(Transactions_RAW_cleaned[[#This Row],[RegionQuarterKey]], Quarterly_Targets_cleaned[RegionQuarterKey], Quarterly_Targets_cleaned[TargetRevenue])</f>
        <v>247000</v>
      </c>
    </row>
    <row r="199" spans="1:22" x14ac:dyDescent="0.25">
      <c r="A199" t="s">
        <v>532</v>
      </c>
      <c r="B199" s="1">
        <v>45302</v>
      </c>
      <c r="C199" t="s">
        <v>68</v>
      </c>
      <c r="D199" t="s">
        <v>300</v>
      </c>
      <c r="E199">
        <v>273.39</v>
      </c>
      <c r="F199" t="s">
        <v>331</v>
      </c>
      <c r="G199" t="s">
        <v>327</v>
      </c>
      <c r="H199" t="s">
        <v>334</v>
      </c>
      <c r="I199" t="s">
        <v>57</v>
      </c>
      <c r="J199" t="s">
        <v>13</v>
      </c>
      <c r="K199" t="s">
        <v>10</v>
      </c>
      <c r="L199" t="s">
        <v>301</v>
      </c>
      <c r="M199" t="s">
        <v>302</v>
      </c>
      <c r="N199">
        <v>5.0000000000000001E-3</v>
      </c>
      <c r="O199" t="str">
        <f>IF(Transactions_RAW_cleaned[[#This Row],[Status]]="Completed", IFERROR(_xlfn.XLOOKUP(Transactions_RAW_cleaned[[#This Row],[CustomerID]], Customers_cleaned[CustomerID], Customers_cleaned[Segment]), "Customer Not Found"), "N/A")</f>
        <v>N/A</v>
      </c>
      <c r="P199" s="5" t="str">
        <f>IF(Transactions_RAW_cleaned[[#This Row],[Status]]="Refunded", "Refund",
  IF(Transactions_RAW_cleaned[[#This Row],[Category]]="Payments", IF(Transactions_RAW_cleaned[[#This Row],[Amount]]&gt;500,"High Value","Standard"),
    IF(Transactions_RAW_cleaned[[#This Row],[Amount]]&gt;250,"High Value","Standard")))</f>
        <v>High Value</v>
      </c>
      <c r="Q199" s="5" t="str">
        <f>IF(Transactions_RAW_cleaned[[#This Row],[Amount]] &gt; (_xlfn.XLOOKUP(Transactions_RAW_cleaned[[#This Row],[ServiceID]],Services_cleaned[ServiceID],Services_cleaned[TransactionFeePct]) * 10000), "Yes", "No")</f>
        <v>Yes</v>
      </c>
      <c r="R199" s="5" t="str">
        <f>IF(COUNTIFS($C$2:Transactions_RAW_cleaned[[#This Row],[CustomerID]],Transactions_RAW_cleaned[[#This Row],[CustomerID]],$D$2:Transactions_RAW_cleaned[[#This Row],[ServiceID]],Transactions_RAW_cleaned[[#This Row],[ServiceID]])=1,"Yes","No")</f>
        <v>Yes</v>
      </c>
      <c r="S19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9" t="str">
        <f>"Q"&amp;ROUNDUP(MONTH(Transactions_RAW_cleaned[[#This Row],[TransactionDate]])/3,0)</f>
        <v>Q1</v>
      </c>
      <c r="U199" t="str">
        <f>Transactions_RAW_cleaned[[#This Row],[Region ]]&amp;Transactions_RAW_cleaned[[#This Row],[Quarter ]]</f>
        <v>NAQ1</v>
      </c>
      <c r="V199" s="5">
        <f>_xlfn.XLOOKUP(Transactions_RAW_cleaned[[#This Row],[RegionQuarterKey]], Quarterly_Targets_cleaned[RegionQuarterKey], Quarterly_Targets_cleaned[TargetRevenue])</f>
        <v>247000</v>
      </c>
    </row>
    <row r="200" spans="1:22" x14ac:dyDescent="0.25">
      <c r="A200" t="s">
        <v>533</v>
      </c>
      <c r="B200" s="1">
        <v>45635</v>
      </c>
      <c r="C200" t="s">
        <v>241</v>
      </c>
      <c r="D200" t="s">
        <v>306</v>
      </c>
      <c r="E200">
        <v>671.25</v>
      </c>
      <c r="F200" t="s">
        <v>324</v>
      </c>
      <c r="G200" t="s">
        <v>337</v>
      </c>
      <c r="H200" t="s">
        <v>334</v>
      </c>
      <c r="I200" t="s">
        <v>8</v>
      </c>
      <c r="J200" t="s">
        <v>102</v>
      </c>
      <c r="K200" t="s">
        <v>32</v>
      </c>
      <c r="L200" t="s">
        <v>307</v>
      </c>
      <c r="M200" t="s">
        <v>308</v>
      </c>
      <c r="N200">
        <v>0</v>
      </c>
      <c r="O200" t="str">
        <f>IF(Transactions_RAW_cleaned[[#This Row],[Status]]="Completed", IFERROR(_xlfn.XLOOKUP(Transactions_RAW_cleaned[[#This Row],[CustomerID]], Customers_cleaned[CustomerID], Customers_cleaned[Segment]), "Customer Not Found"), "N/A")</f>
        <v>SMB</v>
      </c>
      <c r="P200" s="5" t="str">
        <f>IF(Transactions_RAW_cleaned[[#This Row],[Status]]="Refunded", "Refund",
  IF(Transactions_RAW_cleaned[[#This Row],[Category]]="Payments", IF(Transactions_RAW_cleaned[[#This Row],[Amount]]&gt;500,"High Value","Standard"),
    IF(Transactions_RAW_cleaned[[#This Row],[Amount]]&gt;250,"High Value","Standard")))</f>
        <v>High Value</v>
      </c>
      <c r="Q200" s="5" t="str">
        <f>IF(Transactions_RAW_cleaned[[#This Row],[Amount]] &gt; (_xlfn.XLOOKUP(Transactions_RAW_cleaned[[#This Row],[ServiceID]],Services_cleaned[ServiceID],Services_cleaned[TransactionFeePct]) * 10000), "Yes", "No")</f>
        <v>Yes</v>
      </c>
      <c r="R200" s="5" t="str">
        <f>IF(COUNTIFS($C$2:Transactions_RAW_cleaned[[#This Row],[CustomerID]],Transactions_RAW_cleaned[[#This Row],[CustomerID]],$D$2:Transactions_RAW_cleaned[[#This Row],[ServiceID]],Transactions_RAW_cleaned[[#This Row],[ServiceID]])=1,"Yes","No")</f>
        <v>Yes</v>
      </c>
      <c r="S20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0" t="str">
        <f>"Q"&amp;ROUNDUP(MONTH(Transactions_RAW_cleaned[[#This Row],[TransactionDate]])/3,0)</f>
        <v>Q4</v>
      </c>
      <c r="U200" t="str">
        <f>Transactions_RAW_cleaned[[#This Row],[Region ]]&amp;Transactions_RAW_cleaned[[#This Row],[Quarter ]]</f>
        <v>NAQ4</v>
      </c>
      <c r="V200" s="5">
        <f>_xlfn.XLOOKUP(Transactions_RAW_cleaned[[#This Row],[RegionQuarterKey]], Quarterly_Targets_cleaned[RegionQuarterKey], Quarterly_Targets_cleaned[TargetRevenue])</f>
        <v>299000</v>
      </c>
    </row>
    <row r="201" spans="1:22" x14ac:dyDescent="0.25">
      <c r="A201" t="s">
        <v>534</v>
      </c>
      <c r="B201" s="1">
        <v>45556</v>
      </c>
      <c r="C201" t="s">
        <v>64</v>
      </c>
      <c r="D201" t="s">
        <v>300</v>
      </c>
      <c r="E201">
        <v>307.45</v>
      </c>
      <c r="F201" t="s">
        <v>324</v>
      </c>
      <c r="G201" t="s">
        <v>337</v>
      </c>
      <c r="I201" t="s">
        <v>8</v>
      </c>
      <c r="J201" t="s">
        <v>37</v>
      </c>
      <c r="K201" t="s">
        <v>28</v>
      </c>
      <c r="L201" t="s">
        <v>301</v>
      </c>
      <c r="M201" t="s">
        <v>302</v>
      </c>
      <c r="N201">
        <v>5.0000000000000001E-3</v>
      </c>
      <c r="O201" t="str">
        <f>IF(Transactions_RAW_cleaned[[#This Row],[Status]]="Completed", IFERROR(_xlfn.XLOOKUP(Transactions_RAW_cleaned[[#This Row],[CustomerID]], Customers_cleaned[CustomerID], Customers_cleaned[Segment]), "Customer Not Found"), "N/A")</f>
        <v>SMB</v>
      </c>
      <c r="P201" s="5" t="str">
        <f>IF(Transactions_RAW_cleaned[[#This Row],[Status]]="Refunded", "Refund",
  IF(Transactions_RAW_cleaned[[#This Row],[Category]]="Payments", IF(Transactions_RAW_cleaned[[#This Row],[Amount]]&gt;500,"High Value","Standard"),
    IF(Transactions_RAW_cleaned[[#This Row],[Amount]]&gt;250,"High Value","Standard")))</f>
        <v>High Value</v>
      </c>
      <c r="Q201" s="5" t="str">
        <f>IF(Transactions_RAW_cleaned[[#This Row],[Amount]] &gt; (_xlfn.XLOOKUP(Transactions_RAW_cleaned[[#This Row],[ServiceID]],Services_cleaned[ServiceID],Services_cleaned[TransactionFeePct]) * 10000), "Yes", "No")</f>
        <v>Yes</v>
      </c>
      <c r="R201" s="5" t="str">
        <f>IF(COUNTIFS($C$2:Transactions_RAW_cleaned[[#This Row],[CustomerID]],Transactions_RAW_cleaned[[#This Row],[CustomerID]],$D$2:Transactions_RAW_cleaned[[#This Row],[ServiceID]],Transactions_RAW_cleaned[[#This Row],[ServiceID]])=1,"Yes","No")</f>
        <v>Yes</v>
      </c>
      <c r="S20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01" t="str">
        <f>"Q"&amp;ROUNDUP(MONTH(Transactions_RAW_cleaned[[#This Row],[TransactionDate]])/3,0)</f>
        <v>Q3</v>
      </c>
      <c r="U201" t="str">
        <f>Transactions_RAW_cleaned[[#This Row],[Region ]]&amp;Transactions_RAW_cleaned[[#This Row],[Quarter ]]</f>
        <v>EMEAQ3</v>
      </c>
      <c r="V201" s="5">
        <f>_xlfn.XLOOKUP(Transactions_RAW_cleaned[[#This Row],[RegionQuarterKey]], Quarterly_Targets_cleaned[RegionQuarterKey], Quarterly_Targets_cleaned[TargetRevenue])</f>
        <v>147000</v>
      </c>
    </row>
    <row r="202" spans="1:22" x14ac:dyDescent="0.25">
      <c r="A202" t="s">
        <v>535</v>
      </c>
      <c r="B202" s="1">
        <v>45474</v>
      </c>
      <c r="C202" t="s">
        <v>80</v>
      </c>
      <c r="D202" t="s">
        <v>300</v>
      </c>
      <c r="E202">
        <v>319.39999999999998</v>
      </c>
      <c r="F202" t="s">
        <v>324</v>
      </c>
      <c r="G202" t="s">
        <v>325</v>
      </c>
      <c r="H202" t="s">
        <v>346</v>
      </c>
      <c r="I202" t="s">
        <v>8</v>
      </c>
      <c r="J202" t="s">
        <v>13</v>
      </c>
      <c r="K202" t="s">
        <v>32</v>
      </c>
      <c r="L202" t="s">
        <v>301</v>
      </c>
      <c r="M202" t="s">
        <v>302</v>
      </c>
      <c r="N202">
        <v>5.0000000000000001E-3</v>
      </c>
      <c r="O202" t="str">
        <f>IF(Transactions_RAW_cleaned[[#This Row],[Status]]="Completed", IFERROR(_xlfn.XLOOKUP(Transactions_RAW_cleaned[[#This Row],[CustomerID]], Customers_cleaned[CustomerID], Customers_cleaned[Segment]), "Customer Not Found"), "N/A")</f>
        <v>SMB</v>
      </c>
      <c r="P202" s="5" t="str">
        <f>IF(Transactions_RAW_cleaned[[#This Row],[Status]]="Refunded", "Refund",
  IF(Transactions_RAW_cleaned[[#This Row],[Category]]="Payments", IF(Transactions_RAW_cleaned[[#This Row],[Amount]]&gt;500,"High Value","Standard"),
    IF(Transactions_RAW_cleaned[[#This Row],[Amount]]&gt;250,"High Value","Standard")))</f>
        <v>High Value</v>
      </c>
      <c r="Q202" s="5" t="str">
        <f>IF(Transactions_RAW_cleaned[[#This Row],[Amount]] &gt; (_xlfn.XLOOKUP(Transactions_RAW_cleaned[[#This Row],[ServiceID]],Services_cleaned[ServiceID],Services_cleaned[TransactionFeePct]) * 10000), "Yes", "No")</f>
        <v>Yes</v>
      </c>
      <c r="R202" s="5" t="str">
        <f>IF(COUNTIFS($C$2:Transactions_RAW_cleaned[[#This Row],[CustomerID]],Transactions_RAW_cleaned[[#This Row],[CustomerID]],$D$2:Transactions_RAW_cleaned[[#This Row],[ServiceID]],Transactions_RAW_cleaned[[#This Row],[ServiceID]])=1,"Yes","No")</f>
        <v>Yes</v>
      </c>
      <c r="S20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2" t="str">
        <f>"Q"&amp;ROUNDUP(MONTH(Transactions_RAW_cleaned[[#This Row],[TransactionDate]])/3,0)</f>
        <v>Q3</v>
      </c>
      <c r="U202" t="str">
        <f>Transactions_RAW_cleaned[[#This Row],[Region ]]&amp;Transactions_RAW_cleaned[[#This Row],[Quarter ]]</f>
        <v>NAQ3</v>
      </c>
      <c r="V202" s="5">
        <f>_xlfn.XLOOKUP(Transactions_RAW_cleaned[[#This Row],[RegionQuarterKey]], Quarterly_Targets_cleaned[RegionQuarterKey], Quarterly_Targets_cleaned[TargetRevenue])</f>
        <v>273000</v>
      </c>
    </row>
    <row r="203" spans="1:22" x14ac:dyDescent="0.25">
      <c r="A203" t="s">
        <v>536</v>
      </c>
      <c r="B203" s="1">
        <v>45358</v>
      </c>
      <c r="C203" t="s">
        <v>277</v>
      </c>
      <c r="D203" t="s">
        <v>294</v>
      </c>
      <c r="E203">
        <v>308.07</v>
      </c>
      <c r="F203" t="s">
        <v>324</v>
      </c>
      <c r="G203" t="s">
        <v>2963</v>
      </c>
      <c r="H203" t="s">
        <v>332</v>
      </c>
      <c r="I203" t="s">
        <v>8</v>
      </c>
      <c r="J203" t="s">
        <v>31</v>
      </c>
      <c r="K203" t="s">
        <v>22</v>
      </c>
      <c r="L203" t="s">
        <v>295</v>
      </c>
      <c r="M203" t="s">
        <v>296</v>
      </c>
      <c r="N203">
        <v>2.9000000000000001E-2</v>
      </c>
      <c r="O203" t="str">
        <f>IF(Transactions_RAW_cleaned[[#This Row],[Status]]="Completed", IFERROR(_xlfn.XLOOKUP(Transactions_RAW_cleaned[[#This Row],[CustomerID]], Customers_cleaned[CustomerID], Customers_cleaned[Segment]), "Customer Not Found"), "N/A")</f>
        <v>SMB</v>
      </c>
      <c r="P203" s="5" t="str">
        <f>IF(Transactions_RAW_cleaned[[#This Row],[Status]]="Refunded", "Refund",
  IF(Transactions_RAW_cleaned[[#This Row],[Category]]="Payments", IF(Transactions_RAW_cleaned[[#This Row],[Amount]]&gt;500,"High Value","Standard"),
    IF(Transactions_RAW_cleaned[[#This Row],[Amount]]&gt;250,"High Value","Standard")))</f>
        <v>Standard</v>
      </c>
      <c r="Q203" s="5" t="str">
        <f>IF(Transactions_RAW_cleaned[[#This Row],[Amount]] &gt; (_xlfn.XLOOKUP(Transactions_RAW_cleaned[[#This Row],[ServiceID]],Services_cleaned[ServiceID],Services_cleaned[TransactionFeePct]) * 10000), "Yes", "No")</f>
        <v>Yes</v>
      </c>
      <c r="R203" s="5" t="str">
        <f>IF(COUNTIFS($C$2:Transactions_RAW_cleaned[[#This Row],[CustomerID]],Transactions_RAW_cleaned[[#This Row],[CustomerID]],$D$2:Transactions_RAW_cleaned[[#This Row],[ServiceID]],Transactions_RAW_cleaned[[#This Row],[ServiceID]])=1,"Yes","No")</f>
        <v>No</v>
      </c>
      <c r="S20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03" t="str">
        <f>"Q"&amp;ROUNDUP(MONTH(Transactions_RAW_cleaned[[#This Row],[TransactionDate]])/3,0)</f>
        <v>Q1</v>
      </c>
      <c r="U203" t="str">
        <f>Transactions_RAW_cleaned[[#This Row],[Region ]]&amp;Transactions_RAW_cleaned[[#This Row],[Quarter ]]</f>
        <v>EMEAQ1</v>
      </c>
      <c r="V203" s="5">
        <f>_xlfn.XLOOKUP(Transactions_RAW_cleaned[[#This Row],[RegionQuarterKey]], Quarterly_Targets_cleaned[RegionQuarterKey], Quarterly_Targets_cleaned[TargetRevenue])</f>
        <v>133000</v>
      </c>
    </row>
    <row r="204" spans="1:22" x14ac:dyDescent="0.25">
      <c r="A204" t="s">
        <v>537</v>
      </c>
      <c r="B204" s="1">
        <v>45319</v>
      </c>
      <c r="C204" t="s">
        <v>88</v>
      </c>
      <c r="D204" t="s">
        <v>294</v>
      </c>
      <c r="E204">
        <v>723.4</v>
      </c>
      <c r="F204" t="s">
        <v>381</v>
      </c>
      <c r="G204" t="s">
        <v>325</v>
      </c>
      <c r="I204" t="s">
        <v>8</v>
      </c>
      <c r="J204" t="s">
        <v>102</v>
      </c>
      <c r="K204" t="s">
        <v>18</v>
      </c>
      <c r="L204" t="s">
        <v>295</v>
      </c>
      <c r="M204" t="s">
        <v>296</v>
      </c>
      <c r="N204">
        <v>2.9000000000000001E-2</v>
      </c>
      <c r="O204" t="str">
        <f>IF(Transactions_RAW_cleaned[[#This Row],[Status]]="Completed", IFERROR(_xlfn.XLOOKUP(Transactions_RAW_cleaned[[#This Row],[CustomerID]], Customers_cleaned[CustomerID], Customers_cleaned[Segment]), "Customer Not Found"), "N/A")</f>
        <v>N/A</v>
      </c>
      <c r="P204" s="5" t="str">
        <f>IF(Transactions_RAW_cleaned[[#This Row],[Status]]="Refunded", "Refund",
  IF(Transactions_RAW_cleaned[[#This Row],[Category]]="Payments", IF(Transactions_RAW_cleaned[[#This Row],[Amount]]&gt;500,"High Value","Standard"),
    IF(Transactions_RAW_cleaned[[#This Row],[Amount]]&gt;250,"High Value","Standard")))</f>
        <v>High Value</v>
      </c>
      <c r="Q204" s="5" t="str">
        <f>IF(Transactions_RAW_cleaned[[#This Row],[Amount]] &gt; (_xlfn.XLOOKUP(Transactions_RAW_cleaned[[#This Row],[ServiceID]],Services_cleaned[ServiceID],Services_cleaned[TransactionFeePct]) * 10000), "Yes", "No")</f>
        <v>Yes</v>
      </c>
      <c r="R204" s="5" t="str">
        <f>IF(COUNTIFS($C$2:Transactions_RAW_cleaned[[#This Row],[CustomerID]],Transactions_RAW_cleaned[[#This Row],[CustomerID]],$D$2:Transactions_RAW_cleaned[[#This Row],[ServiceID]],Transactions_RAW_cleaned[[#This Row],[ServiceID]])=1,"Yes","No")</f>
        <v>Yes</v>
      </c>
      <c r="S20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4" t="str">
        <f>"Q"&amp;ROUNDUP(MONTH(Transactions_RAW_cleaned[[#This Row],[TransactionDate]])/3,0)</f>
        <v>Q1</v>
      </c>
      <c r="U204" t="str">
        <f>Transactions_RAW_cleaned[[#This Row],[Region ]]&amp;Transactions_RAW_cleaned[[#This Row],[Quarter ]]</f>
        <v>NAQ1</v>
      </c>
      <c r="V204" s="5">
        <f>_xlfn.XLOOKUP(Transactions_RAW_cleaned[[#This Row],[RegionQuarterKey]], Quarterly_Targets_cleaned[RegionQuarterKey], Quarterly_Targets_cleaned[TargetRevenue])</f>
        <v>247000</v>
      </c>
    </row>
    <row r="205" spans="1:22" x14ac:dyDescent="0.25">
      <c r="A205" t="s">
        <v>538</v>
      </c>
      <c r="B205" s="1">
        <v>45410</v>
      </c>
      <c r="C205" t="s">
        <v>68</v>
      </c>
      <c r="D205" t="s">
        <v>294</v>
      </c>
      <c r="E205">
        <v>676.39</v>
      </c>
      <c r="F205" t="s">
        <v>324</v>
      </c>
      <c r="G205" t="s">
        <v>327</v>
      </c>
      <c r="I205" t="s">
        <v>57</v>
      </c>
      <c r="J205" t="s">
        <v>13</v>
      </c>
      <c r="K205" t="s">
        <v>10</v>
      </c>
      <c r="L205" t="s">
        <v>295</v>
      </c>
      <c r="M205" t="s">
        <v>296</v>
      </c>
      <c r="N205">
        <v>2.9000000000000001E-2</v>
      </c>
      <c r="O205" t="str">
        <f>IF(Transactions_RAW_cleaned[[#This Row],[Status]]="Completed", IFERROR(_xlfn.XLOOKUP(Transactions_RAW_cleaned[[#This Row],[CustomerID]], Customers_cleaned[CustomerID], Customers_cleaned[Segment]), "Customer Not Found"), "N/A")</f>
        <v>Startup</v>
      </c>
      <c r="P205" s="5" t="str">
        <f>IF(Transactions_RAW_cleaned[[#This Row],[Status]]="Refunded", "Refund",
  IF(Transactions_RAW_cleaned[[#This Row],[Category]]="Payments", IF(Transactions_RAW_cleaned[[#This Row],[Amount]]&gt;500,"High Value","Standard"),
    IF(Transactions_RAW_cleaned[[#This Row],[Amount]]&gt;250,"High Value","Standard")))</f>
        <v>High Value</v>
      </c>
      <c r="Q205" s="5" t="str">
        <f>IF(Transactions_RAW_cleaned[[#This Row],[Amount]] &gt; (_xlfn.XLOOKUP(Transactions_RAW_cleaned[[#This Row],[ServiceID]],Services_cleaned[ServiceID],Services_cleaned[TransactionFeePct]) * 10000), "Yes", "No")</f>
        <v>Yes</v>
      </c>
      <c r="R205" s="5" t="str">
        <f>IF(COUNTIFS($C$2:Transactions_RAW_cleaned[[#This Row],[CustomerID]],Transactions_RAW_cleaned[[#This Row],[CustomerID]],$D$2:Transactions_RAW_cleaned[[#This Row],[ServiceID]],Transactions_RAW_cleaned[[#This Row],[ServiceID]])=1,"Yes","No")</f>
        <v>Yes</v>
      </c>
      <c r="S20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5" t="str">
        <f>"Q"&amp;ROUNDUP(MONTH(Transactions_RAW_cleaned[[#This Row],[TransactionDate]])/3,0)</f>
        <v>Q2</v>
      </c>
      <c r="U205" t="str">
        <f>Transactions_RAW_cleaned[[#This Row],[Region ]]&amp;Transactions_RAW_cleaned[[#This Row],[Quarter ]]</f>
        <v>NAQ2</v>
      </c>
      <c r="V205" s="5">
        <f>_xlfn.XLOOKUP(Transactions_RAW_cleaned[[#This Row],[RegionQuarterKey]], Quarterly_Targets_cleaned[RegionQuarterKey], Quarterly_Targets_cleaned[TargetRevenue])</f>
        <v>260000</v>
      </c>
    </row>
    <row r="206" spans="1:22" x14ac:dyDescent="0.25">
      <c r="A206" t="s">
        <v>539</v>
      </c>
      <c r="B206" s="1">
        <v>45380</v>
      </c>
      <c r="C206" t="s">
        <v>151</v>
      </c>
      <c r="D206" t="s">
        <v>303</v>
      </c>
      <c r="E206">
        <v>218.16</v>
      </c>
      <c r="F206" t="s">
        <v>324</v>
      </c>
      <c r="G206" t="s">
        <v>329</v>
      </c>
      <c r="I206" t="s">
        <v>8</v>
      </c>
      <c r="J206" t="s">
        <v>46</v>
      </c>
      <c r="K206" t="s">
        <v>18</v>
      </c>
      <c r="L206" t="s">
        <v>304</v>
      </c>
      <c r="M206" t="s">
        <v>305</v>
      </c>
      <c r="N206">
        <v>1E-3</v>
      </c>
      <c r="O206" t="str">
        <f>IF(Transactions_RAW_cleaned[[#This Row],[Status]]="Completed", IFERROR(_xlfn.XLOOKUP(Transactions_RAW_cleaned[[#This Row],[CustomerID]], Customers_cleaned[CustomerID], Customers_cleaned[Segment]), "Customer Not Found"), "N/A")</f>
        <v>SMB</v>
      </c>
      <c r="P206" s="5" t="str">
        <f>IF(Transactions_RAW_cleaned[[#This Row],[Status]]="Refunded", "Refund",
  IF(Transactions_RAW_cleaned[[#This Row],[Category]]="Payments", IF(Transactions_RAW_cleaned[[#This Row],[Amount]]&gt;500,"High Value","Standard"),
    IF(Transactions_RAW_cleaned[[#This Row],[Amount]]&gt;250,"High Value","Standard")))</f>
        <v>Standard</v>
      </c>
      <c r="Q206" s="5" t="str">
        <f>IF(Transactions_RAW_cleaned[[#This Row],[Amount]] &gt; (_xlfn.XLOOKUP(Transactions_RAW_cleaned[[#This Row],[ServiceID]],Services_cleaned[ServiceID],Services_cleaned[TransactionFeePct]) * 10000), "Yes", "No")</f>
        <v>Yes</v>
      </c>
      <c r="R206" s="5" t="str">
        <f>IF(COUNTIFS($C$2:Transactions_RAW_cleaned[[#This Row],[CustomerID]],Transactions_RAW_cleaned[[#This Row],[CustomerID]],$D$2:Transactions_RAW_cleaned[[#This Row],[ServiceID]],Transactions_RAW_cleaned[[#This Row],[ServiceID]])=1,"Yes","No")</f>
        <v>Yes</v>
      </c>
      <c r="S20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6" t="str">
        <f>"Q"&amp;ROUNDUP(MONTH(Transactions_RAW_cleaned[[#This Row],[TransactionDate]])/3,0)</f>
        <v>Q1</v>
      </c>
      <c r="U206" t="str">
        <f>Transactions_RAW_cleaned[[#This Row],[Region ]]&amp;Transactions_RAW_cleaned[[#This Row],[Quarter ]]</f>
        <v>APACQ1</v>
      </c>
      <c r="V206" s="5">
        <f>_xlfn.XLOOKUP(Transactions_RAW_cleaned[[#This Row],[RegionQuarterKey]], Quarterly_Targets_cleaned[RegionQuarterKey], Quarterly_Targets_cleaned[TargetRevenue])</f>
        <v>104500</v>
      </c>
    </row>
    <row r="207" spans="1:22" x14ac:dyDescent="0.25">
      <c r="A207" t="s">
        <v>540</v>
      </c>
      <c r="B207" s="1">
        <v>45419</v>
      </c>
      <c r="C207" t="s">
        <v>199</v>
      </c>
      <c r="D207" t="s">
        <v>297</v>
      </c>
      <c r="E207">
        <v>260.17</v>
      </c>
      <c r="F207" t="s">
        <v>324</v>
      </c>
      <c r="G207" t="s">
        <v>327</v>
      </c>
      <c r="H207" t="s">
        <v>346</v>
      </c>
      <c r="I207" t="s">
        <v>8</v>
      </c>
      <c r="J207" t="s">
        <v>13</v>
      </c>
      <c r="K207" t="s">
        <v>32</v>
      </c>
      <c r="L207" t="s">
        <v>298</v>
      </c>
      <c r="M207" t="s">
        <v>299</v>
      </c>
      <c r="N207">
        <v>0</v>
      </c>
      <c r="O207" t="str">
        <f>IF(Transactions_RAW_cleaned[[#This Row],[Status]]="Completed", IFERROR(_xlfn.XLOOKUP(Transactions_RAW_cleaned[[#This Row],[CustomerID]], Customers_cleaned[CustomerID], Customers_cleaned[Segment]), "Customer Not Found"), "N/A")</f>
        <v>SMB</v>
      </c>
      <c r="P207" s="5" t="str">
        <f>IF(Transactions_RAW_cleaned[[#This Row],[Status]]="Refunded", "Refund",
  IF(Transactions_RAW_cleaned[[#This Row],[Category]]="Payments", IF(Transactions_RAW_cleaned[[#This Row],[Amount]]&gt;500,"High Value","Standard"),
    IF(Transactions_RAW_cleaned[[#This Row],[Amount]]&gt;250,"High Value","Standard")))</f>
        <v>High Value</v>
      </c>
      <c r="Q207" s="5" t="str">
        <f>IF(Transactions_RAW_cleaned[[#This Row],[Amount]] &gt; (_xlfn.XLOOKUP(Transactions_RAW_cleaned[[#This Row],[ServiceID]],Services_cleaned[ServiceID],Services_cleaned[TransactionFeePct]) * 10000), "Yes", "No")</f>
        <v>Yes</v>
      </c>
      <c r="R207" s="5" t="str">
        <f>IF(COUNTIFS($C$2:Transactions_RAW_cleaned[[#This Row],[CustomerID]],Transactions_RAW_cleaned[[#This Row],[CustomerID]],$D$2:Transactions_RAW_cleaned[[#This Row],[ServiceID]],Transactions_RAW_cleaned[[#This Row],[ServiceID]])=1,"Yes","No")</f>
        <v>No</v>
      </c>
      <c r="S20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7" t="str">
        <f>"Q"&amp;ROUNDUP(MONTH(Transactions_RAW_cleaned[[#This Row],[TransactionDate]])/3,0)</f>
        <v>Q2</v>
      </c>
      <c r="U207" t="str">
        <f>Transactions_RAW_cleaned[[#This Row],[Region ]]&amp;Transactions_RAW_cleaned[[#This Row],[Quarter ]]</f>
        <v>NAQ2</v>
      </c>
      <c r="V207" s="5">
        <f>_xlfn.XLOOKUP(Transactions_RAW_cleaned[[#This Row],[RegionQuarterKey]], Quarterly_Targets_cleaned[RegionQuarterKey], Quarterly_Targets_cleaned[TargetRevenue])</f>
        <v>260000</v>
      </c>
    </row>
    <row r="208" spans="1:22" x14ac:dyDescent="0.25">
      <c r="A208" t="s">
        <v>541</v>
      </c>
      <c r="B208" s="1">
        <v>45417</v>
      </c>
      <c r="C208" t="s">
        <v>231</v>
      </c>
      <c r="D208" t="s">
        <v>315</v>
      </c>
      <c r="E208">
        <v>-700.31</v>
      </c>
      <c r="F208" t="s">
        <v>349</v>
      </c>
      <c r="G208" t="s">
        <v>337</v>
      </c>
      <c r="I208" t="s">
        <v>17</v>
      </c>
      <c r="J208" t="s">
        <v>102</v>
      </c>
      <c r="K208" t="s">
        <v>22</v>
      </c>
      <c r="L208" t="s">
        <v>316</v>
      </c>
      <c r="M208" t="s">
        <v>305</v>
      </c>
      <c r="N208">
        <v>2.5000000000000001E-3</v>
      </c>
      <c r="O208" t="str">
        <f>IF(Transactions_RAW_cleaned[[#This Row],[Status]]="Completed", IFERROR(_xlfn.XLOOKUP(Transactions_RAW_cleaned[[#This Row],[CustomerID]], Customers_cleaned[CustomerID], Customers_cleaned[Segment]), "Customer Not Found"), "N/A")</f>
        <v>N/A</v>
      </c>
      <c r="P208" s="5" t="str">
        <f>IF(Transactions_RAW_cleaned[[#This Row],[Status]]="Refunded", "Refund",
  IF(Transactions_RAW_cleaned[[#This Row],[Category]]="Payments", IF(Transactions_RAW_cleaned[[#This Row],[Amount]]&gt;500,"High Value","Standard"),
    IF(Transactions_RAW_cleaned[[#This Row],[Amount]]&gt;250,"High Value","Standard")))</f>
        <v>Refund</v>
      </c>
      <c r="Q208" s="5" t="str">
        <f>IF(Transactions_RAW_cleaned[[#This Row],[Amount]] &gt; (_xlfn.XLOOKUP(Transactions_RAW_cleaned[[#This Row],[ServiceID]],Services_cleaned[ServiceID],Services_cleaned[TransactionFeePct]) * 10000), "Yes", "No")</f>
        <v>No</v>
      </c>
      <c r="R208" s="5" t="str">
        <f>IF(COUNTIFS($C$2:Transactions_RAW_cleaned[[#This Row],[CustomerID]],Transactions_RAW_cleaned[[#This Row],[CustomerID]],$D$2:Transactions_RAW_cleaned[[#This Row],[ServiceID]],Transactions_RAW_cleaned[[#This Row],[ServiceID]])=1,"Yes","No")</f>
        <v>No</v>
      </c>
      <c r="S20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8" t="str">
        <f>"Q"&amp;ROUNDUP(MONTH(Transactions_RAW_cleaned[[#This Row],[TransactionDate]])/3,0)</f>
        <v>Q2</v>
      </c>
      <c r="U208" t="str">
        <f>Transactions_RAW_cleaned[[#This Row],[Region ]]&amp;Transactions_RAW_cleaned[[#This Row],[Quarter ]]</f>
        <v>NAQ2</v>
      </c>
      <c r="V208" s="5">
        <f>_xlfn.XLOOKUP(Transactions_RAW_cleaned[[#This Row],[RegionQuarterKey]], Quarterly_Targets_cleaned[RegionQuarterKey], Quarterly_Targets_cleaned[TargetRevenue])</f>
        <v>260000</v>
      </c>
    </row>
    <row r="209" spans="1:22" x14ac:dyDescent="0.25">
      <c r="A209" t="s">
        <v>542</v>
      </c>
      <c r="B209" s="1">
        <v>45406</v>
      </c>
      <c r="C209" t="s">
        <v>233</v>
      </c>
      <c r="D209" t="s">
        <v>294</v>
      </c>
      <c r="E209">
        <v>598.59</v>
      </c>
      <c r="F209" t="s">
        <v>324</v>
      </c>
      <c r="G209" t="s">
        <v>2963</v>
      </c>
      <c r="H209" t="s">
        <v>334</v>
      </c>
      <c r="I209" t="s">
        <v>8</v>
      </c>
      <c r="J209" t="s">
        <v>13</v>
      </c>
      <c r="K209" t="s">
        <v>14</v>
      </c>
      <c r="L209" t="s">
        <v>295</v>
      </c>
      <c r="M209" t="s">
        <v>296</v>
      </c>
      <c r="N209">
        <v>2.9000000000000001E-2</v>
      </c>
      <c r="O209" t="str">
        <f>IF(Transactions_RAW_cleaned[[#This Row],[Status]]="Completed", IFERROR(_xlfn.XLOOKUP(Transactions_RAW_cleaned[[#This Row],[CustomerID]], Customers_cleaned[CustomerID], Customers_cleaned[Segment]), "Customer Not Found"), "N/A")</f>
        <v>SMB</v>
      </c>
      <c r="P209" s="5" t="str">
        <f>IF(Transactions_RAW_cleaned[[#This Row],[Status]]="Refunded", "Refund",
  IF(Transactions_RAW_cleaned[[#This Row],[Category]]="Payments", IF(Transactions_RAW_cleaned[[#This Row],[Amount]]&gt;500,"High Value","Standard"),
    IF(Transactions_RAW_cleaned[[#This Row],[Amount]]&gt;250,"High Value","Standard")))</f>
        <v>High Value</v>
      </c>
      <c r="Q209" s="5" t="str">
        <f>IF(Transactions_RAW_cleaned[[#This Row],[Amount]] &gt; (_xlfn.XLOOKUP(Transactions_RAW_cleaned[[#This Row],[ServiceID]],Services_cleaned[ServiceID],Services_cleaned[TransactionFeePct]) * 10000), "Yes", "No")</f>
        <v>Yes</v>
      </c>
      <c r="R209" s="5" t="str">
        <f>IF(COUNTIFS($C$2:Transactions_RAW_cleaned[[#This Row],[CustomerID]],Transactions_RAW_cleaned[[#This Row],[CustomerID]],$D$2:Transactions_RAW_cleaned[[#This Row],[ServiceID]],Transactions_RAW_cleaned[[#This Row],[ServiceID]])=1,"Yes","No")</f>
        <v>Yes</v>
      </c>
      <c r="S20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9" t="str">
        <f>"Q"&amp;ROUNDUP(MONTH(Transactions_RAW_cleaned[[#This Row],[TransactionDate]])/3,0)</f>
        <v>Q2</v>
      </c>
      <c r="U209" t="str">
        <f>Transactions_RAW_cleaned[[#This Row],[Region ]]&amp;Transactions_RAW_cleaned[[#This Row],[Quarter ]]</f>
        <v>NAQ2</v>
      </c>
      <c r="V209" s="5">
        <f>_xlfn.XLOOKUP(Transactions_RAW_cleaned[[#This Row],[RegionQuarterKey]], Quarterly_Targets_cleaned[RegionQuarterKey], Quarterly_Targets_cleaned[TargetRevenue])</f>
        <v>260000</v>
      </c>
    </row>
    <row r="210" spans="1:22" x14ac:dyDescent="0.25">
      <c r="A210" t="s">
        <v>543</v>
      </c>
      <c r="B210" s="1">
        <v>45464</v>
      </c>
      <c r="C210" t="s">
        <v>247</v>
      </c>
      <c r="D210" t="s">
        <v>294</v>
      </c>
      <c r="E210">
        <v>723.26</v>
      </c>
      <c r="F210" t="s">
        <v>331</v>
      </c>
      <c r="G210" t="s">
        <v>327</v>
      </c>
      <c r="I210" t="s">
        <v>17</v>
      </c>
      <c r="J210" t="s">
        <v>13</v>
      </c>
      <c r="K210" t="s">
        <v>28</v>
      </c>
      <c r="L210" t="s">
        <v>295</v>
      </c>
      <c r="M210" t="s">
        <v>296</v>
      </c>
      <c r="N210">
        <v>2.9000000000000001E-2</v>
      </c>
      <c r="O210" t="str">
        <f>IF(Transactions_RAW_cleaned[[#This Row],[Status]]="Completed", IFERROR(_xlfn.XLOOKUP(Transactions_RAW_cleaned[[#This Row],[CustomerID]], Customers_cleaned[CustomerID], Customers_cleaned[Segment]), "Customer Not Found"), "N/A")</f>
        <v>N/A</v>
      </c>
      <c r="P210" s="5" t="str">
        <f>IF(Transactions_RAW_cleaned[[#This Row],[Status]]="Refunded", "Refund",
  IF(Transactions_RAW_cleaned[[#This Row],[Category]]="Payments", IF(Transactions_RAW_cleaned[[#This Row],[Amount]]&gt;500,"High Value","Standard"),
    IF(Transactions_RAW_cleaned[[#This Row],[Amount]]&gt;250,"High Value","Standard")))</f>
        <v>High Value</v>
      </c>
      <c r="Q210" s="5" t="str">
        <f>IF(Transactions_RAW_cleaned[[#This Row],[Amount]] &gt; (_xlfn.XLOOKUP(Transactions_RAW_cleaned[[#This Row],[ServiceID]],Services_cleaned[ServiceID],Services_cleaned[TransactionFeePct]) * 10000), "Yes", "No")</f>
        <v>Yes</v>
      </c>
      <c r="R210" s="5" t="str">
        <f>IF(COUNTIFS($C$2:Transactions_RAW_cleaned[[#This Row],[CustomerID]],Transactions_RAW_cleaned[[#This Row],[CustomerID]],$D$2:Transactions_RAW_cleaned[[#This Row],[ServiceID]],Transactions_RAW_cleaned[[#This Row],[ServiceID]])=1,"Yes","No")</f>
        <v>No</v>
      </c>
      <c r="S21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0" t="str">
        <f>"Q"&amp;ROUNDUP(MONTH(Transactions_RAW_cleaned[[#This Row],[TransactionDate]])/3,0)</f>
        <v>Q2</v>
      </c>
      <c r="U210" t="str">
        <f>Transactions_RAW_cleaned[[#This Row],[Region ]]&amp;Transactions_RAW_cleaned[[#This Row],[Quarter ]]</f>
        <v>NAQ2</v>
      </c>
      <c r="V210" s="5">
        <f>_xlfn.XLOOKUP(Transactions_RAW_cleaned[[#This Row],[RegionQuarterKey]], Quarterly_Targets_cleaned[RegionQuarterKey], Quarterly_Targets_cleaned[TargetRevenue])</f>
        <v>260000</v>
      </c>
    </row>
    <row r="211" spans="1:22" x14ac:dyDescent="0.25">
      <c r="A211" t="s">
        <v>544</v>
      </c>
      <c r="B211" s="1">
        <v>45502</v>
      </c>
      <c r="C211" t="s">
        <v>68</v>
      </c>
      <c r="D211" t="s">
        <v>294</v>
      </c>
      <c r="E211">
        <v>1283.8800000000001</v>
      </c>
      <c r="F211" t="s">
        <v>331</v>
      </c>
      <c r="G211" t="s">
        <v>337</v>
      </c>
      <c r="I211" t="s">
        <v>57</v>
      </c>
      <c r="J211" t="s">
        <v>13</v>
      </c>
      <c r="K211" t="s">
        <v>10</v>
      </c>
      <c r="L211" t="s">
        <v>295</v>
      </c>
      <c r="M211" t="s">
        <v>296</v>
      </c>
      <c r="N211">
        <v>2.9000000000000001E-2</v>
      </c>
      <c r="O211" t="str">
        <f>IF(Transactions_RAW_cleaned[[#This Row],[Status]]="Completed", IFERROR(_xlfn.XLOOKUP(Transactions_RAW_cleaned[[#This Row],[CustomerID]], Customers_cleaned[CustomerID], Customers_cleaned[Segment]), "Customer Not Found"), "N/A")</f>
        <v>N/A</v>
      </c>
      <c r="P211" s="5" t="str">
        <f>IF(Transactions_RAW_cleaned[[#This Row],[Status]]="Refunded", "Refund",
  IF(Transactions_RAW_cleaned[[#This Row],[Category]]="Payments", IF(Transactions_RAW_cleaned[[#This Row],[Amount]]&gt;500,"High Value","Standard"),
    IF(Transactions_RAW_cleaned[[#This Row],[Amount]]&gt;250,"High Value","Standard")))</f>
        <v>High Value</v>
      </c>
      <c r="Q211" s="5" t="str">
        <f>IF(Transactions_RAW_cleaned[[#This Row],[Amount]] &gt; (_xlfn.XLOOKUP(Transactions_RAW_cleaned[[#This Row],[ServiceID]],Services_cleaned[ServiceID],Services_cleaned[TransactionFeePct]) * 10000), "Yes", "No")</f>
        <v>Yes</v>
      </c>
      <c r="R211" s="5" t="str">
        <f>IF(COUNTIFS($C$2:Transactions_RAW_cleaned[[#This Row],[CustomerID]],Transactions_RAW_cleaned[[#This Row],[CustomerID]],$D$2:Transactions_RAW_cleaned[[#This Row],[ServiceID]],Transactions_RAW_cleaned[[#This Row],[ServiceID]])=1,"Yes","No")</f>
        <v>No</v>
      </c>
      <c r="S21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1" t="str">
        <f>"Q"&amp;ROUNDUP(MONTH(Transactions_RAW_cleaned[[#This Row],[TransactionDate]])/3,0)</f>
        <v>Q3</v>
      </c>
      <c r="U211" t="str">
        <f>Transactions_RAW_cleaned[[#This Row],[Region ]]&amp;Transactions_RAW_cleaned[[#This Row],[Quarter ]]</f>
        <v>NAQ3</v>
      </c>
      <c r="V211" s="5">
        <f>_xlfn.XLOOKUP(Transactions_RAW_cleaned[[#This Row],[RegionQuarterKey]], Quarterly_Targets_cleaned[RegionQuarterKey], Quarterly_Targets_cleaned[TargetRevenue])</f>
        <v>273000</v>
      </c>
    </row>
    <row r="212" spans="1:22" x14ac:dyDescent="0.25">
      <c r="A212" t="s">
        <v>545</v>
      </c>
      <c r="B212" s="1">
        <v>45655</v>
      </c>
      <c r="C212" t="s">
        <v>15</v>
      </c>
      <c r="D212" t="s">
        <v>297</v>
      </c>
      <c r="E212">
        <v>171.41</v>
      </c>
      <c r="F212" t="s">
        <v>324</v>
      </c>
      <c r="G212" t="s">
        <v>325</v>
      </c>
      <c r="I212" t="s">
        <v>17</v>
      </c>
      <c r="J212" t="s">
        <v>102</v>
      </c>
      <c r="K212" t="s">
        <v>18</v>
      </c>
      <c r="L212" t="s">
        <v>298</v>
      </c>
      <c r="M212" t="s">
        <v>299</v>
      </c>
      <c r="N212">
        <v>0</v>
      </c>
      <c r="O212" t="str">
        <f>IF(Transactions_RAW_cleaned[[#This Row],[Status]]="Completed", IFERROR(_xlfn.XLOOKUP(Transactions_RAW_cleaned[[#This Row],[CustomerID]], Customers_cleaned[CustomerID], Customers_cleaned[Segment]), "Customer Not Found"), "N/A")</f>
        <v>Enterprise</v>
      </c>
      <c r="P212" s="5" t="str">
        <f>IF(Transactions_RAW_cleaned[[#This Row],[Status]]="Refunded", "Refund",
  IF(Transactions_RAW_cleaned[[#This Row],[Category]]="Payments", IF(Transactions_RAW_cleaned[[#This Row],[Amount]]&gt;500,"High Value","Standard"),
    IF(Transactions_RAW_cleaned[[#This Row],[Amount]]&gt;250,"High Value","Standard")))</f>
        <v>Standard</v>
      </c>
      <c r="Q212" s="5" t="str">
        <f>IF(Transactions_RAW_cleaned[[#This Row],[Amount]] &gt; (_xlfn.XLOOKUP(Transactions_RAW_cleaned[[#This Row],[ServiceID]],Services_cleaned[ServiceID],Services_cleaned[TransactionFeePct]) * 10000), "Yes", "No")</f>
        <v>Yes</v>
      </c>
      <c r="R212" s="5" t="str">
        <f>IF(COUNTIFS($C$2:Transactions_RAW_cleaned[[#This Row],[CustomerID]],Transactions_RAW_cleaned[[#This Row],[CustomerID]],$D$2:Transactions_RAW_cleaned[[#This Row],[ServiceID]],Transactions_RAW_cleaned[[#This Row],[ServiceID]])=1,"Yes","No")</f>
        <v>Yes</v>
      </c>
      <c r="S21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2" t="str">
        <f>"Q"&amp;ROUNDUP(MONTH(Transactions_RAW_cleaned[[#This Row],[TransactionDate]])/3,0)</f>
        <v>Q4</v>
      </c>
      <c r="U212" t="str">
        <f>Transactions_RAW_cleaned[[#This Row],[Region ]]&amp;Transactions_RAW_cleaned[[#This Row],[Quarter ]]</f>
        <v>NAQ4</v>
      </c>
      <c r="V212" s="5">
        <f>_xlfn.XLOOKUP(Transactions_RAW_cleaned[[#This Row],[RegionQuarterKey]], Quarterly_Targets_cleaned[RegionQuarterKey], Quarterly_Targets_cleaned[TargetRevenue])</f>
        <v>299000</v>
      </c>
    </row>
    <row r="213" spans="1:22" x14ac:dyDescent="0.25">
      <c r="A213" t="s">
        <v>546</v>
      </c>
      <c r="B213" s="1">
        <v>45643</v>
      </c>
      <c r="C213" t="s">
        <v>149</v>
      </c>
      <c r="D213" t="s">
        <v>294</v>
      </c>
      <c r="E213">
        <v>847.72</v>
      </c>
      <c r="F213" t="s">
        <v>381</v>
      </c>
      <c r="G213" t="s">
        <v>2963</v>
      </c>
      <c r="I213" t="s">
        <v>8</v>
      </c>
      <c r="J213" t="s">
        <v>13</v>
      </c>
      <c r="K213" t="s">
        <v>22</v>
      </c>
      <c r="L213" t="s">
        <v>295</v>
      </c>
      <c r="M213" t="s">
        <v>296</v>
      </c>
      <c r="N213">
        <v>2.9000000000000001E-2</v>
      </c>
      <c r="O213" t="str">
        <f>IF(Transactions_RAW_cleaned[[#This Row],[Status]]="Completed", IFERROR(_xlfn.XLOOKUP(Transactions_RAW_cleaned[[#This Row],[CustomerID]], Customers_cleaned[CustomerID], Customers_cleaned[Segment]), "Customer Not Found"), "N/A")</f>
        <v>N/A</v>
      </c>
      <c r="P213" s="5" t="str">
        <f>IF(Transactions_RAW_cleaned[[#This Row],[Status]]="Refunded", "Refund",
  IF(Transactions_RAW_cleaned[[#This Row],[Category]]="Payments", IF(Transactions_RAW_cleaned[[#This Row],[Amount]]&gt;500,"High Value","Standard"),
    IF(Transactions_RAW_cleaned[[#This Row],[Amount]]&gt;250,"High Value","Standard")))</f>
        <v>High Value</v>
      </c>
      <c r="Q213" s="5" t="str">
        <f>IF(Transactions_RAW_cleaned[[#This Row],[Amount]] &gt; (_xlfn.XLOOKUP(Transactions_RAW_cleaned[[#This Row],[ServiceID]],Services_cleaned[ServiceID],Services_cleaned[TransactionFeePct]) * 10000), "Yes", "No")</f>
        <v>Yes</v>
      </c>
      <c r="R213" s="5" t="str">
        <f>IF(COUNTIFS($C$2:Transactions_RAW_cleaned[[#This Row],[CustomerID]],Transactions_RAW_cleaned[[#This Row],[CustomerID]],$D$2:Transactions_RAW_cleaned[[#This Row],[ServiceID]],Transactions_RAW_cleaned[[#This Row],[ServiceID]])=1,"Yes","No")</f>
        <v>Yes</v>
      </c>
      <c r="S21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3" t="str">
        <f>"Q"&amp;ROUNDUP(MONTH(Transactions_RAW_cleaned[[#This Row],[TransactionDate]])/3,0)</f>
        <v>Q4</v>
      </c>
      <c r="U213" t="str">
        <f>Transactions_RAW_cleaned[[#This Row],[Region ]]&amp;Transactions_RAW_cleaned[[#This Row],[Quarter ]]</f>
        <v>NAQ4</v>
      </c>
      <c r="V213" s="5">
        <f>_xlfn.XLOOKUP(Transactions_RAW_cleaned[[#This Row],[RegionQuarterKey]], Quarterly_Targets_cleaned[RegionQuarterKey], Quarterly_Targets_cleaned[TargetRevenue])</f>
        <v>299000</v>
      </c>
    </row>
    <row r="214" spans="1:22" x14ac:dyDescent="0.25">
      <c r="A214" t="s">
        <v>547</v>
      </c>
      <c r="B214" s="1">
        <v>45567</v>
      </c>
      <c r="C214" t="s">
        <v>197</v>
      </c>
      <c r="D214" t="s">
        <v>294</v>
      </c>
      <c r="E214">
        <v>633.35</v>
      </c>
      <c r="F214" t="s">
        <v>324</v>
      </c>
      <c r="G214" t="s">
        <v>2963</v>
      </c>
      <c r="I214" t="s">
        <v>8</v>
      </c>
      <c r="J214" t="s">
        <v>46</v>
      </c>
      <c r="K214" t="s">
        <v>14</v>
      </c>
      <c r="L214" t="s">
        <v>295</v>
      </c>
      <c r="M214" t="s">
        <v>296</v>
      </c>
      <c r="N214">
        <v>2.9000000000000001E-2</v>
      </c>
      <c r="O214" t="str">
        <f>IF(Transactions_RAW_cleaned[[#This Row],[Status]]="Completed", IFERROR(_xlfn.XLOOKUP(Transactions_RAW_cleaned[[#This Row],[CustomerID]], Customers_cleaned[CustomerID], Customers_cleaned[Segment]), "Customer Not Found"), "N/A")</f>
        <v>SMB</v>
      </c>
      <c r="P214" s="5" t="str">
        <f>IF(Transactions_RAW_cleaned[[#This Row],[Status]]="Refunded", "Refund",
  IF(Transactions_RAW_cleaned[[#This Row],[Category]]="Payments", IF(Transactions_RAW_cleaned[[#This Row],[Amount]]&gt;500,"High Value","Standard"),
    IF(Transactions_RAW_cleaned[[#This Row],[Amount]]&gt;250,"High Value","Standard")))</f>
        <v>High Value</v>
      </c>
      <c r="Q214" s="5" t="str">
        <f>IF(Transactions_RAW_cleaned[[#This Row],[Amount]] &gt; (_xlfn.XLOOKUP(Transactions_RAW_cleaned[[#This Row],[ServiceID]],Services_cleaned[ServiceID],Services_cleaned[TransactionFeePct]) * 10000), "Yes", "No")</f>
        <v>Yes</v>
      </c>
      <c r="R214" s="5" t="str">
        <f>IF(COUNTIFS($C$2:Transactions_RAW_cleaned[[#This Row],[CustomerID]],Transactions_RAW_cleaned[[#This Row],[CustomerID]],$D$2:Transactions_RAW_cleaned[[#This Row],[ServiceID]],Transactions_RAW_cleaned[[#This Row],[ServiceID]])=1,"Yes","No")</f>
        <v>Yes</v>
      </c>
      <c r="S21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4" t="str">
        <f>"Q"&amp;ROUNDUP(MONTH(Transactions_RAW_cleaned[[#This Row],[TransactionDate]])/3,0)</f>
        <v>Q4</v>
      </c>
      <c r="U214" t="str">
        <f>Transactions_RAW_cleaned[[#This Row],[Region ]]&amp;Transactions_RAW_cleaned[[#This Row],[Quarter ]]</f>
        <v>APACQ4</v>
      </c>
      <c r="V214" s="5">
        <f>_xlfn.XLOOKUP(Transactions_RAW_cleaned[[#This Row],[RegionQuarterKey]], Quarterly_Targets_cleaned[RegionQuarterKey], Quarterly_Targets_cleaned[TargetRevenue])</f>
        <v>126500</v>
      </c>
    </row>
    <row r="215" spans="1:22" x14ac:dyDescent="0.25">
      <c r="A215" t="s">
        <v>548</v>
      </c>
      <c r="B215" s="1">
        <v>45523</v>
      </c>
      <c r="C215" t="s">
        <v>68</v>
      </c>
      <c r="D215" t="s">
        <v>297</v>
      </c>
      <c r="E215">
        <v>538.09</v>
      </c>
      <c r="F215" t="s">
        <v>324</v>
      </c>
      <c r="G215" t="s">
        <v>327</v>
      </c>
      <c r="H215" t="s">
        <v>334</v>
      </c>
      <c r="I215" t="s">
        <v>57</v>
      </c>
      <c r="J215" t="s">
        <v>13</v>
      </c>
      <c r="K215" t="s">
        <v>10</v>
      </c>
      <c r="L215" t="s">
        <v>298</v>
      </c>
      <c r="M215" t="s">
        <v>299</v>
      </c>
      <c r="N215">
        <v>0</v>
      </c>
      <c r="O215" t="str">
        <f>IF(Transactions_RAW_cleaned[[#This Row],[Status]]="Completed", IFERROR(_xlfn.XLOOKUP(Transactions_RAW_cleaned[[#This Row],[CustomerID]], Customers_cleaned[CustomerID], Customers_cleaned[Segment]), "Customer Not Found"), "N/A")</f>
        <v>Startup</v>
      </c>
      <c r="P215" s="5" t="str">
        <f>IF(Transactions_RAW_cleaned[[#This Row],[Status]]="Refunded", "Refund",
  IF(Transactions_RAW_cleaned[[#This Row],[Category]]="Payments", IF(Transactions_RAW_cleaned[[#This Row],[Amount]]&gt;500,"High Value","Standard"),
    IF(Transactions_RAW_cleaned[[#This Row],[Amount]]&gt;250,"High Value","Standard")))</f>
        <v>High Value</v>
      </c>
      <c r="Q215" s="5" t="str">
        <f>IF(Transactions_RAW_cleaned[[#This Row],[Amount]] &gt; (_xlfn.XLOOKUP(Transactions_RAW_cleaned[[#This Row],[ServiceID]],Services_cleaned[ServiceID],Services_cleaned[TransactionFeePct]) * 10000), "Yes", "No")</f>
        <v>Yes</v>
      </c>
      <c r="R215" s="5" t="str">
        <f>IF(COUNTIFS($C$2:Transactions_RAW_cleaned[[#This Row],[CustomerID]],Transactions_RAW_cleaned[[#This Row],[CustomerID]],$D$2:Transactions_RAW_cleaned[[#This Row],[ServiceID]],Transactions_RAW_cleaned[[#This Row],[ServiceID]])=1,"Yes","No")</f>
        <v>No</v>
      </c>
      <c r="S21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5" t="str">
        <f>"Q"&amp;ROUNDUP(MONTH(Transactions_RAW_cleaned[[#This Row],[TransactionDate]])/3,0)</f>
        <v>Q3</v>
      </c>
      <c r="U215" t="str">
        <f>Transactions_RAW_cleaned[[#This Row],[Region ]]&amp;Transactions_RAW_cleaned[[#This Row],[Quarter ]]</f>
        <v>NAQ3</v>
      </c>
      <c r="V215" s="5">
        <f>_xlfn.XLOOKUP(Transactions_RAW_cleaned[[#This Row],[RegionQuarterKey]], Quarterly_Targets_cleaned[RegionQuarterKey], Quarterly_Targets_cleaned[TargetRevenue])</f>
        <v>273000</v>
      </c>
    </row>
    <row r="216" spans="1:22" x14ac:dyDescent="0.25">
      <c r="A216" t="s">
        <v>549</v>
      </c>
      <c r="B216" s="1">
        <v>45628</v>
      </c>
      <c r="C216" t="s">
        <v>96</v>
      </c>
      <c r="D216" t="s">
        <v>300</v>
      </c>
      <c r="E216">
        <v>497.74</v>
      </c>
      <c r="F216" t="s">
        <v>324</v>
      </c>
      <c r="G216" t="s">
        <v>325</v>
      </c>
      <c r="I216" t="s">
        <v>17</v>
      </c>
      <c r="J216" t="s">
        <v>31</v>
      </c>
      <c r="K216" t="s">
        <v>14</v>
      </c>
      <c r="L216" t="s">
        <v>301</v>
      </c>
      <c r="M216" t="s">
        <v>302</v>
      </c>
      <c r="N216">
        <v>5.0000000000000001E-3</v>
      </c>
      <c r="O216" t="str">
        <f>IF(Transactions_RAW_cleaned[[#This Row],[Status]]="Completed", IFERROR(_xlfn.XLOOKUP(Transactions_RAW_cleaned[[#This Row],[CustomerID]], Customers_cleaned[CustomerID], Customers_cleaned[Segment]), "Customer Not Found"), "N/A")</f>
        <v>Enterprise</v>
      </c>
      <c r="P216" s="5" t="str">
        <f>IF(Transactions_RAW_cleaned[[#This Row],[Status]]="Refunded", "Refund",
  IF(Transactions_RAW_cleaned[[#This Row],[Category]]="Payments", IF(Transactions_RAW_cleaned[[#This Row],[Amount]]&gt;500,"High Value","Standard"),
    IF(Transactions_RAW_cleaned[[#This Row],[Amount]]&gt;250,"High Value","Standard")))</f>
        <v>High Value</v>
      </c>
      <c r="Q216" s="5" t="str">
        <f>IF(Transactions_RAW_cleaned[[#This Row],[Amount]] &gt; (_xlfn.XLOOKUP(Transactions_RAW_cleaned[[#This Row],[ServiceID]],Services_cleaned[ServiceID],Services_cleaned[TransactionFeePct]) * 10000), "Yes", "No")</f>
        <v>Yes</v>
      </c>
      <c r="R216" s="5" t="str">
        <f>IF(COUNTIFS($C$2:Transactions_RAW_cleaned[[#This Row],[CustomerID]],Transactions_RAW_cleaned[[#This Row],[CustomerID]],$D$2:Transactions_RAW_cleaned[[#This Row],[ServiceID]],Transactions_RAW_cleaned[[#This Row],[ServiceID]])=1,"Yes","No")</f>
        <v>No</v>
      </c>
      <c r="S21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16" t="str">
        <f>"Q"&amp;ROUNDUP(MONTH(Transactions_RAW_cleaned[[#This Row],[TransactionDate]])/3,0)</f>
        <v>Q4</v>
      </c>
      <c r="U216" t="str">
        <f>Transactions_RAW_cleaned[[#This Row],[Region ]]&amp;Transactions_RAW_cleaned[[#This Row],[Quarter ]]</f>
        <v>EMEAQ4</v>
      </c>
      <c r="V216" s="5">
        <f>_xlfn.XLOOKUP(Transactions_RAW_cleaned[[#This Row],[RegionQuarterKey]], Quarterly_Targets_cleaned[RegionQuarterKey], Quarterly_Targets_cleaned[TargetRevenue])</f>
        <v>161000</v>
      </c>
    </row>
    <row r="217" spans="1:22" x14ac:dyDescent="0.25">
      <c r="A217" t="s">
        <v>550</v>
      </c>
      <c r="B217" s="1">
        <v>45411</v>
      </c>
      <c r="C217" t="s">
        <v>243</v>
      </c>
      <c r="D217" t="s">
        <v>294</v>
      </c>
      <c r="E217">
        <v>435.79</v>
      </c>
      <c r="F217" t="s">
        <v>324</v>
      </c>
      <c r="G217" t="s">
        <v>337</v>
      </c>
      <c r="I217" t="s">
        <v>17</v>
      </c>
      <c r="J217" t="s">
        <v>13</v>
      </c>
      <c r="K217" t="s">
        <v>28</v>
      </c>
      <c r="L217" t="s">
        <v>295</v>
      </c>
      <c r="M217" t="s">
        <v>296</v>
      </c>
      <c r="N217">
        <v>2.9000000000000001E-2</v>
      </c>
      <c r="O217" t="str">
        <f>IF(Transactions_RAW_cleaned[[#This Row],[Status]]="Completed", IFERROR(_xlfn.XLOOKUP(Transactions_RAW_cleaned[[#This Row],[CustomerID]], Customers_cleaned[CustomerID], Customers_cleaned[Segment]), "Customer Not Found"), "N/A")</f>
        <v>Enterprise</v>
      </c>
      <c r="P217" s="5" t="str">
        <f>IF(Transactions_RAW_cleaned[[#This Row],[Status]]="Refunded", "Refund",
  IF(Transactions_RAW_cleaned[[#This Row],[Category]]="Payments", IF(Transactions_RAW_cleaned[[#This Row],[Amount]]&gt;500,"High Value","Standard"),
    IF(Transactions_RAW_cleaned[[#This Row],[Amount]]&gt;250,"High Value","Standard")))</f>
        <v>Standard</v>
      </c>
      <c r="Q217" s="5" t="str">
        <f>IF(Transactions_RAW_cleaned[[#This Row],[Amount]] &gt; (_xlfn.XLOOKUP(Transactions_RAW_cleaned[[#This Row],[ServiceID]],Services_cleaned[ServiceID],Services_cleaned[TransactionFeePct]) * 10000), "Yes", "No")</f>
        <v>Yes</v>
      </c>
      <c r="R217" s="5" t="str">
        <f>IF(COUNTIFS($C$2:Transactions_RAW_cleaned[[#This Row],[CustomerID]],Transactions_RAW_cleaned[[#This Row],[CustomerID]],$D$2:Transactions_RAW_cleaned[[#This Row],[ServiceID]],Transactions_RAW_cleaned[[#This Row],[ServiceID]])=1,"Yes","No")</f>
        <v>No</v>
      </c>
      <c r="S21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7" t="str">
        <f>"Q"&amp;ROUNDUP(MONTH(Transactions_RAW_cleaned[[#This Row],[TransactionDate]])/3,0)</f>
        <v>Q2</v>
      </c>
      <c r="U217" t="str">
        <f>Transactions_RAW_cleaned[[#This Row],[Region ]]&amp;Transactions_RAW_cleaned[[#This Row],[Quarter ]]</f>
        <v>NAQ2</v>
      </c>
      <c r="V217" s="5">
        <f>_xlfn.XLOOKUP(Transactions_RAW_cleaned[[#This Row],[RegionQuarterKey]], Quarterly_Targets_cleaned[RegionQuarterKey], Quarterly_Targets_cleaned[TargetRevenue])</f>
        <v>260000</v>
      </c>
    </row>
    <row r="218" spans="1:22" x14ac:dyDescent="0.25">
      <c r="A218" t="s">
        <v>551</v>
      </c>
      <c r="B218" s="1">
        <v>45529</v>
      </c>
      <c r="C218" t="s">
        <v>233</v>
      </c>
      <c r="D218" t="s">
        <v>315</v>
      </c>
      <c r="E218">
        <v>343.87</v>
      </c>
      <c r="F218" t="s">
        <v>324</v>
      </c>
      <c r="G218" t="s">
        <v>329</v>
      </c>
      <c r="H218" t="s">
        <v>346</v>
      </c>
      <c r="I218" t="s">
        <v>8</v>
      </c>
      <c r="J218" t="s">
        <v>13</v>
      </c>
      <c r="K218" t="s">
        <v>14</v>
      </c>
      <c r="L218" t="s">
        <v>316</v>
      </c>
      <c r="M218" t="s">
        <v>305</v>
      </c>
      <c r="N218">
        <v>2.5000000000000001E-3</v>
      </c>
      <c r="O218" t="str">
        <f>IF(Transactions_RAW_cleaned[[#This Row],[Status]]="Completed", IFERROR(_xlfn.XLOOKUP(Transactions_RAW_cleaned[[#This Row],[CustomerID]], Customers_cleaned[CustomerID], Customers_cleaned[Segment]), "Customer Not Found"), "N/A")</f>
        <v>SMB</v>
      </c>
      <c r="P218" s="5" t="str">
        <f>IF(Transactions_RAW_cleaned[[#This Row],[Status]]="Refunded", "Refund",
  IF(Transactions_RAW_cleaned[[#This Row],[Category]]="Payments", IF(Transactions_RAW_cleaned[[#This Row],[Amount]]&gt;500,"High Value","Standard"),
    IF(Transactions_RAW_cleaned[[#This Row],[Amount]]&gt;250,"High Value","Standard")))</f>
        <v>High Value</v>
      </c>
      <c r="Q218" s="5" t="str">
        <f>IF(Transactions_RAW_cleaned[[#This Row],[Amount]] &gt; (_xlfn.XLOOKUP(Transactions_RAW_cleaned[[#This Row],[ServiceID]],Services_cleaned[ServiceID],Services_cleaned[TransactionFeePct]) * 10000), "Yes", "No")</f>
        <v>Yes</v>
      </c>
      <c r="R218" s="5" t="str">
        <f>IF(COUNTIFS($C$2:Transactions_RAW_cleaned[[#This Row],[CustomerID]],Transactions_RAW_cleaned[[#This Row],[CustomerID]],$D$2:Transactions_RAW_cleaned[[#This Row],[ServiceID]],Transactions_RAW_cleaned[[#This Row],[ServiceID]])=1,"Yes","No")</f>
        <v>Yes</v>
      </c>
      <c r="S21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8" t="str">
        <f>"Q"&amp;ROUNDUP(MONTH(Transactions_RAW_cleaned[[#This Row],[TransactionDate]])/3,0)</f>
        <v>Q3</v>
      </c>
      <c r="U218" t="str">
        <f>Transactions_RAW_cleaned[[#This Row],[Region ]]&amp;Transactions_RAW_cleaned[[#This Row],[Quarter ]]</f>
        <v>NAQ3</v>
      </c>
      <c r="V218" s="5">
        <f>_xlfn.XLOOKUP(Transactions_RAW_cleaned[[#This Row],[RegionQuarterKey]], Quarterly_Targets_cleaned[RegionQuarterKey], Quarterly_Targets_cleaned[TargetRevenue])</f>
        <v>273000</v>
      </c>
    </row>
    <row r="219" spans="1:22" x14ac:dyDescent="0.25">
      <c r="A219" t="s">
        <v>552</v>
      </c>
      <c r="B219" s="1">
        <v>45434</v>
      </c>
      <c r="C219" t="s">
        <v>119</v>
      </c>
      <c r="D219" t="s">
        <v>315</v>
      </c>
      <c r="E219">
        <v>1380.9</v>
      </c>
      <c r="F219" t="s">
        <v>324</v>
      </c>
      <c r="G219" t="s">
        <v>2963</v>
      </c>
      <c r="I219" t="s">
        <v>57</v>
      </c>
      <c r="J219" t="s">
        <v>102</v>
      </c>
      <c r="K219" t="s">
        <v>18</v>
      </c>
      <c r="L219" t="s">
        <v>316</v>
      </c>
      <c r="M219" t="s">
        <v>305</v>
      </c>
      <c r="N219">
        <v>2.5000000000000001E-3</v>
      </c>
      <c r="O219" t="str">
        <f>IF(Transactions_RAW_cleaned[[#This Row],[Status]]="Completed", IFERROR(_xlfn.XLOOKUP(Transactions_RAW_cleaned[[#This Row],[CustomerID]], Customers_cleaned[CustomerID], Customers_cleaned[Segment]), "Customer Not Found"), "N/A")</f>
        <v>Startup</v>
      </c>
      <c r="P219" s="5" t="str">
        <f>IF(Transactions_RAW_cleaned[[#This Row],[Status]]="Refunded", "Refund",
  IF(Transactions_RAW_cleaned[[#This Row],[Category]]="Payments", IF(Transactions_RAW_cleaned[[#This Row],[Amount]]&gt;500,"High Value","Standard"),
    IF(Transactions_RAW_cleaned[[#This Row],[Amount]]&gt;250,"High Value","Standard")))</f>
        <v>High Value</v>
      </c>
      <c r="Q219" s="5" t="str">
        <f>IF(Transactions_RAW_cleaned[[#This Row],[Amount]] &gt; (_xlfn.XLOOKUP(Transactions_RAW_cleaned[[#This Row],[ServiceID]],Services_cleaned[ServiceID],Services_cleaned[TransactionFeePct]) * 10000), "Yes", "No")</f>
        <v>Yes</v>
      </c>
      <c r="R219" s="5" t="str">
        <f>IF(COUNTIFS($C$2:Transactions_RAW_cleaned[[#This Row],[CustomerID]],Transactions_RAW_cleaned[[#This Row],[CustomerID]],$D$2:Transactions_RAW_cleaned[[#This Row],[ServiceID]],Transactions_RAW_cleaned[[#This Row],[ServiceID]])=1,"Yes","No")</f>
        <v>Yes</v>
      </c>
      <c r="S21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9" t="str">
        <f>"Q"&amp;ROUNDUP(MONTH(Transactions_RAW_cleaned[[#This Row],[TransactionDate]])/3,0)</f>
        <v>Q2</v>
      </c>
      <c r="U219" t="str">
        <f>Transactions_RAW_cleaned[[#This Row],[Region ]]&amp;Transactions_RAW_cleaned[[#This Row],[Quarter ]]</f>
        <v>NAQ2</v>
      </c>
      <c r="V219" s="5">
        <f>_xlfn.XLOOKUP(Transactions_RAW_cleaned[[#This Row],[RegionQuarterKey]], Quarterly_Targets_cleaned[RegionQuarterKey], Quarterly_Targets_cleaned[TargetRevenue])</f>
        <v>260000</v>
      </c>
    </row>
    <row r="220" spans="1:22" x14ac:dyDescent="0.25">
      <c r="A220" t="s">
        <v>553</v>
      </c>
      <c r="B220" s="1">
        <v>45606</v>
      </c>
      <c r="C220" t="s">
        <v>239</v>
      </c>
      <c r="D220" t="s">
        <v>297</v>
      </c>
      <c r="E220">
        <v>336.14</v>
      </c>
      <c r="F220" t="s">
        <v>331</v>
      </c>
      <c r="G220" t="s">
        <v>327</v>
      </c>
      <c r="I220" t="s">
        <v>57</v>
      </c>
      <c r="J220" t="s">
        <v>102</v>
      </c>
      <c r="K220" t="s">
        <v>10</v>
      </c>
      <c r="L220" t="s">
        <v>298</v>
      </c>
      <c r="M220" t="s">
        <v>299</v>
      </c>
      <c r="N220">
        <v>0</v>
      </c>
      <c r="O220" t="str">
        <f>IF(Transactions_RAW_cleaned[[#This Row],[Status]]="Completed", IFERROR(_xlfn.XLOOKUP(Transactions_RAW_cleaned[[#This Row],[CustomerID]], Customers_cleaned[CustomerID], Customers_cleaned[Segment]), "Customer Not Found"), "N/A")</f>
        <v>N/A</v>
      </c>
      <c r="P220" s="5" t="str">
        <f>IF(Transactions_RAW_cleaned[[#This Row],[Status]]="Refunded", "Refund",
  IF(Transactions_RAW_cleaned[[#This Row],[Category]]="Payments", IF(Transactions_RAW_cleaned[[#This Row],[Amount]]&gt;500,"High Value","Standard"),
    IF(Transactions_RAW_cleaned[[#This Row],[Amount]]&gt;250,"High Value","Standard")))</f>
        <v>High Value</v>
      </c>
      <c r="Q220" s="5" t="str">
        <f>IF(Transactions_RAW_cleaned[[#This Row],[Amount]] &gt; (_xlfn.XLOOKUP(Transactions_RAW_cleaned[[#This Row],[ServiceID]],Services_cleaned[ServiceID],Services_cleaned[TransactionFeePct]) * 10000), "Yes", "No")</f>
        <v>Yes</v>
      </c>
      <c r="R220" s="5" t="str">
        <f>IF(COUNTIFS($C$2:Transactions_RAW_cleaned[[#This Row],[CustomerID]],Transactions_RAW_cleaned[[#This Row],[CustomerID]],$D$2:Transactions_RAW_cleaned[[#This Row],[ServiceID]],Transactions_RAW_cleaned[[#This Row],[ServiceID]])=1,"Yes","No")</f>
        <v>Yes</v>
      </c>
      <c r="S22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0" t="str">
        <f>"Q"&amp;ROUNDUP(MONTH(Transactions_RAW_cleaned[[#This Row],[TransactionDate]])/3,0)</f>
        <v>Q4</v>
      </c>
      <c r="U220" t="str">
        <f>Transactions_RAW_cleaned[[#This Row],[Region ]]&amp;Transactions_RAW_cleaned[[#This Row],[Quarter ]]</f>
        <v>NAQ4</v>
      </c>
      <c r="V220" s="5">
        <f>_xlfn.XLOOKUP(Transactions_RAW_cleaned[[#This Row],[RegionQuarterKey]], Quarterly_Targets_cleaned[RegionQuarterKey], Quarterly_Targets_cleaned[TargetRevenue])</f>
        <v>299000</v>
      </c>
    </row>
    <row r="221" spans="1:22" x14ac:dyDescent="0.25">
      <c r="A221" t="s">
        <v>554</v>
      </c>
      <c r="B221" s="1">
        <v>45402</v>
      </c>
      <c r="C221" t="s">
        <v>29</v>
      </c>
      <c r="D221" t="s">
        <v>297</v>
      </c>
      <c r="E221">
        <v>490.17</v>
      </c>
      <c r="F221" t="s">
        <v>381</v>
      </c>
      <c r="G221" t="s">
        <v>325</v>
      </c>
      <c r="H221" t="s">
        <v>334</v>
      </c>
      <c r="I221" t="s">
        <v>8</v>
      </c>
      <c r="J221" t="s">
        <v>31</v>
      </c>
      <c r="K221" t="s">
        <v>32</v>
      </c>
      <c r="L221" t="s">
        <v>298</v>
      </c>
      <c r="M221" t="s">
        <v>299</v>
      </c>
      <c r="N221">
        <v>0</v>
      </c>
      <c r="O221" t="str">
        <f>IF(Transactions_RAW_cleaned[[#This Row],[Status]]="Completed", IFERROR(_xlfn.XLOOKUP(Transactions_RAW_cleaned[[#This Row],[CustomerID]], Customers_cleaned[CustomerID], Customers_cleaned[Segment]), "Customer Not Found"), "N/A")</f>
        <v>N/A</v>
      </c>
      <c r="P221" s="5" t="str">
        <f>IF(Transactions_RAW_cleaned[[#This Row],[Status]]="Refunded", "Refund",
  IF(Transactions_RAW_cleaned[[#This Row],[Category]]="Payments", IF(Transactions_RAW_cleaned[[#This Row],[Amount]]&gt;500,"High Value","Standard"),
    IF(Transactions_RAW_cleaned[[#This Row],[Amount]]&gt;250,"High Value","Standard")))</f>
        <v>High Value</v>
      </c>
      <c r="Q221" s="5" t="str">
        <f>IF(Transactions_RAW_cleaned[[#This Row],[Amount]] &gt; (_xlfn.XLOOKUP(Transactions_RAW_cleaned[[#This Row],[ServiceID]],Services_cleaned[ServiceID],Services_cleaned[TransactionFeePct]) * 10000), "Yes", "No")</f>
        <v>Yes</v>
      </c>
      <c r="R221" s="5" t="str">
        <f>IF(COUNTIFS($C$2:Transactions_RAW_cleaned[[#This Row],[CustomerID]],Transactions_RAW_cleaned[[#This Row],[CustomerID]],$D$2:Transactions_RAW_cleaned[[#This Row],[ServiceID]],Transactions_RAW_cleaned[[#This Row],[ServiceID]])=1,"Yes","No")</f>
        <v>Yes</v>
      </c>
      <c r="S22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21" t="str">
        <f>"Q"&amp;ROUNDUP(MONTH(Transactions_RAW_cleaned[[#This Row],[TransactionDate]])/3,0)</f>
        <v>Q2</v>
      </c>
      <c r="U221" t="str">
        <f>Transactions_RAW_cleaned[[#This Row],[Region ]]&amp;Transactions_RAW_cleaned[[#This Row],[Quarter ]]</f>
        <v>EMEAQ2</v>
      </c>
      <c r="V221" s="5">
        <f>_xlfn.XLOOKUP(Transactions_RAW_cleaned[[#This Row],[RegionQuarterKey]], Quarterly_Targets_cleaned[RegionQuarterKey], Quarterly_Targets_cleaned[TargetRevenue])</f>
        <v>140000</v>
      </c>
    </row>
    <row r="222" spans="1:22" x14ac:dyDescent="0.25">
      <c r="A222" t="s">
        <v>555</v>
      </c>
      <c r="B222" s="1">
        <v>45598</v>
      </c>
      <c r="C222" t="s">
        <v>42</v>
      </c>
      <c r="D222" t="s">
        <v>309</v>
      </c>
      <c r="E222">
        <v>387.54</v>
      </c>
      <c r="F222" t="s">
        <v>324</v>
      </c>
      <c r="G222" t="s">
        <v>327</v>
      </c>
      <c r="I222" t="s">
        <v>8</v>
      </c>
      <c r="J222" t="s">
        <v>102</v>
      </c>
      <c r="K222" t="s">
        <v>10</v>
      </c>
      <c r="L222" t="s">
        <v>310</v>
      </c>
      <c r="M222" t="s">
        <v>311</v>
      </c>
      <c r="N222">
        <v>0</v>
      </c>
      <c r="O222" t="str">
        <f>IF(Transactions_RAW_cleaned[[#This Row],[Status]]="Completed", IFERROR(_xlfn.XLOOKUP(Transactions_RAW_cleaned[[#This Row],[CustomerID]], Customers_cleaned[CustomerID], Customers_cleaned[Segment]), "Customer Not Found"), "N/A")</f>
        <v>SMB</v>
      </c>
      <c r="P222" s="5" t="str">
        <f>IF(Transactions_RAW_cleaned[[#This Row],[Status]]="Refunded", "Refund",
  IF(Transactions_RAW_cleaned[[#This Row],[Category]]="Payments", IF(Transactions_RAW_cleaned[[#This Row],[Amount]]&gt;500,"High Value","Standard"),
    IF(Transactions_RAW_cleaned[[#This Row],[Amount]]&gt;250,"High Value","Standard")))</f>
        <v>High Value</v>
      </c>
      <c r="Q222" s="5" t="str">
        <f>IF(Transactions_RAW_cleaned[[#This Row],[Amount]] &gt; (_xlfn.XLOOKUP(Transactions_RAW_cleaned[[#This Row],[ServiceID]],Services_cleaned[ServiceID],Services_cleaned[TransactionFeePct]) * 10000), "Yes", "No")</f>
        <v>Yes</v>
      </c>
      <c r="R222" s="5" t="str">
        <f>IF(COUNTIFS($C$2:Transactions_RAW_cleaned[[#This Row],[CustomerID]],Transactions_RAW_cleaned[[#This Row],[CustomerID]],$D$2:Transactions_RAW_cleaned[[#This Row],[ServiceID]],Transactions_RAW_cleaned[[#This Row],[ServiceID]])=1,"Yes","No")</f>
        <v>Yes</v>
      </c>
      <c r="S22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2" t="str">
        <f>"Q"&amp;ROUNDUP(MONTH(Transactions_RAW_cleaned[[#This Row],[TransactionDate]])/3,0)</f>
        <v>Q4</v>
      </c>
      <c r="U222" t="str">
        <f>Transactions_RAW_cleaned[[#This Row],[Region ]]&amp;Transactions_RAW_cleaned[[#This Row],[Quarter ]]</f>
        <v>NAQ4</v>
      </c>
      <c r="V222" s="5">
        <f>_xlfn.XLOOKUP(Transactions_RAW_cleaned[[#This Row],[RegionQuarterKey]], Quarterly_Targets_cleaned[RegionQuarterKey], Quarterly_Targets_cleaned[TargetRevenue])</f>
        <v>299000</v>
      </c>
    </row>
    <row r="223" spans="1:22" x14ac:dyDescent="0.25">
      <c r="A223" t="s">
        <v>556</v>
      </c>
      <c r="B223" s="1">
        <v>45349</v>
      </c>
      <c r="C223" t="s">
        <v>68</v>
      </c>
      <c r="D223" t="s">
        <v>300</v>
      </c>
      <c r="E223">
        <v>170.22</v>
      </c>
      <c r="F223" t="s">
        <v>324</v>
      </c>
      <c r="G223" t="s">
        <v>327</v>
      </c>
      <c r="H223" t="s">
        <v>332</v>
      </c>
      <c r="I223" t="s">
        <v>57</v>
      </c>
      <c r="J223" t="s">
        <v>13</v>
      </c>
      <c r="K223" t="s">
        <v>10</v>
      </c>
      <c r="L223" t="s">
        <v>301</v>
      </c>
      <c r="M223" t="s">
        <v>302</v>
      </c>
      <c r="N223">
        <v>5.0000000000000001E-3</v>
      </c>
      <c r="O223" t="str">
        <f>IF(Transactions_RAW_cleaned[[#This Row],[Status]]="Completed", IFERROR(_xlfn.XLOOKUP(Transactions_RAW_cleaned[[#This Row],[CustomerID]], Customers_cleaned[CustomerID], Customers_cleaned[Segment]), "Customer Not Found"), "N/A")</f>
        <v>Startup</v>
      </c>
      <c r="P223" s="5" t="str">
        <f>IF(Transactions_RAW_cleaned[[#This Row],[Status]]="Refunded", "Refund",
  IF(Transactions_RAW_cleaned[[#This Row],[Category]]="Payments", IF(Transactions_RAW_cleaned[[#This Row],[Amount]]&gt;500,"High Value","Standard"),
    IF(Transactions_RAW_cleaned[[#This Row],[Amount]]&gt;250,"High Value","Standard")))</f>
        <v>Standard</v>
      </c>
      <c r="Q223" s="5" t="str">
        <f>IF(Transactions_RAW_cleaned[[#This Row],[Amount]] &gt; (_xlfn.XLOOKUP(Transactions_RAW_cleaned[[#This Row],[ServiceID]],Services_cleaned[ServiceID],Services_cleaned[TransactionFeePct]) * 10000), "Yes", "No")</f>
        <v>Yes</v>
      </c>
      <c r="R223" s="5" t="str">
        <f>IF(COUNTIFS($C$2:Transactions_RAW_cleaned[[#This Row],[CustomerID]],Transactions_RAW_cleaned[[#This Row],[CustomerID]],$D$2:Transactions_RAW_cleaned[[#This Row],[ServiceID]],Transactions_RAW_cleaned[[#This Row],[ServiceID]])=1,"Yes","No")</f>
        <v>No</v>
      </c>
      <c r="S22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3" t="str">
        <f>"Q"&amp;ROUNDUP(MONTH(Transactions_RAW_cleaned[[#This Row],[TransactionDate]])/3,0)</f>
        <v>Q1</v>
      </c>
      <c r="U223" t="str">
        <f>Transactions_RAW_cleaned[[#This Row],[Region ]]&amp;Transactions_RAW_cleaned[[#This Row],[Quarter ]]</f>
        <v>NAQ1</v>
      </c>
      <c r="V223" s="5">
        <f>_xlfn.XLOOKUP(Transactions_RAW_cleaned[[#This Row],[RegionQuarterKey]], Quarterly_Targets_cleaned[RegionQuarterKey], Quarterly_Targets_cleaned[TargetRevenue])</f>
        <v>247000</v>
      </c>
    </row>
    <row r="224" spans="1:22" x14ac:dyDescent="0.25">
      <c r="A224" t="s">
        <v>557</v>
      </c>
      <c r="B224" s="1">
        <v>45425</v>
      </c>
      <c r="C224" t="s">
        <v>271</v>
      </c>
      <c r="D224" t="s">
        <v>297</v>
      </c>
      <c r="E224">
        <v>528.75</v>
      </c>
      <c r="F224" t="s">
        <v>324</v>
      </c>
      <c r="G224" t="s">
        <v>337</v>
      </c>
      <c r="I224" t="s">
        <v>8</v>
      </c>
      <c r="J224" t="s">
        <v>102</v>
      </c>
      <c r="K224" t="s">
        <v>28</v>
      </c>
      <c r="L224" t="s">
        <v>298</v>
      </c>
      <c r="M224" t="s">
        <v>299</v>
      </c>
      <c r="N224">
        <v>0</v>
      </c>
      <c r="O224" t="str">
        <f>IF(Transactions_RAW_cleaned[[#This Row],[Status]]="Completed", IFERROR(_xlfn.XLOOKUP(Transactions_RAW_cleaned[[#This Row],[CustomerID]], Customers_cleaned[CustomerID], Customers_cleaned[Segment]), "Customer Not Found"), "N/A")</f>
        <v>SMB</v>
      </c>
      <c r="P224" s="5" t="str">
        <f>IF(Transactions_RAW_cleaned[[#This Row],[Status]]="Refunded", "Refund",
  IF(Transactions_RAW_cleaned[[#This Row],[Category]]="Payments", IF(Transactions_RAW_cleaned[[#This Row],[Amount]]&gt;500,"High Value","Standard"),
    IF(Transactions_RAW_cleaned[[#This Row],[Amount]]&gt;250,"High Value","Standard")))</f>
        <v>High Value</v>
      </c>
      <c r="Q224" s="5" t="str">
        <f>IF(Transactions_RAW_cleaned[[#This Row],[Amount]] &gt; (_xlfn.XLOOKUP(Transactions_RAW_cleaned[[#This Row],[ServiceID]],Services_cleaned[ServiceID],Services_cleaned[TransactionFeePct]) * 10000), "Yes", "No")</f>
        <v>Yes</v>
      </c>
      <c r="R224" s="5" t="str">
        <f>IF(COUNTIFS($C$2:Transactions_RAW_cleaned[[#This Row],[CustomerID]],Transactions_RAW_cleaned[[#This Row],[CustomerID]],$D$2:Transactions_RAW_cleaned[[#This Row],[ServiceID]],Transactions_RAW_cleaned[[#This Row],[ServiceID]])=1,"Yes","No")</f>
        <v>Yes</v>
      </c>
      <c r="S22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4" t="str">
        <f>"Q"&amp;ROUNDUP(MONTH(Transactions_RAW_cleaned[[#This Row],[TransactionDate]])/3,0)</f>
        <v>Q2</v>
      </c>
      <c r="U224" t="str">
        <f>Transactions_RAW_cleaned[[#This Row],[Region ]]&amp;Transactions_RAW_cleaned[[#This Row],[Quarter ]]</f>
        <v>NAQ2</v>
      </c>
      <c r="V224" s="5">
        <f>_xlfn.XLOOKUP(Transactions_RAW_cleaned[[#This Row],[RegionQuarterKey]], Quarterly_Targets_cleaned[RegionQuarterKey], Quarterly_Targets_cleaned[TargetRevenue])</f>
        <v>260000</v>
      </c>
    </row>
    <row r="225" spans="1:22" x14ac:dyDescent="0.25">
      <c r="A225" t="s">
        <v>558</v>
      </c>
      <c r="B225" s="1">
        <v>45459</v>
      </c>
      <c r="C225" t="s">
        <v>66</v>
      </c>
      <c r="D225" t="s">
        <v>312</v>
      </c>
      <c r="E225">
        <v>575.54999999999995</v>
      </c>
      <c r="F225" t="s">
        <v>324</v>
      </c>
      <c r="G225" t="s">
        <v>325</v>
      </c>
      <c r="H225" t="s">
        <v>332</v>
      </c>
      <c r="I225" t="s">
        <v>8</v>
      </c>
      <c r="J225" t="s">
        <v>46</v>
      </c>
      <c r="K225" t="s">
        <v>10</v>
      </c>
      <c r="L225" t="s">
        <v>313</v>
      </c>
      <c r="M225" t="s">
        <v>314</v>
      </c>
      <c r="N225">
        <v>0</v>
      </c>
      <c r="O225" t="str">
        <f>IF(Transactions_RAW_cleaned[[#This Row],[Status]]="Completed", IFERROR(_xlfn.XLOOKUP(Transactions_RAW_cleaned[[#This Row],[CustomerID]], Customers_cleaned[CustomerID], Customers_cleaned[Segment]), "Customer Not Found"), "N/A")</f>
        <v>SMB</v>
      </c>
      <c r="P225" s="5" t="str">
        <f>IF(Transactions_RAW_cleaned[[#This Row],[Status]]="Refunded", "Refund",
  IF(Transactions_RAW_cleaned[[#This Row],[Category]]="Payments", IF(Transactions_RAW_cleaned[[#This Row],[Amount]]&gt;500,"High Value","Standard"),
    IF(Transactions_RAW_cleaned[[#This Row],[Amount]]&gt;250,"High Value","Standard")))</f>
        <v>High Value</v>
      </c>
      <c r="Q225" s="5" t="str">
        <f>IF(Transactions_RAW_cleaned[[#This Row],[Amount]] &gt; (_xlfn.XLOOKUP(Transactions_RAW_cleaned[[#This Row],[ServiceID]],Services_cleaned[ServiceID],Services_cleaned[TransactionFeePct]) * 10000), "Yes", "No")</f>
        <v>Yes</v>
      </c>
      <c r="R225" s="5" t="str">
        <f>IF(COUNTIFS($C$2:Transactions_RAW_cleaned[[#This Row],[CustomerID]],Transactions_RAW_cleaned[[#This Row],[CustomerID]],$D$2:Transactions_RAW_cleaned[[#This Row],[ServiceID]],Transactions_RAW_cleaned[[#This Row],[ServiceID]])=1,"Yes","No")</f>
        <v>Yes</v>
      </c>
      <c r="S22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5" t="str">
        <f>"Q"&amp;ROUNDUP(MONTH(Transactions_RAW_cleaned[[#This Row],[TransactionDate]])/3,0)</f>
        <v>Q2</v>
      </c>
      <c r="U225" t="str">
        <f>Transactions_RAW_cleaned[[#This Row],[Region ]]&amp;Transactions_RAW_cleaned[[#This Row],[Quarter ]]</f>
        <v>APACQ2</v>
      </c>
      <c r="V225" s="5">
        <f>_xlfn.XLOOKUP(Transactions_RAW_cleaned[[#This Row],[RegionQuarterKey]], Quarterly_Targets_cleaned[RegionQuarterKey], Quarterly_Targets_cleaned[TargetRevenue])</f>
        <v>110000</v>
      </c>
    </row>
    <row r="226" spans="1:22" x14ac:dyDescent="0.25">
      <c r="A226" t="s">
        <v>559</v>
      </c>
      <c r="B226" s="1">
        <v>45629</v>
      </c>
      <c r="C226" t="s">
        <v>11</v>
      </c>
      <c r="D226" t="s">
        <v>312</v>
      </c>
      <c r="E226">
        <v>495.69</v>
      </c>
      <c r="F226" t="s">
        <v>381</v>
      </c>
      <c r="G226" t="s">
        <v>2963</v>
      </c>
      <c r="H226" t="s">
        <v>346</v>
      </c>
      <c r="I226" t="s">
        <v>8</v>
      </c>
      <c r="J226" t="s">
        <v>13</v>
      </c>
      <c r="K226" t="s">
        <v>14</v>
      </c>
      <c r="L226" t="s">
        <v>313</v>
      </c>
      <c r="M226" t="s">
        <v>314</v>
      </c>
      <c r="N226">
        <v>0</v>
      </c>
      <c r="O226" t="str">
        <f>IF(Transactions_RAW_cleaned[[#This Row],[Status]]="Completed", IFERROR(_xlfn.XLOOKUP(Transactions_RAW_cleaned[[#This Row],[CustomerID]], Customers_cleaned[CustomerID], Customers_cleaned[Segment]), "Customer Not Found"), "N/A")</f>
        <v>N/A</v>
      </c>
      <c r="P226" s="5" t="str">
        <f>IF(Transactions_RAW_cleaned[[#This Row],[Status]]="Refunded", "Refund",
  IF(Transactions_RAW_cleaned[[#This Row],[Category]]="Payments", IF(Transactions_RAW_cleaned[[#This Row],[Amount]]&gt;500,"High Value","Standard"),
    IF(Transactions_RAW_cleaned[[#This Row],[Amount]]&gt;250,"High Value","Standard")))</f>
        <v>High Value</v>
      </c>
      <c r="Q226" s="5" t="str">
        <f>IF(Transactions_RAW_cleaned[[#This Row],[Amount]] &gt; (_xlfn.XLOOKUP(Transactions_RAW_cleaned[[#This Row],[ServiceID]],Services_cleaned[ServiceID],Services_cleaned[TransactionFeePct]) * 10000), "Yes", "No")</f>
        <v>Yes</v>
      </c>
      <c r="R226" s="5" t="str">
        <f>IF(COUNTIFS($C$2:Transactions_RAW_cleaned[[#This Row],[CustomerID]],Transactions_RAW_cleaned[[#This Row],[CustomerID]],$D$2:Transactions_RAW_cleaned[[#This Row],[ServiceID]],Transactions_RAW_cleaned[[#This Row],[ServiceID]])=1,"Yes","No")</f>
        <v>Yes</v>
      </c>
      <c r="S22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6" t="str">
        <f>"Q"&amp;ROUNDUP(MONTH(Transactions_RAW_cleaned[[#This Row],[TransactionDate]])/3,0)</f>
        <v>Q4</v>
      </c>
      <c r="U226" t="str">
        <f>Transactions_RAW_cleaned[[#This Row],[Region ]]&amp;Transactions_RAW_cleaned[[#This Row],[Quarter ]]</f>
        <v>NAQ4</v>
      </c>
      <c r="V226" s="5">
        <f>_xlfn.XLOOKUP(Transactions_RAW_cleaned[[#This Row],[RegionQuarterKey]], Quarterly_Targets_cleaned[RegionQuarterKey], Quarterly_Targets_cleaned[TargetRevenue])</f>
        <v>299000</v>
      </c>
    </row>
    <row r="227" spans="1:22" x14ac:dyDescent="0.25">
      <c r="A227" t="s">
        <v>560</v>
      </c>
      <c r="B227" s="1">
        <v>45367</v>
      </c>
      <c r="C227" t="s">
        <v>96</v>
      </c>
      <c r="D227" t="s">
        <v>309</v>
      </c>
      <c r="E227">
        <v>785.94</v>
      </c>
      <c r="F227" t="s">
        <v>324</v>
      </c>
      <c r="G227" t="s">
        <v>329</v>
      </c>
      <c r="H227" t="s">
        <v>346</v>
      </c>
      <c r="I227" t="s">
        <v>17</v>
      </c>
      <c r="J227" t="s">
        <v>31</v>
      </c>
      <c r="K227" t="s">
        <v>14</v>
      </c>
      <c r="L227" t="s">
        <v>310</v>
      </c>
      <c r="M227" t="s">
        <v>311</v>
      </c>
      <c r="N227">
        <v>0</v>
      </c>
      <c r="O227" t="str">
        <f>IF(Transactions_RAW_cleaned[[#This Row],[Status]]="Completed", IFERROR(_xlfn.XLOOKUP(Transactions_RAW_cleaned[[#This Row],[CustomerID]], Customers_cleaned[CustomerID], Customers_cleaned[Segment]), "Customer Not Found"), "N/A")</f>
        <v>Enterprise</v>
      </c>
      <c r="P227" s="5" t="str">
        <f>IF(Transactions_RAW_cleaned[[#This Row],[Status]]="Refunded", "Refund",
  IF(Transactions_RAW_cleaned[[#This Row],[Category]]="Payments", IF(Transactions_RAW_cleaned[[#This Row],[Amount]]&gt;500,"High Value","Standard"),
    IF(Transactions_RAW_cleaned[[#This Row],[Amount]]&gt;250,"High Value","Standard")))</f>
        <v>High Value</v>
      </c>
      <c r="Q227" s="5" t="str">
        <f>IF(Transactions_RAW_cleaned[[#This Row],[Amount]] &gt; (_xlfn.XLOOKUP(Transactions_RAW_cleaned[[#This Row],[ServiceID]],Services_cleaned[ServiceID],Services_cleaned[TransactionFeePct]) * 10000), "Yes", "No")</f>
        <v>Yes</v>
      </c>
      <c r="R227" s="5" t="str">
        <f>IF(COUNTIFS($C$2:Transactions_RAW_cleaned[[#This Row],[CustomerID]],Transactions_RAW_cleaned[[#This Row],[CustomerID]],$D$2:Transactions_RAW_cleaned[[#This Row],[ServiceID]],Transactions_RAW_cleaned[[#This Row],[ServiceID]])=1,"Yes","No")</f>
        <v>Yes</v>
      </c>
      <c r="S22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27" t="str">
        <f>"Q"&amp;ROUNDUP(MONTH(Transactions_RAW_cleaned[[#This Row],[TransactionDate]])/3,0)</f>
        <v>Q1</v>
      </c>
      <c r="U227" t="str">
        <f>Transactions_RAW_cleaned[[#This Row],[Region ]]&amp;Transactions_RAW_cleaned[[#This Row],[Quarter ]]</f>
        <v>EMEAQ1</v>
      </c>
      <c r="V227" s="5">
        <f>_xlfn.XLOOKUP(Transactions_RAW_cleaned[[#This Row],[RegionQuarterKey]], Quarterly_Targets_cleaned[RegionQuarterKey], Quarterly_Targets_cleaned[TargetRevenue])</f>
        <v>133000</v>
      </c>
    </row>
    <row r="228" spans="1:22" x14ac:dyDescent="0.25">
      <c r="A228" t="s">
        <v>561</v>
      </c>
      <c r="B228" s="1">
        <v>45550</v>
      </c>
      <c r="C228" t="s">
        <v>117</v>
      </c>
      <c r="D228" t="s">
        <v>294</v>
      </c>
      <c r="E228">
        <v>351.61</v>
      </c>
      <c r="F228" t="s">
        <v>381</v>
      </c>
      <c r="G228" t="s">
        <v>325</v>
      </c>
      <c r="H228" t="s">
        <v>332</v>
      </c>
      <c r="I228" t="s">
        <v>8</v>
      </c>
      <c r="J228" t="s">
        <v>102</v>
      </c>
      <c r="K228" t="s">
        <v>14</v>
      </c>
      <c r="L228" t="s">
        <v>295</v>
      </c>
      <c r="M228" t="s">
        <v>296</v>
      </c>
      <c r="N228">
        <v>2.9000000000000001E-2</v>
      </c>
      <c r="O228" t="str">
        <f>IF(Transactions_RAW_cleaned[[#This Row],[Status]]="Completed", IFERROR(_xlfn.XLOOKUP(Transactions_RAW_cleaned[[#This Row],[CustomerID]], Customers_cleaned[CustomerID], Customers_cleaned[Segment]), "Customer Not Found"), "N/A")</f>
        <v>N/A</v>
      </c>
      <c r="P228" s="5" t="str">
        <f>IF(Transactions_RAW_cleaned[[#This Row],[Status]]="Refunded", "Refund",
  IF(Transactions_RAW_cleaned[[#This Row],[Category]]="Payments", IF(Transactions_RAW_cleaned[[#This Row],[Amount]]&gt;500,"High Value","Standard"),
    IF(Transactions_RAW_cleaned[[#This Row],[Amount]]&gt;250,"High Value","Standard")))</f>
        <v>Standard</v>
      </c>
      <c r="Q228" s="5" t="str">
        <f>IF(Transactions_RAW_cleaned[[#This Row],[Amount]] &gt; (_xlfn.XLOOKUP(Transactions_RAW_cleaned[[#This Row],[ServiceID]],Services_cleaned[ServiceID],Services_cleaned[TransactionFeePct]) * 10000), "Yes", "No")</f>
        <v>Yes</v>
      </c>
      <c r="R228" s="5" t="str">
        <f>IF(COUNTIFS($C$2:Transactions_RAW_cleaned[[#This Row],[CustomerID]],Transactions_RAW_cleaned[[#This Row],[CustomerID]],$D$2:Transactions_RAW_cleaned[[#This Row],[ServiceID]],Transactions_RAW_cleaned[[#This Row],[ServiceID]])=1,"Yes","No")</f>
        <v>No</v>
      </c>
      <c r="S22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8" t="str">
        <f>"Q"&amp;ROUNDUP(MONTH(Transactions_RAW_cleaned[[#This Row],[TransactionDate]])/3,0)</f>
        <v>Q3</v>
      </c>
      <c r="U228" t="str">
        <f>Transactions_RAW_cleaned[[#This Row],[Region ]]&amp;Transactions_RAW_cleaned[[#This Row],[Quarter ]]</f>
        <v>NAQ3</v>
      </c>
      <c r="V228" s="5">
        <f>_xlfn.XLOOKUP(Transactions_RAW_cleaned[[#This Row],[RegionQuarterKey]], Quarterly_Targets_cleaned[RegionQuarterKey], Quarterly_Targets_cleaned[TargetRevenue])</f>
        <v>273000</v>
      </c>
    </row>
    <row r="229" spans="1:22" x14ac:dyDescent="0.25">
      <c r="A229" t="s">
        <v>562</v>
      </c>
      <c r="B229" s="1">
        <v>45657</v>
      </c>
      <c r="C229" t="s">
        <v>113</v>
      </c>
      <c r="D229" t="s">
        <v>315</v>
      </c>
      <c r="E229">
        <v>-736.24</v>
      </c>
      <c r="F229" t="s">
        <v>349</v>
      </c>
      <c r="G229" t="s">
        <v>327</v>
      </c>
      <c r="I229" t="s">
        <v>57</v>
      </c>
      <c r="J229" t="s">
        <v>46</v>
      </c>
      <c r="K229" t="s">
        <v>10</v>
      </c>
      <c r="L229" t="s">
        <v>316</v>
      </c>
      <c r="M229" t="s">
        <v>305</v>
      </c>
      <c r="N229">
        <v>2.5000000000000001E-3</v>
      </c>
      <c r="O229" t="str">
        <f>IF(Transactions_RAW_cleaned[[#This Row],[Status]]="Completed", IFERROR(_xlfn.XLOOKUP(Transactions_RAW_cleaned[[#This Row],[CustomerID]], Customers_cleaned[CustomerID], Customers_cleaned[Segment]), "Customer Not Found"), "N/A")</f>
        <v>N/A</v>
      </c>
      <c r="P229" s="5" t="str">
        <f>IF(Transactions_RAW_cleaned[[#This Row],[Status]]="Refunded", "Refund",
  IF(Transactions_RAW_cleaned[[#This Row],[Category]]="Payments", IF(Transactions_RAW_cleaned[[#This Row],[Amount]]&gt;500,"High Value","Standard"),
    IF(Transactions_RAW_cleaned[[#This Row],[Amount]]&gt;250,"High Value","Standard")))</f>
        <v>Refund</v>
      </c>
      <c r="Q229" s="5" t="str">
        <f>IF(Transactions_RAW_cleaned[[#This Row],[Amount]] &gt; (_xlfn.XLOOKUP(Transactions_RAW_cleaned[[#This Row],[ServiceID]],Services_cleaned[ServiceID],Services_cleaned[TransactionFeePct]) * 10000), "Yes", "No")</f>
        <v>No</v>
      </c>
      <c r="R229" s="5" t="str">
        <f>IF(COUNTIFS($C$2:Transactions_RAW_cleaned[[#This Row],[CustomerID]],Transactions_RAW_cleaned[[#This Row],[CustomerID]],$D$2:Transactions_RAW_cleaned[[#This Row],[ServiceID]],Transactions_RAW_cleaned[[#This Row],[ServiceID]])=1,"Yes","No")</f>
        <v>Yes</v>
      </c>
      <c r="S22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9" t="str">
        <f>"Q"&amp;ROUNDUP(MONTH(Transactions_RAW_cleaned[[#This Row],[TransactionDate]])/3,0)</f>
        <v>Q4</v>
      </c>
      <c r="U229" t="str">
        <f>Transactions_RAW_cleaned[[#This Row],[Region ]]&amp;Transactions_RAW_cleaned[[#This Row],[Quarter ]]</f>
        <v>APACQ4</v>
      </c>
      <c r="V229" s="5">
        <f>_xlfn.XLOOKUP(Transactions_RAW_cleaned[[#This Row],[RegionQuarterKey]], Quarterly_Targets_cleaned[RegionQuarterKey], Quarterly_Targets_cleaned[TargetRevenue])</f>
        <v>126500</v>
      </c>
    </row>
    <row r="230" spans="1:22" x14ac:dyDescent="0.25">
      <c r="A230" t="s">
        <v>563</v>
      </c>
      <c r="B230" s="1">
        <v>45566</v>
      </c>
      <c r="C230" t="s">
        <v>179</v>
      </c>
      <c r="D230" t="s">
        <v>297</v>
      </c>
      <c r="E230">
        <v>126.71</v>
      </c>
      <c r="F230" t="s">
        <v>324</v>
      </c>
      <c r="G230" t="s">
        <v>327</v>
      </c>
      <c r="H230" t="s">
        <v>346</v>
      </c>
      <c r="I230" t="s">
        <v>8</v>
      </c>
      <c r="J230" t="s">
        <v>31</v>
      </c>
      <c r="K230" t="s">
        <v>18</v>
      </c>
      <c r="L230" t="s">
        <v>298</v>
      </c>
      <c r="M230" t="s">
        <v>299</v>
      </c>
      <c r="N230">
        <v>0</v>
      </c>
      <c r="O230" t="str">
        <f>IF(Transactions_RAW_cleaned[[#This Row],[Status]]="Completed", IFERROR(_xlfn.XLOOKUP(Transactions_RAW_cleaned[[#This Row],[CustomerID]], Customers_cleaned[CustomerID], Customers_cleaned[Segment]), "Customer Not Found"), "N/A")</f>
        <v>SMB</v>
      </c>
      <c r="P230" s="5" t="str">
        <f>IF(Transactions_RAW_cleaned[[#This Row],[Status]]="Refunded", "Refund",
  IF(Transactions_RAW_cleaned[[#This Row],[Category]]="Payments", IF(Transactions_RAW_cleaned[[#This Row],[Amount]]&gt;500,"High Value","Standard"),
    IF(Transactions_RAW_cleaned[[#This Row],[Amount]]&gt;250,"High Value","Standard")))</f>
        <v>Standard</v>
      </c>
      <c r="Q230" s="5" t="str">
        <f>IF(Transactions_RAW_cleaned[[#This Row],[Amount]] &gt; (_xlfn.XLOOKUP(Transactions_RAW_cleaned[[#This Row],[ServiceID]],Services_cleaned[ServiceID],Services_cleaned[TransactionFeePct]) * 10000), "Yes", "No")</f>
        <v>Yes</v>
      </c>
      <c r="R230" s="5" t="str">
        <f>IF(COUNTIFS($C$2:Transactions_RAW_cleaned[[#This Row],[CustomerID]],Transactions_RAW_cleaned[[#This Row],[CustomerID]],$D$2:Transactions_RAW_cleaned[[#This Row],[ServiceID]],Transactions_RAW_cleaned[[#This Row],[ServiceID]])=1,"Yes","No")</f>
        <v>Yes</v>
      </c>
      <c r="S23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0" t="str">
        <f>"Q"&amp;ROUNDUP(MONTH(Transactions_RAW_cleaned[[#This Row],[TransactionDate]])/3,0)</f>
        <v>Q4</v>
      </c>
      <c r="U230" t="str">
        <f>Transactions_RAW_cleaned[[#This Row],[Region ]]&amp;Transactions_RAW_cleaned[[#This Row],[Quarter ]]</f>
        <v>EMEAQ4</v>
      </c>
      <c r="V230" s="5">
        <f>_xlfn.XLOOKUP(Transactions_RAW_cleaned[[#This Row],[RegionQuarterKey]], Quarterly_Targets_cleaned[RegionQuarterKey], Quarterly_Targets_cleaned[TargetRevenue])</f>
        <v>161000</v>
      </c>
    </row>
    <row r="231" spans="1:22" x14ac:dyDescent="0.25">
      <c r="A231" t="s">
        <v>564</v>
      </c>
      <c r="B231" s="1">
        <v>45518</v>
      </c>
      <c r="C231" t="s">
        <v>125</v>
      </c>
      <c r="D231" t="s">
        <v>300</v>
      </c>
      <c r="E231">
        <v>311.14</v>
      </c>
      <c r="F231" t="s">
        <v>324</v>
      </c>
      <c r="G231" t="s">
        <v>327</v>
      </c>
      <c r="H231" t="s">
        <v>334</v>
      </c>
      <c r="I231" t="s">
        <v>8</v>
      </c>
      <c r="J231" t="s">
        <v>13</v>
      </c>
      <c r="K231" t="s">
        <v>28</v>
      </c>
      <c r="L231" t="s">
        <v>301</v>
      </c>
      <c r="M231" t="s">
        <v>302</v>
      </c>
      <c r="N231">
        <v>5.0000000000000001E-3</v>
      </c>
      <c r="O231" t="str">
        <f>IF(Transactions_RAW_cleaned[[#This Row],[Status]]="Completed", IFERROR(_xlfn.XLOOKUP(Transactions_RAW_cleaned[[#This Row],[CustomerID]], Customers_cleaned[CustomerID], Customers_cleaned[Segment]), "Customer Not Found"), "N/A")</f>
        <v>SMB</v>
      </c>
      <c r="P231" s="5" t="str">
        <f>IF(Transactions_RAW_cleaned[[#This Row],[Status]]="Refunded", "Refund",
  IF(Transactions_RAW_cleaned[[#This Row],[Category]]="Payments", IF(Transactions_RAW_cleaned[[#This Row],[Amount]]&gt;500,"High Value","Standard"),
    IF(Transactions_RAW_cleaned[[#This Row],[Amount]]&gt;250,"High Value","Standard")))</f>
        <v>High Value</v>
      </c>
      <c r="Q231" s="5" t="str">
        <f>IF(Transactions_RAW_cleaned[[#This Row],[Amount]] &gt; (_xlfn.XLOOKUP(Transactions_RAW_cleaned[[#This Row],[ServiceID]],Services_cleaned[ServiceID],Services_cleaned[TransactionFeePct]) * 10000), "Yes", "No")</f>
        <v>Yes</v>
      </c>
      <c r="R231" s="5" t="str">
        <f>IF(COUNTIFS($C$2:Transactions_RAW_cleaned[[#This Row],[CustomerID]],Transactions_RAW_cleaned[[#This Row],[CustomerID]],$D$2:Transactions_RAW_cleaned[[#This Row],[ServiceID]],Transactions_RAW_cleaned[[#This Row],[ServiceID]])=1,"Yes","No")</f>
        <v>No</v>
      </c>
      <c r="S23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1" t="str">
        <f>"Q"&amp;ROUNDUP(MONTH(Transactions_RAW_cleaned[[#This Row],[TransactionDate]])/3,0)</f>
        <v>Q3</v>
      </c>
      <c r="U231" t="str">
        <f>Transactions_RAW_cleaned[[#This Row],[Region ]]&amp;Transactions_RAW_cleaned[[#This Row],[Quarter ]]</f>
        <v>NAQ3</v>
      </c>
      <c r="V231" s="5">
        <f>_xlfn.XLOOKUP(Transactions_RAW_cleaned[[#This Row],[RegionQuarterKey]], Quarterly_Targets_cleaned[RegionQuarterKey], Quarterly_Targets_cleaned[TargetRevenue])</f>
        <v>273000</v>
      </c>
    </row>
    <row r="232" spans="1:22" x14ac:dyDescent="0.25">
      <c r="A232" t="s">
        <v>565</v>
      </c>
      <c r="B232" s="1">
        <v>45601</v>
      </c>
      <c r="C232" t="s">
        <v>90</v>
      </c>
      <c r="D232" t="s">
        <v>294</v>
      </c>
      <c r="E232">
        <v>428.64</v>
      </c>
      <c r="F232" t="s">
        <v>324</v>
      </c>
      <c r="G232" t="s">
        <v>325</v>
      </c>
      <c r="I232" t="s">
        <v>8</v>
      </c>
      <c r="J232" t="s">
        <v>102</v>
      </c>
      <c r="K232" t="s">
        <v>28</v>
      </c>
      <c r="L232" t="s">
        <v>295</v>
      </c>
      <c r="M232" t="s">
        <v>296</v>
      </c>
      <c r="N232">
        <v>2.9000000000000001E-2</v>
      </c>
      <c r="O232" t="str">
        <f>IF(Transactions_RAW_cleaned[[#This Row],[Status]]="Completed", IFERROR(_xlfn.XLOOKUP(Transactions_RAW_cleaned[[#This Row],[CustomerID]], Customers_cleaned[CustomerID], Customers_cleaned[Segment]), "Customer Not Found"), "N/A")</f>
        <v>SMB</v>
      </c>
      <c r="P232" s="5" t="str">
        <f>IF(Transactions_RAW_cleaned[[#This Row],[Status]]="Refunded", "Refund",
  IF(Transactions_RAW_cleaned[[#This Row],[Category]]="Payments", IF(Transactions_RAW_cleaned[[#This Row],[Amount]]&gt;500,"High Value","Standard"),
    IF(Transactions_RAW_cleaned[[#This Row],[Amount]]&gt;250,"High Value","Standard")))</f>
        <v>Standard</v>
      </c>
      <c r="Q232" s="5" t="str">
        <f>IF(Transactions_RAW_cleaned[[#This Row],[Amount]] &gt; (_xlfn.XLOOKUP(Transactions_RAW_cleaned[[#This Row],[ServiceID]],Services_cleaned[ServiceID],Services_cleaned[TransactionFeePct]) * 10000), "Yes", "No")</f>
        <v>Yes</v>
      </c>
      <c r="R232" s="5" t="str">
        <f>IF(COUNTIFS($C$2:Transactions_RAW_cleaned[[#This Row],[CustomerID]],Transactions_RAW_cleaned[[#This Row],[CustomerID]],$D$2:Transactions_RAW_cleaned[[#This Row],[ServiceID]],Transactions_RAW_cleaned[[#This Row],[ServiceID]])=1,"Yes","No")</f>
        <v>No</v>
      </c>
      <c r="S23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2" t="str">
        <f>"Q"&amp;ROUNDUP(MONTH(Transactions_RAW_cleaned[[#This Row],[TransactionDate]])/3,0)</f>
        <v>Q4</v>
      </c>
      <c r="U232" t="str">
        <f>Transactions_RAW_cleaned[[#This Row],[Region ]]&amp;Transactions_RAW_cleaned[[#This Row],[Quarter ]]</f>
        <v>NAQ4</v>
      </c>
      <c r="V232" s="5">
        <f>_xlfn.XLOOKUP(Transactions_RAW_cleaned[[#This Row],[RegionQuarterKey]], Quarterly_Targets_cleaned[RegionQuarterKey], Quarterly_Targets_cleaned[TargetRevenue])</f>
        <v>299000</v>
      </c>
    </row>
    <row r="233" spans="1:22" x14ac:dyDescent="0.25">
      <c r="A233" t="s">
        <v>566</v>
      </c>
      <c r="B233" s="1">
        <v>45295</v>
      </c>
      <c r="C233" t="s">
        <v>86</v>
      </c>
      <c r="D233" t="s">
        <v>309</v>
      </c>
      <c r="E233">
        <v>1019.5</v>
      </c>
      <c r="F233" t="s">
        <v>324</v>
      </c>
      <c r="G233" t="s">
        <v>337</v>
      </c>
      <c r="H233" t="s">
        <v>332</v>
      </c>
      <c r="I233" t="s">
        <v>8</v>
      </c>
      <c r="J233" t="s">
        <v>102</v>
      </c>
      <c r="K233" t="s">
        <v>18</v>
      </c>
      <c r="L233" t="s">
        <v>310</v>
      </c>
      <c r="M233" t="s">
        <v>311</v>
      </c>
      <c r="N233">
        <v>0</v>
      </c>
      <c r="O233" t="str">
        <f>IF(Transactions_RAW_cleaned[[#This Row],[Status]]="Completed", IFERROR(_xlfn.XLOOKUP(Transactions_RAW_cleaned[[#This Row],[CustomerID]], Customers_cleaned[CustomerID], Customers_cleaned[Segment]), "Customer Not Found"), "N/A")</f>
        <v>SMB</v>
      </c>
      <c r="P233" s="5" t="str">
        <f>IF(Transactions_RAW_cleaned[[#This Row],[Status]]="Refunded", "Refund",
  IF(Transactions_RAW_cleaned[[#This Row],[Category]]="Payments", IF(Transactions_RAW_cleaned[[#This Row],[Amount]]&gt;500,"High Value","Standard"),
    IF(Transactions_RAW_cleaned[[#This Row],[Amount]]&gt;250,"High Value","Standard")))</f>
        <v>High Value</v>
      </c>
      <c r="Q233" s="5" t="str">
        <f>IF(Transactions_RAW_cleaned[[#This Row],[Amount]] &gt; (_xlfn.XLOOKUP(Transactions_RAW_cleaned[[#This Row],[ServiceID]],Services_cleaned[ServiceID],Services_cleaned[TransactionFeePct]) * 10000), "Yes", "No")</f>
        <v>Yes</v>
      </c>
      <c r="R233" s="5" t="str">
        <f>IF(COUNTIFS($C$2:Transactions_RAW_cleaned[[#This Row],[CustomerID]],Transactions_RAW_cleaned[[#This Row],[CustomerID]],$D$2:Transactions_RAW_cleaned[[#This Row],[ServiceID]],Transactions_RAW_cleaned[[#This Row],[ServiceID]])=1,"Yes","No")</f>
        <v>Yes</v>
      </c>
      <c r="S23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3" t="str">
        <f>"Q"&amp;ROUNDUP(MONTH(Transactions_RAW_cleaned[[#This Row],[TransactionDate]])/3,0)</f>
        <v>Q1</v>
      </c>
      <c r="U233" t="str">
        <f>Transactions_RAW_cleaned[[#This Row],[Region ]]&amp;Transactions_RAW_cleaned[[#This Row],[Quarter ]]</f>
        <v>NAQ1</v>
      </c>
      <c r="V233" s="5">
        <f>_xlfn.XLOOKUP(Transactions_RAW_cleaned[[#This Row],[RegionQuarterKey]], Quarterly_Targets_cleaned[RegionQuarterKey], Quarterly_Targets_cleaned[TargetRevenue])</f>
        <v>247000</v>
      </c>
    </row>
    <row r="234" spans="1:22" x14ac:dyDescent="0.25">
      <c r="A234" t="s">
        <v>567</v>
      </c>
      <c r="B234" s="1">
        <v>45362</v>
      </c>
      <c r="C234" t="s">
        <v>269</v>
      </c>
      <c r="D234" t="s">
        <v>312</v>
      </c>
      <c r="E234">
        <v>356.55</v>
      </c>
      <c r="F234" t="s">
        <v>324</v>
      </c>
      <c r="G234" t="s">
        <v>325</v>
      </c>
      <c r="I234" t="s">
        <v>17</v>
      </c>
      <c r="J234" t="s">
        <v>31</v>
      </c>
      <c r="K234" t="s">
        <v>32</v>
      </c>
      <c r="L234" t="s">
        <v>313</v>
      </c>
      <c r="M234" t="s">
        <v>314</v>
      </c>
      <c r="N234">
        <v>0</v>
      </c>
      <c r="O234" t="str">
        <f>IF(Transactions_RAW_cleaned[[#This Row],[Status]]="Completed", IFERROR(_xlfn.XLOOKUP(Transactions_RAW_cleaned[[#This Row],[CustomerID]], Customers_cleaned[CustomerID], Customers_cleaned[Segment]), "Customer Not Found"), "N/A")</f>
        <v>Enterprise</v>
      </c>
      <c r="P234" s="5" t="str">
        <f>IF(Transactions_RAW_cleaned[[#This Row],[Status]]="Refunded", "Refund",
  IF(Transactions_RAW_cleaned[[#This Row],[Category]]="Payments", IF(Transactions_RAW_cleaned[[#This Row],[Amount]]&gt;500,"High Value","Standard"),
    IF(Transactions_RAW_cleaned[[#This Row],[Amount]]&gt;250,"High Value","Standard")))</f>
        <v>High Value</v>
      </c>
      <c r="Q234" s="5" t="str">
        <f>IF(Transactions_RAW_cleaned[[#This Row],[Amount]] &gt; (_xlfn.XLOOKUP(Transactions_RAW_cleaned[[#This Row],[ServiceID]],Services_cleaned[ServiceID],Services_cleaned[TransactionFeePct]) * 10000), "Yes", "No")</f>
        <v>Yes</v>
      </c>
      <c r="R234" s="5" t="str">
        <f>IF(COUNTIFS($C$2:Transactions_RAW_cleaned[[#This Row],[CustomerID]],Transactions_RAW_cleaned[[#This Row],[CustomerID]],$D$2:Transactions_RAW_cleaned[[#This Row],[ServiceID]],Transactions_RAW_cleaned[[#This Row],[ServiceID]])=1,"Yes","No")</f>
        <v>Yes</v>
      </c>
      <c r="S23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4" t="str">
        <f>"Q"&amp;ROUNDUP(MONTH(Transactions_RAW_cleaned[[#This Row],[TransactionDate]])/3,0)</f>
        <v>Q1</v>
      </c>
      <c r="U234" t="str">
        <f>Transactions_RAW_cleaned[[#This Row],[Region ]]&amp;Transactions_RAW_cleaned[[#This Row],[Quarter ]]</f>
        <v>EMEAQ1</v>
      </c>
      <c r="V234" s="5">
        <f>_xlfn.XLOOKUP(Transactions_RAW_cleaned[[#This Row],[RegionQuarterKey]], Quarterly_Targets_cleaned[RegionQuarterKey], Quarterly_Targets_cleaned[TargetRevenue])</f>
        <v>133000</v>
      </c>
    </row>
    <row r="235" spans="1:22" x14ac:dyDescent="0.25">
      <c r="A235" t="s">
        <v>568</v>
      </c>
      <c r="B235" s="1">
        <v>45621</v>
      </c>
      <c r="C235" t="s">
        <v>153</v>
      </c>
      <c r="D235" t="s">
        <v>315</v>
      </c>
      <c r="E235">
        <v>520.79</v>
      </c>
      <c r="F235" t="s">
        <v>324</v>
      </c>
      <c r="G235" t="s">
        <v>327</v>
      </c>
      <c r="I235" t="s">
        <v>8</v>
      </c>
      <c r="J235" t="s">
        <v>37</v>
      </c>
      <c r="K235" t="s">
        <v>32</v>
      </c>
      <c r="L235" t="s">
        <v>316</v>
      </c>
      <c r="M235" t="s">
        <v>305</v>
      </c>
      <c r="N235">
        <v>2.5000000000000001E-3</v>
      </c>
      <c r="O235" t="str">
        <f>IF(Transactions_RAW_cleaned[[#This Row],[Status]]="Completed", IFERROR(_xlfn.XLOOKUP(Transactions_RAW_cleaned[[#This Row],[CustomerID]], Customers_cleaned[CustomerID], Customers_cleaned[Segment]), "Customer Not Found"), "N/A")</f>
        <v>SMB</v>
      </c>
      <c r="P235" s="5" t="str">
        <f>IF(Transactions_RAW_cleaned[[#This Row],[Status]]="Refunded", "Refund",
  IF(Transactions_RAW_cleaned[[#This Row],[Category]]="Payments", IF(Transactions_RAW_cleaned[[#This Row],[Amount]]&gt;500,"High Value","Standard"),
    IF(Transactions_RAW_cleaned[[#This Row],[Amount]]&gt;250,"High Value","Standard")))</f>
        <v>High Value</v>
      </c>
      <c r="Q235" s="5" t="str">
        <f>IF(Transactions_RAW_cleaned[[#This Row],[Amount]] &gt; (_xlfn.XLOOKUP(Transactions_RAW_cleaned[[#This Row],[ServiceID]],Services_cleaned[ServiceID],Services_cleaned[TransactionFeePct]) * 10000), "Yes", "No")</f>
        <v>Yes</v>
      </c>
      <c r="R235" s="5" t="str">
        <f>IF(COUNTIFS($C$2:Transactions_RAW_cleaned[[#This Row],[CustomerID]],Transactions_RAW_cleaned[[#This Row],[CustomerID]],$D$2:Transactions_RAW_cleaned[[#This Row],[ServiceID]],Transactions_RAW_cleaned[[#This Row],[ServiceID]])=1,"Yes","No")</f>
        <v>Yes</v>
      </c>
      <c r="S23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5" t="str">
        <f>"Q"&amp;ROUNDUP(MONTH(Transactions_RAW_cleaned[[#This Row],[TransactionDate]])/3,0)</f>
        <v>Q4</v>
      </c>
      <c r="U235" t="str">
        <f>Transactions_RAW_cleaned[[#This Row],[Region ]]&amp;Transactions_RAW_cleaned[[#This Row],[Quarter ]]</f>
        <v>EMEAQ4</v>
      </c>
      <c r="V235" s="5">
        <f>_xlfn.XLOOKUP(Transactions_RAW_cleaned[[#This Row],[RegionQuarterKey]], Quarterly_Targets_cleaned[RegionQuarterKey], Quarterly_Targets_cleaned[TargetRevenue])</f>
        <v>161000</v>
      </c>
    </row>
    <row r="236" spans="1:22" x14ac:dyDescent="0.25">
      <c r="A236" t="s">
        <v>569</v>
      </c>
      <c r="B236" s="1">
        <v>45544</v>
      </c>
      <c r="C236" t="s">
        <v>153</v>
      </c>
      <c r="D236" t="s">
        <v>294</v>
      </c>
      <c r="E236">
        <v>455.28</v>
      </c>
      <c r="F236" t="s">
        <v>331</v>
      </c>
      <c r="G236" t="s">
        <v>325</v>
      </c>
      <c r="I236" t="s">
        <v>8</v>
      </c>
      <c r="J236" t="s">
        <v>37</v>
      </c>
      <c r="K236" t="s">
        <v>32</v>
      </c>
      <c r="L236" t="s">
        <v>295</v>
      </c>
      <c r="M236" t="s">
        <v>296</v>
      </c>
      <c r="N236">
        <v>2.9000000000000001E-2</v>
      </c>
      <c r="O236" t="str">
        <f>IF(Transactions_RAW_cleaned[[#This Row],[Status]]="Completed", IFERROR(_xlfn.XLOOKUP(Transactions_RAW_cleaned[[#This Row],[CustomerID]], Customers_cleaned[CustomerID], Customers_cleaned[Segment]), "Customer Not Found"), "N/A")</f>
        <v>N/A</v>
      </c>
      <c r="P236" s="5" t="str">
        <f>IF(Transactions_RAW_cleaned[[#This Row],[Status]]="Refunded", "Refund",
  IF(Transactions_RAW_cleaned[[#This Row],[Category]]="Payments", IF(Transactions_RAW_cleaned[[#This Row],[Amount]]&gt;500,"High Value","Standard"),
    IF(Transactions_RAW_cleaned[[#This Row],[Amount]]&gt;250,"High Value","Standard")))</f>
        <v>Standard</v>
      </c>
      <c r="Q236" s="5" t="str">
        <f>IF(Transactions_RAW_cleaned[[#This Row],[Amount]] &gt; (_xlfn.XLOOKUP(Transactions_RAW_cleaned[[#This Row],[ServiceID]],Services_cleaned[ServiceID],Services_cleaned[TransactionFeePct]) * 10000), "Yes", "No")</f>
        <v>Yes</v>
      </c>
      <c r="R236" s="5" t="str">
        <f>IF(COUNTIFS($C$2:Transactions_RAW_cleaned[[#This Row],[CustomerID]],Transactions_RAW_cleaned[[#This Row],[CustomerID]],$D$2:Transactions_RAW_cleaned[[#This Row],[ServiceID]],Transactions_RAW_cleaned[[#This Row],[ServiceID]])=1,"Yes","No")</f>
        <v>Yes</v>
      </c>
      <c r="S23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6" t="str">
        <f>"Q"&amp;ROUNDUP(MONTH(Transactions_RAW_cleaned[[#This Row],[TransactionDate]])/3,0)</f>
        <v>Q3</v>
      </c>
      <c r="U236" t="str">
        <f>Transactions_RAW_cleaned[[#This Row],[Region ]]&amp;Transactions_RAW_cleaned[[#This Row],[Quarter ]]</f>
        <v>EMEAQ3</v>
      </c>
      <c r="V236" s="5">
        <f>_xlfn.XLOOKUP(Transactions_RAW_cleaned[[#This Row],[RegionQuarterKey]], Quarterly_Targets_cleaned[RegionQuarterKey], Quarterly_Targets_cleaned[TargetRevenue])</f>
        <v>147000</v>
      </c>
    </row>
    <row r="237" spans="1:22" x14ac:dyDescent="0.25">
      <c r="A237" t="s">
        <v>570</v>
      </c>
      <c r="B237" s="1">
        <v>45390</v>
      </c>
      <c r="C237" t="s">
        <v>38</v>
      </c>
      <c r="D237" t="s">
        <v>294</v>
      </c>
      <c r="E237">
        <v>325.35000000000002</v>
      </c>
      <c r="F237" t="s">
        <v>331</v>
      </c>
      <c r="G237" t="s">
        <v>327</v>
      </c>
      <c r="I237" t="s">
        <v>8</v>
      </c>
      <c r="J237" t="s">
        <v>102</v>
      </c>
      <c r="K237" t="s">
        <v>28</v>
      </c>
      <c r="L237" t="s">
        <v>295</v>
      </c>
      <c r="M237" t="s">
        <v>296</v>
      </c>
      <c r="N237">
        <v>2.9000000000000001E-2</v>
      </c>
      <c r="O237" t="str">
        <f>IF(Transactions_RAW_cleaned[[#This Row],[Status]]="Completed", IFERROR(_xlfn.XLOOKUP(Transactions_RAW_cleaned[[#This Row],[CustomerID]], Customers_cleaned[CustomerID], Customers_cleaned[Segment]), "Customer Not Found"), "N/A")</f>
        <v>N/A</v>
      </c>
      <c r="P237" s="5" t="str">
        <f>IF(Transactions_RAW_cleaned[[#This Row],[Status]]="Refunded", "Refund",
  IF(Transactions_RAW_cleaned[[#This Row],[Category]]="Payments", IF(Transactions_RAW_cleaned[[#This Row],[Amount]]&gt;500,"High Value","Standard"),
    IF(Transactions_RAW_cleaned[[#This Row],[Amount]]&gt;250,"High Value","Standard")))</f>
        <v>Standard</v>
      </c>
      <c r="Q237" s="5" t="str">
        <f>IF(Transactions_RAW_cleaned[[#This Row],[Amount]] &gt; (_xlfn.XLOOKUP(Transactions_RAW_cleaned[[#This Row],[ServiceID]],Services_cleaned[ServiceID],Services_cleaned[TransactionFeePct]) * 10000), "Yes", "No")</f>
        <v>Yes</v>
      </c>
      <c r="R237" s="5" t="str">
        <f>IF(COUNTIFS($C$2:Transactions_RAW_cleaned[[#This Row],[CustomerID]],Transactions_RAW_cleaned[[#This Row],[CustomerID]],$D$2:Transactions_RAW_cleaned[[#This Row],[ServiceID]],Transactions_RAW_cleaned[[#This Row],[ServiceID]])=1,"Yes","No")</f>
        <v>Yes</v>
      </c>
      <c r="S23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7" t="str">
        <f>"Q"&amp;ROUNDUP(MONTH(Transactions_RAW_cleaned[[#This Row],[TransactionDate]])/3,0)</f>
        <v>Q2</v>
      </c>
      <c r="U237" t="str">
        <f>Transactions_RAW_cleaned[[#This Row],[Region ]]&amp;Transactions_RAW_cleaned[[#This Row],[Quarter ]]</f>
        <v>NAQ2</v>
      </c>
      <c r="V237" s="5">
        <f>_xlfn.XLOOKUP(Transactions_RAW_cleaned[[#This Row],[RegionQuarterKey]], Quarterly_Targets_cleaned[RegionQuarterKey], Quarterly_Targets_cleaned[TargetRevenue])</f>
        <v>260000</v>
      </c>
    </row>
    <row r="238" spans="1:22" x14ac:dyDescent="0.25">
      <c r="A238" t="s">
        <v>571</v>
      </c>
      <c r="B238" s="1">
        <v>45369</v>
      </c>
      <c r="C238" t="s">
        <v>217</v>
      </c>
      <c r="D238" t="s">
        <v>297</v>
      </c>
      <c r="E238">
        <v>1224.22</v>
      </c>
      <c r="F238" t="s">
        <v>324</v>
      </c>
      <c r="G238" t="s">
        <v>325</v>
      </c>
      <c r="I238" t="s">
        <v>17</v>
      </c>
      <c r="J238" t="s">
        <v>102</v>
      </c>
      <c r="K238" t="s">
        <v>14</v>
      </c>
      <c r="L238" t="s">
        <v>298</v>
      </c>
      <c r="M238" t="s">
        <v>299</v>
      </c>
      <c r="N238">
        <v>0</v>
      </c>
      <c r="O238" t="str">
        <f>IF(Transactions_RAW_cleaned[[#This Row],[Status]]="Completed", IFERROR(_xlfn.XLOOKUP(Transactions_RAW_cleaned[[#This Row],[CustomerID]], Customers_cleaned[CustomerID], Customers_cleaned[Segment]), "Customer Not Found"), "N/A")</f>
        <v>Enterprise</v>
      </c>
      <c r="P238" s="5" t="str">
        <f>IF(Transactions_RAW_cleaned[[#This Row],[Status]]="Refunded", "Refund",
  IF(Transactions_RAW_cleaned[[#This Row],[Category]]="Payments", IF(Transactions_RAW_cleaned[[#This Row],[Amount]]&gt;500,"High Value","Standard"),
    IF(Transactions_RAW_cleaned[[#This Row],[Amount]]&gt;250,"High Value","Standard")))</f>
        <v>High Value</v>
      </c>
      <c r="Q238" s="5" t="str">
        <f>IF(Transactions_RAW_cleaned[[#This Row],[Amount]] &gt; (_xlfn.XLOOKUP(Transactions_RAW_cleaned[[#This Row],[ServiceID]],Services_cleaned[ServiceID],Services_cleaned[TransactionFeePct]) * 10000), "Yes", "No")</f>
        <v>Yes</v>
      </c>
      <c r="R238" s="5" t="str">
        <f>IF(COUNTIFS($C$2:Transactions_RAW_cleaned[[#This Row],[CustomerID]],Transactions_RAW_cleaned[[#This Row],[CustomerID]],$D$2:Transactions_RAW_cleaned[[#This Row],[ServiceID]],Transactions_RAW_cleaned[[#This Row],[ServiceID]])=1,"Yes","No")</f>
        <v>Yes</v>
      </c>
      <c r="S23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8" t="str">
        <f>"Q"&amp;ROUNDUP(MONTH(Transactions_RAW_cleaned[[#This Row],[TransactionDate]])/3,0)</f>
        <v>Q1</v>
      </c>
      <c r="U238" t="str">
        <f>Transactions_RAW_cleaned[[#This Row],[Region ]]&amp;Transactions_RAW_cleaned[[#This Row],[Quarter ]]</f>
        <v>NAQ1</v>
      </c>
      <c r="V238" s="5">
        <f>_xlfn.XLOOKUP(Transactions_RAW_cleaned[[#This Row],[RegionQuarterKey]], Quarterly_Targets_cleaned[RegionQuarterKey], Quarterly_Targets_cleaned[TargetRevenue])</f>
        <v>247000</v>
      </c>
    </row>
    <row r="239" spans="1:22" x14ac:dyDescent="0.25">
      <c r="A239" t="s">
        <v>572</v>
      </c>
      <c r="B239" s="1">
        <v>45446</v>
      </c>
      <c r="C239" t="s">
        <v>70</v>
      </c>
      <c r="D239" t="s">
        <v>312</v>
      </c>
      <c r="E239">
        <v>382.3</v>
      </c>
      <c r="F239" t="s">
        <v>324</v>
      </c>
      <c r="G239" t="s">
        <v>327</v>
      </c>
      <c r="I239" t="s">
        <v>8</v>
      </c>
      <c r="J239" t="s">
        <v>37</v>
      </c>
      <c r="K239" t="s">
        <v>28</v>
      </c>
      <c r="L239" t="s">
        <v>313</v>
      </c>
      <c r="M239" t="s">
        <v>314</v>
      </c>
      <c r="N239">
        <v>0</v>
      </c>
      <c r="O239" t="str">
        <f>IF(Transactions_RAW_cleaned[[#This Row],[Status]]="Completed", IFERROR(_xlfn.XLOOKUP(Transactions_RAW_cleaned[[#This Row],[CustomerID]], Customers_cleaned[CustomerID], Customers_cleaned[Segment]), "Customer Not Found"), "N/A")</f>
        <v>SMB</v>
      </c>
      <c r="P239" s="5" t="str">
        <f>IF(Transactions_RAW_cleaned[[#This Row],[Status]]="Refunded", "Refund",
  IF(Transactions_RAW_cleaned[[#This Row],[Category]]="Payments", IF(Transactions_RAW_cleaned[[#This Row],[Amount]]&gt;500,"High Value","Standard"),
    IF(Transactions_RAW_cleaned[[#This Row],[Amount]]&gt;250,"High Value","Standard")))</f>
        <v>High Value</v>
      </c>
      <c r="Q239" s="5" t="str">
        <f>IF(Transactions_RAW_cleaned[[#This Row],[Amount]] &gt; (_xlfn.XLOOKUP(Transactions_RAW_cleaned[[#This Row],[ServiceID]],Services_cleaned[ServiceID],Services_cleaned[TransactionFeePct]) * 10000), "Yes", "No")</f>
        <v>Yes</v>
      </c>
      <c r="R239" s="5" t="str">
        <f>IF(COUNTIFS($C$2:Transactions_RAW_cleaned[[#This Row],[CustomerID]],Transactions_RAW_cleaned[[#This Row],[CustomerID]],$D$2:Transactions_RAW_cleaned[[#This Row],[ServiceID]],Transactions_RAW_cleaned[[#This Row],[ServiceID]])=1,"Yes","No")</f>
        <v>No</v>
      </c>
      <c r="S23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9" t="str">
        <f>"Q"&amp;ROUNDUP(MONTH(Transactions_RAW_cleaned[[#This Row],[TransactionDate]])/3,0)</f>
        <v>Q2</v>
      </c>
      <c r="U239" t="str">
        <f>Transactions_RAW_cleaned[[#This Row],[Region ]]&amp;Transactions_RAW_cleaned[[#This Row],[Quarter ]]</f>
        <v>EMEAQ2</v>
      </c>
      <c r="V239" s="5">
        <f>_xlfn.XLOOKUP(Transactions_RAW_cleaned[[#This Row],[RegionQuarterKey]], Quarterly_Targets_cleaned[RegionQuarterKey], Quarterly_Targets_cleaned[TargetRevenue])</f>
        <v>140000</v>
      </c>
    </row>
    <row r="240" spans="1:22" x14ac:dyDescent="0.25">
      <c r="A240" t="s">
        <v>573</v>
      </c>
      <c r="B240" s="1">
        <v>45565</v>
      </c>
      <c r="C240" t="s">
        <v>137</v>
      </c>
      <c r="D240" t="s">
        <v>306</v>
      </c>
      <c r="E240">
        <v>-533.47</v>
      </c>
      <c r="F240" t="s">
        <v>349</v>
      </c>
      <c r="G240" t="s">
        <v>327</v>
      </c>
      <c r="H240" t="s">
        <v>334</v>
      </c>
      <c r="I240" t="s">
        <v>8</v>
      </c>
      <c r="J240" t="s">
        <v>13</v>
      </c>
      <c r="K240" t="s">
        <v>18</v>
      </c>
      <c r="L240" t="s">
        <v>307</v>
      </c>
      <c r="M240" t="s">
        <v>308</v>
      </c>
      <c r="N240">
        <v>0</v>
      </c>
      <c r="O240" t="str">
        <f>IF(Transactions_RAW_cleaned[[#This Row],[Status]]="Completed", IFERROR(_xlfn.XLOOKUP(Transactions_RAW_cleaned[[#This Row],[CustomerID]], Customers_cleaned[CustomerID], Customers_cleaned[Segment]), "Customer Not Found"), "N/A")</f>
        <v>N/A</v>
      </c>
      <c r="P240" s="5" t="str">
        <f>IF(Transactions_RAW_cleaned[[#This Row],[Status]]="Refunded", "Refund",
  IF(Transactions_RAW_cleaned[[#This Row],[Category]]="Payments", IF(Transactions_RAW_cleaned[[#This Row],[Amount]]&gt;500,"High Value","Standard"),
    IF(Transactions_RAW_cleaned[[#This Row],[Amount]]&gt;250,"High Value","Standard")))</f>
        <v>Refund</v>
      </c>
      <c r="Q240" s="5" t="str">
        <f>IF(Transactions_RAW_cleaned[[#This Row],[Amount]] &gt; (_xlfn.XLOOKUP(Transactions_RAW_cleaned[[#This Row],[ServiceID]],Services_cleaned[ServiceID],Services_cleaned[TransactionFeePct]) * 10000), "Yes", "No")</f>
        <v>No</v>
      </c>
      <c r="R240" s="5" t="str">
        <f>IF(COUNTIFS($C$2:Transactions_RAW_cleaned[[#This Row],[CustomerID]],Transactions_RAW_cleaned[[#This Row],[CustomerID]],$D$2:Transactions_RAW_cleaned[[#This Row],[ServiceID]],Transactions_RAW_cleaned[[#This Row],[ServiceID]])=1,"Yes","No")</f>
        <v>No</v>
      </c>
      <c r="S24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0" t="str">
        <f>"Q"&amp;ROUNDUP(MONTH(Transactions_RAW_cleaned[[#This Row],[TransactionDate]])/3,0)</f>
        <v>Q3</v>
      </c>
      <c r="U240" t="str">
        <f>Transactions_RAW_cleaned[[#This Row],[Region ]]&amp;Transactions_RAW_cleaned[[#This Row],[Quarter ]]</f>
        <v>NAQ3</v>
      </c>
      <c r="V240" s="5">
        <f>_xlfn.XLOOKUP(Transactions_RAW_cleaned[[#This Row],[RegionQuarterKey]], Quarterly_Targets_cleaned[RegionQuarterKey], Quarterly_Targets_cleaned[TargetRevenue])</f>
        <v>273000</v>
      </c>
    </row>
    <row r="241" spans="1:22" x14ac:dyDescent="0.25">
      <c r="A241" t="s">
        <v>574</v>
      </c>
      <c r="B241" s="1">
        <v>45619</v>
      </c>
      <c r="C241" t="s">
        <v>271</v>
      </c>
      <c r="D241" t="s">
        <v>294</v>
      </c>
      <c r="E241">
        <v>205.12</v>
      </c>
      <c r="F241" t="s">
        <v>324</v>
      </c>
      <c r="G241" t="s">
        <v>327</v>
      </c>
      <c r="H241" t="s">
        <v>334</v>
      </c>
      <c r="I241" t="s">
        <v>8</v>
      </c>
      <c r="J241" t="s">
        <v>102</v>
      </c>
      <c r="K241" t="s">
        <v>28</v>
      </c>
      <c r="L241" t="s">
        <v>295</v>
      </c>
      <c r="M241" t="s">
        <v>296</v>
      </c>
      <c r="N241">
        <v>2.9000000000000001E-2</v>
      </c>
      <c r="O241" t="str">
        <f>IF(Transactions_RAW_cleaned[[#This Row],[Status]]="Completed", IFERROR(_xlfn.XLOOKUP(Transactions_RAW_cleaned[[#This Row],[CustomerID]], Customers_cleaned[CustomerID], Customers_cleaned[Segment]), "Customer Not Found"), "N/A")</f>
        <v>SMB</v>
      </c>
      <c r="P241" s="5" t="str">
        <f>IF(Transactions_RAW_cleaned[[#This Row],[Status]]="Refunded", "Refund",
  IF(Transactions_RAW_cleaned[[#This Row],[Category]]="Payments", IF(Transactions_RAW_cleaned[[#This Row],[Amount]]&gt;500,"High Value","Standard"),
    IF(Transactions_RAW_cleaned[[#This Row],[Amount]]&gt;250,"High Value","Standard")))</f>
        <v>Standard</v>
      </c>
      <c r="Q241" s="5" t="str">
        <f>IF(Transactions_RAW_cleaned[[#This Row],[Amount]] &gt; (_xlfn.XLOOKUP(Transactions_RAW_cleaned[[#This Row],[ServiceID]],Services_cleaned[ServiceID],Services_cleaned[TransactionFeePct]) * 10000), "Yes", "No")</f>
        <v>No</v>
      </c>
      <c r="R241" s="5" t="str">
        <f>IF(COUNTIFS($C$2:Transactions_RAW_cleaned[[#This Row],[CustomerID]],Transactions_RAW_cleaned[[#This Row],[CustomerID]],$D$2:Transactions_RAW_cleaned[[#This Row],[ServiceID]],Transactions_RAW_cleaned[[#This Row],[ServiceID]])=1,"Yes","No")</f>
        <v>Yes</v>
      </c>
      <c r="S24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1" t="str">
        <f>"Q"&amp;ROUNDUP(MONTH(Transactions_RAW_cleaned[[#This Row],[TransactionDate]])/3,0)</f>
        <v>Q4</v>
      </c>
      <c r="U241" t="str">
        <f>Transactions_RAW_cleaned[[#This Row],[Region ]]&amp;Transactions_RAW_cleaned[[#This Row],[Quarter ]]</f>
        <v>NAQ4</v>
      </c>
      <c r="V241" s="5">
        <f>_xlfn.XLOOKUP(Transactions_RAW_cleaned[[#This Row],[RegionQuarterKey]], Quarterly_Targets_cleaned[RegionQuarterKey], Quarterly_Targets_cleaned[TargetRevenue])</f>
        <v>299000</v>
      </c>
    </row>
    <row r="242" spans="1:22" x14ac:dyDescent="0.25">
      <c r="A242" t="s">
        <v>575</v>
      </c>
      <c r="B242" s="1">
        <v>45525</v>
      </c>
      <c r="C242" t="s">
        <v>82</v>
      </c>
      <c r="D242" t="s">
        <v>294</v>
      </c>
      <c r="E242">
        <v>-980.49</v>
      </c>
      <c r="F242" t="s">
        <v>349</v>
      </c>
      <c r="G242" t="s">
        <v>325</v>
      </c>
      <c r="H242" t="s">
        <v>332</v>
      </c>
      <c r="I242" t="s">
        <v>57</v>
      </c>
      <c r="J242" t="s">
        <v>46</v>
      </c>
      <c r="K242" t="s">
        <v>10</v>
      </c>
      <c r="L242" t="s">
        <v>295</v>
      </c>
      <c r="M242" t="s">
        <v>296</v>
      </c>
      <c r="N242">
        <v>2.9000000000000001E-2</v>
      </c>
      <c r="O242" t="str">
        <f>IF(Transactions_RAW_cleaned[[#This Row],[Status]]="Completed", IFERROR(_xlfn.XLOOKUP(Transactions_RAW_cleaned[[#This Row],[CustomerID]], Customers_cleaned[CustomerID], Customers_cleaned[Segment]), "Customer Not Found"), "N/A")</f>
        <v>N/A</v>
      </c>
      <c r="P242" s="5" t="str">
        <f>IF(Transactions_RAW_cleaned[[#This Row],[Status]]="Refunded", "Refund",
  IF(Transactions_RAW_cleaned[[#This Row],[Category]]="Payments", IF(Transactions_RAW_cleaned[[#This Row],[Amount]]&gt;500,"High Value","Standard"),
    IF(Transactions_RAW_cleaned[[#This Row],[Amount]]&gt;250,"High Value","Standard")))</f>
        <v>Refund</v>
      </c>
      <c r="Q242" s="5" t="str">
        <f>IF(Transactions_RAW_cleaned[[#This Row],[Amount]] &gt; (_xlfn.XLOOKUP(Transactions_RAW_cleaned[[#This Row],[ServiceID]],Services_cleaned[ServiceID],Services_cleaned[TransactionFeePct]) * 10000), "Yes", "No")</f>
        <v>No</v>
      </c>
      <c r="R242" s="5" t="str">
        <f>IF(COUNTIFS($C$2:Transactions_RAW_cleaned[[#This Row],[CustomerID]],Transactions_RAW_cleaned[[#This Row],[CustomerID]],$D$2:Transactions_RAW_cleaned[[#This Row],[ServiceID]],Transactions_RAW_cleaned[[#This Row],[ServiceID]])=1,"Yes","No")</f>
        <v>No</v>
      </c>
      <c r="S24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2" t="str">
        <f>"Q"&amp;ROUNDUP(MONTH(Transactions_RAW_cleaned[[#This Row],[TransactionDate]])/3,0)</f>
        <v>Q3</v>
      </c>
      <c r="U242" t="str">
        <f>Transactions_RAW_cleaned[[#This Row],[Region ]]&amp;Transactions_RAW_cleaned[[#This Row],[Quarter ]]</f>
        <v>APACQ3</v>
      </c>
      <c r="V242" s="5">
        <f>_xlfn.XLOOKUP(Transactions_RAW_cleaned[[#This Row],[RegionQuarterKey]], Quarterly_Targets_cleaned[RegionQuarterKey], Quarterly_Targets_cleaned[TargetRevenue])</f>
        <v>115500</v>
      </c>
    </row>
    <row r="243" spans="1:22" x14ac:dyDescent="0.25">
      <c r="A243" t="s">
        <v>576</v>
      </c>
      <c r="B243" s="1">
        <v>45524</v>
      </c>
      <c r="C243" t="s">
        <v>133</v>
      </c>
      <c r="D243" t="s">
        <v>297</v>
      </c>
      <c r="E243">
        <v>850.76</v>
      </c>
      <c r="F243" t="s">
        <v>324</v>
      </c>
      <c r="G243" t="s">
        <v>325</v>
      </c>
      <c r="I243" t="s">
        <v>17</v>
      </c>
      <c r="J243" t="s">
        <v>102</v>
      </c>
      <c r="K243" t="s">
        <v>22</v>
      </c>
      <c r="L243" t="s">
        <v>298</v>
      </c>
      <c r="M243" t="s">
        <v>299</v>
      </c>
      <c r="N243">
        <v>0</v>
      </c>
      <c r="O243" t="str">
        <f>IF(Transactions_RAW_cleaned[[#This Row],[Status]]="Completed", IFERROR(_xlfn.XLOOKUP(Transactions_RAW_cleaned[[#This Row],[CustomerID]], Customers_cleaned[CustomerID], Customers_cleaned[Segment]), "Customer Not Found"), "N/A")</f>
        <v>Enterprise</v>
      </c>
      <c r="P243" s="5" t="str">
        <f>IF(Transactions_RAW_cleaned[[#This Row],[Status]]="Refunded", "Refund",
  IF(Transactions_RAW_cleaned[[#This Row],[Category]]="Payments", IF(Transactions_RAW_cleaned[[#This Row],[Amount]]&gt;500,"High Value","Standard"),
    IF(Transactions_RAW_cleaned[[#This Row],[Amount]]&gt;250,"High Value","Standard")))</f>
        <v>High Value</v>
      </c>
      <c r="Q243" s="5" t="str">
        <f>IF(Transactions_RAW_cleaned[[#This Row],[Amount]] &gt; (_xlfn.XLOOKUP(Transactions_RAW_cleaned[[#This Row],[ServiceID]],Services_cleaned[ServiceID],Services_cleaned[TransactionFeePct]) * 10000), "Yes", "No")</f>
        <v>Yes</v>
      </c>
      <c r="R243" s="5" t="str">
        <f>IF(COUNTIFS($C$2:Transactions_RAW_cleaned[[#This Row],[CustomerID]],Transactions_RAW_cleaned[[#This Row],[CustomerID]],$D$2:Transactions_RAW_cleaned[[#This Row],[ServiceID]],Transactions_RAW_cleaned[[#This Row],[ServiceID]])=1,"Yes","No")</f>
        <v>Yes</v>
      </c>
      <c r="S24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3" t="str">
        <f>"Q"&amp;ROUNDUP(MONTH(Transactions_RAW_cleaned[[#This Row],[TransactionDate]])/3,0)</f>
        <v>Q3</v>
      </c>
      <c r="U243" t="str">
        <f>Transactions_RAW_cleaned[[#This Row],[Region ]]&amp;Transactions_RAW_cleaned[[#This Row],[Quarter ]]</f>
        <v>NAQ3</v>
      </c>
      <c r="V243" s="5">
        <f>_xlfn.XLOOKUP(Transactions_RAW_cleaned[[#This Row],[RegionQuarterKey]], Quarterly_Targets_cleaned[RegionQuarterKey], Quarterly_Targets_cleaned[TargetRevenue])</f>
        <v>273000</v>
      </c>
    </row>
    <row r="244" spans="1:22" x14ac:dyDescent="0.25">
      <c r="A244" t="s">
        <v>577</v>
      </c>
      <c r="B244" s="1">
        <v>45461</v>
      </c>
      <c r="C244" t="s">
        <v>35</v>
      </c>
      <c r="D244" t="s">
        <v>294</v>
      </c>
      <c r="E244">
        <v>97.08</v>
      </c>
      <c r="F244" t="s">
        <v>324</v>
      </c>
      <c r="G244" t="s">
        <v>327</v>
      </c>
      <c r="H244" t="s">
        <v>334</v>
      </c>
      <c r="I244" t="s">
        <v>8</v>
      </c>
      <c r="J244" t="s">
        <v>37</v>
      </c>
      <c r="K244" t="s">
        <v>28</v>
      </c>
      <c r="L244" t="s">
        <v>295</v>
      </c>
      <c r="M244" t="s">
        <v>296</v>
      </c>
      <c r="N244">
        <v>2.9000000000000001E-2</v>
      </c>
      <c r="O244" t="str">
        <f>IF(Transactions_RAW_cleaned[[#This Row],[Status]]="Completed", IFERROR(_xlfn.XLOOKUP(Transactions_RAW_cleaned[[#This Row],[CustomerID]], Customers_cleaned[CustomerID], Customers_cleaned[Segment]), "Customer Not Found"), "N/A")</f>
        <v>SMB</v>
      </c>
      <c r="P244" s="5" t="str">
        <f>IF(Transactions_RAW_cleaned[[#This Row],[Status]]="Refunded", "Refund",
  IF(Transactions_RAW_cleaned[[#This Row],[Category]]="Payments", IF(Transactions_RAW_cleaned[[#This Row],[Amount]]&gt;500,"High Value","Standard"),
    IF(Transactions_RAW_cleaned[[#This Row],[Amount]]&gt;250,"High Value","Standard")))</f>
        <v>Standard</v>
      </c>
      <c r="Q244" s="5" t="str">
        <f>IF(Transactions_RAW_cleaned[[#This Row],[Amount]] &gt; (_xlfn.XLOOKUP(Transactions_RAW_cleaned[[#This Row],[ServiceID]],Services_cleaned[ServiceID],Services_cleaned[TransactionFeePct]) * 10000), "Yes", "No")</f>
        <v>No</v>
      </c>
      <c r="R244" s="5" t="str">
        <f>IF(COUNTIFS($C$2:Transactions_RAW_cleaned[[#This Row],[CustomerID]],Transactions_RAW_cleaned[[#This Row],[CustomerID]],$D$2:Transactions_RAW_cleaned[[#This Row],[ServiceID]],Transactions_RAW_cleaned[[#This Row],[ServiceID]])=1,"Yes","No")</f>
        <v>Yes</v>
      </c>
      <c r="S24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4" t="str">
        <f>"Q"&amp;ROUNDUP(MONTH(Transactions_RAW_cleaned[[#This Row],[TransactionDate]])/3,0)</f>
        <v>Q2</v>
      </c>
      <c r="U244" t="str">
        <f>Transactions_RAW_cleaned[[#This Row],[Region ]]&amp;Transactions_RAW_cleaned[[#This Row],[Quarter ]]</f>
        <v>EMEAQ2</v>
      </c>
      <c r="V244" s="5">
        <f>_xlfn.XLOOKUP(Transactions_RAW_cleaned[[#This Row],[RegionQuarterKey]], Quarterly_Targets_cleaned[RegionQuarterKey], Quarterly_Targets_cleaned[TargetRevenue])</f>
        <v>140000</v>
      </c>
    </row>
    <row r="245" spans="1:22" x14ac:dyDescent="0.25">
      <c r="A245" t="s">
        <v>578</v>
      </c>
      <c r="B245" s="1">
        <v>45476</v>
      </c>
      <c r="C245" t="s">
        <v>189</v>
      </c>
      <c r="D245" t="s">
        <v>315</v>
      </c>
      <c r="E245">
        <v>-188.91</v>
      </c>
      <c r="F245" t="s">
        <v>349</v>
      </c>
      <c r="G245" t="s">
        <v>327</v>
      </c>
      <c r="I245" t="s">
        <v>17</v>
      </c>
      <c r="J245" t="s">
        <v>102</v>
      </c>
      <c r="K245" t="s">
        <v>14</v>
      </c>
      <c r="L245" t="s">
        <v>316</v>
      </c>
      <c r="M245" t="s">
        <v>305</v>
      </c>
      <c r="N245">
        <v>2.5000000000000001E-3</v>
      </c>
      <c r="O245" t="str">
        <f>IF(Transactions_RAW_cleaned[[#This Row],[Status]]="Completed", IFERROR(_xlfn.XLOOKUP(Transactions_RAW_cleaned[[#This Row],[CustomerID]], Customers_cleaned[CustomerID], Customers_cleaned[Segment]), "Customer Not Found"), "N/A")</f>
        <v>N/A</v>
      </c>
      <c r="P245" s="5" t="str">
        <f>IF(Transactions_RAW_cleaned[[#This Row],[Status]]="Refunded", "Refund",
  IF(Transactions_RAW_cleaned[[#This Row],[Category]]="Payments", IF(Transactions_RAW_cleaned[[#This Row],[Amount]]&gt;500,"High Value","Standard"),
    IF(Transactions_RAW_cleaned[[#This Row],[Amount]]&gt;250,"High Value","Standard")))</f>
        <v>Refund</v>
      </c>
      <c r="Q245" s="5" t="str">
        <f>IF(Transactions_RAW_cleaned[[#This Row],[Amount]] &gt; (_xlfn.XLOOKUP(Transactions_RAW_cleaned[[#This Row],[ServiceID]],Services_cleaned[ServiceID],Services_cleaned[TransactionFeePct]) * 10000), "Yes", "No")</f>
        <v>No</v>
      </c>
      <c r="R245" s="5" t="str">
        <f>IF(COUNTIFS($C$2:Transactions_RAW_cleaned[[#This Row],[CustomerID]],Transactions_RAW_cleaned[[#This Row],[CustomerID]],$D$2:Transactions_RAW_cleaned[[#This Row],[ServiceID]],Transactions_RAW_cleaned[[#This Row],[ServiceID]])=1,"Yes","No")</f>
        <v>Yes</v>
      </c>
      <c r="S24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5" t="str">
        <f>"Q"&amp;ROUNDUP(MONTH(Transactions_RAW_cleaned[[#This Row],[TransactionDate]])/3,0)</f>
        <v>Q3</v>
      </c>
      <c r="U245" t="str">
        <f>Transactions_RAW_cleaned[[#This Row],[Region ]]&amp;Transactions_RAW_cleaned[[#This Row],[Quarter ]]</f>
        <v>NAQ3</v>
      </c>
      <c r="V245" s="5">
        <f>_xlfn.XLOOKUP(Transactions_RAW_cleaned[[#This Row],[RegionQuarterKey]], Quarterly_Targets_cleaned[RegionQuarterKey], Quarterly_Targets_cleaned[TargetRevenue])</f>
        <v>273000</v>
      </c>
    </row>
    <row r="246" spans="1:22" x14ac:dyDescent="0.25">
      <c r="A246" t="s">
        <v>579</v>
      </c>
      <c r="B246" s="1">
        <v>45465</v>
      </c>
      <c r="C246" t="s">
        <v>163</v>
      </c>
      <c r="D246" t="s">
        <v>300</v>
      </c>
      <c r="E246">
        <v>211.82</v>
      </c>
      <c r="F246" t="s">
        <v>324</v>
      </c>
      <c r="G246" t="s">
        <v>329</v>
      </c>
      <c r="I246" t="s">
        <v>17</v>
      </c>
      <c r="J246" t="s">
        <v>102</v>
      </c>
      <c r="K246" t="s">
        <v>18</v>
      </c>
      <c r="L246" t="s">
        <v>301</v>
      </c>
      <c r="M246" t="s">
        <v>302</v>
      </c>
      <c r="N246">
        <v>5.0000000000000001E-3</v>
      </c>
      <c r="O246" t="str">
        <f>IF(Transactions_RAW_cleaned[[#This Row],[Status]]="Completed", IFERROR(_xlfn.XLOOKUP(Transactions_RAW_cleaned[[#This Row],[CustomerID]], Customers_cleaned[CustomerID], Customers_cleaned[Segment]), "Customer Not Found"), "N/A")</f>
        <v>Enterprise</v>
      </c>
      <c r="P246" s="5" t="str">
        <f>IF(Transactions_RAW_cleaned[[#This Row],[Status]]="Refunded", "Refund",
  IF(Transactions_RAW_cleaned[[#This Row],[Category]]="Payments", IF(Transactions_RAW_cleaned[[#This Row],[Amount]]&gt;500,"High Value","Standard"),
    IF(Transactions_RAW_cleaned[[#This Row],[Amount]]&gt;250,"High Value","Standard")))</f>
        <v>Standard</v>
      </c>
      <c r="Q246" s="5" t="str">
        <f>IF(Transactions_RAW_cleaned[[#This Row],[Amount]] &gt; (_xlfn.XLOOKUP(Transactions_RAW_cleaned[[#This Row],[ServiceID]],Services_cleaned[ServiceID],Services_cleaned[TransactionFeePct]) * 10000), "Yes", "No")</f>
        <v>Yes</v>
      </c>
      <c r="R246" s="5" t="str">
        <f>IF(COUNTIFS($C$2:Transactions_RAW_cleaned[[#This Row],[CustomerID]],Transactions_RAW_cleaned[[#This Row],[CustomerID]],$D$2:Transactions_RAW_cleaned[[#This Row],[ServiceID]],Transactions_RAW_cleaned[[#This Row],[ServiceID]])=1,"Yes","No")</f>
        <v>Yes</v>
      </c>
      <c r="S24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6" t="str">
        <f>"Q"&amp;ROUNDUP(MONTH(Transactions_RAW_cleaned[[#This Row],[TransactionDate]])/3,0)</f>
        <v>Q2</v>
      </c>
      <c r="U246" t="str">
        <f>Transactions_RAW_cleaned[[#This Row],[Region ]]&amp;Transactions_RAW_cleaned[[#This Row],[Quarter ]]</f>
        <v>NAQ2</v>
      </c>
      <c r="V246" s="5">
        <f>_xlfn.XLOOKUP(Transactions_RAW_cleaned[[#This Row],[RegionQuarterKey]], Quarterly_Targets_cleaned[RegionQuarterKey], Quarterly_Targets_cleaned[TargetRevenue])</f>
        <v>260000</v>
      </c>
    </row>
    <row r="247" spans="1:22" x14ac:dyDescent="0.25">
      <c r="A247" t="s">
        <v>580</v>
      </c>
      <c r="B247" s="1">
        <v>45605</v>
      </c>
      <c r="C247" t="s">
        <v>131</v>
      </c>
      <c r="D247" t="s">
        <v>315</v>
      </c>
      <c r="E247">
        <v>107.17</v>
      </c>
      <c r="F247" t="s">
        <v>324</v>
      </c>
      <c r="G247" t="s">
        <v>327</v>
      </c>
      <c r="H247" t="s">
        <v>334</v>
      </c>
      <c r="I247" t="s">
        <v>17</v>
      </c>
      <c r="J247" t="s">
        <v>102</v>
      </c>
      <c r="K247" t="s">
        <v>22</v>
      </c>
      <c r="L247" t="s">
        <v>316</v>
      </c>
      <c r="M247" t="s">
        <v>305</v>
      </c>
      <c r="N247">
        <v>2.5000000000000001E-3</v>
      </c>
      <c r="O247" t="str">
        <f>IF(Transactions_RAW_cleaned[[#This Row],[Status]]="Completed", IFERROR(_xlfn.XLOOKUP(Transactions_RAW_cleaned[[#This Row],[CustomerID]], Customers_cleaned[CustomerID], Customers_cleaned[Segment]), "Customer Not Found"), "N/A")</f>
        <v>Enterprise</v>
      </c>
      <c r="P247" s="5" t="str">
        <f>IF(Transactions_RAW_cleaned[[#This Row],[Status]]="Refunded", "Refund",
  IF(Transactions_RAW_cleaned[[#This Row],[Category]]="Payments", IF(Transactions_RAW_cleaned[[#This Row],[Amount]]&gt;500,"High Value","Standard"),
    IF(Transactions_RAW_cleaned[[#This Row],[Amount]]&gt;250,"High Value","Standard")))</f>
        <v>Standard</v>
      </c>
      <c r="Q247" s="5" t="str">
        <f>IF(Transactions_RAW_cleaned[[#This Row],[Amount]] &gt; (_xlfn.XLOOKUP(Transactions_RAW_cleaned[[#This Row],[ServiceID]],Services_cleaned[ServiceID],Services_cleaned[TransactionFeePct]) * 10000), "Yes", "No")</f>
        <v>Yes</v>
      </c>
      <c r="R247" s="5" t="str">
        <f>IF(COUNTIFS($C$2:Transactions_RAW_cleaned[[#This Row],[CustomerID]],Transactions_RAW_cleaned[[#This Row],[CustomerID]],$D$2:Transactions_RAW_cleaned[[#This Row],[ServiceID]],Transactions_RAW_cleaned[[#This Row],[ServiceID]])=1,"Yes","No")</f>
        <v>Yes</v>
      </c>
      <c r="S24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7" t="str">
        <f>"Q"&amp;ROUNDUP(MONTH(Transactions_RAW_cleaned[[#This Row],[TransactionDate]])/3,0)</f>
        <v>Q4</v>
      </c>
      <c r="U247" t="str">
        <f>Transactions_RAW_cleaned[[#This Row],[Region ]]&amp;Transactions_RAW_cleaned[[#This Row],[Quarter ]]</f>
        <v>NAQ4</v>
      </c>
      <c r="V247" s="5">
        <f>_xlfn.XLOOKUP(Transactions_RAW_cleaned[[#This Row],[RegionQuarterKey]], Quarterly_Targets_cleaned[RegionQuarterKey], Quarterly_Targets_cleaned[TargetRevenue])</f>
        <v>299000</v>
      </c>
    </row>
    <row r="248" spans="1:22" x14ac:dyDescent="0.25">
      <c r="A248" t="s">
        <v>581</v>
      </c>
      <c r="B248" s="1">
        <v>45447</v>
      </c>
      <c r="C248" t="s">
        <v>161</v>
      </c>
      <c r="D248" t="s">
        <v>294</v>
      </c>
      <c r="E248">
        <v>611.41</v>
      </c>
      <c r="F248" t="s">
        <v>324</v>
      </c>
      <c r="G248" t="s">
        <v>327</v>
      </c>
      <c r="H248" t="s">
        <v>332</v>
      </c>
      <c r="I248" t="s">
        <v>8</v>
      </c>
      <c r="J248" t="s">
        <v>21</v>
      </c>
      <c r="K248" t="s">
        <v>22</v>
      </c>
      <c r="L248" t="s">
        <v>295</v>
      </c>
      <c r="M248" t="s">
        <v>296</v>
      </c>
      <c r="N248">
        <v>2.9000000000000001E-2</v>
      </c>
      <c r="O248" t="str">
        <f>IF(Transactions_RAW_cleaned[[#This Row],[Status]]="Completed", IFERROR(_xlfn.XLOOKUP(Transactions_RAW_cleaned[[#This Row],[CustomerID]], Customers_cleaned[CustomerID], Customers_cleaned[Segment]), "Customer Not Found"), "N/A")</f>
        <v>SMB</v>
      </c>
      <c r="P248" s="5" t="str">
        <f>IF(Transactions_RAW_cleaned[[#This Row],[Status]]="Refunded", "Refund",
  IF(Transactions_RAW_cleaned[[#This Row],[Category]]="Payments", IF(Transactions_RAW_cleaned[[#This Row],[Amount]]&gt;500,"High Value","Standard"),
    IF(Transactions_RAW_cleaned[[#This Row],[Amount]]&gt;250,"High Value","Standard")))</f>
        <v>High Value</v>
      </c>
      <c r="Q248" s="5" t="str">
        <f>IF(Transactions_RAW_cleaned[[#This Row],[Amount]] &gt; (_xlfn.XLOOKUP(Transactions_RAW_cleaned[[#This Row],[ServiceID]],Services_cleaned[ServiceID],Services_cleaned[TransactionFeePct]) * 10000), "Yes", "No")</f>
        <v>Yes</v>
      </c>
      <c r="R248" s="5" t="str">
        <f>IF(COUNTIFS($C$2:Transactions_RAW_cleaned[[#This Row],[CustomerID]],Transactions_RAW_cleaned[[#This Row],[CustomerID]],$D$2:Transactions_RAW_cleaned[[#This Row],[ServiceID]],Transactions_RAW_cleaned[[#This Row],[ServiceID]])=1,"Yes","No")</f>
        <v>Yes</v>
      </c>
      <c r="S24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8" t="str">
        <f>"Q"&amp;ROUNDUP(MONTH(Transactions_RAW_cleaned[[#This Row],[TransactionDate]])/3,0)</f>
        <v>Q2</v>
      </c>
      <c r="U248" t="str">
        <f>Transactions_RAW_cleaned[[#This Row],[Region ]]&amp;Transactions_RAW_cleaned[[#This Row],[Quarter ]]</f>
        <v>APACQ2</v>
      </c>
      <c r="V248" s="5">
        <f>_xlfn.XLOOKUP(Transactions_RAW_cleaned[[#This Row],[RegionQuarterKey]], Quarterly_Targets_cleaned[RegionQuarterKey], Quarterly_Targets_cleaned[TargetRevenue])</f>
        <v>110000</v>
      </c>
    </row>
    <row r="249" spans="1:22" x14ac:dyDescent="0.25">
      <c r="A249" t="s">
        <v>582</v>
      </c>
      <c r="B249" s="1">
        <v>45615</v>
      </c>
      <c r="C249" t="s">
        <v>201</v>
      </c>
      <c r="D249" t="s">
        <v>300</v>
      </c>
      <c r="E249">
        <v>301.89</v>
      </c>
      <c r="F249" t="s">
        <v>324</v>
      </c>
      <c r="G249" t="s">
        <v>337</v>
      </c>
      <c r="H249" t="s">
        <v>346</v>
      </c>
      <c r="I249" t="s">
        <v>57</v>
      </c>
      <c r="J249" t="s">
        <v>37</v>
      </c>
      <c r="K249" t="s">
        <v>32</v>
      </c>
      <c r="L249" t="s">
        <v>301</v>
      </c>
      <c r="M249" t="s">
        <v>302</v>
      </c>
      <c r="N249">
        <v>5.0000000000000001E-3</v>
      </c>
      <c r="O249" t="str">
        <f>IF(Transactions_RAW_cleaned[[#This Row],[Status]]="Completed", IFERROR(_xlfn.XLOOKUP(Transactions_RAW_cleaned[[#This Row],[CustomerID]], Customers_cleaned[CustomerID], Customers_cleaned[Segment]), "Customer Not Found"), "N/A")</f>
        <v>Startup</v>
      </c>
      <c r="P249" s="5" t="str">
        <f>IF(Transactions_RAW_cleaned[[#This Row],[Status]]="Refunded", "Refund",
  IF(Transactions_RAW_cleaned[[#This Row],[Category]]="Payments", IF(Transactions_RAW_cleaned[[#This Row],[Amount]]&gt;500,"High Value","Standard"),
    IF(Transactions_RAW_cleaned[[#This Row],[Amount]]&gt;250,"High Value","Standard")))</f>
        <v>High Value</v>
      </c>
      <c r="Q249" s="5" t="str">
        <f>IF(Transactions_RAW_cleaned[[#This Row],[Amount]] &gt; (_xlfn.XLOOKUP(Transactions_RAW_cleaned[[#This Row],[ServiceID]],Services_cleaned[ServiceID],Services_cleaned[TransactionFeePct]) * 10000), "Yes", "No")</f>
        <v>Yes</v>
      </c>
      <c r="R249" s="5" t="str">
        <f>IF(COUNTIFS($C$2:Transactions_RAW_cleaned[[#This Row],[CustomerID]],Transactions_RAW_cleaned[[#This Row],[CustomerID]],$D$2:Transactions_RAW_cleaned[[#This Row],[ServiceID]],Transactions_RAW_cleaned[[#This Row],[ServiceID]])=1,"Yes","No")</f>
        <v>Yes</v>
      </c>
      <c r="S24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9" t="str">
        <f>"Q"&amp;ROUNDUP(MONTH(Transactions_RAW_cleaned[[#This Row],[TransactionDate]])/3,0)</f>
        <v>Q4</v>
      </c>
      <c r="U249" t="str">
        <f>Transactions_RAW_cleaned[[#This Row],[Region ]]&amp;Transactions_RAW_cleaned[[#This Row],[Quarter ]]</f>
        <v>EMEAQ4</v>
      </c>
      <c r="V249" s="5">
        <f>_xlfn.XLOOKUP(Transactions_RAW_cleaned[[#This Row],[RegionQuarterKey]], Quarterly_Targets_cleaned[RegionQuarterKey], Quarterly_Targets_cleaned[TargetRevenue])</f>
        <v>161000</v>
      </c>
    </row>
    <row r="250" spans="1:22" x14ac:dyDescent="0.25">
      <c r="A250" t="s">
        <v>583</v>
      </c>
      <c r="B250" s="1">
        <v>45483</v>
      </c>
      <c r="C250" t="s">
        <v>169</v>
      </c>
      <c r="D250" t="s">
        <v>300</v>
      </c>
      <c r="E250">
        <v>269.88</v>
      </c>
      <c r="F250" t="s">
        <v>324</v>
      </c>
      <c r="G250" t="s">
        <v>325</v>
      </c>
      <c r="I250" t="s">
        <v>8</v>
      </c>
      <c r="J250" t="s">
        <v>13</v>
      </c>
      <c r="K250" t="s">
        <v>32</v>
      </c>
      <c r="L250" t="s">
        <v>301</v>
      </c>
      <c r="M250" t="s">
        <v>302</v>
      </c>
      <c r="N250">
        <v>5.0000000000000001E-3</v>
      </c>
      <c r="O250" t="str">
        <f>IF(Transactions_RAW_cleaned[[#This Row],[Status]]="Completed", IFERROR(_xlfn.XLOOKUP(Transactions_RAW_cleaned[[#This Row],[CustomerID]], Customers_cleaned[CustomerID], Customers_cleaned[Segment]), "Customer Not Found"), "N/A")</f>
        <v>SMB</v>
      </c>
      <c r="P250" s="5" t="str">
        <f>IF(Transactions_RAW_cleaned[[#This Row],[Status]]="Refunded", "Refund",
  IF(Transactions_RAW_cleaned[[#This Row],[Category]]="Payments", IF(Transactions_RAW_cleaned[[#This Row],[Amount]]&gt;500,"High Value","Standard"),
    IF(Transactions_RAW_cleaned[[#This Row],[Amount]]&gt;250,"High Value","Standard")))</f>
        <v>High Value</v>
      </c>
      <c r="Q250" s="5" t="str">
        <f>IF(Transactions_RAW_cleaned[[#This Row],[Amount]] &gt; (_xlfn.XLOOKUP(Transactions_RAW_cleaned[[#This Row],[ServiceID]],Services_cleaned[ServiceID],Services_cleaned[TransactionFeePct]) * 10000), "Yes", "No")</f>
        <v>Yes</v>
      </c>
      <c r="R250" s="5" t="str">
        <f>IF(COUNTIFS($C$2:Transactions_RAW_cleaned[[#This Row],[CustomerID]],Transactions_RAW_cleaned[[#This Row],[CustomerID]],$D$2:Transactions_RAW_cleaned[[#This Row],[ServiceID]],Transactions_RAW_cleaned[[#This Row],[ServiceID]])=1,"Yes","No")</f>
        <v>No</v>
      </c>
      <c r="S25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0" t="str">
        <f>"Q"&amp;ROUNDUP(MONTH(Transactions_RAW_cleaned[[#This Row],[TransactionDate]])/3,0)</f>
        <v>Q3</v>
      </c>
      <c r="U250" t="str">
        <f>Transactions_RAW_cleaned[[#This Row],[Region ]]&amp;Transactions_RAW_cleaned[[#This Row],[Quarter ]]</f>
        <v>NAQ3</v>
      </c>
      <c r="V250" s="5">
        <f>_xlfn.XLOOKUP(Transactions_RAW_cleaned[[#This Row],[RegionQuarterKey]], Quarterly_Targets_cleaned[RegionQuarterKey], Quarterly_Targets_cleaned[TargetRevenue])</f>
        <v>273000</v>
      </c>
    </row>
    <row r="251" spans="1:22" x14ac:dyDescent="0.25">
      <c r="A251" t="s">
        <v>584</v>
      </c>
      <c r="B251" s="1">
        <v>45606</v>
      </c>
      <c r="C251" t="s">
        <v>60</v>
      </c>
      <c r="D251" t="s">
        <v>312</v>
      </c>
      <c r="E251">
        <v>664.37</v>
      </c>
      <c r="F251" t="s">
        <v>324</v>
      </c>
      <c r="G251" t="s">
        <v>337</v>
      </c>
      <c r="H251" t="s">
        <v>332</v>
      </c>
      <c r="I251" t="s">
        <v>8</v>
      </c>
      <c r="J251" t="s">
        <v>13</v>
      </c>
      <c r="K251" t="s">
        <v>14</v>
      </c>
      <c r="L251" t="s">
        <v>313</v>
      </c>
      <c r="M251" t="s">
        <v>314</v>
      </c>
      <c r="N251">
        <v>0</v>
      </c>
      <c r="O251" t="str">
        <f>IF(Transactions_RAW_cleaned[[#This Row],[Status]]="Completed", IFERROR(_xlfn.XLOOKUP(Transactions_RAW_cleaned[[#This Row],[CustomerID]], Customers_cleaned[CustomerID], Customers_cleaned[Segment]), "Customer Not Found"), "N/A")</f>
        <v>SMB</v>
      </c>
      <c r="P251" s="5" t="str">
        <f>IF(Transactions_RAW_cleaned[[#This Row],[Status]]="Refunded", "Refund",
  IF(Transactions_RAW_cleaned[[#This Row],[Category]]="Payments", IF(Transactions_RAW_cleaned[[#This Row],[Amount]]&gt;500,"High Value","Standard"),
    IF(Transactions_RAW_cleaned[[#This Row],[Amount]]&gt;250,"High Value","Standard")))</f>
        <v>High Value</v>
      </c>
      <c r="Q251" s="5" t="str">
        <f>IF(Transactions_RAW_cleaned[[#This Row],[Amount]] &gt; (_xlfn.XLOOKUP(Transactions_RAW_cleaned[[#This Row],[ServiceID]],Services_cleaned[ServiceID],Services_cleaned[TransactionFeePct]) * 10000), "Yes", "No")</f>
        <v>Yes</v>
      </c>
      <c r="R251" s="5" t="str">
        <f>IF(COUNTIFS($C$2:Transactions_RAW_cleaned[[#This Row],[CustomerID]],Transactions_RAW_cleaned[[#This Row],[CustomerID]],$D$2:Transactions_RAW_cleaned[[#This Row],[ServiceID]],Transactions_RAW_cleaned[[#This Row],[ServiceID]])=1,"Yes","No")</f>
        <v>No</v>
      </c>
      <c r="S25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1" t="str">
        <f>"Q"&amp;ROUNDUP(MONTH(Transactions_RAW_cleaned[[#This Row],[TransactionDate]])/3,0)</f>
        <v>Q4</v>
      </c>
      <c r="U251" t="str">
        <f>Transactions_RAW_cleaned[[#This Row],[Region ]]&amp;Transactions_RAW_cleaned[[#This Row],[Quarter ]]</f>
        <v>NAQ4</v>
      </c>
      <c r="V251" s="5">
        <f>_xlfn.XLOOKUP(Transactions_RAW_cleaned[[#This Row],[RegionQuarterKey]], Quarterly_Targets_cleaned[RegionQuarterKey], Quarterly_Targets_cleaned[TargetRevenue])</f>
        <v>299000</v>
      </c>
    </row>
    <row r="252" spans="1:22" x14ac:dyDescent="0.25">
      <c r="A252" t="s">
        <v>585</v>
      </c>
      <c r="B252" s="1">
        <v>45598</v>
      </c>
      <c r="C252" t="s">
        <v>161</v>
      </c>
      <c r="D252" t="s">
        <v>294</v>
      </c>
      <c r="E252">
        <v>675.34</v>
      </c>
      <c r="F252" t="s">
        <v>381</v>
      </c>
      <c r="G252" t="s">
        <v>325</v>
      </c>
      <c r="I252" t="s">
        <v>8</v>
      </c>
      <c r="J252" t="s">
        <v>21</v>
      </c>
      <c r="K252" t="s">
        <v>22</v>
      </c>
      <c r="L252" t="s">
        <v>295</v>
      </c>
      <c r="M252" t="s">
        <v>296</v>
      </c>
      <c r="N252">
        <v>2.9000000000000001E-2</v>
      </c>
      <c r="O252" t="str">
        <f>IF(Transactions_RAW_cleaned[[#This Row],[Status]]="Completed", IFERROR(_xlfn.XLOOKUP(Transactions_RAW_cleaned[[#This Row],[CustomerID]], Customers_cleaned[CustomerID], Customers_cleaned[Segment]), "Customer Not Found"), "N/A")</f>
        <v>N/A</v>
      </c>
      <c r="P252" s="5" t="str">
        <f>IF(Transactions_RAW_cleaned[[#This Row],[Status]]="Refunded", "Refund",
  IF(Transactions_RAW_cleaned[[#This Row],[Category]]="Payments", IF(Transactions_RAW_cleaned[[#This Row],[Amount]]&gt;500,"High Value","Standard"),
    IF(Transactions_RAW_cleaned[[#This Row],[Amount]]&gt;250,"High Value","Standard")))</f>
        <v>High Value</v>
      </c>
      <c r="Q252" s="5" t="str">
        <f>IF(Transactions_RAW_cleaned[[#This Row],[Amount]] &gt; (_xlfn.XLOOKUP(Transactions_RAW_cleaned[[#This Row],[ServiceID]],Services_cleaned[ServiceID],Services_cleaned[TransactionFeePct]) * 10000), "Yes", "No")</f>
        <v>Yes</v>
      </c>
      <c r="R252" s="5" t="str">
        <f>IF(COUNTIFS($C$2:Transactions_RAW_cleaned[[#This Row],[CustomerID]],Transactions_RAW_cleaned[[#This Row],[CustomerID]],$D$2:Transactions_RAW_cleaned[[#This Row],[ServiceID]],Transactions_RAW_cleaned[[#This Row],[ServiceID]])=1,"Yes","No")</f>
        <v>No</v>
      </c>
      <c r="S25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2" t="str">
        <f>"Q"&amp;ROUNDUP(MONTH(Transactions_RAW_cleaned[[#This Row],[TransactionDate]])/3,0)</f>
        <v>Q4</v>
      </c>
      <c r="U252" t="str">
        <f>Transactions_RAW_cleaned[[#This Row],[Region ]]&amp;Transactions_RAW_cleaned[[#This Row],[Quarter ]]</f>
        <v>APACQ4</v>
      </c>
      <c r="V252" s="5">
        <f>_xlfn.XLOOKUP(Transactions_RAW_cleaned[[#This Row],[RegionQuarterKey]], Quarterly_Targets_cleaned[RegionQuarterKey], Quarterly_Targets_cleaned[TargetRevenue])</f>
        <v>126500</v>
      </c>
    </row>
    <row r="253" spans="1:22" x14ac:dyDescent="0.25">
      <c r="A253" t="s">
        <v>586</v>
      </c>
      <c r="B253" s="1">
        <v>45563</v>
      </c>
      <c r="C253" t="s">
        <v>175</v>
      </c>
      <c r="D253" t="s">
        <v>315</v>
      </c>
      <c r="E253">
        <v>270.04000000000002</v>
      </c>
      <c r="F253" t="s">
        <v>324</v>
      </c>
      <c r="G253" t="s">
        <v>327</v>
      </c>
      <c r="I253" t="s">
        <v>8</v>
      </c>
      <c r="J253" t="s">
        <v>31</v>
      </c>
      <c r="K253" t="s">
        <v>32</v>
      </c>
      <c r="L253" t="s">
        <v>316</v>
      </c>
      <c r="M253" t="s">
        <v>305</v>
      </c>
      <c r="N253">
        <v>2.5000000000000001E-3</v>
      </c>
      <c r="O253" t="str">
        <f>IF(Transactions_RAW_cleaned[[#This Row],[Status]]="Completed", IFERROR(_xlfn.XLOOKUP(Transactions_RAW_cleaned[[#This Row],[CustomerID]], Customers_cleaned[CustomerID], Customers_cleaned[Segment]), "Customer Not Found"), "N/A")</f>
        <v>SMB</v>
      </c>
      <c r="P253" s="5" t="str">
        <f>IF(Transactions_RAW_cleaned[[#This Row],[Status]]="Refunded", "Refund",
  IF(Transactions_RAW_cleaned[[#This Row],[Category]]="Payments", IF(Transactions_RAW_cleaned[[#This Row],[Amount]]&gt;500,"High Value","Standard"),
    IF(Transactions_RAW_cleaned[[#This Row],[Amount]]&gt;250,"High Value","Standard")))</f>
        <v>High Value</v>
      </c>
      <c r="Q253" s="5" t="str">
        <f>IF(Transactions_RAW_cleaned[[#This Row],[Amount]] &gt; (_xlfn.XLOOKUP(Transactions_RAW_cleaned[[#This Row],[ServiceID]],Services_cleaned[ServiceID],Services_cleaned[TransactionFeePct]) * 10000), "Yes", "No")</f>
        <v>Yes</v>
      </c>
      <c r="R253" s="5" t="str">
        <f>IF(COUNTIFS($C$2:Transactions_RAW_cleaned[[#This Row],[CustomerID]],Transactions_RAW_cleaned[[#This Row],[CustomerID]],$D$2:Transactions_RAW_cleaned[[#This Row],[ServiceID]],Transactions_RAW_cleaned[[#This Row],[ServiceID]])=1,"Yes","No")</f>
        <v>Yes</v>
      </c>
      <c r="S25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3" t="str">
        <f>"Q"&amp;ROUNDUP(MONTH(Transactions_RAW_cleaned[[#This Row],[TransactionDate]])/3,0)</f>
        <v>Q3</v>
      </c>
      <c r="U253" t="str">
        <f>Transactions_RAW_cleaned[[#This Row],[Region ]]&amp;Transactions_RAW_cleaned[[#This Row],[Quarter ]]</f>
        <v>EMEAQ3</v>
      </c>
      <c r="V253" s="5">
        <f>_xlfn.XLOOKUP(Transactions_RAW_cleaned[[#This Row],[RegionQuarterKey]], Quarterly_Targets_cleaned[RegionQuarterKey], Quarterly_Targets_cleaned[TargetRevenue])</f>
        <v>147000</v>
      </c>
    </row>
    <row r="254" spans="1:22" x14ac:dyDescent="0.25">
      <c r="A254" t="s">
        <v>587</v>
      </c>
      <c r="B254" s="1">
        <v>45357</v>
      </c>
      <c r="C254" t="s">
        <v>78</v>
      </c>
      <c r="D254" t="s">
        <v>297</v>
      </c>
      <c r="E254">
        <v>105.95</v>
      </c>
      <c r="F254" t="s">
        <v>324</v>
      </c>
      <c r="G254" t="s">
        <v>325</v>
      </c>
      <c r="I254" t="s">
        <v>17</v>
      </c>
      <c r="J254" t="s">
        <v>21</v>
      </c>
      <c r="K254" t="s">
        <v>22</v>
      </c>
      <c r="L254" t="s">
        <v>298</v>
      </c>
      <c r="M254" t="s">
        <v>299</v>
      </c>
      <c r="N254">
        <v>0</v>
      </c>
      <c r="O254" t="str">
        <f>IF(Transactions_RAW_cleaned[[#This Row],[Status]]="Completed", IFERROR(_xlfn.XLOOKUP(Transactions_RAW_cleaned[[#This Row],[CustomerID]], Customers_cleaned[CustomerID], Customers_cleaned[Segment]), "Customer Not Found"), "N/A")</f>
        <v>Enterprise</v>
      </c>
      <c r="P254" s="5" t="str">
        <f>IF(Transactions_RAW_cleaned[[#This Row],[Status]]="Refunded", "Refund",
  IF(Transactions_RAW_cleaned[[#This Row],[Category]]="Payments", IF(Transactions_RAW_cleaned[[#This Row],[Amount]]&gt;500,"High Value","Standard"),
    IF(Transactions_RAW_cleaned[[#This Row],[Amount]]&gt;250,"High Value","Standard")))</f>
        <v>Standard</v>
      </c>
      <c r="Q254" s="5" t="str">
        <f>IF(Transactions_RAW_cleaned[[#This Row],[Amount]] &gt; (_xlfn.XLOOKUP(Transactions_RAW_cleaned[[#This Row],[ServiceID]],Services_cleaned[ServiceID],Services_cleaned[TransactionFeePct]) * 10000), "Yes", "No")</f>
        <v>Yes</v>
      </c>
      <c r="R254" s="5" t="str">
        <f>IF(COUNTIFS($C$2:Transactions_RAW_cleaned[[#This Row],[CustomerID]],Transactions_RAW_cleaned[[#This Row],[CustomerID]],$D$2:Transactions_RAW_cleaned[[#This Row],[ServiceID]],Transactions_RAW_cleaned[[#This Row],[ServiceID]])=1,"Yes","No")</f>
        <v>No</v>
      </c>
      <c r="S25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4" t="str">
        <f>"Q"&amp;ROUNDUP(MONTH(Transactions_RAW_cleaned[[#This Row],[TransactionDate]])/3,0)</f>
        <v>Q1</v>
      </c>
      <c r="U254" t="str">
        <f>Transactions_RAW_cleaned[[#This Row],[Region ]]&amp;Transactions_RAW_cleaned[[#This Row],[Quarter ]]</f>
        <v>APACQ1</v>
      </c>
      <c r="V254" s="5">
        <f>_xlfn.XLOOKUP(Transactions_RAW_cleaned[[#This Row],[RegionQuarterKey]], Quarterly_Targets_cleaned[RegionQuarterKey], Quarterly_Targets_cleaned[TargetRevenue])</f>
        <v>104500</v>
      </c>
    </row>
    <row r="255" spans="1:22" x14ac:dyDescent="0.25">
      <c r="A255" t="s">
        <v>588</v>
      </c>
      <c r="B255" s="1">
        <v>45409</v>
      </c>
      <c r="C255" t="s">
        <v>137</v>
      </c>
      <c r="D255" t="s">
        <v>297</v>
      </c>
      <c r="E255">
        <v>676.16</v>
      </c>
      <c r="F255" t="s">
        <v>331</v>
      </c>
      <c r="G255" t="s">
        <v>337</v>
      </c>
      <c r="H255" t="s">
        <v>334</v>
      </c>
      <c r="I255" t="s">
        <v>8</v>
      </c>
      <c r="J255" t="s">
        <v>13</v>
      </c>
      <c r="K255" t="s">
        <v>18</v>
      </c>
      <c r="L255" t="s">
        <v>298</v>
      </c>
      <c r="M255" t="s">
        <v>299</v>
      </c>
      <c r="N255">
        <v>0</v>
      </c>
      <c r="O255" t="str">
        <f>IF(Transactions_RAW_cleaned[[#This Row],[Status]]="Completed", IFERROR(_xlfn.XLOOKUP(Transactions_RAW_cleaned[[#This Row],[CustomerID]], Customers_cleaned[CustomerID], Customers_cleaned[Segment]), "Customer Not Found"), "N/A")</f>
        <v>N/A</v>
      </c>
      <c r="P255" s="5" t="str">
        <f>IF(Transactions_RAW_cleaned[[#This Row],[Status]]="Refunded", "Refund",
  IF(Transactions_RAW_cleaned[[#This Row],[Category]]="Payments", IF(Transactions_RAW_cleaned[[#This Row],[Amount]]&gt;500,"High Value","Standard"),
    IF(Transactions_RAW_cleaned[[#This Row],[Amount]]&gt;250,"High Value","Standard")))</f>
        <v>High Value</v>
      </c>
      <c r="Q255" s="5" t="str">
        <f>IF(Transactions_RAW_cleaned[[#This Row],[Amount]] &gt; (_xlfn.XLOOKUP(Transactions_RAW_cleaned[[#This Row],[ServiceID]],Services_cleaned[ServiceID],Services_cleaned[TransactionFeePct]) * 10000), "Yes", "No")</f>
        <v>Yes</v>
      </c>
      <c r="R255" s="5" t="str">
        <f>IF(COUNTIFS($C$2:Transactions_RAW_cleaned[[#This Row],[CustomerID]],Transactions_RAW_cleaned[[#This Row],[CustomerID]],$D$2:Transactions_RAW_cleaned[[#This Row],[ServiceID]],Transactions_RAW_cleaned[[#This Row],[ServiceID]])=1,"Yes","No")</f>
        <v>Yes</v>
      </c>
      <c r="S25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5" t="str">
        <f>"Q"&amp;ROUNDUP(MONTH(Transactions_RAW_cleaned[[#This Row],[TransactionDate]])/3,0)</f>
        <v>Q2</v>
      </c>
      <c r="U255" t="str">
        <f>Transactions_RAW_cleaned[[#This Row],[Region ]]&amp;Transactions_RAW_cleaned[[#This Row],[Quarter ]]</f>
        <v>NAQ2</v>
      </c>
      <c r="V255" s="5">
        <f>_xlfn.XLOOKUP(Transactions_RAW_cleaned[[#This Row],[RegionQuarterKey]], Quarterly_Targets_cleaned[RegionQuarterKey], Quarterly_Targets_cleaned[TargetRevenue])</f>
        <v>260000</v>
      </c>
    </row>
    <row r="256" spans="1:22" x14ac:dyDescent="0.25">
      <c r="A256" t="s">
        <v>589</v>
      </c>
      <c r="B256" s="1">
        <v>45476</v>
      </c>
      <c r="C256" t="s">
        <v>90</v>
      </c>
      <c r="D256" t="s">
        <v>312</v>
      </c>
      <c r="E256">
        <v>747.8</v>
      </c>
      <c r="F256" t="s">
        <v>324</v>
      </c>
      <c r="G256" t="s">
        <v>337</v>
      </c>
      <c r="I256" t="s">
        <v>8</v>
      </c>
      <c r="J256" t="s">
        <v>102</v>
      </c>
      <c r="K256" t="s">
        <v>28</v>
      </c>
      <c r="L256" t="s">
        <v>313</v>
      </c>
      <c r="M256" t="s">
        <v>314</v>
      </c>
      <c r="N256">
        <v>0</v>
      </c>
      <c r="O256" t="str">
        <f>IF(Transactions_RAW_cleaned[[#This Row],[Status]]="Completed", IFERROR(_xlfn.XLOOKUP(Transactions_RAW_cleaned[[#This Row],[CustomerID]], Customers_cleaned[CustomerID], Customers_cleaned[Segment]), "Customer Not Found"), "N/A")</f>
        <v>SMB</v>
      </c>
      <c r="P256" s="5" t="str">
        <f>IF(Transactions_RAW_cleaned[[#This Row],[Status]]="Refunded", "Refund",
  IF(Transactions_RAW_cleaned[[#This Row],[Category]]="Payments", IF(Transactions_RAW_cleaned[[#This Row],[Amount]]&gt;500,"High Value","Standard"),
    IF(Transactions_RAW_cleaned[[#This Row],[Amount]]&gt;250,"High Value","Standard")))</f>
        <v>High Value</v>
      </c>
      <c r="Q256" s="5" t="str">
        <f>IF(Transactions_RAW_cleaned[[#This Row],[Amount]] &gt; (_xlfn.XLOOKUP(Transactions_RAW_cleaned[[#This Row],[ServiceID]],Services_cleaned[ServiceID],Services_cleaned[TransactionFeePct]) * 10000), "Yes", "No")</f>
        <v>Yes</v>
      </c>
      <c r="R256" s="5" t="str">
        <f>IF(COUNTIFS($C$2:Transactions_RAW_cleaned[[#This Row],[CustomerID]],Transactions_RAW_cleaned[[#This Row],[CustomerID]],$D$2:Transactions_RAW_cleaned[[#This Row],[ServiceID]],Transactions_RAW_cleaned[[#This Row],[ServiceID]])=1,"Yes","No")</f>
        <v>Yes</v>
      </c>
      <c r="S25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6" t="str">
        <f>"Q"&amp;ROUNDUP(MONTH(Transactions_RAW_cleaned[[#This Row],[TransactionDate]])/3,0)</f>
        <v>Q3</v>
      </c>
      <c r="U256" t="str">
        <f>Transactions_RAW_cleaned[[#This Row],[Region ]]&amp;Transactions_RAW_cleaned[[#This Row],[Quarter ]]</f>
        <v>NAQ3</v>
      </c>
      <c r="V256" s="5">
        <f>_xlfn.XLOOKUP(Transactions_RAW_cleaned[[#This Row],[RegionQuarterKey]], Quarterly_Targets_cleaned[RegionQuarterKey], Quarterly_Targets_cleaned[TargetRevenue])</f>
        <v>273000</v>
      </c>
    </row>
    <row r="257" spans="1:22" x14ac:dyDescent="0.25">
      <c r="A257" t="s">
        <v>590</v>
      </c>
      <c r="B257" s="1">
        <v>45485</v>
      </c>
      <c r="C257" t="s">
        <v>271</v>
      </c>
      <c r="D257" t="s">
        <v>303</v>
      </c>
      <c r="E257">
        <v>559.29999999999995</v>
      </c>
      <c r="F257" t="s">
        <v>324</v>
      </c>
      <c r="G257" t="s">
        <v>2963</v>
      </c>
      <c r="I257" t="s">
        <v>8</v>
      </c>
      <c r="J257" t="s">
        <v>102</v>
      </c>
      <c r="K257" t="s">
        <v>28</v>
      </c>
      <c r="L257" t="s">
        <v>304</v>
      </c>
      <c r="M257" t="s">
        <v>305</v>
      </c>
      <c r="N257">
        <v>1E-3</v>
      </c>
      <c r="O257" t="str">
        <f>IF(Transactions_RAW_cleaned[[#This Row],[Status]]="Completed", IFERROR(_xlfn.XLOOKUP(Transactions_RAW_cleaned[[#This Row],[CustomerID]], Customers_cleaned[CustomerID], Customers_cleaned[Segment]), "Customer Not Found"), "N/A")</f>
        <v>SMB</v>
      </c>
      <c r="P257" s="5" t="str">
        <f>IF(Transactions_RAW_cleaned[[#This Row],[Status]]="Refunded", "Refund",
  IF(Transactions_RAW_cleaned[[#This Row],[Category]]="Payments", IF(Transactions_RAW_cleaned[[#This Row],[Amount]]&gt;500,"High Value","Standard"),
    IF(Transactions_RAW_cleaned[[#This Row],[Amount]]&gt;250,"High Value","Standard")))</f>
        <v>High Value</v>
      </c>
      <c r="Q257" s="5" t="str">
        <f>IF(Transactions_RAW_cleaned[[#This Row],[Amount]] &gt; (_xlfn.XLOOKUP(Transactions_RAW_cleaned[[#This Row],[ServiceID]],Services_cleaned[ServiceID],Services_cleaned[TransactionFeePct]) * 10000), "Yes", "No")</f>
        <v>Yes</v>
      </c>
      <c r="R257" s="5" t="str">
        <f>IF(COUNTIFS($C$2:Transactions_RAW_cleaned[[#This Row],[CustomerID]],Transactions_RAW_cleaned[[#This Row],[CustomerID]],$D$2:Transactions_RAW_cleaned[[#This Row],[ServiceID]],Transactions_RAW_cleaned[[#This Row],[ServiceID]])=1,"Yes","No")</f>
        <v>Yes</v>
      </c>
      <c r="S25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7" t="str">
        <f>"Q"&amp;ROUNDUP(MONTH(Transactions_RAW_cleaned[[#This Row],[TransactionDate]])/3,0)</f>
        <v>Q3</v>
      </c>
      <c r="U257" t="str">
        <f>Transactions_RAW_cleaned[[#This Row],[Region ]]&amp;Transactions_RAW_cleaned[[#This Row],[Quarter ]]</f>
        <v>NAQ3</v>
      </c>
      <c r="V257" s="5">
        <f>_xlfn.XLOOKUP(Transactions_RAW_cleaned[[#This Row],[RegionQuarterKey]], Quarterly_Targets_cleaned[RegionQuarterKey], Quarterly_Targets_cleaned[TargetRevenue])</f>
        <v>273000</v>
      </c>
    </row>
    <row r="258" spans="1:22" x14ac:dyDescent="0.25">
      <c r="A258" t="s">
        <v>591</v>
      </c>
      <c r="B258" s="1">
        <v>45536</v>
      </c>
      <c r="C258" t="s">
        <v>217</v>
      </c>
      <c r="D258" t="s">
        <v>300</v>
      </c>
      <c r="E258">
        <v>-805</v>
      </c>
      <c r="F258" t="s">
        <v>349</v>
      </c>
      <c r="G258" t="s">
        <v>337</v>
      </c>
      <c r="H258" t="s">
        <v>346</v>
      </c>
      <c r="I258" t="s">
        <v>17</v>
      </c>
      <c r="J258" t="s">
        <v>102</v>
      </c>
      <c r="K258" t="s">
        <v>14</v>
      </c>
      <c r="L258" t="s">
        <v>301</v>
      </c>
      <c r="M258" t="s">
        <v>302</v>
      </c>
      <c r="N258">
        <v>5.0000000000000001E-3</v>
      </c>
      <c r="O258" t="str">
        <f>IF(Transactions_RAW_cleaned[[#This Row],[Status]]="Completed", IFERROR(_xlfn.XLOOKUP(Transactions_RAW_cleaned[[#This Row],[CustomerID]], Customers_cleaned[CustomerID], Customers_cleaned[Segment]), "Customer Not Found"), "N/A")</f>
        <v>N/A</v>
      </c>
      <c r="P258" s="5" t="str">
        <f>IF(Transactions_RAW_cleaned[[#This Row],[Status]]="Refunded", "Refund",
  IF(Transactions_RAW_cleaned[[#This Row],[Category]]="Payments", IF(Transactions_RAW_cleaned[[#This Row],[Amount]]&gt;500,"High Value","Standard"),
    IF(Transactions_RAW_cleaned[[#This Row],[Amount]]&gt;250,"High Value","Standard")))</f>
        <v>Refund</v>
      </c>
      <c r="Q258" s="5" t="str">
        <f>IF(Transactions_RAW_cleaned[[#This Row],[Amount]] &gt; (_xlfn.XLOOKUP(Transactions_RAW_cleaned[[#This Row],[ServiceID]],Services_cleaned[ServiceID],Services_cleaned[TransactionFeePct]) * 10000), "Yes", "No")</f>
        <v>No</v>
      </c>
      <c r="R258" s="5" t="str">
        <f>IF(COUNTIFS($C$2:Transactions_RAW_cleaned[[#This Row],[CustomerID]],Transactions_RAW_cleaned[[#This Row],[CustomerID]],$D$2:Transactions_RAW_cleaned[[#This Row],[ServiceID]],Transactions_RAW_cleaned[[#This Row],[ServiceID]])=1,"Yes","No")</f>
        <v>Yes</v>
      </c>
      <c r="S25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8" t="str">
        <f>"Q"&amp;ROUNDUP(MONTH(Transactions_RAW_cleaned[[#This Row],[TransactionDate]])/3,0)</f>
        <v>Q3</v>
      </c>
      <c r="U258" t="str">
        <f>Transactions_RAW_cleaned[[#This Row],[Region ]]&amp;Transactions_RAW_cleaned[[#This Row],[Quarter ]]</f>
        <v>NAQ3</v>
      </c>
      <c r="V258" s="5">
        <f>_xlfn.XLOOKUP(Transactions_RAW_cleaned[[#This Row],[RegionQuarterKey]], Quarterly_Targets_cleaned[RegionQuarterKey], Quarterly_Targets_cleaned[TargetRevenue])</f>
        <v>273000</v>
      </c>
    </row>
    <row r="259" spans="1:22" x14ac:dyDescent="0.25">
      <c r="A259" t="s">
        <v>592</v>
      </c>
      <c r="B259" s="1">
        <v>45650</v>
      </c>
      <c r="C259" t="s">
        <v>143</v>
      </c>
      <c r="D259" t="s">
        <v>294</v>
      </c>
      <c r="E259">
        <v>385.06</v>
      </c>
      <c r="F259" t="s">
        <v>324</v>
      </c>
      <c r="G259" t="s">
        <v>325</v>
      </c>
      <c r="H259" t="s">
        <v>334</v>
      </c>
      <c r="I259" t="s">
        <v>8</v>
      </c>
      <c r="J259" t="s">
        <v>102</v>
      </c>
      <c r="K259" t="s">
        <v>22</v>
      </c>
      <c r="L259" t="s">
        <v>295</v>
      </c>
      <c r="M259" t="s">
        <v>296</v>
      </c>
      <c r="N259">
        <v>2.9000000000000001E-2</v>
      </c>
      <c r="O259" t="str">
        <f>IF(Transactions_RAW_cleaned[[#This Row],[Status]]="Completed", IFERROR(_xlfn.XLOOKUP(Transactions_RAW_cleaned[[#This Row],[CustomerID]], Customers_cleaned[CustomerID], Customers_cleaned[Segment]), "Customer Not Found"), "N/A")</f>
        <v>SMB</v>
      </c>
      <c r="P259" s="5" t="str">
        <f>IF(Transactions_RAW_cleaned[[#This Row],[Status]]="Refunded", "Refund",
  IF(Transactions_RAW_cleaned[[#This Row],[Category]]="Payments", IF(Transactions_RAW_cleaned[[#This Row],[Amount]]&gt;500,"High Value","Standard"),
    IF(Transactions_RAW_cleaned[[#This Row],[Amount]]&gt;250,"High Value","Standard")))</f>
        <v>Standard</v>
      </c>
      <c r="Q259" s="5" t="str">
        <f>IF(Transactions_RAW_cleaned[[#This Row],[Amount]] &gt; (_xlfn.XLOOKUP(Transactions_RAW_cleaned[[#This Row],[ServiceID]],Services_cleaned[ServiceID],Services_cleaned[TransactionFeePct]) * 10000), "Yes", "No")</f>
        <v>Yes</v>
      </c>
      <c r="R259" s="5" t="str">
        <f>IF(COUNTIFS($C$2:Transactions_RAW_cleaned[[#This Row],[CustomerID]],Transactions_RAW_cleaned[[#This Row],[CustomerID]],$D$2:Transactions_RAW_cleaned[[#This Row],[ServiceID]],Transactions_RAW_cleaned[[#This Row],[ServiceID]])=1,"Yes","No")</f>
        <v>Yes</v>
      </c>
      <c r="S25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9" t="str">
        <f>"Q"&amp;ROUNDUP(MONTH(Transactions_RAW_cleaned[[#This Row],[TransactionDate]])/3,0)</f>
        <v>Q4</v>
      </c>
      <c r="U259" t="str">
        <f>Transactions_RAW_cleaned[[#This Row],[Region ]]&amp;Transactions_RAW_cleaned[[#This Row],[Quarter ]]</f>
        <v>NAQ4</v>
      </c>
      <c r="V259" s="5">
        <f>_xlfn.XLOOKUP(Transactions_RAW_cleaned[[#This Row],[RegionQuarterKey]], Quarterly_Targets_cleaned[RegionQuarterKey], Quarterly_Targets_cleaned[TargetRevenue])</f>
        <v>299000</v>
      </c>
    </row>
    <row r="260" spans="1:22" x14ac:dyDescent="0.25">
      <c r="A260" t="s">
        <v>593</v>
      </c>
      <c r="B260" s="1">
        <v>45489</v>
      </c>
      <c r="C260" t="s">
        <v>90</v>
      </c>
      <c r="D260" t="s">
        <v>300</v>
      </c>
      <c r="E260">
        <v>594.03</v>
      </c>
      <c r="F260" t="s">
        <v>324</v>
      </c>
      <c r="G260" t="s">
        <v>325</v>
      </c>
      <c r="H260" t="s">
        <v>334</v>
      </c>
      <c r="I260" t="s">
        <v>8</v>
      </c>
      <c r="J260" t="s">
        <v>102</v>
      </c>
      <c r="K260" t="s">
        <v>28</v>
      </c>
      <c r="L260" t="s">
        <v>301</v>
      </c>
      <c r="M260" t="s">
        <v>302</v>
      </c>
      <c r="N260">
        <v>5.0000000000000001E-3</v>
      </c>
      <c r="O260" t="str">
        <f>IF(Transactions_RAW_cleaned[[#This Row],[Status]]="Completed", IFERROR(_xlfn.XLOOKUP(Transactions_RAW_cleaned[[#This Row],[CustomerID]], Customers_cleaned[CustomerID], Customers_cleaned[Segment]), "Customer Not Found"), "N/A")</f>
        <v>SMB</v>
      </c>
      <c r="P260" s="5" t="str">
        <f>IF(Transactions_RAW_cleaned[[#This Row],[Status]]="Refunded", "Refund",
  IF(Transactions_RAW_cleaned[[#This Row],[Category]]="Payments", IF(Transactions_RAW_cleaned[[#This Row],[Amount]]&gt;500,"High Value","Standard"),
    IF(Transactions_RAW_cleaned[[#This Row],[Amount]]&gt;250,"High Value","Standard")))</f>
        <v>High Value</v>
      </c>
      <c r="Q260" s="5" t="str">
        <f>IF(Transactions_RAW_cleaned[[#This Row],[Amount]] &gt; (_xlfn.XLOOKUP(Transactions_RAW_cleaned[[#This Row],[ServiceID]],Services_cleaned[ServiceID],Services_cleaned[TransactionFeePct]) * 10000), "Yes", "No")</f>
        <v>Yes</v>
      </c>
      <c r="R260" s="5" t="str">
        <f>IF(COUNTIFS($C$2:Transactions_RAW_cleaned[[#This Row],[CustomerID]],Transactions_RAW_cleaned[[#This Row],[CustomerID]],$D$2:Transactions_RAW_cleaned[[#This Row],[ServiceID]],Transactions_RAW_cleaned[[#This Row],[ServiceID]])=1,"Yes","No")</f>
        <v>Yes</v>
      </c>
      <c r="S26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60" t="str">
        <f>"Q"&amp;ROUNDUP(MONTH(Transactions_RAW_cleaned[[#This Row],[TransactionDate]])/3,0)</f>
        <v>Q3</v>
      </c>
      <c r="U260" t="str">
        <f>Transactions_RAW_cleaned[[#This Row],[Region ]]&amp;Transactions_RAW_cleaned[[#This Row],[Quarter ]]</f>
        <v>NAQ3</v>
      </c>
      <c r="V260" s="5">
        <f>_xlfn.XLOOKUP(Transactions_RAW_cleaned[[#This Row],[RegionQuarterKey]], Quarterly_Targets_cleaned[RegionQuarterKey], Quarterly_Targets_cleaned[TargetRevenue])</f>
        <v>273000</v>
      </c>
    </row>
    <row r="261" spans="1:22" x14ac:dyDescent="0.25">
      <c r="A261" t="s">
        <v>594</v>
      </c>
      <c r="B261" s="1">
        <v>45437</v>
      </c>
      <c r="C261" t="s">
        <v>68</v>
      </c>
      <c r="D261" t="s">
        <v>300</v>
      </c>
      <c r="E261">
        <v>-230.1</v>
      </c>
      <c r="F261" t="s">
        <v>349</v>
      </c>
      <c r="G261" t="s">
        <v>325</v>
      </c>
      <c r="I261" t="s">
        <v>57</v>
      </c>
      <c r="J261" t="s">
        <v>13</v>
      </c>
      <c r="K261" t="s">
        <v>10</v>
      </c>
      <c r="L261" t="s">
        <v>301</v>
      </c>
      <c r="M261" t="s">
        <v>302</v>
      </c>
      <c r="N261">
        <v>5.0000000000000001E-3</v>
      </c>
      <c r="O261" t="str">
        <f>IF(Transactions_RAW_cleaned[[#This Row],[Status]]="Completed", IFERROR(_xlfn.XLOOKUP(Transactions_RAW_cleaned[[#This Row],[CustomerID]], Customers_cleaned[CustomerID], Customers_cleaned[Segment]), "Customer Not Found"), "N/A")</f>
        <v>N/A</v>
      </c>
      <c r="P261" s="5" t="str">
        <f>IF(Transactions_RAW_cleaned[[#This Row],[Status]]="Refunded", "Refund",
  IF(Transactions_RAW_cleaned[[#This Row],[Category]]="Payments", IF(Transactions_RAW_cleaned[[#This Row],[Amount]]&gt;500,"High Value","Standard"),
    IF(Transactions_RAW_cleaned[[#This Row],[Amount]]&gt;250,"High Value","Standard")))</f>
        <v>Refund</v>
      </c>
      <c r="Q261" s="5" t="str">
        <f>IF(Transactions_RAW_cleaned[[#This Row],[Amount]] &gt; (_xlfn.XLOOKUP(Transactions_RAW_cleaned[[#This Row],[ServiceID]],Services_cleaned[ServiceID],Services_cleaned[TransactionFeePct]) * 10000), "Yes", "No")</f>
        <v>No</v>
      </c>
      <c r="R261" s="5" t="str">
        <f>IF(COUNTIFS($C$2:Transactions_RAW_cleaned[[#This Row],[CustomerID]],Transactions_RAW_cleaned[[#This Row],[CustomerID]],$D$2:Transactions_RAW_cleaned[[#This Row],[ServiceID]],Transactions_RAW_cleaned[[#This Row],[ServiceID]])=1,"Yes","No")</f>
        <v>No</v>
      </c>
      <c r="S26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61" t="str">
        <f>"Q"&amp;ROUNDUP(MONTH(Transactions_RAW_cleaned[[#This Row],[TransactionDate]])/3,0)</f>
        <v>Q2</v>
      </c>
      <c r="U261" t="str">
        <f>Transactions_RAW_cleaned[[#This Row],[Region ]]&amp;Transactions_RAW_cleaned[[#This Row],[Quarter ]]</f>
        <v>NAQ2</v>
      </c>
      <c r="V261" s="5">
        <f>_xlfn.XLOOKUP(Transactions_RAW_cleaned[[#This Row],[RegionQuarterKey]], Quarterly_Targets_cleaned[RegionQuarterKey], Quarterly_Targets_cleaned[TargetRevenue])</f>
        <v>260000</v>
      </c>
    </row>
    <row r="262" spans="1:22" x14ac:dyDescent="0.25">
      <c r="A262" t="s">
        <v>595</v>
      </c>
      <c r="B262" s="1">
        <v>45535</v>
      </c>
      <c r="C262" t="s">
        <v>191</v>
      </c>
      <c r="D262" t="s">
        <v>309</v>
      </c>
      <c r="E262">
        <v>503.29</v>
      </c>
      <c r="F262" t="s">
        <v>381</v>
      </c>
      <c r="G262" t="s">
        <v>325</v>
      </c>
      <c r="I262" t="s">
        <v>57</v>
      </c>
      <c r="J262" t="s">
        <v>31</v>
      </c>
      <c r="K262" t="s">
        <v>32</v>
      </c>
      <c r="L262" t="s">
        <v>310</v>
      </c>
      <c r="M262" t="s">
        <v>311</v>
      </c>
      <c r="N262">
        <v>0</v>
      </c>
      <c r="O262" t="str">
        <f>IF(Transactions_RAW_cleaned[[#This Row],[Status]]="Completed", IFERROR(_xlfn.XLOOKUP(Transactions_RAW_cleaned[[#This Row],[CustomerID]], Customers_cleaned[CustomerID], Customers_cleaned[Segment]), "Customer Not Found"), "N/A")</f>
        <v>N/A</v>
      </c>
      <c r="P262" s="5" t="str">
        <f>IF(Transactions_RAW_cleaned[[#This Row],[Status]]="Refunded", "Refund",
  IF(Transactions_RAW_cleaned[[#This Row],[Category]]="Payments", IF(Transactions_RAW_cleaned[[#This Row],[Amount]]&gt;500,"High Value","Standard"),
    IF(Transactions_RAW_cleaned[[#This Row],[Amount]]&gt;250,"High Value","Standard")))</f>
        <v>High Value</v>
      </c>
      <c r="Q262" s="5" t="str">
        <f>IF(Transactions_RAW_cleaned[[#This Row],[Amount]] &gt; (_xlfn.XLOOKUP(Transactions_RAW_cleaned[[#This Row],[ServiceID]],Services_cleaned[ServiceID],Services_cleaned[TransactionFeePct]) * 10000), "Yes", "No")</f>
        <v>Yes</v>
      </c>
      <c r="R262" s="5" t="str">
        <f>IF(COUNTIFS($C$2:Transactions_RAW_cleaned[[#This Row],[CustomerID]],Transactions_RAW_cleaned[[#This Row],[CustomerID]],$D$2:Transactions_RAW_cleaned[[#This Row],[ServiceID]],Transactions_RAW_cleaned[[#This Row],[ServiceID]])=1,"Yes","No")</f>
        <v>No</v>
      </c>
      <c r="S26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62" t="str">
        <f>"Q"&amp;ROUNDUP(MONTH(Transactions_RAW_cleaned[[#This Row],[TransactionDate]])/3,0)</f>
        <v>Q3</v>
      </c>
      <c r="U262" t="str">
        <f>Transactions_RAW_cleaned[[#This Row],[Region ]]&amp;Transactions_RAW_cleaned[[#This Row],[Quarter ]]</f>
        <v>EMEAQ3</v>
      </c>
      <c r="V262" s="5">
        <f>_xlfn.XLOOKUP(Transactions_RAW_cleaned[[#This Row],[RegionQuarterKey]], Quarterly_Targets_cleaned[RegionQuarterKey], Quarterly_Targets_cleaned[TargetRevenue])</f>
        <v>147000</v>
      </c>
    </row>
    <row r="263" spans="1:22" x14ac:dyDescent="0.25">
      <c r="A263" t="s">
        <v>596</v>
      </c>
      <c r="B263" s="1">
        <v>45426</v>
      </c>
      <c r="C263" t="s">
        <v>98</v>
      </c>
      <c r="D263" t="s">
        <v>300</v>
      </c>
      <c r="E263">
        <v>285.83</v>
      </c>
      <c r="F263" t="s">
        <v>324</v>
      </c>
      <c r="G263" t="s">
        <v>337</v>
      </c>
      <c r="H263" t="s">
        <v>332</v>
      </c>
      <c r="I263" t="s">
        <v>8</v>
      </c>
      <c r="J263" t="s">
        <v>37</v>
      </c>
      <c r="K263" t="s">
        <v>18</v>
      </c>
      <c r="L263" t="s">
        <v>301</v>
      </c>
      <c r="M263" t="s">
        <v>302</v>
      </c>
      <c r="N263">
        <v>5.0000000000000001E-3</v>
      </c>
      <c r="O263" t="str">
        <f>IF(Transactions_RAW_cleaned[[#This Row],[Status]]="Completed", IFERROR(_xlfn.XLOOKUP(Transactions_RAW_cleaned[[#This Row],[CustomerID]], Customers_cleaned[CustomerID], Customers_cleaned[Segment]), "Customer Not Found"), "N/A")</f>
        <v>SMB</v>
      </c>
      <c r="P263" s="5" t="str">
        <f>IF(Transactions_RAW_cleaned[[#This Row],[Status]]="Refunded", "Refund",
  IF(Transactions_RAW_cleaned[[#This Row],[Category]]="Payments", IF(Transactions_RAW_cleaned[[#This Row],[Amount]]&gt;500,"High Value","Standard"),
    IF(Transactions_RAW_cleaned[[#This Row],[Amount]]&gt;250,"High Value","Standard")))</f>
        <v>High Value</v>
      </c>
      <c r="Q263" s="5" t="str">
        <f>IF(Transactions_RAW_cleaned[[#This Row],[Amount]] &gt; (_xlfn.XLOOKUP(Transactions_RAW_cleaned[[#This Row],[ServiceID]],Services_cleaned[ServiceID],Services_cleaned[TransactionFeePct]) * 10000), "Yes", "No")</f>
        <v>Yes</v>
      </c>
      <c r="R263" s="5" t="str">
        <f>IF(COUNTIFS($C$2:Transactions_RAW_cleaned[[#This Row],[CustomerID]],Transactions_RAW_cleaned[[#This Row],[CustomerID]],$D$2:Transactions_RAW_cleaned[[#This Row],[ServiceID]],Transactions_RAW_cleaned[[#This Row],[ServiceID]])=1,"Yes","No")</f>
        <v>Yes</v>
      </c>
      <c r="S26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63" t="str">
        <f>"Q"&amp;ROUNDUP(MONTH(Transactions_RAW_cleaned[[#This Row],[TransactionDate]])/3,0)</f>
        <v>Q2</v>
      </c>
      <c r="U263" t="str">
        <f>Transactions_RAW_cleaned[[#This Row],[Region ]]&amp;Transactions_RAW_cleaned[[#This Row],[Quarter ]]</f>
        <v>EMEAQ2</v>
      </c>
      <c r="V263" s="5">
        <f>_xlfn.XLOOKUP(Transactions_RAW_cleaned[[#This Row],[RegionQuarterKey]], Quarterly_Targets_cleaned[RegionQuarterKey], Quarterly_Targets_cleaned[TargetRevenue])</f>
        <v>140000</v>
      </c>
    </row>
    <row r="264" spans="1:22" x14ac:dyDescent="0.25">
      <c r="A264" t="s">
        <v>597</v>
      </c>
      <c r="B264" s="1">
        <v>45337</v>
      </c>
      <c r="C264" t="s">
        <v>139</v>
      </c>
      <c r="D264" t="s">
        <v>294</v>
      </c>
      <c r="E264">
        <v>276.64</v>
      </c>
      <c r="F264" t="s">
        <v>381</v>
      </c>
      <c r="G264" t="s">
        <v>327</v>
      </c>
      <c r="H264" t="s">
        <v>346</v>
      </c>
      <c r="I264" t="s">
        <v>8</v>
      </c>
      <c r="J264" t="s">
        <v>102</v>
      </c>
      <c r="K264" t="s">
        <v>22</v>
      </c>
      <c r="L264" t="s">
        <v>295</v>
      </c>
      <c r="M264" t="s">
        <v>296</v>
      </c>
      <c r="N264">
        <v>2.9000000000000001E-2</v>
      </c>
      <c r="O264" t="str">
        <f>IF(Transactions_RAW_cleaned[[#This Row],[Status]]="Completed", IFERROR(_xlfn.XLOOKUP(Transactions_RAW_cleaned[[#This Row],[CustomerID]], Customers_cleaned[CustomerID], Customers_cleaned[Segment]), "Customer Not Found"), "N/A")</f>
        <v>N/A</v>
      </c>
      <c r="P264" s="5" t="str">
        <f>IF(Transactions_RAW_cleaned[[#This Row],[Status]]="Refunded", "Refund",
  IF(Transactions_RAW_cleaned[[#This Row],[Category]]="Payments", IF(Transactions_RAW_cleaned[[#This Row],[Amount]]&gt;500,"High Value","Standard"),
    IF(Transactions_RAW_cleaned[[#This Row],[Amount]]&gt;250,"High Value","Standard")))</f>
        <v>Standard</v>
      </c>
      <c r="Q264" s="5" t="str">
        <f>IF(Transactions_RAW_cleaned[[#This Row],[Amount]] &gt; (_xlfn.XLOOKUP(Transactions_RAW_cleaned[[#This Row],[ServiceID]],Services_cleaned[ServiceID],Services_cleaned[TransactionFeePct]) * 10000), "Yes", "No")</f>
        <v>No</v>
      </c>
      <c r="R264" s="5" t="str">
        <f>IF(COUNTIFS($C$2:Transactions_RAW_cleaned[[#This Row],[CustomerID]],Transactions_RAW_cleaned[[#This Row],[CustomerID]],$D$2:Transactions_RAW_cleaned[[#This Row],[ServiceID]],Transactions_RAW_cleaned[[#This Row],[ServiceID]])=1,"Yes","No")</f>
        <v>Yes</v>
      </c>
      <c r="S26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64" t="str">
        <f>"Q"&amp;ROUNDUP(MONTH(Transactions_RAW_cleaned[[#This Row],[TransactionDate]])/3,0)</f>
        <v>Q1</v>
      </c>
      <c r="U264" t="str">
        <f>Transactions_RAW_cleaned[[#This Row],[Region ]]&amp;Transactions_RAW_cleaned[[#This Row],[Quarter ]]</f>
        <v>NAQ1</v>
      </c>
      <c r="V264" s="5">
        <f>_xlfn.XLOOKUP(Transactions_RAW_cleaned[[#This Row],[RegionQuarterKey]], Quarterly_Targets_cleaned[RegionQuarterKey], Quarterly_Targets_cleaned[TargetRevenue])</f>
        <v>247000</v>
      </c>
    </row>
    <row r="265" spans="1:22" x14ac:dyDescent="0.25">
      <c r="A265" t="s">
        <v>598</v>
      </c>
      <c r="B265" s="1">
        <v>45548</v>
      </c>
      <c r="C265" t="s">
        <v>103</v>
      </c>
      <c r="D265" t="s">
        <v>315</v>
      </c>
      <c r="E265">
        <v>368.39</v>
      </c>
      <c r="F265" t="s">
        <v>324</v>
      </c>
      <c r="G265" t="s">
        <v>329</v>
      </c>
      <c r="I265" t="s">
        <v>8</v>
      </c>
      <c r="J265" t="s">
        <v>102</v>
      </c>
      <c r="K265" t="s">
        <v>28</v>
      </c>
      <c r="L265" t="s">
        <v>316</v>
      </c>
      <c r="M265" t="s">
        <v>305</v>
      </c>
      <c r="N265">
        <v>2.5000000000000001E-3</v>
      </c>
      <c r="O265" t="str">
        <f>IF(Transactions_RAW_cleaned[[#This Row],[Status]]="Completed", IFERROR(_xlfn.XLOOKUP(Transactions_RAW_cleaned[[#This Row],[CustomerID]], Customers_cleaned[CustomerID], Customers_cleaned[Segment]), "Customer Not Found"), "N/A")</f>
        <v>SMB</v>
      </c>
      <c r="P265" s="5" t="str">
        <f>IF(Transactions_RAW_cleaned[[#This Row],[Status]]="Refunded", "Refund",
  IF(Transactions_RAW_cleaned[[#This Row],[Category]]="Payments", IF(Transactions_RAW_cleaned[[#This Row],[Amount]]&gt;500,"High Value","Standard"),
    IF(Transactions_RAW_cleaned[[#This Row],[Amount]]&gt;250,"High Value","Standard")))</f>
        <v>High Value</v>
      </c>
      <c r="Q265" s="5" t="str">
        <f>IF(Transactions_RAW_cleaned[[#This Row],[Amount]] &gt; (_xlfn.XLOOKUP(Transactions_RAW_cleaned[[#This Row],[ServiceID]],Services_cleaned[ServiceID],Services_cleaned[TransactionFeePct]) * 10000), "Yes", "No")</f>
        <v>Yes</v>
      </c>
      <c r="R265" s="5" t="str">
        <f>IF(COUNTIFS($C$2:Transactions_RAW_cleaned[[#This Row],[CustomerID]],Transactions_RAW_cleaned[[#This Row],[CustomerID]],$D$2:Transactions_RAW_cleaned[[#This Row],[ServiceID]],Transactions_RAW_cleaned[[#This Row],[ServiceID]])=1,"Yes","No")</f>
        <v>Yes</v>
      </c>
      <c r="S26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65" t="str">
        <f>"Q"&amp;ROUNDUP(MONTH(Transactions_RAW_cleaned[[#This Row],[TransactionDate]])/3,0)</f>
        <v>Q3</v>
      </c>
      <c r="U265" t="str">
        <f>Transactions_RAW_cleaned[[#This Row],[Region ]]&amp;Transactions_RAW_cleaned[[#This Row],[Quarter ]]</f>
        <v>NAQ3</v>
      </c>
      <c r="V265" s="5">
        <f>_xlfn.XLOOKUP(Transactions_RAW_cleaned[[#This Row],[RegionQuarterKey]], Quarterly_Targets_cleaned[RegionQuarterKey], Quarterly_Targets_cleaned[TargetRevenue])</f>
        <v>273000</v>
      </c>
    </row>
    <row r="266" spans="1:22" x14ac:dyDescent="0.25">
      <c r="A266" t="s">
        <v>599</v>
      </c>
      <c r="B266" s="1">
        <v>45530</v>
      </c>
      <c r="C266" t="s">
        <v>76</v>
      </c>
      <c r="D266" t="s">
        <v>297</v>
      </c>
      <c r="E266">
        <v>137.71</v>
      </c>
      <c r="F266" t="s">
        <v>324</v>
      </c>
      <c r="G266" t="s">
        <v>325</v>
      </c>
      <c r="H266" t="s">
        <v>332</v>
      </c>
      <c r="I266" t="s">
        <v>17</v>
      </c>
      <c r="J266" t="s">
        <v>13</v>
      </c>
      <c r="K266" t="s">
        <v>18</v>
      </c>
      <c r="L266" t="s">
        <v>298</v>
      </c>
      <c r="M266" t="s">
        <v>299</v>
      </c>
      <c r="N266">
        <v>0</v>
      </c>
      <c r="O266" t="str">
        <f>IF(Transactions_RAW_cleaned[[#This Row],[Status]]="Completed", IFERROR(_xlfn.XLOOKUP(Transactions_RAW_cleaned[[#This Row],[CustomerID]], Customers_cleaned[CustomerID], Customers_cleaned[Segment]), "Customer Not Found"), "N/A")</f>
        <v>Enterprise</v>
      </c>
      <c r="P266" s="5" t="str">
        <f>IF(Transactions_RAW_cleaned[[#This Row],[Status]]="Refunded", "Refund",
  IF(Transactions_RAW_cleaned[[#This Row],[Category]]="Payments", IF(Transactions_RAW_cleaned[[#This Row],[Amount]]&gt;500,"High Value","Standard"),
    IF(Transactions_RAW_cleaned[[#This Row],[Amount]]&gt;250,"High Value","Standard")))</f>
        <v>Standard</v>
      </c>
      <c r="Q266" s="5" t="str">
        <f>IF(Transactions_RAW_cleaned[[#This Row],[Amount]] &gt; (_xlfn.XLOOKUP(Transactions_RAW_cleaned[[#This Row],[ServiceID]],Services_cleaned[ServiceID],Services_cleaned[TransactionFeePct]) * 10000), "Yes", "No")</f>
        <v>Yes</v>
      </c>
      <c r="R266" s="5" t="str">
        <f>IF(COUNTIFS($C$2:Transactions_RAW_cleaned[[#This Row],[CustomerID]],Transactions_RAW_cleaned[[#This Row],[CustomerID]],$D$2:Transactions_RAW_cleaned[[#This Row],[ServiceID]],Transactions_RAW_cleaned[[#This Row],[ServiceID]])=1,"Yes","No")</f>
        <v>Yes</v>
      </c>
      <c r="S26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66" t="str">
        <f>"Q"&amp;ROUNDUP(MONTH(Transactions_RAW_cleaned[[#This Row],[TransactionDate]])/3,0)</f>
        <v>Q3</v>
      </c>
      <c r="U266" t="str">
        <f>Transactions_RAW_cleaned[[#This Row],[Region ]]&amp;Transactions_RAW_cleaned[[#This Row],[Quarter ]]</f>
        <v>NAQ3</v>
      </c>
      <c r="V266" s="5">
        <f>_xlfn.XLOOKUP(Transactions_RAW_cleaned[[#This Row],[RegionQuarterKey]], Quarterly_Targets_cleaned[RegionQuarterKey], Quarterly_Targets_cleaned[TargetRevenue])</f>
        <v>273000</v>
      </c>
    </row>
    <row r="267" spans="1:22" x14ac:dyDescent="0.25">
      <c r="A267" t="s">
        <v>600</v>
      </c>
      <c r="B267" s="1">
        <v>45611</v>
      </c>
      <c r="C267" t="s">
        <v>227</v>
      </c>
      <c r="D267" t="s">
        <v>300</v>
      </c>
      <c r="E267">
        <v>408.02</v>
      </c>
      <c r="F267" t="s">
        <v>324</v>
      </c>
      <c r="G267" t="s">
        <v>325</v>
      </c>
      <c r="I267" t="s">
        <v>57</v>
      </c>
      <c r="J267" t="s">
        <v>31</v>
      </c>
      <c r="K267" t="s">
        <v>32</v>
      </c>
      <c r="L267" t="s">
        <v>301</v>
      </c>
      <c r="M267" t="s">
        <v>302</v>
      </c>
      <c r="N267">
        <v>5.0000000000000001E-3</v>
      </c>
      <c r="O267" t="str">
        <f>IF(Transactions_RAW_cleaned[[#This Row],[Status]]="Completed", IFERROR(_xlfn.XLOOKUP(Transactions_RAW_cleaned[[#This Row],[CustomerID]], Customers_cleaned[CustomerID], Customers_cleaned[Segment]), "Customer Not Found"), "N/A")</f>
        <v>Startup</v>
      </c>
      <c r="P267" s="5" t="str">
        <f>IF(Transactions_RAW_cleaned[[#This Row],[Status]]="Refunded", "Refund",
  IF(Transactions_RAW_cleaned[[#This Row],[Category]]="Payments", IF(Transactions_RAW_cleaned[[#This Row],[Amount]]&gt;500,"High Value","Standard"),
    IF(Transactions_RAW_cleaned[[#This Row],[Amount]]&gt;250,"High Value","Standard")))</f>
        <v>High Value</v>
      </c>
      <c r="Q267" s="5" t="str">
        <f>IF(Transactions_RAW_cleaned[[#This Row],[Amount]] &gt; (_xlfn.XLOOKUP(Transactions_RAW_cleaned[[#This Row],[ServiceID]],Services_cleaned[ServiceID],Services_cleaned[TransactionFeePct]) * 10000), "Yes", "No")</f>
        <v>Yes</v>
      </c>
      <c r="R267" s="5" t="str">
        <f>IF(COUNTIFS($C$2:Transactions_RAW_cleaned[[#This Row],[CustomerID]],Transactions_RAW_cleaned[[#This Row],[CustomerID]],$D$2:Transactions_RAW_cleaned[[#This Row],[ServiceID]],Transactions_RAW_cleaned[[#This Row],[ServiceID]])=1,"Yes","No")</f>
        <v>Yes</v>
      </c>
      <c r="S26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67" t="str">
        <f>"Q"&amp;ROUNDUP(MONTH(Transactions_RAW_cleaned[[#This Row],[TransactionDate]])/3,0)</f>
        <v>Q4</v>
      </c>
      <c r="U267" t="str">
        <f>Transactions_RAW_cleaned[[#This Row],[Region ]]&amp;Transactions_RAW_cleaned[[#This Row],[Quarter ]]</f>
        <v>EMEAQ4</v>
      </c>
      <c r="V267" s="5">
        <f>_xlfn.XLOOKUP(Transactions_RAW_cleaned[[#This Row],[RegionQuarterKey]], Quarterly_Targets_cleaned[RegionQuarterKey], Quarterly_Targets_cleaned[TargetRevenue])</f>
        <v>161000</v>
      </c>
    </row>
    <row r="268" spans="1:22" x14ac:dyDescent="0.25">
      <c r="A268" t="s">
        <v>601</v>
      </c>
      <c r="B268" s="1">
        <v>45363</v>
      </c>
      <c r="C268" t="s">
        <v>221</v>
      </c>
      <c r="D268" t="s">
        <v>306</v>
      </c>
      <c r="E268">
        <v>967.27</v>
      </c>
      <c r="F268" t="s">
        <v>324</v>
      </c>
      <c r="G268" t="s">
        <v>337</v>
      </c>
      <c r="I268" t="s">
        <v>8</v>
      </c>
      <c r="J268" t="s">
        <v>102</v>
      </c>
      <c r="K268" t="s">
        <v>14</v>
      </c>
      <c r="L268" t="s">
        <v>307</v>
      </c>
      <c r="M268" t="s">
        <v>308</v>
      </c>
      <c r="N268">
        <v>0</v>
      </c>
      <c r="O268" t="str">
        <f>IF(Transactions_RAW_cleaned[[#This Row],[Status]]="Completed", IFERROR(_xlfn.XLOOKUP(Transactions_RAW_cleaned[[#This Row],[CustomerID]], Customers_cleaned[CustomerID], Customers_cleaned[Segment]), "Customer Not Found"), "N/A")</f>
        <v>SMB</v>
      </c>
      <c r="P268" s="5" t="str">
        <f>IF(Transactions_RAW_cleaned[[#This Row],[Status]]="Refunded", "Refund",
  IF(Transactions_RAW_cleaned[[#This Row],[Category]]="Payments", IF(Transactions_RAW_cleaned[[#This Row],[Amount]]&gt;500,"High Value","Standard"),
    IF(Transactions_RAW_cleaned[[#This Row],[Amount]]&gt;250,"High Value","Standard")))</f>
        <v>High Value</v>
      </c>
      <c r="Q268" s="5" t="str">
        <f>IF(Transactions_RAW_cleaned[[#This Row],[Amount]] &gt; (_xlfn.XLOOKUP(Transactions_RAW_cleaned[[#This Row],[ServiceID]],Services_cleaned[ServiceID],Services_cleaned[TransactionFeePct]) * 10000), "Yes", "No")</f>
        <v>Yes</v>
      </c>
      <c r="R268" s="5" t="str">
        <f>IF(COUNTIFS($C$2:Transactions_RAW_cleaned[[#This Row],[CustomerID]],Transactions_RAW_cleaned[[#This Row],[CustomerID]],$D$2:Transactions_RAW_cleaned[[#This Row],[ServiceID]],Transactions_RAW_cleaned[[#This Row],[ServiceID]])=1,"Yes","No")</f>
        <v>No</v>
      </c>
      <c r="S26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68" t="str">
        <f>"Q"&amp;ROUNDUP(MONTH(Transactions_RAW_cleaned[[#This Row],[TransactionDate]])/3,0)</f>
        <v>Q1</v>
      </c>
      <c r="U268" t="str">
        <f>Transactions_RAW_cleaned[[#This Row],[Region ]]&amp;Transactions_RAW_cleaned[[#This Row],[Quarter ]]</f>
        <v>NAQ1</v>
      </c>
      <c r="V268" s="5">
        <f>_xlfn.XLOOKUP(Transactions_RAW_cleaned[[#This Row],[RegionQuarterKey]], Quarterly_Targets_cleaned[RegionQuarterKey], Quarterly_Targets_cleaned[TargetRevenue])</f>
        <v>247000</v>
      </c>
    </row>
    <row r="269" spans="1:22" x14ac:dyDescent="0.25">
      <c r="A269" t="s">
        <v>602</v>
      </c>
      <c r="B269" s="1">
        <v>45471</v>
      </c>
      <c r="C269" t="s">
        <v>123</v>
      </c>
      <c r="D269" t="s">
        <v>294</v>
      </c>
      <c r="E269">
        <v>797.67</v>
      </c>
      <c r="F269" t="s">
        <v>324</v>
      </c>
      <c r="G269" t="s">
        <v>329</v>
      </c>
      <c r="I269" t="s">
        <v>8</v>
      </c>
      <c r="J269" t="s">
        <v>13</v>
      </c>
      <c r="K269" t="s">
        <v>32</v>
      </c>
      <c r="L269" t="s">
        <v>295</v>
      </c>
      <c r="M269" t="s">
        <v>296</v>
      </c>
      <c r="N269">
        <v>2.9000000000000001E-2</v>
      </c>
      <c r="O269" t="str">
        <f>IF(Transactions_RAW_cleaned[[#This Row],[Status]]="Completed", IFERROR(_xlfn.XLOOKUP(Transactions_RAW_cleaned[[#This Row],[CustomerID]], Customers_cleaned[CustomerID], Customers_cleaned[Segment]), "Customer Not Found"), "N/A")</f>
        <v>SMB</v>
      </c>
      <c r="P269" s="5" t="str">
        <f>IF(Transactions_RAW_cleaned[[#This Row],[Status]]="Refunded", "Refund",
  IF(Transactions_RAW_cleaned[[#This Row],[Category]]="Payments", IF(Transactions_RAW_cleaned[[#This Row],[Amount]]&gt;500,"High Value","Standard"),
    IF(Transactions_RAW_cleaned[[#This Row],[Amount]]&gt;250,"High Value","Standard")))</f>
        <v>High Value</v>
      </c>
      <c r="Q269" s="5" t="str">
        <f>IF(Transactions_RAW_cleaned[[#This Row],[Amount]] &gt; (_xlfn.XLOOKUP(Transactions_RAW_cleaned[[#This Row],[ServiceID]],Services_cleaned[ServiceID],Services_cleaned[TransactionFeePct]) * 10000), "Yes", "No")</f>
        <v>Yes</v>
      </c>
      <c r="R269" s="5" t="str">
        <f>IF(COUNTIFS($C$2:Transactions_RAW_cleaned[[#This Row],[CustomerID]],Transactions_RAW_cleaned[[#This Row],[CustomerID]],$D$2:Transactions_RAW_cleaned[[#This Row],[ServiceID]],Transactions_RAW_cleaned[[#This Row],[ServiceID]])=1,"Yes","No")</f>
        <v>Yes</v>
      </c>
      <c r="S26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69" t="str">
        <f>"Q"&amp;ROUNDUP(MONTH(Transactions_RAW_cleaned[[#This Row],[TransactionDate]])/3,0)</f>
        <v>Q2</v>
      </c>
      <c r="U269" t="str">
        <f>Transactions_RAW_cleaned[[#This Row],[Region ]]&amp;Transactions_RAW_cleaned[[#This Row],[Quarter ]]</f>
        <v>NAQ2</v>
      </c>
      <c r="V269" s="5">
        <f>_xlfn.XLOOKUP(Transactions_RAW_cleaned[[#This Row],[RegionQuarterKey]], Quarterly_Targets_cleaned[RegionQuarterKey], Quarterly_Targets_cleaned[TargetRevenue])</f>
        <v>260000</v>
      </c>
    </row>
    <row r="270" spans="1:22" x14ac:dyDescent="0.25">
      <c r="A270" t="s">
        <v>603</v>
      </c>
      <c r="B270" s="1">
        <v>45443</v>
      </c>
      <c r="C270" t="s">
        <v>90</v>
      </c>
      <c r="D270" t="s">
        <v>294</v>
      </c>
      <c r="E270">
        <v>408.45</v>
      </c>
      <c r="F270" t="s">
        <v>381</v>
      </c>
      <c r="G270" t="s">
        <v>337</v>
      </c>
      <c r="H270" t="s">
        <v>334</v>
      </c>
      <c r="I270" t="s">
        <v>8</v>
      </c>
      <c r="J270" t="s">
        <v>102</v>
      </c>
      <c r="K270" t="s">
        <v>28</v>
      </c>
      <c r="L270" t="s">
        <v>295</v>
      </c>
      <c r="M270" t="s">
        <v>296</v>
      </c>
      <c r="N270">
        <v>2.9000000000000001E-2</v>
      </c>
      <c r="O270" t="str">
        <f>IF(Transactions_RAW_cleaned[[#This Row],[Status]]="Completed", IFERROR(_xlfn.XLOOKUP(Transactions_RAW_cleaned[[#This Row],[CustomerID]], Customers_cleaned[CustomerID], Customers_cleaned[Segment]), "Customer Not Found"), "N/A")</f>
        <v>N/A</v>
      </c>
      <c r="P270" s="5" t="str">
        <f>IF(Transactions_RAW_cleaned[[#This Row],[Status]]="Refunded", "Refund",
  IF(Transactions_RAW_cleaned[[#This Row],[Category]]="Payments", IF(Transactions_RAW_cleaned[[#This Row],[Amount]]&gt;500,"High Value","Standard"),
    IF(Transactions_RAW_cleaned[[#This Row],[Amount]]&gt;250,"High Value","Standard")))</f>
        <v>Standard</v>
      </c>
      <c r="Q270" s="5" t="str">
        <f>IF(Transactions_RAW_cleaned[[#This Row],[Amount]] &gt; (_xlfn.XLOOKUP(Transactions_RAW_cleaned[[#This Row],[ServiceID]],Services_cleaned[ServiceID],Services_cleaned[TransactionFeePct]) * 10000), "Yes", "No")</f>
        <v>Yes</v>
      </c>
      <c r="R270" s="5" t="str">
        <f>IF(COUNTIFS($C$2:Transactions_RAW_cleaned[[#This Row],[CustomerID]],Transactions_RAW_cleaned[[#This Row],[CustomerID]],$D$2:Transactions_RAW_cleaned[[#This Row],[ServiceID]],Transactions_RAW_cleaned[[#This Row],[ServiceID]])=1,"Yes","No")</f>
        <v>No</v>
      </c>
      <c r="S27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70" t="str">
        <f>"Q"&amp;ROUNDUP(MONTH(Transactions_RAW_cleaned[[#This Row],[TransactionDate]])/3,0)</f>
        <v>Q2</v>
      </c>
      <c r="U270" t="str">
        <f>Transactions_RAW_cleaned[[#This Row],[Region ]]&amp;Transactions_RAW_cleaned[[#This Row],[Quarter ]]</f>
        <v>NAQ2</v>
      </c>
      <c r="V270" s="5">
        <f>_xlfn.XLOOKUP(Transactions_RAW_cleaned[[#This Row],[RegionQuarterKey]], Quarterly_Targets_cleaned[RegionQuarterKey], Quarterly_Targets_cleaned[TargetRevenue])</f>
        <v>260000</v>
      </c>
    </row>
    <row r="271" spans="1:22" x14ac:dyDescent="0.25">
      <c r="A271" t="s">
        <v>604</v>
      </c>
      <c r="B271" s="1">
        <v>45437</v>
      </c>
      <c r="C271" t="s">
        <v>121</v>
      </c>
      <c r="D271" t="s">
        <v>294</v>
      </c>
      <c r="E271">
        <v>809.54</v>
      </c>
      <c r="F271" t="s">
        <v>324</v>
      </c>
      <c r="G271" t="s">
        <v>329</v>
      </c>
      <c r="I271" t="s">
        <v>8</v>
      </c>
      <c r="J271" t="s">
        <v>37</v>
      </c>
      <c r="K271" t="s">
        <v>14</v>
      </c>
      <c r="L271" t="s">
        <v>295</v>
      </c>
      <c r="M271" t="s">
        <v>296</v>
      </c>
      <c r="N271">
        <v>2.9000000000000001E-2</v>
      </c>
      <c r="O271" t="str">
        <f>IF(Transactions_RAW_cleaned[[#This Row],[Status]]="Completed", IFERROR(_xlfn.XLOOKUP(Transactions_RAW_cleaned[[#This Row],[CustomerID]], Customers_cleaned[CustomerID], Customers_cleaned[Segment]), "Customer Not Found"), "N/A")</f>
        <v>SMB</v>
      </c>
      <c r="P271" s="5" t="str">
        <f>IF(Transactions_RAW_cleaned[[#This Row],[Status]]="Refunded", "Refund",
  IF(Transactions_RAW_cleaned[[#This Row],[Category]]="Payments", IF(Transactions_RAW_cleaned[[#This Row],[Amount]]&gt;500,"High Value","Standard"),
    IF(Transactions_RAW_cleaned[[#This Row],[Amount]]&gt;250,"High Value","Standard")))</f>
        <v>High Value</v>
      </c>
      <c r="Q271" s="5" t="str">
        <f>IF(Transactions_RAW_cleaned[[#This Row],[Amount]] &gt; (_xlfn.XLOOKUP(Transactions_RAW_cleaned[[#This Row],[ServiceID]],Services_cleaned[ServiceID],Services_cleaned[TransactionFeePct]) * 10000), "Yes", "No")</f>
        <v>Yes</v>
      </c>
      <c r="R271" s="5" t="str">
        <f>IF(COUNTIFS($C$2:Transactions_RAW_cleaned[[#This Row],[CustomerID]],Transactions_RAW_cleaned[[#This Row],[CustomerID]],$D$2:Transactions_RAW_cleaned[[#This Row],[ServiceID]],Transactions_RAW_cleaned[[#This Row],[ServiceID]])=1,"Yes","No")</f>
        <v>No</v>
      </c>
      <c r="S27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71" t="str">
        <f>"Q"&amp;ROUNDUP(MONTH(Transactions_RAW_cleaned[[#This Row],[TransactionDate]])/3,0)</f>
        <v>Q2</v>
      </c>
      <c r="U271" t="str">
        <f>Transactions_RAW_cleaned[[#This Row],[Region ]]&amp;Transactions_RAW_cleaned[[#This Row],[Quarter ]]</f>
        <v>EMEAQ2</v>
      </c>
      <c r="V271" s="5">
        <f>_xlfn.XLOOKUP(Transactions_RAW_cleaned[[#This Row],[RegionQuarterKey]], Quarterly_Targets_cleaned[RegionQuarterKey], Quarterly_Targets_cleaned[TargetRevenue])</f>
        <v>140000</v>
      </c>
    </row>
    <row r="272" spans="1:22" x14ac:dyDescent="0.25">
      <c r="A272" t="s">
        <v>605</v>
      </c>
      <c r="B272" s="1">
        <v>45505</v>
      </c>
      <c r="C272" t="s">
        <v>235</v>
      </c>
      <c r="D272" t="s">
        <v>303</v>
      </c>
      <c r="E272">
        <v>302.85000000000002</v>
      </c>
      <c r="F272" t="s">
        <v>324</v>
      </c>
      <c r="G272" t="s">
        <v>325</v>
      </c>
      <c r="H272" t="s">
        <v>346</v>
      </c>
      <c r="I272" t="s">
        <v>57</v>
      </c>
      <c r="J272" t="s">
        <v>21</v>
      </c>
      <c r="K272" t="s">
        <v>22</v>
      </c>
      <c r="L272" t="s">
        <v>304</v>
      </c>
      <c r="M272" t="s">
        <v>305</v>
      </c>
      <c r="N272">
        <v>1E-3</v>
      </c>
      <c r="O272" t="str">
        <f>IF(Transactions_RAW_cleaned[[#This Row],[Status]]="Completed", IFERROR(_xlfn.XLOOKUP(Transactions_RAW_cleaned[[#This Row],[CustomerID]], Customers_cleaned[CustomerID], Customers_cleaned[Segment]), "Customer Not Found"), "N/A")</f>
        <v>Startup</v>
      </c>
      <c r="P272" s="5" t="str">
        <f>IF(Transactions_RAW_cleaned[[#This Row],[Status]]="Refunded", "Refund",
  IF(Transactions_RAW_cleaned[[#This Row],[Category]]="Payments", IF(Transactions_RAW_cleaned[[#This Row],[Amount]]&gt;500,"High Value","Standard"),
    IF(Transactions_RAW_cleaned[[#This Row],[Amount]]&gt;250,"High Value","Standard")))</f>
        <v>High Value</v>
      </c>
      <c r="Q272" s="5" t="str">
        <f>IF(Transactions_RAW_cleaned[[#This Row],[Amount]] &gt; (_xlfn.XLOOKUP(Transactions_RAW_cleaned[[#This Row],[ServiceID]],Services_cleaned[ServiceID],Services_cleaned[TransactionFeePct]) * 10000), "Yes", "No")</f>
        <v>Yes</v>
      </c>
      <c r="R272" s="5" t="str">
        <f>IF(COUNTIFS($C$2:Transactions_RAW_cleaned[[#This Row],[CustomerID]],Transactions_RAW_cleaned[[#This Row],[CustomerID]],$D$2:Transactions_RAW_cleaned[[#This Row],[ServiceID]],Transactions_RAW_cleaned[[#This Row],[ServiceID]])=1,"Yes","No")</f>
        <v>Yes</v>
      </c>
      <c r="S27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72" t="str">
        <f>"Q"&amp;ROUNDUP(MONTH(Transactions_RAW_cleaned[[#This Row],[TransactionDate]])/3,0)</f>
        <v>Q3</v>
      </c>
      <c r="U272" t="str">
        <f>Transactions_RAW_cleaned[[#This Row],[Region ]]&amp;Transactions_RAW_cleaned[[#This Row],[Quarter ]]</f>
        <v>APACQ3</v>
      </c>
      <c r="V272" s="5">
        <f>_xlfn.XLOOKUP(Transactions_RAW_cleaned[[#This Row],[RegionQuarterKey]], Quarterly_Targets_cleaned[RegionQuarterKey], Quarterly_Targets_cleaned[TargetRevenue])</f>
        <v>115500</v>
      </c>
    </row>
    <row r="273" spans="1:22" x14ac:dyDescent="0.25">
      <c r="A273" t="s">
        <v>606</v>
      </c>
      <c r="B273" s="1">
        <v>45316</v>
      </c>
      <c r="C273" t="s">
        <v>11</v>
      </c>
      <c r="D273" t="s">
        <v>300</v>
      </c>
      <c r="E273">
        <v>626.91</v>
      </c>
      <c r="F273" t="s">
        <v>324</v>
      </c>
      <c r="G273" t="s">
        <v>327</v>
      </c>
      <c r="H273" t="s">
        <v>332</v>
      </c>
      <c r="I273" t="s">
        <v>8</v>
      </c>
      <c r="J273" t="s">
        <v>13</v>
      </c>
      <c r="K273" t="s">
        <v>14</v>
      </c>
      <c r="L273" t="s">
        <v>301</v>
      </c>
      <c r="M273" t="s">
        <v>302</v>
      </c>
      <c r="N273">
        <v>5.0000000000000001E-3</v>
      </c>
      <c r="O273" t="str">
        <f>IF(Transactions_RAW_cleaned[[#This Row],[Status]]="Completed", IFERROR(_xlfn.XLOOKUP(Transactions_RAW_cleaned[[#This Row],[CustomerID]], Customers_cleaned[CustomerID], Customers_cleaned[Segment]), "Customer Not Found"), "N/A")</f>
        <v>SMB</v>
      </c>
      <c r="P273" s="5" t="str">
        <f>IF(Transactions_RAW_cleaned[[#This Row],[Status]]="Refunded", "Refund",
  IF(Transactions_RAW_cleaned[[#This Row],[Category]]="Payments", IF(Transactions_RAW_cleaned[[#This Row],[Amount]]&gt;500,"High Value","Standard"),
    IF(Transactions_RAW_cleaned[[#This Row],[Amount]]&gt;250,"High Value","Standard")))</f>
        <v>High Value</v>
      </c>
      <c r="Q273" s="5" t="str">
        <f>IF(Transactions_RAW_cleaned[[#This Row],[Amount]] &gt; (_xlfn.XLOOKUP(Transactions_RAW_cleaned[[#This Row],[ServiceID]],Services_cleaned[ServiceID],Services_cleaned[TransactionFeePct]) * 10000), "Yes", "No")</f>
        <v>Yes</v>
      </c>
      <c r="R273" s="5" t="str">
        <f>IF(COUNTIFS($C$2:Transactions_RAW_cleaned[[#This Row],[CustomerID]],Transactions_RAW_cleaned[[#This Row],[CustomerID]],$D$2:Transactions_RAW_cleaned[[#This Row],[ServiceID]],Transactions_RAW_cleaned[[#This Row],[ServiceID]])=1,"Yes","No")</f>
        <v>Yes</v>
      </c>
      <c r="S27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73" t="str">
        <f>"Q"&amp;ROUNDUP(MONTH(Transactions_RAW_cleaned[[#This Row],[TransactionDate]])/3,0)</f>
        <v>Q1</v>
      </c>
      <c r="U273" t="str">
        <f>Transactions_RAW_cleaned[[#This Row],[Region ]]&amp;Transactions_RAW_cleaned[[#This Row],[Quarter ]]</f>
        <v>NAQ1</v>
      </c>
      <c r="V273" s="5">
        <f>_xlfn.XLOOKUP(Transactions_RAW_cleaned[[#This Row],[RegionQuarterKey]], Quarterly_Targets_cleaned[RegionQuarterKey], Quarterly_Targets_cleaned[TargetRevenue])</f>
        <v>247000</v>
      </c>
    </row>
    <row r="274" spans="1:22" x14ac:dyDescent="0.25">
      <c r="A274" t="s">
        <v>607</v>
      </c>
      <c r="B274" s="1">
        <v>45644</v>
      </c>
      <c r="C274" t="s">
        <v>215</v>
      </c>
      <c r="D274" t="s">
        <v>309</v>
      </c>
      <c r="E274">
        <v>579.35</v>
      </c>
      <c r="F274" t="s">
        <v>324</v>
      </c>
      <c r="G274" t="s">
        <v>329</v>
      </c>
      <c r="H274" t="s">
        <v>332</v>
      </c>
      <c r="I274" t="s">
        <v>57</v>
      </c>
      <c r="J274" t="s">
        <v>102</v>
      </c>
      <c r="K274" t="s">
        <v>14</v>
      </c>
      <c r="L274" t="s">
        <v>310</v>
      </c>
      <c r="M274" t="s">
        <v>311</v>
      </c>
      <c r="N274">
        <v>0</v>
      </c>
      <c r="O274" t="str">
        <f>IF(Transactions_RAW_cleaned[[#This Row],[Status]]="Completed", IFERROR(_xlfn.XLOOKUP(Transactions_RAW_cleaned[[#This Row],[CustomerID]], Customers_cleaned[CustomerID], Customers_cleaned[Segment]), "Customer Not Found"), "N/A")</f>
        <v>Startup</v>
      </c>
      <c r="P274" s="5" t="str">
        <f>IF(Transactions_RAW_cleaned[[#This Row],[Status]]="Refunded", "Refund",
  IF(Transactions_RAW_cleaned[[#This Row],[Category]]="Payments", IF(Transactions_RAW_cleaned[[#This Row],[Amount]]&gt;500,"High Value","Standard"),
    IF(Transactions_RAW_cleaned[[#This Row],[Amount]]&gt;250,"High Value","Standard")))</f>
        <v>High Value</v>
      </c>
      <c r="Q274" s="5" t="str">
        <f>IF(Transactions_RAW_cleaned[[#This Row],[Amount]] &gt; (_xlfn.XLOOKUP(Transactions_RAW_cleaned[[#This Row],[ServiceID]],Services_cleaned[ServiceID],Services_cleaned[TransactionFeePct]) * 10000), "Yes", "No")</f>
        <v>Yes</v>
      </c>
      <c r="R274" s="5" t="str">
        <f>IF(COUNTIFS($C$2:Transactions_RAW_cleaned[[#This Row],[CustomerID]],Transactions_RAW_cleaned[[#This Row],[CustomerID]],$D$2:Transactions_RAW_cleaned[[#This Row],[ServiceID]],Transactions_RAW_cleaned[[#This Row],[ServiceID]])=1,"Yes","No")</f>
        <v>Yes</v>
      </c>
      <c r="S27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74" t="str">
        <f>"Q"&amp;ROUNDUP(MONTH(Transactions_RAW_cleaned[[#This Row],[TransactionDate]])/3,0)</f>
        <v>Q4</v>
      </c>
      <c r="U274" t="str">
        <f>Transactions_RAW_cleaned[[#This Row],[Region ]]&amp;Transactions_RAW_cleaned[[#This Row],[Quarter ]]</f>
        <v>NAQ4</v>
      </c>
      <c r="V274" s="5">
        <f>_xlfn.XLOOKUP(Transactions_RAW_cleaned[[#This Row],[RegionQuarterKey]], Quarterly_Targets_cleaned[RegionQuarterKey], Quarterly_Targets_cleaned[TargetRevenue])</f>
        <v>299000</v>
      </c>
    </row>
    <row r="275" spans="1:22" x14ac:dyDescent="0.25">
      <c r="A275" t="s">
        <v>608</v>
      </c>
      <c r="B275" s="1">
        <v>45412</v>
      </c>
      <c r="C275" t="s">
        <v>123</v>
      </c>
      <c r="D275" t="s">
        <v>300</v>
      </c>
      <c r="E275">
        <v>457.33</v>
      </c>
      <c r="F275" t="s">
        <v>324</v>
      </c>
      <c r="G275" t="s">
        <v>337</v>
      </c>
      <c r="H275" t="s">
        <v>332</v>
      </c>
      <c r="I275" t="s">
        <v>8</v>
      </c>
      <c r="J275" t="s">
        <v>13</v>
      </c>
      <c r="K275" t="s">
        <v>32</v>
      </c>
      <c r="L275" t="s">
        <v>301</v>
      </c>
      <c r="M275" t="s">
        <v>302</v>
      </c>
      <c r="N275">
        <v>5.0000000000000001E-3</v>
      </c>
      <c r="O275" t="str">
        <f>IF(Transactions_RAW_cleaned[[#This Row],[Status]]="Completed", IFERROR(_xlfn.XLOOKUP(Transactions_RAW_cleaned[[#This Row],[CustomerID]], Customers_cleaned[CustomerID], Customers_cleaned[Segment]), "Customer Not Found"), "N/A")</f>
        <v>SMB</v>
      </c>
      <c r="P275" s="5" t="str">
        <f>IF(Transactions_RAW_cleaned[[#This Row],[Status]]="Refunded", "Refund",
  IF(Transactions_RAW_cleaned[[#This Row],[Category]]="Payments", IF(Transactions_RAW_cleaned[[#This Row],[Amount]]&gt;500,"High Value","Standard"),
    IF(Transactions_RAW_cleaned[[#This Row],[Amount]]&gt;250,"High Value","Standard")))</f>
        <v>High Value</v>
      </c>
      <c r="Q275" s="5" t="str">
        <f>IF(Transactions_RAW_cleaned[[#This Row],[Amount]] &gt; (_xlfn.XLOOKUP(Transactions_RAW_cleaned[[#This Row],[ServiceID]],Services_cleaned[ServiceID],Services_cleaned[TransactionFeePct]) * 10000), "Yes", "No")</f>
        <v>Yes</v>
      </c>
      <c r="R275" s="5" t="str">
        <f>IF(COUNTIFS($C$2:Transactions_RAW_cleaned[[#This Row],[CustomerID]],Transactions_RAW_cleaned[[#This Row],[CustomerID]],$D$2:Transactions_RAW_cleaned[[#This Row],[ServiceID]],Transactions_RAW_cleaned[[#This Row],[ServiceID]])=1,"Yes","No")</f>
        <v>Yes</v>
      </c>
      <c r="S27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75" t="str">
        <f>"Q"&amp;ROUNDUP(MONTH(Transactions_RAW_cleaned[[#This Row],[TransactionDate]])/3,0)</f>
        <v>Q2</v>
      </c>
      <c r="U275" t="str">
        <f>Transactions_RAW_cleaned[[#This Row],[Region ]]&amp;Transactions_RAW_cleaned[[#This Row],[Quarter ]]</f>
        <v>NAQ2</v>
      </c>
      <c r="V275" s="5">
        <f>_xlfn.XLOOKUP(Transactions_RAW_cleaned[[#This Row],[RegionQuarterKey]], Quarterly_Targets_cleaned[RegionQuarterKey], Quarterly_Targets_cleaned[TargetRevenue])</f>
        <v>260000</v>
      </c>
    </row>
    <row r="276" spans="1:22" x14ac:dyDescent="0.25">
      <c r="A276" t="s">
        <v>609</v>
      </c>
      <c r="B276" s="1">
        <v>45323</v>
      </c>
      <c r="C276" t="s">
        <v>261</v>
      </c>
      <c r="D276" t="s">
        <v>300</v>
      </c>
      <c r="E276">
        <v>777.92</v>
      </c>
      <c r="F276" t="s">
        <v>324</v>
      </c>
      <c r="G276" t="s">
        <v>337</v>
      </c>
      <c r="H276" t="s">
        <v>334</v>
      </c>
      <c r="I276" t="s">
        <v>8</v>
      </c>
      <c r="J276" t="s">
        <v>31</v>
      </c>
      <c r="K276" t="s">
        <v>18</v>
      </c>
      <c r="L276" t="s">
        <v>301</v>
      </c>
      <c r="M276" t="s">
        <v>302</v>
      </c>
      <c r="N276">
        <v>5.0000000000000001E-3</v>
      </c>
      <c r="O276" t="str">
        <f>IF(Transactions_RAW_cleaned[[#This Row],[Status]]="Completed", IFERROR(_xlfn.XLOOKUP(Transactions_RAW_cleaned[[#This Row],[CustomerID]], Customers_cleaned[CustomerID], Customers_cleaned[Segment]), "Customer Not Found"), "N/A")</f>
        <v>SMB</v>
      </c>
      <c r="P276" s="5" t="str">
        <f>IF(Transactions_RAW_cleaned[[#This Row],[Status]]="Refunded", "Refund",
  IF(Transactions_RAW_cleaned[[#This Row],[Category]]="Payments", IF(Transactions_RAW_cleaned[[#This Row],[Amount]]&gt;500,"High Value","Standard"),
    IF(Transactions_RAW_cleaned[[#This Row],[Amount]]&gt;250,"High Value","Standard")))</f>
        <v>High Value</v>
      </c>
      <c r="Q276" s="5" t="str">
        <f>IF(Transactions_RAW_cleaned[[#This Row],[Amount]] &gt; (_xlfn.XLOOKUP(Transactions_RAW_cleaned[[#This Row],[ServiceID]],Services_cleaned[ServiceID],Services_cleaned[TransactionFeePct]) * 10000), "Yes", "No")</f>
        <v>Yes</v>
      </c>
      <c r="R276" s="5" t="str">
        <f>IF(COUNTIFS($C$2:Transactions_RAW_cleaned[[#This Row],[CustomerID]],Transactions_RAW_cleaned[[#This Row],[CustomerID]],$D$2:Transactions_RAW_cleaned[[#This Row],[ServiceID]],Transactions_RAW_cleaned[[#This Row],[ServiceID]])=1,"Yes","No")</f>
        <v>No</v>
      </c>
      <c r="S27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76" t="str">
        <f>"Q"&amp;ROUNDUP(MONTH(Transactions_RAW_cleaned[[#This Row],[TransactionDate]])/3,0)</f>
        <v>Q1</v>
      </c>
      <c r="U276" t="str">
        <f>Transactions_RAW_cleaned[[#This Row],[Region ]]&amp;Transactions_RAW_cleaned[[#This Row],[Quarter ]]</f>
        <v>EMEAQ1</v>
      </c>
      <c r="V276" s="5">
        <f>_xlfn.XLOOKUP(Transactions_RAW_cleaned[[#This Row],[RegionQuarterKey]], Quarterly_Targets_cleaned[RegionQuarterKey], Quarterly_Targets_cleaned[TargetRevenue])</f>
        <v>133000</v>
      </c>
    </row>
    <row r="277" spans="1:22" x14ac:dyDescent="0.25">
      <c r="A277" t="s">
        <v>610</v>
      </c>
      <c r="B277" s="1">
        <v>45443</v>
      </c>
      <c r="C277" t="s">
        <v>193</v>
      </c>
      <c r="D277" t="s">
        <v>312</v>
      </c>
      <c r="E277">
        <v>912.88</v>
      </c>
      <c r="F277" t="s">
        <v>324</v>
      </c>
      <c r="G277" t="s">
        <v>337</v>
      </c>
      <c r="I277" t="s">
        <v>8</v>
      </c>
      <c r="J277" t="s">
        <v>102</v>
      </c>
      <c r="K277" t="s">
        <v>18</v>
      </c>
      <c r="L277" t="s">
        <v>313</v>
      </c>
      <c r="M277" t="s">
        <v>314</v>
      </c>
      <c r="N277">
        <v>0</v>
      </c>
      <c r="O277" t="str">
        <f>IF(Transactions_RAW_cleaned[[#This Row],[Status]]="Completed", IFERROR(_xlfn.XLOOKUP(Transactions_RAW_cleaned[[#This Row],[CustomerID]], Customers_cleaned[CustomerID], Customers_cleaned[Segment]), "Customer Not Found"), "N/A")</f>
        <v>SMB</v>
      </c>
      <c r="P277" s="5" t="str">
        <f>IF(Transactions_RAW_cleaned[[#This Row],[Status]]="Refunded", "Refund",
  IF(Transactions_RAW_cleaned[[#This Row],[Category]]="Payments", IF(Transactions_RAW_cleaned[[#This Row],[Amount]]&gt;500,"High Value","Standard"),
    IF(Transactions_RAW_cleaned[[#This Row],[Amount]]&gt;250,"High Value","Standard")))</f>
        <v>High Value</v>
      </c>
      <c r="Q277" s="5" t="str">
        <f>IF(Transactions_RAW_cleaned[[#This Row],[Amount]] &gt; (_xlfn.XLOOKUP(Transactions_RAW_cleaned[[#This Row],[ServiceID]],Services_cleaned[ServiceID],Services_cleaned[TransactionFeePct]) * 10000), "Yes", "No")</f>
        <v>Yes</v>
      </c>
      <c r="R277" s="5" t="str">
        <f>IF(COUNTIFS($C$2:Transactions_RAW_cleaned[[#This Row],[CustomerID]],Transactions_RAW_cleaned[[#This Row],[CustomerID]],$D$2:Transactions_RAW_cleaned[[#This Row],[ServiceID]],Transactions_RAW_cleaned[[#This Row],[ServiceID]])=1,"Yes","No")</f>
        <v>Yes</v>
      </c>
      <c r="S27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77" t="str">
        <f>"Q"&amp;ROUNDUP(MONTH(Transactions_RAW_cleaned[[#This Row],[TransactionDate]])/3,0)</f>
        <v>Q2</v>
      </c>
      <c r="U277" t="str">
        <f>Transactions_RAW_cleaned[[#This Row],[Region ]]&amp;Transactions_RAW_cleaned[[#This Row],[Quarter ]]</f>
        <v>NAQ2</v>
      </c>
      <c r="V277" s="5">
        <f>_xlfn.XLOOKUP(Transactions_RAW_cleaned[[#This Row],[RegionQuarterKey]], Quarterly_Targets_cleaned[RegionQuarterKey], Quarterly_Targets_cleaned[TargetRevenue])</f>
        <v>260000</v>
      </c>
    </row>
    <row r="278" spans="1:22" x14ac:dyDescent="0.25">
      <c r="A278" t="s">
        <v>611</v>
      </c>
      <c r="B278" s="1">
        <v>45371</v>
      </c>
      <c r="C278" t="s">
        <v>211</v>
      </c>
      <c r="D278" t="s">
        <v>303</v>
      </c>
      <c r="E278">
        <v>409.19</v>
      </c>
      <c r="F278" t="s">
        <v>324</v>
      </c>
      <c r="G278" t="s">
        <v>337</v>
      </c>
      <c r="H278" t="s">
        <v>332</v>
      </c>
      <c r="I278" t="s">
        <v>8</v>
      </c>
      <c r="J278" t="s">
        <v>31</v>
      </c>
      <c r="K278" t="s">
        <v>22</v>
      </c>
      <c r="L278" t="s">
        <v>304</v>
      </c>
      <c r="M278" t="s">
        <v>305</v>
      </c>
      <c r="N278">
        <v>1E-3</v>
      </c>
      <c r="O278" t="str">
        <f>IF(Transactions_RAW_cleaned[[#This Row],[Status]]="Completed", IFERROR(_xlfn.XLOOKUP(Transactions_RAW_cleaned[[#This Row],[CustomerID]], Customers_cleaned[CustomerID], Customers_cleaned[Segment]), "Customer Not Found"), "N/A")</f>
        <v>SMB</v>
      </c>
      <c r="P278" s="5" t="str">
        <f>IF(Transactions_RAW_cleaned[[#This Row],[Status]]="Refunded", "Refund",
  IF(Transactions_RAW_cleaned[[#This Row],[Category]]="Payments", IF(Transactions_RAW_cleaned[[#This Row],[Amount]]&gt;500,"High Value","Standard"),
    IF(Transactions_RAW_cleaned[[#This Row],[Amount]]&gt;250,"High Value","Standard")))</f>
        <v>High Value</v>
      </c>
      <c r="Q278" s="5" t="str">
        <f>IF(Transactions_RAW_cleaned[[#This Row],[Amount]] &gt; (_xlfn.XLOOKUP(Transactions_RAW_cleaned[[#This Row],[ServiceID]],Services_cleaned[ServiceID],Services_cleaned[TransactionFeePct]) * 10000), "Yes", "No")</f>
        <v>Yes</v>
      </c>
      <c r="R278" s="5" t="str">
        <f>IF(COUNTIFS($C$2:Transactions_RAW_cleaned[[#This Row],[CustomerID]],Transactions_RAW_cleaned[[#This Row],[CustomerID]],$D$2:Transactions_RAW_cleaned[[#This Row],[ServiceID]],Transactions_RAW_cleaned[[#This Row],[ServiceID]])=1,"Yes","No")</f>
        <v>Yes</v>
      </c>
      <c r="S27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78" t="str">
        <f>"Q"&amp;ROUNDUP(MONTH(Transactions_RAW_cleaned[[#This Row],[TransactionDate]])/3,0)</f>
        <v>Q1</v>
      </c>
      <c r="U278" t="str">
        <f>Transactions_RAW_cleaned[[#This Row],[Region ]]&amp;Transactions_RAW_cleaned[[#This Row],[Quarter ]]</f>
        <v>EMEAQ1</v>
      </c>
      <c r="V278" s="5">
        <f>_xlfn.XLOOKUP(Transactions_RAW_cleaned[[#This Row],[RegionQuarterKey]], Quarterly_Targets_cleaned[RegionQuarterKey], Quarterly_Targets_cleaned[TargetRevenue])</f>
        <v>133000</v>
      </c>
    </row>
    <row r="279" spans="1:22" x14ac:dyDescent="0.25">
      <c r="A279" t="s">
        <v>612</v>
      </c>
      <c r="B279" s="1">
        <v>45377</v>
      </c>
      <c r="C279" t="s">
        <v>137</v>
      </c>
      <c r="D279" t="s">
        <v>306</v>
      </c>
      <c r="E279">
        <v>71.459999999999994</v>
      </c>
      <c r="F279" t="s">
        <v>324</v>
      </c>
      <c r="G279" t="s">
        <v>327</v>
      </c>
      <c r="H279" t="s">
        <v>334</v>
      </c>
      <c r="I279" t="s">
        <v>8</v>
      </c>
      <c r="J279" t="s">
        <v>13</v>
      </c>
      <c r="K279" t="s">
        <v>18</v>
      </c>
      <c r="L279" t="s">
        <v>307</v>
      </c>
      <c r="M279" t="s">
        <v>308</v>
      </c>
      <c r="N279">
        <v>0</v>
      </c>
      <c r="O279" t="str">
        <f>IF(Transactions_RAW_cleaned[[#This Row],[Status]]="Completed", IFERROR(_xlfn.XLOOKUP(Transactions_RAW_cleaned[[#This Row],[CustomerID]], Customers_cleaned[CustomerID], Customers_cleaned[Segment]), "Customer Not Found"), "N/A")</f>
        <v>SMB</v>
      </c>
      <c r="P279" s="5" t="str">
        <f>IF(Transactions_RAW_cleaned[[#This Row],[Status]]="Refunded", "Refund",
  IF(Transactions_RAW_cleaned[[#This Row],[Category]]="Payments", IF(Transactions_RAW_cleaned[[#This Row],[Amount]]&gt;500,"High Value","Standard"),
    IF(Transactions_RAW_cleaned[[#This Row],[Amount]]&gt;250,"High Value","Standard")))</f>
        <v>Standard</v>
      </c>
      <c r="Q279" s="5" t="str">
        <f>IF(Transactions_RAW_cleaned[[#This Row],[Amount]] &gt; (_xlfn.XLOOKUP(Transactions_RAW_cleaned[[#This Row],[ServiceID]],Services_cleaned[ServiceID],Services_cleaned[TransactionFeePct]) * 10000), "Yes", "No")</f>
        <v>Yes</v>
      </c>
      <c r="R279" s="5" t="str">
        <f>IF(COUNTIFS($C$2:Transactions_RAW_cleaned[[#This Row],[CustomerID]],Transactions_RAW_cleaned[[#This Row],[CustomerID]],$D$2:Transactions_RAW_cleaned[[#This Row],[ServiceID]],Transactions_RAW_cleaned[[#This Row],[ServiceID]])=1,"Yes","No")</f>
        <v>No</v>
      </c>
      <c r="S27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79" t="str">
        <f>"Q"&amp;ROUNDUP(MONTH(Transactions_RAW_cleaned[[#This Row],[TransactionDate]])/3,0)</f>
        <v>Q1</v>
      </c>
      <c r="U279" t="str">
        <f>Transactions_RAW_cleaned[[#This Row],[Region ]]&amp;Transactions_RAW_cleaned[[#This Row],[Quarter ]]</f>
        <v>NAQ1</v>
      </c>
      <c r="V279" s="5">
        <f>_xlfn.XLOOKUP(Transactions_RAW_cleaned[[#This Row],[RegionQuarterKey]], Quarterly_Targets_cleaned[RegionQuarterKey], Quarterly_Targets_cleaned[TargetRevenue])</f>
        <v>247000</v>
      </c>
    </row>
    <row r="280" spans="1:22" x14ac:dyDescent="0.25">
      <c r="A280" t="s">
        <v>613</v>
      </c>
      <c r="B280" s="1">
        <v>45605</v>
      </c>
      <c r="C280" t="s">
        <v>231</v>
      </c>
      <c r="D280" t="s">
        <v>303</v>
      </c>
      <c r="E280">
        <v>694.89</v>
      </c>
      <c r="F280" t="s">
        <v>331</v>
      </c>
      <c r="G280" t="s">
        <v>327</v>
      </c>
      <c r="I280" t="s">
        <v>17</v>
      </c>
      <c r="J280" t="s">
        <v>102</v>
      </c>
      <c r="K280" t="s">
        <v>22</v>
      </c>
      <c r="L280" t="s">
        <v>304</v>
      </c>
      <c r="M280" t="s">
        <v>305</v>
      </c>
      <c r="N280">
        <v>1E-3</v>
      </c>
      <c r="O280" t="str">
        <f>IF(Transactions_RAW_cleaned[[#This Row],[Status]]="Completed", IFERROR(_xlfn.XLOOKUP(Transactions_RAW_cleaned[[#This Row],[CustomerID]], Customers_cleaned[CustomerID], Customers_cleaned[Segment]), "Customer Not Found"), "N/A")</f>
        <v>N/A</v>
      </c>
      <c r="P280" s="5" t="str">
        <f>IF(Transactions_RAW_cleaned[[#This Row],[Status]]="Refunded", "Refund",
  IF(Transactions_RAW_cleaned[[#This Row],[Category]]="Payments", IF(Transactions_RAW_cleaned[[#This Row],[Amount]]&gt;500,"High Value","Standard"),
    IF(Transactions_RAW_cleaned[[#This Row],[Amount]]&gt;250,"High Value","Standard")))</f>
        <v>High Value</v>
      </c>
      <c r="Q280" s="5" t="str">
        <f>IF(Transactions_RAW_cleaned[[#This Row],[Amount]] &gt; (_xlfn.XLOOKUP(Transactions_RAW_cleaned[[#This Row],[ServiceID]],Services_cleaned[ServiceID],Services_cleaned[TransactionFeePct]) * 10000), "Yes", "No")</f>
        <v>Yes</v>
      </c>
      <c r="R280" s="5" t="str">
        <f>IF(COUNTIFS($C$2:Transactions_RAW_cleaned[[#This Row],[CustomerID]],Transactions_RAW_cleaned[[#This Row],[CustomerID]],$D$2:Transactions_RAW_cleaned[[#This Row],[ServiceID]],Transactions_RAW_cleaned[[#This Row],[ServiceID]])=1,"Yes","No")</f>
        <v>Yes</v>
      </c>
      <c r="S28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80" t="str">
        <f>"Q"&amp;ROUNDUP(MONTH(Transactions_RAW_cleaned[[#This Row],[TransactionDate]])/3,0)</f>
        <v>Q4</v>
      </c>
      <c r="U280" t="str">
        <f>Transactions_RAW_cleaned[[#This Row],[Region ]]&amp;Transactions_RAW_cleaned[[#This Row],[Quarter ]]</f>
        <v>NAQ4</v>
      </c>
      <c r="V280" s="5">
        <f>_xlfn.XLOOKUP(Transactions_RAW_cleaned[[#This Row],[RegionQuarterKey]], Quarterly_Targets_cleaned[RegionQuarterKey], Quarterly_Targets_cleaned[TargetRevenue])</f>
        <v>299000</v>
      </c>
    </row>
    <row r="281" spans="1:22" x14ac:dyDescent="0.25">
      <c r="A281" t="s">
        <v>614</v>
      </c>
      <c r="B281" s="1">
        <v>45336</v>
      </c>
      <c r="C281" t="s">
        <v>86</v>
      </c>
      <c r="D281" t="s">
        <v>303</v>
      </c>
      <c r="E281">
        <v>204.12</v>
      </c>
      <c r="F281" t="s">
        <v>324</v>
      </c>
      <c r="G281" t="s">
        <v>329</v>
      </c>
      <c r="H281" t="s">
        <v>346</v>
      </c>
      <c r="I281" t="s">
        <v>8</v>
      </c>
      <c r="J281" t="s">
        <v>102</v>
      </c>
      <c r="K281" t="s">
        <v>18</v>
      </c>
      <c r="L281" t="s">
        <v>304</v>
      </c>
      <c r="M281" t="s">
        <v>305</v>
      </c>
      <c r="N281">
        <v>1E-3</v>
      </c>
      <c r="O281" t="str">
        <f>IF(Transactions_RAW_cleaned[[#This Row],[Status]]="Completed", IFERROR(_xlfn.XLOOKUP(Transactions_RAW_cleaned[[#This Row],[CustomerID]], Customers_cleaned[CustomerID], Customers_cleaned[Segment]), "Customer Not Found"), "N/A")</f>
        <v>SMB</v>
      </c>
      <c r="P281" s="5" t="str">
        <f>IF(Transactions_RAW_cleaned[[#This Row],[Status]]="Refunded", "Refund",
  IF(Transactions_RAW_cleaned[[#This Row],[Category]]="Payments", IF(Transactions_RAW_cleaned[[#This Row],[Amount]]&gt;500,"High Value","Standard"),
    IF(Transactions_RAW_cleaned[[#This Row],[Amount]]&gt;250,"High Value","Standard")))</f>
        <v>Standard</v>
      </c>
      <c r="Q281" s="5" t="str">
        <f>IF(Transactions_RAW_cleaned[[#This Row],[Amount]] &gt; (_xlfn.XLOOKUP(Transactions_RAW_cleaned[[#This Row],[ServiceID]],Services_cleaned[ServiceID],Services_cleaned[TransactionFeePct]) * 10000), "Yes", "No")</f>
        <v>Yes</v>
      </c>
      <c r="R281" s="5" t="str">
        <f>IF(COUNTIFS($C$2:Transactions_RAW_cleaned[[#This Row],[CustomerID]],Transactions_RAW_cleaned[[#This Row],[CustomerID]],$D$2:Transactions_RAW_cleaned[[#This Row],[ServiceID]],Transactions_RAW_cleaned[[#This Row],[ServiceID]])=1,"Yes","No")</f>
        <v>Yes</v>
      </c>
      <c r="S28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81" t="str">
        <f>"Q"&amp;ROUNDUP(MONTH(Transactions_RAW_cleaned[[#This Row],[TransactionDate]])/3,0)</f>
        <v>Q1</v>
      </c>
      <c r="U281" t="str">
        <f>Transactions_RAW_cleaned[[#This Row],[Region ]]&amp;Transactions_RAW_cleaned[[#This Row],[Quarter ]]</f>
        <v>NAQ1</v>
      </c>
      <c r="V281" s="5">
        <f>_xlfn.XLOOKUP(Transactions_RAW_cleaned[[#This Row],[RegionQuarterKey]], Quarterly_Targets_cleaned[RegionQuarterKey], Quarterly_Targets_cleaned[TargetRevenue])</f>
        <v>247000</v>
      </c>
    </row>
    <row r="282" spans="1:22" x14ac:dyDescent="0.25">
      <c r="A282" t="s">
        <v>615</v>
      </c>
      <c r="B282" s="1">
        <v>45335</v>
      </c>
      <c r="C282" t="s">
        <v>231</v>
      </c>
      <c r="D282" t="s">
        <v>294</v>
      </c>
      <c r="E282">
        <v>282.14999999999998</v>
      </c>
      <c r="F282" t="s">
        <v>324</v>
      </c>
      <c r="G282" t="s">
        <v>337</v>
      </c>
      <c r="I282" t="s">
        <v>17</v>
      </c>
      <c r="J282" t="s">
        <v>102</v>
      </c>
      <c r="K282" t="s">
        <v>22</v>
      </c>
      <c r="L282" t="s">
        <v>295</v>
      </c>
      <c r="M282" t="s">
        <v>296</v>
      </c>
      <c r="N282">
        <v>2.9000000000000001E-2</v>
      </c>
      <c r="O282" t="str">
        <f>IF(Transactions_RAW_cleaned[[#This Row],[Status]]="Completed", IFERROR(_xlfn.XLOOKUP(Transactions_RAW_cleaned[[#This Row],[CustomerID]], Customers_cleaned[CustomerID], Customers_cleaned[Segment]), "Customer Not Found"), "N/A")</f>
        <v>Enterprise</v>
      </c>
      <c r="P282" s="5" t="str">
        <f>IF(Transactions_RAW_cleaned[[#This Row],[Status]]="Refunded", "Refund",
  IF(Transactions_RAW_cleaned[[#This Row],[Category]]="Payments", IF(Transactions_RAW_cleaned[[#This Row],[Amount]]&gt;500,"High Value","Standard"),
    IF(Transactions_RAW_cleaned[[#This Row],[Amount]]&gt;250,"High Value","Standard")))</f>
        <v>Standard</v>
      </c>
      <c r="Q282" s="5" t="str">
        <f>IF(Transactions_RAW_cleaned[[#This Row],[Amount]] &gt; (_xlfn.XLOOKUP(Transactions_RAW_cleaned[[#This Row],[ServiceID]],Services_cleaned[ServiceID],Services_cleaned[TransactionFeePct]) * 10000), "Yes", "No")</f>
        <v>No</v>
      </c>
      <c r="R282" s="5" t="str">
        <f>IF(COUNTIFS($C$2:Transactions_RAW_cleaned[[#This Row],[CustomerID]],Transactions_RAW_cleaned[[#This Row],[CustomerID]],$D$2:Transactions_RAW_cleaned[[#This Row],[ServiceID]],Transactions_RAW_cleaned[[#This Row],[ServiceID]])=1,"Yes","No")</f>
        <v>Yes</v>
      </c>
      <c r="S28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82" t="str">
        <f>"Q"&amp;ROUNDUP(MONTH(Transactions_RAW_cleaned[[#This Row],[TransactionDate]])/3,0)</f>
        <v>Q1</v>
      </c>
      <c r="U282" t="str">
        <f>Transactions_RAW_cleaned[[#This Row],[Region ]]&amp;Transactions_RAW_cleaned[[#This Row],[Quarter ]]</f>
        <v>NAQ1</v>
      </c>
      <c r="V282" s="5">
        <f>_xlfn.XLOOKUP(Transactions_RAW_cleaned[[#This Row],[RegionQuarterKey]], Quarterly_Targets_cleaned[RegionQuarterKey], Quarterly_Targets_cleaned[TargetRevenue])</f>
        <v>247000</v>
      </c>
    </row>
    <row r="283" spans="1:22" x14ac:dyDescent="0.25">
      <c r="A283" t="s">
        <v>616</v>
      </c>
      <c r="B283" s="1">
        <v>45640</v>
      </c>
      <c r="C283" t="s">
        <v>119</v>
      </c>
      <c r="D283" t="s">
        <v>300</v>
      </c>
      <c r="E283">
        <v>256.25</v>
      </c>
      <c r="F283" t="s">
        <v>324</v>
      </c>
      <c r="G283" t="s">
        <v>325</v>
      </c>
      <c r="I283" t="s">
        <v>57</v>
      </c>
      <c r="J283" t="s">
        <v>102</v>
      </c>
      <c r="K283" t="s">
        <v>18</v>
      </c>
      <c r="L283" t="s">
        <v>301</v>
      </c>
      <c r="M283" t="s">
        <v>302</v>
      </c>
      <c r="N283">
        <v>5.0000000000000001E-3</v>
      </c>
      <c r="O283" t="str">
        <f>IF(Transactions_RAW_cleaned[[#This Row],[Status]]="Completed", IFERROR(_xlfn.XLOOKUP(Transactions_RAW_cleaned[[#This Row],[CustomerID]], Customers_cleaned[CustomerID], Customers_cleaned[Segment]), "Customer Not Found"), "N/A")</f>
        <v>Startup</v>
      </c>
      <c r="P283" s="5" t="str">
        <f>IF(Transactions_RAW_cleaned[[#This Row],[Status]]="Refunded", "Refund",
  IF(Transactions_RAW_cleaned[[#This Row],[Category]]="Payments", IF(Transactions_RAW_cleaned[[#This Row],[Amount]]&gt;500,"High Value","Standard"),
    IF(Transactions_RAW_cleaned[[#This Row],[Amount]]&gt;250,"High Value","Standard")))</f>
        <v>High Value</v>
      </c>
      <c r="Q283" s="5" t="str">
        <f>IF(Transactions_RAW_cleaned[[#This Row],[Amount]] &gt; (_xlfn.XLOOKUP(Transactions_RAW_cleaned[[#This Row],[ServiceID]],Services_cleaned[ServiceID],Services_cleaned[TransactionFeePct]) * 10000), "Yes", "No")</f>
        <v>Yes</v>
      </c>
      <c r="R283" s="5" t="str">
        <f>IF(COUNTIFS($C$2:Transactions_RAW_cleaned[[#This Row],[CustomerID]],Transactions_RAW_cleaned[[#This Row],[CustomerID]],$D$2:Transactions_RAW_cleaned[[#This Row],[ServiceID]],Transactions_RAW_cleaned[[#This Row],[ServiceID]])=1,"Yes","No")</f>
        <v>Yes</v>
      </c>
      <c r="S28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83" t="str">
        <f>"Q"&amp;ROUNDUP(MONTH(Transactions_RAW_cleaned[[#This Row],[TransactionDate]])/3,0)</f>
        <v>Q4</v>
      </c>
      <c r="U283" t="str">
        <f>Transactions_RAW_cleaned[[#This Row],[Region ]]&amp;Transactions_RAW_cleaned[[#This Row],[Quarter ]]</f>
        <v>NAQ4</v>
      </c>
      <c r="V283" s="5">
        <f>_xlfn.XLOOKUP(Transactions_RAW_cleaned[[#This Row],[RegionQuarterKey]], Quarterly_Targets_cleaned[RegionQuarterKey], Quarterly_Targets_cleaned[TargetRevenue])</f>
        <v>299000</v>
      </c>
    </row>
    <row r="284" spans="1:22" x14ac:dyDescent="0.25">
      <c r="A284" t="s">
        <v>617</v>
      </c>
      <c r="B284" s="1">
        <v>45392</v>
      </c>
      <c r="C284" t="s">
        <v>29</v>
      </c>
      <c r="D284" t="s">
        <v>309</v>
      </c>
      <c r="E284">
        <v>220.81</v>
      </c>
      <c r="F284" t="s">
        <v>324</v>
      </c>
      <c r="G284" t="s">
        <v>329</v>
      </c>
      <c r="H284" t="s">
        <v>334</v>
      </c>
      <c r="I284" t="s">
        <v>8</v>
      </c>
      <c r="J284" t="s">
        <v>31</v>
      </c>
      <c r="K284" t="s">
        <v>32</v>
      </c>
      <c r="L284" t="s">
        <v>310</v>
      </c>
      <c r="M284" t="s">
        <v>311</v>
      </c>
      <c r="N284">
        <v>0</v>
      </c>
      <c r="O284" t="str">
        <f>IF(Transactions_RAW_cleaned[[#This Row],[Status]]="Completed", IFERROR(_xlfn.XLOOKUP(Transactions_RAW_cleaned[[#This Row],[CustomerID]], Customers_cleaned[CustomerID], Customers_cleaned[Segment]), "Customer Not Found"), "N/A")</f>
        <v>SMB</v>
      </c>
      <c r="P284" s="5" t="str">
        <f>IF(Transactions_RAW_cleaned[[#This Row],[Status]]="Refunded", "Refund",
  IF(Transactions_RAW_cleaned[[#This Row],[Category]]="Payments", IF(Transactions_RAW_cleaned[[#This Row],[Amount]]&gt;500,"High Value","Standard"),
    IF(Transactions_RAW_cleaned[[#This Row],[Amount]]&gt;250,"High Value","Standard")))</f>
        <v>Standard</v>
      </c>
      <c r="Q284" s="5" t="str">
        <f>IF(Transactions_RAW_cleaned[[#This Row],[Amount]] &gt; (_xlfn.XLOOKUP(Transactions_RAW_cleaned[[#This Row],[ServiceID]],Services_cleaned[ServiceID],Services_cleaned[TransactionFeePct]) * 10000), "Yes", "No")</f>
        <v>Yes</v>
      </c>
      <c r="R284" s="5" t="str">
        <f>IF(COUNTIFS($C$2:Transactions_RAW_cleaned[[#This Row],[CustomerID]],Transactions_RAW_cleaned[[#This Row],[CustomerID]],$D$2:Transactions_RAW_cleaned[[#This Row],[ServiceID]],Transactions_RAW_cleaned[[#This Row],[ServiceID]])=1,"Yes","No")</f>
        <v>Yes</v>
      </c>
      <c r="S28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84" t="str">
        <f>"Q"&amp;ROUNDUP(MONTH(Transactions_RAW_cleaned[[#This Row],[TransactionDate]])/3,0)</f>
        <v>Q2</v>
      </c>
      <c r="U284" t="str">
        <f>Transactions_RAW_cleaned[[#This Row],[Region ]]&amp;Transactions_RAW_cleaned[[#This Row],[Quarter ]]</f>
        <v>EMEAQ2</v>
      </c>
      <c r="V284" s="5">
        <f>_xlfn.XLOOKUP(Transactions_RAW_cleaned[[#This Row],[RegionQuarterKey]], Quarterly_Targets_cleaned[RegionQuarterKey], Quarterly_Targets_cleaned[TargetRevenue])</f>
        <v>140000</v>
      </c>
    </row>
    <row r="285" spans="1:22" x14ac:dyDescent="0.25">
      <c r="A285" t="s">
        <v>618</v>
      </c>
      <c r="B285" s="1">
        <v>45350</v>
      </c>
      <c r="C285" t="s">
        <v>201</v>
      </c>
      <c r="D285" t="s">
        <v>294</v>
      </c>
      <c r="E285">
        <v>469.76</v>
      </c>
      <c r="F285" t="s">
        <v>324</v>
      </c>
      <c r="G285" t="s">
        <v>327</v>
      </c>
      <c r="I285" t="s">
        <v>57</v>
      </c>
      <c r="J285" t="s">
        <v>37</v>
      </c>
      <c r="K285" t="s">
        <v>32</v>
      </c>
      <c r="L285" t="s">
        <v>295</v>
      </c>
      <c r="M285" t="s">
        <v>296</v>
      </c>
      <c r="N285">
        <v>2.9000000000000001E-2</v>
      </c>
      <c r="O285" t="str">
        <f>IF(Transactions_RAW_cleaned[[#This Row],[Status]]="Completed", IFERROR(_xlfn.XLOOKUP(Transactions_RAW_cleaned[[#This Row],[CustomerID]], Customers_cleaned[CustomerID], Customers_cleaned[Segment]), "Customer Not Found"), "N/A")</f>
        <v>Startup</v>
      </c>
      <c r="P285" s="5" t="str">
        <f>IF(Transactions_RAW_cleaned[[#This Row],[Status]]="Refunded", "Refund",
  IF(Transactions_RAW_cleaned[[#This Row],[Category]]="Payments", IF(Transactions_RAW_cleaned[[#This Row],[Amount]]&gt;500,"High Value","Standard"),
    IF(Transactions_RAW_cleaned[[#This Row],[Amount]]&gt;250,"High Value","Standard")))</f>
        <v>Standard</v>
      </c>
      <c r="Q285" s="5" t="str">
        <f>IF(Transactions_RAW_cleaned[[#This Row],[Amount]] &gt; (_xlfn.XLOOKUP(Transactions_RAW_cleaned[[#This Row],[ServiceID]],Services_cleaned[ServiceID],Services_cleaned[TransactionFeePct]) * 10000), "Yes", "No")</f>
        <v>Yes</v>
      </c>
      <c r="R285" s="5" t="str">
        <f>IF(COUNTIFS($C$2:Transactions_RAW_cleaned[[#This Row],[CustomerID]],Transactions_RAW_cleaned[[#This Row],[CustomerID]],$D$2:Transactions_RAW_cleaned[[#This Row],[ServiceID]],Transactions_RAW_cleaned[[#This Row],[ServiceID]])=1,"Yes","No")</f>
        <v>Yes</v>
      </c>
      <c r="S28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85" t="str">
        <f>"Q"&amp;ROUNDUP(MONTH(Transactions_RAW_cleaned[[#This Row],[TransactionDate]])/3,0)</f>
        <v>Q1</v>
      </c>
      <c r="U285" t="str">
        <f>Transactions_RAW_cleaned[[#This Row],[Region ]]&amp;Transactions_RAW_cleaned[[#This Row],[Quarter ]]</f>
        <v>EMEAQ1</v>
      </c>
      <c r="V285" s="5">
        <f>_xlfn.XLOOKUP(Transactions_RAW_cleaned[[#This Row],[RegionQuarterKey]], Quarterly_Targets_cleaned[RegionQuarterKey], Quarterly_Targets_cleaned[TargetRevenue])</f>
        <v>133000</v>
      </c>
    </row>
    <row r="286" spans="1:22" x14ac:dyDescent="0.25">
      <c r="A286" t="s">
        <v>619</v>
      </c>
      <c r="B286" s="1">
        <v>45482</v>
      </c>
      <c r="C286" t="s">
        <v>237</v>
      </c>
      <c r="D286" t="s">
        <v>297</v>
      </c>
      <c r="E286">
        <v>489.19</v>
      </c>
      <c r="F286" t="s">
        <v>324</v>
      </c>
      <c r="G286" t="s">
        <v>327</v>
      </c>
      <c r="H286" t="s">
        <v>346</v>
      </c>
      <c r="I286" t="s">
        <v>8</v>
      </c>
      <c r="J286" t="s">
        <v>46</v>
      </c>
      <c r="K286" t="s">
        <v>10</v>
      </c>
      <c r="L286" t="s">
        <v>298</v>
      </c>
      <c r="M286" t="s">
        <v>299</v>
      </c>
      <c r="N286">
        <v>0</v>
      </c>
      <c r="O286" t="str">
        <f>IF(Transactions_RAW_cleaned[[#This Row],[Status]]="Completed", IFERROR(_xlfn.XLOOKUP(Transactions_RAW_cleaned[[#This Row],[CustomerID]], Customers_cleaned[CustomerID], Customers_cleaned[Segment]), "Customer Not Found"), "N/A")</f>
        <v>SMB</v>
      </c>
      <c r="P286" s="5" t="str">
        <f>IF(Transactions_RAW_cleaned[[#This Row],[Status]]="Refunded", "Refund",
  IF(Transactions_RAW_cleaned[[#This Row],[Category]]="Payments", IF(Transactions_RAW_cleaned[[#This Row],[Amount]]&gt;500,"High Value","Standard"),
    IF(Transactions_RAW_cleaned[[#This Row],[Amount]]&gt;250,"High Value","Standard")))</f>
        <v>High Value</v>
      </c>
      <c r="Q286" s="5" t="str">
        <f>IF(Transactions_RAW_cleaned[[#This Row],[Amount]] &gt; (_xlfn.XLOOKUP(Transactions_RAW_cleaned[[#This Row],[ServiceID]],Services_cleaned[ServiceID],Services_cleaned[TransactionFeePct]) * 10000), "Yes", "No")</f>
        <v>Yes</v>
      </c>
      <c r="R286" s="5" t="str">
        <f>IF(COUNTIFS($C$2:Transactions_RAW_cleaned[[#This Row],[CustomerID]],Transactions_RAW_cleaned[[#This Row],[CustomerID]],$D$2:Transactions_RAW_cleaned[[#This Row],[ServiceID]],Transactions_RAW_cleaned[[#This Row],[ServiceID]])=1,"Yes","No")</f>
        <v>Yes</v>
      </c>
      <c r="S28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86" t="str">
        <f>"Q"&amp;ROUNDUP(MONTH(Transactions_RAW_cleaned[[#This Row],[TransactionDate]])/3,0)</f>
        <v>Q3</v>
      </c>
      <c r="U286" t="str">
        <f>Transactions_RAW_cleaned[[#This Row],[Region ]]&amp;Transactions_RAW_cleaned[[#This Row],[Quarter ]]</f>
        <v>APACQ3</v>
      </c>
      <c r="V286" s="5">
        <f>_xlfn.XLOOKUP(Transactions_RAW_cleaned[[#This Row],[RegionQuarterKey]], Quarterly_Targets_cleaned[RegionQuarterKey], Quarterly_Targets_cleaned[TargetRevenue])</f>
        <v>115500</v>
      </c>
    </row>
    <row r="287" spans="1:22" x14ac:dyDescent="0.25">
      <c r="A287" t="s">
        <v>620</v>
      </c>
      <c r="B287" s="1">
        <v>45296</v>
      </c>
      <c r="C287" t="s">
        <v>100</v>
      </c>
      <c r="D287" t="s">
        <v>294</v>
      </c>
      <c r="E287">
        <v>-229.64</v>
      </c>
      <c r="F287" t="s">
        <v>349</v>
      </c>
      <c r="G287" t="s">
        <v>327</v>
      </c>
      <c r="I287" t="s">
        <v>8</v>
      </c>
      <c r="J287" t="s">
        <v>102</v>
      </c>
      <c r="K287" t="s">
        <v>22</v>
      </c>
      <c r="L287" t="s">
        <v>295</v>
      </c>
      <c r="M287" t="s">
        <v>296</v>
      </c>
      <c r="N287">
        <v>2.9000000000000001E-2</v>
      </c>
      <c r="O287" t="str">
        <f>IF(Transactions_RAW_cleaned[[#This Row],[Status]]="Completed", IFERROR(_xlfn.XLOOKUP(Transactions_RAW_cleaned[[#This Row],[CustomerID]], Customers_cleaned[CustomerID], Customers_cleaned[Segment]), "Customer Not Found"), "N/A")</f>
        <v>N/A</v>
      </c>
      <c r="P287" s="5" t="str">
        <f>IF(Transactions_RAW_cleaned[[#This Row],[Status]]="Refunded", "Refund",
  IF(Transactions_RAW_cleaned[[#This Row],[Category]]="Payments", IF(Transactions_RAW_cleaned[[#This Row],[Amount]]&gt;500,"High Value","Standard"),
    IF(Transactions_RAW_cleaned[[#This Row],[Amount]]&gt;250,"High Value","Standard")))</f>
        <v>Refund</v>
      </c>
      <c r="Q287" s="5" t="str">
        <f>IF(Transactions_RAW_cleaned[[#This Row],[Amount]] &gt; (_xlfn.XLOOKUP(Transactions_RAW_cleaned[[#This Row],[ServiceID]],Services_cleaned[ServiceID],Services_cleaned[TransactionFeePct]) * 10000), "Yes", "No")</f>
        <v>No</v>
      </c>
      <c r="R287" s="5" t="str">
        <f>IF(COUNTIFS($C$2:Transactions_RAW_cleaned[[#This Row],[CustomerID]],Transactions_RAW_cleaned[[#This Row],[CustomerID]],$D$2:Transactions_RAW_cleaned[[#This Row],[ServiceID]],Transactions_RAW_cleaned[[#This Row],[ServiceID]])=1,"Yes","No")</f>
        <v>No</v>
      </c>
      <c r="S28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87" t="str">
        <f>"Q"&amp;ROUNDUP(MONTH(Transactions_RAW_cleaned[[#This Row],[TransactionDate]])/3,0)</f>
        <v>Q1</v>
      </c>
      <c r="U287" t="str">
        <f>Transactions_RAW_cleaned[[#This Row],[Region ]]&amp;Transactions_RAW_cleaned[[#This Row],[Quarter ]]</f>
        <v>NAQ1</v>
      </c>
      <c r="V287" s="5">
        <f>_xlfn.XLOOKUP(Transactions_RAW_cleaned[[#This Row],[RegionQuarterKey]], Quarterly_Targets_cleaned[RegionQuarterKey], Quarterly_Targets_cleaned[TargetRevenue])</f>
        <v>247000</v>
      </c>
    </row>
    <row r="288" spans="1:22" x14ac:dyDescent="0.25">
      <c r="A288" t="s">
        <v>621</v>
      </c>
      <c r="B288" s="1">
        <v>45582</v>
      </c>
      <c r="C288" t="s">
        <v>58</v>
      </c>
      <c r="D288" t="s">
        <v>315</v>
      </c>
      <c r="E288">
        <v>117.26</v>
      </c>
      <c r="F288" t="s">
        <v>324</v>
      </c>
      <c r="G288" t="s">
        <v>337</v>
      </c>
      <c r="I288" t="s">
        <v>17</v>
      </c>
      <c r="J288" t="s">
        <v>102</v>
      </c>
      <c r="K288" t="s">
        <v>22</v>
      </c>
      <c r="L288" t="s">
        <v>316</v>
      </c>
      <c r="M288" t="s">
        <v>305</v>
      </c>
      <c r="N288">
        <v>2.5000000000000001E-3</v>
      </c>
      <c r="O288" t="str">
        <f>IF(Transactions_RAW_cleaned[[#This Row],[Status]]="Completed", IFERROR(_xlfn.XLOOKUP(Transactions_RAW_cleaned[[#This Row],[CustomerID]], Customers_cleaned[CustomerID], Customers_cleaned[Segment]), "Customer Not Found"), "N/A")</f>
        <v>Enterprise</v>
      </c>
      <c r="P288" s="5" t="str">
        <f>IF(Transactions_RAW_cleaned[[#This Row],[Status]]="Refunded", "Refund",
  IF(Transactions_RAW_cleaned[[#This Row],[Category]]="Payments", IF(Transactions_RAW_cleaned[[#This Row],[Amount]]&gt;500,"High Value","Standard"),
    IF(Transactions_RAW_cleaned[[#This Row],[Amount]]&gt;250,"High Value","Standard")))</f>
        <v>Standard</v>
      </c>
      <c r="Q288" s="5" t="str">
        <f>IF(Transactions_RAW_cleaned[[#This Row],[Amount]] &gt; (_xlfn.XLOOKUP(Transactions_RAW_cleaned[[#This Row],[ServiceID]],Services_cleaned[ServiceID],Services_cleaned[TransactionFeePct]) * 10000), "Yes", "No")</f>
        <v>Yes</v>
      </c>
      <c r="R288" s="5" t="str">
        <f>IF(COUNTIFS($C$2:Transactions_RAW_cleaned[[#This Row],[CustomerID]],Transactions_RAW_cleaned[[#This Row],[CustomerID]],$D$2:Transactions_RAW_cleaned[[#This Row],[ServiceID]],Transactions_RAW_cleaned[[#This Row],[ServiceID]])=1,"Yes","No")</f>
        <v>Yes</v>
      </c>
      <c r="S28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88" t="str">
        <f>"Q"&amp;ROUNDUP(MONTH(Transactions_RAW_cleaned[[#This Row],[TransactionDate]])/3,0)</f>
        <v>Q4</v>
      </c>
      <c r="U288" t="str">
        <f>Transactions_RAW_cleaned[[#This Row],[Region ]]&amp;Transactions_RAW_cleaned[[#This Row],[Quarter ]]</f>
        <v>NAQ4</v>
      </c>
      <c r="V288" s="5">
        <f>_xlfn.XLOOKUP(Transactions_RAW_cleaned[[#This Row],[RegionQuarterKey]], Quarterly_Targets_cleaned[RegionQuarterKey], Quarterly_Targets_cleaned[TargetRevenue])</f>
        <v>299000</v>
      </c>
    </row>
    <row r="289" spans="1:22" x14ac:dyDescent="0.25">
      <c r="A289" t="s">
        <v>622</v>
      </c>
      <c r="B289" s="1">
        <v>45304</v>
      </c>
      <c r="C289" t="s">
        <v>123</v>
      </c>
      <c r="D289" t="s">
        <v>309</v>
      </c>
      <c r="E289">
        <v>328.84</v>
      </c>
      <c r="F289" t="s">
        <v>324</v>
      </c>
      <c r="G289" t="s">
        <v>325</v>
      </c>
      <c r="H289" t="s">
        <v>334</v>
      </c>
      <c r="I289" t="s">
        <v>8</v>
      </c>
      <c r="J289" t="s">
        <v>13</v>
      </c>
      <c r="K289" t="s">
        <v>32</v>
      </c>
      <c r="L289" t="s">
        <v>310</v>
      </c>
      <c r="M289" t="s">
        <v>311</v>
      </c>
      <c r="N289">
        <v>0</v>
      </c>
      <c r="O289" t="str">
        <f>IF(Transactions_RAW_cleaned[[#This Row],[Status]]="Completed", IFERROR(_xlfn.XLOOKUP(Transactions_RAW_cleaned[[#This Row],[CustomerID]], Customers_cleaned[CustomerID], Customers_cleaned[Segment]), "Customer Not Found"), "N/A")</f>
        <v>SMB</v>
      </c>
      <c r="P289" s="5" t="str">
        <f>IF(Transactions_RAW_cleaned[[#This Row],[Status]]="Refunded", "Refund",
  IF(Transactions_RAW_cleaned[[#This Row],[Category]]="Payments", IF(Transactions_RAW_cleaned[[#This Row],[Amount]]&gt;500,"High Value","Standard"),
    IF(Transactions_RAW_cleaned[[#This Row],[Amount]]&gt;250,"High Value","Standard")))</f>
        <v>High Value</v>
      </c>
      <c r="Q289" s="5" t="str">
        <f>IF(Transactions_RAW_cleaned[[#This Row],[Amount]] &gt; (_xlfn.XLOOKUP(Transactions_RAW_cleaned[[#This Row],[ServiceID]],Services_cleaned[ServiceID],Services_cleaned[TransactionFeePct]) * 10000), "Yes", "No")</f>
        <v>Yes</v>
      </c>
      <c r="R289" s="5" t="str">
        <f>IF(COUNTIFS($C$2:Transactions_RAW_cleaned[[#This Row],[CustomerID]],Transactions_RAW_cleaned[[#This Row],[CustomerID]],$D$2:Transactions_RAW_cleaned[[#This Row],[ServiceID]],Transactions_RAW_cleaned[[#This Row],[ServiceID]])=1,"Yes","No")</f>
        <v>Yes</v>
      </c>
      <c r="S28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89" t="str">
        <f>"Q"&amp;ROUNDUP(MONTH(Transactions_RAW_cleaned[[#This Row],[TransactionDate]])/3,0)</f>
        <v>Q1</v>
      </c>
      <c r="U289" t="str">
        <f>Transactions_RAW_cleaned[[#This Row],[Region ]]&amp;Transactions_RAW_cleaned[[#This Row],[Quarter ]]</f>
        <v>NAQ1</v>
      </c>
      <c r="V289" s="5">
        <f>_xlfn.XLOOKUP(Transactions_RAW_cleaned[[#This Row],[RegionQuarterKey]], Quarterly_Targets_cleaned[RegionQuarterKey], Quarterly_Targets_cleaned[TargetRevenue])</f>
        <v>247000</v>
      </c>
    </row>
    <row r="290" spans="1:22" x14ac:dyDescent="0.25">
      <c r="A290" t="s">
        <v>623</v>
      </c>
      <c r="B290" s="1">
        <v>45604</v>
      </c>
      <c r="C290" t="s">
        <v>179</v>
      </c>
      <c r="D290" t="s">
        <v>303</v>
      </c>
      <c r="E290">
        <v>349.14</v>
      </c>
      <c r="F290" t="s">
        <v>324</v>
      </c>
      <c r="G290" t="s">
        <v>327</v>
      </c>
      <c r="H290" t="s">
        <v>346</v>
      </c>
      <c r="I290" t="s">
        <v>8</v>
      </c>
      <c r="J290" t="s">
        <v>31</v>
      </c>
      <c r="K290" t="s">
        <v>18</v>
      </c>
      <c r="L290" t="s">
        <v>304</v>
      </c>
      <c r="M290" t="s">
        <v>305</v>
      </c>
      <c r="N290">
        <v>1E-3</v>
      </c>
      <c r="O290" t="str">
        <f>IF(Transactions_RAW_cleaned[[#This Row],[Status]]="Completed", IFERROR(_xlfn.XLOOKUP(Transactions_RAW_cleaned[[#This Row],[CustomerID]], Customers_cleaned[CustomerID], Customers_cleaned[Segment]), "Customer Not Found"), "N/A")</f>
        <v>SMB</v>
      </c>
      <c r="P290" s="5" t="str">
        <f>IF(Transactions_RAW_cleaned[[#This Row],[Status]]="Refunded", "Refund",
  IF(Transactions_RAW_cleaned[[#This Row],[Category]]="Payments", IF(Transactions_RAW_cleaned[[#This Row],[Amount]]&gt;500,"High Value","Standard"),
    IF(Transactions_RAW_cleaned[[#This Row],[Amount]]&gt;250,"High Value","Standard")))</f>
        <v>High Value</v>
      </c>
      <c r="Q290" s="5" t="str">
        <f>IF(Transactions_RAW_cleaned[[#This Row],[Amount]] &gt; (_xlfn.XLOOKUP(Transactions_RAW_cleaned[[#This Row],[ServiceID]],Services_cleaned[ServiceID],Services_cleaned[TransactionFeePct]) * 10000), "Yes", "No")</f>
        <v>Yes</v>
      </c>
      <c r="R290" s="5" t="str">
        <f>IF(COUNTIFS($C$2:Transactions_RAW_cleaned[[#This Row],[CustomerID]],Transactions_RAW_cleaned[[#This Row],[CustomerID]],$D$2:Transactions_RAW_cleaned[[#This Row],[ServiceID]],Transactions_RAW_cleaned[[#This Row],[ServiceID]])=1,"Yes","No")</f>
        <v>Yes</v>
      </c>
      <c r="S29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90" t="str">
        <f>"Q"&amp;ROUNDUP(MONTH(Transactions_RAW_cleaned[[#This Row],[TransactionDate]])/3,0)</f>
        <v>Q4</v>
      </c>
      <c r="U290" t="str">
        <f>Transactions_RAW_cleaned[[#This Row],[Region ]]&amp;Transactions_RAW_cleaned[[#This Row],[Quarter ]]</f>
        <v>EMEAQ4</v>
      </c>
      <c r="V290" s="5">
        <f>_xlfn.XLOOKUP(Transactions_RAW_cleaned[[#This Row],[RegionQuarterKey]], Quarterly_Targets_cleaned[RegionQuarterKey], Quarterly_Targets_cleaned[TargetRevenue])</f>
        <v>161000</v>
      </c>
    </row>
    <row r="291" spans="1:22" x14ac:dyDescent="0.25">
      <c r="A291" t="s">
        <v>624</v>
      </c>
      <c r="B291" s="1">
        <v>45656</v>
      </c>
      <c r="C291" t="s">
        <v>15</v>
      </c>
      <c r="D291" t="s">
        <v>303</v>
      </c>
      <c r="E291">
        <v>540.76</v>
      </c>
      <c r="F291" t="s">
        <v>324</v>
      </c>
      <c r="G291" t="s">
        <v>327</v>
      </c>
      <c r="I291" t="s">
        <v>17</v>
      </c>
      <c r="J291" t="s">
        <v>102</v>
      </c>
      <c r="K291" t="s">
        <v>18</v>
      </c>
      <c r="L291" t="s">
        <v>304</v>
      </c>
      <c r="M291" t="s">
        <v>305</v>
      </c>
      <c r="N291">
        <v>1E-3</v>
      </c>
      <c r="O291" t="str">
        <f>IF(Transactions_RAW_cleaned[[#This Row],[Status]]="Completed", IFERROR(_xlfn.XLOOKUP(Transactions_RAW_cleaned[[#This Row],[CustomerID]], Customers_cleaned[CustomerID], Customers_cleaned[Segment]), "Customer Not Found"), "N/A")</f>
        <v>Enterprise</v>
      </c>
      <c r="P291" s="5" t="str">
        <f>IF(Transactions_RAW_cleaned[[#This Row],[Status]]="Refunded", "Refund",
  IF(Transactions_RAW_cleaned[[#This Row],[Category]]="Payments", IF(Transactions_RAW_cleaned[[#This Row],[Amount]]&gt;500,"High Value","Standard"),
    IF(Transactions_RAW_cleaned[[#This Row],[Amount]]&gt;250,"High Value","Standard")))</f>
        <v>High Value</v>
      </c>
      <c r="Q291" s="5" t="str">
        <f>IF(Transactions_RAW_cleaned[[#This Row],[Amount]] &gt; (_xlfn.XLOOKUP(Transactions_RAW_cleaned[[#This Row],[ServiceID]],Services_cleaned[ServiceID],Services_cleaned[TransactionFeePct]) * 10000), "Yes", "No")</f>
        <v>Yes</v>
      </c>
      <c r="R291" s="5" t="str">
        <f>IF(COUNTIFS($C$2:Transactions_RAW_cleaned[[#This Row],[CustomerID]],Transactions_RAW_cleaned[[#This Row],[CustomerID]],$D$2:Transactions_RAW_cleaned[[#This Row],[ServiceID]],Transactions_RAW_cleaned[[#This Row],[ServiceID]])=1,"Yes","No")</f>
        <v>No</v>
      </c>
      <c r="S29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91" t="str">
        <f>"Q"&amp;ROUNDUP(MONTH(Transactions_RAW_cleaned[[#This Row],[TransactionDate]])/3,0)</f>
        <v>Q4</v>
      </c>
      <c r="U291" t="str">
        <f>Transactions_RAW_cleaned[[#This Row],[Region ]]&amp;Transactions_RAW_cleaned[[#This Row],[Quarter ]]</f>
        <v>NAQ4</v>
      </c>
      <c r="V291" s="5">
        <f>_xlfn.XLOOKUP(Transactions_RAW_cleaned[[#This Row],[RegionQuarterKey]], Quarterly_Targets_cleaned[RegionQuarterKey], Quarterly_Targets_cleaned[TargetRevenue])</f>
        <v>299000</v>
      </c>
    </row>
    <row r="292" spans="1:22" x14ac:dyDescent="0.25">
      <c r="A292" t="s">
        <v>625</v>
      </c>
      <c r="B292" s="1">
        <v>45296</v>
      </c>
      <c r="C292" t="s">
        <v>49</v>
      </c>
      <c r="D292" t="s">
        <v>297</v>
      </c>
      <c r="E292">
        <v>1147.28</v>
      </c>
      <c r="F292" t="s">
        <v>331</v>
      </c>
      <c r="G292" t="s">
        <v>327</v>
      </c>
      <c r="H292" t="s">
        <v>346</v>
      </c>
      <c r="I292" t="s">
        <v>8</v>
      </c>
      <c r="J292" t="s">
        <v>102</v>
      </c>
      <c r="K292" t="s">
        <v>32</v>
      </c>
      <c r="L292" t="s">
        <v>298</v>
      </c>
      <c r="M292" t="s">
        <v>299</v>
      </c>
      <c r="N292">
        <v>0</v>
      </c>
      <c r="O292" t="str">
        <f>IF(Transactions_RAW_cleaned[[#This Row],[Status]]="Completed", IFERROR(_xlfn.XLOOKUP(Transactions_RAW_cleaned[[#This Row],[CustomerID]], Customers_cleaned[CustomerID], Customers_cleaned[Segment]), "Customer Not Found"), "N/A")</f>
        <v>N/A</v>
      </c>
      <c r="P292" s="5" t="str">
        <f>IF(Transactions_RAW_cleaned[[#This Row],[Status]]="Refunded", "Refund",
  IF(Transactions_RAW_cleaned[[#This Row],[Category]]="Payments", IF(Transactions_RAW_cleaned[[#This Row],[Amount]]&gt;500,"High Value","Standard"),
    IF(Transactions_RAW_cleaned[[#This Row],[Amount]]&gt;250,"High Value","Standard")))</f>
        <v>High Value</v>
      </c>
      <c r="Q292" s="5" t="str">
        <f>IF(Transactions_RAW_cleaned[[#This Row],[Amount]] &gt; (_xlfn.XLOOKUP(Transactions_RAW_cleaned[[#This Row],[ServiceID]],Services_cleaned[ServiceID],Services_cleaned[TransactionFeePct]) * 10000), "Yes", "No")</f>
        <v>Yes</v>
      </c>
      <c r="R292" s="5" t="str">
        <f>IF(COUNTIFS($C$2:Transactions_RAW_cleaned[[#This Row],[CustomerID]],Transactions_RAW_cleaned[[#This Row],[CustomerID]],$D$2:Transactions_RAW_cleaned[[#This Row],[ServiceID]],Transactions_RAW_cleaned[[#This Row],[ServiceID]])=1,"Yes","No")</f>
        <v>Yes</v>
      </c>
      <c r="S29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92" t="str">
        <f>"Q"&amp;ROUNDUP(MONTH(Transactions_RAW_cleaned[[#This Row],[TransactionDate]])/3,0)</f>
        <v>Q1</v>
      </c>
      <c r="U292" t="str">
        <f>Transactions_RAW_cleaned[[#This Row],[Region ]]&amp;Transactions_RAW_cleaned[[#This Row],[Quarter ]]</f>
        <v>NAQ1</v>
      </c>
      <c r="V292" s="5">
        <f>_xlfn.XLOOKUP(Transactions_RAW_cleaned[[#This Row],[RegionQuarterKey]], Quarterly_Targets_cleaned[RegionQuarterKey], Quarterly_Targets_cleaned[TargetRevenue])</f>
        <v>247000</v>
      </c>
    </row>
    <row r="293" spans="1:22" x14ac:dyDescent="0.25">
      <c r="A293" t="s">
        <v>626</v>
      </c>
      <c r="B293" s="1">
        <v>45584</v>
      </c>
      <c r="C293" t="s">
        <v>137</v>
      </c>
      <c r="D293" t="s">
        <v>294</v>
      </c>
      <c r="E293">
        <v>435.17</v>
      </c>
      <c r="F293" t="s">
        <v>324</v>
      </c>
      <c r="G293" t="s">
        <v>337</v>
      </c>
      <c r="I293" t="s">
        <v>8</v>
      </c>
      <c r="J293" t="s">
        <v>13</v>
      </c>
      <c r="K293" t="s">
        <v>18</v>
      </c>
      <c r="L293" t="s">
        <v>295</v>
      </c>
      <c r="M293" t="s">
        <v>296</v>
      </c>
      <c r="N293">
        <v>2.9000000000000001E-2</v>
      </c>
      <c r="O293" t="str">
        <f>IF(Transactions_RAW_cleaned[[#This Row],[Status]]="Completed", IFERROR(_xlfn.XLOOKUP(Transactions_RAW_cleaned[[#This Row],[CustomerID]], Customers_cleaned[CustomerID], Customers_cleaned[Segment]), "Customer Not Found"), "N/A")</f>
        <v>SMB</v>
      </c>
      <c r="P293" s="5" t="str">
        <f>IF(Transactions_RAW_cleaned[[#This Row],[Status]]="Refunded", "Refund",
  IF(Transactions_RAW_cleaned[[#This Row],[Category]]="Payments", IF(Transactions_RAW_cleaned[[#This Row],[Amount]]&gt;500,"High Value","Standard"),
    IF(Transactions_RAW_cleaned[[#This Row],[Amount]]&gt;250,"High Value","Standard")))</f>
        <v>Standard</v>
      </c>
      <c r="Q293" s="5" t="str">
        <f>IF(Transactions_RAW_cleaned[[#This Row],[Amount]] &gt; (_xlfn.XLOOKUP(Transactions_RAW_cleaned[[#This Row],[ServiceID]],Services_cleaned[ServiceID],Services_cleaned[TransactionFeePct]) * 10000), "Yes", "No")</f>
        <v>Yes</v>
      </c>
      <c r="R293" s="5" t="str">
        <f>IF(COUNTIFS($C$2:Transactions_RAW_cleaned[[#This Row],[CustomerID]],Transactions_RAW_cleaned[[#This Row],[CustomerID]],$D$2:Transactions_RAW_cleaned[[#This Row],[ServiceID]],Transactions_RAW_cleaned[[#This Row],[ServiceID]])=1,"Yes","No")</f>
        <v>Yes</v>
      </c>
      <c r="S29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93" t="str">
        <f>"Q"&amp;ROUNDUP(MONTH(Transactions_RAW_cleaned[[#This Row],[TransactionDate]])/3,0)</f>
        <v>Q4</v>
      </c>
      <c r="U293" t="str">
        <f>Transactions_RAW_cleaned[[#This Row],[Region ]]&amp;Transactions_RAW_cleaned[[#This Row],[Quarter ]]</f>
        <v>NAQ4</v>
      </c>
      <c r="V293" s="5">
        <f>_xlfn.XLOOKUP(Transactions_RAW_cleaned[[#This Row],[RegionQuarterKey]], Quarterly_Targets_cleaned[RegionQuarterKey], Quarterly_Targets_cleaned[TargetRevenue])</f>
        <v>299000</v>
      </c>
    </row>
    <row r="294" spans="1:22" x14ac:dyDescent="0.25">
      <c r="A294" t="s">
        <v>627</v>
      </c>
      <c r="B294" s="1">
        <v>45568</v>
      </c>
      <c r="C294" t="s">
        <v>86</v>
      </c>
      <c r="D294" t="s">
        <v>312</v>
      </c>
      <c r="E294">
        <v>569.19000000000005</v>
      </c>
      <c r="F294" t="s">
        <v>381</v>
      </c>
      <c r="G294" t="s">
        <v>337</v>
      </c>
      <c r="H294" t="s">
        <v>334</v>
      </c>
      <c r="I294" t="s">
        <v>8</v>
      </c>
      <c r="J294" t="s">
        <v>102</v>
      </c>
      <c r="K294" t="s">
        <v>18</v>
      </c>
      <c r="L294" t="s">
        <v>313</v>
      </c>
      <c r="M294" t="s">
        <v>314</v>
      </c>
      <c r="N294">
        <v>0</v>
      </c>
      <c r="O294" t="str">
        <f>IF(Transactions_RAW_cleaned[[#This Row],[Status]]="Completed", IFERROR(_xlfn.XLOOKUP(Transactions_RAW_cleaned[[#This Row],[CustomerID]], Customers_cleaned[CustomerID], Customers_cleaned[Segment]), "Customer Not Found"), "N/A")</f>
        <v>N/A</v>
      </c>
      <c r="P294" s="5" t="str">
        <f>IF(Transactions_RAW_cleaned[[#This Row],[Status]]="Refunded", "Refund",
  IF(Transactions_RAW_cleaned[[#This Row],[Category]]="Payments", IF(Transactions_RAW_cleaned[[#This Row],[Amount]]&gt;500,"High Value","Standard"),
    IF(Transactions_RAW_cleaned[[#This Row],[Amount]]&gt;250,"High Value","Standard")))</f>
        <v>High Value</v>
      </c>
      <c r="Q294" s="5" t="str">
        <f>IF(Transactions_RAW_cleaned[[#This Row],[Amount]] &gt; (_xlfn.XLOOKUP(Transactions_RAW_cleaned[[#This Row],[ServiceID]],Services_cleaned[ServiceID],Services_cleaned[TransactionFeePct]) * 10000), "Yes", "No")</f>
        <v>Yes</v>
      </c>
      <c r="R294" s="5" t="str">
        <f>IF(COUNTIFS($C$2:Transactions_RAW_cleaned[[#This Row],[CustomerID]],Transactions_RAW_cleaned[[#This Row],[CustomerID]],$D$2:Transactions_RAW_cleaned[[#This Row],[ServiceID]],Transactions_RAW_cleaned[[#This Row],[ServiceID]])=1,"Yes","No")</f>
        <v>Yes</v>
      </c>
      <c r="S29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94" t="str">
        <f>"Q"&amp;ROUNDUP(MONTH(Transactions_RAW_cleaned[[#This Row],[TransactionDate]])/3,0)</f>
        <v>Q4</v>
      </c>
      <c r="U294" t="str">
        <f>Transactions_RAW_cleaned[[#This Row],[Region ]]&amp;Transactions_RAW_cleaned[[#This Row],[Quarter ]]</f>
        <v>NAQ4</v>
      </c>
      <c r="V294" s="5">
        <f>_xlfn.XLOOKUP(Transactions_RAW_cleaned[[#This Row],[RegionQuarterKey]], Quarterly_Targets_cleaned[RegionQuarterKey], Quarterly_Targets_cleaned[TargetRevenue])</f>
        <v>299000</v>
      </c>
    </row>
    <row r="295" spans="1:22" x14ac:dyDescent="0.25">
      <c r="A295" t="s">
        <v>2958</v>
      </c>
      <c r="B295" s="1">
        <v>45644</v>
      </c>
      <c r="C295" t="s">
        <v>74</v>
      </c>
      <c r="E295">
        <v>576.82000000000005</v>
      </c>
      <c r="F295" t="s">
        <v>324</v>
      </c>
      <c r="G295" t="s">
        <v>337</v>
      </c>
      <c r="H295" t="s">
        <v>334</v>
      </c>
      <c r="I295" t="s">
        <v>17</v>
      </c>
      <c r="J295" t="s">
        <v>46</v>
      </c>
      <c r="K295" t="s">
        <v>28</v>
      </c>
      <c r="O295" t="str">
        <f>IF(Transactions_RAW_cleaned[[#This Row],[Status]]="Completed", IFERROR(_xlfn.XLOOKUP(Transactions_RAW_cleaned[[#This Row],[CustomerID]], Customers_cleaned[CustomerID], Customers_cleaned[Segment]), "Customer Not Found"), "N/A")</f>
        <v>Enterprise</v>
      </c>
      <c r="P295" s="5" t="str">
        <f>IF(Transactions_RAW_cleaned[[#This Row],[Status]]="Refunded", "Refund",
  IF(Transactions_RAW_cleaned[[#This Row],[Category]]="Payments", IF(Transactions_RAW_cleaned[[#This Row],[Amount]]&gt;500,"High Value","Standard"),
    IF(Transactions_RAW_cleaned[[#This Row],[Amount]]&gt;250,"High Value","Standard")))</f>
        <v>High Value</v>
      </c>
      <c r="Q295" s="5" t="e">
        <f>IF(Transactions_RAW_cleaned[[#This Row],[Amount]] &gt; (_xlfn.XLOOKUP(Transactions_RAW_cleaned[[#This Row],[ServiceID]],Services_cleaned[ServiceID],Services_cleaned[TransactionFeePct]) * 10000), "Yes", "No")</f>
        <v>#N/A</v>
      </c>
      <c r="R295" s="5" t="str">
        <f>IF(COUNTIFS($C$2:Transactions_RAW_cleaned[[#This Row],[CustomerID]],Transactions_RAW_cleaned[[#This Row],[CustomerID]],$D$2:Transactions_RAW_cleaned[[#This Row],[ServiceID]],Transactions_RAW_cleaned[[#This Row],[ServiceID]])=1,"Yes","No")</f>
        <v>No</v>
      </c>
      <c r="S29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95" t="str">
        <f>"Q"&amp;ROUNDUP(MONTH(Transactions_RAW_cleaned[[#This Row],[TransactionDate]])/3,0)</f>
        <v>Q4</v>
      </c>
      <c r="U295" t="str">
        <f>Transactions_RAW_cleaned[[#This Row],[Region ]]&amp;Transactions_RAW_cleaned[[#This Row],[Quarter ]]</f>
        <v>APACQ4</v>
      </c>
      <c r="V295" s="5">
        <f>_xlfn.XLOOKUP(Transactions_RAW_cleaned[[#This Row],[RegionQuarterKey]], Quarterly_Targets_cleaned[RegionQuarterKey], Quarterly_Targets_cleaned[TargetRevenue])</f>
        <v>126500</v>
      </c>
    </row>
    <row r="296" spans="1:22" x14ac:dyDescent="0.25">
      <c r="A296" t="s">
        <v>628</v>
      </c>
      <c r="B296" s="1">
        <v>45329</v>
      </c>
      <c r="C296" t="s">
        <v>195</v>
      </c>
      <c r="D296" t="s">
        <v>297</v>
      </c>
      <c r="E296">
        <v>502.41</v>
      </c>
      <c r="F296" t="s">
        <v>331</v>
      </c>
      <c r="G296" t="s">
        <v>327</v>
      </c>
      <c r="H296" t="s">
        <v>346</v>
      </c>
      <c r="I296" t="s">
        <v>8</v>
      </c>
      <c r="J296" t="s">
        <v>102</v>
      </c>
      <c r="K296" t="s">
        <v>32</v>
      </c>
      <c r="L296" t="s">
        <v>298</v>
      </c>
      <c r="M296" t="s">
        <v>299</v>
      </c>
      <c r="N296">
        <v>0</v>
      </c>
      <c r="O296" t="str">
        <f>IF(Transactions_RAW_cleaned[[#This Row],[Status]]="Completed", IFERROR(_xlfn.XLOOKUP(Transactions_RAW_cleaned[[#This Row],[CustomerID]], Customers_cleaned[CustomerID], Customers_cleaned[Segment]), "Customer Not Found"), "N/A")</f>
        <v>N/A</v>
      </c>
      <c r="P296" s="5" t="str">
        <f>IF(Transactions_RAW_cleaned[[#This Row],[Status]]="Refunded", "Refund",
  IF(Transactions_RAW_cleaned[[#This Row],[Category]]="Payments", IF(Transactions_RAW_cleaned[[#This Row],[Amount]]&gt;500,"High Value","Standard"),
    IF(Transactions_RAW_cleaned[[#This Row],[Amount]]&gt;250,"High Value","Standard")))</f>
        <v>High Value</v>
      </c>
      <c r="Q296" s="5" t="str">
        <f>IF(Transactions_RAW_cleaned[[#This Row],[Amount]] &gt; (_xlfn.XLOOKUP(Transactions_RAW_cleaned[[#This Row],[ServiceID]],Services_cleaned[ServiceID],Services_cleaned[TransactionFeePct]) * 10000), "Yes", "No")</f>
        <v>Yes</v>
      </c>
      <c r="R296" s="5" t="str">
        <f>IF(COUNTIFS($C$2:Transactions_RAW_cleaned[[#This Row],[CustomerID]],Transactions_RAW_cleaned[[#This Row],[CustomerID]],$D$2:Transactions_RAW_cleaned[[#This Row],[ServiceID]],Transactions_RAW_cleaned[[#This Row],[ServiceID]])=1,"Yes","No")</f>
        <v>Yes</v>
      </c>
      <c r="S29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96" t="str">
        <f>"Q"&amp;ROUNDUP(MONTH(Transactions_RAW_cleaned[[#This Row],[TransactionDate]])/3,0)</f>
        <v>Q1</v>
      </c>
      <c r="U296" t="str">
        <f>Transactions_RAW_cleaned[[#This Row],[Region ]]&amp;Transactions_RAW_cleaned[[#This Row],[Quarter ]]</f>
        <v>NAQ1</v>
      </c>
      <c r="V296" s="5">
        <f>_xlfn.XLOOKUP(Transactions_RAW_cleaned[[#This Row],[RegionQuarterKey]], Quarterly_Targets_cleaned[RegionQuarterKey], Quarterly_Targets_cleaned[TargetRevenue])</f>
        <v>247000</v>
      </c>
    </row>
    <row r="297" spans="1:22" x14ac:dyDescent="0.25">
      <c r="A297" t="s">
        <v>629</v>
      </c>
      <c r="B297" s="1">
        <v>45572</v>
      </c>
      <c r="C297" t="s">
        <v>11</v>
      </c>
      <c r="D297" t="s">
        <v>294</v>
      </c>
      <c r="E297">
        <v>588.36</v>
      </c>
      <c r="F297" t="s">
        <v>324</v>
      </c>
      <c r="G297" t="s">
        <v>337</v>
      </c>
      <c r="I297" t="s">
        <v>8</v>
      </c>
      <c r="J297" t="s">
        <v>13</v>
      </c>
      <c r="K297" t="s">
        <v>14</v>
      </c>
      <c r="L297" t="s">
        <v>295</v>
      </c>
      <c r="M297" t="s">
        <v>296</v>
      </c>
      <c r="N297">
        <v>2.9000000000000001E-2</v>
      </c>
      <c r="O297" t="str">
        <f>IF(Transactions_RAW_cleaned[[#This Row],[Status]]="Completed", IFERROR(_xlfn.XLOOKUP(Transactions_RAW_cleaned[[#This Row],[CustomerID]], Customers_cleaned[CustomerID], Customers_cleaned[Segment]), "Customer Not Found"), "N/A")</f>
        <v>SMB</v>
      </c>
      <c r="P297" s="5" t="str">
        <f>IF(Transactions_RAW_cleaned[[#This Row],[Status]]="Refunded", "Refund",
  IF(Transactions_RAW_cleaned[[#This Row],[Category]]="Payments", IF(Transactions_RAW_cleaned[[#This Row],[Amount]]&gt;500,"High Value","Standard"),
    IF(Transactions_RAW_cleaned[[#This Row],[Amount]]&gt;250,"High Value","Standard")))</f>
        <v>High Value</v>
      </c>
      <c r="Q297" s="5" t="str">
        <f>IF(Transactions_RAW_cleaned[[#This Row],[Amount]] &gt; (_xlfn.XLOOKUP(Transactions_RAW_cleaned[[#This Row],[ServiceID]],Services_cleaned[ServiceID],Services_cleaned[TransactionFeePct]) * 10000), "Yes", "No")</f>
        <v>Yes</v>
      </c>
      <c r="R297" s="5" t="str">
        <f>IF(COUNTIFS($C$2:Transactions_RAW_cleaned[[#This Row],[CustomerID]],Transactions_RAW_cleaned[[#This Row],[CustomerID]],$D$2:Transactions_RAW_cleaned[[#This Row],[ServiceID]],Transactions_RAW_cleaned[[#This Row],[ServiceID]])=1,"Yes","No")</f>
        <v>Yes</v>
      </c>
      <c r="S29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97" t="str">
        <f>"Q"&amp;ROUNDUP(MONTH(Transactions_RAW_cleaned[[#This Row],[TransactionDate]])/3,0)</f>
        <v>Q4</v>
      </c>
      <c r="U297" t="str">
        <f>Transactions_RAW_cleaned[[#This Row],[Region ]]&amp;Transactions_RAW_cleaned[[#This Row],[Quarter ]]</f>
        <v>NAQ4</v>
      </c>
      <c r="V297" s="5">
        <f>_xlfn.XLOOKUP(Transactions_RAW_cleaned[[#This Row],[RegionQuarterKey]], Quarterly_Targets_cleaned[RegionQuarterKey], Quarterly_Targets_cleaned[TargetRevenue])</f>
        <v>299000</v>
      </c>
    </row>
    <row r="298" spans="1:22" x14ac:dyDescent="0.25">
      <c r="A298" t="s">
        <v>630</v>
      </c>
      <c r="B298" s="1">
        <v>45580</v>
      </c>
      <c r="C298" t="s">
        <v>159</v>
      </c>
      <c r="D298" t="s">
        <v>315</v>
      </c>
      <c r="E298">
        <v>2034.81</v>
      </c>
      <c r="F298" t="s">
        <v>324</v>
      </c>
      <c r="G298" t="s">
        <v>325</v>
      </c>
      <c r="I298" t="s">
        <v>57</v>
      </c>
      <c r="J298" t="s">
        <v>25</v>
      </c>
      <c r="K298" t="s">
        <v>22</v>
      </c>
      <c r="L298" t="s">
        <v>316</v>
      </c>
      <c r="M298" t="s">
        <v>305</v>
      </c>
      <c r="N298">
        <v>2.5000000000000001E-3</v>
      </c>
      <c r="O298" t="str">
        <f>IF(Transactions_RAW_cleaned[[#This Row],[Status]]="Completed", IFERROR(_xlfn.XLOOKUP(Transactions_RAW_cleaned[[#This Row],[CustomerID]], Customers_cleaned[CustomerID], Customers_cleaned[Segment]), "Customer Not Found"), "N/A")</f>
        <v>Startup</v>
      </c>
      <c r="P298" s="5" t="str">
        <f>IF(Transactions_RAW_cleaned[[#This Row],[Status]]="Refunded", "Refund",
  IF(Transactions_RAW_cleaned[[#This Row],[Category]]="Payments", IF(Transactions_RAW_cleaned[[#This Row],[Amount]]&gt;500,"High Value","Standard"),
    IF(Transactions_RAW_cleaned[[#This Row],[Amount]]&gt;250,"High Value","Standard")))</f>
        <v>High Value</v>
      </c>
      <c r="Q298" s="5" t="str">
        <f>IF(Transactions_RAW_cleaned[[#This Row],[Amount]] &gt; (_xlfn.XLOOKUP(Transactions_RAW_cleaned[[#This Row],[ServiceID]],Services_cleaned[ServiceID],Services_cleaned[TransactionFeePct]) * 10000), "Yes", "No")</f>
        <v>Yes</v>
      </c>
      <c r="R298" s="5" t="str">
        <f>IF(COUNTIFS($C$2:Transactions_RAW_cleaned[[#This Row],[CustomerID]],Transactions_RAW_cleaned[[#This Row],[CustomerID]],$D$2:Transactions_RAW_cleaned[[#This Row],[ServiceID]],Transactions_RAW_cleaned[[#This Row],[ServiceID]])=1,"Yes","No")</f>
        <v>Yes</v>
      </c>
      <c r="S29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98" t="str">
        <f>"Q"&amp;ROUNDUP(MONTH(Transactions_RAW_cleaned[[#This Row],[TransactionDate]])/3,0)</f>
        <v>Q4</v>
      </c>
      <c r="U298" t="str">
        <f>Transactions_RAW_cleaned[[#This Row],[Region ]]&amp;Transactions_RAW_cleaned[[#This Row],[Quarter ]]</f>
        <v>APACQ4</v>
      </c>
      <c r="V298" s="5">
        <f>_xlfn.XLOOKUP(Transactions_RAW_cleaned[[#This Row],[RegionQuarterKey]], Quarterly_Targets_cleaned[RegionQuarterKey], Quarterly_Targets_cleaned[TargetRevenue])</f>
        <v>126500</v>
      </c>
    </row>
    <row r="299" spans="1:22" x14ac:dyDescent="0.25">
      <c r="A299" t="s">
        <v>631</v>
      </c>
      <c r="B299" s="1">
        <v>45348</v>
      </c>
      <c r="C299" t="s">
        <v>105</v>
      </c>
      <c r="D299" t="s">
        <v>303</v>
      </c>
      <c r="E299">
        <v>810.89</v>
      </c>
      <c r="F299" t="s">
        <v>324</v>
      </c>
      <c r="G299" t="s">
        <v>327</v>
      </c>
      <c r="H299" t="s">
        <v>334</v>
      </c>
      <c r="I299" t="s">
        <v>57</v>
      </c>
      <c r="J299" t="s">
        <v>102</v>
      </c>
      <c r="K299" t="s">
        <v>32</v>
      </c>
      <c r="L299" t="s">
        <v>304</v>
      </c>
      <c r="M299" t="s">
        <v>305</v>
      </c>
      <c r="N299">
        <v>1E-3</v>
      </c>
      <c r="O299" t="str">
        <f>IF(Transactions_RAW_cleaned[[#This Row],[Status]]="Completed", IFERROR(_xlfn.XLOOKUP(Transactions_RAW_cleaned[[#This Row],[CustomerID]], Customers_cleaned[CustomerID], Customers_cleaned[Segment]), "Customer Not Found"), "N/A")</f>
        <v>Startup</v>
      </c>
      <c r="P299" s="5" t="str">
        <f>IF(Transactions_RAW_cleaned[[#This Row],[Status]]="Refunded", "Refund",
  IF(Transactions_RAW_cleaned[[#This Row],[Category]]="Payments", IF(Transactions_RAW_cleaned[[#This Row],[Amount]]&gt;500,"High Value","Standard"),
    IF(Transactions_RAW_cleaned[[#This Row],[Amount]]&gt;250,"High Value","Standard")))</f>
        <v>High Value</v>
      </c>
      <c r="Q299" s="5" t="str">
        <f>IF(Transactions_RAW_cleaned[[#This Row],[Amount]] &gt; (_xlfn.XLOOKUP(Transactions_RAW_cleaned[[#This Row],[ServiceID]],Services_cleaned[ServiceID],Services_cleaned[TransactionFeePct]) * 10000), "Yes", "No")</f>
        <v>Yes</v>
      </c>
      <c r="R299" s="5" t="str">
        <f>IF(COUNTIFS($C$2:Transactions_RAW_cleaned[[#This Row],[CustomerID]],Transactions_RAW_cleaned[[#This Row],[CustomerID]],$D$2:Transactions_RAW_cleaned[[#This Row],[ServiceID]],Transactions_RAW_cleaned[[#This Row],[ServiceID]])=1,"Yes","No")</f>
        <v>No</v>
      </c>
      <c r="S29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99" t="str">
        <f>"Q"&amp;ROUNDUP(MONTH(Transactions_RAW_cleaned[[#This Row],[TransactionDate]])/3,0)</f>
        <v>Q1</v>
      </c>
      <c r="U299" t="str">
        <f>Transactions_RAW_cleaned[[#This Row],[Region ]]&amp;Transactions_RAW_cleaned[[#This Row],[Quarter ]]</f>
        <v>NAQ1</v>
      </c>
      <c r="V299" s="5">
        <f>_xlfn.XLOOKUP(Transactions_RAW_cleaned[[#This Row],[RegionQuarterKey]], Quarterly_Targets_cleaned[RegionQuarterKey], Quarterly_Targets_cleaned[TargetRevenue])</f>
        <v>247000</v>
      </c>
    </row>
    <row r="300" spans="1:22" x14ac:dyDescent="0.25">
      <c r="A300" t="s">
        <v>632</v>
      </c>
      <c r="B300" s="1">
        <v>45307</v>
      </c>
      <c r="C300" t="s">
        <v>231</v>
      </c>
      <c r="D300" t="s">
        <v>303</v>
      </c>
      <c r="E300">
        <v>371.02</v>
      </c>
      <c r="F300" t="s">
        <v>324</v>
      </c>
      <c r="G300" t="s">
        <v>325</v>
      </c>
      <c r="I300" t="s">
        <v>17</v>
      </c>
      <c r="J300" t="s">
        <v>102</v>
      </c>
      <c r="K300" t="s">
        <v>22</v>
      </c>
      <c r="L300" t="s">
        <v>304</v>
      </c>
      <c r="M300" t="s">
        <v>305</v>
      </c>
      <c r="N300">
        <v>1E-3</v>
      </c>
      <c r="O300" t="str">
        <f>IF(Transactions_RAW_cleaned[[#This Row],[Status]]="Completed", IFERROR(_xlfn.XLOOKUP(Transactions_RAW_cleaned[[#This Row],[CustomerID]], Customers_cleaned[CustomerID], Customers_cleaned[Segment]), "Customer Not Found"), "N/A")</f>
        <v>Enterprise</v>
      </c>
      <c r="P300" s="5" t="str">
        <f>IF(Transactions_RAW_cleaned[[#This Row],[Status]]="Refunded", "Refund",
  IF(Transactions_RAW_cleaned[[#This Row],[Category]]="Payments", IF(Transactions_RAW_cleaned[[#This Row],[Amount]]&gt;500,"High Value","Standard"),
    IF(Transactions_RAW_cleaned[[#This Row],[Amount]]&gt;250,"High Value","Standard")))</f>
        <v>High Value</v>
      </c>
      <c r="Q300" s="5" t="str">
        <f>IF(Transactions_RAW_cleaned[[#This Row],[Amount]] &gt; (_xlfn.XLOOKUP(Transactions_RAW_cleaned[[#This Row],[ServiceID]],Services_cleaned[ServiceID],Services_cleaned[TransactionFeePct]) * 10000), "Yes", "No")</f>
        <v>Yes</v>
      </c>
      <c r="R300" s="5" t="str">
        <f>IF(COUNTIFS($C$2:Transactions_RAW_cleaned[[#This Row],[CustomerID]],Transactions_RAW_cleaned[[#This Row],[CustomerID]],$D$2:Transactions_RAW_cleaned[[#This Row],[ServiceID]],Transactions_RAW_cleaned[[#This Row],[ServiceID]])=1,"Yes","No")</f>
        <v>No</v>
      </c>
      <c r="S30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00" t="str">
        <f>"Q"&amp;ROUNDUP(MONTH(Transactions_RAW_cleaned[[#This Row],[TransactionDate]])/3,0)</f>
        <v>Q1</v>
      </c>
      <c r="U300" t="str">
        <f>Transactions_RAW_cleaned[[#This Row],[Region ]]&amp;Transactions_RAW_cleaned[[#This Row],[Quarter ]]</f>
        <v>NAQ1</v>
      </c>
      <c r="V300" s="5">
        <f>_xlfn.XLOOKUP(Transactions_RAW_cleaned[[#This Row],[RegionQuarterKey]], Quarterly_Targets_cleaned[RegionQuarterKey], Quarterly_Targets_cleaned[TargetRevenue])</f>
        <v>247000</v>
      </c>
    </row>
    <row r="301" spans="1:22" x14ac:dyDescent="0.25">
      <c r="A301" t="s">
        <v>633</v>
      </c>
      <c r="B301" s="1">
        <v>45378</v>
      </c>
      <c r="C301" t="s">
        <v>107</v>
      </c>
      <c r="D301" t="s">
        <v>306</v>
      </c>
      <c r="E301">
        <v>1248.56</v>
      </c>
      <c r="F301" t="s">
        <v>324</v>
      </c>
      <c r="G301" t="s">
        <v>327</v>
      </c>
      <c r="I301" t="s">
        <v>17</v>
      </c>
      <c r="J301" t="s">
        <v>102</v>
      </c>
      <c r="K301" t="s">
        <v>22</v>
      </c>
      <c r="L301" t="s">
        <v>307</v>
      </c>
      <c r="M301" t="s">
        <v>308</v>
      </c>
      <c r="N301">
        <v>0</v>
      </c>
      <c r="O301" t="str">
        <f>IF(Transactions_RAW_cleaned[[#This Row],[Status]]="Completed", IFERROR(_xlfn.XLOOKUP(Transactions_RAW_cleaned[[#This Row],[CustomerID]], Customers_cleaned[CustomerID], Customers_cleaned[Segment]), "Customer Not Found"), "N/A")</f>
        <v>Enterprise</v>
      </c>
      <c r="P301" s="5" t="str">
        <f>IF(Transactions_RAW_cleaned[[#This Row],[Status]]="Refunded", "Refund",
  IF(Transactions_RAW_cleaned[[#This Row],[Category]]="Payments", IF(Transactions_RAW_cleaned[[#This Row],[Amount]]&gt;500,"High Value","Standard"),
    IF(Transactions_RAW_cleaned[[#This Row],[Amount]]&gt;250,"High Value","Standard")))</f>
        <v>High Value</v>
      </c>
      <c r="Q301" s="5" t="str">
        <f>IF(Transactions_RAW_cleaned[[#This Row],[Amount]] &gt; (_xlfn.XLOOKUP(Transactions_RAW_cleaned[[#This Row],[ServiceID]],Services_cleaned[ServiceID],Services_cleaned[TransactionFeePct]) * 10000), "Yes", "No")</f>
        <v>Yes</v>
      </c>
      <c r="R301" s="5" t="str">
        <f>IF(COUNTIFS($C$2:Transactions_RAW_cleaned[[#This Row],[CustomerID]],Transactions_RAW_cleaned[[#This Row],[CustomerID]],$D$2:Transactions_RAW_cleaned[[#This Row],[ServiceID]],Transactions_RAW_cleaned[[#This Row],[ServiceID]])=1,"Yes","No")</f>
        <v>No</v>
      </c>
      <c r="S30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01" t="str">
        <f>"Q"&amp;ROUNDUP(MONTH(Transactions_RAW_cleaned[[#This Row],[TransactionDate]])/3,0)</f>
        <v>Q1</v>
      </c>
      <c r="U301" t="str">
        <f>Transactions_RAW_cleaned[[#This Row],[Region ]]&amp;Transactions_RAW_cleaned[[#This Row],[Quarter ]]</f>
        <v>NAQ1</v>
      </c>
      <c r="V301" s="5">
        <f>_xlfn.XLOOKUP(Transactions_RAW_cleaned[[#This Row],[RegionQuarterKey]], Quarterly_Targets_cleaned[RegionQuarterKey], Quarterly_Targets_cleaned[TargetRevenue])</f>
        <v>247000</v>
      </c>
    </row>
    <row r="302" spans="1:22" x14ac:dyDescent="0.25">
      <c r="A302" t="s">
        <v>634</v>
      </c>
      <c r="B302" s="1">
        <v>45319</v>
      </c>
      <c r="C302" t="s">
        <v>76</v>
      </c>
      <c r="D302" t="s">
        <v>312</v>
      </c>
      <c r="E302">
        <v>352.33</v>
      </c>
      <c r="F302" t="s">
        <v>324</v>
      </c>
      <c r="G302" t="s">
        <v>329</v>
      </c>
      <c r="H302" t="s">
        <v>346</v>
      </c>
      <c r="I302" t="s">
        <v>17</v>
      </c>
      <c r="J302" t="s">
        <v>13</v>
      </c>
      <c r="K302" t="s">
        <v>18</v>
      </c>
      <c r="L302" t="s">
        <v>313</v>
      </c>
      <c r="M302" t="s">
        <v>314</v>
      </c>
      <c r="N302">
        <v>0</v>
      </c>
      <c r="O302" t="str">
        <f>IF(Transactions_RAW_cleaned[[#This Row],[Status]]="Completed", IFERROR(_xlfn.XLOOKUP(Transactions_RAW_cleaned[[#This Row],[CustomerID]], Customers_cleaned[CustomerID], Customers_cleaned[Segment]), "Customer Not Found"), "N/A")</f>
        <v>Enterprise</v>
      </c>
      <c r="P302" s="5" t="str">
        <f>IF(Transactions_RAW_cleaned[[#This Row],[Status]]="Refunded", "Refund",
  IF(Transactions_RAW_cleaned[[#This Row],[Category]]="Payments", IF(Transactions_RAW_cleaned[[#This Row],[Amount]]&gt;500,"High Value","Standard"),
    IF(Transactions_RAW_cleaned[[#This Row],[Amount]]&gt;250,"High Value","Standard")))</f>
        <v>High Value</v>
      </c>
      <c r="Q302" s="5" t="str">
        <f>IF(Transactions_RAW_cleaned[[#This Row],[Amount]] &gt; (_xlfn.XLOOKUP(Transactions_RAW_cleaned[[#This Row],[ServiceID]],Services_cleaned[ServiceID],Services_cleaned[TransactionFeePct]) * 10000), "Yes", "No")</f>
        <v>Yes</v>
      </c>
      <c r="R302" s="5" t="str">
        <f>IF(COUNTIFS($C$2:Transactions_RAW_cleaned[[#This Row],[CustomerID]],Transactions_RAW_cleaned[[#This Row],[CustomerID]],$D$2:Transactions_RAW_cleaned[[#This Row],[ServiceID]],Transactions_RAW_cleaned[[#This Row],[ServiceID]])=1,"Yes","No")</f>
        <v>Yes</v>
      </c>
      <c r="S30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02" t="str">
        <f>"Q"&amp;ROUNDUP(MONTH(Transactions_RAW_cleaned[[#This Row],[TransactionDate]])/3,0)</f>
        <v>Q1</v>
      </c>
      <c r="U302" t="str">
        <f>Transactions_RAW_cleaned[[#This Row],[Region ]]&amp;Transactions_RAW_cleaned[[#This Row],[Quarter ]]</f>
        <v>NAQ1</v>
      </c>
      <c r="V302" s="5">
        <f>_xlfn.XLOOKUP(Transactions_RAW_cleaned[[#This Row],[RegionQuarterKey]], Quarterly_Targets_cleaned[RegionQuarterKey], Quarterly_Targets_cleaned[TargetRevenue])</f>
        <v>247000</v>
      </c>
    </row>
    <row r="303" spans="1:22" x14ac:dyDescent="0.25">
      <c r="A303" t="s">
        <v>635</v>
      </c>
      <c r="B303" s="1">
        <v>45476</v>
      </c>
      <c r="C303" t="s">
        <v>119</v>
      </c>
      <c r="D303" t="s">
        <v>309</v>
      </c>
      <c r="E303">
        <v>114.04</v>
      </c>
      <c r="F303" t="s">
        <v>324</v>
      </c>
      <c r="G303" t="s">
        <v>327</v>
      </c>
      <c r="H303" t="s">
        <v>346</v>
      </c>
      <c r="I303" t="s">
        <v>57</v>
      </c>
      <c r="J303" t="s">
        <v>102</v>
      </c>
      <c r="K303" t="s">
        <v>18</v>
      </c>
      <c r="L303" t="s">
        <v>310</v>
      </c>
      <c r="M303" t="s">
        <v>311</v>
      </c>
      <c r="N303">
        <v>0</v>
      </c>
      <c r="O303" t="str">
        <f>IF(Transactions_RAW_cleaned[[#This Row],[Status]]="Completed", IFERROR(_xlfn.XLOOKUP(Transactions_RAW_cleaned[[#This Row],[CustomerID]], Customers_cleaned[CustomerID], Customers_cleaned[Segment]), "Customer Not Found"), "N/A")</f>
        <v>Startup</v>
      </c>
      <c r="P303" s="5" t="str">
        <f>IF(Transactions_RAW_cleaned[[#This Row],[Status]]="Refunded", "Refund",
  IF(Transactions_RAW_cleaned[[#This Row],[Category]]="Payments", IF(Transactions_RAW_cleaned[[#This Row],[Amount]]&gt;500,"High Value","Standard"),
    IF(Transactions_RAW_cleaned[[#This Row],[Amount]]&gt;250,"High Value","Standard")))</f>
        <v>Standard</v>
      </c>
      <c r="Q303" s="5" t="str">
        <f>IF(Transactions_RAW_cleaned[[#This Row],[Amount]] &gt; (_xlfn.XLOOKUP(Transactions_RAW_cleaned[[#This Row],[ServiceID]],Services_cleaned[ServiceID],Services_cleaned[TransactionFeePct]) * 10000), "Yes", "No")</f>
        <v>Yes</v>
      </c>
      <c r="R303" s="5" t="str">
        <f>IF(COUNTIFS($C$2:Transactions_RAW_cleaned[[#This Row],[CustomerID]],Transactions_RAW_cleaned[[#This Row],[CustomerID]],$D$2:Transactions_RAW_cleaned[[#This Row],[ServiceID]],Transactions_RAW_cleaned[[#This Row],[ServiceID]])=1,"Yes","No")</f>
        <v>Yes</v>
      </c>
      <c r="S30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03" t="str">
        <f>"Q"&amp;ROUNDUP(MONTH(Transactions_RAW_cleaned[[#This Row],[TransactionDate]])/3,0)</f>
        <v>Q3</v>
      </c>
      <c r="U303" t="str">
        <f>Transactions_RAW_cleaned[[#This Row],[Region ]]&amp;Transactions_RAW_cleaned[[#This Row],[Quarter ]]</f>
        <v>NAQ3</v>
      </c>
      <c r="V303" s="5">
        <f>_xlfn.XLOOKUP(Transactions_RAW_cleaned[[#This Row],[RegionQuarterKey]], Quarterly_Targets_cleaned[RegionQuarterKey], Quarterly_Targets_cleaned[TargetRevenue])</f>
        <v>273000</v>
      </c>
    </row>
    <row r="304" spans="1:22" x14ac:dyDescent="0.25">
      <c r="A304" t="s">
        <v>636</v>
      </c>
      <c r="B304" s="1">
        <v>45388</v>
      </c>
      <c r="C304" t="s">
        <v>165</v>
      </c>
      <c r="D304" t="s">
        <v>306</v>
      </c>
      <c r="E304">
        <v>1000.11</v>
      </c>
      <c r="F304" t="s">
        <v>324</v>
      </c>
      <c r="G304" t="s">
        <v>325</v>
      </c>
      <c r="I304" t="s">
        <v>8</v>
      </c>
      <c r="J304" t="s">
        <v>31</v>
      </c>
      <c r="K304" t="s">
        <v>32</v>
      </c>
      <c r="L304" t="s">
        <v>307</v>
      </c>
      <c r="M304" t="s">
        <v>308</v>
      </c>
      <c r="N304">
        <v>0</v>
      </c>
      <c r="O304" t="str">
        <f>IF(Transactions_RAW_cleaned[[#This Row],[Status]]="Completed", IFERROR(_xlfn.XLOOKUP(Transactions_RAW_cleaned[[#This Row],[CustomerID]], Customers_cleaned[CustomerID], Customers_cleaned[Segment]), "Customer Not Found"), "N/A")</f>
        <v>SMB</v>
      </c>
      <c r="P304" s="5" t="str">
        <f>IF(Transactions_RAW_cleaned[[#This Row],[Status]]="Refunded", "Refund",
  IF(Transactions_RAW_cleaned[[#This Row],[Category]]="Payments", IF(Transactions_RAW_cleaned[[#This Row],[Amount]]&gt;500,"High Value","Standard"),
    IF(Transactions_RAW_cleaned[[#This Row],[Amount]]&gt;250,"High Value","Standard")))</f>
        <v>High Value</v>
      </c>
      <c r="Q304" s="5" t="str">
        <f>IF(Transactions_RAW_cleaned[[#This Row],[Amount]] &gt; (_xlfn.XLOOKUP(Transactions_RAW_cleaned[[#This Row],[ServiceID]],Services_cleaned[ServiceID],Services_cleaned[TransactionFeePct]) * 10000), "Yes", "No")</f>
        <v>Yes</v>
      </c>
      <c r="R304" s="5" t="str">
        <f>IF(COUNTIFS($C$2:Transactions_RAW_cleaned[[#This Row],[CustomerID]],Transactions_RAW_cleaned[[#This Row],[CustomerID]],$D$2:Transactions_RAW_cleaned[[#This Row],[ServiceID]],Transactions_RAW_cleaned[[#This Row],[ServiceID]])=1,"Yes","No")</f>
        <v>No</v>
      </c>
      <c r="S30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304" t="str">
        <f>"Q"&amp;ROUNDUP(MONTH(Transactions_RAW_cleaned[[#This Row],[TransactionDate]])/3,0)</f>
        <v>Q2</v>
      </c>
      <c r="U304" t="str">
        <f>Transactions_RAW_cleaned[[#This Row],[Region ]]&amp;Transactions_RAW_cleaned[[#This Row],[Quarter ]]</f>
        <v>EMEAQ2</v>
      </c>
      <c r="V304" s="5">
        <f>_xlfn.XLOOKUP(Transactions_RAW_cleaned[[#This Row],[RegionQuarterKey]], Quarterly_Targets_cleaned[RegionQuarterKey], Quarterly_Targets_cleaned[TargetRevenue])</f>
        <v>140000</v>
      </c>
    </row>
    <row r="305" spans="1:22" x14ac:dyDescent="0.25">
      <c r="A305" t="s">
        <v>637</v>
      </c>
      <c r="B305" s="1">
        <v>45582</v>
      </c>
      <c r="C305" t="s">
        <v>205</v>
      </c>
      <c r="D305" t="s">
        <v>297</v>
      </c>
      <c r="E305">
        <v>222.44</v>
      </c>
      <c r="F305" t="s">
        <v>324</v>
      </c>
      <c r="G305" t="s">
        <v>327</v>
      </c>
      <c r="I305" t="s">
        <v>8</v>
      </c>
      <c r="J305" t="s">
        <v>21</v>
      </c>
      <c r="K305" t="s">
        <v>14</v>
      </c>
      <c r="L305" t="s">
        <v>298</v>
      </c>
      <c r="M305" t="s">
        <v>299</v>
      </c>
      <c r="N305">
        <v>0</v>
      </c>
      <c r="O305" t="str">
        <f>IF(Transactions_RAW_cleaned[[#This Row],[Status]]="Completed", IFERROR(_xlfn.XLOOKUP(Transactions_RAW_cleaned[[#This Row],[CustomerID]], Customers_cleaned[CustomerID], Customers_cleaned[Segment]), "Customer Not Found"), "N/A")</f>
        <v>SMB</v>
      </c>
      <c r="P305" s="5" t="str">
        <f>IF(Transactions_RAW_cleaned[[#This Row],[Status]]="Refunded", "Refund",
  IF(Transactions_RAW_cleaned[[#This Row],[Category]]="Payments", IF(Transactions_RAW_cleaned[[#This Row],[Amount]]&gt;500,"High Value","Standard"),
    IF(Transactions_RAW_cleaned[[#This Row],[Amount]]&gt;250,"High Value","Standard")))</f>
        <v>Standard</v>
      </c>
      <c r="Q305" s="5" t="str">
        <f>IF(Transactions_RAW_cleaned[[#This Row],[Amount]] &gt; (_xlfn.XLOOKUP(Transactions_RAW_cleaned[[#This Row],[ServiceID]],Services_cleaned[ServiceID],Services_cleaned[TransactionFeePct]) * 10000), "Yes", "No")</f>
        <v>Yes</v>
      </c>
      <c r="R305" s="5" t="str">
        <f>IF(COUNTIFS($C$2:Transactions_RAW_cleaned[[#This Row],[CustomerID]],Transactions_RAW_cleaned[[#This Row],[CustomerID]],$D$2:Transactions_RAW_cleaned[[#This Row],[ServiceID]],Transactions_RAW_cleaned[[#This Row],[ServiceID]])=1,"Yes","No")</f>
        <v>Yes</v>
      </c>
      <c r="S30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305" t="str">
        <f>"Q"&amp;ROUNDUP(MONTH(Transactions_RAW_cleaned[[#This Row],[TransactionDate]])/3,0)</f>
        <v>Q4</v>
      </c>
      <c r="U305" t="str">
        <f>Transactions_RAW_cleaned[[#This Row],[Region ]]&amp;Transactions_RAW_cleaned[[#This Row],[Quarter ]]</f>
        <v>APACQ4</v>
      </c>
      <c r="V305" s="5">
        <f>_xlfn.XLOOKUP(Transactions_RAW_cleaned[[#This Row],[RegionQuarterKey]], Quarterly_Targets_cleaned[RegionQuarterKey], Quarterly_Targets_cleaned[TargetRevenue])</f>
        <v>126500</v>
      </c>
    </row>
    <row r="306" spans="1:22" x14ac:dyDescent="0.25">
      <c r="A306" t="s">
        <v>638</v>
      </c>
      <c r="B306" s="1">
        <v>45566</v>
      </c>
      <c r="C306" t="s">
        <v>269</v>
      </c>
      <c r="D306" t="s">
        <v>309</v>
      </c>
      <c r="E306">
        <v>1005.06</v>
      </c>
      <c r="F306" t="s">
        <v>324</v>
      </c>
      <c r="G306" t="s">
        <v>325</v>
      </c>
      <c r="H306" t="s">
        <v>346</v>
      </c>
      <c r="I306" t="s">
        <v>17</v>
      </c>
      <c r="J306" t="s">
        <v>31</v>
      </c>
      <c r="K306" t="s">
        <v>32</v>
      </c>
      <c r="L306" t="s">
        <v>310</v>
      </c>
      <c r="M306" t="s">
        <v>311</v>
      </c>
      <c r="N306">
        <v>0</v>
      </c>
      <c r="O306" t="str">
        <f>IF(Transactions_RAW_cleaned[[#This Row],[Status]]="Completed", IFERROR(_xlfn.XLOOKUP(Transactions_RAW_cleaned[[#This Row],[CustomerID]], Customers_cleaned[CustomerID], Customers_cleaned[Segment]), "Customer Not Found"), "N/A")</f>
        <v>Enterprise</v>
      </c>
      <c r="P306" s="5" t="str">
        <f>IF(Transactions_RAW_cleaned[[#This Row],[Status]]="Refunded", "Refund",
  IF(Transactions_RAW_cleaned[[#This Row],[Category]]="Payments", IF(Transactions_RAW_cleaned[[#This Row],[Amount]]&gt;500,"High Value","Standard"),
    IF(Transactions_RAW_cleaned[[#This Row],[Amount]]&gt;250,"High Value","Standard")))</f>
        <v>High Value</v>
      </c>
      <c r="Q306" s="5" t="str">
        <f>IF(Transactions_RAW_cleaned[[#This Row],[Amount]] &gt; (_xlfn.XLOOKUP(Transactions_RAW_cleaned[[#This Row],[ServiceID]],Services_cleaned[ServiceID],Services_cleaned[TransactionFeePct]) * 10000), "Yes", "No")</f>
        <v>Yes</v>
      </c>
      <c r="R306" s="5" t="str">
        <f>IF(COUNTIFS($C$2:Transactions_RAW_cleaned[[#This Row],[CustomerID]],Transactions_RAW_cleaned[[#This Row],[CustomerID]],$D$2:Transactions_RAW_cleaned[[#This Row],[ServiceID]],Transactions_RAW_cleaned[[#This Row],[ServiceID]])=1,"Yes","No")</f>
        <v>Yes</v>
      </c>
      <c r="S30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306" t="str">
        <f>"Q"&amp;ROUNDUP(MONTH(Transactions_RAW_cleaned[[#This Row],[TransactionDate]])/3,0)</f>
        <v>Q4</v>
      </c>
      <c r="U306" t="str">
        <f>Transactions_RAW_cleaned[[#This Row],[Region ]]&amp;Transactions_RAW_cleaned[[#This Row],[Quarter ]]</f>
        <v>EMEAQ4</v>
      </c>
      <c r="V306" s="5">
        <f>_xlfn.XLOOKUP(Transactions_RAW_cleaned[[#This Row],[RegionQuarterKey]], Quarterly_Targets_cleaned[RegionQuarterKey], Quarterly_Targets_cleaned[TargetRevenue])</f>
        <v>161000</v>
      </c>
    </row>
    <row r="307" spans="1:22" x14ac:dyDescent="0.25">
      <c r="A307" t="s">
        <v>639</v>
      </c>
      <c r="B307" s="1">
        <v>45600</v>
      </c>
      <c r="C307" t="s">
        <v>243</v>
      </c>
      <c r="D307" t="s">
        <v>294</v>
      </c>
      <c r="E307">
        <v>191.93</v>
      </c>
      <c r="F307" t="s">
        <v>381</v>
      </c>
      <c r="G307" t="s">
        <v>327</v>
      </c>
      <c r="I307" t="s">
        <v>17</v>
      </c>
      <c r="J307" t="s">
        <v>13</v>
      </c>
      <c r="K307" t="s">
        <v>28</v>
      </c>
      <c r="L307" t="s">
        <v>295</v>
      </c>
      <c r="M307" t="s">
        <v>296</v>
      </c>
      <c r="N307">
        <v>2.9000000000000001E-2</v>
      </c>
      <c r="O307" t="str">
        <f>IF(Transactions_RAW_cleaned[[#This Row],[Status]]="Completed", IFERROR(_xlfn.XLOOKUP(Transactions_RAW_cleaned[[#This Row],[CustomerID]], Customers_cleaned[CustomerID], Customers_cleaned[Segment]), "Customer Not Found"), "N/A")</f>
        <v>N/A</v>
      </c>
      <c r="P307" s="5" t="str">
        <f>IF(Transactions_RAW_cleaned[[#This Row],[Status]]="Refunded", "Refund",
  IF(Transactions_RAW_cleaned[[#This Row],[Category]]="Payments", IF(Transactions_RAW_cleaned[[#This Row],[Amount]]&gt;500,"High Value","Standard"),
    IF(Transactions_RAW_cleaned[[#This Row],[Amount]]&gt;250,"High Value","Standard")))</f>
        <v>Standard</v>
      </c>
      <c r="Q307" s="5" t="str">
        <f>IF(Transactions_RAW_cleaned[[#This Row],[Amount]] &gt; (_xlfn.XLOOKUP(Transactions_RAW_cleaned[[#This Row],[ServiceID]],Services_cleaned[ServiceID],Services_cleaned[TransactionFeePct]) * 10000), "Yes", "No")</f>
        <v>No</v>
      </c>
      <c r="R307" s="5" t="str">
        <f>IF(COUNTIFS($C$2:Transactions_RAW_cleaned[[#This Row],[CustomerID]],Transactions_RAW_cleaned[[#This Row],[CustomerID]],$D$2:Transactions_RAW_cleaned[[#This Row],[ServiceID]],Transactions_RAW_cleaned[[#This Row],[ServiceID]])=1,"Yes","No")</f>
        <v>No</v>
      </c>
      <c r="S30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07" t="str">
        <f>"Q"&amp;ROUNDUP(MONTH(Transactions_RAW_cleaned[[#This Row],[TransactionDate]])/3,0)</f>
        <v>Q4</v>
      </c>
      <c r="U307" t="str">
        <f>Transactions_RAW_cleaned[[#This Row],[Region ]]&amp;Transactions_RAW_cleaned[[#This Row],[Quarter ]]</f>
        <v>NAQ4</v>
      </c>
      <c r="V307" s="5">
        <f>_xlfn.XLOOKUP(Transactions_RAW_cleaned[[#This Row],[RegionQuarterKey]], Quarterly_Targets_cleaned[RegionQuarterKey], Quarterly_Targets_cleaned[TargetRevenue])</f>
        <v>299000</v>
      </c>
    </row>
    <row r="308" spans="1:22" x14ac:dyDescent="0.25">
      <c r="A308" t="s">
        <v>640</v>
      </c>
      <c r="B308" s="1">
        <v>45378</v>
      </c>
      <c r="C308" t="s">
        <v>641</v>
      </c>
      <c r="D308" t="s">
        <v>306</v>
      </c>
      <c r="E308">
        <v>230.95</v>
      </c>
      <c r="F308" t="s">
        <v>381</v>
      </c>
      <c r="G308" t="s">
        <v>325</v>
      </c>
      <c r="H308" t="s">
        <v>346</v>
      </c>
      <c r="I308" t="s">
        <v>8</v>
      </c>
      <c r="J308" t="s">
        <v>13</v>
      </c>
      <c r="K308" t="s">
        <v>22</v>
      </c>
      <c r="L308" t="s">
        <v>307</v>
      </c>
      <c r="M308" t="s">
        <v>308</v>
      </c>
      <c r="N308">
        <v>0</v>
      </c>
      <c r="O308" t="str">
        <f>IF(Transactions_RAW_cleaned[[#This Row],[Status]]="Completed", IFERROR(_xlfn.XLOOKUP(Transactions_RAW_cleaned[[#This Row],[CustomerID]], Customers_cleaned[CustomerID], Customers_cleaned[Segment]), "Customer Not Found"), "N/A")</f>
        <v>N/A</v>
      </c>
      <c r="P308" s="5" t="str">
        <f>IF(Transactions_RAW_cleaned[[#This Row],[Status]]="Refunded", "Refund",
  IF(Transactions_RAW_cleaned[[#This Row],[Category]]="Payments", IF(Transactions_RAW_cleaned[[#This Row],[Amount]]&gt;500,"High Value","Standard"),
    IF(Transactions_RAW_cleaned[[#This Row],[Amount]]&gt;250,"High Value","Standard")))</f>
        <v>Standard</v>
      </c>
      <c r="Q308" s="5" t="str">
        <f>IF(Transactions_RAW_cleaned[[#This Row],[Amount]] &gt; (_xlfn.XLOOKUP(Transactions_RAW_cleaned[[#This Row],[ServiceID]],Services_cleaned[ServiceID],Services_cleaned[TransactionFeePct]) * 10000), "Yes", "No")</f>
        <v>Yes</v>
      </c>
      <c r="R308" s="5" t="str">
        <f>IF(COUNTIFS($C$2:Transactions_RAW_cleaned[[#This Row],[CustomerID]],Transactions_RAW_cleaned[[#This Row],[CustomerID]],$D$2:Transactions_RAW_cleaned[[#This Row],[ServiceID]],Transactions_RAW_cleaned[[#This Row],[ServiceID]])=1,"Yes","No")</f>
        <v>Yes</v>
      </c>
      <c r="S30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08" t="str">
        <f>"Q"&amp;ROUNDUP(MONTH(Transactions_RAW_cleaned[[#This Row],[TransactionDate]])/3,0)</f>
        <v>Q1</v>
      </c>
      <c r="U308" t="str">
        <f>Transactions_RAW_cleaned[[#This Row],[Region ]]&amp;Transactions_RAW_cleaned[[#This Row],[Quarter ]]</f>
        <v>NAQ1</v>
      </c>
      <c r="V308" s="5">
        <f>_xlfn.XLOOKUP(Transactions_RAW_cleaned[[#This Row],[RegionQuarterKey]], Quarterly_Targets_cleaned[RegionQuarterKey], Quarterly_Targets_cleaned[TargetRevenue])</f>
        <v>247000</v>
      </c>
    </row>
    <row r="309" spans="1:22" x14ac:dyDescent="0.25">
      <c r="A309" t="s">
        <v>642</v>
      </c>
      <c r="B309" s="1">
        <v>45618</v>
      </c>
      <c r="C309" t="s">
        <v>231</v>
      </c>
      <c r="D309" t="s">
        <v>309</v>
      </c>
      <c r="E309">
        <v>412.21</v>
      </c>
      <c r="F309" t="s">
        <v>324</v>
      </c>
      <c r="G309" t="s">
        <v>329</v>
      </c>
      <c r="H309" t="s">
        <v>346</v>
      </c>
      <c r="I309" t="s">
        <v>17</v>
      </c>
      <c r="J309" t="s">
        <v>102</v>
      </c>
      <c r="K309" t="s">
        <v>22</v>
      </c>
      <c r="L309" t="s">
        <v>310</v>
      </c>
      <c r="M309" t="s">
        <v>311</v>
      </c>
      <c r="N309">
        <v>0</v>
      </c>
      <c r="O309" t="str">
        <f>IF(Transactions_RAW_cleaned[[#This Row],[Status]]="Completed", IFERROR(_xlfn.XLOOKUP(Transactions_RAW_cleaned[[#This Row],[CustomerID]], Customers_cleaned[CustomerID], Customers_cleaned[Segment]), "Customer Not Found"), "N/A")</f>
        <v>Enterprise</v>
      </c>
      <c r="P309" s="5" t="str">
        <f>IF(Transactions_RAW_cleaned[[#This Row],[Status]]="Refunded", "Refund",
  IF(Transactions_RAW_cleaned[[#This Row],[Category]]="Payments", IF(Transactions_RAW_cleaned[[#This Row],[Amount]]&gt;500,"High Value","Standard"),
    IF(Transactions_RAW_cleaned[[#This Row],[Amount]]&gt;250,"High Value","Standard")))</f>
        <v>High Value</v>
      </c>
      <c r="Q309" s="5" t="str">
        <f>IF(Transactions_RAW_cleaned[[#This Row],[Amount]] &gt; (_xlfn.XLOOKUP(Transactions_RAW_cleaned[[#This Row],[ServiceID]],Services_cleaned[ServiceID],Services_cleaned[TransactionFeePct]) * 10000), "Yes", "No")</f>
        <v>Yes</v>
      </c>
      <c r="R309" s="5" t="str">
        <f>IF(COUNTIFS($C$2:Transactions_RAW_cleaned[[#This Row],[CustomerID]],Transactions_RAW_cleaned[[#This Row],[CustomerID]],$D$2:Transactions_RAW_cleaned[[#This Row],[ServiceID]],Transactions_RAW_cleaned[[#This Row],[ServiceID]])=1,"Yes","No")</f>
        <v>Yes</v>
      </c>
      <c r="S30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09" t="str">
        <f>"Q"&amp;ROUNDUP(MONTH(Transactions_RAW_cleaned[[#This Row],[TransactionDate]])/3,0)</f>
        <v>Q4</v>
      </c>
      <c r="U309" t="str">
        <f>Transactions_RAW_cleaned[[#This Row],[Region ]]&amp;Transactions_RAW_cleaned[[#This Row],[Quarter ]]</f>
        <v>NAQ4</v>
      </c>
      <c r="V309" s="5">
        <f>_xlfn.XLOOKUP(Transactions_RAW_cleaned[[#This Row],[RegionQuarterKey]], Quarterly_Targets_cleaned[RegionQuarterKey], Quarterly_Targets_cleaned[TargetRevenue])</f>
        <v>299000</v>
      </c>
    </row>
    <row r="310" spans="1:22" x14ac:dyDescent="0.25">
      <c r="A310" t="s">
        <v>643</v>
      </c>
      <c r="B310" s="1">
        <v>45302</v>
      </c>
      <c r="C310" t="s">
        <v>6</v>
      </c>
      <c r="D310" t="s">
        <v>294</v>
      </c>
      <c r="E310">
        <v>372.1</v>
      </c>
      <c r="F310" t="s">
        <v>324</v>
      </c>
      <c r="G310" t="s">
        <v>327</v>
      </c>
      <c r="H310" t="s">
        <v>332</v>
      </c>
      <c r="I310" t="s">
        <v>8</v>
      </c>
      <c r="J310" t="s">
        <v>102</v>
      </c>
      <c r="K310" t="s">
        <v>10</v>
      </c>
      <c r="L310" t="s">
        <v>295</v>
      </c>
      <c r="M310" t="s">
        <v>296</v>
      </c>
      <c r="N310">
        <v>2.9000000000000001E-2</v>
      </c>
      <c r="O310" t="str">
        <f>IF(Transactions_RAW_cleaned[[#This Row],[Status]]="Completed", IFERROR(_xlfn.XLOOKUP(Transactions_RAW_cleaned[[#This Row],[CustomerID]], Customers_cleaned[CustomerID], Customers_cleaned[Segment]), "Customer Not Found"), "N/A")</f>
        <v>SMB</v>
      </c>
      <c r="P310" s="5" t="str">
        <f>IF(Transactions_RAW_cleaned[[#This Row],[Status]]="Refunded", "Refund",
  IF(Transactions_RAW_cleaned[[#This Row],[Category]]="Payments", IF(Transactions_RAW_cleaned[[#This Row],[Amount]]&gt;500,"High Value","Standard"),
    IF(Transactions_RAW_cleaned[[#This Row],[Amount]]&gt;250,"High Value","Standard")))</f>
        <v>Standard</v>
      </c>
      <c r="Q310" s="5" t="str">
        <f>IF(Transactions_RAW_cleaned[[#This Row],[Amount]] &gt; (_xlfn.XLOOKUP(Transactions_RAW_cleaned[[#This Row],[ServiceID]],Services_cleaned[ServiceID],Services_cleaned[TransactionFeePct]) * 10000), "Yes", "No")</f>
        <v>Yes</v>
      </c>
      <c r="R310" s="5" t="str">
        <f>IF(COUNTIFS($C$2:Transactions_RAW_cleaned[[#This Row],[CustomerID]],Transactions_RAW_cleaned[[#This Row],[CustomerID]],$D$2:Transactions_RAW_cleaned[[#This Row],[ServiceID]],Transactions_RAW_cleaned[[#This Row],[ServiceID]])=1,"Yes","No")</f>
        <v>Yes</v>
      </c>
      <c r="S31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10" t="str">
        <f>"Q"&amp;ROUNDUP(MONTH(Transactions_RAW_cleaned[[#This Row],[TransactionDate]])/3,0)</f>
        <v>Q1</v>
      </c>
      <c r="U310" t="str">
        <f>Transactions_RAW_cleaned[[#This Row],[Region ]]&amp;Transactions_RAW_cleaned[[#This Row],[Quarter ]]</f>
        <v>NAQ1</v>
      </c>
      <c r="V310" s="5">
        <f>_xlfn.XLOOKUP(Transactions_RAW_cleaned[[#This Row],[RegionQuarterKey]], Quarterly_Targets_cleaned[RegionQuarterKey], Quarterly_Targets_cleaned[TargetRevenue])</f>
        <v>247000</v>
      </c>
    </row>
    <row r="311" spans="1:22" x14ac:dyDescent="0.25">
      <c r="A311" t="s">
        <v>644</v>
      </c>
      <c r="B311" s="1">
        <v>45366</v>
      </c>
      <c r="C311" t="s">
        <v>84</v>
      </c>
      <c r="D311" t="s">
        <v>312</v>
      </c>
      <c r="E311">
        <v>157.62</v>
      </c>
      <c r="F311" t="s">
        <v>381</v>
      </c>
      <c r="G311" t="s">
        <v>327</v>
      </c>
      <c r="I311" t="s">
        <v>8</v>
      </c>
      <c r="J311" t="s">
        <v>46</v>
      </c>
      <c r="K311" t="s">
        <v>28</v>
      </c>
      <c r="L311" t="s">
        <v>313</v>
      </c>
      <c r="M311" t="s">
        <v>314</v>
      </c>
      <c r="N311">
        <v>0</v>
      </c>
      <c r="O311" t="str">
        <f>IF(Transactions_RAW_cleaned[[#This Row],[Status]]="Completed", IFERROR(_xlfn.XLOOKUP(Transactions_RAW_cleaned[[#This Row],[CustomerID]], Customers_cleaned[CustomerID], Customers_cleaned[Segment]), "Customer Not Found"), "N/A")</f>
        <v>N/A</v>
      </c>
      <c r="P311" s="5" t="str">
        <f>IF(Transactions_RAW_cleaned[[#This Row],[Status]]="Refunded", "Refund",
  IF(Transactions_RAW_cleaned[[#This Row],[Category]]="Payments", IF(Transactions_RAW_cleaned[[#This Row],[Amount]]&gt;500,"High Value","Standard"),
    IF(Transactions_RAW_cleaned[[#This Row],[Amount]]&gt;250,"High Value","Standard")))</f>
        <v>Standard</v>
      </c>
      <c r="Q311" s="5" t="str">
        <f>IF(Transactions_RAW_cleaned[[#This Row],[Amount]] &gt; (_xlfn.XLOOKUP(Transactions_RAW_cleaned[[#This Row],[ServiceID]],Services_cleaned[ServiceID],Services_cleaned[TransactionFeePct]) * 10000), "Yes", "No")</f>
        <v>Yes</v>
      </c>
      <c r="R311" s="5" t="str">
        <f>IF(COUNTIFS($C$2:Transactions_RAW_cleaned[[#This Row],[CustomerID]],Transactions_RAW_cleaned[[#This Row],[CustomerID]],$D$2:Transactions_RAW_cleaned[[#This Row],[ServiceID]],Transactions_RAW_cleaned[[#This Row],[ServiceID]])=1,"Yes","No")</f>
        <v>No</v>
      </c>
      <c r="S31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311" t="str">
        <f>"Q"&amp;ROUNDUP(MONTH(Transactions_RAW_cleaned[[#This Row],[TransactionDate]])/3,0)</f>
        <v>Q1</v>
      </c>
      <c r="U311" t="str">
        <f>Transactions_RAW_cleaned[[#This Row],[Region ]]&amp;Transactions_RAW_cleaned[[#This Row],[Quarter ]]</f>
        <v>APACQ1</v>
      </c>
      <c r="V311" s="5">
        <f>_xlfn.XLOOKUP(Transactions_RAW_cleaned[[#This Row],[RegionQuarterKey]], Quarterly_Targets_cleaned[RegionQuarterKey], Quarterly_Targets_cleaned[TargetRevenue])</f>
        <v>104500</v>
      </c>
    </row>
    <row r="312" spans="1:22" x14ac:dyDescent="0.25">
      <c r="A312" t="s">
        <v>645</v>
      </c>
      <c r="B312" s="1">
        <v>45371</v>
      </c>
      <c r="C312" t="s">
        <v>105</v>
      </c>
      <c r="D312" t="s">
        <v>294</v>
      </c>
      <c r="E312">
        <v>244.68</v>
      </c>
      <c r="F312" t="s">
        <v>381</v>
      </c>
      <c r="G312" t="s">
        <v>327</v>
      </c>
      <c r="I312" t="s">
        <v>57</v>
      </c>
      <c r="J312" t="s">
        <v>102</v>
      </c>
      <c r="K312" t="s">
        <v>32</v>
      </c>
      <c r="L312" t="s">
        <v>295</v>
      </c>
      <c r="M312" t="s">
        <v>296</v>
      </c>
      <c r="N312">
        <v>2.9000000000000001E-2</v>
      </c>
      <c r="O312" t="str">
        <f>IF(Transactions_RAW_cleaned[[#This Row],[Status]]="Completed", IFERROR(_xlfn.XLOOKUP(Transactions_RAW_cleaned[[#This Row],[CustomerID]], Customers_cleaned[CustomerID], Customers_cleaned[Segment]), "Customer Not Found"), "N/A")</f>
        <v>N/A</v>
      </c>
      <c r="P312" s="5" t="str">
        <f>IF(Transactions_RAW_cleaned[[#This Row],[Status]]="Refunded", "Refund",
  IF(Transactions_RAW_cleaned[[#This Row],[Category]]="Payments", IF(Transactions_RAW_cleaned[[#This Row],[Amount]]&gt;500,"High Value","Standard"),
    IF(Transactions_RAW_cleaned[[#This Row],[Amount]]&gt;250,"High Value","Standard")))</f>
        <v>Standard</v>
      </c>
      <c r="Q312" s="5" t="str">
        <f>IF(Transactions_RAW_cleaned[[#This Row],[Amount]] &gt; (_xlfn.XLOOKUP(Transactions_RAW_cleaned[[#This Row],[ServiceID]],Services_cleaned[ServiceID],Services_cleaned[TransactionFeePct]) * 10000), "Yes", "No")</f>
        <v>No</v>
      </c>
      <c r="R312" s="5" t="str">
        <f>IF(COUNTIFS($C$2:Transactions_RAW_cleaned[[#This Row],[CustomerID]],Transactions_RAW_cleaned[[#This Row],[CustomerID]],$D$2:Transactions_RAW_cleaned[[#This Row],[ServiceID]],Transactions_RAW_cleaned[[#This Row],[ServiceID]])=1,"Yes","No")</f>
        <v>No</v>
      </c>
      <c r="S31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12" t="str">
        <f>"Q"&amp;ROUNDUP(MONTH(Transactions_RAW_cleaned[[#This Row],[TransactionDate]])/3,0)</f>
        <v>Q1</v>
      </c>
      <c r="U312" t="str">
        <f>Transactions_RAW_cleaned[[#This Row],[Region ]]&amp;Transactions_RAW_cleaned[[#This Row],[Quarter ]]</f>
        <v>NAQ1</v>
      </c>
      <c r="V312" s="5">
        <f>_xlfn.XLOOKUP(Transactions_RAW_cleaned[[#This Row],[RegionQuarterKey]], Quarterly_Targets_cleaned[RegionQuarterKey], Quarterly_Targets_cleaned[TargetRevenue])</f>
        <v>247000</v>
      </c>
    </row>
    <row r="313" spans="1:22" x14ac:dyDescent="0.25">
      <c r="A313" t="s">
        <v>646</v>
      </c>
      <c r="B313" s="1">
        <v>45590</v>
      </c>
      <c r="C313" t="s">
        <v>15</v>
      </c>
      <c r="D313" t="s">
        <v>294</v>
      </c>
      <c r="E313">
        <v>358.13</v>
      </c>
      <c r="F313" t="s">
        <v>324</v>
      </c>
      <c r="G313" t="s">
        <v>327</v>
      </c>
      <c r="I313" t="s">
        <v>17</v>
      </c>
      <c r="J313" t="s">
        <v>102</v>
      </c>
      <c r="K313" t="s">
        <v>18</v>
      </c>
      <c r="L313" t="s">
        <v>295</v>
      </c>
      <c r="M313" t="s">
        <v>296</v>
      </c>
      <c r="N313">
        <v>2.9000000000000001E-2</v>
      </c>
      <c r="O313" t="str">
        <f>IF(Transactions_RAW_cleaned[[#This Row],[Status]]="Completed", IFERROR(_xlfn.XLOOKUP(Transactions_RAW_cleaned[[#This Row],[CustomerID]], Customers_cleaned[CustomerID], Customers_cleaned[Segment]), "Customer Not Found"), "N/A")</f>
        <v>Enterprise</v>
      </c>
      <c r="P313" s="5" t="str">
        <f>IF(Transactions_RAW_cleaned[[#This Row],[Status]]="Refunded", "Refund",
  IF(Transactions_RAW_cleaned[[#This Row],[Category]]="Payments", IF(Transactions_RAW_cleaned[[#This Row],[Amount]]&gt;500,"High Value","Standard"),
    IF(Transactions_RAW_cleaned[[#This Row],[Amount]]&gt;250,"High Value","Standard")))</f>
        <v>Standard</v>
      </c>
      <c r="Q313" s="5" t="str">
        <f>IF(Transactions_RAW_cleaned[[#This Row],[Amount]] &gt; (_xlfn.XLOOKUP(Transactions_RAW_cleaned[[#This Row],[ServiceID]],Services_cleaned[ServiceID],Services_cleaned[TransactionFeePct]) * 10000), "Yes", "No")</f>
        <v>Yes</v>
      </c>
      <c r="R313" s="5" t="str">
        <f>IF(COUNTIFS($C$2:Transactions_RAW_cleaned[[#This Row],[CustomerID]],Transactions_RAW_cleaned[[#This Row],[CustomerID]],$D$2:Transactions_RAW_cleaned[[#This Row],[ServiceID]],Transactions_RAW_cleaned[[#This Row],[ServiceID]])=1,"Yes","No")</f>
        <v>No</v>
      </c>
      <c r="S31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13" t="str">
        <f>"Q"&amp;ROUNDUP(MONTH(Transactions_RAW_cleaned[[#This Row],[TransactionDate]])/3,0)</f>
        <v>Q4</v>
      </c>
      <c r="U313" t="str">
        <f>Transactions_RAW_cleaned[[#This Row],[Region ]]&amp;Transactions_RAW_cleaned[[#This Row],[Quarter ]]</f>
        <v>NAQ4</v>
      </c>
      <c r="V313" s="5">
        <f>_xlfn.XLOOKUP(Transactions_RAW_cleaned[[#This Row],[RegionQuarterKey]], Quarterly_Targets_cleaned[RegionQuarterKey], Quarterly_Targets_cleaned[TargetRevenue])</f>
        <v>299000</v>
      </c>
    </row>
    <row r="314" spans="1:22" x14ac:dyDescent="0.25">
      <c r="A314" t="s">
        <v>647</v>
      </c>
      <c r="B314" s="1">
        <v>45353</v>
      </c>
      <c r="C314" t="s">
        <v>269</v>
      </c>
      <c r="D314" t="s">
        <v>300</v>
      </c>
      <c r="E314">
        <v>-166.59</v>
      </c>
      <c r="F314" t="s">
        <v>349</v>
      </c>
      <c r="G314" t="s">
        <v>325</v>
      </c>
      <c r="I314" t="s">
        <v>17</v>
      </c>
      <c r="J314" t="s">
        <v>31</v>
      </c>
      <c r="K314" t="s">
        <v>32</v>
      </c>
      <c r="L314" t="s">
        <v>301</v>
      </c>
      <c r="M314" t="s">
        <v>302</v>
      </c>
      <c r="N314">
        <v>5.0000000000000001E-3</v>
      </c>
      <c r="O314" t="str">
        <f>IF(Transactions_RAW_cleaned[[#This Row],[Status]]="Completed", IFERROR(_xlfn.XLOOKUP(Transactions_RAW_cleaned[[#This Row],[CustomerID]], Customers_cleaned[CustomerID], Customers_cleaned[Segment]), "Customer Not Found"), "N/A")</f>
        <v>N/A</v>
      </c>
      <c r="P314" s="5" t="str">
        <f>IF(Transactions_RAW_cleaned[[#This Row],[Status]]="Refunded", "Refund",
  IF(Transactions_RAW_cleaned[[#This Row],[Category]]="Payments", IF(Transactions_RAW_cleaned[[#This Row],[Amount]]&gt;500,"High Value","Standard"),
    IF(Transactions_RAW_cleaned[[#This Row],[Amount]]&gt;250,"High Value","Standard")))</f>
        <v>Refund</v>
      </c>
      <c r="Q314" s="5" t="str">
        <f>IF(Transactions_RAW_cleaned[[#This Row],[Amount]] &gt; (_xlfn.XLOOKUP(Transactions_RAW_cleaned[[#This Row],[ServiceID]],Services_cleaned[ServiceID],Services_cleaned[TransactionFeePct]) * 10000), "Yes", "No")</f>
        <v>No</v>
      </c>
      <c r="R314" s="5" t="str">
        <f>IF(COUNTIFS($C$2:Transactions_RAW_cleaned[[#This Row],[CustomerID]],Transactions_RAW_cleaned[[#This Row],[CustomerID]],$D$2:Transactions_RAW_cleaned[[#This Row],[ServiceID]],Transactions_RAW_cleaned[[#This Row],[ServiceID]])=1,"Yes","No")</f>
        <v>Yes</v>
      </c>
      <c r="S31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314" t="str">
        <f>"Q"&amp;ROUNDUP(MONTH(Transactions_RAW_cleaned[[#This Row],[TransactionDate]])/3,0)</f>
        <v>Q1</v>
      </c>
      <c r="U314" t="str">
        <f>Transactions_RAW_cleaned[[#This Row],[Region ]]&amp;Transactions_RAW_cleaned[[#This Row],[Quarter ]]</f>
        <v>EMEAQ1</v>
      </c>
      <c r="V314" s="5">
        <f>_xlfn.XLOOKUP(Transactions_RAW_cleaned[[#This Row],[RegionQuarterKey]], Quarterly_Targets_cleaned[RegionQuarterKey], Quarterly_Targets_cleaned[TargetRevenue])</f>
        <v>133000</v>
      </c>
    </row>
    <row r="315" spans="1:22" x14ac:dyDescent="0.25">
      <c r="A315" t="s">
        <v>648</v>
      </c>
      <c r="B315" s="1">
        <v>45630</v>
      </c>
      <c r="C315" t="s">
        <v>175</v>
      </c>
      <c r="D315" t="s">
        <v>297</v>
      </c>
      <c r="E315">
        <v>703.78</v>
      </c>
      <c r="F315" t="s">
        <v>324</v>
      </c>
      <c r="G315" t="s">
        <v>325</v>
      </c>
      <c r="H315" t="s">
        <v>332</v>
      </c>
      <c r="I315" t="s">
        <v>8</v>
      </c>
      <c r="J315" t="s">
        <v>31</v>
      </c>
      <c r="K315" t="s">
        <v>32</v>
      </c>
      <c r="L315" t="s">
        <v>298</v>
      </c>
      <c r="M315" t="s">
        <v>299</v>
      </c>
      <c r="N315">
        <v>0</v>
      </c>
      <c r="O315" t="str">
        <f>IF(Transactions_RAW_cleaned[[#This Row],[Status]]="Completed", IFERROR(_xlfn.XLOOKUP(Transactions_RAW_cleaned[[#This Row],[CustomerID]], Customers_cleaned[CustomerID], Customers_cleaned[Segment]), "Customer Not Found"), "N/A")</f>
        <v>SMB</v>
      </c>
      <c r="P315" s="5" t="str">
        <f>IF(Transactions_RAW_cleaned[[#This Row],[Status]]="Refunded", "Refund",
  IF(Transactions_RAW_cleaned[[#This Row],[Category]]="Payments", IF(Transactions_RAW_cleaned[[#This Row],[Amount]]&gt;500,"High Value","Standard"),
    IF(Transactions_RAW_cleaned[[#This Row],[Amount]]&gt;250,"High Value","Standard")))</f>
        <v>High Value</v>
      </c>
      <c r="Q315" s="5" t="str">
        <f>IF(Transactions_RAW_cleaned[[#This Row],[Amount]] &gt; (_xlfn.XLOOKUP(Transactions_RAW_cleaned[[#This Row],[ServiceID]],Services_cleaned[ServiceID],Services_cleaned[TransactionFeePct]) * 10000), "Yes", "No")</f>
        <v>Yes</v>
      </c>
      <c r="R315" s="5" t="str">
        <f>IF(COUNTIFS($C$2:Transactions_RAW_cleaned[[#This Row],[CustomerID]],Transactions_RAW_cleaned[[#This Row],[CustomerID]],$D$2:Transactions_RAW_cleaned[[#This Row],[ServiceID]],Transactions_RAW_cleaned[[#This Row],[ServiceID]])=1,"Yes","No")</f>
        <v>Yes</v>
      </c>
      <c r="S31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315" t="str">
        <f>"Q"&amp;ROUNDUP(MONTH(Transactions_RAW_cleaned[[#This Row],[TransactionDate]])/3,0)</f>
        <v>Q4</v>
      </c>
      <c r="U315" t="str">
        <f>Transactions_RAW_cleaned[[#This Row],[Region ]]&amp;Transactions_RAW_cleaned[[#This Row],[Quarter ]]</f>
        <v>EMEAQ4</v>
      </c>
      <c r="V315" s="5">
        <f>_xlfn.XLOOKUP(Transactions_RAW_cleaned[[#This Row],[RegionQuarterKey]], Quarterly_Targets_cleaned[RegionQuarterKey], Quarterly_Targets_cleaned[TargetRevenue])</f>
        <v>161000</v>
      </c>
    </row>
    <row r="316" spans="1:22" x14ac:dyDescent="0.25">
      <c r="A316" t="s">
        <v>649</v>
      </c>
      <c r="B316" s="1">
        <v>45489</v>
      </c>
      <c r="C316" t="s">
        <v>86</v>
      </c>
      <c r="D316" t="s">
        <v>312</v>
      </c>
      <c r="E316">
        <v>420.26</v>
      </c>
      <c r="F316" t="s">
        <v>324</v>
      </c>
      <c r="G316" t="s">
        <v>325</v>
      </c>
      <c r="I316" t="s">
        <v>8</v>
      </c>
      <c r="J316" t="s">
        <v>102</v>
      </c>
      <c r="K316" t="s">
        <v>18</v>
      </c>
      <c r="L316" t="s">
        <v>313</v>
      </c>
      <c r="M316" t="s">
        <v>314</v>
      </c>
      <c r="N316">
        <v>0</v>
      </c>
      <c r="O316" t="str">
        <f>IF(Transactions_RAW_cleaned[[#This Row],[Status]]="Completed", IFERROR(_xlfn.XLOOKUP(Transactions_RAW_cleaned[[#This Row],[CustomerID]], Customers_cleaned[CustomerID], Customers_cleaned[Segment]), "Customer Not Found"), "N/A")</f>
        <v>SMB</v>
      </c>
      <c r="P316" s="5" t="str">
        <f>IF(Transactions_RAW_cleaned[[#This Row],[Status]]="Refunded", "Refund",
  IF(Transactions_RAW_cleaned[[#This Row],[Category]]="Payments", IF(Transactions_RAW_cleaned[[#This Row],[Amount]]&gt;500,"High Value","Standard"),
    IF(Transactions_RAW_cleaned[[#This Row],[Amount]]&gt;250,"High Value","Standard")))</f>
        <v>High Value</v>
      </c>
      <c r="Q316" s="5" t="str">
        <f>IF(Transactions_RAW_cleaned[[#This Row],[Amount]] &gt; (_xlfn.XLOOKUP(Transactions_RAW_cleaned[[#This Row],[ServiceID]],Services_cleaned[ServiceID],Services_cleaned[TransactionFeePct]) * 10000), "Yes", "No")</f>
        <v>Yes</v>
      </c>
      <c r="R316" s="5" t="str">
        <f>IF(COUNTIFS($C$2:Transactions_RAW_cleaned[[#This Row],[CustomerID]],Transactions_RAW_cleaned[[#This Row],[CustomerID]],$D$2:Transactions_RAW_cleaned[[#This Row],[ServiceID]],Transactions_RAW_cleaned[[#This Row],[ServiceID]])=1,"Yes","No")</f>
        <v>No</v>
      </c>
      <c r="S31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16" t="str">
        <f>"Q"&amp;ROUNDUP(MONTH(Transactions_RAW_cleaned[[#This Row],[TransactionDate]])/3,0)</f>
        <v>Q3</v>
      </c>
      <c r="U316" t="str">
        <f>Transactions_RAW_cleaned[[#This Row],[Region ]]&amp;Transactions_RAW_cleaned[[#This Row],[Quarter ]]</f>
        <v>NAQ3</v>
      </c>
      <c r="V316" s="5">
        <f>_xlfn.XLOOKUP(Transactions_RAW_cleaned[[#This Row],[RegionQuarterKey]], Quarterly_Targets_cleaned[RegionQuarterKey], Quarterly_Targets_cleaned[TargetRevenue])</f>
        <v>273000</v>
      </c>
    </row>
    <row r="317" spans="1:22" x14ac:dyDescent="0.25">
      <c r="A317" t="s">
        <v>650</v>
      </c>
      <c r="B317" s="1">
        <v>45510</v>
      </c>
      <c r="C317" t="s">
        <v>227</v>
      </c>
      <c r="D317" t="s">
        <v>312</v>
      </c>
      <c r="E317">
        <v>257.5</v>
      </c>
      <c r="F317" t="s">
        <v>324</v>
      </c>
      <c r="G317" t="s">
        <v>337</v>
      </c>
      <c r="H317" t="s">
        <v>346</v>
      </c>
      <c r="I317" t="s">
        <v>57</v>
      </c>
      <c r="J317" t="s">
        <v>31</v>
      </c>
      <c r="K317" t="s">
        <v>32</v>
      </c>
      <c r="L317" t="s">
        <v>313</v>
      </c>
      <c r="M317" t="s">
        <v>314</v>
      </c>
      <c r="N317">
        <v>0</v>
      </c>
      <c r="O317" t="str">
        <f>IF(Transactions_RAW_cleaned[[#This Row],[Status]]="Completed", IFERROR(_xlfn.XLOOKUP(Transactions_RAW_cleaned[[#This Row],[CustomerID]], Customers_cleaned[CustomerID], Customers_cleaned[Segment]), "Customer Not Found"), "N/A")</f>
        <v>Startup</v>
      </c>
      <c r="P317" s="5" t="str">
        <f>IF(Transactions_RAW_cleaned[[#This Row],[Status]]="Refunded", "Refund",
  IF(Transactions_RAW_cleaned[[#This Row],[Category]]="Payments", IF(Transactions_RAW_cleaned[[#This Row],[Amount]]&gt;500,"High Value","Standard"),
    IF(Transactions_RAW_cleaned[[#This Row],[Amount]]&gt;250,"High Value","Standard")))</f>
        <v>High Value</v>
      </c>
      <c r="Q317" s="5" t="str">
        <f>IF(Transactions_RAW_cleaned[[#This Row],[Amount]] &gt; (_xlfn.XLOOKUP(Transactions_RAW_cleaned[[#This Row],[ServiceID]],Services_cleaned[ServiceID],Services_cleaned[TransactionFeePct]) * 10000), "Yes", "No")</f>
        <v>Yes</v>
      </c>
      <c r="R317" s="5" t="str">
        <f>IF(COUNTIFS($C$2:Transactions_RAW_cleaned[[#This Row],[CustomerID]],Transactions_RAW_cleaned[[#This Row],[CustomerID]],$D$2:Transactions_RAW_cleaned[[#This Row],[ServiceID]],Transactions_RAW_cleaned[[#This Row],[ServiceID]])=1,"Yes","No")</f>
        <v>Yes</v>
      </c>
      <c r="S31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317" t="str">
        <f>"Q"&amp;ROUNDUP(MONTH(Transactions_RAW_cleaned[[#This Row],[TransactionDate]])/3,0)</f>
        <v>Q3</v>
      </c>
      <c r="U317" t="str">
        <f>Transactions_RAW_cleaned[[#This Row],[Region ]]&amp;Transactions_RAW_cleaned[[#This Row],[Quarter ]]</f>
        <v>EMEAQ3</v>
      </c>
      <c r="V317" s="5">
        <f>_xlfn.XLOOKUP(Transactions_RAW_cleaned[[#This Row],[RegionQuarterKey]], Quarterly_Targets_cleaned[RegionQuarterKey], Quarterly_Targets_cleaned[TargetRevenue])</f>
        <v>147000</v>
      </c>
    </row>
    <row r="318" spans="1:22" x14ac:dyDescent="0.25">
      <c r="A318" t="s">
        <v>651</v>
      </c>
      <c r="B318" s="1">
        <v>45434</v>
      </c>
      <c r="C318" t="s">
        <v>203</v>
      </c>
      <c r="D318" t="s">
        <v>312</v>
      </c>
      <c r="E318">
        <v>914.57</v>
      </c>
      <c r="F318" t="s">
        <v>324</v>
      </c>
      <c r="G318" t="s">
        <v>325</v>
      </c>
      <c r="H318" t="s">
        <v>332</v>
      </c>
      <c r="I318" t="s">
        <v>57</v>
      </c>
      <c r="J318" t="s">
        <v>21</v>
      </c>
      <c r="K318" t="s">
        <v>14</v>
      </c>
      <c r="L318" t="s">
        <v>313</v>
      </c>
      <c r="M318" t="s">
        <v>314</v>
      </c>
      <c r="N318">
        <v>0</v>
      </c>
      <c r="O318" t="str">
        <f>IF(Transactions_RAW_cleaned[[#This Row],[Status]]="Completed", IFERROR(_xlfn.XLOOKUP(Transactions_RAW_cleaned[[#This Row],[CustomerID]], Customers_cleaned[CustomerID], Customers_cleaned[Segment]), "Customer Not Found"), "N/A")</f>
        <v>Startup</v>
      </c>
      <c r="P318" s="5" t="str">
        <f>IF(Transactions_RAW_cleaned[[#This Row],[Status]]="Refunded", "Refund",
  IF(Transactions_RAW_cleaned[[#This Row],[Category]]="Payments", IF(Transactions_RAW_cleaned[[#This Row],[Amount]]&gt;500,"High Value","Standard"),
    IF(Transactions_RAW_cleaned[[#This Row],[Amount]]&gt;250,"High Value","Standard")))</f>
        <v>High Value</v>
      </c>
      <c r="Q318" s="5" t="str">
        <f>IF(Transactions_RAW_cleaned[[#This Row],[Amount]] &gt; (_xlfn.XLOOKUP(Transactions_RAW_cleaned[[#This Row],[ServiceID]],Services_cleaned[ServiceID],Services_cleaned[TransactionFeePct]) * 10000), "Yes", "No")</f>
        <v>Yes</v>
      </c>
      <c r="R318" s="5" t="str">
        <f>IF(COUNTIFS($C$2:Transactions_RAW_cleaned[[#This Row],[CustomerID]],Transactions_RAW_cleaned[[#This Row],[CustomerID]],$D$2:Transactions_RAW_cleaned[[#This Row],[ServiceID]],Transactions_RAW_cleaned[[#This Row],[ServiceID]])=1,"Yes","No")</f>
        <v>Yes</v>
      </c>
      <c r="S31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318" t="str">
        <f>"Q"&amp;ROUNDUP(MONTH(Transactions_RAW_cleaned[[#This Row],[TransactionDate]])/3,0)</f>
        <v>Q2</v>
      </c>
      <c r="U318" t="str">
        <f>Transactions_RAW_cleaned[[#This Row],[Region ]]&amp;Transactions_RAW_cleaned[[#This Row],[Quarter ]]</f>
        <v>APACQ2</v>
      </c>
      <c r="V318" s="5">
        <f>_xlfn.XLOOKUP(Transactions_RAW_cleaned[[#This Row],[RegionQuarterKey]], Quarterly_Targets_cleaned[RegionQuarterKey], Quarterly_Targets_cleaned[TargetRevenue])</f>
        <v>110000</v>
      </c>
    </row>
    <row r="319" spans="1:22" x14ac:dyDescent="0.25">
      <c r="A319" t="s">
        <v>652</v>
      </c>
      <c r="B319" s="1">
        <v>45331</v>
      </c>
      <c r="C319" t="s">
        <v>157</v>
      </c>
      <c r="D319" t="s">
        <v>300</v>
      </c>
      <c r="E319">
        <v>17.239999999999998</v>
      </c>
      <c r="F319" t="s">
        <v>324</v>
      </c>
      <c r="G319" t="s">
        <v>337</v>
      </c>
      <c r="H319" t="s">
        <v>346</v>
      </c>
      <c r="I319" t="s">
        <v>8</v>
      </c>
      <c r="J319" t="s">
        <v>102</v>
      </c>
      <c r="K319" t="s">
        <v>14</v>
      </c>
      <c r="L319" t="s">
        <v>301</v>
      </c>
      <c r="M319" t="s">
        <v>302</v>
      </c>
      <c r="N319">
        <v>5.0000000000000001E-3</v>
      </c>
      <c r="O319" t="str">
        <f>IF(Transactions_RAW_cleaned[[#This Row],[Status]]="Completed", IFERROR(_xlfn.XLOOKUP(Transactions_RAW_cleaned[[#This Row],[CustomerID]], Customers_cleaned[CustomerID], Customers_cleaned[Segment]), "Customer Not Found"), "N/A")</f>
        <v>SMB</v>
      </c>
      <c r="P319" s="5" t="str">
        <f>IF(Transactions_RAW_cleaned[[#This Row],[Status]]="Refunded", "Refund",
  IF(Transactions_RAW_cleaned[[#This Row],[Category]]="Payments", IF(Transactions_RAW_cleaned[[#This Row],[Amount]]&gt;500,"High Value","Standard"),
    IF(Transactions_RAW_cleaned[[#This Row],[Amount]]&gt;250,"High Value","Standard")))</f>
        <v>Standard</v>
      </c>
      <c r="Q319" s="5" t="str">
        <f>IF(Transactions_RAW_cleaned[[#This Row],[Amount]] &gt; (_xlfn.XLOOKUP(Transactions_RAW_cleaned[[#This Row],[ServiceID]],Services_cleaned[ServiceID],Services_cleaned[TransactionFeePct]) * 10000), "Yes", "No")</f>
        <v>No</v>
      </c>
      <c r="R319" s="5" t="str">
        <f>IF(COUNTIFS($C$2:Transactions_RAW_cleaned[[#This Row],[CustomerID]],Transactions_RAW_cleaned[[#This Row],[CustomerID]],$D$2:Transactions_RAW_cleaned[[#This Row],[ServiceID]],Transactions_RAW_cleaned[[#This Row],[ServiceID]])=1,"Yes","No")</f>
        <v>Yes</v>
      </c>
      <c r="S31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19" t="str">
        <f>"Q"&amp;ROUNDUP(MONTH(Transactions_RAW_cleaned[[#This Row],[TransactionDate]])/3,0)</f>
        <v>Q1</v>
      </c>
      <c r="U319" t="str">
        <f>Transactions_RAW_cleaned[[#This Row],[Region ]]&amp;Transactions_RAW_cleaned[[#This Row],[Quarter ]]</f>
        <v>NAQ1</v>
      </c>
      <c r="V319" s="5">
        <f>_xlfn.XLOOKUP(Transactions_RAW_cleaned[[#This Row],[RegionQuarterKey]], Quarterly_Targets_cleaned[RegionQuarterKey], Quarterly_Targets_cleaned[TargetRevenue])</f>
        <v>247000</v>
      </c>
    </row>
    <row r="320" spans="1:22" x14ac:dyDescent="0.25">
      <c r="A320" t="s">
        <v>653</v>
      </c>
      <c r="B320" s="1">
        <v>45593</v>
      </c>
      <c r="C320" t="s">
        <v>273</v>
      </c>
      <c r="D320" t="s">
        <v>309</v>
      </c>
      <c r="E320">
        <v>225.84</v>
      </c>
      <c r="F320" t="s">
        <v>381</v>
      </c>
      <c r="G320" t="s">
        <v>327</v>
      </c>
      <c r="I320" t="s">
        <v>17</v>
      </c>
      <c r="J320" t="s">
        <v>102</v>
      </c>
      <c r="K320" t="s">
        <v>22</v>
      </c>
      <c r="L320" t="s">
        <v>310</v>
      </c>
      <c r="M320" t="s">
        <v>311</v>
      </c>
      <c r="N320">
        <v>0</v>
      </c>
      <c r="O320" t="str">
        <f>IF(Transactions_RAW_cleaned[[#This Row],[Status]]="Completed", IFERROR(_xlfn.XLOOKUP(Transactions_RAW_cleaned[[#This Row],[CustomerID]], Customers_cleaned[CustomerID], Customers_cleaned[Segment]), "Customer Not Found"), "N/A")</f>
        <v>N/A</v>
      </c>
      <c r="P320" s="5" t="str">
        <f>IF(Transactions_RAW_cleaned[[#This Row],[Status]]="Refunded", "Refund",
  IF(Transactions_RAW_cleaned[[#This Row],[Category]]="Payments", IF(Transactions_RAW_cleaned[[#This Row],[Amount]]&gt;500,"High Value","Standard"),
    IF(Transactions_RAW_cleaned[[#This Row],[Amount]]&gt;250,"High Value","Standard")))</f>
        <v>Standard</v>
      </c>
      <c r="Q320" s="5" t="str">
        <f>IF(Transactions_RAW_cleaned[[#This Row],[Amount]] &gt; (_xlfn.XLOOKUP(Transactions_RAW_cleaned[[#This Row],[ServiceID]],Services_cleaned[ServiceID],Services_cleaned[TransactionFeePct]) * 10000), "Yes", "No")</f>
        <v>Yes</v>
      </c>
      <c r="R320" s="5" t="str">
        <f>IF(COUNTIFS($C$2:Transactions_RAW_cleaned[[#This Row],[CustomerID]],Transactions_RAW_cleaned[[#This Row],[CustomerID]],$D$2:Transactions_RAW_cleaned[[#This Row],[ServiceID]],Transactions_RAW_cleaned[[#This Row],[ServiceID]])=1,"Yes","No")</f>
        <v>No</v>
      </c>
      <c r="S32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20" t="str">
        <f>"Q"&amp;ROUNDUP(MONTH(Transactions_RAW_cleaned[[#This Row],[TransactionDate]])/3,0)</f>
        <v>Q4</v>
      </c>
      <c r="U320" t="str">
        <f>Transactions_RAW_cleaned[[#This Row],[Region ]]&amp;Transactions_RAW_cleaned[[#This Row],[Quarter ]]</f>
        <v>NAQ4</v>
      </c>
      <c r="V320" s="5">
        <f>_xlfn.XLOOKUP(Transactions_RAW_cleaned[[#This Row],[RegionQuarterKey]], Quarterly_Targets_cleaned[RegionQuarterKey], Quarterly_Targets_cleaned[TargetRevenue])</f>
        <v>299000</v>
      </c>
    </row>
    <row r="321" spans="1:22" x14ac:dyDescent="0.25">
      <c r="A321" t="s">
        <v>654</v>
      </c>
      <c r="B321" s="1">
        <v>45573</v>
      </c>
      <c r="C321" t="s">
        <v>217</v>
      </c>
      <c r="D321" t="s">
        <v>294</v>
      </c>
      <c r="E321">
        <v>694.85</v>
      </c>
      <c r="F321" t="s">
        <v>324</v>
      </c>
      <c r="G321" t="s">
        <v>327</v>
      </c>
      <c r="H321" t="s">
        <v>346</v>
      </c>
      <c r="I321" t="s">
        <v>17</v>
      </c>
      <c r="J321" t="s">
        <v>102</v>
      </c>
      <c r="K321" t="s">
        <v>14</v>
      </c>
      <c r="L321" t="s">
        <v>295</v>
      </c>
      <c r="M321" t="s">
        <v>296</v>
      </c>
      <c r="N321">
        <v>2.9000000000000001E-2</v>
      </c>
      <c r="O321" t="str">
        <f>IF(Transactions_RAW_cleaned[[#This Row],[Status]]="Completed", IFERROR(_xlfn.XLOOKUP(Transactions_RAW_cleaned[[#This Row],[CustomerID]], Customers_cleaned[CustomerID], Customers_cleaned[Segment]), "Customer Not Found"), "N/A")</f>
        <v>Enterprise</v>
      </c>
      <c r="P321" s="5" t="str">
        <f>IF(Transactions_RAW_cleaned[[#This Row],[Status]]="Refunded", "Refund",
  IF(Transactions_RAW_cleaned[[#This Row],[Category]]="Payments", IF(Transactions_RAW_cleaned[[#This Row],[Amount]]&gt;500,"High Value","Standard"),
    IF(Transactions_RAW_cleaned[[#This Row],[Amount]]&gt;250,"High Value","Standard")))</f>
        <v>High Value</v>
      </c>
      <c r="Q321" s="5" t="str">
        <f>IF(Transactions_RAW_cleaned[[#This Row],[Amount]] &gt; (_xlfn.XLOOKUP(Transactions_RAW_cleaned[[#This Row],[ServiceID]],Services_cleaned[ServiceID],Services_cleaned[TransactionFeePct]) * 10000), "Yes", "No")</f>
        <v>Yes</v>
      </c>
      <c r="R321" s="5" t="str">
        <f>IF(COUNTIFS($C$2:Transactions_RAW_cleaned[[#This Row],[CustomerID]],Transactions_RAW_cleaned[[#This Row],[CustomerID]],$D$2:Transactions_RAW_cleaned[[#This Row],[ServiceID]],Transactions_RAW_cleaned[[#This Row],[ServiceID]])=1,"Yes","No")</f>
        <v>No</v>
      </c>
      <c r="S32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21" t="str">
        <f>"Q"&amp;ROUNDUP(MONTH(Transactions_RAW_cleaned[[#This Row],[TransactionDate]])/3,0)</f>
        <v>Q4</v>
      </c>
      <c r="U321" t="str">
        <f>Transactions_RAW_cleaned[[#This Row],[Region ]]&amp;Transactions_RAW_cleaned[[#This Row],[Quarter ]]</f>
        <v>NAQ4</v>
      </c>
      <c r="V321" s="5">
        <f>_xlfn.XLOOKUP(Transactions_RAW_cleaned[[#This Row],[RegionQuarterKey]], Quarterly_Targets_cleaned[RegionQuarterKey], Quarterly_Targets_cleaned[TargetRevenue])</f>
        <v>299000</v>
      </c>
    </row>
    <row r="322" spans="1:22" x14ac:dyDescent="0.25">
      <c r="A322" t="s">
        <v>655</v>
      </c>
      <c r="B322" s="1">
        <v>45513</v>
      </c>
      <c r="C322" t="s">
        <v>207</v>
      </c>
      <c r="D322" t="s">
        <v>309</v>
      </c>
      <c r="E322">
        <v>1246.29</v>
      </c>
      <c r="F322" t="s">
        <v>381</v>
      </c>
      <c r="G322" t="s">
        <v>327</v>
      </c>
      <c r="H322" t="s">
        <v>334</v>
      </c>
      <c r="I322" t="s">
        <v>8</v>
      </c>
      <c r="J322" t="s">
        <v>102</v>
      </c>
      <c r="K322" t="s">
        <v>28</v>
      </c>
      <c r="L322" t="s">
        <v>310</v>
      </c>
      <c r="M322" t="s">
        <v>311</v>
      </c>
      <c r="N322">
        <v>0</v>
      </c>
      <c r="O322" t="str">
        <f>IF(Transactions_RAW_cleaned[[#This Row],[Status]]="Completed", IFERROR(_xlfn.XLOOKUP(Transactions_RAW_cleaned[[#This Row],[CustomerID]], Customers_cleaned[CustomerID], Customers_cleaned[Segment]), "Customer Not Found"), "N/A")</f>
        <v>N/A</v>
      </c>
      <c r="P322" s="5" t="str">
        <f>IF(Transactions_RAW_cleaned[[#This Row],[Status]]="Refunded", "Refund",
  IF(Transactions_RAW_cleaned[[#This Row],[Category]]="Payments", IF(Transactions_RAW_cleaned[[#This Row],[Amount]]&gt;500,"High Value","Standard"),
    IF(Transactions_RAW_cleaned[[#This Row],[Amount]]&gt;250,"High Value","Standard")))</f>
        <v>High Value</v>
      </c>
      <c r="Q322" s="5" t="str">
        <f>IF(Transactions_RAW_cleaned[[#This Row],[Amount]] &gt; (_xlfn.XLOOKUP(Transactions_RAW_cleaned[[#This Row],[ServiceID]],Services_cleaned[ServiceID],Services_cleaned[TransactionFeePct]) * 10000), "Yes", "No")</f>
        <v>Yes</v>
      </c>
      <c r="R322" s="5" t="str">
        <f>IF(COUNTIFS($C$2:Transactions_RAW_cleaned[[#This Row],[CustomerID]],Transactions_RAW_cleaned[[#This Row],[CustomerID]],$D$2:Transactions_RAW_cleaned[[#This Row],[ServiceID]],Transactions_RAW_cleaned[[#This Row],[ServiceID]])=1,"Yes","No")</f>
        <v>No</v>
      </c>
      <c r="S32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22" t="str">
        <f>"Q"&amp;ROUNDUP(MONTH(Transactions_RAW_cleaned[[#This Row],[TransactionDate]])/3,0)</f>
        <v>Q3</v>
      </c>
      <c r="U322" t="str">
        <f>Transactions_RAW_cleaned[[#This Row],[Region ]]&amp;Transactions_RAW_cleaned[[#This Row],[Quarter ]]</f>
        <v>NAQ3</v>
      </c>
      <c r="V322" s="5">
        <f>_xlfn.XLOOKUP(Transactions_RAW_cleaned[[#This Row],[RegionQuarterKey]], Quarterly_Targets_cleaned[RegionQuarterKey], Quarterly_Targets_cleaned[TargetRevenue])</f>
        <v>273000</v>
      </c>
    </row>
    <row r="323" spans="1:22" x14ac:dyDescent="0.25">
      <c r="A323" t="s">
        <v>656</v>
      </c>
      <c r="B323" s="1">
        <v>45382</v>
      </c>
      <c r="C323" t="s">
        <v>237</v>
      </c>
      <c r="D323" t="s">
        <v>297</v>
      </c>
      <c r="E323">
        <v>-623.62</v>
      </c>
      <c r="F323" t="s">
        <v>349</v>
      </c>
      <c r="G323" t="s">
        <v>325</v>
      </c>
      <c r="I323" t="s">
        <v>8</v>
      </c>
      <c r="J323" t="s">
        <v>46</v>
      </c>
      <c r="K323" t="s">
        <v>10</v>
      </c>
      <c r="L323" t="s">
        <v>298</v>
      </c>
      <c r="M323" t="s">
        <v>299</v>
      </c>
      <c r="N323">
        <v>0</v>
      </c>
      <c r="O323" t="str">
        <f>IF(Transactions_RAW_cleaned[[#This Row],[Status]]="Completed", IFERROR(_xlfn.XLOOKUP(Transactions_RAW_cleaned[[#This Row],[CustomerID]], Customers_cleaned[CustomerID], Customers_cleaned[Segment]), "Customer Not Found"), "N/A")</f>
        <v>N/A</v>
      </c>
      <c r="P323" s="5" t="str">
        <f>IF(Transactions_RAW_cleaned[[#This Row],[Status]]="Refunded", "Refund",
  IF(Transactions_RAW_cleaned[[#This Row],[Category]]="Payments", IF(Transactions_RAW_cleaned[[#This Row],[Amount]]&gt;500,"High Value","Standard"),
    IF(Transactions_RAW_cleaned[[#This Row],[Amount]]&gt;250,"High Value","Standard")))</f>
        <v>Refund</v>
      </c>
      <c r="Q323" s="5" t="str">
        <f>IF(Transactions_RAW_cleaned[[#This Row],[Amount]] &gt; (_xlfn.XLOOKUP(Transactions_RAW_cleaned[[#This Row],[ServiceID]],Services_cleaned[ServiceID],Services_cleaned[TransactionFeePct]) * 10000), "Yes", "No")</f>
        <v>No</v>
      </c>
      <c r="R323" s="5" t="str">
        <f>IF(COUNTIFS($C$2:Transactions_RAW_cleaned[[#This Row],[CustomerID]],Transactions_RAW_cleaned[[#This Row],[CustomerID]],$D$2:Transactions_RAW_cleaned[[#This Row],[ServiceID]],Transactions_RAW_cleaned[[#This Row],[ServiceID]])=1,"Yes","No")</f>
        <v>No</v>
      </c>
      <c r="S32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323" t="str">
        <f>"Q"&amp;ROUNDUP(MONTH(Transactions_RAW_cleaned[[#This Row],[TransactionDate]])/3,0)</f>
        <v>Q1</v>
      </c>
      <c r="U323" t="str">
        <f>Transactions_RAW_cleaned[[#This Row],[Region ]]&amp;Transactions_RAW_cleaned[[#This Row],[Quarter ]]</f>
        <v>APACQ1</v>
      </c>
      <c r="V323" s="5">
        <f>_xlfn.XLOOKUP(Transactions_RAW_cleaned[[#This Row],[RegionQuarterKey]], Quarterly_Targets_cleaned[RegionQuarterKey], Quarterly_Targets_cleaned[TargetRevenue])</f>
        <v>104500</v>
      </c>
    </row>
    <row r="324" spans="1:22" x14ac:dyDescent="0.25">
      <c r="A324" t="s">
        <v>657</v>
      </c>
      <c r="B324" s="1">
        <v>45525</v>
      </c>
      <c r="C324" t="s">
        <v>66</v>
      </c>
      <c r="D324" t="s">
        <v>294</v>
      </c>
      <c r="E324">
        <v>84.77</v>
      </c>
      <c r="F324" t="s">
        <v>324</v>
      </c>
      <c r="G324" t="s">
        <v>337</v>
      </c>
      <c r="H324" t="s">
        <v>346</v>
      </c>
      <c r="I324" t="s">
        <v>8</v>
      </c>
      <c r="J324" t="s">
        <v>46</v>
      </c>
      <c r="K324" t="s">
        <v>10</v>
      </c>
      <c r="L324" t="s">
        <v>295</v>
      </c>
      <c r="M324" t="s">
        <v>296</v>
      </c>
      <c r="N324">
        <v>2.9000000000000001E-2</v>
      </c>
      <c r="O324" t="str">
        <f>IF(Transactions_RAW_cleaned[[#This Row],[Status]]="Completed", IFERROR(_xlfn.XLOOKUP(Transactions_RAW_cleaned[[#This Row],[CustomerID]], Customers_cleaned[CustomerID], Customers_cleaned[Segment]), "Customer Not Found"), "N/A")</f>
        <v>SMB</v>
      </c>
      <c r="P324" s="5" t="str">
        <f>IF(Transactions_RAW_cleaned[[#This Row],[Status]]="Refunded", "Refund",
  IF(Transactions_RAW_cleaned[[#This Row],[Category]]="Payments", IF(Transactions_RAW_cleaned[[#This Row],[Amount]]&gt;500,"High Value","Standard"),
    IF(Transactions_RAW_cleaned[[#This Row],[Amount]]&gt;250,"High Value","Standard")))</f>
        <v>Standard</v>
      </c>
      <c r="Q324" s="5" t="str">
        <f>IF(Transactions_RAW_cleaned[[#This Row],[Amount]] &gt; (_xlfn.XLOOKUP(Transactions_RAW_cleaned[[#This Row],[ServiceID]],Services_cleaned[ServiceID],Services_cleaned[TransactionFeePct]) * 10000), "Yes", "No")</f>
        <v>No</v>
      </c>
      <c r="R324" s="5" t="str">
        <f>IF(COUNTIFS($C$2:Transactions_RAW_cleaned[[#This Row],[CustomerID]],Transactions_RAW_cleaned[[#This Row],[CustomerID]],$D$2:Transactions_RAW_cleaned[[#This Row],[ServiceID]],Transactions_RAW_cleaned[[#This Row],[ServiceID]])=1,"Yes","No")</f>
        <v>No</v>
      </c>
      <c r="S32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324" t="str">
        <f>"Q"&amp;ROUNDUP(MONTH(Transactions_RAW_cleaned[[#This Row],[TransactionDate]])/3,0)</f>
        <v>Q3</v>
      </c>
      <c r="U324" t="str">
        <f>Transactions_RAW_cleaned[[#This Row],[Region ]]&amp;Transactions_RAW_cleaned[[#This Row],[Quarter ]]</f>
        <v>APACQ3</v>
      </c>
      <c r="V324" s="5">
        <f>_xlfn.XLOOKUP(Transactions_RAW_cleaned[[#This Row],[RegionQuarterKey]], Quarterly_Targets_cleaned[RegionQuarterKey], Quarterly_Targets_cleaned[TargetRevenue])</f>
        <v>115500</v>
      </c>
    </row>
    <row r="325" spans="1:22" x14ac:dyDescent="0.25">
      <c r="A325" t="s">
        <v>658</v>
      </c>
      <c r="B325" s="1">
        <v>45539</v>
      </c>
      <c r="C325" t="s">
        <v>111</v>
      </c>
      <c r="D325" t="s">
        <v>297</v>
      </c>
      <c r="E325">
        <v>518.41999999999996</v>
      </c>
      <c r="F325" t="s">
        <v>324</v>
      </c>
      <c r="G325" t="s">
        <v>325</v>
      </c>
      <c r="H325" t="s">
        <v>332</v>
      </c>
      <c r="I325" t="s">
        <v>8</v>
      </c>
      <c r="J325" t="s">
        <v>21</v>
      </c>
      <c r="K325" t="s">
        <v>28</v>
      </c>
      <c r="L325" t="s">
        <v>298</v>
      </c>
      <c r="M325" t="s">
        <v>299</v>
      </c>
      <c r="N325">
        <v>0</v>
      </c>
      <c r="O325" t="str">
        <f>IF(Transactions_RAW_cleaned[[#This Row],[Status]]="Completed", IFERROR(_xlfn.XLOOKUP(Transactions_RAW_cleaned[[#This Row],[CustomerID]], Customers_cleaned[CustomerID], Customers_cleaned[Segment]), "Customer Not Found"), "N/A")</f>
        <v>SMB</v>
      </c>
      <c r="P325" s="5" t="str">
        <f>IF(Transactions_RAW_cleaned[[#This Row],[Status]]="Refunded", "Refund",
  IF(Transactions_RAW_cleaned[[#This Row],[Category]]="Payments", IF(Transactions_RAW_cleaned[[#This Row],[Amount]]&gt;500,"High Value","Standard"),
    IF(Transactions_RAW_cleaned[[#This Row],[Amount]]&gt;250,"High Value","Standard")))</f>
        <v>High Value</v>
      </c>
      <c r="Q325" s="5" t="str">
        <f>IF(Transactions_RAW_cleaned[[#This Row],[Amount]] &gt; (_xlfn.XLOOKUP(Transactions_RAW_cleaned[[#This Row],[ServiceID]],Services_cleaned[ServiceID],Services_cleaned[TransactionFeePct]) * 10000), "Yes", "No")</f>
        <v>Yes</v>
      </c>
      <c r="R325" s="5" t="str">
        <f>IF(COUNTIFS($C$2:Transactions_RAW_cleaned[[#This Row],[CustomerID]],Transactions_RAW_cleaned[[#This Row],[CustomerID]],$D$2:Transactions_RAW_cleaned[[#This Row],[ServiceID]],Transactions_RAW_cleaned[[#This Row],[ServiceID]])=1,"Yes","No")</f>
        <v>Yes</v>
      </c>
      <c r="S32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325" t="str">
        <f>"Q"&amp;ROUNDUP(MONTH(Transactions_RAW_cleaned[[#This Row],[TransactionDate]])/3,0)</f>
        <v>Q3</v>
      </c>
      <c r="U325" t="str">
        <f>Transactions_RAW_cleaned[[#This Row],[Region ]]&amp;Transactions_RAW_cleaned[[#This Row],[Quarter ]]</f>
        <v>APACQ3</v>
      </c>
      <c r="V325" s="5">
        <f>_xlfn.XLOOKUP(Transactions_RAW_cleaned[[#This Row],[RegionQuarterKey]], Quarterly_Targets_cleaned[RegionQuarterKey], Quarterly_Targets_cleaned[TargetRevenue])</f>
        <v>115500</v>
      </c>
    </row>
    <row r="326" spans="1:22" x14ac:dyDescent="0.25">
      <c r="A326" t="s">
        <v>659</v>
      </c>
      <c r="B326" s="1">
        <v>45521</v>
      </c>
      <c r="C326" t="s">
        <v>195</v>
      </c>
      <c r="D326" t="s">
        <v>294</v>
      </c>
      <c r="E326">
        <v>731.62</v>
      </c>
      <c r="F326" t="s">
        <v>324</v>
      </c>
      <c r="G326" t="s">
        <v>327</v>
      </c>
      <c r="I326" t="s">
        <v>8</v>
      </c>
      <c r="J326" t="s">
        <v>102</v>
      </c>
      <c r="K326" t="s">
        <v>32</v>
      </c>
      <c r="L326" t="s">
        <v>295</v>
      </c>
      <c r="M326" t="s">
        <v>296</v>
      </c>
      <c r="N326">
        <v>2.9000000000000001E-2</v>
      </c>
      <c r="O326" t="str">
        <f>IF(Transactions_RAW_cleaned[[#This Row],[Status]]="Completed", IFERROR(_xlfn.XLOOKUP(Transactions_RAW_cleaned[[#This Row],[CustomerID]], Customers_cleaned[CustomerID], Customers_cleaned[Segment]), "Customer Not Found"), "N/A")</f>
        <v>SMB</v>
      </c>
      <c r="P326" s="5" t="str">
        <f>IF(Transactions_RAW_cleaned[[#This Row],[Status]]="Refunded", "Refund",
  IF(Transactions_RAW_cleaned[[#This Row],[Category]]="Payments", IF(Transactions_RAW_cleaned[[#This Row],[Amount]]&gt;500,"High Value","Standard"),
    IF(Transactions_RAW_cleaned[[#This Row],[Amount]]&gt;250,"High Value","Standard")))</f>
        <v>High Value</v>
      </c>
      <c r="Q326" s="5" t="str">
        <f>IF(Transactions_RAW_cleaned[[#This Row],[Amount]] &gt; (_xlfn.XLOOKUP(Transactions_RAW_cleaned[[#This Row],[ServiceID]],Services_cleaned[ServiceID],Services_cleaned[TransactionFeePct]) * 10000), "Yes", "No")</f>
        <v>Yes</v>
      </c>
      <c r="R326" s="5" t="str">
        <f>IF(COUNTIFS($C$2:Transactions_RAW_cleaned[[#This Row],[CustomerID]],Transactions_RAW_cleaned[[#This Row],[CustomerID]],$D$2:Transactions_RAW_cleaned[[#This Row],[ServiceID]],Transactions_RAW_cleaned[[#This Row],[ServiceID]])=1,"Yes","No")</f>
        <v>No</v>
      </c>
      <c r="S32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26" t="str">
        <f>"Q"&amp;ROUNDUP(MONTH(Transactions_RAW_cleaned[[#This Row],[TransactionDate]])/3,0)</f>
        <v>Q3</v>
      </c>
      <c r="U326" t="str">
        <f>Transactions_RAW_cleaned[[#This Row],[Region ]]&amp;Transactions_RAW_cleaned[[#This Row],[Quarter ]]</f>
        <v>NAQ3</v>
      </c>
      <c r="V326" s="5">
        <f>_xlfn.XLOOKUP(Transactions_RAW_cleaned[[#This Row],[RegionQuarterKey]], Quarterly_Targets_cleaned[RegionQuarterKey], Quarterly_Targets_cleaned[TargetRevenue])</f>
        <v>273000</v>
      </c>
    </row>
    <row r="327" spans="1:22" x14ac:dyDescent="0.25">
      <c r="A327" t="s">
        <v>660</v>
      </c>
      <c r="B327" s="1">
        <v>45461</v>
      </c>
      <c r="C327" t="s">
        <v>263</v>
      </c>
      <c r="D327" t="s">
        <v>294</v>
      </c>
      <c r="E327">
        <v>967.94</v>
      </c>
      <c r="F327" t="s">
        <v>324</v>
      </c>
      <c r="G327" t="s">
        <v>325</v>
      </c>
      <c r="I327" t="s">
        <v>8</v>
      </c>
      <c r="J327" t="s">
        <v>102</v>
      </c>
      <c r="K327" t="s">
        <v>32</v>
      </c>
      <c r="L327" t="s">
        <v>295</v>
      </c>
      <c r="M327" t="s">
        <v>296</v>
      </c>
      <c r="N327">
        <v>2.9000000000000001E-2</v>
      </c>
      <c r="O327" t="str">
        <f>IF(Transactions_RAW_cleaned[[#This Row],[Status]]="Completed", IFERROR(_xlfn.XLOOKUP(Transactions_RAW_cleaned[[#This Row],[CustomerID]], Customers_cleaned[CustomerID], Customers_cleaned[Segment]), "Customer Not Found"), "N/A")</f>
        <v>SMB</v>
      </c>
      <c r="P327" s="5" t="str">
        <f>IF(Transactions_RAW_cleaned[[#This Row],[Status]]="Refunded", "Refund",
  IF(Transactions_RAW_cleaned[[#This Row],[Category]]="Payments", IF(Transactions_RAW_cleaned[[#This Row],[Amount]]&gt;500,"High Value","Standard"),
    IF(Transactions_RAW_cleaned[[#This Row],[Amount]]&gt;250,"High Value","Standard")))</f>
        <v>High Value</v>
      </c>
      <c r="Q327" s="5" t="str">
        <f>IF(Transactions_RAW_cleaned[[#This Row],[Amount]] &gt; (_xlfn.XLOOKUP(Transactions_RAW_cleaned[[#This Row],[ServiceID]],Services_cleaned[ServiceID],Services_cleaned[TransactionFeePct]) * 10000), "Yes", "No")</f>
        <v>Yes</v>
      </c>
      <c r="R327" s="5" t="str">
        <f>IF(COUNTIFS($C$2:Transactions_RAW_cleaned[[#This Row],[CustomerID]],Transactions_RAW_cleaned[[#This Row],[CustomerID]],$D$2:Transactions_RAW_cleaned[[#This Row],[ServiceID]],Transactions_RAW_cleaned[[#This Row],[ServiceID]])=1,"Yes","No")</f>
        <v>No</v>
      </c>
      <c r="S32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27" t="str">
        <f>"Q"&amp;ROUNDUP(MONTH(Transactions_RAW_cleaned[[#This Row],[TransactionDate]])/3,0)</f>
        <v>Q2</v>
      </c>
      <c r="U327" t="str">
        <f>Transactions_RAW_cleaned[[#This Row],[Region ]]&amp;Transactions_RAW_cleaned[[#This Row],[Quarter ]]</f>
        <v>NAQ2</v>
      </c>
      <c r="V327" s="5">
        <f>_xlfn.XLOOKUP(Transactions_RAW_cleaned[[#This Row],[RegionQuarterKey]], Quarterly_Targets_cleaned[RegionQuarterKey], Quarterly_Targets_cleaned[TargetRevenue])</f>
        <v>260000</v>
      </c>
    </row>
    <row r="328" spans="1:22" x14ac:dyDescent="0.25">
      <c r="A328" t="s">
        <v>661</v>
      </c>
      <c r="B328" s="1">
        <v>45300</v>
      </c>
      <c r="C328" t="s">
        <v>217</v>
      </c>
      <c r="D328" t="s">
        <v>312</v>
      </c>
      <c r="E328">
        <v>-290.39</v>
      </c>
      <c r="F328" t="s">
        <v>349</v>
      </c>
      <c r="G328" t="s">
        <v>327</v>
      </c>
      <c r="I328" t="s">
        <v>17</v>
      </c>
      <c r="J328" t="s">
        <v>102</v>
      </c>
      <c r="K328" t="s">
        <v>14</v>
      </c>
      <c r="L328" t="s">
        <v>313</v>
      </c>
      <c r="M328" t="s">
        <v>314</v>
      </c>
      <c r="N328">
        <v>0</v>
      </c>
      <c r="O328" t="str">
        <f>IF(Transactions_RAW_cleaned[[#This Row],[Status]]="Completed", IFERROR(_xlfn.XLOOKUP(Transactions_RAW_cleaned[[#This Row],[CustomerID]], Customers_cleaned[CustomerID], Customers_cleaned[Segment]), "Customer Not Found"), "N/A")</f>
        <v>N/A</v>
      </c>
      <c r="P328" s="5" t="str">
        <f>IF(Transactions_RAW_cleaned[[#This Row],[Status]]="Refunded", "Refund",
  IF(Transactions_RAW_cleaned[[#This Row],[Category]]="Payments", IF(Transactions_RAW_cleaned[[#This Row],[Amount]]&gt;500,"High Value","Standard"),
    IF(Transactions_RAW_cleaned[[#This Row],[Amount]]&gt;250,"High Value","Standard")))</f>
        <v>Refund</v>
      </c>
      <c r="Q328" s="5" t="str">
        <f>IF(Transactions_RAW_cleaned[[#This Row],[Amount]] &gt; (_xlfn.XLOOKUP(Transactions_RAW_cleaned[[#This Row],[ServiceID]],Services_cleaned[ServiceID],Services_cleaned[TransactionFeePct]) * 10000), "Yes", "No")</f>
        <v>No</v>
      </c>
      <c r="R328" s="5" t="str">
        <f>IF(COUNTIFS($C$2:Transactions_RAW_cleaned[[#This Row],[CustomerID]],Transactions_RAW_cleaned[[#This Row],[CustomerID]],$D$2:Transactions_RAW_cleaned[[#This Row],[ServiceID]],Transactions_RAW_cleaned[[#This Row],[ServiceID]])=1,"Yes","No")</f>
        <v>Yes</v>
      </c>
      <c r="S32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28" t="str">
        <f>"Q"&amp;ROUNDUP(MONTH(Transactions_RAW_cleaned[[#This Row],[TransactionDate]])/3,0)</f>
        <v>Q1</v>
      </c>
      <c r="U328" t="str">
        <f>Transactions_RAW_cleaned[[#This Row],[Region ]]&amp;Transactions_RAW_cleaned[[#This Row],[Quarter ]]</f>
        <v>NAQ1</v>
      </c>
      <c r="V328" s="5">
        <f>_xlfn.XLOOKUP(Transactions_RAW_cleaned[[#This Row],[RegionQuarterKey]], Quarterly_Targets_cleaned[RegionQuarterKey], Quarterly_Targets_cleaned[TargetRevenue])</f>
        <v>247000</v>
      </c>
    </row>
    <row r="329" spans="1:22" x14ac:dyDescent="0.25">
      <c r="A329" t="s">
        <v>662</v>
      </c>
      <c r="B329" s="1">
        <v>45349</v>
      </c>
      <c r="C329" t="s">
        <v>58</v>
      </c>
      <c r="D329" t="s">
        <v>315</v>
      </c>
      <c r="E329">
        <v>441.15</v>
      </c>
      <c r="F329" t="s">
        <v>331</v>
      </c>
      <c r="G329" t="s">
        <v>325</v>
      </c>
      <c r="I329" t="s">
        <v>17</v>
      </c>
      <c r="J329" t="s">
        <v>102</v>
      </c>
      <c r="K329" t="s">
        <v>22</v>
      </c>
      <c r="L329" t="s">
        <v>316</v>
      </c>
      <c r="M329" t="s">
        <v>305</v>
      </c>
      <c r="N329">
        <v>2.5000000000000001E-3</v>
      </c>
      <c r="O329" t="str">
        <f>IF(Transactions_RAW_cleaned[[#This Row],[Status]]="Completed", IFERROR(_xlfn.XLOOKUP(Transactions_RAW_cleaned[[#This Row],[CustomerID]], Customers_cleaned[CustomerID], Customers_cleaned[Segment]), "Customer Not Found"), "N/A")</f>
        <v>N/A</v>
      </c>
      <c r="P329" s="5" t="str">
        <f>IF(Transactions_RAW_cleaned[[#This Row],[Status]]="Refunded", "Refund",
  IF(Transactions_RAW_cleaned[[#This Row],[Category]]="Payments", IF(Transactions_RAW_cleaned[[#This Row],[Amount]]&gt;500,"High Value","Standard"),
    IF(Transactions_RAW_cleaned[[#This Row],[Amount]]&gt;250,"High Value","Standard")))</f>
        <v>High Value</v>
      </c>
      <c r="Q329" s="5" t="str">
        <f>IF(Transactions_RAW_cleaned[[#This Row],[Amount]] &gt; (_xlfn.XLOOKUP(Transactions_RAW_cleaned[[#This Row],[ServiceID]],Services_cleaned[ServiceID],Services_cleaned[TransactionFeePct]) * 10000), "Yes", "No")</f>
        <v>Yes</v>
      </c>
      <c r="R329" s="5" t="str">
        <f>IF(COUNTIFS($C$2:Transactions_RAW_cleaned[[#This Row],[CustomerID]],Transactions_RAW_cleaned[[#This Row],[CustomerID]],$D$2:Transactions_RAW_cleaned[[#This Row],[ServiceID]],Transactions_RAW_cleaned[[#This Row],[ServiceID]])=1,"Yes","No")</f>
        <v>No</v>
      </c>
      <c r="S32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29" t="str">
        <f>"Q"&amp;ROUNDUP(MONTH(Transactions_RAW_cleaned[[#This Row],[TransactionDate]])/3,0)</f>
        <v>Q1</v>
      </c>
      <c r="U329" t="str">
        <f>Transactions_RAW_cleaned[[#This Row],[Region ]]&amp;Transactions_RAW_cleaned[[#This Row],[Quarter ]]</f>
        <v>NAQ1</v>
      </c>
      <c r="V329" s="5">
        <f>_xlfn.XLOOKUP(Transactions_RAW_cleaned[[#This Row],[RegionQuarterKey]], Quarterly_Targets_cleaned[RegionQuarterKey], Quarterly_Targets_cleaned[TargetRevenue])</f>
        <v>247000</v>
      </c>
    </row>
    <row r="330" spans="1:22" x14ac:dyDescent="0.25">
      <c r="A330" t="s">
        <v>663</v>
      </c>
      <c r="B330" s="1">
        <v>45585</v>
      </c>
      <c r="C330" t="s">
        <v>641</v>
      </c>
      <c r="D330" t="s">
        <v>294</v>
      </c>
      <c r="E330">
        <v>687.42</v>
      </c>
      <c r="F330" t="s">
        <v>324</v>
      </c>
      <c r="G330" t="s">
        <v>329</v>
      </c>
      <c r="I330" t="s">
        <v>8</v>
      </c>
      <c r="J330" t="s">
        <v>13</v>
      </c>
      <c r="K330" t="s">
        <v>22</v>
      </c>
      <c r="L330" t="s">
        <v>295</v>
      </c>
      <c r="M330" t="s">
        <v>296</v>
      </c>
      <c r="N330">
        <v>2.9000000000000001E-2</v>
      </c>
      <c r="O330" t="str">
        <f>IF(Transactions_RAW_cleaned[[#This Row],[Status]]="Completed", IFERROR(_xlfn.XLOOKUP(Transactions_RAW_cleaned[[#This Row],[CustomerID]], Customers_cleaned[CustomerID], Customers_cleaned[Segment]), "Customer Not Found"), "N/A")</f>
        <v>SMB</v>
      </c>
      <c r="P330" s="5" t="str">
        <f>IF(Transactions_RAW_cleaned[[#This Row],[Status]]="Refunded", "Refund",
  IF(Transactions_RAW_cleaned[[#This Row],[Category]]="Payments", IF(Transactions_RAW_cleaned[[#This Row],[Amount]]&gt;500,"High Value","Standard"),
    IF(Transactions_RAW_cleaned[[#This Row],[Amount]]&gt;250,"High Value","Standard")))</f>
        <v>High Value</v>
      </c>
      <c r="Q330" s="5" t="str">
        <f>IF(Transactions_RAW_cleaned[[#This Row],[Amount]] &gt; (_xlfn.XLOOKUP(Transactions_RAW_cleaned[[#This Row],[ServiceID]],Services_cleaned[ServiceID],Services_cleaned[TransactionFeePct]) * 10000), "Yes", "No")</f>
        <v>Yes</v>
      </c>
      <c r="R330" s="5" t="str">
        <f>IF(COUNTIFS($C$2:Transactions_RAW_cleaned[[#This Row],[CustomerID]],Transactions_RAW_cleaned[[#This Row],[CustomerID]],$D$2:Transactions_RAW_cleaned[[#This Row],[ServiceID]],Transactions_RAW_cleaned[[#This Row],[ServiceID]])=1,"Yes","No")</f>
        <v>Yes</v>
      </c>
      <c r="S33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30" t="str">
        <f>"Q"&amp;ROUNDUP(MONTH(Transactions_RAW_cleaned[[#This Row],[TransactionDate]])/3,0)</f>
        <v>Q4</v>
      </c>
      <c r="U330" t="str">
        <f>Transactions_RAW_cleaned[[#This Row],[Region ]]&amp;Transactions_RAW_cleaned[[#This Row],[Quarter ]]</f>
        <v>NAQ4</v>
      </c>
      <c r="V330" s="5">
        <f>_xlfn.XLOOKUP(Transactions_RAW_cleaned[[#This Row],[RegionQuarterKey]], Quarterly_Targets_cleaned[RegionQuarterKey], Quarterly_Targets_cleaned[TargetRevenue])</f>
        <v>299000</v>
      </c>
    </row>
    <row r="331" spans="1:22" x14ac:dyDescent="0.25">
      <c r="A331" t="s">
        <v>664</v>
      </c>
      <c r="B331" s="1">
        <v>45397</v>
      </c>
      <c r="C331" t="s">
        <v>217</v>
      </c>
      <c r="D331" t="s">
        <v>315</v>
      </c>
      <c r="E331">
        <v>1049.8399999999999</v>
      </c>
      <c r="F331" t="s">
        <v>324</v>
      </c>
      <c r="G331" t="s">
        <v>327</v>
      </c>
      <c r="H331" t="s">
        <v>334</v>
      </c>
      <c r="I331" t="s">
        <v>17</v>
      </c>
      <c r="J331" t="s">
        <v>102</v>
      </c>
      <c r="K331" t="s">
        <v>14</v>
      </c>
      <c r="L331" t="s">
        <v>316</v>
      </c>
      <c r="M331" t="s">
        <v>305</v>
      </c>
      <c r="N331">
        <v>2.5000000000000001E-3</v>
      </c>
      <c r="O331" t="str">
        <f>IF(Transactions_RAW_cleaned[[#This Row],[Status]]="Completed", IFERROR(_xlfn.XLOOKUP(Transactions_RAW_cleaned[[#This Row],[CustomerID]], Customers_cleaned[CustomerID], Customers_cleaned[Segment]), "Customer Not Found"), "N/A")</f>
        <v>Enterprise</v>
      </c>
      <c r="P331" s="5" t="str">
        <f>IF(Transactions_RAW_cleaned[[#This Row],[Status]]="Refunded", "Refund",
  IF(Transactions_RAW_cleaned[[#This Row],[Category]]="Payments", IF(Transactions_RAW_cleaned[[#This Row],[Amount]]&gt;500,"High Value","Standard"),
    IF(Transactions_RAW_cleaned[[#This Row],[Amount]]&gt;250,"High Value","Standard")))</f>
        <v>High Value</v>
      </c>
      <c r="Q331" s="5" t="str">
        <f>IF(Transactions_RAW_cleaned[[#This Row],[Amount]] &gt; (_xlfn.XLOOKUP(Transactions_RAW_cleaned[[#This Row],[ServiceID]],Services_cleaned[ServiceID],Services_cleaned[TransactionFeePct]) * 10000), "Yes", "No")</f>
        <v>Yes</v>
      </c>
      <c r="R331" s="5" t="str">
        <f>IF(COUNTIFS($C$2:Transactions_RAW_cleaned[[#This Row],[CustomerID]],Transactions_RAW_cleaned[[#This Row],[CustomerID]],$D$2:Transactions_RAW_cleaned[[#This Row],[ServiceID]],Transactions_RAW_cleaned[[#This Row],[ServiceID]])=1,"Yes","No")</f>
        <v>Yes</v>
      </c>
      <c r="S33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31" t="str">
        <f>"Q"&amp;ROUNDUP(MONTH(Transactions_RAW_cleaned[[#This Row],[TransactionDate]])/3,0)</f>
        <v>Q2</v>
      </c>
      <c r="U331" t="str">
        <f>Transactions_RAW_cleaned[[#This Row],[Region ]]&amp;Transactions_RAW_cleaned[[#This Row],[Quarter ]]</f>
        <v>NAQ2</v>
      </c>
      <c r="V331" s="5">
        <f>_xlfn.XLOOKUP(Transactions_RAW_cleaned[[#This Row],[RegionQuarterKey]], Quarterly_Targets_cleaned[RegionQuarterKey], Quarterly_Targets_cleaned[TargetRevenue])</f>
        <v>260000</v>
      </c>
    </row>
    <row r="332" spans="1:22" x14ac:dyDescent="0.25">
      <c r="A332" t="s">
        <v>665</v>
      </c>
      <c r="B332" s="1">
        <v>45531</v>
      </c>
      <c r="C332" t="s">
        <v>199</v>
      </c>
      <c r="D332" t="s">
        <v>315</v>
      </c>
      <c r="E332">
        <v>508.1</v>
      </c>
      <c r="F332" t="s">
        <v>331</v>
      </c>
      <c r="G332" t="s">
        <v>325</v>
      </c>
      <c r="I332" t="s">
        <v>8</v>
      </c>
      <c r="J332" t="s">
        <v>13</v>
      </c>
      <c r="K332" t="s">
        <v>32</v>
      </c>
      <c r="L332" t="s">
        <v>316</v>
      </c>
      <c r="M332" t="s">
        <v>305</v>
      </c>
      <c r="N332">
        <v>2.5000000000000001E-3</v>
      </c>
      <c r="O332" t="str">
        <f>IF(Transactions_RAW_cleaned[[#This Row],[Status]]="Completed", IFERROR(_xlfn.XLOOKUP(Transactions_RAW_cleaned[[#This Row],[CustomerID]], Customers_cleaned[CustomerID], Customers_cleaned[Segment]), "Customer Not Found"), "N/A")</f>
        <v>N/A</v>
      </c>
      <c r="P332" s="5" t="str">
        <f>IF(Transactions_RAW_cleaned[[#This Row],[Status]]="Refunded", "Refund",
  IF(Transactions_RAW_cleaned[[#This Row],[Category]]="Payments", IF(Transactions_RAW_cleaned[[#This Row],[Amount]]&gt;500,"High Value","Standard"),
    IF(Transactions_RAW_cleaned[[#This Row],[Amount]]&gt;250,"High Value","Standard")))</f>
        <v>High Value</v>
      </c>
      <c r="Q332" s="5" t="str">
        <f>IF(Transactions_RAW_cleaned[[#This Row],[Amount]] &gt; (_xlfn.XLOOKUP(Transactions_RAW_cleaned[[#This Row],[ServiceID]],Services_cleaned[ServiceID],Services_cleaned[TransactionFeePct]) * 10000), "Yes", "No")</f>
        <v>Yes</v>
      </c>
      <c r="R332" s="5" t="str">
        <f>IF(COUNTIFS($C$2:Transactions_RAW_cleaned[[#This Row],[CustomerID]],Transactions_RAW_cleaned[[#This Row],[CustomerID]],$D$2:Transactions_RAW_cleaned[[#This Row],[ServiceID]],Transactions_RAW_cleaned[[#This Row],[ServiceID]])=1,"Yes","No")</f>
        <v>Yes</v>
      </c>
      <c r="S33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32" t="str">
        <f>"Q"&amp;ROUNDUP(MONTH(Transactions_RAW_cleaned[[#This Row],[TransactionDate]])/3,0)</f>
        <v>Q3</v>
      </c>
      <c r="U332" t="str">
        <f>Transactions_RAW_cleaned[[#This Row],[Region ]]&amp;Transactions_RAW_cleaned[[#This Row],[Quarter ]]</f>
        <v>NAQ3</v>
      </c>
      <c r="V332" s="5">
        <f>_xlfn.XLOOKUP(Transactions_RAW_cleaned[[#This Row],[RegionQuarterKey]], Quarterly_Targets_cleaned[RegionQuarterKey], Quarterly_Targets_cleaned[TargetRevenue])</f>
        <v>273000</v>
      </c>
    </row>
    <row r="333" spans="1:22" x14ac:dyDescent="0.25">
      <c r="A333" t="s">
        <v>666</v>
      </c>
      <c r="B333" s="1">
        <v>45364</v>
      </c>
      <c r="C333" t="s">
        <v>179</v>
      </c>
      <c r="D333" t="s">
        <v>306</v>
      </c>
      <c r="E333">
        <v>1219.83</v>
      </c>
      <c r="F333" t="s">
        <v>324</v>
      </c>
      <c r="G333" t="s">
        <v>337</v>
      </c>
      <c r="I333" t="s">
        <v>8</v>
      </c>
      <c r="J333" t="s">
        <v>31</v>
      </c>
      <c r="K333" t="s">
        <v>18</v>
      </c>
      <c r="L333" t="s">
        <v>307</v>
      </c>
      <c r="M333" t="s">
        <v>308</v>
      </c>
      <c r="N333">
        <v>0</v>
      </c>
      <c r="O333" t="str">
        <f>IF(Transactions_RAW_cleaned[[#This Row],[Status]]="Completed", IFERROR(_xlfn.XLOOKUP(Transactions_RAW_cleaned[[#This Row],[CustomerID]], Customers_cleaned[CustomerID], Customers_cleaned[Segment]), "Customer Not Found"), "N/A")</f>
        <v>SMB</v>
      </c>
      <c r="P333" s="5" t="str">
        <f>IF(Transactions_RAW_cleaned[[#This Row],[Status]]="Refunded", "Refund",
  IF(Transactions_RAW_cleaned[[#This Row],[Category]]="Payments", IF(Transactions_RAW_cleaned[[#This Row],[Amount]]&gt;500,"High Value","Standard"),
    IF(Transactions_RAW_cleaned[[#This Row],[Amount]]&gt;250,"High Value","Standard")))</f>
        <v>High Value</v>
      </c>
      <c r="Q333" s="5" t="str">
        <f>IF(Transactions_RAW_cleaned[[#This Row],[Amount]] &gt; (_xlfn.XLOOKUP(Transactions_RAW_cleaned[[#This Row],[ServiceID]],Services_cleaned[ServiceID],Services_cleaned[TransactionFeePct]) * 10000), "Yes", "No")</f>
        <v>Yes</v>
      </c>
      <c r="R333" s="5" t="str">
        <f>IF(COUNTIFS($C$2:Transactions_RAW_cleaned[[#This Row],[CustomerID]],Transactions_RAW_cleaned[[#This Row],[CustomerID]],$D$2:Transactions_RAW_cleaned[[#This Row],[ServiceID]],Transactions_RAW_cleaned[[#This Row],[ServiceID]])=1,"Yes","No")</f>
        <v>Yes</v>
      </c>
      <c r="S33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333" t="str">
        <f>"Q"&amp;ROUNDUP(MONTH(Transactions_RAW_cleaned[[#This Row],[TransactionDate]])/3,0)</f>
        <v>Q1</v>
      </c>
      <c r="U333" t="str">
        <f>Transactions_RAW_cleaned[[#This Row],[Region ]]&amp;Transactions_RAW_cleaned[[#This Row],[Quarter ]]</f>
        <v>EMEAQ1</v>
      </c>
      <c r="V333" s="5">
        <f>_xlfn.XLOOKUP(Transactions_RAW_cleaned[[#This Row],[RegionQuarterKey]], Quarterly_Targets_cleaned[RegionQuarterKey], Quarterly_Targets_cleaned[TargetRevenue])</f>
        <v>133000</v>
      </c>
    </row>
    <row r="334" spans="1:22" x14ac:dyDescent="0.25">
      <c r="A334" t="s">
        <v>667</v>
      </c>
      <c r="B334" s="1">
        <v>45536</v>
      </c>
      <c r="C334" t="s">
        <v>139</v>
      </c>
      <c r="D334" t="s">
        <v>300</v>
      </c>
      <c r="E334">
        <v>458.27</v>
      </c>
      <c r="F334" t="s">
        <v>324</v>
      </c>
      <c r="G334" t="s">
        <v>327</v>
      </c>
      <c r="H334" t="s">
        <v>334</v>
      </c>
      <c r="I334" t="s">
        <v>8</v>
      </c>
      <c r="J334" t="s">
        <v>102</v>
      </c>
      <c r="K334" t="s">
        <v>22</v>
      </c>
      <c r="L334" t="s">
        <v>301</v>
      </c>
      <c r="M334" t="s">
        <v>302</v>
      </c>
      <c r="N334">
        <v>5.0000000000000001E-3</v>
      </c>
      <c r="O334" t="str">
        <f>IF(Transactions_RAW_cleaned[[#This Row],[Status]]="Completed", IFERROR(_xlfn.XLOOKUP(Transactions_RAW_cleaned[[#This Row],[CustomerID]], Customers_cleaned[CustomerID], Customers_cleaned[Segment]), "Customer Not Found"), "N/A")</f>
        <v>SMB</v>
      </c>
      <c r="P334" s="5" t="str">
        <f>IF(Transactions_RAW_cleaned[[#This Row],[Status]]="Refunded", "Refund",
  IF(Transactions_RAW_cleaned[[#This Row],[Category]]="Payments", IF(Transactions_RAW_cleaned[[#This Row],[Amount]]&gt;500,"High Value","Standard"),
    IF(Transactions_RAW_cleaned[[#This Row],[Amount]]&gt;250,"High Value","Standard")))</f>
        <v>High Value</v>
      </c>
      <c r="Q334" s="5" t="str">
        <f>IF(Transactions_RAW_cleaned[[#This Row],[Amount]] &gt; (_xlfn.XLOOKUP(Transactions_RAW_cleaned[[#This Row],[ServiceID]],Services_cleaned[ServiceID],Services_cleaned[TransactionFeePct]) * 10000), "Yes", "No")</f>
        <v>Yes</v>
      </c>
      <c r="R334" s="5" t="str">
        <f>IF(COUNTIFS($C$2:Transactions_RAW_cleaned[[#This Row],[CustomerID]],Transactions_RAW_cleaned[[#This Row],[CustomerID]],$D$2:Transactions_RAW_cleaned[[#This Row],[ServiceID]],Transactions_RAW_cleaned[[#This Row],[ServiceID]])=1,"Yes","No")</f>
        <v>No</v>
      </c>
      <c r="S33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34" t="str">
        <f>"Q"&amp;ROUNDUP(MONTH(Transactions_RAW_cleaned[[#This Row],[TransactionDate]])/3,0)</f>
        <v>Q3</v>
      </c>
      <c r="U334" t="str">
        <f>Transactions_RAW_cleaned[[#This Row],[Region ]]&amp;Transactions_RAW_cleaned[[#This Row],[Quarter ]]</f>
        <v>NAQ3</v>
      </c>
      <c r="V334" s="5">
        <f>_xlfn.XLOOKUP(Transactions_RAW_cleaned[[#This Row],[RegionQuarterKey]], Quarterly_Targets_cleaned[RegionQuarterKey], Quarterly_Targets_cleaned[TargetRevenue])</f>
        <v>273000</v>
      </c>
    </row>
    <row r="335" spans="1:22" x14ac:dyDescent="0.25">
      <c r="A335" t="s">
        <v>668</v>
      </c>
      <c r="B335" s="1">
        <v>45478</v>
      </c>
      <c r="C335" t="s">
        <v>109</v>
      </c>
      <c r="D335" t="s">
        <v>294</v>
      </c>
      <c r="E335">
        <v>353.54</v>
      </c>
      <c r="F335" t="s">
        <v>381</v>
      </c>
      <c r="G335" t="s">
        <v>337</v>
      </c>
      <c r="I335" t="s">
        <v>8</v>
      </c>
      <c r="J335" t="s">
        <v>102</v>
      </c>
      <c r="K335" t="s">
        <v>18</v>
      </c>
      <c r="L335" t="s">
        <v>295</v>
      </c>
      <c r="M335" t="s">
        <v>296</v>
      </c>
      <c r="N335">
        <v>2.9000000000000001E-2</v>
      </c>
      <c r="O335" t="str">
        <f>IF(Transactions_RAW_cleaned[[#This Row],[Status]]="Completed", IFERROR(_xlfn.XLOOKUP(Transactions_RAW_cleaned[[#This Row],[CustomerID]], Customers_cleaned[CustomerID], Customers_cleaned[Segment]), "Customer Not Found"), "N/A")</f>
        <v>N/A</v>
      </c>
      <c r="P335" s="5" t="str">
        <f>IF(Transactions_RAW_cleaned[[#This Row],[Status]]="Refunded", "Refund",
  IF(Transactions_RAW_cleaned[[#This Row],[Category]]="Payments", IF(Transactions_RAW_cleaned[[#This Row],[Amount]]&gt;500,"High Value","Standard"),
    IF(Transactions_RAW_cleaned[[#This Row],[Amount]]&gt;250,"High Value","Standard")))</f>
        <v>Standard</v>
      </c>
      <c r="Q335" s="5" t="str">
        <f>IF(Transactions_RAW_cleaned[[#This Row],[Amount]] &gt; (_xlfn.XLOOKUP(Transactions_RAW_cleaned[[#This Row],[ServiceID]],Services_cleaned[ServiceID],Services_cleaned[TransactionFeePct]) * 10000), "Yes", "No")</f>
        <v>Yes</v>
      </c>
      <c r="R335" s="5" t="str">
        <f>IF(COUNTIFS($C$2:Transactions_RAW_cleaned[[#This Row],[CustomerID]],Transactions_RAW_cleaned[[#This Row],[CustomerID]],$D$2:Transactions_RAW_cleaned[[#This Row],[ServiceID]],Transactions_RAW_cleaned[[#This Row],[ServiceID]])=1,"Yes","No")</f>
        <v>Yes</v>
      </c>
      <c r="S33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35" t="str">
        <f>"Q"&amp;ROUNDUP(MONTH(Transactions_RAW_cleaned[[#This Row],[TransactionDate]])/3,0)</f>
        <v>Q3</v>
      </c>
      <c r="U335" t="str">
        <f>Transactions_RAW_cleaned[[#This Row],[Region ]]&amp;Transactions_RAW_cleaned[[#This Row],[Quarter ]]</f>
        <v>NAQ3</v>
      </c>
      <c r="V335" s="5">
        <f>_xlfn.XLOOKUP(Transactions_RAW_cleaned[[#This Row],[RegionQuarterKey]], Quarterly_Targets_cleaned[RegionQuarterKey], Quarterly_Targets_cleaned[TargetRevenue])</f>
        <v>273000</v>
      </c>
    </row>
    <row r="336" spans="1:22" x14ac:dyDescent="0.25">
      <c r="A336" t="s">
        <v>669</v>
      </c>
      <c r="B336" s="1">
        <v>45592</v>
      </c>
      <c r="C336" t="s">
        <v>215</v>
      </c>
      <c r="D336" t="s">
        <v>297</v>
      </c>
      <c r="E336">
        <v>-333.02</v>
      </c>
      <c r="F336" t="s">
        <v>349</v>
      </c>
      <c r="G336" t="s">
        <v>337</v>
      </c>
      <c r="H336" t="s">
        <v>346</v>
      </c>
      <c r="I336" t="s">
        <v>57</v>
      </c>
      <c r="J336" t="s">
        <v>102</v>
      </c>
      <c r="K336" t="s">
        <v>14</v>
      </c>
      <c r="L336" t="s">
        <v>298</v>
      </c>
      <c r="M336" t="s">
        <v>299</v>
      </c>
      <c r="N336">
        <v>0</v>
      </c>
      <c r="O336" t="str">
        <f>IF(Transactions_RAW_cleaned[[#This Row],[Status]]="Completed", IFERROR(_xlfn.XLOOKUP(Transactions_RAW_cleaned[[#This Row],[CustomerID]], Customers_cleaned[CustomerID], Customers_cleaned[Segment]), "Customer Not Found"), "N/A")</f>
        <v>N/A</v>
      </c>
      <c r="P336" s="5" t="str">
        <f>IF(Transactions_RAW_cleaned[[#This Row],[Status]]="Refunded", "Refund",
  IF(Transactions_RAW_cleaned[[#This Row],[Category]]="Payments", IF(Transactions_RAW_cleaned[[#This Row],[Amount]]&gt;500,"High Value","Standard"),
    IF(Transactions_RAW_cleaned[[#This Row],[Amount]]&gt;250,"High Value","Standard")))</f>
        <v>Refund</v>
      </c>
      <c r="Q336" s="5" t="str">
        <f>IF(Transactions_RAW_cleaned[[#This Row],[Amount]] &gt; (_xlfn.XLOOKUP(Transactions_RAW_cleaned[[#This Row],[ServiceID]],Services_cleaned[ServiceID],Services_cleaned[TransactionFeePct]) * 10000), "Yes", "No")</f>
        <v>No</v>
      </c>
      <c r="R336" s="5" t="str">
        <f>IF(COUNTIFS($C$2:Transactions_RAW_cleaned[[#This Row],[CustomerID]],Transactions_RAW_cleaned[[#This Row],[CustomerID]],$D$2:Transactions_RAW_cleaned[[#This Row],[ServiceID]],Transactions_RAW_cleaned[[#This Row],[ServiceID]])=1,"Yes","No")</f>
        <v>Yes</v>
      </c>
      <c r="S33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36" t="str">
        <f>"Q"&amp;ROUNDUP(MONTH(Transactions_RAW_cleaned[[#This Row],[TransactionDate]])/3,0)</f>
        <v>Q4</v>
      </c>
      <c r="U336" t="str">
        <f>Transactions_RAW_cleaned[[#This Row],[Region ]]&amp;Transactions_RAW_cleaned[[#This Row],[Quarter ]]</f>
        <v>NAQ4</v>
      </c>
      <c r="V336" s="5">
        <f>_xlfn.XLOOKUP(Transactions_RAW_cleaned[[#This Row],[RegionQuarterKey]], Quarterly_Targets_cleaned[RegionQuarterKey], Quarterly_Targets_cleaned[TargetRevenue])</f>
        <v>299000</v>
      </c>
    </row>
    <row r="337" spans="1:22" x14ac:dyDescent="0.25">
      <c r="A337" t="s">
        <v>670</v>
      </c>
      <c r="B337" s="1">
        <v>45542</v>
      </c>
      <c r="C337" t="s">
        <v>243</v>
      </c>
      <c r="D337" t="s">
        <v>312</v>
      </c>
      <c r="E337">
        <v>1084.8699999999999</v>
      </c>
      <c r="F337" t="s">
        <v>324</v>
      </c>
      <c r="G337" t="s">
        <v>337</v>
      </c>
      <c r="H337" t="s">
        <v>346</v>
      </c>
      <c r="I337" t="s">
        <v>17</v>
      </c>
      <c r="J337" t="s">
        <v>13</v>
      </c>
      <c r="K337" t="s">
        <v>28</v>
      </c>
      <c r="L337" t="s">
        <v>313</v>
      </c>
      <c r="M337" t="s">
        <v>314</v>
      </c>
      <c r="N337">
        <v>0</v>
      </c>
      <c r="O337" t="str">
        <f>IF(Transactions_RAW_cleaned[[#This Row],[Status]]="Completed", IFERROR(_xlfn.XLOOKUP(Transactions_RAW_cleaned[[#This Row],[CustomerID]], Customers_cleaned[CustomerID], Customers_cleaned[Segment]), "Customer Not Found"), "N/A")</f>
        <v>Enterprise</v>
      </c>
      <c r="P337" s="5" t="str">
        <f>IF(Transactions_RAW_cleaned[[#This Row],[Status]]="Refunded", "Refund",
  IF(Transactions_RAW_cleaned[[#This Row],[Category]]="Payments", IF(Transactions_RAW_cleaned[[#This Row],[Amount]]&gt;500,"High Value","Standard"),
    IF(Transactions_RAW_cleaned[[#This Row],[Amount]]&gt;250,"High Value","Standard")))</f>
        <v>High Value</v>
      </c>
      <c r="Q337" s="5" t="str">
        <f>IF(Transactions_RAW_cleaned[[#This Row],[Amount]] &gt; (_xlfn.XLOOKUP(Transactions_RAW_cleaned[[#This Row],[ServiceID]],Services_cleaned[ServiceID],Services_cleaned[TransactionFeePct]) * 10000), "Yes", "No")</f>
        <v>Yes</v>
      </c>
      <c r="R337" s="5" t="str">
        <f>IF(COUNTIFS($C$2:Transactions_RAW_cleaned[[#This Row],[CustomerID]],Transactions_RAW_cleaned[[#This Row],[CustomerID]],$D$2:Transactions_RAW_cleaned[[#This Row],[ServiceID]],Transactions_RAW_cleaned[[#This Row],[ServiceID]])=1,"Yes","No")</f>
        <v>Yes</v>
      </c>
      <c r="S33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37" t="str">
        <f>"Q"&amp;ROUNDUP(MONTH(Transactions_RAW_cleaned[[#This Row],[TransactionDate]])/3,0)</f>
        <v>Q3</v>
      </c>
      <c r="U337" t="str">
        <f>Transactions_RAW_cleaned[[#This Row],[Region ]]&amp;Transactions_RAW_cleaned[[#This Row],[Quarter ]]</f>
        <v>NAQ3</v>
      </c>
      <c r="V337" s="5">
        <f>_xlfn.XLOOKUP(Transactions_RAW_cleaned[[#This Row],[RegionQuarterKey]], Quarterly_Targets_cleaned[RegionQuarterKey], Quarterly_Targets_cleaned[TargetRevenue])</f>
        <v>273000</v>
      </c>
    </row>
    <row r="338" spans="1:22" x14ac:dyDescent="0.25">
      <c r="A338" t="s">
        <v>671</v>
      </c>
      <c r="B338" s="1">
        <v>45465</v>
      </c>
      <c r="C338" t="s">
        <v>68</v>
      </c>
      <c r="D338" t="s">
        <v>297</v>
      </c>
      <c r="E338">
        <v>753.09</v>
      </c>
      <c r="F338" t="s">
        <v>324</v>
      </c>
      <c r="G338" t="s">
        <v>325</v>
      </c>
      <c r="H338" t="s">
        <v>332</v>
      </c>
      <c r="I338" t="s">
        <v>57</v>
      </c>
      <c r="J338" t="s">
        <v>13</v>
      </c>
      <c r="K338" t="s">
        <v>10</v>
      </c>
      <c r="L338" t="s">
        <v>298</v>
      </c>
      <c r="M338" t="s">
        <v>299</v>
      </c>
      <c r="N338">
        <v>0</v>
      </c>
      <c r="O338" t="str">
        <f>IF(Transactions_RAW_cleaned[[#This Row],[Status]]="Completed", IFERROR(_xlfn.XLOOKUP(Transactions_RAW_cleaned[[#This Row],[CustomerID]], Customers_cleaned[CustomerID], Customers_cleaned[Segment]), "Customer Not Found"), "N/A")</f>
        <v>Startup</v>
      </c>
      <c r="P338" s="5" t="str">
        <f>IF(Transactions_RAW_cleaned[[#This Row],[Status]]="Refunded", "Refund",
  IF(Transactions_RAW_cleaned[[#This Row],[Category]]="Payments", IF(Transactions_RAW_cleaned[[#This Row],[Amount]]&gt;500,"High Value","Standard"),
    IF(Transactions_RAW_cleaned[[#This Row],[Amount]]&gt;250,"High Value","Standard")))</f>
        <v>High Value</v>
      </c>
      <c r="Q338" s="5" t="str">
        <f>IF(Transactions_RAW_cleaned[[#This Row],[Amount]] &gt; (_xlfn.XLOOKUP(Transactions_RAW_cleaned[[#This Row],[ServiceID]],Services_cleaned[ServiceID],Services_cleaned[TransactionFeePct]) * 10000), "Yes", "No")</f>
        <v>Yes</v>
      </c>
      <c r="R338" s="5" t="str">
        <f>IF(COUNTIFS($C$2:Transactions_RAW_cleaned[[#This Row],[CustomerID]],Transactions_RAW_cleaned[[#This Row],[CustomerID]],$D$2:Transactions_RAW_cleaned[[#This Row],[ServiceID]],Transactions_RAW_cleaned[[#This Row],[ServiceID]])=1,"Yes","No")</f>
        <v>No</v>
      </c>
      <c r="S33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38" t="str">
        <f>"Q"&amp;ROUNDUP(MONTH(Transactions_RAW_cleaned[[#This Row],[TransactionDate]])/3,0)</f>
        <v>Q2</v>
      </c>
      <c r="U338" t="str">
        <f>Transactions_RAW_cleaned[[#This Row],[Region ]]&amp;Transactions_RAW_cleaned[[#This Row],[Quarter ]]</f>
        <v>NAQ2</v>
      </c>
      <c r="V338" s="5">
        <f>_xlfn.XLOOKUP(Transactions_RAW_cleaned[[#This Row],[RegionQuarterKey]], Quarterly_Targets_cleaned[RegionQuarterKey], Quarterly_Targets_cleaned[TargetRevenue])</f>
        <v>260000</v>
      </c>
    </row>
    <row r="339" spans="1:22" x14ac:dyDescent="0.25">
      <c r="A339" t="s">
        <v>672</v>
      </c>
      <c r="B339" s="1">
        <v>45643</v>
      </c>
      <c r="C339" t="s">
        <v>265</v>
      </c>
      <c r="D339" t="s">
        <v>294</v>
      </c>
      <c r="E339">
        <v>1172.99</v>
      </c>
      <c r="F339" t="s">
        <v>324</v>
      </c>
      <c r="G339" t="s">
        <v>325</v>
      </c>
      <c r="H339" t="s">
        <v>346</v>
      </c>
      <c r="I339" t="s">
        <v>8</v>
      </c>
      <c r="J339" t="s">
        <v>102</v>
      </c>
      <c r="K339" t="s">
        <v>32</v>
      </c>
      <c r="L339" t="s">
        <v>295</v>
      </c>
      <c r="M339" t="s">
        <v>296</v>
      </c>
      <c r="N339">
        <v>2.9000000000000001E-2</v>
      </c>
      <c r="O339" t="str">
        <f>IF(Transactions_RAW_cleaned[[#This Row],[Status]]="Completed", IFERROR(_xlfn.XLOOKUP(Transactions_RAW_cleaned[[#This Row],[CustomerID]], Customers_cleaned[CustomerID], Customers_cleaned[Segment]), "Customer Not Found"), "N/A")</f>
        <v>SMB</v>
      </c>
      <c r="P339" s="5" t="str">
        <f>IF(Transactions_RAW_cleaned[[#This Row],[Status]]="Refunded", "Refund",
  IF(Transactions_RAW_cleaned[[#This Row],[Category]]="Payments", IF(Transactions_RAW_cleaned[[#This Row],[Amount]]&gt;500,"High Value","Standard"),
    IF(Transactions_RAW_cleaned[[#This Row],[Amount]]&gt;250,"High Value","Standard")))</f>
        <v>High Value</v>
      </c>
      <c r="Q339" s="5" t="str">
        <f>IF(Transactions_RAW_cleaned[[#This Row],[Amount]] &gt; (_xlfn.XLOOKUP(Transactions_RAW_cleaned[[#This Row],[ServiceID]],Services_cleaned[ServiceID],Services_cleaned[TransactionFeePct]) * 10000), "Yes", "No")</f>
        <v>Yes</v>
      </c>
      <c r="R339" s="5" t="str">
        <f>IF(COUNTIFS($C$2:Transactions_RAW_cleaned[[#This Row],[CustomerID]],Transactions_RAW_cleaned[[#This Row],[CustomerID]],$D$2:Transactions_RAW_cleaned[[#This Row],[ServiceID]],Transactions_RAW_cleaned[[#This Row],[ServiceID]])=1,"Yes","No")</f>
        <v>Yes</v>
      </c>
      <c r="S33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39" t="str">
        <f>"Q"&amp;ROUNDUP(MONTH(Transactions_RAW_cleaned[[#This Row],[TransactionDate]])/3,0)</f>
        <v>Q4</v>
      </c>
      <c r="U339" t="str">
        <f>Transactions_RAW_cleaned[[#This Row],[Region ]]&amp;Transactions_RAW_cleaned[[#This Row],[Quarter ]]</f>
        <v>NAQ4</v>
      </c>
      <c r="V339" s="5">
        <f>_xlfn.XLOOKUP(Transactions_RAW_cleaned[[#This Row],[RegionQuarterKey]], Quarterly_Targets_cleaned[RegionQuarterKey], Quarterly_Targets_cleaned[TargetRevenue])</f>
        <v>299000</v>
      </c>
    </row>
    <row r="340" spans="1:22" x14ac:dyDescent="0.25">
      <c r="A340" t="s">
        <v>673</v>
      </c>
      <c r="B340" s="1">
        <v>45299</v>
      </c>
      <c r="C340" t="s">
        <v>42</v>
      </c>
      <c r="D340" t="s">
        <v>315</v>
      </c>
      <c r="E340">
        <v>583.74</v>
      </c>
      <c r="F340" t="s">
        <v>331</v>
      </c>
      <c r="G340" t="s">
        <v>325</v>
      </c>
      <c r="I340" t="s">
        <v>8</v>
      </c>
      <c r="J340" t="s">
        <v>102</v>
      </c>
      <c r="K340" t="s">
        <v>10</v>
      </c>
      <c r="L340" t="s">
        <v>316</v>
      </c>
      <c r="M340" t="s">
        <v>305</v>
      </c>
      <c r="N340">
        <v>2.5000000000000001E-3</v>
      </c>
      <c r="O340" t="str">
        <f>IF(Transactions_RAW_cleaned[[#This Row],[Status]]="Completed", IFERROR(_xlfn.XLOOKUP(Transactions_RAW_cleaned[[#This Row],[CustomerID]], Customers_cleaned[CustomerID], Customers_cleaned[Segment]), "Customer Not Found"), "N/A")</f>
        <v>N/A</v>
      </c>
      <c r="P340" s="5" t="str">
        <f>IF(Transactions_RAW_cleaned[[#This Row],[Status]]="Refunded", "Refund",
  IF(Transactions_RAW_cleaned[[#This Row],[Category]]="Payments", IF(Transactions_RAW_cleaned[[#This Row],[Amount]]&gt;500,"High Value","Standard"),
    IF(Transactions_RAW_cleaned[[#This Row],[Amount]]&gt;250,"High Value","Standard")))</f>
        <v>High Value</v>
      </c>
      <c r="Q340" s="5" t="str">
        <f>IF(Transactions_RAW_cleaned[[#This Row],[Amount]] &gt; (_xlfn.XLOOKUP(Transactions_RAW_cleaned[[#This Row],[ServiceID]],Services_cleaned[ServiceID],Services_cleaned[TransactionFeePct]) * 10000), "Yes", "No")</f>
        <v>Yes</v>
      </c>
      <c r="R340" s="5" t="str">
        <f>IF(COUNTIFS($C$2:Transactions_RAW_cleaned[[#This Row],[CustomerID]],Transactions_RAW_cleaned[[#This Row],[CustomerID]],$D$2:Transactions_RAW_cleaned[[#This Row],[ServiceID]],Transactions_RAW_cleaned[[#This Row],[ServiceID]])=1,"Yes","No")</f>
        <v>Yes</v>
      </c>
      <c r="S34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40" t="str">
        <f>"Q"&amp;ROUNDUP(MONTH(Transactions_RAW_cleaned[[#This Row],[TransactionDate]])/3,0)</f>
        <v>Q1</v>
      </c>
      <c r="U340" t="str">
        <f>Transactions_RAW_cleaned[[#This Row],[Region ]]&amp;Transactions_RAW_cleaned[[#This Row],[Quarter ]]</f>
        <v>NAQ1</v>
      </c>
      <c r="V340" s="5">
        <f>_xlfn.XLOOKUP(Transactions_RAW_cleaned[[#This Row],[RegionQuarterKey]], Quarterly_Targets_cleaned[RegionQuarterKey], Quarterly_Targets_cleaned[TargetRevenue])</f>
        <v>247000</v>
      </c>
    </row>
    <row r="341" spans="1:22" x14ac:dyDescent="0.25">
      <c r="A341" t="s">
        <v>674</v>
      </c>
      <c r="B341" s="1">
        <v>45561</v>
      </c>
      <c r="C341" t="s">
        <v>221</v>
      </c>
      <c r="D341" t="s">
        <v>300</v>
      </c>
      <c r="E341">
        <v>266.60000000000002</v>
      </c>
      <c r="F341" t="s">
        <v>324</v>
      </c>
      <c r="G341" t="s">
        <v>327</v>
      </c>
      <c r="H341" t="s">
        <v>332</v>
      </c>
      <c r="I341" t="s">
        <v>8</v>
      </c>
      <c r="J341" t="s">
        <v>102</v>
      </c>
      <c r="K341" t="s">
        <v>14</v>
      </c>
      <c r="L341" t="s">
        <v>301</v>
      </c>
      <c r="M341" t="s">
        <v>302</v>
      </c>
      <c r="N341">
        <v>5.0000000000000001E-3</v>
      </c>
      <c r="O341" t="str">
        <f>IF(Transactions_RAW_cleaned[[#This Row],[Status]]="Completed", IFERROR(_xlfn.XLOOKUP(Transactions_RAW_cleaned[[#This Row],[CustomerID]], Customers_cleaned[CustomerID], Customers_cleaned[Segment]), "Customer Not Found"), "N/A")</f>
        <v>SMB</v>
      </c>
      <c r="P341" s="5" t="str">
        <f>IF(Transactions_RAW_cleaned[[#This Row],[Status]]="Refunded", "Refund",
  IF(Transactions_RAW_cleaned[[#This Row],[Category]]="Payments", IF(Transactions_RAW_cleaned[[#This Row],[Amount]]&gt;500,"High Value","Standard"),
    IF(Transactions_RAW_cleaned[[#This Row],[Amount]]&gt;250,"High Value","Standard")))</f>
        <v>High Value</v>
      </c>
      <c r="Q341" s="5" t="str">
        <f>IF(Transactions_RAW_cleaned[[#This Row],[Amount]] &gt; (_xlfn.XLOOKUP(Transactions_RAW_cleaned[[#This Row],[ServiceID]],Services_cleaned[ServiceID],Services_cleaned[TransactionFeePct]) * 10000), "Yes", "No")</f>
        <v>Yes</v>
      </c>
      <c r="R341" s="5" t="str">
        <f>IF(COUNTIFS($C$2:Transactions_RAW_cleaned[[#This Row],[CustomerID]],Transactions_RAW_cleaned[[#This Row],[CustomerID]],$D$2:Transactions_RAW_cleaned[[#This Row],[ServiceID]],Transactions_RAW_cleaned[[#This Row],[ServiceID]])=1,"Yes","No")</f>
        <v>Yes</v>
      </c>
      <c r="S34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41" t="str">
        <f>"Q"&amp;ROUNDUP(MONTH(Transactions_RAW_cleaned[[#This Row],[TransactionDate]])/3,0)</f>
        <v>Q3</v>
      </c>
      <c r="U341" t="str">
        <f>Transactions_RAW_cleaned[[#This Row],[Region ]]&amp;Transactions_RAW_cleaned[[#This Row],[Quarter ]]</f>
        <v>NAQ3</v>
      </c>
      <c r="V341" s="5">
        <f>_xlfn.XLOOKUP(Transactions_RAW_cleaned[[#This Row],[RegionQuarterKey]], Quarterly_Targets_cleaned[RegionQuarterKey], Quarterly_Targets_cleaned[TargetRevenue])</f>
        <v>273000</v>
      </c>
    </row>
    <row r="342" spans="1:22" x14ac:dyDescent="0.25">
      <c r="A342" t="s">
        <v>675</v>
      </c>
      <c r="B342" s="1">
        <v>45294</v>
      </c>
      <c r="C342" t="s">
        <v>231</v>
      </c>
      <c r="D342" t="s">
        <v>306</v>
      </c>
      <c r="E342">
        <v>471.13</v>
      </c>
      <c r="F342" t="s">
        <v>331</v>
      </c>
      <c r="G342" t="s">
        <v>325</v>
      </c>
      <c r="I342" t="s">
        <v>17</v>
      </c>
      <c r="J342" t="s">
        <v>102</v>
      </c>
      <c r="K342" t="s">
        <v>22</v>
      </c>
      <c r="L342" t="s">
        <v>307</v>
      </c>
      <c r="M342" t="s">
        <v>308</v>
      </c>
      <c r="N342">
        <v>0</v>
      </c>
      <c r="O342" t="str">
        <f>IF(Transactions_RAW_cleaned[[#This Row],[Status]]="Completed", IFERROR(_xlfn.XLOOKUP(Transactions_RAW_cleaned[[#This Row],[CustomerID]], Customers_cleaned[CustomerID], Customers_cleaned[Segment]), "Customer Not Found"), "N/A")</f>
        <v>N/A</v>
      </c>
      <c r="P342" s="5" t="str">
        <f>IF(Transactions_RAW_cleaned[[#This Row],[Status]]="Refunded", "Refund",
  IF(Transactions_RAW_cleaned[[#This Row],[Category]]="Payments", IF(Transactions_RAW_cleaned[[#This Row],[Amount]]&gt;500,"High Value","Standard"),
    IF(Transactions_RAW_cleaned[[#This Row],[Amount]]&gt;250,"High Value","Standard")))</f>
        <v>High Value</v>
      </c>
      <c r="Q342" s="5" t="str">
        <f>IF(Transactions_RAW_cleaned[[#This Row],[Amount]] &gt; (_xlfn.XLOOKUP(Transactions_RAW_cleaned[[#This Row],[ServiceID]],Services_cleaned[ServiceID],Services_cleaned[TransactionFeePct]) * 10000), "Yes", "No")</f>
        <v>Yes</v>
      </c>
      <c r="R342" s="5" t="str">
        <f>IF(COUNTIFS($C$2:Transactions_RAW_cleaned[[#This Row],[CustomerID]],Transactions_RAW_cleaned[[#This Row],[CustomerID]],$D$2:Transactions_RAW_cleaned[[#This Row],[ServiceID]],Transactions_RAW_cleaned[[#This Row],[ServiceID]])=1,"Yes","No")</f>
        <v>Yes</v>
      </c>
      <c r="S34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42" t="str">
        <f>"Q"&amp;ROUNDUP(MONTH(Transactions_RAW_cleaned[[#This Row],[TransactionDate]])/3,0)</f>
        <v>Q1</v>
      </c>
      <c r="U342" t="str">
        <f>Transactions_RAW_cleaned[[#This Row],[Region ]]&amp;Transactions_RAW_cleaned[[#This Row],[Quarter ]]</f>
        <v>NAQ1</v>
      </c>
      <c r="V342" s="5">
        <f>_xlfn.XLOOKUP(Transactions_RAW_cleaned[[#This Row],[RegionQuarterKey]], Quarterly_Targets_cleaned[RegionQuarterKey], Quarterly_Targets_cleaned[TargetRevenue])</f>
        <v>247000</v>
      </c>
    </row>
    <row r="343" spans="1:22" x14ac:dyDescent="0.25">
      <c r="A343" t="s">
        <v>676</v>
      </c>
      <c r="B343" s="1">
        <v>45635</v>
      </c>
      <c r="C343" t="s">
        <v>187</v>
      </c>
      <c r="D343" t="s">
        <v>309</v>
      </c>
      <c r="E343">
        <v>258.38</v>
      </c>
      <c r="F343" t="s">
        <v>324</v>
      </c>
      <c r="G343" t="s">
        <v>2963</v>
      </c>
      <c r="H343" t="s">
        <v>332</v>
      </c>
      <c r="I343" t="s">
        <v>57</v>
      </c>
      <c r="J343" t="s">
        <v>21</v>
      </c>
      <c r="K343" t="s">
        <v>28</v>
      </c>
      <c r="L343" t="s">
        <v>310</v>
      </c>
      <c r="M343" t="s">
        <v>311</v>
      </c>
      <c r="N343">
        <v>0</v>
      </c>
      <c r="O343" t="str">
        <f>IF(Transactions_RAW_cleaned[[#This Row],[Status]]="Completed", IFERROR(_xlfn.XLOOKUP(Transactions_RAW_cleaned[[#This Row],[CustomerID]], Customers_cleaned[CustomerID], Customers_cleaned[Segment]), "Customer Not Found"), "N/A")</f>
        <v>Startup</v>
      </c>
      <c r="P343" s="5" t="str">
        <f>IF(Transactions_RAW_cleaned[[#This Row],[Status]]="Refunded", "Refund",
  IF(Transactions_RAW_cleaned[[#This Row],[Category]]="Payments", IF(Transactions_RAW_cleaned[[#This Row],[Amount]]&gt;500,"High Value","Standard"),
    IF(Transactions_RAW_cleaned[[#This Row],[Amount]]&gt;250,"High Value","Standard")))</f>
        <v>High Value</v>
      </c>
      <c r="Q343" s="5" t="str">
        <f>IF(Transactions_RAW_cleaned[[#This Row],[Amount]] &gt; (_xlfn.XLOOKUP(Transactions_RAW_cleaned[[#This Row],[ServiceID]],Services_cleaned[ServiceID],Services_cleaned[TransactionFeePct]) * 10000), "Yes", "No")</f>
        <v>Yes</v>
      </c>
      <c r="R343" s="5" t="str">
        <f>IF(COUNTIFS($C$2:Transactions_RAW_cleaned[[#This Row],[CustomerID]],Transactions_RAW_cleaned[[#This Row],[CustomerID]],$D$2:Transactions_RAW_cleaned[[#This Row],[ServiceID]],Transactions_RAW_cleaned[[#This Row],[ServiceID]])=1,"Yes","No")</f>
        <v>Yes</v>
      </c>
      <c r="S34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343" t="str">
        <f>"Q"&amp;ROUNDUP(MONTH(Transactions_RAW_cleaned[[#This Row],[TransactionDate]])/3,0)</f>
        <v>Q4</v>
      </c>
      <c r="U343" t="str">
        <f>Transactions_RAW_cleaned[[#This Row],[Region ]]&amp;Transactions_RAW_cleaned[[#This Row],[Quarter ]]</f>
        <v>APACQ4</v>
      </c>
      <c r="V343" s="5">
        <f>_xlfn.XLOOKUP(Transactions_RAW_cleaned[[#This Row],[RegionQuarterKey]], Quarterly_Targets_cleaned[RegionQuarterKey], Quarterly_Targets_cleaned[TargetRevenue])</f>
        <v>126500</v>
      </c>
    </row>
    <row r="344" spans="1:22" x14ac:dyDescent="0.25">
      <c r="A344" t="s">
        <v>677</v>
      </c>
      <c r="B344" s="1">
        <v>45483</v>
      </c>
      <c r="C344" t="s">
        <v>165</v>
      </c>
      <c r="D344" t="s">
        <v>294</v>
      </c>
      <c r="E344">
        <v>232.99</v>
      </c>
      <c r="F344" t="s">
        <v>324</v>
      </c>
      <c r="G344" t="s">
        <v>325</v>
      </c>
      <c r="H344" t="s">
        <v>332</v>
      </c>
      <c r="I344" t="s">
        <v>8</v>
      </c>
      <c r="J344" t="s">
        <v>31</v>
      </c>
      <c r="K344" t="s">
        <v>32</v>
      </c>
      <c r="L344" t="s">
        <v>295</v>
      </c>
      <c r="M344" t="s">
        <v>296</v>
      </c>
      <c r="N344">
        <v>2.9000000000000001E-2</v>
      </c>
      <c r="O344" t="str">
        <f>IF(Transactions_RAW_cleaned[[#This Row],[Status]]="Completed", IFERROR(_xlfn.XLOOKUP(Transactions_RAW_cleaned[[#This Row],[CustomerID]], Customers_cleaned[CustomerID], Customers_cleaned[Segment]), "Customer Not Found"), "N/A")</f>
        <v>SMB</v>
      </c>
      <c r="P344" s="5" t="str">
        <f>IF(Transactions_RAW_cleaned[[#This Row],[Status]]="Refunded", "Refund",
  IF(Transactions_RAW_cleaned[[#This Row],[Category]]="Payments", IF(Transactions_RAW_cleaned[[#This Row],[Amount]]&gt;500,"High Value","Standard"),
    IF(Transactions_RAW_cleaned[[#This Row],[Amount]]&gt;250,"High Value","Standard")))</f>
        <v>Standard</v>
      </c>
      <c r="Q344" s="5" t="str">
        <f>IF(Transactions_RAW_cleaned[[#This Row],[Amount]] &gt; (_xlfn.XLOOKUP(Transactions_RAW_cleaned[[#This Row],[ServiceID]],Services_cleaned[ServiceID],Services_cleaned[TransactionFeePct]) * 10000), "Yes", "No")</f>
        <v>No</v>
      </c>
      <c r="R344" s="5" t="str">
        <f>IF(COUNTIFS($C$2:Transactions_RAW_cleaned[[#This Row],[CustomerID]],Transactions_RAW_cleaned[[#This Row],[CustomerID]],$D$2:Transactions_RAW_cleaned[[#This Row],[ServiceID]],Transactions_RAW_cleaned[[#This Row],[ServiceID]])=1,"Yes","No")</f>
        <v>Yes</v>
      </c>
      <c r="S34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344" t="str">
        <f>"Q"&amp;ROUNDUP(MONTH(Transactions_RAW_cleaned[[#This Row],[TransactionDate]])/3,0)</f>
        <v>Q3</v>
      </c>
      <c r="U344" t="str">
        <f>Transactions_RAW_cleaned[[#This Row],[Region ]]&amp;Transactions_RAW_cleaned[[#This Row],[Quarter ]]</f>
        <v>EMEAQ3</v>
      </c>
      <c r="V344" s="5">
        <f>_xlfn.XLOOKUP(Transactions_RAW_cleaned[[#This Row],[RegionQuarterKey]], Quarterly_Targets_cleaned[RegionQuarterKey], Quarterly_Targets_cleaned[TargetRevenue])</f>
        <v>147000</v>
      </c>
    </row>
    <row r="345" spans="1:22" x14ac:dyDescent="0.25">
      <c r="A345" t="s">
        <v>678</v>
      </c>
      <c r="B345" s="1">
        <v>45424</v>
      </c>
      <c r="C345" t="s">
        <v>229</v>
      </c>
      <c r="D345" t="s">
        <v>312</v>
      </c>
      <c r="E345">
        <v>83.79</v>
      </c>
      <c r="F345" t="s">
        <v>324</v>
      </c>
      <c r="G345" t="s">
        <v>329</v>
      </c>
      <c r="I345" t="s">
        <v>17</v>
      </c>
      <c r="J345" t="s">
        <v>102</v>
      </c>
      <c r="K345" t="s">
        <v>18</v>
      </c>
      <c r="L345" t="s">
        <v>313</v>
      </c>
      <c r="M345" t="s">
        <v>314</v>
      </c>
      <c r="N345">
        <v>0</v>
      </c>
      <c r="O345" t="str">
        <f>IF(Transactions_RAW_cleaned[[#This Row],[Status]]="Completed", IFERROR(_xlfn.XLOOKUP(Transactions_RAW_cleaned[[#This Row],[CustomerID]], Customers_cleaned[CustomerID], Customers_cleaned[Segment]), "Customer Not Found"), "N/A")</f>
        <v>Enterprise</v>
      </c>
      <c r="P345" s="5" t="str">
        <f>IF(Transactions_RAW_cleaned[[#This Row],[Status]]="Refunded", "Refund",
  IF(Transactions_RAW_cleaned[[#This Row],[Category]]="Payments", IF(Transactions_RAW_cleaned[[#This Row],[Amount]]&gt;500,"High Value","Standard"),
    IF(Transactions_RAW_cleaned[[#This Row],[Amount]]&gt;250,"High Value","Standard")))</f>
        <v>Standard</v>
      </c>
      <c r="Q345" s="5" t="str">
        <f>IF(Transactions_RAW_cleaned[[#This Row],[Amount]] &gt; (_xlfn.XLOOKUP(Transactions_RAW_cleaned[[#This Row],[ServiceID]],Services_cleaned[ServiceID],Services_cleaned[TransactionFeePct]) * 10000), "Yes", "No")</f>
        <v>Yes</v>
      </c>
      <c r="R345" s="5" t="str">
        <f>IF(COUNTIFS($C$2:Transactions_RAW_cleaned[[#This Row],[CustomerID]],Transactions_RAW_cleaned[[#This Row],[CustomerID]],$D$2:Transactions_RAW_cleaned[[#This Row],[ServiceID]],Transactions_RAW_cleaned[[#This Row],[ServiceID]])=1,"Yes","No")</f>
        <v>Yes</v>
      </c>
      <c r="S34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45" t="str">
        <f>"Q"&amp;ROUNDUP(MONTH(Transactions_RAW_cleaned[[#This Row],[TransactionDate]])/3,0)</f>
        <v>Q2</v>
      </c>
      <c r="U345" t="str">
        <f>Transactions_RAW_cleaned[[#This Row],[Region ]]&amp;Transactions_RAW_cleaned[[#This Row],[Quarter ]]</f>
        <v>NAQ2</v>
      </c>
      <c r="V345" s="5">
        <f>_xlfn.XLOOKUP(Transactions_RAW_cleaned[[#This Row],[RegionQuarterKey]], Quarterly_Targets_cleaned[RegionQuarterKey], Quarterly_Targets_cleaned[TargetRevenue])</f>
        <v>260000</v>
      </c>
    </row>
    <row r="346" spans="1:22" x14ac:dyDescent="0.25">
      <c r="A346" t="s">
        <v>679</v>
      </c>
      <c r="B346" s="1">
        <v>45546</v>
      </c>
      <c r="C346" t="s">
        <v>277</v>
      </c>
      <c r="D346" t="s">
        <v>294</v>
      </c>
      <c r="E346">
        <v>212.3</v>
      </c>
      <c r="F346" t="s">
        <v>381</v>
      </c>
      <c r="G346" t="s">
        <v>329</v>
      </c>
      <c r="H346" t="s">
        <v>332</v>
      </c>
      <c r="I346" t="s">
        <v>8</v>
      </c>
      <c r="J346" t="s">
        <v>31</v>
      </c>
      <c r="K346" t="s">
        <v>22</v>
      </c>
      <c r="L346" t="s">
        <v>295</v>
      </c>
      <c r="M346" t="s">
        <v>296</v>
      </c>
      <c r="N346">
        <v>2.9000000000000001E-2</v>
      </c>
      <c r="O346" t="str">
        <f>IF(Transactions_RAW_cleaned[[#This Row],[Status]]="Completed", IFERROR(_xlfn.XLOOKUP(Transactions_RAW_cleaned[[#This Row],[CustomerID]], Customers_cleaned[CustomerID], Customers_cleaned[Segment]), "Customer Not Found"), "N/A")</f>
        <v>N/A</v>
      </c>
      <c r="P346" s="5" t="str">
        <f>IF(Transactions_RAW_cleaned[[#This Row],[Status]]="Refunded", "Refund",
  IF(Transactions_RAW_cleaned[[#This Row],[Category]]="Payments", IF(Transactions_RAW_cleaned[[#This Row],[Amount]]&gt;500,"High Value","Standard"),
    IF(Transactions_RAW_cleaned[[#This Row],[Amount]]&gt;250,"High Value","Standard")))</f>
        <v>Standard</v>
      </c>
      <c r="Q346" s="5" t="str">
        <f>IF(Transactions_RAW_cleaned[[#This Row],[Amount]] &gt; (_xlfn.XLOOKUP(Transactions_RAW_cleaned[[#This Row],[ServiceID]],Services_cleaned[ServiceID],Services_cleaned[TransactionFeePct]) * 10000), "Yes", "No")</f>
        <v>No</v>
      </c>
      <c r="R346" s="5" t="str">
        <f>IF(COUNTIFS($C$2:Transactions_RAW_cleaned[[#This Row],[CustomerID]],Transactions_RAW_cleaned[[#This Row],[CustomerID]],$D$2:Transactions_RAW_cleaned[[#This Row],[ServiceID]],Transactions_RAW_cleaned[[#This Row],[ServiceID]])=1,"Yes","No")</f>
        <v>No</v>
      </c>
      <c r="S34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346" t="str">
        <f>"Q"&amp;ROUNDUP(MONTH(Transactions_RAW_cleaned[[#This Row],[TransactionDate]])/3,0)</f>
        <v>Q3</v>
      </c>
      <c r="U346" t="str">
        <f>Transactions_RAW_cleaned[[#This Row],[Region ]]&amp;Transactions_RAW_cleaned[[#This Row],[Quarter ]]</f>
        <v>EMEAQ3</v>
      </c>
      <c r="V346" s="5">
        <f>_xlfn.XLOOKUP(Transactions_RAW_cleaned[[#This Row],[RegionQuarterKey]], Quarterly_Targets_cleaned[RegionQuarterKey], Quarterly_Targets_cleaned[TargetRevenue])</f>
        <v>147000</v>
      </c>
    </row>
    <row r="347" spans="1:22" x14ac:dyDescent="0.25">
      <c r="A347" t="s">
        <v>680</v>
      </c>
      <c r="B347" s="1">
        <v>45501</v>
      </c>
      <c r="C347" t="s">
        <v>245</v>
      </c>
      <c r="D347" t="s">
        <v>294</v>
      </c>
      <c r="E347">
        <v>372.23</v>
      </c>
      <c r="F347" t="s">
        <v>324</v>
      </c>
      <c r="G347" t="s">
        <v>337</v>
      </c>
      <c r="I347" t="s">
        <v>8</v>
      </c>
      <c r="J347" t="s">
        <v>31</v>
      </c>
      <c r="K347" t="s">
        <v>14</v>
      </c>
      <c r="L347" t="s">
        <v>295</v>
      </c>
      <c r="M347" t="s">
        <v>296</v>
      </c>
      <c r="N347">
        <v>2.9000000000000001E-2</v>
      </c>
      <c r="O347" t="str">
        <f>IF(Transactions_RAW_cleaned[[#This Row],[Status]]="Completed", IFERROR(_xlfn.XLOOKUP(Transactions_RAW_cleaned[[#This Row],[CustomerID]], Customers_cleaned[CustomerID], Customers_cleaned[Segment]), "Customer Not Found"), "N/A")</f>
        <v>SMB</v>
      </c>
      <c r="P347" s="5" t="str">
        <f>IF(Transactions_RAW_cleaned[[#This Row],[Status]]="Refunded", "Refund",
  IF(Transactions_RAW_cleaned[[#This Row],[Category]]="Payments", IF(Transactions_RAW_cleaned[[#This Row],[Amount]]&gt;500,"High Value","Standard"),
    IF(Transactions_RAW_cleaned[[#This Row],[Amount]]&gt;250,"High Value","Standard")))</f>
        <v>Standard</v>
      </c>
      <c r="Q347" s="5" t="str">
        <f>IF(Transactions_RAW_cleaned[[#This Row],[Amount]] &gt; (_xlfn.XLOOKUP(Transactions_RAW_cleaned[[#This Row],[ServiceID]],Services_cleaned[ServiceID],Services_cleaned[TransactionFeePct]) * 10000), "Yes", "No")</f>
        <v>Yes</v>
      </c>
      <c r="R347" s="5" t="str">
        <f>IF(COUNTIFS($C$2:Transactions_RAW_cleaned[[#This Row],[CustomerID]],Transactions_RAW_cleaned[[#This Row],[CustomerID]],$D$2:Transactions_RAW_cleaned[[#This Row],[ServiceID]],Transactions_RAW_cleaned[[#This Row],[ServiceID]])=1,"Yes","No")</f>
        <v>Yes</v>
      </c>
      <c r="S34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347" t="str">
        <f>"Q"&amp;ROUNDUP(MONTH(Transactions_RAW_cleaned[[#This Row],[TransactionDate]])/3,0)</f>
        <v>Q3</v>
      </c>
      <c r="U347" t="str">
        <f>Transactions_RAW_cleaned[[#This Row],[Region ]]&amp;Transactions_RAW_cleaned[[#This Row],[Quarter ]]</f>
        <v>EMEAQ3</v>
      </c>
      <c r="V347" s="5">
        <f>_xlfn.XLOOKUP(Transactions_RAW_cleaned[[#This Row],[RegionQuarterKey]], Quarterly_Targets_cleaned[RegionQuarterKey], Quarterly_Targets_cleaned[TargetRevenue])</f>
        <v>147000</v>
      </c>
    </row>
    <row r="348" spans="1:22" x14ac:dyDescent="0.25">
      <c r="A348" t="s">
        <v>681</v>
      </c>
      <c r="B348" s="1">
        <v>45407</v>
      </c>
      <c r="C348" t="s">
        <v>66</v>
      </c>
      <c r="D348" t="s">
        <v>306</v>
      </c>
      <c r="E348">
        <v>-404.01</v>
      </c>
      <c r="F348" t="s">
        <v>349</v>
      </c>
      <c r="G348" t="s">
        <v>327</v>
      </c>
      <c r="I348" t="s">
        <v>8</v>
      </c>
      <c r="J348" t="s">
        <v>46</v>
      </c>
      <c r="K348" t="s">
        <v>10</v>
      </c>
      <c r="L348" t="s">
        <v>307</v>
      </c>
      <c r="M348" t="s">
        <v>308</v>
      </c>
      <c r="N348">
        <v>0</v>
      </c>
      <c r="O348" t="str">
        <f>IF(Transactions_RAW_cleaned[[#This Row],[Status]]="Completed", IFERROR(_xlfn.XLOOKUP(Transactions_RAW_cleaned[[#This Row],[CustomerID]], Customers_cleaned[CustomerID], Customers_cleaned[Segment]), "Customer Not Found"), "N/A")</f>
        <v>N/A</v>
      </c>
      <c r="P348" s="5" t="str">
        <f>IF(Transactions_RAW_cleaned[[#This Row],[Status]]="Refunded", "Refund",
  IF(Transactions_RAW_cleaned[[#This Row],[Category]]="Payments", IF(Transactions_RAW_cleaned[[#This Row],[Amount]]&gt;500,"High Value","Standard"),
    IF(Transactions_RAW_cleaned[[#This Row],[Amount]]&gt;250,"High Value","Standard")))</f>
        <v>Refund</v>
      </c>
      <c r="Q348" s="5" t="str">
        <f>IF(Transactions_RAW_cleaned[[#This Row],[Amount]] &gt; (_xlfn.XLOOKUP(Transactions_RAW_cleaned[[#This Row],[ServiceID]],Services_cleaned[ServiceID],Services_cleaned[TransactionFeePct]) * 10000), "Yes", "No")</f>
        <v>No</v>
      </c>
      <c r="R348" s="5" t="str">
        <f>IF(COUNTIFS($C$2:Transactions_RAW_cleaned[[#This Row],[CustomerID]],Transactions_RAW_cleaned[[#This Row],[CustomerID]],$D$2:Transactions_RAW_cleaned[[#This Row],[ServiceID]],Transactions_RAW_cleaned[[#This Row],[ServiceID]])=1,"Yes","No")</f>
        <v>Yes</v>
      </c>
      <c r="S34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348" t="str">
        <f>"Q"&amp;ROUNDUP(MONTH(Transactions_RAW_cleaned[[#This Row],[TransactionDate]])/3,0)</f>
        <v>Q2</v>
      </c>
      <c r="U348" t="str">
        <f>Transactions_RAW_cleaned[[#This Row],[Region ]]&amp;Transactions_RAW_cleaned[[#This Row],[Quarter ]]</f>
        <v>APACQ2</v>
      </c>
      <c r="V348" s="5">
        <f>_xlfn.XLOOKUP(Transactions_RAW_cleaned[[#This Row],[RegionQuarterKey]], Quarterly_Targets_cleaned[RegionQuarterKey], Quarterly_Targets_cleaned[TargetRevenue])</f>
        <v>110000</v>
      </c>
    </row>
    <row r="349" spans="1:22" x14ac:dyDescent="0.25">
      <c r="A349" t="s">
        <v>682</v>
      </c>
      <c r="B349" s="1">
        <v>45293</v>
      </c>
      <c r="C349" t="s">
        <v>53</v>
      </c>
      <c r="D349" t="s">
        <v>300</v>
      </c>
      <c r="E349">
        <v>583.66</v>
      </c>
      <c r="F349" t="s">
        <v>324</v>
      </c>
      <c r="G349" t="s">
        <v>337</v>
      </c>
      <c r="I349" t="s">
        <v>17</v>
      </c>
      <c r="J349" t="s">
        <v>21</v>
      </c>
      <c r="K349" t="s">
        <v>28</v>
      </c>
      <c r="L349" t="s">
        <v>301</v>
      </c>
      <c r="M349" t="s">
        <v>302</v>
      </c>
      <c r="N349">
        <v>5.0000000000000001E-3</v>
      </c>
      <c r="O349" t="str">
        <f>IF(Transactions_RAW_cleaned[[#This Row],[Status]]="Completed", IFERROR(_xlfn.XLOOKUP(Transactions_RAW_cleaned[[#This Row],[CustomerID]], Customers_cleaned[CustomerID], Customers_cleaned[Segment]), "Customer Not Found"), "N/A")</f>
        <v>Enterprise</v>
      </c>
      <c r="P349" s="5" t="str">
        <f>IF(Transactions_RAW_cleaned[[#This Row],[Status]]="Refunded", "Refund",
  IF(Transactions_RAW_cleaned[[#This Row],[Category]]="Payments", IF(Transactions_RAW_cleaned[[#This Row],[Amount]]&gt;500,"High Value","Standard"),
    IF(Transactions_RAW_cleaned[[#This Row],[Amount]]&gt;250,"High Value","Standard")))</f>
        <v>High Value</v>
      </c>
      <c r="Q349" s="5" t="str">
        <f>IF(Transactions_RAW_cleaned[[#This Row],[Amount]] &gt; (_xlfn.XLOOKUP(Transactions_RAW_cleaned[[#This Row],[ServiceID]],Services_cleaned[ServiceID],Services_cleaned[TransactionFeePct]) * 10000), "Yes", "No")</f>
        <v>Yes</v>
      </c>
      <c r="R349" s="5" t="str">
        <f>IF(COUNTIFS($C$2:Transactions_RAW_cleaned[[#This Row],[CustomerID]],Transactions_RAW_cleaned[[#This Row],[CustomerID]],$D$2:Transactions_RAW_cleaned[[#This Row],[ServiceID]],Transactions_RAW_cleaned[[#This Row],[ServiceID]])=1,"Yes","No")</f>
        <v>No</v>
      </c>
      <c r="S34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349" t="str">
        <f>"Q"&amp;ROUNDUP(MONTH(Transactions_RAW_cleaned[[#This Row],[TransactionDate]])/3,0)</f>
        <v>Q1</v>
      </c>
      <c r="U349" t="str">
        <f>Transactions_RAW_cleaned[[#This Row],[Region ]]&amp;Transactions_RAW_cleaned[[#This Row],[Quarter ]]</f>
        <v>APACQ1</v>
      </c>
      <c r="V349" s="5">
        <f>_xlfn.XLOOKUP(Transactions_RAW_cleaned[[#This Row],[RegionQuarterKey]], Quarterly_Targets_cleaned[RegionQuarterKey], Quarterly_Targets_cleaned[TargetRevenue])</f>
        <v>104500</v>
      </c>
    </row>
    <row r="350" spans="1:22" x14ac:dyDescent="0.25">
      <c r="A350" t="s">
        <v>683</v>
      </c>
      <c r="B350" s="1">
        <v>45531</v>
      </c>
      <c r="C350" t="s">
        <v>90</v>
      </c>
      <c r="D350" t="s">
        <v>294</v>
      </c>
      <c r="E350">
        <v>351.85</v>
      </c>
      <c r="F350" t="s">
        <v>324</v>
      </c>
      <c r="G350" t="s">
        <v>337</v>
      </c>
      <c r="I350" t="s">
        <v>8</v>
      </c>
      <c r="J350" t="s">
        <v>102</v>
      </c>
      <c r="K350" t="s">
        <v>28</v>
      </c>
      <c r="L350" t="s">
        <v>295</v>
      </c>
      <c r="M350" t="s">
        <v>296</v>
      </c>
      <c r="N350">
        <v>2.9000000000000001E-2</v>
      </c>
      <c r="O350" t="str">
        <f>IF(Transactions_RAW_cleaned[[#This Row],[Status]]="Completed", IFERROR(_xlfn.XLOOKUP(Transactions_RAW_cleaned[[#This Row],[CustomerID]], Customers_cleaned[CustomerID], Customers_cleaned[Segment]), "Customer Not Found"), "N/A")</f>
        <v>SMB</v>
      </c>
      <c r="P350" s="5" t="str">
        <f>IF(Transactions_RAW_cleaned[[#This Row],[Status]]="Refunded", "Refund",
  IF(Transactions_RAW_cleaned[[#This Row],[Category]]="Payments", IF(Transactions_RAW_cleaned[[#This Row],[Amount]]&gt;500,"High Value","Standard"),
    IF(Transactions_RAW_cleaned[[#This Row],[Amount]]&gt;250,"High Value","Standard")))</f>
        <v>Standard</v>
      </c>
      <c r="Q350" s="5" t="str">
        <f>IF(Transactions_RAW_cleaned[[#This Row],[Amount]] &gt; (_xlfn.XLOOKUP(Transactions_RAW_cleaned[[#This Row],[ServiceID]],Services_cleaned[ServiceID],Services_cleaned[TransactionFeePct]) * 10000), "Yes", "No")</f>
        <v>Yes</v>
      </c>
      <c r="R350" s="5" t="str">
        <f>IF(COUNTIFS($C$2:Transactions_RAW_cleaned[[#This Row],[CustomerID]],Transactions_RAW_cleaned[[#This Row],[CustomerID]],$D$2:Transactions_RAW_cleaned[[#This Row],[ServiceID]],Transactions_RAW_cleaned[[#This Row],[ServiceID]])=1,"Yes","No")</f>
        <v>No</v>
      </c>
      <c r="S35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50" t="str">
        <f>"Q"&amp;ROUNDUP(MONTH(Transactions_RAW_cleaned[[#This Row],[TransactionDate]])/3,0)</f>
        <v>Q3</v>
      </c>
      <c r="U350" t="str">
        <f>Transactions_RAW_cleaned[[#This Row],[Region ]]&amp;Transactions_RAW_cleaned[[#This Row],[Quarter ]]</f>
        <v>NAQ3</v>
      </c>
      <c r="V350" s="5">
        <f>_xlfn.XLOOKUP(Transactions_RAW_cleaned[[#This Row],[RegionQuarterKey]], Quarterly_Targets_cleaned[RegionQuarterKey], Quarterly_Targets_cleaned[TargetRevenue])</f>
        <v>273000</v>
      </c>
    </row>
    <row r="351" spans="1:22" x14ac:dyDescent="0.25">
      <c r="A351" t="s">
        <v>684</v>
      </c>
      <c r="B351" s="1">
        <v>45411</v>
      </c>
      <c r="C351" t="s">
        <v>143</v>
      </c>
      <c r="D351" t="s">
        <v>303</v>
      </c>
      <c r="E351">
        <v>171.52</v>
      </c>
      <c r="F351" t="s">
        <v>381</v>
      </c>
      <c r="G351" t="s">
        <v>327</v>
      </c>
      <c r="H351" t="s">
        <v>346</v>
      </c>
      <c r="I351" t="s">
        <v>8</v>
      </c>
      <c r="J351" t="s">
        <v>102</v>
      </c>
      <c r="K351" t="s">
        <v>22</v>
      </c>
      <c r="L351" t="s">
        <v>304</v>
      </c>
      <c r="M351" t="s">
        <v>305</v>
      </c>
      <c r="N351">
        <v>1E-3</v>
      </c>
      <c r="O351" t="str">
        <f>IF(Transactions_RAW_cleaned[[#This Row],[Status]]="Completed", IFERROR(_xlfn.XLOOKUP(Transactions_RAW_cleaned[[#This Row],[CustomerID]], Customers_cleaned[CustomerID], Customers_cleaned[Segment]), "Customer Not Found"), "N/A")</f>
        <v>N/A</v>
      </c>
      <c r="P351" s="5" t="str">
        <f>IF(Transactions_RAW_cleaned[[#This Row],[Status]]="Refunded", "Refund",
  IF(Transactions_RAW_cleaned[[#This Row],[Category]]="Payments", IF(Transactions_RAW_cleaned[[#This Row],[Amount]]&gt;500,"High Value","Standard"),
    IF(Transactions_RAW_cleaned[[#This Row],[Amount]]&gt;250,"High Value","Standard")))</f>
        <v>Standard</v>
      </c>
      <c r="Q351" s="5" t="str">
        <f>IF(Transactions_RAW_cleaned[[#This Row],[Amount]] &gt; (_xlfn.XLOOKUP(Transactions_RAW_cleaned[[#This Row],[ServiceID]],Services_cleaned[ServiceID],Services_cleaned[TransactionFeePct]) * 10000), "Yes", "No")</f>
        <v>Yes</v>
      </c>
      <c r="R351" s="5" t="str">
        <f>IF(COUNTIFS($C$2:Transactions_RAW_cleaned[[#This Row],[CustomerID]],Transactions_RAW_cleaned[[#This Row],[CustomerID]],$D$2:Transactions_RAW_cleaned[[#This Row],[ServiceID]],Transactions_RAW_cleaned[[#This Row],[ServiceID]])=1,"Yes","No")</f>
        <v>Yes</v>
      </c>
      <c r="S35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51" t="str">
        <f>"Q"&amp;ROUNDUP(MONTH(Transactions_RAW_cleaned[[#This Row],[TransactionDate]])/3,0)</f>
        <v>Q2</v>
      </c>
      <c r="U351" t="str">
        <f>Transactions_RAW_cleaned[[#This Row],[Region ]]&amp;Transactions_RAW_cleaned[[#This Row],[Quarter ]]</f>
        <v>NAQ2</v>
      </c>
      <c r="V351" s="5">
        <f>_xlfn.XLOOKUP(Transactions_RAW_cleaned[[#This Row],[RegionQuarterKey]], Quarterly_Targets_cleaned[RegionQuarterKey], Quarterly_Targets_cleaned[TargetRevenue])</f>
        <v>260000</v>
      </c>
    </row>
    <row r="352" spans="1:22" x14ac:dyDescent="0.25">
      <c r="A352" t="s">
        <v>685</v>
      </c>
      <c r="B352" s="1">
        <v>45491</v>
      </c>
      <c r="C352" t="s">
        <v>261</v>
      </c>
      <c r="D352" t="s">
        <v>294</v>
      </c>
      <c r="E352">
        <v>-583.02</v>
      </c>
      <c r="F352" t="s">
        <v>349</v>
      </c>
      <c r="G352" t="s">
        <v>327</v>
      </c>
      <c r="I352" t="s">
        <v>8</v>
      </c>
      <c r="J352" t="s">
        <v>31</v>
      </c>
      <c r="K352" t="s">
        <v>18</v>
      </c>
      <c r="L352" t="s">
        <v>295</v>
      </c>
      <c r="M352" t="s">
        <v>296</v>
      </c>
      <c r="N352">
        <v>2.9000000000000001E-2</v>
      </c>
      <c r="O352" t="str">
        <f>IF(Transactions_RAW_cleaned[[#This Row],[Status]]="Completed", IFERROR(_xlfn.XLOOKUP(Transactions_RAW_cleaned[[#This Row],[CustomerID]], Customers_cleaned[CustomerID], Customers_cleaned[Segment]), "Customer Not Found"), "N/A")</f>
        <v>N/A</v>
      </c>
      <c r="P352" s="5" t="str">
        <f>IF(Transactions_RAW_cleaned[[#This Row],[Status]]="Refunded", "Refund",
  IF(Transactions_RAW_cleaned[[#This Row],[Category]]="Payments", IF(Transactions_RAW_cleaned[[#This Row],[Amount]]&gt;500,"High Value","Standard"),
    IF(Transactions_RAW_cleaned[[#This Row],[Amount]]&gt;250,"High Value","Standard")))</f>
        <v>Refund</v>
      </c>
      <c r="Q352" s="5" t="str">
        <f>IF(Transactions_RAW_cleaned[[#This Row],[Amount]] &gt; (_xlfn.XLOOKUP(Transactions_RAW_cleaned[[#This Row],[ServiceID]],Services_cleaned[ServiceID],Services_cleaned[TransactionFeePct]) * 10000), "Yes", "No")</f>
        <v>No</v>
      </c>
      <c r="R352" s="5" t="str">
        <f>IF(COUNTIFS($C$2:Transactions_RAW_cleaned[[#This Row],[CustomerID]],Transactions_RAW_cleaned[[#This Row],[CustomerID]],$D$2:Transactions_RAW_cleaned[[#This Row],[ServiceID]],Transactions_RAW_cleaned[[#This Row],[ServiceID]])=1,"Yes","No")</f>
        <v>No</v>
      </c>
      <c r="S35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352" t="str">
        <f>"Q"&amp;ROUNDUP(MONTH(Transactions_RAW_cleaned[[#This Row],[TransactionDate]])/3,0)</f>
        <v>Q3</v>
      </c>
      <c r="U352" t="str">
        <f>Transactions_RAW_cleaned[[#This Row],[Region ]]&amp;Transactions_RAW_cleaned[[#This Row],[Quarter ]]</f>
        <v>EMEAQ3</v>
      </c>
      <c r="V352" s="5">
        <f>_xlfn.XLOOKUP(Transactions_RAW_cleaned[[#This Row],[RegionQuarterKey]], Quarterly_Targets_cleaned[RegionQuarterKey], Quarterly_Targets_cleaned[TargetRevenue])</f>
        <v>147000</v>
      </c>
    </row>
    <row r="353" spans="1:22" x14ac:dyDescent="0.25">
      <c r="A353" t="s">
        <v>686</v>
      </c>
      <c r="B353" s="1">
        <v>45472</v>
      </c>
      <c r="C353" t="s">
        <v>171</v>
      </c>
      <c r="D353" t="s">
        <v>306</v>
      </c>
      <c r="E353">
        <v>325.37</v>
      </c>
      <c r="F353" t="s">
        <v>324</v>
      </c>
      <c r="G353" t="s">
        <v>329</v>
      </c>
      <c r="H353" t="s">
        <v>334</v>
      </c>
      <c r="I353" t="s">
        <v>17</v>
      </c>
      <c r="J353" t="s">
        <v>31</v>
      </c>
      <c r="K353" t="s">
        <v>32</v>
      </c>
      <c r="L353" t="s">
        <v>307</v>
      </c>
      <c r="M353" t="s">
        <v>308</v>
      </c>
      <c r="N353">
        <v>0</v>
      </c>
      <c r="O353" t="str">
        <f>IF(Transactions_RAW_cleaned[[#This Row],[Status]]="Completed", IFERROR(_xlfn.XLOOKUP(Transactions_RAW_cleaned[[#This Row],[CustomerID]], Customers_cleaned[CustomerID], Customers_cleaned[Segment]), "Customer Not Found"), "N/A")</f>
        <v>Enterprise</v>
      </c>
      <c r="P353" s="5" t="str">
        <f>IF(Transactions_RAW_cleaned[[#This Row],[Status]]="Refunded", "Refund",
  IF(Transactions_RAW_cleaned[[#This Row],[Category]]="Payments", IF(Transactions_RAW_cleaned[[#This Row],[Amount]]&gt;500,"High Value","Standard"),
    IF(Transactions_RAW_cleaned[[#This Row],[Amount]]&gt;250,"High Value","Standard")))</f>
        <v>High Value</v>
      </c>
      <c r="Q353" s="5" t="str">
        <f>IF(Transactions_RAW_cleaned[[#This Row],[Amount]] &gt; (_xlfn.XLOOKUP(Transactions_RAW_cleaned[[#This Row],[ServiceID]],Services_cleaned[ServiceID],Services_cleaned[TransactionFeePct]) * 10000), "Yes", "No")</f>
        <v>Yes</v>
      </c>
      <c r="R353" s="5" t="str">
        <f>IF(COUNTIFS($C$2:Transactions_RAW_cleaned[[#This Row],[CustomerID]],Transactions_RAW_cleaned[[#This Row],[CustomerID]],$D$2:Transactions_RAW_cleaned[[#This Row],[ServiceID]],Transactions_RAW_cleaned[[#This Row],[ServiceID]])=1,"Yes","No")</f>
        <v>No</v>
      </c>
      <c r="S35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353" t="str">
        <f>"Q"&amp;ROUNDUP(MONTH(Transactions_RAW_cleaned[[#This Row],[TransactionDate]])/3,0)</f>
        <v>Q2</v>
      </c>
      <c r="U353" t="str">
        <f>Transactions_RAW_cleaned[[#This Row],[Region ]]&amp;Transactions_RAW_cleaned[[#This Row],[Quarter ]]</f>
        <v>EMEAQ2</v>
      </c>
      <c r="V353" s="5">
        <f>_xlfn.XLOOKUP(Transactions_RAW_cleaned[[#This Row],[RegionQuarterKey]], Quarterly_Targets_cleaned[RegionQuarterKey], Quarterly_Targets_cleaned[TargetRevenue])</f>
        <v>140000</v>
      </c>
    </row>
    <row r="354" spans="1:22" x14ac:dyDescent="0.25">
      <c r="A354" t="s">
        <v>687</v>
      </c>
      <c r="B354" s="1">
        <v>45657</v>
      </c>
      <c r="C354" t="s">
        <v>137</v>
      </c>
      <c r="D354" t="s">
        <v>294</v>
      </c>
      <c r="E354">
        <v>-202.41</v>
      </c>
      <c r="F354" t="s">
        <v>349</v>
      </c>
      <c r="G354" t="s">
        <v>325</v>
      </c>
      <c r="I354" t="s">
        <v>8</v>
      </c>
      <c r="J354" t="s">
        <v>13</v>
      </c>
      <c r="K354" t="s">
        <v>18</v>
      </c>
      <c r="L354" t="s">
        <v>295</v>
      </c>
      <c r="M354" t="s">
        <v>296</v>
      </c>
      <c r="N354">
        <v>2.9000000000000001E-2</v>
      </c>
      <c r="O354" t="str">
        <f>IF(Transactions_RAW_cleaned[[#This Row],[Status]]="Completed", IFERROR(_xlfn.XLOOKUP(Transactions_RAW_cleaned[[#This Row],[CustomerID]], Customers_cleaned[CustomerID], Customers_cleaned[Segment]), "Customer Not Found"), "N/A")</f>
        <v>N/A</v>
      </c>
      <c r="P354" s="5" t="str">
        <f>IF(Transactions_RAW_cleaned[[#This Row],[Status]]="Refunded", "Refund",
  IF(Transactions_RAW_cleaned[[#This Row],[Category]]="Payments", IF(Transactions_RAW_cleaned[[#This Row],[Amount]]&gt;500,"High Value","Standard"),
    IF(Transactions_RAW_cleaned[[#This Row],[Amount]]&gt;250,"High Value","Standard")))</f>
        <v>Refund</v>
      </c>
      <c r="Q354" s="5" t="str">
        <f>IF(Transactions_RAW_cleaned[[#This Row],[Amount]] &gt; (_xlfn.XLOOKUP(Transactions_RAW_cleaned[[#This Row],[ServiceID]],Services_cleaned[ServiceID],Services_cleaned[TransactionFeePct]) * 10000), "Yes", "No")</f>
        <v>No</v>
      </c>
      <c r="R354" s="5" t="str">
        <f>IF(COUNTIFS($C$2:Transactions_RAW_cleaned[[#This Row],[CustomerID]],Transactions_RAW_cleaned[[#This Row],[CustomerID]],$D$2:Transactions_RAW_cleaned[[#This Row],[ServiceID]],Transactions_RAW_cleaned[[#This Row],[ServiceID]])=1,"Yes","No")</f>
        <v>No</v>
      </c>
      <c r="S35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54" t="str">
        <f>"Q"&amp;ROUNDUP(MONTH(Transactions_RAW_cleaned[[#This Row],[TransactionDate]])/3,0)</f>
        <v>Q4</v>
      </c>
      <c r="U354" t="str">
        <f>Transactions_RAW_cleaned[[#This Row],[Region ]]&amp;Transactions_RAW_cleaned[[#This Row],[Quarter ]]</f>
        <v>NAQ4</v>
      </c>
      <c r="V354" s="5">
        <f>_xlfn.XLOOKUP(Transactions_RAW_cleaned[[#This Row],[RegionQuarterKey]], Quarterly_Targets_cleaned[RegionQuarterKey], Quarterly_Targets_cleaned[TargetRevenue])</f>
        <v>299000</v>
      </c>
    </row>
    <row r="355" spans="1:22" x14ac:dyDescent="0.25">
      <c r="A355" t="s">
        <v>688</v>
      </c>
      <c r="B355" s="1">
        <v>45455</v>
      </c>
      <c r="C355" t="s">
        <v>92</v>
      </c>
      <c r="D355" t="s">
        <v>297</v>
      </c>
      <c r="E355">
        <v>110.58</v>
      </c>
      <c r="F355" t="s">
        <v>324</v>
      </c>
      <c r="G355" t="s">
        <v>2963</v>
      </c>
      <c r="I355" t="s">
        <v>8</v>
      </c>
      <c r="J355" t="s">
        <v>102</v>
      </c>
      <c r="K355" t="s">
        <v>10</v>
      </c>
      <c r="L355" t="s">
        <v>298</v>
      </c>
      <c r="M355" t="s">
        <v>299</v>
      </c>
      <c r="N355">
        <v>0</v>
      </c>
      <c r="O355" t="str">
        <f>IF(Transactions_RAW_cleaned[[#This Row],[Status]]="Completed", IFERROR(_xlfn.XLOOKUP(Transactions_RAW_cleaned[[#This Row],[CustomerID]], Customers_cleaned[CustomerID], Customers_cleaned[Segment]), "Customer Not Found"), "N/A")</f>
        <v>SMB</v>
      </c>
      <c r="P355" s="5" t="str">
        <f>IF(Transactions_RAW_cleaned[[#This Row],[Status]]="Refunded", "Refund",
  IF(Transactions_RAW_cleaned[[#This Row],[Category]]="Payments", IF(Transactions_RAW_cleaned[[#This Row],[Amount]]&gt;500,"High Value","Standard"),
    IF(Transactions_RAW_cleaned[[#This Row],[Amount]]&gt;250,"High Value","Standard")))</f>
        <v>Standard</v>
      </c>
      <c r="Q355" s="5" t="str">
        <f>IF(Transactions_RAW_cleaned[[#This Row],[Amount]] &gt; (_xlfn.XLOOKUP(Transactions_RAW_cleaned[[#This Row],[ServiceID]],Services_cleaned[ServiceID],Services_cleaned[TransactionFeePct]) * 10000), "Yes", "No")</f>
        <v>Yes</v>
      </c>
      <c r="R355" s="5" t="str">
        <f>IF(COUNTIFS($C$2:Transactions_RAW_cleaned[[#This Row],[CustomerID]],Transactions_RAW_cleaned[[#This Row],[CustomerID]],$D$2:Transactions_RAW_cleaned[[#This Row],[ServiceID]],Transactions_RAW_cleaned[[#This Row],[ServiceID]])=1,"Yes","No")</f>
        <v>Yes</v>
      </c>
      <c r="S35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55" t="str">
        <f>"Q"&amp;ROUNDUP(MONTH(Transactions_RAW_cleaned[[#This Row],[TransactionDate]])/3,0)</f>
        <v>Q2</v>
      </c>
      <c r="U355" t="str">
        <f>Transactions_RAW_cleaned[[#This Row],[Region ]]&amp;Transactions_RAW_cleaned[[#This Row],[Quarter ]]</f>
        <v>NAQ2</v>
      </c>
      <c r="V355" s="5">
        <f>_xlfn.XLOOKUP(Transactions_RAW_cleaned[[#This Row],[RegionQuarterKey]], Quarterly_Targets_cleaned[RegionQuarterKey], Quarterly_Targets_cleaned[TargetRevenue])</f>
        <v>260000</v>
      </c>
    </row>
    <row r="356" spans="1:22" x14ac:dyDescent="0.25">
      <c r="A356" t="s">
        <v>689</v>
      </c>
      <c r="B356" s="1">
        <v>45548</v>
      </c>
      <c r="C356" t="s">
        <v>149</v>
      </c>
      <c r="D356" t="s">
        <v>306</v>
      </c>
      <c r="E356">
        <v>-495.66</v>
      </c>
      <c r="F356" t="s">
        <v>349</v>
      </c>
      <c r="G356" t="s">
        <v>327</v>
      </c>
      <c r="I356" t="s">
        <v>8</v>
      </c>
      <c r="J356" t="s">
        <v>13</v>
      </c>
      <c r="K356" t="s">
        <v>22</v>
      </c>
      <c r="L356" t="s">
        <v>307</v>
      </c>
      <c r="M356" t="s">
        <v>308</v>
      </c>
      <c r="N356">
        <v>0</v>
      </c>
      <c r="O356" t="str">
        <f>IF(Transactions_RAW_cleaned[[#This Row],[Status]]="Completed", IFERROR(_xlfn.XLOOKUP(Transactions_RAW_cleaned[[#This Row],[CustomerID]], Customers_cleaned[CustomerID], Customers_cleaned[Segment]), "Customer Not Found"), "N/A")</f>
        <v>N/A</v>
      </c>
      <c r="P356" s="5" t="str">
        <f>IF(Transactions_RAW_cleaned[[#This Row],[Status]]="Refunded", "Refund",
  IF(Transactions_RAW_cleaned[[#This Row],[Category]]="Payments", IF(Transactions_RAW_cleaned[[#This Row],[Amount]]&gt;500,"High Value","Standard"),
    IF(Transactions_RAW_cleaned[[#This Row],[Amount]]&gt;250,"High Value","Standard")))</f>
        <v>Refund</v>
      </c>
      <c r="Q356" s="5" t="str">
        <f>IF(Transactions_RAW_cleaned[[#This Row],[Amount]] &gt; (_xlfn.XLOOKUP(Transactions_RAW_cleaned[[#This Row],[ServiceID]],Services_cleaned[ServiceID],Services_cleaned[TransactionFeePct]) * 10000), "Yes", "No")</f>
        <v>No</v>
      </c>
      <c r="R356" s="5" t="str">
        <f>IF(COUNTIFS($C$2:Transactions_RAW_cleaned[[#This Row],[CustomerID]],Transactions_RAW_cleaned[[#This Row],[CustomerID]],$D$2:Transactions_RAW_cleaned[[#This Row],[ServiceID]],Transactions_RAW_cleaned[[#This Row],[ServiceID]])=1,"Yes","No")</f>
        <v>Yes</v>
      </c>
      <c r="S35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56" t="str">
        <f>"Q"&amp;ROUNDUP(MONTH(Transactions_RAW_cleaned[[#This Row],[TransactionDate]])/3,0)</f>
        <v>Q3</v>
      </c>
      <c r="U356" t="str">
        <f>Transactions_RAW_cleaned[[#This Row],[Region ]]&amp;Transactions_RAW_cleaned[[#This Row],[Quarter ]]</f>
        <v>NAQ3</v>
      </c>
      <c r="V356" s="5">
        <f>_xlfn.XLOOKUP(Transactions_RAW_cleaned[[#This Row],[RegionQuarterKey]], Quarterly_Targets_cleaned[RegionQuarterKey], Quarterly_Targets_cleaned[TargetRevenue])</f>
        <v>273000</v>
      </c>
    </row>
    <row r="357" spans="1:22" x14ac:dyDescent="0.25">
      <c r="A357" t="s">
        <v>690</v>
      </c>
      <c r="B357" s="1">
        <v>45454</v>
      </c>
      <c r="C357" t="s">
        <v>55</v>
      </c>
      <c r="D357" t="s">
        <v>294</v>
      </c>
      <c r="E357">
        <v>169.51</v>
      </c>
      <c r="F357" t="s">
        <v>324</v>
      </c>
      <c r="G357" t="s">
        <v>329</v>
      </c>
      <c r="I357" t="s">
        <v>57</v>
      </c>
      <c r="J357" t="s">
        <v>31</v>
      </c>
      <c r="K357" t="s">
        <v>22</v>
      </c>
      <c r="L357" t="s">
        <v>295</v>
      </c>
      <c r="M357" t="s">
        <v>296</v>
      </c>
      <c r="N357">
        <v>2.9000000000000001E-2</v>
      </c>
      <c r="O357" t="str">
        <f>IF(Transactions_RAW_cleaned[[#This Row],[Status]]="Completed", IFERROR(_xlfn.XLOOKUP(Transactions_RAW_cleaned[[#This Row],[CustomerID]], Customers_cleaned[CustomerID], Customers_cleaned[Segment]), "Customer Not Found"), "N/A")</f>
        <v>Startup</v>
      </c>
      <c r="P357" s="5" t="str">
        <f>IF(Transactions_RAW_cleaned[[#This Row],[Status]]="Refunded", "Refund",
  IF(Transactions_RAW_cleaned[[#This Row],[Category]]="Payments", IF(Transactions_RAW_cleaned[[#This Row],[Amount]]&gt;500,"High Value","Standard"),
    IF(Transactions_RAW_cleaned[[#This Row],[Amount]]&gt;250,"High Value","Standard")))</f>
        <v>Standard</v>
      </c>
      <c r="Q357" s="5" t="str">
        <f>IF(Transactions_RAW_cleaned[[#This Row],[Amount]] &gt; (_xlfn.XLOOKUP(Transactions_RAW_cleaned[[#This Row],[ServiceID]],Services_cleaned[ServiceID],Services_cleaned[TransactionFeePct]) * 10000), "Yes", "No")</f>
        <v>No</v>
      </c>
      <c r="R357" s="5" t="str">
        <f>IF(COUNTIFS($C$2:Transactions_RAW_cleaned[[#This Row],[CustomerID]],Transactions_RAW_cleaned[[#This Row],[CustomerID]],$D$2:Transactions_RAW_cleaned[[#This Row],[ServiceID]],Transactions_RAW_cleaned[[#This Row],[ServiceID]])=1,"Yes","No")</f>
        <v>Yes</v>
      </c>
      <c r="S35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357" t="str">
        <f>"Q"&amp;ROUNDUP(MONTH(Transactions_RAW_cleaned[[#This Row],[TransactionDate]])/3,0)</f>
        <v>Q2</v>
      </c>
      <c r="U357" t="str">
        <f>Transactions_RAW_cleaned[[#This Row],[Region ]]&amp;Transactions_RAW_cleaned[[#This Row],[Quarter ]]</f>
        <v>EMEAQ2</v>
      </c>
      <c r="V357" s="5">
        <f>_xlfn.XLOOKUP(Transactions_RAW_cleaned[[#This Row],[RegionQuarterKey]], Quarterly_Targets_cleaned[RegionQuarterKey], Quarterly_Targets_cleaned[TargetRevenue])</f>
        <v>140000</v>
      </c>
    </row>
    <row r="358" spans="1:22" x14ac:dyDescent="0.25">
      <c r="A358" t="s">
        <v>691</v>
      </c>
      <c r="B358" s="1">
        <v>45393</v>
      </c>
      <c r="C358" t="s">
        <v>70</v>
      </c>
      <c r="D358" t="s">
        <v>294</v>
      </c>
      <c r="E358">
        <v>132.22</v>
      </c>
      <c r="F358" t="s">
        <v>324</v>
      </c>
      <c r="G358" t="s">
        <v>327</v>
      </c>
      <c r="H358" t="s">
        <v>346</v>
      </c>
      <c r="I358" t="s">
        <v>8</v>
      </c>
      <c r="J358" t="s">
        <v>37</v>
      </c>
      <c r="K358" t="s">
        <v>28</v>
      </c>
      <c r="L358" t="s">
        <v>295</v>
      </c>
      <c r="M358" t="s">
        <v>296</v>
      </c>
      <c r="N358">
        <v>2.9000000000000001E-2</v>
      </c>
      <c r="O358" t="str">
        <f>IF(Transactions_RAW_cleaned[[#This Row],[Status]]="Completed", IFERROR(_xlfn.XLOOKUP(Transactions_RAW_cleaned[[#This Row],[CustomerID]], Customers_cleaned[CustomerID], Customers_cleaned[Segment]), "Customer Not Found"), "N/A")</f>
        <v>SMB</v>
      </c>
      <c r="P358" s="5" t="str">
        <f>IF(Transactions_RAW_cleaned[[#This Row],[Status]]="Refunded", "Refund",
  IF(Transactions_RAW_cleaned[[#This Row],[Category]]="Payments", IF(Transactions_RAW_cleaned[[#This Row],[Amount]]&gt;500,"High Value","Standard"),
    IF(Transactions_RAW_cleaned[[#This Row],[Amount]]&gt;250,"High Value","Standard")))</f>
        <v>Standard</v>
      </c>
      <c r="Q358" s="5" t="str">
        <f>IF(Transactions_RAW_cleaned[[#This Row],[Amount]] &gt; (_xlfn.XLOOKUP(Transactions_RAW_cleaned[[#This Row],[ServiceID]],Services_cleaned[ServiceID],Services_cleaned[TransactionFeePct]) * 10000), "Yes", "No")</f>
        <v>No</v>
      </c>
      <c r="R358" s="5" t="str">
        <f>IF(COUNTIFS($C$2:Transactions_RAW_cleaned[[#This Row],[CustomerID]],Transactions_RAW_cleaned[[#This Row],[CustomerID]],$D$2:Transactions_RAW_cleaned[[#This Row],[ServiceID]],Transactions_RAW_cleaned[[#This Row],[ServiceID]])=1,"Yes","No")</f>
        <v>Yes</v>
      </c>
      <c r="S35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358" t="str">
        <f>"Q"&amp;ROUNDUP(MONTH(Transactions_RAW_cleaned[[#This Row],[TransactionDate]])/3,0)</f>
        <v>Q2</v>
      </c>
      <c r="U358" t="str">
        <f>Transactions_RAW_cleaned[[#This Row],[Region ]]&amp;Transactions_RAW_cleaned[[#This Row],[Quarter ]]</f>
        <v>EMEAQ2</v>
      </c>
      <c r="V358" s="5">
        <f>_xlfn.XLOOKUP(Transactions_RAW_cleaned[[#This Row],[RegionQuarterKey]], Quarterly_Targets_cleaned[RegionQuarterKey], Quarterly_Targets_cleaned[TargetRevenue])</f>
        <v>140000</v>
      </c>
    </row>
    <row r="359" spans="1:22" x14ac:dyDescent="0.25">
      <c r="A359" t="s">
        <v>692</v>
      </c>
      <c r="B359" s="1">
        <v>45365</v>
      </c>
      <c r="C359" t="s">
        <v>131</v>
      </c>
      <c r="D359" t="s">
        <v>294</v>
      </c>
      <c r="E359">
        <v>499.41</v>
      </c>
      <c r="F359" t="s">
        <v>324</v>
      </c>
      <c r="G359" t="s">
        <v>327</v>
      </c>
      <c r="H359" t="s">
        <v>334</v>
      </c>
      <c r="I359" t="s">
        <v>17</v>
      </c>
      <c r="J359" t="s">
        <v>102</v>
      </c>
      <c r="K359" t="s">
        <v>22</v>
      </c>
      <c r="L359" t="s">
        <v>295</v>
      </c>
      <c r="M359" t="s">
        <v>296</v>
      </c>
      <c r="N359">
        <v>2.9000000000000001E-2</v>
      </c>
      <c r="O359" t="str">
        <f>IF(Transactions_RAW_cleaned[[#This Row],[Status]]="Completed", IFERROR(_xlfn.XLOOKUP(Transactions_RAW_cleaned[[#This Row],[CustomerID]], Customers_cleaned[CustomerID], Customers_cleaned[Segment]), "Customer Not Found"), "N/A")</f>
        <v>Enterprise</v>
      </c>
      <c r="P359" s="5" t="str">
        <f>IF(Transactions_RAW_cleaned[[#This Row],[Status]]="Refunded", "Refund",
  IF(Transactions_RAW_cleaned[[#This Row],[Category]]="Payments", IF(Transactions_RAW_cleaned[[#This Row],[Amount]]&gt;500,"High Value","Standard"),
    IF(Transactions_RAW_cleaned[[#This Row],[Amount]]&gt;250,"High Value","Standard")))</f>
        <v>Standard</v>
      </c>
      <c r="Q359" s="5" t="str">
        <f>IF(Transactions_RAW_cleaned[[#This Row],[Amount]] &gt; (_xlfn.XLOOKUP(Transactions_RAW_cleaned[[#This Row],[ServiceID]],Services_cleaned[ServiceID],Services_cleaned[TransactionFeePct]) * 10000), "Yes", "No")</f>
        <v>Yes</v>
      </c>
      <c r="R359" s="5" t="str">
        <f>IF(COUNTIFS($C$2:Transactions_RAW_cleaned[[#This Row],[CustomerID]],Transactions_RAW_cleaned[[#This Row],[CustomerID]],$D$2:Transactions_RAW_cleaned[[#This Row],[ServiceID]],Transactions_RAW_cleaned[[#This Row],[ServiceID]])=1,"Yes","No")</f>
        <v>Yes</v>
      </c>
      <c r="S35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59" t="str">
        <f>"Q"&amp;ROUNDUP(MONTH(Transactions_RAW_cleaned[[#This Row],[TransactionDate]])/3,0)</f>
        <v>Q1</v>
      </c>
      <c r="U359" t="str">
        <f>Transactions_RAW_cleaned[[#This Row],[Region ]]&amp;Transactions_RAW_cleaned[[#This Row],[Quarter ]]</f>
        <v>NAQ1</v>
      </c>
      <c r="V359" s="5">
        <f>_xlfn.XLOOKUP(Transactions_RAW_cleaned[[#This Row],[RegionQuarterKey]], Quarterly_Targets_cleaned[RegionQuarterKey], Quarterly_Targets_cleaned[TargetRevenue])</f>
        <v>247000</v>
      </c>
    </row>
    <row r="360" spans="1:22" x14ac:dyDescent="0.25">
      <c r="A360" t="s">
        <v>693</v>
      </c>
      <c r="B360" s="1">
        <v>45403</v>
      </c>
      <c r="C360" t="s">
        <v>187</v>
      </c>
      <c r="D360" t="s">
        <v>297</v>
      </c>
      <c r="E360">
        <v>-404.95</v>
      </c>
      <c r="F360" t="s">
        <v>349</v>
      </c>
      <c r="G360" t="s">
        <v>327</v>
      </c>
      <c r="H360" t="s">
        <v>332</v>
      </c>
      <c r="I360" t="s">
        <v>57</v>
      </c>
      <c r="J360" t="s">
        <v>21</v>
      </c>
      <c r="K360" t="s">
        <v>28</v>
      </c>
      <c r="L360" t="s">
        <v>298</v>
      </c>
      <c r="M360" t="s">
        <v>299</v>
      </c>
      <c r="N360">
        <v>0</v>
      </c>
      <c r="O360" t="str">
        <f>IF(Transactions_RAW_cleaned[[#This Row],[Status]]="Completed", IFERROR(_xlfn.XLOOKUP(Transactions_RAW_cleaned[[#This Row],[CustomerID]], Customers_cleaned[CustomerID], Customers_cleaned[Segment]), "Customer Not Found"), "N/A")</f>
        <v>N/A</v>
      </c>
      <c r="P360" s="5" t="str">
        <f>IF(Transactions_RAW_cleaned[[#This Row],[Status]]="Refunded", "Refund",
  IF(Transactions_RAW_cleaned[[#This Row],[Category]]="Payments", IF(Transactions_RAW_cleaned[[#This Row],[Amount]]&gt;500,"High Value","Standard"),
    IF(Transactions_RAW_cleaned[[#This Row],[Amount]]&gt;250,"High Value","Standard")))</f>
        <v>Refund</v>
      </c>
      <c r="Q360" s="5" t="str">
        <f>IF(Transactions_RAW_cleaned[[#This Row],[Amount]] &gt; (_xlfn.XLOOKUP(Transactions_RAW_cleaned[[#This Row],[ServiceID]],Services_cleaned[ServiceID],Services_cleaned[TransactionFeePct]) * 10000), "Yes", "No")</f>
        <v>No</v>
      </c>
      <c r="R360" s="5" t="str">
        <f>IF(COUNTIFS($C$2:Transactions_RAW_cleaned[[#This Row],[CustomerID]],Transactions_RAW_cleaned[[#This Row],[CustomerID]],$D$2:Transactions_RAW_cleaned[[#This Row],[ServiceID]],Transactions_RAW_cleaned[[#This Row],[ServiceID]])=1,"Yes","No")</f>
        <v>Yes</v>
      </c>
      <c r="S36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360" t="str">
        <f>"Q"&amp;ROUNDUP(MONTH(Transactions_RAW_cleaned[[#This Row],[TransactionDate]])/3,0)</f>
        <v>Q2</v>
      </c>
      <c r="U360" t="str">
        <f>Transactions_RAW_cleaned[[#This Row],[Region ]]&amp;Transactions_RAW_cleaned[[#This Row],[Quarter ]]</f>
        <v>APACQ2</v>
      </c>
      <c r="V360" s="5">
        <f>_xlfn.XLOOKUP(Transactions_RAW_cleaned[[#This Row],[RegionQuarterKey]], Quarterly_Targets_cleaned[RegionQuarterKey], Quarterly_Targets_cleaned[TargetRevenue])</f>
        <v>110000</v>
      </c>
    </row>
    <row r="361" spans="1:22" x14ac:dyDescent="0.25">
      <c r="A361" t="s">
        <v>694</v>
      </c>
      <c r="B361" s="1">
        <v>45376</v>
      </c>
      <c r="C361" t="s">
        <v>249</v>
      </c>
      <c r="D361" t="s">
        <v>300</v>
      </c>
      <c r="E361">
        <v>572.27</v>
      </c>
      <c r="F361" t="s">
        <v>324</v>
      </c>
      <c r="G361" t="s">
        <v>327</v>
      </c>
      <c r="I361" t="s">
        <v>57</v>
      </c>
      <c r="J361" t="s">
        <v>21</v>
      </c>
      <c r="K361" t="s">
        <v>14</v>
      </c>
      <c r="L361" t="s">
        <v>301</v>
      </c>
      <c r="M361" t="s">
        <v>302</v>
      </c>
      <c r="N361">
        <v>5.0000000000000001E-3</v>
      </c>
      <c r="O361" t="str">
        <f>IF(Transactions_RAW_cleaned[[#This Row],[Status]]="Completed", IFERROR(_xlfn.XLOOKUP(Transactions_RAW_cleaned[[#This Row],[CustomerID]], Customers_cleaned[CustomerID], Customers_cleaned[Segment]), "Customer Not Found"), "N/A")</f>
        <v>Startup</v>
      </c>
      <c r="P361" s="5" t="str">
        <f>IF(Transactions_RAW_cleaned[[#This Row],[Status]]="Refunded", "Refund",
  IF(Transactions_RAW_cleaned[[#This Row],[Category]]="Payments", IF(Transactions_RAW_cleaned[[#This Row],[Amount]]&gt;500,"High Value","Standard"),
    IF(Transactions_RAW_cleaned[[#This Row],[Amount]]&gt;250,"High Value","Standard")))</f>
        <v>High Value</v>
      </c>
      <c r="Q361" s="5" t="str">
        <f>IF(Transactions_RAW_cleaned[[#This Row],[Amount]] &gt; (_xlfn.XLOOKUP(Transactions_RAW_cleaned[[#This Row],[ServiceID]],Services_cleaned[ServiceID],Services_cleaned[TransactionFeePct]) * 10000), "Yes", "No")</f>
        <v>Yes</v>
      </c>
      <c r="R361" s="5" t="str">
        <f>IF(COUNTIFS($C$2:Transactions_RAW_cleaned[[#This Row],[CustomerID]],Transactions_RAW_cleaned[[#This Row],[CustomerID]],$D$2:Transactions_RAW_cleaned[[#This Row],[ServiceID]],Transactions_RAW_cleaned[[#This Row],[ServiceID]])=1,"Yes","No")</f>
        <v>Yes</v>
      </c>
      <c r="S36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361" t="str">
        <f>"Q"&amp;ROUNDUP(MONTH(Transactions_RAW_cleaned[[#This Row],[TransactionDate]])/3,0)</f>
        <v>Q1</v>
      </c>
      <c r="U361" t="str">
        <f>Transactions_RAW_cleaned[[#This Row],[Region ]]&amp;Transactions_RAW_cleaned[[#This Row],[Quarter ]]</f>
        <v>APACQ1</v>
      </c>
      <c r="V361" s="5">
        <f>_xlfn.XLOOKUP(Transactions_RAW_cleaned[[#This Row],[RegionQuarterKey]], Quarterly_Targets_cleaned[RegionQuarterKey], Quarterly_Targets_cleaned[TargetRevenue])</f>
        <v>104500</v>
      </c>
    </row>
    <row r="362" spans="1:22" x14ac:dyDescent="0.25">
      <c r="A362" t="s">
        <v>695</v>
      </c>
      <c r="B362" s="1">
        <v>45457</v>
      </c>
      <c r="C362" t="s">
        <v>90</v>
      </c>
      <c r="D362" t="s">
        <v>300</v>
      </c>
      <c r="E362">
        <v>188.83</v>
      </c>
      <c r="F362" t="s">
        <v>324</v>
      </c>
      <c r="G362" t="s">
        <v>327</v>
      </c>
      <c r="H362" t="s">
        <v>332</v>
      </c>
      <c r="I362" t="s">
        <v>8</v>
      </c>
      <c r="J362" t="s">
        <v>102</v>
      </c>
      <c r="K362" t="s">
        <v>28</v>
      </c>
      <c r="L362" t="s">
        <v>301</v>
      </c>
      <c r="M362" t="s">
        <v>302</v>
      </c>
      <c r="N362">
        <v>5.0000000000000001E-3</v>
      </c>
      <c r="O362" t="str">
        <f>IF(Transactions_RAW_cleaned[[#This Row],[Status]]="Completed", IFERROR(_xlfn.XLOOKUP(Transactions_RAW_cleaned[[#This Row],[CustomerID]], Customers_cleaned[CustomerID], Customers_cleaned[Segment]), "Customer Not Found"), "N/A")</f>
        <v>SMB</v>
      </c>
      <c r="P362" s="5" t="str">
        <f>IF(Transactions_RAW_cleaned[[#This Row],[Status]]="Refunded", "Refund",
  IF(Transactions_RAW_cleaned[[#This Row],[Category]]="Payments", IF(Transactions_RAW_cleaned[[#This Row],[Amount]]&gt;500,"High Value","Standard"),
    IF(Transactions_RAW_cleaned[[#This Row],[Amount]]&gt;250,"High Value","Standard")))</f>
        <v>Standard</v>
      </c>
      <c r="Q362" s="5" t="str">
        <f>IF(Transactions_RAW_cleaned[[#This Row],[Amount]] &gt; (_xlfn.XLOOKUP(Transactions_RAW_cleaned[[#This Row],[ServiceID]],Services_cleaned[ServiceID],Services_cleaned[TransactionFeePct]) * 10000), "Yes", "No")</f>
        <v>Yes</v>
      </c>
      <c r="R362" s="5" t="str">
        <f>IF(COUNTIFS($C$2:Transactions_RAW_cleaned[[#This Row],[CustomerID]],Transactions_RAW_cleaned[[#This Row],[CustomerID]],$D$2:Transactions_RAW_cleaned[[#This Row],[ServiceID]],Transactions_RAW_cleaned[[#This Row],[ServiceID]])=1,"Yes","No")</f>
        <v>No</v>
      </c>
      <c r="S36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62" t="str">
        <f>"Q"&amp;ROUNDUP(MONTH(Transactions_RAW_cleaned[[#This Row],[TransactionDate]])/3,0)</f>
        <v>Q2</v>
      </c>
      <c r="U362" t="str">
        <f>Transactions_RAW_cleaned[[#This Row],[Region ]]&amp;Transactions_RAW_cleaned[[#This Row],[Quarter ]]</f>
        <v>NAQ2</v>
      </c>
      <c r="V362" s="5">
        <f>_xlfn.XLOOKUP(Transactions_RAW_cleaned[[#This Row],[RegionQuarterKey]], Quarterly_Targets_cleaned[RegionQuarterKey], Quarterly_Targets_cleaned[TargetRevenue])</f>
        <v>260000</v>
      </c>
    </row>
    <row r="363" spans="1:22" x14ac:dyDescent="0.25">
      <c r="A363" t="s">
        <v>696</v>
      </c>
      <c r="B363" s="1">
        <v>45534</v>
      </c>
      <c r="C363" t="s">
        <v>203</v>
      </c>
      <c r="D363" t="s">
        <v>309</v>
      </c>
      <c r="E363">
        <v>465.14</v>
      </c>
      <c r="F363" t="s">
        <v>324</v>
      </c>
      <c r="G363" t="s">
        <v>325</v>
      </c>
      <c r="H363" t="s">
        <v>334</v>
      </c>
      <c r="I363" t="s">
        <v>57</v>
      </c>
      <c r="J363" t="s">
        <v>21</v>
      </c>
      <c r="K363" t="s">
        <v>14</v>
      </c>
      <c r="L363" t="s">
        <v>310</v>
      </c>
      <c r="M363" t="s">
        <v>311</v>
      </c>
      <c r="N363">
        <v>0</v>
      </c>
      <c r="O363" t="str">
        <f>IF(Transactions_RAW_cleaned[[#This Row],[Status]]="Completed", IFERROR(_xlfn.XLOOKUP(Transactions_RAW_cleaned[[#This Row],[CustomerID]], Customers_cleaned[CustomerID], Customers_cleaned[Segment]), "Customer Not Found"), "N/A")</f>
        <v>Startup</v>
      </c>
      <c r="P363" s="5" t="str">
        <f>IF(Transactions_RAW_cleaned[[#This Row],[Status]]="Refunded", "Refund",
  IF(Transactions_RAW_cleaned[[#This Row],[Category]]="Payments", IF(Transactions_RAW_cleaned[[#This Row],[Amount]]&gt;500,"High Value","Standard"),
    IF(Transactions_RAW_cleaned[[#This Row],[Amount]]&gt;250,"High Value","Standard")))</f>
        <v>High Value</v>
      </c>
      <c r="Q363" s="5" t="str">
        <f>IF(Transactions_RAW_cleaned[[#This Row],[Amount]] &gt; (_xlfn.XLOOKUP(Transactions_RAW_cleaned[[#This Row],[ServiceID]],Services_cleaned[ServiceID],Services_cleaned[TransactionFeePct]) * 10000), "Yes", "No")</f>
        <v>Yes</v>
      </c>
      <c r="R363" s="5" t="str">
        <f>IF(COUNTIFS($C$2:Transactions_RAW_cleaned[[#This Row],[CustomerID]],Transactions_RAW_cleaned[[#This Row],[CustomerID]],$D$2:Transactions_RAW_cleaned[[#This Row],[ServiceID]],Transactions_RAW_cleaned[[#This Row],[ServiceID]])=1,"Yes","No")</f>
        <v>No</v>
      </c>
      <c r="S36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363" t="str">
        <f>"Q"&amp;ROUNDUP(MONTH(Transactions_RAW_cleaned[[#This Row],[TransactionDate]])/3,0)</f>
        <v>Q3</v>
      </c>
      <c r="U363" t="str">
        <f>Transactions_RAW_cleaned[[#This Row],[Region ]]&amp;Transactions_RAW_cleaned[[#This Row],[Quarter ]]</f>
        <v>APACQ3</v>
      </c>
      <c r="V363" s="5">
        <f>_xlfn.XLOOKUP(Transactions_RAW_cleaned[[#This Row],[RegionQuarterKey]], Quarterly_Targets_cleaned[RegionQuarterKey], Quarterly_Targets_cleaned[TargetRevenue])</f>
        <v>115500</v>
      </c>
    </row>
    <row r="364" spans="1:22" x14ac:dyDescent="0.25">
      <c r="A364" t="s">
        <v>697</v>
      </c>
      <c r="B364" s="1">
        <v>45569</v>
      </c>
      <c r="C364" t="s">
        <v>167</v>
      </c>
      <c r="D364" t="s">
        <v>297</v>
      </c>
      <c r="E364">
        <v>492.89</v>
      </c>
      <c r="F364" t="s">
        <v>324</v>
      </c>
      <c r="G364" t="s">
        <v>325</v>
      </c>
      <c r="I364" t="s">
        <v>17</v>
      </c>
      <c r="J364" t="s">
        <v>13</v>
      </c>
      <c r="K364" t="s">
        <v>10</v>
      </c>
      <c r="L364" t="s">
        <v>298</v>
      </c>
      <c r="M364" t="s">
        <v>299</v>
      </c>
      <c r="N364">
        <v>0</v>
      </c>
      <c r="O364" t="str">
        <f>IF(Transactions_RAW_cleaned[[#This Row],[Status]]="Completed", IFERROR(_xlfn.XLOOKUP(Transactions_RAW_cleaned[[#This Row],[CustomerID]], Customers_cleaned[CustomerID], Customers_cleaned[Segment]), "Customer Not Found"), "N/A")</f>
        <v>Enterprise</v>
      </c>
      <c r="P364" s="5" t="str">
        <f>IF(Transactions_RAW_cleaned[[#This Row],[Status]]="Refunded", "Refund",
  IF(Transactions_RAW_cleaned[[#This Row],[Category]]="Payments", IF(Transactions_RAW_cleaned[[#This Row],[Amount]]&gt;500,"High Value","Standard"),
    IF(Transactions_RAW_cleaned[[#This Row],[Amount]]&gt;250,"High Value","Standard")))</f>
        <v>High Value</v>
      </c>
      <c r="Q364" s="5" t="str">
        <f>IF(Transactions_RAW_cleaned[[#This Row],[Amount]] &gt; (_xlfn.XLOOKUP(Transactions_RAW_cleaned[[#This Row],[ServiceID]],Services_cleaned[ServiceID],Services_cleaned[TransactionFeePct]) * 10000), "Yes", "No")</f>
        <v>Yes</v>
      </c>
      <c r="R364" s="5" t="str">
        <f>IF(COUNTIFS($C$2:Transactions_RAW_cleaned[[#This Row],[CustomerID]],Transactions_RAW_cleaned[[#This Row],[CustomerID]],$D$2:Transactions_RAW_cleaned[[#This Row],[ServiceID]],Transactions_RAW_cleaned[[#This Row],[ServiceID]])=1,"Yes","No")</f>
        <v>No</v>
      </c>
      <c r="S36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64" t="str">
        <f>"Q"&amp;ROUNDUP(MONTH(Transactions_RAW_cleaned[[#This Row],[TransactionDate]])/3,0)</f>
        <v>Q4</v>
      </c>
      <c r="U364" t="str">
        <f>Transactions_RAW_cleaned[[#This Row],[Region ]]&amp;Transactions_RAW_cleaned[[#This Row],[Quarter ]]</f>
        <v>NAQ4</v>
      </c>
      <c r="V364" s="5">
        <f>_xlfn.XLOOKUP(Transactions_RAW_cleaned[[#This Row],[RegionQuarterKey]], Quarterly_Targets_cleaned[RegionQuarterKey], Quarterly_Targets_cleaned[TargetRevenue])</f>
        <v>299000</v>
      </c>
    </row>
    <row r="365" spans="1:22" x14ac:dyDescent="0.25">
      <c r="A365" t="s">
        <v>698</v>
      </c>
      <c r="B365" s="1">
        <v>45383</v>
      </c>
      <c r="C365" t="s">
        <v>70</v>
      </c>
      <c r="D365" t="s">
        <v>294</v>
      </c>
      <c r="E365">
        <v>208.3</v>
      </c>
      <c r="F365" t="s">
        <v>324</v>
      </c>
      <c r="G365" t="s">
        <v>327</v>
      </c>
      <c r="I365" t="s">
        <v>8</v>
      </c>
      <c r="J365" t="s">
        <v>37</v>
      </c>
      <c r="K365" t="s">
        <v>28</v>
      </c>
      <c r="L365" t="s">
        <v>295</v>
      </c>
      <c r="M365" t="s">
        <v>296</v>
      </c>
      <c r="N365">
        <v>2.9000000000000001E-2</v>
      </c>
      <c r="O365" t="str">
        <f>IF(Transactions_RAW_cleaned[[#This Row],[Status]]="Completed", IFERROR(_xlfn.XLOOKUP(Transactions_RAW_cleaned[[#This Row],[CustomerID]], Customers_cleaned[CustomerID], Customers_cleaned[Segment]), "Customer Not Found"), "N/A")</f>
        <v>SMB</v>
      </c>
      <c r="P365" s="5" t="str">
        <f>IF(Transactions_RAW_cleaned[[#This Row],[Status]]="Refunded", "Refund",
  IF(Transactions_RAW_cleaned[[#This Row],[Category]]="Payments", IF(Transactions_RAW_cleaned[[#This Row],[Amount]]&gt;500,"High Value","Standard"),
    IF(Transactions_RAW_cleaned[[#This Row],[Amount]]&gt;250,"High Value","Standard")))</f>
        <v>Standard</v>
      </c>
      <c r="Q365" s="5" t="str">
        <f>IF(Transactions_RAW_cleaned[[#This Row],[Amount]] &gt; (_xlfn.XLOOKUP(Transactions_RAW_cleaned[[#This Row],[ServiceID]],Services_cleaned[ServiceID],Services_cleaned[TransactionFeePct]) * 10000), "Yes", "No")</f>
        <v>No</v>
      </c>
      <c r="R365" s="5" t="str">
        <f>IF(COUNTIFS($C$2:Transactions_RAW_cleaned[[#This Row],[CustomerID]],Transactions_RAW_cleaned[[#This Row],[CustomerID]],$D$2:Transactions_RAW_cleaned[[#This Row],[ServiceID]],Transactions_RAW_cleaned[[#This Row],[ServiceID]])=1,"Yes","No")</f>
        <v>No</v>
      </c>
      <c r="S36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365" t="str">
        <f>"Q"&amp;ROUNDUP(MONTH(Transactions_RAW_cleaned[[#This Row],[TransactionDate]])/3,0)</f>
        <v>Q2</v>
      </c>
      <c r="U365" t="str">
        <f>Transactions_RAW_cleaned[[#This Row],[Region ]]&amp;Transactions_RAW_cleaned[[#This Row],[Quarter ]]</f>
        <v>EMEAQ2</v>
      </c>
      <c r="V365" s="5">
        <f>_xlfn.XLOOKUP(Transactions_RAW_cleaned[[#This Row],[RegionQuarterKey]], Quarterly_Targets_cleaned[RegionQuarterKey], Quarterly_Targets_cleaned[TargetRevenue])</f>
        <v>140000</v>
      </c>
    </row>
    <row r="366" spans="1:22" x14ac:dyDescent="0.25">
      <c r="A366" t="s">
        <v>699</v>
      </c>
      <c r="B366" s="1">
        <v>45370</v>
      </c>
      <c r="C366" t="s">
        <v>149</v>
      </c>
      <c r="D366" t="s">
        <v>312</v>
      </c>
      <c r="E366">
        <v>-733.7</v>
      </c>
      <c r="F366" t="s">
        <v>349</v>
      </c>
      <c r="G366" t="s">
        <v>325</v>
      </c>
      <c r="I366" t="s">
        <v>8</v>
      </c>
      <c r="J366" t="s">
        <v>13</v>
      </c>
      <c r="K366" t="s">
        <v>22</v>
      </c>
      <c r="L366" t="s">
        <v>313</v>
      </c>
      <c r="M366" t="s">
        <v>314</v>
      </c>
      <c r="N366">
        <v>0</v>
      </c>
      <c r="O366" t="str">
        <f>IF(Transactions_RAW_cleaned[[#This Row],[Status]]="Completed", IFERROR(_xlfn.XLOOKUP(Transactions_RAW_cleaned[[#This Row],[CustomerID]], Customers_cleaned[CustomerID], Customers_cleaned[Segment]), "Customer Not Found"), "N/A")</f>
        <v>N/A</v>
      </c>
      <c r="P366" s="5" t="str">
        <f>IF(Transactions_RAW_cleaned[[#This Row],[Status]]="Refunded", "Refund",
  IF(Transactions_RAW_cleaned[[#This Row],[Category]]="Payments", IF(Transactions_RAW_cleaned[[#This Row],[Amount]]&gt;500,"High Value","Standard"),
    IF(Transactions_RAW_cleaned[[#This Row],[Amount]]&gt;250,"High Value","Standard")))</f>
        <v>Refund</v>
      </c>
      <c r="Q366" s="5" t="str">
        <f>IF(Transactions_RAW_cleaned[[#This Row],[Amount]] &gt; (_xlfn.XLOOKUP(Transactions_RAW_cleaned[[#This Row],[ServiceID]],Services_cleaned[ServiceID],Services_cleaned[TransactionFeePct]) * 10000), "Yes", "No")</f>
        <v>No</v>
      </c>
      <c r="R366" s="5" t="str">
        <f>IF(COUNTIFS($C$2:Transactions_RAW_cleaned[[#This Row],[CustomerID]],Transactions_RAW_cleaned[[#This Row],[CustomerID]],$D$2:Transactions_RAW_cleaned[[#This Row],[ServiceID]],Transactions_RAW_cleaned[[#This Row],[ServiceID]])=1,"Yes","No")</f>
        <v>Yes</v>
      </c>
      <c r="S36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66" t="str">
        <f>"Q"&amp;ROUNDUP(MONTH(Transactions_RAW_cleaned[[#This Row],[TransactionDate]])/3,0)</f>
        <v>Q1</v>
      </c>
      <c r="U366" t="str">
        <f>Transactions_RAW_cleaned[[#This Row],[Region ]]&amp;Transactions_RAW_cleaned[[#This Row],[Quarter ]]</f>
        <v>NAQ1</v>
      </c>
      <c r="V366" s="5">
        <f>_xlfn.XLOOKUP(Transactions_RAW_cleaned[[#This Row],[RegionQuarterKey]], Quarterly_Targets_cleaned[RegionQuarterKey], Quarterly_Targets_cleaned[TargetRevenue])</f>
        <v>247000</v>
      </c>
    </row>
    <row r="367" spans="1:22" x14ac:dyDescent="0.25">
      <c r="A367" t="s">
        <v>700</v>
      </c>
      <c r="B367" s="1">
        <v>45365</v>
      </c>
      <c r="C367" t="s">
        <v>259</v>
      </c>
      <c r="D367" t="s">
        <v>294</v>
      </c>
      <c r="E367">
        <v>192.8</v>
      </c>
      <c r="F367" t="s">
        <v>331</v>
      </c>
      <c r="G367" t="s">
        <v>327</v>
      </c>
      <c r="H367" t="s">
        <v>332</v>
      </c>
      <c r="I367" t="s">
        <v>8</v>
      </c>
      <c r="J367" t="s">
        <v>31</v>
      </c>
      <c r="K367" t="s">
        <v>22</v>
      </c>
      <c r="L367" t="s">
        <v>295</v>
      </c>
      <c r="M367" t="s">
        <v>296</v>
      </c>
      <c r="N367">
        <v>2.9000000000000001E-2</v>
      </c>
      <c r="O367" t="str">
        <f>IF(Transactions_RAW_cleaned[[#This Row],[Status]]="Completed", IFERROR(_xlfn.XLOOKUP(Transactions_RAW_cleaned[[#This Row],[CustomerID]], Customers_cleaned[CustomerID], Customers_cleaned[Segment]), "Customer Not Found"), "N/A")</f>
        <v>N/A</v>
      </c>
      <c r="P367" s="5" t="str">
        <f>IF(Transactions_RAW_cleaned[[#This Row],[Status]]="Refunded", "Refund",
  IF(Transactions_RAW_cleaned[[#This Row],[Category]]="Payments", IF(Transactions_RAW_cleaned[[#This Row],[Amount]]&gt;500,"High Value","Standard"),
    IF(Transactions_RAW_cleaned[[#This Row],[Amount]]&gt;250,"High Value","Standard")))</f>
        <v>Standard</v>
      </c>
      <c r="Q367" s="5" t="str">
        <f>IF(Transactions_RAW_cleaned[[#This Row],[Amount]] &gt; (_xlfn.XLOOKUP(Transactions_RAW_cleaned[[#This Row],[ServiceID]],Services_cleaned[ServiceID],Services_cleaned[TransactionFeePct]) * 10000), "Yes", "No")</f>
        <v>No</v>
      </c>
      <c r="R367" s="5" t="str">
        <f>IF(COUNTIFS($C$2:Transactions_RAW_cleaned[[#This Row],[CustomerID]],Transactions_RAW_cleaned[[#This Row],[CustomerID]],$D$2:Transactions_RAW_cleaned[[#This Row],[ServiceID]],Transactions_RAW_cleaned[[#This Row],[ServiceID]])=1,"Yes","No")</f>
        <v>Yes</v>
      </c>
      <c r="S36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367" t="str">
        <f>"Q"&amp;ROUNDUP(MONTH(Transactions_RAW_cleaned[[#This Row],[TransactionDate]])/3,0)</f>
        <v>Q1</v>
      </c>
      <c r="U367" t="str">
        <f>Transactions_RAW_cleaned[[#This Row],[Region ]]&amp;Transactions_RAW_cleaned[[#This Row],[Quarter ]]</f>
        <v>EMEAQ1</v>
      </c>
      <c r="V367" s="5">
        <f>_xlfn.XLOOKUP(Transactions_RAW_cleaned[[#This Row],[RegionQuarterKey]], Quarterly_Targets_cleaned[RegionQuarterKey], Quarterly_Targets_cleaned[TargetRevenue])</f>
        <v>133000</v>
      </c>
    </row>
    <row r="368" spans="1:22" x14ac:dyDescent="0.25">
      <c r="A368" t="s">
        <v>701</v>
      </c>
      <c r="B368" s="1">
        <v>45479</v>
      </c>
      <c r="C368" t="s">
        <v>100</v>
      </c>
      <c r="D368" t="s">
        <v>294</v>
      </c>
      <c r="E368">
        <v>878.91</v>
      </c>
      <c r="F368" t="s">
        <v>324</v>
      </c>
      <c r="G368" t="s">
        <v>325</v>
      </c>
      <c r="H368" t="s">
        <v>346</v>
      </c>
      <c r="I368" t="s">
        <v>8</v>
      </c>
      <c r="J368" t="s">
        <v>102</v>
      </c>
      <c r="K368" t="s">
        <v>22</v>
      </c>
      <c r="L368" t="s">
        <v>295</v>
      </c>
      <c r="M368" t="s">
        <v>296</v>
      </c>
      <c r="N368">
        <v>2.9000000000000001E-2</v>
      </c>
      <c r="O368" t="str">
        <f>IF(Transactions_RAW_cleaned[[#This Row],[Status]]="Completed", IFERROR(_xlfn.XLOOKUP(Transactions_RAW_cleaned[[#This Row],[CustomerID]], Customers_cleaned[CustomerID], Customers_cleaned[Segment]), "Customer Not Found"), "N/A")</f>
        <v>SMB</v>
      </c>
      <c r="P368" s="5" t="str">
        <f>IF(Transactions_RAW_cleaned[[#This Row],[Status]]="Refunded", "Refund",
  IF(Transactions_RAW_cleaned[[#This Row],[Category]]="Payments", IF(Transactions_RAW_cleaned[[#This Row],[Amount]]&gt;500,"High Value","Standard"),
    IF(Transactions_RAW_cleaned[[#This Row],[Amount]]&gt;250,"High Value","Standard")))</f>
        <v>High Value</v>
      </c>
      <c r="Q368" s="5" t="str">
        <f>IF(Transactions_RAW_cleaned[[#This Row],[Amount]] &gt; (_xlfn.XLOOKUP(Transactions_RAW_cleaned[[#This Row],[ServiceID]],Services_cleaned[ServiceID],Services_cleaned[TransactionFeePct]) * 10000), "Yes", "No")</f>
        <v>Yes</v>
      </c>
      <c r="R368" s="5" t="str">
        <f>IF(COUNTIFS($C$2:Transactions_RAW_cleaned[[#This Row],[CustomerID]],Transactions_RAW_cleaned[[#This Row],[CustomerID]],$D$2:Transactions_RAW_cleaned[[#This Row],[ServiceID]],Transactions_RAW_cleaned[[#This Row],[ServiceID]])=1,"Yes","No")</f>
        <v>No</v>
      </c>
      <c r="S36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68" t="str">
        <f>"Q"&amp;ROUNDUP(MONTH(Transactions_RAW_cleaned[[#This Row],[TransactionDate]])/3,0)</f>
        <v>Q3</v>
      </c>
      <c r="U368" t="str">
        <f>Transactions_RAW_cleaned[[#This Row],[Region ]]&amp;Transactions_RAW_cleaned[[#This Row],[Quarter ]]</f>
        <v>NAQ3</v>
      </c>
      <c r="V368" s="5">
        <f>_xlfn.XLOOKUP(Transactions_RAW_cleaned[[#This Row],[RegionQuarterKey]], Quarterly_Targets_cleaned[RegionQuarterKey], Quarterly_Targets_cleaned[TargetRevenue])</f>
        <v>273000</v>
      </c>
    </row>
    <row r="369" spans="1:22" x14ac:dyDescent="0.25">
      <c r="A369" t="s">
        <v>702</v>
      </c>
      <c r="B369" s="1">
        <v>45389</v>
      </c>
      <c r="C369" t="s">
        <v>123</v>
      </c>
      <c r="D369" t="s">
        <v>303</v>
      </c>
      <c r="E369">
        <v>-748.53</v>
      </c>
      <c r="F369" t="s">
        <v>349</v>
      </c>
      <c r="G369" t="s">
        <v>325</v>
      </c>
      <c r="I369" t="s">
        <v>8</v>
      </c>
      <c r="J369" t="s">
        <v>13</v>
      </c>
      <c r="K369" t="s">
        <v>32</v>
      </c>
      <c r="L369" t="s">
        <v>304</v>
      </c>
      <c r="M369" t="s">
        <v>305</v>
      </c>
      <c r="N369">
        <v>1E-3</v>
      </c>
      <c r="O369" t="str">
        <f>IF(Transactions_RAW_cleaned[[#This Row],[Status]]="Completed", IFERROR(_xlfn.XLOOKUP(Transactions_RAW_cleaned[[#This Row],[CustomerID]], Customers_cleaned[CustomerID], Customers_cleaned[Segment]), "Customer Not Found"), "N/A")</f>
        <v>N/A</v>
      </c>
      <c r="P369" s="5" t="str">
        <f>IF(Transactions_RAW_cleaned[[#This Row],[Status]]="Refunded", "Refund",
  IF(Transactions_RAW_cleaned[[#This Row],[Category]]="Payments", IF(Transactions_RAW_cleaned[[#This Row],[Amount]]&gt;500,"High Value","Standard"),
    IF(Transactions_RAW_cleaned[[#This Row],[Amount]]&gt;250,"High Value","Standard")))</f>
        <v>Refund</v>
      </c>
      <c r="Q369" s="5" t="str">
        <f>IF(Transactions_RAW_cleaned[[#This Row],[Amount]] &gt; (_xlfn.XLOOKUP(Transactions_RAW_cleaned[[#This Row],[ServiceID]],Services_cleaned[ServiceID],Services_cleaned[TransactionFeePct]) * 10000), "Yes", "No")</f>
        <v>No</v>
      </c>
      <c r="R369" s="5" t="str">
        <f>IF(COUNTIFS($C$2:Transactions_RAW_cleaned[[#This Row],[CustomerID]],Transactions_RAW_cleaned[[#This Row],[CustomerID]],$D$2:Transactions_RAW_cleaned[[#This Row],[ServiceID]],Transactions_RAW_cleaned[[#This Row],[ServiceID]])=1,"Yes","No")</f>
        <v>Yes</v>
      </c>
      <c r="S36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69" t="str">
        <f>"Q"&amp;ROUNDUP(MONTH(Transactions_RAW_cleaned[[#This Row],[TransactionDate]])/3,0)</f>
        <v>Q2</v>
      </c>
      <c r="U369" t="str">
        <f>Transactions_RAW_cleaned[[#This Row],[Region ]]&amp;Transactions_RAW_cleaned[[#This Row],[Quarter ]]</f>
        <v>NAQ2</v>
      </c>
      <c r="V369" s="5">
        <f>_xlfn.XLOOKUP(Transactions_RAW_cleaned[[#This Row],[RegionQuarterKey]], Quarterly_Targets_cleaned[RegionQuarterKey], Quarterly_Targets_cleaned[TargetRevenue])</f>
        <v>260000</v>
      </c>
    </row>
    <row r="370" spans="1:22" x14ac:dyDescent="0.25">
      <c r="A370" t="s">
        <v>703</v>
      </c>
      <c r="B370" s="1">
        <v>45642</v>
      </c>
      <c r="C370" t="s">
        <v>127</v>
      </c>
      <c r="D370" t="s">
        <v>315</v>
      </c>
      <c r="E370">
        <v>513.49</v>
      </c>
      <c r="F370" t="s">
        <v>324</v>
      </c>
      <c r="G370" t="s">
        <v>329</v>
      </c>
      <c r="I370" t="s">
        <v>8</v>
      </c>
      <c r="J370" t="s">
        <v>102</v>
      </c>
      <c r="K370" t="s">
        <v>22</v>
      </c>
      <c r="L370" t="s">
        <v>316</v>
      </c>
      <c r="M370" t="s">
        <v>305</v>
      </c>
      <c r="N370">
        <v>2.5000000000000001E-3</v>
      </c>
      <c r="O370" t="str">
        <f>IF(Transactions_RAW_cleaned[[#This Row],[Status]]="Completed", IFERROR(_xlfn.XLOOKUP(Transactions_RAW_cleaned[[#This Row],[CustomerID]], Customers_cleaned[CustomerID], Customers_cleaned[Segment]), "Customer Not Found"), "N/A")</f>
        <v>SMB</v>
      </c>
      <c r="P370" s="5" t="str">
        <f>IF(Transactions_RAW_cleaned[[#This Row],[Status]]="Refunded", "Refund",
  IF(Transactions_RAW_cleaned[[#This Row],[Category]]="Payments", IF(Transactions_RAW_cleaned[[#This Row],[Amount]]&gt;500,"High Value","Standard"),
    IF(Transactions_RAW_cleaned[[#This Row],[Amount]]&gt;250,"High Value","Standard")))</f>
        <v>High Value</v>
      </c>
      <c r="Q370" s="5" t="str">
        <f>IF(Transactions_RAW_cleaned[[#This Row],[Amount]] &gt; (_xlfn.XLOOKUP(Transactions_RAW_cleaned[[#This Row],[ServiceID]],Services_cleaned[ServiceID],Services_cleaned[TransactionFeePct]) * 10000), "Yes", "No")</f>
        <v>Yes</v>
      </c>
      <c r="R370" s="5" t="str">
        <f>IF(COUNTIFS($C$2:Transactions_RAW_cleaned[[#This Row],[CustomerID]],Transactions_RAW_cleaned[[#This Row],[CustomerID]],$D$2:Transactions_RAW_cleaned[[#This Row],[ServiceID]],Transactions_RAW_cleaned[[#This Row],[ServiceID]])=1,"Yes","No")</f>
        <v>Yes</v>
      </c>
      <c r="S37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70" t="str">
        <f>"Q"&amp;ROUNDUP(MONTH(Transactions_RAW_cleaned[[#This Row],[TransactionDate]])/3,0)</f>
        <v>Q4</v>
      </c>
      <c r="U370" t="str">
        <f>Transactions_RAW_cleaned[[#This Row],[Region ]]&amp;Transactions_RAW_cleaned[[#This Row],[Quarter ]]</f>
        <v>NAQ4</v>
      </c>
      <c r="V370" s="5">
        <f>_xlfn.XLOOKUP(Transactions_RAW_cleaned[[#This Row],[RegionQuarterKey]], Quarterly_Targets_cleaned[RegionQuarterKey], Quarterly_Targets_cleaned[TargetRevenue])</f>
        <v>299000</v>
      </c>
    </row>
    <row r="371" spans="1:22" x14ac:dyDescent="0.25">
      <c r="A371" t="s">
        <v>704</v>
      </c>
      <c r="B371" s="1">
        <v>45414</v>
      </c>
      <c r="C371" t="s">
        <v>125</v>
      </c>
      <c r="D371" t="s">
        <v>297</v>
      </c>
      <c r="E371">
        <v>145.38</v>
      </c>
      <c r="F371" t="s">
        <v>324</v>
      </c>
      <c r="G371" t="s">
        <v>327</v>
      </c>
      <c r="H371" t="s">
        <v>332</v>
      </c>
      <c r="I371" t="s">
        <v>8</v>
      </c>
      <c r="J371" t="s">
        <v>13</v>
      </c>
      <c r="K371" t="s">
        <v>28</v>
      </c>
      <c r="L371" t="s">
        <v>298</v>
      </c>
      <c r="M371" t="s">
        <v>299</v>
      </c>
      <c r="N371">
        <v>0</v>
      </c>
      <c r="O371" t="str">
        <f>IF(Transactions_RAW_cleaned[[#This Row],[Status]]="Completed", IFERROR(_xlfn.XLOOKUP(Transactions_RAW_cleaned[[#This Row],[CustomerID]], Customers_cleaned[CustomerID], Customers_cleaned[Segment]), "Customer Not Found"), "N/A")</f>
        <v>SMB</v>
      </c>
      <c r="P371" s="5" t="str">
        <f>IF(Transactions_RAW_cleaned[[#This Row],[Status]]="Refunded", "Refund",
  IF(Transactions_RAW_cleaned[[#This Row],[Category]]="Payments", IF(Transactions_RAW_cleaned[[#This Row],[Amount]]&gt;500,"High Value","Standard"),
    IF(Transactions_RAW_cleaned[[#This Row],[Amount]]&gt;250,"High Value","Standard")))</f>
        <v>Standard</v>
      </c>
      <c r="Q371" s="5" t="str">
        <f>IF(Transactions_RAW_cleaned[[#This Row],[Amount]] &gt; (_xlfn.XLOOKUP(Transactions_RAW_cleaned[[#This Row],[ServiceID]],Services_cleaned[ServiceID],Services_cleaned[TransactionFeePct]) * 10000), "Yes", "No")</f>
        <v>Yes</v>
      </c>
      <c r="R371" s="5" t="str">
        <f>IF(COUNTIFS($C$2:Transactions_RAW_cleaned[[#This Row],[CustomerID]],Transactions_RAW_cleaned[[#This Row],[CustomerID]],$D$2:Transactions_RAW_cleaned[[#This Row],[ServiceID]],Transactions_RAW_cleaned[[#This Row],[ServiceID]])=1,"Yes","No")</f>
        <v>Yes</v>
      </c>
      <c r="S37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71" t="str">
        <f>"Q"&amp;ROUNDUP(MONTH(Transactions_RAW_cleaned[[#This Row],[TransactionDate]])/3,0)</f>
        <v>Q2</v>
      </c>
      <c r="U371" t="str">
        <f>Transactions_RAW_cleaned[[#This Row],[Region ]]&amp;Transactions_RAW_cleaned[[#This Row],[Quarter ]]</f>
        <v>NAQ2</v>
      </c>
      <c r="V371" s="5">
        <f>_xlfn.XLOOKUP(Transactions_RAW_cleaned[[#This Row],[RegionQuarterKey]], Quarterly_Targets_cleaned[RegionQuarterKey], Quarterly_Targets_cleaned[TargetRevenue])</f>
        <v>260000</v>
      </c>
    </row>
    <row r="372" spans="1:22" x14ac:dyDescent="0.25">
      <c r="A372" t="s">
        <v>705</v>
      </c>
      <c r="B372" s="1">
        <v>45414</v>
      </c>
      <c r="C372" t="s">
        <v>127</v>
      </c>
      <c r="D372" t="s">
        <v>297</v>
      </c>
      <c r="E372">
        <v>439.96</v>
      </c>
      <c r="F372" t="s">
        <v>324</v>
      </c>
      <c r="G372" t="s">
        <v>325</v>
      </c>
      <c r="H372" t="s">
        <v>332</v>
      </c>
      <c r="I372" t="s">
        <v>8</v>
      </c>
      <c r="J372" t="s">
        <v>102</v>
      </c>
      <c r="K372" t="s">
        <v>22</v>
      </c>
      <c r="L372" t="s">
        <v>298</v>
      </c>
      <c r="M372" t="s">
        <v>299</v>
      </c>
      <c r="N372">
        <v>0</v>
      </c>
      <c r="O372" t="str">
        <f>IF(Transactions_RAW_cleaned[[#This Row],[Status]]="Completed", IFERROR(_xlfn.XLOOKUP(Transactions_RAW_cleaned[[#This Row],[CustomerID]], Customers_cleaned[CustomerID], Customers_cleaned[Segment]), "Customer Not Found"), "N/A")</f>
        <v>SMB</v>
      </c>
      <c r="P372" s="5" t="str">
        <f>IF(Transactions_RAW_cleaned[[#This Row],[Status]]="Refunded", "Refund",
  IF(Transactions_RAW_cleaned[[#This Row],[Category]]="Payments", IF(Transactions_RAW_cleaned[[#This Row],[Amount]]&gt;500,"High Value","Standard"),
    IF(Transactions_RAW_cleaned[[#This Row],[Amount]]&gt;250,"High Value","Standard")))</f>
        <v>High Value</v>
      </c>
      <c r="Q372" s="5" t="str">
        <f>IF(Transactions_RAW_cleaned[[#This Row],[Amount]] &gt; (_xlfn.XLOOKUP(Transactions_RAW_cleaned[[#This Row],[ServiceID]],Services_cleaned[ServiceID],Services_cleaned[TransactionFeePct]) * 10000), "Yes", "No")</f>
        <v>Yes</v>
      </c>
      <c r="R372" s="5" t="str">
        <f>IF(COUNTIFS($C$2:Transactions_RAW_cleaned[[#This Row],[CustomerID]],Transactions_RAW_cleaned[[#This Row],[CustomerID]],$D$2:Transactions_RAW_cleaned[[#This Row],[ServiceID]],Transactions_RAW_cleaned[[#This Row],[ServiceID]])=1,"Yes","No")</f>
        <v>Yes</v>
      </c>
      <c r="S37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72" t="str">
        <f>"Q"&amp;ROUNDUP(MONTH(Transactions_RAW_cleaned[[#This Row],[TransactionDate]])/3,0)</f>
        <v>Q2</v>
      </c>
      <c r="U372" t="str">
        <f>Transactions_RAW_cleaned[[#This Row],[Region ]]&amp;Transactions_RAW_cleaned[[#This Row],[Quarter ]]</f>
        <v>NAQ2</v>
      </c>
      <c r="V372" s="5">
        <f>_xlfn.XLOOKUP(Transactions_RAW_cleaned[[#This Row],[RegionQuarterKey]], Quarterly_Targets_cleaned[RegionQuarterKey], Quarterly_Targets_cleaned[TargetRevenue])</f>
        <v>260000</v>
      </c>
    </row>
    <row r="373" spans="1:22" x14ac:dyDescent="0.25">
      <c r="A373" t="s">
        <v>706</v>
      </c>
      <c r="B373" s="1">
        <v>45532</v>
      </c>
      <c r="C373" t="s">
        <v>42</v>
      </c>
      <c r="D373" t="s">
        <v>294</v>
      </c>
      <c r="E373">
        <v>463.22</v>
      </c>
      <c r="F373" t="s">
        <v>324</v>
      </c>
      <c r="G373" t="s">
        <v>327</v>
      </c>
      <c r="H373" t="s">
        <v>346</v>
      </c>
      <c r="I373" t="s">
        <v>8</v>
      </c>
      <c r="J373" t="s">
        <v>102</v>
      </c>
      <c r="K373" t="s">
        <v>10</v>
      </c>
      <c r="L373" t="s">
        <v>295</v>
      </c>
      <c r="M373" t="s">
        <v>296</v>
      </c>
      <c r="N373">
        <v>2.9000000000000001E-2</v>
      </c>
      <c r="O373" t="str">
        <f>IF(Transactions_RAW_cleaned[[#This Row],[Status]]="Completed", IFERROR(_xlfn.XLOOKUP(Transactions_RAW_cleaned[[#This Row],[CustomerID]], Customers_cleaned[CustomerID], Customers_cleaned[Segment]), "Customer Not Found"), "N/A")</f>
        <v>SMB</v>
      </c>
      <c r="P373" s="5" t="str">
        <f>IF(Transactions_RAW_cleaned[[#This Row],[Status]]="Refunded", "Refund",
  IF(Transactions_RAW_cleaned[[#This Row],[Category]]="Payments", IF(Transactions_RAW_cleaned[[#This Row],[Amount]]&gt;500,"High Value","Standard"),
    IF(Transactions_RAW_cleaned[[#This Row],[Amount]]&gt;250,"High Value","Standard")))</f>
        <v>Standard</v>
      </c>
      <c r="Q373" s="5" t="str">
        <f>IF(Transactions_RAW_cleaned[[#This Row],[Amount]] &gt; (_xlfn.XLOOKUP(Transactions_RAW_cleaned[[#This Row],[ServiceID]],Services_cleaned[ServiceID],Services_cleaned[TransactionFeePct]) * 10000), "Yes", "No")</f>
        <v>Yes</v>
      </c>
      <c r="R373" s="5" t="str">
        <f>IF(COUNTIFS($C$2:Transactions_RAW_cleaned[[#This Row],[CustomerID]],Transactions_RAW_cleaned[[#This Row],[CustomerID]],$D$2:Transactions_RAW_cleaned[[#This Row],[ServiceID]],Transactions_RAW_cleaned[[#This Row],[ServiceID]])=1,"Yes","No")</f>
        <v>No</v>
      </c>
      <c r="S37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73" t="str">
        <f>"Q"&amp;ROUNDUP(MONTH(Transactions_RAW_cleaned[[#This Row],[TransactionDate]])/3,0)</f>
        <v>Q3</v>
      </c>
      <c r="U373" t="str">
        <f>Transactions_RAW_cleaned[[#This Row],[Region ]]&amp;Transactions_RAW_cleaned[[#This Row],[Quarter ]]</f>
        <v>NAQ3</v>
      </c>
      <c r="V373" s="5">
        <f>_xlfn.XLOOKUP(Transactions_RAW_cleaned[[#This Row],[RegionQuarterKey]], Quarterly_Targets_cleaned[RegionQuarterKey], Quarterly_Targets_cleaned[TargetRevenue])</f>
        <v>273000</v>
      </c>
    </row>
    <row r="374" spans="1:22" x14ac:dyDescent="0.25">
      <c r="A374" t="s">
        <v>707</v>
      </c>
      <c r="B374" s="1">
        <v>45310</v>
      </c>
      <c r="C374" t="s">
        <v>58</v>
      </c>
      <c r="D374" t="s">
        <v>294</v>
      </c>
      <c r="E374">
        <v>633.54</v>
      </c>
      <c r="F374" t="s">
        <v>324</v>
      </c>
      <c r="G374" t="s">
        <v>325</v>
      </c>
      <c r="H374" t="s">
        <v>332</v>
      </c>
      <c r="I374" t="s">
        <v>17</v>
      </c>
      <c r="J374" t="s">
        <v>102</v>
      </c>
      <c r="K374" t="s">
        <v>22</v>
      </c>
      <c r="L374" t="s">
        <v>295</v>
      </c>
      <c r="M374" t="s">
        <v>296</v>
      </c>
      <c r="N374">
        <v>2.9000000000000001E-2</v>
      </c>
      <c r="O374" t="str">
        <f>IF(Transactions_RAW_cleaned[[#This Row],[Status]]="Completed", IFERROR(_xlfn.XLOOKUP(Transactions_RAW_cleaned[[#This Row],[CustomerID]], Customers_cleaned[CustomerID], Customers_cleaned[Segment]), "Customer Not Found"), "N/A")</f>
        <v>Enterprise</v>
      </c>
      <c r="P374" s="5" t="str">
        <f>IF(Transactions_RAW_cleaned[[#This Row],[Status]]="Refunded", "Refund",
  IF(Transactions_RAW_cleaned[[#This Row],[Category]]="Payments", IF(Transactions_RAW_cleaned[[#This Row],[Amount]]&gt;500,"High Value","Standard"),
    IF(Transactions_RAW_cleaned[[#This Row],[Amount]]&gt;250,"High Value","Standard")))</f>
        <v>High Value</v>
      </c>
      <c r="Q374" s="5" t="str">
        <f>IF(Transactions_RAW_cleaned[[#This Row],[Amount]] &gt; (_xlfn.XLOOKUP(Transactions_RAW_cleaned[[#This Row],[ServiceID]],Services_cleaned[ServiceID],Services_cleaned[TransactionFeePct]) * 10000), "Yes", "No")</f>
        <v>Yes</v>
      </c>
      <c r="R374" s="5" t="str">
        <f>IF(COUNTIFS($C$2:Transactions_RAW_cleaned[[#This Row],[CustomerID]],Transactions_RAW_cleaned[[#This Row],[CustomerID]],$D$2:Transactions_RAW_cleaned[[#This Row],[ServiceID]],Transactions_RAW_cleaned[[#This Row],[ServiceID]])=1,"Yes","No")</f>
        <v>Yes</v>
      </c>
      <c r="S37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74" t="str">
        <f>"Q"&amp;ROUNDUP(MONTH(Transactions_RAW_cleaned[[#This Row],[TransactionDate]])/3,0)</f>
        <v>Q1</v>
      </c>
      <c r="U374" t="str">
        <f>Transactions_RAW_cleaned[[#This Row],[Region ]]&amp;Transactions_RAW_cleaned[[#This Row],[Quarter ]]</f>
        <v>NAQ1</v>
      </c>
      <c r="V374" s="5">
        <f>_xlfn.XLOOKUP(Transactions_RAW_cleaned[[#This Row],[RegionQuarterKey]], Quarterly_Targets_cleaned[RegionQuarterKey], Quarterly_Targets_cleaned[TargetRevenue])</f>
        <v>247000</v>
      </c>
    </row>
    <row r="375" spans="1:22" x14ac:dyDescent="0.25">
      <c r="A375" t="s">
        <v>708</v>
      </c>
      <c r="B375" s="1">
        <v>45332</v>
      </c>
      <c r="C375" t="s">
        <v>269</v>
      </c>
      <c r="D375" t="s">
        <v>312</v>
      </c>
      <c r="E375">
        <v>255.5</v>
      </c>
      <c r="F375" t="s">
        <v>324</v>
      </c>
      <c r="G375" t="s">
        <v>327</v>
      </c>
      <c r="I375" t="s">
        <v>17</v>
      </c>
      <c r="J375" t="s">
        <v>31</v>
      </c>
      <c r="K375" t="s">
        <v>32</v>
      </c>
      <c r="L375" t="s">
        <v>313</v>
      </c>
      <c r="M375" t="s">
        <v>314</v>
      </c>
      <c r="N375">
        <v>0</v>
      </c>
      <c r="O375" t="str">
        <f>IF(Transactions_RAW_cleaned[[#This Row],[Status]]="Completed", IFERROR(_xlfn.XLOOKUP(Transactions_RAW_cleaned[[#This Row],[CustomerID]], Customers_cleaned[CustomerID], Customers_cleaned[Segment]), "Customer Not Found"), "N/A")</f>
        <v>Enterprise</v>
      </c>
      <c r="P375" s="5" t="str">
        <f>IF(Transactions_RAW_cleaned[[#This Row],[Status]]="Refunded", "Refund",
  IF(Transactions_RAW_cleaned[[#This Row],[Category]]="Payments", IF(Transactions_RAW_cleaned[[#This Row],[Amount]]&gt;500,"High Value","Standard"),
    IF(Transactions_RAW_cleaned[[#This Row],[Amount]]&gt;250,"High Value","Standard")))</f>
        <v>High Value</v>
      </c>
      <c r="Q375" s="5" t="str">
        <f>IF(Transactions_RAW_cleaned[[#This Row],[Amount]] &gt; (_xlfn.XLOOKUP(Transactions_RAW_cleaned[[#This Row],[ServiceID]],Services_cleaned[ServiceID],Services_cleaned[TransactionFeePct]) * 10000), "Yes", "No")</f>
        <v>Yes</v>
      </c>
      <c r="R375" s="5" t="str">
        <f>IF(COUNTIFS($C$2:Transactions_RAW_cleaned[[#This Row],[CustomerID]],Transactions_RAW_cleaned[[#This Row],[CustomerID]],$D$2:Transactions_RAW_cleaned[[#This Row],[ServiceID]],Transactions_RAW_cleaned[[#This Row],[ServiceID]])=1,"Yes","No")</f>
        <v>No</v>
      </c>
      <c r="S37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375" t="str">
        <f>"Q"&amp;ROUNDUP(MONTH(Transactions_RAW_cleaned[[#This Row],[TransactionDate]])/3,0)</f>
        <v>Q1</v>
      </c>
      <c r="U375" t="str">
        <f>Transactions_RAW_cleaned[[#This Row],[Region ]]&amp;Transactions_RAW_cleaned[[#This Row],[Quarter ]]</f>
        <v>EMEAQ1</v>
      </c>
      <c r="V375" s="5">
        <f>_xlfn.XLOOKUP(Transactions_RAW_cleaned[[#This Row],[RegionQuarterKey]], Quarterly_Targets_cleaned[RegionQuarterKey], Quarterly_Targets_cleaned[TargetRevenue])</f>
        <v>133000</v>
      </c>
    </row>
    <row r="376" spans="1:22" x14ac:dyDescent="0.25">
      <c r="A376" t="s">
        <v>709</v>
      </c>
      <c r="B376" s="1">
        <v>45347</v>
      </c>
      <c r="C376" t="s">
        <v>113</v>
      </c>
      <c r="D376" t="s">
        <v>294</v>
      </c>
      <c r="E376">
        <v>595.37</v>
      </c>
      <c r="F376" t="s">
        <v>324</v>
      </c>
      <c r="G376" t="s">
        <v>327</v>
      </c>
      <c r="I376" t="s">
        <v>57</v>
      </c>
      <c r="J376" t="s">
        <v>46</v>
      </c>
      <c r="K376" t="s">
        <v>10</v>
      </c>
      <c r="L376" t="s">
        <v>295</v>
      </c>
      <c r="M376" t="s">
        <v>296</v>
      </c>
      <c r="N376">
        <v>2.9000000000000001E-2</v>
      </c>
      <c r="O376" t="str">
        <f>IF(Transactions_RAW_cleaned[[#This Row],[Status]]="Completed", IFERROR(_xlfn.XLOOKUP(Transactions_RAW_cleaned[[#This Row],[CustomerID]], Customers_cleaned[CustomerID], Customers_cleaned[Segment]), "Customer Not Found"), "N/A")</f>
        <v>Startup</v>
      </c>
      <c r="P376" s="5" t="str">
        <f>IF(Transactions_RAW_cleaned[[#This Row],[Status]]="Refunded", "Refund",
  IF(Transactions_RAW_cleaned[[#This Row],[Category]]="Payments", IF(Transactions_RAW_cleaned[[#This Row],[Amount]]&gt;500,"High Value","Standard"),
    IF(Transactions_RAW_cleaned[[#This Row],[Amount]]&gt;250,"High Value","Standard")))</f>
        <v>High Value</v>
      </c>
      <c r="Q376" s="5" t="str">
        <f>IF(Transactions_RAW_cleaned[[#This Row],[Amount]] &gt; (_xlfn.XLOOKUP(Transactions_RAW_cleaned[[#This Row],[ServiceID]],Services_cleaned[ServiceID],Services_cleaned[TransactionFeePct]) * 10000), "Yes", "No")</f>
        <v>Yes</v>
      </c>
      <c r="R376" s="5" t="str">
        <f>IF(COUNTIFS($C$2:Transactions_RAW_cleaned[[#This Row],[CustomerID]],Transactions_RAW_cleaned[[#This Row],[CustomerID]],$D$2:Transactions_RAW_cleaned[[#This Row],[ServiceID]],Transactions_RAW_cleaned[[#This Row],[ServiceID]])=1,"Yes","No")</f>
        <v>Yes</v>
      </c>
      <c r="S37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376" t="str">
        <f>"Q"&amp;ROUNDUP(MONTH(Transactions_RAW_cleaned[[#This Row],[TransactionDate]])/3,0)</f>
        <v>Q1</v>
      </c>
      <c r="U376" t="str">
        <f>Transactions_RAW_cleaned[[#This Row],[Region ]]&amp;Transactions_RAW_cleaned[[#This Row],[Quarter ]]</f>
        <v>APACQ1</v>
      </c>
      <c r="V376" s="5">
        <f>_xlfn.XLOOKUP(Transactions_RAW_cleaned[[#This Row],[RegionQuarterKey]], Quarterly_Targets_cleaned[RegionQuarterKey], Quarterly_Targets_cleaned[TargetRevenue])</f>
        <v>104500</v>
      </c>
    </row>
    <row r="377" spans="1:22" x14ac:dyDescent="0.25">
      <c r="A377" t="s">
        <v>710</v>
      </c>
      <c r="B377" s="1">
        <v>45475</v>
      </c>
      <c r="C377" t="s">
        <v>94</v>
      </c>
      <c r="D377" t="s">
        <v>297</v>
      </c>
      <c r="E377">
        <v>319.69</v>
      </c>
      <c r="F377" t="s">
        <v>324</v>
      </c>
      <c r="G377" t="s">
        <v>329</v>
      </c>
      <c r="I377" t="s">
        <v>8</v>
      </c>
      <c r="J377" t="s">
        <v>21</v>
      </c>
      <c r="K377" t="s">
        <v>14</v>
      </c>
      <c r="L377" t="s">
        <v>298</v>
      </c>
      <c r="M377" t="s">
        <v>299</v>
      </c>
      <c r="N377">
        <v>0</v>
      </c>
      <c r="O377" t="str">
        <f>IF(Transactions_RAW_cleaned[[#This Row],[Status]]="Completed", IFERROR(_xlfn.XLOOKUP(Transactions_RAW_cleaned[[#This Row],[CustomerID]], Customers_cleaned[CustomerID], Customers_cleaned[Segment]), "Customer Not Found"), "N/A")</f>
        <v>SMB</v>
      </c>
      <c r="P377" s="5" t="str">
        <f>IF(Transactions_RAW_cleaned[[#This Row],[Status]]="Refunded", "Refund",
  IF(Transactions_RAW_cleaned[[#This Row],[Category]]="Payments", IF(Transactions_RAW_cleaned[[#This Row],[Amount]]&gt;500,"High Value","Standard"),
    IF(Transactions_RAW_cleaned[[#This Row],[Amount]]&gt;250,"High Value","Standard")))</f>
        <v>High Value</v>
      </c>
      <c r="Q377" s="5" t="str">
        <f>IF(Transactions_RAW_cleaned[[#This Row],[Amount]] &gt; (_xlfn.XLOOKUP(Transactions_RAW_cleaned[[#This Row],[ServiceID]],Services_cleaned[ServiceID],Services_cleaned[TransactionFeePct]) * 10000), "Yes", "No")</f>
        <v>Yes</v>
      </c>
      <c r="R377" s="5" t="str">
        <f>IF(COUNTIFS($C$2:Transactions_RAW_cleaned[[#This Row],[CustomerID]],Transactions_RAW_cleaned[[#This Row],[CustomerID]],$D$2:Transactions_RAW_cleaned[[#This Row],[ServiceID]],Transactions_RAW_cleaned[[#This Row],[ServiceID]])=1,"Yes","No")</f>
        <v>Yes</v>
      </c>
      <c r="S37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377" t="str">
        <f>"Q"&amp;ROUNDUP(MONTH(Transactions_RAW_cleaned[[#This Row],[TransactionDate]])/3,0)</f>
        <v>Q3</v>
      </c>
      <c r="U377" t="str">
        <f>Transactions_RAW_cleaned[[#This Row],[Region ]]&amp;Transactions_RAW_cleaned[[#This Row],[Quarter ]]</f>
        <v>APACQ3</v>
      </c>
      <c r="V377" s="5">
        <f>_xlfn.XLOOKUP(Transactions_RAW_cleaned[[#This Row],[RegionQuarterKey]], Quarterly_Targets_cleaned[RegionQuarterKey], Quarterly_Targets_cleaned[TargetRevenue])</f>
        <v>115500</v>
      </c>
    </row>
    <row r="378" spans="1:22" x14ac:dyDescent="0.25">
      <c r="A378" t="s">
        <v>711</v>
      </c>
      <c r="B378" s="1">
        <v>45478</v>
      </c>
      <c r="C378" t="s">
        <v>189</v>
      </c>
      <c r="D378" t="s">
        <v>312</v>
      </c>
      <c r="E378">
        <v>187.92</v>
      </c>
      <c r="F378" t="s">
        <v>324</v>
      </c>
      <c r="G378" t="s">
        <v>327</v>
      </c>
      <c r="H378" t="s">
        <v>346</v>
      </c>
      <c r="I378" t="s">
        <v>17</v>
      </c>
      <c r="J378" t="s">
        <v>102</v>
      </c>
      <c r="K378" t="s">
        <v>14</v>
      </c>
      <c r="L378" t="s">
        <v>313</v>
      </c>
      <c r="M378" t="s">
        <v>314</v>
      </c>
      <c r="N378">
        <v>0</v>
      </c>
      <c r="O378" t="str">
        <f>IF(Transactions_RAW_cleaned[[#This Row],[Status]]="Completed", IFERROR(_xlfn.XLOOKUP(Transactions_RAW_cleaned[[#This Row],[CustomerID]], Customers_cleaned[CustomerID], Customers_cleaned[Segment]), "Customer Not Found"), "N/A")</f>
        <v>Enterprise</v>
      </c>
      <c r="P378" s="5" t="str">
        <f>IF(Transactions_RAW_cleaned[[#This Row],[Status]]="Refunded", "Refund",
  IF(Transactions_RAW_cleaned[[#This Row],[Category]]="Payments", IF(Transactions_RAW_cleaned[[#This Row],[Amount]]&gt;500,"High Value","Standard"),
    IF(Transactions_RAW_cleaned[[#This Row],[Amount]]&gt;250,"High Value","Standard")))</f>
        <v>Standard</v>
      </c>
      <c r="Q378" s="5" t="str">
        <f>IF(Transactions_RAW_cleaned[[#This Row],[Amount]] &gt; (_xlfn.XLOOKUP(Transactions_RAW_cleaned[[#This Row],[ServiceID]],Services_cleaned[ServiceID],Services_cleaned[TransactionFeePct]) * 10000), "Yes", "No")</f>
        <v>Yes</v>
      </c>
      <c r="R378" s="5" t="str">
        <f>IF(COUNTIFS($C$2:Transactions_RAW_cleaned[[#This Row],[CustomerID]],Transactions_RAW_cleaned[[#This Row],[CustomerID]],$D$2:Transactions_RAW_cleaned[[#This Row],[ServiceID]],Transactions_RAW_cleaned[[#This Row],[ServiceID]])=1,"Yes","No")</f>
        <v>Yes</v>
      </c>
      <c r="S37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78" t="str">
        <f>"Q"&amp;ROUNDUP(MONTH(Transactions_RAW_cleaned[[#This Row],[TransactionDate]])/3,0)</f>
        <v>Q3</v>
      </c>
      <c r="U378" t="str">
        <f>Transactions_RAW_cleaned[[#This Row],[Region ]]&amp;Transactions_RAW_cleaned[[#This Row],[Quarter ]]</f>
        <v>NAQ3</v>
      </c>
      <c r="V378" s="5">
        <f>_xlfn.XLOOKUP(Transactions_RAW_cleaned[[#This Row],[RegionQuarterKey]], Quarterly_Targets_cleaned[RegionQuarterKey], Quarterly_Targets_cleaned[TargetRevenue])</f>
        <v>273000</v>
      </c>
    </row>
    <row r="379" spans="1:22" x14ac:dyDescent="0.25">
      <c r="A379" t="s">
        <v>712</v>
      </c>
      <c r="B379" s="1">
        <v>45298</v>
      </c>
      <c r="C379" t="s">
        <v>161</v>
      </c>
      <c r="D379" t="s">
        <v>294</v>
      </c>
      <c r="E379">
        <v>165.79</v>
      </c>
      <c r="F379" t="s">
        <v>324</v>
      </c>
      <c r="G379" t="s">
        <v>327</v>
      </c>
      <c r="I379" t="s">
        <v>8</v>
      </c>
      <c r="J379" t="s">
        <v>21</v>
      </c>
      <c r="K379" t="s">
        <v>22</v>
      </c>
      <c r="L379" t="s">
        <v>295</v>
      </c>
      <c r="M379" t="s">
        <v>296</v>
      </c>
      <c r="N379">
        <v>2.9000000000000001E-2</v>
      </c>
      <c r="O379" t="str">
        <f>IF(Transactions_RAW_cleaned[[#This Row],[Status]]="Completed", IFERROR(_xlfn.XLOOKUP(Transactions_RAW_cleaned[[#This Row],[CustomerID]], Customers_cleaned[CustomerID], Customers_cleaned[Segment]), "Customer Not Found"), "N/A")</f>
        <v>SMB</v>
      </c>
      <c r="P379" s="5" t="str">
        <f>IF(Transactions_RAW_cleaned[[#This Row],[Status]]="Refunded", "Refund",
  IF(Transactions_RAW_cleaned[[#This Row],[Category]]="Payments", IF(Transactions_RAW_cleaned[[#This Row],[Amount]]&gt;500,"High Value","Standard"),
    IF(Transactions_RAW_cleaned[[#This Row],[Amount]]&gt;250,"High Value","Standard")))</f>
        <v>Standard</v>
      </c>
      <c r="Q379" s="5" t="str">
        <f>IF(Transactions_RAW_cleaned[[#This Row],[Amount]] &gt; (_xlfn.XLOOKUP(Transactions_RAW_cleaned[[#This Row],[ServiceID]],Services_cleaned[ServiceID],Services_cleaned[TransactionFeePct]) * 10000), "Yes", "No")</f>
        <v>No</v>
      </c>
      <c r="R379" s="5" t="str">
        <f>IF(COUNTIFS($C$2:Transactions_RAW_cleaned[[#This Row],[CustomerID]],Transactions_RAW_cleaned[[#This Row],[CustomerID]],$D$2:Transactions_RAW_cleaned[[#This Row],[ServiceID]],Transactions_RAW_cleaned[[#This Row],[ServiceID]])=1,"Yes","No")</f>
        <v>No</v>
      </c>
      <c r="S37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379" t="str">
        <f>"Q"&amp;ROUNDUP(MONTH(Transactions_RAW_cleaned[[#This Row],[TransactionDate]])/3,0)</f>
        <v>Q1</v>
      </c>
      <c r="U379" t="str">
        <f>Transactions_RAW_cleaned[[#This Row],[Region ]]&amp;Transactions_RAW_cleaned[[#This Row],[Quarter ]]</f>
        <v>APACQ1</v>
      </c>
      <c r="V379" s="5">
        <f>_xlfn.XLOOKUP(Transactions_RAW_cleaned[[#This Row],[RegionQuarterKey]], Quarterly_Targets_cleaned[RegionQuarterKey], Quarterly_Targets_cleaned[TargetRevenue])</f>
        <v>104500</v>
      </c>
    </row>
    <row r="380" spans="1:22" x14ac:dyDescent="0.25">
      <c r="A380" t="s">
        <v>713</v>
      </c>
      <c r="B380" s="1">
        <v>45489</v>
      </c>
      <c r="C380" t="s">
        <v>121</v>
      </c>
      <c r="D380" t="s">
        <v>294</v>
      </c>
      <c r="E380">
        <v>198.95</v>
      </c>
      <c r="F380" t="s">
        <v>324</v>
      </c>
      <c r="G380" t="s">
        <v>329</v>
      </c>
      <c r="I380" t="s">
        <v>8</v>
      </c>
      <c r="J380" t="s">
        <v>37</v>
      </c>
      <c r="K380" t="s">
        <v>14</v>
      </c>
      <c r="L380" t="s">
        <v>295</v>
      </c>
      <c r="M380" t="s">
        <v>296</v>
      </c>
      <c r="N380">
        <v>2.9000000000000001E-2</v>
      </c>
      <c r="O380" t="str">
        <f>IF(Transactions_RAW_cleaned[[#This Row],[Status]]="Completed", IFERROR(_xlfn.XLOOKUP(Transactions_RAW_cleaned[[#This Row],[CustomerID]], Customers_cleaned[CustomerID], Customers_cleaned[Segment]), "Customer Not Found"), "N/A")</f>
        <v>SMB</v>
      </c>
      <c r="P380" s="5" t="str">
        <f>IF(Transactions_RAW_cleaned[[#This Row],[Status]]="Refunded", "Refund",
  IF(Transactions_RAW_cleaned[[#This Row],[Category]]="Payments", IF(Transactions_RAW_cleaned[[#This Row],[Amount]]&gt;500,"High Value","Standard"),
    IF(Transactions_RAW_cleaned[[#This Row],[Amount]]&gt;250,"High Value","Standard")))</f>
        <v>Standard</v>
      </c>
      <c r="Q380" s="5" t="str">
        <f>IF(Transactions_RAW_cleaned[[#This Row],[Amount]] &gt; (_xlfn.XLOOKUP(Transactions_RAW_cleaned[[#This Row],[ServiceID]],Services_cleaned[ServiceID],Services_cleaned[TransactionFeePct]) * 10000), "Yes", "No")</f>
        <v>No</v>
      </c>
      <c r="R380" s="5" t="str">
        <f>IF(COUNTIFS($C$2:Transactions_RAW_cleaned[[#This Row],[CustomerID]],Transactions_RAW_cleaned[[#This Row],[CustomerID]],$D$2:Transactions_RAW_cleaned[[#This Row],[ServiceID]],Transactions_RAW_cleaned[[#This Row],[ServiceID]])=1,"Yes","No")</f>
        <v>No</v>
      </c>
      <c r="S38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380" t="str">
        <f>"Q"&amp;ROUNDUP(MONTH(Transactions_RAW_cleaned[[#This Row],[TransactionDate]])/3,0)</f>
        <v>Q3</v>
      </c>
      <c r="U380" t="str">
        <f>Transactions_RAW_cleaned[[#This Row],[Region ]]&amp;Transactions_RAW_cleaned[[#This Row],[Quarter ]]</f>
        <v>EMEAQ3</v>
      </c>
      <c r="V380" s="5">
        <f>_xlfn.XLOOKUP(Transactions_RAW_cleaned[[#This Row],[RegionQuarterKey]], Quarterly_Targets_cleaned[RegionQuarterKey], Quarterly_Targets_cleaned[TargetRevenue])</f>
        <v>147000</v>
      </c>
    </row>
    <row r="381" spans="1:22" x14ac:dyDescent="0.25">
      <c r="A381" t="s">
        <v>714</v>
      </c>
      <c r="B381" s="1">
        <v>45638</v>
      </c>
      <c r="C381" t="s">
        <v>185</v>
      </c>
      <c r="D381" t="s">
        <v>297</v>
      </c>
      <c r="E381">
        <v>751.3</v>
      </c>
      <c r="F381" t="s">
        <v>331</v>
      </c>
      <c r="G381" t="s">
        <v>325</v>
      </c>
      <c r="I381" t="s">
        <v>17</v>
      </c>
      <c r="J381" t="s">
        <v>13</v>
      </c>
      <c r="K381" t="s">
        <v>32</v>
      </c>
      <c r="L381" t="s">
        <v>298</v>
      </c>
      <c r="M381" t="s">
        <v>299</v>
      </c>
      <c r="N381">
        <v>0</v>
      </c>
      <c r="O381" t="str">
        <f>IF(Transactions_RAW_cleaned[[#This Row],[Status]]="Completed", IFERROR(_xlfn.XLOOKUP(Transactions_RAW_cleaned[[#This Row],[CustomerID]], Customers_cleaned[CustomerID], Customers_cleaned[Segment]), "Customer Not Found"), "N/A")</f>
        <v>N/A</v>
      </c>
      <c r="P381" s="5" t="str">
        <f>IF(Transactions_RAW_cleaned[[#This Row],[Status]]="Refunded", "Refund",
  IF(Transactions_RAW_cleaned[[#This Row],[Category]]="Payments", IF(Transactions_RAW_cleaned[[#This Row],[Amount]]&gt;500,"High Value","Standard"),
    IF(Transactions_RAW_cleaned[[#This Row],[Amount]]&gt;250,"High Value","Standard")))</f>
        <v>High Value</v>
      </c>
      <c r="Q381" s="5" t="str">
        <f>IF(Transactions_RAW_cleaned[[#This Row],[Amount]] &gt; (_xlfn.XLOOKUP(Transactions_RAW_cleaned[[#This Row],[ServiceID]],Services_cleaned[ServiceID],Services_cleaned[TransactionFeePct]) * 10000), "Yes", "No")</f>
        <v>Yes</v>
      </c>
      <c r="R381" s="5" t="str">
        <f>IF(COUNTIFS($C$2:Transactions_RAW_cleaned[[#This Row],[CustomerID]],Transactions_RAW_cleaned[[#This Row],[CustomerID]],$D$2:Transactions_RAW_cleaned[[#This Row],[ServiceID]],Transactions_RAW_cleaned[[#This Row],[ServiceID]])=1,"Yes","No")</f>
        <v>Yes</v>
      </c>
      <c r="S38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81" t="str">
        <f>"Q"&amp;ROUNDUP(MONTH(Transactions_RAW_cleaned[[#This Row],[TransactionDate]])/3,0)</f>
        <v>Q4</v>
      </c>
      <c r="U381" t="str">
        <f>Transactions_RAW_cleaned[[#This Row],[Region ]]&amp;Transactions_RAW_cleaned[[#This Row],[Quarter ]]</f>
        <v>NAQ4</v>
      </c>
      <c r="V381" s="5">
        <f>_xlfn.XLOOKUP(Transactions_RAW_cleaned[[#This Row],[RegionQuarterKey]], Quarterly_Targets_cleaned[RegionQuarterKey], Quarterly_Targets_cleaned[TargetRevenue])</f>
        <v>299000</v>
      </c>
    </row>
    <row r="382" spans="1:22" x14ac:dyDescent="0.25">
      <c r="A382" t="s">
        <v>715</v>
      </c>
      <c r="B382" s="1">
        <v>45640</v>
      </c>
      <c r="C382" t="s">
        <v>80</v>
      </c>
      <c r="D382" t="s">
        <v>294</v>
      </c>
      <c r="E382">
        <v>124.32</v>
      </c>
      <c r="F382" t="s">
        <v>324</v>
      </c>
      <c r="G382" t="s">
        <v>2963</v>
      </c>
      <c r="H382" t="s">
        <v>346</v>
      </c>
      <c r="I382" t="s">
        <v>8</v>
      </c>
      <c r="J382" t="s">
        <v>13</v>
      </c>
      <c r="K382" t="s">
        <v>32</v>
      </c>
      <c r="L382" t="s">
        <v>295</v>
      </c>
      <c r="M382" t="s">
        <v>296</v>
      </c>
      <c r="N382">
        <v>2.9000000000000001E-2</v>
      </c>
      <c r="O382" t="str">
        <f>IF(Transactions_RAW_cleaned[[#This Row],[Status]]="Completed", IFERROR(_xlfn.XLOOKUP(Transactions_RAW_cleaned[[#This Row],[CustomerID]], Customers_cleaned[CustomerID], Customers_cleaned[Segment]), "Customer Not Found"), "N/A")</f>
        <v>SMB</v>
      </c>
      <c r="P382" s="5" t="str">
        <f>IF(Transactions_RAW_cleaned[[#This Row],[Status]]="Refunded", "Refund",
  IF(Transactions_RAW_cleaned[[#This Row],[Category]]="Payments", IF(Transactions_RAW_cleaned[[#This Row],[Amount]]&gt;500,"High Value","Standard"),
    IF(Transactions_RAW_cleaned[[#This Row],[Amount]]&gt;250,"High Value","Standard")))</f>
        <v>Standard</v>
      </c>
      <c r="Q382" s="5" t="str">
        <f>IF(Transactions_RAW_cleaned[[#This Row],[Amount]] &gt; (_xlfn.XLOOKUP(Transactions_RAW_cleaned[[#This Row],[ServiceID]],Services_cleaned[ServiceID],Services_cleaned[TransactionFeePct]) * 10000), "Yes", "No")</f>
        <v>No</v>
      </c>
      <c r="R382" s="5" t="str">
        <f>IF(COUNTIFS($C$2:Transactions_RAW_cleaned[[#This Row],[CustomerID]],Transactions_RAW_cleaned[[#This Row],[CustomerID]],$D$2:Transactions_RAW_cleaned[[#This Row],[ServiceID]],Transactions_RAW_cleaned[[#This Row],[ServiceID]])=1,"Yes","No")</f>
        <v>Yes</v>
      </c>
      <c r="S38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82" t="str">
        <f>"Q"&amp;ROUNDUP(MONTH(Transactions_RAW_cleaned[[#This Row],[TransactionDate]])/3,0)</f>
        <v>Q4</v>
      </c>
      <c r="U382" t="str">
        <f>Transactions_RAW_cleaned[[#This Row],[Region ]]&amp;Transactions_RAW_cleaned[[#This Row],[Quarter ]]</f>
        <v>NAQ4</v>
      </c>
      <c r="V382" s="5">
        <f>_xlfn.XLOOKUP(Transactions_RAW_cleaned[[#This Row],[RegionQuarterKey]], Quarterly_Targets_cleaned[RegionQuarterKey], Quarterly_Targets_cleaned[TargetRevenue])</f>
        <v>299000</v>
      </c>
    </row>
    <row r="383" spans="1:22" x14ac:dyDescent="0.25">
      <c r="A383" t="s">
        <v>716</v>
      </c>
      <c r="B383" s="1">
        <v>45449</v>
      </c>
      <c r="C383" t="s">
        <v>257</v>
      </c>
      <c r="D383" t="s">
        <v>300</v>
      </c>
      <c r="E383">
        <v>199.56</v>
      </c>
      <c r="F383" t="s">
        <v>324</v>
      </c>
      <c r="G383" t="s">
        <v>327</v>
      </c>
      <c r="H383" t="s">
        <v>346</v>
      </c>
      <c r="I383" t="s">
        <v>57</v>
      </c>
      <c r="J383" t="s">
        <v>13</v>
      </c>
      <c r="K383" t="s">
        <v>22</v>
      </c>
      <c r="L383" t="s">
        <v>301</v>
      </c>
      <c r="M383" t="s">
        <v>302</v>
      </c>
      <c r="N383">
        <v>5.0000000000000001E-3</v>
      </c>
      <c r="O383" t="str">
        <f>IF(Transactions_RAW_cleaned[[#This Row],[Status]]="Completed", IFERROR(_xlfn.XLOOKUP(Transactions_RAW_cleaned[[#This Row],[CustomerID]], Customers_cleaned[CustomerID], Customers_cleaned[Segment]), "Customer Not Found"), "N/A")</f>
        <v>Startup</v>
      </c>
      <c r="P383" s="5" t="str">
        <f>IF(Transactions_RAW_cleaned[[#This Row],[Status]]="Refunded", "Refund",
  IF(Transactions_RAW_cleaned[[#This Row],[Category]]="Payments", IF(Transactions_RAW_cleaned[[#This Row],[Amount]]&gt;500,"High Value","Standard"),
    IF(Transactions_RAW_cleaned[[#This Row],[Amount]]&gt;250,"High Value","Standard")))</f>
        <v>Standard</v>
      </c>
      <c r="Q383" s="5" t="str">
        <f>IF(Transactions_RAW_cleaned[[#This Row],[Amount]] &gt; (_xlfn.XLOOKUP(Transactions_RAW_cleaned[[#This Row],[ServiceID]],Services_cleaned[ServiceID],Services_cleaned[TransactionFeePct]) * 10000), "Yes", "No")</f>
        <v>Yes</v>
      </c>
      <c r="R383" s="5" t="str">
        <f>IF(COUNTIFS($C$2:Transactions_RAW_cleaned[[#This Row],[CustomerID]],Transactions_RAW_cleaned[[#This Row],[CustomerID]],$D$2:Transactions_RAW_cleaned[[#This Row],[ServiceID]],Transactions_RAW_cleaned[[#This Row],[ServiceID]])=1,"Yes","No")</f>
        <v>Yes</v>
      </c>
      <c r="S38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83" t="str">
        <f>"Q"&amp;ROUNDUP(MONTH(Transactions_RAW_cleaned[[#This Row],[TransactionDate]])/3,0)</f>
        <v>Q2</v>
      </c>
      <c r="U383" t="str">
        <f>Transactions_RAW_cleaned[[#This Row],[Region ]]&amp;Transactions_RAW_cleaned[[#This Row],[Quarter ]]</f>
        <v>NAQ2</v>
      </c>
      <c r="V383" s="5">
        <f>_xlfn.XLOOKUP(Transactions_RAW_cleaned[[#This Row],[RegionQuarterKey]], Quarterly_Targets_cleaned[RegionQuarterKey], Quarterly_Targets_cleaned[TargetRevenue])</f>
        <v>260000</v>
      </c>
    </row>
    <row r="384" spans="1:22" x14ac:dyDescent="0.25">
      <c r="A384" t="s">
        <v>717</v>
      </c>
      <c r="B384" s="1">
        <v>45593</v>
      </c>
      <c r="C384" t="s">
        <v>163</v>
      </c>
      <c r="D384" t="s">
        <v>315</v>
      </c>
      <c r="E384">
        <v>281.54000000000002</v>
      </c>
      <c r="F384" t="s">
        <v>324</v>
      </c>
      <c r="G384" t="s">
        <v>327</v>
      </c>
      <c r="H384" t="s">
        <v>334</v>
      </c>
      <c r="I384" t="s">
        <v>17</v>
      </c>
      <c r="J384" t="s">
        <v>102</v>
      </c>
      <c r="K384" t="s">
        <v>18</v>
      </c>
      <c r="L384" t="s">
        <v>316</v>
      </c>
      <c r="M384" t="s">
        <v>305</v>
      </c>
      <c r="N384">
        <v>2.5000000000000001E-3</v>
      </c>
      <c r="O384" t="str">
        <f>IF(Transactions_RAW_cleaned[[#This Row],[Status]]="Completed", IFERROR(_xlfn.XLOOKUP(Transactions_RAW_cleaned[[#This Row],[CustomerID]], Customers_cleaned[CustomerID], Customers_cleaned[Segment]), "Customer Not Found"), "N/A")</f>
        <v>Enterprise</v>
      </c>
      <c r="P384" s="5" t="str">
        <f>IF(Transactions_RAW_cleaned[[#This Row],[Status]]="Refunded", "Refund",
  IF(Transactions_RAW_cleaned[[#This Row],[Category]]="Payments", IF(Transactions_RAW_cleaned[[#This Row],[Amount]]&gt;500,"High Value","Standard"),
    IF(Transactions_RAW_cleaned[[#This Row],[Amount]]&gt;250,"High Value","Standard")))</f>
        <v>High Value</v>
      </c>
      <c r="Q384" s="5" t="str">
        <f>IF(Transactions_RAW_cleaned[[#This Row],[Amount]] &gt; (_xlfn.XLOOKUP(Transactions_RAW_cleaned[[#This Row],[ServiceID]],Services_cleaned[ServiceID],Services_cleaned[TransactionFeePct]) * 10000), "Yes", "No")</f>
        <v>Yes</v>
      </c>
      <c r="R384" s="5" t="str">
        <f>IF(COUNTIFS($C$2:Transactions_RAW_cleaned[[#This Row],[CustomerID]],Transactions_RAW_cleaned[[#This Row],[CustomerID]],$D$2:Transactions_RAW_cleaned[[#This Row],[ServiceID]],Transactions_RAW_cleaned[[#This Row],[ServiceID]])=1,"Yes","No")</f>
        <v>Yes</v>
      </c>
      <c r="S38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84" t="str">
        <f>"Q"&amp;ROUNDUP(MONTH(Transactions_RAW_cleaned[[#This Row],[TransactionDate]])/3,0)</f>
        <v>Q4</v>
      </c>
      <c r="U384" t="str">
        <f>Transactions_RAW_cleaned[[#This Row],[Region ]]&amp;Transactions_RAW_cleaned[[#This Row],[Quarter ]]</f>
        <v>NAQ4</v>
      </c>
      <c r="V384" s="5">
        <f>_xlfn.XLOOKUP(Transactions_RAW_cleaned[[#This Row],[RegionQuarterKey]], Quarterly_Targets_cleaned[RegionQuarterKey], Quarterly_Targets_cleaned[TargetRevenue])</f>
        <v>299000</v>
      </c>
    </row>
    <row r="385" spans="1:22" x14ac:dyDescent="0.25">
      <c r="A385" t="s">
        <v>718</v>
      </c>
      <c r="B385" s="1">
        <v>45439</v>
      </c>
      <c r="C385" t="s">
        <v>119</v>
      </c>
      <c r="D385" t="s">
        <v>297</v>
      </c>
      <c r="E385">
        <v>158.79</v>
      </c>
      <c r="F385" t="s">
        <v>324</v>
      </c>
      <c r="G385" t="s">
        <v>337</v>
      </c>
      <c r="I385" t="s">
        <v>57</v>
      </c>
      <c r="J385" t="s">
        <v>102</v>
      </c>
      <c r="K385" t="s">
        <v>18</v>
      </c>
      <c r="L385" t="s">
        <v>298</v>
      </c>
      <c r="M385" t="s">
        <v>299</v>
      </c>
      <c r="N385">
        <v>0</v>
      </c>
      <c r="O385" t="str">
        <f>IF(Transactions_RAW_cleaned[[#This Row],[Status]]="Completed", IFERROR(_xlfn.XLOOKUP(Transactions_RAW_cleaned[[#This Row],[CustomerID]], Customers_cleaned[CustomerID], Customers_cleaned[Segment]), "Customer Not Found"), "N/A")</f>
        <v>Startup</v>
      </c>
      <c r="P385" s="5" t="str">
        <f>IF(Transactions_RAW_cleaned[[#This Row],[Status]]="Refunded", "Refund",
  IF(Transactions_RAW_cleaned[[#This Row],[Category]]="Payments", IF(Transactions_RAW_cleaned[[#This Row],[Amount]]&gt;500,"High Value","Standard"),
    IF(Transactions_RAW_cleaned[[#This Row],[Amount]]&gt;250,"High Value","Standard")))</f>
        <v>Standard</v>
      </c>
      <c r="Q385" s="5" t="str">
        <f>IF(Transactions_RAW_cleaned[[#This Row],[Amount]] &gt; (_xlfn.XLOOKUP(Transactions_RAW_cleaned[[#This Row],[ServiceID]],Services_cleaned[ServiceID],Services_cleaned[TransactionFeePct]) * 10000), "Yes", "No")</f>
        <v>Yes</v>
      </c>
      <c r="R385" s="5" t="str">
        <f>IF(COUNTIFS($C$2:Transactions_RAW_cleaned[[#This Row],[CustomerID]],Transactions_RAW_cleaned[[#This Row],[CustomerID]],$D$2:Transactions_RAW_cleaned[[#This Row],[ServiceID]],Transactions_RAW_cleaned[[#This Row],[ServiceID]])=1,"Yes","No")</f>
        <v>No</v>
      </c>
      <c r="S38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85" t="str">
        <f>"Q"&amp;ROUNDUP(MONTH(Transactions_RAW_cleaned[[#This Row],[TransactionDate]])/3,0)</f>
        <v>Q2</v>
      </c>
      <c r="U385" t="str">
        <f>Transactions_RAW_cleaned[[#This Row],[Region ]]&amp;Transactions_RAW_cleaned[[#This Row],[Quarter ]]</f>
        <v>NAQ2</v>
      </c>
      <c r="V385" s="5">
        <f>_xlfn.XLOOKUP(Transactions_RAW_cleaned[[#This Row],[RegionQuarterKey]], Quarterly_Targets_cleaned[RegionQuarterKey], Quarterly_Targets_cleaned[TargetRevenue])</f>
        <v>260000</v>
      </c>
    </row>
    <row r="386" spans="1:22" x14ac:dyDescent="0.25">
      <c r="A386" t="s">
        <v>719</v>
      </c>
      <c r="B386" s="1">
        <v>45562</v>
      </c>
      <c r="C386" t="s">
        <v>113</v>
      </c>
      <c r="D386" t="s">
        <v>297</v>
      </c>
      <c r="E386">
        <v>178.19</v>
      </c>
      <c r="F386" t="s">
        <v>324</v>
      </c>
      <c r="G386" t="s">
        <v>329</v>
      </c>
      <c r="H386" t="s">
        <v>332</v>
      </c>
      <c r="I386" t="s">
        <v>57</v>
      </c>
      <c r="J386" t="s">
        <v>46</v>
      </c>
      <c r="K386" t="s">
        <v>10</v>
      </c>
      <c r="L386" t="s">
        <v>298</v>
      </c>
      <c r="M386" t="s">
        <v>299</v>
      </c>
      <c r="N386">
        <v>0</v>
      </c>
      <c r="O386" t="str">
        <f>IF(Transactions_RAW_cleaned[[#This Row],[Status]]="Completed", IFERROR(_xlfn.XLOOKUP(Transactions_RAW_cleaned[[#This Row],[CustomerID]], Customers_cleaned[CustomerID], Customers_cleaned[Segment]), "Customer Not Found"), "N/A")</f>
        <v>Startup</v>
      </c>
      <c r="P386" s="5" t="str">
        <f>IF(Transactions_RAW_cleaned[[#This Row],[Status]]="Refunded", "Refund",
  IF(Transactions_RAW_cleaned[[#This Row],[Category]]="Payments", IF(Transactions_RAW_cleaned[[#This Row],[Amount]]&gt;500,"High Value","Standard"),
    IF(Transactions_RAW_cleaned[[#This Row],[Amount]]&gt;250,"High Value","Standard")))</f>
        <v>Standard</v>
      </c>
      <c r="Q386" s="5" t="str">
        <f>IF(Transactions_RAW_cleaned[[#This Row],[Amount]] &gt; (_xlfn.XLOOKUP(Transactions_RAW_cleaned[[#This Row],[ServiceID]],Services_cleaned[ServiceID],Services_cleaned[TransactionFeePct]) * 10000), "Yes", "No")</f>
        <v>Yes</v>
      </c>
      <c r="R386" s="5" t="str">
        <f>IF(COUNTIFS($C$2:Transactions_RAW_cleaned[[#This Row],[CustomerID]],Transactions_RAW_cleaned[[#This Row],[CustomerID]],$D$2:Transactions_RAW_cleaned[[#This Row],[ServiceID]],Transactions_RAW_cleaned[[#This Row],[ServiceID]])=1,"Yes","No")</f>
        <v>Yes</v>
      </c>
      <c r="S38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386" t="str">
        <f>"Q"&amp;ROUNDUP(MONTH(Transactions_RAW_cleaned[[#This Row],[TransactionDate]])/3,0)</f>
        <v>Q3</v>
      </c>
      <c r="U386" t="str">
        <f>Transactions_RAW_cleaned[[#This Row],[Region ]]&amp;Transactions_RAW_cleaned[[#This Row],[Quarter ]]</f>
        <v>APACQ3</v>
      </c>
      <c r="V386" s="5">
        <f>_xlfn.XLOOKUP(Transactions_RAW_cleaned[[#This Row],[RegionQuarterKey]], Quarterly_Targets_cleaned[RegionQuarterKey], Quarterly_Targets_cleaned[TargetRevenue])</f>
        <v>115500</v>
      </c>
    </row>
    <row r="387" spans="1:22" x14ac:dyDescent="0.25">
      <c r="A387" t="s">
        <v>720</v>
      </c>
      <c r="B387" s="1">
        <v>45556</v>
      </c>
      <c r="C387" t="s">
        <v>173</v>
      </c>
      <c r="D387" t="s">
        <v>294</v>
      </c>
      <c r="E387">
        <v>402.88</v>
      </c>
      <c r="F387" t="s">
        <v>324</v>
      </c>
      <c r="G387" t="s">
        <v>337</v>
      </c>
      <c r="H387" t="s">
        <v>332</v>
      </c>
      <c r="I387" t="s">
        <v>8</v>
      </c>
      <c r="J387" t="s">
        <v>46</v>
      </c>
      <c r="K387" t="s">
        <v>32</v>
      </c>
      <c r="L387" t="s">
        <v>295</v>
      </c>
      <c r="M387" t="s">
        <v>296</v>
      </c>
      <c r="N387">
        <v>2.9000000000000001E-2</v>
      </c>
      <c r="O387" t="str">
        <f>IF(Transactions_RAW_cleaned[[#This Row],[Status]]="Completed", IFERROR(_xlfn.XLOOKUP(Transactions_RAW_cleaned[[#This Row],[CustomerID]], Customers_cleaned[CustomerID], Customers_cleaned[Segment]), "Customer Not Found"), "N/A")</f>
        <v>SMB</v>
      </c>
      <c r="P387" s="5" t="str">
        <f>IF(Transactions_RAW_cleaned[[#This Row],[Status]]="Refunded", "Refund",
  IF(Transactions_RAW_cleaned[[#This Row],[Category]]="Payments", IF(Transactions_RAW_cleaned[[#This Row],[Amount]]&gt;500,"High Value","Standard"),
    IF(Transactions_RAW_cleaned[[#This Row],[Amount]]&gt;250,"High Value","Standard")))</f>
        <v>Standard</v>
      </c>
      <c r="Q387" s="5" t="str">
        <f>IF(Transactions_RAW_cleaned[[#This Row],[Amount]] &gt; (_xlfn.XLOOKUP(Transactions_RAW_cleaned[[#This Row],[ServiceID]],Services_cleaned[ServiceID],Services_cleaned[TransactionFeePct]) * 10000), "Yes", "No")</f>
        <v>Yes</v>
      </c>
      <c r="R387" s="5" t="str">
        <f>IF(COUNTIFS($C$2:Transactions_RAW_cleaned[[#This Row],[CustomerID]],Transactions_RAW_cleaned[[#This Row],[CustomerID]],$D$2:Transactions_RAW_cleaned[[#This Row],[ServiceID]],Transactions_RAW_cleaned[[#This Row],[ServiceID]])=1,"Yes","No")</f>
        <v>Yes</v>
      </c>
      <c r="S38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387" t="str">
        <f>"Q"&amp;ROUNDUP(MONTH(Transactions_RAW_cleaned[[#This Row],[TransactionDate]])/3,0)</f>
        <v>Q3</v>
      </c>
      <c r="U387" t="str">
        <f>Transactions_RAW_cleaned[[#This Row],[Region ]]&amp;Transactions_RAW_cleaned[[#This Row],[Quarter ]]</f>
        <v>APACQ3</v>
      </c>
      <c r="V387" s="5">
        <f>_xlfn.XLOOKUP(Transactions_RAW_cleaned[[#This Row],[RegionQuarterKey]], Quarterly_Targets_cleaned[RegionQuarterKey], Quarterly_Targets_cleaned[TargetRevenue])</f>
        <v>115500</v>
      </c>
    </row>
    <row r="388" spans="1:22" x14ac:dyDescent="0.25">
      <c r="A388" t="s">
        <v>721</v>
      </c>
      <c r="B388" s="1">
        <v>45303</v>
      </c>
      <c r="C388" t="s">
        <v>277</v>
      </c>
      <c r="D388" t="s">
        <v>312</v>
      </c>
      <c r="E388">
        <v>127.77</v>
      </c>
      <c r="F388" t="s">
        <v>324</v>
      </c>
      <c r="G388" t="s">
        <v>327</v>
      </c>
      <c r="H388" t="s">
        <v>332</v>
      </c>
      <c r="I388" t="s">
        <v>8</v>
      </c>
      <c r="J388" t="s">
        <v>31</v>
      </c>
      <c r="K388" t="s">
        <v>22</v>
      </c>
      <c r="L388" t="s">
        <v>313</v>
      </c>
      <c r="M388" t="s">
        <v>314</v>
      </c>
      <c r="N388">
        <v>0</v>
      </c>
      <c r="O388" t="str">
        <f>IF(Transactions_RAW_cleaned[[#This Row],[Status]]="Completed", IFERROR(_xlfn.XLOOKUP(Transactions_RAW_cleaned[[#This Row],[CustomerID]], Customers_cleaned[CustomerID], Customers_cleaned[Segment]), "Customer Not Found"), "N/A")</f>
        <v>SMB</v>
      </c>
      <c r="P388" s="5" t="str">
        <f>IF(Transactions_RAW_cleaned[[#This Row],[Status]]="Refunded", "Refund",
  IF(Transactions_RAW_cleaned[[#This Row],[Category]]="Payments", IF(Transactions_RAW_cleaned[[#This Row],[Amount]]&gt;500,"High Value","Standard"),
    IF(Transactions_RAW_cleaned[[#This Row],[Amount]]&gt;250,"High Value","Standard")))</f>
        <v>Standard</v>
      </c>
      <c r="Q388" s="5" t="str">
        <f>IF(Transactions_RAW_cleaned[[#This Row],[Amount]] &gt; (_xlfn.XLOOKUP(Transactions_RAW_cleaned[[#This Row],[ServiceID]],Services_cleaned[ServiceID],Services_cleaned[TransactionFeePct]) * 10000), "Yes", "No")</f>
        <v>Yes</v>
      </c>
      <c r="R388" s="5" t="str">
        <f>IF(COUNTIFS($C$2:Transactions_RAW_cleaned[[#This Row],[CustomerID]],Transactions_RAW_cleaned[[#This Row],[CustomerID]],$D$2:Transactions_RAW_cleaned[[#This Row],[ServiceID]],Transactions_RAW_cleaned[[#This Row],[ServiceID]])=1,"Yes","No")</f>
        <v>Yes</v>
      </c>
      <c r="S38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388" t="str">
        <f>"Q"&amp;ROUNDUP(MONTH(Transactions_RAW_cleaned[[#This Row],[TransactionDate]])/3,0)</f>
        <v>Q1</v>
      </c>
      <c r="U388" t="str">
        <f>Transactions_RAW_cleaned[[#This Row],[Region ]]&amp;Transactions_RAW_cleaned[[#This Row],[Quarter ]]</f>
        <v>EMEAQ1</v>
      </c>
      <c r="V388" s="5">
        <f>_xlfn.XLOOKUP(Transactions_RAW_cleaned[[#This Row],[RegionQuarterKey]], Quarterly_Targets_cleaned[RegionQuarterKey], Quarterly_Targets_cleaned[TargetRevenue])</f>
        <v>133000</v>
      </c>
    </row>
    <row r="389" spans="1:22" x14ac:dyDescent="0.25">
      <c r="A389" t="s">
        <v>722</v>
      </c>
      <c r="B389" s="1">
        <v>45606</v>
      </c>
      <c r="C389" t="s">
        <v>181</v>
      </c>
      <c r="D389" t="s">
        <v>309</v>
      </c>
      <c r="E389">
        <v>172.68</v>
      </c>
      <c r="F389" t="s">
        <v>324</v>
      </c>
      <c r="G389" t="s">
        <v>327</v>
      </c>
      <c r="H389" t="s">
        <v>332</v>
      </c>
      <c r="I389" t="s">
        <v>17</v>
      </c>
      <c r="J389" t="s">
        <v>21</v>
      </c>
      <c r="K389" t="s">
        <v>10</v>
      </c>
      <c r="L389" t="s">
        <v>310</v>
      </c>
      <c r="M389" t="s">
        <v>311</v>
      </c>
      <c r="N389">
        <v>0</v>
      </c>
      <c r="O389" t="str">
        <f>IF(Transactions_RAW_cleaned[[#This Row],[Status]]="Completed", IFERROR(_xlfn.XLOOKUP(Transactions_RAW_cleaned[[#This Row],[CustomerID]], Customers_cleaned[CustomerID], Customers_cleaned[Segment]), "Customer Not Found"), "N/A")</f>
        <v>Enterprise</v>
      </c>
      <c r="P389" s="5" t="str">
        <f>IF(Transactions_RAW_cleaned[[#This Row],[Status]]="Refunded", "Refund",
  IF(Transactions_RAW_cleaned[[#This Row],[Category]]="Payments", IF(Transactions_RAW_cleaned[[#This Row],[Amount]]&gt;500,"High Value","Standard"),
    IF(Transactions_RAW_cleaned[[#This Row],[Amount]]&gt;250,"High Value","Standard")))</f>
        <v>Standard</v>
      </c>
      <c r="Q389" s="5" t="str">
        <f>IF(Transactions_RAW_cleaned[[#This Row],[Amount]] &gt; (_xlfn.XLOOKUP(Transactions_RAW_cleaned[[#This Row],[ServiceID]],Services_cleaned[ServiceID],Services_cleaned[TransactionFeePct]) * 10000), "Yes", "No")</f>
        <v>Yes</v>
      </c>
      <c r="R389" s="5" t="str">
        <f>IF(COUNTIFS($C$2:Transactions_RAW_cleaned[[#This Row],[CustomerID]],Transactions_RAW_cleaned[[#This Row],[CustomerID]],$D$2:Transactions_RAW_cleaned[[#This Row],[ServiceID]],Transactions_RAW_cleaned[[#This Row],[ServiceID]])=1,"Yes","No")</f>
        <v>No</v>
      </c>
      <c r="S38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389" t="str">
        <f>"Q"&amp;ROUNDUP(MONTH(Transactions_RAW_cleaned[[#This Row],[TransactionDate]])/3,0)</f>
        <v>Q4</v>
      </c>
      <c r="U389" t="str">
        <f>Transactions_RAW_cleaned[[#This Row],[Region ]]&amp;Transactions_RAW_cleaned[[#This Row],[Quarter ]]</f>
        <v>APACQ4</v>
      </c>
      <c r="V389" s="5">
        <f>_xlfn.XLOOKUP(Transactions_RAW_cleaned[[#This Row],[RegionQuarterKey]], Quarterly_Targets_cleaned[RegionQuarterKey], Quarterly_Targets_cleaned[TargetRevenue])</f>
        <v>126500</v>
      </c>
    </row>
    <row r="390" spans="1:22" x14ac:dyDescent="0.25">
      <c r="A390" t="s">
        <v>723</v>
      </c>
      <c r="B390" s="1">
        <v>45552</v>
      </c>
      <c r="C390" t="s">
        <v>159</v>
      </c>
      <c r="D390" t="s">
        <v>294</v>
      </c>
      <c r="E390">
        <v>321.82</v>
      </c>
      <c r="F390" t="s">
        <v>324</v>
      </c>
      <c r="G390" t="s">
        <v>325</v>
      </c>
      <c r="H390" t="s">
        <v>346</v>
      </c>
      <c r="I390" t="s">
        <v>57</v>
      </c>
      <c r="J390" t="s">
        <v>25</v>
      </c>
      <c r="K390" t="s">
        <v>22</v>
      </c>
      <c r="L390" t="s">
        <v>295</v>
      </c>
      <c r="M390" t="s">
        <v>296</v>
      </c>
      <c r="N390">
        <v>2.9000000000000001E-2</v>
      </c>
      <c r="O390" t="str">
        <f>IF(Transactions_RAW_cleaned[[#This Row],[Status]]="Completed", IFERROR(_xlfn.XLOOKUP(Transactions_RAW_cleaned[[#This Row],[CustomerID]], Customers_cleaned[CustomerID], Customers_cleaned[Segment]), "Customer Not Found"), "N/A")</f>
        <v>Startup</v>
      </c>
      <c r="P390" s="5" t="str">
        <f>IF(Transactions_RAW_cleaned[[#This Row],[Status]]="Refunded", "Refund",
  IF(Transactions_RAW_cleaned[[#This Row],[Category]]="Payments", IF(Transactions_RAW_cleaned[[#This Row],[Amount]]&gt;500,"High Value","Standard"),
    IF(Transactions_RAW_cleaned[[#This Row],[Amount]]&gt;250,"High Value","Standard")))</f>
        <v>Standard</v>
      </c>
      <c r="Q390" s="5" t="str">
        <f>IF(Transactions_RAW_cleaned[[#This Row],[Amount]] &gt; (_xlfn.XLOOKUP(Transactions_RAW_cleaned[[#This Row],[ServiceID]],Services_cleaned[ServiceID],Services_cleaned[TransactionFeePct]) * 10000), "Yes", "No")</f>
        <v>Yes</v>
      </c>
      <c r="R390" s="5" t="str">
        <f>IF(COUNTIFS($C$2:Transactions_RAW_cleaned[[#This Row],[CustomerID]],Transactions_RAW_cleaned[[#This Row],[CustomerID]],$D$2:Transactions_RAW_cleaned[[#This Row],[ServiceID]],Transactions_RAW_cleaned[[#This Row],[ServiceID]])=1,"Yes","No")</f>
        <v>Yes</v>
      </c>
      <c r="S39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390" t="str">
        <f>"Q"&amp;ROUNDUP(MONTH(Transactions_RAW_cleaned[[#This Row],[TransactionDate]])/3,0)</f>
        <v>Q3</v>
      </c>
      <c r="U390" t="str">
        <f>Transactions_RAW_cleaned[[#This Row],[Region ]]&amp;Transactions_RAW_cleaned[[#This Row],[Quarter ]]</f>
        <v>APACQ3</v>
      </c>
      <c r="V390" s="5">
        <f>_xlfn.XLOOKUP(Transactions_RAW_cleaned[[#This Row],[RegionQuarterKey]], Quarterly_Targets_cleaned[RegionQuarterKey], Quarterly_Targets_cleaned[TargetRevenue])</f>
        <v>115500</v>
      </c>
    </row>
    <row r="391" spans="1:22" x14ac:dyDescent="0.25">
      <c r="A391" t="s">
        <v>724</v>
      </c>
      <c r="B391" s="1">
        <v>45492</v>
      </c>
      <c r="C391" t="s">
        <v>96</v>
      </c>
      <c r="D391" t="s">
        <v>315</v>
      </c>
      <c r="E391">
        <v>1025.27</v>
      </c>
      <c r="F391" t="s">
        <v>324</v>
      </c>
      <c r="G391" t="s">
        <v>327</v>
      </c>
      <c r="I391" t="s">
        <v>17</v>
      </c>
      <c r="J391" t="s">
        <v>31</v>
      </c>
      <c r="K391" t="s">
        <v>14</v>
      </c>
      <c r="L391" t="s">
        <v>316</v>
      </c>
      <c r="M391" t="s">
        <v>305</v>
      </c>
      <c r="N391">
        <v>2.5000000000000001E-3</v>
      </c>
      <c r="O391" t="str">
        <f>IF(Transactions_RAW_cleaned[[#This Row],[Status]]="Completed", IFERROR(_xlfn.XLOOKUP(Transactions_RAW_cleaned[[#This Row],[CustomerID]], Customers_cleaned[CustomerID], Customers_cleaned[Segment]), "Customer Not Found"), "N/A")</f>
        <v>Enterprise</v>
      </c>
      <c r="P391" s="5" t="str">
        <f>IF(Transactions_RAW_cleaned[[#This Row],[Status]]="Refunded", "Refund",
  IF(Transactions_RAW_cleaned[[#This Row],[Category]]="Payments", IF(Transactions_RAW_cleaned[[#This Row],[Amount]]&gt;500,"High Value","Standard"),
    IF(Transactions_RAW_cleaned[[#This Row],[Amount]]&gt;250,"High Value","Standard")))</f>
        <v>High Value</v>
      </c>
      <c r="Q391" s="5" t="str">
        <f>IF(Transactions_RAW_cleaned[[#This Row],[Amount]] &gt; (_xlfn.XLOOKUP(Transactions_RAW_cleaned[[#This Row],[ServiceID]],Services_cleaned[ServiceID],Services_cleaned[TransactionFeePct]) * 10000), "Yes", "No")</f>
        <v>Yes</v>
      </c>
      <c r="R391" s="5" t="str">
        <f>IF(COUNTIFS($C$2:Transactions_RAW_cleaned[[#This Row],[CustomerID]],Transactions_RAW_cleaned[[#This Row],[CustomerID]],$D$2:Transactions_RAW_cleaned[[#This Row],[ServiceID]],Transactions_RAW_cleaned[[#This Row],[ServiceID]])=1,"Yes","No")</f>
        <v>Yes</v>
      </c>
      <c r="S39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391" t="str">
        <f>"Q"&amp;ROUNDUP(MONTH(Transactions_RAW_cleaned[[#This Row],[TransactionDate]])/3,0)</f>
        <v>Q3</v>
      </c>
      <c r="U391" t="str">
        <f>Transactions_RAW_cleaned[[#This Row],[Region ]]&amp;Transactions_RAW_cleaned[[#This Row],[Quarter ]]</f>
        <v>EMEAQ3</v>
      </c>
      <c r="V391" s="5">
        <f>_xlfn.XLOOKUP(Transactions_RAW_cleaned[[#This Row],[RegionQuarterKey]], Quarterly_Targets_cleaned[RegionQuarterKey], Quarterly_Targets_cleaned[TargetRevenue])</f>
        <v>147000</v>
      </c>
    </row>
    <row r="392" spans="1:22" x14ac:dyDescent="0.25">
      <c r="A392" t="s">
        <v>725</v>
      </c>
      <c r="B392" s="1">
        <v>45547</v>
      </c>
      <c r="C392" t="s">
        <v>38</v>
      </c>
      <c r="D392" t="s">
        <v>303</v>
      </c>
      <c r="E392">
        <v>93.91</v>
      </c>
      <c r="F392" t="s">
        <v>324</v>
      </c>
      <c r="G392" t="s">
        <v>337</v>
      </c>
      <c r="I392" t="s">
        <v>8</v>
      </c>
      <c r="J392" t="s">
        <v>102</v>
      </c>
      <c r="K392" t="s">
        <v>28</v>
      </c>
      <c r="L392" t="s">
        <v>304</v>
      </c>
      <c r="M392" t="s">
        <v>305</v>
      </c>
      <c r="N392">
        <v>1E-3</v>
      </c>
      <c r="O392" t="str">
        <f>IF(Transactions_RAW_cleaned[[#This Row],[Status]]="Completed", IFERROR(_xlfn.XLOOKUP(Transactions_RAW_cleaned[[#This Row],[CustomerID]], Customers_cleaned[CustomerID], Customers_cleaned[Segment]), "Customer Not Found"), "N/A")</f>
        <v>SMB</v>
      </c>
      <c r="P392" s="5" t="str">
        <f>IF(Transactions_RAW_cleaned[[#This Row],[Status]]="Refunded", "Refund",
  IF(Transactions_RAW_cleaned[[#This Row],[Category]]="Payments", IF(Transactions_RAW_cleaned[[#This Row],[Amount]]&gt;500,"High Value","Standard"),
    IF(Transactions_RAW_cleaned[[#This Row],[Amount]]&gt;250,"High Value","Standard")))</f>
        <v>Standard</v>
      </c>
      <c r="Q392" s="5" t="str">
        <f>IF(Transactions_RAW_cleaned[[#This Row],[Amount]] &gt; (_xlfn.XLOOKUP(Transactions_RAW_cleaned[[#This Row],[ServiceID]],Services_cleaned[ServiceID],Services_cleaned[TransactionFeePct]) * 10000), "Yes", "No")</f>
        <v>Yes</v>
      </c>
      <c r="R392" s="5" t="str">
        <f>IF(COUNTIFS($C$2:Transactions_RAW_cleaned[[#This Row],[CustomerID]],Transactions_RAW_cleaned[[#This Row],[CustomerID]],$D$2:Transactions_RAW_cleaned[[#This Row],[ServiceID]],Transactions_RAW_cleaned[[#This Row],[ServiceID]])=1,"Yes","No")</f>
        <v>Yes</v>
      </c>
      <c r="S39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92" t="str">
        <f>"Q"&amp;ROUNDUP(MONTH(Transactions_RAW_cleaned[[#This Row],[TransactionDate]])/3,0)</f>
        <v>Q3</v>
      </c>
      <c r="U392" t="str">
        <f>Transactions_RAW_cleaned[[#This Row],[Region ]]&amp;Transactions_RAW_cleaned[[#This Row],[Quarter ]]</f>
        <v>NAQ3</v>
      </c>
      <c r="V392" s="5">
        <f>_xlfn.XLOOKUP(Transactions_RAW_cleaned[[#This Row],[RegionQuarterKey]], Quarterly_Targets_cleaned[RegionQuarterKey], Quarterly_Targets_cleaned[TargetRevenue])</f>
        <v>273000</v>
      </c>
    </row>
    <row r="393" spans="1:22" x14ac:dyDescent="0.25">
      <c r="A393" t="s">
        <v>726</v>
      </c>
      <c r="B393" s="1">
        <v>45543</v>
      </c>
      <c r="C393" t="s">
        <v>76</v>
      </c>
      <c r="D393" t="s">
        <v>303</v>
      </c>
      <c r="E393">
        <v>290.02999999999997</v>
      </c>
      <c r="F393" t="s">
        <v>324</v>
      </c>
      <c r="G393" t="s">
        <v>325</v>
      </c>
      <c r="H393" t="s">
        <v>346</v>
      </c>
      <c r="I393" t="s">
        <v>17</v>
      </c>
      <c r="J393" t="s">
        <v>13</v>
      </c>
      <c r="K393" t="s">
        <v>18</v>
      </c>
      <c r="L393" t="s">
        <v>304</v>
      </c>
      <c r="M393" t="s">
        <v>305</v>
      </c>
      <c r="N393">
        <v>1E-3</v>
      </c>
      <c r="O393" t="str">
        <f>IF(Transactions_RAW_cleaned[[#This Row],[Status]]="Completed", IFERROR(_xlfn.XLOOKUP(Transactions_RAW_cleaned[[#This Row],[CustomerID]], Customers_cleaned[CustomerID], Customers_cleaned[Segment]), "Customer Not Found"), "N/A")</f>
        <v>Enterprise</v>
      </c>
      <c r="P393" s="5" t="str">
        <f>IF(Transactions_RAW_cleaned[[#This Row],[Status]]="Refunded", "Refund",
  IF(Transactions_RAW_cleaned[[#This Row],[Category]]="Payments", IF(Transactions_RAW_cleaned[[#This Row],[Amount]]&gt;500,"High Value","Standard"),
    IF(Transactions_RAW_cleaned[[#This Row],[Amount]]&gt;250,"High Value","Standard")))</f>
        <v>High Value</v>
      </c>
      <c r="Q393" s="5" t="str">
        <f>IF(Transactions_RAW_cleaned[[#This Row],[Amount]] &gt; (_xlfn.XLOOKUP(Transactions_RAW_cleaned[[#This Row],[ServiceID]],Services_cleaned[ServiceID],Services_cleaned[TransactionFeePct]) * 10000), "Yes", "No")</f>
        <v>Yes</v>
      </c>
      <c r="R393" s="5" t="str">
        <f>IF(COUNTIFS($C$2:Transactions_RAW_cleaned[[#This Row],[CustomerID]],Transactions_RAW_cleaned[[#This Row],[CustomerID]],$D$2:Transactions_RAW_cleaned[[#This Row],[ServiceID]],Transactions_RAW_cleaned[[#This Row],[ServiceID]])=1,"Yes","No")</f>
        <v>No</v>
      </c>
      <c r="S39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93" t="str">
        <f>"Q"&amp;ROUNDUP(MONTH(Transactions_RAW_cleaned[[#This Row],[TransactionDate]])/3,0)</f>
        <v>Q3</v>
      </c>
      <c r="U393" t="str">
        <f>Transactions_RAW_cleaned[[#This Row],[Region ]]&amp;Transactions_RAW_cleaned[[#This Row],[Quarter ]]</f>
        <v>NAQ3</v>
      </c>
      <c r="V393" s="5">
        <f>_xlfn.XLOOKUP(Transactions_RAW_cleaned[[#This Row],[RegionQuarterKey]], Quarterly_Targets_cleaned[RegionQuarterKey], Quarterly_Targets_cleaned[TargetRevenue])</f>
        <v>273000</v>
      </c>
    </row>
    <row r="394" spans="1:22" x14ac:dyDescent="0.25">
      <c r="A394" t="s">
        <v>727</v>
      </c>
      <c r="B394" s="1">
        <v>45380</v>
      </c>
      <c r="C394" t="s">
        <v>255</v>
      </c>
      <c r="D394" t="s">
        <v>303</v>
      </c>
      <c r="E394">
        <v>268.55</v>
      </c>
      <c r="F394" t="s">
        <v>324</v>
      </c>
      <c r="G394" t="s">
        <v>325</v>
      </c>
      <c r="I394" t="s">
        <v>17</v>
      </c>
      <c r="J394" t="s">
        <v>21</v>
      </c>
      <c r="K394" t="s">
        <v>28</v>
      </c>
      <c r="L394" t="s">
        <v>304</v>
      </c>
      <c r="M394" t="s">
        <v>305</v>
      </c>
      <c r="N394">
        <v>1E-3</v>
      </c>
      <c r="O394" t="str">
        <f>IF(Transactions_RAW_cleaned[[#This Row],[Status]]="Completed", IFERROR(_xlfn.XLOOKUP(Transactions_RAW_cleaned[[#This Row],[CustomerID]], Customers_cleaned[CustomerID], Customers_cleaned[Segment]), "Customer Not Found"), "N/A")</f>
        <v>Enterprise</v>
      </c>
      <c r="P394" s="5" t="str">
        <f>IF(Transactions_RAW_cleaned[[#This Row],[Status]]="Refunded", "Refund",
  IF(Transactions_RAW_cleaned[[#This Row],[Category]]="Payments", IF(Transactions_RAW_cleaned[[#This Row],[Amount]]&gt;500,"High Value","Standard"),
    IF(Transactions_RAW_cleaned[[#This Row],[Amount]]&gt;250,"High Value","Standard")))</f>
        <v>High Value</v>
      </c>
      <c r="Q394" s="5" t="str">
        <f>IF(Transactions_RAW_cleaned[[#This Row],[Amount]] &gt; (_xlfn.XLOOKUP(Transactions_RAW_cleaned[[#This Row],[ServiceID]],Services_cleaned[ServiceID],Services_cleaned[TransactionFeePct]) * 10000), "Yes", "No")</f>
        <v>Yes</v>
      </c>
      <c r="R394" s="5" t="str">
        <f>IF(COUNTIFS($C$2:Transactions_RAW_cleaned[[#This Row],[CustomerID]],Transactions_RAW_cleaned[[#This Row],[CustomerID]],$D$2:Transactions_RAW_cleaned[[#This Row],[ServiceID]],Transactions_RAW_cleaned[[#This Row],[ServiceID]])=1,"Yes","No")</f>
        <v>Yes</v>
      </c>
      <c r="S39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394" t="str">
        <f>"Q"&amp;ROUNDUP(MONTH(Transactions_RAW_cleaned[[#This Row],[TransactionDate]])/3,0)</f>
        <v>Q1</v>
      </c>
      <c r="U394" t="str">
        <f>Transactions_RAW_cleaned[[#This Row],[Region ]]&amp;Transactions_RAW_cleaned[[#This Row],[Quarter ]]</f>
        <v>APACQ1</v>
      </c>
      <c r="V394" s="5">
        <f>_xlfn.XLOOKUP(Transactions_RAW_cleaned[[#This Row],[RegionQuarterKey]], Quarterly_Targets_cleaned[RegionQuarterKey], Quarterly_Targets_cleaned[TargetRevenue])</f>
        <v>104500</v>
      </c>
    </row>
    <row r="395" spans="1:22" x14ac:dyDescent="0.25">
      <c r="A395" t="s">
        <v>728</v>
      </c>
      <c r="B395" s="1">
        <v>45650</v>
      </c>
      <c r="C395" t="s">
        <v>257</v>
      </c>
      <c r="D395" t="s">
        <v>306</v>
      </c>
      <c r="E395">
        <v>552.14</v>
      </c>
      <c r="F395" t="s">
        <v>324</v>
      </c>
      <c r="G395" t="s">
        <v>327</v>
      </c>
      <c r="H395" t="s">
        <v>346</v>
      </c>
      <c r="I395" t="s">
        <v>57</v>
      </c>
      <c r="J395" t="s">
        <v>13</v>
      </c>
      <c r="K395" t="s">
        <v>22</v>
      </c>
      <c r="L395" t="s">
        <v>307</v>
      </c>
      <c r="M395" t="s">
        <v>308</v>
      </c>
      <c r="N395">
        <v>0</v>
      </c>
      <c r="O395" t="str">
        <f>IF(Transactions_RAW_cleaned[[#This Row],[Status]]="Completed", IFERROR(_xlfn.XLOOKUP(Transactions_RAW_cleaned[[#This Row],[CustomerID]], Customers_cleaned[CustomerID], Customers_cleaned[Segment]), "Customer Not Found"), "N/A")</f>
        <v>Startup</v>
      </c>
      <c r="P395" s="5" t="str">
        <f>IF(Transactions_RAW_cleaned[[#This Row],[Status]]="Refunded", "Refund",
  IF(Transactions_RAW_cleaned[[#This Row],[Category]]="Payments", IF(Transactions_RAW_cleaned[[#This Row],[Amount]]&gt;500,"High Value","Standard"),
    IF(Transactions_RAW_cleaned[[#This Row],[Amount]]&gt;250,"High Value","Standard")))</f>
        <v>High Value</v>
      </c>
      <c r="Q395" s="5" t="str">
        <f>IF(Transactions_RAW_cleaned[[#This Row],[Amount]] &gt; (_xlfn.XLOOKUP(Transactions_RAW_cleaned[[#This Row],[ServiceID]],Services_cleaned[ServiceID],Services_cleaned[TransactionFeePct]) * 10000), "Yes", "No")</f>
        <v>Yes</v>
      </c>
      <c r="R395" s="5" t="str">
        <f>IF(COUNTIFS($C$2:Transactions_RAW_cleaned[[#This Row],[CustomerID]],Transactions_RAW_cleaned[[#This Row],[CustomerID]],$D$2:Transactions_RAW_cleaned[[#This Row],[ServiceID]],Transactions_RAW_cleaned[[#This Row],[ServiceID]])=1,"Yes","No")</f>
        <v>Yes</v>
      </c>
      <c r="S39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95" t="str">
        <f>"Q"&amp;ROUNDUP(MONTH(Transactions_RAW_cleaned[[#This Row],[TransactionDate]])/3,0)</f>
        <v>Q4</v>
      </c>
      <c r="U395" t="str">
        <f>Transactions_RAW_cleaned[[#This Row],[Region ]]&amp;Transactions_RAW_cleaned[[#This Row],[Quarter ]]</f>
        <v>NAQ4</v>
      </c>
      <c r="V395" s="5">
        <f>_xlfn.XLOOKUP(Transactions_RAW_cleaned[[#This Row],[RegionQuarterKey]], Quarterly_Targets_cleaned[RegionQuarterKey], Quarterly_Targets_cleaned[TargetRevenue])</f>
        <v>299000</v>
      </c>
    </row>
    <row r="396" spans="1:22" x14ac:dyDescent="0.25">
      <c r="A396" t="s">
        <v>729</v>
      </c>
      <c r="B396" s="1">
        <v>45413</v>
      </c>
      <c r="C396" t="s">
        <v>205</v>
      </c>
      <c r="D396" t="s">
        <v>306</v>
      </c>
      <c r="E396">
        <v>-961.66</v>
      </c>
      <c r="F396" t="s">
        <v>349</v>
      </c>
      <c r="G396" t="s">
        <v>337</v>
      </c>
      <c r="H396" t="s">
        <v>346</v>
      </c>
      <c r="I396" t="s">
        <v>8</v>
      </c>
      <c r="J396" t="s">
        <v>21</v>
      </c>
      <c r="K396" t="s">
        <v>14</v>
      </c>
      <c r="L396" t="s">
        <v>307</v>
      </c>
      <c r="M396" t="s">
        <v>308</v>
      </c>
      <c r="N396">
        <v>0</v>
      </c>
      <c r="O396" t="str">
        <f>IF(Transactions_RAW_cleaned[[#This Row],[Status]]="Completed", IFERROR(_xlfn.XLOOKUP(Transactions_RAW_cleaned[[#This Row],[CustomerID]], Customers_cleaned[CustomerID], Customers_cleaned[Segment]), "Customer Not Found"), "N/A")</f>
        <v>N/A</v>
      </c>
      <c r="P396" s="5" t="str">
        <f>IF(Transactions_RAW_cleaned[[#This Row],[Status]]="Refunded", "Refund",
  IF(Transactions_RAW_cleaned[[#This Row],[Category]]="Payments", IF(Transactions_RAW_cleaned[[#This Row],[Amount]]&gt;500,"High Value","Standard"),
    IF(Transactions_RAW_cleaned[[#This Row],[Amount]]&gt;250,"High Value","Standard")))</f>
        <v>Refund</v>
      </c>
      <c r="Q396" s="5" t="str">
        <f>IF(Transactions_RAW_cleaned[[#This Row],[Amount]] &gt; (_xlfn.XLOOKUP(Transactions_RAW_cleaned[[#This Row],[ServiceID]],Services_cleaned[ServiceID],Services_cleaned[TransactionFeePct]) * 10000), "Yes", "No")</f>
        <v>No</v>
      </c>
      <c r="R396" s="5" t="str">
        <f>IF(COUNTIFS($C$2:Transactions_RAW_cleaned[[#This Row],[CustomerID]],Transactions_RAW_cleaned[[#This Row],[CustomerID]],$D$2:Transactions_RAW_cleaned[[#This Row],[ServiceID]],Transactions_RAW_cleaned[[#This Row],[ServiceID]])=1,"Yes","No")</f>
        <v>Yes</v>
      </c>
      <c r="S39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396" t="str">
        <f>"Q"&amp;ROUNDUP(MONTH(Transactions_RAW_cleaned[[#This Row],[TransactionDate]])/3,0)</f>
        <v>Q2</v>
      </c>
      <c r="U396" t="str">
        <f>Transactions_RAW_cleaned[[#This Row],[Region ]]&amp;Transactions_RAW_cleaned[[#This Row],[Quarter ]]</f>
        <v>APACQ2</v>
      </c>
      <c r="V396" s="5">
        <f>_xlfn.XLOOKUP(Transactions_RAW_cleaned[[#This Row],[RegionQuarterKey]], Quarterly_Targets_cleaned[RegionQuarterKey], Quarterly_Targets_cleaned[TargetRevenue])</f>
        <v>110000</v>
      </c>
    </row>
    <row r="397" spans="1:22" x14ac:dyDescent="0.25">
      <c r="A397" t="s">
        <v>730</v>
      </c>
      <c r="B397" s="1">
        <v>45541</v>
      </c>
      <c r="C397" t="s">
        <v>115</v>
      </c>
      <c r="D397" t="s">
        <v>294</v>
      </c>
      <c r="E397">
        <v>653.73</v>
      </c>
      <c r="F397" t="s">
        <v>324</v>
      </c>
      <c r="G397" t="s">
        <v>325</v>
      </c>
      <c r="I397" t="s">
        <v>17</v>
      </c>
      <c r="J397" t="s">
        <v>102</v>
      </c>
      <c r="K397" t="s">
        <v>32</v>
      </c>
      <c r="L397" t="s">
        <v>295</v>
      </c>
      <c r="M397" t="s">
        <v>296</v>
      </c>
      <c r="N397">
        <v>2.9000000000000001E-2</v>
      </c>
      <c r="O397" t="str">
        <f>IF(Transactions_RAW_cleaned[[#This Row],[Status]]="Completed", IFERROR(_xlfn.XLOOKUP(Transactions_RAW_cleaned[[#This Row],[CustomerID]], Customers_cleaned[CustomerID], Customers_cleaned[Segment]), "Customer Not Found"), "N/A")</f>
        <v>Enterprise</v>
      </c>
      <c r="P397" s="5" t="str">
        <f>IF(Transactions_RAW_cleaned[[#This Row],[Status]]="Refunded", "Refund",
  IF(Transactions_RAW_cleaned[[#This Row],[Category]]="Payments", IF(Transactions_RAW_cleaned[[#This Row],[Amount]]&gt;500,"High Value","Standard"),
    IF(Transactions_RAW_cleaned[[#This Row],[Amount]]&gt;250,"High Value","Standard")))</f>
        <v>High Value</v>
      </c>
      <c r="Q397" s="5" t="str">
        <f>IF(Transactions_RAW_cleaned[[#This Row],[Amount]] &gt; (_xlfn.XLOOKUP(Transactions_RAW_cleaned[[#This Row],[ServiceID]],Services_cleaned[ServiceID],Services_cleaned[TransactionFeePct]) * 10000), "Yes", "No")</f>
        <v>Yes</v>
      </c>
      <c r="R397" s="5" t="str">
        <f>IF(COUNTIFS($C$2:Transactions_RAW_cleaned[[#This Row],[CustomerID]],Transactions_RAW_cleaned[[#This Row],[CustomerID]],$D$2:Transactions_RAW_cleaned[[#This Row],[ServiceID]],Transactions_RAW_cleaned[[#This Row],[ServiceID]])=1,"Yes","No")</f>
        <v>Yes</v>
      </c>
      <c r="S39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97" t="str">
        <f>"Q"&amp;ROUNDUP(MONTH(Transactions_RAW_cleaned[[#This Row],[TransactionDate]])/3,0)</f>
        <v>Q3</v>
      </c>
      <c r="U397" t="str">
        <f>Transactions_RAW_cleaned[[#This Row],[Region ]]&amp;Transactions_RAW_cleaned[[#This Row],[Quarter ]]</f>
        <v>NAQ3</v>
      </c>
      <c r="V397" s="5">
        <f>_xlfn.XLOOKUP(Transactions_RAW_cleaned[[#This Row],[RegionQuarterKey]], Quarterly_Targets_cleaned[RegionQuarterKey], Quarterly_Targets_cleaned[TargetRevenue])</f>
        <v>273000</v>
      </c>
    </row>
    <row r="398" spans="1:22" x14ac:dyDescent="0.25">
      <c r="A398" t="s">
        <v>2959</v>
      </c>
      <c r="B398" s="1">
        <v>45478</v>
      </c>
      <c r="C398" t="s">
        <v>105</v>
      </c>
      <c r="E398">
        <v>226.21</v>
      </c>
      <c r="F398" t="s">
        <v>324</v>
      </c>
      <c r="G398" t="s">
        <v>327</v>
      </c>
      <c r="H398" t="s">
        <v>332</v>
      </c>
      <c r="I398" t="s">
        <v>57</v>
      </c>
      <c r="J398" t="s">
        <v>102</v>
      </c>
      <c r="K398" t="s">
        <v>32</v>
      </c>
      <c r="O398" t="str">
        <f>IF(Transactions_RAW_cleaned[[#This Row],[Status]]="Completed", IFERROR(_xlfn.XLOOKUP(Transactions_RAW_cleaned[[#This Row],[CustomerID]], Customers_cleaned[CustomerID], Customers_cleaned[Segment]), "Customer Not Found"), "N/A")</f>
        <v>Startup</v>
      </c>
      <c r="P398" s="5" t="str">
        <f>IF(Transactions_RAW_cleaned[[#This Row],[Status]]="Refunded", "Refund",
  IF(Transactions_RAW_cleaned[[#This Row],[Category]]="Payments", IF(Transactions_RAW_cleaned[[#This Row],[Amount]]&gt;500,"High Value","Standard"),
    IF(Transactions_RAW_cleaned[[#This Row],[Amount]]&gt;250,"High Value","Standard")))</f>
        <v>Standard</v>
      </c>
      <c r="Q398" s="5" t="e">
        <f>IF(Transactions_RAW_cleaned[[#This Row],[Amount]] &gt; (_xlfn.XLOOKUP(Transactions_RAW_cleaned[[#This Row],[ServiceID]],Services_cleaned[ServiceID],Services_cleaned[TransactionFeePct]) * 10000), "Yes", "No")</f>
        <v>#N/A</v>
      </c>
      <c r="R398" s="5" t="str">
        <f>IF(COUNTIFS($C$2:Transactions_RAW_cleaned[[#This Row],[CustomerID]],Transactions_RAW_cleaned[[#This Row],[CustomerID]],$D$2:Transactions_RAW_cleaned[[#This Row],[ServiceID]],Transactions_RAW_cleaned[[#This Row],[ServiceID]])=1,"Yes","No")</f>
        <v>No</v>
      </c>
      <c r="S39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98" t="str">
        <f>"Q"&amp;ROUNDUP(MONTH(Transactions_RAW_cleaned[[#This Row],[TransactionDate]])/3,0)</f>
        <v>Q3</v>
      </c>
      <c r="U398" t="str">
        <f>Transactions_RAW_cleaned[[#This Row],[Region ]]&amp;Transactions_RAW_cleaned[[#This Row],[Quarter ]]</f>
        <v>NAQ3</v>
      </c>
      <c r="V398" s="5">
        <f>_xlfn.XLOOKUP(Transactions_RAW_cleaned[[#This Row],[RegionQuarterKey]], Quarterly_Targets_cleaned[RegionQuarterKey], Quarterly_Targets_cleaned[TargetRevenue])</f>
        <v>273000</v>
      </c>
    </row>
    <row r="399" spans="1:22" x14ac:dyDescent="0.25">
      <c r="A399" t="s">
        <v>731</v>
      </c>
      <c r="B399" s="1">
        <v>45413</v>
      </c>
      <c r="C399" t="s">
        <v>117</v>
      </c>
      <c r="D399" t="s">
        <v>300</v>
      </c>
      <c r="E399">
        <v>482.31</v>
      </c>
      <c r="F399" t="s">
        <v>324</v>
      </c>
      <c r="G399" t="s">
        <v>329</v>
      </c>
      <c r="I399" t="s">
        <v>8</v>
      </c>
      <c r="J399" t="s">
        <v>102</v>
      </c>
      <c r="K399" t="s">
        <v>14</v>
      </c>
      <c r="L399" t="s">
        <v>301</v>
      </c>
      <c r="M399" t="s">
        <v>302</v>
      </c>
      <c r="N399">
        <v>5.0000000000000001E-3</v>
      </c>
      <c r="O399" t="str">
        <f>IF(Transactions_RAW_cleaned[[#This Row],[Status]]="Completed", IFERROR(_xlfn.XLOOKUP(Transactions_RAW_cleaned[[#This Row],[CustomerID]], Customers_cleaned[CustomerID], Customers_cleaned[Segment]), "Customer Not Found"), "N/A")</f>
        <v>SMB</v>
      </c>
      <c r="P399" s="5" t="str">
        <f>IF(Transactions_RAW_cleaned[[#This Row],[Status]]="Refunded", "Refund",
  IF(Transactions_RAW_cleaned[[#This Row],[Category]]="Payments", IF(Transactions_RAW_cleaned[[#This Row],[Amount]]&gt;500,"High Value","Standard"),
    IF(Transactions_RAW_cleaned[[#This Row],[Amount]]&gt;250,"High Value","Standard")))</f>
        <v>High Value</v>
      </c>
      <c r="Q399" s="5" t="str">
        <f>IF(Transactions_RAW_cleaned[[#This Row],[Amount]] &gt; (_xlfn.XLOOKUP(Transactions_RAW_cleaned[[#This Row],[ServiceID]],Services_cleaned[ServiceID],Services_cleaned[TransactionFeePct]) * 10000), "Yes", "No")</f>
        <v>Yes</v>
      </c>
      <c r="R399" s="5" t="str">
        <f>IF(COUNTIFS($C$2:Transactions_RAW_cleaned[[#This Row],[CustomerID]],Transactions_RAW_cleaned[[#This Row],[CustomerID]],$D$2:Transactions_RAW_cleaned[[#This Row],[ServiceID]],Transactions_RAW_cleaned[[#This Row],[ServiceID]])=1,"Yes","No")</f>
        <v>Yes</v>
      </c>
      <c r="S39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399" t="str">
        <f>"Q"&amp;ROUNDUP(MONTH(Transactions_RAW_cleaned[[#This Row],[TransactionDate]])/3,0)</f>
        <v>Q2</v>
      </c>
      <c r="U399" t="str">
        <f>Transactions_RAW_cleaned[[#This Row],[Region ]]&amp;Transactions_RAW_cleaned[[#This Row],[Quarter ]]</f>
        <v>NAQ2</v>
      </c>
      <c r="V399" s="5">
        <f>_xlfn.XLOOKUP(Transactions_RAW_cleaned[[#This Row],[RegionQuarterKey]], Quarterly_Targets_cleaned[RegionQuarterKey], Quarterly_Targets_cleaned[TargetRevenue])</f>
        <v>260000</v>
      </c>
    </row>
    <row r="400" spans="1:22" x14ac:dyDescent="0.25">
      <c r="A400" t="s">
        <v>732</v>
      </c>
      <c r="B400" s="1">
        <v>45618</v>
      </c>
      <c r="C400" t="s">
        <v>211</v>
      </c>
      <c r="D400" t="s">
        <v>297</v>
      </c>
      <c r="E400">
        <v>481.56</v>
      </c>
      <c r="F400" t="s">
        <v>324</v>
      </c>
      <c r="G400" t="s">
        <v>325</v>
      </c>
      <c r="H400" t="s">
        <v>332</v>
      </c>
      <c r="I400" t="s">
        <v>8</v>
      </c>
      <c r="J400" t="s">
        <v>31</v>
      </c>
      <c r="K400" t="s">
        <v>22</v>
      </c>
      <c r="L400" t="s">
        <v>298</v>
      </c>
      <c r="M400" t="s">
        <v>299</v>
      </c>
      <c r="N400">
        <v>0</v>
      </c>
      <c r="O400" t="str">
        <f>IF(Transactions_RAW_cleaned[[#This Row],[Status]]="Completed", IFERROR(_xlfn.XLOOKUP(Transactions_RAW_cleaned[[#This Row],[CustomerID]], Customers_cleaned[CustomerID], Customers_cleaned[Segment]), "Customer Not Found"), "N/A")</f>
        <v>SMB</v>
      </c>
      <c r="P400" s="5" t="str">
        <f>IF(Transactions_RAW_cleaned[[#This Row],[Status]]="Refunded", "Refund",
  IF(Transactions_RAW_cleaned[[#This Row],[Category]]="Payments", IF(Transactions_RAW_cleaned[[#This Row],[Amount]]&gt;500,"High Value","Standard"),
    IF(Transactions_RAW_cleaned[[#This Row],[Amount]]&gt;250,"High Value","Standard")))</f>
        <v>High Value</v>
      </c>
      <c r="Q400" s="5" t="str">
        <f>IF(Transactions_RAW_cleaned[[#This Row],[Amount]] &gt; (_xlfn.XLOOKUP(Transactions_RAW_cleaned[[#This Row],[ServiceID]],Services_cleaned[ServiceID],Services_cleaned[TransactionFeePct]) * 10000), "Yes", "No")</f>
        <v>Yes</v>
      </c>
      <c r="R400" s="5" t="str">
        <f>IF(COUNTIFS($C$2:Transactions_RAW_cleaned[[#This Row],[CustomerID]],Transactions_RAW_cleaned[[#This Row],[CustomerID]],$D$2:Transactions_RAW_cleaned[[#This Row],[ServiceID]],Transactions_RAW_cleaned[[#This Row],[ServiceID]])=1,"Yes","No")</f>
        <v>Yes</v>
      </c>
      <c r="S40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400" t="str">
        <f>"Q"&amp;ROUNDUP(MONTH(Transactions_RAW_cleaned[[#This Row],[TransactionDate]])/3,0)</f>
        <v>Q4</v>
      </c>
      <c r="U400" t="str">
        <f>Transactions_RAW_cleaned[[#This Row],[Region ]]&amp;Transactions_RAW_cleaned[[#This Row],[Quarter ]]</f>
        <v>EMEAQ4</v>
      </c>
      <c r="V400" s="5">
        <f>_xlfn.XLOOKUP(Transactions_RAW_cleaned[[#This Row],[RegionQuarterKey]], Quarterly_Targets_cleaned[RegionQuarterKey], Quarterly_Targets_cleaned[TargetRevenue])</f>
        <v>161000</v>
      </c>
    </row>
    <row r="401" spans="1:22" x14ac:dyDescent="0.25">
      <c r="A401" t="s">
        <v>733</v>
      </c>
      <c r="B401" s="1">
        <v>45551</v>
      </c>
      <c r="C401" t="s">
        <v>165</v>
      </c>
      <c r="D401" t="s">
        <v>306</v>
      </c>
      <c r="E401">
        <v>351.51</v>
      </c>
      <c r="F401" t="s">
        <v>324</v>
      </c>
      <c r="G401" t="s">
        <v>325</v>
      </c>
      <c r="I401" t="s">
        <v>8</v>
      </c>
      <c r="J401" t="s">
        <v>31</v>
      </c>
      <c r="K401" t="s">
        <v>32</v>
      </c>
      <c r="L401" t="s">
        <v>307</v>
      </c>
      <c r="M401" t="s">
        <v>308</v>
      </c>
      <c r="N401">
        <v>0</v>
      </c>
      <c r="O401" t="str">
        <f>IF(Transactions_RAW_cleaned[[#This Row],[Status]]="Completed", IFERROR(_xlfn.XLOOKUP(Transactions_RAW_cleaned[[#This Row],[CustomerID]], Customers_cleaned[CustomerID], Customers_cleaned[Segment]), "Customer Not Found"), "N/A")</f>
        <v>SMB</v>
      </c>
      <c r="P401" s="5" t="str">
        <f>IF(Transactions_RAW_cleaned[[#This Row],[Status]]="Refunded", "Refund",
  IF(Transactions_RAW_cleaned[[#This Row],[Category]]="Payments", IF(Transactions_RAW_cleaned[[#This Row],[Amount]]&gt;500,"High Value","Standard"),
    IF(Transactions_RAW_cleaned[[#This Row],[Amount]]&gt;250,"High Value","Standard")))</f>
        <v>High Value</v>
      </c>
      <c r="Q401" s="5" t="str">
        <f>IF(Transactions_RAW_cleaned[[#This Row],[Amount]] &gt; (_xlfn.XLOOKUP(Transactions_RAW_cleaned[[#This Row],[ServiceID]],Services_cleaned[ServiceID],Services_cleaned[TransactionFeePct]) * 10000), "Yes", "No")</f>
        <v>Yes</v>
      </c>
      <c r="R401" s="5" t="str">
        <f>IF(COUNTIFS($C$2:Transactions_RAW_cleaned[[#This Row],[CustomerID]],Transactions_RAW_cleaned[[#This Row],[CustomerID]],$D$2:Transactions_RAW_cleaned[[#This Row],[ServiceID]],Transactions_RAW_cleaned[[#This Row],[ServiceID]])=1,"Yes","No")</f>
        <v>No</v>
      </c>
      <c r="S40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401" t="str">
        <f>"Q"&amp;ROUNDUP(MONTH(Transactions_RAW_cleaned[[#This Row],[TransactionDate]])/3,0)</f>
        <v>Q3</v>
      </c>
      <c r="U401" t="str">
        <f>Transactions_RAW_cleaned[[#This Row],[Region ]]&amp;Transactions_RAW_cleaned[[#This Row],[Quarter ]]</f>
        <v>EMEAQ3</v>
      </c>
      <c r="V401" s="5">
        <f>_xlfn.XLOOKUP(Transactions_RAW_cleaned[[#This Row],[RegionQuarterKey]], Quarterly_Targets_cleaned[RegionQuarterKey], Quarterly_Targets_cleaned[TargetRevenue])</f>
        <v>147000</v>
      </c>
    </row>
    <row r="402" spans="1:22" x14ac:dyDescent="0.25">
      <c r="A402" t="s">
        <v>734</v>
      </c>
      <c r="B402" s="1">
        <v>45580</v>
      </c>
      <c r="C402" t="s">
        <v>199</v>
      </c>
      <c r="D402" t="s">
        <v>315</v>
      </c>
      <c r="E402">
        <v>399.42</v>
      </c>
      <c r="F402" t="s">
        <v>324</v>
      </c>
      <c r="G402" t="s">
        <v>337</v>
      </c>
      <c r="H402" t="s">
        <v>346</v>
      </c>
      <c r="I402" t="s">
        <v>8</v>
      </c>
      <c r="J402" t="s">
        <v>13</v>
      </c>
      <c r="K402" t="s">
        <v>32</v>
      </c>
      <c r="L402" t="s">
        <v>316</v>
      </c>
      <c r="M402" t="s">
        <v>305</v>
      </c>
      <c r="N402">
        <v>2.5000000000000001E-3</v>
      </c>
      <c r="O402" t="str">
        <f>IF(Transactions_RAW_cleaned[[#This Row],[Status]]="Completed", IFERROR(_xlfn.XLOOKUP(Transactions_RAW_cleaned[[#This Row],[CustomerID]], Customers_cleaned[CustomerID], Customers_cleaned[Segment]), "Customer Not Found"), "N/A")</f>
        <v>SMB</v>
      </c>
      <c r="P402" s="5" t="str">
        <f>IF(Transactions_RAW_cleaned[[#This Row],[Status]]="Refunded", "Refund",
  IF(Transactions_RAW_cleaned[[#This Row],[Category]]="Payments", IF(Transactions_RAW_cleaned[[#This Row],[Amount]]&gt;500,"High Value","Standard"),
    IF(Transactions_RAW_cleaned[[#This Row],[Amount]]&gt;250,"High Value","Standard")))</f>
        <v>High Value</v>
      </c>
      <c r="Q402" s="5" t="str">
        <f>IF(Transactions_RAW_cleaned[[#This Row],[Amount]] &gt; (_xlfn.XLOOKUP(Transactions_RAW_cleaned[[#This Row],[ServiceID]],Services_cleaned[ServiceID],Services_cleaned[TransactionFeePct]) * 10000), "Yes", "No")</f>
        <v>Yes</v>
      </c>
      <c r="R402" s="5" t="str">
        <f>IF(COUNTIFS($C$2:Transactions_RAW_cleaned[[#This Row],[CustomerID]],Transactions_RAW_cleaned[[#This Row],[CustomerID]],$D$2:Transactions_RAW_cleaned[[#This Row],[ServiceID]],Transactions_RAW_cleaned[[#This Row],[ServiceID]])=1,"Yes","No")</f>
        <v>No</v>
      </c>
      <c r="S40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02" t="str">
        <f>"Q"&amp;ROUNDUP(MONTH(Transactions_RAW_cleaned[[#This Row],[TransactionDate]])/3,0)</f>
        <v>Q4</v>
      </c>
      <c r="U402" t="str">
        <f>Transactions_RAW_cleaned[[#This Row],[Region ]]&amp;Transactions_RAW_cleaned[[#This Row],[Quarter ]]</f>
        <v>NAQ4</v>
      </c>
      <c r="V402" s="5">
        <f>_xlfn.XLOOKUP(Transactions_RAW_cleaned[[#This Row],[RegionQuarterKey]], Quarterly_Targets_cleaned[RegionQuarterKey], Quarterly_Targets_cleaned[TargetRevenue])</f>
        <v>299000</v>
      </c>
    </row>
    <row r="403" spans="1:22" x14ac:dyDescent="0.25">
      <c r="A403" t="s">
        <v>735</v>
      </c>
      <c r="B403" s="1">
        <v>45412</v>
      </c>
      <c r="C403" t="s">
        <v>103</v>
      </c>
      <c r="D403" t="s">
        <v>315</v>
      </c>
      <c r="E403">
        <v>663.05</v>
      </c>
      <c r="F403" t="s">
        <v>324</v>
      </c>
      <c r="G403" t="s">
        <v>327</v>
      </c>
      <c r="I403" t="s">
        <v>8</v>
      </c>
      <c r="J403" t="s">
        <v>102</v>
      </c>
      <c r="K403" t="s">
        <v>28</v>
      </c>
      <c r="L403" t="s">
        <v>316</v>
      </c>
      <c r="M403" t="s">
        <v>305</v>
      </c>
      <c r="N403">
        <v>2.5000000000000001E-3</v>
      </c>
      <c r="O403" t="str">
        <f>IF(Transactions_RAW_cleaned[[#This Row],[Status]]="Completed", IFERROR(_xlfn.XLOOKUP(Transactions_RAW_cleaned[[#This Row],[CustomerID]], Customers_cleaned[CustomerID], Customers_cleaned[Segment]), "Customer Not Found"), "N/A")</f>
        <v>SMB</v>
      </c>
      <c r="P403" s="5" t="str">
        <f>IF(Transactions_RAW_cleaned[[#This Row],[Status]]="Refunded", "Refund",
  IF(Transactions_RAW_cleaned[[#This Row],[Category]]="Payments", IF(Transactions_RAW_cleaned[[#This Row],[Amount]]&gt;500,"High Value","Standard"),
    IF(Transactions_RAW_cleaned[[#This Row],[Amount]]&gt;250,"High Value","Standard")))</f>
        <v>High Value</v>
      </c>
      <c r="Q403" s="5" t="str">
        <f>IF(Transactions_RAW_cleaned[[#This Row],[Amount]] &gt; (_xlfn.XLOOKUP(Transactions_RAW_cleaned[[#This Row],[ServiceID]],Services_cleaned[ServiceID],Services_cleaned[TransactionFeePct]) * 10000), "Yes", "No")</f>
        <v>Yes</v>
      </c>
      <c r="R403" s="5" t="str">
        <f>IF(COUNTIFS($C$2:Transactions_RAW_cleaned[[#This Row],[CustomerID]],Transactions_RAW_cleaned[[#This Row],[CustomerID]],$D$2:Transactions_RAW_cleaned[[#This Row],[ServiceID]],Transactions_RAW_cleaned[[#This Row],[ServiceID]])=1,"Yes","No")</f>
        <v>No</v>
      </c>
      <c r="S40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03" t="str">
        <f>"Q"&amp;ROUNDUP(MONTH(Transactions_RAW_cleaned[[#This Row],[TransactionDate]])/3,0)</f>
        <v>Q2</v>
      </c>
      <c r="U403" t="str">
        <f>Transactions_RAW_cleaned[[#This Row],[Region ]]&amp;Transactions_RAW_cleaned[[#This Row],[Quarter ]]</f>
        <v>NAQ2</v>
      </c>
      <c r="V403" s="5">
        <f>_xlfn.XLOOKUP(Transactions_RAW_cleaned[[#This Row],[RegionQuarterKey]], Quarterly_Targets_cleaned[RegionQuarterKey], Quarterly_Targets_cleaned[TargetRevenue])</f>
        <v>260000</v>
      </c>
    </row>
    <row r="404" spans="1:22" x14ac:dyDescent="0.25">
      <c r="A404" t="s">
        <v>736</v>
      </c>
      <c r="B404" s="1">
        <v>45455</v>
      </c>
      <c r="C404" t="s">
        <v>179</v>
      </c>
      <c r="D404" t="s">
        <v>294</v>
      </c>
      <c r="E404">
        <v>635.19000000000005</v>
      </c>
      <c r="F404" t="s">
        <v>324</v>
      </c>
      <c r="G404" t="s">
        <v>325</v>
      </c>
      <c r="H404" t="s">
        <v>332</v>
      </c>
      <c r="I404" t="s">
        <v>8</v>
      </c>
      <c r="J404" t="s">
        <v>31</v>
      </c>
      <c r="K404" t="s">
        <v>18</v>
      </c>
      <c r="L404" t="s">
        <v>295</v>
      </c>
      <c r="M404" t="s">
        <v>296</v>
      </c>
      <c r="N404">
        <v>2.9000000000000001E-2</v>
      </c>
      <c r="O404" t="str">
        <f>IF(Transactions_RAW_cleaned[[#This Row],[Status]]="Completed", IFERROR(_xlfn.XLOOKUP(Transactions_RAW_cleaned[[#This Row],[CustomerID]], Customers_cleaned[CustomerID], Customers_cleaned[Segment]), "Customer Not Found"), "N/A")</f>
        <v>SMB</v>
      </c>
      <c r="P404" s="5" t="str">
        <f>IF(Transactions_RAW_cleaned[[#This Row],[Status]]="Refunded", "Refund",
  IF(Transactions_RAW_cleaned[[#This Row],[Category]]="Payments", IF(Transactions_RAW_cleaned[[#This Row],[Amount]]&gt;500,"High Value","Standard"),
    IF(Transactions_RAW_cleaned[[#This Row],[Amount]]&gt;250,"High Value","Standard")))</f>
        <v>High Value</v>
      </c>
      <c r="Q404" s="5" t="str">
        <f>IF(Transactions_RAW_cleaned[[#This Row],[Amount]] &gt; (_xlfn.XLOOKUP(Transactions_RAW_cleaned[[#This Row],[ServiceID]],Services_cleaned[ServiceID],Services_cleaned[TransactionFeePct]) * 10000), "Yes", "No")</f>
        <v>Yes</v>
      </c>
      <c r="R404" s="5" t="str">
        <f>IF(COUNTIFS($C$2:Transactions_RAW_cleaned[[#This Row],[CustomerID]],Transactions_RAW_cleaned[[#This Row],[CustomerID]],$D$2:Transactions_RAW_cleaned[[#This Row],[ServiceID]],Transactions_RAW_cleaned[[#This Row],[ServiceID]])=1,"Yes","No")</f>
        <v>Yes</v>
      </c>
      <c r="S40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404" t="str">
        <f>"Q"&amp;ROUNDUP(MONTH(Transactions_RAW_cleaned[[#This Row],[TransactionDate]])/3,0)</f>
        <v>Q2</v>
      </c>
      <c r="U404" t="str">
        <f>Transactions_RAW_cleaned[[#This Row],[Region ]]&amp;Transactions_RAW_cleaned[[#This Row],[Quarter ]]</f>
        <v>EMEAQ2</v>
      </c>
      <c r="V404" s="5">
        <f>_xlfn.XLOOKUP(Transactions_RAW_cleaned[[#This Row],[RegionQuarterKey]], Quarterly_Targets_cleaned[RegionQuarterKey], Quarterly_Targets_cleaned[TargetRevenue])</f>
        <v>140000</v>
      </c>
    </row>
    <row r="405" spans="1:22" x14ac:dyDescent="0.25">
      <c r="A405" t="s">
        <v>737</v>
      </c>
      <c r="B405" s="1">
        <v>45369</v>
      </c>
      <c r="C405" t="s">
        <v>115</v>
      </c>
      <c r="D405" t="s">
        <v>294</v>
      </c>
      <c r="E405">
        <v>364.39</v>
      </c>
      <c r="F405" t="s">
        <v>324</v>
      </c>
      <c r="G405" t="s">
        <v>337</v>
      </c>
      <c r="H405" t="s">
        <v>346</v>
      </c>
      <c r="I405" t="s">
        <v>17</v>
      </c>
      <c r="J405" t="s">
        <v>102</v>
      </c>
      <c r="K405" t="s">
        <v>32</v>
      </c>
      <c r="L405" t="s">
        <v>295</v>
      </c>
      <c r="M405" t="s">
        <v>296</v>
      </c>
      <c r="N405">
        <v>2.9000000000000001E-2</v>
      </c>
      <c r="O405" t="str">
        <f>IF(Transactions_RAW_cleaned[[#This Row],[Status]]="Completed", IFERROR(_xlfn.XLOOKUP(Transactions_RAW_cleaned[[#This Row],[CustomerID]], Customers_cleaned[CustomerID], Customers_cleaned[Segment]), "Customer Not Found"), "N/A")</f>
        <v>Enterprise</v>
      </c>
      <c r="P405" s="5" t="str">
        <f>IF(Transactions_RAW_cleaned[[#This Row],[Status]]="Refunded", "Refund",
  IF(Transactions_RAW_cleaned[[#This Row],[Category]]="Payments", IF(Transactions_RAW_cleaned[[#This Row],[Amount]]&gt;500,"High Value","Standard"),
    IF(Transactions_RAW_cleaned[[#This Row],[Amount]]&gt;250,"High Value","Standard")))</f>
        <v>Standard</v>
      </c>
      <c r="Q405" s="5" t="str">
        <f>IF(Transactions_RAW_cleaned[[#This Row],[Amount]] &gt; (_xlfn.XLOOKUP(Transactions_RAW_cleaned[[#This Row],[ServiceID]],Services_cleaned[ServiceID],Services_cleaned[TransactionFeePct]) * 10000), "Yes", "No")</f>
        <v>Yes</v>
      </c>
      <c r="R405" s="5" t="str">
        <f>IF(COUNTIFS($C$2:Transactions_RAW_cleaned[[#This Row],[CustomerID]],Transactions_RAW_cleaned[[#This Row],[CustomerID]],$D$2:Transactions_RAW_cleaned[[#This Row],[ServiceID]],Transactions_RAW_cleaned[[#This Row],[ServiceID]])=1,"Yes","No")</f>
        <v>No</v>
      </c>
      <c r="S40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05" t="str">
        <f>"Q"&amp;ROUNDUP(MONTH(Transactions_RAW_cleaned[[#This Row],[TransactionDate]])/3,0)</f>
        <v>Q1</v>
      </c>
      <c r="U405" t="str">
        <f>Transactions_RAW_cleaned[[#This Row],[Region ]]&amp;Transactions_RAW_cleaned[[#This Row],[Quarter ]]</f>
        <v>NAQ1</v>
      </c>
      <c r="V405" s="5">
        <f>_xlfn.XLOOKUP(Transactions_RAW_cleaned[[#This Row],[RegionQuarterKey]], Quarterly_Targets_cleaned[RegionQuarterKey], Quarterly_Targets_cleaned[TargetRevenue])</f>
        <v>247000</v>
      </c>
    </row>
    <row r="406" spans="1:22" x14ac:dyDescent="0.25">
      <c r="A406" t="s">
        <v>738</v>
      </c>
      <c r="B406" s="1">
        <v>45516</v>
      </c>
      <c r="C406" t="s">
        <v>109</v>
      </c>
      <c r="D406" t="s">
        <v>306</v>
      </c>
      <c r="E406">
        <v>262.70999999999998</v>
      </c>
      <c r="F406" t="s">
        <v>324</v>
      </c>
      <c r="G406" t="s">
        <v>337</v>
      </c>
      <c r="H406" t="s">
        <v>332</v>
      </c>
      <c r="I406" t="s">
        <v>8</v>
      </c>
      <c r="J406" t="s">
        <v>102</v>
      </c>
      <c r="K406" t="s">
        <v>18</v>
      </c>
      <c r="L406" t="s">
        <v>307</v>
      </c>
      <c r="M406" t="s">
        <v>308</v>
      </c>
      <c r="N406">
        <v>0</v>
      </c>
      <c r="O406" t="str">
        <f>IF(Transactions_RAW_cleaned[[#This Row],[Status]]="Completed", IFERROR(_xlfn.XLOOKUP(Transactions_RAW_cleaned[[#This Row],[CustomerID]], Customers_cleaned[CustomerID], Customers_cleaned[Segment]), "Customer Not Found"), "N/A")</f>
        <v>SMB</v>
      </c>
      <c r="P406" s="5" t="str">
        <f>IF(Transactions_RAW_cleaned[[#This Row],[Status]]="Refunded", "Refund",
  IF(Transactions_RAW_cleaned[[#This Row],[Category]]="Payments", IF(Transactions_RAW_cleaned[[#This Row],[Amount]]&gt;500,"High Value","Standard"),
    IF(Transactions_RAW_cleaned[[#This Row],[Amount]]&gt;250,"High Value","Standard")))</f>
        <v>High Value</v>
      </c>
      <c r="Q406" s="5" t="str">
        <f>IF(Transactions_RAW_cleaned[[#This Row],[Amount]] &gt; (_xlfn.XLOOKUP(Transactions_RAW_cleaned[[#This Row],[ServiceID]],Services_cleaned[ServiceID],Services_cleaned[TransactionFeePct]) * 10000), "Yes", "No")</f>
        <v>Yes</v>
      </c>
      <c r="R406" s="5" t="str">
        <f>IF(COUNTIFS($C$2:Transactions_RAW_cleaned[[#This Row],[CustomerID]],Transactions_RAW_cleaned[[#This Row],[CustomerID]],$D$2:Transactions_RAW_cleaned[[#This Row],[ServiceID]],Transactions_RAW_cleaned[[#This Row],[ServiceID]])=1,"Yes","No")</f>
        <v>Yes</v>
      </c>
      <c r="S40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06" t="str">
        <f>"Q"&amp;ROUNDUP(MONTH(Transactions_RAW_cleaned[[#This Row],[TransactionDate]])/3,0)</f>
        <v>Q3</v>
      </c>
      <c r="U406" t="str">
        <f>Transactions_RAW_cleaned[[#This Row],[Region ]]&amp;Transactions_RAW_cleaned[[#This Row],[Quarter ]]</f>
        <v>NAQ3</v>
      </c>
      <c r="V406" s="5">
        <f>_xlfn.XLOOKUP(Transactions_RAW_cleaned[[#This Row],[RegionQuarterKey]], Quarterly_Targets_cleaned[RegionQuarterKey], Quarterly_Targets_cleaned[TargetRevenue])</f>
        <v>273000</v>
      </c>
    </row>
    <row r="407" spans="1:22" x14ac:dyDescent="0.25">
      <c r="A407" t="s">
        <v>739</v>
      </c>
      <c r="B407" s="1">
        <v>45414</v>
      </c>
      <c r="C407" t="s">
        <v>275</v>
      </c>
      <c r="D407" t="s">
        <v>294</v>
      </c>
      <c r="E407">
        <v>822.08</v>
      </c>
      <c r="F407" t="s">
        <v>381</v>
      </c>
      <c r="G407" t="s">
        <v>327</v>
      </c>
      <c r="I407" t="s">
        <v>57</v>
      </c>
      <c r="J407" t="s">
        <v>13</v>
      </c>
      <c r="K407" t="s">
        <v>22</v>
      </c>
      <c r="L407" t="s">
        <v>295</v>
      </c>
      <c r="M407" t="s">
        <v>296</v>
      </c>
      <c r="N407">
        <v>2.9000000000000001E-2</v>
      </c>
      <c r="O407" t="str">
        <f>IF(Transactions_RAW_cleaned[[#This Row],[Status]]="Completed", IFERROR(_xlfn.XLOOKUP(Transactions_RAW_cleaned[[#This Row],[CustomerID]], Customers_cleaned[CustomerID], Customers_cleaned[Segment]), "Customer Not Found"), "N/A")</f>
        <v>N/A</v>
      </c>
      <c r="P407" s="5" t="str">
        <f>IF(Transactions_RAW_cleaned[[#This Row],[Status]]="Refunded", "Refund",
  IF(Transactions_RAW_cleaned[[#This Row],[Category]]="Payments", IF(Transactions_RAW_cleaned[[#This Row],[Amount]]&gt;500,"High Value","Standard"),
    IF(Transactions_RAW_cleaned[[#This Row],[Amount]]&gt;250,"High Value","Standard")))</f>
        <v>High Value</v>
      </c>
      <c r="Q407" s="5" t="str">
        <f>IF(Transactions_RAW_cleaned[[#This Row],[Amount]] &gt; (_xlfn.XLOOKUP(Transactions_RAW_cleaned[[#This Row],[ServiceID]],Services_cleaned[ServiceID],Services_cleaned[TransactionFeePct]) * 10000), "Yes", "No")</f>
        <v>Yes</v>
      </c>
      <c r="R407" s="5" t="str">
        <f>IF(COUNTIFS($C$2:Transactions_RAW_cleaned[[#This Row],[CustomerID]],Transactions_RAW_cleaned[[#This Row],[CustomerID]],$D$2:Transactions_RAW_cleaned[[#This Row],[ServiceID]],Transactions_RAW_cleaned[[#This Row],[ServiceID]])=1,"Yes","No")</f>
        <v>No</v>
      </c>
      <c r="S40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07" t="str">
        <f>"Q"&amp;ROUNDUP(MONTH(Transactions_RAW_cleaned[[#This Row],[TransactionDate]])/3,0)</f>
        <v>Q2</v>
      </c>
      <c r="U407" t="str">
        <f>Transactions_RAW_cleaned[[#This Row],[Region ]]&amp;Transactions_RAW_cleaned[[#This Row],[Quarter ]]</f>
        <v>NAQ2</v>
      </c>
      <c r="V407" s="5">
        <f>_xlfn.XLOOKUP(Transactions_RAW_cleaned[[#This Row],[RegionQuarterKey]], Quarterly_Targets_cleaned[RegionQuarterKey], Quarterly_Targets_cleaned[TargetRevenue])</f>
        <v>260000</v>
      </c>
    </row>
    <row r="408" spans="1:22" x14ac:dyDescent="0.25">
      <c r="A408" t="s">
        <v>740</v>
      </c>
      <c r="B408" s="1">
        <v>45519</v>
      </c>
      <c r="C408" t="s">
        <v>121</v>
      </c>
      <c r="D408" t="s">
        <v>297</v>
      </c>
      <c r="E408">
        <v>198.98</v>
      </c>
      <c r="F408" t="s">
        <v>324</v>
      </c>
      <c r="G408" t="s">
        <v>327</v>
      </c>
      <c r="H408" t="s">
        <v>332</v>
      </c>
      <c r="I408" t="s">
        <v>8</v>
      </c>
      <c r="J408" t="s">
        <v>37</v>
      </c>
      <c r="K408" t="s">
        <v>14</v>
      </c>
      <c r="L408" t="s">
        <v>298</v>
      </c>
      <c r="M408" t="s">
        <v>299</v>
      </c>
      <c r="N408">
        <v>0</v>
      </c>
      <c r="O408" t="str">
        <f>IF(Transactions_RAW_cleaned[[#This Row],[Status]]="Completed", IFERROR(_xlfn.XLOOKUP(Transactions_RAW_cleaned[[#This Row],[CustomerID]], Customers_cleaned[CustomerID], Customers_cleaned[Segment]), "Customer Not Found"), "N/A")</f>
        <v>SMB</v>
      </c>
      <c r="P408" s="5" t="str">
        <f>IF(Transactions_RAW_cleaned[[#This Row],[Status]]="Refunded", "Refund",
  IF(Transactions_RAW_cleaned[[#This Row],[Category]]="Payments", IF(Transactions_RAW_cleaned[[#This Row],[Amount]]&gt;500,"High Value","Standard"),
    IF(Transactions_RAW_cleaned[[#This Row],[Amount]]&gt;250,"High Value","Standard")))</f>
        <v>Standard</v>
      </c>
      <c r="Q408" s="5" t="str">
        <f>IF(Transactions_RAW_cleaned[[#This Row],[Amount]] &gt; (_xlfn.XLOOKUP(Transactions_RAW_cleaned[[#This Row],[ServiceID]],Services_cleaned[ServiceID],Services_cleaned[TransactionFeePct]) * 10000), "Yes", "No")</f>
        <v>Yes</v>
      </c>
      <c r="R408" s="5" t="str">
        <f>IF(COUNTIFS($C$2:Transactions_RAW_cleaned[[#This Row],[CustomerID]],Transactions_RAW_cleaned[[#This Row],[CustomerID]],$D$2:Transactions_RAW_cleaned[[#This Row],[ServiceID]],Transactions_RAW_cleaned[[#This Row],[ServiceID]])=1,"Yes","No")</f>
        <v>Yes</v>
      </c>
      <c r="S40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408" t="str">
        <f>"Q"&amp;ROUNDUP(MONTH(Transactions_RAW_cleaned[[#This Row],[TransactionDate]])/3,0)</f>
        <v>Q3</v>
      </c>
      <c r="U408" t="str">
        <f>Transactions_RAW_cleaned[[#This Row],[Region ]]&amp;Transactions_RAW_cleaned[[#This Row],[Quarter ]]</f>
        <v>EMEAQ3</v>
      </c>
      <c r="V408" s="5">
        <f>_xlfn.XLOOKUP(Transactions_RAW_cleaned[[#This Row],[RegionQuarterKey]], Quarterly_Targets_cleaned[RegionQuarterKey], Quarterly_Targets_cleaned[TargetRevenue])</f>
        <v>147000</v>
      </c>
    </row>
    <row r="409" spans="1:22" x14ac:dyDescent="0.25">
      <c r="A409" t="s">
        <v>741</v>
      </c>
      <c r="B409" s="1">
        <v>45470</v>
      </c>
      <c r="C409" t="s">
        <v>76</v>
      </c>
      <c r="D409" t="s">
        <v>294</v>
      </c>
      <c r="E409">
        <v>22.75</v>
      </c>
      <c r="F409" t="s">
        <v>324</v>
      </c>
      <c r="G409" t="s">
        <v>337</v>
      </c>
      <c r="I409" t="s">
        <v>17</v>
      </c>
      <c r="J409" t="s">
        <v>13</v>
      </c>
      <c r="K409" t="s">
        <v>18</v>
      </c>
      <c r="L409" t="s">
        <v>295</v>
      </c>
      <c r="M409" t="s">
        <v>296</v>
      </c>
      <c r="N409">
        <v>2.9000000000000001E-2</v>
      </c>
      <c r="O409" t="str">
        <f>IF(Transactions_RAW_cleaned[[#This Row],[Status]]="Completed", IFERROR(_xlfn.XLOOKUP(Transactions_RAW_cleaned[[#This Row],[CustomerID]], Customers_cleaned[CustomerID], Customers_cleaned[Segment]), "Customer Not Found"), "N/A")</f>
        <v>Enterprise</v>
      </c>
      <c r="P409" s="5" t="str">
        <f>IF(Transactions_RAW_cleaned[[#This Row],[Status]]="Refunded", "Refund",
  IF(Transactions_RAW_cleaned[[#This Row],[Category]]="Payments", IF(Transactions_RAW_cleaned[[#This Row],[Amount]]&gt;500,"High Value","Standard"),
    IF(Transactions_RAW_cleaned[[#This Row],[Amount]]&gt;250,"High Value","Standard")))</f>
        <v>Standard</v>
      </c>
      <c r="Q409" s="5" t="str">
        <f>IF(Transactions_RAW_cleaned[[#This Row],[Amount]] &gt; (_xlfn.XLOOKUP(Transactions_RAW_cleaned[[#This Row],[ServiceID]],Services_cleaned[ServiceID],Services_cleaned[TransactionFeePct]) * 10000), "Yes", "No")</f>
        <v>No</v>
      </c>
      <c r="R409" s="5" t="str">
        <f>IF(COUNTIFS($C$2:Transactions_RAW_cleaned[[#This Row],[CustomerID]],Transactions_RAW_cleaned[[#This Row],[CustomerID]],$D$2:Transactions_RAW_cleaned[[#This Row],[ServiceID]],Transactions_RAW_cleaned[[#This Row],[ServiceID]])=1,"Yes","No")</f>
        <v>Yes</v>
      </c>
      <c r="S40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09" t="str">
        <f>"Q"&amp;ROUNDUP(MONTH(Transactions_RAW_cleaned[[#This Row],[TransactionDate]])/3,0)</f>
        <v>Q2</v>
      </c>
      <c r="U409" t="str">
        <f>Transactions_RAW_cleaned[[#This Row],[Region ]]&amp;Transactions_RAW_cleaned[[#This Row],[Quarter ]]</f>
        <v>NAQ2</v>
      </c>
      <c r="V409" s="5">
        <f>_xlfn.XLOOKUP(Transactions_RAW_cleaned[[#This Row],[RegionQuarterKey]], Quarterly_Targets_cleaned[RegionQuarterKey], Quarterly_Targets_cleaned[TargetRevenue])</f>
        <v>260000</v>
      </c>
    </row>
    <row r="410" spans="1:22" x14ac:dyDescent="0.25">
      <c r="A410" t="s">
        <v>742</v>
      </c>
      <c r="B410" s="1">
        <v>45322</v>
      </c>
      <c r="C410" t="s">
        <v>76</v>
      </c>
      <c r="D410" t="s">
        <v>294</v>
      </c>
      <c r="E410">
        <v>190.54</v>
      </c>
      <c r="F410" t="s">
        <v>324</v>
      </c>
      <c r="G410" t="s">
        <v>327</v>
      </c>
      <c r="I410" t="s">
        <v>17</v>
      </c>
      <c r="J410" t="s">
        <v>13</v>
      </c>
      <c r="K410" t="s">
        <v>18</v>
      </c>
      <c r="L410" t="s">
        <v>295</v>
      </c>
      <c r="M410" t="s">
        <v>296</v>
      </c>
      <c r="N410">
        <v>2.9000000000000001E-2</v>
      </c>
      <c r="O410" t="str">
        <f>IF(Transactions_RAW_cleaned[[#This Row],[Status]]="Completed", IFERROR(_xlfn.XLOOKUP(Transactions_RAW_cleaned[[#This Row],[CustomerID]], Customers_cleaned[CustomerID], Customers_cleaned[Segment]), "Customer Not Found"), "N/A")</f>
        <v>Enterprise</v>
      </c>
      <c r="P410" s="5" t="str">
        <f>IF(Transactions_RAW_cleaned[[#This Row],[Status]]="Refunded", "Refund",
  IF(Transactions_RAW_cleaned[[#This Row],[Category]]="Payments", IF(Transactions_RAW_cleaned[[#This Row],[Amount]]&gt;500,"High Value","Standard"),
    IF(Transactions_RAW_cleaned[[#This Row],[Amount]]&gt;250,"High Value","Standard")))</f>
        <v>Standard</v>
      </c>
      <c r="Q410" s="5" t="str">
        <f>IF(Transactions_RAW_cleaned[[#This Row],[Amount]] &gt; (_xlfn.XLOOKUP(Transactions_RAW_cleaned[[#This Row],[ServiceID]],Services_cleaned[ServiceID],Services_cleaned[TransactionFeePct]) * 10000), "Yes", "No")</f>
        <v>No</v>
      </c>
      <c r="R410" s="5" t="str">
        <f>IF(COUNTIFS($C$2:Transactions_RAW_cleaned[[#This Row],[CustomerID]],Transactions_RAW_cleaned[[#This Row],[CustomerID]],$D$2:Transactions_RAW_cleaned[[#This Row],[ServiceID]],Transactions_RAW_cleaned[[#This Row],[ServiceID]])=1,"Yes","No")</f>
        <v>No</v>
      </c>
      <c r="S41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10" t="str">
        <f>"Q"&amp;ROUNDUP(MONTH(Transactions_RAW_cleaned[[#This Row],[TransactionDate]])/3,0)</f>
        <v>Q1</v>
      </c>
      <c r="U410" t="str">
        <f>Transactions_RAW_cleaned[[#This Row],[Region ]]&amp;Transactions_RAW_cleaned[[#This Row],[Quarter ]]</f>
        <v>NAQ1</v>
      </c>
      <c r="V410" s="5">
        <f>_xlfn.XLOOKUP(Transactions_RAW_cleaned[[#This Row],[RegionQuarterKey]], Quarterly_Targets_cleaned[RegionQuarterKey], Quarterly_Targets_cleaned[TargetRevenue])</f>
        <v>247000</v>
      </c>
    </row>
    <row r="411" spans="1:22" x14ac:dyDescent="0.25">
      <c r="A411" t="s">
        <v>743</v>
      </c>
      <c r="B411" s="1">
        <v>45483</v>
      </c>
      <c r="C411" t="s">
        <v>40</v>
      </c>
      <c r="D411" t="s">
        <v>294</v>
      </c>
      <c r="E411">
        <v>1124.26</v>
      </c>
      <c r="F411" t="s">
        <v>331</v>
      </c>
      <c r="G411" t="s">
        <v>327</v>
      </c>
      <c r="I411" t="s">
        <v>17</v>
      </c>
      <c r="J411" t="s">
        <v>102</v>
      </c>
      <c r="K411" t="s">
        <v>14</v>
      </c>
      <c r="L411" t="s">
        <v>295</v>
      </c>
      <c r="M411" t="s">
        <v>296</v>
      </c>
      <c r="N411">
        <v>2.9000000000000001E-2</v>
      </c>
      <c r="O411" t="str">
        <f>IF(Transactions_RAW_cleaned[[#This Row],[Status]]="Completed", IFERROR(_xlfn.XLOOKUP(Transactions_RAW_cleaned[[#This Row],[CustomerID]], Customers_cleaned[CustomerID], Customers_cleaned[Segment]), "Customer Not Found"), "N/A")</f>
        <v>N/A</v>
      </c>
      <c r="P411" s="5" t="str">
        <f>IF(Transactions_RAW_cleaned[[#This Row],[Status]]="Refunded", "Refund",
  IF(Transactions_RAW_cleaned[[#This Row],[Category]]="Payments", IF(Transactions_RAW_cleaned[[#This Row],[Amount]]&gt;500,"High Value","Standard"),
    IF(Transactions_RAW_cleaned[[#This Row],[Amount]]&gt;250,"High Value","Standard")))</f>
        <v>High Value</v>
      </c>
      <c r="Q411" s="5" t="str">
        <f>IF(Transactions_RAW_cleaned[[#This Row],[Amount]] &gt; (_xlfn.XLOOKUP(Transactions_RAW_cleaned[[#This Row],[ServiceID]],Services_cleaned[ServiceID],Services_cleaned[TransactionFeePct]) * 10000), "Yes", "No")</f>
        <v>Yes</v>
      </c>
      <c r="R411" s="5" t="str">
        <f>IF(COUNTIFS($C$2:Transactions_RAW_cleaned[[#This Row],[CustomerID]],Transactions_RAW_cleaned[[#This Row],[CustomerID]],$D$2:Transactions_RAW_cleaned[[#This Row],[ServiceID]],Transactions_RAW_cleaned[[#This Row],[ServiceID]])=1,"Yes","No")</f>
        <v>Yes</v>
      </c>
      <c r="S41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11" t="str">
        <f>"Q"&amp;ROUNDUP(MONTH(Transactions_RAW_cleaned[[#This Row],[TransactionDate]])/3,0)</f>
        <v>Q3</v>
      </c>
      <c r="U411" t="str">
        <f>Transactions_RAW_cleaned[[#This Row],[Region ]]&amp;Transactions_RAW_cleaned[[#This Row],[Quarter ]]</f>
        <v>NAQ3</v>
      </c>
      <c r="V411" s="5">
        <f>_xlfn.XLOOKUP(Transactions_RAW_cleaned[[#This Row],[RegionQuarterKey]], Quarterly_Targets_cleaned[RegionQuarterKey], Quarterly_Targets_cleaned[TargetRevenue])</f>
        <v>273000</v>
      </c>
    </row>
    <row r="412" spans="1:22" x14ac:dyDescent="0.25">
      <c r="A412" t="s">
        <v>744</v>
      </c>
      <c r="B412" s="1">
        <v>45460</v>
      </c>
      <c r="C412" t="s">
        <v>147</v>
      </c>
      <c r="D412" t="s">
        <v>294</v>
      </c>
      <c r="E412">
        <v>327.24</v>
      </c>
      <c r="F412" t="s">
        <v>324</v>
      </c>
      <c r="G412" t="s">
        <v>325</v>
      </c>
      <c r="H412" t="s">
        <v>346</v>
      </c>
      <c r="I412" t="s">
        <v>17</v>
      </c>
      <c r="J412" t="s">
        <v>25</v>
      </c>
      <c r="K412" t="s">
        <v>32</v>
      </c>
      <c r="L412" t="s">
        <v>295</v>
      </c>
      <c r="M412" t="s">
        <v>296</v>
      </c>
      <c r="N412">
        <v>2.9000000000000001E-2</v>
      </c>
      <c r="O412" t="str">
        <f>IF(Transactions_RAW_cleaned[[#This Row],[Status]]="Completed", IFERROR(_xlfn.XLOOKUP(Transactions_RAW_cleaned[[#This Row],[CustomerID]], Customers_cleaned[CustomerID], Customers_cleaned[Segment]), "Customer Not Found"), "N/A")</f>
        <v>Enterprise</v>
      </c>
      <c r="P412" s="5" t="str">
        <f>IF(Transactions_RAW_cleaned[[#This Row],[Status]]="Refunded", "Refund",
  IF(Transactions_RAW_cleaned[[#This Row],[Category]]="Payments", IF(Transactions_RAW_cleaned[[#This Row],[Amount]]&gt;500,"High Value","Standard"),
    IF(Transactions_RAW_cleaned[[#This Row],[Amount]]&gt;250,"High Value","Standard")))</f>
        <v>Standard</v>
      </c>
      <c r="Q412" s="5" t="str">
        <f>IF(Transactions_RAW_cleaned[[#This Row],[Amount]] &gt; (_xlfn.XLOOKUP(Transactions_RAW_cleaned[[#This Row],[ServiceID]],Services_cleaned[ServiceID],Services_cleaned[TransactionFeePct]) * 10000), "Yes", "No")</f>
        <v>Yes</v>
      </c>
      <c r="R412" s="5" t="str">
        <f>IF(COUNTIFS($C$2:Transactions_RAW_cleaned[[#This Row],[CustomerID]],Transactions_RAW_cleaned[[#This Row],[CustomerID]],$D$2:Transactions_RAW_cleaned[[#This Row],[ServiceID]],Transactions_RAW_cleaned[[#This Row],[ServiceID]])=1,"Yes","No")</f>
        <v>Yes</v>
      </c>
      <c r="S41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412" t="str">
        <f>"Q"&amp;ROUNDUP(MONTH(Transactions_RAW_cleaned[[#This Row],[TransactionDate]])/3,0)</f>
        <v>Q2</v>
      </c>
      <c r="U412" t="str">
        <f>Transactions_RAW_cleaned[[#This Row],[Region ]]&amp;Transactions_RAW_cleaned[[#This Row],[Quarter ]]</f>
        <v>APACQ2</v>
      </c>
      <c r="V412" s="5">
        <f>_xlfn.XLOOKUP(Transactions_RAW_cleaned[[#This Row],[RegionQuarterKey]], Quarterly_Targets_cleaned[RegionQuarterKey], Quarterly_Targets_cleaned[TargetRevenue])</f>
        <v>110000</v>
      </c>
    </row>
    <row r="413" spans="1:22" x14ac:dyDescent="0.25">
      <c r="A413" t="s">
        <v>745</v>
      </c>
      <c r="B413" s="1">
        <v>45459</v>
      </c>
      <c r="C413" t="s">
        <v>219</v>
      </c>
      <c r="D413" t="s">
        <v>312</v>
      </c>
      <c r="E413">
        <v>-165.52</v>
      </c>
      <c r="F413" t="s">
        <v>349</v>
      </c>
      <c r="G413" t="s">
        <v>337</v>
      </c>
      <c r="I413" t="s">
        <v>17</v>
      </c>
      <c r="J413" t="s">
        <v>31</v>
      </c>
      <c r="K413" t="s">
        <v>32</v>
      </c>
      <c r="L413" t="s">
        <v>313</v>
      </c>
      <c r="M413" t="s">
        <v>314</v>
      </c>
      <c r="N413">
        <v>0</v>
      </c>
      <c r="O413" t="str">
        <f>IF(Transactions_RAW_cleaned[[#This Row],[Status]]="Completed", IFERROR(_xlfn.XLOOKUP(Transactions_RAW_cleaned[[#This Row],[CustomerID]], Customers_cleaned[CustomerID], Customers_cleaned[Segment]), "Customer Not Found"), "N/A")</f>
        <v>N/A</v>
      </c>
      <c r="P413" s="5" t="str">
        <f>IF(Transactions_RAW_cleaned[[#This Row],[Status]]="Refunded", "Refund",
  IF(Transactions_RAW_cleaned[[#This Row],[Category]]="Payments", IF(Transactions_RAW_cleaned[[#This Row],[Amount]]&gt;500,"High Value","Standard"),
    IF(Transactions_RAW_cleaned[[#This Row],[Amount]]&gt;250,"High Value","Standard")))</f>
        <v>Refund</v>
      </c>
      <c r="Q413" s="5" t="str">
        <f>IF(Transactions_RAW_cleaned[[#This Row],[Amount]] &gt; (_xlfn.XLOOKUP(Transactions_RAW_cleaned[[#This Row],[ServiceID]],Services_cleaned[ServiceID],Services_cleaned[TransactionFeePct]) * 10000), "Yes", "No")</f>
        <v>No</v>
      </c>
      <c r="R413" s="5" t="str">
        <f>IF(COUNTIFS($C$2:Transactions_RAW_cleaned[[#This Row],[CustomerID]],Transactions_RAW_cleaned[[#This Row],[CustomerID]],$D$2:Transactions_RAW_cleaned[[#This Row],[ServiceID]],Transactions_RAW_cleaned[[#This Row],[ServiceID]])=1,"Yes","No")</f>
        <v>Yes</v>
      </c>
      <c r="S41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413" t="str">
        <f>"Q"&amp;ROUNDUP(MONTH(Transactions_RAW_cleaned[[#This Row],[TransactionDate]])/3,0)</f>
        <v>Q2</v>
      </c>
      <c r="U413" t="str">
        <f>Transactions_RAW_cleaned[[#This Row],[Region ]]&amp;Transactions_RAW_cleaned[[#This Row],[Quarter ]]</f>
        <v>EMEAQ2</v>
      </c>
      <c r="V413" s="5">
        <f>_xlfn.XLOOKUP(Transactions_RAW_cleaned[[#This Row],[RegionQuarterKey]], Quarterly_Targets_cleaned[RegionQuarterKey], Quarterly_Targets_cleaned[TargetRevenue])</f>
        <v>140000</v>
      </c>
    </row>
    <row r="414" spans="1:22" x14ac:dyDescent="0.25">
      <c r="A414" t="s">
        <v>746</v>
      </c>
      <c r="B414" s="1">
        <v>45485</v>
      </c>
      <c r="C414" t="s">
        <v>119</v>
      </c>
      <c r="D414" t="s">
        <v>315</v>
      </c>
      <c r="E414">
        <v>362.6</v>
      </c>
      <c r="F414" t="s">
        <v>324</v>
      </c>
      <c r="G414" t="s">
        <v>337</v>
      </c>
      <c r="H414" t="s">
        <v>334</v>
      </c>
      <c r="I414" t="s">
        <v>57</v>
      </c>
      <c r="J414" t="s">
        <v>102</v>
      </c>
      <c r="K414" t="s">
        <v>18</v>
      </c>
      <c r="L414" t="s">
        <v>316</v>
      </c>
      <c r="M414" t="s">
        <v>305</v>
      </c>
      <c r="N414">
        <v>2.5000000000000001E-3</v>
      </c>
      <c r="O414" t="str">
        <f>IF(Transactions_RAW_cleaned[[#This Row],[Status]]="Completed", IFERROR(_xlfn.XLOOKUP(Transactions_RAW_cleaned[[#This Row],[CustomerID]], Customers_cleaned[CustomerID], Customers_cleaned[Segment]), "Customer Not Found"), "N/A")</f>
        <v>Startup</v>
      </c>
      <c r="P414" s="5" t="str">
        <f>IF(Transactions_RAW_cleaned[[#This Row],[Status]]="Refunded", "Refund",
  IF(Transactions_RAW_cleaned[[#This Row],[Category]]="Payments", IF(Transactions_RAW_cleaned[[#This Row],[Amount]]&gt;500,"High Value","Standard"),
    IF(Transactions_RAW_cleaned[[#This Row],[Amount]]&gt;250,"High Value","Standard")))</f>
        <v>High Value</v>
      </c>
      <c r="Q414" s="5" t="str">
        <f>IF(Transactions_RAW_cleaned[[#This Row],[Amount]] &gt; (_xlfn.XLOOKUP(Transactions_RAW_cleaned[[#This Row],[ServiceID]],Services_cleaned[ServiceID],Services_cleaned[TransactionFeePct]) * 10000), "Yes", "No")</f>
        <v>Yes</v>
      </c>
      <c r="R414" s="5" t="str">
        <f>IF(COUNTIFS($C$2:Transactions_RAW_cleaned[[#This Row],[CustomerID]],Transactions_RAW_cleaned[[#This Row],[CustomerID]],$D$2:Transactions_RAW_cleaned[[#This Row],[ServiceID]],Transactions_RAW_cleaned[[#This Row],[ServiceID]])=1,"Yes","No")</f>
        <v>No</v>
      </c>
      <c r="S41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14" t="str">
        <f>"Q"&amp;ROUNDUP(MONTH(Transactions_RAW_cleaned[[#This Row],[TransactionDate]])/3,0)</f>
        <v>Q3</v>
      </c>
      <c r="U414" t="str">
        <f>Transactions_RAW_cleaned[[#This Row],[Region ]]&amp;Transactions_RAW_cleaned[[#This Row],[Quarter ]]</f>
        <v>NAQ3</v>
      </c>
      <c r="V414" s="5">
        <f>_xlfn.XLOOKUP(Transactions_RAW_cleaned[[#This Row],[RegionQuarterKey]], Quarterly_Targets_cleaned[RegionQuarterKey], Quarterly_Targets_cleaned[TargetRevenue])</f>
        <v>273000</v>
      </c>
    </row>
    <row r="415" spans="1:22" x14ac:dyDescent="0.25">
      <c r="A415" t="s">
        <v>747</v>
      </c>
      <c r="B415" s="1">
        <v>45319</v>
      </c>
      <c r="C415" t="s">
        <v>153</v>
      </c>
      <c r="D415" t="s">
        <v>294</v>
      </c>
      <c r="E415">
        <v>275.5</v>
      </c>
      <c r="F415" t="s">
        <v>324</v>
      </c>
      <c r="G415" t="s">
        <v>327</v>
      </c>
      <c r="I415" t="s">
        <v>8</v>
      </c>
      <c r="J415" t="s">
        <v>37</v>
      </c>
      <c r="K415" t="s">
        <v>32</v>
      </c>
      <c r="L415" t="s">
        <v>295</v>
      </c>
      <c r="M415" t="s">
        <v>296</v>
      </c>
      <c r="N415">
        <v>2.9000000000000001E-2</v>
      </c>
      <c r="O415" t="str">
        <f>IF(Transactions_RAW_cleaned[[#This Row],[Status]]="Completed", IFERROR(_xlfn.XLOOKUP(Transactions_RAW_cleaned[[#This Row],[CustomerID]], Customers_cleaned[CustomerID], Customers_cleaned[Segment]), "Customer Not Found"), "N/A")</f>
        <v>SMB</v>
      </c>
      <c r="P415" s="5" t="str">
        <f>IF(Transactions_RAW_cleaned[[#This Row],[Status]]="Refunded", "Refund",
  IF(Transactions_RAW_cleaned[[#This Row],[Category]]="Payments", IF(Transactions_RAW_cleaned[[#This Row],[Amount]]&gt;500,"High Value","Standard"),
    IF(Transactions_RAW_cleaned[[#This Row],[Amount]]&gt;250,"High Value","Standard")))</f>
        <v>Standard</v>
      </c>
      <c r="Q415" s="5" t="str">
        <f>IF(Transactions_RAW_cleaned[[#This Row],[Amount]] &gt; (_xlfn.XLOOKUP(Transactions_RAW_cleaned[[#This Row],[ServiceID]],Services_cleaned[ServiceID],Services_cleaned[TransactionFeePct]) * 10000), "Yes", "No")</f>
        <v>No</v>
      </c>
      <c r="R415" s="5" t="str">
        <f>IF(COUNTIFS($C$2:Transactions_RAW_cleaned[[#This Row],[CustomerID]],Transactions_RAW_cleaned[[#This Row],[CustomerID]],$D$2:Transactions_RAW_cleaned[[#This Row],[ServiceID]],Transactions_RAW_cleaned[[#This Row],[ServiceID]])=1,"Yes","No")</f>
        <v>No</v>
      </c>
      <c r="S41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415" t="str">
        <f>"Q"&amp;ROUNDUP(MONTH(Transactions_RAW_cleaned[[#This Row],[TransactionDate]])/3,0)</f>
        <v>Q1</v>
      </c>
      <c r="U415" t="str">
        <f>Transactions_RAW_cleaned[[#This Row],[Region ]]&amp;Transactions_RAW_cleaned[[#This Row],[Quarter ]]</f>
        <v>EMEAQ1</v>
      </c>
      <c r="V415" s="5">
        <f>_xlfn.XLOOKUP(Transactions_RAW_cleaned[[#This Row],[RegionQuarterKey]], Quarterly_Targets_cleaned[RegionQuarterKey], Quarterly_Targets_cleaned[TargetRevenue])</f>
        <v>133000</v>
      </c>
    </row>
    <row r="416" spans="1:22" x14ac:dyDescent="0.25">
      <c r="A416" t="s">
        <v>748</v>
      </c>
      <c r="B416" s="1">
        <v>45559</v>
      </c>
      <c r="C416" t="s">
        <v>251</v>
      </c>
      <c r="D416" t="s">
        <v>300</v>
      </c>
      <c r="E416">
        <v>291.29000000000002</v>
      </c>
      <c r="F416" t="s">
        <v>324</v>
      </c>
      <c r="G416" t="s">
        <v>325</v>
      </c>
      <c r="H416" t="s">
        <v>334</v>
      </c>
      <c r="I416" t="s">
        <v>17</v>
      </c>
      <c r="J416" t="s">
        <v>46</v>
      </c>
      <c r="K416" t="s">
        <v>14</v>
      </c>
      <c r="L416" t="s">
        <v>301</v>
      </c>
      <c r="M416" t="s">
        <v>302</v>
      </c>
      <c r="N416">
        <v>5.0000000000000001E-3</v>
      </c>
      <c r="O416" t="str">
        <f>IF(Transactions_RAW_cleaned[[#This Row],[Status]]="Completed", IFERROR(_xlfn.XLOOKUP(Transactions_RAW_cleaned[[#This Row],[CustomerID]], Customers_cleaned[CustomerID], Customers_cleaned[Segment]), "Customer Not Found"), "N/A")</f>
        <v>Enterprise</v>
      </c>
      <c r="P416" s="5" t="str">
        <f>IF(Transactions_RAW_cleaned[[#This Row],[Status]]="Refunded", "Refund",
  IF(Transactions_RAW_cleaned[[#This Row],[Category]]="Payments", IF(Transactions_RAW_cleaned[[#This Row],[Amount]]&gt;500,"High Value","Standard"),
    IF(Transactions_RAW_cleaned[[#This Row],[Amount]]&gt;250,"High Value","Standard")))</f>
        <v>High Value</v>
      </c>
      <c r="Q416" s="5" t="str">
        <f>IF(Transactions_RAW_cleaned[[#This Row],[Amount]] &gt; (_xlfn.XLOOKUP(Transactions_RAW_cleaned[[#This Row],[ServiceID]],Services_cleaned[ServiceID],Services_cleaned[TransactionFeePct]) * 10000), "Yes", "No")</f>
        <v>Yes</v>
      </c>
      <c r="R416" s="5" t="str">
        <f>IF(COUNTIFS($C$2:Transactions_RAW_cleaned[[#This Row],[CustomerID]],Transactions_RAW_cleaned[[#This Row],[CustomerID]],$D$2:Transactions_RAW_cleaned[[#This Row],[ServiceID]],Transactions_RAW_cleaned[[#This Row],[ServiceID]])=1,"Yes","No")</f>
        <v>Yes</v>
      </c>
      <c r="S41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416" t="str">
        <f>"Q"&amp;ROUNDUP(MONTH(Transactions_RAW_cleaned[[#This Row],[TransactionDate]])/3,0)</f>
        <v>Q3</v>
      </c>
      <c r="U416" t="str">
        <f>Transactions_RAW_cleaned[[#This Row],[Region ]]&amp;Transactions_RAW_cleaned[[#This Row],[Quarter ]]</f>
        <v>APACQ3</v>
      </c>
      <c r="V416" s="5">
        <f>_xlfn.XLOOKUP(Transactions_RAW_cleaned[[#This Row],[RegionQuarterKey]], Quarterly_Targets_cleaned[RegionQuarterKey], Quarterly_Targets_cleaned[TargetRevenue])</f>
        <v>115500</v>
      </c>
    </row>
    <row r="417" spans="1:22" x14ac:dyDescent="0.25">
      <c r="A417" t="s">
        <v>749</v>
      </c>
      <c r="B417" s="1">
        <v>45370</v>
      </c>
      <c r="C417" t="s">
        <v>55</v>
      </c>
      <c r="D417" t="s">
        <v>309</v>
      </c>
      <c r="E417">
        <v>95.33</v>
      </c>
      <c r="F417" t="s">
        <v>324</v>
      </c>
      <c r="G417" t="s">
        <v>325</v>
      </c>
      <c r="I417" t="s">
        <v>57</v>
      </c>
      <c r="J417" t="s">
        <v>31</v>
      </c>
      <c r="K417" t="s">
        <v>22</v>
      </c>
      <c r="L417" t="s">
        <v>310</v>
      </c>
      <c r="M417" t="s">
        <v>311</v>
      </c>
      <c r="N417">
        <v>0</v>
      </c>
      <c r="O417" t="str">
        <f>IF(Transactions_RAW_cleaned[[#This Row],[Status]]="Completed", IFERROR(_xlfn.XLOOKUP(Transactions_RAW_cleaned[[#This Row],[CustomerID]], Customers_cleaned[CustomerID], Customers_cleaned[Segment]), "Customer Not Found"), "N/A")</f>
        <v>Startup</v>
      </c>
      <c r="P417" s="5" t="str">
        <f>IF(Transactions_RAW_cleaned[[#This Row],[Status]]="Refunded", "Refund",
  IF(Transactions_RAW_cleaned[[#This Row],[Category]]="Payments", IF(Transactions_RAW_cleaned[[#This Row],[Amount]]&gt;500,"High Value","Standard"),
    IF(Transactions_RAW_cleaned[[#This Row],[Amount]]&gt;250,"High Value","Standard")))</f>
        <v>Standard</v>
      </c>
      <c r="Q417" s="5" t="str">
        <f>IF(Transactions_RAW_cleaned[[#This Row],[Amount]] &gt; (_xlfn.XLOOKUP(Transactions_RAW_cleaned[[#This Row],[ServiceID]],Services_cleaned[ServiceID],Services_cleaned[TransactionFeePct]) * 10000), "Yes", "No")</f>
        <v>Yes</v>
      </c>
      <c r="R417" s="5" t="str">
        <f>IF(COUNTIFS($C$2:Transactions_RAW_cleaned[[#This Row],[CustomerID]],Transactions_RAW_cleaned[[#This Row],[CustomerID]],$D$2:Transactions_RAW_cleaned[[#This Row],[ServiceID]],Transactions_RAW_cleaned[[#This Row],[ServiceID]])=1,"Yes","No")</f>
        <v>Yes</v>
      </c>
      <c r="S41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417" t="str">
        <f>"Q"&amp;ROUNDUP(MONTH(Transactions_RAW_cleaned[[#This Row],[TransactionDate]])/3,0)</f>
        <v>Q1</v>
      </c>
      <c r="U417" t="str">
        <f>Transactions_RAW_cleaned[[#This Row],[Region ]]&amp;Transactions_RAW_cleaned[[#This Row],[Quarter ]]</f>
        <v>EMEAQ1</v>
      </c>
      <c r="V417" s="5">
        <f>_xlfn.XLOOKUP(Transactions_RAW_cleaned[[#This Row],[RegionQuarterKey]], Quarterly_Targets_cleaned[RegionQuarterKey], Quarterly_Targets_cleaned[TargetRevenue])</f>
        <v>133000</v>
      </c>
    </row>
    <row r="418" spans="1:22" x14ac:dyDescent="0.25">
      <c r="A418" t="s">
        <v>750</v>
      </c>
      <c r="B418" s="1">
        <v>45336</v>
      </c>
      <c r="C418" t="s">
        <v>197</v>
      </c>
      <c r="D418" t="s">
        <v>312</v>
      </c>
      <c r="E418">
        <v>393.35</v>
      </c>
      <c r="F418" t="s">
        <v>324</v>
      </c>
      <c r="G418" t="s">
        <v>337</v>
      </c>
      <c r="I418" t="s">
        <v>8</v>
      </c>
      <c r="J418" t="s">
        <v>46</v>
      </c>
      <c r="K418" t="s">
        <v>14</v>
      </c>
      <c r="L418" t="s">
        <v>313</v>
      </c>
      <c r="M418" t="s">
        <v>314</v>
      </c>
      <c r="N418">
        <v>0</v>
      </c>
      <c r="O418" t="str">
        <f>IF(Transactions_RAW_cleaned[[#This Row],[Status]]="Completed", IFERROR(_xlfn.XLOOKUP(Transactions_RAW_cleaned[[#This Row],[CustomerID]], Customers_cleaned[CustomerID], Customers_cleaned[Segment]), "Customer Not Found"), "N/A")</f>
        <v>SMB</v>
      </c>
      <c r="P418" s="5" t="str">
        <f>IF(Transactions_RAW_cleaned[[#This Row],[Status]]="Refunded", "Refund",
  IF(Transactions_RAW_cleaned[[#This Row],[Category]]="Payments", IF(Transactions_RAW_cleaned[[#This Row],[Amount]]&gt;500,"High Value","Standard"),
    IF(Transactions_RAW_cleaned[[#This Row],[Amount]]&gt;250,"High Value","Standard")))</f>
        <v>High Value</v>
      </c>
      <c r="Q418" s="5" t="str">
        <f>IF(Transactions_RAW_cleaned[[#This Row],[Amount]] &gt; (_xlfn.XLOOKUP(Transactions_RAW_cleaned[[#This Row],[ServiceID]],Services_cleaned[ServiceID],Services_cleaned[TransactionFeePct]) * 10000), "Yes", "No")</f>
        <v>Yes</v>
      </c>
      <c r="R418" s="5" t="str">
        <f>IF(COUNTIFS($C$2:Transactions_RAW_cleaned[[#This Row],[CustomerID]],Transactions_RAW_cleaned[[#This Row],[CustomerID]],$D$2:Transactions_RAW_cleaned[[#This Row],[ServiceID]],Transactions_RAW_cleaned[[#This Row],[ServiceID]])=1,"Yes","No")</f>
        <v>Yes</v>
      </c>
      <c r="S41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418" t="str">
        <f>"Q"&amp;ROUNDUP(MONTH(Transactions_RAW_cleaned[[#This Row],[TransactionDate]])/3,0)</f>
        <v>Q1</v>
      </c>
      <c r="U418" t="str">
        <f>Transactions_RAW_cleaned[[#This Row],[Region ]]&amp;Transactions_RAW_cleaned[[#This Row],[Quarter ]]</f>
        <v>APACQ1</v>
      </c>
      <c r="V418" s="5">
        <f>_xlfn.XLOOKUP(Transactions_RAW_cleaned[[#This Row],[RegionQuarterKey]], Quarterly_Targets_cleaned[RegionQuarterKey], Quarterly_Targets_cleaned[TargetRevenue])</f>
        <v>104500</v>
      </c>
    </row>
    <row r="419" spans="1:22" x14ac:dyDescent="0.25">
      <c r="A419" t="s">
        <v>751</v>
      </c>
      <c r="B419" s="1">
        <v>45298</v>
      </c>
      <c r="C419" t="s">
        <v>119</v>
      </c>
      <c r="D419" t="s">
        <v>294</v>
      </c>
      <c r="E419">
        <v>207.23</v>
      </c>
      <c r="F419" t="s">
        <v>324</v>
      </c>
      <c r="G419" t="s">
        <v>337</v>
      </c>
      <c r="I419" t="s">
        <v>57</v>
      </c>
      <c r="J419" t="s">
        <v>102</v>
      </c>
      <c r="K419" t="s">
        <v>18</v>
      </c>
      <c r="L419" t="s">
        <v>295</v>
      </c>
      <c r="M419" t="s">
        <v>296</v>
      </c>
      <c r="N419">
        <v>2.9000000000000001E-2</v>
      </c>
      <c r="O419" t="str">
        <f>IF(Transactions_RAW_cleaned[[#This Row],[Status]]="Completed", IFERROR(_xlfn.XLOOKUP(Transactions_RAW_cleaned[[#This Row],[CustomerID]], Customers_cleaned[CustomerID], Customers_cleaned[Segment]), "Customer Not Found"), "N/A")</f>
        <v>Startup</v>
      </c>
      <c r="P419" s="5" t="str">
        <f>IF(Transactions_RAW_cleaned[[#This Row],[Status]]="Refunded", "Refund",
  IF(Transactions_RAW_cleaned[[#This Row],[Category]]="Payments", IF(Transactions_RAW_cleaned[[#This Row],[Amount]]&gt;500,"High Value","Standard"),
    IF(Transactions_RAW_cleaned[[#This Row],[Amount]]&gt;250,"High Value","Standard")))</f>
        <v>Standard</v>
      </c>
      <c r="Q419" s="5" t="str">
        <f>IF(Transactions_RAW_cleaned[[#This Row],[Amount]] &gt; (_xlfn.XLOOKUP(Transactions_RAW_cleaned[[#This Row],[ServiceID]],Services_cleaned[ServiceID],Services_cleaned[TransactionFeePct]) * 10000), "Yes", "No")</f>
        <v>No</v>
      </c>
      <c r="R419" s="5" t="str">
        <f>IF(COUNTIFS($C$2:Transactions_RAW_cleaned[[#This Row],[CustomerID]],Transactions_RAW_cleaned[[#This Row],[CustomerID]],$D$2:Transactions_RAW_cleaned[[#This Row],[ServiceID]],Transactions_RAW_cleaned[[#This Row],[ServiceID]])=1,"Yes","No")</f>
        <v>Yes</v>
      </c>
      <c r="S41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19" t="str">
        <f>"Q"&amp;ROUNDUP(MONTH(Transactions_RAW_cleaned[[#This Row],[TransactionDate]])/3,0)</f>
        <v>Q1</v>
      </c>
      <c r="U419" t="str">
        <f>Transactions_RAW_cleaned[[#This Row],[Region ]]&amp;Transactions_RAW_cleaned[[#This Row],[Quarter ]]</f>
        <v>NAQ1</v>
      </c>
      <c r="V419" s="5">
        <f>_xlfn.XLOOKUP(Transactions_RAW_cleaned[[#This Row],[RegionQuarterKey]], Quarterly_Targets_cleaned[RegionQuarterKey], Quarterly_Targets_cleaned[TargetRevenue])</f>
        <v>247000</v>
      </c>
    </row>
    <row r="420" spans="1:22" x14ac:dyDescent="0.25">
      <c r="A420" t="s">
        <v>752</v>
      </c>
      <c r="B420" s="1">
        <v>45422</v>
      </c>
      <c r="C420" t="s">
        <v>105</v>
      </c>
      <c r="D420" t="s">
        <v>297</v>
      </c>
      <c r="E420">
        <v>835.92</v>
      </c>
      <c r="F420" t="s">
        <v>324</v>
      </c>
      <c r="G420" t="s">
        <v>329</v>
      </c>
      <c r="I420" t="s">
        <v>57</v>
      </c>
      <c r="J420" t="s">
        <v>102</v>
      </c>
      <c r="K420" t="s">
        <v>32</v>
      </c>
      <c r="L420" t="s">
        <v>298</v>
      </c>
      <c r="M420" t="s">
        <v>299</v>
      </c>
      <c r="N420">
        <v>0</v>
      </c>
      <c r="O420" t="str">
        <f>IF(Transactions_RAW_cleaned[[#This Row],[Status]]="Completed", IFERROR(_xlfn.XLOOKUP(Transactions_RAW_cleaned[[#This Row],[CustomerID]], Customers_cleaned[CustomerID], Customers_cleaned[Segment]), "Customer Not Found"), "N/A")</f>
        <v>Startup</v>
      </c>
      <c r="P420" s="5" t="str">
        <f>IF(Transactions_RAW_cleaned[[#This Row],[Status]]="Refunded", "Refund",
  IF(Transactions_RAW_cleaned[[#This Row],[Category]]="Payments", IF(Transactions_RAW_cleaned[[#This Row],[Amount]]&gt;500,"High Value","Standard"),
    IF(Transactions_RAW_cleaned[[#This Row],[Amount]]&gt;250,"High Value","Standard")))</f>
        <v>High Value</v>
      </c>
      <c r="Q420" s="5" t="str">
        <f>IF(Transactions_RAW_cleaned[[#This Row],[Amount]] &gt; (_xlfn.XLOOKUP(Transactions_RAW_cleaned[[#This Row],[ServiceID]],Services_cleaned[ServiceID],Services_cleaned[TransactionFeePct]) * 10000), "Yes", "No")</f>
        <v>Yes</v>
      </c>
      <c r="R420" s="5" t="str">
        <f>IF(COUNTIFS($C$2:Transactions_RAW_cleaned[[#This Row],[CustomerID]],Transactions_RAW_cleaned[[#This Row],[CustomerID]],$D$2:Transactions_RAW_cleaned[[#This Row],[ServiceID]],Transactions_RAW_cleaned[[#This Row],[ServiceID]])=1,"Yes","No")</f>
        <v>Yes</v>
      </c>
      <c r="S42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20" t="str">
        <f>"Q"&amp;ROUNDUP(MONTH(Transactions_RAW_cleaned[[#This Row],[TransactionDate]])/3,0)</f>
        <v>Q2</v>
      </c>
      <c r="U420" t="str">
        <f>Transactions_RAW_cleaned[[#This Row],[Region ]]&amp;Transactions_RAW_cleaned[[#This Row],[Quarter ]]</f>
        <v>NAQ2</v>
      </c>
      <c r="V420" s="5">
        <f>_xlfn.XLOOKUP(Transactions_RAW_cleaned[[#This Row],[RegionQuarterKey]], Quarterly_Targets_cleaned[RegionQuarterKey], Quarterly_Targets_cleaned[TargetRevenue])</f>
        <v>260000</v>
      </c>
    </row>
    <row r="421" spans="1:22" x14ac:dyDescent="0.25">
      <c r="A421" t="s">
        <v>753</v>
      </c>
      <c r="B421" s="1">
        <v>45396</v>
      </c>
      <c r="C421" t="s">
        <v>133</v>
      </c>
      <c r="D421" t="s">
        <v>297</v>
      </c>
      <c r="E421">
        <v>190.95</v>
      </c>
      <c r="F421" t="s">
        <v>324</v>
      </c>
      <c r="G421" t="s">
        <v>337</v>
      </c>
      <c r="I421" t="s">
        <v>17</v>
      </c>
      <c r="J421" t="s">
        <v>102</v>
      </c>
      <c r="K421" t="s">
        <v>22</v>
      </c>
      <c r="L421" t="s">
        <v>298</v>
      </c>
      <c r="M421" t="s">
        <v>299</v>
      </c>
      <c r="N421">
        <v>0</v>
      </c>
      <c r="O421" t="str">
        <f>IF(Transactions_RAW_cleaned[[#This Row],[Status]]="Completed", IFERROR(_xlfn.XLOOKUP(Transactions_RAW_cleaned[[#This Row],[CustomerID]], Customers_cleaned[CustomerID], Customers_cleaned[Segment]), "Customer Not Found"), "N/A")</f>
        <v>Enterprise</v>
      </c>
      <c r="P421" s="5" t="str">
        <f>IF(Transactions_RAW_cleaned[[#This Row],[Status]]="Refunded", "Refund",
  IF(Transactions_RAW_cleaned[[#This Row],[Category]]="Payments", IF(Transactions_RAW_cleaned[[#This Row],[Amount]]&gt;500,"High Value","Standard"),
    IF(Transactions_RAW_cleaned[[#This Row],[Amount]]&gt;250,"High Value","Standard")))</f>
        <v>Standard</v>
      </c>
      <c r="Q421" s="5" t="str">
        <f>IF(Transactions_RAW_cleaned[[#This Row],[Amount]] &gt; (_xlfn.XLOOKUP(Transactions_RAW_cleaned[[#This Row],[ServiceID]],Services_cleaned[ServiceID],Services_cleaned[TransactionFeePct]) * 10000), "Yes", "No")</f>
        <v>Yes</v>
      </c>
      <c r="R421" s="5" t="str">
        <f>IF(COUNTIFS($C$2:Transactions_RAW_cleaned[[#This Row],[CustomerID]],Transactions_RAW_cleaned[[#This Row],[CustomerID]],$D$2:Transactions_RAW_cleaned[[#This Row],[ServiceID]],Transactions_RAW_cleaned[[#This Row],[ServiceID]])=1,"Yes","No")</f>
        <v>No</v>
      </c>
      <c r="S42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21" t="str">
        <f>"Q"&amp;ROUNDUP(MONTH(Transactions_RAW_cleaned[[#This Row],[TransactionDate]])/3,0)</f>
        <v>Q2</v>
      </c>
      <c r="U421" t="str">
        <f>Transactions_RAW_cleaned[[#This Row],[Region ]]&amp;Transactions_RAW_cleaned[[#This Row],[Quarter ]]</f>
        <v>NAQ2</v>
      </c>
      <c r="V421" s="5">
        <f>_xlfn.XLOOKUP(Transactions_RAW_cleaned[[#This Row],[RegionQuarterKey]], Quarterly_Targets_cleaned[RegionQuarterKey], Quarterly_Targets_cleaned[TargetRevenue])</f>
        <v>260000</v>
      </c>
    </row>
    <row r="422" spans="1:22" x14ac:dyDescent="0.25">
      <c r="A422" t="s">
        <v>754</v>
      </c>
      <c r="B422" s="1">
        <v>45634</v>
      </c>
      <c r="C422" t="s">
        <v>92</v>
      </c>
      <c r="D422" t="s">
        <v>306</v>
      </c>
      <c r="E422">
        <v>265.55</v>
      </c>
      <c r="F422" t="s">
        <v>324</v>
      </c>
      <c r="G422" t="s">
        <v>329</v>
      </c>
      <c r="I422" t="s">
        <v>8</v>
      </c>
      <c r="J422" t="s">
        <v>102</v>
      </c>
      <c r="K422" t="s">
        <v>10</v>
      </c>
      <c r="L422" t="s">
        <v>307</v>
      </c>
      <c r="M422" t="s">
        <v>308</v>
      </c>
      <c r="N422">
        <v>0</v>
      </c>
      <c r="O422" t="str">
        <f>IF(Transactions_RAW_cleaned[[#This Row],[Status]]="Completed", IFERROR(_xlfn.XLOOKUP(Transactions_RAW_cleaned[[#This Row],[CustomerID]], Customers_cleaned[CustomerID], Customers_cleaned[Segment]), "Customer Not Found"), "N/A")</f>
        <v>SMB</v>
      </c>
      <c r="P422" s="5" t="str">
        <f>IF(Transactions_RAW_cleaned[[#This Row],[Status]]="Refunded", "Refund",
  IF(Transactions_RAW_cleaned[[#This Row],[Category]]="Payments", IF(Transactions_RAW_cleaned[[#This Row],[Amount]]&gt;500,"High Value","Standard"),
    IF(Transactions_RAW_cleaned[[#This Row],[Amount]]&gt;250,"High Value","Standard")))</f>
        <v>High Value</v>
      </c>
      <c r="Q422" s="5" t="str">
        <f>IF(Transactions_RAW_cleaned[[#This Row],[Amount]] &gt; (_xlfn.XLOOKUP(Transactions_RAW_cleaned[[#This Row],[ServiceID]],Services_cleaned[ServiceID],Services_cleaned[TransactionFeePct]) * 10000), "Yes", "No")</f>
        <v>Yes</v>
      </c>
      <c r="R422" s="5" t="str">
        <f>IF(COUNTIFS($C$2:Transactions_RAW_cleaned[[#This Row],[CustomerID]],Transactions_RAW_cleaned[[#This Row],[CustomerID]],$D$2:Transactions_RAW_cleaned[[#This Row],[ServiceID]],Transactions_RAW_cleaned[[#This Row],[ServiceID]])=1,"Yes","No")</f>
        <v>Yes</v>
      </c>
      <c r="S42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22" t="str">
        <f>"Q"&amp;ROUNDUP(MONTH(Transactions_RAW_cleaned[[#This Row],[TransactionDate]])/3,0)</f>
        <v>Q4</v>
      </c>
      <c r="U422" t="str">
        <f>Transactions_RAW_cleaned[[#This Row],[Region ]]&amp;Transactions_RAW_cleaned[[#This Row],[Quarter ]]</f>
        <v>NAQ4</v>
      </c>
      <c r="V422" s="5">
        <f>_xlfn.XLOOKUP(Transactions_RAW_cleaned[[#This Row],[RegionQuarterKey]], Quarterly_Targets_cleaned[RegionQuarterKey], Quarterly_Targets_cleaned[TargetRevenue])</f>
        <v>299000</v>
      </c>
    </row>
    <row r="423" spans="1:22" x14ac:dyDescent="0.25">
      <c r="A423" t="s">
        <v>755</v>
      </c>
      <c r="B423" s="1">
        <v>45630</v>
      </c>
      <c r="C423" t="s">
        <v>143</v>
      </c>
      <c r="D423" t="s">
        <v>303</v>
      </c>
      <c r="E423">
        <v>299.95</v>
      </c>
      <c r="F423" t="s">
        <v>324</v>
      </c>
      <c r="G423" t="s">
        <v>337</v>
      </c>
      <c r="H423" t="s">
        <v>346</v>
      </c>
      <c r="I423" t="s">
        <v>8</v>
      </c>
      <c r="J423" t="s">
        <v>102</v>
      </c>
      <c r="K423" t="s">
        <v>22</v>
      </c>
      <c r="L423" t="s">
        <v>304</v>
      </c>
      <c r="M423" t="s">
        <v>305</v>
      </c>
      <c r="N423">
        <v>1E-3</v>
      </c>
      <c r="O423" t="str">
        <f>IF(Transactions_RAW_cleaned[[#This Row],[Status]]="Completed", IFERROR(_xlfn.XLOOKUP(Transactions_RAW_cleaned[[#This Row],[CustomerID]], Customers_cleaned[CustomerID], Customers_cleaned[Segment]), "Customer Not Found"), "N/A")</f>
        <v>SMB</v>
      </c>
      <c r="P423" s="5" t="str">
        <f>IF(Transactions_RAW_cleaned[[#This Row],[Status]]="Refunded", "Refund",
  IF(Transactions_RAW_cleaned[[#This Row],[Category]]="Payments", IF(Transactions_RAW_cleaned[[#This Row],[Amount]]&gt;500,"High Value","Standard"),
    IF(Transactions_RAW_cleaned[[#This Row],[Amount]]&gt;250,"High Value","Standard")))</f>
        <v>High Value</v>
      </c>
      <c r="Q423" s="5" t="str">
        <f>IF(Transactions_RAW_cleaned[[#This Row],[Amount]] &gt; (_xlfn.XLOOKUP(Transactions_RAW_cleaned[[#This Row],[ServiceID]],Services_cleaned[ServiceID],Services_cleaned[TransactionFeePct]) * 10000), "Yes", "No")</f>
        <v>Yes</v>
      </c>
      <c r="R423" s="5" t="str">
        <f>IF(COUNTIFS($C$2:Transactions_RAW_cleaned[[#This Row],[CustomerID]],Transactions_RAW_cleaned[[#This Row],[CustomerID]],$D$2:Transactions_RAW_cleaned[[#This Row],[ServiceID]],Transactions_RAW_cleaned[[#This Row],[ServiceID]])=1,"Yes","No")</f>
        <v>No</v>
      </c>
      <c r="S42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23" t="str">
        <f>"Q"&amp;ROUNDUP(MONTH(Transactions_RAW_cleaned[[#This Row],[TransactionDate]])/3,0)</f>
        <v>Q4</v>
      </c>
      <c r="U423" t="str">
        <f>Transactions_RAW_cleaned[[#This Row],[Region ]]&amp;Transactions_RAW_cleaned[[#This Row],[Quarter ]]</f>
        <v>NAQ4</v>
      </c>
      <c r="V423" s="5">
        <f>_xlfn.XLOOKUP(Transactions_RAW_cleaned[[#This Row],[RegionQuarterKey]], Quarterly_Targets_cleaned[RegionQuarterKey], Quarterly_Targets_cleaned[TargetRevenue])</f>
        <v>299000</v>
      </c>
    </row>
    <row r="424" spans="1:22" x14ac:dyDescent="0.25">
      <c r="A424" t="s">
        <v>756</v>
      </c>
      <c r="B424" s="1">
        <v>45492</v>
      </c>
      <c r="C424" t="s">
        <v>35</v>
      </c>
      <c r="D424" t="s">
        <v>297</v>
      </c>
      <c r="E424">
        <v>272.01</v>
      </c>
      <c r="F424" t="s">
        <v>324</v>
      </c>
      <c r="G424" t="s">
        <v>325</v>
      </c>
      <c r="I424" t="s">
        <v>8</v>
      </c>
      <c r="J424" t="s">
        <v>37</v>
      </c>
      <c r="K424" t="s">
        <v>28</v>
      </c>
      <c r="L424" t="s">
        <v>298</v>
      </c>
      <c r="M424" t="s">
        <v>299</v>
      </c>
      <c r="N424">
        <v>0</v>
      </c>
      <c r="O424" t="str">
        <f>IF(Transactions_RAW_cleaned[[#This Row],[Status]]="Completed", IFERROR(_xlfn.XLOOKUP(Transactions_RAW_cleaned[[#This Row],[CustomerID]], Customers_cleaned[CustomerID], Customers_cleaned[Segment]), "Customer Not Found"), "N/A")</f>
        <v>SMB</v>
      </c>
      <c r="P424" s="5" t="str">
        <f>IF(Transactions_RAW_cleaned[[#This Row],[Status]]="Refunded", "Refund",
  IF(Transactions_RAW_cleaned[[#This Row],[Category]]="Payments", IF(Transactions_RAW_cleaned[[#This Row],[Amount]]&gt;500,"High Value","Standard"),
    IF(Transactions_RAW_cleaned[[#This Row],[Amount]]&gt;250,"High Value","Standard")))</f>
        <v>High Value</v>
      </c>
      <c r="Q424" s="5" t="str">
        <f>IF(Transactions_RAW_cleaned[[#This Row],[Amount]] &gt; (_xlfn.XLOOKUP(Transactions_RAW_cleaned[[#This Row],[ServiceID]],Services_cleaned[ServiceID],Services_cleaned[TransactionFeePct]) * 10000), "Yes", "No")</f>
        <v>Yes</v>
      </c>
      <c r="R424" s="5" t="str">
        <f>IF(COUNTIFS($C$2:Transactions_RAW_cleaned[[#This Row],[CustomerID]],Transactions_RAW_cleaned[[#This Row],[CustomerID]],$D$2:Transactions_RAW_cleaned[[#This Row],[ServiceID]],Transactions_RAW_cleaned[[#This Row],[ServiceID]])=1,"Yes","No")</f>
        <v>Yes</v>
      </c>
      <c r="S42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424" t="str">
        <f>"Q"&amp;ROUNDUP(MONTH(Transactions_RAW_cleaned[[#This Row],[TransactionDate]])/3,0)</f>
        <v>Q3</v>
      </c>
      <c r="U424" t="str">
        <f>Transactions_RAW_cleaned[[#This Row],[Region ]]&amp;Transactions_RAW_cleaned[[#This Row],[Quarter ]]</f>
        <v>EMEAQ3</v>
      </c>
      <c r="V424" s="5">
        <f>_xlfn.XLOOKUP(Transactions_RAW_cleaned[[#This Row],[RegionQuarterKey]], Quarterly_Targets_cleaned[RegionQuarterKey], Quarterly_Targets_cleaned[TargetRevenue])</f>
        <v>147000</v>
      </c>
    </row>
    <row r="425" spans="1:22" x14ac:dyDescent="0.25">
      <c r="A425" t="s">
        <v>757</v>
      </c>
      <c r="B425" s="1">
        <v>45539</v>
      </c>
      <c r="C425" t="s">
        <v>209</v>
      </c>
      <c r="D425" t="s">
        <v>300</v>
      </c>
      <c r="E425">
        <v>395.66</v>
      </c>
      <c r="F425" t="s">
        <v>324</v>
      </c>
      <c r="G425" t="s">
        <v>325</v>
      </c>
      <c r="H425" t="s">
        <v>346</v>
      </c>
      <c r="I425" t="s">
        <v>17</v>
      </c>
      <c r="J425" t="s">
        <v>102</v>
      </c>
      <c r="K425" t="s">
        <v>22</v>
      </c>
      <c r="L425" t="s">
        <v>301</v>
      </c>
      <c r="M425" t="s">
        <v>302</v>
      </c>
      <c r="N425">
        <v>5.0000000000000001E-3</v>
      </c>
      <c r="O425" t="str">
        <f>IF(Transactions_RAW_cleaned[[#This Row],[Status]]="Completed", IFERROR(_xlfn.XLOOKUP(Transactions_RAW_cleaned[[#This Row],[CustomerID]], Customers_cleaned[CustomerID], Customers_cleaned[Segment]), "Customer Not Found"), "N/A")</f>
        <v>Enterprise</v>
      </c>
      <c r="P425" s="5" t="str">
        <f>IF(Transactions_RAW_cleaned[[#This Row],[Status]]="Refunded", "Refund",
  IF(Transactions_RAW_cleaned[[#This Row],[Category]]="Payments", IF(Transactions_RAW_cleaned[[#This Row],[Amount]]&gt;500,"High Value","Standard"),
    IF(Transactions_RAW_cleaned[[#This Row],[Amount]]&gt;250,"High Value","Standard")))</f>
        <v>High Value</v>
      </c>
      <c r="Q425" s="5" t="str">
        <f>IF(Transactions_RAW_cleaned[[#This Row],[Amount]] &gt; (_xlfn.XLOOKUP(Transactions_RAW_cleaned[[#This Row],[ServiceID]],Services_cleaned[ServiceID],Services_cleaned[TransactionFeePct]) * 10000), "Yes", "No")</f>
        <v>Yes</v>
      </c>
      <c r="R425" s="5" t="str">
        <f>IF(COUNTIFS($C$2:Transactions_RAW_cleaned[[#This Row],[CustomerID]],Transactions_RAW_cleaned[[#This Row],[CustomerID]],$D$2:Transactions_RAW_cleaned[[#This Row],[ServiceID]],Transactions_RAW_cleaned[[#This Row],[ServiceID]])=1,"Yes","No")</f>
        <v>No</v>
      </c>
      <c r="S42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25" t="str">
        <f>"Q"&amp;ROUNDUP(MONTH(Transactions_RAW_cleaned[[#This Row],[TransactionDate]])/3,0)</f>
        <v>Q3</v>
      </c>
      <c r="U425" t="str">
        <f>Transactions_RAW_cleaned[[#This Row],[Region ]]&amp;Transactions_RAW_cleaned[[#This Row],[Quarter ]]</f>
        <v>NAQ3</v>
      </c>
      <c r="V425" s="5">
        <f>_xlfn.XLOOKUP(Transactions_RAW_cleaned[[#This Row],[RegionQuarterKey]], Quarterly_Targets_cleaned[RegionQuarterKey], Quarterly_Targets_cleaned[TargetRevenue])</f>
        <v>273000</v>
      </c>
    </row>
    <row r="426" spans="1:22" x14ac:dyDescent="0.25">
      <c r="A426" t="s">
        <v>758</v>
      </c>
      <c r="B426" s="1">
        <v>45629</v>
      </c>
      <c r="C426" t="s">
        <v>396</v>
      </c>
      <c r="D426" t="s">
        <v>294</v>
      </c>
      <c r="E426">
        <v>509.96</v>
      </c>
      <c r="F426" t="s">
        <v>324</v>
      </c>
      <c r="G426" t="s">
        <v>327</v>
      </c>
      <c r="H426" t="s">
        <v>346</v>
      </c>
      <c r="I426" t="s">
        <v>57</v>
      </c>
      <c r="J426" t="s">
        <v>21</v>
      </c>
      <c r="K426" t="s">
        <v>2964</v>
      </c>
      <c r="L426" t="s">
        <v>295</v>
      </c>
      <c r="M426" t="s">
        <v>296</v>
      </c>
      <c r="N426">
        <v>2.9000000000000001E-2</v>
      </c>
      <c r="O426" t="str">
        <f>IF(Transactions_RAW_cleaned[[#This Row],[Status]]="Completed", IFERROR(_xlfn.XLOOKUP(Transactions_RAW_cleaned[[#This Row],[CustomerID]], Customers_cleaned[CustomerID], Customers_cleaned[Segment]), "Customer Not Found"), "N/A")</f>
        <v>Startup</v>
      </c>
      <c r="P426" s="5" t="str">
        <f>IF(Transactions_RAW_cleaned[[#This Row],[Status]]="Refunded", "Refund",
  IF(Transactions_RAW_cleaned[[#This Row],[Category]]="Payments", IF(Transactions_RAW_cleaned[[#This Row],[Amount]]&gt;500,"High Value","Standard"),
    IF(Transactions_RAW_cleaned[[#This Row],[Amount]]&gt;250,"High Value","Standard")))</f>
        <v>High Value</v>
      </c>
      <c r="Q426" s="5" t="str">
        <f>IF(Transactions_RAW_cleaned[[#This Row],[Amount]] &gt; (_xlfn.XLOOKUP(Transactions_RAW_cleaned[[#This Row],[ServiceID]],Services_cleaned[ServiceID],Services_cleaned[TransactionFeePct]) * 10000), "Yes", "No")</f>
        <v>Yes</v>
      </c>
      <c r="R426" s="5" t="str">
        <f>IF(COUNTIFS($C$2:Transactions_RAW_cleaned[[#This Row],[CustomerID]],Transactions_RAW_cleaned[[#This Row],[CustomerID]],$D$2:Transactions_RAW_cleaned[[#This Row],[ServiceID]],Transactions_RAW_cleaned[[#This Row],[ServiceID]])=1,"Yes","No")</f>
        <v>Yes</v>
      </c>
      <c r="S42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426" t="str">
        <f>"Q"&amp;ROUNDUP(MONTH(Transactions_RAW_cleaned[[#This Row],[TransactionDate]])/3,0)</f>
        <v>Q4</v>
      </c>
      <c r="U426" t="str">
        <f>Transactions_RAW_cleaned[[#This Row],[Region ]]&amp;Transactions_RAW_cleaned[[#This Row],[Quarter ]]</f>
        <v>APACQ4</v>
      </c>
      <c r="V426" s="5">
        <f>_xlfn.XLOOKUP(Transactions_RAW_cleaned[[#This Row],[RegionQuarterKey]], Quarterly_Targets_cleaned[RegionQuarterKey], Quarterly_Targets_cleaned[TargetRevenue])</f>
        <v>126500</v>
      </c>
    </row>
    <row r="427" spans="1:22" x14ac:dyDescent="0.25">
      <c r="A427" t="s">
        <v>759</v>
      </c>
      <c r="B427" s="1">
        <v>45314</v>
      </c>
      <c r="C427" t="s">
        <v>105</v>
      </c>
      <c r="D427" t="s">
        <v>306</v>
      </c>
      <c r="E427">
        <v>701.82</v>
      </c>
      <c r="F427" t="s">
        <v>324</v>
      </c>
      <c r="G427" t="s">
        <v>327</v>
      </c>
      <c r="H427" t="s">
        <v>332</v>
      </c>
      <c r="I427" t="s">
        <v>57</v>
      </c>
      <c r="J427" t="s">
        <v>102</v>
      </c>
      <c r="K427" t="s">
        <v>32</v>
      </c>
      <c r="L427" t="s">
        <v>307</v>
      </c>
      <c r="M427" t="s">
        <v>308</v>
      </c>
      <c r="N427">
        <v>0</v>
      </c>
      <c r="O427" t="str">
        <f>IF(Transactions_RAW_cleaned[[#This Row],[Status]]="Completed", IFERROR(_xlfn.XLOOKUP(Transactions_RAW_cleaned[[#This Row],[CustomerID]], Customers_cleaned[CustomerID], Customers_cleaned[Segment]), "Customer Not Found"), "N/A")</f>
        <v>Startup</v>
      </c>
      <c r="P427" s="5" t="str">
        <f>IF(Transactions_RAW_cleaned[[#This Row],[Status]]="Refunded", "Refund",
  IF(Transactions_RAW_cleaned[[#This Row],[Category]]="Payments", IF(Transactions_RAW_cleaned[[#This Row],[Amount]]&gt;500,"High Value","Standard"),
    IF(Transactions_RAW_cleaned[[#This Row],[Amount]]&gt;250,"High Value","Standard")))</f>
        <v>High Value</v>
      </c>
      <c r="Q427" s="5" t="str">
        <f>IF(Transactions_RAW_cleaned[[#This Row],[Amount]] &gt; (_xlfn.XLOOKUP(Transactions_RAW_cleaned[[#This Row],[ServiceID]],Services_cleaned[ServiceID],Services_cleaned[TransactionFeePct]) * 10000), "Yes", "No")</f>
        <v>Yes</v>
      </c>
      <c r="R427" s="5" t="str">
        <f>IF(COUNTIFS($C$2:Transactions_RAW_cleaned[[#This Row],[CustomerID]],Transactions_RAW_cleaned[[#This Row],[CustomerID]],$D$2:Transactions_RAW_cleaned[[#This Row],[ServiceID]],Transactions_RAW_cleaned[[#This Row],[ServiceID]])=1,"Yes","No")</f>
        <v>Yes</v>
      </c>
      <c r="S42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27" t="str">
        <f>"Q"&amp;ROUNDUP(MONTH(Transactions_RAW_cleaned[[#This Row],[TransactionDate]])/3,0)</f>
        <v>Q1</v>
      </c>
      <c r="U427" t="str">
        <f>Transactions_RAW_cleaned[[#This Row],[Region ]]&amp;Transactions_RAW_cleaned[[#This Row],[Quarter ]]</f>
        <v>NAQ1</v>
      </c>
      <c r="V427" s="5">
        <f>_xlfn.XLOOKUP(Transactions_RAW_cleaned[[#This Row],[RegionQuarterKey]], Quarterly_Targets_cleaned[RegionQuarterKey], Quarterly_Targets_cleaned[TargetRevenue])</f>
        <v>247000</v>
      </c>
    </row>
    <row r="428" spans="1:22" x14ac:dyDescent="0.25">
      <c r="A428" t="s">
        <v>760</v>
      </c>
      <c r="B428" s="1">
        <v>45400</v>
      </c>
      <c r="C428" t="s">
        <v>100</v>
      </c>
      <c r="D428" t="s">
        <v>294</v>
      </c>
      <c r="E428">
        <v>393.41</v>
      </c>
      <c r="F428" t="s">
        <v>324</v>
      </c>
      <c r="G428" t="s">
        <v>327</v>
      </c>
      <c r="I428" t="s">
        <v>8</v>
      </c>
      <c r="J428" t="s">
        <v>102</v>
      </c>
      <c r="K428" t="s">
        <v>22</v>
      </c>
      <c r="L428" t="s">
        <v>295</v>
      </c>
      <c r="M428" t="s">
        <v>296</v>
      </c>
      <c r="N428">
        <v>2.9000000000000001E-2</v>
      </c>
      <c r="O428" t="str">
        <f>IF(Transactions_RAW_cleaned[[#This Row],[Status]]="Completed", IFERROR(_xlfn.XLOOKUP(Transactions_RAW_cleaned[[#This Row],[CustomerID]], Customers_cleaned[CustomerID], Customers_cleaned[Segment]), "Customer Not Found"), "N/A")</f>
        <v>SMB</v>
      </c>
      <c r="P428" s="5" t="str">
        <f>IF(Transactions_RAW_cleaned[[#This Row],[Status]]="Refunded", "Refund",
  IF(Transactions_RAW_cleaned[[#This Row],[Category]]="Payments", IF(Transactions_RAW_cleaned[[#This Row],[Amount]]&gt;500,"High Value","Standard"),
    IF(Transactions_RAW_cleaned[[#This Row],[Amount]]&gt;250,"High Value","Standard")))</f>
        <v>Standard</v>
      </c>
      <c r="Q428" s="5" t="str">
        <f>IF(Transactions_RAW_cleaned[[#This Row],[Amount]] &gt; (_xlfn.XLOOKUP(Transactions_RAW_cleaned[[#This Row],[ServiceID]],Services_cleaned[ServiceID],Services_cleaned[TransactionFeePct]) * 10000), "Yes", "No")</f>
        <v>Yes</v>
      </c>
      <c r="R428" s="5" t="str">
        <f>IF(COUNTIFS($C$2:Transactions_RAW_cleaned[[#This Row],[CustomerID]],Transactions_RAW_cleaned[[#This Row],[CustomerID]],$D$2:Transactions_RAW_cleaned[[#This Row],[ServiceID]],Transactions_RAW_cleaned[[#This Row],[ServiceID]])=1,"Yes","No")</f>
        <v>No</v>
      </c>
      <c r="S42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28" t="str">
        <f>"Q"&amp;ROUNDUP(MONTH(Transactions_RAW_cleaned[[#This Row],[TransactionDate]])/3,0)</f>
        <v>Q2</v>
      </c>
      <c r="U428" t="str">
        <f>Transactions_RAW_cleaned[[#This Row],[Region ]]&amp;Transactions_RAW_cleaned[[#This Row],[Quarter ]]</f>
        <v>NAQ2</v>
      </c>
      <c r="V428" s="5">
        <f>_xlfn.XLOOKUP(Transactions_RAW_cleaned[[#This Row],[RegionQuarterKey]], Quarterly_Targets_cleaned[RegionQuarterKey], Quarterly_Targets_cleaned[TargetRevenue])</f>
        <v>260000</v>
      </c>
    </row>
    <row r="429" spans="1:22" x14ac:dyDescent="0.25">
      <c r="A429" t="s">
        <v>761</v>
      </c>
      <c r="B429" s="1">
        <v>45613</v>
      </c>
      <c r="C429" t="s">
        <v>159</v>
      </c>
      <c r="D429" t="s">
        <v>306</v>
      </c>
      <c r="E429">
        <v>388.14</v>
      </c>
      <c r="F429" t="s">
        <v>324</v>
      </c>
      <c r="G429" t="s">
        <v>329</v>
      </c>
      <c r="I429" t="s">
        <v>57</v>
      </c>
      <c r="J429" t="s">
        <v>25</v>
      </c>
      <c r="K429" t="s">
        <v>22</v>
      </c>
      <c r="L429" t="s">
        <v>307</v>
      </c>
      <c r="M429" t="s">
        <v>308</v>
      </c>
      <c r="N429">
        <v>0</v>
      </c>
      <c r="O429" t="str">
        <f>IF(Transactions_RAW_cleaned[[#This Row],[Status]]="Completed", IFERROR(_xlfn.XLOOKUP(Transactions_RAW_cleaned[[#This Row],[CustomerID]], Customers_cleaned[CustomerID], Customers_cleaned[Segment]), "Customer Not Found"), "N/A")</f>
        <v>Startup</v>
      </c>
      <c r="P429" s="5" t="str">
        <f>IF(Transactions_RAW_cleaned[[#This Row],[Status]]="Refunded", "Refund",
  IF(Transactions_RAW_cleaned[[#This Row],[Category]]="Payments", IF(Transactions_RAW_cleaned[[#This Row],[Amount]]&gt;500,"High Value","Standard"),
    IF(Transactions_RAW_cleaned[[#This Row],[Amount]]&gt;250,"High Value","Standard")))</f>
        <v>High Value</v>
      </c>
      <c r="Q429" s="5" t="str">
        <f>IF(Transactions_RAW_cleaned[[#This Row],[Amount]] &gt; (_xlfn.XLOOKUP(Transactions_RAW_cleaned[[#This Row],[ServiceID]],Services_cleaned[ServiceID],Services_cleaned[TransactionFeePct]) * 10000), "Yes", "No")</f>
        <v>Yes</v>
      </c>
      <c r="R429" s="5" t="str">
        <f>IF(COUNTIFS($C$2:Transactions_RAW_cleaned[[#This Row],[CustomerID]],Transactions_RAW_cleaned[[#This Row],[CustomerID]],$D$2:Transactions_RAW_cleaned[[#This Row],[ServiceID]],Transactions_RAW_cleaned[[#This Row],[ServiceID]])=1,"Yes","No")</f>
        <v>Yes</v>
      </c>
      <c r="S42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429" t="str">
        <f>"Q"&amp;ROUNDUP(MONTH(Transactions_RAW_cleaned[[#This Row],[TransactionDate]])/3,0)</f>
        <v>Q4</v>
      </c>
      <c r="U429" t="str">
        <f>Transactions_RAW_cleaned[[#This Row],[Region ]]&amp;Transactions_RAW_cleaned[[#This Row],[Quarter ]]</f>
        <v>APACQ4</v>
      </c>
      <c r="V429" s="5">
        <f>_xlfn.XLOOKUP(Transactions_RAW_cleaned[[#This Row],[RegionQuarterKey]], Quarterly_Targets_cleaned[RegionQuarterKey], Quarterly_Targets_cleaned[TargetRevenue])</f>
        <v>126500</v>
      </c>
    </row>
    <row r="430" spans="1:22" x14ac:dyDescent="0.25">
      <c r="A430" t="s">
        <v>762</v>
      </c>
      <c r="B430" s="1">
        <v>45544</v>
      </c>
      <c r="C430" t="s">
        <v>11</v>
      </c>
      <c r="D430" t="s">
        <v>303</v>
      </c>
      <c r="E430">
        <v>882.79</v>
      </c>
      <c r="F430" t="s">
        <v>324</v>
      </c>
      <c r="G430" t="s">
        <v>327</v>
      </c>
      <c r="H430" t="s">
        <v>346</v>
      </c>
      <c r="I430" t="s">
        <v>8</v>
      </c>
      <c r="J430" t="s">
        <v>13</v>
      </c>
      <c r="K430" t="s">
        <v>14</v>
      </c>
      <c r="L430" t="s">
        <v>304</v>
      </c>
      <c r="M430" t="s">
        <v>305</v>
      </c>
      <c r="N430">
        <v>1E-3</v>
      </c>
      <c r="O430" t="str">
        <f>IF(Transactions_RAW_cleaned[[#This Row],[Status]]="Completed", IFERROR(_xlfn.XLOOKUP(Transactions_RAW_cleaned[[#This Row],[CustomerID]], Customers_cleaned[CustomerID], Customers_cleaned[Segment]), "Customer Not Found"), "N/A")</f>
        <v>SMB</v>
      </c>
      <c r="P430" s="5" t="str">
        <f>IF(Transactions_RAW_cleaned[[#This Row],[Status]]="Refunded", "Refund",
  IF(Transactions_RAW_cleaned[[#This Row],[Category]]="Payments", IF(Transactions_RAW_cleaned[[#This Row],[Amount]]&gt;500,"High Value","Standard"),
    IF(Transactions_RAW_cleaned[[#This Row],[Amount]]&gt;250,"High Value","Standard")))</f>
        <v>High Value</v>
      </c>
      <c r="Q430" s="5" t="str">
        <f>IF(Transactions_RAW_cleaned[[#This Row],[Amount]] &gt; (_xlfn.XLOOKUP(Transactions_RAW_cleaned[[#This Row],[ServiceID]],Services_cleaned[ServiceID],Services_cleaned[TransactionFeePct]) * 10000), "Yes", "No")</f>
        <v>Yes</v>
      </c>
      <c r="R430" s="5" t="str">
        <f>IF(COUNTIFS($C$2:Transactions_RAW_cleaned[[#This Row],[CustomerID]],Transactions_RAW_cleaned[[#This Row],[CustomerID]],$D$2:Transactions_RAW_cleaned[[#This Row],[ServiceID]],Transactions_RAW_cleaned[[#This Row],[ServiceID]])=1,"Yes","No")</f>
        <v>Yes</v>
      </c>
      <c r="S43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30" t="str">
        <f>"Q"&amp;ROUNDUP(MONTH(Transactions_RAW_cleaned[[#This Row],[TransactionDate]])/3,0)</f>
        <v>Q3</v>
      </c>
      <c r="U430" t="str">
        <f>Transactions_RAW_cleaned[[#This Row],[Region ]]&amp;Transactions_RAW_cleaned[[#This Row],[Quarter ]]</f>
        <v>NAQ3</v>
      </c>
      <c r="V430" s="5">
        <f>_xlfn.XLOOKUP(Transactions_RAW_cleaned[[#This Row],[RegionQuarterKey]], Quarterly_Targets_cleaned[RegionQuarterKey], Quarterly_Targets_cleaned[TargetRevenue])</f>
        <v>273000</v>
      </c>
    </row>
    <row r="431" spans="1:22" x14ac:dyDescent="0.25">
      <c r="A431" t="s">
        <v>763</v>
      </c>
      <c r="B431" s="1">
        <v>45597</v>
      </c>
      <c r="C431" t="s">
        <v>209</v>
      </c>
      <c r="D431" t="s">
        <v>294</v>
      </c>
      <c r="E431">
        <v>433.13</v>
      </c>
      <c r="F431" t="s">
        <v>324</v>
      </c>
      <c r="G431" t="s">
        <v>337</v>
      </c>
      <c r="I431" t="s">
        <v>17</v>
      </c>
      <c r="J431" t="s">
        <v>102</v>
      </c>
      <c r="K431" t="s">
        <v>22</v>
      </c>
      <c r="L431" t="s">
        <v>295</v>
      </c>
      <c r="M431" t="s">
        <v>296</v>
      </c>
      <c r="N431">
        <v>2.9000000000000001E-2</v>
      </c>
      <c r="O431" t="str">
        <f>IF(Transactions_RAW_cleaned[[#This Row],[Status]]="Completed", IFERROR(_xlfn.XLOOKUP(Transactions_RAW_cleaned[[#This Row],[CustomerID]], Customers_cleaned[CustomerID], Customers_cleaned[Segment]), "Customer Not Found"), "N/A")</f>
        <v>Enterprise</v>
      </c>
      <c r="P431" s="5" t="str">
        <f>IF(Transactions_RAW_cleaned[[#This Row],[Status]]="Refunded", "Refund",
  IF(Transactions_RAW_cleaned[[#This Row],[Category]]="Payments", IF(Transactions_RAW_cleaned[[#This Row],[Amount]]&gt;500,"High Value","Standard"),
    IF(Transactions_RAW_cleaned[[#This Row],[Amount]]&gt;250,"High Value","Standard")))</f>
        <v>Standard</v>
      </c>
      <c r="Q431" s="5" t="str">
        <f>IF(Transactions_RAW_cleaned[[#This Row],[Amount]] &gt; (_xlfn.XLOOKUP(Transactions_RAW_cleaned[[#This Row],[ServiceID]],Services_cleaned[ServiceID],Services_cleaned[TransactionFeePct]) * 10000), "Yes", "No")</f>
        <v>Yes</v>
      </c>
      <c r="R431" s="5" t="str">
        <f>IF(COUNTIFS($C$2:Transactions_RAW_cleaned[[#This Row],[CustomerID]],Transactions_RAW_cleaned[[#This Row],[CustomerID]],$D$2:Transactions_RAW_cleaned[[#This Row],[ServiceID]],Transactions_RAW_cleaned[[#This Row],[ServiceID]])=1,"Yes","No")</f>
        <v>Yes</v>
      </c>
      <c r="S43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31" t="str">
        <f>"Q"&amp;ROUNDUP(MONTH(Transactions_RAW_cleaned[[#This Row],[TransactionDate]])/3,0)</f>
        <v>Q4</v>
      </c>
      <c r="U431" t="str">
        <f>Transactions_RAW_cleaned[[#This Row],[Region ]]&amp;Transactions_RAW_cleaned[[#This Row],[Quarter ]]</f>
        <v>NAQ4</v>
      </c>
      <c r="V431" s="5">
        <f>_xlfn.XLOOKUP(Transactions_RAW_cleaned[[#This Row],[RegionQuarterKey]], Quarterly_Targets_cleaned[RegionQuarterKey], Quarterly_Targets_cleaned[TargetRevenue])</f>
        <v>299000</v>
      </c>
    </row>
    <row r="432" spans="1:22" x14ac:dyDescent="0.25">
      <c r="A432" t="s">
        <v>764</v>
      </c>
      <c r="B432" s="1">
        <v>45579</v>
      </c>
      <c r="C432" t="s">
        <v>119</v>
      </c>
      <c r="D432" t="s">
        <v>309</v>
      </c>
      <c r="E432">
        <v>209.32</v>
      </c>
      <c r="F432" t="s">
        <v>324</v>
      </c>
      <c r="G432" t="s">
        <v>329</v>
      </c>
      <c r="H432" t="s">
        <v>346</v>
      </c>
      <c r="I432" t="s">
        <v>57</v>
      </c>
      <c r="J432" t="s">
        <v>102</v>
      </c>
      <c r="K432" t="s">
        <v>18</v>
      </c>
      <c r="L432" t="s">
        <v>310</v>
      </c>
      <c r="M432" t="s">
        <v>311</v>
      </c>
      <c r="N432">
        <v>0</v>
      </c>
      <c r="O432" t="str">
        <f>IF(Transactions_RAW_cleaned[[#This Row],[Status]]="Completed", IFERROR(_xlfn.XLOOKUP(Transactions_RAW_cleaned[[#This Row],[CustomerID]], Customers_cleaned[CustomerID], Customers_cleaned[Segment]), "Customer Not Found"), "N/A")</f>
        <v>Startup</v>
      </c>
      <c r="P432" s="5" t="str">
        <f>IF(Transactions_RAW_cleaned[[#This Row],[Status]]="Refunded", "Refund",
  IF(Transactions_RAW_cleaned[[#This Row],[Category]]="Payments", IF(Transactions_RAW_cleaned[[#This Row],[Amount]]&gt;500,"High Value","Standard"),
    IF(Transactions_RAW_cleaned[[#This Row],[Amount]]&gt;250,"High Value","Standard")))</f>
        <v>Standard</v>
      </c>
      <c r="Q432" s="5" t="str">
        <f>IF(Transactions_RAW_cleaned[[#This Row],[Amount]] &gt; (_xlfn.XLOOKUP(Transactions_RAW_cleaned[[#This Row],[ServiceID]],Services_cleaned[ServiceID],Services_cleaned[TransactionFeePct]) * 10000), "Yes", "No")</f>
        <v>Yes</v>
      </c>
      <c r="R432" s="5" t="str">
        <f>IF(COUNTIFS($C$2:Transactions_RAW_cleaned[[#This Row],[CustomerID]],Transactions_RAW_cleaned[[#This Row],[CustomerID]],$D$2:Transactions_RAW_cleaned[[#This Row],[ServiceID]],Transactions_RAW_cleaned[[#This Row],[ServiceID]])=1,"Yes","No")</f>
        <v>No</v>
      </c>
      <c r="S43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32" t="str">
        <f>"Q"&amp;ROUNDUP(MONTH(Transactions_RAW_cleaned[[#This Row],[TransactionDate]])/3,0)</f>
        <v>Q4</v>
      </c>
      <c r="U432" t="str">
        <f>Transactions_RAW_cleaned[[#This Row],[Region ]]&amp;Transactions_RAW_cleaned[[#This Row],[Quarter ]]</f>
        <v>NAQ4</v>
      </c>
      <c r="V432" s="5">
        <f>_xlfn.XLOOKUP(Transactions_RAW_cleaned[[#This Row],[RegionQuarterKey]], Quarterly_Targets_cleaned[RegionQuarterKey], Quarterly_Targets_cleaned[TargetRevenue])</f>
        <v>299000</v>
      </c>
    </row>
    <row r="433" spans="1:22" x14ac:dyDescent="0.25">
      <c r="A433" t="s">
        <v>765</v>
      </c>
      <c r="B433" s="1">
        <v>45298</v>
      </c>
      <c r="C433" t="s">
        <v>131</v>
      </c>
      <c r="D433" t="s">
        <v>294</v>
      </c>
      <c r="E433">
        <v>369.42</v>
      </c>
      <c r="F433" t="s">
        <v>324</v>
      </c>
      <c r="G433" t="s">
        <v>329</v>
      </c>
      <c r="I433" t="s">
        <v>17</v>
      </c>
      <c r="J433" t="s">
        <v>102</v>
      </c>
      <c r="K433" t="s">
        <v>22</v>
      </c>
      <c r="L433" t="s">
        <v>295</v>
      </c>
      <c r="M433" t="s">
        <v>296</v>
      </c>
      <c r="N433">
        <v>2.9000000000000001E-2</v>
      </c>
      <c r="O433" t="str">
        <f>IF(Transactions_RAW_cleaned[[#This Row],[Status]]="Completed", IFERROR(_xlfn.XLOOKUP(Transactions_RAW_cleaned[[#This Row],[CustomerID]], Customers_cleaned[CustomerID], Customers_cleaned[Segment]), "Customer Not Found"), "N/A")</f>
        <v>Enterprise</v>
      </c>
      <c r="P433" s="5" t="str">
        <f>IF(Transactions_RAW_cleaned[[#This Row],[Status]]="Refunded", "Refund",
  IF(Transactions_RAW_cleaned[[#This Row],[Category]]="Payments", IF(Transactions_RAW_cleaned[[#This Row],[Amount]]&gt;500,"High Value","Standard"),
    IF(Transactions_RAW_cleaned[[#This Row],[Amount]]&gt;250,"High Value","Standard")))</f>
        <v>Standard</v>
      </c>
      <c r="Q433" s="5" t="str">
        <f>IF(Transactions_RAW_cleaned[[#This Row],[Amount]] &gt; (_xlfn.XLOOKUP(Transactions_RAW_cleaned[[#This Row],[ServiceID]],Services_cleaned[ServiceID],Services_cleaned[TransactionFeePct]) * 10000), "Yes", "No")</f>
        <v>Yes</v>
      </c>
      <c r="R433" s="5" t="str">
        <f>IF(COUNTIFS($C$2:Transactions_RAW_cleaned[[#This Row],[CustomerID]],Transactions_RAW_cleaned[[#This Row],[CustomerID]],$D$2:Transactions_RAW_cleaned[[#This Row],[ServiceID]],Transactions_RAW_cleaned[[#This Row],[ServiceID]])=1,"Yes","No")</f>
        <v>No</v>
      </c>
      <c r="S43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33" t="str">
        <f>"Q"&amp;ROUNDUP(MONTH(Transactions_RAW_cleaned[[#This Row],[TransactionDate]])/3,0)</f>
        <v>Q1</v>
      </c>
      <c r="U433" t="str">
        <f>Transactions_RAW_cleaned[[#This Row],[Region ]]&amp;Transactions_RAW_cleaned[[#This Row],[Quarter ]]</f>
        <v>NAQ1</v>
      </c>
      <c r="V433" s="5">
        <f>_xlfn.XLOOKUP(Transactions_RAW_cleaned[[#This Row],[RegionQuarterKey]], Quarterly_Targets_cleaned[RegionQuarterKey], Quarterly_Targets_cleaned[TargetRevenue])</f>
        <v>247000</v>
      </c>
    </row>
    <row r="434" spans="1:22" x14ac:dyDescent="0.25">
      <c r="A434" t="s">
        <v>766</v>
      </c>
      <c r="B434" s="1">
        <v>45600</v>
      </c>
      <c r="C434" t="s">
        <v>94</v>
      </c>
      <c r="D434" t="s">
        <v>294</v>
      </c>
      <c r="E434">
        <v>338.49</v>
      </c>
      <c r="F434" t="s">
        <v>324</v>
      </c>
      <c r="G434" t="s">
        <v>325</v>
      </c>
      <c r="I434" t="s">
        <v>8</v>
      </c>
      <c r="J434" t="s">
        <v>21</v>
      </c>
      <c r="K434" t="s">
        <v>14</v>
      </c>
      <c r="L434" t="s">
        <v>295</v>
      </c>
      <c r="M434" t="s">
        <v>296</v>
      </c>
      <c r="N434">
        <v>2.9000000000000001E-2</v>
      </c>
      <c r="O434" t="str">
        <f>IF(Transactions_RAW_cleaned[[#This Row],[Status]]="Completed", IFERROR(_xlfn.XLOOKUP(Transactions_RAW_cleaned[[#This Row],[CustomerID]], Customers_cleaned[CustomerID], Customers_cleaned[Segment]), "Customer Not Found"), "N/A")</f>
        <v>SMB</v>
      </c>
      <c r="P434" s="5" t="str">
        <f>IF(Transactions_RAW_cleaned[[#This Row],[Status]]="Refunded", "Refund",
  IF(Transactions_RAW_cleaned[[#This Row],[Category]]="Payments", IF(Transactions_RAW_cleaned[[#This Row],[Amount]]&gt;500,"High Value","Standard"),
    IF(Transactions_RAW_cleaned[[#This Row],[Amount]]&gt;250,"High Value","Standard")))</f>
        <v>Standard</v>
      </c>
      <c r="Q434" s="5" t="str">
        <f>IF(Transactions_RAW_cleaned[[#This Row],[Amount]] &gt; (_xlfn.XLOOKUP(Transactions_RAW_cleaned[[#This Row],[ServiceID]],Services_cleaned[ServiceID],Services_cleaned[TransactionFeePct]) * 10000), "Yes", "No")</f>
        <v>Yes</v>
      </c>
      <c r="R434" s="5" t="str">
        <f>IF(COUNTIFS($C$2:Transactions_RAW_cleaned[[#This Row],[CustomerID]],Transactions_RAW_cleaned[[#This Row],[CustomerID]],$D$2:Transactions_RAW_cleaned[[#This Row],[ServiceID]],Transactions_RAW_cleaned[[#This Row],[ServiceID]])=1,"Yes","No")</f>
        <v>Yes</v>
      </c>
      <c r="S43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434" t="str">
        <f>"Q"&amp;ROUNDUP(MONTH(Transactions_RAW_cleaned[[#This Row],[TransactionDate]])/3,0)</f>
        <v>Q4</v>
      </c>
      <c r="U434" t="str">
        <f>Transactions_RAW_cleaned[[#This Row],[Region ]]&amp;Transactions_RAW_cleaned[[#This Row],[Quarter ]]</f>
        <v>APACQ4</v>
      </c>
      <c r="V434" s="5">
        <f>_xlfn.XLOOKUP(Transactions_RAW_cleaned[[#This Row],[RegionQuarterKey]], Quarterly_Targets_cleaned[RegionQuarterKey], Quarterly_Targets_cleaned[TargetRevenue])</f>
        <v>126500</v>
      </c>
    </row>
    <row r="435" spans="1:22" x14ac:dyDescent="0.25">
      <c r="A435" t="s">
        <v>767</v>
      </c>
      <c r="B435" s="1">
        <v>45503</v>
      </c>
      <c r="C435" t="s">
        <v>233</v>
      </c>
      <c r="D435" t="s">
        <v>315</v>
      </c>
      <c r="E435">
        <v>563.57000000000005</v>
      </c>
      <c r="F435" t="s">
        <v>324</v>
      </c>
      <c r="G435" t="s">
        <v>327</v>
      </c>
      <c r="I435" t="s">
        <v>8</v>
      </c>
      <c r="J435" t="s">
        <v>13</v>
      </c>
      <c r="K435" t="s">
        <v>14</v>
      </c>
      <c r="L435" t="s">
        <v>316</v>
      </c>
      <c r="M435" t="s">
        <v>305</v>
      </c>
      <c r="N435">
        <v>2.5000000000000001E-3</v>
      </c>
      <c r="O435" t="str">
        <f>IF(Transactions_RAW_cleaned[[#This Row],[Status]]="Completed", IFERROR(_xlfn.XLOOKUP(Transactions_RAW_cleaned[[#This Row],[CustomerID]], Customers_cleaned[CustomerID], Customers_cleaned[Segment]), "Customer Not Found"), "N/A")</f>
        <v>SMB</v>
      </c>
      <c r="P435" s="5" t="str">
        <f>IF(Transactions_RAW_cleaned[[#This Row],[Status]]="Refunded", "Refund",
  IF(Transactions_RAW_cleaned[[#This Row],[Category]]="Payments", IF(Transactions_RAW_cleaned[[#This Row],[Amount]]&gt;500,"High Value","Standard"),
    IF(Transactions_RAW_cleaned[[#This Row],[Amount]]&gt;250,"High Value","Standard")))</f>
        <v>High Value</v>
      </c>
      <c r="Q435" s="5" t="str">
        <f>IF(Transactions_RAW_cleaned[[#This Row],[Amount]] &gt; (_xlfn.XLOOKUP(Transactions_RAW_cleaned[[#This Row],[ServiceID]],Services_cleaned[ServiceID],Services_cleaned[TransactionFeePct]) * 10000), "Yes", "No")</f>
        <v>Yes</v>
      </c>
      <c r="R435" s="5" t="str">
        <f>IF(COUNTIFS($C$2:Transactions_RAW_cleaned[[#This Row],[CustomerID]],Transactions_RAW_cleaned[[#This Row],[CustomerID]],$D$2:Transactions_RAW_cleaned[[#This Row],[ServiceID]],Transactions_RAW_cleaned[[#This Row],[ServiceID]])=1,"Yes","No")</f>
        <v>No</v>
      </c>
      <c r="S43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35" t="str">
        <f>"Q"&amp;ROUNDUP(MONTH(Transactions_RAW_cleaned[[#This Row],[TransactionDate]])/3,0)</f>
        <v>Q3</v>
      </c>
      <c r="U435" t="str">
        <f>Transactions_RAW_cleaned[[#This Row],[Region ]]&amp;Transactions_RAW_cleaned[[#This Row],[Quarter ]]</f>
        <v>NAQ3</v>
      </c>
      <c r="V435" s="5">
        <f>_xlfn.XLOOKUP(Transactions_RAW_cleaned[[#This Row],[RegionQuarterKey]], Quarterly_Targets_cleaned[RegionQuarterKey], Quarterly_Targets_cleaned[TargetRevenue])</f>
        <v>273000</v>
      </c>
    </row>
    <row r="436" spans="1:22" x14ac:dyDescent="0.25">
      <c r="A436" t="s">
        <v>768</v>
      </c>
      <c r="B436" s="1">
        <v>45585</v>
      </c>
      <c r="C436" t="s">
        <v>243</v>
      </c>
      <c r="D436" t="s">
        <v>312</v>
      </c>
      <c r="E436">
        <v>464.06</v>
      </c>
      <c r="F436" t="s">
        <v>381</v>
      </c>
      <c r="G436" t="s">
        <v>327</v>
      </c>
      <c r="H436" t="s">
        <v>334</v>
      </c>
      <c r="I436" t="s">
        <v>17</v>
      </c>
      <c r="J436" t="s">
        <v>13</v>
      </c>
      <c r="K436" t="s">
        <v>28</v>
      </c>
      <c r="L436" t="s">
        <v>313</v>
      </c>
      <c r="M436" t="s">
        <v>314</v>
      </c>
      <c r="N436">
        <v>0</v>
      </c>
      <c r="O436" t="str">
        <f>IF(Transactions_RAW_cleaned[[#This Row],[Status]]="Completed", IFERROR(_xlfn.XLOOKUP(Transactions_RAW_cleaned[[#This Row],[CustomerID]], Customers_cleaned[CustomerID], Customers_cleaned[Segment]), "Customer Not Found"), "N/A")</f>
        <v>N/A</v>
      </c>
      <c r="P436" s="5" t="str">
        <f>IF(Transactions_RAW_cleaned[[#This Row],[Status]]="Refunded", "Refund",
  IF(Transactions_RAW_cleaned[[#This Row],[Category]]="Payments", IF(Transactions_RAW_cleaned[[#This Row],[Amount]]&gt;500,"High Value","Standard"),
    IF(Transactions_RAW_cleaned[[#This Row],[Amount]]&gt;250,"High Value","Standard")))</f>
        <v>High Value</v>
      </c>
      <c r="Q436" s="5" t="str">
        <f>IF(Transactions_RAW_cleaned[[#This Row],[Amount]] &gt; (_xlfn.XLOOKUP(Transactions_RAW_cleaned[[#This Row],[ServiceID]],Services_cleaned[ServiceID],Services_cleaned[TransactionFeePct]) * 10000), "Yes", "No")</f>
        <v>Yes</v>
      </c>
      <c r="R436" s="5" t="str">
        <f>IF(COUNTIFS($C$2:Transactions_RAW_cleaned[[#This Row],[CustomerID]],Transactions_RAW_cleaned[[#This Row],[CustomerID]],$D$2:Transactions_RAW_cleaned[[#This Row],[ServiceID]],Transactions_RAW_cleaned[[#This Row],[ServiceID]])=1,"Yes","No")</f>
        <v>No</v>
      </c>
      <c r="S43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36" t="str">
        <f>"Q"&amp;ROUNDUP(MONTH(Transactions_RAW_cleaned[[#This Row],[TransactionDate]])/3,0)</f>
        <v>Q4</v>
      </c>
      <c r="U436" t="str">
        <f>Transactions_RAW_cleaned[[#This Row],[Region ]]&amp;Transactions_RAW_cleaned[[#This Row],[Quarter ]]</f>
        <v>NAQ4</v>
      </c>
      <c r="V436" s="5">
        <f>_xlfn.XLOOKUP(Transactions_RAW_cleaned[[#This Row],[RegionQuarterKey]], Quarterly_Targets_cleaned[RegionQuarterKey], Quarterly_Targets_cleaned[TargetRevenue])</f>
        <v>299000</v>
      </c>
    </row>
    <row r="437" spans="1:22" x14ac:dyDescent="0.25">
      <c r="A437" t="s">
        <v>769</v>
      </c>
      <c r="B437" s="1">
        <v>45302</v>
      </c>
      <c r="C437" t="s">
        <v>219</v>
      </c>
      <c r="D437" t="s">
        <v>294</v>
      </c>
      <c r="E437">
        <v>474.45</v>
      </c>
      <c r="F437" t="s">
        <v>324</v>
      </c>
      <c r="G437" t="s">
        <v>325</v>
      </c>
      <c r="H437" t="s">
        <v>346</v>
      </c>
      <c r="I437" t="s">
        <v>17</v>
      </c>
      <c r="J437" t="s">
        <v>31</v>
      </c>
      <c r="K437" t="s">
        <v>32</v>
      </c>
      <c r="L437" t="s">
        <v>295</v>
      </c>
      <c r="M437" t="s">
        <v>296</v>
      </c>
      <c r="N437">
        <v>2.9000000000000001E-2</v>
      </c>
      <c r="O437" t="str">
        <f>IF(Transactions_RAW_cleaned[[#This Row],[Status]]="Completed", IFERROR(_xlfn.XLOOKUP(Transactions_RAW_cleaned[[#This Row],[CustomerID]], Customers_cleaned[CustomerID], Customers_cleaned[Segment]), "Customer Not Found"), "N/A")</f>
        <v>Enterprise</v>
      </c>
      <c r="P437" s="5" t="str">
        <f>IF(Transactions_RAW_cleaned[[#This Row],[Status]]="Refunded", "Refund",
  IF(Transactions_RAW_cleaned[[#This Row],[Category]]="Payments", IF(Transactions_RAW_cleaned[[#This Row],[Amount]]&gt;500,"High Value","Standard"),
    IF(Transactions_RAW_cleaned[[#This Row],[Amount]]&gt;250,"High Value","Standard")))</f>
        <v>Standard</v>
      </c>
      <c r="Q437" s="5" t="str">
        <f>IF(Transactions_RAW_cleaned[[#This Row],[Amount]] &gt; (_xlfn.XLOOKUP(Transactions_RAW_cleaned[[#This Row],[ServiceID]],Services_cleaned[ServiceID],Services_cleaned[TransactionFeePct]) * 10000), "Yes", "No")</f>
        <v>Yes</v>
      </c>
      <c r="R437" s="5" t="str">
        <f>IF(COUNTIFS($C$2:Transactions_RAW_cleaned[[#This Row],[CustomerID]],Transactions_RAW_cleaned[[#This Row],[CustomerID]],$D$2:Transactions_RAW_cleaned[[#This Row],[ServiceID]],Transactions_RAW_cleaned[[#This Row],[ServiceID]])=1,"Yes","No")</f>
        <v>No</v>
      </c>
      <c r="S43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437" t="str">
        <f>"Q"&amp;ROUNDUP(MONTH(Transactions_RAW_cleaned[[#This Row],[TransactionDate]])/3,0)</f>
        <v>Q1</v>
      </c>
      <c r="U437" t="str">
        <f>Transactions_RAW_cleaned[[#This Row],[Region ]]&amp;Transactions_RAW_cleaned[[#This Row],[Quarter ]]</f>
        <v>EMEAQ1</v>
      </c>
      <c r="V437" s="5">
        <f>_xlfn.XLOOKUP(Transactions_RAW_cleaned[[#This Row],[RegionQuarterKey]], Quarterly_Targets_cleaned[RegionQuarterKey], Quarterly_Targets_cleaned[TargetRevenue])</f>
        <v>133000</v>
      </c>
    </row>
    <row r="438" spans="1:22" x14ac:dyDescent="0.25">
      <c r="A438" t="s">
        <v>770</v>
      </c>
      <c r="B438" s="1">
        <v>45326</v>
      </c>
      <c r="C438" t="s">
        <v>179</v>
      </c>
      <c r="D438" t="s">
        <v>294</v>
      </c>
      <c r="E438">
        <v>1474.39</v>
      </c>
      <c r="F438" t="s">
        <v>324</v>
      </c>
      <c r="G438" t="s">
        <v>337</v>
      </c>
      <c r="H438" t="s">
        <v>332</v>
      </c>
      <c r="I438" t="s">
        <v>8</v>
      </c>
      <c r="J438" t="s">
        <v>31</v>
      </c>
      <c r="K438" t="s">
        <v>18</v>
      </c>
      <c r="L438" t="s">
        <v>295</v>
      </c>
      <c r="M438" t="s">
        <v>296</v>
      </c>
      <c r="N438">
        <v>2.9000000000000001E-2</v>
      </c>
      <c r="O438" t="str">
        <f>IF(Transactions_RAW_cleaned[[#This Row],[Status]]="Completed", IFERROR(_xlfn.XLOOKUP(Transactions_RAW_cleaned[[#This Row],[CustomerID]], Customers_cleaned[CustomerID], Customers_cleaned[Segment]), "Customer Not Found"), "N/A")</f>
        <v>SMB</v>
      </c>
      <c r="P438" s="5" t="str">
        <f>IF(Transactions_RAW_cleaned[[#This Row],[Status]]="Refunded", "Refund",
  IF(Transactions_RAW_cleaned[[#This Row],[Category]]="Payments", IF(Transactions_RAW_cleaned[[#This Row],[Amount]]&gt;500,"High Value","Standard"),
    IF(Transactions_RAW_cleaned[[#This Row],[Amount]]&gt;250,"High Value","Standard")))</f>
        <v>High Value</v>
      </c>
      <c r="Q438" s="5" t="str">
        <f>IF(Transactions_RAW_cleaned[[#This Row],[Amount]] &gt; (_xlfn.XLOOKUP(Transactions_RAW_cleaned[[#This Row],[ServiceID]],Services_cleaned[ServiceID],Services_cleaned[TransactionFeePct]) * 10000), "Yes", "No")</f>
        <v>Yes</v>
      </c>
      <c r="R438" s="5" t="str">
        <f>IF(COUNTIFS($C$2:Transactions_RAW_cleaned[[#This Row],[CustomerID]],Transactions_RAW_cleaned[[#This Row],[CustomerID]],$D$2:Transactions_RAW_cleaned[[#This Row],[ServiceID]],Transactions_RAW_cleaned[[#This Row],[ServiceID]])=1,"Yes","No")</f>
        <v>No</v>
      </c>
      <c r="S43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438" t="str">
        <f>"Q"&amp;ROUNDUP(MONTH(Transactions_RAW_cleaned[[#This Row],[TransactionDate]])/3,0)</f>
        <v>Q1</v>
      </c>
      <c r="U438" t="str">
        <f>Transactions_RAW_cleaned[[#This Row],[Region ]]&amp;Transactions_RAW_cleaned[[#This Row],[Quarter ]]</f>
        <v>EMEAQ1</v>
      </c>
      <c r="V438" s="5">
        <f>_xlfn.XLOOKUP(Transactions_RAW_cleaned[[#This Row],[RegionQuarterKey]], Quarterly_Targets_cleaned[RegionQuarterKey], Quarterly_Targets_cleaned[TargetRevenue])</f>
        <v>133000</v>
      </c>
    </row>
    <row r="439" spans="1:22" x14ac:dyDescent="0.25">
      <c r="A439" t="s">
        <v>771</v>
      </c>
      <c r="B439" s="1">
        <v>45311</v>
      </c>
      <c r="C439" t="s">
        <v>84</v>
      </c>
      <c r="D439" t="s">
        <v>294</v>
      </c>
      <c r="E439">
        <v>482.4</v>
      </c>
      <c r="F439" t="s">
        <v>324</v>
      </c>
      <c r="G439" t="s">
        <v>327</v>
      </c>
      <c r="H439" t="s">
        <v>332</v>
      </c>
      <c r="I439" t="s">
        <v>8</v>
      </c>
      <c r="J439" t="s">
        <v>46</v>
      </c>
      <c r="K439" t="s">
        <v>28</v>
      </c>
      <c r="L439" t="s">
        <v>295</v>
      </c>
      <c r="M439" t="s">
        <v>296</v>
      </c>
      <c r="N439">
        <v>2.9000000000000001E-2</v>
      </c>
      <c r="O439" t="str">
        <f>IF(Transactions_RAW_cleaned[[#This Row],[Status]]="Completed", IFERROR(_xlfn.XLOOKUP(Transactions_RAW_cleaned[[#This Row],[CustomerID]], Customers_cleaned[CustomerID], Customers_cleaned[Segment]), "Customer Not Found"), "N/A")</f>
        <v>SMB</v>
      </c>
      <c r="P439" s="5" t="str">
        <f>IF(Transactions_RAW_cleaned[[#This Row],[Status]]="Refunded", "Refund",
  IF(Transactions_RAW_cleaned[[#This Row],[Category]]="Payments", IF(Transactions_RAW_cleaned[[#This Row],[Amount]]&gt;500,"High Value","Standard"),
    IF(Transactions_RAW_cleaned[[#This Row],[Amount]]&gt;250,"High Value","Standard")))</f>
        <v>Standard</v>
      </c>
      <c r="Q439" s="5" t="str">
        <f>IF(Transactions_RAW_cleaned[[#This Row],[Amount]] &gt; (_xlfn.XLOOKUP(Transactions_RAW_cleaned[[#This Row],[ServiceID]],Services_cleaned[ServiceID],Services_cleaned[TransactionFeePct]) * 10000), "Yes", "No")</f>
        <v>Yes</v>
      </c>
      <c r="R439" s="5" t="str">
        <f>IF(COUNTIFS($C$2:Transactions_RAW_cleaned[[#This Row],[CustomerID]],Transactions_RAW_cleaned[[#This Row],[CustomerID]],$D$2:Transactions_RAW_cleaned[[#This Row],[ServiceID]],Transactions_RAW_cleaned[[#This Row],[ServiceID]])=1,"Yes","No")</f>
        <v>Yes</v>
      </c>
      <c r="S43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439" t="str">
        <f>"Q"&amp;ROUNDUP(MONTH(Transactions_RAW_cleaned[[#This Row],[TransactionDate]])/3,0)</f>
        <v>Q1</v>
      </c>
      <c r="U439" t="str">
        <f>Transactions_RAW_cleaned[[#This Row],[Region ]]&amp;Transactions_RAW_cleaned[[#This Row],[Quarter ]]</f>
        <v>APACQ1</v>
      </c>
      <c r="V439" s="5">
        <f>_xlfn.XLOOKUP(Transactions_RAW_cleaned[[#This Row],[RegionQuarterKey]], Quarterly_Targets_cleaned[RegionQuarterKey], Quarterly_Targets_cleaned[TargetRevenue])</f>
        <v>104500</v>
      </c>
    </row>
    <row r="440" spans="1:22" x14ac:dyDescent="0.25">
      <c r="A440" t="s">
        <v>772</v>
      </c>
      <c r="B440" s="1">
        <v>45374</v>
      </c>
      <c r="C440" t="s">
        <v>155</v>
      </c>
      <c r="D440" t="s">
        <v>309</v>
      </c>
      <c r="E440">
        <v>372.47</v>
      </c>
      <c r="F440" t="s">
        <v>324</v>
      </c>
      <c r="G440" t="s">
        <v>327</v>
      </c>
      <c r="I440" t="s">
        <v>8</v>
      </c>
      <c r="J440" t="s">
        <v>46</v>
      </c>
      <c r="K440" t="s">
        <v>22</v>
      </c>
      <c r="L440" t="s">
        <v>310</v>
      </c>
      <c r="M440" t="s">
        <v>311</v>
      </c>
      <c r="N440">
        <v>0</v>
      </c>
      <c r="O440" t="str">
        <f>IF(Transactions_RAW_cleaned[[#This Row],[Status]]="Completed", IFERROR(_xlfn.XLOOKUP(Transactions_RAW_cleaned[[#This Row],[CustomerID]], Customers_cleaned[CustomerID], Customers_cleaned[Segment]), "Customer Not Found"), "N/A")</f>
        <v>SMB</v>
      </c>
      <c r="P440" s="5" t="str">
        <f>IF(Transactions_RAW_cleaned[[#This Row],[Status]]="Refunded", "Refund",
  IF(Transactions_RAW_cleaned[[#This Row],[Category]]="Payments", IF(Transactions_RAW_cleaned[[#This Row],[Amount]]&gt;500,"High Value","Standard"),
    IF(Transactions_RAW_cleaned[[#This Row],[Amount]]&gt;250,"High Value","Standard")))</f>
        <v>High Value</v>
      </c>
      <c r="Q440" s="5" t="str">
        <f>IF(Transactions_RAW_cleaned[[#This Row],[Amount]] &gt; (_xlfn.XLOOKUP(Transactions_RAW_cleaned[[#This Row],[ServiceID]],Services_cleaned[ServiceID],Services_cleaned[TransactionFeePct]) * 10000), "Yes", "No")</f>
        <v>Yes</v>
      </c>
      <c r="R440" s="5" t="str">
        <f>IF(COUNTIFS($C$2:Transactions_RAW_cleaned[[#This Row],[CustomerID]],Transactions_RAW_cleaned[[#This Row],[CustomerID]],$D$2:Transactions_RAW_cleaned[[#This Row],[ServiceID]],Transactions_RAW_cleaned[[#This Row],[ServiceID]])=1,"Yes","No")</f>
        <v>Yes</v>
      </c>
      <c r="S44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440" t="str">
        <f>"Q"&amp;ROUNDUP(MONTH(Transactions_RAW_cleaned[[#This Row],[TransactionDate]])/3,0)</f>
        <v>Q1</v>
      </c>
      <c r="U440" t="str">
        <f>Transactions_RAW_cleaned[[#This Row],[Region ]]&amp;Transactions_RAW_cleaned[[#This Row],[Quarter ]]</f>
        <v>APACQ1</v>
      </c>
      <c r="V440" s="5">
        <f>_xlfn.XLOOKUP(Transactions_RAW_cleaned[[#This Row],[RegionQuarterKey]], Quarterly_Targets_cleaned[RegionQuarterKey], Quarterly_Targets_cleaned[TargetRevenue])</f>
        <v>104500</v>
      </c>
    </row>
    <row r="441" spans="1:22" x14ac:dyDescent="0.25">
      <c r="A441" t="s">
        <v>773</v>
      </c>
      <c r="B441" s="1">
        <v>45648</v>
      </c>
      <c r="C441" t="s">
        <v>233</v>
      </c>
      <c r="D441" t="s">
        <v>294</v>
      </c>
      <c r="E441">
        <v>320.26</v>
      </c>
      <c r="F441" t="s">
        <v>324</v>
      </c>
      <c r="G441" t="s">
        <v>327</v>
      </c>
      <c r="H441" t="s">
        <v>332</v>
      </c>
      <c r="I441" t="s">
        <v>8</v>
      </c>
      <c r="J441" t="s">
        <v>13</v>
      </c>
      <c r="K441" t="s">
        <v>14</v>
      </c>
      <c r="L441" t="s">
        <v>295</v>
      </c>
      <c r="M441" t="s">
        <v>296</v>
      </c>
      <c r="N441">
        <v>2.9000000000000001E-2</v>
      </c>
      <c r="O441" t="str">
        <f>IF(Transactions_RAW_cleaned[[#This Row],[Status]]="Completed", IFERROR(_xlfn.XLOOKUP(Transactions_RAW_cleaned[[#This Row],[CustomerID]], Customers_cleaned[CustomerID], Customers_cleaned[Segment]), "Customer Not Found"), "N/A")</f>
        <v>SMB</v>
      </c>
      <c r="P441" s="5" t="str">
        <f>IF(Transactions_RAW_cleaned[[#This Row],[Status]]="Refunded", "Refund",
  IF(Transactions_RAW_cleaned[[#This Row],[Category]]="Payments", IF(Transactions_RAW_cleaned[[#This Row],[Amount]]&gt;500,"High Value","Standard"),
    IF(Transactions_RAW_cleaned[[#This Row],[Amount]]&gt;250,"High Value","Standard")))</f>
        <v>Standard</v>
      </c>
      <c r="Q441" s="5" t="str">
        <f>IF(Transactions_RAW_cleaned[[#This Row],[Amount]] &gt; (_xlfn.XLOOKUP(Transactions_RAW_cleaned[[#This Row],[ServiceID]],Services_cleaned[ServiceID],Services_cleaned[TransactionFeePct]) * 10000), "Yes", "No")</f>
        <v>Yes</v>
      </c>
      <c r="R441" s="5" t="str">
        <f>IF(COUNTIFS($C$2:Transactions_RAW_cleaned[[#This Row],[CustomerID]],Transactions_RAW_cleaned[[#This Row],[CustomerID]],$D$2:Transactions_RAW_cleaned[[#This Row],[ServiceID]],Transactions_RAW_cleaned[[#This Row],[ServiceID]])=1,"Yes","No")</f>
        <v>No</v>
      </c>
      <c r="S44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41" t="str">
        <f>"Q"&amp;ROUNDUP(MONTH(Transactions_RAW_cleaned[[#This Row],[TransactionDate]])/3,0)</f>
        <v>Q4</v>
      </c>
      <c r="U441" t="str">
        <f>Transactions_RAW_cleaned[[#This Row],[Region ]]&amp;Transactions_RAW_cleaned[[#This Row],[Quarter ]]</f>
        <v>NAQ4</v>
      </c>
      <c r="V441" s="5">
        <f>_xlfn.XLOOKUP(Transactions_RAW_cleaned[[#This Row],[RegionQuarterKey]], Quarterly_Targets_cleaned[RegionQuarterKey], Quarterly_Targets_cleaned[TargetRevenue])</f>
        <v>299000</v>
      </c>
    </row>
    <row r="442" spans="1:22" x14ac:dyDescent="0.25">
      <c r="A442" t="s">
        <v>774</v>
      </c>
      <c r="B442" s="1">
        <v>45567</v>
      </c>
      <c r="C442" t="s">
        <v>105</v>
      </c>
      <c r="D442" t="s">
        <v>294</v>
      </c>
      <c r="E442">
        <v>164.06</v>
      </c>
      <c r="F442" t="s">
        <v>324</v>
      </c>
      <c r="G442" t="s">
        <v>337</v>
      </c>
      <c r="I442" t="s">
        <v>57</v>
      </c>
      <c r="J442" t="s">
        <v>102</v>
      </c>
      <c r="K442" t="s">
        <v>32</v>
      </c>
      <c r="L442" t="s">
        <v>295</v>
      </c>
      <c r="M442" t="s">
        <v>296</v>
      </c>
      <c r="N442">
        <v>2.9000000000000001E-2</v>
      </c>
      <c r="O442" t="str">
        <f>IF(Transactions_RAW_cleaned[[#This Row],[Status]]="Completed", IFERROR(_xlfn.XLOOKUP(Transactions_RAW_cleaned[[#This Row],[CustomerID]], Customers_cleaned[CustomerID], Customers_cleaned[Segment]), "Customer Not Found"), "N/A")</f>
        <v>Startup</v>
      </c>
      <c r="P442" s="5" t="str">
        <f>IF(Transactions_RAW_cleaned[[#This Row],[Status]]="Refunded", "Refund",
  IF(Transactions_RAW_cleaned[[#This Row],[Category]]="Payments", IF(Transactions_RAW_cleaned[[#This Row],[Amount]]&gt;500,"High Value","Standard"),
    IF(Transactions_RAW_cleaned[[#This Row],[Amount]]&gt;250,"High Value","Standard")))</f>
        <v>Standard</v>
      </c>
      <c r="Q442" s="5" t="str">
        <f>IF(Transactions_RAW_cleaned[[#This Row],[Amount]] &gt; (_xlfn.XLOOKUP(Transactions_RAW_cleaned[[#This Row],[ServiceID]],Services_cleaned[ServiceID],Services_cleaned[TransactionFeePct]) * 10000), "Yes", "No")</f>
        <v>No</v>
      </c>
      <c r="R442" s="5" t="str">
        <f>IF(COUNTIFS($C$2:Transactions_RAW_cleaned[[#This Row],[CustomerID]],Transactions_RAW_cleaned[[#This Row],[CustomerID]],$D$2:Transactions_RAW_cleaned[[#This Row],[ServiceID]],Transactions_RAW_cleaned[[#This Row],[ServiceID]])=1,"Yes","No")</f>
        <v>No</v>
      </c>
      <c r="S44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42" t="str">
        <f>"Q"&amp;ROUNDUP(MONTH(Transactions_RAW_cleaned[[#This Row],[TransactionDate]])/3,0)</f>
        <v>Q4</v>
      </c>
      <c r="U442" t="str">
        <f>Transactions_RAW_cleaned[[#This Row],[Region ]]&amp;Transactions_RAW_cleaned[[#This Row],[Quarter ]]</f>
        <v>NAQ4</v>
      </c>
      <c r="V442" s="5">
        <f>_xlfn.XLOOKUP(Transactions_RAW_cleaned[[#This Row],[RegionQuarterKey]], Quarterly_Targets_cleaned[RegionQuarterKey], Quarterly_Targets_cleaned[TargetRevenue])</f>
        <v>299000</v>
      </c>
    </row>
    <row r="443" spans="1:22" x14ac:dyDescent="0.25">
      <c r="A443" t="s">
        <v>775</v>
      </c>
      <c r="B443" s="1">
        <v>45295</v>
      </c>
      <c r="C443" t="s">
        <v>267</v>
      </c>
      <c r="D443" t="s">
        <v>294</v>
      </c>
      <c r="E443">
        <v>657.81</v>
      </c>
      <c r="F443" t="s">
        <v>324</v>
      </c>
      <c r="G443" t="s">
        <v>327</v>
      </c>
      <c r="I443" t="s">
        <v>8</v>
      </c>
      <c r="J443" t="s">
        <v>102</v>
      </c>
      <c r="K443" t="s">
        <v>22</v>
      </c>
      <c r="L443" t="s">
        <v>295</v>
      </c>
      <c r="M443" t="s">
        <v>296</v>
      </c>
      <c r="N443">
        <v>2.9000000000000001E-2</v>
      </c>
      <c r="O443" t="str">
        <f>IF(Transactions_RAW_cleaned[[#This Row],[Status]]="Completed", IFERROR(_xlfn.XLOOKUP(Transactions_RAW_cleaned[[#This Row],[CustomerID]], Customers_cleaned[CustomerID], Customers_cleaned[Segment]), "Customer Not Found"), "N/A")</f>
        <v>SMB</v>
      </c>
      <c r="P443" s="5" t="str">
        <f>IF(Transactions_RAW_cleaned[[#This Row],[Status]]="Refunded", "Refund",
  IF(Transactions_RAW_cleaned[[#This Row],[Category]]="Payments", IF(Transactions_RAW_cleaned[[#This Row],[Amount]]&gt;500,"High Value","Standard"),
    IF(Transactions_RAW_cleaned[[#This Row],[Amount]]&gt;250,"High Value","Standard")))</f>
        <v>High Value</v>
      </c>
      <c r="Q443" s="5" t="str">
        <f>IF(Transactions_RAW_cleaned[[#This Row],[Amount]] &gt; (_xlfn.XLOOKUP(Transactions_RAW_cleaned[[#This Row],[ServiceID]],Services_cleaned[ServiceID],Services_cleaned[TransactionFeePct]) * 10000), "Yes", "No")</f>
        <v>Yes</v>
      </c>
      <c r="R443" s="5" t="str">
        <f>IF(COUNTIFS($C$2:Transactions_RAW_cleaned[[#This Row],[CustomerID]],Transactions_RAW_cleaned[[#This Row],[CustomerID]],$D$2:Transactions_RAW_cleaned[[#This Row],[ServiceID]],Transactions_RAW_cleaned[[#This Row],[ServiceID]])=1,"Yes","No")</f>
        <v>Yes</v>
      </c>
      <c r="S44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43" t="str">
        <f>"Q"&amp;ROUNDUP(MONTH(Transactions_RAW_cleaned[[#This Row],[TransactionDate]])/3,0)</f>
        <v>Q1</v>
      </c>
      <c r="U443" t="str">
        <f>Transactions_RAW_cleaned[[#This Row],[Region ]]&amp;Transactions_RAW_cleaned[[#This Row],[Quarter ]]</f>
        <v>NAQ1</v>
      </c>
      <c r="V443" s="5">
        <f>_xlfn.XLOOKUP(Transactions_RAW_cleaned[[#This Row],[RegionQuarterKey]], Quarterly_Targets_cleaned[RegionQuarterKey], Quarterly_Targets_cleaned[TargetRevenue])</f>
        <v>247000</v>
      </c>
    </row>
    <row r="444" spans="1:22" x14ac:dyDescent="0.25">
      <c r="A444" t="s">
        <v>776</v>
      </c>
      <c r="B444" s="1">
        <v>45498</v>
      </c>
      <c r="C444" t="s">
        <v>217</v>
      </c>
      <c r="D444" t="s">
        <v>306</v>
      </c>
      <c r="E444">
        <v>640.4</v>
      </c>
      <c r="F444" t="s">
        <v>324</v>
      </c>
      <c r="G444" t="s">
        <v>329</v>
      </c>
      <c r="H444" t="s">
        <v>332</v>
      </c>
      <c r="I444" t="s">
        <v>17</v>
      </c>
      <c r="J444" t="s">
        <v>102</v>
      </c>
      <c r="K444" t="s">
        <v>14</v>
      </c>
      <c r="L444" t="s">
        <v>307</v>
      </c>
      <c r="M444" t="s">
        <v>308</v>
      </c>
      <c r="N444">
        <v>0</v>
      </c>
      <c r="O444" t="str">
        <f>IF(Transactions_RAW_cleaned[[#This Row],[Status]]="Completed", IFERROR(_xlfn.XLOOKUP(Transactions_RAW_cleaned[[#This Row],[CustomerID]], Customers_cleaned[CustomerID], Customers_cleaned[Segment]), "Customer Not Found"), "N/A")</f>
        <v>Enterprise</v>
      </c>
      <c r="P444" s="5" t="str">
        <f>IF(Transactions_RAW_cleaned[[#This Row],[Status]]="Refunded", "Refund",
  IF(Transactions_RAW_cleaned[[#This Row],[Category]]="Payments", IF(Transactions_RAW_cleaned[[#This Row],[Amount]]&gt;500,"High Value","Standard"),
    IF(Transactions_RAW_cleaned[[#This Row],[Amount]]&gt;250,"High Value","Standard")))</f>
        <v>High Value</v>
      </c>
      <c r="Q444" s="5" t="str">
        <f>IF(Transactions_RAW_cleaned[[#This Row],[Amount]] &gt; (_xlfn.XLOOKUP(Transactions_RAW_cleaned[[#This Row],[ServiceID]],Services_cleaned[ServiceID],Services_cleaned[TransactionFeePct]) * 10000), "Yes", "No")</f>
        <v>Yes</v>
      </c>
      <c r="R444" s="5" t="str">
        <f>IF(COUNTIFS($C$2:Transactions_RAW_cleaned[[#This Row],[CustomerID]],Transactions_RAW_cleaned[[#This Row],[CustomerID]],$D$2:Transactions_RAW_cleaned[[#This Row],[ServiceID]],Transactions_RAW_cleaned[[#This Row],[ServiceID]])=1,"Yes","No")</f>
        <v>Yes</v>
      </c>
      <c r="S44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44" t="str">
        <f>"Q"&amp;ROUNDUP(MONTH(Transactions_RAW_cleaned[[#This Row],[TransactionDate]])/3,0)</f>
        <v>Q3</v>
      </c>
      <c r="U444" t="str">
        <f>Transactions_RAW_cleaned[[#This Row],[Region ]]&amp;Transactions_RAW_cleaned[[#This Row],[Quarter ]]</f>
        <v>NAQ3</v>
      </c>
      <c r="V444" s="5">
        <f>_xlfn.XLOOKUP(Transactions_RAW_cleaned[[#This Row],[RegionQuarterKey]], Quarterly_Targets_cleaned[RegionQuarterKey], Quarterly_Targets_cleaned[TargetRevenue])</f>
        <v>273000</v>
      </c>
    </row>
    <row r="445" spans="1:22" x14ac:dyDescent="0.25">
      <c r="A445" t="s">
        <v>777</v>
      </c>
      <c r="B445" s="1">
        <v>45308</v>
      </c>
      <c r="C445" t="s">
        <v>60</v>
      </c>
      <c r="D445" t="s">
        <v>294</v>
      </c>
      <c r="E445">
        <v>498.69</v>
      </c>
      <c r="F445" t="s">
        <v>324</v>
      </c>
      <c r="G445" t="s">
        <v>337</v>
      </c>
      <c r="H445" t="s">
        <v>334</v>
      </c>
      <c r="I445" t="s">
        <v>8</v>
      </c>
      <c r="J445" t="s">
        <v>13</v>
      </c>
      <c r="K445" t="s">
        <v>14</v>
      </c>
      <c r="L445" t="s">
        <v>295</v>
      </c>
      <c r="M445" t="s">
        <v>296</v>
      </c>
      <c r="N445">
        <v>2.9000000000000001E-2</v>
      </c>
      <c r="O445" t="str">
        <f>IF(Transactions_RAW_cleaned[[#This Row],[Status]]="Completed", IFERROR(_xlfn.XLOOKUP(Transactions_RAW_cleaned[[#This Row],[CustomerID]], Customers_cleaned[CustomerID], Customers_cleaned[Segment]), "Customer Not Found"), "N/A")</f>
        <v>SMB</v>
      </c>
      <c r="P445" s="5" t="str">
        <f>IF(Transactions_RAW_cleaned[[#This Row],[Status]]="Refunded", "Refund",
  IF(Transactions_RAW_cleaned[[#This Row],[Category]]="Payments", IF(Transactions_RAW_cleaned[[#This Row],[Amount]]&gt;500,"High Value","Standard"),
    IF(Transactions_RAW_cleaned[[#This Row],[Amount]]&gt;250,"High Value","Standard")))</f>
        <v>Standard</v>
      </c>
      <c r="Q445" s="5" t="str">
        <f>IF(Transactions_RAW_cleaned[[#This Row],[Amount]] &gt; (_xlfn.XLOOKUP(Transactions_RAW_cleaned[[#This Row],[ServiceID]],Services_cleaned[ServiceID],Services_cleaned[TransactionFeePct]) * 10000), "Yes", "No")</f>
        <v>Yes</v>
      </c>
      <c r="R445" s="5" t="str">
        <f>IF(COUNTIFS($C$2:Transactions_RAW_cleaned[[#This Row],[CustomerID]],Transactions_RAW_cleaned[[#This Row],[CustomerID]],$D$2:Transactions_RAW_cleaned[[#This Row],[ServiceID]],Transactions_RAW_cleaned[[#This Row],[ServiceID]])=1,"Yes","No")</f>
        <v>Yes</v>
      </c>
      <c r="S44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45" t="str">
        <f>"Q"&amp;ROUNDUP(MONTH(Transactions_RAW_cleaned[[#This Row],[TransactionDate]])/3,0)</f>
        <v>Q1</v>
      </c>
      <c r="U445" t="str">
        <f>Transactions_RAW_cleaned[[#This Row],[Region ]]&amp;Transactions_RAW_cleaned[[#This Row],[Quarter ]]</f>
        <v>NAQ1</v>
      </c>
      <c r="V445" s="5">
        <f>_xlfn.XLOOKUP(Transactions_RAW_cleaned[[#This Row],[RegionQuarterKey]], Quarterly_Targets_cleaned[RegionQuarterKey], Quarterly_Targets_cleaned[TargetRevenue])</f>
        <v>247000</v>
      </c>
    </row>
    <row r="446" spans="1:22" x14ac:dyDescent="0.25">
      <c r="A446" t="s">
        <v>778</v>
      </c>
      <c r="B446" s="1">
        <v>45575</v>
      </c>
      <c r="C446" t="s">
        <v>179</v>
      </c>
      <c r="D446" t="s">
        <v>306</v>
      </c>
      <c r="E446">
        <v>1128.54</v>
      </c>
      <c r="F446" t="s">
        <v>324</v>
      </c>
      <c r="G446" t="s">
        <v>327</v>
      </c>
      <c r="I446" t="s">
        <v>8</v>
      </c>
      <c r="J446" t="s">
        <v>31</v>
      </c>
      <c r="K446" t="s">
        <v>18</v>
      </c>
      <c r="L446" t="s">
        <v>307</v>
      </c>
      <c r="M446" t="s">
        <v>308</v>
      </c>
      <c r="N446">
        <v>0</v>
      </c>
      <c r="O446" t="str">
        <f>IF(Transactions_RAW_cleaned[[#This Row],[Status]]="Completed", IFERROR(_xlfn.XLOOKUP(Transactions_RAW_cleaned[[#This Row],[CustomerID]], Customers_cleaned[CustomerID], Customers_cleaned[Segment]), "Customer Not Found"), "N/A")</f>
        <v>SMB</v>
      </c>
      <c r="P446" s="5" t="str">
        <f>IF(Transactions_RAW_cleaned[[#This Row],[Status]]="Refunded", "Refund",
  IF(Transactions_RAW_cleaned[[#This Row],[Category]]="Payments", IF(Transactions_RAW_cleaned[[#This Row],[Amount]]&gt;500,"High Value","Standard"),
    IF(Transactions_RAW_cleaned[[#This Row],[Amount]]&gt;250,"High Value","Standard")))</f>
        <v>High Value</v>
      </c>
      <c r="Q446" s="5" t="str">
        <f>IF(Transactions_RAW_cleaned[[#This Row],[Amount]] &gt; (_xlfn.XLOOKUP(Transactions_RAW_cleaned[[#This Row],[ServiceID]],Services_cleaned[ServiceID],Services_cleaned[TransactionFeePct]) * 10000), "Yes", "No")</f>
        <v>Yes</v>
      </c>
      <c r="R446" s="5" t="str">
        <f>IF(COUNTIFS($C$2:Transactions_RAW_cleaned[[#This Row],[CustomerID]],Transactions_RAW_cleaned[[#This Row],[CustomerID]],$D$2:Transactions_RAW_cleaned[[#This Row],[ServiceID]],Transactions_RAW_cleaned[[#This Row],[ServiceID]])=1,"Yes","No")</f>
        <v>No</v>
      </c>
      <c r="S44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446" t="str">
        <f>"Q"&amp;ROUNDUP(MONTH(Transactions_RAW_cleaned[[#This Row],[TransactionDate]])/3,0)</f>
        <v>Q4</v>
      </c>
      <c r="U446" t="str">
        <f>Transactions_RAW_cleaned[[#This Row],[Region ]]&amp;Transactions_RAW_cleaned[[#This Row],[Quarter ]]</f>
        <v>EMEAQ4</v>
      </c>
      <c r="V446" s="5">
        <f>_xlfn.XLOOKUP(Transactions_RAW_cleaned[[#This Row],[RegionQuarterKey]], Quarterly_Targets_cleaned[RegionQuarterKey], Quarterly_Targets_cleaned[TargetRevenue])</f>
        <v>161000</v>
      </c>
    </row>
    <row r="447" spans="1:22" x14ac:dyDescent="0.25">
      <c r="A447" t="s">
        <v>779</v>
      </c>
      <c r="B447" s="1">
        <v>45581</v>
      </c>
      <c r="C447" t="s">
        <v>111</v>
      </c>
      <c r="D447" t="s">
        <v>303</v>
      </c>
      <c r="E447">
        <v>58.22</v>
      </c>
      <c r="F447" t="s">
        <v>324</v>
      </c>
      <c r="G447" t="s">
        <v>329</v>
      </c>
      <c r="H447" t="s">
        <v>346</v>
      </c>
      <c r="I447" t="s">
        <v>8</v>
      </c>
      <c r="J447" t="s">
        <v>21</v>
      </c>
      <c r="K447" t="s">
        <v>28</v>
      </c>
      <c r="L447" t="s">
        <v>304</v>
      </c>
      <c r="M447" t="s">
        <v>305</v>
      </c>
      <c r="N447">
        <v>1E-3</v>
      </c>
      <c r="O447" t="str">
        <f>IF(Transactions_RAW_cleaned[[#This Row],[Status]]="Completed", IFERROR(_xlfn.XLOOKUP(Transactions_RAW_cleaned[[#This Row],[CustomerID]], Customers_cleaned[CustomerID], Customers_cleaned[Segment]), "Customer Not Found"), "N/A")</f>
        <v>SMB</v>
      </c>
      <c r="P447" s="5" t="str">
        <f>IF(Transactions_RAW_cleaned[[#This Row],[Status]]="Refunded", "Refund",
  IF(Transactions_RAW_cleaned[[#This Row],[Category]]="Payments", IF(Transactions_RAW_cleaned[[#This Row],[Amount]]&gt;500,"High Value","Standard"),
    IF(Transactions_RAW_cleaned[[#This Row],[Amount]]&gt;250,"High Value","Standard")))</f>
        <v>Standard</v>
      </c>
      <c r="Q447" s="5" t="str">
        <f>IF(Transactions_RAW_cleaned[[#This Row],[Amount]] &gt; (_xlfn.XLOOKUP(Transactions_RAW_cleaned[[#This Row],[ServiceID]],Services_cleaned[ServiceID],Services_cleaned[TransactionFeePct]) * 10000), "Yes", "No")</f>
        <v>Yes</v>
      </c>
      <c r="R447" s="5" t="str">
        <f>IF(COUNTIFS($C$2:Transactions_RAW_cleaned[[#This Row],[CustomerID]],Transactions_RAW_cleaned[[#This Row],[CustomerID]],$D$2:Transactions_RAW_cleaned[[#This Row],[ServiceID]],Transactions_RAW_cleaned[[#This Row],[ServiceID]])=1,"Yes","No")</f>
        <v>Yes</v>
      </c>
      <c r="S44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447" t="str">
        <f>"Q"&amp;ROUNDUP(MONTH(Transactions_RAW_cleaned[[#This Row],[TransactionDate]])/3,0)</f>
        <v>Q4</v>
      </c>
      <c r="U447" t="str">
        <f>Transactions_RAW_cleaned[[#This Row],[Region ]]&amp;Transactions_RAW_cleaned[[#This Row],[Quarter ]]</f>
        <v>APACQ4</v>
      </c>
      <c r="V447" s="5">
        <f>_xlfn.XLOOKUP(Transactions_RAW_cleaned[[#This Row],[RegionQuarterKey]], Quarterly_Targets_cleaned[RegionQuarterKey], Quarterly_Targets_cleaned[TargetRevenue])</f>
        <v>126500</v>
      </c>
    </row>
    <row r="448" spans="1:22" x14ac:dyDescent="0.25">
      <c r="A448" t="s">
        <v>780</v>
      </c>
      <c r="B448" s="1">
        <v>45320</v>
      </c>
      <c r="C448" t="s">
        <v>139</v>
      </c>
      <c r="D448" t="s">
        <v>300</v>
      </c>
      <c r="E448">
        <v>120.55</v>
      </c>
      <c r="F448" t="s">
        <v>324</v>
      </c>
      <c r="G448" t="s">
        <v>325</v>
      </c>
      <c r="H448" t="s">
        <v>334</v>
      </c>
      <c r="I448" t="s">
        <v>8</v>
      </c>
      <c r="J448" t="s">
        <v>102</v>
      </c>
      <c r="K448" t="s">
        <v>22</v>
      </c>
      <c r="L448" t="s">
        <v>301</v>
      </c>
      <c r="M448" t="s">
        <v>302</v>
      </c>
      <c r="N448">
        <v>5.0000000000000001E-3</v>
      </c>
      <c r="O448" t="str">
        <f>IF(Transactions_RAW_cleaned[[#This Row],[Status]]="Completed", IFERROR(_xlfn.XLOOKUP(Transactions_RAW_cleaned[[#This Row],[CustomerID]], Customers_cleaned[CustomerID], Customers_cleaned[Segment]), "Customer Not Found"), "N/A")</f>
        <v>SMB</v>
      </c>
      <c r="P448" s="5" t="str">
        <f>IF(Transactions_RAW_cleaned[[#This Row],[Status]]="Refunded", "Refund",
  IF(Transactions_RAW_cleaned[[#This Row],[Category]]="Payments", IF(Transactions_RAW_cleaned[[#This Row],[Amount]]&gt;500,"High Value","Standard"),
    IF(Transactions_RAW_cleaned[[#This Row],[Amount]]&gt;250,"High Value","Standard")))</f>
        <v>Standard</v>
      </c>
      <c r="Q448" s="5" t="str">
        <f>IF(Transactions_RAW_cleaned[[#This Row],[Amount]] &gt; (_xlfn.XLOOKUP(Transactions_RAW_cleaned[[#This Row],[ServiceID]],Services_cleaned[ServiceID],Services_cleaned[TransactionFeePct]) * 10000), "Yes", "No")</f>
        <v>Yes</v>
      </c>
      <c r="R448" s="5" t="str">
        <f>IF(COUNTIFS($C$2:Transactions_RAW_cleaned[[#This Row],[CustomerID]],Transactions_RAW_cleaned[[#This Row],[CustomerID]],$D$2:Transactions_RAW_cleaned[[#This Row],[ServiceID]],Transactions_RAW_cleaned[[#This Row],[ServiceID]])=1,"Yes","No")</f>
        <v>No</v>
      </c>
      <c r="S44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48" t="str">
        <f>"Q"&amp;ROUNDUP(MONTH(Transactions_RAW_cleaned[[#This Row],[TransactionDate]])/3,0)</f>
        <v>Q1</v>
      </c>
      <c r="U448" t="str">
        <f>Transactions_RAW_cleaned[[#This Row],[Region ]]&amp;Transactions_RAW_cleaned[[#This Row],[Quarter ]]</f>
        <v>NAQ1</v>
      </c>
      <c r="V448" s="5">
        <f>_xlfn.XLOOKUP(Transactions_RAW_cleaned[[#This Row],[RegionQuarterKey]], Quarterly_Targets_cleaned[RegionQuarterKey], Quarterly_Targets_cleaned[TargetRevenue])</f>
        <v>247000</v>
      </c>
    </row>
    <row r="449" spans="1:22" x14ac:dyDescent="0.25">
      <c r="A449" t="s">
        <v>781</v>
      </c>
      <c r="B449" s="1">
        <v>45571</v>
      </c>
      <c r="C449" t="s">
        <v>233</v>
      </c>
      <c r="D449" t="s">
        <v>294</v>
      </c>
      <c r="E449">
        <v>15.56</v>
      </c>
      <c r="F449" t="s">
        <v>324</v>
      </c>
      <c r="G449" t="s">
        <v>337</v>
      </c>
      <c r="H449" t="s">
        <v>334</v>
      </c>
      <c r="I449" t="s">
        <v>8</v>
      </c>
      <c r="J449" t="s">
        <v>13</v>
      </c>
      <c r="K449" t="s">
        <v>14</v>
      </c>
      <c r="L449" t="s">
        <v>295</v>
      </c>
      <c r="M449" t="s">
        <v>296</v>
      </c>
      <c r="N449">
        <v>2.9000000000000001E-2</v>
      </c>
      <c r="O449" t="str">
        <f>IF(Transactions_RAW_cleaned[[#This Row],[Status]]="Completed", IFERROR(_xlfn.XLOOKUP(Transactions_RAW_cleaned[[#This Row],[CustomerID]], Customers_cleaned[CustomerID], Customers_cleaned[Segment]), "Customer Not Found"), "N/A")</f>
        <v>SMB</v>
      </c>
      <c r="P449" s="5" t="str">
        <f>IF(Transactions_RAW_cleaned[[#This Row],[Status]]="Refunded", "Refund",
  IF(Transactions_RAW_cleaned[[#This Row],[Category]]="Payments", IF(Transactions_RAW_cleaned[[#This Row],[Amount]]&gt;500,"High Value","Standard"),
    IF(Transactions_RAW_cleaned[[#This Row],[Amount]]&gt;250,"High Value","Standard")))</f>
        <v>Standard</v>
      </c>
      <c r="Q449" s="5" t="str">
        <f>IF(Transactions_RAW_cleaned[[#This Row],[Amount]] &gt; (_xlfn.XLOOKUP(Transactions_RAW_cleaned[[#This Row],[ServiceID]],Services_cleaned[ServiceID],Services_cleaned[TransactionFeePct]) * 10000), "Yes", "No")</f>
        <v>No</v>
      </c>
      <c r="R449" s="5" t="str">
        <f>IF(COUNTIFS($C$2:Transactions_RAW_cleaned[[#This Row],[CustomerID]],Transactions_RAW_cleaned[[#This Row],[CustomerID]],$D$2:Transactions_RAW_cleaned[[#This Row],[ServiceID]],Transactions_RAW_cleaned[[#This Row],[ServiceID]])=1,"Yes","No")</f>
        <v>No</v>
      </c>
      <c r="S44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49" t="str">
        <f>"Q"&amp;ROUNDUP(MONTH(Transactions_RAW_cleaned[[#This Row],[TransactionDate]])/3,0)</f>
        <v>Q4</v>
      </c>
      <c r="U449" t="str">
        <f>Transactions_RAW_cleaned[[#This Row],[Region ]]&amp;Transactions_RAW_cleaned[[#This Row],[Quarter ]]</f>
        <v>NAQ4</v>
      </c>
      <c r="V449" s="5">
        <f>_xlfn.XLOOKUP(Transactions_RAW_cleaned[[#This Row],[RegionQuarterKey]], Quarterly_Targets_cleaned[RegionQuarterKey], Quarterly_Targets_cleaned[TargetRevenue])</f>
        <v>299000</v>
      </c>
    </row>
    <row r="450" spans="1:22" x14ac:dyDescent="0.25">
      <c r="A450" t="s">
        <v>782</v>
      </c>
      <c r="B450" s="1">
        <v>45618</v>
      </c>
      <c r="C450" t="s">
        <v>253</v>
      </c>
      <c r="D450" t="s">
        <v>303</v>
      </c>
      <c r="E450">
        <v>573.85</v>
      </c>
      <c r="F450" t="s">
        <v>331</v>
      </c>
      <c r="G450" t="s">
        <v>337</v>
      </c>
      <c r="H450" t="s">
        <v>332</v>
      </c>
      <c r="I450" t="s">
        <v>8</v>
      </c>
      <c r="J450" t="s">
        <v>102</v>
      </c>
      <c r="K450" t="s">
        <v>28</v>
      </c>
      <c r="L450" t="s">
        <v>304</v>
      </c>
      <c r="M450" t="s">
        <v>305</v>
      </c>
      <c r="N450">
        <v>1E-3</v>
      </c>
      <c r="O450" t="str">
        <f>IF(Transactions_RAW_cleaned[[#This Row],[Status]]="Completed", IFERROR(_xlfn.XLOOKUP(Transactions_RAW_cleaned[[#This Row],[CustomerID]], Customers_cleaned[CustomerID], Customers_cleaned[Segment]), "Customer Not Found"), "N/A")</f>
        <v>N/A</v>
      </c>
      <c r="P450" s="5" t="str">
        <f>IF(Transactions_RAW_cleaned[[#This Row],[Status]]="Refunded", "Refund",
  IF(Transactions_RAW_cleaned[[#This Row],[Category]]="Payments", IF(Transactions_RAW_cleaned[[#This Row],[Amount]]&gt;500,"High Value","Standard"),
    IF(Transactions_RAW_cleaned[[#This Row],[Amount]]&gt;250,"High Value","Standard")))</f>
        <v>High Value</v>
      </c>
      <c r="Q450" s="5" t="str">
        <f>IF(Transactions_RAW_cleaned[[#This Row],[Amount]] &gt; (_xlfn.XLOOKUP(Transactions_RAW_cleaned[[#This Row],[ServiceID]],Services_cleaned[ServiceID],Services_cleaned[TransactionFeePct]) * 10000), "Yes", "No")</f>
        <v>Yes</v>
      </c>
      <c r="R450" s="5" t="str">
        <f>IF(COUNTIFS($C$2:Transactions_RAW_cleaned[[#This Row],[CustomerID]],Transactions_RAW_cleaned[[#This Row],[CustomerID]],$D$2:Transactions_RAW_cleaned[[#This Row],[ServiceID]],Transactions_RAW_cleaned[[#This Row],[ServiceID]])=1,"Yes","No")</f>
        <v>Yes</v>
      </c>
      <c r="S45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50" t="str">
        <f>"Q"&amp;ROUNDUP(MONTH(Transactions_RAW_cleaned[[#This Row],[TransactionDate]])/3,0)</f>
        <v>Q4</v>
      </c>
      <c r="U450" t="str">
        <f>Transactions_RAW_cleaned[[#This Row],[Region ]]&amp;Transactions_RAW_cleaned[[#This Row],[Quarter ]]</f>
        <v>NAQ4</v>
      </c>
      <c r="V450" s="5">
        <f>_xlfn.XLOOKUP(Transactions_RAW_cleaned[[#This Row],[RegionQuarterKey]], Quarterly_Targets_cleaned[RegionQuarterKey], Quarterly_Targets_cleaned[TargetRevenue])</f>
        <v>299000</v>
      </c>
    </row>
    <row r="451" spans="1:22" x14ac:dyDescent="0.25">
      <c r="A451" t="s">
        <v>783</v>
      </c>
      <c r="B451" s="1">
        <v>45544</v>
      </c>
      <c r="C451" t="s">
        <v>273</v>
      </c>
      <c r="D451" t="s">
        <v>300</v>
      </c>
      <c r="E451">
        <v>709.64</v>
      </c>
      <c r="F451" t="s">
        <v>324</v>
      </c>
      <c r="G451" t="s">
        <v>327</v>
      </c>
      <c r="H451" t="s">
        <v>332</v>
      </c>
      <c r="I451" t="s">
        <v>17</v>
      </c>
      <c r="J451" t="s">
        <v>102</v>
      </c>
      <c r="K451" t="s">
        <v>22</v>
      </c>
      <c r="L451" t="s">
        <v>301</v>
      </c>
      <c r="M451" t="s">
        <v>302</v>
      </c>
      <c r="N451">
        <v>5.0000000000000001E-3</v>
      </c>
      <c r="O451" t="str">
        <f>IF(Transactions_RAW_cleaned[[#This Row],[Status]]="Completed", IFERROR(_xlfn.XLOOKUP(Transactions_RAW_cleaned[[#This Row],[CustomerID]], Customers_cleaned[CustomerID], Customers_cleaned[Segment]), "Customer Not Found"), "N/A")</f>
        <v>Enterprise</v>
      </c>
      <c r="P451" s="5" t="str">
        <f>IF(Transactions_RAW_cleaned[[#This Row],[Status]]="Refunded", "Refund",
  IF(Transactions_RAW_cleaned[[#This Row],[Category]]="Payments", IF(Transactions_RAW_cleaned[[#This Row],[Amount]]&gt;500,"High Value","Standard"),
    IF(Transactions_RAW_cleaned[[#This Row],[Amount]]&gt;250,"High Value","Standard")))</f>
        <v>High Value</v>
      </c>
      <c r="Q451" s="5" t="str">
        <f>IF(Transactions_RAW_cleaned[[#This Row],[Amount]] &gt; (_xlfn.XLOOKUP(Transactions_RAW_cleaned[[#This Row],[ServiceID]],Services_cleaned[ServiceID],Services_cleaned[TransactionFeePct]) * 10000), "Yes", "No")</f>
        <v>Yes</v>
      </c>
      <c r="R451" s="5" t="str">
        <f>IF(COUNTIFS($C$2:Transactions_RAW_cleaned[[#This Row],[CustomerID]],Transactions_RAW_cleaned[[#This Row],[CustomerID]],$D$2:Transactions_RAW_cleaned[[#This Row],[ServiceID]],Transactions_RAW_cleaned[[#This Row],[ServiceID]])=1,"Yes","No")</f>
        <v>No</v>
      </c>
      <c r="S45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51" t="str">
        <f>"Q"&amp;ROUNDUP(MONTH(Transactions_RAW_cleaned[[#This Row],[TransactionDate]])/3,0)</f>
        <v>Q3</v>
      </c>
      <c r="U451" t="str">
        <f>Transactions_RAW_cleaned[[#This Row],[Region ]]&amp;Transactions_RAW_cleaned[[#This Row],[Quarter ]]</f>
        <v>NAQ3</v>
      </c>
      <c r="V451" s="5">
        <f>_xlfn.XLOOKUP(Transactions_RAW_cleaned[[#This Row],[RegionQuarterKey]], Quarterly_Targets_cleaned[RegionQuarterKey], Quarterly_Targets_cleaned[TargetRevenue])</f>
        <v>273000</v>
      </c>
    </row>
    <row r="452" spans="1:22" x14ac:dyDescent="0.25">
      <c r="A452" t="s">
        <v>784</v>
      </c>
      <c r="B452" s="1">
        <v>45357</v>
      </c>
      <c r="C452" t="s">
        <v>68</v>
      </c>
      <c r="D452" t="s">
        <v>294</v>
      </c>
      <c r="E452">
        <v>1175.3399999999999</v>
      </c>
      <c r="F452" t="s">
        <v>324</v>
      </c>
      <c r="G452" t="s">
        <v>325</v>
      </c>
      <c r="H452" t="s">
        <v>332</v>
      </c>
      <c r="I452" t="s">
        <v>57</v>
      </c>
      <c r="J452" t="s">
        <v>13</v>
      </c>
      <c r="K452" t="s">
        <v>10</v>
      </c>
      <c r="L452" t="s">
        <v>295</v>
      </c>
      <c r="M452" t="s">
        <v>296</v>
      </c>
      <c r="N452">
        <v>2.9000000000000001E-2</v>
      </c>
      <c r="O452" t="str">
        <f>IF(Transactions_RAW_cleaned[[#This Row],[Status]]="Completed", IFERROR(_xlfn.XLOOKUP(Transactions_RAW_cleaned[[#This Row],[CustomerID]], Customers_cleaned[CustomerID], Customers_cleaned[Segment]), "Customer Not Found"), "N/A")</f>
        <v>Startup</v>
      </c>
      <c r="P452" s="5" t="str">
        <f>IF(Transactions_RAW_cleaned[[#This Row],[Status]]="Refunded", "Refund",
  IF(Transactions_RAW_cleaned[[#This Row],[Category]]="Payments", IF(Transactions_RAW_cleaned[[#This Row],[Amount]]&gt;500,"High Value","Standard"),
    IF(Transactions_RAW_cleaned[[#This Row],[Amount]]&gt;250,"High Value","Standard")))</f>
        <v>High Value</v>
      </c>
      <c r="Q452" s="5" t="str">
        <f>IF(Transactions_RAW_cleaned[[#This Row],[Amount]] &gt; (_xlfn.XLOOKUP(Transactions_RAW_cleaned[[#This Row],[ServiceID]],Services_cleaned[ServiceID],Services_cleaned[TransactionFeePct]) * 10000), "Yes", "No")</f>
        <v>Yes</v>
      </c>
      <c r="R452" s="5" t="str">
        <f>IF(COUNTIFS($C$2:Transactions_RAW_cleaned[[#This Row],[CustomerID]],Transactions_RAW_cleaned[[#This Row],[CustomerID]],$D$2:Transactions_RAW_cleaned[[#This Row],[ServiceID]],Transactions_RAW_cleaned[[#This Row],[ServiceID]])=1,"Yes","No")</f>
        <v>No</v>
      </c>
      <c r="S45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52" t="str">
        <f>"Q"&amp;ROUNDUP(MONTH(Transactions_RAW_cleaned[[#This Row],[TransactionDate]])/3,0)</f>
        <v>Q1</v>
      </c>
      <c r="U452" t="str">
        <f>Transactions_RAW_cleaned[[#This Row],[Region ]]&amp;Transactions_RAW_cleaned[[#This Row],[Quarter ]]</f>
        <v>NAQ1</v>
      </c>
      <c r="V452" s="5">
        <f>_xlfn.XLOOKUP(Transactions_RAW_cleaned[[#This Row],[RegionQuarterKey]], Quarterly_Targets_cleaned[RegionQuarterKey], Quarterly_Targets_cleaned[TargetRevenue])</f>
        <v>247000</v>
      </c>
    </row>
    <row r="453" spans="1:22" x14ac:dyDescent="0.25">
      <c r="A453" t="s">
        <v>785</v>
      </c>
      <c r="B453" s="1">
        <v>45514</v>
      </c>
      <c r="C453" t="s">
        <v>233</v>
      </c>
      <c r="D453" t="s">
        <v>306</v>
      </c>
      <c r="E453">
        <v>888.98</v>
      </c>
      <c r="F453" t="s">
        <v>324</v>
      </c>
      <c r="G453" t="s">
        <v>325</v>
      </c>
      <c r="H453" t="s">
        <v>346</v>
      </c>
      <c r="I453" t="s">
        <v>8</v>
      </c>
      <c r="J453" t="s">
        <v>13</v>
      </c>
      <c r="K453" t="s">
        <v>14</v>
      </c>
      <c r="L453" t="s">
        <v>307</v>
      </c>
      <c r="M453" t="s">
        <v>308</v>
      </c>
      <c r="N453">
        <v>0</v>
      </c>
      <c r="O453" t="str">
        <f>IF(Transactions_RAW_cleaned[[#This Row],[Status]]="Completed", IFERROR(_xlfn.XLOOKUP(Transactions_RAW_cleaned[[#This Row],[CustomerID]], Customers_cleaned[CustomerID], Customers_cleaned[Segment]), "Customer Not Found"), "N/A")</f>
        <v>SMB</v>
      </c>
      <c r="P453" s="5" t="str">
        <f>IF(Transactions_RAW_cleaned[[#This Row],[Status]]="Refunded", "Refund",
  IF(Transactions_RAW_cleaned[[#This Row],[Category]]="Payments", IF(Transactions_RAW_cleaned[[#This Row],[Amount]]&gt;500,"High Value","Standard"),
    IF(Transactions_RAW_cleaned[[#This Row],[Amount]]&gt;250,"High Value","Standard")))</f>
        <v>High Value</v>
      </c>
      <c r="Q453" s="5" t="str">
        <f>IF(Transactions_RAW_cleaned[[#This Row],[Amount]] &gt; (_xlfn.XLOOKUP(Transactions_RAW_cleaned[[#This Row],[ServiceID]],Services_cleaned[ServiceID],Services_cleaned[TransactionFeePct]) * 10000), "Yes", "No")</f>
        <v>Yes</v>
      </c>
      <c r="R453" s="5" t="str">
        <f>IF(COUNTIFS($C$2:Transactions_RAW_cleaned[[#This Row],[CustomerID]],Transactions_RAW_cleaned[[#This Row],[CustomerID]],$D$2:Transactions_RAW_cleaned[[#This Row],[ServiceID]],Transactions_RAW_cleaned[[#This Row],[ServiceID]])=1,"Yes","No")</f>
        <v>Yes</v>
      </c>
      <c r="S45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53" t="str">
        <f>"Q"&amp;ROUNDUP(MONTH(Transactions_RAW_cleaned[[#This Row],[TransactionDate]])/3,0)</f>
        <v>Q3</v>
      </c>
      <c r="U453" t="str">
        <f>Transactions_RAW_cleaned[[#This Row],[Region ]]&amp;Transactions_RAW_cleaned[[#This Row],[Quarter ]]</f>
        <v>NAQ3</v>
      </c>
      <c r="V453" s="5">
        <f>_xlfn.XLOOKUP(Transactions_RAW_cleaned[[#This Row],[RegionQuarterKey]], Quarterly_Targets_cleaned[RegionQuarterKey], Quarterly_Targets_cleaned[TargetRevenue])</f>
        <v>273000</v>
      </c>
    </row>
    <row r="454" spans="1:22" x14ac:dyDescent="0.25">
      <c r="A454" t="s">
        <v>2966</v>
      </c>
      <c r="B454" s="1">
        <v>45345</v>
      </c>
      <c r="D454" t="s">
        <v>297</v>
      </c>
      <c r="E454">
        <v>312.8</v>
      </c>
      <c r="F454" t="s">
        <v>324</v>
      </c>
      <c r="G454" t="s">
        <v>325</v>
      </c>
      <c r="H454" t="s">
        <v>346</v>
      </c>
      <c r="L454" t="s">
        <v>298</v>
      </c>
      <c r="M454" t="s">
        <v>299</v>
      </c>
      <c r="N454">
        <v>0</v>
      </c>
      <c r="O454" t="str">
        <f>IF(Transactions_RAW_cleaned[[#This Row],[Status]]="Completed", IFERROR(_xlfn.XLOOKUP(Transactions_RAW_cleaned[[#This Row],[CustomerID]], Customers_cleaned[CustomerID], Customers_cleaned[Segment]), "Customer Not Found"), "N/A")</f>
        <v>Customer Not Found</v>
      </c>
      <c r="P454" s="5" t="str">
        <f>IF(Transactions_RAW_cleaned[[#This Row],[Status]]="Refunded", "Refund",
  IF(Transactions_RAW_cleaned[[#This Row],[Category]]="Payments", IF(Transactions_RAW_cleaned[[#This Row],[Amount]]&gt;500,"High Value","Standard"),
    IF(Transactions_RAW_cleaned[[#This Row],[Amount]]&gt;250,"High Value","Standard")))</f>
        <v>High Value</v>
      </c>
      <c r="Q454" s="5" t="str">
        <f>IF(Transactions_RAW_cleaned[[#This Row],[Amount]] &gt; (_xlfn.XLOOKUP(Transactions_RAW_cleaned[[#This Row],[ServiceID]],Services_cleaned[ServiceID],Services_cleaned[TransactionFeePct]) * 10000), "Yes", "No")</f>
        <v>Yes</v>
      </c>
      <c r="R454" s="5" t="str">
        <f>IF(COUNTIFS($C$2:Transactions_RAW_cleaned[[#This Row],[CustomerID]],Transactions_RAW_cleaned[[#This Row],[CustomerID]],$D$2:Transactions_RAW_cleaned[[#This Row],[ServiceID]],Transactions_RAW_cleaned[[#This Row],[ServiceID]])=1,"Yes","No")</f>
        <v>No</v>
      </c>
      <c r="S45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454" t="str">
        <f>"Q"&amp;ROUNDUP(MONTH(Transactions_RAW_cleaned[[#This Row],[TransactionDate]])/3,0)</f>
        <v>Q1</v>
      </c>
      <c r="U454" t="str">
        <f>Transactions_RAW_cleaned[[#This Row],[Region ]]&amp;Transactions_RAW_cleaned[[#This Row],[Quarter ]]</f>
        <v>APACQ1</v>
      </c>
      <c r="V454" s="5">
        <f>_xlfn.XLOOKUP(Transactions_RAW_cleaned[[#This Row],[RegionQuarterKey]], Quarterly_Targets_cleaned[RegionQuarterKey], Quarterly_Targets_cleaned[TargetRevenue])</f>
        <v>104500</v>
      </c>
    </row>
    <row r="455" spans="1:22" x14ac:dyDescent="0.25">
      <c r="A455" t="s">
        <v>786</v>
      </c>
      <c r="B455" s="1">
        <v>45474</v>
      </c>
      <c r="C455" t="s">
        <v>33</v>
      </c>
      <c r="D455" t="s">
        <v>294</v>
      </c>
      <c r="E455">
        <v>50.82</v>
      </c>
      <c r="F455" t="s">
        <v>324</v>
      </c>
      <c r="G455" t="s">
        <v>325</v>
      </c>
      <c r="H455" t="s">
        <v>346</v>
      </c>
      <c r="I455" t="s">
        <v>17</v>
      </c>
      <c r="J455" t="s">
        <v>31</v>
      </c>
      <c r="K455" t="s">
        <v>14</v>
      </c>
      <c r="L455" t="s">
        <v>295</v>
      </c>
      <c r="M455" t="s">
        <v>296</v>
      </c>
      <c r="N455">
        <v>2.9000000000000001E-2</v>
      </c>
      <c r="O455" t="str">
        <f>IF(Transactions_RAW_cleaned[[#This Row],[Status]]="Completed", IFERROR(_xlfn.XLOOKUP(Transactions_RAW_cleaned[[#This Row],[CustomerID]], Customers_cleaned[CustomerID], Customers_cleaned[Segment]), "Customer Not Found"), "N/A")</f>
        <v>Enterprise</v>
      </c>
      <c r="P455" s="5" t="str">
        <f>IF(Transactions_RAW_cleaned[[#This Row],[Status]]="Refunded", "Refund",
  IF(Transactions_RAW_cleaned[[#This Row],[Category]]="Payments", IF(Transactions_RAW_cleaned[[#This Row],[Amount]]&gt;500,"High Value","Standard"),
    IF(Transactions_RAW_cleaned[[#This Row],[Amount]]&gt;250,"High Value","Standard")))</f>
        <v>Standard</v>
      </c>
      <c r="Q455" s="5" t="str">
        <f>IF(Transactions_RAW_cleaned[[#This Row],[Amount]] &gt; (_xlfn.XLOOKUP(Transactions_RAW_cleaned[[#This Row],[ServiceID]],Services_cleaned[ServiceID],Services_cleaned[TransactionFeePct]) * 10000), "Yes", "No")</f>
        <v>No</v>
      </c>
      <c r="R455" s="5" t="str">
        <f>IF(COUNTIFS($C$2:Transactions_RAW_cleaned[[#This Row],[CustomerID]],Transactions_RAW_cleaned[[#This Row],[CustomerID]],$D$2:Transactions_RAW_cleaned[[#This Row],[ServiceID]],Transactions_RAW_cleaned[[#This Row],[ServiceID]])=1,"Yes","No")</f>
        <v>Yes</v>
      </c>
      <c r="S45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455" t="str">
        <f>"Q"&amp;ROUNDUP(MONTH(Transactions_RAW_cleaned[[#This Row],[TransactionDate]])/3,0)</f>
        <v>Q3</v>
      </c>
      <c r="U455" t="str">
        <f>Transactions_RAW_cleaned[[#This Row],[Region ]]&amp;Transactions_RAW_cleaned[[#This Row],[Quarter ]]</f>
        <v>EMEAQ3</v>
      </c>
      <c r="V455" s="5">
        <f>_xlfn.XLOOKUP(Transactions_RAW_cleaned[[#This Row],[RegionQuarterKey]], Quarterly_Targets_cleaned[RegionQuarterKey], Quarterly_Targets_cleaned[TargetRevenue])</f>
        <v>147000</v>
      </c>
    </row>
    <row r="456" spans="1:22" x14ac:dyDescent="0.25">
      <c r="A456" t="s">
        <v>787</v>
      </c>
      <c r="B456" s="1">
        <v>45537</v>
      </c>
      <c r="C456" t="s">
        <v>33</v>
      </c>
      <c r="D456" t="s">
        <v>294</v>
      </c>
      <c r="E456">
        <v>334.64</v>
      </c>
      <c r="F456" t="s">
        <v>381</v>
      </c>
      <c r="G456" t="s">
        <v>325</v>
      </c>
      <c r="H456" t="s">
        <v>334</v>
      </c>
      <c r="I456" t="s">
        <v>17</v>
      </c>
      <c r="J456" t="s">
        <v>31</v>
      </c>
      <c r="K456" t="s">
        <v>14</v>
      </c>
      <c r="L456" t="s">
        <v>295</v>
      </c>
      <c r="M456" t="s">
        <v>296</v>
      </c>
      <c r="N456">
        <v>2.9000000000000001E-2</v>
      </c>
      <c r="O456" t="str">
        <f>IF(Transactions_RAW_cleaned[[#This Row],[Status]]="Completed", IFERROR(_xlfn.XLOOKUP(Transactions_RAW_cleaned[[#This Row],[CustomerID]], Customers_cleaned[CustomerID], Customers_cleaned[Segment]), "Customer Not Found"), "N/A")</f>
        <v>N/A</v>
      </c>
      <c r="P456" s="5" t="str">
        <f>IF(Transactions_RAW_cleaned[[#This Row],[Status]]="Refunded", "Refund",
  IF(Transactions_RAW_cleaned[[#This Row],[Category]]="Payments", IF(Transactions_RAW_cleaned[[#This Row],[Amount]]&gt;500,"High Value","Standard"),
    IF(Transactions_RAW_cleaned[[#This Row],[Amount]]&gt;250,"High Value","Standard")))</f>
        <v>Standard</v>
      </c>
      <c r="Q456" s="5" t="str">
        <f>IF(Transactions_RAW_cleaned[[#This Row],[Amount]] &gt; (_xlfn.XLOOKUP(Transactions_RAW_cleaned[[#This Row],[ServiceID]],Services_cleaned[ServiceID],Services_cleaned[TransactionFeePct]) * 10000), "Yes", "No")</f>
        <v>Yes</v>
      </c>
      <c r="R456" s="5" t="str">
        <f>IF(COUNTIFS($C$2:Transactions_RAW_cleaned[[#This Row],[CustomerID]],Transactions_RAW_cleaned[[#This Row],[CustomerID]],$D$2:Transactions_RAW_cleaned[[#This Row],[ServiceID]],Transactions_RAW_cleaned[[#This Row],[ServiceID]])=1,"Yes","No")</f>
        <v>No</v>
      </c>
      <c r="S45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456" t="str">
        <f>"Q"&amp;ROUNDUP(MONTH(Transactions_RAW_cleaned[[#This Row],[TransactionDate]])/3,0)</f>
        <v>Q3</v>
      </c>
      <c r="U456" t="str">
        <f>Transactions_RAW_cleaned[[#This Row],[Region ]]&amp;Transactions_RAW_cleaned[[#This Row],[Quarter ]]</f>
        <v>EMEAQ3</v>
      </c>
      <c r="V456" s="5">
        <f>_xlfn.XLOOKUP(Transactions_RAW_cleaned[[#This Row],[RegionQuarterKey]], Quarterly_Targets_cleaned[RegionQuarterKey], Quarterly_Targets_cleaned[TargetRevenue])</f>
        <v>147000</v>
      </c>
    </row>
    <row r="457" spans="1:22" x14ac:dyDescent="0.25">
      <c r="A457" t="s">
        <v>788</v>
      </c>
      <c r="B457" s="1">
        <v>45559</v>
      </c>
      <c r="C457" t="s">
        <v>47</v>
      </c>
      <c r="D457" t="s">
        <v>300</v>
      </c>
      <c r="E457">
        <v>311.06</v>
      </c>
      <c r="F457" t="s">
        <v>324</v>
      </c>
      <c r="G457" t="s">
        <v>329</v>
      </c>
      <c r="H457" t="s">
        <v>334</v>
      </c>
      <c r="I457" t="s">
        <v>8</v>
      </c>
      <c r="J457" t="s">
        <v>21</v>
      </c>
      <c r="K457" t="s">
        <v>22</v>
      </c>
      <c r="L457" t="s">
        <v>301</v>
      </c>
      <c r="M457" t="s">
        <v>302</v>
      </c>
      <c r="N457">
        <v>5.0000000000000001E-3</v>
      </c>
      <c r="O457" t="str">
        <f>IF(Transactions_RAW_cleaned[[#This Row],[Status]]="Completed", IFERROR(_xlfn.XLOOKUP(Transactions_RAW_cleaned[[#This Row],[CustomerID]], Customers_cleaned[CustomerID], Customers_cleaned[Segment]), "Customer Not Found"), "N/A")</f>
        <v>SMB</v>
      </c>
      <c r="P457" s="5" t="str">
        <f>IF(Transactions_RAW_cleaned[[#This Row],[Status]]="Refunded", "Refund",
  IF(Transactions_RAW_cleaned[[#This Row],[Category]]="Payments", IF(Transactions_RAW_cleaned[[#This Row],[Amount]]&gt;500,"High Value","Standard"),
    IF(Transactions_RAW_cleaned[[#This Row],[Amount]]&gt;250,"High Value","Standard")))</f>
        <v>High Value</v>
      </c>
      <c r="Q457" s="5" t="str">
        <f>IF(Transactions_RAW_cleaned[[#This Row],[Amount]] &gt; (_xlfn.XLOOKUP(Transactions_RAW_cleaned[[#This Row],[ServiceID]],Services_cleaned[ServiceID],Services_cleaned[TransactionFeePct]) * 10000), "Yes", "No")</f>
        <v>Yes</v>
      </c>
      <c r="R457" s="5" t="str">
        <f>IF(COUNTIFS($C$2:Transactions_RAW_cleaned[[#This Row],[CustomerID]],Transactions_RAW_cleaned[[#This Row],[CustomerID]],$D$2:Transactions_RAW_cleaned[[#This Row],[ServiceID]],Transactions_RAW_cleaned[[#This Row],[ServiceID]])=1,"Yes","No")</f>
        <v>Yes</v>
      </c>
      <c r="S45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457" t="str">
        <f>"Q"&amp;ROUNDUP(MONTH(Transactions_RAW_cleaned[[#This Row],[TransactionDate]])/3,0)</f>
        <v>Q3</v>
      </c>
      <c r="U457" t="str">
        <f>Transactions_RAW_cleaned[[#This Row],[Region ]]&amp;Transactions_RAW_cleaned[[#This Row],[Quarter ]]</f>
        <v>APACQ3</v>
      </c>
      <c r="V457" s="5">
        <f>_xlfn.XLOOKUP(Transactions_RAW_cleaned[[#This Row],[RegionQuarterKey]], Quarterly_Targets_cleaned[RegionQuarterKey], Quarterly_Targets_cleaned[TargetRevenue])</f>
        <v>115500</v>
      </c>
    </row>
    <row r="458" spans="1:22" x14ac:dyDescent="0.25">
      <c r="A458" t="s">
        <v>789</v>
      </c>
      <c r="B458" s="1">
        <v>45530</v>
      </c>
      <c r="C458" t="s">
        <v>74</v>
      </c>
      <c r="D458" t="s">
        <v>297</v>
      </c>
      <c r="E458">
        <v>449.52</v>
      </c>
      <c r="F458" t="s">
        <v>324</v>
      </c>
      <c r="G458" t="s">
        <v>325</v>
      </c>
      <c r="I458" t="s">
        <v>17</v>
      </c>
      <c r="J458" t="s">
        <v>46</v>
      </c>
      <c r="K458" t="s">
        <v>28</v>
      </c>
      <c r="L458" t="s">
        <v>298</v>
      </c>
      <c r="M458" t="s">
        <v>299</v>
      </c>
      <c r="N458">
        <v>0</v>
      </c>
      <c r="O458" t="str">
        <f>IF(Transactions_RAW_cleaned[[#This Row],[Status]]="Completed", IFERROR(_xlfn.XLOOKUP(Transactions_RAW_cleaned[[#This Row],[CustomerID]], Customers_cleaned[CustomerID], Customers_cleaned[Segment]), "Customer Not Found"), "N/A")</f>
        <v>Enterprise</v>
      </c>
      <c r="P458" s="5" t="str">
        <f>IF(Transactions_RAW_cleaned[[#This Row],[Status]]="Refunded", "Refund",
  IF(Transactions_RAW_cleaned[[#This Row],[Category]]="Payments", IF(Transactions_RAW_cleaned[[#This Row],[Amount]]&gt;500,"High Value","Standard"),
    IF(Transactions_RAW_cleaned[[#This Row],[Amount]]&gt;250,"High Value","Standard")))</f>
        <v>High Value</v>
      </c>
      <c r="Q458" s="5" t="str">
        <f>IF(Transactions_RAW_cleaned[[#This Row],[Amount]] &gt; (_xlfn.XLOOKUP(Transactions_RAW_cleaned[[#This Row],[ServiceID]],Services_cleaned[ServiceID],Services_cleaned[TransactionFeePct]) * 10000), "Yes", "No")</f>
        <v>Yes</v>
      </c>
      <c r="R458" s="5" t="str">
        <f>IF(COUNTIFS($C$2:Transactions_RAW_cleaned[[#This Row],[CustomerID]],Transactions_RAW_cleaned[[#This Row],[CustomerID]],$D$2:Transactions_RAW_cleaned[[#This Row],[ServiceID]],Transactions_RAW_cleaned[[#This Row],[ServiceID]])=1,"Yes","No")</f>
        <v>No</v>
      </c>
      <c r="S45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458" t="str">
        <f>"Q"&amp;ROUNDUP(MONTH(Transactions_RAW_cleaned[[#This Row],[TransactionDate]])/3,0)</f>
        <v>Q3</v>
      </c>
      <c r="U458" t="str">
        <f>Transactions_RAW_cleaned[[#This Row],[Region ]]&amp;Transactions_RAW_cleaned[[#This Row],[Quarter ]]</f>
        <v>APACQ3</v>
      </c>
      <c r="V458" s="5">
        <f>_xlfn.XLOOKUP(Transactions_RAW_cleaned[[#This Row],[RegionQuarterKey]], Quarterly_Targets_cleaned[RegionQuarterKey], Quarterly_Targets_cleaned[TargetRevenue])</f>
        <v>115500</v>
      </c>
    </row>
    <row r="459" spans="1:22" x14ac:dyDescent="0.25">
      <c r="A459" t="s">
        <v>790</v>
      </c>
      <c r="B459" s="1">
        <v>45650</v>
      </c>
      <c r="C459" t="s">
        <v>53</v>
      </c>
      <c r="D459" t="s">
        <v>312</v>
      </c>
      <c r="E459">
        <v>203.16</v>
      </c>
      <c r="F459" t="s">
        <v>324</v>
      </c>
      <c r="G459" t="s">
        <v>337</v>
      </c>
      <c r="H459" t="s">
        <v>346</v>
      </c>
      <c r="I459" t="s">
        <v>17</v>
      </c>
      <c r="J459" t="s">
        <v>21</v>
      </c>
      <c r="K459" t="s">
        <v>28</v>
      </c>
      <c r="L459" t="s">
        <v>313</v>
      </c>
      <c r="M459" t="s">
        <v>314</v>
      </c>
      <c r="N459">
        <v>0</v>
      </c>
      <c r="O459" t="str">
        <f>IF(Transactions_RAW_cleaned[[#This Row],[Status]]="Completed", IFERROR(_xlfn.XLOOKUP(Transactions_RAW_cleaned[[#This Row],[CustomerID]], Customers_cleaned[CustomerID], Customers_cleaned[Segment]), "Customer Not Found"), "N/A")</f>
        <v>Enterprise</v>
      </c>
      <c r="P459" s="5" t="str">
        <f>IF(Transactions_RAW_cleaned[[#This Row],[Status]]="Refunded", "Refund",
  IF(Transactions_RAW_cleaned[[#This Row],[Category]]="Payments", IF(Transactions_RAW_cleaned[[#This Row],[Amount]]&gt;500,"High Value","Standard"),
    IF(Transactions_RAW_cleaned[[#This Row],[Amount]]&gt;250,"High Value","Standard")))</f>
        <v>Standard</v>
      </c>
      <c r="Q459" s="5" t="str">
        <f>IF(Transactions_RAW_cleaned[[#This Row],[Amount]] &gt; (_xlfn.XLOOKUP(Transactions_RAW_cleaned[[#This Row],[ServiceID]],Services_cleaned[ServiceID],Services_cleaned[TransactionFeePct]) * 10000), "Yes", "No")</f>
        <v>Yes</v>
      </c>
      <c r="R459" s="5" t="str">
        <f>IF(COUNTIFS($C$2:Transactions_RAW_cleaned[[#This Row],[CustomerID]],Transactions_RAW_cleaned[[#This Row],[CustomerID]],$D$2:Transactions_RAW_cleaned[[#This Row],[ServiceID]],Transactions_RAW_cleaned[[#This Row],[ServiceID]])=1,"Yes","No")</f>
        <v>Yes</v>
      </c>
      <c r="S45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459" t="str">
        <f>"Q"&amp;ROUNDUP(MONTH(Transactions_RAW_cleaned[[#This Row],[TransactionDate]])/3,0)</f>
        <v>Q4</v>
      </c>
      <c r="U459" t="str">
        <f>Transactions_RAW_cleaned[[#This Row],[Region ]]&amp;Transactions_RAW_cleaned[[#This Row],[Quarter ]]</f>
        <v>APACQ4</v>
      </c>
      <c r="V459" s="5">
        <f>_xlfn.XLOOKUP(Transactions_RAW_cleaned[[#This Row],[RegionQuarterKey]], Quarterly_Targets_cleaned[RegionQuarterKey], Quarterly_Targets_cleaned[TargetRevenue])</f>
        <v>126500</v>
      </c>
    </row>
    <row r="460" spans="1:22" x14ac:dyDescent="0.25">
      <c r="A460" t="s">
        <v>791</v>
      </c>
      <c r="B460" s="1">
        <v>45344</v>
      </c>
      <c r="C460" t="s">
        <v>223</v>
      </c>
      <c r="D460" t="s">
        <v>294</v>
      </c>
      <c r="E460">
        <v>605.95000000000005</v>
      </c>
      <c r="F460" t="s">
        <v>331</v>
      </c>
      <c r="G460" t="s">
        <v>325</v>
      </c>
      <c r="H460" t="s">
        <v>332</v>
      </c>
      <c r="I460" t="s">
        <v>8</v>
      </c>
      <c r="J460" t="s">
        <v>102</v>
      </c>
      <c r="K460" t="s">
        <v>28</v>
      </c>
      <c r="L460" t="s">
        <v>295</v>
      </c>
      <c r="M460" t="s">
        <v>296</v>
      </c>
      <c r="N460">
        <v>2.9000000000000001E-2</v>
      </c>
      <c r="O460" t="str">
        <f>IF(Transactions_RAW_cleaned[[#This Row],[Status]]="Completed", IFERROR(_xlfn.XLOOKUP(Transactions_RAW_cleaned[[#This Row],[CustomerID]], Customers_cleaned[CustomerID], Customers_cleaned[Segment]), "Customer Not Found"), "N/A")</f>
        <v>N/A</v>
      </c>
      <c r="P460" s="5" t="str">
        <f>IF(Transactions_RAW_cleaned[[#This Row],[Status]]="Refunded", "Refund",
  IF(Transactions_RAW_cleaned[[#This Row],[Category]]="Payments", IF(Transactions_RAW_cleaned[[#This Row],[Amount]]&gt;500,"High Value","Standard"),
    IF(Transactions_RAW_cleaned[[#This Row],[Amount]]&gt;250,"High Value","Standard")))</f>
        <v>High Value</v>
      </c>
      <c r="Q460" s="5" t="str">
        <f>IF(Transactions_RAW_cleaned[[#This Row],[Amount]] &gt; (_xlfn.XLOOKUP(Transactions_RAW_cleaned[[#This Row],[ServiceID]],Services_cleaned[ServiceID],Services_cleaned[TransactionFeePct]) * 10000), "Yes", "No")</f>
        <v>Yes</v>
      </c>
      <c r="R460" s="5" t="str">
        <f>IF(COUNTIFS($C$2:Transactions_RAW_cleaned[[#This Row],[CustomerID]],Transactions_RAW_cleaned[[#This Row],[CustomerID]],$D$2:Transactions_RAW_cleaned[[#This Row],[ServiceID]],Transactions_RAW_cleaned[[#This Row],[ServiceID]])=1,"Yes","No")</f>
        <v>Yes</v>
      </c>
      <c r="S46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60" t="str">
        <f>"Q"&amp;ROUNDUP(MONTH(Transactions_RAW_cleaned[[#This Row],[TransactionDate]])/3,0)</f>
        <v>Q1</v>
      </c>
      <c r="U460" t="str">
        <f>Transactions_RAW_cleaned[[#This Row],[Region ]]&amp;Transactions_RAW_cleaned[[#This Row],[Quarter ]]</f>
        <v>NAQ1</v>
      </c>
      <c r="V460" s="5">
        <f>_xlfn.XLOOKUP(Transactions_RAW_cleaned[[#This Row],[RegionQuarterKey]], Quarterly_Targets_cleaned[RegionQuarterKey], Quarterly_Targets_cleaned[TargetRevenue])</f>
        <v>247000</v>
      </c>
    </row>
    <row r="461" spans="1:22" x14ac:dyDescent="0.25">
      <c r="A461" t="s">
        <v>792</v>
      </c>
      <c r="B461" s="1">
        <v>45352</v>
      </c>
      <c r="C461" t="s">
        <v>223</v>
      </c>
      <c r="D461" t="s">
        <v>309</v>
      </c>
      <c r="E461">
        <v>238.03</v>
      </c>
      <c r="F461" t="s">
        <v>324</v>
      </c>
      <c r="G461" t="s">
        <v>325</v>
      </c>
      <c r="H461" t="s">
        <v>334</v>
      </c>
      <c r="I461" t="s">
        <v>8</v>
      </c>
      <c r="J461" t="s">
        <v>102</v>
      </c>
      <c r="K461" t="s">
        <v>28</v>
      </c>
      <c r="L461" t="s">
        <v>310</v>
      </c>
      <c r="M461" t="s">
        <v>311</v>
      </c>
      <c r="N461">
        <v>0</v>
      </c>
      <c r="O461" t="str">
        <f>IF(Transactions_RAW_cleaned[[#This Row],[Status]]="Completed", IFERROR(_xlfn.XLOOKUP(Transactions_RAW_cleaned[[#This Row],[CustomerID]], Customers_cleaned[CustomerID], Customers_cleaned[Segment]), "Customer Not Found"), "N/A")</f>
        <v>SMB</v>
      </c>
      <c r="P461" s="5" t="str">
        <f>IF(Transactions_RAW_cleaned[[#This Row],[Status]]="Refunded", "Refund",
  IF(Transactions_RAW_cleaned[[#This Row],[Category]]="Payments", IF(Transactions_RAW_cleaned[[#This Row],[Amount]]&gt;500,"High Value","Standard"),
    IF(Transactions_RAW_cleaned[[#This Row],[Amount]]&gt;250,"High Value","Standard")))</f>
        <v>Standard</v>
      </c>
      <c r="Q461" s="5" t="str">
        <f>IF(Transactions_RAW_cleaned[[#This Row],[Amount]] &gt; (_xlfn.XLOOKUP(Transactions_RAW_cleaned[[#This Row],[ServiceID]],Services_cleaned[ServiceID],Services_cleaned[TransactionFeePct]) * 10000), "Yes", "No")</f>
        <v>Yes</v>
      </c>
      <c r="R461" s="5" t="str">
        <f>IF(COUNTIFS($C$2:Transactions_RAW_cleaned[[#This Row],[CustomerID]],Transactions_RAW_cleaned[[#This Row],[CustomerID]],$D$2:Transactions_RAW_cleaned[[#This Row],[ServiceID]],Transactions_RAW_cleaned[[#This Row],[ServiceID]])=1,"Yes","No")</f>
        <v>Yes</v>
      </c>
      <c r="S46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61" t="str">
        <f>"Q"&amp;ROUNDUP(MONTH(Transactions_RAW_cleaned[[#This Row],[TransactionDate]])/3,0)</f>
        <v>Q1</v>
      </c>
      <c r="U461" t="str">
        <f>Transactions_RAW_cleaned[[#This Row],[Region ]]&amp;Transactions_RAW_cleaned[[#This Row],[Quarter ]]</f>
        <v>NAQ1</v>
      </c>
      <c r="V461" s="5">
        <f>_xlfn.XLOOKUP(Transactions_RAW_cleaned[[#This Row],[RegionQuarterKey]], Quarterly_Targets_cleaned[RegionQuarterKey], Quarterly_Targets_cleaned[TargetRevenue])</f>
        <v>247000</v>
      </c>
    </row>
    <row r="462" spans="1:22" x14ac:dyDescent="0.25">
      <c r="A462" t="s">
        <v>793</v>
      </c>
      <c r="B462" s="1">
        <v>45544</v>
      </c>
      <c r="C462" t="s">
        <v>209</v>
      </c>
      <c r="D462" t="s">
        <v>303</v>
      </c>
      <c r="E462">
        <v>731.16</v>
      </c>
      <c r="F462" t="s">
        <v>331</v>
      </c>
      <c r="G462" t="s">
        <v>327</v>
      </c>
      <c r="I462" t="s">
        <v>17</v>
      </c>
      <c r="J462" t="s">
        <v>102</v>
      </c>
      <c r="K462" t="s">
        <v>22</v>
      </c>
      <c r="L462" t="s">
        <v>304</v>
      </c>
      <c r="M462" t="s">
        <v>305</v>
      </c>
      <c r="N462">
        <v>1E-3</v>
      </c>
      <c r="O462" t="str">
        <f>IF(Transactions_RAW_cleaned[[#This Row],[Status]]="Completed", IFERROR(_xlfn.XLOOKUP(Transactions_RAW_cleaned[[#This Row],[CustomerID]], Customers_cleaned[CustomerID], Customers_cleaned[Segment]), "Customer Not Found"), "N/A")</f>
        <v>N/A</v>
      </c>
      <c r="P462" s="5" t="str">
        <f>IF(Transactions_RAW_cleaned[[#This Row],[Status]]="Refunded", "Refund",
  IF(Transactions_RAW_cleaned[[#This Row],[Category]]="Payments", IF(Transactions_RAW_cleaned[[#This Row],[Amount]]&gt;500,"High Value","Standard"),
    IF(Transactions_RAW_cleaned[[#This Row],[Amount]]&gt;250,"High Value","Standard")))</f>
        <v>High Value</v>
      </c>
      <c r="Q462" s="5" t="str">
        <f>IF(Transactions_RAW_cleaned[[#This Row],[Amount]] &gt; (_xlfn.XLOOKUP(Transactions_RAW_cleaned[[#This Row],[ServiceID]],Services_cleaned[ServiceID],Services_cleaned[TransactionFeePct]) * 10000), "Yes", "No")</f>
        <v>Yes</v>
      </c>
      <c r="R462" s="5" t="str">
        <f>IF(COUNTIFS($C$2:Transactions_RAW_cleaned[[#This Row],[CustomerID]],Transactions_RAW_cleaned[[#This Row],[CustomerID]],$D$2:Transactions_RAW_cleaned[[#This Row],[ServiceID]],Transactions_RAW_cleaned[[#This Row],[ServiceID]])=1,"Yes","No")</f>
        <v>Yes</v>
      </c>
      <c r="S46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62" t="str">
        <f>"Q"&amp;ROUNDUP(MONTH(Transactions_RAW_cleaned[[#This Row],[TransactionDate]])/3,0)</f>
        <v>Q3</v>
      </c>
      <c r="U462" t="str">
        <f>Transactions_RAW_cleaned[[#This Row],[Region ]]&amp;Transactions_RAW_cleaned[[#This Row],[Quarter ]]</f>
        <v>NAQ3</v>
      </c>
      <c r="V462" s="5">
        <f>_xlfn.XLOOKUP(Transactions_RAW_cleaned[[#This Row],[RegionQuarterKey]], Quarterly_Targets_cleaned[RegionQuarterKey], Quarterly_Targets_cleaned[TargetRevenue])</f>
        <v>273000</v>
      </c>
    </row>
    <row r="463" spans="1:22" x14ac:dyDescent="0.25">
      <c r="A463" t="s">
        <v>794</v>
      </c>
      <c r="B463" s="1">
        <v>45438</v>
      </c>
      <c r="C463" t="s">
        <v>100</v>
      </c>
      <c r="D463" t="s">
        <v>294</v>
      </c>
      <c r="E463">
        <v>198.05</v>
      </c>
      <c r="F463" t="s">
        <v>324</v>
      </c>
      <c r="G463" t="s">
        <v>337</v>
      </c>
      <c r="H463" t="s">
        <v>346</v>
      </c>
      <c r="I463" t="s">
        <v>8</v>
      </c>
      <c r="J463" t="s">
        <v>102</v>
      </c>
      <c r="K463" t="s">
        <v>22</v>
      </c>
      <c r="L463" t="s">
        <v>295</v>
      </c>
      <c r="M463" t="s">
        <v>296</v>
      </c>
      <c r="N463">
        <v>2.9000000000000001E-2</v>
      </c>
      <c r="O463" t="str">
        <f>IF(Transactions_RAW_cleaned[[#This Row],[Status]]="Completed", IFERROR(_xlfn.XLOOKUP(Transactions_RAW_cleaned[[#This Row],[CustomerID]], Customers_cleaned[CustomerID], Customers_cleaned[Segment]), "Customer Not Found"), "N/A")</f>
        <v>SMB</v>
      </c>
      <c r="P463" s="5" t="str">
        <f>IF(Transactions_RAW_cleaned[[#This Row],[Status]]="Refunded", "Refund",
  IF(Transactions_RAW_cleaned[[#This Row],[Category]]="Payments", IF(Transactions_RAW_cleaned[[#This Row],[Amount]]&gt;500,"High Value","Standard"),
    IF(Transactions_RAW_cleaned[[#This Row],[Amount]]&gt;250,"High Value","Standard")))</f>
        <v>Standard</v>
      </c>
      <c r="Q463" s="5" t="str">
        <f>IF(Transactions_RAW_cleaned[[#This Row],[Amount]] &gt; (_xlfn.XLOOKUP(Transactions_RAW_cleaned[[#This Row],[ServiceID]],Services_cleaned[ServiceID],Services_cleaned[TransactionFeePct]) * 10000), "Yes", "No")</f>
        <v>No</v>
      </c>
      <c r="R463" s="5" t="str">
        <f>IF(COUNTIFS($C$2:Transactions_RAW_cleaned[[#This Row],[CustomerID]],Transactions_RAW_cleaned[[#This Row],[CustomerID]],$D$2:Transactions_RAW_cleaned[[#This Row],[ServiceID]],Transactions_RAW_cleaned[[#This Row],[ServiceID]])=1,"Yes","No")</f>
        <v>No</v>
      </c>
      <c r="S46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63" t="str">
        <f>"Q"&amp;ROUNDUP(MONTH(Transactions_RAW_cleaned[[#This Row],[TransactionDate]])/3,0)</f>
        <v>Q2</v>
      </c>
      <c r="U463" t="str">
        <f>Transactions_RAW_cleaned[[#This Row],[Region ]]&amp;Transactions_RAW_cleaned[[#This Row],[Quarter ]]</f>
        <v>NAQ2</v>
      </c>
      <c r="V463" s="5">
        <f>_xlfn.XLOOKUP(Transactions_RAW_cleaned[[#This Row],[RegionQuarterKey]], Quarterly_Targets_cleaned[RegionQuarterKey], Quarterly_Targets_cleaned[TargetRevenue])</f>
        <v>260000</v>
      </c>
    </row>
    <row r="464" spans="1:22" x14ac:dyDescent="0.25">
      <c r="A464" t="s">
        <v>795</v>
      </c>
      <c r="B464" s="1">
        <v>45408</v>
      </c>
      <c r="C464" t="s">
        <v>6</v>
      </c>
      <c r="D464" t="s">
        <v>303</v>
      </c>
      <c r="E464">
        <v>617.86</v>
      </c>
      <c r="F464" t="s">
        <v>324</v>
      </c>
      <c r="G464" t="s">
        <v>337</v>
      </c>
      <c r="H464" t="s">
        <v>346</v>
      </c>
      <c r="I464" t="s">
        <v>8</v>
      </c>
      <c r="J464" t="s">
        <v>102</v>
      </c>
      <c r="K464" t="s">
        <v>10</v>
      </c>
      <c r="L464" t="s">
        <v>304</v>
      </c>
      <c r="M464" t="s">
        <v>305</v>
      </c>
      <c r="N464">
        <v>1E-3</v>
      </c>
      <c r="O464" t="str">
        <f>IF(Transactions_RAW_cleaned[[#This Row],[Status]]="Completed", IFERROR(_xlfn.XLOOKUP(Transactions_RAW_cleaned[[#This Row],[CustomerID]], Customers_cleaned[CustomerID], Customers_cleaned[Segment]), "Customer Not Found"), "N/A")</f>
        <v>SMB</v>
      </c>
      <c r="P464" s="5" t="str">
        <f>IF(Transactions_RAW_cleaned[[#This Row],[Status]]="Refunded", "Refund",
  IF(Transactions_RAW_cleaned[[#This Row],[Category]]="Payments", IF(Transactions_RAW_cleaned[[#This Row],[Amount]]&gt;500,"High Value","Standard"),
    IF(Transactions_RAW_cleaned[[#This Row],[Amount]]&gt;250,"High Value","Standard")))</f>
        <v>High Value</v>
      </c>
      <c r="Q464" s="5" t="str">
        <f>IF(Transactions_RAW_cleaned[[#This Row],[Amount]] &gt; (_xlfn.XLOOKUP(Transactions_RAW_cleaned[[#This Row],[ServiceID]],Services_cleaned[ServiceID],Services_cleaned[TransactionFeePct]) * 10000), "Yes", "No")</f>
        <v>Yes</v>
      </c>
      <c r="R464" s="5" t="str">
        <f>IF(COUNTIFS($C$2:Transactions_RAW_cleaned[[#This Row],[CustomerID]],Transactions_RAW_cleaned[[#This Row],[CustomerID]],$D$2:Transactions_RAW_cleaned[[#This Row],[ServiceID]],Transactions_RAW_cleaned[[#This Row],[ServiceID]])=1,"Yes","No")</f>
        <v>Yes</v>
      </c>
      <c r="S46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64" t="str">
        <f>"Q"&amp;ROUNDUP(MONTH(Transactions_RAW_cleaned[[#This Row],[TransactionDate]])/3,0)</f>
        <v>Q2</v>
      </c>
      <c r="U464" t="str">
        <f>Transactions_RAW_cleaned[[#This Row],[Region ]]&amp;Transactions_RAW_cleaned[[#This Row],[Quarter ]]</f>
        <v>NAQ2</v>
      </c>
      <c r="V464" s="5">
        <f>_xlfn.XLOOKUP(Transactions_RAW_cleaned[[#This Row],[RegionQuarterKey]], Quarterly_Targets_cleaned[RegionQuarterKey], Quarterly_Targets_cleaned[TargetRevenue])</f>
        <v>260000</v>
      </c>
    </row>
    <row r="465" spans="1:22" x14ac:dyDescent="0.25">
      <c r="A465" t="s">
        <v>796</v>
      </c>
      <c r="B465" s="1">
        <v>45546</v>
      </c>
      <c r="C465" t="s">
        <v>123</v>
      </c>
      <c r="D465" t="s">
        <v>294</v>
      </c>
      <c r="E465">
        <v>310.11</v>
      </c>
      <c r="F465" t="s">
        <v>324</v>
      </c>
      <c r="G465" t="s">
        <v>327</v>
      </c>
      <c r="H465" t="s">
        <v>332</v>
      </c>
      <c r="I465" t="s">
        <v>8</v>
      </c>
      <c r="J465" t="s">
        <v>13</v>
      </c>
      <c r="K465" t="s">
        <v>32</v>
      </c>
      <c r="L465" t="s">
        <v>295</v>
      </c>
      <c r="M465" t="s">
        <v>296</v>
      </c>
      <c r="N465">
        <v>2.9000000000000001E-2</v>
      </c>
      <c r="O465" t="str">
        <f>IF(Transactions_RAW_cleaned[[#This Row],[Status]]="Completed", IFERROR(_xlfn.XLOOKUP(Transactions_RAW_cleaned[[#This Row],[CustomerID]], Customers_cleaned[CustomerID], Customers_cleaned[Segment]), "Customer Not Found"), "N/A")</f>
        <v>SMB</v>
      </c>
      <c r="P465" s="5" t="str">
        <f>IF(Transactions_RAW_cleaned[[#This Row],[Status]]="Refunded", "Refund",
  IF(Transactions_RAW_cleaned[[#This Row],[Category]]="Payments", IF(Transactions_RAW_cleaned[[#This Row],[Amount]]&gt;500,"High Value","Standard"),
    IF(Transactions_RAW_cleaned[[#This Row],[Amount]]&gt;250,"High Value","Standard")))</f>
        <v>Standard</v>
      </c>
      <c r="Q465" s="5" t="str">
        <f>IF(Transactions_RAW_cleaned[[#This Row],[Amount]] &gt; (_xlfn.XLOOKUP(Transactions_RAW_cleaned[[#This Row],[ServiceID]],Services_cleaned[ServiceID],Services_cleaned[TransactionFeePct]) * 10000), "Yes", "No")</f>
        <v>Yes</v>
      </c>
      <c r="R465" s="5" t="str">
        <f>IF(COUNTIFS($C$2:Transactions_RAW_cleaned[[#This Row],[CustomerID]],Transactions_RAW_cleaned[[#This Row],[CustomerID]],$D$2:Transactions_RAW_cleaned[[#This Row],[ServiceID]],Transactions_RAW_cleaned[[#This Row],[ServiceID]])=1,"Yes","No")</f>
        <v>No</v>
      </c>
      <c r="S46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65" t="str">
        <f>"Q"&amp;ROUNDUP(MONTH(Transactions_RAW_cleaned[[#This Row],[TransactionDate]])/3,0)</f>
        <v>Q3</v>
      </c>
      <c r="U465" t="str">
        <f>Transactions_RAW_cleaned[[#This Row],[Region ]]&amp;Transactions_RAW_cleaned[[#This Row],[Quarter ]]</f>
        <v>NAQ3</v>
      </c>
      <c r="V465" s="5">
        <f>_xlfn.XLOOKUP(Transactions_RAW_cleaned[[#This Row],[RegionQuarterKey]], Quarterly_Targets_cleaned[RegionQuarterKey], Quarterly_Targets_cleaned[TargetRevenue])</f>
        <v>273000</v>
      </c>
    </row>
    <row r="466" spans="1:22" x14ac:dyDescent="0.25">
      <c r="A466" t="s">
        <v>797</v>
      </c>
      <c r="B466" s="1">
        <v>45307</v>
      </c>
      <c r="C466" t="s">
        <v>92</v>
      </c>
      <c r="D466" t="s">
        <v>297</v>
      </c>
      <c r="E466">
        <v>279.25</v>
      </c>
      <c r="F466" t="s">
        <v>324</v>
      </c>
      <c r="G466" t="s">
        <v>2963</v>
      </c>
      <c r="I466" t="s">
        <v>8</v>
      </c>
      <c r="J466" t="s">
        <v>102</v>
      </c>
      <c r="K466" t="s">
        <v>10</v>
      </c>
      <c r="L466" t="s">
        <v>298</v>
      </c>
      <c r="M466" t="s">
        <v>299</v>
      </c>
      <c r="N466">
        <v>0</v>
      </c>
      <c r="O466" t="str">
        <f>IF(Transactions_RAW_cleaned[[#This Row],[Status]]="Completed", IFERROR(_xlfn.XLOOKUP(Transactions_RAW_cleaned[[#This Row],[CustomerID]], Customers_cleaned[CustomerID], Customers_cleaned[Segment]), "Customer Not Found"), "N/A")</f>
        <v>SMB</v>
      </c>
      <c r="P466" s="5" t="str">
        <f>IF(Transactions_RAW_cleaned[[#This Row],[Status]]="Refunded", "Refund",
  IF(Transactions_RAW_cleaned[[#This Row],[Category]]="Payments", IF(Transactions_RAW_cleaned[[#This Row],[Amount]]&gt;500,"High Value","Standard"),
    IF(Transactions_RAW_cleaned[[#This Row],[Amount]]&gt;250,"High Value","Standard")))</f>
        <v>High Value</v>
      </c>
      <c r="Q466" s="5" t="str">
        <f>IF(Transactions_RAW_cleaned[[#This Row],[Amount]] &gt; (_xlfn.XLOOKUP(Transactions_RAW_cleaned[[#This Row],[ServiceID]],Services_cleaned[ServiceID],Services_cleaned[TransactionFeePct]) * 10000), "Yes", "No")</f>
        <v>Yes</v>
      </c>
      <c r="R466" s="5" t="str">
        <f>IF(COUNTIFS($C$2:Transactions_RAW_cleaned[[#This Row],[CustomerID]],Transactions_RAW_cleaned[[#This Row],[CustomerID]],$D$2:Transactions_RAW_cleaned[[#This Row],[ServiceID]],Transactions_RAW_cleaned[[#This Row],[ServiceID]])=1,"Yes","No")</f>
        <v>No</v>
      </c>
      <c r="S46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66" t="str">
        <f>"Q"&amp;ROUNDUP(MONTH(Transactions_RAW_cleaned[[#This Row],[TransactionDate]])/3,0)</f>
        <v>Q1</v>
      </c>
      <c r="U466" t="str">
        <f>Transactions_RAW_cleaned[[#This Row],[Region ]]&amp;Transactions_RAW_cleaned[[#This Row],[Quarter ]]</f>
        <v>NAQ1</v>
      </c>
      <c r="V466" s="5">
        <f>_xlfn.XLOOKUP(Transactions_RAW_cleaned[[#This Row],[RegionQuarterKey]], Quarterly_Targets_cleaned[RegionQuarterKey], Quarterly_Targets_cleaned[TargetRevenue])</f>
        <v>247000</v>
      </c>
    </row>
    <row r="467" spans="1:22" x14ac:dyDescent="0.25">
      <c r="A467" t="s">
        <v>798</v>
      </c>
      <c r="B467" s="1">
        <v>45427</v>
      </c>
      <c r="C467" t="s">
        <v>267</v>
      </c>
      <c r="D467" t="s">
        <v>294</v>
      </c>
      <c r="E467">
        <v>123.31</v>
      </c>
      <c r="F467" t="s">
        <v>324</v>
      </c>
      <c r="G467" t="s">
        <v>325</v>
      </c>
      <c r="I467" t="s">
        <v>8</v>
      </c>
      <c r="J467" t="s">
        <v>102</v>
      </c>
      <c r="K467" t="s">
        <v>22</v>
      </c>
      <c r="L467" t="s">
        <v>295</v>
      </c>
      <c r="M467" t="s">
        <v>296</v>
      </c>
      <c r="N467">
        <v>2.9000000000000001E-2</v>
      </c>
      <c r="O467" t="str">
        <f>IF(Transactions_RAW_cleaned[[#This Row],[Status]]="Completed", IFERROR(_xlfn.XLOOKUP(Transactions_RAW_cleaned[[#This Row],[CustomerID]], Customers_cleaned[CustomerID], Customers_cleaned[Segment]), "Customer Not Found"), "N/A")</f>
        <v>SMB</v>
      </c>
      <c r="P467" s="5" t="str">
        <f>IF(Transactions_RAW_cleaned[[#This Row],[Status]]="Refunded", "Refund",
  IF(Transactions_RAW_cleaned[[#This Row],[Category]]="Payments", IF(Transactions_RAW_cleaned[[#This Row],[Amount]]&gt;500,"High Value","Standard"),
    IF(Transactions_RAW_cleaned[[#This Row],[Amount]]&gt;250,"High Value","Standard")))</f>
        <v>Standard</v>
      </c>
      <c r="Q467" s="5" t="str">
        <f>IF(Transactions_RAW_cleaned[[#This Row],[Amount]] &gt; (_xlfn.XLOOKUP(Transactions_RAW_cleaned[[#This Row],[ServiceID]],Services_cleaned[ServiceID],Services_cleaned[TransactionFeePct]) * 10000), "Yes", "No")</f>
        <v>No</v>
      </c>
      <c r="R467" s="5" t="str">
        <f>IF(COUNTIFS($C$2:Transactions_RAW_cleaned[[#This Row],[CustomerID]],Transactions_RAW_cleaned[[#This Row],[CustomerID]],$D$2:Transactions_RAW_cleaned[[#This Row],[ServiceID]],Transactions_RAW_cleaned[[#This Row],[ServiceID]])=1,"Yes","No")</f>
        <v>No</v>
      </c>
      <c r="S46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67" t="str">
        <f>"Q"&amp;ROUNDUP(MONTH(Transactions_RAW_cleaned[[#This Row],[TransactionDate]])/3,0)</f>
        <v>Q2</v>
      </c>
      <c r="U467" t="str">
        <f>Transactions_RAW_cleaned[[#This Row],[Region ]]&amp;Transactions_RAW_cleaned[[#This Row],[Quarter ]]</f>
        <v>NAQ2</v>
      </c>
      <c r="V467" s="5">
        <f>_xlfn.XLOOKUP(Transactions_RAW_cleaned[[#This Row],[RegionQuarterKey]], Quarterly_Targets_cleaned[RegionQuarterKey], Quarterly_Targets_cleaned[TargetRevenue])</f>
        <v>260000</v>
      </c>
    </row>
    <row r="468" spans="1:22" x14ac:dyDescent="0.25">
      <c r="A468" t="s">
        <v>799</v>
      </c>
      <c r="B468" s="1">
        <v>45478</v>
      </c>
      <c r="C468" t="s">
        <v>189</v>
      </c>
      <c r="D468" t="s">
        <v>297</v>
      </c>
      <c r="E468">
        <v>-78.16</v>
      </c>
      <c r="F468" t="s">
        <v>349</v>
      </c>
      <c r="G468" t="s">
        <v>327</v>
      </c>
      <c r="H468" t="s">
        <v>334</v>
      </c>
      <c r="I468" t="s">
        <v>17</v>
      </c>
      <c r="J468" t="s">
        <v>102</v>
      </c>
      <c r="K468" t="s">
        <v>14</v>
      </c>
      <c r="L468" t="s">
        <v>298</v>
      </c>
      <c r="M468" t="s">
        <v>299</v>
      </c>
      <c r="N468">
        <v>0</v>
      </c>
      <c r="O468" t="str">
        <f>IF(Transactions_RAW_cleaned[[#This Row],[Status]]="Completed", IFERROR(_xlfn.XLOOKUP(Transactions_RAW_cleaned[[#This Row],[CustomerID]], Customers_cleaned[CustomerID], Customers_cleaned[Segment]), "Customer Not Found"), "N/A")</f>
        <v>N/A</v>
      </c>
      <c r="P468" s="5" t="str">
        <f>IF(Transactions_RAW_cleaned[[#This Row],[Status]]="Refunded", "Refund",
  IF(Transactions_RAW_cleaned[[#This Row],[Category]]="Payments", IF(Transactions_RAW_cleaned[[#This Row],[Amount]]&gt;500,"High Value","Standard"),
    IF(Transactions_RAW_cleaned[[#This Row],[Amount]]&gt;250,"High Value","Standard")))</f>
        <v>Refund</v>
      </c>
      <c r="Q468" s="5" t="str">
        <f>IF(Transactions_RAW_cleaned[[#This Row],[Amount]] &gt; (_xlfn.XLOOKUP(Transactions_RAW_cleaned[[#This Row],[ServiceID]],Services_cleaned[ServiceID],Services_cleaned[TransactionFeePct]) * 10000), "Yes", "No")</f>
        <v>No</v>
      </c>
      <c r="R468" s="5" t="str">
        <f>IF(COUNTIFS($C$2:Transactions_RAW_cleaned[[#This Row],[CustomerID]],Transactions_RAW_cleaned[[#This Row],[CustomerID]],$D$2:Transactions_RAW_cleaned[[#This Row],[ServiceID]],Transactions_RAW_cleaned[[#This Row],[ServiceID]])=1,"Yes","No")</f>
        <v>Yes</v>
      </c>
      <c r="S46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68" t="str">
        <f>"Q"&amp;ROUNDUP(MONTH(Transactions_RAW_cleaned[[#This Row],[TransactionDate]])/3,0)</f>
        <v>Q3</v>
      </c>
      <c r="U468" t="str">
        <f>Transactions_RAW_cleaned[[#This Row],[Region ]]&amp;Transactions_RAW_cleaned[[#This Row],[Quarter ]]</f>
        <v>NAQ3</v>
      </c>
      <c r="V468" s="5">
        <f>_xlfn.XLOOKUP(Transactions_RAW_cleaned[[#This Row],[RegionQuarterKey]], Quarterly_Targets_cleaned[RegionQuarterKey], Quarterly_Targets_cleaned[TargetRevenue])</f>
        <v>273000</v>
      </c>
    </row>
    <row r="469" spans="1:22" x14ac:dyDescent="0.25">
      <c r="A469" t="s">
        <v>800</v>
      </c>
      <c r="B469" s="1">
        <v>45564</v>
      </c>
      <c r="C469" t="s">
        <v>109</v>
      </c>
      <c r="D469" t="s">
        <v>300</v>
      </c>
      <c r="E469">
        <v>330.56</v>
      </c>
      <c r="F469" t="s">
        <v>324</v>
      </c>
      <c r="G469" t="s">
        <v>337</v>
      </c>
      <c r="H469" t="s">
        <v>334</v>
      </c>
      <c r="I469" t="s">
        <v>8</v>
      </c>
      <c r="J469" t="s">
        <v>102</v>
      </c>
      <c r="K469" t="s">
        <v>18</v>
      </c>
      <c r="L469" t="s">
        <v>301</v>
      </c>
      <c r="M469" t="s">
        <v>302</v>
      </c>
      <c r="N469">
        <v>5.0000000000000001E-3</v>
      </c>
      <c r="O469" t="str">
        <f>IF(Transactions_RAW_cleaned[[#This Row],[Status]]="Completed", IFERROR(_xlfn.XLOOKUP(Transactions_RAW_cleaned[[#This Row],[CustomerID]], Customers_cleaned[CustomerID], Customers_cleaned[Segment]), "Customer Not Found"), "N/A")</f>
        <v>SMB</v>
      </c>
      <c r="P469" s="5" t="str">
        <f>IF(Transactions_RAW_cleaned[[#This Row],[Status]]="Refunded", "Refund",
  IF(Transactions_RAW_cleaned[[#This Row],[Category]]="Payments", IF(Transactions_RAW_cleaned[[#This Row],[Amount]]&gt;500,"High Value","Standard"),
    IF(Transactions_RAW_cleaned[[#This Row],[Amount]]&gt;250,"High Value","Standard")))</f>
        <v>High Value</v>
      </c>
      <c r="Q469" s="5" t="str">
        <f>IF(Transactions_RAW_cleaned[[#This Row],[Amount]] &gt; (_xlfn.XLOOKUP(Transactions_RAW_cleaned[[#This Row],[ServiceID]],Services_cleaned[ServiceID],Services_cleaned[TransactionFeePct]) * 10000), "Yes", "No")</f>
        <v>Yes</v>
      </c>
      <c r="R469" s="5" t="str">
        <f>IF(COUNTIFS($C$2:Transactions_RAW_cleaned[[#This Row],[CustomerID]],Transactions_RAW_cleaned[[#This Row],[CustomerID]],$D$2:Transactions_RAW_cleaned[[#This Row],[ServiceID]],Transactions_RAW_cleaned[[#This Row],[ServiceID]])=1,"Yes","No")</f>
        <v>Yes</v>
      </c>
      <c r="S46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69" t="str">
        <f>"Q"&amp;ROUNDUP(MONTH(Transactions_RAW_cleaned[[#This Row],[TransactionDate]])/3,0)</f>
        <v>Q3</v>
      </c>
      <c r="U469" t="str">
        <f>Transactions_RAW_cleaned[[#This Row],[Region ]]&amp;Transactions_RAW_cleaned[[#This Row],[Quarter ]]</f>
        <v>NAQ3</v>
      </c>
      <c r="V469" s="5">
        <f>_xlfn.XLOOKUP(Transactions_RAW_cleaned[[#This Row],[RegionQuarterKey]], Quarterly_Targets_cleaned[RegionQuarterKey], Quarterly_Targets_cleaned[TargetRevenue])</f>
        <v>273000</v>
      </c>
    </row>
    <row r="470" spans="1:22" x14ac:dyDescent="0.25">
      <c r="A470" t="s">
        <v>801</v>
      </c>
      <c r="B470" s="1">
        <v>45490</v>
      </c>
      <c r="C470" t="s">
        <v>49</v>
      </c>
      <c r="D470" t="s">
        <v>294</v>
      </c>
      <c r="E470">
        <v>381.51</v>
      </c>
      <c r="F470" t="s">
        <v>324</v>
      </c>
      <c r="G470" t="s">
        <v>325</v>
      </c>
      <c r="H470" t="s">
        <v>334</v>
      </c>
      <c r="I470" t="s">
        <v>8</v>
      </c>
      <c r="J470" t="s">
        <v>102</v>
      </c>
      <c r="K470" t="s">
        <v>32</v>
      </c>
      <c r="L470" t="s">
        <v>295</v>
      </c>
      <c r="M470" t="s">
        <v>296</v>
      </c>
      <c r="N470">
        <v>2.9000000000000001E-2</v>
      </c>
      <c r="O470" t="str">
        <f>IF(Transactions_RAW_cleaned[[#This Row],[Status]]="Completed", IFERROR(_xlfn.XLOOKUP(Transactions_RAW_cleaned[[#This Row],[CustomerID]], Customers_cleaned[CustomerID], Customers_cleaned[Segment]), "Customer Not Found"), "N/A")</f>
        <v>SMB</v>
      </c>
      <c r="P470" s="5" t="str">
        <f>IF(Transactions_RAW_cleaned[[#This Row],[Status]]="Refunded", "Refund",
  IF(Transactions_RAW_cleaned[[#This Row],[Category]]="Payments", IF(Transactions_RAW_cleaned[[#This Row],[Amount]]&gt;500,"High Value","Standard"),
    IF(Transactions_RAW_cleaned[[#This Row],[Amount]]&gt;250,"High Value","Standard")))</f>
        <v>Standard</v>
      </c>
      <c r="Q470" s="5" t="str">
        <f>IF(Transactions_RAW_cleaned[[#This Row],[Amount]] &gt; (_xlfn.XLOOKUP(Transactions_RAW_cleaned[[#This Row],[ServiceID]],Services_cleaned[ServiceID],Services_cleaned[TransactionFeePct]) * 10000), "Yes", "No")</f>
        <v>Yes</v>
      </c>
      <c r="R470" s="5" t="str">
        <f>IF(COUNTIFS($C$2:Transactions_RAW_cleaned[[#This Row],[CustomerID]],Transactions_RAW_cleaned[[#This Row],[CustomerID]],$D$2:Transactions_RAW_cleaned[[#This Row],[ServiceID]],Transactions_RAW_cleaned[[#This Row],[ServiceID]])=1,"Yes","No")</f>
        <v>Yes</v>
      </c>
      <c r="S47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70" t="str">
        <f>"Q"&amp;ROUNDUP(MONTH(Transactions_RAW_cleaned[[#This Row],[TransactionDate]])/3,0)</f>
        <v>Q3</v>
      </c>
      <c r="U470" t="str">
        <f>Transactions_RAW_cleaned[[#This Row],[Region ]]&amp;Transactions_RAW_cleaned[[#This Row],[Quarter ]]</f>
        <v>NAQ3</v>
      </c>
      <c r="V470" s="5">
        <f>_xlfn.XLOOKUP(Transactions_RAW_cleaned[[#This Row],[RegionQuarterKey]], Quarterly_Targets_cleaned[RegionQuarterKey], Quarterly_Targets_cleaned[TargetRevenue])</f>
        <v>273000</v>
      </c>
    </row>
    <row r="471" spans="1:22" x14ac:dyDescent="0.25">
      <c r="A471" t="s">
        <v>802</v>
      </c>
      <c r="B471" s="1">
        <v>45413</v>
      </c>
      <c r="C471" t="s">
        <v>82</v>
      </c>
      <c r="D471" t="s">
        <v>300</v>
      </c>
      <c r="E471">
        <v>822.8</v>
      </c>
      <c r="F471" t="s">
        <v>381</v>
      </c>
      <c r="G471" t="s">
        <v>337</v>
      </c>
      <c r="H471" t="s">
        <v>346</v>
      </c>
      <c r="I471" t="s">
        <v>57</v>
      </c>
      <c r="J471" t="s">
        <v>46</v>
      </c>
      <c r="K471" t="s">
        <v>10</v>
      </c>
      <c r="L471" t="s">
        <v>301</v>
      </c>
      <c r="M471" t="s">
        <v>302</v>
      </c>
      <c r="N471">
        <v>5.0000000000000001E-3</v>
      </c>
      <c r="O471" t="str">
        <f>IF(Transactions_RAW_cleaned[[#This Row],[Status]]="Completed", IFERROR(_xlfn.XLOOKUP(Transactions_RAW_cleaned[[#This Row],[CustomerID]], Customers_cleaned[CustomerID], Customers_cleaned[Segment]), "Customer Not Found"), "N/A")</f>
        <v>N/A</v>
      </c>
      <c r="P471" s="5" t="str">
        <f>IF(Transactions_RAW_cleaned[[#This Row],[Status]]="Refunded", "Refund",
  IF(Transactions_RAW_cleaned[[#This Row],[Category]]="Payments", IF(Transactions_RAW_cleaned[[#This Row],[Amount]]&gt;500,"High Value","Standard"),
    IF(Transactions_RAW_cleaned[[#This Row],[Amount]]&gt;250,"High Value","Standard")))</f>
        <v>High Value</v>
      </c>
      <c r="Q471" s="5" t="str">
        <f>IF(Transactions_RAW_cleaned[[#This Row],[Amount]] &gt; (_xlfn.XLOOKUP(Transactions_RAW_cleaned[[#This Row],[ServiceID]],Services_cleaned[ServiceID],Services_cleaned[TransactionFeePct]) * 10000), "Yes", "No")</f>
        <v>Yes</v>
      </c>
      <c r="R471" s="5" t="str">
        <f>IF(COUNTIFS($C$2:Transactions_RAW_cleaned[[#This Row],[CustomerID]],Transactions_RAW_cleaned[[#This Row],[CustomerID]],$D$2:Transactions_RAW_cleaned[[#This Row],[ServiceID]],Transactions_RAW_cleaned[[#This Row],[ServiceID]])=1,"Yes","No")</f>
        <v>Yes</v>
      </c>
      <c r="S47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471" t="str">
        <f>"Q"&amp;ROUNDUP(MONTH(Transactions_RAW_cleaned[[#This Row],[TransactionDate]])/3,0)</f>
        <v>Q2</v>
      </c>
      <c r="U471" t="str">
        <f>Transactions_RAW_cleaned[[#This Row],[Region ]]&amp;Transactions_RAW_cleaned[[#This Row],[Quarter ]]</f>
        <v>APACQ2</v>
      </c>
      <c r="V471" s="5">
        <f>_xlfn.XLOOKUP(Transactions_RAW_cleaned[[#This Row],[RegionQuarterKey]], Quarterly_Targets_cleaned[RegionQuarterKey], Quarterly_Targets_cleaned[TargetRevenue])</f>
        <v>110000</v>
      </c>
    </row>
    <row r="472" spans="1:22" x14ac:dyDescent="0.25">
      <c r="A472" t="s">
        <v>803</v>
      </c>
      <c r="B472" s="1">
        <v>45332</v>
      </c>
      <c r="C472" t="s">
        <v>139</v>
      </c>
      <c r="D472" t="s">
        <v>294</v>
      </c>
      <c r="E472">
        <v>448.7</v>
      </c>
      <c r="F472" t="s">
        <v>324</v>
      </c>
      <c r="G472" t="s">
        <v>325</v>
      </c>
      <c r="I472" t="s">
        <v>8</v>
      </c>
      <c r="J472" t="s">
        <v>102</v>
      </c>
      <c r="K472" t="s">
        <v>22</v>
      </c>
      <c r="L472" t="s">
        <v>295</v>
      </c>
      <c r="M472" t="s">
        <v>296</v>
      </c>
      <c r="N472">
        <v>2.9000000000000001E-2</v>
      </c>
      <c r="O472" t="str">
        <f>IF(Transactions_RAW_cleaned[[#This Row],[Status]]="Completed", IFERROR(_xlfn.XLOOKUP(Transactions_RAW_cleaned[[#This Row],[CustomerID]], Customers_cleaned[CustomerID], Customers_cleaned[Segment]), "Customer Not Found"), "N/A")</f>
        <v>SMB</v>
      </c>
      <c r="P472" s="5" t="str">
        <f>IF(Transactions_RAW_cleaned[[#This Row],[Status]]="Refunded", "Refund",
  IF(Transactions_RAW_cleaned[[#This Row],[Category]]="Payments", IF(Transactions_RAW_cleaned[[#This Row],[Amount]]&gt;500,"High Value","Standard"),
    IF(Transactions_RAW_cleaned[[#This Row],[Amount]]&gt;250,"High Value","Standard")))</f>
        <v>Standard</v>
      </c>
      <c r="Q472" s="5" t="str">
        <f>IF(Transactions_RAW_cleaned[[#This Row],[Amount]] &gt; (_xlfn.XLOOKUP(Transactions_RAW_cleaned[[#This Row],[ServiceID]],Services_cleaned[ServiceID],Services_cleaned[TransactionFeePct]) * 10000), "Yes", "No")</f>
        <v>Yes</v>
      </c>
      <c r="R472" s="5" t="str">
        <f>IF(COUNTIFS($C$2:Transactions_RAW_cleaned[[#This Row],[CustomerID]],Transactions_RAW_cleaned[[#This Row],[CustomerID]],$D$2:Transactions_RAW_cleaned[[#This Row],[ServiceID]],Transactions_RAW_cleaned[[#This Row],[ServiceID]])=1,"Yes","No")</f>
        <v>No</v>
      </c>
      <c r="S47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72" t="str">
        <f>"Q"&amp;ROUNDUP(MONTH(Transactions_RAW_cleaned[[#This Row],[TransactionDate]])/3,0)</f>
        <v>Q1</v>
      </c>
      <c r="U472" t="str">
        <f>Transactions_RAW_cleaned[[#This Row],[Region ]]&amp;Transactions_RAW_cleaned[[#This Row],[Quarter ]]</f>
        <v>NAQ1</v>
      </c>
      <c r="V472" s="5">
        <f>_xlfn.XLOOKUP(Transactions_RAW_cleaned[[#This Row],[RegionQuarterKey]], Quarterly_Targets_cleaned[RegionQuarterKey], Quarterly_Targets_cleaned[TargetRevenue])</f>
        <v>247000</v>
      </c>
    </row>
    <row r="473" spans="1:22" x14ac:dyDescent="0.25">
      <c r="A473" t="s">
        <v>804</v>
      </c>
      <c r="B473" s="1">
        <v>45593</v>
      </c>
      <c r="C473" t="s">
        <v>805</v>
      </c>
      <c r="D473" t="s">
        <v>297</v>
      </c>
      <c r="E473">
        <v>356.89</v>
      </c>
      <c r="F473" t="s">
        <v>324</v>
      </c>
      <c r="G473" t="s">
        <v>327</v>
      </c>
      <c r="L473" t="s">
        <v>298</v>
      </c>
      <c r="M473" t="s">
        <v>299</v>
      </c>
      <c r="N473">
        <v>0</v>
      </c>
      <c r="O473" t="str">
        <f>IF(Transactions_RAW_cleaned[[#This Row],[Status]]="Completed", IFERROR(_xlfn.XLOOKUP(Transactions_RAW_cleaned[[#This Row],[CustomerID]], Customers_cleaned[CustomerID], Customers_cleaned[Segment]), "Customer Not Found"), "N/A")</f>
        <v>Customer Not Found</v>
      </c>
      <c r="P473" s="5" t="str">
        <f>IF(Transactions_RAW_cleaned[[#This Row],[Status]]="Refunded", "Refund",
  IF(Transactions_RAW_cleaned[[#This Row],[Category]]="Payments", IF(Transactions_RAW_cleaned[[#This Row],[Amount]]&gt;500,"High Value","Standard"),
    IF(Transactions_RAW_cleaned[[#This Row],[Amount]]&gt;250,"High Value","Standard")))</f>
        <v>High Value</v>
      </c>
      <c r="Q473" s="5" t="str">
        <f>IF(Transactions_RAW_cleaned[[#This Row],[Amount]] &gt; (_xlfn.XLOOKUP(Transactions_RAW_cleaned[[#This Row],[ServiceID]],Services_cleaned[ServiceID],Services_cleaned[TransactionFeePct]) * 10000), "Yes", "No")</f>
        <v>Yes</v>
      </c>
      <c r="R473" s="5" t="str">
        <f>IF(COUNTIFS($C$2:Transactions_RAW_cleaned[[#This Row],[CustomerID]],Transactions_RAW_cleaned[[#This Row],[CustomerID]],$D$2:Transactions_RAW_cleaned[[#This Row],[ServiceID]],Transactions_RAW_cleaned[[#This Row],[ServiceID]])=1,"Yes","No")</f>
        <v>Yes</v>
      </c>
      <c r="S47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473" t="str">
        <f>"Q"&amp;ROUNDUP(MONTH(Transactions_RAW_cleaned[[#This Row],[TransactionDate]])/3,0)</f>
        <v>Q4</v>
      </c>
      <c r="U473" t="str">
        <f>Transactions_RAW_cleaned[[#This Row],[Region ]]&amp;Transactions_RAW_cleaned[[#This Row],[Quarter ]]</f>
        <v>APACQ4</v>
      </c>
      <c r="V473" s="5">
        <f>_xlfn.XLOOKUP(Transactions_RAW_cleaned[[#This Row],[RegionQuarterKey]], Quarterly_Targets_cleaned[RegionQuarterKey], Quarterly_Targets_cleaned[TargetRevenue])</f>
        <v>126500</v>
      </c>
    </row>
    <row r="474" spans="1:22" x14ac:dyDescent="0.25">
      <c r="A474" t="s">
        <v>806</v>
      </c>
      <c r="B474" s="1">
        <v>45427</v>
      </c>
      <c r="C474" t="s">
        <v>195</v>
      </c>
      <c r="D474" t="s">
        <v>294</v>
      </c>
      <c r="E474">
        <v>156.56</v>
      </c>
      <c r="F474" t="s">
        <v>324</v>
      </c>
      <c r="G474" t="s">
        <v>325</v>
      </c>
      <c r="H474" t="s">
        <v>346</v>
      </c>
      <c r="I474" t="s">
        <v>8</v>
      </c>
      <c r="J474" t="s">
        <v>102</v>
      </c>
      <c r="K474" t="s">
        <v>32</v>
      </c>
      <c r="L474" t="s">
        <v>295</v>
      </c>
      <c r="M474" t="s">
        <v>296</v>
      </c>
      <c r="N474">
        <v>2.9000000000000001E-2</v>
      </c>
      <c r="O474" t="str">
        <f>IF(Transactions_RAW_cleaned[[#This Row],[Status]]="Completed", IFERROR(_xlfn.XLOOKUP(Transactions_RAW_cleaned[[#This Row],[CustomerID]], Customers_cleaned[CustomerID], Customers_cleaned[Segment]), "Customer Not Found"), "N/A")</f>
        <v>SMB</v>
      </c>
      <c r="P474" s="5" t="str">
        <f>IF(Transactions_RAW_cleaned[[#This Row],[Status]]="Refunded", "Refund",
  IF(Transactions_RAW_cleaned[[#This Row],[Category]]="Payments", IF(Transactions_RAW_cleaned[[#This Row],[Amount]]&gt;500,"High Value","Standard"),
    IF(Transactions_RAW_cleaned[[#This Row],[Amount]]&gt;250,"High Value","Standard")))</f>
        <v>Standard</v>
      </c>
      <c r="Q474" s="5" t="str">
        <f>IF(Transactions_RAW_cleaned[[#This Row],[Amount]] &gt; (_xlfn.XLOOKUP(Transactions_RAW_cleaned[[#This Row],[ServiceID]],Services_cleaned[ServiceID],Services_cleaned[TransactionFeePct]) * 10000), "Yes", "No")</f>
        <v>No</v>
      </c>
      <c r="R474" s="5" t="str">
        <f>IF(COUNTIFS($C$2:Transactions_RAW_cleaned[[#This Row],[CustomerID]],Transactions_RAW_cleaned[[#This Row],[CustomerID]],$D$2:Transactions_RAW_cleaned[[#This Row],[ServiceID]],Transactions_RAW_cleaned[[#This Row],[ServiceID]])=1,"Yes","No")</f>
        <v>No</v>
      </c>
      <c r="S47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74" t="str">
        <f>"Q"&amp;ROUNDUP(MONTH(Transactions_RAW_cleaned[[#This Row],[TransactionDate]])/3,0)</f>
        <v>Q2</v>
      </c>
      <c r="U474" t="str">
        <f>Transactions_RAW_cleaned[[#This Row],[Region ]]&amp;Transactions_RAW_cleaned[[#This Row],[Quarter ]]</f>
        <v>NAQ2</v>
      </c>
      <c r="V474" s="5">
        <f>_xlfn.XLOOKUP(Transactions_RAW_cleaned[[#This Row],[RegionQuarterKey]], Quarterly_Targets_cleaned[RegionQuarterKey], Quarterly_Targets_cleaned[TargetRevenue])</f>
        <v>260000</v>
      </c>
    </row>
    <row r="475" spans="1:22" x14ac:dyDescent="0.25">
      <c r="A475" t="s">
        <v>807</v>
      </c>
      <c r="B475" s="1">
        <v>45636</v>
      </c>
      <c r="C475" t="s">
        <v>42</v>
      </c>
      <c r="D475" t="s">
        <v>315</v>
      </c>
      <c r="E475">
        <v>183.91</v>
      </c>
      <c r="F475" t="s">
        <v>324</v>
      </c>
      <c r="G475" t="s">
        <v>327</v>
      </c>
      <c r="H475" t="s">
        <v>334</v>
      </c>
      <c r="I475" t="s">
        <v>8</v>
      </c>
      <c r="J475" t="s">
        <v>102</v>
      </c>
      <c r="K475" t="s">
        <v>10</v>
      </c>
      <c r="L475" t="s">
        <v>316</v>
      </c>
      <c r="M475" t="s">
        <v>305</v>
      </c>
      <c r="N475">
        <v>2.5000000000000001E-3</v>
      </c>
      <c r="O475" t="str">
        <f>IF(Transactions_RAW_cleaned[[#This Row],[Status]]="Completed", IFERROR(_xlfn.XLOOKUP(Transactions_RAW_cleaned[[#This Row],[CustomerID]], Customers_cleaned[CustomerID], Customers_cleaned[Segment]), "Customer Not Found"), "N/A")</f>
        <v>SMB</v>
      </c>
      <c r="P475" s="5" t="str">
        <f>IF(Transactions_RAW_cleaned[[#This Row],[Status]]="Refunded", "Refund",
  IF(Transactions_RAW_cleaned[[#This Row],[Category]]="Payments", IF(Transactions_RAW_cleaned[[#This Row],[Amount]]&gt;500,"High Value","Standard"),
    IF(Transactions_RAW_cleaned[[#This Row],[Amount]]&gt;250,"High Value","Standard")))</f>
        <v>Standard</v>
      </c>
      <c r="Q475" s="5" t="str">
        <f>IF(Transactions_RAW_cleaned[[#This Row],[Amount]] &gt; (_xlfn.XLOOKUP(Transactions_RAW_cleaned[[#This Row],[ServiceID]],Services_cleaned[ServiceID],Services_cleaned[TransactionFeePct]) * 10000), "Yes", "No")</f>
        <v>Yes</v>
      </c>
      <c r="R475" s="5" t="str">
        <f>IF(COUNTIFS($C$2:Transactions_RAW_cleaned[[#This Row],[CustomerID]],Transactions_RAW_cleaned[[#This Row],[CustomerID]],$D$2:Transactions_RAW_cleaned[[#This Row],[ServiceID]],Transactions_RAW_cleaned[[#This Row],[ServiceID]])=1,"Yes","No")</f>
        <v>No</v>
      </c>
      <c r="S47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75" t="str">
        <f>"Q"&amp;ROUNDUP(MONTH(Transactions_RAW_cleaned[[#This Row],[TransactionDate]])/3,0)</f>
        <v>Q4</v>
      </c>
      <c r="U475" t="str">
        <f>Transactions_RAW_cleaned[[#This Row],[Region ]]&amp;Transactions_RAW_cleaned[[#This Row],[Quarter ]]</f>
        <v>NAQ4</v>
      </c>
      <c r="V475" s="5">
        <f>_xlfn.XLOOKUP(Transactions_RAW_cleaned[[#This Row],[RegionQuarterKey]], Quarterly_Targets_cleaned[RegionQuarterKey], Quarterly_Targets_cleaned[TargetRevenue])</f>
        <v>299000</v>
      </c>
    </row>
    <row r="476" spans="1:22" x14ac:dyDescent="0.25">
      <c r="A476" t="s">
        <v>808</v>
      </c>
      <c r="B476" s="1">
        <v>45649</v>
      </c>
      <c r="C476" t="s">
        <v>84</v>
      </c>
      <c r="D476" t="s">
        <v>294</v>
      </c>
      <c r="E476">
        <v>-277.98</v>
      </c>
      <c r="F476" t="s">
        <v>349</v>
      </c>
      <c r="G476" t="s">
        <v>327</v>
      </c>
      <c r="I476" t="s">
        <v>8</v>
      </c>
      <c r="J476" t="s">
        <v>46</v>
      </c>
      <c r="K476" t="s">
        <v>28</v>
      </c>
      <c r="L476" t="s">
        <v>295</v>
      </c>
      <c r="M476" t="s">
        <v>296</v>
      </c>
      <c r="N476">
        <v>2.9000000000000001E-2</v>
      </c>
      <c r="O476" t="str">
        <f>IF(Transactions_RAW_cleaned[[#This Row],[Status]]="Completed", IFERROR(_xlfn.XLOOKUP(Transactions_RAW_cleaned[[#This Row],[CustomerID]], Customers_cleaned[CustomerID], Customers_cleaned[Segment]), "Customer Not Found"), "N/A")</f>
        <v>N/A</v>
      </c>
      <c r="P476" s="5" t="str">
        <f>IF(Transactions_RAW_cleaned[[#This Row],[Status]]="Refunded", "Refund",
  IF(Transactions_RAW_cleaned[[#This Row],[Category]]="Payments", IF(Transactions_RAW_cleaned[[#This Row],[Amount]]&gt;500,"High Value","Standard"),
    IF(Transactions_RAW_cleaned[[#This Row],[Amount]]&gt;250,"High Value","Standard")))</f>
        <v>Refund</v>
      </c>
      <c r="Q476" s="5" t="str">
        <f>IF(Transactions_RAW_cleaned[[#This Row],[Amount]] &gt; (_xlfn.XLOOKUP(Transactions_RAW_cleaned[[#This Row],[ServiceID]],Services_cleaned[ServiceID],Services_cleaned[TransactionFeePct]) * 10000), "Yes", "No")</f>
        <v>No</v>
      </c>
      <c r="R476" s="5" t="str">
        <f>IF(COUNTIFS($C$2:Transactions_RAW_cleaned[[#This Row],[CustomerID]],Transactions_RAW_cleaned[[#This Row],[CustomerID]],$D$2:Transactions_RAW_cleaned[[#This Row],[ServiceID]],Transactions_RAW_cleaned[[#This Row],[ServiceID]])=1,"Yes","No")</f>
        <v>No</v>
      </c>
      <c r="S47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476" t="str">
        <f>"Q"&amp;ROUNDUP(MONTH(Transactions_RAW_cleaned[[#This Row],[TransactionDate]])/3,0)</f>
        <v>Q4</v>
      </c>
      <c r="U476" t="str">
        <f>Transactions_RAW_cleaned[[#This Row],[Region ]]&amp;Transactions_RAW_cleaned[[#This Row],[Quarter ]]</f>
        <v>APACQ4</v>
      </c>
      <c r="V476" s="5">
        <f>_xlfn.XLOOKUP(Transactions_RAW_cleaned[[#This Row],[RegionQuarterKey]], Quarterly_Targets_cleaned[RegionQuarterKey], Quarterly_Targets_cleaned[TargetRevenue])</f>
        <v>126500</v>
      </c>
    </row>
    <row r="477" spans="1:22" x14ac:dyDescent="0.25">
      <c r="A477" t="s">
        <v>809</v>
      </c>
      <c r="B477" s="1">
        <v>45485</v>
      </c>
      <c r="C477" t="s">
        <v>810</v>
      </c>
      <c r="D477" t="s">
        <v>303</v>
      </c>
      <c r="E477">
        <v>380.05</v>
      </c>
      <c r="F477" t="s">
        <v>324</v>
      </c>
      <c r="G477" t="s">
        <v>329</v>
      </c>
      <c r="L477" t="s">
        <v>304</v>
      </c>
      <c r="M477" t="s">
        <v>305</v>
      </c>
      <c r="N477">
        <v>1E-3</v>
      </c>
      <c r="O477" t="str">
        <f>IF(Transactions_RAW_cleaned[[#This Row],[Status]]="Completed", IFERROR(_xlfn.XLOOKUP(Transactions_RAW_cleaned[[#This Row],[CustomerID]], Customers_cleaned[CustomerID], Customers_cleaned[Segment]), "Customer Not Found"), "N/A")</f>
        <v>Customer Not Found</v>
      </c>
      <c r="P477" s="5" t="str">
        <f>IF(Transactions_RAW_cleaned[[#This Row],[Status]]="Refunded", "Refund",
  IF(Transactions_RAW_cleaned[[#This Row],[Category]]="Payments", IF(Transactions_RAW_cleaned[[#This Row],[Amount]]&gt;500,"High Value","Standard"),
    IF(Transactions_RAW_cleaned[[#This Row],[Amount]]&gt;250,"High Value","Standard")))</f>
        <v>High Value</v>
      </c>
      <c r="Q477" s="5" t="str">
        <f>IF(Transactions_RAW_cleaned[[#This Row],[Amount]] &gt; (_xlfn.XLOOKUP(Transactions_RAW_cleaned[[#This Row],[ServiceID]],Services_cleaned[ServiceID],Services_cleaned[TransactionFeePct]) * 10000), "Yes", "No")</f>
        <v>Yes</v>
      </c>
      <c r="R477" s="5" t="str">
        <f>IF(COUNTIFS($C$2:Transactions_RAW_cleaned[[#This Row],[CustomerID]],Transactions_RAW_cleaned[[#This Row],[CustomerID]],$D$2:Transactions_RAW_cleaned[[#This Row],[ServiceID]],Transactions_RAW_cleaned[[#This Row],[ServiceID]])=1,"Yes","No")</f>
        <v>Yes</v>
      </c>
      <c r="S47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477" t="str">
        <f>"Q"&amp;ROUNDUP(MONTH(Transactions_RAW_cleaned[[#This Row],[TransactionDate]])/3,0)</f>
        <v>Q3</v>
      </c>
      <c r="U477" t="str">
        <f>Transactions_RAW_cleaned[[#This Row],[Region ]]&amp;Transactions_RAW_cleaned[[#This Row],[Quarter ]]</f>
        <v>APACQ3</v>
      </c>
      <c r="V477" s="5">
        <f>_xlfn.XLOOKUP(Transactions_RAW_cleaned[[#This Row],[RegionQuarterKey]], Quarterly_Targets_cleaned[RegionQuarterKey], Quarterly_Targets_cleaned[TargetRevenue])</f>
        <v>115500</v>
      </c>
    </row>
    <row r="478" spans="1:22" x14ac:dyDescent="0.25">
      <c r="A478" t="s">
        <v>811</v>
      </c>
      <c r="B478" s="1">
        <v>45579</v>
      </c>
      <c r="C478" t="s">
        <v>221</v>
      </c>
      <c r="D478" t="s">
        <v>300</v>
      </c>
      <c r="E478">
        <v>480.93</v>
      </c>
      <c r="F478" t="s">
        <v>324</v>
      </c>
      <c r="G478" t="s">
        <v>327</v>
      </c>
      <c r="H478" t="s">
        <v>334</v>
      </c>
      <c r="I478" t="s">
        <v>8</v>
      </c>
      <c r="J478" t="s">
        <v>102</v>
      </c>
      <c r="K478" t="s">
        <v>14</v>
      </c>
      <c r="L478" t="s">
        <v>301</v>
      </c>
      <c r="M478" t="s">
        <v>302</v>
      </c>
      <c r="N478">
        <v>5.0000000000000001E-3</v>
      </c>
      <c r="O478" t="str">
        <f>IF(Transactions_RAW_cleaned[[#This Row],[Status]]="Completed", IFERROR(_xlfn.XLOOKUP(Transactions_RAW_cleaned[[#This Row],[CustomerID]], Customers_cleaned[CustomerID], Customers_cleaned[Segment]), "Customer Not Found"), "N/A")</f>
        <v>SMB</v>
      </c>
      <c r="P478" s="5" t="str">
        <f>IF(Transactions_RAW_cleaned[[#This Row],[Status]]="Refunded", "Refund",
  IF(Transactions_RAW_cleaned[[#This Row],[Category]]="Payments", IF(Transactions_RAW_cleaned[[#This Row],[Amount]]&gt;500,"High Value","Standard"),
    IF(Transactions_RAW_cleaned[[#This Row],[Amount]]&gt;250,"High Value","Standard")))</f>
        <v>High Value</v>
      </c>
      <c r="Q478" s="5" t="str">
        <f>IF(Transactions_RAW_cleaned[[#This Row],[Amount]] &gt; (_xlfn.XLOOKUP(Transactions_RAW_cleaned[[#This Row],[ServiceID]],Services_cleaned[ServiceID],Services_cleaned[TransactionFeePct]) * 10000), "Yes", "No")</f>
        <v>Yes</v>
      </c>
      <c r="R478" s="5" t="str">
        <f>IF(COUNTIFS($C$2:Transactions_RAW_cleaned[[#This Row],[CustomerID]],Transactions_RAW_cleaned[[#This Row],[CustomerID]],$D$2:Transactions_RAW_cleaned[[#This Row],[ServiceID]],Transactions_RAW_cleaned[[#This Row],[ServiceID]])=1,"Yes","No")</f>
        <v>No</v>
      </c>
      <c r="S47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78" t="str">
        <f>"Q"&amp;ROUNDUP(MONTH(Transactions_RAW_cleaned[[#This Row],[TransactionDate]])/3,0)</f>
        <v>Q4</v>
      </c>
      <c r="U478" t="str">
        <f>Transactions_RAW_cleaned[[#This Row],[Region ]]&amp;Transactions_RAW_cleaned[[#This Row],[Quarter ]]</f>
        <v>NAQ4</v>
      </c>
      <c r="V478" s="5">
        <f>_xlfn.XLOOKUP(Transactions_RAW_cleaned[[#This Row],[RegionQuarterKey]], Quarterly_Targets_cleaned[RegionQuarterKey], Quarterly_Targets_cleaned[TargetRevenue])</f>
        <v>299000</v>
      </c>
    </row>
    <row r="479" spans="1:22" x14ac:dyDescent="0.25">
      <c r="A479" t="s">
        <v>812</v>
      </c>
      <c r="B479" s="1">
        <v>45373</v>
      </c>
      <c r="C479" t="s">
        <v>197</v>
      </c>
      <c r="D479" t="s">
        <v>297</v>
      </c>
      <c r="E479">
        <v>523.69000000000005</v>
      </c>
      <c r="F479" t="s">
        <v>324</v>
      </c>
      <c r="G479" t="s">
        <v>337</v>
      </c>
      <c r="I479" t="s">
        <v>8</v>
      </c>
      <c r="J479" t="s">
        <v>46</v>
      </c>
      <c r="K479" t="s">
        <v>14</v>
      </c>
      <c r="L479" t="s">
        <v>298</v>
      </c>
      <c r="M479" t="s">
        <v>299</v>
      </c>
      <c r="N479">
        <v>0</v>
      </c>
      <c r="O479" t="str">
        <f>IF(Transactions_RAW_cleaned[[#This Row],[Status]]="Completed", IFERROR(_xlfn.XLOOKUP(Transactions_RAW_cleaned[[#This Row],[CustomerID]], Customers_cleaned[CustomerID], Customers_cleaned[Segment]), "Customer Not Found"), "N/A")</f>
        <v>SMB</v>
      </c>
      <c r="P479" s="5" t="str">
        <f>IF(Transactions_RAW_cleaned[[#This Row],[Status]]="Refunded", "Refund",
  IF(Transactions_RAW_cleaned[[#This Row],[Category]]="Payments", IF(Transactions_RAW_cleaned[[#This Row],[Amount]]&gt;500,"High Value","Standard"),
    IF(Transactions_RAW_cleaned[[#This Row],[Amount]]&gt;250,"High Value","Standard")))</f>
        <v>High Value</v>
      </c>
      <c r="Q479" s="5" t="str">
        <f>IF(Transactions_RAW_cleaned[[#This Row],[Amount]] &gt; (_xlfn.XLOOKUP(Transactions_RAW_cleaned[[#This Row],[ServiceID]],Services_cleaned[ServiceID],Services_cleaned[TransactionFeePct]) * 10000), "Yes", "No")</f>
        <v>Yes</v>
      </c>
      <c r="R479" s="5" t="str">
        <f>IF(COUNTIFS($C$2:Transactions_RAW_cleaned[[#This Row],[CustomerID]],Transactions_RAW_cleaned[[#This Row],[CustomerID]],$D$2:Transactions_RAW_cleaned[[#This Row],[ServiceID]],Transactions_RAW_cleaned[[#This Row],[ServiceID]])=1,"Yes","No")</f>
        <v>Yes</v>
      </c>
      <c r="S47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479" t="str">
        <f>"Q"&amp;ROUNDUP(MONTH(Transactions_RAW_cleaned[[#This Row],[TransactionDate]])/3,0)</f>
        <v>Q1</v>
      </c>
      <c r="U479" t="str">
        <f>Transactions_RAW_cleaned[[#This Row],[Region ]]&amp;Transactions_RAW_cleaned[[#This Row],[Quarter ]]</f>
        <v>APACQ1</v>
      </c>
      <c r="V479" s="5">
        <f>_xlfn.XLOOKUP(Transactions_RAW_cleaned[[#This Row],[RegionQuarterKey]], Quarterly_Targets_cleaned[RegionQuarterKey], Quarterly_Targets_cleaned[TargetRevenue])</f>
        <v>104500</v>
      </c>
    </row>
    <row r="480" spans="1:22" x14ac:dyDescent="0.25">
      <c r="A480" t="s">
        <v>813</v>
      </c>
      <c r="B480" s="1">
        <v>45395</v>
      </c>
      <c r="C480" t="s">
        <v>80</v>
      </c>
      <c r="D480" t="s">
        <v>312</v>
      </c>
      <c r="E480">
        <v>540.42999999999995</v>
      </c>
      <c r="F480" t="s">
        <v>324</v>
      </c>
      <c r="G480" t="s">
        <v>325</v>
      </c>
      <c r="H480" t="s">
        <v>346</v>
      </c>
      <c r="I480" t="s">
        <v>8</v>
      </c>
      <c r="J480" t="s">
        <v>13</v>
      </c>
      <c r="K480" t="s">
        <v>32</v>
      </c>
      <c r="L480" t="s">
        <v>313</v>
      </c>
      <c r="M480" t="s">
        <v>314</v>
      </c>
      <c r="N480">
        <v>0</v>
      </c>
      <c r="O480" t="str">
        <f>IF(Transactions_RAW_cleaned[[#This Row],[Status]]="Completed", IFERROR(_xlfn.XLOOKUP(Transactions_RAW_cleaned[[#This Row],[CustomerID]], Customers_cleaned[CustomerID], Customers_cleaned[Segment]), "Customer Not Found"), "N/A")</f>
        <v>SMB</v>
      </c>
      <c r="P480" s="5" t="str">
        <f>IF(Transactions_RAW_cleaned[[#This Row],[Status]]="Refunded", "Refund",
  IF(Transactions_RAW_cleaned[[#This Row],[Category]]="Payments", IF(Transactions_RAW_cleaned[[#This Row],[Amount]]&gt;500,"High Value","Standard"),
    IF(Transactions_RAW_cleaned[[#This Row],[Amount]]&gt;250,"High Value","Standard")))</f>
        <v>High Value</v>
      </c>
      <c r="Q480" s="5" t="str">
        <f>IF(Transactions_RAW_cleaned[[#This Row],[Amount]] &gt; (_xlfn.XLOOKUP(Transactions_RAW_cleaned[[#This Row],[ServiceID]],Services_cleaned[ServiceID],Services_cleaned[TransactionFeePct]) * 10000), "Yes", "No")</f>
        <v>Yes</v>
      </c>
      <c r="R480" s="5" t="str">
        <f>IF(COUNTIFS($C$2:Transactions_RAW_cleaned[[#This Row],[CustomerID]],Transactions_RAW_cleaned[[#This Row],[CustomerID]],$D$2:Transactions_RAW_cleaned[[#This Row],[ServiceID]],Transactions_RAW_cleaned[[#This Row],[ServiceID]])=1,"Yes","No")</f>
        <v>Yes</v>
      </c>
      <c r="S48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80" t="str">
        <f>"Q"&amp;ROUNDUP(MONTH(Transactions_RAW_cleaned[[#This Row],[TransactionDate]])/3,0)</f>
        <v>Q2</v>
      </c>
      <c r="U480" t="str">
        <f>Transactions_RAW_cleaned[[#This Row],[Region ]]&amp;Transactions_RAW_cleaned[[#This Row],[Quarter ]]</f>
        <v>NAQ2</v>
      </c>
      <c r="V480" s="5">
        <f>_xlfn.XLOOKUP(Transactions_RAW_cleaned[[#This Row],[RegionQuarterKey]], Quarterly_Targets_cleaned[RegionQuarterKey], Quarterly_Targets_cleaned[TargetRevenue])</f>
        <v>260000</v>
      </c>
    </row>
    <row r="481" spans="1:22" x14ac:dyDescent="0.25">
      <c r="A481" t="s">
        <v>814</v>
      </c>
      <c r="B481" s="1">
        <v>45358</v>
      </c>
      <c r="C481" t="s">
        <v>49</v>
      </c>
      <c r="D481" t="s">
        <v>300</v>
      </c>
      <c r="E481">
        <v>612.67999999999995</v>
      </c>
      <c r="F481" t="s">
        <v>324</v>
      </c>
      <c r="G481" t="s">
        <v>327</v>
      </c>
      <c r="H481" t="s">
        <v>346</v>
      </c>
      <c r="I481" t="s">
        <v>8</v>
      </c>
      <c r="J481" t="s">
        <v>102</v>
      </c>
      <c r="K481" t="s">
        <v>32</v>
      </c>
      <c r="L481" t="s">
        <v>301</v>
      </c>
      <c r="M481" t="s">
        <v>302</v>
      </c>
      <c r="N481">
        <v>5.0000000000000001E-3</v>
      </c>
      <c r="O481" t="str">
        <f>IF(Transactions_RAW_cleaned[[#This Row],[Status]]="Completed", IFERROR(_xlfn.XLOOKUP(Transactions_RAW_cleaned[[#This Row],[CustomerID]], Customers_cleaned[CustomerID], Customers_cleaned[Segment]), "Customer Not Found"), "N/A")</f>
        <v>SMB</v>
      </c>
      <c r="P481" s="5" t="str">
        <f>IF(Transactions_RAW_cleaned[[#This Row],[Status]]="Refunded", "Refund",
  IF(Transactions_RAW_cleaned[[#This Row],[Category]]="Payments", IF(Transactions_RAW_cleaned[[#This Row],[Amount]]&gt;500,"High Value","Standard"),
    IF(Transactions_RAW_cleaned[[#This Row],[Amount]]&gt;250,"High Value","Standard")))</f>
        <v>High Value</v>
      </c>
      <c r="Q481" s="5" t="str">
        <f>IF(Transactions_RAW_cleaned[[#This Row],[Amount]] &gt; (_xlfn.XLOOKUP(Transactions_RAW_cleaned[[#This Row],[ServiceID]],Services_cleaned[ServiceID],Services_cleaned[TransactionFeePct]) * 10000), "Yes", "No")</f>
        <v>Yes</v>
      </c>
      <c r="R481" s="5" t="str">
        <f>IF(COUNTIFS($C$2:Transactions_RAW_cleaned[[#This Row],[CustomerID]],Transactions_RAW_cleaned[[#This Row],[CustomerID]],$D$2:Transactions_RAW_cleaned[[#This Row],[ServiceID]],Transactions_RAW_cleaned[[#This Row],[ServiceID]])=1,"Yes","No")</f>
        <v>Yes</v>
      </c>
      <c r="S48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81" t="str">
        <f>"Q"&amp;ROUNDUP(MONTH(Transactions_RAW_cleaned[[#This Row],[TransactionDate]])/3,0)</f>
        <v>Q1</v>
      </c>
      <c r="U481" t="str">
        <f>Transactions_RAW_cleaned[[#This Row],[Region ]]&amp;Transactions_RAW_cleaned[[#This Row],[Quarter ]]</f>
        <v>NAQ1</v>
      </c>
      <c r="V481" s="5">
        <f>_xlfn.XLOOKUP(Transactions_RAW_cleaned[[#This Row],[RegionQuarterKey]], Quarterly_Targets_cleaned[RegionQuarterKey], Quarterly_Targets_cleaned[TargetRevenue])</f>
        <v>247000</v>
      </c>
    </row>
    <row r="482" spans="1:22" x14ac:dyDescent="0.25">
      <c r="A482" t="s">
        <v>815</v>
      </c>
      <c r="B482" s="1">
        <v>45418</v>
      </c>
      <c r="C482" t="s">
        <v>6</v>
      </c>
      <c r="D482" t="s">
        <v>300</v>
      </c>
      <c r="E482">
        <v>1238.05</v>
      </c>
      <c r="F482" t="s">
        <v>324</v>
      </c>
      <c r="G482" t="s">
        <v>325</v>
      </c>
      <c r="H482" t="s">
        <v>334</v>
      </c>
      <c r="I482" t="s">
        <v>8</v>
      </c>
      <c r="J482" t="s">
        <v>102</v>
      </c>
      <c r="K482" t="s">
        <v>10</v>
      </c>
      <c r="L482" t="s">
        <v>301</v>
      </c>
      <c r="M482" t="s">
        <v>302</v>
      </c>
      <c r="N482">
        <v>5.0000000000000001E-3</v>
      </c>
      <c r="O482" t="str">
        <f>IF(Transactions_RAW_cleaned[[#This Row],[Status]]="Completed", IFERROR(_xlfn.XLOOKUP(Transactions_RAW_cleaned[[#This Row],[CustomerID]], Customers_cleaned[CustomerID], Customers_cleaned[Segment]), "Customer Not Found"), "N/A")</f>
        <v>SMB</v>
      </c>
      <c r="P482" s="5" t="str">
        <f>IF(Transactions_RAW_cleaned[[#This Row],[Status]]="Refunded", "Refund",
  IF(Transactions_RAW_cleaned[[#This Row],[Category]]="Payments", IF(Transactions_RAW_cleaned[[#This Row],[Amount]]&gt;500,"High Value","Standard"),
    IF(Transactions_RAW_cleaned[[#This Row],[Amount]]&gt;250,"High Value","Standard")))</f>
        <v>High Value</v>
      </c>
      <c r="Q482" s="5" t="str">
        <f>IF(Transactions_RAW_cleaned[[#This Row],[Amount]] &gt; (_xlfn.XLOOKUP(Transactions_RAW_cleaned[[#This Row],[ServiceID]],Services_cleaned[ServiceID],Services_cleaned[TransactionFeePct]) * 10000), "Yes", "No")</f>
        <v>Yes</v>
      </c>
      <c r="R482" s="5" t="str">
        <f>IF(COUNTIFS($C$2:Transactions_RAW_cleaned[[#This Row],[CustomerID]],Transactions_RAW_cleaned[[#This Row],[CustomerID]],$D$2:Transactions_RAW_cleaned[[#This Row],[ServiceID]],Transactions_RAW_cleaned[[#This Row],[ServiceID]])=1,"Yes","No")</f>
        <v>Yes</v>
      </c>
      <c r="S48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82" t="str">
        <f>"Q"&amp;ROUNDUP(MONTH(Transactions_RAW_cleaned[[#This Row],[TransactionDate]])/3,0)</f>
        <v>Q2</v>
      </c>
      <c r="U482" t="str">
        <f>Transactions_RAW_cleaned[[#This Row],[Region ]]&amp;Transactions_RAW_cleaned[[#This Row],[Quarter ]]</f>
        <v>NAQ2</v>
      </c>
      <c r="V482" s="5">
        <f>_xlfn.XLOOKUP(Transactions_RAW_cleaned[[#This Row],[RegionQuarterKey]], Quarterly_Targets_cleaned[RegionQuarterKey], Quarterly_Targets_cleaned[TargetRevenue])</f>
        <v>260000</v>
      </c>
    </row>
    <row r="483" spans="1:22" x14ac:dyDescent="0.25">
      <c r="A483" t="s">
        <v>816</v>
      </c>
      <c r="B483" s="1">
        <v>45517</v>
      </c>
      <c r="C483" t="s">
        <v>273</v>
      </c>
      <c r="D483" t="s">
        <v>303</v>
      </c>
      <c r="E483">
        <v>333.43</v>
      </c>
      <c r="F483" t="s">
        <v>324</v>
      </c>
      <c r="G483" t="s">
        <v>329</v>
      </c>
      <c r="H483" t="s">
        <v>346</v>
      </c>
      <c r="I483" t="s">
        <v>17</v>
      </c>
      <c r="J483" t="s">
        <v>102</v>
      </c>
      <c r="K483" t="s">
        <v>22</v>
      </c>
      <c r="L483" t="s">
        <v>304</v>
      </c>
      <c r="M483" t="s">
        <v>305</v>
      </c>
      <c r="N483">
        <v>1E-3</v>
      </c>
      <c r="O483" t="str">
        <f>IF(Transactions_RAW_cleaned[[#This Row],[Status]]="Completed", IFERROR(_xlfn.XLOOKUP(Transactions_RAW_cleaned[[#This Row],[CustomerID]], Customers_cleaned[CustomerID], Customers_cleaned[Segment]), "Customer Not Found"), "N/A")</f>
        <v>Enterprise</v>
      </c>
      <c r="P483" s="5" t="str">
        <f>IF(Transactions_RAW_cleaned[[#This Row],[Status]]="Refunded", "Refund",
  IF(Transactions_RAW_cleaned[[#This Row],[Category]]="Payments", IF(Transactions_RAW_cleaned[[#This Row],[Amount]]&gt;500,"High Value","Standard"),
    IF(Transactions_RAW_cleaned[[#This Row],[Amount]]&gt;250,"High Value","Standard")))</f>
        <v>High Value</v>
      </c>
      <c r="Q483" s="5" t="str">
        <f>IF(Transactions_RAW_cleaned[[#This Row],[Amount]] &gt; (_xlfn.XLOOKUP(Transactions_RAW_cleaned[[#This Row],[ServiceID]],Services_cleaned[ServiceID],Services_cleaned[TransactionFeePct]) * 10000), "Yes", "No")</f>
        <v>Yes</v>
      </c>
      <c r="R483" s="5" t="str">
        <f>IF(COUNTIFS($C$2:Transactions_RAW_cleaned[[#This Row],[CustomerID]],Transactions_RAW_cleaned[[#This Row],[CustomerID]],$D$2:Transactions_RAW_cleaned[[#This Row],[ServiceID]],Transactions_RAW_cleaned[[#This Row],[ServiceID]])=1,"Yes","No")</f>
        <v>Yes</v>
      </c>
      <c r="S48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83" t="str">
        <f>"Q"&amp;ROUNDUP(MONTH(Transactions_RAW_cleaned[[#This Row],[TransactionDate]])/3,0)</f>
        <v>Q3</v>
      </c>
      <c r="U483" t="str">
        <f>Transactions_RAW_cleaned[[#This Row],[Region ]]&amp;Transactions_RAW_cleaned[[#This Row],[Quarter ]]</f>
        <v>NAQ3</v>
      </c>
      <c r="V483" s="5">
        <f>_xlfn.XLOOKUP(Transactions_RAW_cleaned[[#This Row],[RegionQuarterKey]], Quarterly_Targets_cleaned[RegionQuarterKey], Quarterly_Targets_cleaned[TargetRevenue])</f>
        <v>273000</v>
      </c>
    </row>
    <row r="484" spans="1:22" x14ac:dyDescent="0.25">
      <c r="A484" t="s">
        <v>817</v>
      </c>
      <c r="B484" s="1">
        <v>45577</v>
      </c>
      <c r="C484" t="s">
        <v>185</v>
      </c>
      <c r="D484" t="s">
        <v>294</v>
      </c>
      <c r="E484">
        <v>-200.04</v>
      </c>
      <c r="F484" t="s">
        <v>349</v>
      </c>
      <c r="G484" t="s">
        <v>325</v>
      </c>
      <c r="I484" t="s">
        <v>17</v>
      </c>
      <c r="J484" t="s">
        <v>13</v>
      </c>
      <c r="K484" t="s">
        <v>32</v>
      </c>
      <c r="L484" t="s">
        <v>295</v>
      </c>
      <c r="M484" t="s">
        <v>296</v>
      </c>
      <c r="N484">
        <v>2.9000000000000001E-2</v>
      </c>
      <c r="O484" t="str">
        <f>IF(Transactions_RAW_cleaned[[#This Row],[Status]]="Completed", IFERROR(_xlfn.XLOOKUP(Transactions_RAW_cleaned[[#This Row],[CustomerID]], Customers_cleaned[CustomerID], Customers_cleaned[Segment]), "Customer Not Found"), "N/A")</f>
        <v>N/A</v>
      </c>
      <c r="P484" s="5" t="str">
        <f>IF(Transactions_RAW_cleaned[[#This Row],[Status]]="Refunded", "Refund",
  IF(Transactions_RAW_cleaned[[#This Row],[Category]]="Payments", IF(Transactions_RAW_cleaned[[#This Row],[Amount]]&gt;500,"High Value","Standard"),
    IF(Transactions_RAW_cleaned[[#This Row],[Amount]]&gt;250,"High Value","Standard")))</f>
        <v>Refund</v>
      </c>
      <c r="Q484" s="5" t="str">
        <f>IF(Transactions_RAW_cleaned[[#This Row],[Amount]] &gt; (_xlfn.XLOOKUP(Transactions_RAW_cleaned[[#This Row],[ServiceID]],Services_cleaned[ServiceID],Services_cleaned[TransactionFeePct]) * 10000), "Yes", "No")</f>
        <v>No</v>
      </c>
      <c r="R484" s="5" t="str">
        <f>IF(COUNTIFS($C$2:Transactions_RAW_cleaned[[#This Row],[CustomerID]],Transactions_RAW_cleaned[[#This Row],[CustomerID]],$D$2:Transactions_RAW_cleaned[[#This Row],[ServiceID]],Transactions_RAW_cleaned[[#This Row],[ServiceID]])=1,"Yes","No")</f>
        <v>Yes</v>
      </c>
      <c r="S48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84" t="str">
        <f>"Q"&amp;ROUNDUP(MONTH(Transactions_RAW_cleaned[[#This Row],[TransactionDate]])/3,0)</f>
        <v>Q4</v>
      </c>
      <c r="U484" t="str">
        <f>Transactions_RAW_cleaned[[#This Row],[Region ]]&amp;Transactions_RAW_cleaned[[#This Row],[Quarter ]]</f>
        <v>NAQ4</v>
      </c>
      <c r="V484" s="5">
        <f>_xlfn.XLOOKUP(Transactions_RAW_cleaned[[#This Row],[RegionQuarterKey]], Quarterly_Targets_cleaned[RegionQuarterKey], Quarterly_Targets_cleaned[TargetRevenue])</f>
        <v>299000</v>
      </c>
    </row>
    <row r="485" spans="1:22" x14ac:dyDescent="0.25">
      <c r="A485" t="s">
        <v>818</v>
      </c>
      <c r="B485" s="1">
        <v>45641</v>
      </c>
      <c r="C485" t="s">
        <v>103</v>
      </c>
      <c r="D485" t="s">
        <v>315</v>
      </c>
      <c r="E485">
        <v>161.34</v>
      </c>
      <c r="F485" t="s">
        <v>324</v>
      </c>
      <c r="G485" t="s">
        <v>329</v>
      </c>
      <c r="I485" t="s">
        <v>8</v>
      </c>
      <c r="J485" t="s">
        <v>102</v>
      </c>
      <c r="K485" t="s">
        <v>28</v>
      </c>
      <c r="L485" t="s">
        <v>316</v>
      </c>
      <c r="M485" t="s">
        <v>305</v>
      </c>
      <c r="N485">
        <v>2.5000000000000001E-3</v>
      </c>
      <c r="O485" t="str">
        <f>IF(Transactions_RAW_cleaned[[#This Row],[Status]]="Completed", IFERROR(_xlfn.XLOOKUP(Transactions_RAW_cleaned[[#This Row],[CustomerID]], Customers_cleaned[CustomerID], Customers_cleaned[Segment]), "Customer Not Found"), "N/A")</f>
        <v>SMB</v>
      </c>
      <c r="P485" s="5" t="str">
        <f>IF(Transactions_RAW_cleaned[[#This Row],[Status]]="Refunded", "Refund",
  IF(Transactions_RAW_cleaned[[#This Row],[Category]]="Payments", IF(Transactions_RAW_cleaned[[#This Row],[Amount]]&gt;500,"High Value","Standard"),
    IF(Transactions_RAW_cleaned[[#This Row],[Amount]]&gt;250,"High Value","Standard")))</f>
        <v>Standard</v>
      </c>
      <c r="Q485" s="5" t="str">
        <f>IF(Transactions_RAW_cleaned[[#This Row],[Amount]] &gt; (_xlfn.XLOOKUP(Transactions_RAW_cleaned[[#This Row],[ServiceID]],Services_cleaned[ServiceID],Services_cleaned[TransactionFeePct]) * 10000), "Yes", "No")</f>
        <v>Yes</v>
      </c>
      <c r="R485" s="5" t="str">
        <f>IF(COUNTIFS($C$2:Transactions_RAW_cleaned[[#This Row],[CustomerID]],Transactions_RAW_cleaned[[#This Row],[CustomerID]],$D$2:Transactions_RAW_cleaned[[#This Row],[ServiceID]],Transactions_RAW_cleaned[[#This Row],[ServiceID]])=1,"Yes","No")</f>
        <v>No</v>
      </c>
      <c r="S48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85" t="str">
        <f>"Q"&amp;ROUNDUP(MONTH(Transactions_RAW_cleaned[[#This Row],[TransactionDate]])/3,0)</f>
        <v>Q4</v>
      </c>
      <c r="U485" t="str">
        <f>Transactions_RAW_cleaned[[#This Row],[Region ]]&amp;Transactions_RAW_cleaned[[#This Row],[Quarter ]]</f>
        <v>NAQ4</v>
      </c>
      <c r="V485" s="5">
        <f>_xlfn.XLOOKUP(Transactions_RAW_cleaned[[#This Row],[RegionQuarterKey]], Quarterly_Targets_cleaned[RegionQuarterKey], Quarterly_Targets_cleaned[TargetRevenue])</f>
        <v>299000</v>
      </c>
    </row>
    <row r="486" spans="1:22" x14ac:dyDescent="0.25">
      <c r="A486" t="s">
        <v>819</v>
      </c>
      <c r="B486" s="1">
        <v>45369</v>
      </c>
      <c r="C486" t="s">
        <v>62</v>
      </c>
      <c r="D486" t="s">
        <v>294</v>
      </c>
      <c r="E486">
        <v>416.45</v>
      </c>
      <c r="F486" t="s">
        <v>324</v>
      </c>
      <c r="G486" t="s">
        <v>337</v>
      </c>
      <c r="I486" t="s">
        <v>8</v>
      </c>
      <c r="J486" t="s">
        <v>46</v>
      </c>
      <c r="K486" t="s">
        <v>18</v>
      </c>
      <c r="L486" t="s">
        <v>295</v>
      </c>
      <c r="M486" t="s">
        <v>296</v>
      </c>
      <c r="N486">
        <v>2.9000000000000001E-2</v>
      </c>
      <c r="O486" t="str">
        <f>IF(Transactions_RAW_cleaned[[#This Row],[Status]]="Completed", IFERROR(_xlfn.XLOOKUP(Transactions_RAW_cleaned[[#This Row],[CustomerID]], Customers_cleaned[CustomerID], Customers_cleaned[Segment]), "Customer Not Found"), "N/A")</f>
        <v>SMB</v>
      </c>
      <c r="P486" s="5" t="str">
        <f>IF(Transactions_RAW_cleaned[[#This Row],[Status]]="Refunded", "Refund",
  IF(Transactions_RAW_cleaned[[#This Row],[Category]]="Payments", IF(Transactions_RAW_cleaned[[#This Row],[Amount]]&gt;500,"High Value","Standard"),
    IF(Transactions_RAW_cleaned[[#This Row],[Amount]]&gt;250,"High Value","Standard")))</f>
        <v>Standard</v>
      </c>
      <c r="Q486" s="5" t="str">
        <f>IF(Transactions_RAW_cleaned[[#This Row],[Amount]] &gt; (_xlfn.XLOOKUP(Transactions_RAW_cleaned[[#This Row],[ServiceID]],Services_cleaned[ServiceID],Services_cleaned[TransactionFeePct]) * 10000), "Yes", "No")</f>
        <v>Yes</v>
      </c>
      <c r="R486" s="5" t="str">
        <f>IF(COUNTIFS($C$2:Transactions_RAW_cleaned[[#This Row],[CustomerID]],Transactions_RAW_cleaned[[#This Row],[CustomerID]],$D$2:Transactions_RAW_cleaned[[#This Row],[ServiceID]],Transactions_RAW_cleaned[[#This Row],[ServiceID]])=1,"Yes","No")</f>
        <v>Yes</v>
      </c>
      <c r="S48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486" t="str">
        <f>"Q"&amp;ROUNDUP(MONTH(Transactions_RAW_cleaned[[#This Row],[TransactionDate]])/3,0)</f>
        <v>Q1</v>
      </c>
      <c r="U486" t="str">
        <f>Transactions_RAW_cleaned[[#This Row],[Region ]]&amp;Transactions_RAW_cleaned[[#This Row],[Quarter ]]</f>
        <v>APACQ1</v>
      </c>
      <c r="V486" s="5">
        <f>_xlfn.XLOOKUP(Transactions_RAW_cleaned[[#This Row],[RegionQuarterKey]], Quarterly_Targets_cleaned[RegionQuarterKey], Quarterly_Targets_cleaned[TargetRevenue])</f>
        <v>104500</v>
      </c>
    </row>
    <row r="487" spans="1:22" x14ac:dyDescent="0.25">
      <c r="A487" t="s">
        <v>820</v>
      </c>
      <c r="B487" s="1">
        <v>45587</v>
      </c>
      <c r="C487" t="s">
        <v>86</v>
      </c>
      <c r="D487" t="s">
        <v>297</v>
      </c>
      <c r="E487">
        <v>543.19000000000005</v>
      </c>
      <c r="F487" t="s">
        <v>324</v>
      </c>
      <c r="G487" t="s">
        <v>325</v>
      </c>
      <c r="H487" t="s">
        <v>334</v>
      </c>
      <c r="I487" t="s">
        <v>8</v>
      </c>
      <c r="J487" t="s">
        <v>102</v>
      </c>
      <c r="K487" t="s">
        <v>18</v>
      </c>
      <c r="L487" t="s">
        <v>298</v>
      </c>
      <c r="M487" t="s">
        <v>299</v>
      </c>
      <c r="N487">
        <v>0</v>
      </c>
      <c r="O487" t="str">
        <f>IF(Transactions_RAW_cleaned[[#This Row],[Status]]="Completed", IFERROR(_xlfn.XLOOKUP(Transactions_RAW_cleaned[[#This Row],[CustomerID]], Customers_cleaned[CustomerID], Customers_cleaned[Segment]), "Customer Not Found"), "N/A")</f>
        <v>SMB</v>
      </c>
      <c r="P487" s="5" t="str">
        <f>IF(Transactions_RAW_cleaned[[#This Row],[Status]]="Refunded", "Refund",
  IF(Transactions_RAW_cleaned[[#This Row],[Category]]="Payments", IF(Transactions_RAW_cleaned[[#This Row],[Amount]]&gt;500,"High Value","Standard"),
    IF(Transactions_RAW_cleaned[[#This Row],[Amount]]&gt;250,"High Value","Standard")))</f>
        <v>High Value</v>
      </c>
      <c r="Q487" s="5" t="str">
        <f>IF(Transactions_RAW_cleaned[[#This Row],[Amount]] &gt; (_xlfn.XLOOKUP(Transactions_RAW_cleaned[[#This Row],[ServiceID]],Services_cleaned[ServiceID],Services_cleaned[TransactionFeePct]) * 10000), "Yes", "No")</f>
        <v>Yes</v>
      </c>
      <c r="R487" s="5" t="str">
        <f>IF(COUNTIFS($C$2:Transactions_RAW_cleaned[[#This Row],[CustomerID]],Transactions_RAW_cleaned[[#This Row],[CustomerID]],$D$2:Transactions_RAW_cleaned[[#This Row],[ServiceID]],Transactions_RAW_cleaned[[#This Row],[ServiceID]])=1,"Yes","No")</f>
        <v>Yes</v>
      </c>
      <c r="S48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87" t="str">
        <f>"Q"&amp;ROUNDUP(MONTH(Transactions_RAW_cleaned[[#This Row],[TransactionDate]])/3,0)</f>
        <v>Q4</v>
      </c>
      <c r="U487" t="str">
        <f>Transactions_RAW_cleaned[[#This Row],[Region ]]&amp;Transactions_RAW_cleaned[[#This Row],[Quarter ]]</f>
        <v>NAQ4</v>
      </c>
      <c r="V487" s="5">
        <f>_xlfn.XLOOKUP(Transactions_RAW_cleaned[[#This Row],[RegionQuarterKey]], Quarterly_Targets_cleaned[RegionQuarterKey], Quarterly_Targets_cleaned[TargetRevenue])</f>
        <v>299000</v>
      </c>
    </row>
    <row r="488" spans="1:22" x14ac:dyDescent="0.25">
      <c r="A488" t="s">
        <v>821</v>
      </c>
      <c r="B488" s="1">
        <v>45399</v>
      </c>
      <c r="C488" t="s">
        <v>149</v>
      </c>
      <c r="D488" t="s">
        <v>300</v>
      </c>
      <c r="E488">
        <v>248.43</v>
      </c>
      <c r="F488" t="s">
        <v>331</v>
      </c>
      <c r="G488" t="s">
        <v>329</v>
      </c>
      <c r="I488" t="s">
        <v>8</v>
      </c>
      <c r="J488" t="s">
        <v>13</v>
      </c>
      <c r="K488" t="s">
        <v>22</v>
      </c>
      <c r="L488" t="s">
        <v>301</v>
      </c>
      <c r="M488" t="s">
        <v>302</v>
      </c>
      <c r="N488">
        <v>5.0000000000000001E-3</v>
      </c>
      <c r="O488" t="str">
        <f>IF(Transactions_RAW_cleaned[[#This Row],[Status]]="Completed", IFERROR(_xlfn.XLOOKUP(Transactions_RAW_cleaned[[#This Row],[CustomerID]], Customers_cleaned[CustomerID], Customers_cleaned[Segment]), "Customer Not Found"), "N/A")</f>
        <v>N/A</v>
      </c>
      <c r="P488" s="5" t="str">
        <f>IF(Transactions_RAW_cleaned[[#This Row],[Status]]="Refunded", "Refund",
  IF(Transactions_RAW_cleaned[[#This Row],[Category]]="Payments", IF(Transactions_RAW_cleaned[[#This Row],[Amount]]&gt;500,"High Value","Standard"),
    IF(Transactions_RAW_cleaned[[#This Row],[Amount]]&gt;250,"High Value","Standard")))</f>
        <v>Standard</v>
      </c>
      <c r="Q488" s="5" t="str">
        <f>IF(Transactions_RAW_cleaned[[#This Row],[Amount]] &gt; (_xlfn.XLOOKUP(Transactions_RAW_cleaned[[#This Row],[ServiceID]],Services_cleaned[ServiceID],Services_cleaned[TransactionFeePct]) * 10000), "Yes", "No")</f>
        <v>Yes</v>
      </c>
      <c r="R488" s="5" t="str">
        <f>IF(COUNTIFS($C$2:Transactions_RAW_cleaned[[#This Row],[CustomerID]],Transactions_RAW_cleaned[[#This Row],[CustomerID]],$D$2:Transactions_RAW_cleaned[[#This Row],[ServiceID]],Transactions_RAW_cleaned[[#This Row],[ServiceID]])=1,"Yes","No")</f>
        <v>Yes</v>
      </c>
      <c r="S48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88" t="str">
        <f>"Q"&amp;ROUNDUP(MONTH(Transactions_RAW_cleaned[[#This Row],[TransactionDate]])/3,0)</f>
        <v>Q2</v>
      </c>
      <c r="U488" t="str">
        <f>Transactions_RAW_cleaned[[#This Row],[Region ]]&amp;Transactions_RAW_cleaned[[#This Row],[Quarter ]]</f>
        <v>NAQ2</v>
      </c>
      <c r="V488" s="5">
        <f>_xlfn.XLOOKUP(Transactions_RAW_cleaned[[#This Row],[RegionQuarterKey]], Quarterly_Targets_cleaned[RegionQuarterKey], Quarterly_Targets_cleaned[TargetRevenue])</f>
        <v>260000</v>
      </c>
    </row>
    <row r="489" spans="1:22" x14ac:dyDescent="0.25">
      <c r="A489" t="s">
        <v>822</v>
      </c>
      <c r="B489" s="1">
        <v>45578</v>
      </c>
      <c r="C489" t="s">
        <v>165</v>
      </c>
      <c r="D489" t="s">
        <v>306</v>
      </c>
      <c r="E489">
        <v>431.19</v>
      </c>
      <c r="F489" t="s">
        <v>331</v>
      </c>
      <c r="G489" t="s">
        <v>2963</v>
      </c>
      <c r="I489" t="s">
        <v>8</v>
      </c>
      <c r="J489" t="s">
        <v>31</v>
      </c>
      <c r="K489" t="s">
        <v>32</v>
      </c>
      <c r="L489" t="s">
        <v>307</v>
      </c>
      <c r="M489" t="s">
        <v>308</v>
      </c>
      <c r="N489">
        <v>0</v>
      </c>
      <c r="O489" t="str">
        <f>IF(Transactions_RAW_cleaned[[#This Row],[Status]]="Completed", IFERROR(_xlfn.XLOOKUP(Transactions_RAW_cleaned[[#This Row],[CustomerID]], Customers_cleaned[CustomerID], Customers_cleaned[Segment]), "Customer Not Found"), "N/A")</f>
        <v>N/A</v>
      </c>
      <c r="P489" s="5" t="str">
        <f>IF(Transactions_RAW_cleaned[[#This Row],[Status]]="Refunded", "Refund",
  IF(Transactions_RAW_cleaned[[#This Row],[Category]]="Payments", IF(Transactions_RAW_cleaned[[#This Row],[Amount]]&gt;500,"High Value","Standard"),
    IF(Transactions_RAW_cleaned[[#This Row],[Amount]]&gt;250,"High Value","Standard")))</f>
        <v>High Value</v>
      </c>
      <c r="Q489" s="5" t="str">
        <f>IF(Transactions_RAW_cleaned[[#This Row],[Amount]] &gt; (_xlfn.XLOOKUP(Transactions_RAW_cleaned[[#This Row],[ServiceID]],Services_cleaned[ServiceID],Services_cleaned[TransactionFeePct]) * 10000), "Yes", "No")</f>
        <v>Yes</v>
      </c>
      <c r="R489" s="5" t="str">
        <f>IF(COUNTIFS($C$2:Transactions_RAW_cleaned[[#This Row],[CustomerID]],Transactions_RAW_cleaned[[#This Row],[CustomerID]],$D$2:Transactions_RAW_cleaned[[#This Row],[ServiceID]],Transactions_RAW_cleaned[[#This Row],[ServiceID]])=1,"Yes","No")</f>
        <v>No</v>
      </c>
      <c r="S48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489" t="str">
        <f>"Q"&amp;ROUNDUP(MONTH(Transactions_RAW_cleaned[[#This Row],[TransactionDate]])/3,0)</f>
        <v>Q4</v>
      </c>
      <c r="U489" t="str">
        <f>Transactions_RAW_cleaned[[#This Row],[Region ]]&amp;Transactions_RAW_cleaned[[#This Row],[Quarter ]]</f>
        <v>EMEAQ4</v>
      </c>
      <c r="V489" s="5">
        <f>_xlfn.XLOOKUP(Transactions_RAW_cleaned[[#This Row],[RegionQuarterKey]], Quarterly_Targets_cleaned[RegionQuarterKey], Quarterly_Targets_cleaned[TargetRevenue])</f>
        <v>161000</v>
      </c>
    </row>
    <row r="490" spans="1:22" x14ac:dyDescent="0.25">
      <c r="A490" t="s">
        <v>823</v>
      </c>
      <c r="B490" s="1">
        <v>45474</v>
      </c>
      <c r="C490" t="s">
        <v>149</v>
      </c>
      <c r="D490" t="s">
        <v>309</v>
      </c>
      <c r="E490">
        <v>454.83</v>
      </c>
      <c r="F490" t="s">
        <v>381</v>
      </c>
      <c r="G490" t="s">
        <v>329</v>
      </c>
      <c r="H490" t="s">
        <v>334</v>
      </c>
      <c r="I490" t="s">
        <v>8</v>
      </c>
      <c r="J490" t="s">
        <v>13</v>
      </c>
      <c r="K490" t="s">
        <v>22</v>
      </c>
      <c r="L490" t="s">
        <v>310</v>
      </c>
      <c r="M490" t="s">
        <v>311</v>
      </c>
      <c r="N490">
        <v>0</v>
      </c>
      <c r="O490" t="str">
        <f>IF(Transactions_RAW_cleaned[[#This Row],[Status]]="Completed", IFERROR(_xlfn.XLOOKUP(Transactions_RAW_cleaned[[#This Row],[CustomerID]], Customers_cleaned[CustomerID], Customers_cleaned[Segment]), "Customer Not Found"), "N/A")</f>
        <v>N/A</v>
      </c>
      <c r="P490" s="5" t="str">
        <f>IF(Transactions_RAW_cleaned[[#This Row],[Status]]="Refunded", "Refund",
  IF(Transactions_RAW_cleaned[[#This Row],[Category]]="Payments", IF(Transactions_RAW_cleaned[[#This Row],[Amount]]&gt;500,"High Value","Standard"),
    IF(Transactions_RAW_cleaned[[#This Row],[Amount]]&gt;250,"High Value","Standard")))</f>
        <v>High Value</v>
      </c>
      <c r="Q490" s="5" t="str">
        <f>IF(Transactions_RAW_cleaned[[#This Row],[Amount]] &gt; (_xlfn.XLOOKUP(Transactions_RAW_cleaned[[#This Row],[ServiceID]],Services_cleaned[ServiceID],Services_cleaned[TransactionFeePct]) * 10000), "Yes", "No")</f>
        <v>Yes</v>
      </c>
      <c r="R490" s="5" t="str">
        <f>IF(COUNTIFS($C$2:Transactions_RAW_cleaned[[#This Row],[CustomerID]],Transactions_RAW_cleaned[[#This Row],[CustomerID]],$D$2:Transactions_RAW_cleaned[[#This Row],[ServiceID]],Transactions_RAW_cleaned[[#This Row],[ServiceID]])=1,"Yes","No")</f>
        <v>Yes</v>
      </c>
      <c r="S49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90" t="str">
        <f>"Q"&amp;ROUNDUP(MONTH(Transactions_RAW_cleaned[[#This Row],[TransactionDate]])/3,0)</f>
        <v>Q3</v>
      </c>
      <c r="U490" t="str">
        <f>Transactions_RAW_cleaned[[#This Row],[Region ]]&amp;Transactions_RAW_cleaned[[#This Row],[Quarter ]]</f>
        <v>NAQ3</v>
      </c>
      <c r="V490" s="5">
        <f>_xlfn.XLOOKUP(Transactions_RAW_cleaned[[#This Row],[RegionQuarterKey]], Quarterly_Targets_cleaned[RegionQuarterKey], Quarterly_Targets_cleaned[TargetRevenue])</f>
        <v>273000</v>
      </c>
    </row>
    <row r="491" spans="1:22" x14ac:dyDescent="0.25">
      <c r="A491" t="s">
        <v>824</v>
      </c>
      <c r="B491" s="1">
        <v>45377</v>
      </c>
      <c r="C491" t="s">
        <v>143</v>
      </c>
      <c r="D491" t="s">
        <v>315</v>
      </c>
      <c r="E491">
        <v>604.95000000000005</v>
      </c>
      <c r="F491" t="s">
        <v>381</v>
      </c>
      <c r="G491" t="s">
        <v>325</v>
      </c>
      <c r="I491" t="s">
        <v>8</v>
      </c>
      <c r="J491" t="s">
        <v>102</v>
      </c>
      <c r="K491" t="s">
        <v>22</v>
      </c>
      <c r="L491" t="s">
        <v>316</v>
      </c>
      <c r="M491" t="s">
        <v>305</v>
      </c>
      <c r="N491">
        <v>2.5000000000000001E-3</v>
      </c>
      <c r="O491" t="str">
        <f>IF(Transactions_RAW_cleaned[[#This Row],[Status]]="Completed", IFERROR(_xlfn.XLOOKUP(Transactions_RAW_cleaned[[#This Row],[CustomerID]], Customers_cleaned[CustomerID], Customers_cleaned[Segment]), "Customer Not Found"), "N/A")</f>
        <v>N/A</v>
      </c>
      <c r="P491" s="5" t="str">
        <f>IF(Transactions_RAW_cleaned[[#This Row],[Status]]="Refunded", "Refund",
  IF(Transactions_RAW_cleaned[[#This Row],[Category]]="Payments", IF(Transactions_RAW_cleaned[[#This Row],[Amount]]&gt;500,"High Value","Standard"),
    IF(Transactions_RAW_cleaned[[#This Row],[Amount]]&gt;250,"High Value","Standard")))</f>
        <v>High Value</v>
      </c>
      <c r="Q491" s="5" t="str">
        <f>IF(Transactions_RAW_cleaned[[#This Row],[Amount]] &gt; (_xlfn.XLOOKUP(Transactions_RAW_cleaned[[#This Row],[ServiceID]],Services_cleaned[ServiceID],Services_cleaned[TransactionFeePct]) * 10000), "Yes", "No")</f>
        <v>Yes</v>
      </c>
      <c r="R491" s="5" t="str">
        <f>IF(COUNTIFS($C$2:Transactions_RAW_cleaned[[#This Row],[CustomerID]],Transactions_RAW_cleaned[[#This Row],[CustomerID]],$D$2:Transactions_RAW_cleaned[[#This Row],[ServiceID]],Transactions_RAW_cleaned[[#This Row],[ServiceID]])=1,"Yes","No")</f>
        <v>Yes</v>
      </c>
      <c r="S49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91" t="str">
        <f>"Q"&amp;ROUNDUP(MONTH(Transactions_RAW_cleaned[[#This Row],[TransactionDate]])/3,0)</f>
        <v>Q1</v>
      </c>
      <c r="U491" t="str">
        <f>Transactions_RAW_cleaned[[#This Row],[Region ]]&amp;Transactions_RAW_cleaned[[#This Row],[Quarter ]]</f>
        <v>NAQ1</v>
      </c>
      <c r="V491" s="5">
        <f>_xlfn.XLOOKUP(Transactions_RAW_cleaned[[#This Row],[RegionQuarterKey]], Quarterly_Targets_cleaned[RegionQuarterKey], Quarterly_Targets_cleaned[TargetRevenue])</f>
        <v>247000</v>
      </c>
    </row>
    <row r="492" spans="1:22" x14ac:dyDescent="0.25">
      <c r="A492" t="s">
        <v>825</v>
      </c>
      <c r="B492" s="1">
        <v>45428</v>
      </c>
      <c r="C492" t="s">
        <v>15</v>
      </c>
      <c r="D492" t="s">
        <v>294</v>
      </c>
      <c r="E492">
        <v>438.57</v>
      </c>
      <c r="F492" t="s">
        <v>324</v>
      </c>
      <c r="G492" t="s">
        <v>337</v>
      </c>
      <c r="H492" t="s">
        <v>334</v>
      </c>
      <c r="I492" t="s">
        <v>17</v>
      </c>
      <c r="J492" t="s">
        <v>102</v>
      </c>
      <c r="K492" t="s">
        <v>18</v>
      </c>
      <c r="L492" t="s">
        <v>295</v>
      </c>
      <c r="M492" t="s">
        <v>296</v>
      </c>
      <c r="N492">
        <v>2.9000000000000001E-2</v>
      </c>
      <c r="O492" t="str">
        <f>IF(Transactions_RAW_cleaned[[#This Row],[Status]]="Completed", IFERROR(_xlfn.XLOOKUP(Transactions_RAW_cleaned[[#This Row],[CustomerID]], Customers_cleaned[CustomerID], Customers_cleaned[Segment]), "Customer Not Found"), "N/A")</f>
        <v>Enterprise</v>
      </c>
      <c r="P492" s="5" t="str">
        <f>IF(Transactions_RAW_cleaned[[#This Row],[Status]]="Refunded", "Refund",
  IF(Transactions_RAW_cleaned[[#This Row],[Category]]="Payments", IF(Transactions_RAW_cleaned[[#This Row],[Amount]]&gt;500,"High Value","Standard"),
    IF(Transactions_RAW_cleaned[[#This Row],[Amount]]&gt;250,"High Value","Standard")))</f>
        <v>Standard</v>
      </c>
      <c r="Q492" s="5" t="str">
        <f>IF(Transactions_RAW_cleaned[[#This Row],[Amount]] &gt; (_xlfn.XLOOKUP(Transactions_RAW_cleaned[[#This Row],[ServiceID]],Services_cleaned[ServiceID],Services_cleaned[TransactionFeePct]) * 10000), "Yes", "No")</f>
        <v>Yes</v>
      </c>
      <c r="R492" s="5" t="str">
        <f>IF(COUNTIFS($C$2:Transactions_RAW_cleaned[[#This Row],[CustomerID]],Transactions_RAW_cleaned[[#This Row],[CustomerID]],$D$2:Transactions_RAW_cleaned[[#This Row],[ServiceID]],Transactions_RAW_cleaned[[#This Row],[ServiceID]])=1,"Yes","No")</f>
        <v>No</v>
      </c>
      <c r="S49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92" t="str">
        <f>"Q"&amp;ROUNDUP(MONTH(Transactions_RAW_cleaned[[#This Row],[TransactionDate]])/3,0)</f>
        <v>Q2</v>
      </c>
      <c r="U492" t="str">
        <f>Transactions_RAW_cleaned[[#This Row],[Region ]]&amp;Transactions_RAW_cleaned[[#This Row],[Quarter ]]</f>
        <v>NAQ2</v>
      </c>
      <c r="V492" s="5">
        <f>_xlfn.XLOOKUP(Transactions_RAW_cleaned[[#This Row],[RegionQuarterKey]], Quarterly_Targets_cleaned[RegionQuarterKey], Quarterly_Targets_cleaned[TargetRevenue])</f>
        <v>260000</v>
      </c>
    </row>
    <row r="493" spans="1:22" x14ac:dyDescent="0.25">
      <c r="A493" t="s">
        <v>826</v>
      </c>
      <c r="B493" s="1">
        <v>45299</v>
      </c>
      <c r="C493" t="s">
        <v>121</v>
      </c>
      <c r="D493" t="s">
        <v>315</v>
      </c>
      <c r="E493">
        <v>262.35000000000002</v>
      </c>
      <c r="F493" t="s">
        <v>324</v>
      </c>
      <c r="G493" t="s">
        <v>337</v>
      </c>
      <c r="I493" t="s">
        <v>8</v>
      </c>
      <c r="J493" t="s">
        <v>37</v>
      </c>
      <c r="K493" t="s">
        <v>14</v>
      </c>
      <c r="L493" t="s">
        <v>316</v>
      </c>
      <c r="M493" t="s">
        <v>305</v>
      </c>
      <c r="N493">
        <v>2.5000000000000001E-3</v>
      </c>
      <c r="O493" t="str">
        <f>IF(Transactions_RAW_cleaned[[#This Row],[Status]]="Completed", IFERROR(_xlfn.XLOOKUP(Transactions_RAW_cleaned[[#This Row],[CustomerID]], Customers_cleaned[CustomerID], Customers_cleaned[Segment]), "Customer Not Found"), "N/A")</f>
        <v>SMB</v>
      </c>
      <c r="P493" s="5" t="str">
        <f>IF(Transactions_RAW_cleaned[[#This Row],[Status]]="Refunded", "Refund",
  IF(Transactions_RAW_cleaned[[#This Row],[Category]]="Payments", IF(Transactions_RAW_cleaned[[#This Row],[Amount]]&gt;500,"High Value","Standard"),
    IF(Transactions_RAW_cleaned[[#This Row],[Amount]]&gt;250,"High Value","Standard")))</f>
        <v>High Value</v>
      </c>
      <c r="Q493" s="5" t="str">
        <f>IF(Transactions_RAW_cleaned[[#This Row],[Amount]] &gt; (_xlfn.XLOOKUP(Transactions_RAW_cleaned[[#This Row],[ServiceID]],Services_cleaned[ServiceID],Services_cleaned[TransactionFeePct]) * 10000), "Yes", "No")</f>
        <v>Yes</v>
      </c>
      <c r="R493" s="5" t="str">
        <f>IF(COUNTIFS($C$2:Transactions_RAW_cleaned[[#This Row],[CustomerID]],Transactions_RAW_cleaned[[#This Row],[CustomerID]],$D$2:Transactions_RAW_cleaned[[#This Row],[ServiceID]],Transactions_RAW_cleaned[[#This Row],[ServiceID]])=1,"Yes","No")</f>
        <v>No</v>
      </c>
      <c r="S49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493" t="str">
        <f>"Q"&amp;ROUNDUP(MONTH(Transactions_RAW_cleaned[[#This Row],[TransactionDate]])/3,0)</f>
        <v>Q1</v>
      </c>
      <c r="U493" t="str">
        <f>Transactions_RAW_cleaned[[#This Row],[Region ]]&amp;Transactions_RAW_cleaned[[#This Row],[Quarter ]]</f>
        <v>EMEAQ1</v>
      </c>
      <c r="V493" s="5">
        <f>_xlfn.XLOOKUP(Transactions_RAW_cleaned[[#This Row],[RegionQuarterKey]], Quarterly_Targets_cleaned[RegionQuarterKey], Quarterly_Targets_cleaned[TargetRevenue])</f>
        <v>133000</v>
      </c>
    </row>
    <row r="494" spans="1:22" x14ac:dyDescent="0.25">
      <c r="A494" t="s">
        <v>827</v>
      </c>
      <c r="B494" s="1">
        <v>45645</v>
      </c>
      <c r="C494" t="s">
        <v>207</v>
      </c>
      <c r="D494" t="s">
        <v>300</v>
      </c>
      <c r="E494">
        <v>257.56</v>
      </c>
      <c r="F494" t="s">
        <v>324</v>
      </c>
      <c r="G494" t="s">
        <v>327</v>
      </c>
      <c r="I494" t="s">
        <v>8</v>
      </c>
      <c r="J494" t="s">
        <v>102</v>
      </c>
      <c r="K494" t="s">
        <v>28</v>
      </c>
      <c r="L494" t="s">
        <v>301</v>
      </c>
      <c r="M494" t="s">
        <v>302</v>
      </c>
      <c r="N494">
        <v>5.0000000000000001E-3</v>
      </c>
      <c r="O494" t="str">
        <f>IF(Transactions_RAW_cleaned[[#This Row],[Status]]="Completed", IFERROR(_xlfn.XLOOKUP(Transactions_RAW_cleaned[[#This Row],[CustomerID]], Customers_cleaned[CustomerID], Customers_cleaned[Segment]), "Customer Not Found"), "N/A")</f>
        <v>SMB</v>
      </c>
      <c r="P494" s="5" t="str">
        <f>IF(Transactions_RAW_cleaned[[#This Row],[Status]]="Refunded", "Refund",
  IF(Transactions_RAW_cleaned[[#This Row],[Category]]="Payments", IF(Transactions_RAW_cleaned[[#This Row],[Amount]]&gt;500,"High Value","Standard"),
    IF(Transactions_RAW_cleaned[[#This Row],[Amount]]&gt;250,"High Value","Standard")))</f>
        <v>High Value</v>
      </c>
      <c r="Q494" s="5" t="str">
        <f>IF(Transactions_RAW_cleaned[[#This Row],[Amount]] &gt; (_xlfn.XLOOKUP(Transactions_RAW_cleaned[[#This Row],[ServiceID]],Services_cleaned[ServiceID],Services_cleaned[TransactionFeePct]) * 10000), "Yes", "No")</f>
        <v>Yes</v>
      </c>
      <c r="R494" s="5" t="str">
        <f>IF(COUNTIFS($C$2:Transactions_RAW_cleaned[[#This Row],[CustomerID]],Transactions_RAW_cleaned[[#This Row],[CustomerID]],$D$2:Transactions_RAW_cleaned[[#This Row],[ServiceID]],Transactions_RAW_cleaned[[#This Row],[ServiceID]])=1,"Yes","No")</f>
        <v>Yes</v>
      </c>
      <c r="S49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94" t="str">
        <f>"Q"&amp;ROUNDUP(MONTH(Transactions_RAW_cleaned[[#This Row],[TransactionDate]])/3,0)</f>
        <v>Q4</v>
      </c>
      <c r="U494" t="str">
        <f>Transactions_RAW_cleaned[[#This Row],[Region ]]&amp;Transactions_RAW_cleaned[[#This Row],[Quarter ]]</f>
        <v>NAQ4</v>
      </c>
      <c r="V494" s="5">
        <f>_xlfn.XLOOKUP(Transactions_RAW_cleaned[[#This Row],[RegionQuarterKey]], Quarterly_Targets_cleaned[RegionQuarterKey], Quarterly_Targets_cleaned[TargetRevenue])</f>
        <v>299000</v>
      </c>
    </row>
    <row r="495" spans="1:22" x14ac:dyDescent="0.25">
      <c r="A495" t="s">
        <v>828</v>
      </c>
      <c r="B495" s="1">
        <v>45614</v>
      </c>
      <c r="C495" t="s">
        <v>40</v>
      </c>
      <c r="D495" t="s">
        <v>309</v>
      </c>
      <c r="E495">
        <v>555.65</v>
      </c>
      <c r="F495" t="s">
        <v>324</v>
      </c>
      <c r="G495" t="s">
        <v>325</v>
      </c>
      <c r="H495" t="s">
        <v>346</v>
      </c>
      <c r="I495" t="s">
        <v>17</v>
      </c>
      <c r="J495" t="s">
        <v>102</v>
      </c>
      <c r="K495" t="s">
        <v>14</v>
      </c>
      <c r="L495" t="s">
        <v>310</v>
      </c>
      <c r="M495" t="s">
        <v>311</v>
      </c>
      <c r="N495">
        <v>0</v>
      </c>
      <c r="O495" t="str">
        <f>IF(Transactions_RAW_cleaned[[#This Row],[Status]]="Completed", IFERROR(_xlfn.XLOOKUP(Transactions_RAW_cleaned[[#This Row],[CustomerID]], Customers_cleaned[CustomerID], Customers_cleaned[Segment]), "Customer Not Found"), "N/A")</f>
        <v>Enterprise</v>
      </c>
      <c r="P495" s="5" t="str">
        <f>IF(Transactions_RAW_cleaned[[#This Row],[Status]]="Refunded", "Refund",
  IF(Transactions_RAW_cleaned[[#This Row],[Category]]="Payments", IF(Transactions_RAW_cleaned[[#This Row],[Amount]]&gt;500,"High Value","Standard"),
    IF(Transactions_RAW_cleaned[[#This Row],[Amount]]&gt;250,"High Value","Standard")))</f>
        <v>High Value</v>
      </c>
      <c r="Q495" s="5" t="str">
        <f>IF(Transactions_RAW_cleaned[[#This Row],[Amount]] &gt; (_xlfn.XLOOKUP(Transactions_RAW_cleaned[[#This Row],[ServiceID]],Services_cleaned[ServiceID],Services_cleaned[TransactionFeePct]) * 10000), "Yes", "No")</f>
        <v>Yes</v>
      </c>
      <c r="R495" s="5" t="str">
        <f>IF(COUNTIFS($C$2:Transactions_RAW_cleaned[[#This Row],[CustomerID]],Transactions_RAW_cleaned[[#This Row],[CustomerID]],$D$2:Transactions_RAW_cleaned[[#This Row],[ServiceID]],Transactions_RAW_cleaned[[#This Row],[ServiceID]])=1,"Yes","No")</f>
        <v>Yes</v>
      </c>
      <c r="S49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95" t="str">
        <f>"Q"&amp;ROUNDUP(MONTH(Transactions_RAW_cleaned[[#This Row],[TransactionDate]])/3,0)</f>
        <v>Q4</v>
      </c>
      <c r="U495" t="str">
        <f>Transactions_RAW_cleaned[[#This Row],[Region ]]&amp;Transactions_RAW_cleaned[[#This Row],[Quarter ]]</f>
        <v>NAQ4</v>
      </c>
      <c r="V495" s="5">
        <f>_xlfn.XLOOKUP(Transactions_RAW_cleaned[[#This Row],[RegionQuarterKey]], Quarterly_Targets_cleaned[RegionQuarterKey], Quarterly_Targets_cleaned[TargetRevenue])</f>
        <v>299000</v>
      </c>
    </row>
    <row r="496" spans="1:22" x14ac:dyDescent="0.25">
      <c r="A496" t="s">
        <v>829</v>
      </c>
      <c r="B496" s="1">
        <v>45463</v>
      </c>
      <c r="C496" t="s">
        <v>830</v>
      </c>
      <c r="D496" t="s">
        <v>306</v>
      </c>
      <c r="E496">
        <v>1426.77</v>
      </c>
      <c r="F496" t="s">
        <v>324</v>
      </c>
      <c r="G496" t="s">
        <v>327</v>
      </c>
      <c r="L496" t="s">
        <v>307</v>
      </c>
      <c r="M496" t="s">
        <v>308</v>
      </c>
      <c r="N496">
        <v>0</v>
      </c>
      <c r="O496" t="str">
        <f>IF(Transactions_RAW_cleaned[[#This Row],[Status]]="Completed", IFERROR(_xlfn.XLOOKUP(Transactions_RAW_cleaned[[#This Row],[CustomerID]], Customers_cleaned[CustomerID], Customers_cleaned[Segment]), "Customer Not Found"), "N/A")</f>
        <v>Customer Not Found</v>
      </c>
      <c r="P496" s="5" t="str">
        <f>IF(Transactions_RAW_cleaned[[#This Row],[Status]]="Refunded", "Refund",
  IF(Transactions_RAW_cleaned[[#This Row],[Category]]="Payments", IF(Transactions_RAW_cleaned[[#This Row],[Amount]]&gt;500,"High Value","Standard"),
    IF(Transactions_RAW_cleaned[[#This Row],[Amount]]&gt;250,"High Value","Standard")))</f>
        <v>High Value</v>
      </c>
      <c r="Q496" s="5" t="str">
        <f>IF(Transactions_RAW_cleaned[[#This Row],[Amount]] &gt; (_xlfn.XLOOKUP(Transactions_RAW_cleaned[[#This Row],[ServiceID]],Services_cleaned[ServiceID],Services_cleaned[TransactionFeePct]) * 10000), "Yes", "No")</f>
        <v>Yes</v>
      </c>
      <c r="R496" s="5" t="str">
        <f>IF(COUNTIFS($C$2:Transactions_RAW_cleaned[[#This Row],[CustomerID]],Transactions_RAW_cleaned[[#This Row],[CustomerID]],$D$2:Transactions_RAW_cleaned[[#This Row],[ServiceID]],Transactions_RAW_cleaned[[#This Row],[ServiceID]])=1,"Yes","No")</f>
        <v>Yes</v>
      </c>
      <c r="S49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496" t="str">
        <f>"Q"&amp;ROUNDUP(MONTH(Transactions_RAW_cleaned[[#This Row],[TransactionDate]])/3,0)</f>
        <v>Q2</v>
      </c>
      <c r="U496" t="str">
        <f>Transactions_RAW_cleaned[[#This Row],[Region ]]&amp;Transactions_RAW_cleaned[[#This Row],[Quarter ]]</f>
        <v>APACQ2</v>
      </c>
      <c r="V496" s="5">
        <f>_xlfn.XLOOKUP(Transactions_RAW_cleaned[[#This Row],[RegionQuarterKey]], Quarterly_Targets_cleaned[RegionQuarterKey], Quarterly_Targets_cleaned[TargetRevenue])</f>
        <v>110000</v>
      </c>
    </row>
    <row r="497" spans="1:22" x14ac:dyDescent="0.25">
      <c r="A497" t="s">
        <v>831</v>
      </c>
      <c r="B497" s="1">
        <v>45606</v>
      </c>
      <c r="C497" t="s">
        <v>201</v>
      </c>
      <c r="D497" t="s">
        <v>294</v>
      </c>
      <c r="E497">
        <v>185.06</v>
      </c>
      <c r="F497" t="s">
        <v>324</v>
      </c>
      <c r="G497" t="s">
        <v>325</v>
      </c>
      <c r="H497" t="s">
        <v>346</v>
      </c>
      <c r="I497" t="s">
        <v>57</v>
      </c>
      <c r="J497" t="s">
        <v>37</v>
      </c>
      <c r="K497" t="s">
        <v>32</v>
      </c>
      <c r="L497" t="s">
        <v>295</v>
      </c>
      <c r="M497" t="s">
        <v>296</v>
      </c>
      <c r="N497">
        <v>2.9000000000000001E-2</v>
      </c>
      <c r="O497" t="str">
        <f>IF(Transactions_RAW_cleaned[[#This Row],[Status]]="Completed", IFERROR(_xlfn.XLOOKUP(Transactions_RAW_cleaned[[#This Row],[CustomerID]], Customers_cleaned[CustomerID], Customers_cleaned[Segment]), "Customer Not Found"), "N/A")</f>
        <v>Startup</v>
      </c>
      <c r="P497" s="5" t="str">
        <f>IF(Transactions_RAW_cleaned[[#This Row],[Status]]="Refunded", "Refund",
  IF(Transactions_RAW_cleaned[[#This Row],[Category]]="Payments", IF(Transactions_RAW_cleaned[[#This Row],[Amount]]&gt;500,"High Value","Standard"),
    IF(Transactions_RAW_cleaned[[#This Row],[Amount]]&gt;250,"High Value","Standard")))</f>
        <v>Standard</v>
      </c>
      <c r="Q497" s="5" t="str">
        <f>IF(Transactions_RAW_cleaned[[#This Row],[Amount]] &gt; (_xlfn.XLOOKUP(Transactions_RAW_cleaned[[#This Row],[ServiceID]],Services_cleaned[ServiceID],Services_cleaned[TransactionFeePct]) * 10000), "Yes", "No")</f>
        <v>No</v>
      </c>
      <c r="R497" s="5" t="str">
        <f>IF(COUNTIFS($C$2:Transactions_RAW_cleaned[[#This Row],[CustomerID]],Transactions_RAW_cleaned[[#This Row],[CustomerID]],$D$2:Transactions_RAW_cleaned[[#This Row],[ServiceID]],Transactions_RAW_cleaned[[#This Row],[ServiceID]])=1,"Yes","No")</f>
        <v>No</v>
      </c>
      <c r="S49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497" t="str">
        <f>"Q"&amp;ROUNDUP(MONTH(Transactions_RAW_cleaned[[#This Row],[TransactionDate]])/3,0)</f>
        <v>Q4</v>
      </c>
      <c r="U497" t="str">
        <f>Transactions_RAW_cleaned[[#This Row],[Region ]]&amp;Transactions_RAW_cleaned[[#This Row],[Quarter ]]</f>
        <v>EMEAQ4</v>
      </c>
      <c r="V497" s="5">
        <f>_xlfn.XLOOKUP(Transactions_RAW_cleaned[[#This Row],[RegionQuarterKey]], Quarterly_Targets_cleaned[RegionQuarterKey], Quarterly_Targets_cleaned[TargetRevenue])</f>
        <v>161000</v>
      </c>
    </row>
    <row r="498" spans="1:22" x14ac:dyDescent="0.25">
      <c r="A498" t="s">
        <v>832</v>
      </c>
      <c r="B498" s="1">
        <v>45629</v>
      </c>
      <c r="C498" t="s">
        <v>42</v>
      </c>
      <c r="D498" t="s">
        <v>294</v>
      </c>
      <c r="E498">
        <v>372.84</v>
      </c>
      <c r="F498" t="s">
        <v>324</v>
      </c>
      <c r="G498" t="s">
        <v>337</v>
      </c>
      <c r="H498" t="s">
        <v>334</v>
      </c>
      <c r="I498" t="s">
        <v>8</v>
      </c>
      <c r="J498" t="s">
        <v>102</v>
      </c>
      <c r="K498" t="s">
        <v>10</v>
      </c>
      <c r="L498" t="s">
        <v>295</v>
      </c>
      <c r="M498" t="s">
        <v>296</v>
      </c>
      <c r="N498">
        <v>2.9000000000000001E-2</v>
      </c>
      <c r="O498" t="str">
        <f>IF(Transactions_RAW_cleaned[[#This Row],[Status]]="Completed", IFERROR(_xlfn.XLOOKUP(Transactions_RAW_cleaned[[#This Row],[CustomerID]], Customers_cleaned[CustomerID], Customers_cleaned[Segment]), "Customer Not Found"), "N/A")</f>
        <v>SMB</v>
      </c>
      <c r="P498" s="5" t="str">
        <f>IF(Transactions_RAW_cleaned[[#This Row],[Status]]="Refunded", "Refund",
  IF(Transactions_RAW_cleaned[[#This Row],[Category]]="Payments", IF(Transactions_RAW_cleaned[[#This Row],[Amount]]&gt;500,"High Value","Standard"),
    IF(Transactions_RAW_cleaned[[#This Row],[Amount]]&gt;250,"High Value","Standard")))</f>
        <v>Standard</v>
      </c>
      <c r="Q498" s="5" t="str">
        <f>IF(Transactions_RAW_cleaned[[#This Row],[Amount]] &gt; (_xlfn.XLOOKUP(Transactions_RAW_cleaned[[#This Row],[ServiceID]],Services_cleaned[ServiceID],Services_cleaned[TransactionFeePct]) * 10000), "Yes", "No")</f>
        <v>Yes</v>
      </c>
      <c r="R498" s="5" t="str">
        <f>IF(COUNTIFS($C$2:Transactions_RAW_cleaned[[#This Row],[CustomerID]],Transactions_RAW_cleaned[[#This Row],[CustomerID]],$D$2:Transactions_RAW_cleaned[[#This Row],[ServiceID]],Transactions_RAW_cleaned[[#This Row],[ServiceID]])=1,"Yes","No")</f>
        <v>No</v>
      </c>
      <c r="S49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498" t="str">
        <f>"Q"&amp;ROUNDUP(MONTH(Transactions_RAW_cleaned[[#This Row],[TransactionDate]])/3,0)</f>
        <v>Q4</v>
      </c>
      <c r="U498" t="str">
        <f>Transactions_RAW_cleaned[[#This Row],[Region ]]&amp;Transactions_RAW_cleaned[[#This Row],[Quarter ]]</f>
        <v>NAQ4</v>
      </c>
      <c r="V498" s="5">
        <f>_xlfn.XLOOKUP(Transactions_RAW_cleaned[[#This Row],[RegionQuarterKey]], Quarterly_Targets_cleaned[RegionQuarterKey], Quarterly_Targets_cleaned[TargetRevenue])</f>
        <v>299000</v>
      </c>
    </row>
    <row r="499" spans="1:22" x14ac:dyDescent="0.25">
      <c r="A499" t="s">
        <v>833</v>
      </c>
      <c r="B499" s="1">
        <v>45615</v>
      </c>
      <c r="C499" t="s">
        <v>201</v>
      </c>
      <c r="D499" t="s">
        <v>300</v>
      </c>
      <c r="E499">
        <v>1054.46</v>
      </c>
      <c r="F499" t="s">
        <v>324</v>
      </c>
      <c r="G499" t="s">
        <v>325</v>
      </c>
      <c r="I499" t="s">
        <v>57</v>
      </c>
      <c r="J499" t="s">
        <v>37</v>
      </c>
      <c r="K499" t="s">
        <v>32</v>
      </c>
      <c r="L499" t="s">
        <v>301</v>
      </c>
      <c r="M499" t="s">
        <v>302</v>
      </c>
      <c r="N499">
        <v>5.0000000000000001E-3</v>
      </c>
      <c r="O499" t="str">
        <f>IF(Transactions_RAW_cleaned[[#This Row],[Status]]="Completed", IFERROR(_xlfn.XLOOKUP(Transactions_RAW_cleaned[[#This Row],[CustomerID]], Customers_cleaned[CustomerID], Customers_cleaned[Segment]), "Customer Not Found"), "N/A")</f>
        <v>Startup</v>
      </c>
      <c r="P499" s="5" t="str">
        <f>IF(Transactions_RAW_cleaned[[#This Row],[Status]]="Refunded", "Refund",
  IF(Transactions_RAW_cleaned[[#This Row],[Category]]="Payments", IF(Transactions_RAW_cleaned[[#This Row],[Amount]]&gt;500,"High Value","Standard"),
    IF(Transactions_RAW_cleaned[[#This Row],[Amount]]&gt;250,"High Value","Standard")))</f>
        <v>High Value</v>
      </c>
      <c r="Q499" s="5" t="str">
        <f>IF(Transactions_RAW_cleaned[[#This Row],[Amount]] &gt; (_xlfn.XLOOKUP(Transactions_RAW_cleaned[[#This Row],[ServiceID]],Services_cleaned[ServiceID],Services_cleaned[TransactionFeePct]) * 10000), "Yes", "No")</f>
        <v>Yes</v>
      </c>
      <c r="R499" s="5" t="str">
        <f>IF(COUNTIFS($C$2:Transactions_RAW_cleaned[[#This Row],[CustomerID]],Transactions_RAW_cleaned[[#This Row],[CustomerID]],$D$2:Transactions_RAW_cleaned[[#This Row],[ServiceID]],Transactions_RAW_cleaned[[#This Row],[ServiceID]])=1,"Yes","No")</f>
        <v>No</v>
      </c>
      <c r="S49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499" t="str">
        <f>"Q"&amp;ROUNDUP(MONTH(Transactions_RAW_cleaned[[#This Row],[TransactionDate]])/3,0)</f>
        <v>Q4</v>
      </c>
      <c r="U499" t="str">
        <f>Transactions_RAW_cleaned[[#This Row],[Region ]]&amp;Transactions_RAW_cleaned[[#This Row],[Quarter ]]</f>
        <v>EMEAQ4</v>
      </c>
      <c r="V499" s="5">
        <f>_xlfn.XLOOKUP(Transactions_RAW_cleaned[[#This Row],[RegionQuarterKey]], Quarterly_Targets_cleaned[RegionQuarterKey], Quarterly_Targets_cleaned[TargetRevenue])</f>
        <v>161000</v>
      </c>
    </row>
    <row r="500" spans="1:22" x14ac:dyDescent="0.25">
      <c r="A500" t="s">
        <v>834</v>
      </c>
      <c r="B500" s="1">
        <v>45450</v>
      </c>
      <c r="C500" t="s">
        <v>109</v>
      </c>
      <c r="D500" t="s">
        <v>309</v>
      </c>
      <c r="E500">
        <v>137.91999999999999</v>
      </c>
      <c r="F500" t="s">
        <v>324</v>
      </c>
      <c r="G500" t="s">
        <v>325</v>
      </c>
      <c r="H500" t="s">
        <v>332</v>
      </c>
      <c r="I500" t="s">
        <v>8</v>
      </c>
      <c r="J500" t="s">
        <v>102</v>
      </c>
      <c r="K500" t="s">
        <v>18</v>
      </c>
      <c r="L500" t="s">
        <v>310</v>
      </c>
      <c r="M500" t="s">
        <v>311</v>
      </c>
      <c r="N500">
        <v>0</v>
      </c>
      <c r="O500" t="str">
        <f>IF(Transactions_RAW_cleaned[[#This Row],[Status]]="Completed", IFERROR(_xlfn.XLOOKUP(Transactions_RAW_cleaned[[#This Row],[CustomerID]], Customers_cleaned[CustomerID], Customers_cleaned[Segment]), "Customer Not Found"), "N/A")</f>
        <v>SMB</v>
      </c>
      <c r="P500" s="5" t="str">
        <f>IF(Transactions_RAW_cleaned[[#This Row],[Status]]="Refunded", "Refund",
  IF(Transactions_RAW_cleaned[[#This Row],[Category]]="Payments", IF(Transactions_RAW_cleaned[[#This Row],[Amount]]&gt;500,"High Value","Standard"),
    IF(Transactions_RAW_cleaned[[#This Row],[Amount]]&gt;250,"High Value","Standard")))</f>
        <v>Standard</v>
      </c>
      <c r="Q500" s="5" t="str">
        <f>IF(Transactions_RAW_cleaned[[#This Row],[Amount]] &gt; (_xlfn.XLOOKUP(Transactions_RAW_cleaned[[#This Row],[ServiceID]],Services_cleaned[ServiceID],Services_cleaned[TransactionFeePct]) * 10000), "Yes", "No")</f>
        <v>Yes</v>
      </c>
      <c r="R500" s="5" t="str">
        <f>IF(COUNTIFS($C$2:Transactions_RAW_cleaned[[#This Row],[CustomerID]],Transactions_RAW_cleaned[[#This Row],[CustomerID]],$D$2:Transactions_RAW_cleaned[[#This Row],[ServiceID]],Transactions_RAW_cleaned[[#This Row],[ServiceID]])=1,"Yes","No")</f>
        <v>Yes</v>
      </c>
      <c r="S50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00" t="str">
        <f>"Q"&amp;ROUNDUP(MONTH(Transactions_RAW_cleaned[[#This Row],[TransactionDate]])/3,0)</f>
        <v>Q2</v>
      </c>
      <c r="U500" t="str">
        <f>Transactions_RAW_cleaned[[#This Row],[Region ]]&amp;Transactions_RAW_cleaned[[#This Row],[Quarter ]]</f>
        <v>NAQ2</v>
      </c>
      <c r="V500" s="5">
        <f>_xlfn.XLOOKUP(Transactions_RAW_cleaned[[#This Row],[RegionQuarterKey]], Quarterly_Targets_cleaned[RegionQuarterKey], Quarterly_Targets_cleaned[TargetRevenue])</f>
        <v>260000</v>
      </c>
    </row>
    <row r="501" spans="1:22" x14ac:dyDescent="0.25">
      <c r="A501" t="s">
        <v>835</v>
      </c>
      <c r="B501" s="1">
        <v>45573</v>
      </c>
      <c r="C501" t="s">
        <v>161</v>
      </c>
      <c r="D501" t="s">
        <v>300</v>
      </c>
      <c r="E501">
        <v>438.31</v>
      </c>
      <c r="F501" t="s">
        <v>324</v>
      </c>
      <c r="G501" t="s">
        <v>327</v>
      </c>
      <c r="H501" t="s">
        <v>332</v>
      </c>
      <c r="I501" t="s">
        <v>8</v>
      </c>
      <c r="J501" t="s">
        <v>21</v>
      </c>
      <c r="K501" t="s">
        <v>22</v>
      </c>
      <c r="L501" t="s">
        <v>301</v>
      </c>
      <c r="M501" t="s">
        <v>302</v>
      </c>
      <c r="N501">
        <v>5.0000000000000001E-3</v>
      </c>
      <c r="O501" t="str">
        <f>IF(Transactions_RAW_cleaned[[#This Row],[Status]]="Completed", IFERROR(_xlfn.XLOOKUP(Transactions_RAW_cleaned[[#This Row],[CustomerID]], Customers_cleaned[CustomerID], Customers_cleaned[Segment]), "Customer Not Found"), "N/A")</f>
        <v>SMB</v>
      </c>
      <c r="P501" s="5" t="str">
        <f>IF(Transactions_RAW_cleaned[[#This Row],[Status]]="Refunded", "Refund",
  IF(Transactions_RAW_cleaned[[#This Row],[Category]]="Payments", IF(Transactions_RAW_cleaned[[#This Row],[Amount]]&gt;500,"High Value","Standard"),
    IF(Transactions_RAW_cleaned[[#This Row],[Amount]]&gt;250,"High Value","Standard")))</f>
        <v>High Value</v>
      </c>
      <c r="Q501" s="5" t="str">
        <f>IF(Transactions_RAW_cleaned[[#This Row],[Amount]] &gt; (_xlfn.XLOOKUP(Transactions_RAW_cleaned[[#This Row],[ServiceID]],Services_cleaned[ServiceID],Services_cleaned[TransactionFeePct]) * 10000), "Yes", "No")</f>
        <v>Yes</v>
      </c>
      <c r="R501" s="5" t="str">
        <f>IF(COUNTIFS($C$2:Transactions_RAW_cleaned[[#This Row],[CustomerID]],Transactions_RAW_cleaned[[#This Row],[CustomerID]],$D$2:Transactions_RAW_cleaned[[#This Row],[ServiceID]],Transactions_RAW_cleaned[[#This Row],[ServiceID]])=1,"Yes","No")</f>
        <v>Yes</v>
      </c>
      <c r="S50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01" t="str">
        <f>"Q"&amp;ROUNDUP(MONTH(Transactions_RAW_cleaned[[#This Row],[TransactionDate]])/3,0)</f>
        <v>Q4</v>
      </c>
      <c r="U501" t="str">
        <f>Transactions_RAW_cleaned[[#This Row],[Region ]]&amp;Transactions_RAW_cleaned[[#This Row],[Quarter ]]</f>
        <v>APACQ4</v>
      </c>
      <c r="V501" s="5">
        <f>_xlfn.XLOOKUP(Transactions_RAW_cleaned[[#This Row],[RegionQuarterKey]], Quarterly_Targets_cleaned[RegionQuarterKey], Quarterly_Targets_cleaned[TargetRevenue])</f>
        <v>126500</v>
      </c>
    </row>
    <row r="502" spans="1:22" x14ac:dyDescent="0.25">
      <c r="A502" t="s">
        <v>836</v>
      </c>
      <c r="B502" s="1">
        <v>45359</v>
      </c>
      <c r="C502" t="s">
        <v>58</v>
      </c>
      <c r="D502" t="s">
        <v>294</v>
      </c>
      <c r="E502">
        <v>158.30000000000001</v>
      </c>
      <c r="F502" t="s">
        <v>331</v>
      </c>
      <c r="G502" t="s">
        <v>327</v>
      </c>
      <c r="I502" t="s">
        <v>17</v>
      </c>
      <c r="J502" t="s">
        <v>102</v>
      </c>
      <c r="K502" t="s">
        <v>22</v>
      </c>
      <c r="L502" t="s">
        <v>295</v>
      </c>
      <c r="M502" t="s">
        <v>296</v>
      </c>
      <c r="N502">
        <v>2.9000000000000001E-2</v>
      </c>
      <c r="O502" t="str">
        <f>IF(Transactions_RAW_cleaned[[#This Row],[Status]]="Completed", IFERROR(_xlfn.XLOOKUP(Transactions_RAW_cleaned[[#This Row],[CustomerID]], Customers_cleaned[CustomerID], Customers_cleaned[Segment]), "Customer Not Found"), "N/A")</f>
        <v>N/A</v>
      </c>
      <c r="P502" s="5" t="str">
        <f>IF(Transactions_RAW_cleaned[[#This Row],[Status]]="Refunded", "Refund",
  IF(Transactions_RAW_cleaned[[#This Row],[Category]]="Payments", IF(Transactions_RAW_cleaned[[#This Row],[Amount]]&gt;500,"High Value","Standard"),
    IF(Transactions_RAW_cleaned[[#This Row],[Amount]]&gt;250,"High Value","Standard")))</f>
        <v>Standard</v>
      </c>
      <c r="Q502" s="5" t="str">
        <f>IF(Transactions_RAW_cleaned[[#This Row],[Amount]] &gt; (_xlfn.XLOOKUP(Transactions_RAW_cleaned[[#This Row],[ServiceID]],Services_cleaned[ServiceID],Services_cleaned[TransactionFeePct]) * 10000), "Yes", "No")</f>
        <v>No</v>
      </c>
      <c r="R502" s="5" t="str">
        <f>IF(COUNTIFS($C$2:Transactions_RAW_cleaned[[#This Row],[CustomerID]],Transactions_RAW_cleaned[[#This Row],[CustomerID]],$D$2:Transactions_RAW_cleaned[[#This Row],[ServiceID]],Transactions_RAW_cleaned[[#This Row],[ServiceID]])=1,"Yes","No")</f>
        <v>No</v>
      </c>
      <c r="S50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02" t="str">
        <f>"Q"&amp;ROUNDUP(MONTH(Transactions_RAW_cleaned[[#This Row],[TransactionDate]])/3,0)</f>
        <v>Q1</v>
      </c>
      <c r="U502" t="str">
        <f>Transactions_RAW_cleaned[[#This Row],[Region ]]&amp;Transactions_RAW_cleaned[[#This Row],[Quarter ]]</f>
        <v>NAQ1</v>
      </c>
      <c r="V502" s="5">
        <f>_xlfn.XLOOKUP(Transactions_RAW_cleaned[[#This Row],[RegionQuarterKey]], Quarterly_Targets_cleaned[RegionQuarterKey], Quarterly_Targets_cleaned[TargetRevenue])</f>
        <v>247000</v>
      </c>
    </row>
    <row r="503" spans="1:22" x14ac:dyDescent="0.25">
      <c r="A503" t="s">
        <v>837</v>
      </c>
      <c r="B503" s="1">
        <v>45568</v>
      </c>
      <c r="C503" t="s">
        <v>217</v>
      </c>
      <c r="D503" t="s">
        <v>306</v>
      </c>
      <c r="E503">
        <v>652.12</v>
      </c>
      <c r="F503" t="s">
        <v>324</v>
      </c>
      <c r="G503" t="s">
        <v>325</v>
      </c>
      <c r="H503" t="s">
        <v>334</v>
      </c>
      <c r="I503" t="s">
        <v>17</v>
      </c>
      <c r="J503" t="s">
        <v>102</v>
      </c>
      <c r="K503" t="s">
        <v>14</v>
      </c>
      <c r="L503" t="s">
        <v>307</v>
      </c>
      <c r="M503" t="s">
        <v>308</v>
      </c>
      <c r="N503">
        <v>0</v>
      </c>
      <c r="O503" t="str">
        <f>IF(Transactions_RAW_cleaned[[#This Row],[Status]]="Completed", IFERROR(_xlfn.XLOOKUP(Transactions_RAW_cleaned[[#This Row],[CustomerID]], Customers_cleaned[CustomerID], Customers_cleaned[Segment]), "Customer Not Found"), "N/A")</f>
        <v>Enterprise</v>
      </c>
      <c r="P503" s="5" t="str">
        <f>IF(Transactions_RAW_cleaned[[#This Row],[Status]]="Refunded", "Refund",
  IF(Transactions_RAW_cleaned[[#This Row],[Category]]="Payments", IF(Transactions_RAW_cleaned[[#This Row],[Amount]]&gt;500,"High Value","Standard"),
    IF(Transactions_RAW_cleaned[[#This Row],[Amount]]&gt;250,"High Value","Standard")))</f>
        <v>High Value</v>
      </c>
      <c r="Q503" s="5" t="str">
        <f>IF(Transactions_RAW_cleaned[[#This Row],[Amount]] &gt; (_xlfn.XLOOKUP(Transactions_RAW_cleaned[[#This Row],[ServiceID]],Services_cleaned[ServiceID],Services_cleaned[TransactionFeePct]) * 10000), "Yes", "No")</f>
        <v>Yes</v>
      </c>
      <c r="R503" s="5" t="str">
        <f>IF(COUNTIFS($C$2:Transactions_RAW_cleaned[[#This Row],[CustomerID]],Transactions_RAW_cleaned[[#This Row],[CustomerID]],$D$2:Transactions_RAW_cleaned[[#This Row],[ServiceID]],Transactions_RAW_cleaned[[#This Row],[ServiceID]])=1,"Yes","No")</f>
        <v>No</v>
      </c>
      <c r="S50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03" t="str">
        <f>"Q"&amp;ROUNDUP(MONTH(Transactions_RAW_cleaned[[#This Row],[TransactionDate]])/3,0)</f>
        <v>Q4</v>
      </c>
      <c r="U503" t="str">
        <f>Transactions_RAW_cleaned[[#This Row],[Region ]]&amp;Transactions_RAW_cleaned[[#This Row],[Quarter ]]</f>
        <v>NAQ4</v>
      </c>
      <c r="V503" s="5">
        <f>_xlfn.XLOOKUP(Transactions_RAW_cleaned[[#This Row],[RegionQuarterKey]], Quarterly_Targets_cleaned[RegionQuarterKey], Quarterly_Targets_cleaned[TargetRevenue])</f>
        <v>299000</v>
      </c>
    </row>
    <row r="504" spans="1:22" x14ac:dyDescent="0.25">
      <c r="A504" t="s">
        <v>838</v>
      </c>
      <c r="B504" s="1">
        <v>45406</v>
      </c>
      <c r="C504" t="s">
        <v>223</v>
      </c>
      <c r="D504" t="s">
        <v>312</v>
      </c>
      <c r="E504">
        <v>750.2</v>
      </c>
      <c r="F504" t="s">
        <v>324</v>
      </c>
      <c r="G504" t="s">
        <v>325</v>
      </c>
      <c r="H504" t="s">
        <v>346</v>
      </c>
      <c r="I504" t="s">
        <v>8</v>
      </c>
      <c r="J504" t="s">
        <v>102</v>
      </c>
      <c r="K504" t="s">
        <v>28</v>
      </c>
      <c r="L504" t="s">
        <v>313</v>
      </c>
      <c r="M504" t="s">
        <v>314</v>
      </c>
      <c r="N504">
        <v>0</v>
      </c>
      <c r="O504" t="str">
        <f>IF(Transactions_RAW_cleaned[[#This Row],[Status]]="Completed", IFERROR(_xlfn.XLOOKUP(Transactions_RAW_cleaned[[#This Row],[CustomerID]], Customers_cleaned[CustomerID], Customers_cleaned[Segment]), "Customer Not Found"), "N/A")</f>
        <v>SMB</v>
      </c>
      <c r="P504" s="5" t="str">
        <f>IF(Transactions_RAW_cleaned[[#This Row],[Status]]="Refunded", "Refund",
  IF(Transactions_RAW_cleaned[[#This Row],[Category]]="Payments", IF(Transactions_RAW_cleaned[[#This Row],[Amount]]&gt;500,"High Value","Standard"),
    IF(Transactions_RAW_cleaned[[#This Row],[Amount]]&gt;250,"High Value","Standard")))</f>
        <v>High Value</v>
      </c>
      <c r="Q504" s="5" t="str">
        <f>IF(Transactions_RAW_cleaned[[#This Row],[Amount]] &gt; (_xlfn.XLOOKUP(Transactions_RAW_cleaned[[#This Row],[ServiceID]],Services_cleaned[ServiceID],Services_cleaned[TransactionFeePct]) * 10000), "Yes", "No")</f>
        <v>Yes</v>
      </c>
      <c r="R504" s="5" t="str">
        <f>IF(COUNTIFS($C$2:Transactions_RAW_cleaned[[#This Row],[CustomerID]],Transactions_RAW_cleaned[[#This Row],[CustomerID]],$D$2:Transactions_RAW_cleaned[[#This Row],[ServiceID]],Transactions_RAW_cleaned[[#This Row],[ServiceID]])=1,"Yes","No")</f>
        <v>Yes</v>
      </c>
      <c r="S50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04" t="str">
        <f>"Q"&amp;ROUNDUP(MONTH(Transactions_RAW_cleaned[[#This Row],[TransactionDate]])/3,0)</f>
        <v>Q2</v>
      </c>
      <c r="U504" t="str">
        <f>Transactions_RAW_cleaned[[#This Row],[Region ]]&amp;Transactions_RAW_cleaned[[#This Row],[Quarter ]]</f>
        <v>NAQ2</v>
      </c>
      <c r="V504" s="5">
        <f>_xlfn.XLOOKUP(Transactions_RAW_cleaned[[#This Row],[RegionQuarterKey]], Quarterly_Targets_cleaned[RegionQuarterKey], Quarterly_Targets_cleaned[TargetRevenue])</f>
        <v>260000</v>
      </c>
    </row>
    <row r="505" spans="1:22" x14ac:dyDescent="0.25">
      <c r="A505" t="s">
        <v>839</v>
      </c>
      <c r="B505" s="1">
        <v>45616</v>
      </c>
      <c r="C505" t="s">
        <v>44</v>
      </c>
      <c r="D505" t="s">
        <v>297</v>
      </c>
      <c r="E505">
        <v>512.70000000000005</v>
      </c>
      <c r="F505" t="s">
        <v>324</v>
      </c>
      <c r="G505" t="s">
        <v>327</v>
      </c>
      <c r="H505" t="s">
        <v>346</v>
      </c>
      <c r="I505" t="s">
        <v>8</v>
      </c>
      <c r="J505" t="s">
        <v>46</v>
      </c>
      <c r="K505" t="s">
        <v>32</v>
      </c>
      <c r="L505" t="s">
        <v>298</v>
      </c>
      <c r="M505" t="s">
        <v>299</v>
      </c>
      <c r="N505">
        <v>0</v>
      </c>
      <c r="O505" t="str">
        <f>IF(Transactions_RAW_cleaned[[#This Row],[Status]]="Completed", IFERROR(_xlfn.XLOOKUP(Transactions_RAW_cleaned[[#This Row],[CustomerID]], Customers_cleaned[CustomerID], Customers_cleaned[Segment]), "Customer Not Found"), "N/A")</f>
        <v>SMB</v>
      </c>
      <c r="P505" s="5" t="str">
        <f>IF(Transactions_RAW_cleaned[[#This Row],[Status]]="Refunded", "Refund",
  IF(Transactions_RAW_cleaned[[#This Row],[Category]]="Payments", IF(Transactions_RAW_cleaned[[#This Row],[Amount]]&gt;500,"High Value","Standard"),
    IF(Transactions_RAW_cleaned[[#This Row],[Amount]]&gt;250,"High Value","Standard")))</f>
        <v>High Value</v>
      </c>
      <c r="Q505" s="5" t="str">
        <f>IF(Transactions_RAW_cleaned[[#This Row],[Amount]] &gt; (_xlfn.XLOOKUP(Transactions_RAW_cleaned[[#This Row],[ServiceID]],Services_cleaned[ServiceID],Services_cleaned[TransactionFeePct]) * 10000), "Yes", "No")</f>
        <v>Yes</v>
      </c>
      <c r="R505" s="5" t="str">
        <f>IF(COUNTIFS($C$2:Transactions_RAW_cleaned[[#This Row],[CustomerID]],Transactions_RAW_cleaned[[#This Row],[CustomerID]],$D$2:Transactions_RAW_cleaned[[#This Row],[ServiceID]],Transactions_RAW_cleaned[[#This Row],[ServiceID]])=1,"Yes","No")</f>
        <v>No</v>
      </c>
      <c r="S50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05" t="str">
        <f>"Q"&amp;ROUNDUP(MONTH(Transactions_RAW_cleaned[[#This Row],[TransactionDate]])/3,0)</f>
        <v>Q4</v>
      </c>
      <c r="U505" t="str">
        <f>Transactions_RAW_cleaned[[#This Row],[Region ]]&amp;Transactions_RAW_cleaned[[#This Row],[Quarter ]]</f>
        <v>APACQ4</v>
      </c>
      <c r="V505" s="5">
        <f>_xlfn.XLOOKUP(Transactions_RAW_cleaned[[#This Row],[RegionQuarterKey]], Quarterly_Targets_cleaned[RegionQuarterKey], Quarterly_Targets_cleaned[TargetRevenue])</f>
        <v>126500</v>
      </c>
    </row>
    <row r="506" spans="1:22" x14ac:dyDescent="0.25">
      <c r="A506" t="s">
        <v>840</v>
      </c>
      <c r="B506" s="1">
        <v>45463</v>
      </c>
      <c r="C506" t="s">
        <v>203</v>
      </c>
      <c r="D506" t="s">
        <v>303</v>
      </c>
      <c r="E506">
        <v>1033.56</v>
      </c>
      <c r="F506" t="s">
        <v>324</v>
      </c>
      <c r="G506" t="s">
        <v>327</v>
      </c>
      <c r="I506" t="s">
        <v>57</v>
      </c>
      <c r="J506" t="s">
        <v>21</v>
      </c>
      <c r="K506" t="s">
        <v>14</v>
      </c>
      <c r="L506" t="s">
        <v>304</v>
      </c>
      <c r="M506" t="s">
        <v>305</v>
      </c>
      <c r="N506">
        <v>1E-3</v>
      </c>
      <c r="O506" t="str">
        <f>IF(Transactions_RAW_cleaned[[#This Row],[Status]]="Completed", IFERROR(_xlfn.XLOOKUP(Transactions_RAW_cleaned[[#This Row],[CustomerID]], Customers_cleaned[CustomerID], Customers_cleaned[Segment]), "Customer Not Found"), "N/A")</f>
        <v>Startup</v>
      </c>
      <c r="P506" s="5" t="str">
        <f>IF(Transactions_RAW_cleaned[[#This Row],[Status]]="Refunded", "Refund",
  IF(Transactions_RAW_cleaned[[#This Row],[Category]]="Payments", IF(Transactions_RAW_cleaned[[#This Row],[Amount]]&gt;500,"High Value","Standard"),
    IF(Transactions_RAW_cleaned[[#This Row],[Amount]]&gt;250,"High Value","Standard")))</f>
        <v>High Value</v>
      </c>
      <c r="Q506" s="5" t="str">
        <f>IF(Transactions_RAW_cleaned[[#This Row],[Amount]] &gt; (_xlfn.XLOOKUP(Transactions_RAW_cleaned[[#This Row],[ServiceID]],Services_cleaned[ServiceID],Services_cleaned[TransactionFeePct]) * 10000), "Yes", "No")</f>
        <v>Yes</v>
      </c>
      <c r="R506" s="5" t="str">
        <f>IF(COUNTIFS($C$2:Transactions_RAW_cleaned[[#This Row],[CustomerID]],Transactions_RAW_cleaned[[#This Row],[CustomerID]],$D$2:Transactions_RAW_cleaned[[#This Row],[ServiceID]],Transactions_RAW_cleaned[[#This Row],[ServiceID]])=1,"Yes","No")</f>
        <v>Yes</v>
      </c>
      <c r="S50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06" t="str">
        <f>"Q"&amp;ROUNDUP(MONTH(Transactions_RAW_cleaned[[#This Row],[TransactionDate]])/3,0)</f>
        <v>Q2</v>
      </c>
      <c r="U506" t="str">
        <f>Transactions_RAW_cleaned[[#This Row],[Region ]]&amp;Transactions_RAW_cleaned[[#This Row],[Quarter ]]</f>
        <v>APACQ2</v>
      </c>
      <c r="V506" s="5">
        <f>_xlfn.XLOOKUP(Transactions_RAW_cleaned[[#This Row],[RegionQuarterKey]], Quarterly_Targets_cleaned[RegionQuarterKey], Quarterly_Targets_cleaned[TargetRevenue])</f>
        <v>110000</v>
      </c>
    </row>
    <row r="507" spans="1:22" x14ac:dyDescent="0.25">
      <c r="A507" t="s">
        <v>841</v>
      </c>
      <c r="B507" s="1">
        <v>45495</v>
      </c>
      <c r="C507" t="s">
        <v>273</v>
      </c>
      <c r="D507" t="s">
        <v>300</v>
      </c>
      <c r="E507">
        <v>266.52999999999997</v>
      </c>
      <c r="F507" t="s">
        <v>381</v>
      </c>
      <c r="G507" t="s">
        <v>327</v>
      </c>
      <c r="I507" t="s">
        <v>17</v>
      </c>
      <c r="J507" t="s">
        <v>102</v>
      </c>
      <c r="K507" t="s">
        <v>22</v>
      </c>
      <c r="L507" t="s">
        <v>301</v>
      </c>
      <c r="M507" t="s">
        <v>302</v>
      </c>
      <c r="N507">
        <v>5.0000000000000001E-3</v>
      </c>
      <c r="O507" t="str">
        <f>IF(Transactions_RAW_cleaned[[#This Row],[Status]]="Completed", IFERROR(_xlfn.XLOOKUP(Transactions_RAW_cleaned[[#This Row],[CustomerID]], Customers_cleaned[CustomerID], Customers_cleaned[Segment]), "Customer Not Found"), "N/A")</f>
        <v>N/A</v>
      </c>
      <c r="P507" s="5" t="str">
        <f>IF(Transactions_RAW_cleaned[[#This Row],[Status]]="Refunded", "Refund",
  IF(Transactions_RAW_cleaned[[#This Row],[Category]]="Payments", IF(Transactions_RAW_cleaned[[#This Row],[Amount]]&gt;500,"High Value","Standard"),
    IF(Transactions_RAW_cleaned[[#This Row],[Amount]]&gt;250,"High Value","Standard")))</f>
        <v>High Value</v>
      </c>
      <c r="Q507" s="5" t="str">
        <f>IF(Transactions_RAW_cleaned[[#This Row],[Amount]] &gt; (_xlfn.XLOOKUP(Transactions_RAW_cleaned[[#This Row],[ServiceID]],Services_cleaned[ServiceID],Services_cleaned[TransactionFeePct]) * 10000), "Yes", "No")</f>
        <v>Yes</v>
      </c>
      <c r="R507" s="5" t="str">
        <f>IF(COUNTIFS($C$2:Transactions_RAW_cleaned[[#This Row],[CustomerID]],Transactions_RAW_cleaned[[#This Row],[CustomerID]],$D$2:Transactions_RAW_cleaned[[#This Row],[ServiceID]],Transactions_RAW_cleaned[[#This Row],[ServiceID]])=1,"Yes","No")</f>
        <v>No</v>
      </c>
      <c r="S50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07" t="str">
        <f>"Q"&amp;ROUNDUP(MONTH(Transactions_RAW_cleaned[[#This Row],[TransactionDate]])/3,0)</f>
        <v>Q3</v>
      </c>
      <c r="U507" t="str">
        <f>Transactions_RAW_cleaned[[#This Row],[Region ]]&amp;Transactions_RAW_cleaned[[#This Row],[Quarter ]]</f>
        <v>NAQ3</v>
      </c>
      <c r="V507" s="5">
        <f>_xlfn.XLOOKUP(Transactions_RAW_cleaned[[#This Row],[RegionQuarterKey]], Quarterly_Targets_cleaned[RegionQuarterKey], Quarterly_Targets_cleaned[TargetRevenue])</f>
        <v>273000</v>
      </c>
    </row>
    <row r="508" spans="1:22" x14ac:dyDescent="0.25">
      <c r="A508" t="s">
        <v>842</v>
      </c>
      <c r="B508" s="1">
        <v>45364</v>
      </c>
      <c r="C508" t="s">
        <v>159</v>
      </c>
      <c r="D508" t="s">
        <v>309</v>
      </c>
      <c r="E508">
        <v>-643.47</v>
      </c>
      <c r="F508" t="s">
        <v>349</v>
      </c>
      <c r="G508" t="s">
        <v>329</v>
      </c>
      <c r="I508" t="s">
        <v>57</v>
      </c>
      <c r="J508" t="s">
        <v>25</v>
      </c>
      <c r="K508" t="s">
        <v>22</v>
      </c>
      <c r="L508" t="s">
        <v>310</v>
      </c>
      <c r="M508" t="s">
        <v>311</v>
      </c>
      <c r="N508">
        <v>0</v>
      </c>
      <c r="O508" t="str">
        <f>IF(Transactions_RAW_cleaned[[#This Row],[Status]]="Completed", IFERROR(_xlfn.XLOOKUP(Transactions_RAW_cleaned[[#This Row],[CustomerID]], Customers_cleaned[CustomerID], Customers_cleaned[Segment]), "Customer Not Found"), "N/A")</f>
        <v>N/A</v>
      </c>
      <c r="P508" s="5" t="str">
        <f>IF(Transactions_RAW_cleaned[[#This Row],[Status]]="Refunded", "Refund",
  IF(Transactions_RAW_cleaned[[#This Row],[Category]]="Payments", IF(Transactions_RAW_cleaned[[#This Row],[Amount]]&gt;500,"High Value","Standard"),
    IF(Transactions_RAW_cleaned[[#This Row],[Amount]]&gt;250,"High Value","Standard")))</f>
        <v>Refund</v>
      </c>
      <c r="Q508" s="5" t="str">
        <f>IF(Transactions_RAW_cleaned[[#This Row],[Amount]] &gt; (_xlfn.XLOOKUP(Transactions_RAW_cleaned[[#This Row],[ServiceID]],Services_cleaned[ServiceID],Services_cleaned[TransactionFeePct]) * 10000), "Yes", "No")</f>
        <v>No</v>
      </c>
      <c r="R508" s="5" t="str">
        <f>IF(COUNTIFS($C$2:Transactions_RAW_cleaned[[#This Row],[CustomerID]],Transactions_RAW_cleaned[[#This Row],[CustomerID]],$D$2:Transactions_RAW_cleaned[[#This Row],[ServiceID]],Transactions_RAW_cleaned[[#This Row],[ServiceID]])=1,"Yes","No")</f>
        <v>Yes</v>
      </c>
      <c r="S50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08" t="str">
        <f>"Q"&amp;ROUNDUP(MONTH(Transactions_RAW_cleaned[[#This Row],[TransactionDate]])/3,0)</f>
        <v>Q1</v>
      </c>
      <c r="U508" t="str">
        <f>Transactions_RAW_cleaned[[#This Row],[Region ]]&amp;Transactions_RAW_cleaned[[#This Row],[Quarter ]]</f>
        <v>APACQ1</v>
      </c>
      <c r="V508" s="5">
        <f>_xlfn.XLOOKUP(Transactions_RAW_cleaned[[#This Row],[RegionQuarterKey]], Quarterly_Targets_cleaned[RegionQuarterKey], Quarterly_Targets_cleaned[TargetRevenue])</f>
        <v>104500</v>
      </c>
    </row>
    <row r="509" spans="1:22" x14ac:dyDescent="0.25">
      <c r="A509" t="s">
        <v>843</v>
      </c>
      <c r="B509" s="1">
        <v>45589</v>
      </c>
      <c r="C509" t="s">
        <v>195</v>
      </c>
      <c r="D509" t="s">
        <v>297</v>
      </c>
      <c r="E509">
        <v>579.13</v>
      </c>
      <c r="F509" t="s">
        <v>324</v>
      </c>
      <c r="G509" t="s">
        <v>327</v>
      </c>
      <c r="I509" t="s">
        <v>8</v>
      </c>
      <c r="J509" t="s">
        <v>102</v>
      </c>
      <c r="K509" t="s">
        <v>32</v>
      </c>
      <c r="L509" t="s">
        <v>298</v>
      </c>
      <c r="M509" t="s">
        <v>299</v>
      </c>
      <c r="N509">
        <v>0</v>
      </c>
      <c r="O509" t="str">
        <f>IF(Transactions_RAW_cleaned[[#This Row],[Status]]="Completed", IFERROR(_xlfn.XLOOKUP(Transactions_RAW_cleaned[[#This Row],[CustomerID]], Customers_cleaned[CustomerID], Customers_cleaned[Segment]), "Customer Not Found"), "N/A")</f>
        <v>SMB</v>
      </c>
      <c r="P509" s="5" t="str">
        <f>IF(Transactions_RAW_cleaned[[#This Row],[Status]]="Refunded", "Refund",
  IF(Transactions_RAW_cleaned[[#This Row],[Category]]="Payments", IF(Transactions_RAW_cleaned[[#This Row],[Amount]]&gt;500,"High Value","Standard"),
    IF(Transactions_RAW_cleaned[[#This Row],[Amount]]&gt;250,"High Value","Standard")))</f>
        <v>High Value</v>
      </c>
      <c r="Q509" s="5" t="str">
        <f>IF(Transactions_RAW_cleaned[[#This Row],[Amount]] &gt; (_xlfn.XLOOKUP(Transactions_RAW_cleaned[[#This Row],[ServiceID]],Services_cleaned[ServiceID],Services_cleaned[TransactionFeePct]) * 10000), "Yes", "No")</f>
        <v>Yes</v>
      </c>
      <c r="R509" s="5" t="str">
        <f>IF(COUNTIFS($C$2:Transactions_RAW_cleaned[[#This Row],[CustomerID]],Transactions_RAW_cleaned[[#This Row],[CustomerID]],$D$2:Transactions_RAW_cleaned[[#This Row],[ServiceID]],Transactions_RAW_cleaned[[#This Row],[ServiceID]])=1,"Yes","No")</f>
        <v>No</v>
      </c>
      <c r="S50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09" t="str">
        <f>"Q"&amp;ROUNDUP(MONTH(Transactions_RAW_cleaned[[#This Row],[TransactionDate]])/3,0)</f>
        <v>Q4</v>
      </c>
      <c r="U509" t="str">
        <f>Transactions_RAW_cleaned[[#This Row],[Region ]]&amp;Transactions_RAW_cleaned[[#This Row],[Quarter ]]</f>
        <v>NAQ4</v>
      </c>
      <c r="V509" s="5">
        <f>_xlfn.XLOOKUP(Transactions_RAW_cleaned[[#This Row],[RegionQuarterKey]], Quarterly_Targets_cleaned[RegionQuarterKey], Quarterly_Targets_cleaned[TargetRevenue])</f>
        <v>299000</v>
      </c>
    </row>
    <row r="510" spans="1:22" x14ac:dyDescent="0.25">
      <c r="A510" t="s">
        <v>844</v>
      </c>
      <c r="B510" s="1">
        <v>45377</v>
      </c>
      <c r="C510" t="s">
        <v>26</v>
      </c>
      <c r="D510" t="s">
        <v>300</v>
      </c>
      <c r="E510">
        <v>375.37</v>
      </c>
      <c r="F510" t="s">
        <v>324</v>
      </c>
      <c r="G510" t="s">
        <v>337</v>
      </c>
      <c r="H510" t="s">
        <v>332</v>
      </c>
      <c r="I510" t="s">
        <v>8</v>
      </c>
      <c r="J510" t="s">
        <v>102</v>
      </c>
      <c r="K510" t="s">
        <v>28</v>
      </c>
      <c r="L510" t="s">
        <v>301</v>
      </c>
      <c r="M510" t="s">
        <v>302</v>
      </c>
      <c r="N510">
        <v>5.0000000000000001E-3</v>
      </c>
      <c r="O510" t="str">
        <f>IF(Transactions_RAW_cleaned[[#This Row],[Status]]="Completed", IFERROR(_xlfn.XLOOKUP(Transactions_RAW_cleaned[[#This Row],[CustomerID]], Customers_cleaned[CustomerID], Customers_cleaned[Segment]), "Customer Not Found"), "N/A")</f>
        <v>SMB</v>
      </c>
      <c r="P510" s="5" t="str">
        <f>IF(Transactions_RAW_cleaned[[#This Row],[Status]]="Refunded", "Refund",
  IF(Transactions_RAW_cleaned[[#This Row],[Category]]="Payments", IF(Transactions_RAW_cleaned[[#This Row],[Amount]]&gt;500,"High Value","Standard"),
    IF(Transactions_RAW_cleaned[[#This Row],[Amount]]&gt;250,"High Value","Standard")))</f>
        <v>High Value</v>
      </c>
      <c r="Q510" s="5" t="str">
        <f>IF(Transactions_RAW_cleaned[[#This Row],[Amount]] &gt; (_xlfn.XLOOKUP(Transactions_RAW_cleaned[[#This Row],[ServiceID]],Services_cleaned[ServiceID],Services_cleaned[TransactionFeePct]) * 10000), "Yes", "No")</f>
        <v>Yes</v>
      </c>
      <c r="R510" s="5" t="str">
        <f>IF(COUNTIFS($C$2:Transactions_RAW_cleaned[[#This Row],[CustomerID]],Transactions_RAW_cleaned[[#This Row],[CustomerID]],$D$2:Transactions_RAW_cleaned[[#This Row],[ServiceID]],Transactions_RAW_cleaned[[#This Row],[ServiceID]])=1,"Yes","No")</f>
        <v>No</v>
      </c>
      <c r="S51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10" t="str">
        <f>"Q"&amp;ROUNDUP(MONTH(Transactions_RAW_cleaned[[#This Row],[TransactionDate]])/3,0)</f>
        <v>Q1</v>
      </c>
      <c r="U510" t="str">
        <f>Transactions_RAW_cleaned[[#This Row],[Region ]]&amp;Transactions_RAW_cleaned[[#This Row],[Quarter ]]</f>
        <v>NAQ1</v>
      </c>
      <c r="V510" s="5">
        <f>_xlfn.XLOOKUP(Transactions_RAW_cleaned[[#This Row],[RegionQuarterKey]], Quarterly_Targets_cleaned[RegionQuarterKey], Quarterly_Targets_cleaned[TargetRevenue])</f>
        <v>247000</v>
      </c>
    </row>
    <row r="511" spans="1:22" x14ac:dyDescent="0.25">
      <c r="A511" t="s">
        <v>845</v>
      </c>
      <c r="B511" s="1">
        <v>45456</v>
      </c>
      <c r="C511" t="s">
        <v>183</v>
      </c>
      <c r="D511" t="s">
        <v>306</v>
      </c>
      <c r="E511">
        <v>566.74</v>
      </c>
      <c r="F511" t="s">
        <v>324</v>
      </c>
      <c r="G511" t="s">
        <v>327</v>
      </c>
      <c r="I511" t="s">
        <v>8</v>
      </c>
      <c r="J511" t="s">
        <v>13</v>
      </c>
      <c r="K511" t="s">
        <v>10</v>
      </c>
      <c r="L511" t="s">
        <v>307</v>
      </c>
      <c r="M511" t="s">
        <v>308</v>
      </c>
      <c r="N511">
        <v>0</v>
      </c>
      <c r="O511" t="str">
        <f>IF(Transactions_RAW_cleaned[[#This Row],[Status]]="Completed", IFERROR(_xlfn.XLOOKUP(Transactions_RAW_cleaned[[#This Row],[CustomerID]], Customers_cleaned[CustomerID], Customers_cleaned[Segment]), "Customer Not Found"), "N/A")</f>
        <v>SMB</v>
      </c>
      <c r="P511" s="5" t="str">
        <f>IF(Transactions_RAW_cleaned[[#This Row],[Status]]="Refunded", "Refund",
  IF(Transactions_RAW_cleaned[[#This Row],[Category]]="Payments", IF(Transactions_RAW_cleaned[[#This Row],[Amount]]&gt;500,"High Value","Standard"),
    IF(Transactions_RAW_cleaned[[#This Row],[Amount]]&gt;250,"High Value","Standard")))</f>
        <v>High Value</v>
      </c>
      <c r="Q511" s="5" t="str">
        <f>IF(Transactions_RAW_cleaned[[#This Row],[Amount]] &gt; (_xlfn.XLOOKUP(Transactions_RAW_cleaned[[#This Row],[ServiceID]],Services_cleaned[ServiceID],Services_cleaned[TransactionFeePct]) * 10000), "Yes", "No")</f>
        <v>Yes</v>
      </c>
      <c r="R511" s="5" t="str">
        <f>IF(COUNTIFS($C$2:Transactions_RAW_cleaned[[#This Row],[CustomerID]],Transactions_RAW_cleaned[[#This Row],[CustomerID]],$D$2:Transactions_RAW_cleaned[[#This Row],[ServiceID]],Transactions_RAW_cleaned[[#This Row],[ServiceID]])=1,"Yes","No")</f>
        <v>Yes</v>
      </c>
      <c r="S51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11" t="str">
        <f>"Q"&amp;ROUNDUP(MONTH(Transactions_RAW_cleaned[[#This Row],[TransactionDate]])/3,0)</f>
        <v>Q2</v>
      </c>
      <c r="U511" t="str">
        <f>Transactions_RAW_cleaned[[#This Row],[Region ]]&amp;Transactions_RAW_cleaned[[#This Row],[Quarter ]]</f>
        <v>NAQ2</v>
      </c>
      <c r="V511" s="5">
        <f>_xlfn.XLOOKUP(Transactions_RAW_cleaned[[#This Row],[RegionQuarterKey]], Quarterly_Targets_cleaned[RegionQuarterKey], Quarterly_Targets_cleaned[TargetRevenue])</f>
        <v>260000</v>
      </c>
    </row>
    <row r="512" spans="1:22" x14ac:dyDescent="0.25">
      <c r="A512" t="s">
        <v>846</v>
      </c>
      <c r="B512" s="1">
        <v>45371</v>
      </c>
      <c r="C512" t="s">
        <v>273</v>
      </c>
      <c r="D512" t="s">
        <v>294</v>
      </c>
      <c r="E512">
        <v>-487.21</v>
      </c>
      <c r="F512" t="s">
        <v>349</v>
      </c>
      <c r="G512" t="s">
        <v>337</v>
      </c>
      <c r="H512" t="s">
        <v>334</v>
      </c>
      <c r="I512" t="s">
        <v>17</v>
      </c>
      <c r="J512" t="s">
        <v>102</v>
      </c>
      <c r="K512" t="s">
        <v>22</v>
      </c>
      <c r="L512" t="s">
        <v>295</v>
      </c>
      <c r="M512" t="s">
        <v>296</v>
      </c>
      <c r="N512">
        <v>2.9000000000000001E-2</v>
      </c>
      <c r="O512" t="str">
        <f>IF(Transactions_RAW_cleaned[[#This Row],[Status]]="Completed", IFERROR(_xlfn.XLOOKUP(Transactions_RAW_cleaned[[#This Row],[CustomerID]], Customers_cleaned[CustomerID], Customers_cleaned[Segment]), "Customer Not Found"), "N/A")</f>
        <v>N/A</v>
      </c>
      <c r="P512" s="5" t="str">
        <f>IF(Transactions_RAW_cleaned[[#This Row],[Status]]="Refunded", "Refund",
  IF(Transactions_RAW_cleaned[[#This Row],[Category]]="Payments", IF(Transactions_RAW_cleaned[[#This Row],[Amount]]&gt;500,"High Value","Standard"),
    IF(Transactions_RAW_cleaned[[#This Row],[Amount]]&gt;250,"High Value","Standard")))</f>
        <v>Refund</v>
      </c>
      <c r="Q512" s="5" t="str">
        <f>IF(Transactions_RAW_cleaned[[#This Row],[Amount]] &gt; (_xlfn.XLOOKUP(Transactions_RAW_cleaned[[#This Row],[ServiceID]],Services_cleaned[ServiceID],Services_cleaned[TransactionFeePct]) * 10000), "Yes", "No")</f>
        <v>No</v>
      </c>
      <c r="R512" s="5" t="str">
        <f>IF(COUNTIFS($C$2:Transactions_RAW_cleaned[[#This Row],[CustomerID]],Transactions_RAW_cleaned[[#This Row],[CustomerID]],$D$2:Transactions_RAW_cleaned[[#This Row],[ServiceID]],Transactions_RAW_cleaned[[#This Row],[ServiceID]])=1,"Yes","No")</f>
        <v>No</v>
      </c>
      <c r="S51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12" t="str">
        <f>"Q"&amp;ROUNDUP(MONTH(Transactions_RAW_cleaned[[#This Row],[TransactionDate]])/3,0)</f>
        <v>Q1</v>
      </c>
      <c r="U512" t="str">
        <f>Transactions_RAW_cleaned[[#This Row],[Region ]]&amp;Transactions_RAW_cleaned[[#This Row],[Quarter ]]</f>
        <v>NAQ1</v>
      </c>
      <c r="V512" s="5">
        <f>_xlfn.XLOOKUP(Transactions_RAW_cleaned[[#This Row],[RegionQuarterKey]], Quarterly_Targets_cleaned[RegionQuarterKey], Quarterly_Targets_cleaned[TargetRevenue])</f>
        <v>247000</v>
      </c>
    </row>
    <row r="513" spans="1:22" x14ac:dyDescent="0.25">
      <c r="A513" t="s">
        <v>847</v>
      </c>
      <c r="B513" s="1">
        <v>45654</v>
      </c>
      <c r="C513" t="s">
        <v>191</v>
      </c>
      <c r="D513" t="s">
        <v>315</v>
      </c>
      <c r="E513">
        <v>291.79000000000002</v>
      </c>
      <c r="F513" t="s">
        <v>324</v>
      </c>
      <c r="G513" t="s">
        <v>337</v>
      </c>
      <c r="H513" t="s">
        <v>334</v>
      </c>
      <c r="I513" t="s">
        <v>57</v>
      </c>
      <c r="J513" t="s">
        <v>31</v>
      </c>
      <c r="K513" t="s">
        <v>32</v>
      </c>
      <c r="L513" t="s">
        <v>316</v>
      </c>
      <c r="M513" t="s">
        <v>305</v>
      </c>
      <c r="N513">
        <v>2.5000000000000001E-3</v>
      </c>
      <c r="O513" t="str">
        <f>IF(Transactions_RAW_cleaned[[#This Row],[Status]]="Completed", IFERROR(_xlfn.XLOOKUP(Transactions_RAW_cleaned[[#This Row],[CustomerID]], Customers_cleaned[CustomerID], Customers_cleaned[Segment]), "Customer Not Found"), "N/A")</f>
        <v>Startup</v>
      </c>
      <c r="P513" s="5" t="str">
        <f>IF(Transactions_RAW_cleaned[[#This Row],[Status]]="Refunded", "Refund",
  IF(Transactions_RAW_cleaned[[#This Row],[Category]]="Payments", IF(Transactions_RAW_cleaned[[#This Row],[Amount]]&gt;500,"High Value","Standard"),
    IF(Transactions_RAW_cleaned[[#This Row],[Amount]]&gt;250,"High Value","Standard")))</f>
        <v>High Value</v>
      </c>
      <c r="Q513" s="5" t="str">
        <f>IF(Transactions_RAW_cleaned[[#This Row],[Amount]] &gt; (_xlfn.XLOOKUP(Transactions_RAW_cleaned[[#This Row],[ServiceID]],Services_cleaned[ServiceID],Services_cleaned[TransactionFeePct]) * 10000), "Yes", "No")</f>
        <v>Yes</v>
      </c>
      <c r="R513" s="5" t="str">
        <f>IF(COUNTIFS($C$2:Transactions_RAW_cleaned[[#This Row],[CustomerID]],Transactions_RAW_cleaned[[#This Row],[CustomerID]],$D$2:Transactions_RAW_cleaned[[#This Row],[ServiceID]],Transactions_RAW_cleaned[[#This Row],[ServiceID]])=1,"Yes","No")</f>
        <v>Yes</v>
      </c>
      <c r="S51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513" t="str">
        <f>"Q"&amp;ROUNDUP(MONTH(Transactions_RAW_cleaned[[#This Row],[TransactionDate]])/3,0)</f>
        <v>Q4</v>
      </c>
      <c r="U513" t="str">
        <f>Transactions_RAW_cleaned[[#This Row],[Region ]]&amp;Transactions_RAW_cleaned[[#This Row],[Quarter ]]</f>
        <v>EMEAQ4</v>
      </c>
      <c r="V513" s="5">
        <f>_xlfn.XLOOKUP(Transactions_RAW_cleaned[[#This Row],[RegionQuarterKey]], Quarterly_Targets_cleaned[RegionQuarterKey], Quarterly_Targets_cleaned[TargetRevenue])</f>
        <v>161000</v>
      </c>
    </row>
    <row r="514" spans="1:22" x14ac:dyDescent="0.25">
      <c r="A514" t="s">
        <v>848</v>
      </c>
      <c r="B514" s="1">
        <v>45635</v>
      </c>
      <c r="C514" t="s">
        <v>221</v>
      </c>
      <c r="D514" t="s">
        <v>294</v>
      </c>
      <c r="E514">
        <v>972.87</v>
      </c>
      <c r="F514" t="s">
        <v>324</v>
      </c>
      <c r="G514" t="s">
        <v>327</v>
      </c>
      <c r="I514" t="s">
        <v>8</v>
      </c>
      <c r="J514" t="s">
        <v>102</v>
      </c>
      <c r="K514" t="s">
        <v>14</v>
      </c>
      <c r="L514" t="s">
        <v>295</v>
      </c>
      <c r="M514" t="s">
        <v>296</v>
      </c>
      <c r="N514">
        <v>2.9000000000000001E-2</v>
      </c>
      <c r="O514" t="str">
        <f>IF(Transactions_RAW_cleaned[[#This Row],[Status]]="Completed", IFERROR(_xlfn.XLOOKUP(Transactions_RAW_cleaned[[#This Row],[CustomerID]], Customers_cleaned[CustomerID], Customers_cleaned[Segment]), "Customer Not Found"), "N/A")</f>
        <v>SMB</v>
      </c>
      <c r="P514" s="5" t="str">
        <f>IF(Transactions_RAW_cleaned[[#This Row],[Status]]="Refunded", "Refund",
  IF(Transactions_RAW_cleaned[[#This Row],[Category]]="Payments", IF(Transactions_RAW_cleaned[[#This Row],[Amount]]&gt;500,"High Value","Standard"),
    IF(Transactions_RAW_cleaned[[#This Row],[Amount]]&gt;250,"High Value","Standard")))</f>
        <v>High Value</v>
      </c>
      <c r="Q514" s="5" t="str">
        <f>IF(Transactions_RAW_cleaned[[#This Row],[Amount]] &gt; (_xlfn.XLOOKUP(Transactions_RAW_cleaned[[#This Row],[ServiceID]],Services_cleaned[ServiceID],Services_cleaned[TransactionFeePct]) * 10000), "Yes", "No")</f>
        <v>Yes</v>
      </c>
      <c r="R514" s="5" t="str">
        <f>IF(COUNTIFS($C$2:Transactions_RAW_cleaned[[#This Row],[CustomerID]],Transactions_RAW_cleaned[[#This Row],[CustomerID]],$D$2:Transactions_RAW_cleaned[[#This Row],[ServiceID]],Transactions_RAW_cleaned[[#This Row],[ServiceID]])=1,"Yes","No")</f>
        <v>No</v>
      </c>
      <c r="S51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14" t="str">
        <f>"Q"&amp;ROUNDUP(MONTH(Transactions_RAW_cleaned[[#This Row],[TransactionDate]])/3,0)</f>
        <v>Q4</v>
      </c>
      <c r="U514" t="str">
        <f>Transactions_RAW_cleaned[[#This Row],[Region ]]&amp;Transactions_RAW_cleaned[[#This Row],[Quarter ]]</f>
        <v>NAQ4</v>
      </c>
      <c r="V514" s="5">
        <f>_xlfn.XLOOKUP(Transactions_RAW_cleaned[[#This Row],[RegionQuarterKey]], Quarterly_Targets_cleaned[RegionQuarterKey], Quarterly_Targets_cleaned[TargetRevenue])</f>
        <v>299000</v>
      </c>
    </row>
    <row r="515" spans="1:22" x14ac:dyDescent="0.25">
      <c r="A515" t="s">
        <v>849</v>
      </c>
      <c r="B515" s="1">
        <v>45599</v>
      </c>
      <c r="C515" t="s">
        <v>273</v>
      </c>
      <c r="D515" t="s">
        <v>294</v>
      </c>
      <c r="E515">
        <v>215.47</v>
      </c>
      <c r="F515" t="s">
        <v>324</v>
      </c>
      <c r="G515" t="s">
        <v>337</v>
      </c>
      <c r="I515" t="s">
        <v>17</v>
      </c>
      <c r="J515" t="s">
        <v>102</v>
      </c>
      <c r="K515" t="s">
        <v>22</v>
      </c>
      <c r="L515" t="s">
        <v>295</v>
      </c>
      <c r="M515" t="s">
        <v>296</v>
      </c>
      <c r="N515">
        <v>2.9000000000000001E-2</v>
      </c>
      <c r="O515" t="str">
        <f>IF(Transactions_RAW_cleaned[[#This Row],[Status]]="Completed", IFERROR(_xlfn.XLOOKUP(Transactions_RAW_cleaned[[#This Row],[CustomerID]], Customers_cleaned[CustomerID], Customers_cleaned[Segment]), "Customer Not Found"), "N/A")</f>
        <v>Enterprise</v>
      </c>
      <c r="P515" s="5" t="str">
        <f>IF(Transactions_RAW_cleaned[[#This Row],[Status]]="Refunded", "Refund",
  IF(Transactions_RAW_cleaned[[#This Row],[Category]]="Payments", IF(Transactions_RAW_cleaned[[#This Row],[Amount]]&gt;500,"High Value","Standard"),
    IF(Transactions_RAW_cleaned[[#This Row],[Amount]]&gt;250,"High Value","Standard")))</f>
        <v>Standard</v>
      </c>
      <c r="Q515" s="5" t="str">
        <f>IF(Transactions_RAW_cleaned[[#This Row],[Amount]] &gt; (_xlfn.XLOOKUP(Transactions_RAW_cleaned[[#This Row],[ServiceID]],Services_cleaned[ServiceID],Services_cleaned[TransactionFeePct]) * 10000), "Yes", "No")</f>
        <v>No</v>
      </c>
      <c r="R515" s="5" t="str">
        <f>IF(COUNTIFS($C$2:Transactions_RAW_cleaned[[#This Row],[CustomerID]],Transactions_RAW_cleaned[[#This Row],[CustomerID]],$D$2:Transactions_RAW_cleaned[[#This Row],[ServiceID]],Transactions_RAW_cleaned[[#This Row],[ServiceID]])=1,"Yes","No")</f>
        <v>No</v>
      </c>
      <c r="S51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15" t="str">
        <f>"Q"&amp;ROUNDUP(MONTH(Transactions_RAW_cleaned[[#This Row],[TransactionDate]])/3,0)</f>
        <v>Q4</v>
      </c>
      <c r="U515" t="str">
        <f>Transactions_RAW_cleaned[[#This Row],[Region ]]&amp;Transactions_RAW_cleaned[[#This Row],[Quarter ]]</f>
        <v>NAQ4</v>
      </c>
      <c r="V515" s="5">
        <f>_xlfn.XLOOKUP(Transactions_RAW_cleaned[[#This Row],[RegionQuarterKey]], Quarterly_Targets_cleaned[RegionQuarterKey], Quarterly_Targets_cleaned[TargetRevenue])</f>
        <v>299000</v>
      </c>
    </row>
    <row r="516" spans="1:22" x14ac:dyDescent="0.25">
      <c r="A516" t="s">
        <v>850</v>
      </c>
      <c r="B516" s="1">
        <v>45582</v>
      </c>
      <c r="C516" t="s">
        <v>215</v>
      </c>
      <c r="D516" t="s">
        <v>300</v>
      </c>
      <c r="E516">
        <v>166.48</v>
      </c>
      <c r="F516" t="s">
        <v>324</v>
      </c>
      <c r="G516" t="s">
        <v>337</v>
      </c>
      <c r="H516" t="s">
        <v>346</v>
      </c>
      <c r="I516" t="s">
        <v>57</v>
      </c>
      <c r="J516" t="s">
        <v>102</v>
      </c>
      <c r="K516" t="s">
        <v>14</v>
      </c>
      <c r="L516" t="s">
        <v>301</v>
      </c>
      <c r="M516" t="s">
        <v>302</v>
      </c>
      <c r="N516">
        <v>5.0000000000000001E-3</v>
      </c>
      <c r="O516" t="str">
        <f>IF(Transactions_RAW_cleaned[[#This Row],[Status]]="Completed", IFERROR(_xlfn.XLOOKUP(Transactions_RAW_cleaned[[#This Row],[CustomerID]], Customers_cleaned[CustomerID], Customers_cleaned[Segment]), "Customer Not Found"), "N/A")</f>
        <v>Startup</v>
      </c>
      <c r="P516" s="5" t="str">
        <f>IF(Transactions_RAW_cleaned[[#This Row],[Status]]="Refunded", "Refund",
  IF(Transactions_RAW_cleaned[[#This Row],[Category]]="Payments", IF(Transactions_RAW_cleaned[[#This Row],[Amount]]&gt;500,"High Value","Standard"),
    IF(Transactions_RAW_cleaned[[#This Row],[Amount]]&gt;250,"High Value","Standard")))</f>
        <v>Standard</v>
      </c>
      <c r="Q516" s="5" t="str">
        <f>IF(Transactions_RAW_cleaned[[#This Row],[Amount]] &gt; (_xlfn.XLOOKUP(Transactions_RAW_cleaned[[#This Row],[ServiceID]],Services_cleaned[ServiceID],Services_cleaned[TransactionFeePct]) * 10000), "Yes", "No")</f>
        <v>Yes</v>
      </c>
      <c r="R516" s="5" t="str">
        <f>IF(COUNTIFS($C$2:Transactions_RAW_cleaned[[#This Row],[CustomerID]],Transactions_RAW_cleaned[[#This Row],[CustomerID]],$D$2:Transactions_RAW_cleaned[[#This Row],[ServiceID]],Transactions_RAW_cleaned[[#This Row],[ServiceID]])=1,"Yes","No")</f>
        <v>Yes</v>
      </c>
      <c r="S51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16" t="str">
        <f>"Q"&amp;ROUNDUP(MONTH(Transactions_RAW_cleaned[[#This Row],[TransactionDate]])/3,0)</f>
        <v>Q4</v>
      </c>
      <c r="U516" t="str">
        <f>Transactions_RAW_cleaned[[#This Row],[Region ]]&amp;Transactions_RAW_cleaned[[#This Row],[Quarter ]]</f>
        <v>NAQ4</v>
      </c>
      <c r="V516" s="5">
        <f>_xlfn.XLOOKUP(Transactions_RAW_cleaned[[#This Row],[RegionQuarterKey]], Quarterly_Targets_cleaned[RegionQuarterKey], Quarterly_Targets_cleaned[TargetRevenue])</f>
        <v>299000</v>
      </c>
    </row>
    <row r="517" spans="1:22" x14ac:dyDescent="0.25">
      <c r="A517" t="s">
        <v>851</v>
      </c>
      <c r="B517" s="1">
        <v>45364</v>
      </c>
      <c r="C517" t="s">
        <v>49</v>
      </c>
      <c r="D517" t="s">
        <v>303</v>
      </c>
      <c r="E517">
        <v>669.98</v>
      </c>
      <c r="F517" t="s">
        <v>324</v>
      </c>
      <c r="G517" t="s">
        <v>325</v>
      </c>
      <c r="I517" t="s">
        <v>8</v>
      </c>
      <c r="J517" t="s">
        <v>102</v>
      </c>
      <c r="K517" t="s">
        <v>32</v>
      </c>
      <c r="L517" t="s">
        <v>304</v>
      </c>
      <c r="M517" t="s">
        <v>305</v>
      </c>
      <c r="N517">
        <v>1E-3</v>
      </c>
      <c r="O517" t="str">
        <f>IF(Transactions_RAW_cleaned[[#This Row],[Status]]="Completed", IFERROR(_xlfn.XLOOKUP(Transactions_RAW_cleaned[[#This Row],[CustomerID]], Customers_cleaned[CustomerID], Customers_cleaned[Segment]), "Customer Not Found"), "N/A")</f>
        <v>SMB</v>
      </c>
      <c r="P517" s="5" t="str">
        <f>IF(Transactions_RAW_cleaned[[#This Row],[Status]]="Refunded", "Refund",
  IF(Transactions_RAW_cleaned[[#This Row],[Category]]="Payments", IF(Transactions_RAW_cleaned[[#This Row],[Amount]]&gt;500,"High Value","Standard"),
    IF(Transactions_RAW_cleaned[[#This Row],[Amount]]&gt;250,"High Value","Standard")))</f>
        <v>High Value</v>
      </c>
      <c r="Q517" s="5" t="str">
        <f>IF(Transactions_RAW_cleaned[[#This Row],[Amount]] &gt; (_xlfn.XLOOKUP(Transactions_RAW_cleaned[[#This Row],[ServiceID]],Services_cleaned[ServiceID],Services_cleaned[TransactionFeePct]) * 10000), "Yes", "No")</f>
        <v>Yes</v>
      </c>
      <c r="R517" s="5" t="str">
        <f>IF(COUNTIFS($C$2:Transactions_RAW_cleaned[[#This Row],[CustomerID]],Transactions_RAW_cleaned[[#This Row],[CustomerID]],$D$2:Transactions_RAW_cleaned[[#This Row],[ServiceID]],Transactions_RAW_cleaned[[#This Row],[ServiceID]])=1,"Yes","No")</f>
        <v>Yes</v>
      </c>
      <c r="S51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17" t="str">
        <f>"Q"&amp;ROUNDUP(MONTH(Transactions_RAW_cleaned[[#This Row],[TransactionDate]])/3,0)</f>
        <v>Q1</v>
      </c>
      <c r="U517" t="str">
        <f>Transactions_RAW_cleaned[[#This Row],[Region ]]&amp;Transactions_RAW_cleaned[[#This Row],[Quarter ]]</f>
        <v>NAQ1</v>
      </c>
      <c r="V517" s="5">
        <f>_xlfn.XLOOKUP(Transactions_RAW_cleaned[[#This Row],[RegionQuarterKey]], Quarterly_Targets_cleaned[RegionQuarterKey], Quarterly_Targets_cleaned[TargetRevenue])</f>
        <v>247000</v>
      </c>
    </row>
    <row r="518" spans="1:22" x14ac:dyDescent="0.25">
      <c r="A518" t="s">
        <v>852</v>
      </c>
      <c r="B518" s="1">
        <v>45455</v>
      </c>
      <c r="C518" t="s">
        <v>94</v>
      </c>
      <c r="D518" t="s">
        <v>315</v>
      </c>
      <c r="E518">
        <v>456.75</v>
      </c>
      <c r="F518" t="s">
        <v>324</v>
      </c>
      <c r="G518" t="s">
        <v>327</v>
      </c>
      <c r="H518" t="s">
        <v>332</v>
      </c>
      <c r="I518" t="s">
        <v>8</v>
      </c>
      <c r="J518" t="s">
        <v>21</v>
      </c>
      <c r="K518" t="s">
        <v>14</v>
      </c>
      <c r="L518" t="s">
        <v>316</v>
      </c>
      <c r="M518" t="s">
        <v>305</v>
      </c>
      <c r="N518">
        <v>2.5000000000000001E-3</v>
      </c>
      <c r="O518" t="str">
        <f>IF(Transactions_RAW_cleaned[[#This Row],[Status]]="Completed", IFERROR(_xlfn.XLOOKUP(Transactions_RAW_cleaned[[#This Row],[CustomerID]], Customers_cleaned[CustomerID], Customers_cleaned[Segment]), "Customer Not Found"), "N/A")</f>
        <v>SMB</v>
      </c>
      <c r="P518" s="5" t="str">
        <f>IF(Transactions_RAW_cleaned[[#This Row],[Status]]="Refunded", "Refund",
  IF(Transactions_RAW_cleaned[[#This Row],[Category]]="Payments", IF(Transactions_RAW_cleaned[[#This Row],[Amount]]&gt;500,"High Value","Standard"),
    IF(Transactions_RAW_cleaned[[#This Row],[Amount]]&gt;250,"High Value","Standard")))</f>
        <v>High Value</v>
      </c>
      <c r="Q518" s="5" t="str">
        <f>IF(Transactions_RAW_cleaned[[#This Row],[Amount]] &gt; (_xlfn.XLOOKUP(Transactions_RAW_cleaned[[#This Row],[ServiceID]],Services_cleaned[ServiceID],Services_cleaned[TransactionFeePct]) * 10000), "Yes", "No")</f>
        <v>Yes</v>
      </c>
      <c r="R518" s="5" t="str">
        <f>IF(COUNTIFS($C$2:Transactions_RAW_cleaned[[#This Row],[CustomerID]],Transactions_RAW_cleaned[[#This Row],[CustomerID]],$D$2:Transactions_RAW_cleaned[[#This Row],[ServiceID]],Transactions_RAW_cleaned[[#This Row],[ServiceID]])=1,"Yes","No")</f>
        <v>Yes</v>
      </c>
      <c r="S51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18" t="str">
        <f>"Q"&amp;ROUNDUP(MONTH(Transactions_RAW_cleaned[[#This Row],[TransactionDate]])/3,0)</f>
        <v>Q2</v>
      </c>
      <c r="U518" t="str">
        <f>Transactions_RAW_cleaned[[#This Row],[Region ]]&amp;Transactions_RAW_cleaned[[#This Row],[Quarter ]]</f>
        <v>APACQ2</v>
      </c>
      <c r="V518" s="5">
        <f>_xlfn.XLOOKUP(Transactions_RAW_cleaned[[#This Row],[RegionQuarterKey]], Quarterly_Targets_cleaned[RegionQuarterKey], Quarterly_Targets_cleaned[TargetRevenue])</f>
        <v>110000</v>
      </c>
    </row>
    <row r="519" spans="1:22" x14ac:dyDescent="0.25">
      <c r="A519" t="s">
        <v>853</v>
      </c>
      <c r="B519" s="1">
        <v>45404</v>
      </c>
      <c r="C519" t="s">
        <v>169</v>
      </c>
      <c r="D519" t="s">
        <v>300</v>
      </c>
      <c r="E519">
        <v>531.45000000000005</v>
      </c>
      <c r="F519" t="s">
        <v>324</v>
      </c>
      <c r="G519" t="s">
        <v>325</v>
      </c>
      <c r="H519" t="s">
        <v>346</v>
      </c>
      <c r="I519" t="s">
        <v>8</v>
      </c>
      <c r="J519" t="s">
        <v>13</v>
      </c>
      <c r="K519" t="s">
        <v>32</v>
      </c>
      <c r="L519" t="s">
        <v>301</v>
      </c>
      <c r="M519" t="s">
        <v>302</v>
      </c>
      <c r="N519">
        <v>5.0000000000000001E-3</v>
      </c>
      <c r="O519" t="str">
        <f>IF(Transactions_RAW_cleaned[[#This Row],[Status]]="Completed", IFERROR(_xlfn.XLOOKUP(Transactions_RAW_cleaned[[#This Row],[CustomerID]], Customers_cleaned[CustomerID], Customers_cleaned[Segment]), "Customer Not Found"), "N/A")</f>
        <v>SMB</v>
      </c>
      <c r="P519" s="5" t="str">
        <f>IF(Transactions_RAW_cleaned[[#This Row],[Status]]="Refunded", "Refund",
  IF(Transactions_RAW_cleaned[[#This Row],[Category]]="Payments", IF(Transactions_RAW_cleaned[[#This Row],[Amount]]&gt;500,"High Value","Standard"),
    IF(Transactions_RAW_cleaned[[#This Row],[Amount]]&gt;250,"High Value","Standard")))</f>
        <v>High Value</v>
      </c>
      <c r="Q519" s="5" t="str">
        <f>IF(Transactions_RAW_cleaned[[#This Row],[Amount]] &gt; (_xlfn.XLOOKUP(Transactions_RAW_cleaned[[#This Row],[ServiceID]],Services_cleaned[ServiceID],Services_cleaned[TransactionFeePct]) * 10000), "Yes", "No")</f>
        <v>Yes</v>
      </c>
      <c r="R519" s="5" t="str">
        <f>IF(COUNTIFS($C$2:Transactions_RAW_cleaned[[#This Row],[CustomerID]],Transactions_RAW_cleaned[[#This Row],[CustomerID]],$D$2:Transactions_RAW_cleaned[[#This Row],[ServiceID]],Transactions_RAW_cleaned[[#This Row],[ServiceID]])=1,"Yes","No")</f>
        <v>No</v>
      </c>
      <c r="S51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19" t="str">
        <f>"Q"&amp;ROUNDUP(MONTH(Transactions_RAW_cleaned[[#This Row],[TransactionDate]])/3,0)</f>
        <v>Q2</v>
      </c>
      <c r="U519" t="str">
        <f>Transactions_RAW_cleaned[[#This Row],[Region ]]&amp;Transactions_RAW_cleaned[[#This Row],[Quarter ]]</f>
        <v>NAQ2</v>
      </c>
      <c r="V519" s="5">
        <f>_xlfn.XLOOKUP(Transactions_RAW_cleaned[[#This Row],[RegionQuarterKey]], Quarterly_Targets_cleaned[RegionQuarterKey], Quarterly_Targets_cleaned[TargetRevenue])</f>
        <v>260000</v>
      </c>
    </row>
    <row r="520" spans="1:22" x14ac:dyDescent="0.25">
      <c r="A520" t="s">
        <v>854</v>
      </c>
      <c r="B520" s="1">
        <v>45344</v>
      </c>
      <c r="C520" t="s">
        <v>137</v>
      </c>
      <c r="D520" t="s">
        <v>297</v>
      </c>
      <c r="E520">
        <v>134.36000000000001</v>
      </c>
      <c r="F520" t="s">
        <v>324</v>
      </c>
      <c r="G520" t="s">
        <v>325</v>
      </c>
      <c r="H520" t="s">
        <v>346</v>
      </c>
      <c r="I520" t="s">
        <v>8</v>
      </c>
      <c r="J520" t="s">
        <v>13</v>
      </c>
      <c r="K520" t="s">
        <v>18</v>
      </c>
      <c r="L520" t="s">
        <v>298</v>
      </c>
      <c r="M520" t="s">
        <v>299</v>
      </c>
      <c r="N520">
        <v>0</v>
      </c>
      <c r="O520" t="str">
        <f>IF(Transactions_RAW_cleaned[[#This Row],[Status]]="Completed", IFERROR(_xlfn.XLOOKUP(Transactions_RAW_cleaned[[#This Row],[CustomerID]], Customers_cleaned[CustomerID], Customers_cleaned[Segment]), "Customer Not Found"), "N/A")</f>
        <v>SMB</v>
      </c>
      <c r="P520" s="5" t="str">
        <f>IF(Transactions_RAW_cleaned[[#This Row],[Status]]="Refunded", "Refund",
  IF(Transactions_RAW_cleaned[[#This Row],[Category]]="Payments", IF(Transactions_RAW_cleaned[[#This Row],[Amount]]&gt;500,"High Value","Standard"),
    IF(Transactions_RAW_cleaned[[#This Row],[Amount]]&gt;250,"High Value","Standard")))</f>
        <v>Standard</v>
      </c>
      <c r="Q520" s="5" t="str">
        <f>IF(Transactions_RAW_cleaned[[#This Row],[Amount]] &gt; (_xlfn.XLOOKUP(Transactions_RAW_cleaned[[#This Row],[ServiceID]],Services_cleaned[ServiceID],Services_cleaned[TransactionFeePct]) * 10000), "Yes", "No")</f>
        <v>Yes</v>
      </c>
      <c r="R520" s="5" t="str">
        <f>IF(COUNTIFS($C$2:Transactions_RAW_cleaned[[#This Row],[CustomerID]],Transactions_RAW_cleaned[[#This Row],[CustomerID]],$D$2:Transactions_RAW_cleaned[[#This Row],[ServiceID]],Transactions_RAW_cleaned[[#This Row],[ServiceID]])=1,"Yes","No")</f>
        <v>No</v>
      </c>
      <c r="S52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20" t="str">
        <f>"Q"&amp;ROUNDUP(MONTH(Transactions_RAW_cleaned[[#This Row],[TransactionDate]])/3,0)</f>
        <v>Q1</v>
      </c>
      <c r="U520" t="str">
        <f>Transactions_RAW_cleaned[[#This Row],[Region ]]&amp;Transactions_RAW_cleaned[[#This Row],[Quarter ]]</f>
        <v>NAQ1</v>
      </c>
      <c r="V520" s="5">
        <f>_xlfn.XLOOKUP(Transactions_RAW_cleaned[[#This Row],[RegionQuarterKey]], Quarterly_Targets_cleaned[RegionQuarterKey], Quarterly_Targets_cleaned[TargetRevenue])</f>
        <v>247000</v>
      </c>
    </row>
    <row r="521" spans="1:22" x14ac:dyDescent="0.25">
      <c r="A521" t="s">
        <v>855</v>
      </c>
      <c r="B521" s="1">
        <v>45655</v>
      </c>
      <c r="C521" t="s">
        <v>55</v>
      </c>
      <c r="D521" t="s">
        <v>300</v>
      </c>
      <c r="E521">
        <v>413.04</v>
      </c>
      <c r="F521" t="s">
        <v>324</v>
      </c>
      <c r="G521" t="s">
        <v>325</v>
      </c>
      <c r="I521" t="s">
        <v>57</v>
      </c>
      <c r="J521" t="s">
        <v>31</v>
      </c>
      <c r="K521" t="s">
        <v>22</v>
      </c>
      <c r="L521" t="s">
        <v>301</v>
      </c>
      <c r="M521" t="s">
        <v>302</v>
      </c>
      <c r="N521">
        <v>5.0000000000000001E-3</v>
      </c>
      <c r="O521" t="str">
        <f>IF(Transactions_RAW_cleaned[[#This Row],[Status]]="Completed", IFERROR(_xlfn.XLOOKUP(Transactions_RAW_cleaned[[#This Row],[CustomerID]], Customers_cleaned[CustomerID], Customers_cleaned[Segment]), "Customer Not Found"), "N/A")</f>
        <v>Startup</v>
      </c>
      <c r="P521" s="5" t="str">
        <f>IF(Transactions_RAW_cleaned[[#This Row],[Status]]="Refunded", "Refund",
  IF(Transactions_RAW_cleaned[[#This Row],[Category]]="Payments", IF(Transactions_RAW_cleaned[[#This Row],[Amount]]&gt;500,"High Value","Standard"),
    IF(Transactions_RAW_cleaned[[#This Row],[Amount]]&gt;250,"High Value","Standard")))</f>
        <v>High Value</v>
      </c>
      <c r="Q521" s="5" t="str">
        <f>IF(Transactions_RAW_cleaned[[#This Row],[Amount]] &gt; (_xlfn.XLOOKUP(Transactions_RAW_cleaned[[#This Row],[ServiceID]],Services_cleaned[ServiceID],Services_cleaned[TransactionFeePct]) * 10000), "Yes", "No")</f>
        <v>Yes</v>
      </c>
      <c r="R521" s="5" t="str">
        <f>IF(COUNTIFS($C$2:Transactions_RAW_cleaned[[#This Row],[CustomerID]],Transactions_RAW_cleaned[[#This Row],[CustomerID]],$D$2:Transactions_RAW_cleaned[[#This Row],[ServiceID]],Transactions_RAW_cleaned[[#This Row],[ServiceID]])=1,"Yes","No")</f>
        <v>Yes</v>
      </c>
      <c r="S52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521" t="str">
        <f>"Q"&amp;ROUNDUP(MONTH(Transactions_RAW_cleaned[[#This Row],[TransactionDate]])/3,0)</f>
        <v>Q4</v>
      </c>
      <c r="U521" t="str">
        <f>Transactions_RAW_cleaned[[#This Row],[Region ]]&amp;Transactions_RAW_cleaned[[#This Row],[Quarter ]]</f>
        <v>EMEAQ4</v>
      </c>
      <c r="V521" s="5">
        <f>_xlfn.XLOOKUP(Transactions_RAW_cleaned[[#This Row],[RegionQuarterKey]], Quarterly_Targets_cleaned[RegionQuarterKey], Quarterly_Targets_cleaned[TargetRevenue])</f>
        <v>161000</v>
      </c>
    </row>
    <row r="522" spans="1:22" x14ac:dyDescent="0.25">
      <c r="A522" t="s">
        <v>856</v>
      </c>
      <c r="B522" s="1">
        <v>45457</v>
      </c>
      <c r="C522" t="s">
        <v>193</v>
      </c>
      <c r="D522" t="s">
        <v>306</v>
      </c>
      <c r="E522">
        <v>449.49</v>
      </c>
      <c r="F522" t="s">
        <v>324</v>
      </c>
      <c r="G522" t="s">
        <v>329</v>
      </c>
      <c r="I522" t="s">
        <v>8</v>
      </c>
      <c r="J522" t="s">
        <v>102</v>
      </c>
      <c r="K522" t="s">
        <v>18</v>
      </c>
      <c r="L522" t="s">
        <v>307</v>
      </c>
      <c r="M522" t="s">
        <v>308</v>
      </c>
      <c r="N522">
        <v>0</v>
      </c>
      <c r="O522" t="str">
        <f>IF(Transactions_RAW_cleaned[[#This Row],[Status]]="Completed", IFERROR(_xlfn.XLOOKUP(Transactions_RAW_cleaned[[#This Row],[CustomerID]], Customers_cleaned[CustomerID], Customers_cleaned[Segment]), "Customer Not Found"), "N/A")</f>
        <v>SMB</v>
      </c>
      <c r="P522" s="5" t="str">
        <f>IF(Transactions_RAW_cleaned[[#This Row],[Status]]="Refunded", "Refund",
  IF(Transactions_RAW_cleaned[[#This Row],[Category]]="Payments", IF(Transactions_RAW_cleaned[[#This Row],[Amount]]&gt;500,"High Value","Standard"),
    IF(Transactions_RAW_cleaned[[#This Row],[Amount]]&gt;250,"High Value","Standard")))</f>
        <v>High Value</v>
      </c>
      <c r="Q522" s="5" t="str">
        <f>IF(Transactions_RAW_cleaned[[#This Row],[Amount]] &gt; (_xlfn.XLOOKUP(Transactions_RAW_cleaned[[#This Row],[ServiceID]],Services_cleaned[ServiceID],Services_cleaned[TransactionFeePct]) * 10000), "Yes", "No")</f>
        <v>Yes</v>
      </c>
      <c r="R522" s="5" t="str">
        <f>IF(COUNTIFS($C$2:Transactions_RAW_cleaned[[#This Row],[CustomerID]],Transactions_RAW_cleaned[[#This Row],[CustomerID]],$D$2:Transactions_RAW_cleaned[[#This Row],[ServiceID]],Transactions_RAW_cleaned[[#This Row],[ServiceID]])=1,"Yes","No")</f>
        <v>Yes</v>
      </c>
      <c r="S52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22" t="str">
        <f>"Q"&amp;ROUNDUP(MONTH(Transactions_RAW_cleaned[[#This Row],[TransactionDate]])/3,0)</f>
        <v>Q2</v>
      </c>
      <c r="U522" t="str">
        <f>Transactions_RAW_cleaned[[#This Row],[Region ]]&amp;Transactions_RAW_cleaned[[#This Row],[Quarter ]]</f>
        <v>NAQ2</v>
      </c>
      <c r="V522" s="5">
        <f>_xlfn.XLOOKUP(Transactions_RAW_cleaned[[#This Row],[RegionQuarterKey]], Quarterly_Targets_cleaned[RegionQuarterKey], Quarterly_Targets_cleaned[TargetRevenue])</f>
        <v>260000</v>
      </c>
    </row>
    <row r="523" spans="1:22" x14ac:dyDescent="0.25">
      <c r="A523" t="s">
        <v>857</v>
      </c>
      <c r="B523" s="1">
        <v>45585</v>
      </c>
      <c r="C523" t="s">
        <v>199</v>
      </c>
      <c r="D523" t="s">
        <v>294</v>
      </c>
      <c r="E523">
        <v>540.87</v>
      </c>
      <c r="F523" t="s">
        <v>324</v>
      </c>
      <c r="G523" t="s">
        <v>325</v>
      </c>
      <c r="H523" t="s">
        <v>346</v>
      </c>
      <c r="I523" t="s">
        <v>8</v>
      </c>
      <c r="J523" t="s">
        <v>13</v>
      </c>
      <c r="K523" t="s">
        <v>32</v>
      </c>
      <c r="L523" t="s">
        <v>295</v>
      </c>
      <c r="M523" t="s">
        <v>296</v>
      </c>
      <c r="N523">
        <v>2.9000000000000001E-2</v>
      </c>
      <c r="O523" t="str">
        <f>IF(Transactions_RAW_cleaned[[#This Row],[Status]]="Completed", IFERROR(_xlfn.XLOOKUP(Transactions_RAW_cleaned[[#This Row],[CustomerID]], Customers_cleaned[CustomerID], Customers_cleaned[Segment]), "Customer Not Found"), "N/A")</f>
        <v>SMB</v>
      </c>
      <c r="P523" s="5" t="str">
        <f>IF(Transactions_RAW_cleaned[[#This Row],[Status]]="Refunded", "Refund",
  IF(Transactions_RAW_cleaned[[#This Row],[Category]]="Payments", IF(Transactions_RAW_cleaned[[#This Row],[Amount]]&gt;500,"High Value","Standard"),
    IF(Transactions_RAW_cleaned[[#This Row],[Amount]]&gt;250,"High Value","Standard")))</f>
        <v>High Value</v>
      </c>
      <c r="Q523" s="5" t="str">
        <f>IF(Transactions_RAW_cleaned[[#This Row],[Amount]] &gt; (_xlfn.XLOOKUP(Transactions_RAW_cleaned[[#This Row],[ServiceID]],Services_cleaned[ServiceID],Services_cleaned[TransactionFeePct]) * 10000), "Yes", "No")</f>
        <v>Yes</v>
      </c>
      <c r="R523" s="5" t="str">
        <f>IF(COUNTIFS($C$2:Transactions_RAW_cleaned[[#This Row],[CustomerID]],Transactions_RAW_cleaned[[#This Row],[CustomerID]],$D$2:Transactions_RAW_cleaned[[#This Row],[ServiceID]],Transactions_RAW_cleaned[[#This Row],[ServiceID]])=1,"Yes","No")</f>
        <v>No</v>
      </c>
      <c r="S52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23" t="str">
        <f>"Q"&amp;ROUNDUP(MONTH(Transactions_RAW_cleaned[[#This Row],[TransactionDate]])/3,0)</f>
        <v>Q4</v>
      </c>
      <c r="U523" t="str">
        <f>Transactions_RAW_cleaned[[#This Row],[Region ]]&amp;Transactions_RAW_cleaned[[#This Row],[Quarter ]]</f>
        <v>NAQ4</v>
      </c>
      <c r="V523" s="5">
        <f>_xlfn.XLOOKUP(Transactions_RAW_cleaned[[#This Row],[RegionQuarterKey]], Quarterly_Targets_cleaned[RegionQuarterKey], Quarterly_Targets_cleaned[TargetRevenue])</f>
        <v>299000</v>
      </c>
    </row>
    <row r="524" spans="1:22" x14ac:dyDescent="0.25">
      <c r="A524" t="s">
        <v>858</v>
      </c>
      <c r="B524" s="1">
        <v>45584</v>
      </c>
      <c r="C524" t="s">
        <v>213</v>
      </c>
      <c r="D524" t="s">
        <v>294</v>
      </c>
      <c r="E524">
        <v>-441.02</v>
      </c>
      <c r="F524" t="s">
        <v>349</v>
      </c>
      <c r="G524" t="s">
        <v>327</v>
      </c>
      <c r="H524" t="s">
        <v>332</v>
      </c>
      <c r="I524" t="s">
        <v>17</v>
      </c>
      <c r="J524" t="s">
        <v>25</v>
      </c>
      <c r="K524" t="s">
        <v>14</v>
      </c>
      <c r="L524" t="s">
        <v>295</v>
      </c>
      <c r="M524" t="s">
        <v>296</v>
      </c>
      <c r="N524">
        <v>2.9000000000000001E-2</v>
      </c>
      <c r="O524" t="str">
        <f>IF(Transactions_RAW_cleaned[[#This Row],[Status]]="Completed", IFERROR(_xlfn.XLOOKUP(Transactions_RAW_cleaned[[#This Row],[CustomerID]], Customers_cleaned[CustomerID], Customers_cleaned[Segment]), "Customer Not Found"), "N/A")</f>
        <v>N/A</v>
      </c>
      <c r="P524" s="5" t="str">
        <f>IF(Transactions_RAW_cleaned[[#This Row],[Status]]="Refunded", "Refund",
  IF(Transactions_RAW_cleaned[[#This Row],[Category]]="Payments", IF(Transactions_RAW_cleaned[[#This Row],[Amount]]&gt;500,"High Value","Standard"),
    IF(Transactions_RAW_cleaned[[#This Row],[Amount]]&gt;250,"High Value","Standard")))</f>
        <v>Refund</v>
      </c>
      <c r="Q524" s="5" t="str">
        <f>IF(Transactions_RAW_cleaned[[#This Row],[Amount]] &gt; (_xlfn.XLOOKUP(Transactions_RAW_cleaned[[#This Row],[ServiceID]],Services_cleaned[ServiceID],Services_cleaned[TransactionFeePct]) * 10000), "Yes", "No")</f>
        <v>No</v>
      </c>
      <c r="R524" s="5" t="str">
        <f>IF(COUNTIFS($C$2:Transactions_RAW_cleaned[[#This Row],[CustomerID]],Transactions_RAW_cleaned[[#This Row],[CustomerID]],$D$2:Transactions_RAW_cleaned[[#This Row],[ServiceID]],Transactions_RAW_cleaned[[#This Row],[ServiceID]])=1,"Yes","No")</f>
        <v>No</v>
      </c>
      <c r="S52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24" t="str">
        <f>"Q"&amp;ROUNDUP(MONTH(Transactions_RAW_cleaned[[#This Row],[TransactionDate]])/3,0)</f>
        <v>Q4</v>
      </c>
      <c r="U524" t="str">
        <f>Transactions_RAW_cleaned[[#This Row],[Region ]]&amp;Transactions_RAW_cleaned[[#This Row],[Quarter ]]</f>
        <v>APACQ4</v>
      </c>
      <c r="V524" s="5">
        <f>_xlfn.XLOOKUP(Transactions_RAW_cleaned[[#This Row],[RegionQuarterKey]], Quarterly_Targets_cleaned[RegionQuarterKey], Quarterly_Targets_cleaned[TargetRevenue])</f>
        <v>126500</v>
      </c>
    </row>
    <row r="525" spans="1:22" x14ac:dyDescent="0.25">
      <c r="A525" t="s">
        <v>859</v>
      </c>
      <c r="B525" s="1">
        <v>45532</v>
      </c>
      <c r="C525" t="s">
        <v>76</v>
      </c>
      <c r="D525" t="s">
        <v>309</v>
      </c>
      <c r="E525">
        <v>-578.03</v>
      </c>
      <c r="F525" t="s">
        <v>349</v>
      </c>
      <c r="G525" t="s">
        <v>337</v>
      </c>
      <c r="H525" t="s">
        <v>334</v>
      </c>
      <c r="I525" t="s">
        <v>17</v>
      </c>
      <c r="J525" t="s">
        <v>13</v>
      </c>
      <c r="K525" t="s">
        <v>18</v>
      </c>
      <c r="L525" t="s">
        <v>310</v>
      </c>
      <c r="M525" t="s">
        <v>311</v>
      </c>
      <c r="N525">
        <v>0</v>
      </c>
      <c r="O525" t="str">
        <f>IF(Transactions_RAW_cleaned[[#This Row],[Status]]="Completed", IFERROR(_xlfn.XLOOKUP(Transactions_RAW_cleaned[[#This Row],[CustomerID]], Customers_cleaned[CustomerID], Customers_cleaned[Segment]), "Customer Not Found"), "N/A")</f>
        <v>N/A</v>
      </c>
      <c r="P525" s="5" t="str">
        <f>IF(Transactions_RAW_cleaned[[#This Row],[Status]]="Refunded", "Refund",
  IF(Transactions_RAW_cleaned[[#This Row],[Category]]="Payments", IF(Transactions_RAW_cleaned[[#This Row],[Amount]]&gt;500,"High Value","Standard"),
    IF(Transactions_RAW_cleaned[[#This Row],[Amount]]&gt;250,"High Value","Standard")))</f>
        <v>Refund</v>
      </c>
      <c r="Q525" s="5" t="str">
        <f>IF(Transactions_RAW_cleaned[[#This Row],[Amount]] &gt; (_xlfn.XLOOKUP(Transactions_RAW_cleaned[[#This Row],[ServiceID]],Services_cleaned[ServiceID],Services_cleaned[TransactionFeePct]) * 10000), "Yes", "No")</f>
        <v>No</v>
      </c>
      <c r="R525" s="5" t="str">
        <f>IF(COUNTIFS($C$2:Transactions_RAW_cleaned[[#This Row],[CustomerID]],Transactions_RAW_cleaned[[#This Row],[CustomerID]],$D$2:Transactions_RAW_cleaned[[#This Row],[ServiceID]],Transactions_RAW_cleaned[[#This Row],[ServiceID]])=1,"Yes","No")</f>
        <v>Yes</v>
      </c>
      <c r="S52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25" t="str">
        <f>"Q"&amp;ROUNDUP(MONTH(Transactions_RAW_cleaned[[#This Row],[TransactionDate]])/3,0)</f>
        <v>Q3</v>
      </c>
      <c r="U525" t="str">
        <f>Transactions_RAW_cleaned[[#This Row],[Region ]]&amp;Transactions_RAW_cleaned[[#This Row],[Quarter ]]</f>
        <v>NAQ3</v>
      </c>
      <c r="V525" s="5">
        <f>_xlfn.XLOOKUP(Transactions_RAW_cleaned[[#This Row],[RegionQuarterKey]], Quarterly_Targets_cleaned[RegionQuarterKey], Quarterly_Targets_cleaned[TargetRevenue])</f>
        <v>273000</v>
      </c>
    </row>
    <row r="526" spans="1:22" x14ac:dyDescent="0.25">
      <c r="A526" t="s">
        <v>860</v>
      </c>
      <c r="B526" s="1">
        <v>45488</v>
      </c>
      <c r="C526" t="s">
        <v>245</v>
      </c>
      <c r="D526" t="s">
        <v>294</v>
      </c>
      <c r="E526">
        <v>219.49</v>
      </c>
      <c r="F526" t="s">
        <v>381</v>
      </c>
      <c r="G526" t="s">
        <v>325</v>
      </c>
      <c r="I526" t="s">
        <v>8</v>
      </c>
      <c r="J526" t="s">
        <v>31</v>
      </c>
      <c r="K526" t="s">
        <v>14</v>
      </c>
      <c r="L526" t="s">
        <v>295</v>
      </c>
      <c r="M526" t="s">
        <v>296</v>
      </c>
      <c r="N526">
        <v>2.9000000000000001E-2</v>
      </c>
      <c r="O526" t="str">
        <f>IF(Transactions_RAW_cleaned[[#This Row],[Status]]="Completed", IFERROR(_xlfn.XLOOKUP(Transactions_RAW_cleaned[[#This Row],[CustomerID]], Customers_cleaned[CustomerID], Customers_cleaned[Segment]), "Customer Not Found"), "N/A")</f>
        <v>N/A</v>
      </c>
      <c r="P526" s="5" t="str">
        <f>IF(Transactions_RAW_cleaned[[#This Row],[Status]]="Refunded", "Refund",
  IF(Transactions_RAW_cleaned[[#This Row],[Category]]="Payments", IF(Transactions_RAW_cleaned[[#This Row],[Amount]]&gt;500,"High Value","Standard"),
    IF(Transactions_RAW_cleaned[[#This Row],[Amount]]&gt;250,"High Value","Standard")))</f>
        <v>Standard</v>
      </c>
      <c r="Q526" s="5" t="str">
        <f>IF(Transactions_RAW_cleaned[[#This Row],[Amount]] &gt; (_xlfn.XLOOKUP(Transactions_RAW_cleaned[[#This Row],[ServiceID]],Services_cleaned[ServiceID],Services_cleaned[TransactionFeePct]) * 10000), "Yes", "No")</f>
        <v>No</v>
      </c>
      <c r="R526" s="5" t="str">
        <f>IF(COUNTIFS($C$2:Transactions_RAW_cleaned[[#This Row],[CustomerID]],Transactions_RAW_cleaned[[#This Row],[CustomerID]],$D$2:Transactions_RAW_cleaned[[#This Row],[ServiceID]],Transactions_RAW_cleaned[[#This Row],[ServiceID]])=1,"Yes","No")</f>
        <v>No</v>
      </c>
      <c r="S52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526" t="str">
        <f>"Q"&amp;ROUNDUP(MONTH(Transactions_RAW_cleaned[[#This Row],[TransactionDate]])/3,0)</f>
        <v>Q3</v>
      </c>
      <c r="U526" t="str">
        <f>Transactions_RAW_cleaned[[#This Row],[Region ]]&amp;Transactions_RAW_cleaned[[#This Row],[Quarter ]]</f>
        <v>EMEAQ3</v>
      </c>
      <c r="V526" s="5">
        <f>_xlfn.XLOOKUP(Transactions_RAW_cleaned[[#This Row],[RegionQuarterKey]], Quarterly_Targets_cleaned[RegionQuarterKey], Quarterly_Targets_cleaned[TargetRevenue])</f>
        <v>147000</v>
      </c>
    </row>
    <row r="527" spans="1:22" x14ac:dyDescent="0.25">
      <c r="A527" t="s">
        <v>861</v>
      </c>
      <c r="B527" s="1">
        <v>45439</v>
      </c>
      <c r="C527" t="s">
        <v>58</v>
      </c>
      <c r="D527" t="s">
        <v>294</v>
      </c>
      <c r="E527">
        <v>279.70999999999998</v>
      </c>
      <c r="F527" t="s">
        <v>324</v>
      </c>
      <c r="G527" t="s">
        <v>327</v>
      </c>
      <c r="H527" t="s">
        <v>346</v>
      </c>
      <c r="I527" t="s">
        <v>17</v>
      </c>
      <c r="J527" t="s">
        <v>102</v>
      </c>
      <c r="K527" t="s">
        <v>22</v>
      </c>
      <c r="L527" t="s">
        <v>295</v>
      </c>
      <c r="M527" t="s">
        <v>296</v>
      </c>
      <c r="N527">
        <v>2.9000000000000001E-2</v>
      </c>
      <c r="O527" t="str">
        <f>IF(Transactions_RAW_cleaned[[#This Row],[Status]]="Completed", IFERROR(_xlfn.XLOOKUP(Transactions_RAW_cleaned[[#This Row],[CustomerID]], Customers_cleaned[CustomerID], Customers_cleaned[Segment]), "Customer Not Found"), "N/A")</f>
        <v>Enterprise</v>
      </c>
      <c r="P527" s="5" t="str">
        <f>IF(Transactions_RAW_cleaned[[#This Row],[Status]]="Refunded", "Refund",
  IF(Transactions_RAW_cleaned[[#This Row],[Category]]="Payments", IF(Transactions_RAW_cleaned[[#This Row],[Amount]]&gt;500,"High Value","Standard"),
    IF(Transactions_RAW_cleaned[[#This Row],[Amount]]&gt;250,"High Value","Standard")))</f>
        <v>Standard</v>
      </c>
      <c r="Q527" s="5" t="str">
        <f>IF(Transactions_RAW_cleaned[[#This Row],[Amount]] &gt; (_xlfn.XLOOKUP(Transactions_RAW_cleaned[[#This Row],[ServiceID]],Services_cleaned[ServiceID],Services_cleaned[TransactionFeePct]) * 10000), "Yes", "No")</f>
        <v>No</v>
      </c>
      <c r="R527" s="5" t="str">
        <f>IF(COUNTIFS($C$2:Transactions_RAW_cleaned[[#This Row],[CustomerID]],Transactions_RAW_cleaned[[#This Row],[CustomerID]],$D$2:Transactions_RAW_cleaned[[#This Row],[ServiceID]],Transactions_RAW_cleaned[[#This Row],[ServiceID]])=1,"Yes","No")</f>
        <v>No</v>
      </c>
      <c r="S52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27" t="str">
        <f>"Q"&amp;ROUNDUP(MONTH(Transactions_RAW_cleaned[[#This Row],[TransactionDate]])/3,0)</f>
        <v>Q2</v>
      </c>
      <c r="U527" t="str">
        <f>Transactions_RAW_cleaned[[#This Row],[Region ]]&amp;Transactions_RAW_cleaned[[#This Row],[Quarter ]]</f>
        <v>NAQ2</v>
      </c>
      <c r="V527" s="5">
        <f>_xlfn.XLOOKUP(Transactions_RAW_cleaned[[#This Row],[RegionQuarterKey]], Quarterly_Targets_cleaned[RegionQuarterKey], Quarterly_Targets_cleaned[TargetRevenue])</f>
        <v>260000</v>
      </c>
    </row>
    <row r="528" spans="1:22" x14ac:dyDescent="0.25">
      <c r="A528" t="s">
        <v>862</v>
      </c>
      <c r="B528" s="1">
        <v>45349</v>
      </c>
      <c r="C528" t="s">
        <v>271</v>
      </c>
      <c r="D528" t="s">
        <v>300</v>
      </c>
      <c r="E528">
        <v>506.41</v>
      </c>
      <c r="F528" t="s">
        <v>324</v>
      </c>
      <c r="G528" t="s">
        <v>327</v>
      </c>
      <c r="I528" t="s">
        <v>8</v>
      </c>
      <c r="J528" t="s">
        <v>102</v>
      </c>
      <c r="K528" t="s">
        <v>28</v>
      </c>
      <c r="L528" t="s">
        <v>301</v>
      </c>
      <c r="M528" t="s">
        <v>302</v>
      </c>
      <c r="N528">
        <v>5.0000000000000001E-3</v>
      </c>
      <c r="O528" t="str">
        <f>IF(Transactions_RAW_cleaned[[#This Row],[Status]]="Completed", IFERROR(_xlfn.XLOOKUP(Transactions_RAW_cleaned[[#This Row],[CustomerID]], Customers_cleaned[CustomerID], Customers_cleaned[Segment]), "Customer Not Found"), "N/A")</f>
        <v>SMB</v>
      </c>
      <c r="P528" s="5" t="str">
        <f>IF(Transactions_RAW_cleaned[[#This Row],[Status]]="Refunded", "Refund",
  IF(Transactions_RAW_cleaned[[#This Row],[Category]]="Payments", IF(Transactions_RAW_cleaned[[#This Row],[Amount]]&gt;500,"High Value","Standard"),
    IF(Transactions_RAW_cleaned[[#This Row],[Amount]]&gt;250,"High Value","Standard")))</f>
        <v>High Value</v>
      </c>
      <c r="Q528" s="5" t="str">
        <f>IF(Transactions_RAW_cleaned[[#This Row],[Amount]] &gt; (_xlfn.XLOOKUP(Transactions_RAW_cleaned[[#This Row],[ServiceID]],Services_cleaned[ServiceID],Services_cleaned[TransactionFeePct]) * 10000), "Yes", "No")</f>
        <v>Yes</v>
      </c>
      <c r="R528" s="5" t="str">
        <f>IF(COUNTIFS($C$2:Transactions_RAW_cleaned[[#This Row],[CustomerID]],Transactions_RAW_cleaned[[#This Row],[CustomerID]],$D$2:Transactions_RAW_cleaned[[#This Row],[ServiceID]],Transactions_RAW_cleaned[[#This Row],[ServiceID]])=1,"Yes","No")</f>
        <v>Yes</v>
      </c>
      <c r="S52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28" t="str">
        <f>"Q"&amp;ROUNDUP(MONTH(Transactions_RAW_cleaned[[#This Row],[TransactionDate]])/3,0)</f>
        <v>Q1</v>
      </c>
      <c r="U528" t="str">
        <f>Transactions_RAW_cleaned[[#This Row],[Region ]]&amp;Transactions_RAW_cleaned[[#This Row],[Quarter ]]</f>
        <v>NAQ1</v>
      </c>
      <c r="V528" s="5">
        <f>_xlfn.XLOOKUP(Transactions_RAW_cleaned[[#This Row],[RegionQuarterKey]], Quarterly_Targets_cleaned[RegionQuarterKey], Quarterly_Targets_cleaned[TargetRevenue])</f>
        <v>247000</v>
      </c>
    </row>
    <row r="529" spans="1:22" x14ac:dyDescent="0.25">
      <c r="A529" t="s">
        <v>863</v>
      </c>
      <c r="B529" s="1">
        <v>45415</v>
      </c>
      <c r="C529" t="s">
        <v>74</v>
      </c>
      <c r="D529" t="s">
        <v>309</v>
      </c>
      <c r="E529">
        <v>521.05999999999995</v>
      </c>
      <c r="F529" t="s">
        <v>324</v>
      </c>
      <c r="G529" t="s">
        <v>325</v>
      </c>
      <c r="H529" t="s">
        <v>346</v>
      </c>
      <c r="I529" t="s">
        <v>17</v>
      </c>
      <c r="J529" t="s">
        <v>46</v>
      </c>
      <c r="K529" t="s">
        <v>28</v>
      </c>
      <c r="L529" t="s">
        <v>310</v>
      </c>
      <c r="M529" t="s">
        <v>311</v>
      </c>
      <c r="N529">
        <v>0</v>
      </c>
      <c r="O529" t="str">
        <f>IF(Transactions_RAW_cleaned[[#This Row],[Status]]="Completed", IFERROR(_xlfn.XLOOKUP(Transactions_RAW_cleaned[[#This Row],[CustomerID]], Customers_cleaned[CustomerID], Customers_cleaned[Segment]), "Customer Not Found"), "N/A")</f>
        <v>Enterprise</v>
      </c>
      <c r="P529" s="5" t="str">
        <f>IF(Transactions_RAW_cleaned[[#This Row],[Status]]="Refunded", "Refund",
  IF(Transactions_RAW_cleaned[[#This Row],[Category]]="Payments", IF(Transactions_RAW_cleaned[[#This Row],[Amount]]&gt;500,"High Value","Standard"),
    IF(Transactions_RAW_cleaned[[#This Row],[Amount]]&gt;250,"High Value","Standard")))</f>
        <v>High Value</v>
      </c>
      <c r="Q529" s="5" t="str">
        <f>IF(Transactions_RAW_cleaned[[#This Row],[Amount]] &gt; (_xlfn.XLOOKUP(Transactions_RAW_cleaned[[#This Row],[ServiceID]],Services_cleaned[ServiceID],Services_cleaned[TransactionFeePct]) * 10000), "Yes", "No")</f>
        <v>Yes</v>
      </c>
      <c r="R529" s="5" t="str">
        <f>IF(COUNTIFS($C$2:Transactions_RAW_cleaned[[#This Row],[CustomerID]],Transactions_RAW_cleaned[[#This Row],[CustomerID]],$D$2:Transactions_RAW_cleaned[[#This Row],[ServiceID]],Transactions_RAW_cleaned[[#This Row],[ServiceID]])=1,"Yes","No")</f>
        <v>Yes</v>
      </c>
      <c r="S52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29" t="str">
        <f>"Q"&amp;ROUNDUP(MONTH(Transactions_RAW_cleaned[[#This Row],[TransactionDate]])/3,0)</f>
        <v>Q2</v>
      </c>
      <c r="U529" t="str">
        <f>Transactions_RAW_cleaned[[#This Row],[Region ]]&amp;Transactions_RAW_cleaned[[#This Row],[Quarter ]]</f>
        <v>APACQ2</v>
      </c>
      <c r="V529" s="5">
        <f>_xlfn.XLOOKUP(Transactions_RAW_cleaned[[#This Row],[RegionQuarterKey]], Quarterly_Targets_cleaned[RegionQuarterKey], Quarterly_Targets_cleaned[TargetRevenue])</f>
        <v>110000</v>
      </c>
    </row>
    <row r="530" spans="1:22" x14ac:dyDescent="0.25">
      <c r="A530" t="s">
        <v>864</v>
      </c>
      <c r="B530" s="1">
        <v>45585</v>
      </c>
      <c r="C530" t="s">
        <v>100</v>
      </c>
      <c r="D530" t="s">
        <v>312</v>
      </c>
      <c r="E530">
        <v>756.35</v>
      </c>
      <c r="F530" t="s">
        <v>324</v>
      </c>
      <c r="G530" t="s">
        <v>325</v>
      </c>
      <c r="H530" t="s">
        <v>334</v>
      </c>
      <c r="I530" t="s">
        <v>8</v>
      </c>
      <c r="J530" t="s">
        <v>102</v>
      </c>
      <c r="K530" t="s">
        <v>22</v>
      </c>
      <c r="L530" t="s">
        <v>313</v>
      </c>
      <c r="M530" t="s">
        <v>314</v>
      </c>
      <c r="N530">
        <v>0</v>
      </c>
      <c r="O530" t="str">
        <f>IF(Transactions_RAW_cleaned[[#This Row],[Status]]="Completed", IFERROR(_xlfn.XLOOKUP(Transactions_RAW_cleaned[[#This Row],[CustomerID]], Customers_cleaned[CustomerID], Customers_cleaned[Segment]), "Customer Not Found"), "N/A")</f>
        <v>SMB</v>
      </c>
      <c r="P530" s="5" t="str">
        <f>IF(Transactions_RAW_cleaned[[#This Row],[Status]]="Refunded", "Refund",
  IF(Transactions_RAW_cleaned[[#This Row],[Category]]="Payments", IF(Transactions_RAW_cleaned[[#This Row],[Amount]]&gt;500,"High Value","Standard"),
    IF(Transactions_RAW_cleaned[[#This Row],[Amount]]&gt;250,"High Value","Standard")))</f>
        <v>High Value</v>
      </c>
      <c r="Q530" s="5" t="str">
        <f>IF(Transactions_RAW_cleaned[[#This Row],[Amount]] &gt; (_xlfn.XLOOKUP(Transactions_RAW_cleaned[[#This Row],[ServiceID]],Services_cleaned[ServiceID],Services_cleaned[TransactionFeePct]) * 10000), "Yes", "No")</f>
        <v>Yes</v>
      </c>
      <c r="R530" s="5" t="str">
        <f>IF(COUNTIFS($C$2:Transactions_RAW_cleaned[[#This Row],[CustomerID]],Transactions_RAW_cleaned[[#This Row],[CustomerID]],$D$2:Transactions_RAW_cleaned[[#This Row],[ServiceID]],Transactions_RAW_cleaned[[#This Row],[ServiceID]])=1,"Yes","No")</f>
        <v>Yes</v>
      </c>
      <c r="S53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30" t="str">
        <f>"Q"&amp;ROUNDUP(MONTH(Transactions_RAW_cleaned[[#This Row],[TransactionDate]])/3,0)</f>
        <v>Q4</v>
      </c>
      <c r="U530" t="str">
        <f>Transactions_RAW_cleaned[[#This Row],[Region ]]&amp;Transactions_RAW_cleaned[[#This Row],[Quarter ]]</f>
        <v>NAQ4</v>
      </c>
      <c r="V530" s="5">
        <f>_xlfn.XLOOKUP(Transactions_RAW_cleaned[[#This Row],[RegionQuarterKey]], Quarterly_Targets_cleaned[RegionQuarterKey], Quarterly_Targets_cleaned[TargetRevenue])</f>
        <v>299000</v>
      </c>
    </row>
    <row r="531" spans="1:22" x14ac:dyDescent="0.25">
      <c r="A531" t="s">
        <v>865</v>
      </c>
      <c r="B531" s="1">
        <v>45458</v>
      </c>
      <c r="C531" t="s">
        <v>66</v>
      </c>
      <c r="D531" t="s">
        <v>303</v>
      </c>
      <c r="E531">
        <v>210.9</v>
      </c>
      <c r="F531" t="s">
        <v>381</v>
      </c>
      <c r="G531" t="s">
        <v>327</v>
      </c>
      <c r="I531" t="s">
        <v>8</v>
      </c>
      <c r="J531" t="s">
        <v>46</v>
      </c>
      <c r="K531" t="s">
        <v>10</v>
      </c>
      <c r="L531" t="s">
        <v>304</v>
      </c>
      <c r="M531" t="s">
        <v>305</v>
      </c>
      <c r="N531">
        <v>1E-3</v>
      </c>
      <c r="O531" t="str">
        <f>IF(Transactions_RAW_cleaned[[#This Row],[Status]]="Completed", IFERROR(_xlfn.XLOOKUP(Transactions_RAW_cleaned[[#This Row],[CustomerID]], Customers_cleaned[CustomerID], Customers_cleaned[Segment]), "Customer Not Found"), "N/A")</f>
        <v>N/A</v>
      </c>
      <c r="P531" s="5" t="str">
        <f>IF(Transactions_RAW_cleaned[[#This Row],[Status]]="Refunded", "Refund",
  IF(Transactions_RAW_cleaned[[#This Row],[Category]]="Payments", IF(Transactions_RAW_cleaned[[#This Row],[Amount]]&gt;500,"High Value","Standard"),
    IF(Transactions_RAW_cleaned[[#This Row],[Amount]]&gt;250,"High Value","Standard")))</f>
        <v>Standard</v>
      </c>
      <c r="Q531" s="5" t="str">
        <f>IF(Transactions_RAW_cleaned[[#This Row],[Amount]] &gt; (_xlfn.XLOOKUP(Transactions_RAW_cleaned[[#This Row],[ServiceID]],Services_cleaned[ServiceID],Services_cleaned[TransactionFeePct]) * 10000), "Yes", "No")</f>
        <v>Yes</v>
      </c>
      <c r="R531" s="5" t="str">
        <f>IF(COUNTIFS($C$2:Transactions_RAW_cleaned[[#This Row],[CustomerID]],Transactions_RAW_cleaned[[#This Row],[CustomerID]],$D$2:Transactions_RAW_cleaned[[#This Row],[ServiceID]],Transactions_RAW_cleaned[[#This Row],[ServiceID]])=1,"Yes","No")</f>
        <v>Yes</v>
      </c>
      <c r="S53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31" t="str">
        <f>"Q"&amp;ROUNDUP(MONTH(Transactions_RAW_cleaned[[#This Row],[TransactionDate]])/3,0)</f>
        <v>Q2</v>
      </c>
      <c r="U531" t="str">
        <f>Transactions_RAW_cleaned[[#This Row],[Region ]]&amp;Transactions_RAW_cleaned[[#This Row],[Quarter ]]</f>
        <v>APACQ2</v>
      </c>
      <c r="V531" s="5">
        <f>_xlfn.XLOOKUP(Transactions_RAW_cleaned[[#This Row],[RegionQuarterKey]], Quarterly_Targets_cleaned[RegionQuarterKey], Quarterly_Targets_cleaned[TargetRevenue])</f>
        <v>110000</v>
      </c>
    </row>
    <row r="532" spans="1:22" x14ac:dyDescent="0.25">
      <c r="A532" t="s">
        <v>866</v>
      </c>
      <c r="B532" s="1">
        <v>45416</v>
      </c>
      <c r="C532" t="s">
        <v>201</v>
      </c>
      <c r="D532" t="s">
        <v>297</v>
      </c>
      <c r="E532">
        <v>1505.67</v>
      </c>
      <c r="F532" t="s">
        <v>331</v>
      </c>
      <c r="G532" t="s">
        <v>327</v>
      </c>
      <c r="I532" t="s">
        <v>57</v>
      </c>
      <c r="J532" t="s">
        <v>37</v>
      </c>
      <c r="K532" t="s">
        <v>32</v>
      </c>
      <c r="L532" t="s">
        <v>298</v>
      </c>
      <c r="M532" t="s">
        <v>299</v>
      </c>
      <c r="N532">
        <v>0</v>
      </c>
      <c r="O532" t="str">
        <f>IF(Transactions_RAW_cleaned[[#This Row],[Status]]="Completed", IFERROR(_xlfn.XLOOKUP(Transactions_RAW_cleaned[[#This Row],[CustomerID]], Customers_cleaned[CustomerID], Customers_cleaned[Segment]), "Customer Not Found"), "N/A")</f>
        <v>N/A</v>
      </c>
      <c r="P532" s="5" t="str">
        <f>IF(Transactions_RAW_cleaned[[#This Row],[Status]]="Refunded", "Refund",
  IF(Transactions_RAW_cleaned[[#This Row],[Category]]="Payments", IF(Transactions_RAW_cleaned[[#This Row],[Amount]]&gt;500,"High Value","Standard"),
    IF(Transactions_RAW_cleaned[[#This Row],[Amount]]&gt;250,"High Value","Standard")))</f>
        <v>High Value</v>
      </c>
      <c r="Q532" s="5" t="str">
        <f>IF(Transactions_RAW_cleaned[[#This Row],[Amount]] &gt; (_xlfn.XLOOKUP(Transactions_RAW_cleaned[[#This Row],[ServiceID]],Services_cleaned[ServiceID],Services_cleaned[TransactionFeePct]) * 10000), "Yes", "No")</f>
        <v>Yes</v>
      </c>
      <c r="R532" s="5" t="str">
        <f>IF(COUNTIFS($C$2:Transactions_RAW_cleaned[[#This Row],[CustomerID]],Transactions_RAW_cleaned[[#This Row],[CustomerID]],$D$2:Transactions_RAW_cleaned[[#This Row],[ServiceID]],Transactions_RAW_cleaned[[#This Row],[ServiceID]])=1,"Yes","No")</f>
        <v>Yes</v>
      </c>
      <c r="S53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532" t="str">
        <f>"Q"&amp;ROUNDUP(MONTH(Transactions_RAW_cleaned[[#This Row],[TransactionDate]])/3,0)</f>
        <v>Q2</v>
      </c>
      <c r="U532" t="str">
        <f>Transactions_RAW_cleaned[[#This Row],[Region ]]&amp;Transactions_RAW_cleaned[[#This Row],[Quarter ]]</f>
        <v>EMEAQ2</v>
      </c>
      <c r="V532" s="5">
        <f>_xlfn.XLOOKUP(Transactions_RAW_cleaned[[#This Row],[RegionQuarterKey]], Quarterly_Targets_cleaned[RegionQuarterKey], Quarterly_Targets_cleaned[TargetRevenue])</f>
        <v>140000</v>
      </c>
    </row>
    <row r="533" spans="1:22" x14ac:dyDescent="0.25">
      <c r="A533" t="s">
        <v>867</v>
      </c>
      <c r="B533" s="1">
        <v>45624</v>
      </c>
      <c r="C533" t="s">
        <v>86</v>
      </c>
      <c r="D533" t="s">
        <v>315</v>
      </c>
      <c r="E533">
        <v>-83.07</v>
      </c>
      <c r="F533" t="s">
        <v>349</v>
      </c>
      <c r="G533" t="s">
        <v>327</v>
      </c>
      <c r="H533" t="s">
        <v>334</v>
      </c>
      <c r="I533" t="s">
        <v>8</v>
      </c>
      <c r="J533" t="s">
        <v>102</v>
      </c>
      <c r="K533" t="s">
        <v>18</v>
      </c>
      <c r="L533" t="s">
        <v>316</v>
      </c>
      <c r="M533" t="s">
        <v>305</v>
      </c>
      <c r="N533">
        <v>2.5000000000000001E-3</v>
      </c>
      <c r="O533" t="str">
        <f>IF(Transactions_RAW_cleaned[[#This Row],[Status]]="Completed", IFERROR(_xlfn.XLOOKUP(Transactions_RAW_cleaned[[#This Row],[CustomerID]], Customers_cleaned[CustomerID], Customers_cleaned[Segment]), "Customer Not Found"), "N/A")</f>
        <v>N/A</v>
      </c>
      <c r="P533" s="5" t="str">
        <f>IF(Transactions_RAW_cleaned[[#This Row],[Status]]="Refunded", "Refund",
  IF(Transactions_RAW_cleaned[[#This Row],[Category]]="Payments", IF(Transactions_RAW_cleaned[[#This Row],[Amount]]&gt;500,"High Value","Standard"),
    IF(Transactions_RAW_cleaned[[#This Row],[Amount]]&gt;250,"High Value","Standard")))</f>
        <v>Refund</v>
      </c>
      <c r="Q533" s="5" t="str">
        <f>IF(Transactions_RAW_cleaned[[#This Row],[Amount]] &gt; (_xlfn.XLOOKUP(Transactions_RAW_cleaned[[#This Row],[ServiceID]],Services_cleaned[ServiceID],Services_cleaned[TransactionFeePct]) * 10000), "Yes", "No")</f>
        <v>No</v>
      </c>
      <c r="R533" s="5" t="str">
        <f>IF(COUNTIFS($C$2:Transactions_RAW_cleaned[[#This Row],[CustomerID]],Transactions_RAW_cleaned[[#This Row],[CustomerID]],$D$2:Transactions_RAW_cleaned[[#This Row],[ServiceID]],Transactions_RAW_cleaned[[#This Row],[ServiceID]])=1,"Yes","No")</f>
        <v>Yes</v>
      </c>
      <c r="S53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33" t="str">
        <f>"Q"&amp;ROUNDUP(MONTH(Transactions_RAW_cleaned[[#This Row],[TransactionDate]])/3,0)</f>
        <v>Q4</v>
      </c>
      <c r="U533" t="str">
        <f>Transactions_RAW_cleaned[[#This Row],[Region ]]&amp;Transactions_RAW_cleaned[[#This Row],[Quarter ]]</f>
        <v>NAQ4</v>
      </c>
      <c r="V533" s="5">
        <f>_xlfn.XLOOKUP(Transactions_RAW_cleaned[[#This Row],[RegionQuarterKey]], Quarterly_Targets_cleaned[RegionQuarterKey], Quarterly_Targets_cleaned[TargetRevenue])</f>
        <v>299000</v>
      </c>
    </row>
    <row r="534" spans="1:22" x14ac:dyDescent="0.25">
      <c r="A534" t="s">
        <v>868</v>
      </c>
      <c r="B534" s="1">
        <v>45317</v>
      </c>
      <c r="C534" t="s">
        <v>159</v>
      </c>
      <c r="D534" t="s">
        <v>297</v>
      </c>
      <c r="E534">
        <v>429.11</v>
      </c>
      <c r="F534" t="s">
        <v>324</v>
      </c>
      <c r="G534" t="s">
        <v>327</v>
      </c>
      <c r="I534" t="s">
        <v>57</v>
      </c>
      <c r="J534" t="s">
        <v>25</v>
      </c>
      <c r="K534" t="s">
        <v>22</v>
      </c>
      <c r="L534" t="s">
        <v>298</v>
      </c>
      <c r="M534" t="s">
        <v>299</v>
      </c>
      <c r="N534">
        <v>0</v>
      </c>
      <c r="O534" t="str">
        <f>IF(Transactions_RAW_cleaned[[#This Row],[Status]]="Completed", IFERROR(_xlfn.XLOOKUP(Transactions_RAW_cleaned[[#This Row],[CustomerID]], Customers_cleaned[CustomerID], Customers_cleaned[Segment]), "Customer Not Found"), "N/A")</f>
        <v>Startup</v>
      </c>
      <c r="P534" s="5" t="str">
        <f>IF(Transactions_RAW_cleaned[[#This Row],[Status]]="Refunded", "Refund",
  IF(Transactions_RAW_cleaned[[#This Row],[Category]]="Payments", IF(Transactions_RAW_cleaned[[#This Row],[Amount]]&gt;500,"High Value","Standard"),
    IF(Transactions_RAW_cleaned[[#This Row],[Amount]]&gt;250,"High Value","Standard")))</f>
        <v>High Value</v>
      </c>
      <c r="Q534" s="5" t="str">
        <f>IF(Transactions_RAW_cleaned[[#This Row],[Amount]] &gt; (_xlfn.XLOOKUP(Transactions_RAW_cleaned[[#This Row],[ServiceID]],Services_cleaned[ServiceID],Services_cleaned[TransactionFeePct]) * 10000), "Yes", "No")</f>
        <v>Yes</v>
      </c>
      <c r="R534" s="5" t="str">
        <f>IF(COUNTIFS($C$2:Transactions_RAW_cleaned[[#This Row],[CustomerID]],Transactions_RAW_cleaned[[#This Row],[CustomerID]],$D$2:Transactions_RAW_cleaned[[#This Row],[ServiceID]],Transactions_RAW_cleaned[[#This Row],[ServiceID]])=1,"Yes","No")</f>
        <v>Yes</v>
      </c>
      <c r="S53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34" t="str">
        <f>"Q"&amp;ROUNDUP(MONTH(Transactions_RAW_cleaned[[#This Row],[TransactionDate]])/3,0)</f>
        <v>Q1</v>
      </c>
      <c r="U534" t="str">
        <f>Transactions_RAW_cleaned[[#This Row],[Region ]]&amp;Transactions_RAW_cleaned[[#This Row],[Quarter ]]</f>
        <v>APACQ1</v>
      </c>
      <c r="V534" s="5">
        <f>_xlfn.XLOOKUP(Transactions_RAW_cleaned[[#This Row],[RegionQuarterKey]], Quarterly_Targets_cleaned[RegionQuarterKey], Quarterly_Targets_cleaned[TargetRevenue])</f>
        <v>104500</v>
      </c>
    </row>
    <row r="535" spans="1:22" x14ac:dyDescent="0.25">
      <c r="A535" t="s">
        <v>869</v>
      </c>
      <c r="B535" s="1">
        <v>45595</v>
      </c>
      <c r="C535" t="s">
        <v>253</v>
      </c>
      <c r="D535" t="s">
        <v>297</v>
      </c>
      <c r="E535">
        <v>464.69</v>
      </c>
      <c r="F535" t="s">
        <v>324</v>
      </c>
      <c r="G535" t="s">
        <v>327</v>
      </c>
      <c r="I535" t="s">
        <v>8</v>
      </c>
      <c r="J535" t="s">
        <v>102</v>
      </c>
      <c r="K535" t="s">
        <v>28</v>
      </c>
      <c r="L535" t="s">
        <v>298</v>
      </c>
      <c r="M535" t="s">
        <v>299</v>
      </c>
      <c r="N535">
        <v>0</v>
      </c>
      <c r="O535" t="str">
        <f>IF(Transactions_RAW_cleaned[[#This Row],[Status]]="Completed", IFERROR(_xlfn.XLOOKUP(Transactions_RAW_cleaned[[#This Row],[CustomerID]], Customers_cleaned[CustomerID], Customers_cleaned[Segment]), "Customer Not Found"), "N/A")</f>
        <v>SMB</v>
      </c>
      <c r="P535" s="5" t="str">
        <f>IF(Transactions_RAW_cleaned[[#This Row],[Status]]="Refunded", "Refund",
  IF(Transactions_RAW_cleaned[[#This Row],[Category]]="Payments", IF(Transactions_RAW_cleaned[[#This Row],[Amount]]&gt;500,"High Value","Standard"),
    IF(Transactions_RAW_cleaned[[#This Row],[Amount]]&gt;250,"High Value","Standard")))</f>
        <v>High Value</v>
      </c>
      <c r="Q535" s="5" t="str">
        <f>IF(Transactions_RAW_cleaned[[#This Row],[Amount]] &gt; (_xlfn.XLOOKUP(Transactions_RAW_cleaned[[#This Row],[ServiceID]],Services_cleaned[ServiceID],Services_cleaned[TransactionFeePct]) * 10000), "Yes", "No")</f>
        <v>Yes</v>
      </c>
      <c r="R535" s="5" t="str">
        <f>IF(COUNTIFS($C$2:Transactions_RAW_cleaned[[#This Row],[CustomerID]],Transactions_RAW_cleaned[[#This Row],[CustomerID]],$D$2:Transactions_RAW_cleaned[[#This Row],[ServiceID]],Transactions_RAW_cleaned[[#This Row],[ServiceID]])=1,"Yes","No")</f>
        <v>No</v>
      </c>
      <c r="S53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35" t="str">
        <f>"Q"&amp;ROUNDUP(MONTH(Transactions_RAW_cleaned[[#This Row],[TransactionDate]])/3,0)</f>
        <v>Q4</v>
      </c>
      <c r="U535" t="str">
        <f>Transactions_RAW_cleaned[[#This Row],[Region ]]&amp;Transactions_RAW_cleaned[[#This Row],[Quarter ]]</f>
        <v>NAQ4</v>
      </c>
      <c r="V535" s="5">
        <f>_xlfn.XLOOKUP(Transactions_RAW_cleaned[[#This Row],[RegionQuarterKey]], Quarterly_Targets_cleaned[RegionQuarterKey], Quarterly_Targets_cleaned[TargetRevenue])</f>
        <v>299000</v>
      </c>
    </row>
    <row r="536" spans="1:22" x14ac:dyDescent="0.25">
      <c r="A536" t="s">
        <v>870</v>
      </c>
      <c r="B536" s="1">
        <v>45639</v>
      </c>
      <c r="C536" t="s">
        <v>159</v>
      </c>
      <c r="D536" t="s">
        <v>306</v>
      </c>
      <c r="E536">
        <v>599.41</v>
      </c>
      <c r="F536" t="s">
        <v>324</v>
      </c>
      <c r="G536" t="s">
        <v>327</v>
      </c>
      <c r="I536" t="s">
        <v>57</v>
      </c>
      <c r="J536" t="s">
        <v>25</v>
      </c>
      <c r="K536" t="s">
        <v>22</v>
      </c>
      <c r="L536" t="s">
        <v>307</v>
      </c>
      <c r="M536" t="s">
        <v>308</v>
      </c>
      <c r="N536">
        <v>0</v>
      </c>
      <c r="O536" t="str">
        <f>IF(Transactions_RAW_cleaned[[#This Row],[Status]]="Completed", IFERROR(_xlfn.XLOOKUP(Transactions_RAW_cleaned[[#This Row],[CustomerID]], Customers_cleaned[CustomerID], Customers_cleaned[Segment]), "Customer Not Found"), "N/A")</f>
        <v>Startup</v>
      </c>
      <c r="P536" s="5" t="str">
        <f>IF(Transactions_RAW_cleaned[[#This Row],[Status]]="Refunded", "Refund",
  IF(Transactions_RAW_cleaned[[#This Row],[Category]]="Payments", IF(Transactions_RAW_cleaned[[#This Row],[Amount]]&gt;500,"High Value","Standard"),
    IF(Transactions_RAW_cleaned[[#This Row],[Amount]]&gt;250,"High Value","Standard")))</f>
        <v>High Value</v>
      </c>
      <c r="Q536" s="5" t="str">
        <f>IF(Transactions_RAW_cleaned[[#This Row],[Amount]] &gt; (_xlfn.XLOOKUP(Transactions_RAW_cleaned[[#This Row],[ServiceID]],Services_cleaned[ServiceID],Services_cleaned[TransactionFeePct]) * 10000), "Yes", "No")</f>
        <v>Yes</v>
      </c>
      <c r="R536" s="5" t="str">
        <f>IF(COUNTIFS($C$2:Transactions_RAW_cleaned[[#This Row],[CustomerID]],Transactions_RAW_cleaned[[#This Row],[CustomerID]],$D$2:Transactions_RAW_cleaned[[#This Row],[ServiceID]],Transactions_RAW_cleaned[[#This Row],[ServiceID]])=1,"Yes","No")</f>
        <v>No</v>
      </c>
      <c r="S53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36" t="str">
        <f>"Q"&amp;ROUNDUP(MONTH(Transactions_RAW_cleaned[[#This Row],[TransactionDate]])/3,0)</f>
        <v>Q4</v>
      </c>
      <c r="U536" t="str">
        <f>Transactions_RAW_cleaned[[#This Row],[Region ]]&amp;Transactions_RAW_cleaned[[#This Row],[Quarter ]]</f>
        <v>APACQ4</v>
      </c>
      <c r="V536" s="5">
        <f>_xlfn.XLOOKUP(Transactions_RAW_cleaned[[#This Row],[RegionQuarterKey]], Quarterly_Targets_cleaned[RegionQuarterKey], Quarterly_Targets_cleaned[TargetRevenue])</f>
        <v>126500</v>
      </c>
    </row>
    <row r="537" spans="1:22" x14ac:dyDescent="0.25">
      <c r="A537" t="s">
        <v>871</v>
      </c>
      <c r="B537" s="1">
        <v>45567</v>
      </c>
      <c r="C537" t="s">
        <v>78</v>
      </c>
      <c r="D537" t="s">
        <v>294</v>
      </c>
      <c r="E537">
        <v>342.85</v>
      </c>
      <c r="F537" t="s">
        <v>324</v>
      </c>
      <c r="G537" t="s">
        <v>329</v>
      </c>
      <c r="H537" t="s">
        <v>334</v>
      </c>
      <c r="I537" t="s">
        <v>17</v>
      </c>
      <c r="J537" t="s">
        <v>21</v>
      </c>
      <c r="K537" t="s">
        <v>22</v>
      </c>
      <c r="L537" t="s">
        <v>295</v>
      </c>
      <c r="M537" t="s">
        <v>296</v>
      </c>
      <c r="N537">
        <v>2.9000000000000001E-2</v>
      </c>
      <c r="O537" t="str">
        <f>IF(Transactions_RAW_cleaned[[#This Row],[Status]]="Completed", IFERROR(_xlfn.XLOOKUP(Transactions_RAW_cleaned[[#This Row],[CustomerID]], Customers_cleaned[CustomerID], Customers_cleaned[Segment]), "Customer Not Found"), "N/A")</f>
        <v>Enterprise</v>
      </c>
      <c r="P537" s="5" t="str">
        <f>IF(Transactions_RAW_cleaned[[#This Row],[Status]]="Refunded", "Refund",
  IF(Transactions_RAW_cleaned[[#This Row],[Category]]="Payments", IF(Transactions_RAW_cleaned[[#This Row],[Amount]]&gt;500,"High Value","Standard"),
    IF(Transactions_RAW_cleaned[[#This Row],[Amount]]&gt;250,"High Value","Standard")))</f>
        <v>Standard</v>
      </c>
      <c r="Q537" s="5" t="str">
        <f>IF(Transactions_RAW_cleaned[[#This Row],[Amount]] &gt; (_xlfn.XLOOKUP(Transactions_RAW_cleaned[[#This Row],[ServiceID]],Services_cleaned[ServiceID],Services_cleaned[TransactionFeePct]) * 10000), "Yes", "No")</f>
        <v>Yes</v>
      </c>
      <c r="R537" s="5" t="str">
        <f>IF(COUNTIFS($C$2:Transactions_RAW_cleaned[[#This Row],[CustomerID]],Transactions_RAW_cleaned[[#This Row],[CustomerID]],$D$2:Transactions_RAW_cleaned[[#This Row],[ServiceID]],Transactions_RAW_cleaned[[#This Row],[ServiceID]])=1,"Yes","No")</f>
        <v>No</v>
      </c>
      <c r="S53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37" t="str">
        <f>"Q"&amp;ROUNDUP(MONTH(Transactions_RAW_cleaned[[#This Row],[TransactionDate]])/3,0)</f>
        <v>Q4</v>
      </c>
      <c r="U537" t="str">
        <f>Transactions_RAW_cleaned[[#This Row],[Region ]]&amp;Transactions_RAW_cleaned[[#This Row],[Quarter ]]</f>
        <v>APACQ4</v>
      </c>
      <c r="V537" s="5">
        <f>_xlfn.XLOOKUP(Transactions_RAW_cleaned[[#This Row],[RegionQuarterKey]], Quarterly_Targets_cleaned[RegionQuarterKey], Quarterly_Targets_cleaned[TargetRevenue])</f>
        <v>126500</v>
      </c>
    </row>
    <row r="538" spans="1:22" x14ac:dyDescent="0.25">
      <c r="A538" t="s">
        <v>872</v>
      </c>
      <c r="B538" s="1">
        <v>45529</v>
      </c>
      <c r="C538" t="s">
        <v>179</v>
      </c>
      <c r="D538" t="s">
        <v>303</v>
      </c>
      <c r="E538">
        <v>1152.1500000000001</v>
      </c>
      <c r="F538" t="s">
        <v>324</v>
      </c>
      <c r="G538" t="s">
        <v>329</v>
      </c>
      <c r="I538" t="s">
        <v>8</v>
      </c>
      <c r="J538" t="s">
        <v>31</v>
      </c>
      <c r="K538" t="s">
        <v>18</v>
      </c>
      <c r="L538" t="s">
        <v>304</v>
      </c>
      <c r="M538" t="s">
        <v>305</v>
      </c>
      <c r="N538">
        <v>1E-3</v>
      </c>
      <c r="O538" t="str">
        <f>IF(Transactions_RAW_cleaned[[#This Row],[Status]]="Completed", IFERROR(_xlfn.XLOOKUP(Transactions_RAW_cleaned[[#This Row],[CustomerID]], Customers_cleaned[CustomerID], Customers_cleaned[Segment]), "Customer Not Found"), "N/A")</f>
        <v>SMB</v>
      </c>
      <c r="P538" s="5" t="str">
        <f>IF(Transactions_RAW_cleaned[[#This Row],[Status]]="Refunded", "Refund",
  IF(Transactions_RAW_cleaned[[#This Row],[Category]]="Payments", IF(Transactions_RAW_cleaned[[#This Row],[Amount]]&gt;500,"High Value","Standard"),
    IF(Transactions_RAW_cleaned[[#This Row],[Amount]]&gt;250,"High Value","Standard")))</f>
        <v>High Value</v>
      </c>
      <c r="Q538" s="5" t="str">
        <f>IF(Transactions_RAW_cleaned[[#This Row],[Amount]] &gt; (_xlfn.XLOOKUP(Transactions_RAW_cleaned[[#This Row],[ServiceID]],Services_cleaned[ServiceID],Services_cleaned[TransactionFeePct]) * 10000), "Yes", "No")</f>
        <v>Yes</v>
      </c>
      <c r="R538" s="5" t="str">
        <f>IF(COUNTIFS($C$2:Transactions_RAW_cleaned[[#This Row],[CustomerID]],Transactions_RAW_cleaned[[#This Row],[CustomerID]],$D$2:Transactions_RAW_cleaned[[#This Row],[ServiceID]],Transactions_RAW_cleaned[[#This Row],[ServiceID]])=1,"Yes","No")</f>
        <v>No</v>
      </c>
      <c r="S53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538" t="str">
        <f>"Q"&amp;ROUNDUP(MONTH(Transactions_RAW_cleaned[[#This Row],[TransactionDate]])/3,0)</f>
        <v>Q3</v>
      </c>
      <c r="U538" t="str">
        <f>Transactions_RAW_cleaned[[#This Row],[Region ]]&amp;Transactions_RAW_cleaned[[#This Row],[Quarter ]]</f>
        <v>EMEAQ3</v>
      </c>
      <c r="V538" s="5">
        <f>_xlfn.XLOOKUP(Transactions_RAW_cleaned[[#This Row],[RegionQuarterKey]], Quarterly_Targets_cleaned[RegionQuarterKey], Quarterly_Targets_cleaned[TargetRevenue])</f>
        <v>147000</v>
      </c>
    </row>
    <row r="539" spans="1:22" x14ac:dyDescent="0.25">
      <c r="A539" t="s">
        <v>873</v>
      </c>
      <c r="B539" s="1">
        <v>45368</v>
      </c>
      <c r="C539" t="s">
        <v>271</v>
      </c>
      <c r="D539" t="s">
        <v>297</v>
      </c>
      <c r="E539">
        <v>709.69</v>
      </c>
      <c r="F539" t="s">
        <v>381</v>
      </c>
      <c r="G539" t="s">
        <v>327</v>
      </c>
      <c r="H539" t="s">
        <v>346</v>
      </c>
      <c r="I539" t="s">
        <v>8</v>
      </c>
      <c r="J539" t="s">
        <v>102</v>
      </c>
      <c r="K539" t="s">
        <v>28</v>
      </c>
      <c r="L539" t="s">
        <v>298</v>
      </c>
      <c r="M539" t="s">
        <v>299</v>
      </c>
      <c r="N539">
        <v>0</v>
      </c>
      <c r="O539" t="str">
        <f>IF(Transactions_RAW_cleaned[[#This Row],[Status]]="Completed", IFERROR(_xlfn.XLOOKUP(Transactions_RAW_cleaned[[#This Row],[CustomerID]], Customers_cleaned[CustomerID], Customers_cleaned[Segment]), "Customer Not Found"), "N/A")</f>
        <v>N/A</v>
      </c>
      <c r="P539" s="5" t="str">
        <f>IF(Transactions_RAW_cleaned[[#This Row],[Status]]="Refunded", "Refund",
  IF(Transactions_RAW_cleaned[[#This Row],[Category]]="Payments", IF(Transactions_RAW_cleaned[[#This Row],[Amount]]&gt;500,"High Value","Standard"),
    IF(Transactions_RAW_cleaned[[#This Row],[Amount]]&gt;250,"High Value","Standard")))</f>
        <v>High Value</v>
      </c>
      <c r="Q539" s="5" t="str">
        <f>IF(Transactions_RAW_cleaned[[#This Row],[Amount]] &gt; (_xlfn.XLOOKUP(Transactions_RAW_cleaned[[#This Row],[ServiceID]],Services_cleaned[ServiceID],Services_cleaned[TransactionFeePct]) * 10000), "Yes", "No")</f>
        <v>Yes</v>
      </c>
      <c r="R539" s="5" t="str">
        <f>IF(COUNTIFS($C$2:Transactions_RAW_cleaned[[#This Row],[CustomerID]],Transactions_RAW_cleaned[[#This Row],[CustomerID]],$D$2:Transactions_RAW_cleaned[[#This Row],[ServiceID]],Transactions_RAW_cleaned[[#This Row],[ServiceID]])=1,"Yes","No")</f>
        <v>No</v>
      </c>
      <c r="S53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39" t="str">
        <f>"Q"&amp;ROUNDUP(MONTH(Transactions_RAW_cleaned[[#This Row],[TransactionDate]])/3,0)</f>
        <v>Q1</v>
      </c>
      <c r="U539" t="str">
        <f>Transactions_RAW_cleaned[[#This Row],[Region ]]&amp;Transactions_RAW_cleaned[[#This Row],[Quarter ]]</f>
        <v>NAQ1</v>
      </c>
      <c r="V539" s="5">
        <f>_xlfn.XLOOKUP(Transactions_RAW_cleaned[[#This Row],[RegionQuarterKey]], Quarterly_Targets_cleaned[RegionQuarterKey], Quarterly_Targets_cleaned[TargetRevenue])</f>
        <v>247000</v>
      </c>
    </row>
    <row r="540" spans="1:22" x14ac:dyDescent="0.25">
      <c r="A540" t="s">
        <v>874</v>
      </c>
      <c r="B540" s="1">
        <v>45502</v>
      </c>
      <c r="C540" t="s">
        <v>15</v>
      </c>
      <c r="D540" t="s">
        <v>294</v>
      </c>
      <c r="E540">
        <v>285.2</v>
      </c>
      <c r="F540" t="s">
        <v>324</v>
      </c>
      <c r="G540" t="s">
        <v>325</v>
      </c>
      <c r="H540" t="s">
        <v>346</v>
      </c>
      <c r="I540" t="s">
        <v>17</v>
      </c>
      <c r="J540" t="s">
        <v>102</v>
      </c>
      <c r="K540" t="s">
        <v>18</v>
      </c>
      <c r="L540" t="s">
        <v>295</v>
      </c>
      <c r="M540" t="s">
        <v>296</v>
      </c>
      <c r="N540">
        <v>2.9000000000000001E-2</v>
      </c>
      <c r="O540" t="str">
        <f>IF(Transactions_RAW_cleaned[[#This Row],[Status]]="Completed", IFERROR(_xlfn.XLOOKUP(Transactions_RAW_cleaned[[#This Row],[CustomerID]], Customers_cleaned[CustomerID], Customers_cleaned[Segment]), "Customer Not Found"), "N/A")</f>
        <v>Enterprise</v>
      </c>
      <c r="P540" s="5" t="str">
        <f>IF(Transactions_RAW_cleaned[[#This Row],[Status]]="Refunded", "Refund",
  IF(Transactions_RAW_cleaned[[#This Row],[Category]]="Payments", IF(Transactions_RAW_cleaned[[#This Row],[Amount]]&gt;500,"High Value","Standard"),
    IF(Transactions_RAW_cleaned[[#This Row],[Amount]]&gt;250,"High Value","Standard")))</f>
        <v>Standard</v>
      </c>
      <c r="Q540" s="5" t="str">
        <f>IF(Transactions_RAW_cleaned[[#This Row],[Amount]] &gt; (_xlfn.XLOOKUP(Transactions_RAW_cleaned[[#This Row],[ServiceID]],Services_cleaned[ServiceID],Services_cleaned[TransactionFeePct]) * 10000), "Yes", "No")</f>
        <v>No</v>
      </c>
      <c r="R540" s="5" t="str">
        <f>IF(COUNTIFS($C$2:Transactions_RAW_cleaned[[#This Row],[CustomerID]],Transactions_RAW_cleaned[[#This Row],[CustomerID]],$D$2:Transactions_RAW_cleaned[[#This Row],[ServiceID]],Transactions_RAW_cleaned[[#This Row],[ServiceID]])=1,"Yes","No")</f>
        <v>No</v>
      </c>
      <c r="S54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40" t="str">
        <f>"Q"&amp;ROUNDUP(MONTH(Transactions_RAW_cleaned[[#This Row],[TransactionDate]])/3,0)</f>
        <v>Q3</v>
      </c>
      <c r="U540" t="str">
        <f>Transactions_RAW_cleaned[[#This Row],[Region ]]&amp;Transactions_RAW_cleaned[[#This Row],[Quarter ]]</f>
        <v>NAQ3</v>
      </c>
      <c r="V540" s="5">
        <f>_xlfn.XLOOKUP(Transactions_RAW_cleaned[[#This Row],[RegionQuarterKey]], Quarterly_Targets_cleaned[RegionQuarterKey], Quarterly_Targets_cleaned[TargetRevenue])</f>
        <v>273000</v>
      </c>
    </row>
    <row r="541" spans="1:22" x14ac:dyDescent="0.25">
      <c r="A541" t="s">
        <v>875</v>
      </c>
      <c r="B541" s="1">
        <v>45582</v>
      </c>
      <c r="C541" t="s">
        <v>396</v>
      </c>
      <c r="D541" t="s">
        <v>300</v>
      </c>
      <c r="E541">
        <v>-315.32</v>
      </c>
      <c r="F541" t="s">
        <v>349</v>
      </c>
      <c r="G541" t="s">
        <v>327</v>
      </c>
      <c r="H541" t="s">
        <v>334</v>
      </c>
      <c r="I541" t="s">
        <v>57</v>
      </c>
      <c r="J541" t="s">
        <v>21</v>
      </c>
      <c r="K541" t="s">
        <v>2964</v>
      </c>
      <c r="L541" t="s">
        <v>301</v>
      </c>
      <c r="M541" t="s">
        <v>302</v>
      </c>
      <c r="N541">
        <v>5.0000000000000001E-3</v>
      </c>
      <c r="O541" t="str">
        <f>IF(Transactions_RAW_cleaned[[#This Row],[Status]]="Completed", IFERROR(_xlfn.XLOOKUP(Transactions_RAW_cleaned[[#This Row],[CustomerID]], Customers_cleaned[CustomerID], Customers_cleaned[Segment]), "Customer Not Found"), "N/A")</f>
        <v>N/A</v>
      </c>
      <c r="P541" s="5" t="str">
        <f>IF(Transactions_RAW_cleaned[[#This Row],[Status]]="Refunded", "Refund",
  IF(Transactions_RAW_cleaned[[#This Row],[Category]]="Payments", IF(Transactions_RAW_cleaned[[#This Row],[Amount]]&gt;500,"High Value","Standard"),
    IF(Transactions_RAW_cleaned[[#This Row],[Amount]]&gt;250,"High Value","Standard")))</f>
        <v>Refund</v>
      </c>
      <c r="Q541" s="5" t="str">
        <f>IF(Transactions_RAW_cleaned[[#This Row],[Amount]] &gt; (_xlfn.XLOOKUP(Transactions_RAW_cleaned[[#This Row],[ServiceID]],Services_cleaned[ServiceID],Services_cleaned[TransactionFeePct]) * 10000), "Yes", "No")</f>
        <v>No</v>
      </c>
      <c r="R541" s="5" t="str">
        <f>IF(COUNTIFS($C$2:Transactions_RAW_cleaned[[#This Row],[CustomerID]],Transactions_RAW_cleaned[[#This Row],[CustomerID]],$D$2:Transactions_RAW_cleaned[[#This Row],[ServiceID]],Transactions_RAW_cleaned[[#This Row],[ServiceID]])=1,"Yes","No")</f>
        <v>Yes</v>
      </c>
      <c r="S54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41" t="str">
        <f>"Q"&amp;ROUNDUP(MONTH(Transactions_RAW_cleaned[[#This Row],[TransactionDate]])/3,0)</f>
        <v>Q4</v>
      </c>
      <c r="U541" t="str">
        <f>Transactions_RAW_cleaned[[#This Row],[Region ]]&amp;Transactions_RAW_cleaned[[#This Row],[Quarter ]]</f>
        <v>APACQ4</v>
      </c>
      <c r="V541" s="5">
        <f>_xlfn.XLOOKUP(Transactions_RAW_cleaned[[#This Row],[RegionQuarterKey]], Quarterly_Targets_cleaned[RegionQuarterKey], Quarterly_Targets_cleaned[TargetRevenue])</f>
        <v>126500</v>
      </c>
    </row>
    <row r="542" spans="1:22" x14ac:dyDescent="0.25">
      <c r="A542" t="s">
        <v>876</v>
      </c>
      <c r="B542" s="1">
        <v>45533</v>
      </c>
      <c r="C542" t="s">
        <v>265</v>
      </c>
      <c r="D542" t="s">
        <v>297</v>
      </c>
      <c r="E542">
        <v>700.96</v>
      </c>
      <c r="F542" t="s">
        <v>324</v>
      </c>
      <c r="G542" t="s">
        <v>329</v>
      </c>
      <c r="H542" t="s">
        <v>332</v>
      </c>
      <c r="I542" t="s">
        <v>8</v>
      </c>
      <c r="J542" t="s">
        <v>102</v>
      </c>
      <c r="K542" t="s">
        <v>32</v>
      </c>
      <c r="L542" t="s">
        <v>298</v>
      </c>
      <c r="M542" t="s">
        <v>299</v>
      </c>
      <c r="N542">
        <v>0</v>
      </c>
      <c r="O542" t="str">
        <f>IF(Transactions_RAW_cleaned[[#This Row],[Status]]="Completed", IFERROR(_xlfn.XLOOKUP(Transactions_RAW_cleaned[[#This Row],[CustomerID]], Customers_cleaned[CustomerID], Customers_cleaned[Segment]), "Customer Not Found"), "N/A")</f>
        <v>SMB</v>
      </c>
      <c r="P542" s="5" t="str">
        <f>IF(Transactions_RAW_cleaned[[#This Row],[Status]]="Refunded", "Refund",
  IF(Transactions_RAW_cleaned[[#This Row],[Category]]="Payments", IF(Transactions_RAW_cleaned[[#This Row],[Amount]]&gt;500,"High Value","Standard"),
    IF(Transactions_RAW_cleaned[[#This Row],[Amount]]&gt;250,"High Value","Standard")))</f>
        <v>High Value</v>
      </c>
      <c r="Q542" s="5" t="str">
        <f>IF(Transactions_RAW_cleaned[[#This Row],[Amount]] &gt; (_xlfn.XLOOKUP(Transactions_RAW_cleaned[[#This Row],[ServiceID]],Services_cleaned[ServiceID],Services_cleaned[TransactionFeePct]) * 10000), "Yes", "No")</f>
        <v>Yes</v>
      </c>
      <c r="R542" s="5" t="str">
        <f>IF(COUNTIFS($C$2:Transactions_RAW_cleaned[[#This Row],[CustomerID]],Transactions_RAW_cleaned[[#This Row],[CustomerID]],$D$2:Transactions_RAW_cleaned[[#This Row],[ServiceID]],Transactions_RAW_cleaned[[#This Row],[ServiceID]])=1,"Yes","No")</f>
        <v>Yes</v>
      </c>
      <c r="S54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42" t="str">
        <f>"Q"&amp;ROUNDUP(MONTH(Transactions_RAW_cleaned[[#This Row],[TransactionDate]])/3,0)</f>
        <v>Q3</v>
      </c>
      <c r="U542" t="str">
        <f>Transactions_RAW_cleaned[[#This Row],[Region ]]&amp;Transactions_RAW_cleaned[[#This Row],[Quarter ]]</f>
        <v>NAQ3</v>
      </c>
      <c r="V542" s="5">
        <f>_xlfn.XLOOKUP(Transactions_RAW_cleaned[[#This Row],[RegionQuarterKey]], Quarterly_Targets_cleaned[RegionQuarterKey], Quarterly_Targets_cleaned[TargetRevenue])</f>
        <v>273000</v>
      </c>
    </row>
    <row r="543" spans="1:22" x14ac:dyDescent="0.25">
      <c r="A543" t="s">
        <v>877</v>
      </c>
      <c r="B543" s="1">
        <v>45516</v>
      </c>
      <c r="C543" t="s">
        <v>267</v>
      </c>
      <c r="D543" t="s">
        <v>297</v>
      </c>
      <c r="E543">
        <v>456.93</v>
      </c>
      <c r="F543" t="s">
        <v>331</v>
      </c>
      <c r="G543" t="s">
        <v>2963</v>
      </c>
      <c r="I543" t="s">
        <v>8</v>
      </c>
      <c r="J543" t="s">
        <v>102</v>
      </c>
      <c r="K543" t="s">
        <v>22</v>
      </c>
      <c r="L543" t="s">
        <v>298</v>
      </c>
      <c r="M543" t="s">
        <v>299</v>
      </c>
      <c r="N543">
        <v>0</v>
      </c>
      <c r="O543" t="str">
        <f>IF(Transactions_RAW_cleaned[[#This Row],[Status]]="Completed", IFERROR(_xlfn.XLOOKUP(Transactions_RAW_cleaned[[#This Row],[CustomerID]], Customers_cleaned[CustomerID], Customers_cleaned[Segment]), "Customer Not Found"), "N/A")</f>
        <v>N/A</v>
      </c>
      <c r="P543" s="5" t="str">
        <f>IF(Transactions_RAW_cleaned[[#This Row],[Status]]="Refunded", "Refund",
  IF(Transactions_RAW_cleaned[[#This Row],[Category]]="Payments", IF(Transactions_RAW_cleaned[[#This Row],[Amount]]&gt;500,"High Value","Standard"),
    IF(Transactions_RAW_cleaned[[#This Row],[Amount]]&gt;250,"High Value","Standard")))</f>
        <v>High Value</v>
      </c>
      <c r="Q543" s="5" t="str">
        <f>IF(Transactions_RAW_cleaned[[#This Row],[Amount]] &gt; (_xlfn.XLOOKUP(Transactions_RAW_cleaned[[#This Row],[ServiceID]],Services_cleaned[ServiceID],Services_cleaned[TransactionFeePct]) * 10000), "Yes", "No")</f>
        <v>Yes</v>
      </c>
      <c r="R543" s="5" t="str">
        <f>IF(COUNTIFS($C$2:Transactions_RAW_cleaned[[#This Row],[CustomerID]],Transactions_RAW_cleaned[[#This Row],[CustomerID]],$D$2:Transactions_RAW_cleaned[[#This Row],[ServiceID]],Transactions_RAW_cleaned[[#This Row],[ServiceID]])=1,"Yes","No")</f>
        <v>Yes</v>
      </c>
      <c r="S54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43" t="str">
        <f>"Q"&amp;ROUNDUP(MONTH(Transactions_RAW_cleaned[[#This Row],[TransactionDate]])/3,0)</f>
        <v>Q3</v>
      </c>
      <c r="U543" t="str">
        <f>Transactions_RAW_cleaned[[#This Row],[Region ]]&amp;Transactions_RAW_cleaned[[#This Row],[Quarter ]]</f>
        <v>NAQ3</v>
      </c>
      <c r="V543" s="5">
        <f>_xlfn.XLOOKUP(Transactions_RAW_cleaned[[#This Row],[RegionQuarterKey]], Quarterly_Targets_cleaned[RegionQuarterKey], Quarterly_Targets_cleaned[TargetRevenue])</f>
        <v>273000</v>
      </c>
    </row>
    <row r="544" spans="1:22" x14ac:dyDescent="0.25">
      <c r="A544" t="s">
        <v>878</v>
      </c>
      <c r="B544" s="1">
        <v>45499</v>
      </c>
      <c r="C544" t="s">
        <v>231</v>
      </c>
      <c r="D544" t="s">
        <v>294</v>
      </c>
      <c r="E544">
        <v>462.3</v>
      </c>
      <c r="F544" t="s">
        <v>324</v>
      </c>
      <c r="G544" t="s">
        <v>337</v>
      </c>
      <c r="H544" t="s">
        <v>332</v>
      </c>
      <c r="I544" t="s">
        <v>17</v>
      </c>
      <c r="J544" t="s">
        <v>102</v>
      </c>
      <c r="K544" t="s">
        <v>22</v>
      </c>
      <c r="L544" t="s">
        <v>295</v>
      </c>
      <c r="M544" t="s">
        <v>296</v>
      </c>
      <c r="N544">
        <v>2.9000000000000001E-2</v>
      </c>
      <c r="O544" t="str">
        <f>IF(Transactions_RAW_cleaned[[#This Row],[Status]]="Completed", IFERROR(_xlfn.XLOOKUP(Transactions_RAW_cleaned[[#This Row],[CustomerID]], Customers_cleaned[CustomerID], Customers_cleaned[Segment]), "Customer Not Found"), "N/A")</f>
        <v>Enterprise</v>
      </c>
      <c r="P544" s="5" t="str">
        <f>IF(Transactions_RAW_cleaned[[#This Row],[Status]]="Refunded", "Refund",
  IF(Transactions_RAW_cleaned[[#This Row],[Category]]="Payments", IF(Transactions_RAW_cleaned[[#This Row],[Amount]]&gt;500,"High Value","Standard"),
    IF(Transactions_RAW_cleaned[[#This Row],[Amount]]&gt;250,"High Value","Standard")))</f>
        <v>Standard</v>
      </c>
      <c r="Q544" s="5" t="str">
        <f>IF(Transactions_RAW_cleaned[[#This Row],[Amount]] &gt; (_xlfn.XLOOKUP(Transactions_RAW_cleaned[[#This Row],[ServiceID]],Services_cleaned[ServiceID],Services_cleaned[TransactionFeePct]) * 10000), "Yes", "No")</f>
        <v>Yes</v>
      </c>
      <c r="R544" s="5" t="str">
        <f>IF(COUNTIFS($C$2:Transactions_RAW_cleaned[[#This Row],[CustomerID]],Transactions_RAW_cleaned[[#This Row],[CustomerID]],$D$2:Transactions_RAW_cleaned[[#This Row],[ServiceID]],Transactions_RAW_cleaned[[#This Row],[ServiceID]])=1,"Yes","No")</f>
        <v>No</v>
      </c>
      <c r="S54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44" t="str">
        <f>"Q"&amp;ROUNDUP(MONTH(Transactions_RAW_cleaned[[#This Row],[TransactionDate]])/3,0)</f>
        <v>Q3</v>
      </c>
      <c r="U544" t="str">
        <f>Transactions_RAW_cleaned[[#This Row],[Region ]]&amp;Transactions_RAW_cleaned[[#This Row],[Quarter ]]</f>
        <v>NAQ3</v>
      </c>
      <c r="V544" s="5">
        <f>_xlfn.XLOOKUP(Transactions_RAW_cleaned[[#This Row],[RegionQuarterKey]], Quarterly_Targets_cleaned[RegionQuarterKey], Quarterly_Targets_cleaned[TargetRevenue])</f>
        <v>273000</v>
      </c>
    </row>
    <row r="545" spans="1:22" x14ac:dyDescent="0.25">
      <c r="A545" t="s">
        <v>879</v>
      </c>
      <c r="B545" s="1">
        <v>45513</v>
      </c>
      <c r="C545" t="s">
        <v>277</v>
      </c>
      <c r="D545" t="s">
        <v>303</v>
      </c>
      <c r="E545">
        <v>265.2</v>
      </c>
      <c r="F545" t="s">
        <v>324</v>
      </c>
      <c r="G545" t="s">
        <v>337</v>
      </c>
      <c r="I545" t="s">
        <v>8</v>
      </c>
      <c r="J545" t="s">
        <v>31</v>
      </c>
      <c r="K545" t="s">
        <v>22</v>
      </c>
      <c r="L545" t="s">
        <v>304</v>
      </c>
      <c r="M545" t="s">
        <v>305</v>
      </c>
      <c r="N545">
        <v>1E-3</v>
      </c>
      <c r="O545" t="str">
        <f>IF(Transactions_RAW_cleaned[[#This Row],[Status]]="Completed", IFERROR(_xlfn.XLOOKUP(Transactions_RAW_cleaned[[#This Row],[CustomerID]], Customers_cleaned[CustomerID], Customers_cleaned[Segment]), "Customer Not Found"), "N/A")</f>
        <v>SMB</v>
      </c>
      <c r="P545" s="5" t="str">
        <f>IF(Transactions_RAW_cleaned[[#This Row],[Status]]="Refunded", "Refund",
  IF(Transactions_RAW_cleaned[[#This Row],[Category]]="Payments", IF(Transactions_RAW_cleaned[[#This Row],[Amount]]&gt;500,"High Value","Standard"),
    IF(Transactions_RAW_cleaned[[#This Row],[Amount]]&gt;250,"High Value","Standard")))</f>
        <v>High Value</v>
      </c>
      <c r="Q545" s="5" t="str">
        <f>IF(Transactions_RAW_cleaned[[#This Row],[Amount]] &gt; (_xlfn.XLOOKUP(Transactions_RAW_cleaned[[#This Row],[ServiceID]],Services_cleaned[ServiceID],Services_cleaned[TransactionFeePct]) * 10000), "Yes", "No")</f>
        <v>Yes</v>
      </c>
      <c r="R545" s="5" t="str">
        <f>IF(COUNTIFS($C$2:Transactions_RAW_cleaned[[#This Row],[CustomerID]],Transactions_RAW_cleaned[[#This Row],[CustomerID]],$D$2:Transactions_RAW_cleaned[[#This Row],[ServiceID]],Transactions_RAW_cleaned[[#This Row],[ServiceID]])=1,"Yes","No")</f>
        <v>Yes</v>
      </c>
      <c r="S54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545" t="str">
        <f>"Q"&amp;ROUNDUP(MONTH(Transactions_RAW_cleaned[[#This Row],[TransactionDate]])/3,0)</f>
        <v>Q3</v>
      </c>
      <c r="U545" t="str">
        <f>Transactions_RAW_cleaned[[#This Row],[Region ]]&amp;Transactions_RAW_cleaned[[#This Row],[Quarter ]]</f>
        <v>EMEAQ3</v>
      </c>
      <c r="V545" s="5">
        <f>_xlfn.XLOOKUP(Transactions_RAW_cleaned[[#This Row],[RegionQuarterKey]], Quarterly_Targets_cleaned[RegionQuarterKey], Quarterly_Targets_cleaned[TargetRevenue])</f>
        <v>147000</v>
      </c>
    </row>
    <row r="546" spans="1:22" x14ac:dyDescent="0.25">
      <c r="A546" t="s">
        <v>880</v>
      </c>
      <c r="B546" s="1">
        <v>45544</v>
      </c>
      <c r="C546" t="s">
        <v>161</v>
      </c>
      <c r="D546" t="s">
        <v>300</v>
      </c>
      <c r="E546">
        <v>584.66</v>
      </c>
      <c r="F546" t="s">
        <v>324</v>
      </c>
      <c r="G546" t="s">
        <v>325</v>
      </c>
      <c r="I546" t="s">
        <v>8</v>
      </c>
      <c r="J546" t="s">
        <v>21</v>
      </c>
      <c r="K546" t="s">
        <v>22</v>
      </c>
      <c r="L546" t="s">
        <v>301</v>
      </c>
      <c r="M546" t="s">
        <v>302</v>
      </c>
      <c r="N546">
        <v>5.0000000000000001E-3</v>
      </c>
      <c r="O546" t="str">
        <f>IF(Transactions_RAW_cleaned[[#This Row],[Status]]="Completed", IFERROR(_xlfn.XLOOKUP(Transactions_RAW_cleaned[[#This Row],[CustomerID]], Customers_cleaned[CustomerID], Customers_cleaned[Segment]), "Customer Not Found"), "N/A")</f>
        <v>SMB</v>
      </c>
      <c r="P546" s="5" t="str">
        <f>IF(Transactions_RAW_cleaned[[#This Row],[Status]]="Refunded", "Refund",
  IF(Transactions_RAW_cleaned[[#This Row],[Category]]="Payments", IF(Transactions_RAW_cleaned[[#This Row],[Amount]]&gt;500,"High Value","Standard"),
    IF(Transactions_RAW_cleaned[[#This Row],[Amount]]&gt;250,"High Value","Standard")))</f>
        <v>High Value</v>
      </c>
      <c r="Q546" s="5" t="str">
        <f>IF(Transactions_RAW_cleaned[[#This Row],[Amount]] &gt; (_xlfn.XLOOKUP(Transactions_RAW_cleaned[[#This Row],[ServiceID]],Services_cleaned[ServiceID],Services_cleaned[TransactionFeePct]) * 10000), "Yes", "No")</f>
        <v>Yes</v>
      </c>
      <c r="R546" s="5" t="str">
        <f>IF(COUNTIFS($C$2:Transactions_RAW_cleaned[[#This Row],[CustomerID]],Transactions_RAW_cleaned[[#This Row],[CustomerID]],$D$2:Transactions_RAW_cleaned[[#This Row],[ServiceID]],Transactions_RAW_cleaned[[#This Row],[ServiceID]])=1,"Yes","No")</f>
        <v>No</v>
      </c>
      <c r="S54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46" t="str">
        <f>"Q"&amp;ROUNDUP(MONTH(Transactions_RAW_cleaned[[#This Row],[TransactionDate]])/3,0)</f>
        <v>Q3</v>
      </c>
      <c r="U546" t="str">
        <f>Transactions_RAW_cleaned[[#This Row],[Region ]]&amp;Transactions_RAW_cleaned[[#This Row],[Quarter ]]</f>
        <v>APACQ3</v>
      </c>
      <c r="V546" s="5">
        <f>_xlfn.XLOOKUP(Transactions_RAW_cleaned[[#This Row],[RegionQuarterKey]], Quarterly_Targets_cleaned[RegionQuarterKey], Quarterly_Targets_cleaned[TargetRevenue])</f>
        <v>115500</v>
      </c>
    </row>
    <row r="547" spans="1:22" x14ac:dyDescent="0.25">
      <c r="A547" t="s">
        <v>881</v>
      </c>
      <c r="B547" s="1">
        <v>45308</v>
      </c>
      <c r="C547" t="s">
        <v>135</v>
      </c>
      <c r="D547" t="s">
        <v>306</v>
      </c>
      <c r="E547">
        <v>190.77</v>
      </c>
      <c r="F547" t="s">
        <v>324</v>
      </c>
      <c r="G547" t="s">
        <v>325</v>
      </c>
      <c r="H547" t="s">
        <v>346</v>
      </c>
      <c r="I547" t="s">
        <v>8</v>
      </c>
      <c r="J547" t="s">
        <v>46</v>
      </c>
      <c r="K547" t="s">
        <v>10</v>
      </c>
      <c r="L547" t="s">
        <v>307</v>
      </c>
      <c r="M547" t="s">
        <v>308</v>
      </c>
      <c r="N547">
        <v>0</v>
      </c>
      <c r="O547" t="str">
        <f>IF(Transactions_RAW_cleaned[[#This Row],[Status]]="Completed", IFERROR(_xlfn.XLOOKUP(Transactions_RAW_cleaned[[#This Row],[CustomerID]], Customers_cleaned[CustomerID], Customers_cleaned[Segment]), "Customer Not Found"), "N/A")</f>
        <v>SMB</v>
      </c>
      <c r="P547" s="5" t="str">
        <f>IF(Transactions_RAW_cleaned[[#This Row],[Status]]="Refunded", "Refund",
  IF(Transactions_RAW_cleaned[[#This Row],[Category]]="Payments", IF(Transactions_RAW_cleaned[[#This Row],[Amount]]&gt;500,"High Value","Standard"),
    IF(Transactions_RAW_cleaned[[#This Row],[Amount]]&gt;250,"High Value","Standard")))</f>
        <v>Standard</v>
      </c>
      <c r="Q547" s="5" t="str">
        <f>IF(Transactions_RAW_cleaned[[#This Row],[Amount]] &gt; (_xlfn.XLOOKUP(Transactions_RAW_cleaned[[#This Row],[ServiceID]],Services_cleaned[ServiceID],Services_cleaned[TransactionFeePct]) * 10000), "Yes", "No")</f>
        <v>Yes</v>
      </c>
      <c r="R547" s="5" t="str">
        <f>IF(COUNTIFS($C$2:Transactions_RAW_cleaned[[#This Row],[CustomerID]],Transactions_RAW_cleaned[[#This Row],[CustomerID]],$D$2:Transactions_RAW_cleaned[[#This Row],[ServiceID]],Transactions_RAW_cleaned[[#This Row],[ServiceID]])=1,"Yes","No")</f>
        <v>No</v>
      </c>
      <c r="S54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47" t="str">
        <f>"Q"&amp;ROUNDUP(MONTH(Transactions_RAW_cleaned[[#This Row],[TransactionDate]])/3,0)</f>
        <v>Q1</v>
      </c>
      <c r="U547" t="str">
        <f>Transactions_RAW_cleaned[[#This Row],[Region ]]&amp;Transactions_RAW_cleaned[[#This Row],[Quarter ]]</f>
        <v>APACQ1</v>
      </c>
      <c r="V547" s="5">
        <f>_xlfn.XLOOKUP(Transactions_RAW_cleaned[[#This Row],[RegionQuarterKey]], Quarterly_Targets_cleaned[RegionQuarterKey], Quarterly_Targets_cleaned[TargetRevenue])</f>
        <v>104500</v>
      </c>
    </row>
    <row r="548" spans="1:22" x14ac:dyDescent="0.25">
      <c r="A548" t="s">
        <v>882</v>
      </c>
      <c r="B548" s="1">
        <v>45357</v>
      </c>
      <c r="C548" t="s">
        <v>109</v>
      </c>
      <c r="D548" t="s">
        <v>294</v>
      </c>
      <c r="E548">
        <v>165.33</v>
      </c>
      <c r="F548" t="s">
        <v>324</v>
      </c>
      <c r="G548" t="s">
        <v>327</v>
      </c>
      <c r="I548" t="s">
        <v>8</v>
      </c>
      <c r="J548" t="s">
        <v>102</v>
      </c>
      <c r="K548" t="s">
        <v>18</v>
      </c>
      <c r="L548" t="s">
        <v>295</v>
      </c>
      <c r="M548" t="s">
        <v>296</v>
      </c>
      <c r="N548">
        <v>2.9000000000000001E-2</v>
      </c>
      <c r="O548" t="str">
        <f>IF(Transactions_RAW_cleaned[[#This Row],[Status]]="Completed", IFERROR(_xlfn.XLOOKUP(Transactions_RAW_cleaned[[#This Row],[CustomerID]], Customers_cleaned[CustomerID], Customers_cleaned[Segment]), "Customer Not Found"), "N/A")</f>
        <v>SMB</v>
      </c>
      <c r="P548" s="5" t="str">
        <f>IF(Transactions_RAW_cleaned[[#This Row],[Status]]="Refunded", "Refund",
  IF(Transactions_RAW_cleaned[[#This Row],[Category]]="Payments", IF(Transactions_RAW_cleaned[[#This Row],[Amount]]&gt;500,"High Value","Standard"),
    IF(Transactions_RAW_cleaned[[#This Row],[Amount]]&gt;250,"High Value","Standard")))</f>
        <v>Standard</v>
      </c>
      <c r="Q548" s="5" t="str">
        <f>IF(Transactions_RAW_cleaned[[#This Row],[Amount]] &gt; (_xlfn.XLOOKUP(Transactions_RAW_cleaned[[#This Row],[ServiceID]],Services_cleaned[ServiceID],Services_cleaned[TransactionFeePct]) * 10000), "Yes", "No")</f>
        <v>No</v>
      </c>
      <c r="R548" s="5" t="str">
        <f>IF(COUNTIFS($C$2:Transactions_RAW_cleaned[[#This Row],[CustomerID]],Transactions_RAW_cleaned[[#This Row],[CustomerID]],$D$2:Transactions_RAW_cleaned[[#This Row],[ServiceID]],Transactions_RAW_cleaned[[#This Row],[ServiceID]])=1,"Yes","No")</f>
        <v>No</v>
      </c>
      <c r="S54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48" t="str">
        <f>"Q"&amp;ROUNDUP(MONTH(Transactions_RAW_cleaned[[#This Row],[TransactionDate]])/3,0)</f>
        <v>Q1</v>
      </c>
      <c r="U548" t="str">
        <f>Transactions_RAW_cleaned[[#This Row],[Region ]]&amp;Transactions_RAW_cleaned[[#This Row],[Quarter ]]</f>
        <v>NAQ1</v>
      </c>
      <c r="V548" s="5">
        <f>_xlfn.XLOOKUP(Transactions_RAW_cleaned[[#This Row],[RegionQuarterKey]], Quarterly_Targets_cleaned[RegionQuarterKey], Quarterly_Targets_cleaned[TargetRevenue])</f>
        <v>247000</v>
      </c>
    </row>
    <row r="549" spans="1:22" x14ac:dyDescent="0.25">
      <c r="A549" t="s">
        <v>883</v>
      </c>
      <c r="B549" s="1">
        <v>45486</v>
      </c>
      <c r="C549" t="s">
        <v>215</v>
      </c>
      <c r="D549" t="s">
        <v>300</v>
      </c>
      <c r="E549">
        <v>154.65</v>
      </c>
      <c r="F549" t="s">
        <v>324</v>
      </c>
      <c r="G549" t="s">
        <v>327</v>
      </c>
      <c r="H549" t="s">
        <v>334</v>
      </c>
      <c r="I549" t="s">
        <v>57</v>
      </c>
      <c r="J549" t="s">
        <v>102</v>
      </c>
      <c r="K549" t="s">
        <v>14</v>
      </c>
      <c r="L549" t="s">
        <v>301</v>
      </c>
      <c r="M549" t="s">
        <v>302</v>
      </c>
      <c r="N549">
        <v>5.0000000000000001E-3</v>
      </c>
      <c r="O549" t="str">
        <f>IF(Transactions_RAW_cleaned[[#This Row],[Status]]="Completed", IFERROR(_xlfn.XLOOKUP(Transactions_RAW_cleaned[[#This Row],[CustomerID]], Customers_cleaned[CustomerID], Customers_cleaned[Segment]), "Customer Not Found"), "N/A")</f>
        <v>Startup</v>
      </c>
      <c r="P549" s="5" t="str">
        <f>IF(Transactions_RAW_cleaned[[#This Row],[Status]]="Refunded", "Refund",
  IF(Transactions_RAW_cleaned[[#This Row],[Category]]="Payments", IF(Transactions_RAW_cleaned[[#This Row],[Amount]]&gt;500,"High Value","Standard"),
    IF(Transactions_RAW_cleaned[[#This Row],[Amount]]&gt;250,"High Value","Standard")))</f>
        <v>Standard</v>
      </c>
      <c r="Q549" s="5" t="str">
        <f>IF(Transactions_RAW_cleaned[[#This Row],[Amount]] &gt; (_xlfn.XLOOKUP(Transactions_RAW_cleaned[[#This Row],[ServiceID]],Services_cleaned[ServiceID],Services_cleaned[TransactionFeePct]) * 10000), "Yes", "No")</f>
        <v>Yes</v>
      </c>
      <c r="R549" s="5" t="str">
        <f>IF(COUNTIFS($C$2:Transactions_RAW_cleaned[[#This Row],[CustomerID]],Transactions_RAW_cleaned[[#This Row],[CustomerID]],$D$2:Transactions_RAW_cleaned[[#This Row],[ServiceID]],Transactions_RAW_cleaned[[#This Row],[ServiceID]])=1,"Yes","No")</f>
        <v>No</v>
      </c>
      <c r="S54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49" t="str">
        <f>"Q"&amp;ROUNDUP(MONTH(Transactions_RAW_cleaned[[#This Row],[TransactionDate]])/3,0)</f>
        <v>Q3</v>
      </c>
      <c r="U549" t="str">
        <f>Transactions_RAW_cleaned[[#This Row],[Region ]]&amp;Transactions_RAW_cleaned[[#This Row],[Quarter ]]</f>
        <v>NAQ3</v>
      </c>
      <c r="V549" s="5">
        <f>_xlfn.XLOOKUP(Transactions_RAW_cleaned[[#This Row],[RegionQuarterKey]], Quarterly_Targets_cleaned[RegionQuarterKey], Quarterly_Targets_cleaned[TargetRevenue])</f>
        <v>273000</v>
      </c>
    </row>
    <row r="550" spans="1:22" x14ac:dyDescent="0.25">
      <c r="A550" t="s">
        <v>884</v>
      </c>
      <c r="B550" s="1">
        <v>45488</v>
      </c>
      <c r="C550" t="s">
        <v>84</v>
      </c>
      <c r="D550" t="s">
        <v>303</v>
      </c>
      <c r="E550">
        <v>677.52</v>
      </c>
      <c r="F550" t="s">
        <v>324</v>
      </c>
      <c r="G550" t="s">
        <v>329</v>
      </c>
      <c r="H550" t="s">
        <v>334</v>
      </c>
      <c r="I550" t="s">
        <v>8</v>
      </c>
      <c r="J550" t="s">
        <v>46</v>
      </c>
      <c r="K550" t="s">
        <v>28</v>
      </c>
      <c r="L550" t="s">
        <v>304</v>
      </c>
      <c r="M550" t="s">
        <v>305</v>
      </c>
      <c r="N550">
        <v>1E-3</v>
      </c>
      <c r="O550" t="str">
        <f>IF(Transactions_RAW_cleaned[[#This Row],[Status]]="Completed", IFERROR(_xlfn.XLOOKUP(Transactions_RAW_cleaned[[#This Row],[CustomerID]], Customers_cleaned[CustomerID], Customers_cleaned[Segment]), "Customer Not Found"), "N/A")</f>
        <v>SMB</v>
      </c>
      <c r="P550" s="5" t="str">
        <f>IF(Transactions_RAW_cleaned[[#This Row],[Status]]="Refunded", "Refund",
  IF(Transactions_RAW_cleaned[[#This Row],[Category]]="Payments", IF(Transactions_RAW_cleaned[[#This Row],[Amount]]&gt;500,"High Value","Standard"),
    IF(Transactions_RAW_cleaned[[#This Row],[Amount]]&gt;250,"High Value","Standard")))</f>
        <v>High Value</v>
      </c>
      <c r="Q550" s="5" t="str">
        <f>IF(Transactions_RAW_cleaned[[#This Row],[Amount]] &gt; (_xlfn.XLOOKUP(Transactions_RAW_cleaned[[#This Row],[ServiceID]],Services_cleaned[ServiceID],Services_cleaned[TransactionFeePct]) * 10000), "Yes", "No")</f>
        <v>Yes</v>
      </c>
      <c r="R550" s="5" t="str">
        <f>IF(COUNTIFS($C$2:Transactions_RAW_cleaned[[#This Row],[CustomerID]],Transactions_RAW_cleaned[[#This Row],[CustomerID]],$D$2:Transactions_RAW_cleaned[[#This Row],[ServiceID]],Transactions_RAW_cleaned[[#This Row],[ServiceID]])=1,"Yes","No")</f>
        <v>Yes</v>
      </c>
      <c r="S55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50" t="str">
        <f>"Q"&amp;ROUNDUP(MONTH(Transactions_RAW_cleaned[[#This Row],[TransactionDate]])/3,0)</f>
        <v>Q3</v>
      </c>
      <c r="U550" t="str">
        <f>Transactions_RAW_cleaned[[#This Row],[Region ]]&amp;Transactions_RAW_cleaned[[#This Row],[Quarter ]]</f>
        <v>APACQ3</v>
      </c>
      <c r="V550" s="5">
        <f>_xlfn.XLOOKUP(Transactions_RAW_cleaned[[#This Row],[RegionQuarterKey]], Quarterly_Targets_cleaned[RegionQuarterKey], Quarterly_Targets_cleaned[TargetRevenue])</f>
        <v>115500</v>
      </c>
    </row>
    <row r="551" spans="1:22" x14ac:dyDescent="0.25">
      <c r="A551" t="s">
        <v>885</v>
      </c>
      <c r="B551" s="1">
        <v>45634</v>
      </c>
      <c r="C551" t="s">
        <v>185</v>
      </c>
      <c r="D551" t="s">
        <v>294</v>
      </c>
      <c r="E551">
        <v>539.67999999999995</v>
      </c>
      <c r="F551" t="s">
        <v>324</v>
      </c>
      <c r="G551" t="s">
        <v>327</v>
      </c>
      <c r="I551" t="s">
        <v>17</v>
      </c>
      <c r="J551" t="s">
        <v>13</v>
      </c>
      <c r="K551" t="s">
        <v>32</v>
      </c>
      <c r="L551" t="s">
        <v>295</v>
      </c>
      <c r="M551" t="s">
        <v>296</v>
      </c>
      <c r="N551">
        <v>2.9000000000000001E-2</v>
      </c>
      <c r="O551" t="str">
        <f>IF(Transactions_RAW_cleaned[[#This Row],[Status]]="Completed", IFERROR(_xlfn.XLOOKUP(Transactions_RAW_cleaned[[#This Row],[CustomerID]], Customers_cleaned[CustomerID], Customers_cleaned[Segment]), "Customer Not Found"), "N/A")</f>
        <v>Enterprise</v>
      </c>
      <c r="P551" s="5" t="str">
        <f>IF(Transactions_RAW_cleaned[[#This Row],[Status]]="Refunded", "Refund",
  IF(Transactions_RAW_cleaned[[#This Row],[Category]]="Payments", IF(Transactions_RAW_cleaned[[#This Row],[Amount]]&gt;500,"High Value","Standard"),
    IF(Transactions_RAW_cleaned[[#This Row],[Amount]]&gt;250,"High Value","Standard")))</f>
        <v>High Value</v>
      </c>
      <c r="Q551" s="5" t="str">
        <f>IF(Transactions_RAW_cleaned[[#This Row],[Amount]] &gt; (_xlfn.XLOOKUP(Transactions_RAW_cleaned[[#This Row],[ServiceID]],Services_cleaned[ServiceID],Services_cleaned[TransactionFeePct]) * 10000), "Yes", "No")</f>
        <v>Yes</v>
      </c>
      <c r="R551" s="5" t="str">
        <f>IF(COUNTIFS($C$2:Transactions_RAW_cleaned[[#This Row],[CustomerID]],Transactions_RAW_cleaned[[#This Row],[CustomerID]],$D$2:Transactions_RAW_cleaned[[#This Row],[ServiceID]],Transactions_RAW_cleaned[[#This Row],[ServiceID]])=1,"Yes","No")</f>
        <v>No</v>
      </c>
      <c r="S55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51" t="str">
        <f>"Q"&amp;ROUNDUP(MONTH(Transactions_RAW_cleaned[[#This Row],[TransactionDate]])/3,0)</f>
        <v>Q4</v>
      </c>
      <c r="U551" t="str">
        <f>Transactions_RAW_cleaned[[#This Row],[Region ]]&amp;Transactions_RAW_cleaned[[#This Row],[Quarter ]]</f>
        <v>NAQ4</v>
      </c>
      <c r="V551" s="5">
        <f>_xlfn.XLOOKUP(Transactions_RAW_cleaned[[#This Row],[RegionQuarterKey]], Quarterly_Targets_cleaned[RegionQuarterKey], Quarterly_Targets_cleaned[TargetRevenue])</f>
        <v>299000</v>
      </c>
    </row>
    <row r="552" spans="1:22" x14ac:dyDescent="0.25">
      <c r="A552" t="s">
        <v>886</v>
      </c>
      <c r="B552" s="1">
        <v>45369</v>
      </c>
      <c r="C552" t="s">
        <v>143</v>
      </c>
      <c r="D552" t="s">
        <v>297</v>
      </c>
      <c r="E552">
        <v>186.02</v>
      </c>
      <c r="F552" t="s">
        <v>324</v>
      </c>
      <c r="G552" t="s">
        <v>337</v>
      </c>
      <c r="H552" t="s">
        <v>332</v>
      </c>
      <c r="I552" t="s">
        <v>8</v>
      </c>
      <c r="J552" t="s">
        <v>102</v>
      </c>
      <c r="K552" t="s">
        <v>22</v>
      </c>
      <c r="L552" t="s">
        <v>298</v>
      </c>
      <c r="M552" t="s">
        <v>299</v>
      </c>
      <c r="N552">
        <v>0</v>
      </c>
      <c r="O552" t="str">
        <f>IF(Transactions_RAW_cleaned[[#This Row],[Status]]="Completed", IFERROR(_xlfn.XLOOKUP(Transactions_RAW_cleaned[[#This Row],[CustomerID]], Customers_cleaned[CustomerID], Customers_cleaned[Segment]), "Customer Not Found"), "N/A")</f>
        <v>SMB</v>
      </c>
      <c r="P552" s="5" t="str">
        <f>IF(Transactions_RAW_cleaned[[#This Row],[Status]]="Refunded", "Refund",
  IF(Transactions_RAW_cleaned[[#This Row],[Category]]="Payments", IF(Transactions_RAW_cleaned[[#This Row],[Amount]]&gt;500,"High Value","Standard"),
    IF(Transactions_RAW_cleaned[[#This Row],[Amount]]&gt;250,"High Value","Standard")))</f>
        <v>Standard</v>
      </c>
      <c r="Q552" s="5" t="str">
        <f>IF(Transactions_RAW_cleaned[[#This Row],[Amount]] &gt; (_xlfn.XLOOKUP(Transactions_RAW_cleaned[[#This Row],[ServiceID]],Services_cleaned[ServiceID],Services_cleaned[TransactionFeePct]) * 10000), "Yes", "No")</f>
        <v>Yes</v>
      </c>
      <c r="R552" s="5" t="str">
        <f>IF(COUNTIFS($C$2:Transactions_RAW_cleaned[[#This Row],[CustomerID]],Transactions_RAW_cleaned[[#This Row],[CustomerID]],$D$2:Transactions_RAW_cleaned[[#This Row],[ServiceID]],Transactions_RAW_cleaned[[#This Row],[ServiceID]])=1,"Yes","No")</f>
        <v>Yes</v>
      </c>
      <c r="S55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52" t="str">
        <f>"Q"&amp;ROUNDUP(MONTH(Transactions_RAW_cleaned[[#This Row],[TransactionDate]])/3,0)</f>
        <v>Q1</v>
      </c>
      <c r="U552" t="str">
        <f>Transactions_RAW_cleaned[[#This Row],[Region ]]&amp;Transactions_RAW_cleaned[[#This Row],[Quarter ]]</f>
        <v>NAQ1</v>
      </c>
      <c r="V552" s="5">
        <f>_xlfn.XLOOKUP(Transactions_RAW_cleaned[[#This Row],[RegionQuarterKey]], Quarterly_Targets_cleaned[RegionQuarterKey], Quarterly_Targets_cleaned[TargetRevenue])</f>
        <v>247000</v>
      </c>
    </row>
    <row r="553" spans="1:22" x14ac:dyDescent="0.25">
      <c r="A553" t="s">
        <v>887</v>
      </c>
      <c r="B553" s="1">
        <v>45453</v>
      </c>
      <c r="C553" t="s">
        <v>195</v>
      </c>
      <c r="D553" t="s">
        <v>309</v>
      </c>
      <c r="E553">
        <v>593.95000000000005</v>
      </c>
      <c r="F553" t="s">
        <v>324</v>
      </c>
      <c r="G553" t="s">
        <v>325</v>
      </c>
      <c r="H553" t="s">
        <v>334</v>
      </c>
      <c r="I553" t="s">
        <v>8</v>
      </c>
      <c r="J553" t="s">
        <v>102</v>
      </c>
      <c r="K553" t="s">
        <v>32</v>
      </c>
      <c r="L553" t="s">
        <v>310</v>
      </c>
      <c r="M553" t="s">
        <v>311</v>
      </c>
      <c r="N553">
        <v>0</v>
      </c>
      <c r="O553" t="str">
        <f>IF(Transactions_RAW_cleaned[[#This Row],[Status]]="Completed", IFERROR(_xlfn.XLOOKUP(Transactions_RAW_cleaned[[#This Row],[CustomerID]], Customers_cleaned[CustomerID], Customers_cleaned[Segment]), "Customer Not Found"), "N/A")</f>
        <v>SMB</v>
      </c>
      <c r="P553" s="5" t="str">
        <f>IF(Transactions_RAW_cleaned[[#This Row],[Status]]="Refunded", "Refund",
  IF(Transactions_RAW_cleaned[[#This Row],[Category]]="Payments", IF(Transactions_RAW_cleaned[[#This Row],[Amount]]&gt;500,"High Value","Standard"),
    IF(Transactions_RAW_cleaned[[#This Row],[Amount]]&gt;250,"High Value","Standard")))</f>
        <v>High Value</v>
      </c>
      <c r="Q553" s="5" t="str">
        <f>IF(Transactions_RAW_cleaned[[#This Row],[Amount]] &gt; (_xlfn.XLOOKUP(Transactions_RAW_cleaned[[#This Row],[ServiceID]],Services_cleaned[ServiceID],Services_cleaned[TransactionFeePct]) * 10000), "Yes", "No")</f>
        <v>Yes</v>
      </c>
      <c r="R553" s="5" t="str">
        <f>IF(COUNTIFS($C$2:Transactions_RAW_cleaned[[#This Row],[CustomerID]],Transactions_RAW_cleaned[[#This Row],[CustomerID]],$D$2:Transactions_RAW_cleaned[[#This Row],[ServiceID]],Transactions_RAW_cleaned[[#This Row],[ServiceID]])=1,"Yes","No")</f>
        <v>Yes</v>
      </c>
      <c r="S55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53" t="str">
        <f>"Q"&amp;ROUNDUP(MONTH(Transactions_RAW_cleaned[[#This Row],[TransactionDate]])/3,0)</f>
        <v>Q2</v>
      </c>
      <c r="U553" t="str">
        <f>Transactions_RAW_cleaned[[#This Row],[Region ]]&amp;Transactions_RAW_cleaned[[#This Row],[Quarter ]]</f>
        <v>NAQ2</v>
      </c>
      <c r="V553" s="5">
        <f>_xlfn.XLOOKUP(Transactions_RAW_cleaned[[#This Row],[RegionQuarterKey]], Quarterly_Targets_cleaned[RegionQuarterKey], Quarterly_Targets_cleaned[TargetRevenue])</f>
        <v>260000</v>
      </c>
    </row>
    <row r="554" spans="1:22" x14ac:dyDescent="0.25">
      <c r="A554" t="s">
        <v>888</v>
      </c>
      <c r="B554" s="1">
        <v>45520</v>
      </c>
      <c r="C554" t="s">
        <v>78</v>
      </c>
      <c r="D554" t="s">
        <v>315</v>
      </c>
      <c r="E554">
        <v>128.51</v>
      </c>
      <c r="F554" t="s">
        <v>381</v>
      </c>
      <c r="G554" t="s">
        <v>337</v>
      </c>
      <c r="I554" t="s">
        <v>17</v>
      </c>
      <c r="J554" t="s">
        <v>21</v>
      </c>
      <c r="K554" t="s">
        <v>22</v>
      </c>
      <c r="L554" t="s">
        <v>316</v>
      </c>
      <c r="M554" t="s">
        <v>305</v>
      </c>
      <c r="N554">
        <v>2.5000000000000001E-3</v>
      </c>
      <c r="O554" t="str">
        <f>IF(Transactions_RAW_cleaned[[#This Row],[Status]]="Completed", IFERROR(_xlfn.XLOOKUP(Transactions_RAW_cleaned[[#This Row],[CustomerID]], Customers_cleaned[CustomerID], Customers_cleaned[Segment]), "Customer Not Found"), "N/A")</f>
        <v>N/A</v>
      </c>
      <c r="P554" s="5" t="str">
        <f>IF(Transactions_RAW_cleaned[[#This Row],[Status]]="Refunded", "Refund",
  IF(Transactions_RAW_cleaned[[#This Row],[Category]]="Payments", IF(Transactions_RAW_cleaned[[#This Row],[Amount]]&gt;500,"High Value","Standard"),
    IF(Transactions_RAW_cleaned[[#This Row],[Amount]]&gt;250,"High Value","Standard")))</f>
        <v>Standard</v>
      </c>
      <c r="Q554" s="5" t="str">
        <f>IF(Transactions_RAW_cleaned[[#This Row],[Amount]] &gt; (_xlfn.XLOOKUP(Transactions_RAW_cleaned[[#This Row],[ServiceID]],Services_cleaned[ServiceID],Services_cleaned[TransactionFeePct]) * 10000), "Yes", "No")</f>
        <v>Yes</v>
      </c>
      <c r="R554" s="5" t="str">
        <f>IF(COUNTIFS($C$2:Transactions_RAW_cleaned[[#This Row],[CustomerID]],Transactions_RAW_cleaned[[#This Row],[CustomerID]],$D$2:Transactions_RAW_cleaned[[#This Row],[ServiceID]],Transactions_RAW_cleaned[[#This Row],[ServiceID]])=1,"Yes","No")</f>
        <v>Yes</v>
      </c>
      <c r="S55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54" t="str">
        <f>"Q"&amp;ROUNDUP(MONTH(Transactions_RAW_cleaned[[#This Row],[TransactionDate]])/3,0)</f>
        <v>Q3</v>
      </c>
      <c r="U554" t="str">
        <f>Transactions_RAW_cleaned[[#This Row],[Region ]]&amp;Transactions_RAW_cleaned[[#This Row],[Quarter ]]</f>
        <v>APACQ3</v>
      </c>
      <c r="V554" s="5">
        <f>_xlfn.XLOOKUP(Transactions_RAW_cleaned[[#This Row],[RegionQuarterKey]], Quarterly_Targets_cleaned[RegionQuarterKey], Quarterly_Targets_cleaned[TargetRevenue])</f>
        <v>115500</v>
      </c>
    </row>
    <row r="555" spans="1:22" x14ac:dyDescent="0.25">
      <c r="A555" t="s">
        <v>889</v>
      </c>
      <c r="B555" s="1">
        <v>45596</v>
      </c>
      <c r="C555" t="s">
        <v>219</v>
      </c>
      <c r="D555" t="s">
        <v>315</v>
      </c>
      <c r="E555">
        <v>455.41</v>
      </c>
      <c r="F555" t="s">
        <v>324</v>
      </c>
      <c r="G555" t="s">
        <v>327</v>
      </c>
      <c r="H555" t="s">
        <v>346</v>
      </c>
      <c r="I555" t="s">
        <v>17</v>
      </c>
      <c r="J555" t="s">
        <v>31</v>
      </c>
      <c r="K555" t="s">
        <v>32</v>
      </c>
      <c r="L555" t="s">
        <v>316</v>
      </c>
      <c r="M555" t="s">
        <v>305</v>
      </c>
      <c r="N555">
        <v>2.5000000000000001E-3</v>
      </c>
      <c r="O555" t="str">
        <f>IF(Transactions_RAW_cleaned[[#This Row],[Status]]="Completed", IFERROR(_xlfn.XLOOKUP(Transactions_RAW_cleaned[[#This Row],[CustomerID]], Customers_cleaned[CustomerID], Customers_cleaned[Segment]), "Customer Not Found"), "N/A")</f>
        <v>Enterprise</v>
      </c>
      <c r="P555" s="5" t="str">
        <f>IF(Transactions_RAW_cleaned[[#This Row],[Status]]="Refunded", "Refund",
  IF(Transactions_RAW_cleaned[[#This Row],[Category]]="Payments", IF(Transactions_RAW_cleaned[[#This Row],[Amount]]&gt;500,"High Value","Standard"),
    IF(Transactions_RAW_cleaned[[#This Row],[Amount]]&gt;250,"High Value","Standard")))</f>
        <v>High Value</v>
      </c>
      <c r="Q555" s="5" t="str">
        <f>IF(Transactions_RAW_cleaned[[#This Row],[Amount]] &gt; (_xlfn.XLOOKUP(Transactions_RAW_cleaned[[#This Row],[ServiceID]],Services_cleaned[ServiceID],Services_cleaned[TransactionFeePct]) * 10000), "Yes", "No")</f>
        <v>Yes</v>
      </c>
      <c r="R555" s="5" t="str">
        <f>IF(COUNTIFS($C$2:Transactions_RAW_cleaned[[#This Row],[CustomerID]],Transactions_RAW_cleaned[[#This Row],[CustomerID]],$D$2:Transactions_RAW_cleaned[[#This Row],[ServiceID]],Transactions_RAW_cleaned[[#This Row],[ServiceID]])=1,"Yes","No")</f>
        <v>Yes</v>
      </c>
      <c r="S55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555" t="str">
        <f>"Q"&amp;ROUNDUP(MONTH(Transactions_RAW_cleaned[[#This Row],[TransactionDate]])/3,0)</f>
        <v>Q4</v>
      </c>
      <c r="U555" t="str">
        <f>Transactions_RAW_cleaned[[#This Row],[Region ]]&amp;Transactions_RAW_cleaned[[#This Row],[Quarter ]]</f>
        <v>EMEAQ4</v>
      </c>
      <c r="V555" s="5">
        <f>_xlfn.XLOOKUP(Transactions_RAW_cleaned[[#This Row],[RegionQuarterKey]], Quarterly_Targets_cleaned[RegionQuarterKey], Quarterly_Targets_cleaned[TargetRevenue])</f>
        <v>161000</v>
      </c>
    </row>
    <row r="556" spans="1:22" x14ac:dyDescent="0.25">
      <c r="A556" t="s">
        <v>890</v>
      </c>
      <c r="B556" s="1">
        <v>45384</v>
      </c>
      <c r="C556" t="s">
        <v>66</v>
      </c>
      <c r="D556" t="s">
        <v>309</v>
      </c>
      <c r="E556">
        <v>267.94</v>
      </c>
      <c r="F556" t="s">
        <v>381</v>
      </c>
      <c r="G556" t="s">
        <v>325</v>
      </c>
      <c r="H556" t="s">
        <v>332</v>
      </c>
      <c r="I556" t="s">
        <v>8</v>
      </c>
      <c r="J556" t="s">
        <v>46</v>
      </c>
      <c r="K556" t="s">
        <v>10</v>
      </c>
      <c r="L556" t="s">
        <v>310</v>
      </c>
      <c r="M556" t="s">
        <v>311</v>
      </c>
      <c r="N556">
        <v>0</v>
      </c>
      <c r="O556" t="str">
        <f>IF(Transactions_RAW_cleaned[[#This Row],[Status]]="Completed", IFERROR(_xlfn.XLOOKUP(Transactions_RAW_cleaned[[#This Row],[CustomerID]], Customers_cleaned[CustomerID], Customers_cleaned[Segment]), "Customer Not Found"), "N/A")</f>
        <v>N/A</v>
      </c>
      <c r="P556" s="5" t="str">
        <f>IF(Transactions_RAW_cleaned[[#This Row],[Status]]="Refunded", "Refund",
  IF(Transactions_RAW_cleaned[[#This Row],[Category]]="Payments", IF(Transactions_RAW_cleaned[[#This Row],[Amount]]&gt;500,"High Value","Standard"),
    IF(Transactions_RAW_cleaned[[#This Row],[Amount]]&gt;250,"High Value","Standard")))</f>
        <v>High Value</v>
      </c>
      <c r="Q556" s="5" t="str">
        <f>IF(Transactions_RAW_cleaned[[#This Row],[Amount]] &gt; (_xlfn.XLOOKUP(Transactions_RAW_cleaned[[#This Row],[ServiceID]],Services_cleaned[ServiceID],Services_cleaned[TransactionFeePct]) * 10000), "Yes", "No")</f>
        <v>Yes</v>
      </c>
      <c r="R556" s="5" t="str">
        <f>IF(COUNTIFS($C$2:Transactions_RAW_cleaned[[#This Row],[CustomerID]],Transactions_RAW_cleaned[[#This Row],[CustomerID]],$D$2:Transactions_RAW_cleaned[[#This Row],[ServiceID]],Transactions_RAW_cleaned[[#This Row],[ServiceID]])=1,"Yes","No")</f>
        <v>Yes</v>
      </c>
      <c r="S55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56" t="str">
        <f>"Q"&amp;ROUNDUP(MONTH(Transactions_RAW_cleaned[[#This Row],[TransactionDate]])/3,0)</f>
        <v>Q2</v>
      </c>
      <c r="U556" t="str">
        <f>Transactions_RAW_cleaned[[#This Row],[Region ]]&amp;Transactions_RAW_cleaned[[#This Row],[Quarter ]]</f>
        <v>APACQ2</v>
      </c>
      <c r="V556" s="5">
        <f>_xlfn.XLOOKUP(Transactions_RAW_cleaned[[#This Row],[RegionQuarterKey]], Quarterly_Targets_cleaned[RegionQuarterKey], Quarterly_Targets_cleaned[TargetRevenue])</f>
        <v>110000</v>
      </c>
    </row>
    <row r="557" spans="1:22" x14ac:dyDescent="0.25">
      <c r="A557" t="s">
        <v>891</v>
      </c>
      <c r="B557" s="1">
        <v>45352</v>
      </c>
      <c r="C557" t="s">
        <v>35</v>
      </c>
      <c r="D557" t="s">
        <v>315</v>
      </c>
      <c r="E557">
        <v>125.53</v>
      </c>
      <c r="F557" t="s">
        <v>324</v>
      </c>
      <c r="G557" t="s">
        <v>327</v>
      </c>
      <c r="H557" t="s">
        <v>346</v>
      </c>
      <c r="I557" t="s">
        <v>8</v>
      </c>
      <c r="J557" t="s">
        <v>37</v>
      </c>
      <c r="K557" t="s">
        <v>28</v>
      </c>
      <c r="L557" t="s">
        <v>316</v>
      </c>
      <c r="M557" t="s">
        <v>305</v>
      </c>
      <c r="N557">
        <v>2.5000000000000001E-3</v>
      </c>
      <c r="O557" t="str">
        <f>IF(Transactions_RAW_cleaned[[#This Row],[Status]]="Completed", IFERROR(_xlfn.XLOOKUP(Transactions_RAW_cleaned[[#This Row],[CustomerID]], Customers_cleaned[CustomerID], Customers_cleaned[Segment]), "Customer Not Found"), "N/A")</f>
        <v>SMB</v>
      </c>
      <c r="P557" s="5" t="str">
        <f>IF(Transactions_RAW_cleaned[[#This Row],[Status]]="Refunded", "Refund",
  IF(Transactions_RAW_cleaned[[#This Row],[Category]]="Payments", IF(Transactions_RAW_cleaned[[#This Row],[Amount]]&gt;500,"High Value","Standard"),
    IF(Transactions_RAW_cleaned[[#This Row],[Amount]]&gt;250,"High Value","Standard")))</f>
        <v>Standard</v>
      </c>
      <c r="Q557" s="5" t="str">
        <f>IF(Transactions_RAW_cleaned[[#This Row],[Amount]] &gt; (_xlfn.XLOOKUP(Transactions_RAW_cleaned[[#This Row],[ServiceID]],Services_cleaned[ServiceID],Services_cleaned[TransactionFeePct]) * 10000), "Yes", "No")</f>
        <v>Yes</v>
      </c>
      <c r="R557" s="5" t="str">
        <f>IF(COUNTIFS($C$2:Transactions_RAW_cleaned[[#This Row],[CustomerID]],Transactions_RAW_cleaned[[#This Row],[CustomerID]],$D$2:Transactions_RAW_cleaned[[#This Row],[ServiceID]],Transactions_RAW_cleaned[[#This Row],[ServiceID]])=1,"Yes","No")</f>
        <v>Yes</v>
      </c>
      <c r="S55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557" t="str">
        <f>"Q"&amp;ROUNDUP(MONTH(Transactions_RAW_cleaned[[#This Row],[TransactionDate]])/3,0)</f>
        <v>Q1</v>
      </c>
      <c r="U557" t="str">
        <f>Transactions_RAW_cleaned[[#This Row],[Region ]]&amp;Transactions_RAW_cleaned[[#This Row],[Quarter ]]</f>
        <v>EMEAQ1</v>
      </c>
      <c r="V557" s="5">
        <f>_xlfn.XLOOKUP(Transactions_RAW_cleaned[[#This Row],[RegionQuarterKey]], Quarterly_Targets_cleaned[RegionQuarterKey], Quarterly_Targets_cleaned[TargetRevenue])</f>
        <v>133000</v>
      </c>
    </row>
    <row r="558" spans="1:22" x14ac:dyDescent="0.25">
      <c r="A558" t="s">
        <v>892</v>
      </c>
      <c r="B558" s="1">
        <v>45492</v>
      </c>
      <c r="C558" t="s">
        <v>60</v>
      </c>
      <c r="D558" t="s">
        <v>309</v>
      </c>
      <c r="E558">
        <v>356.03</v>
      </c>
      <c r="F558" t="s">
        <v>324</v>
      </c>
      <c r="G558" t="s">
        <v>325</v>
      </c>
      <c r="I558" t="s">
        <v>8</v>
      </c>
      <c r="J558" t="s">
        <v>13</v>
      </c>
      <c r="K558" t="s">
        <v>14</v>
      </c>
      <c r="L558" t="s">
        <v>310</v>
      </c>
      <c r="M558" t="s">
        <v>311</v>
      </c>
      <c r="N558">
        <v>0</v>
      </c>
      <c r="O558" t="str">
        <f>IF(Transactions_RAW_cleaned[[#This Row],[Status]]="Completed", IFERROR(_xlfn.XLOOKUP(Transactions_RAW_cleaned[[#This Row],[CustomerID]], Customers_cleaned[CustomerID], Customers_cleaned[Segment]), "Customer Not Found"), "N/A")</f>
        <v>SMB</v>
      </c>
      <c r="P558" s="5" t="str">
        <f>IF(Transactions_RAW_cleaned[[#This Row],[Status]]="Refunded", "Refund",
  IF(Transactions_RAW_cleaned[[#This Row],[Category]]="Payments", IF(Transactions_RAW_cleaned[[#This Row],[Amount]]&gt;500,"High Value","Standard"),
    IF(Transactions_RAW_cleaned[[#This Row],[Amount]]&gt;250,"High Value","Standard")))</f>
        <v>High Value</v>
      </c>
      <c r="Q558" s="5" t="str">
        <f>IF(Transactions_RAW_cleaned[[#This Row],[Amount]] &gt; (_xlfn.XLOOKUP(Transactions_RAW_cleaned[[#This Row],[ServiceID]],Services_cleaned[ServiceID],Services_cleaned[TransactionFeePct]) * 10000), "Yes", "No")</f>
        <v>Yes</v>
      </c>
      <c r="R558" s="5" t="str">
        <f>IF(COUNTIFS($C$2:Transactions_RAW_cleaned[[#This Row],[CustomerID]],Transactions_RAW_cleaned[[#This Row],[CustomerID]],$D$2:Transactions_RAW_cleaned[[#This Row],[ServiceID]],Transactions_RAW_cleaned[[#This Row],[ServiceID]])=1,"Yes","No")</f>
        <v>Yes</v>
      </c>
      <c r="S55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58" t="str">
        <f>"Q"&amp;ROUNDUP(MONTH(Transactions_RAW_cleaned[[#This Row],[TransactionDate]])/3,0)</f>
        <v>Q3</v>
      </c>
      <c r="U558" t="str">
        <f>Transactions_RAW_cleaned[[#This Row],[Region ]]&amp;Transactions_RAW_cleaned[[#This Row],[Quarter ]]</f>
        <v>NAQ3</v>
      </c>
      <c r="V558" s="5">
        <f>_xlfn.XLOOKUP(Transactions_RAW_cleaned[[#This Row],[RegionQuarterKey]], Quarterly_Targets_cleaned[RegionQuarterKey], Quarterly_Targets_cleaned[TargetRevenue])</f>
        <v>273000</v>
      </c>
    </row>
    <row r="559" spans="1:22" x14ac:dyDescent="0.25">
      <c r="A559" t="s">
        <v>893</v>
      </c>
      <c r="B559" s="1">
        <v>45586</v>
      </c>
      <c r="C559" t="s">
        <v>40</v>
      </c>
      <c r="D559" t="s">
        <v>315</v>
      </c>
      <c r="E559">
        <v>1239.58</v>
      </c>
      <c r="F559" t="s">
        <v>324</v>
      </c>
      <c r="G559" t="s">
        <v>325</v>
      </c>
      <c r="H559" t="s">
        <v>332</v>
      </c>
      <c r="I559" t="s">
        <v>17</v>
      </c>
      <c r="J559" t="s">
        <v>102</v>
      </c>
      <c r="K559" t="s">
        <v>14</v>
      </c>
      <c r="L559" t="s">
        <v>316</v>
      </c>
      <c r="M559" t="s">
        <v>305</v>
      </c>
      <c r="N559">
        <v>2.5000000000000001E-3</v>
      </c>
      <c r="O559" t="str">
        <f>IF(Transactions_RAW_cleaned[[#This Row],[Status]]="Completed", IFERROR(_xlfn.XLOOKUP(Transactions_RAW_cleaned[[#This Row],[CustomerID]], Customers_cleaned[CustomerID], Customers_cleaned[Segment]), "Customer Not Found"), "N/A")</f>
        <v>Enterprise</v>
      </c>
      <c r="P559" s="5" t="str">
        <f>IF(Transactions_RAW_cleaned[[#This Row],[Status]]="Refunded", "Refund",
  IF(Transactions_RAW_cleaned[[#This Row],[Category]]="Payments", IF(Transactions_RAW_cleaned[[#This Row],[Amount]]&gt;500,"High Value","Standard"),
    IF(Transactions_RAW_cleaned[[#This Row],[Amount]]&gt;250,"High Value","Standard")))</f>
        <v>High Value</v>
      </c>
      <c r="Q559" s="5" t="str">
        <f>IF(Transactions_RAW_cleaned[[#This Row],[Amount]] &gt; (_xlfn.XLOOKUP(Transactions_RAW_cleaned[[#This Row],[ServiceID]],Services_cleaned[ServiceID],Services_cleaned[TransactionFeePct]) * 10000), "Yes", "No")</f>
        <v>Yes</v>
      </c>
      <c r="R559" s="5" t="str">
        <f>IF(COUNTIFS($C$2:Transactions_RAW_cleaned[[#This Row],[CustomerID]],Transactions_RAW_cleaned[[#This Row],[CustomerID]],$D$2:Transactions_RAW_cleaned[[#This Row],[ServiceID]],Transactions_RAW_cleaned[[#This Row],[ServiceID]])=1,"Yes","No")</f>
        <v>Yes</v>
      </c>
      <c r="S55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59" t="str">
        <f>"Q"&amp;ROUNDUP(MONTH(Transactions_RAW_cleaned[[#This Row],[TransactionDate]])/3,0)</f>
        <v>Q4</v>
      </c>
      <c r="U559" t="str">
        <f>Transactions_RAW_cleaned[[#This Row],[Region ]]&amp;Transactions_RAW_cleaned[[#This Row],[Quarter ]]</f>
        <v>NAQ4</v>
      </c>
      <c r="V559" s="5">
        <f>_xlfn.XLOOKUP(Transactions_RAW_cleaned[[#This Row],[RegionQuarterKey]], Quarterly_Targets_cleaned[RegionQuarterKey], Quarterly_Targets_cleaned[TargetRevenue])</f>
        <v>299000</v>
      </c>
    </row>
    <row r="560" spans="1:22" x14ac:dyDescent="0.25">
      <c r="A560" t="s">
        <v>894</v>
      </c>
      <c r="B560" s="1">
        <v>45420</v>
      </c>
      <c r="C560" t="s">
        <v>109</v>
      </c>
      <c r="D560" t="s">
        <v>315</v>
      </c>
      <c r="E560">
        <v>486.75</v>
      </c>
      <c r="F560" t="s">
        <v>324</v>
      </c>
      <c r="G560" t="s">
        <v>337</v>
      </c>
      <c r="I560" t="s">
        <v>8</v>
      </c>
      <c r="J560" t="s">
        <v>102</v>
      </c>
      <c r="K560" t="s">
        <v>18</v>
      </c>
      <c r="L560" t="s">
        <v>316</v>
      </c>
      <c r="M560" t="s">
        <v>305</v>
      </c>
      <c r="N560">
        <v>2.5000000000000001E-3</v>
      </c>
      <c r="O560" t="str">
        <f>IF(Transactions_RAW_cleaned[[#This Row],[Status]]="Completed", IFERROR(_xlfn.XLOOKUP(Transactions_RAW_cleaned[[#This Row],[CustomerID]], Customers_cleaned[CustomerID], Customers_cleaned[Segment]), "Customer Not Found"), "N/A")</f>
        <v>SMB</v>
      </c>
      <c r="P560" s="5" t="str">
        <f>IF(Transactions_RAW_cleaned[[#This Row],[Status]]="Refunded", "Refund",
  IF(Transactions_RAW_cleaned[[#This Row],[Category]]="Payments", IF(Transactions_RAW_cleaned[[#This Row],[Amount]]&gt;500,"High Value","Standard"),
    IF(Transactions_RAW_cleaned[[#This Row],[Amount]]&gt;250,"High Value","Standard")))</f>
        <v>High Value</v>
      </c>
      <c r="Q560" s="5" t="str">
        <f>IF(Transactions_RAW_cleaned[[#This Row],[Amount]] &gt; (_xlfn.XLOOKUP(Transactions_RAW_cleaned[[#This Row],[ServiceID]],Services_cleaned[ServiceID],Services_cleaned[TransactionFeePct]) * 10000), "Yes", "No")</f>
        <v>Yes</v>
      </c>
      <c r="R560" s="5" t="str">
        <f>IF(COUNTIFS($C$2:Transactions_RAW_cleaned[[#This Row],[CustomerID]],Transactions_RAW_cleaned[[#This Row],[CustomerID]],$D$2:Transactions_RAW_cleaned[[#This Row],[ServiceID]],Transactions_RAW_cleaned[[#This Row],[ServiceID]])=1,"Yes","No")</f>
        <v>No</v>
      </c>
      <c r="S56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60" t="str">
        <f>"Q"&amp;ROUNDUP(MONTH(Transactions_RAW_cleaned[[#This Row],[TransactionDate]])/3,0)</f>
        <v>Q2</v>
      </c>
      <c r="U560" t="str">
        <f>Transactions_RAW_cleaned[[#This Row],[Region ]]&amp;Transactions_RAW_cleaned[[#This Row],[Quarter ]]</f>
        <v>NAQ2</v>
      </c>
      <c r="V560" s="5">
        <f>_xlfn.XLOOKUP(Transactions_RAW_cleaned[[#This Row],[RegionQuarterKey]], Quarterly_Targets_cleaned[RegionQuarterKey], Quarterly_Targets_cleaned[TargetRevenue])</f>
        <v>260000</v>
      </c>
    </row>
    <row r="561" spans="1:22" x14ac:dyDescent="0.25">
      <c r="A561" t="s">
        <v>895</v>
      </c>
      <c r="B561" s="1">
        <v>45352</v>
      </c>
      <c r="C561" t="s">
        <v>127</v>
      </c>
      <c r="D561" t="s">
        <v>315</v>
      </c>
      <c r="E561">
        <v>1126.6600000000001</v>
      </c>
      <c r="F561" t="s">
        <v>324</v>
      </c>
      <c r="G561" t="s">
        <v>325</v>
      </c>
      <c r="H561" t="s">
        <v>332</v>
      </c>
      <c r="I561" t="s">
        <v>8</v>
      </c>
      <c r="J561" t="s">
        <v>102</v>
      </c>
      <c r="K561" t="s">
        <v>22</v>
      </c>
      <c r="L561" t="s">
        <v>316</v>
      </c>
      <c r="M561" t="s">
        <v>305</v>
      </c>
      <c r="N561">
        <v>2.5000000000000001E-3</v>
      </c>
      <c r="O561" t="str">
        <f>IF(Transactions_RAW_cleaned[[#This Row],[Status]]="Completed", IFERROR(_xlfn.XLOOKUP(Transactions_RAW_cleaned[[#This Row],[CustomerID]], Customers_cleaned[CustomerID], Customers_cleaned[Segment]), "Customer Not Found"), "N/A")</f>
        <v>SMB</v>
      </c>
      <c r="P561" s="5" t="str">
        <f>IF(Transactions_RAW_cleaned[[#This Row],[Status]]="Refunded", "Refund",
  IF(Transactions_RAW_cleaned[[#This Row],[Category]]="Payments", IF(Transactions_RAW_cleaned[[#This Row],[Amount]]&gt;500,"High Value","Standard"),
    IF(Transactions_RAW_cleaned[[#This Row],[Amount]]&gt;250,"High Value","Standard")))</f>
        <v>High Value</v>
      </c>
      <c r="Q561" s="5" t="str">
        <f>IF(Transactions_RAW_cleaned[[#This Row],[Amount]] &gt; (_xlfn.XLOOKUP(Transactions_RAW_cleaned[[#This Row],[ServiceID]],Services_cleaned[ServiceID],Services_cleaned[TransactionFeePct]) * 10000), "Yes", "No")</f>
        <v>Yes</v>
      </c>
      <c r="R561" s="5" t="str">
        <f>IF(COUNTIFS($C$2:Transactions_RAW_cleaned[[#This Row],[CustomerID]],Transactions_RAW_cleaned[[#This Row],[CustomerID]],$D$2:Transactions_RAW_cleaned[[#This Row],[ServiceID]],Transactions_RAW_cleaned[[#This Row],[ServiceID]])=1,"Yes","No")</f>
        <v>No</v>
      </c>
      <c r="S56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61" t="str">
        <f>"Q"&amp;ROUNDUP(MONTH(Transactions_RAW_cleaned[[#This Row],[TransactionDate]])/3,0)</f>
        <v>Q1</v>
      </c>
      <c r="U561" t="str">
        <f>Transactions_RAW_cleaned[[#This Row],[Region ]]&amp;Transactions_RAW_cleaned[[#This Row],[Quarter ]]</f>
        <v>NAQ1</v>
      </c>
      <c r="V561" s="5">
        <f>_xlfn.XLOOKUP(Transactions_RAW_cleaned[[#This Row],[RegionQuarterKey]], Quarterly_Targets_cleaned[RegionQuarterKey], Quarterly_Targets_cleaned[TargetRevenue])</f>
        <v>247000</v>
      </c>
    </row>
    <row r="562" spans="1:22" x14ac:dyDescent="0.25">
      <c r="A562" t="s">
        <v>896</v>
      </c>
      <c r="B562" s="1">
        <v>45534</v>
      </c>
      <c r="C562" t="s">
        <v>98</v>
      </c>
      <c r="D562" t="s">
        <v>306</v>
      </c>
      <c r="E562">
        <v>686.29</v>
      </c>
      <c r="F562" t="s">
        <v>324</v>
      </c>
      <c r="G562" t="s">
        <v>325</v>
      </c>
      <c r="I562" t="s">
        <v>8</v>
      </c>
      <c r="J562" t="s">
        <v>37</v>
      </c>
      <c r="K562" t="s">
        <v>18</v>
      </c>
      <c r="L562" t="s">
        <v>307</v>
      </c>
      <c r="M562" t="s">
        <v>308</v>
      </c>
      <c r="N562">
        <v>0</v>
      </c>
      <c r="O562" t="str">
        <f>IF(Transactions_RAW_cleaned[[#This Row],[Status]]="Completed", IFERROR(_xlfn.XLOOKUP(Transactions_RAW_cleaned[[#This Row],[CustomerID]], Customers_cleaned[CustomerID], Customers_cleaned[Segment]), "Customer Not Found"), "N/A")</f>
        <v>SMB</v>
      </c>
      <c r="P562" s="5" t="str">
        <f>IF(Transactions_RAW_cleaned[[#This Row],[Status]]="Refunded", "Refund",
  IF(Transactions_RAW_cleaned[[#This Row],[Category]]="Payments", IF(Transactions_RAW_cleaned[[#This Row],[Amount]]&gt;500,"High Value","Standard"),
    IF(Transactions_RAW_cleaned[[#This Row],[Amount]]&gt;250,"High Value","Standard")))</f>
        <v>High Value</v>
      </c>
      <c r="Q562" s="5" t="str">
        <f>IF(Transactions_RAW_cleaned[[#This Row],[Amount]] &gt; (_xlfn.XLOOKUP(Transactions_RAW_cleaned[[#This Row],[ServiceID]],Services_cleaned[ServiceID],Services_cleaned[TransactionFeePct]) * 10000), "Yes", "No")</f>
        <v>Yes</v>
      </c>
      <c r="R562" s="5" t="str">
        <f>IF(COUNTIFS($C$2:Transactions_RAW_cleaned[[#This Row],[CustomerID]],Transactions_RAW_cleaned[[#This Row],[CustomerID]],$D$2:Transactions_RAW_cleaned[[#This Row],[ServiceID]],Transactions_RAW_cleaned[[#This Row],[ServiceID]])=1,"Yes","No")</f>
        <v>Yes</v>
      </c>
      <c r="S56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562" t="str">
        <f>"Q"&amp;ROUNDUP(MONTH(Transactions_RAW_cleaned[[#This Row],[TransactionDate]])/3,0)</f>
        <v>Q3</v>
      </c>
      <c r="U562" t="str">
        <f>Transactions_RAW_cleaned[[#This Row],[Region ]]&amp;Transactions_RAW_cleaned[[#This Row],[Quarter ]]</f>
        <v>EMEAQ3</v>
      </c>
      <c r="V562" s="5">
        <f>_xlfn.XLOOKUP(Transactions_RAW_cleaned[[#This Row],[RegionQuarterKey]], Quarterly_Targets_cleaned[RegionQuarterKey], Quarterly_Targets_cleaned[TargetRevenue])</f>
        <v>147000</v>
      </c>
    </row>
    <row r="563" spans="1:22" x14ac:dyDescent="0.25">
      <c r="A563" t="s">
        <v>897</v>
      </c>
      <c r="B563" s="1">
        <v>45388</v>
      </c>
      <c r="C563" t="s">
        <v>275</v>
      </c>
      <c r="D563" t="s">
        <v>303</v>
      </c>
      <c r="E563">
        <v>-469.98</v>
      </c>
      <c r="F563" t="s">
        <v>349</v>
      </c>
      <c r="G563" t="s">
        <v>327</v>
      </c>
      <c r="I563" t="s">
        <v>57</v>
      </c>
      <c r="J563" t="s">
        <v>13</v>
      </c>
      <c r="K563" t="s">
        <v>22</v>
      </c>
      <c r="L563" t="s">
        <v>304</v>
      </c>
      <c r="M563" t="s">
        <v>305</v>
      </c>
      <c r="N563">
        <v>1E-3</v>
      </c>
      <c r="O563" t="str">
        <f>IF(Transactions_RAW_cleaned[[#This Row],[Status]]="Completed", IFERROR(_xlfn.XLOOKUP(Transactions_RAW_cleaned[[#This Row],[CustomerID]], Customers_cleaned[CustomerID], Customers_cleaned[Segment]), "Customer Not Found"), "N/A")</f>
        <v>N/A</v>
      </c>
      <c r="P563" s="5" t="str">
        <f>IF(Transactions_RAW_cleaned[[#This Row],[Status]]="Refunded", "Refund",
  IF(Transactions_RAW_cleaned[[#This Row],[Category]]="Payments", IF(Transactions_RAW_cleaned[[#This Row],[Amount]]&gt;500,"High Value","Standard"),
    IF(Transactions_RAW_cleaned[[#This Row],[Amount]]&gt;250,"High Value","Standard")))</f>
        <v>Refund</v>
      </c>
      <c r="Q563" s="5" t="str">
        <f>IF(Transactions_RAW_cleaned[[#This Row],[Amount]] &gt; (_xlfn.XLOOKUP(Transactions_RAW_cleaned[[#This Row],[ServiceID]],Services_cleaned[ServiceID],Services_cleaned[TransactionFeePct]) * 10000), "Yes", "No")</f>
        <v>No</v>
      </c>
      <c r="R563" s="5" t="str">
        <f>IF(COUNTIFS($C$2:Transactions_RAW_cleaned[[#This Row],[CustomerID]],Transactions_RAW_cleaned[[#This Row],[CustomerID]],$D$2:Transactions_RAW_cleaned[[#This Row],[ServiceID]],Transactions_RAW_cleaned[[#This Row],[ServiceID]])=1,"Yes","No")</f>
        <v>Yes</v>
      </c>
      <c r="S56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63" t="str">
        <f>"Q"&amp;ROUNDUP(MONTH(Transactions_RAW_cleaned[[#This Row],[TransactionDate]])/3,0)</f>
        <v>Q2</v>
      </c>
      <c r="U563" t="str">
        <f>Transactions_RAW_cleaned[[#This Row],[Region ]]&amp;Transactions_RAW_cleaned[[#This Row],[Quarter ]]</f>
        <v>NAQ2</v>
      </c>
      <c r="V563" s="5">
        <f>_xlfn.XLOOKUP(Transactions_RAW_cleaned[[#This Row],[RegionQuarterKey]], Quarterly_Targets_cleaned[RegionQuarterKey], Quarterly_Targets_cleaned[TargetRevenue])</f>
        <v>260000</v>
      </c>
    </row>
    <row r="564" spans="1:22" x14ac:dyDescent="0.25">
      <c r="A564" t="s">
        <v>898</v>
      </c>
      <c r="B564" s="1">
        <v>45309</v>
      </c>
      <c r="C564" t="s">
        <v>255</v>
      </c>
      <c r="D564" t="s">
        <v>294</v>
      </c>
      <c r="E564">
        <v>76.349999999999994</v>
      </c>
      <c r="F564" t="s">
        <v>324</v>
      </c>
      <c r="G564" t="s">
        <v>325</v>
      </c>
      <c r="I564" t="s">
        <v>17</v>
      </c>
      <c r="J564" t="s">
        <v>21</v>
      </c>
      <c r="K564" t="s">
        <v>28</v>
      </c>
      <c r="L564" t="s">
        <v>295</v>
      </c>
      <c r="M564" t="s">
        <v>296</v>
      </c>
      <c r="N564">
        <v>2.9000000000000001E-2</v>
      </c>
      <c r="O564" t="str">
        <f>IF(Transactions_RAW_cleaned[[#This Row],[Status]]="Completed", IFERROR(_xlfn.XLOOKUP(Transactions_RAW_cleaned[[#This Row],[CustomerID]], Customers_cleaned[CustomerID], Customers_cleaned[Segment]), "Customer Not Found"), "N/A")</f>
        <v>Enterprise</v>
      </c>
      <c r="P564" s="5" t="str">
        <f>IF(Transactions_RAW_cleaned[[#This Row],[Status]]="Refunded", "Refund",
  IF(Transactions_RAW_cleaned[[#This Row],[Category]]="Payments", IF(Transactions_RAW_cleaned[[#This Row],[Amount]]&gt;500,"High Value","Standard"),
    IF(Transactions_RAW_cleaned[[#This Row],[Amount]]&gt;250,"High Value","Standard")))</f>
        <v>Standard</v>
      </c>
      <c r="Q564" s="5" t="str">
        <f>IF(Transactions_RAW_cleaned[[#This Row],[Amount]] &gt; (_xlfn.XLOOKUP(Transactions_RAW_cleaned[[#This Row],[ServiceID]],Services_cleaned[ServiceID],Services_cleaned[TransactionFeePct]) * 10000), "Yes", "No")</f>
        <v>No</v>
      </c>
      <c r="R564" s="5" t="str">
        <f>IF(COUNTIFS($C$2:Transactions_RAW_cleaned[[#This Row],[CustomerID]],Transactions_RAW_cleaned[[#This Row],[CustomerID]],$D$2:Transactions_RAW_cleaned[[#This Row],[ServiceID]],Transactions_RAW_cleaned[[#This Row],[ServiceID]])=1,"Yes","No")</f>
        <v>Yes</v>
      </c>
      <c r="S56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64" t="str">
        <f>"Q"&amp;ROUNDUP(MONTH(Transactions_RAW_cleaned[[#This Row],[TransactionDate]])/3,0)</f>
        <v>Q1</v>
      </c>
      <c r="U564" t="str">
        <f>Transactions_RAW_cleaned[[#This Row],[Region ]]&amp;Transactions_RAW_cleaned[[#This Row],[Quarter ]]</f>
        <v>APACQ1</v>
      </c>
      <c r="V564" s="5">
        <f>_xlfn.XLOOKUP(Transactions_RAW_cleaned[[#This Row],[RegionQuarterKey]], Quarterly_Targets_cleaned[RegionQuarterKey], Quarterly_Targets_cleaned[TargetRevenue])</f>
        <v>104500</v>
      </c>
    </row>
    <row r="565" spans="1:22" x14ac:dyDescent="0.25">
      <c r="A565" t="s">
        <v>899</v>
      </c>
      <c r="B565" s="1">
        <v>45387</v>
      </c>
      <c r="C565" t="s">
        <v>6</v>
      </c>
      <c r="D565" t="s">
        <v>297</v>
      </c>
      <c r="E565">
        <v>164.58</v>
      </c>
      <c r="F565" t="s">
        <v>324</v>
      </c>
      <c r="G565" t="s">
        <v>327</v>
      </c>
      <c r="H565" t="s">
        <v>334</v>
      </c>
      <c r="I565" t="s">
        <v>8</v>
      </c>
      <c r="J565" t="s">
        <v>102</v>
      </c>
      <c r="K565" t="s">
        <v>10</v>
      </c>
      <c r="L565" t="s">
        <v>298</v>
      </c>
      <c r="M565" t="s">
        <v>299</v>
      </c>
      <c r="N565">
        <v>0</v>
      </c>
      <c r="O565" t="str">
        <f>IF(Transactions_RAW_cleaned[[#This Row],[Status]]="Completed", IFERROR(_xlfn.XLOOKUP(Transactions_RAW_cleaned[[#This Row],[CustomerID]], Customers_cleaned[CustomerID], Customers_cleaned[Segment]), "Customer Not Found"), "N/A")</f>
        <v>SMB</v>
      </c>
      <c r="P565" s="5" t="str">
        <f>IF(Transactions_RAW_cleaned[[#This Row],[Status]]="Refunded", "Refund",
  IF(Transactions_RAW_cleaned[[#This Row],[Category]]="Payments", IF(Transactions_RAW_cleaned[[#This Row],[Amount]]&gt;500,"High Value","Standard"),
    IF(Transactions_RAW_cleaned[[#This Row],[Amount]]&gt;250,"High Value","Standard")))</f>
        <v>Standard</v>
      </c>
      <c r="Q565" s="5" t="str">
        <f>IF(Transactions_RAW_cleaned[[#This Row],[Amount]] &gt; (_xlfn.XLOOKUP(Transactions_RAW_cleaned[[#This Row],[ServiceID]],Services_cleaned[ServiceID],Services_cleaned[TransactionFeePct]) * 10000), "Yes", "No")</f>
        <v>Yes</v>
      </c>
      <c r="R565" s="5" t="str">
        <f>IF(COUNTIFS($C$2:Transactions_RAW_cleaned[[#This Row],[CustomerID]],Transactions_RAW_cleaned[[#This Row],[CustomerID]],$D$2:Transactions_RAW_cleaned[[#This Row],[ServiceID]],Transactions_RAW_cleaned[[#This Row],[ServiceID]])=1,"Yes","No")</f>
        <v>Yes</v>
      </c>
      <c r="S56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65" t="str">
        <f>"Q"&amp;ROUNDUP(MONTH(Transactions_RAW_cleaned[[#This Row],[TransactionDate]])/3,0)</f>
        <v>Q2</v>
      </c>
      <c r="U565" t="str">
        <f>Transactions_RAW_cleaned[[#This Row],[Region ]]&amp;Transactions_RAW_cleaned[[#This Row],[Quarter ]]</f>
        <v>NAQ2</v>
      </c>
      <c r="V565" s="5">
        <f>_xlfn.XLOOKUP(Transactions_RAW_cleaned[[#This Row],[RegionQuarterKey]], Quarterly_Targets_cleaned[RegionQuarterKey], Quarterly_Targets_cleaned[TargetRevenue])</f>
        <v>260000</v>
      </c>
    </row>
    <row r="566" spans="1:22" x14ac:dyDescent="0.25">
      <c r="A566" t="s">
        <v>900</v>
      </c>
      <c r="B566" s="1">
        <v>45558</v>
      </c>
      <c r="C566" t="s">
        <v>125</v>
      </c>
      <c r="D566" t="s">
        <v>312</v>
      </c>
      <c r="E566">
        <v>448.23</v>
      </c>
      <c r="F566" t="s">
        <v>324</v>
      </c>
      <c r="G566" t="s">
        <v>325</v>
      </c>
      <c r="I566" t="s">
        <v>8</v>
      </c>
      <c r="J566" t="s">
        <v>13</v>
      </c>
      <c r="K566" t="s">
        <v>28</v>
      </c>
      <c r="L566" t="s">
        <v>313</v>
      </c>
      <c r="M566" t="s">
        <v>314</v>
      </c>
      <c r="N566">
        <v>0</v>
      </c>
      <c r="O566" t="str">
        <f>IF(Transactions_RAW_cleaned[[#This Row],[Status]]="Completed", IFERROR(_xlfn.XLOOKUP(Transactions_RAW_cleaned[[#This Row],[CustomerID]], Customers_cleaned[CustomerID], Customers_cleaned[Segment]), "Customer Not Found"), "N/A")</f>
        <v>SMB</v>
      </c>
      <c r="P566" s="5" t="str">
        <f>IF(Transactions_RAW_cleaned[[#This Row],[Status]]="Refunded", "Refund",
  IF(Transactions_RAW_cleaned[[#This Row],[Category]]="Payments", IF(Transactions_RAW_cleaned[[#This Row],[Amount]]&gt;500,"High Value","Standard"),
    IF(Transactions_RAW_cleaned[[#This Row],[Amount]]&gt;250,"High Value","Standard")))</f>
        <v>High Value</v>
      </c>
      <c r="Q566" s="5" t="str">
        <f>IF(Transactions_RAW_cleaned[[#This Row],[Amount]] &gt; (_xlfn.XLOOKUP(Transactions_RAW_cleaned[[#This Row],[ServiceID]],Services_cleaned[ServiceID],Services_cleaned[TransactionFeePct]) * 10000), "Yes", "No")</f>
        <v>Yes</v>
      </c>
      <c r="R566" s="5" t="str">
        <f>IF(COUNTIFS($C$2:Transactions_RAW_cleaned[[#This Row],[CustomerID]],Transactions_RAW_cleaned[[#This Row],[CustomerID]],$D$2:Transactions_RAW_cleaned[[#This Row],[ServiceID]],Transactions_RAW_cleaned[[#This Row],[ServiceID]])=1,"Yes","No")</f>
        <v>Yes</v>
      </c>
      <c r="S56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66" t="str">
        <f>"Q"&amp;ROUNDUP(MONTH(Transactions_RAW_cleaned[[#This Row],[TransactionDate]])/3,0)</f>
        <v>Q3</v>
      </c>
      <c r="U566" t="str">
        <f>Transactions_RAW_cleaned[[#This Row],[Region ]]&amp;Transactions_RAW_cleaned[[#This Row],[Quarter ]]</f>
        <v>NAQ3</v>
      </c>
      <c r="V566" s="5">
        <f>_xlfn.XLOOKUP(Transactions_RAW_cleaned[[#This Row],[RegionQuarterKey]], Quarterly_Targets_cleaned[RegionQuarterKey], Quarterly_Targets_cleaned[TargetRevenue])</f>
        <v>273000</v>
      </c>
    </row>
    <row r="567" spans="1:22" x14ac:dyDescent="0.25">
      <c r="A567" t="s">
        <v>901</v>
      </c>
      <c r="B567" s="1">
        <v>45519</v>
      </c>
      <c r="C567" t="s">
        <v>29</v>
      </c>
      <c r="D567" t="s">
        <v>312</v>
      </c>
      <c r="E567">
        <v>351.28</v>
      </c>
      <c r="F567" t="s">
        <v>324</v>
      </c>
      <c r="G567" t="s">
        <v>325</v>
      </c>
      <c r="H567" t="s">
        <v>346</v>
      </c>
      <c r="I567" t="s">
        <v>8</v>
      </c>
      <c r="J567" t="s">
        <v>31</v>
      </c>
      <c r="K567" t="s">
        <v>32</v>
      </c>
      <c r="L567" t="s">
        <v>313</v>
      </c>
      <c r="M567" t="s">
        <v>314</v>
      </c>
      <c r="N567">
        <v>0</v>
      </c>
      <c r="O567" t="str">
        <f>IF(Transactions_RAW_cleaned[[#This Row],[Status]]="Completed", IFERROR(_xlfn.XLOOKUP(Transactions_RAW_cleaned[[#This Row],[CustomerID]], Customers_cleaned[CustomerID], Customers_cleaned[Segment]), "Customer Not Found"), "N/A")</f>
        <v>SMB</v>
      </c>
      <c r="P567" s="5" t="str">
        <f>IF(Transactions_RAW_cleaned[[#This Row],[Status]]="Refunded", "Refund",
  IF(Transactions_RAW_cleaned[[#This Row],[Category]]="Payments", IF(Transactions_RAW_cleaned[[#This Row],[Amount]]&gt;500,"High Value","Standard"),
    IF(Transactions_RAW_cleaned[[#This Row],[Amount]]&gt;250,"High Value","Standard")))</f>
        <v>High Value</v>
      </c>
      <c r="Q567" s="5" t="str">
        <f>IF(Transactions_RAW_cleaned[[#This Row],[Amount]] &gt; (_xlfn.XLOOKUP(Transactions_RAW_cleaned[[#This Row],[ServiceID]],Services_cleaned[ServiceID],Services_cleaned[TransactionFeePct]) * 10000), "Yes", "No")</f>
        <v>Yes</v>
      </c>
      <c r="R567" s="5" t="str">
        <f>IF(COUNTIFS($C$2:Transactions_RAW_cleaned[[#This Row],[CustomerID]],Transactions_RAW_cleaned[[#This Row],[CustomerID]],$D$2:Transactions_RAW_cleaned[[#This Row],[ServiceID]],Transactions_RAW_cleaned[[#This Row],[ServiceID]])=1,"Yes","No")</f>
        <v>Yes</v>
      </c>
      <c r="S56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567" t="str">
        <f>"Q"&amp;ROUNDUP(MONTH(Transactions_RAW_cleaned[[#This Row],[TransactionDate]])/3,0)</f>
        <v>Q3</v>
      </c>
      <c r="U567" t="str">
        <f>Transactions_RAW_cleaned[[#This Row],[Region ]]&amp;Transactions_RAW_cleaned[[#This Row],[Quarter ]]</f>
        <v>EMEAQ3</v>
      </c>
      <c r="V567" s="5">
        <f>_xlfn.XLOOKUP(Transactions_RAW_cleaned[[#This Row],[RegionQuarterKey]], Quarterly_Targets_cleaned[RegionQuarterKey], Quarterly_Targets_cleaned[TargetRevenue])</f>
        <v>147000</v>
      </c>
    </row>
    <row r="568" spans="1:22" x14ac:dyDescent="0.25">
      <c r="A568" t="s">
        <v>902</v>
      </c>
      <c r="B568" s="1">
        <v>45571</v>
      </c>
      <c r="C568" t="s">
        <v>26</v>
      </c>
      <c r="D568" t="s">
        <v>294</v>
      </c>
      <c r="E568">
        <v>80.709999999999994</v>
      </c>
      <c r="F568" t="s">
        <v>324</v>
      </c>
      <c r="G568" t="s">
        <v>325</v>
      </c>
      <c r="I568" t="s">
        <v>8</v>
      </c>
      <c r="J568" t="s">
        <v>102</v>
      </c>
      <c r="K568" t="s">
        <v>28</v>
      </c>
      <c r="L568" t="s">
        <v>295</v>
      </c>
      <c r="M568" t="s">
        <v>296</v>
      </c>
      <c r="N568">
        <v>2.9000000000000001E-2</v>
      </c>
      <c r="O568" t="str">
        <f>IF(Transactions_RAW_cleaned[[#This Row],[Status]]="Completed", IFERROR(_xlfn.XLOOKUP(Transactions_RAW_cleaned[[#This Row],[CustomerID]], Customers_cleaned[CustomerID], Customers_cleaned[Segment]), "Customer Not Found"), "N/A")</f>
        <v>SMB</v>
      </c>
      <c r="P568" s="5" t="str">
        <f>IF(Transactions_RAW_cleaned[[#This Row],[Status]]="Refunded", "Refund",
  IF(Transactions_RAW_cleaned[[#This Row],[Category]]="Payments", IF(Transactions_RAW_cleaned[[#This Row],[Amount]]&gt;500,"High Value","Standard"),
    IF(Transactions_RAW_cleaned[[#This Row],[Amount]]&gt;250,"High Value","Standard")))</f>
        <v>Standard</v>
      </c>
      <c r="Q568" s="5" t="str">
        <f>IF(Transactions_RAW_cleaned[[#This Row],[Amount]] &gt; (_xlfn.XLOOKUP(Transactions_RAW_cleaned[[#This Row],[ServiceID]],Services_cleaned[ServiceID],Services_cleaned[TransactionFeePct]) * 10000), "Yes", "No")</f>
        <v>No</v>
      </c>
      <c r="R568" s="5" t="str">
        <f>IF(COUNTIFS($C$2:Transactions_RAW_cleaned[[#This Row],[CustomerID]],Transactions_RAW_cleaned[[#This Row],[CustomerID]],$D$2:Transactions_RAW_cleaned[[#This Row],[ServiceID]],Transactions_RAW_cleaned[[#This Row],[ServiceID]])=1,"Yes","No")</f>
        <v>Yes</v>
      </c>
      <c r="S56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68" t="str">
        <f>"Q"&amp;ROUNDUP(MONTH(Transactions_RAW_cleaned[[#This Row],[TransactionDate]])/3,0)</f>
        <v>Q4</v>
      </c>
      <c r="U568" t="str">
        <f>Transactions_RAW_cleaned[[#This Row],[Region ]]&amp;Transactions_RAW_cleaned[[#This Row],[Quarter ]]</f>
        <v>NAQ4</v>
      </c>
      <c r="V568" s="5">
        <f>_xlfn.XLOOKUP(Transactions_RAW_cleaned[[#This Row],[RegionQuarterKey]], Quarterly_Targets_cleaned[RegionQuarterKey], Quarterly_Targets_cleaned[TargetRevenue])</f>
        <v>299000</v>
      </c>
    </row>
    <row r="569" spans="1:22" x14ac:dyDescent="0.25">
      <c r="A569" t="s">
        <v>903</v>
      </c>
      <c r="B569" s="1">
        <v>45535</v>
      </c>
      <c r="C569" t="s">
        <v>213</v>
      </c>
      <c r="D569" t="s">
        <v>297</v>
      </c>
      <c r="E569">
        <v>384.49</v>
      </c>
      <c r="F569" t="s">
        <v>324</v>
      </c>
      <c r="G569" t="s">
        <v>325</v>
      </c>
      <c r="H569" t="s">
        <v>346</v>
      </c>
      <c r="I569" t="s">
        <v>17</v>
      </c>
      <c r="J569" t="s">
        <v>25</v>
      </c>
      <c r="K569" t="s">
        <v>14</v>
      </c>
      <c r="L569" t="s">
        <v>298</v>
      </c>
      <c r="M569" t="s">
        <v>299</v>
      </c>
      <c r="N569">
        <v>0</v>
      </c>
      <c r="O569" t="str">
        <f>IF(Transactions_RAW_cleaned[[#This Row],[Status]]="Completed", IFERROR(_xlfn.XLOOKUP(Transactions_RAW_cleaned[[#This Row],[CustomerID]], Customers_cleaned[CustomerID], Customers_cleaned[Segment]), "Customer Not Found"), "N/A")</f>
        <v>Enterprise</v>
      </c>
      <c r="P569" s="5" t="str">
        <f>IF(Transactions_RAW_cleaned[[#This Row],[Status]]="Refunded", "Refund",
  IF(Transactions_RAW_cleaned[[#This Row],[Category]]="Payments", IF(Transactions_RAW_cleaned[[#This Row],[Amount]]&gt;500,"High Value","Standard"),
    IF(Transactions_RAW_cleaned[[#This Row],[Amount]]&gt;250,"High Value","Standard")))</f>
        <v>High Value</v>
      </c>
      <c r="Q569" s="5" t="str">
        <f>IF(Transactions_RAW_cleaned[[#This Row],[Amount]] &gt; (_xlfn.XLOOKUP(Transactions_RAW_cleaned[[#This Row],[ServiceID]],Services_cleaned[ServiceID],Services_cleaned[TransactionFeePct]) * 10000), "Yes", "No")</f>
        <v>Yes</v>
      </c>
      <c r="R569" s="5" t="str">
        <f>IF(COUNTIFS($C$2:Transactions_RAW_cleaned[[#This Row],[CustomerID]],Transactions_RAW_cleaned[[#This Row],[CustomerID]],$D$2:Transactions_RAW_cleaned[[#This Row],[ServiceID]],Transactions_RAW_cleaned[[#This Row],[ServiceID]])=1,"Yes","No")</f>
        <v>Yes</v>
      </c>
      <c r="S56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69" t="str">
        <f>"Q"&amp;ROUNDUP(MONTH(Transactions_RAW_cleaned[[#This Row],[TransactionDate]])/3,0)</f>
        <v>Q3</v>
      </c>
      <c r="U569" t="str">
        <f>Transactions_RAW_cleaned[[#This Row],[Region ]]&amp;Transactions_RAW_cleaned[[#This Row],[Quarter ]]</f>
        <v>APACQ3</v>
      </c>
      <c r="V569" s="5">
        <f>_xlfn.XLOOKUP(Transactions_RAW_cleaned[[#This Row],[RegionQuarterKey]], Quarterly_Targets_cleaned[RegionQuarterKey], Quarterly_Targets_cleaned[TargetRevenue])</f>
        <v>115500</v>
      </c>
    </row>
    <row r="570" spans="1:22" x14ac:dyDescent="0.25">
      <c r="A570" t="s">
        <v>904</v>
      </c>
      <c r="B570" s="1">
        <v>45613</v>
      </c>
      <c r="C570" t="s">
        <v>58</v>
      </c>
      <c r="D570" t="s">
        <v>300</v>
      </c>
      <c r="E570">
        <v>374.93</v>
      </c>
      <c r="F570" t="s">
        <v>324</v>
      </c>
      <c r="G570" t="s">
        <v>337</v>
      </c>
      <c r="H570" t="s">
        <v>332</v>
      </c>
      <c r="I570" t="s">
        <v>17</v>
      </c>
      <c r="J570" t="s">
        <v>102</v>
      </c>
      <c r="K570" t="s">
        <v>22</v>
      </c>
      <c r="L570" t="s">
        <v>301</v>
      </c>
      <c r="M570" t="s">
        <v>302</v>
      </c>
      <c r="N570">
        <v>5.0000000000000001E-3</v>
      </c>
      <c r="O570" t="str">
        <f>IF(Transactions_RAW_cleaned[[#This Row],[Status]]="Completed", IFERROR(_xlfn.XLOOKUP(Transactions_RAW_cleaned[[#This Row],[CustomerID]], Customers_cleaned[CustomerID], Customers_cleaned[Segment]), "Customer Not Found"), "N/A")</f>
        <v>Enterprise</v>
      </c>
      <c r="P570" s="5" t="str">
        <f>IF(Transactions_RAW_cleaned[[#This Row],[Status]]="Refunded", "Refund",
  IF(Transactions_RAW_cleaned[[#This Row],[Category]]="Payments", IF(Transactions_RAW_cleaned[[#This Row],[Amount]]&gt;500,"High Value","Standard"),
    IF(Transactions_RAW_cleaned[[#This Row],[Amount]]&gt;250,"High Value","Standard")))</f>
        <v>High Value</v>
      </c>
      <c r="Q570" s="5" t="str">
        <f>IF(Transactions_RAW_cleaned[[#This Row],[Amount]] &gt; (_xlfn.XLOOKUP(Transactions_RAW_cleaned[[#This Row],[ServiceID]],Services_cleaned[ServiceID],Services_cleaned[TransactionFeePct]) * 10000), "Yes", "No")</f>
        <v>Yes</v>
      </c>
      <c r="R570" s="5" t="str">
        <f>IF(COUNTIFS($C$2:Transactions_RAW_cleaned[[#This Row],[CustomerID]],Transactions_RAW_cleaned[[#This Row],[CustomerID]],$D$2:Transactions_RAW_cleaned[[#This Row],[ServiceID]],Transactions_RAW_cleaned[[#This Row],[ServiceID]])=1,"Yes","No")</f>
        <v>Yes</v>
      </c>
      <c r="S57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70" t="str">
        <f>"Q"&amp;ROUNDUP(MONTH(Transactions_RAW_cleaned[[#This Row],[TransactionDate]])/3,0)</f>
        <v>Q4</v>
      </c>
      <c r="U570" t="str">
        <f>Transactions_RAW_cleaned[[#This Row],[Region ]]&amp;Transactions_RAW_cleaned[[#This Row],[Quarter ]]</f>
        <v>NAQ4</v>
      </c>
      <c r="V570" s="5">
        <f>_xlfn.XLOOKUP(Transactions_RAW_cleaned[[#This Row],[RegionQuarterKey]], Quarterly_Targets_cleaned[RegionQuarterKey], Quarterly_Targets_cleaned[TargetRevenue])</f>
        <v>299000</v>
      </c>
    </row>
    <row r="571" spans="1:22" x14ac:dyDescent="0.25">
      <c r="A571" t="s">
        <v>905</v>
      </c>
      <c r="B571" s="1">
        <v>45366</v>
      </c>
      <c r="C571" t="s">
        <v>127</v>
      </c>
      <c r="D571" t="s">
        <v>300</v>
      </c>
      <c r="E571">
        <v>1493.6</v>
      </c>
      <c r="F571" t="s">
        <v>324</v>
      </c>
      <c r="G571" t="s">
        <v>327</v>
      </c>
      <c r="H571" t="s">
        <v>332</v>
      </c>
      <c r="I571" t="s">
        <v>8</v>
      </c>
      <c r="J571" t="s">
        <v>102</v>
      </c>
      <c r="K571" t="s">
        <v>22</v>
      </c>
      <c r="L571" t="s">
        <v>301</v>
      </c>
      <c r="M571" t="s">
        <v>302</v>
      </c>
      <c r="N571">
        <v>5.0000000000000001E-3</v>
      </c>
      <c r="O571" t="str">
        <f>IF(Transactions_RAW_cleaned[[#This Row],[Status]]="Completed", IFERROR(_xlfn.XLOOKUP(Transactions_RAW_cleaned[[#This Row],[CustomerID]], Customers_cleaned[CustomerID], Customers_cleaned[Segment]), "Customer Not Found"), "N/A")</f>
        <v>SMB</v>
      </c>
      <c r="P571" s="5" t="str">
        <f>IF(Transactions_RAW_cleaned[[#This Row],[Status]]="Refunded", "Refund",
  IF(Transactions_RAW_cleaned[[#This Row],[Category]]="Payments", IF(Transactions_RAW_cleaned[[#This Row],[Amount]]&gt;500,"High Value","Standard"),
    IF(Transactions_RAW_cleaned[[#This Row],[Amount]]&gt;250,"High Value","Standard")))</f>
        <v>High Value</v>
      </c>
      <c r="Q571" s="5" t="str">
        <f>IF(Transactions_RAW_cleaned[[#This Row],[Amount]] &gt; (_xlfn.XLOOKUP(Transactions_RAW_cleaned[[#This Row],[ServiceID]],Services_cleaned[ServiceID],Services_cleaned[TransactionFeePct]) * 10000), "Yes", "No")</f>
        <v>Yes</v>
      </c>
      <c r="R571" s="5" t="str">
        <f>IF(COUNTIFS($C$2:Transactions_RAW_cleaned[[#This Row],[CustomerID]],Transactions_RAW_cleaned[[#This Row],[CustomerID]],$D$2:Transactions_RAW_cleaned[[#This Row],[ServiceID]],Transactions_RAW_cleaned[[#This Row],[ServiceID]])=1,"Yes","No")</f>
        <v>Yes</v>
      </c>
      <c r="S57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71" t="str">
        <f>"Q"&amp;ROUNDUP(MONTH(Transactions_RAW_cleaned[[#This Row],[TransactionDate]])/3,0)</f>
        <v>Q1</v>
      </c>
      <c r="U571" t="str">
        <f>Transactions_RAW_cleaned[[#This Row],[Region ]]&amp;Transactions_RAW_cleaned[[#This Row],[Quarter ]]</f>
        <v>NAQ1</v>
      </c>
      <c r="V571" s="5">
        <f>_xlfn.XLOOKUP(Transactions_RAW_cleaned[[#This Row],[RegionQuarterKey]], Quarterly_Targets_cleaned[RegionQuarterKey], Quarterly_Targets_cleaned[TargetRevenue])</f>
        <v>247000</v>
      </c>
    </row>
    <row r="572" spans="1:22" x14ac:dyDescent="0.25">
      <c r="A572" t="s">
        <v>906</v>
      </c>
      <c r="B572" s="1">
        <v>45320</v>
      </c>
      <c r="C572" t="s">
        <v>221</v>
      </c>
      <c r="D572" t="s">
        <v>315</v>
      </c>
      <c r="E572">
        <v>288.83</v>
      </c>
      <c r="F572" t="s">
        <v>324</v>
      </c>
      <c r="G572" t="s">
        <v>325</v>
      </c>
      <c r="I572" t="s">
        <v>8</v>
      </c>
      <c r="J572" t="s">
        <v>102</v>
      </c>
      <c r="K572" t="s">
        <v>14</v>
      </c>
      <c r="L572" t="s">
        <v>316</v>
      </c>
      <c r="M572" t="s">
        <v>305</v>
      </c>
      <c r="N572">
        <v>2.5000000000000001E-3</v>
      </c>
      <c r="O572" t="str">
        <f>IF(Transactions_RAW_cleaned[[#This Row],[Status]]="Completed", IFERROR(_xlfn.XLOOKUP(Transactions_RAW_cleaned[[#This Row],[CustomerID]], Customers_cleaned[CustomerID], Customers_cleaned[Segment]), "Customer Not Found"), "N/A")</f>
        <v>SMB</v>
      </c>
      <c r="P572" s="5" t="str">
        <f>IF(Transactions_RAW_cleaned[[#This Row],[Status]]="Refunded", "Refund",
  IF(Transactions_RAW_cleaned[[#This Row],[Category]]="Payments", IF(Transactions_RAW_cleaned[[#This Row],[Amount]]&gt;500,"High Value","Standard"),
    IF(Transactions_RAW_cleaned[[#This Row],[Amount]]&gt;250,"High Value","Standard")))</f>
        <v>High Value</v>
      </c>
      <c r="Q572" s="5" t="str">
        <f>IF(Transactions_RAW_cleaned[[#This Row],[Amount]] &gt; (_xlfn.XLOOKUP(Transactions_RAW_cleaned[[#This Row],[ServiceID]],Services_cleaned[ServiceID],Services_cleaned[TransactionFeePct]) * 10000), "Yes", "No")</f>
        <v>Yes</v>
      </c>
      <c r="R572" s="5" t="str">
        <f>IF(COUNTIFS($C$2:Transactions_RAW_cleaned[[#This Row],[CustomerID]],Transactions_RAW_cleaned[[#This Row],[CustomerID]],$D$2:Transactions_RAW_cleaned[[#This Row],[ServiceID]],Transactions_RAW_cleaned[[#This Row],[ServiceID]])=1,"Yes","No")</f>
        <v>Yes</v>
      </c>
      <c r="S57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72" t="str">
        <f>"Q"&amp;ROUNDUP(MONTH(Transactions_RAW_cleaned[[#This Row],[TransactionDate]])/3,0)</f>
        <v>Q1</v>
      </c>
      <c r="U572" t="str">
        <f>Transactions_RAW_cleaned[[#This Row],[Region ]]&amp;Transactions_RAW_cleaned[[#This Row],[Quarter ]]</f>
        <v>NAQ1</v>
      </c>
      <c r="V572" s="5">
        <f>_xlfn.XLOOKUP(Transactions_RAW_cleaned[[#This Row],[RegionQuarterKey]], Quarterly_Targets_cleaned[RegionQuarterKey], Quarterly_Targets_cleaned[TargetRevenue])</f>
        <v>247000</v>
      </c>
    </row>
    <row r="573" spans="1:22" x14ac:dyDescent="0.25">
      <c r="A573" t="s">
        <v>907</v>
      </c>
      <c r="B573" s="1">
        <v>45581</v>
      </c>
      <c r="C573" t="s">
        <v>105</v>
      </c>
      <c r="D573" t="s">
        <v>303</v>
      </c>
      <c r="E573">
        <v>83.08</v>
      </c>
      <c r="F573" t="s">
        <v>324</v>
      </c>
      <c r="G573" t="s">
        <v>325</v>
      </c>
      <c r="I573" t="s">
        <v>57</v>
      </c>
      <c r="J573" t="s">
        <v>102</v>
      </c>
      <c r="K573" t="s">
        <v>32</v>
      </c>
      <c r="L573" t="s">
        <v>304</v>
      </c>
      <c r="M573" t="s">
        <v>305</v>
      </c>
      <c r="N573">
        <v>1E-3</v>
      </c>
      <c r="O573" t="str">
        <f>IF(Transactions_RAW_cleaned[[#This Row],[Status]]="Completed", IFERROR(_xlfn.XLOOKUP(Transactions_RAW_cleaned[[#This Row],[CustomerID]], Customers_cleaned[CustomerID], Customers_cleaned[Segment]), "Customer Not Found"), "N/A")</f>
        <v>Startup</v>
      </c>
      <c r="P573" s="5" t="str">
        <f>IF(Transactions_RAW_cleaned[[#This Row],[Status]]="Refunded", "Refund",
  IF(Transactions_RAW_cleaned[[#This Row],[Category]]="Payments", IF(Transactions_RAW_cleaned[[#This Row],[Amount]]&gt;500,"High Value","Standard"),
    IF(Transactions_RAW_cleaned[[#This Row],[Amount]]&gt;250,"High Value","Standard")))</f>
        <v>Standard</v>
      </c>
      <c r="Q573" s="5" t="str">
        <f>IF(Transactions_RAW_cleaned[[#This Row],[Amount]] &gt; (_xlfn.XLOOKUP(Transactions_RAW_cleaned[[#This Row],[ServiceID]],Services_cleaned[ServiceID],Services_cleaned[TransactionFeePct]) * 10000), "Yes", "No")</f>
        <v>Yes</v>
      </c>
      <c r="R573" s="5" t="str">
        <f>IF(COUNTIFS($C$2:Transactions_RAW_cleaned[[#This Row],[CustomerID]],Transactions_RAW_cleaned[[#This Row],[CustomerID]],$D$2:Transactions_RAW_cleaned[[#This Row],[ServiceID]],Transactions_RAW_cleaned[[#This Row],[ServiceID]])=1,"Yes","No")</f>
        <v>No</v>
      </c>
      <c r="S57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73" t="str">
        <f>"Q"&amp;ROUNDUP(MONTH(Transactions_RAW_cleaned[[#This Row],[TransactionDate]])/3,0)</f>
        <v>Q4</v>
      </c>
      <c r="U573" t="str">
        <f>Transactions_RAW_cleaned[[#This Row],[Region ]]&amp;Transactions_RAW_cleaned[[#This Row],[Quarter ]]</f>
        <v>NAQ4</v>
      </c>
      <c r="V573" s="5">
        <f>_xlfn.XLOOKUP(Transactions_RAW_cleaned[[#This Row],[RegionQuarterKey]], Quarterly_Targets_cleaned[RegionQuarterKey], Quarterly_Targets_cleaned[TargetRevenue])</f>
        <v>299000</v>
      </c>
    </row>
    <row r="574" spans="1:22" x14ac:dyDescent="0.25">
      <c r="A574" t="s">
        <v>908</v>
      </c>
      <c r="B574" s="1">
        <v>45538</v>
      </c>
      <c r="C574" t="s">
        <v>145</v>
      </c>
      <c r="D574" t="s">
        <v>294</v>
      </c>
      <c r="E574">
        <v>-332.05</v>
      </c>
      <c r="F574" t="s">
        <v>349</v>
      </c>
      <c r="G574" t="s">
        <v>337</v>
      </c>
      <c r="I574" t="s">
        <v>8</v>
      </c>
      <c r="J574" t="s">
        <v>13</v>
      </c>
      <c r="K574" t="s">
        <v>32</v>
      </c>
      <c r="L574" t="s">
        <v>295</v>
      </c>
      <c r="M574" t="s">
        <v>296</v>
      </c>
      <c r="N574">
        <v>2.9000000000000001E-2</v>
      </c>
      <c r="O574" t="str">
        <f>IF(Transactions_RAW_cleaned[[#This Row],[Status]]="Completed", IFERROR(_xlfn.XLOOKUP(Transactions_RAW_cleaned[[#This Row],[CustomerID]], Customers_cleaned[CustomerID], Customers_cleaned[Segment]), "Customer Not Found"), "N/A")</f>
        <v>N/A</v>
      </c>
      <c r="P574" s="5" t="str">
        <f>IF(Transactions_RAW_cleaned[[#This Row],[Status]]="Refunded", "Refund",
  IF(Transactions_RAW_cleaned[[#This Row],[Category]]="Payments", IF(Transactions_RAW_cleaned[[#This Row],[Amount]]&gt;500,"High Value","Standard"),
    IF(Transactions_RAW_cleaned[[#This Row],[Amount]]&gt;250,"High Value","Standard")))</f>
        <v>Refund</v>
      </c>
      <c r="Q574" s="5" t="str">
        <f>IF(Transactions_RAW_cleaned[[#This Row],[Amount]] &gt; (_xlfn.XLOOKUP(Transactions_RAW_cleaned[[#This Row],[ServiceID]],Services_cleaned[ServiceID],Services_cleaned[TransactionFeePct]) * 10000), "Yes", "No")</f>
        <v>No</v>
      </c>
      <c r="R574" s="5" t="str">
        <f>IF(COUNTIFS($C$2:Transactions_RAW_cleaned[[#This Row],[CustomerID]],Transactions_RAW_cleaned[[#This Row],[CustomerID]],$D$2:Transactions_RAW_cleaned[[#This Row],[ServiceID]],Transactions_RAW_cleaned[[#This Row],[ServiceID]])=1,"Yes","No")</f>
        <v>Yes</v>
      </c>
      <c r="S57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74" t="str">
        <f>"Q"&amp;ROUNDUP(MONTH(Transactions_RAW_cleaned[[#This Row],[TransactionDate]])/3,0)</f>
        <v>Q3</v>
      </c>
      <c r="U574" t="str">
        <f>Transactions_RAW_cleaned[[#This Row],[Region ]]&amp;Transactions_RAW_cleaned[[#This Row],[Quarter ]]</f>
        <v>NAQ3</v>
      </c>
      <c r="V574" s="5">
        <f>_xlfn.XLOOKUP(Transactions_RAW_cleaned[[#This Row],[RegionQuarterKey]], Quarterly_Targets_cleaned[RegionQuarterKey], Quarterly_Targets_cleaned[TargetRevenue])</f>
        <v>273000</v>
      </c>
    </row>
    <row r="575" spans="1:22" x14ac:dyDescent="0.25">
      <c r="A575" t="s">
        <v>909</v>
      </c>
      <c r="B575" s="1">
        <v>45640</v>
      </c>
      <c r="C575" t="s">
        <v>119</v>
      </c>
      <c r="D575" t="s">
        <v>294</v>
      </c>
      <c r="E575">
        <v>161.78</v>
      </c>
      <c r="F575" t="s">
        <v>324</v>
      </c>
      <c r="G575" t="s">
        <v>329</v>
      </c>
      <c r="I575" t="s">
        <v>57</v>
      </c>
      <c r="J575" t="s">
        <v>102</v>
      </c>
      <c r="K575" t="s">
        <v>18</v>
      </c>
      <c r="L575" t="s">
        <v>295</v>
      </c>
      <c r="M575" t="s">
        <v>296</v>
      </c>
      <c r="N575">
        <v>2.9000000000000001E-2</v>
      </c>
      <c r="O575" t="str">
        <f>IF(Transactions_RAW_cleaned[[#This Row],[Status]]="Completed", IFERROR(_xlfn.XLOOKUP(Transactions_RAW_cleaned[[#This Row],[CustomerID]], Customers_cleaned[CustomerID], Customers_cleaned[Segment]), "Customer Not Found"), "N/A")</f>
        <v>Startup</v>
      </c>
      <c r="P575" s="5" t="str">
        <f>IF(Transactions_RAW_cleaned[[#This Row],[Status]]="Refunded", "Refund",
  IF(Transactions_RAW_cleaned[[#This Row],[Category]]="Payments", IF(Transactions_RAW_cleaned[[#This Row],[Amount]]&gt;500,"High Value","Standard"),
    IF(Transactions_RAW_cleaned[[#This Row],[Amount]]&gt;250,"High Value","Standard")))</f>
        <v>Standard</v>
      </c>
      <c r="Q575" s="5" t="str">
        <f>IF(Transactions_RAW_cleaned[[#This Row],[Amount]] &gt; (_xlfn.XLOOKUP(Transactions_RAW_cleaned[[#This Row],[ServiceID]],Services_cleaned[ServiceID],Services_cleaned[TransactionFeePct]) * 10000), "Yes", "No")</f>
        <v>No</v>
      </c>
      <c r="R575" s="5" t="str">
        <f>IF(COUNTIFS($C$2:Transactions_RAW_cleaned[[#This Row],[CustomerID]],Transactions_RAW_cleaned[[#This Row],[CustomerID]],$D$2:Transactions_RAW_cleaned[[#This Row],[ServiceID]],Transactions_RAW_cleaned[[#This Row],[ServiceID]])=1,"Yes","No")</f>
        <v>No</v>
      </c>
      <c r="S57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75" t="str">
        <f>"Q"&amp;ROUNDUP(MONTH(Transactions_RAW_cleaned[[#This Row],[TransactionDate]])/3,0)</f>
        <v>Q4</v>
      </c>
      <c r="U575" t="str">
        <f>Transactions_RAW_cleaned[[#This Row],[Region ]]&amp;Transactions_RAW_cleaned[[#This Row],[Quarter ]]</f>
        <v>NAQ4</v>
      </c>
      <c r="V575" s="5">
        <f>_xlfn.XLOOKUP(Transactions_RAW_cleaned[[#This Row],[RegionQuarterKey]], Quarterly_Targets_cleaned[RegionQuarterKey], Quarterly_Targets_cleaned[TargetRevenue])</f>
        <v>299000</v>
      </c>
    </row>
    <row r="576" spans="1:22" x14ac:dyDescent="0.25">
      <c r="A576" t="s">
        <v>910</v>
      </c>
      <c r="B576" s="1">
        <v>45399</v>
      </c>
      <c r="C576" t="s">
        <v>225</v>
      </c>
      <c r="D576" t="s">
        <v>297</v>
      </c>
      <c r="E576">
        <v>538</v>
      </c>
      <c r="F576" t="s">
        <v>324</v>
      </c>
      <c r="G576" t="s">
        <v>337</v>
      </c>
      <c r="I576" t="s">
        <v>8</v>
      </c>
      <c r="J576" t="s">
        <v>21</v>
      </c>
      <c r="K576" t="s">
        <v>28</v>
      </c>
      <c r="L576" t="s">
        <v>298</v>
      </c>
      <c r="M576" t="s">
        <v>299</v>
      </c>
      <c r="N576">
        <v>0</v>
      </c>
      <c r="O576" t="str">
        <f>IF(Transactions_RAW_cleaned[[#This Row],[Status]]="Completed", IFERROR(_xlfn.XLOOKUP(Transactions_RAW_cleaned[[#This Row],[CustomerID]], Customers_cleaned[CustomerID], Customers_cleaned[Segment]), "Customer Not Found"), "N/A")</f>
        <v>SMB</v>
      </c>
      <c r="P576" s="5" t="str">
        <f>IF(Transactions_RAW_cleaned[[#This Row],[Status]]="Refunded", "Refund",
  IF(Transactions_RAW_cleaned[[#This Row],[Category]]="Payments", IF(Transactions_RAW_cleaned[[#This Row],[Amount]]&gt;500,"High Value","Standard"),
    IF(Transactions_RAW_cleaned[[#This Row],[Amount]]&gt;250,"High Value","Standard")))</f>
        <v>High Value</v>
      </c>
      <c r="Q576" s="5" t="str">
        <f>IF(Transactions_RAW_cleaned[[#This Row],[Amount]] &gt; (_xlfn.XLOOKUP(Transactions_RAW_cleaned[[#This Row],[ServiceID]],Services_cleaned[ServiceID],Services_cleaned[TransactionFeePct]) * 10000), "Yes", "No")</f>
        <v>Yes</v>
      </c>
      <c r="R576" s="5" t="str">
        <f>IF(COUNTIFS($C$2:Transactions_RAW_cleaned[[#This Row],[CustomerID]],Transactions_RAW_cleaned[[#This Row],[CustomerID]],$D$2:Transactions_RAW_cleaned[[#This Row],[ServiceID]],Transactions_RAW_cleaned[[#This Row],[ServiceID]])=1,"Yes","No")</f>
        <v>No</v>
      </c>
      <c r="S57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76" t="str">
        <f>"Q"&amp;ROUNDUP(MONTH(Transactions_RAW_cleaned[[#This Row],[TransactionDate]])/3,0)</f>
        <v>Q2</v>
      </c>
      <c r="U576" t="str">
        <f>Transactions_RAW_cleaned[[#This Row],[Region ]]&amp;Transactions_RAW_cleaned[[#This Row],[Quarter ]]</f>
        <v>APACQ2</v>
      </c>
      <c r="V576" s="5">
        <f>_xlfn.XLOOKUP(Transactions_RAW_cleaned[[#This Row],[RegionQuarterKey]], Quarterly_Targets_cleaned[RegionQuarterKey], Quarterly_Targets_cleaned[TargetRevenue])</f>
        <v>110000</v>
      </c>
    </row>
    <row r="577" spans="1:22" x14ac:dyDescent="0.25">
      <c r="A577" t="s">
        <v>911</v>
      </c>
      <c r="B577" s="1">
        <v>45518</v>
      </c>
      <c r="C577" t="s">
        <v>78</v>
      </c>
      <c r="D577" t="s">
        <v>300</v>
      </c>
      <c r="E577">
        <v>380.92</v>
      </c>
      <c r="F577" t="s">
        <v>324</v>
      </c>
      <c r="G577" t="s">
        <v>325</v>
      </c>
      <c r="I577" t="s">
        <v>17</v>
      </c>
      <c r="J577" t="s">
        <v>21</v>
      </c>
      <c r="K577" t="s">
        <v>22</v>
      </c>
      <c r="L577" t="s">
        <v>301</v>
      </c>
      <c r="M577" t="s">
        <v>302</v>
      </c>
      <c r="N577">
        <v>5.0000000000000001E-3</v>
      </c>
      <c r="O577" t="str">
        <f>IF(Transactions_RAW_cleaned[[#This Row],[Status]]="Completed", IFERROR(_xlfn.XLOOKUP(Transactions_RAW_cleaned[[#This Row],[CustomerID]], Customers_cleaned[CustomerID], Customers_cleaned[Segment]), "Customer Not Found"), "N/A")</f>
        <v>Enterprise</v>
      </c>
      <c r="P577" s="5" t="str">
        <f>IF(Transactions_RAW_cleaned[[#This Row],[Status]]="Refunded", "Refund",
  IF(Transactions_RAW_cleaned[[#This Row],[Category]]="Payments", IF(Transactions_RAW_cleaned[[#This Row],[Amount]]&gt;500,"High Value","Standard"),
    IF(Transactions_RAW_cleaned[[#This Row],[Amount]]&gt;250,"High Value","Standard")))</f>
        <v>High Value</v>
      </c>
      <c r="Q577" s="5" t="str">
        <f>IF(Transactions_RAW_cleaned[[#This Row],[Amount]] &gt; (_xlfn.XLOOKUP(Transactions_RAW_cleaned[[#This Row],[ServiceID]],Services_cleaned[ServiceID],Services_cleaned[TransactionFeePct]) * 10000), "Yes", "No")</f>
        <v>Yes</v>
      </c>
      <c r="R577" s="5" t="str">
        <f>IF(COUNTIFS($C$2:Transactions_RAW_cleaned[[#This Row],[CustomerID]],Transactions_RAW_cleaned[[#This Row],[CustomerID]],$D$2:Transactions_RAW_cleaned[[#This Row],[ServiceID]],Transactions_RAW_cleaned[[#This Row],[ServiceID]])=1,"Yes","No")</f>
        <v>Yes</v>
      </c>
      <c r="S57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77" t="str">
        <f>"Q"&amp;ROUNDUP(MONTH(Transactions_RAW_cleaned[[#This Row],[TransactionDate]])/3,0)</f>
        <v>Q3</v>
      </c>
      <c r="U577" t="str">
        <f>Transactions_RAW_cleaned[[#This Row],[Region ]]&amp;Transactions_RAW_cleaned[[#This Row],[Quarter ]]</f>
        <v>APACQ3</v>
      </c>
      <c r="V577" s="5">
        <f>_xlfn.XLOOKUP(Transactions_RAW_cleaned[[#This Row],[RegionQuarterKey]], Quarterly_Targets_cleaned[RegionQuarterKey], Quarterly_Targets_cleaned[TargetRevenue])</f>
        <v>115500</v>
      </c>
    </row>
    <row r="578" spans="1:22" x14ac:dyDescent="0.25">
      <c r="A578" t="s">
        <v>912</v>
      </c>
      <c r="B578" s="1">
        <v>45628</v>
      </c>
      <c r="C578" t="s">
        <v>70</v>
      </c>
      <c r="D578" t="s">
        <v>309</v>
      </c>
      <c r="E578">
        <v>404.99</v>
      </c>
      <c r="F578" t="s">
        <v>331</v>
      </c>
      <c r="G578" t="s">
        <v>327</v>
      </c>
      <c r="I578" t="s">
        <v>8</v>
      </c>
      <c r="J578" t="s">
        <v>37</v>
      </c>
      <c r="K578" t="s">
        <v>28</v>
      </c>
      <c r="L578" t="s">
        <v>310</v>
      </c>
      <c r="M578" t="s">
        <v>311</v>
      </c>
      <c r="N578">
        <v>0</v>
      </c>
      <c r="O578" t="str">
        <f>IF(Transactions_RAW_cleaned[[#This Row],[Status]]="Completed", IFERROR(_xlfn.XLOOKUP(Transactions_RAW_cleaned[[#This Row],[CustomerID]], Customers_cleaned[CustomerID], Customers_cleaned[Segment]), "Customer Not Found"), "N/A")</f>
        <v>N/A</v>
      </c>
      <c r="P578" s="5" t="str">
        <f>IF(Transactions_RAW_cleaned[[#This Row],[Status]]="Refunded", "Refund",
  IF(Transactions_RAW_cleaned[[#This Row],[Category]]="Payments", IF(Transactions_RAW_cleaned[[#This Row],[Amount]]&gt;500,"High Value","Standard"),
    IF(Transactions_RAW_cleaned[[#This Row],[Amount]]&gt;250,"High Value","Standard")))</f>
        <v>High Value</v>
      </c>
      <c r="Q578" s="5" t="str">
        <f>IF(Transactions_RAW_cleaned[[#This Row],[Amount]] &gt; (_xlfn.XLOOKUP(Transactions_RAW_cleaned[[#This Row],[ServiceID]],Services_cleaned[ServiceID],Services_cleaned[TransactionFeePct]) * 10000), "Yes", "No")</f>
        <v>Yes</v>
      </c>
      <c r="R578" s="5" t="str">
        <f>IF(COUNTIFS($C$2:Transactions_RAW_cleaned[[#This Row],[CustomerID]],Transactions_RAW_cleaned[[#This Row],[CustomerID]],$D$2:Transactions_RAW_cleaned[[#This Row],[ServiceID]],Transactions_RAW_cleaned[[#This Row],[ServiceID]])=1,"Yes","No")</f>
        <v>No</v>
      </c>
      <c r="S57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578" t="str">
        <f>"Q"&amp;ROUNDUP(MONTH(Transactions_RAW_cleaned[[#This Row],[TransactionDate]])/3,0)</f>
        <v>Q4</v>
      </c>
      <c r="U578" t="str">
        <f>Transactions_RAW_cleaned[[#This Row],[Region ]]&amp;Transactions_RAW_cleaned[[#This Row],[Quarter ]]</f>
        <v>EMEAQ4</v>
      </c>
      <c r="V578" s="5">
        <f>_xlfn.XLOOKUP(Transactions_RAW_cleaned[[#This Row],[RegionQuarterKey]], Quarterly_Targets_cleaned[RegionQuarterKey], Quarterly_Targets_cleaned[TargetRevenue])</f>
        <v>161000</v>
      </c>
    </row>
    <row r="579" spans="1:22" x14ac:dyDescent="0.25">
      <c r="A579" t="s">
        <v>913</v>
      </c>
      <c r="B579" s="1">
        <v>45493</v>
      </c>
      <c r="C579" t="s">
        <v>121</v>
      </c>
      <c r="D579" t="s">
        <v>294</v>
      </c>
      <c r="E579">
        <v>322.77999999999997</v>
      </c>
      <c r="F579" t="s">
        <v>324</v>
      </c>
      <c r="G579" t="s">
        <v>325</v>
      </c>
      <c r="I579" t="s">
        <v>8</v>
      </c>
      <c r="J579" t="s">
        <v>37</v>
      </c>
      <c r="K579" t="s">
        <v>14</v>
      </c>
      <c r="L579" t="s">
        <v>295</v>
      </c>
      <c r="M579" t="s">
        <v>296</v>
      </c>
      <c r="N579">
        <v>2.9000000000000001E-2</v>
      </c>
      <c r="O579" t="str">
        <f>IF(Transactions_RAW_cleaned[[#This Row],[Status]]="Completed", IFERROR(_xlfn.XLOOKUP(Transactions_RAW_cleaned[[#This Row],[CustomerID]], Customers_cleaned[CustomerID], Customers_cleaned[Segment]), "Customer Not Found"), "N/A")</f>
        <v>SMB</v>
      </c>
      <c r="P579" s="5" t="str">
        <f>IF(Transactions_RAW_cleaned[[#This Row],[Status]]="Refunded", "Refund",
  IF(Transactions_RAW_cleaned[[#This Row],[Category]]="Payments", IF(Transactions_RAW_cleaned[[#This Row],[Amount]]&gt;500,"High Value","Standard"),
    IF(Transactions_RAW_cleaned[[#This Row],[Amount]]&gt;250,"High Value","Standard")))</f>
        <v>Standard</v>
      </c>
      <c r="Q579" s="5" t="str">
        <f>IF(Transactions_RAW_cleaned[[#This Row],[Amount]] &gt; (_xlfn.XLOOKUP(Transactions_RAW_cleaned[[#This Row],[ServiceID]],Services_cleaned[ServiceID],Services_cleaned[TransactionFeePct]) * 10000), "Yes", "No")</f>
        <v>Yes</v>
      </c>
      <c r="R579" s="5" t="str">
        <f>IF(COUNTIFS($C$2:Transactions_RAW_cleaned[[#This Row],[CustomerID]],Transactions_RAW_cleaned[[#This Row],[CustomerID]],$D$2:Transactions_RAW_cleaned[[#This Row],[ServiceID]],Transactions_RAW_cleaned[[#This Row],[ServiceID]])=1,"Yes","No")</f>
        <v>No</v>
      </c>
      <c r="S57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579" t="str">
        <f>"Q"&amp;ROUNDUP(MONTH(Transactions_RAW_cleaned[[#This Row],[TransactionDate]])/3,0)</f>
        <v>Q3</v>
      </c>
      <c r="U579" t="str">
        <f>Transactions_RAW_cleaned[[#This Row],[Region ]]&amp;Transactions_RAW_cleaned[[#This Row],[Quarter ]]</f>
        <v>EMEAQ3</v>
      </c>
      <c r="V579" s="5">
        <f>_xlfn.XLOOKUP(Transactions_RAW_cleaned[[#This Row],[RegionQuarterKey]], Quarterly_Targets_cleaned[RegionQuarterKey], Quarterly_Targets_cleaned[TargetRevenue])</f>
        <v>147000</v>
      </c>
    </row>
    <row r="580" spans="1:22" x14ac:dyDescent="0.25">
      <c r="A580" t="s">
        <v>914</v>
      </c>
      <c r="B580" s="1">
        <v>45542</v>
      </c>
      <c r="C580" t="s">
        <v>78</v>
      </c>
      <c r="D580" t="s">
        <v>294</v>
      </c>
      <c r="E580">
        <v>529.42999999999995</v>
      </c>
      <c r="F580" t="s">
        <v>324</v>
      </c>
      <c r="G580" t="s">
        <v>325</v>
      </c>
      <c r="H580" t="s">
        <v>334</v>
      </c>
      <c r="I580" t="s">
        <v>17</v>
      </c>
      <c r="J580" t="s">
        <v>21</v>
      </c>
      <c r="K580" t="s">
        <v>22</v>
      </c>
      <c r="L580" t="s">
        <v>295</v>
      </c>
      <c r="M580" t="s">
        <v>296</v>
      </c>
      <c r="N580">
        <v>2.9000000000000001E-2</v>
      </c>
      <c r="O580" t="str">
        <f>IF(Transactions_RAW_cleaned[[#This Row],[Status]]="Completed", IFERROR(_xlfn.XLOOKUP(Transactions_RAW_cleaned[[#This Row],[CustomerID]], Customers_cleaned[CustomerID], Customers_cleaned[Segment]), "Customer Not Found"), "N/A")</f>
        <v>Enterprise</v>
      </c>
      <c r="P580" s="5" t="str">
        <f>IF(Transactions_RAW_cleaned[[#This Row],[Status]]="Refunded", "Refund",
  IF(Transactions_RAW_cleaned[[#This Row],[Category]]="Payments", IF(Transactions_RAW_cleaned[[#This Row],[Amount]]&gt;500,"High Value","Standard"),
    IF(Transactions_RAW_cleaned[[#This Row],[Amount]]&gt;250,"High Value","Standard")))</f>
        <v>High Value</v>
      </c>
      <c r="Q580" s="5" t="str">
        <f>IF(Transactions_RAW_cleaned[[#This Row],[Amount]] &gt; (_xlfn.XLOOKUP(Transactions_RAW_cleaned[[#This Row],[ServiceID]],Services_cleaned[ServiceID],Services_cleaned[TransactionFeePct]) * 10000), "Yes", "No")</f>
        <v>Yes</v>
      </c>
      <c r="R580" s="5" t="str">
        <f>IF(COUNTIFS($C$2:Transactions_RAW_cleaned[[#This Row],[CustomerID]],Transactions_RAW_cleaned[[#This Row],[CustomerID]],$D$2:Transactions_RAW_cleaned[[#This Row],[ServiceID]],Transactions_RAW_cleaned[[#This Row],[ServiceID]])=1,"Yes","No")</f>
        <v>No</v>
      </c>
      <c r="S58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80" t="str">
        <f>"Q"&amp;ROUNDUP(MONTH(Transactions_RAW_cleaned[[#This Row],[TransactionDate]])/3,0)</f>
        <v>Q3</v>
      </c>
      <c r="U580" t="str">
        <f>Transactions_RAW_cleaned[[#This Row],[Region ]]&amp;Transactions_RAW_cleaned[[#This Row],[Quarter ]]</f>
        <v>APACQ3</v>
      </c>
      <c r="V580" s="5">
        <f>_xlfn.XLOOKUP(Transactions_RAW_cleaned[[#This Row],[RegionQuarterKey]], Quarterly_Targets_cleaned[RegionQuarterKey], Quarterly_Targets_cleaned[TargetRevenue])</f>
        <v>115500</v>
      </c>
    </row>
    <row r="581" spans="1:22" x14ac:dyDescent="0.25">
      <c r="A581" t="s">
        <v>915</v>
      </c>
      <c r="B581" s="1">
        <v>45313</v>
      </c>
      <c r="C581" t="s">
        <v>47</v>
      </c>
      <c r="D581" t="s">
        <v>297</v>
      </c>
      <c r="E581">
        <v>241.61</v>
      </c>
      <c r="F581" t="s">
        <v>324</v>
      </c>
      <c r="G581" t="s">
        <v>329</v>
      </c>
      <c r="H581" t="s">
        <v>332</v>
      </c>
      <c r="I581" t="s">
        <v>8</v>
      </c>
      <c r="J581" t="s">
        <v>21</v>
      </c>
      <c r="K581" t="s">
        <v>22</v>
      </c>
      <c r="L581" t="s">
        <v>298</v>
      </c>
      <c r="M581" t="s">
        <v>299</v>
      </c>
      <c r="N581">
        <v>0</v>
      </c>
      <c r="O581" t="str">
        <f>IF(Transactions_RAW_cleaned[[#This Row],[Status]]="Completed", IFERROR(_xlfn.XLOOKUP(Transactions_RAW_cleaned[[#This Row],[CustomerID]], Customers_cleaned[CustomerID], Customers_cleaned[Segment]), "Customer Not Found"), "N/A")</f>
        <v>SMB</v>
      </c>
      <c r="P581" s="5" t="str">
        <f>IF(Transactions_RAW_cleaned[[#This Row],[Status]]="Refunded", "Refund",
  IF(Transactions_RAW_cleaned[[#This Row],[Category]]="Payments", IF(Transactions_RAW_cleaned[[#This Row],[Amount]]&gt;500,"High Value","Standard"),
    IF(Transactions_RAW_cleaned[[#This Row],[Amount]]&gt;250,"High Value","Standard")))</f>
        <v>Standard</v>
      </c>
      <c r="Q581" s="5" t="str">
        <f>IF(Transactions_RAW_cleaned[[#This Row],[Amount]] &gt; (_xlfn.XLOOKUP(Transactions_RAW_cleaned[[#This Row],[ServiceID]],Services_cleaned[ServiceID],Services_cleaned[TransactionFeePct]) * 10000), "Yes", "No")</f>
        <v>Yes</v>
      </c>
      <c r="R581" s="5" t="str">
        <f>IF(COUNTIFS($C$2:Transactions_RAW_cleaned[[#This Row],[CustomerID]],Transactions_RAW_cleaned[[#This Row],[CustomerID]],$D$2:Transactions_RAW_cleaned[[#This Row],[ServiceID]],Transactions_RAW_cleaned[[#This Row],[ServiceID]])=1,"Yes","No")</f>
        <v>Yes</v>
      </c>
      <c r="S58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81" t="str">
        <f>"Q"&amp;ROUNDUP(MONTH(Transactions_RAW_cleaned[[#This Row],[TransactionDate]])/3,0)</f>
        <v>Q1</v>
      </c>
      <c r="U581" t="str">
        <f>Transactions_RAW_cleaned[[#This Row],[Region ]]&amp;Transactions_RAW_cleaned[[#This Row],[Quarter ]]</f>
        <v>APACQ1</v>
      </c>
      <c r="V581" s="5">
        <f>_xlfn.XLOOKUP(Transactions_RAW_cleaned[[#This Row],[RegionQuarterKey]], Quarterly_Targets_cleaned[RegionQuarterKey], Quarterly_Targets_cleaned[TargetRevenue])</f>
        <v>104500</v>
      </c>
    </row>
    <row r="582" spans="1:22" x14ac:dyDescent="0.25">
      <c r="A582" t="s">
        <v>916</v>
      </c>
      <c r="B582" s="1">
        <v>45531</v>
      </c>
      <c r="C582" t="s">
        <v>115</v>
      </c>
      <c r="D582" t="s">
        <v>306</v>
      </c>
      <c r="E582">
        <v>262.48</v>
      </c>
      <c r="F582" t="s">
        <v>324</v>
      </c>
      <c r="G582" t="s">
        <v>327</v>
      </c>
      <c r="I582" t="s">
        <v>17</v>
      </c>
      <c r="J582" t="s">
        <v>102</v>
      </c>
      <c r="K582" t="s">
        <v>32</v>
      </c>
      <c r="L582" t="s">
        <v>307</v>
      </c>
      <c r="M582" t="s">
        <v>308</v>
      </c>
      <c r="N582">
        <v>0</v>
      </c>
      <c r="O582" t="str">
        <f>IF(Transactions_RAW_cleaned[[#This Row],[Status]]="Completed", IFERROR(_xlfn.XLOOKUP(Transactions_RAW_cleaned[[#This Row],[CustomerID]], Customers_cleaned[CustomerID], Customers_cleaned[Segment]), "Customer Not Found"), "N/A")</f>
        <v>Enterprise</v>
      </c>
      <c r="P582" s="5" t="str">
        <f>IF(Transactions_RAW_cleaned[[#This Row],[Status]]="Refunded", "Refund",
  IF(Transactions_RAW_cleaned[[#This Row],[Category]]="Payments", IF(Transactions_RAW_cleaned[[#This Row],[Amount]]&gt;500,"High Value","Standard"),
    IF(Transactions_RAW_cleaned[[#This Row],[Amount]]&gt;250,"High Value","Standard")))</f>
        <v>High Value</v>
      </c>
      <c r="Q582" s="5" t="str">
        <f>IF(Transactions_RAW_cleaned[[#This Row],[Amount]] &gt; (_xlfn.XLOOKUP(Transactions_RAW_cleaned[[#This Row],[ServiceID]],Services_cleaned[ServiceID],Services_cleaned[TransactionFeePct]) * 10000), "Yes", "No")</f>
        <v>Yes</v>
      </c>
      <c r="R582" s="5" t="str">
        <f>IF(COUNTIFS($C$2:Transactions_RAW_cleaned[[#This Row],[CustomerID]],Transactions_RAW_cleaned[[#This Row],[CustomerID]],$D$2:Transactions_RAW_cleaned[[#This Row],[ServiceID]],Transactions_RAW_cleaned[[#This Row],[ServiceID]])=1,"Yes","No")</f>
        <v>Yes</v>
      </c>
      <c r="S58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82" t="str">
        <f>"Q"&amp;ROUNDUP(MONTH(Transactions_RAW_cleaned[[#This Row],[TransactionDate]])/3,0)</f>
        <v>Q3</v>
      </c>
      <c r="U582" t="str">
        <f>Transactions_RAW_cleaned[[#This Row],[Region ]]&amp;Transactions_RAW_cleaned[[#This Row],[Quarter ]]</f>
        <v>NAQ3</v>
      </c>
      <c r="V582" s="5">
        <f>_xlfn.XLOOKUP(Transactions_RAW_cleaned[[#This Row],[RegionQuarterKey]], Quarterly_Targets_cleaned[RegionQuarterKey], Quarterly_Targets_cleaned[TargetRevenue])</f>
        <v>273000</v>
      </c>
    </row>
    <row r="583" spans="1:22" x14ac:dyDescent="0.25">
      <c r="A583" t="s">
        <v>917</v>
      </c>
      <c r="B583" s="1">
        <v>45314</v>
      </c>
      <c r="C583" t="s">
        <v>62</v>
      </c>
      <c r="D583" t="s">
        <v>294</v>
      </c>
      <c r="E583">
        <v>101.33</v>
      </c>
      <c r="F583" t="s">
        <v>324</v>
      </c>
      <c r="G583" t="s">
        <v>327</v>
      </c>
      <c r="I583" t="s">
        <v>8</v>
      </c>
      <c r="J583" t="s">
        <v>46</v>
      </c>
      <c r="K583" t="s">
        <v>18</v>
      </c>
      <c r="L583" t="s">
        <v>295</v>
      </c>
      <c r="M583" t="s">
        <v>296</v>
      </c>
      <c r="N583">
        <v>2.9000000000000001E-2</v>
      </c>
      <c r="O583" t="str">
        <f>IF(Transactions_RAW_cleaned[[#This Row],[Status]]="Completed", IFERROR(_xlfn.XLOOKUP(Transactions_RAW_cleaned[[#This Row],[CustomerID]], Customers_cleaned[CustomerID], Customers_cleaned[Segment]), "Customer Not Found"), "N/A")</f>
        <v>SMB</v>
      </c>
      <c r="P583" s="5" t="str">
        <f>IF(Transactions_RAW_cleaned[[#This Row],[Status]]="Refunded", "Refund",
  IF(Transactions_RAW_cleaned[[#This Row],[Category]]="Payments", IF(Transactions_RAW_cleaned[[#This Row],[Amount]]&gt;500,"High Value","Standard"),
    IF(Transactions_RAW_cleaned[[#This Row],[Amount]]&gt;250,"High Value","Standard")))</f>
        <v>Standard</v>
      </c>
      <c r="Q583" s="5" t="str">
        <f>IF(Transactions_RAW_cleaned[[#This Row],[Amount]] &gt; (_xlfn.XLOOKUP(Transactions_RAW_cleaned[[#This Row],[ServiceID]],Services_cleaned[ServiceID],Services_cleaned[TransactionFeePct]) * 10000), "Yes", "No")</f>
        <v>No</v>
      </c>
      <c r="R583" s="5" t="str">
        <f>IF(COUNTIFS($C$2:Transactions_RAW_cleaned[[#This Row],[CustomerID]],Transactions_RAW_cleaned[[#This Row],[CustomerID]],$D$2:Transactions_RAW_cleaned[[#This Row],[ServiceID]],Transactions_RAW_cleaned[[#This Row],[ServiceID]])=1,"Yes","No")</f>
        <v>No</v>
      </c>
      <c r="S58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83" t="str">
        <f>"Q"&amp;ROUNDUP(MONTH(Transactions_RAW_cleaned[[#This Row],[TransactionDate]])/3,0)</f>
        <v>Q1</v>
      </c>
      <c r="U583" t="str">
        <f>Transactions_RAW_cleaned[[#This Row],[Region ]]&amp;Transactions_RAW_cleaned[[#This Row],[Quarter ]]</f>
        <v>APACQ1</v>
      </c>
      <c r="V583" s="5">
        <f>_xlfn.XLOOKUP(Transactions_RAW_cleaned[[#This Row],[RegionQuarterKey]], Quarterly_Targets_cleaned[RegionQuarterKey], Quarterly_Targets_cleaned[TargetRevenue])</f>
        <v>104500</v>
      </c>
    </row>
    <row r="584" spans="1:22" x14ac:dyDescent="0.25">
      <c r="A584" t="s">
        <v>918</v>
      </c>
      <c r="B584" s="1">
        <v>45511</v>
      </c>
      <c r="C584" t="s">
        <v>221</v>
      </c>
      <c r="D584" t="s">
        <v>294</v>
      </c>
      <c r="E584">
        <v>54.53</v>
      </c>
      <c r="F584" t="s">
        <v>381</v>
      </c>
      <c r="G584" t="s">
        <v>327</v>
      </c>
      <c r="I584" t="s">
        <v>8</v>
      </c>
      <c r="J584" t="s">
        <v>102</v>
      </c>
      <c r="K584" t="s">
        <v>14</v>
      </c>
      <c r="L584" t="s">
        <v>295</v>
      </c>
      <c r="M584" t="s">
        <v>296</v>
      </c>
      <c r="N584">
        <v>2.9000000000000001E-2</v>
      </c>
      <c r="O584" t="str">
        <f>IF(Transactions_RAW_cleaned[[#This Row],[Status]]="Completed", IFERROR(_xlfn.XLOOKUP(Transactions_RAW_cleaned[[#This Row],[CustomerID]], Customers_cleaned[CustomerID], Customers_cleaned[Segment]), "Customer Not Found"), "N/A")</f>
        <v>N/A</v>
      </c>
      <c r="P584" s="5" t="str">
        <f>IF(Transactions_RAW_cleaned[[#This Row],[Status]]="Refunded", "Refund",
  IF(Transactions_RAW_cleaned[[#This Row],[Category]]="Payments", IF(Transactions_RAW_cleaned[[#This Row],[Amount]]&gt;500,"High Value","Standard"),
    IF(Transactions_RAW_cleaned[[#This Row],[Amount]]&gt;250,"High Value","Standard")))</f>
        <v>Standard</v>
      </c>
      <c r="Q584" s="5" t="str">
        <f>IF(Transactions_RAW_cleaned[[#This Row],[Amount]] &gt; (_xlfn.XLOOKUP(Transactions_RAW_cleaned[[#This Row],[ServiceID]],Services_cleaned[ServiceID],Services_cleaned[TransactionFeePct]) * 10000), "Yes", "No")</f>
        <v>No</v>
      </c>
      <c r="R584" s="5" t="str">
        <f>IF(COUNTIFS($C$2:Transactions_RAW_cleaned[[#This Row],[CustomerID]],Transactions_RAW_cleaned[[#This Row],[CustomerID]],$D$2:Transactions_RAW_cleaned[[#This Row],[ServiceID]],Transactions_RAW_cleaned[[#This Row],[ServiceID]])=1,"Yes","No")</f>
        <v>No</v>
      </c>
      <c r="S58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84" t="str">
        <f>"Q"&amp;ROUNDUP(MONTH(Transactions_RAW_cleaned[[#This Row],[TransactionDate]])/3,0)</f>
        <v>Q3</v>
      </c>
      <c r="U584" t="str">
        <f>Transactions_RAW_cleaned[[#This Row],[Region ]]&amp;Transactions_RAW_cleaned[[#This Row],[Quarter ]]</f>
        <v>NAQ3</v>
      </c>
      <c r="V584" s="5">
        <f>_xlfn.XLOOKUP(Transactions_RAW_cleaned[[#This Row],[RegionQuarterKey]], Quarterly_Targets_cleaned[RegionQuarterKey], Quarterly_Targets_cleaned[TargetRevenue])</f>
        <v>273000</v>
      </c>
    </row>
    <row r="585" spans="1:22" x14ac:dyDescent="0.25">
      <c r="A585" t="s">
        <v>919</v>
      </c>
      <c r="B585" s="1">
        <v>45368</v>
      </c>
      <c r="C585" t="s">
        <v>23</v>
      </c>
      <c r="D585" t="s">
        <v>297</v>
      </c>
      <c r="E585">
        <v>524.14</v>
      </c>
      <c r="F585" t="s">
        <v>324</v>
      </c>
      <c r="G585" t="s">
        <v>327</v>
      </c>
      <c r="I585" t="s">
        <v>8</v>
      </c>
      <c r="J585" t="s">
        <v>25</v>
      </c>
      <c r="K585" t="s">
        <v>22</v>
      </c>
      <c r="L585" t="s">
        <v>298</v>
      </c>
      <c r="M585" t="s">
        <v>299</v>
      </c>
      <c r="N585">
        <v>0</v>
      </c>
      <c r="O585" t="str">
        <f>IF(Transactions_RAW_cleaned[[#This Row],[Status]]="Completed", IFERROR(_xlfn.XLOOKUP(Transactions_RAW_cleaned[[#This Row],[CustomerID]], Customers_cleaned[CustomerID], Customers_cleaned[Segment]), "Customer Not Found"), "N/A")</f>
        <v>SMB</v>
      </c>
      <c r="P585" s="5" t="str">
        <f>IF(Transactions_RAW_cleaned[[#This Row],[Status]]="Refunded", "Refund",
  IF(Transactions_RAW_cleaned[[#This Row],[Category]]="Payments", IF(Transactions_RAW_cleaned[[#This Row],[Amount]]&gt;500,"High Value","Standard"),
    IF(Transactions_RAW_cleaned[[#This Row],[Amount]]&gt;250,"High Value","Standard")))</f>
        <v>High Value</v>
      </c>
      <c r="Q585" s="5" t="str">
        <f>IF(Transactions_RAW_cleaned[[#This Row],[Amount]] &gt; (_xlfn.XLOOKUP(Transactions_RAW_cleaned[[#This Row],[ServiceID]],Services_cleaned[ServiceID],Services_cleaned[TransactionFeePct]) * 10000), "Yes", "No")</f>
        <v>Yes</v>
      </c>
      <c r="R585" s="5" t="str">
        <f>IF(COUNTIFS($C$2:Transactions_RAW_cleaned[[#This Row],[CustomerID]],Transactions_RAW_cleaned[[#This Row],[CustomerID]],$D$2:Transactions_RAW_cleaned[[#This Row],[ServiceID]],Transactions_RAW_cleaned[[#This Row],[ServiceID]])=1,"Yes","No")</f>
        <v>Yes</v>
      </c>
      <c r="S58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85" t="str">
        <f>"Q"&amp;ROUNDUP(MONTH(Transactions_RAW_cleaned[[#This Row],[TransactionDate]])/3,0)</f>
        <v>Q1</v>
      </c>
      <c r="U585" t="str">
        <f>Transactions_RAW_cleaned[[#This Row],[Region ]]&amp;Transactions_RAW_cleaned[[#This Row],[Quarter ]]</f>
        <v>APACQ1</v>
      </c>
      <c r="V585" s="5">
        <f>_xlfn.XLOOKUP(Transactions_RAW_cleaned[[#This Row],[RegionQuarterKey]], Quarterly_Targets_cleaned[RegionQuarterKey], Quarterly_Targets_cleaned[TargetRevenue])</f>
        <v>104500</v>
      </c>
    </row>
    <row r="586" spans="1:22" x14ac:dyDescent="0.25">
      <c r="A586" t="s">
        <v>920</v>
      </c>
      <c r="B586" s="1">
        <v>45328</v>
      </c>
      <c r="C586" t="s">
        <v>137</v>
      </c>
      <c r="D586" t="s">
        <v>294</v>
      </c>
      <c r="E586">
        <v>354.45</v>
      </c>
      <c r="F586" t="s">
        <v>324</v>
      </c>
      <c r="G586" t="s">
        <v>327</v>
      </c>
      <c r="H586" t="s">
        <v>334</v>
      </c>
      <c r="I586" t="s">
        <v>8</v>
      </c>
      <c r="J586" t="s">
        <v>13</v>
      </c>
      <c r="K586" t="s">
        <v>18</v>
      </c>
      <c r="L586" t="s">
        <v>295</v>
      </c>
      <c r="M586" t="s">
        <v>296</v>
      </c>
      <c r="N586">
        <v>2.9000000000000001E-2</v>
      </c>
      <c r="O586" t="str">
        <f>IF(Transactions_RAW_cleaned[[#This Row],[Status]]="Completed", IFERROR(_xlfn.XLOOKUP(Transactions_RAW_cleaned[[#This Row],[CustomerID]], Customers_cleaned[CustomerID], Customers_cleaned[Segment]), "Customer Not Found"), "N/A")</f>
        <v>SMB</v>
      </c>
      <c r="P586" s="5" t="str">
        <f>IF(Transactions_RAW_cleaned[[#This Row],[Status]]="Refunded", "Refund",
  IF(Transactions_RAW_cleaned[[#This Row],[Category]]="Payments", IF(Transactions_RAW_cleaned[[#This Row],[Amount]]&gt;500,"High Value","Standard"),
    IF(Transactions_RAW_cleaned[[#This Row],[Amount]]&gt;250,"High Value","Standard")))</f>
        <v>Standard</v>
      </c>
      <c r="Q586" s="5" t="str">
        <f>IF(Transactions_RAW_cleaned[[#This Row],[Amount]] &gt; (_xlfn.XLOOKUP(Transactions_RAW_cleaned[[#This Row],[ServiceID]],Services_cleaned[ServiceID],Services_cleaned[TransactionFeePct]) * 10000), "Yes", "No")</f>
        <v>Yes</v>
      </c>
      <c r="R586" s="5" t="str">
        <f>IF(COUNTIFS($C$2:Transactions_RAW_cleaned[[#This Row],[CustomerID]],Transactions_RAW_cleaned[[#This Row],[CustomerID]],$D$2:Transactions_RAW_cleaned[[#This Row],[ServiceID]],Transactions_RAW_cleaned[[#This Row],[ServiceID]])=1,"Yes","No")</f>
        <v>No</v>
      </c>
      <c r="S58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86" t="str">
        <f>"Q"&amp;ROUNDUP(MONTH(Transactions_RAW_cleaned[[#This Row],[TransactionDate]])/3,0)</f>
        <v>Q1</v>
      </c>
      <c r="U586" t="str">
        <f>Transactions_RAW_cleaned[[#This Row],[Region ]]&amp;Transactions_RAW_cleaned[[#This Row],[Quarter ]]</f>
        <v>NAQ1</v>
      </c>
      <c r="V586" s="5">
        <f>_xlfn.XLOOKUP(Transactions_RAW_cleaned[[#This Row],[RegionQuarterKey]], Quarterly_Targets_cleaned[RegionQuarterKey], Quarterly_Targets_cleaned[TargetRevenue])</f>
        <v>247000</v>
      </c>
    </row>
    <row r="587" spans="1:22" x14ac:dyDescent="0.25">
      <c r="A587" t="s">
        <v>921</v>
      </c>
      <c r="B587" s="1">
        <v>45501</v>
      </c>
      <c r="C587" t="s">
        <v>145</v>
      </c>
      <c r="D587" t="s">
        <v>294</v>
      </c>
      <c r="E587">
        <v>876.62</v>
      </c>
      <c r="F587" t="s">
        <v>324</v>
      </c>
      <c r="G587" t="s">
        <v>327</v>
      </c>
      <c r="H587" t="s">
        <v>334</v>
      </c>
      <c r="I587" t="s">
        <v>8</v>
      </c>
      <c r="J587" t="s">
        <v>13</v>
      </c>
      <c r="K587" t="s">
        <v>32</v>
      </c>
      <c r="L587" t="s">
        <v>295</v>
      </c>
      <c r="M587" t="s">
        <v>296</v>
      </c>
      <c r="N587">
        <v>2.9000000000000001E-2</v>
      </c>
      <c r="O587" t="str">
        <f>IF(Transactions_RAW_cleaned[[#This Row],[Status]]="Completed", IFERROR(_xlfn.XLOOKUP(Transactions_RAW_cleaned[[#This Row],[CustomerID]], Customers_cleaned[CustomerID], Customers_cleaned[Segment]), "Customer Not Found"), "N/A")</f>
        <v>SMB</v>
      </c>
      <c r="P587" s="5" t="str">
        <f>IF(Transactions_RAW_cleaned[[#This Row],[Status]]="Refunded", "Refund",
  IF(Transactions_RAW_cleaned[[#This Row],[Category]]="Payments", IF(Transactions_RAW_cleaned[[#This Row],[Amount]]&gt;500,"High Value","Standard"),
    IF(Transactions_RAW_cleaned[[#This Row],[Amount]]&gt;250,"High Value","Standard")))</f>
        <v>High Value</v>
      </c>
      <c r="Q587" s="5" t="str">
        <f>IF(Transactions_RAW_cleaned[[#This Row],[Amount]] &gt; (_xlfn.XLOOKUP(Transactions_RAW_cleaned[[#This Row],[ServiceID]],Services_cleaned[ServiceID],Services_cleaned[TransactionFeePct]) * 10000), "Yes", "No")</f>
        <v>Yes</v>
      </c>
      <c r="R587" s="5" t="str">
        <f>IF(COUNTIFS($C$2:Transactions_RAW_cleaned[[#This Row],[CustomerID]],Transactions_RAW_cleaned[[#This Row],[CustomerID]],$D$2:Transactions_RAW_cleaned[[#This Row],[ServiceID]],Transactions_RAW_cleaned[[#This Row],[ServiceID]])=1,"Yes","No")</f>
        <v>No</v>
      </c>
      <c r="S58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87" t="str">
        <f>"Q"&amp;ROUNDUP(MONTH(Transactions_RAW_cleaned[[#This Row],[TransactionDate]])/3,0)</f>
        <v>Q3</v>
      </c>
      <c r="U587" t="str">
        <f>Transactions_RAW_cleaned[[#This Row],[Region ]]&amp;Transactions_RAW_cleaned[[#This Row],[Quarter ]]</f>
        <v>NAQ3</v>
      </c>
      <c r="V587" s="5">
        <f>_xlfn.XLOOKUP(Transactions_RAW_cleaned[[#This Row],[RegionQuarterKey]], Quarterly_Targets_cleaned[RegionQuarterKey], Quarterly_Targets_cleaned[TargetRevenue])</f>
        <v>273000</v>
      </c>
    </row>
    <row r="588" spans="1:22" x14ac:dyDescent="0.25">
      <c r="A588" t="s">
        <v>922</v>
      </c>
      <c r="B588" s="1">
        <v>45535</v>
      </c>
      <c r="C588" t="s">
        <v>235</v>
      </c>
      <c r="D588" t="s">
        <v>312</v>
      </c>
      <c r="E588">
        <v>128.38</v>
      </c>
      <c r="F588" t="s">
        <v>324</v>
      </c>
      <c r="G588" t="s">
        <v>329</v>
      </c>
      <c r="H588" t="s">
        <v>346</v>
      </c>
      <c r="I588" t="s">
        <v>57</v>
      </c>
      <c r="J588" t="s">
        <v>21</v>
      </c>
      <c r="K588" t="s">
        <v>22</v>
      </c>
      <c r="L588" t="s">
        <v>313</v>
      </c>
      <c r="M588" t="s">
        <v>314</v>
      </c>
      <c r="N588">
        <v>0</v>
      </c>
      <c r="O588" t="str">
        <f>IF(Transactions_RAW_cleaned[[#This Row],[Status]]="Completed", IFERROR(_xlfn.XLOOKUP(Transactions_RAW_cleaned[[#This Row],[CustomerID]], Customers_cleaned[CustomerID], Customers_cleaned[Segment]), "Customer Not Found"), "N/A")</f>
        <v>Startup</v>
      </c>
      <c r="P588" s="5" t="str">
        <f>IF(Transactions_RAW_cleaned[[#This Row],[Status]]="Refunded", "Refund",
  IF(Transactions_RAW_cleaned[[#This Row],[Category]]="Payments", IF(Transactions_RAW_cleaned[[#This Row],[Amount]]&gt;500,"High Value","Standard"),
    IF(Transactions_RAW_cleaned[[#This Row],[Amount]]&gt;250,"High Value","Standard")))</f>
        <v>Standard</v>
      </c>
      <c r="Q588" s="5" t="str">
        <f>IF(Transactions_RAW_cleaned[[#This Row],[Amount]] &gt; (_xlfn.XLOOKUP(Transactions_RAW_cleaned[[#This Row],[ServiceID]],Services_cleaned[ServiceID],Services_cleaned[TransactionFeePct]) * 10000), "Yes", "No")</f>
        <v>Yes</v>
      </c>
      <c r="R588" s="5" t="str">
        <f>IF(COUNTIFS($C$2:Transactions_RAW_cleaned[[#This Row],[CustomerID]],Transactions_RAW_cleaned[[#This Row],[CustomerID]],$D$2:Transactions_RAW_cleaned[[#This Row],[ServiceID]],Transactions_RAW_cleaned[[#This Row],[ServiceID]])=1,"Yes","No")</f>
        <v>Yes</v>
      </c>
      <c r="S58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88" t="str">
        <f>"Q"&amp;ROUNDUP(MONTH(Transactions_RAW_cleaned[[#This Row],[TransactionDate]])/3,0)</f>
        <v>Q3</v>
      </c>
      <c r="U588" t="str">
        <f>Transactions_RAW_cleaned[[#This Row],[Region ]]&amp;Transactions_RAW_cleaned[[#This Row],[Quarter ]]</f>
        <v>APACQ3</v>
      </c>
      <c r="V588" s="5">
        <f>_xlfn.XLOOKUP(Transactions_RAW_cleaned[[#This Row],[RegionQuarterKey]], Quarterly_Targets_cleaned[RegionQuarterKey], Quarterly_Targets_cleaned[TargetRevenue])</f>
        <v>115500</v>
      </c>
    </row>
    <row r="589" spans="1:22" x14ac:dyDescent="0.25">
      <c r="A589" t="s">
        <v>923</v>
      </c>
      <c r="B589" s="1">
        <v>45586</v>
      </c>
      <c r="C589" t="s">
        <v>181</v>
      </c>
      <c r="D589" t="s">
        <v>294</v>
      </c>
      <c r="E589">
        <v>-402.43</v>
      </c>
      <c r="F589" t="s">
        <v>349</v>
      </c>
      <c r="G589" t="s">
        <v>325</v>
      </c>
      <c r="H589" t="s">
        <v>332</v>
      </c>
      <c r="I589" t="s">
        <v>17</v>
      </c>
      <c r="J589" t="s">
        <v>21</v>
      </c>
      <c r="K589" t="s">
        <v>10</v>
      </c>
      <c r="L589" t="s">
        <v>295</v>
      </c>
      <c r="M589" t="s">
        <v>296</v>
      </c>
      <c r="N589">
        <v>2.9000000000000001E-2</v>
      </c>
      <c r="O589" t="str">
        <f>IF(Transactions_RAW_cleaned[[#This Row],[Status]]="Completed", IFERROR(_xlfn.XLOOKUP(Transactions_RAW_cleaned[[#This Row],[CustomerID]], Customers_cleaned[CustomerID], Customers_cleaned[Segment]), "Customer Not Found"), "N/A")</f>
        <v>N/A</v>
      </c>
      <c r="P589" s="5" t="str">
        <f>IF(Transactions_RAW_cleaned[[#This Row],[Status]]="Refunded", "Refund",
  IF(Transactions_RAW_cleaned[[#This Row],[Category]]="Payments", IF(Transactions_RAW_cleaned[[#This Row],[Amount]]&gt;500,"High Value","Standard"),
    IF(Transactions_RAW_cleaned[[#This Row],[Amount]]&gt;250,"High Value","Standard")))</f>
        <v>Refund</v>
      </c>
      <c r="Q589" s="5" t="str">
        <f>IF(Transactions_RAW_cleaned[[#This Row],[Amount]] &gt; (_xlfn.XLOOKUP(Transactions_RAW_cleaned[[#This Row],[ServiceID]],Services_cleaned[ServiceID],Services_cleaned[TransactionFeePct]) * 10000), "Yes", "No")</f>
        <v>No</v>
      </c>
      <c r="R589" s="5" t="str">
        <f>IF(COUNTIFS($C$2:Transactions_RAW_cleaned[[#This Row],[CustomerID]],Transactions_RAW_cleaned[[#This Row],[CustomerID]],$D$2:Transactions_RAW_cleaned[[#This Row],[ServiceID]],Transactions_RAW_cleaned[[#This Row],[ServiceID]])=1,"Yes","No")</f>
        <v>Yes</v>
      </c>
      <c r="S58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89" t="str">
        <f>"Q"&amp;ROUNDUP(MONTH(Transactions_RAW_cleaned[[#This Row],[TransactionDate]])/3,0)</f>
        <v>Q4</v>
      </c>
      <c r="U589" t="str">
        <f>Transactions_RAW_cleaned[[#This Row],[Region ]]&amp;Transactions_RAW_cleaned[[#This Row],[Quarter ]]</f>
        <v>APACQ4</v>
      </c>
      <c r="V589" s="5">
        <f>_xlfn.XLOOKUP(Transactions_RAW_cleaned[[#This Row],[RegionQuarterKey]], Quarterly_Targets_cleaned[RegionQuarterKey], Quarterly_Targets_cleaned[TargetRevenue])</f>
        <v>126500</v>
      </c>
    </row>
    <row r="590" spans="1:22" x14ac:dyDescent="0.25">
      <c r="A590" t="s">
        <v>924</v>
      </c>
      <c r="B590" s="1">
        <v>45341</v>
      </c>
      <c r="C590" t="s">
        <v>273</v>
      </c>
      <c r="D590" t="s">
        <v>309</v>
      </c>
      <c r="E590">
        <v>939.34</v>
      </c>
      <c r="F590" t="s">
        <v>324</v>
      </c>
      <c r="G590" t="s">
        <v>325</v>
      </c>
      <c r="I590" t="s">
        <v>17</v>
      </c>
      <c r="J590" t="s">
        <v>102</v>
      </c>
      <c r="K590" t="s">
        <v>22</v>
      </c>
      <c r="L590" t="s">
        <v>310</v>
      </c>
      <c r="M590" t="s">
        <v>311</v>
      </c>
      <c r="N590">
        <v>0</v>
      </c>
      <c r="O590" t="str">
        <f>IF(Transactions_RAW_cleaned[[#This Row],[Status]]="Completed", IFERROR(_xlfn.XLOOKUP(Transactions_RAW_cleaned[[#This Row],[CustomerID]], Customers_cleaned[CustomerID], Customers_cleaned[Segment]), "Customer Not Found"), "N/A")</f>
        <v>Enterprise</v>
      </c>
      <c r="P590" s="5" t="str">
        <f>IF(Transactions_RAW_cleaned[[#This Row],[Status]]="Refunded", "Refund",
  IF(Transactions_RAW_cleaned[[#This Row],[Category]]="Payments", IF(Transactions_RAW_cleaned[[#This Row],[Amount]]&gt;500,"High Value","Standard"),
    IF(Transactions_RAW_cleaned[[#This Row],[Amount]]&gt;250,"High Value","Standard")))</f>
        <v>High Value</v>
      </c>
      <c r="Q590" s="5" t="str">
        <f>IF(Transactions_RAW_cleaned[[#This Row],[Amount]] &gt; (_xlfn.XLOOKUP(Transactions_RAW_cleaned[[#This Row],[ServiceID]],Services_cleaned[ServiceID],Services_cleaned[TransactionFeePct]) * 10000), "Yes", "No")</f>
        <v>Yes</v>
      </c>
      <c r="R590" s="5" t="str">
        <f>IF(COUNTIFS($C$2:Transactions_RAW_cleaned[[#This Row],[CustomerID]],Transactions_RAW_cleaned[[#This Row],[CustomerID]],$D$2:Transactions_RAW_cleaned[[#This Row],[ServiceID]],Transactions_RAW_cleaned[[#This Row],[ServiceID]])=1,"Yes","No")</f>
        <v>No</v>
      </c>
      <c r="S59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90" t="str">
        <f>"Q"&amp;ROUNDUP(MONTH(Transactions_RAW_cleaned[[#This Row],[TransactionDate]])/3,0)</f>
        <v>Q1</v>
      </c>
      <c r="U590" t="str">
        <f>Transactions_RAW_cleaned[[#This Row],[Region ]]&amp;Transactions_RAW_cleaned[[#This Row],[Quarter ]]</f>
        <v>NAQ1</v>
      </c>
      <c r="V590" s="5">
        <f>_xlfn.XLOOKUP(Transactions_RAW_cleaned[[#This Row],[RegionQuarterKey]], Quarterly_Targets_cleaned[RegionQuarterKey], Quarterly_Targets_cleaned[TargetRevenue])</f>
        <v>247000</v>
      </c>
    </row>
    <row r="591" spans="1:22" x14ac:dyDescent="0.25">
      <c r="A591" t="s">
        <v>925</v>
      </c>
      <c r="B591" s="1">
        <v>45586</v>
      </c>
      <c r="C591" t="s">
        <v>261</v>
      </c>
      <c r="D591" t="s">
        <v>303</v>
      </c>
      <c r="E591">
        <v>393.76</v>
      </c>
      <c r="F591" t="s">
        <v>331</v>
      </c>
      <c r="G591" t="s">
        <v>325</v>
      </c>
      <c r="I591" t="s">
        <v>8</v>
      </c>
      <c r="J591" t="s">
        <v>31</v>
      </c>
      <c r="K591" t="s">
        <v>18</v>
      </c>
      <c r="L591" t="s">
        <v>304</v>
      </c>
      <c r="M591" t="s">
        <v>305</v>
      </c>
      <c r="N591">
        <v>1E-3</v>
      </c>
      <c r="O591" t="str">
        <f>IF(Transactions_RAW_cleaned[[#This Row],[Status]]="Completed", IFERROR(_xlfn.XLOOKUP(Transactions_RAW_cleaned[[#This Row],[CustomerID]], Customers_cleaned[CustomerID], Customers_cleaned[Segment]), "Customer Not Found"), "N/A")</f>
        <v>N/A</v>
      </c>
      <c r="P591" s="5" t="str">
        <f>IF(Transactions_RAW_cleaned[[#This Row],[Status]]="Refunded", "Refund",
  IF(Transactions_RAW_cleaned[[#This Row],[Category]]="Payments", IF(Transactions_RAW_cleaned[[#This Row],[Amount]]&gt;500,"High Value","Standard"),
    IF(Transactions_RAW_cleaned[[#This Row],[Amount]]&gt;250,"High Value","Standard")))</f>
        <v>High Value</v>
      </c>
      <c r="Q591" s="5" t="str">
        <f>IF(Transactions_RAW_cleaned[[#This Row],[Amount]] &gt; (_xlfn.XLOOKUP(Transactions_RAW_cleaned[[#This Row],[ServiceID]],Services_cleaned[ServiceID],Services_cleaned[TransactionFeePct]) * 10000), "Yes", "No")</f>
        <v>Yes</v>
      </c>
      <c r="R591" s="5" t="str">
        <f>IF(COUNTIFS($C$2:Transactions_RAW_cleaned[[#This Row],[CustomerID]],Transactions_RAW_cleaned[[#This Row],[CustomerID]],$D$2:Transactions_RAW_cleaned[[#This Row],[ServiceID]],Transactions_RAW_cleaned[[#This Row],[ServiceID]])=1,"Yes","No")</f>
        <v>Yes</v>
      </c>
      <c r="S59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591" t="str">
        <f>"Q"&amp;ROUNDUP(MONTH(Transactions_RAW_cleaned[[#This Row],[TransactionDate]])/3,0)</f>
        <v>Q4</v>
      </c>
      <c r="U591" t="str">
        <f>Transactions_RAW_cleaned[[#This Row],[Region ]]&amp;Transactions_RAW_cleaned[[#This Row],[Quarter ]]</f>
        <v>EMEAQ4</v>
      </c>
      <c r="V591" s="5">
        <f>_xlfn.XLOOKUP(Transactions_RAW_cleaned[[#This Row],[RegionQuarterKey]], Quarterly_Targets_cleaned[RegionQuarterKey], Quarterly_Targets_cleaned[TargetRevenue])</f>
        <v>161000</v>
      </c>
    </row>
    <row r="592" spans="1:22" x14ac:dyDescent="0.25">
      <c r="A592" t="s">
        <v>926</v>
      </c>
      <c r="B592" s="1">
        <v>45406</v>
      </c>
      <c r="C592" t="s">
        <v>19</v>
      </c>
      <c r="D592" t="s">
        <v>297</v>
      </c>
      <c r="E592">
        <v>76.849999999999994</v>
      </c>
      <c r="F592" t="s">
        <v>324</v>
      </c>
      <c r="G592" t="s">
        <v>325</v>
      </c>
      <c r="H592" t="s">
        <v>346</v>
      </c>
      <c r="I592" t="s">
        <v>8</v>
      </c>
      <c r="J592" t="s">
        <v>21</v>
      </c>
      <c r="K592" t="s">
        <v>22</v>
      </c>
      <c r="L592" t="s">
        <v>298</v>
      </c>
      <c r="M592" t="s">
        <v>299</v>
      </c>
      <c r="N592">
        <v>0</v>
      </c>
      <c r="O592" t="str">
        <f>IF(Transactions_RAW_cleaned[[#This Row],[Status]]="Completed", IFERROR(_xlfn.XLOOKUP(Transactions_RAW_cleaned[[#This Row],[CustomerID]], Customers_cleaned[CustomerID], Customers_cleaned[Segment]), "Customer Not Found"), "N/A")</f>
        <v>SMB</v>
      </c>
      <c r="P592" s="5" t="str">
        <f>IF(Transactions_RAW_cleaned[[#This Row],[Status]]="Refunded", "Refund",
  IF(Transactions_RAW_cleaned[[#This Row],[Category]]="Payments", IF(Transactions_RAW_cleaned[[#This Row],[Amount]]&gt;500,"High Value","Standard"),
    IF(Transactions_RAW_cleaned[[#This Row],[Amount]]&gt;250,"High Value","Standard")))</f>
        <v>Standard</v>
      </c>
      <c r="Q592" s="5" t="str">
        <f>IF(Transactions_RAW_cleaned[[#This Row],[Amount]] &gt; (_xlfn.XLOOKUP(Transactions_RAW_cleaned[[#This Row],[ServiceID]],Services_cleaned[ServiceID],Services_cleaned[TransactionFeePct]) * 10000), "Yes", "No")</f>
        <v>Yes</v>
      </c>
      <c r="R592" s="5" t="str">
        <f>IF(COUNTIFS($C$2:Transactions_RAW_cleaned[[#This Row],[CustomerID]],Transactions_RAW_cleaned[[#This Row],[CustomerID]],$D$2:Transactions_RAW_cleaned[[#This Row],[ServiceID]],Transactions_RAW_cleaned[[#This Row],[ServiceID]])=1,"Yes","No")</f>
        <v>Yes</v>
      </c>
      <c r="S59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92" t="str">
        <f>"Q"&amp;ROUNDUP(MONTH(Transactions_RAW_cleaned[[#This Row],[TransactionDate]])/3,0)</f>
        <v>Q2</v>
      </c>
      <c r="U592" t="str">
        <f>Transactions_RAW_cleaned[[#This Row],[Region ]]&amp;Transactions_RAW_cleaned[[#This Row],[Quarter ]]</f>
        <v>APACQ2</v>
      </c>
      <c r="V592" s="5">
        <f>_xlfn.XLOOKUP(Transactions_RAW_cleaned[[#This Row],[RegionQuarterKey]], Quarterly_Targets_cleaned[RegionQuarterKey], Quarterly_Targets_cleaned[TargetRevenue])</f>
        <v>110000</v>
      </c>
    </row>
    <row r="593" spans="1:22" x14ac:dyDescent="0.25">
      <c r="A593" t="s">
        <v>927</v>
      </c>
      <c r="B593" s="1">
        <v>45569</v>
      </c>
      <c r="C593" t="s">
        <v>157</v>
      </c>
      <c r="D593" t="s">
        <v>297</v>
      </c>
      <c r="E593">
        <v>440.77</v>
      </c>
      <c r="F593" t="s">
        <v>324</v>
      </c>
      <c r="G593" t="s">
        <v>337</v>
      </c>
      <c r="H593" t="s">
        <v>334</v>
      </c>
      <c r="I593" t="s">
        <v>8</v>
      </c>
      <c r="J593" t="s">
        <v>102</v>
      </c>
      <c r="K593" t="s">
        <v>14</v>
      </c>
      <c r="L593" t="s">
        <v>298</v>
      </c>
      <c r="M593" t="s">
        <v>299</v>
      </c>
      <c r="N593">
        <v>0</v>
      </c>
      <c r="O593" t="str">
        <f>IF(Transactions_RAW_cleaned[[#This Row],[Status]]="Completed", IFERROR(_xlfn.XLOOKUP(Transactions_RAW_cleaned[[#This Row],[CustomerID]], Customers_cleaned[CustomerID], Customers_cleaned[Segment]), "Customer Not Found"), "N/A")</f>
        <v>SMB</v>
      </c>
      <c r="P593" s="5" t="str">
        <f>IF(Transactions_RAW_cleaned[[#This Row],[Status]]="Refunded", "Refund",
  IF(Transactions_RAW_cleaned[[#This Row],[Category]]="Payments", IF(Transactions_RAW_cleaned[[#This Row],[Amount]]&gt;500,"High Value","Standard"),
    IF(Transactions_RAW_cleaned[[#This Row],[Amount]]&gt;250,"High Value","Standard")))</f>
        <v>High Value</v>
      </c>
      <c r="Q593" s="5" t="str">
        <f>IF(Transactions_RAW_cleaned[[#This Row],[Amount]] &gt; (_xlfn.XLOOKUP(Transactions_RAW_cleaned[[#This Row],[ServiceID]],Services_cleaned[ServiceID],Services_cleaned[TransactionFeePct]) * 10000), "Yes", "No")</f>
        <v>Yes</v>
      </c>
      <c r="R593" s="5" t="str">
        <f>IF(COUNTIFS($C$2:Transactions_RAW_cleaned[[#This Row],[CustomerID]],Transactions_RAW_cleaned[[#This Row],[CustomerID]],$D$2:Transactions_RAW_cleaned[[#This Row],[ServiceID]],Transactions_RAW_cleaned[[#This Row],[ServiceID]])=1,"Yes","No")</f>
        <v>Yes</v>
      </c>
      <c r="S59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93" t="str">
        <f>"Q"&amp;ROUNDUP(MONTH(Transactions_RAW_cleaned[[#This Row],[TransactionDate]])/3,0)</f>
        <v>Q4</v>
      </c>
      <c r="U593" t="str">
        <f>Transactions_RAW_cleaned[[#This Row],[Region ]]&amp;Transactions_RAW_cleaned[[#This Row],[Quarter ]]</f>
        <v>NAQ4</v>
      </c>
      <c r="V593" s="5">
        <f>_xlfn.XLOOKUP(Transactions_RAW_cleaned[[#This Row],[RegionQuarterKey]], Quarterly_Targets_cleaned[RegionQuarterKey], Quarterly_Targets_cleaned[TargetRevenue])</f>
        <v>299000</v>
      </c>
    </row>
    <row r="594" spans="1:22" x14ac:dyDescent="0.25">
      <c r="A594" t="s">
        <v>928</v>
      </c>
      <c r="B594" s="1">
        <v>45367</v>
      </c>
      <c r="C594" t="s">
        <v>145</v>
      </c>
      <c r="D594" t="s">
        <v>315</v>
      </c>
      <c r="E594">
        <v>535.57000000000005</v>
      </c>
      <c r="F594" t="s">
        <v>381</v>
      </c>
      <c r="G594" t="s">
        <v>325</v>
      </c>
      <c r="H594" t="s">
        <v>334</v>
      </c>
      <c r="I594" t="s">
        <v>8</v>
      </c>
      <c r="J594" t="s">
        <v>13</v>
      </c>
      <c r="K594" t="s">
        <v>32</v>
      </c>
      <c r="L594" t="s">
        <v>316</v>
      </c>
      <c r="M594" t="s">
        <v>305</v>
      </c>
      <c r="N594">
        <v>2.5000000000000001E-3</v>
      </c>
      <c r="O594" t="str">
        <f>IF(Transactions_RAW_cleaned[[#This Row],[Status]]="Completed", IFERROR(_xlfn.XLOOKUP(Transactions_RAW_cleaned[[#This Row],[CustomerID]], Customers_cleaned[CustomerID], Customers_cleaned[Segment]), "Customer Not Found"), "N/A")</f>
        <v>N/A</v>
      </c>
      <c r="P594" s="5" t="str">
        <f>IF(Transactions_RAW_cleaned[[#This Row],[Status]]="Refunded", "Refund",
  IF(Transactions_RAW_cleaned[[#This Row],[Category]]="Payments", IF(Transactions_RAW_cleaned[[#This Row],[Amount]]&gt;500,"High Value","Standard"),
    IF(Transactions_RAW_cleaned[[#This Row],[Amount]]&gt;250,"High Value","Standard")))</f>
        <v>High Value</v>
      </c>
      <c r="Q594" s="5" t="str">
        <f>IF(Transactions_RAW_cleaned[[#This Row],[Amount]] &gt; (_xlfn.XLOOKUP(Transactions_RAW_cleaned[[#This Row],[ServiceID]],Services_cleaned[ServiceID],Services_cleaned[TransactionFeePct]) * 10000), "Yes", "No")</f>
        <v>Yes</v>
      </c>
      <c r="R594" s="5" t="str">
        <f>IF(COUNTIFS($C$2:Transactions_RAW_cleaned[[#This Row],[CustomerID]],Transactions_RAW_cleaned[[#This Row],[CustomerID]],$D$2:Transactions_RAW_cleaned[[#This Row],[ServiceID]],Transactions_RAW_cleaned[[#This Row],[ServiceID]])=1,"Yes","No")</f>
        <v>Yes</v>
      </c>
      <c r="S59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94" t="str">
        <f>"Q"&amp;ROUNDUP(MONTH(Transactions_RAW_cleaned[[#This Row],[TransactionDate]])/3,0)</f>
        <v>Q1</v>
      </c>
      <c r="U594" t="str">
        <f>Transactions_RAW_cleaned[[#This Row],[Region ]]&amp;Transactions_RAW_cleaned[[#This Row],[Quarter ]]</f>
        <v>NAQ1</v>
      </c>
      <c r="V594" s="5">
        <f>_xlfn.XLOOKUP(Transactions_RAW_cleaned[[#This Row],[RegionQuarterKey]], Quarterly_Targets_cleaned[RegionQuarterKey], Quarterly_Targets_cleaned[TargetRevenue])</f>
        <v>247000</v>
      </c>
    </row>
    <row r="595" spans="1:22" x14ac:dyDescent="0.25">
      <c r="A595" t="s">
        <v>929</v>
      </c>
      <c r="B595" s="1">
        <v>45511</v>
      </c>
      <c r="C595" t="s">
        <v>6</v>
      </c>
      <c r="D595" t="s">
        <v>312</v>
      </c>
      <c r="E595">
        <v>299.36</v>
      </c>
      <c r="F595" t="s">
        <v>324</v>
      </c>
      <c r="G595" t="s">
        <v>329</v>
      </c>
      <c r="I595" t="s">
        <v>8</v>
      </c>
      <c r="J595" t="s">
        <v>102</v>
      </c>
      <c r="K595" t="s">
        <v>10</v>
      </c>
      <c r="L595" t="s">
        <v>313</v>
      </c>
      <c r="M595" t="s">
        <v>314</v>
      </c>
      <c r="N595">
        <v>0</v>
      </c>
      <c r="O595" t="str">
        <f>IF(Transactions_RAW_cleaned[[#This Row],[Status]]="Completed", IFERROR(_xlfn.XLOOKUP(Transactions_RAW_cleaned[[#This Row],[CustomerID]], Customers_cleaned[CustomerID], Customers_cleaned[Segment]), "Customer Not Found"), "N/A")</f>
        <v>SMB</v>
      </c>
      <c r="P595" s="5" t="str">
        <f>IF(Transactions_RAW_cleaned[[#This Row],[Status]]="Refunded", "Refund",
  IF(Transactions_RAW_cleaned[[#This Row],[Category]]="Payments", IF(Transactions_RAW_cleaned[[#This Row],[Amount]]&gt;500,"High Value","Standard"),
    IF(Transactions_RAW_cleaned[[#This Row],[Amount]]&gt;250,"High Value","Standard")))</f>
        <v>High Value</v>
      </c>
      <c r="Q595" s="5" t="str">
        <f>IF(Transactions_RAW_cleaned[[#This Row],[Amount]] &gt; (_xlfn.XLOOKUP(Transactions_RAW_cleaned[[#This Row],[ServiceID]],Services_cleaned[ServiceID],Services_cleaned[TransactionFeePct]) * 10000), "Yes", "No")</f>
        <v>Yes</v>
      </c>
      <c r="R595" s="5" t="str">
        <f>IF(COUNTIFS($C$2:Transactions_RAW_cleaned[[#This Row],[CustomerID]],Transactions_RAW_cleaned[[#This Row],[CustomerID]],$D$2:Transactions_RAW_cleaned[[#This Row],[ServiceID]],Transactions_RAW_cleaned[[#This Row],[ServiceID]])=1,"Yes","No")</f>
        <v>Yes</v>
      </c>
      <c r="S59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95" t="str">
        <f>"Q"&amp;ROUNDUP(MONTH(Transactions_RAW_cleaned[[#This Row],[TransactionDate]])/3,0)</f>
        <v>Q3</v>
      </c>
      <c r="U595" t="str">
        <f>Transactions_RAW_cleaned[[#This Row],[Region ]]&amp;Transactions_RAW_cleaned[[#This Row],[Quarter ]]</f>
        <v>NAQ3</v>
      </c>
      <c r="V595" s="5">
        <f>_xlfn.XLOOKUP(Transactions_RAW_cleaned[[#This Row],[RegionQuarterKey]], Quarterly_Targets_cleaned[RegionQuarterKey], Quarterly_Targets_cleaned[TargetRevenue])</f>
        <v>273000</v>
      </c>
    </row>
    <row r="596" spans="1:22" x14ac:dyDescent="0.25">
      <c r="A596" t="s">
        <v>930</v>
      </c>
      <c r="B596" s="1">
        <v>45351</v>
      </c>
      <c r="C596" t="s">
        <v>245</v>
      </c>
      <c r="D596" t="s">
        <v>309</v>
      </c>
      <c r="E596">
        <v>200.25</v>
      </c>
      <c r="F596" t="s">
        <v>324</v>
      </c>
      <c r="G596" t="s">
        <v>329</v>
      </c>
      <c r="H596" t="s">
        <v>332</v>
      </c>
      <c r="I596" t="s">
        <v>8</v>
      </c>
      <c r="J596" t="s">
        <v>31</v>
      </c>
      <c r="K596" t="s">
        <v>14</v>
      </c>
      <c r="L596" t="s">
        <v>310</v>
      </c>
      <c r="M596" t="s">
        <v>311</v>
      </c>
      <c r="N596">
        <v>0</v>
      </c>
      <c r="O596" t="str">
        <f>IF(Transactions_RAW_cleaned[[#This Row],[Status]]="Completed", IFERROR(_xlfn.XLOOKUP(Transactions_RAW_cleaned[[#This Row],[CustomerID]], Customers_cleaned[CustomerID], Customers_cleaned[Segment]), "Customer Not Found"), "N/A")</f>
        <v>SMB</v>
      </c>
      <c r="P596" s="5" t="str">
        <f>IF(Transactions_RAW_cleaned[[#This Row],[Status]]="Refunded", "Refund",
  IF(Transactions_RAW_cleaned[[#This Row],[Category]]="Payments", IF(Transactions_RAW_cleaned[[#This Row],[Amount]]&gt;500,"High Value","Standard"),
    IF(Transactions_RAW_cleaned[[#This Row],[Amount]]&gt;250,"High Value","Standard")))</f>
        <v>Standard</v>
      </c>
      <c r="Q596" s="5" t="str">
        <f>IF(Transactions_RAW_cleaned[[#This Row],[Amount]] &gt; (_xlfn.XLOOKUP(Transactions_RAW_cleaned[[#This Row],[ServiceID]],Services_cleaned[ServiceID],Services_cleaned[TransactionFeePct]) * 10000), "Yes", "No")</f>
        <v>Yes</v>
      </c>
      <c r="R596" s="5" t="str">
        <f>IF(COUNTIFS($C$2:Transactions_RAW_cleaned[[#This Row],[CustomerID]],Transactions_RAW_cleaned[[#This Row],[CustomerID]],$D$2:Transactions_RAW_cleaned[[#This Row],[ServiceID]],Transactions_RAW_cleaned[[#This Row],[ServiceID]])=1,"Yes","No")</f>
        <v>No</v>
      </c>
      <c r="S59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596" t="str">
        <f>"Q"&amp;ROUNDUP(MONTH(Transactions_RAW_cleaned[[#This Row],[TransactionDate]])/3,0)</f>
        <v>Q1</v>
      </c>
      <c r="U596" t="str">
        <f>Transactions_RAW_cleaned[[#This Row],[Region ]]&amp;Transactions_RAW_cleaned[[#This Row],[Quarter ]]</f>
        <v>EMEAQ1</v>
      </c>
      <c r="V596" s="5">
        <f>_xlfn.XLOOKUP(Transactions_RAW_cleaned[[#This Row],[RegionQuarterKey]], Quarterly_Targets_cleaned[RegionQuarterKey], Quarterly_Targets_cleaned[TargetRevenue])</f>
        <v>133000</v>
      </c>
    </row>
    <row r="597" spans="1:22" x14ac:dyDescent="0.25">
      <c r="A597" t="s">
        <v>931</v>
      </c>
      <c r="B597" s="1">
        <v>45570</v>
      </c>
      <c r="C597" t="s">
        <v>255</v>
      </c>
      <c r="D597" t="s">
        <v>306</v>
      </c>
      <c r="E597">
        <v>7.34</v>
      </c>
      <c r="F597" t="s">
        <v>324</v>
      </c>
      <c r="G597" t="s">
        <v>325</v>
      </c>
      <c r="H597" t="s">
        <v>346</v>
      </c>
      <c r="I597" t="s">
        <v>17</v>
      </c>
      <c r="J597" t="s">
        <v>21</v>
      </c>
      <c r="K597" t="s">
        <v>28</v>
      </c>
      <c r="L597" t="s">
        <v>307</v>
      </c>
      <c r="M597" t="s">
        <v>308</v>
      </c>
      <c r="N597">
        <v>0</v>
      </c>
      <c r="O597" t="str">
        <f>IF(Transactions_RAW_cleaned[[#This Row],[Status]]="Completed", IFERROR(_xlfn.XLOOKUP(Transactions_RAW_cleaned[[#This Row],[CustomerID]], Customers_cleaned[CustomerID], Customers_cleaned[Segment]), "Customer Not Found"), "N/A")</f>
        <v>Enterprise</v>
      </c>
      <c r="P597" s="5" t="str">
        <f>IF(Transactions_RAW_cleaned[[#This Row],[Status]]="Refunded", "Refund",
  IF(Transactions_RAW_cleaned[[#This Row],[Category]]="Payments", IF(Transactions_RAW_cleaned[[#This Row],[Amount]]&gt;500,"High Value","Standard"),
    IF(Transactions_RAW_cleaned[[#This Row],[Amount]]&gt;250,"High Value","Standard")))</f>
        <v>Standard</v>
      </c>
      <c r="Q597" s="5" t="str">
        <f>IF(Transactions_RAW_cleaned[[#This Row],[Amount]] &gt; (_xlfn.XLOOKUP(Transactions_RAW_cleaned[[#This Row],[ServiceID]],Services_cleaned[ServiceID],Services_cleaned[TransactionFeePct]) * 10000), "Yes", "No")</f>
        <v>Yes</v>
      </c>
      <c r="R597" s="5" t="str">
        <f>IF(COUNTIFS($C$2:Transactions_RAW_cleaned[[#This Row],[CustomerID]],Transactions_RAW_cleaned[[#This Row],[CustomerID]],$D$2:Transactions_RAW_cleaned[[#This Row],[ServiceID]],Transactions_RAW_cleaned[[#This Row],[ServiceID]])=1,"Yes","No")</f>
        <v>Yes</v>
      </c>
      <c r="S59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597" t="str">
        <f>"Q"&amp;ROUNDUP(MONTH(Transactions_RAW_cleaned[[#This Row],[TransactionDate]])/3,0)</f>
        <v>Q4</v>
      </c>
      <c r="U597" t="str">
        <f>Transactions_RAW_cleaned[[#This Row],[Region ]]&amp;Transactions_RAW_cleaned[[#This Row],[Quarter ]]</f>
        <v>APACQ4</v>
      </c>
      <c r="V597" s="5">
        <f>_xlfn.XLOOKUP(Transactions_RAW_cleaned[[#This Row],[RegionQuarterKey]], Quarterly_Targets_cleaned[RegionQuarterKey], Quarterly_Targets_cleaned[TargetRevenue])</f>
        <v>126500</v>
      </c>
    </row>
    <row r="598" spans="1:22" x14ac:dyDescent="0.25">
      <c r="A598" t="s">
        <v>932</v>
      </c>
      <c r="B598" s="1">
        <v>45613</v>
      </c>
      <c r="C598" t="s">
        <v>80</v>
      </c>
      <c r="D598" t="s">
        <v>312</v>
      </c>
      <c r="E598">
        <v>127.02</v>
      </c>
      <c r="F598" t="s">
        <v>324</v>
      </c>
      <c r="G598" t="s">
        <v>325</v>
      </c>
      <c r="H598" t="s">
        <v>346</v>
      </c>
      <c r="I598" t="s">
        <v>8</v>
      </c>
      <c r="J598" t="s">
        <v>13</v>
      </c>
      <c r="K598" t="s">
        <v>32</v>
      </c>
      <c r="L598" t="s">
        <v>313</v>
      </c>
      <c r="M598" t="s">
        <v>314</v>
      </c>
      <c r="N598">
        <v>0</v>
      </c>
      <c r="O598" t="str">
        <f>IF(Transactions_RAW_cleaned[[#This Row],[Status]]="Completed", IFERROR(_xlfn.XLOOKUP(Transactions_RAW_cleaned[[#This Row],[CustomerID]], Customers_cleaned[CustomerID], Customers_cleaned[Segment]), "Customer Not Found"), "N/A")</f>
        <v>SMB</v>
      </c>
      <c r="P598" s="5" t="str">
        <f>IF(Transactions_RAW_cleaned[[#This Row],[Status]]="Refunded", "Refund",
  IF(Transactions_RAW_cleaned[[#This Row],[Category]]="Payments", IF(Transactions_RAW_cleaned[[#This Row],[Amount]]&gt;500,"High Value","Standard"),
    IF(Transactions_RAW_cleaned[[#This Row],[Amount]]&gt;250,"High Value","Standard")))</f>
        <v>Standard</v>
      </c>
      <c r="Q598" s="5" t="str">
        <f>IF(Transactions_RAW_cleaned[[#This Row],[Amount]] &gt; (_xlfn.XLOOKUP(Transactions_RAW_cleaned[[#This Row],[ServiceID]],Services_cleaned[ServiceID],Services_cleaned[TransactionFeePct]) * 10000), "Yes", "No")</f>
        <v>Yes</v>
      </c>
      <c r="R598" s="5" t="str">
        <f>IF(COUNTIFS($C$2:Transactions_RAW_cleaned[[#This Row],[CustomerID]],Transactions_RAW_cleaned[[#This Row],[CustomerID]],$D$2:Transactions_RAW_cleaned[[#This Row],[ServiceID]],Transactions_RAW_cleaned[[#This Row],[ServiceID]])=1,"Yes","No")</f>
        <v>No</v>
      </c>
      <c r="S59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598" t="str">
        <f>"Q"&amp;ROUNDUP(MONTH(Transactions_RAW_cleaned[[#This Row],[TransactionDate]])/3,0)</f>
        <v>Q4</v>
      </c>
      <c r="U598" t="str">
        <f>Transactions_RAW_cleaned[[#This Row],[Region ]]&amp;Transactions_RAW_cleaned[[#This Row],[Quarter ]]</f>
        <v>NAQ4</v>
      </c>
      <c r="V598" s="5">
        <f>_xlfn.XLOOKUP(Transactions_RAW_cleaned[[#This Row],[RegionQuarterKey]], Quarterly_Targets_cleaned[RegionQuarterKey], Quarterly_Targets_cleaned[TargetRevenue])</f>
        <v>299000</v>
      </c>
    </row>
    <row r="599" spans="1:22" x14ac:dyDescent="0.25">
      <c r="A599" t="s">
        <v>933</v>
      </c>
      <c r="B599" s="1">
        <v>45315</v>
      </c>
      <c r="C599" t="s">
        <v>175</v>
      </c>
      <c r="D599" t="s">
        <v>294</v>
      </c>
      <c r="E599">
        <v>250.86</v>
      </c>
      <c r="F599" t="s">
        <v>324</v>
      </c>
      <c r="G599" t="s">
        <v>329</v>
      </c>
      <c r="H599" t="s">
        <v>332</v>
      </c>
      <c r="I599" t="s">
        <v>8</v>
      </c>
      <c r="J599" t="s">
        <v>31</v>
      </c>
      <c r="K599" t="s">
        <v>32</v>
      </c>
      <c r="L599" t="s">
        <v>295</v>
      </c>
      <c r="M599" t="s">
        <v>296</v>
      </c>
      <c r="N599">
        <v>2.9000000000000001E-2</v>
      </c>
      <c r="O599" t="str">
        <f>IF(Transactions_RAW_cleaned[[#This Row],[Status]]="Completed", IFERROR(_xlfn.XLOOKUP(Transactions_RAW_cleaned[[#This Row],[CustomerID]], Customers_cleaned[CustomerID], Customers_cleaned[Segment]), "Customer Not Found"), "N/A")</f>
        <v>SMB</v>
      </c>
      <c r="P599" s="5" t="str">
        <f>IF(Transactions_RAW_cleaned[[#This Row],[Status]]="Refunded", "Refund",
  IF(Transactions_RAW_cleaned[[#This Row],[Category]]="Payments", IF(Transactions_RAW_cleaned[[#This Row],[Amount]]&gt;500,"High Value","Standard"),
    IF(Transactions_RAW_cleaned[[#This Row],[Amount]]&gt;250,"High Value","Standard")))</f>
        <v>Standard</v>
      </c>
      <c r="Q599" s="5" t="str">
        <f>IF(Transactions_RAW_cleaned[[#This Row],[Amount]] &gt; (_xlfn.XLOOKUP(Transactions_RAW_cleaned[[#This Row],[ServiceID]],Services_cleaned[ServiceID],Services_cleaned[TransactionFeePct]) * 10000), "Yes", "No")</f>
        <v>No</v>
      </c>
      <c r="R599" s="5" t="str">
        <f>IF(COUNTIFS($C$2:Transactions_RAW_cleaned[[#This Row],[CustomerID]],Transactions_RAW_cleaned[[#This Row],[CustomerID]],$D$2:Transactions_RAW_cleaned[[#This Row],[ServiceID]],Transactions_RAW_cleaned[[#This Row],[ServiceID]])=1,"Yes","No")</f>
        <v>No</v>
      </c>
      <c r="S59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599" t="str">
        <f>"Q"&amp;ROUNDUP(MONTH(Transactions_RAW_cleaned[[#This Row],[TransactionDate]])/3,0)</f>
        <v>Q1</v>
      </c>
      <c r="U599" t="str">
        <f>Transactions_RAW_cleaned[[#This Row],[Region ]]&amp;Transactions_RAW_cleaned[[#This Row],[Quarter ]]</f>
        <v>EMEAQ1</v>
      </c>
      <c r="V599" s="5">
        <f>_xlfn.XLOOKUP(Transactions_RAW_cleaned[[#This Row],[RegionQuarterKey]], Quarterly_Targets_cleaned[RegionQuarterKey], Quarterly_Targets_cleaned[TargetRevenue])</f>
        <v>133000</v>
      </c>
    </row>
    <row r="600" spans="1:22" x14ac:dyDescent="0.25">
      <c r="A600" t="s">
        <v>934</v>
      </c>
      <c r="B600" s="1">
        <v>45413</v>
      </c>
      <c r="C600" t="s">
        <v>64</v>
      </c>
      <c r="D600" t="s">
        <v>300</v>
      </c>
      <c r="E600">
        <v>232.36</v>
      </c>
      <c r="F600" t="s">
        <v>324</v>
      </c>
      <c r="G600" t="s">
        <v>327</v>
      </c>
      <c r="H600" t="s">
        <v>332</v>
      </c>
      <c r="I600" t="s">
        <v>8</v>
      </c>
      <c r="J600" t="s">
        <v>37</v>
      </c>
      <c r="K600" t="s">
        <v>28</v>
      </c>
      <c r="L600" t="s">
        <v>301</v>
      </c>
      <c r="M600" t="s">
        <v>302</v>
      </c>
      <c r="N600">
        <v>5.0000000000000001E-3</v>
      </c>
      <c r="O600" t="str">
        <f>IF(Transactions_RAW_cleaned[[#This Row],[Status]]="Completed", IFERROR(_xlfn.XLOOKUP(Transactions_RAW_cleaned[[#This Row],[CustomerID]], Customers_cleaned[CustomerID], Customers_cleaned[Segment]), "Customer Not Found"), "N/A")</f>
        <v>SMB</v>
      </c>
      <c r="P600" s="5" t="str">
        <f>IF(Transactions_RAW_cleaned[[#This Row],[Status]]="Refunded", "Refund",
  IF(Transactions_RAW_cleaned[[#This Row],[Category]]="Payments", IF(Transactions_RAW_cleaned[[#This Row],[Amount]]&gt;500,"High Value","Standard"),
    IF(Transactions_RAW_cleaned[[#This Row],[Amount]]&gt;250,"High Value","Standard")))</f>
        <v>Standard</v>
      </c>
      <c r="Q600" s="5" t="str">
        <f>IF(Transactions_RAW_cleaned[[#This Row],[Amount]] &gt; (_xlfn.XLOOKUP(Transactions_RAW_cleaned[[#This Row],[ServiceID]],Services_cleaned[ServiceID],Services_cleaned[TransactionFeePct]) * 10000), "Yes", "No")</f>
        <v>Yes</v>
      </c>
      <c r="R600" s="5" t="str">
        <f>IF(COUNTIFS($C$2:Transactions_RAW_cleaned[[#This Row],[CustomerID]],Transactions_RAW_cleaned[[#This Row],[CustomerID]],$D$2:Transactions_RAW_cleaned[[#This Row],[ServiceID]],Transactions_RAW_cleaned[[#This Row],[ServiceID]])=1,"Yes","No")</f>
        <v>No</v>
      </c>
      <c r="S60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600" t="str">
        <f>"Q"&amp;ROUNDUP(MONTH(Transactions_RAW_cleaned[[#This Row],[TransactionDate]])/3,0)</f>
        <v>Q2</v>
      </c>
      <c r="U600" t="str">
        <f>Transactions_RAW_cleaned[[#This Row],[Region ]]&amp;Transactions_RAW_cleaned[[#This Row],[Quarter ]]</f>
        <v>EMEAQ2</v>
      </c>
      <c r="V600" s="5">
        <f>_xlfn.XLOOKUP(Transactions_RAW_cleaned[[#This Row],[RegionQuarterKey]], Quarterly_Targets_cleaned[RegionQuarterKey], Quarterly_Targets_cleaned[TargetRevenue])</f>
        <v>140000</v>
      </c>
    </row>
    <row r="601" spans="1:22" x14ac:dyDescent="0.25">
      <c r="A601" t="s">
        <v>935</v>
      </c>
      <c r="B601" s="1">
        <v>45558</v>
      </c>
      <c r="C601" t="s">
        <v>257</v>
      </c>
      <c r="D601" t="s">
        <v>297</v>
      </c>
      <c r="E601">
        <v>561.55999999999995</v>
      </c>
      <c r="F601" t="s">
        <v>381</v>
      </c>
      <c r="G601" t="s">
        <v>325</v>
      </c>
      <c r="H601" t="s">
        <v>332</v>
      </c>
      <c r="I601" t="s">
        <v>57</v>
      </c>
      <c r="J601" t="s">
        <v>13</v>
      </c>
      <c r="K601" t="s">
        <v>22</v>
      </c>
      <c r="L601" t="s">
        <v>298</v>
      </c>
      <c r="M601" t="s">
        <v>299</v>
      </c>
      <c r="N601">
        <v>0</v>
      </c>
      <c r="O601" t="str">
        <f>IF(Transactions_RAW_cleaned[[#This Row],[Status]]="Completed", IFERROR(_xlfn.XLOOKUP(Transactions_RAW_cleaned[[#This Row],[CustomerID]], Customers_cleaned[CustomerID], Customers_cleaned[Segment]), "Customer Not Found"), "N/A")</f>
        <v>N/A</v>
      </c>
      <c r="P601" s="5" t="str">
        <f>IF(Transactions_RAW_cleaned[[#This Row],[Status]]="Refunded", "Refund",
  IF(Transactions_RAW_cleaned[[#This Row],[Category]]="Payments", IF(Transactions_RAW_cleaned[[#This Row],[Amount]]&gt;500,"High Value","Standard"),
    IF(Transactions_RAW_cleaned[[#This Row],[Amount]]&gt;250,"High Value","Standard")))</f>
        <v>High Value</v>
      </c>
      <c r="Q601" s="5" t="str">
        <f>IF(Transactions_RAW_cleaned[[#This Row],[Amount]] &gt; (_xlfn.XLOOKUP(Transactions_RAW_cleaned[[#This Row],[ServiceID]],Services_cleaned[ServiceID],Services_cleaned[TransactionFeePct]) * 10000), "Yes", "No")</f>
        <v>Yes</v>
      </c>
      <c r="R601" s="5" t="str">
        <f>IF(COUNTIFS($C$2:Transactions_RAW_cleaned[[#This Row],[CustomerID]],Transactions_RAW_cleaned[[#This Row],[CustomerID]],$D$2:Transactions_RAW_cleaned[[#This Row],[ServiceID]],Transactions_RAW_cleaned[[#This Row],[ServiceID]])=1,"Yes","No")</f>
        <v>Yes</v>
      </c>
      <c r="S60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01" t="str">
        <f>"Q"&amp;ROUNDUP(MONTH(Transactions_RAW_cleaned[[#This Row],[TransactionDate]])/3,0)</f>
        <v>Q3</v>
      </c>
      <c r="U601" t="str">
        <f>Transactions_RAW_cleaned[[#This Row],[Region ]]&amp;Transactions_RAW_cleaned[[#This Row],[Quarter ]]</f>
        <v>NAQ3</v>
      </c>
      <c r="V601" s="5">
        <f>_xlfn.XLOOKUP(Transactions_RAW_cleaned[[#This Row],[RegionQuarterKey]], Quarterly_Targets_cleaned[RegionQuarterKey], Quarterly_Targets_cleaned[TargetRevenue])</f>
        <v>273000</v>
      </c>
    </row>
    <row r="602" spans="1:22" x14ac:dyDescent="0.25">
      <c r="A602" t="s">
        <v>936</v>
      </c>
      <c r="B602" s="1">
        <v>45335</v>
      </c>
      <c r="C602" t="s">
        <v>215</v>
      </c>
      <c r="D602" t="s">
        <v>297</v>
      </c>
      <c r="E602">
        <v>530.32000000000005</v>
      </c>
      <c r="F602" t="s">
        <v>324</v>
      </c>
      <c r="G602" t="s">
        <v>327</v>
      </c>
      <c r="I602" t="s">
        <v>57</v>
      </c>
      <c r="J602" t="s">
        <v>102</v>
      </c>
      <c r="K602" t="s">
        <v>14</v>
      </c>
      <c r="L602" t="s">
        <v>298</v>
      </c>
      <c r="M602" t="s">
        <v>299</v>
      </c>
      <c r="N602">
        <v>0</v>
      </c>
      <c r="O602" t="str">
        <f>IF(Transactions_RAW_cleaned[[#This Row],[Status]]="Completed", IFERROR(_xlfn.XLOOKUP(Transactions_RAW_cleaned[[#This Row],[CustomerID]], Customers_cleaned[CustomerID], Customers_cleaned[Segment]), "Customer Not Found"), "N/A")</f>
        <v>Startup</v>
      </c>
      <c r="P602" s="5" t="str">
        <f>IF(Transactions_RAW_cleaned[[#This Row],[Status]]="Refunded", "Refund",
  IF(Transactions_RAW_cleaned[[#This Row],[Category]]="Payments", IF(Transactions_RAW_cleaned[[#This Row],[Amount]]&gt;500,"High Value","Standard"),
    IF(Transactions_RAW_cleaned[[#This Row],[Amount]]&gt;250,"High Value","Standard")))</f>
        <v>High Value</v>
      </c>
      <c r="Q602" s="5" t="str">
        <f>IF(Transactions_RAW_cleaned[[#This Row],[Amount]] &gt; (_xlfn.XLOOKUP(Transactions_RAW_cleaned[[#This Row],[ServiceID]],Services_cleaned[ServiceID],Services_cleaned[TransactionFeePct]) * 10000), "Yes", "No")</f>
        <v>Yes</v>
      </c>
      <c r="R602" s="5" t="str">
        <f>IF(COUNTIFS($C$2:Transactions_RAW_cleaned[[#This Row],[CustomerID]],Transactions_RAW_cleaned[[#This Row],[CustomerID]],$D$2:Transactions_RAW_cleaned[[#This Row],[ServiceID]],Transactions_RAW_cleaned[[#This Row],[ServiceID]])=1,"Yes","No")</f>
        <v>No</v>
      </c>
      <c r="S60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02" t="str">
        <f>"Q"&amp;ROUNDUP(MONTH(Transactions_RAW_cleaned[[#This Row],[TransactionDate]])/3,0)</f>
        <v>Q1</v>
      </c>
      <c r="U602" t="str">
        <f>Transactions_RAW_cleaned[[#This Row],[Region ]]&amp;Transactions_RAW_cleaned[[#This Row],[Quarter ]]</f>
        <v>NAQ1</v>
      </c>
      <c r="V602" s="5">
        <f>_xlfn.XLOOKUP(Transactions_RAW_cleaned[[#This Row],[RegionQuarterKey]], Quarterly_Targets_cleaned[RegionQuarterKey], Quarterly_Targets_cleaned[TargetRevenue])</f>
        <v>247000</v>
      </c>
    </row>
    <row r="603" spans="1:22" x14ac:dyDescent="0.25">
      <c r="A603" t="s">
        <v>937</v>
      </c>
      <c r="B603" s="1">
        <v>45366</v>
      </c>
      <c r="C603" t="s">
        <v>98</v>
      </c>
      <c r="D603" t="s">
        <v>315</v>
      </c>
      <c r="E603">
        <v>110.71</v>
      </c>
      <c r="F603" t="s">
        <v>324</v>
      </c>
      <c r="G603" t="s">
        <v>325</v>
      </c>
      <c r="H603" t="s">
        <v>332</v>
      </c>
      <c r="I603" t="s">
        <v>8</v>
      </c>
      <c r="J603" t="s">
        <v>37</v>
      </c>
      <c r="K603" t="s">
        <v>18</v>
      </c>
      <c r="L603" t="s">
        <v>316</v>
      </c>
      <c r="M603" t="s">
        <v>305</v>
      </c>
      <c r="N603">
        <v>2.5000000000000001E-3</v>
      </c>
      <c r="O603" t="str">
        <f>IF(Transactions_RAW_cleaned[[#This Row],[Status]]="Completed", IFERROR(_xlfn.XLOOKUP(Transactions_RAW_cleaned[[#This Row],[CustomerID]], Customers_cleaned[CustomerID], Customers_cleaned[Segment]), "Customer Not Found"), "N/A")</f>
        <v>SMB</v>
      </c>
      <c r="P603" s="5" t="str">
        <f>IF(Transactions_RAW_cleaned[[#This Row],[Status]]="Refunded", "Refund",
  IF(Transactions_RAW_cleaned[[#This Row],[Category]]="Payments", IF(Transactions_RAW_cleaned[[#This Row],[Amount]]&gt;500,"High Value","Standard"),
    IF(Transactions_RAW_cleaned[[#This Row],[Amount]]&gt;250,"High Value","Standard")))</f>
        <v>Standard</v>
      </c>
      <c r="Q603" s="5" t="str">
        <f>IF(Transactions_RAW_cleaned[[#This Row],[Amount]] &gt; (_xlfn.XLOOKUP(Transactions_RAW_cleaned[[#This Row],[ServiceID]],Services_cleaned[ServiceID],Services_cleaned[TransactionFeePct]) * 10000), "Yes", "No")</f>
        <v>Yes</v>
      </c>
      <c r="R603" s="5" t="str">
        <f>IF(COUNTIFS($C$2:Transactions_RAW_cleaned[[#This Row],[CustomerID]],Transactions_RAW_cleaned[[#This Row],[CustomerID]],$D$2:Transactions_RAW_cleaned[[#This Row],[ServiceID]],Transactions_RAW_cleaned[[#This Row],[ServiceID]])=1,"Yes","No")</f>
        <v>Yes</v>
      </c>
      <c r="S60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603" t="str">
        <f>"Q"&amp;ROUNDUP(MONTH(Transactions_RAW_cleaned[[#This Row],[TransactionDate]])/3,0)</f>
        <v>Q1</v>
      </c>
      <c r="U603" t="str">
        <f>Transactions_RAW_cleaned[[#This Row],[Region ]]&amp;Transactions_RAW_cleaned[[#This Row],[Quarter ]]</f>
        <v>EMEAQ1</v>
      </c>
      <c r="V603" s="5">
        <f>_xlfn.XLOOKUP(Transactions_RAW_cleaned[[#This Row],[RegionQuarterKey]], Quarterly_Targets_cleaned[RegionQuarterKey], Quarterly_Targets_cleaned[TargetRevenue])</f>
        <v>133000</v>
      </c>
    </row>
    <row r="604" spans="1:22" x14ac:dyDescent="0.25">
      <c r="A604" t="s">
        <v>938</v>
      </c>
      <c r="B604" s="1">
        <v>45379</v>
      </c>
      <c r="C604" t="s">
        <v>163</v>
      </c>
      <c r="D604" t="s">
        <v>312</v>
      </c>
      <c r="E604">
        <v>729.11</v>
      </c>
      <c r="F604" t="s">
        <v>381</v>
      </c>
      <c r="G604" t="s">
        <v>325</v>
      </c>
      <c r="I604" t="s">
        <v>17</v>
      </c>
      <c r="J604" t="s">
        <v>102</v>
      </c>
      <c r="K604" t="s">
        <v>18</v>
      </c>
      <c r="L604" t="s">
        <v>313</v>
      </c>
      <c r="M604" t="s">
        <v>314</v>
      </c>
      <c r="N604">
        <v>0</v>
      </c>
      <c r="O604" t="str">
        <f>IF(Transactions_RAW_cleaned[[#This Row],[Status]]="Completed", IFERROR(_xlfn.XLOOKUP(Transactions_RAW_cleaned[[#This Row],[CustomerID]], Customers_cleaned[CustomerID], Customers_cleaned[Segment]), "Customer Not Found"), "N/A")</f>
        <v>N/A</v>
      </c>
      <c r="P604" s="5" t="str">
        <f>IF(Transactions_RAW_cleaned[[#This Row],[Status]]="Refunded", "Refund",
  IF(Transactions_RAW_cleaned[[#This Row],[Category]]="Payments", IF(Transactions_RAW_cleaned[[#This Row],[Amount]]&gt;500,"High Value","Standard"),
    IF(Transactions_RAW_cleaned[[#This Row],[Amount]]&gt;250,"High Value","Standard")))</f>
        <v>High Value</v>
      </c>
      <c r="Q604" s="5" t="str">
        <f>IF(Transactions_RAW_cleaned[[#This Row],[Amount]] &gt; (_xlfn.XLOOKUP(Transactions_RAW_cleaned[[#This Row],[ServiceID]],Services_cleaned[ServiceID],Services_cleaned[TransactionFeePct]) * 10000), "Yes", "No")</f>
        <v>Yes</v>
      </c>
      <c r="R604" s="5" t="str">
        <f>IF(COUNTIFS($C$2:Transactions_RAW_cleaned[[#This Row],[CustomerID]],Transactions_RAW_cleaned[[#This Row],[CustomerID]],$D$2:Transactions_RAW_cleaned[[#This Row],[ServiceID]],Transactions_RAW_cleaned[[#This Row],[ServiceID]])=1,"Yes","No")</f>
        <v>Yes</v>
      </c>
      <c r="S60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04" t="str">
        <f>"Q"&amp;ROUNDUP(MONTH(Transactions_RAW_cleaned[[#This Row],[TransactionDate]])/3,0)</f>
        <v>Q1</v>
      </c>
      <c r="U604" t="str">
        <f>Transactions_RAW_cleaned[[#This Row],[Region ]]&amp;Transactions_RAW_cleaned[[#This Row],[Quarter ]]</f>
        <v>NAQ1</v>
      </c>
      <c r="V604" s="5">
        <f>_xlfn.XLOOKUP(Transactions_RAW_cleaned[[#This Row],[RegionQuarterKey]], Quarterly_Targets_cleaned[RegionQuarterKey], Quarterly_Targets_cleaned[TargetRevenue])</f>
        <v>247000</v>
      </c>
    </row>
    <row r="605" spans="1:22" x14ac:dyDescent="0.25">
      <c r="A605" t="s">
        <v>939</v>
      </c>
      <c r="B605" s="1">
        <v>45513</v>
      </c>
      <c r="C605" t="s">
        <v>217</v>
      </c>
      <c r="D605" t="s">
        <v>309</v>
      </c>
      <c r="E605">
        <v>340.66</v>
      </c>
      <c r="F605" t="s">
        <v>324</v>
      </c>
      <c r="G605" t="s">
        <v>337</v>
      </c>
      <c r="I605" t="s">
        <v>17</v>
      </c>
      <c r="J605" t="s">
        <v>102</v>
      </c>
      <c r="K605" t="s">
        <v>14</v>
      </c>
      <c r="L605" t="s">
        <v>310</v>
      </c>
      <c r="M605" t="s">
        <v>311</v>
      </c>
      <c r="N605">
        <v>0</v>
      </c>
      <c r="O605" t="str">
        <f>IF(Transactions_RAW_cleaned[[#This Row],[Status]]="Completed", IFERROR(_xlfn.XLOOKUP(Transactions_RAW_cleaned[[#This Row],[CustomerID]], Customers_cleaned[CustomerID], Customers_cleaned[Segment]), "Customer Not Found"), "N/A")</f>
        <v>Enterprise</v>
      </c>
      <c r="P605" s="5" t="str">
        <f>IF(Transactions_RAW_cleaned[[#This Row],[Status]]="Refunded", "Refund",
  IF(Transactions_RAW_cleaned[[#This Row],[Category]]="Payments", IF(Transactions_RAW_cleaned[[#This Row],[Amount]]&gt;500,"High Value","Standard"),
    IF(Transactions_RAW_cleaned[[#This Row],[Amount]]&gt;250,"High Value","Standard")))</f>
        <v>High Value</v>
      </c>
      <c r="Q605" s="5" t="str">
        <f>IF(Transactions_RAW_cleaned[[#This Row],[Amount]] &gt; (_xlfn.XLOOKUP(Transactions_RAW_cleaned[[#This Row],[ServiceID]],Services_cleaned[ServiceID],Services_cleaned[TransactionFeePct]) * 10000), "Yes", "No")</f>
        <v>Yes</v>
      </c>
      <c r="R605" s="5" t="str">
        <f>IF(COUNTIFS($C$2:Transactions_RAW_cleaned[[#This Row],[CustomerID]],Transactions_RAW_cleaned[[#This Row],[CustomerID]],$D$2:Transactions_RAW_cleaned[[#This Row],[ServiceID]],Transactions_RAW_cleaned[[#This Row],[ServiceID]])=1,"Yes","No")</f>
        <v>No</v>
      </c>
      <c r="S60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05" t="str">
        <f>"Q"&amp;ROUNDUP(MONTH(Transactions_RAW_cleaned[[#This Row],[TransactionDate]])/3,0)</f>
        <v>Q3</v>
      </c>
      <c r="U605" t="str">
        <f>Transactions_RAW_cleaned[[#This Row],[Region ]]&amp;Transactions_RAW_cleaned[[#This Row],[Quarter ]]</f>
        <v>NAQ3</v>
      </c>
      <c r="V605" s="5">
        <f>_xlfn.XLOOKUP(Transactions_RAW_cleaned[[#This Row],[RegionQuarterKey]], Quarterly_Targets_cleaned[RegionQuarterKey], Quarterly_Targets_cleaned[TargetRevenue])</f>
        <v>273000</v>
      </c>
    </row>
    <row r="606" spans="1:22" x14ac:dyDescent="0.25">
      <c r="A606" t="s">
        <v>940</v>
      </c>
      <c r="B606" s="1">
        <v>45617</v>
      </c>
      <c r="C606" t="s">
        <v>237</v>
      </c>
      <c r="D606" t="s">
        <v>294</v>
      </c>
      <c r="E606">
        <v>419.48</v>
      </c>
      <c r="F606" t="s">
        <v>324</v>
      </c>
      <c r="G606" t="s">
        <v>327</v>
      </c>
      <c r="I606" t="s">
        <v>8</v>
      </c>
      <c r="J606" t="s">
        <v>46</v>
      </c>
      <c r="K606" t="s">
        <v>10</v>
      </c>
      <c r="L606" t="s">
        <v>295</v>
      </c>
      <c r="M606" t="s">
        <v>296</v>
      </c>
      <c r="N606">
        <v>2.9000000000000001E-2</v>
      </c>
      <c r="O606" t="str">
        <f>IF(Transactions_RAW_cleaned[[#This Row],[Status]]="Completed", IFERROR(_xlfn.XLOOKUP(Transactions_RAW_cleaned[[#This Row],[CustomerID]], Customers_cleaned[CustomerID], Customers_cleaned[Segment]), "Customer Not Found"), "N/A")</f>
        <v>SMB</v>
      </c>
      <c r="P606" s="5" t="str">
        <f>IF(Transactions_RAW_cleaned[[#This Row],[Status]]="Refunded", "Refund",
  IF(Transactions_RAW_cleaned[[#This Row],[Category]]="Payments", IF(Transactions_RAW_cleaned[[#This Row],[Amount]]&gt;500,"High Value","Standard"),
    IF(Transactions_RAW_cleaned[[#This Row],[Amount]]&gt;250,"High Value","Standard")))</f>
        <v>Standard</v>
      </c>
      <c r="Q606" s="5" t="str">
        <f>IF(Transactions_RAW_cleaned[[#This Row],[Amount]] &gt; (_xlfn.XLOOKUP(Transactions_RAW_cleaned[[#This Row],[ServiceID]],Services_cleaned[ServiceID],Services_cleaned[TransactionFeePct]) * 10000), "Yes", "No")</f>
        <v>Yes</v>
      </c>
      <c r="R606" s="5" t="str">
        <f>IF(COUNTIFS($C$2:Transactions_RAW_cleaned[[#This Row],[CustomerID]],Transactions_RAW_cleaned[[#This Row],[CustomerID]],$D$2:Transactions_RAW_cleaned[[#This Row],[ServiceID]],Transactions_RAW_cleaned[[#This Row],[ServiceID]])=1,"Yes","No")</f>
        <v>No</v>
      </c>
      <c r="S60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06" t="str">
        <f>"Q"&amp;ROUNDUP(MONTH(Transactions_RAW_cleaned[[#This Row],[TransactionDate]])/3,0)</f>
        <v>Q4</v>
      </c>
      <c r="U606" t="str">
        <f>Transactions_RAW_cleaned[[#This Row],[Region ]]&amp;Transactions_RAW_cleaned[[#This Row],[Quarter ]]</f>
        <v>APACQ4</v>
      </c>
      <c r="V606" s="5">
        <f>_xlfn.XLOOKUP(Transactions_RAW_cleaned[[#This Row],[RegionQuarterKey]], Quarterly_Targets_cleaned[RegionQuarterKey], Quarterly_Targets_cleaned[TargetRevenue])</f>
        <v>126500</v>
      </c>
    </row>
    <row r="607" spans="1:22" x14ac:dyDescent="0.25">
      <c r="A607" t="s">
        <v>941</v>
      </c>
      <c r="B607" s="1">
        <v>45370</v>
      </c>
      <c r="C607" t="s">
        <v>131</v>
      </c>
      <c r="D607" t="s">
        <v>315</v>
      </c>
      <c r="E607">
        <v>798.62</v>
      </c>
      <c r="F607" t="s">
        <v>324</v>
      </c>
      <c r="G607" t="s">
        <v>329</v>
      </c>
      <c r="I607" t="s">
        <v>17</v>
      </c>
      <c r="J607" t="s">
        <v>102</v>
      </c>
      <c r="K607" t="s">
        <v>22</v>
      </c>
      <c r="L607" t="s">
        <v>316</v>
      </c>
      <c r="M607" t="s">
        <v>305</v>
      </c>
      <c r="N607">
        <v>2.5000000000000001E-3</v>
      </c>
      <c r="O607" t="str">
        <f>IF(Transactions_RAW_cleaned[[#This Row],[Status]]="Completed", IFERROR(_xlfn.XLOOKUP(Transactions_RAW_cleaned[[#This Row],[CustomerID]], Customers_cleaned[CustomerID], Customers_cleaned[Segment]), "Customer Not Found"), "N/A")</f>
        <v>Enterprise</v>
      </c>
      <c r="P607" s="5" t="str">
        <f>IF(Transactions_RAW_cleaned[[#This Row],[Status]]="Refunded", "Refund",
  IF(Transactions_RAW_cleaned[[#This Row],[Category]]="Payments", IF(Transactions_RAW_cleaned[[#This Row],[Amount]]&gt;500,"High Value","Standard"),
    IF(Transactions_RAW_cleaned[[#This Row],[Amount]]&gt;250,"High Value","Standard")))</f>
        <v>High Value</v>
      </c>
      <c r="Q607" s="5" t="str">
        <f>IF(Transactions_RAW_cleaned[[#This Row],[Amount]] &gt; (_xlfn.XLOOKUP(Transactions_RAW_cleaned[[#This Row],[ServiceID]],Services_cleaned[ServiceID],Services_cleaned[TransactionFeePct]) * 10000), "Yes", "No")</f>
        <v>Yes</v>
      </c>
      <c r="R607" s="5" t="str">
        <f>IF(COUNTIFS($C$2:Transactions_RAW_cleaned[[#This Row],[CustomerID]],Transactions_RAW_cleaned[[#This Row],[CustomerID]],$D$2:Transactions_RAW_cleaned[[#This Row],[ServiceID]],Transactions_RAW_cleaned[[#This Row],[ServiceID]])=1,"Yes","No")</f>
        <v>No</v>
      </c>
      <c r="S60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07" t="str">
        <f>"Q"&amp;ROUNDUP(MONTH(Transactions_RAW_cleaned[[#This Row],[TransactionDate]])/3,0)</f>
        <v>Q1</v>
      </c>
      <c r="U607" t="str">
        <f>Transactions_RAW_cleaned[[#This Row],[Region ]]&amp;Transactions_RAW_cleaned[[#This Row],[Quarter ]]</f>
        <v>NAQ1</v>
      </c>
      <c r="V607" s="5">
        <f>_xlfn.XLOOKUP(Transactions_RAW_cleaned[[#This Row],[RegionQuarterKey]], Quarterly_Targets_cleaned[RegionQuarterKey], Quarterly_Targets_cleaned[TargetRevenue])</f>
        <v>247000</v>
      </c>
    </row>
    <row r="608" spans="1:22" x14ac:dyDescent="0.25">
      <c r="A608" t="s">
        <v>942</v>
      </c>
      <c r="B608" s="1">
        <v>45522</v>
      </c>
      <c r="C608" t="s">
        <v>179</v>
      </c>
      <c r="D608" t="s">
        <v>303</v>
      </c>
      <c r="E608">
        <v>687.74</v>
      </c>
      <c r="F608" t="s">
        <v>381</v>
      </c>
      <c r="G608" t="s">
        <v>325</v>
      </c>
      <c r="I608" t="s">
        <v>8</v>
      </c>
      <c r="J608" t="s">
        <v>31</v>
      </c>
      <c r="K608" t="s">
        <v>18</v>
      </c>
      <c r="L608" t="s">
        <v>304</v>
      </c>
      <c r="M608" t="s">
        <v>305</v>
      </c>
      <c r="N608">
        <v>1E-3</v>
      </c>
      <c r="O608" t="str">
        <f>IF(Transactions_RAW_cleaned[[#This Row],[Status]]="Completed", IFERROR(_xlfn.XLOOKUP(Transactions_RAW_cleaned[[#This Row],[CustomerID]], Customers_cleaned[CustomerID], Customers_cleaned[Segment]), "Customer Not Found"), "N/A")</f>
        <v>N/A</v>
      </c>
      <c r="P608" s="5" t="str">
        <f>IF(Transactions_RAW_cleaned[[#This Row],[Status]]="Refunded", "Refund",
  IF(Transactions_RAW_cleaned[[#This Row],[Category]]="Payments", IF(Transactions_RAW_cleaned[[#This Row],[Amount]]&gt;500,"High Value","Standard"),
    IF(Transactions_RAW_cleaned[[#This Row],[Amount]]&gt;250,"High Value","Standard")))</f>
        <v>High Value</v>
      </c>
      <c r="Q608" s="5" t="str">
        <f>IF(Transactions_RAW_cleaned[[#This Row],[Amount]] &gt; (_xlfn.XLOOKUP(Transactions_RAW_cleaned[[#This Row],[ServiceID]],Services_cleaned[ServiceID],Services_cleaned[TransactionFeePct]) * 10000), "Yes", "No")</f>
        <v>Yes</v>
      </c>
      <c r="R608" s="5" t="str">
        <f>IF(COUNTIFS($C$2:Transactions_RAW_cleaned[[#This Row],[CustomerID]],Transactions_RAW_cleaned[[#This Row],[CustomerID]],$D$2:Transactions_RAW_cleaned[[#This Row],[ServiceID]],Transactions_RAW_cleaned[[#This Row],[ServiceID]])=1,"Yes","No")</f>
        <v>No</v>
      </c>
      <c r="S60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608" t="str">
        <f>"Q"&amp;ROUNDUP(MONTH(Transactions_RAW_cleaned[[#This Row],[TransactionDate]])/3,0)</f>
        <v>Q3</v>
      </c>
      <c r="U608" t="str">
        <f>Transactions_RAW_cleaned[[#This Row],[Region ]]&amp;Transactions_RAW_cleaned[[#This Row],[Quarter ]]</f>
        <v>EMEAQ3</v>
      </c>
      <c r="V608" s="5">
        <f>_xlfn.XLOOKUP(Transactions_RAW_cleaned[[#This Row],[RegionQuarterKey]], Quarterly_Targets_cleaned[RegionQuarterKey], Quarterly_Targets_cleaned[TargetRevenue])</f>
        <v>147000</v>
      </c>
    </row>
    <row r="609" spans="1:22" x14ac:dyDescent="0.25">
      <c r="A609" t="s">
        <v>943</v>
      </c>
      <c r="B609" s="1">
        <v>45370</v>
      </c>
      <c r="C609" t="s">
        <v>169</v>
      </c>
      <c r="D609" t="s">
        <v>294</v>
      </c>
      <c r="E609">
        <v>368.24</v>
      </c>
      <c r="F609" t="s">
        <v>324</v>
      </c>
      <c r="G609" t="s">
        <v>337</v>
      </c>
      <c r="H609" t="s">
        <v>332</v>
      </c>
      <c r="I609" t="s">
        <v>8</v>
      </c>
      <c r="J609" t="s">
        <v>13</v>
      </c>
      <c r="K609" t="s">
        <v>32</v>
      </c>
      <c r="L609" t="s">
        <v>295</v>
      </c>
      <c r="M609" t="s">
        <v>296</v>
      </c>
      <c r="N609">
        <v>2.9000000000000001E-2</v>
      </c>
      <c r="O609" t="str">
        <f>IF(Transactions_RAW_cleaned[[#This Row],[Status]]="Completed", IFERROR(_xlfn.XLOOKUP(Transactions_RAW_cleaned[[#This Row],[CustomerID]], Customers_cleaned[CustomerID], Customers_cleaned[Segment]), "Customer Not Found"), "N/A")</f>
        <v>SMB</v>
      </c>
      <c r="P609" s="5" t="str">
        <f>IF(Transactions_RAW_cleaned[[#This Row],[Status]]="Refunded", "Refund",
  IF(Transactions_RAW_cleaned[[#This Row],[Category]]="Payments", IF(Transactions_RAW_cleaned[[#This Row],[Amount]]&gt;500,"High Value","Standard"),
    IF(Transactions_RAW_cleaned[[#This Row],[Amount]]&gt;250,"High Value","Standard")))</f>
        <v>Standard</v>
      </c>
      <c r="Q609" s="5" t="str">
        <f>IF(Transactions_RAW_cleaned[[#This Row],[Amount]] &gt; (_xlfn.XLOOKUP(Transactions_RAW_cleaned[[#This Row],[ServiceID]],Services_cleaned[ServiceID],Services_cleaned[TransactionFeePct]) * 10000), "Yes", "No")</f>
        <v>Yes</v>
      </c>
      <c r="R609" s="5" t="str">
        <f>IF(COUNTIFS($C$2:Transactions_RAW_cleaned[[#This Row],[CustomerID]],Transactions_RAW_cleaned[[#This Row],[CustomerID]],$D$2:Transactions_RAW_cleaned[[#This Row],[ServiceID]],Transactions_RAW_cleaned[[#This Row],[ServiceID]])=1,"Yes","No")</f>
        <v>Yes</v>
      </c>
      <c r="S60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09" t="str">
        <f>"Q"&amp;ROUNDUP(MONTH(Transactions_RAW_cleaned[[#This Row],[TransactionDate]])/3,0)</f>
        <v>Q1</v>
      </c>
      <c r="U609" t="str">
        <f>Transactions_RAW_cleaned[[#This Row],[Region ]]&amp;Transactions_RAW_cleaned[[#This Row],[Quarter ]]</f>
        <v>NAQ1</v>
      </c>
      <c r="V609" s="5">
        <f>_xlfn.XLOOKUP(Transactions_RAW_cleaned[[#This Row],[RegionQuarterKey]], Quarterly_Targets_cleaned[RegionQuarterKey], Quarterly_Targets_cleaned[TargetRevenue])</f>
        <v>247000</v>
      </c>
    </row>
    <row r="610" spans="1:22" x14ac:dyDescent="0.25">
      <c r="A610" t="s">
        <v>944</v>
      </c>
      <c r="B610" s="1">
        <v>45475</v>
      </c>
      <c r="C610" t="s">
        <v>189</v>
      </c>
      <c r="D610" t="s">
        <v>303</v>
      </c>
      <c r="E610">
        <v>317.69</v>
      </c>
      <c r="F610" t="s">
        <v>324</v>
      </c>
      <c r="G610" t="s">
        <v>337</v>
      </c>
      <c r="H610" t="s">
        <v>332</v>
      </c>
      <c r="I610" t="s">
        <v>17</v>
      </c>
      <c r="J610" t="s">
        <v>102</v>
      </c>
      <c r="K610" t="s">
        <v>14</v>
      </c>
      <c r="L610" t="s">
        <v>304</v>
      </c>
      <c r="M610" t="s">
        <v>305</v>
      </c>
      <c r="N610">
        <v>1E-3</v>
      </c>
      <c r="O610" t="str">
        <f>IF(Transactions_RAW_cleaned[[#This Row],[Status]]="Completed", IFERROR(_xlfn.XLOOKUP(Transactions_RAW_cleaned[[#This Row],[CustomerID]], Customers_cleaned[CustomerID], Customers_cleaned[Segment]), "Customer Not Found"), "N/A")</f>
        <v>Enterprise</v>
      </c>
      <c r="P610" s="5" t="str">
        <f>IF(Transactions_RAW_cleaned[[#This Row],[Status]]="Refunded", "Refund",
  IF(Transactions_RAW_cleaned[[#This Row],[Category]]="Payments", IF(Transactions_RAW_cleaned[[#This Row],[Amount]]&gt;500,"High Value","Standard"),
    IF(Transactions_RAW_cleaned[[#This Row],[Amount]]&gt;250,"High Value","Standard")))</f>
        <v>High Value</v>
      </c>
      <c r="Q610" s="5" t="str">
        <f>IF(Transactions_RAW_cleaned[[#This Row],[Amount]] &gt; (_xlfn.XLOOKUP(Transactions_RAW_cleaned[[#This Row],[ServiceID]],Services_cleaned[ServiceID],Services_cleaned[TransactionFeePct]) * 10000), "Yes", "No")</f>
        <v>Yes</v>
      </c>
      <c r="R610" s="5" t="str">
        <f>IF(COUNTIFS($C$2:Transactions_RAW_cleaned[[#This Row],[CustomerID]],Transactions_RAW_cleaned[[#This Row],[CustomerID]],$D$2:Transactions_RAW_cleaned[[#This Row],[ServiceID]],Transactions_RAW_cleaned[[#This Row],[ServiceID]])=1,"Yes","No")</f>
        <v>Yes</v>
      </c>
      <c r="S61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10" t="str">
        <f>"Q"&amp;ROUNDUP(MONTH(Transactions_RAW_cleaned[[#This Row],[TransactionDate]])/3,0)</f>
        <v>Q3</v>
      </c>
      <c r="U610" t="str">
        <f>Transactions_RAW_cleaned[[#This Row],[Region ]]&amp;Transactions_RAW_cleaned[[#This Row],[Quarter ]]</f>
        <v>NAQ3</v>
      </c>
      <c r="V610" s="5">
        <f>_xlfn.XLOOKUP(Transactions_RAW_cleaned[[#This Row],[RegionQuarterKey]], Quarterly_Targets_cleaned[RegionQuarterKey], Quarterly_Targets_cleaned[TargetRevenue])</f>
        <v>273000</v>
      </c>
    </row>
    <row r="611" spans="1:22" x14ac:dyDescent="0.25">
      <c r="A611" t="s">
        <v>945</v>
      </c>
      <c r="B611" s="1">
        <v>45324</v>
      </c>
      <c r="C611" t="s">
        <v>239</v>
      </c>
      <c r="D611" t="s">
        <v>294</v>
      </c>
      <c r="E611">
        <v>485.41</v>
      </c>
      <c r="F611" t="s">
        <v>381</v>
      </c>
      <c r="G611" t="s">
        <v>327</v>
      </c>
      <c r="I611" t="s">
        <v>57</v>
      </c>
      <c r="J611" t="s">
        <v>102</v>
      </c>
      <c r="K611" t="s">
        <v>10</v>
      </c>
      <c r="L611" t="s">
        <v>295</v>
      </c>
      <c r="M611" t="s">
        <v>296</v>
      </c>
      <c r="N611">
        <v>2.9000000000000001E-2</v>
      </c>
      <c r="O611" t="str">
        <f>IF(Transactions_RAW_cleaned[[#This Row],[Status]]="Completed", IFERROR(_xlfn.XLOOKUP(Transactions_RAW_cleaned[[#This Row],[CustomerID]], Customers_cleaned[CustomerID], Customers_cleaned[Segment]), "Customer Not Found"), "N/A")</f>
        <v>N/A</v>
      </c>
      <c r="P611" s="5" t="str">
        <f>IF(Transactions_RAW_cleaned[[#This Row],[Status]]="Refunded", "Refund",
  IF(Transactions_RAW_cleaned[[#This Row],[Category]]="Payments", IF(Transactions_RAW_cleaned[[#This Row],[Amount]]&gt;500,"High Value","Standard"),
    IF(Transactions_RAW_cleaned[[#This Row],[Amount]]&gt;250,"High Value","Standard")))</f>
        <v>Standard</v>
      </c>
      <c r="Q611" s="5" t="str">
        <f>IF(Transactions_RAW_cleaned[[#This Row],[Amount]] &gt; (_xlfn.XLOOKUP(Transactions_RAW_cleaned[[#This Row],[ServiceID]],Services_cleaned[ServiceID],Services_cleaned[TransactionFeePct]) * 10000), "Yes", "No")</f>
        <v>Yes</v>
      </c>
      <c r="R611" s="5" t="str">
        <f>IF(COUNTIFS($C$2:Transactions_RAW_cleaned[[#This Row],[CustomerID]],Transactions_RAW_cleaned[[#This Row],[CustomerID]],$D$2:Transactions_RAW_cleaned[[#This Row],[ServiceID]],Transactions_RAW_cleaned[[#This Row],[ServiceID]])=1,"Yes","No")</f>
        <v>Yes</v>
      </c>
      <c r="S61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11" t="str">
        <f>"Q"&amp;ROUNDUP(MONTH(Transactions_RAW_cleaned[[#This Row],[TransactionDate]])/3,0)</f>
        <v>Q1</v>
      </c>
      <c r="U611" t="str">
        <f>Transactions_RAW_cleaned[[#This Row],[Region ]]&amp;Transactions_RAW_cleaned[[#This Row],[Quarter ]]</f>
        <v>NAQ1</v>
      </c>
      <c r="V611" s="5">
        <f>_xlfn.XLOOKUP(Transactions_RAW_cleaned[[#This Row],[RegionQuarterKey]], Quarterly_Targets_cleaned[RegionQuarterKey], Quarterly_Targets_cleaned[TargetRevenue])</f>
        <v>247000</v>
      </c>
    </row>
    <row r="612" spans="1:22" x14ac:dyDescent="0.25">
      <c r="A612" t="s">
        <v>946</v>
      </c>
      <c r="B612" s="1">
        <v>45323</v>
      </c>
      <c r="C612" t="s">
        <v>15</v>
      </c>
      <c r="D612" t="s">
        <v>300</v>
      </c>
      <c r="E612">
        <v>981.45</v>
      </c>
      <c r="F612" t="s">
        <v>381</v>
      </c>
      <c r="G612" t="s">
        <v>325</v>
      </c>
      <c r="H612" t="s">
        <v>346</v>
      </c>
      <c r="I612" t="s">
        <v>17</v>
      </c>
      <c r="J612" t="s">
        <v>102</v>
      </c>
      <c r="K612" t="s">
        <v>18</v>
      </c>
      <c r="L612" t="s">
        <v>301</v>
      </c>
      <c r="M612" t="s">
        <v>302</v>
      </c>
      <c r="N612">
        <v>5.0000000000000001E-3</v>
      </c>
      <c r="O612" t="str">
        <f>IF(Transactions_RAW_cleaned[[#This Row],[Status]]="Completed", IFERROR(_xlfn.XLOOKUP(Transactions_RAW_cleaned[[#This Row],[CustomerID]], Customers_cleaned[CustomerID], Customers_cleaned[Segment]), "Customer Not Found"), "N/A")</f>
        <v>N/A</v>
      </c>
      <c r="P612" s="5" t="str">
        <f>IF(Transactions_RAW_cleaned[[#This Row],[Status]]="Refunded", "Refund",
  IF(Transactions_RAW_cleaned[[#This Row],[Category]]="Payments", IF(Transactions_RAW_cleaned[[#This Row],[Amount]]&gt;500,"High Value","Standard"),
    IF(Transactions_RAW_cleaned[[#This Row],[Amount]]&gt;250,"High Value","Standard")))</f>
        <v>High Value</v>
      </c>
      <c r="Q612" s="5" t="str">
        <f>IF(Transactions_RAW_cleaned[[#This Row],[Amount]] &gt; (_xlfn.XLOOKUP(Transactions_RAW_cleaned[[#This Row],[ServiceID]],Services_cleaned[ServiceID],Services_cleaned[TransactionFeePct]) * 10000), "Yes", "No")</f>
        <v>Yes</v>
      </c>
      <c r="R612" s="5" t="str">
        <f>IF(COUNTIFS($C$2:Transactions_RAW_cleaned[[#This Row],[CustomerID]],Transactions_RAW_cleaned[[#This Row],[CustomerID]],$D$2:Transactions_RAW_cleaned[[#This Row],[ServiceID]],Transactions_RAW_cleaned[[#This Row],[ServiceID]])=1,"Yes","No")</f>
        <v>No</v>
      </c>
      <c r="S61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12" t="str">
        <f>"Q"&amp;ROUNDUP(MONTH(Transactions_RAW_cleaned[[#This Row],[TransactionDate]])/3,0)</f>
        <v>Q1</v>
      </c>
      <c r="U612" t="str">
        <f>Transactions_RAW_cleaned[[#This Row],[Region ]]&amp;Transactions_RAW_cleaned[[#This Row],[Quarter ]]</f>
        <v>NAQ1</v>
      </c>
      <c r="V612" s="5">
        <f>_xlfn.XLOOKUP(Transactions_RAW_cleaned[[#This Row],[RegionQuarterKey]], Quarterly_Targets_cleaned[RegionQuarterKey], Quarterly_Targets_cleaned[TargetRevenue])</f>
        <v>247000</v>
      </c>
    </row>
    <row r="613" spans="1:22" x14ac:dyDescent="0.25">
      <c r="A613" t="s">
        <v>947</v>
      </c>
      <c r="B613" s="1">
        <v>45477</v>
      </c>
      <c r="C613" t="s">
        <v>257</v>
      </c>
      <c r="D613" t="s">
        <v>294</v>
      </c>
      <c r="E613">
        <v>743.63</v>
      </c>
      <c r="F613" t="s">
        <v>324</v>
      </c>
      <c r="G613" t="s">
        <v>329</v>
      </c>
      <c r="I613" t="s">
        <v>57</v>
      </c>
      <c r="J613" t="s">
        <v>13</v>
      </c>
      <c r="K613" t="s">
        <v>22</v>
      </c>
      <c r="L613" t="s">
        <v>295</v>
      </c>
      <c r="M613" t="s">
        <v>296</v>
      </c>
      <c r="N613">
        <v>2.9000000000000001E-2</v>
      </c>
      <c r="O613" t="str">
        <f>IF(Transactions_RAW_cleaned[[#This Row],[Status]]="Completed", IFERROR(_xlfn.XLOOKUP(Transactions_RAW_cleaned[[#This Row],[CustomerID]], Customers_cleaned[CustomerID], Customers_cleaned[Segment]), "Customer Not Found"), "N/A")</f>
        <v>Startup</v>
      </c>
      <c r="P613" s="5" t="str">
        <f>IF(Transactions_RAW_cleaned[[#This Row],[Status]]="Refunded", "Refund",
  IF(Transactions_RAW_cleaned[[#This Row],[Category]]="Payments", IF(Transactions_RAW_cleaned[[#This Row],[Amount]]&gt;500,"High Value","Standard"),
    IF(Transactions_RAW_cleaned[[#This Row],[Amount]]&gt;250,"High Value","Standard")))</f>
        <v>High Value</v>
      </c>
      <c r="Q613" s="5" t="str">
        <f>IF(Transactions_RAW_cleaned[[#This Row],[Amount]] &gt; (_xlfn.XLOOKUP(Transactions_RAW_cleaned[[#This Row],[ServiceID]],Services_cleaned[ServiceID],Services_cleaned[TransactionFeePct]) * 10000), "Yes", "No")</f>
        <v>Yes</v>
      </c>
      <c r="R613" s="5" t="str">
        <f>IF(COUNTIFS($C$2:Transactions_RAW_cleaned[[#This Row],[CustomerID]],Transactions_RAW_cleaned[[#This Row],[CustomerID]],$D$2:Transactions_RAW_cleaned[[#This Row],[ServiceID]],Transactions_RAW_cleaned[[#This Row],[ServiceID]])=1,"Yes","No")</f>
        <v>Yes</v>
      </c>
      <c r="S61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13" t="str">
        <f>"Q"&amp;ROUNDUP(MONTH(Transactions_RAW_cleaned[[#This Row],[TransactionDate]])/3,0)</f>
        <v>Q3</v>
      </c>
      <c r="U613" t="str">
        <f>Transactions_RAW_cleaned[[#This Row],[Region ]]&amp;Transactions_RAW_cleaned[[#This Row],[Quarter ]]</f>
        <v>NAQ3</v>
      </c>
      <c r="V613" s="5">
        <f>_xlfn.XLOOKUP(Transactions_RAW_cleaned[[#This Row],[RegionQuarterKey]], Quarterly_Targets_cleaned[RegionQuarterKey], Quarterly_Targets_cleaned[TargetRevenue])</f>
        <v>273000</v>
      </c>
    </row>
    <row r="614" spans="1:22" x14ac:dyDescent="0.25">
      <c r="A614" t="s">
        <v>948</v>
      </c>
      <c r="B614" s="1">
        <v>45417</v>
      </c>
      <c r="C614" t="s">
        <v>60</v>
      </c>
      <c r="D614" t="s">
        <v>297</v>
      </c>
      <c r="E614">
        <v>-160.66999999999999</v>
      </c>
      <c r="F614" t="s">
        <v>349</v>
      </c>
      <c r="G614" t="s">
        <v>325</v>
      </c>
      <c r="H614" t="s">
        <v>334</v>
      </c>
      <c r="I614" t="s">
        <v>8</v>
      </c>
      <c r="J614" t="s">
        <v>13</v>
      </c>
      <c r="K614" t="s">
        <v>14</v>
      </c>
      <c r="L614" t="s">
        <v>298</v>
      </c>
      <c r="M614" t="s">
        <v>299</v>
      </c>
      <c r="N614">
        <v>0</v>
      </c>
      <c r="O614" t="str">
        <f>IF(Transactions_RAW_cleaned[[#This Row],[Status]]="Completed", IFERROR(_xlfn.XLOOKUP(Transactions_RAW_cleaned[[#This Row],[CustomerID]], Customers_cleaned[CustomerID], Customers_cleaned[Segment]), "Customer Not Found"), "N/A")</f>
        <v>N/A</v>
      </c>
      <c r="P614" s="5" t="str">
        <f>IF(Transactions_RAW_cleaned[[#This Row],[Status]]="Refunded", "Refund",
  IF(Transactions_RAW_cleaned[[#This Row],[Category]]="Payments", IF(Transactions_RAW_cleaned[[#This Row],[Amount]]&gt;500,"High Value","Standard"),
    IF(Transactions_RAW_cleaned[[#This Row],[Amount]]&gt;250,"High Value","Standard")))</f>
        <v>Refund</v>
      </c>
      <c r="Q614" s="5" t="str">
        <f>IF(Transactions_RAW_cleaned[[#This Row],[Amount]] &gt; (_xlfn.XLOOKUP(Transactions_RAW_cleaned[[#This Row],[ServiceID]],Services_cleaned[ServiceID],Services_cleaned[TransactionFeePct]) * 10000), "Yes", "No")</f>
        <v>No</v>
      </c>
      <c r="R614" s="5" t="str">
        <f>IF(COUNTIFS($C$2:Transactions_RAW_cleaned[[#This Row],[CustomerID]],Transactions_RAW_cleaned[[#This Row],[CustomerID]],$D$2:Transactions_RAW_cleaned[[#This Row],[ServiceID]],Transactions_RAW_cleaned[[#This Row],[ServiceID]])=1,"Yes","No")</f>
        <v>Yes</v>
      </c>
      <c r="S61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14" t="str">
        <f>"Q"&amp;ROUNDUP(MONTH(Transactions_RAW_cleaned[[#This Row],[TransactionDate]])/3,0)</f>
        <v>Q2</v>
      </c>
      <c r="U614" t="str">
        <f>Transactions_RAW_cleaned[[#This Row],[Region ]]&amp;Transactions_RAW_cleaned[[#This Row],[Quarter ]]</f>
        <v>NAQ2</v>
      </c>
      <c r="V614" s="5">
        <f>_xlfn.XLOOKUP(Transactions_RAW_cleaned[[#This Row],[RegionQuarterKey]], Quarterly_Targets_cleaned[RegionQuarterKey], Quarterly_Targets_cleaned[TargetRevenue])</f>
        <v>260000</v>
      </c>
    </row>
    <row r="615" spans="1:22" x14ac:dyDescent="0.25">
      <c r="A615" t="s">
        <v>949</v>
      </c>
      <c r="B615" s="1">
        <v>45346</v>
      </c>
      <c r="C615" t="s">
        <v>147</v>
      </c>
      <c r="D615" t="s">
        <v>294</v>
      </c>
      <c r="E615">
        <v>599.03</v>
      </c>
      <c r="F615" t="s">
        <v>331</v>
      </c>
      <c r="G615" t="s">
        <v>327</v>
      </c>
      <c r="I615" t="s">
        <v>17</v>
      </c>
      <c r="J615" t="s">
        <v>25</v>
      </c>
      <c r="K615" t="s">
        <v>32</v>
      </c>
      <c r="L615" t="s">
        <v>295</v>
      </c>
      <c r="M615" t="s">
        <v>296</v>
      </c>
      <c r="N615">
        <v>2.9000000000000001E-2</v>
      </c>
      <c r="O615" t="str">
        <f>IF(Transactions_RAW_cleaned[[#This Row],[Status]]="Completed", IFERROR(_xlfn.XLOOKUP(Transactions_RAW_cleaned[[#This Row],[CustomerID]], Customers_cleaned[CustomerID], Customers_cleaned[Segment]), "Customer Not Found"), "N/A")</f>
        <v>N/A</v>
      </c>
      <c r="P615" s="5" t="str">
        <f>IF(Transactions_RAW_cleaned[[#This Row],[Status]]="Refunded", "Refund",
  IF(Transactions_RAW_cleaned[[#This Row],[Category]]="Payments", IF(Transactions_RAW_cleaned[[#This Row],[Amount]]&gt;500,"High Value","Standard"),
    IF(Transactions_RAW_cleaned[[#This Row],[Amount]]&gt;250,"High Value","Standard")))</f>
        <v>High Value</v>
      </c>
      <c r="Q615" s="5" t="str">
        <f>IF(Transactions_RAW_cleaned[[#This Row],[Amount]] &gt; (_xlfn.XLOOKUP(Transactions_RAW_cleaned[[#This Row],[ServiceID]],Services_cleaned[ServiceID],Services_cleaned[TransactionFeePct]) * 10000), "Yes", "No")</f>
        <v>Yes</v>
      </c>
      <c r="R615" s="5" t="str">
        <f>IF(COUNTIFS($C$2:Transactions_RAW_cleaned[[#This Row],[CustomerID]],Transactions_RAW_cleaned[[#This Row],[CustomerID]],$D$2:Transactions_RAW_cleaned[[#This Row],[ServiceID]],Transactions_RAW_cleaned[[#This Row],[ServiceID]])=1,"Yes","No")</f>
        <v>No</v>
      </c>
      <c r="S61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15" t="str">
        <f>"Q"&amp;ROUNDUP(MONTH(Transactions_RAW_cleaned[[#This Row],[TransactionDate]])/3,0)</f>
        <v>Q1</v>
      </c>
      <c r="U615" t="str">
        <f>Transactions_RAW_cleaned[[#This Row],[Region ]]&amp;Transactions_RAW_cleaned[[#This Row],[Quarter ]]</f>
        <v>APACQ1</v>
      </c>
      <c r="V615" s="5">
        <f>_xlfn.XLOOKUP(Transactions_RAW_cleaned[[#This Row],[RegionQuarterKey]], Quarterly_Targets_cleaned[RegionQuarterKey], Quarterly_Targets_cleaned[TargetRevenue])</f>
        <v>104500</v>
      </c>
    </row>
    <row r="616" spans="1:22" x14ac:dyDescent="0.25">
      <c r="A616" t="s">
        <v>950</v>
      </c>
      <c r="B616" s="1">
        <v>45644</v>
      </c>
      <c r="C616" t="s">
        <v>197</v>
      </c>
      <c r="D616" t="s">
        <v>309</v>
      </c>
      <c r="E616">
        <v>304.10000000000002</v>
      </c>
      <c r="F616" t="s">
        <v>324</v>
      </c>
      <c r="G616" t="s">
        <v>327</v>
      </c>
      <c r="H616" t="s">
        <v>346</v>
      </c>
      <c r="I616" t="s">
        <v>8</v>
      </c>
      <c r="J616" t="s">
        <v>46</v>
      </c>
      <c r="K616" t="s">
        <v>14</v>
      </c>
      <c r="L616" t="s">
        <v>310</v>
      </c>
      <c r="M616" t="s">
        <v>311</v>
      </c>
      <c r="N616">
        <v>0</v>
      </c>
      <c r="O616" t="str">
        <f>IF(Transactions_RAW_cleaned[[#This Row],[Status]]="Completed", IFERROR(_xlfn.XLOOKUP(Transactions_RAW_cleaned[[#This Row],[CustomerID]], Customers_cleaned[CustomerID], Customers_cleaned[Segment]), "Customer Not Found"), "N/A")</f>
        <v>SMB</v>
      </c>
      <c r="P616" s="5" t="str">
        <f>IF(Transactions_RAW_cleaned[[#This Row],[Status]]="Refunded", "Refund",
  IF(Transactions_RAW_cleaned[[#This Row],[Category]]="Payments", IF(Transactions_RAW_cleaned[[#This Row],[Amount]]&gt;500,"High Value","Standard"),
    IF(Transactions_RAW_cleaned[[#This Row],[Amount]]&gt;250,"High Value","Standard")))</f>
        <v>High Value</v>
      </c>
      <c r="Q616" s="5" t="str">
        <f>IF(Transactions_RAW_cleaned[[#This Row],[Amount]] &gt; (_xlfn.XLOOKUP(Transactions_RAW_cleaned[[#This Row],[ServiceID]],Services_cleaned[ServiceID],Services_cleaned[TransactionFeePct]) * 10000), "Yes", "No")</f>
        <v>Yes</v>
      </c>
      <c r="R616" s="5" t="str">
        <f>IF(COUNTIFS($C$2:Transactions_RAW_cleaned[[#This Row],[CustomerID]],Transactions_RAW_cleaned[[#This Row],[CustomerID]],$D$2:Transactions_RAW_cleaned[[#This Row],[ServiceID]],Transactions_RAW_cleaned[[#This Row],[ServiceID]])=1,"Yes","No")</f>
        <v>Yes</v>
      </c>
      <c r="S61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16" t="str">
        <f>"Q"&amp;ROUNDUP(MONTH(Transactions_RAW_cleaned[[#This Row],[TransactionDate]])/3,0)</f>
        <v>Q4</v>
      </c>
      <c r="U616" t="str">
        <f>Transactions_RAW_cleaned[[#This Row],[Region ]]&amp;Transactions_RAW_cleaned[[#This Row],[Quarter ]]</f>
        <v>APACQ4</v>
      </c>
      <c r="V616" s="5">
        <f>_xlfn.XLOOKUP(Transactions_RAW_cleaned[[#This Row],[RegionQuarterKey]], Quarterly_Targets_cleaned[RegionQuarterKey], Quarterly_Targets_cleaned[TargetRevenue])</f>
        <v>126500</v>
      </c>
    </row>
    <row r="617" spans="1:22" x14ac:dyDescent="0.25">
      <c r="A617" t="s">
        <v>951</v>
      </c>
      <c r="B617" s="1">
        <v>45541</v>
      </c>
      <c r="C617" t="s">
        <v>35</v>
      </c>
      <c r="D617" t="s">
        <v>294</v>
      </c>
      <c r="E617">
        <v>77.400000000000006</v>
      </c>
      <c r="F617" t="s">
        <v>324</v>
      </c>
      <c r="G617" t="s">
        <v>327</v>
      </c>
      <c r="H617" t="s">
        <v>346</v>
      </c>
      <c r="I617" t="s">
        <v>8</v>
      </c>
      <c r="J617" t="s">
        <v>37</v>
      </c>
      <c r="K617" t="s">
        <v>28</v>
      </c>
      <c r="L617" t="s">
        <v>295</v>
      </c>
      <c r="M617" t="s">
        <v>296</v>
      </c>
      <c r="N617">
        <v>2.9000000000000001E-2</v>
      </c>
      <c r="O617" t="str">
        <f>IF(Transactions_RAW_cleaned[[#This Row],[Status]]="Completed", IFERROR(_xlfn.XLOOKUP(Transactions_RAW_cleaned[[#This Row],[CustomerID]], Customers_cleaned[CustomerID], Customers_cleaned[Segment]), "Customer Not Found"), "N/A")</f>
        <v>SMB</v>
      </c>
      <c r="P617" s="5" t="str">
        <f>IF(Transactions_RAW_cleaned[[#This Row],[Status]]="Refunded", "Refund",
  IF(Transactions_RAW_cleaned[[#This Row],[Category]]="Payments", IF(Transactions_RAW_cleaned[[#This Row],[Amount]]&gt;500,"High Value","Standard"),
    IF(Transactions_RAW_cleaned[[#This Row],[Amount]]&gt;250,"High Value","Standard")))</f>
        <v>Standard</v>
      </c>
      <c r="Q617" s="5" t="str">
        <f>IF(Transactions_RAW_cleaned[[#This Row],[Amount]] &gt; (_xlfn.XLOOKUP(Transactions_RAW_cleaned[[#This Row],[ServiceID]],Services_cleaned[ServiceID],Services_cleaned[TransactionFeePct]) * 10000), "Yes", "No")</f>
        <v>No</v>
      </c>
      <c r="R617" s="5" t="str">
        <f>IF(COUNTIFS($C$2:Transactions_RAW_cleaned[[#This Row],[CustomerID]],Transactions_RAW_cleaned[[#This Row],[CustomerID]],$D$2:Transactions_RAW_cleaned[[#This Row],[ServiceID]],Transactions_RAW_cleaned[[#This Row],[ServiceID]])=1,"Yes","No")</f>
        <v>No</v>
      </c>
      <c r="S61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617" t="str">
        <f>"Q"&amp;ROUNDUP(MONTH(Transactions_RAW_cleaned[[#This Row],[TransactionDate]])/3,0)</f>
        <v>Q3</v>
      </c>
      <c r="U617" t="str">
        <f>Transactions_RAW_cleaned[[#This Row],[Region ]]&amp;Transactions_RAW_cleaned[[#This Row],[Quarter ]]</f>
        <v>EMEAQ3</v>
      </c>
      <c r="V617" s="5">
        <f>_xlfn.XLOOKUP(Transactions_RAW_cleaned[[#This Row],[RegionQuarterKey]], Quarterly_Targets_cleaned[RegionQuarterKey], Quarterly_Targets_cleaned[TargetRevenue])</f>
        <v>147000</v>
      </c>
    </row>
    <row r="618" spans="1:22" x14ac:dyDescent="0.25">
      <c r="A618" t="s">
        <v>952</v>
      </c>
      <c r="B618" s="1">
        <v>45566</v>
      </c>
      <c r="C618" t="s">
        <v>253</v>
      </c>
      <c r="D618" t="s">
        <v>312</v>
      </c>
      <c r="E618">
        <v>441.56</v>
      </c>
      <c r="F618" t="s">
        <v>331</v>
      </c>
      <c r="G618" t="s">
        <v>337</v>
      </c>
      <c r="H618" t="s">
        <v>334</v>
      </c>
      <c r="I618" t="s">
        <v>8</v>
      </c>
      <c r="J618" t="s">
        <v>102</v>
      </c>
      <c r="K618" t="s">
        <v>28</v>
      </c>
      <c r="L618" t="s">
        <v>313</v>
      </c>
      <c r="M618" t="s">
        <v>314</v>
      </c>
      <c r="N618">
        <v>0</v>
      </c>
      <c r="O618" t="str">
        <f>IF(Transactions_RAW_cleaned[[#This Row],[Status]]="Completed", IFERROR(_xlfn.XLOOKUP(Transactions_RAW_cleaned[[#This Row],[CustomerID]], Customers_cleaned[CustomerID], Customers_cleaned[Segment]), "Customer Not Found"), "N/A")</f>
        <v>N/A</v>
      </c>
      <c r="P618" s="5" t="str">
        <f>IF(Transactions_RAW_cleaned[[#This Row],[Status]]="Refunded", "Refund",
  IF(Transactions_RAW_cleaned[[#This Row],[Category]]="Payments", IF(Transactions_RAW_cleaned[[#This Row],[Amount]]&gt;500,"High Value","Standard"),
    IF(Transactions_RAW_cleaned[[#This Row],[Amount]]&gt;250,"High Value","Standard")))</f>
        <v>High Value</v>
      </c>
      <c r="Q618" s="5" t="str">
        <f>IF(Transactions_RAW_cleaned[[#This Row],[Amount]] &gt; (_xlfn.XLOOKUP(Transactions_RAW_cleaned[[#This Row],[ServiceID]],Services_cleaned[ServiceID],Services_cleaned[TransactionFeePct]) * 10000), "Yes", "No")</f>
        <v>Yes</v>
      </c>
      <c r="R618" s="5" t="str">
        <f>IF(COUNTIFS($C$2:Transactions_RAW_cleaned[[#This Row],[CustomerID]],Transactions_RAW_cleaned[[#This Row],[CustomerID]],$D$2:Transactions_RAW_cleaned[[#This Row],[ServiceID]],Transactions_RAW_cleaned[[#This Row],[ServiceID]])=1,"Yes","No")</f>
        <v>Yes</v>
      </c>
      <c r="S61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18" t="str">
        <f>"Q"&amp;ROUNDUP(MONTH(Transactions_RAW_cleaned[[#This Row],[TransactionDate]])/3,0)</f>
        <v>Q4</v>
      </c>
      <c r="U618" t="str">
        <f>Transactions_RAW_cleaned[[#This Row],[Region ]]&amp;Transactions_RAW_cleaned[[#This Row],[Quarter ]]</f>
        <v>NAQ4</v>
      </c>
      <c r="V618" s="5">
        <f>_xlfn.XLOOKUP(Transactions_RAW_cleaned[[#This Row],[RegionQuarterKey]], Quarterly_Targets_cleaned[RegionQuarterKey], Quarterly_Targets_cleaned[TargetRevenue])</f>
        <v>299000</v>
      </c>
    </row>
    <row r="619" spans="1:22" x14ac:dyDescent="0.25">
      <c r="A619" t="s">
        <v>953</v>
      </c>
      <c r="B619" s="1">
        <v>45522</v>
      </c>
      <c r="C619" t="s">
        <v>277</v>
      </c>
      <c r="D619" t="s">
        <v>297</v>
      </c>
      <c r="E619">
        <v>95.15</v>
      </c>
      <c r="F619" t="s">
        <v>324</v>
      </c>
      <c r="G619" t="s">
        <v>337</v>
      </c>
      <c r="I619" t="s">
        <v>8</v>
      </c>
      <c r="J619" t="s">
        <v>31</v>
      </c>
      <c r="K619" t="s">
        <v>22</v>
      </c>
      <c r="L619" t="s">
        <v>298</v>
      </c>
      <c r="M619" t="s">
        <v>299</v>
      </c>
      <c r="N619">
        <v>0</v>
      </c>
      <c r="O619" t="str">
        <f>IF(Transactions_RAW_cleaned[[#This Row],[Status]]="Completed", IFERROR(_xlfn.XLOOKUP(Transactions_RAW_cleaned[[#This Row],[CustomerID]], Customers_cleaned[CustomerID], Customers_cleaned[Segment]), "Customer Not Found"), "N/A")</f>
        <v>SMB</v>
      </c>
      <c r="P619" s="5" t="str">
        <f>IF(Transactions_RAW_cleaned[[#This Row],[Status]]="Refunded", "Refund",
  IF(Transactions_RAW_cleaned[[#This Row],[Category]]="Payments", IF(Transactions_RAW_cleaned[[#This Row],[Amount]]&gt;500,"High Value","Standard"),
    IF(Transactions_RAW_cleaned[[#This Row],[Amount]]&gt;250,"High Value","Standard")))</f>
        <v>Standard</v>
      </c>
      <c r="Q619" s="5" t="str">
        <f>IF(Transactions_RAW_cleaned[[#This Row],[Amount]] &gt; (_xlfn.XLOOKUP(Transactions_RAW_cleaned[[#This Row],[ServiceID]],Services_cleaned[ServiceID],Services_cleaned[TransactionFeePct]) * 10000), "Yes", "No")</f>
        <v>Yes</v>
      </c>
      <c r="R619" s="5" t="str">
        <f>IF(COUNTIFS($C$2:Transactions_RAW_cleaned[[#This Row],[CustomerID]],Transactions_RAW_cleaned[[#This Row],[CustomerID]],$D$2:Transactions_RAW_cleaned[[#This Row],[ServiceID]],Transactions_RAW_cleaned[[#This Row],[ServiceID]])=1,"Yes","No")</f>
        <v>Yes</v>
      </c>
      <c r="S61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619" t="str">
        <f>"Q"&amp;ROUNDUP(MONTH(Transactions_RAW_cleaned[[#This Row],[TransactionDate]])/3,0)</f>
        <v>Q3</v>
      </c>
      <c r="U619" t="str">
        <f>Transactions_RAW_cleaned[[#This Row],[Region ]]&amp;Transactions_RAW_cleaned[[#This Row],[Quarter ]]</f>
        <v>EMEAQ3</v>
      </c>
      <c r="V619" s="5">
        <f>_xlfn.XLOOKUP(Transactions_RAW_cleaned[[#This Row],[RegionQuarterKey]], Quarterly_Targets_cleaned[RegionQuarterKey], Quarterly_Targets_cleaned[TargetRevenue])</f>
        <v>147000</v>
      </c>
    </row>
    <row r="620" spans="1:22" x14ac:dyDescent="0.25">
      <c r="A620" t="s">
        <v>954</v>
      </c>
      <c r="B620" s="1">
        <v>45614</v>
      </c>
      <c r="C620" t="s">
        <v>88</v>
      </c>
      <c r="D620" t="s">
        <v>315</v>
      </c>
      <c r="E620">
        <v>227.58</v>
      </c>
      <c r="F620" t="s">
        <v>324</v>
      </c>
      <c r="G620" t="s">
        <v>337</v>
      </c>
      <c r="I620" t="s">
        <v>8</v>
      </c>
      <c r="J620" t="s">
        <v>102</v>
      </c>
      <c r="K620" t="s">
        <v>18</v>
      </c>
      <c r="L620" t="s">
        <v>316</v>
      </c>
      <c r="M620" t="s">
        <v>305</v>
      </c>
      <c r="N620">
        <v>2.5000000000000001E-3</v>
      </c>
      <c r="O620" t="str">
        <f>IF(Transactions_RAW_cleaned[[#This Row],[Status]]="Completed", IFERROR(_xlfn.XLOOKUP(Transactions_RAW_cleaned[[#This Row],[CustomerID]], Customers_cleaned[CustomerID], Customers_cleaned[Segment]), "Customer Not Found"), "N/A")</f>
        <v>SMB</v>
      </c>
      <c r="P620" s="5" t="str">
        <f>IF(Transactions_RAW_cleaned[[#This Row],[Status]]="Refunded", "Refund",
  IF(Transactions_RAW_cleaned[[#This Row],[Category]]="Payments", IF(Transactions_RAW_cleaned[[#This Row],[Amount]]&gt;500,"High Value","Standard"),
    IF(Transactions_RAW_cleaned[[#This Row],[Amount]]&gt;250,"High Value","Standard")))</f>
        <v>Standard</v>
      </c>
      <c r="Q620" s="5" t="str">
        <f>IF(Transactions_RAW_cleaned[[#This Row],[Amount]] &gt; (_xlfn.XLOOKUP(Transactions_RAW_cleaned[[#This Row],[ServiceID]],Services_cleaned[ServiceID],Services_cleaned[TransactionFeePct]) * 10000), "Yes", "No")</f>
        <v>Yes</v>
      </c>
      <c r="R620" s="5" t="str">
        <f>IF(COUNTIFS($C$2:Transactions_RAW_cleaned[[#This Row],[CustomerID]],Transactions_RAW_cleaned[[#This Row],[CustomerID]],$D$2:Transactions_RAW_cleaned[[#This Row],[ServiceID]],Transactions_RAW_cleaned[[#This Row],[ServiceID]])=1,"Yes","No")</f>
        <v>Yes</v>
      </c>
      <c r="S62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20" t="str">
        <f>"Q"&amp;ROUNDUP(MONTH(Transactions_RAW_cleaned[[#This Row],[TransactionDate]])/3,0)</f>
        <v>Q4</v>
      </c>
      <c r="U620" t="str">
        <f>Transactions_RAW_cleaned[[#This Row],[Region ]]&amp;Transactions_RAW_cleaned[[#This Row],[Quarter ]]</f>
        <v>NAQ4</v>
      </c>
      <c r="V620" s="5">
        <f>_xlfn.XLOOKUP(Transactions_RAW_cleaned[[#This Row],[RegionQuarterKey]], Quarterly_Targets_cleaned[RegionQuarterKey], Quarterly_Targets_cleaned[TargetRevenue])</f>
        <v>299000</v>
      </c>
    </row>
    <row r="621" spans="1:22" x14ac:dyDescent="0.25">
      <c r="A621" t="s">
        <v>955</v>
      </c>
      <c r="B621" s="1">
        <v>45553</v>
      </c>
      <c r="C621" t="s">
        <v>129</v>
      </c>
      <c r="D621" t="s">
        <v>309</v>
      </c>
      <c r="E621">
        <v>443.57</v>
      </c>
      <c r="F621" t="s">
        <v>324</v>
      </c>
      <c r="G621" t="s">
        <v>337</v>
      </c>
      <c r="H621" t="s">
        <v>334</v>
      </c>
      <c r="I621" t="s">
        <v>8</v>
      </c>
      <c r="J621" t="s">
        <v>21</v>
      </c>
      <c r="K621" t="s">
        <v>18</v>
      </c>
      <c r="L621" t="s">
        <v>310</v>
      </c>
      <c r="M621" t="s">
        <v>311</v>
      </c>
      <c r="N621">
        <v>0</v>
      </c>
      <c r="O621" t="str">
        <f>IF(Transactions_RAW_cleaned[[#This Row],[Status]]="Completed", IFERROR(_xlfn.XLOOKUP(Transactions_RAW_cleaned[[#This Row],[CustomerID]], Customers_cleaned[CustomerID], Customers_cleaned[Segment]), "Customer Not Found"), "N/A")</f>
        <v>SMB</v>
      </c>
      <c r="P621" s="5" t="str">
        <f>IF(Transactions_RAW_cleaned[[#This Row],[Status]]="Refunded", "Refund",
  IF(Transactions_RAW_cleaned[[#This Row],[Category]]="Payments", IF(Transactions_RAW_cleaned[[#This Row],[Amount]]&gt;500,"High Value","Standard"),
    IF(Transactions_RAW_cleaned[[#This Row],[Amount]]&gt;250,"High Value","Standard")))</f>
        <v>High Value</v>
      </c>
      <c r="Q621" s="5" t="str">
        <f>IF(Transactions_RAW_cleaned[[#This Row],[Amount]] &gt; (_xlfn.XLOOKUP(Transactions_RAW_cleaned[[#This Row],[ServiceID]],Services_cleaned[ServiceID],Services_cleaned[TransactionFeePct]) * 10000), "Yes", "No")</f>
        <v>Yes</v>
      </c>
      <c r="R621" s="5" t="str">
        <f>IF(COUNTIFS($C$2:Transactions_RAW_cleaned[[#This Row],[CustomerID]],Transactions_RAW_cleaned[[#This Row],[CustomerID]],$D$2:Transactions_RAW_cleaned[[#This Row],[ServiceID]],Transactions_RAW_cleaned[[#This Row],[ServiceID]])=1,"Yes","No")</f>
        <v>Yes</v>
      </c>
      <c r="S62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21" t="str">
        <f>"Q"&amp;ROUNDUP(MONTH(Transactions_RAW_cleaned[[#This Row],[TransactionDate]])/3,0)</f>
        <v>Q3</v>
      </c>
      <c r="U621" t="str">
        <f>Transactions_RAW_cleaned[[#This Row],[Region ]]&amp;Transactions_RAW_cleaned[[#This Row],[Quarter ]]</f>
        <v>APACQ3</v>
      </c>
      <c r="V621" s="5">
        <f>_xlfn.XLOOKUP(Transactions_RAW_cleaned[[#This Row],[RegionQuarterKey]], Quarterly_Targets_cleaned[RegionQuarterKey], Quarterly_Targets_cleaned[TargetRevenue])</f>
        <v>115500</v>
      </c>
    </row>
    <row r="622" spans="1:22" x14ac:dyDescent="0.25">
      <c r="A622" t="s">
        <v>956</v>
      </c>
      <c r="B622" s="1">
        <v>45632</v>
      </c>
      <c r="C622" t="s">
        <v>181</v>
      </c>
      <c r="D622" t="s">
        <v>297</v>
      </c>
      <c r="E622">
        <v>542.53</v>
      </c>
      <c r="F622" t="s">
        <v>324</v>
      </c>
      <c r="G622" t="s">
        <v>327</v>
      </c>
      <c r="H622" t="s">
        <v>346</v>
      </c>
      <c r="I622" t="s">
        <v>17</v>
      </c>
      <c r="J622" t="s">
        <v>21</v>
      </c>
      <c r="K622" t="s">
        <v>10</v>
      </c>
      <c r="L622" t="s">
        <v>298</v>
      </c>
      <c r="M622" t="s">
        <v>299</v>
      </c>
      <c r="N622">
        <v>0</v>
      </c>
      <c r="O622" t="str">
        <f>IF(Transactions_RAW_cleaned[[#This Row],[Status]]="Completed", IFERROR(_xlfn.XLOOKUP(Transactions_RAW_cleaned[[#This Row],[CustomerID]], Customers_cleaned[CustomerID], Customers_cleaned[Segment]), "Customer Not Found"), "N/A")</f>
        <v>Enterprise</v>
      </c>
      <c r="P622" s="5" t="str">
        <f>IF(Transactions_RAW_cleaned[[#This Row],[Status]]="Refunded", "Refund",
  IF(Transactions_RAW_cleaned[[#This Row],[Category]]="Payments", IF(Transactions_RAW_cleaned[[#This Row],[Amount]]&gt;500,"High Value","Standard"),
    IF(Transactions_RAW_cleaned[[#This Row],[Amount]]&gt;250,"High Value","Standard")))</f>
        <v>High Value</v>
      </c>
      <c r="Q622" s="5" t="str">
        <f>IF(Transactions_RAW_cleaned[[#This Row],[Amount]] &gt; (_xlfn.XLOOKUP(Transactions_RAW_cleaned[[#This Row],[ServiceID]],Services_cleaned[ServiceID],Services_cleaned[TransactionFeePct]) * 10000), "Yes", "No")</f>
        <v>Yes</v>
      </c>
      <c r="R622" s="5" t="str">
        <f>IF(COUNTIFS($C$2:Transactions_RAW_cleaned[[#This Row],[CustomerID]],Transactions_RAW_cleaned[[#This Row],[CustomerID]],$D$2:Transactions_RAW_cleaned[[#This Row],[ServiceID]],Transactions_RAW_cleaned[[#This Row],[ServiceID]])=1,"Yes","No")</f>
        <v>Yes</v>
      </c>
      <c r="S62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22" t="str">
        <f>"Q"&amp;ROUNDUP(MONTH(Transactions_RAW_cleaned[[#This Row],[TransactionDate]])/3,0)</f>
        <v>Q4</v>
      </c>
      <c r="U622" t="str">
        <f>Transactions_RAW_cleaned[[#This Row],[Region ]]&amp;Transactions_RAW_cleaned[[#This Row],[Quarter ]]</f>
        <v>APACQ4</v>
      </c>
      <c r="V622" s="5">
        <f>_xlfn.XLOOKUP(Transactions_RAW_cleaned[[#This Row],[RegionQuarterKey]], Quarterly_Targets_cleaned[RegionQuarterKey], Quarterly_Targets_cleaned[TargetRevenue])</f>
        <v>126500</v>
      </c>
    </row>
    <row r="623" spans="1:22" x14ac:dyDescent="0.25">
      <c r="A623" t="s">
        <v>957</v>
      </c>
      <c r="B623" s="1">
        <v>45603</v>
      </c>
      <c r="C623" t="s">
        <v>119</v>
      </c>
      <c r="D623" t="s">
        <v>294</v>
      </c>
      <c r="E623">
        <v>-1355.07</v>
      </c>
      <c r="F623" t="s">
        <v>349</v>
      </c>
      <c r="G623" t="s">
        <v>327</v>
      </c>
      <c r="H623" t="s">
        <v>332</v>
      </c>
      <c r="I623" t="s">
        <v>57</v>
      </c>
      <c r="J623" t="s">
        <v>102</v>
      </c>
      <c r="K623" t="s">
        <v>18</v>
      </c>
      <c r="L623" t="s">
        <v>295</v>
      </c>
      <c r="M623" t="s">
        <v>296</v>
      </c>
      <c r="N623">
        <v>2.9000000000000001E-2</v>
      </c>
      <c r="O623" t="str">
        <f>IF(Transactions_RAW_cleaned[[#This Row],[Status]]="Completed", IFERROR(_xlfn.XLOOKUP(Transactions_RAW_cleaned[[#This Row],[CustomerID]], Customers_cleaned[CustomerID], Customers_cleaned[Segment]), "Customer Not Found"), "N/A")</f>
        <v>N/A</v>
      </c>
      <c r="P623" s="5" t="str">
        <f>IF(Transactions_RAW_cleaned[[#This Row],[Status]]="Refunded", "Refund",
  IF(Transactions_RAW_cleaned[[#This Row],[Category]]="Payments", IF(Transactions_RAW_cleaned[[#This Row],[Amount]]&gt;500,"High Value","Standard"),
    IF(Transactions_RAW_cleaned[[#This Row],[Amount]]&gt;250,"High Value","Standard")))</f>
        <v>Refund</v>
      </c>
      <c r="Q623" s="5" t="str">
        <f>IF(Transactions_RAW_cleaned[[#This Row],[Amount]] &gt; (_xlfn.XLOOKUP(Transactions_RAW_cleaned[[#This Row],[ServiceID]],Services_cleaned[ServiceID],Services_cleaned[TransactionFeePct]) * 10000), "Yes", "No")</f>
        <v>No</v>
      </c>
      <c r="R623" s="5" t="str">
        <f>IF(COUNTIFS($C$2:Transactions_RAW_cleaned[[#This Row],[CustomerID]],Transactions_RAW_cleaned[[#This Row],[CustomerID]],$D$2:Transactions_RAW_cleaned[[#This Row],[ServiceID]],Transactions_RAW_cleaned[[#This Row],[ServiceID]])=1,"Yes","No")</f>
        <v>No</v>
      </c>
      <c r="S62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23" t="str">
        <f>"Q"&amp;ROUNDUP(MONTH(Transactions_RAW_cleaned[[#This Row],[TransactionDate]])/3,0)</f>
        <v>Q4</v>
      </c>
      <c r="U623" t="str">
        <f>Transactions_RAW_cleaned[[#This Row],[Region ]]&amp;Transactions_RAW_cleaned[[#This Row],[Quarter ]]</f>
        <v>NAQ4</v>
      </c>
      <c r="V623" s="5">
        <f>_xlfn.XLOOKUP(Transactions_RAW_cleaned[[#This Row],[RegionQuarterKey]], Quarterly_Targets_cleaned[RegionQuarterKey], Quarterly_Targets_cleaned[TargetRevenue])</f>
        <v>299000</v>
      </c>
    </row>
    <row r="624" spans="1:22" x14ac:dyDescent="0.25">
      <c r="A624" t="s">
        <v>958</v>
      </c>
      <c r="B624" s="1">
        <v>45482</v>
      </c>
      <c r="C624" t="s">
        <v>273</v>
      </c>
      <c r="D624" t="s">
        <v>306</v>
      </c>
      <c r="E624">
        <v>437.75</v>
      </c>
      <c r="F624" t="s">
        <v>324</v>
      </c>
      <c r="G624" t="s">
        <v>327</v>
      </c>
      <c r="H624" t="s">
        <v>332</v>
      </c>
      <c r="I624" t="s">
        <v>17</v>
      </c>
      <c r="J624" t="s">
        <v>102</v>
      </c>
      <c r="K624" t="s">
        <v>22</v>
      </c>
      <c r="L624" t="s">
        <v>307</v>
      </c>
      <c r="M624" t="s">
        <v>308</v>
      </c>
      <c r="N624">
        <v>0</v>
      </c>
      <c r="O624" t="str">
        <f>IF(Transactions_RAW_cleaned[[#This Row],[Status]]="Completed", IFERROR(_xlfn.XLOOKUP(Transactions_RAW_cleaned[[#This Row],[CustomerID]], Customers_cleaned[CustomerID], Customers_cleaned[Segment]), "Customer Not Found"), "N/A")</f>
        <v>Enterprise</v>
      </c>
      <c r="P624" s="5" t="str">
        <f>IF(Transactions_RAW_cleaned[[#This Row],[Status]]="Refunded", "Refund",
  IF(Transactions_RAW_cleaned[[#This Row],[Category]]="Payments", IF(Transactions_RAW_cleaned[[#This Row],[Amount]]&gt;500,"High Value","Standard"),
    IF(Transactions_RAW_cleaned[[#This Row],[Amount]]&gt;250,"High Value","Standard")))</f>
        <v>High Value</v>
      </c>
      <c r="Q624" s="5" t="str">
        <f>IF(Transactions_RAW_cleaned[[#This Row],[Amount]] &gt; (_xlfn.XLOOKUP(Transactions_RAW_cleaned[[#This Row],[ServiceID]],Services_cleaned[ServiceID],Services_cleaned[TransactionFeePct]) * 10000), "Yes", "No")</f>
        <v>Yes</v>
      </c>
      <c r="R624" s="5" t="str">
        <f>IF(COUNTIFS($C$2:Transactions_RAW_cleaned[[#This Row],[CustomerID]],Transactions_RAW_cleaned[[#This Row],[CustomerID]],$D$2:Transactions_RAW_cleaned[[#This Row],[ServiceID]],Transactions_RAW_cleaned[[#This Row],[ServiceID]])=1,"Yes","No")</f>
        <v>Yes</v>
      </c>
      <c r="S62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24" t="str">
        <f>"Q"&amp;ROUNDUP(MONTH(Transactions_RAW_cleaned[[#This Row],[TransactionDate]])/3,0)</f>
        <v>Q3</v>
      </c>
      <c r="U624" t="str">
        <f>Transactions_RAW_cleaned[[#This Row],[Region ]]&amp;Transactions_RAW_cleaned[[#This Row],[Quarter ]]</f>
        <v>NAQ3</v>
      </c>
      <c r="V624" s="5">
        <f>_xlfn.XLOOKUP(Transactions_RAW_cleaned[[#This Row],[RegionQuarterKey]], Quarterly_Targets_cleaned[RegionQuarterKey], Quarterly_Targets_cleaned[TargetRevenue])</f>
        <v>273000</v>
      </c>
    </row>
    <row r="625" spans="1:22" x14ac:dyDescent="0.25">
      <c r="A625" t="s">
        <v>959</v>
      </c>
      <c r="B625" s="1">
        <v>45386</v>
      </c>
      <c r="C625" t="s">
        <v>47</v>
      </c>
      <c r="D625" t="s">
        <v>294</v>
      </c>
      <c r="E625">
        <v>345.23</v>
      </c>
      <c r="F625" t="s">
        <v>381</v>
      </c>
      <c r="G625" t="s">
        <v>327</v>
      </c>
      <c r="I625" t="s">
        <v>8</v>
      </c>
      <c r="J625" t="s">
        <v>21</v>
      </c>
      <c r="K625" t="s">
        <v>22</v>
      </c>
      <c r="L625" t="s">
        <v>295</v>
      </c>
      <c r="M625" t="s">
        <v>296</v>
      </c>
      <c r="N625">
        <v>2.9000000000000001E-2</v>
      </c>
      <c r="O625" t="str">
        <f>IF(Transactions_RAW_cleaned[[#This Row],[Status]]="Completed", IFERROR(_xlfn.XLOOKUP(Transactions_RAW_cleaned[[#This Row],[CustomerID]], Customers_cleaned[CustomerID], Customers_cleaned[Segment]), "Customer Not Found"), "N/A")</f>
        <v>N/A</v>
      </c>
      <c r="P625" s="5" t="str">
        <f>IF(Transactions_RAW_cleaned[[#This Row],[Status]]="Refunded", "Refund",
  IF(Transactions_RAW_cleaned[[#This Row],[Category]]="Payments", IF(Transactions_RAW_cleaned[[#This Row],[Amount]]&gt;500,"High Value","Standard"),
    IF(Transactions_RAW_cleaned[[#This Row],[Amount]]&gt;250,"High Value","Standard")))</f>
        <v>Standard</v>
      </c>
      <c r="Q625" s="5" t="str">
        <f>IF(Transactions_RAW_cleaned[[#This Row],[Amount]] &gt; (_xlfn.XLOOKUP(Transactions_RAW_cleaned[[#This Row],[ServiceID]],Services_cleaned[ServiceID],Services_cleaned[TransactionFeePct]) * 10000), "Yes", "No")</f>
        <v>Yes</v>
      </c>
      <c r="R625" s="5" t="str">
        <f>IF(COUNTIFS($C$2:Transactions_RAW_cleaned[[#This Row],[CustomerID]],Transactions_RAW_cleaned[[#This Row],[CustomerID]],$D$2:Transactions_RAW_cleaned[[#This Row],[ServiceID]],Transactions_RAW_cleaned[[#This Row],[ServiceID]])=1,"Yes","No")</f>
        <v>Yes</v>
      </c>
      <c r="S62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25" t="str">
        <f>"Q"&amp;ROUNDUP(MONTH(Transactions_RAW_cleaned[[#This Row],[TransactionDate]])/3,0)</f>
        <v>Q2</v>
      </c>
      <c r="U625" t="str">
        <f>Transactions_RAW_cleaned[[#This Row],[Region ]]&amp;Transactions_RAW_cleaned[[#This Row],[Quarter ]]</f>
        <v>APACQ2</v>
      </c>
      <c r="V625" s="5">
        <f>_xlfn.XLOOKUP(Transactions_RAW_cleaned[[#This Row],[RegionQuarterKey]], Quarterly_Targets_cleaned[RegionQuarterKey], Quarterly_Targets_cleaned[TargetRevenue])</f>
        <v>110000</v>
      </c>
    </row>
    <row r="626" spans="1:22" x14ac:dyDescent="0.25">
      <c r="A626" t="s">
        <v>960</v>
      </c>
      <c r="B626" s="1">
        <v>45532</v>
      </c>
      <c r="C626" t="s">
        <v>100</v>
      </c>
      <c r="D626" t="s">
        <v>300</v>
      </c>
      <c r="E626">
        <v>1354.02</v>
      </c>
      <c r="F626" t="s">
        <v>381</v>
      </c>
      <c r="G626" t="s">
        <v>325</v>
      </c>
      <c r="H626" t="s">
        <v>346</v>
      </c>
      <c r="I626" t="s">
        <v>8</v>
      </c>
      <c r="J626" t="s">
        <v>102</v>
      </c>
      <c r="K626" t="s">
        <v>22</v>
      </c>
      <c r="L626" t="s">
        <v>301</v>
      </c>
      <c r="M626" t="s">
        <v>302</v>
      </c>
      <c r="N626">
        <v>5.0000000000000001E-3</v>
      </c>
      <c r="O626" t="str">
        <f>IF(Transactions_RAW_cleaned[[#This Row],[Status]]="Completed", IFERROR(_xlfn.XLOOKUP(Transactions_RAW_cleaned[[#This Row],[CustomerID]], Customers_cleaned[CustomerID], Customers_cleaned[Segment]), "Customer Not Found"), "N/A")</f>
        <v>N/A</v>
      </c>
      <c r="P626" s="5" t="str">
        <f>IF(Transactions_RAW_cleaned[[#This Row],[Status]]="Refunded", "Refund",
  IF(Transactions_RAW_cleaned[[#This Row],[Category]]="Payments", IF(Transactions_RAW_cleaned[[#This Row],[Amount]]&gt;500,"High Value","Standard"),
    IF(Transactions_RAW_cleaned[[#This Row],[Amount]]&gt;250,"High Value","Standard")))</f>
        <v>High Value</v>
      </c>
      <c r="Q626" s="5" t="str">
        <f>IF(Transactions_RAW_cleaned[[#This Row],[Amount]] &gt; (_xlfn.XLOOKUP(Transactions_RAW_cleaned[[#This Row],[ServiceID]],Services_cleaned[ServiceID],Services_cleaned[TransactionFeePct]) * 10000), "Yes", "No")</f>
        <v>Yes</v>
      </c>
      <c r="R626" s="5" t="str">
        <f>IF(COUNTIFS($C$2:Transactions_RAW_cleaned[[#This Row],[CustomerID]],Transactions_RAW_cleaned[[#This Row],[CustomerID]],$D$2:Transactions_RAW_cleaned[[#This Row],[ServiceID]],Transactions_RAW_cleaned[[#This Row],[ServiceID]])=1,"Yes","No")</f>
        <v>Yes</v>
      </c>
      <c r="S62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26" t="str">
        <f>"Q"&amp;ROUNDUP(MONTH(Transactions_RAW_cleaned[[#This Row],[TransactionDate]])/3,0)</f>
        <v>Q3</v>
      </c>
      <c r="U626" t="str">
        <f>Transactions_RAW_cleaned[[#This Row],[Region ]]&amp;Transactions_RAW_cleaned[[#This Row],[Quarter ]]</f>
        <v>NAQ3</v>
      </c>
      <c r="V626" s="5">
        <f>_xlfn.XLOOKUP(Transactions_RAW_cleaned[[#This Row],[RegionQuarterKey]], Quarterly_Targets_cleaned[RegionQuarterKey], Quarterly_Targets_cleaned[TargetRevenue])</f>
        <v>273000</v>
      </c>
    </row>
    <row r="627" spans="1:22" x14ac:dyDescent="0.25">
      <c r="A627" t="s">
        <v>961</v>
      </c>
      <c r="B627" s="1">
        <v>45446</v>
      </c>
      <c r="C627" t="s">
        <v>133</v>
      </c>
      <c r="D627" t="s">
        <v>300</v>
      </c>
      <c r="E627">
        <v>-135.85</v>
      </c>
      <c r="F627" t="s">
        <v>349</v>
      </c>
      <c r="G627" t="s">
        <v>325</v>
      </c>
      <c r="H627" t="s">
        <v>334</v>
      </c>
      <c r="I627" t="s">
        <v>17</v>
      </c>
      <c r="J627" t="s">
        <v>102</v>
      </c>
      <c r="K627" t="s">
        <v>22</v>
      </c>
      <c r="L627" t="s">
        <v>301</v>
      </c>
      <c r="M627" t="s">
        <v>302</v>
      </c>
      <c r="N627">
        <v>5.0000000000000001E-3</v>
      </c>
      <c r="O627" t="str">
        <f>IF(Transactions_RAW_cleaned[[#This Row],[Status]]="Completed", IFERROR(_xlfn.XLOOKUP(Transactions_RAW_cleaned[[#This Row],[CustomerID]], Customers_cleaned[CustomerID], Customers_cleaned[Segment]), "Customer Not Found"), "N/A")</f>
        <v>N/A</v>
      </c>
      <c r="P627" s="5" t="str">
        <f>IF(Transactions_RAW_cleaned[[#This Row],[Status]]="Refunded", "Refund",
  IF(Transactions_RAW_cleaned[[#This Row],[Category]]="Payments", IF(Transactions_RAW_cleaned[[#This Row],[Amount]]&gt;500,"High Value","Standard"),
    IF(Transactions_RAW_cleaned[[#This Row],[Amount]]&gt;250,"High Value","Standard")))</f>
        <v>Refund</v>
      </c>
      <c r="Q627" s="5" t="str">
        <f>IF(Transactions_RAW_cleaned[[#This Row],[Amount]] &gt; (_xlfn.XLOOKUP(Transactions_RAW_cleaned[[#This Row],[ServiceID]],Services_cleaned[ServiceID],Services_cleaned[TransactionFeePct]) * 10000), "Yes", "No")</f>
        <v>No</v>
      </c>
      <c r="R627" s="5" t="str">
        <f>IF(COUNTIFS($C$2:Transactions_RAW_cleaned[[#This Row],[CustomerID]],Transactions_RAW_cleaned[[#This Row],[CustomerID]],$D$2:Transactions_RAW_cleaned[[#This Row],[ServiceID]],Transactions_RAW_cleaned[[#This Row],[ServiceID]])=1,"Yes","No")</f>
        <v>Yes</v>
      </c>
      <c r="S62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27" t="str">
        <f>"Q"&amp;ROUNDUP(MONTH(Transactions_RAW_cleaned[[#This Row],[TransactionDate]])/3,0)</f>
        <v>Q2</v>
      </c>
      <c r="U627" t="str">
        <f>Transactions_RAW_cleaned[[#This Row],[Region ]]&amp;Transactions_RAW_cleaned[[#This Row],[Quarter ]]</f>
        <v>NAQ2</v>
      </c>
      <c r="V627" s="5">
        <f>_xlfn.XLOOKUP(Transactions_RAW_cleaned[[#This Row],[RegionQuarterKey]], Quarterly_Targets_cleaned[RegionQuarterKey], Quarterly_Targets_cleaned[TargetRevenue])</f>
        <v>260000</v>
      </c>
    </row>
    <row r="628" spans="1:22" x14ac:dyDescent="0.25">
      <c r="A628" t="s">
        <v>962</v>
      </c>
      <c r="B628" s="1">
        <v>45543</v>
      </c>
      <c r="C628" t="s">
        <v>62</v>
      </c>
      <c r="D628" t="s">
        <v>300</v>
      </c>
      <c r="E628">
        <v>532.11</v>
      </c>
      <c r="F628" t="s">
        <v>324</v>
      </c>
      <c r="G628" t="s">
        <v>327</v>
      </c>
      <c r="I628" t="s">
        <v>8</v>
      </c>
      <c r="J628" t="s">
        <v>46</v>
      </c>
      <c r="K628" t="s">
        <v>18</v>
      </c>
      <c r="L628" t="s">
        <v>301</v>
      </c>
      <c r="M628" t="s">
        <v>302</v>
      </c>
      <c r="N628">
        <v>5.0000000000000001E-3</v>
      </c>
      <c r="O628" t="str">
        <f>IF(Transactions_RAW_cleaned[[#This Row],[Status]]="Completed", IFERROR(_xlfn.XLOOKUP(Transactions_RAW_cleaned[[#This Row],[CustomerID]], Customers_cleaned[CustomerID], Customers_cleaned[Segment]), "Customer Not Found"), "N/A")</f>
        <v>SMB</v>
      </c>
      <c r="P628" s="5" t="str">
        <f>IF(Transactions_RAW_cleaned[[#This Row],[Status]]="Refunded", "Refund",
  IF(Transactions_RAW_cleaned[[#This Row],[Category]]="Payments", IF(Transactions_RAW_cleaned[[#This Row],[Amount]]&gt;500,"High Value","Standard"),
    IF(Transactions_RAW_cleaned[[#This Row],[Amount]]&gt;250,"High Value","Standard")))</f>
        <v>High Value</v>
      </c>
      <c r="Q628" s="5" t="str">
        <f>IF(Transactions_RAW_cleaned[[#This Row],[Amount]] &gt; (_xlfn.XLOOKUP(Transactions_RAW_cleaned[[#This Row],[ServiceID]],Services_cleaned[ServiceID],Services_cleaned[TransactionFeePct]) * 10000), "Yes", "No")</f>
        <v>Yes</v>
      </c>
      <c r="R628" s="5" t="str">
        <f>IF(COUNTIFS($C$2:Transactions_RAW_cleaned[[#This Row],[CustomerID]],Transactions_RAW_cleaned[[#This Row],[CustomerID]],$D$2:Transactions_RAW_cleaned[[#This Row],[ServiceID]],Transactions_RAW_cleaned[[#This Row],[ServiceID]])=1,"Yes","No")</f>
        <v>Yes</v>
      </c>
      <c r="S62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28" t="str">
        <f>"Q"&amp;ROUNDUP(MONTH(Transactions_RAW_cleaned[[#This Row],[TransactionDate]])/3,0)</f>
        <v>Q3</v>
      </c>
      <c r="U628" t="str">
        <f>Transactions_RAW_cleaned[[#This Row],[Region ]]&amp;Transactions_RAW_cleaned[[#This Row],[Quarter ]]</f>
        <v>APACQ3</v>
      </c>
      <c r="V628" s="5">
        <f>_xlfn.XLOOKUP(Transactions_RAW_cleaned[[#This Row],[RegionQuarterKey]], Quarterly_Targets_cleaned[RegionQuarterKey], Quarterly_Targets_cleaned[TargetRevenue])</f>
        <v>115500</v>
      </c>
    </row>
    <row r="629" spans="1:22" x14ac:dyDescent="0.25">
      <c r="A629" t="s">
        <v>963</v>
      </c>
      <c r="B629" s="1">
        <v>45623</v>
      </c>
      <c r="C629" t="s">
        <v>191</v>
      </c>
      <c r="D629" t="s">
        <v>294</v>
      </c>
      <c r="E629">
        <v>340.23</v>
      </c>
      <c r="F629" t="s">
        <v>381</v>
      </c>
      <c r="G629" t="s">
        <v>327</v>
      </c>
      <c r="H629" t="s">
        <v>334</v>
      </c>
      <c r="I629" t="s">
        <v>57</v>
      </c>
      <c r="J629" t="s">
        <v>31</v>
      </c>
      <c r="K629" t="s">
        <v>32</v>
      </c>
      <c r="L629" t="s">
        <v>295</v>
      </c>
      <c r="M629" t="s">
        <v>296</v>
      </c>
      <c r="N629">
        <v>2.9000000000000001E-2</v>
      </c>
      <c r="O629" t="str">
        <f>IF(Transactions_RAW_cleaned[[#This Row],[Status]]="Completed", IFERROR(_xlfn.XLOOKUP(Transactions_RAW_cleaned[[#This Row],[CustomerID]], Customers_cleaned[CustomerID], Customers_cleaned[Segment]), "Customer Not Found"), "N/A")</f>
        <v>N/A</v>
      </c>
      <c r="P629" s="5" t="str">
        <f>IF(Transactions_RAW_cleaned[[#This Row],[Status]]="Refunded", "Refund",
  IF(Transactions_RAW_cleaned[[#This Row],[Category]]="Payments", IF(Transactions_RAW_cleaned[[#This Row],[Amount]]&gt;500,"High Value","Standard"),
    IF(Transactions_RAW_cleaned[[#This Row],[Amount]]&gt;250,"High Value","Standard")))</f>
        <v>Standard</v>
      </c>
      <c r="Q629" s="5" t="str">
        <f>IF(Transactions_RAW_cleaned[[#This Row],[Amount]] &gt; (_xlfn.XLOOKUP(Transactions_RAW_cleaned[[#This Row],[ServiceID]],Services_cleaned[ServiceID],Services_cleaned[TransactionFeePct]) * 10000), "Yes", "No")</f>
        <v>Yes</v>
      </c>
      <c r="R629" s="5" t="str">
        <f>IF(COUNTIFS($C$2:Transactions_RAW_cleaned[[#This Row],[CustomerID]],Transactions_RAW_cleaned[[#This Row],[CustomerID]],$D$2:Transactions_RAW_cleaned[[#This Row],[ServiceID]],Transactions_RAW_cleaned[[#This Row],[ServiceID]])=1,"Yes","No")</f>
        <v>Yes</v>
      </c>
      <c r="S62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629" t="str">
        <f>"Q"&amp;ROUNDUP(MONTH(Transactions_RAW_cleaned[[#This Row],[TransactionDate]])/3,0)</f>
        <v>Q4</v>
      </c>
      <c r="U629" t="str">
        <f>Transactions_RAW_cleaned[[#This Row],[Region ]]&amp;Transactions_RAW_cleaned[[#This Row],[Quarter ]]</f>
        <v>EMEAQ4</v>
      </c>
      <c r="V629" s="5">
        <f>_xlfn.XLOOKUP(Transactions_RAW_cleaned[[#This Row],[RegionQuarterKey]], Quarterly_Targets_cleaned[RegionQuarterKey], Quarterly_Targets_cleaned[TargetRevenue])</f>
        <v>161000</v>
      </c>
    </row>
    <row r="630" spans="1:22" x14ac:dyDescent="0.25">
      <c r="A630" t="s">
        <v>964</v>
      </c>
      <c r="B630" s="1">
        <v>45299</v>
      </c>
      <c r="C630" t="s">
        <v>96</v>
      </c>
      <c r="D630" t="s">
        <v>297</v>
      </c>
      <c r="E630">
        <v>595.23</v>
      </c>
      <c r="F630" t="s">
        <v>324</v>
      </c>
      <c r="G630" t="s">
        <v>337</v>
      </c>
      <c r="I630" t="s">
        <v>17</v>
      </c>
      <c r="J630" t="s">
        <v>31</v>
      </c>
      <c r="K630" t="s">
        <v>14</v>
      </c>
      <c r="L630" t="s">
        <v>298</v>
      </c>
      <c r="M630" t="s">
        <v>299</v>
      </c>
      <c r="N630">
        <v>0</v>
      </c>
      <c r="O630" t="str">
        <f>IF(Transactions_RAW_cleaned[[#This Row],[Status]]="Completed", IFERROR(_xlfn.XLOOKUP(Transactions_RAW_cleaned[[#This Row],[CustomerID]], Customers_cleaned[CustomerID], Customers_cleaned[Segment]), "Customer Not Found"), "N/A")</f>
        <v>Enterprise</v>
      </c>
      <c r="P630" s="5" t="str">
        <f>IF(Transactions_RAW_cleaned[[#This Row],[Status]]="Refunded", "Refund",
  IF(Transactions_RAW_cleaned[[#This Row],[Category]]="Payments", IF(Transactions_RAW_cleaned[[#This Row],[Amount]]&gt;500,"High Value","Standard"),
    IF(Transactions_RAW_cleaned[[#This Row],[Amount]]&gt;250,"High Value","Standard")))</f>
        <v>High Value</v>
      </c>
      <c r="Q630" s="5" t="str">
        <f>IF(Transactions_RAW_cleaned[[#This Row],[Amount]] &gt; (_xlfn.XLOOKUP(Transactions_RAW_cleaned[[#This Row],[ServiceID]],Services_cleaned[ServiceID],Services_cleaned[TransactionFeePct]) * 10000), "Yes", "No")</f>
        <v>Yes</v>
      </c>
      <c r="R630" s="5" t="str">
        <f>IF(COUNTIFS($C$2:Transactions_RAW_cleaned[[#This Row],[CustomerID]],Transactions_RAW_cleaned[[#This Row],[CustomerID]],$D$2:Transactions_RAW_cleaned[[#This Row],[ServiceID]],Transactions_RAW_cleaned[[#This Row],[ServiceID]])=1,"Yes","No")</f>
        <v>Yes</v>
      </c>
      <c r="S63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630" t="str">
        <f>"Q"&amp;ROUNDUP(MONTH(Transactions_RAW_cleaned[[#This Row],[TransactionDate]])/3,0)</f>
        <v>Q1</v>
      </c>
      <c r="U630" t="str">
        <f>Transactions_RAW_cleaned[[#This Row],[Region ]]&amp;Transactions_RAW_cleaned[[#This Row],[Quarter ]]</f>
        <v>EMEAQ1</v>
      </c>
      <c r="V630" s="5">
        <f>_xlfn.XLOOKUP(Transactions_RAW_cleaned[[#This Row],[RegionQuarterKey]], Quarterly_Targets_cleaned[RegionQuarterKey], Quarterly_Targets_cleaned[TargetRevenue])</f>
        <v>133000</v>
      </c>
    </row>
    <row r="631" spans="1:22" x14ac:dyDescent="0.25">
      <c r="A631" t="s">
        <v>965</v>
      </c>
      <c r="B631" s="1">
        <v>45494</v>
      </c>
      <c r="C631" t="s">
        <v>171</v>
      </c>
      <c r="D631" t="s">
        <v>297</v>
      </c>
      <c r="E631">
        <v>210.16</v>
      </c>
      <c r="F631" t="s">
        <v>324</v>
      </c>
      <c r="G631" t="s">
        <v>325</v>
      </c>
      <c r="I631" t="s">
        <v>17</v>
      </c>
      <c r="J631" t="s">
        <v>31</v>
      </c>
      <c r="K631" t="s">
        <v>32</v>
      </c>
      <c r="L631" t="s">
        <v>298</v>
      </c>
      <c r="M631" t="s">
        <v>299</v>
      </c>
      <c r="N631">
        <v>0</v>
      </c>
      <c r="O631" t="str">
        <f>IF(Transactions_RAW_cleaned[[#This Row],[Status]]="Completed", IFERROR(_xlfn.XLOOKUP(Transactions_RAW_cleaned[[#This Row],[CustomerID]], Customers_cleaned[CustomerID], Customers_cleaned[Segment]), "Customer Not Found"), "N/A")</f>
        <v>Enterprise</v>
      </c>
      <c r="P631" s="5" t="str">
        <f>IF(Transactions_RAW_cleaned[[#This Row],[Status]]="Refunded", "Refund",
  IF(Transactions_RAW_cleaned[[#This Row],[Category]]="Payments", IF(Transactions_RAW_cleaned[[#This Row],[Amount]]&gt;500,"High Value","Standard"),
    IF(Transactions_RAW_cleaned[[#This Row],[Amount]]&gt;250,"High Value","Standard")))</f>
        <v>Standard</v>
      </c>
      <c r="Q631" s="5" t="str">
        <f>IF(Transactions_RAW_cleaned[[#This Row],[Amount]] &gt; (_xlfn.XLOOKUP(Transactions_RAW_cleaned[[#This Row],[ServiceID]],Services_cleaned[ServiceID],Services_cleaned[TransactionFeePct]) * 10000), "Yes", "No")</f>
        <v>Yes</v>
      </c>
      <c r="R631" s="5" t="str">
        <f>IF(COUNTIFS($C$2:Transactions_RAW_cleaned[[#This Row],[CustomerID]],Transactions_RAW_cleaned[[#This Row],[CustomerID]],$D$2:Transactions_RAW_cleaned[[#This Row],[ServiceID]],Transactions_RAW_cleaned[[#This Row],[ServiceID]])=1,"Yes","No")</f>
        <v>No</v>
      </c>
      <c r="S63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631" t="str">
        <f>"Q"&amp;ROUNDUP(MONTH(Transactions_RAW_cleaned[[#This Row],[TransactionDate]])/3,0)</f>
        <v>Q3</v>
      </c>
      <c r="U631" t="str">
        <f>Transactions_RAW_cleaned[[#This Row],[Region ]]&amp;Transactions_RAW_cleaned[[#This Row],[Quarter ]]</f>
        <v>EMEAQ3</v>
      </c>
      <c r="V631" s="5">
        <f>_xlfn.XLOOKUP(Transactions_RAW_cleaned[[#This Row],[RegionQuarterKey]], Quarterly_Targets_cleaned[RegionQuarterKey], Quarterly_Targets_cleaned[TargetRevenue])</f>
        <v>147000</v>
      </c>
    </row>
    <row r="632" spans="1:22" x14ac:dyDescent="0.25">
      <c r="A632" t="s">
        <v>966</v>
      </c>
      <c r="B632" s="1">
        <v>45352</v>
      </c>
      <c r="C632" t="s">
        <v>23</v>
      </c>
      <c r="D632" t="s">
        <v>297</v>
      </c>
      <c r="E632">
        <v>137.66</v>
      </c>
      <c r="F632" t="s">
        <v>324</v>
      </c>
      <c r="G632" t="s">
        <v>327</v>
      </c>
      <c r="H632" t="s">
        <v>334</v>
      </c>
      <c r="I632" t="s">
        <v>8</v>
      </c>
      <c r="J632" t="s">
        <v>25</v>
      </c>
      <c r="K632" t="s">
        <v>22</v>
      </c>
      <c r="L632" t="s">
        <v>298</v>
      </c>
      <c r="M632" t="s">
        <v>299</v>
      </c>
      <c r="N632">
        <v>0</v>
      </c>
      <c r="O632" t="str">
        <f>IF(Transactions_RAW_cleaned[[#This Row],[Status]]="Completed", IFERROR(_xlfn.XLOOKUP(Transactions_RAW_cleaned[[#This Row],[CustomerID]], Customers_cleaned[CustomerID], Customers_cleaned[Segment]), "Customer Not Found"), "N/A")</f>
        <v>SMB</v>
      </c>
      <c r="P632" s="5" t="str">
        <f>IF(Transactions_RAW_cleaned[[#This Row],[Status]]="Refunded", "Refund",
  IF(Transactions_RAW_cleaned[[#This Row],[Category]]="Payments", IF(Transactions_RAW_cleaned[[#This Row],[Amount]]&gt;500,"High Value","Standard"),
    IF(Transactions_RAW_cleaned[[#This Row],[Amount]]&gt;250,"High Value","Standard")))</f>
        <v>Standard</v>
      </c>
      <c r="Q632" s="5" t="str">
        <f>IF(Transactions_RAW_cleaned[[#This Row],[Amount]] &gt; (_xlfn.XLOOKUP(Transactions_RAW_cleaned[[#This Row],[ServiceID]],Services_cleaned[ServiceID],Services_cleaned[TransactionFeePct]) * 10000), "Yes", "No")</f>
        <v>Yes</v>
      </c>
      <c r="R632" s="5" t="str">
        <f>IF(COUNTIFS($C$2:Transactions_RAW_cleaned[[#This Row],[CustomerID]],Transactions_RAW_cleaned[[#This Row],[CustomerID]],$D$2:Transactions_RAW_cleaned[[#This Row],[ServiceID]],Transactions_RAW_cleaned[[#This Row],[ServiceID]])=1,"Yes","No")</f>
        <v>No</v>
      </c>
      <c r="S63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32" t="str">
        <f>"Q"&amp;ROUNDUP(MONTH(Transactions_RAW_cleaned[[#This Row],[TransactionDate]])/3,0)</f>
        <v>Q1</v>
      </c>
      <c r="U632" t="str">
        <f>Transactions_RAW_cleaned[[#This Row],[Region ]]&amp;Transactions_RAW_cleaned[[#This Row],[Quarter ]]</f>
        <v>APACQ1</v>
      </c>
      <c r="V632" s="5">
        <f>_xlfn.XLOOKUP(Transactions_RAW_cleaned[[#This Row],[RegionQuarterKey]], Quarterly_Targets_cleaned[RegionQuarterKey], Quarterly_Targets_cleaned[TargetRevenue])</f>
        <v>104500</v>
      </c>
    </row>
    <row r="633" spans="1:22" x14ac:dyDescent="0.25">
      <c r="A633" t="s">
        <v>967</v>
      </c>
      <c r="B633" s="1">
        <v>45564</v>
      </c>
      <c r="C633" t="s">
        <v>255</v>
      </c>
      <c r="D633" t="s">
        <v>297</v>
      </c>
      <c r="E633">
        <v>722.45</v>
      </c>
      <c r="F633" t="s">
        <v>324</v>
      </c>
      <c r="G633" t="s">
        <v>327</v>
      </c>
      <c r="I633" t="s">
        <v>17</v>
      </c>
      <c r="J633" t="s">
        <v>21</v>
      </c>
      <c r="K633" t="s">
        <v>28</v>
      </c>
      <c r="L633" t="s">
        <v>298</v>
      </c>
      <c r="M633" t="s">
        <v>299</v>
      </c>
      <c r="N633">
        <v>0</v>
      </c>
      <c r="O633" t="str">
        <f>IF(Transactions_RAW_cleaned[[#This Row],[Status]]="Completed", IFERROR(_xlfn.XLOOKUP(Transactions_RAW_cleaned[[#This Row],[CustomerID]], Customers_cleaned[CustomerID], Customers_cleaned[Segment]), "Customer Not Found"), "N/A")</f>
        <v>Enterprise</v>
      </c>
      <c r="P633" s="5" t="str">
        <f>IF(Transactions_RAW_cleaned[[#This Row],[Status]]="Refunded", "Refund",
  IF(Transactions_RAW_cleaned[[#This Row],[Category]]="Payments", IF(Transactions_RAW_cleaned[[#This Row],[Amount]]&gt;500,"High Value","Standard"),
    IF(Transactions_RAW_cleaned[[#This Row],[Amount]]&gt;250,"High Value","Standard")))</f>
        <v>High Value</v>
      </c>
      <c r="Q633" s="5" t="str">
        <f>IF(Transactions_RAW_cleaned[[#This Row],[Amount]] &gt; (_xlfn.XLOOKUP(Transactions_RAW_cleaned[[#This Row],[ServiceID]],Services_cleaned[ServiceID],Services_cleaned[TransactionFeePct]) * 10000), "Yes", "No")</f>
        <v>Yes</v>
      </c>
      <c r="R633" s="5" t="str">
        <f>IF(COUNTIFS($C$2:Transactions_RAW_cleaned[[#This Row],[CustomerID]],Transactions_RAW_cleaned[[#This Row],[CustomerID]],$D$2:Transactions_RAW_cleaned[[#This Row],[ServiceID]],Transactions_RAW_cleaned[[#This Row],[ServiceID]])=1,"Yes","No")</f>
        <v>Yes</v>
      </c>
      <c r="S63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33" t="str">
        <f>"Q"&amp;ROUNDUP(MONTH(Transactions_RAW_cleaned[[#This Row],[TransactionDate]])/3,0)</f>
        <v>Q3</v>
      </c>
      <c r="U633" t="str">
        <f>Transactions_RAW_cleaned[[#This Row],[Region ]]&amp;Transactions_RAW_cleaned[[#This Row],[Quarter ]]</f>
        <v>APACQ3</v>
      </c>
      <c r="V633" s="5">
        <f>_xlfn.XLOOKUP(Transactions_RAW_cleaned[[#This Row],[RegionQuarterKey]], Quarterly_Targets_cleaned[RegionQuarterKey], Quarterly_Targets_cleaned[TargetRevenue])</f>
        <v>115500</v>
      </c>
    </row>
    <row r="634" spans="1:22" x14ac:dyDescent="0.25">
      <c r="A634" t="s">
        <v>968</v>
      </c>
      <c r="B634" s="1">
        <v>45313</v>
      </c>
      <c r="C634" t="s">
        <v>249</v>
      </c>
      <c r="D634" t="s">
        <v>300</v>
      </c>
      <c r="E634">
        <v>452.35</v>
      </c>
      <c r="F634" t="s">
        <v>331</v>
      </c>
      <c r="G634" t="s">
        <v>327</v>
      </c>
      <c r="H634" t="s">
        <v>334</v>
      </c>
      <c r="I634" t="s">
        <v>57</v>
      </c>
      <c r="J634" t="s">
        <v>21</v>
      </c>
      <c r="K634" t="s">
        <v>14</v>
      </c>
      <c r="L634" t="s">
        <v>301</v>
      </c>
      <c r="M634" t="s">
        <v>302</v>
      </c>
      <c r="N634">
        <v>5.0000000000000001E-3</v>
      </c>
      <c r="O634" t="str">
        <f>IF(Transactions_RAW_cleaned[[#This Row],[Status]]="Completed", IFERROR(_xlfn.XLOOKUP(Transactions_RAW_cleaned[[#This Row],[CustomerID]], Customers_cleaned[CustomerID], Customers_cleaned[Segment]), "Customer Not Found"), "N/A")</f>
        <v>N/A</v>
      </c>
      <c r="P634" s="5" t="str">
        <f>IF(Transactions_RAW_cleaned[[#This Row],[Status]]="Refunded", "Refund",
  IF(Transactions_RAW_cleaned[[#This Row],[Category]]="Payments", IF(Transactions_RAW_cleaned[[#This Row],[Amount]]&gt;500,"High Value","Standard"),
    IF(Transactions_RAW_cleaned[[#This Row],[Amount]]&gt;250,"High Value","Standard")))</f>
        <v>High Value</v>
      </c>
      <c r="Q634" s="5" t="str">
        <f>IF(Transactions_RAW_cleaned[[#This Row],[Amount]] &gt; (_xlfn.XLOOKUP(Transactions_RAW_cleaned[[#This Row],[ServiceID]],Services_cleaned[ServiceID],Services_cleaned[TransactionFeePct]) * 10000), "Yes", "No")</f>
        <v>Yes</v>
      </c>
      <c r="R634" s="5" t="str">
        <f>IF(COUNTIFS($C$2:Transactions_RAW_cleaned[[#This Row],[CustomerID]],Transactions_RAW_cleaned[[#This Row],[CustomerID]],$D$2:Transactions_RAW_cleaned[[#This Row],[ServiceID]],Transactions_RAW_cleaned[[#This Row],[ServiceID]])=1,"Yes","No")</f>
        <v>No</v>
      </c>
      <c r="S63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34" t="str">
        <f>"Q"&amp;ROUNDUP(MONTH(Transactions_RAW_cleaned[[#This Row],[TransactionDate]])/3,0)</f>
        <v>Q1</v>
      </c>
      <c r="U634" t="str">
        <f>Transactions_RAW_cleaned[[#This Row],[Region ]]&amp;Transactions_RAW_cleaned[[#This Row],[Quarter ]]</f>
        <v>APACQ1</v>
      </c>
      <c r="V634" s="5">
        <f>_xlfn.XLOOKUP(Transactions_RAW_cleaned[[#This Row],[RegionQuarterKey]], Quarterly_Targets_cleaned[RegionQuarterKey], Quarterly_Targets_cleaned[TargetRevenue])</f>
        <v>104500</v>
      </c>
    </row>
    <row r="635" spans="1:22" x14ac:dyDescent="0.25">
      <c r="A635" t="s">
        <v>969</v>
      </c>
      <c r="B635" s="1">
        <v>45430</v>
      </c>
      <c r="C635" t="s">
        <v>203</v>
      </c>
      <c r="D635" t="s">
        <v>297</v>
      </c>
      <c r="E635">
        <v>252.36</v>
      </c>
      <c r="F635" t="s">
        <v>324</v>
      </c>
      <c r="G635" t="s">
        <v>337</v>
      </c>
      <c r="H635" t="s">
        <v>346</v>
      </c>
      <c r="I635" t="s">
        <v>57</v>
      </c>
      <c r="J635" t="s">
        <v>21</v>
      </c>
      <c r="K635" t="s">
        <v>14</v>
      </c>
      <c r="L635" t="s">
        <v>298</v>
      </c>
      <c r="M635" t="s">
        <v>299</v>
      </c>
      <c r="N635">
        <v>0</v>
      </c>
      <c r="O635" t="str">
        <f>IF(Transactions_RAW_cleaned[[#This Row],[Status]]="Completed", IFERROR(_xlfn.XLOOKUP(Transactions_RAW_cleaned[[#This Row],[CustomerID]], Customers_cleaned[CustomerID], Customers_cleaned[Segment]), "Customer Not Found"), "N/A")</f>
        <v>Startup</v>
      </c>
      <c r="P635" s="5" t="str">
        <f>IF(Transactions_RAW_cleaned[[#This Row],[Status]]="Refunded", "Refund",
  IF(Transactions_RAW_cleaned[[#This Row],[Category]]="Payments", IF(Transactions_RAW_cleaned[[#This Row],[Amount]]&gt;500,"High Value","Standard"),
    IF(Transactions_RAW_cleaned[[#This Row],[Amount]]&gt;250,"High Value","Standard")))</f>
        <v>High Value</v>
      </c>
      <c r="Q635" s="5" t="str">
        <f>IF(Transactions_RAW_cleaned[[#This Row],[Amount]] &gt; (_xlfn.XLOOKUP(Transactions_RAW_cleaned[[#This Row],[ServiceID]],Services_cleaned[ServiceID],Services_cleaned[TransactionFeePct]) * 10000), "Yes", "No")</f>
        <v>Yes</v>
      </c>
      <c r="R635" s="5" t="str">
        <f>IF(COUNTIFS($C$2:Transactions_RAW_cleaned[[#This Row],[CustomerID]],Transactions_RAW_cleaned[[#This Row],[CustomerID]],$D$2:Transactions_RAW_cleaned[[#This Row],[ServiceID]],Transactions_RAW_cleaned[[#This Row],[ServiceID]])=1,"Yes","No")</f>
        <v>Yes</v>
      </c>
      <c r="S63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35" t="str">
        <f>"Q"&amp;ROUNDUP(MONTH(Transactions_RAW_cleaned[[#This Row],[TransactionDate]])/3,0)</f>
        <v>Q2</v>
      </c>
      <c r="U635" t="str">
        <f>Transactions_RAW_cleaned[[#This Row],[Region ]]&amp;Transactions_RAW_cleaned[[#This Row],[Quarter ]]</f>
        <v>APACQ2</v>
      </c>
      <c r="V635" s="5">
        <f>_xlfn.XLOOKUP(Transactions_RAW_cleaned[[#This Row],[RegionQuarterKey]], Quarterly_Targets_cleaned[RegionQuarterKey], Quarterly_Targets_cleaned[TargetRevenue])</f>
        <v>110000</v>
      </c>
    </row>
    <row r="636" spans="1:22" x14ac:dyDescent="0.25">
      <c r="A636" t="s">
        <v>970</v>
      </c>
      <c r="B636" s="1">
        <v>45342</v>
      </c>
      <c r="C636" t="s">
        <v>66</v>
      </c>
      <c r="D636" t="s">
        <v>294</v>
      </c>
      <c r="E636">
        <v>127.74</v>
      </c>
      <c r="F636" t="s">
        <v>324</v>
      </c>
      <c r="G636" t="s">
        <v>325</v>
      </c>
      <c r="I636" t="s">
        <v>8</v>
      </c>
      <c r="J636" t="s">
        <v>46</v>
      </c>
      <c r="K636" t="s">
        <v>10</v>
      </c>
      <c r="L636" t="s">
        <v>295</v>
      </c>
      <c r="M636" t="s">
        <v>296</v>
      </c>
      <c r="N636">
        <v>2.9000000000000001E-2</v>
      </c>
      <c r="O636" t="str">
        <f>IF(Transactions_RAW_cleaned[[#This Row],[Status]]="Completed", IFERROR(_xlfn.XLOOKUP(Transactions_RAW_cleaned[[#This Row],[CustomerID]], Customers_cleaned[CustomerID], Customers_cleaned[Segment]), "Customer Not Found"), "N/A")</f>
        <v>SMB</v>
      </c>
      <c r="P636" s="5" t="str">
        <f>IF(Transactions_RAW_cleaned[[#This Row],[Status]]="Refunded", "Refund",
  IF(Transactions_RAW_cleaned[[#This Row],[Category]]="Payments", IF(Transactions_RAW_cleaned[[#This Row],[Amount]]&gt;500,"High Value","Standard"),
    IF(Transactions_RAW_cleaned[[#This Row],[Amount]]&gt;250,"High Value","Standard")))</f>
        <v>Standard</v>
      </c>
      <c r="Q636" s="5" t="str">
        <f>IF(Transactions_RAW_cleaned[[#This Row],[Amount]] &gt; (_xlfn.XLOOKUP(Transactions_RAW_cleaned[[#This Row],[ServiceID]],Services_cleaned[ServiceID],Services_cleaned[TransactionFeePct]) * 10000), "Yes", "No")</f>
        <v>No</v>
      </c>
      <c r="R636" s="5" t="str">
        <f>IF(COUNTIFS($C$2:Transactions_RAW_cleaned[[#This Row],[CustomerID]],Transactions_RAW_cleaned[[#This Row],[CustomerID]],$D$2:Transactions_RAW_cleaned[[#This Row],[ServiceID]],Transactions_RAW_cleaned[[#This Row],[ServiceID]])=1,"Yes","No")</f>
        <v>No</v>
      </c>
      <c r="S63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36" t="str">
        <f>"Q"&amp;ROUNDUP(MONTH(Transactions_RAW_cleaned[[#This Row],[TransactionDate]])/3,0)</f>
        <v>Q1</v>
      </c>
      <c r="U636" t="str">
        <f>Transactions_RAW_cleaned[[#This Row],[Region ]]&amp;Transactions_RAW_cleaned[[#This Row],[Quarter ]]</f>
        <v>APACQ1</v>
      </c>
      <c r="V636" s="5">
        <f>_xlfn.XLOOKUP(Transactions_RAW_cleaned[[#This Row],[RegionQuarterKey]], Quarterly_Targets_cleaned[RegionQuarterKey], Quarterly_Targets_cleaned[TargetRevenue])</f>
        <v>104500</v>
      </c>
    </row>
    <row r="637" spans="1:22" x14ac:dyDescent="0.25">
      <c r="A637" t="s">
        <v>971</v>
      </c>
      <c r="B637" s="1">
        <v>45453</v>
      </c>
      <c r="C637" t="s">
        <v>159</v>
      </c>
      <c r="D637" t="s">
        <v>303</v>
      </c>
      <c r="E637">
        <v>529.92999999999995</v>
      </c>
      <c r="F637" t="s">
        <v>324</v>
      </c>
      <c r="G637" t="s">
        <v>325</v>
      </c>
      <c r="I637" t="s">
        <v>57</v>
      </c>
      <c r="J637" t="s">
        <v>25</v>
      </c>
      <c r="K637" t="s">
        <v>22</v>
      </c>
      <c r="L637" t="s">
        <v>304</v>
      </c>
      <c r="M637" t="s">
        <v>305</v>
      </c>
      <c r="N637">
        <v>1E-3</v>
      </c>
      <c r="O637" t="str">
        <f>IF(Transactions_RAW_cleaned[[#This Row],[Status]]="Completed", IFERROR(_xlfn.XLOOKUP(Transactions_RAW_cleaned[[#This Row],[CustomerID]], Customers_cleaned[CustomerID], Customers_cleaned[Segment]), "Customer Not Found"), "N/A")</f>
        <v>Startup</v>
      </c>
      <c r="P637" s="5" t="str">
        <f>IF(Transactions_RAW_cleaned[[#This Row],[Status]]="Refunded", "Refund",
  IF(Transactions_RAW_cleaned[[#This Row],[Category]]="Payments", IF(Transactions_RAW_cleaned[[#This Row],[Amount]]&gt;500,"High Value","Standard"),
    IF(Transactions_RAW_cleaned[[#This Row],[Amount]]&gt;250,"High Value","Standard")))</f>
        <v>High Value</v>
      </c>
      <c r="Q637" s="5" t="str">
        <f>IF(Transactions_RAW_cleaned[[#This Row],[Amount]] &gt; (_xlfn.XLOOKUP(Transactions_RAW_cleaned[[#This Row],[ServiceID]],Services_cleaned[ServiceID],Services_cleaned[TransactionFeePct]) * 10000), "Yes", "No")</f>
        <v>Yes</v>
      </c>
      <c r="R637" s="5" t="str">
        <f>IF(COUNTIFS($C$2:Transactions_RAW_cleaned[[#This Row],[CustomerID]],Transactions_RAW_cleaned[[#This Row],[CustomerID]],$D$2:Transactions_RAW_cleaned[[#This Row],[ServiceID]],Transactions_RAW_cleaned[[#This Row],[ServiceID]])=1,"Yes","No")</f>
        <v>Yes</v>
      </c>
      <c r="S63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37" t="str">
        <f>"Q"&amp;ROUNDUP(MONTH(Transactions_RAW_cleaned[[#This Row],[TransactionDate]])/3,0)</f>
        <v>Q2</v>
      </c>
      <c r="U637" t="str">
        <f>Transactions_RAW_cleaned[[#This Row],[Region ]]&amp;Transactions_RAW_cleaned[[#This Row],[Quarter ]]</f>
        <v>APACQ2</v>
      </c>
      <c r="V637" s="5">
        <f>_xlfn.XLOOKUP(Transactions_RAW_cleaned[[#This Row],[RegionQuarterKey]], Quarterly_Targets_cleaned[RegionQuarterKey], Quarterly_Targets_cleaned[TargetRevenue])</f>
        <v>110000</v>
      </c>
    </row>
    <row r="638" spans="1:22" x14ac:dyDescent="0.25">
      <c r="A638" t="s">
        <v>972</v>
      </c>
      <c r="B638" s="1">
        <v>45585</v>
      </c>
      <c r="C638" t="s">
        <v>255</v>
      </c>
      <c r="D638" t="s">
        <v>294</v>
      </c>
      <c r="E638">
        <v>190.22</v>
      </c>
      <c r="F638" t="s">
        <v>324</v>
      </c>
      <c r="G638" t="s">
        <v>327</v>
      </c>
      <c r="H638" t="s">
        <v>346</v>
      </c>
      <c r="I638" t="s">
        <v>17</v>
      </c>
      <c r="J638" t="s">
        <v>21</v>
      </c>
      <c r="K638" t="s">
        <v>28</v>
      </c>
      <c r="L638" t="s">
        <v>295</v>
      </c>
      <c r="M638" t="s">
        <v>296</v>
      </c>
      <c r="N638">
        <v>2.9000000000000001E-2</v>
      </c>
      <c r="O638" t="str">
        <f>IF(Transactions_RAW_cleaned[[#This Row],[Status]]="Completed", IFERROR(_xlfn.XLOOKUP(Transactions_RAW_cleaned[[#This Row],[CustomerID]], Customers_cleaned[CustomerID], Customers_cleaned[Segment]), "Customer Not Found"), "N/A")</f>
        <v>Enterprise</v>
      </c>
      <c r="P638" s="5" t="str">
        <f>IF(Transactions_RAW_cleaned[[#This Row],[Status]]="Refunded", "Refund",
  IF(Transactions_RAW_cleaned[[#This Row],[Category]]="Payments", IF(Transactions_RAW_cleaned[[#This Row],[Amount]]&gt;500,"High Value","Standard"),
    IF(Transactions_RAW_cleaned[[#This Row],[Amount]]&gt;250,"High Value","Standard")))</f>
        <v>Standard</v>
      </c>
      <c r="Q638" s="5" t="str">
        <f>IF(Transactions_RAW_cleaned[[#This Row],[Amount]] &gt; (_xlfn.XLOOKUP(Transactions_RAW_cleaned[[#This Row],[ServiceID]],Services_cleaned[ServiceID],Services_cleaned[TransactionFeePct]) * 10000), "Yes", "No")</f>
        <v>No</v>
      </c>
      <c r="R638" s="5" t="str">
        <f>IF(COUNTIFS($C$2:Transactions_RAW_cleaned[[#This Row],[CustomerID]],Transactions_RAW_cleaned[[#This Row],[CustomerID]],$D$2:Transactions_RAW_cleaned[[#This Row],[ServiceID]],Transactions_RAW_cleaned[[#This Row],[ServiceID]])=1,"Yes","No")</f>
        <v>No</v>
      </c>
      <c r="S63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38" t="str">
        <f>"Q"&amp;ROUNDUP(MONTH(Transactions_RAW_cleaned[[#This Row],[TransactionDate]])/3,0)</f>
        <v>Q4</v>
      </c>
      <c r="U638" t="str">
        <f>Transactions_RAW_cleaned[[#This Row],[Region ]]&amp;Transactions_RAW_cleaned[[#This Row],[Quarter ]]</f>
        <v>APACQ4</v>
      </c>
      <c r="V638" s="5">
        <f>_xlfn.XLOOKUP(Transactions_RAW_cleaned[[#This Row],[RegionQuarterKey]], Quarterly_Targets_cleaned[RegionQuarterKey], Quarterly_Targets_cleaned[TargetRevenue])</f>
        <v>126500</v>
      </c>
    </row>
    <row r="639" spans="1:22" x14ac:dyDescent="0.25">
      <c r="A639" t="s">
        <v>973</v>
      </c>
      <c r="B639" s="1">
        <v>45505</v>
      </c>
      <c r="C639" t="s">
        <v>261</v>
      </c>
      <c r="D639" t="s">
        <v>294</v>
      </c>
      <c r="E639">
        <v>837.67</v>
      </c>
      <c r="F639" t="s">
        <v>324</v>
      </c>
      <c r="G639" t="s">
        <v>2963</v>
      </c>
      <c r="I639" t="s">
        <v>8</v>
      </c>
      <c r="J639" t="s">
        <v>31</v>
      </c>
      <c r="K639" t="s">
        <v>18</v>
      </c>
      <c r="L639" t="s">
        <v>295</v>
      </c>
      <c r="M639" t="s">
        <v>296</v>
      </c>
      <c r="N639">
        <v>2.9000000000000001E-2</v>
      </c>
      <c r="O639" t="str">
        <f>IF(Transactions_RAW_cleaned[[#This Row],[Status]]="Completed", IFERROR(_xlfn.XLOOKUP(Transactions_RAW_cleaned[[#This Row],[CustomerID]], Customers_cleaned[CustomerID], Customers_cleaned[Segment]), "Customer Not Found"), "N/A")</f>
        <v>SMB</v>
      </c>
      <c r="P639" s="5" t="str">
        <f>IF(Transactions_RAW_cleaned[[#This Row],[Status]]="Refunded", "Refund",
  IF(Transactions_RAW_cleaned[[#This Row],[Category]]="Payments", IF(Transactions_RAW_cleaned[[#This Row],[Amount]]&gt;500,"High Value","Standard"),
    IF(Transactions_RAW_cleaned[[#This Row],[Amount]]&gt;250,"High Value","Standard")))</f>
        <v>High Value</v>
      </c>
      <c r="Q639" s="5" t="str">
        <f>IF(Transactions_RAW_cleaned[[#This Row],[Amount]] &gt; (_xlfn.XLOOKUP(Transactions_RAW_cleaned[[#This Row],[ServiceID]],Services_cleaned[ServiceID],Services_cleaned[TransactionFeePct]) * 10000), "Yes", "No")</f>
        <v>Yes</v>
      </c>
      <c r="R639" s="5" t="str">
        <f>IF(COUNTIFS($C$2:Transactions_RAW_cleaned[[#This Row],[CustomerID]],Transactions_RAW_cleaned[[#This Row],[CustomerID]],$D$2:Transactions_RAW_cleaned[[#This Row],[ServiceID]],Transactions_RAW_cleaned[[#This Row],[ServiceID]])=1,"Yes","No")</f>
        <v>No</v>
      </c>
      <c r="S63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639" t="str">
        <f>"Q"&amp;ROUNDUP(MONTH(Transactions_RAW_cleaned[[#This Row],[TransactionDate]])/3,0)</f>
        <v>Q3</v>
      </c>
      <c r="U639" t="str">
        <f>Transactions_RAW_cleaned[[#This Row],[Region ]]&amp;Transactions_RAW_cleaned[[#This Row],[Quarter ]]</f>
        <v>EMEAQ3</v>
      </c>
      <c r="V639" s="5">
        <f>_xlfn.XLOOKUP(Transactions_RAW_cleaned[[#This Row],[RegionQuarterKey]], Quarterly_Targets_cleaned[RegionQuarterKey], Quarterly_Targets_cleaned[TargetRevenue])</f>
        <v>147000</v>
      </c>
    </row>
    <row r="640" spans="1:22" x14ac:dyDescent="0.25">
      <c r="A640" t="s">
        <v>974</v>
      </c>
      <c r="B640" s="1">
        <v>45650</v>
      </c>
      <c r="C640" t="s">
        <v>80</v>
      </c>
      <c r="D640" t="s">
        <v>312</v>
      </c>
      <c r="E640">
        <v>-613.97</v>
      </c>
      <c r="F640" t="s">
        <v>349</v>
      </c>
      <c r="G640" t="s">
        <v>337</v>
      </c>
      <c r="I640" t="s">
        <v>8</v>
      </c>
      <c r="J640" t="s">
        <v>13</v>
      </c>
      <c r="K640" t="s">
        <v>32</v>
      </c>
      <c r="L640" t="s">
        <v>313</v>
      </c>
      <c r="M640" t="s">
        <v>314</v>
      </c>
      <c r="N640">
        <v>0</v>
      </c>
      <c r="O640" t="str">
        <f>IF(Transactions_RAW_cleaned[[#This Row],[Status]]="Completed", IFERROR(_xlfn.XLOOKUP(Transactions_RAW_cleaned[[#This Row],[CustomerID]], Customers_cleaned[CustomerID], Customers_cleaned[Segment]), "Customer Not Found"), "N/A")</f>
        <v>N/A</v>
      </c>
      <c r="P640" s="5" t="str">
        <f>IF(Transactions_RAW_cleaned[[#This Row],[Status]]="Refunded", "Refund",
  IF(Transactions_RAW_cleaned[[#This Row],[Category]]="Payments", IF(Transactions_RAW_cleaned[[#This Row],[Amount]]&gt;500,"High Value","Standard"),
    IF(Transactions_RAW_cleaned[[#This Row],[Amount]]&gt;250,"High Value","Standard")))</f>
        <v>Refund</v>
      </c>
      <c r="Q640" s="5" t="str">
        <f>IF(Transactions_RAW_cleaned[[#This Row],[Amount]] &gt; (_xlfn.XLOOKUP(Transactions_RAW_cleaned[[#This Row],[ServiceID]],Services_cleaned[ServiceID],Services_cleaned[TransactionFeePct]) * 10000), "Yes", "No")</f>
        <v>No</v>
      </c>
      <c r="R640" s="5" t="str">
        <f>IF(COUNTIFS($C$2:Transactions_RAW_cleaned[[#This Row],[CustomerID]],Transactions_RAW_cleaned[[#This Row],[CustomerID]],$D$2:Transactions_RAW_cleaned[[#This Row],[ServiceID]],Transactions_RAW_cleaned[[#This Row],[ServiceID]])=1,"Yes","No")</f>
        <v>No</v>
      </c>
      <c r="S64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40" t="str">
        <f>"Q"&amp;ROUNDUP(MONTH(Transactions_RAW_cleaned[[#This Row],[TransactionDate]])/3,0)</f>
        <v>Q4</v>
      </c>
      <c r="U640" t="str">
        <f>Transactions_RAW_cleaned[[#This Row],[Region ]]&amp;Transactions_RAW_cleaned[[#This Row],[Quarter ]]</f>
        <v>NAQ4</v>
      </c>
      <c r="V640" s="5">
        <f>_xlfn.XLOOKUP(Transactions_RAW_cleaned[[#This Row],[RegionQuarterKey]], Quarterly_Targets_cleaned[RegionQuarterKey], Quarterly_Targets_cleaned[TargetRevenue])</f>
        <v>299000</v>
      </c>
    </row>
    <row r="641" spans="1:22" x14ac:dyDescent="0.25">
      <c r="A641" t="s">
        <v>975</v>
      </c>
      <c r="B641" s="1">
        <v>45504</v>
      </c>
      <c r="C641" t="s">
        <v>249</v>
      </c>
      <c r="D641" t="s">
        <v>306</v>
      </c>
      <c r="E641">
        <v>418.05</v>
      </c>
      <c r="F641" t="s">
        <v>324</v>
      </c>
      <c r="G641" t="s">
        <v>337</v>
      </c>
      <c r="H641" t="s">
        <v>346</v>
      </c>
      <c r="I641" t="s">
        <v>57</v>
      </c>
      <c r="J641" t="s">
        <v>21</v>
      </c>
      <c r="K641" t="s">
        <v>14</v>
      </c>
      <c r="L641" t="s">
        <v>307</v>
      </c>
      <c r="M641" t="s">
        <v>308</v>
      </c>
      <c r="N641">
        <v>0</v>
      </c>
      <c r="O641" t="str">
        <f>IF(Transactions_RAW_cleaned[[#This Row],[Status]]="Completed", IFERROR(_xlfn.XLOOKUP(Transactions_RAW_cleaned[[#This Row],[CustomerID]], Customers_cleaned[CustomerID], Customers_cleaned[Segment]), "Customer Not Found"), "N/A")</f>
        <v>Startup</v>
      </c>
      <c r="P641" s="5" t="str">
        <f>IF(Transactions_RAW_cleaned[[#This Row],[Status]]="Refunded", "Refund",
  IF(Transactions_RAW_cleaned[[#This Row],[Category]]="Payments", IF(Transactions_RAW_cleaned[[#This Row],[Amount]]&gt;500,"High Value","Standard"),
    IF(Transactions_RAW_cleaned[[#This Row],[Amount]]&gt;250,"High Value","Standard")))</f>
        <v>High Value</v>
      </c>
      <c r="Q641" s="5" t="str">
        <f>IF(Transactions_RAW_cleaned[[#This Row],[Amount]] &gt; (_xlfn.XLOOKUP(Transactions_RAW_cleaned[[#This Row],[ServiceID]],Services_cleaned[ServiceID],Services_cleaned[TransactionFeePct]) * 10000), "Yes", "No")</f>
        <v>Yes</v>
      </c>
      <c r="R641" s="5" t="str">
        <f>IF(COUNTIFS($C$2:Transactions_RAW_cleaned[[#This Row],[CustomerID]],Transactions_RAW_cleaned[[#This Row],[CustomerID]],$D$2:Transactions_RAW_cleaned[[#This Row],[ServiceID]],Transactions_RAW_cleaned[[#This Row],[ServiceID]])=1,"Yes","No")</f>
        <v>Yes</v>
      </c>
      <c r="S64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41" t="str">
        <f>"Q"&amp;ROUNDUP(MONTH(Transactions_RAW_cleaned[[#This Row],[TransactionDate]])/3,0)</f>
        <v>Q3</v>
      </c>
      <c r="U641" t="str">
        <f>Transactions_RAW_cleaned[[#This Row],[Region ]]&amp;Transactions_RAW_cleaned[[#This Row],[Quarter ]]</f>
        <v>APACQ3</v>
      </c>
      <c r="V641" s="5">
        <f>_xlfn.XLOOKUP(Transactions_RAW_cleaned[[#This Row],[RegionQuarterKey]], Quarterly_Targets_cleaned[RegionQuarterKey], Quarterly_Targets_cleaned[TargetRevenue])</f>
        <v>115500</v>
      </c>
    </row>
    <row r="642" spans="1:22" x14ac:dyDescent="0.25">
      <c r="A642" t="s">
        <v>976</v>
      </c>
      <c r="B642" s="1">
        <v>45645</v>
      </c>
      <c r="C642" t="s">
        <v>55</v>
      </c>
      <c r="D642" t="s">
        <v>297</v>
      </c>
      <c r="E642">
        <v>301.64</v>
      </c>
      <c r="F642" t="s">
        <v>324</v>
      </c>
      <c r="G642" t="s">
        <v>327</v>
      </c>
      <c r="I642" t="s">
        <v>57</v>
      </c>
      <c r="J642" t="s">
        <v>31</v>
      </c>
      <c r="K642" t="s">
        <v>22</v>
      </c>
      <c r="L642" t="s">
        <v>298</v>
      </c>
      <c r="M642" t="s">
        <v>299</v>
      </c>
      <c r="N642">
        <v>0</v>
      </c>
      <c r="O642" t="str">
        <f>IF(Transactions_RAW_cleaned[[#This Row],[Status]]="Completed", IFERROR(_xlfn.XLOOKUP(Transactions_RAW_cleaned[[#This Row],[CustomerID]], Customers_cleaned[CustomerID], Customers_cleaned[Segment]), "Customer Not Found"), "N/A")</f>
        <v>Startup</v>
      </c>
      <c r="P642" s="5" t="str">
        <f>IF(Transactions_RAW_cleaned[[#This Row],[Status]]="Refunded", "Refund",
  IF(Transactions_RAW_cleaned[[#This Row],[Category]]="Payments", IF(Transactions_RAW_cleaned[[#This Row],[Amount]]&gt;500,"High Value","Standard"),
    IF(Transactions_RAW_cleaned[[#This Row],[Amount]]&gt;250,"High Value","Standard")))</f>
        <v>High Value</v>
      </c>
      <c r="Q642" s="5" t="str">
        <f>IF(Transactions_RAW_cleaned[[#This Row],[Amount]] &gt; (_xlfn.XLOOKUP(Transactions_RAW_cleaned[[#This Row],[ServiceID]],Services_cleaned[ServiceID],Services_cleaned[TransactionFeePct]) * 10000), "Yes", "No")</f>
        <v>Yes</v>
      </c>
      <c r="R642" s="5" t="str">
        <f>IF(COUNTIFS($C$2:Transactions_RAW_cleaned[[#This Row],[CustomerID]],Transactions_RAW_cleaned[[#This Row],[CustomerID]],$D$2:Transactions_RAW_cleaned[[#This Row],[ServiceID]],Transactions_RAW_cleaned[[#This Row],[ServiceID]])=1,"Yes","No")</f>
        <v>Yes</v>
      </c>
      <c r="S64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642" t="str">
        <f>"Q"&amp;ROUNDUP(MONTH(Transactions_RAW_cleaned[[#This Row],[TransactionDate]])/3,0)</f>
        <v>Q4</v>
      </c>
      <c r="U642" t="str">
        <f>Transactions_RAW_cleaned[[#This Row],[Region ]]&amp;Transactions_RAW_cleaned[[#This Row],[Quarter ]]</f>
        <v>EMEAQ4</v>
      </c>
      <c r="V642" s="5">
        <f>_xlfn.XLOOKUP(Transactions_RAW_cleaned[[#This Row],[RegionQuarterKey]], Quarterly_Targets_cleaned[RegionQuarterKey], Quarterly_Targets_cleaned[TargetRevenue])</f>
        <v>161000</v>
      </c>
    </row>
    <row r="643" spans="1:22" x14ac:dyDescent="0.25">
      <c r="A643" t="s">
        <v>977</v>
      </c>
      <c r="B643" s="1">
        <v>45650</v>
      </c>
      <c r="C643" t="s">
        <v>177</v>
      </c>
      <c r="D643" t="s">
        <v>312</v>
      </c>
      <c r="E643">
        <v>537.94000000000005</v>
      </c>
      <c r="F643" t="s">
        <v>324</v>
      </c>
      <c r="G643" t="s">
        <v>327</v>
      </c>
      <c r="I643" t="s">
        <v>8</v>
      </c>
      <c r="J643" t="s">
        <v>46</v>
      </c>
      <c r="K643" t="s">
        <v>10</v>
      </c>
      <c r="L643" t="s">
        <v>313</v>
      </c>
      <c r="M643" t="s">
        <v>314</v>
      </c>
      <c r="N643">
        <v>0</v>
      </c>
      <c r="O643" t="str">
        <f>IF(Transactions_RAW_cleaned[[#This Row],[Status]]="Completed", IFERROR(_xlfn.XLOOKUP(Transactions_RAW_cleaned[[#This Row],[CustomerID]], Customers_cleaned[CustomerID], Customers_cleaned[Segment]), "Customer Not Found"), "N/A")</f>
        <v>SMB</v>
      </c>
      <c r="P643" s="5" t="str">
        <f>IF(Transactions_RAW_cleaned[[#This Row],[Status]]="Refunded", "Refund",
  IF(Transactions_RAW_cleaned[[#This Row],[Category]]="Payments", IF(Transactions_RAW_cleaned[[#This Row],[Amount]]&gt;500,"High Value","Standard"),
    IF(Transactions_RAW_cleaned[[#This Row],[Amount]]&gt;250,"High Value","Standard")))</f>
        <v>High Value</v>
      </c>
      <c r="Q643" s="5" t="str">
        <f>IF(Transactions_RAW_cleaned[[#This Row],[Amount]] &gt; (_xlfn.XLOOKUP(Transactions_RAW_cleaned[[#This Row],[ServiceID]],Services_cleaned[ServiceID],Services_cleaned[TransactionFeePct]) * 10000), "Yes", "No")</f>
        <v>Yes</v>
      </c>
      <c r="R643" s="5" t="str">
        <f>IF(COUNTIFS($C$2:Transactions_RAW_cleaned[[#This Row],[CustomerID]],Transactions_RAW_cleaned[[#This Row],[CustomerID]],$D$2:Transactions_RAW_cleaned[[#This Row],[ServiceID]],Transactions_RAW_cleaned[[#This Row],[ServiceID]])=1,"Yes","No")</f>
        <v>Yes</v>
      </c>
      <c r="S64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43" t="str">
        <f>"Q"&amp;ROUNDUP(MONTH(Transactions_RAW_cleaned[[#This Row],[TransactionDate]])/3,0)</f>
        <v>Q4</v>
      </c>
      <c r="U643" t="str">
        <f>Transactions_RAW_cleaned[[#This Row],[Region ]]&amp;Transactions_RAW_cleaned[[#This Row],[Quarter ]]</f>
        <v>APACQ4</v>
      </c>
      <c r="V643" s="5">
        <f>_xlfn.XLOOKUP(Transactions_RAW_cleaned[[#This Row],[RegionQuarterKey]], Quarterly_Targets_cleaned[RegionQuarterKey], Quarterly_Targets_cleaned[TargetRevenue])</f>
        <v>126500</v>
      </c>
    </row>
    <row r="644" spans="1:22" x14ac:dyDescent="0.25">
      <c r="A644" t="s">
        <v>978</v>
      </c>
      <c r="B644" s="1">
        <v>45405</v>
      </c>
      <c r="C644" t="s">
        <v>189</v>
      </c>
      <c r="D644" t="s">
        <v>306</v>
      </c>
      <c r="E644">
        <v>402.69</v>
      </c>
      <c r="F644" t="s">
        <v>324</v>
      </c>
      <c r="G644" t="s">
        <v>327</v>
      </c>
      <c r="I644" t="s">
        <v>17</v>
      </c>
      <c r="J644" t="s">
        <v>102</v>
      </c>
      <c r="K644" t="s">
        <v>14</v>
      </c>
      <c r="L644" t="s">
        <v>307</v>
      </c>
      <c r="M644" t="s">
        <v>308</v>
      </c>
      <c r="N644">
        <v>0</v>
      </c>
      <c r="O644" t="str">
        <f>IF(Transactions_RAW_cleaned[[#This Row],[Status]]="Completed", IFERROR(_xlfn.XLOOKUP(Transactions_RAW_cleaned[[#This Row],[CustomerID]], Customers_cleaned[CustomerID], Customers_cleaned[Segment]), "Customer Not Found"), "N/A")</f>
        <v>Enterprise</v>
      </c>
      <c r="P644" s="5" t="str">
        <f>IF(Transactions_RAW_cleaned[[#This Row],[Status]]="Refunded", "Refund",
  IF(Transactions_RAW_cleaned[[#This Row],[Category]]="Payments", IF(Transactions_RAW_cleaned[[#This Row],[Amount]]&gt;500,"High Value","Standard"),
    IF(Transactions_RAW_cleaned[[#This Row],[Amount]]&gt;250,"High Value","Standard")))</f>
        <v>High Value</v>
      </c>
      <c r="Q644" s="5" t="str">
        <f>IF(Transactions_RAW_cleaned[[#This Row],[Amount]] &gt; (_xlfn.XLOOKUP(Transactions_RAW_cleaned[[#This Row],[ServiceID]],Services_cleaned[ServiceID],Services_cleaned[TransactionFeePct]) * 10000), "Yes", "No")</f>
        <v>Yes</v>
      </c>
      <c r="R644" s="5" t="str">
        <f>IF(COUNTIFS($C$2:Transactions_RAW_cleaned[[#This Row],[CustomerID]],Transactions_RAW_cleaned[[#This Row],[CustomerID]],$D$2:Transactions_RAW_cleaned[[#This Row],[ServiceID]],Transactions_RAW_cleaned[[#This Row],[ServiceID]])=1,"Yes","No")</f>
        <v>Yes</v>
      </c>
      <c r="S64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44" t="str">
        <f>"Q"&amp;ROUNDUP(MONTH(Transactions_RAW_cleaned[[#This Row],[TransactionDate]])/3,0)</f>
        <v>Q2</v>
      </c>
      <c r="U644" t="str">
        <f>Transactions_RAW_cleaned[[#This Row],[Region ]]&amp;Transactions_RAW_cleaned[[#This Row],[Quarter ]]</f>
        <v>NAQ2</v>
      </c>
      <c r="V644" s="5">
        <f>_xlfn.XLOOKUP(Transactions_RAW_cleaned[[#This Row],[RegionQuarterKey]], Quarterly_Targets_cleaned[RegionQuarterKey], Quarterly_Targets_cleaned[TargetRevenue])</f>
        <v>260000</v>
      </c>
    </row>
    <row r="645" spans="1:22" x14ac:dyDescent="0.25">
      <c r="A645" t="s">
        <v>979</v>
      </c>
      <c r="B645" s="1">
        <v>45643</v>
      </c>
      <c r="C645" t="s">
        <v>185</v>
      </c>
      <c r="D645" t="s">
        <v>300</v>
      </c>
      <c r="E645">
        <v>509.2</v>
      </c>
      <c r="F645" t="s">
        <v>324</v>
      </c>
      <c r="G645" t="s">
        <v>337</v>
      </c>
      <c r="H645" t="s">
        <v>346</v>
      </c>
      <c r="I645" t="s">
        <v>17</v>
      </c>
      <c r="J645" t="s">
        <v>13</v>
      </c>
      <c r="K645" t="s">
        <v>32</v>
      </c>
      <c r="L645" t="s">
        <v>301</v>
      </c>
      <c r="M645" t="s">
        <v>302</v>
      </c>
      <c r="N645">
        <v>5.0000000000000001E-3</v>
      </c>
      <c r="O645" t="str">
        <f>IF(Transactions_RAW_cleaned[[#This Row],[Status]]="Completed", IFERROR(_xlfn.XLOOKUP(Transactions_RAW_cleaned[[#This Row],[CustomerID]], Customers_cleaned[CustomerID], Customers_cleaned[Segment]), "Customer Not Found"), "N/A")</f>
        <v>Enterprise</v>
      </c>
      <c r="P645" s="5" t="str">
        <f>IF(Transactions_RAW_cleaned[[#This Row],[Status]]="Refunded", "Refund",
  IF(Transactions_RAW_cleaned[[#This Row],[Category]]="Payments", IF(Transactions_RAW_cleaned[[#This Row],[Amount]]&gt;500,"High Value","Standard"),
    IF(Transactions_RAW_cleaned[[#This Row],[Amount]]&gt;250,"High Value","Standard")))</f>
        <v>High Value</v>
      </c>
      <c r="Q645" s="5" t="str">
        <f>IF(Transactions_RAW_cleaned[[#This Row],[Amount]] &gt; (_xlfn.XLOOKUP(Transactions_RAW_cleaned[[#This Row],[ServiceID]],Services_cleaned[ServiceID],Services_cleaned[TransactionFeePct]) * 10000), "Yes", "No")</f>
        <v>Yes</v>
      </c>
      <c r="R645" s="5" t="str">
        <f>IF(COUNTIFS($C$2:Transactions_RAW_cleaned[[#This Row],[CustomerID]],Transactions_RAW_cleaned[[#This Row],[CustomerID]],$D$2:Transactions_RAW_cleaned[[#This Row],[ServiceID]],Transactions_RAW_cleaned[[#This Row],[ServiceID]])=1,"Yes","No")</f>
        <v>No</v>
      </c>
      <c r="S64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45" t="str">
        <f>"Q"&amp;ROUNDUP(MONTH(Transactions_RAW_cleaned[[#This Row],[TransactionDate]])/3,0)</f>
        <v>Q4</v>
      </c>
      <c r="U645" t="str">
        <f>Transactions_RAW_cleaned[[#This Row],[Region ]]&amp;Transactions_RAW_cleaned[[#This Row],[Quarter ]]</f>
        <v>NAQ4</v>
      </c>
      <c r="V645" s="5">
        <f>_xlfn.XLOOKUP(Transactions_RAW_cleaned[[#This Row],[RegionQuarterKey]], Quarterly_Targets_cleaned[RegionQuarterKey], Quarterly_Targets_cleaned[TargetRevenue])</f>
        <v>299000</v>
      </c>
    </row>
    <row r="646" spans="1:22" x14ac:dyDescent="0.25">
      <c r="A646" t="s">
        <v>980</v>
      </c>
      <c r="B646" s="1">
        <v>45302</v>
      </c>
      <c r="C646" t="s">
        <v>209</v>
      </c>
      <c r="D646" t="s">
        <v>312</v>
      </c>
      <c r="E646">
        <v>423.53</v>
      </c>
      <c r="F646" t="s">
        <v>324</v>
      </c>
      <c r="G646" t="s">
        <v>327</v>
      </c>
      <c r="I646" t="s">
        <v>17</v>
      </c>
      <c r="J646" t="s">
        <v>102</v>
      </c>
      <c r="K646" t="s">
        <v>22</v>
      </c>
      <c r="L646" t="s">
        <v>313</v>
      </c>
      <c r="M646" t="s">
        <v>314</v>
      </c>
      <c r="N646">
        <v>0</v>
      </c>
      <c r="O646" t="str">
        <f>IF(Transactions_RAW_cleaned[[#This Row],[Status]]="Completed", IFERROR(_xlfn.XLOOKUP(Transactions_RAW_cleaned[[#This Row],[CustomerID]], Customers_cleaned[CustomerID], Customers_cleaned[Segment]), "Customer Not Found"), "N/A")</f>
        <v>Enterprise</v>
      </c>
      <c r="P646" s="5" t="str">
        <f>IF(Transactions_RAW_cleaned[[#This Row],[Status]]="Refunded", "Refund",
  IF(Transactions_RAW_cleaned[[#This Row],[Category]]="Payments", IF(Transactions_RAW_cleaned[[#This Row],[Amount]]&gt;500,"High Value","Standard"),
    IF(Transactions_RAW_cleaned[[#This Row],[Amount]]&gt;250,"High Value","Standard")))</f>
        <v>High Value</v>
      </c>
      <c r="Q646" s="5" t="str">
        <f>IF(Transactions_RAW_cleaned[[#This Row],[Amount]] &gt; (_xlfn.XLOOKUP(Transactions_RAW_cleaned[[#This Row],[ServiceID]],Services_cleaned[ServiceID],Services_cleaned[TransactionFeePct]) * 10000), "Yes", "No")</f>
        <v>Yes</v>
      </c>
      <c r="R646" s="5" t="str">
        <f>IF(COUNTIFS($C$2:Transactions_RAW_cleaned[[#This Row],[CustomerID]],Transactions_RAW_cleaned[[#This Row],[CustomerID]],$D$2:Transactions_RAW_cleaned[[#This Row],[ServiceID]],Transactions_RAW_cleaned[[#This Row],[ServiceID]])=1,"Yes","No")</f>
        <v>No</v>
      </c>
      <c r="S64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46" t="str">
        <f>"Q"&amp;ROUNDUP(MONTH(Transactions_RAW_cleaned[[#This Row],[TransactionDate]])/3,0)</f>
        <v>Q1</v>
      </c>
      <c r="U646" t="str">
        <f>Transactions_RAW_cleaned[[#This Row],[Region ]]&amp;Transactions_RAW_cleaned[[#This Row],[Quarter ]]</f>
        <v>NAQ1</v>
      </c>
      <c r="V646" s="5">
        <f>_xlfn.XLOOKUP(Transactions_RAW_cleaned[[#This Row],[RegionQuarterKey]], Quarterly_Targets_cleaned[RegionQuarterKey], Quarterly_Targets_cleaned[TargetRevenue])</f>
        <v>247000</v>
      </c>
    </row>
    <row r="647" spans="1:22" x14ac:dyDescent="0.25">
      <c r="A647" t="s">
        <v>981</v>
      </c>
      <c r="B647" s="1">
        <v>45502</v>
      </c>
      <c r="C647" t="s">
        <v>233</v>
      </c>
      <c r="D647" t="s">
        <v>315</v>
      </c>
      <c r="E647">
        <v>167.04</v>
      </c>
      <c r="F647" t="s">
        <v>324</v>
      </c>
      <c r="G647" t="s">
        <v>325</v>
      </c>
      <c r="H647" t="s">
        <v>332</v>
      </c>
      <c r="I647" t="s">
        <v>8</v>
      </c>
      <c r="J647" t="s">
        <v>13</v>
      </c>
      <c r="K647" t="s">
        <v>14</v>
      </c>
      <c r="L647" t="s">
        <v>316</v>
      </c>
      <c r="M647" t="s">
        <v>305</v>
      </c>
      <c r="N647">
        <v>2.5000000000000001E-3</v>
      </c>
      <c r="O647" t="str">
        <f>IF(Transactions_RAW_cleaned[[#This Row],[Status]]="Completed", IFERROR(_xlfn.XLOOKUP(Transactions_RAW_cleaned[[#This Row],[CustomerID]], Customers_cleaned[CustomerID], Customers_cleaned[Segment]), "Customer Not Found"), "N/A")</f>
        <v>SMB</v>
      </c>
      <c r="P647" s="5" t="str">
        <f>IF(Transactions_RAW_cleaned[[#This Row],[Status]]="Refunded", "Refund",
  IF(Transactions_RAW_cleaned[[#This Row],[Category]]="Payments", IF(Transactions_RAW_cleaned[[#This Row],[Amount]]&gt;500,"High Value","Standard"),
    IF(Transactions_RAW_cleaned[[#This Row],[Amount]]&gt;250,"High Value","Standard")))</f>
        <v>Standard</v>
      </c>
      <c r="Q647" s="5" t="str">
        <f>IF(Transactions_RAW_cleaned[[#This Row],[Amount]] &gt; (_xlfn.XLOOKUP(Transactions_RAW_cleaned[[#This Row],[ServiceID]],Services_cleaned[ServiceID],Services_cleaned[TransactionFeePct]) * 10000), "Yes", "No")</f>
        <v>Yes</v>
      </c>
      <c r="R647" s="5" t="str">
        <f>IF(COUNTIFS($C$2:Transactions_RAW_cleaned[[#This Row],[CustomerID]],Transactions_RAW_cleaned[[#This Row],[CustomerID]],$D$2:Transactions_RAW_cleaned[[#This Row],[ServiceID]],Transactions_RAW_cleaned[[#This Row],[ServiceID]])=1,"Yes","No")</f>
        <v>No</v>
      </c>
      <c r="S64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47" t="str">
        <f>"Q"&amp;ROUNDUP(MONTH(Transactions_RAW_cleaned[[#This Row],[TransactionDate]])/3,0)</f>
        <v>Q3</v>
      </c>
      <c r="U647" t="str">
        <f>Transactions_RAW_cleaned[[#This Row],[Region ]]&amp;Transactions_RAW_cleaned[[#This Row],[Quarter ]]</f>
        <v>NAQ3</v>
      </c>
      <c r="V647" s="5">
        <f>_xlfn.XLOOKUP(Transactions_RAW_cleaned[[#This Row],[RegionQuarterKey]], Quarterly_Targets_cleaned[RegionQuarterKey], Quarterly_Targets_cleaned[TargetRevenue])</f>
        <v>273000</v>
      </c>
    </row>
    <row r="648" spans="1:22" x14ac:dyDescent="0.25">
      <c r="A648" t="s">
        <v>982</v>
      </c>
      <c r="B648" s="1">
        <v>45518</v>
      </c>
      <c r="C648" t="s">
        <v>205</v>
      </c>
      <c r="D648" t="s">
        <v>300</v>
      </c>
      <c r="E648">
        <v>932.55</v>
      </c>
      <c r="F648" t="s">
        <v>324</v>
      </c>
      <c r="G648" t="s">
        <v>327</v>
      </c>
      <c r="I648" t="s">
        <v>8</v>
      </c>
      <c r="J648" t="s">
        <v>21</v>
      </c>
      <c r="K648" t="s">
        <v>14</v>
      </c>
      <c r="L648" t="s">
        <v>301</v>
      </c>
      <c r="M648" t="s">
        <v>302</v>
      </c>
      <c r="N648">
        <v>5.0000000000000001E-3</v>
      </c>
      <c r="O648" t="str">
        <f>IF(Transactions_RAW_cleaned[[#This Row],[Status]]="Completed", IFERROR(_xlfn.XLOOKUP(Transactions_RAW_cleaned[[#This Row],[CustomerID]], Customers_cleaned[CustomerID], Customers_cleaned[Segment]), "Customer Not Found"), "N/A")</f>
        <v>SMB</v>
      </c>
      <c r="P648" s="5" t="str">
        <f>IF(Transactions_RAW_cleaned[[#This Row],[Status]]="Refunded", "Refund",
  IF(Transactions_RAW_cleaned[[#This Row],[Category]]="Payments", IF(Transactions_RAW_cleaned[[#This Row],[Amount]]&gt;500,"High Value","Standard"),
    IF(Transactions_RAW_cleaned[[#This Row],[Amount]]&gt;250,"High Value","Standard")))</f>
        <v>High Value</v>
      </c>
      <c r="Q648" s="5" t="str">
        <f>IF(Transactions_RAW_cleaned[[#This Row],[Amount]] &gt; (_xlfn.XLOOKUP(Transactions_RAW_cleaned[[#This Row],[ServiceID]],Services_cleaned[ServiceID],Services_cleaned[TransactionFeePct]) * 10000), "Yes", "No")</f>
        <v>Yes</v>
      </c>
      <c r="R648" s="5" t="str">
        <f>IF(COUNTIFS($C$2:Transactions_RAW_cleaned[[#This Row],[CustomerID]],Transactions_RAW_cleaned[[#This Row],[CustomerID]],$D$2:Transactions_RAW_cleaned[[#This Row],[ServiceID]],Transactions_RAW_cleaned[[#This Row],[ServiceID]])=1,"Yes","No")</f>
        <v>Yes</v>
      </c>
      <c r="S64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48" t="str">
        <f>"Q"&amp;ROUNDUP(MONTH(Transactions_RAW_cleaned[[#This Row],[TransactionDate]])/3,0)</f>
        <v>Q3</v>
      </c>
      <c r="U648" t="str">
        <f>Transactions_RAW_cleaned[[#This Row],[Region ]]&amp;Transactions_RAW_cleaned[[#This Row],[Quarter ]]</f>
        <v>APACQ3</v>
      </c>
      <c r="V648" s="5">
        <f>_xlfn.XLOOKUP(Transactions_RAW_cleaned[[#This Row],[RegionQuarterKey]], Quarterly_Targets_cleaned[RegionQuarterKey], Quarterly_Targets_cleaned[TargetRevenue])</f>
        <v>115500</v>
      </c>
    </row>
    <row r="649" spans="1:22" x14ac:dyDescent="0.25">
      <c r="A649" t="s">
        <v>983</v>
      </c>
      <c r="B649" s="1">
        <v>45452</v>
      </c>
      <c r="C649" t="s">
        <v>64</v>
      </c>
      <c r="D649" t="s">
        <v>315</v>
      </c>
      <c r="E649">
        <v>529.38</v>
      </c>
      <c r="F649" t="s">
        <v>324</v>
      </c>
      <c r="G649" t="s">
        <v>325</v>
      </c>
      <c r="H649" t="s">
        <v>346</v>
      </c>
      <c r="I649" t="s">
        <v>8</v>
      </c>
      <c r="J649" t="s">
        <v>37</v>
      </c>
      <c r="K649" t="s">
        <v>28</v>
      </c>
      <c r="L649" t="s">
        <v>316</v>
      </c>
      <c r="M649" t="s">
        <v>305</v>
      </c>
      <c r="N649">
        <v>2.5000000000000001E-3</v>
      </c>
      <c r="O649" t="str">
        <f>IF(Transactions_RAW_cleaned[[#This Row],[Status]]="Completed", IFERROR(_xlfn.XLOOKUP(Transactions_RAW_cleaned[[#This Row],[CustomerID]], Customers_cleaned[CustomerID], Customers_cleaned[Segment]), "Customer Not Found"), "N/A")</f>
        <v>SMB</v>
      </c>
      <c r="P649" s="5" t="str">
        <f>IF(Transactions_RAW_cleaned[[#This Row],[Status]]="Refunded", "Refund",
  IF(Transactions_RAW_cleaned[[#This Row],[Category]]="Payments", IF(Transactions_RAW_cleaned[[#This Row],[Amount]]&gt;500,"High Value","Standard"),
    IF(Transactions_RAW_cleaned[[#This Row],[Amount]]&gt;250,"High Value","Standard")))</f>
        <v>High Value</v>
      </c>
      <c r="Q649" s="5" t="str">
        <f>IF(Transactions_RAW_cleaned[[#This Row],[Amount]] &gt; (_xlfn.XLOOKUP(Transactions_RAW_cleaned[[#This Row],[ServiceID]],Services_cleaned[ServiceID],Services_cleaned[TransactionFeePct]) * 10000), "Yes", "No")</f>
        <v>Yes</v>
      </c>
      <c r="R649" s="5" t="str">
        <f>IF(COUNTIFS($C$2:Transactions_RAW_cleaned[[#This Row],[CustomerID]],Transactions_RAW_cleaned[[#This Row],[CustomerID]],$D$2:Transactions_RAW_cleaned[[#This Row],[ServiceID]],Transactions_RAW_cleaned[[#This Row],[ServiceID]])=1,"Yes","No")</f>
        <v>Yes</v>
      </c>
      <c r="S64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649" t="str">
        <f>"Q"&amp;ROUNDUP(MONTH(Transactions_RAW_cleaned[[#This Row],[TransactionDate]])/3,0)</f>
        <v>Q2</v>
      </c>
      <c r="U649" t="str">
        <f>Transactions_RAW_cleaned[[#This Row],[Region ]]&amp;Transactions_RAW_cleaned[[#This Row],[Quarter ]]</f>
        <v>EMEAQ2</v>
      </c>
      <c r="V649" s="5">
        <f>_xlfn.XLOOKUP(Transactions_RAW_cleaned[[#This Row],[RegionQuarterKey]], Quarterly_Targets_cleaned[RegionQuarterKey], Quarterly_Targets_cleaned[TargetRevenue])</f>
        <v>140000</v>
      </c>
    </row>
    <row r="650" spans="1:22" x14ac:dyDescent="0.25">
      <c r="A650" t="s">
        <v>984</v>
      </c>
      <c r="B650" s="1">
        <v>45616</v>
      </c>
      <c r="C650" t="s">
        <v>19</v>
      </c>
      <c r="D650" t="s">
        <v>294</v>
      </c>
      <c r="E650">
        <v>572.96</v>
      </c>
      <c r="F650" t="s">
        <v>324</v>
      </c>
      <c r="G650" t="s">
        <v>337</v>
      </c>
      <c r="H650" t="s">
        <v>334</v>
      </c>
      <c r="I650" t="s">
        <v>8</v>
      </c>
      <c r="J650" t="s">
        <v>21</v>
      </c>
      <c r="K650" t="s">
        <v>22</v>
      </c>
      <c r="L650" t="s">
        <v>295</v>
      </c>
      <c r="M650" t="s">
        <v>296</v>
      </c>
      <c r="N650">
        <v>2.9000000000000001E-2</v>
      </c>
      <c r="O650" t="str">
        <f>IF(Transactions_RAW_cleaned[[#This Row],[Status]]="Completed", IFERROR(_xlfn.XLOOKUP(Transactions_RAW_cleaned[[#This Row],[CustomerID]], Customers_cleaned[CustomerID], Customers_cleaned[Segment]), "Customer Not Found"), "N/A")</f>
        <v>SMB</v>
      </c>
      <c r="P650" s="5" t="str">
        <f>IF(Transactions_RAW_cleaned[[#This Row],[Status]]="Refunded", "Refund",
  IF(Transactions_RAW_cleaned[[#This Row],[Category]]="Payments", IF(Transactions_RAW_cleaned[[#This Row],[Amount]]&gt;500,"High Value","Standard"),
    IF(Transactions_RAW_cleaned[[#This Row],[Amount]]&gt;250,"High Value","Standard")))</f>
        <v>High Value</v>
      </c>
      <c r="Q650" s="5" t="str">
        <f>IF(Transactions_RAW_cleaned[[#This Row],[Amount]] &gt; (_xlfn.XLOOKUP(Transactions_RAW_cleaned[[#This Row],[ServiceID]],Services_cleaned[ServiceID],Services_cleaned[TransactionFeePct]) * 10000), "Yes", "No")</f>
        <v>Yes</v>
      </c>
      <c r="R650" s="5" t="str">
        <f>IF(COUNTIFS($C$2:Transactions_RAW_cleaned[[#This Row],[CustomerID]],Transactions_RAW_cleaned[[#This Row],[CustomerID]],$D$2:Transactions_RAW_cleaned[[#This Row],[ServiceID]],Transactions_RAW_cleaned[[#This Row],[ServiceID]])=1,"Yes","No")</f>
        <v>Yes</v>
      </c>
      <c r="S65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50" t="str">
        <f>"Q"&amp;ROUNDUP(MONTH(Transactions_RAW_cleaned[[#This Row],[TransactionDate]])/3,0)</f>
        <v>Q4</v>
      </c>
      <c r="U650" t="str">
        <f>Transactions_RAW_cleaned[[#This Row],[Region ]]&amp;Transactions_RAW_cleaned[[#This Row],[Quarter ]]</f>
        <v>APACQ4</v>
      </c>
      <c r="V650" s="5">
        <f>_xlfn.XLOOKUP(Transactions_RAW_cleaned[[#This Row],[RegionQuarterKey]], Quarterly_Targets_cleaned[RegionQuarterKey], Quarterly_Targets_cleaned[TargetRevenue])</f>
        <v>126500</v>
      </c>
    </row>
    <row r="651" spans="1:22" x14ac:dyDescent="0.25">
      <c r="A651" t="s">
        <v>985</v>
      </c>
      <c r="B651" s="1">
        <v>45485</v>
      </c>
      <c r="C651" t="s">
        <v>98</v>
      </c>
      <c r="D651" t="s">
        <v>315</v>
      </c>
      <c r="E651">
        <v>473.69</v>
      </c>
      <c r="F651" t="s">
        <v>324</v>
      </c>
      <c r="G651" t="s">
        <v>329</v>
      </c>
      <c r="H651" t="s">
        <v>334</v>
      </c>
      <c r="I651" t="s">
        <v>8</v>
      </c>
      <c r="J651" t="s">
        <v>37</v>
      </c>
      <c r="K651" t="s">
        <v>18</v>
      </c>
      <c r="L651" t="s">
        <v>316</v>
      </c>
      <c r="M651" t="s">
        <v>305</v>
      </c>
      <c r="N651">
        <v>2.5000000000000001E-3</v>
      </c>
      <c r="O651" t="str">
        <f>IF(Transactions_RAW_cleaned[[#This Row],[Status]]="Completed", IFERROR(_xlfn.XLOOKUP(Transactions_RAW_cleaned[[#This Row],[CustomerID]], Customers_cleaned[CustomerID], Customers_cleaned[Segment]), "Customer Not Found"), "N/A")</f>
        <v>SMB</v>
      </c>
      <c r="P651" s="5" t="str">
        <f>IF(Transactions_RAW_cleaned[[#This Row],[Status]]="Refunded", "Refund",
  IF(Transactions_RAW_cleaned[[#This Row],[Category]]="Payments", IF(Transactions_RAW_cleaned[[#This Row],[Amount]]&gt;500,"High Value","Standard"),
    IF(Transactions_RAW_cleaned[[#This Row],[Amount]]&gt;250,"High Value","Standard")))</f>
        <v>High Value</v>
      </c>
      <c r="Q651" s="5" t="str">
        <f>IF(Transactions_RAW_cleaned[[#This Row],[Amount]] &gt; (_xlfn.XLOOKUP(Transactions_RAW_cleaned[[#This Row],[ServiceID]],Services_cleaned[ServiceID],Services_cleaned[TransactionFeePct]) * 10000), "Yes", "No")</f>
        <v>Yes</v>
      </c>
      <c r="R651" s="5" t="str">
        <f>IF(COUNTIFS($C$2:Transactions_RAW_cleaned[[#This Row],[CustomerID]],Transactions_RAW_cleaned[[#This Row],[CustomerID]],$D$2:Transactions_RAW_cleaned[[#This Row],[ServiceID]],Transactions_RAW_cleaned[[#This Row],[ServiceID]])=1,"Yes","No")</f>
        <v>No</v>
      </c>
      <c r="S65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651" t="str">
        <f>"Q"&amp;ROUNDUP(MONTH(Transactions_RAW_cleaned[[#This Row],[TransactionDate]])/3,0)</f>
        <v>Q3</v>
      </c>
      <c r="U651" t="str">
        <f>Transactions_RAW_cleaned[[#This Row],[Region ]]&amp;Transactions_RAW_cleaned[[#This Row],[Quarter ]]</f>
        <v>EMEAQ3</v>
      </c>
      <c r="V651" s="5">
        <f>_xlfn.XLOOKUP(Transactions_RAW_cleaned[[#This Row],[RegionQuarterKey]], Quarterly_Targets_cleaned[RegionQuarterKey], Quarterly_Targets_cleaned[TargetRevenue])</f>
        <v>147000</v>
      </c>
    </row>
    <row r="652" spans="1:22" x14ac:dyDescent="0.25">
      <c r="A652" t="s">
        <v>986</v>
      </c>
      <c r="B652" s="1">
        <v>45472</v>
      </c>
      <c r="C652" t="s">
        <v>251</v>
      </c>
      <c r="D652" t="s">
        <v>297</v>
      </c>
      <c r="E652">
        <v>410.72</v>
      </c>
      <c r="F652" t="s">
        <v>324</v>
      </c>
      <c r="G652" t="s">
        <v>327</v>
      </c>
      <c r="I652" t="s">
        <v>17</v>
      </c>
      <c r="J652" t="s">
        <v>46</v>
      </c>
      <c r="K652" t="s">
        <v>14</v>
      </c>
      <c r="L652" t="s">
        <v>298</v>
      </c>
      <c r="M652" t="s">
        <v>299</v>
      </c>
      <c r="N652">
        <v>0</v>
      </c>
      <c r="O652" t="str">
        <f>IF(Transactions_RAW_cleaned[[#This Row],[Status]]="Completed", IFERROR(_xlfn.XLOOKUP(Transactions_RAW_cleaned[[#This Row],[CustomerID]], Customers_cleaned[CustomerID], Customers_cleaned[Segment]), "Customer Not Found"), "N/A")</f>
        <v>Enterprise</v>
      </c>
      <c r="P652" s="5" t="str">
        <f>IF(Transactions_RAW_cleaned[[#This Row],[Status]]="Refunded", "Refund",
  IF(Transactions_RAW_cleaned[[#This Row],[Category]]="Payments", IF(Transactions_RAW_cleaned[[#This Row],[Amount]]&gt;500,"High Value","Standard"),
    IF(Transactions_RAW_cleaned[[#This Row],[Amount]]&gt;250,"High Value","Standard")))</f>
        <v>High Value</v>
      </c>
      <c r="Q652" s="5" t="str">
        <f>IF(Transactions_RAW_cleaned[[#This Row],[Amount]] &gt; (_xlfn.XLOOKUP(Transactions_RAW_cleaned[[#This Row],[ServiceID]],Services_cleaned[ServiceID],Services_cleaned[TransactionFeePct]) * 10000), "Yes", "No")</f>
        <v>Yes</v>
      </c>
      <c r="R652" s="5" t="str">
        <f>IF(COUNTIFS($C$2:Transactions_RAW_cleaned[[#This Row],[CustomerID]],Transactions_RAW_cleaned[[#This Row],[CustomerID]],$D$2:Transactions_RAW_cleaned[[#This Row],[ServiceID]],Transactions_RAW_cleaned[[#This Row],[ServiceID]])=1,"Yes","No")</f>
        <v>Yes</v>
      </c>
      <c r="S65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52" t="str">
        <f>"Q"&amp;ROUNDUP(MONTH(Transactions_RAW_cleaned[[#This Row],[TransactionDate]])/3,0)</f>
        <v>Q2</v>
      </c>
      <c r="U652" t="str">
        <f>Transactions_RAW_cleaned[[#This Row],[Region ]]&amp;Transactions_RAW_cleaned[[#This Row],[Quarter ]]</f>
        <v>APACQ2</v>
      </c>
      <c r="V652" s="5">
        <f>_xlfn.XLOOKUP(Transactions_RAW_cleaned[[#This Row],[RegionQuarterKey]], Quarterly_Targets_cleaned[RegionQuarterKey], Quarterly_Targets_cleaned[TargetRevenue])</f>
        <v>110000</v>
      </c>
    </row>
    <row r="653" spans="1:22" x14ac:dyDescent="0.25">
      <c r="A653" t="s">
        <v>987</v>
      </c>
      <c r="B653" s="1">
        <v>45630</v>
      </c>
      <c r="C653" t="s">
        <v>243</v>
      </c>
      <c r="D653" t="s">
        <v>297</v>
      </c>
      <c r="E653">
        <v>111.92</v>
      </c>
      <c r="F653" t="s">
        <v>324</v>
      </c>
      <c r="G653" t="s">
        <v>325</v>
      </c>
      <c r="H653" t="s">
        <v>334</v>
      </c>
      <c r="I653" t="s">
        <v>17</v>
      </c>
      <c r="J653" t="s">
        <v>13</v>
      </c>
      <c r="K653" t="s">
        <v>28</v>
      </c>
      <c r="L653" t="s">
        <v>298</v>
      </c>
      <c r="M653" t="s">
        <v>299</v>
      </c>
      <c r="N653">
        <v>0</v>
      </c>
      <c r="O653" t="str">
        <f>IF(Transactions_RAW_cleaned[[#This Row],[Status]]="Completed", IFERROR(_xlfn.XLOOKUP(Transactions_RAW_cleaned[[#This Row],[CustomerID]], Customers_cleaned[CustomerID], Customers_cleaned[Segment]), "Customer Not Found"), "N/A")</f>
        <v>Enterprise</v>
      </c>
      <c r="P653" s="5" t="str">
        <f>IF(Transactions_RAW_cleaned[[#This Row],[Status]]="Refunded", "Refund",
  IF(Transactions_RAW_cleaned[[#This Row],[Category]]="Payments", IF(Transactions_RAW_cleaned[[#This Row],[Amount]]&gt;500,"High Value","Standard"),
    IF(Transactions_RAW_cleaned[[#This Row],[Amount]]&gt;250,"High Value","Standard")))</f>
        <v>Standard</v>
      </c>
      <c r="Q653" s="5" t="str">
        <f>IF(Transactions_RAW_cleaned[[#This Row],[Amount]] &gt; (_xlfn.XLOOKUP(Transactions_RAW_cleaned[[#This Row],[ServiceID]],Services_cleaned[ServiceID],Services_cleaned[TransactionFeePct]) * 10000), "Yes", "No")</f>
        <v>Yes</v>
      </c>
      <c r="R653" s="5" t="str">
        <f>IF(COUNTIFS($C$2:Transactions_RAW_cleaned[[#This Row],[CustomerID]],Transactions_RAW_cleaned[[#This Row],[CustomerID]],$D$2:Transactions_RAW_cleaned[[#This Row],[ServiceID]],Transactions_RAW_cleaned[[#This Row],[ServiceID]])=1,"Yes","No")</f>
        <v>Yes</v>
      </c>
      <c r="S65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53" t="str">
        <f>"Q"&amp;ROUNDUP(MONTH(Transactions_RAW_cleaned[[#This Row],[TransactionDate]])/3,0)</f>
        <v>Q4</v>
      </c>
      <c r="U653" t="str">
        <f>Transactions_RAW_cleaned[[#This Row],[Region ]]&amp;Transactions_RAW_cleaned[[#This Row],[Quarter ]]</f>
        <v>NAQ4</v>
      </c>
      <c r="V653" s="5">
        <f>_xlfn.XLOOKUP(Transactions_RAW_cleaned[[#This Row],[RegionQuarterKey]], Quarterly_Targets_cleaned[RegionQuarterKey], Quarterly_Targets_cleaned[TargetRevenue])</f>
        <v>299000</v>
      </c>
    </row>
    <row r="654" spans="1:22" x14ac:dyDescent="0.25">
      <c r="A654" t="s">
        <v>988</v>
      </c>
      <c r="B654" s="1">
        <v>45545</v>
      </c>
      <c r="C654" t="s">
        <v>183</v>
      </c>
      <c r="D654" t="s">
        <v>306</v>
      </c>
      <c r="E654">
        <v>187.13</v>
      </c>
      <c r="F654" t="s">
        <v>324</v>
      </c>
      <c r="G654" t="s">
        <v>327</v>
      </c>
      <c r="H654" t="s">
        <v>332</v>
      </c>
      <c r="I654" t="s">
        <v>8</v>
      </c>
      <c r="J654" t="s">
        <v>13</v>
      </c>
      <c r="K654" t="s">
        <v>10</v>
      </c>
      <c r="L654" t="s">
        <v>307</v>
      </c>
      <c r="M654" t="s">
        <v>308</v>
      </c>
      <c r="N654">
        <v>0</v>
      </c>
      <c r="O654" t="str">
        <f>IF(Transactions_RAW_cleaned[[#This Row],[Status]]="Completed", IFERROR(_xlfn.XLOOKUP(Transactions_RAW_cleaned[[#This Row],[CustomerID]], Customers_cleaned[CustomerID], Customers_cleaned[Segment]), "Customer Not Found"), "N/A")</f>
        <v>SMB</v>
      </c>
      <c r="P654" s="5" t="str">
        <f>IF(Transactions_RAW_cleaned[[#This Row],[Status]]="Refunded", "Refund",
  IF(Transactions_RAW_cleaned[[#This Row],[Category]]="Payments", IF(Transactions_RAW_cleaned[[#This Row],[Amount]]&gt;500,"High Value","Standard"),
    IF(Transactions_RAW_cleaned[[#This Row],[Amount]]&gt;250,"High Value","Standard")))</f>
        <v>Standard</v>
      </c>
      <c r="Q654" s="5" t="str">
        <f>IF(Transactions_RAW_cleaned[[#This Row],[Amount]] &gt; (_xlfn.XLOOKUP(Transactions_RAW_cleaned[[#This Row],[ServiceID]],Services_cleaned[ServiceID],Services_cleaned[TransactionFeePct]) * 10000), "Yes", "No")</f>
        <v>Yes</v>
      </c>
      <c r="R654" s="5" t="str">
        <f>IF(COUNTIFS($C$2:Transactions_RAW_cleaned[[#This Row],[CustomerID]],Transactions_RAW_cleaned[[#This Row],[CustomerID]],$D$2:Transactions_RAW_cleaned[[#This Row],[ServiceID]],Transactions_RAW_cleaned[[#This Row],[ServiceID]])=1,"Yes","No")</f>
        <v>No</v>
      </c>
      <c r="S65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54" t="str">
        <f>"Q"&amp;ROUNDUP(MONTH(Transactions_RAW_cleaned[[#This Row],[TransactionDate]])/3,0)</f>
        <v>Q3</v>
      </c>
      <c r="U654" t="str">
        <f>Transactions_RAW_cleaned[[#This Row],[Region ]]&amp;Transactions_RAW_cleaned[[#This Row],[Quarter ]]</f>
        <v>NAQ3</v>
      </c>
      <c r="V654" s="5">
        <f>_xlfn.XLOOKUP(Transactions_RAW_cleaned[[#This Row],[RegionQuarterKey]], Quarterly_Targets_cleaned[RegionQuarterKey], Quarterly_Targets_cleaned[TargetRevenue])</f>
        <v>273000</v>
      </c>
    </row>
    <row r="655" spans="1:22" x14ac:dyDescent="0.25">
      <c r="A655" t="s">
        <v>989</v>
      </c>
      <c r="B655" s="1">
        <v>45536</v>
      </c>
      <c r="C655" t="s">
        <v>117</v>
      </c>
      <c r="D655" t="s">
        <v>306</v>
      </c>
      <c r="E655">
        <v>457.5</v>
      </c>
      <c r="F655" t="s">
        <v>324</v>
      </c>
      <c r="G655" t="s">
        <v>327</v>
      </c>
      <c r="H655" t="s">
        <v>334</v>
      </c>
      <c r="I655" t="s">
        <v>8</v>
      </c>
      <c r="J655" t="s">
        <v>102</v>
      </c>
      <c r="K655" t="s">
        <v>14</v>
      </c>
      <c r="L655" t="s">
        <v>307</v>
      </c>
      <c r="M655" t="s">
        <v>308</v>
      </c>
      <c r="N655">
        <v>0</v>
      </c>
      <c r="O655" t="str">
        <f>IF(Transactions_RAW_cleaned[[#This Row],[Status]]="Completed", IFERROR(_xlfn.XLOOKUP(Transactions_RAW_cleaned[[#This Row],[CustomerID]], Customers_cleaned[CustomerID], Customers_cleaned[Segment]), "Customer Not Found"), "N/A")</f>
        <v>SMB</v>
      </c>
      <c r="P655" s="5" t="str">
        <f>IF(Transactions_RAW_cleaned[[#This Row],[Status]]="Refunded", "Refund",
  IF(Transactions_RAW_cleaned[[#This Row],[Category]]="Payments", IF(Transactions_RAW_cleaned[[#This Row],[Amount]]&gt;500,"High Value","Standard"),
    IF(Transactions_RAW_cleaned[[#This Row],[Amount]]&gt;250,"High Value","Standard")))</f>
        <v>High Value</v>
      </c>
      <c r="Q655" s="5" t="str">
        <f>IF(Transactions_RAW_cleaned[[#This Row],[Amount]] &gt; (_xlfn.XLOOKUP(Transactions_RAW_cleaned[[#This Row],[ServiceID]],Services_cleaned[ServiceID],Services_cleaned[TransactionFeePct]) * 10000), "Yes", "No")</f>
        <v>Yes</v>
      </c>
      <c r="R655" s="5" t="str">
        <f>IF(COUNTIFS($C$2:Transactions_RAW_cleaned[[#This Row],[CustomerID]],Transactions_RAW_cleaned[[#This Row],[CustomerID]],$D$2:Transactions_RAW_cleaned[[#This Row],[ServiceID]],Transactions_RAW_cleaned[[#This Row],[ServiceID]])=1,"Yes","No")</f>
        <v>Yes</v>
      </c>
      <c r="S65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55" t="str">
        <f>"Q"&amp;ROUNDUP(MONTH(Transactions_RAW_cleaned[[#This Row],[TransactionDate]])/3,0)</f>
        <v>Q3</v>
      </c>
      <c r="U655" t="str">
        <f>Transactions_RAW_cleaned[[#This Row],[Region ]]&amp;Transactions_RAW_cleaned[[#This Row],[Quarter ]]</f>
        <v>NAQ3</v>
      </c>
      <c r="V655" s="5">
        <f>_xlfn.XLOOKUP(Transactions_RAW_cleaned[[#This Row],[RegionQuarterKey]], Quarterly_Targets_cleaned[RegionQuarterKey], Quarterly_Targets_cleaned[TargetRevenue])</f>
        <v>273000</v>
      </c>
    </row>
    <row r="656" spans="1:22" x14ac:dyDescent="0.25">
      <c r="A656" t="s">
        <v>990</v>
      </c>
      <c r="B656" s="1">
        <v>45633</v>
      </c>
      <c r="C656" t="s">
        <v>185</v>
      </c>
      <c r="D656" t="s">
        <v>300</v>
      </c>
      <c r="E656">
        <v>263.89</v>
      </c>
      <c r="F656" t="s">
        <v>324</v>
      </c>
      <c r="G656" t="s">
        <v>327</v>
      </c>
      <c r="I656" t="s">
        <v>17</v>
      </c>
      <c r="J656" t="s">
        <v>13</v>
      </c>
      <c r="K656" t="s">
        <v>32</v>
      </c>
      <c r="L656" t="s">
        <v>301</v>
      </c>
      <c r="M656" t="s">
        <v>302</v>
      </c>
      <c r="N656">
        <v>5.0000000000000001E-3</v>
      </c>
      <c r="O656" t="str">
        <f>IF(Transactions_RAW_cleaned[[#This Row],[Status]]="Completed", IFERROR(_xlfn.XLOOKUP(Transactions_RAW_cleaned[[#This Row],[CustomerID]], Customers_cleaned[CustomerID], Customers_cleaned[Segment]), "Customer Not Found"), "N/A")</f>
        <v>Enterprise</v>
      </c>
      <c r="P656" s="5" t="str">
        <f>IF(Transactions_RAW_cleaned[[#This Row],[Status]]="Refunded", "Refund",
  IF(Transactions_RAW_cleaned[[#This Row],[Category]]="Payments", IF(Transactions_RAW_cleaned[[#This Row],[Amount]]&gt;500,"High Value","Standard"),
    IF(Transactions_RAW_cleaned[[#This Row],[Amount]]&gt;250,"High Value","Standard")))</f>
        <v>High Value</v>
      </c>
      <c r="Q656" s="5" t="str">
        <f>IF(Transactions_RAW_cleaned[[#This Row],[Amount]] &gt; (_xlfn.XLOOKUP(Transactions_RAW_cleaned[[#This Row],[ServiceID]],Services_cleaned[ServiceID],Services_cleaned[TransactionFeePct]) * 10000), "Yes", "No")</f>
        <v>Yes</v>
      </c>
      <c r="R656" s="5" t="str">
        <f>IF(COUNTIFS($C$2:Transactions_RAW_cleaned[[#This Row],[CustomerID]],Transactions_RAW_cleaned[[#This Row],[CustomerID]],$D$2:Transactions_RAW_cleaned[[#This Row],[ServiceID]],Transactions_RAW_cleaned[[#This Row],[ServiceID]])=1,"Yes","No")</f>
        <v>No</v>
      </c>
      <c r="S65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56" t="str">
        <f>"Q"&amp;ROUNDUP(MONTH(Transactions_RAW_cleaned[[#This Row],[TransactionDate]])/3,0)</f>
        <v>Q4</v>
      </c>
      <c r="U656" t="str">
        <f>Transactions_RAW_cleaned[[#This Row],[Region ]]&amp;Transactions_RAW_cleaned[[#This Row],[Quarter ]]</f>
        <v>NAQ4</v>
      </c>
      <c r="V656" s="5">
        <f>_xlfn.XLOOKUP(Transactions_RAW_cleaned[[#This Row],[RegionQuarterKey]], Quarterly_Targets_cleaned[RegionQuarterKey], Quarterly_Targets_cleaned[TargetRevenue])</f>
        <v>299000</v>
      </c>
    </row>
    <row r="657" spans="1:22" x14ac:dyDescent="0.25">
      <c r="A657" t="s">
        <v>991</v>
      </c>
      <c r="B657" s="1">
        <v>45383</v>
      </c>
      <c r="C657" t="s">
        <v>183</v>
      </c>
      <c r="D657" t="s">
        <v>312</v>
      </c>
      <c r="E657">
        <v>768.8</v>
      </c>
      <c r="F657" t="s">
        <v>324</v>
      </c>
      <c r="G657" t="s">
        <v>325</v>
      </c>
      <c r="I657" t="s">
        <v>8</v>
      </c>
      <c r="J657" t="s">
        <v>13</v>
      </c>
      <c r="K657" t="s">
        <v>10</v>
      </c>
      <c r="L657" t="s">
        <v>313</v>
      </c>
      <c r="M657" t="s">
        <v>314</v>
      </c>
      <c r="N657">
        <v>0</v>
      </c>
      <c r="O657" t="str">
        <f>IF(Transactions_RAW_cleaned[[#This Row],[Status]]="Completed", IFERROR(_xlfn.XLOOKUP(Transactions_RAW_cleaned[[#This Row],[CustomerID]], Customers_cleaned[CustomerID], Customers_cleaned[Segment]), "Customer Not Found"), "N/A")</f>
        <v>SMB</v>
      </c>
      <c r="P657" s="5" t="str">
        <f>IF(Transactions_RAW_cleaned[[#This Row],[Status]]="Refunded", "Refund",
  IF(Transactions_RAW_cleaned[[#This Row],[Category]]="Payments", IF(Transactions_RAW_cleaned[[#This Row],[Amount]]&gt;500,"High Value","Standard"),
    IF(Transactions_RAW_cleaned[[#This Row],[Amount]]&gt;250,"High Value","Standard")))</f>
        <v>High Value</v>
      </c>
      <c r="Q657" s="5" t="str">
        <f>IF(Transactions_RAW_cleaned[[#This Row],[Amount]] &gt; (_xlfn.XLOOKUP(Transactions_RAW_cleaned[[#This Row],[ServiceID]],Services_cleaned[ServiceID],Services_cleaned[TransactionFeePct]) * 10000), "Yes", "No")</f>
        <v>Yes</v>
      </c>
      <c r="R657" s="5" t="str">
        <f>IF(COUNTIFS($C$2:Transactions_RAW_cleaned[[#This Row],[CustomerID]],Transactions_RAW_cleaned[[#This Row],[CustomerID]],$D$2:Transactions_RAW_cleaned[[#This Row],[ServiceID]],Transactions_RAW_cleaned[[#This Row],[ServiceID]])=1,"Yes","No")</f>
        <v>No</v>
      </c>
      <c r="S65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57" t="str">
        <f>"Q"&amp;ROUNDUP(MONTH(Transactions_RAW_cleaned[[#This Row],[TransactionDate]])/3,0)</f>
        <v>Q2</v>
      </c>
      <c r="U657" t="str">
        <f>Transactions_RAW_cleaned[[#This Row],[Region ]]&amp;Transactions_RAW_cleaned[[#This Row],[Quarter ]]</f>
        <v>NAQ2</v>
      </c>
      <c r="V657" s="5">
        <f>_xlfn.XLOOKUP(Transactions_RAW_cleaned[[#This Row],[RegionQuarterKey]], Quarterly_Targets_cleaned[RegionQuarterKey], Quarterly_Targets_cleaned[TargetRevenue])</f>
        <v>260000</v>
      </c>
    </row>
    <row r="658" spans="1:22" x14ac:dyDescent="0.25">
      <c r="A658" t="s">
        <v>992</v>
      </c>
      <c r="B658" s="1">
        <v>45525</v>
      </c>
      <c r="C658" t="s">
        <v>189</v>
      </c>
      <c r="D658" t="s">
        <v>315</v>
      </c>
      <c r="E658">
        <v>749.51</v>
      </c>
      <c r="F658" t="s">
        <v>324</v>
      </c>
      <c r="G658" t="s">
        <v>327</v>
      </c>
      <c r="H658" t="s">
        <v>332</v>
      </c>
      <c r="I658" t="s">
        <v>17</v>
      </c>
      <c r="J658" t="s">
        <v>102</v>
      </c>
      <c r="K658" t="s">
        <v>14</v>
      </c>
      <c r="L658" t="s">
        <v>316</v>
      </c>
      <c r="M658" t="s">
        <v>305</v>
      </c>
      <c r="N658">
        <v>2.5000000000000001E-3</v>
      </c>
      <c r="O658" t="str">
        <f>IF(Transactions_RAW_cleaned[[#This Row],[Status]]="Completed", IFERROR(_xlfn.XLOOKUP(Transactions_RAW_cleaned[[#This Row],[CustomerID]], Customers_cleaned[CustomerID], Customers_cleaned[Segment]), "Customer Not Found"), "N/A")</f>
        <v>Enterprise</v>
      </c>
      <c r="P658" s="5" t="str">
        <f>IF(Transactions_RAW_cleaned[[#This Row],[Status]]="Refunded", "Refund",
  IF(Transactions_RAW_cleaned[[#This Row],[Category]]="Payments", IF(Transactions_RAW_cleaned[[#This Row],[Amount]]&gt;500,"High Value","Standard"),
    IF(Transactions_RAW_cleaned[[#This Row],[Amount]]&gt;250,"High Value","Standard")))</f>
        <v>High Value</v>
      </c>
      <c r="Q658" s="5" t="str">
        <f>IF(Transactions_RAW_cleaned[[#This Row],[Amount]] &gt; (_xlfn.XLOOKUP(Transactions_RAW_cleaned[[#This Row],[ServiceID]],Services_cleaned[ServiceID],Services_cleaned[TransactionFeePct]) * 10000), "Yes", "No")</f>
        <v>Yes</v>
      </c>
      <c r="R658" s="5" t="str">
        <f>IF(COUNTIFS($C$2:Transactions_RAW_cleaned[[#This Row],[CustomerID]],Transactions_RAW_cleaned[[#This Row],[CustomerID]],$D$2:Transactions_RAW_cleaned[[#This Row],[ServiceID]],Transactions_RAW_cleaned[[#This Row],[ServiceID]])=1,"Yes","No")</f>
        <v>No</v>
      </c>
      <c r="S65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58" t="str">
        <f>"Q"&amp;ROUNDUP(MONTH(Transactions_RAW_cleaned[[#This Row],[TransactionDate]])/3,0)</f>
        <v>Q3</v>
      </c>
      <c r="U658" t="str">
        <f>Transactions_RAW_cleaned[[#This Row],[Region ]]&amp;Transactions_RAW_cleaned[[#This Row],[Quarter ]]</f>
        <v>NAQ3</v>
      </c>
      <c r="V658" s="5">
        <f>_xlfn.XLOOKUP(Transactions_RAW_cleaned[[#This Row],[RegionQuarterKey]], Quarterly_Targets_cleaned[RegionQuarterKey], Quarterly_Targets_cleaned[TargetRevenue])</f>
        <v>273000</v>
      </c>
    </row>
    <row r="659" spans="1:22" x14ac:dyDescent="0.25">
      <c r="A659" t="s">
        <v>993</v>
      </c>
      <c r="B659" s="1">
        <v>45463</v>
      </c>
      <c r="C659" t="s">
        <v>33</v>
      </c>
      <c r="D659" t="s">
        <v>303</v>
      </c>
      <c r="E659">
        <v>110.62</v>
      </c>
      <c r="F659" t="s">
        <v>324</v>
      </c>
      <c r="G659" t="s">
        <v>325</v>
      </c>
      <c r="H659" t="s">
        <v>332</v>
      </c>
      <c r="I659" t="s">
        <v>17</v>
      </c>
      <c r="J659" t="s">
        <v>31</v>
      </c>
      <c r="K659" t="s">
        <v>14</v>
      </c>
      <c r="L659" t="s">
        <v>304</v>
      </c>
      <c r="M659" t="s">
        <v>305</v>
      </c>
      <c r="N659">
        <v>1E-3</v>
      </c>
      <c r="O659" t="str">
        <f>IF(Transactions_RAW_cleaned[[#This Row],[Status]]="Completed", IFERROR(_xlfn.XLOOKUP(Transactions_RAW_cleaned[[#This Row],[CustomerID]], Customers_cleaned[CustomerID], Customers_cleaned[Segment]), "Customer Not Found"), "N/A")</f>
        <v>Enterprise</v>
      </c>
      <c r="P659" s="5" t="str">
        <f>IF(Transactions_RAW_cleaned[[#This Row],[Status]]="Refunded", "Refund",
  IF(Transactions_RAW_cleaned[[#This Row],[Category]]="Payments", IF(Transactions_RAW_cleaned[[#This Row],[Amount]]&gt;500,"High Value","Standard"),
    IF(Transactions_RAW_cleaned[[#This Row],[Amount]]&gt;250,"High Value","Standard")))</f>
        <v>Standard</v>
      </c>
      <c r="Q659" s="5" t="str">
        <f>IF(Transactions_RAW_cleaned[[#This Row],[Amount]] &gt; (_xlfn.XLOOKUP(Transactions_RAW_cleaned[[#This Row],[ServiceID]],Services_cleaned[ServiceID],Services_cleaned[TransactionFeePct]) * 10000), "Yes", "No")</f>
        <v>Yes</v>
      </c>
      <c r="R659" s="5" t="str">
        <f>IF(COUNTIFS($C$2:Transactions_RAW_cleaned[[#This Row],[CustomerID]],Transactions_RAW_cleaned[[#This Row],[CustomerID]],$D$2:Transactions_RAW_cleaned[[#This Row],[ServiceID]],Transactions_RAW_cleaned[[#This Row],[ServiceID]])=1,"Yes","No")</f>
        <v>Yes</v>
      </c>
      <c r="S65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659" t="str">
        <f>"Q"&amp;ROUNDUP(MONTH(Transactions_RAW_cleaned[[#This Row],[TransactionDate]])/3,0)</f>
        <v>Q2</v>
      </c>
      <c r="U659" t="str">
        <f>Transactions_RAW_cleaned[[#This Row],[Region ]]&amp;Transactions_RAW_cleaned[[#This Row],[Quarter ]]</f>
        <v>EMEAQ2</v>
      </c>
      <c r="V659" s="5">
        <f>_xlfn.XLOOKUP(Transactions_RAW_cleaned[[#This Row],[RegionQuarterKey]], Quarterly_Targets_cleaned[RegionQuarterKey], Quarterly_Targets_cleaned[TargetRevenue])</f>
        <v>140000</v>
      </c>
    </row>
    <row r="660" spans="1:22" x14ac:dyDescent="0.25">
      <c r="A660" t="s">
        <v>994</v>
      </c>
      <c r="B660" s="1">
        <v>45370</v>
      </c>
      <c r="C660" t="s">
        <v>15</v>
      </c>
      <c r="D660" t="s">
        <v>306</v>
      </c>
      <c r="E660">
        <v>569</v>
      </c>
      <c r="F660" t="s">
        <v>324</v>
      </c>
      <c r="G660" t="s">
        <v>329</v>
      </c>
      <c r="H660" t="s">
        <v>334</v>
      </c>
      <c r="I660" t="s">
        <v>17</v>
      </c>
      <c r="J660" t="s">
        <v>102</v>
      </c>
      <c r="K660" t="s">
        <v>18</v>
      </c>
      <c r="L660" t="s">
        <v>307</v>
      </c>
      <c r="M660" t="s">
        <v>308</v>
      </c>
      <c r="N660">
        <v>0</v>
      </c>
      <c r="O660" t="str">
        <f>IF(Transactions_RAW_cleaned[[#This Row],[Status]]="Completed", IFERROR(_xlfn.XLOOKUP(Transactions_RAW_cleaned[[#This Row],[CustomerID]], Customers_cleaned[CustomerID], Customers_cleaned[Segment]), "Customer Not Found"), "N/A")</f>
        <v>Enterprise</v>
      </c>
      <c r="P660" s="5" t="str">
        <f>IF(Transactions_RAW_cleaned[[#This Row],[Status]]="Refunded", "Refund",
  IF(Transactions_RAW_cleaned[[#This Row],[Category]]="Payments", IF(Transactions_RAW_cleaned[[#This Row],[Amount]]&gt;500,"High Value","Standard"),
    IF(Transactions_RAW_cleaned[[#This Row],[Amount]]&gt;250,"High Value","Standard")))</f>
        <v>High Value</v>
      </c>
      <c r="Q660" s="5" t="str">
        <f>IF(Transactions_RAW_cleaned[[#This Row],[Amount]] &gt; (_xlfn.XLOOKUP(Transactions_RAW_cleaned[[#This Row],[ServiceID]],Services_cleaned[ServiceID],Services_cleaned[TransactionFeePct]) * 10000), "Yes", "No")</f>
        <v>Yes</v>
      </c>
      <c r="R660" s="5" t="str">
        <f>IF(COUNTIFS($C$2:Transactions_RAW_cleaned[[#This Row],[CustomerID]],Transactions_RAW_cleaned[[#This Row],[CustomerID]],$D$2:Transactions_RAW_cleaned[[#This Row],[ServiceID]],Transactions_RAW_cleaned[[#This Row],[ServiceID]])=1,"Yes","No")</f>
        <v>Yes</v>
      </c>
      <c r="S66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60" t="str">
        <f>"Q"&amp;ROUNDUP(MONTH(Transactions_RAW_cleaned[[#This Row],[TransactionDate]])/3,0)</f>
        <v>Q1</v>
      </c>
      <c r="U660" t="str">
        <f>Transactions_RAW_cleaned[[#This Row],[Region ]]&amp;Transactions_RAW_cleaned[[#This Row],[Quarter ]]</f>
        <v>NAQ1</v>
      </c>
      <c r="V660" s="5">
        <f>_xlfn.XLOOKUP(Transactions_RAW_cleaned[[#This Row],[RegionQuarterKey]], Quarterly_Targets_cleaned[RegionQuarterKey], Quarterly_Targets_cleaned[TargetRevenue])</f>
        <v>247000</v>
      </c>
    </row>
    <row r="661" spans="1:22" x14ac:dyDescent="0.25">
      <c r="A661" t="s">
        <v>995</v>
      </c>
      <c r="B661" s="1">
        <v>45320</v>
      </c>
      <c r="C661" t="s">
        <v>143</v>
      </c>
      <c r="D661" t="s">
        <v>294</v>
      </c>
      <c r="E661">
        <v>174.99</v>
      </c>
      <c r="F661" t="s">
        <v>324</v>
      </c>
      <c r="G661" t="s">
        <v>327</v>
      </c>
      <c r="H661" t="s">
        <v>346</v>
      </c>
      <c r="I661" t="s">
        <v>8</v>
      </c>
      <c r="J661" t="s">
        <v>102</v>
      </c>
      <c r="K661" t="s">
        <v>22</v>
      </c>
      <c r="L661" t="s">
        <v>295</v>
      </c>
      <c r="M661" t="s">
        <v>296</v>
      </c>
      <c r="N661">
        <v>2.9000000000000001E-2</v>
      </c>
      <c r="O661" t="str">
        <f>IF(Transactions_RAW_cleaned[[#This Row],[Status]]="Completed", IFERROR(_xlfn.XLOOKUP(Transactions_RAW_cleaned[[#This Row],[CustomerID]], Customers_cleaned[CustomerID], Customers_cleaned[Segment]), "Customer Not Found"), "N/A")</f>
        <v>SMB</v>
      </c>
      <c r="P661" s="5" t="str">
        <f>IF(Transactions_RAW_cleaned[[#This Row],[Status]]="Refunded", "Refund",
  IF(Transactions_RAW_cleaned[[#This Row],[Category]]="Payments", IF(Transactions_RAW_cleaned[[#This Row],[Amount]]&gt;500,"High Value","Standard"),
    IF(Transactions_RAW_cleaned[[#This Row],[Amount]]&gt;250,"High Value","Standard")))</f>
        <v>Standard</v>
      </c>
      <c r="Q661" s="5" t="str">
        <f>IF(Transactions_RAW_cleaned[[#This Row],[Amount]] &gt; (_xlfn.XLOOKUP(Transactions_RAW_cleaned[[#This Row],[ServiceID]],Services_cleaned[ServiceID],Services_cleaned[TransactionFeePct]) * 10000), "Yes", "No")</f>
        <v>No</v>
      </c>
      <c r="R661" s="5" t="str">
        <f>IF(COUNTIFS($C$2:Transactions_RAW_cleaned[[#This Row],[CustomerID]],Transactions_RAW_cleaned[[#This Row],[CustomerID]],$D$2:Transactions_RAW_cleaned[[#This Row],[ServiceID]],Transactions_RAW_cleaned[[#This Row],[ServiceID]])=1,"Yes","No")</f>
        <v>No</v>
      </c>
      <c r="S66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61" t="str">
        <f>"Q"&amp;ROUNDUP(MONTH(Transactions_RAW_cleaned[[#This Row],[TransactionDate]])/3,0)</f>
        <v>Q1</v>
      </c>
      <c r="U661" t="str">
        <f>Transactions_RAW_cleaned[[#This Row],[Region ]]&amp;Transactions_RAW_cleaned[[#This Row],[Quarter ]]</f>
        <v>NAQ1</v>
      </c>
      <c r="V661" s="5">
        <f>_xlfn.XLOOKUP(Transactions_RAW_cleaned[[#This Row],[RegionQuarterKey]], Quarterly_Targets_cleaned[RegionQuarterKey], Quarterly_Targets_cleaned[TargetRevenue])</f>
        <v>247000</v>
      </c>
    </row>
    <row r="662" spans="1:22" x14ac:dyDescent="0.25">
      <c r="A662" t="s">
        <v>996</v>
      </c>
      <c r="B662" s="1">
        <v>45465</v>
      </c>
      <c r="C662" t="s">
        <v>181</v>
      </c>
      <c r="D662" t="s">
        <v>297</v>
      </c>
      <c r="E662">
        <v>145.43</v>
      </c>
      <c r="F662" t="s">
        <v>324</v>
      </c>
      <c r="G662" t="s">
        <v>2963</v>
      </c>
      <c r="I662" t="s">
        <v>17</v>
      </c>
      <c r="J662" t="s">
        <v>21</v>
      </c>
      <c r="K662" t="s">
        <v>10</v>
      </c>
      <c r="L662" t="s">
        <v>298</v>
      </c>
      <c r="M662" t="s">
        <v>299</v>
      </c>
      <c r="N662">
        <v>0</v>
      </c>
      <c r="O662" t="str">
        <f>IF(Transactions_RAW_cleaned[[#This Row],[Status]]="Completed", IFERROR(_xlfn.XLOOKUP(Transactions_RAW_cleaned[[#This Row],[CustomerID]], Customers_cleaned[CustomerID], Customers_cleaned[Segment]), "Customer Not Found"), "N/A")</f>
        <v>Enterprise</v>
      </c>
      <c r="P662" s="5" t="str">
        <f>IF(Transactions_RAW_cleaned[[#This Row],[Status]]="Refunded", "Refund",
  IF(Transactions_RAW_cleaned[[#This Row],[Category]]="Payments", IF(Transactions_RAW_cleaned[[#This Row],[Amount]]&gt;500,"High Value","Standard"),
    IF(Transactions_RAW_cleaned[[#This Row],[Amount]]&gt;250,"High Value","Standard")))</f>
        <v>Standard</v>
      </c>
      <c r="Q662" s="5" t="str">
        <f>IF(Transactions_RAW_cleaned[[#This Row],[Amount]] &gt; (_xlfn.XLOOKUP(Transactions_RAW_cleaned[[#This Row],[ServiceID]],Services_cleaned[ServiceID],Services_cleaned[TransactionFeePct]) * 10000), "Yes", "No")</f>
        <v>Yes</v>
      </c>
      <c r="R662" s="5" t="str">
        <f>IF(COUNTIFS($C$2:Transactions_RAW_cleaned[[#This Row],[CustomerID]],Transactions_RAW_cleaned[[#This Row],[CustomerID]],$D$2:Transactions_RAW_cleaned[[#This Row],[ServiceID]],Transactions_RAW_cleaned[[#This Row],[ServiceID]])=1,"Yes","No")</f>
        <v>No</v>
      </c>
      <c r="S66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62" t="str">
        <f>"Q"&amp;ROUNDUP(MONTH(Transactions_RAW_cleaned[[#This Row],[TransactionDate]])/3,0)</f>
        <v>Q2</v>
      </c>
      <c r="U662" t="str">
        <f>Transactions_RAW_cleaned[[#This Row],[Region ]]&amp;Transactions_RAW_cleaned[[#This Row],[Quarter ]]</f>
        <v>APACQ2</v>
      </c>
      <c r="V662" s="5">
        <f>_xlfn.XLOOKUP(Transactions_RAW_cleaned[[#This Row],[RegionQuarterKey]], Quarterly_Targets_cleaned[RegionQuarterKey], Quarterly_Targets_cleaned[TargetRevenue])</f>
        <v>110000</v>
      </c>
    </row>
    <row r="663" spans="1:22" x14ac:dyDescent="0.25">
      <c r="A663" t="s">
        <v>997</v>
      </c>
      <c r="B663" s="1">
        <v>45482</v>
      </c>
      <c r="C663" t="s">
        <v>88</v>
      </c>
      <c r="D663" t="s">
        <v>294</v>
      </c>
      <c r="E663">
        <v>185.92</v>
      </c>
      <c r="F663" t="s">
        <v>324</v>
      </c>
      <c r="G663" t="s">
        <v>325</v>
      </c>
      <c r="I663" t="s">
        <v>8</v>
      </c>
      <c r="J663" t="s">
        <v>102</v>
      </c>
      <c r="K663" t="s">
        <v>18</v>
      </c>
      <c r="L663" t="s">
        <v>295</v>
      </c>
      <c r="M663" t="s">
        <v>296</v>
      </c>
      <c r="N663">
        <v>2.9000000000000001E-2</v>
      </c>
      <c r="O663" t="str">
        <f>IF(Transactions_RAW_cleaned[[#This Row],[Status]]="Completed", IFERROR(_xlfn.XLOOKUP(Transactions_RAW_cleaned[[#This Row],[CustomerID]], Customers_cleaned[CustomerID], Customers_cleaned[Segment]), "Customer Not Found"), "N/A")</f>
        <v>SMB</v>
      </c>
      <c r="P663" s="5" t="str">
        <f>IF(Transactions_RAW_cleaned[[#This Row],[Status]]="Refunded", "Refund",
  IF(Transactions_RAW_cleaned[[#This Row],[Category]]="Payments", IF(Transactions_RAW_cleaned[[#This Row],[Amount]]&gt;500,"High Value","Standard"),
    IF(Transactions_RAW_cleaned[[#This Row],[Amount]]&gt;250,"High Value","Standard")))</f>
        <v>Standard</v>
      </c>
      <c r="Q663" s="5" t="str">
        <f>IF(Transactions_RAW_cleaned[[#This Row],[Amount]] &gt; (_xlfn.XLOOKUP(Transactions_RAW_cleaned[[#This Row],[ServiceID]],Services_cleaned[ServiceID],Services_cleaned[TransactionFeePct]) * 10000), "Yes", "No")</f>
        <v>No</v>
      </c>
      <c r="R663" s="5" t="str">
        <f>IF(COUNTIFS($C$2:Transactions_RAW_cleaned[[#This Row],[CustomerID]],Transactions_RAW_cleaned[[#This Row],[CustomerID]],$D$2:Transactions_RAW_cleaned[[#This Row],[ServiceID]],Transactions_RAW_cleaned[[#This Row],[ServiceID]])=1,"Yes","No")</f>
        <v>No</v>
      </c>
      <c r="S66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63" t="str">
        <f>"Q"&amp;ROUNDUP(MONTH(Transactions_RAW_cleaned[[#This Row],[TransactionDate]])/3,0)</f>
        <v>Q3</v>
      </c>
      <c r="U663" t="str">
        <f>Transactions_RAW_cleaned[[#This Row],[Region ]]&amp;Transactions_RAW_cleaned[[#This Row],[Quarter ]]</f>
        <v>NAQ3</v>
      </c>
      <c r="V663" s="5">
        <f>_xlfn.XLOOKUP(Transactions_RAW_cleaned[[#This Row],[RegionQuarterKey]], Quarterly_Targets_cleaned[RegionQuarterKey], Quarterly_Targets_cleaned[TargetRevenue])</f>
        <v>273000</v>
      </c>
    </row>
    <row r="664" spans="1:22" x14ac:dyDescent="0.25">
      <c r="A664" t="s">
        <v>998</v>
      </c>
      <c r="B664" s="1">
        <v>45350</v>
      </c>
      <c r="C664" t="s">
        <v>251</v>
      </c>
      <c r="D664" t="s">
        <v>300</v>
      </c>
      <c r="E664">
        <v>395.02</v>
      </c>
      <c r="F664" t="s">
        <v>324</v>
      </c>
      <c r="G664" t="s">
        <v>325</v>
      </c>
      <c r="H664" t="s">
        <v>346</v>
      </c>
      <c r="I664" t="s">
        <v>17</v>
      </c>
      <c r="J664" t="s">
        <v>46</v>
      </c>
      <c r="K664" t="s">
        <v>14</v>
      </c>
      <c r="L664" t="s">
        <v>301</v>
      </c>
      <c r="M664" t="s">
        <v>302</v>
      </c>
      <c r="N664">
        <v>5.0000000000000001E-3</v>
      </c>
      <c r="O664" t="str">
        <f>IF(Transactions_RAW_cleaned[[#This Row],[Status]]="Completed", IFERROR(_xlfn.XLOOKUP(Transactions_RAW_cleaned[[#This Row],[CustomerID]], Customers_cleaned[CustomerID], Customers_cleaned[Segment]), "Customer Not Found"), "N/A")</f>
        <v>Enterprise</v>
      </c>
      <c r="P664" s="5" t="str">
        <f>IF(Transactions_RAW_cleaned[[#This Row],[Status]]="Refunded", "Refund",
  IF(Transactions_RAW_cleaned[[#This Row],[Category]]="Payments", IF(Transactions_RAW_cleaned[[#This Row],[Amount]]&gt;500,"High Value","Standard"),
    IF(Transactions_RAW_cleaned[[#This Row],[Amount]]&gt;250,"High Value","Standard")))</f>
        <v>High Value</v>
      </c>
      <c r="Q664" s="5" t="str">
        <f>IF(Transactions_RAW_cleaned[[#This Row],[Amount]] &gt; (_xlfn.XLOOKUP(Transactions_RAW_cleaned[[#This Row],[ServiceID]],Services_cleaned[ServiceID],Services_cleaned[TransactionFeePct]) * 10000), "Yes", "No")</f>
        <v>Yes</v>
      </c>
      <c r="R664" s="5" t="str">
        <f>IF(COUNTIFS($C$2:Transactions_RAW_cleaned[[#This Row],[CustomerID]],Transactions_RAW_cleaned[[#This Row],[CustomerID]],$D$2:Transactions_RAW_cleaned[[#This Row],[ServiceID]],Transactions_RAW_cleaned[[#This Row],[ServiceID]])=1,"Yes","No")</f>
        <v>No</v>
      </c>
      <c r="S66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64" t="str">
        <f>"Q"&amp;ROUNDUP(MONTH(Transactions_RAW_cleaned[[#This Row],[TransactionDate]])/3,0)</f>
        <v>Q1</v>
      </c>
      <c r="U664" t="str">
        <f>Transactions_RAW_cleaned[[#This Row],[Region ]]&amp;Transactions_RAW_cleaned[[#This Row],[Quarter ]]</f>
        <v>APACQ1</v>
      </c>
      <c r="V664" s="5">
        <f>_xlfn.XLOOKUP(Transactions_RAW_cleaned[[#This Row],[RegionQuarterKey]], Quarterly_Targets_cleaned[RegionQuarterKey], Quarterly_Targets_cleaned[TargetRevenue])</f>
        <v>104500</v>
      </c>
    </row>
    <row r="665" spans="1:22" x14ac:dyDescent="0.25">
      <c r="A665" t="s">
        <v>999</v>
      </c>
      <c r="B665" s="1">
        <v>45559</v>
      </c>
      <c r="C665" t="s">
        <v>171</v>
      </c>
      <c r="D665" t="s">
        <v>306</v>
      </c>
      <c r="E665">
        <v>337.78</v>
      </c>
      <c r="F665" t="s">
        <v>324</v>
      </c>
      <c r="G665" t="s">
        <v>329</v>
      </c>
      <c r="H665" t="s">
        <v>346</v>
      </c>
      <c r="I665" t="s">
        <v>17</v>
      </c>
      <c r="J665" t="s">
        <v>31</v>
      </c>
      <c r="K665" t="s">
        <v>32</v>
      </c>
      <c r="L665" t="s">
        <v>307</v>
      </c>
      <c r="M665" t="s">
        <v>308</v>
      </c>
      <c r="N665">
        <v>0</v>
      </c>
      <c r="O665" t="str">
        <f>IF(Transactions_RAW_cleaned[[#This Row],[Status]]="Completed", IFERROR(_xlfn.XLOOKUP(Transactions_RAW_cleaned[[#This Row],[CustomerID]], Customers_cleaned[CustomerID], Customers_cleaned[Segment]), "Customer Not Found"), "N/A")</f>
        <v>Enterprise</v>
      </c>
      <c r="P665" s="5" t="str">
        <f>IF(Transactions_RAW_cleaned[[#This Row],[Status]]="Refunded", "Refund",
  IF(Transactions_RAW_cleaned[[#This Row],[Category]]="Payments", IF(Transactions_RAW_cleaned[[#This Row],[Amount]]&gt;500,"High Value","Standard"),
    IF(Transactions_RAW_cleaned[[#This Row],[Amount]]&gt;250,"High Value","Standard")))</f>
        <v>High Value</v>
      </c>
      <c r="Q665" s="5" t="str">
        <f>IF(Transactions_RAW_cleaned[[#This Row],[Amount]] &gt; (_xlfn.XLOOKUP(Transactions_RAW_cleaned[[#This Row],[ServiceID]],Services_cleaned[ServiceID],Services_cleaned[TransactionFeePct]) * 10000), "Yes", "No")</f>
        <v>Yes</v>
      </c>
      <c r="R665" s="5" t="str">
        <f>IF(COUNTIFS($C$2:Transactions_RAW_cleaned[[#This Row],[CustomerID]],Transactions_RAW_cleaned[[#This Row],[CustomerID]],$D$2:Transactions_RAW_cleaned[[#This Row],[ServiceID]],Transactions_RAW_cleaned[[#This Row],[ServiceID]])=1,"Yes","No")</f>
        <v>No</v>
      </c>
      <c r="S66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665" t="str">
        <f>"Q"&amp;ROUNDUP(MONTH(Transactions_RAW_cleaned[[#This Row],[TransactionDate]])/3,0)</f>
        <v>Q3</v>
      </c>
      <c r="U665" t="str">
        <f>Transactions_RAW_cleaned[[#This Row],[Region ]]&amp;Transactions_RAW_cleaned[[#This Row],[Quarter ]]</f>
        <v>EMEAQ3</v>
      </c>
      <c r="V665" s="5">
        <f>_xlfn.XLOOKUP(Transactions_RAW_cleaned[[#This Row],[RegionQuarterKey]], Quarterly_Targets_cleaned[RegionQuarterKey], Quarterly_Targets_cleaned[TargetRevenue])</f>
        <v>147000</v>
      </c>
    </row>
    <row r="666" spans="1:22" x14ac:dyDescent="0.25">
      <c r="A666" t="s">
        <v>1000</v>
      </c>
      <c r="B666" s="1">
        <v>45379</v>
      </c>
      <c r="C666" t="s">
        <v>213</v>
      </c>
      <c r="D666" t="s">
        <v>294</v>
      </c>
      <c r="E666">
        <v>763.68</v>
      </c>
      <c r="F666" t="s">
        <v>331</v>
      </c>
      <c r="G666" t="s">
        <v>329</v>
      </c>
      <c r="I666" t="s">
        <v>17</v>
      </c>
      <c r="J666" t="s">
        <v>25</v>
      </c>
      <c r="K666" t="s">
        <v>14</v>
      </c>
      <c r="L666" t="s">
        <v>295</v>
      </c>
      <c r="M666" t="s">
        <v>296</v>
      </c>
      <c r="N666">
        <v>2.9000000000000001E-2</v>
      </c>
      <c r="O666" t="str">
        <f>IF(Transactions_RAW_cleaned[[#This Row],[Status]]="Completed", IFERROR(_xlfn.XLOOKUP(Transactions_RAW_cleaned[[#This Row],[CustomerID]], Customers_cleaned[CustomerID], Customers_cleaned[Segment]), "Customer Not Found"), "N/A")</f>
        <v>N/A</v>
      </c>
      <c r="P666" s="5" t="str">
        <f>IF(Transactions_RAW_cleaned[[#This Row],[Status]]="Refunded", "Refund",
  IF(Transactions_RAW_cleaned[[#This Row],[Category]]="Payments", IF(Transactions_RAW_cleaned[[#This Row],[Amount]]&gt;500,"High Value","Standard"),
    IF(Transactions_RAW_cleaned[[#This Row],[Amount]]&gt;250,"High Value","Standard")))</f>
        <v>High Value</v>
      </c>
      <c r="Q666" s="5" t="str">
        <f>IF(Transactions_RAW_cleaned[[#This Row],[Amount]] &gt; (_xlfn.XLOOKUP(Transactions_RAW_cleaned[[#This Row],[ServiceID]],Services_cleaned[ServiceID],Services_cleaned[TransactionFeePct]) * 10000), "Yes", "No")</f>
        <v>Yes</v>
      </c>
      <c r="R666" s="5" t="str">
        <f>IF(COUNTIFS($C$2:Transactions_RAW_cleaned[[#This Row],[CustomerID]],Transactions_RAW_cleaned[[#This Row],[CustomerID]],$D$2:Transactions_RAW_cleaned[[#This Row],[ServiceID]],Transactions_RAW_cleaned[[#This Row],[ServiceID]])=1,"Yes","No")</f>
        <v>No</v>
      </c>
      <c r="S66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66" t="str">
        <f>"Q"&amp;ROUNDUP(MONTH(Transactions_RAW_cleaned[[#This Row],[TransactionDate]])/3,0)</f>
        <v>Q1</v>
      </c>
      <c r="U666" t="str">
        <f>Transactions_RAW_cleaned[[#This Row],[Region ]]&amp;Transactions_RAW_cleaned[[#This Row],[Quarter ]]</f>
        <v>APACQ1</v>
      </c>
      <c r="V666" s="5">
        <f>_xlfn.XLOOKUP(Transactions_RAW_cleaned[[#This Row],[RegionQuarterKey]], Quarterly_Targets_cleaned[RegionQuarterKey], Quarterly_Targets_cleaned[TargetRevenue])</f>
        <v>104500</v>
      </c>
    </row>
    <row r="667" spans="1:22" x14ac:dyDescent="0.25">
      <c r="A667" t="s">
        <v>1001</v>
      </c>
      <c r="B667" s="1">
        <v>45483</v>
      </c>
      <c r="C667" t="s">
        <v>195</v>
      </c>
      <c r="D667" t="s">
        <v>294</v>
      </c>
      <c r="E667">
        <v>-799.06</v>
      </c>
      <c r="F667" t="s">
        <v>349</v>
      </c>
      <c r="G667" t="s">
        <v>337</v>
      </c>
      <c r="H667" t="s">
        <v>334</v>
      </c>
      <c r="I667" t="s">
        <v>8</v>
      </c>
      <c r="J667" t="s">
        <v>102</v>
      </c>
      <c r="K667" t="s">
        <v>32</v>
      </c>
      <c r="L667" t="s">
        <v>295</v>
      </c>
      <c r="M667" t="s">
        <v>296</v>
      </c>
      <c r="N667">
        <v>2.9000000000000001E-2</v>
      </c>
      <c r="O667" t="str">
        <f>IF(Transactions_RAW_cleaned[[#This Row],[Status]]="Completed", IFERROR(_xlfn.XLOOKUP(Transactions_RAW_cleaned[[#This Row],[CustomerID]], Customers_cleaned[CustomerID], Customers_cleaned[Segment]), "Customer Not Found"), "N/A")</f>
        <v>N/A</v>
      </c>
      <c r="P667" s="5" t="str">
        <f>IF(Transactions_RAW_cleaned[[#This Row],[Status]]="Refunded", "Refund",
  IF(Transactions_RAW_cleaned[[#This Row],[Category]]="Payments", IF(Transactions_RAW_cleaned[[#This Row],[Amount]]&gt;500,"High Value","Standard"),
    IF(Transactions_RAW_cleaned[[#This Row],[Amount]]&gt;250,"High Value","Standard")))</f>
        <v>Refund</v>
      </c>
      <c r="Q667" s="5" t="str">
        <f>IF(Transactions_RAW_cleaned[[#This Row],[Amount]] &gt; (_xlfn.XLOOKUP(Transactions_RAW_cleaned[[#This Row],[ServiceID]],Services_cleaned[ServiceID],Services_cleaned[TransactionFeePct]) * 10000), "Yes", "No")</f>
        <v>No</v>
      </c>
      <c r="R667" s="5" t="str">
        <f>IF(COUNTIFS($C$2:Transactions_RAW_cleaned[[#This Row],[CustomerID]],Transactions_RAW_cleaned[[#This Row],[CustomerID]],$D$2:Transactions_RAW_cleaned[[#This Row],[ServiceID]],Transactions_RAW_cleaned[[#This Row],[ServiceID]])=1,"Yes","No")</f>
        <v>No</v>
      </c>
      <c r="S66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67" t="str">
        <f>"Q"&amp;ROUNDUP(MONTH(Transactions_RAW_cleaned[[#This Row],[TransactionDate]])/3,0)</f>
        <v>Q3</v>
      </c>
      <c r="U667" t="str">
        <f>Transactions_RAW_cleaned[[#This Row],[Region ]]&amp;Transactions_RAW_cleaned[[#This Row],[Quarter ]]</f>
        <v>NAQ3</v>
      </c>
      <c r="V667" s="5">
        <f>_xlfn.XLOOKUP(Transactions_RAW_cleaned[[#This Row],[RegionQuarterKey]], Quarterly_Targets_cleaned[RegionQuarterKey], Quarterly_Targets_cleaned[TargetRevenue])</f>
        <v>273000</v>
      </c>
    </row>
    <row r="668" spans="1:22" x14ac:dyDescent="0.25">
      <c r="A668" t="s">
        <v>1002</v>
      </c>
      <c r="B668" s="1">
        <v>45574</v>
      </c>
      <c r="C668" t="s">
        <v>66</v>
      </c>
      <c r="D668" t="s">
        <v>297</v>
      </c>
      <c r="E668">
        <v>646.67999999999995</v>
      </c>
      <c r="F668" t="s">
        <v>324</v>
      </c>
      <c r="G668" t="s">
        <v>337</v>
      </c>
      <c r="H668" t="s">
        <v>346</v>
      </c>
      <c r="I668" t="s">
        <v>8</v>
      </c>
      <c r="J668" t="s">
        <v>46</v>
      </c>
      <c r="K668" t="s">
        <v>10</v>
      </c>
      <c r="L668" t="s">
        <v>298</v>
      </c>
      <c r="M668" t="s">
        <v>299</v>
      </c>
      <c r="N668">
        <v>0</v>
      </c>
      <c r="O668" t="str">
        <f>IF(Transactions_RAW_cleaned[[#This Row],[Status]]="Completed", IFERROR(_xlfn.XLOOKUP(Transactions_RAW_cleaned[[#This Row],[CustomerID]], Customers_cleaned[CustomerID], Customers_cleaned[Segment]), "Customer Not Found"), "N/A")</f>
        <v>SMB</v>
      </c>
      <c r="P668" s="5" t="str">
        <f>IF(Transactions_RAW_cleaned[[#This Row],[Status]]="Refunded", "Refund",
  IF(Transactions_RAW_cleaned[[#This Row],[Category]]="Payments", IF(Transactions_RAW_cleaned[[#This Row],[Amount]]&gt;500,"High Value","Standard"),
    IF(Transactions_RAW_cleaned[[#This Row],[Amount]]&gt;250,"High Value","Standard")))</f>
        <v>High Value</v>
      </c>
      <c r="Q668" s="5" t="str">
        <f>IF(Transactions_RAW_cleaned[[#This Row],[Amount]] &gt; (_xlfn.XLOOKUP(Transactions_RAW_cleaned[[#This Row],[ServiceID]],Services_cleaned[ServiceID],Services_cleaned[TransactionFeePct]) * 10000), "Yes", "No")</f>
        <v>Yes</v>
      </c>
      <c r="R668" s="5" t="str">
        <f>IF(COUNTIFS($C$2:Transactions_RAW_cleaned[[#This Row],[CustomerID]],Transactions_RAW_cleaned[[#This Row],[CustomerID]],$D$2:Transactions_RAW_cleaned[[#This Row],[ServiceID]],Transactions_RAW_cleaned[[#This Row],[ServiceID]])=1,"Yes","No")</f>
        <v>Yes</v>
      </c>
      <c r="S66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68" t="str">
        <f>"Q"&amp;ROUNDUP(MONTH(Transactions_RAW_cleaned[[#This Row],[TransactionDate]])/3,0)</f>
        <v>Q4</v>
      </c>
      <c r="U668" t="str">
        <f>Transactions_RAW_cleaned[[#This Row],[Region ]]&amp;Transactions_RAW_cleaned[[#This Row],[Quarter ]]</f>
        <v>APACQ4</v>
      </c>
      <c r="V668" s="5">
        <f>_xlfn.XLOOKUP(Transactions_RAW_cleaned[[#This Row],[RegionQuarterKey]], Quarterly_Targets_cleaned[RegionQuarterKey], Quarterly_Targets_cleaned[TargetRevenue])</f>
        <v>126500</v>
      </c>
    </row>
    <row r="669" spans="1:22" x14ac:dyDescent="0.25">
      <c r="A669" t="s">
        <v>1003</v>
      </c>
      <c r="B669" s="1">
        <v>45620</v>
      </c>
      <c r="C669" t="s">
        <v>269</v>
      </c>
      <c r="D669" t="s">
        <v>315</v>
      </c>
      <c r="E669">
        <v>247.19</v>
      </c>
      <c r="F669" t="s">
        <v>324</v>
      </c>
      <c r="G669" t="s">
        <v>329</v>
      </c>
      <c r="I669" t="s">
        <v>17</v>
      </c>
      <c r="J669" t="s">
        <v>31</v>
      </c>
      <c r="K669" t="s">
        <v>32</v>
      </c>
      <c r="L669" t="s">
        <v>316</v>
      </c>
      <c r="M669" t="s">
        <v>305</v>
      </c>
      <c r="N669">
        <v>2.5000000000000001E-3</v>
      </c>
      <c r="O669" t="str">
        <f>IF(Transactions_RAW_cleaned[[#This Row],[Status]]="Completed", IFERROR(_xlfn.XLOOKUP(Transactions_RAW_cleaned[[#This Row],[CustomerID]], Customers_cleaned[CustomerID], Customers_cleaned[Segment]), "Customer Not Found"), "N/A")</f>
        <v>Enterprise</v>
      </c>
      <c r="P669" s="5" t="str">
        <f>IF(Transactions_RAW_cleaned[[#This Row],[Status]]="Refunded", "Refund",
  IF(Transactions_RAW_cleaned[[#This Row],[Category]]="Payments", IF(Transactions_RAW_cleaned[[#This Row],[Amount]]&gt;500,"High Value","Standard"),
    IF(Transactions_RAW_cleaned[[#This Row],[Amount]]&gt;250,"High Value","Standard")))</f>
        <v>Standard</v>
      </c>
      <c r="Q669" s="5" t="str">
        <f>IF(Transactions_RAW_cleaned[[#This Row],[Amount]] &gt; (_xlfn.XLOOKUP(Transactions_RAW_cleaned[[#This Row],[ServiceID]],Services_cleaned[ServiceID],Services_cleaned[TransactionFeePct]) * 10000), "Yes", "No")</f>
        <v>Yes</v>
      </c>
      <c r="R669" s="5" t="str">
        <f>IF(COUNTIFS($C$2:Transactions_RAW_cleaned[[#This Row],[CustomerID]],Transactions_RAW_cleaned[[#This Row],[CustomerID]],$D$2:Transactions_RAW_cleaned[[#This Row],[ServiceID]],Transactions_RAW_cleaned[[#This Row],[ServiceID]])=1,"Yes","No")</f>
        <v>Yes</v>
      </c>
      <c r="S66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669" t="str">
        <f>"Q"&amp;ROUNDUP(MONTH(Transactions_RAW_cleaned[[#This Row],[TransactionDate]])/3,0)</f>
        <v>Q4</v>
      </c>
      <c r="U669" t="str">
        <f>Transactions_RAW_cleaned[[#This Row],[Region ]]&amp;Transactions_RAW_cleaned[[#This Row],[Quarter ]]</f>
        <v>EMEAQ4</v>
      </c>
      <c r="V669" s="5">
        <f>_xlfn.XLOOKUP(Transactions_RAW_cleaned[[#This Row],[RegionQuarterKey]], Quarterly_Targets_cleaned[RegionQuarterKey], Quarterly_Targets_cleaned[TargetRevenue])</f>
        <v>161000</v>
      </c>
    </row>
    <row r="670" spans="1:22" x14ac:dyDescent="0.25">
      <c r="A670" t="s">
        <v>1004</v>
      </c>
      <c r="B670" s="1">
        <v>45510</v>
      </c>
      <c r="C670" t="s">
        <v>58</v>
      </c>
      <c r="D670" t="s">
        <v>294</v>
      </c>
      <c r="E670">
        <v>86.22</v>
      </c>
      <c r="F670" t="s">
        <v>324</v>
      </c>
      <c r="G670" t="s">
        <v>327</v>
      </c>
      <c r="H670" t="s">
        <v>346</v>
      </c>
      <c r="I670" t="s">
        <v>17</v>
      </c>
      <c r="J670" t="s">
        <v>102</v>
      </c>
      <c r="K670" t="s">
        <v>22</v>
      </c>
      <c r="L670" t="s">
        <v>295</v>
      </c>
      <c r="M670" t="s">
        <v>296</v>
      </c>
      <c r="N670">
        <v>2.9000000000000001E-2</v>
      </c>
      <c r="O670" t="str">
        <f>IF(Transactions_RAW_cleaned[[#This Row],[Status]]="Completed", IFERROR(_xlfn.XLOOKUP(Transactions_RAW_cleaned[[#This Row],[CustomerID]], Customers_cleaned[CustomerID], Customers_cleaned[Segment]), "Customer Not Found"), "N/A")</f>
        <v>Enterprise</v>
      </c>
      <c r="P670" s="5" t="str">
        <f>IF(Transactions_RAW_cleaned[[#This Row],[Status]]="Refunded", "Refund",
  IF(Transactions_RAW_cleaned[[#This Row],[Category]]="Payments", IF(Transactions_RAW_cleaned[[#This Row],[Amount]]&gt;500,"High Value","Standard"),
    IF(Transactions_RAW_cleaned[[#This Row],[Amount]]&gt;250,"High Value","Standard")))</f>
        <v>Standard</v>
      </c>
      <c r="Q670" s="5" t="str">
        <f>IF(Transactions_RAW_cleaned[[#This Row],[Amount]] &gt; (_xlfn.XLOOKUP(Transactions_RAW_cleaned[[#This Row],[ServiceID]],Services_cleaned[ServiceID],Services_cleaned[TransactionFeePct]) * 10000), "Yes", "No")</f>
        <v>No</v>
      </c>
      <c r="R670" s="5" t="str">
        <f>IF(COUNTIFS($C$2:Transactions_RAW_cleaned[[#This Row],[CustomerID]],Transactions_RAW_cleaned[[#This Row],[CustomerID]],$D$2:Transactions_RAW_cleaned[[#This Row],[ServiceID]],Transactions_RAW_cleaned[[#This Row],[ServiceID]])=1,"Yes","No")</f>
        <v>No</v>
      </c>
      <c r="S67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70" t="str">
        <f>"Q"&amp;ROUNDUP(MONTH(Transactions_RAW_cleaned[[#This Row],[TransactionDate]])/3,0)</f>
        <v>Q3</v>
      </c>
      <c r="U670" t="str">
        <f>Transactions_RAW_cleaned[[#This Row],[Region ]]&amp;Transactions_RAW_cleaned[[#This Row],[Quarter ]]</f>
        <v>NAQ3</v>
      </c>
      <c r="V670" s="5">
        <f>_xlfn.XLOOKUP(Transactions_RAW_cleaned[[#This Row],[RegionQuarterKey]], Quarterly_Targets_cleaned[RegionQuarterKey], Quarterly_Targets_cleaned[TargetRevenue])</f>
        <v>273000</v>
      </c>
    </row>
    <row r="671" spans="1:22" x14ac:dyDescent="0.25">
      <c r="A671" t="s">
        <v>1005</v>
      </c>
      <c r="B671" s="1">
        <v>45470</v>
      </c>
      <c r="C671" t="s">
        <v>109</v>
      </c>
      <c r="D671" t="s">
        <v>312</v>
      </c>
      <c r="E671">
        <v>-793</v>
      </c>
      <c r="F671" t="s">
        <v>349</v>
      </c>
      <c r="G671" t="s">
        <v>325</v>
      </c>
      <c r="I671" t="s">
        <v>8</v>
      </c>
      <c r="J671" t="s">
        <v>102</v>
      </c>
      <c r="K671" t="s">
        <v>18</v>
      </c>
      <c r="L671" t="s">
        <v>313</v>
      </c>
      <c r="M671" t="s">
        <v>314</v>
      </c>
      <c r="N671">
        <v>0</v>
      </c>
      <c r="O671" t="str">
        <f>IF(Transactions_RAW_cleaned[[#This Row],[Status]]="Completed", IFERROR(_xlfn.XLOOKUP(Transactions_RAW_cleaned[[#This Row],[CustomerID]], Customers_cleaned[CustomerID], Customers_cleaned[Segment]), "Customer Not Found"), "N/A")</f>
        <v>N/A</v>
      </c>
      <c r="P671" s="5" t="str">
        <f>IF(Transactions_RAW_cleaned[[#This Row],[Status]]="Refunded", "Refund",
  IF(Transactions_RAW_cleaned[[#This Row],[Category]]="Payments", IF(Transactions_RAW_cleaned[[#This Row],[Amount]]&gt;500,"High Value","Standard"),
    IF(Transactions_RAW_cleaned[[#This Row],[Amount]]&gt;250,"High Value","Standard")))</f>
        <v>Refund</v>
      </c>
      <c r="Q671" s="5" t="str">
        <f>IF(Transactions_RAW_cleaned[[#This Row],[Amount]] &gt; (_xlfn.XLOOKUP(Transactions_RAW_cleaned[[#This Row],[ServiceID]],Services_cleaned[ServiceID],Services_cleaned[TransactionFeePct]) * 10000), "Yes", "No")</f>
        <v>No</v>
      </c>
      <c r="R671" s="5" t="str">
        <f>IF(COUNTIFS($C$2:Transactions_RAW_cleaned[[#This Row],[CustomerID]],Transactions_RAW_cleaned[[#This Row],[CustomerID]],$D$2:Transactions_RAW_cleaned[[#This Row],[ServiceID]],Transactions_RAW_cleaned[[#This Row],[ServiceID]])=1,"Yes","No")</f>
        <v>Yes</v>
      </c>
      <c r="S67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71" t="str">
        <f>"Q"&amp;ROUNDUP(MONTH(Transactions_RAW_cleaned[[#This Row],[TransactionDate]])/3,0)</f>
        <v>Q2</v>
      </c>
      <c r="U671" t="str">
        <f>Transactions_RAW_cleaned[[#This Row],[Region ]]&amp;Transactions_RAW_cleaned[[#This Row],[Quarter ]]</f>
        <v>NAQ2</v>
      </c>
      <c r="V671" s="5">
        <f>_xlfn.XLOOKUP(Transactions_RAW_cleaned[[#This Row],[RegionQuarterKey]], Quarterly_Targets_cleaned[RegionQuarterKey], Quarterly_Targets_cleaned[TargetRevenue])</f>
        <v>260000</v>
      </c>
    </row>
    <row r="672" spans="1:22" x14ac:dyDescent="0.25">
      <c r="A672" t="s">
        <v>1006</v>
      </c>
      <c r="B672" s="1">
        <v>45422</v>
      </c>
      <c r="C672" t="s">
        <v>213</v>
      </c>
      <c r="D672" t="s">
        <v>294</v>
      </c>
      <c r="E672">
        <v>817.74</v>
      </c>
      <c r="F672" t="s">
        <v>324</v>
      </c>
      <c r="G672" t="s">
        <v>337</v>
      </c>
      <c r="I672" t="s">
        <v>17</v>
      </c>
      <c r="J672" t="s">
        <v>25</v>
      </c>
      <c r="K672" t="s">
        <v>14</v>
      </c>
      <c r="L672" t="s">
        <v>295</v>
      </c>
      <c r="M672" t="s">
        <v>296</v>
      </c>
      <c r="N672">
        <v>2.9000000000000001E-2</v>
      </c>
      <c r="O672" t="str">
        <f>IF(Transactions_RAW_cleaned[[#This Row],[Status]]="Completed", IFERROR(_xlfn.XLOOKUP(Transactions_RAW_cleaned[[#This Row],[CustomerID]], Customers_cleaned[CustomerID], Customers_cleaned[Segment]), "Customer Not Found"), "N/A")</f>
        <v>Enterprise</v>
      </c>
      <c r="P672" s="5" t="str">
        <f>IF(Transactions_RAW_cleaned[[#This Row],[Status]]="Refunded", "Refund",
  IF(Transactions_RAW_cleaned[[#This Row],[Category]]="Payments", IF(Transactions_RAW_cleaned[[#This Row],[Amount]]&gt;500,"High Value","Standard"),
    IF(Transactions_RAW_cleaned[[#This Row],[Amount]]&gt;250,"High Value","Standard")))</f>
        <v>High Value</v>
      </c>
      <c r="Q672" s="5" t="str">
        <f>IF(Transactions_RAW_cleaned[[#This Row],[Amount]] &gt; (_xlfn.XLOOKUP(Transactions_RAW_cleaned[[#This Row],[ServiceID]],Services_cleaned[ServiceID],Services_cleaned[TransactionFeePct]) * 10000), "Yes", "No")</f>
        <v>Yes</v>
      </c>
      <c r="R672" s="5" t="str">
        <f>IF(COUNTIFS($C$2:Transactions_RAW_cleaned[[#This Row],[CustomerID]],Transactions_RAW_cleaned[[#This Row],[CustomerID]],$D$2:Transactions_RAW_cleaned[[#This Row],[ServiceID]],Transactions_RAW_cleaned[[#This Row],[ServiceID]])=1,"Yes","No")</f>
        <v>No</v>
      </c>
      <c r="S67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72" t="str">
        <f>"Q"&amp;ROUNDUP(MONTH(Transactions_RAW_cleaned[[#This Row],[TransactionDate]])/3,0)</f>
        <v>Q2</v>
      </c>
      <c r="U672" t="str">
        <f>Transactions_RAW_cleaned[[#This Row],[Region ]]&amp;Transactions_RAW_cleaned[[#This Row],[Quarter ]]</f>
        <v>APACQ2</v>
      </c>
      <c r="V672" s="5">
        <f>_xlfn.XLOOKUP(Transactions_RAW_cleaned[[#This Row],[RegionQuarterKey]], Quarterly_Targets_cleaned[RegionQuarterKey], Quarterly_Targets_cleaned[TargetRevenue])</f>
        <v>110000</v>
      </c>
    </row>
    <row r="673" spans="1:22" x14ac:dyDescent="0.25">
      <c r="A673" t="s">
        <v>1007</v>
      </c>
      <c r="B673" s="1">
        <v>45313</v>
      </c>
      <c r="C673" t="s">
        <v>265</v>
      </c>
      <c r="D673" t="s">
        <v>309</v>
      </c>
      <c r="E673">
        <v>992.83</v>
      </c>
      <c r="F673" t="s">
        <v>324</v>
      </c>
      <c r="G673" t="s">
        <v>329</v>
      </c>
      <c r="H673" t="s">
        <v>332</v>
      </c>
      <c r="I673" t="s">
        <v>8</v>
      </c>
      <c r="J673" t="s">
        <v>102</v>
      </c>
      <c r="K673" t="s">
        <v>32</v>
      </c>
      <c r="L673" t="s">
        <v>310</v>
      </c>
      <c r="M673" t="s">
        <v>311</v>
      </c>
      <c r="N673">
        <v>0</v>
      </c>
      <c r="O673" t="str">
        <f>IF(Transactions_RAW_cleaned[[#This Row],[Status]]="Completed", IFERROR(_xlfn.XLOOKUP(Transactions_RAW_cleaned[[#This Row],[CustomerID]], Customers_cleaned[CustomerID], Customers_cleaned[Segment]), "Customer Not Found"), "N/A")</f>
        <v>SMB</v>
      </c>
      <c r="P673" s="5" t="str">
        <f>IF(Transactions_RAW_cleaned[[#This Row],[Status]]="Refunded", "Refund",
  IF(Transactions_RAW_cleaned[[#This Row],[Category]]="Payments", IF(Transactions_RAW_cleaned[[#This Row],[Amount]]&gt;500,"High Value","Standard"),
    IF(Transactions_RAW_cleaned[[#This Row],[Amount]]&gt;250,"High Value","Standard")))</f>
        <v>High Value</v>
      </c>
      <c r="Q673" s="5" t="str">
        <f>IF(Transactions_RAW_cleaned[[#This Row],[Amount]] &gt; (_xlfn.XLOOKUP(Transactions_RAW_cleaned[[#This Row],[ServiceID]],Services_cleaned[ServiceID],Services_cleaned[TransactionFeePct]) * 10000), "Yes", "No")</f>
        <v>Yes</v>
      </c>
      <c r="R673" s="5" t="str">
        <f>IF(COUNTIFS($C$2:Transactions_RAW_cleaned[[#This Row],[CustomerID]],Transactions_RAW_cleaned[[#This Row],[CustomerID]],$D$2:Transactions_RAW_cleaned[[#This Row],[ServiceID]],Transactions_RAW_cleaned[[#This Row],[ServiceID]])=1,"Yes","No")</f>
        <v>Yes</v>
      </c>
      <c r="S67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73" t="str">
        <f>"Q"&amp;ROUNDUP(MONTH(Transactions_RAW_cleaned[[#This Row],[TransactionDate]])/3,0)</f>
        <v>Q1</v>
      </c>
      <c r="U673" t="str">
        <f>Transactions_RAW_cleaned[[#This Row],[Region ]]&amp;Transactions_RAW_cleaned[[#This Row],[Quarter ]]</f>
        <v>NAQ1</v>
      </c>
      <c r="V673" s="5">
        <f>_xlfn.XLOOKUP(Transactions_RAW_cleaned[[#This Row],[RegionQuarterKey]], Quarterly_Targets_cleaned[RegionQuarterKey], Quarterly_Targets_cleaned[TargetRevenue])</f>
        <v>247000</v>
      </c>
    </row>
    <row r="674" spans="1:22" x14ac:dyDescent="0.25">
      <c r="A674" t="s">
        <v>1008</v>
      </c>
      <c r="B674" s="1">
        <v>45592</v>
      </c>
      <c r="C674" t="s">
        <v>193</v>
      </c>
      <c r="D674" t="s">
        <v>294</v>
      </c>
      <c r="E674">
        <v>406.14</v>
      </c>
      <c r="F674" t="s">
        <v>324</v>
      </c>
      <c r="G674" t="s">
        <v>329</v>
      </c>
      <c r="I674" t="s">
        <v>8</v>
      </c>
      <c r="J674" t="s">
        <v>102</v>
      </c>
      <c r="K674" t="s">
        <v>18</v>
      </c>
      <c r="L674" t="s">
        <v>295</v>
      </c>
      <c r="M674" t="s">
        <v>296</v>
      </c>
      <c r="N674">
        <v>2.9000000000000001E-2</v>
      </c>
      <c r="O674" t="str">
        <f>IF(Transactions_RAW_cleaned[[#This Row],[Status]]="Completed", IFERROR(_xlfn.XLOOKUP(Transactions_RAW_cleaned[[#This Row],[CustomerID]], Customers_cleaned[CustomerID], Customers_cleaned[Segment]), "Customer Not Found"), "N/A")</f>
        <v>SMB</v>
      </c>
      <c r="P674" s="5" t="str">
        <f>IF(Transactions_RAW_cleaned[[#This Row],[Status]]="Refunded", "Refund",
  IF(Transactions_RAW_cleaned[[#This Row],[Category]]="Payments", IF(Transactions_RAW_cleaned[[#This Row],[Amount]]&gt;500,"High Value","Standard"),
    IF(Transactions_RAW_cleaned[[#This Row],[Amount]]&gt;250,"High Value","Standard")))</f>
        <v>Standard</v>
      </c>
      <c r="Q674" s="5" t="str">
        <f>IF(Transactions_RAW_cleaned[[#This Row],[Amount]] &gt; (_xlfn.XLOOKUP(Transactions_RAW_cleaned[[#This Row],[ServiceID]],Services_cleaned[ServiceID],Services_cleaned[TransactionFeePct]) * 10000), "Yes", "No")</f>
        <v>Yes</v>
      </c>
      <c r="R674" s="5" t="str">
        <f>IF(COUNTIFS($C$2:Transactions_RAW_cleaned[[#This Row],[CustomerID]],Transactions_RAW_cleaned[[#This Row],[CustomerID]],$D$2:Transactions_RAW_cleaned[[#This Row],[ServiceID]],Transactions_RAW_cleaned[[#This Row],[ServiceID]])=1,"Yes","No")</f>
        <v>Yes</v>
      </c>
      <c r="S67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74" t="str">
        <f>"Q"&amp;ROUNDUP(MONTH(Transactions_RAW_cleaned[[#This Row],[TransactionDate]])/3,0)</f>
        <v>Q4</v>
      </c>
      <c r="U674" t="str">
        <f>Transactions_RAW_cleaned[[#This Row],[Region ]]&amp;Transactions_RAW_cleaned[[#This Row],[Quarter ]]</f>
        <v>NAQ4</v>
      </c>
      <c r="V674" s="5">
        <f>_xlfn.XLOOKUP(Transactions_RAW_cleaned[[#This Row],[RegionQuarterKey]], Quarterly_Targets_cleaned[RegionQuarterKey], Quarterly_Targets_cleaned[TargetRevenue])</f>
        <v>299000</v>
      </c>
    </row>
    <row r="675" spans="1:22" x14ac:dyDescent="0.25">
      <c r="A675" t="s">
        <v>1009</v>
      </c>
      <c r="B675" s="1">
        <v>45509</v>
      </c>
      <c r="C675" t="s">
        <v>243</v>
      </c>
      <c r="D675" t="s">
        <v>300</v>
      </c>
      <c r="E675">
        <v>452.44</v>
      </c>
      <c r="F675" t="s">
        <v>324</v>
      </c>
      <c r="G675" t="s">
        <v>337</v>
      </c>
      <c r="I675" t="s">
        <v>17</v>
      </c>
      <c r="J675" t="s">
        <v>13</v>
      </c>
      <c r="K675" t="s">
        <v>28</v>
      </c>
      <c r="L675" t="s">
        <v>301</v>
      </c>
      <c r="M675" t="s">
        <v>302</v>
      </c>
      <c r="N675">
        <v>5.0000000000000001E-3</v>
      </c>
      <c r="O675" t="str">
        <f>IF(Transactions_RAW_cleaned[[#This Row],[Status]]="Completed", IFERROR(_xlfn.XLOOKUP(Transactions_RAW_cleaned[[#This Row],[CustomerID]], Customers_cleaned[CustomerID], Customers_cleaned[Segment]), "Customer Not Found"), "N/A")</f>
        <v>Enterprise</v>
      </c>
      <c r="P675" s="5" t="str">
        <f>IF(Transactions_RAW_cleaned[[#This Row],[Status]]="Refunded", "Refund",
  IF(Transactions_RAW_cleaned[[#This Row],[Category]]="Payments", IF(Transactions_RAW_cleaned[[#This Row],[Amount]]&gt;500,"High Value","Standard"),
    IF(Transactions_RAW_cleaned[[#This Row],[Amount]]&gt;250,"High Value","Standard")))</f>
        <v>High Value</v>
      </c>
      <c r="Q675" s="5" t="str">
        <f>IF(Transactions_RAW_cleaned[[#This Row],[Amount]] &gt; (_xlfn.XLOOKUP(Transactions_RAW_cleaned[[#This Row],[ServiceID]],Services_cleaned[ServiceID],Services_cleaned[TransactionFeePct]) * 10000), "Yes", "No")</f>
        <v>Yes</v>
      </c>
      <c r="R675" s="5" t="str">
        <f>IF(COUNTIFS($C$2:Transactions_RAW_cleaned[[#This Row],[CustomerID]],Transactions_RAW_cleaned[[#This Row],[CustomerID]],$D$2:Transactions_RAW_cleaned[[#This Row],[ServiceID]],Transactions_RAW_cleaned[[#This Row],[ServiceID]])=1,"Yes","No")</f>
        <v>Yes</v>
      </c>
      <c r="S67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75" t="str">
        <f>"Q"&amp;ROUNDUP(MONTH(Transactions_RAW_cleaned[[#This Row],[TransactionDate]])/3,0)</f>
        <v>Q3</v>
      </c>
      <c r="U675" t="str">
        <f>Transactions_RAW_cleaned[[#This Row],[Region ]]&amp;Transactions_RAW_cleaned[[#This Row],[Quarter ]]</f>
        <v>NAQ3</v>
      </c>
      <c r="V675" s="5">
        <f>_xlfn.XLOOKUP(Transactions_RAW_cleaned[[#This Row],[RegionQuarterKey]], Quarterly_Targets_cleaned[RegionQuarterKey], Quarterly_Targets_cleaned[TargetRevenue])</f>
        <v>273000</v>
      </c>
    </row>
    <row r="676" spans="1:22" x14ac:dyDescent="0.25">
      <c r="A676" t="s">
        <v>1010</v>
      </c>
      <c r="B676" s="1">
        <v>45493</v>
      </c>
      <c r="C676" t="s">
        <v>51</v>
      </c>
      <c r="D676" t="s">
        <v>294</v>
      </c>
      <c r="E676">
        <v>163.4</v>
      </c>
      <c r="F676" t="s">
        <v>324</v>
      </c>
      <c r="G676" t="s">
        <v>325</v>
      </c>
      <c r="I676" t="s">
        <v>8</v>
      </c>
      <c r="J676" t="s">
        <v>31</v>
      </c>
      <c r="K676" t="s">
        <v>14</v>
      </c>
      <c r="L676" t="s">
        <v>295</v>
      </c>
      <c r="M676" t="s">
        <v>296</v>
      </c>
      <c r="N676">
        <v>2.9000000000000001E-2</v>
      </c>
      <c r="O676" t="str">
        <f>IF(Transactions_RAW_cleaned[[#This Row],[Status]]="Completed", IFERROR(_xlfn.XLOOKUP(Transactions_RAW_cleaned[[#This Row],[CustomerID]], Customers_cleaned[CustomerID], Customers_cleaned[Segment]), "Customer Not Found"), "N/A")</f>
        <v>SMB</v>
      </c>
      <c r="P676" s="5" t="str">
        <f>IF(Transactions_RAW_cleaned[[#This Row],[Status]]="Refunded", "Refund",
  IF(Transactions_RAW_cleaned[[#This Row],[Category]]="Payments", IF(Transactions_RAW_cleaned[[#This Row],[Amount]]&gt;500,"High Value","Standard"),
    IF(Transactions_RAW_cleaned[[#This Row],[Amount]]&gt;250,"High Value","Standard")))</f>
        <v>Standard</v>
      </c>
      <c r="Q676" s="5" t="str">
        <f>IF(Transactions_RAW_cleaned[[#This Row],[Amount]] &gt; (_xlfn.XLOOKUP(Transactions_RAW_cleaned[[#This Row],[ServiceID]],Services_cleaned[ServiceID],Services_cleaned[TransactionFeePct]) * 10000), "Yes", "No")</f>
        <v>No</v>
      </c>
      <c r="R676" s="5" t="str">
        <f>IF(COUNTIFS($C$2:Transactions_RAW_cleaned[[#This Row],[CustomerID]],Transactions_RAW_cleaned[[#This Row],[CustomerID]],$D$2:Transactions_RAW_cleaned[[#This Row],[ServiceID]],Transactions_RAW_cleaned[[#This Row],[ServiceID]])=1,"Yes","No")</f>
        <v>No</v>
      </c>
      <c r="S67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676" t="str">
        <f>"Q"&amp;ROUNDUP(MONTH(Transactions_RAW_cleaned[[#This Row],[TransactionDate]])/3,0)</f>
        <v>Q3</v>
      </c>
      <c r="U676" t="str">
        <f>Transactions_RAW_cleaned[[#This Row],[Region ]]&amp;Transactions_RAW_cleaned[[#This Row],[Quarter ]]</f>
        <v>EMEAQ3</v>
      </c>
      <c r="V676" s="5">
        <f>_xlfn.XLOOKUP(Transactions_RAW_cleaned[[#This Row],[RegionQuarterKey]], Quarterly_Targets_cleaned[RegionQuarterKey], Quarterly_Targets_cleaned[TargetRevenue])</f>
        <v>147000</v>
      </c>
    </row>
    <row r="677" spans="1:22" x14ac:dyDescent="0.25">
      <c r="A677" t="s">
        <v>1011</v>
      </c>
      <c r="B677" s="1">
        <v>45460</v>
      </c>
      <c r="C677" t="s">
        <v>207</v>
      </c>
      <c r="D677" t="s">
        <v>306</v>
      </c>
      <c r="E677">
        <v>108</v>
      </c>
      <c r="F677" t="s">
        <v>324</v>
      </c>
      <c r="G677" t="s">
        <v>2963</v>
      </c>
      <c r="I677" t="s">
        <v>8</v>
      </c>
      <c r="J677" t="s">
        <v>102</v>
      </c>
      <c r="K677" t="s">
        <v>28</v>
      </c>
      <c r="L677" t="s">
        <v>307</v>
      </c>
      <c r="M677" t="s">
        <v>308</v>
      </c>
      <c r="N677">
        <v>0</v>
      </c>
      <c r="O677" t="str">
        <f>IF(Transactions_RAW_cleaned[[#This Row],[Status]]="Completed", IFERROR(_xlfn.XLOOKUP(Transactions_RAW_cleaned[[#This Row],[CustomerID]], Customers_cleaned[CustomerID], Customers_cleaned[Segment]), "Customer Not Found"), "N/A")</f>
        <v>SMB</v>
      </c>
      <c r="P677" s="5" t="str">
        <f>IF(Transactions_RAW_cleaned[[#This Row],[Status]]="Refunded", "Refund",
  IF(Transactions_RAW_cleaned[[#This Row],[Category]]="Payments", IF(Transactions_RAW_cleaned[[#This Row],[Amount]]&gt;500,"High Value","Standard"),
    IF(Transactions_RAW_cleaned[[#This Row],[Amount]]&gt;250,"High Value","Standard")))</f>
        <v>Standard</v>
      </c>
      <c r="Q677" s="5" t="str">
        <f>IF(Transactions_RAW_cleaned[[#This Row],[Amount]] &gt; (_xlfn.XLOOKUP(Transactions_RAW_cleaned[[#This Row],[ServiceID]],Services_cleaned[ServiceID],Services_cleaned[TransactionFeePct]) * 10000), "Yes", "No")</f>
        <v>Yes</v>
      </c>
      <c r="R677" s="5" t="str">
        <f>IF(COUNTIFS($C$2:Transactions_RAW_cleaned[[#This Row],[CustomerID]],Transactions_RAW_cleaned[[#This Row],[CustomerID]],$D$2:Transactions_RAW_cleaned[[#This Row],[ServiceID]],Transactions_RAW_cleaned[[#This Row],[ServiceID]])=1,"Yes","No")</f>
        <v>Yes</v>
      </c>
      <c r="S67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77" t="str">
        <f>"Q"&amp;ROUNDUP(MONTH(Transactions_RAW_cleaned[[#This Row],[TransactionDate]])/3,0)</f>
        <v>Q2</v>
      </c>
      <c r="U677" t="str">
        <f>Transactions_RAW_cleaned[[#This Row],[Region ]]&amp;Transactions_RAW_cleaned[[#This Row],[Quarter ]]</f>
        <v>NAQ2</v>
      </c>
      <c r="V677" s="5">
        <f>_xlfn.XLOOKUP(Transactions_RAW_cleaned[[#This Row],[RegionQuarterKey]], Quarterly_Targets_cleaned[RegionQuarterKey], Quarterly_Targets_cleaned[TargetRevenue])</f>
        <v>260000</v>
      </c>
    </row>
    <row r="678" spans="1:22" x14ac:dyDescent="0.25">
      <c r="A678" t="s">
        <v>1012</v>
      </c>
      <c r="B678" s="1">
        <v>45439</v>
      </c>
      <c r="C678" t="s">
        <v>133</v>
      </c>
      <c r="D678" t="s">
        <v>294</v>
      </c>
      <c r="E678">
        <v>288.8</v>
      </c>
      <c r="F678" t="s">
        <v>324</v>
      </c>
      <c r="G678" t="s">
        <v>327</v>
      </c>
      <c r="H678" t="s">
        <v>346</v>
      </c>
      <c r="I678" t="s">
        <v>17</v>
      </c>
      <c r="J678" t="s">
        <v>102</v>
      </c>
      <c r="K678" t="s">
        <v>22</v>
      </c>
      <c r="L678" t="s">
        <v>295</v>
      </c>
      <c r="M678" t="s">
        <v>296</v>
      </c>
      <c r="N678">
        <v>2.9000000000000001E-2</v>
      </c>
      <c r="O678" t="str">
        <f>IF(Transactions_RAW_cleaned[[#This Row],[Status]]="Completed", IFERROR(_xlfn.XLOOKUP(Transactions_RAW_cleaned[[#This Row],[CustomerID]], Customers_cleaned[CustomerID], Customers_cleaned[Segment]), "Customer Not Found"), "N/A")</f>
        <v>Enterprise</v>
      </c>
      <c r="P678" s="5" t="str">
        <f>IF(Transactions_RAW_cleaned[[#This Row],[Status]]="Refunded", "Refund",
  IF(Transactions_RAW_cleaned[[#This Row],[Category]]="Payments", IF(Transactions_RAW_cleaned[[#This Row],[Amount]]&gt;500,"High Value","Standard"),
    IF(Transactions_RAW_cleaned[[#This Row],[Amount]]&gt;250,"High Value","Standard")))</f>
        <v>Standard</v>
      </c>
      <c r="Q678" s="5" t="str">
        <f>IF(Transactions_RAW_cleaned[[#This Row],[Amount]] &gt; (_xlfn.XLOOKUP(Transactions_RAW_cleaned[[#This Row],[ServiceID]],Services_cleaned[ServiceID],Services_cleaned[TransactionFeePct]) * 10000), "Yes", "No")</f>
        <v>No</v>
      </c>
      <c r="R678" s="5" t="str">
        <f>IF(COUNTIFS($C$2:Transactions_RAW_cleaned[[#This Row],[CustomerID]],Transactions_RAW_cleaned[[#This Row],[CustomerID]],$D$2:Transactions_RAW_cleaned[[#This Row],[ServiceID]],Transactions_RAW_cleaned[[#This Row],[ServiceID]])=1,"Yes","No")</f>
        <v>Yes</v>
      </c>
      <c r="S67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78" t="str">
        <f>"Q"&amp;ROUNDUP(MONTH(Transactions_RAW_cleaned[[#This Row],[TransactionDate]])/3,0)</f>
        <v>Q2</v>
      </c>
      <c r="U678" t="str">
        <f>Transactions_RAW_cleaned[[#This Row],[Region ]]&amp;Transactions_RAW_cleaned[[#This Row],[Quarter ]]</f>
        <v>NAQ2</v>
      </c>
      <c r="V678" s="5">
        <f>_xlfn.XLOOKUP(Transactions_RAW_cleaned[[#This Row],[RegionQuarterKey]], Quarterly_Targets_cleaned[RegionQuarterKey], Quarterly_Targets_cleaned[TargetRevenue])</f>
        <v>260000</v>
      </c>
    </row>
    <row r="679" spans="1:22" x14ac:dyDescent="0.25">
      <c r="A679" t="s">
        <v>1013</v>
      </c>
      <c r="B679" s="1">
        <v>45642</v>
      </c>
      <c r="C679" t="s">
        <v>181</v>
      </c>
      <c r="D679" t="s">
        <v>294</v>
      </c>
      <c r="E679">
        <v>1451.03</v>
      </c>
      <c r="F679" t="s">
        <v>324</v>
      </c>
      <c r="G679" t="s">
        <v>325</v>
      </c>
      <c r="H679" t="s">
        <v>334</v>
      </c>
      <c r="I679" t="s">
        <v>17</v>
      </c>
      <c r="J679" t="s">
        <v>21</v>
      </c>
      <c r="K679" t="s">
        <v>10</v>
      </c>
      <c r="L679" t="s">
        <v>295</v>
      </c>
      <c r="M679" t="s">
        <v>296</v>
      </c>
      <c r="N679">
        <v>2.9000000000000001E-2</v>
      </c>
      <c r="O679" t="str">
        <f>IF(Transactions_RAW_cleaned[[#This Row],[Status]]="Completed", IFERROR(_xlfn.XLOOKUP(Transactions_RAW_cleaned[[#This Row],[CustomerID]], Customers_cleaned[CustomerID], Customers_cleaned[Segment]), "Customer Not Found"), "N/A")</f>
        <v>Enterprise</v>
      </c>
      <c r="P679" s="5" t="str">
        <f>IF(Transactions_RAW_cleaned[[#This Row],[Status]]="Refunded", "Refund",
  IF(Transactions_RAW_cleaned[[#This Row],[Category]]="Payments", IF(Transactions_RAW_cleaned[[#This Row],[Amount]]&gt;500,"High Value","Standard"),
    IF(Transactions_RAW_cleaned[[#This Row],[Amount]]&gt;250,"High Value","Standard")))</f>
        <v>High Value</v>
      </c>
      <c r="Q679" s="5" t="str">
        <f>IF(Transactions_RAW_cleaned[[#This Row],[Amount]] &gt; (_xlfn.XLOOKUP(Transactions_RAW_cleaned[[#This Row],[ServiceID]],Services_cleaned[ServiceID],Services_cleaned[TransactionFeePct]) * 10000), "Yes", "No")</f>
        <v>Yes</v>
      </c>
      <c r="R679" s="5" t="str">
        <f>IF(COUNTIFS($C$2:Transactions_RAW_cleaned[[#This Row],[CustomerID]],Transactions_RAW_cleaned[[#This Row],[CustomerID]],$D$2:Transactions_RAW_cleaned[[#This Row],[ServiceID]],Transactions_RAW_cleaned[[#This Row],[ServiceID]])=1,"Yes","No")</f>
        <v>No</v>
      </c>
      <c r="S67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79" t="str">
        <f>"Q"&amp;ROUNDUP(MONTH(Transactions_RAW_cleaned[[#This Row],[TransactionDate]])/3,0)</f>
        <v>Q4</v>
      </c>
      <c r="U679" t="str">
        <f>Transactions_RAW_cleaned[[#This Row],[Region ]]&amp;Transactions_RAW_cleaned[[#This Row],[Quarter ]]</f>
        <v>APACQ4</v>
      </c>
      <c r="V679" s="5">
        <f>_xlfn.XLOOKUP(Transactions_RAW_cleaned[[#This Row],[RegionQuarterKey]], Quarterly_Targets_cleaned[RegionQuarterKey], Quarterly_Targets_cleaned[TargetRevenue])</f>
        <v>126500</v>
      </c>
    </row>
    <row r="680" spans="1:22" x14ac:dyDescent="0.25">
      <c r="A680" t="s">
        <v>1014</v>
      </c>
      <c r="B680" s="1">
        <v>45583</v>
      </c>
      <c r="C680" t="s">
        <v>245</v>
      </c>
      <c r="D680" t="s">
        <v>297</v>
      </c>
      <c r="E680">
        <v>344.73</v>
      </c>
      <c r="F680" t="s">
        <v>324</v>
      </c>
      <c r="G680" t="s">
        <v>325</v>
      </c>
      <c r="I680" t="s">
        <v>8</v>
      </c>
      <c r="J680" t="s">
        <v>31</v>
      </c>
      <c r="K680" t="s">
        <v>14</v>
      </c>
      <c r="L680" t="s">
        <v>298</v>
      </c>
      <c r="M680" t="s">
        <v>299</v>
      </c>
      <c r="N680">
        <v>0</v>
      </c>
      <c r="O680" t="str">
        <f>IF(Transactions_RAW_cleaned[[#This Row],[Status]]="Completed", IFERROR(_xlfn.XLOOKUP(Transactions_RAW_cleaned[[#This Row],[CustomerID]], Customers_cleaned[CustomerID], Customers_cleaned[Segment]), "Customer Not Found"), "N/A")</f>
        <v>SMB</v>
      </c>
      <c r="P680" s="5" t="str">
        <f>IF(Transactions_RAW_cleaned[[#This Row],[Status]]="Refunded", "Refund",
  IF(Transactions_RAW_cleaned[[#This Row],[Category]]="Payments", IF(Transactions_RAW_cleaned[[#This Row],[Amount]]&gt;500,"High Value","Standard"),
    IF(Transactions_RAW_cleaned[[#This Row],[Amount]]&gt;250,"High Value","Standard")))</f>
        <v>High Value</v>
      </c>
      <c r="Q680" s="5" t="str">
        <f>IF(Transactions_RAW_cleaned[[#This Row],[Amount]] &gt; (_xlfn.XLOOKUP(Transactions_RAW_cleaned[[#This Row],[ServiceID]],Services_cleaned[ServiceID],Services_cleaned[TransactionFeePct]) * 10000), "Yes", "No")</f>
        <v>Yes</v>
      </c>
      <c r="R680" s="5" t="str">
        <f>IF(COUNTIFS($C$2:Transactions_RAW_cleaned[[#This Row],[CustomerID]],Transactions_RAW_cleaned[[#This Row],[CustomerID]],$D$2:Transactions_RAW_cleaned[[#This Row],[ServiceID]],Transactions_RAW_cleaned[[#This Row],[ServiceID]])=1,"Yes","No")</f>
        <v>Yes</v>
      </c>
      <c r="S68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680" t="str">
        <f>"Q"&amp;ROUNDUP(MONTH(Transactions_RAW_cleaned[[#This Row],[TransactionDate]])/3,0)</f>
        <v>Q4</v>
      </c>
      <c r="U680" t="str">
        <f>Transactions_RAW_cleaned[[#This Row],[Region ]]&amp;Transactions_RAW_cleaned[[#This Row],[Quarter ]]</f>
        <v>EMEAQ4</v>
      </c>
      <c r="V680" s="5">
        <f>_xlfn.XLOOKUP(Transactions_RAW_cleaned[[#This Row],[RegionQuarterKey]], Quarterly_Targets_cleaned[RegionQuarterKey], Quarterly_Targets_cleaned[TargetRevenue])</f>
        <v>161000</v>
      </c>
    </row>
    <row r="681" spans="1:22" x14ac:dyDescent="0.25">
      <c r="A681" t="s">
        <v>1015</v>
      </c>
      <c r="B681" s="1">
        <v>45380</v>
      </c>
      <c r="C681" t="s">
        <v>33</v>
      </c>
      <c r="D681" t="s">
        <v>297</v>
      </c>
      <c r="E681">
        <v>743.14</v>
      </c>
      <c r="F681" t="s">
        <v>324</v>
      </c>
      <c r="G681" t="s">
        <v>337</v>
      </c>
      <c r="I681" t="s">
        <v>17</v>
      </c>
      <c r="J681" t="s">
        <v>31</v>
      </c>
      <c r="K681" t="s">
        <v>14</v>
      </c>
      <c r="L681" t="s">
        <v>298</v>
      </c>
      <c r="M681" t="s">
        <v>299</v>
      </c>
      <c r="N681">
        <v>0</v>
      </c>
      <c r="O681" t="str">
        <f>IF(Transactions_RAW_cleaned[[#This Row],[Status]]="Completed", IFERROR(_xlfn.XLOOKUP(Transactions_RAW_cleaned[[#This Row],[CustomerID]], Customers_cleaned[CustomerID], Customers_cleaned[Segment]), "Customer Not Found"), "N/A")</f>
        <v>Enterprise</v>
      </c>
      <c r="P681" s="5" t="str">
        <f>IF(Transactions_RAW_cleaned[[#This Row],[Status]]="Refunded", "Refund",
  IF(Transactions_RAW_cleaned[[#This Row],[Category]]="Payments", IF(Transactions_RAW_cleaned[[#This Row],[Amount]]&gt;500,"High Value","Standard"),
    IF(Transactions_RAW_cleaned[[#This Row],[Amount]]&gt;250,"High Value","Standard")))</f>
        <v>High Value</v>
      </c>
      <c r="Q681" s="5" t="str">
        <f>IF(Transactions_RAW_cleaned[[#This Row],[Amount]] &gt; (_xlfn.XLOOKUP(Transactions_RAW_cleaned[[#This Row],[ServiceID]],Services_cleaned[ServiceID],Services_cleaned[TransactionFeePct]) * 10000), "Yes", "No")</f>
        <v>Yes</v>
      </c>
      <c r="R681" s="5" t="str">
        <f>IF(COUNTIFS($C$2:Transactions_RAW_cleaned[[#This Row],[CustomerID]],Transactions_RAW_cleaned[[#This Row],[CustomerID]],$D$2:Transactions_RAW_cleaned[[#This Row],[ServiceID]],Transactions_RAW_cleaned[[#This Row],[ServiceID]])=1,"Yes","No")</f>
        <v>Yes</v>
      </c>
      <c r="S68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681" t="str">
        <f>"Q"&amp;ROUNDUP(MONTH(Transactions_RAW_cleaned[[#This Row],[TransactionDate]])/3,0)</f>
        <v>Q1</v>
      </c>
      <c r="U681" t="str">
        <f>Transactions_RAW_cleaned[[#This Row],[Region ]]&amp;Transactions_RAW_cleaned[[#This Row],[Quarter ]]</f>
        <v>EMEAQ1</v>
      </c>
      <c r="V681" s="5">
        <f>_xlfn.XLOOKUP(Transactions_RAW_cleaned[[#This Row],[RegionQuarterKey]], Quarterly_Targets_cleaned[RegionQuarterKey], Quarterly_Targets_cleaned[TargetRevenue])</f>
        <v>133000</v>
      </c>
    </row>
    <row r="682" spans="1:22" x14ac:dyDescent="0.25">
      <c r="A682" t="s">
        <v>1016</v>
      </c>
      <c r="B682" s="1">
        <v>45321</v>
      </c>
      <c r="C682" t="s">
        <v>231</v>
      </c>
      <c r="D682" t="s">
        <v>300</v>
      </c>
      <c r="E682">
        <v>732.5</v>
      </c>
      <c r="F682" t="s">
        <v>324</v>
      </c>
      <c r="G682" t="s">
        <v>327</v>
      </c>
      <c r="I682" t="s">
        <v>17</v>
      </c>
      <c r="J682" t="s">
        <v>102</v>
      </c>
      <c r="K682" t="s">
        <v>22</v>
      </c>
      <c r="L682" t="s">
        <v>301</v>
      </c>
      <c r="M682" t="s">
        <v>302</v>
      </c>
      <c r="N682">
        <v>5.0000000000000001E-3</v>
      </c>
      <c r="O682" t="str">
        <f>IF(Transactions_RAW_cleaned[[#This Row],[Status]]="Completed", IFERROR(_xlfn.XLOOKUP(Transactions_RAW_cleaned[[#This Row],[CustomerID]], Customers_cleaned[CustomerID], Customers_cleaned[Segment]), "Customer Not Found"), "N/A")</f>
        <v>Enterprise</v>
      </c>
      <c r="P682" s="5" t="str">
        <f>IF(Transactions_RAW_cleaned[[#This Row],[Status]]="Refunded", "Refund",
  IF(Transactions_RAW_cleaned[[#This Row],[Category]]="Payments", IF(Transactions_RAW_cleaned[[#This Row],[Amount]]&gt;500,"High Value","Standard"),
    IF(Transactions_RAW_cleaned[[#This Row],[Amount]]&gt;250,"High Value","Standard")))</f>
        <v>High Value</v>
      </c>
      <c r="Q682" s="5" t="str">
        <f>IF(Transactions_RAW_cleaned[[#This Row],[Amount]] &gt; (_xlfn.XLOOKUP(Transactions_RAW_cleaned[[#This Row],[ServiceID]],Services_cleaned[ServiceID],Services_cleaned[TransactionFeePct]) * 10000), "Yes", "No")</f>
        <v>Yes</v>
      </c>
      <c r="R682" s="5" t="str">
        <f>IF(COUNTIFS($C$2:Transactions_RAW_cleaned[[#This Row],[CustomerID]],Transactions_RAW_cleaned[[#This Row],[CustomerID]],$D$2:Transactions_RAW_cleaned[[#This Row],[ServiceID]],Transactions_RAW_cleaned[[#This Row],[ServiceID]])=1,"Yes","No")</f>
        <v>Yes</v>
      </c>
      <c r="S68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82" t="str">
        <f>"Q"&amp;ROUNDUP(MONTH(Transactions_RAW_cleaned[[#This Row],[TransactionDate]])/3,0)</f>
        <v>Q1</v>
      </c>
      <c r="U682" t="str">
        <f>Transactions_RAW_cleaned[[#This Row],[Region ]]&amp;Transactions_RAW_cleaned[[#This Row],[Quarter ]]</f>
        <v>NAQ1</v>
      </c>
      <c r="V682" s="5">
        <f>_xlfn.XLOOKUP(Transactions_RAW_cleaned[[#This Row],[RegionQuarterKey]], Quarterly_Targets_cleaned[RegionQuarterKey], Quarterly_Targets_cleaned[TargetRevenue])</f>
        <v>247000</v>
      </c>
    </row>
    <row r="683" spans="1:22" x14ac:dyDescent="0.25">
      <c r="A683" t="s">
        <v>1017</v>
      </c>
      <c r="B683" s="1">
        <v>45590</v>
      </c>
      <c r="C683" t="s">
        <v>199</v>
      </c>
      <c r="D683" t="s">
        <v>303</v>
      </c>
      <c r="E683">
        <v>935.84</v>
      </c>
      <c r="F683" t="s">
        <v>324</v>
      </c>
      <c r="G683" t="s">
        <v>327</v>
      </c>
      <c r="H683" t="s">
        <v>334</v>
      </c>
      <c r="I683" t="s">
        <v>8</v>
      </c>
      <c r="J683" t="s">
        <v>13</v>
      </c>
      <c r="K683" t="s">
        <v>32</v>
      </c>
      <c r="L683" t="s">
        <v>304</v>
      </c>
      <c r="M683" t="s">
        <v>305</v>
      </c>
      <c r="N683">
        <v>1E-3</v>
      </c>
      <c r="O683" t="str">
        <f>IF(Transactions_RAW_cleaned[[#This Row],[Status]]="Completed", IFERROR(_xlfn.XLOOKUP(Transactions_RAW_cleaned[[#This Row],[CustomerID]], Customers_cleaned[CustomerID], Customers_cleaned[Segment]), "Customer Not Found"), "N/A")</f>
        <v>SMB</v>
      </c>
      <c r="P683" s="5" t="str">
        <f>IF(Transactions_RAW_cleaned[[#This Row],[Status]]="Refunded", "Refund",
  IF(Transactions_RAW_cleaned[[#This Row],[Category]]="Payments", IF(Transactions_RAW_cleaned[[#This Row],[Amount]]&gt;500,"High Value","Standard"),
    IF(Transactions_RAW_cleaned[[#This Row],[Amount]]&gt;250,"High Value","Standard")))</f>
        <v>High Value</v>
      </c>
      <c r="Q683" s="5" t="str">
        <f>IF(Transactions_RAW_cleaned[[#This Row],[Amount]] &gt; (_xlfn.XLOOKUP(Transactions_RAW_cleaned[[#This Row],[ServiceID]],Services_cleaned[ServiceID],Services_cleaned[TransactionFeePct]) * 10000), "Yes", "No")</f>
        <v>Yes</v>
      </c>
      <c r="R683" s="5" t="str">
        <f>IF(COUNTIFS($C$2:Transactions_RAW_cleaned[[#This Row],[CustomerID]],Transactions_RAW_cleaned[[#This Row],[CustomerID]],$D$2:Transactions_RAW_cleaned[[#This Row],[ServiceID]],Transactions_RAW_cleaned[[#This Row],[ServiceID]])=1,"Yes","No")</f>
        <v>Yes</v>
      </c>
      <c r="S68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83" t="str">
        <f>"Q"&amp;ROUNDUP(MONTH(Transactions_RAW_cleaned[[#This Row],[TransactionDate]])/3,0)</f>
        <v>Q4</v>
      </c>
      <c r="U683" t="str">
        <f>Transactions_RAW_cleaned[[#This Row],[Region ]]&amp;Transactions_RAW_cleaned[[#This Row],[Quarter ]]</f>
        <v>NAQ4</v>
      </c>
      <c r="V683" s="5">
        <f>_xlfn.XLOOKUP(Transactions_RAW_cleaned[[#This Row],[RegionQuarterKey]], Quarterly_Targets_cleaned[RegionQuarterKey], Quarterly_Targets_cleaned[TargetRevenue])</f>
        <v>299000</v>
      </c>
    </row>
    <row r="684" spans="1:22" x14ac:dyDescent="0.25">
      <c r="A684" t="s">
        <v>1018</v>
      </c>
      <c r="B684" s="1">
        <v>45428</v>
      </c>
      <c r="C684" t="s">
        <v>135</v>
      </c>
      <c r="D684" t="s">
        <v>297</v>
      </c>
      <c r="E684">
        <v>377.7</v>
      </c>
      <c r="F684" t="s">
        <v>324</v>
      </c>
      <c r="G684" t="s">
        <v>325</v>
      </c>
      <c r="I684" t="s">
        <v>8</v>
      </c>
      <c r="J684" t="s">
        <v>46</v>
      </c>
      <c r="K684" t="s">
        <v>10</v>
      </c>
      <c r="L684" t="s">
        <v>298</v>
      </c>
      <c r="M684" t="s">
        <v>299</v>
      </c>
      <c r="N684">
        <v>0</v>
      </c>
      <c r="O684" t="str">
        <f>IF(Transactions_RAW_cleaned[[#This Row],[Status]]="Completed", IFERROR(_xlfn.XLOOKUP(Transactions_RAW_cleaned[[#This Row],[CustomerID]], Customers_cleaned[CustomerID], Customers_cleaned[Segment]), "Customer Not Found"), "N/A")</f>
        <v>SMB</v>
      </c>
      <c r="P684" s="5" t="str">
        <f>IF(Transactions_RAW_cleaned[[#This Row],[Status]]="Refunded", "Refund",
  IF(Transactions_RAW_cleaned[[#This Row],[Category]]="Payments", IF(Transactions_RAW_cleaned[[#This Row],[Amount]]&gt;500,"High Value","Standard"),
    IF(Transactions_RAW_cleaned[[#This Row],[Amount]]&gt;250,"High Value","Standard")))</f>
        <v>High Value</v>
      </c>
      <c r="Q684" s="5" t="str">
        <f>IF(Transactions_RAW_cleaned[[#This Row],[Amount]] &gt; (_xlfn.XLOOKUP(Transactions_RAW_cleaned[[#This Row],[ServiceID]],Services_cleaned[ServiceID],Services_cleaned[TransactionFeePct]) * 10000), "Yes", "No")</f>
        <v>Yes</v>
      </c>
      <c r="R684" s="5" t="str">
        <f>IF(COUNTIFS($C$2:Transactions_RAW_cleaned[[#This Row],[CustomerID]],Transactions_RAW_cleaned[[#This Row],[CustomerID]],$D$2:Transactions_RAW_cleaned[[#This Row],[ServiceID]],Transactions_RAW_cleaned[[#This Row],[ServiceID]])=1,"Yes","No")</f>
        <v>Yes</v>
      </c>
      <c r="S68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84" t="str">
        <f>"Q"&amp;ROUNDUP(MONTH(Transactions_RAW_cleaned[[#This Row],[TransactionDate]])/3,0)</f>
        <v>Q2</v>
      </c>
      <c r="U684" t="str">
        <f>Transactions_RAW_cleaned[[#This Row],[Region ]]&amp;Transactions_RAW_cleaned[[#This Row],[Quarter ]]</f>
        <v>APACQ2</v>
      </c>
      <c r="V684" s="5">
        <f>_xlfn.XLOOKUP(Transactions_RAW_cleaned[[#This Row],[RegionQuarterKey]], Quarterly_Targets_cleaned[RegionQuarterKey], Quarterly_Targets_cleaned[TargetRevenue])</f>
        <v>110000</v>
      </c>
    </row>
    <row r="685" spans="1:22" x14ac:dyDescent="0.25">
      <c r="A685" t="s">
        <v>1019</v>
      </c>
      <c r="B685" s="1">
        <v>45628</v>
      </c>
      <c r="C685" t="s">
        <v>267</v>
      </c>
      <c r="D685" t="s">
        <v>294</v>
      </c>
      <c r="E685">
        <v>295.14</v>
      </c>
      <c r="F685" t="s">
        <v>324</v>
      </c>
      <c r="G685" t="s">
        <v>327</v>
      </c>
      <c r="I685" t="s">
        <v>8</v>
      </c>
      <c r="J685" t="s">
        <v>102</v>
      </c>
      <c r="K685" t="s">
        <v>22</v>
      </c>
      <c r="L685" t="s">
        <v>295</v>
      </c>
      <c r="M685" t="s">
        <v>296</v>
      </c>
      <c r="N685">
        <v>2.9000000000000001E-2</v>
      </c>
      <c r="O685" t="str">
        <f>IF(Transactions_RAW_cleaned[[#This Row],[Status]]="Completed", IFERROR(_xlfn.XLOOKUP(Transactions_RAW_cleaned[[#This Row],[CustomerID]], Customers_cleaned[CustomerID], Customers_cleaned[Segment]), "Customer Not Found"), "N/A")</f>
        <v>SMB</v>
      </c>
      <c r="P685" s="5" t="str">
        <f>IF(Transactions_RAW_cleaned[[#This Row],[Status]]="Refunded", "Refund",
  IF(Transactions_RAW_cleaned[[#This Row],[Category]]="Payments", IF(Transactions_RAW_cleaned[[#This Row],[Amount]]&gt;500,"High Value","Standard"),
    IF(Transactions_RAW_cleaned[[#This Row],[Amount]]&gt;250,"High Value","Standard")))</f>
        <v>Standard</v>
      </c>
      <c r="Q685" s="5" t="str">
        <f>IF(Transactions_RAW_cleaned[[#This Row],[Amount]] &gt; (_xlfn.XLOOKUP(Transactions_RAW_cleaned[[#This Row],[ServiceID]],Services_cleaned[ServiceID],Services_cleaned[TransactionFeePct]) * 10000), "Yes", "No")</f>
        <v>Yes</v>
      </c>
      <c r="R685" s="5" t="str">
        <f>IF(COUNTIFS($C$2:Transactions_RAW_cleaned[[#This Row],[CustomerID]],Transactions_RAW_cleaned[[#This Row],[CustomerID]],$D$2:Transactions_RAW_cleaned[[#This Row],[ServiceID]],Transactions_RAW_cleaned[[#This Row],[ServiceID]])=1,"Yes","No")</f>
        <v>No</v>
      </c>
      <c r="S68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85" t="str">
        <f>"Q"&amp;ROUNDUP(MONTH(Transactions_RAW_cleaned[[#This Row],[TransactionDate]])/3,0)</f>
        <v>Q4</v>
      </c>
      <c r="U685" t="str">
        <f>Transactions_RAW_cleaned[[#This Row],[Region ]]&amp;Transactions_RAW_cleaned[[#This Row],[Quarter ]]</f>
        <v>NAQ4</v>
      </c>
      <c r="V685" s="5">
        <f>_xlfn.XLOOKUP(Transactions_RAW_cleaned[[#This Row],[RegionQuarterKey]], Quarterly_Targets_cleaned[RegionQuarterKey], Quarterly_Targets_cleaned[TargetRevenue])</f>
        <v>299000</v>
      </c>
    </row>
    <row r="686" spans="1:22" x14ac:dyDescent="0.25">
      <c r="A686" t="s">
        <v>1020</v>
      </c>
      <c r="B686" s="1">
        <v>45619</v>
      </c>
      <c r="C686" t="s">
        <v>94</v>
      </c>
      <c r="D686" t="s">
        <v>294</v>
      </c>
      <c r="E686">
        <v>142.63999999999999</v>
      </c>
      <c r="F686" t="s">
        <v>324</v>
      </c>
      <c r="G686" t="s">
        <v>325</v>
      </c>
      <c r="H686" t="s">
        <v>332</v>
      </c>
      <c r="I686" t="s">
        <v>8</v>
      </c>
      <c r="J686" t="s">
        <v>21</v>
      </c>
      <c r="K686" t="s">
        <v>14</v>
      </c>
      <c r="L686" t="s">
        <v>295</v>
      </c>
      <c r="M686" t="s">
        <v>296</v>
      </c>
      <c r="N686">
        <v>2.9000000000000001E-2</v>
      </c>
      <c r="O686" t="str">
        <f>IF(Transactions_RAW_cleaned[[#This Row],[Status]]="Completed", IFERROR(_xlfn.XLOOKUP(Transactions_RAW_cleaned[[#This Row],[CustomerID]], Customers_cleaned[CustomerID], Customers_cleaned[Segment]), "Customer Not Found"), "N/A")</f>
        <v>SMB</v>
      </c>
      <c r="P686" s="5" t="str">
        <f>IF(Transactions_RAW_cleaned[[#This Row],[Status]]="Refunded", "Refund",
  IF(Transactions_RAW_cleaned[[#This Row],[Category]]="Payments", IF(Transactions_RAW_cleaned[[#This Row],[Amount]]&gt;500,"High Value","Standard"),
    IF(Transactions_RAW_cleaned[[#This Row],[Amount]]&gt;250,"High Value","Standard")))</f>
        <v>Standard</v>
      </c>
      <c r="Q686" s="5" t="str">
        <f>IF(Transactions_RAW_cleaned[[#This Row],[Amount]] &gt; (_xlfn.XLOOKUP(Transactions_RAW_cleaned[[#This Row],[ServiceID]],Services_cleaned[ServiceID],Services_cleaned[TransactionFeePct]) * 10000), "Yes", "No")</f>
        <v>No</v>
      </c>
      <c r="R686" s="5" t="str">
        <f>IF(COUNTIFS($C$2:Transactions_RAW_cleaned[[#This Row],[CustomerID]],Transactions_RAW_cleaned[[#This Row],[CustomerID]],$D$2:Transactions_RAW_cleaned[[#This Row],[ServiceID]],Transactions_RAW_cleaned[[#This Row],[ServiceID]])=1,"Yes","No")</f>
        <v>No</v>
      </c>
      <c r="S68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86" t="str">
        <f>"Q"&amp;ROUNDUP(MONTH(Transactions_RAW_cleaned[[#This Row],[TransactionDate]])/3,0)</f>
        <v>Q4</v>
      </c>
      <c r="U686" t="str">
        <f>Transactions_RAW_cleaned[[#This Row],[Region ]]&amp;Transactions_RAW_cleaned[[#This Row],[Quarter ]]</f>
        <v>APACQ4</v>
      </c>
      <c r="V686" s="5">
        <f>_xlfn.XLOOKUP(Transactions_RAW_cleaned[[#This Row],[RegionQuarterKey]], Quarterly_Targets_cleaned[RegionQuarterKey], Quarterly_Targets_cleaned[TargetRevenue])</f>
        <v>126500</v>
      </c>
    </row>
    <row r="687" spans="1:22" x14ac:dyDescent="0.25">
      <c r="A687" t="s">
        <v>1021</v>
      </c>
      <c r="B687" s="1">
        <v>45516</v>
      </c>
      <c r="C687" t="s">
        <v>157</v>
      </c>
      <c r="D687" t="s">
        <v>294</v>
      </c>
      <c r="E687">
        <v>193.1</v>
      </c>
      <c r="F687" t="s">
        <v>324</v>
      </c>
      <c r="G687" t="s">
        <v>325</v>
      </c>
      <c r="H687" t="s">
        <v>334</v>
      </c>
      <c r="I687" t="s">
        <v>8</v>
      </c>
      <c r="J687" t="s">
        <v>102</v>
      </c>
      <c r="K687" t="s">
        <v>14</v>
      </c>
      <c r="L687" t="s">
        <v>295</v>
      </c>
      <c r="M687" t="s">
        <v>296</v>
      </c>
      <c r="N687">
        <v>2.9000000000000001E-2</v>
      </c>
      <c r="O687" t="str">
        <f>IF(Transactions_RAW_cleaned[[#This Row],[Status]]="Completed", IFERROR(_xlfn.XLOOKUP(Transactions_RAW_cleaned[[#This Row],[CustomerID]], Customers_cleaned[CustomerID], Customers_cleaned[Segment]), "Customer Not Found"), "N/A")</f>
        <v>SMB</v>
      </c>
      <c r="P687" s="5" t="str">
        <f>IF(Transactions_RAW_cleaned[[#This Row],[Status]]="Refunded", "Refund",
  IF(Transactions_RAW_cleaned[[#This Row],[Category]]="Payments", IF(Transactions_RAW_cleaned[[#This Row],[Amount]]&gt;500,"High Value","Standard"),
    IF(Transactions_RAW_cleaned[[#This Row],[Amount]]&gt;250,"High Value","Standard")))</f>
        <v>Standard</v>
      </c>
      <c r="Q687" s="5" t="str">
        <f>IF(Transactions_RAW_cleaned[[#This Row],[Amount]] &gt; (_xlfn.XLOOKUP(Transactions_RAW_cleaned[[#This Row],[ServiceID]],Services_cleaned[ServiceID],Services_cleaned[TransactionFeePct]) * 10000), "Yes", "No")</f>
        <v>No</v>
      </c>
      <c r="R687" s="5" t="str">
        <f>IF(COUNTIFS($C$2:Transactions_RAW_cleaned[[#This Row],[CustomerID]],Transactions_RAW_cleaned[[#This Row],[CustomerID]],$D$2:Transactions_RAW_cleaned[[#This Row],[ServiceID]],Transactions_RAW_cleaned[[#This Row],[ServiceID]])=1,"Yes","No")</f>
        <v>Yes</v>
      </c>
      <c r="S68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87" t="str">
        <f>"Q"&amp;ROUNDUP(MONTH(Transactions_RAW_cleaned[[#This Row],[TransactionDate]])/3,0)</f>
        <v>Q3</v>
      </c>
      <c r="U687" t="str">
        <f>Transactions_RAW_cleaned[[#This Row],[Region ]]&amp;Transactions_RAW_cleaned[[#This Row],[Quarter ]]</f>
        <v>NAQ3</v>
      </c>
      <c r="V687" s="5">
        <f>_xlfn.XLOOKUP(Transactions_RAW_cleaned[[#This Row],[RegionQuarterKey]], Quarterly_Targets_cleaned[RegionQuarterKey], Quarterly_Targets_cleaned[TargetRevenue])</f>
        <v>273000</v>
      </c>
    </row>
    <row r="688" spans="1:22" x14ac:dyDescent="0.25">
      <c r="A688" t="s">
        <v>1022</v>
      </c>
      <c r="B688" s="1">
        <v>45412</v>
      </c>
      <c r="C688" t="s">
        <v>38</v>
      </c>
      <c r="D688" t="s">
        <v>303</v>
      </c>
      <c r="E688">
        <v>444.52</v>
      </c>
      <c r="F688" t="s">
        <v>324</v>
      </c>
      <c r="G688" t="s">
        <v>2963</v>
      </c>
      <c r="H688" t="s">
        <v>334</v>
      </c>
      <c r="I688" t="s">
        <v>8</v>
      </c>
      <c r="J688" t="s">
        <v>102</v>
      </c>
      <c r="K688" t="s">
        <v>28</v>
      </c>
      <c r="L688" t="s">
        <v>304</v>
      </c>
      <c r="M688" t="s">
        <v>305</v>
      </c>
      <c r="N688">
        <v>1E-3</v>
      </c>
      <c r="O688" t="str">
        <f>IF(Transactions_RAW_cleaned[[#This Row],[Status]]="Completed", IFERROR(_xlfn.XLOOKUP(Transactions_RAW_cleaned[[#This Row],[CustomerID]], Customers_cleaned[CustomerID], Customers_cleaned[Segment]), "Customer Not Found"), "N/A")</f>
        <v>SMB</v>
      </c>
      <c r="P688" s="5" t="str">
        <f>IF(Transactions_RAW_cleaned[[#This Row],[Status]]="Refunded", "Refund",
  IF(Transactions_RAW_cleaned[[#This Row],[Category]]="Payments", IF(Transactions_RAW_cleaned[[#This Row],[Amount]]&gt;500,"High Value","Standard"),
    IF(Transactions_RAW_cleaned[[#This Row],[Amount]]&gt;250,"High Value","Standard")))</f>
        <v>High Value</v>
      </c>
      <c r="Q688" s="5" t="str">
        <f>IF(Transactions_RAW_cleaned[[#This Row],[Amount]] &gt; (_xlfn.XLOOKUP(Transactions_RAW_cleaned[[#This Row],[ServiceID]],Services_cleaned[ServiceID],Services_cleaned[TransactionFeePct]) * 10000), "Yes", "No")</f>
        <v>Yes</v>
      </c>
      <c r="R688" s="5" t="str">
        <f>IF(COUNTIFS($C$2:Transactions_RAW_cleaned[[#This Row],[CustomerID]],Transactions_RAW_cleaned[[#This Row],[CustomerID]],$D$2:Transactions_RAW_cleaned[[#This Row],[ServiceID]],Transactions_RAW_cleaned[[#This Row],[ServiceID]])=1,"Yes","No")</f>
        <v>No</v>
      </c>
      <c r="S68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88" t="str">
        <f>"Q"&amp;ROUNDUP(MONTH(Transactions_RAW_cleaned[[#This Row],[TransactionDate]])/3,0)</f>
        <v>Q2</v>
      </c>
      <c r="U688" t="str">
        <f>Transactions_RAW_cleaned[[#This Row],[Region ]]&amp;Transactions_RAW_cleaned[[#This Row],[Quarter ]]</f>
        <v>NAQ2</v>
      </c>
      <c r="V688" s="5">
        <f>_xlfn.XLOOKUP(Transactions_RAW_cleaned[[#This Row],[RegionQuarterKey]], Quarterly_Targets_cleaned[RegionQuarterKey], Quarterly_Targets_cleaned[TargetRevenue])</f>
        <v>260000</v>
      </c>
    </row>
    <row r="689" spans="1:22" x14ac:dyDescent="0.25">
      <c r="A689" t="s">
        <v>1023</v>
      </c>
      <c r="B689" s="1">
        <v>45556</v>
      </c>
      <c r="C689" t="s">
        <v>40</v>
      </c>
      <c r="D689" t="s">
        <v>300</v>
      </c>
      <c r="E689">
        <v>744.22</v>
      </c>
      <c r="F689" t="s">
        <v>324</v>
      </c>
      <c r="G689" t="s">
        <v>327</v>
      </c>
      <c r="I689" t="s">
        <v>17</v>
      </c>
      <c r="J689" t="s">
        <v>102</v>
      </c>
      <c r="K689" t="s">
        <v>14</v>
      </c>
      <c r="L689" t="s">
        <v>301</v>
      </c>
      <c r="M689" t="s">
        <v>302</v>
      </c>
      <c r="N689">
        <v>5.0000000000000001E-3</v>
      </c>
      <c r="O689" t="str">
        <f>IF(Transactions_RAW_cleaned[[#This Row],[Status]]="Completed", IFERROR(_xlfn.XLOOKUP(Transactions_RAW_cleaned[[#This Row],[CustomerID]], Customers_cleaned[CustomerID], Customers_cleaned[Segment]), "Customer Not Found"), "N/A")</f>
        <v>Enterprise</v>
      </c>
      <c r="P689" s="5" t="str">
        <f>IF(Transactions_RAW_cleaned[[#This Row],[Status]]="Refunded", "Refund",
  IF(Transactions_RAW_cleaned[[#This Row],[Category]]="Payments", IF(Transactions_RAW_cleaned[[#This Row],[Amount]]&gt;500,"High Value","Standard"),
    IF(Transactions_RAW_cleaned[[#This Row],[Amount]]&gt;250,"High Value","Standard")))</f>
        <v>High Value</v>
      </c>
      <c r="Q689" s="5" t="str">
        <f>IF(Transactions_RAW_cleaned[[#This Row],[Amount]] &gt; (_xlfn.XLOOKUP(Transactions_RAW_cleaned[[#This Row],[ServiceID]],Services_cleaned[ServiceID],Services_cleaned[TransactionFeePct]) * 10000), "Yes", "No")</f>
        <v>Yes</v>
      </c>
      <c r="R689" s="5" t="str">
        <f>IF(COUNTIFS($C$2:Transactions_RAW_cleaned[[#This Row],[CustomerID]],Transactions_RAW_cleaned[[#This Row],[CustomerID]],$D$2:Transactions_RAW_cleaned[[#This Row],[ServiceID]],Transactions_RAW_cleaned[[#This Row],[ServiceID]])=1,"Yes","No")</f>
        <v>No</v>
      </c>
      <c r="S68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89" t="str">
        <f>"Q"&amp;ROUNDUP(MONTH(Transactions_RAW_cleaned[[#This Row],[TransactionDate]])/3,0)</f>
        <v>Q3</v>
      </c>
      <c r="U689" t="str">
        <f>Transactions_RAW_cleaned[[#This Row],[Region ]]&amp;Transactions_RAW_cleaned[[#This Row],[Quarter ]]</f>
        <v>NAQ3</v>
      </c>
      <c r="V689" s="5">
        <f>_xlfn.XLOOKUP(Transactions_RAW_cleaned[[#This Row],[RegionQuarterKey]], Quarterly_Targets_cleaned[RegionQuarterKey], Quarterly_Targets_cleaned[TargetRevenue])</f>
        <v>273000</v>
      </c>
    </row>
    <row r="690" spans="1:22" x14ac:dyDescent="0.25">
      <c r="A690" t="s">
        <v>1024</v>
      </c>
      <c r="B690" s="1">
        <v>45442</v>
      </c>
      <c r="C690" t="s">
        <v>151</v>
      </c>
      <c r="D690" t="s">
        <v>300</v>
      </c>
      <c r="E690">
        <v>490.22</v>
      </c>
      <c r="F690" t="s">
        <v>324</v>
      </c>
      <c r="G690" t="s">
        <v>337</v>
      </c>
      <c r="I690" t="s">
        <v>8</v>
      </c>
      <c r="J690" t="s">
        <v>46</v>
      </c>
      <c r="K690" t="s">
        <v>18</v>
      </c>
      <c r="L690" t="s">
        <v>301</v>
      </c>
      <c r="M690" t="s">
        <v>302</v>
      </c>
      <c r="N690">
        <v>5.0000000000000001E-3</v>
      </c>
      <c r="O690" t="str">
        <f>IF(Transactions_RAW_cleaned[[#This Row],[Status]]="Completed", IFERROR(_xlfn.XLOOKUP(Transactions_RAW_cleaned[[#This Row],[CustomerID]], Customers_cleaned[CustomerID], Customers_cleaned[Segment]), "Customer Not Found"), "N/A")</f>
        <v>SMB</v>
      </c>
      <c r="P690" s="5" t="str">
        <f>IF(Transactions_RAW_cleaned[[#This Row],[Status]]="Refunded", "Refund",
  IF(Transactions_RAW_cleaned[[#This Row],[Category]]="Payments", IF(Transactions_RAW_cleaned[[#This Row],[Amount]]&gt;500,"High Value","Standard"),
    IF(Transactions_RAW_cleaned[[#This Row],[Amount]]&gt;250,"High Value","Standard")))</f>
        <v>High Value</v>
      </c>
      <c r="Q690" s="5" t="str">
        <f>IF(Transactions_RAW_cleaned[[#This Row],[Amount]] &gt; (_xlfn.XLOOKUP(Transactions_RAW_cleaned[[#This Row],[ServiceID]],Services_cleaned[ServiceID],Services_cleaned[TransactionFeePct]) * 10000), "Yes", "No")</f>
        <v>Yes</v>
      </c>
      <c r="R690" s="5" t="str">
        <f>IF(COUNTIFS($C$2:Transactions_RAW_cleaned[[#This Row],[CustomerID]],Transactions_RAW_cleaned[[#This Row],[CustomerID]],$D$2:Transactions_RAW_cleaned[[#This Row],[ServiceID]],Transactions_RAW_cleaned[[#This Row],[ServiceID]])=1,"Yes","No")</f>
        <v>Yes</v>
      </c>
      <c r="S69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90" t="str">
        <f>"Q"&amp;ROUNDUP(MONTH(Transactions_RAW_cleaned[[#This Row],[TransactionDate]])/3,0)</f>
        <v>Q2</v>
      </c>
      <c r="U690" t="str">
        <f>Transactions_RAW_cleaned[[#This Row],[Region ]]&amp;Transactions_RAW_cleaned[[#This Row],[Quarter ]]</f>
        <v>APACQ2</v>
      </c>
      <c r="V690" s="5">
        <f>_xlfn.XLOOKUP(Transactions_RAW_cleaned[[#This Row],[RegionQuarterKey]], Quarterly_Targets_cleaned[RegionQuarterKey], Quarterly_Targets_cleaned[TargetRevenue])</f>
        <v>110000</v>
      </c>
    </row>
    <row r="691" spans="1:22" x14ac:dyDescent="0.25">
      <c r="A691" t="s">
        <v>1025</v>
      </c>
      <c r="B691" s="1">
        <v>45512</v>
      </c>
      <c r="C691" t="s">
        <v>265</v>
      </c>
      <c r="D691" t="s">
        <v>306</v>
      </c>
      <c r="E691">
        <v>-187.66</v>
      </c>
      <c r="F691" t="s">
        <v>349</v>
      </c>
      <c r="G691" t="s">
        <v>337</v>
      </c>
      <c r="I691" t="s">
        <v>8</v>
      </c>
      <c r="J691" t="s">
        <v>102</v>
      </c>
      <c r="K691" t="s">
        <v>32</v>
      </c>
      <c r="L691" t="s">
        <v>307</v>
      </c>
      <c r="M691" t="s">
        <v>308</v>
      </c>
      <c r="N691">
        <v>0</v>
      </c>
      <c r="O691" t="str">
        <f>IF(Transactions_RAW_cleaned[[#This Row],[Status]]="Completed", IFERROR(_xlfn.XLOOKUP(Transactions_RAW_cleaned[[#This Row],[CustomerID]], Customers_cleaned[CustomerID], Customers_cleaned[Segment]), "Customer Not Found"), "N/A")</f>
        <v>N/A</v>
      </c>
      <c r="P691" s="5" t="str">
        <f>IF(Transactions_RAW_cleaned[[#This Row],[Status]]="Refunded", "Refund",
  IF(Transactions_RAW_cleaned[[#This Row],[Category]]="Payments", IF(Transactions_RAW_cleaned[[#This Row],[Amount]]&gt;500,"High Value","Standard"),
    IF(Transactions_RAW_cleaned[[#This Row],[Amount]]&gt;250,"High Value","Standard")))</f>
        <v>Refund</v>
      </c>
      <c r="Q691" s="5" t="str">
        <f>IF(Transactions_RAW_cleaned[[#This Row],[Amount]] &gt; (_xlfn.XLOOKUP(Transactions_RAW_cleaned[[#This Row],[ServiceID]],Services_cleaned[ServiceID],Services_cleaned[TransactionFeePct]) * 10000), "Yes", "No")</f>
        <v>No</v>
      </c>
      <c r="R691" s="5" t="str">
        <f>IF(COUNTIFS($C$2:Transactions_RAW_cleaned[[#This Row],[CustomerID]],Transactions_RAW_cleaned[[#This Row],[CustomerID]],$D$2:Transactions_RAW_cleaned[[#This Row],[ServiceID]],Transactions_RAW_cleaned[[#This Row],[ServiceID]])=1,"Yes","No")</f>
        <v>Yes</v>
      </c>
      <c r="S69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91" t="str">
        <f>"Q"&amp;ROUNDUP(MONTH(Transactions_RAW_cleaned[[#This Row],[TransactionDate]])/3,0)</f>
        <v>Q3</v>
      </c>
      <c r="U691" t="str">
        <f>Transactions_RAW_cleaned[[#This Row],[Region ]]&amp;Transactions_RAW_cleaned[[#This Row],[Quarter ]]</f>
        <v>NAQ3</v>
      </c>
      <c r="V691" s="5">
        <f>_xlfn.XLOOKUP(Transactions_RAW_cleaned[[#This Row],[RegionQuarterKey]], Quarterly_Targets_cleaned[RegionQuarterKey], Quarterly_Targets_cleaned[TargetRevenue])</f>
        <v>273000</v>
      </c>
    </row>
    <row r="692" spans="1:22" x14ac:dyDescent="0.25">
      <c r="A692" t="s">
        <v>1026</v>
      </c>
      <c r="B692" s="1">
        <v>45656</v>
      </c>
      <c r="C692" t="s">
        <v>143</v>
      </c>
      <c r="D692" t="s">
        <v>294</v>
      </c>
      <c r="E692">
        <v>157.94</v>
      </c>
      <c r="F692" t="s">
        <v>331</v>
      </c>
      <c r="G692" t="s">
        <v>325</v>
      </c>
      <c r="I692" t="s">
        <v>8</v>
      </c>
      <c r="J692" t="s">
        <v>102</v>
      </c>
      <c r="K692" t="s">
        <v>22</v>
      </c>
      <c r="L692" t="s">
        <v>295</v>
      </c>
      <c r="M692" t="s">
        <v>296</v>
      </c>
      <c r="N692">
        <v>2.9000000000000001E-2</v>
      </c>
      <c r="O692" t="str">
        <f>IF(Transactions_RAW_cleaned[[#This Row],[Status]]="Completed", IFERROR(_xlfn.XLOOKUP(Transactions_RAW_cleaned[[#This Row],[CustomerID]], Customers_cleaned[CustomerID], Customers_cleaned[Segment]), "Customer Not Found"), "N/A")</f>
        <v>N/A</v>
      </c>
      <c r="P692" s="5" t="str">
        <f>IF(Transactions_RAW_cleaned[[#This Row],[Status]]="Refunded", "Refund",
  IF(Transactions_RAW_cleaned[[#This Row],[Category]]="Payments", IF(Transactions_RAW_cleaned[[#This Row],[Amount]]&gt;500,"High Value","Standard"),
    IF(Transactions_RAW_cleaned[[#This Row],[Amount]]&gt;250,"High Value","Standard")))</f>
        <v>Standard</v>
      </c>
      <c r="Q692" s="5" t="str">
        <f>IF(Transactions_RAW_cleaned[[#This Row],[Amount]] &gt; (_xlfn.XLOOKUP(Transactions_RAW_cleaned[[#This Row],[ServiceID]],Services_cleaned[ServiceID],Services_cleaned[TransactionFeePct]) * 10000), "Yes", "No")</f>
        <v>No</v>
      </c>
      <c r="R692" s="5" t="str">
        <f>IF(COUNTIFS($C$2:Transactions_RAW_cleaned[[#This Row],[CustomerID]],Transactions_RAW_cleaned[[#This Row],[CustomerID]],$D$2:Transactions_RAW_cleaned[[#This Row],[ServiceID]],Transactions_RAW_cleaned[[#This Row],[ServiceID]])=1,"Yes","No")</f>
        <v>No</v>
      </c>
      <c r="S69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92" t="str">
        <f>"Q"&amp;ROUNDUP(MONTH(Transactions_RAW_cleaned[[#This Row],[TransactionDate]])/3,0)</f>
        <v>Q4</v>
      </c>
      <c r="U692" t="str">
        <f>Transactions_RAW_cleaned[[#This Row],[Region ]]&amp;Transactions_RAW_cleaned[[#This Row],[Quarter ]]</f>
        <v>NAQ4</v>
      </c>
      <c r="V692" s="5">
        <f>_xlfn.XLOOKUP(Transactions_RAW_cleaned[[#This Row],[RegionQuarterKey]], Quarterly_Targets_cleaned[RegionQuarterKey], Quarterly_Targets_cleaned[TargetRevenue])</f>
        <v>299000</v>
      </c>
    </row>
    <row r="693" spans="1:22" x14ac:dyDescent="0.25">
      <c r="A693" t="s">
        <v>1027</v>
      </c>
      <c r="B693" s="1">
        <v>45494</v>
      </c>
      <c r="C693" t="s">
        <v>205</v>
      </c>
      <c r="D693" t="s">
        <v>294</v>
      </c>
      <c r="E693">
        <v>207.23</v>
      </c>
      <c r="F693" t="s">
        <v>324</v>
      </c>
      <c r="G693" t="s">
        <v>327</v>
      </c>
      <c r="H693" t="s">
        <v>334</v>
      </c>
      <c r="I693" t="s">
        <v>8</v>
      </c>
      <c r="J693" t="s">
        <v>21</v>
      </c>
      <c r="K693" t="s">
        <v>14</v>
      </c>
      <c r="L693" t="s">
        <v>295</v>
      </c>
      <c r="M693" t="s">
        <v>296</v>
      </c>
      <c r="N693">
        <v>2.9000000000000001E-2</v>
      </c>
      <c r="O693" t="str">
        <f>IF(Transactions_RAW_cleaned[[#This Row],[Status]]="Completed", IFERROR(_xlfn.XLOOKUP(Transactions_RAW_cleaned[[#This Row],[CustomerID]], Customers_cleaned[CustomerID], Customers_cleaned[Segment]), "Customer Not Found"), "N/A")</f>
        <v>SMB</v>
      </c>
      <c r="P693" s="5" t="str">
        <f>IF(Transactions_RAW_cleaned[[#This Row],[Status]]="Refunded", "Refund",
  IF(Transactions_RAW_cleaned[[#This Row],[Category]]="Payments", IF(Transactions_RAW_cleaned[[#This Row],[Amount]]&gt;500,"High Value","Standard"),
    IF(Transactions_RAW_cleaned[[#This Row],[Amount]]&gt;250,"High Value","Standard")))</f>
        <v>Standard</v>
      </c>
      <c r="Q693" s="5" t="str">
        <f>IF(Transactions_RAW_cleaned[[#This Row],[Amount]] &gt; (_xlfn.XLOOKUP(Transactions_RAW_cleaned[[#This Row],[ServiceID]],Services_cleaned[ServiceID],Services_cleaned[TransactionFeePct]) * 10000), "Yes", "No")</f>
        <v>No</v>
      </c>
      <c r="R693" s="5" t="str">
        <f>IF(COUNTIFS($C$2:Transactions_RAW_cleaned[[#This Row],[CustomerID]],Transactions_RAW_cleaned[[#This Row],[CustomerID]],$D$2:Transactions_RAW_cleaned[[#This Row],[ServiceID]],Transactions_RAW_cleaned[[#This Row],[ServiceID]])=1,"Yes","No")</f>
        <v>Yes</v>
      </c>
      <c r="S69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93" t="str">
        <f>"Q"&amp;ROUNDUP(MONTH(Transactions_RAW_cleaned[[#This Row],[TransactionDate]])/3,0)</f>
        <v>Q3</v>
      </c>
      <c r="U693" t="str">
        <f>Transactions_RAW_cleaned[[#This Row],[Region ]]&amp;Transactions_RAW_cleaned[[#This Row],[Quarter ]]</f>
        <v>APACQ3</v>
      </c>
      <c r="V693" s="5">
        <f>_xlfn.XLOOKUP(Transactions_RAW_cleaned[[#This Row],[RegionQuarterKey]], Quarterly_Targets_cleaned[RegionQuarterKey], Quarterly_Targets_cleaned[TargetRevenue])</f>
        <v>115500</v>
      </c>
    </row>
    <row r="694" spans="1:22" x14ac:dyDescent="0.25">
      <c r="A694" t="s">
        <v>1028</v>
      </c>
      <c r="B694" s="1">
        <v>45586</v>
      </c>
      <c r="C694" t="s">
        <v>80</v>
      </c>
      <c r="D694" t="s">
        <v>297</v>
      </c>
      <c r="E694">
        <v>536.63</v>
      </c>
      <c r="F694" t="s">
        <v>324</v>
      </c>
      <c r="G694" t="s">
        <v>327</v>
      </c>
      <c r="I694" t="s">
        <v>8</v>
      </c>
      <c r="J694" t="s">
        <v>13</v>
      </c>
      <c r="K694" t="s">
        <v>32</v>
      </c>
      <c r="L694" t="s">
        <v>298</v>
      </c>
      <c r="M694" t="s">
        <v>299</v>
      </c>
      <c r="N694">
        <v>0</v>
      </c>
      <c r="O694" t="str">
        <f>IF(Transactions_RAW_cleaned[[#This Row],[Status]]="Completed", IFERROR(_xlfn.XLOOKUP(Transactions_RAW_cleaned[[#This Row],[CustomerID]], Customers_cleaned[CustomerID], Customers_cleaned[Segment]), "Customer Not Found"), "N/A")</f>
        <v>SMB</v>
      </c>
      <c r="P694" s="5" t="str">
        <f>IF(Transactions_RAW_cleaned[[#This Row],[Status]]="Refunded", "Refund",
  IF(Transactions_RAW_cleaned[[#This Row],[Category]]="Payments", IF(Transactions_RAW_cleaned[[#This Row],[Amount]]&gt;500,"High Value","Standard"),
    IF(Transactions_RAW_cleaned[[#This Row],[Amount]]&gt;250,"High Value","Standard")))</f>
        <v>High Value</v>
      </c>
      <c r="Q694" s="5" t="str">
        <f>IF(Transactions_RAW_cleaned[[#This Row],[Amount]] &gt; (_xlfn.XLOOKUP(Transactions_RAW_cleaned[[#This Row],[ServiceID]],Services_cleaned[ServiceID],Services_cleaned[TransactionFeePct]) * 10000), "Yes", "No")</f>
        <v>Yes</v>
      </c>
      <c r="R694" s="5" t="str">
        <f>IF(COUNTIFS($C$2:Transactions_RAW_cleaned[[#This Row],[CustomerID]],Transactions_RAW_cleaned[[#This Row],[CustomerID]],$D$2:Transactions_RAW_cleaned[[#This Row],[ServiceID]],Transactions_RAW_cleaned[[#This Row],[ServiceID]])=1,"Yes","No")</f>
        <v>Yes</v>
      </c>
      <c r="S69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94" t="str">
        <f>"Q"&amp;ROUNDUP(MONTH(Transactions_RAW_cleaned[[#This Row],[TransactionDate]])/3,0)</f>
        <v>Q4</v>
      </c>
      <c r="U694" t="str">
        <f>Transactions_RAW_cleaned[[#This Row],[Region ]]&amp;Transactions_RAW_cleaned[[#This Row],[Quarter ]]</f>
        <v>NAQ4</v>
      </c>
      <c r="V694" s="5">
        <f>_xlfn.XLOOKUP(Transactions_RAW_cleaned[[#This Row],[RegionQuarterKey]], Quarterly_Targets_cleaned[RegionQuarterKey], Quarterly_Targets_cleaned[TargetRevenue])</f>
        <v>299000</v>
      </c>
    </row>
    <row r="695" spans="1:22" x14ac:dyDescent="0.25">
      <c r="A695" t="s">
        <v>1029</v>
      </c>
      <c r="B695" s="1">
        <v>45339</v>
      </c>
      <c r="C695" t="s">
        <v>173</v>
      </c>
      <c r="D695" t="s">
        <v>312</v>
      </c>
      <c r="E695">
        <v>708.81</v>
      </c>
      <c r="F695" t="s">
        <v>324</v>
      </c>
      <c r="G695" t="s">
        <v>327</v>
      </c>
      <c r="I695" t="s">
        <v>8</v>
      </c>
      <c r="J695" t="s">
        <v>46</v>
      </c>
      <c r="K695" t="s">
        <v>32</v>
      </c>
      <c r="L695" t="s">
        <v>313</v>
      </c>
      <c r="M695" t="s">
        <v>314</v>
      </c>
      <c r="N695">
        <v>0</v>
      </c>
      <c r="O695" t="str">
        <f>IF(Transactions_RAW_cleaned[[#This Row],[Status]]="Completed", IFERROR(_xlfn.XLOOKUP(Transactions_RAW_cleaned[[#This Row],[CustomerID]], Customers_cleaned[CustomerID], Customers_cleaned[Segment]), "Customer Not Found"), "N/A")</f>
        <v>SMB</v>
      </c>
      <c r="P695" s="5" t="str">
        <f>IF(Transactions_RAW_cleaned[[#This Row],[Status]]="Refunded", "Refund",
  IF(Transactions_RAW_cleaned[[#This Row],[Category]]="Payments", IF(Transactions_RAW_cleaned[[#This Row],[Amount]]&gt;500,"High Value","Standard"),
    IF(Transactions_RAW_cleaned[[#This Row],[Amount]]&gt;250,"High Value","Standard")))</f>
        <v>High Value</v>
      </c>
      <c r="Q695" s="5" t="str">
        <f>IF(Transactions_RAW_cleaned[[#This Row],[Amount]] &gt; (_xlfn.XLOOKUP(Transactions_RAW_cleaned[[#This Row],[ServiceID]],Services_cleaned[ServiceID],Services_cleaned[TransactionFeePct]) * 10000), "Yes", "No")</f>
        <v>Yes</v>
      </c>
      <c r="R695" s="5" t="str">
        <f>IF(COUNTIFS($C$2:Transactions_RAW_cleaned[[#This Row],[CustomerID]],Transactions_RAW_cleaned[[#This Row],[CustomerID]],$D$2:Transactions_RAW_cleaned[[#This Row],[ServiceID]],Transactions_RAW_cleaned[[#This Row],[ServiceID]])=1,"Yes","No")</f>
        <v>No</v>
      </c>
      <c r="S69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95" t="str">
        <f>"Q"&amp;ROUNDUP(MONTH(Transactions_RAW_cleaned[[#This Row],[TransactionDate]])/3,0)</f>
        <v>Q1</v>
      </c>
      <c r="U695" t="str">
        <f>Transactions_RAW_cleaned[[#This Row],[Region ]]&amp;Transactions_RAW_cleaned[[#This Row],[Quarter ]]</f>
        <v>APACQ1</v>
      </c>
      <c r="V695" s="5">
        <f>_xlfn.XLOOKUP(Transactions_RAW_cleaned[[#This Row],[RegionQuarterKey]], Quarterly_Targets_cleaned[RegionQuarterKey], Quarterly_Targets_cleaned[TargetRevenue])</f>
        <v>104500</v>
      </c>
    </row>
    <row r="696" spans="1:22" x14ac:dyDescent="0.25">
      <c r="A696" t="s">
        <v>1030</v>
      </c>
      <c r="B696" s="1">
        <v>45614</v>
      </c>
      <c r="C696" t="s">
        <v>47</v>
      </c>
      <c r="D696" t="s">
        <v>294</v>
      </c>
      <c r="E696">
        <v>442.85</v>
      </c>
      <c r="F696" t="s">
        <v>324</v>
      </c>
      <c r="G696" t="s">
        <v>329</v>
      </c>
      <c r="H696" t="s">
        <v>332</v>
      </c>
      <c r="I696" t="s">
        <v>8</v>
      </c>
      <c r="J696" t="s">
        <v>21</v>
      </c>
      <c r="K696" t="s">
        <v>22</v>
      </c>
      <c r="L696" t="s">
        <v>295</v>
      </c>
      <c r="M696" t="s">
        <v>296</v>
      </c>
      <c r="N696">
        <v>2.9000000000000001E-2</v>
      </c>
      <c r="O696" t="str">
        <f>IF(Transactions_RAW_cleaned[[#This Row],[Status]]="Completed", IFERROR(_xlfn.XLOOKUP(Transactions_RAW_cleaned[[#This Row],[CustomerID]], Customers_cleaned[CustomerID], Customers_cleaned[Segment]), "Customer Not Found"), "N/A")</f>
        <v>SMB</v>
      </c>
      <c r="P696" s="5" t="str">
        <f>IF(Transactions_RAW_cleaned[[#This Row],[Status]]="Refunded", "Refund",
  IF(Transactions_RAW_cleaned[[#This Row],[Category]]="Payments", IF(Transactions_RAW_cleaned[[#This Row],[Amount]]&gt;500,"High Value","Standard"),
    IF(Transactions_RAW_cleaned[[#This Row],[Amount]]&gt;250,"High Value","Standard")))</f>
        <v>Standard</v>
      </c>
      <c r="Q696" s="5" t="str">
        <f>IF(Transactions_RAW_cleaned[[#This Row],[Amount]] &gt; (_xlfn.XLOOKUP(Transactions_RAW_cleaned[[#This Row],[ServiceID]],Services_cleaned[ServiceID],Services_cleaned[TransactionFeePct]) * 10000), "Yes", "No")</f>
        <v>Yes</v>
      </c>
      <c r="R696" s="5" t="str">
        <f>IF(COUNTIFS($C$2:Transactions_RAW_cleaned[[#This Row],[CustomerID]],Transactions_RAW_cleaned[[#This Row],[CustomerID]],$D$2:Transactions_RAW_cleaned[[#This Row],[ServiceID]],Transactions_RAW_cleaned[[#This Row],[ServiceID]])=1,"Yes","No")</f>
        <v>No</v>
      </c>
      <c r="S69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96" t="str">
        <f>"Q"&amp;ROUNDUP(MONTH(Transactions_RAW_cleaned[[#This Row],[TransactionDate]])/3,0)</f>
        <v>Q4</v>
      </c>
      <c r="U696" t="str">
        <f>Transactions_RAW_cleaned[[#This Row],[Region ]]&amp;Transactions_RAW_cleaned[[#This Row],[Quarter ]]</f>
        <v>APACQ4</v>
      </c>
      <c r="V696" s="5">
        <f>_xlfn.XLOOKUP(Transactions_RAW_cleaned[[#This Row],[RegionQuarterKey]], Quarterly_Targets_cleaned[RegionQuarterKey], Quarterly_Targets_cleaned[TargetRevenue])</f>
        <v>126500</v>
      </c>
    </row>
    <row r="697" spans="1:22" x14ac:dyDescent="0.25">
      <c r="A697" t="s">
        <v>1031</v>
      </c>
      <c r="B697" s="1">
        <v>45375</v>
      </c>
      <c r="C697" t="s">
        <v>53</v>
      </c>
      <c r="D697" t="s">
        <v>297</v>
      </c>
      <c r="E697">
        <v>-1163.56</v>
      </c>
      <c r="F697" t="s">
        <v>349</v>
      </c>
      <c r="G697" t="s">
        <v>327</v>
      </c>
      <c r="I697" t="s">
        <v>17</v>
      </c>
      <c r="J697" t="s">
        <v>21</v>
      </c>
      <c r="K697" t="s">
        <v>28</v>
      </c>
      <c r="L697" t="s">
        <v>298</v>
      </c>
      <c r="M697" t="s">
        <v>299</v>
      </c>
      <c r="N697">
        <v>0</v>
      </c>
      <c r="O697" t="str">
        <f>IF(Transactions_RAW_cleaned[[#This Row],[Status]]="Completed", IFERROR(_xlfn.XLOOKUP(Transactions_RAW_cleaned[[#This Row],[CustomerID]], Customers_cleaned[CustomerID], Customers_cleaned[Segment]), "Customer Not Found"), "N/A")</f>
        <v>N/A</v>
      </c>
      <c r="P697" s="5" t="str">
        <f>IF(Transactions_RAW_cleaned[[#This Row],[Status]]="Refunded", "Refund",
  IF(Transactions_RAW_cleaned[[#This Row],[Category]]="Payments", IF(Transactions_RAW_cleaned[[#This Row],[Amount]]&gt;500,"High Value","Standard"),
    IF(Transactions_RAW_cleaned[[#This Row],[Amount]]&gt;250,"High Value","Standard")))</f>
        <v>Refund</v>
      </c>
      <c r="Q697" s="5" t="str">
        <f>IF(Transactions_RAW_cleaned[[#This Row],[Amount]] &gt; (_xlfn.XLOOKUP(Transactions_RAW_cleaned[[#This Row],[ServiceID]],Services_cleaned[ServiceID],Services_cleaned[TransactionFeePct]) * 10000), "Yes", "No")</f>
        <v>No</v>
      </c>
      <c r="R697" s="5" t="str">
        <f>IF(COUNTIFS($C$2:Transactions_RAW_cleaned[[#This Row],[CustomerID]],Transactions_RAW_cleaned[[#This Row],[CustomerID]],$D$2:Transactions_RAW_cleaned[[#This Row],[ServiceID]],Transactions_RAW_cleaned[[#This Row],[ServiceID]])=1,"Yes","No")</f>
        <v>Yes</v>
      </c>
      <c r="S69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697" t="str">
        <f>"Q"&amp;ROUNDUP(MONTH(Transactions_RAW_cleaned[[#This Row],[TransactionDate]])/3,0)</f>
        <v>Q1</v>
      </c>
      <c r="U697" t="str">
        <f>Transactions_RAW_cleaned[[#This Row],[Region ]]&amp;Transactions_RAW_cleaned[[#This Row],[Quarter ]]</f>
        <v>APACQ1</v>
      </c>
      <c r="V697" s="5">
        <f>_xlfn.XLOOKUP(Transactions_RAW_cleaned[[#This Row],[RegionQuarterKey]], Quarterly_Targets_cleaned[RegionQuarterKey], Quarterly_Targets_cleaned[TargetRevenue])</f>
        <v>104500</v>
      </c>
    </row>
    <row r="698" spans="1:22" x14ac:dyDescent="0.25">
      <c r="A698" t="s">
        <v>1032</v>
      </c>
      <c r="B698" s="1">
        <v>45473</v>
      </c>
      <c r="C698" t="s">
        <v>115</v>
      </c>
      <c r="D698" t="s">
        <v>294</v>
      </c>
      <c r="E698">
        <v>439.29</v>
      </c>
      <c r="F698" t="s">
        <v>324</v>
      </c>
      <c r="G698" t="s">
        <v>337</v>
      </c>
      <c r="H698" t="s">
        <v>332</v>
      </c>
      <c r="I698" t="s">
        <v>17</v>
      </c>
      <c r="J698" t="s">
        <v>102</v>
      </c>
      <c r="K698" t="s">
        <v>32</v>
      </c>
      <c r="L698" t="s">
        <v>295</v>
      </c>
      <c r="M698" t="s">
        <v>296</v>
      </c>
      <c r="N698">
        <v>2.9000000000000001E-2</v>
      </c>
      <c r="O698" t="str">
        <f>IF(Transactions_RAW_cleaned[[#This Row],[Status]]="Completed", IFERROR(_xlfn.XLOOKUP(Transactions_RAW_cleaned[[#This Row],[CustomerID]], Customers_cleaned[CustomerID], Customers_cleaned[Segment]), "Customer Not Found"), "N/A")</f>
        <v>Enterprise</v>
      </c>
      <c r="P698" s="5" t="str">
        <f>IF(Transactions_RAW_cleaned[[#This Row],[Status]]="Refunded", "Refund",
  IF(Transactions_RAW_cleaned[[#This Row],[Category]]="Payments", IF(Transactions_RAW_cleaned[[#This Row],[Amount]]&gt;500,"High Value","Standard"),
    IF(Transactions_RAW_cleaned[[#This Row],[Amount]]&gt;250,"High Value","Standard")))</f>
        <v>Standard</v>
      </c>
      <c r="Q698" s="5" t="str">
        <f>IF(Transactions_RAW_cleaned[[#This Row],[Amount]] &gt; (_xlfn.XLOOKUP(Transactions_RAW_cleaned[[#This Row],[ServiceID]],Services_cleaned[ServiceID],Services_cleaned[TransactionFeePct]) * 10000), "Yes", "No")</f>
        <v>Yes</v>
      </c>
      <c r="R698" s="5" t="str">
        <f>IF(COUNTIFS($C$2:Transactions_RAW_cleaned[[#This Row],[CustomerID]],Transactions_RAW_cleaned[[#This Row],[CustomerID]],$D$2:Transactions_RAW_cleaned[[#This Row],[ServiceID]],Transactions_RAW_cleaned[[#This Row],[ServiceID]])=1,"Yes","No")</f>
        <v>No</v>
      </c>
      <c r="S69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698" t="str">
        <f>"Q"&amp;ROUNDUP(MONTH(Transactions_RAW_cleaned[[#This Row],[TransactionDate]])/3,0)</f>
        <v>Q2</v>
      </c>
      <c r="U698" t="str">
        <f>Transactions_RAW_cleaned[[#This Row],[Region ]]&amp;Transactions_RAW_cleaned[[#This Row],[Quarter ]]</f>
        <v>NAQ2</v>
      </c>
      <c r="V698" s="5">
        <f>_xlfn.XLOOKUP(Transactions_RAW_cleaned[[#This Row],[RegionQuarterKey]], Quarterly_Targets_cleaned[RegionQuarterKey], Quarterly_Targets_cleaned[TargetRevenue])</f>
        <v>260000</v>
      </c>
    </row>
    <row r="699" spans="1:22" x14ac:dyDescent="0.25">
      <c r="A699" t="s">
        <v>1033</v>
      </c>
      <c r="B699" s="1">
        <v>45631</v>
      </c>
      <c r="C699" t="s">
        <v>175</v>
      </c>
      <c r="D699" t="s">
        <v>309</v>
      </c>
      <c r="E699">
        <v>483.98</v>
      </c>
      <c r="F699" t="s">
        <v>324</v>
      </c>
      <c r="G699" t="s">
        <v>325</v>
      </c>
      <c r="H699" t="s">
        <v>334</v>
      </c>
      <c r="I699" t="s">
        <v>8</v>
      </c>
      <c r="J699" t="s">
        <v>31</v>
      </c>
      <c r="K699" t="s">
        <v>32</v>
      </c>
      <c r="L699" t="s">
        <v>310</v>
      </c>
      <c r="M699" t="s">
        <v>311</v>
      </c>
      <c r="N699">
        <v>0</v>
      </c>
      <c r="O699" t="str">
        <f>IF(Transactions_RAW_cleaned[[#This Row],[Status]]="Completed", IFERROR(_xlfn.XLOOKUP(Transactions_RAW_cleaned[[#This Row],[CustomerID]], Customers_cleaned[CustomerID], Customers_cleaned[Segment]), "Customer Not Found"), "N/A")</f>
        <v>SMB</v>
      </c>
      <c r="P699" s="5" t="str">
        <f>IF(Transactions_RAW_cleaned[[#This Row],[Status]]="Refunded", "Refund",
  IF(Transactions_RAW_cleaned[[#This Row],[Category]]="Payments", IF(Transactions_RAW_cleaned[[#This Row],[Amount]]&gt;500,"High Value","Standard"),
    IF(Transactions_RAW_cleaned[[#This Row],[Amount]]&gt;250,"High Value","Standard")))</f>
        <v>High Value</v>
      </c>
      <c r="Q699" s="5" t="str">
        <f>IF(Transactions_RAW_cleaned[[#This Row],[Amount]] &gt; (_xlfn.XLOOKUP(Transactions_RAW_cleaned[[#This Row],[ServiceID]],Services_cleaned[ServiceID],Services_cleaned[TransactionFeePct]) * 10000), "Yes", "No")</f>
        <v>Yes</v>
      </c>
      <c r="R699" s="5" t="str">
        <f>IF(COUNTIFS($C$2:Transactions_RAW_cleaned[[#This Row],[CustomerID]],Transactions_RAW_cleaned[[#This Row],[CustomerID]],$D$2:Transactions_RAW_cleaned[[#This Row],[ServiceID]],Transactions_RAW_cleaned[[#This Row],[ServiceID]])=1,"Yes","No")</f>
        <v>Yes</v>
      </c>
      <c r="S69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699" t="str">
        <f>"Q"&amp;ROUNDUP(MONTH(Transactions_RAW_cleaned[[#This Row],[TransactionDate]])/3,0)</f>
        <v>Q4</v>
      </c>
      <c r="U699" t="str">
        <f>Transactions_RAW_cleaned[[#This Row],[Region ]]&amp;Transactions_RAW_cleaned[[#This Row],[Quarter ]]</f>
        <v>EMEAQ4</v>
      </c>
      <c r="V699" s="5">
        <f>_xlfn.XLOOKUP(Transactions_RAW_cleaned[[#This Row],[RegionQuarterKey]], Quarterly_Targets_cleaned[RegionQuarterKey], Quarterly_Targets_cleaned[TargetRevenue])</f>
        <v>161000</v>
      </c>
    </row>
    <row r="700" spans="1:22" x14ac:dyDescent="0.25">
      <c r="A700" t="s">
        <v>1034</v>
      </c>
      <c r="B700" s="1">
        <v>45533</v>
      </c>
      <c r="C700" t="s">
        <v>183</v>
      </c>
      <c r="D700" t="s">
        <v>294</v>
      </c>
      <c r="E700">
        <v>180.47</v>
      </c>
      <c r="F700" t="s">
        <v>324</v>
      </c>
      <c r="G700" t="s">
        <v>327</v>
      </c>
      <c r="I700" t="s">
        <v>8</v>
      </c>
      <c r="J700" t="s">
        <v>13</v>
      </c>
      <c r="K700" t="s">
        <v>10</v>
      </c>
      <c r="L700" t="s">
        <v>295</v>
      </c>
      <c r="M700" t="s">
        <v>296</v>
      </c>
      <c r="N700">
        <v>2.9000000000000001E-2</v>
      </c>
      <c r="O700" t="str">
        <f>IF(Transactions_RAW_cleaned[[#This Row],[Status]]="Completed", IFERROR(_xlfn.XLOOKUP(Transactions_RAW_cleaned[[#This Row],[CustomerID]], Customers_cleaned[CustomerID], Customers_cleaned[Segment]), "Customer Not Found"), "N/A")</f>
        <v>SMB</v>
      </c>
      <c r="P700" s="5" t="str">
        <f>IF(Transactions_RAW_cleaned[[#This Row],[Status]]="Refunded", "Refund",
  IF(Transactions_RAW_cleaned[[#This Row],[Category]]="Payments", IF(Transactions_RAW_cleaned[[#This Row],[Amount]]&gt;500,"High Value","Standard"),
    IF(Transactions_RAW_cleaned[[#This Row],[Amount]]&gt;250,"High Value","Standard")))</f>
        <v>Standard</v>
      </c>
      <c r="Q700" s="5" t="str">
        <f>IF(Transactions_RAW_cleaned[[#This Row],[Amount]] &gt; (_xlfn.XLOOKUP(Transactions_RAW_cleaned[[#This Row],[ServiceID]],Services_cleaned[ServiceID],Services_cleaned[TransactionFeePct]) * 10000), "Yes", "No")</f>
        <v>No</v>
      </c>
      <c r="R700" s="5" t="str">
        <f>IF(COUNTIFS($C$2:Transactions_RAW_cleaned[[#This Row],[CustomerID]],Transactions_RAW_cleaned[[#This Row],[CustomerID]],$D$2:Transactions_RAW_cleaned[[#This Row],[ServiceID]],Transactions_RAW_cleaned[[#This Row],[ServiceID]])=1,"Yes","No")</f>
        <v>No</v>
      </c>
      <c r="S70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00" t="str">
        <f>"Q"&amp;ROUNDUP(MONTH(Transactions_RAW_cleaned[[#This Row],[TransactionDate]])/3,0)</f>
        <v>Q3</v>
      </c>
      <c r="U700" t="str">
        <f>Transactions_RAW_cleaned[[#This Row],[Region ]]&amp;Transactions_RAW_cleaned[[#This Row],[Quarter ]]</f>
        <v>NAQ3</v>
      </c>
      <c r="V700" s="5">
        <f>_xlfn.XLOOKUP(Transactions_RAW_cleaned[[#This Row],[RegionQuarterKey]], Quarterly_Targets_cleaned[RegionQuarterKey], Quarterly_Targets_cleaned[TargetRevenue])</f>
        <v>273000</v>
      </c>
    </row>
    <row r="701" spans="1:22" x14ac:dyDescent="0.25">
      <c r="A701" t="s">
        <v>1035</v>
      </c>
      <c r="B701" s="1">
        <v>45538</v>
      </c>
      <c r="C701" t="s">
        <v>26</v>
      </c>
      <c r="D701" t="s">
        <v>297</v>
      </c>
      <c r="E701">
        <v>844.04</v>
      </c>
      <c r="F701" t="s">
        <v>324</v>
      </c>
      <c r="G701" t="s">
        <v>325</v>
      </c>
      <c r="H701" t="s">
        <v>334</v>
      </c>
      <c r="I701" t="s">
        <v>8</v>
      </c>
      <c r="J701" t="s">
        <v>102</v>
      </c>
      <c r="K701" t="s">
        <v>28</v>
      </c>
      <c r="L701" t="s">
        <v>298</v>
      </c>
      <c r="M701" t="s">
        <v>299</v>
      </c>
      <c r="N701">
        <v>0</v>
      </c>
      <c r="O701" t="str">
        <f>IF(Transactions_RAW_cleaned[[#This Row],[Status]]="Completed", IFERROR(_xlfn.XLOOKUP(Transactions_RAW_cleaned[[#This Row],[CustomerID]], Customers_cleaned[CustomerID], Customers_cleaned[Segment]), "Customer Not Found"), "N/A")</f>
        <v>SMB</v>
      </c>
      <c r="P701" s="5" t="str">
        <f>IF(Transactions_RAW_cleaned[[#This Row],[Status]]="Refunded", "Refund",
  IF(Transactions_RAW_cleaned[[#This Row],[Category]]="Payments", IF(Transactions_RAW_cleaned[[#This Row],[Amount]]&gt;500,"High Value","Standard"),
    IF(Transactions_RAW_cleaned[[#This Row],[Amount]]&gt;250,"High Value","Standard")))</f>
        <v>High Value</v>
      </c>
      <c r="Q701" s="5" t="str">
        <f>IF(Transactions_RAW_cleaned[[#This Row],[Amount]] &gt; (_xlfn.XLOOKUP(Transactions_RAW_cleaned[[#This Row],[ServiceID]],Services_cleaned[ServiceID],Services_cleaned[TransactionFeePct]) * 10000), "Yes", "No")</f>
        <v>Yes</v>
      </c>
      <c r="R701" s="5" t="str">
        <f>IF(COUNTIFS($C$2:Transactions_RAW_cleaned[[#This Row],[CustomerID]],Transactions_RAW_cleaned[[#This Row],[CustomerID]],$D$2:Transactions_RAW_cleaned[[#This Row],[ServiceID]],Transactions_RAW_cleaned[[#This Row],[ServiceID]])=1,"Yes","No")</f>
        <v>No</v>
      </c>
      <c r="S70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01" t="str">
        <f>"Q"&amp;ROUNDUP(MONTH(Transactions_RAW_cleaned[[#This Row],[TransactionDate]])/3,0)</f>
        <v>Q3</v>
      </c>
      <c r="U701" t="str">
        <f>Transactions_RAW_cleaned[[#This Row],[Region ]]&amp;Transactions_RAW_cleaned[[#This Row],[Quarter ]]</f>
        <v>NAQ3</v>
      </c>
      <c r="V701" s="5">
        <f>_xlfn.XLOOKUP(Transactions_RAW_cleaned[[#This Row],[RegionQuarterKey]], Quarterly_Targets_cleaned[RegionQuarterKey], Quarterly_Targets_cleaned[TargetRevenue])</f>
        <v>273000</v>
      </c>
    </row>
    <row r="702" spans="1:22" x14ac:dyDescent="0.25">
      <c r="A702" t="s">
        <v>1036</v>
      </c>
      <c r="B702" s="1">
        <v>45407</v>
      </c>
      <c r="C702" t="s">
        <v>133</v>
      </c>
      <c r="D702" t="s">
        <v>306</v>
      </c>
      <c r="E702">
        <v>402.18</v>
      </c>
      <c r="F702" t="s">
        <v>324</v>
      </c>
      <c r="G702" t="s">
        <v>2963</v>
      </c>
      <c r="H702" t="s">
        <v>346</v>
      </c>
      <c r="I702" t="s">
        <v>17</v>
      </c>
      <c r="J702" t="s">
        <v>102</v>
      </c>
      <c r="K702" t="s">
        <v>22</v>
      </c>
      <c r="L702" t="s">
        <v>307</v>
      </c>
      <c r="M702" t="s">
        <v>308</v>
      </c>
      <c r="N702">
        <v>0</v>
      </c>
      <c r="O702" t="str">
        <f>IF(Transactions_RAW_cleaned[[#This Row],[Status]]="Completed", IFERROR(_xlfn.XLOOKUP(Transactions_RAW_cleaned[[#This Row],[CustomerID]], Customers_cleaned[CustomerID], Customers_cleaned[Segment]), "Customer Not Found"), "N/A")</f>
        <v>Enterprise</v>
      </c>
      <c r="P702" s="5" t="str">
        <f>IF(Transactions_RAW_cleaned[[#This Row],[Status]]="Refunded", "Refund",
  IF(Transactions_RAW_cleaned[[#This Row],[Category]]="Payments", IF(Transactions_RAW_cleaned[[#This Row],[Amount]]&gt;500,"High Value","Standard"),
    IF(Transactions_RAW_cleaned[[#This Row],[Amount]]&gt;250,"High Value","Standard")))</f>
        <v>High Value</v>
      </c>
      <c r="Q702" s="5" t="str">
        <f>IF(Transactions_RAW_cleaned[[#This Row],[Amount]] &gt; (_xlfn.XLOOKUP(Transactions_RAW_cleaned[[#This Row],[ServiceID]],Services_cleaned[ServiceID],Services_cleaned[TransactionFeePct]) * 10000), "Yes", "No")</f>
        <v>Yes</v>
      </c>
      <c r="R702" s="5" t="str">
        <f>IF(COUNTIFS($C$2:Transactions_RAW_cleaned[[#This Row],[CustomerID]],Transactions_RAW_cleaned[[#This Row],[CustomerID]],$D$2:Transactions_RAW_cleaned[[#This Row],[ServiceID]],Transactions_RAW_cleaned[[#This Row],[ServiceID]])=1,"Yes","No")</f>
        <v>Yes</v>
      </c>
      <c r="S70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02" t="str">
        <f>"Q"&amp;ROUNDUP(MONTH(Transactions_RAW_cleaned[[#This Row],[TransactionDate]])/3,0)</f>
        <v>Q2</v>
      </c>
      <c r="U702" t="str">
        <f>Transactions_RAW_cleaned[[#This Row],[Region ]]&amp;Transactions_RAW_cleaned[[#This Row],[Quarter ]]</f>
        <v>NAQ2</v>
      </c>
      <c r="V702" s="5">
        <f>_xlfn.XLOOKUP(Transactions_RAW_cleaned[[#This Row],[RegionQuarterKey]], Quarterly_Targets_cleaned[RegionQuarterKey], Quarterly_Targets_cleaned[TargetRevenue])</f>
        <v>260000</v>
      </c>
    </row>
    <row r="703" spans="1:22" x14ac:dyDescent="0.25">
      <c r="A703" t="s">
        <v>1037</v>
      </c>
      <c r="B703" s="1">
        <v>45330</v>
      </c>
      <c r="C703" t="s">
        <v>111</v>
      </c>
      <c r="D703" t="s">
        <v>294</v>
      </c>
      <c r="E703">
        <v>187.33</v>
      </c>
      <c r="F703" t="s">
        <v>324</v>
      </c>
      <c r="G703" t="s">
        <v>327</v>
      </c>
      <c r="H703" t="s">
        <v>332</v>
      </c>
      <c r="I703" t="s">
        <v>8</v>
      </c>
      <c r="J703" t="s">
        <v>21</v>
      </c>
      <c r="K703" t="s">
        <v>28</v>
      </c>
      <c r="L703" t="s">
        <v>295</v>
      </c>
      <c r="M703" t="s">
        <v>296</v>
      </c>
      <c r="N703">
        <v>2.9000000000000001E-2</v>
      </c>
      <c r="O703" t="str">
        <f>IF(Transactions_RAW_cleaned[[#This Row],[Status]]="Completed", IFERROR(_xlfn.XLOOKUP(Transactions_RAW_cleaned[[#This Row],[CustomerID]], Customers_cleaned[CustomerID], Customers_cleaned[Segment]), "Customer Not Found"), "N/A")</f>
        <v>SMB</v>
      </c>
      <c r="P703" s="5" t="str">
        <f>IF(Transactions_RAW_cleaned[[#This Row],[Status]]="Refunded", "Refund",
  IF(Transactions_RAW_cleaned[[#This Row],[Category]]="Payments", IF(Transactions_RAW_cleaned[[#This Row],[Amount]]&gt;500,"High Value","Standard"),
    IF(Transactions_RAW_cleaned[[#This Row],[Amount]]&gt;250,"High Value","Standard")))</f>
        <v>Standard</v>
      </c>
      <c r="Q703" s="5" t="str">
        <f>IF(Transactions_RAW_cleaned[[#This Row],[Amount]] &gt; (_xlfn.XLOOKUP(Transactions_RAW_cleaned[[#This Row],[ServiceID]],Services_cleaned[ServiceID],Services_cleaned[TransactionFeePct]) * 10000), "Yes", "No")</f>
        <v>No</v>
      </c>
      <c r="R703" s="5" t="str">
        <f>IF(COUNTIFS($C$2:Transactions_RAW_cleaned[[#This Row],[CustomerID]],Transactions_RAW_cleaned[[#This Row],[CustomerID]],$D$2:Transactions_RAW_cleaned[[#This Row],[ServiceID]],Transactions_RAW_cleaned[[#This Row],[ServiceID]])=1,"Yes","No")</f>
        <v>Yes</v>
      </c>
      <c r="S70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03" t="str">
        <f>"Q"&amp;ROUNDUP(MONTH(Transactions_RAW_cleaned[[#This Row],[TransactionDate]])/3,0)</f>
        <v>Q1</v>
      </c>
      <c r="U703" t="str">
        <f>Transactions_RAW_cleaned[[#This Row],[Region ]]&amp;Transactions_RAW_cleaned[[#This Row],[Quarter ]]</f>
        <v>APACQ1</v>
      </c>
      <c r="V703" s="5">
        <f>_xlfn.XLOOKUP(Transactions_RAW_cleaned[[#This Row],[RegionQuarterKey]], Quarterly_Targets_cleaned[RegionQuarterKey], Quarterly_Targets_cleaned[TargetRevenue])</f>
        <v>104500</v>
      </c>
    </row>
    <row r="704" spans="1:22" x14ac:dyDescent="0.25">
      <c r="A704" t="s">
        <v>1038</v>
      </c>
      <c r="B704" s="1">
        <v>45593</v>
      </c>
      <c r="C704" t="s">
        <v>66</v>
      </c>
      <c r="D704" t="s">
        <v>297</v>
      </c>
      <c r="E704">
        <v>762.52</v>
      </c>
      <c r="F704" t="s">
        <v>324</v>
      </c>
      <c r="G704" t="s">
        <v>329</v>
      </c>
      <c r="I704" t="s">
        <v>8</v>
      </c>
      <c r="J704" t="s">
        <v>46</v>
      </c>
      <c r="K704" t="s">
        <v>10</v>
      </c>
      <c r="L704" t="s">
        <v>298</v>
      </c>
      <c r="M704" t="s">
        <v>299</v>
      </c>
      <c r="N704">
        <v>0</v>
      </c>
      <c r="O704" t="str">
        <f>IF(Transactions_RAW_cleaned[[#This Row],[Status]]="Completed", IFERROR(_xlfn.XLOOKUP(Transactions_RAW_cleaned[[#This Row],[CustomerID]], Customers_cleaned[CustomerID], Customers_cleaned[Segment]), "Customer Not Found"), "N/A")</f>
        <v>SMB</v>
      </c>
      <c r="P704" s="5" t="str">
        <f>IF(Transactions_RAW_cleaned[[#This Row],[Status]]="Refunded", "Refund",
  IF(Transactions_RAW_cleaned[[#This Row],[Category]]="Payments", IF(Transactions_RAW_cleaned[[#This Row],[Amount]]&gt;500,"High Value","Standard"),
    IF(Transactions_RAW_cleaned[[#This Row],[Amount]]&gt;250,"High Value","Standard")))</f>
        <v>High Value</v>
      </c>
      <c r="Q704" s="5" t="str">
        <f>IF(Transactions_RAW_cleaned[[#This Row],[Amount]] &gt; (_xlfn.XLOOKUP(Transactions_RAW_cleaned[[#This Row],[ServiceID]],Services_cleaned[ServiceID],Services_cleaned[TransactionFeePct]) * 10000), "Yes", "No")</f>
        <v>Yes</v>
      </c>
      <c r="R704" s="5" t="str">
        <f>IF(COUNTIFS($C$2:Transactions_RAW_cleaned[[#This Row],[CustomerID]],Transactions_RAW_cleaned[[#This Row],[CustomerID]],$D$2:Transactions_RAW_cleaned[[#This Row],[ServiceID]],Transactions_RAW_cleaned[[#This Row],[ServiceID]])=1,"Yes","No")</f>
        <v>No</v>
      </c>
      <c r="S70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04" t="str">
        <f>"Q"&amp;ROUNDUP(MONTH(Transactions_RAW_cleaned[[#This Row],[TransactionDate]])/3,0)</f>
        <v>Q4</v>
      </c>
      <c r="U704" t="str">
        <f>Transactions_RAW_cleaned[[#This Row],[Region ]]&amp;Transactions_RAW_cleaned[[#This Row],[Quarter ]]</f>
        <v>APACQ4</v>
      </c>
      <c r="V704" s="5">
        <f>_xlfn.XLOOKUP(Transactions_RAW_cleaned[[#This Row],[RegionQuarterKey]], Quarterly_Targets_cleaned[RegionQuarterKey], Quarterly_Targets_cleaned[TargetRevenue])</f>
        <v>126500</v>
      </c>
    </row>
    <row r="705" spans="1:22" x14ac:dyDescent="0.25">
      <c r="A705" t="s">
        <v>1039</v>
      </c>
      <c r="B705" s="1">
        <v>45625</v>
      </c>
      <c r="C705" t="s">
        <v>265</v>
      </c>
      <c r="D705" t="s">
        <v>315</v>
      </c>
      <c r="E705">
        <v>362.63</v>
      </c>
      <c r="F705" t="s">
        <v>331</v>
      </c>
      <c r="G705" t="s">
        <v>325</v>
      </c>
      <c r="I705" t="s">
        <v>8</v>
      </c>
      <c r="J705" t="s">
        <v>102</v>
      </c>
      <c r="K705" t="s">
        <v>32</v>
      </c>
      <c r="L705" t="s">
        <v>316</v>
      </c>
      <c r="M705" t="s">
        <v>305</v>
      </c>
      <c r="N705">
        <v>2.5000000000000001E-3</v>
      </c>
      <c r="O705" t="str">
        <f>IF(Transactions_RAW_cleaned[[#This Row],[Status]]="Completed", IFERROR(_xlfn.XLOOKUP(Transactions_RAW_cleaned[[#This Row],[CustomerID]], Customers_cleaned[CustomerID], Customers_cleaned[Segment]), "Customer Not Found"), "N/A")</f>
        <v>N/A</v>
      </c>
      <c r="P705" s="5" t="str">
        <f>IF(Transactions_RAW_cleaned[[#This Row],[Status]]="Refunded", "Refund",
  IF(Transactions_RAW_cleaned[[#This Row],[Category]]="Payments", IF(Transactions_RAW_cleaned[[#This Row],[Amount]]&gt;500,"High Value","Standard"),
    IF(Transactions_RAW_cleaned[[#This Row],[Amount]]&gt;250,"High Value","Standard")))</f>
        <v>High Value</v>
      </c>
      <c r="Q705" s="5" t="str">
        <f>IF(Transactions_RAW_cleaned[[#This Row],[Amount]] &gt; (_xlfn.XLOOKUP(Transactions_RAW_cleaned[[#This Row],[ServiceID]],Services_cleaned[ServiceID],Services_cleaned[TransactionFeePct]) * 10000), "Yes", "No")</f>
        <v>Yes</v>
      </c>
      <c r="R705" s="5" t="str">
        <f>IF(COUNTIFS($C$2:Transactions_RAW_cleaned[[#This Row],[CustomerID]],Transactions_RAW_cleaned[[#This Row],[CustomerID]],$D$2:Transactions_RAW_cleaned[[#This Row],[ServiceID]],Transactions_RAW_cleaned[[#This Row],[ServiceID]])=1,"Yes","No")</f>
        <v>Yes</v>
      </c>
      <c r="S70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05" t="str">
        <f>"Q"&amp;ROUNDUP(MONTH(Transactions_RAW_cleaned[[#This Row],[TransactionDate]])/3,0)</f>
        <v>Q4</v>
      </c>
      <c r="U705" t="str">
        <f>Transactions_RAW_cleaned[[#This Row],[Region ]]&amp;Transactions_RAW_cleaned[[#This Row],[Quarter ]]</f>
        <v>NAQ4</v>
      </c>
      <c r="V705" s="5">
        <f>_xlfn.XLOOKUP(Transactions_RAW_cleaned[[#This Row],[RegionQuarterKey]], Quarterly_Targets_cleaned[RegionQuarterKey], Quarterly_Targets_cleaned[TargetRevenue])</f>
        <v>299000</v>
      </c>
    </row>
    <row r="706" spans="1:22" x14ac:dyDescent="0.25">
      <c r="A706" t="s">
        <v>1040</v>
      </c>
      <c r="B706" s="1">
        <v>45544</v>
      </c>
      <c r="C706" t="s">
        <v>109</v>
      </c>
      <c r="D706" t="s">
        <v>294</v>
      </c>
      <c r="E706">
        <v>-847.25</v>
      </c>
      <c r="F706" t="s">
        <v>349</v>
      </c>
      <c r="G706" t="s">
        <v>325</v>
      </c>
      <c r="H706" t="s">
        <v>332</v>
      </c>
      <c r="I706" t="s">
        <v>8</v>
      </c>
      <c r="J706" t="s">
        <v>102</v>
      </c>
      <c r="K706" t="s">
        <v>18</v>
      </c>
      <c r="L706" t="s">
        <v>295</v>
      </c>
      <c r="M706" t="s">
        <v>296</v>
      </c>
      <c r="N706">
        <v>2.9000000000000001E-2</v>
      </c>
      <c r="O706" t="str">
        <f>IF(Transactions_RAW_cleaned[[#This Row],[Status]]="Completed", IFERROR(_xlfn.XLOOKUP(Transactions_RAW_cleaned[[#This Row],[CustomerID]], Customers_cleaned[CustomerID], Customers_cleaned[Segment]), "Customer Not Found"), "N/A")</f>
        <v>N/A</v>
      </c>
      <c r="P706" s="5" t="str">
        <f>IF(Transactions_RAW_cleaned[[#This Row],[Status]]="Refunded", "Refund",
  IF(Transactions_RAW_cleaned[[#This Row],[Category]]="Payments", IF(Transactions_RAW_cleaned[[#This Row],[Amount]]&gt;500,"High Value","Standard"),
    IF(Transactions_RAW_cleaned[[#This Row],[Amount]]&gt;250,"High Value","Standard")))</f>
        <v>Refund</v>
      </c>
      <c r="Q706" s="5" t="str">
        <f>IF(Transactions_RAW_cleaned[[#This Row],[Amount]] &gt; (_xlfn.XLOOKUP(Transactions_RAW_cleaned[[#This Row],[ServiceID]],Services_cleaned[ServiceID],Services_cleaned[TransactionFeePct]) * 10000), "Yes", "No")</f>
        <v>No</v>
      </c>
      <c r="R706" s="5" t="str">
        <f>IF(COUNTIFS($C$2:Transactions_RAW_cleaned[[#This Row],[CustomerID]],Transactions_RAW_cleaned[[#This Row],[CustomerID]],$D$2:Transactions_RAW_cleaned[[#This Row],[ServiceID]],Transactions_RAW_cleaned[[#This Row],[ServiceID]])=1,"Yes","No")</f>
        <v>No</v>
      </c>
      <c r="S70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06" t="str">
        <f>"Q"&amp;ROUNDUP(MONTH(Transactions_RAW_cleaned[[#This Row],[TransactionDate]])/3,0)</f>
        <v>Q3</v>
      </c>
      <c r="U706" t="str">
        <f>Transactions_RAW_cleaned[[#This Row],[Region ]]&amp;Transactions_RAW_cleaned[[#This Row],[Quarter ]]</f>
        <v>NAQ3</v>
      </c>
      <c r="V706" s="5">
        <f>_xlfn.XLOOKUP(Transactions_RAW_cleaned[[#This Row],[RegionQuarterKey]], Quarterly_Targets_cleaned[RegionQuarterKey], Quarterly_Targets_cleaned[TargetRevenue])</f>
        <v>273000</v>
      </c>
    </row>
    <row r="707" spans="1:22" x14ac:dyDescent="0.25">
      <c r="A707" t="s">
        <v>1041</v>
      </c>
      <c r="B707" s="1">
        <v>45339</v>
      </c>
      <c r="C707" t="s">
        <v>60</v>
      </c>
      <c r="D707" t="s">
        <v>312</v>
      </c>
      <c r="E707">
        <v>-123.46</v>
      </c>
      <c r="F707" t="s">
        <v>349</v>
      </c>
      <c r="G707" t="s">
        <v>325</v>
      </c>
      <c r="H707" t="s">
        <v>334</v>
      </c>
      <c r="I707" t="s">
        <v>8</v>
      </c>
      <c r="J707" t="s">
        <v>13</v>
      </c>
      <c r="K707" t="s">
        <v>14</v>
      </c>
      <c r="L707" t="s">
        <v>313</v>
      </c>
      <c r="M707" t="s">
        <v>314</v>
      </c>
      <c r="N707">
        <v>0</v>
      </c>
      <c r="O707" t="str">
        <f>IF(Transactions_RAW_cleaned[[#This Row],[Status]]="Completed", IFERROR(_xlfn.XLOOKUP(Transactions_RAW_cleaned[[#This Row],[CustomerID]], Customers_cleaned[CustomerID], Customers_cleaned[Segment]), "Customer Not Found"), "N/A")</f>
        <v>N/A</v>
      </c>
      <c r="P707" s="5" t="str">
        <f>IF(Transactions_RAW_cleaned[[#This Row],[Status]]="Refunded", "Refund",
  IF(Transactions_RAW_cleaned[[#This Row],[Category]]="Payments", IF(Transactions_RAW_cleaned[[#This Row],[Amount]]&gt;500,"High Value","Standard"),
    IF(Transactions_RAW_cleaned[[#This Row],[Amount]]&gt;250,"High Value","Standard")))</f>
        <v>Refund</v>
      </c>
      <c r="Q707" s="5" t="str">
        <f>IF(Transactions_RAW_cleaned[[#This Row],[Amount]] &gt; (_xlfn.XLOOKUP(Transactions_RAW_cleaned[[#This Row],[ServiceID]],Services_cleaned[ServiceID],Services_cleaned[TransactionFeePct]) * 10000), "Yes", "No")</f>
        <v>No</v>
      </c>
      <c r="R707" s="5" t="str">
        <f>IF(COUNTIFS($C$2:Transactions_RAW_cleaned[[#This Row],[CustomerID]],Transactions_RAW_cleaned[[#This Row],[CustomerID]],$D$2:Transactions_RAW_cleaned[[#This Row],[ServiceID]],Transactions_RAW_cleaned[[#This Row],[ServiceID]])=1,"Yes","No")</f>
        <v>No</v>
      </c>
      <c r="S70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07" t="str">
        <f>"Q"&amp;ROUNDUP(MONTH(Transactions_RAW_cleaned[[#This Row],[TransactionDate]])/3,0)</f>
        <v>Q1</v>
      </c>
      <c r="U707" t="str">
        <f>Transactions_RAW_cleaned[[#This Row],[Region ]]&amp;Transactions_RAW_cleaned[[#This Row],[Quarter ]]</f>
        <v>NAQ1</v>
      </c>
      <c r="V707" s="5">
        <f>_xlfn.XLOOKUP(Transactions_RAW_cleaned[[#This Row],[RegionQuarterKey]], Quarterly_Targets_cleaned[RegionQuarterKey], Quarterly_Targets_cleaned[TargetRevenue])</f>
        <v>247000</v>
      </c>
    </row>
    <row r="708" spans="1:22" x14ac:dyDescent="0.25">
      <c r="A708" t="s">
        <v>1042</v>
      </c>
      <c r="B708" s="1">
        <v>45582</v>
      </c>
      <c r="C708" t="s">
        <v>191</v>
      </c>
      <c r="D708" t="s">
        <v>309</v>
      </c>
      <c r="E708">
        <v>360.38</v>
      </c>
      <c r="F708" t="s">
        <v>324</v>
      </c>
      <c r="G708" t="s">
        <v>327</v>
      </c>
      <c r="H708" t="s">
        <v>334</v>
      </c>
      <c r="I708" t="s">
        <v>57</v>
      </c>
      <c r="J708" t="s">
        <v>31</v>
      </c>
      <c r="K708" t="s">
        <v>32</v>
      </c>
      <c r="L708" t="s">
        <v>310</v>
      </c>
      <c r="M708" t="s">
        <v>311</v>
      </c>
      <c r="N708">
        <v>0</v>
      </c>
      <c r="O708" t="str">
        <f>IF(Transactions_RAW_cleaned[[#This Row],[Status]]="Completed", IFERROR(_xlfn.XLOOKUP(Transactions_RAW_cleaned[[#This Row],[CustomerID]], Customers_cleaned[CustomerID], Customers_cleaned[Segment]), "Customer Not Found"), "N/A")</f>
        <v>Startup</v>
      </c>
      <c r="P708" s="5" t="str">
        <f>IF(Transactions_RAW_cleaned[[#This Row],[Status]]="Refunded", "Refund",
  IF(Transactions_RAW_cleaned[[#This Row],[Category]]="Payments", IF(Transactions_RAW_cleaned[[#This Row],[Amount]]&gt;500,"High Value","Standard"),
    IF(Transactions_RAW_cleaned[[#This Row],[Amount]]&gt;250,"High Value","Standard")))</f>
        <v>High Value</v>
      </c>
      <c r="Q708" s="5" t="str">
        <f>IF(Transactions_RAW_cleaned[[#This Row],[Amount]] &gt; (_xlfn.XLOOKUP(Transactions_RAW_cleaned[[#This Row],[ServiceID]],Services_cleaned[ServiceID],Services_cleaned[TransactionFeePct]) * 10000), "Yes", "No")</f>
        <v>Yes</v>
      </c>
      <c r="R708" s="5" t="str">
        <f>IF(COUNTIFS($C$2:Transactions_RAW_cleaned[[#This Row],[CustomerID]],Transactions_RAW_cleaned[[#This Row],[CustomerID]],$D$2:Transactions_RAW_cleaned[[#This Row],[ServiceID]],Transactions_RAW_cleaned[[#This Row],[ServiceID]])=1,"Yes","No")</f>
        <v>No</v>
      </c>
      <c r="S70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08" t="str">
        <f>"Q"&amp;ROUNDUP(MONTH(Transactions_RAW_cleaned[[#This Row],[TransactionDate]])/3,0)</f>
        <v>Q4</v>
      </c>
      <c r="U708" t="str">
        <f>Transactions_RAW_cleaned[[#This Row],[Region ]]&amp;Transactions_RAW_cleaned[[#This Row],[Quarter ]]</f>
        <v>EMEAQ4</v>
      </c>
      <c r="V708" s="5">
        <f>_xlfn.XLOOKUP(Transactions_RAW_cleaned[[#This Row],[RegionQuarterKey]], Quarterly_Targets_cleaned[RegionQuarterKey], Quarterly_Targets_cleaned[TargetRevenue])</f>
        <v>161000</v>
      </c>
    </row>
    <row r="709" spans="1:22" x14ac:dyDescent="0.25">
      <c r="A709" t="s">
        <v>1043</v>
      </c>
      <c r="B709" s="1">
        <v>45516</v>
      </c>
      <c r="C709" t="s">
        <v>86</v>
      </c>
      <c r="D709" t="s">
        <v>294</v>
      </c>
      <c r="E709">
        <v>1374.13</v>
      </c>
      <c r="F709" t="s">
        <v>324</v>
      </c>
      <c r="G709" t="s">
        <v>325</v>
      </c>
      <c r="I709" t="s">
        <v>8</v>
      </c>
      <c r="J709" t="s">
        <v>102</v>
      </c>
      <c r="K709" t="s">
        <v>18</v>
      </c>
      <c r="L709" t="s">
        <v>295</v>
      </c>
      <c r="M709" t="s">
        <v>296</v>
      </c>
      <c r="N709">
        <v>2.9000000000000001E-2</v>
      </c>
      <c r="O709" t="str">
        <f>IF(Transactions_RAW_cleaned[[#This Row],[Status]]="Completed", IFERROR(_xlfn.XLOOKUP(Transactions_RAW_cleaned[[#This Row],[CustomerID]], Customers_cleaned[CustomerID], Customers_cleaned[Segment]), "Customer Not Found"), "N/A")</f>
        <v>SMB</v>
      </c>
      <c r="P709" s="5" t="str">
        <f>IF(Transactions_RAW_cleaned[[#This Row],[Status]]="Refunded", "Refund",
  IF(Transactions_RAW_cleaned[[#This Row],[Category]]="Payments", IF(Transactions_RAW_cleaned[[#This Row],[Amount]]&gt;500,"High Value","Standard"),
    IF(Transactions_RAW_cleaned[[#This Row],[Amount]]&gt;250,"High Value","Standard")))</f>
        <v>High Value</v>
      </c>
      <c r="Q709" s="5" t="str">
        <f>IF(Transactions_RAW_cleaned[[#This Row],[Amount]] &gt; (_xlfn.XLOOKUP(Transactions_RAW_cleaned[[#This Row],[ServiceID]],Services_cleaned[ServiceID],Services_cleaned[TransactionFeePct]) * 10000), "Yes", "No")</f>
        <v>Yes</v>
      </c>
      <c r="R709" s="5" t="str">
        <f>IF(COUNTIFS($C$2:Transactions_RAW_cleaned[[#This Row],[CustomerID]],Transactions_RAW_cleaned[[#This Row],[CustomerID]],$D$2:Transactions_RAW_cleaned[[#This Row],[ServiceID]],Transactions_RAW_cleaned[[#This Row],[ServiceID]])=1,"Yes","No")</f>
        <v>Yes</v>
      </c>
      <c r="S70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09" t="str">
        <f>"Q"&amp;ROUNDUP(MONTH(Transactions_RAW_cleaned[[#This Row],[TransactionDate]])/3,0)</f>
        <v>Q3</v>
      </c>
      <c r="U709" t="str">
        <f>Transactions_RAW_cleaned[[#This Row],[Region ]]&amp;Transactions_RAW_cleaned[[#This Row],[Quarter ]]</f>
        <v>NAQ3</v>
      </c>
      <c r="V709" s="5">
        <f>_xlfn.XLOOKUP(Transactions_RAW_cleaned[[#This Row],[RegionQuarterKey]], Quarterly_Targets_cleaned[RegionQuarterKey], Quarterly_Targets_cleaned[TargetRevenue])</f>
        <v>273000</v>
      </c>
    </row>
    <row r="710" spans="1:22" x14ac:dyDescent="0.25">
      <c r="A710" t="s">
        <v>1044</v>
      </c>
      <c r="B710" s="1">
        <v>45323</v>
      </c>
      <c r="C710" t="s">
        <v>86</v>
      </c>
      <c r="D710" t="s">
        <v>300</v>
      </c>
      <c r="E710">
        <v>594.38</v>
      </c>
      <c r="F710" t="s">
        <v>324</v>
      </c>
      <c r="G710" t="s">
        <v>337</v>
      </c>
      <c r="H710" t="s">
        <v>346</v>
      </c>
      <c r="I710" t="s">
        <v>8</v>
      </c>
      <c r="J710" t="s">
        <v>102</v>
      </c>
      <c r="K710" t="s">
        <v>18</v>
      </c>
      <c r="L710" t="s">
        <v>301</v>
      </c>
      <c r="M710" t="s">
        <v>302</v>
      </c>
      <c r="N710">
        <v>5.0000000000000001E-3</v>
      </c>
      <c r="O710" t="str">
        <f>IF(Transactions_RAW_cleaned[[#This Row],[Status]]="Completed", IFERROR(_xlfn.XLOOKUP(Transactions_RAW_cleaned[[#This Row],[CustomerID]], Customers_cleaned[CustomerID], Customers_cleaned[Segment]), "Customer Not Found"), "N/A")</f>
        <v>SMB</v>
      </c>
      <c r="P710" s="5" t="str">
        <f>IF(Transactions_RAW_cleaned[[#This Row],[Status]]="Refunded", "Refund",
  IF(Transactions_RAW_cleaned[[#This Row],[Category]]="Payments", IF(Transactions_RAW_cleaned[[#This Row],[Amount]]&gt;500,"High Value","Standard"),
    IF(Transactions_RAW_cleaned[[#This Row],[Amount]]&gt;250,"High Value","Standard")))</f>
        <v>High Value</v>
      </c>
      <c r="Q710" s="5" t="str">
        <f>IF(Transactions_RAW_cleaned[[#This Row],[Amount]] &gt; (_xlfn.XLOOKUP(Transactions_RAW_cleaned[[#This Row],[ServiceID]],Services_cleaned[ServiceID],Services_cleaned[TransactionFeePct]) * 10000), "Yes", "No")</f>
        <v>Yes</v>
      </c>
      <c r="R710" s="5" t="str">
        <f>IF(COUNTIFS($C$2:Transactions_RAW_cleaned[[#This Row],[CustomerID]],Transactions_RAW_cleaned[[#This Row],[CustomerID]],$D$2:Transactions_RAW_cleaned[[#This Row],[ServiceID]],Transactions_RAW_cleaned[[#This Row],[ServiceID]])=1,"Yes","No")</f>
        <v>Yes</v>
      </c>
      <c r="S71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10" t="str">
        <f>"Q"&amp;ROUNDUP(MONTH(Transactions_RAW_cleaned[[#This Row],[TransactionDate]])/3,0)</f>
        <v>Q1</v>
      </c>
      <c r="U710" t="str">
        <f>Transactions_RAW_cleaned[[#This Row],[Region ]]&amp;Transactions_RAW_cleaned[[#This Row],[Quarter ]]</f>
        <v>NAQ1</v>
      </c>
      <c r="V710" s="5">
        <f>_xlfn.XLOOKUP(Transactions_RAW_cleaned[[#This Row],[RegionQuarterKey]], Quarterly_Targets_cleaned[RegionQuarterKey], Quarterly_Targets_cleaned[TargetRevenue])</f>
        <v>247000</v>
      </c>
    </row>
    <row r="711" spans="1:22" x14ac:dyDescent="0.25">
      <c r="A711" t="s">
        <v>1045</v>
      </c>
      <c r="B711" s="1">
        <v>45497</v>
      </c>
      <c r="C711" t="s">
        <v>209</v>
      </c>
      <c r="D711" t="s">
        <v>294</v>
      </c>
      <c r="E711">
        <v>253.66</v>
      </c>
      <c r="F711" t="s">
        <v>324</v>
      </c>
      <c r="G711" t="s">
        <v>2963</v>
      </c>
      <c r="H711" t="s">
        <v>346</v>
      </c>
      <c r="I711" t="s">
        <v>17</v>
      </c>
      <c r="J711" t="s">
        <v>102</v>
      </c>
      <c r="K711" t="s">
        <v>22</v>
      </c>
      <c r="L711" t="s">
        <v>295</v>
      </c>
      <c r="M711" t="s">
        <v>296</v>
      </c>
      <c r="N711">
        <v>2.9000000000000001E-2</v>
      </c>
      <c r="O711" t="str">
        <f>IF(Transactions_RAW_cleaned[[#This Row],[Status]]="Completed", IFERROR(_xlfn.XLOOKUP(Transactions_RAW_cleaned[[#This Row],[CustomerID]], Customers_cleaned[CustomerID], Customers_cleaned[Segment]), "Customer Not Found"), "N/A")</f>
        <v>Enterprise</v>
      </c>
      <c r="P711" s="5" t="str">
        <f>IF(Transactions_RAW_cleaned[[#This Row],[Status]]="Refunded", "Refund",
  IF(Transactions_RAW_cleaned[[#This Row],[Category]]="Payments", IF(Transactions_RAW_cleaned[[#This Row],[Amount]]&gt;500,"High Value","Standard"),
    IF(Transactions_RAW_cleaned[[#This Row],[Amount]]&gt;250,"High Value","Standard")))</f>
        <v>Standard</v>
      </c>
      <c r="Q711" s="5" t="str">
        <f>IF(Transactions_RAW_cleaned[[#This Row],[Amount]] &gt; (_xlfn.XLOOKUP(Transactions_RAW_cleaned[[#This Row],[ServiceID]],Services_cleaned[ServiceID],Services_cleaned[TransactionFeePct]) * 10000), "Yes", "No")</f>
        <v>No</v>
      </c>
      <c r="R711" s="5" t="str">
        <f>IF(COUNTIFS($C$2:Transactions_RAW_cleaned[[#This Row],[CustomerID]],Transactions_RAW_cleaned[[#This Row],[CustomerID]],$D$2:Transactions_RAW_cleaned[[#This Row],[ServiceID]],Transactions_RAW_cleaned[[#This Row],[ServiceID]])=1,"Yes","No")</f>
        <v>No</v>
      </c>
      <c r="S71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11" t="str">
        <f>"Q"&amp;ROUNDUP(MONTH(Transactions_RAW_cleaned[[#This Row],[TransactionDate]])/3,0)</f>
        <v>Q3</v>
      </c>
      <c r="U711" t="str">
        <f>Transactions_RAW_cleaned[[#This Row],[Region ]]&amp;Transactions_RAW_cleaned[[#This Row],[Quarter ]]</f>
        <v>NAQ3</v>
      </c>
      <c r="V711" s="5">
        <f>_xlfn.XLOOKUP(Transactions_RAW_cleaned[[#This Row],[RegionQuarterKey]], Quarterly_Targets_cleaned[RegionQuarterKey], Quarterly_Targets_cleaned[TargetRevenue])</f>
        <v>273000</v>
      </c>
    </row>
    <row r="712" spans="1:22" x14ac:dyDescent="0.25">
      <c r="A712" t="s">
        <v>1046</v>
      </c>
      <c r="B712" s="1">
        <v>45362</v>
      </c>
      <c r="C712" t="s">
        <v>1047</v>
      </c>
      <c r="D712" t="s">
        <v>297</v>
      </c>
      <c r="E712">
        <v>118.73</v>
      </c>
      <c r="F712" t="s">
        <v>324</v>
      </c>
      <c r="G712" t="s">
        <v>325</v>
      </c>
      <c r="L712" t="s">
        <v>298</v>
      </c>
      <c r="M712" t="s">
        <v>299</v>
      </c>
      <c r="N712">
        <v>0</v>
      </c>
      <c r="O712" t="str">
        <f>IF(Transactions_RAW_cleaned[[#This Row],[Status]]="Completed", IFERROR(_xlfn.XLOOKUP(Transactions_RAW_cleaned[[#This Row],[CustomerID]], Customers_cleaned[CustomerID], Customers_cleaned[Segment]), "Customer Not Found"), "N/A")</f>
        <v>Customer Not Found</v>
      </c>
      <c r="P712" s="5" t="str">
        <f>IF(Transactions_RAW_cleaned[[#This Row],[Status]]="Refunded", "Refund",
  IF(Transactions_RAW_cleaned[[#This Row],[Category]]="Payments", IF(Transactions_RAW_cleaned[[#This Row],[Amount]]&gt;500,"High Value","Standard"),
    IF(Transactions_RAW_cleaned[[#This Row],[Amount]]&gt;250,"High Value","Standard")))</f>
        <v>Standard</v>
      </c>
      <c r="Q712" s="5" t="str">
        <f>IF(Transactions_RAW_cleaned[[#This Row],[Amount]] &gt; (_xlfn.XLOOKUP(Transactions_RAW_cleaned[[#This Row],[ServiceID]],Services_cleaned[ServiceID],Services_cleaned[TransactionFeePct]) * 10000), "Yes", "No")</f>
        <v>Yes</v>
      </c>
      <c r="R712" s="5" t="str">
        <f>IF(COUNTIFS($C$2:Transactions_RAW_cleaned[[#This Row],[CustomerID]],Transactions_RAW_cleaned[[#This Row],[CustomerID]],$D$2:Transactions_RAW_cleaned[[#This Row],[ServiceID]],Transactions_RAW_cleaned[[#This Row],[ServiceID]])=1,"Yes","No")</f>
        <v>Yes</v>
      </c>
      <c r="S71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12" t="str">
        <f>"Q"&amp;ROUNDUP(MONTH(Transactions_RAW_cleaned[[#This Row],[TransactionDate]])/3,0)</f>
        <v>Q1</v>
      </c>
      <c r="U712" t="str">
        <f>Transactions_RAW_cleaned[[#This Row],[Region ]]&amp;Transactions_RAW_cleaned[[#This Row],[Quarter ]]</f>
        <v>APACQ1</v>
      </c>
      <c r="V712" s="5">
        <f>_xlfn.XLOOKUP(Transactions_RAW_cleaned[[#This Row],[RegionQuarterKey]], Quarterly_Targets_cleaned[RegionQuarterKey], Quarterly_Targets_cleaned[TargetRevenue])</f>
        <v>104500</v>
      </c>
    </row>
    <row r="713" spans="1:22" x14ac:dyDescent="0.25">
      <c r="A713" t="s">
        <v>1048</v>
      </c>
      <c r="B713" s="1">
        <v>45635</v>
      </c>
      <c r="C713" t="s">
        <v>219</v>
      </c>
      <c r="D713" t="s">
        <v>294</v>
      </c>
      <c r="E713">
        <v>742.05</v>
      </c>
      <c r="F713" t="s">
        <v>324</v>
      </c>
      <c r="G713" t="s">
        <v>337</v>
      </c>
      <c r="H713" t="s">
        <v>346</v>
      </c>
      <c r="I713" t="s">
        <v>17</v>
      </c>
      <c r="J713" t="s">
        <v>31</v>
      </c>
      <c r="K713" t="s">
        <v>32</v>
      </c>
      <c r="L713" t="s">
        <v>295</v>
      </c>
      <c r="M713" t="s">
        <v>296</v>
      </c>
      <c r="N713">
        <v>2.9000000000000001E-2</v>
      </c>
      <c r="O713" t="str">
        <f>IF(Transactions_RAW_cleaned[[#This Row],[Status]]="Completed", IFERROR(_xlfn.XLOOKUP(Transactions_RAW_cleaned[[#This Row],[CustomerID]], Customers_cleaned[CustomerID], Customers_cleaned[Segment]), "Customer Not Found"), "N/A")</f>
        <v>Enterprise</v>
      </c>
      <c r="P713" s="5" t="str">
        <f>IF(Transactions_RAW_cleaned[[#This Row],[Status]]="Refunded", "Refund",
  IF(Transactions_RAW_cleaned[[#This Row],[Category]]="Payments", IF(Transactions_RAW_cleaned[[#This Row],[Amount]]&gt;500,"High Value","Standard"),
    IF(Transactions_RAW_cleaned[[#This Row],[Amount]]&gt;250,"High Value","Standard")))</f>
        <v>High Value</v>
      </c>
      <c r="Q713" s="5" t="str">
        <f>IF(Transactions_RAW_cleaned[[#This Row],[Amount]] &gt; (_xlfn.XLOOKUP(Transactions_RAW_cleaned[[#This Row],[ServiceID]],Services_cleaned[ServiceID],Services_cleaned[TransactionFeePct]) * 10000), "Yes", "No")</f>
        <v>Yes</v>
      </c>
      <c r="R713" s="5" t="str">
        <f>IF(COUNTIFS($C$2:Transactions_RAW_cleaned[[#This Row],[CustomerID]],Transactions_RAW_cleaned[[#This Row],[CustomerID]],$D$2:Transactions_RAW_cleaned[[#This Row],[ServiceID]],Transactions_RAW_cleaned[[#This Row],[ServiceID]])=1,"Yes","No")</f>
        <v>No</v>
      </c>
      <c r="S71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13" t="str">
        <f>"Q"&amp;ROUNDUP(MONTH(Transactions_RAW_cleaned[[#This Row],[TransactionDate]])/3,0)</f>
        <v>Q4</v>
      </c>
      <c r="U713" t="str">
        <f>Transactions_RAW_cleaned[[#This Row],[Region ]]&amp;Transactions_RAW_cleaned[[#This Row],[Quarter ]]</f>
        <v>EMEAQ4</v>
      </c>
      <c r="V713" s="5">
        <f>_xlfn.XLOOKUP(Transactions_RAW_cleaned[[#This Row],[RegionQuarterKey]], Quarterly_Targets_cleaned[RegionQuarterKey], Quarterly_Targets_cleaned[TargetRevenue])</f>
        <v>161000</v>
      </c>
    </row>
    <row r="714" spans="1:22" x14ac:dyDescent="0.25">
      <c r="A714" t="s">
        <v>1049</v>
      </c>
      <c r="B714" s="1">
        <v>45541</v>
      </c>
      <c r="C714" t="s">
        <v>229</v>
      </c>
      <c r="D714" t="s">
        <v>300</v>
      </c>
      <c r="E714">
        <v>577.38</v>
      </c>
      <c r="F714" t="s">
        <v>381</v>
      </c>
      <c r="G714" t="s">
        <v>325</v>
      </c>
      <c r="H714" t="s">
        <v>332</v>
      </c>
      <c r="I714" t="s">
        <v>17</v>
      </c>
      <c r="J714" t="s">
        <v>102</v>
      </c>
      <c r="K714" t="s">
        <v>18</v>
      </c>
      <c r="L714" t="s">
        <v>301</v>
      </c>
      <c r="M714" t="s">
        <v>302</v>
      </c>
      <c r="N714">
        <v>5.0000000000000001E-3</v>
      </c>
      <c r="O714" t="str">
        <f>IF(Transactions_RAW_cleaned[[#This Row],[Status]]="Completed", IFERROR(_xlfn.XLOOKUP(Transactions_RAW_cleaned[[#This Row],[CustomerID]], Customers_cleaned[CustomerID], Customers_cleaned[Segment]), "Customer Not Found"), "N/A")</f>
        <v>N/A</v>
      </c>
      <c r="P714" s="5" t="str">
        <f>IF(Transactions_RAW_cleaned[[#This Row],[Status]]="Refunded", "Refund",
  IF(Transactions_RAW_cleaned[[#This Row],[Category]]="Payments", IF(Transactions_RAW_cleaned[[#This Row],[Amount]]&gt;500,"High Value","Standard"),
    IF(Transactions_RAW_cleaned[[#This Row],[Amount]]&gt;250,"High Value","Standard")))</f>
        <v>High Value</v>
      </c>
      <c r="Q714" s="5" t="str">
        <f>IF(Transactions_RAW_cleaned[[#This Row],[Amount]] &gt; (_xlfn.XLOOKUP(Transactions_RAW_cleaned[[#This Row],[ServiceID]],Services_cleaned[ServiceID],Services_cleaned[TransactionFeePct]) * 10000), "Yes", "No")</f>
        <v>Yes</v>
      </c>
      <c r="R714" s="5" t="str">
        <f>IF(COUNTIFS($C$2:Transactions_RAW_cleaned[[#This Row],[CustomerID]],Transactions_RAW_cleaned[[#This Row],[CustomerID]],$D$2:Transactions_RAW_cleaned[[#This Row],[ServiceID]],Transactions_RAW_cleaned[[#This Row],[ServiceID]])=1,"Yes","No")</f>
        <v>Yes</v>
      </c>
      <c r="S71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14" t="str">
        <f>"Q"&amp;ROUNDUP(MONTH(Transactions_RAW_cleaned[[#This Row],[TransactionDate]])/3,0)</f>
        <v>Q3</v>
      </c>
      <c r="U714" t="str">
        <f>Transactions_RAW_cleaned[[#This Row],[Region ]]&amp;Transactions_RAW_cleaned[[#This Row],[Quarter ]]</f>
        <v>NAQ3</v>
      </c>
      <c r="V714" s="5">
        <f>_xlfn.XLOOKUP(Transactions_RAW_cleaned[[#This Row],[RegionQuarterKey]], Quarterly_Targets_cleaned[RegionQuarterKey], Quarterly_Targets_cleaned[TargetRevenue])</f>
        <v>273000</v>
      </c>
    </row>
    <row r="715" spans="1:22" x14ac:dyDescent="0.25">
      <c r="A715" t="s">
        <v>1050</v>
      </c>
      <c r="B715" s="1">
        <v>45365</v>
      </c>
      <c r="C715" t="s">
        <v>161</v>
      </c>
      <c r="D715" t="s">
        <v>294</v>
      </c>
      <c r="E715">
        <v>707.38</v>
      </c>
      <c r="F715" t="s">
        <v>324</v>
      </c>
      <c r="G715" t="s">
        <v>327</v>
      </c>
      <c r="I715" t="s">
        <v>8</v>
      </c>
      <c r="J715" t="s">
        <v>21</v>
      </c>
      <c r="K715" t="s">
        <v>22</v>
      </c>
      <c r="L715" t="s">
        <v>295</v>
      </c>
      <c r="M715" t="s">
        <v>296</v>
      </c>
      <c r="N715">
        <v>2.9000000000000001E-2</v>
      </c>
      <c r="O715" t="str">
        <f>IF(Transactions_RAW_cleaned[[#This Row],[Status]]="Completed", IFERROR(_xlfn.XLOOKUP(Transactions_RAW_cleaned[[#This Row],[CustomerID]], Customers_cleaned[CustomerID], Customers_cleaned[Segment]), "Customer Not Found"), "N/A")</f>
        <v>SMB</v>
      </c>
      <c r="P715" s="5" t="str">
        <f>IF(Transactions_RAW_cleaned[[#This Row],[Status]]="Refunded", "Refund",
  IF(Transactions_RAW_cleaned[[#This Row],[Category]]="Payments", IF(Transactions_RAW_cleaned[[#This Row],[Amount]]&gt;500,"High Value","Standard"),
    IF(Transactions_RAW_cleaned[[#This Row],[Amount]]&gt;250,"High Value","Standard")))</f>
        <v>High Value</v>
      </c>
      <c r="Q715" s="5" t="str">
        <f>IF(Transactions_RAW_cleaned[[#This Row],[Amount]] &gt; (_xlfn.XLOOKUP(Transactions_RAW_cleaned[[#This Row],[ServiceID]],Services_cleaned[ServiceID],Services_cleaned[TransactionFeePct]) * 10000), "Yes", "No")</f>
        <v>Yes</v>
      </c>
      <c r="R715" s="5" t="str">
        <f>IF(COUNTIFS($C$2:Transactions_RAW_cleaned[[#This Row],[CustomerID]],Transactions_RAW_cleaned[[#This Row],[CustomerID]],$D$2:Transactions_RAW_cleaned[[#This Row],[ServiceID]],Transactions_RAW_cleaned[[#This Row],[ServiceID]])=1,"Yes","No")</f>
        <v>No</v>
      </c>
      <c r="S71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15" t="str">
        <f>"Q"&amp;ROUNDUP(MONTH(Transactions_RAW_cleaned[[#This Row],[TransactionDate]])/3,0)</f>
        <v>Q1</v>
      </c>
      <c r="U715" t="str">
        <f>Transactions_RAW_cleaned[[#This Row],[Region ]]&amp;Transactions_RAW_cleaned[[#This Row],[Quarter ]]</f>
        <v>APACQ1</v>
      </c>
      <c r="V715" s="5">
        <f>_xlfn.XLOOKUP(Transactions_RAW_cleaned[[#This Row],[RegionQuarterKey]], Quarterly_Targets_cleaned[RegionQuarterKey], Quarterly_Targets_cleaned[TargetRevenue])</f>
        <v>104500</v>
      </c>
    </row>
    <row r="716" spans="1:22" x14ac:dyDescent="0.25">
      <c r="A716" t="s">
        <v>1051</v>
      </c>
      <c r="B716" s="1">
        <v>45492</v>
      </c>
      <c r="C716" t="s">
        <v>111</v>
      </c>
      <c r="D716" t="s">
        <v>312</v>
      </c>
      <c r="E716">
        <v>242.67</v>
      </c>
      <c r="F716" t="s">
        <v>324</v>
      </c>
      <c r="G716" t="s">
        <v>337</v>
      </c>
      <c r="I716" t="s">
        <v>8</v>
      </c>
      <c r="J716" t="s">
        <v>21</v>
      </c>
      <c r="K716" t="s">
        <v>28</v>
      </c>
      <c r="L716" t="s">
        <v>313</v>
      </c>
      <c r="M716" t="s">
        <v>314</v>
      </c>
      <c r="N716">
        <v>0</v>
      </c>
      <c r="O716" t="str">
        <f>IF(Transactions_RAW_cleaned[[#This Row],[Status]]="Completed", IFERROR(_xlfn.XLOOKUP(Transactions_RAW_cleaned[[#This Row],[CustomerID]], Customers_cleaned[CustomerID], Customers_cleaned[Segment]), "Customer Not Found"), "N/A")</f>
        <v>SMB</v>
      </c>
      <c r="P716" s="5" t="str">
        <f>IF(Transactions_RAW_cleaned[[#This Row],[Status]]="Refunded", "Refund",
  IF(Transactions_RAW_cleaned[[#This Row],[Category]]="Payments", IF(Transactions_RAW_cleaned[[#This Row],[Amount]]&gt;500,"High Value","Standard"),
    IF(Transactions_RAW_cleaned[[#This Row],[Amount]]&gt;250,"High Value","Standard")))</f>
        <v>Standard</v>
      </c>
      <c r="Q716" s="5" t="str">
        <f>IF(Transactions_RAW_cleaned[[#This Row],[Amount]] &gt; (_xlfn.XLOOKUP(Transactions_RAW_cleaned[[#This Row],[ServiceID]],Services_cleaned[ServiceID],Services_cleaned[TransactionFeePct]) * 10000), "Yes", "No")</f>
        <v>Yes</v>
      </c>
      <c r="R716" s="5" t="str">
        <f>IF(COUNTIFS($C$2:Transactions_RAW_cleaned[[#This Row],[CustomerID]],Transactions_RAW_cleaned[[#This Row],[CustomerID]],$D$2:Transactions_RAW_cleaned[[#This Row],[ServiceID]],Transactions_RAW_cleaned[[#This Row],[ServiceID]])=1,"Yes","No")</f>
        <v>Yes</v>
      </c>
      <c r="S71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16" t="str">
        <f>"Q"&amp;ROUNDUP(MONTH(Transactions_RAW_cleaned[[#This Row],[TransactionDate]])/3,0)</f>
        <v>Q3</v>
      </c>
      <c r="U716" t="str">
        <f>Transactions_RAW_cleaned[[#This Row],[Region ]]&amp;Transactions_RAW_cleaned[[#This Row],[Quarter ]]</f>
        <v>APACQ3</v>
      </c>
      <c r="V716" s="5">
        <f>_xlfn.XLOOKUP(Transactions_RAW_cleaned[[#This Row],[RegionQuarterKey]], Quarterly_Targets_cleaned[RegionQuarterKey], Quarterly_Targets_cleaned[TargetRevenue])</f>
        <v>115500</v>
      </c>
    </row>
    <row r="717" spans="1:22" x14ac:dyDescent="0.25">
      <c r="A717" t="s">
        <v>1052</v>
      </c>
      <c r="B717" s="1">
        <v>45312</v>
      </c>
      <c r="C717" t="s">
        <v>225</v>
      </c>
      <c r="D717" t="s">
        <v>294</v>
      </c>
      <c r="E717">
        <v>603.04</v>
      </c>
      <c r="F717" t="s">
        <v>324</v>
      </c>
      <c r="G717" t="s">
        <v>325</v>
      </c>
      <c r="I717" t="s">
        <v>8</v>
      </c>
      <c r="J717" t="s">
        <v>21</v>
      </c>
      <c r="K717" t="s">
        <v>28</v>
      </c>
      <c r="L717" t="s">
        <v>295</v>
      </c>
      <c r="M717" t="s">
        <v>296</v>
      </c>
      <c r="N717">
        <v>2.9000000000000001E-2</v>
      </c>
      <c r="O717" t="str">
        <f>IF(Transactions_RAW_cleaned[[#This Row],[Status]]="Completed", IFERROR(_xlfn.XLOOKUP(Transactions_RAW_cleaned[[#This Row],[CustomerID]], Customers_cleaned[CustomerID], Customers_cleaned[Segment]), "Customer Not Found"), "N/A")</f>
        <v>SMB</v>
      </c>
      <c r="P717" s="5" t="str">
        <f>IF(Transactions_RAW_cleaned[[#This Row],[Status]]="Refunded", "Refund",
  IF(Transactions_RAW_cleaned[[#This Row],[Category]]="Payments", IF(Transactions_RAW_cleaned[[#This Row],[Amount]]&gt;500,"High Value","Standard"),
    IF(Transactions_RAW_cleaned[[#This Row],[Amount]]&gt;250,"High Value","Standard")))</f>
        <v>High Value</v>
      </c>
      <c r="Q717" s="5" t="str">
        <f>IF(Transactions_RAW_cleaned[[#This Row],[Amount]] &gt; (_xlfn.XLOOKUP(Transactions_RAW_cleaned[[#This Row],[ServiceID]],Services_cleaned[ServiceID],Services_cleaned[TransactionFeePct]) * 10000), "Yes", "No")</f>
        <v>Yes</v>
      </c>
      <c r="R717" s="5" t="str">
        <f>IF(COUNTIFS($C$2:Transactions_RAW_cleaned[[#This Row],[CustomerID]],Transactions_RAW_cleaned[[#This Row],[CustomerID]],$D$2:Transactions_RAW_cleaned[[#This Row],[ServiceID]],Transactions_RAW_cleaned[[#This Row],[ServiceID]])=1,"Yes","No")</f>
        <v>Yes</v>
      </c>
      <c r="S71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17" t="str">
        <f>"Q"&amp;ROUNDUP(MONTH(Transactions_RAW_cleaned[[#This Row],[TransactionDate]])/3,0)</f>
        <v>Q1</v>
      </c>
      <c r="U717" t="str">
        <f>Transactions_RAW_cleaned[[#This Row],[Region ]]&amp;Transactions_RAW_cleaned[[#This Row],[Quarter ]]</f>
        <v>APACQ1</v>
      </c>
      <c r="V717" s="5">
        <f>_xlfn.XLOOKUP(Transactions_RAW_cleaned[[#This Row],[RegionQuarterKey]], Quarterly_Targets_cleaned[RegionQuarterKey], Quarterly_Targets_cleaned[TargetRevenue])</f>
        <v>104500</v>
      </c>
    </row>
    <row r="718" spans="1:22" x14ac:dyDescent="0.25">
      <c r="A718" t="s">
        <v>1053</v>
      </c>
      <c r="B718" s="1">
        <v>45353</v>
      </c>
      <c r="C718" t="s">
        <v>82</v>
      </c>
      <c r="D718" t="s">
        <v>306</v>
      </c>
      <c r="E718">
        <v>257.39999999999998</v>
      </c>
      <c r="F718" t="s">
        <v>324</v>
      </c>
      <c r="G718" t="s">
        <v>327</v>
      </c>
      <c r="H718" t="s">
        <v>334</v>
      </c>
      <c r="I718" t="s">
        <v>57</v>
      </c>
      <c r="J718" t="s">
        <v>46</v>
      </c>
      <c r="K718" t="s">
        <v>10</v>
      </c>
      <c r="L718" t="s">
        <v>307</v>
      </c>
      <c r="M718" t="s">
        <v>308</v>
      </c>
      <c r="N718">
        <v>0</v>
      </c>
      <c r="O718" t="str">
        <f>IF(Transactions_RAW_cleaned[[#This Row],[Status]]="Completed", IFERROR(_xlfn.XLOOKUP(Transactions_RAW_cleaned[[#This Row],[CustomerID]], Customers_cleaned[CustomerID], Customers_cleaned[Segment]), "Customer Not Found"), "N/A")</f>
        <v>Startup</v>
      </c>
      <c r="P718" s="5" t="str">
        <f>IF(Transactions_RAW_cleaned[[#This Row],[Status]]="Refunded", "Refund",
  IF(Transactions_RAW_cleaned[[#This Row],[Category]]="Payments", IF(Transactions_RAW_cleaned[[#This Row],[Amount]]&gt;500,"High Value","Standard"),
    IF(Transactions_RAW_cleaned[[#This Row],[Amount]]&gt;250,"High Value","Standard")))</f>
        <v>High Value</v>
      </c>
      <c r="Q718" s="5" t="str">
        <f>IF(Transactions_RAW_cleaned[[#This Row],[Amount]] &gt; (_xlfn.XLOOKUP(Transactions_RAW_cleaned[[#This Row],[ServiceID]],Services_cleaned[ServiceID],Services_cleaned[TransactionFeePct]) * 10000), "Yes", "No")</f>
        <v>Yes</v>
      </c>
      <c r="R718" s="5" t="str">
        <f>IF(COUNTIFS($C$2:Transactions_RAW_cleaned[[#This Row],[CustomerID]],Transactions_RAW_cleaned[[#This Row],[CustomerID]],$D$2:Transactions_RAW_cleaned[[#This Row],[ServiceID]],Transactions_RAW_cleaned[[#This Row],[ServiceID]])=1,"Yes","No")</f>
        <v>No</v>
      </c>
      <c r="S71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18" t="str">
        <f>"Q"&amp;ROUNDUP(MONTH(Transactions_RAW_cleaned[[#This Row],[TransactionDate]])/3,0)</f>
        <v>Q1</v>
      </c>
      <c r="U718" t="str">
        <f>Transactions_RAW_cleaned[[#This Row],[Region ]]&amp;Transactions_RAW_cleaned[[#This Row],[Quarter ]]</f>
        <v>APACQ1</v>
      </c>
      <c r="V718" s="5">
        <f>_xlfn.XLOOKUP(Transactions_RAW_cleaned[[#This Row],[RegionQuarterKey]], Quarterly_Targets_cleaned[RegionQuarterKey], Quarterly_Targets_cleaned[TargetRevenue])</f>
        <v>104500</v>
      </c>
    </row>
    <row r="719" spans="1:22" x14ac:dyDescent="0.25">
      <c r="A719" t="s">
        <v>1054</v>
      </c>
      <c r="B719" s="1">
        <v>45475</v>
      </c>
      <c r="C719" t="s">
        <v>26</v>
      </c>
      <c r="D719" t="s">
        <v>306</v>
      </c>
      <c r="E719">
        <v>695.16</v>
      </c>
      <c r="F719" t="s">
        <v>324</v>
      </c>
      <c r="G719" t="s">
        <v>325</v>
      </c>
      <c r="H719" t="s">
        <v>334</v>
      </c>
      <c r="I719" t="s">
        <v>8</v>
      </c>
      <c r="J719" t="s">
        <v>102</v>
      </c>
      <c r="K719" t="s">
        <v>28</v>
      </c>
      <c r="L719" t="s">
        <v>307</v>
      </c>
      <c r="M719" t="s">
        <v>308</v>
      </c>
      <c r="N719">
        <v>0</v>
      </c>
      <c r="O719" t="str">
        <f>IF(Transactions_RAW_cleaned[[#This Row],[Status]]="Completed", IFERROR(_xlfn.XLOOKUP(Transactions_RAW_cleaned[[#This Row],[CustomerID]], Customers_cleaned[CustomerID], Customers_cleaned[Segment]), "Customer Not Found"), "N/A")</f>
        <v>SMB</v>
      </c>
      <c r="P719" s="5" t="str">
        <f>IF(Transactions_RAW_cleaned[[#This Row],[Status]]="Refunded", "Refund",
  IF(Transactions_RAW_cleaned[[#This Row],[Category]]="Payments", IF(Transactions_RAW_cleaned[[#This Row],[Amount]]&gt;500,"High Value","Standard"),
    IF(Transactions_RAW_cleaned[[#This Row],[Amount]]&gt;250,"High Value","Standard")))</f>
        <v>High Value</v>
      </c>
      <c r="Q719" s="5" t="str">
        <f>IF(Transactions_RAW_cleaned[[#This Row],[Amount]] &gt; (_xlfn.XLOOKUP(Transactions_RAW_cleaned[[#This Row],[ServiceID]],Services_cleaned[ServiceID],Services_cleaned[TransactionFeePct]) * 10000), "Yes", "No")</f>
        <v>Yes</v>
      </c>
      <c r="R719" s="5" t="str">
        <f>IF(COUNTIFS($C$2:Transactions_RAW_cleaned[[#This Row],[CustomerID]],Transactions_RAW_cleaned[[#This Row],[CustomerID]],$D$2:Transactions_RAW_cleaned[[#This Row],[ServiceID]],Transactions_RAW_cleaned[[#This Row],[ServiceID]])=1,"Yes","No")</f>
        <v>Yes</v>
      </c>
      <c r="S71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19" t="str">
        <f>"Q"&amp;ROUNDUP(MONTH(Transactions_RAW_cleaned[[#This Row],[TransactionDate]])/3,0)</f>
        <v>Q3</v>
      </c>
      <c r="U719" t="str">
        <f>Transactions_RAW_cleaned[[#This Row],[Region ]]&amp;Transactions_RAW_cleaned[[#This Row],[Quarter ]]</f>
        <v>NAQ3</v>
      </c>
      <c r="V719" s="5">
        <f>_xlfn.XLOOKUP(Transactions_RAW_cleaned[[#This Row],[RegionQuarterKey]], Quarterly_Targets_cleaned[RegionQuarterKey], Quarterly_Targets_cleaned[TargetRevenue])</f>
        <v>273000</v>
      </c>
    </row>
    <row r="720" spans="1:22" x14ac:dyDescent="0.25">
      <c r="A720" t="s">
        <v>1055</v>
      </c>
      <c r="B720" s="1">
        <v>45533</v>
      </c>
      <c r="C720" t="s">
        <v>243</v>
      </c>
      <c r="D720" t="s">
        <v>300</v>
      </c>
      <c r="E720">
        <v>370.22</v>
      </c>
      <c r="F720" t="s">
        <v>324</v>
      </c>
      <c r="G720" t="s">
        <v>325</v>
      </c>
      <c r="H720" t="s">
        <v>332</v>
      </c>
      <c r="I720" t="s">
        <v>17</v>
      </c>
      <c r="J720" t="s">
        <v>13</v>
      </c>
      <c r="K720" t="s">
        <v>28</v>
      </c>
      <c r="L720" t="s">
        <v>301</v>
      </c>
      <c r="M720" t="s">
        <v>302</v>
      </c>
      <c r="N720">
        <v>5.0000000000000001E-3</v>
      </c>
      <c r="O720" t="str">
        <f>IF(Transactions_RAW_cleaned[[#This Row],[Status]]="Completed", IFERROR(_xlfn.XLOOKUP(Transactions_RAW_cleaned[[#This Row],[CustomerID]], Customers_cleaned[CustomerID], Customers_cleaned[Segment]), "Customer Not Found"), "N/A")</f>
        <v>Enterprise</v>
      </c>
      <c r="P720" s="5" t="str">
        <f>IF(Transactions_RAW_cleaned[[#This Row],[Status]]="Refunded", "Refund",
  IF(Transactions_RAW_cleaned[[#This Row],[Category]]="Payments", IF(Transactions_RAW_cleaned[[#This Row],[Amount]]&gt;500,"High Value","Standard"),
    IF(Transactions_RAW_cleaned[[#This Row],[Amount]]&gt;250,"High Value","Standard")))</f>
        <v>High Value</v>
      </c>
      <c r="Q720" s="5" t="str">
        <f>IF(Transactions_RAW_cleaned[[#This Row],[Amount]] &gt; (_xlfn.XLOOKUP(Transactions_RAW_cleaned[[#This Row],[ServiceID]],Services_cleaned[ServiceID],Services_cleaned[TransactionFeePct]) * 10000), "Yes", "No")</f>
        <v>Yes</v>
      </c>
      <c r="R720" s="5" t="str">
        <f>IF(COUNTIFS($C$2:Transactions_RAW_cleaned[[#This Row],[CustomerID]],Transactions_RAW_cleaned[[#This Row],[CustomerID]],$D$2:Transactions_RAW_cleaned[[#This Row],[ServiceID]],Transactions_RAW_cleaned[[#This Row],[ServiceID]])=1,"Yes","No")</f>
        <v>No</v>
      </c>
      <c r="S72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20" t="str">
        <f>"Q"&amp;ROUNDUP(MONTH(Transactions_RAW_cleaned[[#This Row],[TransactionDate]])/3,0)</f>
        <v>Q3</v>
      </c>
      <c r="U720" t="str">
        <f>Transactions_RAW_cleaned[[#This Row],[Region ]]&amp;Transactions_RAW_cleaned[[#This Row],[Quarter ]]</f>
        <v>NAQ3</v>
      </c>
      <c r="V720" s="5">
        <f>_xlfn.XLOOKUP(Transactions_RAW_cleaned[[#This Row],[RegionQuarterKey]], Quarterly_Targets_cleaned[RegionQuarterKey], Quarterly_Targets_cleaned[TargetRevenue])</f>
        <v>273000</v>
      </c>
    </row>
    <row r="721" spans="1:22" x14ac:dyDescent="0.25">
      <c r="A721" t="s">
        <v>1056</v>
      </c>
      <c r="B721" s="1">
        <v>45471</v>
      </c>
      <c r="C721" t="s">
        <v>249</v>
      </c>
      <c r="D721" t="s">
        <v>312</v>
      </c>
      <c r="E721">
        <v>721.85</v>
      </c>
      <c r="F721" t="s">
        <v>331</v>
      </c>
      <c r="G721" t="s">
        <v>327</v>
      </c>
      <c r="H721" t="s">
        <v>346</v>
      </c>
      <c r="I721" t="s">
        <v>57</v>
      </c>
      <c r="J721" t="s">
        <v>21</v>
      </c>
      <c r="K721" t="s">
        <v>14</v>
      </c>
      <c r="L721" t="s">
        <v>313</v>
      </c>
      <c r="M721" t="s">
        <v>314</v>
      </c>
      <c r="N721">
        <v>0</v>
      </c>
      <c r="O721" t="str">
        <f>IF(Transactions_RAW_cleaned[[#This Row],[Status]]="Completed", IFERROR(_xlfn.XLOOKUP(Transactions_RAW_cleaned[[#This Row],[CustomerID]], Customers_cleaned[CustomerID], Customers_cleaned[Segment]), "Customer Not Found"), "N/A")</f>
        <v>N/A</v>
      </c>
      <c r="P721" s="5" t="str">
        <f>IF(Transactions_RAW_cleaned[[#This Row],[Status]]="Refunded", "Refund",
  IF(Transactions_RAW_cleaned[[#This Row],[Category]]="Payments", IF(Transactions_RAW_cleaned[[#This Row],[Amount]]&gt;500,"High Value","Standard"),
    IF(Transactions_RAW_cleaned[[#This Row],[Amount]]&gt;250,"High Value","Standard")))</f>
        <v>High Value</v>
      </c>
      <c r="Q721" s="5" t="str">
        <f>IF(Transactions_RAW_cleaned[[#This Row],[Amount]] &gt; (_xlfn.XLOOKUP(Transactions_RAW_cleaned[[#This Row],[ServiceID]],Services_cleaned[ServiceID],Services_cleaned[TransactionFeePct]) * 10000), "Yes", "No")</f>
        <v>Yes</v>
      </c>
      <c r="R721" s="5" t="str">
        <f>IF(COUNTIFS($C$2:Transactions_RAW_cleaned[[#This Row],[CustomerID]],Transactions_RAW_cleaned[[#This Row],[CustomerID]],$D$2:Transactions_RAW_cleaned[[#This Row],[ServiceID]],Transactions_RAW_cleaned[[#This Row],[ServiceID]])=1,"Yes","No")</f>
        <v>Yes</v>
      </c>
      <c r="S72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21" t="str">
        <f>"Q"&amp;ROUNDUP(MONTH(Transactions_RAW_cleaned[[#This Row],[TransactionDate]])/3,0)</f>
        <v>Q2</v>
      </c>
      <c r="U721" t="str">
        <f>Transactions_RAW_cleaned[[#This Row],[Region ]]&amp;Transactions_RAW_cleaned[[#This Row],[Quarter ]]</f>
        <v>APACQ2</v>
      </c>
      <c r="V721" s="5">
        <f>_xlfn.XLOOKUP(Transactions_RAW_cleaned[[#This Row],[RegionQuarterKey]], Quarterly_Targets_cleaned[RegionQuarterKey], Quarterly_Targets_cleaned[TargetRevenue])</f>
        <v>110000</v>
      </c>
    </row>
    <row r="722" spans="1:22" x14ac:dyDescent="0.25">
      <c r="A722" t="s">
        <v>1057</v>
      </c>
      <c r="B722" s="1">
        <v>45500</v>
      </c>
      <c r="C722" t="s">
        <v>66</v>
      </c>
      <c r="D722" t="s">
        <v>294</v>
      </c>
      <c r="E722">
        <v>403.64</v>
      </c>
      <c r="F722" t="s">
        <v>324</v>
      </c>
      <c r="G722" t="s">
        <v>337</v>
      </c>
      <c r="H722" t="s">
        <v>332</v>
      </c>
      <c r="I722" t="s">
        <v>8</v>
      </c>
      <c r="J722" t="s">
        <v>46</v>
      </c>
      <c r="K722" t="s">
        <v>10</v>
      </c>
      <c r="L722" t="s">
        <v>295</v>
      </c>
      <c r="M722" t="s">
        <v>296</v>
      </c>
      <c r="N722">
        <v>2.9000000000000001E-2</v>
      </c>
      <c r="O722" t="str">
        <f>IF(Transactions_RAW_cleaned[[#This Row],[Status]]="Completed", IFERROR(_xlfn.XLOOKUP(Transactions_RAW_cleaned[[#This Row],[CustomerID]], Customers_cleaned[CustomerID], Customers_cleaned[Segment]), "Customer Not Found"), "N/A")</f>
        <v>SMB</v>
      </c>
      <c r="P722" s="5" t="str">
        <f>IF(Transactions_RAW_cleaned[[#This Row],[Status]]="Refunded", "Refund",
  IF(Transactions_RAW_cleaned[[#This Row],[Category]]="Payments", IF(Transactions_RAW_cleaned[[#This Row],[Amount]]&gt;500,"High Value","Standard"),
    IF(Transactions_RAW_cleaned[[#This Row],[Amount]]&gt;250,"High Value","Standard")))</f>
        <v>Standard</v>
      </c>
      <c r="Q722" s="5" t="str">
        <f>IF(Transactions_RAW_cleaned[[#This Row],[Amount]] &gt; (_xlfn.XLOOKUP(Transactions_RAW_cleaned[[#This Row],[ServiceID]],Services_cleaned[ServiceID],Services_cleaned[TransactionFeePct]) * 10000), "Yes", "No")</f>
        <v>Yes</v>
      </c>
      <c r="R722" s="5" t="str">
        <f>IF(COUNTIFS($C$2:Transactions_RAW_cleaned[[#This Row],[CustomerID]],Transactions_RAW_cleaned[[#This Row],[CustomerID]],$D$2:Transactions_RAW_cleaned[[#This Row],[ServiceID]],Transactions_RAW_cleaned[[#This Row],[ServiceID]])=1,"Yes","No")</f>
        <v>No</v>
      </c>
      <c r="S72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22" t="str">
        <f>"Q"&amp;ROUNDUP(MONTH(Transactions_RAW_cleaned[[#This Row],[TransactionDate]])/3,0)</f>
        <v>Q3</v>
      </c>
      <c r="U722" t="str">
        <f>Transactions_RAW_cleaned[[#This Row],[Region ]]&amp;Transactions_RAW_cleaned[[#This Row],[Quarter ]]</f>
        <v>APACQ3</v>
      </c>
      <c r="V722" s="5">
        <f>_xlfn.XLOOKUP(Transactions_RAW_cleaned[[#This Row],[RegionQuarterKey]], Quarterly_Targets_cleaned[RegionQuarterKey], Quarterly_Targets_cleaned[TargetRevenue])</f>
        <v>115500</v>
      </c>
    </row>
    <row r="723" spans="1:22" x14ac:dyDescent="0.25">
      <c r="A723" t="s">
        <v>1058</v>
      </c>
      <c r="B723" s="1">
        <v>45498</v>
      </c>
      <c r="C723" t="s">
        <v>103</v>
      </c>
      <c r="D723" t="s">
        <v>297</v>
      </c>
      <c r="E723">
        <v>312.02999999999997</v>
      </c>
      <c r="F723" t="s">
        <v>324</v>
      </c>
      <c r="G723" t="s">
        <v>329</v>
      </c>
      <c r="I723" t="s">
        <v>8</v>
      </c>
      <c r="J723" t="s">
        <v>102</v>
      </c>
      <c r="K723" t="s">
        <v>28</v>
      </c>
      <c r="L723" t="s">
        <v>298</v>
      </c>
      <c r="M723" t="s">
        <v>299</v>
      </c>
      <c r="N723">
        <v>0</v>
      </c>
      <c r="O723" t="str">
        <f>IF(Transactions_RAW_cleaned[[#This Row],[Status]]="Completed", IFERROR(_xlfn.XLOOKUP(Transactions_RAW_cleaned[[#This Row],[CustomerID]], Customers_cleaned[CustomerID], Customers_cleaned[Segment]), "Customer Not Found"), "N/A")</f>
        <v>SMB</v>
      </c>
      <c r="P723" s="5" t="str">
        <f>IF(Transactions_RAW_cleaned[[#This Row],[Status]]="Refunded", "Refund",
  IF(Transactions_RAW_cleaned[[#This Row],[Category]]="Payments", IF(Transactions_RAW_cleaned[[#This Row],[Amount]]&gt;500,"High Value","Standard"),
    IF(Transactions_RAW_cleaned[[#This Row],[Amount]]&gt;250,"High Value","Standard")))</f>
        <v>High Value</v>
      </c>
      <c r="Q723" s="5" t="str">
        <f>IF(Transactions_RAW_cleaned[[#This Row],[Amount]] &gt; (_xlfn.XLOOKUP(Transactions_RAW_cleaned[[#This Row],[ServiceID]],Services_cleaned[ServiceID],Services_cleaned[TransactionFeePct]) * 10000), "Yes", "No")</f>
        <v>Yes</v>
      </c>
      <c r="R723" s="5" t="str">
        <f>IF(COUNTIFS($C$2:Transactions_RAW_cleaned[[#This Row],[CustomerID]],Transactions_RAW_cleaned[[#This Row],[CustomerID]],$D$2:Transactions_RAW_cleaned[[#This Row],[ServiceID]],Transactions_RAW_cleaned[[#This Row],[ServiceID]])=1,"Yes","No")</f>
        <v>Yes</v>
      </c>
      <c r="S72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23" t="str">
        <f>"Q"&amp;ROUNDUP(MONTH(Transactions_RAW_cleaned[[#This Row],[TransactionDate]])/3,0)</f>
        <v>Q3</v>
      </c>
      <c r="U723" t="str">
        <f>Transactions_RAW_cleaned[[#This Row],[Region ]]&amp;Transactions_RAW_cleaned[[#This Row],[Quarter ]]</f>
        <v>NAQ3</v>
      </c>
      <c r="V723" s="5">
        <f>_xlfn.XLOOKUP(Transactions_RAW_cleaned[[#This Row],[RegionQuarterKey]], Quarterly_Targets_cleaned[RegionQuarterKey], Quarterly_Targets_cleaned[TargetRevenue])</f>
        <v>273000</v>
      </c>
    </row>
    <row r="724" spans="1:22" x14ac:dyDescent="0.25">
      <c r="A724" t="s">
        <v>1059</v>
      </c>
      <c r="B724" s="1">
        <v>45415</v>
      </c>
      <c r="C724" t="s">
        <v>70</v>
      </c>
      <c r="D724" t="s">
        <v>300</v>
      </c>
      <c r="E724">
        <v>383.27</v>
      </c>
      <c r="F724" t="s">
        <v>324</v>
      </c>
      <c r="G724" t="s">
        <v>329</v>
      </c>
      <c r="H724" t="s">
        <v>346</v>
      </c>
      <c r="I724" t="s">
        <v>8</v>
      </c>
      <c r="J724" t="s">
        <v>37</v>
      </c>
      <c r="K724" t="s">
        <v>28</v>
      </c>
      <c r="L724" t="s">
        <v>301</v>
      </c>
      <c r="M724" t="s">
        <v>302</v>
      </c>
      <c r="N724">
        <v>5.0000000000000001E-3</v>
      </c>
      <c r="O724" t="str">
        <f>IF(Transactions_RAW_cleaned[[#This Row],[Status]]="Completed", IFERROR(_xlfn.XLOOKUP(Transactions_RAW_cleaned[[#This Row],[CustomerID]], Customers_cleaned[CustomerID], Customers_cleaned[Segment]), "Customer Not Found"), "N/A")</f>
        <v>SMB</v>
      </c>
      <c r="P724" s="5" t="str">
        <f>IF(Transactions_RAW_cleaned[[#This Row],[Status]]="Refunded", "Refund",
  IF(Transactions_RAW_cleaned[[#This Row],[Category]]="Payments", IF(Transactions_RAW_cleaned[[#This Row],[Amount]]&gt;500,"High Value","Standard"),
    IF(Transactions_RAW_cleaned[[#This Row],[Amount]]&gt;250,"High Value","Standard")))</f>
        <v>High Value</v>
      </c>
      <c r="Q724" s="5" t="str">
        <f>IF(Transactions_RAW_cleaned[[#This Row],[Amount]] &gt; (_xlfn.XLOOKUP(Transactions_RAW_cleaned[[#This Row],[ServiceID]],Services_cleaned[ServiceID],Services_cleaned[TransactionFeePct]) * 10000), "Yes", "No")</f>
        <v>Yes</v>
      </c>
      <c r="R724" s="5" t="str">
        <f>IF(COUNTIFS($C$2:Transactions_RAW_cleaned[[#This Row],[CustomerID]],Transactions_RAW_cleaned[[#This Row],[CustomerID]],$D$2:Transactions_RAW_cleaned[[#This Row],[ServiceID]],Transactions_RAW_cleaned[[#This Row],[ServiceID]])=1,"Yes","No")</f>
        <v>No</v>
      </c>
      <c r="S72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24" t="str">
        <f>"Q"&amp;ROUNDUP(MONTH(Transactions_RAW_cleaned[[#This Row],[TransactionDate]])/3,0)</f>
        <v>Q2</v>
      </c>
      <c r="U724" t="str">
        <f>Transactions_RAW_cleaned[[#This Row],[Region ]]&amp;Transactions_RAW_cleaned[[#This Row],[Quarter ]]</f>
        <v>EMEAQ2</v>
      </c>
      <c r="V724" s="5">
        <f>_xlfn.XLOOKUP(Transactions_RAW_cleaned[[#This Row],[RegionQuarterKey]], Quarterly_Targets_cleaned[RegionQuarterKey], Quarterly_Targets_cleaned[TargetRevenue])</f>
        <v>140000</v>
      </c>
    </row>
    <row r="725" spans="1:22" x14ac:dyDescent="0.25">
      <c r="A725" t="s">
        <v>1060</v>
      </c>
      <c r="B725" s="1">
        <v>45331</v>
      </c>
      <c r="C725" t="s">
        <v>92</v>
      </c>
      <c r="D725" t="s">
        <v>297</v>
      </c>
      <c r="E725">
        <v>110.54</v>
      </c>
      <c r="F725" t="s">
        <v>324</v>
      </c>
      <c r="G725" t="s">
        <v>325</v>
      </c>
      <c r="I725" t="s">
        <v>8</v>
      </c>
      <c r="J725" t="s">
        <v>102</v>
      </c>
      <c r="K725" t="s">
        <v>10</v>
      </c>
      <c r="L725" t="s">
        <v>298</v>
      </c>
      <c r="M725" t="s">
        <v>299</v>
      </c>
      <c r="N725">
        <v>0</v>
      </c>
      <c r="O725" t="str">
        <f>IF(Transactions_RAW_cleaned[[#This Row],[Status]]="Completed", IFERROR(_xlfn.XLOOKUP(Transactions_RAW_cleaned[[#This Row],[CustomerID]], Customers_cleaned[CustomerID], Customers_cleaned[Segment]), "Customer Not Found"), "N/A")</f>
        <v>SMB</v>
      </c>
      <c r="P725" s="5" t="str">
        <f>IF(Transactions_RAW_cleaned[[#This Row],[Status]]="Refunded", "Refund",
  IF(Transactions_RAW_cleaned[[#This Row],[Category]]="Payments", IF(Transactions_RAW_cleaned[[#This Row],[Amount]]&gt;500,"High Value","Standard"),
    IF(Transactions_RAW_cleaned[[#This Row],[Amount]]&gt;250,"High Value","Standard")))</f>
        <v>Standard</v>
      </c>
      <c r="Q725" s="5" t="str">
        <f>IF(Transactions_RAW_cleaned[[#This Row],[Amount]] &gt; (_xlfn.XLOOKUP(Transactions_RAW_cleaned[[#This Row],[ServiceID]],Services_cleaned[ServiceID],Services_cleaned[TransactionFeePct]) * 10000), "Yes", "No")</f>
        <v>Yes</v>
      </c>
      <c r="R725" s="5" t="str">
        <f>IF(COUNTIFS($C$2:Transactions_RAW_cleaned[[#This Row],[CustomerID]],Transactions_RAW_cleaned[[#This Row],[CustomerID]],$D$2:Transactions_RAW_cleaned[[#This Row],[ServiceID]],Transactions_RAW_cleaned[[#This Row],[ServiceID]])=1,"Yes","No")</f>
        <v>No</v>
      </c>
      <c r="S72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25" t="str">
        <f>"Q"&amp;ROUNDUP(MONTH(Transactions_RAW_cleaned[[#This Row],[TransactionDate]])/3,0)</f>
        <v>Q1</v>
      </c>
      <c r="U725" t="str">
        <f>Transactions_RAW_cleaned[[#This Row],[Region ]]&amp;Transactions_RAW_cleaned[[#This Row],[Quarter ]]</f>
        <v>NAQ1</v>
      </c>
      <c r="V725" s="5">
        <f>_xlfn.XLOOKUP(Transactions_RAW_cleaned[[#This Row],[RegionQuarterKey]], Quarterly_Targets_cleaned[RegionQuarterKey], Quarterly_Targets_cleaned[TargetRevenue])</f>
        <v>247000</v>
      </c>
    </row>
    <row r="726" spans="1:22" x14ac:dyDescent="0.25">
      <c r="A726" t="s">
        <v>1061</v>
      </c>
      <c r="B726" s="1">
        <v>45600</v>
      </c>
      <c r="C726" t="s">
        <v>74</v>
      </c>
      <c r="D726" t="s">
        <v>294</v>
      </c>
      <c r="E726">
        <v>439.54</v>
      </c>
      <c r="F726" t="s">
        <v>324</v>
      </c>
      <c r="G726" t="s">
        <v>337</v>
      </c>
      <c r="H726" t="s">
        <v>334</v>
      </c>
      <c r="I726" t="s">
        <v>17</v>
      </c>
      <c r="J726" t="s">
        <v>46</v>
      </c>
      <c r="K726" t="s">
        <v>28</v>
      </c>
      <c r="L726" t="s">
        <v>295</v>
      </c>
      <c r="M726" t="s">
        <v>296</v>
      </c>
      <c r="N726">
        <v>2.9000000000000001E-2</v>
      </c>
      <c r="O726" t="str">
        <f>IF(Transactions_RAW_cleaned[[#This Row],[Status]]="Completed", IFERROR(_xlfn.XLOOKUP(Transactions_RAW_cleaned[[#This Row],[CustomerID]], Customers_cleaned[CustomerID], Customers_cleaned[Segment]), "Customer Not Found"), "N/A")</f>
        <v>Enterprise</v>
      </c>
      <c r="P726" s="5" t="str">
        <f>IF(Transactions_RAW_cleaned[[#This Row],[Status]]="Refunded", "Refund",
  IF(Transactions_RAW_cleaned[[#This Row],[Category]]="Payments", IF(Transactions_RAW_cleaned[[#This Row],[Amount]]&gt;500,"High Value","Standard"),
    IF(Transactions_RAW_cleaned[[#This Row],[Amount]]&gt;250,"High Value","Standard")))</f>
        <v>Standard</v>
      </c>
      <c r="Q726" s="5" t="str">
        <f>IF(Transactions_RAW_cleaned[[#This Row],[Amount]] &gt; (_xlfn.XLOOKUP(Transactions_RAW_cleaned[[#This Row],[ServiceID]],Services_cleaned[ServiceID],Services_cleaned[TransactionFeePct]) * 10000), "Yes", "No")</f>
        <v>Yes</v>
      </c>
      <c r="R726" s="5" t="str">
        <f>IF(COUNTIFS($C$2:Transactions_RAW_cleaned[[#This Row],[CustomerID]],Transactions_RAW_cleaned[[#This Row],[CustomerID]],$D$2:Transactions_RAW_cleaned[[#This Row],[ServiceID]],Transactions_RAW_cleaned[[#This Row],[ServiceID]])=1,"Yes","No")</f>
        <v>No</v>
      </c>
      <c r="S72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26" t="str">
        <f>"Q"&amp;ROUNDUP(MONTH(Transactions_RAW_cleaned[[#This Row],[TransactionDate]])/3,0)</f>
        <v>Q4</v>
      </c>
      <c r="U726" t="str">
        <f>Transactions_RAW_cleaned[[#This Row],[Region ]]&amp;Transactions_RAW_cleaned[[#This Row],[Quarter ]]</f>
        <v>APACQ4</v>
      </c>
      <c r="V726" s="5">
        <f>_xlfn.XLOOKUP(Transactions_RAW_cleaned[[#This Row],[RegionQuarterKey]], Quarterly_Targets_cleaned[RegionQuarterKey], Quarterly_Targets_cleaned[TargetRevenue])</f>
        <v>126500</v>
      </c>
    </row>
    <row r="727" spans="1:22" x14ac:dyDescent="0.25">
      <c r="A727" t="s">
        <v>1062</v>
      </c>
      <c r="B727" s="1">
        <v>45411</v>
      </c>
      <c r="C727" t="s">
        <v>29</v>
      </c>
      <c r="D727" t="s">
        <v>294</v>
      </c>
      <c r="E727">
        <v>499.96</v>
      </c>
      <c r="F727" t="s">
        <v>324</v>
      </c>
      <c r="G727" t="s">
        <v>337</v>
      </c>
      <c r="I727" t="s">
        <v>8</v>
      </c>
      <c r="J727" t="s">
        <v>31</v>
      </c>
      <c r="K727" t="s">
        <v>32</v>
      </c>
      <c r="L727" t="s">
        <v>295</v>
      </c>
      <c r="M727" t="s">
        <v>296</v>
      </c>
      <c r="N727">
        <v>2.9000000000000001E-2</v>
      </c>
      <c r="O727" t="str">
        <f>IF(Transactions_RAW_cleaned[[#This Row],[Status]]="Completed", IFERROR(_xlfn.XLOOKUP(Transactions_RAW_cleaned[[#This Row],[CustomerID]], Customers_cleaned[CustomerID], Customers_cleaned[Segment]), "Customer Not Found"), "N/A")</f>
        <v>SMB</v>
      </c>
      <c r="P727" s="5" t="str">
        <f>IF(Transactions_RAW_cleaned[[#This Row],[Status]]="Refunded", "Refund",
  IF(Transactions_RAW_cleaned[[#This Row],[Category]]="Payments", IF(Transactions_RAW_cleaned[[#This Row],[Amount]]&gt;500,"High Value","Standard"),
    IF(Transactions_RAW_cleaned[[#This Row],[Amount]]&gt;250,"High Value","Standard")))</f>
        <v>Standard</v>
      </c>
      <c r="Q727" s="5" t="str">
        <f>IF(Transactions_RAW_cleaned[[#This Row],[Amount]] &gt; (_xlfn.XLOOKUP(Transactions_RAW_cleaned[[#This Row],[ServiceID]],Services_cleaned[ServiceID],Services_cleaned[TransactionFeePct]) * 10000), "Yes", "No")</f>
        <v>Yes</v>
      </c>
      <c r="R727" s="5" t="str">
        <f>IF(COUNTIFS($C$2:Transactions_RAW_cleaned[[#This Row],[CustomerID]],Transactions_RAW_cleaned[[#This Row],[CustomerID]],$D$2:Transactions_RAW_cleaned[[#This Row],[ServiceID]],Transactions_RAW_cleaned[[#This Row],[ServiceID]])=1,"Yes","No")</f>
        <v>Yes</v>
      </c>
      <c r="S72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27" t="str">
        <f>"Q"&amp;ROUNDUP(MONTH(Transactions_RAW_cleaned[[#This Row],[TransactionDate]])/3,0)</f>
        <v>Q2</v>
      </c>
      <c r="U727" t="str">
        <f>Transactions_RAW_cleaned[[#This Row],[Region ]]&amp;Transactions_RAW_cleaned[[#This Row],[Quarter ]]</f>
        <v>EMEAQ2</v>
      </c>
      <c r="V727" s="5">
        <f>_xlfn.XLOOKUP(Transactions_RAW_cleaned[[#This Row],[RegionQuarterKey]], Quarterly_Targets_cleaned[RegionQuarterKey], Quarterly_Targets_cleaned[TargetRevenue])</f>
        <v>140000</v>
      </c>
    </row>
    <row r="728" spans="1:22" x14ac:dyDescent="0.25">
      <c r="A728" t="s">
        <v>1063</v>
      </c>
      <c r="B728" s="1">
        <v>45410</v>
      </c>
      <c r="C728" t="s">
        <v>113</v>
      </c>
      <c r="D728" t="s">
        <v>300</v>
      </c>
      <c r="E728">
        <v>106.91</v>
      </c>
      <c r="F728" t="s">
        <v>381</v>
      </c>
      <c r="G728" t="s">
        <v>325</v>
      </c>
      <c r="H728" t="s">
        <v>332</v>
      </c>
      <c r="I728" t="s">
        <v>57</v>
      </c>
      <c r="J728" t="s">
        <v>46</v>
      </c>
      <c r="K728" t="s">
        <v>10</v>
      </c>
      <c r="L728" t="s">
        <v>301</v>
      </c>
      <c r="M728" t="s">
        <v>302</v>
      </c>
      <c r="N728">
        <v>5.0000000000000001E-3</v>
      </c>
      <c r="O728" t="str">
        <f>IF(Transactions_RAW_cleaned[[#This Row],[Status]]="Completed", IFERROR(_xlfn.XLOOKUP(Transactions_RAW_cleaned[[#This Row],[CustomerID]], Customers_cleaned[CustomerID], Customers_cleaned[Segment]), "Customer Not Found"), "N/A")</f>
        <v>N/A</v>
      </c>
      <c r="P728" s="5" t="str">
        <f>IF(Transactions_RAW_cleaned[[#This Row],[Status]]="Refunded", "Refund",
  IF(Transactions_RAW_cleaned[[#This Row],[Category]]="Payments", IF(Transactions_RAW_cleaned[[#This Row],[Amount]]&gt;500,"High Value","Standard"),
    IF(Transactions_RAW_cleaned[[#This Row],[Amount]]&gt;250,"High Value","Standard")))</f>
        <v>Standard</v>
      </c>
      <c r="Q728" s="5" t="str">
        <f>IF(Transactions_RAW_cleaned[[#This Row],[Amount]] &gt; (_xlfn.XLOOKUP(Transactions_RAW_cleaned[[#This Row],[ServiceID]],Services_cleaned[ServiceID],Services_cleaned[TransactionFeePct]) * 10000), "Yes", "No")</f>
        <v>Yes</v>
      </c>
      <c r="R728" s="5" t="str">
        <f>IF(COUNTIFS($C$2:Transactions_RAW_cleaned[[#This Row],[CustomerID]],Transactions_RAW_cleaned[[#This Row],[CustomerID]],$D$2:Transactions_RAW_cleaned[[#This Row],[ServiceID]],Transactions_RAW_cleaned[[#This Row],[ServiceID]])=1,"Yes","No")</f>
        <v>Yes</v>
      </c>
      <c r="S72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28" t="str">
        <f>"Q"&amp;ROUNDUP(MONTH(Transactions_RAW_cleaned[[#This Row],[TransactionDate]])/3,0)</f>
        <v>Q2</v>
      </c>
      <c r="U728" t="str">
        <f>Transactions_RAW_cleaned[[#This Row],[Region ]]&amp;Transactions_RAW_cleaned[[#This Row],[Quarter ]]</f>
        <v>APACQ2</v>
      </c>
      <c r="V728" s="5">
        <f>_xlfn.XLOOKUP(Transactions_RAW_cleaned[[#This Row],[RegionQuarterKey]], Quarterly_Targets_cleaned[RegionQuarterKey], Quarterly_Targets_cleaned[TargetRevenue])</f>
        <v>110000</v>
      </c>
    </row>
    <row r="729" spans="1:22" x14ac:dyDescent="0.25">
      <c r="A729" t="s">
        <v>1064</v>
      </c>
      <c r="B729" s="1">
        <v>45589</v>
      </c>
      <c r="C729" t="s">
        <v>147</v>
      </c>
      <c r="D729" t="s">
        <v>306</v>
      </c>
      <c r="E729">
        <v>798.13</v>
      </c>
      <c r="F729" t="s">
        <v>324</v>
      </c>
      <c r="G729" t="s">
        <v>327</v>
      </c>
      <c r="H729" t="s">
        <v>332</v>
      </c>
      <c r="I729" t="s">
        <v>17</v>
      </c>
      <c r="J729" t="s">
        <v>25</v>
      </c>
      <c r="K729" t="s">
        <v>32</v>
      </c>
      <c r="L729" t="s">
        <v>307</v>
      </c>
      <c r="M729" t="s">
        <v>308</v>
      </c>
      <c r="N729">
        <v>0</v>
      </c>
      <c r="O729" t="str">
        <f>IF(Transactions_RAW_cleaned[[#This Row],[Status]]="Completed", IFERROR(_xlfn.XLOOKUP(Transactions_RAW_cleaned[[#This Row],[CustomerID]], Customers_cleaned[CustomerID], Customers_cleaned[Segment]), "Customer Not Found"), "N/A")</f>
        <v>Enterprise</v>
      </c>
      <c r="P729" s="5" t="str">
        <f>IF(Transactions_RAW_cleaned[[#This Row],[Status]]="Refunded", "Refund",
  IF(Transactions_RAW_cleaned[[#This Row],[Category]]="Payments", IF(Transactions_RAW_cleaned[[#This Row],[Amount]]&gt;500,"High Value","Standard"),
    IF(Transactions_RAW_cleaned[[#This Row],[Amount]]&gt;250,"High Value","Standard")))</f>
        <v>High Value</v>
      </c>
      <c r="Q729" s="5" t="str">
        <f>IF(Transactions_RAW_cleaned[[#This Row],[Amount]] &gt; (_xlfn.XLOOKUP(Transactions_RAW_cleaned[[#This Row],[ServiceID]],Services_cleaned[ServiceID],Services_cleaned[TransactionFeePct]) * 10000), "Yes", "No")</f>
        <v>Yes</v>
      </c>
      <c r="R729" s="5" t="str">
        <f>IF(COUNTIFS($C$2:Transactions_RAW_cleaned[[#This Row],[CustomerID]],Transactions_RAW_cleaned[[#This Row],[CustomerID]],$D$2:Transactions_RAW_cleaned[[#This Row],[ServiceID]],Transactions_RAW_cleaned[[#This Row],[ServiceID]])=1,"Yes","No")</f>
        <v>Yes</v>
      </c>
      <c r="S72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29" t="str">
        <f>"Q"&amp;ROUNDUP(MONTH(Transactions_RAW_cleaned[[#This Row],[TransactionDate]])/3,0)</f>
        <v>Q4</v>
      </c>
      <c r="U729" t="str">
        <f>Transactions_RAW_cleaned[[#This Row],[Region ]]&amp;Transactions_RAW_cleaned[[#This Row],[Quarter ]]</f>
        <v>APACQ4</v>
      </c>
      <c r="V729" s="5">
        <f>_xlfn.XLOOKUP(Transactions_RAW_cleaned[[#This Row],[RegionQuarterKey]], Quarterly_Targets_cleaned[RegionQuarterKey], Quarterly_Targets_cleaned[TargetRevenue])</f>
        <v>126500</v>
      </c>
    </row>
    <row r="730" spans="1:22" x14ac:dyDescent="0.25">
      <c r="A730" t="s">
        <v>1065</v>
      </c>
      <c r="B730" s="1">
        <v>45409</v>
      </c>
      <c r="C730" t="s">
        <v>213</v>
      </c>
      <c r="D730" t="s">
        <v>297</v>
      </c>
      <c r="E730">
        <v>475.34</v>
      </c>
      <c r="F730" t="s">
        <v>324</v>
      </c>
      <c r="G730" t="s">
        <v>325</v>
      </c>
      <c r="H730" t="s">
        <v>334</v>
      </c>
      <c r="I730" t="s">
        <v>17</v>
      </c>
      <c r="J730" t="s">
        <v>25</v>
      </c>
      <c r="K730" t="s">
        <v>14</v>
      </c>
      <c r="L730" t="s">
        <v>298</v>
      </c>
      <c r="M730" t="s">
        <v>299</v>
      </c>
      <c r="N730">
        <v>0</v>
      </c>
      <c r="O730" t="str">
        <f>IF(Transactions_RAW_cleaned[[#This Row],[Status]]="Completed", IFERROR(_xlfn.XLOOKUP(Transactions_RAW_cleaned[[#This Row],[CustomerID]], Customers_cleaned[CustomerID], Customers_cleaned[Segment]), "Customer Not Found"), "N/A")</f>
        <v>Enterprise</v>
      </c>
      <c r="P730" s="5" t="str">
        <f>IF(Transactions_RAW_cleaned[[#This Row],[Status]]="Refunded", "Refund",
  IF(Transactions_RAW_cleaned[[#This Row],[Category]]="Payments", IF(Transactions_RAW_cleaned[[#This Row],[Amount]]&gt;500,"High Value","Standard"),
    IF(Transactions_RAW_cleaned[[#This Row],[Amount]]&gt;250,"High Value","Standard")))</f>
        <v>High Value</v>
      </c>
      <c r="Q730" s="5" t="str">
        <f>IF(Transactions_RAW_cleaned[[#This Row],[Amount]] &gt; (_xlfn.XLOOKUP(Transactions_RAW_cleaned[[#This Row],[ServiceID]],Services_cleaned[ServiceID],Services_cleaned[TransactionFeePct]) * 10000), "Yes", "No")</f>
        <v>Yes</v>
      </c>
      <c r="R730" s="5" t="str">
        <f>IF(COUNTIFS($C$2:Transactions_RAW_cleaned[[#This Row],[CustomerID]],Transactions_RAW_cleaned[[#This Row],[CustomerID]],$D$2:Transactions_RAW_cleaned[[#This Row],[ServiceID]],Transactions_RAW_cleaned[[#This Row],[ServiceID]])=1,"Yes","No")</f>
        <v>No</v>
      </c>
      <c r="S73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30" t="str">
        <f>"Q"&amp;ROUNDUP(MONTH(Transactions_RAW_cleaned[[#This Row],[TransactionDate]])/3,0)</f>
        <v>Q2</v>
      </c>
      <c r="U730" t="str">
        <f>Transactions_RAW_cleaned[[#This Row],[Region ]]&amp;Transactions_RAW_cleaned[[#This Row],[Quarter ]]</f>
        <v>APACQ2</v>
      </c>
      <c r="V730" s="5">
        <f>_xlfn.XLOOKUP(Transactions_RAW_cleaned[[#This Row],[RegionQuarterKey]], Quarterly_Targets_cleaned[RegionQuarterKey], Quarterly_Targets_cleaned[TargetRevenue])</f>
        <v>110000</v>
      </c>
    </row>
    <row r="731" spans="1:22" x14ac:dyDescent="0.25">
      <c r="A731" t="s">
        <v>1066</v>
      </c>
      <c r="B731" s="1">
        <v>45586</v>
      </c>
      <c r="C731" t="s">
        <v>149</v>
      </c>
      <c r="D731" t="s">
        <v>300</v>
      </c>
      <c r="E731">
        <v>138.34</v>
      </c>
      <c r="F731" t="s">
        <v>381</v>
      </c>
      <c r="G731" t="s">
        <v>327</v>
      </c>
      <c r="H731" t="s">
        <v>346</v>
      </c>
      <c r="I731" t="s">
        <v>8</v>
      </c>
      <c r="J731" t="s">
        <v>13</v>
      </c>
      <c r="K731" t="s">
        <v>22</v>
      </c>
      <c r="L731" t="s">
        <v>301</v>
      </c>
      <c r="M731" t="s">
        <v>302</v>
      </c>
      <c r="N731">
        <v>5.0000000000000001E-3</v>
      </c>
      <c r="O731" t="str">
        <f>IF(Transactions_RAW_cleaned[[#This Row],[Status]]="Completed", IFERROR(_xlfn.XLOOKUP(Transactions_RAW_cleaned[[#This Row],[CustomerID]], Customers_cleaned[CustomerID], Customers_cleaned[Segment]), "Customer Not Found"), "N/A")</f>
        <v>N/A</v>
      </c>
      <c r="P731" s="5" t="str">
        <f>IF(Transactions_RAW_cleaned[[#This Row],[Status]]="Refunded", "Refund",
  IF(Transactions_RAW_cleaned[[#This Row],[Category]]="Payments", IF(Transactions_RAW_cleaned[[#This Row],[Amount]]&gt;500,"High Value","Standard"),
    IF(Transactions_RAW_cleaned[[#This Row],[Amount]]&gt;250,"High Value","Standard")))</f>
        <v>Standard</v>
      </c>
      <c r="Q731" s="5" t="str">
        <f>IF(Transactions_RAW_cleaned[[#This Row],[Amount]] &gt; (_xlfn.XLOOKUP(Transactions_RAW_cleaned[[#This Row],[ServiceID]],Services_cleaned[ServiceID],Services_cleaned[TransactionFeePct]) * 10000), "Yes", "No")</f>
        <v>Yes</v>
      </c>
      <c r="R731" s="5" t="str">
        <f>IF(COUNTIFS($C$2:Transactions_RAW_cleaned[[#This Row],[CustomerID]],Transactions_RAW_cleaned[[#This Row],[CustomerID]],$D$2:Transactions_RAW_cleaned[[#This Row],[ServiceID]],Transactions_RAW_cleaned[[#This Row],[ServiceID]])=1,"Yes","No")</f>
        <v>No</v>
      </c>
      <c r="S73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31" t="str">
        <f>"Q"&amp;ROUNDUP(MONTH(Transactions_RAW_cleaned[[#This Row],[TransactionDate]])/3,0)</f>
        <v>Q4</v>
      </c>
      <c r="U731" t="str">
        <f>Transactions_RAW_cleaned[[#This Row],[Region ]]&amp;Transactions_RAW_cleaned[[#This Row],[Quarter ]]</f>
        <v>NAQ4</v>
      </c>
      <c r="V731" s="5">
        <f>_xlfn.XLOOKUP(Transactions_RAW_cleaned[[#This Row],[RegionQuarterKey]], Quarterly_Targets_cleaned[RegionQuarterKey], Quarterly_Targets_cleaned[TargetRevenue])</f>
        <v>299000</v>
      </c>
    </row>
    <row r="732" spans="1:22" x14ac:dyDescent="0.25">
      <c r="A732" t="s">
        <v>1067</v>
      </c>
      <c r="B732" s="1">
        <v>45642</v>
      </c>
      <c r="C732" t="s">
        <v>269</v>
      </c>
      <c r="D732" t="s">
        <v>306</v>
      </c>
      <c r="E732">
        <v>883.75</v>
      </c>
      <c r="F732" t="s">
        <v>324</v>
      </c>
      <c r="G732" t="s">
        <v>327</v>
      </c>
      <c r="I732" t="s">
        <v>17</v>
      </c>
      <c r="J732" t="s">
        <v>31</v>
      </c>
      <c r="K732" t="s">
        <v>32</v>
      </c>
      <c r="L732" t="s">
        <v>307</v>
      </c>
      <c r="M732" t="s">
        <v>308</v>
      </c>
      <c r="N732">
        <v>0</v>
      </c>
      <c r="O732" t="str">
        <f>IF(Transactions_RAW_cleaned[[#This Row],[Status]]="Completed", IFERROR(_xlfn.XLOOKUP(Transactions_RAW_cleaned[[#This Row],[CustomerID]], Customers_cleaned[CustomerID], Customers_cleaned[Segment]), "Customer Not Found"), "N/A")</f>
        <v>Enterprise</v>
      </c>
      <c r="P732" s="5" t="str">
        <f>IF(Transactions_RAW_cleaned[[#This Row],[Status]]="Refunded", "Refund",
  IF(Transactions_RAW_cleaned[[#This Row],[Category]]="Payments", IF(Transactions_RAW_cleaned[[#This Row],[Amount]]&gt;500,"High Value","Standard"),
    IF(Transactions_RAW_cleaned[[#This Row],[Amount]]&gt;250,"High Value","Standard")))</f>
        <v>High Value</v>
      </c>
      <c r="Q732" s="5" t="str">
        <f>IF(Transactions_RAW_cleaned[[#This Row],[Amount]] &gt; (_xlfn.XLOOKUP(Transactions_RAW_cleaned[[#This Row],[ServiceID]],Services_cleaned[ServiceID],Services_cleaned[TransactionFeePct]) * 10000), "Yes", "No")</f>
        <v>Yes</v>
      </c>
      <c r="R732" s="5" t="str">
        <f>IF(COUNTIFS($C$2:Transactions_RAW_cleaned[[#This Row],[CustomerID]],Transactions_RAW_cleaned[[#This Row],[CustomerID]],$D$2:Transactions_RAW_cleaned[[#This Row],[ServiceID]],Transactions_RAW_cleaned[[#This Row],[ServiceID]])=1,"Yes","No")</f>
        <v>No</v>
      </c>
      <c r="S73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32" t="str">
        <f>"Q"&amp;ROUNDUP(MONTH(Transactions_RAW_cleaned[[#This Row],[TransactionDate]])/3,0)</f>
        <v>Q4</v>
      </c>
      <c r="U732" t="str">
        <f>Transactions_RAW_cleaned[[#This Row],[Region ]]&amp;Transactions_RAW_cleaned[[#This Row],[Quarter ]]</f>
        <v>EMEAQ4</v>
      </c>
      <c r="V732" s="5">
        <f>_xlfn.XLOOKUP(Transactions_RAW_cleaned[[#This Row],[RegionQuarterKey]], Quarterly_Targets_cleaned[RegionQuarterKey], Quarterly_Targets_cleaned[TargetRevenue])</f>
        <v>161000</v>
      </c>
    </row>
    <row r="733" spans="1:22" x14ac:dyDescent="0.25">
      <c r="A733" t="s">
        <v>1068</v>
      </c>
      <c r="B733" s="1">
        <v>45603</v>
      </c>
      <c r="C733" t="s">
        <v>251</v>
      </c>
      <c r="D733" t="s">
        <v>294</v>
      </c>
      <c r="E733">
        <v>1085.22</v>
      </c>
      <c r="F733" t="s">
        <v>324</v>
      </c>
      <c r="G733" t="s">
        <v>329</v>
      </c>
      <c r="H733" t="s">
        <v>334</v>
      </c>
      <c r="I733" t="s">
        <v>17</v>
      </c>
      <c r="J733" t="s">
        <v>46</v>
      </c>
      <c r="K733" t="s">
        <v>14</v>
      </c>
      <c r="L733" t="s">
        <v>295</v>
      </c>
      <c r="M733" t="s">
        <v>296</v>
      </c>
      <c r="N733">
        <v>2.9000000000000001E-2</v>
      </c>
      <c r="O733" t="str">
        <f>IF(Transactions_RAW_cleaned[[#This Row],[Status]]="Completed", IFERROR(_xlfn.XLOOKUP(Transactions_RAW_cleaned[[#This Row],[CustomerID]], Customers_cleaned[CustomerID], Customers_cleaned[Segment]), "Customer Not Found"), "N/A")</f>
        <v>Enterprise</v>
      </c>
      <c r="P733" s="5" t="str">
        <f>IF(Transactions_RAW_cleaned[[#This Row],[Status]]="Refunded", "Refund",
  IF(Transactions_RAW_cleaned[[#This Row],[Category]]="Payments", IF(Transactions_RAW_cleaned[[#This Row],[Amount]]&gt;500,"High Value","Standard"),
    IF(Transactions_RAW_cleaned[[#This Row],[Amount]]&gt;250,"High Value","Standard")))</f>
        <v>High Value</v>
      </c>
      <c r="Q733" s="5" t="str">
        <f>IF(Transactions_RAW_cleaned[[#This Row],[Amount]] &gt; (_xlfn.XLOOKUP(Transactions_RAW_cleaned[[#This Row],[ServiceID]],Services_cleaned[ServiceID],Services_cleaned[TransactionFeePct]) * 10000), "Yes", "No")</f>
        <v>Yes</v>
      </c>
      <c r="R733" s="5" t="str">
        <f>IF(COUNTIFS($C$2:Transactions_RAW_cleaned[[#This Row],[CustomerID]],Transactions_RAW_cleaned[[#This Row],[CustomerID]],$D$2:Transactions_RAW_cleaned[[#This Row],[ServiceID]],Transactions_RAW_cleaned[[#This Row],[ServiceID]])=1,"Yes","No")</f>
        <v>Yes</v>
      </c>
      <c r="S73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33" t="str">
        <f>"Q"&amp;ROUNDUP(MONTH(Transactions_RAW_cleaned[[#This Row],[TransactionDate]])/3,0)</f>
        <v>Q4</v>
      </c>
      <c r="U733" t="str">
        <f>Transactions_RAW_cleaned[[#This Row],[Region ]]&amp;Transactions_RAW_cleaned[[#This Row],[Quarter ]]</f>
        <v>APACQ4</v>
      </c>
      <c r="V733" s="5">
        <f>_xlfn.XLOOKUP(Transactions_RAW_cleaned[[#This Row],[RegionQuarterKey]], Quarterly_Targets_cleaned[RegionQuarterKey], Quarterly_Targets_cleaned[TargetRevenue])</f>
        <v>126500</v>
      </c>
    </row>
    <row r="734" spans="1:22" x14ac:dyDescent="0.25">
      <c r="A734" t="s">
        <v>1069</v>
      </c>
      <c r="B734" s="1">
        <v>45627</v>
      </c>
      <c r="C734" t="s">
        <v>98</v>
      </c>
      <c r="D734" t="s">
        <v>312</v>
      </c>
      <c r="E734">
        <v>647.32000000000005</v>
      </c>
      <c r="F734" t="s">
        <v>324</v>
      </c>
      <c r="G734" t="s">
        <v>327</v>
      </c>
      <c r="I734" t="s">
        <v>8</v>
      </c>
      <c r="J734" t="s">
        <v>37</v>
      </c>
      <c r="K734" t="s">
        <v>18</v>
      </c>
      <c r="L734" t="s">
        <v>313</v>
      </c>
      <c r="M734" t="s">
        <v>314</v>
      </c>
      <c r="N734">
        <v>0</v>
      </c>
      <c r="O734" t="str">
        <f>IF(Transactions_RAW_cleaned[[#This Row],[Status]]="Completed", IFERROR(_xlfn.XLOOKUP(Transactions_RAW_cleaned[[#This Row],[CustomerID]], Customers_cleaned[CustomerID], Customers_cleaned[Segment]), "Customer Not Found"), "N/A")</f>
        <v>SMB</v>
      </c>
      <c r="P734" s="5" t="str">
        <f>IF(Transactions_RAW_cleaned[[#This Row],[Status]]="Refunded", "Refund",
  IF(Transactions_RAW_cleaned[[#This Row],[Category]]="Payments", IF(Transactions_RAW_cleaned[[#This Row],[Amount]]&gt;500,"High Value","Standard"),
    IF(Transactions_RAW_cleaned[[#This Row],[Amount]]&gt;250,"High Value","Standard")))</f>
        <v>High Value</v>
      </c>
      <c r="Q734" s="5" t="str">
        <f>IF(Transactions_RAW_cleaned[[#This Row],[Amount]] &gt; (_xlfn.XLOOKUP(Transactions_RAW_cleaned[[#This Row],[ServiceID]],Services_cleaned[ServiceID],Services_cleaned[TransactionFeePct]) * 10000), "Yes", "No")</f>
        <v>Yes</v>
      </c>
      <c r="R734" s="5" t="str">
        <f>IF(COUNTIFS($C$2:Transactions_RAW_cleaned[[#This Row],[CustomerID]],Transactions_RAW_cleaned[[#This Row],[CustomerID]],$D$2:Transactions_RAW_cleaned[[#This Row],[ServiceID]],Transactions_RAW_cleaned[[#This Row],[ServiceID]])=1,"Yes","No")</f>
        <v>Yes</v>
      </c>
      <c r="S73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34" t="str">
        <f>"Q"&amp;ROUNDUP(MONTH(Transactions_RAW_cleaned[[#This Row],[TransactionDate]])/3,0)</f>
        <v>Q4</v>
      </c>
      <c r="U734" t="str">
        <f>Transactions_RAW_cleaned[[#This Row],[Region ]]&amp;Transactions_RAW_cleaned[[#This Row],[Quarter ]]</f>
        <v>EMEAQ4</v>
      </c>
      <c r="V734" s="5">
        <f>_xlfn.XLOOKUP(Transactions_RAW_cleaned[[#This Row],[RegionQuarterKey]], Quarterly_Targets_cleaned[RegionQuarterKey], Quarterly_Targets_cleaned[TargetRevenue])</f>
        <v>161000</v>
      </c>
    </row>
    <row r="735" spans="1:22" x14ac:dyDescent="0.25">
      <c r="A735" t="s">
        <v>1070</v>
      </c>
      <c r="B735" s="1">
        <v>45631</v>
      </c>
      <c r="C735" t="s">
        <v>107</v>
      </c>
      <c r="D735" t="s">
        <v>294</v>
      </c>
      <c r="E735">
        <v>231.78</v>
      </c>
      <c r="F735" t="s">
        <v>324</v>
      </c>
      <c r="G735" t="s">
        <v>337</v>
      </c>
      <c r="H735" t="s">
        <v>346</v>
      </c>
      <c r="I735" t="s">
        <v>17</v>
      </c>
      <c r="J735" t="s">
        <v>102</v>
      </c>
      <c r="K735" t="s">
        <v>22</v>
      </c>
      <c r="L735" t="s">
        <v>295</v>
      </c>
      <c r="M735" t="s">
        <v>296</v>
      </c>
      <c r="N735">
        <v>2.9000000000000001E-2</v>
      </c>
      <c r="O735" t="str">
        <f>IF(Transactions_RAW_cleaned[[#This Row],[Status]]="Completed", IFERROR(_xlfn.XLOOKUP(Transactions_RAW_cleaned[[#This Row],[CustomerID]], Customers_cleaned[CustomerID], Customers_cleaned[Segment]), "Customer Not Found"), "N/A")</f>
        <v>Enterprise</v>
      </c>
      <c r="P735" s="5" t="str">
        <f>IF(Transactions_RAW_cleaned[[#This Row],[Status]]="Refunded", "Refund",
  IF(Transactions_RAW_cleaned[[#This Row],[Category]]="Payments", IF(Transactions_RAW_cleaned[[#This Row],[Amount]]&gt;500,"High Value","Standard"),
    IF(Transactions_RAW_cleaned[[#This Row],[Amount]]&gt;250,"High Value","Standard")))</f>
        <v>Standard</v>
      </c>
      <c r="Q735" s="5" t="str">
        <f>IF(Transactions_RAW_cleaned[[#This Row],[Amount]] &gt; (_xlfn.XLOOKUP(Transactions_RAW_cleaned[[#This Row],[ServiceID]],Services_cleaned[ServiceID],Services_cleaned[TransactionFeePct]) * 10000), "Yes", "No")</f>
        <v>No</v>
      </c>
      <c r="R735" s="5" t="str">
        <f>IF(COUNTIFS($C$2:Transactions_RAW_cleaned[[#This Row],[CustomerID]],Transactions_RAW_cleaned[[#This Row],[CustomerID]],$D$2:Transactions_RAW_cleaned[[#This Row],[ServiceID]],Transactions_RAW_cleaned[[#This Row],[ServiceID]])=1,"Yes","No")</f>
        <v>Yes</v>
      </c>
      <c r="S73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35" t="str">
        <f>"Q"&amp;ROUNDUP(MONTH(Transactions_RAW_cleaned[[#This Row],[TransactionDate]])/3,0)</f>
        <v>Q4</v>
      </c>
      <c r="U735" t="str">
        <f>Transactions_RAW_cleaned[[#This Row],[Region ]]&amp;Transactions_RAW_cleaned[[#This Row],[Quarter ]]</f>
        <v>NAQ4</v>
      </c>
      <c r="V735" s="5">
        <f>_xlfn.XLOOKUP(Transactions_RAW_cleaned[[#This Row],[RegionQuarterKey]], Quarterly_Targets_cleaned[RegionQuarterKey], Quarterly_Targets_cleaned[TargetRevenue])</f>
        <v>299000</v>
      </c>
    </row>
    <row r="736" spans="1:22" x14ac:dyDescent="0.25">
      <c r="A736" t="s">
        <v>1071</v>
      </c>
      <c r="B736" s="1">
        <v>45372</v>
      </c>
      <c r="C736" t="s">
        <v>42</v>
      </c>
      <c r="D736" t="s">
        <v>294</v>
      </c>
      <c r="E736">
        <v>829.29</v>
      </c>
      <c r="F736" t="s">
        <v>324</v>
      </c>
      <c r="G736" t="s">
        <v>325</v>
      </c>
      <c r="I736" t="s">
        <v>8</v>
      </c>
      <c r="J736" t="s">
        <v>102</v>
      </c>
      <c r="K736" t="s">
        <v>10</v>
      </c>
      <c r="L736" t="s">
        <v>295</v>
      </c>
      <c r="M736" t="s">
        <v>296</v>
      </c>
      <c r="N736">
        <v>2.9000000000000001E-2</v>
      </c>
      <c r="O736" t="str">
        <f>IF(Transactions_RAW_cleaned[[#This Row],[Status]]="Completed", IFERROR(_xlfn.XLOOKUP(Transactions_RAW_cleaned[[#This Row],[CustomerID]], Customers_cleaned[CustomerID], Customers_cleaned[Segment]), "Customer Not Found"), "N/A")</f>
        <v>SMB</v>
      </c>
      <c r="P736" s="5" t="str">
        <f>IF(Transactions_RAW_cleaned[[#This Row],[Status]]="Refunded", "Refund",
  IF(Transactions_RAW_cleaned[[#This Row],[Category]]="Payments", IF(Transactions_RAW_cleaned[[#This Row],[Amount]]&gt;500,"High Value","Standard"),
    IF(Transactions_RAW_cleaned[[#This Row],[Amount]]&gt;250,"High Value","Standard")))</f>
        <v>High Value</v>
      </c>
      <c r="Q736" s="5" t="str">
        <f>IF(Transactions_RAW_cleaned[[#This Row],[Amount]] &gt; (_xlfn.XLOOKUP(Transactions_RAW_cleaned[[#This Row],[ServiceID]],Services_cleaned[ServiceID],Services_cleaned[TransactionFeePct]) * 10000), "Yes", "No")</f>
        <v>Yes</v>
      </c>
      <c r="R736" s="5" t="str">
        <f>IF(COUNTIFS($C$2:Transactions_RAW_cleaned[[#This Row],[CustomerID]],Transactions_RAW_cleaned[[#This Row],[CustomerID]],$D$2:Transactions_RAW_cleaned[[#This Row],[ServiceID]],Transactions_RAW_cleaned[[#This Row],[ServiceID]])=1,"Yes","No")</f>
        <v>No</v>
      </c>
      <c r="S73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36" t="str">
        <f>"Q"&amp;ROUNDUP(MONTH(Transactions_RAW_cleaned[[#This Row],[TransactionDate]])/3,0)</f>
        <v>Q1</v>
      </c>
      <c r="U736" t="str">
        <f>Transactions_RAW_cleaned[[#This Row],[Region ]]&amp;Transactions_RAW_cleaned[[#This Row],[Quarter ]]</f>
        <v>NAQ1</v>
      </c>
      <c r="V736" s="5">
        <f>_xlfn.XLOOKUP(Transactions_RAW_cleaned[[#This Row],[RegionQuarterKey]], Quarterly_Targets_cleaned[RegionQuarterKey], Quarterly_Targets_cleaned[TargetRevenue])</f>
        <v>247000</v>
      </c>
    </row>
    <row r="737" spans="1:22" x14ac:dyDescent="0.25">
      <c r="A737" t="s">
        <v>1072</v>
      </c>
      <c r="B737" s="1">
        <v>45475</v>
      </c>
      <c r="C737" t="s">
        <v>70</v>
      </c>
      <c r="D737" t="s">
        <v>294</v>
      </c>
      <c r="E737">
        <v>389.81</v>
      </c>
      <c r="F737" t="s">
        <v>324</v>
      </c>
      <c r="G737" t="s">
        <v>325</v>
      </c>
      <c r="I737" t="s">
        <v>8</v>
      </c>
      <c r="J737" t="s">
        <v>37</v>
      </c>
      <c r="K737" t="s">
        <v>28</v>
      </c>
      <c r="L737" t="s">
        <v>295</v>
      </c>
      <c r="M737" t="s">
        <v>296</v>
      </c>
      <c r="N737">
        <v>2.9000000000000001E-2</v>
      </c>
      <c r="O737" t="str">
        <f>IF(Transactions_RAW_cleaned[[#This Row],[Status]]="Completed", IFERROR(_xlfn.XLOOKUP(Transactions_RAW_cleaned[[#This Row],[CustomerID]], Customers_cleaned[CustomerID], Customers_cleaned[Segment]), "Customer Not Found"), "N/A")</f>
        <v>SMB</v>
      </c>
      <c r="P737" s="5" t="str">
        <f>IF(Transactions_RAW_cleaned[[#This Row],[Status]]="Refunded", "Refund",
  IF(Transactions_RAW_cleaned[[#This Row],[Category]]="Payments", IF(Transactions_RAW_cleaned[[#This Row],[Amount]]&gt;500,"High Value","Standard"),
    IF(Transactions_RAW_cleaned[[#This Row],[Amount]]&gt;250,"High Value","Standard")))</f>
        <v>Standard</v>
      </c>
      <c r="Q737" s="5" t="str">
        <f>IF(Transactions_RAW_cleaned[[#This Row],[Amount]] &gt; (_xlfn.XLOOKUP(Transactions_RAW_cleaned[[#This Row],[ServiceID]],Services_cleaned[ServiceID],Services_cleaned[TransactionFeePct]) * 10000), "Yes", "No")</f>
        <v>Yes</v>
      </c>
      <c r="R737" s="5" t="str">
        <f>IF(COUNTIFS($C$2:Transactions_RAW_cleaned[[#This Row],[CustomerID]],Transactions_RAW_cleaned[[#This Row],[CustomerID]],$D$2:Transactions_RAW_cleaned[[#This Row],[ServiceID]],Transactions_RAW_cleaned[[#This Row],[ServiceID]])=1,"Yes","No")</f>
        <v>No</v>
      </c>
      <c r="S73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37" t="str">
        <f>"Q"&amp;ROUNDUP(MONTH(Transactions_RAW_cleaned[[#This Row],[TransactionDate]])/3,0)</f>
        <v>Q3</v>
      </c>
      <c r="U737" t="str">
        <f>Transactions_RAW_cleaned[[#This Row],[Region ]]&amp;Transactions_RAW_cleaned[[#This Row],[Quarter ]]</f>
        <v>EMEAQ3</v>
      </c>
      <c r="V737" s="5">
        <f>_xlfn.XLOOKUP(Transactions_RAW_cleaned[[#This Row],[RegionQuarterKey]], Quarterly_Targets_cleaned[RegionQuarterKey], Quarterly_Targets_cleaned[TargetRevenue])</f>
        <v>147000</v>
      </c>
    </row>
    <row r="738" spans="1:22" x14ac:dyDescent="0.25">
      <c r="A738" t="s">
        <v>1073</v>
      </c>
      <c r="B738" s="1">
        <v>45562</v>
      </c>
      <c r="C738" t="s">
        <v>259</v>
      </c>
      <c r="D738" t="s">
        <v>309</v>
      </c>
      <c r="E738">
        <v>992.13</v>
      </c>
      <c r="F738" t="s">
        <v>324</v>
      </c>
      <c r="G738" t="s">
        <v>327</v>
      </c>
      <c r="I738" t="s">
        <v>8</v>
      </c>
      <c r="J738" t="s">
        <v>31</v>
      </c>
      <c r="K738" t="s">
        <v>22</v>
      </c>
      <c r="L738" t="s">
        <v>310</v>
      </c>
      <c r="M738" t="s">
        <v>311</v>
      </c>
      <c r="N738">
        <v>0</v>
      </c>
      <c r="O738" t="str">
        <f>IF(Transactions_RAW_cleaned[[#This Row],[Status]]="Completed", IFERROR(_xlfn.XLOOKUP(Transactions_RAW_cleaned[[#This Row],[CustomerID]], Customers_cleaned[CustomerID], Customers_cleaned[Segment]), "Customer Not Found"), "N/A")</f>
        <v>SMB</v>
      </c>
      <c r="P738" s="5" t="str">
        <f>IF(Transactions_RAW_cleaned[[#This Row],[Status]]="Refunded", "Refund",
  IF(Transactions_RAW_cleaned[[#This Row],[Category]]="Payments", IF(Transactions_RAW_cleaned[[#This Row],[Amount]]&gt;500,"High Value","Standard"),
    IF(Transactions_RAW_cleaned[[#This Row],[Amount]]&gt;250,"High Value","Standard")))</f>
        <v>High Value</v>
      </c>
      <c r="Q738" s="5" t="str">
        <f>IF(Transactions_RAW_cleaned[[#This Row],[Amount]] &gt; (_xlfn.XLOOKUP(Transactions_RAW_cleaned[[#This Row],[ServiceID]],Services_cleaned[ServiceID],Services_cleaned[TransactionFeePct]) * 10000), "Yes", "No")</f>
        <v>Yes</v>
      </c>
      <c r="R738" s="5" t="str">
        <f>IF(COUNTIFS($C$2:Transactions_RAW_cleaned[[#This Row],[CustomerID]],Transactions_RAW_cleaned[[#This Row],[CustomerID]],$D$2:Transactions_RAW_cleaned[[#This Row],[ServiceID]],Transactions_RAW_cleaned[[#This Row],[ServiceID]])=1,"Yes","No")</f>
        <v>Yes</v>
      </c>
      <c r="S73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38" t="str">
        <f>"Q"&amp;ROUNDUP(MONTH(Transactions_RAW_cleaned[[#This Row],[TransactionDate]])/3,0)</f>
        <v>Q3</v>
      </c>
      <c r="U738" t="str">
        <f>Transactions_RAW_cleaned[[#This Row],[Region ]]&amp;Transactions_RAW_cleaned[[#This Row],[Quarter ]]</f>
        <v>EMEAQ3</v>
      </c>
      <c r="V738" s="5">
        <f>_xlfn.XLOOKUP(Transactions_RAW_cleaned[[#This Row],[RegionQuarterKey]], Quarterly_Targets_cleaned[RegionQuarterKey], Quarterly_Targets_cleaned[TargetRevenue])</f>
        <v>147000</v>
      </c>
    </row>
    <row r="739" spans="1:22" x14ac:dyDescent="0.25">
      <c r="A739" t="s">
        <v>1074</v>
      </c>
      <c r="B739" s="1">
        <v>45489</v>
      </c>
      <c r="C739" t="s">
        <v>261</v>
      </c>
      <c r="D739" t="s">
        <v>306</v>
      </c>
      <c r="E739">
        <v>657.38</v>
      </c>
      <c r="F739" t="s">
        <v>324</v>
      </c>
      <c r="G739" t="s">
        <v>337</v>
      </c>
      <c r="I739" t="s">
        <v>8</v>
      </c>
      <c r="J739" t="s">
        <v>31</v>
      </c>
      <c r="K739" t="s">
        <v>18</v>
      </c>
      <c r="L739" t="s">
        <v>307</v>
      </c>
      <c r="M739" t="s">
        <v>308</v>
      </c>
      <c r="N739">
        <v>0</v>
      </c>
      <c r="O739" t="str">
        <f>IF(Transactions_RAW_cleaned[[#This Row],[Status]]="Completed", IFERROR(_xlfn.XLOOKUP(Transactions_RAW_cleaned[[#This Row],[CustomerID]], Customers_cleaned[CustomerID], Customers_cleaned[Segment]), "Customer Not Found"), "N/A")</f>
        <v>SMB</v>
      </c>
      <c r="P739" s="5" t="str">
        <f>IF(Transactions_RAW_cleaned[[#This Row],[Status]]="Refunded", "Refund",
  IF(Transactions_RAW_cleaned[[#This Row],[Category]]="Payments", IF(Transactions_RAW_cleaned[[#This Row],[Amount]]&gt;500,"High Value","Standard"),
    IF(Transactions_RAW_cleaned[[#This Row],[Amount]]&gt;250,"High Value","Standard")))</f>
        <v>High Value</v>
      </c>
      <c r="Q739" s="5" t="str">
        <f>IF(Transactions_RAW_cleaned[[#This Row],[Amount]] &gt; (_xlfn.XLOOKUP(Transactions_RAW_cleaned[[#This Row],[ServiceID]],Services_cleaned[ServiceID],Services_cleaned[TransactionFeePct]) * 10000), "Yes", "No")</f>
        <v>Yes</v>
      </c>
      <c r="R739" s="5" t="str">
        <f>IF(COUNTIFS($C$2:Transactions_RAW_cleaned[[#This Row],[CustomerID]],Transactions_RAW_cleaned[[#This Row],[CustomerID]],$D$2:Transactions_RAW_cleaned[[#This Row],[ServiceID]],Transactions_RAW_cleaned[[#This Row],[ServiceID]])=1,"Yes","No")</f>
        <v>Yes</v>
      </c>
      <c r="S73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39" t="str">
        <f>"Q"&amp;ROUNDUP(MONTH(Transactions_RAW_cleaned[[#This Row],[TransactionDate]])/3,0)</f>
        <v>Q3</v>
      </c>
      <c r="U739" t="str">
        <f>Transactions_RAW_cleaned[[#This Row],[Region ]]&amp;Transactions_RAW_cleaned[[#This Row],[Quarter ]]</f>
        <v>EMEAQ3</v>
      </c>
      <c r="V739" s="5">
        <f>_xlfn.XLOOKUP(Transactions_RAW_cleaned[[#This Row],[RegionQuarterKey]], Quarterly_Targets_cleaned[RegionQuarterKey], Quarterly_Targets_cleaned[TargetRevenue])</f>
        <v>147000</v>
      </c>
    </row>
    <row r="740" spans="1:22" x14ac:dyDescent="0.25">
      <c r="A740" t="s">
        <v>1075</v>
      </c>
      <c r="B740" s="1">
        <v>45605</v>
      </c>
      <c r="C740" t="s">
        <v>62</v>
      </c>
      <c r="D740" t="s">
        <v>312</v>
      </c>
      <c r="E740">
        <v>365.78</v>
      </c>
      <c r="F740" t="s">
        <v>324</v>
      </c>
      <c r="G740" t="s">
        <v>2963</v>
      </c>
      <c r="H740" t="s">
        <v>346</v>
      </c>
      <c r="I740" t="s">
        <v>8</v>
      </c>
      <c r="J740" t="s">
        <v>46</v>
      </c>
      <c r="K740" t="s">
        <v>18</v>
      </c>
      <c r="L740" t="s">
        <v>313</v>
      </c>
      <c r="M740" t="s">
        <v>314</v>
      </c>
      <c r="N740">
        <v>0</v>
      </c>
      <c r="O740" t="str">
        <f>IF(Transactions_RAW_cleaned[[#This Row],[Status]]="Completed", IFERROR(_xlfn.XLOOKUP(Transactions_RAW_cleaned[[#This Row],[CustomerID]], Customers_cleaned[CustomerID], Customers_cleaned[Segment]), "Customer Not Found"), "N/A")</f>
        <v>SMB</v>
      </c>
      <c r="P740" s="5" t="str">
        <f>IF(Transactions_RAW_cleaned[[#This Row],[Status]]="Refunded", "Refund",
  IF(Transactions_RAW_cleaned[[#This Row],[Category]]="Payments", IF(Transactions_RAW_cleaned[[#This Row],[Amount]]&gt;500,"High Value","Standard"),
    IF(Transactions_RAW_cleaned[[#This Row],[Amount]]&gt;250,"High Value","Standard")))</f>
        <v>High Value</v>
      </c>
      <c r="Q740" s="5" t="str">
        <f>IF(Transactions_RAW_cleaned[[#This Row],[Amount]] &gt; (_xlfn.XLOOKUP(Transactions_RAW_cleaned[[#This Row],[ServiceID]],Services_cleaned[ServiceID],Services_cleaned[TransactionFeePct]) * 10000), "Yes", "No")</f>
        <v>Yes</v>
      </c>
      <c r="R740" s="5" t="str">
        <f>IF(COUNTIFS($C$2:Transactions_RAW_cleaned[[#This Row],[CustomerID]],Transactions_RAW_cleaned[[#This Row],[CustomerID]],$D$2:Transactions_RAW_cleaned[[#This Row],[ServiceID]],Transactions_RAW_cleaned[[#This Row],[ServiceID]])=1,"Yes","No")</f>
        <v>Yes</v>
      </c>
      <c r="S74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40" t="str">
        <f>"Q"&amp;ROUNDUP(MONTH(Transactions_RAW_cleaned[[#This Row],[TransactionDate]])/3,0)</f>
        <v>Q4</v>
      </c>
      <c r="U740" t="str">
        <f>Transactions_RAW_cleaned[[#This Row],[Region ]]&amp;Transactions_RAW_cleaned[[#This Row],[Quarter ]]</f>
        <v>APACQ4</v>
      </c>
      <c r="V740" s="5">
        <f>_xlfn.XLOOKUP(Transactions_RAW_cleaned[[#This Row],[RegionQuarterKey]], Quarterly_Targets_cleaned[RegionQuarterKey], Quarterly_Targets_cleaned[TargetRevenue])</f>
        <v>126500</v>
      </c>
    </row>
    <row r="741" spans="1:22" x14ac:dyDescent="0.25">
      <c r="A741" t="s">
        <v>1076</v>
      </c>
      <c r="B741" s="1">
        <v>45422</v>
      </c>
      <c r="C741" t="s">
        <v>117</v>
      </c>
      <c r="D741" t="s">
        <v>309</v>
      </c>
      <c r="E741">
        <v>223.75</v>
      </c>
      <c r="F741" t="s">
        <v>331</v>
      </c>
      <c r="G741" t="s">
        <v>2963</v>
      </c>
      <c r="H741" t="s">
        <v>332</v>
      </c>
      <c r="I741" t="s">
        <v>8</v>
      </c>
      <c r="J741" t="s">
        <v>102</v>
      </c>
      <c r="K741" t="s">
        <v>14</v>
      </c>
      <c r="L741" t="s">
        <v>310</v>
      </c>
      <c r="M741" t="s">
        <v>311</v>
      </c>
      <c r="N741">
        <v>0</v>
      </c>
      <c r="O741" t="str">
        <f>IF(Transactions_RAW_cleaned[[#This Row],[Status]]="Completed", IFERROR(_xlfn.XLOOKUP(Transactions_RAW_cleaned[[#This Row],[CustomerID]], Customers_cleaned[CustomerID], Customers_cleaned[Segment]), "Customer Not Found"), "N/A")</f>
        <v>N/A</v>
      </c>
      <c r="P741" s="5" t="str">
        <f>IF(Transactions_RAW_cleaned[[#This Row],[Status]]="Refunded", "Refund",
  IF(Transactions_RAW_cleaned[[#This Row],[Category]]="Payments", IF(Transactions_RAW_cleaned[[#This Row],[Amount]]&gt;500,"High Value","Standard"),
    IF(Transactions_RAW_cleaned[[#This Row],[Amount]]&gt;250,"High Value","Standard")))</f>
        <v>Standard</v>
      </c>
      <c r="Q741" s="5" t="str">
        <f>IF(Transactions_RAW_cleaned[[#This Row],[Amount]] &gt; (_xlfn.XLOOKUP(Transactions_RAW_cleaned[[#This Row],[ServiceID]],Services_cleaned[ServiceID],Services_cleaned[TransactionFeePct]) * 10000), "Yes", "No")</f>
        <v>Yes</v>
      </c>
      <c r="R741" s="5" t="str">
        <f>IF(COUNTIFS($C$2:Transactions_RAW_cleaned[[#This Row],[CustomerID]],Transactions_RAW_cleaned[[#This Row],[CustomerID]],$D$2:Transactions_RAW_cleaned[[#This Row],[ServiceID]],Transactions_RAW_cleaned[[#This Row],[ServiceID]])=1,"Yes","No")</f>
        <v>Yes</v>
      </c>
      <c r="S74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41" t="str">
        <f>"Q"&amp;ROUNDUP(MONTH(Transactions_RAW_cleaned[[#This Row],[TransactionDate]])/3,0)</f>
        <v>Q2</v>
      </c>
      <c r="U741" t="str">
        <f>Transactions_RAW_cleaned[[#This Row],[Region ]]&amp;Transactions_RAW_cleaned[[#This Row],[Quarter ]]</f>
        <v>NAQ2</v>
      </c>
      <c r="V741" s="5">
        <f>_xlfn.XLOOKUP(Transactions_RAW_cleaned[[#This Row],[RegionQuarterKey]], Quarterly_Targets_cleaned[RegionQuarterKey], Quarterly_Targets_cleaned[TargetRevenue])</f>
        <v>260000</v>
      </c>
    </row>
    <row r="742" spans="1:22" x14ac:dyDescent="0.25">
      <c r="A742" t="s">
        <v>1077</v>
      </c>
      <c r="B742" s="1">
        <v>45531</v>
      </c>
      <c r="C742" t="s">
        <v>185</v>
      </c>
      <c r="D742" t="s">
        <v>312</v>
      </c>
      <c r="E742">
        <v>71.13</v>
      </c>
      <c r="F742" t="s">
        <v>324</v>
      </c>
      <c r="G742" t="s">
        <v>327</v>
      </c>
      <c r="I742" t="s">
        <v>17</v>
      </c>
      <c r="J742" t="s">
        <v>13</v>
      </c>
      <c r="K742" t="s">
        <v>32</v>
      </c>
      <c r="L742" t="s">
        <v>313</v>
      </c>
      <c r="M742" t="s">
        <v>314</v>
      </c>
      <c r="N742">
        <v>0</v>
      </c>
      <c r="O742" t="str">
        <f>IF(Transactions_RAW_cleaned[[#This Row],[Status]]="Completed", IFERROR(_xlfn.XLOOKUP(Transactions_RAW_cleaned[[#This Row],[CustomerID]], Customers_cleaned[CustomerID], Customers_cleaned[Segment]), "Customer Not Found"), "N/A")</f>
        <v>Enterprise</v>
      </c>
      <c r="P742" s="5" t="str">
        <f>IF(Transactions_RAW_cleaned[[#This Row],[Status]]="Refunded", "Refund",
  IF(Transactions_RAW_cleaned[[#This Row],[Category]]="Payments", IF(Transactions_RAW_cleaned[[#This Row],[Amount]]&gt;500,"High Value","Standard"),
    IF(Transactions_RAW_cleaned[[#This Row],[Amount]]&gt;250,"High Value","Standard")))</f>
        <v>Standard</v>
      </c>
      <c r="Q742" s="5" t="str">
        <f>IF(Transactions_RAW_cleaned[[#This Row],[Amount]] &gt; (_xlfn.XLOOKUP(Transactions_RAW_cleaned[[#This Row],[ServiceID]],Services_cleaned[ServiceID],Services_cleaned[TransactionFeePct]) * 10000), "Yes", "No")</f>
        <v>Yes</v>
      </c>
      <c r="R742" s="5" t="str">
        <f>IF(COUNTIFS($C$2:Transactions_RAW_cleaned[[#This Row],[CustomerID]],Transactions_RAW_cleaned[[#This Row],[CustomerID]],$D$2:Transactions_RAW_cleaned[[#This Row],[ServiceID]],Transactions_RAW_cleaned[[#This Row],[ServiceID]])=1,"Yes","No")</f>
        <v>Yes</v>
      </c>
      <c r="S74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42" t="str">
        <f>"Q"&amp;ROUNDUP(MONTH(Transactions_RAW_cleaned[[#This Row],[TransactionDate]])/3,0)</f>
        <v>Q3</v>
      </c>
      <c r="U742" t="str">
        <f>Transactions_RAW_cleaned[[#This Row],[Region ]]&amp;Transactions_RAW_cleaned[[#This Row],[Quarter ]]</f>
        <v>NAQ3</v>
      </c>
      <c r="V742" s="5">
        <f>_xlfn.XLOOKUP(Transactions_RAW_cleaned[[#This Row],[RegionQuarterKey]], Quarterly_Targets_cleaned[RegionQuarterKey], Quarterly_Targets_cleaned[TargetRevenue])</f>
        <v>273000</v>
      </c>
    </row>
    <row r="743" spans="1:22" x14ac:dyDescent="0.25">
      <c r="A743" t="s">
        <v>1078</v>
      </c>
      <c r="B743" s="1">
        <v>45642</v>
      </c>
      <c r="C743" t="s">
        <v>53</v>
      </c>
      <c r="D743" t="s">
        <v>303</v>
      </c>
      <c r="E743">
        <v>911.23</v>
      </c>
      <c r="F743" t="s">
        <v>381</v>
      </c>
      <c r="G743" t="s">
        <v>327</v>
      </c>
      <c r="H743" t="s">
        <v>346</v>
      </c>
      <c r="I743" t="s">
        <v>17</v>
      </c>
      <c r="J743" t="s">
        <v>21</v>
      </c>
      <c r="K743" t="s">
        <v>28</v>
      </c>
      <c r="L743" t="s">
        <v>304</v>
      </c>
      <c r="M743" t="s">
        <v>305</v>
      </c>
      <c r="N743">
        <v>1E-3</v>
      </c>
      <c r="O743" t="str">
        <f>IF(Transactions_RAW_cleaned[[#This Row],[Status]]="Completed", IFERROR(_xlfn.XLOOKUP(Transactions_RAW_cleaned[[#This Row],[CustomerID]], Customers_cleaned[CustomerID], Customers_cleaned[Segment]), "Customer Not Found"), "N/A")</f>
        <v>N/A</v>
      </c>
      <c r="P743" s="5" t="str">
        <f>IF(Transactions_RAW_cleaned[[#This Row],[Status]]="Refunded", "Refund",
  IF(Transactions_RAW_cleaned[[#This Row],[Category]]="Payments", IF(Transactions_RAW_cleaned[[#This Row],[Amount]]&gt;500,"High Value","Standard"),
    IF(Transactions_RAW_cleaned[[#This Row],[Amount]]&gt;250,"High Value","Standard")))</f>
        <v>High Value</v>
      </c>
      <c r="Q743" s="5" t="str">
        <f>IF(Transactions_RAW_cleaned[[#This Row],[Amount]] &gt; (_xlfn.XLOOKUP(Transactions_RAW_cleaned[[#This Row],[ServiceID]],Services_cleaned[ServiceID],Services_cleaned[TransactionFeePct]) * 10000), "Yes", "No")</f>
        <v>Yes</v>
      </c>
      <c r="R743" s="5" t="str">
        <f>IF(COUNTIFS($C$2:Transactions_RAW_cleaned[[#This Row],[CustomerID]],Transactions_RAW_cleaned[[#This Row],[CustomerID]],$D$2:Transactions_RAW_cleaned[[#This Row],[ServiceID]],Transactions_RAW_cleaned[[#This Row],[ServiceID]])=1,"Yes","No")</f>
        <v>Yes</v>
      </c>
      <c r="S74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43" t="str">
        <f>"Q"&amp;ROUNDUP(MONTH(Transactions_RAW_cleaned[[#This Row],[TransactionDate]])/3,0)</f>
        <v>Q4</v>
      </c>
      <c r="U743" t="str">
        <f>Transactions_RAW_cleaned[[#This Row],[Region ]]&amp;Transactions_RAW_cleaned[[#This Row],[Quarter ]]</f>
        <v>APACQ4</v>
      </c>
      <c r="V743" s="5">
        <f>_xlfn.XLOOKUP(Transactions_RAW_cleaned[[#This Row],[RegionQuarterKey]], Quarterly_Targets_cleaned[RegionQuarterKey], Quarterly_Targets_cleaned[TargetRevenue])</f>
        <v>126500</v>
      </c>
    </row>
    <row r="744" spans="1:22" x14ac:dyDescent="0.25">
      <c r="A744" t="s">
        <v>1079</v>
      </c>
      <c r="B744" s="1">
        <v>45361</v>
      </c>
      <c r="C744" t="s">
        <v>263</v>
      </c>
      <c r="D744" t="s">
        <v>303</v>
      </c>
      <c r="E744">
        <v>229.7</v>
      </c>
      <c r="F744" t="s">
        <v>324</v>
      </c>
      <c r="G744" t="s">
        <v>327</v>
      </c>
      <c r="I744" t="s">
        <v>8</v>
      </c>
      <c r="J744" t="s">
        <v>102</v>
      </c>
      <c r="K744" t="s">
        <v>32</v>
      </c>
      <c r="L744" t="s">
        <v>304</v>
      </c>
      <c r="M744" t="s">
        <v>305</v>
      </c>
      <c r="N744">
        <v>1E-3</v>
      </c>
      <c r="O744" t="str">
        <f>IF(Transactions_RAW_cleaned[[#This Row],[Status]]="Completed", IFERROR(_xlfn.XLOOKUP(Transactions_RAW_cleaned[[#This Row],[CustomerID]], Customers_cleaned[CustomerID], Customers_cleaned[Segment]), "Customer Not Found"), "N/A")</f>
        <v>SMB</v>
      </c>
      <c r="P744" s="5" t="str">
        <f>IF(Transactions_RAW_cleaned[[#This Row],[Status]]="Refunded", "Refund",
  IF(Transactions_RAW_cleaned[[#This Row],[Category]]="Payments", IF(Transactions_RAW_cleaned[[#This Row],[Amount]]&gt;500,"High Value","Standard"),
    IF(Transactions_RAW_cleaned[[#This Row],[Amount]]&gt;250,"High Value","Standard")))</f>
        <v>Standard</v>
      </c>
      <c r="Q744" s="5" t="str">
        <f>IF(Transactions_RAW_cleaned[[#This Row],[Amount]] &gt; (_xlfn.XLOOKUP(Transactions_RAW_cleaned[[#This Row],[ServiceID]],Services_cleaned[ServiceID],Services_cleaned[TransactionFeePct]) * 10000), "Yes", "No")</f>
        <v>Yes</v>
      </c>
      <c r="R744" s="5" t="str">
        <f>IF(COUNTIFS($C$2:Transactions_RAW_cleaned[[#This Row],[CustomerID]],Transactions_RAW_cleaned[[#This Row],[CustomerID]],$D$2:Transactions_RAW_cleaned[[#This Row],[ServiceID]],Transactions_RAW_cleaned[[#This Row],[ServiceID]])=1,"Yes","No")</f>
        <v>Yes</v>
      </c>
      <c r="S74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44" t="str">
        <f>"Q"&amp;ROUNDUP(MONTH(Transactions_RAW_cleaned[[#This Row],[TransactionDate]])/3,0)</f>
        <v>Q1</v>
      </c>
      <c r="U744" t="str">
        <f>Transactions_RAW_cleaned[[#This Row],[Region ]]&amp;Transactions_RAW_cleaned[[#This Row],[Quarter ]]</f>
        <v>NAQ1</v>
      </c>
      <c r="V744" s="5">
        <f>_xlfn.XLOOKUP(Transactions_RAW_cleaned[[#This Row],[RegionQuarterKey]], Quarterly_Targets_cleaned[RegionQuarterKey], Quarterly_Targets_cleaned[TargetRevenue])</f>
        <v>247000</v>
      </c>
    </row>
    <row r="745" spans="1:22" x14ac:dyDescent="0.25">
      <c r="A745" t="s">
        <v>1080</v>
      </c>
      <c r="B745" s="1">
        <v>45380</v>
      </c>
      <c r="C745" t="s">
        <v>58</v>
      </c>
      <c r="D745" t="s">
        <v>294</v>
      </c>
      <c r="E745">
        <v>982.73</v>
      </c>
      <c r="F745" t="s">
        <v>324</v>
      </c>
      <c r="G745" t="s">
        <v>325</v>
      </c>
      <c r="I745" t="s">
        <v>17</v>
      </c>
      <c r="J745" t="s">
        <v>102</v>
      </c>
      <c r="K745" t="s">
        <v>22</v>
      </c>
      <c r="L745" t="s">
        <v>295</v>
      </c>
      <c r="M745" t="s">
        <v>296</v>
      </c>
      <c r="N745">
        <v>2.9000000000000001E-2</v>
      </c>
      <c r="O745" t="str">
        <f>IF(Transactions_RAW_cleaned[[#This Row],[Status]]="Completed", IFERROR(_xlfn.XLOOKUP(Transactions_RAW_cleaned[[#This Row],[CustomerID]], Customers_cleaned[CustomerID], Customers_cleaned[Segment]), "Customer Not Found"), "N/A")</f>
        <v>Enterprise</v>
      </c>
      <c r="P745" s="5" t="str">
        <f>IF(Transactions_RAW_cleaned[[#This Row],[Status]]="Refunded", "Refund",
  IF(Transactions_RAW_cleaned[[#This Row],[Category]]="Payments", IF(Transactions_RAW_cleaned[[#This Row],[Amount]]&gt;500,"High Value","Standard"),
    IF(Transactions_RAW_cleaned[[#This Row],[Amount]]&gt;250,"High Value","Standard")))</f>
        <v>High Value</v>
      </c>
      <c r="Q745" s="5" t="str">
        <f>IF(Transactions_RAW_cleaned[[#This Row],[Amount]] &gt; (_xlfn.XLOOKUP(Transactions_RAW_cleaned[[#This Row],[ServiceID]],Services_cleaned[ServiceID],Services_cleaned[TransactionFeePct]) * 10000), "Yes", "No")</f>
        <v>Yes</v>
      </c>
      <c r="R745" s="5" t="str">
        <f>IF(COUNTIFS($C$2:Transactions_RAW_cleaned[[#This Row],[CustomerID]],Transactions_RAW_cleaned[[#This Row],[CustomerID]],$D$2:Transactions_RAW_cleaned[[#This Row],[ServiceID]],Transactions_RAW_cleaned[[#This Row],[ServiceID]])=1,"Yes","No")</f>
        <v>No</v>
      </c>
      <c r="S74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45" t="str">
        <f>"Q"&amp;ROUNDUP(MONTH(Transactions_RAW_cleaned[[#This Row],[TransactionDate]])/3,0)</f>
        <v>Q1</v>
      </c>
      <c r="U745" t="str">
        <f>Transactions_RAW_cleaned[[#This Row],[Region ]]&amp;Transactions_RAW_cleaned[[#This Row],[Quarter ]]</f>
        <v>NAQ1</v>
      </c>
      <c r="V745" s="5">
        <f>_xlfn.XLOOKUP(Transactions_RAW_cleaned[[#This Row],[RegionQuarterKey]], Quarterly_Targets_cleaned[RegionQuarterKey], Quarterly_Targets_cleaned[TargetRevenue])</f>
        <v>247000</v>
      </c>
    </row>
    <row r="746" spans="1:22" x14ac:dyDescent="0.25">
      <c r="A746" t="s">
        <v>1081</v>
      </c>
      <c r="B746" s="1">
        <v>45604</v>
      </c>
      <c r="C746" t="s">
        <v>201</v>
      </c>
      <c r="D746" t="s">
        <v>309</v>
      </c>
      <c r="E746">
        <v>-402.72</v>
      </c>
      <c r="F746" t="s">
        <v>349</v>
      </c>
      <c r="G746" t="s">
        <v>2963</v>
      </c>
      <c r="H746" t="s">
        <v>332</v>
      </c>
      <c r="I746" t="s">
        <v>57</v>
      </c>
      <c r="J746" t="s">
        <v>37</v>
      </c>
      <c r="K746" t="s">
        <v>32</v>
      </c>
      <c r="L746" t="s">
        <v>310</v>
      </c>
      <c r="M746" t="s">
        <v>311</v>
      </c>
      <c r="N746">
        <v>0</v>
      </c>
      <c r="O746" t="str">
        <f>IF(Transactions_RAW_cleaned[[#This Row],[Status]]="Completed", IFERROR(_xlfn.XLOOKUP(Transactions_RAW_cleaned[[#This Row],[CustomerID]], Customers_cleaned[CustomerID], Customers_cleaned[Segment]), "Customer Not Found"), "N/A")</f>
        <v>N/A</v>
      </c>
      <c r="P746" s="5" t="str">
        <f>IF(Transactions_RAW_cleaned[[#This Row],[Status]]="Refunded", "Refund",
  IF(Transactions_RAW_cleaned[[#This Row],[Category]]="Payments", IF(Transactions_RAW_cleaned[[#This Row],[Amount]]&gt;500,"High Value","Standard"),
    IF(Transactions_RAW_cleaned[[#This Row],[Amount]]&gt;250,"High Value","Standard")))</f>
        <v>Refund</v>
      </c>
      <c r="Q746" s="5" t="str">
        <f>IF(Transactions_RAW_cleaned[[#This Row],[Amount]] &gt; (_xlfn.XLOOKUP(Transactions_RAW_cleaned[[#This Row],[ServiceID]],Services_cleaned[ServiceID],Services_cleaned[TransactionFeePct]) * 10000), "Yes", "No")</f>
        <v>No</v>
      </c>
      <c r="R746" s="5" t="str">
        <f>IF(COUNTIFS($C$2:Transactions_RAW_cleaned[[#This Row],[CustomerID]],Transactions_RAW_cleaned[[#This Row],[CustomerID]],$D$2:Transactions_RAW_cleaned[[#This Row],[ServiceID]],Transactions_RAW_cleaned[[#This Row],[ServiceID]])=1,"Yes","No")</f>
        <v>Yes</v>
      </c>
      <c r="S74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46" t="str">
        <f>"Q"&amp;ROUNDUP(MONTH(Transactions_RAW_cleaned[[#This Row],[TransactionDate]])/3,0)</f>
        <v>Q4</v>
      </c>
      <c r="U746" t="str">
        <f>Transactions_RAW_cleaned[[#This Row],[Region ]]&amp;Transactions_RAW_cleaned[[#This Row],[Quarter ]]</f>
        <v>EMEAQ4</v>
      </c>
      <c r="V746" s="5">
        <f>_xlfn.XLOOKUP(Transactions_RAW_cleaned[[#This Row],[RegionQuarterKey]], Quarterly_Targets_cleaned[RegionQuarterKey], Quarterly_Targets_cleaned[TargetRevenue])</f>
        <v>161000</v>
      </c>
    </row>
    <row r="747" spans="1:22" x14ac:dyDescent="0.25">
      <c r="A747" t="s">
        <v>1082</v>
      </c>
      <c r="B747" s="1">
        <v>45452</v>
      </c>
      <c r="C747" t="s">
        <v>245</v>
      </c>
      <c r="D747" t="s">
        <v>300</v>
      </c>
      <c r="E747">
        <v>841.92</v>
      </c>
      <c r="F747" t="s">
        <v>324</v>
      </c>
      <c r="G747" t="s">
        <v>325</v>
      </c>
      <c r="H747" t="s">
        <v>332</v>
      </c>
      <c r="I747" t="s">
        <v>8</v>
      </c>
      <c r="J747" t="s">
        <v>31</v>
      </c>
      <c r="K747" t="s">
        <v>14</v>
      </c>
      <c r="L747" t="s">
        <v>301</v>
      </c>
      <c r="M747" t="s">
        <v>302</v>
      </c>
      <c r="N747">
        <v>5.0000000000000001E-3</v>
      </c>
      <c r="O747" t="str">
        <f>IF(Transactions_RAW_cleaned[[#This Row],[Status]]="Completed", IFERROR(_xlfn.XLOOKUP(Transactions_RAW_cleaned[[#This Row],[CustomerID]], Customers_cleaned[CustomerID], Customers_cleaned[Segment]), "Customer Not Found"), "N/A")</f>
        <v>SMB</v>
      </c>
      <c r="P747" s="5" t="str">
        <f>IF(Transactions_RAW_cleaned[[#This Row],[Status]]="Refunded", "Refund",
  IF(Transactions_RAW_cleaned[[#This Row],[Category]]="Payments", IF(Transactions_RAW_cleaned[[#This Row],[Amount]]&gt;500,"High Value","Standard"),
    IF(Transactions_RAW_cleaned[[#This Row],[Amount]]&gt;250,"High Value","Standard")))</f>
        <v>High Value</v>
      </c>
      <c r="Q747" s="5" t="str">
        <f>IF(Transactions_RAW_cleaned[[#This Row],[Amount]] &gt; (_xlfn.XLOOKUP(Transactions_RAW_cleaned[[#This Row],[ServiceID]],Services_cleaned[ServiceID],Services_cleaned[TransactionFeePct]) * 10000), "Yes", "No")</f>
        <v>Yes</v>
      </c>
      <c r="R747" s="5" t="str">
        <f>IF(COUNTIFS($C$2:Transactions_RAW_cleaned[[#This Row],[CustomerID]],Transactions_RAW_cleaned[[#This Row],[CustomerID]],$D$2:Transactions_RAW_cleaned[[#This Row],[ServiceID]],Transactions_RAW_cleaned[[#This Row],[ServiceID]])=1,"Yes","No")</f>
        <v>Yes</v>
      </c>
      <c r="S74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47" t="str">
        <f>"Q"&amp;ROUNDUP(MONTH(Transactions_RAW_cleaned[[#This Row],[TransactionDate]])/3,0)</f>
        <v>Q2</v>
      </c>
      <c r="U747" t="str">
        <f>Transactions_RAW_cleaned[[#This Row],[Region ]]&amp;Transactions_RAW_cleaned[[#This Row],[Quarter ]]</f>
        <v>EMEAQ2</v>
      </c>
      <c r="V747" s="5">
        <f>_xlfn.XLOOKUP(Transactions_RAW_cleaned[[#This Row],[RegionQuarterKey]], Quarterly_Targets_cleaned[RegionQuarterKey], Quarterly_Targets_cleaned[TargetRevenue])</f>
        <v>140000</v>
      </c>
    </row>
    <row r="748" spans="1:22" x14ac:dyDescent="0.25">
      <c r="A748" t="s">
        <v>1083</v>
      </c>
      <c r="B748" s="1">
        <v>45592</v>
      </c>
      <c r="C748" t="s">
        <v>15</v>
      </c>
      <c r="D748" t="s">
        <v>294</v>
      </c>
      <c r="E748">
        <v>1007.21</v>
      </c>
      <c r="F748" t="s">
        <v>324</v>
      </c>
      <c r="G748" t="s">
        <v>329</v>
      </c>
      <c r="I748" t="s">
        <v>17</v>
      </c>
      <c r="J748" t="s">
        <v>102</v>
      </c>
      <c r="K748" t="s">
        <v>18</v>
      </c>
      <c r="L748" t="s">
        <v>295</v>
      </c>
      <c r="M748" t="s">
        <v>296</v>
      </c>
      <c r="N748">
        <v>2.9000000000000001E-2</v>
      </c>
      <c r="O748" t="str">
        <f>IF(Transactions_RAW_cleaned[[#This Row],[Status]]="Completed", IFERROR(_xlfn.XLOOKUP(Transactions_RAW_cleaned[[#This Row],[CustomerID]], Customers_cleaned[CustomerID], Customers_cleaned[Segment]), "Customer Not Found"), "N/A")</f>
        <v>Enterprise</v>
      </c>
      <c r="P748" s="5" t="str">
        <f>IF(Transactions_RAW_cleaned[[#This Row],[Status]]="Refunded", "Refund",
  IF(Transactions_RAW_cleaned[[#This Row],[Category]]="Payments", IF(Transactions_RAW_cleaned[[#This Row],[Amount]]&gt;500,"High Value","Standard"),
    IF(Transactions_RAW_cleaned[[#This Row],[Amount]]&gt;250,"High Value","Standard")))</f>
        <v>High Value</v>
      </c>
      <c r="Q748" s="5" t="str">
        <f>IF(Transactions_RAW_cleaned[[#This Row],[Amount]] &gt; (_xlfn.XLOOKUP(Transactions_RAW_cleaned[[#This Row],[ServiceID]],Services_cleaned[ServiceID],Services_cleaned[TransactionFeePct]) * 10000), "Yes", "No")</f>
        <v>Yes</v>
      </c>
      <c r="R748" s="5" t="str">
        <f>IF(COUNTIFS($C$2:Transactions_RAW_cleaned[[#This Row],[CustomerID]],Transactions_RAW_cleaned[[#This Row],[CustomerID]],$D$2:Transactions_RAW_cleaned[[#This Row],[ServiceID]],Transactions_RAW_cleaned[[#This Row],[ServiceID]])=1,"Yes","No")</f>
        <v>No</v>
      </c>
      <c r="S74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48" t="str">
        <f>"Q"&amp;ROUNDUP(MONTH(Transactions_RAW_cleaned[[#This Row],[TransactionDate]])/3,0)</f>
        <v>Q4</v>
      </c>
      <c r="U748" t="str">
        <f>Transactions_RAW_cleaned[[#This Row],[Region ]]&amp;Transactions_RAW_cleaned[[#This Row],[Quarter ]]</f>
        <v>NAQ4</v>
      </c>
      <c r="V748" s="5">
        <f>_xlfn.XLOOKUP(Transactions_RAW_cleaned[[#This Row],[RegionQuarterKey]], Quarterly_Targets_cleaned[RegionQuarterKey], Quarterly_Targets_cleaned[TargetRevenue])</f>
        <v>299000</v>
      </c>
    </row>
    <row r="749" spans="1:22" x14ac:dyDescent="0.25">
      <c r="A749" t="s">
        <v>1084</v>
      </c>
      <c r="B749" s="1">
        <v>45448</v>
      </c>
      <c r="C749" t="s">
        <v>53</v>
      </c>
      <c r="D749" t="s">
        <v>315</v>
      </c>
      <c r="E749">
        <v>660.17</v>
      </c>
      <c r="F749" t="s">
        <v>324</v>
      </c>
      <c r="G749" t="s">
        <v>337</v>
      </c>
      <c r="I749" t="s">
        <v>17</v>
      </c>
      <c r="J749" t="s">
        <v>21</v>
      </c>
      <c r="K749" t="s">
        <v>28</v>
      </c>
      <c r="L749" t="s">
        <v>316</v>
      </c>
      <c r="M749" t="s">
        <v>305</v>
      </c>
      <c r="N749">
        <v>2.5000000000000001E-3</v>
      </c>
      <c r="O749" t="str">
        <f>IF(Transactions_RAW_cleaned[[#This Row],[Status]]="Completed", IFERROR(_xlfn.XLOOKUP(Transactions_RAW_cleaned[[#This Row],[CustomerID]], Customers_cleaned[CustomerID], Customers_cleaned[Segment]), "Customer Not Found"), "N/A")</f>
        <v>Enterprise</v>
      </c>
      <c r="P749" s="5" t="str">
        <f>IF(Transactions_RAW_cleaned[[#This Row],[Status]]="Refunded", "Refund",
  IF(Transactions_RAW_cleaned[[#This Row],[Category]]="Payments", IF(Transactions_RAW_cleaned[[#This Row],[Amount]]&gt;500,"High Value","Standard"),
    IF(Transactions_RAW_cleaned[[#This Row],[Amount]]&gt;250,"High Value","Standard")))</f>
        <v>High Value</v>
      </c>
      <c r="Q749" s="5" t="str">
        <f>IF(Transactions_RAW_cleaned[[#This Row],[Amount]] &gt; (_xlfn.XLOOKUP(Transactions_RAW_cleaned[[#This Row],[ServiceID]],Services_cleaned[ServiceID],Services_cleaned[TransactionFeePct]) * 10000), "Yes", "No")</f>
        <v>Yes</v>
      </c>
      <c r="R749" s="5" t="str">
        <f>IF(COUNTIFS($C$2:Transactions_RAW_cleaned[[#This Row],[CustomerID]],Transactions_RAW_cleaned[[#This Row],[CustomerID]],$D$2:Transactions_RAW_cleaned[[#This Row],[ServiceID]],Transactions_RAW_cleaned[[#This Row],[ServiceID]])=1,"Yes","No")</f>
        <v>Yes</v>
      </c>
      <c r="S74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49" t="str">
        <f>"Q"&amp;ROUNDUP(MONTH(Transactions_RAW_cleaned[[#This Row],[TransactionDate]])/3,0)</f>
        <v>Q2</v>
      </c>
      <c r="U749" t="str">
        <f>Transactions_RAW_cleaned[[#This Row],[Region ]]&amp;Transactions_RAW_cleaned[[#This Row],[Quarter ]]</f>
        <v>APACQ2</v>
      </c>
      <c r="V749" s="5">
        <f>_xlfn.XLOOKUP(Transactions_RAW_cleaned[[#This Row],[RegionQuarterKey]], Quarterly_Targets_cleaned[RegionQuarterKey], Quarterly_Targets_cleaned[TargetRevenue])</f>
        <v>110000</v>
      </c>
    </row>
    <row r="750" spans="1:22" x14ac:dyDescent="0.25">
      <c r="A750" t="s">
        <v>1085</v>
      </c>
      <c r="B750" s="1">
        <v>45589</v>
      </c>
      <c r="C750" t="s">
        <v>277</v>
      </c>
      <c r="D750" t="s">
        <v>297</v>
      </c>
      <c r="E750">
        <v>475.48</v>
      </c>
      <c r="F750" t="s">
        <v>324</v>
      </c>
      <c r="G750" t="s">
        <v>337</v>
      </c>
      <c r="H750" t="s">
        <v>346</v>
      </c>
      <c r="I750" t="s">
        <v>8</v>
      </c>
      <c r="J750" t="s">
        <v>31</v>
      </c>
      <c r="K750" t="s">
        <v>22</v>
      </c>
      <c r="L750" t="s">
        <v>298</v>
      </c>
      <c r="M750" t="s">
        <v>299</v>
      </c>
      <c r="N750">
        <v>0</v>
      </c>
      <c r="O750" t="str">
        <f>IF(Transactions_RAW_cleaned[[#This Row],[Status]]="Completed", IFERROR(_xlfn.XLOOKUP(Transactions_RAW_cleaned[[#This Row],[CustomerID]], Customers_cleaned[CustomerID], Customers_cleaned[Segment]), "Customer Not Found"), "N/A")</f>
        <v>SMB</v>
      </c>
      <c r="P750" s="5" t="str">
        <f>IF(Transactions_RAW_cleaned[[#This Row],[Status]]="Refunded", "Refund",
  IF(Transactions_RAW_cleaned[[#This Row],[Category]]="Payments", IF(Transactions_RAW_cleaned[[#This Row],[Amount]]&gt;500,"High Value","Standard"),
    IF(Transactions_RAW_cleaned[[#This Row],[Amount]]&gt;250,"High Value","Standard")))</f>
        <v>High Value</v>
      </c>
      <c r="Q750" s="5" t="str">
        <f>IF(Transactions_RAW_cleaned[[#This Row],[Amount]] &gt; (_xlfn.XLOOKUP(Transactions_RAW_cleaned[[#This Row],[ServiceID]],Services_cleaned[ServiceID],Services_cleaned[TransactionFeePct]) * 10000), "Yes", "No")</f>
        <v>Yes</v>
      </c>
      <c r="R750" s="5" t="str">
        <f>IF(COUNTIFS($C$2:Transactions_RAW_cleaned[[#This Row],[CustomerID]],Transactions_RAW_cleaned[[#This Row],[CustomerID]],$D$2:Transactions_RAW_cleaned[[#This Row],[ServiceID]],Transactions_RAW_cleaned[[#This Row],[ServiceID]])=1,"Yes","No")</f>
        <v>No</v>
      </c>
      <c r="S75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50" t="str">
        <f>"Q"&amp;ROUNDUP(MONTH(Transactions_RAW_cleaned[[#This Row],[TransactionDate]])/3,0)</f>
        <v>Q4</v>
      </c>
      <c r="U750" t="str">
        <f>Transactions_RAW_cleaned[[#This Row],[Region ]]&amp;Transactions_RAW_cleaned[[#This Row],[Quarter ]]</f>
        <v>EMEAQ4</v>
      </c>
      <c r="V750" s="5">
        <f>_xlfn.XLOOKUP(Transactions_RAW_cleaned[[#This Row],[RegionQuarterKey]], Quarterly_Targets_cleaned[RegionQuarterKey], Quarterly_Targets_cleaned[TargetRevenue])</f>
        <v>161000</v>
      </c>
    </row>
    <row r="751" spans="1:22" x14ac:dyDescent="0.25">
      <c r="A751" t="s">
        <v>1086</v>
      </c>
      <c r="B751" s="1">
        <v>45601</v>
      </c>
      <c r="C751" t="s">
        <v>241</v>
      </c>
      <c r="D751" t="s">
        <v>297</v>
      </c>
      <c r="E751">
        <v>187.73</v>
      </c>
      <c r="F751" t="s">
        <v>324</v>
      </c>
      <c r="G751" t="s">
        <v>327</v>
      </c>
      <c r="H751" t="s">
        <v>334</v>
      </c>
      <c r="I751" t="s">
        <v>8</v>
      </c>
      <c r="J751" t="s">
        <v>102</v>
      </c>
      <c r="K751" t="s">
        <v>32</v>
      </c>
      <c r="L751" t="s">
        <v>298</v>
      </c>
      <c r="M751" t="s">
        <v>299</v>
      </c>
      <c r="N751">
        <v>0</v>
      </c>
      <c r="O751" t="str">
        <f>IF(Transactions_RAW_cleaned[[#This Row],[Status]]="Completed", IFERROR(_xlfn.XLOOKUP(Transactions_RAW_cleaned[[#This Row],[CustomerID]], Customers_cleaned[CustomerID], Customers_cleaned[Segment]), "Customer Not Found"), "N/A")</f>
        <v>SMB</v>
      </c>
      <c r="P751" s="5" t="str">
        <f>IF(Transactions_RAW_cleaned[[#This Row],[Status]]="Refunded", "Refund",
  IF(Transactions_RAW_cleaned[[#This Row],[Category]]="Payments", IF(Transactions_RAW_cleaned[[#This Row],[Amount]]&gt;500,"High Value","Standard"),
    IF(Transactions_RAW_cleaned[[#This Row],[Amount]]&gt;250,"High Value","Standard")))</f>
        <v>Standard</v>
      </c>
      <c r="Q751" s="5" t="str">
        <f>IF(Transactions_RAW_cleaned[[#This Row],[Amount]] &gt; (_xlfn.XLOOKUP(Transactions_RAW_cleaned[[#This Row],[ServiceID]],Services_cleaned[ServiceID],Services_cleaned[TransactionFeePct]) * 10000), "Yes", "No")</f>
        <v>Yes</v>
      </c>
      <c r="R751" s="5" t="str">
        <f>IF(COUNTIFS($C$2:Transactions_RAW_cleaned[[#This Row],[CustomerID]],Transactions_RAW_cleaned[[#This Row],[CustomerID]],$D$2:Transactions_RAW_cleaned[[#This Row],[ServiceID]],Transactions_RAW_cleaned[[#This Row],[ServiceID]])=1,"Yes","No")</f>
        <v>Yes</v>
      </c>
      <c r="S75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51" t="str">
        <f>"Q"&amp;ROUNDUP(MONTH(Transactions_RAW_cleaned[[#This Row],[TransactionDate]])/3,0)</f>
        <v>Q4</v>
      </c>
      <c r="U751" t="str">
        <f>Transactions_RAW_cleaned[[#This Row],[Region ]]&amp;Transactions_RAW_cleaned[[#This Row],[Quarter ]]</f>
        <v>NAQ4</v>
      </c>
      <c r="V751" s="5">
        <f>_xlfn.XLOOKUP(Transactions_RAW_cleaned[[#This Row],[RegionQuarterKey]], Quarterly_Targets_cleaned[RegionQuarterKey], Quarterly_Targets_cleaned[TargetRevenue])</f>
        <v>299000</v>
      </c>
    </row>
    <row r="752" spans="1:22" x14ac:dyDescent="0.25">
      <c r="A752" t="s">
        <v>1087</v>
      </c>
      <c r="B752" s="1">
        <v>45503</v>
      </c>
      <c r="C752" t="s">
        <v>269</v>
      </c>
      <c r="D752" t="s">
        <v>309</v>
      </c>
      <c r="E752">
        <v>151.53</v>
      </c>
      <c r="F752" t="s">
        <v>324</v>
      </c>
      <c r="G752" t="s">
        <v>325</v>
      </c>
      <c r="H752" t="s">
        <v>334</v>
      </c>
      <c r="I752" t="s">
        <v>17</v>
      </c>
      <c r="J752" t="s">
        <v>31</v>
      </c>
      <c r="K752" t="s">
        <v>32</v>
      </c>
      <c r="L752" t="s">
        <v>310</v>
      </c>
      <c r="M752" t="s">
        <v>311</v>
      </c>
      <c r="N752">
        <v>0</v>
      </c>
      <c r="O752" t="str">
        <f>IF(Transactions_RAW_cleaned[[#This Row],[Status]]="Completed", IFERROR(_xlfn.XLOOKUP(Transactions_RAW_cleaned[[#This Row],[CustomerID]], Customers_cleaned[CustomerID], Customers_cleaned[Segment]), "Customer Not Found"), "N/A")</f>
        <v>Enterprise</v>
      </c>
      <c r="P752" s="5" t="str">
        <f>IF(Transactions_RAW_cleaned[[#This Row],[Status]]="Refunded", "Refund",
  IF(Transactions_RAW_cleaned[[#This Row],[Category]]="Payments", IF(Transactions_RAW_cleaned[[#This Row],[Amount]]&gt;500,"High Value","Standard"),
    IF(Transactions_RAW_cleaned[[#This Row],[Amount]]&gt;250,"High Value","Standard")))</f>
        <v>Standard</v>
      </c>
      <c r="Q752" s="5" t="str">
        <f>IF(Transactions_RAW_cleaned[[#This Row],[Amount]] &gt; (_xlfn.XLOOKUP(Transactions_RAW_cleaned[[#This Row],[ServiceID]],Services_cleaned[ServiceID],Services_cleaned[TransactionFeePct]) * 10000), "Yes", "No")</f>
        <v>Yes</v>
      </c>
      <c r="R752" s="5" t="str">
        <f>IF(COUNTIFS($C$2:Transactions_RAW_cleaned[[#This Row],[CustomerID]],Transactions_RAW_cleaned[[#This Row],[CustomerID]],$D$2:Transactions_RAW_cleaned[[#This Row],[ServiceID]],Transactions_RAW_cleaned[[#This Row],[ServiceID]])=1,"Yes","No")</f>
        <v>No</v>
      </c>
      <c r="S75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52" t="str">
        <f>"Q"&amp;ROUNDUP(MONTH(Transactions_RAW_cleaned[[#This Row],[TransactionDate]])/3,0)</f>
        <v>Q3</v>
      </c>
      <c r="U752" t="str">
        <f>Transactions_RAW_cleaned[[#This Row],[Region ]]&amp;Transactions_RAW_cleaned[[#This Row],[Quarter ]]</f>
        <v>EMEAQ3</v>
      </c>
      <c r="V752" s="5">
        <f>_xlfn.XLOOKUP(Transactions_RAW_cleaned[[#This Row],[RegionQuarterKey]], Quarterly_Targets_cleaned[RegionQuarterKey], Quarterly_Targets_cleaned[TargetRevenue])</f>
        <v>147000</v>
      </c>
    </row>
    <row r="753" spans="1:22" x14ac:dyDescent="0.25">
      <c r="A753" t="s">
        <v>1088</v>
      </c>
      <c r="B753" s="1">
        <v>45459</v>
      </c>
      <c r="C753" t="s">
        <v>82</v>
      </c>
      <c r="D753" t="s">
        <v>294</v>
      </c>
      <c r="E753">
        <v>195.54</v>
      </c>
      <c r="F753" t="s">
        <v>324</v>
      </c>
      <c r="G753" t="s">
        <v>327</v>
      </c>
      <c r="H753" t="s">
        <v>334</v>
      </c>
      <c r="I753" t="s">
        <v>57</v>
      </c>
      <c r="J753" t="s">
        <v>46</v>
      </c>
      <c r="K753" t="s">
        <v>10</v>
      </c>
      <c r="L753" t="s">
        <v>295</v>
      </c>
      <c r="M753" t="s">
        <v>296</v>
      </c>
      <c r="N753">
        <v>2.9000000000000001E-2</v>
      </c>
      <c r="O753" t="str">
        <f>IF(Transactions_RAW_cleaned[[#This Row],[Status]]="Completed", IFERROR(_xlfn.XLOOKUP(Transactions_RAW_cleaned[[#This Row],[CustomerID]], Customers_cleaned[CustomerID], Customers_cleaned[Segment]), "Customer Not Found"), "N/A")</f>
        <v>Startup</v>
      </c>
      <c r="P753" s="5" t="str">
        <f>IF(Transactions_RAW_cleaned[[#This Row],[Status]]="Refunded", "Refund",
  IF(Transactions_RAW_cleaned[[#This Row],[Category]]="Payments", IF(Transactions_RAW_cleaned[[#This Row],[Amount]]&gt;500,"High Value","Standard"),
    IF(Transactions_RAW_cleaned[[#This Row],[Amount]]&gt;250,"High Value","Standard")))</f>
        <v>Standard</v>
      </c>
      <c r="Q753" s="5" t="str">
        <f>IF(Transactions_RAW_cleaned[[#This Row],[Amount]] &gt; (_xlfn.XLOOKUP(Transactions_RAW_cleaned[[#This Row],[ServiceID]],Services_cleaned[ServiceID],Services_cleaned[TransactionFeePct]) * 10000), "Yes", "No")</f>
        <v>No</v>
      </c>
      <c r="R753" s="5" t="str">
        <f>IF(COUNTIFS($C$2:Transactions_RAW_cleaned[[#This Row],[CustomerID]],Transactions_RAW_cleaned[[#This Row],[CustomerID]],$D$2:Transactions_RAW_cleaned[[#This Row],[ServiceID]],Transactions_RAW_cleaned[[#This Row],[ServiceID]])=1,"Yes","No")</f>
        <v>No</v>
      </c>
      <c r="S75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53" t="str">
        <f>"Q"&amp;ROUNDUP(MONTH(Transactions_RAW_cleaned[[#This Row],[TransactionDate]])/3,0)</f>
        <v>Q2</v>
      </c>
      <c r="U753" t="str">
        <f>Transactions_RAW_cleaned[[#This Row],[Region ]]&amp;Transactions_RAW_cleaned[[#This Row],[Quarter ]]</f>
        <v>APACQ2</v>
      </c>
      <c r="V753" s="5">
        <f>_xlfn.XLOOKUP(Transactions_RAW_cleaned[[#This Row],[RegionQuarterKey]], Quarterly_Targets_cleaned[RegionQuarterKey], Quarterly_Targets_cleaned[TargetRevenue])</f>
        <v>110000</v>
      </c>
    </row>
    <row r="754" spans="1:22" x14ac:dyDescent="0.25">
      <c r="A754" t="s">
        <v>1089</v>
      </c>
      <c r="B754" s="1">
        <v>45601</v>
      </c>
      <c r="C754" t="s">
        <v>19</v>
      </c>
      <c r="D754" t="s">
        <v>309</v>
      </c>
      <c r="E754">
        <v>185.8</v>
      </c>
      <c r="F754" t="s">
        <v>324</v>
      </c>
      <c r="G754" t="s">
        <v>325</v>
      </c>
      <c r="H754" t="s">
        <v>346</v>
      </c>
      <c r="I754" t="s">
        <v>8</v>
      </c>
      <c r="J754" t="s">
        <v>21</v>
      </c>
      <c r="K754" t="s">
        <v>22</v>
      </c>
      <c r="L754" t="s">
        <v>310</v>
      </c>
      <c r="M754" t="s">
        <v>311</v>
      </c>
      <c r="N754">
        <v>0</v>
      </c>
      <c r="O754" t="str">
        <f>IF(Transactions_RAW_cleaned[[#This Row],[Status]]="Completed", IFERROR(_xlfn.XLOOKUP(Transactions_RAW_cleaned[[#This Row],[CustomerID]], Customers_cleaned[CustomerID], Customers_cleaned[Segment]), "Customer Not Found"), "N/A")</f>
        <v>SMB</v>
      </c>
      <c r="P754" s="5" t="str">
        <f>IF(Transactions_RAW_cleaned[[#This Row],[Status]]="Refunded", "Refund",
  IF(Transactions_RAW_cleaned[[#This Row],[Category]]="Payments", IF(Transactions_RAW_cleaned[[#This Row],[Amount]]&gt;500,"High Value","Standard"),
    IF(Transactions_RAW_cleaned[[#This Row],[Amount]]&gt;250,"High Value","Standard")))</f>
        <v>Standard</v>
      </c>
      <c r="Q754" s="5" t="str">
        <f>IF(Transactions_RAW_cleaned[[#This Row],[Amount]] &gt; (_xlfn.XLOOKUP(Transactions_RAW_cleaned[[#This Row],[ServiceID]],Services_cleaned[ServiceID],Services_cleaned[TransactionFeePct]) * 10000), "Yes", "No")</f>
        <v>Yes</v>
      </c>
      <c r="R754" s="5" t="str">
        <f>IF(COUNTIFS($C$2:Transactions_RAW_cleaned[[#This Row],[CustomerID]],Transactions_RAW_cleaned[[#This Row],[CustomerID]],$D$2:Transactions_RAW_cleaned[[#This Row],[ServiceID]],Transactions_RAW_cleaned[[#This Row],[ServiceID]])=1,"Yes","No")</f>
        <v>Yes</v>
      </c>
      <c r="S75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54" t="str">
        <f>"Q"&amp;ROUNDUP(MONTH(Transactions_RAW_cleaned[[#This Row],[TransactionDate]])/3,0)</f>
        <v>Q4</v>
      </c>
      <c r="U754" t="str">
        <f>Transactions_RAW_cleaned[[#This Row],[Region ]]&amp;Transactions_RAW_cleaned[[#This Row],[Quarter ]]</f>
        <v>APACQ4</v>
      </c>
      <c r="V754" s="5">
        <f>_xlfn.XLOOKUP(Transactions_RAW_cleaned[[#This Row],[RegionQuarterKey]], Quarterly_Targets_cleaned[RegionQuarterKey], Quarterly_Targets_cleaned[TargetRevenue])</f>
        <v>126500</v>
      </c>
    </row>
    <row r="755" spans="1:22" x14ac:dyDescent="0.25">
      <c r="A755" t="s">
        <v>1090</v>
      </c>
      <c r="B755" s="1">
        <v>45451</v>
      </c>
      <c r="C755" t="s">
        <v>98</v>
      </c>
      <c r="D755" t="s">
        <v>300</v>
      </c>
      <c r="E755">
        <v>1085.57</v>
      </c>
      <c r="F755" t="s">
        <v>331</v>
      </c>
      <c r="G755" t="s">
        <v>327</v>
      </c>
      <c r="I755" t="s">
        <v>8</v>
      </c>
      <c r="J755" t="s">
        <v>37</v>
      </c>
      <c r="K755" t="s">
        <v>18</v>
      </c>
      <c r="L755" t="s">
        <v>301</v>
      </c>
      <c r="M755" t="s">
        <v>302</v>
      </c>
      <c r="N755">
        <v>5.0000000000000001E-3</v>
      </c>
      <c r="O755" t="str">
        <f>IF(Transactions_RAW_cleaned[[#This Row],[Status]]="Completed", IFERROR(_xlfn.XLOOKUP(Transactions_RAW_cleaned[[#This Row],[CustomerID]], Customers_cleaned[CustomerID], Customers_cleaned[Segment]), "Customer Not Found"), "N/A")</f>
        <v>N/A</v>
      </c>
      <c r="P755" s="5" t="str">
        <f>IF(Transactions_RAW_cleaned[[#This Row],[Status]]="Refunded", "Refund",
  IF(Transactions_RAW_cleaned[[#This Row],[Category]]="Payments", IF(Transactions_RAW_cleaned[[#This Row],[Amount]]&gt;500,"High Value","Standard"),
    IF(Transactions_RAW_cleaned[[#This Row],[Amount]]&gt;250,"High Value","Standard")))</f>
        <v>High Value</v>
      </c>
      <c r="Q755" s="5" t="str">
        <f>IF(Transactions_RAW_cleaned[[#This Row],[Amount]] &gt; (_xlfn.XLOOKUP(Transactions_RAW_cleaned[[#This Row],[ServiceID]],Services_cleaned[ServiceID],Services_cleaned[TransactionFeePct]) * 10000), "Yes", "No")</f>
        <v>Yes</v>
      </c>
      <c r="R755" s="5" t="str">
        <f>IF(COUNTIFS($C$2:Transactions_RAW_cleaned[[#This Row],[CustomerID]],Transactions_RAW_cleaned[[#This Row],[CustomerID]],$D$2:Transactions_RAW_cleaned[[#This Row],[ServiceID]],Transactions_RAW_cleaned[[#This Row],[ServiceID]])=1,"Yes","No")</f>
        <v>No</v>
      </c>
      <c r="S75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55" t="str">
        <f>"Q"&amp;ROUNDUP(MONTH(Transactions_RAW_cleaned[[#This Row],[TransactionDate]])/3,0)</f>
        <v>Q2</v>
      </c>
      <c r="U755" t="str">
        <f>Transactions_RAW_cleaned[[#This Row],[Region ]]&amp;Transactions_RAW_cleaned[[#This Row],[Quarter ]]</f>
        <v>EMEAQ2</v>
      </c>
      <c r="V755" s="5">
        <f>_xlfn.XLOOKUP(Transactions_RAW_cleaned[[#This Row],[RegionQuarterKey]], Quarterly_Targets_cleaned[RegionQuarterKey], Quarterly_Targets_cleaned[TargetRevenue])</f>
        <v>140000</v>
      </c>
    </row>
    <row r="756" spans="1:22" x14ac:dyDescent="0.25">
      <c r="A756" t="s">
        <v>1091</v>
      </c>
      <c r="B756" s="1">
        <v>45537</v>
      </c>
      <c r="C756" t="s">
        <v>263</v>
      </c>
      <c r="D756" t="s">
        <v>309</v>
      </c>
      <c r="E756">
        <v>545.05999999999995</v>
      </c>
      <c r="F756" t="s">
        <v>324</v>
      </c>
      <c r="G756" t="s">
        <v>327</v>
      </c>
      <c r="I756" t="s">
        <v>8</v>
      </c>
      <c r="J756" t="s">
        <v>102</v>
      </c>
      <c r="K756" t="s">
        <v>32</v>
      </c>
      <c r="L756" t="s">
        <v>310</v>
      </c>
      <c r="M756" t="s">
        <v>311</v>
      </c>
      <c r="N756">
        <v>0</v>
      </c>
      <c r="O756" t="str">
        <f>IF(Transactions_RAW_cleaned[[#This Row],[Status]]="Completed", IFERROR(_xlfn.XLOOKUP(Transactions_RAW_cleaned[[#This Row],[CustomerID]], Customers_cleaned[CustomerID], Customers_cleaned[Segment]), "Customer Not Found"), "N/A")</f>
        <v>SMB</v>
      </c>
      <c r="P756" s="5" t="str">
        <f>IF(Transactions_RAW_cleaned[[#This Row],[Status]]="Refunded", "Refund",
  IF(Transactions_RAW_cleaned[[#This Row],[Category]]="Payments", IF(Transactions_RAW_cleaned[[#This Row],[Amount]]&gt;500,"High Value","Standard"),
    IF(Transactions_RAW_cleaned[[#This Row],[Amount]]&gt;250,"High Value","Standard")))</f>
        <v>High Value</v>
      </c>
      <c r="Q756" s="5" t="str">
        <f>IF(Transactions_RAW_cleaned[[#This Row],[Amount]] &gt; (_xlfn.XLOOKUP(Transactions_RAW_cleaned[[#This Row],[ServiceID]],Services_cleaned[ServiceID],Services_cleaned[TransactionFeePct]) * 10000), "Yes", "No")</f>
        <v>Yes</v>
      </c>
      <c r="R756" s="5" t="str">
        <f>IF(COUNTIFS($C$2:Transactions_RAW_cleaned[[#This Row],[CustomerID]],Transactions_RAW_cleaned[[#This Row],[CustomerID]],$D$2:Transactions_RAW_cleaned[[#This Row],[ServiceID]],Transactions_RAW_cleaned[[#This Row],[ServiceID]])=1,"Yes","No")</f>
        <v>Yes</v>
      </c>
      <c r="S75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56" t="str">
        <f>"Q"&amp;ROUNDUP(MONTH(Transactions_RAW_cleaned[[#This Row],[TransactionDate]])/3,0)</f>
        <v>Q3</v>
      </c>
      <c r="U756" t="str">
        <f>Transactions_RAW_cleaned[[#This Row],[Region ]]&amp;Transactions_RAW_cleaned[[#This Row],[Quarter ]]</f>
        <v>NAQ3</v>
      </c>
      <c r="V756" s="5">
        <f>_xlfn.XLOOKUP(Transactions_RAW_cleaned[[#This Row],[RegionQuarterKey]], Quarterly_Targets_cleaned[RegionQuarterKey], Quarterly_Targets_cleaned[TargetRevenue])</f>
        <v>273000</v>
      </c>
    </row>
    <row r="757" spans="1:22" x14ac:dyDescent="0.25">
      <c r="A757" t="s">
        <v>1092</v>
      </c>
      <c r="B757" s="1">
        <v>45436</v>
      </c>
      <c r="C757" t="s">
        <v>115</v>
      </c>
      <c r="D757" t="s">
        <v>306</v>
      </c>
      <c r="E757">
        <v>309.25</v>
      </c>
      <c r="F757" t="s">
        <v>324</v>
      </c>
      <c r="G757" t="s">
        <v>325</v>
      </c>
      <c r="H757" t="s">
        <v>332</v>
      </c>
      <c r="I757" t="s">
        <v>17</v>
      </c>
      <c r="J757" t="s">
        <v>102</v>
      </c>
      <c r="K757" t="s">
        <v>32</v>
      </c>
      <c r="L757" t="s">
        <v>307</v>
      </c>
      <c r="M757" t="s">
        <v>308</v>
      </c>
      <c r="N757">
        <v>0</v>
      </c>
      <c r="O757" t="str">
        <f>IF(Transactions_RAW_cleaned[[#This Row],[Status]]="Completed", IFERROR(_xlfn.XLOOKUP(Transactions_RAW_cleaned[[#This Row],[CustomerID]], Customers_cleaned[CustomerID], Customers_cleaned[Segment]), "Customer Not Found"), "N/A")</f>
        <v>Enterprise</v>
      </c>
      <c r="P757" s="5" t="str">
        <f>IF(Transactions_RAW_cleaned[[#This Row],[Status]]="Refunded", "Refund",
  IF(Transactions_RAW_cleaned[[#This Row],[Category]]="Payments", IF(Transactions_RAW_cleaned[[#This Row],[Amount]]&gt;500,"High Value","Standard"),
    IF(Transactions_RAW_cleaned[[#This Row],[Amount]]&gt;250,"High Value","Standard")))</f>
        <v>High Value</v>
      </c>
      <c r="Q757" s="5" t="str">
        <f>IF(Transactions_RAW_cleaned[[#This Row],[Amount]] &gt; (_xlfn.XLOOKUP(Transactions_RAW_cleaned[[#This Row],[ServiceID]],Services_cleaned[ServiceID],Services_cleaned[TransactionFeePct]) * 10000), "Yes", "No")</f>
        <v>Yes</v>
      </c>
      <c r="R757" s="5" t="str">
        <f>IF(COUNTIFS($C$2:Transactions_RAW_cleaned[[#This Row],[CustomerID]],Transactions_RAW_cleaned[[#This Row],[CustomerID]],$D$2:Transactions_RAW_cleaned[[#This Row],[ServiceID]],Transactions_RAW_cleaned[[#This Row],[ServiceID]])=1,"Yes","No")</f>
        <v>No</v>
      </c>
      <c r="S75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57" t="str">
        <f>"Q"&amp;ROUNDUP(MONTH(Transactions_RAW_cleaned[[#This Row],[TransactionDate]])/3,0)</f>
        <v>Q2</v>
      </c>
      <c r="U757" t="str">
        <f>Transactions_RAW_cleaned[[#This Row],[Region ]]&amp;Transactions_RAW_cleaned[[#This Row],[Quarter ]]</f>
        <v>NAQ2</v>
      </c>
      <c r="V757" s="5">
        <f>_xlfn.XLOOKUP(Transactions_RAW_cleaned[[#This Row],[RegionQuarterKey]], Quarterly_Targets_cleaned[RegionQuarterKey], Quarterly_Targets_cleaned[TargetRevenue])</f>
        <v>260000</v>
      </c>
    </row>
    <row r="758" spans="1:22" x14ac:dyDescent="0.25">
      <c r="A758" t="s">
        <v>1093</v>
      </c>
      <c r="B758" s="1">
        <v>45434</v>
      </c>
      <c r="C758" t="s">
        <v>129</v>
      </c>
      <c r="D758" t="s">
        <v>309</v>
      </c>
      <c r="E758">
        <v>302.93</v>
      </c>
      <c r="F758" t="s">
        <v>381</v>
      </c>
      <c r="G758" t="s">
        <v>325</v>
      </c>
      <c r="I758" t="s">
        <v>8</v>
      </c>
      <c r="J758" t="s">
        <v>21</v>
      </c>
      <c r="K758" t="s">
        <v>18</v>
      </c>
      <c r="L758" t="s">
        <v>310</v>
      </c>
      <c r="M758" t="s">
        <v>311</v>
      </c>
      <c r="N758">
        <v>0</v>
      </c>
      <c r="O758" t="str">
        <f>IF(Transactions_RAW_cleaned[[#This Row],[Status]]="Completed", IFERROR(_xlfn.XLOOKUP(Transactions_RAW_cleaned[[#This Row],[CustomerID]], Customers_cleaned[CustomerID], Customers_cleaned[Segment]), "Customer Not Found"), "N/A")</f>
        <v>N/A</v>
      </c>
      <c r="P758" s="5" t="str">
        <f>IF(Transactions_RAW_cleaned[[#This Row],[Status]]="Refunded", "Refund",
  IF(Transactions_RAW_cleaned[[#This Row],[Category]]="Payments", IF(Transactions_RAW_cleaned[[#This Row],[Amount]]&gt;500,"High Value","Standard"),
    IF(Transactions_RAW_cleaned[[#This Row],[Amount]]&gt;250,"High Value","Standard")))</f>
        <v>High Value</v>
      </c>
      <c r="Q758" s="5" t="str">
        <f>IF(Transactions_RAW_cleaned[[#This Row],[Amount]] &gt; (_xlfn.XLOOKUP(Transactions_RAW_cleaned[[#This Row],[ServiceID]],Services_cleaned[ServiceID],Services_cleaned[TransactionFeePct]) * 10000), "Yes", "No")</f>
        <v>Yes</v>
      </c>
      <c r="R758" s="5" t="str">
        <f>IF(COUNTIFS($C$2:Transactions_RAW_cleaned[[#This Row],[CustomerID]],Transactions_RAW_cleaned[[#This Row],[CustomerID]],$D$2:Transactions_RAW_cleaned[[#This Row],[ServiceID]],Transactions_RAW_cleaned[[#This Row],[ServiceID]])=1,"Yes","No")</f>
        <v>No</v>
      </c>
      <c r="S75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58" t="str">
        <f>"Q"&amp;ROUNDUP(MONTH(Transactions_RAW_cleaned[[#This Row],[TransactionDate]])/3,0)</f>
        <v>Q2</v>
      </c>
      <c r="U758" t="str">
        <f>Transactions_RAW_cleaned[[#This Row],[Region ]]&amp;Transactions_RAW_cleaned[[#This Row],[Quarter ]]</f>
        <v>APACQ2</v>
      </c>
      <c r="V758" s="5">
        <f>_xlfn.XLOOKUP(Transactions_RAW_cleaned[[#This Row],[RegionQuarterKey]], Quarterly_Targets_cleaned[RegionQuarterKey], Quarterly_Targets_cleaned[TargetRevenue])</f>
        <v>110000</v>
      </c>
    </row>
    <row r="759" spans="1:22" x14ac:dyDescent="0.25">
      <c r="A759" t="s">
        <v>1094</v>
      </c>
      <c r="B759" s="1">
        <v>45326</v>
      </c>
      <c r="C759" t="s">
        <v>55</v>
      </c>
      <c r="D759" t="s">
        <v>294</v>
      </c>
      <c r="E759">
        <v>1546.33</v>
      </c>
      <c r="F759" t="s">
        <v>324</v>
      </c>
      <c r="G759" t="s">
        <v>327</v>
      </c>
      <c r="I759" t="s">
        <v>57</v>
      </c>
      <c r="J759" t="s">
        <v>31</v>
      </c>
      <c r="K759" t="s">
        <v>22</v>
      </c>
      <c r="L759" t="s">
        <v>295</v>
      </c>
      <c r="M759" t="s">
        <v>296</v>
      </c>
      <c r="N759">
        <v>2.9000000000000001E-2</v>
      </c>
      <c r="O759" t="str">
        <f>IF(Transactions_RAW_cleaned[[#This Row],[Status]]="Completed", IFERROR(_xlfn.XLOOKUP(Transactions_RAW_cleaned[[#This Row],[CustomerID]], Customers_cleaned[CustomerID], Customers_cleaned[Segment]), "Customer Not Found"), "N/A")</f>
        <v>Startup</v>
      </c>
      <c r="P759" s="5" t="str">
        <f>IF(Transactions_RAW_cleaned[[#This Row],[Status]]="Refunded", "Refund",
  IF(Transactions_RAW_cleaned[[#This Row],[Category]]="Payments", IF(Transactions_RAW_cleaned[[#This Row],[Amount]]&gt;500,"High Value","Standard"),
    IF(Transactions_RAW_cleaned[[#This Row],[Amount]]&gt;250,"High Value","Standard")))</f>
        <v>High Value</v>
      </c>
      <c r="Q759" s="5" t="str">
        <f>IF(Transactions_RAW_cleaned[[#This Row],[Amount]] &gt; (_xlfn.XLOOKUP(Transactions_RAW_cleaned[[#This Row],[ServiceID]],Services_cleaned[ServiceID],Services_cleaned[TransactionFeePct]) * 10000), "Yes", "No")</f>
        <v>Yes</v>
      </c>
      <c r="R759" s="5" t="str">
        <f>IF(COUNTIFS($C$2:Transactions_RAW_cleaned[[#This Row],[CustomerID]],Transactions_RAW_cleaned[[#This Row],[CustomerID]],$D$2:Transactions_RAW_cleaned[[#This Row],[ServiceID]],Transactions_RAW_cleaned[[#This Row],[ServiceID]])=1,"Yes","No")</f>
        <v>No</v>
      </c>
      <c r="S75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59" t="str">
        <f>"Q"&amp;ROUNDUP(MONTH(Transactions_RAW_cleaned[[#This Row],[TransactionDate]])/3,0)</f>
        <v>Q1</v>
      </c>
      <c r="U759" t="str">
        <f>Transactions_RAW_cleaned[[#This Row],[Region ]]&amp;Transactions_RAW_cleaned[[#This Row],[Quarter ]]</f>
        <v>EMEAQ1</v>
      </c>
      <c r="V759" s="5">
        <f>_xlfn.XLOOKUP(Transactions_RAW_cleaned[[#This Row],[RegionQuarterKey]], Quarterly_Targets_cleaned[RegionQuarterKey], Quarterly_Targets_cleaned[TargetRevenue])</f>
        <v>133000</v>
      </c>
    </row>
    <row r="760" spans="1:22" x14ac:dyDescent="0.25">
      <c r="A760" t="s">
        <v>1095</v>
      </c>
      <c r="B760" s="1">
        <v>45565</v>
      </c>
      <c r="C760" t="s">
        <v>82</v>
      </c>
      <c r="D760" t="s">
        <v>306</v>
      </c>
      <c r="E760">
        <v>438.64</v>
      </c>
      <c r="F760" t="s">
        <v>324</v>
      </c>
      <c r="G760" t="s">
        <v>337</v>
      </c>
      <c r="I760" t="s">
        <v>57</v>
      </c>
      <c r="J760" t="s">
        <v>46</v>
      </c>
      <c r="K760" t="s">
        <v>10</v>
      </c>
      <c r="L760" t="s">
        <v>307</v>
      </c>
      <c r="M760" t="s">
        <v>308</v>
      </c>
      <c r="N760">
        <v>0</v>
      </c>
      <c r="O760" t="str">
        <f>IF(Transactions_RAW_cleaned[[#This Row],[Status]]="Completed", IFERROR(_xlfn.XLOOKUP(Transactions_RAW_cleaned[[#This Row],[CustomerID]], Customers_cleaned[CustomerID], Customers_cleaned[Segment]), "Customer Not Found"), "N/A")</f>
        <v>Startup</v>
      </c>
      <c r="P760" s="5" t="str">
        <f>IF(Transactions_RAW_cleaned[[#This Row],[Status]]="Refunded", "Refund",
  IF(Transactions_RAW_cleaned[[#This Row],[Category]]="Payments", IF(Transactions_RAW_cleaned[[#This Row],[Amount]]&gt;500,"High Value","Standard"),
    IF(Transactions_RAW_cleaned[[#This Row],[Amount]]&gt;250,"High Value","Standard")))</f>
        <v>High Value</v>
      </c>
      <c r="Q760" s="5" t="str">
        <f>IF(Transactions_RAW_cleaned[[#This Row],[Amount]] &gt; (_xlfn.XLOOKUP(Transactions_RAW_cleaned[[#This Row],[ServiceID]],Services_cleaned[ServiceID],Services_cleaned[TransactionFeePct]) * 10000), "Yes", "No")</f>
        <v>Yes</v>
      </c>
      <c r="R760" s="5" t="str">
        <f>IF(COUNTIFS($C$2:Transactions_RAW_cleaned[[#This Row],[CustomerID]],Transactions_RAW_cleaned[[#This Row],[CustomerID]],$D$2:Transactions_RAW_cleaned[[#This Row],[ServiceID]],Transactions_RAW_cleaned[[#This Row],[ServiceID]])=1,"Yes","No")</f>
        <v>No</v>
      </c>
      <c r="S76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60" t="str">
        <f>"Q"&amp;ROUNDUP(MONTH(Transactions_RAW_cleaned[[#This Row],[TransactionDate]])/3,0)</f>
        <v>Q3</v>
      </c>
      <c r="U760" t="str">
        <f>Transactions_RAW_cleaned[[#This Row],[Region ]]&amp;Transactions_RAW_cleaned[[#This Row],[Quarter ]]</f>
        <v>APACQ3</v>
      </c>
      <c r="V760" s="5">
        <f>_xlfn.XLOOKUP(Transactions_RAW_cleaned[[#This Row],[RegionQuarterKey]], Quarterly_Targets_cleaned[RegionQuarterKey], Quarterly_Targets_cleaned[TargetRevenue])</f>
        <v>115500</v>
      </c>
    </row>
    <row r="761" spans="1:22" x14ac:dyDescent="0.25">
      <c r="A761" t="s">
        <v>1096</v>
      </c>
      <c r="B761" s="1">
        <v>45601</v>
      </c>
      <c r="C761" t="s">
        <v>261</v>
      </c>
      <c r="D761" t="s">
        <v>309</v>
      </c>
      <c r="E761">
        <v>265.95</v>
      </c>
      <c r="F761" t="s">
        <v>324</v>
      </c>
      <c r="G761" t="s">
        <v>337</v>
      </c>
      <c r="I761" t="s">
        <v>8</v>
      </c>
      <c r="J761" t="s">
        <v>31</v>
      </c>
      <c r="K761" t="s">
        <v>18</v>
      </c>
      <c r="L761" t="s">
        <v>310</v>
      </c>
      <c r="M761" t="s">
        <v>311</v>
      </c>
      <c r="N761">
        <v>0</v>
      </c>
      <c r="O761" t="str">
        <f>IF(Transactions_RAW_cleaned[[#This Row],[Status]]="Completed", IFERROR(_xlfn.XLOOKUP(Transactions_RAW_cleaned[[#This Row],[CustomerID]], Customers_cleaned[CustomerID], Customers_cleaned[Segment]), "Customer Not Found"), "N/A")</f>
        <v>SMB</v>
      </c>
      <c r="P761" s="5" t="str">
        <f>IF(Transactions_RAW_cleaned[[#This Row],[Status]]="Refunded", "Refund",
  IF(Transactions_RAW_cleaned[[#This Row],[Category]]="Payments", IF(Transactions_RAW_cleaned[[#This Row],[Amount]]&gt;500,"High Value","Standard"),
    IF(Transactions_RAW_cleaned[[#This Row],[Amount]]&gt;250,"High Value","Standard")))</f>
        <v>High Value</v>
      </c>
      <c r="Q761" s="5" t="str">
        <f>IF(Transactions_RAW_cleaned[[#This Row],[Amount]] &gt; (_xlfn.XLOOKUP(Transactions_RAW_cleaned[[#This Row],[ServiceID]],Services_cleaned[ServiceID],Services_cleaned[TransactionFeePct]) * 10000), "Yes", "No")</f>
        <v>Yes</v>
      </c>
      <c r="R761" s="5" t="str">
        <f>IF(COUNTIFS($C$2:Transactions_RAW_cleaned[[#This Row],[CustomerID]],Transactions_RAW_cleaned[[#This Row],[CustomerID]],$D$2:Transactions_RAW_cleaned[[#This Row],[ServiceID]],Transactions_RAW_cleaned[[#This Row],[ServiceID]])=1,"Yes","No")</f>
        <v>Yes</v>
      </c>
      <c r="S76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61" t="str">
        <f>"Q"&amp;ROUNDUP(MONTH(Transactions_RAW_cleaned[[#This Row],[TransactionDate]])/3,0)</f>
        <v>Q4</v>
      </c>
      <c r="U761" t="str">
        <f>Transactions_RAW_cleaned[[#This Row],[Region ]]&amp;Transactions_RAW_cleaned[[#This Row],[Quarter ]]</f>
        <v>EMEAQ4</v>
      </c>
      <c r="V761" s="5">
        <f>_xlfn.XLOOKUP(Transactions_RAW_cleaned[[#This Row],[RegionQuarterKey]], Quarterly_Targets_cleaned[RegionQuarterKey], Quarterly_Targets_cleaned[TargetRevenue])</f>
        <v>161000</v>
      </c>
    </row>
    <row r="762" spans="1:22" x14ac:dyDescent="0.25">
      <c r="A762" t="s">
        <v>1097</v>
      </c>
      <c r="B762" s="1">
        <v>45385</v>
      </c>
      <c r="C762" t="s">
        <v>255</v>
      </c>
      <c r="D762" t="s">
        <v>294</v>
      </c>
      <c r="E762">
        <v>216.62</v>
      </c>
      <c r="F762" t="s">
        <v>381</v>
      </c>
      <c r="G762" t="s">
        <v>327</v>
      </c>
      <c r="H762" t="s">
        <v>334</v>
      </c>
      <c r="I762" t="s">
        <v>17</v>
      </c>
      <c r="J762" t="s">
        <v>21</v>
      </c>
      <c r="K762" t="s">
        <v>28</v>
      </c>
      <c r="L762" t="s">
        <v>295</v>
      </c>
      <c r="M762" t="s">
        <v>296</v>
      </c>
      <c r="N762">
        <v>2.9000000000000001E-2</v>
      </c>
      <c r="O762" t="str">
        <f>IF(Transactions_RAW_cleaned[[#This Row],[Status]]="Completed", IFERROR(_xlfn.XLOOKUP(Transactions_RAW_cleaned[[#This Row],[CustomerID]], Customers_cleaned[CustomerID], Customers_cleaned[Segment]), "Customer Not Found"), "N/A")</f>
        <v>N/A</v>
      </c>
      <c r="P762" s="5" t="str">
        <f>IF(Transactions_RAW_cleaned[[#This Row],[Status]]="Refunded", "Refund",
  IF(Transactions_RAW_cleaned[[#This Row],[Category]]="Payments", IF(Transactions_RAW_cleaned[[#This Row],[Amount]]&gt;500,"High Value","Standard"),
    IF(Transactions_RAW_cleaned[[#This Row],[Amount]]&gt;250,"High Value","Standard")))</f>
        <v>Standard</v>
      </c>
      <c r="Q762" s="5" t="str">
        <f>IF(Transactions_RAW_cleaned[[#This Row],[Amount]] &gt; (_xlfn.XLOOKUP(Transactions_RAW_cleaned[[#This Row],[ServiceID]],Services_cleaned[ServiceID],Services_cleaned[TransactionFeePct]) * 10000), "Yes", "No")</f>
        <v>No</v>
      </c>
      <c r="R762" s="5" t="str">
        <f>IF(COUNTIFS($C$2:Transactions_RAW_cleaned[[#This Row],[CustomerID]],Transactions_RAW_cleaned[[#This Row],[CustomerID]],$D$2:Transactions_RAW_cleaned[[#This Row],[ServiceID]],Transactions_RAW_cleaned[[#This Row],[ServiceID]])=1,"Yes","No")</f>
        <v>No</v>
      </c>
      <c r="S76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62" t="str">
        <f>"Q"&amp;ROUNDUP(MONTH(Transactions_RAW_cleaned[[#This Row],[TransactionDate]])/3,0)</f>
        <v>Q2</v>
      </c>
      <c r="U762" t="str">
        <f>Transactions_RAW_cleaned[[#This Row],[Region ]]&amp;Transactions_RAW_cleaned[[#This Row],[Quarter ]]</f>
        <v>APACQ2</v>
      </c>
      <c r="V762" s="5">
        <f>_xlfn.XLOOKUP(Transactions_RAW_cleaned[[#This Row],[RegionQuarterKey]], Quarterly_Targets_cleaned[RegionQuarterKey], Quarterly_Targets_cleaned[TargetRevenue])</f>
        <v>110000</v>
      </c>
    </row>
    <row r="763" spans="1:22" x14ac:dyDescent="0.25">
      <c r="A763" t="s">
        <v>1098</v>
      </c>
      <c r="B763" s="1">
        <v>45465</v>
      </c>
      <c r="C763" t="s">
        <v>165</v>
      </c>
      <c r="D763" t="s">
        <v>297</v>
      </c>
      <c r="E763">
        <v>892.25</v>
      </c>
      <c r="F763" t="s">
        <v>324</v>
      </c>
      <c r="G763" t="s">
        <v>327</v>
      </c>
      <c r="I763" t="s">
        <v>8</v>
      </c>
      <c r="J763" t="s">
        <v>31</v>
      </c>
      <c r="K763" t="s">
        <v>32</v>
      </c>
      <c r="L763" t="s">
        <v>298</v>
      </c>
      <c r="M763" t="s">
        <v>299</v>
      </c>
      <c r="N763">
        <v>0</v>
      </c>
      <c r="O763" t="str">
        <f>IF(Transactions_RAW_cleaned[[#This Row],[Status]]="Completed", IFERROR(_xlfn.XLOOKUP(Transactions_RAW_cleaned[[#This Row],[CustomerID]], Customers_cleaned[CustomerID], Customers_cleaned[Segment]), "Customer Not Found"), "N/A")</f>
        <v>SMB</v>
      </c>
      <c r="P763" s="5" t="str">
        <f>IF(Transactions_RAW_cleaned[[#This Row],[Status]]="Refunded", "Refund",
  IF(Transactions_RAW_cleaned[[#This Row],[Category]]="Payments", IF(Transactions_RAW_cleaned[[#This Row],[Amount]]&gt;500,"High Value","Standard"),
    IF(Transactions_RAW_cleaned[[#This Row],[Amount]]&gt;250,"High Value","Standard")))</f>
        <v>High Value</v>
      </c>
      <c r="Q763" s="5" t="str">
        <f>IF(Transactions_RAW_cleaned[[#This Row],[Amount]] &gt; (_xlfn.XLOOKUP(Transactions_RAW_cleaned[[#This Row],[ServiceID]],Services_cleaned[ServiceID],Services_cleaned[TransactionFeePct]) * 10000), "Yes", "No")</f>
        <v>Yes</v>
      </c>
      <c r="R763" s="5" t="str">
        <f>IF(COUNTIFS($C$2:Transactions_RAW_cleaned[[#This Row],[CustomerID]],Transactions_RAW_cleaned[[#This Row],[CustomerID]],$D$2:Transactions_RAW_cleaned[[#This Row],[ServiceID]],Transactions_RAW_cleaned[[#This Row],[ServiceID]])=1,"Yes","No")</f>
        <v>Yes</v>
      </c>
      <c r="S76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63" t="str">
        <f>"Q"&amp;ROUNDUP(MONTH(Transactions_RAW_cleaned[[#This Row],[TransactionDate]])/3,0)</f>
        <v>Q2</v>
      </c>
      <c r="U763" t="str">
        <f>Transactions_RAW_cleaned[[#This Row],[Region ]]&amp;Transactions_RAW_cleaned[[#This Row],[Quarter ]]</f>
        <v>EMEAQ2</v>
      </c>
      <c r="V763" s="5">
        <f>_xlfn.XLOOKUP(Transactions_RAW_cleaned[[#This Row],[RegionQuarterKey]], Quarterly_Targets_cleaned[RegionQuarterKey], Quarterly_Targets_cleaned[TargetRevenue])</f>
        <v>140000</v>
      </c>
    </row>
    <row r="764" spans="1:22" x14ac:dyDescent="0.25">
      <c r="A764" t="s">
        <v>1099</v>
      </c>
      <c r="B764" s="1">
        <v>45544</v>
      </c>
      <c r="C764" t="s">
        <v>40</v>
      </c>
      <c r="D764" t="s">
        <v>300</v>
      </c>
      <c r="E764">
        <v>-618.82000000000005</v>
      </c>
      <c r="F764" t="s">
        <v>349</v>
      </c>
      <c r="G764" t="s">
        <v>329</v>
      </c>
      <c r="I764" t="s">
        <v>17</v>
      </c>
      <c r="J764" t="s">
        <v>102</v>
      </c>
      <c r="K764" t="s">
        <v>14</v>
      </c>
      <c r="L764" t="s">
        <v>301</v>
      </c>
      <c r="M764" t="s">
        <v>302</v>
      </c>
      <c r="N764">
        <v>5.0000000000000001E-3</v>
      </c>
      <c r="O764" t="str">
        <f>IF(Transactions_RAW_cleaned[[#This Row],[Status]]="Completed", IFERROR(_xlfn.XLOOKUP(Transactions_RAW_cleaned[[#This Row],[CustomerID]], Customers_cleaned[CustomerID], Customers_cleaned[Segment]), "Customer Not Found"), "N/A")</f>
        <v>N/A</v>
      </c>
      <c r="P764" s="5" t="str">
        <f>IF(Transactions_RAW_cleaned[[#This Row],[Status]]="Refunded", "Refund",
  IF(Transactions_RAW_cleaned[[#This Row],[Category]]="Payments", IF(Transactions_RAW_cleaned[[#This Row],[Amount]]&gt;500,"High Value","Standard"),
    IF(Transactions_RAW_cleaned[[#This Row],[Amount]]&gt;250,"High Value","Standard")))</f>
        <v>Refund</v>
      </c>
      <c r="Q764" s="5" t="str">
        <f>IF(Transactions_RAW_cleaned[[#This Row],[Amount]] &gt; (_xlfn.XLOOKUP(Transactions_RAW_cleaned[[#This Row],[ServiceID]],Services_cleaned[ServiceID],Services_cleaned[TransactionFeePct]) * 10000), "Yes", "No")</f>
        <v>No</v>
      </c>
      <c r="R764" s="5" t="str">
        <f>IF(COUNTIFS($C$2:Transactions_RAW_cleaned[[#This Row],[CustomerID]],Transactions_RAW_cleaned[[#This Row],[CustomerID]],$D$2:Transactions_RAW_cleaned[[#This Row],[ServiceID]],Transactions_RAW_cleaned[[#This Row],[ServiceID]])=1,"Yes","No")</f>
        <v>No</v>
      </c>
      <c r="S76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64" t="str">
        <f>"Q"&amp;ROUNDUP(MONTH(Transactions_RAW_cleaned[[#This Row],[TransactionDate]])/3,0)</f>
        <v>Q3</v>
      </c>
      <c r="U764" t="str">
        <f>Transactions_RAW_cleaned[[#This Row],[Region ]]&amp;Transactions_RAW_cleaned[[#This Row],[Quarter ]]</f>
        <v>NAQ3</v>
      </c>
      <c r="V764" s="5">
        <f>_xlfn.XLOOKUP(Transactions_RAW_cleaned[[#This Row],[RegionQuarterKey]], Quarterly_Targets_cleaned[RegionQuarterKey], Quarterly_Targets_cleaned[TargetRevenue])</f>
        <v>273000</v>
      </c>
    </row>
    <row r="765" spans="1:22" x14ac:dyDescent="0.25">
      <c r="A765" t="s">
        <v>1100</v>
      </c>
      <c r="B765" s="1">
        <v>45486</v>
      </c>
      <c r="C765" t="s">
        <v>78</v>
      </c>
      <c r="D765" t="s">
        <v>297</v>
      </c>
      <c r="E765">
        <v>290.73</v>
      </c>
      <c r="F765" t="s">
        <v>324</v>
      </c>
      <c r="G765" t="s">
        <v>329</v>
      </c>
      <c r="I765" t="s">
        <v>17</v>
      </c>
      <c r="J765" t="s">
        <v>21</v>
      </c>
      <c r="K765" t="s">
        <v>22</v>
      </c>
      <c r="L765" t="s">
        <v>298</v>
      </c>
      <c r="M765" t="s">
        <v>299</v>
      </c>
      <c r="N765">
        <v>0</v>
      </c>
      <c r="O765" t="str">
        <f>IF(Transactions_RAW_cleaned[[#This Row],[Status]]="Completed", IFERROR(_xlfn.XLOOKUP(Transactions_RAW_cleaned[[#This Row],[CustomerID]], Customers_cleaned[CustomerID], Customers_cleaned[Segment]), "Customer Not Found"), "N/A")</f>
        <v>Enterprise</v>
      </c>
      <c r="P765" s="5" t="str">
        <f>IF(Transactions_RAW_cleaned[[#This Row],[Status]]="Refunded", "Refund",
  IF(Transactions_RAW_cleaned[[#This Row],[Category]]="Payments", IF(Transactions_RAW_cleaned[[#This Row],[Amount]]&gt;500,"High Value","Standard"),
    IF(Transactions_RAW_cleaned[[#This Row],[Amount]]&gt;250,"High Value","Standard")))</f>
        <v>High Value</v>
      </c>
      <c r="Q765" s="5" t="str">
        <f>IF(Transactions_RAW_cleaned[[#This Row],[Amount]] &gt; (_xlfn.XLOOKUP(Transactions_RAW_cleaned[[#This Row],[ServiceID]],Services_cleaned[ServiceID],Services_cleaned[TransactionFeePct]) * 10000), "Yes", "No")</f>
        <v>Yes</v>
      </c>
      <c r="R765" s="5" t="str">
        <f>IF(COUNTIFS($C$2:Transactions_RAW_cleaned[[#This Row],[CustomerID]],Transactions_RAW_cleaned[[#This Row],[CustomerID]],$D$2:Transactions_RAW_cleaned[[#This Row],[ServiceID]],Transactions_RAW_cleaned[[#This Row],[ServiceID]])=1,"Yes","No")</f>
        <v>No</v>
      </c>
      <c r="S76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65" t="str">
        <f>"Q"&amp;ROUNDUP(MONTH(Transactions_RAW_cleaned[[#This Row],[TransactionDate]])/3,0)</f>
        <v>Q3</v>
      </c>
      <c r="U765" t="str">
        <f>Transactions_RAW_cleaned[[#This Row],[Region ]]&amp;Transactions_RAW_cleaned[[#This Row],[Quarter ]]</f>
        <v>APACQ3</v>
      </c>
      <c r="V765" s="5">
        <f>_xlfn.XLOOKUP(Transactions_RAW_cleaned[[#This Row],[RegionQuarterKey]], Quarterly_Targets_cleaned[RegionQuarterKey], Quarterly_Targets_cleaned[TargetRevenue])</f>
        <v>115500</v>
      </c>
    </row>
    <row r="766" spans="1:22" x14ac:dyDescent="0.25">
      <c r="A766" t="s">
        <v>1101</v>
      </c>
      <c r="B766" s="1">
        <v>45653</v>
      </c>
      <c r="C766" t="s">
        <v>207</v>
      </c>
      <c r="D766" t="s">
        <v>297</v>
      </c>
      <c r="E766">
        <v>285.62</v>
      </c>
      <c r="F766" t="s">
        <v>331</v>
      </c>
      <c r="G766" t="s">
        <v>325</v>
      </c>
      <c r="H766" t="s">
        <v>332</v>
      </c>
      <c r="I766" t="s">
        <v>8</v>
      </c>
      <c r="J766" t="s">
        <v>102</v>
      </c>
      <c r="K766" t="s">
        <v>28</v>
      </c>
      <c r="L766" t="s">
        <v>298</v>
      </c>
      <c r="M766" t="s">
        <v>299</v>
      </c>
      <c r="N766">
        <v>0</v>
      </c>
      <c r="O766" t="str">
        <f>IF(Transactions_RAW_cleaned[[#This Row],[Status]]="Completed", IFERROR(_xlfn.XLOOKUP(Transactions_RAW_cleaned[[#This Row],[CustomerID]], Customers_cleaned[CustomerID], Customers_cleaned[Segment]), "Customer Not Found"), "N/A")</f>
        <v>N/A</v>
      </c>
      <c r="P766" s="5" t="str">
        <f>IF(Transactions_RAW_cleaned[[#This Row],[Status]]="Refunded", "Refund",
  IF(Transactions_RAW_cleaned[[#This Row],[Category]]="Payments", IF(Transactions_RAW_cleaned[[#This Row],[Amount]]&gt;500,"High Value","Standard"),
    IF(Transactions_RAW_cleaned[[#This Row],[Amount]]&gt;250,"High Value","Standard")))</f>
        <v>High Value</v>
      </c>
      <c r="Q766" s="5" t="str">
        <f>IF(Transactions_RAW_cleaned[[#This Row],[Amount]] &gt; (_xlfn.XLOOKUP(Transactions_RAW_cleaned[[#This Row],[ServiceID]],Services_cleaned[ServiceID],Services_cleaned[TransactionFeePct]) * 10000), "Yes", "No")</f>
        <v>Yes</v>
      </c>
      <c r="R766" s="5" t="str">
        <f>IF(COUNTIFS($C$2:Transactions_RAW_cleaned[[#This Row],[CustomerID]],Transactions_RAW_cleaned[[#This Row],[CustomerID]],$D$2:Transactions_RAW_cleaned[[#This Row],[ServiceID]],Transactions_RAW_cleaned[[#This Row],[ServiceID]])=1,"Yes","No")</f>
        <v>No</v>
      </c>
      <c r="S76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66" t="str">
        <f>"Q"&amp;ROUNDUP(MONTH(Transactions_RAW_cleaned[[#This Row],[TransactionDate]])/3,0)</f>
        <v>Q4</v>
      </c>
      <c r="U766" t="str">
        <f>Transactions_RAW_cleaned[[#This Row],[Region ]]&amp;Transactions_RAW_cleaned[[#This Row],[Quarter ]]</f>
        <v>NAQ4</v>
      </c>
      <c r="V766" s="5">
        <f>_xlfn.XLOOKUP(Transactions_RAW_cleaned[[#This Row],[RegionQuarterKey]], Quarterly_Targets_cleaned[RegionQuarterKey], Quarterly_Targets_cleaned[TargetRevenue])</f>
        <v>299000</v>
      </c>
    </row>
    <row r="767" spans="1:22" x14ac:dyDescent="0.25">
      <c r="A767" t="s">
        <v>1102</v>
      </c>
      <c r="B767" s="1">
        <v>45593</v>
      </c>
      <c r="C767" t="s">
        <v>96</v>
      </c>
      <c r="D767" t="s">
        <v>294</v>
      </c>
      <c r="E767">
        <v>961.22</v>
      </c>
      <c r="F767" t="s">
        <v>381</v>
      </c>
      <c r="G767" t="s">
        <v>327</v>
      </c>
      <c r="I767" t="s">
        <v>17</v>
      </c>
      <c r="J767" t="s">
        <v>31</v>
      </c>
      <c r="K767" t="s">
        <v>14</v>
      </c>
      <c r="L767" t="s">
        <v>295</v>
      </c>
      <c r="M767" t="s">
        <v>296</v>
      </c>
      <c r="N767">
        <v>2.9000000000000001E-2</v>
      </c>
      <c r="O767" t="str">
        <f>IF(Transactions_RAW_cleaned[[#This Row],[Status]]="Completed", IFERROR(_xlfn.XLOOKUP(Transactions_RAW_cleaned[[#This Row],[CustomerID]], Customers_cleaned[CustomerID], Customers_cleaned[Segment]), "Customer Not Found"), "N/A")</f>
        <v>N/A</v>
      </c>
      <c r="P767" s="5" t="str">
        <f>IF(Transactions_RAW_cleaned[[#This Row],[Status]]="Refunded", "Refund",
  IF(Transactions_RAW_cleaned[[#This Row],[Category]]="Payments", IF(Transactions_RAW_cleaned[[#This Row],[Amount]]&gt;500,"High Value","Standard"),
    IF(Transactions_RAW_cleaned[[#This Row],[Amount]]&gt;250,"High Value","Standard")))</f>
        <v>High Value</v>
      </c>
      <c r="Q767" s="5" t="str">
        <f>IF(Transactions_RAW_cleaned[[#This Row],[Amount]] &gt; (_xlfn.XLOOKUP(Transactions_RAW_cleaned[[#This Row],[ServiceID]],Services_cleaned[ServiceID],Services_cleaned[TransactionFeePct]) * 10000), "Yes", "No")</f>
        <v>Yes</v>
      </c>
      <c r="R767" s="5" t="str">
        <f>IF(COUNTIFS($C$2:Transactions_RAW_cleaned[[#This Row],[CustomerID]],Transactions_RAW_cleaned[[#This Row],[CustomerID]],$D$2:Transactions_RAW_cleaned[[#This Row],[ServiceID]],Transactions_RAW_cleaned[[#This Row],[ServiceID]])=1,"Yes","No")</f>
        <v>Yes</v>
      </c>
      <c r="S76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67" t="str">
        <f>"Q"&amp;ROUNDUP(MONTH(Transactions_RAW_cleaned[[#This Row],[TransactionDate]])/3,0)</f>
        <v>Q4</v>
      </c>
      <c r="U767" t="str">
        <f>Transactions_RAW_cleaned[[#This Row],[Region ]]&amp;Transactions_RAW_cleaned[[#This Row],[Quarter ]]</f>
        <v>EMEAQ4</v>
      </c>
      <c r="V767" s="5">
        <f>_xlfn.XLOOKUP(Transactions_RAW_cleaned[[#This Row],[RegionQuarterKey]], Quarterly_Targets_cleaned[RegionQuarterKey], Quarterly_Targets_cleaned[TargetRevenue])</f>
        <v>161000</v>
      </c>
    </row>
    <row r="768" spans="1:22" x14ac:dyDescent="0.25">
      <c r="A768" t="s">
        <v>1103</v>
      </c>
      <c r="B768" s="1">
        <v>45486</v>
      </c>
      <c r="C768" t="s">
        <v>84</v>
      </c>
      <c r="D768" t="s">
        <v>312</v>
      </c>
      <c r="E768">
        <v>517.48</v>
      </c>
      <c r="F768" t="s">
        <v>324</v>
      </c>
      <c r="G768" t="s">
        <v>325</v>
      </c>
      <c r="H768" t="s">
        <v>332</v>
      </c>
      <c r="I768" t="s">
        <v>8</v>
      </c>
      <c r="J768" t="s">
        <v>46</v>
      </c>
      <c r="K768" t="s">
        <v>28</v>
      </c>
      <c r="L768" t="s">
        <v>313</v>
      </c>
      <c r="M768" t="s">
        <v>314</v>
      </c>
      <c r="N768">
        <v>0</v>
      </c>
      <c r="O768" t="str">
        <f>IF(Transactions_RAW_cleaned[[#This Row],[Status]]="Completed", IFERROR(_xlfn.XLOOKUP(Transactions_RAW_cleaned[[#This Row],[CustomerID]], Customers_cleaned[CustomerID], Customers_cleaned[Segment]), "Customer Not Found"), "N/A")</f>
        <v>SMB</v>
      </c>
      <c r="P768" s="5" t="str">
        <f>IF(Transactions_RAW_cleaned[[#This Row],[Status]]="Refunded", "Refund",
  IF(Transactions_RAW_cleaned[[#This Row],[Category]]="Payments", IF(Transactions_RAW_cleaned[[#This Row],[Amount]]&gt;500,"High Value","Standard"),
    IF(Transactions_RAW_cleaned[[#This Row],[Amount]]&gt;250,"High Value","Standard")))</f>
        <v>High Value</v>
      </c>
      <c r="Q768" s="5" t="str">
        <f>IF(Transactions_RAW_cleaned[[#This Row],[Amount]] &gt; (_xlfn.XLOOKUP(Transactions_RAW_cleaned[[#This Row],[ServiceID]],Services_cleaned[ServiceID],Services_cleaned[TransactionFeePct]) * 10000), "Yes", "No")</f>
        <v>Yes</v>
      </c>
      <c r="R768" s="5" t="str">
        <f>IF(COUNTIFS($C$2:Transactions_RAW_cleaned[[#This Row],[CustomerID]],Transactions_RAW_cleaned[[#This Row],[CustomerID]],$D$2:Transactions_RAW_cleaned[[#This Row],[ServiceID]],Transactions_RAW_cleaned[[#This Row],[ServiceID]])=1,"Yes","No")</f>
        <v>No</v>
      </c>
      <c r="S76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68" t="str">
        <f>"Q"&amp;ROUNDUP(MONTH(Transactions_RAW_cleaned[[#This Row],[TransactionDate]])/3,0)</f>
        <v>Q3</v>
      </c>
      <c r="U768" t="str">
        <f>Transactions_RAW_cleaned[[#This Row],[Region ]]&amp;Transactions_RAW_cleaned[[#This Row],[Quarter ]]</f>
        <v>APACQ3</v>
      </c>
      <c r="V768" s="5">
        <f>_xlfn.XLOOKUP(Transactions_RAW_cleaned[[#This Row],[RegionQuarterKey]], Quarterly_Targets_cleaned[RegionQuarterKey], Quarterly_Targets_cleaned[TargetRevenue])</f>
        <v>115500</v>
      </c>
    </row>
    <row r="769" spans="1:22" x14ac:dyDescent="0.25">
      <c r="A769" t="s">
        <v>1104</v>
      </c>
      <c r="B769" s="1">
        <v>45597</v>
      </c>
      <c r="C769" t="s">
        <v>115</v>
      </c>
      <c r="D769" t="s">
        <v>309</v>
      </c>
      <c r="E769">
        <v>330.76</v>
      </c>
      <c r="F769" t="s">
        <v>324</v>
      </c>
      <c r="G769" t="s">
        <v>327</v>
      </c>
      <c r="H769" t="s">
        <v>346</v>
      </c>
      <c r="I769" t="s">
        <v>17</v>
      </c>
      <c r="J769" t="s">
        <v>102</v>
      </c>
      <c r="K769" t="s">
        <v>32</v>
      </c>
      <c r="L769" t="s">
        <v>310</v>
      </c>
      <c r="M769" t="s">
        <v>311</v>
      </c>
      <c r="N769">
        <v>0</v>
      </c>
      <c r="O769" t="str">
        <f>IF(Transactions_RAW_cleaned[[#This Row],[Status]]="Completed", IFERROR(_xlfn.XLOOKUP(Transactions_RAW_cleaned[[#This Row],[CustomerID]], Customers_cleaned[CustomerID], Customers_cleaned[Segment]), "Customer Not Found"), "N/A")</f>
        <v>Enterprise</v>
      </c>
      <c r="P769" s="5" t="str">
        <f>IF(Transactions_RAW_cleaned[[#This Row],[Status]]="Refunded", "Refund",
  IF(Transactions_RAW_cleaned[[#This Row],[Category]]="Payments", IF(Transactions_RAW_cleaned[[#This Row],[Amount]]&gt;500,"High Value","Standard"),
    IF(Transactions_RAW_cleaned[[#This Row],[Amount]]&gt;250,"High Value","Standard")))</f>
        <v>High Value</v>
      </c>
      <c r="Q769" s="5" t="str">
        <f>IF(Transactions_RAW_cleaned[[#This Row],[Amount]] &gt; (_xlfn.XLOOKUP(Transactions_RAW_cleaned[[#This Row],[ServiceID]],Services_cleaned[ServiceID],Services_cleaned[TransactionFeePct]) * 10000), "Yes", "No")</f>
        <v>Yes</v>
      </c>
      <c r="R769" s="5" t="str">
        <f>IF(COUNTIFS($C$2:Transactions_RAW_cleaned[[#This Row],[CustomerID]],Transactions_RAW_cleaned[[#This Row],[CustomerID]],$D$2:Transactions_RAW_cleaned[[#This Row],[ServiceID]],Transactions_RAW_cleaned[[#This Row],[ServiceID]])=1,"Yes","No")</f>
        <v>Yes</v>
      </c>
      <c r="S76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69" t="str">
        <f>"Q"&amp;ROUNDUP(MONTH(Transactions_RAW_cleaned[[#This Row],[TransactionDate]])/3,0)</f>
        <v>Q4</v>
      </c>
      <c r="U769" t="str">
        <f>Transactions_RAW_cleaned[[#This Row],[Region ]]&amp;Transactions_RAW_cleaned[[#This Row],[Quarter ]]</f>
        <v>NAQ4</v>
      </c>
      <c r="V769" s="5">
        <f>_xlfn.XLOOKUP(Transactions_RAW_cleaned[[#This Row],[RegionQuarterKey]], Quarterly_Targets_cleaned[RegionQuarterKey], Quarterly_Targets_cleaned[TargetRevenue])</f>
        <v>299000</v>
      </c>
    </row>
    <row r="770" spans="1:22" x14ac:dyDescent="0.25">
      <c r="A770" t="s">
        <v>1105</v>
      </c>
      <c r="B770" s="1">
        <v>45539</v>
      </c>
      <c r="C770" t="s">
        <v>141</v>
      </c>
      <c r="D770" t="s">
        <v>303</v>
      </c>
      <c r="E770">
        <v>400.94</v>
      </c>
      <c r="F770" t="s">
        <v>324</v>
      </c>
      <c r="G770" t="s">
        <v>337</v>
      </c>
      <c r="I770" t="s">
        <v>57</v>
      </c>
      <c r="J770" t="s">
        <v>25</v>
      </c>
      <c r="K770" t="s">
        <v>10</v>
      </c>
      <c r="L770" t="s">
        <v>304</v>
      </c>
      <c r="M770" t="s">
        <v>305</v>
      </c>
      <c r="N770">
        <v>1E-3</v>
      </c>
      <c r="O770" t="str">
        <f>IF(Transactions_RAW_cleaned[[#This Row],[Status]]="Completed", IFERROR(_xlfn.XLOOKUP(Transactions_RAW_cleaned[[#This Row],[CustomerID]], Customers_cleaned[CustomerID], Customers_cleaned[Segment]), "Customer Not Found"), "N/A")</f>
        <v>Startup</v>
      </c>
      <c r="P770" s="5" t="str">
        <f>IF(Transactions_RAW_cleaned[[#This Row],[Status]]="Refunded", "Refund",
  IF(Transactions_RAW_cleaned[[#This Row],[Category]]="Payments", IF(Transactions_RAW_cleaned[[#This Row],[Amount]]&gt;500,"High Value","Standard"),
    IF(Transactions_RAW_cleaned[[#This Row],[Amount]]&gt;250,"High Value","Standard")))</f>
        <v>High Value</v>
      </c>
      <c r="Q770" s="5" t="str">
        <f>IF(Transactions_RAW_cleaned[[#This Row],[Amount]] &gt; (_xlfn.XLOOKUP(Transactions_RAW_cleaned[[#This Row],[ServiceID]],Services_cleaned[ServiceID],Services_cleaned[TransactionFeePct]) * 10000), "Yes", "No")</f>
        <v>Yes</v>
      </c>
      <c r="R770" s="5" t="str">
        <f>IF(COUNTIFS($C$2:Transactions_RAW_cleaned[[#This Row],[CustomerID]],Transactions_RAW_cleaned[[#This Row],[CustomerID]],$D$2:Transactions_RAW_cleaned[[#This Row],[ServiceID]],Transactions_RAW_cleaned[[#This Row],[ServiceID]])=1,"Yes","No")</f>
        <v>Yes</v>
      </c>
      <c r="S77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70" t="str">
        <f>"Q"&amp;ROUNDUP(MONTH(Transactions_RAW_cleaned[[#This Row],[TransactionDate]])/3,0)</f>
        <v>Q3</v>
      </c>
      <c r="U770" t="str">
        <f>Transactions_RAW_cleaned[[#This Row],[Region ]]&amp;Transactions_RAW_cleaned[[#This Row],[Quarter ]]</f>
        <v>APACQ3</v>
      </c>
      <c r="V770" s="5">
        <f>_xlfn.XLOOKUP(Transactions_RAW_cleaned[[#This Row],[RegionQuarterKey]], Quarterly_Targets_cleaned[RegionQuarterKey], Quarterly_Targets_cleaned[TargetRevenue])</f>
        <v>115500</v>
      </c>
    </row>
    <row r="771" spans="1:22" x14ac:dyDescent="0.25">
      <c r="A771" t="s">
        <v>1106</v>
      </c>
      <c r="B771" s="1">
        <v>45383</v>
      </c>
      <c r="C771" t="s">
        <v>215</v>
      </c>
      <c r="D771" t="s">
        <v>297</v>
      </c>
      <c r="E771">
        <v>-281.81</v>
      </c>
      <c r="F771" t="s">
        <v>349</v>
      </c>
      <c r="G771" t="s">
        <v>337</v>
      </c>
      <c r="H771" t="s">
        <v>334</v>
      </c>
      <c r="I771" t="s">
        <v>57</v>
      </c>
      <c r="J771" t="s">
        <v>102</v>
      </c>
      <c r="K771" t="s">
        <v>14</v>
      </c>
      <c r="L771" t="s">
        <v>298</v>
      </c>
      <c r="M771" t="s">
        <v>299</v>
      </c>
      <c r="N771">
        <v>0</v>
      </c>
      <c r="O771" t="str">
        <f>IF(Transactions_RAW_cleaned[[#This Row],[Status]]="Completed", IFERROR(_xlfn.XLOOKUP(Transactions_RAW_cleaned[[#This Row],[CustomerID]], Customers_cleaned[CustomerID], Customers_cleaned[Segment]), "Customer Not Found"), "N/A")</f>
        <v>N/A</v>
      </c>
      <c r="P771" s="5" t="str">
        <f>IF(Transactions_RAW_cleaned[[#This Row],[Status]]="Refunded", "Refund",
  IF(Transactions_RAW_cleaned[[#This Row],[Category]]="Payments", IF(Transactions_RAW_cleaned[[#This Row],[Amount]]&gt;500,"High Value","Standard"),
    IF(Transactions_RAW_cleaned[[#This Row],[Amount]]&gt;250,"High Value","Standard")))</f>
        <v>Refund</v>
      </c>
      <c r="Q771" s="5" t="str">
        <f>IF(Transactions_RAW_cleaned[[#This Row],[Amount]] &gt; (_xlfn.XLOOKUP(Transactions_RAW_cleaned[[#This Row],[ServiceID]],Services_cleaned[ServiceID],Services_cleaned[TransactionFeePct]) * 10000), "Yes", "No")</f>
        <v>No</v>
      </c>
      <c r="R771" s="5" t="str">
        <f>IF(COUNTIFS($C$2:Transactions_RAW_cleaned[[#This Row],[CustomerID]],Transactions_RAW_cleaned[[#This Row],[CustomerID]],$D$2:Transactions_RAW_cleaned[[#This Row],[ServiceID]],Transactions_RAW_cleaned[[#This Row],[ServiceID]])=1,"Yes","No")</f>
        <v>No</v>
      </c>
      <c r="S77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71" t="str">
        <f>"Q"&amp;ROUNDUP(MONTH(Transactions_RAW_cleaned[[#This Row],[TransactionDate]])/3,0)</f>
        <v>Q2</v>
      </c>
      <c r="U771" t="str">
        <f>Transactions_RAW_cleaned[[#This Row],[Region ]]&amp;Transactions_RAW_cleaned[[#This Row],[Quarter ]]</f>
        <v>NAQ2</v>
      </c>
      <c r="V771" s="5">
        <f>_xlfn.XLOOKUP(Transactions_RAW_cleaned[[#This Row],[RegionQuarterKey]], Quarterly_Targets_cleaned[RegionQuarterKey], Quarterly_Targets_cleaned[TargetRevenue])</f>
        <v>260000</v>
      </c>
    </row>
    <row r="772" spans="1:22" x14ac:dyDescent="0.25">
      <c r="A772" t="s">
        <v>1107</v>
      </c>
      <c r="B772" s="1">
        <v>45347</v>
      </c>
      <c r="C772" t="s">
        <v>213</v>
      </c>
      <c r="D772" t="s">
        <v>294</v>
      </c>
      <c r="E772">
        <v>882.47</v>
      </c>
      <c r="F772" t="s">
        <v>324</v>
      </c>
      <c r="G772" t="s">
        <v>2963</v>
      </c>
      <c r="H772" t="s">
        <v>332</v>
      </c>
      <c r="I772" t="s">
        <v>17</v>
      </c>
      <c r="J772" t="s">
        <v>25</v>
      </c>
      <c r="K772" t="s">
        <v>14</v>
      </c>
      <c r="L772" t="s">
        <v>295</v>
      </c>
      <c r="M772" t="s">
        <v>296</v>
      </c>
      <c r="N772">
        <v>2.9000000000000001E-2</v>
      </c>
      <c r="O772" t="str">
        <f>IF(Transactions_RAW_cleaned[[#This Row],[Status]]="Completed", IFERROR(_xlfn.XLOOKUP(Transactions_RAW_cleaned[[#This Row],[CustomerID]], Customers_cleaned[CustomerID], Customers_cleaned[Segment]), "Customer Not Found"), "N/A")</f>
        <v>Enterprise</v>
      </c>
      <c r="P772" s="5" t="str">
        <f>IF(Transactions_RAW_cleaned[[#This Row],[Status]]="Refunded", "Refund",
  IF(Transactions_RAW_cleaned[[#This Row],[Category]]="Payments", IF(Transactions_RAW_cleaned[[#This Row],[Amount]]&gt;500,"High Value","Standard"),
    IF(Transactions_RAW_cleaned[[#This Row],[Amount]]&gt;250,"High Value","Standard")))</f>
        <v>High Value</v>
      </c>
      <c r="Q772" s="5" t="str">
        <f>IF(Transactions_RAW_cleaned[[#This Row],[Amount]] &gt; (_xlfn.XLOOKUP(Transactions_RAW_cleaned[[#This Row],[ServiceID]],Services_cleaned[ServiceID],Services_cleaned[TransactionFeePct]) * 10000), "Yes", "No")</f>
        <v>Yes</v>
      </c>
      <c r="R772" s="5" t="str">
        <f>IF(COUNTIFS($C$2:Transactions_RAW_cleaned[[#This Row],[CustomerID]],Transactions_RAW_cleaned[[#This Row],[CustomerID]],$D$2:Transactions_RAW_cleaned[[#This Row],[ServiceID]],Transactions_RAW_cleaned[[#This Row],[ServiceID]])=1,"Yes","No")</f>
        <v>No</v>
      </c>
      <c r="S77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72" t="str">
        <f>"Q"&amp;ROUNDUP(MONTH(Transactions_RAW_cleaned[[#This Row],[TransactionDate]])/3,0)</f>
        <v>Q1</v>
      </c>
      <c r="U772" t="str">
        <f>Transactions_RAW_cleaned[[#This Row],[Region ]]&amp;Transactions_RAW_cleaned[[#This Row],[Quarter ]]</f>
        <v>APACQ1</v>
      </c>
      <c r="V772" s="5">
        <f>_xlfn.XLOOKUP(Transactions_RAW_cleaned[[#This Row],[RegionQuarterKey]], Quarterly_Targets_cleaned[RegionQuarterKey], Quarterly_Targets_cleaned[TargetRevenue])</f>
        <v>104500</v>
      </c>
    </row>
    <row r="773" spans="1:22" x14ac:dyDescent="0.25">
      <c r="A773" t="s">
        <v>1108</v>
      </c>
      <c r="B773" s="1">
        <v>45453</v>
      </c>
      <c r="C773" t="s">
        <v>265</v>
      </c>
      <c r="D773" t="s">
        <v>294</v>
      </c>
      <c r="E773">
        <v>134.38999999999999</v>
      </c>
      <c r="F773" t="s">
        <v>324</v>
      </c>
      <c r="G773" t="s">
        <v>2963</v>
      </c>
      <c r="I773" t="s">
        <v>8</v>
      </c>
      <c r="J773" t="s">
        <v>102</v>
      </c>
      <c r="K773" t="s">
        <v>32</v>
      </c>
      <c r="L773" t="s">
        <v>295</v>
      </c>
      <c r="M773" t="s">
        <v>296</v>
      </c>
      <c r="N773">
        <v>2.9000000000000001E-2</v>
      </c>
      <c r="O773" t="str">
        <f>IF(Transactions_RAW_cleaned[[#This Row],[Status]]="Completed", IFERROR(_xlfn.XLOOKUP(Transactions_RAW_cleaned[[#This Row],[CustomerID]], Customers_cleaned[CustomerID], Customers_cleaned[Segment]), "Customer Not Found"), "N/A")</f>
        <v>SMB</v>
      </c>
      <c r="P773" s="5" t="str">
        <f>IF(Transactions_RAW_cleaned[[#This Row],[Status]]="Refunded", "Refund",
  IF(Transactions_RAW_cleaned[[#This Row],[Category]]="Payments", IF(Transactions_RAW_cleaned[[#This Row],[Amount]]&gt;500,"High Value","Standard"),
    IF(Transactions_RAW_cleaned[[#This Row],[Amount]]&gt;250,"High Value","Standard")))</f>
        <v>Standard</v>
      </c>
      <c r="Q773" s="5" t="str">
        <f>IF(Transactions_RAW_cleaned[[#This Row],[Amount]] &gt; (_xlfn.XLOOKUP(Transactions_RAW_cleaned[[#This Row],[ServiceID]],Services_cleaned[ServiceID],Services_cleaned[TransactionFeePct]) * 10000), "Yes", "No")</f>
        <v>No</v>
      </c>
      <c r="R773" s="5" t="str">
        <f>IF(COUNTIFS($C$2:Transactions_RAW_cleaned[[#This Row],[CustomerID]],Transactions_RAW_cleaned[[#This Row],[CustomerID]],$D$2:Transactions_RAW_cleaned[[#This Row],[ServiceID]],Transactions_RAW_cleaned[[#This Row],[ServiceID]])=1,"Yes","No")</f>
        <v>No</v>
      </c>
      <c r="S77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73" t="str">
        <f>"Q"&amp;ROUNDUP(MONTH(Transactions_RAW_cleaned[[#This Row],[TransactionDate]])/3,0)</f>
        <v>Q2</v>
      </c>
      <c r="U773" t="str">
        <f>Transactions_RAW_cleaned[[#This Row],[Region ]]&amp;Transactions_RAW_cleaned[[#This Row],[Quarter ]]</f>
        <v>NAQ2</v>
      </c>
      <c r="V773" s="5">
        <f>_xlfn.XLOOKUP(Transactions_RAW_cleaned[[#This Row],[RegionQuarterKey]], Quarterly_Targets_cleaned[RegionQuarterKey], Quarterly_Targets_cleaned[TargetRevenue])</f>
        <v>260000</v>
      </c>
    </row>
    <row r="774" spans="1:22" x14ac:dyDescent="0.25">
      <c r="A774" t="s">
        <v>1109</v>
      </c>
      <c r="B774" s="1">
        <v>45584</v>
      </c>
      <c r="C774" t="s">
        <v>215</v>
      </c>
      <c r="D774" t="s">
        <v>294</v>
      </c>
      <c r="E774">
        <v>416.91</v>
      </c>
      <c r="F774" t="s">
        <v>324</v>
      </c>
      <c r="G774" t="s">
        <v>325</v>
      </c>
      <c r="I774" t="s">
        <v>57</v>
      </c>
      <c r="J774" t="s">
        <v>102</v>
      </c>
      <c r="K774" t="s">
        <v>14</v>
      </c>
      <c r="L774" t="s">
        <v>295</v>
      </c>
      <c r="M774" t="s">
        <v>296</v>
      </c>
      <c r="N774">
        <v>2.9000000000000001E-2</v>
      </c>
      <c r="O774" t="str">
        <f>IF(Transactions_RAW_cleaned[[#This Row],[Status]]="Completed", IFERROR(_xlfn.XLOOKUP(Transactions_RAW_cleaned[[#This Row],[CustomerID]], Customers_cleaned[CustomerID], Customers_cleaned[Segment]), "Customer Not Found"), "N/A")</f>
        <v>Startup</v>
      </c>
      <c r="P774" s="5" t="str">
        <f>IF(Transactions_RAW_cleaned[[#This Row],[Status]]="Refunded", "Refund",
  IF(Transactions_RAW_cleaned[[#This Row],[Category]]="Payments", IF(Transactions_RAW_cleaned[[#This Row],[Amount]]&gt;500,"High Value","Standard"),
    IF(Transactions_RAW_cleaned[[#This Row],[Amount]]&gt;250,"High Value","Standard")))</f>
        <v>Standard</v>
      </c>
      <c r="Q774" s="5" t="str">
        <f>IF(Transactions_RAW_cleaned[[#This Row],[Amount]] &gt; (_xlfn.XLOOKUP(Transactions_RAW_cleaned[[#This Row],[ServiceID]],Services_cleaned[ServiceID],Services_cleaned[TransactionFeePct]) * 10000), "Yes", "No")</f>
        <v>Yes</v>
      </c>
      <c r="R774" s="5" t="str">
        <f>IF(COUNTIFS($C$2:Transactions_RAW_cleaned[[#This Row],[CustomerID]],Transactions_RAW_cleaned[[#This Row],[CustomerID]],$D$2:Transactions_RAW_cleaned[[#This Row],[ServiceID]],Transactions_RAW_cleaned[[#This Row],[ServiceID]])=1,"Yes","No")</f>
        <v>Yes</v>
      </c>
      <c r="S77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74" t="str">
        <f>"Q"&amp;ROUNDUP(MONTH(Transactions_RAW_cleaned[[#This Row],[TransactionDate]])/3,0)</f>
        <v>Q4</v>
      </c>
      <c r="U774" t="str">
        <f>Transactions_RAW_cleaned[[#This Row],[Region ]]&amp;Transactions_RAW_cleaned[[#This Row],[Quarter ]]</f>
        <v>NAQ4</v>
      </c>
      <c r="V774" s="5">
        <f>_xlfn.XLOOKUP(Transactions_RAW_cleaned[[#This Row],[RegionQuarterKey]], Quarterly_Targets_cleaned[RegionQuarterKey], Quarterly_Targets_cleaned[TargetRevenue])</f>
        <v>299000</v>
      </c>
    </row>
    <row r="775" spans="1:22" x14ac:dyDescent="0.25">
      <c r="A775" t="s">
        <v>1110</v>
      </c>
      <c r="B775" s="1">
        <v>45583</v>
      </c>
      <c r="C775" t="s">
        <v>155</v>
      </c>
      <c r="D775" t="s">
        <v>303</v>
      </c>
      <c r="E775">
        <v>694.15</v>
      </c>
      <c r="F775" t="s">
        <v>324</v>
      </c>
      <c r="G775" t="s">
        <v>327</v>
      </c>
      <c r="H775" t="s">
        <v>334</v>
      </c>
      <c r="I775" t="s">
        <v>8</v>
      </c>
      <c r="J775" t="s">
        <v>46</v>
      </c>
      <c r="K775" t="s">
        <v>22</v>
      </c>
      <c r="L775" t="s">
        <v>304</v>
      </c>
      <c r="M775" t="s">
        <v>305</v>
      </c>
      <c r="N775">
        <v>1E-3</v>
      </c>
      <c r="O775" t="str">
        <f>IF(Transactions_RAW_cleaned[[#This Row],[Status]]="Completed", IFERROR(_xlfn.XLOOKUP(Transactions_RAW_cleaned[[#This Row],[CustomerID]], Customers_cleaned[CustomerID], Customers_cleaned[Segment]), "Customer Not Found"), "N/A")</f>
        <v>SMB</v>
      </c>
      <c r="P775" s="5" t="str">
        <f>IF(Transactions_RAW_cleaned[[#This Row],[Status]]="Refunded", "Refund",
  IF(Transactions_RAW_cleaned[[#This Row],[Category]]="Payments", IF(Transactions_RAW_cleaned[[#This Row],[Amount]]&gt;500,"High Value","Standard"),
    IF(Transactions_RAW_cleaned[[#This Row],[Amount]]&gt;250,"High Value","Standard")))</f>
        <v>High Value</v>
      </c>
      <c r="Q775" s="5" t="str">
        <f>IF(Transactions_RAW_cleaned[[#This Row],[Amount]] &gt; (_xlfn.XLOOKUP(Transactions_RAW_cleaned[[#This Row],[ServiceID]],Services_cleaned[ServiceID],Services_cleaned[TransactionFeePct]) * 10000), "Yes", "No")</f>
        <v>Yes</v>
      </c>
      <c r="R775" s="5" t="str">
        <f>IF(COUNTIFS($C$2:Transactions_RAW_cleaned[[#This Row],[CustomerID]],Transactions_RAW_cleaned[[#This Row],[CustomerID]],$D$2:Transactions_RAW_cleaned[[#This Row],[ServiceID]],Transactions_RAW_cleaned[[#This Row],[ServiceID]])=1,"Yes","No")</f>
        <v>No</v>
      </c>
      <c r="S77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75" t="str">
        <f>"Q"&amp;ROUNDUP(MONTH(Transactions_RAW_cleaned[[#This Row],[TransactionDate]])/3,0)</f>
        <v>Q4</v>
      </c>
      <c r="U775" t="str">
        <f>Transactions_RAW_cleaned[[#This Row],[Region ]]&amp;Transactions_RAW_cleaned[[#This Row],[Quarter ]]</f>
        <v>APACQ4</v>
      </c>
      <c r="V775" s="5">
        <f>_xlfn.XLOOKUP(Transactions_RAW_cleaned[[#This Row],[RegionQuarterKey]], Quarterly_Targets_cleaned[RegionQuarterKey], Quarterly_Targets_cleaned[TargetRevenue])</f>
        <v>126500</v>
      </c>
    </row>
    <row r="776" spans="1:22" x14ac:dyDescent="0.25">
      <c r="A776" t="s">
        <v>1111</v>
      </c>
      <c r="B776" s="1">
        <v>45543</v>
      </c>
      <c r="C776" t="s">
        <v>80</v>
      </c>
      <c r="D776" t="s">
        <v>306</v>
      </c>
      <c r="E776">
        <v>224.5</v>
      </c>
      <c r="F776" t="s">
        <v>324</v>
      </c>
      <c r="G776" t="s">
        <v>337</v>
      </c>
      <c r="I776" t="s">
        <v>8</v>
      </c>
      <c r="J776" t="s">
        <v>13</v>
      </c>
      <c r="K776" t="s">
        <v>32</v>
      </c>
      <c r="L776" t="s">
        <v>307</v>
      </c>
      <c r="M776" t="s">
        <v>308</v>
      </c>
      <c r="N776">
        <v>0</v>
      </c>
      <c r="O776" t="str">
        <f>IF(Transactions_RAW_cleaned[[#This Row],[Status]]="Completed", IFERROR(_xlfn.XLOOKUP(Transactions_RAW_cleaned[[#This Row],[CustomerID]], Customers_cleaned[CustomerID], Customers_cleaned[Segment]), "Customer Not Found"), "N/A")</f>
        <v>SMB</v>
      </c>
      <c r="P776" s="5" t="str">
        <f>IF(Transactions_RAW_cleaned[[#This Row],[Status]]="Refunded", "Refund",
  IF(Transactions_RAW_cleaned[[#This Row],[Category]]="Payments", IF(Transactions_RAW_cleaned[[#This Row],[Amount]]&gt;500,"High Value","Standard"),
    IF(Transactions_RAW_cleaned[[#This Row],[Amount]]&gt;250,"High Value","Standard")))</f>
        <v>Standard</v>
      </c>
      <c r="Q776" s="5" t="str">
        <f>IF(Transactions_RAW_cleaned[[#This Row],[Amount]] &gt; (_xlfn.XLOOKUP(Transactions_RAW_cleaned[[#This Row],[ServiceID]],Services_cleaned[ServiceID],Services_cleaned[TransactionFeePct]) * 10000), "Yes", "No")</f>
        <v>Yes</v>
      </c>
      <c r="R776" s="5" t="str">
        <f>IF(COUNTIFS($C$2:Transactions_RAW_cleaned[[#This Row],[CustomerID]],Transactions_RAW_cleaned[[#This Row],[CustomerID]],$D$2:Transactions_RAW_cleaned[[#This Row],[ServiceID]],Transactions_RAW_cleaned[[#This Row],[ServiceID]])=1,"Yes","No")</f>
        <v>Yes</v>
      </c>
      <c r="S77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76" t="str">
        <f>"Q"&amp;ROUNDUP(MONTH(Transactions_RAW_cleaned[[#This Row],[TransactionDate]])/3,0)</f>
        <v>Q3</v>
      </c>
      <c r="U776" t="str">
        <f>Transactions_RAW_cleaned[[#This Row],[Region ]]&amp;Transactions_RAW_cleaned[[#This Row],[Quarter ]]</f>
        <v>NAQ3</v>
      </c>
      <c r="V776" s="5">
        <f>_xlfn.XLOOKUP(Transactions_RAW_cleaned[[#This Row],[RegionQuarterKey]], Quarterly_Targets_cleaned[RegionQuarterKey], Quarterly_Targets_cleaned[TargetRevenue])</f>
        <v>273000</v>
      </c>
    </row>
    <row r="777" spans="1:22" x14ac:dyDescent="0.25">
      <c r="A777" t="s">
        <v>1112</v>
      </c>
      <c r="B777" s="1">
        <v>45489</v>
      </c>
      <c r="C777" t="s">
        <v>55</v>
      </c>
      <c r="D777" t="s">
        <v>294</v>
      </c>
      <c r="E777">
        <v>549.07000000000005</v>
      </c>
      <c r="F777" t="s">
        <v>324</v>
      </c>
      <c r="G777" t="s">
        <v>327</v>
      </c>
      <c r="I777" t="s">
        <v>57</v>
      </c>
      <c r="J777" t="s">
        <v>31</v>
      </c>
      <c r="K777" t="s">
        <v>22</v>
      </c>
      <c r="L777" t="s">
        <v>295</v>
      </c>
      <c r="M777" t="s">
        <v>296</v>
      </c>
      <c r="N777">
        <v>2.9000000000000001E-2</v>
      </c>
      <c r="O777" t="str">
        <f>IF(Transactions_RAW_cleaned[[#This Row],[Status]]="Completed", IFERROR(_xlfn.XLOOKUP(Transactions_RAW_cleaned[[#This Row],[CustomerID]], Customers_cleaned[CustomerID], Customers_cleaned[Segment]), "Customer Not Found"), "N/A")</f>
        <v>Startup</v>
      </c>
      <c r="P777" s="5" t="str">
        <f>IF(Transactions_RAW_cleaned[[#This Row],[Status]]="Refunded", "Refund",
  IF(Transactions_RAW_cleaned[[#This Row],[Category]]="Payments", IF(Transactions_RAW_cleaned[[#This Row],[Amount]]&gt;500,"High Value","Standard"),
    IF(Transactions_RAW_cleaned[[#This Row],[Amount]]&gt;250,"High Value","Standard")))</f>
        <v>High Value</v>
      </c>
      <c r="Q777" s="5" t="str">
        <f>IF(Transactions_RAW_cleaned[[#This Row],[Amount]] &gt; (_xlfn.XLOOKUP(Transactions_RAW_cleaned[[#This Row],[ServiceID]],Services_cleaned[ServiceID],Services_cleaned[TransactionFeePct]) * 10000), "Yes", "No")</f>
        <v>Yes</v>
      </c>
      <c r="R777" s="5" t="str">
        <f>IF(COUNTIFS($C$2:Transactions_RAW_cleaned[[#This Row],[CustomerID]],Transactions_RAW_cleaned[[#This Row],[CustomerID]],$D$2:Transactions_RAW_cleaned[[#This Row],[ServiceID]],Transactions_RAW_cleaned[[#This Row],[ServiceID]])=1,"Yes","No")</f>
        <v>No</v>
      </c>
      <c r="S77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77" t="str">
        <f>"Q"&amp;ROUNDUP(MONTH(Transactions_RAW_cleaned[[#This Row],[TransactionDate]])/3,0)</f>
        <v>Q3</v>
      </c>
      <c r="U777" t="str">
        <f>Transactions_RAW_cleaned[[#This Row],[Region ]]&amp;Transactions_RAW_cleaned[[#This Row],[Quarter ]]</f>
        <v>EMEAQ3</v>
      </c>
      <c r="V777" s="5">
        <f>_xlfn.XLOOKUP(Transactions_RAW_cleaned[[#This Row],[RegionQuarterKey]], Quarterly_Targets_cleaned[RegionQuarterKey], Quarterly_Targets_cleaned[TargetRevenue])</f>
        <v>147000</v>
      </c>
    </row>
    <row r="778" spans="1:22" x14ac:dyDescent="0.25">
      <c r="A778" t="s">
        <v>1113</v>
      </c>
      <c r="B778" s="1">
        <v>45413</v>
      </c>
      <c r="C778" t="s">
        <v>213</v>
      </c>
      <c r="D778" t="s">
        <v>300</v>
      </c>
      <c r="E778">
        <v>291.3</v>
      </c>
      <c r="F778" t="s">
        <v>324</v>
      </c>
      <c r="G778" t="s">
        <v>337</v>
      </c>
      <c r="I778" t="s">
        <v>17</v>
      </c>
      <c r="J778" t="s">
        <v>25</v>
      </c>
      <c r="K778" t="s">
        <v>14</v>
      </c>
      <c r="L778" t="s">
        <v>301</v>
      </c>
      <c r="M778" t="s">
        <v>302</v>
      </c>
      <c r="N778">
        <v>5.0000000000000001E-3</v>
      </c>
      <c r="O778" t="str">
        <f>IF(Transactions_RAW_cleaned[[#This Row],[Status]]="Completed", IFERROR(_xlfn.XLOOKUP(Transactions_RAW_cleaned[[#This Row],[CustomerID]], Customers_cleaned[CustomerID], Customers_cleaned[Segment]), "Customer Not Found"), "N/A")</f>
        <v>Enterprise</v>
      </c>
      <c r="P778" s="5" t="str">
        <f>IF(Transactions_RAW_cleaned[[#This Row],[Status]]="Refunded", "Refund",
  IF(Transactions_RAW_cleaned[[#This Row],[Category]]="Payments", IF(Transactions_RAW_cleaned[[#This Row],[Amount]]&gt;500,"High Value","Standard"),
    IF(Transactions_RAW_cleaned[[#This Row],[Amount]]&gt;250,"High Value","Standard")))</f>
        <v>High Value</v>
      </c>
      <c r="Q778" s="5" t="str">
        <f>IF(Transactions_RAW_cleaned[[#This Row],[Amount]] &gt; (_xlfn.XLOOKUP(Transactions_RAW_cleaned[[#This Row],[ServiceID]],Services_cleaned[ServiceID],Services_cleaned[TransactionFeePct]) * 10000), "Yes", "No")</f>
        <v>Yes</v>
      </c>
      <c r="R778" s="5" t="str">
        <f>IF(COUNTIFS($C$2:Transactions_RAW_cleaned[[#This Row],[CustomerID]],Transactions_RAW_cleaned[[#This Row],[CustomerID]],$D$2:Transactions_RAW_cleaned[[#This Row],[ServiceID]],Transactions_RAW_cleaned[[#This Row],[ServiceID]])=1,"Yes","No")</f>
        <v>Yes</v>
      </c>
      <c r="S77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78" t="str">
        <f>"Q"&amp;ROUNDUP(MONTH(Transactions_RAW_cleaned[[#This Row],[TransactionDate]])/3,0)</f>
        <v>Q2</v>
      </c>
      <c r="U778" t="str">
        <f>Transactions_RAW_cleaned[[#This Row],[Region ]]&amp;Transactions_RAW_cleaned[[#This Row],[Quarter ]]</f>
        <v>APACQ2</v>
      </c>
      <c r="V778" s="5">
        <f>_xlfn.XLOOKUP(Transactions_RAW_cleaned[[#This Row],[RegionQuarterKey]], Quarterly_Targets_cleaned[RegionQuarterKey], Quarterly_Targets_cleaned[TargetRevenue])</f>
        <v>110000</v>
      </c>
    </row>
    <row r="779" spans="1:22" x14ac:dyDescent="0.25">
      <c r="A779" t="s">
        <v>1114</v>
      </c>
      <c r="B779" s="1">
        <v>45305</v>
      </c>
      <c r="C779" t="s">
        <v>153</v>
      </c>
      <c r="D779" t="s">
        <v>303</v>
      </c>
      <c r="E779">
        <v>646.67999999999995</v>
      </c>
      <c r="F779" t="s">
        <v>324</v>
      </c>
      <c r="G779" t="s">
        <v>325</v>
      </c>
      <c r="I779" t="s">
        <v>8</v>
      </c>
      <c r="J779" t="s">
        <v>37</v>
      </c>
      <c r="K779" t="s">
        <v>32</v>
      </c>
      <c r="L779" t="s">
        <v>304</v>
      </c>
      <c r="M779" t="s">
        <v>305</v>
      </c>
      <c r="N779">
        <v>1E-3</v>
      </c>
      <c r="O779" t="str">
        <f>IF(Transactions_RAW_cleaned[[#This Row],[Status]]="Completed", IFERROR(_xlfn.XLOOKUP(Transactions_RAW_cleaned[[#This Row],[CustomerID]], Customers_cleaned[CustomerID], Customers_cleaned[Segment]), "Customer Not Found"), "N/A")</f>
        <v>SMB</v>
      </c>
      <c r="P779" s="5" t="str">
        <f>IF(Transactions_RAW_cleaned[[#This Row],[Status]]="Refunded", "Refund",
  IF(Transactions_RAW_cleaned[[#This Row],[Category]]="Payments", IF(Transactions_RAW_cleaned[[#This Row],[Amount]]&gt;500,"High Value","Standard"),
    IF(Transactions_RAW_cleaned[[#This Row],[Amount]]&gt;250,"High Value","Standard")))</f>
        <v>High Value</v>
      </c>
      <c r="Q779" s="5" t="str">
        <f>IF(Transactions_RAW_cleaned[[#This Row],[Amount]] &gt; (_xlfn.XLOOKUP(Transactions_RAW_cleaned[[#This Row],[ServiceID]],Services_cleaned[ServiceID],Services_cleaned[TransactionFeePct]) * 10000), "Yes", "No")</f>
        <v>Yes</v>
      </c>
      <c r="R779" s="5" t="str">
        <f>IF(COUNTIFS($C$2:Transactions_RAW_cleaned[[#This Row],[CustomerID]],Transactions_RAW_cleaned[[#This Row],[CustomerID]],$D$2:Transactions_RAW_cleaned[[#This Row],[ServiceID]],Transactions_RAW_cleaned[[#This Row],[ServiceID]])=1,"Yes","No")</f>
        <v>Yes</v>
      </c>
      <c r="S77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79" t="str">
        <f>"Q"&amp;ROUNDUP(MONTH(Transactions_RAW_cleaned[[#This Row],[TransactionDate]])/3,0)</f>
        <v>Q1</v>
      </c>
      <c r="U779" t="str">
        <f>Transactions_RAW_cleaned[[#This Row],[Region ]]&amp;Transactions_RAW_cleaned[[#This Row],[Quarter ]]</f>
        <v>EMEAQ1</v>
      </c>
      <c r="V779" s="5">
        <f>_xlfn.XLOOKUP(Transactions_RAW_cleaned[[#This Row],[RegionQuarterKey]], Quarterly_Targets_cleaned[RegionQuarterKey], Quarterly_Targets_cleaned[TargetRevenue])</f>
        <v>133000</v>
      </c>
    </row>
    <row r="780" spans="1:22" x14ac:dyDescent="0.25">
      <c r="A780" t="s">
        <v>1115</v>
      </c>
      <c r="B780" s="1">
        <v>45471</v>
      </c>
      <c r="C780" t="s">
        <v>165</v>
      </c>
      <c r="D780" t="s">
        <v>294</v>
      </c>
      <c r="E780">
        <v>145.18</v>
      </c>
      <c r="F780" t="s">
        <v>324</v>
      </c>
      <c r="G780" t="s">
        <v>2963</v>
      </c>
      <c r="I780" t="s">
        <v>8</v>
      </c>
      <c r="J780" t="s">
        <v>31</v>
      </c>
      <c r="K780" t="s">
        <v>32</v>
      </c>
      <c r="L780" t="s">
        <v>295</v>
      </c>
      <c r="M780" t="s">
        <v>296</v>
      </c>
      <c r="N780">
        <v>2.9000000000000001E-2</v>
      </c>
      <c r="O780" t="str">
        <f>IF(Transactions_RAW_cleaned[[#This Row],[Status]]="Completed", IFERROR(_xlfn.XLOOKUP(Transactions_RAW_cleaned[[#This Row],[CustomerID]], Customers_cleaned[CustomerID], Customers_cleaned[Segment]), "Customer Not Found"), "N/A")</f>
        <v>SMB</v>
      </c>
      <c r="P780" s="5" t="str">
        <f>IF(Transactions_RAW_cleaned[[#This Row],[Status]]="Refunded", "Refund",
  IF(Transactions_RAW_cleaned[[#This Row],[Category]]="Payments", IF(Transactions_RAW_cleaned[[#This Row],[Amount]]&gt;500,"High Value","Standard"),
    IF(Transactions_RAW_cleaned[[#This Row],[Amount]]&gt;250,"High Value","Standard")))</f>
        <v>Standard</v>
      </c>
      <c r="Q780" s="5" t="str">
        <f>IF(Transactions_RAW_cleaned[[#This Row],[Amount]] &gt; (_xlfn.XLOOKUP(Transactions_RAW_cleaned[[#This Row],[ServiceID]],Services_cleaned[ServiceID],Services_cleaned[TransactionFeePct]) * 10000), "Yes", "No")</f>
        <v>No</v>
      </c>
      <c r="R780" s="5" t="str">
        <f>IF(COUNTIFS($C$2:Transactions_RAW_cleaned[[#This Row],[CustomerID]],Transactions_RAW_cleaned[[#This Row],[CustomerID]],$D$2:Transactions_RAW_cleaned[[#This Row],[ServiceID]],Transactions_RAW_cleaned[[#This Row],[ServiceID]])=1,"Yes","No")</f>
        <v>No</v>
      </c>
      <c r="S78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80" t="str">
        <f>"Q"&amp;ROUNDUP(MONTH(Transactions_RAW_cleaned[[#This Row],[TransactionDate]])/3,0)</f>
        <v>Q2</v>
      </c>
      <c r="U780" t="str">
        <f>Transactions_RAW_cleaned[[#This Row],[Region ]]&amp;Transactions_RAW_cleaned[[#This Row],[Quarter ]]</f>
        <v>EMEAQ2</v>
      </c>
      <c r="V780" s="5">
        <f>_xlfn.XLOOKUP(Transactions_RAW_cleaned[[#This Row],[RegionQuarterKey]], Quarterly_Targets_cleaned[RegionQuarterKey], Quarterly_Targets_cleaned[TargetRevenue])</f>
        <v>140000</v>
      </c>
    </row>
    <row r="781" spans="1:22" x14ac:dyDescent="0.25">
      <c r="A781" t="s">
        <v>1116</v>
      </c>
      <c r="B781" s="1">
        <v>45353</v>
      </c>
      <c r="C781" t="s">
        <v>241</v>
      </c>
      <c r="D781" t="s">
        <v>297</v>
      </c>
      <c r="E781">
        <v>219.89</v>
      </c>
      <c r="F781" t="s">
        <v>381</v>
      </c>
      <c r="G781" t="s">
        <v>329</v>
      </c>
      <c r="H781" t="s">
        <v>332</v>
      </c>
      <c r="I781" t="s">
        <v>8</v>
      </c>
      <c r="J781" t="s">
        <v>102</v>
      </c>
      <c r="K781" t="s">
        <v>32</v>
      </c>
      <c r="L781" t="s">
        <v>298</v>
      </c>
      <c r="M781" t="s">
        <v>299</v>
      </c>
      <c r="N781">
        <v>0</v>
      </c>
      <c r="O781" t="str">
        <f>IF(Transactions_RAW_cleaned[[#This Row],[Status]]="Completed", IFERROR(_xlfn.XLOOKUP(Transactions_RAW_cleaned[[#This Row],[CustomerID]], Customers_cleaned[CustomerID], Customers_cleaned[Segment]), "Customer Not Found"), "N/A")</f>
        <v>N/A</v>
      </c>
      <c r="P781" s="5" t="str">
        <f>IF(Transactions_RAW_cleaned[[#This Row],[Status]]="Refunded", "Refund",
  IF(Transactions_RAW_cleaned[[#This Row],[Category]]="Payments", IF(Transactions_RAW_cleaned[[#This Row],[Amount]]&gt;500,"High Value","Standard"),
    IF(Transactions_RAW_cleaned[[#This Row],[Amount]]&gt;250,"High Value","Standard")))</f>
        <v>Standard</v>
      </c>
      <c r="Q781" s="5" t="str">
        <f>IF(Transactions_RAW_cleaned[[#This Row],[Amount]] &gt; (_xlfn.XLOOKUP(Transactions_RAW_cleaned[[#This Row],[ServiceID]],Services_cleaned[ServiceID],Services_cleaned[TransactionFeePct]) * 10000), "Yes", "No")</f>
        <v>Yes</v>
      </c>
      <c r="R781" s="5" t="str">
        <f>IF(COUNTIFS($C$2:Transactions_RAW_cleaned[[#This Row],[CustomerID]],Transactions_RAW_cleaned[[#This Row],[CustomerID]],$D$2:Transactions_RAW_cleaned[[#This Row],[ServiceID]],Transactions_RAW_cleaned[[#This Row],[ServiceID]])=1,"Yes","No")</f>
        <v>No</v>
      </c>
      <c r="S78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81" t="str">
        <f>"Q"&amp;ROUNDUP(MONTH(Transactions_RAW_cleaned[[#This Row],[TransactionDate]])/3,0)</f>
        <v>Q1</v>
      </c>
      <c r="U781" t="str">
        <f>Transactions_RAW_cleaned[[#This Row],[Region ]]&amp;Transactions_RAW_cleaned[[#This Row],[Quarter ]]</f>
        <v>NAQ1</v>
      </c>
      <c r="V781" s="5">
        <f>_xlfn.XLOOKUP(Transactions_RAW_cleaned[[#This Row],[RegionQuarterKey]], Quarterly_Targets_cleaned[RegionQuarterKey], Quarterly_Targets_cleaned[TargetRevenue])</f>
        <v>247000</v>
      </c>
    </row>
    <row r="782" spans="1:22" x14ac:dyDescent="0.25">
      <c r="A782" t="s">
        <v>1117</v>
      </c>
      <c r="B782" s="1">
        <v>45329</v>
      </c>
      <c r="C782" t="s">
        <v>51</v>
      </c>
      <c r="D782" t="s">
        <v>294</v>
      </c>
      <c r="E782">
        <v>1113.8499999999999</v>
      </c>
      <c r="F782" t="s">
        <v>381</v>
      </c>
      <c r="G782" t="s">
        <v>329</v>
      </c>
      <c r="H782" t="s">
        <v>332</v>
      </c>
      <c r="I782" t="s">
        <v>8</v>
      </c>
      <c r="J782" t="s">
        <v>31</v>
      </c>
      <c r="K782" t="s">
        <v>14</v>
      </c>
      <c r="L782" t="s">
        <v>295</v>
      </c>
      <c r="M782" t="s">
        <v>296</v>
      </c>
      <c r="N782">
        <v>2.9000000000000001E-2</v>
      </c>
      <c r="O782" t="str">
        <f>IF(Transactions_RAW_cleaned[[#This Row],[Status]]="Completed", IFERROR(_xlfn.XLOOKUP(Transactions_RAW_cleaned[[#This Row],[CustomerID]], Customers_cleaned[CustomerID], Customers_cleaned[Segment]), "Customer Not Found"), "N/A")</f>
        <v>N/A</v>
      </c>
      <c r="P782" s="5" t="str">
        <f>IF(Transactions_RAW_cleaned[[#This Row],[Status]]="Refunded", "Refund",
  IF(Transactions_RAW_cleaned[[#This Row],[Category]]="Payments", IF(Transactions_RAW_cleaned[[#This Row],[Amount]]&gt;500,"High Value","Standard"),
    IF(Transactions_RAW_cleaned[[#This Row],[Amount]]&gt;250,"High Value","Standard")))</f>
        <v>High Value</v>
      </c>
      <c r="Q782" s="5" t="str">
        <f>IF(Transactions_RAW_cleaned[[#This Row],[Amount]] &gt; (_xlfn.XLOOKUP(Transactions_RAW_cleaned[[#This Row],[ServiceID]],Services_cleaned[ServiceID],Services_cleaned[TransactionFeePct]) * 10000), "Yes", "No")</f>
        <v>Yes</v>
      </c>
      <c r="R782" s="5" t="str">
        <f>IF(COUNTIFS($C$2:Transactions_RAW_cleaned[[#This Row],[CustomerID]],Transactions_RAW_cleaned[[#This Row],[CustomerID]],$D$2:Transactions_RAW_cleaned[[#This Row],[ServiceID]],Transactions_RAW_cleaned[[#This Row],[ServiceID]])=1,"Yes","No")</f>
        <v>No</v>
      </c>
      <c r="S78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82" t="str">
        <f>"Q"&amp;ROUNDUP(MONTH(Transactions_RAW_cleaned[[#This Row],[TransactionDate]])/3,0)</f>
        <v>Q1</v>
      </c>
      <c r="U782" t="str">
        <f>Transactions_RAW_cleaned[[#This Row],[Region ]]&amp;Transactions_RAW_cleaned[[#This Row],[Quarter ]]</f>
        <v>EMEAQ1</v>
      </c>
      <c r="V782" s="5">
        <f>_xlfn.XLOOKUP(Transactions_RAW_cleaned[[#This Row],[RegionQuarterKey]], Quarterly_Targets_cleaned[RegionQuarterKey], Quarterly_Targets_cleaned[TargetRevenue])</f>
        <v>133000</v>
      </c>
    </row>
    <row r="783" spans="1:22" x14ac:dyDescent="0.25">
      <c r="A783" t="s">
        <v>1118</v>
      </c>
      <c r="B783" s="1">
        <v>45620</v>
      </c>
      <c r="C783" t="s">
        <v>35</v>
      </c>
      <c r="D783" t="s">
        <v>306</v>
      </c>
      <c r="E783">
        <v>48.49</v>
      </c>
      <c r="F783" t="s">
        <v>324</v>
      </c>
      <c r="G783" t="s">
        <v>329</v>
      </c>
      <c r="I783" t="s">
        <v>8</v>
      </c>
      <c r="J783" t="s">
        <v>37</v>
      </c>
      <c r="K783" t="s">
        <v>28</v>
      </c>
      <c r="L783" t="s">
        <v>307</v>
      </c>
      <c r="M783" t="s">
        <v>308</v>
      </c>
      <c r="N783">
        <v>0</v>
      </c>
      <c r="O783" t="str">
        <f>IF(Transactions_RAW_cleaned[[#This Row],[Status]]="Completed", IFERROR(_xlfn.XLOOKUP(Transactions_RAW_cleaned[[#This Row],[CustomerID]], Customers_cleaned[CustomerID], Customers_cleaned[Segment]), "Customer Not Found"), "N/A")</f>
        <v>SMB</v>
      </c>
      <c r="P783" s="5" t="str">
        <f>IF(Transactions_RAW_cleaned[[#This Row],[Status]]="Refunded", "Refund",
  IF(Transactions_RAW_cleaned[[#This Row],[Category]]="Payments", IF(Transactions_RAW_cleaned[[#This Row],[Amount]]&gt;500,"High Value","Standard"),
    IF(Transactions_RAW_cleaned[[#This Row],[Amount]]&gt;250,"High Value","Standard")))</f>
        <v>Standard</v>
      </c>
      <c r="Q783" s="5" t="str">
        <f>IF(Transactions_RAW_cleaned[[#This Row],[Amount]] &gt; (_xlfn.XLOOKUP(Transactions_RAW_cleaned[[#This Row],[ServiceID]],Services_cleaned[ServiceID],Services_cleaned[TransactionFeePct]) * 10000), "Yes", "No")</f>
        <v>Yes</v>
      </c>
      <c r="R783" s="5" t="str">
        <f>IF(COUNTIFS($C$2:Transactions_RAW_cleaned[[#This Row],[CustomerID]],Transactions_RAW_cleaned[[#This Row],[CustomerID]],$D$2:Transactions_RAW_cleaned[[#This Row],[ServiceID]],Transactions_RAW_cleaned[[#This Row],[ServiceID]])=1,"Yes","No")</f>
        <v>Yes</v>
      </c>
      <c r="S78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83" t="str">
        <f>"Q"&amp;ROUNDUP(MONTH(Transactions_RAW_cleaned[[#This Row],[TransactionDate]])/3,0)</f>
        <v>Q4</v>
      </c>
      <c r="U783" t="str">
        <f>Transactions_RAW_cleaned[[#This Row],[Region ]]&amp;Transactions_RAW_cleaned[[#This Row],[Quarter ]]</f>
        <v>EMEAQ4</v>
      </c>
      <c r="V783" s="5">
        <f>_xlfn.XLOOKUP(Transactions_RAW_cleaned[[#This Row],[RegionQuarterKey]], Quarterly_Targets_cleaned[RegionQuarterKey], Quarterly_Targets_cleaned[TargetRevenue])</f>
        <v>161000</v>
      </c>
    </row>
    <row r="784" spans="1:22" x14ac:dyDescent="0.25">
      <c r="A784" t="s">
        <v>1119</v>
      </c>
      <c r="B784" s="1">
        <v>45322</v>
      </c>
      <c r="C784" t="s">
        <v>143</v>
      </c>
      <c r="D784" t="s">
        <v>309</v>
      </c>
      <c r="E784">
        <v>841.64</v>
      </c>
      <c r="F784" t="s">
        <v>324</v>
      </c>
      <c r="G784" t="s">
        <v>327</v>
      </c>
      <c r="H784" t="s">
        <v>346</v>
      </c>
      <c r="I784" t="s">
        <v>8</v>
      </c>
      <c r="J784" t="s">
        <v>102</v>
      </c>
      <c r="K784" t="s">
        <v>22</v>
      </c>
      <c r="L784" t="s">
        <v>310</v>
      </c>
      <c r="M784" t="s">
        <v>311</v>
      </c>
      <c r="N784">
        <v>0</v>
      </c>
      <c r="O784" t="str">
        <f>IF(Transactions_RAW_cleaned[[#This Row],[Status]]="Completed", IFERROR(_xlfn.XLOOKUP(Transactions_RAW_cleaned[[#This Row],[CustomerID]], Customers_cleaned[CustomerID], Customers_cleaned[Segment]), "Customer Not Found"), "N/A")</f>
        <v>SMB</v>
      </c>
      <c r="P784" s="5" t="str">
        <f>IF(Transactions_RAW_cleaned[[#This Row],[Status]]="Refunded", "Refund",
  IF(Transactions_RAW_cleaned[[#This Row],[Category]]="Payments", IF(Transactions_RAW_cleaned[[#This Row],[Amount]]&gt;500,"High Value","Standard"),
    IF(Transactions_RAW_cleaned[[#This Row],[Amount]]&gt;250,"High Value","Standard")))</f>
        <v>High Value</v>
      </c>
      <c r="Q784" s="5" t="str">
        <f>IF(Transactions_RAW_cleaned[[#This Row],[Amount]] &gt; (_xlfn.XLOOKUP(Transactions_RAW_cleaned[[#This Row],[ServiceID]],Services_cleaned[ServiceID],Services_cleaned[TransactionFeePct]) * 10000), "Yes", "No")</f>
        <v>Yes</v>
      </c>
      <c r="R784" s="5" t="str">
        <f>IF(COUNTIFS($C$2:Transactions_RAW_cleaned[[#This Row],[CustomerID]],Transactions_RAW_cleaned[[#This Row],[CustomerID]],$D$2:Transactions_RAW_cleaned[[#This Row],[ServiceID]],Transactions_RAW_cleaned[[#This Row],[ServiceID]])=1,"Yes","No")</f>
        <v>Yes</v>
      </c>
      <c r="S78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84" t="str">
        <f>"Q"&amp;ROUNDUP(MONTH(Transactions_RAW_cleaned[[#This Row],[TransactionDate]])/3,0)</f>
        <v>Q1</v>
      </c>
      <c r="U784" t="str">
        <f>Transactions_RAW_cleaned[[#This Row],[Region ]]&amp;Transactions_RAW_cleaned[[#This Row],[Quarter ]]</f>
        <v>NAQ1</v>
      </c>
      <c r="V784" s="5">
        <f>_xlfn.XLOOKUP(Transactions_RAW_cleaned[[#This Row],[RegionQuarterKey]], Quarterly_Targets_cleaned[RegionQuarterKey], Quarterly_Targets_cleaned[TargetRevenue])</f>
        <v>247000</v>
      </c>
    </row>
    <row r="785" spans="1:22" x14ac:dyDescent="0.25">
      <c r="A785" t="s">
        <v>1120</v>
      </c>
      <c r="B785" s="1">
        <v>45467</v>
      </c>
      <c r="C785" t="s">
        <v>147</v>
      </c>
      <c r="D785" t="s">
        <v>294</v>
      </c>
      <c r="E785">
        <v>-510.12</v>
      </c>
      <c r="F785" t="s">
        <v>349</v>
      </c>
      <c r="G785" t="s">
        <v>325</v>
      </c>
      <c r="H785" t="s">
        <v>346</v>
      </c>
      <c r="I785" t="s">
        <v>17</v>
      </c>
      <c r="J785" t="s">
        <v>25</v>
      </c>
      <c r="K785" t="s">
        <v>32</v>
      </c>
      <c r="L785" t="s">
        <v>295</v>
      </c>
      <c r="M785" t="s">
        <v>296</v>
      </c>
      <c r="N785">
        <v>2.9000000000000001E-2</v>
      </c>
      <c r="O785" t="str">
        <f>IF(Transactions_RAW_cleaned[[#This Row],[Status]]="Completed", IFERROR(_xlfn.XLOOKUP(Transactions_RAW_cleaned[[#This Row],[CustomerID]], Customers_cleaned[CustomerID], Customers_cleaned[Segment]), "Customer Not Found"), "N/A")</f>
        <v>N/A</v>
      </c>
      <c r="P785" s="5" t="str">
        <f>IF(Transactions_RAW_cleaned[[#This Row],[Status]]="Refunded", "Refund",
  IF(Transactions_RAW_cleaned[[#This Row],[Category]]="Payments", IF(Transactions_RAW_cleaned[[#This Row],[Amount]]&gt;500,"High Value","Standard"),
    IF(Transactions_RAW_cleaned[[#This Row],[Amount]]&gt;250,"High Value","Standard")))</f>
        <v>Refund</v>
      </c>
      <c r="Q785" s="5" t="str">
        <f>IF(Transactions_RAW_cleaned[[#This Row],[Amount]] &gt; (_xlfn.XLOOKUP(Transactions_RAW_cleaned[[#This Row],[ServiceID]],Services_cleaned[ServiceID],Services_cleaned[TransactionFeePct]) * 10000), "Yes", "No")</f>
        <v>No</v>
      </c>
      <c r="R785" s="5" t="str">
        <f>IF(COUNTIFS($C$2:Transactions_RAW_cleaned[[#This Row],[CustomerID]],Transactions_RAW_cleaned[[#This Row],[CustomerID]],$D$2:Transactions_RAW_cleaned[[#This Row],[ServiceID]],Transactions_RAW_cleaned[[#This Row],[ServiceID]])=1,"Yes","No")</f>
        <v>No</v>
      </c>
      <c r="S78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85" t="str">
        <f>"Q"&amp;ROUNDUP(MONTH(Transactions_RAW_cleaned[[#This Row],[TransactionDate]])/3,0)</f>
        <v>Q2</v>
      </c>
      <c r="U785" t="str">
        <f>Transactions_RAW_cleaned[[#This Row],[Region ]]&amp;Transactions_RAW_cleaned[[#This Row],[Quarter ]]</f>
        <v>APACQ2</v>
      </c>
      <c r="V785" s="5">
        <f>_xlfn.XLOOKUP(Transactions_RAW_cleaned[[#This Row],[RegionQuarterKey]], Quarterly_Targets_cleaned[RegionQuarterKey], Quarterly_Targets_cleaned[TargetRevenue])</f>
        <v>110000</v>
      </c>
    </row>
    <row r="786" spans="1:22" x14ac:dyDescent="0.25">
      <c r="A786" t="s">
        <v>1121</v>
      </c>
      <c r="B786" s="1">
        <v>45362</v>
      </c>
      <c r="C786" t="s">
        <v>42</v>
      </c>
      <c r="D786" t="s">
        <v>294</v>
      </c>
      <c r="E786">
        <v>394.9</v>
      </c>
      <c r="F786" t="s">
        <v>324</v>
      </c>
      <c r="G786" t="s">
        <v>327</v>
      </c>
      <c r="H786" t="s">
        <v>346</v>
      </c>
      <c r="I786" t="s">
        <v>8</v>
      </c>
      <c r="J786" t="s">
        <v>102</v>
      </c>
      <c r="K786" t="s">
        <v>10</v>
      </c>
      <c r="L786" t="s">
        <v>295</v>
      </c>
      <c r="M786" t="s">
        <v>296</v>
      </c>
      <c r="N786">
        <v>2.9000000000000001E-2</v>
      </c>
      <c r="O786" t="str">
        <f>IF(Transactions_RAW_cleaned[[#This Row],[Status]]="Completed", IFERROR(_xlfn.XLOOKUP(Transactions_RAW_cleaned[[#This Row],[CustomerID]], Customers_cleaned[CustomerID], Customers_cleaned[Segment]), "Customer Not Found"), "N/A")</f>
        <v>SMB</v>
      </c>
      <c r="P786" s="5" t="str">
        <f>IF(Transactions_RAW_cleaned[[#This Row],[Status]]="Refunded", "Refund",
  IF(Transactions_RAW_cleaned[[#This Row],[Category]]="Payments", IF(Transactions_RAW_cleaned[[#This Row],[Amount]]&gt;500,"High Value","Standard"),
    IF(Transactions_RAW_cleaned[[#This Row],[Amount]]&gt;250,"High Value","Standard")))</f>
        <v>Standard</v>
      </c>
      <c r="Q786" s="5" t="str">
        <f>IF(Transactions_RAW_cleaned[[#This Row],[Amount]] &gt; (_xlfn.XLOOKUP(Transactions_RAW_cleaned[[#This Row],[ServiceID]],Services_cleaned[ServiceID],Services_cleaned[TransactionFeePct]) * 10000), "Yes", "No")</f>
        <v>Yes</v>
      </c>
      <c r="R786" s="5" t="str">
        <f>IF(COUNTIFS($C$2:Transactions_RAW_cleaned[[#This Row],[CustomerID]],Transactions_RAW_cleaned[[#This Row],[CustomerID]],$D$2:Transactions_RAW_cleaned[[#This Row],[ServiceID]],Transactions_RAW_cleaned[[#This Row],[ServiceID]])=1,"Yes","No")</f>
        <v>No</v>
      </c>
      <c r="S78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86" t="str">
        <f>"Q"&amp;ROUNDUP(MONTH(Transactions_RAW_cleaned[[#This Row],[TransactionDate]])/3,0)</f>
        <v>Q1</v>
      </c>
      <c r="U786" t="str">
        <f>Transactions_RAW_cleaned[[#This Row],[Region ]]&amp;Transactions_RAW_cleaned[[#This Row],[Quarter ]]</f>
        <v>NAQ1</v>
      </c>
      <c r="V786" s="5">
        <f>_xlfn.XLOOKUP(Transactions_RAW_cleaned[[#This Row],[RegionQuarterKey]], Quarterly_Targets_cleaned[RegionQuarterKey], Quarterly_Targets_cleaned[TargetRevenue])</f>
        <v>247000</v>
      </c>
    </row>
    <row r="787" spans="1:22" x14ac:dyDescent="0.25">
      <c r="A787" t="s">
        <v>1122</v>
      </c>
      <c r="B787" s="1">
        <v>45313</v>
      </c>
      <c r="C787" t="s">
        <v>265</v>
      </c>
      <c r="D787" t="s">
        <v>315</v>
      </c>
      <c r="E787">
        <v>473.97</v>
      </c>
      <c r="F787" t="s">
        <v>324</v>
      </c>
      <c r="G787" t="s">
        <v>329</v>
      </c>
      <c r="I787" t="s">
        <v>8</v>
      </c>
      <c r="J787" t="s">
        <v>102</v>
      </c>
      <c r="K787" t="s">
        <v>32</v>
      </c>
      <c r="L787" t="s">
        <v>316</v>
      </c>
      <c r="M787" t="s">
        <v>305</v>
      </c>
      <c r="N787">
        <v>2.5000000000000001E-3</v>
      </c>
      <c r="O787" t="str">
        <f>IF(Transactions_RAW_cleaned[[#This Row],[Status]]="Completed", IFERROR(_xlfn.XLOOKUP(Transactions_RAW_cleaned[[#This Row],[CustomerID]], Customers_cleaned[CustomerID], Customers_cleaned[Segment]), "Customer Not Found"), "N/A")</f>
        <v>SMB</v>
      </c>
      <c r="P787" s="5" t="str">
        <f>IF(Transactions_RAW_cleaned[[#This Row],[Status]]="Refunded", "Refund",
  IF(Transactions_RAW_cleaned[[#This Row],[Category]]="Payments", IF(Transactions_RAW_cleaned[[#This Row],[Amount]]&gt;500,"High Value","Standard"),
    IF(Transactions_RAW_cleaned[[#This Row],[Amount]]&gt;250,"High Value","Standard")))</f>
        <v>High Value</v>
      </c>
      <c r="Q787" s="5" t="str">
        <f>IF(Transactions_RAW_cleaned[[#This Row],[Amount]] &gt; (_xlfn.XLOOKUP(Transactions_RAW_cleaned[[#This Row],[ServiceID]],Services_cleaned[ServiceID],Services_cleaned[TransactionFeePct]) * 10000), "Yes", "No")</f>
        <v>Yes</v>
      </c>
      <c r="R787" s="5" t="str">
        <f>IF(COUNTIFS($C$2:Transactions_RAW_cleaned[[#This Row],[CustomerID]],Transactions_RAW_cleaned[[#This Row],[CustomerID]],$D$2:Transactions_RAW_cleaned[[#This Row],[ServiceID]],Transactions_RAW_cleaned[[#This Row],[ServiceID]])=1,"Yes","No")</f>
        <v>No</v>
      </c>
      <c r="S78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87" t="str">
        <f>"Q"&amp;ROUNDUP(MONTH(Transactions_RAW_cleaned[[#This Row],[TransactionDate]])/3,0)</f>
        <v>Q1</v>
      </c>
      <c r="U787" t="str">
        <f>Transactions_RAW_cleaned[[#This Row],[Region ]]&amp;Transactions_RAW_cleaned[[#This Row],[Quarter ]]</f>
        <v>NAQ1</v>
      </c>
      <c r="V787" s="5">
        <f>_xlfn.XLOOKUP(Transactions_RAW_cleaned[[#This Row],[RegionQuarterKey]], Quarterly_Targets_cleaned[RegionQuarterKey], Quarterly_Targets_cleaned[TargetRevenue])</f>
        <v>247000</v>
      </c>
    </row>
    <row r="788" spans="1:22" x14ac:dyDescent="0.25">
      <c r="A788" t="s">
        <v>1123</v>
      </c>
      <c r="B788" s="1">
        <v>45394</v>
      </c>
      <c r="C788" t="s">
        <v>135</v>
      </c>
      <c r="D788" t="s">
        <v>294</v>
      </c>
      <c r="E788">
        <v>580.37</v>
      </c>
      <c r="F788" t="s">
        <v>381</v>
      </c>
      <c r="G788" t="s">
        <v>327</v>
      </c>
      <c r="I788" t="s">
        <v>8</v>
      </c>
      <c r="J788" t="s">
        <v>46</v>
      </c>
      <c r="K788" t="s">
        <v>10</v>
      </c>
      <c r="L788" t="s">
        <v>295</v>
      </c>
      <c r="M788" t="s">
        <v>296</v>
      </c>
      <c r="N788">
        <v>2.9000000000000001E-2</v>
      </c>
      <c r="O788" t="str">
        <f>IF(Transactions_RAW_cleaned[[#This Row],[Status]]="Completed", IFERROR(_xlfn.XLOOKUP(Transactions_RAW_cleaned[[#This Row],[CustomerID]], Customers_cleaned[CustomerID], Customers_cleaned[Segment]), "Customer Not Found"), "N/A")</f>
        <v>N/A</v>
      </c>
      <c r="P788" s="5" t="str">
        <f>IF(Transactions_RAW_cleaned[[#This Row],[Status]]="Refunded", "Refund",
  IF(Transactions_RAW_cleaned[[#This Row],[Category]]="Payments", IF(Transactions_RAW_cleaned[[#This Row],[Amount]]&gt;500,"High Value","Standard"),
    IF(Transactions_RAW_cleaned[[#This Row],[Amount]]&gt;250,"High Value","Standard")))</f>
        <v>High Value</v>
      </c>
      <c r="Q788" s="5" t="str">
        <f>IF(Transactions_RAW_cleaned[[#This Row],[Amount]] &gt; (_xlfn.XLOOKUP(Transactions_RAW_cleaned[[#This Row],[ServiceID]],Services_cleaned[ServiceID],Services_cleaned[TransactionFeePct]) * 10000), "Yes", "No")</f>
        <v>Yes</v>
      </c>
      <c r="R788" s="5" t="str">
        <f>IF(COUNTIFS($C$2:Transactions_RAW_cleaned[[#This Row],[CustomerID]],Transactions_RAW_cleaned[[#This Row],[CustomerID]],$D$2:Transactions_RAW_cleaned[[#This Row],[ServiceID]],Transactions_RAW_cleaned[[#This Row],[ServiceID]])=1,"Yes","No")</f>
        <v>Yes</v>
      </c>
      <c r="S78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88" t="str">
        <f>"Q"&amp;ROUNDUP(MONTH(Transactions_RAW_cleaned[[#This Row],[TransactionDate]])/3,0)</f>
        <v>Q2</v>
      </c>
      <c r="U788" t="str">
        <f>Transactions_RAW_cleaned[[#This Row],[Region ]]&amp;Transactions_RAW_cleaned[[#This Row],[Quarter ]]</f>
        <v>APACQ2</v>
      </c>
      <c r="V788" s="5">
        <f>_xlfn.XLOOKUP(Transactions_RAW_cleaned[[#This Row],[RegionQuarterKey]], Quarterly_Targets_cleaned[RegionQuarterKey], Quarterly_Targets_cleaned[TargetRevenue])</f>
        <v>110000</v>
      </c>
    </row>
    <row r="789" spans="1:22" x14ac:dyDescent="0.25">
      <c r="A789" t="s">
        <v>1124</v>
      </c>
      <c r="B789" s="1">
        <v>45304</v>
      </c>
      <c r="C789" t="s">
        <v>191</v>
      </c>
      <c r="D789" t="s">
        <v>306</v>
      </c>
      <c r="E789">
        <v>1183.01</v>
      </c>
      <c r="F789" t="s">
        <v>324</v>
      </c>
      <c r="G789" t="s">
        <v>327</v>
      </c>
      <c r="I789" t="s">
        <v>57</v>
      </c>
      <c r="J789" t="s">
        <v>31</v>
      </c>
      <c r="K789" t="s">
        <v>32</v>
      </c>
      <c r="L789" t="s">
        <v>307</v>
      </c>
      <c r="M789" t="s">
        <v>308</v>
      </c>
      <c r="N789">
        <v>0</v>
      </c>
      <c r="O789" t="str">
        <f>IF(Transactions_RAW_cleaned[[#This Row],[Status]]="Completed", IFERROR(_xlfn.XLOOKUP(Transactions_RAW_cleaned[[#This Row],[CustomerID]], Customers_cleaned[CustomerID], Customers_cleaned[Segment]), "Customer Not Found"), "N/A")</f>
        <v>Startup</v>
      </c>
      <c r="P789" s="5" t="str">
        <f>IF(Transactions_RAW_cleaned[[#This Row],[Status]]="Refunded", "Refund",
  IF(Transactions_RAW_cleaned[[#This Row],[Category]]="Payments", IF(Transactions_RAW_cleaned[[#This Row],[Amount]]&gt;500,"High Value","Standard"),
    IF(Transactions_RAW_cleaned[[#This Row],[Amount]]&gt;250,"High Value","Standard")))</f>
        <v>High Value</v>
      </c>
      <c r="Q789" s="5" t="str">
        <f>IF(Transactions_RAW_cleaned[[#This Row],[Amount]] &gt; (_xlfn.XLOOKUP(Transactions_RAW_cleaned[[#This Row],[ServiceID]],Services_cleaned[ServiceID],Services_cleaned[TransactionFeePct]) * 10000), "Yes", "No")</f>
        <v>Yes</v>
      </c>
      <c r="R789" s="5" t="str">
        <f>IF(COUNTIFS($C$2:Transactions_RAW_cleaned[[#This Row],[CustomerID]],Transactions_RAW_cleaned[[#This Row],[CustomerID]],$D$2:Transactions_RAW_cleaned[[#This Row],[ServiceID]],Transactions_RAW_cleaned[[#This Row],[ServiceID]])=1,"Yes","No")</f>
        <v>Yes</v>
      </c>
      <c r="S78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89" t="str">
        <f>"Q"&amp;ROUNDUP(MONTH(Transactions_RAW_cleaned[[#This Row],[TransactionDate]])/3,0)</f>
        <v>Q1</v>
      </c>
      <c r="U789" t="str">
        <f>Transactions_RAW_cleaned[[#This Row],[Region ]]&amp;Transactions_RAW_cleaned[[#This Row],[Quarter ]]</f>
        <v>EMEAQ1</v>
      </c>
      <c r="V789" s="5">
        <f>_xlfn.XLOOKUP(Transactions_RAW_cleaned[[#This Row],[RegionQuarterKey]], Quarterly_Targets_cleaned[RegionQuarterKey], Quarterly_Targets_cleaned[TargetRevenue])</f>
        <v>133000</v>
      </c>
    </row>
    <row r="790" spans="1:22" x14ac:dyDescent="0.25">
      <c r="A790" t="s">
        <v>1125</v>
      </c>
      <c r="B790" s="1">
        <v>45301</v>
      </c>
      <c r="C790" t="s">
        <v>149</v>
      </c>
      <c r="D790" t="s">
        <v>309</v>
      </c>
      <c r="E790">
        <v>242.48</v>
      </c>
      <c r="F790" t="s">
        <v>331</v>
      </c>
      <c r="G790" t="s">
        <v>327</v>
      </c>
      <c r="I790" t="s">
        <v>8</v>
      </c>
      <c r="J790" t="s">
        <v>13</v>
      </c>
      <c r="K790" t="s">
        <v>22</v>
      </c>
      <c r="L790" t="s">
        <v>310</v>
      </c>
      <c r="M790" t="s">
        <v>311</v>
      </c>
      <c r="N790">
        <v>0</v>
      </c>
      <c r="O790" t="str">
        <f>IF(Transactions_RAW_cleaned[[#This Row],[Status]]="Completed", IFERROR(_xlfn.XLOOKUP(Transactions_RAW_cleaned[[#This Row],[CustomerID]], Customers_cleaned[CustomerID], Customers_cleaned[Segment]), "Customer Not Found"), "N/A")</f>
        <v>N/A</v>
      </c>
      <c r="P790" s="5" t="str">
        <f>IF(Transactions_RAW_cleaned[[#This Row],[Status]]="Refunded", "Refund",
  IF(Transactions_RAW_cleaned[[#This Row],[Category]]="Payments", IF(Transactions_RAW_cleaned[[#This Row],[Amount]]&gt;500,"High Value","Standard"),
    IF(Transactions_RAW_cleaned[[#This Row],[Amount]]&gt;250,"High Value","Standard")))</f>
        <v>Standard</v>
      </c>
      <c r="Q790" s="5" t="str">
        <f>IF(Transactions_RAW_cleaned[[#This Row],[Amount]] &gt; (_xlfn.XLOOKUP(Transactions_RAW_cleaned[[#This Row],[ServiceID]],Services_cleaned[ServiceID],Services_cleaned[TransactionFeePct]) * 10000), "Yes", "No")</f>
        <v>Yes</v>
      </c>
      <c r="R790" s="5" t="str">
        <f>IF(COUNTIFS($C$2:Transactions_RAW_cleaned[[#This Row],[CustomerID]],Transactions_RAW_cleaned[[#This Row],[CustomerID]],$D$2:Transactions_RAW_cleaned[[#This Row],[ServiceID]],Transactions_RAW_cleaned[[#This Row],[ServiceID]])=1,"Yes","No")</f>
        <v>No</v>
      </c>
      <c r="S79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90" t="str">
        <f>"Q"&amp;ROUNDUP(MONTH(Transactions_RAW_cleaned[[#This Row],[TransactionDate]])/3,0)</f>
        <v>Q1</v>
      </c>
      <c r="U790" t="str">
        <f>Transactions_RAW_cleaned[[#This Row],[Region ]]&amp;Transactions_RAW_cleaned[[#This Row],[Quarter ]]</f>
        <v>NAQ1</v>
      </c>
      <c r="V790" s="5">
        <f>_xlfn.XLOOKUP(Transactions_RAW_cleaned[[#This Row],[RegionQuarterKey]], Quarterly_Targets_cleaned[RegionQuarterKey], Quarterly_Targets_cleaned[TargetRevenue])</f>
        <v>247000</v>
      </c>
    </row>
    <row r="791" spans="1:22" x14ac:dyDescent="0.25">
      <c r="A791" t="s">
        <v>1126</v>
      </c>
      <c r="B791" s="1">
        <v>45430</v>
      </c>
      <c r="C791" t="s">
        <v>70</v>
      </c>
      <c r="D791" t="s">
        <v>306</v>
      </c>
      <c r="E791">
        <v>504.12</v>
      </c>
      <c r="F791" t="s">
        <v>324</v>
      </c>
      <c r="G791" t="s">
        <v>327</v>
      </c>
      <c r="I791" t="s">
        <v>8</v>
      </c>
      <c r="J791" t="s">
        <v>37</v>
      </c>
      <c r="K791" t="s">
        <v>28</v>
      </c>
      <c r="L791" t="s">
        <v>307</v>
      </c>
      <c r="M791" t="s">
        <v>308</v>
      </c>
      <c r="N791">
        <v>0</v>
      </c>
      <c r="O791" t="str">
        <f>IF(Transactions_RAW_cleaned[[#This Row],[Status]]="Completed", IFERROR(_xlfn.XLOOKUP(Transactions_RAW_cleaned[[#This Row],[CustomerID]], Customers_cleaned[CustomerID], Customers_cleaned[Segment]), "Customer Not Found"), "N/A")</f>
        <v>SMB</v>
      </c>
      <c r="P791" s="5" t="str">
        <f>IF(Transactions_RAW_cleaned[[#This Row],[Status]]="Refunded", "Refund",
  IF(Transactions_RAW_cleaned[[#This Row],[Category]]="Payments", IF(Transactions_RAW_cleaned[[#This Row],[Amount]]&gt;500,"High Value","Standard"),
    IF(Transactions_RAW_cleaned[[#This Row],[Amount]]&gt;250,"High Value","Standard")))</f>
        <v>High Value</v>
      </c>
      <c r="Q791" s="5" t="str">
        <f>IF(Transactions_RAW_cleaned[[#This Row],[Amount]] &gt; (_xlfn.XLOOKUP(Transactions_RAW_cleaned[[#This Row],[ServiceID]],Services_cleaned[ServiceID],Services_cleaned[TransactionFeePct]) * 10000), "Yes", "No")</f>
        <v>Yes</v>
      </c>
      <c r="R791" s="5" t="str">
        <f>IF(COUNTIFS($C$2:Transactions_RAW_cleaned[[#This Row],[CustomerID]],Transactions_RAW_cleaned[[#This Row],[CustomerID]],$D$2:Transactions_RAW_cleaned[[#This Row],[ServiceID]],Transactions_RAW_cleaned[[#This Row],[ServiceID]])=1,"Yes","No")</f>
        <v>Yes</v>
      </c>
      <c r="S79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91" t="str">
        <f>"Q"&amp;ROUNDUP(MONTH(Transactions_RAW_cleaned[[#This Row],[TransactionDate]])/3,0)</f>
        <v>Q2</v>
      </c>
      <c r="U791" t="str">
        <f>Transactions_RAW_cleaned[[#This Row],[Region ]]&amp;Transactions_RAW_cleaned[[#This Row],[Quarter ]]</f>
        <v>EMEAQ2</v>
      </c>
      <c r="V791" s="5">
        <f>_xlfn.XLOOKUP(Transactions_RAW_cleaned[[#This Row],[RegionQuarterKey]], Quarterly_Targets_cleaned[RegionQuarterKey], Quarterly_Targets_cleaned[TargetRevenue])</f>
        <v>140000</v>
      </c>
    </row>
    <row r="792" spans="1:22" x14ac:dyDescent="0.25">
      <c r="A792" t="s">
        <v>1127</v>
      </c>
      <c r="B792" s="1">
        <v>45325</v>
      </c>
      <c r="C792" t="s">
        <v>145</v>
      </c>
      <c r="D792" t="s">
        <v>306</v>
      </c>
      <c r="E792">
        <v>381.73</v>
      </c>
      <c r="F792" t="s">
        <v>324</v>
      </c>
      <c r="G792" t="s">
        <v>327</v>
      </c>
      <c r="I792" t="s">
        <v>8</v>
      </c>
      <c r="J792" t="s">
        <v>13</v>
      </c>
      <c r="K792" t="s">
        <v>32</v>
      </c>
      <c r="L792" t="s">
        <v>307</v>
      </c>
      <c r="M792" t="s">
        <v>308</v>
      </c>
      <c r="N792">
        <v>0</v>
      </c>
      <c r="O792" t="str">
        <f>IF(Transactions_RAW_cleaned[[#This Row],[Status]]="Completed", IFERROR(_xlfn.XLOOKUP(Transactions_RAW_cleaned[[#This Row],[CustomerID]], Customers_cleaned[CustomerID], Customers_cleaned[Segment]), "Customer Not Found"), "N/A")</f>
        <v>SMB</v>
      </c>
      <c r="P792" s="5" t="str">
        <f>IF(Transactions_RAW_cleaned[[#This Row],[Status]]="Refunded", "Refund",
  IF(Transactions_RAW_cleaned[[#This Row],[Category]]="Payments", IF(Transactions_RAW_cleaned[[#This Row],[Amount]]&gt;500,"High Value","Standard"),
    IF(Transactions_RAW_cleaned[[#This Row],[Amount]]&gt;250,"High Value","Standard")))</f>
        <v>High Value</v>
      </c>
      <c r="Q792" s="5" t="str">
        <f>IF(Transactions_RAW_cleaned[[#This Row],[Amount]] &gt; (_xlfn.XLOOKUP(Transactions_RAW_cleaned[[#This Row],[ServiceID]],Services_cleaned[ServiceID],Services_cleaned[TransactionFeePct]) * 10000), "Yes", "No")</f>
        <v>Yes</v>
      </c>
      <c r="R792" s="5" t="str">
        <f>IF(COUNTIFS($C$2:Transactions_RAW_cleaned[[#This Row],[CustomerID]],Transactions_RAW_cleaned[[#This Row],[CustomerID]],$D$2:Transactions_RAW_cleaned[[#This Row],[ServiceID]],Transactions_RAW_cleaned[[#This Row],[ServiceID]])=1,"Yes","No")</f>
        <v>Yes</v>
      </c>
      <c r="S79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92" t="str">
        <f>"Q"&amp;ROUNDUP(MONTH(Transactions_RAW_cleaned[[#This Row],[TransactionDate]])/3,0)</f>
        <v>Q1</v>
      </c>
      <c r="U792" t="str">
        <f>Transactions_RAW_cleaned[[#This Row],[Region ]]&amp;Transactions_RAW_cleaned[[#This Row],[Quarter ]]</f>
        <v>NAQ1</v>
      </c>
      <c r="V792" s="5">
        <f>_xlfn.XLOOKUP(Transactions_RAW_cleaned[[#This Row],[RegionQuarterKey]], Quarterly_Targets_cleaned[RegionQuarterKey], Quarterly_Targets_cleaned[TargetRevenue])</f>
        <v>247000</v>
      </c>
    </row>
    <row r="793" spans="1:22" x14ac:dyDescent="0.25">
      <c r="A793" t="s">
        <v>1128</v>
      </c>
      <c r="B793" s="1">
        <v>45515</v>
      </c>
      <c r="C793" t="s">
        <v>225</v>
      </c>
      <c r="D793" t="s">
        <v>315</v>
      </c>
      <c r="E793">
        <v>309.61</v>
      </c>
      <c r="F793" t="s">
        <v>324</v>
      </c>
      <c r="G793" t="s">
        <v>327</v>
      </c>
      <c r="H793" t="s">
        <v>346</v>
      </c>
      <c r="I793" t="s">
        <v>8</v>
      </c>
      <c r="J793" t="s">
        <v>21</v>
      </c>
      <c r="K793" t="s">
        <v>28</v>
      </c>
      <c r="L793" t="s">
        <v>316</v>
      </c>
      <c r="M793" t="s">
        <v>305</v>
      </c>
      <c r="N793">
        <v>2.5000000000000001E-3</v>
      </c>
      <c r="O793" t="str">
        <f>IF(Transactions_RAW_cleaned[[#This Row],[Status]]="Completed", IFERROR(_xlfn.XLOOKUP(Transactions_RAW_cleaned[[#This Row],[CustomerID]], Customers_cleaned[CustomerID], Customers_cleaned[Segment]), "Customer Not Found"), "N/A")</f>
        <v>SMB</v>
      </c>
      <c r="P793" s="5" t="str">
        <f>IF(Transactions_RAW_cleaned[[#This Row],[Status]]="Refunded", "Refund",
  IF(Transactions_RAW_cleaned[[#This Row],[Category]]="Payments", IF(Transactions_RAW_cleaned[[#This Row],[Amount]]&gt;500,"High Value","Standard"),
    IF(Transactions_RAW_cleaned[[#This Row],[Amount]]&gt;250,"High Value","Standard")))</f>
        <v>High Value</v>
      </c>
      <c r="Q793" s="5" t="str">
        <f>IF(Transactions_RAW_cleaned[[#This Row],[Amount]] &gt; (_xlfn.XLOOKUP(Transactions_RAW_cleaned[[#This Row],[ServiceID]],Services_cleaned[ServiceID],Services_cleaned[TransactionFeePct]) * 10000), "Yes", "No")</f>
        <v>Yes</v>
      </c>
      <c r="R793" s="5" t="str">
        <f>IF(COUNTIFS($C$2:Transactions_RAW_cleaned[[#This Row],[CustomerID]],Transactions_RAW_cleaned[[#This Row],[CustomerID]],$D$2:Transactions_RAW_cleaned[[#This Row],[ServiceID]],Transactions_RAW_cleaned[[#This Row],[ServiceID]])=1,"Yes","No")</f>
        <v>Yes</v>
      </c>
      <c r="S79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93" t="str">
        <f>"Q"&amp;ROUNDUP(MONTH(Transactions_RAW_cleaned[[#This Row],[TransactionDate]])/3,0)</f>
        <v>Q3</v>
      </c>
      <c r="U793" t="str">
        <f>Transactions_RAW_cleaned[[#This Row],[Region ]]&amp;Transactions_RAW_cleaned[[#This Row],[Quarter ]]</f>
        <v>APACQ3</v>
      </c>
      <c r="V793" s="5">
        <f>_xlfn.XLOOKUP(Transactions_RAW_cleaned[[#This Row],[RegionQuarterKey]], Quarterly_Targets_cleaned[RegionQuarterKey], Quarterly_Targets_cleaned[TargetRevenue])</f>
        <v>115500</v>
      </c>
    </row>
    <row r="794" spans="1:22" x14ac:dyDescent="0.25">
      <c r="A794" t="s">
        <v>1129</v>
      </c>
      <c r="B794" s="1">
        <v>45457</v>
      </c>
      <c r="C794" t="s">
        <v>78</v>
      </c>
      <c r="D794" t="s">
        <v>294</v>
      </c>
      <c r="E794">
        <v>313.95</v>
      </c>
      <c r="F794" t="s">
        <v>324</v>
      </c>
      <c r="G794" t="s">
        <v>325</v>
      </c>
      <c r="I794" t="s">
        <v>17</v>
      </c>
      <c r="J794" t="s">
        <v>21</v>
      </c>
      <c r="K794" t="s">
        <v>22</v>
      </c>
      <c r="L794" t="s">
        <v>295</v>
      </c>
      <c r="M794" t="s">
        <v>296</v>
      </c>
      <c r="N794">
        <v>2.9000000000000001E-2</v>
      </c>
      <c r="O794" t="str">
        <f>IF(Transactions_RAW_cleaned[[#This Row],[Status]]="Completed", IFERROR(_xlfn.XLOOKUP(Transactions_RAW_cleaned[[#This Row],[CustomerID]], Customers_cleaned[CustomerID], Customers_cleaned[Segment]), "Customer Not Found"), "N/A")</f>
        <v>Enterprise</v>
      </c>
      <c r="P794" s="5" t="str">
        <f>IF(Transactions_RAW_cleaned[[#This Row],[Status]]="Refunded", "Refund",
  IF(Transactions_RAW_cleaned[[#This Row],[Category]]="Payments", IF(Transactions_RAW_cleaned[[#This Row],[Amount]]&gt;500,"High Value","Standard"),
    IF(Transactions_RAW_cleaned[[#This Row],[Amount]]&gt;250,"High Value","Standard")))</f>
        <v>Standard</v>
      </c>
      <c r="Q794" s="5" t="str">
        <f>IF(Transactions_RAW_cleaned[[#This Row],[Amount]] &gt; (_xlfn.XLOOKUP(Transactions_RAW_cleaned[[#This Row],[ServiceID]],Services_cleaned[ServiceID],Services_cleaned[TransactionFeePct]) * 10000), "Yes", "No")</f>
        <v>Yes</v>
      </c>
      <c r="R794" s="5" t="str">
        <f>IF(COUNTIFS($C$2:Transactions_RAW_cleaned[[#This Row],[CustomerID]],Transactions_RAW_cleaned[[#This Row],[CustomerID]],$D$2:Transactions_RAW_cleaned[[#This Row],[ServiceID]],Transactions_RAW_cleaned[[#This Row],[ServiceID]])=1,"Yes","No")</f>
        <v>No</v>
      </c>
      <c r="S79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94" t="str">
        <f>"Q"&amp;ROUNDUP(MONTH(Transactions_RAW_cleaned[[#This Row],[TransactionDate]])/3,0)</f>
        <v>Q2</v>
      </c>
      <c r="U794" t="str">
        <f>Transactions_RAW_cleaned[[#This Row],[Region ]]&amp;Transactions_RAW_cleaned[[#This Row],[Quarter ]]</f>
        <v>APACQ2</v>
      </c>
      <c r="V794" s="5">
        <f>_xlfn.XLOOKUP(Transactions_RAW_cleaned[[#This Row],[RegionQuarterKey]], Quarterly_Targets_cleaned[RegionQuarterKey], Quarterly_Targets_cleaned[TargetRevenue])</f>
        <v>110000</v>
      </c>
    </row>
    <row r="795" spans="1:22" x14ac:dyDescent="0.25">
      <c r="A795" t="s">
        <v>1130</v>
      </c>
      <c r="B795" s="1">
        <v>45542</v>
      </c>
      <c r="C795" t="s">
        <v>153</v>
      </c>
      <c r="D795" t="s">
        <v>300</v>
      </c>
      <c r="E795">
        <v>378.76</v>
      </c>
      <c r="F795" t="s">
        <v>324</v>
      </c>
      <c r="G795" t="s">
        <v>327</v>
      </c>
      <c r="H795" t="s">
        <v>334</v>
      </c>
      <c r="I795" t="s">
        <v>8</v>
      </c>
      <c r="J795" t="s">
        <v>37</v>
      </c>
      <c r="K795" t="s">
        <v>32</v>
      </c>
      <c r="L795" t="s">
        <v>301</v>
      </c>
      <c r="M795" t="s">
        <v>302</v>
      </c>
      <c r="N795">
        <v>5.0000000000000001E-3</v>
      </c>
      <c r="O795" t="str">
        <f>IF(Transactions_RAW_cleaned[[#This Row],[Status]]="Completed", IFERROR(_xlfn.XLOOKUP(Transactions_RAW_cleaned[[#This Row],[CustomerID]], Customers_cleaned[CustomerID], Customers_cleaned[Segment]), "Customer Not Found"), "N/A")</f>
        <v>SMB</v>
      </c>
      <c r="P795" s="5" t="str">
        <f>IF(Transactions_RAW_cleaned[[#This Row],[Status]]="Refunded", "Refund",
  IF(Transactions_RAW_cleaned[[#This Row],[Category]]="Payments", IF(Transactions_RAW_cleaned[[#This Row],[Amount]]&gt;500,"High Value","Standard"),
    IF(Transactions_RAW_cleaned[[#This Row],[Amount]]&gt;250,"High Value","Standard")))</f>
        <v>High Value</v>
      </c>
      <c r="Q795" s="5" t="str">
        <f>IF(Transactions_RAW_cleaned[[#This Row],[Amount]] &gt; (_xlfn.XLOOKUP(Transactions_RAW_cleaned[[#This Row],[ServiceID]],Services_cleaned[ServiceID],Services_cleaned[TransactionFeePct]) * 10000), "Yes", "No")</f>
        <v>Yes</v>
      </c>
      <c r="R795" s="5" t="str">
        <f>IF(COUNTIFS($C$2:Transactions_RAW_cleaned[[#This Row],[CustomerID]],Transactions_RAW_cleaned[[#This Row],[CustomerID]],$D$2:Transactions_RAW_cleaned[[#This Row],[ServiceID]],Transactions_RAW_cleaned[[#This Row],[ServiceID]])=1,"Yes","No")</f>
        <v>Yes</v>
      </c>
      <c r="S79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795" t="str">
        <f>"Q"&amp;ROUNDUP(MONTH(Transactions_RAW_cleaned[[#This Row],[TransactionDate]])/3,0)</f>
        <v>Q3</v>
      </c>
      <c r="U795" t="str">
        <f>Transactions_RAW_cleaned[[#This Row],[Region ]]&amp;Transactions_RAW_cleaned[[#This Row],[Quarter ]]</f>
        <v>EMEAQ3</v>
      </c>
      <c r="V795" s="5">
        <f>_xlfn.XLOOKUP(Transactions_RAW_cleaned[[#This Row],[RegionQuarterKey]], Quarterly_Targets_cleaned[RegionQuarterKey], Quarterly_Targets_cleaned[TargetRevenue])</f>
        <v>147000</v>
      </c>
    </row>
    <row r="796" spans="1:22" x14ac:dyDescent="0.25">
      <c r="A796" t="s">
        <v>1131</v>
      </c>
      <c r="B796" s="1">
        <v>45562</v>
      </c>
      <c r="C796" t="s">
        <v>187</v>
      </c>
      <c r="D796" t="s">
        <v>309</v>
      </c>
      <c r="E796">
        <v>514.80999999999995</v>
      </c>
      <c r="F796" t="s">
        <v>324</v>
      </c>
      <c r="G796" t="s">
        <v>337</v>
      </c>
      <c r="I796" t="s">
        <v>57</v>
      </c>
      <c r="J796" t="s">
        <v>21</v>
      </c>
      <c r="K796" t="s">
        <v>28</v>
      </c>
      <c r="L796" t="s">
        <v>310</v>
      </c>
      <c r="M796" t="s">
        <v>311</v>
      </c>
      <c r="N796">
        <v>0</v>
      </c>
      <c r="O796" t="str">
        <f>IF(Transactions_RAW_cleaned[[#This Row],[Status]]="Completed", IFERROR(_xlfn.XLOOKUP(Transactions_RAW_cleaned[[#This Row],[CustomerID]], Customers_cleaned[CustomerID], Customers_cleaned[Segment]), "Customer Not Found"), "N/A")</f>
        <v>Startup</v>
      </c>
      <c r="P796" s="5" t="str">
        <f>IF(Transactions_RAW_cleaned[[#This Row],[Status]]="Refunded", "Refund",
  IF(Transactions_RAW_cleaned[[#This Row],[Category]]="Payments", IF(Transactions_RAW_cleaned[[#This Row],[Amount]]&gt;500,"High Value","Standard"),
    IF(Transactions_RAW_cleaned[[#This Row],[Amount]]&gt;250,"High Value","Standard")))</f>
        <v>High Value</v>
      </c>
      <c r="Q796" s="5" t="str">
        <f>IF(Transactions_RAW_cleaned[[#This Row],[Amount]] &gt; (_xlfn.XLOOKUP(Transactions_RAW_cleaned[[#This Row],[ServiceID]],Services_cleaned[ServiceID],Services_cleaned[TransactionFeePct]) * 10000), "Yes", "No")</f>
        <v>Yes</v>
      </c>
      <c r="R796" s="5" t="str">
        <f>IF(COUNTIFS($C$2:Transactions_RAW_cleaned[[#This Row],[CustomerID]],Transactions_RAW_cleaned[[#This Row],[CustomerID]],$D$2:Transactions_RAW_cleaned[[#This Row],[ServiceID]],Transactions_RAW_cleaned[[#This Row],[ServiceID]])=1,"Yes","No")</f>
        <v>No</v>
      </c>
      <c r="S79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96" t="str">
        <f>"Q"&amp;ROUNDUP(MONTH(Transactions_RAW_cleaned[[#This Row],[TransactionDate]])/3,0)</f>
        <v>Q3</v>
      </c>
      <c r="U796" t="str">
        <f>Transactions_RAW_cleaned[[#This Row],[Region ]]&amp;Transactions_RAW_cleaned[[#This Row],[Quarter ]]</f>
        <v>APACQ3</v>
      </c>
      <c r="V796" s="5">
        <f>_xlfn.XLOOKUP(Transactions_RAW_cleaned[[#This Row],[RegionQuarterKey]], Quarterly_Targets_cleaned[RegionQuarterKey], Quarterly_Targets_cleaned[TargetRevenue])</f>
        <v>115500</v>
      </c>
    </row>
    <row r="797" spans="1:22" x14ac:dyDescent="0.25">
      <c r="A797" t="s">
        <v>1132</v>
      </c>
      <c r="B797" s="1">
        <v>45394</v>
      </c>
      <c r="C797" t="s">
        <v>161</v>
      </c>
      <c r="D797" t="s">
        <v>300</v>
      </c>
      <c r="E797">
        <v>1244.9100000000001</v>
      </c>
      <c r="F797" t="s">
        <v>381</v>
      </c>
      <c r="G797" t="s">
        <v>329</v>
      </c>
      <c r="I797" t="s">
        <v>8</v>
      </c>
      <c r="J797" t="s">
        <v>21</v>
      </c>
      <c r="K797" t="s">
        <v>22</v>
      </c>
      <c r="L797" t="s">
        <v>301</v>
      </c>
      <c r="M797" t="s">
        <v>302</v>
      </c>
      <c r="N797">
        <v>5.0000000000000001E-3</v>
      </c>
      <c r="O797" t="str">
        <f>IF(Transactions_RAW_cleaned[[#This Row],[Status]]="Completed", IFERROR(_xlfn.XLOOKUP(Transactions_RAW_cleaned[[#This Row],[CustomerID]], Customers_cleaned[CustomerID], Customers_cleaned[Segment]), "Customer Not Found"), "N/A")</f>
        <v>N/A</v>
      </c>
      <c r="P797" s="5" t="str">
        <f>IF(Transactions_RAW_cleaned[[#This Row],[Status]]="Refunded", "Refund",
  IF(Transactions_RAW_cleaned[[#This Row],[Category]]="Payments", IF(Transactions_RAW_cleaned[[#This Row],[Amount]]&gt;500,"High Value","Standard"),
    IF(Transactions_RAW_cleaned[[#This Row],[Amount]]&gt;250,"High Value","Standard")))</f>
        <v>High Value</v>
      </c>
      <c r="Q797" s="5" t="str">
        <f>IF(Transactions_RAW_cleaned[[#This Row],[Amount]] &gt; (_xlfn.XLOOKUP(Transactions_RAW_cleaned[[#This Row],[ServiceID]],Services_cleaned[ServiceID],Services_cleaned[TransactionFeePct]) * 10000), "Yes", "No")</f>
        <v>Yes</v>
      </c>
      <c r="R797" s="5" t="str">
        <f>IF(COUNTIFS($C$2:Transactions_RAW_cleaned[[#This Row],[CustomerID]],Transactions_RAW_cleaned[[#This Row],[CustomerID]],$D$2:Transactions_RAW_cleaned[[#This Row],[ServiceID]],Transactions_RAW_cleaned[[#This Row],[ServiceID]])=1,"Yes","No")</f>
        <v>No</v>
      </c>
      <c r="S79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797" t="str">
        <f>"Q"&amp;ROUNDUP(MONTH(Transactions_RAW_cleaned[[#This Row],[TransactionDate]])/3,0)</f>
        <v>Q2</v>
      </c>
      <c r="U797" t="str">
        <f>Transactions_RAW_cleaned[[#This Row],[Region ]]&amp;Transactions_RAW_cleaned[[#This Row],[Quarter ]]</f>
        <v>APACQ2</v>
      </c>
      <c r="V797" s="5">
        <f>_xlfn.XLOOKUP(Transactions_RAW_cleaned[[#This Row],[RegionQuarterKey]], Quarterly_Targets_cleaned[RegionQuarterKey], Quarterly_Targets_cleaned[TargetRevenue])</f>
        <v>110000</v>
      </c>
    </row>
    <row r="798" spans="1:22" x14ac:dyDescent="0.25">
      <c r="A798" t="s">
        <v>1133</v>
      </c>
      <c r="B798" s="1">
        <v>45381</v>
      </c>
      <c r="C798" t="s">
        <v>167</v>
      </c>
      <c r="D798" t="s">
        <v>294</v>
      </c>
      <c r="E798">
        <v>310.83999999999997</v>
      </c>
      <c r="F798" t="s">
        <v>381</v>
      </c>
      <c r="G798" t="s">
        <v>329</v>
      </c>
      <c r="I798" t="s">
        <v>17</v>
      </c>
      <c r="J798" t="s">
        <v>13</v>
      </c>
      <c r="K798" t="s">
        <v>10</v>
      </c>
      <c r="L798" t="s">
        <v>295</v>
      </c>
      <c r="M798" t="s">
        <v>296</v>
      </c>
      <c r="N798">
        <v>2.9000000000000001E-2</v>
      </c>
      <c r="O798" t="str">
        <f>IF(Transactions_RAW_cleaned[[#This Row],[Status]]="Completed", IFERROR(_xlfn.XLOOKUP(Transactions_RAW_cleaned[[#This Row],[CustomerID]], Customers_cleaned[CustomerID], Customers_cleaned[Segment]), "Customer Not Found"), "N/A")</f>
        <v>N/A</v>
      </c>
      <c r="P798" s="5" t="str">
        <f>IF(Transactions_RAW_cleaned[[#This Row],[Status]]="Refunded", "Refund",
  IF(Transactions_RAW_cleaned[[#This Row],[Category]]="Payments", IF(Transactions_RAW_cleaned[[#This Row],[Amount]]&gt;500,"High Value","Standard"),
    IF(Transactions_RAW_cleaned[[#This Row],[Amount]]&gt;250,"High Value","Standard")))</f>
        <v>Standard</v>
      </c>
      <c r="Q798" s="5" t="str">
        <f>IF(Transactions_RAW_cleaned[[#This Row],[Amount]] &gt; (_xlfn.XLOOKUP(Transactions_RAW_cleaned[[#This Row],[ServiceID]],Services_cleaned[ServiceID],Services_cleaned[TransactionFeePct]) * 10000), "Yes", "No")</f>
        <v>Yes</v>
      </c>
      <c r="R798" s="5" t="str">
        <f>IF(COUNTIFS($C$2:Transactions_RAW_cleaned[[#This Row],[CustomerID]],Transactions_RAW_cleaned[[#This Row],[CustomerID]],$D$2:Transactions_RAW_cleaned[[#This Row],[ServiceID]],Transactions_RAW_cleaned[[#This Row],[ServiceID]])=1,"Yes","No")</f>
        <v>Yes</v>
      </c>
      <c r="S79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98" t="str">
        <f>"Q"&amp;ROUNDUP(MONTH(Transactions_RAW_cleaned[[#This Row],[TransactionDate]])/3,0)</f>
        <v>Q1</v>
      </c>
      <c r="U798" t="str">
        <f>Transactions_RAW_cleaned[[#This Row],[Region ]]&amp;Transactions_RAW_cleaned[[#This Row],[Quarter ]]</f>
        <v>NAQ1</v>
      </c>
      <c r="V798" s="5">
        <f>_xlfn.XLOOKUP(Transactions_RAW_cleaned[[#This Row],[RegionQuarterKey]], Quarterly_Targets_cleaned[RegionQuarterKey], Quarterly_Targets_cleaned[TargetRevenue])</f>
        <v>247000</v>
      </c>
    </row>
    <row r="799" spans="1:22" x14ac:dyDescent="0.25">
      <c r="A799" t="s">
        <v>1134</v>
      </c>
      <c r="B799" s="1">
        <v>45468</v>
      </c>
      <c r="C799" t="s">
        <v>241</v>
      </c>
      <c r="D799" t="s">
        <v>306</v>
      </c>
      <c r="E799">
        <v>-586.28</v>
      </c>
      <c r="F799" t="s">
        <v>349</v>
      </c>
      <c r="G799" t="s">
        <v>327</v>
      </c>
      <c r="H799" t="s">
        <v>332</v>
      </c>
      <c r="I799" t="s">
        <v>8</v>
      </c>
      <c r="J799" t="s">
        <v>102</v>
      </c>
      <c r="K799" t="s">
        <v>32</v>
      </c>
      <c r="L799" t="s">
        <v>307</v>
      </c>
      <c r="M799" t="s">
        <v>308</v>
      </c>
      <c r="N799">
        <v>0</v>
      </c>
      <c r="O799" t="str">
        <f>IF(Transactions_RAW_cleaned[[#This Row],[Status]]="Completed", IFERROR(_xlfn.XLOOKUP(Transactions_RAW_cleaned[[#This Row],[CustomerID]], Customers_cleaned[CustomerID], Customers_cleaned[Segment]), "Customer Not Found"), "N/A")</f>
        <v>N/A</v>
      </c>
      <c r="P799" s="5" t="str">
        <f>IF(Transactions_RAW_cleaned[[#This Row],[Status]]="Refunded", "Refund",
  IF(Transactions_RAW_cleaned[[#This Row],[Category]]="Payments", IF(Transactions_RAW_cleaned[[#This Row],[Amount]]&gt;500,"High Value","Standard"),
    IF(Transactions_RAW_cleaned[[#This Row],[Amount]]&gt;250,"High Value","Standard")))</f>
        <v>Refund</v>
      </c>
      <c r="Q799" s="5" t="str">
        <f>IF(Transactions_RAW_cleaned[[#This Row],[Amount]] &gt; (_xlfn.XLOOKUP(Transactions_RAW_cleaned[[#This Row],[ServiceID]],Services_cleaned[ServiceID],Services_cleaned[TransactionFeePct]) * 10000), "Yes", "No")</f>
        <v>No</v>
      </c>
      <c r="R799" s="5" t="str">
        <f>IF(COUNTIFS($C$2:Transactions_RAW_cleaned[[#This Row],[CustomerID]],Transactions_RAW_cleaned[[#This Row],[CustomerID]],$D$2:Transactions_RAW_cleaned[[#This Row],[ServiceID]],Transactions_RAW_cleaned[[#This Row],[ServiceID]])=1,"Yes","No")</f>
        <v>No</v>
      </c>
      <c r="S79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799" t="str">
        <f>"Q"&amp;ROUNDUP(MONTH(Transactions_RAW_cleaned[[#This Row],[TransactionDate]])/3,0)</f>
        <v>Q2</v>
      </c>
      <c r="U799" t="str">
        <f>Transactions_RAW_cleaned[[#This Row],[Region ]]&amp;Transactions_RAW_cleaned[[#This Row],[Quarter ]]</f>
        <v>NAQ2</v>
      </c>
      <c r="V799" s="5">
        <f>_xlfn.XLOOKUP(Transactions_RAW_cleaned[[#This Row],[RegionQuarterKey]], Quarterly_Targets_cleaned[RegionQuarterKey], Quarterly_Targets_cleaned[TargetRevenue])</f>
        <v>260000</v>
      </c>
    </row>
    <row r="800" spans="1:22" x14ac:dyDescent="0.25">
      <c r="A800" t="s">
        <v>1135</v>
      </c>
      <c r="B800" s="1">
        <v>45336</v>
      </c>
      <c r="C800" t="s">
        <v>221</v>
      </c>
      <c r="D800" t="s">
        <v>309</v>
      </c>
      <c r="E800">
        <v>502.28</v>
      </c>
      <c r="F800" t="s">
        <v>324</v>
      </c>
      <c r="G800" t="s">
        <v>325</v>
      </c>
      <c r="I800" t="s">
        <v>8</v>
      </c>
      <c r="J800" t="s">
        <v>102</v>
      </c>
      <c r="K800" t="s">
        <v>14</v>
      </c>
      <c r="L800" t="s">
        <v>310</v>
      </c>
      <c r="M800" t="s">
        <v>311</v>
      </c>
      <c r="N800">
        <v>0</v>
      </c>
      <c r="O800" t="str">
        <f>IF(Transactions_RAW_cleaned[[#This Row],[Status]]="Completed", IFERROR(_xlfn.XLOOKUP(Transactions_RAW_cleaned[[#This Row],[CustomerID]], Customers_cleaned[CustomerID], Customers_cleaned[Segment]), "Customer Not Found"), "N/A")</f>
        <v>SMB</v>
      </c>
      <c r="P800" s="5" t="str">
        <f>IF(Transactions_RAW_cleaned[[#This Row],[Status]]="Refunded", "Refund",
  IF(Transactions_RAW_cleaned[[#This Row],[Category]]="Payments", IF(Transactions_RAW_cleaned[[#This Row],[Amount]]&gt;500,"High Value","Standard"),
    IF(Transactions_RAW_cleaned[[#This Row],[Amount]]&gt;250,"High Value","Standard")))</f>
        <v>High Value</v>
      </c>
      <c r="Q800" s="5" t="str">
        <f>IF(Transactions_RAW_cleaned[[#This Row],[Amount]] &gt; (_xlfn.XLOOKUP(Transactions_RAW_cleaned[[#This Row],[ServiceID]],Services_cleaned[ServiceID],Services_cleaned[TransactionFeePct]) * 10000), "Yes", "No")</f>
        <v>Yes</v>
      </c>
      <c r="R800" s="5" t="str">
        <f>IF(COUNTIFS($C$2:Transactions_RAW_cleaned[[#This Row],[CustomerID]],Transactions_RAW_cleaned[[#This Row],[CustomerID]],$D$2:Transactions_RAW_cleaned[[#This Row],[ServiceID]],Transactions_RAW_cleaned[[#This Row],[ServiceID]])=1,"Yes","No")</f>
        <v>Yes</v>
      </c>
      <c r="S80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00" t="str">
        <f>"Q"&amp;ROUNDUP(MONTH(Transactions_RAW_cleaned[[#This Row],[TransactionDate]])/3,0)</f>
        <v>Q1</v>
      </c>
      <c r="U800" t="str">
        <f>Transactions_RAW_cleaned[[#This Row],[Region ]]&amp;Transactions_RAW_cleaned[[#This Row],[Quarter ]]</f>
        <v>NAQ1</v>
      </c>
      <c r="V800" s="5">
        <f>_xlfn.XLOOKUP(Transactions_RAW_cleaned[[#This Row],[RegionQuarterKey]], Quarterly_Targets_cleaned[RegionQuarterKey], Quarterly_Targets_cleaned[TargetRevenue])</f>
        <v>247000</v>
      </c>
    </row>
    <row r="801" spans="1:22" x14ac:dyDescent="0.25">
      <c r="A801" t="s">
        <v>1136</v>
      </c>
      <c r="B801" s="1">
        <v>45391</v>
      </c>
      <c r="C801" t="s">
        <v>233</v>
      </c>
      <c r="D801" t="s">
        <v>297</v>
      </c>
      <c r="E801">
        <v>108.73</v>
      </c>
      <c r="F801" t="s">
        <v>324</v>
      </c>
      <c r="G801" t="s">
        <v>325</v>
      </c>
      <c r="I801" t="s">
        <v>8</v>
      </c>
      <c r="J801" t="s">
        <v>13</v>
      </c>
      <c r="K801" t="s">
        <v>14</v>
      </c>
      <c r="L801" t="s">
        <v>298</v>
      </c>
      <c r="M801" t="s">
        <v>299</v>
      </c>
      <c r="N801">
        <v>0</v>
      </c>
      <c r="O801" t="str">
        <f>IF(Transactions_RAW_cleaned[[#This Row],[Status]]="Completed", IFERROR(_xlfn.XLOOKUP(Transactions_RAW_cleaned[[#This Row],[CustomerID]], Customers_cleaned[CustomerID], Customers_cleaned[Segment]), "Customer Not Found"), "N/A")</f>
        <v>SMB</v>
      </c>
      <c r="P801" s="5" t="str">
        <f>IF(Transactions_RAW_cleaned[[#This Row],[Status]]="Refunded", "Refund",
  IF(Transactions_RAW_cleaned[[#This Row],[Category]]="Payments", IF(Transactions_RAW_cleaned[[#This Row],[Amount]]&gt;500,"High Value","Standard"),
    IF(Transactions_RAW_cleaned[[#This Row],[Amount]]&gt;250,"High Value","Standard")))</f>
        <v>Standard</v>
      </c>
      <c r="Q801" s="5" t="str">
        <f>IF(Transactions_RAW_cleaned[[#This Row],[Amount]] &gt; (_xlfn.XLOOKUP(Transactions_RAW_cleaned[[#This Row],[ServiceID]],Services_cleaned[ServiceID],Services_cleaned[TransactionFeePct]) * 10000), "Yes", "No")</f>
        <v>Yes</v>
      </c>
      <c r="R801" s="5" t="str">
        <f>IF(COUNTIFS($C$2:Transactions_RAW_cleaned[[#This Row],[CustomerID]],Transactions_RAW_cleaned[[#This Row],[CustomerID]],$D$2:Transactions_RAW_cleaned[[#This Row],[ServiceID]],Transactions_RAW_cleaned[[#This Row],[ServiceID]])=1,"Yes","No")</f>
        <v>No</v>
      </c>
      <c r="S80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01" t="str">
        <f>"Q"&amp;ROUNDUP(MONTH(Transactions_RAW_cleaned[[#This Row],[TransactionDate]])/3,0)</f>
        <v>Q2</v>
      </c>
      <c r="U801" t="str">
        <f>Transactions_RAW_cleaned[[#This Row],[Region ]]&amp;Transactions_RAW_cleaned[[#This Row],[Quarter ]]</f>
        <v>NAQ2</v>
      </c>
      <c r="V801" s="5">
        <f>_xlfn.XLOOKUP(Transactions_RAW_cleaned[[#This Row],[RegionQuarterKey]], Quarterly_Targets_cleaned[RegionQuarterKey], Quarterly_Targets_cleaned[TargetRevenue])</f>
        <v>260000</v>
      </c>
    </row>
    <row r="802" spans="1:22" x14ac:dyDescent="0.25">
      <c r="A802" t="s">
        <v>1137</v>
      </c>
      <c r="B802" s="1">
        <v>45341</v>
      </c>
      <c r="C802" t="s">
        <v>157</v>
      </c>
      <c r="D802" t="s">
        <v>294</v>
      </c>
      <c r="E802">
        <v>325.99</v>
      </c>
      <c r="F802" t="s">
        <v>331</v>
      </c>
      <c r="G802" t="s">
        <v>325</v>
      </c>
      <c r="H802" t="s">
        <v>334</v>
      </c>
      <c r="I802" t="s">
        <v>8</v>
      </c>
      <c r="J802" t="s">
        <v>102</v>
      </c>
      <c r="K802" t="s">
        <v>14</v>
      </c>
      <c r="L802" t="s">
        <v>295</v>
      </c>
      <c r="M802" t="s">
        <v>296</v>
      </c>
      <c r="N802">
        <v>2.9000000000000001E-2</v>
      </c>
      <c r="O802" t="str">
        <f>IF(Transactions_RAW_cleaned[[#This Row],[Status]]="Completed", IFERROR(_xlfn.XLOOKUP(Transactions_RAW_cleaned[[#This Row],[CustomerID]], Customers_cleaned[CustomerID], Customers_cleaned[Segment]), "Customer Not Found"), "N/A")</f>
        <v>N/A</v>
      </c>
      <c r="P802" s="5" t="str">
        <f>IF(Transactions_RAW_cleaned[[#This Row],[Status]]="Refunded", "Refund",
  IF(Transactions_RAW_cleaned[[#This Row],[Category]]="Payments", IF(Transactions_RAW_cleaned[[#This Row],[Amount]]&gt;500,"High Value","Standard"),
    IF(Transactions_RAW_cleaned[[#This Row],[Amount]]&gt;250,"High Value","Standard")))</f>
        <v>Standard</v>
      </c>
      <c r="Q802" s="5" t="str">
        <f>IF(Transactions_RAW_cleaned[[#This Row],[Amount]] &gt; (_xlfn.XLOOKUP(Transactions_RAW_cleaned[[#This Row],[ServiceID]],Services_cleaned[ServiceID],Services_cleaned[TransactionFeePct]) * 10000), "Yes", "No")</f>
        <v>Yes</v>
      </c>
      <c r="R802" s="5" t="str">
        <f>IF(COUNTIFS($C$2:Transactions_RAW_cleaned[[#This Row],[CustomerID]],Transactions_RAW_cleaned[[#This Row],[CustomerID]],$D$2:Transactions_RAW_cleaned[[#This Row],[ServiceID]],Transactions_RAW_cleaned[[#This Row],[ServiceID]])=1,"Yes","No")</f>
        <v>No</v>
      </c>
      <c r="S80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02" t="str">
        <f>"Q"&amp;ROUNDUP(MONTH(Transactions_RAW_cleaned[[#This Row],[TransactionDate]])/3,0)</f>
        <v>Q1</v>
      </c>
      <c r="U802" t="str">
        <f>Transactions_RAW_cleaned[[#This Row],[Region ]]&amp;Transactions_RAW_cleaned[[#This Row],[Quarter ]]</f>
        <v>NAQ1</v>
      </c>
      <c r="V802" s="5">
        <f>_xlfn.XLOOKUP(Transactions_RAW_cleaned[[#This Row],[RegionQuarterKey]], Quarterly_Targets_cleaned[RegionQuarterKey], Quarterly_Targets_cleaned[TargetRevenue])</f>
        <v>247000</v>
      </c>
    </row>
    <row r="803" spans="1:22" x14ac:dyDescent="0.25">
      <c r="A803" t="s">
        <v>1138</v>
      </c>
      <c r="B803" s="1">
        <v>45544</v>
      </c>
      <c r="C803" t="s">
        <v>40</v>
      </c>
      <c r="D803" t="s">
        <v>294</v>
      </c>
      <c r="E803">
        <v>394.14</v>
      </c>
      <c r="F803" t="s">
        <v>324</v>
      </c>
      <c r="G803" t="s">
        <v>327</v>
      </c>
      <c r="I803" t="s">
        <v>17</v>
      </c>
      <c r="J803" t="s">
        <v>102</v>
      </c>
      <c r="K803" t="s">
        <v>14</v>
      </c>
      <c r="L803" t="s">
        <v>295</v>
      </c>
      <c r="M803" t="s">
        <v>296</v>
      </c>
      <c r="N803">
        <v>2.9000000000000001E-2</v>
      </c>
      <c r="O803" t="str">
        <f>IF(Transactions_RAW_cleaned[[#This Row],[Status]]="Completed", IFERROR(_xlfn.XLOOKUP(Transactions_RAW_cleaned[[#This Row],[CustomerID]], Customers_cleaned[CustomerID], Customers_cleaned[Segment]), "Customer Not Found"), "N/A")</f>
        <v>Enterprise</v>
      </c>
      <c r="P803" s="5" t="str">
        <f>IF(Transactions_RAW_cleaned[[#This Row],[Status]]="Refunded", "Refund",
  IF(Transactions_RAW_cleaned[[#This Row],[Category]]="Payments", IF(Transactions_RAW_cleaned[[#This Row],[Amount]]&gt;500,"High Value","Standard"),
    IF(Transactions_RAW_cleaned[[#This Row],[Amount]]&gt;250,"High Value","Standard")))</f>
        <v>Standard</v>
      </c>
      <c r="Q803" s="5" t="str">
        <f>IF(Transactions_RAW_cleaned[[#This Row],[Amount]] &gt; (_xlfn.XLOOKUP(Transactions_RAW_cleaned[[#This Row],[ServiceID]],Services_cleaned[ServiceID],Services_cleaned[TransactionFeePct]) * 10000), "Yes", "No")</f>
        <v>Yes</v>
      </c>
      <c r="R803" s="5" t="str">
        <f>IF(COUNTIFS($C$2:Transactions_RAW_cleaned[[#This Row],[CustomerID]],Transactions_RAW_cleaned[[#This Row],[CustomerID]],$D$2:Transactions_RAW_cleaned[[#This Row],[ServiceID]],Transactions_RAW_cleaned[[#This Row],[ServiceID]])=1,"Yes","No")</f>
        <v>No</v>
      </c>
      <c r="S80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03" t="str">
        <f>"Q"&amp;ROUNDUP(MONTH(Transactions_RAW_cleaned[[#This Row],[TransactionDate]])/3,0)</f>
        <v>Q3</v>
      </c>
      <c r="U803" t="str">
        <f>Transactions_RAW_cleaned[[#This Row],[Region ]]&amp;Transactions_RAW_cleaned[[#This Row],[Quarter ]]</f>
        <v>NAQ3</v>
      </c>
      <c r="V803" s="5">
        <f>_xlfn.XLOOKUP(Transactions_RAW_cleaned[[#This Row],[RegionQuarterKey]], Quarterly_Targets_cleaned[RegionQuarterKey], Quarterly_Targets_cleaned[TargetRevenue])</f>
        <v>273000</v>
      </c>
    </row>
    <row r="804" spans="1:22" x14ac:dyDescent="0.25">
      <c r="A804" t="s">
        <v>1139</v>
      </c>
      <c r="B804" s="1">
        <v>45331</v>
      </c>
      <c r="C804" t="s">
        <v>62</v>
      </c>
      <c r="D804" t="s">
        <v>294</v>
      </c>
      <c r="E804">
        <v>513.94000000000005</v>
      </c>
      <c r="F804" t="s">
        <v>381</v>
      </c>
      <c r="G804" t="s">
        <v>325</v>
      </c>
      <c r="I804" t="s">
        <v>8</v>
      </c>
      <c r="J804" t="s">
        <v>46</v>
      </c>
      <c r="K804" t="s">
        <v>18</v>
      </c>
      <c r="L804" t="s">
        <v>295</v>
      </c>
      <c r="M804" t="s">
        <v>296</v>
      </c>
      <c r="N804">
        <v>2.9000000000000001E-2</v>
      </c>
      <c r="O804" t="str">
        <f>IF(Transactions_RAW_cleaned[[#This Row],[Status]]="Completed", IFERROR(_xlfn.XLOOKUP(Transactions_RAW_cleaned[[#This Row],[CustomerID]], Customers_cleaned[CustomerID], Customers_cleaned[Segment]), "Customer Not Found"), "N/A")</f>
        <v>N/A</v>
      </c>
      <c r="P804" s="5" t="str">
        <f>IF(Transactions_RAW_cleaned[[#This Row],[Status]]="Refunded", "Refund",
  IF(Transactions_RAW_cleaned[[#This Row],[Category]]="Payments", IF(Transactions_RAW_cleaned[[#This Row],[Amount]]&gt;500,"High Value","Standard"),
    IF(Transactions_RAW_cleaned[[#This Row],[Amount]]&gt;250,"High Value","Standard")))</f>
        <v>High Value</v>
      </c>
      <c r="Q804" s="5" t="str">
        <f>IF(Transactions_RAW_cleaned[[#This Row],[Amount]] &gt; (_xlfn.XLOOKUP(Transactions_RAW_cleaned[[#This Row],[ServiceID]],Services_cleaned[ServiceID],Services_cleaned[TransactionFeePct]) * 10000), "Yes", "No")</f>
        <v>Yes</v>
      </c>
      <c r="R804" s="5" t="str">
        <f>IF(COUNTIFS($C$2:Transactions_RAW_cleaned[[#This Row],[CustomerID]],Transactions_RAW_cleaned[[#This Row],[CustomerID]],$D$2:Transactions_RAW_cleaned[[#This Row],[ServiceID]],Transactions_RAW_cleaned[[#This Row],[ServiceID]])=1,"Yes","No")</f>
        <v>No</v>
      </c>
      <c r="S80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04" t="str">
        <f>"Q"&amp;ROUNDUP(MONTH(Transactions_RAW_cleaned[[#This Row],[TransactionDate]])/3,0)</f>
        <v>Q1</v>
      </c>
      <c r="U804" t="str">
        <f>Transactions_RAW_cleaned[[#This Row],[Region ]]&amp;Transactions_RAW_cleaned[[#This Row],[Quarter ]]</f>
        <v>APACQ1</v>
      </c>
      <c r="V804" s="5">
        <f>_xlfn.XLOOKUP(Transactions_RAW_cleaned[[#This Row],[RegionQuarterKey]], Quarterly_Targets_cleaned[RegionQuarterKey], Quarterly_Targets_cleaned[TargetRevenue])</f>
        <v>104500</v>
      </c>
    </row>
    <row r="805" spans="1:22" x14ac:dyDescent="0.25">
      <c r="A805" t="s">
        <v>1140</v>
      </c>
      <c r="B805" s="1">
        <v>45586</v>
      </c>
      <c r="C805" t="s">
        <v>55</v>
      </c>
      <c r="D805" t="s">
        <v>294</v>
      </c>
      <c r="E805">
        <v>429.24</v>
      </c>
      <c r="F805" t="s">
        <v>324</v>
      </c>
      <c r="G805" t="s">
        <v>329</v>
      </c>
      <c r="H805" t="s">
        <v>346</v>
      </c>
      <c r="I805" t="s">
        <v>57</v>
      </c>
      <c r="J805" t="s">
        <v>31</v>
      </c>
      <c r="K805" t="s">
        <v>22</v>
      </c>
      <c r="L805" t="s">
        <v>295</v>
      </c>
      <c r="M805" t="s">
        <v>296</v>
      </c>
      <c r="N805">
        <v>2.9000000000000001E-2</v>
      </c>
      <c r="O805" t="str">
        <f>IF(Transactions_RAW_cleaned[[#This Row],[Status]]="Completed", IFERROR(_xlfn.XLOOKUP(Transactions_RAW_cleaned[[#This Row],[CustomerID]], Customers_cleaned[CustomerID], Customers_cleaned[Segment]), "Customer Not Found"), "N/A")</f>
        <v>Startup</v>
      </c>
      <c r="P805" s="5" t="str">
        <f>IF(Transactions_RAW_cleaned[[#This Row],[Status]]="Refunded", "Refund",
  IF(Transactions_RAW_cleaned[[#This Row],[Category]]="Payments", IF(Transactions_RAW_cleaned[[#This Row],[Amount]]&gt;500,"High Value","Standard"),
    IF(Transactions_RAW_cleaned[[#This Row],[Amount]]&gt;250,"High Value","Standard")))</f>
        <v>Standard</v>
      </c>
      <c r="Q805" s="5" t="str">
        <f>IF(Transactions_RAW_cleaned[[#This Row],[Amount]] &gt; (_xlfn.XLOOKUP(Transactions_RAW_cleaned[[#This Row],[ServiceID]],Services_cleaned[ServiceID],Services_cleaned[TransactionFeePct]) * 10000), "Yes", "No")</f>
        <v>Yes</v>
      </c>
      <c r="R805" s="5" t="str">
        <f>IF(COUNTIFS($C$2:Transactions_RAW_cleaned[[#This Row],[CustomerID]],Transactions_RAW_cleaned[[#This Row],[CustomerID]],$D$2:Transactions_RAW_cleaned[[#This Row],[ServiceID]],Transactions_RAW_cleaned[[#This Row],[ServiceID]])=1,"Yes","No")</f>
        <v>No</v>
      </c>
      <c r="S80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05" t="str">
        <f>"Q"&amp;ROUNDUP(MONTH(Transactions_RAW_cleaned[[#This Row],[TransactionDate]])/3,0)</f>
        <v>Q4</v>
      </c>
      <c r="U805" t="str">
        <f>Transactions_RAW_cleaned[[#This Row],[Region ]]&amp;Transactions_RAW_cleaned[[#This Row],[Quarter ]]</f>
        <v>EMEAQ4</v>
      </c>
      <c r="V805" s="5">
        <f>_xlfn.XLOOKUP(Transactions_RAW_cleaned[[#This Row],[RegionQuarterKey]], Quarterly_Targets_cleaned[RegionQuarterKey], Quarterly_Targets_cleaned[TargetRevenue])</f>
        <v>161000</v>
      </c>
    </row>
    <row r="806" spans="1:22" x14ac:dyDescent="0.25">
      <c r="A806" t="s">
        <v>1141</v>
      </c>
      <c r="B806" s="1">
        <v>45508</v>
      </c>
      <c r="C806" t="s">
        <v>55</v>
      </c>
      <c r="D806" t="s">
        <v>300</v>
      </c>
      <c r="E806">
        <v>665.74</v>
      </c>
      <c r="F806" t="s">
        <v>324</v>
      </c>
      <c r="G806" t="s">
        <v>337</v>
      </c>
      <c r="H806" t="s">
        <v>332</v>
      </c>
      <c r="I806" t="s">
        <v>57</v>
      </c>
      <c r="J806" t="s">
        <v>31</v>
      </c>
      <c r="K806" t="s">
        <v>22</v>
      </c>
      <c r="L806" t="s">
        <v>301</v>
      </c>
      <c r="M806" t="s">
        <v>302</v>
      </c>
      <c r="N806">
        <v>5.0000000000000001E-3</v>
      </c>
      <c r="O806" t="str">
        <f>IF(Transactions_RAW_cleaned[[#This Row],[Status]]="Completed", IFERROR(_xlfn.XLOOKUP(Transactions_RAW_cleaned[[#This Row],[CustomerID]], Customers_cleaned[CustomerID], Customers_cleaned[Segment]), "Customer Not Found"), "N/A")</f>
        <v>Startup</v>
      </c>
      <c r="P806" s="5" t="str">
        <f>IF(Transactions_RAW_cleaned[[#This Row],[Status]]="Refunded", "Refund",
  IF(Transactions_RAW_cleaned[[#This Row],[Category]]="Payments", IF(Transactions_RAW_cleaned[[#This Row],[Amount]]&gt;500,"High Value","Standard"),
    IF(Transactions_RAW_cleaned[[#This Row],[Amount]]&gt;250,"High Value","Standard")))</f>
        <v>High Value</v>
      </c>
      <c r="Q806" s="5" t="str">
        <f>IF(Transactions_RAW_cleaned[[#This Row],[Amount]] &gt; (_xlfn.XLOOKUP(Transactions_RAW_cleaned[[#This Row],[ServiceID]],Services_cleaned[ServiceID],Services_cleaned[TransactionFeePct]) * 10000), "Yes", "No")</f>
        <v>Yes</v>
      </c>
      <c r="R806" s="5" t="str">
        <f>IF(COUNTIFS($C$2:Transactions_RAW_cleaned[[#This Row],[CustomerID]],Transactions_RAW_cleaned[[#This Row],[CustomerID]],$D$2:Transactions_RAW_cleaned[[#This Row],[ServiceID]],Transactions_RAW_cleaned[[#This Row],[ServiceID]])=1,"Yes","No")</f>
        <v>No</v>
      </c>
      <c r="S80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06" t="str">
        <f>"Q"&amp;ROUNDUP(MONTH(Transactions_RAW_cleaned[[#This Row],[TransactionDate]])/3,0)</f>
        <v>Q3</v>
      </c>
      <c r="U806" t="str">
        <f>Transactions_RAW_cleaned[[#This Row],[Region ]]&amp;Transactions_RAW_cleaned[[#This Row],[Quarter ]]</f>
        <v>EMEAQ3</v>
      </c>
      <c r="V806" s="5">
        <f>_xlfn.XLOOKUP(Transactions_RAW_cleaned[[#This Row],[RegionQuarterKey]], Quarterly_Targets_cleaned[RegionQuarterKey], Quarterly_Targets_cleaned[TargetRevenue])</f>
        <v>147000</v>
      </c>
    </row>
    <row r="807" spans="1:22" x14ac:dyDescent="0.25">
      <c r="A807" t="s">
        <v>1142</v>
      </c>
      <c r="B807" s="1">
        <v>45467</v>
      </c>
      <c r="C807" t="s">
        <v>229</v>
      </c>
      <c r="D807" t="s">
        <v>306</v>
      </c>
      <c r="E807">
        <v>-603.88</v>
      </c>
      <c r="F807" t="s">
        <v>349</v>
      </c>
      <c r="G807" t="s">
        <v>327</v>
      </c>
      <c r="H807" t="s">
        <v>334</v>
      </c>
      <c r="I807" t="s">
        <v>17</v>
      </c>
      <c r="J807" t="s">
        <v>102</v>
      </c>
      <c r="K807" t="s">
        <v>18</v>
      </c>
      <c r="L807" t="s">
        <v>307</v>
      </c>
      <c r="M807" t="s">
        <v>308</v>
      </c>
      <c r="N807">
        <v>0</v>
      </c>
      <c r="O807" t="str">
        <f>IF(Transactions_RAW_cleaned[[#This Row],[Status]]="Completed", IFERROR(_xlfn.XLOOKUP(Transactions_RAW_cleaned[[#This Row],[CustomerID]], Customers_cleaned[CustomerID], Customers_cleaned[Segment]), "Customer Not Found"), "N/A")</f>
        <v>N/A</v>
      </c>
      <c r="P807" s="5" t="str">
        <f>IF(Transactions_RAW_cleaned[[#This Row],[Status]]="Refunded", "Refund",
  IF(Transactions_RAW_cleaned[[#This Row],[Category]]="Payments", IF(Transactions_RAW_cleaned[[#This Row],[Amount]]&gt;500,"High Value","Standard"),
    IF(Transactions_RAW_cleaned[[#This Row],[Amount]]&gt;250,"High Value","Standard")))</f>
        <v>Refund</v>
      </c>
      <c r="Q807" s="5" t="str">
        <f>IF(Transactions_RAW_cleaned[[#This Row],[Amount]] &gt; (_xlfn.XLOOKUP(Transactions_RAW_cleaned[[#This Row],[ServiceID]],Services_cleaned[ServiceID],Services_cleaned[TransactionFeePct]) * 10000), "Yes", "No")</f>
        <v>No</v>
      </c>
      <c r="R807" s="5" t="str">
        <f>IF(COUNTIFS($C$2:Transactions_RAW_cleaned[[#This Row],[CustomerID]],Transactions_RAW_cleaned[[#This Row],[CustomerID]],$D$2:Transactions_RAW_cleaned[[#This Row],[ServiceID]],Transactions_RAW_cleaned[[#This Row],[ServiceID]])=1,"Yes","No")</f>
        <v>Yes</v>
      </c>
      <c r="S80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07" t="str">
        <f>"Q"&amp;ROUNDUP(MONTH(Transactions_RAW_cleaned[[#This Row],[TransactionDate]])/3,0)</f>
        <v>Q2</v>
      </c>
      <c r="U807" t="str">
        <f>Transactions_RAW_cleaned[[#This Row],[Region ]]&amp;Transactions_RAW_cleaned[[#This Row],[Quarter ]]</f>
        <v>NAQ2</v>
      </c>
      <c r="V807" s="5">
        <f>_xlfn.XLOOKUP(Transactions_RAW_cleaned[[#This Row],[RegionQuarterKey]], Quarterly_Targets_cleaned[RegionQuarterKey], Quarterly_Targets_cleaned[TargetRevenue])</f>
        <v>260000</v>
      </c>
    </row>
    <row r="808" spans="1:22" x14ac:dyDescent="0.25">
      <c r="A808" t="s">
        <v>1143</v>
      </c>
      <c r="B808" s="1">
        <v>45495</v>
      </c>
      <c r="C808" t="s">
        <v>161</v>
      </c>
      <c r="D808" t="s">
        <v>315</v>
      </c>
      <c r="E808">
        <v>739.19</v>
      </c>
      <c r="F808" t="s">
        <v>324</v>
      </c>
      <c r="G808" t="s">
        <v>337</v>
      </c>
      <c r="H808" t="s">
        <v>346</v>
      </c>
      <c r="I808" t="s">
        <v>8</v>
      </c>
      <c r="J808" t="s">
        <v>21</v>
      </c>
      <c r="K808" t="s">
        <v>22</v>
      </c>
      <c r="L808" t="s">
        <v>316</v>
      </c>
      <c r="M808" t="s">
        <v>305</v>
      </c>
      <c r="N808">
        <v>2.5000000000000001E-3</v>
      </c>
      <c r="O808" t="str">
        <f>IF(Transactions_RAW_cleaned[[#This Row],[Status]]="Completed", IFERROR(_xlfn.XLOOKUP(Transactions_RAW_cleaned[[#This Row],[CustomerID]], Customers_cleaned[CustomerID], Customers_cleaned[Segment]), "Customer Not Found"), "N/A")</f>
        <v>SMB</v>
      </c>
      <c r="P808" s="5" t="str">
        <f>IF(Transactions_RAW_cleaned[[#This Row],[Status]]="Refunded", "Refund",
  IF(Transactions_RAW_cleaned[[#This Row],[Category]]="Payments", IF(Transactions_RAW_cleaned[[#This Row],[Amount]]&gt;500,"High Value","Standard"),
    IF(Transactions_RAW_cleaned[[#This Row],[Amount]]&gt;250,"High Value","Standard")))</f>
        <v>High Value</v>
      </c>
      <c r="Q808" s="5" t="str">
        <f>IF(Transactions_RAW_cleaned[[#This Row],[Amount]] &gt; (_xlfn.XLOOKUP(Transactions_RAW_cleaned[[#This Row],[ServiceID]],Services_cleaned[ServiceID],Services_cleaned[TransactionFeePct]) * 10000), "Yes", "No")</f>
        <v>Yes</v>
      </c>
      <c r="R808" s="5" t="str">
        <f>IF(COUNTIFS($C$2:Transactions_RAW_cleaned[[#This Row],[CustomerID]],Transactions_RAW_cleaned[[#This Row],[CustomerID]],$D$2:Transactions_RAW_cleaned[[#This Row],[ServiceID]],Transactions_RAW_cleaned[[#This Row],[ServiceID]])=1,"Yes","No")</f>
        <v>Yes</v>
      </c>
      <c r="S80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08" t="str">
        <f>"Q"&amp;ROUNDUP(MONTH(Transactions_RAW_cleaned[[#This Row],[TransactionDate]])/3,0)</f>
        <v>Q3</v>
      </c>
      <c r="U808" t="str">
        <f>Transactions_RAW_cleaned[[#This Row],[Region ]]&amp;Transactions_RAW_cleaned[[#This Row],[Quarter ]]</f>
        <v>APACQ3</v>
      </c>
      <c r="V808" s="5">
        <f>_xlfn.XLOOKUP(Transactions_RAW_cleaned[[#This Row],[RegionQuarterKey]], Quarterly_Targets_cleaned[RegionQuarterKey], Quarterly_Targets_cleaned[TargetRevenue])</f>
        <v>115500</v>
      </c>
    </row>
    <row r="809" spans="1:22" x14ac:dyDescent="0.25">
      <c r="A809" t="s">
        <v>1144</v>
      </c>
      <c r="B809" s="1">
        <v>45624</v>
      </c>
      <c r="C809" t="s">
        <v>70</v>
      </c>
      <c r="D809" t="s">
        <v>312</v>
      </c>
      <c r="E809">
        <v>440.99</v>
      </c>
      <c r="F809" t="s">
        <v>324</v>
      </c>
      <c r="G809" t="s">
        <v>325</v>
      </c>
      <c r="H809" t="s">
        <v>346</v>
      </c>
      <c r="I809" t="s">
        <v>8</v>
      </c>
      <c r="J809" t="s">
        <v>37</v>
      </c>
      <c r="K809" t="s">
        <v>28</v>
      </c>
      <c r="L809" t="s">
        <v>313</v>
      </c>
      <c r="M809" t="s">
        <v>314</v>
      </c>
      <c r="N809">
        <v>0</v>
      </c>
      <c r="O809" t="str">
        <f>IF(Transactions_RAW_cleaned[[#This Row],[Status]]="Completed", IFERROR(_xlfn.XLOOKUP(Transactions_RAW_cleaned[[#This Row],[CustomerID]], Customers_cleaned[CustomerID], Customers_cleaned[Segment]), "Customer Not Found"), "N/A")</f>
        <v>SMB</v>
      </c>
      <c r="P809" s="5" t="str">
        <f>IF(Transactions_RAW_cleaned[[#This Row],[Status]]="Refunded", "Refund",
  IF(Transactions_RAW_cleaned[[#This Row],[Category]]="Payments", IF(Transactions_RAW_cleaned[[#This Row],[Amount]]&gt;500,"High Value","Standard"),
    IF(Transactions_RAW_cleaned[[#This Row],[Amount]]&gt;250,"High Value","Standard")))</f>
        <v>High Value</v>
      </c>
      <c r="Q809" s="5" t="str">
        <f>IF(Transactions_RAW_cleaned[[#This Row],[Amount]] &gt; (_xlfn.XLOOKUP(Transactions_RAW_cleaned[[#This Row],[ServiceID]],Services_cleaned[ServiceID],Services_cleaned[TransactionFeePct]) * 10000), "Yes", "No")</f>
        <v>Yes</v>
      </c>
      <c r="R809" s="5" t="str">
        <f>IF(COUNTIFS($C$2:Transactions_RAW_cleaned[[#This Row],[CustomerID]],Transactions_RAW_cleaned[[#This Row],[CustomerID]],$D$2:Transactions_RAW_cleaned[[#This Row],[ServiceID]],Transactions_RAW_cleaned[[#This Row],[ServiceID]])=1,"Yes","No")</f>
        <v>No</v>
      </c>
      <c r="S80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09" t="str">
        <f>"Q"&amp;ROUNDUP(MONTH(Transactions_RAW_cleaned[[#This Row],[TransactionDate]])/3,0)</f>
        <v>Q4</v>
      </c>
      <c r="U809" t="str">
        <f>Transactions_RAW_cleaned[[#This Row],[Region ]]&amp;Transactions_RAW_cleaned[[#This Row],[Quarter ]]</f>
        <v>EMEAQ4</v>
      </c>
      <c r="V809" s="5">
        <f>_xlfn.XLOOKUP(Transactions_RAW_cleaned[[#This Row],[RegionQuarterKey]], Quarterly_Targets_cleaned[RegionQuarterKey], Quarterly_Targets_cleaned[TargetRevenue])</f>
        <v>161000</v>
      </c>
    </row>
    <row r="810" spans="1:22" x14ac:dyDescent="0.25">
      <c r="A810" t="s">
        <v>1145</v>
      </c>
      <c r="B810" s="1">
        <v>45345</v>
      </c>
      <c r="C810" t="s">
        <v>396</v>
      </c>
      <c r="D810" t="s">
        <v>294</v>
      </c>
      <c r="E810">
        <v>588.21</v>
      </c>
      <c r="F810" t="s">
        <v>324</v>
      </c>
      <c r="G810" t="s">
        <v>337</v>
      </c>
      <c r="H810" t="s">
        <v>332</v>
      </c>
      <c r="I810" t="s">
        <v>57</v>
      </c>
      <c r="J810" t="s">
        <v>21</v>
      </c>
      <c r="K810" t="s">
        <v>2964</v>
      </c>
      <c r="L810" t="s">
        <v>295</v>
      </c>
      <c r="M810" t="s">
        <v>296</v>
      </c>
      <c r="N810">
        <v>2.9000000000000001E-2</v>
      </c>
      <c r="O810" t="str">
        <f>IF(Transactions_RAW_cleaned[[#This Row],[Status]]="Completed", IFERROR(_xlfn.XLOOKUP(Transactions_RAW_cleaned[[#This Row],[CustomerID]], Customers_cleaned[CustomerID], Customers_cleaned[Segment]), "Customer Not Found"), "N/A")</f>
        <v>Startup</v>
      </c>
      <c r="P810" s="5" t="str">
        <f>IF(Transactions_RAW_cleaned[[#This Row],[Status]]="Refunded", "Refund",
  IF(Transactions_RAW_cleaned[[#This Row],[Category]]="Payments", IF(Transactions_RAW_cleaned[[#This Row],[Amount]]&gt;500,"High Value","Standard"),
    IF(Transactions_RAW_cleaned[[#This Row],[Amount]]&gt;250,"High Value","Standard")))</f>
        <v>High Value</v>
      </c>
      <c r="Q810" s="5" t="str">
        <f>IF(Transactions_RAW_cleaned[[#This Row],[Amount]] &gt; (_xlfn.XLOOKUP(Transactions_RAW_cleaned[[#This Row],[ServiceID]],Services_cleaned[ServiceID],Services_cleaned[TransactionFeePct]) * 10000), "Yes", "No")</f>
        <v>Yes</v>
      </c>
      <c r="R810" s="5" t="str">
        <f>IF(COUNTIFS($C$2:Transactions_RAW_cleaned[[#This Row],[CustomerID]],Transactions_RAW_cleaned[[#This Row],[CustomerID]],$D$2:Transactions_RAW_cleaned[[#This Row],[ServiceID]],Transactions_RAW_cleaned[[#This Row],[ServiceID]])=1,"Yes","No")</f>
        <v>No</v>
      </c>
      <c r="S81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10" t="str">
        <f>"Q"&amp;ROUNDUP(MONTH(Transactions_RAW_cleaned[[#This Row],[TransactionDate]])/3,0)</f>
        <v>Q1</v>
      </c>
      <c r="U810" t="str">
        <f>Transactions_RAW_cleaned[[#This Row],[Region ]]&amp;Transactions_RAW_cleaned[[#This Row],[Quarter ]]</f>
        <v>APACQ1</v>
      </c>
      <c r="V810" s="5">
        <f>_xlfn.XLOOKUP(Transactions_RAW_cleaned[[#This Row],[RegionQuarterKey]], Quarterly_Targets_cleaned[RegionQuarterKey], Quarterly_Targets_cleaned[TargetRevenue])</f>
        <v>104500</v>
      </c>
    </row>
    <row r="811" spans="1:22" x14ac:dyDescent="0.25">
      <c r="A811" t="s">
        <v>1146</v>
      </c>
      <c r="B811" s="1">
        <v>45517</v>
      </c>
      <c r="C811" t="s">
        <v>135</v>
      </c>
      <c r="D811" t="s">
        <v>312</v>
      </c>
      <c r="E811">
        <v>641.88</v>
      </c>
      <c r="F811" t="s">
        <v>324</v>
      </c>
      <c r="G811" t="s">
        <v>327</v>
      </c>
      <c r="I811" t="s">
        <v>8</v>
      </c>
      <c r="J811" t="s">
        <v>46</v>
      </c>
      <c r="K811" t="s">
        <v>10</v>
      </c>
      <c r="L811" t="s">
        <v>313</v>
      </c>
      <c r="M811" t="s">
        <v>314</v>
      </c>
      <c r="N811">
        <v>0</v>
      </c>
      <c r="O811" t="str">
        <f>IF(Transactions_RAW_cleaned[[#This Row],[Status]]="Completed", IFERROR(_xlfn.XLOOKUP(Transactions_RAW_cleaned[[#This Row],[CustomerID]], Customers_cleaned[CustomerID], Customers_cleaned[Segment]), "Customer Not Found"), "N/A")</f>
        <v>SMB</v>
      </c>
      <c r="P811" s="5" t="str">
        <f>IF(Transactions_RAW_cleaned[[#This Row],[Status]]="Refunded", "Refund",
  IF(Transactions_RAW_cleaned[[#This Row],[Category]]="Payments", IF(Transactions_RAW_cleaned[[#This Row],[Amount]]&gt;500,"High Value","Standard"),
    IF(Transactions_RAW_cleaned[[#This Row],[Amount]]&gt;250,"High Value","Standard")))</f>
        <v>High Value</v>
      </c>
      <c r="Q811" s="5" t="str">
        <f>IF(Transactions_RAW_cleaned[[#This Row],[Amount]] &gt; (_xlfn.XLOOKUP(Transactions_RAW_cleaned[[#This Row],[ServiceID]],Services_cleaned[ServiceID],Services_cleaned[TransactionFeePct]) * 10000), "Yes", "No")</f>
        <v>Yes</v>
      </c>
      <c r="R811" s="5" t="str">
        <f>IF(COUNTIFS($C$2:Transactions_RAW_cleaned[[#This Row],[CustomerID]],Transactions_RAW_cleaned[[#This Row],[CustomerID]],$D$2:Transactions_RAW_cleaned[[#This Row],[ServiceID]],Transactions_RAW_cleaned[[#This Row],[ServiceID]])=1,"Yes","No")</f>
        <v>Yes</v>
      </c>
      <c r="S81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11" t="str">
        <f>"Q"&amp;ROUNDUP(MONTH(Transactions_RAW_cleaned[[#This Row],[TransactionDate]])/3,0)</f>
        <v>Q3</v>
      </c>
      <c r="U811" t="str">
        <f>Transactions_RAW_cleaned[[#This Row],[Region ]]&amp;Transactions_RAW_cleaned[[#This Row],[Quarter ]]</f>
        <v>APACQ3</v>
      </c>
      <c r="V811" s="5">
        <f>_xlfn.XLOOKUP(Transactions_RAW_cleaned[[#This Row],[RegionQuarterKey]], Quarterly_Targets_cleaned[RegionQuarterKey], Quarterly_Targets_cleaned[TargetRevenue])</f>
        <v>115500</v>
      </c>
    </row>
    <row r="812" spans="1:22" x14ac:dyDescent="0.25">
      <c r="A812" t="s">
        <v>1147</v>
      </c>
      <c r="B812" s="1">
        <v>45324</v>
      </c>
      <c r="C812" t="s">
        <v>117</v>
      </c>
      <c r="D812" t="s">
        <v>300</v>
      </c>
      <c r="E812">
        <v>186.49</v>
      </c>
      <c r="F812" t="s">
        <v>324</v>
      </c>
      <c r="G812" t="s">
        <v>329</v>
      </c>
      <c r="I812" t="s">
        <v>8</v>
      </c>
      <c r="J812" t="s">
        <v>102</v>
      </c>
      <c r="K812" t="s">
        <v>14</v>
      </c>
      <c r="L812" t="s">
        <v>301</v>
      </c>
      <c r="M812" t="s">
        <v>302</v>
      </c>
      <c r="N812">
        <v>5.0000000000000001E-3</v>
      </c>
      <c r="O812" t="str">
        <f>IF(Transactions_RAW_cleaned[[#This Row],[Status]]="Completed", IFERROR(_xlfn.XLOOKUP(Transactions_RAW_cleaned[[#This Row],[CustomerID]], Customers_cleaned[CustomerID], Customers_cleaned[Segment]), "Customer Not Found"), "N/A")</f>
        <v>SMB</v>
      </c>
      <c r="P812" s="5" t="str">
        <f>IF(Transactions_RAW_cleaned[[#This Row],[Status]]="Refunded", "Refund",
  IF(Transactions_RAW_cleaned[[#This Row],[Category]]="Payments", IF(Transactions_RAW_cleaned[[#This Row],[Amount]]&gt;500,"High Value","Standard"),
    IF(Transactions_RAW_cleaned[[#This Row],[Amount]]&gt;250,"High Value","Standard")))</f>
        <v>Standard</v>
      </c>
      <c r="Q812" s="5" t="str">
        <f>IF(Transactions_RAW_cleaned[[#This Row],[Amount]] &gt; (_xlfn.XLOOKUP(Transactions_RAW_cleaned[[#This Row],[ServiceID]],Services_cleaned[ServiceID],Services_cleaned[TransactionFeePct]) * 10000), "Yes", "No")</f>
        <v>Yes</v>
      </c>
      <c r="R812" s="5" t="str">
        <f>IF(COUNTIFS($C$2:Transactions_RAW_cleaned[[#This Row],[CustomerID]],Transactions_RAW_cleaned[[#This Row],[CustomerID]],$D$2:Transactions_RAW_cleaned[[#This Row],[ServiceID]],Transactions_RAW_cleaned[[#This Row],[ServiceID]])=1,"Yes","No")</f>
        <v>No</v>
      </c>
      <c r="S81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12" t="str">
        <f>"Q"&amp;ROUNDUP(MONTH(Transactions_RAW_cleaned[[#This Row],[TransactionDate]])/3,0)</f>
        <v>Q1</v>
      </c>
      <c r="U812" t="str">
        <f>Transactions_RAW_cleaned[[#This Row],[Region ]]&amp;Transactions_RAW_cleaned[[#This Row],[Quarter ]]</f>
        <v>NAQ1</v>
      </c>
      <c r="V812" s="5">
        <f>_xlfn.XLOOKUP(Transactions_RAW_cleaned[[#This Row],[RegionQuarterKey]], Quarterly_Targets_cleaned[RegionQuarterKey], Quarterly_Targets_cleaned[TargetRevenue])</f>
        <v>247000</v>
      </c>
    </row>
    <row r="813" spans="1:22" x14ac:dyDescent="0.25">
      <c r="A813" t="s">
        <v>1148</v>
      </c>
      <c r="B813" s="1">
        <v>45473</v>
      </c>
      <c r="C813" t="s">
        <v>147</v>
      </c>
      <c r="D813" t="s">
        <v>306</v>
      </c>
      <c r="E813">
        <v>458.57</v>
      </c>
      <c r="F813" t="s">
        <v>324</v>
      </c>
      <c r="G813" t="s">
        <v>327</v>
      </c>
      <c r="H813" t="s">
        <v>334</v>
      </c>
      <c r="I813" t="s">
        <v>17</v>
      </c>
      <c r="J813" t="s">
        <v>25</v>
      </c>
      <c r="K813" t="s">
        <v>32</v>
      </c>
      <c r="L813" t="s">
        <v>307</v>
      </c>
      <c r="M813" t="s">
        <v>308</v>
      </c>
      <c r="N813">
        <v>0</v>
      </c>
      <c r="O813" t="str">
        <f>IF(Transactions_RAW_cleaned[[#This Row],[Status]]="Completed", IFERROR(_xlfn.XLOOKUP(Transactions_RAW_cleaned[[#This Row],[CustomerID]], Customers_cleaned[CustomerID], Customers_cleaned[Segment]), "Customer Not Found"), "N/A")</f>
        <v>Enterprise</v>
      </c>
      <c r="P813" s="5" t="str">
        <f>IF(Transactions_RAW_cleaned[[#This Row],[Status]]="Refunded", "Refund",
  IF(Transactions_RAW_cleaned[[#This Row],[Category]]="Payments", IF(Transactions_RAW_cleaned[[#This Row],[Amount]]&gt;500,"High Value","Standard"),
    IF(Transactions_RAW_cleaned[[#This Row],[Amount]]&gt;250,"High Value","Standard")))</f>
        <v>High Value</v>
      </c>
      <c r="Q813" s="5" t="str">
        <f>IF(Transactions_RAW_cleaned[[#This Row],[Amount]] &gt; (_xlfn.XLOOKUP(Transactions_RAW_cleaned[[#This Row],[ServiceID]],Services_cleaned[ServiceID],Services_cleaned[TransactionFeePct]) * 10000), "Yes", "No")</f>
        <v>Yes</v>
      </c>
      <c r="R813" s="5" t="str">
        <f>IF(COUNTIFS($C$2:Transactions_RAW_cleaned[[#This Row],[CustomerID]],Transactions_RAW_cleaned[[#This Row],[CustomerID]],$D$2:Transactions_RAW_cleaned[[#This Row],[ServiceID]],Transactions_RAW_cleaned[[#This Row],[ServiceID]])=1,"Yes","No")</f>
        <v>No</v>
      </c>
      <c r="S81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13" t="str">
        <f>"Q"&amp;ROUNDUP(MONTH(Transactions_RAW_cleaned[[#This Row],[TransactionDate]])/3,0)</f>
        <v>Q2</v>
      </c>
      <c r="U813" t="str">
        <f>Transactions_RAW_cleaned[[#This Row],[Region ]]&amp;Transactions_RAW_cleaned[[#This Row],[Quarter ]]</f>
        <v>APACQ2</v>
      </c>
      <c r="V813" s="5">
        <f>_xlfn.XLOOKUP(Transactions_RAW_cleaned[[#This Row],[RegionQuarterKey]], Quarterly_Targets_cleaned[RegionQuarterKey], Quarterly_Targets_cleaned[TargetRevenue])</f>
        <v>110000</v>
      </c>
    </row>
    <row r="814" spans="1:22" x14ac:dyDescent="0.25">
      <c r="A814" t="s">
        <v>1149</v>
      </c>
      <c r="B814" s="1">
        <v>45343</v>
      </c>
      <c r="C814" t="s">
        <v>229</v>
      </c>
      <c r="D814" t="s">
        <v>300</v>
      </c>
      <c r="E814">
        <v>760.42</v>
      </c>
      <c r="F814" t="s">
        <v>324</v>
      </c>
      <c r="G814" t="s">
        <v>337</v>
      </c>
      <c r="H814" t="s">
        <v>346</v>
      </c>
      <c r="I814" t="s">
        <v>17</v>
      </c>
      <c r="J814" t="s">
        <v>102</v>
      </c>
      <c r="K814" t="s">
        <v>18</v>
      </c>
      <c r="L814" t="s">
        <v>301</v>
      </c>
      <c r="M814" t="s">
        <v>302</v>
      </c>
      <c r="N814">
        <v>5.0000000000000001E-3</v>
      </c>
      <c r="O814" t="str">
        <f>IF(Transactions_RAW_cleaned[[#This Row],[Status]]="Completed", IFERROR(_xlfn.XLOOKUP(Transactions_RAW_cleaned[[#This Row],[CustomerID]], Customers_cleaned[CustomerID], Customers_cleaned[Segment]), "Customer Not Found"), "N/A")</f>
        <v>Enterprise</v>
      </c>
      <c r="P814" s="5" t="str">
        <f>IF(Transactions_RAW_cleaned[[#This Row],[Status]]="Refunded", "Refund",
  IF(Transactions_RAW_cleaned[[#This Row],[Category]]="Payments", IF(Transactions_RAW_cleaned[[#This Row],[Amount]]&gt;500,"High Value","Standard"),
    IF(Transactions_RAW_cleaned[[#This Row],[Amount]]&gt;250,"High Value","Standard")))</f>
        <v>High Value</v>
      </c>
      <c r="Q814" s="5" t="str">
        <f>IF(Transactions_RAW_cleaned[[#This Row],[Amount]] &gt; (_xlfn.XLOOKUP(Transactions_RAW_cleaned[[#This Row],[ServiceID]],Services_cleaned[ServiceID],Services_cleaned[TransactionFeePct]) * 10000), "Yes", "No")</f>
        <v>Yes</v>
      </c>
      <c r="R814" s="5" t="str">
        <f>IF(COUNTIFS($C$2:Transactions_RAW_cleaned[[#This Row],[CustomerID]],Transactions_RAW_cleaned[[#This Row],[CustomerID]],$D$2:Transactions_RAW_cleaned[[#This Row],[ServiceID]],Transactions_RAW_cleaned[[#This Row],[ServiceID]])=1,"Yes","No")</f>
        <v>No</v>
      </c>
      <c r="S81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14" t="str">
        <f>"Q"&amp;ROUNDUP(MONTH(Transactions_RAW_cleaned[[#This Row],[TransactionDate]])/3,0)</f>
        <v>Q1</v>
      </c>
      <c r="U814" t="str">
        <f>Transactions_RAW_cleaned[[#This Row],[Region ]]&amp;Transactions_RAW_cleaned[[#This Row],[Quarter ]]</f>
        <v>NAQ1</v>
      </c>
      <c r="V814" s="5">
        <f>_xlfn.XLOOKUP(Transactions_RAW_cleaned[[#This Row],[RegionQuarterKey]], Quarterly_Targets_cleaned[RegionQuarterKey], Quarterly_Targets_cleaned[TargetRevenue])</f>
        <v>247000</v>
      </c>
    </row>
    <row r="815" spans="1:22" x14ac:dyDescent="0.25">
      <c r="A815" t="s">
        <v>1150</v>
      </c>
      <c r="B815" s="1">
        <v>45333</v>
      </c>
      <c r="C815" t="s">
        <v>193</v>
      </c>
      <c r="D815" t="s">
        <v>297</v>
      </c>
      <c r="E815">
        <v>413.96</v>
      </c>
      <c r="F815" t="s">
        <v>324</v>
      </c>
      <c r="G815" t="s">
        <v>325</v>
      </c>
      <c r="H815" t="s">
        <v>346</v>
      </c>
      <c r="I815" t="s">
        <v>8</v>
      </c>
      <c r="J815" t="s">
        <v>102</v>
      </c>
      <c r="K815" t="s">
        <v>18</v>
      </c>
      <c r="L815" t="s">
        <v>298</v>
      </c>
      <c r="M815" t="s">
        <v>299</v>
      </c>
      <c r="N815">
        <v>0</v>
      </c>
      <c r="O815" t="str">
        <f>IF(Transactions_RAW_cleaned[[#This Row],[Status]]="Completed", IFERROR(_xlfn.XLOOKUP(Transactions_RAW_cleaned[[#This Row],[CustomerID]], Customers_cleaned[CustomerID], Customers_cleaned[Segment]), "Customer Not Found"), "N/A")</f>
        <v>SMB</v>
      </c>
      <c r="P815" s="5" t="str">
        <f>IF(Transactions_RAW_cleaned[[#This Row],[Status]]="Refunded", "Refund",
  IF(Transactions_RAW_cleaned[[#This Row],[Category]]="Payments", IF(Transactions_RAW_cleaned[[#This Row],[Amount]]&gt;500,"High Value","Standard"),
    IF(Transactions_RAW_cleaned[[#This Row],[Amount]]&gt;250,"High Value","Standard")))</f>
        <v>High Value</v>
      </c>
      <c r="Q815" s="5" t="str">
        <f>IF(Transactions_RAW_cleaned[[#This Row],[Amount]] &gt; (_xlfn.XLOOKUP(Transactions_RAW_cleaned[[#This Row],[ServiceID]],Services_cleaned[ServiceID],Services_cleaned[TransactionFeePct]) * 10000), "Yes", "No")</f>
        <v>Yes</v>
      </c>
      <c r="R815" s="5" t="str">
        <f>IF(COUNTIFS($C$2:Transactions_RAW_cleaned[[#This Row],[CustomerID]],Transactions_RAW_cleaned[[#This Row],[CustomerID]],$D$2:Transactions_RAW_cleaned[[#This Row],[ServiceID]],Transactions_RAW_cleaned[[#This Row],[ServiceID]])=1,"Yes","No")</f>
        <v>Yes</v>
      </c>
      <c r="S81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15" t="str">
        <f>"Q"&amp;ROUNDUP(MONTH(Transactions_RAW_cleaned[[#This Row],[TransactionDate]])/3,0)</f>
        <v>Q1</v>
      </c>
      <c r="U815" t="str">
        <f>Transactions_RAW_cleaned[[#This Row],[Region ]]&amp;Transactions_RAW_cleaned[[#This Row],[Quarter ]]</f>
        <v>NAQ1</v>
      </c>
      <c r="V815" s="5">
        <f>_xlfn.XLOOKUP(Transactions_RAW_cleaned[[#This Row],[RegionQuarterKey]], Quarterly_Targets_cleaned[RegionQuarterKey], Quarterly_Targets_cleaned[TargetRevenue])</f>
        <v>247000</v>
      </c>
    </row>
    <row r="816" spans="1:22" x14ac:dyDescent="0.25">
      <c r="A816" t="s">
        <v>1151</v>
      </c>
      <c r="B816" s="1">
        <v>45487</v>
      </c>
      <c r="C816" t="s">
        <v>64</v>
      </c>
      <c r="D816" t="s">
        <v>294</v>
      </c>
      <c r="E816">
        <v>194.12</v>
      </c>
      <c r="F816" t="s">
        <v>324</v>
      </c>
      <c r="G816" t="s">
        <v>325</v>
      </c>
      <c r="I816" t="s">
        <v>8</v>
      </c>
      <c r="J816" t="s">
        <v>37</v>
      </c>
      <c r="K816" t="s">
        <v>28</v>
      </c>
      <c r="L816" t="s">
        <v>295</v>
      </c>
      <c r="M816" t="s">
        <v>296</v>
      </c>
      <c r="N816">
        <v>2.9000000000000001E-2</v>
      </c>
      <c r="O816" t="str">
        <f>IF(Transactions_RAW_cleaned[[#This Row],[Status]]="Completed", IFERROR(_xlfn.XLOOKUP(Transactions_RAW_cleaned[[#This Row],[CustomerID]], Customers_cleaned[CustomerID], Customers_cleaned[Segment]), "Customer Not Found"), "N/A")</f>
        <v>SMB</v>
      </c>
      <c r="P816" s="5" t="str">
        <f>IF(Transactions_RAW_cleaned[[#This Row],[Status]]="Refunded", "Refund",
  IF(Transactions_RAW_cleaned[[#This Row],[Category]]="Payments", IF(Transactions_RAW_cleaned[[#This Row],[Amount]]&gt;500,"High Value","Standard"),
    IF(Transactions_RAW_cleaned[[#This Row],[Amount]]&gt;250,"High Value","Standard")))</f>
        <v>Standard</v>
      </c>
      <c r="Q816" s="5" t="str">
        <f>IF(Transactions_RAW_cleaned[[#This Row],[Amount]] &gt; (_xlfn.XLOOKUP(Transactions_RAW_cleaned[[#This Row],[ServiceID]],Services_cleaned[ServiceID],Services_cleaned[TransactionFeePct]) * 10000), "Yes", "No")</f>
        <v>No</v>
      </c>
      <c r="R816" s="5" t="str">
        <f>IF(COUNTIFS($C$2:Transactions_RAW_cleaned[[#This Row],[CustomerID]],Transactions_RAW_cleaned[[#This Row],[CustomerID]],$D$2:Transactions_RAW_cleaned[[#This Row],[ServiceID]],Transactions_RAW_cleaned[[#This Row],[ServiceID]])=1,"Yes","No")</f>
        <v>Yes</v>
      </c>
      <c r="S81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16" t="str">
        <f>"Q"&amp;ROUNDUP(MONTH(Transactions_RAW_cleaned[[#This Row],[TransactionDate]])/3,0)</f>
        <v>Q3</v>
      </c>
      <c r="U816" t="str">
        <f>Transactions_RAW_cleaned[[#This Row],[Region ]]&amp;Transactions_RAW_cleaned[[#This Row],[Quarter ]]</f>
        <v>EMEAQ3</v>
      </c>
      <c r="V816" s="5">
        <f>_xlfn.XLOOKUP(Transactions_RAW_cleaned[[#This Row],[RegionQuarterKey]], Quarterly_Targets_cleaned[RegionQuarterKey], Quarterly_Targets_cleaned[TargetRevenue])</f>
        <v>147000</v>
      </c>
    </row>
    <row r="817" spans="1:22" x14ac:dyDescent="0.25">
      <c r="A817" t="s">
        <v>1152</v>
      </c>
      <c r="B817" s="1">
        <v>45649</v>
      </c>
      <c r="C817" t="s">
        <v>98</v>
      </c>
      <c r="D817" t="s">
        <v>315</v>
      </c>
      <c r="E817">
        <v>229.03</v>
      </c>
      <c r="F817" t="s">
        <v>324</v>
      </c>
      <c r="G817" t="s">
        <v>329</v>
      </c>
      <c r="H817" t="s">
        <v>346</v>
      </c>
      <c r="I817" t="s">
        <v>8</v>
      </c>
      <c r="J817" t="s">
        <v>37</v>
      </c>
      <c r="K817" t="s">
        <v>18</v>
      </c>
      <c r="L817" t="s">
        <v>316</v>
      </c>
      <c r="M817" t="s">
        <v>305</v>
      </c>
      <c r="N817">
        <v>2.5000000000000001E-3</v>
      </c>
      <c r="O817" t="str">
        <f>IF(Transactions_RAW_cleaned[[#This Row],[Status]]="Completed", IFERROR(_xlfn.XLOOKUP(Transactions_RAW_cleaned[[#This Row],[CustomerID]], Customers_cleaned[CustomerID], Customers_cleaned[Segment]), "Customer Not Found"), "N/A")</f>
        <v>SMB</v>
      </c>
      <c r="P817" s="5" t="str">
        <f>IF(Transactions_RAW_cleaned[[#This Row],[Status]]="Refunded", "Refund",
  IF(Transactions_RAW_cleaned[[#This Row],[Category]]="Payments", IF(Transactions_RAW_cleaned[[#This Row],[Amount]]&gt;500,"High Value","Standard"),
    IF(Transactions_RAW_cleaned[[#This Row],[Amount]]&gt;250,"High Value","Standard")))</f>
        <v>Standard</v>
      </c>
      <c r="Q817" s="5" t="str">
        <f>IF(Transactions_RAW_cleaned[[#This Row],[Amount]] &gt; (_xlfn.XLOOKUP(Transactions_RAW_cleaned[[#This Row],[ServiceID]],Services_cleaned[ServiceID],Services_cleaned[TransactionFeePct]) * 10000), "Yes", "No")</f>
        <v>Yes</v>
      </c>
      <c r="R817" s="5" t="str">
        <f>IF(COUNTIFS($C$2:Transactions_RAW_cleaned[[#This Row],[CustomerID]],Transactions_RAW_cleaned[[#This Row],[CustomerID]],$D$2:Transactions_RAW_cleaned[[#This Row],[ServiceID]],Transactions_RAW_cleaned[[#This Row],[ServiceID]])=1,"Yes","No")</f>
        <v>No</v>
      </c>
      <c r="S81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17" t="str">
        <f>"Q"&amp;ROUNDUP(MONTH(Transactions_RAW_cleaned[[#This Row],[TransactionDate]])/3,0)</f>
        <v>Q4</v>
      </c>
      <c r="U817" t="str">
        <f>Transactions_RAW_cleaned[[#This Row],[Region ]]&amp;Transactions_RAW_cleaned[[#This Row],[Quarter ]]</f>
        <v>EMEAQ4</v>
      </c>
      <c r="V817" s="5">
        <f>_xlfn.XLOOKUP(Transactions_RAW_cleaned[[#This Row],[RegionQuarterKey]], Quarterly_Targets_cleaned[RegionQuarterKey], Quarterly_Targets_cleaned[TargetRevenue])</f>
        <v>161000</v>
      </c>
    </row>
    <row r="818" spans="1:22" x14ac:dyDescent="0.25">
      <c r="A818" t="s">
        <v>1153</v>
      </c>
      <c r="B818" s="1">
        <v>45292</v>
      </c>
      <c r="C818" t="s">
        <v>123</v>
      </c>
      <c r="D818" t="s">
        <v>294</v>
      </c>
      <c r="E818">
        <v>340.02</v>
      </c>
      <c r="F818" t="s">
        <v>324</v>
      </c>
      <c r="G818" t="s">
        <v>327</v>
      </c>
      <c r="I818" t="s">
        <v>8</v>
      </c>
      <c r="J818" t="s">
        <v>13</v>
      </c>
      <c r="K818" t="s">
        <v>32</v>
      </c>
      <c r="L818" t="s">
        <v>295</v>
      </c>
      <c r="M818" t="s">
        <v>296</v>
      </c>
      <c r="N818">
        <v>2.9000000000000001E-2</v>
      </c>
      <c r="O818" t="str">
        <f>IF(Transactions_RAW_cleaned[[#This Row],[Status]]="Completed", IFERROR(_xlfn.XLOOKUP(Transactions_RAW_cleaned[[#This Row],[CustomerID]], Customers_cleaned[CustomerID], Customers_cleaned[Segment]), "Customer Not Found"), "N/A")</f>
        <v>SMB</v>
      </c>
      <c r="P818" s="5" t="str">
        <f>IF(Transactions_RAW_cleaned[[#This Row],[Status]]="Refunded", "Refund",
  IF(Transactions_RAW_cleaned[[#This Row],[Category]]="Payments", IF(Transactions_RAW_cleaned[[#This Row],[Amount]]&gt;500,"High Value","Standard"),
    IF(Transactions_RAW_cleaned[[#This Row],[Amount]]&gt;250,"High Value","Standard")))</f>
        <v>Standard</v>
      </c>
      <c r="Q818" s="5" t="str">
        <f>IF(Transactions_RAW_cleaned[[#This Row],[Amount]] &gt; (_xlfn.XLOOKUP(Transactions_RAW_cleaned[[#This Row],[ServiceID]],Services_cleaned[ServiceID],Services_cleaned[TransactionFeePct]) * 10000), "Yes", "No")</f>
        <v>Yes</v>
      </c>
      <c r="R818" s="5" t="str">
        <f>IF(COUNTIFS($C$2:Transactions_RAW_cleaned[[#This Row],[CustomerID]],Transactions_RAW_cleaned[[#This Row],[CustomerID]],$D$2:Transactions_RAW_cleaned[[#This Row],[ServiceID]],Transactions_RAW_cleaned[[#This Row],[ServiceID]])=1,"Yes","No")</f>
        <v>No</v>
      </c>
      <c r="S81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18" t="str">
        <f>"Q"&amp;ROUNDUP(MONTH(Transactions_RAW_cleaned[[#This Row],[TransactionDate]])/3,0)</f>
        <v>Q1</v>
      </c>
      <c r="U818" t="str">
        <f>Transactions_RAW_cleaned[[#This Row],[Region ]]&amp;Transactions_RAW_cleaned[[#This Row],[Quarter ]]</f>
        <v>NAQ1</v>
      </c>
      <c r="V818" s="5">
        <f>_xlfn.XLOOKUP(Transactions_RAW_cleaned[[#This Row],[RegionQuarterKey]], Quarterly_Targets_cleaned[RegionQuarterKey], Quarterly_Targets_cleaned[TargetRevenue])</f>
        <v>247000</v>
      </c>
    </row>
    <row r="819" spans="1:22" x14ac:dyDescent="0.25">
      <c r="A819" t="s">
        <v>1154</v>
      </c>
      <c r="B819" s="1">
        <v>45374</v>
      </c>
      <c r="C819" t="s">
        <v>103</v>
      </c>
      <c r="D819" t="s">
        <v>294</v>
      </c>
      <c r="E819">
        <v>843.96</v>
      </c>
      <c r="F819" t="s">
        <v>324</v>
      </c>
      <c r="G819" t="s">
        <v>325</v>
      </c>
      <c r="H819" t="s">
        <v>334</v>
      </c>
      <c r="I819" t="s">
        <v>8</v>
      </c>
      <c r="J819" t="s">
        <v>102</v>
      </c>
      <c r="K819" t="s">
        <v>28</v>
      </c>
      <c r="L819" t="s">
        <v>295</v>
      </c>
      <c r="M819" t="s">
        <v>296</v>
      </c>
      <c r="N819">
        <v>2.9000000000000001E-2</v>
      </c>
      <c r="O819" t="str">
        <f>IF(Transactions_RAW_cleaned[[#This Row],[Status]]="Completed", IFERROR(_xlfn.XLOOKUP(Transactions_RAW_cleaned[[#This Row],[CustomerID]], Customers_cleaned[CustomerID], Customers_cleaned[Segment]), "Customer Not Found"), "N/A")</f>
        <v>SMB</v>
      </c>
      <c r="P819" s="5" t="str">
        <f>IF(Transactions_RAW_cleaned[[#This Row],[Status]]="Refunded", "Refund",
  IF(Transactions_RAW_cleaned[[#This Row],[Category]]="Payments", IF(Transactions_RAW_cleaned[[#This Row],[Amount]]&gt;500,"High Value","Standard"),
    IF(Transactions_RAW_cleaned[[#This Row],[Amount]]&gt;250,"High Value","Standard")))</f>
        <v>High Value</v>
      </c>
      <c r="Q819" s="5" t="str">
        <f>IF(Transactions_RAW_cleaned[[#This Row],[Amount]] &gt; (_xlfn.XLOOKUP(Transactions_RAW_cleaned[[#This Row],[ServiceID]],Services_cleaned[ServiceID],Services_cleaned[TransactionFeePct]) * 10000), "Yes", "No")</f>
        <v>Yes</v>
      </c>
      <c r="R819" s="5" t="str">
        <f>IF(COUNTIFS($C$2:Transactions_RAW_cleaned[[#This Row],[CustomerID]],Transactions_RAW_cleaned[[#This Row],[CustomerID]],$D$2:Transactions_RAW_cleaned[[#This Row],[ServiceID]],Transactions_RAW_cleaned[[#This Row],[ServiceID]])=1,"Yes","No")</f>
        <v>No</v>
      </c>
      <c r="S81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19" t="str">
        <f>"Q"&amp;ROUNDUP(MONTH(Transactions_RAW_cleaned[[#This Row],[TransactionDate]])/3,0)</f>
        <v>Q1</v>
      </c>
      <c r="U819" t="str">
        <f>Transactions_RAW_cleaned[[#This Row],[Region ]]&amp;Transactions_RAW_cleaned[[#This Row],[Quarter ]]</f>
        <v>NAQ1</v>
      </c>
      <c r="V819" s="5">
        <f>_xlfn.XLOOKUP(Transactions_RAW_cleaned[[#This Row],[RegionQuarterKey]], Quarterly_Targets_cleaned[RegionQuarterKey], Quarterly_Targets_cleaned[TargetRevenue])</f>
        <v>247000</v>
      </c>
    </row>
    <row r="820" spans="1:22" x14ac:dyDescent="0.25">
      <c r="A820" t="s">
        <v>1155</v>
      </c>
      <c r="B820" s="1">
        <v>45621</v>
      </c>
      <c r="C820" t="s">
        <v>96</v>
      </c>
      <c r="D820" t="s">
        <v>306</v>
      </c>
      <c r="E820">
        <v>680.51</v>
      </c>
      <c r="F820" t="s">
        <v>381</v>
      </c>
      <c r="G820" t="s">
        <v>337</v>
      </c>
      <c r="I820" t="s">
        <v>17</v>
      </c>
      <c r="J820" t="s">
        <v>31</v>
      </c>
      <c r="K820" t="s">
        <v>14</v>
      </c>
      <c r="L820" t="s">
        <v>307</v>
      </c>
      <c r="M820" t="s">
        <v>308</v>
      </c>
      <c r="N820">
        <v>0</v>
      </c>
      <c r="O820" t="str">
        <f>IF(Transactions_RAW_cleaned[[#This Row],[Status]]="Completed", IFERROR(_xlfn.XLOOKUP(Transactions_RAW_cleaned[[#This Row],[CustomerID]], Customers_cleaned[CustomerID], Customers_cleaned[Segment]), "Customer Not Found"), "N/A")</f>
        <v>N/A</v>
      </c>
      <c r="P820" s="5" t="str">
        <f>IF(Transactions_RAW_cleaned[[#This Row],[Status]]="Refunded", "Refund",
  IF(Transactions_RAW_cleaned[[#This Row],[Category]]="Payments", IF(Transactions_RAW_cleaned[[#This Row],[Amount]]&gt;500,"High Value","Standard"),
    IF(Transactions_RAW_cleaned[[#This Row],[Amount]]&gt;250,"High Value","Standard")))</f>
        <v>High Value</v>
      </c>
      <c r="Q820" s="5" t="str">
        <f>IF(Transactions_RAW_cleaned[[#This Row],[Amount]] &gt; (_xlfn.XLOOKUP(Transactions_RAW_cleaned[[#This Row],[ServiceID]],Services_cleaned[ServiceID],Services_cleaned[TransactionFeePct]) * 10000), "Yes", "No")</f>
        <v>Yes</v>
      </c>
      <c r="R820" s="5" t="str">
        <f>IF(COUNTIFS($C$2:Transactions_RAW_cleaned[[#This Row],[CustomerID]],Transactions_RAW_cleaned[[#This Row],[CustomerID]],$D$2:Transactions_RAW_cleaned[[#This Row],[ServiceID]],Transactions_RAW_cleaned[[#This Row],[ServiceID]])=1,"Yes","No")</f>
        <v>Yes</v>
      </c>
      <c r="S82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20" t="str">
        <f>"Q"&amp;ROUNDUP(MONTH(Transactions_RAW_cleaned[[#This Row],[TransactionDate]])/3,0)</f>
        <v>Q4</v>
      </c>
      <c r="U820" t="str">
        <f>Transactions_RAW_cleaned[[#This Row],[Region ]]&amp;Transactions_RAW_cleaned[[#This Row],[Quarter ]]</f>
        <v>EMEAQ4</v>
      </c>
      <c r="V820" s="5">
        <f>_xlfn.XLOOKUP(Transactions_RAW_cleaned[[#This Row],[RegionQuarterKey]], Quarterly_Targets_cleaned[RegionQuarterKey], Quarterly_Targets_cleaned[TargetRevenue])</f>
        <v>161000</v>
      </c>
    </row>
    <row r="821" spans="1:22" x14ac:dyDescent="0.25">
      <c r="A821" t="s">
        <v>1156</v>
      </c>
      <c r="B821" s="1">
        <v>45594</v>
      </c>
      <c r="C821" t="s">
        <v>23</v>
      </c>
      <c r="D821" t="s">
        <v>312</v>
      </c>
      <c r="E821">
        <v>398.01</v>
      </c>
      <c r="F821" t="s">
        <v>324</v>
      </c>
      <c r="G821" t="s">
        <v>2963</v>
      </c>
      <c r="I821" t="s">
        <v>8</v>
      </c>
      <c r="J821" t="s">
        <v>25</v>
      </c>
      <c r="K821" t="s">
        <v>22</v>
      </c>
      <c r="L821" t="s">
        <v>313</v>
      </c>
      <c r="M821" t="s">
        <v>314</v>
      </c>
      <c r="N821">
        <v>0</v>
      </c>
      <c r="O821" t="str">
        <f>IF(Transactions_RAW_cleaned[[#This Row],[Status]]="Completed", IFERROR(_xlfn.XLOOKUP(Transactions_RAW_cleaned[[#This Row],[CustomerID]], Customers_cleaned[CustomerID], Customers_cleaned[Segment]), "Customer Not Found"), "N/A")</f>
        <v>SMB</v>
      </c>
      <c r="P821" s="5" t="str">
        <f>IF(Transactions_RAW_cleaned[[#This Row],[Status]]="Refunded", "Refund",
  IF(Transactions_RAW_cleaned[[#This Row],[Category]]="Payments", IF(Transactions_RAW_cleaned[[#This Row],[Amount]]&gt;500,"High Value","Standard"),
    IF(Transactions_RAW_cleaned[[#This Row],[Amount]]&gt;250,"High Value","Standard")))</f>
        <v>High Value</v>
      </c>
      <c r="Q821" s="5" t="str">
        <f>IF(Transactions_RAW_cleaned[[#This Row],[Amount]] &gt; (_xlfn.XLOOKUP(Transactions_RAW_cleaned[[#This Row],[ServiceID]],Services_cleaned[ServiceID],Services_cleaned[TransactionFeePct]) * 10000), "Yes", "No")</f>
        <v>Yes</v>
      </c>
      <c r="R821" s="5" t="str">
        <f>IF(COUNTIFS($C$2:Transactions_RAW_cleaned[[#This Row],[CustomerID]],Transactions_RAW_cleaned[[#This Row],[CustomerID]],$D$2:Transactions_RAW_cleaned[[#This Row],[ServiceID]],Transactions_RAW_cleaned[[#This Row],[ServiceID]])=1,"Yes","No")</f>
        <v>Yes</v>
      </c>
      <c r="S82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21" t="str">
        <f>"Q"&amp;ROUNDUP(MONTH(Transactions_RAW_cleaned[[#This Row],[TransactionDate]])/3,0)</f>
        <v>Q4</v>
      </c>
      <c r="U821" t="str">
        <f>Transactions_RAW_cleaned[[#This Row],[Region ]]&amp;Transactions_RAW_cleaned[[#This Row],[Quarter ]]</f>
        <v>APACQ4</v>
      </c>
      <c r="V821" s="5">
        <f>_xlfn.XLOOKUP(Transactions_RAW_cleaned[[#This Row],[RegionQuarterKey]], Quarterly_Targets_cleaned[RegionQuarterKey], Quarterly_Targets_cleaned[TargetRevenue])</f>
        <v>126500</v>
      </c>
    </row>
    <row r="822" spans="1:22" x14ac:dyDescent="0.25">
      <c r="A822" t="s">
        <v>1157</v>
      </c>
      <c r="B822" s="1">
        <v>45521</v>
      </c>
      <c r="C822" t="s">
        <v>55</v>
      </c>
      <c r="D822" t="s">
        <v>294</v>
      </c>
      <c r="E822">
        <v>261.47000000000003</v>
      </c>
      <c r="F822" t="s">
        <v>324</v>
      </c>
      <c r="G822" t="s">
        <v>327</v>
      </c>
      <c r="I822" t="s">
        <v>57</v>
      </c>
      <c r="J822" t="s">
        <v>31</v>
      </c>
      <c r="K822" t="s">
        <v>22</v>
      </c>
      <c r="L822" t="s">
        <v>295</v>
      </c>
      <c r="M822" t="s">
        <v>296</v>
      </c>
      <c r="N822">
        <v>2.9000000000000001E-2</v>
      </c>
      <c r="O822" t="str">
        <f>IF(Transactions_RAW_cleaned[[#This Row],[Status]]="Completed", IFERROR(_xlfn.XLOOKUP(Transactions_RAW_cleaned[[#This Row],[CustomerID]], Customers_cleaned[CustomerID], Customers_cleaned[Segment]), "Customer Not Found"), "N/A")</f>
        <v>Startup</v>
      </c>
      <c r="P822" s="5" t="str">
        <f>IF(Transactions_RAW_cleaned[[#This Row],[Status]]="Refunded", "Refund",
  IF(Transactions_RAW_cleaned[[#This Row],[Category]]="Payments", IF(Transactions_RAW_cleaned[[#This Row],[Amount]]&gt;500,"High Value","Standard"),
    IF(Transactions_RAW_cleaned[[#This Row],[Amount]]&gt;250,"High Value","Standard")))</f>
        <v>Standard</v>
      </c>
      <c r="Q822" s="5" t="str">
        <f>IF(Transactions_RAW_cleaned[[#This Row],[Amount]] &gt; (_xlfn.XLOOKUP(Transactions_RAW_cleaned[[#This Row],[ServiceID]],Services_cleaned[ServiceID],Services_cleaned[TransactionFeePct]) * 10000), "Yes", "No")</f>
        <v>No</v>
      </c>
      <c r="R822" s="5" t="str">
        <f>IF(COUNTIFS($C$2:Transactions_RAW_cleaned[[#This Row],[CustomerID]],Transactions_RAW_cleaned[[#This Row],[CustomerID]],$D$2:Transactions_RAW_cleaned[[#This Row],[ServiceID]],Transactions_RAW_cleaned[[#This Row],[ServiceID]])=1,"Yes","No")</f>
        <v>No</v>
      </c>
      <c r="S82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22" t="str">
        <f>"Q"&amp;ROUNDUP(MONTH(Transactions_RAW_cleaned[[#This Row],[TransactionDate]])/3,0)</f>
        <v>Q3</v>
      </c>
      <c r="U822" t="str">
        <f>Transactions_RAW_cleaned[[#This Row],[Region ]]&amp;Transactions_RAW_cleaned[[#This Row],[Quarter ]]</f>
        <v>EMEAQ3</v>
      </c>
      <c r="V822" s="5">
        <f>_xlfn.XLOOKUP(Transactions_RAW_cleaned[[#This Row],[RegionQuarterKey]], Quarterly_Targets_cleaned[RegionQuarterKey], Quarterly_Targets_cleaned[TargetRevenue])</f>
        <v>147000</v>
      </c>
    </row>
    <row r="823" spans="1:22" x14ac:dyDescent="0.25">
      <c r="A823" t="s">
        <v>1158</v>
      </c>
      <c r="B823" s="1">
        <v>45562</v>
      </c>
      <c r="C823" t="s">
        <v>6</v>
      </c>
      <c r="D823" t="s">
        <v>315</v>
      </c>
      <c r="E823">
        <v>911.17</v>
      </c>
      <c r="F823" t="s">
        <v>324</v>
      </c>
      <c r="G823" t="s">
        <v>327</v>
      </c>
      <c r="H823" t="s">
        <v>332</v>
      </c>
      <c r="I823" t="s">
        <v>8</v>
      </c>
      <c r="J823" t="s">
        <v>102</v>
      </c>
      <c r="K823" t="s">
        <v>10</v>
      </c>
      <c r="L823" t="s">
        <v>316</v>
      </c>
      <c r="M823" t="s">
        <v>305</v>
      </c>
      <c r="N823">
        <v>2.5000000000000001E-3</v>
      </c>
      <c r="O823" t="str">
        <f>IF(Transactions_RAW_cleaned[[#This Row],[Status]]="Completed", IFERROR(_xlfn.XLOOKUP(Transactions_RAW_cleaned[[#This Row],[CustomerID]], Customers_cleaned[CustomerID], Customers_cleaned[Segment]), "Customer Not Found"), "N/A")</f>
        <v>SMB</v>
      </c>
      <c r="P823" s="5" t="str">
        <f>IF(Transactions_RAW_cleaned[[#This Row],[Status]]="Refunded", "Refund",
  IF(Transactions_RAW_cleaned[[#This Row],[Category]]="Payments", IF(Transactions_RAW_cleaned[[#This Row],[Amount]]&gt;500,"High Value","Standard"),
    IF(Transactions_RAW_cleaned[[#This Row],[Amount]]&gt;250,"High Value","Standard")))</f>
        <v>High Value</v>
      </c>
      <c r="Q823" s="5" t="str">
        <f>IF(Transactions_RAW_cleaned[[#This Row],[Amount]] &gt; (_xlfn.XLOOKUP(Transactions_RAW_cleaned[[#This Row],[ServiceID]],Services_cleaned[ServiceID],Services_cleaned[TransactionFeePct]) * 10000), "Yes", "No")</f>
        <v>Yes</v>
      </c>
      <c r="R823" s="5" t="str">
        <f>IF(COUNTIFS($C$2:Transactions_RAW_cleaned[[#This Row],[CustomerID]],Transactions_RAW_cleaned[[#This Row],[CustomerID]],$D$2:Transactions_RAW_cleaned[[#This Row],[ServiceID]],Transactions_RAW_cleaned[[#This Row],[ServiceID]])=1,"Yes","No")</f>
        <v>No</v>
      </c>
      <c r="S82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23" t="str">
        <f>"Q"&amp;ROUNDUP(MONTH(Transactions_RAW_cleaned[[#This Row],[TransactionDate]])/3,0)</f>
        <v>Q3</v>
      </c>
      <c r="U823" t="str">
        <f>Transactions_RAW_cleaned[[#This Row],[Region ]]&amp;Transactions_RAW_cleaned[[#This Row],[Quarter ]]</f>
        <v>NAQ3</v>
      </c>
      <c r="V823" s="5">
        <f>_xlfn.XLOOKUP(Transactions_RAW_cleaned[[#This Row],[RegionQuarterKey]], Quarterly_Targets_cleaned[RegionQuarterKey], Quarterly_Targets_cleaned[TargetRevenue])</f>
        <v>273000</v>
      </c>
    </row>
    <row r="824" spans="1:22" x14ac:dyDescent="0.25">
      <c r="A824" t="s">
        <v>1159</v>
      </c>
      <c r="B824" s="1">
        <v>45420</v>
      </c>
      <c r="C824" t="s">
        <v>167</v>
      </c>
      <c r="D824" t="s">
        <v>294</v>
      </c>
      <c r="E824">
        <v>343.12</v>
      </c>
      <c r="F824" t="s">
        <v>381</v>
      </c>
      <c r="G824" t="s">
        <v>327</v>
      </c>
      <c r="H824" t="s">
        <v>334</v>
      </c>
      <c r="I824" t="s">
        <v>17</v>
      </c>
      <c r="J824" t="s">
        <v>13</v>
      </c>
      <c r="K824" t="s">
        <v>10</v>
      </c>
      <c r="L824" t="s">
        <v>295</v>
      </c>
      <c r="M824" t="s">
        <v>296</v>
      </c>
      <c r="N824">
        <v>2.9000000000000001E-2</v>
      </c>
      <c r="O824" t="str">
        <f>IF(Transactions_RAW_cleaned[[#This Row],[Status]]="Completed", IFERROR(_xlfn.XLOOKUP(Transactions_RAW_cleaned[[#This Row],[CustomerID]], Customers_cleaned[CustomerID], Customers_cleaned[Segment]), "Customer Not Found"), "N/A")</f>
        <v>N/A</v>
      </c>
      <c r="P824" s="5" t="str">
        <f>IF(Transactions_RAW_cleaned[[#This Row],[Status]]="Refunded", "Refund",
  IF(Transactions_RAW_cleaned[[#This Row],[Category]]="Payments", IF(Transactions_RAW_cleaned[[#This Row],[Amount]]&gt;500,"High Value","Standard"),
    IF(Transactions_RAW_cleaned[[#This Row],[Amount]]&gt;250,"High Value","Standard")))</f>
        <v>Standard</v>
      </c>
      <c r="Q824" s="5" t="str">
        <f>IF(Transactions_RAW_cleaned[[#This Row],[Amount]] &gt; (_xlfn.XLOOKUP(Transactions_RAW_cleaned[[#This Row],[ServiceID]],Services_cleaned[ServiceID],Services_cleaned[TransactionFeePct]) * 10000), "Yes", "No")</f>
        <v>Yes</v>
      </c>
      <c r="R824" s="5" t="str">
        <f>IF(COUNTIFS($C$2:Transactions_RAW_cleaned[[#This Row],[CustomerID]],Transactions_RAW_cleaned[[#This Row],[CustomerID]],$D$2:Transactions_RAW_cleaned[[#This Row],[ServiceID]],Transactions_RAW_cleaned[[#This Row],[ServiceID]])=1,"Yes","No")</f>
        <v>No</v>
      </c>
      <c r="S82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24" t="str">
        <f>"Q"&amp;ROUNDUP(MONTH(Transactions_RAW_cleaned[[#This Row],[TransactionDate]])/3,0)</f>
        <v>Q2</v>
      </c>
      <c r="U824" t="str">
        <f>Transactions_RAW_cleaned[[#This Row],[Region ]]&amp;Transactions_RAW_cleaned[[#This Row],[Quarter ]]</f>
        <v>NAQ2</v>
      </c>
      <c r="V824" s="5">
        <f>_xlfn.XLOOKUP(Transactions_RAW_cleaned[[#This Row],[RegionQuarterKey]], Quarterly_Targets_cleaned[RegionQuarterKey], Quarterly_Targets_cleaned[TargetRevenue])</f>
        <v>260000</v>
      </c>
    </row>
    <row r="825" spans="1:22" x14ac:dyDescent="0.25">
      <c r="A825" t="s">
        <v>1160</v>
      </c>
      <c r="B825" s="1">
        <v>45387</v>
      </c>
      <c r="C825" t="s">
        <v>72</v>
      </c>
      <c r="D825" t="s">
        <v>294</v>
      </c>
      <c r="E825">
        <v>356.52</v>
      </c>
      <c r="F825" t="s">
        <v>324</v>
      </c>
      <c r="G825" t="s">
        <v>327</v>
      </c>
      <c r="I825" t="s">
        <v>57</v>
      </c>
      <c r="J825" t="s">
        <v>46</v>
      </c>
      <c r="K825" t="s">
        <v>32</v>
      </c>
      <c r="L825" t="s">
        <v>295</v>
      </c>
      <c r="M825" t="s">
        <v>296</v>
      </c>
      <c r="N825">
        <v>2.9000000000000001E-2</v>
      </c>
      <c r="O825" t="str">
        <f>IF(Transactions_RAW_cleaned[[#This Row],[Status]]="Completed", IFERROR(_xlfn.XLOOKUP(Transactions_RAW_cleaned[[#This Row],[CustomerID]], Customers_cleaned[CustomerID], Customers_cleaned[Segment]), "Customer Not Found"), "N/A")</f>
        <v>Startup</v>
      </c>
      <c r="P825" s="5" t="str">
        <f>IF(Transactions_RAW_cleaned[[#This Row],[Status]]="Refunded", "Refund",
  IF(Transactions_RAW_cleaned[[#This Row],[Category]]="Payments", IF(Transactions_RAW_cleaned[[#This Row],[Amount]]&gt;500,"High Value","Standard"),
    IF(Transactions_RAW_cleaned[[#This Row],[Amount]]&gt;250,"High Value","Standard")))</f>
        <v>Standard</v>
      </c>
      <c r="Q825" s="5" t="str">
        <f>IF(Transactions_RAW_cleaned[[#This Row],[Amount]] &gt; (_xlfn.XLOOKUP(Transactions_RAW_cleaned[[#This Row],[ServiceID]],Services_cleaned[ServiceID],Services_cleaned[TransactionFeePct]) * 10000), "Yes", "No")</f>
        <v>Yes</v>
      </c>
      <c r="R825" s="5" t="str">
        <f>IF(COUNTIFS($C$2:Transactions_RAW_cleaned[[#This Row],[CustomerID]],Transactions_RAW_cleaned[[#This Row],[CustomerID]],$D$2:Transactions_RAW_cleaned[[#This Row],[ServiceID]],Transactions_RAW_cleaned[[#This Row],[ServiceID]])=1,"Yes","No")</f>
        <v>No</v>
      </c>
      <c r="S82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25" t="str">
        <f>"Q"&amp;ROUNDUP(MONTH(Transactions_RAW_cleaned[[#This Row],[TransactionDate]])/3,0)</f>
        <v>Q2</v>
      </c>
      <c r="U825" t="str">
        <f>Transactions_RAW_cleaned[[#This Row],[Region ]]&amp;Transactions_RAW_cleaned[[#This Row],[Quarter ]]</f>
        <v>APACQ2</v>
      </c>
      <c r="V825" s="5">
        <f>_xlfn.XLOOKUP(Transactions_RAW_cleaned[[#This Row],[RegionQuarterKey]], Quarterly_Targets_cleaned[RegionQuarterKey], Quarterly_Targets_cleaned[TargetRevenue])</f>
        <v>110000</v>
      </c>
    </row>
    <row r="826" spans="1:22" x14ac:dyDescent="0.25">
      <c r="A826" t="s">
        <v>1161</v>
      </c>
      <c r="B826" s="1">
        <v>45554</v>
      </c>
      <c r="C826" t="s">
        <v>159</v>
      </c>
      <c r="D826" t="s">
        <v>294</v>
      </c>
      <c r="E826">
        <v>612.08000000000004</v>
      </c>
      <c r="F826" t="s">
        <v>324</v>
      </c>
      <c r="G826" t="s">
        <v>337</v>
      </c>
      <c r="I826" t="s">
        <v>57</v>
      </c>
      <c r="J826" t="s">
        <v>25</v>
      </c>
      <c r="K826" t="s">
        <v>22</v>
      </c>
      <c r="L826" t="s">
        <v>295</v>
      </c>
      <c r="M826" t="s">
        <v>296</v>
      </c>
      <c r="N826">
        <v>2.9000000000000001E-2</v>
      </c>
      <c r="O826" t="str">
        <f>IF(Transactions_RAW_cleaned[[#This Row],[Status]]="Completed", IFERROR(_xlfn.XLOOKUP(Transactions_RAW_cleaned[[#This Row],[CustomerID]], Customers_cleaned[CustomerID], Customers_cleaned[Segment]), "Customer Not Found"), "N/A")</f>
        <v>Startup</v>
      </c>
      <c r="P826" s="5" t="str">
        <f>IF(Transactions_RAW_cleaned[[#This Row],[Status]]="Refunded", "Refund",
  IF(Transactions_RAW_cleaned[[#This Row],[Category]]="Payments", IF(Transactions_RAW_cleaned[[#This Row],[Amount]]&gt;500,"High Value","Standard"),
    IF(Transactions_RAW_cleaned[[#This Row],[Amount]]&gt;250,"High Value","Standard")))</f>
        <v>High Value</v>
      </c>
      <c r="Q826" s="5" t="str">
        <f>IF(Transactions_RAW_cleaned[[#This Row],[Amount]] &gt; (_xlfn.XLOOKUP(Transactions_RAW_cleaned[[#This Row],[ServiceID]],Services_cleaned[ServiceID],Services_cleaned[TransactionFeePct]) * 10000), "Yes", "No")</f>
        <v>Yes</v>
      </c>
      <c r="R826" s="5" t="str">
        <f>IF(COUNTIFS($C$2:Transactions_RAW_cleaned[[#This Row],[CustomerID]],Transactions_RAW_cleaned[[#This Row],[CustomerID]],$D$2:Transactions_RAW_cleaned[[#This Row],[ServiceID]],Transactions_RAW_cleaned[[#This Row],[ServiceID]])=1,"Yes","No")</f>
        <v>No</v>
      </c>
      <c r="S82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26" t="str">
        <f>"Q"&amp;ROUNDUP(MONTH(Transactions_RAW_cleaned[[#This Row],[TransactionDate]])/3,0)</f>
        <v>Q3</v>
      </c>
      <c r="U826" t="str">
        <f>Transactions_RAW_cleaned[[#This Row],[Region ]]&amp;Transactions_RAW_cleaned[[#This Row],[Quarter ]]</f>
        <v>APACQ3</v>
      </c>
      <c r="V826" s="5">
        <f>_xlfn.XLOOKUP(Transactions_RAW_cleaned[[#This Row],[RegionQuarterKey]], Quarterly_Targets_cleaned[RegionQuarterKey], Quarterly_Targets_cleaned[TargetRevenue])</f>
        <v>115500</v>
      </c>
    </row>
    <row r="827" spans="1:22" x14ac:dyDescent="0.25">
      <c r="A827" t="s">
        <v>1162</v>
      </c>
      <c r="B827" s="1">
        <v>45649</v>
      </c>
      <c r="C827" t="s">
        <v>131</v>
      </c>
      <c r="D827" t="s">
        <v>315</v>
      </c>
      <c r="E827">
        <v>538.32000000000005</v>
      </c>
      <c r="F827" t="s">
        <v>324</v>
      </c>
      <c r="G827" t="s">
        <v>329</v>
      </c>
      <c r="H827" t="s">
        <v>332</v>
      </c>
      <c r="I827" t="s">
        <v>17</v>
      </c>
      <c r="J827" t="s">
        <v>102</v>
      </c>
      <c r="K827" t="s">
        <v>22</v>
      </c>
      <c r="L827" t="s">
        <v>316</v>
      </c>
      <c r="M827" t="s">
        <v>305</v>
      </c>
      <c r="N827">
        <v>2.5000000000000001E-3</v>
      </c>
      <c r="O827" t="str">
        <f>IF(Transactions_RAW_cleaned[[#This Row],[Status]]="Completed", IFERROR(_xlfn.XLOOKUP(Transactions_RAW_cleaned[[#This Row],[CustomerID]], Customers_cleaned[CustomerID], Customers_cleaned[Segment]), "Customer Not Found"), "N/A")</f>
        <v>Enterprise</v>
      </c>
      <c r="P827" s="5" t="str">
        <f>IF(Transactions_RAW_cleaned[[#This Row],[Status]]="Refunded", "Refund",
  IF(Transactions_RAW_cleaned[[#This Row],[Category]]="Payments", IF(Transactions_RAW_cleaned[[#This Row],[Amount]]&gt;500,"High Value","Standard"),
    IF(Transactions_RAW_cleaned[[#This Row],[Amount]]&gt;250,"High Value","Standard")))</f>
        <v>High Value</v>
      </c>
      <c r="Q827" s="5" t="str">
        <f>IF(Transactions_RAW_cleaned[[#This Row],[Amount]] &gt; (_xlfn.XLOOKUP(Transactions_RAW_cleaned[[#This Row],[ServiceID]],Services_cleaned[ServiceID],Services_cleaned[TransactionFeePct]) * 10000), "Yes", "No")</f>
        <v>Yes</v>
      </c>
      <c r="R827" s="5" t="str">
        <f>IF(COUNTIFS($C$2:Transactions_RAW_cleaned[[#This Row],[CustomerID]],Transactions_RAW_cleaned[[#This Row],[CustomerID]],$D$2:Transactions_RAW_cleaned[[#This Row],[ServiceID]],Transactions_RAW_cleaned[[#This Row],[ServiceID]])=1,"Yes","No")</f>
        <v>No</v>
      </c>
      <c r="S82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27" t="str">
        <f>"Q"&amp;ROUNDUP(MONTH(Transactions_RAW_cleaned[[#This Row],[TransactionDate]])/3,0)</f>
        <v>Q4</v>
      </c>
      <c r="U827" t="str">
        <f>Transactions_RAW_cleaned[[#This Row],[Region ]]&amp;Transactions_RAW_cleaned[[#This Row],[Quarter ]]</f>
        <v>NAQ4</v>
      </c>
      <c r="V827" s="5">
        <f>_xlfn.XLOOKUP(Transactions_RAW_cleaned[[#This Row],[RegionQuarterKey]], Quarterly_Targets_cleaned[RegionQuarterKey], Quarterly_Targets_cleaned[TargetRevenue])</f>
        <v>299000</v>
      </c>
    </row>
    <row r="828" spans="1:22" x14ac:dyDescent="0.25">
      <c r="A828" t="s">
        <v>1163</v>
      </c>
      <c r="B828" s="1">
        <v>45348</v>
      </c>
      <c r="C828" t="s">
        <v>183</v>
      </c>
      <c r="D828" t="s">
        <v>309</v>
      </c>
      <c r="E828">
        <v>275.27</v>
      </c>
      <c r="F828" t="s">
        <v>324</v>
      </c>
      <c r="G828" t="s">
        <v>337</v>
      </c>
      <c r="H828" t="s">
        <v>346</v>
      </c>
      <c r="I828" t="s">
        <v>8</v>
      </c>
      <c r="J828" t="s">
        <v>13</v>
      </c>
      <c r="K828" t="s">
        <v>10</v>
      </c>
      <c r="L828" t="s">
        <v>310</v>
      </c>
      <c r="M828" t="s">
        <v>311</v>
      </c>
      <c r="N828">
        <v>0</v>
      </c>
      <c r="O828" t="str">
        <f>IF(Transactions_RAW_cleaned[[#This Row],[Status]]="Completed", IFERROR(_xlfn.XLOOKUP(Transactions_RAW_cleaned[[#This Row],[CustomerID]], Customers_cleaned[CustomerID], Customers_cleaned[Segment]), "Customer Not Found"), "N/A")</f>
        <v>SMB</v>
      </c>
      <c r="P828" s="5" t="str">
        <f>IF(Transactions_RAW_cleaned[[#This Row],[Status]]="Refunded", "Refund",
  IF(Transactions_RAW_cleaned[[#This Row],[Category]]="Payments", IF(Transactions_RAW_cleaned[[#This Row],[Amount]]&gt;500,"High Value","Standard"),
    IF(Transactions_RAW_cleaned[[#This Row],[Amount]]&gt;250,"High Value","Standard")))</f>
        <v>High Value</v>
      </c>
      <c r="Q828" s="5" t="str">
        <f>IF(Transactions_RAW_cleaned[[#This Row],[Amount]] &gt; (_xlfn.XLOOKUP(Transactions_RAW_cleaned[[#This Row],[ServiceID]],Services_cleaned[ServiceID],Services_cleaned[TransactionFeePct]) * 10000), "Yes", "No")</f>
        <v>Yes</v>
      </c>
      <c r="R828" s="5" t="str">
        <f>IF(COUNTIFS($C$2:Transactions_RAW_cleaned[[#This Row],[CustomerID]],Transactions_RAW_cleaned[[#This Row],[CustomerID]],$D$2:Transactions_RAW_cleaned[[#This Row],[ServiceID]],Transactions_RAW_cleaned[[#This Row],[ServiceID]])=1,"Yes","No")</f>
        <v>Yes</v>
      </c>
      <c r="S82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28" t="str">
        <f>"Q"&amp;ROUNDUP(MONTH(Transactions_RAW_cleaned[[#This Row],[TransactionDate]])/3,0)</f>
        <v>Q1</v>
      </c>
      <c r="U828" t="str">
        <f>Transactions_RAW_cleaned[[#This Row],[Region ]]&amp;Transactions_RAW_cleaned[[#This Row],[Quarter ]]</f>
        <v>NAQ1</v>
      </c>
      <c r="V828" s="5">
        <f>_xlfn.XLOOKUP(Transactions_RAW_cleaned[[#This Row],[RegionQuarterKey]], Quarterly_Targets_cleaned[RegionQuarterKey], Quarterly_Targets_cleaned[TargetRevenue])</f>
        <v>247000</v>
      </c>
    </row>
    <row r="829" spans="1:22" x14ac:dyDescent="0.25">
      <c r="A829" t="s">
        <v>1164</v>
      </c>
      <c r="B829" s="1">
        <v>45527</v>
      </c>
      <c r="C829" t="s">
        <v>265</v>
      </c>
      <c r="D829" t="s">
        <v>294</v>
      </c>
      <c r="E829">
        <v>206.34</v>
      </c>
      <c r="F829" t="s">
        <v>324</v>
      </c>
      <c r="G829" t="s">
        <v>325</v>
      </c>
      <c r="I829" t="s">
        <v>8</v>
      </c>
      <c r="J829" t="s">
        <v>102</v>
      </c>
      <c r="K829" t="s">
        <v>32</v>
      </c>
      <c r="L829" t="s">
        <v>295</v>
      </c>
      <c r="M829" t="s">
        <v>296</v>
      </c>
      <c r="N829">
        <v>2.9000000000000001E-2</v>
      </c>
      <c r="O829" t="str">
        <f>IF(Transactions_RAW_cleaned[[#This Row],[Status]]="Completed", IFERROR(_xlfn.XLOOKUP(Transactions_RAW_cleaned[[#This Row],[CustomerID]], Customers_cleaned[CustomerID], Customers_cleaned[Segment]), "Customer Not Found"), "N/A")</f>
        <v>SMB</v>
      </c>
      <c r="P829" s="5" t="str">
        <f>IF(Transactions_RAW_cleaned[[#This Row],[Status]]="Refunded", "Refund",
  IF(Transactions_RAW_cleaned[[#This Row],[Category]]="Payments", IF(Transactions_RAW_cleaned[[#This Row],[Amount]]&gt;500,"High Value","Standard"),
    IF(Transactions_RAW_cleaned[[#This Row],[Amount]]&gt;250,"High Value","Standard")))</f>
        <v>Standard</v>
      </c>
      <c r="Q829" s="5" t="str">
        <f>IF(Transactions_RAW_cleaned[[#This Row],[Amount]] &gt; (_xlfn.XLOOKUP(Transactions_RAW_cleaned[[#This Row],[ServiceID]],Services_cleaned[ServiceID],Services_cleaned[TransactionFeePct]) * 10000), "Yes", "No")</f>
        <v>No</v>
      </c>
      <c r="R829" s="5" t="str">
        <f>IF(COUNTIFS($C$2:Transactions_RAW_cleaned[[#This Row],[CustomerID]],Transactions_RAW_cleaned[[#This Row],[CustomerID]],$D$2:Transactions_RAW_cleaned[[#This Row],[ServiceID]],Transactions_RAW_cleaned[[#This Row],[ServiceID]])=1,"Yes","No")</f>
        <v>No</v>
      </c>
      <c r="S82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29" t="str">
        <f>"Q"&amp;ROUNDUP(MONTH(Transactions_RAW_cleaned[[#This Row],[TransactionDate]])/3,0)</f>
        <v>Q3</v>
      </c>
      <c r="U829" t="str">
        <f>Transactions_RAW_cleaned[[#This Row],[Region ]]&amp;Transactions_RAW_cleaned[[#This Row],[Quarter ]]</f>
        <v>NAQ3</v>
      </c>
      <c r="V829" s="5">
        <f>_xlfn.XLOOKUP(Transactions_RAW_cleaned[[#This Row],[RegionQuarterKey]], Quarterly_Targets_cleaned[RegionQuarterKey], Quarterly_Targets_cleaned[TargetRevenue])</f>
        <v>273000</v>
      </c>
    </row>
    <row r="830" spans="1:22" x14ac:dyDescent="0.25">
      <c r="A830" t="s">
        <v>1165</v>
      </c>
      <c r="B830" s="1">
        <v>45573</v>
      </c>
      <c r="C830" t="s">
        <v>129</v>
      </c>
      <c r="D830" t="s">
        <v>297</v>
      </c>
      <c r="E830">
        <v>895.26</v>
      </c>
      <c r="F830" t="s">
        <v>331</v>
      </c>
      <c r="G830" t="s">
        <v>2963</v>
      </c>
      <c r="H830" t="s">
        <v>346</v>
      </c>
      <c r="I830" t="s">
        <v>8</v>
      </c>
      <c r="J830" t="s">
        <v>21</v>
      </c>
      <c r="K830" t="s">
        <v>18</v>
      </c>
      <c r="L830" t="s">
        <v>298</v>
      </c>
      <c r="M830" t="s">
        <v>299</v>
      </c>
      <c r="N830">
        <v>0</v>
      </c>
      <c r="O830" t="str">
        <f>IF(Transactions_RAW_cleaned[[#This Row],[Status]]="Completed", IFERROR(_xlfn.XLOOKUP(Transactions_RAW_cleaned[[#This Row],[CustomerID]], Customers_cleaned[CustomerID], Customers_cleaned[Segment]), "Customer Not Found"), "N/A")</f>
        <v>N/A</v>
      </c>
      <c r="P830" s="5" t="str">
        <f>IF(Transactions_RAW_cleaned[[#This Row],[Status]]="Refunded", "Refund",
  IF(Transactions_RAW_cleaned[[#This Row],[Category]]="Payments", IF(Transactions_RAW_cleaned[[#This Row],[Amount]]&gt;500,"High Value","Standard"),
    IF(Transactions_RAW_cleaned[[#This Row],[Amount]]&gt;250,"High Value","Standard")))</f>
        <v>High Value</v>
      </c>
      <c r="Q830" s="5" t="str">
        <f>IF(Transactions_RAW_cleaned[[#This Row],[Amount]] &gt; (_xlfn.XLOOKUP(Transactions_RAW_cleaned[[#This Row],[ServiceID]],Services_cleaned[ServiceID],Services_cleaned[TransactionFeePct]) * 10000), "Yes", "No")</f>
        <v>Yes</v>
      </c>
      <c r="R830" s="5" t="str">
        <f>IF(COUNTIFS($C$2:Transactions_RAW_cleaned[[#This Row],[CustomerID]],Transactions_RAW_cleaned[[#This Row],[CustomerID]],$D$2:Transactions_RAW_cleaned[[#This Row],[ServiceID]],Transactions_RAW_cleaned[[#This Row],[ServiceID]])=1,"Yes","No")</f>
        <v>Yes</v>
      </c>
      <c r="S83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30" t="str">
        <f>"Q"&amp;ROUNDUP(MONTH(Transactions_RAW_cleaned[[#This Row],[TransactionDate]])/3,0)</f>
        <v>Q4</v>
      </c>
      <c r="U830" t="str">
        <f>Transactions_RAW_cleaned[[#This Row],[Region ]]&amp;Transactions_RAW_cleaned[[#This Row],[Quarter ]]</f>
        <v>APACQ4</v>
      </c>
      <c r="V830" s="5">
        <f>_xlfn.XLOOKUP(Transactions_RAW_cleaned[[#This Row],[RegionQuarterKey]], Quarterly_Targets_cleaned[RegionQuarterKey], Quarterly_Targets_cleaned[TargetRevenue])</f>
        <v>126500</v>
      </c>
    </row>
    <row r="831" spans="1:22" x14ac:dyDescent="0.25">
      <c r="A831" t="s">
        <v>1166</v>
      </c>
      <c r="B831" s="1">
        <v>45499</v>
      </c>
      <c r="C831" t="s">
        <v>239</v>
      </c>
      <c r="D831" t="s">
        <v>300</v>
      </c>
      <c r="E831">
        <v>-446.81</v>
      </c>
      <c r="F831" t="s">
        <v>349</v>
      </c>
      <c r="G831" t="s">
        <v>329</v>
      </c>
      <c r="H831" t="s">
        <v>332</v>
      </c>
      <c r="I831" t="s">
        <v>57</v>
      </c>
      <c r="J831" t="s">
        <v>102</v>
      </c>
      <c r="K831" t="s">
        <v>10</v>
      </c>
      <c r="L831" t="s">
        <v>301</v>
      </c>
      <c r="M831" t="s">
        <v>302</v>
      </c>
      <c r="N831">
        <v>5.0000000000000001E-3</v>
      </c>
      <c r="O831" t="str">
        <f>IF(Transactions_RAW_cleaned[[#This Row],[Status]]="Completed", IFERROR(_xlfn.XLOOKUP(Transactions_RAW_cleaned[[#This Row],[CustomerID]], Customers_cleaned[CustomerID], Customers_cleaned[Segment]), "Customer Not Found"), "N/A")</f>
        <v>N/A</v>
      </c>
      <c r="P831" s="5" t="str">
        <f>IF(Transactions_RAW_cleaned[[#This Row],[Status]]="Refunded", "Refund",
  IF(Transactions_RAW_cleaned[[#This Row],[Category]]="Payments", IF(Transactions_RAW_cleaned[[#This Row],[Amount]]&gt;500,"High Value","Standard"),
    IF(Transactions_RAW_cleaned[[#This Row],[Amount]]&gt;250,"High Value","Standard")))</f>
        <v>Refund</v>
      </c>
      <c r="Q831" s="5" t="str">
        <f>IF(Transactions_RAW_cleaned[[#This Row],[Amount]] &gt; (_xlfn.XLOOKUP(Transactions_RAW_cleaned[[#This Row],[ServiceID]],Services_cleaned[ServiceID],Services_cleaned[TransactionFeePct]) * 10000), "Yes", "No")</f>
        <v>No</v>
      </c>
      <c r="R831" s="5" t="str">
        <f>IF(COUNTIFS($C$2:Transactions_RAW_cleaned[[#This Row],[CustomerID]],Transactions_RAW_cleaned[[#This Row],[CustomerID]],$D$2:Transactions_RAW_cleaned[[#This Row],[ServiceID]],Transactions_RAW_cleaned[[#This Row],[ServiceID]])=1,"Yes","No")</f>
        <v>No</v>
      </c>
      <c r="S83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31" t="str">
        <f>"Q"&amp;ROUNDUP(MONTH(Transactions_RAW_cleaned[[#This Row],[TransactionDate]])/3,0)</f>
        <v>Q3</v>
      </c>
      <c r="U831" t="str">
        <f>Transactions_RAW_cleaned[[#This Row],[Region ]]&amp;Transactions_RAW_cleaned[[#This Row],[Quarter ]]</f>
        <v>NAQ3</v>
      </c>
      <c r="V831" s="5">
        <f>_xlfn.XLOOKUP(Transactions_RAW_cleaned[[#This Row],[RegionQuarterKey]], Quarterly_Targets_cleaned[RegionQuarterKey], Quarterly_Targets_cleaned[TargetRevenue])</f>
        <v>273000</v>
      </c>
    </row>
    <row r="832" spans="1:22" x14ac:dyDescent="0.25">
      <c r="A832" t="s">
        <v>1167</v>
      </c>
      <c r="B832" s="1">
        <v>45472</v>
      </c>
      <c r="C832" t="s">
        <v>175</v>
      </c>
      <c r="D832" t="s">
        <v>294</v>
      </c>
      <c r="E832">
        <v>578.96</v>
      </c>
      <c r="F832" t="s">
        <v>324</v>
      </c>
      <c r="G832" t="s">
        <v>325</v>
      </c>
      <c r="I832" t="s">
        <v>8</v>
      </c>
      <c r="J832" t="s">
        <v>31</v>
      </c>
      <c r="K832" t="s">
        <v>32</v>
      </c>
      <c r="L832" t="s">
        <v>295</v>
      </c>
      <c r="M832" t="s">
        <v>296</v>
      </c>
      <c r="N832">
        <v>2.9000000000000001E-2</v>
      </c>
      <c r="O832" t="str">
        <f>IF(Transactions_RAW_cleaned[[#This Row],[Status]]="Completed", IFERROR(_xlfn.XLOOKUP(Transactions_RAW_cleaned[[#This Row],[CustomerID]], Customers_cleaned[CustomerID], Customers_cleaned[Segment]), "Customer Not Found"), "N/A")</f>
        <v>SMB</v>
      </c>
      <c r="P832" s="5" t="str">
        <f>IF(Transactions_RAW_cleaned[[#This Row],[Status]]="Refunded", "Refund",
  IF(Transactions_RAW_cleaned[[#This Row],[Category]]="Payments", IF(Transactions_RAW_cleaned[[#This Row],[Amount]]&gt;500,"High Value","Standard"),
    IF(Transactions_RAW_cleaned[[#This Row],[Amount]]&gt;250,"High Value","Standard")))</f>
        <v>High Value</v>
      </c>
      <c r="Q832" s="5" t="str">
        <f>IF(Transactions_RAW_cleaned[[#This Row],[Amount]] &gt; (_xlfn.XLOOKUP(Transactions_RAW_cleaned[[#This Row],[ServiceID]],Services_cleaned[ServiceID],Services_cleaned[TransactionFeePct]) * 10000), "Yes", "No")</f>
        <v>Yes</v>
      </c>
      <c r="R832" s="5" t="str">
        <f>IF(COUNTIFS($C$2:Transactions_RAW_cleaned[[#This Row],[CustomerID]],Transactions_RAW_cleaned[[#This Row],[CustomerID]],$D$2:Transactions_RAW_cleaned[[#This Row],[ServiceID]],Transactions_RAW_cleaned[[#This Row],[ServiceID]])=1,"Yes","No")</f>
        <v>No</v>
      </c>
      <c r="S83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32" t="str">
        <f>"Q"&amp;ROUNDUP(MONTH(Transactions_RAW_cleaned[[#This Row],[TransactionDate]])/3,0)</f>
        <v>Q2</v>
      </c>
      <c r="U832" t="str">
        <f>Transactions_RAW_cleaned[[#This Row],[Region ]]&amp;Transactions_RAW_cleaned[[#This Row],[Quarter ]]</f>
        <v>EMEAQ2</v>
      </c>
      <c r="V832" s="5">
        <f>_xlfn.XLOOKUP(Transactions_RAW_cleaned[[#This Row],[RegionQuarterKey]], Quarterly_Targets_cleaned[RegionQuarterKey], Quarterly_Targets_cleaned[TargetRevenue])</f>
        <v>140000</v>
      </c>
    </row>
    <row r="833" spans="1:22" x14ac:dyDescent="0.25">
      <c r="A833" t="s">
        <v>1168</v>
      </c>
      <c r="B833" s="1">
        <v>45404</v>
      </c>
      <c r="C833" t="s">
        <v>33</v>
      </c>
      <c r="D833" t="s">
        <v>297</v>
      </c>
      <c r="E833">
        <v>355.49</v>
      </c>
      <c r="F833" t="s">
        <v>324</v>
      </c>
      <c r="G833" t="s">
        <v>325</v>
      </c>
      <c r="I833" t="s">
        <v>17</v>
      </c>
      <c r="J833" t="s">
        <v>31</v>
      </c>
      <c r="K833" t="s">
        <v>14</v>
      </c>
      <c r="L833" t="s">
        <v>298</v>
      </c>
      <c r="M833" t="s">
        <v>299</v>
      </c>
      <c r="N833">
        <v>0</v>
      </c>
      <c r="O833" t="str">
        <f>IF(Transactions_RAW_cleaned[[#This Row],[Status]]="Completed", IFERROR(_xlfn.XLOOKUP(Transactions_RAW_cleaned[[#This Row],[CustomerID]], Customers_cleaned[CustomerID], Customers_cleaned[Segment]), "Customer Not Found"), "N/A")</f>
        <v>Enterprise</v>
      </c>
      <c r="P833" s="5" t="str">
        <f>IF(Transactions_RAW_cleaned[[#This Row],[Status]]="Refunded", "Refund",
  IF(Transactions_RAW_cleaned[[#This Row],[Category]]="Payments", IF(Transactions_RAW_cleaned[[#This Row],[Amount]]&gt;500,"High Value","Standard"),
    IF(Transactions_RAW_cleaned[[#This Row],[Amount]]&gt;250,"High Value","Standard")))</f>
        <v>High Value</v>
      </c>
      <c r="Q833" s="5" t="str">
        <f>IF(Transactions_RAW_cleaned[[#This Row],[Amount]] &gt; (_xlfn.XLOOKUP(Transactions_RAW_cleaned[[#This Row],[ServiceID]],Services_cleaned[ServiceID],Services_cleaned[TransactionFeePct]) * 10000), "Yes", "No")</f>
        <v>Yes</v>
      </c>
      <c r="R833" s="5" t="str">
        <f>IF(COUNTIFS($C$2:Transactions_RAW_cleaned[[#This Row],[CustomerID]],Transactions_RAW_cleaned[[#This Row],[CustomerID]],$D$2:Transactions_RAW_cleaned[[#This Row],[ServiceID]],Transactions_RAW_cleaned[[#This Row],[ServiceID]])=1,"Yes","No")</f>
        <v>No</v>
      </c>
      <c r="S83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33" t="str">
        <f>"Q"&amp;ROUNDUP(MONTH(Transactions_RAW_cleaned[[#This Row],[TransactionDate]])/3,0)</f>
        <v>Q2</v>
      </c>
      <c r="U833" t="str">
        <f>Transactions_RAW_cleaned[[#This Row],[Region ]]&amp;Transactions_RAW_cleaned[[#This Row],[Quarter ]]</f>
        <v>EMEAQ2</v>
      </c>
      <c r="V833" s="5">
        <f>_xlfn.XLOOKUP(Transactions_RAW_cleaned[[#This Row],[RegionQuarterKey]], Quarterly_Targets_cleaned[RegionQuarterKey], Quarterly_Targets_cleaned[TargetRevenue])</f>
        <v>140000</v>
      </c>
    </row>
    <row r="834" spans="1:22" x14ac:dyDescent="0.25">
      <c r="A834" t="s">
        <v>1169</v>
      </c>
      <c r="B834" s="1">
        <v>45609</v>
      </c>
      <c r="C834" t="s">
        <v>29</v>
      </c>
      <c r="D834" t="s">
        <v>297</v>
      </c>
      <c r="E834">
        <v>598.96</v>
      </c>
      <c r="F834" t="s">
        <v>324</v>
      </c>
      <c r="G834" t="s">
        <v>337</v>
      </c>
      <c r="I834" t="s">
        <v>8</v>
      </c>
      <c r="J834" t="s">
        <v>31</v>
      </c>
      <c r="K834" t="s">
        <v>32</v>
      </c>
      <c r="L834" t="s">
        <v>298</v>
      </c>
      <c r="M834" t="s">
        <v>299</v>
      </c>
      <c r="N834">
        <v>0</v>
      </c>
      <c r="O834" t="str">
        <f>IF(Transactions_RAW_cleaned[[#This Row],[Status]]="Completed", IFERROR(_xlfn.XLOOKUP(Transactions_RAW_cleaned[[#This Row],[CustomerID]], Customers_cleaned[CustomerID], Customers_cleaned[Segment]), "Customer Not Found"), "N/A")</f>
        <v>SMB</v>
      </c>
      <c r="P834" s="5" t="str">
        <f>IF(Transactions_RAW_cleaned[[#This Row],[Status]]="Refunded", "Refund",
  IF(Transactions_RAW_cleaned[[#This Row],[Category]]="Payments", IF(Transactions_RAW_cleaned[[#This Row],[Amount]]&gt;500,"High Value","Standard"),
    IF(Transactions_RAW_cleaned[[#This Row],[Amount]]&gt;250,"High Value","Standard")))</f>
        <v>High Value</v>
      </c>
      <c r="Q834" s="5" t="str">
        <f>IF(Transactions_RAW_cleaned[[#This Row],[Amount]] &gt; (_xlfn.XLOOKUP(Transactions_RAW_cleaned[[#This Row],[ServiceID]],Services_cleaned[ServiceID],Services_cleaned[TransactionFeePct]) * 10000), "Yes", "No")</f>
        <v>Yes</v>
      </c>
      <c r="R834" s="5" t="str">
        <f>IF(COUNTIFS($C$2:Transactions_RAW_cleaned[[#This Row],[CustomerID]],Transactions_RAW_cleaned[[#This Row],[CustomerID]],$D$2:Transactions_RAW_cleaned[[#This Row],[ServiceID]],Transactions_RAW_cleaned[[#This Row],[ServiceID]])=1,"Yes","No")</f>
        <v>No</v>
      </c>
      <c r="S83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34" t="str">
        <f>"Q"&amp;ROUNDUP(MONTH(Transactions_RAW_cleaned[[#This Row],[TransactionDate]])/3,0)</f>
        <v>Q4</v>
      </c>
      <c r="U834" t="str">
        <f>Transactions_RAW_cleaned[[#This Row],[Region ]]&amp;Transactions_RAW_cleaned[[#This Row],[Quarter ]]</f>
        <v>EMEAQ4</v>
      </c>
      <c r="V834" s="5">
        <f>_xlfn.XLOOKUP(Transactions_RAW_cleaned[[#This Row],[RegionQuarterKey]], Quarterly_Targets_cleaned[RegionQuarterKey], Quarterly_Targets_cleaned[TargetRevenue])</f>
        <v>161000</v>
      </c>
    </row>
    <row r="835" spans="1:22" x14ac:dyDescent="0.25">
      <c r="A835" t="s">
        <v>1170</v>
      </c>
      <c r="B835" s="1">
        <v>45561</v>
      </c>
      <c r="C835" t="s">
        <v>38</v>
      </c>
      <c r="D835" t="s">
        <v>312</v>
      </c>
      <c r="E835">
        <v>596.82000000000005</v>
      </c>
      <c r="F835" t="s">
        <v>324</v>
      </c>
      <c r="G835" t="s">
        <v>327</v>
      </c>
      <c r="I835" t="s">
        <v>8</v>
      </c>
      <c r="J835" t="s">
        <v>102</v>
      </c>
      <c r="K835" t="s">
        <v>28</v>
      </c>
      <c r="L835" t="s">
        <v>313</v>
      </c>
      <c r="M835" t="s">
        <v>314</v>
      </c>
      <c r="N835">
        <v>0</v>
      </c>
      <c r="O835" t="str">
        <f>IF(Transactions_RAW_cleaned[[#This Row],[Status]]="Completed", IFERROR(_xlfn.XLOOKUP(Transactions_RAW_cleaned[[#This Row],[CustomerID]], Customers_cleaned[CustomerID], Customers_cleaned[Segment]), "Customer Not Found"), "N/A")</f>
        <v>SMB</v>
      </c>
      <c r="P835" s="5" t="str">
        <f>IF(Transactions_RAW_cleaned[[#This Row],[Status]]="Refunded", "Refund",
  IF(Transactions_RAW_cleaned[[#This Row],[Category]]="Payments", IF(Transactions_RAW_cleaned[[#This Row],[Amount]]&gt;500,"High Value","Standard"),
    IF(Transactions_RAW_cleaned[[#This Row],[Amount]]&gt;250,"High Value","Standard")))</f>
        <v>High Value</v>
      </c>
      <c r="Q835" s="5" t="str">
        <f>IF(Transactions_RAW_cleaned[[#This Row],[Amount]] &gt; (_xlfn.XLOOKUP(Transactions_RAW_cleaned[[#This Row],[ServiceID]],Services_cleaned[ServiceID],Services_cleaned[TransactionFeePct]) * 10000), "Yes", "No")</f>
        <v>Yes</v>
      </c>
      <c r="R835" s="5" t="str">
        <f>IF(COUNTIFS($C$2:Transactions_RAW_cleaned[[#This Row],[CustomerID]],Transactions_RAW_cleaned[[#This Row],[CustomerID]],$D$2:Transactions_RAW_cleaned[[#This Row],[ServiceID]],Transactions_RAW_cleaned[[#This Row],[ServiceID]])=1,"Yes","No")</f>
        <v>Yes</v>
      </c>
      <c r="S83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35" t="str">
        <f>"Q"&amp;ROUNDUP(MONTH(Transactions_RAW_cleaned[[#This Row],[TransactionDate]])/3,0)</f>
        <v>Q3</v>
      </c>
      <c r="U835" t="str">
        <f>Transactions_RAW_cleaned[[#This Row],[Region ]]&amp;Transactions_RAW_cleaned[[#This Row],[Quarter ]]</f>
        <v>NAQ3</v>
      </c>
      <c r="V835" s="5">
        <f>_xlfn.XLOOKUP(Transactions_RAW_cleaned[[#This Row],[RegionQuarterKey]], Quarterly_Targets_cleaned[RegionQuarterKey], Quarterly_Targets_cleaned[TargetRevenue])</f>
        <v>273000</v>
      </c>
    </row>
    <row r="836" spans="1:22" x14ac:dyDescent="0.25">
      <c r="A836" t="s">
        <v>1171</v>
      </c>
      <c r="B836" s="1">
        <v>45343</v>
      </c>
      <c r="C836" t="s">
        <v>58</v>
      </c>
      <c r="D836" t="s">
        <v>309</v>
      </c>
      <c r="E836">
        <v>309.69</v>
      </c>
      <c r="F836" t="s">
        <v>324</v>
      </c>
      <c r="G836" t="s">
        <v>325</v>
      </c>
      <c r="H836" t="s">
        <v>332</v>
      </c>
      <c r="I836" t="s">
        <v>17</v>
      </c>
      <c r="J836" t="s">
        <v>102</v>
      </c>
      <c r="K836" t="s">
        <v>22</v>
      </c>
      <c r="L836" t="s">
        <v>310</v>
      </c>
      <c r="M836" t="s">
        <v>311</v>
      </c>
      <c r="N836">
        <v>0</v>
      </c>
      <c r="O836" t="str">
        <f>IF(Transactions_RAW_cleaned[[#This Row],[Status]]="Completed", IFERROR(_xlfn.XLOOKUP(Transactions_RAW_cleaned[[#This Row],[CustomerID]], Customers_cleaned[CustomerID], Customers_cleaned[Segment]), "Customer Not Found"), "N/A")</f>
        <v>Enterprise</v>
      </c>
      <c r="P836" s="5" t="str">
        <f>IF(Transactions_RAW_cleaned[[#This Row],[Status]]="Refunded", "Refund",
  IF(Transactions_RAW_cleaned[[#This Row],[Category]]="Payments", IF(Transactions_RAW_cleaned[[#This Row],[Amount]]&gt;500,"High Value","Standard"),
    IF(Transactions_RAW_cleaned[[#This Row],[Amount]]&gt;250,"High Value","Standard")))</f>
        <v>High Value</v>
      </c>
      <c r="Q836" s="5" t="str">
        <f>IF(Transactions_RAW_cleaned[[#This Row],[Amount]] &gt; (_xlfn.XLOOKUP(Transactions_RAW_cleaned[[#This Row],[ServiceID]],Services_cleaned[ServiceID],Services_cleaned[TransactionFeePct]) * 10000), "Yes", "No")</f>
        <v>Yes</v>
      </c>
      <c r="R836" s="5" t="str">
        <f>IF(COUNTIFS($C$2:Transactions_RAW_cleaned[[#This Row],[CustomerID]],Transactions_RAW_cleaned[[#This Row],[CustomerID]],$D$2:Transactions_RAW_cleaned[[#This Row],[ServiceID]],Transactions_RAW_cleaned[[#This Row],[ServiceID]])=1,"Yes","No")</f>
        <v>Yes</v>
      </c>
      <c r="S83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36" t="str">
        <f>"Q"&amp;ROUNDUP(MONTH(Transactions_RAW_cleaned[[#This Row],[TransactionDate]])/3,0)</f>
        <v>Q1</v>
      </c>
      <c r="U836" t="str">
        <f>Transactions_RAW_cleaned[[#This Row],[Region ]]&amp;Transactions_RAW_cleaned[[#This Row],[Quarter ]]</f>
        <v>NAQ1</v>
      </c>
      <c r="V836" s="5">
        <f>_xlfn.XLOOKUP(Transactions_RAW_cleaned[[#This Row],[RegionQuarterKey]], Quarterly_Targets_cleaned[RegionQuarterKey], Quarterly_Targets_cleaned[TargetRevenue])</f>
        <v>247000</v>
      </c>
    </row>
    <row r="837" spans="1:22" x14ac:dyDescent="0.25">
      <c r="A837" t="s">
        <v>2967</v>
      </c>
      <c r="B837" s="1">
        <v>45486</v>
      </c>
      <c r="D837" t="s">
        <v>294</v>
      </c>
      <c r="E837">
        <v>539.84</v>
      </c>
      <c r="F837" t="s">
        <v>324</v>
      </c>
      <c r="G837" t="s">
        <v>325</v>
      </c>
      <c r="L837" t="s">
        <v>295</v>
      </c>
      <c r="M837" t="s">
        <v>296</v>
      </c>
      <c r="N837">
        <v>2.9000000000000001E-2</v>
      </c>
      <c r="O837" t="str">
        <f>IF(Transactions_RAW_cleaned[[#This Row],[Status]]="Completed", IFERROR(_xlfn.XLOOKUP(Transactions_RAW_cleaned[[#This Row],[CustomerID]], Customers_cleaned[CustomerID], Customers_cleaned[Segment]), "Customer Not Found"), "N/A")</f>
        <v>Customer Not Found</v>
      </c>
      <c r="P837" s="5" t="str">
        <f>IF(Transactions_RAW_cleaned[[#This Row],[Status]]="Refunded", "Refund",
  IF(Transactions_RAW_cleaned[[#This Row],[Category]]="Payments", IF(Transactions_RAW_cleaned[[#This Row],[Amount]]&gt;500,"High Value","Standard"),
    IF(Transactions_RAW_cleaned[[#This Row],[Amount]]&gt;250,"High Value","Standard")))</f>
        <v>High Value</v>
      </c>
      <c r="Q837" s="5" t="str">
        <f>IF(Transactions_RAW_cleaned[[#This Row],[Amount]] &gt; (_xlfn.XLOOKUP(Transactions_RAW_cleaned[[#This Row],[ServiceID]],Services_cleaned[ServiceID],Services_cleaned[TransactionFeePct]) * 10000), "Yes", "No")</f>
        <v>Yes</v>
      </c>
      <c r="R837" s="5" t="str">
        <f>IF(COUNTIFS($C$2:Transactions_RAW_cleaned[[#This Row],[CustomerID]],Transactions_RAW_cleaned[[#This Row],[CustomerID]],$D$2:Transactions_RAW_cleaned[[#This Row],[ServiceID]],Transactions_RAW_cleaned[[#This Row],[ServiceID]])=1,"Yes","No")</f>
        <v>No</v>
      </c>
      <c r="S83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37" t="str">
        <f>"Q"&amp;ROUNDUP(MONTH(Transactions_RAW_cleaned[[#This Row],[TransactionDate]])/3,0)</f>
        <v>Q3</v>
      </c>
      <c r="U837" t="str">
        <f>Transactions_RAW_cleaned[[#This Row],[Region ]]&amp;Transactions_RAW_cleaned[[#This Row],[Quarter ]]</f>
        <v>APACQ3</v>
      </c>
      <c r="V837" s="5">
        <f>_xlfn.XLOOKUP(Transactions_RAW_cleaned[[#This Row],[RegionQuarterKey]], Quarterly_Targets_cleaned[RegionQuarterKey], Quarterly_Targets_cleaned[TargetRevenue])</f>
        <v>115500</v>
      </c>
    </row>
    <row r="838" spans="1:22" x14ac:dyDescent="0.25">
      <c r="A838" t="s">
        <v>1172</v>
      </c>
      <c r="B838" s="1">
        <v>45462</v>
      </c>
      <c r="C838" t="s">
        <v>33</v>
      </c>
      <c r="D838" t="s">
        <v>303</v>
      </c>
      <c r="E838">
        <v>326.57</v>
      </c>
      <c r="F838" t="s">
        <v>324</v>
      </c>
      <c r="G838" t="s">
        <v>337</v>
      </c>
      <c r="I838" t="s">
        <v>17</v>
      </c>
      <c r="J838" t="s">
        <v>31</v>
      </c>
      <c r="K838" t="s">
        <v>14</v>
      </c>
      <c r="L838" t="s">
        <v>304</v>
      </c>
      <c r="M838" t="s">
        <v>305</v>
      </c>
      <c r="N838">
        <v>1E-3</v>
      </c>
      <c r="O838" t="str">
        <f>IF(Transactions_RAW_cleaned[[#This Row],[Status]]="Completed", IFERROR(_xlfn.XLOOKUP(Transactions_RAW_cleaned[[#This Row],[CustomerID]], Customers_cleaned[CustomerID], Customers_cleaned[Segment]), "Customer Not Found"), "N/A")</f>
        <v>Enterprise</v>
      </c>
      <c r="P838" s="5" t="str">
        <f>IF(Transactions_RAW_cleaned[[#This Row],[Status]]="Refunded", "Refund",
  IF(Transactions_RAW_cleaned[[#This Row],[Category]]="Payments", IF(Transactions_RAW_cleaned[[#This Row],[Amount]]&gt;500,"High Value","Standard"),
    IF(Transactions_RAW_cleaned[[#This Row],[Amount]]&gt;250,"High Value","Standard")))</f>
        <v>High Value</v>
      </c>
      <c r="Q838" s="5" t="str">
        <f>IF(Transactions_RAW_cleaned[[#This Row],[Amount]] &gt; (_xlfn.XLOOKUP(Transactions_RAW_cleaned[[#This Row],[ServiceID]],Services_cleaned[ServiceID],Services_cleaned[TransactionFeePct]) * 10000), "Yes", "No")</f>
        <v>Yes</v>
      </c>
      <c r="R838" s="5" t="str">
        <f>IF(COUNTIFS($C$2:Transactions_RAW_cleaned[[#This Row],[CustomerID]],Transactions_RAW_cleaned[[#This Row],[CustomerID]],$D$2:Transactions_RAW_cleaned[[#This Row],[ServiceID]],Transactions_RAW_cleaned[[#This Row],[ServiceID]])=1,"Yes","No")</f>
        <v>No</v>
      </c>
      <c r="S83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38" t="str">
        <f>"Q"&amp;ROUNDUP(MONTH(Transactions_RAW_cleaned[[#This Row],[TransactionDate]])/3,0)</f>
        <v>Q2</v>
      </c>
      <c r="U838" t="str">
        <f>Transactions_RAW_cleaned[[#This Row],[Region ]]&amp;Transactions_RAW_cleaned[[#This Row],[Quarter ]]</f>
        <v>EMEAQ2</v>
      </c>
      <c r="V838" s="5">
        <f>_xlfn.XLOOKUP(Transactions_RAW_cleaned[[#This Row],[RegionQuarterKey]], Quarterly_Targets_cleaned[RegionQuarterKey], Quarterly_Targets_cleaned[TargetRevenue])</f>
        <v>140000</v>
      </c>
    </row>
    <row r="839" spans="1:22" x14ac:dyDescent="0.25">
      <c r="A839" t="s">
        <v>1173</v>
      </c>
      <c r="B839" s="1">
        <v>45296</v>
      </c>
      <c r="C839" t="s">
        <v>115</v>
      </c>
      <c r="D839" t="s">
        <v>297</v>
      </c>
      <c r="E839">
        <v>553.53</v>
      </c>
      <c r="F839" t="s">
        <v>324</v>
      </c>
      <c r="G839" t="s">
        <v>325</v>
      </c>
      <c r="H839" t="s">
        <v>332</v>
      </c>
      <c r="I839" t="s">
        <v>17</v>
      </c>
      <c r="J839" t="s">
        <v>102</v>
      </c>
      <c r="K839" t="s">
        <v>32</v>
      </c>
      <c r="L839" t="s">
        <v>298</v>
      </c>
      <c r="M839" t="s">
        <v>299</v>
      </c>
      <c r="N839">
        <v>0</v>
      </c>
      <c r="O839" t="str">
        <f>IF(Transactions_RAW_cleaned[[#This Row],[Status]]="Completed", IFERROR(_xlfn.XLOOKUP(Transactions_RAW_cleaned[[#This Row],[CustomerID]], Customers_cleaned[CustomerID], Customers_cleaned[Segment]), "Customer Not Found"), "N/A")</f>
        <v>Enterprise</v>
      </c>
      <c r="P839" s="5" t="str">
        <f>IF(Transactions_RAW_cleaned[[#This Row],[Status]]="Refunded", "Refund",
  IF(Transactions_RAW_cleaned[[#This Row],[Category]]="Payments", IF(Transactions_RAW_cleaned[[#This Row],[Amount]]&gt;500,"High Value","Standard"),
    IF(Transactions_RAW_cleaned[[#This Row],[Amount]]&gt;250,"High Value","Standard")))</f>
        <v>High Value</v>
      </c>
      <c r="Q839" s="5" t="str">
        <f>IF(Transactions_RAW_cleaned[[#This Row],[Amount]] &gt; (_xlfn.XLOOKUP(Transactions_RAW_cleaned[[#This Row],[ServiceID]],Services_cleaned[ServiceID],Services_cleaned[TransactionFeePct]) * 10000), "Yes", "No")</f>
        <v>Yes</v>
      </c>
      <c r="R839" s="5" t="str">
        <f>IF(COUNTIFS($C$2:Transactions_RAW_cleaned[[#This Row],[CustomerID]],Transactions_RAW_cleaned[[#This Row],[CustomerID]],$D$2:Transactions_RAW_cleaned[[#This Row],[ServiceID]],Transactions_RAW_cleaned[[#This Row],[ServiceID]])=1,"Yes","No")</f>
        <v>Yes</v>
      </c>
      <c r="S83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39" t="str">
        <f>"Q"&amp;ROUNDUP(MONTH(Transactions_RAW_cleaned[[#This Row],[TransactionDate]])/3,0)</f>
        <v>Q1</v>
      </c>
      <c r="U839" t="str">
        <f>Transactions_RAW_cleaned[[#This Row],[Region ]]&amp;Transactions_RAW_cleaned[[#This Row],[Quarter ]]</f>
        <v>NAQ1</v>
      </c>
      <c r="V839" s="5">
        <f>_xlfn.XLOOKUP(Transactions_RAW_cleaned[[#This Row],[RegionQuarterKey]], Quarterly_Targets_cleaned[RegionQuarterKey], Quarterly_Targets_cleaned[TargetRevenue])</f>
        <v>247000</v>
      </c>
    </row>
    <row r="840" spans="1:22" x14ac:dyDescent="0.25">
      <c r="A840" t="s">
        <v>1174</v>
      </c>
      <c r="B840" s="1">
        <v>45643</v>
      </c>
      <c r="C840" t="s">
        <v>113</v>
      </c>
      <c r="D840" t="s">
        <v>294</v>
      </c>
      <c r="E840">
        <v>258.85000000000002</v>
      </c>
      <c r="F840" t="s">
        <v>381</v>
      </c>
      <c r="G840" t="s">
        <v>325</v>
      </c>
      <c r="H840" t="s">
        <v>346</v>
      </c>
      <c r="I840" t="s">
        <v>57</v>
      </c>
      <c r="J840" t="s">
        <v>46</v>
      </c>
      <c r="K840" t="s">
        <v>10</v>
      </c>
      <c r="L840" t="s">
        <v>295</v>
      </c>
      <c r="M840" t="s">
        <v>296</v>
      </c>
      <c r="N840">
        <v>2.9000000000000001E-2</v>
      </c>
      <c r="O840" t="str">
        <f>IF(Transactions_RAW_cleaned[[#This Row],[Status]]="Completed", IFERROR(_xlfn.XLOOKUP(Transactions_RAW_cleaned[[#This Row],[CustomerID]], Customers_cleaned[CustomerID], Customers_cleaned[Segment]), "Customer Not Found"), "N/A")</f>
        <v>N/A</v>
      </c>
      <c r="P840" s="5" t="str">
        <f>IF(Transactions_RAW_cleaned[[#This Row],[Status]]="Refunded", "Refund",
  IF(Transactions_RAW_cleaned[[#This Row],[Category]]="Payments", IF(Transactions_RAW_cleaned[[#This Row],[Amount]]&gt;500,"High Value","Standard"),
    IF(Transactions_RAW_cleaned[[#This Row],[Amount]]&gt;250,"High Value","Standard")))</f>
        <v>Standard</v>
      </c>
      <c r="Q840" s="5" t="str">
        <f>IF(Transactions_RAW_cleaned[[#This Row],[Amount]] &gt; (_xlfn.XLOOKUP(Transactions_RAW_cleaned[[#This Row],[ServiceID]],Services_cleaned[ServiceID],Services_cleaned[TransactionFeePct]) * 10000), "Yes", "No")</f>
        <v>No</v>
      </c>
      <c r="R840" s="5" t="str">
        <f>IF(COUNTIFS($C$2:Transactions_RAW_cleaned[[#This Row],[CustomerID]],Transactions_RAW_cleaned[[#This Row],[CustomerID]],$D$2:Transactions_RAW_cleaned[[#This Row],[ServiceID]],Transactions_RAW_cleaned[[#This Row],[ServiceID]])=1,"Yes","No")</f>
        <v>No</v>
      </c>
      <c r="S84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40" t="str">
        <f>"Q"&amp;ROUNDUP(MONTH(Transactions_RAW_cleaned[[#This Row],[TransactionDate]])/3,0)</f>
        <v>Q4</v>
      </c>
      <c r="U840" t="str">
        <f>Transactions_RAW_cleaned[[#This Row],[Region ]]&amp;Transactions_RAW_cleaned[[#This Row],[Quarter ]]</f>
        <v>APACQ4</v>
      </c>
      <c r="V840" s="5">
        <f>_xlfn.XLOOKUP(Transactions_RAW_cleaned[[#This Row],[RegionQuarterKey]], Quarterly_Targets_cleaned[RegionQuarterKey], Quarterly_Targets_cleaned[TargetRevenue])</f>
        <v>126500</v>
      </c>
    </row>
    <row r="841" spans="1:22" x14ac:dyDescent="0.25">
      <c r="A841" t="s">
        <v>1175</v>
      </c>
      <c r="B841" s="1">
        <v>45315</v>
      </c>
      <c r="C841" t="s">
        <v>169</v>
      </c>
      <c r="D841" t="s">
        <v>294</v>
      </c>
      <c r="E841">
        <v>109.18</v>
      </c>
      <c r="F841" t="s">
        <v>381</v>
      </c>
      <c r="G841" t="s">
        <v>337</v>
      </c>
      <c r="H841" t="s">
        <v>346</v>
      </c>
      <c r="I841" t="s">
        <v>8</v>
      </c>
      <c r="J841" t="s">
        <v>13</v>
      </c>
      <c r="K841" t="s">
        <v>32</v>
      </c>
      <c r="L841" t="s">
        <v>295</v>
      </c>
      <c r="M841" t="s">
        <v>296</v>
      </c>
      <c r="N841">
        <v>2.9000000000000001E-2</v>
      </c>
      <c r="O841" t="str">
        <f>IF(Transactions_RAW_cleaned[[#This Row],[Status]]="Completed", IFERROR(_xlfn.XLOOKUP(Transactions_RAW_cleaned[[#This Row],[CustomerID]], Customers_cleaned[CustomerID], Customers_cleaned[Segment]), "Customer Not Found"), "N/A")</f>
        <v>N/A</v>
      </c>
      <c r="P841" s="5" t="str">
        <f>IF(Transactions_RAW_cleaned[[#This Row],[Status]]="Refunded", "Refund",
  IF(Transactions_RAW_cleaned[[#This Row],[Category]]="Payments", IF(Transactions_RAW_cleaned[[#This Row],[Amount]]&gt;500,"High Value","Standard"),
    IF(Transactions_RAW_cleaned[[#This Row],[Amount]]&gt;250,"High Value","Standard")))</f>
        <v>Standard</v>
      </c>
      <c r="Q841" s="5" t="str">
        <f>IF(Transactions_RAW_cleaned[[#This Row],[Amount]] &gt; (_xlfn.XLOOKUP(Transactions_RAW_cleaned[[#This Row],[ServiceID]],Services_cleaned[ServiceID],Services_cleaned[TransactionFeePct]) * 10000), "Yes", "No")</f>
        <v>No</v>
      </c>
      <c r="R841" s="5" t="str">
        <f>IF(COUNTIFS($C$2:Transactions_RAW_cleaned[[#This Row],[CustomerID]],Transactions_RAW_cleaned[[#This Row],[CustomerID]],$D$2:Transactions_RAW_cleaned[[#This Row],[ServiceID]],Transactions_RAW_cleaned[[#This Row],[ServiceID]])=1,"Yes","No")</f>
        <v>No</v>
      </c>
      <c r="S84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41" t="str">
        <f>"Q"&amp;ROUNDUP(MONTH(Transactions_RAW_cleaned[[#This Row],[TransactionDate]])/3,0)</f>
        <v>Q1</v>
      </c>
      <c r="U841" t="str">
        <f>Transactions_RAW_cleaned[[#This Row],[Region ]]&amp;Transactions_RAW_cleaned[[#This Row],[Quarter ]]</f>
        <v>NAQ1</v>
      </c>
      <c r="V841" s="5">
        <f>_xlfn.XLOOKUP(Transactions_RAW_cleaned[[#This Row],[RegionQuarterKey]], Quarterly_Targets_cleaned[RegionQuarterKey], Quarterly_Targets_cleaned[TargetRevenue])</f>
        <v>247000</v>
      </c>
    </row>
    <row r="842" spans="1:22" x14ac:dyDescent="0.25">
      <c r="A842" t="s">
        <v>1176</v>
      </c>
      <c r="B842" s="1">
        <v>45574</v>
      </c>
      <c r="C842" t="s">
        <v>247</v>
      </c>
      <c r="D842" t="s">
        <v>294</v>
      </c>
      <c r="E842">
        <v>320.99</v>
      </c>
      <c r="F842" t="s">
        <v>324</v>
      </c>
      <c r="G842" t="s">
        <v>327</v>
      </c>
      <c r="I842" t="s">
        <v>17</v>
      </c>
      <c r="J842" t="s">
        <v>13</v>
      </c>
      <c r="K842" t="s">
        <v>28</v>
      </c>
      <c r="L842" t="s">
        <v>295</v>
      </c>
      <c r="M842" t="s">
        <v>296</v>
      </c>
      <c r="N842">
        <v>2.9000000000000001E-2</v>
      </c>
      <c r="O842" t="str">
        <f>IF(Transactions_RAW_cleaned[[#This Row],[Status]]="Completed", IFERROR(_xlfn.XLOOKUP(Transactions_RAW_cleaned[[#This Row],[CustomerID]], Customers_cleaned[CustomerID], Customers_cleaned[Segment]), "Customer Not Found"), "N/A")</f>
        <v>Enterprise</v>
      </c>
      <c r="P842" s="5" t="str">
        <f>IF(Transactions_RAW_cleaned[[#This Row],[Status]]="Refunded", "Refund",
  IF(Transactions_RAW_cleaned[[#This Row],[Category]]="Payments", IF(Transactions_RAW_cleaned[[#This Row],[Amount]]&gt;500,"High Value","Standard"),
    IF(Transactions_RAW_cleaned[[#This Row],[Amount]]&gt;250,"High Value","Standard")))</f>
        <v>Standard</v>
      </c>
      <c r="Q842" s="5" t="str">
        <f>IF(Transactions_RAW_cleaned[[#This Row],[Amount]] &gt; (_xlfn.XLOOKUP(Transactions_RAW_cleaned[[#This Row],[ServiceID]],Services_cleaned[ServiceID],Services_cleaned[TransactionFeePct]) * 10000), "Yes", "No")</f>
        <v>Yes</v>
      </c>
      <c r="R842" s="5" t="str">
        <f>IF(COUNTIFS($C$2:Transactions_RAW_cleaned[[#This Row],[CustomerID]],Transactions_RAW_cleaned[[#This Row],[CustomerID]],$D$2:Transactions_RAW_cleaned[[#This Row],[ServiceID]],Transactions_RAW_cleaned[[#This Row],[ServiceID]])=1,"Yes","No")</f>
        <v>No</v>
      </c>
      <c r="S84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42" t="str">
        <f>"Q"&amp;ROUNDUP(MONTH(Transactions_RAW_cleaned[[#This Row],[TransactionDate]])/3,0)</f>
        <v>Q4</v>
      </c>
      <c r="U842" t="str">
        <f>Transactions_RAW_cleaned[[#This Row],[Region ]]&amp;Transactions_RAW_cleaned[[#This Row],[Quarter ]]</f>
        <v>NAQ4</v>
      </c>
      <c r="V842" s="5">
        <f>_xlfn.XLOOKUP(Transactions_RAW_cleaned[[#This Row],[RegionQuarterKey]], Quarterly_Targets_cleaned[RegionQuarterKey], Quarterly_Targets_cleaned[TargetRevenue])</f>
        <v>299000</v>
      </c>
    </row>
    <row r="843" spans="1:22" x14ac:dyDescent="0.25">
      <c r="A843" t="s">
        <v>1177</v>
      </c>
      <c r="B843" s="1">
        <v>45583</v>
      </c>
      <c r="C843" t="s">
        <v>229</v>
      </c>
      <c r="D843" t="s">
        <v>315</v>
      </c>
      <c r="E843">
        <v>536.1</v>
      </c>
      <c r="F843" t="s">
        <v>381</v>
      </c>
      <c r="G843" t="s">
        <v>2963</v>
      </c>
      <c r="I843" t="s">
        <v>17</v>
      </c>
      <c r="J843" t="s">
        <v>102</v>
      </c>
      <c r="K843" t="s">
        <v>18</v>
      </c>
      <c r="L843" t="s">
        <v>316</v>
      </c>
      <c r="M843" t="s">
        <v>305</v>
      </c>
      <c r="N843">
        <v>2.5000000000000001E-3</v>
      </c>
      <c r="O843" t="str">
        <f>IF(Transactions_RAW_cleaned[[#This Row],[Status]]="Completed", IFERROR(_xlfn.XLOOKUP(Transactions_RAW_cleaned[[#This Row],[CustomerID]], Customers_cleaned[CustomerID], Customers_cleaned[Segment]), "Customer Not Found"), "N/A")</f>
        <v>N/A</v>
      </c>
      <c r="P843" s="5" t="str">
        <f>IF(Transactions_RAW_cleaned[[#This Row],[Status]]="Refunded", "Refund",
  IF(Transactions_RAW_cleaned[[#This Row],[Category]]="Payments", IF(Transactions_RAW_cleaned[[#This Row],[Amount]]&gt;500,"High Value","Standard"),
    IF(Transactions_RAW_cleaned[[#This Row],[Amount]]&gt;250,"High Value","Standard")))</f>
        <v>High Value</v>
      </c>
      <c r="Q843" s="5" t="str">
        <f>IF(Transactions_RAW_cleaned[[#This Row],[Amount]] &gt; (_xlfn.XLOOKUP(Transactions_RAW_cleaned[[#This Row],[ServiceID]],Services_cleaned[ServiceID],Services_cleaned[TransactionFeePct]) * 10000), "Yes", "No")</f>
        <v>Yes</v>
      </c>
      <c r="R843" s="5" t="str">
        <f>IF(COUNTIFS($C$2:Transactions_RAW_cleaned[[#This Row],[CustomerID]],Transactions_RAW_cleaned[[#This Row],[CustomerID]],$D$2:Transactions_RAW_cleaned[[#This Row],[ServiceID]],Transactions_RAW_cleaned[[#This Row],[ServiceID]])=1,"Yes","No")</f>
        <v>Yes</v>
      </c>
      <c r="S84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43" t="str">
        <f>"Q"&amp;ROUNDUP(MONTH(Transactions_RAW_cleaned[[#This Row],[TransactionDate]])/3,0)</f>
        <v>Q4</v>
      </c>
      <c r="U843" t="str">
        <f>Transactions_RAW_cleaned[[#This Row],[Region ]]&amp;Transactions_RAW_cleaned[[#This Row],[Quarter ]]</f>
        <v>NAQ4</v>
      </c>
      <c r="V843" s="5">
        <f>_xlfn.XLOOKUP(Transactions_RAW_cleaned[[#This Row],[RegionQuarterKey]], Quarterly_Targets_cleaned[RegionQuarterKey], Quarterly_Targets_cleaned[TargetRevenue])</f>
        <v>299000</v>
      </c>
    </row>
    <row r="844" spans="1:22" x14ac:dyDescent="0.25">
      <c r="A844" t="s">
        <v>1178</v>
      </c>
      <c r="B844" s="1">
        <v>45429</v>
      </c>
      <c r="C844" t="s">
        <v>141</v>
      </c>
      <c r="D844" t="s">
        <v>306</v>
      </c>
      <c r="E844">
        <v>235.95</v>
      </c>
      <c r="F844" t="s">
        <v>324</v>
      </c>
      <c r="G844" t="s">
        <v>327</v>
      </c>
      <c r="I844" t="s">
        <v>57</v>
      </c>
      <c r="J844" t="s">
        <v>25</v>
      </c>
      <c r="K844" t="s">
        <v>10</v>
      </c>
      <c r="L844" t="s">
        <v>307</v>
      </c>
      <c r="M844" t="s">
        <v>308</v>
      </c>
      <c r="N844">
        <v>0</v>
      </c>
      <c r="O844" t="str">
        <f>IF(Transactions_RAW_cleaned[[#This Row],[Status]]="Completed", IFERROR(_xlfn.XLOOKUP(Transactions_RAW_cleaned[[#This Row],[CustomerID]], Customers_cleaned[CustomerID], Customers_cleaned[Segment]), "Customer Not Found"), "N/A")</f>
        <v>Startup</v>
      </c>
      <c r="P844" s="5" t="str">
        <f>IF(Transactions_RAW_cleaned[[#This Row],[Status]]="Refunded", "Refund",
  IF(Transactions_RAW_cleaned[[#This Row],[Category]]="Payments", IF(Transactions_RAW_cleaned[[#This Row],[Amount]]&gt;500,"High Value","Standard"),
    IF(Transactions_RAW_cleaned[[#This Row],[Amount]]&gt;250,"High Value","Standard")))</f>
        <v>Standard</v>
      </c>
      <c r="Q844" s="5" t="str">
        <f>IF(Transactions_RAW_cleaned[[#This Row],[Amount]] &gt; (_xlfn.XLOOKUP(Transactions_RAW_cleaned[[#This Row],[ServiceID]],Services_cleaned[ServiceID],Services_cleaned[TransactionFeePct]) * 10000), "Yes", "No")</f>
        <v>Yes</v>
      </c>
      <c r="R844" s="5" t="str">
        <f>IF(COUNTIFS($C$2:Transactions_RAW_cleaned[[#This Row],[CustomerID]],Transactions_RAW_cleaned[[#This Row],[CustomerID]],$D$2:Transactions_RAW_cleaned[[#This Row],[ServiceID]],Transactions_RAW_cleaned[[#This Row],[ServiceID]])=1,"Yes","No")</f>
        <v>Yes</v>
      </c>
      <c r="S84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44" t="str">
        <f>"Q"&amp;ROUNDUP(MONTH(Transactions_RAW_cleaned[[#This Row],[TransactionDate]])/3,0)</f>
        <v>Q2</v>
      </c>
      <c r="U844" t="str">
        <f>Transactions_RAW_cleaned[[#This Row],[Region ]]&amp;Transactions_RAW_cleaned[[#This Row],[Quarter ]]</f>
        <v>APACQ2</v>
      </c>
      <c r="V844" s="5">
        <f>_xlfn.XLOOKUP(Transactions_RAW_cleaned[[#This Row],[RegionQuarterKey]], Quarterly_Targets_cleaned[RegionQuarterKey], Quarterly_Targets_cleaned[TargetRevenue])</f>
        <v>110000</v>
      </c>
    </row>
    <row r="845" spans="1:22" x14ac:dyDescent="0.25">
      <c r="A845" t="s">
        <v>1179</v>
      </c>
      <c r="B845" s="1">
        <v>45536</v>
      </c>
      <c r="C845" t="s">
        <v>269</v>
      </c>
      <c r="D845" t="s">
        <v>315</v>
      </c>
      <c r="E845">
        <v>259.14999999999998</v>
      </c>
      <c r="F845" t="s">
        <v>324</v>
      </c>
      <c r="G845" t="s">
        <v>337</v>
      </c>
      <c r="H845" t="s">
        <v>332</v>
      </c>
      <c r="I845" t="s">
        <v>17</v>
      </c>
      <c r="J845" t="s">
        <v>31</v>
      </c>
      <c r="K845" t="s">
        <v>32</v>
      </c>
      <c r="L845" t="s">
        <v>316</v>
      </c>
      <c r="M845" t="s">
        <v>305</v>
      </c>
      <c r="N845">
        <v>2.5000000000000001E-3</v>
      </c>
      <c r="O845" t="str">
        <f>IF(Transactions_RAW_cleaned[[#This Row],[Status]]="Completed", IFERROR(_xlfn.XLOOKUP(Transactions_RAW_cleaned[[#This Row],[CustomerID]], Customers_cleaned[CustomerID], Customers_cleaned[Segment]), "Customer Not Found"), "N/A")</f>
        <v>Enterprise</v>
      </c>
      <c r="P845" s="5" t="str">
        <f>IF(Transactions_RAW_cleaned[[#This Row],[Status]]="Refunded", "Refund",
  IF(Transactions_RAW_cleaned[[#This Row],[Category]]="Payments", IF(Transactions_RAW_cleaned[[#This Row],[Amount]]&gt;500,"High Value","Standard"),
    IF(Transactions_RAW_cleaned[[#This Row],[Amount]]&gt;250,"High Value","Standard")))</f>
        <v>High Value</v>
      </c>
      <c r="Q845" s="5" t="str">
        <f>IF(Transactions_RAW_cleaned[[#This Row],[Amount]] &gt; (_xlfn.XLOOKUP(Transactions_RAW_cleaned[[#This Row],[ServiceID]],Services_cleaned[ServiceID],Services_cleaned[TransactionFeePct]) * 10000), "Yes", "No")</f>
        <v>Yes</v>
      </c>
      <c r="R845" s="5" t="str">
        <f>IF(COUNTIFS($C$2:Transactions_RAW_cleaned[[#This Row],[CustomerID]],Transactions_RAW_cleaned[[#This Row],[CustomerID]],$D$2:Transactions_RAW_cleaned[[#This Row],[ServiceID]],Transactions_RAW_cleaned[[#This Row],[ServiceID]])=1,"Yes","No")</f>
        <v>No</v>
      </c>
      <c r="S84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45" t="str">
        <f>"Q"&amp;ROUNDUP(MONTH(Transactions_RAW_cleaned[[#This Row],[TransactionDate]])/3,0)</f>
        <v>Q3</v>
      </c>
      <c r="U845" t="str">
        <f>Transactions_RAW_cleaned[[#This Row],[Region ]]&amp;Transactions_RAW_cleaned[[#This Row],[Quarter ]]</f>
        <v>EMEAQ3</v>
      </c>
      <c r="V845" s="5">
        <f>_xlfn.XLOOKUP(Transactions_RAW_cleaned[[#This Row],[RegionQuarterKey]], Quarterly_Targets_cleaned[RegionQuarterKey], Quarterly_Targets_cleaned[TargetRevenue])</f>
        <v>147000</v>
      </c>
    </row>
    <row r="846" spans="1:22" x14ac:dyDescent="0.25">
      <c r="A846" t="s">
        <v>1180</v>
      </c>
      <c r="B846" s="1">
        <v>45589</v>
      </c>
      <c r="C846" t="s">
        <v>149</v>
      </c>
      <c r="D846" t="s">
        <v>312</v>
      </c>
      <c r="E846">
        <v>467.97</v>
      </c>
      <c r="F846" t="s">
        <v>331</v>
      </c>
      <c r="G846" t="s">
        <v>337</v>
      </c>
      <c r="H846" t="s">
        <v>334</v>
      </c>
      <c r="I846" t="s">
        <v>8</v>
      </c>
      <c r="J846" t="s">
        <v>13</v>
      </c>
      <c r="K846" t="s">
        <v>22</v>
      </c>
      <c r="L846" t="s">
        <v>313</v>
      </c>
      <c r="M846" t="s">
        <v>314</v>
      </c>
      <c r="N846">
        <v>0</v>
      </c>
      <c r="O846" t="str">
        <f>IF(Transactions_RAW_cleaned[[#This Row],[Status]]="Completed", IFERROR(_xlfn.XLOOKUP(Transactions_RAW_cleaned[[#This Row],[CustomerID]], Customers_cleaned[CustomerID], Customers_cleaned[Segment]), "Customer Not Found"), "N/A")</f>
        <v>N/A</v>
      </c>
      <c r="P846" s="5" t="str">
        <f>IF(Transactions_RAW_cleaned[[#This Row],[Status]]="Refunded", "Refund",
  IF(Transactions_RAW_cleaned[[#This Row],[Category]]="Payments", IF(Transactions_RAW_cleaned[[#This Row],[Amount]]&gt;500,"High Value","Standard"),
    IF(Transactions_RAW_cleaned[[#This Row],[Amount]]&gt;250,"High Value","Standard")))</f>
        <v>High Value</v>
      </c>
      <c r="Q846" s="5" t="str">
        <f>IF(Transactions_RAW_cleaned[[#This Row],[Amount]] &gt; (_xlfn.XLOOKUP(Transactions_RAW_cleaned[[#This Row],[ServiceID]],Services_cleaned[ServiceID],Services_cleaned[TransactionFeePct]) * 10000), "Yes", "No")</f>
        <v>Yes</v>
      </c>
      <c r="R846" s="5" t="str">
        <f>IF(COUNTIFS($C$2:Transactions_RAW_cleaned[[#This Row],[CustomerID]],Transactions_RAW_cleaned[[#This Row],[CustomerID]],$D$2:Transactions_RAW_cleaned[[#This Row],[ServiceID]],Transactions_RAW_cleaned[[#This Row],[ServiceID]])=1,"Yes","No")</f>
        <v>No</v>
      </c>
      <c r="S84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46" t="str">
        <f>"Q"&amp;ROUNDUP(MONTH(Transactions_RAW_cleaned[[#This Row],[TransactionDate]])/3,0)</f>
        <v>Q4</v>
      </c>
      <c r="U846" t="str">
        <f>Transactions_RAW_cleaned[[#This Row],[Region ]]&amp;Transactions_RAW_cleaned[[#This Row],[Quarter ]]</f>
        <v>NAQ4</v>
      </c>
      <c r="V846" s="5">
        <f>_xlfn.XLOOKUP(Transactions_RAW_cleaned[[#This Row],[RegionQuarterKey]], Quarterly_Targets_cleaned[RegionQuarterKey], Quarterly_Targets_cleaned[TargetRevenue])</f>
        <v>299000</v>
      </c>
    </row>
    <row r="847" spans="1:22" x14ac:dyDescent="0.25">
      <c r="A847" t="s">
        <v>1181</v>
      </c>
      <c r="B847" s="1">
        <v>45394</v>
      </c>
      <c r="C847" t="s">
        <v>23</v>
      </c>
      <c r="D847" t="s">
        <v>297</v>
      </c>
      <c r="E847">
        <v>214.11</v>
      </c>
      <c r="F847" t="s">
        <v>331</v>
      </c>
      <c r="G847" t="s">
        <v>325</v>
      </c>
      <c r="H847" t="s">
        <v>334</v>
      </c>
      <c r="I847" t="s">
        <v>8</v>
      </c>
      <c r="J847" t="s">
        <v>25</v>
      </c>
      <c r="K847" t="s">
        <v>22</v>
      </c>
      <c r="L847" t="s">
        <v>298</v>
      </c>
      <c r="M847" t="s">
        <v>299</v>
      </c>
      <c r="N847">
        <v>0</v>
      </c>
      <c r="O847" t="str">
        <f>IF(Transactions_RAW_cleaned[[#This Row],[Status]]="Completed", IFERROR(_xlfn.XLOOKUP(Transactions_RAW_cleaned[[#This Row],[CustomerID]], Customers_cleaned[CustomerID], Customers_cleaned[Segment]), "Customer Not Found"), "N/A")</f>
        <v>N/A</v>
      </c>
      <c r="P847" s="5" t="str">
        <f>IF(Transactions_RAW_cleaned[[#This Row],[Status]]="Refunded", "Refund",
  IF(Transactions_RAW_cleaned[[#This Row],[Category]]="Payments", IF(Transactions_RAW_cleaned[[#This Row],[Amount]]&gt;500,"High Value","Standard"),
    IF(Transactions_RAW_cleaned[[#This Row],[Amount]]&gt;250,"High Value","Standard")))</f>
        <v>Standard</v>
      </c>
      <c r="Q847" s="5" t="str">
        <f>IF(Transactions_RAW_cleaned[[#This Row],[Amount]] &gt; (_xlfn.XLOOKUP(Transactions_RAW_cleaned[[#This Row],[ServiceID]],Services_cleaned[ServiceID],Services_cleaned[TransactionFeePct]) * 10000), "Yes", "No")</f>
        <v>Yes</v>
      </c>
      <c r="R847" s="5" t="str">
        <f>IF(COUNTIFS($C$2:Transactions_RAW_cleaned[[#This Row],[CustomerID]],Transactions_RAW_cleaned[[#This Row],[CustomerID]],$D$2:Transactions_RAW_cleaned[[#This Row],[ServiceID]],Transactions_RAW_cleaned[[#This Row],[ServiceID]])=1,"Yes","No")</f>
        <v>No</v>
      </c>
      <c r="S84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47" t="str">
        <f>"Q"&amp;ROUNDUP(MONTH(Transactions_RAW_cleaned[[#This Row],[TransactionDate]])/3,0)</f>
        <v>Q2</v>
      </c>
      <c r="U847" t="str">
        <f>Transactions_RAW_cleaned[[#This Row],[Region ]]&amp;Transactions_RAW_cleaned[[#This Row],[Quarter ]]</f>
        <v>APACQ2</v>
      </c>
      <c r="V847" s="5">
        <f>_xlfn.XLOOKUP(Transactions_RAW_cleaned[[#This Row],[RegionQuarterKey]], Quarterly_Targets_cleaned[RegionQuarterKey], Quarterly_Targets_cleaned[TargetRevenue])</f>
        <v>110000</v>
      </c>
    </row>
    <row r="848" spans="1:22" x14ac:dyDescent="0.25">
      <c r="A848" t="s">
        <v>1182</v>
      </c>
      <c r="B848" s="1">
        <v>45362</v>
      </c>
      <c r="C848" t="s">
        <v>277</v>
      </c>
      <c r="D848" t="s">
        <v>312</v>
      </c>
      <c r="E848">
        <v>963.71</v>
      </c>
      <c r="F848" t="s">
        <v>324</v>
      </c>
      <c r="G848" t="s">
        <v>327</v>
      </c>
      <c r="H848" t="s">
        <v>334</v>
      </c>
      <c r="I848" t="s">
        <v>8</v>
      </c>
      <c r="J848" t="s">
        <v>31</v>
      </c>
      <c r="K848" t="s">
        <v>22</v>
      </c>
      <c r="L848" t="s">
        <v>313</v>
      </c>
      <c r="M848" t="s">
        <v>314</v>
      </c>
      <c r="N848">
        <v>0</v>
      </c>
      <c r="O848" t="str">
        <f>IF(Transactions_RAW_cleaned[[#This Row],[Status]]="Completed", IFERROR(_xlfn.XLOOKUP(Transactions_RAW_cleaned[[#This Row],[CustomerID]], Customers_cleaned[CustomerID], Customers_cleaned[Segment]), "Customer Not Found"), "N/A")</f>
        <v>SMB</v>
      </c>
      <c r="P848" s="5" t="str">
        <f>IF(Transactions_RAW_cleaned[[#This Row],[Status]]="Refunded", "Refund",
  IF(Transactions_RAW_cleaned[[#This Row],[Category]]="Payments", IF(Transactions_RAW_cleaned[[#This Row],[Amount]]&gt;500,"High Value","Standard"),
    IF(Transactions_RAW_cleaned[[#This Row],[Amount]]&gt;250,"High Value","Standard")))</f>
        <v>High Value</v>
      </c>
      <c r="Q848" s="5" t="str">
        <f>IF(Transactions_RAW_cleaned[[#This Row],[Amount]] &gt; (_xlfn.XLOOKUP(Transactions_RAW_cleaned[[#This Row],[ServiceID]],Services_cleaned[ServiceID],Services_cleaned[TransactionFeePct]) * 10000), "Yes", "No")</f>
        <v>Yes</v>
      </c>
      <c r="R848" s="5" t="str">
        <f>IF(COUNTIFS($C$2:Transactions_RAW_cleaned[[#This Row],[CustomerID]],Transactions_RAW_cleaned[[#This Row],[CustomerID]],$D$2:Transactions_RAW_cleaned[[#This Row],[ServiceID]],Transactions_RAW_cleaned[[#This Row],[ServiceID]])=1,"Yes","No")</f>
        <v>No</v>
      </c>
      <c r="S84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48" t="str">
        <f>"Q"&amp;ROUNDUP(MONTH(Transactions_RAW_cleaned[[#This Row],[TransactionDate]])/3,0)</f>
        <v>Q1</v>
      </c>
      <c r="U848" t="str">
        <f>Transactions_RAW_cleaned[[#This Row],[Region ]]&amp;Transactions_RAW_cleaned[[#This Row],[Quarter ]]</f>
        <v>EMEAQ1</v>
      </c>
      <c r="V848" s="5">
        <f>_xlfn.XLOOKUP(Transactions_RAW_cleaned[[#This Row],[RegionQuarterKey]], Quarterly_Targets_cleaned[RegionQuarterKey], Quarterly_Targets_cleaned[TargetRevenue])</f>
        <v>133000</v>
      </c>
    </row>
    <row r="849" spans="1:22" x14ac:dyDescent="0.25">
      <c r="A849" t="s">
        <v>1183</v>
      </c>
      <c r="B849" s="1">
        <v>45569</v>
      </c>
      <c r="C849" t="s">
        <v>82</v>
      </c>
      <c r="D849" t="s">
        <v>294</v>
      </c>
      <c r="E849">
        <v>151.08000000000001</v>
      </c>
      <c r="F849" t="s">
        <v>324</v>
      </c>
      <c r="G849" t="s">
        <v>337</v>
      </c>
      <c r="I849" t="s">
        <v>57</v>
      </c>
      <c r="J849" t="s">
        <v>46</v>
      </c>
      <c r="K849" t="s">
        <v>10</v>
      </c>
      <c r="L849" t="s">
        <v>295</v>
      </c>
      <c r="M849" t="s">
        <v>296</v>
      </c>
      <c r="N849">
        <v>2.9000000000000001E-2</v>
      </c>
      <c r="O849" t="str">
        <f>IF(Transactions_RAW_cleaned[[#This Row],[Status]]="Completed", IFERROR(_xlfn.XLOOKUP(Transactions_RAW_cleaned[[#This Row],[CustomerID]], Customers_cleaned[CustomerID], Customers_cleaned[Segment]), "Customer Not Found"), "N/A")</f>
        <v>Startup</v>
      </c>
      <c r="P849" s="5" t="str">
        <f>IF(Transactions_RAW_cleaned[[#This Row],[Status]]="Refunded", "Refund",
  IF(Transactions_RAW_cleaned[[#This Row],[Category]]="Payments", IF(Transactions_RAW_cleaned[[#This Row],[Amount]]&gt;500,"High Value","Standard"),
    IF(Transactions_RAW_cleaned[[#This Row],[Amount]]&gt;250,"High Value","Standard")))</f>
        <v>Standard</v>
      </c>
      <c r="Q849" s="5" t="str">
        <f>IF(Transactions_RAW_cleaned[[#This Row],[Amount]] &gt; (_xlfn.XLOOKUP(Transactions_RAW_cleaned[[#This Row],[ServiceID]],Services_cleaned[ServiceID],Services_cleaned[TransactionFeePct]) * 10000), "Yes", "No")</f>
        <v>No</v>
      </c>
      <c r="R849" s="5" t="str">
        <f>IF(COUNTIFS($C$2:Transactions_RAW_cleaned[[#This Row],[CustomerID]],Transactions_RAW_cleaned[[#This Row],[CustomerID]],$D$2:Transactions_RAW_cleaned[[#This Row],[ServiceID]],Transactions_RAW_cleaned[[#This Row],[ServiceID]])=1,"Yes","No")</f>
        <v>No</v>
      </c>
      <c r="S84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49" t="str">
        <f>"Q"&amp;ROUNDUP(MONTH(Transactions_RAW_cleaned[[#This Row],[TransactionDate]])/3,0)</f>
        <v>Q4</v>
      </c>
      <c r="U849" t="str">
        <f>Transactions_RAW_cleaned[[#This Row],[Region ]]&amp;Transactions_RAW_cleaned[[#This Row],[Quarter ]]</f>
        <v>APACQ4</v>
      </c>
      <c r="V849" s="5">
        <f>_xlfn.XLOOKUP(Transactions_RAW_cleaned[[#This Row],[RegionQuarterKey]], Quarterly_Targets_cleaned[RegionQuarterKey], Quarterly_Targets_cleaned[TargetRevenue])</f>
        <v>126500</v>
      </c>
    </row>
    <row r="850" spans="1:22" x14ac:dyDescent="0.25">
      <c r="A850" t="s">
        <v>1184</v>
      </c>
      <c r="B850" s="1">
        <v>45308</v>
      </c>
      <c r="C850" t="s">
        <v>96</v>
      </c>
      <c r="D850" t="s">
        <v>309</v>
      </c>
      <c r="E850">
        <v>255.8</v>
      </c>
      <c r="F850" t="s">
        <v>324</v>
      </c>
      <c r="G850" t="s">
        <v>325</v>
      </c>
      <c r="H850" t="s">
        <v>346</v>
      </c>
      <c r="I850" t="s">
        <v>17</v>
      </c>
      <c r="J850" t="s">
        <v>31</v>
      </c>
      <c r="K850" t="s">
        <v>14</v>
      </c>
      <c r="L850" t="s">
        <v>310</v>
      </c>
      <c r="M850" t="s">
        <v>311</v>
      </c>
      <c r="N850">
        <v>0</v>
      </c>
      <c r="O850" t="str">
        <f>IF(Transactions_RAW_cleaned[[#This Row],[Status]]="Completed", IFERROR(_xlfn.XLOOKUP(Transactions_RAW_cleaned[[#This Row],[CustomerID]], Customers_cleaned[CustomerID], Customers_cleaned[Segment]), "Customer Not Found"), "N/A")</f>
        <v>Enterprise</v>
      </c>
      <c r="P850" s="5" t="str">
        <f>IF(Transactions_RAW_cleaned[[#This Row],[Status]]="Refunded", "Refund",
  IF(Transactions_RAW_cleaned[[#This Row],[Category]]="Payments", IF(Transactions_RAW_cleaned[[#This Row],[Amount]]&gt;500,"High Value","Standard"),
    IF(Transactions_RAW_cleaned[[#This Row],[Amount]]&gt;250,"High Value","Standard")))</f>
        <v>High Value</v>
      </c>
      <c r="Q850" s="5" t="str">
        <f>IF(Transactions_RAW_cleaned[[#This Row],[Amount]] &gt; (_xlfn.XLOOKUP(Transactions_RAW_cleaned[[#This Row],[ServiceID]],Services_cleaned[ServiceID],Services_cleaned[TransactionFeePct]) * 10000), "Yes", "No")</f>
        <v>Yes</v>
      </c>
      <c r="R850" s="5" t="str">
        <f>IF(COUNTIFS($C$2:Transactions_RAW_cleaned[[#This Row],[CustomerID]],Transactions_RAW_cleaned[[#This Row],[CustomerID]],$D$2:Transactions_RAW_cleaned[[#This Row],[ServiceID]],Transactions_RAW_cleaned[[#This Row],[ServiceID]])=1,"Yes","No")</f>
        <v>No</v>
      </c>
      <c r="S85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50" t="str">
        <f>"Q"&amp;ROUNDUP(MONTH(Transactions_RAW_cleaned[[#This Row],[TransactionDate]])/3,0)</f>
        <v>Q1</v>
      </c>
      <c r="U850" t="str">
        <f>Transactions_RAW_cleaned[[#This Row],[Region ]]&amp;Transactions_RAW_cleaned[[#This Row],[Quarter ]]</f>
        <v>EMEAQ1</v>
      </c>
      <c r="V850" s="5">
        <f>_xlfn.XLOOKUP(Transactions_RAW_cleaned[[#This Row],[RegionQuarterKey]], Quarterly_Targets_cleaned[RegionQuarterKey], Quarterly_Targets_cleaned[TargetRevenue])</f>
        <v>133000</v>
      </c>
    </row>
    <row r="851" spans="1:22" x14ac:dyDescent="0.25">
      <c r="A851" t="s">
        <v>1185</v>
      </c>
      <c r="B851" s="1">
        <v>45346</v>
      </c>
      <c r="C851" t="s">
        <v>225</v>
      </c>
      <c r="D851" t="s">
        <v>309</v>
      </c>
      <c r="E851">
        <v>233.9</v>
      </c>
      <c r="F851" t="s">
        <v>324</v>
      </c>
      <c r="G851" t="s">
        <v>337</v>
      </c>
      <c r="H851" t="s">
        <v>332</v>
      </c>
      <c r="I851" t="s">
        <v>8</v>
      </c>
      <c r="J851" t="s">
        <v>21</v>
      </c>
      <c r="K851" t="s">
        <v>28</v>
      </c>
      <c r="L851" t="s">
        <v>310</v>
      </c>
      <c r="M851" t="s">
        <v>311</v>
      </c>
      <c r="N851">
        <v>0</v>
      </c>
      <c r="O851" t="str">
        <f>IF(Transactions_RAW_cleaned[[#This Row],[Status]]="Completed", IFERROR(_xlfn.XLOOKUP(Transactions_RAW_cleaned[[#This Row],[CustomerID]], Customers_cleaned[CustomerID], Customers_cleaned[Segment]), "Customer Not Found"), "N/A")</f>
        <v>SMB</v>
      </c>
      <c r="P851" s="5" t="str">
        <f>IF(Transactions_RAW_cleaned[[#This Row],[Status]]="Refunded", "Refund",
  IF(Transactions_RAW_cleaned[[#This Row],[Category]]="Payments", IF(Transactions_RAW_cleaned[[#This Row],[Amount]]&gt;500,"High Value","Standard"),
    IF(Transactions_RAW_cleaned[[#This Row],[Amount]]&gt;250,"High Value","Standard")))</f>
        <v>Standard</v>
      </c>
      <c r="Q851" s="5" t="str">
        <f>IF(Transactions_RAW_cleaned[[#This Row],[Amount]] &gt; (_xlfn.XLOOKUP(Transactions_RAW_cleaned[[#This Row],[ServiceID]],Services_cleaned[ServiceID],Services_cleaned[TransactionFeePct]) * 10000), "Yes", "No")</f>
        <v>Yes</v>
      </c>
      <c r="R851" s="5" t="str">
        <f>IF(COUNTIFS($C$2:Transactions_RAW_cleaned[[#This Row],[CustomerID]],Transactions_RAW_cleaned[[#This Row],[CustomerID]],$D$2:Transactions_RAW_cleaned[[#This Row],[ServiceID]],Transactions_RAW_cleaned[[#This Row],[ServiceID]])=1,"Yes","No")</f>
        <v>No</v>
      </c>
      <c r="S85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51" t="str">
        <f>"Q"&amp;ROUNDUP(MONTH(Transactions_RAW_cleaned[[#This Row],[TransactionDate]])/3,0)</f>
        <v>Q1</v>
      </c>
      <c r="U851" t="str">
        <f>Transactions_RAW_cleaned[[#This Row],[Region ]]&amp;Transactions_RAW_cleaned[[#This Row],[Quarter ]]</f>
        <v>APACQ1</v>
      </c>
      <c r="V851" s="5">
        <f>_xlfn.XLOOKUP(Transactions_RAW_cleaned[[#This Row],[RegionQuarterKey]], Quarterly_Targets_cleaned[RegionQuarterKey], Quarterly_Targets_cleaned[TargetRevenue])</f>
        <v>104500</v>
      </c>
    </row>
    <row r="852" spans="1:22" x14ac:dyDescent="0.25">
      <c r="A852" t="s">
        <v>1186</v>
      </c>
      <c r="B852" s="1">
        <v>45459</v>
      </c>
      <c r="C852" t="s">
        <v>117</v>
      </c>
      <c r="D852" t="s">
        <v>294</v>
      </c>
      <c r="E852">
        <v>483.86</v>
      </c>
      <c r="F852" t="s">
        <v>324</v>
      </c>
      <c r="G852" t="s">
        <v>325</v>
      </c>
      <c r="H852" t="s">
        <v>332</v>
      </c>
      <c r="I852" t="s">
        <v>8</v>
      </c>
      <c r="J852" t="s">
        <v>102</v>
      </c>
      <c r="K852" t="s">
        <v>14</v>
      </c>
      <c r="L852" t="s">
        <v>295</v>
      </c>
      <c r="M852" t="s">
        <v>296</v>
      </c>
      <c r="N852">
        <v>2.9000000000000001E-2</v>
      </c>
      <c r="O852" t="str">
        <f>IF(Transactions_RAW_cleaned[[#This Row],[Status]]="Completed", IFERROR(_xlfn.XLOOKUP(Transactions_RAW_cleaned[[#This Row],[CustomerID]], Customers_cleaned[CustomerID], Customers_cleaned[Segment]), "Customer Not Found"), "N/A")</f>
        <v>SMB</v>
      </c>
      <c r="P852" s="5" t="str">
        <f>IF(Transactions_RAW_cleaned[[#This Row],[Status]]="Refunded", "Refund",
  IF(Transactions_RAW_cleaned[[#This Row],[Category]]="Payments", IF(Transactions_RAW_cleaned[[#This Row],[Amount]]&gt;500,"High Value","Standard"),
    IF(Transactions_RAW_cleaned[[#This Row],[Amount]]&gt;250,"High Value","Standard")))</f>
        <v>Standard</v>
      </c>
      <c r="Q852" s="5" t="str">
        <f>IF(Transactions_RAW_cleaned[[#This Row],[Amount]] &gt; (_xlfn.XLOOKUP(Transactions_RAW_cleaned[[#This Row],[ServiceID]],Services_cleaned[ServiceID],Services_cleaned[TransactionFeePct]) * 10000), "Yes", "No")</f>
        <v>Yes</v>
      </c>
      <c r="R852" s="5" t="str">
        <f>IF(COUNTIFS($C$2:Transactions_RAW_cleaned[[#This Row],[CustomerID]],Transactions_RAW_cleaned[[#This Row],[CustomerID]],$D$2:Transactions_RAW_cleaned[[#This Row],[ServiceID]],Transactions_RAW_cleaned[[#This Row],[ServiceID]])=1,"Yes","No")</f>
        <v>No</v>
      </c>
      <c r="S85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52" t="str">
        <f>"Q"&amp;ROUNDUP(MONTH(Transactions_RAW_cleaned[[#This Row],[TransactionDate]])/3,0)</f>
        <v>Q2</v>
      </c>
      <c r="U852" t="str">
        <f>Transactions_RAW_cleaned[[#This Row],[Region ]]&amp;Transactions_RAW_cleaned[[#This Row],[Quarter ]]</f>
        <v>NAQ2</v>
      </c>
      <c r="V852" s="5">
        <f>_xlfn.XLOOKUP(Transactions_RAW_cleaned[[#This Row],[RegionQuarterKey]], Quarterly_Targets_cleaned[RegionQuarterKey], Quarterly_Targets_cleaned[TargetRevenue])</f>
        <v>260000</v>
      </c>
    </row>
    <row r="853" spans="1:22" x14ac:dyDescent="0.25">
      <c r="A853" t="s">
        <v>1187</v>
      </c>
      <c r="B853" s="1">
        <v>45427</v>
      </c>
      <c r="C853" t="s">
        <v>29</v>
      </c>
      <c r="D853" t="s">
        <v>303</v>
      </c>
      <c r="E853">
        <v>-543</v>
      </c>
      <c r="F853" t="s">
        <v>349</v>
      </c>
      <c r="G853" t="s">
        <v>337</v>
      </c>
      <c r="H853" t="s">
        <v>332</v>
      </c>
      <c r="I853" t="s">
        <v>8</v>
      </c>
      <c r="J853" t="s">
        <v>31</v>
      </c>
      <c r="K853" t="s">
        <v>32</v>
      </c>
      <c r="L853" t="s">
        <v>304</v>
      </c>
      <c r="M853" t="s">
        <v>305</v>
      </c>
      <c r="N853">
        <v>1E-3</v>
      </c>
      <c r="O853" t="str">
        <f>IF(Transactions_RAW_cleaned[[#This Row],[Status]]="Completed", IFERROR(_xlfn.XLOOKUP(Transactions_RAW_cleaned[[#This Row],[CustomerID]], Customers_cleaned[CustomerID], Customers_cleaned[Segment]), "Customer Not Found"), "N/A")</f>
        <v>N/A</v>
      </c>
      <c r="P853" s="5" t="str">
        <f>IF(Transactions_RAW_cleaned[[#This Row],[Status]]="Refunded", "Refund",
  IF(Transactions_RAW_cleaned[[#This Row],[Category]]="Payments", IF(Transactions_RAW_cleaned[[#This Row],[Amount]]&gt;500,"High Value","Standard"),
    IF(Transactions_RAW_cleaned[[#This Row],[Amount]]&gt;250,"High Value","Standard")))</f>
        <v>Refund</v>
      </c>
      <c r="Q853" s="5" t="str">
        <f>IF(Transactions_RAW_cleaned[[#This Row],[Amount]] &gt; (_xlfn.XLOOKUP(Transactions_RAW_cleaned[[#This Row],[ServiceID]],Services_cleaned[ServiceID],Services_cleaned[TransactionFeePct]) * 10000), "Yes", "No")</f>
        <v>No</v>
      </c>
      <c r="R853" s="5" t="str">
        <f>IF(COUNTIFS($C$2:Transactions_RAW_cleaned[[#This Row],[CustomerID]],Transactions_RAW_cleaned[[#This Row],[CustomerID]],$D$2:Transactions_RAW_cleaned[[#This Row],[ServiceID]],Transactions_RAW_cleaned[[#This Row],[ServiceID]])=1,"Yes","No")</f>
        <v>Yes</v>
      </c>
      <c r="S85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53" t="str">
        <f>"Q"&amp;ROUNDUP(MONTH(Transactions_RAW_cleaned[[#This Row],[TransactionDate]])/3,0)</f>
        <v>Q2</v>
      </c>
      <c r="U853" t="str">
        <f>Transactions_RAW_cleaned[[#This Row],[Region ]]&amp;Transactions_RAW_cleaned[[#This Row],[Quarter ]]</f>
        <v>EMEAQ2</v>
      </c>
      <c r="V853" s="5">
        <f>_xlfn.XLOOKUP(Transactions_RAW_cleaned[[#This Row],[RegionQuarterKey]], Quarterly_Targets_cleaned[RegionQuarterKey], Quarterly_Targets_cleaned[TargetRevenue])</f>
        <v>140000</v>
      </c>
    </row>
    <row r="854" spans="1:22" x14ac:dyDescent="0.25">
      <c r="A854" t="s">
        <v>1188</v>
      </c>
      <c r="B854" s="1">
        <v>45384</v>
      </c>
      <c r="C854" t="s">
        <v>29</v>
      </c>
      <c r="D854" t="s">
        <v>294</v>
      </c>
      <c r="E854">
        <v>217.02</v>
      </c>
      <c r="F854" t="s">
        <v>324</v>
      </c>
      <c r="G854" t="s">
        <v>325</v>
      </c>
      <c r="H854" t="s">
        <v>346</v>
      </c>
      <c r="I854" t="s">
        <v>8</v>
      </c>
      <c r="J854" t="s">
        <v>31</v>
      </c>
      <c r="K854" t="s">
        <v>32</v>
      </c>
      <c r="L854" t="s">
        <v>295</v>
      </c>
      <c r="M854" t="s">
        <v>296</v>
      </c>
      <c r="N854">
        <v>2.9000000000000001E-2</v>
      </c>
      <c r="O854" t="str">
        <f>IF(Transactions_RAW_cleaned[[#This Row],[Status]]="Completed", IFERROR(_xlfn.XLOOKUP(Transactions_RAW_cleaned[[#This Row],[CustomerID]], Customers_cleaned[CustomerID], Customers_cleaned[Segment]), "Customer Not Found"), "N/A")</f>
        <v>SMB</v>
      </c>
      <c r="P854" s="5" t="str">
        <f>IF(Transactions_RAW_cleaned[[#This Row],[Status]]="Refunded", "Refund",
  IF(Transactions_RAW_cleaned[[#This Row],[Category]]="Payments", IF(Transactions_RAW_cleaned[[#This Row],[Amount]]&gt;500,"High Value","Standard"),
    IF(Transactions_RAW_cleaned[[#This Row],[Amount]]&gt;250,"High Value","Standard")))</f>
        <v>Standard</v>
      </c>
      <c r="Q854" s="5" t="str">
        <f>IF(Transactions_RAW_cleaned[[#This Row],[Amount]] &gt; (_xlfn.XLOOKUP(Transactions_RAW_cleaned[[#This Row],[ServiceID]],Services_cleaned[ServiceID],Services_cleaned[TransactionFeePct]) * 10000), "Yes", "No")</f>
        <v>No</v>
      </c>
      <c r="R854" s="5" t="str">
        <f>IF(COUNTIFS($C$2:Transactions_RAW_cleaned[[#This Row],[CustomerID]],Transactions_RAW_cleaned[[#This Row],[CustomerID]],$D$2:Transactions_RAW_cleaned[[#This Row],[ServiceID]],Transactions_RAW_cleaned[[#This Row],[ServiceID]])=1,"Yes","No")</f>
        <v>No</v>
      </c>
      <c r="S85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54" t="str">
        <f>"Q"&amp;ROUNDUP(MONTH(Transactions_RAW_cleaned[[#This Row],[TransactionDate]])/3,0)</f>
        <v>Q2</v>
      </c>
      <c r="U854" t="str">
        <f>Transactions_RAW_cleaned[[#This Row],[Region ]]&amp;Transactions_RAW_cleaned[[#This Row],[Quarter ]]</f>
        <v>EMEAQ2</v>
      </c>
      <c r="V854" s="5">
        <f>_xlfn.XLOOKUP(Transactions_RAW_cleaned[[#This Row],[RegionQuarterKey]], Quarterly_Targets_cleaned[RegionQuarterKey], Quarterly_Targets_cleaned[TargetRevenue])</f>
        <v>140000</v>
      </c>
    </row>
    <row r="855" spans="1:22" x14ac:dyDescent="0.25">
      <c r="A855" t="s">
        <v>1189</v>
      </c>
      <c r="B855" s="1">
        <v>45457</v>
      </c>
      <c r="C855" t="s">
        <v>88</v>
      </c>
      <c r="D855" t="s">
        <v>297</v>
      </c>
      <c r="E855">
        <v>600</v>
      </c>
      <c r="F855" t="s">
        <v>324</v>
      </c>
      <c r="G855" t="s">
        <v>327</v>
      </c>
      <c r="H855" t="s">
        <v>334</v>
      </c>
      <c r="I855" t="s">
        <v>8</v>
      </c>
      <c r="J855" t="s">
        <v>102</v>
      </c>
      <c r="K855" t="s">
        <v>18</v>
      </c>
      <c r="L855" t="s">
        <v>298</v>
      </c>
      <c r="M855" t="s">
        <v>299</v>
      </c>
      <c r="N855">
        <v>0</v>
      </c>
      <c r="O855" t="str">
        <f>IF(Transactions_RAW_cleaned[[#This Row],[Status]]="Completed", IFERROR(_xlfn.XLOOKUP(Transactions_RAW_cleaned[[#This Row],[CustomerID]], Customers_cleaned[CustomerID], Customers_cleaned[Segment]), "Customer Not Found"), "N/A")</f>
        <v>SMB</v>
      </c>
      <c r="P855" s="5" t="str">
        <f>IF(Transactions_RAW_cleaned[[#This Row],[Status]]="Refunded", "Refund",
  IF(Transactions_RAW_cleaned[[#This Row],[Category]]="Payments", IF(Transactions_RAW_cleaned[[#This Row],[Amount]]&gt;500,"High Value","Standard"),
    IF(Transactions_RAW_cleaned[[#This Row],[Amount]]&gt;250,"High Value","Standard")))</f>
        <v>High Value</v>
      </c>
      <c r="Q855" s="5" t="str">
        <f>IF(Transactions_RAW_cleaned[[#This Row],[Amount]] &gt; (_xlfn.XLOOKUP(Transactions_RAW_cleaned[[#This Row],[ServiceID]],Services_cleaned[ServiceID],Services_cleaned[TransactionFeePct]) * 10000), "Yes", "No")</f>
        <v>Yes</v>
      </c>
      <c r="R855" s="5" t="str">
        <f>IF(COUNTIFS($C$2:Transactions_RAW_cleaned[[#This Row],[CustomerID]],Transactions_RAW_cleaned[[#This Row],[CustomerID]],$D$2:Transactions_RAW_cleaned[[#This Row],[ServiceID]],Transactions_RAW_cleaned[[#This Row],[ServiceID]])=1,"Yes","No")</f>
        <v>Yes</v>
      </c>
      <c r="S85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55" t="str">
        <f>"Q"&amp;ROUNDUP(MONTH(Transactions_RAW_cleaned[[#This Row],[TransactionDate]])/3,0)</f>
        <v>Q2</v>
      </c>
      <c r="U855" t="str">
        <f>Transactions_RAW_cleaned[[#This Row],[Region ]]&amp;Transactions_RAW_cleaned[[#This Row],[Quarter ]]</f>
        <v>NAQ2</v>
      </c>
      <c r="V855" s="5">
        <f>_xlfn.XLOOKUP(Transactions_RAW_cleaned[[#This Row],[RegionQuarterKey]], Quarterly_Targets_cleaned[RegionQuarterKey], Quarterly_Targets_cleaned[TargetRevenue])</f>
        <v>260000</v>
      </c>
    </row>
    <row r="856" spans="1:22" x14ac:dyDescent="0.25">
      <c r="A856" t="s">
        <v>1190</v>
      </c>
      <c r="B856" s="1">
        <v>45624</v>
      </c>
      <c r="C856" t="s">
        <v>159</v>
      </c>
      <c r="D856" t="s">
        <v>309</v>
      </c>
      <c r="E856">
        <v>452.19</v>
      </c>
      <c r="F856" t="s">
        <v>324</v>
      </c>
      <c r="G856" t="s">
        <v>337</v>
      </c>
      <c r="H856" t="s">
        <v>332</v>
      </c>
      <c r="I856" t="s">
        <v>57</v>
      </c>
      <c r="J856" t="s">
        <v>25</v>
      </c>
      <c r="K856" t="s">
        <v>22</v>
      </c>
      <c r="L856" t="s">
        <v>310</v>
      </c>
      <c r="M856" t="s">
        <v>311</v>
      </c>
      <c r="N856">
        <v>0</v>
      </c>
      <c r="O856" t="str">
        <f>IF(Transactions_RAW_cleaned[[#This Row],[Status]]="Completed", IFERROR(_xlfn.XLOOKUP(Transactions_RAW_cleaned[[#This Row],[CustomerID]], Customers_cleaned[CustomerID], Customers_cleaned[Segment]), "Customer Not Found"), "N/A")</f>
        <v>Startup</v>
      </c>
      <c r="P856" s="5" t="str">
        <f>IF(Transactions_RAW_cleaned[[#This Row],[Status]]="Refunded", "Refund",
  IF(Transactions_RAW_cleaned[[#This Row],[Category]]="Payments", IF(Transactions_RAW_cleaned[[#This Row],[Amount]]&gt;500,"High Value","Standard"),
    IF(Transactions_RAW_cleaned[[#This Row],[Amount]]&gt;250,"High Value","Standard")))</f>
        <v>High Value</v>
      </c>
      <c r="Q856" s="5" t="str">
        <f>IF(Transactions_RAW_cleaned[[#This Row],[Amount]] &gt; (_xlfn.XLOOKUP(Transactions_RAW_cleaned[[#This Row],[ServiceID]],Services_cleaned[ServiceID],Services_cleaned[TransactionFeePct]) * 10000), "Yes", "No")</f>
        <v>Yes</v>
      </c>
      <c r="R856" s="5" t="str">
        <f>IF(COUNTIFS($C$2:Transactions_RAW_cleaned[[#This Row],[CustomerID]],Transactions_RAW_cleaned[[#This Row],[CustomerID]],$D$2:Transactions_RAW_cleaned[[#This Row],[ServiceID]],Transactions_RAW_cleaned[[#This Row],[ServiceID]])=1,"Yes","No")</f>
        <v>No</v>
      </c>
      <c r="S85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56" t="str">
        <f>"Q"&amp;ROUNDUP(MONTH(Transactions_RAW_cleaned[[#This Row],[TransactionDate]])/3,0)</f>
        <v>Q4</v>
      </c>
      <c r="U856" t="str">
        <f>Transactions_RAW_cleaned[[#This Row],[Region ]]&amp;Transactions_RAW_cleaned[[#This Row],[Quarter ]]</f>
        <v>APACQ4</v>
      </c>
      <c r="V856" s="5">
        <f>_xlfn.XLOOKUP(Transactions_RAW_cleaned[[#This Row],[RegionQuarterKey]], Quarterly_Targets_cleaned[RegionQuarterKey], Quarterly_Targets_cleaned[TargetRevenue])</f>
        <v>126500</v>
      </c>
    </row>
    <row r="857" spans="1:22" x14ac:dyDescent="0.25">
      <c r="A857" t="s">
        <v>1191</v>
      </c>
      <c r="B857" s="1">
        <v>45607</v>
      </c>
      <c r="C857" t="s">
        <v>247</v>
      </c>
      <c r="D857" t="s">
        <v>294</v>
      </c>
      <c r="E857">
        <v>340.49</v>
      </c>
      <c r="F857" t="s">
        <v>324</v>
      </c>
      <c r="G857" t="s">
        <v>2963</v>
      </c>
      <c r="I857" t="s">
        <v>17</v>
      </c>
      <c r="J857" t="s">
        <v>13</v>
      </c>
      <c r="K857" t="s">
        <v>28</v>
      </c>
      <c r="L857" t="s">
        <v>295</v>
      </c>
      <c r="M857" t="s">
        <v>296</v>
      </c>
      <c r="N857">
        <v>2.9000000000000001E-2</v>
      </c>
      <c r="O857" t="str">
        <f>IF(Transactions_RAW_cleaned[[#This Row],[Status]]="Completed", IFERROR(_xlfn.XLOOKUP(Transactions_RAW_cleaned[[#This Row],[CustomerID]], Customers_cleaned[CustomerID], Customers_cleaned[Segment]), "Customer Not Found"), "N/A")</f>
        <v>Enterprise</v>
      </c>
      <c r="P857" s="5" t="str">
        <f>IF(Transactions_RAW_cleaned[[#This Row],[Status]]="Refunded", "Refund",
  IF(Transactions_RAW_cleaned[[#This Row],[Category]]="Payments", IF(Transactions_RAW_cleaned[[#This Row],[Amount]]&gt;500,"High Value","Standard"),
    IF(Transactions_RAW_cleaned[[#This Row],[Amount]]&gt;250,"High Value","Standard")))</f>
        <v>Standard</v>
      </c>
      <c r="Q857" s="5" t="str">
        <f>IF(Transactions_RAW_cleaned[[#This Row],[Amount]] &gt; (_xlfn.XLOOKUP(Transactions_RAW_cleaned[[#This Row],[ServiceID]],Services_cleaned[ServiceID],Services_cleaned[TransactionFeePct]) * 10000), "Yes", "No")</f>
        <v>Yes</v>
      </c>
      <c r="R857" s="5" t="str">
        <f>IF(COUNTIFS($C$2:Transactions_RAW_cleaned[[#This Row],[CustomerID]],Transactions_RAW_cleaned[[#This Row],[CustomerID]],$D$2:Transactions_RAW_cleaned[[#This Row],[ServiceID]],Transactions_RAW_cleaned[[#This Row],[ServiceID]])=1,"Yes","No")</f>
        <v>No</v>
      </c>
      <c r="S85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57" t="str">
        <f>"Q"&amp;ROUNDUP(MONTH(Transactions_RAW_cleaned[[#This Row],[TransactionDate]])/3,0)</f>
        <v>Q4</v>
      </c>
      <c r="U857" t="str">
        <f>Transactions_RAW_cleaned[[#This Row],[Region ]]&amp;Transactions_RAW_cleaned[[#This Row],[Quarter ]]</f>
        <v>NAQ4</v>
      </c>
      <c r="V857" s="5">
        <f>_xlfn.XLOOKUP(Transactions_RAW_cleaned[[#This Row],[RegionQuarterKey]], Quarterly_Targets_cleaned[RegionQuarterKey], Quarterly_Targets_cleaned[TargetRevenue])</f>
        <v>299000</v>
      </c>
    </row>
    <row r="858" spans="1:22" x14ac:dyDescent="0.25">
      <c r="A858" t="s">
        <v>1192</v>
      </c>
      <c r="B858" s="1">
        <v>45456</v>
      </c>
      <c r="C858" t="s">
        <v>66</v>
      </c>
      <c r="D858" t="s">
        <v>306</v>
      </c>
      <c r="E858">
        <v>1809.37</v>
      </c>
      <c r="F858" t="s">
        <v>331</v>
      </c>
      <c r="G858" t="s">
        <v>329</v>
      </c>
      <c r="H858" t="s">
        <v>332</v>
      </c>
      <c r="I858" t="s">
        <v>8</v>
      </c>
      <c r="J858" t="s">
        <v>46</v>
      </c>
      <c r="K858" t="s">
        <v>10</v>
      </c>
      <c r="L858" t="s">
        <v>307</v>
      </c>
      <c r="M858" t="s">
        <v>308</v>
      </c>
      <c r="N858">
        <v>0</v>
      </c>
      <c r="O858" t="str">
        <f>IF(Transactions_RAW_cleaned[[#This Row],[Status]]="Completed", IFERROR(_xlfn.XLOOKUP(Transactions_RAW_cleaned[[#This Row],[CustomerID]], Customers_cleaned[CustomerID], Customers_cleaned[Segment]), "Customer Not Found"), "N/A")</f>
        <v>N/A</v>
      </c>
      <c r="P858" s="5" t="str">
        <f>IF(Transactions_RAW_cleaned[[#This Row],[Status]]="Refunded", "Refund",
  IF(Transactions_RAW_cleaned[[#This Row],[Category]]="Payments", IF(Transactions_RAW_cleaned[[#This Row],[Amount]]&gt;500,"High Value","Standard"),
    IF(Transactions_RAW_cleaned[[#This Row],[Amount]]&gt;250,"High Value","Standard")))</f>
        <v>High Value</v>
      </c>
      <c r="Q858" s="5" t="str">
        <f>IF(Transactions_RAW_cleaned[[#This Row],[Amount]] &gt; (_xlfn.XLOOKUP(Transactions_RAW_cleaned[[#This Row],[ServiceID]],Services_cleaned[ServiceID],Services_cleaned[TransactionFeePct]) * 10000), "Yes", "No")</f>
        <v>Yes</v>
      </c>
      <c r="R858" s="5" t="str">
        <f>IF(COUNTIFS($C$2:Transactions_RAW_cleaned[[#This Row],[CustomerID]],Transactions_RAW_cleaned[[#This Row],[CustomerID]],$D$2:Transactions_RAW_cleaned[[#This Row],[ServiceID]],Transactions_RAW_cleaned[[#This Row],[ServiceID]])=1,"Yes","No")</f>
        <v>No</v>
      </c>
      <c r="S85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58" t="str">
        <f>"Q"&amp;ROUNDUP(MONTH(Transactions_RAW_cleaned[[#This Row],[TransactionDate]])/3,0)</f>
        <v>Q2</v>
      </c>
      <c r="U858" t="str">
        <f>Transactions_RAW_cleaned[[#This Row],[Region ]]&amp;Transactions_RAW_cleaned[[#This Row],[Quarter ]]</f>
        <v>APACQ2</v>
      </c>
      <c r="V858" s="5">
        <f>_xlfn.XLOOKUP(Transactions_RAW_cleaned[[#This Row],[RegionQuarterKey]], Quarterly_Targets_cleaned[RegionQuarterKey], Quarterly_Targets_cleaned[TargetRevenue])</f>
        <v>110000</v>
      </c>
    </row>
    <row r="859" spans="1:22" x14ac:dyDescent="0.25">
      <c r="A859" t="s">
        <v>1193</v>
      </c>
      <c r="B859" s="1">
        <v>45458</v>
      </c>
      <c r="C859" t="s">
        <v>227</v>
      </c>
      <c r="D859" t="s">
        <v>315</v>
      </c>
      <c r="E859">
        <v>167.25</v>
      </c>
      <c r="F859" t="s">
        <v>324</v>
      </c>
      <c r="G859" t="s">
        <v>327</v>
      </c>
      <c r="H859" t="s">
        <v>334</v>
      </c>
      <c r="I859" t="s">
        <v>57</v>
      </c>
      <c r="J859" t="s">
        <v>31</v>
      </c>
      <c r="K859" t="s">
        <v>32</v>
      </c>
      <c r="L859" t="s">
        <v>316</v>
      </c>
      <c r="M859" t="s">
        <v>305</v>
      </c>
      <c r="N859">
        <v>2.5000000000000001E-3</v>
      </c>
      <c r="O859" t="str">
        <f>IF(Transactions_RAW_cleaned[[#This Row],[Status]]="Completed", IFERROR(_xlfn.XLOOKUP(Transactions_RAW_cleaned[[#This Row],[CustomerID]], Customers_cleaned[CustomerID], Customers_cleaned[Segment]), "Customer Not Found"), "N/A")</f>
        <v>Startup</v>
      </c>
      <c r="P859" s="5" t="str">
        <f>IF(Transactions_RAW_cleaned[[#This Row],[Status]]="Refunded", "Refund",
  IF(Transactions_RAW_cleaned[[#This Row],[Category]]="Payments", IF(Transactions_RAW_cleaned[[#This Row],[Amount]]&gt;500,"High Value","Standard"),
    IF(Transactions_RAW_cleaned[[#This Row],[Amount]]&gt;250,"High Value","Standard")))</f>
        <v>Standard</v>
      </c>
      <c r="Q859" s="5" t="str">
        <f>IF(Transactions_RAW_cleaned[[#This Row],[Amount]] &gt; (_xlfn.XLOOKUP(Transactions_RAW_cleaned[[#This Row],[ServiceID]],Services_cleaned[ServiceID],Services_cleaned[TransactionFeePct]) * 10000), "Yes", "No")</f>
        <v>Yes</v>
      </c>
      <c r="R859" s="5" t="str">
        <f>IF(COUNTIFS($C$2:Transactions_RAW_cleaned[[#This Row],[CustomerID]],Transactions_RAW_cleaned[[#This Row],[CustomerID]],$D$2:Transactions_RAW_cleaned[[#This Row],[ServiceID]],Transactions_RAW_cleaned[[#This Row],[ServiceID]])=1,"Yes","No")</f>
        <v>Yes</v>
      </c>
      <c r="S85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59" t="str">
        <f>"Q"&amp;ROUNDUP(MONTH(Transactions_RAW_cleaned[[#This Row],[TransactionDate]])/3,0)</f>
        <v>Q2</v>
      </c>
      <c r="U859" t="str">
        <f>Transactions_RAW_cleaned[[#This Row],[Region ]]&amp;Transactions_RAW_cleaned[[#This Row],[Quarter ]]</f>
        <v>EMEAQ2</v>
      </c>
      <c r="V859" s="5">
        <f>_xlfn.XLOOKUP(Transactions_RAW_cleaned[[#This Row],[RegionQuarterKey]], Quarterly_Targets_cleaned[RegionQuarterKey], Quarterly_Targets_cleaned[TargetRevenue])</f>
        <v>140000</v>
      </c>
    </row>
    <row r="860" spans="1:22" x14ac:dyDescent="0.25">
      <c r="A860" t="s">
        <v>1194</v>
      </c>
      <c r="B860" s="1">
        <v>45338</v>
      </c>
      <c r="C860" t="s">
        <v>70</v>
      </c>
      <c r="D860" t="s">
        <v>312</v>
      </c>
      <c r="E860">
        <v>255.62</v>
      </c>
      <c r="F860" t="s">
        <v>324</v>
      </c>
      <c r="G860" t="s">
        <v>327</v>
      </c>
      <c r="I860" t="s">
        <v>8</v>
      </c>
      <c r="J860" t="s">
        <v>37</v>
      </c>
      <c r="K860" t="s">
        <v>28</v>
      </c>
      <c r="L860" t="s">
        <v>313</v>
      </c>
      <c r="M860" t="s">
        <v>314</v>
      </c>
      <c r="N860">
        <v>0</v>
      </c>
      <c r="O860" t="str">
        <f>IF(Transactions_RAW_cleaned[[#This Row],[Status]]="Completed", IFERROR(_xlfn.XLOOKUP(Transactions_RAW_cleaned[[#This Row],[CustomerID]], Customers_cleaned[CustomerID], Customers_cleaned[Segment]), "Customer Not Found"), "N/A")</f>
        <v>SMB</v>
      </c>
      <c r="P860" s="5" t="str">
        <f>IF(Transactions_RAW_cleaned[[#This Row],[Status]]="Refunded", "Refund",
  IF(Transactions_RAW_cleaned[[#This Row],[Category]]="Payments", IF(Transactions_RAW_cleaned[[#This Row],[Amount]]&gt;500,"High Value","Standard"),
    IF(Transactions_RAW_cleaned[[#This Row],[Amount]]&gt;250,"High Value","Standard")))</f>
        <v>High Value</v>
      </c>
      <c r="Q860" s="5" t="str">
        <f>IF(Transactions_RAW_cleaned[[#This Row],[Amount]] &gt; (_xlfn.XLOOKUP(Transactions_RAW_cleaned[[#This Row],[ServiceID]],Services_cleaned[ServiceID],Services_cleaned[TransactionFeePct]) * 10000), "Yes", "No")</f>
        <v>Yes</v>
      </c>
      <c r="R860" s="5" t="str">
        <f>IF(COUNTIFS($C$2:Transactions_RAW_cleaned[[#This Row],[CustomerID]],Transactions_RAW_cleaned[[#This Row],[CustomerID]],$D$2:Transactions_RAW_cleaned[[#This Row],[ServiceID]],Transactions_RAW_cleaned[[#This Row],[ServiceID]])=1,"Yes","No")</f>
        <v>No</v>
      </c>
      <c r="S86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60" t="str">
        <f>"Q"&amp;ROUNDUP(MONTH(Transactions_RAW_cleaned[[#This Row],[TransactionDate]])/3,0)</f>
        <v>Q1</v>
      </c>
      <c r="U860" t="str">
        <f>Transactions_RAW_cleaned[[#This Row],[Region ]]&amp;Transactions_RAW_cleaned[[#This Row],[Quarter ]]</f>
        <v>EMEAQ1</v>
      </c>
      <c r="V860" s="5">
        <f>_xlfn.XLOOKUP(Transactions_RAW_cleaned[[#This Row],[RegionQuarterKey]], Quarterly_Targets_cleaned[RegionQuarterKey], Quarterly_Targets_cleaned[TargetRevenue])</f>
        <v>133000</v>
      </c>
    </row>
    <row r="861" spans="1:22" x14ac:dyDescent="0.25">
      <c r="A861" t="s">
        <v>1195</v>
      </c>
      <c r="B861" s="1">
        <v>45525</v>
      </c>
      <c r="C861" t="s">
        <v>64</v>
      </c>
      <c r="D861" t="s">
        <v>303</v>
      </c>
      <c r="E861">
        <v>905.46</v>
      </c>
      <c r="F861" t="s">
        <v>381</v>
      </c>
      <c r="G861" t="s">
        <v>327</v>
      </c>
      <c r="I861" t="s">
        <v>8</v>
      </c>
      <c r="J861" t="s">
        <v>37</v>
      </c>
      <c r="K861" t="s">
        <v>28</v>
      </c>
      <c r="L861" t="s">
        <v>304</v>
      </c>
      <c r="M861" t="s">
        <v>305</v>
      </c>
      <c r="N861">
        <v>1E-3</v>
      </c>
      <c r="O861" t="str">
        <f>IF(Transactions_RAW_cleaned[[#This Row],[Status]]="Completed", IFERROR(_xlfn.XLOOKUP(Transactions_RAW_cleaned[[#This Row],[CustomerID]], Customers_cleaned[CustomerID], Customers_cleaned[Segment]), "Customer Not Found"), "N/A")</f>
        <v>N/A</v>
      </c>
      <c r="P861" s="5" t="str">
        <f>IF(Transactions_RAW_cleaned[[#This Row],[Status]]="Refunded", "Refund",
  IF(Transactions_RAW_cleaned[[#This Row],[Category]]="Payments", IF(Transactions_RAW_cleaned[[#This Row],[Amount]]&gt;500,"High Value","Standard"),
    IF(Transactions_RAW_cleaned[[#This Row],[Amount]]&gt;250,"High Value","Standard")))</f>
        <v>High Value</v>
      </c>
      <c r="Q861" s="5" t="str">
        <f>IF(Transactions_RAW_cleaned[[#This Row],[Amount]] &gt; (_xlfn.XLOOKUP(Transactions_RAW_cleaned[[#This Row],[ServiceID]],Services_cleaned[ServiceID],Services_cleaned[TransactionFeePct]) * 10000), "Yes", "No")</f>
        <v>Yes</v>
      </c>
      <c r="R861" s="5" t="str">
        <f>IF(COUNTIFS($C$2:Transactions_RAW_cleaned[[#This Row],[CustomerID]],Transactions_RAW_cleaned[[#This Row],[CustomerID]],$D$2:Transactions_RAW_cleaned[[#This Row],[ServiceID]],Transactions_RAW_cleaned[[#This Row],[ServiceID]])=1,"Yes","No")</f>
        <v>Yes</v>
      </c>
      <c r="S86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61" t="str">
        <f>"Q"&amp;ROUNDUP(MONTH(Transactions_RAW_cleaned[[#This Row],[TransactionDate]])/3,0)</f>
        <v>Q3</v>
      </c>
      <c r="U861" t="str">
        <f>Transactions_RAW_cleaned[[#This Row],[Region ]]&amp;Transactions_RAW_cleaned[[#This Row],[Quarter ]]</f>
        <v>EMEAQ3</v>
      </c>
      <c r="V861" s="5">
        <f>_xlfn.XLOOKUP(Transactions_RAW_cleaned[[#This Row],[RegionQuarterKey]], Quarterly_Targets_cleaned[RegionQuarterKey], Quarterly_Targets_cleaned[TargetRevenue])</f>
        <v>147000</v>
      </c>
    </row>
    <row r="862" spans="1:22" x14ac:dyDescent="0.25">
      <c r="A862" t="s">
        <v>1196</v>
      </c>
      <c r="B862" s="1">
        <v>45639</v>
      </c>
      <c r="C862" t="s">
        <v>47</v>
      </c>
      <c r="D862" t="s">
        <v>312</v>
      </c>
      <c r="E862">
        <v>797.29</v>
      </c>
      <c r="F862" t="s">
        <v>331</v>
      </c>
      <c r="G862" t="s">
        <v>337</v>
      </c>
      <c r="I862" t="s">
        <v>8</v>
      </c>
      <c r="J862" t="s">
        <v>21</v>
      </c>
      <c r="K862" t="s">
        <v>22</v>
      </c>
      <c r="L862" t="s">
        <v>313</v>
      </c>
      <c r="M862" t="s">
        <v>314</v>
      </c>
      <c r="N862">
        <v>0</v>
      </c>
      <c r="O862" t="str">
        <f>IF(Transactions_RAW_cleaned[[#This Row],[Status]]="Completed", IFERROR(_xlfn.XLOOKUP(Transactions_RAW_cleaned[[#This Row],[CustomerID]], Customers_cleaned[CustomerID], Customers_cleaned[Segment]), "Customer Not Found"), "N/A")</f>
        <v>N/A</v>
      </c>
      <c r="P862" s="5" t="str">
        <f>IF(Transactions_RAW_cleaned[[#This Row],[Status]]="Refunded", "Refund",
  IF(Transactions_RAW_cleaned[[#This Row],[Category]]="Payments", IF(Transactions_RAW_cleaned[[#This Row],[Amount]]&gt;500,"High Value","Standard"),
    IF(Transactions_RAW_cleaned[[#This Row],[Amount]]&gt;250,"High Value","Standard")))</f>
        <v>High Value</v>
      </c>
      <c r="Q862" s="5" t="str">
        <f>IF(Transactions_RAW_cleaned[[#This Row],[Amount]] &gt; (_xlfn.XLOOKUP(Transactions_RAW_cleaned[[#This Row],[ServiceID]],Services_cleaned[ServiceID],Services_cleaned[TransactionFeePct]) * 10000), "Yes", "No")</f>
        <v>Yes</v>
      </c>
      <c r="R862" s="5" t="str">
        <f>IF(COUNTIFS($C$2:Transactions_RAW_cleaned[[#This Row],[CustomerID]],Transactions_RAW_cleaned[[#This Row],[CustomerID]],$D$2:Transactions_RAW_cleaned[[#This Row],[ServiceID]],Transactions_RAW_cleaned[[#This Row],[ServiceID]])=1,"Yes","No")</f>
        <v>Yes</v>
      </c>
      <c r="S86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62" t="str">
        <f>"Q"&amp;ROUNDUP(MONTH(Transactions_RAW_cleaned[[#This Row],[TransactionDate]])/3,0)</f>
        <v>Q4</v>
      </c>
      <c r="U862" t="str">
        <f>Transactions_RAW_cleaned[[#This Row],[Region ]]&amp;Transactions_RAW_cleaned[[#This Row],[Quarter ]]</f>
        <v>APACQ4</v>
      </c>
      <c r="V862" s="5">
        <f>_xlfn.XLOOKUP(Transactions_RAW_cleaned[[#This Row],[RegionQuarterKey]], Quarterly_Targets_cleaned[RegionQuarterKey], Quarterly_Targets_cleaned[TargetRevenue])</f>
        <v>126500</v>
      </c>
    </row>
    <row r="863" spans="1:22" x14ac:dyDescent="0.25">
      <c r="A863" t="s">
        <v>1197</v>
      </c>
      <c r="B863" s="1">
        <v>45417</v>
      </c>
      <c r="C863" t="s">
        <v>251</v>
      </c>
      <c r="D863" t="s">
        <v>294</v>
      </c>
      <c r="E863">
        <v>325.14</v>
      </c>
      <c r="F863" t="s">
        <v>324</v>
      </c>
      <c r="G863" t="s">
        <v>325</v>
      </c>
      <c r="I863" t="s">
        <v>17</v>
      </c>
      <c r="J863" t="s">
        <v>46</v>
      </c>
      <c r="K863" t="s">
        <v>14</v>
      </c>
      <c r="L863" t="s">
        <v>295</v>
      </c>
      <c r="M863" t="s">
        <v>296</v>
      </c>
      <c r="N863">
        <v>2.9000000000000001E-2</v>
      </c>
      <c r="O863" t="str">
        <f>IF(Transactions_RAW_cleaned[[#This Row],[Status]]="Completed", IFERROR(_xlfn.XLOOKUP(Transactions_RAW_cleaned[[#This Row],[CustomerID]], Customers_cleaned[CustomerID], Customers_cleaned[Segment]), "Customer Not Found"), "N/A")</f>
        <v>Enterprise</v>
      </c>
      <c r="P863" s="5" t="str">
        <f>IF(Transactions_RAW_cleaned[[#This Row],[Status]]="Refunded", "Refund",
  IF(Transactions_RAW_cleaned[[#This Row],[Category]]="Payments", IF(Transactions_RAW_cleaned[[#This Row],[Amount]]&gt;500,"High Value","Standard"),
    IF(Transactions_RAW_cleaned[[#This Row],[Amount]]&gt;250,"High Value","Standard")))</f>
        <v>Standard</v>
      </c>
      <c r="Q863" s="5" t="str">
        <f>IF(Transactions_RAW_cleaned[[#This Row],[Amount]] &gt; (_xlfn.XLOOKUP(Transactions_RAW_cleaned[[#This Row],[ServiceID]],Services_cleaned[ServiceID],Services_cleaned[TransactionFeePct]) * 10000), "Yes", "No")</f>
        <v>Yes</v>
      </c>
      <c r="R863" s="5" t="str">
        <f>IF(COUNTIFS($C$2:Transactions_RAW_cleaned[[#This Row],[CustomerID]],Transactions_RAW_cleaned[[#This Row],[CustomerID]],$D$2:Transactions_RAW_cleaned[[#This Row],[ServiceID]],Transactions_RAW_cleaned[[#This Row],[ServiceID]])=1,"Yes","No")</f>
        <v>No</v>
      </c>
      <c r="S86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63" t="str">
        <f>"Q"&amp;ROUNDUP(MONTH(Transactions_RAW_cleaned[[#This Row],[TransactionDate]])/3,0)</f>
        <v>Q2</v>
      </c>
      <c r="U863" t="str">
        <f>Transactions_RAW_cleaned[[#This Row],[Region ]]&amp;Transactions_RAW_cleaned[[#This Row],[Quarter ]]</f>
        <v>APACQ2</v>
      </c>
      <c r="V863" s="5">
        <f>_xlfn.XLOOKUP(Transactions_RAW_cleaned[[#This Row],[RegionQuarterKey]], Quarterly_Targets_cleaned[RegionQuarterKey], Quarterly_Targets_cleaned[TargetRevenue])</f>
        <v>110000</v>
      </c>
    </row>
    <row r="864" spans="1:22" x14ac:dyDescent="0.25">
      <c r="A864" t="s">
        <v>1198</v>
      </c>
      <c r="B864" s="1">
        <v>45653</v>
      </c>
      <c r="C864" t="s">
        <v>171</v>
      </c>
      <c r="D864" t="s">
        <v>312</v>
      </c>
      <c r="E864">
        <v>169.36</v>
      </c>
      <c r="F864" t="s">
        <v>331</v>
      </c>
      <c r="G864" t="s">
        <v>337</v>
      </c>
      <c r="H864" t="s">
        <v>346</v>
      </c>
      <c r="I864" t="s">
        <v>17</v>
      </c>
      <c r="J864" t="s">
        <v>31</v>
      </c>
      <c r="K864" t="s">
        <v>32</v>
      </c>
      <c r="L864" t="s">
        <v>313</v>
      </c>
      <c r="M864" t="s">
        <v>314</v>
      </c>
      <c r="N864">
        <v>0</v>
      </c>
      <c r="O864" t="str">
        <f>IF(Transactions_RAW_cleaned[[#This Row],[Status]]="Completed", IFERROR(_xlfn.XLOOKUP(Transactions_RAW_cleaned[[#This Row],[CustomerID]], Customers_cleaned[CustomerID], Customers_cleaned[Segment]), "Customer Not Found"), "N/A")</f>
        <v>N/A</v>
      </c>
      <c r="P864" s="5" t="str">
        <f>IF(Transactions_RAW_cleaned[[#This Row],[Status]]="Refunded", "Refund",
  IF(Transactions_RAW_cleaned[[#This Row],[Category]]="Payments", IF(Transactions_RAW_cleaned[[#This Row],[Amount]]&gt;500,"High Value","Standard"),
    IF(Transactions_RAW_cleaned[[#This Row],[Amount]]&gt;250,"High Value","Standard")))</f>
        <v>Standard</v>
      </c>
      <c r="Q864" s="5" t="str">
        <f>IF(Transactions_RAW_cleaned[[#This Row],[Amount]] &gt; (_xlfn.XLOOKUP(Transactions_RAW_cleaned[[#This Row],[ServiceID]],Services_cleaned[ServiceID],Services_cleaned[TransactionFeePct]) * 10000), "Yes", "No")</f>
        <v>Yes</v>
      </c>
      <c r="R864" s="5" t="str">
        <f>IF(COUNTIFS($C$2:Transactions_RAW_cleaned[[#This Row],[CustomerID]],Transactions_RAW_cleaned[[#This Row],[CustomerID]],$D$2:Transactions_RAW_cleaned[[#This Row],[ServiceID]],Transactions_RAW_cleaned[[#This Row],[ServiceID]])=1,"Yes","No")</f>
        <v>Yes</v>
      </c>
      <c r="S86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64" t="str">
        <f>"Q"&amp;ROUNDUP(MONTH(Transactions_RAW_cleaned[[#This Row],[TransactionDate]])/3,0)</f>
        <v>Q4</v>
      </c>
      <c r="U864" t="str">
        <f>Transactions_RAW_cleaned[[#This Row],[Region ]]&amp;Transactions_RAW_cleaned[[#This Row],[Quarter ]]</f>
        <v>EMEAQ4</v>
      </c>
      <c r="V864" s="5">
        <f>_xlfn.XLOOKUP(Transactions_RAW_cleaned[[#This Row],[RegionQuarterKey]], Quarterly_Targets_cleaned[RegionQuarterKey], Quarterly_Targets_cleaned[TargetRevenue])</f>
        <v>161000</v>
      </c>
    </row>
    <row r="865" spans="1:22" x14ac:dyDescent="0.25">
      <c r="A865" t="s">
        <v>1199</v>
      </c>
      <c r="B865" s="1">
        <v>45645</v>
      </c>
      <c r="C865" t="s">
        <v>157</v>
      </c>
      <c r="D865" t="s">
        <v>312</v>
      </c>
      <c r="E865">
        <v>249.77</v>
      </c>
      <c r="F865" t="s">
        <v>331</v>
      </c>
      <c r="G865" t="s">
        <v>325</v>
      </c>
      <c r="I865" t="s">
        <v>8</v>
      </c>
      <c r="J865" t="s">
        <v>102</v>
      </c>
      <c r="K865" t="s">
        <v>14</v>
      </c>
      <c r="L865" t="s">
        <v>313</v>
      </c>
      <c r="M865" t="s">
        <v>314</v>
      </c>
      <c r="N865">
        <v>0</v>
      </c>
      <c r="O865" t="str">
        <f>IF(Transactions_RAW_cleaned[[#This Row],[Status]]="Completed", IFERROR(_xlfn.XLOOKUP(Transactions_RAW_cleaned[[#This Row],[CustomerID]], Customers_cleaned[CustomerID], Customers_cleaned[Segment]), "Customer Not Found"), "N/A")</f>
        <v>N/A</v>
      </c>
      <c r="P865" s="5" t="str">
        <f>IF(Transactions_RAW_cleaned[[#This Row],[Status]]="Refunded", "Refund",
  IF(Transactions_RAW_cleaned[[#This Row],[Category]]="Payments", IF(Transactions_RAW_cleaned[[#This Row],[Amount]]&gt;500,"High Value","Standard"),
    IF(Transactions_RAW_cleaned[[#This Row],[Amount]]&gt;250,"High Value","Standard")))</f>
        <v>Standard</v>
      </c>
      <c r="Q865" s="5" t="str">
        <f>IF(Transactions_RAW_cleaned[[#This Row],[Amount]] &gt; (_xlfn.XLOOKUP(Transactions_RAW_cleaned[[#This Row],[ServiceID]],Services_cleaned[ServiceID],Services_cleaned[TransactionFeePct]) * 10000), "Yes", "No")</f>
        <v>Yes</v>
      </c>
      <c r="R865" s="5" t="str">
        <f>IF(COUNTIFS($C$2:Transactions_RAW_cleaned[[#This Row],[CustomerID]],Transactions_RAW_cleaned[[#This Row],[CustomerID]],$D$2:Transactions_RAW_cleaned[[#This Row],[ServiceID]],Transactions_RAW_cleaned[[#This Row],[ServiceID]])=1,"Yes","No")</f>
        <v>Yes</v>
      </c>
      <c r="S86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65" t="str">
        <f>"Q"&amp;ROUNDUP(MONTH(Transactions_RAW_cleaned[[#This Row],[TransactionDate]])/3,0)</f>
        <v>Q4</v>
      </c>
      <c r="U865" t="str">
        <f>Transactions_RAW_cleaned[[#This Row],[Region ]]&amp;Transactions_RAW_cleaned[[#This Row],[Quarter ]]</f>
        <v>NAQ4</v>
      </c>
      <c r="V865" s="5">
        <f>_xlfn.XLOOKUP(Transactions_RAW_cleaned[[#This Row],[RegionQuarterKey]], Quarterly_Targets_cleaned[RegionQuarterKey], Quarterly_Targets_cleaned[TargetRevenue])</f>
        <v>299000</v>
      </c>
    </row>
    <row r="866" spans="1:22" x14ac:dyDescent="0.25">
      <c r="A866" t="s">
        <v>1200</v>
      </c>
      <c r="B866" s="1">
        <v>45315</v>
      </c>
      <c r="C866" t="s">
        <v>179</v>
      </c>
      <c r="D866" t="s">
        <v>312</v>
      </c>
      <c r="E866">
        <v>286.20999999999998</v>
      </c>
      <c r="F866" t="s">
        <v>324</v>
      </c>
      <c r="G866" t="s">
        <v>325</v>
      </c>
      <c r="H866" t="s">
        <v>346</v>
      </c>
      <c r="I866" t="s">
        <v>8</v>
      </c>
      <c r="J866" t="s">
        <v>31</v>
      </c>
      <c r="K866" t="s">
        <v>18</v>
      </c>
      <c r="L866" t="s">
        <v>313</v>
      </c>
      <c r="M866" t="s">
        <v>314</v>
      </c>
      <c r="N866">
        <v>0</v>
      </c>
      <c r="O866" t="str">
        <f>IF(Transactions_RAW_cleaned[[#This Row],[Status]]="Completed", IFERROR(_xlfn.XLOOKUP(Transactions_RAW_cleaned[[#This Row],[CustomerID]], Customers_cleaned[CustomerID], Customers_cleaned[Segment]), "Customer Not Found"), "N/A")</f>
        <v>SMB</v>
      </c>
      <c r="P866" s="5" t="str">
        <f>IF(Transactions_RAW_cleaned[[#This Row],[Status]]="Refunded", "Refund",
  IF(Transactions_RAW_cleaned[[#This Row],[Category]]="Payments", IF(Transactions_RAW_cleaned[[#This Row],[Amount]]&gt;500,"High Value","Standard"),
    IF(Transactions_RAW_cleaned[[#This Row],[Amount]]&gt;250,"High Value","Standard")))</f>
        <v>High Value</v>
      </c>
      <c r="Q866" s="5" t="str">
        <f>IF(Transactions_RAW_cleaned[[#This Row],[Amount]] &gt; (_xlfn.XLOOKUP(Transactions_RAW_cleaned[[#This Row],[ServiceID]],Services_cleaned[ServiceID],Services_cleaned[TransactionFeePct]) * 10000), "Yes", "No")</f>
        <v>Yes</v>
      </c>
      <c r="R866" s="5" t="str">
        <f>IF(COUNTIFS($C$2:Transactions_RAW_cleaned[[#This Row],[CustomerID]],Transactions_RAW_cleaned[[#This Row],[CustomerID]],$D$2:Transactions_RAW_cleaned[[#This Row],[ServiceID]],Transactions_RAW_cleaned[[#This Row],[ServiceID]])=1,"Yes","No")</f>
        <v>Yes</v>
      </c>
      <c r="S86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66" t="str">
        <f>"Q"&amp;ROUNDUP(MONTH(Transactions_RAW_cleaned[[#This Row],[TransactionDate]])/3,0)</f>
        <v>Q1</v>
      </c>
      <c r="U866" t="str">
        <f>Transactions_RAW_cleaned[[#This Row],[Region ]]&amp;Transactions_RAW_cleaned[[#This Row],[Quarter ]]</f>
        <v>EMEAQ1</v>
      </c>
      <c r="V866" s="5">
        <f>_xlfn.XLOOKUP(Transactions_RAW_cleaned[[#This Row],[RegionQuarterKey]], Quarterly_Targets_cleaned[RegionQuarterKey], Quarterly_Targets_cleaned[TargetRevenue])</f>
        <v>133000</v>
      </c>
    </row>
    <row r="867" spans="1:22" x14ac:dyDescent="0.25">
      <c r="A867" t="s">
        <v>1201</v>
      </c>
      <c r="B867" s="1">
        <v>45487</v>
      </c>
      <c r="C867" t="s">
        <v>265</v>
      </c>
      <c r="D867" t="s">
        <v>294</v>
      </c>
      <c r="E867">
        <v>742.49</v>
      </c>
      <c r="F867" t="s">
        <v>324</v>
      </c>
      <c r="G867" t="s">
        <v>2963</v>
      </c>
      <c r="I867" t="s">
        <v>8</v>
      </c>
      <c r="J867" t="s">
        <v>102</v>
      </c>
      <c r="K867" t="s">
        <v>32</v>
      </c>
      <c r="L867" t="s">
        <v>295</v>
      </c>
      <c r="M867" t="s">
        <v>296</v>
      </c>
      <c r="N867">
        <v>2.9000000000000001E-2</v>
      </c>
      <c r="O867" t="str">
        <f>IF(Transactions_RAW_cleaned[[#This Row],[Status]]="Completed", IFERROR(_xlfn.XLOOKUP(Transactions_RAW_cleaned[[#This Row],[CustomerID]], Customers_cleaned[CustomerID], Customers_cleaned[Segment]), "Customer Not Found"), "N/A")</f>
        <v>SMB</v>
      </c>
      <c r="P867" s="5" t="str">
        <f>IF(Transactions_RAW_cleaned[[#This Row],[Status]]="Refunded", "Refund",
  IF(Transactions_RAW_cleaned[[#This Row],[Category]]="Payments", IF(Transactions_RAW_cleaned[[#This Row],[Amount]]&gt;500,"High Value","Standard"),
    IF(Transactions_RAW_cleaned[[#This Row],[Amount]]&gt;250,"High Value","Standard")))</f>
        <v>High Value</v>
      </c>
      <c r="Q867" s="5" t="str">
        <f>IF(Transactions_RAW_cleaned[[#This Row],[Amount]] &gt; (_xlfn.XLOOKUP(Transactions_RAW_cleaned[[#This Row],[ServiceID]],Services_cleaned[ServiceID],Services_cleaned[TransactionFeePct]) * 10000), "Yes", "No")</f>
        <v>Yes</v>
      </c>
      <c r="R867" s="5" t="str">
        <f>IF(COUNTIFS($C$2:Transactions_RAW_cleaned[[#This Row],[CustomerID]],Transactions_RAW_cleaned[[#This Row],[CustomerID]],$D$2:Transactions_RAW_cleaned[[#This Row],[ServiceID]],Transactions_RAW_cleaned[[#This Row],[ServiceID]])=1,"Yes","No")</f>
        <v>No</v>
      </c>
      <c r="S86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67" t="str">
        <f>"Q"&amp;ROUNDUP(MONTH(Transactions_RAW_cleaned[[#This Row],[TransactionDate]])/3,0)</f>
        <v>Q3</v>
      </c>
      <c r="U867" t="str">
        <f>Transactions_RAW_cleaned[[#This Row],[Region ]]&amp;Transactions_RAW_cleaned[[#This Row],[Quarter ]]</f>
        <v>NAQ3</v>
      </c>
      <c r="V867" s="5">
        <f>_xlfn.XLOOKUP(Transactions_RAW_cleaned[[#This Row],[RegionQuarterKey]], Quarterly_Targets_cleaned[RegionQuarterKey], Quarterly_Targets_cleaned[TargetRevenue])</f>
        <v>273000</v>
      </c>
    </row>
    <row r="868" spans="1:22" x14ac:dyDescent="0.25">
      <c r="A868" t="s">
        <v>1202</v>
      </c>
      <c r="B868" s="1">
        <v>45610</v>
      </c>
      <c r="C868" t="s">
        <v>185</v>
      </c>
      <c r="D868" t="s">
        <v>294</v>
      </c>
      <c r="E868">
        <v>712.24</v>
      </c>
      <c r="F868" t="s">
        <v>324</v>
      </c>
      <c r="G868" t="s">
        <v>329</v>
      </c>
      <c r="H868" t="s">
        <v>332</v>
      </c>
      <c r="I868" t="s">
        <v>17</v>
      </c>
      <c r="J868" t="s">
        <v>13</v>
      </c>
      <c r="K868" t="s">
        <v>32</v>
      </c>
      <c r="L868" t="s">
        <v>295</v>
      </c>
      <c r="M868" t="s">
        <v>296</v>
      </c>
      <c r="N868">
        <v>2.9000000000000001E-2</v>
      </c>
      <c r="O868" t="str">
        <f>IF(Transactions_RAW_cleaned[[#This Row],[Status]]="Completed", IFERROR(_xlfn.XLOOKUP(Transactions_RAW_cleaned[[#This Row],[CustomerID]], Customers_cleaned[CustomerID], Customers_cleaned[Segment]), "Customer Not Found"), "N/A")</f>
        <v>Enterprise</v>
      </c>
      <c r="P868" s="5" t="str">
        <f>IF(Transactions_RAW_cleaned[[#This Row],[Status]]="Refunded", "Refund",
  IF(Transactions_RAW_cleaned[[#This Row],[Category]]="Payments", IF(Transactions_RAW_cleaned[[#This Row],[Amount]]&gt;500,"High Value","Standard"),
    IF(Transactions_RAW_cleaned[[#This Row],[Amount]]&gt;250,"High Value","Standard")))</f>
        <v>High Value</v>
      </c>
      <c r="Q868" s="5" t="str">
        <f>IF(Transactions_RAW_cleaned[[#This Row],[Amount]] &gt; (_xlfn.XLOOKUP(Transactions_RAW_cleaned[[#This Row],[ServiceID]],Services_cleaned[ServiceID],Services_cleaned[TransactionFeePct]) * 10000), "Yes", "No")</f>
        <v>Yes</v>
      </c>
      <c r="R868" s="5" t="str">
        <f>IF(COUNTIFS($C$2:Transactions_RAW_cleaned[[#This Row],[CustomerID]],Transactions_RAW_cleaned[[#This Row],[CustomerID]],$D$2:Transactions_RAW_cleaned[[#This Row],[ServiceID]],Transactions_RAW_cleaned[[#This Row],[ServiceID]])=1,"Yes","No")</f>
        <v>No</v>
      </c>
      <c r="S86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68" t="str">
        <f>"Q"&amp;ROUNDUP(MONTH(Transactions_RAW_cleaned[[#This Row],[TransactionDate]])/3,0)</f>
        <v>Q4</v>
      </c>
      <c r="U868" t="str">
        <f>Transactions_RAW_cleaned[[#This Row],[Region ]]&amp;Transactions_RAW_cleaned[[#This Row],[Quarter ]]</f>
        <v>NAQ4</v>
      </c>
      <c r="V868" s="5">
        <f>_xlfn.XLOOKUP(Transactions_RAW_cleaned[[#This Row],[RegionQuarterKey]], Quarterly_Targets_cleaned[RegionQuarterKey], Quarterly_Targets_cleaned[TargetRevenue])</f>
        <v>299000</v>
      </c>
    </row>
    <row r="869" spans="1:22" x14ac:dyDescent="0.25">
      <c r="A869" t="s">
        <v>1203</v>
      </c>
      <c r="B869" s="1">
        <v>45620</v>
      </c>
      <c r="C869" t="s">
        <v>195</v>
      </c>
      <c r="D869" t="s">
        <v>300</v>
      </c>
      <c r="E869">
        <v>757.68</v>
      </c>
      <c r="F869" t="s">
        <v>324</v>
      </c>
      <c r="G869" t="s">
        <v>2963</v>
      </c>
      <c r="H869" t="s">
        <v>334</v>
      </c>
      <c r="I869" t="s">
        <v>8</v>
      </c>
      <c r="J869" t="s">
        <v>102</v>
      </c>
      <c r="K869" t="s">
        <v>32</v>
      </c>
      <c r="L869" t="s">
        <v>301</v>
      </c>
      <c r="M869" t="s">
        <v>302</v>
      </c>
      <c r="N869">
        <v>5.0000000000000001E-3</v>
      </c>
      <c r="O869" t="str">
        <f>IF(Transactions_RAW_cleaned[[#This Row],[Status]]="Completed", IFERROR(_xlfn.XLOOKUP(Transactions_RAW_cleaned[[#This Row],[CustomerID]], Customers_cleaned[CustomerID], Customers_cleaned[Segment]), "Customer Not Found"), "N/A")</f>
        <v>SMB</v>
      </c>
      <c r="P869" s="5" t="str">
        <f>IF(Transactions_RAW_cleaned[[#This Row],[Status]]="Refunded", "Refund",
  IF(Transactions_RAW_cleaned[[#This Row],[Category]]="Payments", IF(Transactions_RAW_cleaned[[#This Row],[Amount]]&gt;500,"High Value","Standard"),
    IF(Transactions_RAW_cleaned[[#This Row],[Amount]]&gt;250,"High Value","Standard")))</f>
        <v>High Value</v>
      </c>
      <c r="Q869" s="5" t="str">
        <f>IF(Transactions_RAW_cleaned[[#This Row],[Amount]] &gt; (_xlfn.XLOOKUP(Transactions_RAW_cleaned[[#This Row],[ServiceID]],Services_cleaned[ServiceID],Services_cleaned[TransactionFeePct]) * 10000), "Yes", "No")</f>
        <v>Yes</v>
      </c>
      <c r="R869" s="5" t="str">
        <f>IF(COUNTIFS($C$2:Transactions_RAW_cleaned[[#This Row],[CustomerID]],Transactions_RAW_cleaned[[#This Row],[CustomerID]],$D$2:Transactions_RAW_cleaned[[#This Row],[ServiceID]],Transactions_RAW_cleaned[[#This Row],[ServiceID]])=1,"Yes","No")</f>
        <v>Yes</v>
      </c>
      <c r="S86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69" t="str">
        <f>"Q"&amp;ROUNDUP(MONTH(Transactions_RAW_cleaned[[#This Row],[TransactionDate]])/3,0)</f>
        <v>Q4</v>
      </c>
      <c r="U869" t="str">
        <f>Transactions_RAW_cleaned[[#This Row],[Region ]]&amp;Transactions_RAW_cleaned[[#This Row],[Quarter ]]</f>
        <v>NAQ4</v>
      </c>
      <c r="V869" s="5">
        <f>_xlfn.XLOOKUP(Transactions_RAW_cleaned[[#This Row],[RegionQuarterKey]], Quarterly_Targets_cleaned[RegionQuarterKey], Quarterly_Targets_cleaned[TargetRevenue])</f>
        <v>299000</v>
      </c>
    </row>
    <row r="870" spans="1:22" x14ac:dyDescent="0.25">
      <c r="A870" t="s">
        <v>1204</v>
      </c>
      <c r="B870" s="1">
        <v>45518</v>
      </c>
      <c r="C870" t="s">
        <v>203</v>
      </c>
      <c r="D870" t="s">
        <v>315</v>
      </c>
      <c r="E870">
        <v>149.27000000000001</v>
      </c>
      <c r="F870" t="s">
        <v>324</v>
      </c>
      <c r="G870" t="s">
        <v>337</v>
      </c>
      <c r="I870" t="s">
        <v>57</v>
      </c>
      <c r="J870" t="s">
        <v>21</v>
      </c>
      <c r="K870" t="s">
        <v>14</v>
      </c>
      <c r="L870" t="s">
        <v>316</v>
      </c>
      <c r="M870" t="s">
        <v>305</v>
      </c>
      <c r="N870">
        <v>2.5000000000000001E-3</v>
      </c>
      <c r="O870" t="str">
        <f>IF(Transactions_RAW_cleaned[[#This Row],[Status]]="Completed", IFERROR(_xlfn.XLOOKUP(Transactions_RAW_cleaned[[#This Row],[CustomerID]], Customers_cleaned[CustomerID], Customers_cleaned[Segment]), "Customer Not Found"), "N/A")</f>
        <v>Startup</v>
      </c>
      <c r="P870" s="5" t="str">
        <f>IF(Transactions_RAW_cleaned[[#This Row],[Status]]="Refunded", "Refund",
  IF(Transactions_RAW_cleaned[[#This Row],[Category]]="Payments", IF(Transactions_RAW_cleaned[[#This Row],[Amount]]&gt;500,"High Value","Standard"),
    IF(Transactions_RAW_cleaned[[#This Row],[Amount]]&gt;250,"High Value","Standard")))</f>
        <v>Standard</v>
      </c>
      <c r="Q870" s="5" t="str">
        <f>IF(Transactions_RAW_cleaned[[#This Row],[Amount]] &gt; (_xlfn.XLOOKUP(Transactions_RAW_cleaned[[#This Row],[ServiceID]],Services_cleaned[ServiceID],Services_cleaned[TransactionFeePct]) * 10000), "Yes", "No")</f>
        <v>Yes</v>
      </c>
      <c r="R870" s="5" t="str">
        <f>IF(COUNTIFS($C$2:Transactions_RAW_cleaned[[#This Row],[CustomerID]],Transactions_RAW_cleaned[[#This Row],[CustomerID]],$D$2:Transactions_RAW_cleaned[[#This Row],[ServiceID]],Transactions_RAW_cleaned[[#This Row],[ServiceID]])=1,"Yes","No")</f>
        <v>Yes</v>
      </c>
      <c r="S87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70" t="str">
        <f>"Q"&amp;ROUNDUP(MONTH(Transactions_RAW_cleaned[[#This Row],[TransactionDate]])/3,0)</f>
        <v>Q3</v>
      </c>
      <c r="U870" t="str">
        <f>Transactions_RAW_cleaned[[#This Row],[Region ]]&amp;Transactions_RAW_cleaned[[#This Row],[Quarter ]]</f>
        <v>APACQ3</v>
      </c>
      <c r="V870" s="5">
        <f>_xlfn.XLOOKUP(Transactions_RAW_cleaned[[#This Row],[RegionQuarterKey]], Quarterly_Targets_cleaned[RegionQuarterKey], Quarterly_Targets_cleaned[TargetRevenue])</f>
        <v>115500</v>
      </c>
    </row>
    <row r="871" spans="1:22" x14ac:dyDescent="0.25">
      <c r="A871" t="s">
        <v>1205</v>
      </c>
      <c r="B871" s="1">
        <v>45426</v>
      </c>
      <c r="C871" t="s">
        <v>15</v>
      </c>
      <c r="D871" t="s">
        <v>306</v>
      </c>
      <c r="E871">
        <v>263.76</v>
      </c>
      <c r="F871" t="s">
        <v>324</v>
      </c>
      <c r="G871" t="s">
        <v>329</v>
      </c>
      <c r="I871" t="s">
        <v>17</v>
      </c>
      <c r="J871" t="s">
        <v>102</v>
      </c>
      <c r="K871" t="s">
        <v>18</v>
      </c>
      <c r="L871" t="s">
        <v>307</v>
      </c>
      <c r="M871" t="s">
        <v>308</v>
      </c>
      <c r="N871">
        <v>0</v>
      </c>
      <c r="O871" t="str">
        <f>IF(Transactions_RAW_cleaned[[#This Row],[Status]]="Completed", IFERROR(_xlfn.XLOOKUP(Transactions_RAW_cleaned[[#This Row],[CustomerID]], Customers_cleaned[CustomerID], Customers_cleaned[Segment]), "Customer Not Found"), "N/A")</f>
        <v>Enterprise</v>
      </c>
      <c r="P871" s="5" t="str">
        <f>IF(Transactions_RAW_cleaned[[#This Row],[Status]]="Refunded", "Refund",
  IF(Transactions_RAW_cleaned[[#This Row],[Category]]="Payments", IF(Transactions_RAW_cleaned[[#This Row],[Amount]]&gt;500,"High Value","Standard"),
    IF(Transactions_RAW_cleaned[[#This Row],[Amount]]&gt;250,"High Value","Standard")))</f>
        <v>High Value</v>
      </c>
      <c r="Q871" s="5" t="str">
        <f>IF(Transactions_RAW_cleaned[[#This Row],[Amount]] &gt; (_xlfn.XLOOKUP(Transactions_RAW_cleaned[[#This Row],[ServiceID]],Services_cleaned[ServiceID],Services_cleaned[TransactionFeePct]) * 10000), "Yes", "No")</f>
        <v>Yes</v>
      </c>
      <c r="R871" s="5" t="str">
        <f>IF(COUNTIFS($C$2:Transactions_RAW_cleaned[[#This Row],[CustomerID]],Transactions_RAW_cleaned[[#This Row],[CustomerID]],$D$2:Transactions_RAW_cleaned[[#This Row],[ServiceID]],Transactions_RAW_cleaned[[#This Row],[ServiceID]])=1,"Yes","No")</f>
        <v>No</v>
      </c>
      <c r="S87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71" t="str">
        <f>"Q"&amp;ROUNDUP(MONTH(Transactions_RAW_cleaned[[#This Row],[TransactionDate]])/3,0)</f>
        <v>Q2</v>
      </c>
      <c r="U871" t="str">
        <f>Transactions_RAW_cleaned[[#This Row],[Region ]]&amp;Transactions_RAW_cleaned[[#This Row],[Quarter ]]</f>
        <v>NAQ2</v>
      </c>
      <c r="V871" s="5">
        <f>_xlfn.XLOOKUP(Transactions_RAW_cleaned[[#This Row],[RegionQuarterKey]], Quarterly_Targets_cleaned[RegionQuarterKey], Quarterly_Targets_cleaned[TargetRevenue])</f>
        <v>260000</v>
      </c>
    </row>
    <row r="872" spans="1:22" x14ac:dyDescent="0.25">
      <c r="A872" t="s">
        <v>1206</v>
      </c>
      <c r="B872" s="1">
        <v>45399</v>
      </c>
      <c r="C872" t="s">
        <v>259</v>
      </c>
      <c r="D872" t="s">
        <v>294</v>
      </c>
      <c r="E872">
        <v>244.26</v>
      </c>
      <c r="F872" t="s">
        <v>324</v>
      </c>
      <c r="G872" t="s">
        <v>327</v>
      </c>
      <c r="I872" t="s">
        <v>8</v>
      </c>
      <c r="J872" t="s">
        <v>31</v>
      </c>
      <c r="K872" t="s">
        <v>22</v>
      </c>
      <c r="L872" t="s">
        <v>295</v>
      </c>
      <c r="M872" t="s">
        <v>296</v>
      </c>
      <c r="N872">
        <v>2.9000000000000001E-2</v>
      </c>
      <c r="O872" t="str">
        <f>IF(Transactions_RAW_cleaned[[#This Row],[Status]]="Completed", IFERROR(_xlfn.XLOOKUP(Transactions_RAW_cleaned[[#This Row],[CustomerID]], Customers_cleaned[CustomerID], Customers_cleaned[Segment]), "Customer Not Found"), "N/A")</f>
        <v>SMB</v>
      </c>
      <c r="P872" s="5" t="str">
        <f>IF(Transactions_RAW_cleaned[[#This Row],[Status]]="Refunded", "Refund",
  IF(Transactions_RAW_cleaned[[#This Row],[Category]]="Payments", IF(Transactions_RAW_cleaned[[#This Row],[Amount]]&gt;500,"High Value","Standard"),
    IF(Transactions_RAW_cleaned[[#This Row],[Amount]]&gt;250,"High Value","Standard")))</f>
        <v>Standard</v>
      </c>
      <c r="Q872" s="5" t="str">
        <f>IF(Transactions_RAW_cleaned[[#This Row],[Amount]] &gt; (_xlfn.XLOOKUP(Transactions_RAW_cleaned[[#This Row],[ServiceID]],Services_cleaned[ServiceID],Services_cleaned[TransactionFeePct]) * 10000), "Yes", "No")</f>
        <v>No</v>
      </c>
      <c r="R872" s="5" t="str">
        <f>IF(COUNTIFS($C$2:Transactions_RAW_cleaned[[#This Row],[CustomerID]],Transactions_RAW_cleaned[[#This Row],[CustomerID]],$D$2:Transactions_RAW_cleaned[[#This Row],[ServiceID]],Transactions_RAW_cleaned[[#This Row],[ServiceID]])=1,"Yes","No")</f>
        <v>No</v>
      </c>
      <c r="S87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72" t="str">
        <f>"Q"&amp;ROUNDUP(MONTH(Transactions_RAW_cleaned[[#This Row],[TransactionDate]])/3,0)</f>
        <v>Q2</v>
      </c>
      <c r="U872" t="str">
        <f>Transactions_RAW_cleaned[[#This Row],[Region ]]&amp;Transactions_RAW_cleaned[[#This Row],[Quarter ]]</f>
        <v>EMEAQ2</v>
      </c>
      <c r="V872" s="5">
        <f>_xlfn.XLOOKUP(Transactions_RAW_cleaned[[#This Row],[RegionQuarterKey]], Quarterly_Targets_cleaned[RegionQuarterKey], Quarterly_Targets_cleaned[TargetRevenue])</f>
        <v>140000</v>
      </c>
    </row>
    <row r="873" spans="1:22" x14ac:dyDescent="0.25">
      <c r="A873" t="s">
        <v>1207</v>
      </c>
      <c r="B873" s="1">
        <v>45642</v>
      </c>
      <c r="C873" t="s">
        <v>100</v>
      </c>
      <c r="D873" t="s">
        <v>309</v>
      </c>
      <c r="E873">
        <v>486.59</v>
      </c>
      <c r="F873" t="s">
        <v>324</v>
      </c>
      <c r="G873" t="s">
        <v>329</v>
      </c>
      <c r="I873" t="s">
        <v>8</v>
      </c>
      <c r="J873" t="s">
        <v>102</v>
      </c>
      <c r="K873" t="s">
        <v>22</v>
      </c>
      <c r="L873" t="s">
        <v>310</v>
      </c>
      <c r="M873" t="s">
        <v>311</v>
      </c>
      <c r="N873">
        <v>0</v>
      </c>
      <c r="O873" t="str">
        <f>IF(Transactions_RAW_cleaned[[#This Row],[Status]]="Completed", IFERROR(_xlfn.XLOOKUP(Transactions_RAW_cleaned[[#This Row],[CustomerID]], Customers_cleaned[CustomerID], Customers_cleaned[Segment]), "Customer Not Found"), "N/A")</f>
        <v>SMB</v>
      </c>
      <c r="P873" s="5" t="str">
        <f>IF(Transactions_RAW_cleaned[[#This Row],[Status]]="Refunded", "Refund",
  IF(Transactions_RAW_cleaned[[#This Row],[Category]]="Payments", IF(Transactions_RAW_cleaned[[#This Row],[Amount]]&gt;500,"High Value","Standard"),
    IF(Transactions_RAW_cleaned[[#This Row],[Amount]]&gt;250,"High Value","Standard")))</f>
        <v>High Value</v>
      </c>
      <c r="Q873" s="5" t="str">
        <f>IF(Transactions_RAW_cleaned[[#This Row],[Amount]] &gt; (_xlfn.XLOOKUP(Transactions_RAW_cleaned[[#This Row],[ServiceID]],Services_cleaned[ServiceID],Services_cleaned[TransactionFeePct]) * 10000), "Yes", "No")</f>
        <v>Yes</v>
      </c>
      <c r="R873" s="5" t="str">
        <f>IF(COUNTIFS($C$2:Transactions_RAW_cleaned[[#This Row],[CustomerID]],Transactions_RAW_cleaned[[#This Row],[CustomerID]],$D$2:Transactions_RAW_cleaned[[#This Row],[ServiceID]],Transactions_RAW_cleaned[[#This Row],[ServiceID]])=1,"Yes","No")</f>
        <v>Yes</v>
      </c>
      <c r="S87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73" t="str">
        <f>"Q"&amp;ROUNDUP(MONTH(Transactions_RAW_cleaned[[#This Row],[TransactionDate]])/3,0)</f>
        <v>Q4</v>
      </c>
      <c r="U873" t="str">
        <f>Transactions_RAW_cleaned[[#This Row],[Region ]]&amp;Transactions_RAW_cleaned[[#This Row],[Quarter ]]</f>
        <v>NAQ4</v>
      </c>
      <c r="V873" s="5">
        <f>_xlfn.XLOOKUP(Transactions_RAW_cleaned[[#This Row],[RegionQuarterKey]], Quarterly_Targets_cleaned[RegionQuarterKey], Quarterly_Targets_cleaned[TargetRevenue])</f>
        <v>299000</v>
      </c>
    </row>
    <row r="874" spans="1:22" x14ac:dyDescent="0.25">
      <c r="A874" t="s">
        <v>1208</v>
      </c>
      <c r="B874" s="1">
        <v>45558</v>
      </c>
      <c r="C874" t="s">
        <v>139</v>
      </c>
      <c r="D874" t="s">
        <v>312</v>
      </c>
      <c r="E874">
        <v>287.20999999999998</v>
      </c>
      <c r="F874" t="s">
        <v>324</v>
      </c>
      <c r="G874" t="s">
        <v>327</v>
      </c>
      <c r="H874" t="s">
        <v>334</v>
      </c>
      <c r="I874" t="s">
        <v>8</v>
      </c>
      <c r="J874" t="s">
        <v>102</v>
      </c>
      <c r="K874" t="s">
        <v>22</v>
      </c>
      <c r="L874" t="s">
        <v>313</v>
      </c>
      <c r="M874" t="s">
        <v>314</v>
      </c>
      <c r="N874">
        <v>0</v>
      </c>
      <c r="O874" t="str">
        <f>IF(Transactions_RAW_cleaned[[#This Row],[Status]]="Completed", IFERROR(_xlfn.XLOOKUP(Transactions_RAW_cleaned[[#This Row],[CustomerID]], Customers_cleaned[CustomerID], Customers_cleaned[Segment]), "Customer Not Found"), "N/A")</f>
        <v>SMB</v>
      </c>
      <c r="P874" s="5" t="str">
        <f>IF(Transactions_RAW_cleaned[[#This Row],[Status]]="Refunded", "Refund",
  IF(Transactions_RAW_cleaned[[#This Row],[Category]]="Payments", IF(Transactions_RAW_cleaned[[#This Row],[Amount]]&gt;500,"High Value","Standard"),
    IF(Transactions_RAW_cleaned[[#This Row],[Amount]]&gt;250,"High Value","Standard")))</f>
        <v>High Value</v>
      </c>
      <c r="Q874" s="5" t="str">
        <f>IF(Transactions_RAW_cleaned[[#This Row],[Amount]] &gt; (_xlfn.XLOOKUP(Transactions_RAW_cleaned[[#This Row],[ServiceID]],Services_cleaned[ServiceID],Services_cleaned[TransactionFeePct]) * 10000), "Yes", "No")</f>
        <v>Yes</v>
      </c>
      <c r="R874" s="5" t="str">
        <f>IF(COUNTIFS($C$2:Transactions_RAW_cleaned[[#This Row],[CustomerID]],Transactions_RAW_cleaned[[#This Row],[CustomerID]],$D$2:Transactions_RAW_cleaned[[#This Row],[ServiceID]],Transactions_RAW_cleaned[[#This Row],[ServiceID]])=1,"Yes","No")</f>
        <v>Yes</v>
      </c>
      <c r="S87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74" t="str">
        <f>"Q"&amp;ROUNDUP(MONTH(Transactions_RAW_cleaned[[#This Row],[TransactionDate]])/3,0)</f>
        <v>Q3</v>
      </c>
      <c r="U874" t="str">
        <f>Transactions_RAW_cleaned[[#This Row],[Region ]]&amp;Transactions_RAW_cleaned[[#This Row],[Quarter ]]</f>
        <v>NAQ3</v>
      </c>
      <c r="V874" s="5">
        <f>_xlfn.XLOOKUP(Transactions_RAW_cleaned[[#This Row],[RegionQuarterKey]], Quarterly_Targets_cleaned[RegionQuarterKey], Quarterly_Targets_cleaned[TargetRevenue])</f>
        <v>273000</v>
      </c>
    </row>
    <row r="875" spans="1:22" x14ac:dyDescent="0.25">
      <c r="A875" t="s">
        <v>1209</v>
      </c>
      <c r="B875" s="1">
        <v>45520</v>
      </c>
      <c r="C875" t="s">
        <v>267</v>
      </c>
      <c r="D875" t="s">
        <v>309</v>
      </c>
      <c r="E875">
        <v>741.07</v>
      </c>
      <c r="F875" t="s">
        <v>331</v>
      </c>
      <c r="G875" t="s">
        <v>325</v>
      </c>
      <c r="H875" t="s">
        <v>334</v>
      </c>
      <c r="I875" t="s">
        <v>8</v>
      </c>
      <c r="J875" t="s">
        <v>102</v>
      </c>
      <c r="K875" t="s">
        <v>22</v>
      </c>
      <c r="L875" t="s">
        <v>310</v>
      </c>
      <c r="M875" t="s">
        <v>311</v>
      </c>
      <c r="N875">
        <v>0</v>
      </c>
      <c r="O875" t="str">
        <f>IF(Transactions_RAW_cleaned[[#This Row],[Status]]="Completed", IFERROR(_xlfn.XLOOKUP(Transactions_RAW_cleaned[[#This Row],[CustomerID]], Customers_cleaned[CustomerID], Customers_cleaned[Segment]), "Customer Not Found"), "N/A")</f>
        <v>N/A</v>
      </c>
      <c r="P875" s="5" t="str">
        <f>IF(Transactions_RAW_cleaned[[#This Row],[Status]]="Refunded", "Refund",
  IF(Transactions_RAW_cleaned[[#This Row],[Category]]="Payments", IF(Transactions_RAW_cleaned[[#This Row],[Amount]]&gt;500,"High Value","Standard"),
    IF(Transactions_RAW_cleaned[[#This Row],[Amount]]&gt;250,"High Value","Standard")))</f>
        <v>High Value</v>
      </c>
      <c r="Q875" s="5" t="str">
        <f>IF(Transactions_RAW_cleaned[[#This Row],[Amount]] &gt; (_xlfn.XLOOKUP(Transactions_RAW_cleaned[[#This Row],[ServiceID]],Services_cleaned[ServiceID],Services_cleaned[TransactionFeePct]) * 10000), "Yes", "No")</f>
        <v>Yes</v>
      </c>
      <c r="R875" s="5" t="str">
        <f>IF(COUNTIFS($C$2:Transactions_RAW_cleaned[[#This Row],[CustomerID]],Transactions_RAW_cleaned[[#This Row],[CustomerID]],$D$2:Transactions_RAW_cleaned[[#This Row],[ServiceID]],Transactions_RAW_cleaned[[#This Row],[ServiceID]])=1,"Yes","No")</f>
        <v>No</v>
      </c>
      <c r="S87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75" t="str">
        <f>"Q"&amp;ROUNDUP(MONTH(Transactions_RAW_cleaned[[#This Row],[TransactionDate]])/3,0)</f>
        <v>Q3</v>
      </c>
      <c r="U875" t="str">
        <f>Transactions_RAW_cleaned[[#This Row],[Region ]]&amp;Transactions_RAW_cleaned[[#This Row],[Quarter ]]</f>
        <v>NAQ3</v>
      </c>
      <c r="V875" s="5">
        <f>_xlfn.XLOOKUP(Transactions_RAW_cleaned[[#This Row],[RegionQuarterKey]], Quarterly_Targets_cleaned[RegionQuarterKey], Quarterly_Targets_cleaned[TargetRevenue])</f>
        <v>273000</v>
      </c>
    </row>
    <row r="876" spans="1:22" x14ac:dyDescent="0.25">
      <c r="A876" t="s">
        <v>1210</v>
      </c>
      <c r="B876" s="1">
        <v>45331</v>
      </c>
      <c r="C876" t="s">
        <v>15</v>
      </c>
      <c r="D876" t="s">
        <v>303</v>
      </c>
      <c r="E876">
        <v>833.37</v>
      </c>
      <c r="F876" t="s">
        <v>324</v>
      </c>
      <c r="G876" t="s">
        <v>325</v>
      </c>
      <c r="H876" t="s">
        <v>332</v>
      </c>
      <c r="I876" t="s">
        <v>17</v>
      </c>
      <c r="J876" t="s">
        <v>102</v>
      </c>
      <c r="K876" t="s">
        <v>18</v>
      </c>
      <c r="L876" t="s">
        <v>304</v>
      </c>
      <c r="M876" t="s">
        <v>305</v>
      </c>
      <c r="N876">
        <v>1E-3</v>
      </c>
      <c r="O876" t="str">
        <f>IF(Transactions_RAW_cleaned[[#This Row],[Status]]="Completed", IFERROR(_xlfn.XLOOKUP(Transactions_RAW_cleaned[[#This Row],[CustomerID]], Customers_cleaned[CustomerID], Customers_cleaned[Segment]), "Customer Not Found"), "N/A")</f>
        <v>Enterprise</v>
      </c>
      <c r="P876" s="5" t="str">
        <f>IF(Transactions_RAW_cleaned[[#This Row],[Status]]="Refunded", "Refund",
  IF(Transactions_RAW_cleaned[[#This Row],[Category]]="Payments", IF(Transactions_RAW_cleaned[[#This Row],[Amount]]&gt;500,"High Value","Standard"),
    IF(Transactions_RAW_cleaned[[#This Row],[Amount]]&gt;250,"High Value","Standard")))</f>
        <v>High Value</v>
      </c>
      <c r="Q876" s="5" t="str">
        <f>IF(Transactions_RAW_cleaned[[#This Row],[Amount]] &gt; (_xlfn.XLOOKUP(Transactions_RAW_cleaned[[#This Row],[ServiceID]],Services_cleaned[ServiceID],Services_cleaned[TransactionFeePct]) * 10000), "Yes", "No")</f>
        <v>Yes</v>
      </c>
      <c r="R876" s="5" t="str">
        <f>IF(COUNTIFS($C$2:Transactions_RAW_cleaned[[#This Row],[CustomerID]],Transactions_RAW_cleaned[[#This Row],[CustomerID]],$D$2:Transactions_RAW_cleaned[[#This Row],[ServiceID]],Transactions_RAW_cleaned[[#This Row],[ServiceID]])=1,"Yes","No")</f>
        <v>No</v>
      </c>
      <c r="S87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76" t="str">
        <f>"Q"&amp;ROUNDUP(MONTH(Transactions_RAW_cleaned[[#This Row],[TransactionDate]])/3,0)</f>
        <v>Q1</v>
      </c>
      <c r="U876" t="str">
        <f>Transactions_RAW_cleaned[[#This Row],[Region ]]&amp;Transactions_RAW_cleaned[[#This Row],[Quarter ]]</f>
        <v>NAQ1</v>
      </c>
      <c r="V876" s="5">
        <f>_xlfn.XLOOKUP(Transactions_RAW_cleaned[[#This Row],[RegionQuarterKey]], Quarterly_Targets_cleaned[RegionQuarterKey], Quarterly_Targets_cleaned[TargetRevenue])</f>
        <v>247000</v>
      </c>
    </row>
    <row r="877" spans="1:22" x14ac:dyDescent="0.25">
      <c r="A877" t="s">
        <v>1211</v>
      </c>
      <c r="B877" s="1">
        <v>45295</v>
      </c>
      <c r="C877" t="s">
        <v>117</v>
      </c>
      <c r="D877" t="s">
        <v>312</v>
      </c>
      <c r="E877">
        <v>853.41</v>
      </c>
      <c r="F877" t="s">
        <v>324</v>
      </c>
      <c r="G877" t="s">
        <v>329</v>
      </c>
      <c r="I877" t="s">
        <v>8</v>
      </c>
      <c r="J877" t="s">
        <v>102</v>
      </c>
      <c r="K877" t="s">
        <v>14</v>
      </c>
      <c r="L877" t="s">
        <v>313</v>
      </c>
      <c r="M877" t="s">
        <v>314</v>
      </c>
      <c r="N877">
        <v>0</v>
      </c>
      <c r="O877" t="str">
        <f>IF(Transactions_RAW_cleaned[[#This Row],[Status]]="Completed", IFERROR(_xlfn.XLOOKUP(Transactions_RAW_cleaned[[#This Row],[CustomerID]], Customers_cleaned[CustomerID], Customers_cleaned[Segment]), "Customer Not Found"), "N/A")</f>
        <v>SMB</v>
      </c>
      <c r="P877" s="5" t="str">
        <f>IF(Transactions_RAW_cleaned[[#This Row],[Status]]="Refunded", "Refund",
  IF(Transactions_RAW_cleaned[[#This Row],[Category]]="Payments", IF(Transactions_RAW_cleaned[[#This Row],[Amount]]&gt;500,"High Value","Standard"),
    IF(Transactions_RAW_cleaned[[#This Row],[Amount]]&gt;250,"High Value","Standard")))</f>
        <v>High Value</v>
      </c>
      <c r="Q877" s="5" t="str">
        <f>IF(Transactions_RAW_cleaned[[#This Row],[Amount]] &gt; (_xlfn.XLOOKUP(Transactions_RAW_cleaned[[#This Row],[ServiceID]],Services_cleaned[ServiceID],Services_cleaned[TransactionFeePct]) * 10000), "Yes", "No")</f>
        <v>Yes</v>
      </c>
      <c r="R877" s="5" t="str">
        <f>IF(COUNTIFS($C$2:Transactions_RAW_cleaned[[#This Row],[CustomerID]],Transactions_RAW_cleaned[[#This Row],[CustomerID]],$D$2:Transactions_RAW_cleaned[[#This Row],[ServiceID]],Transactions_RAW_cleaned[[#This Row],[ServiceID]])=1,"Yes","No")</f>
        <v>Yes</v>
      </c>
      <c r="S87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77" t="str">
        <f>"Q"&amp;ROUNDUP(MONTH(Transactions_RAW_cleaned[[#This Row],[TransactionDate]])/3,0)</f>
        <v>Q1</v>
      </c>
      <c r="U877" t="str">
        <f>Transactions_RAW_cleaned[[#This Row],[Region ]]&amp;Transactions_RAW_cleaned[[#This Row],[Quarter ]]</f>
        <v>NAQ1</v>
      </c>
      <c r="V877" s="5">
        <f>_xlfn.XLOOKUP(Transactions_RAW_cleaned[[#This Row],[RegionQuarterKey]], Quarterly_Targets_cleaned[RegionQuarterKey], Quarterly_Targets_cleaned[TargetRevenue])</f>
        <v>247000</v>
      </c>
    </row>
    <row r="878" spans="1:22" x14ac:dyDescent="0.25">
      <c r="A878" t="s">
        <v>1212</v>
      </c>
      <c r="B878" s="1">
        <v>45583</v>
      </c>
      <c r="C878" t="s">
        <v>193</v>
      </c>
      <c r="D878" t="s">
        <v>297</v>
      </c>
      <c r="E878">
        <v>547.89</v>
      </c>
      <c r="F878" t="s">
        <v>331</v>
      </c>
      <c r="G878" t="s">
        <v>325</v>
      </c>
      <c r="H878" t="s">
        <v>334</v>
      </c>
      <c r="I878" t="s">
        <v>8</v>
      </c>
      <c r="J878" t="s">
        <v>102</v>
      </c>
      <c r="K878" t="s">
        <v>18</v>
      </c>
      <c r="L878" t="s">
        <v>298</v>
      </c>
      <c r="M878" t="s">
        <v>299</v>
      </c>
      <c r="N878">
        <v>0</v>
      </c>
      <c r="O878" t="str">
        <f>IF(Transactions_RAW_cleaned[[#This Row],[Status]]="Completed", IFERROR(_xlfn.XLOOKUP(Transactions_RAW_cleaned[[#This Row],[CustomerID]], Customers_cleaned[CustomerID], Customers_cleaned[Segment]), "Customer Not Found"), "N/A")</f>
        <v>N/A</v>
      </c>
      <c r="P878" s="5" t="str">
        <f>IF(Transactions_RAW_cleaned[[#This Row],[Status]]="Refunded", "Refund",
  IF(Transactions_RAW_cleaned[[#This Row],[Category]]="Payments", IF(Transactions_RAW_cleaned[[#This Row],[Amount]]&gt;500,"High Value","Standard"),
    IF(Transactions_RAW_cleaned[[#This Row],[Amount]]&gt;250,"High Value","Standard")))</f>
        <v>High Value</v>
      </c>
      <c r="Q878" s="5" t="str">
        <f>IF(Transactions_RAW_cleaned[[#This Row],[Amount]] &gt; (_xlfn.XLOOKUP(Transactions_RAW_cleaned[[#This Row],[ServiceID]],Services_cleaned[ServiceID],Services_cleaned[TransactionFeePct]) * 10000), "Yes", "No")</f>
        <v>Yes</v>
      </c>
      <c r="R878" s="5" t="str">
        <f>IF(COUNTIFS($C$2:Transactions_RAW_cleaned[[#This Row],[CustomerID]],Transactions_RAW_cleaned[[#This Row],[CustomerID]],$D$2:Transactions_RAW_cleaned[[#This Row],[ServiceID]],Transactions_RAW_cleaned[[#This Row],[ServiceID]])=1,"Yes","No")</f>
        <v>No</v>
      </c>
      <c r="S87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78" t="str">
        <f>"Q"&amp;ROUNDUP(MONTH(Transactions_RAW_cleaned[[#This Row],[TransactionDate]])/3,0)</f>
        <v>Q4</v>
      </c>
      <c r="U878" t="str">
        <f>Transactions_RAW_cleaned[[#This Row],[Region ]]&amp;Transactions_RAW_cleaned[[#This Row],[Quarter ]]</f>
        <v>NAQ4</v>
      </c>
      <c r="V878" s="5">
        <f>_xlfn.XLOOKUP(Transactions_RAW_cleaned[[#This Row],[RegionQuarterKey]], Quarterly_Targets_cleaned[RegionQuarterKey], Quarterly_Targets_cleaned[TargetRevenue])</f>
        <v>299000</v>
      </c>
    </row>
    <row r="879" spans="1:22" x14ac:dyDescent="0.25">
      <c r="A879" t="s">
        <v>1213</v>
      </c>
      <c r="B879" s="1">
        <v>45589</v>
      </c>
      <c r="C879" t="s">
        <v>273</v>
      </c>
      <c r="D879" t="s">
        <v>300</v>
      </c>
      <c r="E879">
        <v>309.93</v>
      </c>
      <c r="F879" t="s">
        <v>331</v>
      </c>
      <c r="G879" t="s">
        <v>327</v>
      </c>
      <c r="I879" t="s">
        <v>17</v>
      </c>
      <c r="J879" t="s">
        <v>102</v>
      </c>
      <c r="K879" t="s">
        <v>22</v>
      </c>
      <c r="L879" t="s">
        <v>301</v>
      </c>
      <c r="M879" t="s">
        <v>302</v>
      </c>
      <c r="N879">
        <v>5.0000000000000001E-3</v>
      </c>
      <c r="O879" t="str">
        <f>IF(Transactions_RAW_cleaned[[#This Row],[Status]]="Completed", IFERROR(_xlfn.XLOOKUP(Transactions_RAW_cleaned[[#This Row],[CustomerID]], Customers_cleaned[CustomerID], Customers_cleaned[Segment]), "Customer Not Found"), "N/A")</f>
        <v>N/A</v>
      </c>
      <c r="P879" s="5" t="str">
        <f>IF(Transactions_RAW_cleaned[[#This Row],[Status]]="Refunded", "Refund",
  IF(Transactions_RAW_cleaned[[#This Row],[Category]]="Payments", IF(Transactions_RAW_cleaned[[#This Row],[Amount]]&gt;500,"High Value","Standard"),
    IF(Transactions_RAW_cleaned[[#This Row],[Amount]]&gt;250,"High Value","Standard")))</f>
        <v>High Value</v>
      </c>
      <c r="Q879" s="5" t="str">
        <f>IF(Transactions_RAW_cleaned[[#This Row],[Amount]] &gt; (_xlfn.XLOOKUP(Transactions_RAW_cleaned[[#This Row],[ServiceID]],Services_cleaned[ServiceID],Services_cleaned[TransactionFeePct]) * 10000), "Yes", "No")</f>
        <v>Yes</v>
      </c>
      <c r="R879" s="5" t="str">
        <f>IF(COUNTIFS($C$2:Transactions_RAW_cleaned[[#This Row],[CustomerID]],Transactions_RAW_cleaned[[#This Row],[CustomerID]],$D$2:Transactions_RAW_cleaned[[#This Row],[ServiceID]],Transactions_RAW_cleaned[[#This Row],[ServiceID]])=1,"Yes","No")</f>
        <v>No</v>
      </c>
      <c r="S87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79" t="str">
        <f>"Q"&amp;ROUNDUP(MONTH(Transactions_RAW_cleaned[[#This Row],[TransactionDate]])/3,0)</f>
        <v>Q4</v>
      </c>
      <c r="U879" t="str">
        <f>Transactions_RAW_cleaned[[#This Row],[Region ]]&amp;Transactions_RAW_cleaned[[#This Row],[Quarter ]]</f>
        <v>NAQ4</v>
      </c>
      <c r="V879" s="5">
        <f>_xlfn.XLOOKUP(Transactions_RAW_cleaned[[#This Row],[RegionQuarterKey]], Quarterly_Targets_cleaned[RegionQuarterKey], Quarterly_Targets_cleaned[TargetRevenue])</f>
        <v>299000</v>
      </c>
    </row>
    <row r="880" spans="1:22" x14ac:dyDescent="0.25">
      <c r="A880" t="s">
        <v>1214</v>
      </c>
      <c r="B880" s="1">
        <v>45300</v>
      </c>
      <c r="C880" t="s">
        <v>173</v>
      </c>
      <c r="D880" t="s">
        <v>300</v>
      </c>
      <c r="E880">
        <v>542.58000000000004</v>
      </c>
      <c r="F880" t="s">
        <v>324</v>
      </c>
      <c r="G880" t="s">
        <v>2963</v>
      </c>
      <c r="H880" t="s">
        <v>332</v>
      </c>
      <c r="I880" t="s">
        <v>8</v>
      </c>
      <c r="J880" t="s">
        <v>46</v>
      </c>
      <c r="K880" t="s">
        <v>32</v>
      </c>
      <c r="L880" t="s">
        <v>301</v>
      </c>
      <c r="M880" t="s">
        <v>302</v>
      </c>
      <c r="N880">
        <v>5.0000000000000001E-3</v>
      </c>
      <c r="O880" t="str">
        <f>IF(Transactions_RAW_cleaned[[#This Row],[Status]]="Completed", IFERROR(_xlfn.XLOOKUP(Transactions_RAW_cleaned[[#This Row],[CustomerID]], Customers_cleaned[CustomerID], Customers_cleaned[Segment]), "Customer Not Found"), "N/A")</f>
        <v>SMB</v>
      </c>
      <c r="P880" s="5" t="str">
        <f>IF(Transactions_RAW_cleaned[[#This Row],[Status]]="Refunded", "Refund",
  IF(Transactions_RAW_cleaned[[#This Row],[Category]]="Payments", IF(Transactions_RAW_cleaned[[#This Row],[Amount]]&gt;500,"High Value","Standard"),
    IF(Transactions_RAW_cleaned[[#This Row],[Amount]]&gt;250,"High Value","Standard")))</f>
        <v>High Value</v>
      </c>
      <c r="Q880" s="5" t="str">
        <f>IF(Transactions_RAW_cleaned[[#This Row],[Amount]] &gt; (_xlfn.XLOOKUP(Transactions_RAW_cleaned[[#This Row],[ServiceID]],Services_cleaned[ServiceID],Services_cleaned[TransactionFeePct]) * 10000), "Yes", "No")</f>
        <v>Yes</v>
      </c>
      <c r="R880" s="5" t="str">
        <f>IF(COUNTIFS($C$2:Transactions_RAW_cleaned[[#This Row],[CustomerID]],Transactions_RAW_cleaned[[#This Row],[CustomerID]],$D$2:Transactions_RAW_cleaned[[#This Row],[ServiceID]],Transactions_RAW_cleaned[[#This Row],[ServiceID]])=1,"Yes","No")</f>
        <v>Yes</v>
      </c>
      <c r="S88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80" t="str">
        <f>"Q"&amp;ROUNDUP(MONTH(Transactions_RAW_cleaned[[#This Row],[TransactionDate]])/3,0)</f>
        <v>Q1</v>
      </c>
      <c r="U880" t="str">
        <f>Transactions_RAW_cleaned[[#This Row],[Region ]]&amp;Transactions_RAW_cleaned[[#This Row],[Quarter ]]</f>
        <v>APACQ1</v>
      </c>
      <c r="V880" s="5">
        <f>_xlfn.XLOOKUP(Transactions_RAW_cleaned[[#This Row],[RegionQuarterKey]], Quarterly_Targets_cleaned[RegionQuarterKey], Quarterly_Targets_cleaned[TargetRevenue])</f>
        <v>104500</v>
      </c>
    </row>
    <row r="881" spans="1:22" x14ac:dyDescent="0.25">
      <c r="A881" t="s">
        <v>1215</v>
      </c>
      <c r="B881" s="1">
        <v>45346</v>
      </c>
      <c r="C881" t="s">
        <v>49</v>
      </c>
      <c r="D881" t="s">
        <v>297</v>
      </c>
      <c r="E881">
        <v>412.63</v>
      </c>
      <c r="F881" t="s">
        <v>324</v>
      </c>
      <c r="G881" t="s">
        <v>327</v>
      </c>
      <c r="I881" t="s">
        <v>8</v>
      </c>
      <c r="J881" t="s">
        <v>102</v>
      </c>
      <c r="K881" t="s">
        <v>32</v>
      </c>
      <c r="L881" t="s">
        <v>298</v>
      </c>
      <c r="M881" t="s">
        <v>299</v>
      </c>
      <c r="N881">
        <v>0</v>
      </c>
      <c r="O881" t="str">
        <f>IF(Transactions_RAW_cleaned[[#This Row],[Status]]="Completed", IFERROR(_xlfn.XLOOKUP(Transactions_RAW_cleaned[[#This Row],[CustomerID]], Customers_cleaned[CustomerID], Customers_cleaned[Segment]), "Customer Not Found"), "N/A")</f>
        <v>SMB</v>
      </c>
      <c r="P881" s="5" t="str">
        <f>IF(Transactions_RAW_cleaned[[#This Row],[Status]]="Refunded", "Refund",
  IF(Transactions_RAW_cleaned[[#This Row],[Category]]="Payments", IF(Transactions_RAW_cleaned[[#This Row],[Amount]]&gt;500,"High Value","Standard"),
    IF(Transactions_RAW_cleaned[[#This Row],[Amount]]&gt;250,"High Value","Standard")))</f>
        <v>High Value</v>
      </c>
      <c r="Q881" s="5" t="str">
        <f>IF(Transactions_RAW_cleaned[[#This Row],[Amount]] &gt; (_xlfn.XLOOKUP(Transactions_RAW_cleaned[[#This Row],[ServiceID]],Services_cleaned[ServiceID],Services_cleaned[TransactionFeePct]) * 10000), "Yes", "No")</f>
        <v>Yes</v>
      </c>
      <c r="R881" s="5" t="str">
        <f>IF(COUNTIFS($C$2:Transactions_RAW_cleaned[[#This Row],[CustomerID]],Transactions_RAW_cleaned[[#This Row],[CustomerID]],$D$2:Transactions_RAW_cleaned[[#This Row],[ServiceID]],Transactions_RAW_cleaned[[#This Row],[ServiceID]])=1,"Yes","No")</f>
        <v>No</v>
      </c>
      <c r="S88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81" t="str">
        <f>"Q"&amp;ROUNDUP(MONTH(Transactions_RAW_cleaned[[#This Row],[TransactionDate]])/3,0)</f>
        <v>Q1</v>
      </c>
      <c r="U881" t="str">
        <f>Transactions_RAW_cleaned[[#This Row],[Region ]]&amp;Transactions_RAW_cleaned[[#This Row],[Quarter ]]</f>
        <v>NAQ1</v>
      </c>
      <c r="V881" s="5">
        <f>_xlfn.XLOOKUP(Transactions_RAW_cleaned[[#This Row],[RegionQuarterKey]], Quarterly_Targets_cleaned[RegionQuarterKey], Quarterly_Targets_cleaned[TargetRevenue])</f>
        <v>247000</v>
      </c>
    </row>
    <row r="882" spans="1:22" x14ac:dyDescent="0.25">
      <c r="A882" t="s">
        <v>1216</v>
      </c>
      <c r="B882" s="1">
        <v>45637</v>
      </c>
      <c r="C882" t="s">
        <v>219</v>
      </c>
      <c r="D882" t="s">
        <v>300</v>
      </c>
      <c r="E882">
        <v>235.78</v>
      </c>
      <c r="F882" t="s">
        <v>324</v>
      </c>
      <c r="G882" t="s">
        <v>327</v>
      </c>
      <c r="I882" t="s">
        <v>17</v>
      </c>
      <c r="J882" t="s">
        <v>31</v>
      </c>
      <c r="K882" t="s">
        <v>32</v>
      </c>
      <c r="L882" t="s">
        <v>301</v>
      </c>
      <c r="M882" t="s">
        <v>302</v>
      </c>
      <c r="N882">
        <v>5.0000000000000001E-3</v>
      </c>
      <c r="O882" t="str">
        <f>IF(Transactions_RAW_cleaned[[#This Row],[Status]]="Completed", IFERROR(_xlfn.XLOOKUP(Transactions_RAW_cleaned[[#This Row],[CustomerID]], Customers_cleaned[CustomerID], Customers_cleaned[Segment]), "Customer Not Found"), "N/A")</f>
        <v>Enterprise</v>
      </c>
      <c r="P882" s="5" t="str">
        <f>IF(Transactions_RAW_cleaned[[#This Row],[Status]]="Refunded", "Refund",
  IF(Transactions_RAW_cleaned[[#This Row],[Category]]="Payments", IF(Transactions_RAW_cleaned[[#This Row],[Amount]]&gt;500,"High Value","Standard"),
    IF(Transactions_RAW_cleaned[[#This Row],[Amount]]&gt;250,"High Value","Standard")))</f>
        <v>Standard</v>
      </c>
      <c r="Q882" s="5" t="str">
        <f>IF(Transactions_RAW_cleaned[[#This Row],[Amount]] &gt; (_xlfn.XLOOKUP(Transactions_RAW_cleaned[[#This Row],[ServiceID]],Services_cleaned[ServiceID],Services_cleaned[TransactionFeePct]) * 10000), "Yes", "No")</f>
        <v>Yes</v>
      </c>
      <c r="R882" s="5" t="str">
        <f>IF(COUNTIFS($C$2:Transactions_RAW_cleaned[[#This Row],[CustomerID]],Transactions_RAW_cleaned[[#This Row],[CustomerID]],$D$2:Transactions_RAW_cleaned[[#This Row],[ServiceID]],Transactions_RAW_cleaned[[#This Row],[ServiceID]])=1,"Yes","No")</f>
        <v>Yes</v>
      </c>
      <c r="S88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82" t="str">
        <f>"Q"&amp;ROUNDUP(MONTH(Transactions_RAW_cleaned[[#This Row],[TransactionDate]])/3,0)</f>
        <v>Q4</v>
      </c>
      <c r="U882" t="str">
        <f>Transactions_RAW_cleaned[[#This Row],[Region ]]&amp;Transactions_RAW_cleaned[[#This Row],[Quarter ]]</f>
        <v>EMEAQ4</v>
      </c>
      <c r="V882" s="5">
        <f>_xlfn.XLOOKUP(Transactions_RAW_cleaned[[#This Row],[RegionQuarterKey]], Quarterly_Targets_cleaned[RegionQuarterKey], Quarterly_Targets_cleaned[TargetRevenue])</f>
        <v>161000</v>
      </c>
    </row>
    <row r="883" spans="1:22" x14ac:dyDescent="0.25">
      <c r="A883" t="s">
        <v>1217</v>
      </c>
      <c r="B883" s="1">
        <v>45453</v>
      </c>
      <c r="C883" t="s">
        <v>123</v>
      </c>
      <c r="D883" t="s">
        <v>312</v>
      </c>
      <c r="E883">
        <v>1122.6300000000001</v>
      </c>
      <c r="F883" t="s">
        <v>331</v>
      </c>
      <c r="G883" t="s">
        <v>2963</v>
      </c>
      <c r="H883" t="s">
        <v>332</v>
      </c>
      <c r="I883" t="s">
        <v>8</v>
      </c>
      <c r="J883" t="s">
        <v>13</v>
      </c>
      <c r="K883" t="s">
        <v>32</v>
      </c>
      <c r="L883" t="s">
        <v>313</v>
      </c>
      <c r="M883" t="s">
        <v>314</v>
      </c>
      <c r="N883">
        <v>0</v>
      </c>
      <c r="O883" t="str">
        <f>IF(Transactions_RAW_cleaned[[#This Row],[Status]]="Completed", IFERROR(_xlfn.XLOOKUP(Transactions_RAW_cleaned[[#This Row],[CustomerID]], Customers_cleaned[CustomerID], Customers_cleaned[Segment]), "Customer Not Found"), "N/A")</f>
        <v>N/A</v>
      </c>
      <c r="P883" s="5" t="str">
        <f>IF(Transactions_RAW_cleaned[[#This Row],[Status]]="Refunded", "Refund",
  IF(Transactions_RAW_cleaned[[#This Row],[Category]]="Payments", IF(Transactions_RAW_cleaned[[#This Row],[Amount]]&gt;500,"High Value","Standard"),
    IF(Transactions_RAW_cleaned[[#This Row],[Amount]]&gt;250,"High Value","Standard")))</f>
        <v>High Value</v>
      </c>
      <c r="Q883" s="5" t="str">
        <f>IF(Transactions_RAW_cleaned[[#This Row],[Amount]] &gt; (_xlfn.XLOOKUP(Transactions_RAW_cleaned[[#This Row],[ServiceID]],Services_cleaned[ServiceID],Services_cleaned[TransactionFeePct]) * 10000), "Yes", "No")</f>
        <v>Yes</v>
      </c>
      <c r="R883" s="5" t="str">
        <f>IF(COUNTIFS($C$2:Transactions_RAW_cleaned[[#This Row],[CustomerID]],Transactions_RAW_cleaned[[#This Row],[CustomerID]],$D$2:Transactions_RAW_cleaned[[#This Row],[ServiceID]],Transactions_RAW_cleaned[[#This Row],[ServiceID]])=1,"Yes","No")</f>
        <v>No</v>
      </c>
      <c r="S88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83" t="str">
        <f>"Q"&amp;ROUNDUP(MONTH(Transactions_RAW_cleaned[[#This Row],[TransactionDate]])/3,0)</f>
        <v>Q2</v>
      </c>
      <c r="U883" t="str">
        <f>Transactions_RAW_cleaned[[#This Row],[Region ]]&amp;Transactions_RAW_cleaned[[#This Row],[Quarter ]]</f>
        <v>NAQ2</v>
      </c>
      <c r="V883" s="5">
        <f>_xlfn.XLOOKUP(Transactions_RAW_cleaned[[#This Row],[RegionQuarterKey]], Quarterly_Targets_cleaned[RegionQuarterKey], Quarterly_Targets_cleaned[TargetRevenue])</f>
        <v>260000</v>
      </c>
    </row>
    <row r="884" spans="1:22" x14ac:dyDescent="0.25">
      <c r="A884" t="s">
        <v>1218</v>
      </c>
      <c r="B884" s="1">
        <v>45532</v>
      </c>
      <c r="C884" t="s">
        <v>179</v>
      </c>
      <c r="D884" t="s">
        <v>294</v>
      </c>
      <c r="E884">
        <v>593.03</v>
      </c>
      <c r="F884" t="s">
        <v>324</v>
      </c>
      <c r="G884" t="s">
        <v>2963</v>
      </c>
      <c r="I884" t="s">
        <v>8</v>
      </c>
      <c r="J884" t="s">
        <v>31</v>
      </c>
      <c r="K884" t="s">
        <v>18</v>
      </c>
      <c r="L884" t="s">
        <v>295</v>
      </c>
      <c r="M884" t="s">
        <v>296</v>
      </c>
      <c r="N884">
        <v>2.9000000000000001E-2</v>
      </c>
      <c r="O884" t="str">
        <f>IF(Transactions_RAW_cleaned[[#This Row],[Status]]="Completed", IFERROR(_xlfn.XLOOKUP(Transactions_RAW_cleaned[[#This Row],[CustomerID]], Customers_cleaned[CustomerID], Customers_cleaned[Segment]), "Customer Not Found"), "N/A")</f>
        <v>SMB</v>
      </c>
      <c r="P884" s="5" t="str">
        <f>IF(Transactions_RAW_cleaned[[#This Row],[Status]]="Refunded", "Refund",
  IF(Transactions_RAW_cleaned[[#This Row],[Category]]="Payments", IF(Transactions_RAW_cleaned[[#This Row],[Amount]]&gt;500,"High Value","Standard"),
    IF(Transactions_RAW_cleaned[[#This Row],[Amount]]&gt;250,"High Value","Standard")))</f>
        <v>High Value</v>
      </c>
      <c r="Q884" s="5" t="str">
        <f>IF(Transactions_RAW_cleaned[[#This Row],[Amount]] &gt; (_xlfn.XLOOKUP(Transactions_RAW_cleaned[[#This Row],[ServiceID]],Services_cleaned[ServiceID],Services_cleaned[TransactionFeePct]) * 10000), "Yes", "No")</f>
        <v>Yes</v>
      </c>
      <c r="R884" s="5" t="str">
        <f>IF(COUNTIFS($C$2:Transactions_RAW_cleaned[[#This Row],[CustomerID]],Transactions_RAW_cleaned[[#This Row],[CustomerID]],$D$2:Transactions_RAW_cleaned[[#This Row],[ServiceID]],Transactions_RAW_cleaned[[#This Row],[ServiceID]])=1,"Yes","No")</f>
        <v>No</v>
      </c>
      <c r="S88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84" t="str">
        <f>"Q"&amp;ROUNDUP(MONTH(Transactions_RAW_cleaned[[#This Row],[TransactionDate]])/3,0)</f>
        <v>Q3</v>
      </c>
      <c r="U884" t="str">
        <f>Transactions_RAW_cleaned[[#This Row],[Region ]]&amp;Transactions_RAW_cleaned[[#This Row],[Quarter ]]</f>
        <v>EMEAQ3</v>
      </c>
      <c r="V884" s="5">
        <f>_xlfn.XLOOKUP(Transactions_RAW_cleaned[[#This Row],[RegionQuarterKey]], Quarterly_Targets_cleaned[RegionQuarterKey], Quarterly_Targets_cleaned[TargetRevenue])</f>
        <v>147000</v>
      </c>
    </row>
    <row r="885" spans="1:22" x14ac:dyDescent="0.25">
      <c r="A885" t="s">
        <v>1219</v>
      </c>
      <c r="B885" s="1">
        <v>45408</v>
      </c>
      <c r="C885" t="s">
        <v>70</v>
      </c>
      <c r="D885" t="s">
        <v>315</v>
      </c>
      <c r="E885">
        <v>403</v>
      </c>
      <c r="F885" t="s">
        <v>324</v>
      </c>
      <c r="G885" t="s">
        <v>327</v>
      </c>
      <c r="I885" t="s">
        <v>8</v>
      </c>
      <c r="J885" t="s">
        <v>37</v>
      </c>
      <c r="K885" t="s">
        <v>28</v>
      </c>
      <c r="L885" t="s">
        <v>316</v>
      </c>
      <c r="M885" t="s">
        <v>305</v>
      </c>
      <c r="N885">
        <v>2.5000000000000001E-3</v>
      </c>
      <c r="O885" t="str">
        <f>IF(Transactions_RAW_cleaned[[#This Row],[Status]]="Completed", IFERROR(_xlfn.XLOOKUP(Transactions_RAW_cleaned[[#This Row],[CustomerID]], Customers_cleaned[CustomerID], Customers_cleaned[Segment]), "Customer Not Found"), "N/A")</f>
        <v>SMB</v>
      </c>
      <c r="P885" s="5" t="str">
        <f>IF(Transactions_RAW_cleaned[[#This Row],[Status]]="Refunded", "Refund",
  IF(Transactions_RAW_cleaned[[#This Row],[Category]]="Payments", IF(Transactions_RAW_cleaned[[#This Row],[Amount]]&gt;500,"High Value","Standard"),
    IF(Transactions_RAW_cleaned[[#This Row],[Amount]]&gt;250,"High Value","Standard")))</f>
        <v>High Value</v>
      </c>
      <c r="Q885" s="5" t="str">
        <f>IF(Transactions_RAW_cleaned[[#This Row],[Amount]] &gt; (_xlfn.XLOOKUP(Transactions_RAW_cleaned[[#This Row],[ServiceID]],Services_cleaned[ServiceID],Services_cleaned[TransactionFeePct]) * 10000), "Yes", "No")</f>
        <v>Yes</v>
      </c>
      <c r="R885" s="5" t="str">
        <f>IF(COUNTIFS($C$2:Transactions_RAW_cleaned[[#This Row],[CustomerID]],Transactions_RAW_cleaned[[#This Row],[CustomerID]],$D$2:Transactions_RAW_cleaned[[#This Row],[ServiceID]],Transactions_RAW_cleaned[[#This Row],[ServiceID]])=1,"Yes","No")</f>
        <v>Yes</v>
      </c>
      <c r="S88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85" t="str">
        <f>"Q"&amp;ROUNDUP(MONTH(Transactions_RAW_cleaned[[#This Row],[TransactionDate]])/3,0)</f>
        <v>Q2</v>
      </c>
      <c r="U885" t="str">
        <f>Transactions_RAW_cleaned[[#This Row],[Region ]]&amp;Transactions_RAW_cleaned[[#This Row],[Quarter ]]</f>
        <v>EMEAQ2</v>
      </c>
      <c r="V885" s="5">
        <f>_xlfn.XLOOKUP(Transactions_RAW_cleaned[[#This Row],[RegionQuarterKey]], Quarterly_Targets_cleaned[RegionQuarterKey], Quarterly_Targets_cleaned[TargetRevenue])</f>
        <v>140000</v>
      </c>
    </row>
    <row r="886" spans="1:22" x14ac:dyDescent="0.25">
      <c r="A886" t="s">
        <v>1220</v>
      </c>
      <c r="B886" s="1">
        <v>45310</v>
      </c>
      <c r="C886" t="s">
        <v>47</v>
      </c>
      <c r="D886" t="s">
        <v>306</v>
      </c>
      <c r="E886">
        <v>347.38</v>
      </c>
      <c r="F886" t="s">
        <v>324</v>
      </c>
      <c r="G886" t="s">
        <v>327</v>
      </c>
      <c r="H886" t="s">
        <v>332</v>
      </c>
      <c r="I886" t="s">
        <v>8</v>
      </c>
      <c r="J886" t="s">
        <v>21</v>
      </c>
      <c r="K886" t="s">
        <v>22</v>
      </c>
      <c r="L886" t="s">
        <v>307</v>
      </c>
      <c r="M886" t="s">
        <v>308</v>
      </c>
      <c r="N886">
        <v>0</v>
      </c>
      <c r="O886" t="str">
        <f>IF(Transactions_RAW_cleaned[[#This Row],[Status]]="Completed", IFERROR(_xlfn.XLOOKUP(Transactions_RAW_cleaned[[#This Row],[CustomerID]], Customers_cleaned[CustomerID], Customers_cleaned[Segment]), "Customer Not Found"), "N/A")</f>
        <v>SMB</v>
      </c>
      <c r="P886" s="5" t="str">
        <f>IF(Transactions_RAW_cleaned[[#This Row],[Status]]="Refunded", "Refund",
  IF(Transactions_RAW_cleaned[[#This Row],[Category]]="Payments", IF(Transactions_RAW_cleaned[[#This Row],[Amount]]&gt;500,"High Value","Standard"),
    IF(Transactions_RAW_cleaned[[#This Row],[Amount]]&gt;250,"High Value","Standard")))</f>
        <v>High Value</v>
      </c>
      <c r="Q886" s="5" t="str">
        <f>IF(Transactions_RAW_cleaned[[#This Row],[Amount]] &gt; (_xlfn.XLOOKUP(Transactions_RAW_cleaned[[#This Row],[ServiceID]],Services_cleaned[ServiceID],Services_cleaned[TransactionFeePct]) * 10000), "Yes", "No")</f>
        <v>Yes</v>
      </c>
      <c r="R886" s="5" t="str">
        <f>IF(COUNTIFS($C$2:Transactions_RAW_cleaned[[#This Row],[CustomerID]],Transactions_RAW_cleaned[[#This Row],[CustomerID]],$D$2:Transactions_RAW_cleaned[[#This Row],[ServiceID]],Transactions_RAW_cleaned[[#This Row],[ServiceID]])=1,"Yes","No")</f>
        <v>Yes</v>
      </c>
      <c r="S88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86" t="str">
        <f>"Q"&amp;ROUNDUP(MONTH(Transactions_RAW_cleaned[[#This Row],[TransactionDate]])/3,0)</f>
        <v>Q1</v>
      </c>
      <c r="U886" t="str">
        <f>Transactions_RAW_cleaned[[#This Row],[Region ]]&amp;Transactions_RAW_cleaned[[#This Row],[Quarter ]]</f>
        <v>APACQ1</v>
      </c>
      <c r="V886" s="5">
        <f>_xlfn.XLOOKUP(Transactions_RAW_cleaned[[#This Row],[RegionQuarterKey]], Quarterly_Targets_cleaned[RegionQuarterKey], Quarterly_Targets_cleaned[TargetRevenue])</f>
        <v>104500</v>
      </c>
    </row>
    <row r="887" spans="1:22" x14ac:dyDescent="0.25">
      <c r="A887" t="s">
        <v>1221</v>
      </c>
      <c r="B887" s="1">
        <v>45368</v>
      </c>
      <c r="C887" t="s">
        <v>213</v>
      </c>
      <c r="D887" t="s">
        <v>315</v>
      </c>
      <c r="E887">
        <v>981.09</v>
      </c>
      <c r="F887" t="s">
        <v>324</v>
      </c>
      <c r="G887" t="s">
        <v>325</v>
      </c>
      <c r="H887" t="s">
        <v>346</v>
      </c>
      <c r="I887" t="s">
        <v>17</v>
      </c>
      <c r="J887" t="s">
        <v>25</v>
      </c>
      <c r="K887" t="s">
        <v>14</v>
      </c>
      <c r="L887" t="s">
        <v>316</v>
      </c>
      <c r="M887" t="s">
        <v>305</v>
      </c>
      <c r="N887">
        <v>2.5000000000000001E-3</v>
      </c>
      <c r="O887" t="str">
        <f>IF(Transactions_RAW_cleaned[[#This Row],[Status]]="Completed", IFERROR(_xlfn.XLOOKUP(Transactions_RAW_cleaned[[#This Row],[CustomerID]], Customers_cleaned[CustomerID], Customers_cleaned[Segment]), "Customer Not Found"), "N/A")</f>
        <v>Enterprise</v>
      </c>
      <c r="P887" s="5" t="str">
        <f>IF(Transactions_RAW_cleaned[[#This Row],[Status]]="Refunded", "Refund",
  IF(Transactions_RAW_cleaned[[#This Row],[Category]]="Payments", IF(Transactions_RAW_cleaned[[#This Row],[Amount]]&gt;500,"High Value","Standard"),
    IF(Transactions_RAW_cleaned[[#This Row],[Amount]]&gt;250,"High Value","Standard")))</f>
        <v>High Value</v>
      </c>
      <c r="Q887" s="5" t="str">
        <f>IF(Transactions_RAW_cleaned[[#This Row],[Amount]] &gt; (_xlfn.XLOOKUP(Transactions_RAW_cleaned[[#This Row],[ServiceID]],Services_cleaned[ServiceID],Services_cleaned[TransactionFeePct]) * 10000), "Yes", "No")</f>
        <v>Yes</v>
      </c>
      <c r="R887" s="5" t="str">
        <f>IF(COUNTIFS($C$2:Transactions_RAW_cleaned[[#This Row],[CustomerID]],Transactions_RAW_cleaned[[#This Row],[CustomerID]],$D$2:Transactions_RAW_cleaned[[#This Row],[ServiceID]],Transactions_RAW_cleaned[[#This Row],[ServiceID]])=1,"Yes","No")</f>
        <v>Yes</v>
      </c>
      <c r="S88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87" t="str">
        <f>"Q"&amp;ROUNDUP(MONTH(Transactions_RAW_cleaned[[#This Row],[TransactionDate]])/3,0)</f>
        <v>Q1</v>
      </c>
      <c r="U887" t="str">
        <f>Transactions_RAW_cleaned[[#This Row],[Region ]]&amp;Transactions_RAW_cleaned[[#This Row],[Quarter ]]</f>
        <v>APACQ1</v>
      </c>
      <c r="V887" s="5">
        <f>_xlfn.XLOOKUP(Transactions_RAW_cleaned[[#This Row],[RegionQuarterKey]], Quarterly_Targets_cleaned[RegionQuarterKey], Quarterly_Targets_cleaned[TargetRevenue])</f>
        <v>104500</v>
      </c>
    </row>
    <row r="888" spans="1:22" x14ac:dyDescent="0.25">
      <c r="A888" t="s">
        <v>1222</v>
      </c>
      <c r="B888" s="1">
        <v>45585</v>
      </c>
      <c r="C888" t="s">
        <v>233</v>
      </c>
      <c r="D888" t="s">
        <v>309</v>
      </c>
      <c r="E888">
        <v>565.94000000000005</v>
      </c>
      <c r="F888" t="s">
        <v>381</v>
      </c>
      <c r="G888" t="s">
        <v>329</v>
      </c>
      <c r="H888" t="s">
        <v>332</v>
      </c>
      <c r="I888" t="s">
        <v>8</v>
      </c>
      <c r="J888" t="s">
        <v>13</v>
      </c>
      <c r="K888" t="s">
        <v>14</v>
      </c>
      <c r="L888" t="s">
        <v>310</v>
      </c>
      <c r="M888" t="s">
        <v>311</v>
      </c>
      <c r="N888">
        <v>0</v>
      </c>
      <c r="O888" t="str">
        <f>IF(Transactions_RAW_cleaned[[#This Row],[Status]]="Completed", IFERROR(_xlfn.XLOOKUP(Transactions_RAW_cleaned[[#This Row],[CustomerID]], Customers_cleaned[CustomerID], Customers_cleaned[Segment]), "Customer Not Found"), "N/A")</f>
        <v>N/A</v>
      </c>
      <c r="P888" s="5" t="str">
        <f>IF(Transactions_RAW_cleaned[[#This Row],[Status]]="Refunded", "Refund",
  IF(Transactions_RAW_cleaned[[#This Row],[Category]]="Payments", IF(Transactions_RAW_cleaned[[#This Row],[Amount]]&gt;500,"High Value","Standard"),
    IF(Transactions_RAW_cleaned[[#This Row],[Amount]]&gt;250,"High Value","Standard")))</f>
        <v>High Value</v>
      </c>
      <c r="Q888" s="5" t="str">
        <f>IF(Transactions_RAW_cleaned[[#This Row],[Amount]] &gt; (_xlfn.XLOOKUP(Transactions_RAW_cleaned[[#This Row],[ServiceID]],Services_cleaned[ServiceID],Services_cleaned[TransactionFeePct]) * 10000), "Yes", "No")</f>
        <v>Yes</v>
      </c>
      <c r="R888" s="5" t="str">
        <f>IF(COUNTIFS($C$2:Transactions_RAW_cleaned[[#This Row],[CustomerID]],Transactions_RAW_cleaned[[#This Row],[CustomerID]],$D$2:Transactions_RAW_cleaned[[#This Row],[ServiceID]],Transactions_RAW_cleaned[[#This Row],[ServiceID]])=1,"Yes","No")</f>
        <v>Yes</v>
      </c>
      <c r="S88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88" t="str">
        <f>"Q"&amp;ROUNDUP(MONTH(Transactions_RAW_cleaned[[#This Row],[TransactionDate]])/3,0)</f>
        <v>Q4</v>
      </c>
      <c r="U888" t="str">
        <f>Transactions_RAW_cleaned[[#This Row],[Region ]]&amp;Transactions_RAW_cleaned[[#This Row],[Quarter ]]</f>
        <v>NAQ4</v>
      </c>
      <c r="V888" s="5">
        <f>_xlfn.XLOOKUP(Transactions_RAW_cleaned[[#This Row],[RegionQuarterKey]], Quarterly_Targets_cleaned[RegionQuarterKey], Quarterly_Targets_cleaned[TargetRevenue])</f>
        <v>299000</v>
      </c>
    </row>
    <row r="889" spans="1:22" x14ac:dyDescent="0.25">
      <c r="A889" t="s">
        <v>1223</v>
      </c>
      <c r="B889" s="1">
        <v>45507</v>
      </c>
      <c r="C889" t="s">
        <v>86</v>
      </c>
      <c r="D889" t="s">
        <v>300</v>
      </c>
      <c r="E889">
        <v>105.87</v>
      </c>
      <c r="F889" t="s">
        <v>324</v>
      </c>
      <c r="G889" t="s">
        <v>325</v>
      </c>
      <c r="I889" t="s">
        <v>8</v>
      </c>
      <c r="J889" t="s">
        <v>102</v>
      </c>
      <c r="K889" t="s">
        <v>18</v>
      </c>
      <c r="L889" t="s">
        <v>301</v>
      </c>
      <c r="M889" t="s">
        <v>302</v>
      </c>
      <c r="N889">
        <v>5.0000000000000001E-3</v>
      </c>
      <c r="O889" t="str">
        <f>IF(Transactions_RAW_cleaned[[#This Row],[Status]]="Completed", IFERROR(_xlfn.XLOOKUP(Transactions_RAW_cleaned[[#This Row],[CustomerID]], Customers_cleaned[CustomerID], Customers_cleaned[Segment]), "Customer Not Found"), "N/A")</f>
        <v>SMB</v>
      </c>
      <c r="P889" s="5" t="str">
        <f>IF(Transactions_RAW_cleaned[[#This Row],[Status]]="Refunded", "Refund",
  IF(Transactions_RAW_cleaned[[#This Row],[Category]]="Payments", IF(Transactions_RAW_cleaned[[#This Row],[Amount]]&gt;500,"High Value","Standard"),
    IF(Transactions_RAW_cleaned[[#This Row],[Amount]]&gt;250,"High Value","Standard")))</f>
        <v>Standard</v>
      </c>
      <c r="Q889" s="5" t="str">
        <f>IF(Transactions_RAW_cleaned[[#This Row],[Amount]] &gt; (_xlfn.XLOOKUP(Transactions_RAW_cleaned[[#This Row],[ServiceID]],Services_cleaned[ServiceID],Services_cleaned[TransactionFeePct]) * 10000), "Yes", "No")</f>
        <v>Yes</v>
      </c>
      <c r="R889" s="5" t="str">
        <f>IF(COUNTIFS($C$2:Transactions_RAW_cleaned[[#This Row],[CustomerID]],Transactions_RAW_cleaned[[#This Row],[CustomerID]],$D$2:Transactions_RAW_cleaned[[#This Row],[ServiceID]],Transactions_RAW_cleaned[[#This Row],[ServiceID]])=1,"Yes","No")</f>
        <v>No</v>
      </c>
      <c r="S88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89" t="str">
        <f>"Q"&amp;ROUNDUP(MONTH(Transactions_RAW_cleaned[[#This Row],[TransactionDate]])/3,0)</f>
        <v>Q3</v>
      </c>
      <c r="U889" t="str">
        <f>Transactions_RAW_cleaned[[#This Row],[Region ]]&amp;Transactions_RAW_cleaned[[#This Row],[Quarter ]]</f>
        <v>NAQ3</v>
      </c>
      <c r="V889" s="5">
        <f>_xlfn.XLOOKUP(Transactions_RAW_cleaned[[#This Row],[RegionQuarterKey]], Quarterly_Targets_cleaned[RegionQuarterKey], Quarterly_Targets_cleaned[TargetRevenue])</f>
        <v>273000</v>
      </c>
    </row>
    <row r="890" spans="1:22" x14ac:dyDescent="0.25">
      <c r="A890" t="s">
        <v>1224</v>
      </c>
      <c r="B890" s="1">
        <v>45566</v>
      </c>
      <c r="C890" t="s">
        <v>51</v>
      </c>
      <c r="D890" t="s">
        <v>303</v>
      </c>
      <c r="E890">
        <v>664.23</v>
      </c>
      <c r="F890" t="s">
        <v>324</v>
      </c>
      <c r="G890" t="s">
        <v>327</v>
      </c>
      <c r="I890" t="s">
        <v>8</v>
      </c>
      <c r="J890" t="s">
        <v>31</v>
      </c>
      <c r="K890" t="s">
        <v>14</v>
      </c>
      <c r="L890" t="s">
        <v>304</v>
      </c>
      <c r="M890" t="s">
        <v>305</v>
      </c>
      <c r="N890">
        <v>1E-3</v>
      </c>
      <c r="O890" t="str">
        <f>IF(Transactions_RAW_cleaned[[#This Row],[Status]]="Completed", IFERROR(_xlfn.XLOOKUP(Transactions_RAW_cleaned[[#This Row],[CustomerID]], Customers_cleaned[CustomerID], Customers_cleaned[Segment]), "Customer Not Found"), "N/A")</f>
        <v>SMB</v>
      </c>
      <c r="P890" s="5" t="str">
        <f>IF(Transactions_RAW_cleaned[[#This Row],[Status]]="Refunded", "Refund",
  IF(Transactions_RAW_cleaned[[#This Row],[Category]]="Payments", IF(Transactions_RAW_cleaned[[#This Row],[Amount]]&gt;500,"High Value","Standard"),
    IF(Transactions_RAW_cleaned[[#This Row],[Amount]]&gt;250,"High Value","Standard")))</f>
        <v>High Value</v>
      </c>
      <c r="Q890" s="5" t="str">
        <f>IF(Transactions_RAW_cleaned[[#This Row],[Amount]] &gt; (_xlfn.XLOOKUP(Transactions_RAW_cleaned[[#This Row],[ServiceID]],Services_cleaned[ServiceID],Services_cleaned[TransactionFeePct]) * 10000), "Yes", "No")</f>
        <v>Yes</v>
      </c>
      <c r="R890" s="5" t="str">
        <f>IF(COUNTIFS($C$2:Transactions_RAW_cleaned[[#This Row],[CustomerID]],Transactions_RAW_cleaned[[#This Row],[CustomerID]],$D$2:Transactions_RAW_cleaned[[#This Row],[ServiceID]],Transactions_RAW_cleaned[[#This Row],[ServiceID]])=1,"Yes","No")</f>
        <v>Yes</v>
      </c>
      <c r="S89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90" t="str">
        <f>"Q"&amp;ROUNDUP(MONTH(Transactions_RAW_cleaned[[#This Row],[TransactionDate]])/3,0)</f>
        <v>Q4</v>
      </c>
      <c r="U890" t="str">
        <f>Transactions_RAW_cleaned[[#This Row],[Region ]]&amp;Transactions_RAW_cleaned[[#This Row],[Quarter ]]</f>
        <v>EMEAQ4</v>
      </c>
      <c r="V890" s="5">
        <f>_xlfn.XLOOKUP(Transactions_RAW_cleaned[[#This Row],[RegionQuarterKey]], Quarterly_Targets_cleaned[RegionQuarterKey], Quarterly_Targets_cleaned[TargetRevenue])</f>
        <v>161000</v>
      </c>
    </row>
    <row r="891" spans="1:22" x14ac:dyDescent="0.25">
      <c r="A891" t="s">
        <v>1225</v>
      </c>
      <c r="B891" s="1">
        <v>45565</v>
      </c>
      <c r="C891" t="s">
        <v>191</v>
      </c>
      <c r="D891" t="s">
        <v>294</v>
      </c>
      <c r="E891">
        <v>1113.45</v>
      </c>
      <c r="F891" t="s">
        <v>324</v>
      </c>
      <c r="G891" t="s">
        <v>329</v>
      </c>
      <c r="I891" t="s">
        <v>57</v>
      </c>
      <c r="J891" t="s">
        <v>31</v>
      </c>
      <c r="K891" t="s">
        <v>32</v>
      </c>
      <c r="L891" t="s">
        <v>295</v>
      </c>
      <c r="M891" t="s">
        <v>296</v>
      </c>
      <c r="N891">
        <v>2.9000000000000001E-2</v>
      </c>
      <c r="O891" t="str">
        <f>IF(Transactions_RAW_cleaned[[#This Row],[Status]]="Completed", IFERROR(_xlfn.XLOOKUP(Transactions_RAW_cleaned[[#This Row],[CustomerID]], Customers_cleaned[CustomerID], Customers_cleaned[Segment]), "Customer Not Found"), "N/A")</f>
        <v>Startup</v>
      </c>
      <c r="P891" s="5" t="str">
        <f>IF(Transactions_RAW_cleaned[[#This Row],[Status]]="Refunded", "Refund",
  IF(Transactions_RAW_cleaned[[#This Row],[Category]]="Payments", IF(Transactions_RAW_cleaned[[#This Row],[Amount]]&gt;500,"High Value","Standard"),
    IF(Transactions_RAW_cleaned[[#This Row],[Amount]]&gt;250,"High Value","Standard")))</f>
        <v>High Value</v>
      </c>
      <c r="Q891" s="5" t="str">
        <f>IF(Transactions_RAW_cleaned[[#This Row],[Amount]] &gt; (_xlfn.XLOOKUP(Transactions_RAW_cleaned[[#This Row],[ServiceID]],Services_cleaned[ServiceID],Services_cleaned[TransactionFeePct]) * 10000), "Yes", "No")</f>
        <v>Yes</v>
      </c>
      <c r="R891" s="5" t="str">
        <f>IF(COUNTIFS($C$2:Transactions_RAW_cleaned[[#This Row],[CustomerID]],Transactions_RAW_cleaned[[#This Row],[CustomerID]],$D$2:Transactions_RAW_cleaned[[#This Row],[ServiceID]],Transactions_RAW_cleaned[[#This Row],[ServiceID]])=1,"Yes","No")</f>
        <v>No</v>
      </c>
      <c r="S89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91" t="str">
        <f>"Q"&amp;ROUNDUP(MONTH(Transactions_RAW_cleaned[[#This Row],[TransactionDate]])/3,0)</f>
        <v>Q3</v>
      </c>
      <c r="U891" t="str">
        <f>Transactions_RAW_cleaned[[#This Row],[Region ]]&amp;Transactions_RAW_cleaned[[#This Row],[Quarter ]]</f>
        <v>EMEAQ3</v>
      </c>
      <c r="V891" s="5">
        <f>_xlfn.XLOOKUP(Transactions_RAW_cleaned[[#This Row],[RegionQuarterKey]], Quarterly_Targets_cleaned[RegionQuarterKey], Quarterly_Targets_cleaned[TargetRevenue])</f>
        <v>147000</v>
      </c>
    </row>
    <row r="892" spans="1:22" x14ac:dyDescent="0.25">
      <c r="A892" t="s">
        <v>2968</v>
      </c>
      <c r="B892" s="1">
        <v>45634</v>
      </c>
      <c r="D892" t="s">
        <v>315</v>
      </c>
      <c r="E892">
        <v>498.47</v>
      </c>
      <c r="F892" t="s">
        <v>324</v>
      </c>
      <c r="G892" t="s">
        <v>325</v>
      </c>
      <c r="L892" t="s">
        <v>316</v>
      </c>
      <c r="M892" t="s">
        <v>305</v>
      </c>
      <c r="N892">
        <v>2.5000000000000001E-3</v>
      </c>
      <c r="O892" t="str">
        <f>IF(Transactions_RAW_cleaned[[#This Row],[Status]]="Completed", IFERROR(_xlfn.XLOOKUP(Transactions_RAW_cleaned[[#This Row],[CustomerID]], Customers_cleaned[CustomerID], Customers_cleaned[Segment]), "Customer Not Found"), "N/A")</f>
        <v>Customer Not Found</v>
      </c>
      <c r="P892" s="5" t="str">
        <f>IF(Transactions_RAW_cleaned[[#This Row],[Status]]="Refunded", "Refund",
  IF(Transactions_RAW_cleaned[[#This Row],[Category]]="Payments", IF(Transactions_RAW_cleaned[[#This Row],[Amount]]&gt;500,"High Value","Standard"),
    IF(Transactions_RAW_cleaned[[#This Row],[Amount]]&gt;250,"High Value","Standard")))</f>
        <v>High Value</v>
      </c>
      <c r="Q892" s="5" t="str">
        <f>IF(Transactions_RAW_cleaned[[#This Row],[Amount]] &gt; (_xlfn.XLOOKUP(Transactions_RAW_cleaned[[#This Row],[ServiceID]],Services_cleaned[ServiceID],Services_cleaned[TransactionFeePct]) * 10000), "Yes", "No")</f>
        <v>Yes</v>
      </c>
      <c r="R892" s="5" t="str">
        <f>IF(COUNTIFS($C$2:Transactions_RAW_cleaned[[#This Row],[CustomerID]],Transactions_RAW_cleaned[[#This Row],[CustomerID]],$D$2:Transactions_RAW_cleaned[[#This Row],[ServiceID]],Transactions_RAW_cleaned[[#This Row],[ServiceID]])=1,"Yes","No")</f>
        <v>No</v>
      </c>
      <c r="S89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92" t="str">
        <f>"Q"&amp;ROUNDUP(MONTH(Transactions_RAW_cleaned[[#This Row],[TransactionDate]])/3,0)</f>
        <v>Q4</v>
      </c>
      <c r="U892" t="str">
        <f>Transactions_RAW_cleaned[[#This Row],[Region ]]&amp;Transactions_RAW_cleaned[[#This Row],[Quarter ]]</f>
        <v>APACQ4</v>
      </c>
      <c r="V892" s="5">
        <f>_xlfn.XLOOKUP(Transactions_RAW_cleaned[[#This Row],[RegionQuarterKey]], Quarterly_Targets_cleaned[RegionQuarterKey], Quarterly_Targets_cleaned[TargetRevenue])</f>
        <v>126500</v>
      </c>
    </row>
    <row r="893" spans="1:22" x14ac:dyDescent="0.25">
      <c r="A893" t="s">
        <v>1226</v>
      </c>
      <c r="B893" s="1">
        <v>45469</v>
      </c>
      <c r="C893" t="s">
        <v>40</v>
      </c>
      <c r="D893" t="s">
        <v>294</v>
      </c>
      <c r="E893">
        <v>-526.42999999999995</v>
      </c>
      <c r="F893" t="s">
        <v>349</v>
      </c>
      <c r="G893" t="s">
        <v>337</v>
      </c>
      <c r="H893" t="s">
        <v>334</v>
      </c>
      <c r="I893" t="s">
        <v>17</v>
      </c>
      <c r="J893" t="s">
        <v>102</v>
      </c>
      <c r="K893" t="s">
        <v>14</v>
      </c>
      <c r="L893" t="s">
        <v>295</v>
      </c>
      <c r="M893" t="s">
        <v>296</v>
      </c>
      <c r="N893">
        <v>2.9000000000000001E-2</v>
      </c>
      <c r="O893" t="str">
        <f>IF(Transactions_RAW_cleaned[[#This Row],[Status]]="Completed", IFERROR(_xlfn.XLOOKUP(Transactions_RAW_cleaned[[#This Row],[CustomerID]], Customers_cleaned[CustomerID], Customers_cleaned[Segment]), "Customer Not Found"), "N/A")</f>
        <v>N/A</v>
      </c>
      <c r="P893" s="5" t="str">
        <f>IF(Transactions_RAW_cleaned[[#This Row],[Status]]="Refunded", "Refund",
  IF(Transactions_RAW_cleaned[[#This Row],[Category]]="Payments", IF(Transactions_RAW_cleaned[[#This Row],[Amount]]&gt;500,"High Value","Standard"),
    IF(Transactions_RAW_cleaned[[#This Row],[Amount]]&gt;250,"High Value","Standard")))</f>
        <v>Refund</v>
      </c>
      <c r="Q893" s="5" t="str">
        <f>IF(Transactions_RAW_cleaned[[#This Row],[Amount]] &gt; (_xlfn.XLOOKUP(Transactions_RAW_cleaned[[#This Row],[ServiceID]],Services_cleaned[ServiceID],Services_cleaned[TransactionFeePct]) * 10000), "Yes", "No")</f>
        <v>No</v>
      </c>
      <c r="R893" s="5" t="str">
        <f>IF(COUNTIFS($C$2:Transactions_RAW_cleaned[[#This Row],[CustomerID]],Transactions_RAW_cleaned[[#This Row],[CustomerID]],$D$2:Transactions_RAW_cleaned[[#This Row],[ServiceID]],Transactions_RAW_cleaned[[#This Row],[ServiceID]])=1,"Yes","No")</f>
        <v>No</v>
      </c>
      <c r="S89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93" t="str">
        <f>"Q"&amp;ROUNDUP(MONTH(Transactions_RAW_cleaned[[#This Row],[TransactionDate]])/3,0)</f>
        <v>Q2</v>
      </c>
      <c r="U893" t="str">
        <f>Transactions_RAW_cleaned[[#This Row],[Region ]]&amp;Transactions_RAW_cleaned[[#This Row],[Quarter ]]</f>
        <v>NAQ2</v>
      </c>
      <c r="V893" s="5">
        <f>_xlfn.XLOOKUP(Transactions_RAW_cleaned[[#This Row],[RegionQuarterKey]], Quarterly_Targets_cleaned[RegionQuarterKey], Quarterly_Targets_cleaned[TargetRevenue])</f>
        <v>260000</v>
      </c>
    </row>
    <row r="894" spans="1:22" x14ac:dyDescent="0.25">
      <c r="A894" t="s">
        <v>1227</v>
      </c>
      <c r="B894" s="1">
        <v>45573</v>
      </c>
      <c r="C894" t="s">
        <v>161</v>
      </c>
      <c r="D894" t="s">
        <v>297</v>
      </c>
      <c r="E894">
        <v>250.86</v>
      </c>
      <c r="F894" t="s">
        <v>324</v>
      </c>
      <c r="G894" t="s">
        <v>325</v>
      </c>
      <c r="H894" t="s">
        <v>334</v>
      </c>
      <c r="I894" t="s">
        <v>8</v>
      </c>
      <c r="J894" t="s">
        <v>21</v>
      </c>
      <c r="K894" t="s">
        <v>22</v>
      </c>
      <c r="L894" t="s">
        <v>298</v>
      </c>
      <c r="M894" t="s">
        <v>299</v>
      </c>
      <c r="N894">
        <v>0</v>
      </c>
      <c r="O894" t="str">
        <f>IF(Transactions_RAW_cleaned[[#This Row],[Status]]="Completed", IFERROR(_xlfn.XLOOKUP(Transactions_RAW_cleaned[[#This Row],[CustomerID]], Customers_cleaned[CustomerID], Customers_cleaned[Segment]), "Customer Not Found"), "N/A")</f>
        <v>SMB</v>
      </c>
      <c r="P894" s="5" t="str">
        <f>IF(Transactions_RAW_cleaned[[#This Row],[Status]]="Refunded", "Refund",
  IF(Transactions_RAW_cleaned[[#This Row],[Category]]="Payments", IF(Transactions_RAW_cleaned[[#This Row],[Amount]]&gt;500,"High Value","Standard"),
    IF(Transactions_RAW_cleaned[[#This Row],[Amount]]&gt;250,"High Value","Standard")))</f>
        <v>High Value</v>
      </c>
      <c r="Q894" s="5" t="str">
        <f>IF(Transactions_RAW_cleaned[[#This Row],[Amount]] &gt; (_xlfn.XLOOKUP(Transactions_RAW_cleaned[[#This Row],[ServiceID]],Services_cleaned[ServiceID],Services_cleaned[TransactionFeePct]) * 10000), "Yes", "No")</f>
        <v>Yes</v>
      </c>
      <c r="R894" s="5" t="str">
        <f>IF(COUNTIFS($C$2:Transactions_RAW_cleaned[[#This Row],[CustomerID]],Transactions_RAW_cleaned[[#This Row],[CustomerID]],$D$2:Transactions_RAW_cleaned[[#This Row],[ServiceID]],Transactions_RAW_cleaned[[#This Row],[ServiceID]])=1,"Yes","No")</f>
        <v>Yes</v>
      </c>
      <c r="S89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94" t="str">
        <f>"Q"&amp;ROUNDUP(MONTH(Transactions_RAW_cleaned[[#This Row],[TransactionDate]])/3,0)</f>
        <v>Q4</v>
      </c>
      <c r="U894" t="str">
        <f>Transactions_RAW_cleaned[[#This Row],[Region ]]&amp;Transactions_RAW_cleaned[[#This Row],[Quarter ]]</f>
        <v>APACQ4</v>
      </c>
      <c r="V894" s="5">
        <f>_xlfn.XLOOKUP(Transactions_RAW_cleaned[[#This Row],[RegionQuarterKey]], Quarterly_Targets_cleaned[RegionQuarterKey], Quarterly_Targets_cleaned[TargetRevenue])</f>
        <v>126500</v>
      </c>
    </row>
    <row r="895" spans="1:22" x14ac:dyDescent="0.25">
      <c r="A895" t="s">
        <v>1228</v>
      </c>
      <c r="B895" s="1">
        <v>45634</v>
      </c>
      <c r="C895" t="s">
        <v>96</v>
      </c>
      <c r="D895" t="s">
        <v>309</v>
      </c>
      <c r="E895">
        <v>377.25</v>
      </c>
      <c r="F895" t="s">
        <v>324</v>
      </c>
      <c r="G895" t="s">
        <v>325</v>
      </c>
      <c r="I895" t="s">
        <v>17</v>
      </c>
      <c r="J895" t="s">
        <v>31</v>
      </c>
      <c r="K895" t="s">
        <v>14</v>
      </c>
      <c r="L895" t="s">
        <v>310</v>
      </c>
      <c r="M895" t="s">
        <v>311</v>
      </c>
      <c r="N895">
        <v>0</v>
      </c>
      <c r="O895" t="str">
        <f>IF(Transactions_RAW_cleaned[[#This Row],[Status]]="Completed", IFERROR(_xlfn.XLOOKUP(Transactions_RAW_cleaned[[#This Row],[CustomerID]], Customers_cleaned[CustomerID], Customers_cleaned[Segment]), "Customer Not Found"), "N/A")</f>
        <v>Enterprise</v>
      </c>
      <c r="P895" s="5" t="str">
        <f>IF(Transactions_RAW_cleaned[[#This Row],[Status]]="Refunded", "Refund",
  IF(Transactions_RAW_cleaned[[#This Row],[Category]]="Payments", IF(Transactions_RAW_cleaned[[#This Row],[Amount]]&gt;500,"High Value","Standard"),
    IF(Transactions_RAW_cleaned[[#This Row],[Amount]]&gt;250,"High Value","Standard")))</f>
        <v>High Value</v>
      </c>
      <c r="Q895" s="5" t="str">
        <f>IF(Transactions_RAW_cleaned[[#This Row],[Amount]] &gt; (_xlfn.XLOOKUP(Transactions_RAW_cleaned[[#This Row],[ServiceID]],Services_cleaned[ServiceID],Services_cleaned[TransactionFeePct]) * 10000), "Yes", "No")</f>
        <v>Yes</v>
      </c>
      <c r="R895" s="5" t="str">
        <f>IF(COUNTIFS($C$2:Transactions_RAW_cleaned[[#This Row],[CustomerID]],Transactions_RAW_cleaned[[#This Row],[CustomerID]],$D$2:Transactions_RAW_cleaned[[#This Row],[ServiceID]],Transactions_RAW_cleaned[[#This Row],[ServiceID]])=1,"Yes","No")</f>
        <v>No</v>
      </c>
      <c r="S89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895" t="str">
        <f>"Q"&amp;ROUNDUP(MONTH(Transactions_RAW_cleaned[[#This Row],[TransactionDate]])/3,0)</f>
        <v>Q4</v>
      </c>
      <c r="U895" t="str">
        <f>Transactions_RAW_cleaned[[#This Row],[Region ]]&amp;Transactions_RAW_cleaned[[#This Row],[Quarter ]]</f>
        <v>EMEAQ4</v>
      </c>
      <c r="V895" s="5">
        <f>_xlfn.XLOOKUP(Transactions_RAW_cleaned[[#This Row],[RegionQuarterKey]], Quarterly_Targets_cleaned[RegionQuarterKey], Quarterly_Targets_cleaned[TargetRevenue])</f>
        <v>161000</v>
      </c>
    </row>
    <row r="896" spans="1:22" x14ac:dyDescent="0.25">
      <c r="A896" t="s">
        <v>1229</v>
      </c>
      <c r="B896" s="1">
        <v>45484</v>
      </c>
      <c r="C896" t="s">
        <v>6</v>
      </c>
      <c r="D896" t="s">
        <v>309</v>
      </c>
      <c r="E896">
        <v>743.02</v>
      </c>
      <c r="F896" t="s">
        <v>381</v>
      </c>
      <c r="G896" t="s">
        <v>325</v>
      </c>
      <c r="H896" t="s">
        <v>332</v>
      </c>
      <c r="I896" t="s">
        <v>8</v>
      </c>
      <c r="J896" t="s">
        <v>102</v>
      </c>
      <c r="K896" t="s">
        <v>10</v>
      </c>
      <c r="L896" t="s">
        <v>310</v>
      </c>
      <c r="M896" t="s">
        <v>311</v>
      </c>
      <c r="N896">
        <v>0</v>
      </c>
      <c r="O896" t="str">
        <f>IF(Transactions_RAW_cleaned[[#This Row],[Status]]="Completed", IFERROR(_xlfn.XLOOKUP(Transactions_RAW_cleaned[[#This Row],[CustomerID]], Customers_cleaned[CustomerID], Customers_cleaned[Segment]), "Customer Not Found"), "N/A")</f>
        <v>N/A</v>
      </c>
      <c r="P896" s="5" t="str">
        <f>IF(Transactions_RAW_cleaned[[#This Row],[Status]]="Refunded", "Refund",
  IF(Transactions_RAW_cleaned[[#This Row],[Category]]="Payments", IF(Transactions_RAW_cleaned[[#This Row],[Amount]]&gt;500,"High Value","Standard"),
    IF(Transactions_RAW_cleaned[[#This Row],[Amount]]&gt;250,"High Value","Standard")))</f>
        <v>High Value</v>
      </c>
      <c r="Q896" s="5" t="str">
        <f>IF(Transactions_RAW_cleaned[[#This Row],[Amount]] &gt; (_xlfn.XLOOKUP(Transactions_RAW_cleaned[[#This Row],[ServiceID]],Services_cleaned[ServiceID],Services_cleaned[TransactionFeePct]) * 10000), "Yes", "No")</f>
        <v>Yes</v>
      </c>
      <c r="R896" s="5" t="str">
        <f>IF(COUNTIFS($C$2:Transactions_RAW_cleaned[[#This Row],[CustomerID]],Transactions_RAW_cleaned[[#This Row],[CustomerID]],$D$2:Transactions_RAW_cleaned[[#This Row],[ServiceID]],Transactions_RAW_cleaned[[#This Row],[ServiceID]])=1,"Yes","No")</f>
        <v>Yes</v>
      </c>
      <c r="S89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96" t="str">
        <f>"Q"&amp;ROUNDUP(MONTH(Transactions_RAW_cleaned[[#This Row],[TransactionDate]])/3,0)</f>
        <v>Q3</v>
      </c>
      <c r="U896" t="str">
        <f>Transactions_RAW_cleaned[[#This Row],[Region ]]&amp;Transactions_RAW_cleaned[[#This Row],[Quarter ]]</f>
        <v>NAQ3</v>
      </c>
      <c r="V896" s="5">
        <f>_xlfn.XLOOKUP(Transactions_RAW_cleaned[[#This Row],[RegionQuarterKey]], Quarterly_Targets_cleaned[RegionQuarterKey], Quarterly_Targets_cleaned[TargetRevenue])</f>
        <v>273000</v>
      </c>
    </row>
    <row r="897" spans="1:22" x14ac:dyDescent="0.25">
      <c r="A897" t="s">
        <v>1230</v>
      </c>
      <c r="B897" s="1">
        <v>45609</v>
      </c>
      <c r="C897" t="s">
        <v>199</v>
      </c>
      <c r="D897" t="s">
        <v>294</v>
      </c>
      <c r="E897">
        <v>439.97</v>
      </c>
      <c r="F897" t="s">
        <v>324</v>
      </c>
      <c r="G897" t="s">
        <v>325</v>
      </c>
      <c r="I897" t="s">
        <v>8</v>
      </c>
      <c r="J897" t="s">
        <v>13</v>
      </c>
      <c r="K897" t="s">
        <v>32</v>
      </c>
      <c r="L897" t="s">
        <v>295</v>
      </c>
      <c r="M897" t="s">
        <v>296</v>
      </c>
      <c r="N897">
        <v>2.9000000000000001E-2</v>
      </c>
      <c r="O897" t="str">
        <f>IF(Transactions_RAW_cleaned[[#This Row],[Status]]="Completed", IFERROR(_xlfn.XLOOKUP(Transactions_RAW_cleaned[[#This Row],[CustomerID]], Customers_cleaned[CustomerID], Customers_cleaned[Segment]), "Customer Not Found"), "N/A")</f>
        <v>SMB</v>
      </c>
      <c r="P897" s="5" t="str">
        <f>IF(Transactions_RAW_cleaned[[#This Row],[Status]]="Refunded", "Refund",
  IF(Transactions_RAW_cleaned[[#This Row],[Category]]="Payments", IF(Transactions_RAW_cleaned[[#This Row],[Amount]]&gt;500,"High Value","Standard"),
    IF(Transactions_RAW_cleaned[[#This Row],[Amount]]&gt;250,"High Value","Standard")))</f>
        <v>Standard</v>
      </c>
      <c r="Q897" s="5" t="str">
        <f>IF(Transactions_RAW_cleaned[[#This Row],[Amount]] &gt; (_xlfn.XLOOKUP(Transactions_RAW_cleaned[[#This Row],[ServiceID]],Services_cleaned[ServiceID],Services_cleaned[TransactionFeePct]) * 10000), "Yes", "No")</f>
        <v>Yes</v>
      </c>
      <c r="R897" s="5" t="str">
        <f>IF(COUNTIFS($C$2:Transactions_RAW_cleaned[[#This Row],[CustomerID]],Transactions_RAW_cleaned[[#This Row],[CustomerID]],$D$2:Transactions_RAW_cleaned[[#This Row],[ServiceID]],Transactions_RAW_cleaned[[#This Row],[ServiceID]])=1,"Yes","No")</f>
        <v>No</v>
      </c>
      <c r="S89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97" t="str">
        <f>"Q"&amp;ROUNDUP(MONTH(Transactions_RAW_cleaned[[#This Row],[TransactionDate]])/3,0)</f>
        <v>Q4</v>
      </c>
      <c r="U897" t="str">
        <f>Transactions_RAW_cleaned[[#This Row],[Region ]]&amp;Transactions_RAW_cleaned[[#This Row],[Quarter ]]</f>
        <v>NAQ4</v>
      </c>
      <c r="V897" s="5">
        <f>_xlfn.XLOOKUP(Transactions_RAW_cleaned[[#This Row],[RegionQuarterKey]], Quarterly_Targets_cleaned[RegionQuarterKey], Quarterly_Targets_cleaned[TargetRevenue])</f>
        <v>299000</v>
      </c>
    </row>
    <row r="898" spans="1:22" x14ac:dyDescent="0.25">
      <c r="A898" t="s">
        <v>1231</v>
      </c>
      <c r="B898" s="1">
        <v>45364</v>
      </c>
      <c r="C898" t="s">
        <v>223</v>
      </c>
      <c r="D898" t="s">
        <v>294</v>
      </c>
      <c r="E898">
        <v>312.69</v>
      </c>
      <c r="F898" t="s">
        <v>324</v>
      </c>
      <c r="G898" t="s">
        <v>325</v>
      </c>
      <c r="H898" t="s">
        <v>346</v>
      </c>
      <c r="I898" t="s">
        <v>8</v>
      </c>
      <c r="J898" t="s">
        <v>102</v>
      </c>
      <c r="K898" t="s">
        <v>28</v>
      </c>
      <c r="L898" t="s">
        <v>295</v>
      </c>
      <c r="M898" t="s">
        <v>296</v>
      </c>
      <c r="N898">
        <v>2.9000000000000001E-2</v>
      </c>
      <c r="O898" t="str">
        <f>IF(Transactions_RAW_cleaned[[#This Row],[Status]]="Completed", IFERROR(_xlfn.XLOOKUP(Transactions_RAW_cleaned[[#This Row],[CustomerID]], Customers_cleaned[CustomerID], Customers_cleaned[Segment]), "Customer Not Found"), "N/A")</f>
        <v>SMB</v>
      </c>
      <c r="P898" s="5" t="str">
        <f>IF(Transactions_RAW_cleaned[[#This Row],[Status]]="Refunded", "Refund",
  IF(Transactions_RAW_cleaned[[#This Row],[Category]]="Payments", IF(Transactions_RAW_cleaned[[#This Row],[Amount]]&gt;500,"High Value","Standard"),
    IF(Transactions_RAW_cleaned[[#This Row],[Amount]]&gt;250,"High Value","Standard")))</f>
        <v>Standard</v>
      </c>
      <c r="Q898" s="5" t="str">
        <f>IF(Transactions_RAW_cleaned[[#This Row],[Amount]] &gt; (_xlfn.XLOOKUP(Transactions_RAW_cleaned[[#This Row],[ServiceID]],Services_cleaned[ServiceID],Services_cleaned[TransactionFeePct]) * 10000), "Yes", "No")</f>
        <v>Yes</v>
      </c>
      <c r="R898" s="5" t="str">
        <f>IF(COUNTIFS($C$2:Transactions_RAW_cleaned[[#This Row],[CustomerID]],Transactions_RAW_cleaned[[#This Row],[CustomerID]],$D$2:Transactions_RAW_cleaned[[#This Row],[ServiceID]],Transactions_RAW_cleaned[[#This Row],[ServiceID]])=1,"Yes","No")</f>
        <v>No</v>
      </c>
      <c r="S89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898" t="str">
        <f>"Q"&amp;ROUNDUP(MONTH(Transactions_RAW_cleaned[[#This Row],[TransactionDate]])/3,0)</f>
        <v>Q1</v>
      </c>
      <c r="U898" t="str">
        <f>Transactions_RAW_cleaned[[#This Row],[Region ]]&amp;Transactions_RAW_cleaned[[#This Row],[Quarter ]]</f>
        <v>NAQ1</v>
      </c>
      <c r="V898" s="5">
        <f>_xlfn.XLOOKUP(Transactions_RAW_cleaned[[#This Row],[RegionQuarterKey]], Quarterly_Targets_cleaned[RegionQuarterKey], Quarterly_Targets_cleaned[TargetRevenue])</f>
        <v>247000</v>
      </c>
    </row>
    <row r="899" spans="1:22" x14ac:dyDescent="0.25">
      <c r="A899" t="s">
        <v>1232</v>
      </c>
      <c r="B899" s="1">
        <v>45388</v>
      </c>
      <c r="C899" t="s">
        <v>173</v>
      </c>
      <c r="D899" t="s">
        <v>300</v>
      </c>
      <c r="E899">
        <v>550.49</v>
      </c>
      <c r="F899" t="s">
        <v>324</v>
      </c>
      <c r="G899" t="s">
        <v>327</v>
      </c>
      <c r="I899" t="s">
        <v>8</v>
      </c>
      <c r="J899" t="s">
        <v>46</v>
      </c>
      <c r="K899" t="s">
        <v>32</v>
      </c>
      <c r="L899" t="s">
        <v>301</v>
      </c>
      <c r="M899" t="s">
        <v>302</v>
      </c>
      <c r="N899">
        <v>5.0000000000000001E-3</v>
      </c>
      <c r="O899" t="str">
        <f>IF(Transactions_RAW_cleaned[[#This Row],[Status]]="Completed", IFERROR(_xlfn.XLOOKUP(Transactions_RAW_cleaned[[#This Row],[CustomerID]], Customers_cleaned[CustomerID], Customers_cleaned[Segment]), "Customer Not Found"), "N/A")</f>
        <v>SMB</v>
      </c>
      <c r="P899" s="5" t="str">
        <f>IF(Transactions_RAW_cleaned[[#This Row],[Status]]="Refunded", "Refund",
  IF(Transactions_RAW_cleaned[[#This Row],[Category]]="Payments", IF(Transactions_RAW_cleaned[[#This Row],[Amount]]&gt;500,"High Value","Standard"),
    IF(Transactions_RAW_cleaned[[#This Row],[Amount]]&gt;250,"High Value","Standard")))</f>
        <v>High Value</v>
      </c>
      <c r="Q899" s="5" t="str">
        <f>IF(Transactions_RAW_cleaned[[#This Row],[Amount]] &gt; (_xlfn.XLOOKUP(Transactions_RAW_cleaned[[#This Row],[ServiceID]],Services_cleaned[ServiceID],Services_cleaned[TransactionFeePct]) * 10000), "Yes", "No")</f>
        <v>Yes</v>
      </c>
      <c r="R899" s="5" t="str">
        <f>IF(COUNTIFS($C$2:Transactions_RAW_cleaned[[#This Row],[CustomerID]],Transactions_RAW_cleaned[[#This Row],[CustomerID]],$D$2:Transactions_RAW_cleaned[[#This Row],[ServiceID]],Transactions_RAW_cleaned[[#This Row],[ServiceID]])=1,"Yes","No")</f>
        <v>No</v>
      </c>
      <c r="S89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899" t="str">
        <f>"Q"&amp;ROUNDUP(MONTH(Transactions_RAW_cleaned[[#This Row],[TransactionDate]])/3,0)</f>
        <v>Q2</v>
      </c>
      <c r="U899" t="str">
        <f>Transactions_RAW_cleaned[[#This Row],[Region ]]&amp;Transactions_RAW_cleaned[[#This Row],[Quarter ]]</f>
        <v>APACQ2</v>
      </c>
      <c r="V899" s="5">
        <f>_xlfn.XLOOKUP(Transactions_RAW_cleaned[[#This Row],[RegionQuarterKey]], Quarterly_Targets_cleaned[RegionQuarterKey], Quarterly_Targets_cleaned[TargetRevenue])</f>
        <v>110000</v>
      </c>
    </row>
    <row r="900" spans="1:22" x14ac:dyDescent="0.25">
      <c r="A900" t="s">
        <v>1233</v>
      </c>
      <c r="B900" s="1">
        <v>45566</v>
      </c>
      <c r="C900" t="s">
        <v>11</v>
      </c>
      <c r="D900" t="s">
        <v>309</v>
      </c>
      <c r="E900">
        <v>237.11</v>
      </c>
      <c r="F900" t="s">
        <v>324</v>
      </c>
      <c r="G900" t="s">
        <v>327</v>
      </c>
      <c r="H900" t="s">
        <v>346</v>
      </c>
      <c r="I900" t="s">
        <v>8</v>
      </c>
      <c r="J900" t="s">
        <v>13</v>
      </c>
      <c r="K900" t="s">
        <v>14</v>
      </c>
      <c r="L900" t="s">
        <v>310</v>
      </c>
      <c r="M900" t="s">
        <v>311</v>
      </c>
      <c r="N900">
        <v>0</v>
      </c>
      <c r="O900" t="str">
        <f>IF(Transactions_RAW_cleaned[[#This Row],[Status]]="Completed", IFERROR(_xlfn.XLOOKUP(Transactions_RAW_cleaned[[#This Row],[CustomerID]], Customers_cleaned[CustomerID], Customers_cleaned[Segment]), "Customer Not Found"), "N/A")</f>
        <v>SMB</v>
      </c>
      <c r="P900" s="5" t="str">
        <f>IF(Transactions_RAW_cleaned[[#This Row],[Status]]="Refunded", "Refund",
  IF(Transactions_RAW_cleaned[[#This Row],[Category]]="Payments", IF(Transactions_RAW_cleaned[[#This Row],[Amount]]&gt;500,"High Value","Standard"),
    IF(Transactions_RAW_cleaned[[#This Row],[Amount]]&gt;250,"High Value","Standard")))</f>
        <v>Standard</v>
      </c>
      <c r="Q900" s="5" t="str">
        <f>IF(Transactions_RAW_cleaned[[#This Row],[Amount]] &gt; (_xlfn.XLOOKUP(Transactions_RAW_cleaned[[#This Row],[ServiceID]],Services_cleaned[ServiceID],Services_cleaned[TransactionFeePct]) * 10000), "Yes", "No")</f>
        <v>Yes</v>
      </c>
      <c r="R900" s="5" t="str">
        <f>IF(COUNTIFS($C$2:Transactions_RAW_cleaned[[#This Row],[CustomerID]],Transactions_RAW_cleaned[[#This Row],[CustomerID]],$D$2:Transactions_RAW_cleaned[[#This Row],[ServiceID]],Transactions_RAW_cleaned[[#This Row],[ServiceID]])=1,"Yes","No")</f>
        <v>Yes</v>
      </c>
      <c r="S90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00" t="str">
        <f>"Q"&amp;ROUNDUP(MONTH(Transactions_RAW_cleaned[[#This Row],[TransactionDate]])/3,0)</f>
        <v>Q4</v>
      </c>
      <c r="U900" t="str">
        <f>Transactions_RAW_cleaned[[#This Row],[Region ]]&amp;Transactions_RAW_cleaned[[#This Row],[Quarter ]]</f>
        <v>NAQ4</v>
      </c>
      <c r="V900" s="5">
        <f>_xlfn.XLOOKUP(Transactions_RAW_cleaned[[#This Row],[RegionQuarterKey]], Quarterly_Targets_cleaned[RegionQuarterKey], Quarterly_Targets_cleaned[TargetRevenue])</f>
        <v>299000</v>
      </c>
    </row>
    <row r="901" spans="1:22" x14ac:dyDescent="0.25">
      <c r="A901" t="s">
        <v>1234</v>
      </c>
      <c r="B901" s="1">
        <v>45310</v>
      </c>
      <c r="C901" t="s">
        <v>171</v>
      </c>
      <c r="D901" t="s">
        <v>294</v>
      </c>
      <c r="E901">
        <v>35.799999999999997</v>
      </c>
      <c r="F901" t="s">
        <v>324</v>
      </c>
      <c r="G901" t="s">
        <v>327</v>
      </c>
      <c r="H901" t="s">
        <v>332</v>
      </c>
      <c r="I901" t="s">
        <v>17</v>
      </c>
      <c r="J901" t="s">
        <v>31</v>
      </c>
      <c r="K901" t="s">
        <v>32</v>
      </c>
      <c r="L901" t="s">
        <v>295</v>
      </c>
      <c r="M901" t="s">
        <v>296</v>
      </c>
      <c r="N901">
        <v>2.9000000000000001E-2</v>
      </c>
      <c r="O901" t="str">
        <f>IF(Transactions_RAW_cleaned[[#This Row],[Status]]="Completed", IFERROR(_xlfn.XLOOKUP(Transactions_RAW_cleaned[[#This Row],[CustomerID]], Customers_cleaned[CustomerID], Customers_cleaned[Segment]), "Customer Not Found"), "N/A")</f>
        <v>Enterprise</v>
      </c>
      <c r="P901" s="5" t="str">
        <f>IF(Transactions_RAW_cleaned[[#This Row],[Status]]="Refunded", "Refund",
  IF(Transactions_RAW_cleaned[[#This Row],[Category]]="Payments", IF(Transactions_RAW_cleaned[[#This Row],[Amount]]&gt;500,"High Value","Standard"),
    IF(Transactions_RAW_cleaned[[#This Row],[Amount]]&gt;250,"High Value","Standard")))</f>
        <v>Standard</v>
      </c>
      <c r="Q901" s="5" t="str">
        <f>IF(Transactions_RAW_cleaned[[#This Row],[Amount]] &gt; (_xlfn.XLOOKUP(Transactions_RAW_cleaned[[#This Row],[ServiceID]],Services_cleaned[ServiceID],Services_cleaned[TransactionFeePct]) * 10000), "Yes", "No")</f>
        <v>No</v>
      </c>
      <c r="R901" s="5" t="str">
        <f>IF(COUNTIFS($C$2:Transactions_RAW_cleaned[[#This Row],[CustomerID]],Transactions_RAW_cleaned[[#This Row],[CustomerID]],$D$2:Transactions_RAW_cleaned[[#This Row],[ServiceID]],Transactions_RAW_cleaned[[#This Row],[ServiceID]])=1,"Yes","No")</f>
        <v>Yes</v>
      </c>
      <c r="S90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01" t="str">
        <f>"Q"&amp;ROUNDUP(MONTH(Transactions_RAW_cleaned[[#This Row],[TransactionDate]])/3,0)</f>
        <v>Q1</v>
      </c>
      <c r="U901" t="str">
        <f>Transactions_RAW_cleaned[[#This Row],[Region ]]&amp;Transactions_RAW_cleaned[[#This Row],[Quarter ]]</f>
        <v>EMEAQ1</v>
      </c>
      <c r="V901" s="5">
        <f>_xlfn.XLOOKUP(Transactions_RAW_cleaned[[#This Row],[RegionQuarterKey]], Quarterly_Targets_cleaned[RegionQuarterKey], Quarterly_Targets_cleaned[TargetRevenue])</f>
        <v>133000</v>
      </c>
    </row>
    <row r="902" spans="1:22" x14ac:dyDescent="0.25">
      <c r="A902" t="s">
        <v>1235</v>
      </c>
      <c r="B902" s="1">
        <v>45574</v>
      </c>
      <c r="C902" t="s">
        <v>42</v>
      </c>
      <c r="D902" t="s">
        <v>300</v>
      </c>
      <c r="E902">
        <v>524.41999999999996</v>
      </c>
      <c r="F902" t="s">
        <v>324</v>
      </c>
      <c r="G902" t="s">
        <v>325</v>
      </c>
      <c r="H902" t="s">
        <v>334</v>
      </c>
      <c r="I902" t="s">
        <v>8</v>
      </c>
      <c r="J902" t="s">
        <v>102</v>
      </c>
      <c r="K902" t="s">
        <v>10</v>
      </c>
      <c r="L902" t="s">
        <v>301</v>
      </c>
      <c r="M902" t="s">
        <v>302</v>
      </c>
      <c r="N902">
        <v>5.0000000000000001E-3</v>
      </c>
      <c r="O902" t="str">
        <f>IF(Transactions_RAW_cleaned[[#This Row],[Status]]="Completed", IFERROR(_xlfn.XLOOKUP(Transactions_RAW_cleaned[[#This Row],[CustomerID]], Customers_cleaned[CustomerID], Customers_cleaned[Segment]), "Customer Not Found"), "N/A")</f>
        <v>SMB</v>
      </c>
      <c r="P902" s="5" t="str">
        <f>IF(Transactions_RAW_cleaned[[#This Row],[Status]]="Refunded", "Refund",
  IF(Transactions_RAW_cleaned[[#This Row],[Category]]="Payments", IF(Transactions_RAW_cleaned[[#This Row],[Amount]]&gt;500,"High Value","Standard"),
    IF(Transactions_RAW_cleaned[[#This Row],[Amount]]&gt;250,"High Value","Standard")))</f>
        <v>High Value</v>
      </c>
      <c r="Q902" s="5" t="str">
        <f>IF(Transactions_RAW_cleaned[[#This Row],[Amount]] &gt; (_xlfn.XLOOKUP(Transactions_RAW_cleaned[[#This Row],[ServiceID]],Services_cleaned[ServiceID],Services_cleaned[TransactionFeePct]) * 10000), "Yes", "No")</f>
        <v>Yes</v>
      </c>
      <c r="R902" s="5" t="str">
        <f>IF(COUNTIFS($C$2:Transactions_RAW_cleaned[[#This Row],[CustomerID]],Transactions_RAW_cleaned[[#This Row],[CustomerID]],$D$2:Transactions_RAW_cleaned[[#This Row],[ServiceID]],Transactions_RAW_cleaned[[#This Row],[ServiceID]])=1,"Yes","No")</f>
        <v>Yes</v>
      </c>
      <c r="S90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02" t="str">
        <f>"Q"&amp;ROUNDUP(MONTH(Transactions_RAW_cleaned[[#This Row],[TransactionDate]])/3,0)</f>
        <v>Q4</v>
      </c>
      <c r="U902" t="str">
        <f>Transactions_RAW_cleaned[[#This Row],[Region ]]&amp;Transactions_RAW_cleaned[[#This Row],[Quarter ]]</f>
        <v>NAQ4</v>
      </c>
      <c r="V902" s="5">
        <f>_xlfn.XLOOKUP(Transactions_RAW_cleaned[[#This Row],[RegionQuarterKey]], Quarterly_Targets_cleaned[RegionQuarterKey], Quarterly_Targets_cleaned[TargetRevenue])</f>
        <v>299000</v>
      </c>
    </row>
    <row r="903" spans="1:22" x14ac:dyDescent="0.25">
      <c r="A903" t="s">
        <v>1236</v>
      </c>
      <c r="B903" s="1">
        <v>45639</v>
      </c>
      <c r="C903" t="s">
        <v>217</v>
      </c>
      <c r="D903" t="s">
        <v>294</v>
      </c>
      <c r="E903">
        <v>-170.81</v>
      </c>
      <c r="F903" t="s">
        <v>349</v>
      </c>
      <c r="G903" t="s">
        <v>327</v>
      </c>
      <c r="H903" t="s">
        <v>346</v>
      </c>
      <c r="I903" t="s">
        <v>17</v>
      </c>
      <c r="J903" t="s">
        <v>102</v>
      </c>
      <c r="K903" t="s">
        <v>14</v>
      </c>
      <c r="L903" t="s">
        <v>295</v>
      </c>
      <c r="M903" t="s">
        <v>296</v>
      </c>
      <c r="N903">
        <v>2.9000000000000001E-2</v>
      </c>
      <c r="O903" t="str">
        <f>IF(Transactions_RAW_cleaned[[#This Row],[Status]]="Completed", IFERROR(_xlfn.XLOOKUP(Transactions_RAW_cleaned[[#This Row],[CustomerID]], Customers_cleaned[CustomerID], Customers_cleaned[Segment]), "Customer Not Found"), "N/A")</f>
        <v>N/A</v>
      </c>
      <c r="P903" s="5" t="str">
        <f>IF(Transactions_RAW_cleaned[[#This Row],[Status]]="Refunded", "Refund",
  IF(Transactions_RAW_cleaned[[#This Row],[Category]]="Payments", IF(Transactions_RAW_cleaned[[#This Row],[Amount]]&gt;500,"High Value","Standard"),
    IF(Transactions_RAW_cleaned[[#This Row],[Amount]]&gt;250,"High Value","Standard")))</f>
        <v>Refund</v>
      </c>
      <c r="Q903" s="5" t="str">
        <f>IF(Transactions_RAW_cleaned[[#This Row],[Amount]] &gt; (_xlfn.XLOOKUP(Transactions_RAW_cleaned[[#This Row],[ServiceID]],Services_cleaned[ServiceID],Services_cleaned[TransactionFeePct]) * 10000), "Yes", "No")</f>
        <v>No</v>
      </c>
      <c r="R903" s="5" t="str">
        <f>IF(COUNTIFS($C$2:Transactions_RAW_cleaned[[#This Row],[CustomerID]],Transactions_RAW_cleaned[[#This Row],[CustomerID]],$D$2:Transactions_RAW_cleaned[[#This Row],[ServiceID]],Transactions_RAW_cleaned[[#This Row],[ServiceID]])=1,"Yes","No")</f>
        <v>No</v>
      </c>
      <c r="S90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03" t="str">
        <f>"Q"&amp;ROUNDUP(MONTH(Transactions_RAW_cleaned[[#This Row],[TransactionDate]])/3,0)</f>
        <v>Q4</v>
      </c>
      <c r="U903" t="str">
        <f>Transactions_RAW_cleaned[[#This Row],[Region ]]&amp;Transactions_RAW_cleaned[[#This Row],[Quarter ]]</f>
        <v>NAQ4</v>
      </c>
      <c r="V903" s="5">
        <f>_xlfn.XLOOKUP(Transactions_RAW_cleaned[[#This Row],[RegionQuarterKey]], Quarterly_Targets_cleaned[RegionQuarterKey], Quarterly_Targets_cleaned[TargetRevenue])</f>
        <v>299000</v>
      </c>
    </row>
    <row r="904" spans="1:22" x14ac:dyDescent="0.25">
      <c r="A904" t="s">
        <v>1237</v>
      </c>
      <c r="B904" s="1">
        <v>45349</v>
      </c>
      <c r="C904" t="s">
        <v>163</v>
      </c>
      <c r="D904" t="s">
        <v>309</v>
      </c>
      <c r="E904">
        <v>-217.48</v>
      </c>
      <c r="F904" t="s">
        <v>349</v>
      </c>
      <c r="G904" t="s">
        <v>325</v>
      </c>
      <c r="I904" t="s">
        <v>17</v>
      </c>
      <c r="J904" t="s">
        <v>102</v>
      </c>
      <c r="K904" t="s">
        <v>18</v>
      </c>
      <c r="L904" t="s">
        <v>310</v>
      </c>
      <c r="M904" t="s">
        <v>311</v>
      </c>
      <c r="N904">
        <v>0</v>
      </c>
      <c r="O904" t="str">
        <f>IF(Transactions_RAW_cleaned[[#This Row],[Status]]="Completed", IFERROR(_xlfn.XLOOKUP(Transactions_RAW_cleaned[[#This Row],[CustomerID]], Customers_cleaned[CustomerID], Customers_cleaned[Segment]), "Customer Not Found"), "N/A")</f>
        <v>N/A</v>
      </c>
      <c r="P904" s="5" t="str">
        <f>IF(Transactions_RAW_cleaned[[#This Row],[Status]]="Refunded", "Refund",
  IF(Transactions_RAW_cleaned[[#This Row],[Category]]="Payments", IF(Transactions_RAW_cleaned[[#This Row],[Amount]]&gt;500,"High Value","Standard"),
    IF(Transactions_RAW_cleaned[[#This Row],[Amount]]&gt;250,"High Value","Standard")))</f>
        <v>Refund</v>
      </c>
      <c r="Q904" s="5" t="str">
        <f>IF(Transactions_RAW_cleaned[[#This Row],[Amount]] &gt; (_xlfn.XLOOKUP(Transactions_RAW_cleaned[[#This Row],[ServiceID]],Services_cleaned[ServiceID],Services_cleaned[TransactionFeePct]) * 10000), "Yes", "No")</f>
        <v>No</v>
      </c>
      <c r="R904" s="5" t="str">
        <f>IF(COUNTIFS($C$2:Transactions_RAW_cleaned[[#This Row],[CustomerID]],Transactions_RAW_cleaned[[#This Row],[CustomerID]],$D$2:Transactions_RAW_cleaned[[#This Row],[ServiceID]],Transactions_RAW_cleaned[[#This Row],[ServiceID]])=1,"Yes","No")</f>
        <v>Yes</v>
      </c>
      <c r="S90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04" t="str">
        <f>"Q"&amp;ROUNDUP(MONTH(Transactions_RAW_cleaned[[#This Row],[TransactionDate]])/3,0)</f>
        <v>Q1</v>
      </c>
      <c r="U904" t="str">
        <f>Transactions_RAW_cleaned[[#This Row],[Region ]]&amp;Transactions_RAW_cleaned[[#This Row],[Quarter ]]</f>
        <v>NAQ1</v>
      </c>
      <c r="V904" s="5">
        <f>_xlfn.XLOOKUP(Transactions_RAW_cleaned[[#This Row],[RegionQuarterKey]], Quarterly_Targets_cleaned[RegionQuarterKey], Quarterly_Targets_cleaned[TargetRevenue])</f>
        <v>247000</v>
      </c>
    </row>
    <row r="905" spans="1:22" x14ac:dyDescent="0.25">
      <c r="A905" t="s">
        <v>1238</v>
      </c>
      <c r="B905" s="1">
        <v>45471</v>
      </c>
      <c r="C905" t="s">
        <v>51</v>
      </c>
      <c r="D905" t="s">
        <v>294</v>
      </c>
      <c r="E905">
        <v>-481.98</v>
      </c>
      <c r="F905" t="s">
        <v>349</v>
      </c>
      <c r="G905" t="s">
        <v>337</v>
      </c>
      <c r="I905" t="s">
        <v>8</v>
      </c>
      <c r="J905" t="s">
        <v>31</v>
      </c>
      <c r="K905" t="s">
        <v>14</v>
      </c>
      <c r="L905" t="s">
        <v>295</v>
      </c>
      <c r="M905" t="s">
        <v>296</v>
      </c>
      <c r="N905">
        <v>2.9000000000000001E-2</v>
      </c>
      <c r="O905" t="str">
        <f>IF(Transactions_RAW_cleaned[[#This Row],[Status]]="Completed", IFERROR(_xlfn.XLOOKUP(Transactions_RAW_cleaned[[#This Row],[CustomerID]], Customers_cleaned[CustomerID], Customers_cleaned[Segment]), "Customer Not Found"), "N/A")</f>
        <v>N/A</v>
      </c>
      <c r="P905" s="5" t="str">
        <f>IF(Transactions_RAW_cleaned[[#This Row],[Status]]="Refunded", "Refund",
  IF(Transactions_RAW_cleaned[[#This Row],[Category]]="Payments", IF(Transactions_RAW_cleaned[[#This Row],[Amount]]&gt;500,"High Value","Standard"),
    IF(Transactions_RAW_cleaned[[#This Row],[Amount]]&gt;250,"High Value","Standard")))</f>
        <v>Refund</v>
      </c>
      <c r="Q905" s="5" t="str">
        <f>IF(Transactions_RAW_cleaned[[#This Row],[Amount]] &gt; (_xlfn.XLOOKUP(Transactions_RAW_cleaned[[#This Row],[ServiceID]],Services_cleaned[ServiceID],Services_cleaned[TransactionFeePct]) * 10000), "Yes", "No")</f>
        <v>No</v>
      </c>
      <c r="R905" s="5" t="str">
        <f>IF(COUNTIFS($C$2:Transactions_RAW_cleaned[[#This Row],[CustomerID]],Transactions_RAW_cleaned[[#This Row],[CustomerID]],$D$2:Transactions_RAW_cleaned[[#This Row],[ServiceID]],Transactions_RAW_cleaned[[#This Row],[ServiceID]])=1,"Yes","No")</f>
        <v>No</v>
      </c>
      <c r="S90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05" t="str">
        <f>"Q"&amp;ROUNDUP(MONTH(Transactions_RAW_cleaned[[#This Row],[TransactionDate]])/3,0)</f>
        <v>Q2</v>
      </c>
      <c r="U905" t="str">
        <f>Transactions_RAW_cleaned[[#This Row],[Region ]]&amp;Transactions_RAW_cleaned[[#This Row],[Quarter ]]</f>
        <v>EMEAQ2</v>
      </c>
      <c r="V905" s="5">
        <f>_xlfn.XLOOKUP(Transactions_RAW_cleaned[[#This Row],[RegionQuarterKey]], Quarterly_Targets_cleaned[RegionQuarterKey], Quarterly_Targets_cleaned[TargetRevenue])</f>
        <v>140000</v>
      </c>
    </row>
    <row r="906" spans="1:22" x14ac:dyDescent="0.25">
      <c r="A906" t="s">
        <v>1239</v>
      </c>
      <c r="B906" s="1">
        <v>45400</v>
      </c>
      <c r="C906" t="s">
        <v>76</v>
      </c>
      <c r="D906" t="s">
        <v>300</v>
      </c>
      <c r="E906">
        <v>674.25</v>
      </c>
      <c r="F906" t="s">
        <v>324</v>
      </c>
      <c r="G906" t="s">
        <v>325</v>
      </c>
      <c r="I906" t="s">
        <v>17</v>
      </c>
      <c r="J906" t="s">
        <v>13</v>
      </c>
      <c r="K906" t="s">
        <v>18</v>
      </c>
      <c r="L906" t="s">
        <v>301</v>
      </c>
      <c r="M906" t="s">
        <v>302</v>
      </c>
      <c r="N906">
        <v>5.0000000000000001E-3</v>
      </c>
      <c r="O906" t="str">
        <f>IF(Transactions_RAW_cleaned[[#This Row],[Status]]="Completed", IFERROR(_xlfn.XLOOKUP(Transactions_RAW_cleaned[[#This Row],[CustomerID]], Customers_cleaned[CustomerID], Customers_cleaned[Segment]), "Customer Not Found"), "N/A")</f>
        <v>Enterprise</v>
      </c>
      <c r="P906" s="5" t="str">
        <f>IF(Transactions_RAW_cleaned[[#This Row],[Status]]="Refunded", "Refund",
  IF(Transactions_RAW_cleaned[[#This Row],[Category]]="Payments", IF(Transactions_RAW_cleaned[[#This Row],[Amount]]&gt;500,"High Value","Standard"),
    IF(Transactions_RAW_cleaned[[#This Row],[Amount]]&gt;250,"High Value","Standard")))</f>
        <v>High Value</v>
      </c>
      <c r="Q906" s="5" t="str">
        <f>IF(Transactions_RAW_cleaned[[#This Row],[Amount]] &gt; (_xlfn.XLOOKUP(Transactions_RAW_cleaned[[#This Row],[ServiceID]],Services_cleaned[ServiceID],Services_cleaned[TransactionFeePct]) * 10000), "Yes", "No")</f>
        <v>Yes</v>
      </c>
      <c r="R906" s="5" t="str">
        <f>IF(COUNTIFS($C$2:Transactions_RAW_cleaned[[#This Row],[CustomerID]],Transactions_RAW_cleaned[[#This Row],[CustomerID]],$D$2:Transactions_RAW_cleaned[[#This Row],[ServiceID]],Transactions_RAW_cleaned[[#This Row],[ServiceID]])=1,"Yes","No")</f>
        <v>Yes</v>
      </c>
      <c r="S90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06" t="str">
        <f>"Q"&amp;ROUNDUP(MONTH(Transactions_RAW_cleaned[[#This Row],[TransactionDate]])/3,0)</f>
        <v>Q2</v>
      </c>
      <c r="U906" t="str">
        <f>Transactions_RAW_cleaned[[#This Row],[Region ]]&amp;Transactions_RAW_cleaned[[#This Row],[Quarter ]]</f>
        <v>NAQ2</v>
      </c>
      <c r="V906" s="5">
        <f>_xlfn.XLOOKUP(Transactions_RAW_cleaned[[#This Row],[RegionQuarterKey]], Quarterly_Targets_cleaned[RegionQuarterKey], Quarterly_Targets_cleaned[TargetRevenue])</f>
        <v>260000</v>
      </c>
    </row>
    <row r="907" spans="1:22" x14ac:dyDescent="0.25">
      <c r="A907" t="s">
        <v>1240</v>
      </c>
      <c r="B907" s="1">
        <v>45396</v>
      </c>
      <c r="C907" t="s">
        <v>47</v>
      </c>
      <c r="D907" t="s">
        <v>300</v>
      </c>
      <c r="E907">
        <v>428.38</v>
      </c>
      <c r="F907" t="s">
        <v>324</v>
      </c>
      <c r="G907" t="s">
        <v>327</v>
      </c>
      <c r="I907" t="s">
        <v>8</v>
      </c>
      <c r="J907" t="s">
        <v>21</v>
      </c>
      <c r="K907" t="s">
        <v>22</v>
      </c>
      <c r="L907" t="s">
        <v>301</v>
      </c>
      <c r="M907" t="s">
        <v>302</v>
      </c>
      <c r="N907">
        <v>5.0000000000000001E-3</v>
      </c>
      <c r="O907" t="str">
        <f>IF(Transactions_RAW_cleaned[[#This Row],[Status]]="Completed", IFERROR(_xlfn.XLOOKUP(Transactions_RAW_cleaned[[#This Row],[CustomerID]], Customers_cleaned[CustomerID], Customers_cleaned[Segment]), "Customer Not Found"), "N/A")</f>
        <v>SMB</v>
      </c>
      <c r="P907" s="5" t="str">
        <f>IF(Transactions_RAW_cleaned[[#This Row],[Status]]="Refunded", "Refund",
  IF(Transactions_RAW_cleaned[[#This Row],[Category]]="Payments", IF(Transactions_RAW_cleaned[[#This Row],[Amount]]&gt;500,"High Value","Standard"),
    IF(Transactions_RAW_cleaned[[#This Row],[Amount]]&gt;250,"High Value","Standard")))</f>
        <v>High Value</v>
      </c>
      <c r="Q907" s="5" t="str">
        <f>IF(Transactions_RAW_cleaned[[#This Row],[Amount]] &gt; (_xlfn.XLOOKUP(Transactions_RAW_cleaned[[#This Row],[ServiceID]],Services_cleaned[ServiceID],Services_cleaned[TransactionFeePct]) * 10000), "Yes", "No")</f>
        <v>Yes</v>
      </c>
      <c r="R907" s="5" t="str">
        <f>IF(COUNTIFS($C$2:Transactions_RAW_cleaned[[#This Row],[CustomerID]],Transactions_RAW_cleaned[[#This Row],[CustomerID]],$D$2:Transactions_RAW_cleaned[[#This Row],[ServiceID]],Transactions_RAW_cleaned[[#This Row],[ServiceID]])=1,"Yes","No")</f>
        <v>No</v>
      </c>
      <c r="S90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07" t="str">
        <f>"Q"&amp;ROUNDUP(MONTH(Transactions_RAW_cleaned[[#This Row],[TransactionDate]])/3,0)</f>
        <v>Q2</v>
      </c>
      <c r="U907" t="str">
        <f>Transactions_RAW_cleaned[[#This Row],[Region ]]&amp;Transactions_RAW_cleaned[[#This Row],[Quarter ]]</f>
        <v>APACQ2</v>
      </c>
      <c r="V907" s="5">
        <f>_xlfn.XLOOKUP(Transactions_RAW_cleaned[[#This Row],[RegionQuarterKey]], Quarterly_Targets_cleaned[RegionQuarterKey], Quarterly_Targets_cleaned[TargetRevenue])</f>
        <v>110000</v>
      </c>
    </row>
    <row r="908" spans="1:22" x14ac:dyDescent="0.25">
      <c r="A908" t="s">
        <v>1241</v>
      </c>
      <c r="B908" s="1">
        <v>45628</v>
      </c>
      <c r="C908" t="s">
        <v>215</v>
      </c>
      <c r="D908" t="s">
        <v>294</v>
      </c>
      <c r="E908">
        <v>-124.01</v>
      </c>
      <c r="F908" t="s">
        <v>349</v>
      </c>
      <c r="G908" t="s">
        <v>325</v>
      </c>
      <c r="I908" t="s">
        <v>57</v>
      </c>
      <c r="J908" t="s">
        <v>102</v>
      </c>
      <c r="K908" t="s">
        <v>14</v>
      </c>
      <c r="L908" t="s">
        <v>295</v>
      </c>
      <c r="M908" t="s">
        <v>296</v>
      </c>
      <c r="N908">
        <v>2.9000000000000001E-2</v>
      </c>
      <c r="O908" t="str">
        <f>IF(Transactions_RAW_cleaned[[#This Row],[Status]]="Completed", IFERROR(_xlfn.XLOOKUP(Transactions_RAW_cleaned[[#This Row],[CustomerID]], Customers_cleaned[CustomerID], Customers_cleaned[Segment]), "Customer Not Found"), "N/A")</f>
        <v>N/A</v>
      </c>
      <c r="P908" s="5" t="str">
        <f>IF(Transactions_RAW_cleaned[[#This Row],[Status]]="Refunded", "Refund",
  IF(Transactions_RAW_cleaned[[#This Row],[Category]]="Payments", IF(Transactions_RAW_cleaned[[#This Row],[Amount]]&gt;500,"High Value","Standard"),
    IF(Transactions_RAW_cleaned[[#This Row],[Amount]]&gt;250,"High Value","Standard")))</f>
        <v>Refund</v>
      </c>
      <c r="Q908" s="5" t="str">
        <f>IF(Transactions_RAW_cleaned[[#This Row],[Amount]] &gt; (_xlfn.XLOOKUP(Transactions_RAW_cleaned[[#This Row],[ServiceID]],Services_cleaned[ServiceID],Services_cleaned[TransactionFeePct]) * 10000), "Yes", "No")</f>
        <v>No</v>
      </c>
      <c r="R908" s="5" t="str">
        <f>IF(COUNTIFS($C$2:Transactions_RAW_cleaned[[#This Row],[CustomerID]],Transactions_RAW_cleaned[[#This Row],[CustomerID]],$D$2:Transactions_RAW_cleaned[[#This Row],[ServiceID]],Transactions_RAW_cleaned[[#This Row],[ServiceID]])=1,"Yes","No")</f>
        <v>No</v>
      </c>
      <c r="S90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08" t="str">
        <f>"Q"&amp;ROUNDUP(MONTH(Transactions_RAW_cleaned[[#This Row],[TransactionDate]])/3,0)</f>
        <v>Q4</v>
      </c>
      <c r="U908" t="str">
        <f>Transactions_RAW_cleaned[[#This Row],[Region ]]&amp;Transactions_RAW_cleaned[[#This Row],[Quarter ]]</f>
        <v>NAQ4</v>
      </c>
      <c r="V908" s="5">
        <f>_xlfn.XLOOKUP(Transactions_RAW_cleaned[[#This Row],[RegionQuarterKey]], Quarterly_Targets_cleaned[RegionQuarterKey], Quarterly_Targets_cleaned[TargetRevenue])</f>
        <v>299000</v>
      </c>
    </row>
    <row r="909" spans="1:22" x14ac:dyDescent="0.25">
      <c r="A909" t="s">
        <v>1242</v>
      </c>
      <c r="B909" s="1">
        <v>45368</v>
      </c>
      <c r="C909" t="s">
        <v>169</v>
      </c>
      <c r="D909" t="s">
        <v>306</v>
      </c>
      <c r="E909">
        <v>289.42</v>
      </c>
      <c r="F909" t="s">
        <v>324</v>
      </c>
      <c r="G909" t="s">
        <v>337</v>
      </c>
      <c r="H909" t="s">
        <v>334</v>
      </c>
      <c r="I909" t="s">
        <v>8</v>
      </c>
      <c r="J909" t="s">
        <v>13</v>
      </c>
      <c r="K909" t="s">
        <v>32</v>
      </c>
      <c r="L909" t="s">
        <v>307</v>
      </c>
      <c r="M909" t="s">
        <v>308</v>
      </c>
      <c r="N909">
        <v>0</v>
      </c>
      <c r="O909" t="str">
        <f>IF(Transactions_RAW_cleaned[[#This Row],[Status]]="Completed", IFERROR(_xlfn.XLOOKUP(Transactions_RAW_cleaned[[#This Row],[CustomerID]], Customers_cleaned[CustomerID], Customers_cleaned[Segment]), "Customer Not Found"), "N/A")</f>
        <v>SMB</v>
      </c>
      <c r="P909" s="5" t="str">
        <f>IF(Transactions_RAW_cleaned[[#This Row],[Status]]="Refunded", "Refund",
  IF(Transactions_RAW_cleaned[[#This Row],[Category]]="Payments", IF(Transactions_RAW_cleaned[[#This Row],[Amount]]&gt;500,"High Value","Standard"),
    IF(Transactions_RAW_cleaned[[#This Row],[Amount]]&gt;250,"High Value","Standard")))</f>
        <v>High Value</v>
      </c>
      <c r="Q909" s="5" t="str">
        <f>IF(Transactions_RAW_cleaned[[#This Row],[Amount]] &gt; (_xlfn.XLOOKUP(Transactions_RAW_cleaned[[#This Row],[ServiceID]],Services_cleaned[ServiceID],Services_cleaned[TransactionFeePct]) * 10000), "Yes", "No")</f>
        <v>Yes</v>
      </c>
      <c r="R909" s="5" t="str">
        <f>IF(COUNTIFS($C$2:Transactions_RAW_cleaned[[#This Row],[CustomerID]],Transactions_RAW_cleaned[[#This Row],[CustomerID]],$D$2:Transactions_RAW_cleaned[[#This Row],[ServiceID]],Transactions_RAW_cleaned[[#This Row],[ServiceID]])=1,"Yes","No")</f>
        <v>No</v>
      </c>
      <c r="S90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09" t="str">
        <f>"Q"&amp;ROUNDUP(MONTH(Transactions_RAW_cleaned[[#This Row],[TransactionDate]])/3,0)</f>
        <v>Q1</v>
      </c>
      <c r="U909" t="str">
        <f>Transactions_RAW_cleaned[[#This Row],[Region ]]&amp;Transactions_RAW_cleaned[[#This Row],[Quarter ]]</f>
        <v>NAQ1</v>
      </c>
      <c r="V909" s="5">
        <f>_xlfn.XLOOKUP(Transactions_RAW_cleaned[[#This Row],[RegionQuarterKey]], Quarterly_Targets_cleaned[RegionQuarterKey], Quarterly_Targets_cleaned[TargetRevenue])</f>
        <v>247000</v>
      </c>
    </row>
    <row r="910" spans="1:22" x14ac:dyDescent="0.25">
      <c r="A910" t="s">
        <v>1243</v>
      </c>
      <c r="B910" s="1">
        <v>45654</v>
      </c>
      <c r="C910" t="s">
        <v>58</v>
      </c>
      <c r="D910" t="s">
        <v>300</v>
      </c>
      <c r="E910">
        <v>336.13</v>
      </c>
      <c r="F910" t="s">
        <v>331</v>
      </c>
      <c r="G910" t="s">
        <v>325</v>
      </c>
      <c r="H910" t="s">
        <v>334</v>
      </c>
      <c r="I910" t="s">
        <v>17</v>
      </c>
      <c r="J910" t="s">
        <v>102</v>
      </c>
      <c r="K910" t="s">
        <v>22</v>
      </c>
      <c r="L910" t="s">
        <v>301</v>
      </c>
      <c r="M910" t="s">
        <v>302</v>
      </c>
      <c r="N910">
        <v>5.0000000000000001E-3</v>
      </c>
      <c r="O910" t="str">
        <f>IF(Transactions_RAW_cleaned[[#This Row],[Status]]="Completed", IFERROR(_xlfn.XLOOKUP(Transactions_RAW_cleaned[[#This Row],[CustomerID]], Customers_cleaned[CustomerID], Customers_cleaned[Segment]), "Customer Not Found"), "N/A")</f>
        <v>N/A</v>
      </c>
      <c r="P910" s="5" t="str">
        <f>IF(Transactions_RAW_cleaned[[#This Row],[Status]]="Refunded", "Refund",
  IF(Transactions_RAW_cleaned[[#This Row],[Category]]="Payments", IF(Transactions_RAW_cleaned[[#This Row],[Amount]]&gt;500,"High Value","Standard"),
    IF(Transactions_RAW_cleaned[[#This Row],[Amount]]&gt;250,"High Value","Standard")))</f>
        <v>High Value</v>
      </c>
      <c r="Q910" s="5" t="str">
        <f>IF(Transactions_RAW_cleaned[[#This Row],[Amount]] &gt; (_xlfn.XLOOKUP(Transactions_RAW_cleaned[[#This Row],[ServiceID]],Services_cleaned[ServiceID],Services_cleaned[TransactionFeePct]) * 10000), "Yes", "No")</f>
        <v>Yes</v>
      </c>
      <c r="R910" s="5" t="str">
        <f>IF(COUNTIFS($C$2:Transactions_RAW_cleaned[[#This Row],[CustomerID]],Transactions_RAW_cleaned[[#This Row],[CustomerID]],$D$2:Transactions_RAW_cleaned[[#This Row],[ServiceID]],Transactions_RAW_cleaned[[#This Row],[ServiceID]])=1,"Yes","No")</f>
        <v>No</v>
      </c>
      <c r="S91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10" t="str">
        <f>"Q"&amp;ROUNDUP(MONTH(Transactions_RAW_cleaned[[#This Row],[TransactionDate]])/3,0)</f>
        <v>Q4</v>
      </c>
      <c r="U910" t="str">
        <f>Transactions_RAW_cleaned[[#This Row],[Region ]]&amp;Transactions_RAW_cleaned[[#This Row],[Quarter ]]</f>
        <v>NAQ4</v>
      </c>
      <c r="V910" s="5">
        <f>_xlfn.XLOOKUP(Transactions_RAW_cleaned[[#This Row],[RegionQuarterKey]], Quarterly_Targets_cleaned[RegionQuarterKey], Quarterly_Targets_cleaned[TargetRevenue])</f>
        <v>299000</v>
      </c>
    </row>
    <row r="911" spans="1:22" x14ac:dyDescent="0.25">
      <c r="A911" t="s">
        <v>1244</v>
      </c>
      <c r="B911" s="1">
        <v>45523</v>
      </c>
      <c r="C911" t="s">
        <v>35</v>
      </c>
      <c r="D911" t="s">
        <v>297</v>
      </c>
      <c r="E911">
        <v>419.71</v>
      </c>
      <c r="F911" t="s">
        <v>324</v>
      </c>
      <c r="G911" t="s">
        <v>329</v>
      </c>
      <c r="I911" t="s">
        <v>8</v>
      </c>
      <c r="J911" t="s">
        <v>37</v>
      </c>
      <c r="K911" t="s">
        <v>28</v>
      </c>
      <c r="L911" t="s">
        <v>298</v>
      </c>
      <c r="M911" t="s">
        <v>299</v>
      </c>
      <c r="N911">
        <v>0</v>
      </c>
      <c r="O911" t="str">
        <f>IF(Transactions_RAW_cleaned[[#This Row],[Status]]="Completed", IFERROR(_xlfn.XLOOKUP(Transactions_RAW_cleaned[[#This Row],[CustomerID]], Customers_cleaned[CustomerID], Customers_cleaned[Segment]), "Customer Not Found"), "N/A")</f>
        <v>SMB</v>
      </c>
      <c r="P911" s="5" t="str">
        <f>IF(Transactions_RAW_cleaned[[#This Row],[Status]]="Refunded", "Refund",
  IF(Transactions_RAW_cleaned[[#This Row],[Category]]="Payments", IF(Transactions_RAW_cleaned[[#This Row],[Amount]]&gt;500,"High Value","Standard"),
    IF(Transactions_RAW_cleaned[[#This Row],[Amount]]&gt;250,"High Value","Standard")))</f>
        <v>High Value</v>
      </c>
      <c r="Q911" s="5" t="str">
        <f>IF(Transactions_RAW_cleaned[[#This Row],[Amount]] &gt; (_xlfn.XLOOKUP(Transactions_RAW_cleaned[[#This Row],[ServiceID]],Services_cleaned[ServiceID],Services_cleaned[TransactionFeePct]) * 10000), "Yes", "No")</f>
        <v>Yes</v>
      </c>
      <c r="R911" s="5" t="str">
        <f>IF(COUNTIFS($C$2:Transactions_RAW_cleaned[[#This Row],[CustomerID]],Transactions_RAW_cleaned[[#This Row],[CustomerID]],$D$2:Transactions_RAW_cleaned[[#This Row],[ServiceID]],Transactions_RAW_cleaned[[#This Row],[ServiceID]])=1,"Yes","No")</f>
        <v>No</v>
      </c>
      <c r="S91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11" t="str">
        <f>"Q"&amp;ROUNDUP(MONTH(Transactions_RAW_cleaned[[#This Row],[TransactionDate]])/3,0)</f>
        <v>Q3</v>
      </c>
      <c r="U911" t="str">
        <f>Transactions_RAW_cleaned[[#This Row],[Region ]]&amp;Transactions_RAW_cleaned[[#This Row],[Quarter ]]</f>
        <v>EMEAQ3</v>
      </c>
      <c r="V911" s="5">
        <f>_xlfn.XLOOKUP(Transactions_RAW_cleaned[[#This Row],[RegionQuarterKey]], Quarterly_Targets_cleaned[RegionQuarterKey], Quarterly_Targets_cleaned[TargetRevenue])</f>
        <v>147000</v>
      </c>
    </row>
    <row r="912" spans="1:22" x14ac:dyDescent="0.25">
      <c r="A912" t="s">
        <v>1245</v>
      </c>
      <c r="B912" s="1">
        <v>45491</v>
      </c>
      <c r="C912" t="s">
        <v>171</v>
      </c>
      <c r="D912" t="s">
        <v>294</v>
      </c>
      <c r="E912">
        <v>175.9</v>
      </c>
      <c r="F912" t="s">
        <v>324</v>
      </c>
      <c r="G912" t="s">
        <v>327</v>
      </c>
      <c r="I912" t="s">
        <v>17</v>
      </c>
      <c r="J912" t="s">
        <v>31</v>
      </c>
      <c r="K912" t="s">
        <v>32</v>
      </c>
      <c r="L912" t="s">
        <v>295</v>
      </c>
      <c r="M912" t="s">
        <v>296</v>
      </c>
      <c r="N912">
        <v>2.9000000000000001E-2</v>
      </c>
      <c r="O912" t="str">
        <f>IF(Transactions_RAW_cleaned[[#This Row],[Status]]="Completed", IFERROR(_xlfn.XLOOKUP(Transactions_RAW_cleaned[[#This Row],[CustomerID]], Customers_cleaned[CustomerID], Customers_cleaned[Segment]), "Customer Not Found"), "N/A")</f>
        <v>Enterprise</v>
      </c>
      <c r="P912" s="5" t="str">
        <f>IF(Transactions_RAW_cleaned[[#This Row],[Status]]="Refunded", "Refund",
  IF(Transactions_RAW_cleaned[[#This Row],[Category]]="Payments", IF(Transactions_RAW_cleaned[[#This Row],[Amount]]&gt;500,"High Value","Standard"),
    IF(Transactions_RAW_cleaned[[#This Row],[Amount]]&gt;250,"High Value","Standard")))</f>
        <v>Standard</v>
      </c>
      <c r="Q912" s="5" t="str">
        <f>IF(Transactions_RAW_cleaned[[#This Row],[Amount]] &gt; (_xlfn.XLOOKUP(Transactions_RAW_cleaned[[#This Row],[ServiceID]],Services_cleaned[ServiceID],Services_cleaned[TransactionFeePct]) * 10000), "Yes", "No")</f>
        <v>No</v>
      </c>
      <c r="R912" s="5" t="str">
        <f>IF(COUNTIFS($C$2:Transactions_RAW_cleaned[[#This Row],[CustomerID]],Transactions_RAW_cleaned[[#This Row],[CustomerID]],$D$2:Transactions_RAW_cleaned[[#This Row],[ServiceID]],Transactions_RAW_cleaned[[#This Row],[ServiceID]])=1,"Yes","No")</f>
        <v>No</v>
      </c>
      <c r="S91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12" t="str">
        <f>"Q"&amp;ROUNDUP(MONTH(Transactions_RAW_cleaned[[#This Row],[TransactionDate]])/3,0)</f>
        <v>Q3</v>
      </c>
      <c r="U912" t="str">
        <f>Transactions_RAW_cleaned[[#This Row],[Region ]]&amp;Transactions_RAW_cleaned[[#This Row],[Quarter ]]</f>
        <v>EMEAQ3</v>
      </c>
      <c r="V912" s="5">
        <f>_xlfn.XLOOKUP(Transactions_RAW_cleaned[[#This Row],[RegionQuarterKey]], Quarterly_Targets_cleaned[RegionQuarterKey], Quarterly_Targets_cleaned[TargetRevenue])</f>
        <v>147000</v>
      </c>
    </row>
    <row r="913" spans="1:22" x14ac:dyDescent="0.25">
      <c r="A913" t="s">
        <v>1246</v>
      </c>
      <c r="B913" s="1">
        <v>45574</v>
      </c>
      <c r="C913" t="s">
        <v>92</v>
      </c>
      <c r="D913" t="s">
        <v>294</v>
      </c>
      <c r="E913">
        <v>159.38999999999999</v>
      </c>
      <c r="F913" t="s">
        <v>381</v>
      </c>
      <c r="G913" t="s">
        <v>325</v>
      </c>
      <c r="I913" t="s">
        <v>8</v>
      </c>
      <c r="J913" t="s">
        <v>102</v>
      </c>
      <c r="K913" t="s">
        <v>10</v>
      </c>
      <c r="L913" t="s">
        <v>295</v>
      </c>
      <c r="M913" t="s">
        <v>296</v>
      </c>
      <c r="N913">
        <v>2.9000000000000001E-2</v>
      </c>
      <c r="O913" t="str">
        <f>IF(Transactions_RAW_cleaned[[#This Row],[Status]]="Completed", IFERROR(_xlfn.XLOOKUP(Transactions_RAW_cleaned[[#This Row],[CustomerID]], Customers_cleaned[CustomerID], Customers_cleaned[Segment]), "Customer Not Found"), "N/A")</f>
        <v>N/A</v>
      </c>
      <c r="P913" s="5" t="str">
        <f>IF(Transactions_RAW_cleaned[[#This Row],[Status]]="Refunded", "Refund",
  IF(Transactions_RAW_cleaned[[#This Row],[Category]]="Payments", IF(Transactions_RAW_cleaned[[#This Row],[Amount]]&gt;500,"High Value","Standard"),
    IF(Transactions_RAW_cleaned[[#This Row],[Amount]]&gt;250,"High Value","Standard")))</f>
        <v>Standard</v>
      </c>
      <c r="Q913" s="5" t="str">
        <f>IF(Transactions_RAW_cleaned[[#This Row],[Amount]] &gt; (_xlfn.XLOOKUP(Transactions_RAW_cleaned[[#This Row],[ServiceID]],Services_cleaned[ServiceID],Services_cleaned[TransactionFeePct]) * 10000), "Yes", "No")</f>
        <v>No</v>
      </c>
      <c r="R913" s="5" t="str">
        <f>IF(COUNTIFS($C$2:Transactions_RAW_cleaned[[#This Row],[CustomerID]],Transactions_RAW_cleaned[[#This Row],[CustomerID]],$D$2:Transactions_RAW_cleaned[[#This Row],[ServiceID]],Transactions_RAW_cleaned[[#This Row],[ServiceID]])=1,"Yes","No")</f>
        <v>No</v>
      </c>
      <c r="S91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13" t="str">
        <f>"Q"&amp;ROUNDUP(MONTH(Transactions_RAW_cleaned[[#This Row],[TransactionDate]])/3,0)</f>
        <v>Q4</v>
      </c>
      <c r="U913" t="str">
        <f>Transactions_RAW_cleaned[[#This Row],[Region ]]&amp;Transactions_RAW_cleaned[[#This Row],[Quarter ]]</f>
        <v>NAQ4</v>
      </c>
      <c r="V913" s="5">
        <f>_xlfn.XLOOKUP(Transactions_RAW_cleaned[[#This Row],[RegionQuarterKey]], Quarterly_Targets_cleaned[RegionQuarterKey], Quarterly_Targets_cleaned[TargetRevenue])</f>
        <v>299000</v>
      </c>
    </row>
    <row r="914" spans="1:22" x14ac:dyDescent="0.25">
      <c r="A914" t="s">
        <v>1247</v>
      </c>
      <c r="B914" s="1">
        <v>45393</v>
      </c>
      <c r="C914" t="s">
        <v>257</v>
      </c>
      <c r="D914" t="s">
        <v>297</v>
      </c>
      <c r="E914">
        <v>101.7</v>
      </c>
      <c r="F914" t="s">
        <v>324</v>
      </c>
      <c r="G914" t="s">
        <v>325</v>
      </c>
      <c r="I914" t="s">
        <v>57</v>
      </c>
      <c r="J914" t="s">
        <v>13</v>
      </c>
      <c r="K914" t="s">
        <v>22</v>
      </c>
      <c r="L914" t="s">
        <v>298</v>
      </c>
      <c r="M914" t="s">
        <v>299</v>
      </c>
      <c r="N914">
        <v>0</v>
      </c>
      <c r="O914" t="str">
        <f>IF(Transactions_RAW_cleaned[[#This Row],[Status]]="Completed", IFERROR(_xlfn.XLOOKUP(Transactions_RAW_cleaned[[#This Row],[CustomerID]], Customers_cleaned[CustomerID], Customers_cleaned[Segment]), "Customer Not Found"), "N/A")</f>
        <v>Startup</v>
      </c>
      <c r="P914" s="5" t="str">
        <f>IF(Transactions_RAW_cleaned[[#This Row],[Status]]="Refunded", "Refund",
  IF(Transactions_RAW_cleaned[[#This Row],[Category]]="Payments", IF(Transactions_RAW_cleaned[[#This Row],[Amount]]&gt;500,"High Value","Standard"),
    IF(Transactions_RAW_cleaned[[#This Row],[Amount]]&gt;250,"High Value","Standard")))</f>
        <v>Standard</v>
      </c>
      <c r="Q914" s="5" t="str">
        <f>IF(Transactions_RAW_cleaned[[#This Row],[Amount]] &gt; (_xlfn.XLOOKUP(Transactions_RAW_cleaned[[#This Row],[ServiceID]],Services_cleaned[ServiceID],Services_cleaned[TransactionFeePct]) * 10000), "Yes", "No")</f>
        <v>Yes</v>
      </c>
      <c r="R914" s="5" t="str">
        <f>IF(COUNTIFS($C$2:Transactions_RAW_cleaned[[#This Row],[CustomerID]],Transactions_RAW_cleaned[[#This Row],[CustomerID]],$D$2:Transactions_RAW_cleaned[[#This Row],[ServiceID]],Transactions_RAW_cleaned[[#This Row],[ServiceID]])=1,"Yes","No")</f>
        <v>No</v>
      </c>
      <c r="S91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14" t="str">
        <f>"Q"&amp;ROUNDUP(MONTH(Transactions_RAW_cleaned[[#This Row],[TransactionDate]])/3,0)</f>
        <v>Q2</v>
      </c>
      <c r="U914" t="str">
        <f>Transactions_RAW_cleaned[[#This Row],[Region ]]&amp;Transactions_RAW_cleaned[[#This Row],[Quarter ]]</f>
        <v>NAQ2</v>
      </c>
      <c r="V914" s="5">
        <f>_xlfn.XLOOKUP(Transactions_RAW_cleaned[[#This Row],[RegionQuarterKey]], Quarterly_Targets_cleaned[RegionQuarterKey], Quarterly_Targets_cleaned[TargetRevenue])</f>
        <v>260000</v>
      </c>
    </row>
    <row r="915" spans="1:22" x14ac:dyDescent="0.25">
      <c r="A915" t="s">
        <v>1248</v>
      </c>
      <c r="B915" s="1">
        <v>45550</v>
      </c>
      <c r="C915" t="s">
        <v>113</v>
      </c>
      <c r="D915" t="s">
        <v>300</v>
      </c>
      <c r="E915">
        <v>745.9</v>
      </c>
      <c r="F915" t="s">
        <v>324</v>
      </c>
      <c r="G915" t="s">
        <v>2963</v>
      </c>
      <c r="H915" t="s">
        <v>346</v>
      </c>
      <c r="I915" t="s">
        <v>57</v>
      </c>
      <c r="J915" t="s">
        <v>46</v>
      </c>
      <c r="K915" t="s">
        <v>10</v>
      </c>
      <c r="L915" t="s">
        <v>301</v>
      </c>
      <c r="M915" t="s">
        <v>302</v>
      </c>
      <c r="N915">
        <v>5.0000000000000001E-3</v>
      </c>
      <c r="O915" t="str">
        <f>IF(Transactions_RAW_cleaned[[#This Row],[Status]]="Completed", IFERROR(_xlfn.XLOOKUP(Transactions_RAW_cleaned[[#This Row],[CustomerID]], Customers_cleaned[CustomerID], Customers_cleaned[Segment]), "Customer Not Found"), "N/A")</f>
        <v>Startup</v>
      </c>
      <c r="P915" s="5" t="str">
        <f>IF(Transactions_RAW_cleaned[[#This Row],[Status]]="Refunded", "Refund",
  IF(Transactions_RAW_cleaned[[#This Row],[Category]]="Payments", IF(Transactions_RAW_cleaned[[#This Row],[Amount]]&gt;500,"High Value","Standard"),
    IF(Transactions_RAW_cleaned[[#This Row],[Amount]]&gt;250,"High Value","Standard")))</f>
        <v>High Value</v>
      </c>
      <c r="Q915" s="5" t="str">
        <f>IF(Transactions_RAW_cleaned[[#This Row],[Amount]] &gt; (_xlfn.XLOOKUP(Transactions_RAW_cleaned[[#This Row],[ServiceID]],Services_cleaned[ServiceID],Services_cleaned[TransactionFeePct]) * 10000), "Yes", "No")</f>
        <v>Yes</v>
      </c>
      <c r="R915" s="5" t="str">
        <f>IF(COUNTIFS($C$2:Transactions_RAW_cleaned[[#This Row],[CustomerID]],Transactions_RAW_cleaned[[#This Row],[CustomerID]],$D$2:Transactions_RAW_cleaned[[#This Row],[ServiceID]],Transactions_RAW_cleaned[[#This Row],[ServiceID]])=1,"Yes","No")</f>
        <v>No</v>
      </c>
      <c r="S91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15" t="str">
        <f>"Q"&amp;ROUNDUP(MONTH(Transactions_RAW_cleaned[[#This Row],[TransactionDate]])/3,0)</f>
        <v>Q3</v>
      </c>
      <c r="U915" t="str">
        <f>Transactions_RAW_cleaned[[#This Row],[Region ]]&amp;Transactions_RAW_cleaned[[#This Row],[Quarter ]]</f>
        <v>APACQ3</v>
      </c>
      <c r="V915" s="5">
        <f>_xlfn.XLOOKUP(Transactions_RAW_cleaned[[#This Row],[RegionQuarterKey]], Quarterly_Targets_cleaned[RegionQuarterKey], Quarterly_Targets_cleaned[TargetRevenue])</f>
        <v>115500</v>
      </c>
    </row>
    <row r="916" spans="1:22" x14ac:dyDescent="0.25">
      <c r="A916" t="s">
        <v>1249</v>
      </c>
      <c r="B916" s="1">
        <v>45405</v>
      </c>
      <c r="C916" t="s">
        <v>96</v>
      </c>
      <c r="D916" t="s">
        <v>294</v>
      </c>
      <c r="E916">
        <v>703.02</v>
      </c>
      <c r="F916" t="s">
        <v>324</v>
      </c>
      <c r="G916" t="s">
        <v>325</v>
      </c>
      <c r="H916" t="s">
        <v>334</v>
      </c>
      <c r="I916" t="s">
        <v>17</v>
      </c>
      <c r="J916" t="s">
        <v>31</v>
      </c>
      <c r="K916" t="s">
        <v>14</v>
      </c>
      <c r="L916" t="s">
        <v>295</v>
      </c>
      <c r="M916" t="s">
        <v>296</v>
      </c>
      <c r="N916">
        <v>2.9000000000000001E-2</v>
      </c>
      <c r="O916" t="str">
        <f>IF(Transactions_RAW_cleaned[[#This Row],[Status]]="Completed", IFERROR(_xlfn.XLOOKUP(Transactions_RAW_cleaned[[#This Row],[CustomerID]], Customers_cleaned[CustomerID], Customers_cleaned[Segment]), "Customer Not Found"), "N/A")</f>
        <v>Enterprise</v>
      </c>
      <c r="P916" s="5" t="str">
        <f>IF(Transactions_RAW_cleaned[[#This Row],[Status]]="Refunded", "Refund",
  IF(Transactions_RAW_cleaned[[#This Row],[Category]]="Payments", IF(Transactions_RAW_cleaned[[#This Row],[Amount]]&gt;500,"High Value","Standard"),
    IF(Transactions_RAW_cleaned[[#This Row],[Amount]]&gt;250,"High Value","Standard")))</f>
        <v>High Value</v>
      </c>
      <c r="Q916" s="5" t="str">
        <f>IF(Transactions_RAW_cleaned[[#This Row],[Amount]] &gt; (_xlfn.XLOOKUP(Transactions_RAW_cleaned[[#This Row],[ServiceID]],Services_cleaned[ServiceID],Services_cleaned[TransactionFeePct]) * 10000), "Yes", "No")</f>
        <v>Yes</v>
      </c>
      <c r="R916" s="5" t="str">
        <f>IF(COUNTIFS($C$2:Transactions_RAW_cleaned[[#This Row],[CustomerID]],Transactions_RAW_cleaned[[#This Row],[CustomerID]],$D$2:Transactions_RAW_cleaned[[#This Row],[ServiceID]],Transactions_RAW_cleaned[[#This Row],[ServiceID]])=1,"Yes","No")</f>
        <v>No</v>
      </c>
      <c r="S91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16" t="str">
        <f>"Q"&amp;ROUNDUP(MONTH(Transactions_RAW_cleaned[[#This Row],[TransactionDate]])/3,0)</f>
        <v>Q2</v>
      </c>
      <c r="U916" t="str">
        <f>Transactions_RAW_cleaned[[#This Row],[Region ]]&amp;Transactions_RAW_cleaned[[#This Row],[Quarter ]]</f>
        <v>EMEAQ2</v>
      </c>
      <c r="V916" s="5">
        <f>_xlfn.XLOOKUP(Transactions_RAW_cleaned[[#This Row],[RegionQuarterKey]], Quarterly_Targets_cleaned[RegionQuarterKey], Quarterly_Targets_cleaned[TargetRevenue])</f>
        <v>140000</v>
      </c>
    </row>
    <row r="917" spans="1:22" x14ac:dyDescent="0.25">
      <c r="A917" t="s">
        <v>1250</v>
      </c>
      <c r="B917" s="1">
        <v>45422</v>
      </c>
      <c r="C917" t="s">
        <v>147</v>
      </c>
      <c r="D917" t="s">
        <v>294</v>
      </c>
      <c r="E917">
        <v>425.77</v>
      </c>
      <c r="F917" t="s">
        <v>324</v>
      </c>
      <c r="G917" t="s">
        <v>327</v>
      </c>
      <c r="H917" t="s">
        <v>334</v>
      </c>
      <c r="I917" t="s">
        <v>17</v>
      </c>
      <c r="J917" t="s">
        <v>25</v>
      </c>
      <c r="K917" t="s">
        <v>32</v>
      </c>
      <c r="L917" t="s">
        <v>295</v>
      </c>
      <c r="M917" t="s">
        <v>296</v>
      </c>
      <c r="N917">
        <v>2.9000000000000001E-2</v>
      </c>
      <c r="O917" t="str">
        <f>IF(Transactions_RAW_cleaned[[#This Row],[Status]]="Completed", IFERROR(_xlfn.XLOOKUP(Transactions_RAW_cleaned[[#This Row],[CustomerID]], Customers_cleaned[CustomerID], Customers_cleaned[Segment]), "Customer Not Found"), "N/A")</f>
        <v>Enterprise</v>
      </c>
      <c r="P917" s="5" t="str">
        <f>IF(Transactions_RAW_cleaned[[#This Row],[Status]]="Refunded", "Refund",
  IF(Transactions_RAW_cleaned[[#This Row],[Category]]="Payments", IF(Transactions_RAW_cleaned[[#This Row],[Amount]]&gt;500,"High Value","Standard"),
    IF(Transactions_RAW_cleaned[[#This Row],[Amount]]&gt;250,"High Value","Standard")))</f>
        <v>Standard</v>
      </c>
      <c r="Q917" s="5" t="str">
        <f>IF(Transactions_RAW_cleaned[[#This Row],[Amount]] &gt; (_xlfn.XLOOKUP(Transactions_RAW_cleaned[[#This Row],[ServiceID]],Services_cleaned[ServiceID],Services_cleaned[TransactionFeePct]) * 10000), "Yes", "No")</f>
        <v>Yes</v>
      </c>
      <c r="R917" s="5" t="str">
        <f>IF(COUNTIFS($C$2:Transactions_RAW_cleaned[[#This Row],[CustomerID]],Transactions_RAW_cleaned[[#This Row],[CustomerID]],$D$2:Transactions_RAW_cleaned[[#This Row],[ServiceID]],Transactions_RAW_cleaned[[#This Row],[ServiceID]])=1,"Yes","No")</f>
        <v>No</v>
      </c>
      <c r="S91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17" t="str">
        <f>"Q"&amp;ROUNDUP(MONTH(Transactions_RAW_cleaned[[#This Row],[TransactionDate]])/3,0)</f>
        <v>Q2</v>
      </c>
      <c r="U917" t="str">
        <f>Transactions_RAW_cleaned[[#This Row],[Region ]]&amp;Transactions_RAW_cleaned[[#This Row],[Quarter ]]</f>
        <v>APACQ2</v>
      </c>
      <c r="V917" s="5">
        <f>_xlfn.XLOOKUP(Transactions_RAW_cleaned[[#This Row],[RegionQuarterKey]], Quarterly_Targets_cleaned[RegionQuarterKey], Quarterly_Targets_cleaned[TargetRevenue])</f>
        <v>110000</v>
      </c>
    </row>
    <row r="918" spans="1:22" x14ac:dyDescent="0.25">
      <c r="A918" t="s">
        <v>1251</v>
      </c>
      <c r="B918" s="1">
        <v>45320</v>
      </c>
      <c r="C918" t="s">
        <v>40</v>
      </c>
      <c r="D918" t="s">
        <v>312</v>
      </c>
      <c r="E918">
        <v>240.38</v>
      </c>
      <c r="F918" t="s">
        <v>324</v>
      </c>
      <c r="G918" t="s">
        <v>327</v>
      </c>
      <c r="I918" t="s">
        <v>17</v>
      </c>
      <c r="J918" t="s">
        <v>102</v>
      </c>
      <c r="K918" t="s">
        <v>14</v>
      </c>
      <c r="L918" t="s">
        <v>313</v>
      </c>
      <c r="M918" t="s">
        <v>314</v>
      </c>
      <c r="N918">
        <v>0</v>
      </c>
      <c r="O918" t="str">
        <f>IF(Transactions_RAW_cleaned[[#This Row],[Status]]="Completed", IFERROR(_xlfn.XLOOKUP(Transactions_RAW_cleaned[[#This Row],[CustomerID]], Customers_cleaned[CustomerID], Customers_cleaned[Segment]), "Customer Not Found"), "N/A")</f>
        <v>Enterprise</v>
      </c>
      <c r="P918" s="5" t="str">
        <f>IF(Transactions_RAW_cleaned[[#This Row],[Status]]="Refunded", "Refund",
  IF(Transactions_RAW_cleaned[[#This Row],[Category]]="Payments", IF(Transactions_RAW_cleaned[[#This Row],[Amount]]&gt;500,"High Value","Standard"),
    IF(Transactions_RAW_cleaned[[#This Row],[Amount]]&gt;250,"High Value","Standard")))</f>
        <v>Standard</v>
      </c>
      <c r="Q918" s="5" t="str">
        <f>IF(Transactions_RAW_cleaned[[#This Row],[Amount]] &gt; (_xlfn.XLOOKUP(Transactions_RAW_cleaned[[#This Row],[ServiceID]],Services_cleaned[ServiceID],Services_cleaned[TransactionFeePct]) * 10000), "Yes", "No")</f>
        <v>Yes</v>
      </c>
      <c r="R918" s="5" t="str">
        <f>IF(COUNTIFS($C$2:Transactions_RAW_cleaned[[#This Row],[CustomerID]],Transactions_RAW_cleaned[[#This Row],[CustomerID]],$D$2:Transactions_RAW_cleaned[[#This Row],[ServiceID]],Transactions_RAW_cleaned[[#This Row],[ServiceID]])=1,"Yes","No")</f>
        <v>Yes</v>
      </c>
      <c r="S91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18" t="str">
        <f>"Q"&amp;ROUNDUP(MONTH(Transactions_RAW_cleaned[[#This Row],[TransactionDate]])/3,0)</f>
        <v>Q1</v>
      </c>
      <c r="U918" t="str">
        <f>Transactions_RAW_cleaned[[#This Row],[Region ]]&amp;Transactions_RAW_cleaned[[#This Row],[Quarter ]]</f>
        <v>NAQ1</v>
      </c>
      <c r="V918" s="5">
        <f>_xlfn.XLOOKUP(Transactions_RAW_cleaned[[#This Row],[RegionQuarterKey]], Quarterly_Targets_cleaned[RegionQuarterKey], Quarterly_Targets_cleaned[TargetRevenue])</f>
        <v>247000</v>
      </c>
    </row>
    <row r="919" spans="1:22" x14ac:dyDescent="0.25">
      <c r="A919" t="s">
        <v>1252</v>
      </c>
      <c r="B919" s="1">
        <v>45448</v>
      </c>
      <c r="C919" t="s">
        <v>119</v>
      </c>
      <c r="D919" t="s">
        <v>294</v>
      </c>
      <c r="E919">
        <v>684.73</v>
      </c>
      <c r="F919" t="s">
        <v>324</v>
      </c>
      <c r="G919" t="s">
        <v>329</v>
      </c>
      <c r="I919" t="s">
        <v>57</v>
      </c>
      <c r="J919" t="s">
        <v>102</v>
      </c>
      <c r="K919" t="s">
        <v>18</v>
      </c>
      <c r="L919" t="s">
        <v>295</v>
      </c>
      <c r="M919" t="s">
        <v>296</v>
      </c>
      <c r="N919">
        <v>2.9000000000000001E-2</v>
      </c>
      <c r="O919" t="str">
        <f>IF(Transactions_RAW_cleaned[[#This Row],[Status]]="Completed", IFERROR(_xlfn.XLOOKUP(Transactions_RAW_cleaned[[#This Row],[CustomerID]], Customers_cleaned[CustomerID], Customers_cleaned[Segment]), "Customer Not Found"), "N/A")</f>
        <v>Startup</v>
      </c>
      <c r="P919" s="5" t="str">
        <f>IF(Transactions_RAW_cleaned[[#This Row],[Status]]="Refunded", "Refund",
  IF(Transactions_RAW_cleaned[[#This Row],[Category]]="Payments", IF(Transactions_RAW_cleaned[[#This Row],[Amount]]&gt;500,"High Value","Standard"),
    IF(Transactions_RAW_cleaned[[#This Row],[Amount]]&gt;250,"High Value","Standard")))</f>
        <v>High Value</v>
      </c>
      <c r="Q919" s="5" t="str">
        <f>IF(Transactions_RAW_cleaned[[#This Row],[Amount]] &gt; (_xlfn.XLOOKUP(Transactions_RAW_cleaned[[#This Row],[ServiceID]],Services_cleaned[ServiceID],Services_cleaned[TransactionFeePct]) * 10000), "Yes", "No")</f>
        <v>Yes</v>
      </c>
      <c r="R919" s="5" t="str">
        <f>IF(COUNTIFS($C$2:Transactions_RAW_cleaned[[#This Row],[CustomerID]],Transactions_RAW_cleaned[[#This Row],[CustomerID]],$D$2:Transactions_RAW_cleaned[[#This Row],[ServiceID]],Transactions_RAW_cleaned[[#This Row],[ServiceID]])=1,"Yes","No")</f>
        <v>No</v>
      </c>
      <c r="S91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19" t="str">
        <f>"Q"&amp;ROUNDUP(MONTH(Transactions_RAW_cleaned[[#This Row],[TransactionDate]])/3,0)</f>
        <v>Q2</v>
      </c>
      <c r="U919" t="str">
        <f>Transactions_RAW_cleaned[[#This Row],[Region ]]&amp;Transactions_RAW_cleaned[[#This Row],[Quarter ]]</f>
        <v>NAQ2</v>
      </c>
      <c r="V919" s="5">
        <f>_xlfn.XLOOKUP(Transactions_RAW_cleaned[[#This Row],[RegionQuarterKey]], Quarterly_Targets_cleaned[RegionQuarterKey], Quarterly_Targets_cleaned[TargetRevenue])</f>
        <v>260000</v>
      </c>
    </row>
    <row r="920" spans="1:22" x14ac:dyDescent="0.25">
      <c r="A920" t="s">
        <v>1253</v>
      </c>
      <c r="B920" s="1">
        <v>45503</v>
      </c>
      <c r="C920" t="s">
        <v>185</v>
      </c>
      <c r="D920" t="s">
        <v>312</v>
      </c>
      <c r="E920">
        <v>268.37</v>
      </c>
      <c r="F920" t="s">
        <v>324</v>
      </c>
      <c r="G920" t="s">
        <v>329</v>
      </c>
      <c r="H920" t="s">
        <v>332</v>
      </c>
      <c r="I920" t="s">
        <v>17</v>
      </c>
      <c r="J920" t="s">
        <v>13</v>
      </c>
      <c r="K920" t="s">
        <v>32</v>
      </c>
      <c r="L920" t="s">
        <v>313</v>
      </c>
      <c r="M920" t="s">
        <v>314</v>
      </c>
      <c r="N920">
        <v>0</v>
      </c>
      <c r="O920" t="str">
        <f>IF(Transactions_RAW_cleaned[[#This Row],[Status]]="Completed", IFERROR(_xlfn.XLOOKUP(Transactions_RAW_cleaned[[#This Row],[CustomerID]], Customers_cleaned[CustomerID], Customers_cleaned[Segment]), "Customer Not Found"), "N/A")</f>
        <v>Enterprise</v>
      </c>
      <c r="P920" s="5" t="str">
        <f>IF(Transactions_RAW_cleaned[[#This Row],[Status]]="Refunded", "Refund",
  IF(Transactions_RAW_cleaned[[#This Row],[Category]]="Payments", IF(Transactions_RAW_cleaned[[#This Row],[Amount]]&gt;500,"High Value","Standard"),
    IF(Transactions_RAW_cleaned[[#This Row],[Amount]]&gt;250,"High Value","Standard")))</f>
        <v>High Value</v>
      </c>
      <c r="Q920" s="5" t="str">
        <f>IF(Transactions_RAW_cleaned[[#This Row],[Amount]] &gt; (_xlfn.XLOOKUP(Transactions_RAW_cleaned[[#This Row],[ServiceID]],Services_cleaned[ServiceID],Services_cleaned[TransactionFeePct]) * 10000), "Yes", "No")</f>
        <v>Yes</v>
      </c>
      <c r="R920" s="5" t="str">
        <f>IF(COUNTIFS($C$2:Transactions_RAW_cleaned[[#This Row],[CustomerID]],Transactions_RAW_cleaned[[#This Row],[CustomerID]],$D$2:Transactions_RAW_cleaned[[#This Row],[ServiceID]],Transactions_RAW_cleaned[[#This Row],[ServiceID]])=1,"Yes","No")</f>
        <v>No</v>
      </c>
      <c r="S92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20" t="str">
        <f>"Q"&amp;ROUNDUP(MONTH(Transactions_RAW_cleaned[[#This Row],[TransactionDate]])/3,0)</f>
        <v>Q3</v>
      </c>
      <c r="U920" t="str">
        <f>Transactions_RAW_cleaned[[#This Row],[Region ]]&amp;Transactions_RAW_cleaned[[#This Row],[Quarter ]]</f>
        <v>NAQ3</v>
      </c>
      <c r="V920" s="5">
        <f>_xlfn.XLOOKUP(Transactions_RAW_cleaned[[#This Row],[RegionQuarterKey]], Quarterly_Targets_cleaned[RegionQuarterKey], Quarterly_Targets_cleaned[TargetRevenue])</f>
        <v>273000</v>
      </c>
    </row>
    <row r="921" spans="1:22" x14ac:dyDescent="0.25">
      <c r="A921" t="s">
        <v>1254</v>
      </c>
      <c r="B921" s="1">
        <v>45644</v>
      </c>
      <c r="C921" t="s">
        <v>137</v>
      </c>
      <c r="D921" t="s">
        <v>303</v>
      </c>
      <c r="E921">
        <v>568.76</v>
      </c>
      <c r="F921" t="s">
        <v>324</v>
      </c>
      <c r="G921" t="s">
        <v>325</v>
      </c>
      <c r="H921" t="s">
        <v>346</v>
      </c>
      <c r="I921" t="s">
        <v>8</v>
      </c>
      <c r="J921" t="s">
        <v>13</v>
      </c>
      <c r="K921" t="s">
        <v>18</v>
      </c>
      <c r="L921" t="s">
        <v>304</v>
      </c>
      <c r="M921" t="s">
        <v>305</v>
      </c>
      <c r="N921">
        <v>1E-3</v>
      </c>
      <c r="O921" t="str">
        <f>IF(Transactions_RAW_cleaned[[#This Row],[Status]]="Completed", IFERROR(_xlfn.XLOOKUP(Transactions_RAW_cleaned[[#This Row],[CustomerID]], Customers_cleaned[CustomerID], Customers_cleaned[Segment]), "Customer Not Found"), "N/A")</f>
        <v>SMB</v>
      </c>
      <c r="P921" s="5" t="str">
        <f>IF(Transactions_RAW_cleaned[[#This Row],[Status]]="Refunded", "Refund",
  IF(Transactions_RAW_cleaned[[#This Row],[Category]]="Payments", IF(Transactions_RAW_cleaned[[#This Row],[Amount]]&gt;500,"High Value","Standard"),
    IF(Transactions_RAW_cleaned[[#This Row],[Amount]]&gt;250,"High Value","Standard")))</f>
        <v>High Value</v>
      </c>
      <c r="Q921" s="5" t="str">
        <f>IF(Transactions_RAW_cleaned[[#This Row],[Amount]] &gt; (_xlfn.XLOOKUP(Transactions_RAW_cleaned[[#This Row],[ServiceID]],Services_cleaned[ServiceID],Services_cleaned[TransactionFeePct]) * 10000), "Yes", "No")</f>
        <v>Yes</v>
      </c>
      <c r="R921" s="5" t="str">
        <f>IF(COUNTIFS($C$2:Transactions_RAW_cleaned[[#This Row],[CustomerID]],Transactions_RAW_cleaned[[#This Row],[CustomerID]],$D$2:Transactions_RAW_cleaned[[#This Row],[ServiceID]],Transactions_RAW_cleaned[[#This Row],[ServiceID]])=1,"Yes","No")</f>
        <v>Yes</v>
      </c>
      <c r="S92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21" t="str">
        <f>"Q"&amp;ROUNDUP(MONTH(Transactions_RAW_cleaned[[#This Row],[TransactionDate]])/3,0)</f>
        <v>Q4</v>
      </c>
      <c r="U921" t="str">
        <f>Transactions_RAW_cleaned[[#This Row],[Region ]]&amp;Transactions_RAW_cleaned[[#This Row],[Quarter ]]</f>
        <v>NAQ4</v>
      </c>
      <c r="V921" s="5">
        <f>_xlfn.XLOOKUP(Transactions_RAW_cleaned[[#This Row],[RegionQuarterKey]], Quarterly_Targets_cleaned[RegionQuarterKey], Quarterly_Targets_cleaned[TargetRevenue])</f>
        <v>299000</v>
      </c>
    </row>
    <row r="922" spans="1:22" x14ac:dyDescent="0.25">
      <c r="A922" t="s">
        <v>1255</v>
      </c>
      <c r="B922" s="1">
        <v>45554</v>
      </c>
      <c r="C922" t="s">
        <v>189</v>
      </c>
      <c r="D922" t="s">
        <v>297</v>
      </c>
      <c r="E922">
        <v>373.41</v>
      </c>
      <c r="F922" t="s">
        <v>381</v>
      </c>
      <c r="G922" t="s">
        <v>327</v>
      </c>
      <c r="I922" t="s">
        <v>17</v>
      </c>
      <c r="J922" t="s">
        <v>102</v>
      </c>
      <c r="K922" t="s">
        <v>14</v>
      </c>
      <c r="L922" t="s">
        <v>298</v>
      </c>
      <c r="M922" t="s">
        <v>299</v>
      </c>
      <c r="N922">
        <v>0</v>
      </c>
      <c r="O922" t="str">
        <f>IF(Transactions_RAW_cleaned[[#This Row],[Status]]="Completed", IFERROR(_xlfn.XLOOKUP(Transactions_RAW_cleaned[[#This Row],[CustomerID]], Customers_cleaned[CustomerID], Customers_cleaned[Segment]), "Customer Not Found"), "N/A")</f>
        <v>N/A</v>
      </c>
      <c r="P922" s="5" t="str">
        <f>IF(Transactions_RAW_cleaned[[#This Row],[Status]]="Refunded", "Refund",
  IF(Transactions_RAW_cleaned[[#This Row],[Category]]="Payments", IF(Transactions_RAW_cleaned[[#This Row],[Amount]]&gt;500,"High Value","Standard"),
    IF(Transactions_RAW_cleaned[[#This Row],[Amount]]&gt;250,"High Value","Standard")))</f>
        <v>High Value</v>
      </c>
      <c r="Q922" s="5" t="str">
        <f>IF(Transactions_RAW_cleaned[[#This Row],[Amount]] &gt; (_xlfn.XLOOKUP(Transactions_RAW_cleaned[[#This Row],[ServiceID]],Services_cleaned[ServiceID],Services_cleaned[TransactionFeePct]) * 10000), "Yes", "No")</f>
        <v>Yes</v>
      </c>
      <c r="R922" s="5" t="str">
        <f>IF(COUNTIFS($C$2:Transactions_RAW_cleaned[[#This Row],[CustomerID]],Transactions_RAW_cleaned[[#This Row],[CustomerID]],$D$2:Transactions_RAW_cleaned[[#This Row],[ServiceID]],Transactions_RAW_cleaned[[#This Row],[ServiceID]])=1,"Yes","No")</f>
        <v>No</v>
      </c>
      <c r="S92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22" t="str">
        <f>"Q"&amp;ROUNDUP(MONTH(Transactions_RAW_cleaned[[#This Row],[TransactionDate]])/3,0)</f>
        <v>Q3</v>
      </c>
      <c r="U922" t="str">
        <f>Transactions_RAW_cleaned[[#This Row],[Region ]]&amp;Transactions_RAW_cleaned[[#This Row],[Quarter ]]</f>
        <v>NAQ3</v>
      </c>
      <c r="V922" s="5">
        <f>_xlfn.XLOOKUP(Transactions_RAW_cleaned[[#This Row],[RegionQuarterKey]], Quarterly_Targets_cleaned[RegionQuarterKey], Quarterly_Targets_cleaned[TargetRevenue])</f>
        <v>273000</v>
      </c>
    </row>
    <row r="923" spans="1:22" x14ac:dyDescent="0.25">
      <c r="A923" t="s">
        <v>1256</v>
      </c>
      <c r="B923" s="1">
        <v>45328</v>
      </c>
      <c r="C923" t="s">
        <v>201</v>
      </c>
      <c r="D923" t="s">
        <v>303</v>
      </c>
      <c r="E923">
        <v>261.76</v>
      </c>
      <c r="F923" t="s">
        <v>324</v>
      </c>
      <c r="G923" t="s">
        <v>329</v>
      </c>
      <c r="H923" t="s">
        <v>334</v>
      </c>
      <c r="I923" t="s">
        <v>57</v>
      </c>
      <c r="J923" t="s">
        <v>37</v>
      </c>
      <c r="K923" t="s">
        <v>32</v>
      </c>
      <c r="L923" t="s">
        <v>304</v>
      </c>
      <c r="M923" t="s">
        <v>305</v>
      </c>
      <c r="N923">
        <v>1E-3</v>
      </c>
      <c r="O923" t="str">
        <f>IF(Transactions_RAW_cleaned[[#This Row],[Status]]="Completed", IFERROR(_xlfn.XLOOKUP(Transactions_RAW_cleaned[[#This Row],[CustomerID]], Customers_cleaned[CustomerID], Customers_cleaned[Segment]), "Customer Not Found"), "N/A")</f>
        <v>Startup</v>
      </c>
      <c r="P923" s="5" t="str">
        <f>IF(Transactions_RAW_cleaned[[#This Row],[Status]]="Refunded", "Refund",
  IF(Transactions_RAW_cleaned[[#This Row],[Category]]="Payments", IF(Transactions_RAW_cleaned[[#This Row],[Amount]]&gt;500,"High Value","Standard"),
    IF(Transactions_RAW_cleaned[[#This Row],[Amount]]&gt;250,"High Value","Standard")))</f>
        <v>High Value</v>
      </c>
      <c r="Q923" s="5" t="str">
        <f>IF(Transactions_RAW_cleaned[[#This Row],[Amount]] &gt; (_xlfn.XLOOKUP(Transactions_RAW_cleaned[[#This Row],[ServiceID]],Services_cleaned[ServiceID],Services_cleaned[TransactionFeePct]) * 10000), "Yes", "No")</f>
        <v>Yes</v>
      </c>
      <c r="R923" s="5" t="str">
        <f>IF(COUNTIFS($C$2:Transactions_RAW_cleaned[[#This Row],[CustomerID]],Transactions_RAW_cleaned[[#This Row],[CustomerID]],$D$2:Transactions_RAW_cleaned[[#This Row],[ServiceID]],Transactions_RAW_cleaned[[#This Row],[ServiceID]])=1,"Yes","No")</f>
        <v>Yes</v>
      </c>
      <c r="S92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23" t="str">
        <f>"Q"&amp;ROUNDUP(MONTH(Transactions_RAW_cleaned[[#This Row],[TransactionDate]])/3,0)</f>
        <v>Q1</v>
      </c>
      <c r="U923" t="str">
        <f>Transactions_RAW_cleaned[[#This Row],[Region ]]&amp;Transactions_RAW_cleaned[[#This Row],[Quarter ]]</f>
        <v>EMEAQ1</v>
      </c>
      <c r="V923" s="5">
        <f>_xlfn.XLOOKUP(Transactions_RAW_cleaned[[#This Row],[RegionQuarterKey]], Quarterly_Targets_cleaned[RegionQuarterKey], Quarterly_Targets_cleaned[TargetRevenue])</f>
        <v>133000</v>
      </c>
    </row>
    <row r="924" spans="1:22" x14ac:dyDescent="0.25">
      <c r="A924" t="s">
        <v>1257</v>
      </c>
      <c r="B924" s="1">
        <v>45550</v>
      </c>
      <c r="C924" t="s">
        <v>141</v>
      </c>
      <c r="D924" t="s">
        <v>300</v>
      </c>
      <c r="E924">
        <v>735.5</v>
      </c>
      <c r="F924" t="s">
        <v>324</v>
      </c>
      <c r="G924" t="s">
        <v>325</v>
      </c>
      <c r="H924" t="s">
        <v>346</v>
      </c>
      <c r="I924" t="s">
        <v>57</v>
      </c>
      <c r="J924" t="s">
        <v>25</v>
      </c>
      <c r="K924" t="s">
        <v>10</v>
      </c>
      <c r="L924" t="s">
        <v>301</v>
      </c>
      <c r="M924" t="s">
        <v>302</v>
      </c>
      <c r="N924">
        <v>5.0000000000000001E-3</v>
      </c>
      <c r="O924" t="str">
        <f>IF(Transactions_RAW_cleaned[[#This Row],[Status]]="Completed", IFERROR(_xlfn.XLOOKUP(Transactions_RAW_cleaned[[#This Row],[CustomerID]], Customers_cleaned[CustomerID], Customers_cleaned[Segment]), "Customer Not Found"), "N/A")</f>
        <v>Startup</v>
      </c>
      <c r="P924" s="5" t="str">
        <f>IF(Transactions_RAW_cleaned[[#This Row],[Status]]="Refunded", "Refund",
  IF(Transactions_RAW_cleaned[[#This Row],[Category]]="Payments", IF(Transactions_RAW_cleaned[[#This Row],[Amount]]&gt;500,"High Value","Standard"),
    IF(Transactions_RAW_cleaned[[#This Row],[Amount]]&gt;250,"High Value","Standard")))</f>
        <v>High Value</v>
      </c>
      <c r="Q924" s="5" t="str">
        <f>IF(Transactions_RAW_cleaned[[#This Row],[Amount]] &gt; (_xlfn.XLOOKUP(Transactions_RAW_cleaned[[#This Row],[ServiceID]],Services_cleaned[ServiceID],Services_cleaned[TransactionFeePct]) * 10000), "Yes", "No")</f>
        <v>Yes</v>
      </c>
      <c r="R924" s="5" t="str">
        <f>IF(COUNTIFS($C$2:Transactions_RAW_cleaned[[#This Row],[CustomerID]],Transactions_RAW_cleaned[[#This Row],[CustomerID]],$D$2:Transactions_RAW_cleaned[[#This Row],[ServiceID]],Transactions_RAW_cleaned[[#This Row],[ServiceID]])=1,"Yes","No")</f>
        <v>Yes</v>
      </c>
      <c r="S92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24" t="str">
        <f>"Q"&amp;ROUNDUP(MONTH(Transactions_RAW_cleaned[[#This Row],[TransactionDate]])/3,0)</f>
        <v>Q3</v>
      </c>
      <c r="U924" t="str">
        <f>Transactions_RAW_cleaned[[#This Row],[Region ]]&amp;Transactions_RAW_cleaned[[#This Row],[Quarter ]]</f>
        <v>APACQ3</v>
      </c>
      <c r="V924" s="5">
        <f>_xlfn.XLOOKUP(Transactions_RAW_cleaned[[#This Row],[RegionQuarterKey]], Quarterly_Targets_cleaned[RegionQuarterKey], Quarterly_Targets_cleaned[TargetRevenue])</f>
        <v>115500</v>
      </c>
    </row>
    <row r="925" spans="1:22" x14ac:dyDescent="0.25">
      <c r="A925" t="s">
        <v>1258</v>
      </c>
      <c r="B925" s="1">
        <v>45591</v>
      </c>
      <c r="C925" t="s">
        <v>51</v>
      </c>
      <c r="D925" t="s">
        <v>297</v>
      </c>
      <c r="E925">
        <v>543.29</v>
      </c>
      <c r="F925" t="s">
        <v>324</v>
      </c>
      <c r="G925" t="s">
        <v>337</v>
      </c>
      <c r="I925" t="s">
        <v>8</v>
      </c>
      <c r="J925" t="s">
        <v>31</v>
      </c>
      <c r="K925" t="s">
        <v>14</v>
      </c>
      <c r="L925" t="s">
        <v>298</v>
      </c>
      <c r="M925" t="s">
        <v>299</v>
      </c>
      <c r="N925">
        <v>0</v>
      </c>
      <c r="O925" t="str">
        <f>IF(Transactions_RAW_cleaned[[#This Row],[Status]]="Completed", IFERROR(_xlfn.XLOOKUP(Transactions_RAW_cleaned[[#This Row],[CustomerID]], Customers_cleaned[CustomerID], Customers_cleaned[Segment]), "Customer Not Found"), "N/A")</f>
        <v>SMB</v>
      </c>
      <c r="P925" s="5" t="str">
        <f>IF(Transactions_RAW_cleaned[[#This Row],[Status]]="Refunded", "Refund",
  IF(Transactions_RAW_cleaned[[#This Row],[Category]]="Payments", IF(Transactions_RAW_cleaned[[#This Row],[Amount]]&gt;500,"High Value","Standard"),
    IF(Transactions_RAW_cleaned[[#This Row],[Amount]]&gt;250,"High Value","Standard")))</f>
        <v>High Value</v>
      </c>
      <c r="Q925" s="5" t="str">
        <f>IF(Transactions_RAW_cleaned[[#This Row],[Amount]] &gt; (_xlfn.XLOOKUP(Transactions_RAW_cleaned[[#This Row],[ServiceID]],Services_cleaned[ServiceID],Services_cleaned[TransactionFeePct]) * 10000), "Yes", "No")</f>
        <v>Yes</v>
      </c>
      <c r="R925" s="5" t="str">
        <f>IF(COUNTIFS($C$2:Transactions_RAW_cleaned[[#This Row],[CustomerID]],Transactions_RAW_cleaned[[#This Row],[CustomerID]],$D$2:Transactions_RAW_cleaned[[#This Row],[ServiceID]],Transactions_RAW_cleaned[[#This Row],[ServiceID]])=1,"Yes","No")</f>
        <v>Yes</v>
      </c>
      <c r="S92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25" t="str">
        <f>"Q"&amp;ROUNDUP(MONTH(Transactions_RAW_cleaned[[#This Row],[TransactionDate]])/3,0)</f>
        <v>Q4</v>
      </c>
      <c r="U925" t="str">
        <f>Transactions_RAW_cleaned[[#This Row],[Region ]]&amp;Transactions_RAW_cleaned[[#This Row],[Quarter ]]</f>
        <v>EMEAQ4</v>
      </c>
      <c r="V925" s="5">
        <f>_xlfn.XLOOKUP(Transactions_RAW_cleaned[[#This Row],[RegionQuarterKey]], Quarterly_Targets_cleaned[RegionQuarterKey], Quarterly_Targets_cleaned[TargetRevenue])</f>
        <v>161000</v>
      </c>
    </row>
    <row r="926" spans="1:22" x14ac:dyDescent="0.25">
      <c r="A926" t="s">
        <v>1259</v>
      </c>
      <c r="B926" s="1">
        <v>45657</v>
      </c>
      <c r="C926" t="s">
        <v>33</v>
      </c>
      <c r="D926" t="s">
        <v>303</v>
      </c>
      <c r="E926">
        <v>121.3</v>
      </c>
      <c r="F926" t="s">
        <v>324</v>
      </c>
      <c r="G926" t="s">
        <v>337</v>
      </c>
      <c r="I926" t="s">
        <v>17</v>
      </c>
      <c r="J926" t="s">
        <v>31</v>
      </c>
      <c r="K926" t="s">
        <v>14</v>
      </c>
      <c r="L926" t="s">
        <v>304</v>
      </c>
      <c r="M926" t="s">
        <v>305</v>
      </c>
      <c r="N926">
        <v>1E-3</v>
      </c>
      <c r="O926" t="str">
        <f>IF(Transactions_RAW_cleaned[[#This Row],[Status]]="Completed", IFERROR(_xlfn.XLOOKUP(Transactions_RAW_cleaned[[#This Row],[CustomerID]], Customers_cleaned[CustomerID], Customers_cleaned[Segment]), "Customer Not Found"), "N/A")</f>
        <v>Enterprise</v>
      </c>
      <c r="P926" s="5" t="str">
        <f>IF(Transactions_RAW_cleaned[[#This Row],[Status]]="Refunded", "Refund",
  IF(Transactions_RAW_cleaned[[#This Row],[Category]]="Payments", IF(Transactions_RAW_cleaned[[#This Row],[Amount]]&gt;500,"High Value","Standard"),
    IF(Transactions_RAW_cleaned[[#This Row],[Amount]]&gt;250,"High Value","Standard")))</f>
        <v>Standard</v>
      </c>
      <c r="Q926" s="5" t="str">
        <f>IF(Transactions_RAW_cleaned[[#This Row],[Amount]] &gt; (_xlfn.XLOOKUP(Transactions_RAW_cleaned[[#This Row],[ServiceID]],Services_cleaned[ServiceID],Services_cleaned[TransactionFeePct]) * 10000), "Yes", "No")</f>
        <v>Yes</v>
      </c>
      <c r="R926" s="5" t="str">
        <f>IF(COUNTIFS($C$2:Transactions_RAW_cleaned[[#This Row],[CustomerID]],Transactions_RAW_cleaned[[#This Row],[CustomerID]],$D$2:Transactions_RAW_cleaned[[#This Row],[ServiceID]],Transactions_RAW_cleaned[[#This Row],[ServiceID]])=1,"Yes","No")</f>
        <v>No</v>
      </c>
      <c r="S92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26" t="str">
        <f>"Q"&amp;ROUNDUP(MONTH(Transactions_RAW_cleaned[[#This Row],[TransactionDate]])/3,0)</f>
        <v>Q4</v>
      </c>
      <c r="U926" t="str">
        <f>Transactions_RAW_cleaned[[#This Row],[Region ]]&amp;Transactions_RAW_cleaned[[#This Row],[Quarter ]]</f>
        <v>EMEAQ4</v>
      </c>
      <c r="V926" s="5">
        <f>_xlfn.XLOOKUP(Transactions_RAW_cleaned[[#This Row],[RegionQuarterKey]], Quarterly_Targets_cleaned[RegionQuarterKey], Quarterly_Targets_cleaned[TargetRevenue])</f>
        <v>161000</v>
      </c>
    </row>
    <row r="927" spans="1:22" x14ac:dyDescent="0.25">
      <c r="A927" t="s">
        <v>1260</v>
      </c>
      <c r="B927" s="1">
        <v>45420</v>
      </c>
      <c r="C927" t="s">
        <v>44</v>
      </c>
      <c r="D927" t="s">
        <v>294</v>
      </c>
      <c r="E927">
        <v>215.82</v>
      </c>
      <c r="F927" t="s">
        <v>324</v>
      </c>
      <c r="G927" t="s">
        <v>337</v>
      </c>
      <c r="H927" t="s">
        <v>346</v>
      </c>
      <c r="I927" t="s">
        <v>8</v>
      </c>
      <c r="J927" t="s">
        <v>46</v>
      </c>
      <c r="K927" t="s">
        <v>32</v>
      </c>
      <c r="L927" t="s">
        <v>295</v>
      </c>
      <c r="M927" t="s">
        <v>296</v>
      </c>
      <c r="N927">
        <v>2.9000000000000001E-2</v>
      </c>
      <c r="O927" t="str">
        <f>IF(Transactions_RAW_cleaned[[#This Row],[Status]]="Completed", IFERROR(_xlfn.XLOOKUP(Transactions_RAW_cleaned[[#This Row],[CustomerID]], Customers_cleaned[CustomerID], Customers_cleaned[Segment]), "Customer Not Found"), "N/A")</f>
        <v>SMB</v>
      </c>
      <c r="P927" s="5" t="str">
        <f>IF(Transactions_RAW_cleaned[[#This Row],[Status]]="Refunded", "Refund",
  IF(Transactions_RAW_cleaned[[#This Row],[Category]]="Payments", IF(Transactions_RAW_cleaned[[#This Row],[Amount]]&gt;500,"High Value","Standard"),
    IF(Transactions_RAW_cleaned[[#This Row],[Amount]]&gt;250,"High Value","Standard")))</f>
        <v>Standard</v>
      </c>
      <c r="Q927" s="5" t="str">
        <f>IF(Transactions_RAW_cleaned[[#This Row],[Amount]] &gt; (_xlfn.XLOOKUP(Transactions_RAW_cleaned[[#This Row],[ServiceID]],Services_cleaned[ServiceID],Services_cleaned[TransactionFeePct]) * 10000), "Yes", "No")</f>
        <v>No</v>
      </c>
      <c r="R927" s="5" t="str">
        <f>IF(COUNTIFS($C$2:Transactions_RAW_cleaned[[#This Row],[CustomerID]],Transactions_RAW_cleaned[[#This Row],[CustomerID]],$D$2:Transactions_RAW_cleaned[[#This Row],[ServiceID]],Transactions_RAW_cleaned[[#This Row],[ServiceID]])=1,"Yes","No")</f>
        <v>Yes</v>
      </c>
      <c r="S92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27" t="str">
        <f>"Q"&amp;ROUNDUP(MONTH(Transactions_RAW_cleaned[[#This Row],[TransactionDate]])/3,0)</f>
        <v>Q2</v>
      </c>
      <c r="U927" t="str">
        <f>Transactions_RAW_cleaned[[#This Row],[Region ]]&amp;Transactions_RAW_cleaned[[#This Row],[Quarter ]]</f>
        <v>APACQ2</v>
      </c>
      <c r="V927" s="5">
        <f>_xlfn.XLOOKUP(Transactions_RAW_cleaned[[#This Row],[RegionQuarterKey]], Quarterly_Targets_cleaned[RegionQuarterKey], Quarterly_Targets_cleaned[TargetRevenue])</f>
        <v>110000</v>
      </c>
    </row>
    <row r="928" spans="1:22" x14ac:dyDescent="0.25">
      <c r="A928" t="s">
        <v>1261</v>
      </c>
      <c r="B928" s="1">
        <v>45580</v>
      </c>
      <c r="C928" t="s">
        <v>271</v>
      </c>
      <c r="D928" t="s">
        <v>300</v>
      </c>
      <c r="E928">
        <v>406.18</v>
      </c>
      <c r="F928" t="s">
        <v>324</v>
      </c>
      <c r="G928" t="s">
        <v>337</v>
      </c>
      <c r="H928" t="s">
        <v>332</v>
      </c>
      <c r="I928" t="s">
        <v>8</v>
      </c>
      <c r="J928" t="s">
        <v>102</v>
      </c>
      <c r="K928" t="s">
        <v>28</v>
      </c>
      <c r="L928" t="s">
        <v>301</v>
      </c>
      <c r="M928" t="s">
        <v>302</v>
      </c>
      <c r="N928">
        <v>5.0000000000000001E-3</v>
      </c>
      <c r="O928" t="str">
        <f>IF(Transactions_RAW_cleaned[[#This Row],[Status]]="Completed", IFERROR(_xlfn.XLOOKUP(Transactions_RAW_cleaned[[#This Row],[CustomerID]], Customers_cleaned[CustomerID], Customers_cleaned[Segment]), "Customer Not Found"), "N/A")</f>
        <v>SMB</v>
      </c>
      <c r="P928" s="5" t="str">
        <f>IF(Transactions_RAW_cleaned[[#This Row],[Status]]="Refunded", "Refund",
  IF(Transactions_RAW_cleaned[[#This Row],[Category]]="Payments", IF(Transactions_RAW_cleaned[[#This Row],[Amount]]&gt;500,"High Value","Standard"),
    IF(Transactions_RAW_cleaned[[#This Row],[Amount]]&gt;250,"High Value","Standard")))</f>
        <v>High Value</v>
      </c>
      <c r="Q928" s="5" t="str">
        <f>IF(Transactions_RAW_cleaned[[#This Row],[Amount]] &gt; (_xlfn.XLOOKUP(Transactions_RAW_cleaned[[#This Row],[ServiceID]],Services_cleaned[ServiceID],Services_cleaned[TransactionFeePct]) * 10000), "Yes", "No")</f>
        <v>Yes</v>
      </c>
      <c r="R928" s="5" t="str">
        <f>IF(COUNTIFS($C$2:Transactions_RAW_cleaned[[#This Row],[CustomerID]],Transactions_RAW_cleaned[[#This Row],[CustomerID]],$D$2:Transactions_RAW_cleaned[[#This Row],[ServiceID]],Transactions_RAW_cleaned[[#This Row],[ServiceID]])=1,"Yes","No")</f>
        <v>No</v>
      </c>
      <c r="S92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28" t="str">
        <f>"Q"&amp;ROUNDUP(MONTH(Transactions_RAW_cleaned[[#This Row],[TransactionDate]])/3,0)</f>
        <v>Q4</v>
      </c>
      <c r="U928" t="str">
        <f>Transactions_RAW_cleaned[[#This Row],[Region ]]&amp;Transactions_RAW_cleaned[[#This Row],[Quarter ]]</f>
        <v>NAQ4</v>
      </c>
      <c r="V928" s="5">
        <f>_xlfn.XLOOKUP(Transactions_RAW_cleaned[[#This Row],[RegionQuarterKey]], Quarterly_Targets_cleaned[RegionQuarterKey], Quarterly_Targets_cleaned[TargetRevenue])</f>
        <v>299000</v>
      </c>
    </row>
    <row r="929" spans="1:22" x14ac:dyDescent="0.25">
      <c r="A929" t="s">
        <v>1262</v>
      </c>
      <c r="B929" s="1">
        <v>45312</v>
      </c>
      <c r="C929" t="s">
        <v>121</v>
      </c>
      <c r="D929" t="s">
        <v>300</v>
      </c>
      <c r="E929">
        <v>57.42</v>
      </c>
      <c r="F929" t="s">
        <v>324</v>
      </c>
      <c r="G929" t="s">
        <v>327</v>
      </c>
      <c r="H929" t="s">
        <v>332</v>
      </c>
      <c r="I929" t="s">
        <v>8</v>
      </c>
      <c r="J929" t="s">
        <v>37</v>
      </c>
      <c r="K929" t="s">
        <v>14</v>
      </c>
      <c r="L929" t="s">
        <v>301</v>
      </c>
      <c r="M929" t="s">
        <v>302</v>
      </c>
      <c r="N929">
        <v>5.0000000000000001E-3</v>
      </c>
      <c r="O929" t="str">
        <f>IF(Transactions_RAW_cleaned[[#This Row],[Status]]="Completed", IFERROR(_xlfn.XLOOKUP(Transactions_RAW_cleaned[[#This Row],[CustomerID]], Customers_cleaned[CustomerID], Customers_cleaned[Segment]), "Customer Not Found"), "N/A")</f>
        <v>SMB</v>
      </c>
      <c r="P929" s="5" t="str">
        <f>IF(Transactions_RAW_cleaned[[#This Row],[Status]]="Refunded", "Refund",
  IF(Transactions_RAW_cleaned[[#This Row],[Category]]="Payments", IF(Transactions_RAW_cleaned[[#This Row],[Amount]]&gt;500,"High Value","Standard"),
    IF(Transactions_RAW_cleaned[[#This Row],[Amount]]&gt;250,"High Value","Standard")))</f>
        <v>Standard</v>
      </c>
      <c r="Q929" s="5" t="str">
        <f>IF(Transactions_RAW_cleaned[[#This Row],[Amount]] &gt; (_xlfn.XLOOKUP(Transactions_RAW_cleaned[[#This Row],[ServiceID]],Services_cleaned[ServiceID],Services_cleaned[TransactionFeePct]) * 10000), "Yes", "No")</f>
        <v>Yes</v>
      </c>
      <c r="R929" s="5" t="str">
        <f>IF(COUNTIFS($C$2:Transactions_RAW_cleaned[[#This Row],[CustomerID]],Transactions_RAW_cleaned[[#This Row],[CustomerID]],$D$2:Transactions_RAW_cleaned[[#This Row],[ServiceID]],Transactions_RAW_cleaned[[#This Row],[ServiceID]])=1,"Yes","No")</f>
        <v>Yes</v>
      </c>
      <c r="S92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29" t="str">
        <f>"Q"&amp;ROUNDUP(MONTH(Transactions_RAW_cleaned[[#This Row],[TransactionDate]])/3,0)</f>
        <v>Q1</v>
      </c>
      <c r="U929" t="str">
        <f>Transactions_RAW_cleaned[[#This Row],[Region ]]&amp;Transactions_RAW_cleaned[[#This Row],[Quarter ]]</f>
        <v>EMEAQ1</v>
      </c>
      <c r="V929" s="5">
        <f>_xlfn.XLOOKUP(Transactions_RAW_cleaned[[#This Row],[RegionQuarterKey]], Quarterly_Targets_cleaned[RegionQuarterKey], Quarterly_Targets_cleaned[TargetRevenue])</f>
        <v>133000</v>
      </c>
    </row>
    <row r="930" spans="1:22" x14ac:dyDescent="0.25">
      <c r="A930" t="s">
        <v>1263</v>
      </c>
      <c r="B930" s="1">
        <v>45649</v>
      </c>
      <c r="C930" t="s">
        <v>88</v>
      </c>
      <c r="D930" t="s">
        <v>315</v>
      </c>
      <c r="E930">
        <v>380.8</v>
      </c>
      <c r="F930" t="s">
        <v>324</v>
      </c>
      <c r="G930" t="s">
        <v>327</v>
      </c>
      <c r="H930" t="s">
        <v>334</v>
      </c>
      <c r="I930" t="s">
        <v>8</v>
      </c>
      <c r="J930" t="s">
        <v>102</v>
      </c>
      <c r="K930" t="s">
        <v>18</v>
      </c>
      <c r="L930" t="s">
        <v>316</v>
      </c>
      <c r="M930" t="s">
        <v>305</v>
      </c>
      <c r="N930">
        <v>2.5000000000000001E-3</v>
      </c>
      <c r="O930" t="str">
        <f>IF(Transactions_RAW_cleaned[[#This Row],[Status]]="Completed", IFERROR(_xlfn.XLOOKUP(Transactions_RAW_cleaned[[#This Row],[CustomerID]], Customers_cleaned[CustomerID], Customers_cleaned[Segment]), "Customer Not Found"), "N/A")</f>
        <v>SMB</v>
      </c>
      <c r="P930" s="5" t="str">
        <f>IF(Transactions_RAW_cleaned[[#This Row],[Status]]="Refunded", "Refund",
  IF(Transactions_RAW_cleaned[[#This Row],[Category]]="Payments", IF(Transactions_RAW_cleaned[[#This Row],[Amount]]&gt;500,"High Value","Standard"),
    IF(Transactions_RAW_cleaned[[#This Row],[Amount]]&gt;250,"High Value","Standard")))</f>
        <v>High Value</v>
      </c>
      <c r="Q930" s="5" t="str">
        <f>IF(Transactions_RAW_cleaned[[#This Row],[Amount]] &gt; (_xlfn.XLOOKUP(Transactions_RAW_cleaned[[#This Row],[ServiceID]],Services_cleaned[ServiceID],Services_cleaned[TransactionFeePct]) * 10000), "Yes", "No")</f>
        <v>Yes</v>
      </c>
      <c r="R930" s="5" t="str">
        <f>IF(COUNTIFS($C$2:Transactions_RAW_cleaned[[#This Row],[CustomerID]],Transactions_RAW_cleaned[[#This Row],[CustomerID]],$D$2:Transactions_RAW_cleaned[[#This Row],[ServiceID]],Transactions_RAW_cleaned[[#This Row],[ServiceID]])=1,"Yes","No")</f>
        <v>No</v>
      </c>
      <c r="S93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30" t="str">
        <f>"Q"&amp;ROUNDUP(MONTH(Transactions_RAW_cleaned[[#This Row],[TransactionDate]])/3,0)</f>
        <v>Q4</v>
      </c>
      <c r="U930" t="str">
        <f>Transactions_RAW_cleaned[[#This Row],[Region ]]&amp;Transactions_RAW_cleaned[[#This Row],[Quarter ]]</f>
        <v>NAQ4</v>
      </c>
      <c r="V930" s="5">
        <f>_xlfn.XLOOKUP(Transactions_RAW_cleaned[[#This Row],[RegionQuarterKey]], Quarterly_Targets_cleaned[RegionQuarterKey], Quarterly_Targets_cleaned[TargetRevenue])</f>
        <v>299000</v>
      </c>
    </row>
    <row r="931" spans="1:22" x14ac:dyDescent="0.25">
      <c r="A931" t="s">
        <v>1264</v>
      </c>
      <c r="B931" s="1">
        <v>45571</v>
      </c>
      <c r="C931" t="s">
        <v>251</v>
      </c>
      <c r="D931" t="s">
        <v>303</v>
      </c>
      <c r="E931">
        <v>137.07</v>
      </c>
      <c r="F931" t="s">
        <v>324</v>
      </c>
      <c r="G931" t="s">
        <v>329</v>
      </c>
      <c r="H931" t="s">
        <v>332</v>
      </c>
      <c r="I931" t="s">
        <v>17</v>
      </c>
      <c r="J931" t="s">
        <v>46</v>
      </c>
      <c r="K931" t="s">
        <v>14</v>
      </c>
      <c r="L931" t="s">
        <v>304</v>
      </c>
      <c r="M931" t="s">
        <v>305</v>
      </c>
      <c r="N931">
        <v>1E-3</v>
      </c>
      <c r="O931" t="str">
        <f>IF(Transactions_RAW_cleaned[[#This Row],[Status]]="Completed", IFERROR(_xlfn.XLOOKUP(Transactions_RAW_cleaned[[#This Row],[CustomerID]], Customers_cleaned[CustomerID], Customers_cleaned[Segment]), "Customer Not Found"), "N/A")</f>
        <v>Enterprise</v>
      </c>
      <c r="P931" s="5" t="str">
        <f>IF(Transactions_RAW_cleaned[[#This Row],[Status]]="Refunded", "Refund",
  IF(Transactions_RAW_cleaned[[#This Row],[Category]]="Payments", IF(Transactions_RAW_cleaned[[#This Row],[Amount]]&gt;500,"High Value","Standard"),
    IF(Transactions_RAW_cleaned[[#This Row],[Amount]]&gt;250,"High Value","Standard")))</f>
        <v>Standard</v>
      </c>
      <c r="Q931" s="5" t="str">
        <f>IF(Transactions_RAW_cleaned[[#This Row],[Amount]] &gt; (_xlfn.XLOOKUP(Transactions_RAW_cleaned[[#This Row],[ServiceID]],Services_cleaned[ServiceID],Services_cleaned[TransactionFeePct]) * 10000), "Yes", "No")</f>
        <v>Yes</v>
      </c>
      <c r="R931" s="5" t="str">
        <f>IF(COUNTIFS($C$2:Transactions_RAW_cleaned[[#This Row],[CustomerID]],Transactions_RAW_cleaned[[#This Row],[CustomerID]],$D$2:Transactions_RAW_cleaned[[#This Row],[ServiceID]],Transactions_RAW_cleaned[[#This Row],[ServiceID]])=1,"Yes","No")</f>
        <v>Yes</v>
      </c>
      <c r="S93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31" t="str">
        <f>"Q"&amp;ROUNDUP(MONTH(Transactions_RAW_cleaned[[#This Row],[TransactionDate]])/3,0)</f>
        <v>Q4</v>
      </c>
      <c r="U931" t="str">
        <f>Transactions_RAW_cleaned[[#This Row],[Region ]]&amp;Transactions_RAW_cleaned[[#This Row],[Quarter ]]</f>
        <v>APACQ4</v>
      </c>
      <c r="V931" s="5">
        <f>_xlfn.XLOOKUP(Transactions_RAW_cleaned[[#This Row],[RegionQuarterKey]], Quarterly_Targets_cleaned[RegionQuarterKey], Quarterly_Targets_cleaned[TargetRevenue])</f>
        <v>126500</v>
      </c>
    </row>
    <row r="932" spans="1:22" x14ac:dyDescent="0.25">
      <c r="A932" t="s">
        <v>1265</v>
      </c>
      <c r="B932" s="1">
        <v>45482</v>
      </c>
      <c r="C932" t="s">
        <v>131</v>
      </c>
      <c r="D932" t="s">
        <v>294</v>
      </c>
      <c r="E932">
        <v>-245.78</v>
      </c>
      <c r="F932" t="s">
        <v>349</v>
      </c>
      <c r="G932" t="s">
        <v>327</v>
      </c>
      <c r="I932" t="s">
        <v>17</v>
      </c>
      <c r="J932" t="s">
        <v>102</v>
      </c>
      <c r="K932" t="s">
        <v>22</v>
      </c>
      <c r="L932" t="s">
        <v>295</v>
      </c>
      <c r="M932" t="s">
        <v>296</v>
      </c>
      <c r="N932">
        <v>2.9000000000000001E-2</v>
      </c>
      <c r="O932" t="str">
        <f>IF(Transactions_RAW_cleaned[[#This Row],[Status]]="Completed", IFERROR(_xlfn.XLOOKUP(Transactions_RAW_cleaned[[#This Row],[CustomerID]], Customers_cleaned[CustomerID], Customers_cleaned[Segment]), "Customer Not Found"), "N/A")</f>
        <v>N/A</v>
      </c>
      <c r="P932" s="5" t="str">
        <f>IF(Transactions_RAW_cleaned[[#This Row],[Status]]="Refunded", "Refund",
  IF(Transactions_RAW_cleaned[[#This Row],[Category]]="Payments", IF(Transactions_RAW_cleaned[[#This Row],[Amount]]&gt;500,"High Value","Standard"),
    IF(Transactions_RAW_cleaned[[#This Row],[Amount]]&gt;250,"High Value","Standard")))</f>
        <v>Refund</v>
      </c>
      <c r="Q932" s="5" t="str">
        <f>IF(Transactions_RAW_cleaned[[#This Row],[Amount]] &gt; (_xlfn.XLOOKUP(Transactions_RAW_cleaned[[#This Row],[ServiceID]],Services_cleaned[ServiceID],Services_cleaned[TransactionFeePct]) * 10000), "Yes", "No")</f>
        <v>No</v>
      </c>
      <c r="R932" s="5" t="str">
        <f>IF(COUNTIFS($C$2:Transactions_RAW_cleaned[[#This Row],[CustomerID]],Transactions_RAW_cleaned[[#This Row],[CustomerID]],$D$2:Transactions_RAW_cleaned[[#This Row],[ServiceID]],Transactions_RAW_cleaned[[#This Row],[ServiceID]])=1,"Yes","No")</f>
        <v>No</v>
      </c>
      <c r="S93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32" t="str">
        <f>"Q"&amp;ROUNDUP(MONTH(Transactions_RAW_cleaned[[#This Row],[TransactionDate]])/3,0)</f>
        <v>Q3</v>
      </c>
      <c r="U932" t="str">
        <f>Transactions_RAW_cleaned[[#This Row],[Region ]]&amp;Transactions_RAW_cleaned[[#This Row],[Quarter ]]</f>
        <v>NAQ3</v>
      </c>
      <c r="V932" s="5">
        <f>_xlfn.XLOOKUP(Transactions_RAW_cleaned[[#This Row],[RegionQuarterKey]], Quarterly_Targets_cleaned[RegionQuarterKey], Quarterly_Targets_cleaned[TargetRevenue])</f>
        <v>273000</v>
      </c>
    </row>
    <row r="933" spans="1:22" x14ac:dyDescent="0.25">
      <c r="A933" t="s">
        <v>1266</v>
      </c>
      <c r="B933" s="1">
        <v>45311</v>
      </c>
      <c r="C933" t="s">
        <v>139</v>
      </c>
      <c r="D933" t="s">
        <v>300</v>
      </c>
      <c r="E933">
        <v>241.58</v>
      </c>
      <c r="F933" t="s">
        <v>331</v>
      </c>
      <c r="G933" t="s">
        <v>337</v>
      </c>
      <c r="I933" t="s">
        <v>8</v>
      </c>
      <c r="J933" t="s">
        <v>102</v>
      </c>
      <c r="K933" t="s">
        <v>22</v>
      </c>
      <c r="L933" t="s">
        <v>301</v>
      </c>
      <c r="M933" t="s">
        <v>302</v>
      </c>
      <c r="N933">
        <v>5.0000000000000001E-3</v>
      </c>
      <c r="O933" t="str">
        <f>IF(Transactions_RAW_cleaned[[#This Row],[Status]]="Completed", IFERROR(_xlfn.XLOOKUP(Transactions_RAW_cleaned[[#This Row],[CustomerID]], Customers_cleaned[CustomerID], Customers_cleaned[Segment]), "Customer Not Found"), "N/A")</f>
        <v>N/A</v>
      </c>
      <c r="P933" s="5" t="str">
        <f>IF(Transactions_RAW_cleaned[[#This Row],[Status]]="Refunded", "Refund",
  IF(Transactions_RAW_cleaned[[#This Row],[Category]]="Payments", IF(Transactions_RAW_cleaned[[#This Row],[Amount]]&gt;500,"High Value","Standard"),
    IF(Transactions_RAW_cleaned[[#This Row],[Amount]]&gt;250,"High Value","Standard")))</f>
        <v>Standard</v>
      </c>
      <c r="Q933" s="5" t="str">
        <f>IF(Transactions_RAW_cleaned[[#This Row],[Amount]] &gt; (_xlfn.XLOOKUP(Transactions_RAW_cleaned[[#This Row],[ServiceID]],Services_cleaned[ServiceID],Services_cleaned[TransactionFeePct]) * 10000), "Yes", "No")</f>
        <v>Yes</v>
      </c>
      <c r="R933" s="5" t="str">
        <f>IF(COUNTIFS($C$2:Transactions_RAW_cleaned[[#This Row],[CustomerID]],Transactions_RAW_cleaned[[#This Row],[CustomerID]],$D$2:Transactions_RAW_cleaned[[#This Row],[ServiceID]],Transactions_RAW_cleaned[[#This Row],[ServiceID]])=1,"Yes","No")</f>
        <v>No</v>
      </c>
      <c r="S93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33" t="str">
        <f>"Q"&amp;ROUNDUP(MONTH(Transactions_RAW_cleaned[[#This Row],[TransactionDate]])/3,0)</f>
        <v>Q1</v>
      </c>
      <c r="U933" t="str">
        <f>Transactions_RAW_cleaned[[#This Row],[Region ]]&amp;Transactions_RAW_cleaned[[#This Row],[Quarter ]]</f>
        <v>NAQ1</v>
      </c>
      <c r="V933" s="5">
        <f>_xlfn.XLOOKUP(Transactions_RAW_cleaned[[#This Row],[RegionQuarterKey]], Quarterly_Targets_cleaned[RegionQuarterKey], Quarterly_Targets_cleaned[TargetRevenue])</f>
        <v>247000</v>
      </c>
    </row>
    <row r="934" spans="1:22" x14ac:dyDescent="0.25">
      <c r="A934" t="s">
        <v>1267</v>
      </c>
      <c r="B934" s="1">
        <v>45349</v>
      </c>
      <c r="C934" t="s">
        <v>257</v>
      </c>
      <c r="D934" t="s">
        <v>294</v>
      </c>
      <c r="E934">
        <v>215.45</v>
      </c>
      <c r="F934" t="s">
        <v>324</v>
      </c>
      <c r="G934" t="s">
        <v>327</v>
      </c>
      <c r="H934" t="s">
        <v>334</v>
      </c>
      <c r="I934" t="s">
        <v>57</v>
      </c>
      <c r="J934" t="s">
        <v>13</v>
      </c>
      <c r="K934" t="s">
        <v>22</v>
      </c>
      <c r="L934" t="s">
        <v>295</v>
      </c>
      <c r="M934" t="s">
        <v>296</v>
      </c>
      <c r="N934">
        <v>2.9000000000000001E-2</v>
      </c>
      <c r="O934" t="str">
        <f>IF(Transactions_RAW_cleaned[[#This Row],[Status]]="Completed", IFERROR(_xlfn.XLOOKUP(Transactions_RAW_cleaned[[#This Row],[CustomerID]], Customers_cleaned[CustomerID], Customers_cleaned[Segment]), "Customer Not Found"), "N/A")</f>
        <v>Startup</v>
      </c>
      <c r="P934" s="5" t="str">
        <f>IF(Transactions_RAW_cleaned[[#This Row],[Status]]="Refunded", "Refund",
  IF(Transactions_RAW_cleaned[[#This Row],[Category]]="Payments", IF(Transactions_RAW_cleaned[[#This Row],[Amount]]&gt;500,"High Value","Standard"),
    IF(Transactions_RAW_cleaned[[#This Row],[Amount]]&gt;250,"High Value","Standard")))</f>
        <v>Standard</v>
      </c>
      <c r="Q934" s="5" t="str">
        <f>IF(Transactions_RAW_cleaned[[#This Row],[Amount]] &gt; (_xlfn.XLOOKUP(Transactions_RAW_cleaned[[#This Row],[ServiceID]],Services_cleaned[ServiceID],Services_cleaned[TransactionFeePct]) * 10000), "Yes", "No")</f>
        <v>No</v>
      </c>
      <c r="R934" s="5" t="str">
        <f>IF(COUNTIFS($C$2:Transactions_RAW_cleaned[[#This Row],[CustomerID]],Transactions_RAW_cleaned[[#This Row],[CustomerID]],$D$2:Transactions_RAW_cleaned[[#This Row],[ServiceID]],Transactions_RAW_cleaned[[#This Row],[ServiceID]])=1,"Yes","No")</f>
        <v>No</v>
      </c>
      <c r="S93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34" t="str">
        <f>"Q"&amp;ROUNDUP(MONTH(Transactions_RAW_cleaned[[#This Row],[TransactionDate]])/3,0)</f>
        <v>Q1</v>
      </c>
      <c r="U934" t="str">
        <f>Transactions_RAW_cleaned[[#This Row],[Region ]]&amp;Transactions_RAW_cleaned[[#This Row],[Quarter ]]</f>
        <v>NAQ1</v>
      </c>
      <c r="V934" s="5">
        <f>_xlfn.XLOOKUP(Transactions_RAW_cleaned[[#This Row],[RegionQuarterKey]], Quarterly_Targets_cleaned[RegionQuarterKey], Quarterly_Targets_cleaned[TargetRevenue])</f>
        <v>247000</v>
      </c>
    </row>
    <row r="935" spans="1:22" x14ac:dyDescent="0.25">
      <c r="A935" t="s">
        <v>1268</v>
      </c>
      <c r="B935" s="1">
        <v>45567</v>
      </c>
      <c r="C935" t="s">
        <v>76</v>
      </c>
      <c r="D935" t="s">
        <v>306</v>
      </c>
      <c r="E935">
        <v>297.11</v>
      </c>
      <c r="F935" t="s">
        <v>324</v>
      </c>
      <c r="G935" t="s">
        <v>327</v>
      </c>
      <c r="H935" t="s">
        <v>346</v>
      </c>
      <c r="I935" t="s">
        <v>17</v>
      </c>
      <c r="J935" t="s">
        <v>13</v>
      </c>
      <c r="K935" t="s">
        <v>18</v>
      </c>
      <c r="L935" t="s">
        <v>307</v>
      </c>
      <c r="M935" t="s">
        <v>308</v>
      </c>
      <c r="N935">
        <v>0</v>
      </c>
      <c r="O935" t="str">
        <f>IF(Transactions_RAW_cleaned[[#This Row],[Status]]="Completed", IFERROR(_xlfn.XLOOKUP(Transactions_RAW_cleaned[[#This Row],[CustomerID]], Customers_cleaned[CustomerID], Customers_cleaned[Segment]), "Customer Not Found"), "N/A")</f>
        <v>Enterprise</v>
      </c>
      <c r="P935" s="5" t="str">
        <f>IF(Transactions_RAW_cleaned[[#This Row],[Status]]="Refunded", "Refund",
  IF(Transactions_RAW_cleaned[[#This Row],[Category]]="Payments", IF(Transactions_RAW_cleaned[[#This Row],[Amount]]&gt;500,"High Value","Standard"),
    IF(Transactions_RAW_cleaned[[#This Row],[Amount]]&gt;250,"High Value","Standard")))</f>
        <v>High Value</v>
      </c>
      <c r="Q935" s="5" t="str">
        <f>IF(Transactions_RAW_cleaned[[#This Row],[Amount]] &gt; (_xlfn.XLOOKUP(Transactions_RAW_cleaned[[#This Row],[ServiceID]],Services_cleaned[ServiceID],Services_cleaned[TransactionFeePct]) * 10000), "Yes", "No")</f>
        <v>Yes</v>
      </c>
      <c r="R935" s="5" t="str">
        <f>IF(COUNTIFS($C$2:Transactions_RAW_cleaned[[#This Row],[CustomerID]],Transactions_RAW_cleaned[[#This Row],[CustomerID]],$D$2:Transactions_RAW_cleaned[[#This Row],[ServiceID]],Transactions_RAW_cleaned[[#This Row],[ServiceID]])=1,"Yes","No")</f>
        <v>Yes</v>
      </c>
      <c r="S93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35" t="str">
        <f>"Q"&amp;ROUNDUP(MONTH(Transactions_RAW_cleaned[[#This Row],[TransactionDate]])/3,0)</f>
        <v>Q4</v>
      </c>
      <c r="U935" t="str">
        <f>Transactions_RAW_cleaned[[#This Row],[Region ]]&amp;Transactions_RAW_cleaned[[#This Row],[Quarter ]]</f>
        <v>NAQ4</v>
      </c>
      <c r="V935" s="5">
        <f>_xlfn.XLOOKUP(Transactions_RAW_cleaned[[#This Row],[RegionQuarterKey]], Quarterly_Targets_cleaned[RegionQuarterKey], Quarterly_Targets_cleaned[TargetRevenue])</f>
        <v>299000</v>
      </c>
    </row>
    <row r="936" spans="1:22" x14ac:dyDescent="0.25">
      <c r="A936" t="s">
        <v>1269</v>
      </c>
      <c r="B936" s="1">
        <v>45538</v>
      </c>
      <c r="C936" t="s">
        <v>151</v>
      </c>
      <c r="D936" t="s">
        <v>297</v>
      </c>
      <c r="E936">
        <v>173.51</v>
      </c>
      <c r="F936" t="s">
        <v>324</v>
      </c>
      <c r="G936" t="s">
        <v>325</v>
      </c>
      <c r="I936" t="s">
        <v>8</v>
      </c>
      <c r="J936" t="s">
        <v>46</v>
      </c>
      <c r="K936" t="s">
        <v>18</v>
      </c>
      <c r="L936" t="s">
        <v>298</v>
      </c>
      <c r="M936" t="s">
        <v>299</v>
      </c>
      <c r="N936">
        <v>0</v>
      </c>
      <c r="O936" t="str">
        <f>IF(Transactions_RAW_cleaned[[#This Row],[Status]]="Completed", IFERROR(_xlfn.XLOOKUP(Transactions_RAW_cleaned[[#This Row],[CustomerID]], Customers_cleaned[CustomerID], Customers_cleaned[Segment]), "Customer Not Found"), "N/A")</f>
        <v>SMB</v>
      </c>
      <c r="P936" s="5" t="str">
        <f>IF(Transactions_RAW_cleaned[[#This Row],[Status]]="Refunded", "Refund",
  IF(Transactions_RAW_cleaned[[#This Row],[Category]]="Payments", IF(Transactions_RAW_cleaned[[#This Row],[Amount]]&gt;500,"High Value","Standard"),
    IF(Transactions_RAW_cleaned[[#This Row],[Amount]]&gt;250,"High Value","Standard")))</f>
        <v>Standard</v>
      </c>
      <c r="Q936" s="5" t="str">
        <f>IF(Transactions_RAW_cleaned[[#This Row],[Amount]] &gt; (_xlfn.XLOOKUP(Transactions_RAW_cleaned[[#This Row],[ServiceID]],Services_cleaned[ServiceID],Services_cleaned[TransactionFeePct]) * 10000), "Yes", "No")</f>
        <v>Yes</v>
      </c>
      <c r="R936" s="5" t="str">
        <f>IF(COUNTIFS($C$2:Transactions_RAW_cleaned[[#This Row],[CustomerID]],Transactions_RAW_cleaned[[#This Row],[CustomerID]],$D$2:Transactions_RAW_cleaned[[#This Row],[ServiceID]],Transactions_RAW_cleaned[[#This Row],[ServiceID]])=1,"Yes","No")</f>
        <v>Yes</v>
      </c>
      <c r="S93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36" t="str">
        <f>"Q"&amp;ROUNDUP(MONTH(Transactions_RAW_cleaned[[#This Row],[TransactionDate]])/3,0)</f>
        <v>Q3</v>
      </c>
      <c r="U936" t="str">
        <f>Transactions_RAW_cleaned[[#This Row],[Region ]]&amp;Transactions_RAW_cleaned[[#This Row],[Quarter ]]</f>
        <v>APACQ3</v>
      </c>
      <c r="V936" s="5">
        <f>_xlfn.XLOOKUP(Transactions_RAW_cleaned[[#This Row],[RegionQuarterKey]], Quarterly_Targets_cleaned[RegionQuarterKey], Quarterly_Targets_cleaned[TargetRevenue])</f>
        <v>115500</v>
      </c>
    </row>
    <row r="937" spans="1:22" x14ac:dyDescent="0.25">
      <c r="A937" t="s">
        <v>1270</v>
      </c>
      <c r="B937" s="1">
        <v>45295</v>
      </c>
      <c r="C937" t="s">
        <v>277</v>
      </c>
      <c r="D937" t="s">
        <v>300</v>
      </c>
      <c r="E937">
        <v>975.03</v>
      </c>
      <c r="F937" t="s">
        <v>324</v>
      </c>
      <c r="G937" t="s">
        <v>327</v>
      </c>
      <c r="H937" t="s">
        <v>332</v>
      </c>
      <c r="I937" t="s">
        <v>8</v>
      </c>
      <c r="J937" t="s">
        <v>31</v>
      </c>
      <c r="K937" t="s">
        <v>22</v>
      </c>
      <c r="L937" t="s">
        <v>301</v>
      </c>
      <c r="M937" t="s">
        <v>302</v>
      </c>
      <c r="N937">
        <v>5.0000000000000001E-3</v>
      </c>
      <c r="O937" t="str">
        <f>IF(Transactions_RAW_cleaned[[#This Row],[Status]]="Completed", IFERROR(_xlfn.XLOOKUP(Transactions_RAW_cleaned[[#This Row],[CustomerID]], Customers_cleaned[CustomerID], Customers_cleaned[Segment]), "Customer Not Found"), "N/A")</f>
        <v>SMB</v>
      </c>
      <c r="P937" s="5" t="str">
        <f>IF(Transactions_RAW_cleaned[[#This Row],[Status]]="Refunded", "Refund",
  IF(Transactions_RAW_cleaned[[#This Row],[Category]]="Payments", IF(Transactions_RAW_cleaned[[#This Row],[Amount]]&gt;500,"High Value","Standard"),
    IF(Transactions_RAW_cleaned[[#This Row],[Amount]]&gt;250,"High Value","Standard")))</f>
        <v>High Value</v>
      </c>
      <c r="Q937" s="5" t="str">
        <f>IF(Transactions_RAW_cleaned[[#This Row],[Amount]] &gt; (_xlfn.XLOOKUP(Transactions_RAW_cleaned[[#This Row],[ServiceID]],Services_cleaned[ServiceID],Services_cleaned[TransactionFeePct]) * 10000), "Yes", "No")</f>
        <v>Yes</v>
      </c>
      <c r="R937" s="5" t="str">
        <f>IF(COUNTIFS($C$2:Transactions_RAW_cleaned[[#This Row],[CustomerID]],Transactions_RAW_cleaned[[#This Row],[CustomerID]],$D$2:Transactions_RAW_cleaned[[#This Row],[ServiceID]],Transactions_RAW_cleaned[[#This Row],[ServiceID]])=1,"Yes","No")</f>
        <v>Yes</v>
      </c>
      <c r="S93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37" t="str">
        <f>"Q"&amp;ROUNDUP(MONTH(Transactions_RAW_cleaned[[#This Row],[TransactionDate]])/3,0)</f>
        <v>Q1</v>
      </c>
      <c r="U937" t="str">
        <f>Transactions_RAW_cleaned[[#This Row],[Region ]]&amp;Transactions_RAW_cleaned[[#This Row],[Quarter ]]</f>
        <v>EMEAQ1</v>
      </c>
      <c r="V937" s="5">
        <f>_xlfn.XLOOKUP(Transactions_RAW_cleaned[[#This Row],[RegionQuarterKey]], Quarterly_Targets_cleaned[RegionQuarterKey], Quarterly_Targets_cleaned[TargetRevenue])</f>
        <v>133000</v>
      </c>
    </row>
    <row r="938" spans="1:22" x14ac:dyDescent="0.25">
      <c r="A938" t="s">
        <v>1271</v>
      </c>
      <c r="B938" s="1">
        <v>45483</v>
      </c>
      <c r="C938" t="s">
        <v>47</v>
      </c>
      <c r="D938" t="s">
        <v>294</v>
      </c>
      <c r="E938">
        <v>437.19</v>
      </c>
      <c r="F938" t="s">
        <v>324</v>
      </c>
      <c r="G938" t="s">
        <v>327</v>
      </c>
      <c r="H938" t="s">
        <v>334</v>
      </c>
      <c r="I938" t="s">
        <v>8</v>
      </c>
      <c r="J938" t="s">
        <v>21</v>
      </c>
      <c r="K938" t="s">
        <v>22</v>
      </c>
      <c r="L938" t="s">
        <v>295</v>
      </c>
      <c r="M938" t="s">
        <v>296</v>
      </c>
      <c r="N938">
        <v>2.9000000000000001E-2</v>
      </c>
      <c r="O938" t="str">
        <f>IF(Transactions_RAW_cleaned[[#This Row],[Status]]="Completed", IFERROR(_xlfn.XLOOKUP(Transactions_RAW_cleaned[[#This Row],[CustomerID]], Customers_cleaned[CustomerID], Customers_cleaned[Segment]), "Customer Not Found"), "N/A")</f>
        <v>SMB</v>
      </c>
      <c r="P938" s="5" t="str">
        <f>IF(Transactions_RAW_cleaned[[#This Row],[Status]]="Refunded", "Refund",
  IF(Transactions_RAW_cleaned[[#This Row],[Category]]="Payments", IF(Transactions_RAW_cleaned[[#This Row],[Amount]]&gt;500,"High Value","Standard"),
    IF(Transactions_RAW_cleaned[[#This Row],[Amount]]&gt;250,"High Value","Standard")))</f>
        <v>Standard</v>
      </c>
      <c r="Q938" s="5" t="str">
        <f>IF(Transactions_RAW_cleaned[[#This Row],[Amount]] &gt; (_xlfn.XLOOKUP(Transactions_RAW_cleaned[[#This Row],[ServiceID]],Services_cleaned[ServiceID],Services_cleaned[TransactionFeePct]) * 10000), "Yes", "No")</f>
        <v>Yes</v>
      </c>
      <c r="R938" s="5" t="str">
        <f>IF(COUNTIFS($C$2:Transactions_RAW_cleaned[[#This Row],[CustomerID]],Transactions_RAW_cleaned[[#This Row],[CustomerID]],$D$2:Transactions_RAW_cleaned[[#This Row],[ServiceID]],Transactions_RAW_cleaned[[#This Row],[ServiceID]])=1,"Yes","No")</f>
        <v>No</v>
      </c>
      <c r="S93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38" t="str">
        <f>"Q"&amp;ROUNDUP(MONTH(Transactions_RAW_cleaned[[#This Row],[TransactionDate]])/3,0)</f>
        <v>Q3</v>
      </c>
      <c r="U938" t="str">
        <f>Transactions_RAW_cleaned[[#This Row],[Region ]]&amp;Transactions_RAW_cleaned[[#This Row],[Quarter ]]</f>
        <v>APACQ3</v>
      </c>
      <c r="V938" s="5">
        <f>_xlfn.XLOOKUP(Transactions_RAW_cleaned[[#This Row],[RegionQuarterKey]], Quarterly_Targets_cleaned[RegionQuarterKey], Quarterly_Targets_cleaned[TargetRevenue])</f>
        <v>115500</v>
      </c>
    </row>
    <row r="939" spans="1:22" x14ac:dyDescent="0.25">
      <c r="A939" t="s">
        <v>1272</v>
      </c>
      <c r="B939" s="1">
        <v>45489</v>
      </c>
      <c r="C939" t="s">
        <v>38</v>
      </c>
      <c r="D939" t="s">
        <v>303</v>
      </c>
      <c r="E939">
        <v>-82.34</v>
      </c>
      <c r="F939" t="s">
        <v>349</v>
      </c>
      <c r="G939" t="s">
        <v>327</v>
      </c>
      <c r="H939" t="s">
        <v>346</v>
      </c>
      <c r="I939" t="s">
        <v>8</v>
      </c>
      <c r="J939" t="s">
        <v>102</v>
      </c>
      <c r="K939" t="s">
        <v>28</v>
      </c>
      <c r="L939" t="s">
        <v>304</v>
      </c>
      <c r="M939" t="s">
        <v>305</v>
      </c>
      <c r="N939">
        <v>1E-3</v>
      </c>
      <c r="O939" t="str">
        <f>IF(Transactions_RAW_cleaned[[#This Row],[Status]]="Completed", IFERROR(_xlfn.XLOOKUP(Transactions_RAW_cleaned[[#This Row],[CustomerID]], Customers_cleaned[CustomerID], Customers_cleaned[Segment]), "Customer Not Found"), "N/A")</f>
        <v>N/A</v>
      </c>
      <c r="P939" s="5" t="str">
        <f>IF(Transactions_RAW_cleaned[[#This Row],[Status]]="Refunded", "Refund",
  IF(Transactions_RAW_cleaned[[#This Row],[Category]]="Payments", IF(Transactions_RAW_cleaned[[#This Row],[Amount]]&gt;500,"High Value","Standard"),
    IF(Transactions_RAW_cleaned[[#This Row],[Amount]]&gt;250,"High Value","Standard")))</f>
        <v>Refund</v>
      </c>
      <c r="Q939" s="5" t="str">
        <f>IF(Transactions_RAW_cleaned[[#This Row],[Amount]] &gt; (_xlfn.XLOOKUP(Transactions_RAW_cleaned[[#This Row],[ServiceID]],Services_cleaned[ServiceID],Services_cleaned[TransactionFeePct]) * 10000), "Yes", "No")</f>
        <v>No</v>
      </c>
      <c r="R939" s="5" t="str">
        <f>IF(COUNTIFS($C$2:Transactions_RAW_cleaned[[#This Row],[CustomerID]],Transactions_RAW_cleaned[[#This Row],[CustomerID]],$D$2:Transactions_RAW_cleaned[[#This Row],[ServiceID]],Transactions_RAW_cleaned[[#This Row],[ServiceID]])=1,"Yes","No")</f>
        <v>No</v>
      </c>
      <c r="S93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39" t="str">
        <f>"Q"&amp;ROUNDUP(MONTH(Transactions_RAW_cleaned[[#This Row],[TransactionDate]])/3,0)</f>
        <v>Q3</v>
      </c>
      <c r="U939" t="str">
        <f>Transactions_RAW_cleaned[[#This Row],[Region ]]&amp;Transactions_RAW_cleaned[[#This Row],[Quarter ]]</f>
        <v>NAQ3</v>
      </c>
      <c r="V939" s="5">
        <f>_xlfn.XLOOKUP(Transactions_RAW_cleaned[[#This Row],[RegionQuarterKey]], Quarterly_Targets_cleaned[RegionQuarterKey], Quarterly_Targets_cleaned[TargetRevenue])</f>
        <v>273000</v>
      </c>
    </row>
    <row r="940" spans="1:22" x14ac:dyDescent="0.25">
      <c r="A940" t="s">
        <v>1273</v>
      </c>
      <c r="B940" s="1">
        <v>45570</v>
      </c>
      <c r="C940" t="s">
        <v>111</v>
      </c>
      <c r="D940" t="s">
        <v>294</v>
      </c>
      <c r="E940">
        <v>180.17</v>
      </c>
      <c r="F940" t="s">
        <v>324</v>
      </c>
      <c r="G940" t="s">
        <v>325</v>
      </c>
      <c r="H940" t="s">
        <v>334</v>
      </c>
      <c r="I940" t="s">
        <v>8</v>
      </c>
      <c r="J940" t="s">
        <v>21</v>
      </c>
      <c r="K940" t="s">
        <v>28</v>
      </c>
      <c r="L940" t="s">
        <v>295</v>
      </c>
      <c r="M940" t="s">
        <v>296</v>
      </c>
      <c r="N940">
        <v>2.9000000000000001E-2</v>
      </c>
      <c r="O940" t="str">
        <f>IF(Transactions_RAW_cleaned[[#This Row],[Status]]="Completed", IFERROR(_xlfn.XLOOKUP(Transactions_RAW_cleaned[[#This Row],[CustomerID]], Customers_cleaned[CustomerID], Customers_cleaned[Segment]), "Customer Not Found"), "N/A")</f>
        <v>SMB</v>
      </c>
      <c r="P940" s="5" t="str">
        <f>IF(Transactions_RAW_cleaned[[#This Row],[Status]]="Refunded", "Refund",
  IF(Transactions_RAW_cleaned[[#This Row],[Category]]="Payments", IF(Transactions_RAW_cleaned[[#This Row],[Amount]]&gt;500,"High Value","Standard"),
    IF(Transactions_RAW_cleaned[[#This Row],[Amount]]&gt;250,"High Value","Standard")))</f>
        <v>Standard</v>
      </c>
      <c r="Q940" s="5" t="str">
        <f>IF(Transactions_RAW_cleaned[[#This Row],[Amount]] &gt; (_xlfn.XLOOKUP(Transactions_RAW_cleaned[[#This Row],[ServiceID]],Services_cleaned[ServiceID],Services_cleaned[TransactionFeePct]) * 10000), "Yes", "No")</f>
        <v>No</v>
      </c>
      <c r="R940" s="5" t="str">
        <f>IF(COUNTIFS($C$2:Transactions_RAW_cleaned[[#This Row],[CustomerID]],Transactions_RAW_cleaned[[#This Row],[CustomerID]],$D$2:Transactions_RAW_cleaned[[#This Row],[ServiceID]],Transactions_RAW_cleaned[[#This Row],[ServiceID]])=1,"Yes","No")</f>
        <v>No</v>
      </c>
      <c r="S94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40" t="str">
        <f>"Q"&amp;ROUNDUP(MONTH(Transactions_RAW_cleaned[[#This Row],[TransactionDate]])/3,0)</f>
        <v>Q4</v>
      </c>
      <c r="U940" t="str">
        <f>Transactions_RAW_cleaned[[#This Row],[Region ]]&amp;Transactions_RAW_cleaned[[#This Row],[Quarter ]]</f>
        <v>APACQ4</v>
      </c>
      <c r="V940" s="5">
        <f>_xlfn.XLOOKUP(Transactions_RAW_cleaned[[#This Row],[RegionQuarterKey]], Quarterly_Targets_cleaned[RegionQuarterKey], Quarterly_Targets_cleaned[TargetRevenue])</f>
        <v>126500</v>
      </c>
    </row>
    <row r="941" spans="1:22" x14ac:dyDescent="0.25">
      <c r="A941" t="s">
        <v>1274</v>
      </c>
      <c r="B941" s="1">
        <v>45597</v>
      </c>
      <c r="C941" t="s">
        <v>267</v>
      </c>
      <c r="D941" t="s">
        <v>294</v>
      </c>
      <c r="E941">
        <v>143.5</v>
      </c>
      <c r="F941" t="s">
        <v>324</v>
      </c>
      <c r="G941" t="s">
        <v>337</v>
      </c>
      <c r="I941" t="s">
        <v>8</v>
      </c>
      <c r="J941" t="s">
        <v>102</v>
      </c>
      <c r="K941" t="s">
        <v>22</v>
      </c>
      <c r="L941" t="s">
        <v>295</v>
      </c>
      <c r="M941" t="s">
        <v>296</v>
      </c>
      <c r="N941">
        <v>2.9000000000000001E-2</v>
      </c>
      <c r="O941" t="str">
        <f>IF(Transactions_RAW_cleaned[[#This Row],[Status]]="Completed", IFERROR(_xlfn.XLOOKUP(Transactions_RAW_cleaned[[#This Row],[CustomerID]], Customers_cleaned[CustomerID], Customers_cleaned[Segment]), "Customer Not Found"), "N/A")</f>
        <v>SMB</v>
      </c>
      <c r="P941" s="5" t="str">
        <f>IF(Transactions_RAW_cleaned[[#This Row],[Status]]="Refunded", "Refund",
  IF(Transactions_RAW_cleaned[[#This Row],[Category]]="Payments", IF(Transactions_RAW_cleaned[[#This Row],[Amount]]&gt;500,"High Value","Standard"),
    IF(Transactions_RAW_cleaned[[#This Row],[Amount]]&gt;250,"High Value","Standard")))</f>
        <v>Standard</v>
      </c>
      <c r="Q941" s="5" t="str">
        <f>IF(Transactions_RAW_cleaned[[#This Row],[Amount]] &gt; (_xlfn.XLOOKUP(Transactions_RAW_cleaned[[#This Row],[ServiceID]],Services_cleaned[ServiceID],Services_cleaned[TransactionFeePct]) * 10000), "Yes", "No")</f>
        <v>No</v>
      </c>
      <c r="R941" s="5" t="str">
        <f>IF(COUNTIFS($C$2:Transactions_RAW_cleaned[[#This Row],[CustomerID]],Transactions_RAW_cleaned[[#This Row],[CustomerID]],$D$2:Transactions_RAW_cleaned[[#This Row],[ServiceID]],Transactions_RAW_cleaned[[#This Row],[ServiceID]])=1,"Yes","No")</f>
        <v>No</v>
      </c>
      <c r="S94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41" t="str">
        <f>"Q"&amp;ROUNDUP(MONTH(Transactions_RAW_cleaned[[#This Row],[TransactionDate]])/3,0)</f>
        <v>Q4</v>
      </c>
      <c r="U941" t="str">
        <f>Transactions_RAW_cleaned[[#This Row],[Region ]]&amp;Transactions_RAW_cleaned[[#This Row],[Quarter ]]</f>
        <v>NAQ4</v>
      </c>
      <c r="V941" s="5">
        <f>_xlfn.XLOOKUP(Transactions_RAW_cleaned[[#This Row],[RegionQuarterKey]], Quarterly_Targets_cleaned[RegionQuarterKey], Quarterly_Targets_cleaned[TargetRevenue])</f>
        <v>299000</v>
      </c>
    </row>
    <row r="942" spans="1:22" x14ac:dyDescent="0.25">
      <c r="A942" t="s">
        <v>1275</v>
      </c>
      <c r="B942" s="1">
        <v>45518</v>
      </c>
      <c r="C942" t="s">
        <v>223</v>
      </c>
      <c r="D942" t="s">
        <v>306</v>
      </c>
      <c r="E942">
        <v>311.82</v>
      </c>
      <c r="F942" t="s">
        <v>324</v>
      </c>
      <c r="G942" t="s">
        <v>325</v>
      </c>
      <c r="I942" t="s">
        <v>8</v>
      </c>
      <c r="J942" t="s">
        <v>102</v>
      </c>
      <c r="K942" t="s">
        <v>28</v>
      </c>
      <c r="L942" t="s">
        <v>307</v>
      </c>
      <c r="M942" t="s">
        <v>308</v>
      </c>
      <c r="N942">
        <v>0</v>
      </c>
      <c r="O942" t="str">
        <f>IF(Transactions_RAW_cleaned[[#This Row],[Status]]="Completed", IFERROR(_xlfn.XLOOKUP(Transactions_RAW_cleaned[[#This Row],[CustomerID]], Customers_cleaned[CustomerID], Customers_cleaned[Segment]), "Customer Not Found"), "N/A")</f>
        <v>SMB</v>
      </c>
      <c r="P942" s="5" t="str">
        <f>IF(Transactions_RAW_cleaned[[#This Row],[Status]]="Refunded", "Refund",
  IF(Transactions_RAW_cleaned[[#This Row],[Category]]="Payments", IF(Transactions_RAW_cleaned[[#This Row],[Amount]]&gt;500,"High Value","Standard"),
    IF(Transactions_RAW_cleaned[[#This Row],[Amount]]&gt;250,"High Value","Standard")))</f>
        <v>High Value</v>
      </c>
      <c r="Q942" s="5" t="str">
        <f>IF(Transactions_RAW_cleaned[[#This Row],[Amount]] &gt; (_xlfn.XLOOKUP(Transactions_RAW_cleaned[[#This Row],[ServiceID]],Services_cleaned[ServiceID],Services_cleaned[TransactionFeePct]) * 10000), "Yes", "No")</f>
        <v>Yes</v>
      </c>
      <c r="R942" s="5" t="str">
        <f>IF(COUNTIFS($C$2:Transactions_RAW_cleaned[[#This Row],[CustomerID]],Transactions_RAW_cleaned[[#This Row],[CustomerID]],$D$2:Transactions_RAW_cleaned[[#This Row],[ServiceID]],Transactions_RAW_cleaned[[#This Row],[ServiceID]])=1,"Yes","No")</f>
        <v>Yes</v>
      </c>
      <c r="S94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42" t="str">
        <f>"Q"&amp;ROUNDUP(MONTH(Transactions_RAW_cleaned[[#This Row],[TransactionDate]])/3,0)</f>
        <v>Q3</v>
      </c>
      <c r="U942" t="str">
        <f>Transactions_RAW_cleaned[[#This Row],[Region ]]&amp;Transactions_RAW_cleaned[[#This Row],[Quarter ]]</f>
        <v>NAQ3</v>
      </c>
      <c r="V942" s="5">
        <f>_xlfn.XLOOKUP(Transactions_RAW_cleaned[[#This Row],[RegionQuarterKey]], Quarterly_Targets_cleaned[RegionQuarterKey], Quarterly_Targets_cleaned[TargetRevenue])</f>
        <v>273000</v>
      </c>
    </row>
    <row r="943" spans="1:22" x14ac:dyDescent="0.25">
      <c r="A943" t="s">
        <v>1276</v>
      </c>
      <c r="B943" s="1">
        <v>45420</v>
      </c>
      <c r="C943" t="s">
        <v>173</v>
      </c>
      <c r="D943" t="s">
        <v>294</v>
      </c>
      <c r="E943">
        <v>738.51</v>
      </c>
      <c r="F943" t="s">
        <v>324</v>
      </c>
      <c r="G943" t="s">
        <v>325</v>
      </c>
      <c r="H943" t="s">
        <v>334</v>
      </c>
      <c r="I943" t="s">
        <v>8</v>
      </c>
      <c r="J943" t="s">
        <v>46</v>
      </c>
      <c r="K943" t="s">
        <v>32</v>
      </c>
      <c r="L943" t="s">
        <v>295</v>
      </c>
      <c r="M943" t="s">
        <v>296</v>
      </c>
      <c r="N943">
        <v>2.9000000000000001E-2</v>
      </c>
      <c r="O943" t="str">
        <f>IF(Transactions_RAW_cleaned[[#This Row],[Status]]="Completed", IFERROR(_xlfn.XLOOKUP(Transactions_RAW_cleaned[[#This Row],[CustomerID]], Customers_cleaned[CustomerID], Customers_cleaned[Segment]), "Customer Not Found"), "N/A")</f>
        <v>SMB</v>
      </c>
      <c r="P943" s="5" t="str">
        <f>IF(Transactions_RAW_cleaned[[#This Row],[Status]]="Refunded", "Refund",
  IF(Transactions_RAW_cleaned[[#This Row],[Category]]="Payments", IF(Transactions_RAW_cleaned[[#This Row],[Amount]]&gt;500,"High Value","Standard"),
    IF(Transactions_RAW_cleaned[[#This Row],[Amount]]&gt;250,"High Value","Standard")))</f>
        <v>High Value</v>
      </c>
      <c r="Q943" s="5" t="str">
        <f>IF(Transactions_RAW_cleaned[[#This Row],[Amount]] &gt; (_xlfn.XLOOKUP(Transactions_RAW_cleaned[[#This Row],[ServiceID]],Services_cleaned[ServiceID],Services_cleaned[TransactionFeePct]) * 10000), "Yes", "No")</f>
        <v>Yes</v>
      </c>
      <c r="R943" s="5" t="str">
        <f>IF(COUNTIFS($C$2:Transactions_RAW_cleaned[[#This Row],[CustomerID]],Transactions_RAW_cleaned[[#This Row],[CustomerID]],$D$2:Transactions_RAW_cleaned[[#This Row],[ServiceID]],Transactions_RAW_cleaned[[#This Row],[ServiceID]])=1,"Yes","No")</f>
        <v>No</v>
      </c>
      <c r="S94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43" t="str">
        <f>"Q"&amp;ROUNDUP(MONTH(Transactions_RAW_cleaned[[#This Row],[TransactionDate]])/3,0)</f>
        <v>Q2</v>
      </c>
      <c r="U943" t="str">
        <f>Transactions_RAW_cleaned[[#This Row],[Region ]]&amp;Transactions_RAW_cleaned[[#This Row],[Quarter ]]</f>
        <v>APACQ2</v>
      </c>
      <c r="V943" s="5">
        <f>_xlfn.XLOOKUP(Transactions_RAW_cleaned[[#This Row],[RegionQuarterKey]], Quarterly_Targets_cleaned[RegionQuarterKey], Quarterly_Targets_cleaned[TargetRevenue])</f>
        <v>110000</v>
      </c>
    </row>
    <row r="944" spans="1:22" x14ac:dyDescent="0.25">
      <c r="A944" t="s">
        <v>1277</v>
      </c>
      <c r="B944" s="1">
        <v>45410</v>
      </c>
      <c r="C944" t="s">
        <v>175</v>
      </c>
      <c r="D944" t="s">
        <v>306</v>
      </c>
      <c r="E944">
        <v>669.4</v>
      </c>
      <c r="F944" t="s">
        <v>324</v>
      </c>
      <c r="G944" t="s">
        <v>325</v>
      </c>
      <c r="H944" t="s">
        <v>346</v>
      </c>
      <c r="I944" t="s">
        <v>8</v>
      </c>
      <c r="J944" t="s">
        <v>31</v>
      </c>
      <c r="K944" t="s">
        <v>32</v>
      </c>
      <c r="L944" t="s">
        <v>307</v>
      </c>
      <c r="M944" t="s">
        <v>308</v>
      </c>
      <c r="N944">
        <v>0</v>
      </c>
      <c r="O944" t="str">
        <f>IF(Transactions_RAW_cleaned[[#This Row],[Status]]="Completed", IFERROR(_xlfn.XLOOKUP(Transactions_RAW_cleaned[[#This Row],[CustomerID]], Customers_cleaned[CustomerID], Customers_cleaned[Segment]), "Customer Not Found"), "N/A")</f>
        <v>SMB</v>
      </c>
      <c r="P944" s="5" t="str">
        <f>IF(Transactions_RAW_cleaned[[#This Row],[Status]]="Refunded", "Refund",
  IF(Transactions_RAW_cleaned[[#This Row],[Category]]="Payments", IF(Transactions_RAW_cleaned[[#This Row],[Amount]]&gt;500,"High Value","Standard"),
    IF(Transactions_RAW_cleaned[[#This Row],[Amount]]&gt;250,"High Value","Standard")))</f>
        <v>High Value</v>
      </c>
      <c r="Q944" s="5" t="str">
        <f>IF(Transactions_RAW_cleaned[[#This Row],[Amount]] &gt; (_xlfn.XLOOKUP(Transactions_RAW_cleaned[[#This Row],[ServiceID]],Services_cleaned[ServiceID],Services_cleaned[TransactionFeePct]) * 10000), "Yes", "No")</f>
        <v>Yes</v>
      </c>
      <c r="R944" s="5" t="str">
        <f>IF(COUNTIFS($C$2:Transactions_RAW_cleaned[[#This Row],[CustomerID]],Transactions_RAW_cleaned[[#This Row],[CustomerID]],$D$2:Transactions_RAW_cleaned[[#This Row],[ServiceID]],Transactions_RAW_cleaned[[#This Row],[ServiceID]])=1,"Yes","No")</f>
        <v>No</v>
      </c>
      <c r="S94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44" t="str">
        <f>"Q"&amp;ROUNDUP(MONTH(Transactions_RAW_cleaned[[#This Row],[TransactionDate]])/3,0)</f>
        <v>Q2</v>
      </c>
      <c r="U944" t="str">
        <f>Transactions_RAW_cleaned[[#This Row],[Region ]]&amp;Transactions_RAW_cleaned[[#This Row],[Quarter ]]</f>
        <v>EMEAQ2</v>
      </c>
      <c r="V944" s="5">
        <f>_xlfn.XLOOKUP(Transactions_RAW_cleaned[[#This Row],[RegionQuarterKey]], Quarterly_Targets_cleaned[RegionQuarterKey], Quarterly_Targets_cleaned[TargetRevenue])</f>
        <v>140000</v>
      </c>
    </row>
    <row r="945" spans="1:22" x14ac:dyDescent="0.25">
      <c r="A945" t="s">
        <v>1278</v>
      </c>
      <c r="B945" s="1">
        <v>45489</v>
      </c>
      <c r="C945" t="s">
        <v>199</v>
      </c>
      <c r="D945" t="s">
        <v>297</v>
      </c>
      <c r="E945">
        <v>532.24</v>
      </c>
      <c r="F945" t="s">
        <v>324</v>
      </c>
      <c r="G945" t="s">
        <v>337</v>
      </c>
      <c r="I945" t="s">
        <v>8</v>
      </c>
      <c r="J945" t="s">
        <v>13</v>
      </c>
      <c r="K945" t="s">
        <v>32</v>
      </c>
      <c r="L945" t="s">
        <v>298</v>
      </c>
      <c r="M945" t="s">
        <v>299</v>
      </c>
      <c r="N945">
        <v>0</v>
      </c>
      <c r="O945" t="str">
        <f>IF(Transactions_RAW_cleaned[[#This Row],[Status]]="Completed", IFERROR(_xlfn.XLOOKUP(Transactions_RAW_cleaned[[#This Row],[CustomerID]], Customers_cleaned[CustomerID], Customers_cleaned[Segment]), "Customer Not Found"), "N/A")</f>
        <v>SMB</v>
      </c>
      <c r="P945" s="5" t="str">
        <f>IF(Transactions_RAW_cleaned[[#This Row],[Status]]="Refunded", "Refund",
  IF(Transactions_RAW_cleaned[[#This Row],[Category]]="Payments", IF(Transactions_RAW_cleaned[[#This Row],[Amount]]&gt;500,"High Value","Standard"),
    IF(Transactions_RAW_cleaned[[#This Row],[Amount]]&gt;250,"High Value","Standard")))</f>
        <v>High Value</v>
      </c>
      <c r="Q945" s="5" t="str">
        <f>IF(Transactions_RAW_cleaned[[#This Row],[Amount]] &gt; (_xlfn.XLOOKUP(Transactions_RAW_cleaned[[#This Row],[ServiceID]],Services_cleaned[ServiceID],Services_cleaned[TransactionFeePct]) * 10000), "Yes", "No")</f>
        <v>Yes</v>
      </c>
      <c r="R945" s="5" t="str">
        <f>IF(COUNTIFS($C$2:Transactions_RAW_cleaned[[#This Row],[CustomerID]],Transactions_RAW_cleaned[[#This Row],[CustomerID]],$D$2:Transactions_RAW_cleaned[[#This Row],[ServiceID]],Transactions_RAW_cleaned[[#This Row],[ServiceID]])=1,"Yes","No")</f>
        <v>No</v>
      </c>
      <c r="S94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45" t="str">
        <f>"Q"&amp;ROUNDUP(MONTH(Transactions_RAW_cleaned[[#This Row],[TransactionDate]])/3,0)</f>
        <v>Q3</v>
      </c>
      <c r="U945" t="str">
        <f>Transactions_RAW_cleaned[[#This Row],[Region ]]&amp;Transactions_RAW_cleaned[[#This Row],[Quarter ]]</f>
        <v>NAQ3</v>
      </c>
      <c r="V945" s="5">
        <f>_xlfn.XLOOKUP(Transactions_RAW_cleaned[[#This Row],[RegionQuarterKey]], Quarterly_Targets_cleaned[RegionQuarterKey], Quarterly_Targets_cleaned[TargetRevenue])</f>
        <v>273000</v>
      </c>
    </row>
    <row r="946" spans="1:22" x14ac:dyDescent="0.25">
      <c r="A946" t="s">
        <v>1279</v>
      </c>
      <c r="B946" s="1">
        <v>45577</v>
      </c>
      <c r="C946" t="s">
        <v>86</v>
      </c>
      <c r="D946" t="s">
        <v>312</v>
      </c>
      <c r="E946">
        <v>143.01</v>
      </c>
      <c r="F946" t="s">
        <v>324</v>
      </c>
      <c r="G946" t="s">
        <v>325</v>
      </c>
      <c r="I946" t="s">
        <v>8</v>
      </c>
      <c r="J946" t="s">
        <v>102</v>
      </c>
      <c r="K946" t="s">
        <v>18</v>
      </c>
      <c r="L946" t="s">
        <v>313</v>
      </c>
      <c r="M946" t="s">
        <v>314</v>
      </c>
      <c r="N946">
        <v>0</v>
      </c>
      <c r="O946" t="str">
        <f>IF(Transactions_RAW_cleaned[[#This Row],[Status]]="Completed", IFERROR(_xlfn.XLOOKUP(Transactions_RAW_cleaned[[#This Row],[CustomerID]], Customers_cleaned[CustomerID], Customers_cleaned[Segment]), "Customer Not Found"), "N/A")</f>
        <v>SMB</v>
      </c>
      <c r="P946" s="5" t="str">
        <f>IF(Transactions_RAW_cleaned[[#This Row],[Status]]="Refunded", "Refund",
  IF(Transactions_RAW_cleaned[[#This Row],[Category]]="Payments", IF(Transactions_RAW_cleaned[[#This Row],[Amount]]&gt;500,"High Value","Standard"),
    IF(Transactions_RAW_cleaned[[#This Row],[Amount]]&gt;250,"High Value","Standard")))</f>
        <v>Standard</v>
      </c>
      <c r="Q946" s="5" t="str">
        <f>IF(Transactions_RAW_cleaned[[#This Row],[Amount]] &gt; (_xlfn.XLOOKUP(Transactions_RAW_cleaned[[#This Row],[ServiceID]],Services_cleaned[ServiceID],Services_cleaned[TransactionFeePct]) * 10000), "Yes", "No")</f>
        <v>Yes</v>
      </c>
      <c r="R946" s="5" t="str">
        <f>IF(COUNTIFS($C$2:Transactions_RAW_cleaned[[#This Row],[CustomerID]],Transactions_RAW_cleaned[[#This Row],[CustomerID]],$D$2:Transactions_RAW_cleaned[[#This Row],[ServiceID]],Transactions_RAW_cleaned[[#This Row],[ServiceID]])=1,"Yes","No")</f>
        <v>No</v>
      </c>
      <c r="S94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46" t="str">
        <f>"Q"&amp;ROUNDUP(MONTH(Transactions_RAW_cleaned[[#This Row],[TransactionDate]])/3,0)</f>
        <v>Q4</v>
      </c>
      <c r="U946" t="str">
        <f>Transactions_RAW_cleaned[[#This Row],[Region ]]&amp;Transactions_RAW_cleaned[[#This Row],[Quarter ]]</f>
        <v>NAQ4</v>
      </c>
      <c r="V946" s="5">
        <f>_xlfn.XLOOKUP(Transactions_RAW_cleaned[[#This Row],[RegionQuarterKey]], Quarterly_Targets_cleaned[RegionQuarterKey], Quarterly_Targets_cleaned[TargetRevenue])</f>
        <v>299000</v>
      </c>
    </row>
    <row r="947" spans="1:22" x14ac:dyDescent="0.25">
      <c r="A947" t="s">
        <v>1280</v>
      </c>
      <c r="B947" s="1">
        <v>45300</v>
      </c>
      <c r="C947" t="s">
        <v>273</v>
      </c>
      <c r="D947" t="s">
        <v>303</v>
      </c>
      <c r="E947">
        <v>545.28</v>
      </c>
      <c r="F947" t="s">
        <v>324</v>
      </c>
      <c r="G947" t="s">
        <v>329</v>
      </c>
      <c r="I947" t="s">
        <v>17</v>
      </c>
      <c r="J947" t="s">
        <v>102</v>
      </c>
      <c r="K947" t="s">
        <v>22</v>
      </c>
      <c r="L947" t="s">
        <v>304</v>
      </c>
      <c r="M947" t="s">
        <v>305</v>
      </c>
      <c r="N947">
        <v>1E-3</v>
      </c>
      <c r="O947" t="str">
        <f>IF(Transactions_RAW_cleaned[[#This Row],[Status]]="Completed", IFERROR(_xlfn.XLOOKUP(Transactions_RAW_cleaned[[#This Row],[CustomerID]], Customers_cleaned[CustomerID], Customers_cleaned[Segment]), "Customer Not Found"), "N/A")</f>
        <v>Enterprise</v>
      </c>
      <c r="P947" s="5" t="str">
        <f>IF(Transactions_RAW_cleaned[[#This Row],[Status]]="Refunded", "Refund",
  IF(Transactions_RAW_cleaned[[#This Row],[Category]]="Payments", IF(Transactions_RAW_cleaned[[#This Row],[Amount]]&gt;500,"High Value","Standard"),
    IF(Transactions_RAW_cleaned[[#This Row],[Amount]]&gt;250,"High Value","Standard")))</f>
        <v>High Value</v>
      </c>
      <c r="Q947" s="5" t="str">
        <f>IF(Transactions_RAW_cleaned[[#This Row],[Amount]] &gt; (_xlfn.XLOOKUP(Transactions_RAW_cleaned[[#This Row],[ServiceID]],Services_cleaned[ServiceID],Services_cleaned[TransactionFeePct]) * 10000), "Yes", "No")</f>
        <v>Yes</v>
      </c>
      <c r="R947" s="5" t="str">
        <f>IF(COUNTIFS($C$2:Transactions_RAW_cleaned[[#This Row],[CustomerID]],Transactions_RAW_cleaned[[#This Row],[CustomerID]],$D$2:Transactions_RAW_cleaned[[#This Row],[ServiceID]],Transactions_RAW_cleaned[[#This Row],[ServiceID]])=1,"Yes","No")</f>
        <v>No</v>
      </c>
      <c r="S94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47" t="str">
        <f>"Q"&amp;ROUNDUP(MONTH(Transactions_RAW_cleaned[[#This Row],[TransactionDate]])/3,0)</f>
        <v>Q1</v>
      </c>
      <c r="U947" t="str">
        <f>Transactions_RAW_cleaned[[#This Row],[Region ]]&amp;Transactions_RAW_cleaned[[#This Row],[Quarter ]]</f>
        <v>NAQ1</v>
      </c>
      <c r="V947" s="5">
        <f>_xlfn.XLOOKUP(Transactions_RAW_cleaned[[#This Row],[RegionQuarterKey]], Quarterly_Targets_cleaned[RegionQuarterKey], Quarterly_Targets_cleaned[TargetRevenue])</f>
        <v>247000</v>
      </c>
    </row>
    <row r="948" spans="1:22" x14ac:dyDescent="0.25">
      <c r="A948" t="s">
        <v>1281</v>
      </c>
      <c r="B948" s="1">
        <v>45605</v>
      </c>
      <c r="C948" t="s">
        <v>70</v>
      </c>
      <c r="D948" t="s">
        <v>306</v>
      </c>
      <c r="E948">
        <v>1000.72</v>
      </c>
      <c r="F948" t="s">
        <v>324</v>
      </c>
      <c r="G948" t="s">
        <v>327</v>
      </c>
      <c r="H948" t="s">
        <v>332</v>
      </c>
      <c r="I948" t="s">
        <v>8</v>
      </c>
      <c r="J948" t="s">
        <v>37</v>
      </c>
      <c r="K948" t="s">
        <v>28</v>
      </c>
      <c r="L948" t="s">
        <v>307</v>
      </c>
      <c r="M948" t="s">
        <v>308</v>
      </c>
      <c r="N948">
        <v>0</v>
      </c>
      <c r="O948" t="str">
        <f>IF(Transactions_RAW_cleaned[[#This Row],[Status]]="Completed", IFERROR(_xlfn.XLOOKUP(Transactions_RAW_cleaned[[#This Row],[CustomerID]], Customers_cleaned[CustomerID], Customers_cleaned[Segment]), "Customer Not Found"), "N/A")</f>
        <v>SMB</v>
      </c>
      <c r="P948" s="5" t="str">
        <f>IF(Transactions_RAW_cleaned[[#This Row],[Status]]="Refunded", "Refund",
  IF(Transactions_RAW_cleaned[[#This Row],[Category]]="Payments", IF(Transactions_RAW_cleaned[[#This Row],[Amount]]&gt;500,"High Value","Standard"),
    IF(Transactions_RAW_cleaned[[#This Row],[Amount]]&gt;250,"High Value","Standard")))</f>
        <v>High Value</v>
      </c>
      <c r="Q948" s="5" t="str">
        <f>IF(Transactions_RAW_cleaned[[#This Row],[Amount]] &gt; (_xlfn.XLOOKUP(Transactions_RAW_cleaned[[#This Row],[ServiceID]],Services_cleaned[ServiceID],Services_cleaned[TransactionFeePct]) * 10000), "Yes", "No")</f>
        <v>Yes</v>
      </c>
      <c r="R948" s="5" t="str">
        <f>IF(COUNTIFS($C$2:Transactions_RAW_cleaned[[#This Row],[CustomerID]],Transactions_RAW_cleaned[[#This Row],[CustomerID]],$D$2:Transactions_RAW_cleaned[[#This Row],[ServiceID]],Transactions_RAW_cleaned[[#This Row],[ServiceID]])=1,"Yes","No")</f>
        <v>No</v>
      </c>
      <c r="S94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48" t="str">
        <f>"Q"&amp;ROUNDUP(MONTH(Transactions_RAW_cleaned[[#This Row],[TransactionDate]])/3,0)</f>
        <v>Q4</v>
      </c>
      <c r="U948" t="str">
        <f>Transactions_RAW_cleaned[[#This Row],[Region ]]&amp;Transactions_RAW_cleaned[[#This Row],[Quarter ]]</f>
        <v>EMEAQ4</v>
      </c>
      <c r="V948" s="5">
        <f>_xlfn.XLOOKUP(Transactions_RAW_cleaned[[#This Row],[RegionQuarterKey]], Quarterly_Targets_cleaned[RegionQuarterKey], Quarterly_Targets_cleaned[TargetRevenue])</f>
        <v>161000</v>
      </c>
    </row>
    <row r="949" spans="1:22" x14ac:dyDescent="0.25">
      <c r="A949" t="s">
        <v>1282</v>
      </c>
      <c r="B949" s="1">
        <v>45549</v>
      </c>
      <c r="C949" t="s">
        <v>33</v>
      </c>
      <c r="D949" t="s">
        <v>294</v>
      </c>
      <c r="E949">
        <v>208.09</v>
      </c>
      <c r="F949" t="s">
        <v>324</v>
      </c>
      <c r="G949" t="s">
        <v>327</v>
      </c>
      <c r="I949" t="s">
        <v>17</v>
      </c>
      <c r="J949" t="s">
        <v>31</v>
      </c>
      <c r="K949" t="s">
        <v>14</v>
      </c>
      <c r="L949" t="s">
        <v>295</v>
      </c>
      <c r="M949" t="s">
        <v>296</v>
      </c>
      <c r="N949">
        <v>2.9000000000000001E-2</v>
      </c>
      <c r="O949" t="str">
        <f>IF(Transactions_RAW_cleaned[[#This Row],[Status]]="Completed", IFERROR(_xlfn.XLOOKUP(Transactions_RAW_cleaned[[#This Row],[CustomerID]], Customers_cleaned[CustomerID], Customers_cleaned[Segment]), "Customer Not Found"), "N/A")</f>
        <v>Enterprise</v>
      </c>
      <c r="P949" s="5" t="str">
        <f>IF(Transactions_RAW_cleaned[[#This Row],[Status]]="Refunded", "Refund",
  IF(Transactions_RAW_cleaned[[#This Row],[Category]]="Payments", IF(Transactions_RAW_cleaned[[#This Row],[Amount]]&gt;500,"High Value","Standard"),
    IF(Transactions_RAW_cleaned[[#This Row],[Amount]]&gt;250,"High Value","Standard")))</f>
        <v>Standard</v>
      </c>
      <c r="Q949" s="5" t="str">
        <f>IF(Transactions_RAW_cleaned[[#This Row],[Amount]] &gt; (_xlfn.XLOOKUP(Transactions_RAW_cleaned[[#This Row],[ServiceID]],Services_cleaned[ServiceID],Services_cleaned[TransactionFeePct]) * 10000), "Yes", "No")</f>
        <v>No</v>
      </c>
      <c r="R949" s="5" t="str">
        <f>IF(COUNTIFS($C$2:Transactions_RAW_cleaned[[#This Row],[CustomerID]],Transactions_RAW_cleaned[[#This Row],[CustomerID]],$D$2:Transactions_RAW_cleaned[[#This Row],[ServiceID]],Transactions_RAW_cleaned[[#This Row],[ServiceID]])=1,"Yes","No")</f>
        <v>No</v>
      </c>
      <c r="S94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49" t="str">
        <f>"Q"&amp;ROUNDUP(MONTH(Transactions_RAW_cleaned[[#This Row],[TransactionDate]])/3,0)</f>
        <v>Q3</v>
      </c>
      <c r="U949" t="str">
        <f>Transactions_RAW_cleaned[[#This Row],[Region ]]&amp;Transactions_RAW_cleaned[[#This Row],[Quarter ]]</f>
        <v>EMEAQ3</v>
      </c>
      <c r="V949" s="5">
        <f>_xlfn.XLOOKUP(Transactions_RAW_cleaned[[#This Row],[RegionQuarterKey]], Quarterly_Targets_cleaned[RegionQuarterKey], Quarterly_Targets_cleaned[TargetRevenue])</f>
        <v>147000</v>
      </c>
    </row>
    <row r="950" spans="1:22" x14ac:dyDescent="0.25">
      <c r="A950" t="s">
        <v>1283</v>
      </c>
      <c r="B950" s="1">
        <v>45408</v>
      </c>
      <c r="C950" t="s">
        <v>111</v>
      </c>
      <c r="D950" t="s">
        <v>297</v>
      </c>
      <c r="E950">
        <v>255.27</v>
      </c>
      <c r="F950" t="s">
        <v>324</v>
      </c>
      <c r="G950" t="s">
        <v>337</v>
      </c>
      <c r="I950" t="s">
        <v>8</v>
      </c>
      <c r="J950" t="s">
        <v>21</v>
      </c>
      <c r="K950" t="s">
        <v>28</v>
      </c>
      <c r="L950" t="s">
        <v>298</v>
      </c>
      <c r="M950" t="s">
        <v>299</v>
      </c>
      <c r="N950">
        <v>0</v>
      </c>
      <c r="O950" t="str">
        <f>IF(Transactions_RAW_cleaned[[#This Row],[Status]]="Completed", IFERROR(_xlfn.XLOOKUP(Transactions_RAW_cleaned[[#This Row],[CustomerID]], Customers_cleaned[CustomerID], Customers_cleaned[Segment]), "Customer Not Found"), "N/A")</f>
        <v>SMB</v>
      </c>
      <c r="P950" s="5" t="str">
        <f>IF(Transactions_RAW_cleaned[[#This Row],[Status]]="Refunded", "Refund",
  IF(Transactions_RAW_cleaned[[#This Row],[Category]]="Payments", IF(Transactions_RAW_cleaned[[#This Row],[Amount]]&gt;500,"High Value","Standard"),
    IF(Transactions_RAW_cleaned[[#This Row],[Amount]]&gt;250,"High Value","Standard")))</f>
        <v>High Value</v>
      </c>
      <c r="Q950" s="5" t="str">
        <f>IF(Transactions_RAW_cleaned[[#This Row],[Amount]] &gt; (_xlfn.XLOOKUP(Transactions_RAW_cleaned[[#This Row],[ServiceID]],Services_cleaned[ServiceID],Services_cleaned[TransactionFeePct]) * 10000), "Yes", "No")</f>
        <v>Yes</v>
      </c>
      <c r="R950" s="5" t="str">
        <f>IF(COUNTIFS($C$2:Transactions_RAW_cleaned[[#This Row],[CustomerID]],Transactions_RAW_cleaned[[#This Row],[CustomerID]],$D$2:Transactions_RAW_cleaned[[#This Row],[ServiceID]],Transactions_RAW_cleaned[[#This Row],[ServiceID]])=1,"Yes","No")</f>
        <v>No</v>
      </c>
      <c r="S95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50" t="str">
        <f>"Q"&amp;ROUNDUP(MONTH(Transactions_RAW_cleaned[[#This Row],[TransactionDate]])/3,0)</f>
        <v>Q2</v>
      </c>
      <c r="U950" t="str">
        <f>Transactions_RAW_cleaned[[#This Row],[Region ]]&amp;Transactions_RAW_cleaned[[#This Row],[Quarter ]]</f>
        <v>APACQ2</v>
      </c>
      <c r="V950" s="5">
        <f>_xlfn.XLOOKUP(Transactions_RAW_cleaned[[#This Row],[RegionQuarterKey]], Quarterly_Targets_cleaned[RegionQuarterKey], Quarterly_Targets_cleaned[TargetRevenue])</f>
        <v>110000</v>
      </c>
    </row>
    <row r="951" spans="1:22" x14ac:dyDescent="0.25">
      <c r="A951" t="s">
        <v>1284</v>
      </c>
      <c r="B951" s="1">
        <v>45452</v>
      </c>
      <c r="C951" t="s">
        <v>94</v>
      </c>
      <c r="D951" t="s">
        <v>294</v>
      </c>
      <c r="E951">
        <v>871.16</v>
      </c>
      <c r="F951" t="s">
        <v>381</v>
      </c>
      <c r="G951" t="s">
        <v>327</v>
      </c>
      <c r="I951" t="s">
        <v>8</v>
      </c>
      <c r="J951" t="s">
        <v>21</v>
      </c>
      <c r="K951" t="s">
        <v>14</v>
      </c>
      <c r="L951" t="s">
        <v>295</v>
      </c>
      <c r="M951" t="s">
        <v>296</v>
      </c>
      <c r="N951">
        <v>2.9000000000000001E-2</v>
      </c>
      <c r="O951" t="str">
        <f>IF(Transactions_RAW_cleaned[[#This Row],[Status]]="Completed", IFERROR(_xlfn.XLOOKUP(Transactions_RAW_cleaned[[#This Row],[CustomerID]], Customers_cleaned[CustomerID], Customers_cleaned[Segment]), "Customer Not Found"), "N/A")</f>
        <v>N/A</v>
      </c>
      <c r="P951" s="5" t="str">
        <f>IF(Transactions_RAW_cleaned[[#This Row],[Status]]="Refunded", "Refund",
  IF(Transactions_RAW_cleaned[[#This Row],[Category]]="Payments", IF(Transactions_RAW_cleaned[[#This Row],[Amount]]&gt;500,"High Value","Standard"),
    IF(Transactions_RAW_cleaned[[#This Row],[Amount]]&gt;250,"High Value","Standard")))</f>
        <v>High Value</v>
      </c>
      <c r="Q951" s="5" t="str">
        <f>IF(Transactions_RAW_cleaned[[#This Row],[Amount]] &gt; (_xlfn.XLOOKUP(Transactions_RAW_cleaned[[#This Row],[ServiceID]],Services_cleaned[ServiceID],Services_cleaned[TransactionFeePct]) * 10000), "Yes", "No")</f>
        <v>Yes</v>
      </c>
      <c r="R951" s="5" t="str">
        <f>IF(COUNTIFS($C$2:Transactions_RAW_cleaned[[#This Row],[CustomerID]],Transactions_RAW_cleaned[[#This Row],[CustomerID]],$D$2:Transactions_RAW_cleaned[[#This Row],[ServiceID]],Transactions_RAW_cleaned[[#This Row],[ServiceID]])=1,"Yes","No")</f>
        <v>No</v>
      </c>
      <c r="S95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51" t="str">
        <f>"Q"&amp;ROUNDUP(MONTH(Transactions_RAW_cleaned[[#This Row],[TransactionDate]])/3,0)</f>
        <v>Q2</v>
      </c>
      <c r="U951" t="str">
        <f>Transactions_RAW_cleaned[[#This Row],[Region ]]&amp;Transactions_RAW_cleaned[[#This Row],[Quarter ]]</f>
        <v>APACQ2</v>
      </c>
      <c r="V951" s="5">
        <f>_xlfn.XLOOKUP(Transactions_RAW_cleaned[[#This Row],[RegionQuarterKey]], Quarterly_Targets_cleaned[RegionQuarterKey], Quarterly_Targets_cleaned[TargetRevenue])</f>
        <v>110000</v>
      </c>
    </row>
    <row r="952" spans="1:22" x14ac:dyDescent="0.25">
      <c r="A952" t="s">
        <v>1285</v>
      </c>
      <c r="B952" s="1">
        <v>45420</v>
      </c>
      <c r="C952" t="s">
        <v>72</v>
      </c>
      <c r="D952" t="s">
        <v>294</v>
      </c>
      <c r="E952">
        <v>447.53</v>
      </c>
      <c r="F952" t="s">
        <v>324</v>
      </c>
      <c r="G952" t="s">
        <v>327</v>
      </c>
      <c r="H952" t="s">
        <v>346</v>
      </c>
      <c r="I952" t="s">
        <v>57</v>
      </c>
      <c r="J952" t="s">
        <v>46</v>
      </c>
      <c r="K952" t="s">
        <v>32</v>
      </c>
      <c r="L952" t="s">
        <v>295</v>
      </c>
      <c r="M952" t="s">
        <v>296</v>
      </c>
      <c r="N952">
        <v>2.9000000000000001E-2</v>
      </c>
      <c r="O952" t="str">
        <f>IF(Transactions_RAW_cleaned[[#This Row],[Status]]="Completed", IFERROR(_xlfn.XLOOKUP(Transactions_RAW_cleaned[[#This Row],[CustomerID]], Customers_cleaned[CustomerID], Customers_cleaned[Segment]), "Customer Not Found"), "N/A")</f>
        <v>Startup</v>
      </c>
      <c r="P952" s="5" t="str">
        <f>IF(Transactions_RAW_cleaned[[#This Row],[Status]]="Refunded", "Refund",
  IF(Transactions_RAW_cleaned[[#This Row],[Category]]="Payments", IF(Transactions_RAW_cleaned[[#This Row],[Amount]]&gt;500,"High Value","Standard"),
    IF(Transactions_RAW_cleaned[[#This Row],[Amount]]&gt;250,"High Value","Standard")))</f>
        <v>Standard</v>
      </c>
      <c r="Q952" s="5" t="str">
        <f>IF(Transactions_RAW_cleaned[[#This Row],[Amount]] &gt; (_xlfn.XLOOKUP(Transactions_RAW_cleaned[[#This Row],[ServiceID]],Services_cleaned[ServiceID],Services_cleaned[TransactionFeePct]) * 10000), "Yes", "No")</f>
        <v>Yes</v>
      </c>
      <c r="R952" s="5" t="str">
        <f>IF(COUNTIFS($C$2:Transactions_RAW_cleaned[[#This Row],[CustomerID]],Transactions_RAW_cleaned[[#This Row],[CustomerID]],$D$2:Transactions_RAW_cleaned[[#This Row],[ServiceID]],Transactions_RAW_cleaned[[#This Row],[ServiceID]])=1,"Yes","No")</f>
        <v>No</v>
      </c>
      <c r="S95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52" t="str">
        <f>"Q"&amp;ROUNDUP(MONTH(Transactions_RAW_cleaned[[#This Row],[TransactionDate]])/3,0)</f>
        <v>Q2</v>
      </c>
      <c r="U952" t="str">
        <f>Transactions_RAW_cleaned[[#This Row],[Region ]]&amp;Transactions_RAW_cleaned[[#This Row],[Quarter ]]</f>
        <v>APACQ2</v>
      </c>
      <c r="V952" s="5">
        <f>_xlfn.XLOOKUP(Transactions_RAW_cleaned[[#This Row],[RegionQuarterKey]], Quarterly_Targets_cleaned[RegionQuarterKey], Quarterly_Targets_cleaned[TargetRevenue])</f>
        <v>110000</v>
      </c>
    </row>
    <row r="953" spans="1:22" x14ac:dyDescent="0.25">
      <c r="A953" t="s">
        <v>1286</v>
      </c>
      <c r="B953" s="1">
        <v>45387</v>
      </c>
      <c r="C953" t="s">
        <v>641</v>
      </c>
      <c r="D953" t="s">
        <v>315</v>
      </c>
      <c r="E953">
        <v>196.73</v>
      </c>
      <c r="F953" t="s">
        <v>324</v>
      </c>
      <c r="G953" t="s">
        <v>325</v>
      </c>
      <c r="H953" t="s">
        <v>346</v>
      </c>
      <c r="I953" t="s">
        <v>8</v>
      </c>
      <c r="J953" t="s">
        <v>13</v>
      </c>
      <c r="K953" t="s">
        <v>22</v>
      </c>
      <c r="L953" t="s">
        <v>316</v>
      </c>
      <c r="M953" t="s">
        <v>305</v>
      </c>
      <c r="N953">
        <v>2.5000000000000001E-3</v>
      </c>
      <c r="O953" t="str">
        <f>IF(Transactions_RAW_cleaned[[#This Row],[Status]]="Completed", IFERROR(_xlfn.XLOOKUP(Transactions_RAW_cleaned[[#This Row],[CustomerID]], Customers_cleaned[CustomerID], Customers_cleaned[Segment]), "Customer Not Found"), "N/A")</f>
        <v>SMB</v>
      </c>
      <c r="P953" s="5" t="str">
        <f>IF(Transactions_RAW_cleaned[[#This Row],[Status]]="Refunded", "Refund",
  IF(Transactions_RAW_cleaned[[#This Row],[Category]]="Payments", IF(Transactions_RAW_cleaned[[#This Row],[Amount]]&gt;500,"High Value","Standard"),
    IF(Transactions_RAW_cleaned[[#This Row],[Amount]]&gt;250,"High Value","Standard")))</f>
        <v>Standard</v>
      </c>
      <c r="Q953" s="5" t="str">
        <f>IF(Transactions_RAW_cleaned[[#This Row],[Amount]] &gt; (_xlfn.XLOOKUP(Transactions_RAW_cleaned[[#This Row],[ServiceID]],Services_cleaned[ServiceID],Services_cleaned[TransactionFeePct]) * 10000), "Yes", "No")</f>
        <v>Yes</v>
      </c>
      <c r="R953" s="5" t="str">
        <f>IF(COUNTIFS($C$2:Transactions_RAW_cleaned[[#This Row],[CustomerID]],Transactions_RAW_cleaned[[#This Row],[CustomerID]],$D$2:Transactions_RAW_cleaned[[#This Row],[ServiceID]],Transactions_RAW_cleaned[[#This Row],[ServiceID]])=1,"Yes","No")</f>
        <v>Yes</v>
      </c>
      <c r="S95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53" t="str">
        <f>"Q"&amp;ROUNDUP(MONTH(Transactions_RAW_cleaned[[#This Row],[TransactionDate]])/3,0)</f>
        <v>Q2</v>
      </c>
      <c r="U953" t="str">
        <f>Transactions_RAW_cleaned[[#This Row],[Region ]]&amp;Transactions_RAW_cleaned[[#This Row],[Quarter ]]</f>
        <v>NAQ2</v>
      </c>
      <c r="V953" s="5">
        <f>_xlfn.XLOOKUP(Transactions_RAW_cleaned[[#This Row],[RegionQuarterKey]], Quarterly_Targets_cleaned[RegionQuarterKey], Quarterly_Targets_cleaned[TargetRevenue])</f>
        <v>260000</v>
      </c>
    </row>
    <row r="954" spans="1:22" x14ac:dyDescent="0.25">
      <c r="A954" t="s">
        <v>1287</v>
      </c>
      <c r="B954" s="1">
        <v>45459</v>
      </c>
      <c r="C954" t="s">
        <v>70</v>
      </c>
      <c r="D954" t="s">
        <v>306</v>
      </c>
      <c r="E954">
        <v>519</v>
      </c>
      <c r="F954" t="s">
        <v>324</v>
      </c>
      <c r="G954" t="s">
        <v>327</v>
      </c>
      <c r="I954" t="s">
        <v>8</v>
      </c>
      <c r="J954" t="s">
        <v>37</v>
      </c>
      <c r="K954" t="s">
        <v>28</v>
      </c>
      <c r="L954" t="s">
        <v>307</v>
      </c>
      <c r="M954" t="s">
        <v>308</v>
      </c>
      <c r="N954">
        <v>0</v>
      </c>
      <c r="O954" t="str">
        <f>IF(Transactions_RAW_cleaned[[#This Row],[Status]]="Completed", IFERROR(_xlfn.XLOOKUP(Transactions_RAW_cleaned[[#This Row],[CustomerID]], Customers_cleaned[CustomerID], Customers_cleaned[Segment]), "Customer Not Found"), "N/A")</f>
        <v>SMB</v>
      </c>
      <c r="P954" s="5" t="str">
        <f>IF(Transactions_RAW_cleaned[[#This Row],[Status]]="Refunded", "Refund",
  IF(Transactions_RAW_cleaned[[#This Row],[Category]]="Payments", IF(Transactions_RAW_cleaned[[#This Row],[Amount]]&gt;500,"High Value","Standard"),
    IF(Transactions_RAW_cleaned[[#This Row],[Amount]]&gt;250,"High Value","Standard")))</f>
        <v>High Value</v>
      </c>
      <c r="Q954" s="5" t="str">
        <f>IF(Transactions_RAW_cleaned[[#This Row],[Amount]] &gt; (_xlfn.XLOOKUP(Transactions_RAW_cleaned[[#This Row],[ServiceID]],Services_cleaned[ServiceID],Services_cleaned[TransactionFeePct]) * 10000), "Yes", "No")</f>
        <v>Yes</v>
      </c>
      <c r="R954" s="5" t="str">
        <f>IF(COUNTIFS($C$2:Transactions_RAW_cleaned[[#This Row],[CustomerID]],Transactions_RAW_cleaned[[#This Row],[CustomerID]],$D$2:Transactions_RAW_cleaned[[#This Row],[ServiceID]],Transactions_RAW_cleaned[[#This Row],[ServiceID]])=1,"Yes","No")</f>
        <v>No</v>
      </c>
      <c r="S95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54" t="str">
        <f>"Q"&amp;ROUNDUP(MONTH(Transactions_RAW_cleaned[[#This Row],[TransactionDate]])/3,0)</f>
        <v>Q2</v>
      </c>
      <c r="U954" t="str">
        <f>Transactions_RAW_cleaned[[#This Row],[Region ]]&amp;Transactions_RAW_cleaned[[#This Row],[Quarter ]]</f>
        <v>EMEAQ2</v>
      </c>
      <c r="V954" s="5">
        <f>_xlfn.XLOOKUP(Transactions_RAW_cleaned[[#This Row],[RegionQuarterKey]], Quarterly_Targets_cleaned[RegionQuarterKey], Quarterly_Targets_cleaned[TargetRevenue])</f>
        <v>140000</v>
      </c>
    </row>
    <row r="955" spans="1:22" x14ac:dyDescent="0.25">
      <c r="A955" t="s">
        <v>1288</v>
      </c>
      <c r="B955" s="1">
        <v>45445</v>
      </c>
      <c r="C955" t="s">
        <v>229</v>
      </c>
      <c r="D955" t="s">
        <v>297</v>
      </c>
      <c r="E955">
        <v>659.52</v>
      </c>
      <c r="F955" t="s">
        <v>324</v>
      </c>
      <c r="G955" t="s">
        <v>325</v>
      </c>
      <c r="I955" t="s">
        <v>17</v>
      </c>
      <c r="J955" t="s">
        <v>102</v>
      </c>
      <c r="K955" t="s">
        <v>18</v>
      </c>
      <c r="L955" t="s">
        <v>298</v>
      </c>
      <c r="M955" t="s">
        <v>299</v>
      </c>
      <c r="N955">
        <v>0</v>
      </c>
      <c r="O955" t="str">
        <f>IF(Transactions_RAW_cleaned[[#This Row],[Status]]="Completed", IFERROR(_xlfn.XLOOKUP(Transactions_RAW_cleaned[[#This Row],[CustomerID]], Customers_cleaned[CustomerID], Customers_cleaned[Segment]), "Customer Not Found"), "N/A")</f>
        <v>Enterprise</v>
      </c>
      <c r="P955" s="5" t="str">
        <f>IF(Transactions_RAW_cleaned[[#This Row],[Status]]="Refunded", "Refund",
  IF(Transactions_RAW_cleaned[[#This Row],[Category]]="Payments", IF(Transactions_RAW_cleaned[[#This Row],[Amount]]&gt;500,"High Value","Standard"),
    IF(Transactions_RAW_cleaned[[#This Row],[Amount]]&gt;250,"High Value","Standard")))</f>
        <v>High Value</v>
      </c>
      <c r="Q955" s="5" t="str">
        <f>IF(Transactions_RAW_cleaned[[#This Row],[Amount]] &gt; (_xlfn.XLOOKUP(Transactions_RAW_cleaned[[#This Row],[ServiceID]],Services_cleaned[ServiceID],Services_cleaned[TransactionFeePct]) * 10000), "Yes", "No")</f>
        <v>Yes</v>
      </c>
      <c r="R955" s="5" t="str">
        <f>IF(COUNTIFS($C$2:Transactions_RAW_cleaned[[#This Row],[CustomerID]],Transactions_RAW_cleaned[[#This Row],[CustomerID]],$D$2:Transactions_RAW_cleaned[[#This Row],[ServiceID]],Transactions_RAW_cleaned[[#This Row],[ServiceID]])=1,"Yes","No")</f>
        <v>Yes</v>
      </c>
      <c r="S95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55" t="str">
        <f>"Q"&amp;ROUNDUP(MONTH(Transactions_RAW_cleaned[[#This Row],[TransactionDate]])/3,0)</f>
        <v>Q2</v>
      </c>
      <c r="U955" t="str">
        <f>Transactions_RAW_cleaned[[#This Row],[Region ]]&amp;Transactions_RAW_cleaned[[#This Row],[Quarter ]]</f>
        <v>NAQ2</v>
      </c>
      <c r="V955" s="5">
        <f>_xlfn.XLOOKUP(Transactions_RAW_cleaned[[#This Row],[RegionQuarterKey]], Quarterly_Targets_cleaned[RegionQuarterKey], Quarterly_Targets_cleaned[TargetRevenue])</f>
        <v>260000</v>
      </c>
    </row>
    <row r="956" spans="1:22" x14ac:dyDescent="0.25">
      <c r="A956" t="s">
        <v>1289</v>
      </c>
      <c r="B956" s="1">
        <v>45601</v>
      </c>
      <c r="C956" t="s">
        <v>171</v>
      </c>
      <c r="D956" t="s">
        <v>300</v>
      </c>
      <c r="E956">
        <v>212.61</v>
      </c>
      <c r="F956" t="s">
        <v>324</v>
      </c>
      <c r="G956" t="s">
        <v>325</v>
      </c>
      <c r="H956" t="s">
        <v>334</v>
      </c>
      <c r="I956" t="s">
        <v>17</v>
      </c>
      <c r="J956" t="s">
        <v>31</v>
      </c>
      <c r="K956" t="s">
        <v>32</v>
      </c>
      <c r="L956" t="s">
        <v>301</v>
      </c>
      <c r="M956" t="s">
        <v>302</v>
      </c>
      <c r="N956">
        <v>5.0000000000000001E-3</v>
      </c>
      <c r="O956" t="str">
        <f>IF(Transactions_RAW_cleaned[[#This Row],[Status]]="Completed", IFERROR(_xlfn.XLOOKUP(Transactions_RAW_cleaned[[#This Row],[CustomerID]], Customers_cleaned[CustomerID], Customers_cleaned[Segment]), "Customer Not Found"), "N/A")</f>
        <v>Enterprise</v>
      </c>
      <c r="P956" s="5" t="str">
        <f>IF(Transactions_RAW_cleaned[[#This Row],[Status]]="Refunded", "Refund",
  IF(Transactions_RAW_cleaned[[#This Row],[Category]]="Payments", IF(Transactions_RAW_cleaned[[#This Row],[Amount]]&gt;500,"High Value","Standard"),
    IF(Transactions_RAW_cleaned[[#This Row],[Amount]]&gt;250,"High Value","Standard")))</f>
        <v>Standard</v>
      </c>
      <c r="Q956" s="5" t="str">
        <f>IF(Transactions_RAW_cleaned[[#This Row],[Amount]] &gt; (_xlfn.XLOOKUP(Transactions_RAW_cleaned[[#This Row],[ServiceID]],Services_cleaned[ServiceID],Services_cleaned[TransactionFeePct]) * 10000), "Yes", "No")</f>
        <v>Yes</v>
      </c>
      <c r="R956" s="5" t="str">
        <f>IF(COUNTIFS($C$2:Transactions_RAW_cleaned[[#This Row],[CustomerID]],Transactions_RAW_cleaned[[#This Row],[CustomerID]],$D$2:Transactions_RAW_cleaned[[#This Row],[ServiceID]],Transactions_RAW_cleaned[[#This Row],[ServiceID]])=1,"Yes","No")</f>
        <v>No</v>
      </c>
      <c r="S95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56" t="str">
        <f>"Q"&amp;ROUNDUP(MONTH(Transactions_RAW_cleaned[[#This Row],[TransactionDate]])/3,0)</f>
        <v>Q4</v>
      </c>
      <c r="U956" t="str">
        <f>Transactions_RAW_cleaned[[#This Row],[Region ]]&amp;Transactions_RAW_cleaned[[#This Row],[Quarter ]]</f>
        <v>EMEAQ4</v>
      </c>
      <c r="V956" s="5">
        <f>_xlfn.XLOOKUP(Transactions_RAW_cleaned[[#This Row],[RegionQuarterKey]], Quarterly_Targets_cleaned[RegionQuarterKey], Quarterly_Targets_cleaned[TargetRevenue])</f>
        <v>161000</v>
      </c>
    </row>
    <row r="957" spans="1:22" x14ac:dyDescent="0.25">
      <c r="A957" t="s">
        <v>1290</v>
      </c>
      <c r="B957" s="1">
        <v>45454</v>
      </c>
      <c r="C957" t="s">
        <v>19</v>
      </c>
      <c r="D957" t="s">
        <v>315</v>
      </c>
      <c r="E957">
        <v>818.48</v>
      </c>
      <c r="F957" t="s">
        <v>324</v>
      </c>
      <c r="G957" t="s">
        <v>327</v>
      </c>
      <c r="I957" t="s">
        <v>8</v>
      </c>
      <c r="J957" t="s">
        <v>21</v>
      </c>
      <c r="K957" t="s">
        <v>22</v>
      </c>
      <c r="L957" t="s">
        <v>316</v>
      </c>
      <c r="M957" t="s">
        <v>305</v>
      </c>
      <c r="N957">
        <v>2.5000000000000001E-3</v>
      </c>
      <c r="O957" t="str">
        <f>IF(Transactions_RAW_cleaned[[#This Row],[Status]]="Completed", IFERROR(_xlfn.XLOOKUP(Transactions_RAW_cleaned[[#This Row],[CustomerID]], Customers_cleaned[CustomerID], Customers_cleaned[Segment]), "Customer Not Found"), "N/A")</f>
        <v>SMB</v>
      </c>
      <c r="P957" s="5" t="str">
        <f>IF(Transactions_RAW_cleaned[[#This Row],[Status]]="Refunded", "Refund",
  IF(Transactions_RAW_cleaned[[#This Row],[Category]]="Payments", IF(Transactions_RAW_cleaned[[#This Row],[Amount]]&gt;500,"High Value","Standard"),
    IF(Transactions_RAW_cleaned[[#This Row],[Amount]]&gt;250,"High Value","Standard")))</f>
        <v>High Value</v>
      </c>
      <c r="Q957" s="5" t="str">
        <f>IF(Transactions_RAW_cleaned[[#This Row],[Amount]] &gt; (_xlfn.XLOOKUP(Transactions_RAW_cleaned[[#This Row],[ServiceID]],Services_cleaned[ServiceID],Services_cleaned[TransactionFeePct]) * 10000), "Yes", "No")</f>
        <v>Yes</v>
      </c>
      <c r="R957" s="5" t="str">
        <f>IF(COUNTIFS($C$2:Transactions_RAW_cleaned[[#This Row],[CustomerID]],Transactions_RAW_cleaned[[#This Row],[CustomerID]],$D$2:Transactions_RAW_cleaned[[#This Row],[ServiceID]],Transactions_RAW_cleaned[[#This Row],[ServiceID]])=1,"Yes","No")</f>
        <v>No</v>
      </c>
      <c r="S95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57" t="str">
        <f>"Q"&amp;ROUNDUP(MONTH(Transactions_RAW_cleaned[[#This Row],[TransactionDate]])/3,0)</f>
        <v>Q2</v>
      </c>
      <c r="U957" t="str">
        <f>Transactions_RAW_cleaned[[#This Row],[Region ]]&amp;Transactions_RAW_cleaned[[#This Row],[Quarter ]]</f>
        <v>APACQ2</v>
      </c>
      <c r="V957" s="5">
        <f>_xlfn.XLOOKUP(Transactions_RAW_cleaned[[#This Row],[RegionQuarterKey]], Quarterly_Targets_cleaned[RegionQuarterKey], Quarterly_Targets_cleaned[TargetRevenue])</f>
        <v>110000</v>
      </c>
    </row>
    <row r="958" spans="1:22" x14ac:dyDescent="0.25">
      <c r="A958" t="s">
        <v>1291</v>
      </c>
      <c r="B958" s="1">
        <v>45617</v>
      </c>
      <c r="C958" t="s">
        <v>177</v>
      </c>
      <c r="D958" t="s">
        <v>300</v>
      </c>
      <c r="E958">
        <v>315.22000000000003</v>
      </c>
      <c r="F958" t="s">
        <v>324</v>
      </c>
      <c r="G958" t="s">
        <v>337</v>
      </c>
      <c r="H958" t="s">
        <v>332</v>
      </c>
      <c r="I958" t="s">
        <v>8</v>
      </c>
      <c r="J958" t="s">
        <v>46</v>
      </c>
      <c r="K958" t="s">
        <v>10</v>
      </c>
      <c r="L958" t="s">
        <v>301</v>
      </c>
      <c r="M958" t="s">
        <v>302</v>
      </c>
      <c r="N958">
        <v>5.0000000000000001E-3</v>
      </c>
      <c r="O958" t="str">
        <f>IF(Transactions_RAW_cleaned[[#This Row],[Status]]="Completed", IFERROR(_xlfn.XLOOKUP(Transactions_RAW_cleaned[[#This Row],[CustomerID]], Customers_cleaned[CustomerID], Customers_cleaned[Segment]), "Customer Not Found"), "N/A")</f>
        <v>SMB</v>
      </c>
      <c r="P958" s="5" t="str">
        <f>IF(Transactions_RAW_cleaned[[#This Row],[Status]]="Refunded", "Refund",
  IF(Transactions_RAW_cleaned[[#This Row],[Category]]="Payments", IF(Transactions_RAW_cleaned[[#This Row],[Amount]]&gt;500,"High Value","Standard"),
    IF(Transactions_RAW_cleaned[[#This Row],[Amount]]&gt;250,"High Value","Standard")))</f>
        <v>High Value</v>
      </c>
      <c r="Q958" s="5" t="str">
        <f>IF(Transactions_RAW_cleaned[[#This Row],[Amount]] &gt; (_xlfn.XLOOKUP(Transactions_RAW_cleaned[[#This Row],[ServiceID]],Services_cleaned[ServiceID],Services_cleaned[TransactionFeePct]) * 10000), "Yes", "No")</f>
        <v>Yes</v>
      </c>
      <c r="R958" s="5" t="str">
        <f>IF(COUNTIFS($C$2:Transactions_RAW_cleaned[[#This Row],[CustomerID]],Transactions_RAW_cleaned[[#This Row],[CustomerID]],$D$2:Transactions_RAW_cleaned[[#This Row],[ServiceID]],Transactions_RAW_cleaned[[#This Row],[ServiceID]])=1,"Yes","No")</f>
        <v>Yes</v>
      </c>
      <c r="S95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58" t="str">
        <f>"Q"&amp;ROUNDUP(MONTH(Transactions_RAW_cleaned[[#This Row],[TransactionDate]])/3,0)</f>
        <v>Q4</v>
      </c>
      <c r="U958" t="str">
        <f>Transactions_RAW_cleaned[[#This Row],[Region ]]&amp;Transactions_RAW_cleaned[[#This Row],[Quarter ]]</f>
        <v>APACQ4</v>
      </c>
      <c r="V958" s="5">
        <f>_xlfn.XLOOKUP(Transactions_RAW_cleaned[[#This Row],[RegionQuarterKey]], Quarterly_Targets_cleaned[RegionQuarterKey], Quarterly_Targets_cleaned[TargetRevenue])</f>
        <v>126500</v>
      </c>
    </row>
    <row r="959" spans="1:22" x14ac:dyDescent="0.25">
      <c r="A959" t="s">
        <v>1292</v>
      </c>
      <c r="B959" s="1">
        <v>45543</v>
      </c>
      <c r="C959" t="s">
        <v>213</v>
      </c>
      <c r="D959" t="s">
        <v>294</v>
      </c>
      <c r="E959">
        <v>174.26</v>
      </c>
      <c r="F959" t="s">
        <v>324</v>
      </c>
      <c r="G959" t="s">
        <v>337</v>
      </c>
      <c r="I959" t="s">
        <v>17</v>
      </c>
      <c r="J959" t="s">
        <v>25</v>
      </c>
      <c r="K959" t="s">
        <v>14</v>
      </c>
      <c r="L959" t="s">
        <v>295</v>
      </c>
      <c r="M959" t="s">
        <v>296</v>
      </c>
      <c r="N959">
        <v>2.9000000000000001E-2</v>
      </c>
      <c r="O959" t="str">
        <f>IF(Transactions_RAW_cleaned[[#This Row],[Status]]="Completed", IFERROR(_xlfn.XLOOKUP(Transactions_RAW_cleaned[[#This Row],[CustomerID]], Customers_cleaned[CustomerID], Customers_cleaned[Segment]), "Customer Not Found"), "N/A")</f>
        <v>Enterprise</v>
      </c>
      <c r="P959" s="5" t="str">
        <f>IF(Transactions_RAW_cleaned[[#This Row],[Status]]="Refunded", "Refund",
  IF(Transactions_RAW_cleaned[[#This Row],[Category]]="Payments", IF(Transactions_RAW_cleaned[[#This Row],[Amount]]&gt;500,"High Value","Standard"),
    IF(Transactions_RAW_cleaned[[#This Row],[Amount]]&gt;250,"High Value","Standard")))</f>
        <v>Standard</v>
      </c>
      <c r="Q959" s="5" t="str">
        <f>IF(Transactions_RAW_cleaned[[#This Row],[Amount]] &gt; (_xlfn.XLOOKUP(Transactions_RAW_cleaned[[#This Row],[ServiceID]],Services_cleaned[ServiceID],Services_cleaned[TransactionFeePct]) * 10000), "Yes", "No")</f>
        <v>No</v>
      </c>
      <c r="R959" s="5" t="str">
        <f>IF(COUNTIFS($C$2:Transactions_RAW_cleaned[[#This Row],[CustomerID]],Transactions_RAW_cleaned[[#This Row],[CustomerID]],$D$2:Transactions_RAW_cleaned[[#This Row],[ServiceID]],Transactions_RAW_cleaned[[#This Row],[ServiceID]])=1,"Yes","No")</f>
        <v>No</v>
      </c>
      <c r="S95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59" t="str">
        <f>"Q"&amp;ROUNDUP(MONTH(Transactions_RAW_cleaned[[#This Row],[TransactionDate]])/3,0)</f>
        <v>Q3</v>
      </c>
      <c r="U959" t="str">
        <f>Transactions_RAW_cleaned[[#This Row],[Region ]]&amp;Transactions_RAW_cleaned[[#This Row],[Quarter ]]</f>
        <v>APACQ3</v>
      </c>
      <c r="V959" s="5">
        <f>_xlfn.XLOOKUP(Transactions_RAW_cleaned[[#This Row],[RegionQuarterKey]], Quarterly_Targets_cleaned[RegionQuarterKey], Quarterly_Targets_cleaned[TargetRevenue])</f>
        <v>115500</v>
      </c>
    </row>
    <row r="960" spans="1:22" x14ac:dyDescent="0.25">
      <c r="A960" t="s">
        <v>1293</v>
      </c>
      <c r="B960" s="1">
        <v>45524</v>
      </c>
      <c r="C960" t="s">
        <v>137</v>
      </c>
      <c r="D960" t="s">
        <v>297</v>
      </c>
      <c r="E960">
        <v>271.58999999999997</v>
      </c>
      <c r="F960" t="s">
        <v>324</v>
      </c>
      <c r="G960" t="s">
        <v>327</v>
      </c>
      <c r="I960" t="s">
        <v>8</v>
      </c>
      <c r="J960" t="s">
        <v>13</v>
      </c>
      <c r="K960" t="s">
        <v>18</v>
      </c>
      <c r="L960" t="s">
        <v>298</v>
      </c>
      <c r="M960" t="s">
        <v>299</v>
      </c>
      <c r="N960">
        <v>0</v>
      </c>
      <c r="O960" t="str">
        <f>IF(Transactions_RAW_cleaned[[#This Row],[Status]]="Completed", IFERROR(_xlfn.XLOOKUP(Transactions_RAW_cleaned[[#This Row],[CustomerID]], Customers_cleaned[CustomerID], Customers_cleaned[Segment]), "Customer Not Found"), "N/A")</f>
        <v>SMB</v>
      </c>
      <c r="P960" s="5" t="str">
        <f>IF(Transactions_RAW_cleaned[[#This Row],[Status]]="Refunded", "Refund",
  IF(Transactions_RAW_cleaned[[#This Row],[Category]]="Payments", IF(Transactions_RAW_cleaned[[#This Row],[Amount]]&gt;500,"High Value","Standard"),
    IF(Transactions_RAW_cleaned[[#This Row],[Amount]]&gt;250,"High Value","Standard")))</f>
        <v>High Value</v>
      </c>
      <c r="Q960" s="5" t="str">
        <f>IF(Transactions_RAW_cleaned[[#This Row],[Amount]] &gt; (_xlfn.XLOOKUP(Transactions_RAW_cleaned[[#This Row],[ServiceID]],Services_cleaned[ServiceID],Services_cleaned[TransactionFeePct]) * 10000), "Yes", "No")</f>
        <v>Yes</v>
      </c>
      <c r="R960" s="5" t="str">
        <f>IF(COUNTIFS($C$2:Transactions_RAW_cleaned[[#This Row],[CustomerID]],Transactions_RAW_cleaned[[#This Row],[CustomerID]],$D$2:Transactions_RAW_cleaned[[#This Row],[ServiceID]],Transactions_RAW_cleaned[[#This Row],[ServiceID]])=1,"Yes","No")</f>
        <v>No</v>
      </c>
      <c r="S96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60" t="str">
        <f>"Q"&amp;ROUNDUP(MONTH(Transactions_RAW_cleaned[[#This Row],[TransactionDate]])/3,0)</f>
        <v>Q3</v>
      </c>
      <c r="U960" t="str">
        <f>Transactions_RAW_cleaned[[#This Row],[Region ]]&amp;Transactions_RAW_cleaned[[#This Row],[Quarter ]]</f>
        <v>NAQ3</v>
      </c>
      <c r="V960" s="5">
        <f>_xlfn.XLOOKUP(Transactions_RAW_cleaned[[#This Row],[RegionQuarterKey]], Quarterly_Targets_cleaned[RegionQuarterKey], Quarterly_Targets_cleaned[TargetRevenue])</f>
        <v>273000</v>
      </c>
    </row>
    <row r="961" spans="1:22" x14ac:dyDescent="0.25">
      <c r="A961" t="s">
        <v>1294</v>
      </c>
      <c r="B961" s="1">
        <v>45349</v>
      </c>
      <c r="C961" t="s">
        <v>55</v>
      </c>
      <c r="D961" t="s">
        <v>294</v>
      </c>
      <c r="E961">
        <v>439.02</v>
      </c>
      <c r="F961" t="s">
        <v>324</v>
      </c>
      <c r="G961" t="s">
        <v>329</v>
      </c>
      <c r="I961" t="s">
        <v>57</v>
      </c>
      <c r="J961" t="s">
        <v>31</v>
      </c>
      <c r="K961" t="s">
        <v>22</v>
      </c>
      <c r="L961" t="s">
        <v>295</v>
      </c>
      <c r="M961" t="s">
        <v>296</v>
      </c>
      <c r="N961">
        <v>2.9000000000000001E-2</v>
      </c>
      <c r="O961" t="str">
        <f>IF(Transactions_RAW_cleaned[[#This Row],[Status]]="Completed", IFERROR(_xlfn.XLOOKUP(Transactions_RAW_cleaned[[#This Row],[CustomerID]], Customers_cleaned[CustomerID], Customers_cleaned[Segment]), "Customer Not Found"), "N/A")</f>
        <v>Startup</v>
      </c>
      <c r="P961" s="5" t="str">
        <f>IF(Transactions_RAW_cleaned[[#This Row],[Status]]="Refunded", "Refund",
  IF(Transactions_RAW_cleaned[[#This Row],[Category]]="Payments", IF(Transactions_RAW_cleaned[[#This Row],[Amount]]&gt;500,"High Value","Standard"),
    IF(Transactions_RAW_cleaned[[#This Row],[Amount]]&gt;250,"High Value","Standard")))</f>
        <v>Standard</v>
      </c>
      <c r="Q961" s="5" t="str">
        <f>IF(Transactions_RAW_cleaned[[#This Row],[Amount]] &gt; (_xlfn.XLOOKUP(Transactions_RAW_cleaned[[#This Row],[ServiceID]],Services_cleaned[ServiceID],Services_cleaned[TransactionFeePct]) * 10000), "Yes", "No")</f>
        <v>Yes</v>
      </c>
      <c r="R961" s="5" t="str">
        <f>IF(COUNTIFS($C$2:Transactions_RAW_cleaned[[#This Row],[CustomerID]],Transactions_RAW_cleaned[[#This Row],[CustomerID]],$D$2:Transactions_RAW_cleaned[[#This Row],[ServiceID]],Transactions_RAW_cleaned[[#This Row],[ServiceID]])=1,"Yes","No")</f>
        <v>No</v>
      </c>
      <c r="S96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61" t="str">
        <f>"Q"&amp;ROUNDUP(MONTH(Transactions_RAW_cleaned[[#This Row],[TransactionDate]])/3,0)</f>
        <v>Q1</v>
      </c>
      <c r="U961" t="str">
        <f>Transactions_RAW_cleaned[[#This Row],[Region ]]&amp;Transactions_RAW_cleaned[[#This Row],[Quarter ]]</f>
        <v>EMEAQ1</v>
      </c>
      <c r="V961" s="5">
        <f>_xlfn.XLOOKUP(Transactions_RAW_cleaned[[#This Row],[RegionQuarterKey]], Quarterly_Targets_cleaned[RegionQuarterKey], Quarterly_Targets_cleaned[TargetRevenue])</f>
        <v>133000</v>
      </c>
    </row>
    <row r="962" spans="1:22" x14ac:dyDescent="0.25">
      <c r="A962" t="s">
        <v>1295</v>
      </c>
      <c r="B962" s="1">
        <v>45495</v>
      </c>
      <c r="C962" t="s">
        <v>23</v>
      </c>
      <c r="D962" t="s">
        <v>294</v>
      </c>
      <c r="E962">
        <v>664.96</v>
      </c>
      <c r="F962" t="s">
        <v>324</v>
      </c>
      <c r="G962" t="s">
        <v>327</v>
      </c>
      <c r="I962" t="s">
        <v>8</v>
      </c>
      <c r="J962" t="s">
        <v>25</v>
      </c>
      <c r="K962" t="s">
        <v>22</v>
      </c>
      <c r="L962" t="s">
        <v>295</v>
      </c>
      <c r="M962" t="s">
        <v>296</v>
      </c>
      <c r="N962">
        <v>2.9000000000000001E-2</v>
      </c>
      <c r="O962" t="str">
        <f>IF(Transactions_RAW_cleaned[[#This Row],[Status]]="Completed", IFERROR(_xlfn.XLOOKUP(Transactions_RAW_cleaned[[#This Row],[CustomerID]], Customers_cleaned[CustomerID], Customers_cleaned[Segment]), "Customer Not Found"), "N/A")</f>
        <v>SMB</v>
      </c>
      <c r="P962" s="5" t="str">
        <f>IF(Transactions_RAW_cleaned[[#This Row],[Status]]="Refunded", "Refund",
  IF(Transactions_RAW_cleaned[[#This Row],[Category]]="Payments", IF(Transactions_RAW_cleaned[[#This Row],[Amount]]&gt;500,"High Value","Standard"),
    IF(Transactions_RAW_cleaned[[#This Row],[Amount]]&gt;250,"High Value","Standard")))</f>
        <v>High Value</v>
      </c>
      <c r="Q962" s="5" t="str">
        <f>IF(Transactions_RAW_cleaned[[#This Row],[Amount]] &gt; (_xlfn.XLOOKUP(Transactions_RAW_cleaned[[#This Row],[ServiceID]],Services_cleaned[ServiceID],Services_cleaned[TransactionFeePct]) * 10000), "Yes", "No")</f>
        <v>Yes</v>
      </c>
      <c r="R962" s="5" t="str">
        <f>IF(COUNTIFS($C$2:Transactions_RAW_cleaned[[#This Row],[CustomerID]],Transactions_RAW_cleaned[[#This Row],[CustomerID]],$D$2:Transactions_RAW_cleaned[[#This Row],[ServiceID]],Transactions_RAW_cleaned[[#This Row],[ServiceID]])=1,"Yes","No")</f>
        <v>Yes</v>
      </c>
      <c r="S96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62" t="str">
        <f>"Q"&amp;ROUNDUP(MONTH(Transactions_RAW_cleaned[[#This Row],[TransactionDate]])/3,0)</f>
        <v>Q3</v>
      </c>
      <c r="U962" t="str">
        <f>Transactions_RAW_cleaned[[#This Row],[Region ]]&amp;Transactions_RAW_cleaned[[#This Row],[Quarter ]]</f>
        <v>APACQ3</v>
      </c>
      <c r="V962" s="5">
        <f>_xlfn.XLOOKUP(Transactions_RAW_cleaned[[#This Row],[RegionQuarterKey]], Quarterly_Targets_cleaned[RegionQuarterKey], Quarterly_Targets_cleaned[TargetRevenue])</f>
        <v>115500</v>
      </c>
    </row>
    <row r="963" spans="1:22" x14ac:dyDescent="0.25">
      <c r="A963" t="s">
        <v>1296</v>
      </c>
      <c r="B963" s="1">
        <v>45515</v>
      </c>
      <c r="C963" t="s">
        <v>195</v>
      </c>
      <c r="D963" t="s">
        <v>294</v>
      </c>
      <c r="E963">
        <v>647.69000000000005</v>
      </c>
      <c r="F963" t="s">
        <v>324</v>
      </c>
      <c r="G963" t="s">
        <v>327</v>
      </c>
      <c r="H963" t="s">
        <v>332</v>
      </c>
      <c r="I963" t="s">
        <v>8</v>
      </c>
      <c r="J963" t="s">
        <v>102</v>
      </c>
      <c r="K963" t="s">
        <v>32</v>
      </c>
      <c r="L963" t="s">
        <v>295</v>
      </c>
      <c r="M963" t="s">
        <v>296</v>
      </c>
      <c r="N963">
        <v>2.9000000000000001E-2</v>
      </c>
      <c r="O963" t="str">
        <f>IF(Transactions_RAW_cleaned[[#This Row],[Status]]="Completed", IFERROR(_xlfn.XLOOKUP(Transactions_RAW_cleaned[[#This Row],[CustomerID]], Customers_cleaned[CustomerID], Customers_cleaned[Segment]), "Customer Not Found"), "N/A")</f>
        <v>SMB</v>
      </c>
      <c r="P963" s="5" t="str">
        <f>IF(Transactions_RAW_cleaned[[#This Row],[Status]]="Refunded", "Refund",
  IF(Transactions_RAW_cleaned[[#This Row],[Category]]="Payments", IF(Transactions_RAW_cleaned[[#This Row],[Amount]]&gt;500,"High Value","Standard"),
    IF(Transactions_RAW_cleaned[[#This Row],[Amount]]&gt;250,"High Value","Standard")))</f>
        <v>High Value</v>
      </c>
      <c r="Q963" s="5" t="str">
        <f>IF(Transactions_RAW_cleaned[[#This Row],[Amount]] &gt; (_xlfn.XLOOKUP(Transactions_RAW_cleaned[[#This Row],[ServiceID]],Services_cleaned[ServiceID],Services_cleaned[TransactionFeePct]) * 10000), "Yes", "No")</f>
        <v>Yes</v>
      </c>
      <c r="R963" s="5" t="str">
        <f>IF(COUNTIFS($C$2:Transactions_RAW_cleaned[[#This Row],[CustomerID]],Transactions_RAW_cleaned[[#This Row],[CustomerID]],$D$2:Transactions_RAW_cleaned[[#This Row],[ServiceID]],Transactions_RAW_cleaned[[#This Row],[ServiceID]])=1,"Yes","No")</f>
        <v>No</v>
      </c>
      <c r="S96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63" t="str">
        <f>"Q"&amp;ROUNDUP(MONTH(Transactions_RAW_cleaned[[#This Row],[TransactionDate]])/3,0)</f>
        <v>Q3</v>
      </c>
      <c r="U963" t="str">
        <f>Transactions_RAW_cleaned[[#This Row],[Region ]]&amp;Transactions_RAW_cleaned[[#This Row],[Quarter ]]</f>
        <v>NAQ3</v>
      </c>
      <c r="V963" s="5">
        <f>_xlfn.XLOOKUP(Transactions_RAW_cleaned[[#This Row],[RegionQuarterKey]], Quarterly_Targets_cleaned[RegionQuarterKey], Quarterly_Targets_cleaned[TargetRevenue])</f>
        <v>273000</v>
      </c>
    </row>
    <row r="964" spans="1:22" x14ac:dyDescent="0.25">
      <c r="A964" t="s">
        <v>1297</v>
      </c>
      <c r="B964" s="1">
        <v>45653</v>
      </c>
      <c r="C964" t="s">
        <v>125</v>
      </c>
      <c r="D964" t="s">
        <v>294</v>
      </c>
      <c r="E964">
        <v>283.95</v>
      </c>
      <c r="F964" t="s">
        <v>381</v>
      </c>
      <c r="G964" t="s">
        <v>325</v>
      </c>
      <c r="H964" t="s">
        <v>332</v>
      </c>
      <c r="I964" t="s">
        <v>8</v>
      </c>
      <c r="J964" t="s">
        <v>13</v>
      </c>
      <c r="K964" t="s">
        <v>28</v>
      </c>
      <c r="L964" t="s">
        <v>295</v>
      </c>
      <c r="M964" t="s">
        <v>296</v>
      </c>
      <c r="N964">
        <v>2.9000000000000001E-2</v>
      </c>
      <c r="O964" t="str">
        <f>IF(Transactions_RAW_cleaned[[#This Row],[Status]]="Completed", IFERROR(_xlfn.XLOOKUP(Transactions_RAW_cleaned[[#This Row],[CustomerID]], Customers_cleaned[CustomerID], Customers_cleaned[Segment]), "Customer Not Found"), "N/A")</f>
        <v>N/A</v>
      </c>
      <c r="P964" s="5" t="str">
        <f>IF(Transactions_RAW_cleaned[[#This Row],[Status]]="Refunded", "Refund",
  IF(Transactions_RAW_cleaned[[#This Row],[Category]]="Payments", IF(Transactions_RAW_cleaned[[#This Row],[Amount]]&gt;500,"High Value","Standard"),
    IF(Transactions_RAW_cleaned[[#This Row],[Amount]]&gt;250,"High Value","Standard")))</f>
        <v>Standard</v>
      </c>
      <c r="Q964" s="5" t="str">
        <f>IF(Transactions_RAW_cleaned[[#This Row],[Amount]] &gt; (_xlfn.XLOOKUP(Transactions_RAW_cleaned[[#This Row],[ServiceID]],Services_cleaned[ServiceID],Services_cleaned[TransactionFeePct]) * 10000), "Yes", "No")</f>
        <v>No</v>
      </c>
      <c r="R964" s="5" t="str">
        <f>IF(COUNTIFS($C$2:Transactions_RAW_cleaned[[#This Row],[CustomerID]],Transactions_RAW_cleaned[[#This Row],[CustomerID]],$D$2:Transactions_RAW_cleaned[[#This Row],[ServiceID]],Transactions_RAW_cleaned[[#This Row],[ServiceID]])=1,"Yes","No")</f>
        <v>No</v>
      </c>
      <c r="S96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64" t="str">
        <f>"Q"&amp;ROUNDUP(MONTH(Transactions_RAW_cleaned[[#This Row],[TransactionDate]])/3,0)</f>
        <v>Q4</v>
      </c>
      <c r="U964" t="str">
        <f>Transactions_RAW_cleaned[[#This Row],[Region ]]&amp;Transactions_RAW_cleaned[[#This Row],[Quarter ]]</f>
        <v>NAQ4</v>
      </c>
      <c r="V964" s="5">
        <f>_xlfn.XLOOKUP(Transactions_RAW_cleaned[[#This Row],[RegionQuarterKey]], Quarterly_Targets_cleaned[RegionQuarterKey], Quarterly_Targets_cleaned[TargetRevenue])</f>
        <v>299000</v>
      </c>
    </row>
    <row r="965" spans="1:22" x14ac:dyDescent="0.25">
      <c r="A965" t="s">
        <v>1298</v>
      </c>
      <c r="B965" s="1">
        <v>45520</v>
      </c>
      <c r="C965" t="s">
        <v>44</v>
      </c>
      <c r="D965" t="s">
        <v>297</v>
      </c>
      <c r="E965">
        <v>493.42</v>
      </c>
      <c r="F965" t="s">
        <v>324</v>
      </c>
      <c r="G965" t="s">
        <v>327</v>
      </c>
      <c r="H965" t="s">
        <v>332</v>
      </c>
      <c r="I965" t="s">
        <v>8</v>
      </c>
      <c r="J965" t="s">
        <v>46</v>
      </c>
      <c r="K965" t="s">
        <v>32</v>
      </c>
      <c r="L965" t="s">
        <v>298</v>
      </c>
      <c r="M965" t="s">
        <v>299</v>
      </c>
      <c r="N965">
        <v>0</v>
      </c>
      <c r="O965" t="str">
        <f>IF(Transactions_RAW_cleaned[[#This Row],[Status]]="Completed", IFERROR(_xlfn.XLOOKUP(Transactions_RAW_cleaned[[#This Row],[CustomerID]], Customers_cleaned[CustomerID], Customers_cleaned[Segment]), "Customer Not Found"), "N/A")</f>
        <v>SMB</v>
      </c>
      <c r="P965" s="5" t="str">
        <f>IF(Transactions_RAW_cleaned[[#This Row],[Status]]="Refunded", "Refund",
  IF(Transactions_RAW_cleaned[[#This Row],[Category]]="Payments", IF(Transactions_RAW_cleaned[[#This Row],[Amount]]&gt;500,"High Value","Standard"),
    IF(Transactions_RAW_cleaned[[#This Row],[Amount]]&gt;250,"High Value","Standard")))</f>
        <v>High Value</v>
      </c>
      <c r="Q965" s="5" t="str">
        <f>IF(Transactions_RAW_cleaned[[#This Row],[Amount]] &gt; (_xlfn.XLOOKUP(Transactions_RAW_cleaned[[#This Row],[ServiceID]],Services_cleaned[ServiceID],Services_cleaned[TransactionFeePct]) * 10000), "Yes", "No")</f>
        <v>Yes</v>
      </c>
      <c r="R965" s="5" t="str">
        <f>IF(COUNTIFS($C$2:Transactions_RAW_cleaned[[#This Row],[CustomerID]],Transactions_RAW_cleaned[[#This Row],[CustomerID]],$D$2:Transactions_RAW_cleaned[[#This Row],[ServiceID]],Transactions_RAW_cleaned[[#This Row],[ServiceID]])=1,"Yes","No")</f>
        <v>No</v>
      </c>
      <c r="S96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65" t="str">
        <f>"Q"&amp;ROUNDUP(MONTH(Transactions_RAW_cleaned[[#This Row],[TransactionDate]])/3,0)</f>
        <v>Q3</v>
      </c>
      <c r="U965" t="str">
        <f>Transactions_RAW_cleaned[[#This Row],[Region ]]&amp;Transactions_RAW_cleaned[[#This Row],[Quarter ]]</f>
        <v>APACQ3</v>
      </c>
      <c r="V965" s="5">
        <f>_xlfn.XLOOKUP(Transactions_RAW_cleaned[[#This Row],[RegionQuarterKey]], Quarterly_Targets_cleaned[RegionQuarterKey], Quarterly_Targets_cleaned[TargetRevenue])</f>
        <v>115500</v>
      </c>
    </row>
    <row r="966" spans="1:22" x14ac:dyDescent="0.25">
      <c r="A966" t="s">
        <v>1299</v>
      </c>
      <c r="B966" s="1">
        <v>45441</v>
      </c>
      <c r="C966" t="s">
        <v>42</v>
      </c>
      <c r="D966" t="s">
        <v>300</v>
      </c>
      <c r="E966">
        <v>366.5</v>
      </c>
      <c r="F966" t="s">
        <v>324</v>
      </c>
      <c r="G966" t="s">
        <v>337</v>
      </c>
      <c r="I966" t="s">
        <v>8</v>
      </c>
      <c r="J966" t="s">
        <v>102</v>
      </c>
      <c r="K966" t="s">
        <v>10</v>
      </c>
      <c r="L966" t="s">
        <v>301</v>
      </c>
      <c r="M966" t="s">
        <v>302</v>
      </c>
      <c r="N966">
        <v>5.0000000000000001E-3</v>
      </c>
      <c r="O966" t="str">
        <f>IF(Transactions_RAW_cleaned[[#This Row],[Status]]="Completed", IFERROR(_xlfn.XLOOKUP(Transactions_RAW_cleaned[[#This Row],[CustomerID]], Customers_cleaned[CustomerID], Customers_cleaned[Segment]), "Customer Not Found"), "N/A")</f>
        <v>SMB</v>
      </c>
      <c r="P966" s="5" t="str">
        <f>IF(Transactions_RAW_cleaned[[#This Row],[Status]]="Refunded", "Refund",
  IF(Transactions_RAW_cleaned[[#This Row],[Category]]="Payments", IF(Transactions_RAW_cleaned[[#This Row],[Amount]]&gt;500,"High Value","Standard"),
    IF(Transactions_RAW_cleaned[[#This Row],[Amount]]&gt;250,"High Value","Standard")))</f>
        <v>High Value</v>
      </c>
      <c r="Q966" s="5" t="str">
        <f>IF(Transactions_RAW_cleaned[[#This Row],[Amount]] &gt; (_xlfn.XLOOKUP(Transactions_RAW_cleaned[[#This Row],[ServiceID]],Services_cleaned[ServiceID],Services_cleaned[TransactionFeePct]) * 10000), "Yes", "No")</f>
        <v>Yes</v>
      </c>
      <c r="R966" s="5" t="str">
        <f>IF(COUNTIFS($C$2:Transactions_RAW_cleaned[[#This Row],[CustomerID]],Transactions_RAW_cleaned[[#This Row],[CustomerID]],$D$2:Transactions_RAW_cleaned[[#This Row],[ServiceID]],Transactions_RAW_cleaned[[#This Row],[ServiceID]])=1,"Yes","No")</f>
        <v>No</v>
      </c>
      <c r="S96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66" t="str">
        <f>"Q"&amp;ROUNDUP(MONTH(Transactions_RAW_cleaned[[#This Row],[TransactionDate]])/3,0)</f>
        <v>Q2</v>
      </c>
      <c r="U966" t="str">
        <f>Transactions_RAW_cleaned[[#This Row],[Region ]]&amp;Transactions_RAW_cleaned[[#This Row],[Quarter ]]</f>
        <v>NAQ2</v>
      </c>
      <c r="V966" s="5">
        <f>_xlfn.XLOOKUP(Transactions_RAW_cleaned[[#This Row],[RegionQuarterKey]], Quarterly_Targets_cleaned[RegionQuarterKey], Quarterly_Targets_cleaned[TargetRevenue])</f>
        <v>260000</v>
      </c>
    </row>
    <row r="967" spans="1:22" x14ac:dyDescent="0.25">
      <c r="A967" t="s">
        <v>1300</v>
      </c>
      <c r="B967" s="1">
        <v>45527</v>
      </c>
      <c r="C967" t="s">
        <v>15</v>
      </c>
      <c r="D967" t="s">
        <v>300</v>
      </c>
      <c r="E967">
        <v>578.12</v>
      </c>
      <c r="F967" t="s">
        <v>324</v>
      </c>
      <c r="G967" t="s">
        <v>325</v>
      </c>
      <c r="I967" t="s">
        <v>17</v>
      </c>
      <c r="J967" t="s">
        <v>102</v>
      </c>
      <c r="K967" t="s">
        <v>18</v>
      </c>
      <c r="L967" t="s">
        <v>301</v>
      </c>
      <c r="M967" t="s">
        <v>302</v>
      </c>
      <c r="N967">
        <v>5.0000000000000001E-3</v>
      </c>
      <c r="O967" t="str">
        <f>IF(Transactions_RAW_cleaned[[#This Row],[Status]]="Completed", IFERROR(_xlfn.XLOOKUP(Transactions_RAW_cleaned[[#This Row],[CustomerID]], Customers_cleaned[CustomerID], Customers_cleaned[Segment]), "Customer Not Found"), "N/A")</f>
        <v>Enterprise</v>
      </c>
      <c r="P967" s="5" t="str">
        <f>IF(Transactions_RAW_cleaned[[#This Row],[Status]]="Refunded", "Refund",
  IF(Transactions_RAW_cleaned[[#This Row],[Category]]="Payments", IF(Transactions_RAW_cleaned[[#This Row],[Amount]]&gt;500,"High Value","Standard"),
    IF(Transactions_RAW_cleaned[[#This Row],[Amount]]&gt;250,"High Value","Standard")))</f>
        <v>High Value</v>
      </c>
      <c r="Q967" s="5" t="str">
        <f>IF(Transactions_RAW_cleaned[[#This Row],[Amount]] &gt; (_xlfn.XLOOKUP(Transactions_RAW_cleaned[[#This Row],[ServiceID]],Services_cleaned[ServiceID],Services_cleaned[TransactionFeePct]) * 10000), "Yes", "No")</f>
        <v>Yes</v>
      </c>
      <c r="R967" s="5" t="str">
        <f>IF(COUNTIFS($C$2:Transactions_RAW_cleaned[[#This Row],[CustomerID]],Transactions_RAW_cleaned[[#This Row],[CustomerID]],$D$2:Transactions_RAW_cleaned[[#This Row],[ServiceID]],Transactions_RAW_cleaned[[#This Row],[ServiceID]])=1,"Yes","No")</f>
        <v>No</v>
      </c>
      <c r="S96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67" t="str">
        <f>"Q"&amp;ROUNDUP(MONTH(Transactions_RAW_cleaned[[#This Row],[TransactionDate]])/3,0)</f>
        <v>Q3</v>
      </c>
      <c r="U967" t="str">
        <f>Transactions_RAW_cleaned[[#This Row],[Region ]]&amp;Transactions_RAW_cleaned[[#This Row],[Quarter ]]</f>
        <v>NAQ3</v>
      </c>
      <c r="V967" s="5">
        <f>_xlfn.XLOOKUP(Transactions_RAW_cleaned[[#This Row],[RegionQuarterKey]], Quarterly_Targets_cleaned[RegionQuarterKey], Quarterly_Targets_cleaned[TargetRevenue])</f>
        <v>273000</v>
      </c>
    </row>
    <row r="968" spans="1:22" x14ac:dyDescent="0.25">
      <c r="A968" t="s">
        <v>1301</v>
      </c>
      <c r="B968" s="1">
        <v>45474</v>
      </c>
      <c r="C968" t="s">
        <v>141</v>
      </c>
      <c r="D968" t="s">
        <v>297</v>
      </c>
      <c r="E968">
        <v>1411.41</v>
      </c>
      <c r="F968" t="s">
        <v>324</v>
      </c>
      <c r="G968" t="s">
        <v>327</v>
      </c>
      <c r="H968" t="s">
        <v>334</v>
      </c>
      <c r="I968" t="s">
        <v>57</v>
      </c>
      <c r="J968" t="s">
        <v>25</v>
      </c>
      <c r="K968" t="s">
        <v>10</v>
      </c>
      <c r="L968" t="s">
        <v>298</v>
      </c>
      <c r="M968" t="s">
        <v>299</v>
      </c>
      <c r="N968">
        <v>0</v>
      </c>
      <c r="O968" t="str">
        <f>IF(Transactions_RAW_cleaned[[#This Row],[Status]]="Completed", IFERROR(_xlfn.XLOOKUP(Transactions_RAW_cleaned[[#This Row],[CustomerID]], Customers_cleaned[CustomerID], Customers_cleaned[Segment]), "Customer Not Found"), "N/A")</f>
        <v>Startup</v>
      </c>
      <c r="P968" s="5" t="str">
        <f>IF(Transactions_RAW_cleaned[[#This Row],[Status]]="Refunded", "Refund",
  IF(Transactions_RAW_cleaned[[#This Row],[Category]]="Payments", IF(Transactions_RAW_cleaned[[#This Row],[Amount]]&gt;500,"High Value","Standard"),
    IF(Transactions_RAW_cleaned[[#This Row],[Amount]]&gt;250,"High Value","Standard")))</f>
        <v>High Value</v>
      </c>
      <c r="Q968" s="5" t="str">
        <f>IF(Transactions_RAW_cleaned[[#This Row],[Amount]] &gt; (_xlfn.XLOOKUP(Transactions_RAW_cleaned[[#This Row],[ServiceID]],Services_cleaned[ServiceID],Services_cleaned[TransactionFeePct]) * 10000), "Yes", "No")</f>
        <v>Yes</v>
      </c>
      <c r="R968" s="5" t="str">
        <f>IF(COUNTIFS($C$2:Transactions_RAW_cleaned[[#This Row],[CustomerID]],Transactions_RAW_cleaned[[#This Row],[CustomerID]],$D$2:Transactions_RAW_cleaned[[#This Row],[ServiceID]],Transactions_RAW_cleaned[[#This Row],[ServiceID]])=1,"Yes","No")</f>
        <v>Yes</v>
      </c>
      <c r="S96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68" t="str">
        <f>"Q"&amp;ROUNDUP(MONTH(Transactions_RAW_cleaned[[#This Row],[TransactionDate]])/3,0)</f>
        <v>Q3</v>
      </c>
      <c r="U968" t="str">
        <f>Transactions_RAW_cleaned[[#This Row],[Region ]]&amp;Transactions_RAW_cleaned[[#This Row],[Quarter ]]</f>
        <v>APACQ3</v>
      </c>
      <c r="V968" s="5">
        <f>_xlfn.XLOOKUP(Transactions_RAW_cleaned[[#This Row],[RegionQuarterKey]], Quarterly_Targets_cleaned[RegionQuarterKey], Quarterly_Targets_cleaned[TargetRevenue])</f>
        <v>115500</v>
      </c>
    </row>
    <row r="969" spans="1:22" x14ac:dyDescent="0.25">
      <c r="A969" t="s">
        <v>1302</v>
      </c>
      <c r="B969" s="1">
        <v>45630</v>
      </c>
      <c r="C969" t="s">
        <v>103</v>
      </c>
      <c r="D969" t="s">
        <v>315</v>
      </c>
      <c r="E969">
        <v>221.36</v>
      </c>
      <c r="F969" t="s">
        <v>381</v>
      </c>
      <c r="G969" t="s">
        <v>337</v>
      </c>
      <c r="I969" t="s">
        <v>8</v>
      </c>
      <c r="J969" t="s">
        <v>102</v>
      </c>
      <c r="K969" t="s">
        <v>28</v>
      </c>
      <c r="L969" t="s">
        <v>316</v>
      </c>
      <c r="M969" t="s">
        <v>305</v>
      </c>
      <c r="N969">
        <v>2.5000000000000001E-3</v>
      </c>
      <c r="O969" t="str">
        <f>IF(Transactions_RAW_cleaned[[#This Row],[Status]]="Completed", IFERROR(_xlfn.XLOOKUP(Transactions_RAW_cleaned[[#This Row],[CustomerID]], Customers_cleaned[CustomerID], Customers_cleaned[Segment]), "Customer Not Found"), "N/A")</f>
        <v>N/A</v>
      </c>
      <c r="P969" s="5" t="str">
        <f>IF(Transactions_RAW_cleaned[[#This Row],[Status]]="Refunded", "Refund",
  IF(Transactions_RAW_cleaned[[#This Row],[Category]]="Payments", IF(Transactions_RAW_cleaned[[#This Row],[Amount]]&gt;500,"High Value","Standard"),
    IF(Transactions_RAW_cleaned[[#This Row],[Amount]]&gt;250,"High Value","Standard")))</f>
        <v>Standard</v>
      </c>
      <c r="Q969" s="5" t="str">
        <f>IF(Transactions_RAW_cleaned[[#This Row],[Amount]] &gt; (_xlfn.XLOOKUP(Transactions_RAW_cleaned[[#This Row],[ServiceID]],Services_cleaned[ServiceID],Services_cleaned[TransactionFeePct]) * 10000), "Yes", "No")</f>
        <v>Yes</v>
      </c>
      <c r="R969" s="5" t="str">
        <f>IF(COUNTIFS($C$2:Transactions_RAW_cleaned[[#This Row],[CustomerID]],Transactions_RAW_cleaned[[#This Row],[CustomerID]],$D$2:Transactions_RAW_cleaned[[#This Row],[ServiceID]],Transactions_RAW_cleaned[[#This Row],[ServiceID]])=1,"Yes","No")</f>
        <v>No</v>
      </c>
      <c r="S96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69" t="str">
        <f>"Q"&amp;ROUNDUP(MONTH(Transactions_RAW_cleaned[[#This Row],[TransactionDate]])/3,0)</f>
        <v>Q4</v>
      </c>
      <c r="U969" t="str">
        <f>Transactions_RAW_cleaned[[#This Row],[Region ]]&amp;Transactions_RAW_cleaned[[#This Row],[Quarter ]]</f>
        <v>NAQ4</v>
      </c>
      <c r="V969" s="5">
        <f>_xlfn.XLOOKUP(Transactions_RAW_cleaned[[#This Row],[RegionQuarterKey]], Quarterly_Targets_cleaned[RegionQuarterKey], Quarterly_Targets_cleaned[TargetRevenue])</f>
        <v>299000</v>
      </c>
    </row>
    <row r="970" spans="1:22" x14ac:dyDescent="0.25">
      <c r="A970" t="s">
        <v>1303</v>
      </c>
      <c r="B970" s="1">
        <v>45560</v>
      </c>
      <c r="C970" t="s">
        <v>155</v>
      </c>
      <c r="D970" t="s">
        <v>294</v>
      </c>
      <c r="E970">
        <v>519.54</v>
      </c>
      <c r="F970" t="s">
        <v>324</v>
      </c>
      <c r="G970" t="s">
        <v>2963</v>
      </c>
      <c r="I970" t="s">
        <v>8</v>
      </c>
      <c r="J970" t="s">
        <v>46</v>
      </c>
      <c r="K970" t="s">
        <v>22</v>
      </c>
      <c r="L970" t="s">
        <v>295</v>
      </c>
      <c r="M970" t="s">
        <v>296</v>
      </c>
      <c r="N970">
        <v>2.9000000000000001E-2</v>
      </c>
      <c r="O970" t="str">
        <f>IF(Transactions_RAW_cleaned[[#This Row],[Status]]="Completed", IFERROR(_xlfn.XLOOKUP(Transactions_RAW_cleaned[[#This Row],[CustomerID]], Customers_cleaned[CustomerID], Customers_cleaned[Segment]), "Customer Not Found"), "N/A")</f>
        <v>SMB</v>
      </c>
      <c r="P970" s="5" t="str">
        <f>IF(Transactions_RAW_cleaned[[#This Row],[Status]]="Refunded", "Refund",
  IF(Transactions_RAW_cleaned[[#This Row],[Category]]="Payments", IF(Transactions_RAW_cleaned[[#This Row],[Amount]]&gt;500,"High Value","Standard"),
    IF(Transactions_RAW_cleaned[[#This Row],[Amount]]&gt;250,"High Value","Standard")))</f>
        <v>High Value</v>
      </c>
      <c r="Q970" s="5" t="str">
        <f>IF(Transactions_RAW_cleaned[[#This Row],[Amount]] &gt; (_xlfn.XLOOKUP(Transactions_RAW_cleaned[[#This Row],[ServiceID]],Services_cleaned[ServiceID],Services_cleaned[TransactionFeePct]) * 10000), "Yes", "No")</f>
        <v>Yes</v>
      </c>
      <c r="R970" s="5" t="str">
        <f>IF(COUNTIFS($C$2:Transactions_RAW_cleaned[[#This Row],[CustomerID]],Transactions_RAW_cleaned[[#This Row],[CustomerID]],$D$2:Transactions_RAW_cleaned[[#This Row],[ServiceID]],Transactions_RAW_cleaned[[#This Row],[ServiceID]])=1,"Yes","No")</f>
        <v>Yes</v>
      </c>
      <c r="S97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70" t="str">
        <f>"Q"&amp;ROUNDUP(MONTH(Transactions_RAW_cleaned[[#This Row],[TransactionDate]])/3,0)</f>
        <v>Q3</v>
      </c>
      <c r="U970" t="str">
        <f>Transactions_RAW_cleaned[[#This Row],[Region ]]&amp;Transactions_RAW_cleaned[[#This Row],[Quarter ]]</f>
        <v>APACQ3</v>
      </c>
      <c r="V970" s="5">
        <f>_xlfn.XLOOKUP(Transactions_RAW_cleaned[[#This Row],[RegionQuarterKey]], Quarterly_Targets_cleaned[RegionQuarterKey], Quarterly_Targets_cleaned[TargetRevenue])</f>
        <v>115500</v>
      </c>
    </row>
    <row r="971" spans="1:22" x14ac:dyDescent="0.25">
      <c r="A971" t="s">
        <v>1304</v>
      </c>
      <c r="B971" s="1">
        <v>45406</v>
      </c>
      <c r="C971" t="s">
        <v>197</v>
      </c>
      <c r="D971" t="s">
        <v>297</v>
      </c>
      <c r="E971">
        <v>171.7</v>
      </c>
      <c r="F971" t="s">
        <v>324</v>
      </c>
      <c r="G971" t="s">
        <v>325</v>
      </c>
      <c r="H971" t="s">
        <v>346</v>
      </c>
      <c r="I971" t="s">
        <v>8</v>
      </c>
      <c r="J971" t="s">
        <v>46</v>
      </c>
      <c r="K971" t="s">
        <v>14</v>
      </c>
      <c r="L971" t="s">
        <v>298</v>
      </c>
      <c r="M971" t="s">
        <v>299</v>
      </c>
      <c r="N971">
        <v>0</v>
      </c>
      <c r="O971" t="str">
        <f>IF(Transactions_RAW_cleaned[[#This Row],[Status]]="Completed", IFERROR(_xlfn.XLOOKUP(Transactions_RAW_cleaned[[#This Row],[CustomerID]], Customers_cleaned[CustomerID], Customers_cleaned[Segment]), "Customer Not Found"), "N/A")</f>
        <v>SMB</v>
      </c>
      <c r="P971" s="5" t="str">
        <f>IF(Transactions_RAW_cleaned[[#This Row],[Status]]="Refunded", "Refund",
  IF(Transactions_RAW_cleaned[[#This Row],[Category]]="Payments", IF(Transactions_RAW_cleaned[[#This Row],[Amount]]&gt;500,"High Value","Standard"),
    IF(Transactions_RAW_cleaned[[#This Row],[Amount]]&gt;250,"High Value","Standard")))</f>
        <v>Standard</v>
      </c>
      <c r="Q971" s="5" t="str">
        <f>IF(Transactions_RAW_cleaned[[#This Row],[Amount]] &gt; (_xlfn.XLOOKUP(Transactions_RAW_cleaned[[#This Row],[ServiceID]],Services_cleaned[ServiceID],Services_cleaned[TransactionFeePct]) * 10000), "Yes", "No")</f>
        <v>Yes</v>
      </c>
      <c r="R971" s="5" t="str">
        <f>IF(COUNTIFS($C$2:Transactions_RAW_cleaned[[#This Row],[CustomerID]],Transactions_RAW_cleaned[[#This Row],[CustomerID]],$D$2:Transactions_RAW_cleaned[[#This Row],[ServiceID]],Transactions_RAW_cleaned[[#This Row],[ServiceID]])=1,"Yes","No")</f>
        <v>No</v>
      </c>
      <c r="S97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71" t="str">
        <f>"Q"&amp;ROUNDUP(MONTH(Transactions_RAW_cleaned[[#This Row],[TransactionDate]])/3,0)</f>
        <v>Q2</v>
      </c>
      <c r="U971" t="str">
        <f>Transactions_RAW_cleaned[[#This Row],[Region ]]&amp;Transactions_RAW_cleaned[[#This Row],[Quarter ]]</f>
        <v>APACQ2</v>
      </c>
      <c r="V971" s="5">
        <f>_xlfn.XLOOKUP(Transactions_RAW_cleaned[[#This Row],[RegionQuarterKey]], Quarterly_Targets_cleaned[RegionQuarterKey], Quarterly_Targets_cleaned[TargetRevenue])</f>
        <v>110000</v>
      </c>
    </row>
    <row r="972" spans="1:22" x14ac:dyDescent="0.25">
      <c r="A972" t="s">
        <v>1305</v>
      </c>
      <c r="B972" s="1">
        <v>45485</v>
      </c>
      <c r="C972" t="s">
        <v>19</v>
      </c>
      <c r="D972" t="s">
        <v>303</v>
      </c>
      <c r="E972">
        <v>384.88</v>
      </c>
      <c r="F972" t="s">
        <v>324</v>
      </c>
      <c r="G972" t="s">
        <v>325</v>
      </c>
      <c r="H972" t="s">
        <v>334</v>
      </c>
      <c r="I972" t="s">
        <v>8</v>
      </c>
      <c r="J972" t="s">
        <v>21</v>
      </c>
      <c r="K972" t="s">
        <v>22</v>
      </c>
      <c r="L972" t="s">
        <v>304</v>
      </c>
      <c r="M972" t="s">
        <v>305</v>
      </c>
      <c r="N972">
        <v>1E-3</v>
      </c>
      <c r="O972" t="str">
        <f>IF(Transactions_RAW_cleaned[[#This Row],[Status]]="Completed", IFERROR(_xlfn.XLOOKUP(Transactions_RAW_cleaned[[#This Row],[CustomerID]], Customers_cleaned[CustomerID], Customers_cleaned[Segment]), "Customer Not Found"), "N/A")</f>
        <v>SMB</v>
      </c>
      <c r="P972" s="5" t="str">
        <f>IF(Transactions_RAW_cleaned[[#This Row],[Status]]="Refunded", "Refund",
  IF(Transactions_RAW_cleaned[[#This Row],[Category]]="Payments", IF(Transactions_RAW_cleaned[[#This Row],[Amount]]&gt;500,"High Value","Standard"),
    IF(Transactions_RAW_cleaned[[#This Row],[Amount]]&gt;250,"High Value","Standard")))</f>
        <v>High Value</v>
      </c>
      <c r="Q972" s="5" t="str">
        <f>IF(Transactions_RAW_cleaned[[#This Row],[Amount]] &gt; (_xlfn.XLOOKUP(Transactions_RAW_cleaned[[#This Row],[ServiceID]],Services_cleaned[ServiceID],Services_cleaned[TransactionFeePct]) * 10000), "Yes", "No")</f>
        <v>Yes</v>
      </c>
      <c r="R972" s="5" t="str">
        <f>IF(COUNTIFS($C$2:Transactions_RAW_cleaned[[#This Row],[CustomerID]],Transactions_RAW_cleaned[[#This Row],[CustomerID]],$D$2:Transactions_RAW_cleaned[[#This Row],[ServiceID]],Transactions_RAW_cleaned[[#This Row],[ServiceID]])=1,"Yes","No")</f>
        <v>Yes</v>
      </c>
      <c r="S97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72" t="str">
        <f>"Q"&amp;ROUNDUP(MONTH(Transactions_RAW_cleaned[[#This Row],[TransactionDate]])/3,0)</f>
        <v>Q3</v>
      </c>
      <c r="U972" t="str">
        <f>Transactions_RAW_cleaned[[#This Row],[Region ]]&amp;Transactions_RAW_cleaned[[#This Row],[Quarter ]]</f>
        <v>APACQ3</v>
      </c>
      <c r="V972" s="5">
        <f>_xlfn.XLOOKUP(Transactions_RAW_cleaned[[#This Row],[RegionQuarterKey]], Quarterly_Targets_cleaned[RegionQuarterKey], Quarterly_Targets_cleaned[TargetRevenue])</f>
        <v>115500</v>
      </c>
    </row>
    <row r="973" spans="1:22" x14ac:dyDescent="0.25">
      <c r="A973" t="s">
        <v>1306</v>
      </c>
      <c r="B973" s="1">
        <v>45331</v>
      </c>
      <c r="C973" t="s">
        <v>113</v>
      </c>
      <c r="D973" t="s">
        <v>297</v>
      </c>
      <c r="E973">
        <v>410.49</v>
      </c>
      <c r="F973" t="s">
        <v>324</v>
      </c>
      <c r="G973" t="s">
        <v>325</v>
      </c>
      <c r="I973" t="s">
        <v>57</v>
      </c>
      <c r="J973" t="s">
        <v>46</v>
      </c>
      <c r="K973" t="s">
        <v>10</v>
      </c>
      <c r="L973" t="s">
        <v>298</v>
      </c>
      <c r="M973" t="s">
        <v>299</v>
      </c>
      <c r="N973">
        <v>0</v>
      </c>
      <c r="O973" t="str">
        <f>IF(Transactions_RAW_cleaned[[#This Row],[Status]]="Completed", IFERROR(_xlfn.XLOOKUP(Transactions_RAW_cleaned[[#This Row],[CustomerID]], Customers_cleaned[CustomerID], Customers_cleaned[Segment]), "Customer Not Found"), "N/A")</f>
        <v>Startup</v>
      </c>
      <c r="P973" s="5" t="str">
        <f>IF(Transactions_RAW_cleaned[[#This Row],[Status]]="Refunded", "Refund",
  IF(Transactions_RAW_cleaned[[#This Row],[Category]]="Payments", IF(Transactions_RAW_cleaned[[#This Row],[Amount]]&gt;500,"High Value","Standard"),
    IF(Transactions_RAW_cleaned[[#This Row],[Amount]]&gt;250,"High Value","Standard")))</f>
        <v>High Value</v>
      </c>
      <c r="Q973" s="5" t="str">
        <f>IF(Transactions_RAW_cleaned[[#This Row],[Amount]] &gt; (_xlfn.XLOOKUP(Transactions_RAW_cleaned[[#This Row],[ServiceID]],Services_cleaned[ServiceID],Services_cleaned[TransactionFeePct]) * 10000), "Yes", "No")</f>
        <v>Yes</v>
      </c>
      <c r="R973" s="5" t="str">
        <f>IF(COUNTIFS($C$2:Transactions_RAW_cleaned[[#This Row],[CustomerID]],Transactions_RAW_cleaned[[#This Row],[CustomerID]],$D$2:Transactions_RAW_cleaned[[#This Row],[ServiceID]],Transactions_RAW_cleaned[[#This Row],[ServiceID]])=1,"Yes","No")</f>
        <v>No</v>
      </c>
      <c r="S97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73" t="str">
        <f>"Q"&amp;ROUNDUP(MONTH(Transactions_RAW_cleaned[[#This Row],[TransactionDate]])/3,0)</f>
        <v>Q1</v>
      </c>
      <c r="U973" t="str">
        <f>Transactions_RAW_cleaned[[#This Row],[Region ]]&amp;Transactions_RAW_cleaned[[#This Row],[Quarter ]]</f>
        <v>APACQ1</v>
      </c>
      <c r="V973" s="5">
        <f>_xlfn.XLOOKUP(Transactions_RAW_cleaned[[#This Row],[RegionQuarterKey]], Quarterly_Targets_cleaned[RegionQuarterKey], Quarterly_Targets_cleaned[TargetRevenue])</f>
        <v>104500</v>
      </c>
    </row>
    <row r="974" spans="1:22" x14ac:dyDescent="0.25">
      <c r="A974" t="s">
        <v>1307</v>
      </c>
      <c r="B974" s="1">
        <v>45478</v>
      </c>
      <c r="C974" t="s">
        <v>261</v>
      </c>
      <c r="D974" t="s">
        <v>306</v>
      </c>
      <c r="E974">
        <v>734.55</v>
      </c>
      <c r="F974" t="s">
        <v>324</v>
      </c>
      <c r="G974" t="s">
        <v>337</v>
      </c>
      <c r="I974" t="s">
        <v>8</v>
      </c>
      <c r="J974" t="s">
        <v>31</v>
      </c>
      <c r="K974" t="s">
        <v>18</v>
      </c>
      <c r="L974" t="s">
        <v>307</v>
      </c>
      <c r="M974" t="s">
        <v>308</v>
      </c>
      <c r="N974">
        <v>0</v>
      </c>
      <c r="O974" t="str">
        <f>IF(Transactions_RAW_cleaned[[#This Row],[Status]]="Completed", IFERROR(_xlfn.XLOOKUP(Transactions_RAW_cleaned[[#This Row],[CustomerID]], Customers_cleaned[CustomerID], Customers_cleaned[Segment]), "Customer Not Found"), "N/A")</f>
        <v>SMB</v>
      </c>
      <c r="P974" s="5" t="str">
        <f>IF(Transactions_RAW_cleaned[[#This Row],[Status]]="Refunded", "Refund",
  IF(Transactions_RAW_cleaned[[#This Row],[Category]]="Payments", IF(Transactions_RAW_cleaned[[#This Row],[Amount]]&gt;500,"High Value","Standard"),
    IF(Transactions_RAW_cleaned[[#This Row],[Amount]]&gt;250,"High Value","Standard")))</f>
        <v>High Value</v>
      </c>
      <c r="Q974" s="5" t="str">
        <f>IF(Transactions_RAW_cleaned[[#This Row],[Amount]] &gt; (_xlfn.XLOOKUP(Transactions_RAW_cleaned[[#This Row],[ServiceID]],Services_cleaned[ServiceID],Services_cleaned[TransactionFeePct]) * 10000), "Yes", "No")</f>
        <v>Yes</v>
      </c>
      <c r="R974" s="5" t="str">
        <f>IF(COUNTIFS($C$2:Transactions_RAW_cleaned[[#This Row],[CustomerID]],Transactions_RAW_cleaned[[#This Row],[CustomerID]],$D$2:Transactions_RAW_cleaned[[#This Row],[ServiceID]],Transactions_RAW_cleaned[[#This Row],[ServiceID]])=1,"Yes","No")</f>
        <v>No</v>
      </c>
      <c r="S97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74" t="str">
        <f>"Q"&amp;ROUNDUP(MONTH(Transactions_RAW_cleaned[[#This Row],[TransactionDate]])/3,0)</f>
        <v>Q3</v>
      </c>
      <c r="U974" t="str">
        <f>Transactions_RAW_cleaned[[#This Row],[Region ]]&amp;Transactions_RAW_cleaned[[#This Row],[Quarter ]]</f>
        <v>EMEAQ3</v>
      </c>
      <c r="V974" s="5">
        <f>_xlfn.XLOOKUP(Transactions_RAW_cleaned[[#This Row],[RegionQuarterKey]], Quarterly_Targets_cleaned[RegionQuarterKey], Quarterly_Targets_cleaned[TargetRevenue])</f>
        <v>147000</v>
      </c>
    </row>
    <row r="975" spans="1:22" x14ac:dyDescent="0.25">
      <c r="A975" t="s">
        <v>1308</v>
      </c>
      <c r="B975" s="1">
        <v>45326</v>
      </c>
      <c r="C975" t="s">
        <v>55</v>
      </c>
      <c r="D975" t="s">
        <v>294</v>
      </c>
      <c r="E975">
        <v>391.39</v>
      </c>
      <c r="F975" t="s">
        <v>324</v>
      </c>
      <c r="G975" t="s">
        <v>337</v>
      </c>
      <c r="H975" t="s">
        <v>346</v>
      </c>
      <c r="I975" t="s">
        <v>57</v>
      </c>
      <c r="J975" t="s">
        <v>31</v>
      </c>
      <c r="K975" t="s">
        <v>22</v>
      </c>
      <c r="L975" t="s">
        <v>295</v>
      </c>
      <c r="M975" t="s">
        <v>296</v>
      </c>
      <c r="N975">
        <v>2.9000000000000001E-2</v>
      </c>
      <c r="O975" t="str">
        <f>IF(Transactions_RAW_cleaned[[#This Row],[Status]]="Completed", IFERROR(_xlfn.XLOOKUP(Transactions_RAW_cleaned[[#This Row],[CustomerID]], Customers_cleaned[CustomerID], Customers_cleaned[Segment]), "Customer Not Found"), "N/A")</f>
        <v>Startup</v>
      </c>
      <c r="P975" s="5" t="str">
        <f>IF(Transactions_RAW_cleaned[[#This Row],[Status]]="Refunded", "Refund",
  IF(Transactions_RAW_cleaned[[#This Row],[Category]]="Payments", IF(Transactions_RAW_cleaned[[#This Row],[Amount]]&gt;500,"High Value","Standard"),
    IF(Transactions_RAW_cleaned[[#This Row],[Amount]]&gt;250,"High Value","Standard")))</f>
        <v>Standard</v>
      </c>
      <c r="Q975" s="5" t="str">
        <f>IF(Transactions_RAW_cleaned[[#This Row],[Amount]] &gt; (_xlfn.XLOOKUP(Transactions_RAW_cleaned[[#This Row],[ServiceID]],Services_cleaned[ServiceID],Services_cleaned[TransactionFeePct]) * 10000), "Yes", "No")</f>
        <v>Yes</v>
      </c>
      <c r="R975" s="5" t="str">
        <f>IF(COUNTIFS($C$2:Transactions_RAW_cleaned[[#This Row],[CustomerID]],Transactions_RAW_cleaned[[#This Row],[CustomerID]],$D$2:Transactions_RAW_cleaned[[#This Row],[ServiceID]],Transactions_RAW_cleaned[[#This Row],[ServiceID]])=1,"Yes","No")</f>
        <v>No</v>
      </c>
      <c r="S97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75" t="str">
        <f>"Q"&amp;ROUNDUP(MONTH(Transactions_RAW_cleaned[[#This Row],[TransactionDate]])/3,0)</f>
        <v>Q1</v>
      </c>
      <c r="U975" t="str">
        <f>Transactions_RAW_cleaned[[#This Row],[Region ]]&amp;Transactions_RAW_cleaned[[#This Row],[Quarter ]]</f>
        <v>EMEAQ1</v>
      </c>
      <c r="V975" s="5">
        <f>_xlfn.XLOOKUP(Transactions_RAW_cleaned[[#This Row],[RegionQuarterKey]], Quarterly_Targets_cleaned[RegionQuarterKey], Quarterly_Targets_cleaned[TargetRevenue])</f>
        <v>133000</v>
      </c>
    </row>
    <row r="976" spans="1:22" x14ac:dyDescent="0.25">
      <c r="A976" t="s">
        <v>1309</v>
      </c>
      <c r="B976" s="1">
        <v>45537</v>
      </c>
      <c r="C976" t="s">
        <v>241</v>
      </c>
      <c r="D976" t="s">
        <v>297</v>
      </c>
      <c r="E976">
        <v>754.3</v>
      </c>
      <c r="F976" t="s">
        <v>324</v>
      </c>
      <c r="G976" t="s">
        <v>325</v>
      </c>
      <c r="I976" t="s">
        <v>8</v>
      </c>
      <c r="J976" t="s">
        <v>102</v>
      </c>
      <c r="K976" t="s">
        <v>32</v>
      </c>
      <c r="L976" t="s">
        <v>298</v>
      </c>
      <c r="M976" t="s">
        <v>299</v>
      </c>
      <c r="N976">
        <v>0</v>
      </c>
      <c r="O976" t="str">
        <f>IF(Transactions_RAW_cleaned[[#This Row],[Status]]="Completed", IFERROR(_xlfn.XLOOKUP(Transactions_RAW_cleaned[[#This Row],[CustomerID]], Customers_cleaned[CustomerID], Customers_cleaned[Segment]), "Customer Not Found"), "N/A")</f>
        <v>SMB</v>
      </c>
      <c r="P976" s="5" t="str">
        <f>IF(Transactions_RAW_cleaned[[#This Row],[Status]]="Refunded", "Refund",
  IF(Transactions_RAW_cleaned[[#This Row],[Category]]="Payments", IF(Transactions_RAW_cleaned[[#This Row],[Amount]]&gt;500,"High Value","Standard"),
    IF(Transactions_RAW_cleaned[[#This Row],[Amount]]&gt;250,"High Value","Standard")))</f>
        <v>High Value</v>
      </c>
      <c r="Q976" s="5" t="str">
        <f>IF(Transactions_RAW_cleaned[[#This Row],[Amount]] &gt; (_xlfn.XLOOKUP(Transactions_RAW_cleaned[[#This Row],[ServiceID]],Services_cleaned[ServiceID],Services_cleaned[TransactionFeePct]) * 10000), "Yes", "No")</f>
        <v>Yes</v>
      </c>
      <c r="R976" s="5" t="str">
        <f>IF(COUNTIFS($C$2:Transactions_RAW_cleaned[[#This Row],[CustomerID]],Transactions_RAW_cleaned[[#This Row],[CustomerID]],$D$2:Transactions_RAW_cleaned[[#This Row],[ServiceID]],Transactions_RAW_cleaned[[#This Row],[ServiceID]])=1,"Yes","No")</f>
        <v>No</v>
      </c>
      <c r="S97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76" t="str">
        <f>"Q"&amp;ROUNDUP(MONTH(Transactions_RAW_cleaned[[#This Row],[TransactionDate]])/3,0)</f>
        <v>Q3</v>
      </c>
      <c r="U976" t="str">
        <f>Transactions_RAW_cleaned[[#This Row],[Region ]]&amp;Transactions_RAW_cleaned[[#This Row],[Quarter ]]</f>
        <v>NAQ3</v>
      </c>
      <c r="V976" s="5">
        <f>_xlfn.XLOOKUP(Transactions_RAW_cleaned[[#This Row],[RegionQuarterKey]], Quarterly_Targets_cleaned[RegionQuarterKey], Quarterly_Targets_cleaned[TargetRevenue])</f>
        <v>273000</v>
      </c>
    </row>
    <row r="977" spans="1:22" x14ac:dyDescent="0.25">
      <c r="A977" t="s">
        <v>1310</v>
      </c>
      <c r="B977" s="1">
        <v>45529</v>
      </c>
      <c r="C977" t="s">
        <v>58</v>
      </c>
      <c r="D977" t="s">
        <v>294</v>
      </c>
      <c r="E977">
        <v>141</v>
      </c>
      <c r="F977" t="s">
        <v>331</v>
      </c>
      <c r="G977" t="s">
        <v>325</v>
      </c>
      <c r="H977" t="s">
        <v>346</v>
      </c>
      <c r="I977" t="s">
        <v>17</v>
      </c>
      <c r="J977" t="s">
        <v>102</v>
      </c>
      <c r="K977" t="s">
        <v>22</v>
      </c>
      <c r="L977" t="s">
        <v>295</v>
      </c>
      <c r="M977" t="s">
        <v>296</v>
      </c>
      <c r="N977">
        <v>2.9000000000000001E-2</v>
      </c>
      <c r="O977" t="str">
        <f>IF(Transactions_RAW_cleaned[[#This Row],[Status]]="Completed", IFERROR(_xlfn.XLOOKUP(Transactions_RAW_cleaned[[#This Row],[CustomerID]], Customers_cleaned[CustomerID], Customers_cleaned[Segment]), "Customer Not Found"), "N/A")</f>
        <v>N/A</v>
      </c>
      <c r="P977" s="5" t="str">
        <f>IF(Transactions_RAW_cleaned[[#This Row],[Status]]="Refunded", "Refund",
  IF(Transactions_RAW_cleaned[[#This Row],[Category]]="Payments", IF(Transactions_RAW_cleaned[[#This Row],[Amount]]&gt;500,"High Value","Standard"),
    IF(Transactions_RAW_cleaned[[#This Row],[Amount]]&gt;250,"High Value","Standard")))</f>
        <v>Standard</v>
      </c>
      <c r="Q977" s="5" t="str">
        <f>IF(Transactions_RAW_cleaned[[#This Row],[Amount]] &gt; (_xlfn.XLOOKUP(Transactions_RAW_cleaned[[#This Row],[ServiceID]],Services_cleaned[ServiceID],Services_cleaned[TransactionFeePct]) * 10000), "Yes", "No")</f>
        <v>No</v>
      </c>
      <c r="R977" s="5" t="str">
        <f>IF(COUNTIFS($C$2:Transactions_RAW_cleaned[[#This Row],[CustomerID]],Transactions_RAW_cleaned[[#This Row],[CustomerID]],$D$2:Transactions_RAW_cleaned[[#This Row],[ServiceID]],Transactions_RAW_cleaned[[#This Row],[ServiceID]])=1,"Yes","No")</f>
        <v>No</v>
      </c>
      <c r="S97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77" t="str">
        <f>"Q"&amp;ROUNDUP(MONTH(Transactions_RAW_cleaned[[#This Row],[TransactionDate]])/3,0)</f>
        <v>Q3</v>
      </c>
      <c r="U977" t="str">
        <f>Transactions_RAW_cleaned[[#This Row],[Region ]]&amp;Transactions_RAW_cleaned[[#This Row],[Quarter ]]</f>
        <v>NAQ3</v>
      </c>
      <c r="V977" s="5">
        <f>_xlfn.XLOOKUP(Transactions_RAW_cleaned[[#This Row],[RegionQuarterKey]], Quarterly_Targets_cleaned[RegionQuarterKey], Quarterly_Targets_cleaned[TargetRevenue])</f>
        <v>273000</v>
      </c>
    </row>
    <row r="978" spans="1:22" x14ac:dyDescent="0.25">
      <c r="A978" t="s">
        <v>1311</v>
      </c>
      <c r="B978" s="1">
        <v>45400</v>
      </c>
      <c r="C978" t="s">
        <v>163</v>
      </c>
      <c r="D978" t="s">
        <v>309</v>
      </c>
      <c r="E978">
        <v>915.13</v>
      </c>
      <c r="F978" t="s">
        <v>324</v>
      </c>
      <c r="G978" t="s">
        <v>327</v>
      </c>
      <c r="H978" t="s">
        <v>346</v>
      </c>
      <c r="I978" t="s">
        <v>17</v>
      </c>
      <c r="J978" t="s">
        <v>102</v>
      </c>
      <c r="K978" t="s">
        <v>18</v>
      </c>
      <c r="L978" t="s">
        <v>310</v>
      </c>
      <c r="M978" t="s">
        <v>311</v>
      </c>
      <c r="N978">
        <v>0</v>
      </c>
      <c r="O978" t="str">
        <f>IF(Transactions_RAW_cleaned[[#This Row],[Status]]="Completed", IFERROR(_xlfn.XLOOKUP(Transactions_RAW_cleaned[[#This Row],[CustomerID]], Customers_cleaned[CustomerID], Customers_cleaned[Segment]), "Customer Not Found"), "N/A")</f>
        <v>Enterprise</v>
      </c>
      <c r="P978" s="5" t="str">
        <f>IF(Transactions_RAW_cleaned[[#This Row],[Status]]="Refunded", "Refund",
  IF(Transactions_RAW_cleaned[[#This Row],[Category]]="Payments", IF(Transactions_RAW_cleaned[[#This Row],[Amount]]&gt;500,"High Value","Standard"),
    IF(Transactions_RAW_cleaned[[#This Row],[Amount]]&gt;250,"High Value","Standard")))</f>
        <v>High Value</v>
      </c>
      <c r="Q978" s="5" t="str">
        <f>IF(Transactions_RAW_cleaned[[#This Row],[Amount]] &gt; (_xlfn.XLOOKUP(Transactions_RAW_cleaned[[#This Row],[ServiceID]],Services_cleaned[ServiceID],Services_cleaned[TransactionFeePct]) * 10000), "Yes", "No")</f>
        <v>Yes</v>
      </c>
      <c r="R978" s="5" t="str">
        <f>IF(COUNTIFS($C$2:Transactions_RAW_cleaned[[#This Row],[CustomerID]],Transactions_RAW_cleaned[[#This Row],[CustomerID]],$D$2:Transactions_RAW_cleaned[[#This Row],[ServiceID]],Transactions_RAW_cleaned[[#This Row],[ServiceID]])=1,"Yes","No")</f>
        <v>No</v>
      </c>
      <c r="S97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78" t="str">
        <f>"Q"&amp;ROUNDUP(MONTH(Transactions_RAW_cleaned[[#This Row],[TransactionDate]])/3,0)</f>
        <v>Q2</v>
      </c>
      <c r="U978" t="str">
        <f>Transactions_RAW_cleaned[[#This Row],[Region ]]&amp;Transactions_RAW_cleaned[[#This Row],[Quarter ]]</f>
        <v>NAQ2</v>
      </c>
      <c r="V978" s="5">
        <f>_xlfn.XLOOKUP(Transactions_RAW_cleaned[[#This Row],[RegionQuarterKey]], Quarterly_Targets_cleaned[RegionQuarterKey], Quarterly_Targets_cleaned[TargetRevenue])</f>
        <v>260000</v>
      </c>
    </row>
    <row r="979" spans="1:22" x14ac:dyDescent="0.25">
      <c r="A979" t="s">
        <v>1312</v>
      </c>
      <c r="B979" s="1">
        <v>45376</v>
      </c>
      <c r="C979" t="s">
        <v>72</v>
      </c>
      <c r="D979" t="s">
        <v>297</v>
      </c>
      <c r="E979">
        <v>1103.3499999999999</v>
      </c>
      <c r="F979" t="s">
        <v>324</v>
      </c>
      <c r="G979" t="s">
        <v>337</v>
      </c>
      <c r="I979" t="s">
        <v>57</v>
      </c>
      <c r="J979" t="s">
        <v>46</v>
      </c>
      <c r="K979" t="s">
        <v>32</v>
      </c>
      <c r="L979" t="s">
        <v>298</v>
      </c>
      <c r="M979" t="s">
        <v>299</v>
      </c>
      <c r="N979">
        <v>0</v>
      </c>
      <c r="O979" t="str">
        <f>IF(Transactions_RAW_cleaned[[#This Row],[Status]]="Completed", IFERROR(_xlfn.XLOOKUP(Transactions_RAW_cleaned[[#This Row],[CustomerID]], Customers_cleaned[CustomerID], Customers_cleaned[Segment]), "Customer Not Found"), "N/A")</f>
        <v>Startup</v>
      </c>
      <c r="P979" s="5" t="str">
        <f>IF(Transactions_RAW_cleaned[[#This Row],[Status]]="Refunded", "Refund",
  IF(Transactions_RAW_cleaned[[#This Row],[Category]]="Payments", IF(Transactions_RAW_cleaned[[#This Row],[Amount]]&gt;500,"High Value","Standard"),
    IF(Transactions_RAW_cleaned[[#This Row],[Amount]]&gt;250,"High Value","Standard")))</f>
        <v>High Value</v>
      </c>
      <c r="Q979" s="5" t="str">
        <f>IF(Transactions_RAW_cleaned[[#This Row],[Amount]] &gt; (_xlfn.XLOOKUP(Transactions_RAW_cleaned[[#This Row],[ServiceID]],Services_cleaned[ServiceID],Services_cleaned[TransactionFeePct]) * 10000), "Yes", "No")</f>
        <v>Yes</v>
      </c>
      <c r="R979" s="5" t="str">
        <f>IF(COUNTIFS($C$2:Transactions_RAW_cleaned[[#This Row],[CustomerID]],Transactions_RAW_cleaned[[#This Row],[CustomerID]],$D$2:Transactions_RAW_cleaned[[#This Row],[ServiceID]],Transactions_RAW_cleaned[[#This Row],[ServiceID]])=1,"Yes","No")</f>
        <v>Yes</v>
      </c>
      <c r="S97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79" t="str">
        <f>"Q"&amp;ROUNDUP(MONTH(Transactions_RAW_cleaned[[#This Row],[TransactionDate]])/3,0)</f>
        <v>Q1</v>
      </c>
      <c r="U979" t="str">
        <f>Transactions_RAW_cleaned[[#This Row],[Region ]]&amp;Transactions_RAW_cleaned[[#This Row],[Quarter ]]</f>
        <v>APACQ1</v>
      </c>
      <c r="V979" s="5">
        <f>_xlfn.XLOOKUP(Transactions_RAW_cleaned[[#This Row],[RegionQuarterKey]], Quarterly_Targets_cleaned[RegionQuarterKey], Quarterly_Targets_cleaned[TargetRevenue])</f>
        <v>104500</v>
      </c>
    </row>
    <row r="980" spans="1:22" x14ac:dyDescent="0.25">
      <c r="A980" t="s">
        <v>1313</v>
      </c>
      <c r="B980" s="1">
        <v>45305</v>
      </c>
      <c r="C980" t="s">
        <v>109</v>
      </c>
      <c r="D980" t="s">
        <v>294</v>
      </c>
      <c r="E980">
        <v>968.79</v>
      </c>
      <c r="F980" t="s">
        <v>324</v>
      </c>
      <c r="G980" t="s">
        <v>337</v>
      </c>
      <c r="H980" t="s">
        <v>332</v>
      </c>
      <c r="I980" t="s">
        <v>8</v>
      </c>
      <c r="J980" t="s">
        <v>102</v>
      </c>
      <c r="K980" t="s">
        <v>18</v>
      </c>
      <c r="L980" t="s">
        <v>295</v>
      </c>
      <c r="M980" t="s">
        <v>296</v>
      </c>
      <c r="N980">
        <v>2.9000000000000001E-2</v>
      </c>
      <c r="O980" t="str">
        <f>IF(Transactions_RAW_cleaned[[#This Row],[Status]]="Completed", IFERROR(_xlfn.XLOOKUP(Transactions_RAW_cleaned[[#This Row],[CustomerID]], Customers_cleaned[CustomerID], Customers_cleaned[Segment]), "Customer Not Found"), "N/A")</f>
        <v>SMB</v>
      </c>
      <c r="P980" s="5" t="str">
        <f>IF(Transactions_RAW_cleaned[[#This Row],[Status]]="Refunded", "Refund",
  IF(Transactions_RAW_cleaned[[#This Row],[Category]]="Payments", IF(Transactions_RAW_cleaned[[#This Row],[Amount]]&gt;500,"High Value","Standard"),
    IF(Transactions_RAW_cleaned[[#This Row],[Amount]]&gt;250,"High Value","Standard")))</f>
        <v>High Value</v>
      </c>
      <c r="Q980" s="5" t="str">
        <f>IF(Transactions_RAW_cleaned[[#This Row],[Amount]] &gt; (_xlfn.XLOOKUP(Transactions_RAW_cleaned[[#This Row],[ServiceID]],Services_cleaned[ServiceID],Services_cleaned[TransactionFeePct]) * 10000), "Yes", "No")</f>
        <v>Yes</v>
      </c>
      <c r="R980" s="5" t="str">
        <f>IF(COUNTIFS($C$2:Transactions_RAW_cleaned[[#This Row],[CustomerID]],Transactions_RAW_cleaned[[#This Row],[CustomerID]],$D$2:Transactions_RAW_cleaned[[#This Row],[ServiceID]],Transactions_RAW_cleaned[[#This Row],[ServiceID]])=1,"Yes","No")</f>
        <v>No</v>
      </c>
      <c r="S98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80" t="str">
        <f>"Q"&amp;ROUNDUP(MONTH(Transactions_RAW_cleaned[[#This Row],[TransactionDate]])/3,0)</f>
        <v>Q1</v>
      </c>
      <c r="U980" t="str">
        <f>Transactions_RAW_cleaned[[#This Row],[Region ]]&amp;Transactions_RAW_cleaned[[#This Row],[Quarter ]]</f>
        <v>NAQ1</v>
      </c>
      <c r="V980" s="5">
        <f>_xlfn.XLOOKUP(Transactions_RAW_cleaned[[#This Row],[RegionQuarterKey]], Quarterly_Targets_cleaned[RegionQuarterKey], Quarterly_Targets_cleaned[TargetRevenue])</f>
        <v>247000</v>
      </c>
    </row>
    <row r="981" spans="1:22" x14ac:dyDescent="0.25">
      <c r="A981" t="s">
        <v>1314</v>
      </c>
      <c r="B981" s="1">
        <v>45378</v>
      </c>
      <c r="C981" t="s">
        <v>153</v>
      </c>
      <c r="D981" t="s">
        <v>300</v>
      </c>
      <c r="E981">
        <v>302.26</v>
      </c>
      <c r="F981" t="s">
        <v>324</v>
      </c>
      <c r="G981" t="s">
        <v>327</v>
      </c>
      <c r="H981" t="s">
        <v>332</v>
      </c>
      <c r="I981" t="s">
        <v>8</v>
      </c>
      <c r="J981" t="s">
        <v>37</v>
      </c>
      <c r="K981" t="s">
        <v>32</v>
      </c>
      <c r="L981" t="s">
        <v>301</v>
      </c>
      <c r="M981" t="s">
        <v>302</v>
      </c>
      <c r="N981">
        <v>5.0000000000000001E-3</v>
      </c>
      <c r="O981" t="str">
        <f>IF(Transactions_RAW_cleaned[[#This Row],[Status]]="Completed", IFERROR(_xlfn.XLOOKUP(Transactions_RAW_cleaned[[#This Row],[CustomerID]], Customers_cleaned[CustomerID], Customers_cleaned[Segment]), "Customer Not Found"), "N/A")</f>
        <v>SMB</v>
      </c>
      <c r="P981" s="5" t="str">
        <f>IF(Transactions_RAW_cleaned[[#This Row],[Status]]="Refunded", "Refund",
  IF(Transactions_RAW_cleaned[[#This Row],[Category]]="Payments", IF(Transactions_RAW_cleaned[[#This Row],[Amount]]&gt;500,"High Value","Standard"),
    IF(Transactions_RAW_cleaned[[#This Row],[Amount]]&gt;250,"High Value","Standard")))</f>
        <v>High Value</v>
      </c>
      <c r="Q981" s="5" t="str">
        <f>IF(Transactions_RAW_cleaned[[#This Row],[Amount]] &gt; (_xlfn.XLOOKUP(Transactions_RAW_cleaned[[#This Row],[ServiceID]],Services_cleaned[ServiceID],Services_cleaned[TransactionFeePct]) * 10000), "Yes", "No")</f>
        <v>Yes</v>
      </c>
      <c r="R981" s="5" t="str">
        <f>IF(COUNTIFS($C$2:Transactions_RAW_cleaned[[#This Row],[CustomerID]],Transactions_RAW_cleaned[[#This Row],[CustomerID]],$D$2:Transactions_RAW_cleaned[[#This Row],[ServiceID]],Transactions_RAW_cleaned[[#This Row],[ServiceID]])=1,"Yes","No")</f>
        <v>No</v>
      </c>
      <c r="S98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81" t="str">
        <f>"Q"&amp;ROUNDUP(MONTH(Transactions_RAW_cleaned[[#This Row],[TransactionDate]])/3,0)</f>
        <v>Q1</v>
      </c>
      <c r="U981" t="str">
        <f>Transactions_RAW_cleaned[[#This Row],[Region ]]&amp;Transactions_RAW_cleaned[[#This Row],[Quarter ]]</f>
        <v>EMEAQ1</v>
      </c>
      <c r="V981" s="5">
        <f>_xlfn.XLOOKUP(Transactions_RAW_cleaned[[#This Row],[RegionQuarterKey]], Quarterly_Targets_cleaned[RegionQuarterKey], Quarterly_Targets_cleaned[TargetRevenue])</f>
        <v>133000</v>
      </c>
    </row>
    <row r="982" spans="1:22" x14ac:dyDescent="0.25">
      <c r="A982" t="s">
        <v>1315</v>
      </c>
      <c r="B982" s="1">
        <v>45513</v>
      </c>
      <c r="C982" t="s">
        <v>111</v>
      </c>
      <c r="D982" t="s">
        <v>312</v>
      </c>
      <c r="E982">
        <v>109.35</v>
      </c>
      <c r="F982" t="s">
        <v>324</v>
      </c>
      <c r="G982" t="s">
        <v>325</v>
      </c>
      <c r="H982" t="s">
        <v>332</v>
      </c>
      <c r="I982" t="s">
        <v>8</v>
      </c>
      <c r="J982" t="s">
        <v>21</v>
      </c>
      <c r="K982" t="s">
        <v>28</v>
      </c>
      <c r="L982" t="s">
        <v>313</v>
      </c>
      <c r="M982" t="s">
        <v>314</v>
      </c>
      <c r="N982">
        <v>0</v>
      </c>
      <c r="O982" t="str">
        <f>IF(Transactions_RAW_cleaned[[#This Row],[Status]]="Completed", IFERROR(_xlfn.XLOOKUP(Transactions_RAW_cleaned[[#This Row],[CustomerID]], Customers_cleaned[CustomerID], Customers_cleaned[Segment]), "Customer Not Found"), "N/A")</f>
        <v>SMB</v>
      </c>
      <c r="P982" s="5" t="str">
        <f>IF(Transactions_RAW_cleaned[[#This Row],[Status]]="Refunded", "Refund",
  IF(Transactions_RAW_cleaned[[#This Row],[Category]]="Payments", IF(Transactions_RAW_cleaned[[#This Row],[Amount]]&gt;500,"High Value","Standard"),
    IF(Transactions_RAW_cleaned[[#This Row],[Amount]]&gt;250,"High Value","Standard")))</f>
        <v>Standard</v>
      </c>
      <c r="Q982" s="5" t="str">
        <f>IF(Transactions_RAW_cleaned[[#This Row],[Amount]] &gt; (_xlfn.XLOOKUP(Transactions_RAW_cleaned[[#This Row],[ServiceID]],Services_cleaned[ServiceID],Services_cleaned[TransactionFeePct]) * 10000), "Yes", "No")</f>
        <v>Yes</v>
      </c>
      <c r="R982" s="5" t="str">
        <f>IF(COUNTIFS($C$2:Transactions_RAW_cleaned[[#This Row],[CustomerID]],Transactions_RAW_cleaned[[#This Row],[CustomerID]],$D$2:Transactions_RAW_cleaned[[#This Row],[ServiceID]],Transactions_RAW_cleaned[[#This Row],[ServiceID]])=1,"Yes","No")</f>
        <v>No</v>
      </c>
      <c r="S98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82" t="str">
        <f>"Q"&amp;ROUNDUP(MONTH(Transactions_RAW_cleaned[[#This Row],[TransactionDate]])/3,0)</f>
        <v>Q3</v>
      </c>
      <c r="U982" t="str">
        <f>Transactions_RAW_cleaned[[#This Row],[Region ]]&amp;Transactions_RAW_cleaned[[#This Row],[Quarter ]]</f>
        <v>APACQ3</v>
      </c>
      <c r="V982" s="5">
        <f>_xlfn.XLOOKUP(Transactions_RAW_cleaned[[#This Row],[RegionQuarterKey]], Quarterly_Targets_cleaned[RegionQuarterKey], Quarterly_Targets_cleaned[TargetRevenue])</f>
        <v>115500</v>
      </c>
    </row>
    <row r="983" spans="1:22" x14ac:dyDescent="0.25">
      <c r="A983" t="s">
        <v>1316</v>
      </c>
      <c r="B983" s="1">
        <v>45492</v>
      </c>
      <c r="C983" t="s">
        <v>143</v>
      </c>
      <c r="D983" t="s">
        <v>306</v>
      </c>
      <c r="E983">
        <v>695.02</v>
      </c>
      <c r="F983" t="s">
        <v>324</v>
      </c>
      <c r="G983" t="s">
        <v>329</v>
      </c>
      <c r="I983" t="s">
        <v>8</v>
      </c>
      <c r="J983" t="s">
        <v>102</v>
      </c>
      <c r="K983" t="s">
        <v>22</v>
      </c>
      <c r="L983" t="s">
        <v>307</v>
      </c>
      <c r="M983" t="s">
        <v>308</v>
      </c>
      <c r="N983">
        <v>0</v>
      </c>
      <c r="O983" t="str">
        <f>IF(Transactions_RAW_cleaned[[#This Row],[Status]]="Completed", IFERROR(_xlfn.XLOOKUP(Transactions_RAW_cleaned[[#This Row],[CustomerID]], Customers_cleaned[CustomerID], Customers_cleaned[Segment]), "Customer Not Found"), "N/A")</f>
        <v>SMB</v>
      </c>
      <c r="P983" s="5" t="str">
        <f>IF(Transactions_RAW_cleaned[[#This Row],[Status]]="Refunded", "Refund",
  IF(Transactions_RAW_cleaned[[#This Row],[Category]]="Payments", IF(Transactions_RAW_cleaned[[#This Row],[Amount]]&gt;500,"High Value","Standard"),
    IF(Transactions_RAW_cleaned[[#This Row],[Amount]]&gt;250,"High Value","Standard")))</f>
        <v>High Value</v>
      </c>
      <c r="Q983" s="5" t="str">
        <f>IF(Transactions_RAW_cleaned[[#This Row],[Amount]] &gt; (_xlfn.XLOOKUP(Transactions_RAW_cleaned[[#This Row],[ServiceID]],Services_cleaned[ServiceID],Services_cleaned[TransactionFeePct]) * 10000), "Yes", "No")</f>
        <v>Yes</v>
      </c>
      <c r="R983" s="5" t="str">
        <f>IF(COUNTIFS($C$2:Transactions_RAW_cleaned[[#This Row],[CustomerID]],Transactions_RAW_cleaned[[#This Row],[CustomerID]],$D$2:Transactions_RAW_cleaned[[#This Row],[ServiceID]],Transactions_RAW_cleaned[[#This Row],[ServiceID]])=1,"Yes","No")</f>
        <v>Yes</v>
      </c>
      <c r="S98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83" t="str">
        <f>"Q"&amp;ROUNDUP(MONTH(Transactions_RAW_cleaned[[#This Row],[TransactionDate]])/3,0)</f>
        <v>Q3</v>
      </c>
      <c r="U983" t="str">
        <f>Transactions_RAW_cleaned[[#This Row],[Region ]]&amp;Transactions_RAW_cleaned[[#This Row],[Quarter ]]</f>
        <v>NAQ3</v>
      </c>
      <c r="V983" s="5">
        <f>_xlfn.XLOOKUP(Transactions_RAW_cleaned[[#This Row],[RegionQuarterKey]], Quarterly_Targets_cleaned[RegionQuarterKey], Quarterly_Targets_cleaned[TargetRevenue])</f>
        <v>273000</v>
      </c>
    </row>
    <row r="984" spans="1:22" x14ac:dyDescent="0.25">
      <c r="A984" t="s">
        <v>1317</v>
      </c>
      <c r="B984" s="1">
        <v>45337</v>
      </c>
      <c r="C984" t="s">
        <v>100</v>
      </c>
      <c r="D984" t="s">
        <v>300</v>
      </c>
      <c r="E984">
        <v>563.75</v>
      </c>
      <c r="F984" t="s">
        <v>324</v>
      </c>
      <c r="G984" t="s">
        <v>327</v>
      </c>
      <c r="H984" t="s">
        <v>346</v>
      </c>
      <c r="I984" t="s">
        <v>8</v>
      </c>
      <c r="J984" t="s">
        <v>102</v>
      </c>
      <c r="K984" t="s">
        <v>22</v>
      </c>
      <c r="L984" t="s">
        <v>301</v>
      </c>
      <c r="M984" t="s">
        <v>302</v>
      </c>
      <c r="N984">
        <v>5.0000000000000001E-3</v>
      </c>
      <c r="O984" t="str">
        <f>IF(Transactions_RAW_cleaned[[#This Row],[Status]]="Completed", IFERROR(_xlfn.XLOOKUP(Transactions_RAW_cleaned[[#This Row],[CustomerID]], Customers_cleaned[CustomerID], Customers_cleaned[Segment]), "Customer Not Found"), "N/A")</f>
        <v>SMB</v>
      </c>
      <c r="P984" s="5" t="str">
        <f>IF(Transactions_RAW_cleaned[[#This Row],[Status]]="Refunded", "Refund",
  IF(Transactions_RAW_cleaned[[#This Row],[Category]]="Payments", IF(Transactions_RAW_cleaned[[#This Row],[Amount]]&gt;500,"High Value","Standard"),
    IF(Transactions_RAW_cleaned[[#This Row],[Amount]]&gt;250,"High Value","Standard")))</f>
        <v>High Value</v>
      </c>
      <c r="Q984" s="5" t="str">
        <f>IF(Transactions_RAW_cleaned[[#This Row],[Amount]] &gt; (_xlfn.XLOOKUP(Transactions_RAW_cleaned[[#This Row],[ServiceID]],Services_cleaned[ServiceID],Services_cleaned[TransactionFeePct]) * 10000), "Yes", "No")</f>
        <v>Yes</v>
      </c>
      <c r="R984" s="5" t="str">
        <f>IF(COUNTIFS($C$2:Transactions_RAW_cleaned[[#This Row],[CustomerID]],Transactions_RAW_cleaned[[#This Row],[CustomerID]],$D$2:Transactions_RAW_cleaned[[#This Row],[ServiceID]],Transactions_RAW_cleaned[[#This Row],[ServiceID]])=1,"Yes","No")</f>
        <v>No</v>
      </c>
      <c r="S98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84" t="str">
        <f>"Q"&amp;ROUNDUP(MONTH(Transactions_RAW_cleaned[[#This Row],[TransactionDate]])/3,0)</f>
        <v>Q1</v>
      </c>
      <c r="U984" t="str">
        <f>Transactions_RAW_cleaned[[#This Row],[Region ]]&amp;Transactions_RAW_cleaned[[#This Row],[Quarter ]]</f>
        <v>NAQ1</v>
      </c>
      <c r="V984" s="5">
        <f>_xlfn.XLOOKUP(Transactions_RAW_cleaned[[#This Row],[RegionQuarterKey]], Quarterly_Targets_cleaned[RegionQuarterKey], Quarterly_Targets_cleaned[TargetRevenue])</f>
        <v>247000</v>
      </c>
    </row>
    <row r="985" spans="1:22" x14ac:dyDescent="0.25">
      <c r="A985" t="s">
        <v>1318</v>
      </c>
      <c r="B985" s="1">
        <v>45431</v>
      </c>
      <c r="C985" t="s">
        <v>217</v>
      </c>
      <c r="D985" t="s">
        <v>297</v>
      </c>
      <c r="E985">
        <v>358.97</v>
      </c>
      <c r="F985" t="s">
        <v>324</v>
      </c>
      <c r="G985" t="s">
        <v>327</v>
      </c>
      <c r="H985" t="s">
        <v>332</v>
      </c>
      <c r="I985" t="s">
        <v>17</v>
      </c>
      <c r="J985" t="s">
        <v>102</v>
      </c>
      <c r="K985" t="s">
        <v>14</v>
      </c>
      <c r="L985" t="s">
        <v>298</v>
      </c>
      <c r="M985" t="s">
        <v>299</v>
      </c>
      <c r="N985">
        <v>0</v>
      </c>
      <c r="O985" t="str">
        <f>IF(Transactions_RAW_cleaned[[#This Row],[Status]]="Completed", IFERROR(_xlfn.XLOOKUP(Transactions_RAW_cleaned[[#This Row],[CustomerID]], Customers_cleaned[CustomerID], Customers_cleaned[Segment]), "Customer Not Found"), "N/A")</f>
        <v>Enterprise</v>
      </c>
      <c r="P985" s="5" t="str">
        <f>IF(Transactions_RAW_cleaned[[#This Row],[Status]]="Refunded", "Refund",
  IF(Transactions_RAW_cleaned[[#This Row],[Category]]="Payments", IF(Transactions_RAW_cleaned[[#This Row],[Amount]]&gt;500,"High Value","Standard"),
    IF(Transactions_RAW_cleaned[[#This Row],[Amount]]&gt;250,"High Value","Standard")))</f>
        <v>High Value</v>
      </c>
      <c r="Q985" s="5" t="str">
        <f>IF(Transactions_RAW_cleaned[[#This Row],[Amount]] &gt; (_xlfn.XLOOKUP(Transactions_RAW_cleaned[[#This Row],[ServiceID]],Services_cleaned[ServiceID],Services_cleaned[TransactionFeePct]) * 10000), "Yes", "No")</f>
        <v>Yes</v>
      </c>
      <c r="R985" s="5" t="str">
        <f>IF(COUNTIFS($C$2:Transactions_RAW_cleaned[[#This Row],[CustomerID]],Transactions_RAW_cleaned[[#This Row],[CustomerID]],$D$2:Transactions_RAW_cleaned[[#This Row],[ServiceID]],Transactions_RAW_cleaned[[#This Row],[ServiceID]])=1,"Yes","No")</f>
        <v>No</v>
      </c>
      <c r="S98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85" t="str">
        <f>"Q"&amp;ROUNDUP(MONTH(Transactions_RAW_cleaned[[#This Row],[TransactionDate]])/3,0)</f>
        <v>Q2</v>
      </c>
      <c r="U985" t="str">
        <f>Transactions_RAW_cleaned[[#This Row],[Region ]]&amp;Transactions_RAW_cleaned[[#This Row],[Quarter ]]</f>
        <v>NAQ2</v>
      </c>
      <c r="V985" s="5">
        <f>_xlfn.XLOOKUP(Transactions_RAW_cleaned[[#This Row],[RegionQuarterKey]], Quarterly_Targets_cleaned[RegionQuarterKey], Quarterly_Targets_cleaned[TargetRevenue])</f>
        <v>260000</v>
      </c>
    </row>
    <row r="986" spans="1:22" x14ac:dyDescent="0.25">
      <c r="A986" t="s">
        <v>1319</v>
      </c>
      <c r="B986" s="1">
        <v>45601</v>
      </c>
      <c r="C986" t="s">
        <v>161</v>
      </c>
      <c r="D986" t="s">
        <v>294</v>
      </c>
      <c r="E986">
        <v>-147.24</v>
      </c>
      <c r="F986" t="s">
        <v>349</v>
      </c>
      <c r="G986" t="s">
        <v>337</v>
      </c>
      <c r="H986" t="s">
        <v>334</v>
      </c>
      <c r="I986" t="s">
        <v>8</v>
      </c>
      <c r="J986" t="s">
        <v>21</v>
      </c>
      <c r="K986" t="s">
        <v>22</v>
      </c>
      <c r="L986" t="s">
        <v>295</v>
      </c>
      <c r="M986" t="s">
        <v>296</v>
      </c>
      <c r="N986">
        <v>2.9000000000000001E-2</v>
      </c>
      <c r="O986" t="str">
        <f>IF(Transactions_RAW_cleaned[[#This Row],[Status]]="Completed", IFERROR(_xlfn.XLOOKUP(Transactions_RAW_cleaned[[#This Row],[CustomerID]], Customers_cleaned[CustomerID], Customers_cleaned[Segment]), "Customer Not Found"), "N/A")</f>
        <v>N/A</v>
      </c>
      <c r="P986" s="5" t="str">
        <f>IF(Transactions_RAW_cleaned[[#This Row],[Status]]="Refunded", "Refund",
  IF(Transactions_RAW_cleaned[[#This Row],[Category]]="Payments", IF(Transactions_RAW_cleaned[[#This Row],[Amount]]&gt;500,"High Value","Standard"),
    IF(Transactions_RAW_cleaned[[#This Row],[Amount]]&gt;250,"High Value","Standard")))</f>
        <v>Refund</v>
      </c>
      <c r="Q986" s="5" t="str">
        <f>IF(Transactions_RAW_cleaned[[#This Row],[Amount]] &gt; (_xlfn.XLOOKUP(Transactions_RAW_cleaned[[#This Row],[ServiceID]],Services_cleaned[ServiceID],Services_cleaned[TransactionFeePct]) * 10000), "Yes", "No")</f>
        <v>No</v>
      </c>
      <c r="R986" s="5" t="str">
        <f>IF(COUNTIFS($C$2:Transactions_RAW_cleaned[[#This Row],[CustomerID]],Transactions_RAW_cleaned[[#This Row],[CustomerID]],$D$2:Transactions_RAW_cleaned[[#This Row],[ServiceID]],Transactions_RAW_cleaned[[#This Row],[ServiceID]])=1,"Yes","No")</f>
        <v>No</v>
      </c>
      <c r="S98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86" t="str">
        <f>"Q"&amp;ROUNDUP(MONTH(Transactions_RAW_cleaned[[#This Row],[TransactionDate]])/3,0)</f>
        <v>Q4</v>
      </c>
      <c r="U986" t="str">
        <f>Transactions_RAW_cleaned[[#This Row],[Region ]]&amp;Transactions_RAW_cleaned[[#This Row],[Quarter ]]</f>
        <v>APACQ4</v>
      </c>
      <c r="V986" s="5">
        <f>_xlfn.XLOOKUP(Transactions_RAW_cleaned[[#This Row],[RegionQuarterKey]], Quarterly_Targets_cleaned[RegionQuarterKey], Quarterly_Targets_cleaned[TargetRevenue])</f>
        <v>126500</v>
      </c>
    </row>
    <row r="987" spans="1:22" x14ac:dyDescent="0.25">
      <c r="A987" t="s">
        <v>1320</v>
      </c>
      <c r="B987" s="1">
        <v>45398</v>
      </c>
      <c r="C987" t="s">
        <v>70</v>
      </c>
      <c r="D987" t="s">
        <v>315</v>
      </c>
      <c r="E987">
        <v>331.2</v>
      </c>
      <c r="F987" t="s">
        <v>324</v>
      </c>
      <c r="G987" t="s">
        <v>325</v>
      </c>
      <c r="I987" t="s">
        <v>8</v>
      </c>
      <c r="J987" t="s">
        <v>37</v>
      </c>
      <c r="K987" t="s">
        <v>28</v>
      </c>
      <c r="L987" t="s">
        <v>316</v>
      </c>
      <c r="M987" t="s">
        <v>305</v>
      </c>
      <c r="N987">
        <v>2.5000000000000001E-3</v>
      </c>
      <c r="O987" t="str">
        <f>IF(Transactions_RAW_cleaned[[#This Row],[Status]]="Completed", IFERROR(_xlfn.XLOOKUP(Transactions_RAW_cleaned[[#This Row],[CustomerID]], Customers_cleaned[CustomerID], Customers_cleaned[Segment]), "Customer Not Found"), "N/A")</f>
        <v>SMB</v>
      </c>
      <c r="P987" s="5" t="str">
        <f>IF(Transactions_RAW_cleaned[[#This Row],[Status]]="Refunded", "Refund",
  IF(Transactions_RAW_cleaned[[#This Row],[Category]]="Payments", IF(Transactions_RAW_cleaned[[#This Row],[Amount]]&gt;500,"High Value","Standard"),
    IF(Transactions_RAW_cleaned[[#This Row],[Amount]]&gt;250,"High Value","Standard")))</f>
        <v>High Value</v>
      </c>
      <c r="Q987" s="5" t="str">
        <f>IF(Transactions_RAW_cleaned[[#This Row],[Amount]] &gt; (_xlfn.XLOOKUP(Transactions_RAW_cleaned[[#This Row],[ServiceID]],Services_cleaned[ServiceID],Services_cleaned[TransactionFeePct]) * 10000), "Yes", "No")</f>
        <v>Yes</v>
      </c>
      <c r="R987" s="5" t="str">
        <f>IF(COUNTIFS($C$2:Transactions_RAW_cleaned[[#This Row],[CustomerID]],Transactions_RAW_cleaned[[#This Row],[CustomerID]],$D$2:Transactions_RAW_cleaned[[#This Row],[ServiceID]],Transactions_RAW_cleaned[[#This Row],[ServiceID]])=1,"Yes","No")</f>
        <v>No</v>
      </c>
      <c r="S98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87" t="str">
        <f>"Q"&amp;ROUNDUP(MONTH(Transactions_RAW_cleaned[[#This Row],[TransactionDate]])/3,0)</f>
        <v>Q2</v>
      </c>
      <c r="U987" t="str">
        <f>Transactions_RAW_cleaned[[#This Row],[Region ]]&amp;Transactions_RAW_cleaned[[#This Row],[Quarter ]]</f>
        <v>EMEAQ2</v>
      </c>
      <c r="V987" s="5">
        <f>_xlfn.XLOOKUP(Transactions_RAW_cleaned[[#This Row],[RegionQuarterKey]], Quarterly_Targets_cleaned[RegionQuarterKey], Quarterly_Targets_cleaned[TargetRevenue])</f>
        <v>140000</v>
      </c>
    </row>
    <row r="988" spans="1:22" x14ac:dyDescent="0.25">
      <c r="A988" t="s">
        <v>1321</v>
      </c>
      <c r="B988" s="1">
        <v>45608</v>
      </c>
      <c r="C988" t="s">
        <v>191</v>
      </c>
      <c r="D988" t="s">
        <v>300</v>
      </c>
      <c r="E988">
        <v>135.46</v>
      </c>
      <c r="F988" t="s">
        <v>324</v>
      </c>
      <c r="G988" t="s">
        <v>327</v>
      </c>
      <c r="I988" t="s">
        <v>57</v>
      </c>
      <c r="J988" t="s">
        <v>31</v>
      </c>
      <c r="K988" t="s">
        <v>32</v>
      </c>
      <c r="L988" t="s">
        <v>301</v>
      </c>
      <c r="M988" t="s">
        <v>302</v>
      </c>
      <c r="N988">
        <v>5.0000000000000001E-3</v>
      </c>
      <c r="O988" t="str">
        <f>IF(Transactions_RAW_cleaned[[#This Row],[Status]]="Completed", IFERROR(_xlfn.XLOOKUP(Transactions_RAW_cleaned[[#This Row],[CustomerID]], Customers_cleaned[CustomerID], Customers_cleaned[Segment]), "Customer Not Found"), "N/A")</f>
        <v>Startup</v>
      </c>
      <c r="P988" s="5" t="str">
        <f>IF(Transactions_RAW_cleaned[[#This Row],[Status]]="Refunded", "Refund",
  IF(Transactions_RAW_cleaned[[#This Row],[Category]]="Payments", IF(Transactions_RAW_cleaned[[#This Row],[Amount]]&gt;500,"High Value","Standard"),
    IF(Transactions_RAW_cleaned[[#This Row],[Amount]]&gt;250,"High Value","Standard")))</f>
        <v>Standard</v>
      </c>
      <c r="Q988" s="5" t="str">
        <f>IF(Transactions_RAW_cleaned[[#This Row],[Amount]] &gt; (_xlfn.XLOOKUP(Transactions_RAW_cleaned[[#This Row],[ServiceID]],Services_cleaned[ServiceID],Services_cleaned[TransactionFeePct]) * 10000), "Yes", "No")</f>
        <v>Yes</v>
      </c>
      <c r="R988" s="5" t="str">
        <f>IF(COUNTIFS($C$2:Transactions_RAW_cleaned[[#This Row],[CustomerID]],Transactions_RAW_cleaned[[#This Row],[CustomerID]],$D$2:Transactions_RAW_cleaned[[#This Row],[ServiceID]],Transactions_RAW_cleaned[[#This Row],[ServiceID]])=1,"Yes","No")</f>
        <v>Yes</v>
      </c>
      <c r="S98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88" t="str">
        <f>"Q"&amp;ROUNDUP(MONTH(Transactions_RAW_cleaned[[#This Row],[TransactionDate]])/3,0)</f>
        <v>Q4</v>
      </c>
      <c r="U988" t="str">
        <f>Transactions_RAW_cleaned[[#This Row],[Region ]]&amp;Transactions_RAW_cleaned[[#This Row],[Quarter ]]</f>
        <v>EMEAQ4</v>
      </c>
      <c r="V988" s="5">
        <f>_xlfn.XLOOKUP(Transactions_RAW_cleaned[[#This Row],[RegionQuarterKey]], Quarterly_Targets_cleaned[RegionQuarterKey], Quarterly_Targets_cleaned[TargetRevenue])</f>
        <v>161000</v>
      </c>
    </row>
    <row r="989" spans="1:22" x14ac:dyDescent="0.25">
      <c r="A989" t="s">
        <v>1322</v>
      </c>
      <c r="B989" s="1">
        <v>45345</v>
      </c>
      <c r="C989" t="s">
        <v>70</v>
      </c>
      <c r="D989" t="s">
        <v>315</v>
      </c>
      <c r="E989">
        <v>519.20000000000005</v>
      </c>
      <c r="F989" t="s">
        <v>324</v>
      </c>
      <c r="G989" t="s">
        <v>337</v>
      </c>
      <c r="I989" t="s">
        <v>8</v>
      </c>
      <c r="J989" t="s">
        <v>37</v>
      </c>
      <c r="K989" t="s">
        <v>28</v>
      </c>
      <c r="L989" t="s">
        <v>316</v>
      </c>
      <c r="M989" t="s">
        <v>305</v>
      </c>
      <c r="N989">
        <v>2.5000000000000001E-3</v>
      </c>
      <c r="O989" t="str">
        <f>IF(Transactions_RAW_cleaned[[#This Row],[Status]]="Completed", IFERROR(_xlfn.XLOOKUP(Transactions_RAW_cleaned[[#This Row],[CustomerID]], Customers_cleaned[CustomerID], Customers_cleaned[Segment]), "Customer Not Found"), "N/A")</f>
        <v>SMB</v>
      </c>
      <c r="P989" s="5" t="str">
        <f>IF(Transactions_RAW_cleaned[[#This Row],[Status]]="Refunded", "Refund",
  IF(Transactions_RAW_cleaned[[#This Row],[Category]]="Payments", IF(Transactions_RAW_cleaned[[#This Row],[Amount]]&gt;500,"High Value","Standard"),
    IF(Transactions_RAW_cleaned[[#This Row],[Amount]]&gt;250,"High Value","Standard")))</f>
        <v>High Value</v>
      </c>
      <c r="Q989" s="5" t="str">
        <f>IF(Transactions_RAW_cleaned[[#This Row],[Amount]] &gt; (_xlfn.XLOOKUP(Transactions_RAW_cleaned[[#This Row],[ServiceID]],Services_cleaned[ServiceID],Services_cleaned[TransactionFeePct]) * 10000), "Yes", "No")</f>
        <v>Yes</v>
      </c>
      <c r="R989" s="5" t="str">
        <f>IF(COUNTIFS($C$2:Transactions_RAW_cleaned[[#This Row],[CustomerID]],Transactions_RAW_cleaned[[#This Row],[CustomerID]],$D$2:Transactions_RAW_cleaned[[#This Row],[ServiceID]],Transactions_RAW_cleaned[[#This Row],[ServiceID]])=1,"Yes","No")</f>
        <v>No</v>
      </c>
      <c r="S98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89" t="str">
        <f>"Q"&amp;ROUNDUP(MONTH(Transactions_RAW_cleaned[[#This Row],[TransactionDate]])/3,0)</f>
        <v>Q1</v>
      </c>
      <c r="U989" t="str">
        <f>Transactions_RAW_cleaned[[#This Row],[Region ]]&amp;Transactions_RAW_cleaned[[#This Row],[Quarter ]]</f>
        <v>EMEAQ1</v>
      </c>
      <c r="V989" s="5">
        <f>_xlfn.XLOOKUP(Transactions_RAW_cleaned[[#This Row],[RegionQuarterKey]], Quarterly_Targets_cleaned[RegionQuarterKey], Quarterly_Targets_cleaned[TargetRevenue])</f>
        <v>133000</v>
      </c>
    </row>
    <row r="990" spans="1:22" x14ac:dyDescent="0.25">
      <c r="A990" t="s">
        <v>1323</v>
      </c>
      <c r="B990" s="1">
        <v>45657</v>
      </c>
      <c r="C990" t="s">
        <v>38</v>
      </c>
      <c r="D990" t="s">
        <v>300</v>
      </c>
      <c r="E990">
        <v>969.22</v>
      </c>
      <c r="F990" t="s">
        <v>381</v>
      </c>
      <c r="G990" t="s">
        <v>327</v>
      </c>
      <c r="I990" t="s">
        <v>8</v>
      </c>
      <c r="J990" t="s">
        <v>102</v>
      </c>
      <c r="K990" t="s">
        <v>28</v>
      </c>
      <c r="L990" t="s">
        <v>301</v>
      </c>
      <c r="M990" t="s">
        <v>302</v>
      </c>
      <c r="N990">
        <v>5.0000000000000001E-3</v>
      </c>
      <c r="O990" t="str">
        <f>IF(Transactions_RAW_cleaned[[#This Row],[Status]]="Completed", IFERROR(_xlfn.XLOOKUP(Transactions_RAW_cleaned[[#This Row],[CustomerID]], Customers_cleaned[CustomerID], Customers_cleaned[Segment]), "Customer Not Found"), "N/A")</f>
        <v>N/A</v>
      </c>
      <c r="P990" s="5" t="str">
        <f>IF(Transactions_RAW_cleaned[[#This Row],[Status]]="Refunded", "Refund",
  IF(Transactions_RAW_cleaned[[#This Row],[Category]]="Payments", IF(Transactions_RAW_cleaned[[#This Row],[Amount]]&gt;500,"High Value","Standard"),
    IF(Transactions_RAW_cleaned[[#This Row],[Amount]]&gt;250,"High Value","Standard")))</f>
        <v>High Value</v>
      </c>
      <c r="Q990" s="5" t="str">
        <f>IF(Transactions_RAW_cleaned[[#This Row],[Amount]] &gt; (_xlfn.XLOOKUP(Transactions_RAW_cleaned[[#This Row],[ServiceID]],Services_cleaned[ServiceID],Services_cleaned[TransactionFeePct]) * 10000), "Yes", "No")</f>
        <v>Yes</v>
      </c>
      <c r="R990" s="5" t="str">
        <f>IF(COUNTIFS($C$2:Transactions_RAW_cleaned[[#This Row],[CustomerID]],Transactions_RAW_cleaned[[#This Row],[CustomerID]],$D$2:Transactions_RAW_cleaned[[#This Row],[ServiceID]],Transactions_RAW_cleaned[[#This Row],[ServiceID]])=1,"Yes","No")</f>
        <v>Yes</v>
      </c>
      <c r="S99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90" t="str">
        <f>"Q"&amp;ROUNDUP(MONTH(Transactions_RAW_cleaned[[#This Row],[TransactionDate]])/3,0)</f>
        <v>Q4</v>
      </c>
      <c r="U990" t="str">
        <f>Transactions_RAW_cleaned[[#This Row],[Region ]]&amp;Transactions_RAW_cleaned[[#This Row],[Quarter ]]</f>
        <v>NAQ4</v>
      </c>
      <c r="V990" s="5">
        <f>_xlfn.XLOOKUP(Transactions_RAW_cleaned[[#This Row],[RegionQuarterKey]], Quarterly_Targets_cleaned[RegionQuarterKey], Quarterly_Targets_cleaned[TargetRevenue])</f>
        <v>299000</v>
      </c>
    </row>
    <row r="991" spans="1:22" x14ac:dyDescent="0.25">
      <c r="A991" t="s">
        <v>1324</v>
      </c>
      <c r="B991" s="1">
        <v>45429</v>
      </c>
      <c r="C991" t="s">
        <v>275</v>
      </c>
      <c r="D991" t="s">
        <v>300</v>
      </c>
      <c r="E991">
        <v>187.51</v>
      </c>
      <c r="F991" t="s">
        <v>324</v>
      </c>
      <c r="G991" t="s">
        <v>325</v>
      </c>
      <c r="H991" t="s">
        <v>346</v>
      </c>
      <c r="I991" t="s">
        <v>57</v>
      </c>
      <c r="J991" t="s">
        <v>13</v>
      </c>
      <c r="K991" t="s">
        <v>22</v>
      </c>
      <c r="L991" t="s">
        <v>301</v>
      </c>
      <c r="M991" t="s">
        <v>302</v>
      </c>
      <c r="N991">
        <v>5.0000000000000001E-3</v>
      </c>
      <c r="O991" t="str">
        <f>IF(Transactions_RAW_cleaned[[#This Row],[Status]]="Completed", IFERROR(_xlfn.XLOOKUP(Transactions_RAW_cleaned[[#This Row],[CustomerID]], Customers_cleaned[CustomerID], Customers_cleaned[Segment]), "Customer Not Found"), "N/A")</f>
        <v>Startup</v>
      </c>
      <c r="P991" s="5" t="str">
        <f>IF(Transactions_RAW_cleaned[[#This Row],[Status]]="Refunded", "Refund",
  IF(Transactions_RAW_cleaned[[#This Row],[Category]]="Payments", IF(Transactions_RAW_cleaned[[#This Row],[Amount]]&gt;500,"High Value","Standard"),
    IF(Transactions_RAW_cleaned[[#This Row],[Amount]]&gt;250,"High Value","Standard")))</f>
        <v>Standard</v>
      </c>
      <c r="Q991" s="5" t="str">
        <f>IF(Transactions_RAW_cleaned[[#This Row],[Amount]] &gt; (_xlfn.XLOOKUP(Transactions_RAW_cleaned[[#This Row],[ServiceID]],Services_cleaned[ServiceID],Services_cleaned[TransactionFeePct]) * 10000), "Yes", "No")</f>
        <v>Yes</v>
      </c>
      <c r="R991" s="5" t="str">
        <f>IF(COUNTIFS($C$2:Transactions_RAW_cleaned[[#This Row],[CustomerID]],Transactions_RAW_cleaned[[#This Row],[CustomerID]],$D$2:Transactions_RAW_cleaned[[#This Row],[ServiceID]],Transactions_RAW_cleaned[[#This Row],[ServiceID]])=1,"Yes","No")</f>
        <v>Yes</v>
      </c>
      <c r="S99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91" t="str">
        <f>"Q"&amp;ROUNDUP(MONTH(Transactions_RAW_cleaned[[#This Row],[TransactionDate]])/3,0)</f>
        <v>Q2</v>
      </c>
      <c r="U991" t="str">
        <f>Transactions_RAW_cleaned[[#This Row],[Region ]]&amp;Transactions_RAW_cleaned[[#This Row],[Quarter ]]</f>
        <v>NAQ2</v>
      </c>
      <c r="V991" s="5">
        <f>_xlfn.XLOOKUP(Transactions_RAW_cleaned[[#This Row],[RegionQuarterKey]], Quarterly_Targets_cleaned[RegionQuarterKey], Quarterly_Targets_cleaned[TargetRevenue])</f>
        <v>260000</v>
      </c>
    </row>
    <row r="992" spans="1:22" x14ac:dyDescent="0.25">
      <c r="A992" t="s">
        <v>1325</v>
      </c>
      <c r="B992" s="1">
        <v>45503</v>
      </c>
      <c r="C992" t="s">
        <v>98</v>
      </c>
      <c r="D992" t="s">
        <v>312</v>
      </c>
      <c r="E992">
        <v>389.05</v>
      </c>
      <c r="F992" t="s">
        <v>324</v>
      </c>
      <c r="G992" t="s">
        <v>327</v>
      </c>
      <c r="H992" t="s">
        <v>334</v>
      </c>
      <c r="I992" t="s">
        <v>8</v>
      </c>
      <c r="J992" t="s">
        <v>37</v>
      </c>
      <c r="K992" t="s">
        <v>18</v>
      </c>
      <c r="L992" t="s">
        <v>313</v>
      </c>
      <c r="M992" t="s">
        <v>314</v>
      </c>
      <c r="N992">
        <v>0</v>
      </c>
      <c r="O992" t="str">
        <f>IF(Transactions_RAW_cleaned[[#This Row],[Status]]="Completed", IFERROR(_xlfn.XLOOKUP(Transactions_RAW_cleaned[[#This Row],[CustomerID]], Customers_cleaned[CustomerID], Customers_cleaned[Segment]), "Customer Not Found"), "N/A")</f>
        <v>SMB</v>
      </c>
      <c r="P992" s="5" t="str">
        <f>IF(Transactions_RAW_cleaned[[#This Row],[Status]]="Refunded", "Refund",
  IF(Transactions_RAW_cleaned[[#This Row],[Category]]="Payments", IF(Transactions_RAW_cleaned[[#This Row],[Amount]]&gt;500,"High Value","Standard"),
    IF(Transactions_RAW_cleaned[[#This Row],[Amount]]&gt;250,"High Value","Standard")))</f>
        <v>High Value</v>
      </c>
      <c r="Q992" s="5" t="str">
        <f>IF(Transactions_RAW_cleaned[[#This Row],[Amount]] &gt; (_xlfn.XLOOKUP(Transactions_RAW_cleaned[[#This Row],[ServiceID]],Services_cleaned[ServiceID],Services_cleaned[TransactionFeePct]) * 10000), "Yes", "No")</f>
        <v>Yes</v>
      </c>
      <c r="R992" s="5" t="str">
        <f>IF(COUNTIFS($C$2:Transactions_RAW_cleaned[[#This Row],[CustomerID]],Transactions_RAW_cleaned[[#This Row],[CustomerID]],$D$2:Transactions_RAW_cleaned[[#This Row],[ServiceID]],Transactions_RAW_cleaned[[#This Row],[ServiceID]])=1,"Yes","No")</f>
        <v>No</v>
      </c>
      <c r="S99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92" t="str">
        <f>"Q"&amp;ROUNDUP(MONTH(Transactions_RAW_cleaned[[#This Row],[TransactionDate]])/3,0)</f>
        <v>Q3</v>
      </c>
      <c r="U992" t="str">
        <f>Transactions_RAW_cleaned[[#This Row],[Region ]]&amp;Transactions_RAW_cleaned[[#This Row],[Quarter ]]</f>
        <v>EMEAQ3</v>
      </c>
      <c r="V992" s="5">
        <f>_xlfn.XLOOKUP(Transactions_RAW_cleaned[[#This Row],[RegionQuarterKey]], Quarterly_Targets_cleaned[RegionQuarterKey], Quarterly_Targets_cleaned[TargetRevenue])</f>
        <v>147000</v>
      </c>
    </row>
    <row r="993" spans="1:22" x14ac:dyDescent="0.25">
      <c r="A993" t="s">
        <v>1326</v>
      </c>
      <c r="B993" s="1">
        <v>45556</v>
      </c>
      <c r="C993" t="s">
        <v>127</v>
      </c>
      <c r="D993" t="s">
        <v>315</v>
      </c>
      <c r="E993">
        <v>1226.01</v>
      </c>
      <c r="F993" t="s">
        <v>381</v>
      </c>
      <c r="G993" t="s">
        <v>329</v>
      </c>
      <c r="H993" t="s">
        <v>332</v>
      </c>
      <c r="I993" t="s">
        <v>8</v>
      </c>
      <c r="J993" t="s">
        <v>102</v>
      </c>
      <c r="K993" t="s">
        <v>22</v>
      </c>
      <c r="L993" t="s">
        <v>316</v>
      </c>
      <c r="M993" t="s">
        <v>305</v>
      </c>
      <c r="N993">
        <v>2.5000000000000001E-3</v>
      </c>
      <c r="O993" t="str">
        <f>IF(Transactions_RAW_cleaned[[#This Row],[Status]]="Completed", IFERROR(_xlfn.XLOOKUP(Transactions_RAW_cleaned[[#This Row],[CustomerID]], Customers_cleaned[CustomerID], Customers_cleaned[Segment]), "Customer Not Found"), "N/A")</f>
        <v>N/A</v>
      </c>
      <c r="P993" s="5" t="str">
        <f>IF(Transactions_RAW_cleaned[[#This Row],[Status]]="Refunded", "Refund",
  IF(Transactions_RAW_cleaned[[#This Row],[Category]]="Payments", IF(Transactions_RAW_cleaned[[#This Row],[Amount]]&gt;500,"High Value","Standard"),
    IF(Transactions_RAW_cleaned[[#This Row],[Amount]]&gt;250,"High Value","Standard")))</f>
        <v>High Value</v>
      </c>
      <c r="Q993" s="5" t="str">
        <f>IF(Transactions_RAW_cleaned[[#This Row],[Amount]] &gt; (_xlfn.XLOOKUP(Transactions_RAW_cleaned[[#This Row],[ServiceID]],Services_cleaned[ServiceID],Services_cleaned[TransactionFeePct]) * 10000), "Yes", "No")</f>
        <v>Yes</v>
      </c>
      <c r="R993" s="5" t="str">
        <f>IF(COUNTIFS($C$2:Transactions_RAW_cleaned[[#This Row],[CustomerID]],Transactions_RAW_cleaned[[#This Row],[CustomerID]],$D$2:Transactions_RAW_cleaned[[#This Row],[ServiceID]],Transactions_RAW_cleaned[[#This Row],[ServiceID]])=1,"Yes","No")</f>
        <v>No</v>
      </c>
      <c r="S99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93" t="str">
        <f>"Q"&amp;ROUNDUP(MONTH(Transactions_RAW_cleaned[[#This Row],[TransactionDate]])/3,0)</f>
        <v>Q3</v>
      </c>
      <c r="U993" t="str">
        <f>Transactions_RAW_cleaned[[#This Row],[Region ]]&amp;Transactions_RAW_cleaned[[#This Row],[Quarter ]]</f>
        <v>NAQ3</v>
      </c>
      <c r="V993" s="5">
        <f>_xlfn.XLOOKUP(Transactions_RAW_cleaned[[#This Row],[RegionQuarterKey]], Quarterly_Targets_cleaned[RegionQuarterKey], Quarterly_Targets_cleaned[TargetRevenue])</f>
        <v>273000</v>
      </c>
    </row>
    <row r="994" spans="1:22" x14ac:dyDescent="0.25">
      <c r="A994" t="s">
        <v>1327</v>
      </c>
      <c r="B994" s="1">
        <v>45583</v>
      </c>
      <c r="C994" t="s">
        <v>255</v>
      </c>
      <c r="D994" t="s">
        <v>306</v>
      </c>
      <c r="E994">
        <v>702.36</v>
      </c>
      <c r="F994" t="s">
        <v>381</v>
      </c>
      <c r="G994" t="s">
        <v>327</v>
      </c>
      <c r="H994" t="s">
        <v>332</v>
      </c>
      <c r="I994" t="s">
        <v>17</v>
      </c>
      <c r="J994" t="s">
        <v>21</v>
      </c>
      <c r="K994" t="s">
        <v>28</v>
      </c>
      <c r="L994" t="s">
        <v>307</v>
      </c>
      <c r="M994" t="s">
        <v>308</v>
      </c>
      <c r="N994">
        <v>0</v>
      </c>
      <c r="O994" t="str">
        <f>IF(Transactions_RAW_cleaned[[#This Row],[Status]]="Completed", IFERROR(_xlfn.XLOOKUP(Transactions_RAW_cleaned[[#This Row],[CustomerID]], Customers_cleaned[CustomerID], Customers_cleaned[Segment]), "Customer Not Found"), "N/A")</f>
        <v>N/A</v>
      </c>
      <c r="P994" s="5" t="str">
        <f>IF(Transactions_RAW_cleaned[[#This Row],[Status]]="Refunded", "Refund",
  IF(Transactions_RAW_cleaned[[#This Row],[Category]]="Payments", IF(Transactions_RAW_cleaned[[#This Row],[Amount]]&gt;500,"High Value","Standard"),
    IF(Transactions_RAW_cleaned[[#This Row],[Amount]]&gt;250,"High Value","Standard")))</f>
        <v>High Value</v>
      </c>
      <c r="Q994" s="5" t="str">
        <f>IF(Transactions_RAW_cleaned[[#This Row],[Amount]] &gt; (_xlfn.XLOOKUP(Transactions_RAW_cleaned[[#This Row],[ServiceID]],Services_cleaned[ServiceID],Services_cleaned[TransactionFeePct]) * 10000), "Yes", "No")</f>
        <v>Yes</v>
      </c>
      <c r="R994" s="5" t="str">
        <f>IF(COUNTIFS($C$2:Transactions_RAW_cleaned[[#This Row],[CustomerID]],Transactions_RAW_cleaned[[#This Row],[CustomerID]],$D$2:Transactions_RAW_cleaned[[#This Row],[ServiceID]],Transactions_RAW_cleaned[[#This Row],[ServiceID]])=1,"Yes","No")</f>
        <v>No</v>
      </c>
      <c r="S99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994" t="str">
        <f>"Q"&amp;ROUNDUP(MONTH(Transactions_RAW_cleaned[[#This Row],[TransactionDate]])/3,0)</f>
        <v>Q4</v>
      </c>
      <c r="U994" t="str">
        <f>Transactions_RAW_cleaned[[#This Row],[Region ]]&amp;Transactions_RAW_cleaned[[#This Row],[Quarter ]]</f>
        <v>APACQ4</v>
      </c>
      <c r="V994" s="5">
        <f>_xlfn.XLOOKUP(Transactions_RAW_cleaned[[#This Row],[RegionQuarterKey]], Quarterly_Targets_cleaned[RegionQuarterKey], Quarterly_Targets_cleaned[TargetRevenue])</f>
        <v>126500</v>
      </c>
    </row>
    <row r="995" spans="1:22" x14ac:dyDescent="0.25">
      <c r="A995" t="s">
        <v>1328</v>
      </c>
      <c r="B995" s="1">
        <v>45523</v>
      </c>
      <c r="C995" t="s">
        <v>117</v>
      </c>
      <c r="D995" t="s">
        <v>297</v>
      </c>
      <c r="E995">
        <v>213.71</v>
      </c>
      <c r="F995" t="s">
        <v>324</v>
      </c>
      <c r="G995" t="s">
        <v>327</v>
      </c>
      <c r="H995" t="s">
        <v>346</v>
      </c>
      <c r="I995" t="s">
        <v>8</v>
      </c>
      <c r="J995" t="s">
        <v>102</v>
      </c>
      <c r="K995" t="s">
        <v>14</v>
      </c>
      <c r="L995" t="s">
        <v>298</v>
      </c>
      <c r="M995" t="s">
        <v>299</v>
      </c>
      <c r="N995">
        <v>0</v>
      </c>
      <c r="O995" t="str">
        <f>IF(Transactions_RAW_cleaned[[#This Row],[Status]]="Completed", IFERROR(_xlfn.XLOOKUP(Transactions_RAW_cleaned[[#This Row],[CustomerID]], Customers_cleaned[CustomerID], Customers_cleaned[Segment]), "Customer Not Found"), "N/A")</f>
        <v>SMB</v>
      </c>
      <c r="P995" s="5" t="str">
        <f>IF(Transactions_RAW_cleaned[[#This Row],[Status]]="Refunded", "Refund",
  IF(Transactions_RAW_cleaned[[#This Row],[Category]]="Payments", IF(Transactions_RAW_cleaned[[#This Row],[Amount]]&gt;500,"High Value","Standard"),
    IF(Transactions_RAW_cleaned[[#This Row],[Amount]]&gt;250,"High Value","Standard")))</f>
        <v>Standard</v>
      </c>
      <c r="Q995" s="5" t="str">
        <f>IF(Transactions_RAW_cleaned[[#This Row],[Amount]] &gt; (_xlfn.XLOOKUP(Transactions_RAW_cleaned[[#This Row],[ServiceID]],Services_cleaned[ServiceID],Services_cleaned[TransactionFeePct]) * 10000), "Yes", "No")</f>
        <v>Yes</v>
      </c>
      <c r="R995" s="5" t="str">
        <f>IF(COUNTIFS($C$2:Transactions_RAW_cleaned[[#This Row],[CustomerID]],Transactions_RAW_cleaned[[#This Row],[CustomerID]],$D$2:Transactions_RAW_cleaned[[#This Row],[ServiceID]],Transactions_RAW_cleaned[[#This Row],[ServiceID]])=1,"Yes","No")</f>
        <v>Yes</v>
      </c>
      <c r="S99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95" t="str">
        <f>"Q"&amp;ROUNDUP(MONTH(Transactions_RAW_cleaned[[#This Row],[TransactionDate]])/3,0)</f>
        <v>Q3</v>
      </c>
      <c r="U995" t="str">
        <f>Transactions_RAW_cleaned[[#This Row],[Region ]]&amp;Transactions_RAW_cleaned[[#This Row],[Quarter ]]</f>
        <v>NAQ3</v>
      </c>
      <c r="V995" s="5">
        <f>_xlfn.XLOOKUP(Transactions_RAW_cleaned[[#This Row],[RegionQuarterKey]], Quarterly_Targets_cleaned[RegionQuarterKey], Quarterly_Targets_cleaned[TargetRevenue])</f>
        <v>273000</v>
      </c>
    </row>
    <row r="996" spans="1:22" x14ac:dyDescent="0.25">
      <c r="A996" t="s">
        <v>1329</v>
      </c>
      <c r="B996" s="1">
        <v>45338</v>
      </c>
      <c r="C996" t="s">
        <v>171</v>
      </c>
      <c r="D996" t="s">
        <v>294</v>
      </c>
      <c r="E996">
        <v>790.54</v>
      </c>
      <c r="F996" t="s">
        <v>324</v>
      </c>
      <c r="G996" t="s">
        <v>325</v>
      </c>
      <c r="H996" t="s">
        <v>346</v>
      </c>
      <c r="I996" t="s">
        <v>17</v>
      </c>
      <c r="J996" t="s">
        <v>31</v>
      </c>
      <c r="K996" t="s">
        <v>32</v>
      </c>
      <c r="L996" t="s">
        <v>295</v>
      </c>
      <c r="M996" t="s">
        <v>296</v>
      </c>
      <c r="N996">
        <v>2.9000000000000001E-2</v>
      </c>
      <c r="O996" t="str">
        <f>IF(Transactions_RAW_cleaned[[#This Row],[Status]]="Completed", IFERROR(_xlfn.XLOOKUP(Transactions_RAW_cleaned[[#This Row],[CustomerID]], Customers_cleaned[CustomerID], Customers_cleaned[Segment]), "Customer Not Found"), "N/A")</f>
        <v>Enterprise</v>
      </c>
      <c r="P996" s="5" t="str">
        <f>IF(Transactions_RAW_cleaned[[#This Row],[Status]]="Refunded", "Refund",
  IF(Transactions_RAW_cleaned[[#This Row],[Category]]="Payments", IF(Transactions_RAW_cleaned[[#This Row],[Amount]]&gt;500,"High Value","Standard"),
    IF(Transactions_RAW_cleaned[[#This Row],[Amount]]&gt;250,"High Value","Standard")))</f>
        <v>High Value</v>
      </c>
      <c r="Q996" s="5" t="str">
        <f>IF(Transactions_RAW_cleaned[[#This Row],[Amount]] &gt; (_xlfn.XLOOKUP(Transactions_RAW_cleaned[[#This Row],[ServiceID]],Services_cleaned[ServiceID],Services_cleaned[TransactionFeePct]) * 10000), "Yes", "No")</f>
        <v>Yes</v>
      </c>
      <c r="R996" s="5" t="str">
        <f>IF(COUNTIFS($C$2:Transactions_RAW_cleaned[[#This Row],[CustomerID]],Transactions_RAW_cleaned[[#This Row],[CustomerID]],$D$2:Transactions_RAW_cleaned[[#This Row],[ServiceID]],Transactions_RAW_cleaned[[#This Row],[ServiceID]])=1,"Yes","No")</f>
        <v>No</v>
      </c>
      <c r="S99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96" t="str">
        <f>"Q"&amp;ROUNDUP(MONTH(Transactions_RAW_cleaned[[#This Row],[TransactionDate]])/3,0)</f>
        <v>Q1</v>
      </c>
      <c r="U996" t="str">
        <f>Transactions_RAW_cleaned[[#This Row],[Region ]]&amp;Transactions_RAW_cleaned[[#This Row],[Quarter ]]</f>
        <v>EMEAQ1</v>
      </c>
      <c r="V996" s="5">
        <f>_xlfn.XLOOKUP(Transactions_RAW_cleaned[[#This Row],[RegionQuarterKey]], Quarterly_Targets_cleaned[RegionQuarterKey], Quarterly_Targets_cleaned[TargetRevenue])</f>
        <v>133000</v>
      </c>
    </row>
    <row r="997" spans="1:22" x14ac:dyDescent="0.25">
      <c r="A997" t="s">
        <v>1330</v>
      </c>
      <c r="B997" s="1">
        <v>45614</v>
      </c>
      <c r="C997" t="s">
        <v>55</v>
      </c>
      <c r="D997" t="s">
        <v>309</v>
      </c>
      <c r="E997">
        <v>261.05</v>
      </c>
      <c r="F997" t="s">
        <v>324</v>
      </c>
      <c r="G997" t="s">
        <v>327</v>
      </c>
      <c r="I997" t="s">
        <v>57</v>
      </c>
      <c r="J997" t="s">
        <v>31</v>
      </c>
      <c r="K997" t="s">
        <v>22</v>
      </c>
      <c r="L997" t="s">
        <v>310</v>
      </c>
      <c r="M997" t="s">
        <v>311</v>
      </c>
      <c r="N997">
        <v>0</v>
      </c>
      <c r="O997" t="str">
        <f>IF(Transactions_RAW_cleaned[[#This Row],[Status]]="Completed", IFERROR(_xlfn.XLOOKUP(Transactions_RAW_cleaned[[#This Row],[CustomerID]], Customers_cleaned[CustomerID], Customers_cleaned[Segment]), "Customer Not Found"), "N/A")</f>
        <v>Startup</v>
      </c>
      <c r="P997" s="5" t="str">
        <f>IF(Transactions_RAW_cleaned[[#This Row],[Status]]="Refunded", "Refund",
  IF(Transactions_RAW_cleaned[[#This Row],[Category]]="Payments", IF(Transactions_RAW_cleaned[[#This Row],[Amount]]&gt;500,"High Value","Standard"),
    IF(Transactions_RAW_cleaned[[#This Row],[Amount]]&gt;250,"High Value","Standard")))</f>
        <v>High Value</v>
      </c>
      <c r="Q997" s="5" t="str">
        <f>IF(Transactions_RAW_cleaned[[#This Row],[Amount]] &gt; (_xlfn.XLOOKUP(Transactions_RAW_cleaned[[#This Row],[ServiceID]],Services_cleaned[ServiceID],Services_cleaned[TransactionFeePct]) * 10000), "Yes", "No")</f>
        <v>Yes</v>
      </c>
      <c r="R997" s="5" t="str">
        <f>IF(COUNTIFS($C$2:Transactions_RAW_cleaned[[#This Row],[CustomerID]],Transactions_RAW_cleaned[[#This Row],[CustomerID]],$D$2:Transactions_RAW_cleaned[[#This Row],[ServiceID]],Transactions_RAW_cleaned[[#This Row],[ServiceID]])=1,"Yes","No")</f>
        <v>No</v>
      </c>
      <c r="S99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97" t="str">
        <f>"Q"&amp;ROUNDUP(MONTH(Transactions_RAW_cleaned[[#This Row],[TransactionDate]])/3,0)</f>
        <v>Q4</v>
      </c>
      <c r="U997" t="str">
        <f>Transactions_RAW_cleaned[[#This Row],[Region ]]&amp;Transactions_RAW_cleaned[[#This Row],[Quarter ]]</f>
        <v>EMEAQ4</v>
      </c>
      <c r="V997" s="5">
        <f>_xlfn.XLOOKUP(Transactions_RAW_cleaned[[#This Row],[RegionQuarterKey]], Quarterly_Targets_cleaned[RegionQuarterKey], Quarterly_Targets_cleaned[TargetRevenue])</f>
        <v>161000</v>
      </c>
    </row>
    <row r="998" spans="1:22" x14ac:dyDescent="0.25">
      <c r="A998" t="s">
        <v>1331</v>
      </c>
      <c r="B998" s="1">
        <v>45317</v>
      </c>
      <c r="C998" t="s">
        <v>259</v>
      </c>
      <c r="D998" t="s">
        <v>312</v>
      </c>
      <c r="E998">
        <v>609.4</v>
      </c>
      <c r="F998" t="s">
        <v>324</v>
      </c>
      <c r="G998" t="s">
        <v>327</v>
      </c>
      <c r="I998" t="s">
        <v>8</v>
      </c>
      <c r="J998" t="s">
        <v>31</v>
      </c>
      <c r="K998" t="s">
        <v>22</v>
      </c>
      <c r="L998" t="s">
        <v>313</v>
      </c>
      <c r="M998" t="s">
        <v>314</v>
      </c>
      <c r="N998">
        <v>0</v>
      </c>
      <c r="O998" t="str">
        <f>IF(Transactions_RAW_cleaned[[#This Row],[Status]]="Completed", IFERROR(_xlfn.XLOOKUP(Transactions_RAW_cleaned[[#This Row],[CustomerID]], Customers_cleaned[CustomerID], Customers_cleaned[Segment]), "Customer Not Found"), "N/A")</f>
        <v>SMB</v>
      </c>
      <c r="P998" s="5" t="str">
        <f>IF(Transactions_RAW_cleaned[[#This Row],[Status]]="Refunded", "Refund",
  IF(Transactions_RAW_cleaned[[#This Row],[Category]]="Payments", IF(Transactions_RAW_cleaned[[#This Row],[Amount]]&gt;500,"High Value","Standard"),
    IF(Transactions_RAW_cleaned[[#This Row],[Amount]]&gt;250,"High Value","Standard")))</f>
        <v>High Value</v>
      </c>
      <c r="Q998" s="5" t="str">
        <f>IF(Transactions_RAW_cleaned[[#This Row],[Amount]] &gt; (_xlfn.XLOOKUP(Transactions_RAW_cleaned[[#This Row],[ServiceID]],Services_cleaned[ServiceID],Services_cleaned[TransactionFeePct]) * 10000), "Yes", "No")</f>
        <v>Yes</v>
      </c>
      <c r="R998" s="5" t="str">
        <f>IF(COUNTIFS($C$2:Transactions_RAW_cleaned[[#This Row],[CustomerID]],Transactions_RAW_cleaned[[#This Row],[CustomerID]],$D$2:Transactions_RAW_cleaned[[#This Row],[ServiceID]],Transactions_RAW_cleaned[[#This Row],[ServiceID]])=1,"Yes","No")</f>
        <v>Yes</v>
      </c>
      <c r="S99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998" t="str">
        <f>"Q"&amp;ROUNDUP(MONTH(Transactions_RAW_cleaned[[#This Row],[TransactionDate]])/3,0)</f>
        <v>Q1</v>
      </c>
      <c r="U998" t="str">
        <f>Transactions_RAW_cleaned[[#This Row],[Region ]]&amp;Transactions_RAW_cleaned[[#This Row],[Quarter ]]</f>
        <v>EMEAQ1</v>
      </c>
      <c r="V998" s="5">
        <f>_xlfn.XLOOKUP(Transactions_RAW_cleaned[[#This Row],[RegionQuarterKey]], Quarterly_Targets_cleaned[RegionQuarterKey], Quarterly_Targets_cleaned[TargetRevenue])</f>
        <v>133000</v>
      </c>
    </row>
    <row r="999" spans="1:22" x14ac:dyDescent="0.25">
      <c r="A999" t="s">
        <v>1332</v>
      </c>
      <c r="B999" s="1">
        <v>45345</v>
      </c>
      <c r="C999" t="s">
        <v>229</v>
      </c>
      <c r="D999" t="s">
        <v>294</v>
      </c>
      <c r="E999">
        <v>873.87</v>
      </c>
      <c r="F999" t="s">
        <v>324</v>
      </c>
      <c r="G999" t="s">
        <v>2963</v>
      </c>
      <c r="I999" t="s">
        <v>17</v>
      </c>
      <c r="J999" t="s">
        <v>102</v>
      </c>
      <c r="K999" t="s">
        <v>18</v>
      </c>
      <c r="L999" t="s">
        <v>295</v>
      </c>
      <c r="M999" t="s">
        <v>296</v>
      </c>
      <c r="N999">
        <v>2.9000000000000001E-2</v>
      </c>
      <c r="O999" t="str">
        <f>IF(Transactions_RAW_cleaned[[#This Row],[Status]]="Completed", IFERROR(_xlfn.XLOOKUP(Transactions_RAW_cleaned[[#This Row],[CustomerID]], Customers_cleaned[CustomerID], Customers_cleaned[Segment]), "Customer Not Found"), "N/A")</f>
        <v>Enterprise</v>
      </c>
      <c r="P999" s="5" t="str">
        <f>IF(Transactions_RAW_cleaned[[#This Row],[Status]]="Refunded", "Refund",
  IF(Transactions_RAW_cleaned[[#This Row],[Category]]="Payments", IF(Transactions_RAW_cleaned[[#This Row],[Amount]]&gt;500,"High Value","Standard"),
    IF(Transactions_RAW_cleaned[[#This Row],[Amount]]&gt;250,"High Value","Standard")))</f>
        <v>High Value</v>
      </c>
      <c r="Q999" s="5" t="str">
        <f>IF(Transactions_RAW_cleaned[[#This Row],[Amount]] &gt; (_xlfn.XLOOKUP(Transactions_RAW_cleaned[[#This Row],[ServiceID]],Services_cleaned[ServiceID],Services_cleaned[TransactionFeePct]) * 10000), "Yes", "No")</f>
        <v>Yes</v>
      </c>
      <c r="R999" s="5" t="str">
        <f>IF(COUNTIFS($C$2:Transactions_RAW_cleaned[[#This Row],[CustomerID]],Transactions_RAW_cleaned[[#This Row],[CustomerID]],$D$2:Transactions_RAW_cleaned[[#This Row],[ServiceID]],Transactions_RAW_cleaned[[#This Row],[ServiceID]])=1,"Yes","No")</f>
        <v>Yes</v>
      </c>
      <c r="S99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999" t="str">
        <f>"Q"&amp;ROUNDUP(MONTH(Transactions_RAW_cleaned[[#This Row],[TransactionDate]])/3,0)</f>
        <v>Q1</v>
      </c>
      <c r="U999" t="str">
        <f>Transactions_RAW_cleaned[[#This Row],[Region ]]&amp;Transactions_RAW_cleaned[[#This Row],[Quarter ]]</f>
        <v>NAQ1</v>
      </c>
      <c r="V999" s="5">
        <f>_xlfn.XLOOKUP(Transactions_RAW_cleaned[[#This Row],[RegionQuarterKey]], Quarterly_Targets_cleaned[RegionQuarterKey], Quarterly_Targets_cleaned[TargetRevenue])</f>
        <v>247000</v>
      </c>
    </row>
    <row r="1000" spans="1:22" x14ac:dyDescent="0.25">
      <c r="A1000" t="s">
        <v>1333</v>
      </c>
      <c r="B1000" s="1">
        <v>45322</v>
      </c>
      <c r="C1000" t="s">
        <v>35</v>
      </c>
      <c r="D1000" t="s">
        <v>306</v>
      </c>
      <c r="E1000">
        <v>103.69</v>
      </c>
      <c r="F1000" t="s">
        <v>324</v>
      </c>
      <c r="G1000" t="s">
        <v>327</v>
      </c>
      <c r="H1000" t="s">
        <v>346</v>
      </c>
      <c r="I1000" t="s">
        <v>8</v>
      </c>
      <c r="J1000" t="s">
        <v>37</v>
      </c>
      <c r="K1000" t="s">
        <v>28</v>
      </c>
      <c r="L1000" t="s">
        <v>307</v>
      </c>
      <c r="M1000" t="s">
        <v>308</v>
      </c>
      <c r="N1000">
        <v>0</v>
      </c>
      <c r="O1000" t="str">
        <f>IF(Transactions_RAW_cleaned[[#This Row],[Status]]="Completed", IFERROR(_xlfn.XLOOKUP(Transactions_RAW_cleaned[[#This Row],[CustomerID]], Customers_cleaned[CustomerID], Customers_cleaned[Segment]), "Customer Not Found"), "N/A")</f>
        <v>SMB</v>
      </c>
      <c r="P1000" s="5" t="str">
        <f>IF(Transactions_RAW_cleaned[[#This Row],[Status]]="Refunded", "Refund",
  IF(Transactions_RAW_cleaned[[#This Row],[Category]]="Payments", IF(Transactions_RAW_cleaned[[#This Row],[Amount]]&gt;500,"High Value","Standard"),
    IF(Transactions_RAW_cleaned[[#This Row],[Amount]]&gt;250,"High Value","Standard")))</f>
        <v>Standard</v>
      </c>
      <c r="Q1000" s="5" t="str">
        <f>IF(Transactions_RAW_cleaned[[#This Row],[Amount]] &gt; (_xlfn.XLOOKUP(Transactions_RAW_cleaned[[#This Row],[ServiceID]],Services_cleaned[ServiceID],Services_cleaned[TransactionFeePct]) * 10000), "Yes", "No")</f>
        <v>Yes</v>
      </c>
      <c r="R1000" s="5" t="str">
        <f>IF(COUNTIFS($C$2:Transactions_RAW_cleaned[[#This Row],[CustomerID]],Transactions_RAW_cleaned[[#This Row],[CustomerID]],$D$2:Transactions_RAW_cleaned[[#This Row],[ServiceID]],Transactions_RAW_cleaned[[#This Row],[ServiceID]])=1,"Yes","No")</f>
        <v>No</v>
      </c>
      <c r="S100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000" t="str">
        <f>"Q"&amp;ROUNDUP(MONTH(Transactions_RAW_cleaned[[#This Row],[TransactionDate]])/3,0)</f>
        <v>Q1</v>
      </c>
      <c r="U1000" t="str">
        <f>Transactions_RAW_cleaned[[#This Row],[Region ]]&amp;Transactions_RAW_cleaned[[#This Row],[Quarter ]]</f>
        <v>EMEAQ1</v>
      </c>
      <c r="V1000" s="5">
        <f>_xlfn.XLOOKUP(Transactions_RAW_cleaned[[#This Row],[RegionQuarterKey]], Quarterly_Targets_cleaned[RegionQuarterKey], Quarterly_Targets_cleaned[TargetRevenue])</f>
        <v>133000</v>
      </c>
    </row>
    <row r="1001" spans="1:22" x14ac:dyDescent="0.25">
      <c r="A1001" t="s">
        <v>1334</v>
      </c>
      <c r="B1001" s="1">
        <v>45446</v>
      </c>
      <c r="C1001" t="s">
        <v>255</v>
      </c>
      <c r="D1001" t="s">
        <v>312</v>
      </c>
      <c r="E1001">
        <v>276.32</v>
      </c>
      <c r="F1001" t="s">
        <v>324</v>
      </c>
      <c r="G1001" t="s">
        <v>325</v>
      </c>
      <c r="I1001" t="s">
        <v>17</v>
      </c>
      <c r="J1001" t="s">
        <v>21</v>
      </c>
      <c r="K1001" t="s">
        <v>28</v>
      </c>
      <c r="L1001" t="s">
        <v>313</v>
      </c>
      <c r="M1001" t="s">
        <v>314</v>
      </c>
      <c r="N1001">
        <v>0</v>
      </c>
      <c r="O1001" t="str">
        <f>IF(Transactions_RAW_cleaned[[#This Row],[Status]]="Completed", IFERROR(_xlfn.XLOOKUP(Transactions_RAW_cleaned[[#This Row],[CustomerID]], Customers_cleaned[CustomerID], Customers_cleaned[Segment]), "Customer Not Found"), "N/A")</f>
        <v>Enterprise</v>
      </c>
      <c r="P1001" s="5" t="str">
        <f>IF(Transactions_RAW_cleaned[[#This Row],[Status]]="Refunded", "Refund",
  IF(Transactions_RAW_cleaned[[#This Row],[Category]]="Payments", IF(Transactions_RAW_cleaned[[#This Row],[Amount]]&gt;500,"High Value","Standard"),
    IF(Transactions_RAW_cleaned[[#This Row],[Amount]]&gt;250,"High Value","Standard")))</f>
        <v>High Value</v>
      </c>
      <c r="Q1001" s="5" t="str">
        <f>IF(Transactions_RAW_cleaned[[#This Row],[Amount]] &gt; (_xlfn.XLOOKUP(Transactions_RAW_cleaned[[#This Row],[ServiceID]],Services_cleaned[ServiceID],Services_cleaned[TransactionFeePct]) * 10000), "Yes", "No")</f>
        <v>Yes</v>
      </c>
      <c r="R1001" s="5" t="str">
        <f>IF(COUNTIFS($C$2:Transactions_RAW_cleaned[[#This Row],[CustomerID]],Transactions_RAW_cleaned[[#This Row],[CustomerID]],$D$2:Transactions_RAW_cleaned[[#This Row],[ServiceID]],Transactions_RAW_cleaned[[#This Row],[ServiceID]])=1,"Yes","No")</f>
        <v>Yes</v>
      </c>
      <c r="S100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01" t="str">
        <f>"Q"&amp;ROUNDUP(MONTH(Transactions_RAW_cleaned[[#This Row],[TransactionDate]])/3,0)</f>
        <v>Q2</v>
      </c>
      <c r="U1001" t="str">
        <f>Transactions_RAW_cleaned[[#This Row],[Region ]]&amp;Transactions_RAW_cleaned[[#This Row],[Quarter ]]</f>
        <v>APACQ2</v>
      </c>
      <c r="V1001" s="5">
        <f>_xlfn.XLOOKUP(Transactions_RAW_cleaned[[#This Row],[RegionQuarterKey]], Quarterly_Targets_cleaned[RegionQuarterKey], Quarterly_Targets_cleaned[TargetRevenue])</f>
        <v>110000</v>
      </c>
    </row>
    <row r="1002" spans="1:22" x14ac:dyDescent="0.25">
      <c r="A1002" t="s">
        <v>1335</v>
      </c>
      <c r="B1002" s="1">
        <v>45642</v>
      </c>
      <c r="C1002" t="s">
        <v>133</v>
      </c>
      <c r="D1002" t="s">
        <v>303</v>
      </c>
      <c r="E1002">
        <v>397.51</v>
      </c>
      <c r="F1002" t="s">
        <v>324</v>
      </c>
      <c r="G1002" t="s">
        <v>337</v>
      </c>
      <c r="H1002" t="s">
        <v>334</v>
      </c>
      <c r="I1002" t="s">
        <v>17</v>
      </c>
      <c r="J1002" t="s">
        <v>102</v>
      </c>
      <c r="K1002" t="s">
        <v>22</v>
      </c>
      <c r="L1002" t="s">
        <v>304</v>
      </c>
      <c r="M1002" t="s">
        <v>305</v>
      </c>
      <c r="N1002">
        <v>1E-3</v>
      </c>
      <c r="O1002" t="str">
        <f>IF(Transactions_RAW_cleaned[[#This Row],[Status]]="Completed", IFERROR(_xlfn.XLOOKUP(Transactions_RAW_cleaned[[#This Row],[CustomerID]], Customers_cleaned[CustomerID], Customers_cleaned[Segment]), "Customer Not Found"), "N/A")</f>
        <v>Enterprise</v>
      </c>
      <c r="P1002" s="5" t="str">
        <f>IF(Transactions_RAW_cleaned[[#This Row],[Status]]="Refunded", "Refund",
  IF(Transactions_RAW_cleaned[[#This Row],[Category]]="Payments", IF(Transactions_RAW_cleaned[[#This Row],[Amount]]&gt;500,"High Value","Standard"),
    IF(Transactions_RAW_cleaned[[#This Row],[Amount]]&gt;250,"High Value","Standard")))</f>
        <v>High Value</v>
      </c>
      <c r="Q1002" s="5" t="str">
        <f>IF(Transactions_RAW_cleaned[[#This Row],[Amount]] &gt; (_xlfn.XLOOKUP(Transactions_RAW_cleaned[[#This Row],[ServiceID]],Services_cleaned[ServiceID],Services_cleaned[TransactionFeePct]) * 10000), "Yes", "No")</f>
        <v>Yes</v>
      </c>
      <c r="R1002" s="5" t="str">
        <f>IF(COUNTIFS($C$2:Transactions_RAW_cleaned[[#This Row],[CustomerID]],Transactions_RAW_cleaned[[#This Row],[CustomerID]],$D$2:Transactions_RAW_cleaned[[#This Row],[ServiceID]],Transactions_RAW_cleaned[[#This Row],[ServiceID]])=1,"Yes","No")</f>
        <v>No</v>
      </c>
      <c r="S100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02" t="str">
        <f>"Q"&amp;ROUNDUP(MONTH(Transactions_RAW_cleaned[[#This Row],[TransactionDate]])/3,0)</f>
        <v>Q4</v>
      </c>
      <c r="U1002" t="str">
        <f>Transactions_RAW_cleaned[[#This Row],[Region ]]&amp;Transactions_RAW_cleaned[[#This Row],[Quarter ]]</f>
        <v>NAQ4</v>
      </c>
      <c r="V1002" s="5">
        <f>_xlfn.XLOOKUP(Transactions_RAW_cleaned[[#This Row],[RegionQuarterKey]], Quarterly_Targets_cleaned[RegionQuarterKey], Quarterly_Targets_cleaned[TargetRevenue])</f>
        <v>299000</v>
      </c>
    </row>
    <row r="1003" spans="1:22" x14ac:dyDescent="0.25">
      <c r="A1003" t="s">
        <v>1336</v>
      </c>
      <c r="B1003" s="1">
        <v>45296</v>
      </c>
      <c r="C1003" t="s">
        <v>26</v>
      </c>
      <c r="D1003" t="s">
        <v>300</v>
      </c>
      <c r="E1003">
        <v>245.23</v>
      </c>
      <c r="F1003" t="s">
        <v>324</v>
      </c>
      <c r="G1003" t="s">
        <v>337</v>
      </c>
      <c r="I1003" t="s">
        <v>8</v>
      </c>
      <c r="J1003" t="s">
        <v>102</v>
      </c>
      <c r="K1003" t="s">
        <v>28</v>
      </c>
      <c r="L1003" t="s">
        <v>301</v>
      </c>
      <c r="M1003" t="s">
        <v>302</v>
      </c>
      <c r="N1003">
        <v>5.0000000000000001E-3</v>
      </c>
      <c r="O1003" t="str">
        <f>IF(Transactions_RAW_cleaned[[#This Row],[Status]]="Completed", IFERROR(_xlfn.XLOOKUP(Transactions_RAW_cleaned[[#This Row],[CustomerID]], Customers_cleaned[CustomerID], Customers_cleaned[Segment]), "Customer Not Found"), "N/A")</f>
        <v>SMB</v>
      </c>
      <c r="P1003" s="5" t="str">
        <f>IF(Transactions_RAW_cleaned[[#This Row],[Status]]="Refunded", "Refund",
  IF(Transactions_RAW_cleaned[[#This Row],[Category]]="Payments", IF(Transactions_RAW_cleaned[[#This Row],[Amount]]&gt;500,"High Value","Standard"),
    IF(Transactions_RAW_cleaned[[#This Row],[Amount]]&gt;250,"High Value","Standard")))</f>
        <v>Standard</v>
      </c>
      <c r="Q1003" s="5" t="str">
        <f>IF(Transactions_RAW_cleaned[[#This Row],[Amount]] &gt; (_xlfn.XLOOKUP(Transactions_RAW_cleaned[[#This Row],[ServiceID]],Services_cleaned[ServiceID],Services_cleaned[TransactionFeePct]) * 10000), "Yes", "No")</f>
        <v>Yes</v>
      </c>
      <c r="R1003" s="5" t="str">
        <f>IF(COUNTIFS($C$2:Transactions_RAW_cleaned[[#This Row],[CustomerID]],Transactions_RAW_cleaned[[#This Row],[CustomerID]],$D$2:Transactions_RAW_cleaned[[#This Row],[ServiceID]],Transactions_RAW_cleaned[[#This Row],[ServiceID]])=1,"Yes","No")</f>
        <v>No</v>
      </c>
      <c r="S100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03" t="str">
        <f>"Q"&amp;ROUNDUP(MONTH(Transactions_RAW_cleaned[[#This Row],[TransactionDate]])/3,0)</f>
        <v>Q1</v>
      </c>
      <c r="U1003" t="str">
        <f>Transactions_RAW_cleaned[[#This Row],[Region ]]&amp;Transactions_RAW_cleaned[[#This Row],[Quarter ]]</f>
        <v>NAQ1</v>
      </c>
      <c r="V1003" s="5">
        <f>_xlfn.XLOOKUP(Transactions_RAW_cleaned[[#This Row],[RegionQuarterKey]], Quarterly_Targets_cleaned[RegionQuarterKey], Quarterly_Targets_cleaned[TargetRevenue])</f>
        <v>247000</v>
      </c>
    </row>
    <row r="1004" spans="1:22" x14ac:dyDescent="0.25">
      <c r="A1004" t="s">
        <v>1337</v>
      </c>
      <c r="B1004" s="1">
        <v>45480</v>
      </c>
      <c r="C1004" t="s">
        <v>64</v>
      </c>
      <c r="D1004" t="s">
        <v>297</v>
      </c>
      <c r="E1004">
        <v>62.5</v>
      </c>
      <c r="F1004" t="s">
        <v>331</v>
      </c>
      <c r="G1004" t="s">
        <v>327</v>
      </c>
      <c r="I1004" t="s">
        <v>8</v>
      </c>
      <c r="J1004" t="s">
        <v>37</v>
      </c>
      <c r="K1004" t="s">
        <v>28</v>
      </c>
      <c r="L1004" t="s">
        <v>298</v>
      </c>
      <c r="M1004" t="s">
        <v>299</v>
      </c>
      <c r="N1004">
        <v>0</v>
      </c>
      <c r="O1004" t="str">
        <f>IF(Transactions_RAW_cleaned[[#This Row],[Status]]="Completed", IFERROR(_xlfn.XLOOKUP(Transactions_RAW_cleaned[[#This Row],[CustomerID]], Customers_cleaned[CustomerID], Customers_cleaned[Segment]), "Customer Not Found"), "N/A")</f>
        <v>N/A</v>
      </c>
      <c r="P1004" s="5" t="str">
        <f>IF(Transactions_RAW_cleaned[[#This Row],[Status]]="Refunded", "Refund",
  IF(Transactions_RAW_cleaned[[#This Row],[Category]]="Payments", IF(Transactions_RAW_cleaned[[#This Row],[Amount]]&gt;500,"High Value","Standard"),
    IF(Transactions_RAW_cleaned[[#This Row],[Amount]]&gt;250,"High Value","Standard")))</f>
        <v>Standard</v>
      </c>
      <c r="Q1004" s="5" t="str">
        <f>IF(Transactions_RAW_cleaned[[#This Row],[Amount]] &gt; (_xlfn.XLOOKUP(Transactions_RAW_cleaned[[#This Row],[ServiceID]],Services_cleaned[ServiceID],Services_cleaned[TransactionFeePct]) * 10000), "Yes", "No")</f>
        <v>Yes</v>
      </c>
      <c r="R1004" s="5" t="str">
        <f>IF(COUNTIFS($C$2:Transactions_RAW_cleaned[[#This Row],[CustomerID]],Transactions_RAW_cleaned[[#This Row],[CustomerID]],$D$2:Transactions_RAW_cleaned[[#This Row],[ServiceID]],Transactions_RAW_cleaned[[#This Row],[ServiceID]])=1,"Yes","No")</f>
        <v>No</v>
      </c>
      <c r="S100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004" t="str">
        <f>"Q"&amp;ROUNDUP(MONTH(Transactions_RAW_cleaned[[#This Row],[TransactionDate]])/3,0)</f>
        <v>Q3</v>
      </c>
      <c r="U1004" t="str">
        <f>Transactions_RAW_cleaned[[#This Row],[Region ]]&amp;Transactions_RAW_cleaned[[#This Row],[Quarter ]]</f>
        <v>EMEAQ3</v>
      </c>
      <c r="V1004" s="5">
        <f>_xlfn.XLOOKUP(Transactions_RAW_cleaned[[#This Row],[RegionQuarterKey]], Quarterly_Targets_cleaned[RegionQuarterKey], Quarterly_Targets_cleaned[TargetRevenue])</f>
        <v>147000</v>
      </c>
    </row>
    <row r="1005" spans="1:22" x14ac:dyDescent="0.25">
      <c r="A1005" t="s">
        <v>1338</v>
      </c>
      <c r="B1005" s="1">
        <v>45332</v>
      </c>
      <c r="C1005" t="s">
        <v>239</v>
      </c>
      <c r="D1005" t="s">
        <v>315</v>
      </c>
      <c r="E1005">
        <v>254.44</v>
      </c>
      <c r="F1005" t="s">
        <v>331</v>
      </c>
      <c r="G1005" t="s">
        <v>337</v>
      </c>
      <c r="I1005" t="s">
        <v>57</v>
      </c>
      <c r="J1005" t="s">
        <v>102</v>
      </c>
      <c r="K1005" t="s">
        <v>10</v>
      </c>
      <c r="L1005" t="s">
        <v>316</v>
      </c>
      <c r="M1005" t="s">
        <v>305</v>
      </c>
      <c r="N1005">
        <v>2.5000000000000001E-3</v>
      </c>
      <c r="O1005" t="str">
        <f>IF(Transactions_RAW_cleaned[[#This Row],[Status]]="Completed", IFERROR(_xlfn.XLOOKUP(Transactions_RAW_cleaned[[#This Row],[CustomerID]], Customers_cleaned[CustomerID], Customers_cleaned[Segment]), "Customer Not Found"), "N/A")</f>
        <v>N/A</v>
      </c>
      <c r="P1005" s="5" t="str">
        <f>IF(Transactions_RAW_cleaned[[#This Row],[Status]]="Refunded", "Refund",
  IF(Transactions_RAW_cleaned[[#This Row],[Category]]="Payments", IF(Transactions_RAW_cleaned[[#This Row],[Amount]]&gt;500,"High Value","Standard"),
    IF(Transactions_RAW_cleaned[[#This Row],[Amount]]&gt;250,"High Value","Standard")))</f>
        <v>High Value</v>
      </c>
      <c r="Q1005" s="5" t="str">
        <f>IF(Transactions_RAW_cleaned[[#This Row],[Amount]] &gt; (_xlfn.XLOOKUP(Transactions_RAW_cleaned[[#This Row],[ServiceID]],Services_cleaned[ServiceID],Services_cleaned[TransactionFeePct]) * 10000), "Yes", "No")</f>
        <v>Yes</v>
      </c>
      <c r="R1005" s="5" t="str">
        <f>IF(COUNTIFS($C$2:Transactions_RAW_cleaned[[#This Row],[CustomerID]],Transactions_RAW_cleaned[[#This Row],[CustomerID]],$D$2:Transactions_RAW_cleaned[[#This Row],[ServiceID]],Transactions_RAW_cleaned[[#This Row],[ServiceID]])=1,"Yes","No")</f>
        <v>Yes</v>
      </c>
      <c r="S100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05" t="str">
        <f>"Q"&amp;ROUNDUP(MONTH(Transactions_RAW_cleaned[[#This Row],[TransactionDate]])/3,0)</f>
        <v>Q1</v>
      </c>
      <c r="U1005" t="str">
        <f>Transactions_RAW_cleaned[[#This Row],[Region ]]&amp;Transactions_RAW_cleaned[[#This Row],[Quarter ]]</f>
        <v>NAQ1</v>
      </c>
      <c r="V1005" s="5">
        <f>_xlfn.XLOOKUP(Transactions_RAW_cleaned[[#This Row],[RegionQuarterKey]], Quarterly_Targets_cleaned[RegionQuarterKey], Quarterly_Targets_cleaned[TargetRevenue])</f>
        <v>247000</v>
      </c>
    </row>
    <row r="1006" spans="1:22" x14ac:dyDescent="0.25">
      <c r="A1006" t="s">
        <v>1339</v>
      </c>
      <c r="B1006" s="1">
        <v>45505</v>
      </c>
      <c r="C1006" t="s">
        <v>199</v>
      </c>
      <c r="D1006" t="s">
        <v>294</v>
      </c>
      <c r="E1006">
        <v>474.1</v>
      </c>
      <c r="F1006" t="s">
        <v>324</v>
      </c>
      <c r="G1006" t="s">
        <v>327</v>
      </c>
      <c r="I1006" t="s">
        <v>8</v>
      </c>
      <c r="J1006" t="s">
        <v>13</v>
      </c>
      <c r="K1006" t="s">
        <v>32</v>
      </c>
      <c r="L1006" t="s">
        <v>295</v>
      </c>
      <c r="M1006" t="s">
        <v>296</v>
      </c>
      <c r="N1006">
        <v>2.9000000000000001E-2</v>
      </c>
      <c r="O1006" t="str">
        <f>IF(Transactions_RAW_cleaned[[#This Row],[Status]]="Completed", IFERROR(_xlfn.XLOOKUP(Transactions_RAW_cleaned[[#This Row],[CustomerID]], Customers_cleaned[CustomerID], Customers_cleaned[Segment]), "Customer Not Found"), "N/A")</f>
        <v>SMB</v>
      </c>
      <c r="P1006" s="5" t="str">
        <f>IF(Transactions_RAW_cleaned[[#This Row],[Status]]="Refunded", "Refund",
  IF(Transactions_RAW_cleaned[[#This Row],[Category]]="Payments", IF(Transactions_RAW_cleaned[[#This Row],[Amount]]&gt;500,"High Value","Standard"),
    IF(Transactions_RAW_cleaned[[#This Row],[Amount]]&gt;250,"High Value","Standard")))</f>
        <v>Standard</v>
      </c>
      <c r="Q1006" s="5" t="str">
        <f>IF(Transactions_RAW_cleaned[[#This Row],[Amount]] &gt; (_xlfn.XLOOKUP(Transactions_RAW_cleaned[[#This Row],[ServiceID]],Services_cleaned[ServiceID],Services_cleaned[TransactionFeePct]) * 10000), "Yes", "No")</f>
        <v>Yes</v>
      </c>
      <c r="R1006" s="5" t="str">
        <f>IF(COUNTIFS($C$2:Transactions_RAW_cleaned[[#This Row],[CustomerID]],Transactions_RAW_cleaned[[#This Row],[CustomerID]],$D$2:Transactions_RAW_cleaned[[#This Row],[ServiceID]],Transactions_RAW_cleaned[[#This Row],[ServiceID]])=1,"Yes","No")</f>
        <v>No</v>
      </c>
      <c r="S100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06" t="str">
        <f>"Q"&amp;ROUNDUP(MONTH(Transactions_RAW_cleaned[[#This Row],[TransactionDate]])/3,0)</f>
        <v>Q3</v>
      </c>
      <c r="U1006" t="str">
        <f>Transactions_RAW_cleaned[[#This Row],[Region ]]&amp;Transactions_RAW_cleaned[[#This Row],[Quarter ]]</f>
        <v>NAQ3</v>
      </c>
      <c r="V1006" s="5">
        <f>_xlfn.XLOOKUP(Transactions_RAW_cleaned[[#This Row],[RegionQuarterKey]], Quarterly_Targets_cleaned[RegionQuarterKey], Quarterly_Targets_cleaned[TargetRevenue])</f>
        <v>273000</v>
      </c>
    </row>
    <row r="1007" spans="1:22" x14ac:dyDescent="0.25">
      <c r="A1007" t="s">
        <v>1340</v>
      </c>
      <c r="B1007" s="1">
        <v>45548</v>
      </c>
      <c r="C1007" t="s">
        <v>207</v>
      </c>
      <c r="D1007" t="s">
        <v>297</v>
      </c>
      <c r="E1007">
        <v>855.28</v>
      </c>
      <c r="F1007" t="s">
        <v>381</v>
      </c>
      <c r="G1007" t="s">
        <v>337</v>
      </c>
      <c r="I1007" t="s">
        <v>8</v>
      </c>
      <c r="J1007" t="s">
        <v>102</v>
      </c>
      <c r="K1007" t="s">
        <v>28</v>
      </c>
      <c r="L1007" t="s">
        <v>298</v>
      </c>
      <c r="M1007" t="s">
        <v>299</v>
      </c>
      <c r="N1007">
        <v>0</v>
      </c>
      <c r="O1007" t="str">
        <f>IF(Transactions_RAW_cleaned[[#This Row],[Status]]="Completed", IFERROR(_xlfn.XLOOKUP(Transactions_RAW_cleaned[[#This Row],[CustomerID]], Customers_cleaned[CustomerID], Customers_cleaned[Segment]), "Customer Not Found"), "N/A")</f>
        <v>N/A</v>
      </c>
      <c r="P1007" s="5" t="str">
        <f>IF(Transactions_RAW_cleaned[[#This Row],[Status]]="Refunded", "Refund",
  IF(Transactions_RAW_cleaned[[#This Row],[Category]]="Payments", IF(Transactions_RAW_cleaned[[#This Row],[Amount]]&gt;500,"High Value","Standard"),
    IF(Transactions_RAW_cleaned[[#This Row],[Amount]]&gt;250,"High Value","Standard")))</f>
        <v>High Value</v>
      </c>
      <c r="Q1007" s="5" t="str">
        <f>IF(Transactions_RAW_cleaned[[#This Row],[Amount]] &gt; (_xlfn.XLOOKUP(Transactions_RAW_cleaned[[#This Row],[ServiceID]],Services_cleaned[ServiceID],Services_cleaned[TransactionFeePct]) * 10000), "Yes", "No")</f>
        <v>Yes</v>
      </c>
      <c r="R1007" s="5" t="str">
        <f>IF(COUNTIFS($C$2:Transactions_RAW_cleaned[[#This Row],[CustomerID]],Transactions_RAW_cleaned[[#This Row],[CustomerID]],$D$2:Transactions_RAW_cleaned[[#This Row],[ServiceID]],Transactions_RAW_cleaned[[#This Row],[ServiceID]])=1,"Yes","No")</f>
        <v>No</v>
      </c>
      <c r="S100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07" t="str">
        <f>"Q"&amp;ROUNDUP(MONTH(Transactions_RAW_cleaned[[#This Row],[TransactionDate]])/3,0)</f>
        <v>Q3</v>
      </c>
      <c r="U1007" t="str">
        <f>Transactions_RAW_cleaned[[#This Row],[Region ]]&amp;Transactions_RAW_cleaned[[#This Row],[Quarter ]]</f>
        <v>NAQ3</v>
      </c>
      <c r="V1007" s="5">
        <f>_xlfn.XLOOKUP(Transactions_RAW_cleaned[[#This Row],[RegionQuarterKey]], Quarterly_Targets_cleaned[RegionQuarterKey], Quarterly_Targets_cleaned[TargetRevenue])</f>
        <v>273000</v>
      </c>
    </row>
    <row r="1008" spans="1:22" x14ac:dyDescent="0.25">
      <c r="A1008" t="s">
        <v>1341</v>
      </c>
      <c r="B1008" s="1">
        <v>45376</v>
      </c>
      <c r="C1008" t="s">
        <v>64</v>
      </c>
      <c r="D1008" t="s">
        <v>300</v>
      </c>
      <c r="E1008">
        <v>302.17</v>
      </c>
      <c r="F1008" t="s">
        <v>331</v>
      </c>
      <c r="G1008" t="s">
        <v>325</v>
      </c>
      <c r="H1008" t="s">
        <v>332</v>
      </c>
      <c r="I1008" t="s">
        <v>8</v>
      </c>
      <c r="J1008" t="s">
        <v>37</v>
      </c>
      <c r="K1008" t="s">
        <v>28</v>
      </c>
      <c r="L1008" t="s">
        <v>301</v>
      </c>
      <c r="M1008" t="s">
        <v>302</v>
      </c>
      <c r="N1008">
        <v>5.0000000000000001E-3</v>
      </c>
      <c r="O1008" t="str">
        <f>IF(Transactions_RAW_cleaned[[#This Row],[Status]]="Completed", IFERROR(_xlfn.XLOOKUP(Transactions_RAW_cleaned[[#This Row],[CustomerID]], Customers_cleaned[CustomerID], Customers_cleaned[Segment]), "Customer Not Found"), "N/A")</f>
        <v>N/A</v>
      </c>
      <c r="P1008" s="5" t="str">
        <f>IF(Transactions_RAW_cleaned[[#This Row],[Status]]="Refunded", "Refund",
  IF(Transactions_RAW_cleaned[[#This Row],[Category]]="Payments", IF(Transactions_RAW_cleaned[[#This Row],[Amount]]&gt;500,"High Value","Standard"),
    IF(Transactions_RAW_cleaned[[#This Row],[Amount]]&gt;250,"High Value","Standard")))</f>
        <v>High Value</v>
      </c>
      <c r="Q1008" s="5" t="str">
        <f>IF(Transactions_RAW_cleaned[[#This Row],[Amount]] &gt; (_xlfn.XLOOKUP(Transactions_RAW_cleaned[[#This Row],[ServiceID]],Services_cleaned[ServiceID],Services_cleaned[TransactionFeePct]) * 10000), "Yes", "No")</f>
        <v>Yes</v>
      </c>
      <c r="R1008" s="5" t="str">
        <f>IF(COUNTIFS($C$2:Transactions_RAW_cleaned[[#This Row],[CustomerID]],Transactions_RAW_cleaned[[#This Row],[CustomerID]],$D$2:Transactions_RAW_cleaned[[#This Row],[ServiceID]],Transactions_RAW_cleaned[[#This Row],[ServiceID]])=1,"Yes","No")</f>
        <v>No</v>
      </c>
      <c r="S100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008" t="str">
        <f>"Q"&amp;ROUNDUP(MONTH(Transactions_RAW_cleaned[[#This Row],[TransactionDate]])/3,0)</f>
        <v>Q1</v>
      </c>
      <c r="U1008" t="str">
        <f>Transactions_RAW_cleaned[[#This Row],[Region ]]&amp;Transactions_RAW_cleaned[[#This Row],[Quarter ]]</f>
        <v>EMEAQ1</v>
      </c>
      <c r="V1008" s="5">
        <f>_xlfn.XLOOKUP(Transactions_RAW_cleaned[[#This Row],[RegionQuarterKey]], Quarterly_Targets_cleaned[RegionQuarterKey], Quarterly_Targets_cleaned[TargetRevenue])</f>
        <v>133000</v>
      </c>
    </row>
    <row r="1009" spans="1:22" x14ac:dyDescent="0.25">
      <c r="A1009" t="s">
        <v>1342</v>
      </c>
      <c r="B1009" s="1">
        <v>45510</v>
      </c>
      <c r="C1009" t="s">
        <v>100</v>
      </c>
      <c r="D1009" t="s">
        <v>297</v>
      </c>
      <c r="E1009">
        <v>-228.94</v>
      </c>
      <c r="F1009" t="s">
        <v>349</v>
      </c>
      <c r="G1009" t="s">
        <v>327</v>
      </c>
      <c r="I1009" t="s">
        <v>8</v>
      </c>
      <c r="J1009" t="s">
        <v>102</v>
      </c>
      <c r="K1009" t="s">
        <v>22</v>
      </c>
      <c r="L1009" t="s">
        <v>298</v>
      </c>
      <c r="M1009" t="s">
        <v>299</v>
      </c>
      <c r="N1009">
        <v>0</v>
      </c>
      <c r="O1009" t="str">
        <f>IF(Transactions_RAW_cleaned[[#This Row],[Status]]="Completed", IFERROR(_xlfn.XLOOKUP(Transactions_RAW_cleaned[[#This Row],[CustomerID]], Customers_cleaned[CustomerID], Customers_cleaned[Segment]), "Customer Not Found"), "N/A")</f>
        <v>N/A</v>
      </c>
      <c r="P1009" s="5" t="str">
        <f>IF(Transactions_RAW_cleaned[[#This Row],[Status]]="Refunded", "Refund",
  IF(Transactions_RAW_cleaned[[#This Row],[Category]]="Payments", IF(Transactions_RAW_cleaned[[#This Row],[Amount]]&gt;500,"High Value","Standard"),
    IF(Transactions_RAW_cleaned[[#This Row],[Amount]]&gt;250,"High Value","Standard")))</f>
        <v>Refund</v>
      </c>
      <c r="Q1009" s="5" t="str">
        <f>IF(Transactions_RAW_cleaned[[#This Row],[Amount]] &gt; (_xlfn.XLOOKUP(Transactions_RAW_cleaned[[#This Row],[ServiceID]],Services_cleaned[ServiceID],Services_cleaned[TransactionFeePct]) * 10000), "Yes", "No")</f>
        <v>No</v>
      </c>
      <c r="R1009" s="5" t="str">
        <f>IF(COUNTIFS($C$2:Transactions_RAW_cleaned[[#This Row],[CustomerID]],Transactions_RAW_cleaned[[#This Row],[CustomerID]],$D$2:Transactions_RAW_cleaned[[#This Row],[ServiceID]],Transactions_RAW_cleaned[[#This Row],[ServiceID]])=1,"Yes","No")</f>
        <v>No</v>
      </c>
      <c r="S100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09" t="str">
        <f>"Q"&amp;ROUNDUP(MONTH(Transactions_RAW_cleaned[[#This Row],[TransactionDate]])/3,0)</f>
        <v>Q3</v>
      </c>
      <c r="U1009" t="str">
        <f>Transactions_RAW_cleaned[[#This Row],[Region ]]&amp;Transactions_RAW_cleaned[[#This Row],[Quarter ]]</f>
        <v>NAQ3</v>
      </c>
      <c r="V1009" s="5">
        <f>_xlfn.XLOOKUP(Transactions_RAW_cleaned[[#This Row],[RegionQuarterKey]], Quarterly_Targets_cleaned[RegionQuarterKey], Quarterly_Targets_cleaned[TargetRevenue])</f>
        <v>273000</v>
      </c>
    </row>
    <row r="1010" spans="1:22" x14ac:dyDescent="0.25">
      <c r="A1010" t="s">
        <v>1343</v>
      </c>
      <c r="B1010" s="1">
        <v>45619</v>
      </c>
      <c r="C1010" t="s">
        <v>15</v>
      </c>
      <c r="D1010" t="s">
        <v>294</v>
      </c>
      <c r="E1010">
        <v>512.41999999999996</v>
      </c>
      <c r="F1010" t="s">
        <v>324</v>
      </c>
      <c r="G1010" t="s">
        <v>337</v>
      </c>
      <c r="I1010" t="s">
        <v>17</v>
      </c>
      <c r="J1010" t="s">
        <v>102</v>
      </c>
      <c r="K1010" t="s">
        <v>18</v>
      </c>
      <c r="L1010" t="s">
        <v>295</v>
      </c>
      <c r="M1010" t="s">
        <v>296</v>
      </c>
      <c r="N1010">
        <v>2.9000000000000001E-2</v>
      </c>
      <c r="O1010" t="str">
        <f>IF(Transactions_RAW_cleaned[[#This Row],[Status]]="Completed", IFERROR(_xlfn.XLOOKUP(Transactions_RAW_cleaned[[#This Row],[CustomerID]], Customers_cleaned[CustomerID], Customers_cleaned[Segment]), "Customer Not Found"), "N/A")</f>
        <v>Enterprise</v>
      </c>
      <c r="P1010" s="5" t="str">
        <f>IF(Transactions_RAW_cleaned[[#This Row],[Status]]="Refunded", "Refund",
  IF(Transactions_RAW_cleaned[[#This Row],[Category]]="Payments", IF(Transactions_RAW_cleaned[[#This Row],[Amount]]&gt;500,"High Value","Standard"),
    IF(Transactions_RAW_cleaned[[#This Row],[Amount]]&gt;250,"High Value","Standard")))</f>
        <v>High Value</v>
      </c>
      <c r="Q1010" s="5" t="str">
        <f>IF(Transactions_RAW_cleaned[[#This Row],[Amount]] &gt; (_xlfn.XLOOKUP(Transactions_RAW_cleaned[[#This Row],[ServiceID]],Services_cleaned[ServiceID],Services_cleaned[TransactionFeePct]) * 10000), "Yes", "No")</f>
        <v>Yes</v>
      </c>
      <c r="R1010" s="5" t="str">
        <f>IF(COUNTIFS($C$2:Transactions_RAW_cleaned[[#This Row],[CustomerID]],Transactions_RAW_cleaned[[#This Row],[CustomerID]],$D$2:Transactions_RAW_cleaned[[#This Row],[ServiceID]],Transactions_RAW_cleaned[[#This Row],[ServiceID]])=1,"Yes","No")</f>
        <v>No</v>
      </c>
      <c r="S101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10" t="str">
        <f>"Q"&amp;ROUNDUP(MONTH(Transactions_RAW_cleaned[[#This Row],[TransactionDate]])/3,0)</f>
        <v>Q4</v>
      </c>
      <c r="U1010" t="str">
        <f>Transactions_RAW_cleaned[[#This Row],[Region ]]&amp;Transactions_RAW_cleaned[[#This Row],[Quarter ]]</f>
        <v>NAQ4</v>
      </c>
      <c r="V1010" s="5">
        <f>_xlfn.XLOOKUP(Transactions_RAW_cleaned[[#This Row],[RegionQuarterKey]], Quarterly_Targets_cleaned[RegionQuarterKey], Quarterly_Targets_cleaned[TargetRevenue])</f>
        <v>299000</v>
      </c>
    </row>
    <row r="1011" spans="1:22" x14ac:dyDescent="0.25">
      <c r="A1011" t="s">
        <v>1344</v>
      </c>
      <c r="B1011" s="1">
        <v>45610</v>
      </c>
      <c r="C1011" t="s">
        <v>161</v>
      </c>
      <c r="D1011" t="s">
        <v>315</v>
      </c>
      <c r="E1011">
        <v>868.66</v>
      </c>
      <c r="F1011" t="s">
        <v>331</v>
      </c>
      <c r="G1011" t="s">
        <v>327</v>
      </c>
      <c r="H1011" t="s">
        <v>332</v>
      </c>
      <c r="I1011" t="s">
        <v>8</v>
      </c>
      <c r="J1011" t="s">
        <v>21</v>
      </c>
      <c r="K1011" t="s">
        <v>22</v>
      </c>
      <c r="L1011" t="s">
        <v>316</v>
      </c>
      <c r="M1011" t="s">
        <v>305</v>
      </c>
      <c r="N1011">
        <v>2.5000000000000001E-3</v>
      </c>
      <c r="O1011" t="str">
        <f>IF(Transactions_RAW_cleaned[[#This Row],[Status]]="Completed", IFERROR(_xlfn.XLOOKUP(Transactions_RAW_cleaned[[#This Row],[CustomerID]], Customers_cleaned[CustomerID], Customers_cleaned[Segment]), "Customer Not Found"), "N/A")</f>
        <v>N/A</v>
      </c>
      <c r="P1011" s="5" t="str">
        <f>IF(Transactions_RAW_cleaned[[#This Row],[Status]]="Refunded", "Refund",
  IF(Transactions_RAW_cleaned[[#This Row],[Category]]="Payments", IF(Transactions_RAW_cleaned[[#This Row],[Amount]]&gt;500,"High Value","Standard"),
    IF(Transactions_RAW_cleaned[[#This Row],[Amount]]&gt;250,"High Value","Standard")))</f>
        <v>High Value</v>
      </c>
      <c r="Q1011" s="5" t="str">
        <f>IF(Transactions_RAW_cleaned[[#This Row],[Amount]] &gt; (_xlfn.XLOOKUP(Transactions_RAW_cleaned[[#This Row],[ServiceID]],Services_cleaned[ServiceID],Services_cleaned[TransactionFeePct]) * 10000), "Yes", "No")</f>
        <v>Yes</v>
      </c>
      <c r="R1011" s="5" t="str">
        <f>IF(COUNTIFS($C$2:Transactions_RAW_cleaned[[#This Row],[CustomerID]],Transactions_RAW_cleaned[[#This Row],[CustomerID]],$D$2:Transactions_RAW_cleaned[[#This Row],[ServiceID]],Transactions_RAW_cleaned[[#This Row],[ServiceID]])=1,"Yes","No")</f>
        <v>No</v>
      </c>
      <c r="S101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11" t="str">
        <f>"Q"&amp;ROUNDUP(MONTH(Transactions_RAW_cleaned[[#This Row],[TransactionDate]])/3,0)</f>
        <v>Q4</v>
      </c>
      <c r="U1011" t="str">
        <f>Transactions_RAW_cleaned[[#This Row],[Region ]]&amp;Transactions_RAW_cleaned[[#This Row],[Quarter ]]</f>
        <v>APACQ4</v>
      </c>
      <c r="V1011" s="5">
        <f>_xlfn.XLOOKUP(Transactions_RAW_cleaned[[#This Row],[RegionQuarterKey]], Quarterly_Targets_cleaned[RegionQuarterKey], Quarterly_Targets_cleaned[TargetRevenue])</f>
        <v>126500</v>
      </c>
    </row>
    <row r="1012" spans="1:22" x14ac:dyDescent="0.25">
      <c r="A1012" t="s">
        <v>1345</v>
      </c>
      <c r="B1012" s="1">
        <v>45534</v>
      </c>
      <c r="C1012" t="s">
        <v>88</v>
      </c>
      <c r="D1012" t="s">
        <v>312</v>
      </c>
      <c r="E1012">
        <v>163.34</v>
      </c>
      <c r="F1012" t="s">
        <v>324</v>
      </c>
      <c r="G1012" t="s">
        <v>325</v>
      </c>
      <c r="H1012" t="s">
        <v>334</v>
      </c>
      <c r="I1012" t="s">
        <v>8</v>
      </c>
      <c r="J1012" t="s">
        <v>102</v>
      </c>
      <c r="K1012" t="s">
        <v>18</v>
      </c>
      <c r="L1012" t="s">
        <v>313</v>
      </c>
      <c r="M1012" t="s">
        <v>314</v>
      </c>
      <c r="N1012">
        <v>0</v>
      </c>
      <c r="O1012" t="str">
        <f>IF(Transactions_RAW_cleaned[[#This Row],[Status]]="Completed", IFERROR(_xlfn.XLOOKUP(Transactions_RAW_cleaned[[#This Row],[CustomerID]], Customers_cleaned[CustomerID], Customers_cleaned[Segment]), "Customer Not Found"), "N/A")</f>
        <v>SMB</v>
      </c>
      <c r="P1012" s="5" t="str">
        <f>IF(Transactions_RAW_cleaned[[#This Row],[Status]]="Refunded", "Refund",
  IF(Transactions_RAW_cleaned[[#This Row],[Category]]="Payments", IF(Transactions_RAW_cleaned[[#This Row],[Amount]]&gt;500,"High Value","Standard"),
    IF(Transactions_RAW_cleaned[[#This Row],[Amount]]&gt;250,"High Value","Standard")))</f>
        <v>Standard</v>
      </c>
      <c r="Q1012" s="5" t="str">
        <f>IF(Transactions_RAW_cleaned[[#This Row],[Amount]] &gt; (_xlfn.XLOOKUP(Transactions_RAW_cleaned[[#This Row],[ServiceID]],Services_cleaned[ServiceID],Services_cleaned[TransactionFeePct]) * 10000), "Yes", "No")</f>
        <v>Yes</v>
      </c>
      <c r="R1012" s="5" t="str">
        <f>IF(COUNTIFS($C$2:Transactions_RAW_cleaned[[#This Row],[CustomerID]],Transactions_RAW_cleaned[[#This Row],[CustomerID]],$D$2:Transactions_RAW_cleaned[[#This Row],[ServiceID]],Transactions_RAW_cleaned[[#This Row],[ServiceID]])=1,"Yes","No")</f>
        <v>Yes</v>
      </c>
      <c r="S101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12" t="str">
        <f>"Q"&amp;ROUNDUP(MONTH(Transactions_RAW_cleaned[[#This Row],[TransactionDate]])/3,0)</f>
        <v>Q3</v>
      </c>
      <c r="U1012" t="str">
        <f>Transactions_RAW_cleaned[[#This Row],[Region ]]&amp;Transactions_RAW_cleaned[[#This Row],[Quarter ]]</f>
        <v>NAQ3</v>
      </c>
      <c r="V1012" s="5">
        <f>_xlfn.XLOOKUP(Transactions_RAW_cleaned[[#This Row],[RegionQuarterKey]], Quarterly_Targets_cleaned[RegionQuarterKey], Quarterly_Targets_cleaned[TargetRevenue])</f>
        <v>273000</v>
      </c>
    </row>
    <row r="1013" spans="1:22" x14ac:dyDescent="0.25">
      <c r="A1013" t="s">
        <v>1346</v>
      </c>
      <c r="B1013" s="1">
        <v>45526</v>
      </c>
      <c r="C1013" t="s">
        <v>147</v>
      </c>
      <c r="D1013" t="s">
        <v>294</v>
      </c>
      <c r="E1013">
        <v>282.89</v>
      </c>
      <c r="F1013" t="s">
        <v>324</v>
      </c>
      <c r="G1013" t="s">
        <v>325</v>
      </c>
      <c r="I1013" t="s">
        <v>17</v>
      </c>
      <c r="J1013" t="s">
        <v>25</v>
      </c>
      <c r="K1013" t="s">
        <v>32</v>
      </c>
      <c r="L1013" t="s">
        <v>295</v>
      </c>
      <c r="M1013" t="s">
        <v>296</v>
      </c>
      <c r="N1013">
        <v>2.9000000000000001E-2</v>
      </c>
      <c r="O1013" t="str">
        <f>IF(Transactions_RAW_cleaned[[#This Row],[Status]]="Completed", IFERROR(_xlfn.XLOOKUP(Transactions_RAW_cleaned[[#This Row],[CustomerID]], Customers_cleaned[CustomerID], Customers_cleaned[Segment]), "Customer Not Found"), "N/A")</f>
        <v>Enterprise</v>
      </c>
      <c r="P1013" s="5" t="str">
        <f>IF(Transactions_RAW_cleaned[[#This Row],[Status]]="Refunded", "Refund",
  IF(Transactions_RAW_cleaned[[#This Row],[Category]]="Payments", IF(Transactions_RAW_cleaned[[#This Row],[Amount]]&gt;500,"High Value","Standard"),
    IF(Transactions_RAW_cleaned[[#This Row],[Amount]]&gt;250,"High Value","Standard")))</f>
        <v>Standard</v>
      </c>
      <c r="Q1013" s="5" t="str">
        <f>IF(Transactions_RAW_cleaned[[#This Row],[Amount]] &gt; (_xlfn.XLOOKUP(Transactions_RAW_cleaned[[#This Row],[ServiceID]],Services_cleaned[ServiceID],Services_cleaned[TransactionFeePct]) * 10000), "Yes", "No")</f>
        <v>No</v>
      </c>
      <c r="R1013" s="5" t="str">
        <f>IF(COUNTIFS($C$2:Transactions_RAW_cleaned[[#This Row],[CustomerID]],Transactions_RAW_cleaned[[#This Row],[CustomerID]],$D$2:Transactions_RAW_cleaned[[#This Row],[ServiceID]],Transactions_RAW_cleaned[[#This Row],[ServiceID]])=1,"Yes","No")</f>
        <v>No</v>
      </c>
      <c r="S101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13" t="str">
        <f>"Q"&amp;ROUNDUP(MONTH(Transactions_RAW_cleaned[[#This Row],[TransactionDate]])/3,0)</f>
        <v>Q3</v>
      </c>
      <c r="U1013" t="str">
        <f>Transactions_RAW_cleaned[[#This Row],[Region ]]&amp;Transactions_RAW_cleaned[[#This Row],[Quarter ]]</f>
        <v>APACQ3</v>
      </c>
      <c r="V1013" s="5">
        <f>_xlfn.XLOOKUP(Transactions_RAW_cleaned[[#This Row],[RegionQuarterKey]], Quarterly_Targets_cleaned[RegionQuarterKey], Quarterly_Targets_cleaned[TargetRevenue])</f>
        <v>115500</v>
      </c>
    </row>
    <row r="1014" spans="1:22" x14ac:dyDescent="0.25">
      <c r="A1014" t="s">
        <v>1347</v>
      </c>
      <c r="B1014" s="1">
        <v>45463</v>
      </c>
      <c r="C1014" t="s">
        <v>60</v>
      </c>
      <c r="D1014" t="s">
        <v>303</v>
      </c>
      <c r="E1014">
        <v>162.19999999999999</v>
      </c>
      <c r="F1014" t="s">
        <v>324</v>
      </c>
      <c r="G1014" t="s">
        <v>337</v>
      </c>
      <c r="H1014" t="s">
        <v>334</v>
      </c>
      <c r="I1014" t="s">
        <v>8</v>
      </c>
      <c r="J1014" t="s">
        <v>13</v>
      </c>
      <c r="K1014" t="s">
        <v>14</v>
      </c>
      <c r="L1014" t="s">
        <v>304</v>
      </c>
      <c r="M1014" t="s">
        <v>305</v>
      </c>
      <c r="N1014">
        <v>1E-3</v>
      </c>
      <c r="O1014" t="str">
        <f>IF(Transactions_RAW_cleaned[[#This Row],[Status]]="Completed", IFERROR(_xlfn.XLOOKUP(Transactions_RAW_cleaned[[#This Row],[CustomerID]], Customers_cleaned[CustomerID], Customers_cleaned[Segment]), "Customer Not Found"), "N/A")</f>
        <v>SMB</v>
      </c>
      <c r="P1014" s="5" t="str">
        <f>IF(Transactions_RAW_cleaned[[#This Row],[Status]]="Refunded", "Refund",
  IF(Transactions_RAW_cleaned[[#This Row],[Category]]="Payments", IF(Transactions_RAW_cleaned[[#This Row],[Amount]]&gt;500,"High Value","Standard"),
    IF(Transactions_RAW_cleaned[[#This Row],[Amount]]&gt;250,"High Value","Standard")))</f>
        <v>Standard</v>
      </c>
      <c r="Q1014" s="5" t="str">
        <f>IF(Transactions_RAW_cleaned[[#This Row],[Amount]] &gt; (_xlfn.XLOOKUP(Transactions_RAW_cleaned[[#This Row],[ServiceID]],Services_cleaned[ServiceID],Services_cleaned[TransactionFeePct]) * 10000), "Yes", "No")</f>
        <v>Yes</v>
      </c>
      <c r="R1014" s="5" t="str">
        <f>IF(COUNTIFS($C$2:Transactions_RAW_cleaned[[#This Row],[CustomerID]],Transactions_RAW_cleaned[[#This Row],[CustomerID]],$D$2:Transactions_RAW_cleaned[[#This Row],[ServiceID]],Transactions_RAW_cleaned[[#This Row],[ServiceID]])=1,"Yes","No")</f>
        <v>No</v>
      </c>
      <c r="S101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14" t="str">
        <f>"Q"&amp;ROUNDUP(MONTH(Transactions_RAW_cleaned[[#This Row],[TransactionDate]])/3,0)</f>
        <v>Q2</v>
      </c>
      <c r="U1014" t="str">
        <f>Transactions_RAW_cleaned[[#This Row],[Region ]]&amp;Transactions_RAW_cleaned[[#This Row],[Quarter ]]</f>
        <v>NAQ2</v>
      </c>
      <c r="V1014" s="5">
        <f>_xlfn.XLOOKUP(Transactions_RAW_cleaned[[#This Row],[RegionQuarterKey]], Quarterly_Targets_cleaned[RegionQuarterKey], Quarterly_Targets_cleaned[TargetRevenue])</f>
        <v>260000</v>
      </c>
    </row>
    <row r="1015" spans="1:22" x14ac:dyDescent="0.25">
      <c r="A1015" t="s">
        <v>1348</v>
      </c>
      <c r="B1015" s="1">
        <v>45307</v>
      </c>
      <c r="C1015" t="s">
        <v>197</v>
      </c>
      <c r="D1015" t="s">
        <v>315</v>
      </c>
      <c r="E1015">
        <v>458.9</v>
      </c>
      <c r="F1015" t="s">
        <v>324</v>
      </c>
      <c r="G1015" t="s">
        <v>327</v>
      </c>
      <c r="I1015" t="s">
        <v>8</v>
      </c>
      <c r="J1015" t="s">
        <v>46</v>
      </c>
      <c r="K1015" t="s">
        <v>14</v>
      </c>
      <c r="L1015" t="s">
        <v>316</v>
      </c>
      <c r="M1015" t="s">
        <v>305</v>
      </c>
      <c r="N1015">
        <v>2.5000000000000001E-3</v>
      </c>
      <c r="O1015" t="str">
        <f>IF(Transactions_RAW_cleaned[[#This Row],[Status]]="Completed", IFERROR(_xlfn.XLOOKUP(Transactions_RAW_cleaned[[#This Row],[CustomerID]], Customers_cleaned[CustomerID], Customers_cleaned[Segment]), "Customer Not Found"), "N/A")</f>
        <v>SMB</v>
      </c>
      <c r="P1015" s="5" t="str">
        <f>IF(Transactions_RAW_cleaned[[#This Row],[Status]]="Refunded", "Refund",
  IF(Transactions_RAW_cleaned[[#This Row],[Category]]="Payments", IF(Transactions_RAW_cleaned[[#This Row],[Amount]]&gt;500,"High Value","Standard"),
    IF(Transactions_RAW_cleaned[[#This Row],[Amount]]&gt;250,"High Value","Standard")))</f>
        <v>High Value</v>
      </c>
      <c r="Q1015" s="5" t="str">
        <f>IF(Transactions_RAW_cleaned[[#This Row],[Amount]] &gt; (_xlfn.XLOOKUP(Transactions_RAW_cleaned[[#This Row],[ServiceID]],Services_cleaned[ServiceID],Services_cleaned[TransactionFeePct]) * 10000), "Yes", "No")</f>
        <v>Yes</v>
      </c>
      <c r="R1015" s="5" t="str">
        <f>IF(COUNTIFS($C$2:Transactions_RAW_cleaned[[#This Row],[CustomerID]],Transactions_RAW_cleaned[[#This Row],[CustomerID]],$D$2:Transactions_RAW_cleaned[[#This Row],[ServiceID]],Transactions_RAW_cleaned[[#This Row],[ServiceID]])=1,"Yes","No")</f>
        <v>Yes</v>
      </c>
      <c r="S101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15" t="str">
        <f>"Q"&amp;ROUNDUP(MONTH(Transactions_RAW_cleaned[[#This Row],[TransactionDate]])/3,0)</f>
        <v>Q1</v>
      </c>
      <c r="U1015" t="str">
        <f>Transactions_RAW_cleaned[[#This Row],[Region ]]&amp;Transactions_RAW_cleaned[[#This Row],[Quarter ]]</f>
        <v>APACQ1</v>
      </c>
      <c r="V1015" s="5">
        <f>_xlfn.XLOOKUP(Transactions_RAW_cleaned[[#This Row],[RegionQuarterKey]], Quarterly_Targets_cleaned[RegionQuarterKey], Quarterly_Targets_cleaned[TargetRevenue])</f>
        <v>104500</v>
      </c>
    </row>
    <row r="1016" spans="1:22" x14ac:dyDescent="0.25">
      <c r="A1016" t="s">
        <v>1349</v>
      </c>
      <c r="B1016" s="1">
        <v>45339</v>
      </c>
      <c r="C1016" t="s">
        <v>185</v>
      </c>
      <c r="D1016" t="s">
        <v>303</v>
      </c>
      <c r="E1016">
        <v>212.65</v>
      </c>
      <c r="F1016" t="s">
        <v>324</v>
      </c>
      <c r="G1016" t="s">
        <v>329</v>
      </c>
      <c r="I1016" t="s">
        <v>17</v>
      </c>
      <c r="J1016" t="s">
        <v>13</v>
      </c>
      <c r="K1016" t="s">
        <v>32</v>
      </c>
      <c r="L1016" t="s">
        <v>304</v>
      </c>
      <c r="M1016" t="s">
        <v>305</v>
      </c>
      <c r="N1016">
        <v>1E-3</v>
      </c>
      <c r="O1016" t="str">
        <f>IF(Transactions_RAW_cleaned[[#This Row],[Status]]="Completed", IFERROR(_xlfn.XLOOKUP(Transactions_RAW_cleaned[[#This Row],[CustomerID]], Customers_cleaned[CustomerID], Customers_cleaned[Segment]), "Customer Not Found"), "N/A")</f>
        <v>Enterprise</v>
      </c>
      <c r="P1016" s="5" t="str">
        <f>IF(Transactions_RAW_cleaned[[#This Row],[Status]]="Refunded", "Refund",
  IF(Transactions_RAW_cleaned[[#This Row],[Category]]="Payments", IF(Transactions_RAW_cleaned[[#This Row],[Amount]]&gt;500,"High Value","Standard"),
    IF(Transactions_RAW_cleaned[[#This Row],[Amount]]&gt;250,"High Value","Standard")))</f>
        <v>Standard</v>
      </c>
      <c r="Q1016" s="5" t="str">
        <f>IF(Transactions_RAW_cleaned[[#This Row],[Amount]] &gt; (_xlfn.XLOOKUP(Transactions_RAW_cleaned[[#This Row],[ServiceID]],Services_cleaned[ServiceID],Services_cleaned[TransactionFeePct]) * 10000), "Yes", "No")</f>
        <v>Yes</v>
      </c>
      <c r="R1016" s="5" t="str">
        <f>IF(COUNTIFS($C$2:Transactions_RAW_cleaned[[#This Row],[CustomerID]],Transactions_RAW_cleaned[[#This Row],[CustomerID]],$D$2:Transactions_RAW_cleaned[[#This Row],[ServiceID]],Transactions_RAW_cleaned[[#This Row],[ServiceID]])=1,"Yes","No")</f>
        <v>Yes</v>
      </c>
      <c r="S101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16" t="str">
        <f>"Q"&amp;ROUNDUP(MONTH(Transactions_RAW_cleaned[[#This Row],[TransactionDate]])/3,0)</f>
        <v>Q1</v>
      </c>
      <c r="U1016" t="str">
        <f>Transactions_RAW_cleaned[[#This Row],[Region ]]&amp;Transactions_RAW_cleaned[[#This Row],[Quarter ]]</f>
        <v>NAQ1</v>
      </c>
      <c r="V1016" s="5">
        <f>_xlfn.XLOOKUP(Transactions_RAW_cleaned[[#This Row],[RegionQuarterKey]], Quarterly_Targets_cleaned[RegionQuarterKey], Quarterly_Targets_cleaned[TargetRevenue])</f>
        <v>247000</v>
      </c>
    </row>
    <row r="1017" spans="1:22" x14ac:dyDescent="0.25">
      <c r="A1017" t="s">
        <v>1350</v>
      </c>
      <c r="B1017" s="1">
        <v>45644</v>
      </c>
      <c r="C1017" t="s">
        <v>235</v>
      </c>
      <c r="D1017" t="s">
        <v>297</v>
      </c>
      <c r="E1017">
        <v>121.42</v>
      </c>
      <c r="F1017" t="s">
        <v>324</v>
      </c>
      <c r="G1017" t="s">
        <v>325</v>
      </c>
      <c r="I1017" t="s">
        <v>57</v>
      </c>
      <c r="J1017" t="s">
        <v>21</v>
      </c>
      <c r="K1017" t="s">
        <v>22</v>
      </c>
      <c r="L1017" t="s">
        <v>298</v>
      </c>
      <c r="M1017" t="s">
        <v>299</v>
      </c>
      <c r="N1017">
        <v>0</v>
      </c>
      <c r="O1017" t="str">
        <f>IF(Transactions_RAW_cleaned[[#This Row],[Status]]="Completed", IFERROR(_xlfn.XLOOKUP(Transactions_RAW_cleaned[[#This Row],[CustomerID]], Customers_cleaned[CustomerID], Customers_cleaned[Segment]), "Customer Not Found"), "N/A")</f>
        <v>Startup</v>
      </c>
      <c r="P1017" s="5" t="str">
        <f>IF(Transactions_RAW_cleaned[[#This Row],[Status]]="Refunded", "Refund",
  IF(Transactions_RAW_cleaned[[#This Row],[Category]]="Payments", IF(Transactions_RAW_cleaned[[#This Row],[Amount]]&gt;500,"High Value","Standard"),
    IF(Transactions_RAW_cleaned[[#This Row],[Amount]]&gt;250,"High Value","Standard")))</f>
        <v>Standard</v>
      </c>
      <c r="Q1017" s="5" t="str">
        <f>IF(Transactions_RAW_cleaned[[#This Row],[Amount]] &gt; (_xlfn.XLOOKUP(Transactions_RAW_cleaned[[#This Row],[ServiceID]],Services_cleaned[ServiceID],Services_cleaned[TransactionFeePct]) * 10000), "Yes", "No")</f>
        <v>Yes</v>
      </c>
      <c r="R1017" s="5" t="str">
        <f>IF(COUNTIFS($C$2:Transactions_RAW_cleaned[[#This Row],[CustomerID]],Transactions_RAW_cleaned[[#This Row],[CustomerID]],$D$2:Transactions_RAW_cleaned[[#This Row],[ServiceID]],Transactions_RAW_cleaned[[#This Row],[ServiceID]])=1,"Yes","No")</f>
        <v>Yes</v>
      </c>
      <c r="S101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17" t="str">
        <f>"Q"&amp;ROUNDUP(MONTH(Transactions_RAW_cleaned[[#This Row],[TransactionDate]])/3,0)</f>
        <v>Q4</v>
      </c>
      <c r="U1017" t="str">
        <f>Transactions_RAW_cleaned[[#This Row],[Region ]]&amp;Transactions_RAW_cleaned[[#This Row],[Quarter ]]</f>
        <v>APACQ4</v>
      </c>
      <c r="V1017" s="5">
        <f>_xlfn.XLOOKUP(Transactions_RAW_cleaned[[#This Row],[RegionQuarterKey]], Quarterly_Targets_cleaned[RegionQuarterKey], Quarterly_Targets_cleaned[TargetRevenue])</f>
        <v>126500</v>
      </c>
    </row>
    <row r="1018" spans="1:22" x14ac:dyDescent="0.25">
      <c r="A1018" t="s">
        <v>1351</v>
      </c>
      <c r="B1018" s="1">
        <v>45350</v>
      </c>
      <c r="C1018" t="s">
        <v>51</v>
      </c>
      <c r="D1018" t="s">
        <v>312</v>
      </c>
      <c r="E1018">
        <v>222.4</v>
      </c>
      <c r="F1018" t="s">
        <v>324</v>
      </c>
      <c r="G1018" t="s">
        <v>327</v>
      </c>
      <c r="H1018" t="s">
        <v>346</v>
      </c>
      <c r="I1018" t="s">
        <v>8</v>
      </c>
      <c r="J1018" t="s">
        <v>31</v>
      </c>
      <c r="K1018" t="s">
        <v>14</v>
      </c>
      <c r="L1018" t="s">
        <v>313</v>
      </c>
      <c r="M1018" t="s">
        <v>314</v>
      </c>
      <c r="N1018">
        <v>0</v>
      </c>
      <c r="O1018" t="str">
        <f>IF(Transactions_RAW_cleaned[[#This Row],[Status]]="Completed", IFERROR(_xlfn.XLOOKUP(Transactions_RAW_cleaned[[#This Row],[CustomerID]], Customers_cleaned[CustomerID], Customers_cleaned[Segment]), "Customer Not Found"), "N/A")</f>
        <v>SMB</v>
      </c>
      <c r="P1018" s="5" t="str">
        <f>IF(Transactions_RAW_cleaned[[#This Row],[Status]]="Refunded", "Refund",
  IF(Transactions_RAW_cleaned[[#This Row],[Category]]="Payments", IF(Transactions_RAW_cleaned[[#This Row],[Amount]]&gt;500,"High Value","Standard"),
    IF(Transactions_RAW_cleaned[[#This Row],[Amount]]&gt;250,"High Value","Standard")))</f>
        <v>Standard</v>
      </c>
      <c r="Q1018" s="5" t="str">
        <f>IF(Transactions_RAW_cleaned[[#This Row],[Amount]] &gt; (_xlfn.XLOOKUP(Transactions_RAW_cleaned[[#This Row],[ServiceID]],Services_cleaned[ServiceID],Services_cleaned[TransactionFeePct]) * 10000), "Yes", "No")</f>
        <v>Yes</v>
      </c>
      <c r="R1018" s="5" t="str">
        <f>IF(COUNTIFS($C$2:Transactions_RAW_cleaned[[#This Row],[CustomerID]],Transactions_RAW_cleaned[[#This Row],[CustomerID]],$D$2:Transactions_RAW_cleaned[[#This Row],[ServiceID]],Transactions_RAW_cleaned[[#This Row],[ServiceID]])=1,"Yes","No")</f>
        <v>Yes</v>
      </c>
      <c r="S101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018" t="str">
        <f>"Q"&amp;ROUNDUP(MONTH(Transactions_RAW_cleaned[[#This Row],[TransactionDate]])/3,0)</f>
        <v>Q1</v>
      </c>
      <c r="U1018" t="str">
        <f>Transactions_RAW_cleaned[[#This Row],[Region ]]&amp;Transactions_RAW_cleaned[[#This Row],[Quarter ]]</f>
        <v>EMEAQ1</v>
      </c>
      <c r="V1018" s="5">
        <f>_xlfn.XLOOKUP(Transactions_RAW_cleaned[[#This Row],[RegionQuarterKey]], Quarterly_Targets_cleaned[RegionQuarterKey], Quarterly_Targets_cleaned[TargetRevenue])</f>
        <v>133000</v>
      </c>
    </row>
    <row r="1019" spans="1:22" x14ac:dyDescent="0.25">
      <c r="A1019" t="s">
        <v>1352</v>
      </c>
      <c r="B1019" s="1">
        <v>45585</v>
      </c>
      <c r="C1019" t="s">
        <v>243</v>
      </c>
      <c r="D1019" t="s">
        <v>294</v>
      </c>
      <c r="E1019">
        <v>276.39</v>
      </c>
      <c r="F1019" t="s">
        <v>324</v>
      </c>
      <c r="G1019" t="s">
        <v>327</v>
      </c>
      <c r="I1019" t="s">
        <v>17</v>
      </c>
      <c r="J1019" t="s">
        <v>13</v>
      </c>
      <c r="K1019" t="s">
        <v>28</v>
      </c>
      <c r="L1019" t="s">
        <v>295</v>
      </c>
      <c r="M1019" t="s">
        <v>296</v>
      </c>
      <c r="N1019">
        <v>2.9000000000000001E-2</v>
      </c>
      <c r="O1019" t="str">
        <f>IF(Transactions_RAW_cleaned[[#This Row],[Status]]="Completed", IFERROR(_xlfn.XLOOKUP(Transactions_RAW_cleaned[[#This Row],[CustomerID]], Customers_cleaned[CustomerID], Customers_cleaned[Segment]), "Customer Not Found"), "N/A")</f>
        <v>Enterprise</v>
      </c>
      <c r="P1019" s="5" t="str">
        <f>IF(Transactions_RAW_cleaned[[#This Row],[Status]]="Refunded", "Refund",
  IF(Transactions_RAW_cleaned[[#This Row],[Category]]="Payments", IF(Transactions_RAW_cleaned[[#This Row],[Amount]]&gt;500,"High Value","Standard"),
    IF(Transactions_RAW_cleaned[[#This Row],[Amount]]&gt;250,"High Value","Standard")))</f>
        <v>Standard</v>
      </c>
      <c r="Q1019" s="5" t="str">
        <f>IF(Transactions_RAW_cleaned[[#This Row],[Amount]] &gt; (_xlfn.XLOOKUP(Transactions_RAW_cleaned[[#This Row],[ServiceID]],Services_cleaned[ServiceID],Services_cleaned[TransactionFeePct]) * 10000), "Yes", "No")</f>
        <v>No</v>
      </c>
      <c r="R1019" s="5" t="str">
        <f>IF(COUNTIFS($C$2:Transactions_RAW_cleaned[[#This Row],[CustomerID]],Transactions_RAW_cleaned[[#This Row],[CustomerID]],$D$2:Transactions_RAW_cleaned[[#This Row],[ServiceID]],Transactions_RAW_cleaned[[#This Row],[ServiceID]])=1,"Yes","No")</f>
        <v>No</v>
      </c>
      <c r="S101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19" t="str">
        <f>"Q"&amp;ROUNDUP(MONTH(Transactions_RAW_cleaned[[#This Row],[TransactionDate]])/3,0)</f>
        <v>Q4</v>
      </c>
      <c r="U1019" t="str">
        <f>Transactions_RAW_cleaned[[#This Row],[Region ]]&amp;Transactions_RAW_cleaned[[#This Row],[Quarter ]]</f>
        <v>NAQ4</v>
      </c>
      <c r="V1019" s="5">
        <f>_xlfn.XLOOKUP(Transactions_RAW_cleaned[[#This Row],[RegionQuarterKey]], Quarterly_Targets_cleaned[RegionQuarterKey], Quarterly_Targets_cleaned[TargetRevenue])</f>
        <v>299000</v>
      </c>
    </row>
    <row r="1020" spans="1:22" x14ac:dyDescent="0.25">
      <c r="A1020" t="s">
        <v>1353</v>
      </c>
      <c r="B1020" s="1">
        <v>45437</v>
      </c>
      <c r="C1020" t="s">
        <v>113</v>
      </c>
      <c r="D1020" t="s">
        <v>306</v>
      </c>
      <c r="E1020">
        <v>205.9</v>
      </c>
      <c r="F1020" t="s">
        <v>324</v>
      </c>
      <c r="G1020" t="s">
        <v>327</v>
      </c>
      <c r="H1020" t="s">
        <v>346</v>
      </c>
      <c r="I1020" t="s">
        <v>57</v>
      </c>
      <c r="J1020" t="s">
        <v>46</v>
      </c>
      <c r="K1020" t="s">
        <v>10</v>
      </c>
      <c r="L1020" t="s">
        <v>307</v>
      </c>
      <c r="M1020" t="s">
        <v>308</v>
      </c>
      <c r="N1020">
        <v>0</v>
      </c>
      <c r="O1020" t="str">
        <f>IF(Transactions_RAW_cleaned[[#This Row],[Status]]="Completed", IFERROR(_xlfn.XLOOKUP(Transactions_RAW_cleaned[[#This Row],[CustomerID]], Customers_cleaned[CustomerID], Customers_cleaned[Segment]), "Customer Not Found"), "N/A")</f>
        <v>Startup</v>
      </c>
      <c r="P1020" s="5" t="str">
        <f>IF(Transactions_RAW_cleaned[[#This Row],[Status]]="Refunded", "Refund",
  IF(Transactions_RAW_cleaned[[#This Row],[Category]]="Payments", IF(Transactions_RAW_cleaned[[#This Row],[Amount]]&gt;500,"High Value","Standard"),
    IF(Transactions_RAW_cleaned[[#This Row],[Amount]]&gt;250,"High Value","Standard")))</f>
        <v>Standard</v>
      </c>
      <c r="Q1020" s="5" t="str">
        <f>IF(Transactions_RAW_cleaned[[#This Row],[Amount]] &gt; (_xlfn.XLOOKUP(Transactions_RAW_cleaned[[#This Row],[ServiceID]],Services_cleaned[ServiceID],Services_cleaned[TransactionFeePct]) * 10000), "Yes", "No")</f>
        <v>Yes</v>
      </c>
      <c r="R1020" s="5" t="str">
        <f>IF(COUNTIFS($C$2:Transactions_RAW_cleaned[[#This Row],[CustomerID]],Transactions_RAW_cleaned[[#This Row],[CustomerID]],$D$2:Transactions_RAW_cleaned[[#This Row],[ServiceID]],Transactions_RAW_cleaned[[#This Row],[ServiceID]])=1,"Yes","No")</f>
        <v>Yes</v>
      </c>
      <c r="S102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20" t="str">
        <f>"Q"&amp;ROUNDUP(MONTH(Transactions_RAW_cleaned[[#This Row],[TransactionDate]])/3,0)</f>
        <v>Q2</v>
      </c>
      <c r="U1020" t="str">
        <f>Transactions_RAW_cleaned[[#This Row],[Region ]]&amp;Transactions_RAW_cleaned[[#This Row],[Quarter ]]</f>
        <v>APACQ2</v>
      </c>
      <c r="V1020" s="5">
        <f>_xlfn.XLOOKUP(Transactions_RAW_cleaned[[#This Row],[RegionQuarterKey]], Quarterly_Targets_cleaned[RegionQuarterKey], Quarterly_Targets_cleaned[TargetRevenue])</f>
        <v>110000</v>
      </c>
    </row>
    <row r="1021" spans="1:22" x14ac:dyDescent="0.25">
      <c r="A1021" t="s">
        <v>1354</v>
      </c>
      <c r="B1021" s="1">
        <v>45468</v>
      </c>
      <c r="C1021" t="s">
        <v>107</v>
      </c>
      <c r="D1021" t="s">
        <v>294</v>
      </c>
      <c r="E1021">
        <v>184.65</v>
      </c>
      <c r="F1021" t="s">
        <v>324</v>
      </c>
      <c r="G1021" t="s">
        <v>325</v>
      </c>
      <c r="H1021" t="s">
        <v>346</v>
      </c>
      <c r="I1021" t="s">
        <v>17</v>
      </c>
      <c r="J1021" t="s">
        <v>102</v>
      </c>
      <c r="K1021" t="s">
        <v>22</v>
      </c>
      <c r="L1021" t="s">
        <v>295</v>
      </c>
      <c r="M1021" t="s">
        <v>296</v>
      </c>
      <c r="N1021">
        <v>2.9000000000000001E-2</v>
      </c>
      <c r="O1021" t="str">
        <f>IF(Transactions_RAW_cleaned[[#This Row],[Status]]="Completed", IFERROR(_xlfn.XLOOKUP(Transactions_RAW_cleaned[[#This Row],[CustomerID]], Customers_cleaned[CustomerID], Customers_cleaned[Segment]), "Customer Not Found"), "N/A")</f>
        <v>Enterprise</v>
      </c>
      <c r="P1021" s="5" t="str">
        <f>IF(Transactions_RAW_cleaned[[#This Row],[Status]]="Refunded", "Refund",
  IF(Transactions_RAW_cleaned[[#This Row],[Category]]="Payments", IF(Transactions_RAW_cleaned[[#This Row],[Amount]]&gt;500,"High Value","Standard"),
    IF(Transactions_RAW_cleaned[[#This Row],[Amount]]&gt;250,"High Value","Standard")))</f>
        <v>Standard</v>
      </c>
      <c r="Q1021" s="5" t="str">
        <f>IF(Transactions_RAW_cleaned[[#This Row],[Amount]] &gt; (_xlfn.XLOOKUP(Transactions_RAW_cleaned[[#This Row],[ServiceID]],Services_cleaned[ServiceID],Services_cleaned[TransactionFeePct]) * 10000), "Yes", "No")</f>
        <v>No</v>
      </c>
      <c r="R1021" s="5" t="str">
        <f>IF(COUNTIFS($C$2:Transactions_RAW_cleaned[[#This Row],[CustomerID]],Transactions_RAW_cleaned[[#This Row],[CustomerID]],$D$2:Transactions_RAW_cleaned[[#This Row],[ServiceID]],Transactions_RAW_cleaned[[#This Row],[ServiceID]])=1,"Yes","No")</f>
        <v>No</v>
      </c>
      <c r="S102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21" t="str">
        <f>"Q"&amp;ROUNDUP(MONTH(Transactions_RAW_cleaned[[#This Row],[TransactionDate]])/3,0)</f>
        <v>Q2</v>
      </c>
      <c r="U1021" t="str">
        <f>Transactions_RAW_cleaned[[#This Row],[Region ]]&amp;Transactions_RAW_cleaned[[#This Row],[Quarter ]]</f>
        <v>NAQ2</v>
      </c>
      <c r="V1021" s="5">
        <f>_xlfn.XLOOKUP(Transactions_RAW_cleaned[[#This Row],[RegionQuarterKey]], Quarterly_Targets_cleaned[RegionQuarterKey], Quarterly_Targets_cleaned[TargetRevenue])</f>
        <v>260000</v>
      </c>
    </row>
    <row r="1022" spans="1:22" x14ac:dyDescent="0.25">
      <c r="A1022" t="s">
        <v>1355</v>
      </c>
      <c r="B1022" s="1">
        <v>45471</v>
      </c>
      <c r="C1022" t="s">
        <v>96</v>
      </c>
      <c r="D1022" t="s">
        <v>294</v>
      </c>
      <c r="E1022">
        <v>253.65</v>
      </c>
      <c r="F1022" t="s">
        <v>324</v>
      </c>
      <c r="G1022" t="s">
        <v>327</v>
      </c>
      <c r="H1022" t="s">
        <v>346</v>
      </c>
      <c r="I1022" t="s">
        <v>17</v>
      </c>
      <c r="J1022" t="s">
        <v>31</v>
      </c>
      <c r="K1022" t="s">
        <v>14</v>
      </c>
      <c r="L1022" t="s">
        <v>295</v>
      </c>
      <c r="M1022" t="s">
        <v>296</v>
      </c>
      <c r="N1022">
        <v>2.9000000000000001E-2</v>
      </c>
      <c r="O1022" t="str">
        <f>IF(Transactions_RAW_cleaned[[#This Row],[Status]]="Completed", IFERROR(_xlfn.XLOOKUP(Transactions_RAW_cleaned[[#This Row],[CustomerID]], Customers_cleaned[CustomerID], Customers_cleaned[Segment]), "Customer Not Found"), "N/A")</f>
        <v>Enterprise</v>
      </c>
      <c r="P1022" s="5" t="str">
        <f>IF(Transactions_RAW_cleaned[[#This Row],[Status]]="Refunded", "Refund",
  IF(Transactions_RAW_cleaned[[#This Row],[Category]]="Payments", IF(Transactions_RAW_cleaned[[#This Row],[Amount]]&gt;500,"High Value","Standard"),
    IF(Transactions_RAW_cleaned[[#This Row],[Amount]]&gt;250,"High Value","Standard")))</f>
        <v>Standard</v>
      </c>
      <c r="Q1022" s="5" t="str">
        <f>IF(Transactions_RAW_cleaned[[#This Row],[Amount]] &gt; (_xlfn.XLOOKUP(Transactions_RAW_cleaned[[#This Row],[ServiceID]],Services_cleaned[ServiceID],Services_cleaned[TransactionFeePct]) * 10000), "Yes", "No")</f>
        <v>No</v>
      </c>
      <c r="R1022" s="5" t="str">
        <f>IF(COUNTIFS($C$2:Transactions_RAW_cleaned[[#This Row],[CustomerID]],Transactions_RAW_cleaned[[#This Row],[CustomerID]],$D$2:Transactions_RAW_cleaned[[#This Row],[ServiceID]],Transactions_RAW_cleaned[[#This Row],[ServiceID]])=1,"Yes","No")</f>
        <v>No</v>
      </c>
      <c r="S102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022" t="str">
        <f>"Q"&amp;ROUNDUP(MONTH(Transactions_RAW_cleaned[[#This Row],[TransactionDate]])/3,0)</f>
        <v>Q2</v>
      </c>
      <c r="U1022" t="str">
        <f>Transactions_RAW_cleaned[[#This Row],[Region ]]&amp;Transactions_RAW_cleaned[[#This Row],[Quarter ]]</f>
        <v>EMEAQ2</v>
      </c>
      <c r="V1022" s="5">
        <f>_xlfn.XLOOKUP(Transactions_RAW_cleaned[[#This Row],[RegionQuarterKey]], Quarterly_Targets_cleaned[RegionQuarterKey], Quarterly_Targets_cleaned[TargetRevenue])</f>
        <v>140000</v>
      </c>
    </row>
    <row r="1023" spans="1:22" x14ac:dyDescent="0.25">
      <c r="A1023" t="s">
        <v>1356</v>
      </c>
      <c r="B1023" s="1">
        <v>45439</v>
      </c>
      <c r="C1023" t="s">
        <v>161</v>
      </c>
      <c r="D1023" t="s">
        <v>312</v>
      </c>
      <c r="E1023">
        <v>337.33</v>
      </c>
      <c r="F1023" t="s">
        <v>324</v>
      </c>
      <c r="G1023" t="s">
        <v>327</v>
      </c>
      <c r="H1023" t="s">
        <v>346</v>
      </c>
      <c r="I1023" t="s">
        <v>8</v>
      </c>
      <c r="J1023" t="s">
        <v>21</v>
      </c>
      <c r="K1023" t="s">
        <v>22</v>
      </c>
      <c r="L1023" t="s">
        <v>313</v>
      </c>
      <c r="M1023" t="s">
        <v>314</v>
      </c>
      <c r="N1023">
        <v>0</v>
      </c>
      <c r="O1023" t="str">
        <f>IF(Transactions_RAW_cleaned[[#This Row],[Status]]="Completed", IFERROR(_xlfn.XLOOKUP(Transactions_RAW_cleaned[[#This Row],[CustomerID]], Customers_cleaned[CustomerID], Customers_cleaned[Segment]), "Customer Not Found"), "N/A")</f>
        <v>SMB</v>
      </c>
      <c r="P1023" s="5" t="str">
        <f>IF(Transactions_RAW_cleaned[[#This Row],[Status]]="Refunded", "Refund",
  IF(Transactions_RAW_cleaned[[#This Row],[Category]]="Payments", IF(Transactions_RAW_cleaned[[#This Row],[Amount]]&gt;500,"High Value","Standard"),
    IF(Transactions_RAW_cleaned[[#This Row],[Amount]]&gt;250,"High Value","Standard")))</f>
        <v>High Value</v>
      </c>
      <c r="Q1023" s="5" t="str">
        <f>IF(Transactions_RAW_cleaned[[#This Row],[Amount]] &gt; (_xlfn.XLOOKUP(Transactions_RAW_cleaned[[#This Row],[ServiceID]],Services_cleaned[ServiceID],Services_cleaned[TransactionFeePct]) * 10000), "Yes", "No")</f>
        <v>Yes</v>
      </c>
      <c r="R1023" s="5" t="str">
        <f>IF(COUNTIFS($C$2:Transactions_RAW_cleaned[[#This Row],[CustomerID]],Transactions_RAW_cleaned[[#This Row],[CustomerID]],$D$2:Transactions_RAW_cleaned[[#This Row],[ServiceID]],Transactions_RAW_cleaned[[#This Row],[ServiceID]])=1,"Yes","No")</f>
        <v>Yes</v>
      </c>
      <c r="S102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23" t="str">
        <f>"Q"&amp;ROUNDUP(MONTH(Transactions_RAW_cleaned[[#This Row],[TransactionDate]])/3,0)</f>
        <v>Q2</v>
      </c>
      <c r="U1023" t="str">
        <f>Transactions_RAW_cleaned[[#This Row],[Region ]]&amp;Transactions_RAW_cleaned[[#This Row],[Quarter ]]</f>
        <v>APACQ2</v>
      </c>
      <c r="V1023" s="5">
        <f>_xlfn.XLOOKUP(Transactions_RAW_cleaned[[#This Row],[RegionQuarterKey]], Quarterly_Targets_cleaned[RegionQuarterKey], Quarterly_Targets_cleaned[TargetRevenue])</f>
        <v>110000</v>
      </c>
    </row>
    <row r="1024" spans="1:22" x14ac:dyDescent="0.25">
      <c r="A1024" t="s">
        <v>1357</v>
      </c>
      <c r="B1024" s="1">
        <v>45329</v>
      </c>
      <c r="C1024" t="s">
        <v>225</v>
      </c>
      <c r="D1024" t="s">
        <v>294</v>
      </c>
      <c r="E1024">
        <v>205.91</v>
      </c>
      <c r="F1024" t="s">
        <v>324</v>
      </c>
      <c r="G1024" t="s">
        <v>327</v>
      </c>
      <c r="H1024" t="s">
        <v>346</v>
      </c>
      <c r="I1024" t="s">
        <v>8</v>
      </c>
      <c r="J1024" t="s">
        <v>21</v>
      </c>
      <c r="K1024" t="s">
        <v>28</v>
      </c>
      <c r="L1024" t="s">
        <v>295</v>
      </c>
      <c r="M1024" t="s">
        <v>296</v>
      </c>
      <c r="N1024">
        <v>2.9000000000000001E-2</v>
      </c>
      <c r="O1024" t="str">
        <f>IF(Transactions_RAW_cleaned[[#This Row],[Status]]="Completed", IFERROR(_xlfn.XLOOKUP(Transactions_RAW_cleaned[[#This Row],[CustomerID]], Customers_cleaned[CustomerID], Customers_cleaned[Segment]), "Customer Not Found"), "N/A")</f>
        <v>SMB</v>
      </c>
      <c r="P1024" s="5" t="str">
        <f>IF(Transactions_RAW_cleaned[[#This Row],[Status]]="Refunded", "Refund",
  IF(Transactions_RAW_cleaned[[#This Row],[Category]]="Payments", IF(Transactions_RAW_cleaned[[#This Row],[Amount]]&gt;500,"High Value","Standard"),
    IF(Transactions_RAW_cleaned[[#This Row],[Amount]]&gt;250,"High Value","Standard")))</f>
        <v>Standard</v>
      </c>
      <c r="Q1024" s="5" t="str">
        <f>IF(Transactions_RAW_cleaned[[#This Row],[Amount]] &gt; (_xlfn.XLOOKUP(Transactions_RAW_cleaned[[#This Row],[ServiceID]],Services_cleaned[ServiceID],Services_cleaned[TransactionFeePct]) * 10000), "Yes", "No")</f>
        <v>No</v>
      </c>
      <c r="R1024" s="5" t="str">
        <f>IF(COUNTIFS($C$2:Transactions_RAW_cleaned[[#This Row],[CustomerID]],Transactions_RAW_cleaned[[#This Row],[CustomerID]],$D$2:Transactions_RAW_cleaned[[#This Row],[ServiceID]],Transactions_RAW_cleaned[[#This Row],[ServiceID]])=1,"Yes","No")</f>
        <v>No</v>
      </c>
      <c r="S102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24" t="str">
        <f>"Q"&amp;ROUNDUP(MONTH(Transactions_RAW_cleaned[[#This Row],[TransactionDate]])/3,0)</f>
        <v>Q1</v>
      </c>
      <c r="U1024" t="str">
        <f>Transactions_RAW_cleaned[[#This Row],[Region ]]&amp;Transactions_RAW_cleaned[[#This Row],[Quarter ]]</f>
        <v>APACQ1</v>
      </c>
      <c r="V1024" s="5">
        <f>_xlfn.XLOOKUP(Transactions_RAW_cleaned[[#This Row],[RegionQuarterKey]], Quarterly_Targets_cleaned[RegionQuarterKey], Quarterly_Targets_cleaned[TargetRevenue])</f>
        <v>104500</v>
      </c>
    </row>
    <row r="1025" spans="1:22" x14ac:dyDescent="0.25">
      <c r="A1025" t="s">
        <v>1358</v>
      </c>
      <c r="B1025" s="1">
        <v>45522</v>
      </c>
      <c r="C1025" t="s">
        <v>243</v>
      </c>
      <c r="D1025" t="s">
        <v>312</v>
      </c>
      <c r="E1025">
        <v>632.30999999999995</v>
      </c>
      <c r="F1025" t="s">
        <v>324</v>
      </c>
      <c r="G1025" t="s">
        <v>337</v>
      </c>
      <c r="I1025" t="s">
        <v>17</v>
      </c>
      <c r="J1025" t="s">
        <v>13</v>
      </c>
      <c r="K1025" t="s">
        <v>28</v>
      </c>
      <c r="L1025" t="s">
        <v>313</v>
      </c>
      <c r="M1025" t="s">
        <v>314</v>
      </c>
      <c r="N1025">
        <v>0</v>
      </c>
      <c r="O1025" t="str">
        <f>IF(Transactions_RAW_cleaned[[#This Row],[Status]]="Completed", IFERROR(_xlfn.XLOOKUP(Transactions_RAW_cleaned[[#This Row],[CustomerID]], Customers_cleaned[CustomerID], Customers_cleaned[Segment]), "Customer Not Found"), "N/A")</f>
        <v>Enterprise</v>
      </c>
      <c r="P1025" s="5" t="str">
        <f>IF(Transactions_RAW_cleaned[[#This Row],[Status]]="Refunded", "Refund",
  IF(Transactions_RAW_cleaned[[#This Row],[Category]]="Payments", IF(Transactions_RAW_cleaned[[#This Row],[Amount]]&gt;500,"High Value","Standard"),
    IF(Transactions_RAW_cleaned[[#This Row],[Amount]]&gt;250,"High Value","Standard")))</f>
        <v>High Value</v>
      </c>
      <c r="Q1025" s="5" t="str">
        <f>IF(Transactions_RAW_cleaned[[#This Row],[Amount]] &gt; (_xlfn.XLOOKUP(Transactions_RAW_cleaned[[#This Row],[ServiceID]],Services_cleaned[ServiceID],Services_cleaned[TransactionFeePct]) * 10000), "Yes", "No")</f>
        <v>Yes</v>
      </c>
      <c r="R1025" s="5" t="str">
        <f>IF(COUNTIFS($C$2:Transactions_RAW_cleaned[[#This Row],[CustomerID]],Transactions_RAW_cleaned[[#This Row],[CustomerID]],$D$2:Transactions_RAW_cleaned[[#This Row],[ServiceID]],Transactions_RAW_cleaned[[#This Row],[ServiceID]])=1,"Yes","No")</f>
        <v>No</v>
      </c>
      <c r="S102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25" t="str">
        <f>"Q"&amp;ROUNDUP(MONTH(Transactions_RAW_cleaned[[#This Row],[TransactionDate]])/3,0)</f>
        <v>Q3</v>
      </c>
      <c r="U1025" t="str">
        <f>Transactions_RAW_cleaned[[#This Row],[Region ]]&amp;Transactions_RAW_cleaned[[#This Row],[Quarter ]]</f>
        <v>NAQ3</v>
      </c>
      <c r="V1025" s="5">
        <f>_xlfn.XLOOKUP(Transactions_RAW_cleaned[[#This Row],[RegionQuarterKey]], Quarterly_Targets_cleaned[RegionQuarterKey], Quarterly_Targets_cleaned[TargetRevenue])</f>
        <v>273000</v>
      </c>
    </row>
    <row r="1026" spans="1:22" x14ac:dyDescent="0.25">
      <c r="A1026" t="s">
        <v>1359</v>
      </c>
      <c r="B1026" s="1">
        <v>45552</v>
      </c>
      <c r="C1026" t="s">
        <v>163</v>
      </c>
      <c r="D1026" t="s">
        <v>312</v>
      </c>
      <c r="E1026">
        <v>-241.63</v>
      </c>
      <c r="F1026" t="s">
        <v>349</v>
      </c>
      <c r="G1026" t="s">
        <v>325</v>
      </c>
      <c r="I1026" t="s">
        <v>17</v>
      </c>
      <c r="J1026" t="s">
        <v>102</v>
      </c>
      <c r="K1026" t="s">
        <v>18</v>
      </c>
      <c r="L1026" t="s">
        <v>313</v>
      </c>
      <c r="M1026" t="s">
        <v>314</v>
      </c>
      <c r="N1026">
        <v>0</v>
      </c>
      <c r="O1026" t="str">
        <f>IF(Transactions_RAW_cleaned[[#This Row],[Status]]="Completed", IFERROR(_xlfn.XLOOKUP(Transactions_RAW_cleaned[[#This Row],[CustomerID]], Customers_cleaned[CustomerID], Customers_cleaned[Segment]), "Customer Not Found"), "N/A")</f>
        <v>N/A</v>
      </c>
      <c r="P1026" s="5" t="str">
        <f>IF(Transactions_RAW_cleaned[[#This Row],[Status]]="Refunded", "Refund",
  IF(Transactions_RAW_cleaned[[#This Row],[Category]]="Payments", IF(Transactions_RAW_cleaned[[#This Row],[Amount]]&gt;500,"High Value","Standard"),
    IF(Transactions_RAW_cleaned[[#This Row],[Amount]]&gt;250,"High Value","Standard")))</f>
        <v>Refund</v>
      </c>
      <c r="Q1026" s="5" t="str">
        <f>IF(Transactions_RAW_cleaned[[#This Row],[Amount]] &gt; (_xlfn.XLOOKUP(Transactions_RAW_cleaned[[#This Row],[ServiceID]],Services_cleaned[ServiceID],Services_cleaned[TransactionFeePct]) * 10000), "Yes", "No")</f>
        <v>No</v>
      </c>
      <c r="R1026" s="5" t="str">
        <f>IF(COUNTIFS($C$2:Transactions_RAW_cleaned[[#This Row],[CustomerID]],Transactions_RAW_cleaned[[#This Row],[CustomerID]],$D$2:Transactions_RAW_cleaned[[#This Row],[ServiceID]],Transactions_RAW_cleaned[[#This Row],[ServiceID]])=1,"Yes","No")</f>
        <v>No</v>
      </c>
      <c r="S102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26" t="str">
        <f>"Q"&amp;ROUNDUP(MONTH(Transactions_RAW_cleaned[[#This Row],[TransactionDate]])/3,0)</f>
        <v>Q3</v>
      </c>
      <c r="U1026" t="str">
        <f>Transactions_RAW_cleaned[[#This Row],[Region ]]&amp;Transactions_RAW_cleaned[[#This Row],[Quarter ]]</f>
        <v>NAQ3</v>
      </c>
      <c r="V1026" s="5">
        <f>_xlfn.XLOOKUP(Transactions_RAW_cleaned[[#This Row],[RegionQuarterKey]], Quarterly_Targets_cleaned[RegionQuarterKey], Quarterly_Targets_cleaned[TargetRevenue])</f>
        <v>273000</v>
      </c>
    </row>
    <row r="1027" spans="1:22" x14ac:dyDescent="0.25">
      <c r="A1027" t="s">
        <v>1360</v>
      </c>
      <c r="B1027" s="1">
        <v>45649</v>
      </c>
      <c r="C1027" t="s">
        <v>249</v>
      </c>
      <c r="D1027" t="s">
        <v>300</v>
      </c>
      <c r="E1027">
        <v>-630.28</v>
      </c>
      <c r="F1027" t="s">
        <v>349</v>
      </c>
      <c r="G1027" t="s">
        <v>325</v>
      </c>
      <c r="I1027" t="s">
        <v>57</v>
      </c>
      <c r="J1027" t="s">
        <v>21</v>
      </c>
      <c r="K1027" t="s">
        <v>14</v>
      </c>
      <c r="L1027" t="s">
        <v>301</v>
      </c>
      <c r="M1027" t="s">
        <v>302</v>
      </c>
      <c r="N1027">
        <v>5.0000000000000001E-3</v>
      </c>
      <c r="O1027" t="str">
        <f>IF(Transactions_RAW_cleaned[[#This Row],[Status]]="Completed", IFERROR(_xlfn.XLOOKUP(Transactions_RAW_cleaned[[#This Row],[CustomerID]], Customers_cleaned[CustomerID], Customers_cleaned[Segment]), "Customer Not Found"), "N/A")</f>
        <v>N/A</v>
      </c>
      <c r="P1027" s="5" t="str">
        <f>IF(Transactions_RAW_cleaned[[#This Row],[Status]]="Refunded", "Refund",
  IF(Transactions_RAW_cleaned[[#This Row],[Category]]="Payments", IF(Transactions_RAW_cleaned[[#This Row],[Amount]]&gt;500,"High Value","Standard"),
    IF(Transactions_RAW_cleaned[[#This Row],[Amount]]&gt;250,"High Value","Standard")))</f>
        <v>Refund</v>
      </c>
      <c r="Q1027" s="5" t="str">
        <f>IF(Transactions_RAW_cleaned[[#This Row],[Amount]] &gt; (_xlfn.XLOOKUP(Transactions_RAW_cleaned[[#This Row],[ServiceID]],Services_cleaned[ServiceID],Services_cleaned[TransactionFeePct]) * 10000), "Yes", "No")</f>
        <v>No</v>
      </c>
      <c r="R1027" s="5" t="str">
        <f>IF(COUNTIFS($C$2:Transactions_RAW_cleaned[[#This Row],[CustomerID]],Transactions_RAW_cleaned[[#This Row],[CustomerID]],$D$2:Transactions_RAW_cleaned[[#This Row],[ServiceID]],Transactions_RAW_cleaned[[#This Row],[ServiceID]])=1,"Yes","No")</f>
        <v>No</v>
      </c>
      <c r="S102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27" t="str">
        <f>"Q"&amp;ROUNDUP(MONTH(Transactions_RAW_cleaned[[#This Row],[TransactionDate]])/3,0)</f>
        <v>Q4</v>
      </c>
      <c r="U1027" t="str">
        <f>Transactions_RAW_cleaned[[#This Row],[Region ]]&amp;Transactions_RAW_cleaned[[#This Row],[Quarter ]]</f>
        <v>APACQ4</v>
      </c>
      <c r="V1027" s="5">
        <f>_xlfn.XLOOKUP(Transactions_RAW_cleaned[[#This Row],[RegionQuarterKey]], Quarterly_Targets_cleaned[RegionQuarterKey], Quarterly_Targets_cleaned[TargetRevenue])</f>
        <v>126500</v>
      </c>
    </row>
    <row r="1028" spans="1:22" x14ac:dyDescent="0.25">
      <c r="A1028" t="s">
        <v>1361</v>
      </c>
      <c r="B1028" s="1">
        <v>45601</v>
      </c>
      <c r="C1028" t="s">
        <v>51</v>
      </c>
      <c r="D1028" t="s">
        <v>297</v>
      </c>
      <c r="E1028">
        <v>230.81</v>
      </c>
      <c r="F1028" t="s">
        <v>324</v>
      </c>
      <c r="G1028" t="s">
        <v>327</v>
      </c>
      <c r="I1028" t="s">
        <v>8</v>
      </c>
      <c r="J1028" t="s">
        <v>31</v>
      </c>
      <c r="K1028" t="s">
        <v>14</v>
      </c>
      <c r="L1028" t="s">
        <v>298</v>
      </c>
      <c r="M1028" t="s">
        <v>299</v>
      </c>
      <c r="N1028">
        <v>0</v>
      </c>
      <c r="O1028" t="str">
        <f>IF(Transactions_RAW_cleaned[[#This Row],[Status]]="Completed", IFERROR(_xlfn.XLOOKUP(Transactions_RAW_cleaned[[#This Row],[CustomerID]], Customers_cleaned[CustomerID], Customers_cleaned[Segment]), "Customer Not Found"), "N/A")</f>
        <v>SMB</v>
      </c>
      <c r="P1028" s="5" t="str">
        <f>IF(Transactions_RAW_cleaned[[#This Row],[Status]]="Refunded", "Refund",
  IF(Transactions_RAW_cleaned[[#This Row],[Category]]="Payments", IF(Transactions_RAW_cleaned[[#This Row],[Amount]]&gt;500,"High Value","Standard"),
    IF(Transactions_RAW_cleaned[[#This Row],[Amount]]&gt;250,"High Value","Standard")))</f>
        <v>Standard</v>
      </c>
      <c r="Q1028" s="5" t="str">
        <f>IF(Transactions_RAW_cleaned[[#This Row],[Amount]] &gt; (_xlfn.XLOOKUP(Transactions_RAW_cleaned[[#This Row],[ServiceID]],Services_cleaned[ServiceID],Services_cleaned[TransactionFeePct]) * 10000), "Yes", "No")</f>
        <v>Yes</v>
      </c>
      <c r="R1028" s="5" t="str">
        <f>IF(COUNTIFS($C$2:Transactions_RAW_cleaned[[#This Row],[CustomerID]],Transactions_RAW_cleaned[[#This Row],[CustomerID]],$D$2:Transactions_RAW_cleaned[[#This Row],[ServiceID]],Transactions_RAW_cleaned[[#This Row],[ServiceID]])=1,"Yes","No")</f>
        <v>No</v>
      </c>
      <c r="S102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028" t="str">
        <f>"Q"&amp;ROUNDUP(MONTH(Transactions_RAW_cleaned[[#This Row],[TransactionDate]])/3,0)</f>
        <v>Q4</v>
      </c>
      <c r="U1028" t="str">
        <f>Transactions_RAW_cleaned[[#This Row],[Region ]]&amp;Transactions_RAW_cleaned[[#This Row],[Quarter ]]</f>
        <v>EMEAQ4</v>
      </c>
      <c r="V1028" s="5">
        <f>_xlfn.XLOOKUP(Transactions_RAW_cleaned[[#This Row],[RegionQuarterKey]], Quarterly_Targets_cleaned[RegionQuarterKey], Quarterly_Targets_cleaned[TargetRevenue])</f>
        <v>161000</v>
      </c>
    </row>
    <row r="1029" spans="1:22" x14ac:dyDescent="0.25">
      <c r="A1029" t="s">
        <v>1362</v>
      </c>
      <c r="B1029" s="1">
        <v>45586</v>
      </c>
      <c r="C1029" t="s">
        <v>88</v>
      </c>
      <c r="D1029" t="s">
        <v>306</v>
      </c>
      <c r="E1029">
        <v>677.66</v>
      </c>
      <c r="F1029" t="s">
        <v>381</v>
      </c>
      <c r="G1029" t="s">
        <v>337</v>
      </c>
      <c r="I1029" t="s">
        <v>8</v>
      </c>
      <c r="J1029" t="s">
        <v>102</v>
      </c>
      <c r="K1029" t="s">
        <v>18</v>
      </c>
      <c r="L1029" t="s">
        <v>307</v>
      </c>
      <c r="M1029" t="s">
        <v>308</v>
      </c>
      <c r="N1029">
        <v>0</v>
      </c>
      <c r="O1029" t="str">
        <f>IF(Transactions_RAW_cleaned[[#This Row],[Status]]="Completed", IFERROR(_xlfn.XLOOKUP(Transactions_RAW_cleaned[[#This Row],[CustomerID]], Customers_cleaned[CustomerID], Customers_cleaned[Segment]), "Customer Not Found"), "N/A")</f>
        <v>N/A</v>
      </c>
      <c r="P1029" s="5" t="str">
        <f>IF(Transactions_RAW_cleaned[[#This Row],[Status]]="Refunded", "Refund",
  IF(Transactions_RAW_cleaned[[#This Row],[Category]]="Payments", IF(Transactions_RAW_cleaned[[#This Row],[Amount]]&gt;500,"High Value","Standard"),
    IF(Transactions_RAW_cleaned[[#This Row],[Amount]]&gt;250,"High Value","Standard")))</f>
        <v>High Value</v>
      </c>
      <c r="Q1029" s="5" t="str">
        <f>IF(Transactions_RAW_cleaned[[#This Row],[Amount]] &gt; (_xlfn.XLOOKUP(Transactions_RAW_cleaned[[#This Row],[ServiceID]],Services_cleaned[ServiceID],Services_cleaned[TransactionFeePct]) * 10000), "Yes", "No")</f>
        <v>Yes</v>
      </c>
      <c r="R1029" s="5" t="str">
        <f>IF(COUNTIFS($C$2:Transactions_RAW_cleaned[[#This Row],[CustomerID]],Transactions_RAW_cleaned[[#This Row],[CustomerID]],$D$2:Transactions_RAW_cleaned[[#This Row],[ServiceID]],Transactions_RAW_cleaned[[#This Row],[ServiceID]])=1,"Yes","No")</f>
        <v>Yes</v>
      </c>
      <c r="S102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29" t="str">
        <f>"Q"&amp;ROUNDUP(MONTH(Transactions_RAW_cleaned[[#This Row],[TransactionDate]])/3,0)</f>
        <v>Q4</v>
      </c>
      <c r="U1029" t="str">
        <f>Transactions_RAW_cleaned[[#This Row],[Region ]]&amp;Transactions_RAW_cleaned[[#This Row],[Quarter ]]</f>
        <v>NAQ4</v>
      </c>
      <c r="V1029" s="5">
        <f>_xlfn.XLOOKUP(Transactions_RAW_cleaned[[#This Row],[RegionQuarterKey]], Quarterly_Targets_cleaned[RegionQuarterKey], Quarterly_Targets_cleaned[TargetRevenue])</f>
        <v>299000</v>
      </c>
    </row>
    <row r="1030" spans="1:22" x14ac:dyDescent="0.25">
      <c r="A1030" t="s">
        <v>1363</v>
      </c>
      <c r="B1030" s="1">
        <v>45334</v>
      </c>
      <c r="C1030" t="s">
        <v>74</v>
      </c>
      <c r="D1030" t="s">
        <v>300</v>
      </c>
      <c r="E1030">
        <v>66.260000000000005</v>
      </c>
      <c r="F1030" t="s">
        <v>324</v>
      </c>
      <c r="G1030" t="s">
        <v>329</v>
      </c>
      <c r="H1030" t="s">
        <v>346</v>
      </c>
      <c r="I1030" t="s">
        <v>17</v>
      </c>
      <c r="J1030" t="s">
        <v>46</v>
      </c>
      <c r="K1030" t="s">
        <v>28</v>
      </c>
      <c r="L1030" t="s">
        <v>301</v>
      </c>
      <c r="M1030" t="s">
        <v>302</v>
      </c>
      <c r="N1030">
        <v>5.0000000000000001E-3</v>
      </c>
      <c r="O1030" t="str">
        <f>IF(Transactions_RAW_cleaned[[#This Row],[Status]]="Completed", IFERROR(_xlfn.XLOOKUP(Transactions_RAW_cleaned[[#This Row],[CustomerID]], Customers_cleaned[CustomerID], Customers_cleaned[Segment]), "Customer Not Found"), "N/A")</f>
        <v>Enterprise</v>
      </c>
      <c r="P1030" s="5" t="str">
        <f>IF(Transactions_RAW_cleaned[[#This Row],[Status]]="Refunded", "Refund",
  IF(Transactions_RAW_cleaned[[#This Row],[Category]]="Payments", IF(Transactions_RAW_cleaned[[#This Row],[Amount]]&gt;500,"High Value","Standard"),
    IF(Transactions_RAW_cleaned[[#This Row],[Amount]]&gt;250,"High Value","Standard")))</f>
        <v>Standard</v>
      </c>
      <c r="Q1030" s="5" t="str">
        <f>IF(Transactions_RAW_cleaned[[#This Row],[Amount]] &gt; (_xlfn.XLOOKUP(Transactions_RAW_cleaned[[#This Row],[ServiceID]],Services_cleaned[ServiceID],Services_cleaned[TransactionFeePct]) * 10000), "Yes", "No")</f>
        <v>Yes</v>
      </c>
      <c r="R1030" s="5" t="str">
        <f>IF(COUNTIFS($C$2:Transactions_RAW_cleaned[[#This Row],[CustomerID]],Transactions_RAW_cleaned[[#This Row],[CustomerID]],$D$2:Transactions_RAW_cleaned[[#This Row],[ServiceID]],Transactions_RAW_cleaned[[#This Row],[ServiceID]])=1,"Yes","No")</f>
        <v>Yes</v>
      </c>
      <c r="S103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30" t="str">
        <f>"Q"&amp;ROUNDUP(MONTH(Transactions_RAW_cleaned[[#This Row],[TransactionDate]])/3,0)</f>
        <v>Q1</v>
      </c>
      <c r="U1030" t="str">
        <f>Transactions_RAW_cleaned[[#This Row],[Region ]]&amp;Transactions_RAW_cleaned[[#This Row],[Quarter ]]</f>
        <v>APACQ1</v>
      </c>
      <c r="V1030" s="5">
        <f>_xlfn.XLOOKUP(Transactions_RAW_cleaned[[#This Row],[RegionQuarterKey]], Quarterly_Targets_cleaned[RegionQuarterKey], Quarterly_Targets_cleaned[TargetRevenue])</f>
        <v>104500</v>
      </c>
    </row>
    <row r="1031" spans="1:22" x14ac:dyDescent="0.25">
      <c r="A1031" t="s">
        <v>1364</v>
      </c>
      <c r="B1031" s="1">
        <v>45396</v>
      </c>
      <c r="C1031" t="s">
        <v>251</v>
      </c>
      <c r="D1031" t="s">
        <v>315</v>
      </c>
      <c r="E1031">
        <v>479.91</v>
      </c>
      <c r="F1031" t="s">
        <v>324</v>
      </c>
      <c r="G1031" t="s">
        <v>2963</v>
      </c>
      <c r="I1031" t="s">
        <v>17</v>
      </c>
      <c r="J1031" t="s">
        <v>46</v>
      </c>
      <c r="K1031" t="s">
        <v>14</v>
      </c>
      <c r="L1031" t="s">
        <v>316</v>
      </c>
      <c r="M1031" t="s">
        <v>305</v>
      </c>
      <c r="N1031">
        <v>2.5000000000000001E-3</v>
      </c>
      <c r="O1031" t="str">
        <f>IF(Transactions_RAW_cleaned[[#This Row],[Status]]="Completed", IFERROR(_xlfn.XLOOKUP(Transactions_RAW_cleaned[[#This Row],[CustomerID]], Customers_cleaned[CustomerID], Customers_cleaned[Segment]), "Customer Not Found"), "N/A")</f>
        <v>Enterprise</v>
      </c>
      <c r="P1031" s="5" t="str">
        <f>IF(Transactions_RAW_cleaned[[#This Row],[Status]]="Refunded", "Refund",
  IF(Transactions_RAW_cleaned[[#This Row],[Category]]="Payments", IF(Transactions_RAW_cleaned[[#This Row],[Amount]]&gt;500,"High Value","Standard"),
    IF(Transactions_RAW_cleaned[[#This Row],[Amount]]&gt;250,"High Value","Standard")))</f>
        <v>High Value</v>
      </c>
      <c r="Q1031" s="5" t="str">
        <f>IF(Transactions_RAW_cleaned[[#This Row],[Amount]] &gt; (_xlfn.XLOOKUP(Transactions_RAW_cleaned[[#This Row],[ServiceID]],Services_cleaned[ServiceID],Services_cleaned[TransactionFeePct]) * 10000), "Yes", "No")</f>
        <v>Yes</v>
      </c>
      <c r="R1031" s="5" t="str">
        <f>IF(COUNTIFS($C$2:Transactions_RAW_cleaned[[#This Row],[CustomerID]],Transactions_RAW_cleaned[[#This Row],[CustomerID]],$D$2:Transactions_RAW_cleaned[[#This Row],[ServiceID]],Transactions_RAW_cleaned[[#This Row],[ServiceID]])=1,"Yes","No")</f>
        <v>Yes</v>
      </c>
      <c r="S103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31" t="str">
        <f>"Q"&amp;ROUNDUP(MONTH(Transactions_RAW_cleaned[[#This Row],[TransactionDate]])/3,0)</f>
        <v>Q2</v>
      </c>
      <c r="U1031" t="str">
        <f>Transactions_RAW_cleaned[[#This Row],[Region ]]&amp;Transactions_RAW_cleaned[[#This Row],[Quarter ]]</f>
        <v>APACQ2</v>
      </c>
      <c r="V1031" s="5">
        <f>_xlfn.XLOOKUP(Transactions_RAW_cleaned[[#This Row],[RegionQuarterKey]], Quarterly_Targets_cleaned[RegionQuarterKey], Quarterly_Targets_cleaned[TargetRevenue])</f>
        <v>110000</v>
      </c>
    </row>
    <row r="1032" spans="1:22" x14ac:dyDescent="0.25">
      <c r="A1032" t="s">
        <v>1365</v>
      </c>
      <c r="B1032" s="1">
        <v>45295</v>
      </c>
      <c r="C1032" t="s">
        <v>74</v>
      </c>
      <c r="D1032" t="s">
        <v>312</v>
      </c>
      <c r="E1032">
        <v>110.11</v>
      </c>
      <c r="F1032" t="s">
        <v>324</v>
      </c>
      <c r="G1032" t="s">
        <v>325</v>
      </c>
      <c r="H1032" t="s">
        <v>334</v>
      </c>
      <c r="I1032" t="s">
        <v>17</v>
      </c>
      <c r="J1032" t="s">
        <v>46</v>
      </c>
      <c r="K1032" t="s">
        <v>28</v>
      </c>
      <c r="L1032" t="s">
        <v>313</v>
      </c>
      <c r="M1032" t="s">
        <v>314</v>
      </c>
      <c r="N1032">
        <v>0</v>
      </c>
      <c r="O1032" t="str">
        <f>IF(Transactions_RAW_cleaned[[#This Row],[Status]]="Completed", IFERROR(_xlfn.XLOOKUP(Transactions_RAW_cleaned[[#This Row],[CustomerID]], Customers_cleaned[CustomerID], Customers_cleaned[Segment]), "Customer Not Found"), "N/A")</f>
        <v>Enterprise</v>
      </c>
      <c r="P1032" s="5" t="str">
        <f>IF(Transactions_RAW_cleaned[[#This Row],[Status]]="Refunded", "Refund",
  IF(Transactions_RAW_cleaned[[#This Row],[Category]]="Payments", IF(Transactions_RAW_cleaned[[#This Row],[Amount]]&gt;500,"High Value","Standard"),
    IF(Transactions_RAW_cleaned[[#This Row],[Amount]]&gt;250,"High Value","Standard")))</f>
        <v>Standard</v>
      </c>
      <c r="Q1032" s="5" t="str">
        <f>IF(Transactions_RAW_cleaned[[#This Row],[Amount]] &gt; (_xlfn.XLOOKUP(Transactions_RAW_cleaned[[#This Row],[ServiceID]],Services_cleaned[ServiceID],Services_cleaned[TransactionFeePct]) * 10000), "Yes", "No")</f>
        <v>Yes</v>
      </c>
      <c r="R1032" s="5" t="str">
        <f>IF(COUNTIFS($C$2:Transactions_RAW_cleaned[[#This Row],[CustomerID]],Transactions_RAW_cleaned[[#This Row],[CustomerID]],$D$2:Transactions_RAW_cleaned[[#This Row],[ServiceID]],Transactions_RAW_cleaned[[#This Row],[ServiceID]])=1,"Yes","No")</f>
        <v>Yes</v>
      </c>
      <c r="S103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32" t="str">
        <f>"Q"&amp;ROUNDUP(MONTH(Transactions_RAW_cleaned[[#This Row],[TransactionDate]])/3,0)</f>
        <v>Q1</v>
      </c>
      <c r="U1032" t="str">
        <f>Transactions_RAW_cleaned[[#This Row],[Region ]]&amp;Transactions_RAW_cleaned[[#This Row],[Quarter ]]</f>
        <v>APACQ1</v>
      </c>
      <c r="V1032" s="5">
        <f>_xlfn.XLOOKUP(Transactions_RAW_cleaned[[#This Row],[RegionQuarterKey]], Quarterly_Targets_cleaned[RegionQuarterKey], Quarterly_Targets_cleaned[TargetRevenue])</f>
        <v>104500</v>
      </c>
    </row>
    <row r="1033" spans="1:22" x14ac:dyDescent="0.25">
      <c r="A1033" t="s">
        <v>1366</v>
      </c>
      <c r="B1033" s="1">
        <v>45655</v>
      </c>
      <c r="C1033" t="s">
        <v>183</v>
      </c>
      <c r="D1033" t="s">
        <v>306</v>
      </c>
      <c r="E1033">
        <v>472.26</v>
      </c>
      <c r="F1033" t="s">
        <v>381</v>
      </c>
      <c r="G1033" t="s">
        <v>337</v>
      </c>
      <c r="I1033" t="s">
        <v>8</v>
      </c>
      <c r="J1033" t="s">
        <v>13</v>
      </c>
      <c r="K1033" t="s">
        <v>10</v>
      </c>
      <c r="L1033" t="s">
        <v>307</v>
      </c>
      <c r="M1033" t="s">
        <v>308</v>
      </c>
      <c r="N1033">
        <v>0</v>
      </c>
      <c r="O1033" t="str">
        <f>IF(Transactions_RAW_cleaned[[#This Row],[Status]]="Completed", IFERROR(_xlfn.XLOOKUP(Transactions_RAW_cleaned[[#This Row],[CustomerID]], Customers_cleaned[CustomerID], Customers_cleaned[Segment]), "Customer Not Found"), "N/A")</f>
        <v>N/A</v>
      </c>
      <c r="P1033" s="5" t="str">
        <f>IF(Transactions_RAW_cleaned[[#This Row],[Status]]="Refunded", "Refund",
  IF(Transactions_RAW_cleaned[[#This Row],[Category]]="Payments", IF(Transactions_RAW_cleaned[[#This Row],[Amount]]&gt;500,"High Value","Standard"),
    IF(Transactions_RAW_cleaned[[#This Row],[Amount]]&gt;250,"High Value","Standard")))</f>
        <v>High Value</v>
      </c>
      <c r="Q1033" s="5" t="str">
        <f>IF(Transactions_RAW_cleaned[[#This Row],[Amount]] &gt; (_xlfn.XLOOKUP(Transactions_RAW_cleaned[[#This Row],[ServiceID]],Services_cleaned[ServiceID],Services_cleaned[TransactionFeePct]) * 10000), "Yes", "No")</f>
        <v>Yes</v>
      </c>
      <c r="R1033" s="5" t="str">
        <f>IF(COUNTIFS($C$2:Transactions_RAW_cleaned[[#This Row],[CustomerID]],Transactions_RAW_cleaned[[#This Row],[CustomerID]],$D$2:Transactions_RAW_cleaned[[#This Row],[ServiceID]],Transactions_RAW_cleaned[[#This Row],[ServiceID]])=1,"Yes","No")</f>
        <v>No</v>
      </c>
      <c r="S103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33" t="str">
        <f>"Q"&amp;ROUNDUP(MONTH(Transactions_RAW_cleaned[[#This Row],[TransactionDate]])/3,0)</f>
        <v>Q4</v>
      </c>
      <c r="U1033" t="str">
        <f>Transactions_RAW_cleaned[[#This Row],[Region ]]&amp;Transactions_RAW_cleaned[[#This Row],[Quarter ]]</f>
        <v>NAQ4</v>
      </c>
      <c r="V1033" s="5">
        <f>_xlfn.XLOOKUP(Transactions_RAW_cleaned[[#This Row],[RegionQuarterKey]], Quarterly_Targets_cleaned[RegionQuarterKey], Quarterly_Targets_cleaned[TargetRevenue])</f>
        <v>299000</v>
      </c>
    </row>
    <row r="1034" spans="1:22" x14ac:dyDescent="0.25">
      <c r="A1034" t="s">
        <v>1367</v>
      </c>
      <c r="B1034" s="1">
        <v>45598</v>
      </c>
      <c r="C1034" t="s">
        <v>131</v>
      </c>
      <c r="D1034" t="s">
        <v>297</v>
      </c>
      <c r="E1034">
        <v>274.63</v>
      </c>
      <c r="F1034" t="s">
        <v>324</v>
      </c>
      <c r="G1034" t="s">
        <v>327</v>
      </c>
      <c r="H1034" t="s">
        <v>334</v>
      </c>
      <c r="I1034" t="s">
        <v>17</v>
      </c>
      <c r="J1034" t="s">
        <v>102</v>
      </c>
      <c r="K1034" t="s">
        <v>22</v>
      </c>
      <c r="L1034" t="s">
        <v>298</v>
      </c>
      <c r="M1034" t="s">
        <v>299</v>
      </c>
      <c r="N1034">
        <v>0</v>
      </c>
      <c r="O1034" t="str">
        <f>IF(Transactions_RAW_cleaned[[#This Row],[Status]]="Completed", IFERROR(_xlfn.XLOOKUP(Transactions_RAW_cleaned[[#This Row],[CustomerID]], Customers_cleaned[CustomerID], Customers_cleaned[Segment]), "Customer Not Found"), "N/A")</f>
        <v>Enterprise</v>
      </c>
      <c r="P1034" s="5" t="str">
        <f>IF(Transactions_RAW_cleaned[[#This Row],[Status]]="Refunded", "Refund",
  IF(Transactions_RAW_cleaned[[#This Row],[Category]]="Payments", IF(Transactions_RAW_cleaned[[#This Row],[Amount]]&gt;500,"High Value","Standard"),
    IF(Transactions_RAW_cleaned[[#This Row],[Amount]]&gt;250,"High Value","Standard")))</f>
        <v>High Value</v>
      </c>
      <c r="Q1034" s="5" t="str">
        <f>IF(Transactions_RAW_cleaned[[#This Row],[Amount]] &gt; (_xlfn.XLOOKUP(Transactions_RAW_cleaned[[#This Row],[ServiceID]],Services_cleaned[ServiceID],Services_cleaned[TransactionFeePct]) * 10000), "Yes", "No")</f>
        <v>Yes</v>
      </c>
      <c r="R1034" s="5" t="str">
        <f>IF(COUNTIFS($C$2:Transactions_RAW_cleaned[[#This Row],[CustomerID]],Transactions_RAW_cleaned[[#This Row],[CustomerID]],$D$2:Transactions_RAW_cleaned[[#This Row],[ServiceID]],Transactions_RAW_cleaned[[#This Row],[ServiceID]])=1,"Yes","No")</f>
        <v>Yes</v>
      </c>
      <c r="S103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34" t="str">
        <f>"Q"&amp;ROUNDUP(MONTH(Transactions_RAW_cleaned[[#This Row],[TransactionDate]])/3,0)</f>
        <v>Q4</v>
      </c>
      <c r="U1034" t="str">
        <f>Transactions_RAW_cleaned[[#This Row],[Region ]]&amp;Transactions_RAW_cleaned[[#This Row],[Quarter ]]</f>
        <v>NAQ4</v>
      </c>
      <c r="V1034" s="5">
        <f>_xlfn.XLOOKUP(Transactions_RAW_cleaned[[#This Row],[RegionQuarterKey]], Quarterly_Targets_cleaned[RegionQuarterKey], Quarterly_Targets_cleaned[TargetRevenue])</f>
        <v>299000</v>
      </c>
    </row>
    <row r="1035" spans="1:22" x14ac:dyDescent="0.25">
      <c r="A1035" t="s">
        <v>1368</v>
      </c>
      <c r="B1035" s="1">
        <v>45558</v>
      </c>
      <c r="C1035" t="s">
        <v>15</v>
      </c>
      <c r="D1035" t="s">
        <v>303</v>
      </c>
      <c r="E1035">
        <v>770.19</v>
      </c>
      <c r="F1035" t="s">
        <v>324</v>
      </c>
      <c r="G1035" t="s">
        <v>327</v>
      </c>
      <c r="H1035" t="s">
        <v>346</v>
      </c>
      <c r="I1035" t="s">
        <v>17</v>
      </c>
      <c r="J1035" t="s">
        <v>102</v>
      </c>
      <c r="K1035" t="s">
        <v>18</v>
      </c>
      <c r="L1035" t="s">
        <v>304</v>
      </c>
      <c r="M1035" t="s">
        <v>305</v>
      </c>
      <c r="N1035">
        <v>1E-3</v>
      </c>
      <c r="O1035" t="str">
        <f>IF(Transactions_RAW_cleaned[[#This Row],[Status]]="Completed", IFERROR(_xlfn.XLOOKUP(Transactions_RAW_cleaned[[#This Row],[CustomerID]], Customers_cleaned[CustomerID], Customers_cleaned[Segment]), "Customer Not Found"), "N/A")</f>
        <v>Enterprise</v>
      </c>
      <c r="P1035" s="5" t="str">
        <f>IF(Transactions_RAW_cleaned[[#This Row],[Status]]="Refunded", "Refund",
  IF(Transactions_RAW_cleaned[[#This Row],[Category]]="Payments", IF(Transactions_RAW_cleaned[[#This Row],[Amount]]&gt;500,"High Value","Standard"),
    IF(Transactions_RAW_cleaned[[#This Row],[Amount]]&gt;250,"High Value","Standard")))</f>
        <v>High Value</v>
      </c>
      <c r="Q1035" s="5" t="str">
        <f>IF(Transactions_RAW_cleaned[[#This Row],[Amount]] &gt; (_xlfn.XLOOKUP(Transactions_RAW_cleaned[[#This Row],[ServiceID]],Services_cleaned[ServiceID],Services_cleaned[TransactionFeePct]) * 10000), "Yes", "No")</f>
        <v>Yes</v>
      </c>
      <c r="R1035" s="5" t="str">
        <f>IF(COUNTIFS($C$2:Transactions_RAW_cleaned[[#This Row],[CustomerID]],Transactions_RAW_cleaned[[#This Row],[CustomerID]],$D$2:Transactions_RAW_cleaned[[#This Row],[ServiceID]],Transactions_RAW_cleaned[[#This Row],[ServiceID]])=1,"Yes","No")</f>
        <v>No</v>
      </c>
      <c r="S103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35" t="str">
        <f>"Q"&amp;ROUNDUP(MONTH(Transactions_RAW_cleaned[[#This Row],[TransactionDate]])/3,0)</f>
        <v>Q3</v>
      </c>
      <c r="U1035" t="str">
        <f>Transactions_RAW_cleaned[[#This Row],[Region ]]&amp;Transactions_RAW_cleaned[[#This Row],[Quarter ]]</f>
        <v>NAQ3</v>
      </c>
      <c r="V1035" s="5">
        <f>_xlfn.XLOOKUP(Transactions_RAW_cleaned[[#This Row],[RegionQuarterKey]], Quarterly_Targets_cleaned[RegionQuarterKey], Quarterly_Targets_cleaned[TargetRevenue])</f>
        <v>273000</v>
      </c>
    </row>
    <row r="1036" spans="1:22" x14ac:dyDescent="0.25">
      <c r="A1036" t="s">
        <v>1369</v>
      </c>
      <c r="B1036" s="1">
        <v>45588</v>
      </c>
      <c r="C1036" t="s">
        <v>131</v>
      </c>
      <c r="D1036" t="s">
        <v>297</v>
      </c>
      <c r="E1036">
        <v>309.41000000000003</v>
      </c>
      <c r="F1036" t="s">
        <v>331</v>
      </c>
      <c r="G1036" t="s">
        <v>327</v>
      </c>
      <c r="I1036" t="s">
        <v>17</v>
      </c>
      <c r="J1036" t="s">
        <v>102</v>
      </c>
      <c r="K1036" t="s">
        <v>22</v>
      </c>
      <c r="L1036" t="s">
        <v>298</v>
      </c>
      <c r="M1036" t="s">
        <v>299</v>
      </c>
      <c r="N1036">
        <v>0</v>
      </c>
      <c r="O1036" t="str">
        <f>IF(Transactions_RAW_cleaned[[#This Row],[Status]]="Completed", IFERROR(_xlfn.XLOOKUP(Transactions_RAW_cleaned[[#This Row],[CustomerID]], Customers_cleaned[CustomerID], Customers_cleaned[Segment]), "Customer Not Found"), "N/A")</f>
        <v>N/A</v>
      </c>
      <c r="P1036" s="5" t="str">
        <f>IF(Transactions_RAW_cleaned[[#This Row],[Status]]="Refunded", "Refund",
  IF(Transactions_RAW_cleaned[[#This Row],[Category]]="Payments", IF(Transactions_RAW_cleaned[[#This Row],[Amount]]&gt;500,"High Value","Standard"),
    IF(Transactions_RAW_cleaned[[#This Row],[Amount]]&gt;250,"High Value","Standard")))</f>
        <v>High Value</v>
      </c>
      <c r="Q1036" s="5" t="str">
        <f>IF(Transactions_RAW_cleaned[[#This Row],[Amount]] &gt; (_xlfn.XLOOKUP(Transactions_RAW_cleaned[[#This Row],[ServiceID]],Services_cleaned[ServiceID],Services_cleaned[TransactionFeePct]) * 10000), "Yes", "No")</f>
        <v>Yes</v>
      </c>
      <c r="R1036" s="5" t="str">
        <f>IF(COUNTIFS($C$2:Transactions_RAW_cleaned[[#This Row],[CustomerID]],Transactions_RAW_cleaned[[#This Row],[CustomerID]],$D$2:Transactions_RAW_cleaned[[#This Row],[ServiceID]],Transactions_RAW_cleaned[[#This Row],[ServiceID]])=1,"Yes","No")</f>
        <v>No</v>
      </c>
      <c r="S103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36" t="str">
        <f>"Q"&amp;ROUNDUP(MONTH(Transactions_RAW_cleaned[[#This Row],[TransactionDate]])/3,0)</f>
        <v>Q4</v>
      </c>
      <c r="U1036" t="str">
        <f>Transactions_RAW_cleaned[[#This Row],[Region ]]&amp;Transactions_RAW_cleaned[[#This Row],[Quarter ]]</f>
        <v>NAQ4</v>
      </c>
      <c r="V1036" s="5">
        <f>_xlfn.XLOOKUP(Transactions_RAW_cleaned[[#This Row],[RegionQuarterKey]], Quarterly_Targets_cleaned[RegionQuarterKey], Quarterly_Targets_cleaned[TargetRevenue])</f>
        <v>299000</v>
      </c>
    </row>
    <row r="1037" spans="1:22" x14ac:dyDescent="0.25">
      <c r="A1037" t="s">
        <v>1370</v>
      </c>
      <c r="B1037" s="1">
        <v>45355</v>
      </c>
      <c r="C1037" t="s">
        <v>177</v>
      </c>
      <c r="D1037" t="s">
        <v>303</v>
      </c>
      <c r="E1037">
        <v>800.7</v>
      </c>
      <c r="F1037" t="s">
        <v>324</v>
      </c>
      <c r="G1037" t="s">
        <v>2963</v>
      </c>
      <c r="H1037" t="s">
        <v>332</v>
      </c>
      <c r="I1037" t="s">
        <v>8</v>
      </c>
      <c r="J1037" t="s">
        <v>46</v>
      </c>
      <c r="K1037" t="s">
        <v>10</v>
      </c>
      <c r="L1037" t="s">
        <v>304</v>
      </c>
      <c r="M1037" t="s">
        <v>305</v>
      </c>
      <c r="N1037">
        <v>1E-3</v>
      </c>
      <c r="O1037" t="str">
        <f>IF(Transactions_RAW_cleaned[[#This Row],[Status]]="Completed", IFERROR(_xlfn.XLOOKUP(Transactions_RAW_cleaned[[#This Row],[CustomerID]], Customers_cleaned[CustomerID], Customers_cleaned[Segment]), "Customer Not Found"), "N/A")</f>
        <v>SMB</v>
      </c>
      <c r="P1037" s="5" t="str">
        <f>IF(Transactions_RAW_cleaned[[#This Row],[Status]]="Refunded", "Refund",
  IF(Transactions_RAW_cleaned[[#This Row],[Category]]="Payments", IF(Transactions_RAW_cleaned[[#This Row],[Amount]]&gt;500,"High Value","Standard"),
    IF(Transactions_RAW_cleaned[[#This Row],[Amount]]&gt;250,"High Value","Standard")))</f>
        <v>High Value</v>
      </c>
      <c r="Q1037" s="5" t="str">
        <f>IF(Transactions_RAW_cleaned[[#This Row],[Amount]] &gt; (_xlfn.XLOOKUP(Transactions_RAW_cleaned[[#This Row],[ServiceID]],Services_cleaned[ServiceID],Services_cleaned[TransactionFeePct]) * 10000), "Yes", "No")</f>
        <v>Yes</v>
      </c>
      <c r="R1037" s="5" t="str">
        <f>IF(COUNTIFS($C$2:Transactions_RAW_cleaned[[#This Row],[CustomerID]],Transactions_RAW_cleaned[[#This Row],[CustomerID]],$D$2:Transactions_RAW_cleaned[[#This Row],[ServiceID]],Transactions_RAW_cleaned[[#This Row],[ServiceID]])=1,"Yes","No")</f>
        <v>Yes</v>
      </c>
      <c r="S103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37" t="str">
        <f>"Q"&amp;ROUNDUP(MONTH(Transactions_RAW_cleaned[[#This Row],[TransactionDate]])/3,0)</f>
        <v>Q1</v>
      </c>
      <c r="U1037" t="str">
        <f>Transactions_RAW_cleaned[[#This Row],[Region ]]&amp;Transactions_RAW_cleaned[[#This Row],[Quarter ]]</f>
        <v>APACQ1</v>
      </c>
      <c r="V1037" s="5">
        <f>_xlfn.XLOOKUP(Transactions_RAW_cleaned[[#This Row],[RegionQuarterKey]], Quarterly_Targets_cleaned[RegionQuarterKey], Quarterly_Targets_cleaned[TargetRevenue])</f>
        <v>104500</v>
      </c>
    </row>
    <row r="1038" spans="1:22" x14ac:dyDescent="0.25">
      <c r="A1038" t="s">
        <v>1371</v>
      </c>
      <c r="B1038" s="1">
        <v>45316</v>
      </c>
      <c r="C1038" t="s">
        <v>167</v>
      </c>
      <c r="D1038" t="s">
        <v>309</v>
      </c>
      <c r="E1038">
        <v>304.58999999999997</v>
      </c>
      <c r="F1038" t="s">
        <v>324</v>
      </c>
      <c r="G1038" t="s">
        <v>2963</v>
      </c>
      <c r="H1038" t="s">
        <v>332</v>
      </c>
      <c r="I1038" t="s">
        <v>17</v>
      </c>
      <c r="J1038" t="s">
        <v>13</v>
      </c>
      <c r="K1038" t="s">
        <v>10</v>
      </c>
      <c r="L1038" t="s">
        <v>310</v>
      </c>
      <c r="M1038" t="s">
        <v>311</v>
      </c>
      <c r="N1038">
        <v>0</v>
      </c>
      <c r="O1038" t="str">
        <f>IF(Transactions_RAW_cleaned[[#This Row],[Status]]="Completed", IFERROR(_xlfn.XLOOKUP(Transactions_RAW_cleaned[[#This Row],[CustomerID]], Customers_cleaned[CustomerID], Customers_cleaned[Segment]), "Customer Not Found"), "N/A")</f>
        <v>Enterprise</v>
      </c>
      <c r="P1038" s="5" t="str">
        <f>IF(Transactions_RAW_cleaned[[#This Row],[Status]]="Refunded", "Refund",
  IF(Transactions_RAW_cleaned[[#This Row],[Category]]="Payments", IF(Transactions_RAW_cleaned[[#This Row],[Amount]]&gt;500,"High Value","Standard"),
    IF(Transactions_RAW_cleaned[[#This Row],[Amount]]&gt;250,"High Value","Standard")))</f>
        <v>High Value</v>
      </c>
      <c r="Q1038" s="5" t="str">
        <f>IF(Transactions_RAW_cleaned[[#This Row],[Amount]] &gt; (_xlfn.XLOOKUP(Transactions_RAW_cleaned[[#This Row],[ServiceID]],Services_cleaned[ServiceID],Services_cleaned[TransactionFeePct]) * 10000), "Yes", "No")</f>
        <v>Yes</v>
      </c>
      <c r="R1038" s="5" t="str">
        <f>IF(COUNTIFS($C$2:Transactions_RAW_cleaned[[#This Row],[CustomerID]],Transactions_RAW_cleaned[[#This Row],[CustomerID]],$D$2:Transactions_RAW_cleaned[[#This Row],[ServiceID]],Transactions_RAW_cleaned[[#This Row],[ServiceID]])=1,"Yes","No")</f>
        <v>Yes</v>
      </c>
      <c r="S103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38" t="str">
        <f>"Q"&amp;ROUNDUP(MONTH(Transactions_RAW_cleaned[[#This Row],[TransactionDate]])/3,0)</f>
        <v>Q1</v>
      </c>
      <c r="U1038" t="str">
        <f>Transactions_RAW_cleaned[[#This Row],[Region ]]&amp;Transactions_RAW_cleaned[[#This Row],[Quarter ]]</f>
        <v>NAQ1</v>
      </c>
      <c r="V1038" s="5">
        <f>_xlfn.XLOOKUP(Transactions_RAW_cleaned[[#This Row],[RegionQuarterKey]], Quarterly_Targets_cleaned[RegionQuarterKey], Quarterly_Targets_cleaned[TargetRevenue])</f>
        <v>247000</v>
      </c>
    </row>
    <row r="1039" spans="1:22" x14ac:dyDescent="0.25">
      <c r="A1039" t="s">
        <v>1372</v>
      </c>
      <c r="B1039" s="1">
        <v>45649</v>
      </c>
      <c r="C1039" t="s">
        <v>167</v>
      </c>
      <c r="D1039" t="s">
        <v>294</v>
      </c>
      <c r="E1039">
        <v>477.22</v>
      </c>
      <c r="F1039" t="s">
        <v>324</v>
      </c>
      <c r="G1039" t="s">
        <v>337</v>
      </c>
      <c r="I1039" t="s">
        <v>17</v>
      </c>
      <c r="J1039" t="s">
        <v>13</v>
      </c>
      <c r="K1039" t="s">
        <v>10</v>
      </c>
      <c r="L1039" t="s">
        <v>295</v>
      </c>
      <c r="M1039" t="s">
        <v>296</v>
      </c>
      <c r="N1039">
        <v>2.9000000000000001E-2</v>
      </c>
      <c r="O1039" t="str">
        <f>IF(Transactions_RAW_cleaned[[#This Row],[Status]]="Completed", IFERROR(_xlfn.XLOOKUP(Transactions_RAW_cleaned[[#This Row],[CustomerID]], Customers_cleaned[CustomerID], Customers_cleaned[Segment]), "Customer Not Found"), "N/A")</f>
        <v>Enterprise</v>
      </c>
      <c r="P1039" s="5" t="str">
        <f>IF(Transactions_RAW_cleaned[[#This Row],[Status]]="Refunded", "Refund",
  IF(Transactions_RAW_cleaned[[#This Row],[Category]]="Payments", IF(Transactions_RAW_cleaned[[#This Row],[Amount]]&gt;500,"High Value","Standard"),
    IF(Transactions_RAW_cleaned[[#This Row],[Amount]]&gt;250,"High Value","Standard")))</f>
        <v>Standard</v>
      </c>
      <c r="Q1039" s="5" t="str">
        <f>IF(Transactions_RAW_cleaned[[#This Row],[Amount]] &gt; (_xlfn.XLOOKUP(Transactions_RAW_cleaned[[#This Row],[ServiceID]],Services_cleaned[ServiceID],Services_cleaned[TransactionFeePct]) * 10000), "Yes", "No")</f>
        <v>Yes</v>
      </c>
      <c r="R1039" s="5" t="str">
        <f>IF(COUNTIFS($C$2:Transactions_RAW_cleaned[[#This Row],[CustomerID]],Transactions_RAW_cleaned[[#This Row],[CustomerID]],$D$2:Transactions_RAW_cleaned[[#This Row],[ServiceID]],Transactions_RAW_cleaned[[#This Row],[ServiceID]])=1,"Yes","No")</f>
        <v>No</v>
      </c>
      <c r="S103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39" t="str">
        <f>"Q"&amp;ROUNDUP(MONTH(Transactions_RAW_cleaned[[#This Row],[TransactionDate]])/3,0)</f>
        <v>Q4</v>
      </c>
      <c r="U1039" t="str">
        <f>Transactions_RAW_cleaned[[#This Row],[Region ]]&amp;Transactions_RAW_cleaned[[#This Row],[Quarter ]]</f>
        <v>NAQ4</v>
      </c>
      <c r="V1039" s="5">
        <f>_xlfn.XLOOKUP(Transactions_RAW_cleaned[[#This Row],[RegionQuarterKey]], Quarterly_Targets_cleaned[RegionQuarterKey], Quarterly_Targets_cleaned[TargetRevenue])</f>
        <v>299000</v>
      </c>
    </row>
    <row r="1040" spans="1:22" x14ac:dyDescent="0.25">
      <c r="A1040" t="s">
        <v>1373</v>
      </c>
      <c r="B1040" s="1">
        <v>45514</v>
      </c>
      <c r="C1040" t="s">
        <v>199</v>
      </c>
      <c r="D1040" t="s">
        <v>303</v>
      </c>
      <c r="E1040">
        <v>509.91</v>
      </c>
      <c r="F1040" t="s">
        <v>324</v>
      </c>
      <c r="G1040" t="s">
        <v>337</v>
      </c>
      <c r="I1040" t="s">
        <v>8</v>
      </c>
      <c r="J1040" t="s">
        <v>13</v>
      </c>
      <c r="K1040" t="s">
        <v>32</v>
      </c>
      <c r="L1040" t="s">
        <v>304</v>
      </c>
      <c r="M1040" t="s">
        <v>305</v>
      </c>
      <c r="N1040">
        <v>1E-3</v>
      </c>
      <c r="O1040" t="str">
        <f>IF(Transactions_RAW_cleaned[[#This Row],[Status]]="Completed", IFERROR(_xlfn.XLOOKUP(Transactions_RAW_cleaned[[#This Row],[CustomerID]], Customers_cleaned[CustomerID], Customers_cleaned[Segment]), "Customer Not Found"), "N/A")</f>
        <v>SMB</v>
      </c>
      <c r="P1040" s="5" t="str">
        <f>IF(Transactions_RAW_cleaned[[#This Row],[Status]]="Refunded", "Refund",
  IF(Transactions_RAW_cleaned[[#This Row],[Category]]="Payments", IF(Transactions_RAW_cleaned[[#This Row],[Amount]]&gt;500,"High Value","Standard"),
    IF(Transactions_RAW_cleaned[[#This Row],[Amount]]&gt;250,"High Value","Standard")))</f>
        <v>High Value</v>
      </c>
      <c r="Q1040" s="5" t="str">
        <f>IF(Transactions_RAW_cleaned[[#This Row],[Amount]] &gt; (_xlfn.XLOOKUP(Transactions_RAW_cleaned[[#This Row],[ServiceID]],Services_cleaned[ServiceID],Services_cleaned[TransactionFeePct]) * 10000), "Yes", "No")</f>
        <v>Yes</v>
      </c>
      <c r="R1040" s="5" t="str">
        <f>IF(COUNTIFS($C$2:Transactions_RAW_cleaned[[#This Row],[CustomerID]],Transactions_RAW_cleaned[[#This Row],[CustomerID]],$D$2:Transactions_RAW_cleaned[[#This Row],[ServiceID]],Transactions_RAW_cleaned[[#This Row],[ServiceID]])=1,"Yes","No")</f>
        <v>No</v>
      </c>
      <c r="S104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40" t="str">
        <f>"Q"&amp;ROUNDUP(MONTH(Transactions_RAW_cleaned[[#This Row],[TransactionDate]])/3,0)</f>
        <v>Q3</v>
      </c>
      <c r="U1040" t="str">
        <f>Transactions_RAW_cleaned[[#This Row],[Region ]]&amp;Transactions_RAW_cleaned[[#This Row],[Quarter ]]</f>
        <v>NAQ3</v>
      </c>
      <c r="V1040" s="5">
        <f>_xlfn.XLOOKUP(Transactions_RAW_cleaned[[#This Row],[RegionQuarterKey]], Quarterly_Targets_cleaned[RegionQuarterKey], Quarterly_Targets_cleaned[TargetRevenue])</f>
        <v>273000</v>
      </c>
    </row>
    <row r="1041" spans="1:22" x14ac:dyDescent="0.25">
      <c r="A1041" t="s">
        <v>1374</v>
      </c>
      <c r="B1041" s="1">
        <v>45562</v>
      </c>
      <c r="C1041" t="s">
        <v>94</v>
      </c>
      <c r="D1041" t="s">
        <v>309</v>
      </c>
      <c r="E1041">
        <v>460.5</v>
      </c>
      <c r="F1041" t="s">
        <v>324</v>
      </c>
      <c r="G1041" t="s">
        <v>337</v>
      </c>
      <c r="I1041" t="s">
        <v>8</v>
      </c>
      <c r="J1041" t="s">
        <v>21</v>
      </c>
      <c r="K1041" t="s">
        <v>14</v>
      </c>
      <c r="L1041" t="s">
        <v>310</v>
      </c>
      <c r="M1041" t="s">
        <v>311</v>
      </c>
      <c r="N1041">
        <v>0</v>
      </c>
      <c r="O1041" t="str">
        <f>IF(Transactions_RAW_cleaned[[#This Row],[Status]]="Completed", IFERROR(_xlfn.XLOOKUP(Transactions_RAW_cleaned[[#This Row],[CustomerID]], Customers_cleaned[CustomerID], Customers_cleaned[Segment]), "Customer Not Found"), "N/A")</f>
        <v>SMB</v>
      </c>
      <c r="P1041" s="5" t="str">
        <f>IF(Transactions_RAW_cleaned[[#This Row],[Status]]="Refunded", "Refund",
  IF(Transactions_RAW_cleaned[[#This Row],[Category]]="Payments", IF(Transactions_RAW_cleaned[[#This Row],[Amount]]&gt;500,"High Value","Standard"),
    IF(Transactions_RAW_cleaned[[#This Row],[Amount]]&gt;250,"High Value","Standard")))</f>
        <v>High Value</v>
      </c>
      <c r="Q1041" s="5" t="str">
        <f>IF(Transactions_RAW_cleaned[[#This Row],[Amount]] &gt; (_xlfn.XLOOKUP(Transactions_RAW_cleaned[[#This Row],[ServiceID]],Services_cleaned[ServiceID],Services_cleaned[TransactionFeePct]) * 10000), "Yes", "No")</f>
        <v>Yes</v>
      </c>
      <c r="R1041" s="5" t="str">
        <f>IF(COUNTIFS($C$2:Transactions_RAW_cleaned[[#This Row],[CustomerID]],Transactions_RAW_cleaned[[#This Row],[CustomerID]],$D$2:Transactions_RAW_cleaned[[#This Row],[ServiceID]],Transactions_RAW_cleaned[[#This Row],[ServiceID]])=1,"Yes","No")</f>
        <v>Yes</v>
      </c>
      <c r="S104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41" t="str">
        <f>"Q"&amp;ROUNDUP(MONTH(Transactions_RAW_cleaned[[#This Row],[TransactionDate]])/3,0)</f>
        <v>Q3</v>
      </c>
      <c r="U1041" t="str">
        <f>Transactions_RAW_cleaned[[#This Row],[Region ]]&amp;Transactions_RAW_cleaned[[#This Row],[Quarter ]]</f>
        <v>APACQ3</v>
      </c>
      <c r="V1041" s="5">
        <f>_xlfn.XLOOKUP(Transactions_RAW_cleaned[[#This Row],[RegionQuarterKey]], Quarterly_Targets_cleaned[RegionQuarterKey], Quarterly_Targets_cleaned[TargetRevenue])</f>
        <v>115500</v>
      </c>
    </row>
    <row r="1042" spans="1:22" x14ac:dyDescent="0.25">
      <c r="A1042" t="s">
        <v>1375</v>
      </c>
      <c r="B1042" s="1">
        <v>45589</v>
      </c>
      <c r="C1042" t="s">
        <v>55</v>
      </c>
      <c r="D1042" t="s">
        <v>294</v>
      </c>
      <c r="E1042">
        <v>265.2</v>
      </c>
      <c r="F1042" t="s">
        <v>324</v>
      </c>
      <c r="G1042" t="s">
        <v>2963</v>
      </c>
      <c r="H1042" t="s">
        <v>334</v>
      </c>
      <c r="I1042" t="s">
        <v>57</v>
      </c>
      <c r="J1042" t="s">
        <v>31</v>
      </c>
      <c r="K1042" t="s">
        <v>22</v>
      </c>
      <c r="L1042" t="s">
        <v>295</v>
      </c>
      <c r="M1042" t="s">
        <v>296</v>
      </c>
      <c r="N1042">
        <v>2.9000000000000001E-2</v>
      </c>
      <c r="O1042" t="str">
        <f>IF(Transactions_RAW_cleaned[[#This Row],[Status]]="Completed", IFERROR(_xlfn.XLOOKUP(Transactions_RAW_cleaned[[#This Row],[CustomerID]], Customers_cleaned[CustomerID], Customers_cleaned[Segment]), "Customer Not Found"), "N/A")</f>
        <v>Startup</v>
      </c>
      <c r="P1042" s="5" t="str">
        <f>IF(Transactions_RAW_cleaned[[#This Row],[Status]]="Refunded", "Refund",
  IF(Transactions_RAW_cleaned[[#This Row],[Category]]="Payments", IF(Transactions_RAW_cleaned[[#This Row],[Amount]]&gt;500,"High Value","Standard"),
    IF(Transactions_RAW_cleaned[[#This Row],[Amount]]&gt;250,"High Value","Standard")))</f>
        <v>Standard</v>
      </c>
      <c r="Q1042" s="5" t="str">
        <f>IF(Transactions_RAW_cleaned[[#This Row],[Amount]] &gt; (_xlfn.XLOOKUP(Transactions_RAW_cleaned[[#This Row],[ServiceID]],Services_cleaned[ServiceID],Services_cleaned[TransactionFeePct]) * 10000), "Yes", "No")</f>
        <v>No</v>
      </c>
      <c r="R1042" s="5" t="str">
        <f>IF(COUNTIFS($C$2:Transactions_RAW_cleaned[[#This Row],[CustomerID]],Transactions_RAW_cleaned[[#This Row],[CustomerID]],$D$2:Transactions_RAW_cleaned[[#This Row],[ServiceID]],Transactions_RAW_cleaned[[#This Row],[ServiceID]])=1,"Yes","No")</f>
        <v>No</v>
      </c>
      <c r="S104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042" t="str">
        <f>"Q"&amp;ROUNDUP(MONTH(Transactions_RAW_cleaned[[#This Row],[TransactionDate]])/3,0)</f>
        <v>Q4</v>
      </c>
      <c r="U1042" t="str">
        <f>Transactions_RAW_cleaned[[#This Row],[Region ]]&amp;Transactions_RAW_cleaned[[#This Row],[Quarter ]]</f>
        <v>EMEAQ4</v>
      </c>
      <c r="V1042" s="5">
        <f>_xlfn.XLOOKUP(Transactions_RAW_cleaned[[#This Row],[RegionQuarterKey]], Quarterly_Targets_cleaned[RegionQuarterKey], Quarterly_Targets_cleaned[TargetRevenue])</f>
        <v>161000</v>
      </c>
    </row>
    <row r="1043" spans="1:22" x14ac:dyDescent="0.25">
      <c r="A1043" t="s">
        <v>1376</v>
      </c>
      <c r="B1043" s="1">
        <v>45369</v>
      </c>
      <c r="C1043" t="s">
        <v>199</v>
      </c>
      <c r="D1043" t="s">
        <v>312</v>
      </c>
      <c r="E1043">
        <v>373.86</v>
      </c>
      <c r="F1043" t="s">
        <v>324</v>
      </c>
      <c r="G1043" t="s">
        <v>337</v>
      </c>
      <c r="I1043" t="s">
        <v>8</v>
      </c>
      <c r="J1043" t="s">
        <v>13</v>
      </c>
      <c r="K1043" t="s">
        <v>32</v>
      </c>
      <c r="L1043" t="s">
        <v>313</v>
      </c>
      <c r="M1043" t="s">
        <v>314</v>
      </c>
      <c r="N1043">
        <v>0</v>
      </c>
      <c r="O1043" t="str">
        <f>IF(Transactions_RAW_cleaned[[#This Row],[Status]]="Completed", IFERROR(_xlfn.XLOOKUP(Transactions_RAW_cleaned[[#This Row],[CustomerID]], Customers_cleaned[CustomerID], Customers_cleaned[Segment]), "Customer Not Found"), "N/A")</f>
        <v>SMB</v>
      </c>
      <c r="P1043" s="5" t="str">
        <f>IF(Transactions_RAW_cleaned[[#This Row],[Status]]="Refunded", "Refund",
  IF(Transactions_RAW_cleaned[[#This Row],[Category]]="Payments", IF(Transactions_RAW_cleaned[[#This Row],[Amount]]&gt;500,"High Value","Standard"),
    IF(Transactions_RAW_cleaned[[#This Row],[Amount]]&gt;250,"High Value","Standard")))</f>
        <v>High Value</v>
      </c>
      <c r="Q1043" s="5" t="str">
        <f>IF(Transactions_RAW_cleaned[[#This Row],[Amount]] &gt; (_xlfn.XLOOKUP(Transactions_RAW_cleaned[[#This Row],[ServiceID]],Services_cleaned[ServiceID],Services_cleaned[TransactionFeePct]) * 10000), "Yes", "No")</f>
        <v>Yes</v>
      </c>
      <c r="R1043" s="5" t="str">
        <f>IF(COUNTIFS($C$2:Transactions_RAW_cleaned[[#This Row],[CustomerID]],Transactions_RAW_cleaned[[#This Row],[CustomerID]],$D$2:Transactions_RAW_cleaned[[#This Row],[ServiceID]],Transactions_RAW_cleaned[[#This Row],[ServiceID]])=1,"Yes","No")</f>
        <v>Yes</v>
      </c>
      <c r="S104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43" t="str">
        <f>"Q"&amp;ROUNDUP(MONTH(Transactions_RAW_cleaned[[#This Row],[TransactionDate]])/3,0)</f>
        <v>Q1</v>
      </c>
      <c r="U1043" t="str">
        <f>Transactions_RAW_cleaned[[#This Row],[Region ]]&amp;Transactions_RAW_cleaned[[#This Row],[Quarter ]]</f>
        <v>NAQ1</v>
      </c>
      <c r="V1043" s="5">
        <f>_xlfn.XLOOKUP(Transactions_RAW_cleaned[[#This Row],[RegionQuarterKey]], Quarterly_Targets_cleaned[RegionQuarterKey], Quarterly_Targets_cleaned[TargetRevenue])</f>
        <v>247000</v>
      </c>
    </row>
    <row r="1044" spans="1:22" x14ac:dyDescent="0.25">
      <c r="A1044" t="s">
        <v>1377</v>
      </c>
      <c r="B1044" s="1">
        <v>45356</v>
      </c>
      <c r="C1044" t="s">
        <v>38</v>
      </c>
      <c r="D1044" t="s">
        <v>297</v>
      </c>
      <c r="E1044">
        <v>720.13</v>
      </c>
      <c r="F1044" t="s">
        <v>324</v>
      </c>
      <c r="G1044" t="s">
        <v>327</v>
      </c>
      <c r="H1044" t="s">
        <v>346</v>
      </c>
      <c r="I1044" t="s">
        <v>8</v>
      </c>
      <c r="J1044" t="s">
        <v>102</v>
      </c>
      <c r="K1044" t="s">
        <v>28</v>
      </c>
      <c r="L1044" t="s">
        <v>298</v>
      </c>
      <c r="M1044" t="s">
        <v>299</v>
      </c>
      <c r="N1044">
        <v>0</v>
      </c>
      <c r="O1044" t="str">
        <f>IF(Transactions_RAW_cleaned[[#This Row],[Status]]="Completed", IFERROR(_xlfn.XLOOKUP(Transactions_RAW_cleaned[[#This Row],[CustomerID]], Customers_cleaned[CustomerID], Customers_cleaned[Segment]), "Customer Not Found"), "N/A")</f>
        <v>SMB</v>
      </c>
      <c r="P1044" s="5" t="str">
        <f>IF(Transactions_RAW_cleaned[[#This Row],[Status]]="Refunded", "Refund",
  IF(Transactions_RAW_cleaned[[#This Row],[Category]]="Payments", IF(Transactions_RAW_cleaned[[#This Row],[Amount]]&gt;500,"High Value","Standard"),
    IF(Transactions_RAW_cleaned[[#This Row],[Amount]]&gt;250,"High Value","Standard")))</f>
        <v>High Value</v>
      </c>
      <c r="Q1044" s="5" t="str">
        <f>IF(Transactions_RAW_cleaned[[#This Row],[Amount]] &gt; (_xlfn.XLOOKUP(Transactions_RAW_cleaned[[#This Row],[ServiceID]],Services_cleaned[ServiceID],Services_cleaned[TransactionFeePct]) * 10000), "Yes", "No")</f>
        <v>Yes</v>
      </c>
      <c r="R1044" s="5" t="str">
        <f>IF(COUNTIFS($C$2:Transactions_RAW_cleaned[[#This Row],[CustomerID]],Transactions_RAW_cleaned[[#This Row],[CustomerID]],$D$2:Transactions_RAW_cleaned[[#This Row],[ServiceID]],Transactions_RAW_cleaned[[#This Row],[ServiceID]])=1,"Yes","No")</f>
        <v>Yes</v>
      </c>
      <c r="S104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44" t="str">
        <f>"Q"&amp;ROUNDUP(MONTH(Transactions_RAW_cleaned[[#This Row],[TransactionDate]])/3,0)</f>
        <v>Q1</v>
      </c>
      <c r="U1044" t="str">
        <f>Transactions_RAW_cleaned[[#This Row],[Region ]]&amp;Transactions_RAW_cleaned[[#This Row],[Quarter ]]</f>
        <v>NAQ1</v>
      </c>
      <c r="V1044" s="5">
        <f>_xlfn.XLOOKUP(Transactions_RAW_cleaned[[#This Row],[RegionQuarterKey]], Quarterly_Targets_cleaned[RegionQuarterKey], Quarterly_Targets_cleaned[TargetRevenue])</f>
        <v>247000</v>
      </c>
    </row>
    <row r="1045" spans="1:22" x14ac:dyDescent="0.25">
      <c r="A1045" t="s">
        <v>1378</v>
      </c>
      <c r="B1045" s="1">
        <v>45370</v>
      </c>
      <c r="C1045" t="s">
        <v>86</v>
      </c>
      <c r="D1045" t="s">
        <v>303</v>
      </c>
      <c r="E1045">
        <v>193.6</v>
      </c>
      <c r="F1045" t="s">
        <v>324</v>
      </c>
      <c r="G1045" t="s">
        <v>337</v>
      </c>
      <c r="I1045" t="s">
        <v>8</v>
      </c>
      <c r="J1045" t="s">
        <v>102</v>
      </c>
      <c r="K1045" t="s">
        <v>18</v>
      </c>
      <c r="L1045" t="s">
        <v>304</v>
      </c>
      <c r="M1045" t="s">
        <v>305</v>
      </c>
      <c r="N1045">
        <v>1E-3</v>
      </c>
      <c r="O1045" t="str">
        <f>IF(Transactions_RAW_cleaned[[#This Row],[Status]]="Completed", IFERROR(_xlfn.XLOOKUP(Transactions_RAW_cleaned[[#This Row],[CustomerID]], Customers_cleaned[CustomerID], Customers_cleaned[Segment]), "Customer Not Found"), "N/A")</f>
        <v>SMB</v>
      </c>
      <c r="P1045" s="5" t="str">
        <f>IF(Transactions_RAW_cleaned[[#This Row],[Status]]="Refunded", "Refund",
  IF(Transactions_RAW_cleaned[[#This Row],[Category]]="Payments", IF(Transactions_RAW_cleaned[[#This Row],[Amount]]&gt;500,"High Value","Standard"),
    IF(Transactions_RAW_cleaned[[#This Row],[Amount]]&gt;250,"High Value","Standard")))</f>
        <v>Standard</v>
      </c>
      <c r="Q1045" s="5" t="str">
        <f>IF(Transactions_RAW_cleaned[[#This Row],[Amount]] &gt; (_xlfn.XLOOKUP(Transactions_RAW_cleaned[[#This Row],[ServiceID]],Services_cleaned[ServiceID],Services_cleaned[TransactionFeePct]) * 10000), "Yes", "No")</f>
        <v>Yes</v>
      </c>
      <c r="R1045" s="5" t="str">
        <f>IF(COUNTIFS($C$2:Transactions_RAW_cleaned[[#This Row],[CustomerID]],Transactions_RAW_cleaned[[#This Row],[CustomerID]],$D$2:Transactions_RAW_cleaned[[#This Row],[ServiceID]],Transactions_RAW_cleaned[[#This Row],[ServiceID]])=1,"Yes","No")</f>
        <v>No</v>
      </c>
      <c r="S104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45" t="str">
        <f>"Q"&amp;ROUNDUP(MONTH(Transactions_RAW_cleaned[[#This Row],[TransactionDate]])/3,0)</f>
        <v>Q1</v>
      </c>
      <c r="U1045" t="str">
        <f>Transactions_RAW_cleaned[[#This Row],[Region ]]&amp;Transactions_RAW_cleaned[[#This Row],[Quarter ]]</f>
        <v>NAQ1</v>
      </c>
      <c r="V1045" s="5">
        <f>_xlfn.XLOOKUP(Transactions_RAW_cleaned[[#This Row],[RegionQuarterKey]], Quarterly_Targets_cleaned[RegionQuarterKey], Quarterly_Targets_cleaned[TargetRevenue])</f>
        <v>247000</v>
      </c>
    </row>
    <row r="1046" spans="1:22" x14ac:dyDescent="0.25">
      <c r="A1046" t="s">
        <v>1379</v>
      </c>
      <c r="B1046" s="1">
        <v>45594</v>
      </c>
      <c r="C1046" t="s">
        <v>51</v>
      </c>
      <c r="D1046" t="s">
        <v>294</v>
      </c>
      <c r="E1046">
        <v>655.61</v>
      </c>
      <c r="F1046" t="s">
        <v>324</v>
      </c>
      <c r="G1046" t="s">
        <v>327</v>
      </c>
      <c r="H1046" t="s">
        <v>332</v>
      </c>
      <c r="I1046" t="s">
        <v>8</v>
      </c>
      <c r="J1046" t="s">
        <v>31</v>
      </c>
      <c r="K1046" t="s">
        <v>14</v>
      </c>
      <c r="L1046" t="s">
        <v>295</v>
      </c>
      <c r="M1046" t="s">
        <v>296</v>
      </c>
      <c r="N1046">
        <v>2.9000000000000001E-2</v>
      </c>
      <c r="O1046" t="str">
        <f>IF(Transactions_RAW_cleaned[[#This Row],[Status]]="Completed", IFERROR(_xlfn.XLOOKUP(Transactions_RAW_cleaned[[#This Row],[CustomerID]], Customers_cleaned[CustomerID], Customers_cleaned[Segment]), "Customer Not Found"), "N/A")</f>
        <v>SMB</v>
      </c>
      <c r="P1046" s="5" t="str">
        <f>IF(Transactions_RAW_cleaned[[#This Row],[Status]]="Refunded", "Refund",
  IF(Transactions_RAW_cleaned[[#This Row],[Category]]="Payments", IF(Transactions_RAW_cleaned[[#This Row],[Amount]]&gt;500,"High Value","Standard"),
    IF(Transactions_RAW_cleaned[[#This Row],[Amount]]&gt;250,"High Value","Standard")))</f>
        <v>High Value</v>
      </c>
      <c r="Q1046" s="5" t="str">
        <f>IF(Transactions_RAW_cleaned[[#This Row],[Amount]] &gt; (_xlfn.XLOOKUP(Transactions_RAW_cleaned[[#This Row],[ServiceID]],Services_cleaned[ServiceID],Services_cleaned[TransactionFeePct]) * 10000), "Yes", "No")</f>
        <v>Yes</v>
      </c>
      <c r="R1046" s="5" t="str">
        <f>IF(COUNTIFS($C$2:Transactions_RAW_cleaned[[#This Row],[CustomerID]],Transactions_RAW_cleaned[[#This Row],[CustomerID]],$D$2:Transactions_RAW_cleaned[[#This Row],[ServiceID]],Transactions_RAW_cleaned[[#This Row],[ServiceID]])=1,"Yes","No")</f>
        <v>No</v>
      </c>
      <c r="S104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046" t="str">
        <f>"Q"&amp;ROUNDUP(MONTH(Transactions_RAW_cleaned[[#This Row],[TransactionDate]])/3,0)</f>
        <v>Q4</v>
      </c>
      <c r="U1046" t="str">
        <f>Transactions_RAW_cleaned[[#This Row],[Region ]]&amp;Transactions_RAW_cleaned[[#This Row],[Quarter ]]</f>
        <v>EMEAQ4</v>
      </c>
      <c r="V1046" s="5">
        <f>_xlfn.XLOOKUP(Transactions_RAW_cleaned[[#This Row],[RegionQuarterKey]], Quarterly_Targets_cleaned[RegionQuarterKey], Quarterly_Targets_cleaned[TargetRevenue])</f>
        <v>161000</v>
      </c>
    </row>
    <row r="1047" spans="1:22" x14ac:dyDescent="0.25">
      <c r="A1047" t="s">
        <v>1380</v>
      </c>
      <c r="B1047" s="1">
        <v>45593</v>
      </c>
      <c r="C1047" t="s">
        <v>78</v>
      </c>
      <c r="D1047" t="s">
        <v>294</v>
      </c>
      <c r="E1047">
        <v>232.47</v>
      </c>
      <c r="F1047" t="s">
        <v>324</v>
      </c>
      <c r="G1047" t="s">
        <v>327</v>
      </c>
      <c r="I1047" t="s">
        <v>17</v>
      </c>
      <c r="J1047" t="s">
        <v>21</v>
      </c>
      <c r="K1047" t="s">
        <v>22</v>
      </c>
      <c r="L1047" t="s">
        <v>295</v>
      </c>
      <c r="M1047" t="s">
        <v>296</v>
      </c>
      <c r="N1047">
        <v>2.9000000000000001E-2</v>
      </c>
      <c r="O1047" t="str">
        <f>IF(Transactions_RAW_cleaned[[#This Row],[Status]]="Completed", IFERROR(_xlfn.XLOOKUP(Transactions_RAW_cleaned[[#This Row],[CustomerID]], Customers_cleaned[CustomerID], Customers_cleaned[Segment]), "Customer Not Found"), "N/A")</f>
        <v>Enterprise</v>
      </c>
      <c r="P1047" s="5" t="str">
        <f>IF(Transactions_RAW_cleaned[[#This Row],[Status]]="Refunded", "Refund",
  IF(Transactions_RAW_cleaned[[#This Row],[Category]]="Payments", IF(Transactions_RAW_cleaned[[#This Row],[Amount]]&gt;500,"High Value","Standard"),
    IF(Transactions_RAW_cleaned[[#This Row],[Amount]]&gt;250,"High Value","Standard")))</f>
        <v>Standard</v>
      </c>
      <c r="Q1047" s="5" t="str">
        <f>IF(Transactions_RAW_cleaned[[#This Row],[Amount]] &gt; (_xlfn.XLOOKUP(Transactions_RAW_cleaned[[#This Row],[ServiceID]],Services_cleaned[ServiceID],Services_cleaned[TransactionFeePct]) * 10000), "Yes", "No")</f>
        <v>No</v>
      </c>
      <c r="R1047" s="5" t="str">
        <f>IF(COUNTIFS($C$2:Transactions_RAW_cleaned[[#This Row],[CustomerID]],Transactions_RAW_cleaned[[#This Row],[CustomerID]],$D$2:Transactions_RAW_cleaned[[#This Row],[ServiceID]],Transactions_RAW_cleaned[[#This Row],[ServiceID]])=1,"Yes","No")</f>
        <v>No</v>
      </c>
      <c r="S104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47" t="str">
        <f>"Q"&amp;ROUNDUP(MONTH(Transactions_RAW_cleaned[[#This Row],[TransactionDate]])/3,0)</f>
        <v>Q4</v>
      </c>
      <c r="U1047" t="str">
        <f>Transactions_RAW_cleaned[[#This Row],[Region ]]&amp;Transactions_RAW_cleaned[[#This Row],[Quarter ]]</f>
        <v>APACQ4</v>
      </c>
      <c r="V1047" s="5">
        <f>_xlfn.XLOOKUP(Transactions_RAW_cleaned[[#This Row],[RegionQuarterKey]], Quarterly_Targets_cleaned[RegionQuarterKey], Quarterly_Targets_cleaned[TargetRevenue])</f>
        <v>126500</v>
      </c>
    </row>
    <row r="1048" spans="1:22" x14ac:dyDescent="0.25">
      <c r="A1048" t="s">
        <v>1381</v>
      </c>
      <c r="B1048" s="1">
        <v>45573</v>
      </c>
      <c r="C1048" t="s">
        <v>273</v>
      </c>
      <c r="D1048" t="s">
        <v>297</v>
      </c>
      <c r="E1048">
        <v>701.75</v>
      </c>
      <c r="F1048" t="s">
        <v>324</v>
      </c>
      <c r="G1048" t="s">
        <v>327</v>
      </c>
      <c r="H1048" t="s">
        <v>346</v>
      </c>
      <c r="I1048" t="s">
        <v>17</v>
      </c>
      <c r="J1048" t="s">
        <v>102</v>
      </c>
      <c r="K1048" t="s">
        <v>22</v>
      </c>
      <c r="L1048" t="s">
        <v>298</v>
      </c>
      <c r="M1048" t="s">
        <v>299</v>
      </c>
      <c r="N1048">
        <v>0</v>
      </c>
      <c r="O1048" t="str">
        <f>IF(Transactions_RAW_cleaned[[#This Row],[Status]]="Completed", IFERROR(_xlfn.XLOOKUP(Transactions_RAW_cleaned[[#This Row],[CustomerID]], Customers_cleaned[CustomerID], Customers_cleaned[Segment]), "Customer Not Found"), "N/A")</f>
        <v>Enterprise</v>
      </c>
      <c r="P1048" s="5" t="str">
        <f>IF(Transactions_RAW_cleaned[[#This Row],[Status]]="Refunded", "Refund",
  IF(Transactions_RAW_cleaned[[#This Row],[Category]]="Payments", IF(Transactions_RAW_cleaned[[#This Row],[Amount]]&gt;500,"High Value","Standard"),
    IF(Transactions_RAW_cleaned[[#This Row],[Amount]]&gt;250,"High Value","Standard")))</f>
        <v>High Value</v>
      </c>
      <c r="Q1048" s="5" t="str">
        <f>IF(Transactions_RAW_cleaned[[#This Row],[Amount]] &gt; (_xlfn.XLOOKUP(Transactions_RAW_cleaned[[#This Row],[ServiceID]],Services_cleaned[ServiceID],Services_cleaned[TransactionFeePct]) * 10000), "Yes", "No")</f>
        <v>Yes</v>
      </c>
      <c r="R1048" s="5" t="str">
        <f>IF(COUNTIFS($C$2:Transactions_RAW_cleaned[[#This Row],[CustomerID]],Transactions_RAW_cleaned[[#This Row],[CustomerID]],$D$2:Transactions_RAW_cleaned[[#This Row],[ServiceID]],Transactions_RAW_cleaned[[#This Row],[ServiceID]])=1,"Yes","No")</f>
        <v>Yes</v>
      </c>
      <c r="S104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48" t="str">
        <f>"Q"&amp;ROUNDUP(MONTH(Transactions_RAW_cleaned[[#This Row],[TransactionDate]])/3,0)</f>
        <v>Q4</v>
      </c>
      <c r="U1048" t="str">
        <f>Transactions_RAW_cleaned[[#This Row],[Region ]]&amp;Transactions_RAW_cleaned[[#This Row],[Quarter ]]</f>
        <v>NAQ4</v>
      </c>
      <c r="V1048" s="5">
        <f>_xlfn.XLOOKUP(Transactions_RAW_cleaned[[#This Row],[RegionQuarterKey]], Quarterly_Targets_cleaned[RegionQuarterKey], Quarterly_Targets_cleaned[TargetRevenue])</f>
        <v>299000</v>
      </c>
    </row>
    <row r="1049" spans="1:22" x14ac:dyDescent="0.25">
      <c r="A1049" t="s">
        <v>1382</v>
      </c>
      <c r="B1049" s="1">
        <v>45452</v>
      </c>
      <c r="C1049" t="s">
        <v>203</v>
      </c>
      <c r="D1049" t="s">
        <v>297</v>
      </c>
      <c r="E1049">
        <v>-952.15</v>
      </c>
      <c r="F1049" t="s">
        <v>349</v>
      </c>
      <c r="G1049" t="s">
        <v>327</v>
      </c>
      <c r="I1049" t="s">
        <v>57</v>
      </c>
      <c r="J1049" t="s">
        <v>21</v>
      </c>
      <c r="K1049" t="s">
        <v>14</v>
      </c>
      <c r="L1049" t="s">
        <v>298</v>
      </c>
      <c r="M1049" t="s">
        <v>299</v>
      </c>
      <c r="N1049">
        <v>0</v>
      </c>
      <c r="O1049" t="str">
        <f>IF(Transactions_RAW_cleaned[[#This Row],[Status]]="Completed", IFERROR(_xlfn.XLOOKUP(Transactions_RAW_cleaned[[#This Row],[CustomerID]], Customers_cleaned[CustomerID], Customers_cleaned[Segment]), "Customer Not Found"), "N/A")</f>
        <v>N/A</v>
      </c>
      <c r="P1049" s="5" t="str">
        <f>IF(Transactions_RAW_cleaned[[#This Row],[Status]]="Refunded", "Refund",
  IF(Transactions_RAW_cleaned[[#This Row],[Category]]="Payments", IF(Transactions_RAW_cleaned[[#This Row],[Amount]]&gt;500,"High Value","Standard"),
    IF(Transactions_RAW_cleaned[[#This Row],[Amount]]&gt;250,"High Value","Standard")))</f>
        <v>Refund</v>
      </c>
      <c r="Q1049" s="5" t="str">
        <f>IF(Transactions_RAW_cleaned[[#This Row],[Amount]] &gt; (_xlfn.XLOOKUP(Transactions_RAW_cleaned[[#This Row],[ServiceID]],Services_cleaned[ServiceID],Services_cleaned[TransactionFeePct]) * 10000), "Yes", "No")</f>
        <v>No</v>
      </c>
      <c r="R1049" s="5" t="str">
        <f>IF(COUNTIFS($C$2:Transactions_RAW_cleaned[[#This Row],[CustomerID]],Transactions_RAW_cleaned[[#This Row],[CustomerID]],$D$2:Transactions_RAW_cleaned[[#This Row],[ServiceID]],Transactions_RAW_cleaned[[#This Row],[ServiceID]])=1,"Yes","No")</f>
        <v>No</v>
      </c>
      <c r="S104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49" t="str">
        <f>"Q"&amp;ROUNDUP(MONTH(Transactions_RAW_cleaned[[#This Row],[TransactionDate]])/3,0)</f>
        <v>Q2</v>
      </c>
      <c r="U1049" t="str">
        <f>Transactions_RAW_cleaned[[#This Row],[Region ]]&amp;Transactions_RAW_cleaned[[#This Row],[Quarter ]]</f>
        <v>APACQ2</v>
      </c>
      <c r="V1049" s="5">
        <f>_xlfn.XLOOKUP(Transactions_RAW_cleaned[[#This Row],[RegionQuarterKey]], Quarterly_Targets_cleaned[RegionQuarterKey], Quarterly_Targets_cleaned[TargetRevenue])</f>
        <v>110000</v>
      </c>
    </row>
    <row r="1050" spans="1:22" x14ac:dyDescent="0.25">
      <c r="A1050" t="s">
        <v>1383</v>
      </c>
      <c r="B1050" s="1">
        <v>45350</v>
      </c>
      <c r="C1050" t="s">
        <v>181</v>
      </c>
      <c r="D1050" t="s">
        <v>312</v>
      </c>
      <c r="E1050">
        <v>405.58</v>
      </c>
      <c r="F1050" t="s">
        <v>324</v>
      </c>
      <c r="G1050" t="s">
        <v>337</v>
      </c>
      <c r="I1050" t="s">
        <v>17</v>
      </c>
      <c r="J1050" t="s">
        <v>21</v>
      </c>
      <c r="K1050" t="s">
        <v>10</v>
      </c>
      <c r="L1050" t="s">
        <v>313</v>
      </c>
      <c r="M1050" t="s">
        <v>314</v>
      </c>
      <c r="N1050">
        <v>0</v>
      </c>
      <c r="O1050" t="str">
        <f>IF(Transactions_RAW_cleaned[[#This Row],[Status]]="Completed", IFERROR(_xlfn.XLOOKUP(Transactions_RAW_cleaned[[#This Row],[CustomerID]], Customers_cleaned[CustomerID], Customers_cleaned[Segment]), "Customer Not Found"), "N/A")</f>
        <v>Enterprise</v>
      </c>
      <c r="P1050" s="5" t="str">
        <f>IF(Transactions_RAW_cleaned[[#This Row],[Status]]="Refunded", "Refund",
  IF(Transactions_RAW_cleaned[[#This Row],[Category]]="Payments", IF(Transactions_RAW_cleaned[[#This Row],[Amount]]&gt;500,"High Value","Standard"),
    IF(Transactions_RAW_cleaned[[#This Row],[Amount]]&gt;250,"High Value","Standard")))</f>
        <v>High Value</v>
      </c>
      <c r="Q1050" s="5" t="str">
        <f>IF(Transactions_RAW_cleaned[[#This Row],[Amount]] &gt; (_xlfn.XLOOKUP(Transactions_RAW_cleaned[[#This Row],[ServiceID]],Services_cleaned[ServiceID],Services_cleaned[TransactionFeePct]) * 10000), "Yes", "No")</f>
        <v>Yes</v>
      </c>
      <c r="R1050" s="5" t="str">
        <f>IF(COUNTIFS($C$2:Transactions_RAW_cleaned[[#This Row],[CustomerID]],Transactions_RAW_cleaned[[#This Row],[CustomerID]],$D$2:Transactions_RAW_cleaned[[#This Row],[ServiceID]],Transactions_RAW_cleaned[[#This Row],[ServiceID]])=1,"Yes","No")</f>
        <v>Yes</v>
      </c>
      <c r="S105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50" t="str">
        <f>"Q"&amp;ROUNDUP(MONTH(Transactions_RAW_cleaned[[#This Row],[TransactionDate]])/3,0)</f>
        <v>Q1</v>
      </c>
      <c r="U1050" t="str">
        <f>Transactions_RAW_cleaned[[#This Row],[Region ]]&amp;Transactions_RAW_cleaned[[#This Row],[Quarter ]]</f>
        <v>APACQ1</v>
      </c>
      <c r="V1050" s="5">
        <f>_xlfn.XLOOKUP(Transactions_RAW_cleaned[[#This Row],[RegionQuarterKey]], Quarterly_Targets_cleaned[RegionQuarterKey], Quarterly_Targets_cleaned[TargetRevenue])</f>
        <v>104500</v>
      </c>
    </row>
    <row r="1051" spans="1:22" x14ac:dyDescent="0.25">
      <c r="A1051" t="s">
        <v>1384</v>
      </c>
      <c r="B1051" s="1">
        <v>45450</v>
      </c>
      <c r="C1051" t="s">
        <v>257</v>
      </c>
      <c r="D1051" t="s">
        <v>294</v>
      </c>
      <c r="E1051">
        <v>669.84</v>
      </c>
      <c r="F1051" t="s">
        <v>324</v>
      </c>
      <c r="G1051" t="s">
        <v>327</v>
      </c>
      <c r="I1051" t="s">
        <v>57</v>
      </c>
      <c r="J1051" t="s">
        <v>13</v>
      </c>
      <c r="K1051" t="s">
        <v>22</v>
      </c>
      <c r="L1051" t="s">
        <v>295</v>
      </c>
      <c r="M1051" t="s">
        <v>296</v>
      </c>
      <c r="N1051">
        <v>2.9000000000000001E-2</v>
      </c>
      <c r="O1051" t="str">
        <f>IF(Transactions_RAW_cleaned[[#This Row],[Status]]="Completed", IFERROR(_xlfn.XLOOKUP(Transactions_RAW_cleaned[[#This Row],[CustomerID]], Customers_cleaned[CustomerID], Customers_cleaned[Segment]), "Customer Not Found"), "N/A")</f>
        <v>Startup</v>
      </c>
      <c r="P1051" s="5" t="str">
        <f>IF(Transactions_RAW_cleaned[[#This Row],[Status]]="Refunded", "Refund",
  IF(Transactions_RAW_cleaned[[#This Row],[Category]]="Payments", IF(Transactions_RAW_cleaned[[#This Row],[Amount]]&gt;500,"High Value","Standard"),
    IF(Transactions_RAW_cleaned[[#This Row],[Amount]]&gt;250,"High Value","Standard")))</f>
        <v>High Value</v>
      </c>
      <c r="Q1051" s="5" t="str">
        <f>IF(Transactions_RAW_cleaned[[#This Row],[Amount]] &gt; (_xlfn.XLOOKUP(Transactions_RAW_cleaned[[#This Row],[ServiceID]],Services_cleaned[ServiceID],Services_cleaned[TransactionFeePct]) * 10000), "Yes", "No")</f>
        <v>Yes</v>
      </c>
      <c r="R1051" s="5" t="str">
        <f>IF(COUNTIFS($C$2:Transactions_RAW_cleaned[[#This Row],[CustomerID]],Transactions_RAW_cleaned[[#This Row],[CustomerID]],$D$2:Transactions_RAW_cleaned[[#This Row],[ServiceID]],Transactions_RAW_cleaned[[#This Row],[ServiceID]])=1,"Yes","No")</f>
        <v>No</v>
      </c>
      <c r="S105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51" t="str">
        <f>"Q"&amp;ROUNDUP(MONTH(Transactions_RAW_cleaned[[#This Row],[TransactionDate]])/3,0)</f>
        <v>Q2</v>
      </c>
      <c r="U1051" t="str">
        <f>Transactions_RAW_cleaned[[#This Row],[Region ]]&amp;Transactions_RAW_cleaned[[#This Row],[Quarter ]]</f>
        <v>NAQ2</v>
      </c>
      <c r="V1051" s="5">
        <f>_xlfn.XLOOKUP(Transactions_RAW_cleaned[[#This Row],[RegionQuarterKey]], Quarterly_Targets_cleaned[RegionQuarterKey], Quarterly_Targets_cleaned[TargetRevenue])</f>
        <v>260000</v>
      </c>
    </row>
    <row r="1052" spans="1:22" x14ac:dyDescent="0.25">
      <c r="A1052" t="s">
        <v>1385</v>
      </c>
      <c r="B1052" s="1">
        <v>45578</v>
      </c>
      <c r="C1052" t="s">
        <v>177</v>
      </c>
      <c r="D1052" t="s">
        <v>300</v>
      </c>
      <c r="E1052">
        <v>-452.39</v>
      </c>
      <c r="F1052" t="s">
        <v>349</v>
      </c>
      <c r="G1052" t="s">
        <v>337</v>
      </c>
      <c r="I1052" t="s">
        <v>8</v>
      </c>
      <c r="J1052" t="s">
        <v>46</v>
      </c>
      <c r="K1052" t="s">
        <v>10</v>
      </c>
      <c r="L1052" t="s">
        <v>301</v>
      </c>
      <c r="M1052" t="s">
        <v>302</v>
      </c>
      <c r="N1052">
        <v>5.0000000000000001E-3</v>
      </c>
      <c r="O1052" t="str">
        <f>IF(Transactions_RAW_cleaned[[#This Row],[Status]]="Completed", IFERROR(_xlfn.XLOOKUP(Transactions_RAW_cleaned[[#This Row],[CustomerID]], Customers_cleaned[CustomerID], Customers_cleaned[Segment]), "Customer Not Found"), "N/A")</f>
        <v>N/A</v>
      </c>
      <c r="P1052" s="5" t="str">
        <f>IF(Transactions_RAW_cleaned[[#This Row],[Status]]="Refunded", "Refund",
  IF(Transactions_RAW_cleaned[[#This Row],[Category]]="Payments", IF(Transactions_RAW_cleaned[[#This Row],[Amount]]&gt;500,"High Value","Standard"),
    IF(Transactions_RAW_cleaned[[#This Row],[Amount]]&gt;250,"High Value","Standard")))</f>
        <v>Refund</v>
      </c>
      <c r="Q1052" s="5" t="str">
        <f>IF(Transactions_RAW_cleaned[[#This Row],[Amount]] &gt; (_xlfn.XLOOKUP(Transactions_RAW_cleaned[[#This Row],[ServiceID]],Services_cleaned[ServiceID],Services_cleaned[TransactionFeePct]) * 10000), "Yes", "No")</f>
        <v>No</v>
      </c>
      <c r="R1052" s="5" t="str">
        <f>IF(COUNTIFS($C$2:Transactions_RAW_cleaned[[#This Row],[CustomerID]],Transactions_RAW_cleaned[[#This Row],[CustomerID]],$D$2:Transactions_RAW_cleaned[[#This Row],[ServiceID]],Transactions_RAW_cleaned[[#This Row],[ServiceID]])=1,"Yes","No")</f>
        <v>No</v>
      </c>
      <c r="S105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52" t="str">
        <f>"Q"&amp;ROUNDUP(MONTH(Transactions_RAW_cleaned[[#This Row],[TransactionDate]])/3,0)</f>
        <v>Q4</v>
      </c>
      <c r="U1052" t="str">
        <f>Transactions_RAW_cleaned[[#This Row],[Region ]]&amp;Transactions_RAW_cleaned[[#This Row],[Quarter ]]</f>
        <v>APACQ4</v>
      </c>
      <c r="V1052" s="5">
        <f>_xlfn.XLOOKUP(Transactions_RAW_cleaned[[#This Row],[RegionQuarterKey]], Quarterly_Targets_cleaned[RegionQuarterKey], Quarterly_Targets_cleaned[TargetRevenue])</f>
        <v>126500</v>
      </c>
    </row>
    <row r="1053" spans="1:22" x14ac:dyDescent="0.25">
      <c r="A1053" t="s">
        <v>1386</v>
      </c>
      <c r="B1053" s="1">
        <v>45346</v>
      </c>
      <c r="C1053" t="s">
        <v>203</v>
      </c>
      <c r="D1053" t="s">
        <v>297</v>
      </c>
      <c r="E1053">
        <v>279</v>
      </c>
      <c r="F1053" t="s">
        <v>324</v>
      </c>
      <c r="G1053" t="s">
        <v>327</v>
      </c>
      <c r="I1053" t="s">
        <v>57</v>
      </c>
      <c r="J1053" t="s">
        <v>21</v>
      </c>
      <c r="K1053" t="s">
        <v>14</v>
      </c>
      <c r="L1053" t="s">
        <v>298</v>
      </c>
      <c r="M1053" t="s">
        <v>299</v>
      </c>
      <c r="N1053">
        <v>0</v>
      </c>
      <c r="O1053" t="str">
        <f>IF(Transactions_RAW_cleaned[[#This Row],[Status]]="Completed", IFERROR(_xlfn.XLOOKUP(Transactions_RAW_cleaned[[#This Row],[CustomerID]], Customers_cleaned[CustomerID], Customers_cleaned[Segment]), "Customer Not Found"), "N/A")</f>
        <v>Startup</v>
      </c>
      <c r="P1053" s="5" t="str">
        <f>IF(Transactions_RAW_cleaned[[#This Row],[Status]]="Refunded", "Refund",
  IF(Transactions_RAW_cleaned[[#This Row],[Category]]="Payments", IF(Transactions_RAW_cleaned[[#This Row],[Amount]]&gt;500,"High Value","Standard"),
    IF(Transactions_RAW_cleaned[[#This Row],[Amount]]&gt;250,"High Value","Standard")))</f>
        <v>High Value</v>
      </c>
      <c r="Q1053" s="5" t="str">
        <f>IF(Transactions_RAW_cleaned[[#This Row],[Amount]] &gt; (_xlfn.XLOOKUP(Transactions_RAW_cleaned[[#This Row],[ServiceID]],Services_cleaned[ServiceID],Services_cleaned[TransactionFeePct]) * 10000), "Yes", "No")</f>
        <v>Yes</v>
      </c>
      <c r="R1053" s="5" t="str">
        <f>IF(COUNTIFS($C$2:Transactions_RAW_cleaned[[#This Row],[CustomerID]],Transactions_RAW_cleaned[[#This Row],[CustomerID]],$D$2:Transactions_RAW_cleaned[[#This Row],[ServiceID]],Transactions_RAW_cleaned[[#This Row],[ServiceID]])=1,"Yes","No")</f>
        <v>No</v>
      </c>
      <c r="S105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53" t="str">
        <f>"Q"&amp;ROUNDUP(MONTH(Transactions_RAW_cleaned[[#This Row],[TransactionDate]])/3,0)</f>
        <v>Q1</v>
      </c>
      <c r="U1053" t="str">
        <f>Transactions_RAW_cleaned[[#This Row],[Region ]]&amp;Transactions_RAW_cleaned[[#This Row],[Quarter ]]</f>
        <v>APACQ1</v>
      </c>
      <c r="V1053" s="5">
        <f>_xlfn.XLOOKUP(Transactions_RAW_cleaned[[#This Row],[RegionQuarterKey]], Quarterly_Targets_cleaned[RegionQuarterKey], Quarterly_Targets_cleaned[TargetRevenue])</f>
        <v>104500</v>
      </c>
    </row>
    <row r="1054" spans="1:22" x14ac:dyDescent="0.25">
      <c r="A1054" t="s">
        <v>1387</v>
      </c>
      <c r="B1054" s="1">
        <v>45420</v>
      </c>
      <c r="C1054" t="s">
        <v>247</v>
      </c>
      <c r="D1054" t="s">
        <v>297</v>
      </c>
      <c r="E1054">
        <v>289.7</v>
      </c>
      <c r="F1054" t="s">
        <v>324</v>
      </c>
      <c r="G1054" t="s">
        <v>337</v>
      </c>
      <c r="H1054" t="s">
        <v>334</v>
      </c>
      <c r="I1054" t="s">
        <v>17</v>
      </c>
      <c r="J1054" t="s">
        <v>13</v>
      </c>
      <c r="K1054" t="s">
        <v>28</v>
      </c>
      <c r="L1054" t="s">
        <v>298</v>
      </c>
      <c r="M1054" t="s">
        <v>299</v>
      </c>
      <c r="N1054">
        <v>0</v>
      </c>
      <c r="O1054" t="str">
        <f>IF(Transactions_RAW_cleaned[[#This Row],[Status]]="Completed", IFERROR(_xlfn.XLOOKUP(Transactions_RAW_cleaned[[#This Row],[CustomerID]], Customers_cleaned[CustomerID], Customers_cleaned[Segment]), "Customer Not Found"), "N/A")</f>
        <v>Enterprise</v>
      </c>
      <c r="P1054" s="5" t="str">
        <f>IF(Transactions_RAW_cleaned[[#This Row],[Status]]="Refunded", "Refund",
  IF(Transactions_RAW_cleaned[[#This Row],[Category]]="Payments", IF(Transactions_RAW_cleaned[[#This Row],[Amount]]&gt;500,"High Value","Standard"),
    IF(Transactions_RAW_cleaned[[#This Row],[Amount]]&gt;250,"High Value","Standard")))</f>
        <v>High Value</v>
      </c>
      <c r="Q1054" s="5" t="str">
        <f>IF(Transactions_RAW_cleaned[[#This Row],[Amount]] &gt; (_xlfn.XLOOKUP(Transactions_RAW_cleaned[[#This Row],[ServiceID]],Services_cleaned[ServiceID],Services_cleaned[TransactionFeePct]) * 10000), "Yes", "No")</f>
        <v>Yes</v>
      </c>
      <c r="R1054" s="5" t="str">
        <f>IF(COUNTIFS($C$2:Transactions_RAW_cleaned[[#This Row],[CustomerID]],Transactions_RAW_cleaned[[#This Row],[CustomerID]],$D$2:Transactions_RAW_cleaned[[#This Row],[ServiceID]],Transactions_RAW_cleaned[[#This Row],[ServiceID]])=1,"Yes","No")</f>
        <v>Yes</v>
      </c>
      <c r="S105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54" t="str">
        <f>"Q"&amp;ROUNDUP(MONTH(Transactions_RAW_cleaned[[#This Row],[TransactionDate]])/3,0)</f>
        <v>Q2</v>
      </c>
      <c r="U1054" t="str">
        <f>Transactions_RAW_cleaned[[#This Row],[Region ]]&amp;Transactions_RAW_cleaned[[#This Row],[Quarter ]]</f>
        <v>NAQ2</v>
      </c>
      <c r="V1054" s="5">
        <f>_xlfn.XLOOKUP(Transactions_RAW_cleaned[[#This Row],[RegionQuarterKey]], Quarterly_Targets_cleaned[RegionQuarterKey], Quarterly_Targets_cleaned[TargetRevenue])</f>
        <v>260000</v>
      </c>
    </row>
    <row r="1055" spans="1:22" x14ac:dyDescent="0.25">
      <c r="A1055" t="s">
        <v>1388</v>
      </c>
      <c r="B1055" s="1">
        <v>45298</v>
      </c>
      <c r="C1055" t="s">
        <v>261</v>
      </c>
      <c r="D1055" t="s">
        <v>315</v>
      </c>
      <c r="E1055">
        <v>445.12</v>
      </c>
      <c r="F1055" t="s">
        <v>324</v>
      </c>
      <c r="G1055" t="s">
        <v>337</v>
      </c>
      <c r="I1055" t="s">
        <v>8</v>
      </c>
      <c r="J1055" t="s">
        <v>31</v>
      </c>
      <c r="K1055" t="s">
        <v>18</v>
      </c>
      <c r="L1055" t="s">
        <v>316</v>
      </c>
      <c r="M1055" t="s">
        <v>305</v>
      </c>
      <c r="N1055">
        <v>2.5000000000000001E-3</v>
      </c>
      <c r="O1055" t="str">
        <f>IF(Transactions_RAW_cleaned[[#This Row],[Status]]="Completed", IFERROR(_xlfn.XLOOKUP(Transactions_RAW_cleaned[[#This Row],[CustomerID]], Customers_cleaned[CustomerID], Customers_cleaned[Segment]), "Customer Not Found"), "N/A")</f>
        <v>SMB</v>
      </c>
      <c r="P1055" s="5" t="str">
        <f>IF(Transactions_RAW_cleaned[[#This Row],[Status]]="Refunded", "Refund",
  IF(Transactions_RAW_cleaned[[#This Row],[Category]]="Payments", IF(Transactions_RAW_cleaned[[#This Row],[Amount]]&gt;500,"High Value","Standard"),
    IF(Transactions_RAW_cleaned[[#This Row],[Amount]]&gt;250,"High Value","Standard")))</f>
        <v>High Value</v>
      </c>
      <c r="Q1055" s="5" t="str">
        <f>IF(Transactions_RAW_cleaned[[#This Row],[Amount]] &gt; (_xlfn.XLOOKUP(Transactions_RAW_cleaned[[#This Row],[ServiceID]],Services_cleaned[ServiceID],Services_cleaned[TransactionFeePct]) * 10000), "Yes", "No")</f>
        <v>Yes</v>
      </c>
      <c r="R1055" s="5" t="str">
        <f>IF(COUNTIFS($C$2:Transactions_RAW_cleaned[[#This Row],[CustomerID]],Transactions_RAW_cleaned[[#This Row],[CustomerID]],$D$2:Transactions_RAW_cleaned[[#This Row],[ServiceID]],Transactions_RAW_cleaned[[#This Row],[ServiceID]])=1,"Yes","No")</f>
        <v>Yes</v>
      </c>
      <c r="S105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055" t="str">
        <f>"Q"&amp;ROUNDUP(MONTH(Transactions_RAW_cleaned[[#This Row],[TransactionDate]])/3,0)</f>
        <v>Q1</v>
      </c>
      <c r="U1055" t="str">
        <f>Transactions_RAW_cleaned[[#This Row],[Region ]]&amp;Transactions_RAW_cleaned[[#This Row],[Quarter ]]</f>
        <v>EMEAQ1</v>
      </c>
      <c r="V1055" s="5">
        <f>_xlfn.XLOOKUP(Transactions_RAW_cleaned[[#This Row],[RegionQuarterKey]], Quarterly_Targets_cleaned[RegionQuarterKey], Quarterly_Targets_cleaned[TargetRevenue])</f>
        <v>133000</v>
      </c>
    </row>
    <row r="1056" spans="1:22" x14ac:dyDescent="0.25">
      <c r="A1056" t="s">
        <v>1389</v>
      </c>
      <c r="B1056" s="1">
        <v>45324</v>
      </c>
      <c r="C1056" t="s">
        <v>191</v>
      </c>
      <c r="D1056" t="s">
        <v>300</v>
      </c>
      <c r="E1056">
        <v>367.64</v>
      </c>
      <c r="F1056" t="s">
        <v>324</v>
      </c>
      <c r="G1056" t="s">
        <v>325</v>
      </c>
      <c r="H1056" t="s">
        <v>332</v>
      </c>
      <c r="I1056" t="s">
        <v>57</v>
      </c>
      <c r="J1056" t="s">
        <v>31</v>
      </c>
      <c r="K1056" t="s">
        <v>32</v>
      </c>
      <c r="L1056" t="s">
        <v>301</v>
      </c>
      <c r="M1056" t="s">
        <v>302</v>
      </c>
      <c r="N1056">
        <v>5.0000000000000001E-3</v>
      </c>
      <c r="O1056" t="str">
        <f>IF(Transactions_RAW_cleaned[[#This Row],[Status]]="Completed", IFERROR(_xlfn.XLOOKUP(Transactions_RAW_cleaned[[#This Row],[CustomerID]], Customers_cleaned[CustomerID], Customers_cleaned[Segment]), "Customer Not Found"), "N/A")</f>
        <v>Startup</v>
      </c>
      <c r="P1056" s="5" t="str">
        <f>IF(Transactions_RAW_cleaned[[#This Row],[Status]]="Refunded", "Refund",
  IF(Transactions_RAW_cleaned[[#This Row],[Category]]="Payments", IF(Transactions_RAW_cleaned[[#This Row],[Amount]]&gt;500,"High Value","Standard"),
    IF(Transactions_RAW_cleaned[[#This Row],[Amount]]&gt;250,"High Value","Standard")))</f>
        <v>High Value</v>
      </c>
      <c r="Q1056" s="5" t="str">
        <f>IF(Transactions_RAW_cleaned[[#This Row],[Amount]] &gt; (_xlfn.XLOOKUP(Transactions_RAW_cleaned[[#This Row],[ServiceID]],Services_cleaned[ServiceID],Services_cleaned[TransactionFeePct]) * 10000), "Yes", "No")</f>
        <v>Yes</v>
      </c>
      <c r="R1056" s="5" t="str">
        <f>IF(COUNTIFS($C$2:Transactions_RAW_cleaned[[#This Row],[CustomerID]],Transactions_RAW_cleaned[[#This Row],[CustomerID]],$D$2:Transactions_RAW_cleaned[[#This Row],[ServiceID]],Transactions_RAW_cleaned[[#This Row],[ServiceID]])=1,"Yes","No")</f>
        <v>No</v>
      </c>
      <c r="S105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056" t="str">
        <f>"Q"&amp;ROUNDUP(MONTH(Transactions_RAW_cleaned[[#This Row],[TransactionDate]])/3,0)</f>
        <v>Q1</v>
      </c>
      <c r="U1056" t="str">
        <f>Transactions_RAW_cleaned[[#This Row],[Region ]]&amp;Transactions_RAW_cleaned[[#This Row],[Quarter ]]</f>
        <v>EMEAQ1</v>
      </c>
      <c r="V1056" s="5">
        <f>_xlfn.XLOOKUP(Transactions_RAW_cleaned[[#This Row],[RegionQuarterKey]], Quarterly_Targets_cleaned[RegionQuarterKey], Quarterly_Targets_cleaned[TargetRevenue])</f>
        <v>133000</v>
      </c>
    </row>
    <row r="1057" spans="1:22" x14ac:dyDescent="0.25">
      <c r="A1057" t="s">
        <v>1390</v>
      </c>
      <c r="B1057" s="1">
        <v>45548</v>
      </c>
      <c r="C1057" t="s">
        <v>257</v>
      </c>
      <c r="D1057" t="s">
        <v>312</v>
      </c>
      <c r="E1057">
        <v>268.89</v>
      </c>
      <c r="F1057" t="s">
        <v>324</v>
      </c>
      <c r="G1057" t="s">
        <v>325</v>
      </c>
      <c r="I1057" t="s">
        <v>57</v>
      </c>
      <c r="J1057" t="s">
        <v>13</v>
      </c>
      <c r="K1057" t="s">
        <v>22</v>
      </c>
      <c r="L1057" t="s">
        <v>313</v>
      </c>
      <c r="M1057" t="s">
        <v>314</v>
      </c>
      <c r="N1057">
        <v>0</v>
      </c>
      <c r="O1057" t="str">
        <f>IF(Transactions_RAW_cleaned[[#This Row],[Status]]="Completed", IFERROR(_xlfn.XLOOKUP(Transactions_RAW_cleaned[[#This Row],[CustomerID]], Customers_cleaned[CustomerID], Customers_cleaned[Segment]), "Customer Not Found"), "N/A")</f>
        <v>Startup</v>
      </c>
      <c r="P1057" s="5" t="str">
        <f>IF(Transactions_RAW_cleaned[[#This Row],[Status]]="Refunded", "Refund",
  IF(Transactions_RAW_cleaned[[#This Row],[Category]]="Payments", IF(Transactions_RAW_cleaned[[#This Row],[Amount]]&gt;500,"High Value","Standard"),
    IF(Transactions_RAW_cleaned[[#This Row],[Amount]]&gt;250,"High Value","Standard")))</f>
        <v>High Value</v>
      </c>
      <c r="Q1057" s="5" t="str">
        <f>IF(Transactions_RAW_cleaned[[#This Row],[Amount]] &gt; (_xlfn.XLOOKUP(Transactions_RAW_cleaned[[#This Row],[ServiceID]],Services_cleaned[ServiceID],Services_cleaned[TransactionFeePct]) * 10000), "Yes", "No")</f>
        <v>Yes</v>
      </c>
      <c r="R1057" s="5" t="str">
        <f>IF(COUNTIFS($C$2:Transactions_RAW_cleaned[[#This Row],[CustomerID]],Transactions_RAW_cleaned[[#This Row],[CustomerID]],$D$2:Transactions_RAW_cleaned[[#This Row],[ServiceID]],Transactions_RAW_cleaned[[#This Row],[ServiceID]])=1,"Yes","No")</f>
        <v>Yes</v>
      </c>
      <c r="S105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57" t="str">
        <f>"Q"&amp;ROUNDUP(MONTH(Transactions_RAW_cleaned[[#This Row],[TransactionDate]])/3,0)</f>
        <v>Q3</v>
      </c>
      <c r="U1057" t="str">
        <f>Transactions_RAW_cleaned[[#This Row],[Region ]]&amp;Transactions_RAW_cleaned[[#This Row],[Quarter ]]</f>
        <v>NAQ3</v>
      </c>
      <c r="V1057" s="5">
        <f>_xlfn.XLOOKUP(Transactions_RAW_cleaned[[#This Row],[RegionQuarterKey]], Quarterly_Targets_cleaned[RegionQuarterKey], Quarterly_Targets_cleaned[TargetRevenue])</f>
        <v>273000</v>
      </c>
    </row>
    <row r="1058" spans="1:22" x14ac:dyDescent="0.25">
      <c r="A1058" t="s">
        <v>1391</v>
      </c>
      <c r="B1058" s="1">
        <v>45563</v>
      </c>
      <c r="C1058" t="s">
        <v>159</v>
      </c>
      <c r="D1058" t="s">
        <v>294</v>
      </c>
      <c r="E1058">
        <v>499.52</v>
      </c>
      <c r="F1058" t="s">
        <v>331</v>
      </c>
      <c r="G1058" t="s">
        <v>325</v>
      </c>
      <c r="I1058" t="s">
        <v>57</v>
      </c>
      <c r="J1058" t="s">
        <v>25</v>
      </c>
      <c r="K1058" t="s">
        <v>22</v>
      </c>
      <c r="L1058" t="s">
        <v>295</v>
      </c>
      <c r="M1058" t="s">
        <v>296</v>
      </c>
      <c r="N1058">
        <v>2.9000000000000001E-2</v>
      </c>
      <c r="O1058" t="str">
        <f>IF(Transactions_RAW_cleaned[[#This Row],[Status]]="Completed", IFERROR(_xlfn.XLOOKUP(Transactions_RAW_cleaned[[#This Row],[CustomerID]], Customers_cleaned[CustomerID], Customers_cleaned[Segment]), "Customer Not Found"), "N/A")</f>
        <v>N/A</v>
      </c>
      <c r="P1058" s="5" t="str">
        <f>IF(Transactions_RAW_cleaned[[#This Row],[Status]]="Refunded", "Refund",
  IF(Transactions_RAW_cleaned[[#This Row],[Category]]="Payments", IF(Transactions_RAW_cleaned[[#This Row],[Amount]]&gt;500,"High Value","Standard"),
    IF(Transactions_RAW_cleaned[[#This Row],[Amount]]&gt;250,"High Value","Standard")))</f>
        <v>Standard</v>
      </c>
      <c r="Q1058" s="5" t="str">
        <f>IF(Transactions_RAW_cleaned[[#This Row],[Amount]] &gt; (_xlfn.XLOOKUP(Transactions_RAW_cleaned[[#This Row],[ServiceID]],Services_cleaned[ServiceID],Services_cleaned[TransactionFeePct]) * 10000), "Yes", "No")</f>
        <v>Yes</v>
      </c>
      <c r="R1058" s="5" t="str">
        <f>IF(COUNTIFS($C$2:Transactions_RAW_cleaned[[#This Row],[CustomerID]],Transactions_RAW_cleaned[[#This Row],[CustomerID]],$D$2:Transactions_RAW_cleaned[[#This Row],[ServiceID]],Transactions_RAW_cleaned[[#This Row],[ServiceID]])=1,"Yes","No")</f>
        <v>No</v>
      </c>
      <c r="S105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58" t="str">
        <f>"Q"&amp;ROUNDUP(MONTH(Transactions_RAW_cleaned[[#This Row],[TransactionDate]])/3,0)</f>
        <v>Q3</v>
      </c>
      <c r="U1058" t="str">
        <f>Transactions_RAW_cleaned[[#This Row],[Region ]]&amp;Transactions_RAW_cleaned[[#This Row],[Quarter ]]</f>
        <v>APACQ3</v>
      </c>
      <c r="V1058" s="5">
        <f>_xlfn.XLOOKUP(Transactions_RAW_cleaned[[#This Row],[RegionQuarterKey]], Quarterly_Targets_cleaned[RegionQuarterKey], Quarterly_Targets_cleaned[TargetRevenue])</f>
        <v>115500</v>
      </c>
    </row>
    <row r="1059" spans="1:22" x14ac:dyDescent="0.25">
      <c r="A1059" t="s">
        <v>1392</v>
      </c>
      <c r="B1059" s="1">
        <v>45604</v>
      </c>
      <c r="C1059" t="s">
        <v>209</v>
      </c>
      <c r="D1059" t="s">
        <v>315</v>
      </c>
      <c r="E1059">
        <v>374.06</v>
      </c>
      <c r="F1059" t="s">
        <v>324</v>
      </c>
      <c r="G1059" t="s">
        <v>337</v>
      </c>
      <c r="H1059" t="s">
        <v>334</v>
      </c>
      <c r="I1059" t="s">
        <v>17</v>
      </c>
      <c r="J1059" t="s">
        <v>102</v>
      </c>
      <c r="K1059" t="s">
        <v>22</v>
      </c>
      <c r="L1059" t="s">
        <v>316</v>
      </c>
      <c r="M1059" t="s">
        <v>305</v>
      </c>
      <c r="N1059">
        <v>2.5000000000000001E-3</v>
      </c>
      <c r="O1059" t="str">
        <f>IF(Transactions_RAW_cleaned[[#This Row],[Status]]="Completed", IFERROR(_xlfn.XLOOKUP(Transactions_RAW_cleaned[[#This Row],[CustomerID]], Customers_cleaned[CustomerID], Customers_cleaned[Segment]), "Customer Not Found"), "N/A")</f>
        <v>Enterprise</v>
      </c>
      <c r="P1059" s="5" t="str">
        <f>IF(Transactions_RAW_cleaned[[#This Row],[Status]]="Refunded", "Refund",
  IF(Transactions_RAW_cleaned[[#This Row],[Category]]="Payments", IF(Transactions_RAW_cleaned[[#This Row],[Amount]]&gt;500,"High Value","Standard"),
    IF(Transactions_RAW_cleaned[[#This Row],[Amount]]&gt;250,"High Value","Standard")))</f>
        <v>High Value</v>
      </c>
      <c r="Q1059" s="5" t="str">
        <f>IF(Transactions_RAW_cleaned[[#This Row],[Amount]] &gt; (_xlfn.XLOOKUP(Transactions_RAW_cleaned[[#This Row],[ServiceID]],Services_cleaned[ServiceID],Services_cleaned[TransactionFeePct]) * 10000), "Yes", "No")</f>
        <v>Yes</v>
      </c>
      <c r="R1059" s="5" t="str">
        <f>IF(COUNTIFS($C$2:Transactions_RAW_cleaned[[#This Row],[CustomerID]],Transactions_RAW_cleaned[[#This Row],[CustomerID]],$D$2:Transactions_RAW_cleaned[[#This Row],[ServiceID]],Transactions_RAW_cleaned[[#This Row],[ServiceID]])=1,"Yes","No")</f>
        <v>Yes</v>
      </c>
      <c r="S105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59" t="str">
        <f>"Q"&amp;ROUNDUP(MONTH(Transactions_RAW_cleaned[[#This Row],[TransactionDate]])/3,0)</f>
        <v>Q4</v>
      </c>
      <c r="U1059" t="str">
        <f>Transactions_RAW_cleaned[[#This Row],[Region ]]&amp;Transactions_RAW_cleaned[[#This Row],[Quarter ]]</f>
        <v>NAQ4</v>
      </c>
      <c r="V1059" s="5">
        <f>_xlfn.XLOOKUP(Transactions_RAW_cleaned[[#This Row],[RegionQuarterKey]], Quarterly_Targets_cleaned[RegionQuarterKey], Quarterly_Targets_cleaned[TargetRevenue])</f>
        <v>299000</v>
      </c>
    </row>
    <row r="1060" spans="1:22" x14ac:dyDescent="0.25">
      <c r="A1060" t="s">
        <v>1393</v>
      </c>
      <c r="B1060" s="1">
        <v>45555</v>
      </c>
      <c r="C1060" t="s">
        <v>64</v>
      </c>
      <c r="D1060" t="s">
        <v>315</v>
      </c>
      <c r="E1060">
        <v>513.6</v>
      </c>
      <c r="F1060" t="s">
        <v>331</v>
      </c>
      <c r="G1060" t="s">
        <v>325</v>
      </c>
      <c r="I1060" t="s">
        <v>8</v>
      </c>
      <c r="J1060" t="s">
        <v>37</v>
      </c>
      <c r="K1060" t="s">
        <v>28</v>
      </c>
      <c r="L1060" t="s">
        <v>316</v>
      </c>
      <c r="M1060" t="s">
        <v>305</v>
      </c>
      <c r="N1060">
        <v>2.5000000000000001E-3</v>
      </c>
      <c r="O1060" t="str">
        <f>IF(Transactions_RAW_cleaned[[#This Row],[Status]]="Completed", IFERROR(_xlfn.XLOOKUP(Transactions_RAW_cleaned[[#This Row],[CustomerID]], Customers_cleaned[CustomerID], Customers_cleaned[Segment]), "Customer Not Found"), "N/A")</f>
        <v>N/A</v>
      </c>
      <c r="P1060" s="5" t="str">
        <f>IF(Transactions_RAW_cleaned[[#This Row],[Status]]="Refunded", "Refund",
  IF(Transactions_RAW_cleaned[[#This Row],[Category]]="Payments", IF(Transactions_RAW_cleaned[[#This Row],[Amount]]&gt;500,"High Value","Standard"),
    IF(Transactions_RAW_cleaned[[#This Row],[Amount]]&gt;250,"High Value","Standard")))</f>
        <v>High Value</v>
      </c>
      <c r="Q1060" s="5" t="str">
        <f>IF(Transactions_RAW_cleaned[[#This Row],[Amount]] &gt; (_xlfn.XLOOKUP(Transactions_RAW_cleaned[[#This Row],[ServiceID]],Services_cleaned[ServiceID],Services_cleaned[TransactionFeePct]) * 10000), "Yes", "No")</f>
        <v>Yes</v>
      </c>
      <c r="R1060" s="5" t="str">
        <f>IF(COUNTIFS($C$2:Transactions_RAW_cleaned[[#This Row],[CustomerID]],Transactions_RAW_cleaned[[#This Row],[CustomerID]],$D$2:Transactions_RAW_cleaned[[#This Row],[ServiceID]],Transactions_RAW_cleaned[[#This Row],[ServiceID]])=1,"Yes","No")</f>
        <v>No</v>
      </c>
      <c r="S106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060" t="str">
        <f>"Q"&amp;ROUNDUP(MONTH(Transactions_RAW_cleaned[[#This Row],[TransactionDate]])/3,0)</f>
        <v>Q3</v>
      </c>
      <c r="U1060" t="str">
        <f>Transactions_RAW_cleaned[[#This Row],[Region ]]&amp;Transactions_RAW_cleaned[[#This Row],[Quarter ]]</f>
        <v>EMEAQ3</v>
      </c>
      <c r="V1060" s="5">
        <f>_xlfn.XLOOKUP(Transactions_RAW_cleaned[[#This Row],[RegionQuarterKey]], Quarterly_Targets_cleaned[RegionQuarterKey], Quarterly_Targets_cleaned[TargetRevenue])</f>
        <v>147000</v>
      </c>
    </row>
    <row r="1061" spans="1:22" x14ac:dyDescent="0.25">
      <c r="A1061" t="s">
        <v>1394</v>
      </c>
      <c r="B1061" s="1">
        <v>45384</v>
      </c>
      <c r="C1061" t="s">
        <v>257</v>
      </c>
      <c r="D1061" t="s">
        <v>294</v>
      </c>
      <c r="E1061">
        <v>395.67</v>
      </c>
      <c r="F1061" t="s">
        <v>324</v>
      </c>
      <c r="G1061" t="s">
        <v>337</v>
      </c>
      <c r="H1061" t="s">
        <v>346</v>
      </c>
      <c r="I1061" t="s">
        <v>57</v>
      </c>
      <c r="J1061" t="s">
        <v>13</v>
      </c>
      <c r="K1061" t="s">
        <v>22</v>
      </c>
      <c r="L1061" t="s">
        <v>295</v>
      </c>
      <c r="M1061" t="s">
        <v>296</v>
      </c>
      <c r="N1061">
        <v>2.9000000000000001E-2</v>
      </c>
      <c r="O1061" t="str">
        <f>IF(Transactions_RAW_cleaned[[#This Row],[Status]]="Completed", IFERROR(_xlfn.XLOOKUP(Transactions_RAW_cleaned[[#This Row],[CustomerID]], Customers_cleaned[CustomerID], Customers_cleaned[Segment]), "Customer Not Found"), "N/A")</f>
        <v>Startup</v>
      </c>
      <c r="P1061" s="5" t="str">
        <f>IF(Transactions_RAW_cleaned[[#This Row],[Status]]="Refunded", "Refund",
  IF(Transactions_RAW_cleaned[[#This Row],[Category]]="Payments", IF(Transactions_RAW_cleaned[[#This Row],[Amount]]&gt;500,"High Value","Standard"),
    IF(Transactions_RAW_cleaned[[#This Row],[Amount]]&gt;250,"High Value","Standard")))</f>
        <v>Standard</v>
      </c>
      <c r="Q1061" s="5" t="str">
        <f>IF(Transactions_RAW_cleaned[[#This Row],[Amount]] &gt; (_xlfn.XLOOKUP(Transactions_RAW_cleaned[[#This Row],[ServiceID]],Services_cleaned[ServiceID],Services_cleaned[TransactionFeePct]) * 10000), "Yes", "No")</f>
        <v>Yes</v>
      </c>
      <c r="R1061" s="5" t="str">
        <f>IF(COUNTIFS($C$2:Transactions_RAW_cleaned[[#This Row],[CustomerID]],Transactions_RAW_cleaned[[#This Row],[CustomerID]],$D$2:Transactions_RAW_cleaned[[#This Row],[ServiceID]],Transactions_RAW_cleaned[[#This Row],[ServiceID]])=1,"Yes","No")</f>
        <v>No</v>
      </c>
      <c r="S106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61" t="str">
        <f>"Q"&amp;ROUNDUP(MONTH(Transactions_RAW_cleaned[[#This Row],[TransactionDate]])/3,0)</f>
        <v>Q2</v>
      </c>
      <c r="U1061" t="str">
        <f>Transactions_RAW_cleaned[[#This Row],[Region ]]&amp;Transactions_RAW_cleaned[[#This Row],[Quarter ]]</f>
        <v>NAQ2</v>
      </c>
      <c r="V1061" s="5">
        <f>_xlfn.XLOOKUP(Transactions_RAW_cleaned[[#This Row],[RegionQuarterKey]], Quarterly_Targets_cleaned[RegionQuarterKey], Quarterly_Targets_cleaned[TargetRevenue])</f>
        <v>260000</v>
      </c>
    </row>
    <row r="1062" spans="1:22" x14ac:dyDescent="0.25">
      <c r="A1062" t="s">
        <v>1395</v>
      </c>
      <c r="B1062" s="1">
        <v>45454</v>
      </c>
      <c r="C1062" t="s">
        <v>98</v>
      </c>
      <c r="D1062" t="s">
        <v>306</v>
      </c>
      <c r="E1062">
        <v>482.35</v>
      </c>
      <c r="F1062" t="s">
        <v>324</v>
      </c>
      <c r="G1062" t="s">
        <v>337</v>
      </c>
      <c r="H1062" t="s">
        <v>346</v>
      </c>
      <c r="I1062" t="s">
        <v>8</v>
      </c>
      <c r="J1062" t="s">
        <v>37</v>
      </c>
      <c r="K1062" t="s">
        <v>18</v>
      </c>
      <c r="L1062" t="s">
        <v>307</v>
      </c>
      <c r="M1062" t="s">
        <v>308</v>
      </c>
      <c r="N1062">
        <v>0</v>
      </c>
      <c r="O1062" t="str">
        <f>IF(Transactions_RAW_cleaned[[#This Row],[Status]]="Completed", IFERROR(_xlfn.XLOOKUP(Transactions_RAW_cleaned[[#This Row],[CustomerID]], Customers_cleaned[CustomerID], Customers_cleaned[Segment]), "Customer Not Found"), "N/A")</f>
        <v>SMB</v>
      </c>
      <c r="P1062" s="5" t="str">
        <f>IF(Transactions_RAW_cleaned[[#This Row],[Status]]="Refunded", "Refund",
  IF(Transactions_RAW_cleaned[[#This Row],[Category]]="Payments", IF(Transactions_RAW_cleaned[[#This Row],[Amount]]&gt;500,"High Value","Standard"),
    IF(Transactions_RAW_cleaned[[#This Row],[Amount]]&gt;250,"High Value","Standard")))</f>
        <v>High Value</v>
      </c>
      <c r="Q1062" s="5" t="str">
        <f>IF(Transactions_RAW_cleaned[[#This Row],[Amount]] &gt; (_xlfn.XLOOKUP(Transactions_RAW_cleaned[[#This Row],[ServiceID]],Services_cleaned[ServiceID],Services_cleaned[TransactionFeePct]) * 10000), "Yes", "No")</f>
        <v>Yes</v>
      </c>
      <c r="R1062" s="5" t="str">
        <f>IF(COUNTIFS($C$2:Transactions_RAW_cleaned[[#This Row],[CustomerID]],Transactions_RAW_cleaned[[#This Row],[CustomerID]],$D$2:Transactions_RAW_cleaned[[#This Row],[ServiceID]],Transactions_RAW_cleaned[[#This Row],[ServiceID]])=1,"Yes","No")</f>
        <v>No</v>
      </c>
      <c r="S106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062" t="str">
        <f>"Q"&amp;ROUNDUP(MONTH(Transactions_RAW_cleaned[[#This Row],[TransactionDate]])/3,0)</f>
        <v>Q2</v>
      </c>
      <c r="U1062" t="str">
        <f>Transactions_RAW_cleaned[[#This Row],[Region ]]&amp;Transactions_RAW_cleaned[[#This Row],[Quarter ]]</f>
        <v>EMEAQ2</v>
      </c>
      <c r="V1062" s="5">
        <f>_xlfn.XLOOKUP(Transactions_RAW_cleaned[[#This Row],[RegionQuarterKey]], Quarterly_Targets_cleaned[RegionQuarterKey], Quarterly_Targets_cleaned[TargetRevenue])</f>
        <v>140000</v>
      </c>
    </row>
    <row r="1063" spans="1:22" x14ac:dyDescent="0.25">
      <c r="A1063" t="s">
        <v>1396</v>
      </c>
      <c r="B1063" s="1">
        <v>45467</v>
      </c>
      <c r="C1063" t="s">
        <v>259</v>
      </c>
      <c r="D1063" t="s">
        <v>315</v>
      </c>
      <c r="E1063">
        <v>77.33</v>
      </c>
      <c r="F1063" t="s">
        <v>324</v>
      </c>
      <c r="G1063" t="s">
        <v>325</v>
      </c>
      <c r="H1063" t="s">
        <v>334</v>
      </c>
      <c r="I1063" t="s">
        <v>8</v>
      </c>
      <c r="J1063" t="s">
        <v>31</v>
      </c>
      <c r="K1063" t="s">
        <v>22</v>
      </c>
      <c r="L1063" t="s">
        <v>316</v>
      </c>
      <c r="M1063" t="s">
        <v>305</v>
      </c>
      <c r="N1063">
        <v>2.5000000000000001E-3</v>
      </c>
      <c r="O1063" t="str">
        <f>IF(Transactions_RAW_cleaned[[#This Row],[Status]]="Completed", IFERROR(_xlfn.XLOOKUP(Transactions_RAW_cleaned[[#This Row],[CustomerID]], Customers_cleaned[CustomerID], Customers_cleaned[Segment]), "Customer Not Found"), "N/A")</f>
        <v>SMB</v>
      </c>
      <c r="P1063" s="5" t="str">
        <f>IF(Transactions_RAW_cleaned[[#This Row],[Status]]="Refunded", "Refund",
  IF(Transactions_RAW_cleaned[[#This Row],[Category]]="Payments", IF(Transactions_RAW_cleaned[[#This Row],[Amount]]&gt;500,"High Value","Standard"),
    IF(Transactions_RAW_cleaned[[#This Row],[Amount]]&gt;250,"High Value","Standard")))</f>
        <v>Standard</v>
      </c>
      <c r="Q1063" s="5" t="str">
        <f>IF(Transactions_RAW_cleaned[[#This Row],[Amount]] &gt; (_xlfn.XLOOKUP(Transactions_RAW_cleaned[[#This Row],[ServiceID]],Services_cleaned[ServiceID],Services_cleaned[TransactionFeePct]) * 10000), "Yes", "No")</f>
        <v>Yes</v>
      </c>
      <c r="R1063" s="5" t="str">
        <f>IF(COUNTIFS($C$2:Transactions_RAW_cleaned[[#This Row],[CustomerID]],Transactions_RAW_cleaned[[#This Row],[CustomerID]],$D$2:Transactions_RAW_cleaned[[#This Row],[ServiceID]],Transactions_RAW_cleaned[[#This Row],[ServiceID]])=1,"Yes","No")</f>
        <v>Yes</v>
      </c>
      <c r="S106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063" t="str">
        <f>"Q"&amp;ROUNDUP(MONTH(Transactions_RAW_cleaned[[#This Row],[TransactionDate]])/3,0)</f>
        <v>Q2</v>
      </c>
      <c r="U1063" t="str">
        <f>Transactions_RAW_cleaned[[#This Row],[Region ]]&amp;Transactions_RAW_cleaned[[#This Row],[Quarter ]]</f>
        <v>EMEAQ2</v>
      </c>
      <c r="V1063" s="5">
        <f>_xlfn.XLOOKUP(Transactions_RAW_cleaned[[#This Row],[RegionQuarterKey]], Quarterly_Targets_cleaned[RegionQuarterKey], Quarterly_Targets_cleaned[TargetRevenue])</f>
        <v>140000</v>
      </c>
    </row>
    <row r="1064" spans="1:22" x14ac:dyDescent="0.25">
      <c r="A1064" t="s">
        <v>1397</v>
      </c>
      <c r="B1064" s="1">
        <v>45612</v>
      </c>
      <c r="C1064" t="s">
        <v>55</v>
      </c>
      <c r="D1064" t="s">
        <v>294</v>
      </c>
      <c r="E1064">
        <v>-46.22</v>
      </c>
      <c r="F1064" t="s">
        <v>349</v>
      </c>
      <c r="G1064" t="s">
        <v>327</v>
      </c>
      <c r="I1064" t="s">
        <v>57</v>
      </c>
      <c r="J1064" t="s">
        <v>31</v>
      </c>
      <c r="K1064" t="s">
        <v>22</v>
      </c>
      <c r="L1064" t="s">
        <v>295</v>
      </c>
      <c r="M1064" t="s">
        <v>296</v>
      </c>
      <c r="N1064">
        <v>2.9000000000000001E-2</v>
      </c>
      <c r="O1064" t="str">
        <f>IF(Transactions_RAW_cleaned[[#This Row],[Status]]="Completed", IFERROR(_xlfn.XLOOKUP(Transactions_RAW_cleaned[[#This Row],[CustomerID]], Customers_cleaned[CustomerID], Customers_cleaned[Segment]), "Customer Not Found"), "N/A")</f>
        <v>N/A</v>
      </c>
      <c r="P1064" s="5" t="str">
        <f>IF(Transactions_RAW_cleaned[[#This Row],[Status]]="Refunded", "Refund",
  IF(Transactions_RAW_cleaned[[#This Row],[Category]]="Payments", IF(Transactions_RAW_cleaned[[#This Row],[Amount]]&gt;500,"High Value","Standard"),
    IF(Transactions_RAW_cleaned[[#This Row],[Amount]]&gt;250,"High Value","Standard")))</f>
        <v>Refund</v>
      </c>
      <c r="Q1064" s="5" t="str">
        <f>IF(Transactions_RAW_cleaned[[#This Row],[Amount]] &gt; (_xlfn.XLOOKUP(Transactions_RAW_cleaned[[#This Row],[ServiceID]],Services_cleaned[ServiceID],Services_cleaned[TransactionFeePct]) * 10000), "Yes", "No")</f>
        <v>No</v>
      </c>
      <c r="R1064" s="5" t="str">
        <f>IF(COUNTIFS($C$2:Transactions_RAW_cleaned[[#This Row],[CustomerID]],Transactions_RAW_cleaned[[#This Row],[CustomerID]],$D$2:Transactions_RAW_cleaned[[#This Row],[ServiceID]],Transactions_RAW_cleaned[[#This Row],[ServiceID]])=1,"Yes","No")</f>
        <v>No</v>
      </c>
      <c r="S106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064" t="str">
        <f>"Q"&amp;ROUNDUP(MONTH(Transactions_RAW_cleaned[[#This Row],[TransactionDate]])/3,0)</f>
        <v>Q4</v>
      </c>
      <c r="U1064" t="str">
        <f>Transactions_RAW_cleaned[[#This Row],[Region ]]&amp;Transactions_RAW_cleaned[[#This Row],[Quarter ]]</f>
        <v>EMEAQ4</v>
      </c>
      <c r="V1064" s="5">
        <f>_xlfn.XLOOKUP(Transactions_RAW_cleaned[[#This Row],[RegionQuarterKey]], Quarterly_Targets_cleaned[RegionQuarterKey], Quarterly_Targets_cleaned[TargetRevenue])</f>
        <v>161000</v>
      </c>
    </row>
    <row r="1065" spans="1:22" x14ac:dyDescent="0.25">
      <c r="A1065" t="s">
        <v>1398</v>
      </c>
      <c r="B1065" s="1">
        <v>45412</v>
      </c>
      <c r="C1065" t="s">
        <v>76</v>
      </c>
      <c r="D1065" t="s">
        <v>294</v>
      </c>
      <c r="E1065">
        <v>626.84</v>
      </c>
      <c r="F1065" t="s">
        <v>324</v>
      </c>
      <c r="G1065" t="s">
        <v>329</v>
      </c>
      <c r="I1065" t="s">
        <v>17</v>
      </c>
      <c r="J1065" t="s">
        <v>13</v>
      </c>
      <c r="K1065" t="s">
        <v>18</v>
      </c>
      <c r="L1065" t="s">
        <v>295</v>
      </c>
      <c r="M1065" t="s">
        <v>296</v>
      </c>
      <c r="N1065">
        <v>2.9000000000000001E-2</v>
      </c>
      <c r="O1065" t="str">
        <f>IF(Transactions_RAW_cleaned[[#This Row],[Status]]="Completed", IFERROR(_xlfn.XLOOKUP(Transactions_RAW_cleaned[[#This Row],[CustomerID]], Customers_cleaned[CustomerID], Customers_cleaned[Segment]), "Customer Not Found"), "N/A")</f>
        <v>Enterprise</v>
      </c>
      <c r="P1065" s="5" t="str">
        <f>IF(Transactions_RAW_cleaned[[#This Row],[Status]]="Refunded", "Refund",
  IF(Transactions_RAW_cleaned[[#This Row],[Category]]="Payments", IF(Transactions_RAW_cleaned[[#This Row],[Amount]]&gt;500,"High Value","Standard"),
    IF(Transactions_RAW_cleaned[[#This Row],[Amount]]&gt;250,"High Value","Standard")))</f>
        <v>High Value</v>
      </c>
      <c r="Q1065" s="5" t="str">
        <f>IF(Transactions_RAW_cleaned[[#This Row],[Amount]] &gt; (_xlfn.XLOOKUP(Transactions_RAW_cleaned[[#This Row],[ServiceID]],Services_cleaned[ServiceID],Services_cleaned[TransactionFeePct]) * 10000), "Yes", "No")</f>
        <v>Yes</v>
      </c>
      <c r="R1065" s="5" t="str">
        <f>IF(COUNTIFS($C$2:Transactions_RAW_cleaned[[#This Row],[CustomerID]],Transactions_RAW_cleaned[[#This Row],[CustomerID]],$D$2:Transactions_RAW_cleaned[[#This Row],[ServiceID]],Transactions_RAW_cleaned[[#This Row],[ServiceID]])=1,"Yes","No")</f>
        <v>No</v>
      </c>
      <c r="S106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65" t="str">
        <f>"Q"&amp;ROUNDUP(MONTH(Transactions_RAW_cleaned[[#This Row],[TransactionDate]])/3,0)</f>
        <v>Q2</v>
      </c>
      <c r="U1065" t="str">
        <f>Transactions_RAW_cleaned[[#This Row],[Region ]]&amp;Transactions_RAW_cleaned[[#This Row],[Quarter ]]</f>
        <v>NAQ2</v>
      </c>
      <c r="V1065" s="5">
        <f>_xlfn.XLOOKUP(Transactions_RAW_cleaned[[#This Row],[RegionQuarterKey]], Quarterly_Targets_cleaned[RegionQuarterKey], Quarterly_Targets_cleaned[TargetRevenue])</f>
        <v>260000</v>
      </c>
    </row>
    <row r="1066" spans="1:22" x14ac:dyDescent="0.25">
      <c r="A1066" t="s">
        <v>1399</v>
      </c>
      <c r="B1066" s="1">
        <v>45301</v>
      </c>
      <c r="C1066" t="s">
        <v>219</v>
      </c>
      <c r="D1066" t="s">
        <v>309</v>
      </c>
      <c r="E1066">
        <v>261.22000000000003</v>
      </c>
      <c r="F1066" t="s">
        <v>324</v>
      </c>
      <c r="G1066" t="s">
        <v>327</v>
      </c>
      <c r="I1066" t="s">
        <v>17</v>
      </c>
      <c r="J1066" t="s">
        <v>31</v>
      </c>
      <c r="K1066" t="s">
        <v>32</v>
      </c>
      <c r="L1066" t="s">
        <v>310</v>
      </c>
      <c r="M1066" t="s">
        <v>311</v>
      </c>
      <c r="N1066">
        <v>0</v>
      </c>
      <c r="O1066" t="str">
        <f>IF(Transactions_RAW_cleaned[[#This Row],[Status]]="Completed", IFERROR(_xlfn.XLOOKUP(Transactions_RAW_cleaned[[#This Row],[CustomerID]], Customers_cleaned[CustomerID], Customers_cleaned[Segment]), "Customer Not Found"), "N/A")</f>
        <v>Enterprise</v>
      </c>
      <c r="P1066" s="5" t="str">
        <f>IF(Transactions_RAW_cleaned[[#This Row],[Status]]="Refunded", "Refund",
  IF(Transactions_RAW_cleaned[[#This Row],[Category]]="Payments", IF(Transactions_RAW_cleaned[[#This Row],[Amount]]&gt;500,"High Value","Standard"),
    IF(Transactions_RAW_cleaned[[#This Row],[Amount]]&gt;250,"High Value","Standard")))</f>
        <v>High Value</v>
      </c>
      <c r="Q1066" s="5" t="str">
        <f>IF(Transactions_RAW_cleaned[[#This Row],[Amount]] &gt; (_xlfn.XLOOKUP(Transactions_RAW_cleaned[[#This Row],[ServiceID]],Services_cleaned[ServiceID],Services_cleaned[TransactionFeePct]) * 10000), "Yes", "No")</f>
        <v>Yes</v>
      </c>
      <c r="R1066" s="5" t="str">
        <f>IF(COUNTIFS($C$2:Transactions_RAW_cleaned[[#This Row],[CustomerID]],Transactions_RAW_cleaned[[#This Row],[CustomerID]],$D$2:Transactions_RAW_cleaned[[#This Row],[ServiceID]],Transactions_RAW_cleaned[[#This Row],[ServiceID]])=1,"Yes","No")</f>
        <v>Yes</v>
      </c>
      <c r="S106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066" t="str">
        <f>"Q"&amp;ROUNDUP(MONTH(Transactions_RAW_cleaned[[#This Row],[TransactionDate]])/3,0)</f>
        <v>Q1</v>
      </c>
      <c r="U1066" t="str">
        <f>Transactions_RAW_cleaned[[#This Row],[Region ]]&amp;Transactions_RAW_cleaned[[#This Row],[Quarter ]]</f>
        <v>EMEAQ1</v>
      </c>
      <c r="V1066" s="5">
        <f>_xlfn.XLOOKUP(Transactions_RAW_cleaned[[#This Row],[RegionQuarterKey]], Quarterly_Targets_cleaned[RegionQuarterKey], Quarterly_Targets_cleaned[TargetRevenue])</f>
        <v>133000</v>
      </c>
    </row>
    <row r="1067" spans="1:22" x14ac:dyDescent="0.25">
      <c r="A1067" t="s">
        <v>1400</v>
      </c>
      <c r="B1067" s="1">
        <v>45544</v>
      </c>
      <c r="C1067" t="s">
        <v>163</v>
      </c>
      <c r="D1067" t="s">
        <v>303</v>
      </c>
      <c r="E1067">
        <v>550.16999999999996</v>
      </c>
      <c r="F1067" t="s">
        <v>324</v>
      </c>
      <c r="G1067" t="s">
        <v>329</v>
      </c>
      <c r="H1067" t="s">
        <v>334</v>
      </c>
      <c r="I1067" t="s">
        <v>17</v>
      </c>
      <c r="J1067" t="s">
        <v>102</v>
      </c>
      <c r="K1067" t="s">
        <v>18</v>
      </c>
      <c r="L1067" t="s">
        <v>304</v>
      </c>
      <c r="M1067" t="s">
        <v>305</v>
      </c>
      <c r="N1067">
        <v>1E-3</v>
      </c>
      <c r="O1067" t="str">
        <f>IF(Transactions_RAW_cleaned[[#This Row],[Status]]="Completed", IFERROR(_xlfn.XLOOKUP(Transactions_RAW_cleaned[[#This Row],[CustomerID]], Customers_cleaned[CustomerID], Customers_cleaned[Segment]), "Customer Not Found"), "N/A")</f>
        <v>Enterprise</v>
      </c>
      <c r="P1067" s="5" t="str">
        <f>IF(Transactions_RAW_cleaned[[#This Row],[Status]]="Refunded", "Refund",
  IF(Transactions_RAW_cleaned[[#This Row],[Category]]="Payments", IF(Transactions_RAW_cleaned[[#This Row],[Amount]]&gt;500,"High Value","Standard"),
    IF(Transactions_RAW_cleaned[[#This Row],[Amount]]&gt;250,"High Value","Standard")))</f>
        <v>High Value</v>
      </c>
      <c r="Q1067" s="5" t="str">
        <f>IF(Transactions_RAW_cleaned[[#This Row],[Amount]] &gt; (_xlfn.XLOOKUP(Transactions_RAW_cleaned[[#This Row],[ServiceID]],Services_cleaned[ServiceID],Services_cleaned[TransactionFeePct]) * 10000), "Yes", "No")</f>
        <v>Yes</v>
      </c>
      <c r="R1067" s="5" t="str">
        <f>IF(COUNTIFS($C$2:Transactions_RAW_cleaned[[#This Row],[CustomerID]],Transactions_RAW_cleaned[[#This Row],[CustomerID]],$D$2:Transactions_RAW_cleaned[[#This Row],[ServiceID]],Transactions_RAW_cleaned[[#This Row],[ServiceID]])=1,"Yes","No")</f>
        <v>Yes</v>
      </c>
      <c r="S106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67" t="str">
        <f>"Q"&amp;ROUNDUP(MONTH(Transactions_RAW_cleaned[[#This Row],[TransactionDate]])/3,0)</f>
        <v>Q3</v>
      </c>
      <c r="U1067" t="str">
        <f>Transactions_RAW_cleaned[[#This Row],[Region ]]&amp;Transactions_RAW_cleaned[[#This Row],[Quarter ]]</f>
        <v>NAQ3</v>
      </c>
      <c r="V1067" s="5">
        <f>_xlfn.XLOOKUP(Transactions_RAW_cleaned[[#This Row],[RegionQuarterKey]], Quarterly_Targets_cleaned[RegionQuarterKey], Quarterly_Targets_cleaned[TargetRevenue])</f>
        <v>273000</v>
      </c>
    </row>
    <row r="1068" spans="1:22" x14ac:dyDescent="0.25">
      <c r="A1068" t="s">
        <v>1401</v>
      </c>
      <c r="B1068" s="1">
        <v>45423</v>
      </c>
      <c r="C1068" t="s">
        <v>173</v>
      </c>
      <c r="D1068" t="s">
        <v>309</v>
      </c>
      <c r="E1068">
        <v>451.4</v>
      </c>
      <c r="F1068" t="s">
        <v>324</v>
      </c>
      <c r="G1068" t="s">
        <v>325</v>
      </c>
      <c r="I1068" t="s">
        <v>8</v>
      </c>
      <c r="J1068" t="s">
        <v>46</v>
      </c>
      <c r="K1068" t="s">
        <v>32</v>
      </c>
      <c r="L1068" t="s">
        <v>310</v>
      </c>
      <c r="M1068" t="s">
        <v>311</v>
      </c>
      <c r="N1068">
        <v>0</v>
      </c>
      <c r="O1068" t="str">
        <f>IF(Transactions_RAW_cleaned[[#This Row],[Status]]="Completed", IFERROR(_xlfn.XLOOKUP(Transactions_RAW_cleaned[[#This Row],[CustomerID]], Customers_cleaned[CustomerID], Customers_cleaned[Segment]), "Customer Not Found"), "N/A")</f>
        <v>SMB</v>
      </c>
      <c r="P1068" s="5" t="str">
        <f>IF(Transactions_RAW_cleaned[[#This Row],[Status]]="Refunded", "Refund",
  IF(Transactions_RAW_cleaned[[#This Row],[Category]]="Payments", IF(Transactions_RAW_cleaned[[#This Row],[Amount]]&gt;500,"High Value","Standard"),
    IF(Transactions_RAW_cleaned[[#This Row],[Amount]]&gt;250,"High Value","Standard")))</f>
        <v>High Value</v>
      </c>
      <c r="Q1068" s="5" t="str">
        <f>IF(Transactions_RAW_cleaned[[#This Row],[Amount]] &gt; (_xlfn.XLOOKUP(Transactions_RAW_cleaned[[#This Row],[ServiceID]],Services_cleaned[ServiceID],Services_cleaned[TransactionFeePct]) * 10000), "Yes", "No")</f>
        <v>Yes</v>
      </c>
      <c r="R1068" s="5" t="str">
        <f>IF(COUNTIFS($C$2:Transactions_RAW_cleaned[[#This Row],[CustomerID]],Transactions_RAW_cleaned[[#This Row],[CustomerID]],$D$2:Transactions_RAW_cleaned[[#This Row],[ServiceID]],Transactions_RAW_cleaned[[#This Row],[ServiceID]])=1,"Yes","No")</f>
        <v>Yes</v>
      </c>
      <c r="S106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68" t="str">
        <f>"Q"&amp;ROUNDUP(MONTH(Transactions_RAW_cleaned[[#This Row],[TransactionDate]])/3,0)</f>
        <v>Q2</v>
      </c>
      <c r="U1068" t="str">
        <f>Transactions_RAW_cleaned[[#This Row],[Region ]]&amp;Transactions_RAW_cleaned[[#This Row],[Quarter ]]</f>
        <v>APACQ2</v>
      </c>
      <c r="V1068" s="5">
        <f>_xlfn.XLOOKUP(Transactions_RAW_cleaned[[#This Row],[RegionQuarterKey]], Quarterly_Targets_cleaned[RegionQuarterKey], Quarterly_Targets_cleaned[TargetRevenue])</f>
        <v>110000</v>
      </c>
    </row>
    <row r="1069" spans="1:22" x14ac:dyDescent="0.25">
      <c r="A1069" t="s">
        <v>1402</v>
      </c>
      <c r="B1069" s="1">
        <v>45356</v>
      </c>
      <c r="C1069" t="s">
        <v>70</v>
      </c>
      <c r="D1069" t="s">
        <v>306</v>
      </c>
      <c r="E1069">
        <v>356.93</v>
      </c>
      <c r="F1069" t="s">
        <v>324</v>
      </c>
      <c r="G1069" t="s">
        <v>337</v>
      </c>
      <c r="H1069" t="s">
        <v>334</v>
      </c>
      <c r="I1069" t="s">
        <v>8</v>
      </c>
      <c r="J1069" t="s">
        <v>37</v>
      </c>
      <c r="K1069" t="s">
        <v>28</v>
      </c>
      <c r="L1069" t="s">
        <v>307</v>
      </c>
      <c r="M1069" t="s">
        <v>308</v>
      </c>
      <c r="N1069">
        <v>0</v>
      </c>
      <c r="O1069" t="str">
        <f>IF(Transactions_RAW_cleaned[[#This Row],[Status]]="Completed", IFERROR(_xlfn.XLOOKUP(Transactions_RAW_cleaned[[#This Row],[CustomerID]], Customers_cleaned[CustomerID], Customers_cleaned[Segment]), "Customer Not Found"), "N/A")</f>
        <v>SMB</v>
      </c>
      <c r="P1069" s="5" t="str">
        <f>IF(Transactions_RAW_cleaned[[#This Row],[Status]]="Refunded", "Refund",
  IF(Transactions_RAW_cleaned[[#This Row],[Category]]="Payments", IF(Transactions_RAW_cleaned[[#This Row],[Amount]]&gt;500,"High Value","Standard"),
    IF(Transactions_RAW_cleaned[[#This Row],[Amount]]&gt;250,"High Value","Standard")))</f>
        <v>High Value</v>
      </c>
      <c r="Q1069" s="5" t="str">
        <f>IF(Transactions_RAW_cleaned[[#This Row],[Amount]] &gt; (_xlfn.XLOOKUP(Transactions_RAW_cleaned[[#This Row],[ServiceID]],Services_cleaned[ServiceID],Services_cleaned[TransactionFeePct]) * 10000), "Yes", "No")</f>
        <v>Yes</v>
      </c>
      <c r="R1069" s="5" t="str">
        <f>IF(COUNTIFS($C$2:Transactions_RAW_cleaned[[#This Row],[CustomerID]],Transactions_RAW_cleaned[[#This Row],[CustomerID]],$D$2:Transactions_RAW_cleaned[[#This Row],[ServiceID]],Transactions_RAW_cleaned[[#This Row],[ServiceID]])=1,"Yes","No")</f>
        <v>No</v>
      </c>
      <c r="S106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069" t="str">
        <f>"Q"&amp;ROUNDUP(MONTH(Transactions_RAW_cleaned[[#This Row],[TransactionDate]])/3,0)</f>
        <v>Q1</v>
      </c>
      <c r="U1069" t="str">
        <f>Transactions_RAW_cleaned[[#This Row],[Region ]]&amp;Transactions_RAW_cleaned[[#This Row],[Quarter ]]</f>
        <v>EMEAQ1</v>
      </c>
      <c r="V1069" s="5">
        <f>_xlfn.XLOOKUP(Transactions_RAW_cleaned[[#This Row],[RegionQuarterKey]], Quarterly_Targets_cleaned[RegionQuarterKey], Quarterly_Targets_cleaned[TargetRevenue])</f>
        <v>133000</v>
      </c>
    </row>
    <row r="1070" spans="1:22" x14ac:dyDescent="0.25">
      <c r="A1070" t="s">
        <v>1403</v>
      </c>
      <c r="B1070" s="1">
        <v>45577</v>
      </c>
      <c r="C1070" t="s">
        <v>100</v>
      </c>
      <c r="D1070" t="s">
        <v>297</v>
      </c>
      <c r="E1070">
        <v>296.02999999999997</v>
      </c>
      <c r="F1070" t="s">
        <v>324</v>
      </c>
      <c r="G1070" t="s">
        <v>325</v>
      </c>
      <c r="I1070" t="s">
        <v>8</v>
      </c>
      <c r="J1070" t="s">
        <v>102</v>
      </c>
      <c r="K1070" t="s">
        <v>22</v>
      </c>
      <c r="L1070" t="s">
        <v>298</v>
      </c>
      <c r="M1070" t="s">
        <v>299</v>
      </c>
      <c r="N1070">
        <v>0</v>
      </c>
      <c r="O1070" t="str">
        <f>IF(Transactions_RAW_cleaned[[#This Row],[Status]]="Completed", IFERROR(_xlfn.XLOOKUP(Transactions_RAW_cleaned[[#This Row],[CustomerID]], Customers_cleaned[CustomerID], Customers_cleaned[Segment]), "Customer Not Found"), "N/A")</f>
        <v>SMB</v>
      </c>
      <c r="P1070" s="5" t="str">
        <f>IF(Transactions_RAW_cleaned[[#This Row],[Status]]="Refunded", "Refund",
  IF(Transactions_RAW_cleaned[[#This Row],[Category]]="Payments", IF(Transactions_RAW_cleaned[[#This Row],[Amount]]&gt;500,"High Value","Standard"),
    IF(Transactions_RAW_cleaned[[#This Row],[Amount]]&gt;250,"High Value","Standard")))</f>
        <v>High Value</v>
      </c>
      <c r="Q1070" s="5" t="str">
        <f>IF(Transactions_RAW_cleaned[[#This Row],[Amount]] &gt; (_xlfn.XLOOKUP(Transactions_RAW_cleaned[[#This Row],[ServiceID]],Services_cleaned[ServiceID],Services_cleaned[TransactionFeePct]) * 10000), "Yes", "No")</f>
        <v>Yes</v>
      </c>
      <c r="R1070" s="5" t="str">
        <f>IF(COUNTIFS($C$2:Transactions_RAW_cleaned[[#This Row],[CustomerID]],Transactions_RAW_cleaned[[#This Row],[CustomerID]],$D$2:Transactions_RAW_cleaned[[#This Row],[ServiceID]],Transactions_RAW_cleaned[[#This Row],[ServiceID]])=1,"Yes","No")</f>
        <v>No</v>
      </c>
      <c r="S107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70" t="str">
        <f>"Q"&amp;ROUNDUP(MONTH(Transactions_RAW_cleaned[[#This Row],[TransactionDate]])/3,0)</f>
        <v>Q4</v>
      </c>
      <c r="U1070" t="str">
        <f>Transactions_RAW_cleaned[[#This Row],[Region ]]&amp;Transactions_RAW_cleaned[[#This Row],[Quarter ]]</f>
        <v>NAQ4</v>
      </c>
      <c r="V1070" s="5">
        <f>_xlfn.XLOOKUP(Transactions_RAW_cleaned[[#This Row],[RegionQuarterKey]], Quarterly_Targets_cleaned[RegionQuarterKey], Quarterly_Targets_cleaned[TargetRevenue])</f>
        <v>299000</v>
      </c>
    </row>
    <row r="1071" spans="1:22" x14ac:dyDescent="0.25">
      <c r="A1071" t="s">
        <v>1404</v>
      </c>
      <c r="B1071" s="1">
        <v>45320</v>
      </c>
      <c r="C1071" t="s">
        <v>163</v>
      </c>
      <c r="D1071" t="s">
        <v>294</v>
      </c>
      <c r="E1071">
        <v>22.71</v>
      </c>
      <c r="F1071" t="s">
        <v>324</v>
      </c>
      <c r="G1071" t="s">
        <v>327</v>
      </c>
      <c r="H1071" t="s">
        <v>334</v>
      </c>
      <c r="I1071" t="s">
        <v>17</v>
      </c>
      <c r="J1071" t="s">
        <v>102</v>
      </c>
      <c r="K1071" t="s">
        <v>18</v>
      </c>
      <c r="L1071" t="s">
        <v>295</v>
      </c>
      <c r="M1071" t="s">
        <v>296</v>
      </c>
      <c r="N1071">
        <v>2.9000000000000001E-2</v>
      </c>
      <c r="O1071" t="str">
        <f>IF(Transactions_RAW_cleaned[[#This Row],[Status]]="Completed", IFERROR(_xlfn.XLOOKUP(Transactions_RAW_cleaned[[#This Row],[CustomerID]], Customers_cleaned[CustomerID], Customers_cleaned[Segment]), "Customer Not Found"), "N/A")</f>
        <v>Enterprise</v>
      </c>
      <c r="P1071" s="5" t="str">
        <f>IF(Transactions_RAW_cleaned[[#This Row],[Status]]="Refunded", "Refund",
  IF(Transactions_RAW_cleaned[[#This Row],[Category]]="Payments", IF(Transactions_RAW_cleaned[[#This Row],[Amount]]&gt;500,"High Value","Standard"),
    IF(Transactions_RAW_cleaned[[#This Row],[Amount]]&gt;250,"High Value","Standard")))</f>
        <v>Standard</v>
      </c>
      <c r="Q1071" s="5" t="str">
        <f>IF(Transactions_RAW_cleaned[[#This Row],[Amount]] &gt; (_xlfn.XLOOKUP(Transactions_RAW_cleaned[[#This Row],[ServiceID]],Services_cleaned[ServiceID],Services_cleaned[TransactionFeePct]) * 10000), "Yes", "No")</f>
        <v>No</v>
      </c>
      <c r="R1071" s="5" t="str">
        <f>IF(COUNTIFS($C$2:Transactions_RAW_cleaned[[#This Row],[CustomerID]],Transactions_RAW_cleaned[[#This Row],[CustomerID]],$D$2:Transactions_RAW_cleaned[[#This Row],[ServiceID]],Transactions_RAW_cleaned[[#This Row],[ServiceID]])=1,"Yes","No")</f>
        <v>No</v>
      </c>
      <c r="S107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71" t="str">
        <f>"Q"&amp;ROUNDUP(MONTH(Transactions_RAW_cleaned[[#This Row],[TransactionDate]])/3,0)</f>
        <v>Q1</v>
      </c>
      <c r="U1071" t="str">
        <f>Transactions_RAW_cleaned[[#This Row],[Region ]]&amp;Transactions_RAW_cleaned[[#This Row],[Quarter ]]</f>
        <v>NAQ1</v>
      </c>
      <c r="V1071" s="5">
        <f>_xlfn.XLOOKUP(Transactions_RAW_cleaned[[#This Row],[RegionQuarterKey]], Quarterly_Targets_cleaned[RegionQuarterKey], Quarterly_Targets_cleaned[TargetRevenue])</f>
        <v>247000</v>
      </c>
    </row>
    <row r="1072" spans="1:22" x14ac:dyDescent="0.25">
      <c r="A1072" t="s">
        <v>1405</v>
      </c>
      <c r="B1072" s="1">
        <v>45505</v>
      </c>
      <c r="C1072" t="s">
        <v>64</v>
      </c>
      <c r="D1072" t="s">
        <v>294</v>
      </c>
      <c r="E1072">
        <v>-430.18</v>
      </c>
      <c r="F1072" t="s">
        <v>349</v>
      </c>
      <c r="G1072" t="s">
        <v>325</v>
      </c>
      <c r="H1072" t="s">
        <v>334</v>
      </c>
      <c r="I1072" t="s">
        <v>8</v>
      </c>
      <c r="J1072" t="s">
        <v>37</v>
      </c>
      <c r="K1072" t="s">
        <v>28</v>
      </c>
      <c r="L1072" t="s">
        <v>295</v>
      </c>
      <c r="M1072" t="s">
        <v>296</v>
      </c>
      <c r="N1072">
        <v>2.9000000000000001E-2</v>
      </c>
      <c r="O1072" t="str">
        <f>IF(Transactions_RAW_cleaned[[#This Row],[Status]]="Completed", IFERROR(_xlfn.XLOOKUP(Transactions_RAW_cleaned[[#This Row],[CustomerID]], Customers_cleaned[CustomerID], Customers_cleaned[Segment]), "Customer Not Found"), "N/A")</f>
        <v>N/A</v>
      </c>
      <c r="P1072" s="5" t="str">
        <f>IF(Transactions_RAW_cleaned[[#This Row],[Status]]="Refunded", "Refund",
  IF(Transactions_RAW_cleaned[[#This Row],[Category]]="Payments", IF(Transactions_RAW_cleaned[[#This Row],[Amount]]&gt;500,"High Value","Standard"),
    IF(Transactions_RAW_cleaned[[#This Row],[Amount]]&gt;250,"High Value","Standard")))</f>
        <v>Refund</v>
      </c>
      <c r="Q1072" s="5" t="str">
        <f>IF(Transactions_RAW_cleaned[[#This Row],[Amount]] &gt; (_xlfn.XLOOKUP(Transactions_RAW_cleaned[[#This Row],[ServiceID]],Services_cleaned[ServiceID],Services_cleaned[TransactionFeePct]) * 10000), "Yes", "No")</f>
        <v>No</v>
      </c>
      <c r="R1072" s="5" t="str">
        <f>IF(COUNTIFS($C$2:Transactions_RAW_cleaned[[#This Row],[CustomerID]],Transactions_RAW_cleaned[[#This Row],[CustomerID]],$D$2:Transactions_RAW_cleaned[[#This Row],[ServiceID]],Transactions_RAW_cleaned[[#This Row],[ServiceID]])=1,"Yes","No")</f>
        <v>No</v>
      </c>
      <c r="S107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072" t="str">
        <f>"Q"&amp;ROUNDUP(MONTH(Transactions_RAW_cleaned[[#This Row],[TransactionDate]])/3,0)</f>
        <v>Q3</v>
      </c>
      <c r="U1072" t="str">
        <f>Transactions_RAW_cleaned[[#This Row],[Region ]]&amp;Transactions_RAW_cleaned[[#This Row],[Quarter ]]</f>
        <v>EMEAQ3</v>
      </c>
      <c r="V1072" s="5">
        <f>_xlfn.XLOOKUP(Transactions_RAW_cleaned[[#This Row],[RegionQuarterKey]], Quarterly_Targets_cleaned[RegionQuarterKey], Quarterly_Targets_cleaned[TargetRevenue])</f>
        <v>147000</v>
      </c>
    </row>
    <row r="1073" spans="1:22" x14ac:dyDescent="0.25">
      <c r="A1073" t="s">
        <v>1406</v>
      </c>
      <c r="B1073" s="1">
        <v>45490</v>
      </c>
      <c r="C1073" t="s">
        <v>185</v>
      </c>
      <c r="D1073" t="s">
        <v>300</v>
      </c>
      <c r="E1073">
        <v>246.2</v>
      </c>
      <c r="F1073" t="s">
        <v>324</v>
      </c>
      <c r="G1073" t="s">
        <v>325</v>
      </c>
      <c r="I1073" t="s">
        <v>17</v>
      </c>
      <c r="J1073" t="s">
        <v>13</v>
      </c>
      <c r="K1073" t="s">
        <v>32</v>
      </c>
      <c r="L1073" t="s">
        <v>301</v>
      </c>
      <c r="M1073" t="s">
        <v>302</v>
      </c>
      <c r="N1073">
        <v>5.0000000000000001E-3</v>
      </c>
      <c r="O1073" t="str">
        <f>IF(Transactions_RAW_cleaned[[#This Row],[Status]]="Completed", IFERROR(_xlfn.XLOOKUP(Transactions_RAW_cleaned[[#This Row],[CustomerID]], Customers_cleaned[CustomerID], Customers_cleaned[Segment]), "Customer Not Found"), "N/A")</f>
        <v>Enterprise</v>
      </c>
      <c r="P1073" s="5" t="str">
        <f>IF(Transactions_RAW_cleaned[[#This Row],[Status]]="Refunded", "Refund",
  IF(Transactions_RAW_cleaned[[#This Row],[Category]]="Payments", IF(Transactions_RAW_cleaned[[#This Row],[Amount]]&gt;500,"High Value","Standard"),
    IF(Transactions_RAW_cleaned[[#This Row],[Amount]]&gt;250,"High Value","Standard")))</f>
        <v>Standard</v>
      </c>
      <c r="Q1073" s="5" t="str">
        <f>IF(Transactions_RAW_cleaned[[#This Row],[Amount]] &gt; (_xlfn.XLOOKUP(Transactions_RAW_cleaned[[#This Row],[ServiceID]],Services_cleaned[ServiceID],Services_cleaned[TransactionFeePct]) * 10000), "Yes", "No")</f>
        <v>Yes</v>
      </c>
      <c r="R1073" s="5" t="str">
        <f>IF(COUNTIFS($C$2:Transactions_RAW_cleaned[[#This Row],[CustomerID]],Transactions_RAW_cleaned[[#This Row],[CustomerID]],$D$2:Transactions_RAW_cleaned[[#This Row],[ServiceID]],Transactions_RAW_cleaned[[#This Row],[ServiceID]])=1,"Yes","No")</f>
        <v>No</v>
      </c>
      <c r="S107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73" t="str">
        <f>"Q"&amp;ROUNDUP(MONTH(Transactions_RAW_cleaned[[#This Row],[TransactionDate]])/3,0)</f>
        <v>Q3</v>
      </c>
      <c r="U1073" t="str">
        <f>Transactions_RAW_cleaned[[#This Row],[Region ]]&amp;Transactions_RAW_cleaned[[#This Row],[Quarter ]]</f>
        <v>NAQ3</v>
      </c>
      <c r="V1073" s="5">
        <f>_xlfn.XLOOKUP(Transactions_RAW_cleaned[[#This Row],[RegionQuarterKey]], Quarterly_Targets_cleaned[RegionQuarterKey], Quarterly_Targets_cleaned[TargetRevenue])</f>
        <v>273000</v>
      </c>
    </row>
    <row r="1074" spans="1:22" x14ac:dyDescent="0.25">
      <c r="A1074" t="s">
        <v>1407</v>
      </c>
      <c r="B1074" s="1">
        <v>45607</v>
      </c>
      <c r="C1074" t="s">
        <v>161</v>
      </c>
      <c r="D1074" t="s">
        <v>315</v>
      </c>
      <c r="E1074">
        <v>142.68</v>
      </c>
      <c r="F1074" t="s">
        <v>324</v>
      </c>
      <c r="G1074" t="s">
        <v>325</v>
      </c>
      <c r="I1074" t="s">
        <v>8</v>
      </c>
      <c r="J1074" t="s">
        <v>21</v>
      </c>
      <c r="K1074" t="s">
        <v>22</v>
      </c>
      <c r="L1074" t="s">
        <v>316</v>
      </c>
      <c r="M1074" t="s">
        <v>305</v>
      </c>
      <c r="N1074">
        <v>2.5000000000000001E-3</v>
      </c>
      <c r="O1074" t="str">
        <f>IF(Transactions_RAW_cleaned[[#This Row],[Status]]="Completed", IFERROR(_xlfn.XLOOKUP(Transactions_RAW_cleaned[[#This Row],[CustomerID]], Customers_cleaned[CustomerID], Customers_cleaned[Segment]), "Customer Not Found"), "N/A")</f>
        <v>SMB</v>
      </c>
      <c r="P1074" s="5" t="str">
        <f>IF(Transactions_RAW_cleaned[[#This Row],[Status]]="Refunded", "Refund",
  IF(Transactions_RAW_cleaned[[#This Row],[Category]]="Payments", IF(Transactions_RAW_cleaned[[#This Row],[Amount]]&gt;500,"High Value","Standard"),
    IF(Transactions_RAW_cleaned[[#This Row],[Amount]]&gt;250,"High Value","Standard")))</f>
        <v>Standard</v>
      </c>
      <c r="Q1074" s="5" t="str">
        <f>IF(Transactions_RAW_cleaned[[#This Row],[Amount]] &gt; (_xlfn.XLOOKUP(Transactions_RAW_cleaned[[#This Row],[ServiceID]],Services_cleaned[ServiceID],Services_cleaned[TransactionFeePct]) * 10000), "Yes", "No")</f>
        <v>Yes</v>
      </c>
      <c r="R1074" s="5" t="str">
        <f>IF(COUNTIFS($C$2:Transactions_RAW_cleaned[[#This Row],[CustomerID]],Transactions_RAW_cleaned[[#This Row],[CustomerID]],$D$2:Transactions_RAW_cleaned[[#This Row],[ServiceID]],Transactions_RAW_cleaned[[#This Row],[ServiceID]])=1,"Yes","No")</f>
        <v>No</v>
      </c>
      <c r="S107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74" t="str">
        <f>"Q"&amp;ROUNDUP(MONTH(Transactions_RAW_cleaned[[#This Row],[TransactionDate]])/3,0)</f>
        <v>Q4</v>
      </c>
      <c r="U1074" t="str">
        <f>Transactions_RAW_cleaned[[#This Row],[Region ]]&amp;Transactions_RAW_cleaned[[#This Row],[Quarter ]]</f>
        <v>APACQ4</v>
      </c>
      <c r="V1074" s="5">
        <f>_xlfn.XLOOKUP(Transactions_RAW_cleaned[[#This Row],[RegionQuarterKey]], Quarterly_Targets_cleaned[RegionQuarterKey], Quarterly_Targets_cleaned[TargetRevenue])</f>
        <v>126500</v>
      </c>
    </row>
    <row r="1075" spans="1:22" x14ac:dyDescent="0.25">
      <c r="A1075" t="s">
        <v>1408</v>
      </c>
      <c r="B1075" s="1">
        <v>45586</v>
      </c>
      <c r="C1075" t="s">
        <v>187</v>
      </c>
      <c r="D1075" t="s">
        <v>312</v>
      </c>
      <c r="E1075">
        <v>678.52</v>
      </c>
      <c r="F1075" t="s">
        <v>324</v>
      </c>
      <c r="G1075" t="s">
        <v>337</v>
      </c>
      <c r="H1075" t="s">
        <v>346</v>
      </c>
      <c r="I1075" t="s">
        <v>57</v>
      </c>
      <c r="J1075" t="s">
        <v>21</v>
      </c>
      <c r="K1075" t="s">
        <v>28</v>
      </c>
      <c r="L1075" t="s">
        <v>313</v>
      </c>
      <c r="M1075" t="s">
        <v>314</v>
      </c>
      <c r="N1075">
        <v>0</v>
      </c>
      <c r="O1075" t="str">
        <f>IF(Transactions_RAW_cleaned[[#This Row],[Status]]="Completed", IFERROR(_xlfn.XLOOKUP(Transactions_RAW_cleaned[[#This Row],[CustomerID]], Customers_cleaned[CustomerID], Customers_cleaned[Segment]), "Customer Not Found"), "N/A")</f>
        <v>Startup</v>
      </c>
      <c r="P1075" s="5" t="str">
        <f>IF(Transactions_RAW_cleaned[[#This Row],[Status]]="Refunded", "Refund",
  IF(Transactions_RAW_cleaned[[#This Row],[Category]]="Payments", IF(Transactions_RAW_cleaned[[#This Row],[Amount]]&gt;500,"High Value","Standard"),
    IF(Transactions_RAW_cleaned[[#This Row],[Amount]]&gt;250,"High Value","Standard")))</f>
        <v>High Value</v>
      </c>
      <c r="Q1075" s="5" t="str">
        <f>IF(Transactions_RAW_cleaned[[#This Row],[Amount]] &gt; (_xlfn.XLOOKUP(Transactions_RAW_cleaned[[#This Row],[ServiceID]],Services_cleaned[ServiceID],Services_cleaned[TransactionFeePct]) * 10000), "Yes", "No")</f>
        <v>Yes</v>
      </c>
      <c r="R1075" s="5" t="str">
        <f>IF(COUNTIFS($C$2:Transactions_RAW_cleaned[[#This Row],[CustomerID]],Transactions_RAW_cleaned[[#This Row],[CustomerID]],$D$2:Transactions_RAW_cleaned[[#This Row],[ServiceID]],Transactions_RAW_cleaned[[#This Row],[ServiceID]])=1,"Yes","No")</f>
        <v>Yes</v>
      </c>
      <c r="S107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75" t="str">
        <f>"Q"&amp;ROUNDUP(MONTH(Transactions_RAW_cleaned[[#This Row],[TransactionDate]])/3,0)</f>
        <v>Q4</v>
      </c>
      <c r="U1075" t="str">
        <f>Transactions_RAW_cleaned[[#This Row],[Region ]]&amp;Transactions_RAW_cleaned[[#This Row],[Quarter ]]</f>
        <v>APACQ4</v>
      </c>
      <c r="V1075" s="5">
        <f>_xlfn.XLOOKUP(Transactions_RAW_cleaned[[#This Row],[RegionQuarterKey]], Quarterly_Targets_cleaned[RegionQuarterKey], Quarterly_Targets_cleaned[TargetRevenue])</f>
        <v>126500</v>
      </c>
    </row>
    <row r="1076" spans="1:22" x14ac:dyDescent="0.25">
      <c r="A1076" t="s">
        <v>1409</v>
      </c>
      <c r="B1076" s="1">
        <v>45638</v>
      </c>
      <c r="C1076" t="s">
        <v>183</v>
      </c>
      <c r="D1076" t="s">
        <v>309</v>
      </c>
      <c r="E1076">
        <v>219.97</v>
      </c>
      <c r="F1076" t="s">
        <v>324</v>
      </c>
      <c r="G1076" t="s">
        <v>327</v>
      </c>
      <c r="H1076" t="s">
        <v>334</v>
      </c>
      <c r="I1076" t="s">
        <v>8</v>
      </c>
      <c r="J1076" t="s">
        <v>13</v>
      </c>
      <c r="K1076" t="s">
        <v>10</v>
      </c>
      <c r="L1076" t="s">
        <v>310</v>
      </c>
      <c r="M1076" t="s">
        <v>311</v>
      </c>
      <c r="N1076">
        <v>0</v>
      </c>
      <c r="O1076" t="str">
        <f>IF(Transactions_RAW_cleaned[[#This Row],[Status]]="Completed", IFERROR(_xlfn.XLOOKUP(Transactions_RAW_cleaned[[#This Row],[CustomerID]], Customers_cleaned[CustomerID], Customers_cleaned[Segment]), "Customer Not Found"), "N/A")</f>
        <v>SMB</v>
      </c>
      <c r="P1076" s="5" t="str">
        <f>IF(Transactions_RAW_cleaned[[#This Row],[Status]]="Refunded", "Refund",
  IF(Transactions_RAW_cleaned[[#This Row],[Category]]="Payments", IF(Transactions_RAW_cleaned[[#This Row],[Amount]]&gt;500,"High Value","Standard"),
    IF(Transactions_RAW_cleaned[[#This Row],[Amount]]&gt;250,"High Value","Standard")))</f>
        <v>Standard</v>
      </c>
      <c r="Q1076" s="5" t="str">
        <f>IF(Transactions_RAW_cleaned[[#This Row],[Amount]] &gt; (_xlfn.XLOOKUP(Transactions_RAW_cleaned[[#This Row],[ServiceID]],Services_cleaned[ServiceID],Services_cleaned[TransactionFeePct]) * 10000), "Yes", "No")</f>
        <v>Yes</v>
      </c>
      <c r="R1076" s="5" t="str">
        <f>IF(COUNTIFS($C$2:Transactions_RAW_cleaned[[#This Row],[CustomerID]],Transactions_RAW_cleaned[[#This Row],[CustomerID]],$D$2:Transactions_RAW_cleaned[[#This Row],[ServiceID]],Transactions_RAW_cleaned[[#This Row],[ServiceID]])=1,"Yes","No")</f>
        <v>No</v>
      </c>
      <c r="S107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76" t="str">
        <f>"Q"&amp;ROUNDUP(MONTH(Transactions_RAW_cleaned[[#This Row],[TransactionDate]])/3,0)</f>
        <v>Q4</v>
      </c>
      <c r="U1076" t="str">
        <f>Transactions_RAW_cleaned[[#This Row],[Region ]]&amp;Transactions_RAW_cleaned[[#This Row],[Quarter ]]</f>
        <v>NAQ4</v>
      </c>
      <c r="V1076" s="5">
        <f>_xlfn.XLOOKUP(Transactions_RAW_cleaned[[#This Row],[RegionQuarterKey]], Quarterly_Targets_cleaned[RegionQuarterKey], Quarterly_Targets_cleaned[TargetRevenue])</f>
        <v>299000</v>
      </c>
    </row>
    <row r="1077" spans="1:22" x14ac:dyDescent="0.25">
      <c r="A1077" t="s">
        <v>1410</v>
      </c>
      <c r="B1077" s="1">
        <v>45301</v>
      </c>
      <c r="C1077" t="s">
        <v>58</v>
      </c>
      <c r="D1077" t="s">
        <v>306</v>
      </c>
      <c r="E1077">
        <v>263.01</v>
      </c>
      <c r="F1077" t="s">
        <v>381</v>
      </c>
      <c r="G1077" t="s">
        <v>337</v>
      </c>
      <c r="H1077" t="s">
        <v>332</v>
      </c>
      <c r="I1077" t="s">
        <v>17</v>
      </c>
      <c r="J1077" t="s">
        <v>102</v>
      </c>
      <c r="K1077" t="s">
        <v>22</v>
      </c>
      <c r="L1077" t="s">
        <v>307</v>
      </c>
      <c r="M1077" t="s">
        <v>308</v>
      </c>
      <c r="N1077">
        <v>0</v>
      </c>
      <c r="O1077" t="str">
        <f>IF(Transactions_RAW_cleaned[[#This Row],[Status]]="Completed", IFERROR(_xlfn.XLOOKUP(Transactions_RAW_cleaned[[#This Row],[CustomerID]], Customers_cleaned[CustomerID], Customers_cleaned[Segment]), "Customer Not Found"), "N/A")</f>
        <v>N/A</v>
      </c>
      <c r="P1077" s="5" t="str">
        <f>IF(Transactions_RAW_cleaned[[#This Row],[Status]]="Refunded", "Refund",
  IF(Transactions_RAW_cleaned[[#This Row],[Category]]="Payments", IF(Transactions_RAW_cleaned[[#This Row],[Amount]]&gt;500,"High Value","Standard"),
    IF(Transactions_RAW_cleaned[[#This Row],[Amount]]&gt;250,"High Value","Standard")))</f>
        <v>High Value</v>
      </c>
      <c r="Q1077" s="5" t="str">
        <f>IF(Transactions_RAW_cleaned[[#This Row],[Amount]] &gt; (_xlfn.XLOOKUP(Transactions_RAW_cleaned[[#This Row],[ServiceID]],Services_cleaned[ServiceID],Services_cleaned[TransactionFeePct]) * 10000), "Yes", "No")</f>
        <v>Yes</v>
      </c>
      <c r="R1077" s="5" t="str">
        <f>IF(COUNTIFS($C$2:Transactions_RAW_cleaned[[#This Row],[CustomerID]],Transactions_RAW_cleaned[[#This Row],[CustomerID]],$D$2:Transactions_RAW_cleaned[[#This Row],[ServiceID]],Transactions_RAW_cleaned[[#This Row],[ServiceID]])=1,"Yes","No")</f>
        <v>No</v>
      </c>
      <c r="S107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77" t="str">
        <f>"Q"&amp;ROUNDUP(MONTH(Transactions_RAW_cleaned[[#This Row],[TransactionDate]])/3,0)</f>
        <v>Q1</v>
      </c>
      <c r="U1077" t="str">
        <f>Transactions_RAW_cleaned[[#This Row],[Region ]]&amp;Transactions_RAW_cleaned[[#This Row],[Quarter ]]</f>
        <v>NAQ1</v>
      </c>
      <c r="V1077" s="5">
        <f>_xlfn.XLOOKUP(Transactions_RAW_cleaned[[#This Row],[RegionQuarterKey]], Quarterly_Targets_cleaned[RegionQuarterKey], Quarterly_Targets_cleaned[TargetRevenue])</f>
        <v>247000</v>
      </c>
    </row>
    <row r="1078" spans="1:22" x14ac:dyDescent="0.25">
      <c r="A1078" t="s">
        <v>1411</v>
      </c>
      <c r="B1078" s="1">
        <v>45656</v>
      </c>
      <c r="C1078" t="s">
        <v>92</v>
      </c>
      <c r="D1078" t="s">
        <v>309</v>
      </c>
      <c r="E1078">
        <v>338.84</v>
      </c>
      <c r="F1078" t="s">
        <v>381</v>
      </c>
      <c r="G1078" t="s">
        <v>325</v>
      </c>
      <c r="H1078" t="s">
        <v>332</v>
      </c>
      <c r="I1078" t="s">
        <v>8</v>
      </c>
      <c r="J1078" t="s">
        <v>102</v>
      </c>
      <c r="K1078" t="s">
        <v>10</v>
      </c>
      <c r="L1078" t="s">
        <v>310</v>
      </c>
      <c r="M1078" t="s">
        <v>311</v>
      </c>
      <c r="N1078">
        <v>0</v>
      </c>
      <c r="O1078" t="str">
        <f>IF(Transactions_RAW_cleaned[[#This Row],[Status]]="Completed", IFERROR(_xlfn.XLOOKUP(Transactions_RAW_cleaned[[#This Row],[CustomerID]], Customers_cleaned[CustomerID], Customers_cleaned[Segment]), "Customer Not Found"), "N/A")</f>
        <v>N/A</v>
      </c>
      <c r="P1078" s="5" t="str">
        <f>IF(Transactions_RAW_cleaned[[#This Row],[Status]]="Refunded", "Refund",
  IF(Transactions_RAW_cleaned[[#This Row],[Category]]="Payments", IF(Transactions_RAW_cleaned[[#This Row],[Amount]]&gt;500,"High Value","Standard"),
    IF(Transactions_RAW_cleaned[[#This Row],[Amount]]&gt;250,"High Value","Standard")))</f>
        <v>High Value</v>
      </c>
      <c r="Q1078" s="5" t="str">
        <f>IF(Transactions_RAW_cleaned[[#This Row],[Amount]] &gt; (_xlfn.XLOOKUP(Transactions_RAW_cleaned[[#This Row],[ServiceID]],Services_cleaned[ServiceID],Services_cleaned[TransactionFeePct]) * 10000), "Yes", "No")</f>
        <v>Yes</v>
      </c>
      <c r="R1078" s="5" t="str">
        <f>IF(COUNTIFS($C$2:Transactions_RAW_cleaned[[#This Row],[CustomerID]],Transactions_RAW_cleaned[[#This Row],[CustomerID]],$D$2:Transactions_RAW_cleaned[[#This Row],[ServiceID]],Transactions_RAW_cleaned[[#This Row],[ServiceID]])=1,"Yes","No")</f>
        <v>Yes</v>
      </c>
      <c r="S107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78" t="str">
        <f>"Q"&amp;ROUNDUP(MONTH(Transactions_RAW_cleaned[[#This Row],[TransactionDate]])/3,0)</f>
        <v>Q4</v>
      </c>
      <c r="U1078" t="str">
        <f>Transactions_RAW_cleaned[[#This Row],[Region ]]&amp;Transactions_RAW_cleaned[[#This Row],[Quarter ]]</f>
        <v>NAQ4</v>
      </c>
      <c r="V1078" s="5">
        <f>_xlfn.XLOOKUP(Transactions_RAW_cleaned[[#This Row],[RegionQuarterKey]], Quarterly_Targets_cleaned[RegionQuarterKey], Quarterly_Targets_cleaned[TargetRevenue])</f>
        <v>299000</v>
      </c>
    </row>
    <row r="1079" spans="1:22" x14ac:dyDescent="0.25">
      <c r="A1079" t="s">
        <v>1412</v>
      </c>
      <c r="B1079" s="1">
        <v>45524</v>
      </c>
      <c r="C1079" t="s">
        <v>64</v>
      </c>
      <c r="D1079" t="s">
        <v>300</v>
      </c>
      <c r="E1079">
        <v>313.68</v>
      </c>
      <c r="F1079" t="s">
        <v>324</v>
      </c>
      <c r="G1079" t="s">
        <v>325</v>
      </c>
      <c r="I1079" t="s">
        <v>8</v>
      </c>
      <c r="J1079" t="s">
        <v>37</v>
      </c>
      <c r="K1079" t="s">
        <v>28</v>
      </c>
      <c r="L1079" t="s">
        <v>301</v>
      </c>
      <c r="M1079" t="s">
        <v>302</v>
      </c>
      <c r="N1079">
        <v>5.0000000000000001E-3</v>
      </c>
      <c r="O1079" t="str">
        <f>IF(Transactions_RAW_cleaned[[#This Row],[Status]]="Completed", IFERROR(_xlfn.XLOOKUP(Transactions_RAW_cleaned[[#This Row],[CustomerID]], Customers_cleaned[CustomerID], Customers_cleaned[Segment]), "Customer Not Found"), "N/A")</f>
        <v>SMB</v>
      </c>
      <c r="P1079" s="5" t="str">
        <f>IF(Transactions_RAW_cleaned[[#This Row],[Status]]="Refunded", "Refund",
  IF(Transactions_RAW_cleaned[[#This Row],[Category]]="Payments", IF(Transactions_RAW_cleaned[[#This Row],[Amount]]&gt;500,"High Value","Standard"),
    IF(Transactions_RAW_cleaned[[#This Row],[Amount]]&gt;250,"High Value","Standard")))</f>
        <v>High Value</v>
      </c>
      <c r="Q1079" s="5" t="str">
        <f>IF(Transactions_RAW_cleaned[[#This Row],[Amount]] &gt; (_xlfn.XLOOKUP(Transactions_RAW_cleaned[[#This Row],[ServiceID]],Services_cleaned[ServiceID],Services_cleaned[TransactionFeePct]) * 10000), "Yes", "No")</f>
        <v>Yes</v>
      </c>
      <c r="R1079" s="5" t="str">
        <f>IF(COUNTIFS($C$2:Transactions_RAW_cleaned[[#This Row],[CustomerID]],Transactions_RAW_cleaned[[#This Row],[CustomerID]],$D$2:Transactions_RAW_cleaned[[#This Row],[ServiceID]],Transactions_RAW_cleaned[[#This Row],[ServiceID]])=1,"Yes","No")</f>
        <v>No</v>
      </c>
      <c r="S107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079" t="str">
        <f>"Q"&amp;ROUNDUP(MONTH(Transactions_RAW_cleaned[[#This Row],[TransactionDate]])/3,0)</f>
        <v>Q3</v>
      </c>
      <c r="U1079" t="str">
        <f>Transactions_RAW_cleaned[[#This Row],[Region ]]&amp;Transactions_RAW_cleaned[[#This Row],[Quarter ]]</f>
        <v>EMEAQ3</v>
      </c>
      <c r="V1079" s="5">
        <f>_xlfn.XLOOKUP(Transactions_RAW_cleaned[[#This Row],[RegionQuarterKey]], Quarterly_Targets_cleaned[RegionQuarterKey], Quarterly_Targets_cleaned[TargetRevenue])</f>
        <v>147000</v>
      </c>
    </row>
    <row r="1080" spans="1:22" x14ac:dyDescent="0.25">
      <c r="A1080" t="s">
        <v>1413</v>
      </c>
      <c r="B1080" s="1">
        <v>45629</v>
      </c>
      <c r="C1080" t="s">
        <v>147</v>
      </c>
      <c r="D1080" t="s">
        <v>297</v>
      </c>
      <c r="E1080">
        <v>993.36</v>
      </c>
      <c r="F1080" t="s">
        <v>324</v>
      </c>
      <c r="G1080" t="s">
        <v>337</v>
      </c>
      <c r="H1080" t="s">
        <v>334</v>
      </c>
      <c r="I1080" t="s">
        <v>17</v>
      </c>
      <c r="J1080" t="s">
        <v>25</v>
      </c>
      <c r="K1080" t="s">
        <v>32</v>
      </c>
      <c r="L1080" t="s">
        <v>298</v>
      </c>
      <c r="M1080" t="s">
        <v>299</v>
      </c>
      <c r="N1080">
        <v>0</v>
      </c>
      <c r="O1080" t="str">
        <f>IF(Transactions_RAW_cleaned[[#This Row],[Status]]="Completed", IFERROR(_xlfn.XLOOKUP(Transactions_RAW_cleaned[[#This Row],[CustomerID]], Customers_cleaned[CustomerID], Customers_cleaned[Segment]), "Customer Not Found"), "N/A")</f>
        <v>Enterprise</v>
      </c>
      <c r="P1080" s="5" t="str">
        <f>IF(Transactions_RAW_cleaned[[#This Row],[Status]]="Refunded", "Refund",
  IF(Transactions_RAW_cleaned[[#This Row],[Category]]="Payments", IF(Transactions_RAW_cleaned[[#This Row],[Amount]]&gt;500,"High Value","Standard"),
    IF(Transactions_RAW_cleaned[[#This Row],[Amount]]&gt;250,"High Value","Standard")))</f>
        <v>High Value</v>
      </c>
      <c r="Q1080" s="5" t="str">
        <f>IF(Transactions_RAW_cleaned[[#This Row],[Amount]] &gt; (_xlfn.XLOOKUP(Transactions_RAW_cleaned[[#This Row],[ServiceID]],Services_cleaned[ServiceID],Services_cleaned[TransactionFeePct]) * 10000), "Yes", "No")</f>
        <v>Yes</v>
      </c>
      <c r="R1080" s="5" t="str">
        <f>IF(COUNTIFS($C$2:Transactions_RAW_cleaned[[#This Row],[CustomerID]],Transactions_RAW_cleaned[[#This Row],[CustomerID]],$D$2:Transactions_RAW_cleaned[[#This Row],[ServiceID]],Transactions_RAW_cleaned[[#This Row],[ServiceID]])=1,"Yes","No")</f>
        <v>No</v>
      </c>
      <c r="S108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80" t="str">
        <f>"Q"&amp;ROUNDUP(MONTH(Transactions_RAW_cleaned[[#This Row],[TransactionDate]])/3,0)</f>
        <v>Q4</v>
      </c>
      <c r="U1080" t="str">
        <f>Transactions_RAW_cleaned[[#This Row],[Region ]]&amp;Transactions_RAW_cleaned[[#This Row],[Quarter ]]</f>
        <v>APACQ4</v>
      </c>
      <c r="V1080" s="5">
        <f>_xlfn.XLOOKUP(Transactions_RAW_cleaned[[#This Row],[RegionQuarterKey]], Quarterly_Targets_cleaned[RegionQuarterKey], Quarterly_Targets_cleaned[TargetRevenue])</f>
        <v>126500</v>
      </c>
    </row>
    <row r="1081" spans="1:22" x14ac:dyDescent="0.25">
      <c r="A1081" t="s">
        <v>1414</v>
      </c>
      <c r="B1081" s="1">
        <v>45302</v>
      </c>
      <c r="C1081" t="s">
        <v>113</v>
      </c>
      <c r="D1081" t="s">
        <v>300</v>
      </c>
      <c r="E1081">
        <v>-469.18</v>
      </c>
      <c r="F1081" t="s">
        <v>349</v>
      </c>
      <c r="G1081" t="s">
        <v>327</v>
      </c>
      <c r="I1081" t="s">
        <v>57</v>
      </c>
      <c r="J1081" t="s">
        <v>46</v>
      </c>
      <c r="K1081" t="s">
        <v>10</v>
      </c>
      <c r="L1081" t="s">
        <v>301</v>
      </c>
      <c r="M1081" t="s">
        <v>302</v>
      </c>
      <c r="N1081">
        <v>5.0000000000000001E-3</v>
      </c>
      <c r="O1081" t="str">
        <f>IF(Transactions_RAW_cleaned[[#This Row],[Status]]="Completed", IFERROR(_xlfn.XLOOKUP(Transactions_RAW_cleaned[[#This Row],[CustomerID]], Customers_cleaned[CustomerID], Customers_cleaned[Segment]), "Customer Not Found"), "N/A")</f>
        <v>N/A</v>
      </c>
      <c r="P1081" s="5" t="str">
        <f>IF(Transactions_RAW_cleaned[[#This Row],[Status]]="Refunded", "Refund",
  IF(Transactions_RAW_cleaned[[#This Row],[Category]]="Payments", IF(Transactions_RAW_cleaned[[#This Row],[Amount]]&gt;500,"High Value","Standard"),
    IF(Transactions_RAW_cleaned[[#This Row],[Amount]]&gt;250,"High Value","Standard")))</f>
        <v>Refund</v>
      </c>
      <c r="Q1081" s="5" t="str">
        <f>IF(Transactions_RAW_cleaned[[#This Row],[Amount]] &gt; (_xlfn.XLOOKUP(Transactions_RAW_cleaned[[#This Row],[ServiceID]],Services_cleaned[ServiceID],Services_cleaned[TransactionFeePct]) * 10000), "Yes", "No")</f>
        <v>No</v>
      </c>
      <c r="R1081" s="5" t="str">
        <f>IF(COUNTIFS($C$2:Transactions_RAW_cleaned[[#This Row],[CustomerID]],Transactions_RAW_cleaned[[#This Row],[CustomerID]],$D$2:Transactions_RAW_cleaned[[#This Row],[ServiceID]],Transactions_RAW_cleaned[[#This Row],[ServiceID]])=1,"Yes","No")</f>
        <v>No</v>
      </c>
      <c r="S108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81" t="str">
        <f>"Q"&amp;ROUNDUP(MONTH(Transactions_RAW_cleaned[[#This Row],[TransactionDate]])/3,0)</f>
        <v>Q1</v>
      </c>
      <c r="U1081" t="str">
        <f>Transactions_RAW_cleaned[[#This Row],[Region ]]&amp;Transactions_RAW_cleaned[[#This Row],[Quarter ]]</f>
        <v>APACQ1</v>
      </c>
      <c r="V1081" s="5">
        <f>_xlfn.XLOOKUP(Transactions_RAW_cleaned[[#This Row],[RegionQuarterKey]], Quarterly_Targets_cleaned[RegionQuarterKey], Quarterly_Targets_cleaned[TargetRevenue])</f>
        <v>104500</v>
      </c>
    </row>
    <row r="1082" spans="1:22" x14ac:dyDescent="0.25">
      <c r="A1082" t="s">
        <v>1415</v>
      </c>
      <c r="B1082" s="1">
        <v>45403</v>
      </c>
      <c r="C1082" t="s">
        <v>261</v>
      </c>
      <c r="D1082" t="s">
        <v>303</v>
      </c>
      <c r="E1082">
        <v>428.56</v>
      </c>
      <c r="F1082" t="s">
        <v>324</v>
      </c>
      <c r="G1082" t="s">
        <v>325</v>
      </c>
      <c r="H1082" t="s">
        <v>334</v>
      </c>
      <c r="I1082" t="s">
        <v>8</v>
      </c>
      <c r="J1082" t="s">
        <v>31</v>
      </c>
      <c r="K1082" t="s">
        <v>18</v>
      </c>
      <c r="L1082" t="s">
        <v>304</v>
      </c>
      <c r="M1082" t="s">
        <v>305</v>
      </c>
      <c r="N1082">
        <v>1E-3</v>
      </c>
      <c r="O1082" t="str">
        <f>IF(Transactions_RAW_cleaned[[#This Row],[Status]]="Completed", IFERROR(_xlfn.XLOOKUP(Transactions_RAW_cleaned[[#This Row],[CustomerID]], Customers_cleaned[CustomerID], Customers_cleaned[Segment]), "Customer Not Found"), "N/A")</f>
        <v>SMB</v>
      </c>
      <c r="P1082" s="5" t="str">
        <f>IF(Transactions_RAW_cleaned[[#This Row],[Status]]="Refunded", "Refund",
  IF(Transactions_RAW_cleaned[[#This Row],[Category]]="Payments", IF(Transactions_RAW_cleaned[[#This Row],[Amount]]&gt;500,"High Value","Standard"),
    IF(Transactions_RAW_cleaned[[#This Row],[Amount]]&gt;250,"High Value","Standard")))</f>
        <v>High Value</v>
      </c>
      <c r="Q1082" s="5" t="str">
        <f>IF(Transactions_RAW_cleaned[[#This Row],[Amount]] &gt; (_xlfn.XLOOKUP(Transactions_RAW_cleaned[[#This Row],[ServiceID]],Services_cleaned[ServiceID],Services_cleaned[TransactionFeePct]) * 10000), "Yes", "No")</f>
        <v>Yes</v>
      </c>
      <c r="R1082" s="5" t="str">
        <f>IF(COUNTIFS($C$2:Transactions_RAW_cleaned[[#This Row],[CustomerID]],Transactions_RAW_cleaned[[#This Row],[CustomerID]],$D$2:Transactions_RAW_cleaned[[#This Row],[ServiceID]],Transactions_RAW_cleaned[[#This Row],[ServiceID]])=1,"Yes","No")</f>
        <v>No</v>
      </c>
      <c r="S108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082" t="str">
        <f>"Q"&amp;ROUNDUP(MONTH(Transactions_RAW_cleaned[[#This Row],[TransactionDate]])/3,0)</f>
        <v>Q2</v>
      </c>
      <c r="U1082" t="str">
        <f>Transactions_RAW_cleaned[[#This Row],[Region ]]&amp;Transactions_RAW_cleaned[[#This Row],[Quarter ]]</f>
        <v>EMEAQ2</v>
      </c>
      <c r="V1082" s="5">
        <f>_xlfn.XLOOKUP(Transactions_RAW_cleaned[[#This Row],[RegionQuarterKey]], Quarterly_Targets_cleaned[RegionQuarterKey], Quarterly_Targets_cleaned[TargetRevenue])</f>
        <v>140000</v>
      </c>
    </row>
    <row r="1083" spans="1:22" x14ac:dyDescent="0.25">
      <c r="A1083" t="s">
        <v>1416</v>
      </c>
      <c r="B1083" s="1">
        <v>45436</v>
      </c>
      <c r="C1083" t="s">
        <v>82</v>
      </c>
      <c r="D1083" t="s">
        <v>294</v>
      </c>
      <c r="E1083">
        <v>514.49</v>
      </c>
      <c r="F1083" t="s">
        <v>324</v>
      </c>
      <c r="G1083" t="s">
        <v>325</v>
      </c>
      <c r="I1083" t="s">
        <v>57</v>
      </c>
      <c r="J1083" t="s">
        <v>46</v>
      </c>
      <c r="K1083" t="s">
        <v>10</v>
      </c>
      <c r="L1083" t="s">
        <v>295</v>
      </c>
      <c r="M1083" t="s">
        <v>296</v>
      </c>
      <c r="N1083">
        <v>2.9000000000000001E-2</v>
      </c>
      <c r="O1083" t="str">
        <f>IF(Transactions_RAW_cleaned[[#This Row],[Status]]="Completed", IFERROR(_xlfn.XLOOKUP(Transactions_RAW_cleaned[[#This Row],[CustomerID]], Customers_cleaned[CustomerID], Customers_cleaned[Segment]), "Customer Not Found"), "N/A")</f>
        <v>Startup</v>
      </c>
      <c r="P1083" s="5" t="str">
        <f>IF(Transactions_RAW_cleaned[[#This Row],[Status]]="Refunded", "Refund",
  IF(Transactions_RAW_cleaned[[#This Row],[Category]]="Payments", IF(Transactions_RAW_cleaned[[#This Row],[Amount]]&gt;500,"High Value","Standard"),
    IF(Transactions_RAW_cleaned[[#This Row],[Amount]]&gt;250,"High Value","Standard")))</f>
        <v>High Value</v>
      </c>
      <c r="Q1083" s="5" t="str">
        <f>IF(Transactions_RAW_cleaned[[#This Row],[Amount]] &gt; (_xlfn.XLOOKUP(Transactions_RAW_cleaned[[#This Row],[ServiceID]],Services_cleaned[ServiceID],Services_cleaned[TransactionFeePct]) * 10000), "Yes", "No")</f>
        <v>Yes</v>
      </c>
      <c r="R1083" s="5" t="str">
        <f>IF(COUNTIFS($C$2:Transactions_RAW_cleaned[[#This Row],[CustomerID]],Transactions_RAW_cleaned[[#This Row],[CustomerID]],$D$2:Transactions_RAW_cleaned[[#This Row],[ServiceID]],Transactions_RAW_cleaned[[#This Row],[ServiceID]])=1,"Yes","No")</f>
        <v>No</v>
      </c>
      <c r="S108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83" t="str">
        <f>"Q"&amp;ROUNDUP(MONTH(Transactions_RAW_cleaned[[#This Row],[TransactionDate]])/3,0)</f>
        <v>Q2</v>
      </c>
      <c r="U1083" t="str">
        <f>Transactions_RAW_cleaned[[#This Row],[Region ]]&amp;Transactions_RAW_cleaned[[#This Row],[Quarter ]]</f>
        <v>APACQ2</v>
      </c>
      <c r="V1083" s="5">
        <f>_xlfn.XLOOKUP(Transactions_RAW_cleaned[[#This Row],[RegionQuarterKey]], Quarterly_Targets_cleaned[RegionQuarterKey], Quarterly_Targets_cleaned[TargetRevenue])</f>
        <v>110000</v>
      </c>
    </row>
    <row r="1084" spans="1:22" x14ac:dyDescent="0.25">
      <c r="A1084" t="s">
        <v>1417</v>
      </c>
      <c r="B1084" s="1">
        <v>45413</v>
      </c>
      <c r="C1084" t="s">
        <v>64</v>
      </c>
      <c r="D1084" t="s">
        <v>306</v>
      </c>
      <c r="E1084">
        <v>-61.03</v>
      </c>
      <c r="F1084" t="s">
        <v>349</v>
      </c>
      <c r="G1084" t="s">
        <v>2963</v>
      </c>
      <c r="H1084" t="s">
        <v>332</v>
      </c>
      <c r="I1084" t="s">
        <v>8</v>
      </c>
      <c r="J1084" t="s">
        <v>37</v>
      </c>
      <c r="K1084" t="s">
        <v>28</v>
      </c>
      <c r="L1084" t="s">
        <v>307</v>
      </c>
      <c r="M1084" t="s">
        <v>308</v>
      </c>
      <c r="N1084">
        <v>0</v>
      </c>
      <c r="O1084" t="str">
        <f>IF(Transactions_RAW_cleaned[[#This Row],[Status]]="Completed", IFERROR(_xlfn.XLOOKUP(Transactions_RAW_cleaned[[#This Row],[CustomerID]], Customers_cleaned[CustomerID], Customers_cleaned[Segment]), "Customer Not Found"), "N/A")</f>
        <v>N/A</v>
      </c>
      <c r="P1084" s="5" t="str">
        <f>IF(Transactions_RAW_cleaned[[#This Row],[Status]]="Refunded", "Refund",
  IF(Transactions_RAW_cleaned[[#This Row],[Category]]="Payments", IF(Transactions_RAW_cleaned[[#This Row],[Amount]]&gt;500,"High Value","Standard"),
    IF(Transactions_RAW_cleaned[[#This Row],[Amount]]&gt;250,"High Value","Standard")))</f>
        <v>Refund</v>
      </c>
      <c r="Q1084" s="5" t="str">
        <f>IF(Transactions_RAW_cleaned[[#This Row],[Amount]] &gt; (_xlfn.XLOOKUP(Transactions_RAW_cleaned[[#This Row],[ServiceID]],Services_cleaned[ServiceID],Services_cleaned[TransactionFeePct]) * 10000), "Yes", "No")</f>
        <v>No</v>
      </c>
      <c r="R1084" s="5" t="str">
        <f>IF(COUNTIFS($C$2:Transactions_RAW_cleaned[[#This Row],[CustomerID]],Transactions_RAW_cleaned[[#This Row],[CustomerID]],$D$2:Transactions_RAW_cleaned[[#This Row],[ServiceID]],Transactions_RAW_cleaned[[#This Row],[ServiceID]])=1,"Yes","No")</f>
        <v>No</v>
      </c>
      <c r="S108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084" t="str">
        <f>"Q"&amp;ROUNDUP(MONTH(Transactions_RAW_cleaned[[#This Row],[TransactionDate]])/3,0)</f>
        <v>Q2</v>
      </c>
      <c r="U1084" t="str">
        <f>Transactions_RAW_cleaned[[#This Row],[Region ]]&amp;Transactions_RAW_cleaned[[#This Row],[Quarter ]]</f>
        <v>EMEAQ2</v>
      </c>
      <c r="V1084" s="5">
        <f>_xlfn.XLOOKUP(Transactions_RAW_cleaned[[#This Row],[RegionQuarterKey]], Quarterly_Targets_cleaned[RegionQuarterKey], Quarterly_Targets_cleaned[TargetRevenue])</f>
        <v>140000</v>
      </c>
    </row>
    <row r="1085" spans="1:22" x14ac:dyDescent="0.25">
      <c r="A1085" t="s">
        <v>1418</v>
      </c>
      <c r="B1085" s="1">
        <v>45417</v>
      </c>
      <c r="C1085" t="s">
        <v>80</v>
      </c>
      <c r="D1085" t="s">
        <v>312</v>
      </c>
      <c r="E1085">
        <v>-741.21</v>
      </c>
      <c r="F1085" t="s">
        <v>349</v>
      </c>
      <c r="G1085" t="s">
        <v>325</v>
      </c>
      <c r="I1085" t="s">
        <v>8</v>
      </c>
      <c r="J1085" t="s">
        <v>13</v>
      </c>
      <c r="K1085" t="s">
        <v>32</v>
      </c>
      <c r="L1085" t="s">
        <v>313</v>
      </c>
      <c r="M1085" t="s">
        <v>314</v>
      </c>
      <c r="N1085">
        <v>0</v>
      </c>
      <c r="O1085" t="str">
        <f>IF(Transactions_RAW_cleaned[[#This Row],[Status]]="Completed", IFERROR(_xlfn.XLOOKUP(Transactions_RAW_cleaned[[#This Row],[CustomerID]], Customers_cleaned[CustomerID], Customers_cleaned[Segment]), "Customer Not Found"), "N/A")</f>
        <v>N/A</v>
      </c>
      <c r="P1085" s="5" t="str">
        <f>IF(Transactions_RAW_cleaned[[#This Row],[Status]]="Refunded", "Refund",
  IF(Transactions_RAW_cleaned[[#This Row],[Category]]="Payments", IF(Transactions_RAW_cleaned[[#This Row],[Amount]]&gt;500,"High Value","Standard"),
    IF(Transactions_RAW_cleaned[[#This Row],[Amount]]&gt;250,"High Value","Standard")))</f>
        <v>Refund</v>
      </c>
      <c r="Q1085" s="5" t="str">
        <f>IF(Transactions_RAW_cleaned[[#This Row],[Amount]] &gt; (_xlfn.XLOOKUP(Transactions_RAW_cleaned[[#This Row],[ServiceID]],Services_cleaned[ServiceID],Services_cleaned[TransactionFeePct]) * 10000), "Yes", "No")</f>
        <v>No</v>
      </c>
      <c r="R1085" s="5" t="str">
        <f>IF(COUNTIFS($C$2:Transactions_RAW_cleaned[[#This Row],[CustomerID]],Transactions_RAW_cleaned[[#This Row],[CustomerID]],$D$2:Transactions_RAW_cleaned[[#This Row],[ServiceID]],Transactions_RAW_cleaned[[#This Row],[ServiceID]])=1,"Yes","No")</f>
        <v>No</v>
      </c>
      <c r="S108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85" t="str">
        <f>"Q"&amp;ROUNDUP(MONTH(Transactions_RAW_cleaned[[#This Row],[TransactionDate]])/3,0)</f>
        <v>Q2</v>
      </c>
      <c r="U1085" t="str">
        <f>Transactions_RAW_cleaned[[#This Row],[Region ]]&amp;Transactions_RAW_cleaned[[#This Row],[Quarter ]]</f>
        <v>NAQ2</v>
      </c>
      <c r="V1085" s="5">
        <f>_xlfn.XLOOKUP(Transactions_RAW_cleaned[[#This Row],[RegionQuarterKey]], Quarterly_Targets_cleaned[RegionQuarterKey], Quarterly_Targets_cleaned[TargetRevenue])</f>
        <v>260000</v>
      </c>
    </row>
    <row r="1086" spans="1:22" x14ac:dyDescent="0.25">
      <c r="A1086" t="s">
        <v>1419</v>
      </c>
      <c r="B1086" s="1">
        <v>45490</v>
      </c>
      <c r="C1086" t="s">
        <v>66</v>
      </c>
      <c r="D1086" t="s">
        <v>297</v>
      </c>
      <c r="E1086">
        <v>416.56</v>
      </c>
      <c r="F1086" t="s">
        <v>381</v>
      </c>
      <c r="G1086" t="s">
        <v>325</v>
      </c>
      <c r="I1086" t="s">
        <v>8</v>
      </c>
      <c r="J1086" t="s">
        <v>46</v>
      </c>
      <c r="K1086" t="s">
        <v>10</v>
      </c>
      <c r="L1086" t="s">
        <v>298</v>
      </c>
      <c r="M1086" t="s">
        <v>299</v>
      </c>
      <c r="N1086">
        <v>0</v>
      </c>
      <c r="O1086" t="str">
        <f>IF(Transactions_RAW_cleaned[[#This Row],[Status]]="Completed", IFERROR(_xlfn.XLOOKUP(Transactions_RAW_cleaned[[#This Row],[CustomerID]], Customers_cleaned[CustomerID], Customers_cleaned[Segment]), "Customer Not Found"), "N/A")</f>
        <v>N/A</v>
      </c>
      <c r="P1086" s="5" t="str">
        <f>IF(Transactions_RAW_cleaned[[#This Row],[Status]]="Refunded", "Refund",
  IF(Transactions_RAW_cleaned[[#This Row],[Category]]="Payments", IF(Transactions_RAW_cleaned[[#This Row],[Amount]]&gt;500,"High Value","Standard"),
    IF(Transactions_RAW_cleaned[[#This Row],[Amount]]&gt;250,"High Value","Standard")))</f>
        <v>High Value</v>
      </c>
      <c r="Q1086" s="5" t="str">
        <f>IF(Transactions_RAW_cleaned[[#This Row],[Amount]] &gt; (_xlfn.XLOOKUP(Transactions_RAW_cleaned[[#This Row],[ServiceID]],Services_cleaned[ServiceID],Services_cleaned[TransactionFeePct]) * 10000), "Yes", "No")</f>
        <v>Yes</v>
      </c>
      <c r="R1086" s="5" t="str">
        <f>IF(COUNTIFS($C$2:Transactions_RAW_cleaned[[#This Row],[CustomerID]],Transactions_RAW_cleaned[[#This Row],[CustomerID]],$D$2:Transactions_RAW_cleaned[[#This Row],[ServiceID]],Transactions_RAW_cleaned[[#This Row],[ServiceID]])=1,"Yes","No")</f>
        <v>No</v>
      </c>
      <c r="S108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86" t="str">
        <f>"Q"&amp;ROUNDUP(MONTH(Transactions_RAW_cleaned[[#This Row],[TransactionDate]])/3,0)</f>
        <v>Q3</v>
      </c>
      <c r="U1086" t="str">
        <f>Transactions_RAW_cleaned[[#This Row],[Region ]]&amp;Transactions_RAW_cleaned[[#This Row],[Quarter ]]</f>
        <v>APACQ3</v>
      </c>
      <c r="V1086" s="5">
        <f>_xlfn.XLOOKUP(Transactions_RAW_cleaned[[#This Row],[RegionQuarterKey]], Quarterly_Targets_cleaned[RegionQuarterKey], Quarterly_Targets_cleaned[TargetRevenue])</f>
        <v>115500</v>
      </c>
    </row>
    <row r="1087" spans="1:22" x14ac:dyDescent="0.25">
      <c r="A1087" t="s">
        <v>1420</v>
      </c>
      <c r="B1087" s="1">
        <v>45637</v>
      </c>
      <c r="C1087" t="s">
        <v>247</v>
      </c>
      <c r="D1087" t="s">
        <v>294</v>
      </c>
      <c r="E1087">
        <v>834.68</v>
      </c>
      <c r="F1087" t="s">
        <v>324</v>
      </c>
      <c r="G1087" t="s">
        <v>337</v>
      </c>
      <c r="I1087" t="s">
        <v>17</v>
      </c>
      <c r="J1087" t="s">
        <v>13</v>
      </c>
      <c r="K1087" t="s">
        <v>28</v>
      </c>
      <c r="L1087" t="s">
        <v>295</v>
      </c>
      <c r="M1087" t="s">
        <v>296</v>
      </c>
      <c r="N1087">
        <v>2.9000000000000001E-2</v>
      </c>
      <c r="O1087" t="str">
        <f>IF(Transactions_RAW_cleaned[[#This Row],[Status]]="Completed", IFERROR(_xlfn.XLOOKUP(Transactions_RAW_cleaned[[#This Row],[CustomerID]], Customers_cleaned[CustomerID], Customers_cleaned[Segment]), "Customer Not Found"), "N/A")</f>
        <v>Enterprise</v>
      </c>
      <c r="P1087" s="5" t="str">
        <f>IF(Transactions_RAW_cleaned[[#This Row],[Status]]="Refunded", "Refund",
  IF(Transactions_RAW_cleaned[[#This Row],[Category]]="Payments", IF(Transactions_RAW_cleaned[[#This Row],[Amount]]&gt;500,"High Value","Standard"),
    IF(Transactions_RAW_cleaned[[#This Row],[Amount]]&gt;250,"High Value","Standard")))</f>
        <v>High Value</v>
      </c>
      <c r="Q1087" s="5" t="str">
        <f>IF(Transactions_RAW_cleaned[[#This Row],[Amount]] &gt; (_xlfn.XLOOKUP(Transactions_RAW_cleaned[[#This Row],[ServiceID]],Services_cleaned[ServiceID],Services_cleaned[TransactionFeePct]) * 10000), "Yes", "No")</f>
        <v>Yes</v>
      </c>
      <c r="R1087" s="5" t="str">
        <f>IF(COUNTIFS($C$2:Transactions_RAW_cleaned[[#This Row],[CustomerID]],Transactions_RAW_cleaned[[#This Row],[CustomerID]],$D$2:Transactions_RAW_cleaned[[#This Row],[ServiceID]],Transactions_RAW_cleaned[[#This Row],[ServiceID]])=1,"Yes","No")</f>
        <v>No</v>
      </c>
      <c r="S108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87" t="str">
        <f>"Q"&amp;ROUNDUP(MONTH(Transactions_RAW_cleaned[[#This Row],[TransactionDate]])/3,0)</f>
        <v>Q4</v>
      </c>
      <c r="U1087" t="str">
        <f>Transactions_RAW_cleaned[[#This Row],[Region ]]&amp;Transactions_RAW_cleaned[[#This Row],[Quarter ]]</f>
        <v>NAQ4</v>
      </c>
      <c r="V1087" s="5">
        <f>_xlfn.XLOOKUP(Transactions_RAW_cleaned[[#This Row],[RegionQuarterKey]], Quarterly_Targets_cleaned[RegionQuarterKey], Quarterly_Targets_cleaned[TargetRevenue])</f>
        <v>299000</v>
      </c>
    </row>
    <row r="1088" spans="1:22" x14ac:dyDescent="0.25">
      <c r="A1088" t="s">
        <v>1421</v>
      </c>
      <c r="B1088" s="1">
        <v>45501</v>
      </c>
      <c r="C1088" t="s">
        <v>159</v>
      </c>
      <c r="D1088" t="s">
        <v>300</v>
      </c>
      <c r="E1088">
        <v>261.64999999999998</v>
      </c>
      <c r="F1088" t="s">
        <v>381</v>
      </c>
      <c r="G1088" t="s">
        <v>327</v>
      </c>
      <c r="H1088" t="s">
        <v>346</v>
      </c>
      <c r="I1088" t="s">
        <v>57</v>
      </c>
      <c r="J1088" t="s">
        <v>25</v>
      </c>
      <c r="K1088" t="s">
        <v>22</v>
      </c>
      <c r="L1088" t="s">
        <v>301</v>
      </c>
      <c r="M1088" t="s">
        <v>302</v>
      </c>
      <c r="N1088">
        <v>5.0000000000000001E-3</v>
      </c>
      <c r="O1088" t="str">
        <f>IF(Transactions_RAW_cleaned[[#This Row],[Status]]="Completed", IFERROR(_xlfn.XLOOKUP(Transactions_RAW_cleaned[[#This Row],[CustomerID]], Customers_cleaned[CustomerID], Customers_cleaned[Segment]), "Customer Not Found"), "N/A")</f>
        <v>N/A</v>
      </c>
      <c r="P1088" s="5" t="str">
        <f>IF(Transactions_RAW_cleaned[[#This Row],[Status]]="Refunded", "Refund",
  IF(Transactions_RAW_cleaned[[#This Row],[Category]]="Payments", IF(Transactions_RAW_cleaned[[#This Row],[Amount]]&gt;500,"High Value","Standard"),
    IF(Transactions_RAW_cleaned[[#This Row],[Amount]]&gt;250,"High Value","Standard")))</f>
        <v>High Value</v>
      </c>
      <c r="Q1088" s="5" t="str">
        <f>IF(Transactions_RAW_cleaned[[#This Row],[Amount]] &gt; (_xlfn.XLOOKUP(Transactions_RAW_cleaned[[#This Row],[ServiceID]],Services_cleaned[ServiceID],Services_cleaned[TransactionFeePct]) * 10000), "Yes", "No")</f>
        <v>Yes</v>
      </c>
      <c r="R1088" s="5" t="str">
        <f>IF(COUNTIFS($C$2:Transactions_RAW_cleaned[[#This Row],[CustomerID]],Transactions_RAW_cleaned[[#This Row],[CustomerID]],$D$2:Transactions_RAW_cleaned[[#This Row],[ServiceID]],Transactions_RAW_cleaned[[#This Row],[ServiceID]])=1,"Yes","No")</f>
        <v>Yes</v>
      </c>
      <c r="S108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88" t="str">
        <f>"Q"&amp;ROUNDUP(MONTH(Transactions_RAW_cleaned[[#This Row],[TransactionDate]])/3,0)</f>
        <v>Q3</v>
      </c>
      <c r="U1088" t="str">
        <f>Transactions_RAW_cleaned[[#This Row],[Region ]]&amp;Transactions_RAW_cleaned[[#This Row],[Quarter ]]</f>
        <v>APACQ3</v>
      </c>
      <c r="V1088" s="5">
        <f>_xlfn.XLOOKUP(Transactions_RAW_cleaned[[#This Row],[RegionQuarterKey]], Quarterly_Targets_cleaned[RegionQuarterKey], Quarterly_Targets_cleaned[TargetRevenue])</f>
        <v>115500</v>
      </c>
    </row>
    <row r="1089" spans="1:22" x14ac:dyDescent="0.25">
      <c r="A1089" t="s">
        <v>1422</v>
      </c>
      <c r="B1089" s="1">
        <v>45483</v>
      </c>
      <c r="C1089" t="s">
        <v>47</v>
      </c>
      <c r="D1089" t="s">
        <v>300</v>
      </c>
      <c r="E1089">
        <v>144.55000000000001</v>
      </c>
      <c r="F1089" t="s">
        <v>324</v>
      </c>
      <c r="G1089" t="s">
        <v>327</v>
      </c>
      <c r="H1089" t="s">
        <v>346</v>
      </c>
      <c r="I1089" t="s">
        <v>8</v>
      </c>
      <c r="J1089" t="s">
        <v>21</v>
      </c>
      <c r="K1089" t="s">
        <v>22</v>
      </c>
      <c r="L1089" t="s">
        <v>301</v>
      </c>
      <c r="M1089" t="s">
        <v>302</v>
      </c>
      <c r="N1089">
        <v>5.0000000000000001E-3</v>
      </c>
      <c r="O1089" t="str">
        <f>IF(Transactions_RAW_cleaned[[#This Row],[Status]]="Completed", IFERROR(_xlfn.XLOOKUP(Transactions_RAW_cleaned[[#This Row],[CustomerID]], Customers_cleaned[CustomerID], Customers_cleaned[Segment]), "Customer Not Found"), "N/A")</f>
        <v>SMB</v>
      </c>
      <c r="P1089" s="5" t="str">
        <f>IF(Transactions_RAW_cleaned[[#This Row],[Status]]="Refunded", "Refund",
  IF(Transactions_RAW_cleaned[[#This Row],[Category]]="Payments", IF(Transactions_RAW_cleaned[[#This Row],[Amount]]&gt;500,"High Value","Standard"),
    IF(Transactions_RAW_cleaned[[#This Row],[Amount]]&gt;250,"High Value","Standard")))</f>
        <v>Standard</v>
      </c>
      <c r="Q1089" s="5" t="str">
        <f>IF(Transactions_RAW_cleaned[[#This Row],[Amount]] &gt; (_xlfn.XLOOKUP(Transactions_RAW_cleaned[[#This Row],[ServiceID]],Services_cleaned[ServiceID],Services_cleaned[TransactionFeePct]) * 10000), "Yes", "No")</f>
        <v>Yes</v>
      </c>
      <c r="R1089" s="5" t="str">
        <f>IF(COUNTIFS($C$2:Transactions_RAW_cleaned[[#This Row],[CustomerID]],Transactions_RAW_cleaned[[#This Row],[CustomerID]],$D$2:Transactions_RAW_cleaned[[#This Row],[ServiceID]],Transactions_RAW_cleaned[[#This Row],[ServiceID]])=1,"Yes","No")</f>
        <v>No</v>
      </c>
      <c r="S108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89" t="str">
        <f>"Q"&amp;ROUNDUP(MONTH(Transactions_RAW_cleaned[[#This Row],[TransactionDate]])/3,0)</f>
        <v>Q3</v>
      </c>
      <c r="U1089" t="str">
        <f>Transactions_RAW_cleaned[[#This Row],[Region ]]&amp;Transactions_RAW_cleaned[[#This Row],[Quarter ]]</f>
        <v>APACQ3</v>
      </c>
      <c r="V1089" s="5">
        <f>_xlfn.XLOOKUP(Transactions_RAW_cleaned[[#This Row],[RegionQuarterKey]], Quarterly_Targets_cleaned[RegionQuarterKey], Quarterly_Targets_cleaned[TargetRevenue])</f>
        <v>115500</v>
      </c>
    </row>
    <row r="1090" spans="1:22" x14ac:dyDescent="0.25">
      <c r="A1090" t="s">
        <v>1423</v>
      </c>
      <c r="B1090" s="1">
        <v>45638</v>
      </c>
      <c r="C1090" t="s">
        <v>29</v>
      </c>
      <c r="D1090" t="s">
        <v>315</v>
      </c>
      <c r="E1090">
        <v>543.63</v>
      </c>
      <c r="F1090" t="s">
        <v>324</v>
      </c>
      <c r="G1090" t="s">
        <v>337</v>
      </c>
      <c r="I1090" t="s">
        <v>8</v>
      </c>
      <c r="J1090" t="s">
        <v>31</v>
      </c>
      <c r="K1090" t="s">
        <v>32</v>
      </c>
      <c r="L1090" t="s">
        <v>316</v>
      </c>
      <c r="M1090" t="s">
        <v>305</v>
      </c>
      <c r="N1090">
        <v>2.5000000000000001E-3</v>
      </c>
      <c r="O1090" t="str">
        <f>IF(Transactions_RAW_cleaned[[#This Row],[Status]]="Completed", IFERROR(_xlfn.XLOOKUP(Transactions_RAW_cleaned[[#This Row],[CustomerID]], Customers_cleaned[CustomerID], Customers_cleaned[Segment]), "Customer Not Found"), "N/A")</f>
        <v>SMB</v>
      </c>
      <c r="P1090" s="5" t="str">
        <f>IF(Transactions_RAW_cleaned[[#This Row],[Status]]="Refunded", "Refund",
  IF(Transactions_RAW_cleaned[[#This Row],[Category]]="Payments", IF(Transactions_RAW_cleaned[[#This Row],[Amount]]&gt;500,"High Value","Standard"),
    IF(Transactions_RAW_cleaned[[#This Row],[Amount]]&gt;250,"High Value","Standard")))</f>
        <v>High Value</v>
      </c>
      <c r="Q1090" s="5" t="str">
        <f>IF(Transactions_RAW_cleaned[[#This Row],[Amount]] &gt; (_xlfn.XLOOKUP(Transactions_RAW_cleaned[[#This Row],[ServiceID]],Services_cleaned[ServiceID],Services_cleaned[TransactionFeePct]) * 10000), "Yes", "No")</f>
        <v>Yes</v>
      </c>
      <c r="R1090" s="5" t="str">
        <f>IF(COUNTIFS($C$2:Transactions_RAW_cleaned[[#This Row],[CustomerID]],Transactions_RAW_cleaned[[#This Row],[CustomerID]],$D$2:Transactions_RAW_cleaned[[#This Row],[ServiceID]],Transactions_RAW_cleaned[[#This Row],[ServiceID]])=1,"Yes","No")</f>
        <v>Yes</v>
      </c>
      <c r="S109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090" t="str">
        <f>"Q"&amp;ROUNDUP(MONTH(Transactions_RAW_cleaned[[#This Row],[TransactionDate]])/3,0)</f>
        <v>Q4</v>
      </c>
      <c r="U1090" t="str">
        <f>Transactions_RAW_cleaned[[#This Row],[Region ]]&amp;Transactions_RAW_cleaned[[#This Row],[Quarter ]]</f>
        <v>EMEAQ4</v>
      </c>
      <c r="V1090" s="5">
        <f>_xlfn.XLOOKUP(Transactions_RAW_cleaned[[#This Row],[RegionQuarterKey]], Quarterly_Targets_cleaned[RegionQuarterKey], Quarterly_Targets_cleaned[TargetRevenue])</f>
        <v>161000</v>
      </c>
    </row>
    <row r="1091" spans="1:22" x14ac:dyDescent="0.25">
      <c r="A1091" t="s">
        <v>1424</v>
      </c>
      <c r="B1091" s="1">
        <v>45370</v>
      </c>
      <c r="C1091" t="s">
        <v>42</v>
      </c>
      <c r="D1091" t="s">
        <v>303</v>
      </c>
      <c r="E1091">
        <v>687.47</v>
      </c>
      <c r="F1091" t="s">
        <v>324</v>
      </c>
      <c r="G1091" t="s">
        <v>337</v>
      </c>
      <c r="I1091" t="s">
        <v>8</v>
      </c>
      <c r="J1091" t="s">
        <v>102</v>
      </c>
      <c r="K1091" t="s">
        <v>10</v>
      </c>
      <c r="L1091" t="s">
        <v>304</v>
      </c>
      <c r="M1091" t="s">
        <v>305</v>
      </c>
      <c r="N1091">
        <v>1E-3</v>
      </c>
      <c r="O1091" t="str">
        <f>IF(Transactions_RAW_cleaned[[#This Row],[Status]]="Completed", IFERROR(_xlfn.XLOOKUP(Transactions_RAW_cleaned[[#This Row],[CustomerID]], Customers_cleaned[CustomerID], Customers_cleaned[Segment]), "Customer Not Found"), "N/A")</f>
        <v>SMB</v>
      </c>
      <c r="P1091" s="5" t="str">
        <f>IF(Transactions_RAW_cleaned[[#This Row],[Status]]="Refunded", "Refund",
  IF(Transactions_RAW_cleaned[[#This Row],[Category]]="Payments", IF(Transactions_RAW_cleaned[[#This Row],[Amount]]&gt;500,"High Value","Standard"),
    IF(Transactions_RAW_cleaned[[#This Row],[Amount]]&gt;250,"High Value","Standard")))</f>
        <v>High Value</v>
      </c>
      <c r="Q1091" s="5" t="str">
        <f>IF(Transactions_RAW_cleaned[[#This Row],[Amount]] &gt; (_xlfn.XLOOKUP(Transactions_RAW_cleaned[[#This Row],[ServiceID]],Services_cleaned[ServiceID],Services_cleaned[TransactionFeePct]) * 10000), "Yes", "No")</f>
        <v>Yes</v>
      </c>
      <c r="R1091" s="5" t="str">
        <f>IF(COUNTIFS($C$2:Transactions_RAW_cleaned[[#This Row],[CustomerID]],Transactions_RAW_cleaned[[#This Row],[CustomerID]],$D$2:Transactions_RAW_cleaned[[#This Row],[ServiceID]],Transactions_RAW_cleaned[[#This Row],[ServiceID]])=1,"Yes","No")</f>
        <v>Yes</v>
      </c>
      <c r="S109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91" t="str">
        <f>"Q"&amp;ROUNDUP(MONTH(Transactions_RAW_cleaned[[#This Row],[TransactionDate]])/3,0)</f>
        <v>Q1</v>
      </c>
      <c r="U1091" t="str">
        <f>Transactions_RAW_cleaned[[#This Row],[Region ]]&amp;Transactions_RAW_cleaned[[#This Row],[Quarter ]]</f>
        <v>NAQ1</v>
      </c>
      <c r="V1091" s="5">
        <f>_xlfn.XLOOKUP(Transactions_RAW_cleaned[[#This Row],[RegionQuarterKey]], Quarterly_Targets_cleaned[RegionQuarterKey], Quarterly_Targets_cleaned[TargetRevenue])</f>
        <v>247000</v>
      </c>
    </row>
    <row r="1092" spans="1:22" x14ac:dyDescent="0.25">
      <c r="A1092" t="s">
        <v>1425</v>
      </c>
      <c r="B1092" s="1">
        <v>45530</v>
      </c>
      <c r="C1092" t="s">
        <v>211</v>
      </c>
      <c r="D1092" t="s">
        <v>309</v>
      </c>
      <c r="E1092">
        <v>1134.42</v>
      </c>
      <c r="F1092" t="s">
        <v>331</v>
      </c>
      <c r="G1092" t="s">
        <v>325</v>
      </c>
      <c r="H1092" t="s">
        <v>334</v>
      </c>
      <c r="I1092" t="s">
        <v>8</v>
      </c>
      <c r="J1092" t="s">
        <v>31</v>
      </c>
      <c r="K1092" t="s">
        <v>22</v>
      </c>
      <c r="L1092" t="s">
        <v>310</v>
      </c>
      <c r="M1092" t="s">
        <v>311</v>
      </c>
      <c r="N1092">
        <v>0</v>
      </c>
      <c r="O1092" t="str">
        <f>IF(Transactions_RAW_cleaned[[#This Row],[Status]]="Completed", IFERROR(_xlfn.XLOOKUP(Transactions_RAW_cleaned[[#This Row],[CustomerID]], Customers_cleaned[CustomerID], Customers_cleaned[Segment]), "Customer Not Found"), "N/A")</f>
        <v>N/A</v>
      </c>
      <c r="P1092" s="5" t="str">
        <f>IF(Transactions_RAW_cleaned[[#This Row],[Status]]="Refunded", "Refund",
  IF(Transactions_RAW_cleaned[[#This Row],[Category]]="Payments", IF(Transactions_RAW_cleaned[[#This Row],[Amount]]&gt;500,"High Value","Standard"),
    IF(Transactions_RAW_cleaned[[#This Row],[Amount]]&gt;250,"High Value","Standard")))</f>
        <v>High Value</v>
      </c>
      <c r="Q1092" s="5" t="str">
        <f>IF(Transactions_RAW_cleaned[[#This Row],[Amount]] &gt; (_xlfn.XLOOKUP(Transactions_RAW_cleaned[[#This Row],[ServiceID]],Services_cleaned[ServiceID],Services_cleaned[TransactionFeePct]) * 10000), "Yes", "No")</f>
        <v>Yes</v>
      </c>
      <c r="R1092" s="5" t="str">
        <f>IF(COUNTIFS($C$2:Transactions_RAW_cleaned[[#This Row],[CustomerID]],Transactions_RAW_cleaned[[#This Row],[CustomerID]],$D$2:Transactions_RAW_cleaned[[#This Row],[ServiceID]],Transactions_RAW_cleaned[[#This Row],[ServiceID]])=1,"Yes","No")</f>
        <v>No</v>
      </c>
      <c r="S109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092" t="str">
        <f>"Q"&amp;ROUNDUP(MONTH(Transactions_RAW_cleaned[[#This Row],[TransactionDate]])/3,0)</f>
        <v>Q3</v>
      </c>
      <c r="U1092" t="str">
        <f>Transactions_RAW_cleaned[[#This Row],[Region ]]&amp;Transactions_RAW_cleaned[[#This Row],[Quarter ]]</f>
        <v>EMEAQ3</v>
      </c>
      <c r="V1092" s="5">
        <f>_xlfn.XLOOKUP(Transactions_RAW_cleaned[[#This Row],[RegionQuarterKey]], Quarterly_Targets_cleaned[RegionQuarterKey], Quarterly_Targets_cleaned[TargetRevenue])</f>
        <v>147000</v>
      </c>
    </row>
    <row r="1093" spans="1:22" x14ac:dyDescent="0.25">
      <c r="A1093" t="s">
        <v>1426</v>
      </c>
      <c r="B1093" s="1">
        <v>45509</v>
      </c>
      <c r="C1093" t="s">
        <v>147</v>
      </c>
      <c r="D1093" t="s">
        <v>300</v>
      </c>
      <c r="E1093">
        <v>252.53</v>
      </c>
      <c r="F1093" t="s">
        <v>324</v>
      </c>
      <c r="G1093" t="s">
        <v>325</v>
      </c>
      <c r="H1093" t="s">
        <v>346</v>
      </c>
      <c r="I1093" t="s">
        <v>17</v>
      </c>
      <c r="J1093" t="s">
        <v>25</v>
      </c>
      <c r="K1093" t="s">
        <v>32</v>
      </c>
      <c r="L1093" t="s">
        <v>301</v>
      </c>
      <c r="M1093" t="s">
        <v>302</v>
      </c>
      <c r="N1093">
        <v>5.0000000000000001E-3</v>
      </c>
      <c r="O1093" t="str">
        <f>IF(Transactions_RAW_cleaned[[#This Row],[Status]]="Completed", IFERROR(_xlfn.XLOOKUP(Transactions_RAW_cleaned[[#This Row],[CustomerID]], Customers_cleaned[CustomerID], Customers_cleaned[Segment]), "Customer Not Found"), "N/A")</f>
        <v>Enterprise</v>
      </c>
      <c r="P1093" s="5" t="str">
        <f>IF(Transactions_RAW_cleaned[[#This Row],[Status]]="Refunded", "Refund",
  IF(Transactions_RAW_cleaned[[#This Row],[Category]]="Payments", IF(Transactions_RAW_cleaned[[#This Row],[Amount]]&gt;500,"High Value","Standard"),
    IF(Transactions_RAW_cleaned[[#This Row],[Amount]]&gt;250,"High Value","Standard")))</f>
        <v>High Value</v>
      </c>
      <c r="Q1093" s="5" t="str">
        <f>IF(Transactions_RAW_cleaned[[#This Row],[Amount]] &gt; (_xlfn.XLOOKUP(Transactions_RAW_cleaned[[#This Row],[ServiceID]],Services_cleaned[ServiceID],Services_cleaned[TransactionFeePct]) * 10000), "Yes", "No")</f>
        <v>Yes</v>
      </c>
      <c r="R1093" s="5" t="str">
        <f>IF(COUNTIFS($C$2:Transactions_RAW_cleaned[[#This Row],[CustomerID]],Transactions_RAW_cleaned[[#This Row],[CustomerID]],$D$2:Transactions_RAW_cleaned[[#This Row],[ServiceID]],Transactions_RAW_cleaned[[#This Row],[ServiceID]])=1,"Yes","No")</f>
        <v>Yes</v>
      </c>
      <c r="S109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93" t="str">
        <f>"Q"&amp;ROUNDUP(MONTH(Transactions_RAW_cleaned[[#This Row],[TransactionDate]])/3,0)</f>
        <v>Q3</v>
      </c>
      <c r="U1093" t="str">
        <f>Transactions_RAW_cleaned[[#This Row],[Region ]]&amp;Transactions_RAW_cleaned[[#This Row],[Quarter ]]</f>
        <v>APACQ3</v>
      </c>
      <c r="V1093" s="5">
        <f>_xlfn.XLOOKUP(Transactions_RAW_cleaned[[#This Row],[RegionQuarterKey]], Quarterly_Targets_cleaned[RegionQuarterKey], Quarterly_Targets_cleaned[TargetRevenue])</f>
        <v>115500</v>
      </c>
    </row>
    <row r="1094" spans="1:22" x14ac:dyDescent="0.25">
      <c r="A1094" t="s">
        <v>1427</v>
      </c>
      <c r="B1094" s="1">
        <v>45396</v>
      </c>
      <c r="C1094" t="s">
        <v>183</v>
      </c>
      <c r="D1094" t="s">
        <v>315</v>
      </c>
      <c r="E1094">
        <v>377.58</v>
      </c>
      <c r="F1094" t="s">
        <v>324</v>
      </c>
      <c r="G1094" t="s">
        <v>325</v>
      </c>
      <c r="H1094" t="s">
        <v>334</v>
      </c>
      <c r="I1094" t="s">
        <v>8</v>
      </c>
      <c r="J1094" t="s">
        <v>13</v>
      </c>
      <c r="K1094" t="s">
        <v>10</v>
      </c>
      <c r="L1094" t="s">
        <v>316</v>
      </c>
      <c r="M1094" t="s">
        <v>305</v>
      </c>
      <c r="N1094">
        <v>2.5000000000000001E-3</v>
      </c>
      <c r="O1094" t="str">
        <f>IF(Transactions_RAW_cleaned[[#This Row],[Status]]="Completed", IFERROR(_xlfn.XLOOKUP(Transactions_RAW_cleaned[[#This Row],[CustomerID]], Customers_cleaned[CustomerID], Customers_cleaned[Segment]), "Customer Not Found"), "N/A")</f>
        <v>SMB</v>
      </c>
      <c r="P1094" s="5" t="str">
        <f>IF(Transactions_RAW_cleaned[[#This Row],[Status]]="Refunded", "Refund",
  IF(Transactions_RAW_cleaned[[#This Row],[Category]]="Payments", IF(Transactions_RAW_cleaned[[#This Row],[Amount]]&gt;500,"High Value","Standard"),
    IF(Transactions_RAW_cleaned[[#This Row],[Amount]]&gt;250,"High Value","Standard")))</f>
        <v>High Value</v>
      </c>
      <c r="Q1094" s="5" t="str">
        <f>IF(Transactions_RAW_cleaned[[#This Row],[Amount]] &gt; (_xlfn.XLOOKUP(Transactions_RAW_cleaned[[#This Row],[ServiceID]],Services_cleaned[ServiceID],Services_cleaned[TransactionFeePct]) * 10000), "Yes", "No")</f>
        <v>Yes</v>
      </c>
      <c r="R1094" s="5" t="str">
        <f>IF(COUNTIFS($C$2:Transactions_RAW_cleaned[[#This Row],[CustomerID]],Transactions_RAW_cleaned[[#This Row],[CustomerID]],$D$2:Transactions_RAW_cleaned[[#This Row],[ServiceID]],Transactions_RAW_cleaned[[#This Row],[ServiceID]])=1,"Yes","No")</f>
        <v>Yes</v>
      </c>
      <c r="S109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94" t="str">
        <f>"Q"&amp;ROUNDUP(MONTH(Transactions_RAW_cleaned[[#This Row],[TransactionDate]])/3,0)</f>
        <v>Q2</v>
      </c>
      <c r="U1094" t="str">
        <f>Transactions_RAW_cleaned[[#This Row],[Region ]]&amp;Transactions_RAW_cleaned[[#This Row],[Quarter ]]</f>
        <v>NAQ2</v>
      </c>
      <c r="V1094" s="5">
        <f>_xlfn.XLOOKUP(Transactions_RAW_cleaned[[#This Row],[RegionQuarterKey]], Quarterly_Targets_cleaned[RegionQuarterKey], Quarterly_Targets_cleaned[TargetRevenue])</f>
        <v>260000</v>
      </c>
    </row>
    <row r="1095" spans="1:22" x14ac:dyDescent="0.25">
      <c r="A1095" t="s">
        <v>1428</v>
      </c>
      <c r="B1095" s="1">
        <v>45454</v>
      </c>
      <c r="C1095" t="s">
        <v>35</v>
      </c>
      <c r="D1095" t="s">
        <v>294</v>
      </c>
      <c r="E1095">
        <v>256.45999999999998</v>
      </c>
      <c r="F1095" t="s">
        <v>331</v>
      </c>
      <c r="G1095" t="s">
        <v>325</v>
      </c>
      <c r="H1095" t="s">
        <v>332</v>
      </c>
      <c r="I1095" t="s">
        <v>8</v>
      </c>
      <c r="J1095" t="s">
        <v>37</v>
      </c>
      <c r="K1095" t="s">
        <v>28</v>
      </c>
      <c r="L1095" t="s">
        <v>295</v>
      </c>
      <c r="M1095" t="s">
        <v>296</v>
      </c>
      <c r="N1095">
        <v>2.9000000000000001E-2</v>
      </c>
      <c r="O1095" t="str">
        <f>IF(Transactions_RAW_cleaned[[#This Row],[Status]]="Completed", IFERROR(_xlfn.XLOOKUP(Transactions_RAW_cleaned[[#This Row],[CustomerID]], Customers_cleaned[CustomerID], Customers_cleaned[Segment]), "Customer Not Found"), "N/A")</f>
        <v>N/A</v>
      </c>
      <c r="P1095" s="5" t="str">
        <f>IF(Transactions_RAW_cleaned[[#This Row],[Status]]="Refunded", "Refund",
  IF(Transactions_RAW_cleaned[[#This Row],[Category]]="Payments", IF(Transactions_RAW_cleaned[[#This Row],[Amount]]&gt;500,"High Value","Standard"),
    IF(Transactions_RAW_cleaned[[#This Row],[Amount]]&gt;250,"High Value","Standard")))</f>
        <v>Standard</v>
      </c>
      <c r="Q1095" s="5" t="str">
        <f>IF(Transactions_RAW_cleaned[[#This Row],[Amount]] &gt; (_xlfn.XLOOKUP(Transactions_RAW_cleaned[[#This Row],[ServiceID]],Services_cleaned[ServiceID],Services_cleaned[TransactionFeePct]) * 10000), "Yes", "No")</f>
        <v>No</v>
      </c>
      <c r="R1095" s="5" t="str">
        <f>IF(COUNTIFS($C$2:Transactions_RAW_cleaned[[#This Row],[CustomerID]],Transactions_RAW_cleaned[[#This Row],[CustomerID]],$D$2:Transactions_RAW_cleaned[[#This Row],[ServiceID]],Transactions_RAW_cleaned[[#This Row],[ServiceID]])=1,"Yes","No")</f>
        <v>No</v>
      </c>
      <c r="S109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095" t="str">
        <f>"Q"&amp;ROUNDUP(MONTH(Transactions_RAW_cleaned[[#This Row],[TransactionDate]])/3,0)</f>
        <v>Q2</v>
      </c>
      <c r="U1095" t="str">
        <f>Transactions_RAW_cleaned[[#This Row],[Region ]]&amp;Transactions_RAW_cleaned[[#This Row],[Quarter ]]</f>
        <v>EMEAQ2</v>
      </c>
      <c r="V1095" s="5">
        <f>_xlfn.XLOOKUP(Transactions_RAW_cleaned[[#This Row],[RegionQuarterKey]], Quarterly_Targets_cleaned[RegionQuarterKey], Quarterly_Targets_cleaned[TargetRevenue])</f>
        <v>140000</v>
      </c>
    </row>
    <row r="1096" spans="1:22" x14ac:dyDescent="0.25">
      <c r="A1096" t="s">
        <v>1429</v>
      </c>
      <c r="B1096" s="1">
        <v>45386</v>
      </c>
      <c r="C1096" t="s">
        <v>203</v>
      </c>
      <c r="D1096" t="s">
        <v>300</v>
      </c>
      <c r="E1096">
        <v>494.6</v>
      </c>
      <c r="F1096" t="s">
        <v>324</v>
      </c>
      <c r="G1096" t="s">
        <v>327</v>
      </c>
      <c r="I1096" t="s">
        <v>57</v>
      </c>
      <c r="J1096" t="s">
        <v>21</v>
      </c>
      <c r="K1096" t="s">
        <v>14</v>
      </c>
      <c r="L1096" t="s">
        <v>301</v>
      </c>
      <c r="M1096" t="s">
        <v>302</v>
      </c>
      <c r="N1096">
        <v>5.0000000000000001E-3</v>
      </c>
      <c r="O1096" t="str">
        <f>IF(Transactions_RAW_cleaned[[#This Row],[Status]]="Completed", IFERROR(_xlfn.XLOOKUP(Transactions_RAW_cleaned[[#This Row],[CustomerID]], Customers_cleaned[CustomerID], Customers_cleaned[Segment]), "Customer Not Found"), "N/A")</f>
        <v>Startup</v>
      </c>
      <c r="P1096" s="5" t="str">
        <f>IF(Transactions_RAW_cleaned[[#This Row],[Status]]="Refunded", "Refund",
  IF(Transactions_RAW_cleaned[[#This Row],[Category]]="Payments", IF(Transactions_RAW_cleaned[[#This Row],[Amount]]&gt;500,"High Value","Standard"),
    IF(Transactions_RAW_cleaned[[#This Row],[Amount]]&gt;250,"High Value","Standard")))</f>
        <v>High Value</v>
      </c>
      <c r="Q1096" s="5" t="str">
        <f>IF(Transactions_RAW_cleaned[[#This Row],[Amount]] &gt; (_xlfn.XLOOKUP(Transactions_RAW_cleaned[[#This Row],[ServiceID]],Services_cleaned[ServiceID],Services_cleaned[TransactionFeePct]) * 10000), "Yes", "No")</f>
        <v>Yes</v>
      </c>
      <c r="R1096" s="5" t="str">
        <f>IF(COUNTIFS($C$2:Transactions_RAW_cleaned[[#This Row],[CustomerID]],Transactions_RAW_cleaned[[#This Row],[CustomerID]],$D$2:Transactions_RAW_cleaned[[#This Row],[ServiceID]],Transactions_RAW_cleaned[[#This Row],[ServiceID]])=1,"Yes","No")</f>
        <v>Yes</v>
      </c>
      <c r="S109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96" t="str">
        <f>"Q"&amp;ROUNDUP(MONTH(Transactions_RAW_cleaned[[#This Row],[TransactionDate]])/3,0)</f>
        <v>Q2</v>
      </c>
      <c r="U1096" t="str">
        <f>Transactions_RAW_cleaned[[#This Row],[Region ]]&amp;Transactions_RAW_cleaned[[#This Row],[Quarter ]]</f>
        <v>APACQ2</v>
      </c>
      <c r="V1096" s="5">
        <f>_xlfn.XLOOKUP(Transactions_RAW_cleaned[[#This Row],[RegionQuarterKey]], Quarterly_Targets_cleaned[RegionQuarterKey], Quarterly_Targets_cleaned[TargetRevenue])</f>
        <v>110000</v>
      </c>
    </row>
    <row r="1097" spans="1:22" x14ac:dyDescent="0.25">
      <c r="A1097" t="s">
        <v>1430</v>
      </c>
      <c r="B1097" s="1">
        <v>45331</v>
      </c>
      <c r="C1097" t="s">
        <v>159</v>
      </c>
      <c r="D1097" t="s">
        <v>312</v>
      </c>
      <c r="E1097">
        <v>417.61</v>
      </c>
      <c r="F1097" t="s">
        <v>324</v>
      </c>
      <c r="G1097" t="s">
        <v>337</v>
      </c>
      <c r="H1097" t="s">
        <v>346</v>
      </c>
      <c r="I1097" t="s">
        <v>57</v>
      </c>
      <c r="J1097" t="s">
        <v>25</v>
      </c>
      <c r="K1097" t="s">
        <v>22</v>
      </c>
      <c r="L1097" t="s">
        <v>313</v>
      </c>
      <c r="M1097" t="s">
        <v>314</v>
      </c>
      <c r="N1097">
        <v>0</v>
      </c>
      <c r="O1097" t="str">
        <f>IF(Transactions_RAW_cleaned[[#This Row],[Status]]="Completed", IFERROR(_xlfn.XLOOKUP(Transactions_RAW_cleaned[[#This Row],[CustomerID]], Customers_cleaned[CustomerID], Customers_cleaned[Segment]), "Customer Not Found"), "N/A")</f>
        <v>Startup</v>
      </c>
      <c r="P1097" s="5" t="str">
        <f>IF(Transactions_RAW_cleaned[[#This Row],[Status]]="Refunded", "Refund",
  IF(Transactions_RAW_cleaned[[#This Row],[Category]]="Payments", IF(Transactions_RAW_cleaned[[#This Row],[Amount]]&gt;500,"High Value","Standard"),
    IF(Transactions_RAW_cleaned[[#This Row],[Amount]]&gt;250,"High Value","Standard")))</f>
        <v>High Value</v>
      </c>
      <c r="Q1097" s="5" t="str">
        <f>IF(Transactions_RAW_cleaned[[#This Row],[Amount]] &gt; (_xlfn.XLOOKUP(Transactions_RAW_cleaned[[#This Row],[ServiceID]],Services_cleaned[ServiceID],Services_cleaned[TransactionFeePct]) * 10000), "Yes", "No")</f>
        <v>Yes</v>
      </c>
      <c r="R1097" s="5" t="str">
        <f>IF(COUNTIFS($C$2:Transactions_RAW_cleaned[[#This Row],[CustomerID]],Transactions_RAW_cleaned[[#This Row],[CustomerID]],$D$2:Transactions_RAW_cleaned[[#This Row],[ServiceID]],Transactions_RAW_cleaned[[#This Row],[ServiceID]])=1,"Yes","No")</f>
        <v>No</v>
      </c>
      <c r="S109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097" t="str">
        <f>"Q"&amp;ROUNDUP(MONTH(Transactions_RAW_cleaned[[#This Row],[TransactionDate]])/3,0)</f>
        <v>Q1</v>
      </c>
      <c r="U1097" t="str">
        <f>Transactions_RAW_cleaned[[#This Row],[Region ]]&amp;Transactions_RAW_cleaned[[#This Row],[Quarter ]]</f>
        <v>APACQ1</v>
      </c>
      <c r="V1097" s="5">
        <f>_xlfn.XLOOKUP(Transactions_RAW_cleaned[[#This Row],[RegionQuarterKey]], Quarterly_Targets_cleaned[RegionQuarterKey], Quarterly_Targets_cleaned[TargetRevenue])</f>
        <v>104500</v>
      </c>
    </row>
    <row r="1098" spans="1:22" x14ac:dyDescent="0.25">
      <c r="A1098" t="s">
        <v>1431</v>
      </c>
      <c r="B1098" s="1">
        <v>45419</v>
      </c>
      <c r="C1098" t="s">
        <v>80</v>
      </c>
      <c r="D1098" t="s">
        <v>315</v>
      </c>
      <c r="E1098">
        <v>804.74</v>
      </c>
      <c r="F1098" t="s">
        <v>324</v>
      </c>
      <c r="G1098" t="s">
        <v>2963</v>
      </c>
      <c r="H1098" t="s">
        <v>334</v>
      </c>
      <c r="I1098" t="s">
        <v>8</v>
      </c>
      <c r="J1098" t="s">
        <v>13</v>
      </c>
      <c r="K1098" t="s">
        <v>32</v>
      </c>
      <c r="L1098" t="s">
        <v>316</v>
      </c>
      <c r="M1098" t="s">
        <v>305</v>
      </c>
      <c r="N1098">
        <v>2.5000000000000001E-3</v>
      </c>
      <c r="O1098" t="str">
        <f>IF(Transactions_RAW_cleaned[[#This Row],[Status]]="Completed", IFERROR(_xlfn.XLOOKUP(Transactions_RAW_cleaned[[#This Row],[CustomerID]], Customers_cleaned[CustomerID], Customers_cleaned[Segment]), "Customer Not Found"), "N/A")</f>
        <v>SMB</v>
      </c>
      <c r="P1098" s="5" t="str">
        <f>IF(Transactions_RAW_cleaned[[#This Row],[Status]]="Refunded", "Refund",
  IF(Transactions_RAW_cleaned[[#This Row],[Category]]="Payments", IF(Transactions_RAW_cleaned[[#This Row],[Amount]]&gt;500,"High Value","Standard"),
    IF(Transactions_RAW_cleaned[[#This Row],[Amount]]&gt;250,"High Value","Standard")))</f>
        <v>High Value</v>
      </c>
      <c r="Q1098" s="5" t="str">
        <f>IF(Transactions_RAW_cleaned[[#This Row],[Amount]] &gt; (_xlfn.XLOOKUP(Transactions_RAW_cleaned[[#This Row],[ServiceID]],Services_cleaned[ServiceID],Services_cleaned[TransactionFeePct]) * 10000), "Yes", "No")</f>
        <v>Yes</v>
      </c>
      <c r="R1098" s="5" t="str">
        <f>IF(COUNTIFS($C$2:Transactions_RAW_cleaned[[#This Row],[CustomerID]],Transactions_RAW_cleaned[[#This Row],[CustomerID]],$D$2:Transactions_RAW_cleaned[[#This Row],[ServiceID]],Transactions_RAW_cleaned[[#This Row],[ServiceID]])=1,"Yes","No")</f>
        <v>Yes</v>
      </c>
      <c r="S109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98" t="str">
        <f>"Q"&amp;ROUNDUP(MONTH(Transactions_RAW_cleaned[[#This Row],[TransactionDate]])/3,0)</f>
        <v>Q2</v>
      </c>
      <c r="U1098" t="str">
        <f>Transactions_RAW_cleaned[[#This Row],[Region ]]&amp;Transactions_RAW_cleaned[[#This Row],[Quarter ]]</f>
        <v>NAQ2</v>
      </c>
      <c r="V1098" s="5">
        <f>_xlfn.XLOOKUP(Transactions_RAW_cleaned[[#This Row],[RegionQuarterKey]], Quarterly_Targets_cleaned[RegionQuarterKey], Quarterly_Targets_cleaned[TargetRevenue])</f>
        <v>260000</v>
      </c>
    </row>
    <row r="1099" spans="1:22" x14ac:dyDescent="0.25">
      <c r="A1099" t="s">
        <v>1432</v>
      </c>
      <c r="B1099" s="1">
        <v>45468</v>
      </c>
      <c r="C1099" t="s">
        <v>247</v>
      </c>
      <c r="D1099" t="s">
        <v>300</v>
      </c>
      <c r="E1099">
        <v>386.43</v>
      </c>
      <c r="F1099" t="s">
        <v>324</v>
      </c>
      <c r="G1099" t="s">
        <v>327</v>
      </c>
      <c r="I1099" t="s">
        <v>17</v>
      </c>
      <c r="J1099" t="s">
        <v>13</v>
      </c>
      <c r="K1099" t="s">
        <v>28</v>
      </c>
      <c r="L1099" t="s">
        <v>301</v>
      </c>
      <c r="M1099" t="s">
        <v>302</v>
      </c>
      <c r="N1099">
        <v>5.0000000000000001E-3</v>
      </c>
      <c r="O1099" t="str">
        <f>IF(Transactions_RAW_cleaned[[#This Row],[Status]]="Completed", IFERROR(_xlfn.XLOOKUP(Transactions_RAW_cleaned[[#This Row],[CustomerID]], Customers_cleaned[CustomerID], Customers_cleaned[Segment]), "Customer Not Found"), "N/A")</f>
        <v>Enterprise</v>
      </c>
      <c r="P1099" s="5" t="str">
        <f>IF(Transactions_RAW_cleaned[[#This Row],[Status]]="Refunded", "Refund",
  IF(Transactions_RAW_cleaned[[#This Row],[Category]]="Payments", IF(Transactions_RAW_cleaned[[#This Row],[Amount]]&gt;500,"High Value","Standard"),
    IF(Transactions_RAW_cleaned[[#This Row],[Amount]]&gt;250,"High Value","Standard")))</f>
        <v>High Value</v>
      </c>
      <c r="Q1099" s="5" t="str">
        <f>IF(Transactions_RAW_cleaned[[#This Row],[Amount]] &gt; (_xlfn.XLOOKUP(Transactions_RAW_cleaned[[#This Row],[ServiceID]],Services_cleaned[ServiceID],Services_cleaned[TransactionFeePct]) * 10000), "Yes", "No")</f>
        <v>Yes</v>
      </c>
      <c r="R1099" s="5" t="str">
        <f>IF(COUNTIFS($C$2:Transactions_RAW_cleaned[[#This Row],[CustomerID]],Transactions_RAW_cleaned[[#This Row],[CustomerID]],$D$2:Transactions_RAW_cleaned[[#This Row],[ServiceID]],Transactions_RAW_cleaned[[#This Row],[ServiceID]])=1,"Yes","No")</f>
        <v>Yes</v>
      </c>
      <c r="S109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099" t="str">
        <f>"Q"&amp;ROUNDUP(MONTH(Transactions_RAW_cleaned[[#This Row],[TransactionDate]])/3,0)</f>
        <v>Q2</v>
      </c>
      <c r="U1099" t="str">
        <f>Transactions_RAW_cleaned[[#This Row],[Region ]]&amp;Transactions_RAW_cleaned[[#This Row],[Quarter ]]</f>
        <v>NAQ2</v>
      </c>
      <c r="V1099" s="5">
        <f>_xlfn.XLOOKUP(Transactions_RAW_cleaned[[#This Row],[RegionQuarterKey]], Quarterly_Targets_cleaned[RegionQuarterKey], Quarterly_Targets_cleaned[TargetRevenue])</f>
        <v>260000</v>
      </c>
    </row>
    <row r="1100" spans="1:22" x14ac:dyDescent="0.25">
      <c r="A1100" t="s">
        <v>1433</v>
      </c>
      <c r="B1100" s="1">
        <v>45587</v>
      </c>
      <c r="C1100" t="s">
        <v>193</v>
      </c>
      <c r="D1100" t="s">
        <v>300</v>
      </c>
      <c r="E1100">
        <v>502.2</v>
      </c>
      <c r="F1100" t="s">
        <v>324</v>
      </c>
      <c r="G1100" t="s">
        <v>337</v>
      </c>
      <c r="H1100" t="s">
        <v>334</v>
      </c>
      <c r="I1100" t="s">
        <v>8</v>
      </c>
      <c r="J1100" t="s">
        <v>102</v>
      </c>
      <c r="K1100" t="s">
        <v>18</v>
      </c>
      <c r="L1100" t="s">
        <v>301</v>
      </c>
      <c r="M1100" t="s">
        <v>302</v>
      </c>
      <c r="N1100">
        <v>5.0000000000000001E-3</v>
      </c>
      <c r="O1100" t="str">
        <f>IF(Transactions_RAW_cleaned[[#This Row],[Status]]="Completed", IFERROR(_xlfn.XLOOKUP(Transactions_RAW_cleaned[[#This Row],[CustomerID]], Customers_cleaned[CustomerID], Customers_cleaned[Segment]), "Customer Not Found"), "N/A")</f>
        <v>SMB</v>
      </c>
      <c r="P1100" s="5" t="str">
        <f>IF(Transactions_RAW_cleaned[[#This Row],[Status]]="Refunded", "Refund",
  IF(Transactions_RAW_cleaned[[#This Row],[Category]]="Payments", IF(Transactions_RAW_cleaned[[#This Row],[Amount]]&gt;500,"High Value","Standard"),
    IF(Transactions_RAW_cleaned[[#This Row],[Amount]]&gt;250,"High Value","Standard")))</f>
        <v>High Value</v>
      </c>
      <c r="Q1100" s="5" t="str">
        <f>IF(Transactions_RAW_cleaned[[#This Row],[Amount]] &gt; (_xlfn.XLOOKUP(Transactions_RAW_cleaned[[#This Row],[ServiceID]],Services_cleaned[ServiceID],Services_cleaned[TransactionFeePct]) * 10000), "Yes", "No")</f>
        <v>Yes</v>
      </c>
      <c r="R1100" s="5" t="str">
        <f>IF(COUNTIFS($C$2:Transactions_RAW_cleaned[[#This Row],[CustomerID]],Transactions_RAW_cleaned[[#This Row],[CustomerID]],$D$2:Transactions_RAW_cleaned[[#This Row],[ServiceID]],Transactions_RAW_cleaned[[#This Row],[ServiceID]])=1,"Yes","No")</f>
        <v>Yes</v>
      </c>
      <c r="S110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00" t="str">
        <f>"Q"&amp;ROUNDUP(MONTH(Transactions_RAW_cleaned[[#This Row],[TransactionDate]])/3,0)</f>
        <v>Q4</v>
      </c>
      <c r="U1100" t="str">
        <f>Transactions_RAW_cleaned[[#This Row],[Region ]]&amp;Transactions_RAW_cleaned[[#This Row],[Quarter ]]</f>
        <v>NAQ4</v>
      </c>
      <c r="V1100" s="5">
        <f>_xlfn.XLOOKUP(Transactions_RAW_cleaned[[#This Row],[RegionQuarterKey]], Quarterly_Targets_cleaned[RegionQuarterKey], Quarterly_Targets_cleaned[TargetRevenue])</f>
        <v>299000</v>
      </c>
    </row>
    <row r="1101" spans="1:22" x14ac:dyDescent="0.25">
      <c r="A1101" t="s">
        <v>1434</v>
      </c>
      <c r="B1101" s="1">
        <v>45648</v>
      </c>
      <c r="C1101" t="s">
        <v>113</v>
      </c>
      <c r="D1101" t="s">
        <v>300</v>
      </c>
      <c r="E1101">
        <v>390.98</v>
      </c>
      <c r="F1101" t="s">
        <v>324</v>
      </c>
      <c r="G1101" t="s">
        <v>327</v>
      </c>
      <c r="H1101" t="s">
        <v>334</v>
      </c>
      <c r="I1101" t="s">
        <v>57</v>
      </c>
      <c r="J1101" t="s">
        <v>46</v>
      </c>
      <c r="K1101" t="s">
        <v>10</v>
      </c>
      <c r="L1101" t="s">
        <v>301</v>
      </c>
      <c r="M1101" t="s">
        <v>302</v>
      </c>
      <c r="N1101">
        <v>5.0000000000000001E-3</v>
      </c>
      <c r="O1101" t="str">
        <f>IF(Transactions_RAW_cleaned[[#This Row],[Status]]="Completed", IFERROR(_xlfn.XLOOKUP(Transactions_RAW_cleaned[[#This Row],[CustomerID]], Customers_cleaned[CustomerID], Customers_cleaned[Segment]), "Customer Not Found"), "N/A")</f>
        <v>Startup</v>
      </c>
      <c r="P1101" s="5" t="str">
        <f>IF(Transactions_RAW_cleaned[[#This Row],[Status]]="Refunded", "Refund",
  IF(Transactions_RAW_cleaned[[#This Row],[Category]]="Payments", IF(Transactions_RAW_cleaned[[#This Row],[Amount]]&gt;500,"High Value","Standard"),
    IF(Transactions_RAW_cleaned[[#This Row],[Amount]]&gt;250,"High Value","Standard")))</f>
        <v>High Value</v>
      </c>
      <c r="Q1101" s="5" t="str">
        <f>IF(Transactions_RAW_cleaned[[#This Row],[Amount]] &gt; (_xlfn.XLOOKUP(Transactions_RAW_cleaned[[#This Row],[ServiceID]],Services_cleaned[ServiceID],Services_cleaned[TransactionFeePct]) * 10000), "Yes", "No")</f>
        <v>Yes</v>
      </c>
      <c r="R1101" s="5" t="str">
        <f>IF(COUNTIFS($C$2:Transactions_RAW_cleaned[[#This Row],[CustomerID]],Transactions_RAW_cleaned[[#This Row],[CustomerID]],$D$2:Transactions_RAW_cleaned[[#This Row],[ServiceID]],Transactions_RAW_cleaned[[#This Row],[ServiceID]])=1,"Yes","No")</f>
        <v>No</v>
      </c>
      <c r="S110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01" t="str">
        <f>"Q"&amp;ROUNDUP(MONTH(Transactions_RAW_cleaned[[#This Row],[TransactionDate]])/3,0)</f>
        <v>Q4</v>
      </c>
      <c r="U1101" t="str">
        <f>Transactions_RAW_cleaned[[#This Row],[Region ]]&amp;Transactions_RAW_cleaned[[#This Row],[Quarter ]]</f>
        <v>APACQ4</v>
      </c>
      <c r="V1101" s="5">
        <f>_xlfn.XLOOKUP(Transactions_RAW_cleaned[[#This Row],[RegionQuarterKey]], Quarterly_Targets_cleaned[RegionQuarterKey], Quarterly_Targets_cleaned[TargetRevenue])</f>
        <v>126500</v>
      </c>
    </row>
    <row r="1102" spans="1:22" x14ac:dyDescent="0.25">
      <c r="A1102" t="s">
        <v>1435</v>
      </c>
      <c r="B1102" s="1">
        <v>45313</v>
      </c>
      <c r="C1102" t="s">
        <v>72</v>
      </c>
      <c r="D1102" t="s">
        <v>300</v>
      </c>
      <c r="E1102">
        <v>255.01</v>
      </c>
      <c r="F1102" t="s">
        <v>324</v>
      </c>
      <c r="G1102" t="s">
        <v>327</v>
      </c>
      <c r="H1102" t="s">
        <v>334</v>
      </c>
      <c r="I1102" t="s">
        <v>57</v>
      </c>
      <c r="J1102" t="s">
        <v>46</v>
      </c>
      <c r="K1102" t="s">
        <v>32</v>
      </c>
      <c r="L1102" t="s">
        <v>301</v>
      </c>
      <c r="M1102" t="s">
        <v>302</v>
      </c>
      <c r="N1102">
        <v>5.0000000000000001E-3</v>
      </c>
      <c r="O1102" t="str">
        <f>IF(Transactions_RAW_cleaned[[#This Row],[Status]]="Completed", IFERROR(_xlfn.XLOOKUP(Transactions_RAW_cleaned[[#This Row],[CustomerID]], Customers_cleaned[CustomerID], Customers_cleaned[Segment]), "Customer Not Found"), "N/A")</f>
        <v>Startup</v>
      </c>
      <c r="P1102" s="5" t="str">
        <f>IF(Transactions_RAW_cleaned[[#This Row],[Status]]="Refunded", "Refund",
  IF(Transactions_RAW_cleaned[[#This Row],[Category]]="Payments", IF(Transactions_RAW_cleaned[[#This Row],[Amount]]&gt;500,"High Value","Standard"),
    IF(Transactions_RAW_cleaned[[#This Row],[Amount]]&gt;250,"High Value","Standard")))</f>
        <v>High Value</v>
      </c>
      <c r="Q1102" s="5" t="str">
        <f>IF(Transactions_RAW_cleaned[[#This Row],[Amount]] &gt; (_xlfn.XLOOKUP(Transactions_RAW_cleaned[[#This Row],[ServiceID]],Services_cleaned[ServiceID],Services_cleaned[TransactionFeePct]) * 10000), "Yes", "No")</f>
        <v>Yes</v>
      </c>
      <c r="R1102" s="5" t="str">
        <f>IF(COUNTIFS($C$2:Transactions_RAW_cleaned[[#This Row],[CustomerID]],Transactions_RAW_cleaned[[#This Row],[CustomerID]],$D$2:Transactions_RAW_cleaned[[#This Row],[ServiceID]],Transactions_RAW_cleaned[[#This Row],[ServiceID]])=1,"Yes","No")</f>
        <v>Yes</v>
      </c>
      <c r="S110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02" t="str">
        <f>"Q"&amp;ROUNDUP(MONTH(Transactions_RAW_cleaned[[#This Row],[TransactionDate]])/3,0)</f>
        <v>Q1</v>
      </c>
      <c r="U1102" t="str">
        <f>Transactions_RAW_cleaned[[#This Row],[Region ]]&amp;Transactions_RAW_cleaned[[#This Row],[Quarter ]]</f>
        <v>APACQ1</v>
      </c>
      <c r="V1102" s="5">
        <f>_xlfn.XLOOKUP(Transactions_RAW_cleaned[[#This Row],[RegionQuarterKey]], Quarterly_Targets_cleaned[RegionQuarterKey], Quarterly_Targets_cleaned[TargetRevenue])</f>
        <v>104500</v>
      </c>
    </row>
    <row r="1103" spans="1:22" x14ac:dyDescent="0.25">
      <c r="A1103" t="s">
        <v>1436</v>
      </c>
      <c r="B1103" s="1">
        <v>45352</v>
      </c>
      <c r="C1103" t="s">
        <v>237</v>
      </c>
      <c r="D1103" t="s">
        <v>297</v>
      </c>
      <c r="E1103">
        <v>419.71</v>
      </c>
      <c r="F1103" t="s">
        <v>324</v>
      </c>
      <c r="G1103" t="s">
        <v>327</v>
      </c>
      <c r="H1103" t="s">
        <v>346</v>
      </c>
      <c r="I1103" t="s">
        <v>8</v>
      </c>
      <c r="J1103" t="s">
        <v>46</v>
      </c>
      <c r="K1103" t="s">
        <v>10</v>
      </c>
      <c r="L1103" t="s">
        <v>298</v>
      </c>
      <c r="M1103" t="s">
        <v>299</v>
      </c>
      <c r="N1103">
        <v>0</v>
      </c>
      <c r="O1103" t="str">
        <f>IF(Transactions_RAW_cleaned[[#This Row],[Status]]="Completed", IFERROR(_xlfn.XLOOKUP(Transactions_RAW_cleaned[[#This Row],[CustomerID]], Customers_cleaned[CustomerID], Customers_cleaned[Segment]), "Customer Not Found"), "N/A")</f>
        <v>SMB</v>
      </c>
      <c r="P1103" s="5" t="str">
        <f>IF(Transactions_RAW_cleaned[[#This Row],[Status]]="Refunded", "Refund",
  IF(Transactions_RAW_cleaned[[#This Row],[Category]]="Payments", IF(Transactions_RAW_cleaned[[#This Row],[Amount]]&gt;500,"High Value","Standard"),
    IF(Transactions_RAW_cleaned[[#This Row],[Amount]]&gt;250,"High Value","Standard")))</f>
        <v>High Value</v>
      </c>
      <c r="Q1103" s="5" t="str">
        <f>IF(Transactions_RAW_cleaned[[#This Row],[Amount]] &gt; (_xlfn.XLOOKUP(Transactions_RAW_cleaned[[#This Row],[ServiceID]],Services_cleaned[ServiceID],Services_cleaned[TransactionFeePct]) * 10000), "Yes", "No")</f>
        <v>Yes</v>
      </c>
      <c r="R1103" s="5" t="str">
        <f>IF(COUNTIFS($C$2:Transactions_RAW_cleaned[[#This Row],[CustomerID]],Transactions_RAW_cleaned[[#This Row],[CustomerID]],$D$2:Transactions_RAW_cleaned[[#This Row],[ServiceID]],Transactions_RAW_cleaned[[#This Row],[ServiceID]])=1,"Yes","No")</f>
        <v>No</v>
      </c>
      <c r="S110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03" t="str">
        <f>"Q"&amp;ROUNDUP(MONTH(Transactions_RAW_cleaned[[#This Row],[TransactionDate]])/3,0)</f>
        <v>Q1</v>
      </c>
      <c r="U1103" t="str">
        <f>Transactions_RAW_cleaned[[#This Row],[Region ]]&amp;Transactions_RAW_cleaned[[#This Row],[Quarter ]]</f>
        <v>APACQ1</v>
      </c>
      <c r="V1103" s="5">
        <f>_xlfn.XLOOKUP(Transactions_RAW_cleaned[[#This Row],[RegionQuarterKey]], Quarterly_Targets_cleaned[RegionQuarterKey], Quarterly_Targets_cleaned[TargetRevenue])</f>
        <v>104500</v>
      </c>
    </row>
    <row r="1104" spans="1:22" x14ac:dyDescent="0.25">
      <c r="A1104" t="s">
        <v>1437</v>
      </c>
      <c r="B1104" s="1">
        <v>45354</v>
      </c>
      <c r="C1104" t="s">
        <v>167</v>
      </c>
      <c r="D1104" t="s">
        <v>294</v>
      </c>
      <c r="E1104">
        <v>635.99</v>
      </c>
      <c r="F1104" t="s">
        <v>324</v>
      </c>
      <c r="G1104" t="s">
        <v>337</v>
      </c>
      <c r="H1104" t="s">
        <v>346</v>
      </c>
      <c r="I1104" t="s">
        <v>17</v>
      </c>
      <c r="J1104" t="s">
        <v>13</v>
      </c>
      <c r="K1104" t="s">
        <v>10</v>
      </c>
      <c r="L1104" t="s">
        <v>295</v>
      </c>
      <c r="M1104" t="s">
        <v>296</v>
      </c>
      <c r="N1104">
        <v>2.9000000000000001E-2</v>
      </c>
      <c r="O1104" t="str">
        <f>IF(Transactions_RAW_cleaned[[#This Row],[Status]]="Completed", IFERROR(_xlfn.XLOOKUP(Transactions_RAW_cleaned[[#This Row],[CustomerID]], Customers_cleaned[CustomerID], Customers_cleaned[Segment]), "Customer Not Found"), "N/A")</f>
        <v>Enterprise</v>
      </c>
      <c r="P1104" s="5" t="str">
        <f>IF(Transactions_RAW_cleaned[[#This Row],[Status]]="Refunded", "Refund",
  IF(Transactions_RAW_cleaned[[#This Row],[Category]]="Payments", IF(Transactions_RAW_cleaned[[#This Row],[Amount]]&gt;500,"High Value","Standard"),
    IF(Transactions_RAW_cleaned[[#This Row],[Amount]]&gt;250,"High Value","Standard")))</f>
        <v>High Value</v>
      </c>
      <c r="Q1104" s="5" t="str">
        <f>IF(Transactions_RAW_cleaned[[#This Row],[Amount]] &gt; (_xlfn.XLOOKUP(Transactions_RAW_cleaned[[#This Row],[ServiceID]],Services_cleaned[ServiceID],Services_cleaned[TransactionFeePct]) * 10000), "Yes", "No")</f>
        <v>Yes</v>
      </c>
      <c r="R1104" s="5" t="str">
        <f>IF(COUNTIFS($C$2:Transactions_RAW_cleaned[[#This Row],[CustomerID]],Transactions_RAW_cleaned[[#This Row],[CustomerID]],$D$2:Transactions_RAW_cleaned[[#This Row],[ServiceID]],Transactions_RAW_cleaned[[#This Row],[ServiceID]])=1,"Yes","No")</f>
        <v>No</v>
      </c>
      <c r="S110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04" t="str">
        <f>"Q"&amp;ROUNDUP(MONTH(Transactions_RAW_cleaned[[#This Row],[TransactionDate]])/3,0)</f>
        <v>Q1</v>
      </c>
      <c r="U1104" t="str">
        <f>Transactions_RAW_cleaned[[#This Row],[Region ]]&amp;Transactions_RAW_cleaned[[#This Row],[Quarter ]]</f>
        <v>NAQ1</v>
      </c>
      <c r="V1104" s="5">
        <f>_xlfn.XLOOKUP(Transactions_RAW_cleaned[[#This Row],[RegionQuarterKey]], Quarterly_Targets_cleaned[RegionQuarterKey], Quarterly_Targets_cleaned[TargetRevenue])</f>
        <v>247000</v>
      </c>
    </row>
    <row r="1105" spans="1:22" x14ac:dyDescent="0.25">
      <c r="A1105" t="s">
        <v>1438</v>
      </c>
      <c r="B1105" s="1">
        <v>45615</v>
      </c>
      <c r="C1105" t="s">
        <v>82</v>
      </c>
      <c r="D1105" t="s">
        <v>297</v>
      </c>
      <c r="E1105">
        <v>125.14</v>
      </c>
      <c r="F1105" t="s">
        <v>324</v>
      </c>
      <c r="G1105" t="s">
        <v>329</v>
      </c>
      <c r="H1105" t="s">
        <v>334</v>
      </c>
      <c r="I1105" t="s">
        <v>57</v>
      </c>
      <c r="J1105" t="s">
        <v>46</v>
      </c>
      <c r="K1105" t="s">
        <v>10</v>
      </c>
      <c r="L1105" t="s">
        <v>298</v>
      </c>
      <c r="M1105" t="s">
        <v>299</v>
      </c>
      <c r="N1105">
        <v>0</v>
      </c>
      <c r="O1105" t="str">
        <f>IF(Transactions_RAW_cleaned[[#This Row],[Status]]="Completed", IFERROR(_xlfn.XLOOKUP(Transactions_RAW_cleaned[[#This Row],[CustomerID]], Customers_cleaned[CustomerID], Customers_cleaned[Segment]), "Customer Not Found"), "N/A")</f>
        <v>Startup</v>
      </c>
      <c r="P1105" s="5" t="str">
        <f>IF(Transactions_RAW_cleaned[[#This Row],[Status]]="Refunded", "Refund",
  IF(Transactions_RAW_cleaned[[#This Row],[Category]]="Payments", IF(Transactions_RAW_cleaned[[#This Row],[Amount]]&gt;500,"High Value","Standard"),
    IF(Transactions_RAW_cleaned[[#This Row],[Amount]]&gt;250,"High Value","Standard")))</f>
        <v>Standard</v>
      </c>
      <c r="Q1105" s="5" t="str">
        <f>IF(Transactions_RAW_cleaned[[#This Row],[Amount]] &gt; (_xlfn.XLOOKUP(Transactions_RAW_cleaned[[#This Row],[ServiceID]],Services_cleaned[ServiceID],Services_cleaned[TransactionFeePct]) * 10000), "Yes", "No")</f>
        <v>Yes</v>
      </c>
      <c r="R1105" s="5" t="str">
        <f>IF(COUNTIFS($C$2:Transactions_RAW_cleaned[[#This Row],[CustomerID]],Transactions_RAW_cleaned[[#This Row],[CustomerID]],$D$2:Transactions_RAW_cleaned[[#This Row],[ServiceID]],Transactions_RAW_cleaned[[#This Row],[ServiceID]])=1,"Yes","No")</f>
        <v>Yes</v>
      </c>
      <c r="S110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05" t="str">
        <f>"Q"&amp;ROUNDUP(MONTH(Transactions_RAW_cleaned[[#This Row],[TransactionDate]])/3,0)</f>
        <v>Q4</v>
      </c>
      <c r="U1105" t="str">
        <f>Transactions_RAW_cleaned[[#This Row],[Region ]]&amp;Transactions_RAW_cleaned[[#This Row],[Quarter ]]</f>
        <v>APACQ4</v>
      </c>
      <c r="V1105" s="5">
        <f>_xlfn.XLOOKUP(Transactions_RAW_cleaned[[#This Row],[RegionQuarterKey]], Quarterly_Targets_cleaned[RegionQuarterKey], Quarterly_Targets_cleaned[TargetRevenue])</f>
        <v>126500</v>
      </c>
    </row>
    <row r="1106" spans="1:22" x14ac:dyDescent="0.25">
      <c r="A1106" t="s">
        <v>1439</v>
      </c>
      <c r="B1106" s="1">
        <v>45630</v>
      </c>
      <c r="C1106" t="s">
        <v>127</v>
      </c>
      <c r="D1106" t="s">
        <v>312</v>
      </c>
      <c r="E1106">
        <v>488.36</v>
      </c>
      <c r="F1106" t="s">
        <v>324</v>
      </c>
      <c r="G1106" t="s">
        <v>337</v>
      </c>
      <c r="H1106" t="s">
        <v>346</v>
      </c>
      <c r="I1106" t="s">
        <v>8</v>
      </c>
      <c r="J1106" t="s">
        <v>102</v>
      </c>
      <c r="K1106" t="s">
        <v>22</v>
      </c>
      <c r="L1106" t="s">
        <v>313</v>
      </c>
      <c r="M1106" t="s">
        <v>314</v>
      </c>
      <c r="N1106">
        <v>0</v>
      </c>
      <c r="O1106" t="str">
        <f>IF(Transactions_RAW_cleaned[[#This Row],[Status]]="Completed", IFERROR(_xlfn.XLOOKUP(Transactions_RAW_cleaned[[#This Row],[CustomerID]], Customers_cleaned[CustomerID], Customers_cleaned[Segment]), "Customer Not Found"), "N/A")</f>
        <v>SMB</v>
      </c>
      <c r="P1106" s="5" t="str">
        <f>IF(Transactions_RAW_cleaned[[#This Row],[Status]]="Refunded", "Refund",
  IF(Transactions_RAW_cleaned[[#This Row],[Category]]="Payments", IF(Transactions_RAW_cleaned[[#This Row],[Amount]]&gt;500,"High Value","Standard"),
    IF(Transactions_RAW_cleaned[[#This Row],[Amount]]&gt;250,"High Value","Standard")))</f>
        <v>High Value</v>
      </c>
      <c r="Q1106" s="5" t="str">
        <f>IF(Transactions_RAW_cleaned[[#This Row],[Amount]] &gt; (_xlfn.XLOOKUP(Transactions_RAW_cleaned[[#This Row],[ServiceID]],Services_cleaned[ServiceID],Services_cleaned[TransactionFeePct]) * 10000), "Yes", "No")</f>
        <v>Yes</v>
      </c>
      <c r="R1106" s="5" t="str">
        <f>IF(COUNTIFS($C$2:Transactions_RAW_cleaned[[#This Row],[CustomerID]],Transactions_RAW_cleaned[[#This Row],[CustomerID]],$D$2:Transactions_RAW_cleaned[[#This Row],[ServiceID]],Transactions_RAW_cleaned[[#This Row],[ServiceID]])=1,"Yes","No")</f>
        <v>Yes</v>
      </c>
      <c r="S110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06" t="str">
        <f>"Q"&amp;ROUNDUP(MONTH(Transactions_RAW_cleaned[[#This Row],[TransactionDate]])/3,0)</f>
        <v>Q4</v>
      </c>
      <c r="U1106" t="str">
        <f>Transactions_RAW_cleaned[[#This Row],[Region ]]&amp;Transactions_RAW_cleaned[[#This Row],[Quarter ]]</f>
        <v>NAQ4</v>
      </c>
      <c r="V1106" s="5">
        <f>_xlfn.XLOOKUP(Transactions_RAW_cleaned[[#This Row],[RegionQuarterKey]], Quarterly_Targets_cleaned[RegionQuarterKey], Quarterly_Targets_cleaned[TargetRevenue])</f>
        <v>299000</v>
      </c>
    </row>
    <row r="1107" spans="1:22" x14ac:dyDescent="0.25">
      <c r="A1107" t="s">
        <v>1440</v>
      </c>
      <c r="B1107" s="1">
        <v>45357</v>
      </c>
      <c r="C1107" t="s">
        <v>275</v>
      </c>
      <c r="D1107" t="s">
        <v>300</v>
      </c>
      <c r="E1107">
        <v>252.11</v>
      </c>
      <c r="F1107" t="s">
        <v>324</v>
      </c>
      <c r="G1107" t="s">
        <v>327</v>
      </c>
      <c r="H1107" t="s">
        <v>346</v>
      </c>
      <c r="I1107" t="s">
        <v>57</v>
      </c>
      <c r="J1107" t="s">
        <v>13</v>
      </c>
      <c r="K1107" t="s">
        <v>22</v>
      </c>
      <c r="L1107" t="s">
        <v>301</v>
      </c>
      <c r="M1107" t="s">
        <v>302</v>
      </c>
      <c r="N1107">
        <v>5.0000000000000001E-3</v>
      </c>
      <c r="O1107" t="str">
        <f>IF(Transactions_RAW_cleaned[[#This Row],[Status]]="Completed", IFERROR(_xlfn.XLOOKUP(Transactions_RAW_cleaned[[#This Row],[CustomerID]], Customers_cleaned[CustomerID], Customers_cleaned[Segment]), "Customer Not Found"), "N/A")</f>
        <v>Startup</v>
      </c>
      <c r="P1107" s="5" t="str">
        <f>IF(Transactions_RAW_cleaned[[#This Row],[Status]]="Refunded", "Refund",
  IF(Transactions_RAW_cleaned[[#This Row],[Category]]="Payments", IF(Transactions_RAW_cleaned[[#This Row],[Amount]]&gt;500,"High Value","Standard"),
    IF(Transactions_RAW_cleaned[[#This Row],[Amount]]&gt;250,"High Value","Standard")))</f>
        <v>High Value</v>
      </c>
      <c r="Q1107" s="5" t="str">
        <f>IF(Transactions_RAW_cleaned[[#This Row],[Amount]] &gt; (_xlfn.XLOOKUP(Transactions_RAW_cleaned[[#This Row],[ServiceID]],Services_cleaned[ServiceID],Services_cleaned[TransactionFeePct]) * 10000), "Yes", "No")</f>
        <v>Yes</v>
      </c>
      <c r="R1107" s="5" t="str">
        <f>IF(COUNTIFS($C$2:Transactions_RAW_cleaned[[#This Row],[CustomerID]],Transactions_RAW_cleaned[[#This Row],[CustomerID]],$D$2:Transactions_RAW_cleaned[[#This Row],[ServiceID]],Transactions_RAW_cleaned[[#This Row],[ServiceID]])=1,"Yes","No")</f>
        <v>No</v>
      </c>
      <c r="S110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07" t="str">
        <f>"Q"&amp;ROUNDUP(MONTH(Transactions_RAW_cleaned[[#This Row],[TransactionDate]])/3,0)</f>
        <v>Q1</v>
      </c>
      <c r="U1107" t="str">
        <f>Transactions_RAW_cleaned[[#This Row],[Region ]]&amp;Transactions_RAW_cleaned[[#This Row],[Quarter ]]</f>
        <v>NAQ1</v>
      </c>
      <c r="V1107" s="5">
        <f>_xlfn.XLOOKUP(Transactions_RAW_cleaned[[#This Row],[RegionQuarterKey]], Quarterly_Targets_cleaned[RegionQuarterKey], Quarterly_Targets_cleaned[TargetRevenue])</f>
        <v>247000</v>
      </c>
    </row>
    <row r="1108" spans="1:22" x14ac:dyDescent="0.25">
      <c r="A1108" t="s">
        <v>1441</v>
      </c>
      <c r="B1108" s="1">
        <v>45518</v>
      </c>
      <c r="C1108" t="s">
        <v>181</v>
      </c>
      <c r="D1108" t="s">
        <v>297</v>
      </c>
      <c r="E1108">
        <v>637.01</v>
      </c>
      <c r="F1108" t="s">
        <v>324</v>
      </c>
      <c r="G1108" t="s">
        <v>325</v>
      </c>
      <c r="H1108" t="s">
        <v>346</v>
      </c>
      <c r="I1108" t="s">
        <v>17</v>
      </c>
      <c r="J1108" t="s">
        <v>21</v>
      </c>
      <c r="K1108" t="s">
        <v>10</v>
      </c>
      <c r="L1108" t="s">
        <v>298</v>
      </c>
      <c r="M1108" t="s">
        <v>299</v>
      </c>
      <c r="N1108">
        <v>0</v>
      </c>
      <c r="O1108" t="str">
        <f>IF(Transactions_RAW_cleaned[[#This Row],[Status]]="Completed", IFERROR(_xlfn.XLOOKUP(Transactions_RAW_cleaned[[#This Row],[CustomerID]], Customers_cleaned[CustomerID], Customers_cleaned[Segment]), "Customer Not Found"), "N/A")</f>
        <v>Enterprise</v>
      </c>
      <c r="P1108" s="5" t="str">
        <f>IF(Transactions_RAW_cleaned[[#This Row],[Status]]="Refunded", "Refund",
  IF(Transactions_RAW_cleaned[[#This Row],[Category]]="Payments", IF(Transactions_RAW_cleaned[[#This Row],[Amount]]&gt;500,"High Value","Standard"),
    IF(Transactions_RAW_cleaned[[#This Row],[Amount]]&gt;250,"High Value","Standard")))</f>
        <v>High Value</v>
      </c>
      <c r="Q1108" s="5" t="str">
        <f>IF(Transactions_RAW_cleaned[[#This Row],[Amount]] &gt; (_xlfn.XLOOKUP(Transactions_RAW_cleaned[[#This Row],[ServiceID]],Services_cleaned[ServiceID],Services_cleaned[TransactionFeePct]) * 10000), "Yes", "No")</f>
        <v>Yes</v>
      </c>
      <c r="R1108" s="5" t="str">
        <f>IF(COUNTIFS($C$2:Transactions_RAW_cleaned[[#This Row],[CustomerID]],Transactions_RAW_cleaned[[#This Row],[CustomerID]],$D$2:Transactions_RAW_cleaned[[#This Row],[ServiceID]],Transactions_RAW_cleaned[[#This Row],[ServiceID]])=1,"Yes","No")</f>
        <v>No</v>
      </c>
      <c r="S110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08" t="str">
        <f>"Q"&amp;ROUNDUP(MONTH(Transactions_RAW_cleaned[[#This Row],[TransactionDate]])/3,0)</f>
        <v>Q3</v>
      </c>
      <c r="U1108" t="str">
        <f>Transactions_RAW_cleaned[[#This Row],[Region ]]&amp;Transactions_RAW_cleaned[[#This Row],[Quarter ]]</f>
        <v>APACQ3</v>
      </c>
      <c r="V1108" s="5">
        <f>_xlfn.XLOOKUP(Transactions_RAW_cleaned[[#This Row],[RegionQuarterKey]], Quarterly_Targets_cleaned[RegionQuarterKey], Quarterly_Targets_cleaned[TargetRevenue])</f>
        <v>115500</v>
      </c>
    </row>
    <row r="1109" spans="1:22" x14ac:dyDescent="0.25">
      <c r="A1109" t="s">
        <v>1442</v>
      </c>
      <c r="B1109" s="1">
        <v>45414</v>
      </c>
      <c r="C1109" t="s">
        <v>171</v>
      </c>
      <c r="D1109" t="s">
        <v>306</v>
      </c>
      <c r="E1109">
        <v>360.43</v>
      </c>
      <c r="F1109" t="s">
        <v>324</v>
      </c>
      <c r="G1109" t="s">
        <v>327</v>
      </c>
      <c r="H1109" t="s">
        <v>332</v>
      </c>
      <c r="I1109" t="s">
        <v>17</v>
      </c>
      <c r="J1109" t="s">
        <v>31</v>
      </c>
      <c r="K1109" t="s">
        <v>32</v>
      </c>
      <c r="L1109" t="s">
        <v>307</v>
      </c>
      <c r="M1109" t="s">
        <v>308</v>
      </c>
      <c r="N1109">
        <v>0</v>
      </c>
      <c r="O1109" t="str">
        <f>IF(Transactions_RAW_cleaned[[#This Row],[Status]]="Completed", IFERROR(_xlfn.XLOOKUP(Transactions_RAW_cleaned[[#This Row],[CustomerID]], Customers_cleaned[CustomerID], Customers_cleaned[Segment]), "Customer Not Found"), "N/A")</f>
        <v>Enterprise</v>
      </c>
      <c r="P1109" s="5" t="str">
        <f>IF(Transactions_RAW_cleaned[[#This Row],[Status]]="Refunded", "Refund",
  IF(Transactions_RAW_cleaned[[#This Row],[Category]]="Payments", IF(Transactions_RAW_cleaned[[#This Row],[Amount]]&gt;500,"High Value","Standard"),
    IF(Transactions_RAW_cleaned[[#This Row],[Amount]]&gt;250,"High Value","Standard")))</f>
        <v>High Value</v>
      </c>
      <c r="Q1109" s="5" t="str">
        <f>IF(Transactions_RAW_cleaned[[#This Row],[Amount]] &gt; (_xlfn.XLOOKUP(Transactions_RAW_cleaned[[#This Row],[ServiceID]],Services_cleaned[ServiceID],Services_cleaned[TransactionFeePct]) * 10000), "Yes", "No")</f>
        <v>Yes</v>
      </c>
      <c r="R1109" s="5" t="str">
        <f>IF(COUNTIFS($C$2:Transactions_RAW_cleaned[[#This Row],[CustomerID]],Transactions_RAW_cleaned[[#This Row],[CustomerID]],$D$2:Transactions_RAW_cleaned[[#This Row],[ServiceID]],Transactions_RAW_cleaned[[#This Row],[ServiceID]])=1,"Yes","No")</f>
        <v>No</v>
      </c>
      <c r="S110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109" t="str">
        <f>"Q"&amp;ROUNDUP(MONTH(Transactions_RAW_cleaned[[#This Row],[TransactionDate]])/3,0)</f>
        <v>Q2</v>
      </c>
      <c r="U1109" t="str">
        <f>Transactions_RAW_cleaned[[#This Row],[Region ]]&amp;Transactions_RAW_cleaned[[#This Row],[Quarter ]]</f>
        <v>EMEAQ2</v>
      </c>
      <c r="V1109" s="5">
        <f>_xlfn.XLOOKUP(Transactions_RAW_cleaned[[#This Row],[RegionQuarterKey]], Quarterly_Targets_cleaned[RegionQuarterKey], Quarterly_Targets_cleaned[TargetRevenue])</f>
        <v>140000</v>
      </c>
    </row>
    <row r="1110" spans="1:22" x14ac:dyDescent="0.25">
      <c r="A1110" t="s">
        <v>1443</v>
      </c>
      <c r="B1110" s="1">
        <v>45594</v>
      </c>
      <c r="C1110" t="s">
        <v>245</v>
      </c>
      <c r="D1110" t="s">
        <v>300</v>
      </c>
      <c r="E1110">
        <v>455.3</v>
      </c>
      <c r="F1110" t="s">
        <v>324</v>
      </c>
      <c r="G1110" t="s">
        <v>327</v>
      </c>
      <c r="I1110" t="s">
        <v>8</v>
      </c>
      <c r="J1110" t="s">
        <v>31</v>
      </c>
      <c r="K1110" t="s">
        <v>14</v>
      </c>
      <c r="L1110" t="s">
        <v>301</v>
      </c>
      <c r="M1110" t="s">
        <v>302</v>
      </c>
      <c r="N1110">
        <v>5.0000000000000001E-3</v>
      </c>
      <c r="O1110" t="str">
        <f>IF(Transactions_RAW_cleaned[[#This Row],[Status]]="Completed", IFERROR(_xlfn.XLOOKUP(Transactions_RAW_cleaned[[#This Row],[CustomerID]], Customers_cleaned[CustomerID], Customers_cleaned[Segment]), "Customer Not Found"), "N/A")</f>
        <v>SMB</v>
      </c>
      <c r="P1110" s="5" t="str">
        <f>IF(Transactions_RAW_cleaned[[#This Row],[Status]]="Refunded", "Refund",
  IF(Transactions_RAW_cleaned[[#This Row],[Category]]="Payments", IF(Transactions_RAW_cleaned[[#This Row],[Amount]]&gt;500,"High Value","Standard"),
    IF(Transactions_RAW_cleaned[[#This Row],[Amount]]&gt;250,"High Value","Standard")))</f>
        <v>High Value</v>
      </c>
      <c r="Q1110" s="5" t="str">
        <f>IF(Transactions_RAW_cleaned[[#This Row],[Amount]] &gt; (_xlfn.XLOOKUP(Transactions_RAW_cleaned[[#This Row],[ServiceID]],Services_cleaned[ServiceID],Services_cleaned[TransactionFeePct]) * 10000), "Yes", "No")</f>
        <v>Yes</v>
      </c>
      <c r="R1110" s="5" t="str">
        <f>IF(COUNTIFS($C$2:Transactions_RAW_cleaned[[#This Row],[CustomerID]],Transactions_RAW_cleaned[[#This Row],[CustomerID]],$D$2:Transactions_RAW_cleaned[[#This Row],[ServiceID]],Transactions_RAW_cleaned[[#This Row],[ServiceID]])=1,"Yes","No")</f>
        <v>No</v>
      </c>
      <c r="S111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110" t="str">
        <f>"Q"&amp;ROUNDUP(MONTH(Transactions_RAW_cleaned[[#This Row],[TransactionDate]])/3,0)</f>
        <v>Q4</v>
      </c>
      <c r="U1110" t="str">
        <f>Transactions_RAW_cleaned[[#This Row],[Region ]]&amp;Transactions_RAW_cleaned[[#This Row],[Quarter ]]</f>
        <v>EMEAQ4</v>
      </c>
      <c r="V1110" s="5">
        <f>_xlfn.XLOOKUP(Transactions_RAW_cleaned[[#This Row],[RegionQuarterKey]], Quarterly_Targets_cleaned[RegionQuarterKey], Quarterly_Targets_cleaned[TargetRevenue])</f>
        <v>161000</v>
      </c>
    </row>
    <row r="1111" spans="1:22" x14ac:dyDescent="0.25">
      <c r="A1111" t="s">
        <v>1444</v>
      </c>
      <c r="B1111" s="1">
        <v>45363</v>
      </c>
      <c r="C1111" t="s">
        <v>66</v>
      </c>
      <c r="D1111" t="s">
        <v>297</v>
      </c>
      <c r="E1111">
        <v>552.39</v>
      </c>
      <c r="F1111" t="s">
        <v>324</v>
      </c>
      <c r="G1111" t="s">
        <v>327</v>
      </c>
      <c r="I1111" t="s">
        <v>8</v>
      </c>
      <c r="J1111" t="s">
        <v>46</v>
      </c>
      <c r="K1111" t="s">
        <v>10</v>
      </c>
      <c r="L1111" t="s">
        <v>298</v>
      </c>
      <c r="M1111" t="s">
        <v>299</v>
      </c>
      <c r="N1111">
        <v>0</v>
      </c>
      <c r="O1111" t="str">
        <f>IF(Transactions_RAW_cleaned[[#This Row],[Status]]="Completed", IFERROR(_xlfn.XLOOKUP(Transactions_RAW_cleaned[[#This Row],[CustomerID]], Customers_cleaned[CustomerID], Customers_cleaned[Segment]), "Customer Not Found"), "N/A")</f>
        <v>SMB</v>
      </c>
      <c r="P1111" s="5" t="str">
        <f>IF(Transactions_RAW_cleaned[[#This Row],[Status]]="Refunded", "Refund",
  IF(Transactions_RAW_cleaned[[#This Row],[Category]]="Payments", IF(Transactions_RAW_cleaned[[#This Row],[Amount]]&gt;500,"High Value","Standard"),
    IF(Transactions_RAW_cleaned[[#This Row],[Amount]]&gt;250,"High Value","Standard")))</f>
        <v>High Value</v>
      </c>
      <c r="Q1111" s="5" t="str">
        <f>IF(Transactions_RAW_cleaned[[#This Row],[Amount]] &gt; (_xlfn.XLOOKUP(Transactions_RAW_cleaned[[#This Row],[ServiceID]],Services_cleaned[ServiceID],Services_cleaned[TransactionFeePct]) * 10000), "Yes", "No")</f>
        <v>Yes</v>
      </c>
      <c r="R1111" s="5" t="str">
        <f>IF(COUNTIFS($C$2:Transactions_RAW_cleaned[[#This Row],[CustomerID]],Transactions_RAW_cleaned[[#This Row],[CustomerID]],$D$2:Transactions_RAW_cleaned[[#This Row],[ServiceID]],Transactions_RAW_cleaned[[#This Row],[ServiceID]])=1,"Yes","No")</f>
        <v>No</v>
      </c>
      <c r="S111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11" t="str">
        <f>"Q"&amp;ROUNDUP(MONTH(Transactions_RAW_cleaned[[#This Row],[TransactionDate]])/3,0)</f>
        <v>Q1</v>
      </c>
      <c r="U1111" t="str">
        <f>Transactions_RAW_cleaned[[#This Row],[Region ]]&amp;Transactions_RAW_cleaned[[#This Row],[Quarter ]]</f>
        <v>APACQ1</v>
      </c>
      <c r="V1111" s="5">
        <f>_xlfn.XLOOKUP(Transactions_RAW_cleaned[[#This Row],[RegionQuarterKey]], Quarterly_Targets_cleaned[RegionQuarterKey], Quarterly_Targets_cleaned[TargetRevenue])</f>
        <v>104500</v>
      </c>
    </row>
    <row r="1112" spans="1:22" x14ac:dyDescent="0.25">
      <c r="A1112" t="s">
        <v>1445</v>
      </c>
      <c r="B1112" s="1">
        <v>45410</v>
      </c>
      <c r="C1112" t="s">
        <v>237</v>
      </c>
      <c r="D1112" t="s">
        <v>312</v>
      </c>
      <c r="E1112">
        <v>298.88</v>
      </c>
      <c r="F1112" t="s">
        <v>331</v>
      </c>
      <c r="G1112" t="s">
        <v>337</v>
      </c>
      <c r="H1112" t="s">
        <v>332</v>
      </c>
      <c r="I1112" t="s">
        <v>8</v>
      </c>
      <c r="J1112" t="s">
        <v>46</v>
      </c>
      <c r="K1112" t="s">
        <v>10</v>
      </c>
      <c r="L1112" t="s">
        <v>313</v>
      </c>
      <c r="M1112" t="s">
        <v>314</v>
      </c>
      <c r="N1112">
        <v>0</v>
      </c>
      <c r="O1112" t="str">
        <f>IF(Transactions_RAW_cleaned[[#This Row],[Status]]="Completed", IFERROR(_xlfn.XLOOKUP(Transactions_RAW_cleaned[[#This Row],[CustomerID]], Customers_cleaned[CustomerID], Customers_cleaned[Segment]), "Customer Not Found"), "N/A")</f>
        <v>N/A</v>
      </c>
      <c r="P1112" s="5" t="str">
        <f>IF(Transactions_RAW_cleaned[[#This Row],[Status]]="Refunded", "Refund",
  IF(Transactions_RAW_cleaned[[#This Row],[Category]]="Payments", IF(Transactions_RAW_cleaned[[#This Row],[Amount]]&gt;500,"High Value","Standard"),
    IF(Transactions_RAW_cleaned[[#This Row],[Amount]]&gt;250,"High Value","Standard")))</f>
        <v>High Value</v>
      </c>
      <c r="Q1112" s="5" t="str">
        <f>IF(Transactions_RAW_cleaned[[#This Row],[Amount]] &gt; (_xlfn.XLOOKUP(Transactions_RAW_cleaned[[#This Row],[ServiceID]],Services_cleaned[ServiceID],Services_cleaned[TransactionFeePct]) * 10000), "Yes", "No")</f>
        <v>Yes</v>
      </c>
      <c r="R1112" s="5" t="str">
        <f>IF(COUNTIFS($C$2:Transactions_RAW_cleaned[[#This Row],[CustomerID]],Transactions_RAW_cleaned[[#This Row],[CustomerID]],$D$2:Transactions_RAW_cleaned[[#This Row],[ServiceID]],Transactions_RAW_cleaned[[#This Row],[ServiceID]])=1,"Yes","No")</f>
        <v>Yes</v>
      </c>
      <c r="S111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12" t="str">
        <f>"Q"&amp;ROUNDUP(MONTH(Transactions_RAW_cleaned[[#This Row],[TransactionDate]])/3,0)</f>
        <v>Q2</v>
      </c>
      <c r="U1112" t="str">
        <f>Transactions_RAW_cleaned[[#This Row],[Region ]]&amp;Transactions_RAW_cleaned[[#This Row],[Quarter ]]</f>
        <v>APACQ2</v>
      </c>
      <c r="V1112" s="5">
        <f>_xlfn.XLOOKUP(Transactions_RAW_cleaned[[#This Row],[RegionQuarterKey]], Quarterly_Targets_cleaned[RegionQuarterKey], Quarterly_Targets_cleaned[TargetRevenue])</f>
        <v>110000</v>
      </c>
    </row>
    <row r="1113" spans="1:22" x14ac:dyDescent="0.25">
      <c r="A1113" t="s">
        <v>1446</v>
      </c>
      <c r="B1113" s="1">
        <v>45538</v>
      </c>
      <c r="C1113" t="s">
        <v>229</v>
      </c>
      <c r="D1113" t="s">
        <v>294</v>
      </c>
      <c r="E1113">
        <v>789.21</v>
      </c>
      <c r="F1113" t="s">
        <v>381</v>
      </c>
      <c r="G1113" t="s">
        <v>337</v>
      </c>
      <c r="I1113" t="s">
        <v>17</v>
      </c>
      <c r="J1113" t="s">
        <v>102</v>
      </c>
      <c r="K1113" t="s">
        <v>18</v>
      </c>
      <c r="L1113" t="s">
        <v>295</v>
      </c>
      <c r="M1113" t="s">
        <v>296</v>
      </c>
      <c r="N1113">
        <v>2.9000000000000001E-2</v>
      </c>
      <c r="O1113" t="str">
        <f>IF(Transactions_RAW_cleaned[[#This Row],[Status]]="Completed", IFERROR(_xlfn.XLOOKUP(Transactions_RAW_cleaned[[#This Row],[CustomerID]], Customers_cleaned[CustomerID], Customers_cleaned[Segment]), "Customer Not Found"), "N/A")</f>
        <v>N/A</v>
      </c>
      <c r="P1113" s="5" t="str">
        <f>IF(Transactions_RAW_cleaned[[#This Row],[Status]]="Refunded", "Refund",
  IF(Transactions_RAW_cleaned[[#This Row],[Category]]="Payments", IF(Transactions_RAW_cleaned[[#This Row],[Amount]]&gt;500,"High Value","Standard"),
    IF(Transactions_RAW_cleaned[[#This Row],[Amount]]&gt;250,"High Value","Standard")))</f>
        <v>High Value</v>
      </c>
      <c r="Q1113" s="5" t="str">
        <f>IF(Transactions_RAW_cleaned[[#This Row],[Amount]] &gt; (_xlfn.XLOOKUP(Transactions_RAW_cleaned[[#This Row],[ServiceID]],Services_cleaned[ServiceID],Services_cleaned[TransactionFeePct]) * 10000), "Yes", "No")</f>
        <v>Yes</v>
      </c>
      <c r="R1113" s="5" t="str">
        <f>IF(COUNTIFS($C$2:Transactions_RAW_cleaned[[#This Row],[CustomerID]],Transactions_RAW_cleaned[[#This Row],[CustomerID]],$D$2:Transactions_RAW_cleaned[[#This Row],[ServiceID]],Transactions_RAW_cleaned[[#This Row],[ServiceID]])=1,"Yes","No")</f>
        <v>No</v>
      </c>
      <c r="S111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13" t="str">
        <f>"Q"&amp;ROUNDUP(MONTH(Transactions_RAW_cleaned[[#This Row],[TransactionDate]])/3,0)</f>
        <v>Q3</v>
      </c>
      <c r="U1113" t="str">
        <f>Transactions_RAW_cleaned[[#This Row],[Region ]]&amp;Transactions_RAW_cleaned[[#This Row],[Quarter ]]</f>
        <v>NAQ3</v>
      </c>
      <c r="V1113" s="5">
        <f>_xlfn.XLOOKUP(Transactions_RAW_cleaned[[#This Row],[RegionQuarterKey]], Quarterly_Targets_cleaned[RegionQuarterKey], Quarterly_Targets_cleaned[TargetRevenue])</f>
        <v>273000</v>
      </c>
    </row>
    <row r="1114" spans="1:22" x14ac:dyDescent="0.25">
      <c r="A1114" t="s">
        <v>1447</v>
      </c>
      <c r="B1114" s="1">
        <v>45598</v>
      </c>
      <c r="C1114" t="s">
        <v>38</v>
      </c>
      <c r="D1114" t="s">
        <v>294</v>
      </c>
      <c r="E1114">
        <v>-187.03</v>
      </c>
      <c r="F1114" t="s">
        <v>349</v>
      </c>
      <c r="G1114" t="s">
        <v>337</v>
      </c>
      <c r="I1114" t="s">
        <v>8</v>
      </c>
      <c r="J1114" t="s">
        <v>102</v>
      </c>
      <c r="K1114" t="s">
        <v>28</v>
      </c>
      <c r="L1114" t="s">
        <v>295</v>
      </c>
      <c r="M1114" t="s">
        <v>296</v>
      </c>
      <c r="N1114">
        <v>2.9000000000000001E-2</v>
      </c>
      <c r="O1114" t="str">
        <f>IF(Transactions_RAW_cleaned[[#This Row],[Status]]="Completed", IFERROR(_xlfn.XLOOKUP(Transactions_RAW_cleaned[[#This Row],[CustomerID]], Customers_cleaned[CustomerID], Customers_cleaned[Segment]), "Customer Not Found"), "N/A")</f>
        <v>N/A</v>
      </c>
      <c r="P1114" s="5" t="str">
        <f>IF(Transactions_RAW_cleaned[[#This Row],[Status]]="Refunded", "Refund",
  IF(Transactions_RAW_cleaned[[#This Row],[Category]]="Payments", IF(Transactions_RAW_cleaned[[#This Row],[Amount]]&gt;500,"High Value","Standard"),
    IF(Transactions_RAW_cleaned[[#This Row],[Amount]]&gt;250,"High Value","Standard")))</f>
        <v>Refund</v>
      </c>
      <c r="Q1114" s="5" t="str">
        <f>IF(Transactions_RAW_cleaned[[#This Row],[Amount]] &gt; (_xlfn.XLOOKUP(Transactions_RAW_cleaned[[#This Row],[ServiceID]],Services_cleaned[ServiceID],Services_cleaned[TransactionFeePct]) * 10000), "Yes", "No")</f>
        <v>No</v>
      </c>
      <c r="R1114" s="5" t="str">
        <f>IF(COUNTIFS($C$2:Transactions_RAW_cleaned[[#This Row],[CustomerID]],Transactions_RAW_cleaned[[#This Row],[CustomerID]],$D$2:Transactions_RAW_cleaned[[#This Row],[ServiceID]],Transactions_RAW_cleaned[[#This Row],[ServiceID]])=1,"Yes","No")</f>
        <v>No</v>
      </c>
      <c r="S111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14" t="str">
        <f>"Q"&amp;ROUNDUP(MONTH(Transactions_RAW_cleaned[[#This Row],[TransactionDate]])/3,0)</f>
        <v>Q4</v>
      </c>
      <c r="U1114" t="str">
        <f>Transactions_RAW_cleaned[[#This Row],[Region ]]&amp;Transactions_RAW_cleaned[[#This Row],[Quarter ]]</f>
        <v>NAQ4</v>
      </c>
      <c r="V1114" s="5">
        <f>_xlfn.XLOOKUP(Transactions_RAW_cleaned[[#This Row],[RegionQuarterKey]], Quarterly_Targets_cleaned[RegionQuarterKey], Quarterly_Targets_cleaned[TargetRevenue])</f>
        <v>299000</v>
      </c>
    </row>
    <row r="1115" spans="1:22" x14ac:dyDescent="0.25">
      <c r="A1115" t="s">
        <v>1448</v>
      </c>
      <c r="B1115" s="1">
        <v>45492</v>
      </c>
      <c r="C1115" t="s">
        <v>641</v>
      </c>
      <c r="D1115" t="s">
        <v>315</v>
      </c>
      <c r="E1115">
        <v>405.84</v>
      </c>
      <c r="F1115" t="s">
        <v>324</v>
      </c>
      <c r="G1115" t="s">
        <v>337</v>
      </c>
      <c r="H1115" t="s">
        <v>332</v>
      </c>
      <c r="I1115" t="s">
        <v>8</v>
      </c>
      <c r="J1115" t="s">
        <v>13</v>
      </c>
      <c r="K1115" t="s">
        <v>22</v>
      </c>
      <c r="L1115" t="s">
        <v>316</v>
      </c>
      <c r="M1115" t="s">
        <v>305</v>
      </c>
      <c r="N1115">
        <v>2.5000000000000001E-3</v>
      </c>
      <c r="O1115" t="str">
        <f>IF(Transactions_RAW_cleaned[[#This Row],[Status]]="Completed", IFERROR(_xlfn.XLOOKUP(Transactions_RAW_cleaned[[#This Row],[CustomerID]], Customers_cleaned[CustomerID], Customers_cleaned[Segment]), "Customer Not Found"), "N/A")</f>
        <v>SMB</v>
      </c>
      <c r="P1115" s="5" t="str">
        <f>IF(Transactions_RAW_cleaned[[#This Row],[Status]]="Refunded", "Refund",
  IF(Transactions_RAW_cleaned[[#This Row],[Category]]="Payments", IF(Transactions_RAW_cleaned[[#This Row],[Amount]]&gt;500,"High Value","Standard"),
    IF(Transactions_RAW_cleaned[[#This Row],[Amount]]&gt;250,"High Value","Standard")))</f>
        <v>High Value</v>
      </c>
      <c r="Q1115" s="5" t="str">
        <f>IF(Transactions_RAW_cleaned[[#This Row],[Amount]] &gt; (_xlfn.XLOOKUP(Transactions_RAW_cleaned[[#This Row],[ServiceID]],Services_cleaned[ServiceID],Services_cleaned[TransactionFeePct]) * 10000), "Yes", "No")</f>
        <v>Yes</v>
      </c>
      <c r="R1115" s="5" t="str">
        <f>IF(COUNTIFS($C$2:Transactions_RAW_cleaned[[#This Row],[CustomerID]],Transactions_RAW_cleaned[[#This Row],[CustomerID]],$D$2:Transactions_RAW_cleaned[[#This Row],[ServiceID]],Transactions_RAW_cleaned[[#This Row],[ServiceID]])=1,"Yes","No")</f>
        <v>No</v>
      </c>
      <c r="S111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15" t="str">
        <f>"Q"&amp;ROUNDUP(MONTH(Transactions_RAW_cleaned[[#This Row],[TransactionDate]])/3,0)</f>
        <v>Q3</v>
      </c>
      <c r="U1115" t="str">
        <f>Transactions_RAW_cleaned[[#This Row],[Region ]]&amp;Transactions_RAW_cleaned[[#This Row],[Quarter ]]</f>
        <v>NAQ3</v>
      </c>
      <c r="V1115" s="5">
        <f>_xlfn.XLOOKUP(Transactions_RAW_cleaned[[#This Row],[RegionQuarterKey]], Quarterly_Targets_cleaned[RegionQuarterKey], Quarterly_Targets_cleaned[TargetRevenue])</f>
        <v>273000</v>
      </c>
    </row>
    <row r="1116" spans="1:22" x14ac:dyDescent="0.25">
      <c r="A1116" t="s">
        <v>1449</v>
      </c>
      <c r="B1116" s="1">
        <v>45543</v>
      </c>
      <c r="C1116" t="s">
        <v>103</v>
      </c>
      <c r="D1116" t="s">
        <v>303</v>
      </c>
      <c r="E1116">
        <v>197.41</v>
      </c>
      <c r="F1116" t="s">
        <v>331</v>
      </c>
      <c r="G1116" t="s">
        <v>337</v>
      </c>
      <c r="I1116" t="s">
        <v>8</v>
      </c>
      <c r="J1116" t="s">
        <v>102</v>
      </c>
      <c r="K1116" t="s">
        <v>28</v>
      </c>
      <c r="L1116" t="s">
        <v>304</v>
      </c>
      <c r="M1116" t="s">
        <v>305</v>
      </c>
      <c r="N1116">
        <v>1E-3</v>
      </c>
      <c r="O1116" t="str">
        <f>IF(Transactions_RAW_cleaned[[#This Row],[Status]]="Completed", IFERROR(_xlfn.XLOOKUP(Transactions_RAW_cleaned[[#This Row],[CustomerID]], Customers_cleaned[CustomerID], Customers_cleaned[Segment]), "Customer Not Found"), "N/A")</f>
        <v>N/A</v>
      </c>
      <c r="P1116" s="5" t="str">
        <f>IF(Transactions_RAW_cleaned[[#This Row],[Status]]="Refunded", "Refund",
  IF(Transactions_RAW_cleaned[[#This Row],[Category]]="Payments", IF(Transactions_RAW_cleaned[[#This Row],[Amount]]&gt;500,"High Value","Standard"),
    IF(Transactions_RAW_cleaned[[#This Row],[Amount]]&gt;250,"High Value","Standard")))</f>
        <v>Standard</v>
      </c>
      <c r="Q1116" s="5" t="str">
        <f>IF(Transactions_RAW_cleaned[[#This Row],[Amount]] &gt; (_xlfn.XLOOKUP(Transactions_RAW_cleaned[[#This Row],[ServiceID]],Services_cleaned[ServiceID],Services_cleaned[TransactionFeePct]) * 10000), "Yes", "No")</f>
        <v>Yes</v>
      </c>
      <c r="R1116" s="5" t="str">
        <f>IF(COUNTIFS($C$2:Transactions_RAW_cleaned[[#This Row],[CustomerID]],Transactions_RAW_cleaned[[#This Row],[CustomerID]],$D$2:Transactions_RAW_cleaned[[#This Row],[ServiceID]],Transactions_RAW_cleaned[[#This Row],[ServiceID]])=1,"Yes","No")</f>
        <v>Yes</v>
      </c>
      <c r="S111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16" t="str">
        <f>"Q"&amp;ROUNDUP(MONTH(Transactions_RAW_cleaned[[#This Row],[TransactionDate]])/3,0)</f>
        <v>Q3</v>
      </c>
      <c r="U1116" t="str">
        <f>Transactions_RAW_cleaned[[#This Row],[Region ]]&amp;Transactions_RAW_cleaned[[#This Row],[Quarter ]]</f>
        <v>NAQ3</v>
      </c>
      <c r="V1116" s="5">
        <f>_xlfn.XLOOKUP(Transactions_RAW_cleaned[[#This Row],[RegionQuarterKey]], Quarterly_Targets_cleaned[RegionQuarterKey], Quarterly_Targets_cleaned[TargetRevenue])</f>
        <v>273000</v>
      </c>
    </row>
    <row r="1117" spans="1:22" x14ac:dyDescent="0.25">
      <c r="A1117" t="s">
        <v>1450</v>
      </c>
      <c r="B1117" s="1">
        <v>45622</v>
      </c>
      <c r="C1117" t="s">
        <v>153</v>
      </c>
      <c r="D1117" t="s">
        <v>303</v>
      </c>
      <c r="E1117">
        <v>290.62</v>
      </c>
      <c r="F1117" t="s">
        <v>324</v>
      </c>
      <c r="G1117" t="s">
        <v>337</v>
      </c>
      <c r="H1117" t="s">
        <v>334</v>
      </c>
      <c r="I1117" t="s">
        <v>8</v>
      </c>
      <c r="J1117" t="s">
        <v>37</v>
      </c>
      <c r="K1117" t="s">
        <v>32</v>
      </c>
      <c r="L1117" t="s">
        <v>304</v>
      </c>
      <c r="M1117" t="s">
        <v>305</v>
      </c>
      <c r="N1117">
        <v>1E-3</v>
      </c>
      <c r="O1117" t="str">
        <f>IF(Transactions_RAW_cleaned[[#This Row],[Status]]="Completed", IFERROR(_xlfn.XLOOKUP(Transactions_RAW_cleaned[[#This Row],[CustomerID]], Customers_cleaned[CustomerID], Customers_cleaned[Segment]), "Customer Not Found"), "N/A")</f>
        <v>SMB</v>
      </c>
      <c r="P1117" s="5" t="str">
        <f>IF(Transactions_RAW_cleaned[[#This Row],[Status]]="Refunded", "Refund",
  IF(Transactions_RAW_cleaned[[#This Row],[Category]]="Payments", IF(Transactions_RAW_cleaned[[#This Row],[Amount]]&gt;500,"High Value","Standard"),
    IF(Transactions_RAW_cleaned[[#This Row],[Amount]]&gt;250,"High Value","Standard")))</f>
        <v>High Value</v>
      </c>
      <c r="Q1117" s="5" t="str">
        <f>IF(Transactions_RAW_cleaned[[#This Row],[Amount]] &gt; (_xlfn.XLOOKUP(Transactions_RAW_cleaned[[#This Row],[ServiceID]],Services_cleaned[ServiceID],Services_cleaned[TransactionFeePct]) * 10000), "Yes", "No")</f>
        <v>Yes</v>
      </c>
      <c r="R1117" s="5" t="str">
        <f>IF(COUNTIFS($C$2:Transactions_RAW_cleaned[[#This Row],[CustomerID]],Transactions_RAW_cleaned[[#This Row],[CustomerID]],$D$2:Transactions_RAW_cleaned[[#This Row],[ServiceID]],Transactions_RAW_cleaned[[#This Row],[ServiceID]])=1,"Yes","No")</f>
        <v>No</v>
      </c>
      <c r="S111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117" t="str">
        <f>"Q"&amp;ROUNDUP(MONTH(Transactions_RAW_cleaned[[#This Row],[TransactionDate]])/3,0)</f>
        <v>Q4</v>
      </c>
      <c r="U1117" t="str">
        <f>Transactions_RAW_cleaned[[#This Row],[Region ]]&amp;Transactions_RAW_cleaned[[#This Row],[Quarter ]]</f>
        <v>EMEAQ4</v>
      </c>
      <c r="V1117" s="5">
        <f>_xlfn.XLOOKUP(Transactions_RAW_cleaned[[#This Row],[RegionQuarterKey]], Quarterly_Targets_cleaned[RegionQuarterKey], Quarterly_Targets_cleaned[TargetRevenue])</f>
        <v>161000</v>
      </c>
    </row>
    <row r="1118" spans="1:22" x14ac:dyDescent="0.25">
      <c r="A1118" t="s">
        <v>1451</v>
      </c>
      <c r="B1118" s="1">
        <v>45314</v>
      </c>
      <c r="C1118" t="s">
        <v>229</v>
      </c>
      <c r="D1118" t="s">
        <v>303</v>
      </c>
      <c r="E1118">
        <v>1153.83</v>
      </c>
      <c r="F1118" t="s">
        <v>324</v>
      </c>
      <c r="G1118" t="s">
        <v>329</v>
      </c>
      <c r="H1118" t="s">
        <v>334</v>
      </c>
      <c r="I1118" t="s">
        <v>17</v>
      </c>
      <c r="J1118" t="s">
        <v>102</v>
      </c>
      <c r="K1118" t="s">
        <v>18</v>
      </c>
      <c r="L1118" t="s">
        <v>304</v>
      </c>
      <c r="M1118" t="s">
        <v>305</v>
      </c>
      <c r="N1118">
        <v>1E-3</v>
      </c>
      <c r="O1118" t="str">
        <f>IF(Transactions_RAW_cleaned[[#This Row],[Status]]="Completed", IFERROR(_xlfn.XLOOKUP(Transactions_RAW_cleaned[[#This Row],[CustomerID]], Customers_cleaned[CustomerID], Customers_cleaned[Segment]), "Customer Not Found"), "N/A")</f>
        <v>Enterprise</v>
      </c>
      <c r="P1118" s="5" t="str">
        <f>IF(Transactions_RAW_cleaned[[#This Row],[Status]]="Refunded", "Refund",
  IF(Transactions_RAW_cleaned[[#This Row],[Category]]="Payments", IF(Transactions_RAW_cleaned[[#This Row],[Amount]]&gt;500,"High Value","Standard"),
    IF(Transactions_RAW_cleaned[[#This Row],[Amount]]&gt;250,"High Value","Standard")))</f>
        <v>High Value</v>
      </c>
      <c r="Q1118" s="5" t="str">
        <f>IF(Transactions_RAW_cleaned[[#This Row],[Amount]] &gt; (_xlfn.XLOOKUP(Transactions_RAW_cleaned[[#This Row],[ServiceID]],Services_cleaned[ServiceID],Services_cleaned[TransactionFeePct]) * 10000), "Yes", "No")</f>
        <v>Yes</v>
      </c>
      <c r="R1118" s="5" t="str">
        <f>IF(COUNTIFS($C$2:Transactions_RAW_cleaned[[#This Row],[CustomerID]],Transactions_RAW_cleaned[[#This Row],[CustomerID]],$D$2:Transactions_RAW_cleaned[[#This Row],[ServiceID]],Transactions_RAW_cleaned[[#This Row],[ServiceID]])=1,"Yes","No")</f>
        <v>Yes</v>
      </c>
      <c r="S111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18" t="str">
        <f>"Q"&amp;ROUNDUP(MONTH(Transactions_RAW_cleaned[[#This Row],[TransactionDate]])/3,0)</f>
        <v>Q1</v>
      </c>
      <c r="U1118" t="str">
        <f>Transactions_RAW_cleaned[[#This Row],[Region ]]&amp;Transactions_RAW_cleaned[[#This Row],[Quarter ]]</f>
        <v>NAQ1</v>
      </c>
      <c r="V1118" s="5">
        <f>_xlfn.XLOOKUP(Transactions_RAW_cleaned[[#This Row],[RegionQuarterKey]], Quarterly_Targets_cleaned[RegionQuarterKey], Quarterly_Targets_cleaned[TargetRevenue])</f>
        <v>247000</v>
      </c>
    </row>
    <row r="1119" spans="1:22" x14ac:dyDescent="0.25">
      <c r="A1119" t="s">
        <v>1452</v>
      </c>
      <c r="B1119" s="1">
        <v>45356</v>
      </c>
      <c r="C1119" t="s">
        <v>189</v>
      </c>
      <c r="D1119" t="s">
        <v>294</v>
      </c>
      <c r="E1119">
        <v>242.83</v>
      </c>
      <c r="F1119" t="s">
        <v>381</v>
      </c>
      <c r="G1119" t="s">
        <v>337</v>
      </c>
      <c r="H1119" t="s">
        <v>332</v>
      </c>
      <c r="I1119" t="s">
        <v>17</v>
      </c>
      <c r="J1119" t="s">
        <v>102</v>
      </c>
      <c r="K1119" t="s">
        <v>14</v>
      </c>
      <c r="L1119" t="s">
        <v>295</v>
      </c>
      <c r="M1119" t="s">
        <v>296</v>
      </c>
      <c r="N1119">
        <v>2.9000000000000001E-2</v>
      </c>
      <c r="O1119" t="str">
        <f>IF(Transactions_RAW_cleaned[[#This Row],[Status]]="Completed", IFERROR(_xlfn.XLOOKUP(Transactions_RAW_cleaned[[#This Row],[CustomerID]], Customers_cleaned[CustomerID], Customers_cleaned[Segment]), "Customer Not Found"), "N/A")</f>
        <v>N/A</v>
      </c>
      <c r="P1119" s="5" t="str">
        <f>IF(Transactions_RAW_cleaned[[#This Row],[Status]]="Refunded", "Refund",
  IF(Transactions_RAW_cleaned[[#This Row],[Category]]="Payments", IF(Transactions_RAW_cleaned[[#This Row],[Amount]]&gt;500,"High Value","Standard"),
    IF(Transactions_RAW_cleaned[[#This Row],[Amount]]&gt;250,"High Value","Standard")))</f>
        <v>Standard</v>
      </c>
      <c r="Q1119" s="5" t="str">
        <f>IF(Transactions_RAW_cleaned[[#This Row],[Amount]] &gt; (_xlfn.XLOOKUP(Transactions_RAW_cleaned[[#This Row],[ServiceID]],Services_cleaned[ServiceID],Services_cleaned[TransactionFeePct]) * 10000), "Yes", "No")</f>
        <v>No</v>
      </c>
      <c r="R1119" s="5" t="str">
        <f>IF(COUNTIFS($C$2:Transactions_RAW_cleaned[[#This Row],[CustomerID]],Transactions_RAW_cleaned[[#This Row],[CustomerID]],$D$2:Transactions_RAW_cleaned[[#This Row],[ServiceID]],Transactions_RAW_cleaned[[#This Row],[ServiceID]])=1,"Yes","No")</f>
        <v>Yes</v>
      </c>
      <c r="S111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19" t="str">
        <f>"Q"&amp;ROUNDUP(MONTH(Transactions_RAW_cleaned[[#This Row],[TransactionDate]])/3,0)</f>
        <v>Q1</v>
      </c>
      <c r="U1119" t="str">
        <f>Transactions_RAW_cleaned[[#This Row],[Region ]]&amp;Transactions_RAW_cleaned[[#This Row],[Quarter ]]</f>
        <v>NAQ1</v>
      </c>
      <c r="V1119" s="5">
        <f>_xlfn.XLOOKUP(Transactions_RAW_cleaned[[#This Row],[RegionQuarterKey]], Quarterly_Targets_cleaned[RegionQuarterKey], Quarterly_Targets_cleaned[TargetRevenue])</f>
        <v>247000</v>
      </c>
    </row>
    <row r="1120" spans="1:22" x14ac:dyDescent="0.25">
      <c r="A1120" t="s">
        <v>1453</v>
      </c>
      <c r="B1120" s="1">
        <v>45628</v>
      </c>
      <c r="C1120" t="s">
        <v>161</v>
      </c>
      <c r="D1120" t="s">
        <v>300</v>
      </c>
      <c r="E1120">
        <v>415.27</v>
      </c>
      <c r="F1120" t="s">
        <v>324</v>
      </c>
      <c r="G1120" t="s">
        <v>337</v>
      </c>
      <c r="H1120" t="s">
        <v>346</v>
      </c>
      <c r="I1120" t="s">
        <v>8</v>
      </c>
      <c r="J1120" t="s">
        <v>21</v>
      </c>
      <c r="K1120" t="s">
        <v>22</v>
      </c>
      <c r="L1120" t="s">
        <v>301</v>
      </c>
      <c r="M1120" t="s">
        <v>302</v>
      </c>
      <c r="N1120">
        <v>5.0000000000000001E-3</v>
      </c>
      <c r="O1120" t="str">
        <f>IF(Transactions_RAW_cleaned[[#This Row],[Status]]="Completed", IFERROR(_xlfn.XLOOKUP(Transactions_RAW_cleaned[[#This Row],[CustomerID]], Customers_cleaned[CustomerID], Customers_cleaned[Segment]), "Customer Not Found"), "N/A")</f>
        <v>SMB</v>
      </c>
      <c r="P1120" s="5" t="str">
        <f>IF(Transactions_RAW_cleaned[[#This Row],[Status]]="Refunded", "Refund",
  IF(Transactions_RAW_cleaned[[#This Row],[Category]]="Payments", IF(Transactions_RAW_cleaned[[#This Row],[Amount]]&gt;500,"High Value","Standard"),
    IF(Transactions_RAW_cleaned[[#This Row],[Amount]]&gt;250,"High Value","Standard")))</f>
        <v>High Value</v>
      </c>
      <c r="Q1120" s="5" t="str">
        <f>IF(Transactions_RAW_cleaned[[#This Row],[Amount]] &gt; (_xlfn.XLOOKUP(Transactions_RAW_cleaned[[#This Row],[ServiceID]],Services_cleaned[ServiceID],Services_cleaned[TransactionFeePct]) * 10000), "Yes", "No")</f>
        <v>Yes</v>
      </c>
      <c r="R1120" s="5" t="str">
        <f>IF(COUNTIFS($C$2:Transactions_RAW_cleaned[[#This Row],[CustomerID]],Transactions_RAW_cleaned[[#This Row],[CustomerID]],$D$2:Transactions_RAW_cleaned[[#This Row],[ServiceID]],Transactions_RAW_cleaned[[#This Row],[ServiceID]])=1,"Yes","No")</f>
        <v>No</v>
      </c>
      <c r="S112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20" t="str">
        <f>"Q"&amp;ROUNDUP(MONTH(Transactions_RAW_cleaned[[#This Row],[TransactionDate]])/3,0)</f>
        <v>Q4</v>
      </c>
      <c r="U1120" t="str">
        <f>Transactions_RAW_cleaned[[#This Row],[Region ]]&amp;Transactions_RAW_cleaned[[#This Row],[Quarter ]]</f>
        <v>APACQ4</v>
      </c>
      <c r="V1120" s="5">
        <f>_xlfn.XLOOKUP(Transactions_RAW_cleaned[[#This Row],[RegionQuarterKey]], Quarterly_Targets_cleaned[RegionQuarterKey], Quarterly_Targets_cleaned[TargetRevenue])</f>
        <v>126500</v>
      </c>
    </row>
    <row r="1121" spans="1:22" x14ac:dyDescent="0.25">
      <c r="A1121" t="s">
        <v>1454</v>
      </c>
      <c r="B1121" s="1">
        <v>45633</v>
      </c>
      <c r="C1121" t="s">
        <v>151</v>
      </c>
      <c r="D1121" t="s">
        <v>300</v>
      </c>
      <c r="E1121">
        <v>315.54000000000002</v>
      </c>
      <c r="F1121" t="s">
        <v>324</v>
      </c>
      <c r="G1121" t="s">
        <v>337</v>
      </c>
      <c r="H1121" t="s">
        <v>334</v>
      </c>
      <c r="I1121" t="s">
        <v>8</v>
      </c>
      <c r="J1121" t="s">
        <v>46</v>
      </c>
      <c r="K1121" t="s">
        <v>18</v>
      </c>
      <c r="L1121" t="s">
        <v>301</v>
      </c>
      <c r="M1121" t="s">
        <v>302</v>
      </c>
      <c r="N1121">
        <v>5.0000000000000001E-3</v>
      </c>
      <c r="O1121" t="str">
        <f>IF(Transactions_RAW_cleaned[[#This Row],[Status]]="Completed", IFERROR(_xlfn.XLOOKUP(Transactions_RAW_cleaned[[#This Row],[CustomerID]], Customers_cleaned[CustomerID], Customers_cleaned[Segment]), "Customer Not Found"), "N/A")</f>
        <v>SMB</v>
      </c>
      <c r="P1121" s="5" t="str">
        <f>IF(Transactions_RAW_cleaned[[#This Row],[Status]]="Refunded", "Refund",
  IF(Transactions_RAW_cleaned[[#This Row],[Category]]="Payments", IF(Transactions_RAW_cleaned[[#This Row],[Amount]]&gt;500,"High Value","Standard"),
    IF(Transactions_RAW_cleaned[[#This Row],[Amount]]&gt;250,"High Value","Standard")))</f>
        <v>High Value</v>
      </c>
      <c r="Q1121" s="5" t="str">
        <f>IF(Transactions_RAW_cleaned[[#This Row],[Amount]] &gt; (_xlfn.XLOOKUP(Transactions_RAW_cleaned[[#This Row],[ServiceID]],Services_cleaned[ServiceID],Services_cleaned[TransactionFeePct]) * 10000), "Yes", "No")</f>
        <v>Yes</v>
      </c>
      <c r="R1121" s="5" t="str">
        <f>IF(COUNTIFS($C$2:Transactions_RAW_cleaned[[#This Row],[CustomerID]],Transactions_RAW_cleaned[[#This Row],[CustomerID]],$D$2:Transactions_RAW_cleaned[[#This Row],[ServiceID]],Transactions_RAW_cleaned[[#This Row],[ServiceID]])=1,"Yes","No")</f>
        <v>No</v>
      </c>
      <c r="S112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21" t="str">
        <f>"Q"&amp;ROUNDUP(MONTH(Transactions_RAW_cleaned[[#This Row],[TransactionDate]])/3,0)</f>
        <v>Q4</v>
      </c>
      <c r="U1121" t="str">
        <f>Transactions_RAW_cleaned[[#This Row],[Region ]]&amp;Transactions_RAW_cleaned[[#This Row],[Quarter ]]</f>
        <v>APACQ4</v>
      </c>
      <c r="V1121" s="5">
        <f>_xlfn.XLOOKUP(Transactions_RAW_cleaned[[#This Row],[RegionQuarterKey]], Quarterly_Targets_cleaned[RegionQuarterKey], Quarterly_Targets_cleaned[TargetRevenue])</f>
        <v>126500</v>
      </c>
    </row>
    <row r="1122" spans="1:22" x14ac:dyDescent="0.25">
      <c r="A1122" t="s">
        <v>1455</v>
      </c>
      <c r="B1122" s="1">
        <v>45379</v>
      </c>
      <c r="C1122" t="s">
        <v>175</v>
      </c>
      <c r="D1122" t="s">
        <v>303</v>
      </c>
      <c r="E1122">
        <v>103.06</v>
      </c>
      <c r="F1122" t="s">
        <v>324</v>
      </c>
      <c r="G1122" t="s">
        <v>325</v>
      </c>
      <c r="H1122" t="s">
        <v>334</v>
      </c>
      <c r="I1122" t="s">
        <v>8</v>
      </c>
      <c r="J1122" t="s">
        <v>31</v>
      </c>
      <c r="K1122" t="s">
        <v>32</v>
      </c>
      <c r="L1122" t="s">
        <v>304</v>
      </c>
      <c r="M1122" t="s">
        <v>305</v>
      </c>
      <c r="N1122">
        <v>1E-3</v>
      </c>
      <c r="O1122" t="str">
        <f>IF(Transactions_RAW_cleaned[[#This Row],[Status]]="Completed", IFERROR(_xlfn.XLOOKUP(Transactions_RAW_cleaned[[#This Row],[CustomerID]], Customers_cleaned[CustomerID], Customers_cleaned[Segment]), "Customer Not Found"), "N/A")</f>
        <v>SMB</v>
      </c>
      <c r="P1122" s="5" t="str">
        <f>IF(Transactions_RAW_cleaned[[#This Row],[Status]]="Refunded", "Refund",
  IF(Transactions_RAW_cleaned[[#This Row],[Category]]="Payments", IF(Transactions_RAW_cleaned[[#This Row],[Amount]]&gt;500,"High Value","Standard"),
    IF(Transactions_RAW_cleaned[[#This Row],[Amount]]&gt;250,"High Value","Standard")))</f>
        <v>Standard</v>
      </c>
      <c r="Q1122" s="5" t="str">
        <f>IF(Transactions_RAW_cleaned[[#This Row],[Amount]] &gt; (_xlfn.XLOOKUP(Transactions_RAW_cleaned[[#This Row],[ServiceID]],Services_cleaned[ServiceID],Services_cleaned[TransactionFeePct]) * 10000), "Yes", "No")</f>
        <v>Yes</v>
      </c>
      <c r="R1122" s="5" t="str">
        <f>IF(COUNTIFS($C$2:Transactions_RAW_cleaned[[#This Row],[CustomerID]],Transactions_RAW_cleaned[[#This Row],[CustomerID]],$D$2:Transactions_RAW_cleaned[[#This Row],[ServiceID]],Transactions_RAW_cleaned[[#This Row],[ServiceID]])=1,"Yes","No")</f>
        <v>Yes</v>
      </c>
      <c r="S112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122" t="str">
        <f>"Q"&amp;ROUNDUP(MONTH(Transactions_RAW_cleaned[[#This Row],[TransactionDate]])/3,0)</f>
        <v>Q1</v>
      </c>
      <c r="U1122" t="str">
        <f>Transactions_RAW_cleaned[[#This Row],[Region ]]&amp;Transactions_RAW_cleaned[[#This Row],[Quarter ]]</f>
        <v>EMEAQ1</v>
      </c>
      <c r="V1122" s="5">
        <f>_xlfn.XLOOKUP(Transactions_RAW_cleaned[[#This Row],[RegionQuarterKey]], Quarterly_Targets_cleaned[RegionQuarterKey], Quarterly_Targets_cleaned[TargetRevenue])</f>
        <v>133000</v>
      </c>
    </row>
    <row r="1123" spans="1:22" x14ac:dyDescent="0.25">
      <c r="A1123" t="s">
        <v>1456</v>
      </c>
      <c r="B1123" s="1">
        <v>45351</v>
      </c>
      <c r="C1123" t="s">
        <v>217</v>
      </c>
      <c r="D1123" t="s">
        <v>294</v>
      </c>
      <c r="E1123">
        <v>426.3</v>
      </c>
      <c r="F1123" t="s">
        <v>381</v>
      </c>
      <c r="G1123" t="s">
        <v>329</v>
      </c>
      <c r="I1123" t="s">
        <v>17</v>
      </c>
      <c r="J1123" t="s">
        <v>102</v>
      </c>
      <c r="K1123" t="s">
        <v>14</v>
      </c>
      <c r="L1123" t="s">
        <v>295</v>
      </c>
      <c r="M1123" t="s">
        <v>296</v>
      </c>
      <c r="N1123">
        <v>2.9000000000000001E-2</v>
      </c>
      <c r="O1123" t="str">
        <f>IF(Transactions_RAW_cleaned[[#This Row],[Status]]="Completed", IFERROR(_xlfn.XLOOKUP(Transactions_RAW_cleaned[[#This Row],[CustomerID]], Customers_cleaned[CustomerID], Customers_cleaned[Segment]), "Customer Not Found"), "N/A")</f>
        <v>N/A</v>
      </c>
      <c r="P1123" s="5" t="str">
        <f>IF(Transactions_RAW_cleaned[[#This Row],[Status]]="Refunded", "Refund",
  IF(Transactions_RAW_cleaned[[#This Row],[Category]]="Payments", IF(Transactions_RAW_cleaned[[#This Row],[Amount]]&gt;500,"High Value","Standard"),
    IF(Transactions_RAW_cleaned[[#This Row],[Amount]]&gt;250,"High Value","Standard")))</f>
        <v>Standard</v>
      </c>
      <c r="Q1123" s="5" t="str">
        <f>IF(Transactions_RAW_cleaned[[#This Row],[Amount]] &gt; (_xlfn.XLOOKUP(Transactions_RAW_cleaned[[#This Row],[ServiceID]],Services_cleaned[ServiceID],Services_cleaned[TransactionFeePct]) * 10000), "Yes", "No")</f>
        <v>Yes</v>
      </c>
      <c r="R1123" s="5" t="str">
        <f>IF(COUNTIFS($C$2:Transactions_RAW_cleaned[[#This Row],[CustomerID]],Transactions_RAW_cleaned[[#This Row],[CustomerID]],$D$2:Transactions_RAW_cleaned[[#This Row],[ServiceID]],Transactions_RAW_cleaned[[#This Row],[ServiceID]])=1,"Yes","No")</f>
        <v>No</v>
      </c>
      <c r="S112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23" t="str">
        <f>"Q"&amp;ROUNDUP(MONTH(Transactions_RAW_cleaned[[#This Row],[TransactionDate]])/3,0)</f>
        <v>Q1</v>
      </c>
      <c r="U1123" t="str">
        <f>Transactions_RAW_cleaned[[#This Row],[Region ]]&amp;Transactions_RAW_cleaned[[#This Row],[Quarter ]]</f>
        <v>NAQ1</v>
      </c>
      <c r="V1123" s="5">
        <f>_xlfn.XLOOKUP(Transactions_RAW_cleaned[[#This Row],[RegionQuarterKey]], Quarterly_Targets_cleaned[RegionQuarterKey], Quarterly_Targets_cleaned[TargetRevenue])</f>
        <v>247000</v>
      </c>
    </row>
    <row r="1124" spans="1:22" x14ac:dyDescent="0.25">
      <c r="A1124" t="s">
        <v>1457</v>
      </c>
      <c r="B1124" s="1">
        <v>45340</v>
      </c>
      <c r="C1124" t="s">
        <v>187</v>
      </c>
      <c r="D1124" t="s">
        <v>303</v>
      </c>
      <c r="E1124">
        <v>421.92</v>
      </c>
      <c r="F1124" t="s">
        <v>331</v>
      </c>
      <c r="G1124" t="s">
        <v>325</v>
      </c>
      <c r="H1124" t="s">
        <v>334</v>
      </c>
      <c r="I1124" t="s">
        <v>57</v>
      </c>
      <c r="J1124" t="s">
        <v>21</v>
      </c>
      <c r="K1124" t="s">
        <v>28</v>
      </c>
      <c r="L1124" t="s">
        <v>304</v>
      </c>
      <c r="M1124" t="s">
        <v>305</v>
      </c>
      <c r="N1124">
        <v>1E-3</v>
      </c>
      <c r="O1124" t="str">
        <f>IF(Transactions_RAW_cleaned[[#This Row],[Status]]="Completed", IFERROR(_xlfn.XLOOKUP(Transactions_RAW_cleaned[[#This Row],[CustomerID]], Customers_cleaned[CustomerID], Customers_cleaned[Segment]), "Customer Not Found"), "N/A")</f>
        <v>N/A</v>
      </c>
      <c r="P1124" s="5" t="str">
        <f>IF(Transactions_RAW_cleaned[[#This Row],[Status]]="Refunded", "Refund",
  IF(Transactions_RAW_cleaned[[#This Row],[Category]]="Payments", IF(Transactions_RAW_cleaned[[#This Row],[Amount]]&gt;500,"High Value","Standard"),
    IF(Transactions_RAW_cleaned[[#This Row],[Amount]]&gt;250,"High Value","Standard")))</f>
        <v>High Value</v>
      </c>
      <c r="Q1124" s="5" t="str">
        <f>IF(Transactions_RAW_cleaned[[#This Row],[Amount]] &gt; (_xlfn.XLOOKUP(Transactions_RAW_cleaned[[#This Row],[ServiceID]],Services_cleaned[ServiceID],Services_cleaned[TransactionFeePct]) * 10000), "Yes", "No")</f>
        <v>Yes</v>
      </c>
      <c r="R1124" s="5" t="str">
        <f>IF(COUNTIFS($C$2:Transactions_RAW_cleaned[[#This Row],[CustomerID]],Transactions_RAW_cleaned[[#This Row],[CustomerID]],$D$2:Transactions_RAW_cleaned[[#This Row],[ServiceID]],Transactions_RAW_cleaned[[#This Row],[ServiceID]])=1,"Yes","No")</f>
        <v>Yes</v>
      </c>
      <c r="S112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24" t="str">
        <f>"Q"&amp;ROUNDUP(MONTH(Transactions_RAW_cleaned[[#This Row],[TransactionDate]])/3,0)</f>
        <v>Q1</v>
      </c>
      <c r="U1124" t="str">
        <f>Transactions_RAW_cleaned[[#This Row],[Region ]]&amp;Transactions_RAW_cleaned[[#This Row],[Quarter ]]</f>
        <v>APACQ1</v>
      </c>
      <c r="V1124" s="5">
        <f>_xlfn.XLOOKUP(Transactions_RAW_cleaned[[#This Row],[RegionQuarterKey]], Quarterly_Targets_cleaned[RegionQuarterKey], Quarterly_Targets_cleaned[TargetRevenue])</f>
        <v>104500</v>
      </c>
    </row>
    <row r="1125" spans="1:22" x14ac:dyDescent="0.25">
      <c r="A1125" t="s">
        <v>1458</v>
      </c>
      <c r="B1125" s="1">
        <v>45325</v>
      </c>
      <c r="C1125" t="s">
        <v>58</v>
      </c>
      <c r="D1125" t="s">
        <v>294</v>
      </c>
      <c r="E1125">
        <v>495.42</v>
      </c>
      <c r="F1125" t="s">
        <v>324</v>
      </c>
      <c r="G1125" t="s">
        <v>337</v>
      </c>
      <c r="I1125" t="s">
        <v>17</v>
      </c>
      <c r="J1125" t="s">
        <v>102</v>
      </c>
      <c r="K1125" t="s">
        <v>22</v>
      </c>
      <c r="L1125" t="s">
        <v>295</v>
      </c>
      <c r="M1125" t="s">
        <v>296</v>
      </c>
      <c r="N1125">
        <v>2.9000000000000001E-2</v>
      </c>
      <c r="O1125" t="str">
        <f>IF(Transactions_RAW_cleaned[[#This Row],[Status]]="Completed", IFERROR(_xlfn.XLOOKUP(Transactions_RAW_cleaned[[#This Row],[CustomerID]], Customers_cleaned[CustomerID], Customers_cleaned[Segment]), "Customer Not Found"), "N/A")</f>
        <v>Enterprise</v>
      </c>
      <c r="P1125" s="5" t="str">
        <f>IF(Transactions_RAW_cleaned[[#This Row],[Status]]="Refunded", "Refund",
  IF(Transactions_RAW_cleaned[[#This Row],[Category]]="Payments", IF(Transactions_RAW_cleaned[[#This Row],[Amount]]&gt;500,"High Value","Standard"),
    IF(Transactions_RAW_cleaned[[#This Row],[Amount]]&gt;250,"High Value","Standard")))</f>
        <v>Standard</v>
      </c>
      <c r="Q1125" s="5" t="str">
        <f>IF(Transactions_RAW_cleaned[[#This Row],[Amount]] &gt; (_xlfn.XLOOKUP(Transactions_RAW_cleaned[[#This Row],[ServiceID]],Services_cleaned[ServiceID],Services_cleaned[TransactionFeePct]) * 10000), "Yes", "No")</f>
        <v>Yes</v>
      </c>
      <c r="R1125" s="5" t="str">
        <f>IF(COUNTIFS($C$2:Transactions_RAW_cleaned[[#This Row],[CustomerID]],Transactions_RAW_cleaned[[#This Row],[CustomerID]],$D$2:Transactions_RAW_cleaned[[#This Row],[ServiceID]],Transactions_RAW_cleaned[[#This Row],[ServiceID]])=1,"Yes","No")</f>
        <v>No</v>
      </c>
      <c r="S112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25" t="str">
        <f>"Q"&amp;ROUNDUP(MONTH(Transactions_RAW_cleaned[[#This Row],[TransactionDate]])/3,0)</f>
        <v>Q1</v>
      </c>
      <c r="U1125" t="str">
        <f>Transactions_RAW_cleaned[[#This Row],[Region ]]&amp;Transactions_RAW_cleaned[[#This Row],[Quarter ]]</f>
        <v>NAQ1</v>
      </c>
      <c r="V1125" s="5">
        <f>_xlfn.XLOOKUP(Transactions_RAW_cleaned[[#This Row],[RegionQuarterKey]], Quarterly_Targets_cleaned[RegionQuarterKey], Quarterly_Targets_cleaned[TargetRevenue])</f>
        <v>247000</v>
      </c>
    </row>
    <row r="1126" spans="1:22" x14ac:dyDescent="0.25">
      <c r="A1126" t="s">
        <v>1459</v>
      </c>
      <c r="B1126" s="1">
        <v>45600</v>
      </c>
      <c r="C1126" t="s">
        <v>98</v>
      </c>
      <c r="D1126" t="s">
        <v>303</v>
      </c>
      <c r="E1126">
        <v>751.86</v>
      </c>
      <c r="F1126" t="s">
        <v>381</v>
      </c>
      <c r="G1126" t="s">
        <v>325</v>
      </c>
      <c r="I1126" t="s">
        <v>8</v>
      </c>
      <c r="J1126" t="s">
        <v>37</v>
      </c>
      <c r="K1126" t="s">
        <v>18</v>
      </c>
      <c r="L1126" t="s">
        <v>304</v>
      </c>
      <c r="M1126" t="s">
        <v>305</v>
      </c>
      <c r="N1126">
        <v>1E-3</v>
      </c>
      <c r="O1126" t="str">
        <f>IF(Transactions_RAW_cleaned[[#This Row],[Status]]="Completed", IFERROR(_xlfn.XLOOKUP(Transactions_RAW_cleaned[[#This Row],[CustomerID]], Customers_cleaned[CustomerID], Customers_cleaned[Segment]), "Customer Not Found"), "N/A")</f>
        <v>N/A</v>
      </c>
      <c r="P1126" s="5" t="str">
        <f>IF(Transactions_RAW_cleaned[[#This Row],[Status]]="Refunded", "Refund",
  IF(Transactions_RAW_cleaned[[#This Row],[Category]]="Payments", IF(Transactions_RAW_cleaned[[#This Row],[Amount]]&gt;500,"High Value","Standard"),
    IF(Transactions_RAW_cleaned[[#This Row],[Amount]]&gt;250,"High Value","Standard")))</f>
        <v>High Value</v>
      </c>
      <c r="Q1126" s="5" t="str">
        <f>IF(Transactions_RAW_cleaned[[#This Row],[Amount]] &gt; (_xlfn.XLOOKUP(Transactions_RAW_cleaned[[#This Row],[ServiceID]],Services_cleaned[ServiceID],Services_cleaned[TransactionFeePct]) * 10000), "Yes", "No")</f>
        <v>Yes</v>
      </c>
      <c r="R1126" s="5" t="str">
        <f>IF(COUNTIFS($C$2:Transactions_RAW_cleaned[[#This Row],[CustomerID]],Transactions_RAW_cleaned[[#This Row],[CustomerID]],$D$2:Transactions_RAW_cleaned[[#This Row],[ServiceID]],Transactions_RAW_cleaned[[#This Row],[ServiceID]])=1,"Yes","No")</f>
        <v>No</v>
      </c>
      <c r="S112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126" t="str">
        <f>"Q"&amp;ROUNDUP(MONTH(Transactions_RAW_cleaned[[#This Row],[TransactionDate]])/3,0)</f>
        <v>Q4</v>
      </c>
      <c r="U1126" t="str">
        <f>Transactions_RAW_cleaned[[#This Row],[Region ]]&amp;Transactions_RAW_cleaned[[#This Row],[Quarter ]]</f>
        <v>EMEAQ4</v>
      </c>
      <c r="V1126" s="5">
        <f>_xlfn.XLOOKUP(Transactions_RAW_cleaned[[#This Row],[RegionQuarterKey]], Quarterly_Targets_cleaned[RegionQuarterKey], Quarterly_Targets_cleaned[TargetRevenue])</f>
        <v>161000</v>
      </c>
    </row>
    <row r="1127" spans="1:22" x14ac:dyDescent="0.25">
      <c r="A1127" t="s">
        <v>1460</v>
      </c>
      <c r="B1127" s="1">
        <v>45452</v>
      </c>
      <c r="C1127" t="s">
        <v>195</v>
      </c>
      <c r="D1127" t="s">
        <v>294</v>
      </c>
      <c r="E1127">
        <v>225.55</v>
      </c>
      <c r="F1127" t="s">
        <v>324</v>
      </c>
      <c r="G1127" t="s">
        <v>327</v>
      </c>
      <c r="H1127" t="s">
        <v>346</v>
      </c>
      <c r="I1127" t="s">
        <v>8</v>
      </c>
      <c r="J1127" t="s">
        <v>102</v>
      </c>
      <c r="K1127" t="s">
        <v>32</v>
      </c>
      <c r="L1127" t="s">
        <v>295</v>
      </c>
      <c r="M1127" t="s">
        <v>296</v>
      </c>
      <c r="N1127">
        <v>2.9000000000000001E-2</v>
      </c>
      <c r="O1127" t="str">
        <f>IF(Transactions_RAW_cleaned[[#This Row],[Status]]="Completed", IFERROR(_xlfn.XLOOKUP(Transactions_RAW_cleaned[[#This Row],[CustomerID]], Customers_cleaned[CustomerID], Customers_cleaned[Segment]), "Customer Not Found"), "N/A")</f>
        <v>SMB</v>
      </c>
      <c r="P1127" s="5" t="str">
        <f>IF(Transactions_RAW_cleaned[[#This Row],[Status]]="Refunded", "Refund",
  IF(Transactions_RAW_cleaned[[#This Row],[Category]]="Payments", IF(Transactions_RAW_cleaned[[#This Row],[Amount]]&gt;500,"High Value","Standard"),
    IF(Transactions_RAW_cleaned[[#This Row],[Amount]]&gt;250,"High Value","Standard")))</f>
        <v>Standard</v>
      </c>
      <c r="Q1127" s="5" t="str">
        <f>IF(Transactions_RAW_cleaned[[#This Row],[Amount]] &gt; (_xlfn.XLOOKUP(Transactions_RAW_cleaned[[#This Row],[ServiceID]],Services_cleaned[ServiceID],Services_cleaned[TransactionFeePct]) * 10000), "Yes", "No")</f>
        <v>No</v>
      </c>
      <c r="R1127" s="5" t="str">
        <f>IF(COUNTIFS($C$2:Transactions_RAW_cleaned[[#This Row],[CustomerID]],Transactions_RAW_cleaned[[#This Row],[CustomerID]],$D$2:Transactions_RAW_cleaned[[#This Row],[ServiceID]],Transactions_RAW_cleaned[[#This Row],[ServiceID]])=1,"Yes","No")</f>
        <v>No</v>
      </c>
      <c r="S112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27" t="str">
        <f>"Q"&amp;ROUNDUP(MONTH(Transactions_RAW_cleaned[[#This Row],[TransactionDate]])/3,0)</f>
        <v>Q2</v>
      </c>
      <c r="U1127" t="str">
        <f>Transactions_RAW_cleaned[[#This Row],[Region ]]&amp;Transactions_RAW_cleaned[[#This Row],[Quarter ]]</f>
        <v>NAQ2</v>
      </c>
      <c r="V1127" s="5">
        <f>_xlfn.XLOOKUP(Transactions_RAW_cleaned[[#This Row],[RegionQuarterKey]], Quarterly_Targets_cleaned[RegionQuarterKey], Quarterly_Targets_cleaned[TargetRevenue])</f>
        <v>260000</v>
      </c>
    </row>
    <row r="1128" spans="1:22" x14ac:dyDescent="0.25">
      <c r="A1128" t="s">
        <v>1461</v>
      </c>
      <c r="B1128" s="1">
        <v>45505</v>
      </c>
      <c r="C1128" t="s">
        <v>49</v>
      </c>
      <c r="D1128" t="s">
        <v>294</v>
      </c>
      <c r="E1128">
        <v>484.39</v>
      </c>
      <c r="F1128" t="s">
        <v>324</v>
      </c>
      <c r="G1128" t="s">
        <v>325</v>
      </c>
      <c r="I1128" t="s">
        <v>8</v>
      </c>
      <c r="J1128" t="s">
        <v>102</v>
      </c>
      <c r="K1128" t="s">
        <v>32</v>
      </c>
      <c r="L1128" t="s">
        <v>295</v>
      </c>
      <c r="M1128" t="s">
        <v>296</v>
      </c>
      <c r="N1128">
        <v>2.9000000000000001E-2</v>
      </c>
      <c r="O1128" t="str">
        <f>IF(Transactions_RAW_cleaned[[#This Row],[Status]]="Completed", IFERROR(_xlfn.XLOOKUP(Transactions_RAW_cleaned[[#This Row],[CustomerID]], Customers_cleaned[CustomerID], Customers_cleaned[Segment]), "Customer Not Found"), "N/A")</f>
        <v>SMB</v>
      </c>
      <c r="P1128" s="5" t="str">
        <f>IF(Transactions_RAW_cleaned[[#This Row],[Status]]="Refunded", "Refund",
  IF(Transactions_RAW_cleaned[[#This Row],[Category]]="Payments", IF(Transactions_RAW_cleaned[[#This Row],[Amount]]&gt;500,"High Value","Standard"),
    IF(Transactions_RAW_cleaned[[#This Row],[Amount]]&gt;250,"High Value","Standard")))</f>
        <v>Standard</v>
      </c>
      <c r="Q1128" s="5" t="str">
        <f>IF(Transactions_RAW_cleaned[[#This Row],[Amount]] &gt; (_xlfn.XLOOKUP(Transactions_RAW_cleaned[[#This Row],[ServiceID]],Services_cleaned[ServiceID],Services_cleaned[TransactionFeePct]) * 10000), "Yes", "No")</f>
        <v>Yes</v>
      </c>
      <c r="R1128" s="5" t="str">
        <f>IF(COUNTIFS($C$2:Transactions_RAW_cleaned[[#This Row],[CustomerID]],Transactions_RAW_cleaned[[#This Row],[CustomerID]],$D$2:Transactions_RAW_cleaned[[#This Row],[ServiceID]],Transactions_RAW_cleaned[[#This Row],[ServiceID]])=1,"Yes","No")</f>
        <v>No</v>
      </c>
      <c r="S112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28" t="str">
        <f>"Q"&amp;ROUNDUP(MONTH(Transactions_RAW_cleaned[[#This Row],[TransactionDate]])/3,0)</f>
        <v>Q3</v>
      </c>
      <c r="U1128" t="str">
        <f>Transactions_RAW_cleaned[[#This Row],[Region ]]&amp;Transactions_RAW_cleaned[[#This Row],[Quarter ]]</f>
        <v>NAQ3</v>
      </c>
      <c r="V1128" s="5">
        <f>_xlfn.XLOOKUP(Transactions_RAW_cleaned[[#This Row],[RegionQuarterKey]], Quarterly_Targets_cleaned[RegionQuarterKey], Quarterly_Targets_cleaned[TargetRevenue])</f>
        <v>273000</v>
      </c>
    </row>
    <row r="1129" spans="1:22" x14ac:dyDescent="0.25">
      <c r="A1129" t="s">
        <v>1462</v>
      </c>
      <c r="B1129" s="1">
        <v>45312</v>
      </c>
      <c r="C1129" t="s">
        <v>149</v>
      </c>
      <c r="D1129" t="s">
        <v>294</v>
      </c>
      <c r="E1129">
        <v>452.47</v>
      </c>
      <c r="F1129" t="s">
        <v>381</v>
      </c>
      <c r="G1129" t="s">
        <v>2963</v>
      </c>
      <c r="H1129" t="s">
        <v>346</v>
      </c>
      <c r="I1129" t="s">
        <v>8</v>
      </c>
      <c r="J1129" t="s">
        <v>13</v>
      </c>
      <c r="K1129" t="s">
        <v>22</v>
      </c>
      <c r="L1129" t="s">
        <v>295</v>
      </c>
      <c r="M1129" t="s">
        <v>296</v>
      </c>
      <c r="N1129">
        <v>2.9000000000000001E-2</v>
      </c>
      <c r="O1129" t="str">
        <f>IF(Transactions_RAW_cleaned[[#This Row],[Status]]="Completed", IFERROR(_xlfn.XLOOKUP(Transactions_RAW_cleaned[[#This Row],[CustomerID]], Customers_cleaned[CustomerID], Customers_cleaned[Segment]), "Customer Not Found"), "N/A")</f>
        <v>N/A</v>
      </c>
      <c r="P1129" s="5" t="str">
        <f>IF(Transactions_RAW_cleaned[[#This Row],[Status]]="Refunded", "Refund",
  IF(Transactions_RAW_cleaned[[#This Row],[Category]]="Payments", IF(Transactions_RAW_cleaned[[#This Row],[Amount]]&gt;500,"High Value","Standard"),
    IF(Transactions_RAW_cleaned[[#This Row],[Amount]]&gt;250,"High Value","Standard")))</f>
        <v>Standard</v>
      </c>
      <c r="Q1129" s="5" t="str">
        <f>IF(Transactions_RAW_cleaned[[#This Row],[Amount]] &gt; (_xlfn.XLOOKUP(Transactions_RAW_cleaned[[#This Row],[ServiceID]],Services_cleaned[ServiceID],Services_cleaned[TransactionFeePct]) * 10000), "Yes", "No")</f>
        <v>Yes</v>
      </c>
      <c r="R1129" s="5" t="str">
        <f>IF(COUNTIFS($C$2:Transactions_RAW_cleaned[[#This Row],[CustomerID]],Transactions_RAW_cleaned[[#This Row],[CustomerID]],$D$2:Transactions_RAW_cleaned[[#This Row],[ServiceID]],Transactions_RAW_cleaned[[#This Row],[ServiceID]])=1,"Yes","No")</f>
        <v>No</v>
      </c>
      <c r="S112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29" t="str">
        <f>"Q"&amp;ROUNDUP(MONTH(Transactions_RAW_cleaned[[#This Row],[TransactionDate]])/3,0)</f>
        <v>Q1</v>
      </c>
      <c r="U1129" t="str">
        <f>Transactions_RAW_cleaned[[#This Row],[Region ]]&amp;Transactions_RAW_cleaned[[#This Row],[Quarter ]]</f>
        <v>NAQ1</v>
      </c>
      <c r="V1129" s="5">
        <f>_xlfn.XLOOKUP(Transactions_RAW_cleaned[[#This Row],[RegionQuarterKey]], Quarterly_Targets_cleaned[RegionQuarterKey], Quarterly_Targets_cleaned[TargetRevenue])</f>
        <v>247000</v>
      </c>
    </row>
    <row r="1130" spans="1:22" x14ac:dyDescent="0.25">
      <c r="A1130" t="s">
        <v>1463</v>
      </c>
      <c r="B1130" s="1">
        <v>45348</v>
      </c>
      <c r="C1130" t="s">
        <v>111</v>
      </c>
      <c r="D1130" t="s">
        <v>297</v>
      </c>
      <c r="E1130">
        <v>747.65</v>
      </c>
      <c r="F1130" t="s">
        <v>324</v>
      </c>
      <c r="G1130" t="s">
        <v>327</v>
      </c>
      <c r="I1130" t="s">
        <v>8</v>
      </c>
      <c r="J1130" t="s">
        <v>21</v>
      </c>
      <c r="K1130" t="s">
        <v>28</v>
      </c>
      <c r="L1130" t="s">
        <v>298</v>
      </c>
      <c r="M1130" t="s">
        <v>299</v>
      </c>
      <c r="N1130">
        <v>0</v>
      </c>
      <c r="O1130" t="str">
        <f>IF(Transactions_RAW_cleaned[[#This Row],[Status]]="Completed", IFERROR(_xlfn.XLOOKUP(Transactions_RAW_cleaned[[#This Row],[CustomerID]], Customers_cleaned[CustomerID], Customers_cleaned[Segment]), "Customer Not Found"), "N/A")</f>
        <v>SMB</v>
      </c>
      <c r="P1130" s="5" t="str">
        <f>IF(Transactions_RAW_cleaned[[#This Row],[Status]]="Refunded", "Refund",
  IF(Transactions_RAW_cleaned[[#This Row],[Category]]="Payments", IF(Transactions_RAW_cleaned[[#This Row],[Amount]]&gt;500,"High Value","Standard"),
    IF(Transactions_RAW_cleaned[[#This Row],[Amount]]&gt;250,"High Value","Standard")))</f>
        <v>High Value</v>
      </c>
      <c r="Q1130" s="5" t="str">
        <f>IF(Transactions_RAW_cleaned[[#This Row],[Amount]] &gt; (_xlfn.XLOOKUP(Transactions_RAW_cleaned[[#This Row],[ServiceID]],Services_cleaned[ServiceID],Services_cleaned[TransactionFeePct]) * 10000), "Yes", "No")</f>
        <v>Yes</v>
      </c>
      <c r="R1130" s="5" t="str">
        <f>IF(COUNTIFS($C$2:Transactions_RAW_cleaned[[#This Row],[CustomerID]],Transactions_RAW_cleaned[[#This Row],[CustomerID]],$D$2:Transactions_RAW_cleaned[[#This Row],[ServiceID]],Transactions_RAW_cleaned[[#This Row],[ServiceID]])=1,"Yes","No")</f>
        <v>No</v>
      </c>
      <c r="S113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30" t="str">
        <f>"Q"&amp;ROUNDUP(MONTH(Transactions_RAW_cleaned[[#This Row],[TransactionDate]])/3,0)</f>
        <v>Q1</v>
      </c>
      <c r="U1130" t="str">
        <f>Transactions_RAW_cleaned[[#This Row],[Region ]]&amp;Transactions_RAW_cleaned[[#This Row],[Quarter ]]</f>
        <v>APACQ1</v>
      </c>
      <c r="V1130" s="5">
        <f>_xlfn.XLOOKUP(Transactions_RAW_cleaned[[#This Row],[RegionQuarterKey]], Quarterly_Targets_cleaned[RegionQuarterKey], Quarterly_Targets_cleaned[TargetRevenue])</f>
        <v>104500</v>
      </c>
    </row>
    <row r="1131" spans="1:22" x14ac:dyDescent="0.25">
      <c r="A1131" t="s">
        <v>1464</v>
      </c>
      <c r="B1131" s="1">
        <v>45322</v>
      </c>
      <c r="C1131" t="s">
        <v>227</v>
      </c>
      <c r="D1131" t="s">
        <v>306</v>
      </c>
      <c r="E1131">
        <v>99.67</v>
      </c>
      <c r="F1131" t="s">
        <v>324</v>
      </c>
      <c r="G1131" t="s">
        <v>325</v>
      </c>
      <c r="I1131" t="s">
        <v>57</v>
      </c>
      <c r="J1131" t="s">
        <v>31</v>
      </c>
      <c r="K1131" t="s">
        <v>32</v>
      </c>
      <c r="L1131" t="s">
        <v>307</v>
      </c>
      <c r="M1131" t="s">
        <v>308</v>
      </c>
      <c r="N1131">
        <v>0</v>
      </c>
      <c r="O1131" t="str">
        <f>IF(Transactions_RAW_cleaned[[#This Row],[Status]]="Completed", IFERROR(_xlfn.XLOOKUP(Transactions_RAW_cleaned[[#This Row],[CustomerID]], Customers_cleaned[CustomerID], Customers_cleaned[Segment]), "Customer Not Found"), "N/A")</f>
        <v>Startup</v>
      </c>
      <c r="P1131" s="5" t="str">
        <f>IF(Transactions_RAW_cleaned[[#This Row],[Status]]="Refunded", "Refund",
  IF(Transactions_RAW_cleaned[[#This Row],[Category]]="Payments", IF(Transactions_RAW_cleaned[[#This Row],[Amount]]&gt;500,"High Value","Standard"),
    IF(Transactions_RAW_cleaned[[#This Row],[Amount]]&gt;250,"High Value","Standard")))</f>
        <v>Standard</v>
      </c>
      <c r="Q1131" s="5" t="str">
        <f>IF(Transactions_RAW_cleaned[[#This Row],[Amount]] &gt; (_xlfn.XLOOKUP(Transactions_RAW_cleaned[[#This Row],[ServiceID]],Services_cleaned[ServiceID],Services_cleaned[TransactionFeePct]) * 10000), "Yes", "No")</f>
        <v>Yes</v>
      </c>
      <c r="R1131" s="5" t="str">
        <f>IF(COUNTIFS($C$2:Transactions_RAW_cleaned[[#This Row],[CustomerID]],Transactions_RAW_cleaned[[#This Row],[CustomerID]],$D$2:Transactions_RAW_cleaned[[#This Row],[ServiceID]],Transactions_RAW_cleaned[[#This Row],[ServiceID]])=1,"Yes","No")</f>
        <v>Yes</v>
      </c>
      <c r="S113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131" t="str">
        <f>"Q"&amp;ROUNDUP(MONTH(Transactions_RAW_cleaned[[#This Row],[TransactionDate]])/3,0)</f>
        <v>Q1</v>
      </c>
      <c r="U1131" t="str">
        <f>Transactions_RAW_cleaned[[#This Row],[Region ]]&amp;Transactions_RAW_cleaned[[#This Row],[Quarter ]]</f>
        <v>EMEAQ1</v>
      </c>
      <c r="V1131" s="5">
        <f>_xlfn.XLOOKUP(Transactions_RAW_cleaned[[#This Row],[RegionQuarterKey]], Quarterly_Targets_cleaned[RegionQuarterKey], Quarterly_Targets_cleaned[TargetRevenue])</f>
        <v>133000</v>
      </c>
    </row>
    <row r="1132" spans="1:22" x14ac:dyDescent="0.25">
      <c r="A1132" t="s">
        <v>1465</v>
      </c>
      <c r="B1132" s="1">
        <v>45452</v>
      </c>
      <c r="C1132" t="s">
        <v>259</v>
      </c>
      <c r="D1132" t="s">
        <v>312</v>
      </c>
      <c r="E1132">
        <v>1036.05</v>
      </c>
      <c r="F1132" t="s">
        <v>324</v>
      </c>
      <c r="G1132" t="s">
        <v>337</v>
      </c>
      <c r="H1132" t="s">
        <v>332</v>
      </c>
      <c r="I1132" t="s">
        <v>8</v>
      </c>
      <c r="J1132" t="s">
        <v>31</v>
      </c>
      <c r="K1132" t="s">
        <v>22</v>
      </c>
      <c r="L1132" t="s">
        <v>313</v>
      </c>
      <c r="M1132" t="s">
        <v>314</v>
      </c>
      <c r="N1132">
        <v>0</v>
      </c>
      <c r="O1132" t="str">
        <f>IF(Transactions_RAW_cleaned[[#This Row],[Status]]="Completed", IFERROR(_xlfn.XLOOKUP(Transactions_RAW_cleaned[[#This Row],[CustomerID]], Customers_cleaned[CustomerID], Customers_cleaned[Segment]), "Customer Not Found"), "N/A")</f>
        <v>SMB</v>
      </c>
      <c r="P1132" s="5" t="str">
        <f>IF(Transactions_RAW_cleaned[[#This Row],[Status]]="Refunded", "Refund",
  IF(Transactions_RAW_cleaned[[#This Row],[Category]]="Payments", IF(Transactions_RAW_cleaned[[#This Row],[Amount]]&gt;500,"High Value","Standard"),
    IF(Transactions_RAW_cleaned[[#This Row],[Amount]]&gt;250,"High Value","Standard")))</f>
        <v>High Value</v>
      </c>
      <c r="Q1132" s="5" t="str">
        <f>IF(Transactions_RAW_cleaned[[#This Row],[Amount]] &gt; (_xlfn.XLOOKUP(Transactions_RAW_cleaned[[#This Row],[ServiceID]],Services_cleaned[ServiceID],Services_cleaned[TransactionFeePct]) * 10000), "Yes", "No")</f>
        <v>Yes</v>
      </c>
      <c r="R1132" s="5" t="str">
        <f>IF(COUNTIFS($C$2:Transactions_RAW_cleaned[[#This Row],[CustomerID]],Transactions_RAW_cleaned[[#This Row],[CustomerID]],$D$2:Transactions_RAW_cleaned[[#This Row],[ServiceID]],Transactions_RAW_cleaned[[#This Row],[ServiceID]])=1,"Yes","No")</f>
        <v>No</v>
      </c>
      <c r="S113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132" t="str">
        <f>"Q"&amp;ROUNDUP(MONTH(Transactions_RAW_cleaned[[#This Row],[TransactionDate]])/3,0)</f>
        <v>Q2</v>
      </c>
      <c r="U1132" t="str">
        <f>Transactions_RAW_cleaned[[#This Row],[Region ]]&amp;Transactions_RAW_cleaned[[#This Row],[Quarter ]]</f>
        <v>EMEAQ2</v>
      </c>
      <c r="V1132" s="5">
        <f>_xlfn.XLOOKUP(Transactions_RAW_cleaned[[#This Row],[RegionQuarterKey]], Quarterly_Targets_cleaned[RegionQuarterKey], Quarterly_Targets_cleaned[TargetRevenue])</f>
        <v>140000</v>
      </c>
    </row>
    <row r="1133" spans="1:22" x14ac:dyDescent="0.25">
      <c r="A1133" t="s">
        <v>1466</v>
      </c>
      <c r="B1133" s="1">
        <v>45522</v>
      </c>
      <c r="C1133" t="s">
        <v>129</v>
      </c>
      <c r="D1133" t="s">
        <v>303</v>
      </c>
      <c r="E1133">
        <v>257.27999999999997</v>
      </c>
      <c r="F1133" t="s">
        <v>324</v>
      </c>
      <c r="G1133" t="s">
        <v>325</v>
      </c>
      <c r="H1133" t="s">
        <v>346</v>
      </c>
      <c r="I1133" t="s">
        <v>8</v>
      </c>
      <c r="J1133" t="s">
        <v>21</v>
      </c>
      <c r="K1133" t="s">
        <v>18</v>
      </c>
      <c r="L1133" t="s">
        <v>304</v>
      </c>
      <c r="M1133" t="s">
        <v>305</v>
      </c>
      <c r="N1133">
        <v>1E-3</v>
      </c>
      <c r="O1133" t="str">
        <f>IF(Transactions_RAW_cleaned[[#This Row],[Status]]="Completed", IFERROR(_xlfn.XLOOKUP(Transactions_RAW_cleaned[[#This Row],[CustomerID]], Customers_cleaned[CustomerID], Customers_cleaned[Segment]), "Customer Not Found"), "N/A")</f>
        <v>SMB</v>
      </c>
      <c r="P1133" s="5" t="str">
        <f>IF(Transactions_RAW_cleaned[[#This Row],[Status]]="Refunded", "Refund",
  IF(Transactions_RAW_cleaned[[#This Row],[Category]]="Payments", IF(Transactions_RAW_cleaned[[#This Row],[Amount]]&gt;500,"High Value","Standard"),
    IF(Transactions_RAW_cleaned[[#This Row],[Amount]]&gt;250,"High Value","Standard")))</f>
        <v>High Value</v>
      </c>
      <c r="Q1133" s="5" t="str">
        <f>IF(Transactions_RAW_cleaned[[#This Row],[Amount]] &gt; (_xlfn.XLOOKUP(Transactions_RAW_cleaned[[#This Row],[ServiceID]],Services_cleaned[ServiceID],Services_cleaned[TransactionFeePct]) * 10000), "Yes", "No")</f>
        <v>Yes</v>
      </c>
      <c r="R1133" s="5" t="str">
        <f>IF(COUNTIFS($C$2:Transactions_RAW_cleaned[[#This Row],[CustomerID]],Transactions_RAW_cleaned[[#This Row],[CustomerID]],$D$2:Transactions_RAW_cleaned[[#This Row],[ServiceID]],Transactions_RAW_cleaned[[#This Row],[ServiceID]])=1,"Yes","No")</f>
        <v>Yes</v>
      </c>
      <c r="S113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33" t="str">
        <f>"Q"&amp;ROUNDUP(MONTH(Transactions_RAW_cleaned[[#This Row],[TransactionDate]])/3,0)</f>
        <v>Q3</v>
      </c>
      <c r="U1133" t="str">
        <f>Transactions_RAW_cleaned[[#This Row],[Region ]]&amp;Transactions_RAW_cleaned[[#This Row],[Quarter ]]</f>
        <v>APACQ3</v>
      </c>
      <c r="V1133" s="5">
        <f>_xlfn.XLOOKUP(Transactions_RAW_cleaned[[#This Row],[RegionQuarterKey]], Quarterly_Targets_cleaned[RegionQuarterKey], Quarterly_Targets_cleaned[TargetRevenue])</f>
        <v>115500</v>
      </c>
    </row>
    <row r="1134" spans="1:22" x14ac:dyDescent="0.25">
      <c r="A1134" t="s">
        <v>1467</v>
      </c>
      <c r="B1134" s="1">
        <v>45440</v>
      </c>
      <c r="C1134" t="s">
        <v>109</v>
      </c>
      <c r="D1134" t="s">
        <v>312</v>
      </c>
      <c r="E1134">
        <v>179.24</v>
      </c>
      <c r="F1134" t="s">
        <v>324</v>
      </c>
      <c r="G1134" t="s">
        <v>327</v>
      </c>
      <c r="I1134" t="s">
        <v>8</v>
      </c>
      <c r="J1134" t="s">
        <v>102</v>
      </c>
      <c r="K1134" t="s">
        <v>18</v>
      </c>
      <c r="L1134" t="s">
        <v>313</v>
      </c>
      <c r="M1134" t="s">
        <v>314</v>
      </c>
      <c r="N1134">
        <v>0</v>
      </c>
      <c r="O1134" t="str">
        <f>IF(Transactions_RAW_cleaned[[#This Row],[Status]]="Completed", IFERROR(_xlfn.XLOOKUP(Transactions_RAW_cleaned[[#This Row],[CustomerID]], Customers_cleaned[CustomerID], Customers_cleaned[Segment]), "Customer Not Found"), "N/A")</f>
        <v>SMB</v>
      </c>
      <c r="P1134" s="5" t="str">
        <f>IF(Transactions_RAW_cleaned[[#This Row],[Status]]="Refunded", "Refund",
  IF(Transactions_RAW_cleaned[[#This Row],[Category]]="Payments", IF(Transactions_RAW_cleaned[[#This Row],[Amount]]&gt;500,"High Value","Standard"),
    IF(Transactions_RAW_cleaned[[#This Row],[Amount]]&gt;250,"High Value","Standard")))</f>
        <v>Standard</v>
      </c>
      <c r="Q1134" s="5" t="str">
        <f>IF(Transactions_RAW_cleaned[[#This Row],[Amount]] &gt; (_xlfn.XLOOKUP(Transactions_RAW_cleaned[[#This Row],[ServiceID]],Services_cleaned[ServiceID],Services_cleaned[TransactionFeePct]) * 10000), "Yes", "No")</f>
        <v>Yes</v>
      </c>
      <c r="R1134" s="5" t="str">
        <f>IF(COUNTIFS($C$2:Transactions_RAW_cleaned[[#This Row],[CustomerID]],Transactions_RAW_cleaned[[#This Row],[CustomerID]],$D$2:Transactions_RAW_cleaned[[#This Row],[ServiceID]],Transactions_RAW_cleaned[[#This Row],[ServiceID]])=1,"Yes","No")</f>
        <v>No</v>
      </c>
      <c r="S113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34" t="str">
        <f>"Q"&amp;ROUNDUP(MONTH(Transactions_RAW_cleaned[[#This Row],[TransactionDate]])/3,0)</f>
        <v>Q2</v>
      </c>
      <c r="U1134" t="str">
        <f>Transactions_RAW_cleaned[[#This Row],[Region ]]&amp;Transactions_RAW_cleaned[[#This Row],[Quarter ]]</f>
        <v>NAQ2</v>
      </c>
      <c r="V1134" s="5">
        <f>_xlfn.XLOOKUP(Transactions_RAW_cleaned[[#This Row],[RegionQuarterKey]], Quarterly_Targets_cleaned[RegionQuarterKey], Quarterly_Targets_cleaned[TargetRevenue])</f>
        <v>260000</v>
      </c>
    </row>
    <row r="1135" spans="1:22" x14ac:dyDescent="0.25">
      <c r="A1135" t="s">
        <v>1468</v>
      </c>
      <c r="B1135" s="1">
        <v>45533</v>
      </c>
      <c r="C1135" t="s">
        <v>201</v>
      </c>
      <c r="D1135" t="s">
        <v>294</v>
      </c>
      <c r="E1135">
        <v>418.7</v>
      </c>
      <c r="F1135" t="s">
        <v>324</v>
      </c>
      <c r="G1135" t="s">
        <v>327</v>
      </c>
      <c r="I1135" t="s">
        <v>57</v>
      </c>
      <c r="J1135" t="s">
        <v>37</v>
      </c>
      <c r="K1135" t="s">
        <v>32</v>
      </c>
      <c r="L1135" t="s">
        <v>295</v>
      </c>
      <c r="M1135" t="s">
        <v>296</v>
      </c>
      <c r="N1135">
        <v>2.9000000000000001E-2</v>
      </c>
      <c r="O1135" t="str">
        <f>IF(Transactions_RAW_cleaned[[#This Row],[Status]]="Completed", IFERROR(_xlfn.XLOOKUP(Transactions_RAW_cleaned[[#This Row],[CustomerID]], Customers_cleaned[CustomerID], Customers_cleaned[Segment]), "Customer Not Found"), "N/A")</f>
        <v>Startup</v>
      </c>
      <c r="P1135" s="5" t="str">
        <f>IF(Transactions_RAW_cleaned[[#This Row],[Status]]="Refunded", "Refund",
  IF(Transactions_RAW_cleaned[[#This Row],[Category]]="Payments", IF(Transactions_RAW_cleaned[[#This Row],[Amount]]&gt;500,"High Value","Standard"),
    IF(Transactions_RAW_cleaned[[#This Row],[Amount]]&gt;250,"High Value","Standard")))</f>
        <v>Standard</v>
      </c>
      <c r="Q1135" s="5" t="str">
        <f>IF(Transactions_RAW_cleaned[[#This Row],[Amount]] &gt; (_xlfn.XLOOKUP(Transactions_RAW_cleaned[[#This Row],[ServiceID]],Services_cleaned[ServiceID],Services_cleaned[TransactionFeePct]) * 10000), "Yes", "No")</f>
        <v>Yes</v>
      </c>
      <c r="R1135" s="5" t="str">
        <f>IF(COUNTIFS($C$2:Transactions_RAW_cleaned[[#This Row],[CustomerID]],Transactions_RAW_cleaned[[#This Row],[CustomerID]],$D$2:Transactions_RAW_cleaned[[#This Row],[ServiceID]],Transactions_RAW_cleaned[[#This Row],[ServiceID]])=1,"Yes","No")</f>
        <v>No</v>
      </c>
      <c r="S113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135" t="str">
        <f>"Q"&amp;ROUNDUP(MONTH(Transactions_RAW_cleaned[[#This Row],[TransactionDate]])/3,0)</f>
        <v>Q3</v>
      </c>
      <c r="U1135" t="str">
        <f>Transactions_RAW_cleaned[[#This Row],[Region ]]&amp;Transactions_RAW_cleaned[[#This Row],[Quarter ]]</f>
        <v>EMEAQ3</v>
      </c>
      <c r="V1135" s="5">
        <f>_xlfn.XLOOKUP(Transactions_RAW_cleaned[[#This Row],[RegionQuarterKey]], Quarterly_Targets_cleaned[RegionQuarterKey], Quarterly_Targets_cleaned[TargetRevenue])</f>
        <v>147000</v>
      </c>
    </row>
    <row r="1136" spans="1:22" x14ac:dyDescent="0.25">
      <c r="A1136" t="s">
        <v>1469</v>
      </c>
      <c r="B1136" s="1">
        <v>45563</v>
      </c>
      <c r="C1136" t="s">
        <v>145</v>
      </c>
      <c r="D1136" t="s">
        <v>294</v>
      </c>
      <c r="E1136">
        <v>65.83</v>
      </c>
      <c r="F1136" t="s">
        <v>324</v>
      </c>
      <c r="G1136" t="s">
        <v>337</v>
      </c>
      <c r="H1136" t="s">
        <v>346</v>
      </c>
      <c r="I1136" t="s">
        <v>8</v>
      </c>
      <c r="J1136" t="s">
        <v>13</v>
      </c>
      <c r="K1136" t="s">
        <v>32</v>
      </c>
      <c r="L1136" t="s">
        <v>295</v>
      </c>
      <c r="M1136" t="s">
        <v>296</v>
      </c>
      <c r="N1136">
        <v>2.9000000000000001E-2</v>
      </c>
      <c r="O1136" t="str">
        <f>IF(Transactions_RAW_cleaned[[#This Row],[Status]]="Completed", IFERROR(_xlfn.XLOOKUP(Transactions_RAW_cleaned[[#This Row],[CustomerID]], Customers_cleaned[CustomerID], Customers_cleaned[Segment]), "Customer Not Found"), "N/A")</f>
        <v>SMB</v>
      </c>
      <c r="P1136" s="5" t="str">
        <f>IF(Transactions_RAW_cleaned[[#This Row],[Status]]="Refunded", "Refund",
  IF(Transactions_RAW_cleaned[[#This Row],[Category]]="Payments", IF(Transactions_RAW_cleaned[[#This Row],[Amount]]&gt;500,"High Value","Standard"),
    IF(Transactions_RAW_cleaned[[#This Row],[Amount]]&gt;250,"High Value","Standard")))</f>
        <v>Standard</v>
      </c>
      <c r="Q1136" s="5" t="str">
        <f>IF(Transactions_RAW_cleaned[[#This Row],[Amount]] &gt; (_xlfn.XLOOKUP(Transactions_RAW_cleaned[[#This Row],[ServiceID]],Services_cleaned[ServiceID],Services_cleaned[TransactionFeePct]) * 10000), "Yes", "No")</f>
        <v>No</v>
      </c>
      <c r="R1136" s="5" t="str">
        <f>IF(COUNTIFS($C$2:Transactions_RAW_cleaned[[#This Row],[CustomerID]],Transactions_RAW_cleaned[[#This Row],[CustomerID]],$D$2:Transactions_RAW_cleaned[[#This Row],[ServiceID]],Transactions_RAW_cleaned[[#This Row],[ServiceID]])=1,"Yes","No")</f>
        <v>No</v>
      </c>
      <c r="S113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36" t="str">
        <f>"Q"&amp;ROUNDUP(MONTH(Transactions_RAW_cleaned[[#This Row],[TransactionDate]])/3,0)</f>
        <v>Q3</v>
      </c>
      <c r="U1136" t="str">
        <f>Transactions_RAW_cleaned[[#This Row],[Region ]]&amp;Transactions_RAW_cleaned[[#This Row],[Quarter ]]</f>
        <v>NAQ3</v>
      </c>
      <c r="V1136" s="5">
        <f>_xlfn.XLOOKUP(Transactions_RAW_cleaned[[#This Row],[RegionQuarterKey]], Quarterly_Targets_cleaned[RegionQuarterKey], Quarterly_Targets_cleaned[TargetRevenue])</f>
        <v>273000</v>
      </c>
    </row>
    <row r="1137" spans="1:22" x14ac:dyDescent="0.25">
      <c r="A1137" t="s">
        <v>1470</v>
      </c>
      <c r="B1137" s="1">
        <v>45364</v>
      </c>
      <c r="C1137" t="s">
        <v>257</v>
      </c>
      <c r="D1137" t="s">
        <v>315</v>
      </c>
      <c r="E1137">
        <v>692.44</v>
      </c>
      <c r="F1137" t="s">
        <v>324</v>
      </c>
      <c r="G1137" t="s">
        <v>329</v>
      </c>
      <c r="H1137" t="s">
        <v>334</v>
      </c>
      <c r="I1137" t="s">
        <v>57</v>
      </c>
      <c r="J1137" t="s">
        <v>13</v>
      </c>
      <c r="K1137" t="s">
        <v>22</v>
      </c>
      <c r="L1137" t="s">
        <v>316</v>
      </c>
      <c r="M1137" t="s">
        <v>305</v>
      </c>
      <c r="N1137">
        <v>2.5000000000000001E-3</v>
      </c>
      <c r="O1137" t="str">
        <f>IF(Transactions_RAW_cleaned[[#This Row],[Status]]="Completed", IFERROR(_xlfn.XLOOKUP(Transactions_RAW_cleaned[[#This Row],[CustomerID]], Customers_cleaned[CustomerID], Customers_cleaned[Segment]), "Customer Not Found"), "N/A")</f>
        <v>Startup</v>
      </c>
      <c r="P1137" s="5" t="str">
        <f>IF(Transactions_RAW_cleaned[[#This Row],[Status]]="Refunded", "Refund",
  IF(Transactions_RAW_cleaned[[#This Row],[Category]]="Payments", IF(Transactions_RAW_cleaned[[#This Row],[Amount]]&gt;500,"High Value","Standard"),
    IF(Transactions_RAW_cleaned[[#This Row],[Amount]]&gt;250,"High Value","Standard")))</f>
        <v>High Value</v>
      </c>
      <c r="Q1137" s="5" t="str">
        <f>IF(Transactions_RAW_cleaned[[#This Row],[Amount]] &gt; (_xlfn.XLOOKUP(Transactions_RAW_cleaned[[#This Row],[ServiceID]],Services_cleaned[ServiceID],Services_cleaned[TransactionFeePct]) * 10000), "Yes", "No")</f>
        <v>Yes</v>
      </c>
      <c r="R1137" s="5" t="str">
        <f>IF(COUNTIFS($C$2:Transactions_RAW_cleaned[[#This Row],[CustomerID]],Transactions_RAW_cleaned[[#This Row],[CustomerID]],$D$2:Transactions_RAW_cleaned[[#This Row],[ServiceID]],Transactions_RAW_cleaned[[#This Row],[ServiceID]])=1,"Yes","No")</f>
        <v>Yes</v>
      </c>
      <c r="S113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37" t="str">
        <f>"Q"&amp;ROUNDUP(MONTH(Transactions_RAW_cleaned[[#This Row],[TransactionDate]])/3,0)</f>
        <v>Q1</v>
      </c>
      <c r="U1137" t="str">
        <f>Transactions_RAW_cleaned[[#This Row],[Region ]]&amp;Transactions_RAW_cleaned[[#This Row],[Quarter ]]</f>
        <v>NAQ1</v>
      </c>
      <c r="V1137" s="5">
        <f>_xlfn.XLOOKUP(Transactions_RAW_cleaned[[#This Row],[RegionQuarterKey]], Quarterly_Targets_cleaned[RegionQuarterKey], Quarterly_Targets_cleaned[TargetRevenue])</f>
        <v>247000</v>
      </c>
    </row>
    <row r="1138" spans="1:22" x14ac:dyDescent="0.25">
      <c r="A1138" t="s">
        <v>1471</v>
      </c>
      <c r="B1138" s="1">
        <v>45416</v>
      </c>
      <c r="C1138" t="s">
        <v>229</v>
      </c>
      <c r="D1138" t="s">
        <v>294</v>
      </c>
      <c r="E1138">
        <v>329.51</v>
      </c>
      <c r="F1138" t="s">
        <v>324</v>
      </c>
      <c r="G1138" t="s">
        <v>327</v>
      </c>
      <c r="I1138" t="s">
        <v>17</v>
      </c>
      <c r="J1138" t="s">
        <v>102</v>
      </c>
      <c r="K1138" t="s">
        <v>18</v>
      </c>
      <c r="L1138" t="s">
        <v>295</v>
      </c>
      <c r="M1138" t="s">
        <v>296</v>
      </c>
      <c r="N1138">
        <v>2.9000000000000001E-2</v>
      </c>
      <c r="O1138" t="str">
        <f>IF(Transactions_RAW_cleaned[[#This Row],[Status]]="Completed", IFERROR(_xlfn.XLOOKUP(Transactions_RAW_cleaned[[#This Row],[CustomerID]], Customers_cleaned[CustomerID], Customers_cleaned[Segment]), "Customer Not Found"), "N/A")</f>
        <v>Enterprise</v>
      </c>
      <c r="P1138" s="5" t="str">
        <f>IF(Transactions_RAW_cleaned[[#This Row],[Status]]="Refunded", "Refund",
  IF(Transactions_RAW_cleaned[[#This Row],[Category]]="Payments", IF(Transactions_RAW_cleaned[[#This Row],[Amount]]&gt;500,"High Value","Standard"),
    IF(Transactions_RAW_cleaned[[#This Row],[Amount]]&gt;250,"High Value","Standard")))</f>
        <v>Standard</v>
      </c>
      <c r="Q1138" s="5" t="str">
        <f>IF(Transactions_RAW_cleaned[[#This Row],[Amount]] &gt; (_xlfn.XLOOKUP(Transactions_RAW_cleaned[[#This Row],[ServiceID]],Services_cleaned[ServiceID],Services_cleaned[TransactionFeePct]) * 10000), "Yes", "No")</f>
        <v>Yes</v>
      </c>
      <c r="R1138" s="5" t="str">
        <f>IF(COUNTIFS($C$2:Transactions_RAW_cleaned[[#This Row],[CustomerID]],Transactions_RAW_cleaned[[#This Row],[CustomerID]],$D$2:Transactions_RAW_cleaned[[#This Row],[ServiceID]],Transactions_RAW_cleaned[[#This Row],[ServiceID]])=1,"Yes","No")</f>
        <v>No</v>
      </c>
      <c r="S113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38" t="str">
        <f>"Q"&amp;ROUNDUP(MONTH(Transactions_RAW_cleaned[[#This Row],[TransactionDate]])/3,0)</f>
        <v>Q2</v>
      </c>
      <c r="U1138" t="str">
        <f>Transactions_RAW_cleaned[[#This Row],[Region ]]&amp;Transactions_RAW_cleaned[[#This Row],[Quarter ]]</f>
        <v>NAQ2</v>
      </c>
      <c r="V1138" s="5">
        <f>_xlfn.XLOOKUP(Transactions_RAW_cleaned[[#This Row],[RegionQuarterKey]], Quarterly_Targets_cleaned[RegionQuarterKey], Quarterly_Targets_cleaned[TargetRevenue])</f>
        <v>260000</v>
      </c>
    </row>
    <row r="1139" spans="1:22" x14ac:dyDescent="0.25">
      <c r="A1139" t="s">
        <v>1472</v>
      </c>
      <c r="B1139" s="1">
        <v>45624</v>
      </c>
      <c r="C1139" t="s">
        <v>42</v>
      </c>
      <c r="D1139" t="s">
        <v>294</v>
      </c>
      <c r="E1139">
        <v>545.58000000000004</v>
      </c>
      <c r="F1139" t="s">
        <v>324</v>
      </c>
      <c r="G1139" t="s">
        <v>325</v>
      </c>
      <c r="I1139" t="s">
        <v>8</v>
      </c>
      <c r="J1139" t="s">
        <v>102</v>
      </c>
      <c r="K1139" t="s">
        <v>10</v>
      </c>
      <c r="L1139" t="s">
        <v>295</v>
      </c>
      <c r="M1139" t="s">
        <v>296</v>
      </c>
      <c r="N1139">
        <v>2.9000000000000001E-2</v>
      </c>
      <c r="O1139" t="str">
        <f>IF(Transactions_RAW_cleaned[[#This Row],[Status]]="Completed", IFERROR(_xlfn.XLOOKUP(Transactions_RAW_cleaned[[#This Row],[CustomerID]], Customers_cleaned[CustomerID], Customers_cleaned[Segment]), "Customer Not Found"), "N/A")</f>
        <v>SMB</v>
      </c>
      <c r="P1139" s="5" t="str">
        <f>IF(Transactions_RAW_cleaned[[#This Row],[Status]]="Refunded", "Refund",
  IF(Transactions_RAW_cleaned[[#This Row],[Category]]="Payments", IF(Transactions_RAW_cleaned[[#This Row],[Amount]]&gt;500,"High Value","Standard"),
    IF(Transactions_RAW_cleaned[[#This Row],[Amount]]&gt;250,"High Value","Standard")))</f>
        <v>High Value</v>
      </c>
      <c r="Q1139" s="5" t="str">
        <f>IF(Transactions_RAW_cleaned[[#This Row],[Amount]] &gt; (_xlfn.XLOOKUP(Transactions_RAW_cleaned[[#This Row],[ServiceID]],Services_cleaned[ServiceID],Services_cleaned[TransactionFeePct]) * 10000), "Yes", "No")</f>
        <v>Yes</v>
      </c>
      <c r="R1139" s="5" t="str">
        <f>IF(COUNTIFS($C$2:Transactions_RAW_cleaned[[#This Row],[CustomerID]],Transactions_RAW_cleaned[[#This Row],[CustomerID]],$D$2:Transactions_RAW_cleaned[[#This Row],[ServiceID]],Transactions_RAW_cleaned[[#This Row],[ServiceID]])=1,"Yes","No")</f>
        <v>No</v>
      </c>
      <c r="S113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39" t="str">
        <f>"Q"&amp;ROUNDUP(MONTH(Transactions_RAW_cleaned[[#This Row],[TransactionDate]])/3,0)</f>
        <v>Q4</v>
      </c>
      <c r="U1139" t="str">
        <f>Transactions_RAW_cleaned[[#This Row],[Region ]]&amp;Transactions_RAW_cleaned[[#This Row],[Quarter ]]</f>
        <v>NAQ4</v>
      </c>
      <c r="V1139" s="5">
        <f>_xlfn.XLOOKUP(Transactions_RAW_cleaned[[#This Row],[RegionQuarterKey]], Quarterly_Targets_cleaned[RegionQuarterKey], Quarterly_Targets_cleaned[TargetRevenue])</f>
        <v>299000</v>
      </c>
    </row>
    <row r="1140" spans="1:22" x14ac:dyDescent="0.25">
      <c r="A1140" t="s">
        <v>1473</v>
      </c>
      <c r="B1140" s="1">
        <v>45515</v>
      </c>
      <c r="C1140" t="s">
        <v>92</v>
      </c>
      <c r="D1140" t="s">
        <v>306</v>
      </c>
      <c r="E1140">
        <v>790.11</v>
      </c>
      <c r="F1140" t="s">
        <v>381</v>
      </c>
      <c r="G1140" t="s">
        <v>325</v>
      </c>
      <c r="I1140" t="s">
        <v>8</v>
      </c>
      <c r="J1140" t="s">
        <v>102</v>
      </c>
      <c r="K1140" t="s">
        <v>10</v>
      </c>
      <c r="L1140" t="s">
        <v>307</v>
      </c>
      <c r="M1140" t="s">
        <v>308</v>
      </c>
      <c r="N1140">
        <v>0</v>
      </c>
      <c r="O1140" t="str">
        <f>IF(Transactions_RAW_cleaned[[#This Row],[Status]]="Completed", IFERROR(_xlfn.XLOOKUP(Transactions_RAW_cleaned[[#This Row],[CustomerID]], Customers_cleaned[CustomerID], Customers_cleaned[Segment]), "Customer Not Found"), "N/A")</f>
        <v>N/A</v>
      </c>
      <c r="P1140" s="5" t="str">
        <f>IF(Transactions_RAW_cleaned[[#This Row],[Status]]="Refunded", "Refund",
  IF(Transactions_RAW_cleaned[[#This Row],[Category]]="Payments", IF(Transactions_RAW_cleaned[[#This Row],[Amount]]&gt;500,"High Value","Standard"),
    IF(Transactions_RAW_cleaned[[#This Row],[Amount]]&gt;250,"High Value","Standard")))</f>
        <v>High Value</v>
      </c>
      <c r="Q1140" s="5" t="str">
        <f>IF(Transactions_RAW_cleaned[[#This Row],[Amount]] &gt; (_xlfn.XLOOKUP(Transactions_RAW_cleaned[[#This Row],[ServiceID]],Services_cleaned[ServiceID],Services_cleaned[TransactionFeePct]) * 10000), "Yes", "No")</f>
        <v>Yes</v>
      </c>
      <c r="R1140" s="5" t="str">
        <f>IF(COUNTIFS($C$2:Transactions_RAW_cleaned[[#This Row],[CustomerID]],Transactions_RAW_cleaned[[#This Row],[CustomerID]],$D$2:Transactions_RAW_cleaned[[#This Row],[ServiceID]],Transactions_RAW_cleaned[[#This Row],[ServiceID]])=1,"Yes","No")</f>
        <v>No</v>
      </c>
      <c r="S114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40" t="str">
        <f>"Q"&amp;ROUNDUP(MONTH(Transactions_RAW_cleaned[[#This Row],[TransactionDate]])/3,0)</f>
        <v>Q3</v>
      </c>
      <c r="U1140" t="str">
        <f>Transactions_RAW_cleaned[[#This Row],[Region ]]&amp;Transactions_RAW_cleaned[[#This Row],[Quarter ]]</f>
        <v>NAQ3</v>
      </c>
      <c r="V1140" s="5">
        <f>_xlfn.XLOOKUP(Transactions_RAW_cleaned[[#This Row],[RegionQuarterKey]], Quarterly_Targets_cleaned[RegionQuarterKey], Quarterly_Targets_cleaned[TargetRevenue])</f>
        <v>273000</v>
      </c>
    </row>
    <row r="1141" spans="1:22" x14ac:dyDescent="0.25">
      <c r="A1141" t="s">
        <v>1474</v>
      </c>
      <c r="B1141" s="1">
        <v>45541</v>
      </c>
      <c r="C1141" t="s">
        <v>265</v>
      </c>
      <c r="D1141" t="s">
        <v>300</v>
      </c>
      <c r="E1141">
        <v>336.01</v>
      </c>
      <c r="F1141" t="s">
        <v>324</v>
      </c>
      <c r="G1141" t="s">
        <v>327</v>
      </c>
      <c r="H1141" t="s">
        <v>334</v>
      </c>
      <c r="I1141" t="s">
        <v>8</v>
      </c>
      <c r="J1141" t="s">
        <v>102</v>
      </c>
      <c r="K1141" t="s">
        <v>32</v>
      </c>
      <c r="L1141" t="s">
        <v>301</v>
      </c>
      <c r="M1141" t="s">
        <v>302</v>
      </c>
      <c r="N1141">
        <v>5.0000000000000001E-3</v>
      </c>
      <c r="O1141" t="str">
        <f>IF(Transactions_RAW_cleaned[[#This Row],[Status]]="Completed", IFERROR(_xlfn.XLOOKUP(Transactions_RAW_cleaned[[#This Row],[CustomerID]], Customers_cleaned[CustomerID], Customers_cleaned[Segment]), "Customer Not Found"), "N/A")</f>
        <v>SMB</v>
      </c>
      <c r="P1141" s="5" t="str">
        <f>IF(Transactions_RAW_cleaned[[#This Row],[Status]]="Refunded", "Refund",
  IF(Transactions_RAW_cleaned[[#This Row],[Category]]="Payments", IF(Transactions_RAW_cleaned[[#This Row],[Amount]]&gt;500,"High Value","Standard"),
    IF(Transactions_RAW_cleaned[[#This Row],[Amount]]&gt;250,"High Value","Standard")))</f>
        <v>High Value</v>
      </c>
      <c r="Q1141" s="5" t="str">
        <f>IF(Transactions_RAW_cleaned[[#This Row],[Amount]] &gt; (_xlfn.XLOOKUP(Transactions_RAW_cleaned[[#This Row],[ServiceID]],Services_cleaned[ServiceID],Services_cleaned[TransactionFeePct]) * 10000), "Yes", "No")</f>
        <v>Yes</v>
      </c>
      <c r="R1141" s="5" t="str">
        <f>IF(COUNTIFS($C$2:Transactions_RAW_cleaned[[#This Row],[CustomerID]],Transactions_RAW_cleaned[[#This Row],[CustomerID]],$D$2:Transactions_RAW_cleaned[[#This Row],[ServiceID]],Transactions_RAW_cleaned[[#This Row],[ServiceID]])=1,"Yes","No")</f>
        <v>Yes</v>
      </c>
      <c r="S114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41" t="str">
        <f>"Q"&amp;ROUNDUP(MONTH(Transactions_RAW_cleaned[[#This Row],[TransactionDate]])/3,0)</f>
        <v>Q3</v>
      </c>
      <c r="U1141" t="str">
        <f>Transactions_RAW_cleaned[[#This Row],[Region ]]&amp;Transactions_RAW_cleaned[[#This Row],[Quarter ]]</f>
        <v>NAQ3</v>
      </c>
      <c r="V1141" s="5">
        <f>_xlfn.XLOOKUP(Transactions_RAW_cleaned[[#This Row],[RegionQuarterKey]], Quarterly_Targets_cleaned[RegionQuarterKey], Quarterly_Targets_cleaned[TargetRevenue])</f>
        <v>273000</v>
      </c>
    </row>
    <row r="1142" spans="1:22" x14ac:dyDescent="0.25">
      <c r="A1142" t="s">
        <v>1475</v>
      </c>
      <c r="B1142" s="1">
        <v>45646</v>
      </c>
      <c r="C1142" t="s">
        <v>70</v>
      </c>
      <c r="D1142" t="s">
        <v>294</v>
      </c>
      <c r="E1142">
        <v>216.3</v>
      </c>
      <c r="F1142" t="s">
        <v>324</v>
      </c>
      <c r="G1142" t="s">
        <v>337</v>
      </c>
      <c r="I1142" t="s">
        <v>8</v>
      </c>
      <c r="J1142" t="s">
        <v>37</v>
      </c>
      <c r="K1142" t="s">
        <v>28</v>
      </c>
      <c r="L1142" t="s">
        <v>295</v>
      </c>
      <c r="M1142" t="s">
        <v>296</v>
      </c>
      <c r="N1142">
        <v>2.9000000000000001E-2</v>
      </c>
      <c r="O1142" t="str">
        <f>IF(Transactions_RAW_cleaned[[#This Row],[Status]]="Completed", IFERROR(_xlfn.XLOOKUP(Transactions_RAW_cleaned[[#This Row],[CustomerID]], Customers_cleaned[CustomerID], Customers_cleaned[Segment]), "Customer Not Found"), "N/A")</f>
        <v>SMB</v>
      </c>
      <c r="P1142" s="5" t="str">
        <f>IF(Transactions_RAW_cleaned[[#This Row],[Status]]="Refunded", "Refund",
  IF(Transactions_RAW_cleaned[[#This Row],[Category]]="Payments", IF(Transactions_RAW_cleaned[[#This Row],[Amount]]&gt;500,"High Value","Standard"),
    IF(Transactions_RAW_cleaned[[#This Row],[Amount]]&gt;250,"High Value","Standard")))</f>
        <v>Standard</v>
      </c>
      <c r="Q1142" s="5" t="str">
        <f>IF(Transactions_RAW_cleaned[[#This Row],[Amount]] &gt; (_xlfn.XLOOKUP(Transactions_RAW_cleaned[[#This Row],[ServiceID]],Services_cleaned[ServiceID],Services_cleaned[TransactionFeePct]) * 10000), "Yes", "No")</f>
        <v>No</v>
      </c>
      <c r="R1142" s="5" t="str">
        <f>IF(COUNTIFS($C$2:Transactions_RAW_cleaned[[#This Row],[CustomerID]],Transactions_RAW_cleaned[[#This Row],[CustomerID]],$D$2:Transactions_RAW_cleaned[[#This Row],[ServiceID]],Transactions_RAW_cleaned[[#This Row],[ServiceID]])=1,"Yes","No")</f>
        <v>No</v>
      </c>
      <c r="S114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142" t="str">
        <f>"Q"&amp;ROUNDUP(MONTH(Transactions_RAW_cleaned[[#This Row],[TransactionDate]])/3,0)</f>
        <v>Q4</v>
      </c>
      <c r="U1142" t="str">
        <f>Transactions_RAW_cleaned[[#This Row],[Region ]]&amp;Transactions_RAW_cleaned[[#This Row],[Quarter ]]</f>
        <v>EMEAQ4</v>
      </c>
      <c r="V1142" s="5">
        <f>_xlfn.XLOOKUP(Transactions_RAW_cleaned[[#This Row],[RegionQuarterKey]], Quarterly_Targets_cleaned[RegionQuarterKey], Quarterly_Targets_cleaned[TargetRevenue])</f>
        <v>161000</v>
      </c>
    </row>
    <row r="1143" spans="1:22" x14ac:dyDescent="0.25">
      <c r="A1143" t="s">
        <v>1476</v>
      </c>
      <c r="B1143" s="1">
        <v>45549</v>
      </c>
      <c r="C1143" t="s">
        <v>117</v>
      </c>
      <c r="D1143" t="s">
        <v>309</v>
      </c>
      <c r="E1143">
        <v>349.49</v>
      </c>
      <c r="F1143" t="s">
        <v>331</v>
      </c>
      <c r="G1143" t="s">
        <v>337</v>
      </c>
      <c r="I1143" t="s">
        <v>8</v>
      </c>
      <c r="J1143" t="s">
        <v>102</v>
      </c>
      <c r="K1143" t="s">
        <v>14</v>
      </c>
      <c r="L1143" t="s">
        <v>310</v>
      </c>
      <c r="M1143" t="s">
        <v>311</v>
      </c>
      <c r="N1143">
        <v>0</v>
      </c>
      <c r="O1143" t="str">
        <f>IF(Transactions_RAW_cleaned[[#This Row],[Status]]="Completed", IFERROR(_xlfn.XLOOKUP(Transactions_RAW_cleaned[[#This Row],[CustomerID]], Customers_cleaned[CustomerID], Customers_cleaned[Segment]), "Customer Not Found"), "N/A")</f>
        <v>N/A</v>
      </c>
      <c r="P1143" s="5" t="str">
        <f>IF(Transactions_RAW_cleaned[[#This Row],[Status]]="Refunded", "Refund",
  IF(Transactions_RAW_cleaned[[#This Row],[Category]]="Payments", IF(Transactions_RAW_cleaned[[#This Row],[Amount]]&gt;500,"High Value","Standard"),
    IF(Transactions_RAW_cleaned[[#This Row],[Amount]]&gt;250,"High Value","Standard")))</f>
        <v>High Value</v>
      </c>
      <c r="Q1143" s="5" t="str">
        <f>IF(Transactions_RAW_cleaned[[#This Row],[Amount]] &gt; (_xlfn.XLOOKUP(Transactions_RAW_cleaned[[#This Row],[ServiceID]],Services_cleaned[ServiceID],Services_cleaned[TransactionFeePct]) * 10000), "Yes", "No")</f>
        <v>Yes</v>
      </c>
      <c r="R1143" s="5" t="str">
        <f>IF(COUNTIFS($C$2:Transactions_RAW_cleaned[[#This Row],[CustomerID]],Transactions_RAW_cleaned[[#This Row],[CustomerID]],$D$2:Transactions_RAW_cleaned[[#This Row],[ServiceID]],Transactions_RAW_cleaned[[#This Row],[ServiceID]])=1,"Yes","No")</f>
        <v>No</v>
      </c>
      <c r="S114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43" t="str">
        <f>"Q"&amp;ROUNDUP(MONTH(Transactions_RAW_cleaned[[#This Row],[TransactionDate]])/3,0)</f>
        <v>Q3</v>
      </c>
      <c r="U1143" t="str">
        <f>Transactions_RAW_cleaned[[#This Row],[Region ]]&amp;Transactions_RAW_cleaned[[#This Row],[Quarter ]]</f>
        <v>NAQ3</v>
      </c>
      <c r="V1143" s="5">
        <f>_xlfn.XLOOKUP(Transactions_RAW_cleaned[[#This Row],[RegionQuarterKey]], Quarterly_Targets_cleaned[RegionQuarterKey], Quarterly_Targets_cleaned[TargetRevenue])</f>
        <v>273000</v>
      </c>
    </row>
    <row r="1144" spans="1:22" x14ac:dyDescent="0.25">
      <c r="A1144" t="s">
        <v>1477</v>
      </c>
      <c r="B1144" s="1">
        <v>45329</v>
      </c>
      <c r="C1144" t="s">
        <v>175</v>
      </c>
      <c r="D1144" t="s">
        <v>306</v>
      </c>
      <c r="E1144">
        <v>640.16</v>
      </c>
      <c r="F1144" t="s">
        <v>381</v>
      </c>
      <c r="G1144" t="s">
        <v>325</v>
      </c>
      <c r="H1144" t="s">
        <v>332</v>
      </c>
      <c r="I1144" t="s">
        <v>8</v>
      </c>
      <c r="J1144" t="s">
        <v>31</v>
      </c>
      <c r="K1144" t="s">
        <v>32</v>
      </c>
      <c r="L1144" t="s">
        <v>307</v>
      </c>
      <c r="M1144" t="s">
        <v>308</v>
      </c>
      <c r="N1144">
        <v>0</v>
      </c>
      <c r="O1144" t="str">
        <f>IF(Transactions_RAW_cleaned[[#This Row],[Status]]="Completed", IFERROR(_xlfn.XLOOKUP(Transactions_RAW_cleaned[[#This Row],[CustomerID]], Customers_cleaned[CustomerID], Customers_cleaned[Segment]), "Customer Not Found"), "N/A")</f>
        <v>N/A</v>
      </c>
      <c r="P1144" s="5" t="str">
        <f>IF(Transactions_RAW_cleaned[[#This Row],[Status]]="Refunded", "Refund",
  IF(Transactions_RAW_cleaned[[#This Row],[Category]]="Payments", IF(Transactions_RAW_cleaned[[#This Row],[Amount]]&gt;500,"High Value","Standard"),
    IF(Transactions_RAW_cleaned[[#This Row],[Amount]]&gt;250,"High Value","Standard")))</f>
        <v>High Value</v>
      </c>
      <c r="Q1144" s="5" t="str">
        <f>IF(Transactions_RAW_cleaned[[#This Row],[Amount]] &gt; (_xlfn.XLOOKUP(Transactions_RAW_cleaned[[#This Row],[ServiceID]],Services_cleaned[ServiceID],Services_cleaned[TransactionFeePct]) * 10000), "Yes", "No")</f>
        <v>Yes</v>
      </c>
      <c r="R1144" s="5" t="str">
        <f>IF(COUNTIFS($C$2:Transactions_RAW_cleaned[[#This Row],[CustomerID]],Transactions_RAW_cleaned[[#This Row],[CustomerID]],$D$2:Transactions_RAW_cleaned[[#This Row],[ServiceID]],Transactions_RAW_cleaned[[#This Row],[ServiceID]])=1,"Yes","No")</f>
        <v>No</v>
      </c>
      <c r="S114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144" t="str">
        <f>"Q"&amp;ROUNDUP(MONTH(Transactions_RAW_cleaned[[#This Row],[TransactionDate]])/3,0)</f>
        <v>Q1</v>
      </c>
      <c r="U1144" t="str">
        <f>Transactions_RAW_cleaned[[#This Row],[Region ]]&amp;Transactions_RAW_cleaned[[#This Row],[Quarter ]]</f>
        <v>EMEAQ1</v>
      </c>
      <c r="V1144" s="5">
        <f>_xlfn.XLOOKUP(Transactions_RAW_cleaned[[#This Row],[RegionQuarterKey]], Quarterly_Targets_cleaned[RegionQuarterKey], Quarterly_Targets_cleaned[TargetRevenue])</f>
        <v>133000</v>
      </c>
    </row>
    <row r="1145" spans="1:22" x14ac:dyDescent="0.25">
      <c r="A1145" t="s">
        <v>1478</v>
      </c>
      <c r="B1145" s="1">
        <v>45434</v>
      </c>
      <c r="C1145" t="s">
        <v>109</v>
      </c>
      <c r="D1145" t="s">
        <v>300</v>
      </c>
      <c r="E1145">
        <v>218.66</v>
      </c>
      <c r="F1145" t="s">
        <v>331</v>
      </c>
      <c r="G1145" t="s">
        <v>337</v>
      </c>
      <c r="I1145" t="s">
        <v>8</v>
      </c>
      <c r="J1145" t="s">
        <v>102</v>
      </c>
      <c r="K1145" t="s">
        <v>18</v>
      </c>
      <c r="L1145" t="s">
        <v>301</v>
      </c>
      <c r="M1145" t="s">
        <v>302</v>
      </c>
      <c r="N1145">
        <v>5.0000000000000001E-3</v>
      </c>
      <c r="O1145" t="str">
        <f>IF(Transactions_RAW_cleaned[[#This Row],[Status]]="Completed", IFERROR(_xlfn.XLOOKUP(Transactions_RAW_cleaned[[#This Row],[CustomerID]], Customers_cleaned[CustomerID], Customers_cleaned[Segment]), "Customer Not Found"), "N/A")</f>
        <v>N/A</v>
      </c>
      <c r="P1145" s="5" t="str">
        <f>IF(Transactions_RAW_cleaned[[#This Row],[Status]]="Refunded", "Refund",
  IF(Transactions_RAW_cleaned[[#This Row],[Category]]="Payments", IF(Transactions_RAW_cleaned[[#This Row],[Amount]]&gt;500,"High Value","Standard"),
    IF(Transactions_RAW_cleaned[[#This Row],[Amount]]&gt;250,"High Value","Standard")))</f>
        <v>Standard</v>
      </c>
      <c r="Q1145" s="5" t="str">
        <f>IF(Transactions_RAW_cleaned[[#This Row],[Amount]] &gt; (_xlfn.XLOOKUP(Transactions_RAW_cleaned[[#This Row],[ServiceID]],Services_cleaned[ServiceID],Services_cleaned[TransactionFeePct]) * 10000), "Yes", "No")</f>
        <v>Yes</v>
      </c>
      <c r="R1145" s="5" t="str">
        <f>IF(COUNTIFS($C$2:Transactions_RAW_cleaned[[#This Row],[CustomerID]],Transactions_RAW_cleaned[[#This Row],[CustomerID]],$D$2:Transactions_RAW_cleaned[[#This Row],[ServiceID]],Transactions_RAW_cleaned[[#This Row],[ServiceID]])=1,"Yes","No")</f>
        <v>No</v>
      </c>
      <c r="S114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45" t="str">
        <f>"Q"&amp;ROUNDUP(MONTH(Transactions_RAW_cleaned[[#This Row],[TransactionDate]])/3,0)</f>
        <v>Q2</v>
      </c>
      <c r="U1145" t="str">
        <f>Transactions_RAW_cleaned[[#This Row],[Region ]]&amp;Transactions_RAW_cleaned[[#This Row],[Quarter ]]</f>
        <v>NAQ2</v>
      </c>
      <c r="V1145" s="5">
        <f>_xlfn.XLOOKUP(Transactions_RAW_cleaned[[#This Row],[RegionQuarterKey]], Quarterly_Targets_cleaned[RegionQuarterKey], Quarterly_Targets_cleaned[TargetRevenue])</f>
        <v>260000</v>
      </c>
    </row>
    <row r="1146" spans="1:22" x14ac:dyDescent="0.25">
      <c r="A1146" t="s">
        <v>1479</v>
      </c>
      <c r="B1146" s="1">
        <v>45320</v>
      </c>
      <c r="C1146" t="s">
        <v>233</v>
      </c>
      <c r="D1146" t="s">
        <v>312</v>
      </c>
      <c r="E1146">
        <v>441.3</v>
      </c>
      <c r="F1146" t="s">
        <v>324</v>
      </c>
      <c r="G1146" t="s">
        <v>325</v>
      </c>
      <c r="I1146" t="s">
        <v>8</v>
      </c>
      <c r="J1146" t="s">
        <v>13</v>
      </c>
      <c r="K1146" t="s">
        <v>14</v>
      </c>
      <c r="L1146" t="s">
        <v>313</v>
      </c>
      <c r="M1146" t="s">
        <v>314</v>
      </c>
      <c r="N1146">
        <v>0</v>
      </c>
      <c r="O1146" t="str">
        <f>IF(Transactions_RAW_cleaned[[#This Row],[Status]]="Completed", IFERROR(_xlfn.XLOOKUP(Transactions_RAW_cleaned[[#This Row],[CustomerID]], Customers_cleaned[CustomerID], Customers_cleaned[Segment]), "Customer Not Found"), "N/A")</f>
        <v>SMB</v>
      </c>
      <c r="P1146" s="5" t="str">
        <f>IF(Transactions_RAW_cleaned[[#This Row],[Status]]="Refunded", "Refund",
  IF(Transactions_RAW_cleaned[[#This Row],[Category]]="Payments", IF(Transactions_RAW_cleaned[[#This Row],[Amount]]&gt;500,"High Value","Standard"),
    IF(Transactions_RAW_cleaned[[#This Row],[Amount]]&gt;250,"High Value","Standard")))</f>
        <v>High Value</v>
      </c>
      <c r="Q1146" s="5" t="str">
        <f>IF(Transactions_RAW_cleaned[[#This Row],[Amount]] &gt; (_xlfn.XLOOKUP(Transactions_RAW_cleaned[[#This Row],[ServiceID]],Services_cleaned[ServiceID],Services_cleaned[TransactionFeePct]) * 10000), "Yes", "No")</f>
        <v>Yes</v>
      </c>
      <c r="R1146" s="5" t="str">
        <f>IF(COUNTIFS($C$2:Transactions_RAW_cleaned[[#This Row],[CustomerID]],Transactions_RAW_cleaned[[#This Row],[CustomerID]],$D$2:Transactions_RAW_cleaned[[#This Row],[ServiceID]],Transactions_RAW_cleaned[[#This Row],[ServiceID]])=1,"Yes","No")</f>
        <v>Yes</v>
      </c>
      <c r="S114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46" t="str">
        <f>"Q"&amp;ROUNDUP(MONTH(Transactions_RAW_cleaned[[#This Row],[TransactionDate]])/3,0)</f>
        <v>Q1</v>
      </c>
      <c r="U1146" t="str">
        <f>Transactions_RAW_cleaned[[#This Row],[Region ]]&amp;Transactions_RAW_cleaned[[#This Row],[Quarter ]]</f>
        <v>NAQ1</v>
      </c>
      <c r="V1146" s="5">
        <f>_xlfn.XLOOKUP(Transactions_RAW_cleaned[[#This Row],[RegionQuarterKey]], Quarterly_Targets_cleaned[RegionQuarterKey], Quarterly_Targets_cleaned[TargetRevenue])</f>
        <v>247000</v>
      </c>
    </row>
    <row r="1147" spans="1:22" x14ac:dyDescent="0.25">
      <c r="A1147" t="s">
        <v>1480</v>
      </c>
      <c r="B1147" s="1">
        <v>45511</v>
      </c>
      <c r="C1147" t="s">
        <v>275</v>
      </c>
      <c r="D1147" t="s">
        <v>294</v>
      </c>
      <c r="E1147">
        <v>443.8</v>
      </c>
      <c r="F1147" t="s">
        <v>324</v>
      </c>
      <c r="G1147" t="s">
        <v>337</v>
      </c>
      <c r="I1147" t="s">
        <v>57</v>
      </c>
      <c r="J1147" t="s">
        <v>13</v>
      </c>
      <c r="K1147" t="s">
        <v>22</v>
      </c>
      <c r="L1147" t="s">
        <v>295</v>
      </c>
      <c r="M1147" t="s">
        <v>296</v>
      </c>
      <c r="N1147">
        <v>2.9000000000000001E-2</v>
      </c>
      <c r="O1147" t="str">
        <f>IF(Transactions_RAW_cleaned[[#This Row],[Status]]="Completed", IFERROR(_xlfn.XLOOKUP(Transactions_RAW_cleaned[[#This Row],[CustomerID]], Customers_cleaned[CustomerID], Customers_cleaned[Segment]), "Customer Not Found"), "N/A")</f>
        <v>Startup</v>
      </c>
      <c r="P1147" s="5" t="str">
        <f>IF(Transactions_RAW_cleaned[[#This Row],[Status]]="Refunded", "Refund",
  IF(Transactions_RAW_cleaned[[#This Row],[Category]]="Payments", IF(Transactions_RAW_cleaned[[#This Row],[Amount]]&gt;500,"High Value","Standard"),
    IF(Transactions_RAW_cleaned[[#This Row],[Amount]]&gt;250,"High Value","Standard")))</f>
        <v>Standard</v>
      </c>
      <c r="Q1147" s="5" t="str">
        <f>IF(Transactions_RAW_cleaned[[#This Row],[Amount]] &gt; (_xlfn.XLOOKUP(Transactions_RAW_cleaned[[#This Row],[ServiceID]],Services_cleaned[ServiceID],Services_cleaned[TransactionFeePct]) * 10000), "Yes", "No")</f>
        <v>Yes</v>
      </c>
      <c r="R1147" s="5" t="str">
        <f>IF(COUNTIFS($C$2:Transactions_RAW_cleaned[[#This Row],[CustomerID]],Transactions_RAW_cleaned[[#This Row],[CustomerID]],$D$2:Transactions_RAW_cleaned[[#This Row],[ServiceID]],Transactions_RAW_cleaned[[#This Row],[ServiceID]])=1,"Yes","No")</f>
        <v>No</v>
      </c>
      <c r="S114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47" t="str">
        <f>"Q"&amp;ROUNDUP(MONTH(Transactions_RAW_cleaned[[#This Row],[TransactionDate]])/3,0)</f>
        <v>Q3</v>
      </c>
      <c r="U1147" t="str">
        <f>Transactions_RAW_cleaned[[#This Row],[Region ]]&amp;Transactions_RAW_cleaned[[#This Row],[Quarter ]]</f>
        <v>NAQ3</v>
      </c>
      <c r="V1147" s="5">
        <f>_xlfn.XLOOKUP(Transactions_RAW_cleaned[[#This Row],[RegionQuarterKey]], Quarterly_Targets_cleaned[RegionQuarterKey], Quarterly_Targets_cleaned[TargetRevenue])</f>
        <v>273000</v>
      </c>
    </row>
    <row r="1148" spans="1:22" x14ac:dyDescent="0.25">
      <c r="A1148" t="s">
        <v>1481</v>
      </c>
      <c r="B1148" s="1">
        <v>45335</v>
      </c>
      <c r="C1148" t="s">
        <v>209</v>
      </c>
      <c r="D1148" t="s">
        <v>294</v>
      </c>
      <c r="E1148">
        <v>1565.21</v>
      </c>
      <c r="F1148" t="s">
        <v>324</v>
      </c>
      <c r="G1148" t="s">
        <v>327</v>
      </c>
      <c r="I1148" t="s">
        <v>17</v>
      </c>
      <c r="J1148" t="s">
        <v>102</v>
      </c>
      <c r="K1148" t="s">
        <v>22</v>
      </c>
      <c r="L1148" t="s">
        <v>295</v>
      </c>
      <c r="M1148" t="s">
        <v>296</v>
      </c>
      <c r="N1148">
        <v>2.9000000000000001E-2</v>
      </c>
      <c r="O1148" t="str">
        <f>IF(Transactions_RAW_cleaned[[#This Row],[Status]]="Completed", IFERROR(_xlfn.XLOOKUP(Transactions_RAW_cleaned[[#This Row],[CustomerID]], Customers_cleaned[CustomerID], Customers_cleaned[Segment]), "Customer Not Found"), "N/A")</f>
        <v>Enterprise</v>
      </c>
      <c r="P1148" s="5" t="str">
        <f>IF(Transactions_RAW_cleaned[[#This Row],[Status]]="Refunded", "Refund",
  IF(Transactions_RAW_cleaned[[#This Row],[Category]]="Payments", IF(Transactions_RAW_cleaned[[#This Row],[Amount]]&gt;500,"High Value","Standard"),
    IF(Transactions_RAW_cleaned[[#This Row],[Amount]]&gt;250,"High Value","Standard")))</f>
        <v>High Value</v>
      </c>
      <c r="Q1148" s="5" t="str">
        <f>IF(Transactions_RAW_cleaned[[#This Row],[Amount]] &gt; (_xlfn.XLOOKUP(Transactions_RAW_cleaned[[#This Row],[ServiceID]],Services_cleaned[ServiceID],Services_cleaned[TransactionFeePct]) * 10000), "Yes", "No")</f>
        <v>Yes</v>
      </c>
      <c r="R1148" s="5" t="str">
        <f>IF(COUNTIFS($C$2:Transactions_RAW_cleaned[[#This Row],[CustomerID]],Transactions_RAW_cleaned[[#This Row],[CustomerID]],$D$2:Transactions_RAW_cleaned[[#This Row],[ServiceID]],Transactions_RAW_cleaned[[#This Row],[ServiceID]])=1,"Yes","No")</f>
        <v>No</v>
      </c>
      <c r="S114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48" t="str">
        <f>"Q"&amp;ROUNDUP(MONTH(Transactions_RAW_cleaned[[#This Row],[TransactionDate]])/3,0)</f>
        <v>Q1</v>
      </c>
      <c r="U1148" t="str">
        <f>Transactions_RAW_cleaned[[#This Row],[Region ]]&amp;Transactions_RAW_cleaned[[#This Row],[Quarter ]]</f>
        <v>NAQ1</v>
      </c>
      <c r="V1148" s="5">
        <f>_xlfn.XLOOKUP(Transactions_RAW_cleaned[[#This Row],[RegionQuarterKey]], Quarterly_Targets_cleaned[RegionQuarterKey], Quarterly_Targets_cleaned[TargetRevenue])</f>
        <v>247000</v>
      </c>
    </row>
    <row r="1149" spans="1:22" x14ac:dyDescent="0.25">
      <c r="A1149" t="s">
        <v>1482</v>
      </c>
      <c r="B1149" s="1">
        <v>45426</v>
      </c>
      <c r="C1149" t="s">
        <v>26</v>
      </c>
      <c r="D1149" t="s">
        <v>294</v>
      </c>
      <c r="E1149">
        <v>618.91</v>
      </c>
      <c r="F1149" t="s">
        <v>331</v>
      </c>
      <c r="G1149" t="s">
        <v>329</v>
      </c>
      <c r="H1149" t="s">
        <v>346</v>
      </c>
      <c r="I1149" t="s">
        <v>8</v>
      </c>
      <c r="J1149" t="s">
        <v>102</v>
      </c>
      <c r="K1149" t="s">
        <v>28</v>
      </c>
      <c r="L1149" t="s">
        <v>295</v>
      </c>
      <c r="M1149" t="s">
        <v>296</v>
      </c>
      <c r="N1149">
        <v>2.9000000000000001E-2</v>
      </c>
      <c r="O1149" t="str">
        <f>IF(Transactions_RAW_cleaned[[#This Row],[Status]]="Completed", IFERROR(_xlfn.XLOOKUP(Transactions_RAW_cleaned[[#This Row],[CustomerID]], Customers_cleaned[CustomerID], Customers_cleaned[Segment]), "Customer Not Found"), "N/A")</f>
        <v>N/A</v>
      </c>
      <c r="P1149" s="5" t="str">
        <f>IF(Transactions_RAW_cleaned[[#This Row],[Status]]="Refunded", "Refund",
  IF(Transactions_RAW_cleaned[[#This Row],[Category]]="Payments", IF(Transactions_RAW_cleaned[[#This Row],[Amount]]&gt;500,"High Value","Standard"),
    IF(Transactions_RAW_cleaned[[#This Row],[Amount]]&gt;250,"High Value","Standard")))</f>
        <v>High Value</v>
      </c>
      <c r="Q1149" s="5" t="str">
        <f>IF(Transactions_RAW_cleaned[[#This Row],[Amount]] &gt; (_xlfn.XLOOKUP(Transactions_RAW_cleaned[[#This Row],[ServiceID]],Services_cleaned[ServiceID],Services_cleaned[TransactionFeePct]) * 10000), "Yes", "No")</f>
        <v>Yes</v>
      </c>
      <c r="R1149" s="5" t="str">
        <f>IF(COUNTIFS($C$2:Transactions_RAW_cleaned[[#This Row],[CustomerID]],Transactions_RAW_cleaned[[#This Row],[CustomerID]],$D$2:Transactions_RAW_cleaned[[#This Row],[ServiceID]],Transactions_RAW_cleaned[[#This Row],[ServiceID]])=1,"Yes","No")</f>
        <v>No</v>
      </c>
      <c r="S114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49" t="str">
        <f>"Q"&amp;ROUNDUP(MONTH(Transactions_RAW_cleaned[[#This Row],[TransactionDate]])/3,0)</f>
        <v>Q2</v>
      </c>
      <c r="U1149" t="str">
        <f>Transactions_RAW_cleaned[[#This Row],[Region ]]&amp;Transactions_RAW_cleaned[[#This Row],[Quarter ]]</f>
        <v>NAQ2</v>
      </c>
      <c r="V1149" s="5">
        <f>_xlfn.XLOOKUP(Transactions_RAW_cleaned[[#This Row],[RegionQuarterKey]], Quarterly_Targets_cleaned[RegionQuarterKey], Quarterly_Targets_cleaned[TargetRevenue])</f>
        <v>260000</v>
      </c>
    </row>
    <row r="1150" spans="1:22" x14ac:dyDescent="0.25">
      <c r="A1150" t="s">
        <v>1483</v>
      </c>
      <c r="B1150" s="1">
        <v>45524</v>
      </c>
      <c r="C1150" t="s">
        <v>153</v>
      </c>
      <c r="D1150" t="s">
        <v>306</v>
      </c>
      <c r="E1150">
        <v>57.57</v>
      </c>
      <c r="F1150" t="s">
        <v>324</v>
      </c>
      <c r="G1150" t="s">
        <v>325</v>
      </c>
      <c r="I1150" t="s">
        <v>8</v>
      </c>
      <c r="J1150" t="s">
        <v>37</v>
      </c>
      <c r="K1150" t="s">
        <v>32</v>
      </c>
      <c r="L1150" t="s">
        <v>307</v>
      </c>
      <c r="M1150" t="s">
        <v>308</v>
      </c>
      <c r="N1150">
        <v>0</v>
      </c>
      <c r="O1150" t="str">
        <f>IF(Transactions_RAW_cleaned[[#This Row],[Status]]="Completed", IFERROR(_xlfn.XLOOKUP(Transactions_RAW_cleaned[[#This Row],[CustomerID]], Customers_cleaned[CustomerID], Customers_cleaned[Segment]), "Customer Not Found"), "N/A")</f>
        <v>SMB</v>
      </c>
      <c r="P1150" s="5" t="str">
        <f>IF(Transactions_RAW_cleaned[[#This Row],[Status]]="Refunded", "Refund",
  IF(Transactions_RAW_cleaned[[#This Row],[Category]]="Payments", IF(Transactions_RAW_cleaned[[#This Row],[Amount]]&gt;500,"High Value","Standard"),
    IF(Transactions_RAW_cleaned[[#This Row],[Amount]]&gt;250,"High Value","Standard")))</f>
        <v>Standard</v>
      </c>
      <c r="Q1150" s="5" t="str">
        <f>IF(Transactions_RAW_cleaned[[#This Row],[Amount]] &gt; (_xlfn.XLOOKUP(Transactions_RAW_cleaned[[#This Row],[ServiceID]],Services_cleaned[ServiceID],Services_cleaned[TransactionFeePct]) * 10000), "Yes", "No")</f>
        <v>Yes</v>
      </c>
      <c r="R1150" s="5" t="str">
        <f>IF(COUNTIFS($C$2:Transactions_RAW_cleaned[[#This Row],[CustomerID]],Transactions_RAW_cleaned[[#This Row],[CustomerID]],$D$2:Transactions_RAW_cleaned[[#This Row],[ServiceID]],Transactions_RAW_cleaned[[#This Row],[ServiceID]])=1,"Yes","No")</f>
        <v>Yes</v>
      </c>
      <c r="S115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150" t="str">
        <f>"Q"&amp;ROUNDUP(MONTH(Transactions_RAW_cleaned[[#This Row],[TransactionDate]])/3,0)</f>
        <v>Q3</v>
      </c>
      <c r="U1150" t="str">
        <f>Transactions_RAW_cleaned[[#This Row],[Region ]]&amp;Transactions_RAW_cleaned[[#This Row],[Quarter ]]</f>
        <v>EMEAQ3</v>
      </c>
      <c r="V1150" s="5">
        <f>_xlfn.XLOOKUP(Transactions_RAW_cleaned[[#This Row],[RegionQuarterKey]], Quarterly_Targets_cleaned[RegionQuarterKey], Quarterly_Targets_cleaned[TargetRevenue])</f>
        <v>147000</v>
      </c>
    </row>
    <row r="1151" spans="1:22" x14ac:dyDescent="0.25">
      <c r="A1151" t="s">
        <v>1484</v>
      </c>
      <c r="B1151" s="1">
        <v>45363</v>
      </c>
      <c r="C1151" t="s">
        <v>223</v>
      </c>
      <c r="D1151" t="s">
        <v>306</v>
      </c>
      <c r="E1151">
        <v>143.13</v>
      </c>
      <c r="F1151" t="s">
        <v>324</v>
      </c>
      <c r="G1151" t="s">
        <v>327</v>
      </c>
      <c r="H1151" t="s">
        <v>334</v>
      </c>
      <c r="I1151" t="s">
        <v>8</v>
      </c>
      <c r="J1151" t="s">
        <v>102</v>
      </c>
      <c r="K1151" t="s">
        <v>28</v>
      </c>
      <c r="L1151" t="s">
        <v>307</v>
      </c>
      <c r="M1151" t="s">
        <v>308</v>
      </c>
      <c r="N1151">
        <v>0</v>
      </c>
      <c r="O1151" t="str">
        <f>IF(Transactions_RAW_cleaned[[#This Row],[Status]]="Completed", IFERROR(_xlfn.XLOOKUP(Transactions_RAW_cleaned[[#This Row],[CustomerID]], Customers_cleaned[CustomerID], Customers_cleaned[Segment]), "Customer Not Found"), "N/A")</f>
        <v>SMB</v>
      </c>
      <c r="P1151" s="5" t="str">
        <f>IF(Transactions_RAW_cleaned[[#This Row],[Status]]="Refunded", "Refund",
  IF(Transactions_RAW_cleaned[[#This Row],[Category]]="Payments", IF(Transactions_RAW_cleaned[[#This Row],[Amount]]&gt;500,"High Value","Standard"),
    IF(Transactions_RAW_cleaned[[#This Row],[Amount]]&gt;250,"High Value","Standard")))</f>
        <v>Standard</v>
      </c>
      <c r="Q1151" s="5" t="str">
        <f>IF(Transactions_RAW_cleaned[[#This Row],[Amount]] &gt; (_xlfn.XLOOKUP(Transactions_RAW_cleaned[[#This Row],[ServiceID]],Services_cleaned[ServiceID],Services_cleaned[TransactionFeePct]) * 10000), "Yes", "No")</f>
        <v>Yes</v>
      </c>
      <c r="R1151" s="5" t="str">
        <f>IF(COUNTIFS($C$2:Transactions_RAW_cleaned[[#This Row],[CustomerID]],Transactions_RAW_cleaned[[#This Row],[CustomerID]],$D$2:Transactions_RAW_cleaned[[#This Row],[ServiceID]],Transactions_RAW_cleaned[[#This Row],[ServiceID]])=1,"Yes","No")</f>
        <v>No</v>
      </c>
      <c r="S115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51" t="str">
        <f>"Q"&amp;ROUNDUP(MONTH(Transactions_RAW_cleaned[[#This Row],[TransactionDate]])/3,0)</f>
        <v>Q1</v>
      </c>
      <c r="U1151" t="str">
        <f>Transactions_RAW_cleaned[[#This Row],[Region ]]&amp;Transactions_RAW_cleaned[[#This Row],[Quarter ]]</f>
        <v>NAQ1</v>
      </c>
      <c r="V1151" s="5">
        <f>_xlfn.XLOOKUP(Transactions_RAW_cleaned[[#This Row],[RegionQuarterKey]], Quarterly_Targets_cleaned[RegionQuarterKey], Quarterly_Targets_cleaned[TargetRevenue])</f>
        <v>247000</v>
      </c>
    </row>
    <row r="1152" spans="1:22" x14ac:dyDescent="0.25">
      <c r="A1152" t="s">
        <v>1485</v>
      </c>
      <c r="B1152" s="1">
        <v>45397</v>
      </c>
      <c r="C1152" t="s">
        <v>105</v>
      </c>
      <c r="D1152" t="s">
        <v>303</v>
      </c>
      <c r="E1152">
        <v>405.2</v>
      </c>
      <c r="F1152" t="s">
        <v>331</v>
      </c>
      <c r="G1152" t="s">
        <v>325</v>
      </c>
      <c r="H1152" t="s">
        <v>346</v>
      </c>
      <c r="I1152" t="s">
        <v>57</v>
      </c>
      <c r="J1152" t="s">
        <v>102</v>
      </c>
      <c r="K1152" t="s">
        <v>32</v>
      </c>
      <c r="L1152" t="s">
        <v>304</v>
      </c>
      <c r="M1152" t="s">
        <v>305</v>
      </c>
      <c r="N1152">
        <v>1E-3</v>
      </c>
      <c r="O1152" t="str">
        <f>IF(Transactions_RAW_cleaned[[#This Row],[Status]]="Completed", IFERROR(_xlfn.XLOOKUP(Transactions_RAW_cleaned[[#This Row],[CustomerID]], Customers_cleaned[CustomerID], Customers_cleaned[Segment]), "Customer Not Found"), "N/A")</f>
        <v>N/A</v>
      </c>
      <c r="P1152" s="5" t="str">
        <f>IF(Transactions_RAW_cleaned[[#This Row],[Status]]="Refunded", "Refund",
  IF(Transactions_RAW_cleaned[[#This Row],[Category]]="Payments", IF(Transactions_RAW_cleaned[[#This Row],[Amount]]&gt;500,"High Value","Standard"),
    IF(Transactions_RAW_cleaned[[#This Row],[Amount]]&gt;250,"High Value","Standard")))</f>
        <v>High Value</v>
      </c>
      <c r="Q1152" s="5" t="str">
        <f>IF(Transactions_RAW_cleaned[[#This Row],[Amount]] &gt; (_xlfn.XLOOKUP(Transactions_RAW_cleaned[[#This Row],[ServiceID]],Services_cleaned[ServiceID],Services_cleaned[TransactionFeePct]) * 10000), "Yes", "No")</f>
        <v>Yes</v>
      </c>
      <c r="R1152" s="5" t="str">
        <f>IF(COUNTIFS($C$2:Transactions_RAW_cleaned[[#This Row],[CustomerID]],Transactions_RAW_cleaned[[#This Row],[CustomerID]],$D$2:Transactions_RAW_cleaned[[#This Row],[ServiceID]],Transactions_RAW_cleaned[[#This Row],[ServiceID]])=1,"Yes","No")</f>
        <v>No</v>
      </c>
      <c r="S115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52" t="str">
        <f>"Q"&amp;ROUNDUP(MONTH(Transactions_RAW_cleaned[[#This Row],[TransactionDate]])/3,0)</f>
        <v>Q2</v>
      </c>
      <c r="U1152" t="str">
        <f>Transactions_RAW_cleaned[[#This Row],[Region ]]&amp;Transactions_RAW_cleaned[[#This Row],[Quarter ]]</f>
        <v>NAQ2</v>
      </c>
      <c r="V1152" s="5">
        <f>_xlfn.XLOOKUP(Transactions_RAW_cleaned[[#This Row],[RegionQuarterKey]], Quarterly_Targets_cleaned[RegionQuarterKey], Quarterly_Targets_cleaned[TargetRevenue])</f>
        <v>260000</v>
      </c>
    </row>
    <row r="1153" spans="1:22" x14ac:dyDescent="0.25">
      <c r="A1153" t="s">
        <v>1486</v>
      </c>
      <c r="B1153" s="1">
        <v>45458</v>
      </c>
      <c r="C1153" t="s">
        <v>247</v>
      </c>
      <c r="D1153" t="s">
        <v>294</v>
      </c>
      <c r="E1153">
        <v>385.96</v>
      </c>
      <c r="F1153" t="s">
        <v>324</v>
      </c>
      <c r="G1153" t="s">
        <v>327</v>
      </c>
      <c r="H1153" t="s">
        <v>346</v>
      </c>
      <c r="I1153" t="s">
        <v>17</v>
      </c>
      <c r="J1153" t="s">
        <v>13</v>
      </c>
      <c r="K1153" t="s">
        <v>28</v>
      </c>
      <c r="L1153" t="s">
        <v>295</v>
      </c>
      <c r="M1153" t="s">
        <v>296</v>
      </c>
      <c r="N1153">
        <v>2.9000000000000001E-2</v>
      </c>
      <c r="O1153" t="str">
        <f>IF(Transactions_RAW_cleaned[[#This Row],[Status]]="Completed", IFERROR(_xlfn.XLOOKUP(Transactions_RAW_cleaned[[#This Row],[CustomerID]], Customers_cleaned[CustomerID], Customers_cleaned[Segment]), "Customer Not Found"), "N/A")</f>
        <v>Enterprise</v>
      </c>
      <c r="P1153" s="5" t="str">
        <f>IF(Transactions_RAW_cleaned[[#This Row],[Status]]="Refunded", "Refund",
  IF(Transactions_RAW_cleaned[[#This Row],[Category]]="Payments", IF(Transactions_RAW_cleaned[[#This Row],[Amount]]&gt;500,"High Value","Standard"),
    IF(Transactions_RAW_cleaned[[#This Row],[Amount]]&gt;250,"High Value","Standard")))</f>
        <v>Standard</v>
      </c>
      <c r="Q1153" s="5" t="str">
        <f>IF(Transactions_RAW_cleaned[[#This Row],[Amount]] &gt; (_xlfn.XLOOKUP(Transactions_RAW_cleaned[[#This Row],[ServiceID]],Services_cleaned[ServiceID],Services_cleaned[TransactionFeePct]) * 10000), "Yes", "No")</f>
        <v>Yes</v>
      </c>
      <c r="R1153" s="5" t="str">
        <f>IF(COUNTIFS($C$2:Transactions_RAW_cleaned[[#This Row],[CustomerID]],Transactions_RAW_cleaned[[#This Row],[CustomerID]],$D$2:Transactions_RAW_cleaned[[#This Row],[ServiceID]],Transactions_RAW_cleaned[[#This Row],[ServiceID]])=1,"Yes","No")</f>
        <v>No</v>
      </c>
      <c r="S115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53" t="str">
        <f>"Q"&amp;ROUNDUP(MONTH(Transactions_RAW_cleaned[[#This Row],[TransactionDate]])/3,0)</f>
        <v>Q2</v>
      </c>
      <c r="U1153" t="str">
        <f>Transactions_RAW_cleaned[[#This Row],[Region ]]&amp;Transactions_RAW_cleaned[[#This Row],[Quarter ]]</f>
        <v>NAQ2</v>
      </c>
      <c r="V1153" s="5">
        <f>_xlfn.XLOOKUP(Transactions_RAW_cleaned[[#This Row],[RegionQuarterKey]], Quarterly_Targets_cleaned[RegionQuarterKey], Quarterly_Targets_cleaned[TargetRevenue])</f>
        <v>260000</v>
      </c>
    </row>
    <row r="1154" spans="1:22" x14ac:dyDescent="0.25">
      <c r="A1154" t="s">
        <v>1487</v>
      </c>
      <c r="B1154" s="1">
        <v>45342</v>
      </c>
      <c r="C1154" t="s">
        <v>42</v>
      </c>
      <c r="D1154" t="s">
        <v>312</v>
      </c>
      <c r="E1154">
        <v>332.23</v>
      </c>
      <c r="F1154" t="s">
        <v>324</v>
      </c>
      <c r="G1154" t="s">
        <v>325</v>
      </c>
      <c r="I1154" t="s">
        <v>8</v>
      </c>
      <c r="J1154" t="s">
        <v>102</v>
      </c>
      <c r="K1154" t="s">
        <v>10</v>
      </c>
      <c r="L1154" t="s">
        <v>313</v>
      </c>
      <c r="M1154" t="s">
        <v>314</v>
      </c>
      <c r="N1154">
        <v>0</v>
      </c>
      <c r="O1154" t="str">
        <f>IF(Transactions_RAW_cleaned[[#This Row],[Status]]="Completed", IFERROR(_xlfn.XLOOKUP(Transactions_RAW_cleaned[[#This Row],[CustomerID]], Customers_cleaned[CustomerID], Customers_cleaned[Segment]), "Customer Not Found"), "N/A")</f>
        <v>SMB</v>
      </c>
      <c r="P1154" s="5" t="str">
        <f>IF(Transactions_RAW_cleaned[[#This Row],[Status]]="Refunded", "Refund",
  IF(Transactions_RAW_cleaned[[#This Row],[Category]]="Payments", IF(Transactions_RAW_cleaned[[#This Row],[Amount]]&gt;500,"High Value","Standard"),
    IF(Transactions_RAW_cleaned[[#This Row],[Amount]]&gt;250,"High Value","Standard")))</f>
        <v>High Value</v>
      </c>
      <c r="Q1154" s="5" t="str">
        <f>IF(Transactions_RAW_cleaned[[#This Row],[Amount]] &gt; (_xlfn.XLOOKUP(Transactions_RAW_cleaned[[#This Row],[ServiceID]],Services_cleaned[ServiceID],Services_cleaned[TransactionFeePct]) * 10000), "Yes", "No")</f>
        <v>Yes</v>
      </c>
      <c r="R1154" s="5" t="str">
        <f>IF(COUNTIFS($C$2:Transactions_RAW_cleaned[[#This Row],[CustomerID]],Transactions_RAW_cleaned[[#This Row],[CustomerID]],$D$2:Transactions_RAW_cleaned[[#This Row],[ServiceID]],Transactions_RAW_cleaned[[#This Row],[ServiceID]])=1,"Yes","No")</f>
        <v>No</v>
      </c>
      <c r="S115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54" t="str">
        <f>"Q"&amp;ROUNDUP(MONTH(Transactions_RAW_cleaned[[#This Row],[TransactionDate]])/3,0)</f>
        <v>Q1</v>
      </c>
      <c r="U1154" t="str">
        <f>Transactions_RAW_cleaned[[#This Row],[Region ]]&amp;Transactions_RAW_cleaned[[#This Row],[Quarter ]]</f>
        <v>NAQ1</v>
      </c>
      <c r="V1154" s="5">
        <f>_xlfn.XLOOKUP(Transactions_RAW_cleaned[[#This Row],[RegionQuarterKey]], Quarterly_Targets_cleaned[RegionQuarterKey], Quarterly_Targets_cleaned[TargetRevenue])</f>
        <v>247000</v>
      </c>
    </row>
    <row r="1155" spans="1:22" x14ac:dyDescent="0.25">
      <c r="A1155" t="s">
        <v>1488</v>
      </c>
      <c r="B1155" s="1">
        <v>45532</v>
      </c>
      <c r="C1155" t="s">
        <v>157</v>
      </c>
      <c r="D1155" t="s">
        <v>309</v>
      </c>
      <c r="E1155">
        <v>171.08</v>
      </c>
      <c r="F1155" t="s">
        <v>324</v>
      </c>
      <c r="G1155" t="s">
        <v>327</v>
      </c>
      <c r="H1155" t="s">
        <v>332</v>
      </c>
      <c r="I1155" t="s">
        <v>8</v>
      </c>
      <c r="J1155" t="s">
        <v>102</v>
      </c>
      <c r="K1155" t="s">
        <v>14</v>
      </c>
      <c r="L1155" t="s">
        <v>310</v>
      </c>
      <c r="M1155" t="s">
        <v>311</v>
      </c>
      <c r="N1155">
        <v>0</v>
      </c>
      <c r="O1155" t="str">
        <f>IF(Transactions_RAW_cleaned[[#This Row],[Status]]="Completed", IFERROR(_xlfn.XLOOKUP(Transactions_RAW_cleaned[[#This Row],[CustomerID]], Customers_cleaned[CustomerID], Customers_cleaned[Segment]), "Customer Not Found"), "N/A")</f>
        <v>SMB</v>
      </c>
      <c r="P1155" s="5" t="str">
        <f>IF(Transactions_RAW_cleaned[[#This Row],[Status]]="Refunded", "Refund",
  IF(Transactions_RAW_cleaned[[#This Row],[Category]]="Payments", IF(Transactions_RAW_cleaned[[#This Row],[Amount]]&gt;500,"High Value","Standard"),
    IF(Transactions_RAW_cleaned[[#This Row],[Amount]]&gt;250,"High Value","Standard")))</f>
        <v>Standard</v>
      </c>
      <c r="Q1155" s="5" t="str">
        <f>IF(Transactions_RAW_cleaned[[#This Row],[Amount]] &gt; (_xlfn.XLOOKUP(Transactions_RAW_cleaned[[#This Row],[ServiceID]],Services_cleaned[ServiceID],Services_cleaned[TransactionFeePct]) * 10000), "Yes", "No")</f>
        <v>Yes</v>
      </c>
      <c r="R1155" s="5" t="str">
        <f>IF(COUNTIFS($C$2:Transactions_RAW_cleaned[[#This Row],[CustomerID]],Transactions_RAW_cleaned[[#This Row],[CustomerID]],$D$2:Transactions_RAW_cleaned[[#This Row],[ServiceID]],Transactions_RAW_cleaned[[#This Row],[ServiceID]])=1,"Yes","No")</f>
        <v>Yes</v>
      </c>
      <c r="S115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55" t="str">
        <f>"Q"&amp;ROUNDUP(MONTH(Transactions_RAW_cleaned[[#This Row],[TransactionDate]])/3,0)</f>
        <v>Q3</v>
      </c>
      <c r="U1155" t="str">
        <f>Transactions_RAW_cleaned[[#This Row],[Region ]]&amp;Transactions_RAW_cleaned[[#This Row],[Quarter ]]</f>
        <v>NAQ3</v>
      </c>
      <c r="V1155" s="5">
        <f>_xlfn.XLOOKUP(Transactions_RAW_cleaned[[#This Row],[RegionQuarterKey]], Quarterly_Targets_cleaned[RegionQuarterKey], Quarterly_Targets_cleaned[TargetRevenue])</f>
        <v>273000</v>
      </c>
    </row>
    <row r="1156" spans="1:22" x14ac:dyDescent="0.25">
      <c r="A1156" t="s">
        <v>1489</v>
      </c>
      <c r="B1156" s="1">
        <v>45557</v>
      </c>
      <c r="C1156" t="s">
        <v>229</v>
      </c>
      <c r="D1156" t="s">
        <v>297</v>
      </c>
      <c r="E1156">
        <v>1060.33</v>
      </c>
      <c r="F1156" t="s">
        <v>324</v>
      </c>
      <c r="G1156" t="s">
        <v>325</v>
      </c>
      <c r="H1156" t="s">
        <v>334</v>
      </c>
      <c r="I1156" t="s">
        <v>17</v>
      </c>
      <c r="J1156" t="s">
        <v>102</v>
      </c>
      <c r="K1156" t="s">
        <v>18</v>
      </c>
      <c r="L1156" t="s">
        <v>298</v>
      </c>
      <c r="M1156" t="s">
        <v>299</v>
      </c>
      <c r="N1156">
        <v>0</v>
      </c>
      <c r="O1156" t="str">
        <f>IF(Transactions_RAW_cleaned[[#This Row],[Status]]="Completed", IFERROR(_xlfn.XLOOKUP(Transactions_RAW_cleaned[[#This Row],[CustomerID]], Customers_cleaned[CustomerID], Customers_cleaned[Segment]), "Customer Not Found"), "N/A")</f>
        <v>Enterprise</v>
      </c>
      <c r="P1156" s="5" t="str">
        <f>IF(Transactions_RAW_cleaned[[#This Row],[Status]]="Refunded", "Refund",
  IF(Transactions_RAW_cleaned[[#This Row],[Category]]="Payments", IF(Transactions_RAW_cleaned[[#This Row],[Amount]]&gt;500,"High Value","Standard"),
    IF(Transactions_RAW_cleaned[[#This Row],[Amount]]&gt;250,"High Value","Standard")))</f>
        <v>High Value</v>
      </c>
      <c r="Q1156" s="5" t="str">
        <f>IF(Transactions_RAW_cleaned[[#This Row],[Amount]] &gt; (_xlfn.XLOOKUP(Transactions_RAW_cleaned[[#This Row],[ServiceID]],Services_cleaned[ServiceID],Services_cleaned[TransactionFeePct]) * 10000), "Yes", "No")</f>
        <v>Yes</v>
      </c>
      <c r="R1156" s="5" t="str">
        <f>IF(COUNTIFS($C$2:Transactions_RAW_cleaned[[#This Row],[CustomerID]],Transactions_RAW_cleaned[[#This Row],[CustomerID]],$D$2:Transactions_RAW_cleaned[[#This Row],[ServiceID]],Transactions_RAW_cleaned[[#This Row],[ServiceID]])=1,"Yes","No")</f>
        <v>No</v>
      </c>
      <c r="S115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56" t="str">
        <f>"Q"&amp;ROUNDUP(MONTH(Transactions_RAW_cleaned[[#This Row],[TransactionDate]])/3,0)</f>
        <v>Q3</v>
      </c>
      <c r="U1156" t="str">
        <f>Transactions_RAW_cleaned[[#This Row],[Region ]]&amp;Transactions_RAW_cleaned[[#This Row],[Quarter ]]</f>
        <v>NAQ3</v>
      </c>
      <c r="V1156" s="5">
        <f>_xlfn.XLOOKUP(Transactions_RAW_cleaned[[#This Row],[RegionQuarterKey]], Quarterly_Targets_cleaned[RegionQuarterKey], Quarterly_Targets_cleaned[TargetRevenue])</f>
        <v>273000</v>
      </c>
    </row>
    <row r="1157" spans="1:22" x14ac:dyDescent="0.25">
      <c r="A1157" t="s">
        <v>1490</v>
      </c>
      <c r="B1157" s="1">
        <v>45515</v>
      </c>
      <c r="C1157" t="s">
        <v>103</v>
      </c>
      <c r="D1157" t="s">
        <v>294</v>
      </c>
      <c r="E1157">
        <v>-630.22</v>
      </c>
      <c r="F1157" t="s">
        <v>349</v>
      </c>
      <c r="G1157" t="s">
        <v>337</v>
      </c>
      <c r="I1157" t="s">
        <v>8</v>
      </c>
      <c r="J1157" t="s">
        <v>102</v>
      </c>
      <c r="K1157" t="s">
        <v>28</v>
      </c>
      <c r="L1157" t="s">
        <v>295</v>
      </c>
      <c r="M1157" t="s">
        <v>296</v>
      </c>
      <c r="N1157">
        <v>2.9000000000000001E-2</v>
      </c>
      <c r="O1157" t="str">
        <f>IF(Transactions_RAW_cleaned[[#This Row],[Status]]="Completed", IFERROR(_xlfn.XLOOKUP(Transactions_RAW_cleaned[[#This Row],[CustomerID]], Customers_cleaned[CustomerID], Customers_cleaned[Segment]), "Customer Not Found"), "N/A")</f>
        <v>N/A</v>
      </c>
      <c r="P1157" s="5" t="str">
        <f>IF(Transactions_RAW_cleaned[[#This Row],[Status]]="Refunded", "Refund",
  IF(Transactions_RAW_cleaned[[#This Row],[Category]]="Payments", IF(Transactions_RAW_cleaned[[#This Row],[Amount]]&gt;500,"High Value","Standard"),
    IF(Transactions_RAW_cleaned[[#This Row],[Amount]]&gt;250,"High Value","Standard")))</f>
        <v>Refund</v>
      </c>
      <c r="Q1157" s="5" t="str">
        <f>IF(Transactions_RAW_cleaned[[#This Row],[Amount]] &gt; (_xlfn.XLOOKUP(Transactions_RAW_cleaned[[#This Row],[ServiceID]],Services_cleaned[ServiceID],Services_cleaned[TransactionFeePct]) * 10000), "Yes", "No")</f>
        <v>No</v>
      </c>
      <c r="R1157" s="5" t="str">
        <f>IF(COUNTIFS($C$2:Transactions_RAW_cleaned[[#This Row],[CustomerID]],Transactions_RAW_cleaned[[#This Row],[CustomerID]],$D$2:Transactions_RAW_cleaned[[#This Row],[ServiceID]],Transactions_RAW_cleaned[[#This Row],[ServiceID]])=1,"Yes","No")</f>
        <v>No</v>
      </c>
      <c r="S115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57" t="str">
        <f>"Q"&amp;ROUNDUP(MONTH(Transactions_RAW_cleaned[[#This Row],[TransactionDate]])/3,0)</f>
        <v>Q3</v>
      </c>
      <c r="U1157" t="str">
        <f>Transactions_RAW_cleaned[[#This Row],[Region ]]&amp;Transactions_RAW_cleaned[[#This Row],[Quarter ]]</f>
        <v>NAQ3</v>
      </c>
      <c r="V1157" s="5">
        <f>_xlfn.XLOOKUP(Transactions_RAW_cleaned[[#This Row],[RegionQuarterKey]], Quarterly_Targets_cleaned[RegionQuarterKey], Quarterly_Targets_cleaned[TargetRevenue])</f>
        <v>273000</v>
      </c>
    </row>
    <row r="1158" spans="1:22" x14ac:dyDescent="0.25">
      <c r="A1158" t="s">
        <v>1491</v>
      </c>
      <c r="B1158" s="1">
        <v>45494</v>
      </c>
      <c r="C1158" t="s">
        <v>88</v>
      </c>
      <c r="D1158" t="s">
        <v>297</v>
      </c>
      <c r="E1158">
        <v>639.6</v>
      </c>
      <c r="F1158" t="s">
        <v>324</v>
      </c>
      <c r="G1158" t="s">
        <v>337</v>
      </c>
      <c r="I1158" t="s">
        <v>8</v>
      </c>
      <c r="J1158" t="s">
        <v>102</v>
      </c>
      <c r="K1158" t="s">
        <v>18</v>
      </c>
      <c r="L1158" t="s">
        <v>298</v>
      </c>
      <c r="M1158" t="s">
        <v>299</v>
      </c>
      <c r="N1158">
        <v>0</v>
      </c>
      <c r="O1158" t="str">
        <f>IF(Transactions_RAW_cleaned[[#This Row],[Status]]="Completed", IFERROR(_xlfn.XLOOKUP(Transactions_RAW_cleaned[[#This Row],[CustomerID]], Customers_cleaned[CustomerID], Customers_cleaned[Segment]), "Customer Not Found"), "N/A")</f>
        <v>SMB</v>
      </c>
      <c r="P1158" s="5" t="str">
        <f>IF(Transactions_RAW_cleaned[[#This Row],[Status]]="Refunded", "Refund",
  IF(Transactions_RAW_cleaned[[#This Row],[Category]]="Payments", IF(Transactions_RAW_cleaned[[#This Row],[Amount]]&gt;500,"High Value","Standard"),
    IF(Transactions_RAW_cleaned[[#This Row],[Amount]]&gt;250,"High Value","Standard")))</f>
        <v>High Value</v>
      </c>
      <c r="Q1158" s="5" t="str">
        <f>IF(Transactions_RAW_cleaned[[#This Row],[Amount]] &gt; (_xlfn.XLOOKUP(Transactions_RAW_cleaned[[#This Row],[ServiceID]],Services_cleaned[ServiceID],Services_cleaned[TransactionFeePct]) * 10000), "Yes", "No")</f>
        <v>Yes</v>
      </c>
      <c r="R1158" s="5" t="str">
        <f>IF(COUNTIFS($C$2:Transactions_RAW_cleaned[[#This Row],[CustomerID]],Transactions_RAW_cleaned[[#This Row],[CustomerID]],$D$2:Transactions_RAW_cleaned[[#This Row],[ServiceID]],Transactions_RAW_cleaned[[#This Row],[ServiceID]])=1,"Yes","No")</f>
        <v>No</v>
      </c>
      <c r="S115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58" t="str">
        <f>"Q"&amp;ROUNDUP(MONTH(Transactions_RAW_cleaned[[#This Row],[TransactionDate]])/3,0)</f>
        <v>Q3</v>
      </c>
      <c r="U1158" t="str">
        <f>Transactions_RAW_cleaned[[#This Row],[Region ]]&amp;Transactions_RAW_cleaned[[#This Row],[Quarter ]]</f>
        <v>NAQ3</v>
      </c>
      <c r="V1158" s="5">
        <f>_xlfn.XLOOKUP(Transactions_RAW_cleaned[[#This Row],[RegionQuarterKey]], Quarterly_Targets_cleaned[RegionQuarterKey], Quarterly_Targets_cleaned[TargetRevenue])</f>
        <v>273000</v>
      </c>
    </row>
    <row r="1159" spans="1:22" x14ac:dyDescent="0.25">
      <c r="A1159" t="s">
        <v>1492</v>
      </c>
      <c r="B1159" s="1">
        <v>45594</v>
      </c>
      <c r="C1159" t="s">
        <v>139</v>
      </c>
      <c r="D1159" t="s">
        <v>315</v>
      </c>
      <c r="E1159">
        <v>378.07</v>
      </c>
      <c r="F1159" t="s">
        <v>324</v>
      </c>
      <c r="G1159" t="s">
        <v>337</v>
      </c>
      <c r="I1159" t="s">
        <v>8</v>
      </c>
      <c r="J1159" t="s">
        <v>102</v>
      </c>
      <c r="K1159" t="s">
        <v>22</v>
      </c>
      <c r="L1159" t="s">
        <v>316</v>
      </c>
      <c r="M1159" t="s">
        <v>305</v>
      </c>
      <c r="N1159">
        <v>2.5000000000000001E-3</v>
      </c>
      <c r="O1159" t="str">
        <f>IF(Transactions_RAW_cleaned[[#This Row],[Status]]="Completed", IFERROR(_xlfn.XLOOKUP(Transactions_RAW_cleaned[[#This Row],[CustomerID]], Customers_cleaned[CustomerID], Customers_cleaned[Segment]), "Customer Not Found"), "N/A")</f>
        <v>SMB</v>
      </c>
      <c r="P1159" s="5" t="str">
        <f>IF(Transactions_RAW_cleaned[[#This Row],[Status]]="Refunded", "Refund",
  IF(Transactions_RAW_cleaned[[#This Row],[Category]]="Payments", IF(Transactions_RAW_cleaned[[#This Row],[Amount]]&gt;500,"High Value","Standard"),
    IF(Transactions_RAW_cleaned[[#This Row],[Amount]]&gt;250,"High Value","Standard")))</f>
        <v>High Value</v>
      </c>
      <c r="Q1159" s="5" t="str">
        <f>IF(Transactions_RAW_cleaned[[#This Row],[Amount]] &gt; (_xlfn.XLOOKUP(Transactions_RAW_cleaned[[#This Row],[ServiceID]],Services_cleaned[ServiceID],Services_cleaned[TransactionFeePct]) * 10000), "Yes", "No")</f>
        <v>Yes</v>
      </c>
      <c r="R1159" s="5" t="str">
        <f>IF(COUNTIFS($C$2:Transactions_RAW_cleaned[[#This Row],[CustomerID]],Transactions_RAW_cleaned[[#This Row],[CustomerID]],$D$2:Transactions_RAW_cleaned[[#This Row],[ServiceID]],Transactions_RAW_cleaned[[#This Row],[ServiceID]])=1,"Yes","No")</f>
        <v>Yes</v>
      </c>
      <c r="S115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59" t="str">
        <f>"Q"&amp;ROUNDUP(MONTH(Transactions_RAW_cleaned[[#This Row],[TransactionDate]])/3,0)</f>
        <v>Q4</v>
      </c>
      <c r="U1159" t="str">
        <f>Transactions_RAW_cleaned[[#This Row],[Region ]]&amp;Transactions_RAW_cleaned[[#This Row],[Quarter ]]</f>
        <v>NAQ4</v>
      </c>
      <c r="V1159" s="5">
        <f>_xlfn.XLOOKUP(Transactions_RAW_cleaned[[#This Row],[RegionQuarterKey]], Quarterly_Targets_cleaned[RegionQuarterKey], Quarterly_Targets_cleaned[TargetRevenue])</f>
        <v>299000</v>
      </c>
    </row>
    <row r="1160" spans="1:22" x14ac:dyDescent="0.25">
      <c r="A1160" t="s">
        <v>1493</v>
      </c>
      <c r="B1160" s="1">
        <v>45356</v>
      </c>
      <c r="C1160" t="s">
        <v>241</v>
      </c>
      <c r="D1160" t="s">
        <v>294</v>
      </c>
      <c r="E1160">
        <v>420.79</v>
      </c>
      <c r="F1160" t="s">
        <v>324</v>
      </c>
      <c r="G1160" t="s">
        <v>337</v>
      </c>
      <c r="H1160" t="s">
        <v>332</v>
      </c>
      <c r="I1160" t="s">
        <v>8</v>
      </c>
      <c r="J1160" t="s">
        <v>102</v>
      </c>
      <c r="K1160" t="s">
        <v>32</v>
      </c>
      <c r="L1160" t="s">
        <v>295</v>
      </c>
      <c r="M1160" t="s">
        <v>296</v>
      </c>
      <c r="N1160">
        <v>2.9000000000000001E-2</v>
      </c>
      <c r="O1160" t="str">
        <f>IF(Transactions_RAW_cleaned[[#This Row],[Status]]="Completed", IFERROR(_xlfn.XLOOKUP(Transactions_RAW_cleaned[[#This Row],[CustomerID]], Customers_cleaned[CustomerID], Customers_cleaned[Segment]), "Customer Not Found"), "N/A")</f>
        <v>SMB</v>
      </c>
      <c r="P1160" s="5" t="str">
        <f>IF(Transactions_RAW_cleaned[[#This Row],[Status]]="Refunded", "Refund",
  IF(Transactions_RAW_cleaned[[#This Row],[Category]]="Payments", IF(Transactions_RAW_cleaned[[#This Row],[Amount]]&gt;500,"High Value","Standard"),
    IF(Transactions_RAW_cleaned[[#This Row],[Amount]]&gt;250,"High Value","Standard")))</f>
        <v>Standard</v>
      </c>
      <c r="Q1160" s="5" t="str">
        <f>IF(Transactions_RAW_cleaned[[#This Row],[Amount]] &gt; (_xlfn.XLOOKUP(Transactions_RAW_cleaned[[#This Row],[ServiceID]],Services_cleaned[ServiceID],Services_cleaned[TransactionFeePct]) * 10000), "Yes", "No")</f>
        <v>Yes</v>
      </c>
      <c r="R1160" s="5" t="str">
        <f>IF(COUNTIFS($C$2:Transactions_RAW_cleaned[[#This Row],[CustomerID]],Transactions_RAW_cleaned[[#This Row],[CustomerID]],$D$2:Transactions_RAW_cleaned[[#This Row],[ServiceID]],Transactions_RAW_cleaned[[#This Row],[ServiceID]])=1,"Yes","No")</f>
        <v>No</v>
      </c>
      <c r="S116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60" t="str">
        <f>"Q"&amp;ROUNDUP(MONTH(Transactions_RAW_cleaned[[#This Row],[TransactionDate]])/3,0)</f>
        <v>Q1</v>
      </c>
      <c r="U1160" t="str">
        <f>Transactions_RAW_cleaned[[#This Row],[Region ]]&amp;Transactions_RAW_cleaned[[#This Row],[Quarter ]]</f>
        <v>NAQ1</v>
      </c>
      <c r="V1160" s="5">
        <f>_xlfn.XLOOKUP(Transactions_RAW_cleaned[[#This Row],[RegionQuarterKey]], Quarterly_Targets_cleaned[RegionQuarterKey], Quarterly_Targets_cleaned[TargetRevenue])</f>
        <v>247000</v>
      </c>
    </row>
    <row r="1161" spans="1:22" x14ac:dyDescent="0.25">
      <c r="A1161" t="s">
        <v>1494</v>
      </c>
      <c r="B1161" s="1">
        <v>45376</v>
      </c>
      <c r="C1161" t="s">
        <v>209</v>
      </c>
      <c r="D1161" t="s">
        <v>303</v>
      </c>
      <c r="E1161">
        <v>142.33000000000001</v>
      </c>
      <c r="F1161" t="s">
        <v>324</v>
      </c>
      <c r="G1161" t="s">
        <v>325</v>
      </c>
      <c r="H1161" t="s">
        <v>332</v>
      </c>
      <c r="I1161" t="s">
        <v>17</v>
      </c>
      <c r="J1161" t="s">
        <v>102</v>
      </c>
      <c r="K1161" t="s">
        <v>22</v>
      </c>
      <c r="L1161" t="s">
        <v>304</v>
      </c>
      <c r="M1161" t="s">
        <v>305</v>
      </c>
      <c r="N1161">
        <v>1E-3</v>
      </c>
      <c r="O1161" t="str">
        <f>IF(Transactions_RAW_cleaned[[#This Row],[Status]]="Completed", IFERROR(_xlfn.XLOOKUP(Transactions_RAW_cleaned[[#This Row],[CustomerID]], Customers_cleaned[CustomerID], Customers_cleaned[Segment]), "Customer Not Found"), "N/A")</f>
        <v>Enterprise</v>
      </c>
      <c r="P1161" s="5" t="str">
        <f>IF(Transactions_RAW_cleaned[[#This Row],[Status]]="Refunded", "Refund",
  IF(Transactions_RAW_cleaned[[#This Row],[Category]]="Payments", IF(Transactions_RAW_cleaned[[#This Row],[Amount]]&gt;500,"High Value","Standard"),
    IF(Transactions_RAW_cleaned[[#This Row],[Amount]]&gt;250,"High Value","Standard")))</f>
        <v>Standard</v>
      </c>
      <c r="Q1161" s="5" t="str">
        <f>IF(Transactions_RAW_cleaned[[#This Row],[Amount]] &gt; (_xlfn.XLOOKUP(Transactions_RAW_cleaned[[#This Row],[ServiceID]],Services_cleaned[ServiceID],Services_cleaned[TransactionFeePct]) * 10000), "Yes", "No")</f>
        <v>Yes</v>
      </c>
      <c r="R1161" s="5" t="str">
        <f>IF(COUNTIFS($C$2:Transactions_RAW_cleaned[[#This Row],[CustomerID]],Transactions_RAW_cleaned[[#This Row],[CustomerID]],$D$2:Transactions_RAW_cleaned[[#This Row],[ServiceID]],Transactions_RAW_cleaned[[#This Row],[ServiceID]])=1,"Yes","No")</f>
        <v>No</v>
      </c>
      <c r="S116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61" t="str">
        <f>"Q"&amp;ROUNDUP(MONTH(Transactions_RAW_cleaned[[#This Row],[TransactionDate]])/3,0)</f>
        <v>Q1</v>
      </c>
      <c r="U1161" t="str">
        <f>Transactions_RAW_cleaned[[#This Row],[Region ]]&amp;Transactions_RAW_cleaned[[#This Row],[Quarter ]]</f>
        <v>NAQ1</v>
      </c>
      <c r="V1161" s="5">
        <f>_xlfn.XLOOKUP(Transactions_RAW_cleaned[[#This Row],[RegionQuarterKey]], Quarterly_Targets_cleaned[RegionQuarterKey], Quarterly_Targets_cleaned[TargetRevenue])</f>
        <v>247000</v>
      </c>
    </row>
    <row r="1162" spans="1:22" x14ac:dyDescent="0.25">
      <c r="A1162" t="s">
        <v>1495</v>
      </c>
      <c r="B1162" s="1">
        <v>45552</v>
      </c>
      <c r="C1162" t="s">
        <v>113</v>
      </c>
      <c r="D1162" t="s">
        <v>312</v>
      </c>
      <c r="E1162">
        <v>557.41999999999996</v>
      </c>
      <c r="F1162" t="s">
        <v>381</v>
      </c>
      <c r="G1162" t="s">
        <v>329</v>
      </c>
      <c r="I1162" t="s">
        <v>57</v>
      </c>
      <c r="J1162" t="s">
        <v>46</v>
      </c>
      <c r="K1162" t="s">
        <v>10</v>
      </c>
      <c r="L1162" t="s">
        <v>313</v>
      </c>
      <c r="M1162" t="s">
        <v>314</v>
      </c>
      <c r="N1162">
        <v>0</v>
      </c>
      <c r="O1162" t="str">
        <f>IF(Transactions_RAW_cleaned[[#This Row],[Status]]="Completed", IFERROR(_xlfn.XLOOKUP(Transactions_RAW_cleaned[[#This Row],[CustomerID]], Customers_cleaned[CustomerID], Customers_cleaned[Segment]), "Customer Not Found"), "N/A")</f>
        <v>N/A</v>
      </c>
      <c r="P1162" s="5" t="str">
        <f>IF(Transactions_RAW_cleaned[[#This Row],[Status]]="Refunded", "Refund",
  IF(Transactions_RAW_cleaned[[#This Row],[Category]]="Payments", IF(Transactions_RAW_cleaned[[#This Row],[Amount]]&gt;500,"High Value","Standard"),
    IF(Transactions_RAW_cleaned[[#This Row],[Amount]]&gt;250,"High Value","Standard")))</f>
        <v>High Value</v>
      </c>
      <c r="Q1162" s="5" t="str">
        <f>IF(Transactions_RAW_cleaned[[#This Row],[Amount]] &gt; (_xlfn.XLOOKUP(Transactions_RAW_cleaned[[#This Row],[ServiceID]],Services_cleaned[ServiceID],Services_cleaned[TransactionFeePct]) * 10000), "Yes", "No")</f>
        <v>Yes</v>
      </c>
      <c r="R1162" s="5" t="str">
        <f>IF(COUNTIFS($C$2:Transactions_RAW_cleaned[[#This Row],[CustomerID]],Transactions_RAW_cleaned[[#This Row],[CustomerID]],$D$2:Transactions_RAW_cleaned[[#This Row],[ServiceID]],Transactions_RAW_cleaned[[#This Row],[ServiceID]])=1,"Yes","No")</f>
        <v>Yes</v>
      </c>
      <c r="S116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62" t="str">
        <f>"Q"&amp;ROUNDUP(MONTH(Transactions_RAW_cleaned[[#This Row],[TransactionDate]])/3,0)</f>
        <v>Q3</v>
      </c>
      <c r="U1162" t="str">
        <f>Transactions_RAW_cleaned[[#This Row],[Region ]]&amp;Transactions_RAW_cleaned[[#This Row],[Quarter ]]</f>
        <v>APACQ3</v>
      </c>
      <c r="V1162" s="5">
        <f>_xlfn.XLOOKUP(Transactions_RAW_cleaned[[#This Row],[RegionQuarterKey]], Quarterly_Targets_cleaned[RegionQuarterKey], Quarterly_Targets_cleaned[TargetRevenue])</f>
        <v>115500</v>
      </c>
    </row>
    <row r="1163" spans="1:22" x14ac:dyDescent="0.25">
      <c r="A1163" t="s">
        <v>1496</v>
      </c>
      <c r="B1163" s="1">
        <v>45365</v>
      </c>
      <c r="C1163" t="s">
        <v>183</v>
      </c>
      <c r="D1163" t="s">
        <v>297</v>
      </c>
      <c r="E1163">
        <v>516.33000000000004</v>
      </c>
      <c r="F1163" t="s">
        <v>331</v>
      </c>
      <c r="G1163" t="s">
        <v>325</v>
      </c>
      <c r="I1163" t="s">
        <v>8</v>
      </c>
      <c r="J1163" t="s">
        <v>13</v>
      </c>
      <c r="K1163" t="s">
        <v>10</v>
      </c>
      <c r="L1163" t="s">
        <v>298</v>
      </c>
      <c r="M1163" t="s">
        <v>299</v>
      </c>
      <c r="N1163">
        <v>0</v>
      </c>
      <c r="O1163" t="str">
        <f>IF(Transactions_RAW_cleaned[[#This Row],[Status]]="Completed", IFERROR(_xlfn.XLOOKUP(Transactions_RAW_cleaned[[#This Row],[CustomerID]], Customers_cleaned[CustomerID], Customers_cleaned[Segment]), "Customer Not Found"), "N/A")</f>
        <v>N/A</v>
      </c>
      <c r="P1163" s="5" t="str">
        <f>IF(Transactions_RAW_cleaned[[#This Row],[Status]]="Refunded", "Refund",
  IF(Transactions_RAW_cleaned[[#This Row],[Category]]="Payments", IF(Transactions_RAW_cleaned[[#This Row],[Amount]]&gt;500,"High Value","Standard"),
    IF(Transactions_RAW_cleaned[[#This Row],[Amount]]&gt;250,"High Value","Standard")))</f>
        <v>High Value</v>
      </c>
      <c r="Q1163" s="5" t="str">
        <f>IF(Transactions_RAW_cleaned[[#This Row],[Amount]] &gt; (_xlfn.XLOOKUP(Transactions_RAW_cleaned[[#This Row],[ServiceID]],Services_cleaned[ServiceID],Services_cleaned[TransactionFeePct]) * 10000), "Yes", "No")</f>
        <v>Yes</v>
      </c>
      <c r="R1163" s="5" t="str">
        <f>IF(COUNTIFS($C$2:Transactions_RAW_cleaned[[#This Row],[CustomerID]],Transactions_RAW_cleaned[[#This Row],[CustomerID]],$D$2:Transactions_RAW_cleaned[[#This Row],[ServiceID]],Transactions_RAW_cleaned[[#This Row],[ServiceID]])=1,"Yes","No")</f>
        <v>Yes</v>
      </c>
      <c r="S116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63" t="str">
        <f>"Q"&amp;ROUNDUP(MONTH(Transactions_RAW_cleaned[[#This Row],[TransactionDate]])/3,0)</f>
        <v>Q1</v>
      </c>
      <c r="U1163" t="str">
        <f>Transactions_RAW_cleaned[[#This Row],[Region ]]&amp;Transactions_RAW_cleaned[[#This Row],[Quarter ]]</f>
        <v>NAQ1</v>
      </c>
      <c r="V1163" s="5">
        <f>_xlfn.XLOOKUP(Transactions_RAW_cleaned[[#This Row],[RegionQuarterKey]], Quarterly_Targets_cleaned[RegionQuarterKey], Quarterly_Targets_cleaned[TargetRevenue])</f>
        <v>247000</v>
      </c>
    </row>
    <row r="1164" spans="1:22" x14ac:dyDescent="0.25">
      <c r="A1164" t="s">
        <v>1497</v>
      </c>
      <c r="B1164" s="1">
        <v>45609</v>
      </c>
      <c r="C1164" t="s">
        <v>109</v>
      </c>
      <c r="D1164" t="s">
        <v>294</v>
      </c>
      <c r="E1164">
        <v>320.66000000000003</v>
      </c>
      <c r="F1164" t="s">
        <v>324</v>
      </c>
      <c r="G1164" t="s">
        <v>2963</v>
      </c>
      <c r="I1164" t="s">
        <v>8</v>
      </c>
      <c r="J1164" t="s">
        <v>102</v>
      </c>
      <c r="K1164" t="s">
        <v>18</v>
      </c>
      <c r="L1164" t="s">
        <v>295</v>
      </c>
      <c r="M1164" t="s">
        <v>296</v>
      </c>
      <c r="N1164">
        <v>2.9000000000000001E-2</v>
      </c>
      <c r="O1164" t="str">
        <f>IF(Transactions_RAW_cleaned[[#This Row],[Status]]="Completed", IFERROR(_xlfn.XLOOKUP(Transactions_RAW_cleaned[[#This Row],[CustomerID]], Customers_cleaned[CustomerID], Customers_cleaned[Segment]), "Customer Not Found"), "N/A")</f>
        <v>SMB</v>
      </c>
      <c r="P1164" s="5" t="str">
        <f>IF(Transactions_RAW_cleaned[[#This Row],[Status]]="Refunded", "Refund",
  IF(Transactions_RAW_cleaned[[#This Row],[Category]]="Payments", IF(Transactions_RAW_cleaned[[#This Row],[Amount]]&gt;500,"High Value","Standard"),
    IF(Transactions_RAW_cleaned[[#This Row],[Amount]]&gt;250,"High Value","Standard")))</f>
        <v>Standard</v>
      </c>
      <c r="Q1164" s="5" t="str">
        <f>IF(Transactions_RAW_cleaned[[#This Row],[Amount]] &gt; (_xlfn.XLOOKUP(Transactions_RAW_cleaned[[#This Row],[ServiceID]],Services_cleaned[ServiceID],Services_cleaned[TransactionFeePct]) * 10000), "Yes", "No")</f>
        <v>Yes</v>
      </c>
      <c r="R1164" s="5" t="str">
        <f>IF(COUNTIFS($C$2:Transactions_RAW_cleaned[[#This Row],[CustomerID]],Transactions_RAW_cleaned[[#This Row],[CustomerID]],$D$2:Transactions_RAW_cleaned[[#This Row],[ServiceID]],Transactions_RAW_cleaned[[#This Row],[ServiceID]])=1,"Yes","No")</f>
        <v>No</v>
      </c>
      <c r="S116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64" t="str">
        <f>"Q"&amp;ROUNDUP(MONTH(Transactions_RAW_cleaned[[#This Row],[TransactionDate]])/3,0)</f>
        <v>Q4</v>
      </c>
      <c r="U1164" t="str">
        <f>Transactions_RAW_cleaned[[#This Row],[Region ]]&amp;Transactions_RAW_cleaned[[#This Row],[Quarter ]]</f>
        <v>NAQ4</v>
      </c>
      <c r="V1164" s="5">
        <f>_xlfn.XLOOKUP(Transactions_RAW_cleaned[[#This Row],[RegionQuarterKey]], Quarterly_Targets_cleaned[RegionQuarterKey], Quarterly_Targets_cleaned[TargetRevenue])</f>
        <v>299000</v>
      </c>
    </row>
    <row r="1165" spans="1:22" x14ac:dyDescent="0.25">
      <c r="A1165" t="s">
        <v>1498</v>
      </c>
      <c r="B1165" s="1">
        <v>45417</v>
      </c>
      <c r="C1165" t="s">
        <v>219</v>
      </c>
      <c r="D1165" t="s">
        <v>309</v>
      </c>
      <c r="E1165">
        <v>194.7</v>
      </c>
      <c r="F1165" t="s">
        <v>324</v>
      </c>
      <c r="G1165" t="s">
        <v>337</v>
      </c>
      <c r="H1165" t="s">
        <v>346</v>
      </c>
      <c r="I1165" t="s">
        <v>17</v>
      </c>
      <c r="J1165" t="s">
        <v>31</v>
      </c>
      <c r="K1165" t="s">
        <v>32</v>
      </c>
      <c r="L1165" t="s">
        <v>310</v>
      </c>
      <c r="M1165" t="s">
        <v>311</v>
      </c>
      <c r="N1165">
        <v>0</v>
      </c>
      <c r="O1165" t="str">
        <f>IF(Transactions_RAW_cleaned[[#This Row],[Status]]="Completed", IFERROR(_xlfn.XLOOKUP(Transactions_RAW_cleaned[[#This Row],[CustomerID]], Customers_cleaned[CustomerID], Customers_cleaned[Segment]), "Customer Not Found"), "N/A")</f>
        <v>Enterprise</v>
      </c>
      <c r="P1165" s="5" t="str">
        <f>IF(Transactions_RAW_cleaned[[#This Row],[Status]]="Refunded", "Refund",
  IF(Transactions_RAW_cleaned[[#This Row],[Category]]="Payments", IF(Transactions_RAW_cleaned[[#This Row],[Amount]]&gt;500,"High Value","Standard"),
    IF(Transactions_RAW_cleaned[[#This Row],[Amount]]&gt;250,"High Value","Standard")))</f>
        <v>Standard</v>
      </c>
      <c r="Q1165" s="5" t="str">
        <f>IF(Transactions_RAW_cleaned[[#This Row],[Amount]] &gt; (_xlfn.XLOOKUP(Transactions_RAW_cleaned[[#This Row],[ServiceID]],Services_cleaned[ServiceID],Services_cleaned[TransactionFeePct]) * 10000), "Yes", "No")</f>
        <v>Yes</v>
      </c>
      <c r="R1165" s="5" t="str">
        <f>IF(COUNTIFS($C$2:Transactions_RAW_cleaned[[#This Row],[CustomerID]],Transactions_RAW_cleaned[[#This Row],[CustomerID]],$D$2:Transactions_RAW_cleaned[[#This Row],[ServiceID]],Transactions_RAW_cleaned[[#This Row],[ServiceID]])=1,"Yes","No")</f>
        <v>No</v>
      </c>
      <c r="S116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165" t="str">
        <f>"Q"&amp;ROUNDUP(MONTH(Transactions_RAW_cleaned[[#This Row],[TransactionDate]])/3,0)</f>
        <v>Q2</v>
      </c>
      <c r="U1165" t="str">
        <f>Transactions_RAW_cleaned[[#This Row],[Region ]]&amp;Transactions_RAW_cleaned[[#This Row],[Quarter ]]</f>
        <v>EMEAQ2</v>
      </c>
      <c r="V1165" s="5">
        <f>_xlfn.XLOOKUP(Transactions_RAW_cleaned[[#This Row],[RegionQuarterKey]], Quarterly_Targets_cleaned[RegionQuarterKey], Quarterly_Targets_cleaned[TargetRevenue])</f>
        <v>140000</v>
      </c>
    </row>
    <row r="1166" spans="1:22" x14ac:dyDescent="0.25">
      <c r="A1166" t="s">
        <v>1499</v>
      </c>
      <c r="B1166" s="1">
        <v>45397</v>
      </c>
      <c r="C1166" t="s">
        <v>261</v>
      </c>
      <c r="D1166" t="s">
        <v>306</v>
      </c>
      <c r="E1166">
        <v>325.7</v>
      </c>
      <c r="F1166" t="s">
        <v>324</v>
      </c>
      <c r="G1166" t="s">
        <v>327</v>
      </c>
      <c r="I1166" t="s">
        <v>8</v>
      </c>
      <c r="J1166" t="s">
        <v>31</v>
      </c>
      <c r="K1166" t="s">
        <v>18</v>
      </c>
      <c r="L1166" t="s">
        <v>307</v>
      </c>
      <c r="M1166" t="s">
        <v>308</v>
      </c>
      <c r="N1166">
        <v>0</v>
      </c>
      <c r="O1166" t="str">
        <f>IF(Transactions_RAW_cleaned[[#This Row],[Status]]="Completed", IFERROR(_xlfn.XLOOKUP(Transactions_RAW_cleaned[[#This Row],[CustomerID]], Customers_cleaned[CustomerID], Customers_cleaned[Segment]), "Customer Not Found"), "N/A")</f>
        <v>SMB</v>
      </c>
      <c r="P1166" s="5" t="str">
        <f>IF(Transactions_RAW_cleaned[[#This Row],[Status]]="Refunded", "Refund",
  IF(Transactions_RAW_cleaned[[#This Row],[Category]]="Payments", IF(Transactions_RAW_cleaned[[#This Row],[Amount]]&gt;500,"High Value","Standard"),
    IF(Transactions_RAW_cleaned[[#This Row],[Amount]]&gt;250,"High Value","Standard")))</f>
        <v>High Value</v>
      </c>
      <c r="Q1166" s="5" t="str">
        <f>IF(Transactions_RAW_cleaned[[#This Row],[Amount]] &gt; (_xlfn.XLOOKUP(Transactions_RAW_cleaned[[#This Row],[ServiceID]],Services_cleaned[ServiceID],Services_cleaned[TransactionFeePct]) * 10000), "Yes", "No")</f>
        <v>Yes</v>
      </c>
      <c r="R1166" s="5" t="str">
        <f>IF(COUNTIFS($C$2:Transactions_RAW_cleaned[[#This Row],[CustomerID]],Transactions_RAW_cleaned[[#This Row],[CustomerID]],$D$2:Transactions_RAW_cleaned[[#This Row],[ServiceID]],Transactions_RAW_cleaned[[#This Row],[ServiceID]])=1,"Yes","No")</f>
        <v>No</v>
      </c>
      <c r="S116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166" t="str">
        <f>"Q"&amp;ROUNDUP(MONTH(Transactions_RAW_cleaned[[#This Row],[TransactionDate]])/3,0)</f>
        <v>Q2</v>
      </c>
      <c r="U1166" t="str">
        <f>Transactions_RAW_cleaned[[#This Row],[Region ]]&amp;Transactions_RAW_cleaned[[#This Row],[Quarter ]]</f>
        <v>EMEAQ2</v>
      </c>
      <c r="V1166" s="5">
        <f>_xlfn.XLOOKUP(Transactions_RAW_cleaned[[#This Row],[RegionQuarterKey]], Quarterly_Targets_cleaned[RegionQuarterKey], Quarterly_Targets_cleaned[TargetRevenue])</f>
        <v>140000</v>
      </c>
    </row>
    <row r="1167" spans="1:22" x14ac:dyDescent="0.25">
      <c r="A1167" t="s">
        <v>1500</v>
      </c>
      <c r="B1167" s="1">
        <v>45601</v>
      </c>
      <c r="C1167" t="s">
        <v>133</v>
      </c>
      <c r="D1167" t="s">
        <v>312</v>
      </c>
      <c r="E1167">
        <v>926.6</v>
      </c>
      <c r="F1167" t="s">
        <v>324</v>
      </c>
      <c r="G1167" t="s">
        <v>2963</v>
      </c>
      <c r="I1167" t="s">
        <v>17</v>
      </c>
      <c r="J1167" t="s">
        <v>102</v>
      </c>
      <c r="K1167" t="s">
        <v>22</v>
      </c>
      <c r="L1167" t="s">
        <v>313</v>
      </c>
      <c r="M1167" t="s">
        <v>314</v>
      </c>
      <c r="N1167">
        <v>0</v>
      </c>
      <c r="O1167" t="str">
        <f>IF(Transactions_RAW_cleaned[[#This Row],[Status]]="Completed", IFERROR(_xlfn.XLOOKUP(Transactions_RAW_cleaned[[#This Row],[CustomerID]], Customers_cleaned[CustomerID], Customers_cleaned[Segment]), "Customer Not Found"), "N/A")</f>
        <v>Enterprise</v>
      </c>
      <c r="P1167" s="5" t="str">
        <f>IF(Transactions_RAW_cleaned[[#This Row],[Status]]="Refunded", "Refund",
  IF(Transactions_RAW_cleaned[[#This Row],[Category]]="Payments", IF(Transactions_RAW_cleaned[[#This Row],[Amount]]&gt;500,"High Value","Standard"),
    IF(Transactions_RAW_cleaned[[#This Row],[Amount]]&gt;250,"High Value","Standard")))</f>
        <v>High Value</v>
      </c>
      <c r="Q1167" s="5" t="str">
        <f>IF(Transactions_RAW_cleaned[[#This Row],[Amount]] &gt; (_xlfn.XLOOKUP(Transactions_RAW_cleaned[[#This Row],[ServiceID]],Services_cleaned[ServiceID],Services_cleaned[TransactionFeePct]) * 10000), "Yes", "No")</f>
        <v>Yes</v>
      </c>
      <c r="R1167" s="5" t="str">
        <f>IF(COUNTIFS($C$2:Transactions_RAW_cleaned[[#This Row],[CustomerID]],Transactions_RAW_cleaned[[#This Row],[CustomerID]],$D$2:Transactions_RAW_cleaned[[#This Row],[ServiceID]],Transactions_RAW_cleaned[[#This Row],[ServiceID]])=1,"Yes","No")</f>
        <v>Yes</v>
      </c>
      <c r="S116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67" t="str">
        <f>"Q"&amp;ROUNDUP(MONTH(Transactions_RAW_cleaned[[#This Row],[TransactionDate]])/3,0)</f>
        <v>Q4</v>
      </c>
      <c r="U1167" t="str">
        <f>Transactions_RAW_cleaned[[#This Row],[Region ]]&amp;Transactions_RAW_cleaned[[#This Row],[Quarter ]]</f>
        <v>NAQ4</v>
      </c>
      <c r="V1167" s="5">
        <f>_xlfn.XLOOKUP(Transactions_RAW_cleaned[[#This Row],[RegionQuarterKey]], Quarterly_Targets_cleaned[RegionQuarterKey], Quarterly_Targets_cleaned[TargetRevenue])</f>
        <v>299000</v>
      </c>
    </row>
    <row r="1168" spans="1:22" x14ac:dyDescent="0.25">
      <c r="A1168" t="s">
        <v>1501</v>
      </c>
      <c r="B1168" s="1">
        <v>45385</v>
      </c>
      <c r="C1168" t="s">
        <v>92</v>
      </c>
      <c r="D1168" t="s">
        <v>309</v>
      </c>
      <c r="E1168">
        <v>298.88</v>
      </c>
      <c r="F1168" t="s">
        <v>324</v>
      </c>
      <c r="G1168" t="s">
        <v>325</v>
      </c>
      <c r="H1168" t="s">
        <v>334</v>
      </c>
      <c r="I1168" t="s">
        <v>8</v>
      </c>
      <c r="J1168" t="s">
        <v>102</v>
      </c>
      <c r="K1168" t="s">
        <v>10</v>
      </c>
      <c r="L1168" t="s">
        <v>310</v>
      </c>
      <c r="M1168" t="s">
        <v>311</v>
      </c>
      <c r="N1168">
        <v>0</v>
      </c>
      <c r="O1168" t="str">
        <f>IF(Transactions_RAW_cleaned[[#This Row],[Status]]="Completed", IFERROR(_xlfn.XLOOKUP(Transactions_RAW_cleaned[[#This Row],[CustomerID]], Customers_cleaned[CustomerID], Customers_cleaned[Segment]), "Customer Not Found"), "N/A")</f>
        <v>SMB</v>
      </c>
      <c r="P1168" s="5" t="str">
        <f>IF(Transactions_RAW_cleaned[[#This Row],[Status]]="Refunded", "Refund",
  IF(Transactions_RAW_cleaned[[#This Row],[Category]]="Payments", IF(Transactions_RAW_cleaned[[#This Row],[Amount]]&gt;500,"High Value","Standard"),
    IF(Transactions_RAW_cleaned[[#This Row],[Amount]]&gt;250,"High Value","Standard")))</f>
        <v>High Value</v>
      </c>
      <c r="Q1168" s="5" t="str">
        <f>IF(Transactions_RAW_cleaned[[#This Row],[Amount]] &gt; (_xlfn.XLOOKUP(Transactions_RAW_cleaned[[#This Row],[ServiceID]],Services_cleaned[ServiceID],Services_cleaned[TransactionFeePct]) * 10000), "Yes", "No")</f>
        <v>Yes</v>
      </c>
      <c r="R1168" s="5" t="str">
        <f>IF(COUNTIFS($C$2:Transactions_RAW_cleaned[[#This Row],[CustomerID]],Transactions_RAW_cleaned[[#This Row],[CustomerID]],$D$2:Transactions_RAW_cleaned[[#This Row],[ServiceID]],Transactions_RAW_cleaned[[#This Row],[ServiceID]])=1,"Yes","No")</f>
        <v>No</v>
      </c>
      <c r="S116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68" t="str">
        <f>"Q"&amp;ROUNDUP(MONTH(Transactions_RAW_cleaned[[#This Row],[TransactionDate]])/3,0)</f>
        <v>Q2</v>
      </c>
      <c r="U1168" t="str">
        <f>Transactions_RAW_cleaned[[#This Row],[Region ]]&amp;Transactions_RAW_cleaned[[#This Row],[Quarter ]]</f>
        <v>NAQ2</v>
      </c>
      <c r="V1168" s="5">
        <f>_xlfn.XLOOKUP(Transactions_RAW_cleaned[[#This Row],[RegionQuarterKey]], Quarterly_Targets_cleaned[RegionQuarterKey], Quarterly_Targets_cleaned[TargetRevenue])</f>
        <v>260000</v>
      </c>
    </row>
    <row r="1169" spans="1:22" x14ac:dyDescent="0.25">
      <c r="A1169" t="s">
        <v>1502</v>
      </c>
      <c r="B1169" s="1">
        <v>45643</v>
      </c>
      <c r="C1169" t="s">
        <v>233</v>
      </c>
      <c r="D1169" t="s">
        <v>315</v>
      </c>
      <c r="E1169">
        <v>410.86</v>
      </c>
      <c r="F1169" t="s">
        <v>381</v>
      </c>
      <c r="G1169" t="s">
        <v>337</v>
      </c>
      <c r="H1169" t="s">
        <v>346</v>
      </c>
      <c r="I1169" t="s">
        <v>8</v>
      </c>
      <c r="J1169" t="s">
        <v>13</v>
      </c>
      <c r="K1169" t="s">
        <v>14</v>
      </c>
      <c r="L1169" t="s">
        <v>316</v>
      </c>
      <c r="M1169" t="s">
        <v>305</v>
      </c>
      <c r="N1169">
        <v>2.5000000000000001E-3</v>
      </c>
      <c r="O1169" t="str">
        <f>IF(Transactions_RAW_cleaned[[#This Row],[Status]]="Completed", IFERROR(_xlfn.XLOOKUP(Transactions_RAW_cleaned[[#This Row],[CustomerID]], Customers_cleaned[CustomerID], Customers_cleaned[Segment]), "Customer Not Found"), "N/A")</f>
        <v>N/A</v>
      </c>
      <c r="P1169" s="5" t="str">
        <f>IF(Transactions_RAW_cleaned[[#This Row],[Status]]="Refunded", "Refund",
  IF(Transactions_RAW_cleaned[[#This Row],[Category]]="Payments", IF(Transactions_RAW_cleaned[[#This Row],[Amount]]&gt;500,"High Value","Standard"),
    IF(Transactions_RAW_cleaned[[#This Row],[Amount]]&gt;250,"High Value","Standard")))</f>
        <v>High Value</v>
      </c>
      <c r="Q1169" s="5" t="str">
        <f>IF(Transactions_RAW_cleaned[[#This Row],[Amount]] &gt; (_xlfn.XLOOKUP(Transactions_RAW_cleaned[[#This Row],[ServiceID]],Services_cleaned[ServiceID],Services_cleaned[TransactionFeePct]) * 10000), "Yes", "No")</f>
        <v>Yes</v>
      </c>
      <c r="R1169" s="5" t="str">
        <f>IF(COUNTIFS($C$2:Transactions_RAW_cleaned[[#This Row],[CustomerID]],Transactions_RAW_cleaned[[#This Row],[CustomerID]],$D$2:Transactions_RAW_cleaned[[#This Row],[ServiceID]],Transactions_RAW_cleaned[[#This Row],[ServiceID]])=1,"Yes","No")</f>
        <v>No</v>
      </c>
      <c r="S116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69" t="str">
        <f>"Q"&amp;ROUNDUP(MONTH(Transactions_RAW_cleaned[[#This Row],[TransactionDate]])/3,0)</f>
        <v>Q4</v>
      </c>
      <c r="U1169" t="str">
        <f>Transactions_RAW_cleaned[[#This Row],[Region ]]&amp;Transactions_RAW_cleaned[[#This Row],[Quarter ]]</f>
        <v>NAQ4</v>
      </c>
      <c r="V1169" s="5">
        <f>_xlfn.XLOOKUP(Transactions_RAW_cleaned[[#This Row],[RegionQuarterKey]], Quarterly_Targets_cleaned[RegionQuarterKey], Quarterly_Targets_cleaned[TargetRevenue])</f>
        <v>299000</v>
      </c>
    </row>
    <row r="1170" spans="1:22" x14ac:dyDescent="0.25">
      <c r="A1170" t="s">
        <v>1503</v>
      </c>
      <c r="B1170" s="1">
        <v>45371</v>
      </c>
      <c r="C1170" t="s">
        <v>255</v>
      </c>
      <c r="D1170" t="s">
        <v>294</v>
      </c>
      <c r="E1170">
        <v>46.77</v>
      </c>
      <c r="F1170" t="s">
        <v>324</v>
      </c>
      <c r="G1170" t="s">
        <v>337</v>
      </c>
      <c r="I1170" t="s">
        <v>17</v>
      </c>
      <c r="J1170" t="s">
        <v>21</v>
      </c>
      <c r="K1170" t="s">
        <v>28</v>
      </c>
      <c r="L1170" t="s">
        <v>295</v>
      </c>
      <c r="M1170" t="s">
        <v>296</v>
      </c>
      <c r="N1170">
        <v>2.9000000000000001E-2</v>
      </c>
      <c r="O1170" t="str">
        <f>IF(Transactions_RAW_cleaned[[#This Row],[Status]]="Completed", IFERROR(_xlfn.XLOOKUP(Transactions_RAW_cleaned[[#This Row],[CustomerID]], Customers_cleaned[CustomerID], Customers_cleaned[Segment]), "Customer Not Found"), "N/A")</f>
        <v>Enterprise</v>
      </c>
      <c r="P1170" s="5" t="str">
        <f>IF(Transactions_RAW_cleaned[[#This Row],[Status]]="Refunded", "Refund",
  IF(Transactions_RAW_cleaned[[#This Row],[Category]]="Payments", IF(Transactions_RAW_cleaned[[#This Row],[Amount]]&gt;500,"High Value","Standard"),
    IF(Transactions_RAW_cleaned[[#This Row],[Amount]]&gt;250,"High Value","Standard")))</f>
        <v>Standard</v>
      </c>
      <c r="Q1170" s="5" t="str">
        <f>IF(Transactions_RAW_cleaned[[#This Row],[Amount]] &gt; (_xlfn.XLOOKUP(Transactions_RAW_cleaned[[#This Row],[ServiceID]],Services_cleaned[ServiceID],Services_cleaned[TransactionFeePct]) * 10000), "Yes", "No")</f>
        <v>No</v>
      </c>
      <c r="R1170" s="5" t="str">
        <f>IF(COUNTIFS($C$2:Transactions_RAW_cleaned[[#This Row],[CustomerID]],Transactions_RAW_cleaned[[#This Row],[CustomerID]],$D$2:Transactions_RAW_cleaned[[#This Row],[ServiceID]],Transactions_RAW_cleaned[[#This Row],[ServiceID]])=1,"Yes","No")</f>
        <v>No</v>
      </c>
      <c r="S117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70" t="str">
        <f>"Q"&amp;ROUNDUP(MONTH(Transactions_RAW_cleaned[[#This Row],[TransactionDate]])/3,0)</f>
        <v>Q1</v>
      </c>
      <c r="U1170" t="str">
        <f>Transactions_RAW_cleaned[[#This Row],[Region ]]&amp;Transactions_RAW_cleaned[[#This Row],[Quarter ]]</f>
        <v>APACQ1</v>
      </c>
      <c r="V1170" s="5">
        <f>_xlfn.XLOOKUP(Transactions_RAW_cleaned[[#This Row],[RegionQuarterKey]], Quarterly_Targets_cleaned[RegionQuarterKey], Quarterly_Targets_cleaned[TargetRevenue])</f>
        <v>104500</v>
      </c>
    </row>
    <row r="1171" spans="1:22" x14ac:dyDescent="0.25">
      <c r="A1171" t="s">
        <v>1504</v>
      </c>
      <c r="B1171" s="1">
        <v>45556</v>
      </c>
      <c r="C1171" t="s">
        <v>35</v>
      </c>
      <c r="D1171" t="s">
        <v>300</v>
      </c>
      <c r="E1171">
        <v>203.42</v>
      </c>
      <c r="F1171" t="s">
        <v>381</v>
      </c>
      <c r="G1171" t="s">
        <v>327</v>
      </c>
      <c r="I1171" t="s">
        <v>8</v>
      </c>
      <c r="J1171" t="s">
        <v>37</v>
      </c>
      <c r="K1171" t="s">
        <v>28</v>
      </c>
      <c r="L1171" t="s">
        <v>301</v>
      </c>
      <c r="M1171" t="s">
        <v>302</v>
      </c>
      <c r="N1171">
        <v>5.0000000000000001E-3</v>
      </c>
      <c r="O1171" t="str">
        <f>IF(Transactions_RAW_cleaned[[#This Row],[Status]]="Completed", IFERROR(_xlfn.XLOOKUP(Transactions_RAW_cleaned[[#This Row],[CustomerID]], Customers_cleaned[CustomerID], Customers_cleaned[Segment]), "Customer Not Found"), "N/A")</f>
        <v>N/A</v>
      </c>
      <c r="P1171" s="5" t="str">
        <f>IF(Transactions_RAW_cleaned[[#This Row],[Status]]="Refunded", "Refund",
  IF(Transactions_RAW_cleaned[[#This Row],[Category]]="Payments", IF(Transactions_RAW_cleaned[[#This Row],[Amount]]&gt;500,"High Value","Standard"),
    IF(Transactions_RAW_cleaned[[#This Row],[Amount]]&gt;250,"High Value","Standard")))</f>
        <v>Standard</v>
      </c>
      <c r="Q1171" s="5" t="str">
        <f>IF(Transactions_RAW_cleaned[[#This Row],[Amount]] &gt; (_xlfn.XLOOKUP(Transactions_RAW_cleaned[[#This Row],[ServiceID]],Services_cleaned[ServiceID],Services_cleaned[TransactionFeePct]) * 10000), "Yes", "No")</f>
        <v>Yes</v>
      </c>
      <c r="R1171" s="5" t="str">
        <f>IF(COUNTIFS($C$2:Transactions_RAW_cleaned[[#This Row],[CustomerID]],Transactions_RAW_cleaned[[#This Row],[CustomerID]],$D$2:Transactions_RAW_cleaned[[#This Row],[ServiceID]],Transactions_RAW_cleaned[[#This Row],[ServiceID]])=1,"Yes","No")</f>
        <v>Yes</v>
      </c>
      <c r="S117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171" t="str">
        <f>"Q"&amp;ROUNDUP(MONTH(Transactions_RAW_cleaned[[#This Row],[TransactionDate]])/3,0)</f>
        <v>Q3</v>
      </c>
      <c r="U1171" t="str">
        <f>Transactions_RAW_cleaned[[#This Row],[Region ]]&amp;Transactions_RAW_cleaned[[#This Row],[Quarter ]]</f>
        <v>EMEAQ3</v>
      </c>
      <c r="V1171" s="5">
        <f>_xlfn.XLOOKUP(Transactions_RAW_cleaned[[#This Row],[RegionQuarterKey]], Quarterly_Targets_cleaned[RegionQuarterKey], Quarterly_Targets_cleaned[TargetRevenue])</f>
        <v>147000</v>
      </c>
    </row>
    <row r="1172" spans="1:22" x14ac:dyDescent="0.25">
      <c r="A1172" t="s">
        <v>1505</v>
      </c>
      <c r="B1172" s="1">
        <v>45489</v>
      </c>
      <c r="C1172" t="s">
        <v>243</v>
      </c>
      <c r="D1172" t="s">
        <v>312</v>
      </c>
      <c r="E1172">
        <v>184.56</v>
      </c>
      <c r="F1172" t="s">
        <v>324</v>
      </c>
      <c r="G1172" t="s">
        <v>329</v>
      </c>
      <c r="I1172" t="s">
        <v>17</v>
      </c>
      <c r="J1172" t="s">
        <v>13</v>
      </c>
      <c r="K1172" t="s">
        <v>28</v>
      </c>
      <c r="L1172" t="s">
        <v>313</v>
      </c>
      <c r="M1172" t="s">
        <v>314</v>
      </c>
      <c r="N1172">
        <v>0</v>
      </c>
      <c r="O1172" t="str">
        <f>IF(Transactions_RAW_cleaned[[#This Row],[Status]]="Completed", IFERROR(_xlfn.XLOOKUP(Transactions_RAW_cleaned[[#This Row],[CustomerID]], Customers_cleaned[CustomerID], Customers_cleaned[Segment]), "Customer Not Found"), "N/A")</f>
        <v>Enterprise</v>
      </c>
      <c r="P1172" s="5" t="str">
        <f>IF(Transactions_RAW_cleaned[[#This Row],[Status]]="Refunded", "Refund",
  IF(Transactions_RAW_cleaned[[#This Row],[Category]]="Payments", IF(Transactions_RAW_cleaned[[#This Row],[Amount]]&gt;500,"High Value","Standard"),
    IF(Transactions_RAW_cleaned[[#This Row],[Amount]]&gt;250,"High Value","Standard")))</f>
        <v>Standard</v>
      </c>
      <c r="Q1172" s="5" t="str">
        <f>IF(Transactions_RAW_cleaned[[#This Row],[Amount]] &gt; (_xlfn.XLOOKUP(Transactions_RAW_cleaned[[#This Row],[ServiceID]],Services_cleaned[ServiceID],Services_cleaned[TransactionFeePct]) * 10000), "Yes", "No")</f>
        <v>Yes</v>
      </c>
      <c r="R1172" s="5" t="str">
        <f>IF(COUNTIFS($C$2:Transactions_RAW_cleaned[[#This Row],[CustomerID]],Transactions_RAW_cleaned[[#This Row],[CustomerID]],$D$2:Transactions_RAW_cleaned[[#This Row],[ServiceID]],Transactions_RAW_cleaned[[#This Row],[ServiceID]])=1,"Yes","No")</f>
        <v>No</v>
      </c>
      <c r="S117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72" t="str">
        <f>"Q"&amp;ROUNDUP(MONTH(Transactions_RAW_cleaned[[#This Row],[TransactionDate]])/3,0)</f>
        <v>Q3</v>
      </c>
      <c r="U1172" t="str">
        <f>Transactions_RAW_cleaned[[#This Row],[Region ]]&amp;Transactions_RAW_cleaned[[#This Row],[Quarter ]]</f>
        <v>NAQ3</v>
      </c>
      <c r="V1172" s="5">
        <f>_xlfn.XLOOKUP(Transactions_RAW_cleaned[[#This Row],[RegionQuarterKey]], Quarterly_Targets_cleaned[RegionQuarterKey], Quarterly_Targets_cleaned[TargetRevenue])</f>
        <v>273000</v>
      </c>
    </row>
    <row r="1173" spans="1:22" x14ac:dyDescent="0.25">
      <c r="A1173" t="s">
        <v>1506</v>
      </c>
      <c r="B1173" s="1">
        <v>45527</v>
      </c>
      <c r="C1173" t="s">
        <v>227</v>
      </c>
      <c r="D1173" t="s">
        <v>294</v>
      </c>
      <c r="E1173">
        <v>150.18</v>
      </c>
      <c r="F1173" t="s">
        <v>324</v>
      </c>
      <c r="G1173" t="s">
        <v>337</v>
      </c>
      <c r="I1173" t="s">
        <v>57</v>
      </c>
      <c r="J1173" t="s">
        <v>31</v>
      </c>
      <c r="K1173" t="s">
        <v>32</v>
      </c>
      <c r="L1173" t="s">
        <v>295</v>
      </c>
      <c r="M1173" t="s">
        <v>296</v>
      </c>
      <c r="N1173">
        <v>2.9000000000000001E-2</v>
      </c>
      <c r="O1173" t="str">
        <f>IF(Transactions_RAW_cleaned[[#This Row],[Status]]="Completed", IFERROR(_xlfn.XLOOKUP(Transactions_RAW_cleaned[[#This Row],[CustomerID]], Customers_cleaned[CustomerID], Customers_cleaned[Segment]), "Customer Not Found"), "N/A")</f>
        <v>Startup</v>
      </c>
      <c r="P1173" s="5" t="str">
        <f>IF(Transactions_RAW_cleaned[[#This Row],[Status]]="Refunded", "Refund",
  IF(Transactions_RAW_cleaned[[#This Row],[Category]]="Payments", IF(Transactions_RAW_cleaned[[#This Row],[Amount]]&gt;500,"High Value","Standard"),
    IF(Transactions_RAW_cleaned[[#This Row],[Amount]]&gt;250,"High Value","Standard")))</f>
        <v>Standard</v>
      </c>
      <c r="Q1173" s="5" t="str">
        <f>IF(Transactions_RAW_cleaned[[#This Row],[Amount]] &gt; (_xlfn.XLOOKUP(Transactions_RAW_cleaned[[#This Row],[ServiceID]],Services_cleaned[ServiceID],Services_cleaned[TransactionFeePct]) * 10000), "Yes", "No")</f>
        <v>No</v>
      </c>
      <c r="R1173" s="5" t="str">
        <f>IF(COUNTIFS($C$2:Transactions_RAW_cleaned[[#This Row],[CustomerID]],Transactions_RAW_cleaned[[#This Row],[CustomerID]],$D$2:Transactions_RAW_cleaned[[#This Row],[ServiceID]],Transactions_RAW_cleaned[[#This Row],[ServiceID]])=1,"Yes","No")</f>
        <v>Yes</v>
      </c>
      <c r="S117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173" t="str">
        <f>"Q"&amp;ROUNDUP(MONTH(Transactions_RAW_cleaned[[#This Row],[TransactionDate]])/3,0)</f>
        <v>Q3</v>
      </c>
      <c r="U1173" t="str">
        <f>Transactions_RAW_cleaned[[#This Row],[Region ]]&amp;Transactions_RAW_cleaned[[#This Row],[Quarter ]]</f>
        <v>EMEAQ3</v>
      </c>
      <c r="V1173" s="5">
        <f>_xlfn.XLOOKUP(Transactions_RAW_cleaned[[#This Row],[RegionQuarterKey]], Quarterly_Targets_cleaned[RegionQuarterKey], Quarterly_Targets_cleaned[TargetRevenue])</f>
        <v>147000</v>
      </c>
    </row>
    <row r="1174" spans="1:22" x14ac:dyDescent="0.25">
      <c r="A1174" t="s">
        <v>1507</v>
      </c>
      <c r="B1174" s="1">
        <v>45523</v>
      </c>
      <c r="C1174" t="s">
        <v>237</v>
      </c>
      <c r="D1174" t="s">
        <v>294</v>
      </c>
      <c r="E1174">
        <v>92</v>
      </c>
      <c r="F1174" t="s">
        <v>324</v>
      </c>
      <c r="G1174" t="s">
        <v>327</v>
      </c>
      <c r="I1174" t="s">
        <v>8</v>
      </c>
      <c r="J1174" t="s">
        <v>46</v>
      </c>
      <c r="K1174" t="s">
        <v>10</v>
      </c>
      <c r="L1174" t="s">
        <v>295</v>
      </c>
      <c r="M1174" t="s">
        <v>296</v>
      </c>
      <c r="N1174">
        <v>2.9000000000000001E-2</v>
      </c>
      <c r="O1174" t="str">
        <f>IF(Transactions_RAW_cleaned[[#This Row],[Status]]="Completed", IFERROR(_xlfn.XLOOKUP(Transactions_RAW_cleaned[[#This Row],[CustomerID]], Customers_cleaned[CustomerID], Customers_cleaned[Segment]), "Customer Not Found"), "N/A")</f>
        <v>SMB</v>
      </c>
      <c r="P1174" s="5" t="str">
        <f>IF(Transactions_RAW_cleaned[[#This Row],[Status]]="Refunded", "Refund",
  IF(Transactions_RAW_cleaned[[#This Row],[Category]]="Payments", IF(Transactions_RAW_cleaned[[#This Row],[Amount]]&gt;500,"High Value","Standard"),
    IF(Transactions_RAW_cleaned[[#This Row],[Amount]]&gt;250,"High Value","Standard")))</f>
        <v>Standard</v>
      </c>
      <c r="Q1174" s="5" t="str">
        <f>IF(Transactions_RAW_cleaned[[#This Row],[Amount]] &gt; (_xlfn.XLOOKUP(Transactions_RAW_cleaned[[#This Row],[ServiceID]],Services_cleaned[ServiceID],Services_cleaned[TransactionFeePct]) * 10000), "Yes", "No")</f>
        <v>No</v>
      </c>
      <c r="R1174" s="5" t="str">
        <f>IF(COUNTIFS($C$2:Transactions_RAW_cleaned[[#This Row],[CustomerID]],Transactions_RAW_cleaned[[#This Row],[CustomerID]],$D$2:Transactions_RAW_cleaned[[#This Row],[ServiceID]],Transactions_RAW_cleaned[[#This Row],[ServiceID]])=1,"Yes","No")</f>
        <v>No</v>
      </c>
      <c r="S117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74" t="str">
        <f>"Q"&amp;ROUNDUP(MONTH(Transactions_RAW_cleaned[[#This Row],[TransactionDate]])/3,0)</f>
        <v>Q3</v>
      </c>
      <c r="U1174" t="str">
        <f>Transactions_RAW_cleaned[[#This Row],[Region ]]&amp;Transactions_RAW_cleaned[[#This Row],[Quarter ]]</f>
        <v>APACQ3</v>
      </c>
      <c r="V1174" s="5">
        <f>_xlfn.XLOOKUP(Transactions_RAW_cleaned[[#This Row],[RegionQuarterKey]], Quarterly_Targets_cleaned[RegionQuarterKey], Quarterly_Targets_cleaned[TargetRevenue])</f>
        <v>115500</v>
      </c>
    </row>
    <row r="1175" spans="1:22" x14ac:dyDescent="0.25">
      <c r="A1175" t="s">
        <v>1508</v>
      </c>
      <c r="B1175" s="1">
        <v>45377</v>
      </c>
      <c r="C1175" t="s">
        <v>271</v>
      </c>
      <c r="D1175" t="s">
        <v>294</v>
      </c>
      <c r="E1175">
        <v>899.51</v>
      </c>
      <c r="F1175" t="s">
        <v>324</v>
      </c>
      <c r="G1175" t="s">
        <v>329</v>
      </c>
      <c r="I1175" t="s">
        <v>8</v>
      </c>
      <c r="J1175" t="s">
        <v>102</v>
      </c>
      <c r="K1175" t="s">
        <v>28</v>
      </c>
      <c r="L1175" t="s">
        <v>295</v>
      </c>
      <c r="M1175" t="s">
        <v>296</v>
      </c>
      <c r="N1175">
        <v>2.9000000000000001E-2</v>
      </c>
      <c r="O1175" t="str">
        <f>IF(Transactions_RAW_cleaned[[#This Row],[Status]]="Completed", IFERROR(_xlfn.XLOOKUP(Transactions_RAW_cleaned[[#This Row],[CustomerID]], Customers_cleaned[CustomerID], Customers_cleaned[Segment]), "Customer Not Found"), "N/A")</f>
        <v>SMB</v>
      </c>
      <c r="P1175" s="5" t="str">
        <f>IF(Transactions_RAW_cleaned[[#This Row],[Status]]="Refunded", "Refund",
  IF(Transactions_RAW_cleaned[[#This Row],[Category]]="Payments", IF(Transactions_RAW_cleaned[[#This Row],[Amount]]&gt;500,"High Value","Standard"),
    IF(Transactions_RAW_cleaned[[#This Row],[Amount]]&gt;250,"High Value","Standard")))</f>
        <v>High Value</v>
      </c>
      <c r="Q1175" s="5" t="str">
        <f>IF(Transactions_RAW_cleaned[[#This Row],[Amount]] &gt; (_xlfn.XLOOKUP(Transactions_RAW_cleaned[[#This Row],[ServiceID]],Services_cleaned[ServiceID],Services_cleaned[TransactionFeePct]) * 10000), "Yes", "No")</f>
        <v>Yes</v>
      </c>
      <c r="R1175" s="5" t="str">
        <f>IF(COUNTIFS($C$2:Transactions_RAW_cleaned[[#This Row],[CustomerID]],Transactions_RAW_cleaned[[#This Row],[CustomerID]],$D$2:Transactions_RAW_cleaned[[#This Row],[ServiceID]],Transactions_RAW_cleaned[[#This Row],[ServiceID]])=1,"Yes","No")</f>
        <v>No</v>
      </c>
      <c r="S117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75" t="str">
        <f>"Q"&amp;ROUNDUP(MONTH(Transactions_RAW_cleaned[[#This Row],[TransactionDate]])/3,0)</f>
        <v>Q1</v>
      </c>
      <c r="U1175" t="str">
        <f>Transactions_RAW_cleaned[[#This Row],[Region ]]&amp;Transactions_RAW_cleaned[[#This Row],[Quarter ]]</f>
        <v>NAQ1</v>
      </c>
      <c r="V1175" s="5">
        <f>_xlfn.XLOOKUP(Transactions_RAW_cleaned[[#This Row],[RegionQuarterKey]], Quarterly_Targets_cleaned[RegionQuarterKey], Quarterly_Targets_cleaned[TargetRevenue])</f>
        <v>247000</v>
      </c>
    </row>
    <row r="1176" spans="1:22" x14ac:dyDescent="0.25">
      <c r="A1176" t="s">
        <v>1509</v>
      </c>
      <c r="B1176" s="1">
        <v>45458</v>
      </c>
      <c r="C1176" t="s">
        <v>189</v>
      </c>
      <c r="D1176" t="s">
        <v>312</v>
      </c>
      <c r="E1176">
        <v>172.5</v>
      </c>
      <c r="F1176" t="s">
        <v>324</v>
      </c>
      <c r="G1176" t="s">
        <v>329</v>
      </c>
      <c r="H1176" t="s">
        <v>334</v>
      </c>
      <c r="I1176" t="s">
        <v>17</v>
      </c>
      <c r="J1176" t="s">
        <v>102</v>
      </c>
      <c r="K1176" t="s">
        <v>14</v>
      </c>
      <c r="L1176" t="s">
        <v>313</v>
      </c>
      <c r="M1176" t="s">
        <v>314</v>
      </c>
      <c r="N1176">
        <v>0</v>
      </c>
      <c r="O1176" t="str">
        <f>IF(Transactions_RAW_cleaned[[#This Row],[Status]]="Completed", IFERROR(_xlfn.XLOOKUP(Transactions_RAW_cleaned[[#This Row],[CustomerID]], Customers_cleaned[CustomerID], Customers_cleaned[Segment]), "Customer Not Found"), "N/A")</f>
        <v>Enterprise</v>
      </c>
      <c r="P1176" s="5" t="str">
        <f>IF(Transactions_RAW_cleaned[[#This Row],[Status]]="Refunded", "Refund",
  IF(Transactions_RAW_cleaned[[#This Row],[Category]]="Payments", IF(Transactions_RAW_cleaned[[#This Row],[Amount]]&gt;500,"High Value","Standard"),
    IF(Transactions_RAW_cleaned[[#This Row],[Amount]]&gt;250,"High Value","Standard")))</f>
        <v>Standard</v>
      </c>
      <c r="Q1176" s="5" t="str">
        <f>IF(Transactions_RAW_cleaned[[#This Row],[Amount]] &gt; (_xlfn.XLOOKUP(Transactions_RAW_cleaned[[#This Row],[ServiceID]],Services_cleaned[ServiceID],Services_cleaned[TransactionFeePct]) * 10000), "Yes", "No")</f>
        <v>Yes</v>
      </c>
      <c r="R1176" s="5" t="str">
        <f>IF(COUNTIFS($C$2:Transactions_RAW_cleaned[[#This Row],[CustomerID]],Transactions_RAW_cleaned[[#This Row],[CustomerID]],$D$2:Transactions_RAW_cleaned[[#This Row],[ServiceID]],Transactions_RAW_cleaned[[#This Row],[ServiceID]])=1,"Yes","No")</f>
        <v>No</v>
      </c>
      <c r="S117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76" t="str">
        <f>"Q"&amp;ROUNDUP(MONTH(Transactions_RAW_cleaned[[#This Row],[TransactionDate]])/3,0)</f>
        <v>Q2</v>
      </c>
      <c r="U1176" t="str">
        <f>Transactions_RAW_cleaned[[#This Row],[Region ]]&amp;Transactions_RAW_cleaned[[#This Row],[Quarter ]]</f>
        <v>NAQ2</v>
      </c>
      <c r="V1176" s="5">
        <f>_xlfn.XLOOKUP(Transactions_RAW_cleaned[[#This Row],[RegionQuarterKey]], Quarterly_Targets_cleaned[RegionQuarterKey], Quarterly_Targets_cleaned[TargetRevenue])</f>
        <v>260000</v>
      </c>
    </row>
    <row r="1177" spans="1:22" x14ac:dyDescent="0.25">
      <c r="A1177" t="s">
        <v>1510</v>
      </c>
      <c r="B1177" s="1">
        <v>45641</v>
      </c>
      <c r="C1177" t="s">
        <v>84</v>
      </c>
      <c r="D1177" t="s">
        <v>294</v>
      </c>
      <c r="E1177">
        <v>341.67</v>
      </c>
      <c r="F1177" t="s">
        <v>324</v>
      </c>
      <c r="G1177" t="s">
        <v>325</v>
      </c>
      <c r="H1177" t="s">
        <v>332</v>
      </c>
      <c r="I1177" t="s">
        <v>8</v>
      </c>
      <c r="J1177" t="s">
        <v>46</v>
      </c>
      <c r="K1177" t="s">
        <v>28</v>
      </c>
      <c r="L1177" t="s">
        <v>295</v>
      </c>
      <c r="M1177" t="s">
        <v>296</v>
      </c>
      <c r="N1177">
        <v>2.9000000000000001E-2</v>
      </c>
      <c r="O1177" t="str">
        <f>IF(Transactions_RAW_cleaned[[#This Row],[Status]]="Completed", IFERROR(_xlfn.XLOOKUP(Transactions_RAW_cleaned[[#This Row],[CustomerID]], Customers_cleaned[CustomerID], Customers_cleaned[Segment]), "Customer Not Found"), "N/A")</f>
        <v>SMB</v>
      </c>
      <c r="P1177" s="5" t="str">
        <f>IF(Transactions_RAW_cleaned[[#This Row],[Status]]="Refunded", "Refund",
  IF(Transactions_RAW_cleaned[[#This Row],[Category]]="Payments", IF(Transactions_RAW_cleaned[[#This Row],[Amount]]&gt;500,"High Value","Standard"),
    IF(Transactions_RAW_cleaned[[#This Row],[Amount]]&gt;250,"High Value","Standard")))</f>
        <v>Standard</v>
      </c>
      <c r="Q1177" s="5" t="str">
        <f>IF(Transactions_RAW_cleaned[[#This Row],[Amount]] &gt; (_xlfn.XLOOKUP(Transactions_RAW_cleaned[[#This Row],[ServiceID]],Services_cleaned[ServiceID],Services_cleaned[TransactionFeePct]) * 10000), "Yes", "No")</f>
        <v>Yes</v>
      </c>
      <c r="R1177" s="5" t="str">
        <f>IF(COUNTIFS($C$2:Transactions_RAW_cleaned[[#This Row],[CustomerID]],Transactions_RAW_cleaned[[#This Row],[CustomerID]],$D$2:Transactions_RAW_cleaned[[#This Row],[ServiceID]],Transactions_RAW_cleaned[[#This Row],[ServiceID]])=1,"Yes","No")</f>
        <v>No</v>
      </c>
      <c r="S117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77" t="str">
        <f>"Q"&amp;ROUNDUP(MONTH(Transactions_RAW_cleaned[[#This Row],[TransactionDate]])/3,0)</f>
        <v>Q4</v>
      </c>
      <c r="U1177" t="str">
        <f>Transactions_RAW_cleaned[[#This Row],[Region ]]&amp;Transactions_RAW_cleaned[[#This Row],[Quarter ]]</f>
        <v>APACQ4</v>
      </c>
      <c r="V1177" s="5">
        <f>_xlfn.XLOOKUP(Transactions_RAW_cleaned[[#This Row],[RegionQuarterKey]], Quarterly_Targets_cleaned[RegionQuarterKey], Quarterly_Targets_cleaned[TargetRevenue])</f>
        <v>126500</v>
      </c>
    </row>
    <row r="1178" spans="1:22" x14ac:dyDescent="0.25">
      <c r="A1178" t="s">
        <v>1511</v>
      </c>
      <c r="B1178" s="1">
        <v>45377</v>
      </c>
      <c r="C1178" t="s">
        <v>159</v>
      </c>
      <c r="D1178" t="s">
        <v>294</v>
      </c>
      <c r="E1178">
        <v>749.93</v>
      </c>
      <c r="F1178" t="s">
        <v>324</v>
      </c>
      <c r="G1178" t="s">
        <v>329</v>
      </c>
      <c r="I1178" t="s">
        <v>57</v>
      </c>
      <c r="J1178" t="s">
        <v>25</v>
      </c>
      <c r="K1178" t="s">
        <v>22</v>
      </c>
      <c r="L1178" t="s">
        <v>295</v>
      </c>
      <c r="M1178" t="s">
        <v>296</v>
      </c>
      <c r="N1178">
        <v>2.9000000000000001E-2</v>
      </c>
      <c r="O1178" t="str">
        <f>IF(Transactions_RAW_cleaned[[#This Row],[Status]]="Completed", IFERROR(_xlfn.XLOOKUP(Transactions_RAW_cleaned[[#This Row],[CustomerID]], Customers_cleaned[CustomerID], Customers_cleaned[Segment]), "Customer Not Found"), "N/A")</f>
        <v>Startup</v>
      </c>
      <c r="P1178" s="5" t="str">
        <f>IF(Transactions_RAW_cleaned[[#This Row],[Status]]="Refunded", "Refund",
  IF(Transactions_RAW_cleaned[[#This Row],[Category]]="Payments", IF(Transactions_RAW_cleaned[[#This Row],[Amount]]&gt;500,"High Value","Standard"),
    IF(Transactions_RAW_cleaned[[#This Row],[Amount]]&gt;250,"High Value","Standard")))</f>
        <v>High Value</v>
      </c>
      <c r="Q1178" s="5" t="str">
        <f>IF(Transactions_RAW_cleaned[[#This Row],[Amount]] &gt; (_xlfn.XLOOKUP(Transactions_RAW_cleaned[[#This Row],[ServiceID]],Services_cleaned[ServiceID],Services_cleaned[TransactionFeePct]) * 10000), "Yes", "No")</f>
        <v>Yes</v>
      </c>
      <c r="R1178" s="5" t="str">
        <f>IF(COUNTIFS($C$2:Transactions_RAW_cleaned[[#This Row],[CustomerID]],Transactions_RAW_cleaned[[#This Row],[CustomerID]],$D$2:Transactions_RAW_cleaned[[#This Row],[ServiceID]],Transactions_RAW_cleaned[[#This Row],[ServiceID]])=1,"Yes","No")</f>
        <v>No</v>
      </c>
      <c r="S117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78" t="str">
        <f>"Q"&amp;ROUNDUP(MONTH(Transactions_RAW_cleaned[[#This Row],[TransactionDate]])/3,0)</f>
        <v>Q1</v>
      </c>
      <c r="U1178" t="str">
        <f>Transactions_RAW_cleaned[[#This Row],[Region ]]&amp;Transactions_RAW_cleaned[[#This Row],[Quarter ]]</f>
        <v>APACQ1</v>
      </c>
      <c r="V1178" s="5">
        <f>_xlfn.XLOOKUP(Transactions_RAW_cleaned[[#This Row],[RegionQuarterKey]], Quarterly_Targets_cleaned[RegionQuarterKey], Quarterly_Targets_cleaned[TargetRevenue])</f>
        <v>104500</v>
      </c>
    </row>
    <row r="1179" spans="1:22" x14ac:dyDescent="0.25">
      <c r="A1179" t="s">
        <v>1512</v>
      </c>
      <c r="B1179" s="1">
        <v>45440</v>
      </c>
      <c r="C1179" t="s">
        <v>121</v>
      </c>
      <c r="D1179" t="s">
        <v>294</v>
      </c>
      <c r="E1179">
        <v>392.09</v>
      </c>
      <c r="F1179" t="s">
        <v>324</v>
      </c>
      <c r="G1179" t="s">
        <v>337</v>
      </c>
      <c r="I1179" t="s">
        <v>8</v>
      </c>
      <c r="J1179" t="s">
        <v>37</v>
      </c>
      <c r="K1179" t="s">
        <v>14</v>
      </c>
      <c r="L1179" t="s">
        <v>295</v>
      </c>
      <c r="M1179" t="s">
        <v>296</v>
      </c>
      <c r="N1179">
        <v>2.9000000000000001E-2</v>
      </c>
      <c r="O1179" t="str">
        <f>IF(Transactions_RAW_cleaned[[#This Row],[Status]]="Completed", IFERROR(_xlfn.XLOOKUP(Transactions_RAW_cleaned[[#This Row],[CustomerID]], Customers_cleaned[CustomerID], Customers_cleaned[Segment]), "Customer Not Found"), "N/A")</f>
        <v>SMB</v>
      </c>
      <c r="P1179" s="5" t="str">
        <f>IF(Transactions_RAW_cleaned[[#This Row],[Status]]="Refunded", "Refund",
  IF(Transactions_RAW_cleaned[[#This Row],[Category]]="Payments", IF(Transactions_RAW_cleaned[[#This Row],[Amount]]&gt;500,"High Value","Standard"),
    IF(Transactions_RAW_cleaned[[#This Row],[Amount]]&gt;250,"High Value","Standard")))</f>
        <v>Standard</v>
      </c>
      <c r="Q1179" s="5" t="str">
        <f>IF(Transactions_RAW_cleaned[[#This Row],[Amount]] &gt; (_xlfn.XLOOKUP(Transactions_RAW_cleaned[[#This Row],[ServiceID]],Services_cleaned[ServiceID],Services_cleaned[TransactionFeePct]) * 10000), "Yes", "No")</f>
        <v>Yes</v>
      </c>
      <c r="R1179" s="5" t="str">
        <f>IF(COUNTIFS($C$2:Transactions_RAW_cleaned[[#This Row],[CustomerID]],Transactions_RAW_cleaned[[#This Row],[CustomerID]],$D$2:Transactions_RAW_cleaned[[#This Row],[ServiceID]],Transactions_RAW_cleaned[[#This Row],[ServiceID]])=1,"Yes","No")</f>
        <v>No</v>
      </c>
      <c r="S117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179" t="str">
        <f>"Q"&amp;ROUNDUP(MONTH(Transactions_RAW_cleaned[[#This Row],[TransactionDate]])/3,0)</f>
        <v>Q2</v>
      </c>
      <c r="U1179" t="str">
        <f>Transactions_RAW_cleaned[[#This Row],[Region ]]&amp;Transactions_RAW_cleaned[[#This Row],[Quarter ]]</f>
        <v>EMEAQ2</v>
      </c>
      <c r="V1179" s="5">
        <f>_xlfn.XLOOKUP(Transactions_RAW_cleaned[[#This Row],[RegionQuarterKey]], Quarterly_Targets_cleaned[RegionQuarterKey], Quarterly_Targets_cleaned[TargetRevenue])</f>
        <v>140000</v>
      </c>
    </row>
    <row r="1180" spans="1:22" x14ac:dyDescent="0.25">
      <c r="A1180" t="s">
        <v>1513</v>
      </c>
      <c r="B1180" s="1">
        <v>45368</v>
      </c>
      <c r="C1180" t="s">
        <v>157</v>
      </c>
      <c r="D1180" t="s">
        <v>297</v>
      </c>
      <c r="E1180">
        <v>739.07</v>
      </c>
      <c r="F1180" t="s">
        <v>324</v>
      </c>
      <c r="G1180" t="s">
        <v>327</v>
      </c>
      <c r="H1180" t="s">
        <v>332</v>
      </c>
      <c r="I1180" t="s">
        <v>8</v>
      </c>
      <c r="J1180" t="s">
        <v>102</v>
      </c>
      <c r="K1180" t="s">
        <v>14</v>
      </c>
      <c r="L1180" t="s">
        <v>298</v>
      </c>
      <c r="M1180" t="s">
        <v>299</v>
      </c>
      <c r="N1180">
        <v>0</v>
      </c>
      <c r="O1180" t="str">
        <f>IF(Transactions_RAW_cleaned[[#This Row],[Status]]="Completed", IFERROR(_xlfn.XLOOKUP(Transactions_RAW_cleaned[[#This Row],[CustomerID]], Customers_cleaned[CustomerID], Customers_cleaned[Segment]), "Customer Not Found"), "N/A")</f>
        <v>SMB</v>
      </c>
      <c r="P1180" s="5" t="str">
        <f>IF(Transactions_RAW_cleaned[[#This Row],[Status]]="Refunded", "Refund",
  IF(Transactions_RAW_cleaned[[#This Row],[Category]]="Payments", IF(Transactions_RAW_cleaned[[#This Row],[Amount]]&gt;500,"High Value","Standard"),
    IF(Transactions_RAW_cleaned[[#This Row],[Amount]]&gt;250,"High Value","Standard")))</f>
        <v>High Value</v>
      </c>
      <c r="Q1180" s="5" t="str">
        <f>IF(Transactions_RAW_cleaned[[#This Row],[Amount]] &gt; (_xlfn.XLOOKUP(Transactions_RAW_cleaned[[#This Row],[ServiceID]],Services_cleaned[ServiceID],Services_cleaned[TransactionFeePct]) * 10000), "Yes", "No")</f>
        <v>Yes</v>
      </c>
      <c r="R1180" s="5" t="str">
        <f>IF(COUNTIFS($C$2:Transactions_RAW_cleaned[[#This Row],[CustomerID]],Transactions_RAW_cleaned[[#This Row],[CustomerID]],$D$2:Transactions_RAW_cleaned[[#This Row],[ServiceID]],Transactions_RAW_cleaned[[#This Row],[ServiceID]])=1,"Yes","No")</f>
        <v>No</v>
      </c>
      <c r="S118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80" t="str">
        <f>"Q"&amp;ROUNDUP(MONTH(Transactions_RAW_cleaned[[#This Row],[TransactionDate]])/3,0)</f>
        <v>Q1</v>
      </c>
      <c r="U1180" t="str">
        <f>Transactions_RAW_cleaned[[#This Row],[Region ]]&amp;Transactions_RAW_cleaned[[#This Row],[Quarter ]]</f>
        <v>NAQ1</v>
      </c>
      <c r="V1180" s="5">
        <f>_xlfn.XLOOKUP(Transactions_RAW_cleaned[[#This Row],[RegionQuarterKey]], Quarterly_Targets_cleaned[RegionQuarterKey], Quarterly_Targets_cleaned[TargetRevenue])</f>
        <v>247000</v>
      </c>
    </row>
    <row r="1181" spans="1:22" x14ac:dyDescent="0.25">
      <c r="A1181" t="s">
        <v>1514</v>
      </c>
      <c r="B1181" s="1">
        <v>45584</v>
      </c>
      <c r="C1181" t="s">
        <v>189</v>
      </c>
      <c r="D1181" t="s">
        <v>294</v>
      </c>
      <c r="E1181">
        <v>310.60000000000002</v>
      </c>
      <c r="F1181" t="s">
        <v>381</v>
      </c>
      <c r="G1181" t="s">
        <v>325</v>
      </c>
      <c r="H1181" t="s">
        <v>334</v>
      </c>
      <c r="I1181" t="s">
        <v>17</v>
      </c>
      <c r="J1181" t="s">
        <v>102</v>
      </c>
      <c r="K1181" t="s">
        <v>14</v>
      </c>
      <c r="L1181" t="s">
        <v>295</v>
      </c>
      <c r="M1181" t="s">
        <v>296</v>
      </c>
      <c r="N1181">
        <v>2.9000000000000001E-2</v>
      </c>
      <c r="O1181" t="str">
        <f>IF(Transactions_RAW_cleaned[[#This Row],[Status]]="Completed", IFERROR(_xlfn.XLOOKUP(Transactions_RAW_cleaned[[#This Row],[CustomerID]], Customers_cleaned[CustomerID], Customers_cleaned[Segment]), "Customer Not Found"), "N/A")</f>
        <v>N/A</v>
      </c>
      <c r="P1181" s="5" t="str">
        <f>IF(Transactions_RAW_cleaned[[#This Row],[Status]]="Refunded", "Refund",
  IF(Transactions_RAW_cleaned[[#This Row],[Category]]="Payments", IF(Transactions_RAW_cleaned[[#This Row],[Amount]]&gt;500,"High Value","Standard"),
    IF(Transactions_RAW_cleaned[[#This Row],[Amount]]&gt;250,"High Value","Standard")))</f>
        <v>Standard</v>
      </c>
      <c r="Q1181" s="5" t="str">
        <f>IF(Transactions_RAW_cleaned[[#This Row],[Amount]] &gt; (_xlfn.XLOOKUP(Transactions_RAW_cleaned[[#This Row],[ServiceID]],Services_cleaned[ServiceID],Services_cleaned[TransactionFeePct]) * 10000), "Yes", "No")</f>
        <v>Yes</v>
      </c>
      <c r="R1181" s="5" t="str">
        <f>IF(COUNTIFS($C$2:Transactions_RAW_cleaned[[#This Row],[CustomerID]],Transactions_RAW_cleaned[[#This Row],[CustomerID]],$D$2:Transactions_RAW_cleaned[[#This Row],[ServiceID]],Transactions_RAW_cleaned[[#This Row],[ServiceID]])=1,"Yes","No")</f>
        <v>No</v>
      </c>
      <c r="S118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81" t="str">
        <f>"Q"&amp;ROUNDUP(MONTH(Transactions_RAW_cleaned[[#This Row],[TransactionDate]])/3,0)</f>
        <v>Q4</v>
      </c>
      <c r="U1181" t="str">
        <f>Transactions_RAW_cleaned[[#This Row],[Region ]]&amp;Transactions_RAW_cleaned[[#This Row],[Quarter ]]</f>
        <v>NAQ4</v>
      </c>
      <c r="V1181" s="5">
        <f>_xlfn.XLOOKUP(Transactions_RAW_cleaned[[#This Row],[RegionQuarterKey]], Quarterly_Targets_cleaned[RegionQuarterKey], Quarterly_Targets_cleaned[TargetRevenue])</f>
        <v>299000</v>
      </c>
    </row>
    <row r="1182" spans="1:22" x14ac:dyDescent="0.25">
      <c r="A1182" t="s">
        <v>1515</v>
      </c>
      <c r="B1182" s="1">
        <v>45584</v>
      </c>
      <c r="C1182" t="s">
        <v>181</v>
      </c>
      <c r="D1182" t="s">
        <v>297</v>
      </c>
      <c r="E1182">
        <v>-158.68</v>
      </c>
      <c r="F1182" t="s">
        <v>349</v>
      </c>
      <c r="G1182" t="s">
        <v>2963</v>
      </c>
      <c r="I1182" t="s">
        <v>17</v>
      </c>
      <c r="J1182" t="s">
        <v>21</v>
      </c>
      <c r="K1182" t="s">
        <v>10</v>
      </c>
      <c r="L1182" t="s">
        <v>298</v>
      </c>
      <c r="M1182" t="s">
        <v>299</v>
      </c>
      <c r="N1182">
        <v>0</v>
      </c>
      <c r="O1182" t="str">
        <f>IF(Transactions_RAW_cleaned[[#This Row],[Status]]="Completed", IFERROR(_xlfn.XLOOKUP(Transactions_RAW_cleaned[[#This Row],[CustomerID]], Customers_cleaned[CustomerID], Customers_cleaned[Segment]), "Customer Not Found"), "N/A")</f>
        <v>N/A</v>
      </c>
      <c r="P1182" s="5" t="str">
        <f>IF(Transactions_RAW_cleaned[[#This Row],[Status]]="Refunded", "Refund",
  IF(Transactions_RAW_cleaned[[#This Row],[Category]]="Payments", IF(Transactions_RAW_cleaned[[#This Row],[Amount]]&gt;500,"High Value","Standard"),
    IF(Transactions_RAW_cleaned[[#This Row],[Amount]]&gt;250,"High Value","Standard")))</f>
        <v>Refund</v>
      </c>
      <c r="Q1182" s="5" t="str">
        <f>IF(Transactions_RAW_cleaned[[#This Row],[Amount]] &gt; (_xlfn.XLOOKUP(Transactions_RAW_cleaned[[#This Row],[ServiceID]],Services_cleaned[ServiceID],Services_cleaned[TransactionFeePct]) * 10000), "Yes", "No")</f>
        <v>No</v>
      </c>
      <c r="R1182" s="5" t="str">
        <f>IF(COUNTIFS($C$2:Transactions_RAW_cleaned[[#This Row],[CustomerID]],Transactions_RAW_cleaned[[#This Row],[CustomerID]],$D$2:Transactions_RAW_cleaned[[#This Row],[ServiceID]],Transactions_RAW_cleaned[[#This Row],[ServiceID]])=1,"Yes","No")</f>
        <v>No</v>
      </c>
      <c r="S118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82" t="str">
        <f>"Q"&amp;ROUNDUP(MONTH(Transactions_RAW_cleaned[[#This Row],[TransactionDate]])/3,0)</f>
        <v>Q4</v>
      </c>
      <c r="U1182" t="str">
        <f>Transactions_RAW_cleaned[[#This Row],[Region ]]&amp;Transactions_RAW_cleaned[[#This Row],[Quarter ]]</f>
        <v>APACQ4</v>
      </c>
      <c r="V1182" s="5">
        <f>_xlfn.XLOOKUP(Transactions_RAW_cleaned[[#This Row],[RegionQuarterKey]], Quarterly_Targets_cleaned[RegionQuarterKey], Quarterly_Targets_cleaned[TargetRevenue])</f>
        <v>126500</v>
      </c>
    </row>
    <row r="1183" spans="1:22" x14ac:dyDescent="0.25">
      <c r="A1183" t="s">
        <v>1516</v>
      </c>
      <c r="B1183" s="1">
        <v>45514</v>
      </c>
      <c r="C1183" t="s">
        <v>23</v>
      </c>
      <c r="D1183" t="s">
        <v>294</v>
      </c>
      <c r="E1183">
        <v>-484.93</v>
      </c>
      <c r="F1183" t="s">
        <v>349</v>
      </c>
      <c r="G1183" t="s">
        <v>325</v>
      </c>
      <c r="H1183" t="s">
        <v>334</v>
      </c>
      <c r="I1183" t="s">
        <v>8</v>
      </c>
      <c r="J1183" t="s">
        <v>25</v>
      </c>
      <c r="K1183" t="s">
        <v>22</v>
      </c>
      <c r="L1183" t="s">
        <v>295</v>
      </c>
      <c r="M1183" t="s">
        <v>296</v>
      </c>
      <c r="N1183">
        <v>2.9000000000000001E-2</v>
      </c>
      <c r="O1183" t="str">
        <f>IF(Transactions_RAW_cleaned[[#This Row],[Status]]="Completed", IFERROR(_xlfn.XLOOKUP(Transactions_RAW_cleaned[[#This Row],[CustomerID]], Customers_cleaned[CustomerID], Customers_cleaned[Segment]), "Customer Not Found"), "N/A")</f>
        <v>N/A</v>
      </c>
      <c r="P1183" s="5" t="str">
        <f>IF(Transactions_RAW_cleaned[[#This Row],[Status]]="Refunded", "Refund",
  IF(Transactions_RAW_cleaned[[#This Row],[Category]]="Payments", IF(Transactions_RAW_cleaned[[#This Row],[Amount]]&gt;500,"High Value","Standard"),
    IF(Transactions_RAW_cleaned[[#This Row],[Amount]]&gt;250,"High Value","Standard")))</f>
        <v>Refund</v>
      </c>
      <c r="Q1183" s="5" t="str">
        <f>IF(Transactions_RAW_cleaned[[#This Row],[Amount]] &gt; (_xlfn.XLOOKUP(Transactions_RAW_cleaned[[#This Row],[ServiceID]],Services_cleaned[ServiceID],Services_cleaned[TransactionFeePct]) * 10000), "Yes", "No")</f>
        <v>No</v>
      </c>
      <c r="R1183" s="5" t="str">
        <f>IF(COUNTIFS($C$2:Transactions_RAW_cleaned[[#This Row],[CustomerID]],Transactions_RAW_cleaned[[#This Row],[CustomerID]],$D$2:Transactions_RAW_cleaned[[#This Row],[ServiceID]],Transactions_RAW_cleaned[[#This Row],[ServiceID]])=1,"Yes","No")</f>
        <v>No</v>
      </c>
      <c r="S118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83" t="str">
        <f>"Q"&amp;ROUNDUP(MONTH(Transactions_RAW_cleaned[[#This Row],[TransactionDate]])/3,0)</f>
        <v>Q3</v>
      </c>
      <c r="U1183" t="str">
        <f>Transactions_RAW_cleaned[[#This Row],[Region ]]&amp;Transactions_RAW_cleaned[[#This Row],[Quarter ]]</f>
        <v>APACQ3</v>
      </c>
      <c r="V1183" s="5">
        <f>_xlfn.XLOOKUP(Transactions_RAW_cleaned[[#This Row],[RegionQuarterKey]], Quarterly_Targets_cleaned[RegionQuarterKey], Quarterly_Targets_cleaned[TargetRevenue])</f>
        <v>115500</v>
      </c>
    </row>
    <row r="1184" spans="1:22" x14ac:dyDescent="0.25">
      <c r="A1184" t="s">
        <v>1517</v>
      </c>
      <c r="B1184" s="1">
        <v>45432</v>
      </c>
      <c r="C1184" t="s">
        <v>129</v>
      </c>
      <c r="D1184" t="s">
        <v>312</v>
      </c>
      <c r="E1184">
        <v>373.63</v>
      </c>
      <c r="F1184" t="s">
        <v>324</v>
      </c>
      <c r="G1184" t="s">
        <v>325</v>
      </c>
      <c r="H1184" t="s">
        <v>332</v>
      </c>
      <c r="I1184" t="s">
        <v>8</v>
      </c>
      <c r="J1184" t="s">
        <v>21</v>
      </c>
      <c r="K1184" t="s">
        <v>18</v>
      </c>
      <c r="L1184" t="s">
        <v>313</v>
      </c>
      <c r="M1184" t="s">
        <v>314</v>
      </c>
      <c r="N1184">
        <v>0</v>
      </c>
      <c r="O1184" t="str">
        <f>IF(Transactions_RAW_cleaned[[#This Row],[Status]]="Completed", IFERROR(_xlfn.XLOOKUP(Transactions_RAW_cleaned[[#This Row],[CustomerID]], Customers_cleaned[CustomerID], Customers_cleaned[Segment]), "Customer Not Found"), "N/A")</f>
        <v>SMB</v>
      </c>
      <c r="P1184" s="5" t="str">
        <f>IF(Transactions_RAW_cleaned[[#This Row],[Status]]="Refunded", "Refund",
  IF(Transactions_RAW_cleaned[[#This Row],[Category]]="Payments", IF(Transactions_RAW_cleaned[[#This Row],[Amount]]&gt;500,"High Value","Standard"),
    IF(Transactions_RAW_cleaned[[#This Row],[Amount]]&gt;250,"High Value","Standard")))</f>
        <v>High Value</v>
      </c>
      <c r="Q1184" s="5" t="str">
        <f>IF(Transactions_RAW_cleaned[[#This Row],[Amount]] &gt; (_xlfn.XLOOKUP(Transactions_RAW_cleaned[[#This Row],[ServiceID]],Services_cleaned[ServiceID],Services_cleaned[TransactionFeePct]) * 10000), "Yes", "No")</f>
        <v>Yes</v>
      </c>
      <c r="R1184" s="5" t="str">
        <f>IF(COUNTIFS($C$2:Transactions_RAW_cleaned[[#This Row],[CustomerID]],Transactions_RAW_cleaned[[#This Row],[CustomerID]],$D$2:Transactions_RAW_cleaned[[#This Row],[ServiceID]],Transactions_RAW_cleaned[[#This Row],[ServiceID]])=1,"Yes","No")</f>
        <v>No</v>
      </c>
      <c r="S118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84" t="str">
        <f>"Q"&amp;ROUNDUP(MONTH(Transactions_RAW_cleaned[[#This Row],[TransactionDate]])/3,0)</f>
        <v>Q2</v>
      </c>
      <c r="U1184" t="str">
        <f>Transactions_RAW_cleaned[[#This Row],[Region ]]&amp;Transactions_RAW_cleaned[[#This Row],[Quarter ]]</f>
        <v>APACQ2</v>
      </c>
      <c r="V1184" s="5">
        <f>_xlfn.XLOOKUP(Transactions_RAW_cleaned[[#This Row],[RegionQuarterKey]], Quarterly_Targets_cleaned[RegionQuarterKey], Quarterly_Targets_cleaned[TargetRevenue])</f>
        <v>110000</v>
      </c>
    </row>
    <row r="1185" spans="1:22" x14ac:dyDescent="0.25">
      <c r="A1185" t="s">
        <v>1518</v>
      </c>
      <c r="B1185" s="1">
        <v>45379</v>
      </c>
      <c r="C1185" t="s">
        <v>119</v>
      </c>
      <c r="D1185" t="s">
        <v>315</v>
      </c>
      <c r="E1185">
        <v>316.35000000000002</v>
      </c>
      <c r="F1185" t="s">
        <v>331</v>
      </c>
      <c r="G1185" t="s">
        <v>2963</v>
      </c>
      <c r="I1185" t="s">
        <v>57</v>
      </c>
      <c r="J1185" t="s">
        <v>102</v>
      </c>
      <c r="K1185" t="s">
        <v>18</v>
      </c>
      <c r="L1185" t="s">
        <v>316</v>
      </c>
      <c r="M1185" t="s">
        <v>305</v>
      </c>
      <c r="N1185">
        <v>2.5000000000000001E-3</v>
      </c>
      <c r="O1185" t="str">
        <f>IF(Transactions_RAW_cleaned[[#This Row],[Status]]="Completed", IFERROR(_xlfn.XLOOKUP(Transactions_RAW_cleaned[[#This Row],[CustomerID]], Customers_cleaned[CustomerID], Customers_cleaned[Segment]), "Customer Not Found"), "N/A")</f>
        <v>N/A</v>
      </c>
      <c r="P1185" s="5" t="str">
        <f>IF(Transactions_RAW_cleaned[[#This Row],[Status]]="Refunded", "Refund",
  IF(Transactions_RAW_cleaned[[#This Row],[Category]]="Payments", IF(Transactions_RAW_cleaned[[#This Row],[Amount]]&gt;500,"High Value","Standard"),
    IF(Transactions_RAW_cleaned[[#This Row],[Amount]]&gt;250,"High Value","Standard")))</f>
        <v>High Value</v>
      </c>
      <c r="Q1185" s="5" t="str">
        <f>IF(Transactions_RAW_cleaned[[#This Row],[Amount]] &gt; (_xlfn.XLOOKUP(Transactions_RAW_cleaned[[#This Row],[ServiceID]],Services_cleaned[ServiceID],Services_cleaned[TransactionFeePct]) * 10000), "Yes", "No")</f>
        <v>Yes</v>
      </c>
      <c r="R1185" s="5" t="str">
        <f>IF(COUNTIFS($C$2:Transactions_RAW_cleaned[[#This Row],[CustomerID]],Transactions_RAW_cleaned[[#This Row],[CustomerID]],$D$2:Transactions_RAW_cleaned[[#This Row],[ServiceID]],Transactions_RAW_cleaned[[#This Row],[ServiceID]])=1,"Yes","No")</f>
        <v>No</v>
      </c>
      <c r="S118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85" t="str">
        <f>"Q"&amp;ROUNDUP(MONTH(Transactions_RAW_cleaned[[#This Row],[TransactionDate]])/3,0)</f>
        <v>Q1</v>
      </c>
      <c r="U1185" t="str">
        <f>Transactions_RAW_cleaned[[#This Row],[Region ]]&amp;Transactions_RAW_cleaned[[#This Row],[Quarter ]]</f>
        <v>NAQ1</v>
      </c>
      <c r="V1185" s="5">
        <f>_xlfn.XLOOKUP(Transactions_RAW_cleaned[[#This Row],[RegionQuarterKey]], Quarterly_Targets_cleaned[RegionQuarterKey], Quarterly_Targets_cleaned[TargetRevenue])</f>
        <v>247000</v>
      </c>
    </row>
    <row r="1186" spans="1:22" x14ac:dyDescent="0.25">
      <c r="A1186" t="s">
        <v>1519</v>
      </c>
      <c r="B1186" s="1">
        <v>45329</v>
      </c>
      <c r="C1186" t="s">
        <v>151</v>
      </c>
      <c r="D1186" t="s">
        <v>294</v>
      </c>
      <c r="E1186">
        <v>306.54000000000002</v>
      </c>
      <c r="F1186" t="s">
        <v>324</v>
      </c>
      <c r="G1186" t="s">
        <v>325</v>
      </c>
      <c r="I1186" t="s">
        <v>8</v>
      </c>
      <c r="J1186" t="s">
        <v>46</v>
      </c>
      <c r="K1186" t="s">
        <v>18</v>
      </c>
      <c r="L1186" t="s">
        <v>295</v>
      </c>
      <c r="M1186" t="s">
        <v>296</v>
      </c>
      <c r="N1186">
        <v>2.9000000000000001E-2</v>
      </c>
      <c r="O1186" t="str">
        <f>IF(Transactions_RAW_cleaned[[#This Row],[Status]]="Completed", IFERROR(_xlfn.XLOOKUP(Transactions_RAW_cleaned[[#This Row],[CustomerID]], Customers_cleaned[CustomerID], Customers_cleaned[Segment]), "Customer Not Found"), "N/A")</f>
        <v>SMB</v>
      </c>
      <c r="P1186" s="5" t="str">
        <f>IF(Transactions_RAW_cleaned[[#This Row],[Status]]="Refunded", "Refund",
  IF(Transactions_RAW_cleaned[[#This Row],[Category]]="Payments", IF(Transactions_RAW_cleaned[[#This Row],[Amount]]&gt;500,"High Value","Standard"),
    IF(Transactions_RAW_cleaned[[#This Row],[Amount]]&gt;250,"High Value","Standard")))</f>
        <v>Standard</v>
      </c>
      <c r="Q1186" s="5" t="str">
        <f>IF(Transactions_RAW_cleaned[[#This Row],[Amount]] &gt; (_xlfn.XLOOKUP(Transactions_RAW_cleaned[[#This Row],[ServiceID]],Services_cleaned[ServiceID],Services_cleaned[TransactionFeePct]) * 10000), "Yes", "No")</f>
        <v>Yes</v>
      </c>
      <c r="R1186" s="5" t="str">
        <f>IF(COUNTIFS($C$2:Transactions_RAW_cleaned[[#This Row],[CustomerID]],Transactions_RAW_cleaned[[#This Row],[CustomerID]],$D$2:Transactions_RAW_cleaned[[#This Row],[ServiceID]],Transactions_RAW_cleaned[[#This Row],[ServiceID]])=1,"Yes","No")</f>
        <v>Yes</v>
      </c>
      <c r="S118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86" t="str">
        <f>"Q"&amp;ROUNDUP(MONTH(Transactions_RAW_cleaned[[#This Row],[TransactionDate]])/3,0)</f>
        <v>Q1</v>
      </c>
      <c r="U1186" t="str">
        <f>Transactions_RAW_cleaned[[#This Row],[Region ]]&amp;Transactions_RAW_cleaned[[#This Row],[Quarter ]]</f>
        <v>APACQ1</v>
      </c>
      <c r="V1186" s="5">
        <f>_xlfn.XLOOKUP(Transactions_RAW_cleaned[[#This Row],[RegionQuarterKey]], Quarterly_Targets_cleaned[RegionQuarterKey], Quarterly_Targets_cleaned[TargetRevenue])</f>
        <v>104500</v>
      </c>
    </row>
    <row r="1187" spans="1:22" x14ac:dyDescent="0.25">
      <c r="A1187" t="s">
        <v>1520</v>
      </c>
      <c r="B1187" s="1">
        <v>45548</v>
      </c>
      <c r="C1187" t="s">
        <v>233</v>
      </c>
      <c r="D1187" t="s">
        <v>312</v>
      </c>
      <c r="E1187">
        <v>459.85</v>
      </c>
      <c r="F1187" t="s">
        <v>324</v>
      </c>
      <c r="G1187" t="s">
        <v>327</v>
      </c>
      <c r="I1187" t="s">
        <v>8</v>
      </c>
      <c r="J1187" t="s">
        <v>13</v>
      </c>
      <c r="K1187" t="s">
        <v>14</v>
      </c>
      <c r="L1187" t="s">
        <v>313</v>
      </c>
      <c r="M1187" t="s">
        <v>314</v>
      </c>
      <c r="N1187">
        <v>0</v>
      </c>
      <c r="O1187" t="str">
        <f>IF(Transactions_RAW_cleaned[[#This Row],[Status]]="Completed", IFERROR(_xlfn.XLOOKUP(Transactions_RAW_cleaned[[#This Row],[CustomerID]], Customers_cleaned[CustomerID], Customers_cleaned[Segment]), "Customer Not Found"), "N/A")</f>
        <v>SMB</v>
      </c>
      <c r="P1187" s="5" t="str">
        <f>IF(Transactions_RAW_cleaned[[#This Row],[Status]]="Refunded", "Refund",
  IF(Transactions_RAW_cleaned[[#This Row],[Category]]="Payments", IF(Transactions_RAW_cleaned[[#This Row],[Amount]]&gt;500,"High Value","Standard"),
    IF(Transactions_RAW_cleaned[[#This Row],[Amount]]&gt;250,"High Value","Standard")))</f>
        <v>High Value</v>
      </c>
      <c r="Q1187" s="5" t="str">
        <f>IF(Transactions_RAW_cleaned[[#This Row],[Amount]] &gt; (_xlfn.XLOOKUP(Transactions_RAW_cleaned[[#This Row],[ServiceID]],Services_cleaned[ServiceID],Services_cleaned[TransactionFeePct]) * 10000), "Yes", "No")</f>
        <v>Yes</v>
      </c>
      <c r="R1187" s="5" t="str">
        <f>IF(COUNTIFS($C$2:Transactions_RAW_cleaned[[#This Row],[CustomerID]],Transactions_RAW_cleaned[[#This Row],[CustomerID]],$D$2:Transactions_RAW_cleaned[[#This Row],[ServiceID]],Transactions_RAW_cleaned[[#This Row],[ServiceID]])=1,"Yes","No")</f>
        <v>No</v>
      </c>
      <c r="S118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87" t="str">
        <f>"Q"&amp;ROUNDUP(MONTH(Transactions_RAW_cleaned[[#This Row],[TransactionDate]])/3,0)</f>
        <v>Q3</v>
      </c>
      <c r="U1187" t="str">
        <f>Transactions_RAW_cleaned[[#This Row],[Region ]]&amp;Transactions_RAW_cleaned[[#This Row],[Quarter ]]</f>
        <v>NAQ3</v>
      </c>
      <c r="V1187" s="5">
        <f>_xlfn.XLOOKUP(Transactions_RAW_cleaned[[#This Row],[RegionQuarterKey]], Quarterly_Targets_cleaned[RegionQuarterKey], Quarterly_Targets_cleaned[TargetRevenue])</f>
        <v>273000</v>
      </c>
    </row>
    <row r="1188" spans="1:22" x14ac:dyDescent="0.25">
      <c r="A1188" t="s">
        <v>1521</v>
      </c>
      <c r="B1188" s="1">
        <v>45431</v>
      </c>
      <c r="C1188" t="s">
        <v>193</v>
      </c>
      <c r="D1188" t="s">
        <v>297</v>
      </c>
      <c r="E1188">
        <v>742.59</v>
      </c>
      <c r="F1188" t="s">
        <v>324</v>
      </c>
      <c r="G1188" t="s">
        <v>325</v>
      </c>
      <c r="H1188" t="s">
        <v>334</v>
      </c>
      <c r="I1188" t="s">
        <v>8</v>
      </c>
      <c r="J1188" t="s">
        <v>102</v>
      </c>
      <c r="K1188" t="s">
        <v>18</v>
      </c>
      <c r="L1188" t="s">
        <v>298</v>
      </c>
      <c r="M1188" t="s">
        <v>299</v>
      </c>
      <c r="N1188">
        <v>0</v>
      </c>
      <c r="O1188" t="str">
        <f>IF(Transactions_RAW_cleaned[[#This Row],[Status]]="Completed", IFERROR(_xlfn.XLOOKUP(Transactions_RAW_cleaned[[#This Row],[CustomerID]], Customers_cleaned[CustomerID], Customers_cleaned[Segment]), "Customer Not Found"), "N/A")</f>
        <v>SMB</v>
      </c>
      <c r="P1188" s="5" t="str">
        <f>IF(Transactions_RAW_cleaned[[#This Row],[Status]]="Refunded", "Refund",
  IF(Transactions_RAW_cleaned[[#This Row],[Category]]="Payments", IF(Transactions_RAW_cleaned[[#This Row],[Amount]]&gt;500,"High Value","Standard"),
    IF(Transactions_RAW_cleaned[[#This Row],[Amount]]&gt;250,"High Value","Standard")))</f>
        <v>High Value</v>
      </c>
      <c r="Q1188" s="5" t="str">
        <f>IF(Transactions_RAW_cleaned[[#This Row],[Amount]] &gt; (_xlfn.XLOOKUP(Transactions_RAW_cleaned[[#This Row],[ServiceID]],Services_cleaned[ServiceID],Services_cleaned[TransactionFeePct]) * 10000), "Yes", "No")</f>
        <v>Yes</v>
      </c>
      <c r="R1188" s="5" t="str">
        <f>IF(COUNTIFS($C$2:Transactions_RAW_cleaned[[#This Row],[CustomerID]],Transactions_RAW_cleaned[[#This Row],[CustomerID]],$D$2:Transactions_RAW_cleaned[[#This Row],[ServiceID]],Transactions_RAW_cleaned[[#This Row],[ServiceID]])=1,"Yes","No")</f>
        <v>No</v>
      </c>
      <c r="S118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88" t="str">
        <f>"Q"&amp;ROUNDUP(MONTH(Transactions_RAW_cleaned[[#This Row],[TransactionDate]])/3,0)</f>
        <v>Q2</v>
      </c>
      <c r="U1188" t="str">
        <f>Transactions_RAW_cleaned[[#This Row],[Region ]]&amp;Transactions_RAW_cleaned[[#This Row],[Quarter ]]</f>
        <v>NAQ2</v>
      </c>
      <c r="V1188" s="5">
        <f>_xlfn.XLOOKUP(Transactions_RAW_cleaned[[#This Row],[RegionQuarterKey]], Quarterly_Targets_cleaned[RegionQuarterKey], Quarterly_Targets_cleaned[TargetRevenue])</f>
        <v>260000</v>
      </c>
    </row>
    <row r="1189" spans="1:22" x14ac:dyDescent="0.25">
      <c r="A1189" t="s">
        <v>1522</v>
      </c>
      <c r="B1189" s="1">
        <v>45436</v>
      </c>
      <c r="C1189" t="s">
        <v>53</v>
      </c>
      <c r="D1189" t="s">
        <v>312</v>
      </c>
      <c r="E1189">
        <v>1064.45</v>
      </c>
      <c r="F1189" t="s">
        <v>324</v>
      </c>
      <c r="G1189" t="s">
        <v>325</v>
      </c>
      <c r="H1189" t="s">
        <v>346</v>
      </c>
      <c r="I1189" t="s">
        <v>17</v>
      </c>
      <c r="J1189" t="s">
        <v>21</v>
      </c>
      <c r="K1189" t="s">
        <v>28</v>
      </c>
      <c r="L1189" t="s">
        <v>313</v>
      </c>
      <c r="M1189" t="s">
        <v>314</v>
      </c>
      <c r="N1189">
        <v>0</v>
      </c>
      <c r="O1189" t="str">
        <f>IF(Transactions_RAW_cleaned[[#This Row],[Status]]="Completed", IFERROR(_xlfn.XLOOKUP(Transactions_RAW_cleaned[[#This Row],[CustomerID]], Customers_cleaned[CustomerID], Customers_cleaned[Segment]), "Customer Not Found"), "N/A")</f>
        <v>Enterprise</v>
      </c>
      <c r="P1189" s="5" t="str">
        <f>IF(Transactions_RAW_cleaned[[#This Row],[Status]]="Refunded", "Refund",
  IF(Transactions_RAW_cleaned[[#This Row],[Category]]="Payments", IF(Transactions_RAW_cleaned[[#This Row],[Amount]]&gt;500,"High Value","Standard"),
    IF(Transactions_RAW_cleaned[[#This Row],[Amount]]&gt;250,"High Value","Standard")))</f>
        <v>High Value</v>
      </c>
      <c r="Q1189" s="5" t="str">
        <f>IF(Transactions_RAW_cleaned[[#This Row],[Amount]] &gt; (_xlfn.XLOOKUP(Transactions_RAW_cleaned[[#This Row],[ServiceID]],Services_cleaned[ServiceID],Services_cleaned[TransactionFeePct]) * 10000), "Yes", "No")</f>
        <v>Yes</v>
      </c>
      <c r="R1189" s="5" t="str">
        <f>IF(COUNTIFS($C$2:Transactions_RAW_cleaned[[#This Row],[CustomerID]],Transactions_RAW_cleaned[[#This Row],[CustomerID]],$D$2:Transactions_RAW_cleaned[[#This Row],[ServiceID]],Transactions_RAW_cleaned[[#This Row],[ServiceID]])=1,"Yes","No")</f>
        <v>No</v>
      </c>
      <c r="S118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89" t="str">
        <f>"Q"&amp;ROUNDUP(MONTH(Transactions_RAW_cleaned[[#This Row],[TransactionDate]])/3,0)</f>
        <v>Q2</v>
      </c>
      <c r="U1189" t="str">
        <f>Transactions_RAW_cleaned[[#This Row],[Region ]]&amp;Transactions_RAW_cleaned[[#This Row],[Quarter ]]</f>
        <v>APACQ2</v>
      </c>
      <c r="V1189" s="5">
        <f>_xlfn.XLOOKUP(Transactions_RAW_cleaned[[#This Row],[RegionQuarterKey]], Quarterly_Targets_cleaned[RegionQuarterKey], Quarterly_Targets_cleaned[TargetRevenue])</f>
        <v>110000</v>
      </c>
    </row>
    <row r="1190" spans="1:22" x14ac:dyDescent="0.25">
      <c r="A1190" t="s">
        <v>1523</v>
      </c>
      <c r="B1190" s="1">
        <v>45508</v>
      </c>
      <c r="C1190" t="s">
        <v>275</v>
      </c>
      <c r="D1190" t="s">
        <v>309</v>
      </c>
      <c r="E1190">
        <v>402.58</v>
      </c>
      <c r="F1190" t="s">
        <v>324</v>
      </c>
      <c r="G1190" t="s">
        <v>327</v>
      </c>
      <c r="H1190" t="s">
        <v>332</v>
      </c>
      <c r="I1190" t="s">
        <v>57</v>
      </c>
      <c r="J1190" t="s">
        <v>13</v>
      </c>
      <c r="K1190" t="s">
        <v>22</v>
      </c>
      <c r="L1190" t="s">
        <v>310</v>
      </c>
      <c r="M1190" t="s">
        <v>311</v>
      </c>
      <c r="N1190">
        <v>0</v>
      </c>
      <c r="O1190" t="str">
        <f>IF(Transactions_RAW_cleaned[[#This Row],[Status]]="Completed", IFERROR(_xlfn.XLOOKUP(Transactions_RAW_cleaned[[#This Row],[CustomerID]], Customers_cleaned[CustomerID], Customers_cleaned[Segment]), "Customer Not Found"), "N/A")</f>
        <v>Startup</v>
      </c>
      <c r="P1190" s="5" t="str">
        <f>IF(Transactions_RAW_cleaned[[#This Row],[Status]]="Refunded", "Refund",
  IF(Transactions_RAW_cleaned[[#This Row],[Category]]="Payments", IF(Transactions_RAW_cleaned[[#This Row],[Amount]]&gt;500,"High Value","Standard"),
    IF(Transactions_RAW_cleaned[[#This Row],[Amount]]&gt;250,"High Value","Standard")))</f>
        <v>High Value</v>
      </c>
      <c r="Q1190" s="5" t="str">
        <f>IF(Transactions_RAW_cleaned[[#This Row],[Amount]] &gt; (_xlfn.XLOOKUP(Transactions_RAW_cleaned[[#This Row],[ServiceID]],Services_cleaned[ServiceID],Services_cleaned[TransactionFeePct]) * 10000), "Yes", "No")</f>
        <v>Yes</v>
      </c>
      <c r="R1190" s="5" t="str">
        <f>IF(COUNTIFS($C$2:Transactions_RAW_cleaned[[#This Row],[CustomerID]],Transactions_RAW_cleaned[[#This Row],[CustomerID]],$D$2:Transactions_RAW_cleaned[[#This Row],[ServiceID]],Transactions_RAW_cleaned[[#This Row],[ServiceID]])=1,"Yes","No")</f>
        <v>Yes</v>
      </c>
      <c r="S119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90" t="str">
        <f>"Q"&amp;ROUNDUP(MONTH(Transactions_RAW_cleaned[[#This Row],[TransactionDate]])/3,0)</f>
        <v>Q3</v>
      </c>
      <c r="U1190" t="str">
        <f>Transactions_RAW_cleaned[[#This Row],[Region ]]&amp;Transactions_RAW_cleaned[[#This Row],[Quarter ]]</f>
        <v>NAQ3</v>
      </c>
      <c r="V1190" s="5">
        <f>_xlfn.XLOOKUP(Transactions_RAW_cleaned[[#This Row],[RegionQuarterKey]], Quarterly_Targets_cleaned[RegionQuarterKey], Quarterly_Targets_cleaned[TargetRevenue])</f>
        <v>273000</v>
      </c>
    </row>
    <row r="1191" spans="1:22" x14ac:dyDescent="0.25">
      <c r="A1191" t="s">
        <v>1524</v>
      </c>
      <c r="B1191" s="1">
        <v>45500</v>
      </c>
      <c r="C1191" t="s">
        <v>64</v>
      </c>
      <c r="D1191" t="s">
        <v>315</v>
      </c>
      <c r="E1191">
        <v>303.70999999999998</v>
      </c>
      <c r="F1191" t="s">
        <v>324</v>
      </c>
      <c r="G1191" t="s">
        <v>327</v>
      </c>
      <c r="I1191" t="s">
        <v>8</v>
      </c>
      <c r="J1191" t="s">
        <v>37</v>
      </c>
      <c r="K1191" t="s">
        <v>28</v>
      </c>
      <c r="L1191" t="s">
        <v>316</v>
      </c>
      <c r="M1191" t="s">
        <v>305</v>
      </c>
      <c r="N1191">
        <v>2.5000000000000001E-3</v>
      </c>
      <c r="O1191" t="str">
        <f>IF(Transactions_RAW_cleaned[[#This Row],[Status]]="Completed", IFERROR(_xlfn.XLOOKUP(Transactions_RAW_cleaned[[#This Row],[CustomerID]], Customers_cleaned[CustomerID], Customers_cleaned[Segment]), "Customer Not Found"), "N/A")</f>
        <v>SMB</v>
      </c>
      <c r="P1191" s="5" t="str">
        <f>IF(Transactions_RAW_cleaned[[#This Row],[Status]]="Refunded", "Refund",
  IF(Transactions_RAW_cleaned[[#This Row],[Category]]="Payments", IF(Transactions_RAW_cleaned[[#This Row],[Amount]]&gt;500,"High Value","Standard"),
    IF(Transactions_RAW_cleaned[[#This Row],[Amount]]&gt;250,"High Value","Standard")))</f>
        <v>High Value</v>
      </c>
      <c r="Q1191" s="5" t="str">
        <f>IF(Transactions_RAW_cleaned[[#This Row],[Amount]] &gt; (_xlfn.XLOOKUP(Transactions_RAW_cleaned[[#This Row],[ServiceID]],Services_cleaned[ServiceID],Services_cleaned[TransactionFeePct]) * 10000), "Yes", "No")</f>
        <v>Yes</v>
      </c>
      <c r="R1191" s="5" t="str">
        <f>IF(COUNTIFS($C$2:Transactions_RAW_cleaned[[#This Row],[CustomerID]],Transactions_RAW_cleaned[[#This Row],[CustomerID]],$D$2:Transactions_RAW_cleaned[[#This Row],[ServiceID]],Transactions_RAW_cleaned[[#This Row],[ServiceID]])=1,"Yes","No")</f>
        <v>No</v>
      </c>
      <c r="S119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191" t="str">
        <f>"Q"&amp;ROUNDUP(MONTH(Transactions_RAW_cleaned[[#This Row],[TransactionDate]])/3,0)</f>
        <v>Q3</v>
      </c>
      <c r="U1191" t="str">
        <f>Transactions_RAW_cleaned[[#This Row],[Region ]]&amp;Transactions_RAW_cleaned[[#This Row],[Quarter ]]</f>
        <v>EMEAQ3</v>
      </c>
      <c r="V1191" s="5">
        <f>_xlfn.XLOOKUP(Transactions_RAW_cleaned[[#This Row],[RegionQuarterKey]], Quarterly_Targets_cleaned[RegionQuarterKey], Quarterly_Targets_cleaned[TargetRevenue])</f>
        <v>147000</v>
      </c>
    </row>
    <row r="1192" spans="1:22" x14ac:dyDescent="0.25">
      <c r="A1192" t="s">
        <v>1525</v>
      </c>
      <c r="B1192" s="1">
        <v>45352</v>
      </c>
      <c r="C1192" t="s">
        <v>247</v>
      </c>
      <c r="D1192" t="s">
        <v>303</v>
      </c>
      <c r="E1192">
        <v>596.72</v>
      </c>
      <c r="F1192" t="s">
        <v>331</v>
      </c>
      <c r="G1192" t="s">
        <v>327</v>
      </c>
      <c r="H1192" t="s">
        <v>332</v>
      </c>
      <c r="I1192" t="s">
        <v>17</v>
      </c>
      <c r="J1192" t="s">
        <v>13</v>
      </c>
      <c r="K1192" t="s">
        <v>28</v>
      </c>
      <c r="L1192" t="s">
        <v>304</v>
      </c>
      <c r="M1192" t="s">
        <v>305</v>
      </c>
      <c r="N1192">
        <v>1E-3</v>
      </c>
      <c r="O1192" t="str">
        <f>IF(Transactions_RAW_cleaned[[#This Row],[Status]]="Completed", IFERROR(_xlfn.XLOOKUP(Transactions_RAW_cleaned[[#This Row],[CustomerID]], Customers_cleaned[CustomerID], Customers_cleaned[Segment]), "Customer Not Found"), "N/A")</f>
        <v>N/A</v>
      </c>
      <c r="P1192" s="5" t="str">
        <f>IF(Transactions_RAW_cleaned[[#This Row],[Status]]="Refunded", "Refund",
  IF(Transactions_RAW_cleaned[[#This Row],[Category]]="Payments", IF(Transactions_RAW_cleaned[[#This Row],[Amount]]&gt;500,"High Value","Standard"),
    IF(Transactions_RAW_cleaned[[#This Row],[Amount]]&gt;250,"High Value","Standard")))</f>
        <v>High Value</v>
      </c>
      <c r="Q1192" s="5" t="str">
        <f>IF(Transactions_RAW_cleaned[[#This Row],[Amount]] &gt; (_xlfn.XLOOKUP(Transactions_RAW_cleaned[[#This Row],[ServiceID]],Services_cleaned[ServiceID],Services_cleaned[TransactionFeePct]) * 10000), "Yes", "No")</f>
        <v>Yes</v>
      </c>
      <c r="R1192" s="5" t="str">
        <f>IF(COUNTIFS($C$2:Transactions_RAW_cleaned[[#This Row],[CustomerID]],Transactions_RAW_cleaned[[#This Row],[CustomerID]],$D$2:Transactions_RAW_cleaned[[#This Row],[ServiceID]],Transactions_RAW_cleaned[[#This Row],[ServiceID]])=1,"Yes","No")</f>
        <v>No</v>
      </c>
      <c r="S119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92" t="str">
        <f>"Q"&amp;ROUNDUP(MONTH(Transactions_RAW_cleaned[[#This Row],[TransactionDate]])/3,0)</f>
        <v>Q1</v>
      </c>
      <c r="U1192" t="str">
        <f>Transactions_RAW_cleaned[[#This Row],[Region ]]&amp;Transactions_RAW_cleaned[[#This Row],[Quarter ]]</f>
        <v>NAQ1</v>
      </c>
      <c r="V1192" s="5">
        <f>_xlfn.XLOOKUP(Transactions_RAW_cleaned[[#This Row],[RegionQuarterKey]], Quarterly_Targets_cleaned[RegionQuarterKey], Quarterly_Targets_cleaned[TargetRevenue])</f>
        <v>247000</v>
      </c>
    </row>
    <row r="1193" spans="1:22" x14ac:dyDescent="0.25">
      <c r="A1193" t="s">
        <v>1526</v>
      </c>
      <c r="B1193" s="1">
        <v>45405</v>
      </c>
      <c r="C1193" t="s">
        <v>243</v>
      </c>
      <c r="D1193" t="s">
        <v>306</v>
      </c>
      <c r="E1193">
        <v>618.04999999999995</v>
      </c>
      <c r="F1193" t="s">
        <v>324</v>
      </c>
      <c r="G1193" t="s">
        <v>325</v>
      </c>
      <c r="I1193" t="s">
        <v>17</v>
      </c>
      <c r="J1193" t="s">
        <v>13</v>
      </c>
      <c r="K1193" t="s">
        <v>28</v>
      </c>
      <c r="L1193" t="s">
        <v>307</v>
      </c>
      <c r="M1193" t="s">
        <v>308</v>
      </c>
      <c r="N1193">
        <v>0</v>
      </c>
      <c r="O1193" t="str">
        <f>IF(Transactions_RAW_cleaned[[#This Row],[Status]]="Completed", IFERROR(_xlfn.XLOOKUP(Transactions_RAW_cleaned[[#This Row],[CustomerID]], Customers_cleaned[CustomerID], Customers_cleaned[Segment]), "Customer Not Found"), "N/A")</f>
        <v>Enterprise</v>
      </c>
      <c r="P1193" s="5" t="str">
        <f>IF(Transactions_RAW_cleaned[[#This Row],[Status]]="Refunded", "Refund",
  IF(Transactions_RAW_cleaned[[#This Row],[Category]]="Payments", IF(Transactions_RAW_cleaned[[#This Row],[Amount]]&gt;500,"High Value","Standard"),
    IF(Transactions_RAW_cleaned[[#This Row],[Amount]]&gt;250,"High Value","Standard")))</f>
        <v>High Value</v>
      </c>
      <c r="Q1193" s="5" t="str">
        <f>IF(Transactions_RAW_cleaned[[#This Row],[Amount]] &gt; (_xlfn.XLOOKUP(Transactions_RAW_cleaned[[#This Row],[ServiceID]],Services_cleaned[ServiceID],Services_cleaned[TransactionFeePct]) * 10000), "Yes", "No")</f>
        <v>Yes</v>
      </c>
      <c r="R1193" s="5" t="str">
        <f>IF(COUNTIFS($C$2:Transactions_RAW_cleaned[[#This Row],[CustomerID]],Transactions_RAW_cleaned[[#This Row],[CustomerID]],$D$2:Transactions_RAW_cleaned[[#This Row],[ServiceID]],Transactions_RAW_cleaned[[#This Row],[ServiceID]])=1,"Yes","No")</f>
        <v>No</v>
      </c>
      <c r="S119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93" t="str">
        <f>"Q"&amp;ROUNDUP(MONTH(Transactions_RAW_cleaned[[#This Row],[TransactionDate]])/3,0)</f>
        <v>Q2</v>
      </c>
      <c r="U1193" t="str">
        <f>Transactions_RAW_cleaned[[#This Row],[Region ]]&amp;Transactions_RAW_cleaned[[#This Row],[Quarter ]]</f>
        <v>NAQ2</v>
      </c>
      <c r="V1193" s="5">
        <f>_xlfn.XLOOKUP(Transactions_RAW_cleaned[[#This Row],[RegionQuarterKey]], Quarterly_Targets_cleaned[RegionQuarterKey], Quarterly_Targets_cleaned[TargetRevenue])</f>
        <v>260000</v>
      </c>
    </row>
    <row r="1194" spans="1:22" x14ac:dyDescent="0.25">
      <c r="A1194" t="s">
        <v>1527</v>
      </c>
      <c r="B1194" s="1">
        <v>45298</v>
      </c>
      <c r="C1194" t="s">
        <v>257</v>
      </c>
      <c r="D1194" t="s">
        <v>297</v>
      </c>
      <c r="E1194">
        <v>177.89</v>
      </c>
      <c r="F1194" t="s">
        <v>324</v>
      </c>
      <c r="G1194" t="s">
        <v>325</v>
      </c>
      <c r="I1194" t="s">
        <v>57</v>
      </c>
      <c r="J1194" t="s">
        <v>13</v>
      </c>
      <c r="K1194" t="s">
        <v>22</v>
      </c>
      <c r="L1194" t="s">
        <v>298</v>
      </c>
      <c r="M1194" t="s">
        <v>299</v>
      </c>
      <c r="N1194">
        <v>0</v>
      </c>
      <c r="O1194" t="str">
        <f>IF(Transactions_RAW_cleaned[[#This Row],[Status]]="Completed", IFERROR(_xlfn.XLOOKUP(Transactions_RAW_cleaned[[#This Row],[CustomerID]], Customers_cleaned[CustomerID], Customers_cleaned[Segment]), "Customer Not Found"), "N/A")</f>
        <v>Startup</v>
      </c>
      <c r="P1194" s="5" t="str">
        <f>IF(Transactions_RAW_cleaned[[#This Row],[Status]]="Refunded", "Refund",
  IF(Transactions_RAW_cleaned[[#This Row],[Category]]="Payments", IF(Transactions_RAW_cleaned[[#This Row],[Amount]]&gt;500,"High Value","Standard"),
    IF(Transactions_RAW_cleaned[[#This Row],[Amount]]&gt;250,"High Value","Standard")))</f>
        <v>Standard</v>
      </c>
      <c r="Q1194" s="5" t="str">
        <f>IF(Transactions_RAW_cleaned[[#This Row],[Amount]] &gt; (_xlfn.XLOOKUP(Transactions_RAW_cleaned[[#This Row],[ServiceID]],Services_cleaned[ServiceID],Services_cleaned[TransactionFeePct]) * 10000), "Yes", "No")</f>
        <v>Yes</v>
      </c>
      <c r="R1194" s="5" t="str">
        <f>IF(COUNTIFS($C$2:Transactions_RAW_cleaned[[#This Row],[CustomerID]],Transactions_RAW_cleaned[[#This Row],[CustomerID]],$D$2:Transactions_RAW_cleaned[[#This Row],[ServiceID]],Transactions_RAW_cleaned[[#This Row],[ServiceID]])=1,"Yes","No")</f>
        <v>No</v>
      </c>
      <c r="S119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94" t="str">
        <f>"Q"&amp;ROUNDUP(MONTH(Transactions_RAW_cleaned[[#This Row],[TransactionDate]])/3,0)</f>
        <v>Q1</v>
      </c>
      <c r="U1194" t="str">
        <f>Transactions_RAW_cleaned[[#This Row],[Region ]]&amp;Transactions_RAW_cleaned[[#This Row],[Quarter ]]</f>
        <v>NAQ1</v>
      </c>
      <c r="V1194" s="5">
        <f>_xlfn.XLOOKUP(Transactions_RAW_cleaned[[#This Row],[RegionQuarterKey]], Quarterly_Targets_cleaned[RegionQuarterKey], Quarterly_Targets_cleaned[TargetRevenue])</f>
        <v>247000</v>
      </c>
    </row>
    <row r="1195" spans="1:22" x14ac:dyDescent="0.25">
      <c r="A1195" t="s">
        <v>1528</v>
      </c>
      <c r="B1195" s="1">
        <v>45613</v>
      </c>
      <c r="C1195" t="s">
        <v>396</v>
      </c>
      <c r="D1195" t="s">
        <v>309</v>
      </c>
      <c r="E1195">
        <v>238.59</v>
      </c>
      <c r="F1195" t="s">
        <v>324</v>
      </c>
      <c r="G1195" t="s">
        <v>325</v>
      </c>
      <c r="H1195" t="s">
        <v>346</v>
      </c>
      <c r="I1195" t="s">
        <v>57</v>
      </c>
      <c r="J1195" t="s">
        <v>21</v>
      </c>
      <c r="K1195" t="s">
        <v>2964</v>
      </c>
      <c r="L1195" t="s">
        <v>310</v>
      </c>
      <c r="M1195" t="s">
        <v>311</v>
      </c>
      <c r="N1195">
        <v>0</v>
      </c>
      <c r="O1195" t="str">
        <f>IF(Transactions_RAW_cleaned[[#This Row],[Status]]="Completed", IFERROR(_xlfn.XLOOKUP(Transactions_RAW_cleaned[[#This Row],[CustomerID]], Customers_cleaned[CustomerID], Customers_cleaned[Segment]), "Customer Not Found"), "N/A")</f>
        <v>Startup</v>
      </c>
      <c r="P1195" s="5" t="str">
        <f>IF(Transactions_RAW_cleaned[[#This Row],[Status]]="Refunded", "Refund",
  IF(Transactions_RAW_cleaned[[#This Row],[Category]]="Payments", IF(Transactions_RAW_cleaned[[#This Row],[Amount]]&gt;500,"High Value","Standard"),
    IF(Transactions_RAW_cleaned[[#This Row],[Amount]]&gt;250,"High Value","Standard")))</f>
        <v>Standard</v>
      </c>
      <c r="Q1195" s="5" t="str">
        <f>IF(Transactions_RAW_cleaned[[#This Row],[Amount]] &gt; (_xlfn.XLOOKUP(Transactions_RAW_cleaned[[#This Row],[ServiceID]],Services_cleaned[ServiceID],Services_cleaned[TransactionFeePct]) * 10000), "Yes", "No")</f>
        <v>Yes</v>
      </c>
      <c r="R1195" s="5" t="str">
        <f>IF(COUNTIFS($C$2:Transactions_RAW_cleaned[[#This Row],[CustomerID]],Transactions_RAW_cleaned[[#This Row],[CustomerID]],$D$2:Transactions_RAW_cleaned[[#This Row],[ServiceID]],Transactions_RAW_cleaned[[#This Row],[ServiceID]])=1,"Yes","No")</f>
        <v>Yes</v>
      </c>
      <c r="S119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195" t="str">
        <f>"Q"&amp;ROUNDUP(MONTH(Transactions_RAW_cleaned[[#This Row],[TransactionDate]])/3,0)</f>
        <v>Q4</v>
      </c>
      <c r="U1195" t="str">
        <f>Transactions_RAW_cleaned[[#This Row],[Region ]]&amp;Transactions_RAW_cleaned[[#This Row],[Quarter ]]</f>
        <v>APACQ4</v>
      </c>
      <c r="V1195" s="5">
        <f>_xlfn.XLOOKUP(Transactions_RAW_cleaned[[#This Row],[RegionQuarterKey]], Quarterly_Targets_cleaned[RegionQuarterKey], Quarterly_Targets_cleaned[TargetRevenue])</f>
        <v>126500</v>
      </c>
    </row>
    <row r="1196" spans="1:22" x14ac:dyDescent="0.25">
      <c r="A1196" t="s">
        <v>1529</v>
      </c>
      <c r="B1196" s="1">
        <v>45568</v>
      </c>
      <c r="C1196" t="s">
        <v>257</v>
      </c>
      <c r="D1196" t="s">
        <v>300</v>
      </c>
      <c r="E1196">
        <v>501.73</v>
      </c>
      <c r="F1196" t="s">
        <v>381</v>
      </c>
      <c r="G1196" t="s">
        <v>325</v>
      </c>
      <c r="H1196" t="s">
        <v>332</v>
      </c>
      <c r="I1196" t="s">
        <v>57</v>
      </c>
      <c r="J1196" t="s">
        <v>13</v>
      </c>
      <c r="K1196" t="s">
        <v>22</v>
      </c>
      <c r="L1196" t="s">
        <v>301</v>
      </c>
      <c r="M1196" t="s">
        <v>302</v>
      </c>
      <c r="N1196">
        <v>5.0000000000000001E-3</v>
      </c>
      <c r="O1196" t="str">
        <f>IF(Transactions_RAW_cleaned[[#This Row],[Status]]="Completed", IFERROR(_xlfn.XLOOKUP(Transactions_RAW_cleaned[[#This Row],[CustomerID]], Customers_cleaned[CustomerID], Customers_cleaned[Segment]), "Customer Not Found"), "N/A")</f>
        <v>N/A</v>
      </c>
      <c r="P1196" s="5" t="str">
        <f>IF(Transactions_RAW_cleaned[[#This Row],[Status]]="Refunded", "Refund",
  IF(Transactions_RAW_cleaned[[#This Row],[Category]]="Payments", IF(Transactions_RAW_cleaned[[#This Row],[Amount]]&gt;500,"High Value","Standard"),
    IF(Transactions_RAW_cleaned[[#This Row],[Amount]]&gt;250,"High Value","Standard")))</f>
        <v>High Value</v>
      </c>
      <c r="Q1196" s="5" t="str">
        <f>IF(Transactions_RAW_cleaned[[#This Row],[Amount]] &gt; (_xlfn.XLOOKUP(Transactions_RAW_cleaned[[#This Row],[ServiceID]],Services_cleaned[ServiceID],Services_cleaned[TransactionFeePct]) * 10000), "Yes", "No")</f>
        <v>Yes</v>
      </c>
      <c r="R1196" s="5" t="str">
        <f>IF(COUNTIFS($C$2:Transactions_RAW_cleaned[[#This Row],[CustomerID]],Transactions_RAW_cleaned[[#This Row],[CustomerID]],$D$2:Transactions_RAW_cleaned[[#This Row],[ServiceID]],Transactions_RAW_cleaned[[#This Row],[ServiceID]])=1,"Yes","No")</f>
        <v>No</v>
      </c>
      <c r="S119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96" t="str">
        <f>"Q"&amp;ROUNDUP(MONTH(Transactions_RAW_cleaned[[#This Row],[TransactionDate]])/3,0)</f>
        <v>Q4</v>
      </c>
      <c r="U1196" t="str">
        <f>Transactions_RAW_cleaned[[#This Row],[Region ]]&amp;Transactions_RAW_cleaned[[#This Row],[Quarter ]]</f>
        <v>NAQ4</v>
      </c>
      <c r="V1196" s="5">
        <f>_xlfn.XLOOKUP(Transactions_RAW_cleaned[[#This Row],[RegionQuarterKey]], Quarterly_Targets_cleaned[RegionQuarterKey], Quarterly_Targets_cleaned[TargetRevenue])</f>
        <v>299000</v>
      </c>
    </row>
    <row r="1197" spans="1:22" x14ac:dyDescent="0.25">
      <c r="A1197" t="s">
        <v>1530</v>
      </c>
      <c r="B1197" s="1">
        <v>45387</v>
      </c>
      <c r="C1197" t="s">
        <v>269</v>
      </c>
      <c r="D1197" t="s">
        <v>294</v>
      </c>
      <c r="E1197">
        <v>268.63</v>
      </c>
      <c r="F1197" t="s">
        <v>324</v>
      </c>
      <c r="G1197" t="s">
        <v>327</v>
      </c>
      <c r="H1197" t="s">
        <v>332</v>
      </c>
      <c r="I1197" t="s">
        <v>17</v>
      </c>
      <c r="J1197" t="s">
        <v>31</v>
      </c>
      <c r="K1197" t="s">
        <v>32</v>
      </c>
      <c r="L1197" t="s">
        <v>295</v>
      </c>
      <c r="M1197" t="s">
        <v>296</v>
      </c>
      <c r="N1197">
        <v>2.9000000000000001E-2</v>
      </c>
      <c r="O1197" t="str">
        <f>IF(Transactions_RAW_cleaned[[#This Row],[Status]]="Completed", IFERROR(_xlfn.XLOOKUP(Transactions_RAW_cleaned[[#This Row],[CustomerID]], Customers_cleaned[CustomerID], Customers_cleaned[Segment]), "Customer Not Found"), "N/A")</f>
        <v>Enterprise</v>
      </c>
      <c r="P1197" s="5" t="str">
        <f>IF(Transactions_RAW_cleaned[[#This Row],[Status]]="Refunded", "Refund",
  IF(Transactions_RAW_cleaned[[#This Row],[Category]]="Payments", IF(Transactions_RAW_cleaned[[#This Row],[Amount]]&gt;500,"High Value","Standard"),
    IF(Transactions_RAW_cleaned[[#This Row],[Amount]]&gt;250,"High Value","Standard")))</f>
        <v>Standard</v>
      </c>
      <c r="Q1197" s="5" t="str">
        <f>IF(Transactions_RAW_cleaned[[#This Row],[Amount]] &gt; (_xlfn.XLOOKUP(Transactions_RAW_cleaned[[#This Row],[ServiceID]],Services_cleaned[ServiceID],Services_cleaned[TransactionFeePct]) * 10000), "Yes", "No")</f>
        <v>No</v>
      </c>
      <c r="R1197" s="5" t="str">
        <f>IF(COUNTIFS($C$2:Transactions_RAW_cleaned[[#This Row],[CustomerID]],Transactions_RAW_cleaned[[#This Row],[CustomerID]],$D$2:Transactions_RAW_cleaned[[#This Row],[ServiceID]],Transactions_RAW_cleaned[[#This Row],[ServiceID]])=1,"Yes","No")</f>
        <v>No</v>
      </c>
      <c r="S119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197" t="str">
        <f>"Q"&amp;ROUNDUP(MONTH(Transactions_RAW_cleaned[[#This Row],[TransactionDate]])/3,0)</f>
        <v>Q2</v>
      </c>
      <c r="U1197" t="str">
        <f>Transactions_RAW_cleaned[[#This Row],[Region ]]&amp;Transactions_RAW_cleaned[[#This Row],[Quarter ]]</f>
        <v>EMEAQ2</v>
      </c>
      <c r="V1197" s="5">
        <f>_xlfn.XLOOKUP(Transactions_RAW_cleaned[[#This Row],[RegionQuarterKey]], Quarterly_Targets_cleaned[RegionQuarterKey], Quarterly_Targets_cleaned[TargetRevenue])</f>
        <v>140000</v>
      </c>
    </row>
    <row r="1198" spans="1:22" x14ac:dyDescent="0.25">
      <c r="A1198" t="s">
        <v>1531</v>
      </c>
      <c r="B1198" s="1">
        <v>45555</v>
      </c>
      <c r="C1198" t="s">
        <v>88</v>
      </c>
      <c r="D1198" t="s">
        <v>300</v>
      </c>
      <c r="E1198">
        <v>853.63</v>
      </c>
      <c r="F1198" t="s">
        <v>324</v>
      </c>
      <c r="G1198" t="s">
        <v>327</v>
      </c>
      <c r="I1198" t="s">
        <v>8</v>
      </c>
      <c r="J1198" t="s">
        <v>102</v>
      </c>
      <c r="K1198" t="s">
        <v>18</v>
      </c>
      <c r="L1198" t="s">
        <v>301</v>
      </c>
      <c r="M1198" t="s">
        <v>302</v>
      </c>
      <c r="N1198">
        <v>5.0000000000000001E-3</v>
      </c>
      <c r="O1198" t="str">
        <f>IF(Transactions_RAW_cleaned[[#This Row],[Status]]="Completed", IFERROR(_xlfn.XLOOKUP(Transactions_RAW_cleaned[[#This Row],[CustomerID]], Customers_cleaned[CustomerID], Customers_cleaned[Segment]), "Customer Not Found"), "N/A")</f>
        <v>SMB</v>
      </c>
      <c r="P1198" s="5" t="str">
        <f>IF(Transactions_RAW_cleaned[[#This Row],[Status]]="Refunded", "Refund",
  IF(Transactions_RAW_cleaned[[#This Row],[Category]]="Payments", IF(Transactions_RAW_cleaned[[#This Row],[Amount]]&gt;500,"High Value","Standard"),
    IF(Transactions_RAW_cleaned[[#This Row],[Amount]]&gt;250,"High Value","Standard")))</f>
        <v>High Value</v>
      </c>
      <c r="Q1198" s="5" t="str">
        <f>IF(Transactions_RAW_cleaned[[#This Row],[Amount]] &gt; (_xlfn.XLOOKUP(Transactions_RAW_cleaned[[#This Row],[ServiceID]],Services_cleaned[ServiceID],Services_cleaned[TransactionFeePct]) * 10000), "Yes", "No")</f>
        <v>Yes</v>
      </c>
      <c r="R1198" s="5" t="str">
        <f>IF(COUNTIFS($C$2:Transactions_RAW_cleaned[[#This Row],[CustomerID]],Transactions_RAW_cleaned[[#This Row],[CustomerID]],$D$2:Transactions_RAW_cleaned[[#This Row],[ServiceID]],Transactions_RAW_cleaned[[#This Row],[ServiceID]])=1,"Yes","No")</f>
        <v>Yes</v>
      </c>
      <c r="S119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98" t="str">
        <f>"Q"&amp;ROUNDUP(MONTH(Transactions_RAW_cleaned[[#This Row],[TransactionDate]])/3,0)</f>
        <v>Q3</v>
      </c>
      <c r="U1198" t="str">
        <f>Transactions_RAW_cleaned[[#This Row],[Region ]]&amp;Transactions_RAW_cleaned[[#This Row],[Quarter ]]</f>
        <v>NAQ3</v>
      </c>
      <c r="V1198" s="5">
        <f>_xlfn.XLOOKUP(Transactions_RAW_cleaned[[#This Row],[RegionQuarterKey]], Quarterly_Targets_cleaned[RegionQuarterKey], Quarterly_Targets_cleaned[TargetRevenue])</f>
        <v>273000</v>
      </c>
    </row>
    <row r="1199" spans="1:22" x14ac:dyDescent="0.25">
      <c r="A1199" t="s">
        <v>1532</v>
      </c>
      <c r="B1199" s="1">
        <v>45639</v>
      </c>
      <c r="C1199" t="s">
        <v>107</v>
      </c>
      <c r="D1199" t="s">
        <v>294</v>
      </c>
      <c r="E1199">
        <v>51.2</v>
      </c>
      <c r="F1199" t="s">
        <v>381</v>
      </c>
      <c r="G1199" t="s">
        <v>329</v>
      </c>
      <c r="H1199" t="s">
        <v>346</v>
      </c>
      <c r="I1199" t="s">
        <v>17</v>
      </c>
      <c r="J1199" t="s">
        <v>102</v>
      </c>
      <c r="K1199" t="s">
        <v>22</v>
      </c>
      <c r="L1199" t="s">
        <v>295</v>
      </c>
      <c r="M1199" t="s">
        <v>296</v>
      </c>
      <c r="N1199">
        <v>2.9000000000000001E-2</v>
      </c>
      <c r="O1199" t="str">
        <f>IF(Transactions_RAW_cleaned[[#This Row],[Status]]="Completed", IFERROR(_xlfn.XLOOKUP(Transactions_RAW_cleaned[[#This Row],[CustomerID]], Customers_cleaned[CustomerID], Customers_cleaned[Segment]), "Customer Not Found"), "N/A")</f>
        <v>N/A</v>
      </c>
      <c r="P1199" s="5" t="str">
        <f>IF(Transactions_RAW_cleaned[[#This Row],[Status]]="Refunded", "Refund",
  IF(Transactions_RAW_cleaned[[#This Row],[Category]]="Payments", IF(Transactions_RAW_cleaned[[#This Row],[Amount]]&gt;500,"High Value","Standard"),
    IF(Transactions_RAW_cleaned[[#This Row],[Amount]]&gt;250,"High Value","Standard")))</f>
        <v>Standard</v>
      </c>
      <c r="Q1199" s="5" t="str">
        <f>IF(Transactions_RAW_cleaned[[#This Row],[Amount]] &gt; (_xlfn.XLOOKUP(Transactions_RAW_cleaned[[#This Row],[ServiceID]],Services_cleaned[ServiceID],Services_cleaned[TransactionFeePct]) * 10000), "Yes", "No")</f>
        <v>No</v>
      </c>
      <c r="R1199" s="5" t="str">
        <f>IF(COUNTIFS($C$2:Transactions_RAW_cleaned[[#This Row],[CustomerID]],Transactions_RAW_cleaned[[#This Row],[CustomerID]],$D$2:Transactions_RAW_cleaned[[#This Row],[ServiceID]],Transactions_RAW_cleaned[[#This Row],[ServiceID]])=1,"Yes","No")</f>
        <v>No</v>
      </c>
      <c r="S119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199" t="str">
        <f>"Q"&amp;ROUNDUP(MONTH(Transactions_RAW_cleaned[[#This Row],[TransactionDate]])/3,0)</f>
        <v>Q4</v>
      </c>
      <c r="U1199" t="str">
        <f>Transactions_RAW_cleaned[[#This Row],[Region ]]&amp;Transactions_RAW_cleaned[[#This Row],[Quarter ]]</f>
        <v>NAQ4</v>
      </c>
      <c r="V1199" s="5">
        <f>_xlfn.XLOOKUP(Transactions_RAW_cleaned[[#This Row],[RegionQuarterKey]], Quarterly_Targets_cleaned[RegionQuarterKey], Quarterly_Targets_cleaned[TargetRevenue])</f>
        <v>299000</v>
      </c>
    </row>
    <row r="1200" spans="1:22" x14ac:dyDescent="0.25">
      <c r="A1200" t="s">
        <v>1533</v>
      </c>
      <c r="B1200" s="1">
        <v>45336</v>
      </c>
      <c r="C1200" t="s">
        <v>157</v>
      </c>
      <c r="D1200" t="s">
        <v>309</v>
      </c>
      <c r="E1200">
        <v>513.92999999999995</v>
      </c>
      <c r="F1200" t="s">
        <v>381</v>
      </c>
      <c r="G1200" t="s">
        <v>327</v>
      </c>
      <c r="I1200" t="s">
        <v>8</v>
      </c>
      <c r="J1200" t="s">
        <v>102</v>
      </c>
      <c r="K1200" t="s">
        <v>14</v>
      </c>
      <c r="L1200" t="s">
        <v>310</v>
      </c>
      <c r="M1200" t="s">
        <v>311</v>
      </c>
      <c r="N1200">
        <v>0</v>
      </c>
      <c r="O1200" t="str">
        <f>IF(Transactions_RAW_cleaned[[#This Row],[Status]]="Completed", IFERROR(_xlfn.XLOOKUP(Transactions_RAW_cleaned[[#This Row],[CustomerID]], Customers_cleaned[CustomerID], Customers_cleaned[Segment]), "Customer Not Found"), "N/A")</f>
        <v>N/A</v>
      </c>
      <c r="P1200" s="5" t="str">
        <f>IF(Transactions_RAW_cleaned[[#This Row],[Status]]="Refunded", "Refund",
  IF(Transactions_RAW_cleaned[[#This Row],[Category]]="Payments", IF(Transactions_RAW_cleaned[[#This Row],[Amount]]&gt;500,"High Value","Standard"),
    IF(Transactions_RAW_cleaned[[#This Row],[Amount]]&gt;250,"High Value","Standard")))</f>
        <v>High Value</v>
      </c>
      <c r="Q1200" s="5" t="str">
        <f>IF(Transactions_RAW_cleaned[[#This Row],[Amount]] &gt; (_xlfn.XLOOKUP(Transactions_RAW_cleaned[[#This Row],[ServiceID]],Services_cleaned[ServiceID],Services_cleaned[TransactionFeePct]) * 10000), "Yes", "No")</f>
        <v>Yes</v>
      </c>
      <c r="R1200" s="5" t="str">
        <f>IF(COUNTIFS($C$2:Transactions_RAW_cleaned[[#This Row],[CustomerID]],Transactions_RAW_cleaned[[#This Row],[CustomerID]],$D$2:Transactions_RAW_cleaned[[#This Row],[ServiceID]],Transactions_RAW_cleaned[[#This Row],[ServiceID]])=1,"Yes","No")</f>
        <v>No</v>
      </c>
      <c r="S120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00" t="str">
        <f>"Q"&amp;ROUNDUP(MONTH(Transactions_RAW_cleaned[[#This Row],[TransactionDate]])/3,0)</f>
        <v>Q1</v>
      </c>
      <c r="U1200" t="str">
        <f>Transactions_RAW_cleaned[[#This Row],[Region ]]&amp;Transactions_RAW_cleaned[[#This Row],[Quarter ]]</f>
        <v>NAQ1</v>
      </c>
      <c r="V1200" s="5">
        <f>_xlfn.XLOOKUP(Transactions_RAW_cleaned[[#This Row],[RegionQuarterKey]], Quarterly_Targets_cleaned[RegionQuarterKey], Quarterly_Targets_cleaned[TargetRevenue])</f>
        <v>247000</v>
      </c>
    </row>
    <row r="1201" spans="1:22" x14ac:dyDescent="0.25">
      <c r="A1201" t="s">
        <v>1534</v>
      </c>
      <c r="B1201" s="1">
        <v>45419</v>
      </c>
      <c r="C1201" t="s">
        <v>44</v>
      </c>
      <c r="D1201" t="s">
        <v>306</v>
      </c>
      <c r="E1201">
        <v>-609.79</v>
      </c>
      <c r="F1201" t="s">
        <v>349</v>
      </c>
      <c r="G1201" t="s">
        <v>325</v>
      </c>
      <c r="H1201" t="s">
        <v>334</v>
      </c>
      <c r="I1201" t="s">
        <v>8</v>
      </c>
      <c r="J1201" t="s">
        <v>46</v>
      </c>
      <c r="K1201" t="s">
        <v>32</v>
      </c>
      <c r="L1201" t="s">
        <v>307</v>
      </c>
      <c r="M1201" t="s">
        <v>308</v>
      </c>
      <c r="N1201">
        <v>0</v>
      </c>
      <c r="O1201" t="str">
        <f>IF(Transactions_RAW_cleaned[[#This Row],[Status]]="Completed", IFERROR(_xlfn.XLOOKUP(Transactions_RAW_cleaned[[#This Row],[CustomerID]], Customers_cleaned[CustomerID], Customers_cleaned[Segment]), "Customer Not Found"), "N/A")</f>
        <v>N/A</v>
      </c>
      <c r="P1201" s="5" t="str">
        <f>IF(Transactions_RAW_cleaned[[#This Row],[Status]]="Refunded", "Refund",
  IF(Transactions_RAW_cleaned[[#This Row],[Category]]="Payments", IF(Transactions_RAW_cleaned[[#This Row],[Amount]]&gt;500,"High Value","Standard"),
    IF(Transactions_RAW_cleaned[[#This Row],[Amount]]&gt;250,"High Value","Standard")))</f>
        <v>Refund</v>
      </c>
      <c r="Q1201" s="5" t="str">
        <f>IF(Transactions_RAW_cleaned[[#This Row],[Amount]] &gt; (_xlfn.XLOOKUP(Transactions_RAW_cleaned[[#This Row],[ServiceID]],Services_cleaned[ServiceID],Services_cleaned[TransactionFeePct]) * 10000), "Yes", "No")</f>
        <v>No</v>
      </c>
      <c r="R1201" s="5" t="str">
        <f>IF(COUNTIFS($C$2:Transactions_RAW_cleaned[[#This Row],[CustomerID]],Transactions_RAW_cleaned[[#This Row],[CustomerID]],$D$2:Transactions_RAW_cleaned[[#This Row],[ServiceID]],Transactions_RAW_cleaned[[#This Row],[ServiceID]])=1,"Yes","No")</f>
        <v>Yes</v>
      </c>
      <c r="S120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01" t="str">
        <f>"Q"&amp;ROUNDUP(MONTH(Transactions_RAW_cleaned[[#This Row],[TransactionDate]])/3,0)</f>
        <v>Q2</v>
      </c>
      <c r="U1201" t="str">
        <f>Transactions_RAW_cleaned[[#This Row],[Region ]]&amp;Transactions_RAW_cleaned[[#This Row],[Quarter ]]</f>
        <v>APACQ2</v>
      </c>
      <c r="V1201" s="5">
        <f>_xlfn.XLOOKUP(Transactions_RAW_cleaned[[#This Row],[RegionQuarterKey]], Quarterly_Targets_cleaned[RegionQuarterKey], Quarterly_Targets_cleaned[TargetRevenue])</f>
        <v>110000</v>
      </c>
    </row>
    <row r="1202" spans="1:22" x14ac:dyDescent="0.25">
      <c r="A1202" t="s">
        <v>1535</v>
      </c>
      <c r="B1202" s="1">
        <v>45581</v>
      </c>
      <c r="C1202" t="s">
        <v>251</v>
      </c>
      <c r="D1202" t="s">
        <v>297</v>
      </c>
      <c r="E1202">
        <v>-915.36</v>
      </c>
      <c r="F1202" t="s">
        <v>349</v>
      </c>
      <c r="G1202" t="s">
        <v>325</v>
      </c>
      <c r="H1202" t="s">
        <v>346</v>
      </c>
      <c r="I1202" t="s">
        <v>17</v>
      </c>
      <c r="J1202" t="s">
        <v>46</v>
      </c>
      <c r="K1202" t="s">
        <v>14</v>
      </c>
      <c r="L1202" t="s">
        <v>298</v>
      </c>
      <c r="M1202" t="s">
        <v>299</v>
      </c>
      <c r="N1202">
        <v>0</v>
      </c>
      <c r="O1202" t="str">
        <f>IF(Transactions_RAW_cleaned[[#This Row],[Status]]="Completed", IFERROR(_xlfn.XLOOKUP(Transactions_RAW_cleaned[[#This Row],[CustomerID]], Customers_cleaned[CustomerID], Customers_cleaned[Segment]), "Customer Not Found"), "N/A")</f>
        <v>N/A</v>
      </c>
      <c r="P1202" s="5" t="str">
        <f>IF(Transactions_RAW_cleaned[[#This Row],[Status]]="Refunded", "Refund",
  IF(Transactions_RAW_cleaned[[#This Row],[Category]]="Payments", IF(Transactions_RAW_cleaned[[#This Row],[Amount]]&gt;500,"High Value","Standard"),
    IF(Transactions_RAW_cleaned[[#This Row],[Amount]]&gt;250,"High Value","Standard")))</f>
        <v>Refund</v>
      </c>
      <c r="Q1202" s="5" t="str">
        <f>IF(Transactions_RAW_cleaned[[#This Row],[Amount]] &gt; (_xlfn.XLOOKUP(Transactions_RAW_cleaned[[#This Row],[ServiceID]],Services_cleaned[ServiceID],Services_cleaned[TransactionFeePct]) * 10000), "Yes", "No")</f>
        <v>No</v>
      </c>
      <c r="R1202" s="5" t="str">
        <f>IF(COUNTIFS($C$2:Transactions_RAW_cleaned[[#This Row],[CustomerID]],Transactions_RAW_cleaned[[#This Row],[CustomerID]],$D$2:Transactions_RAW_cleaned[[#This Row],[ServiceID]],Transactions_RAW_cleaned[[#This Row],[ServiceID]])=1,"Yes","No")</f>
        <v>No</v>
      </c>
      <c r="S120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02" t="str">
        <f>"Q"&amp;ROUNDUP(MONTH(Transactions_RAW_cleaned[[#This Row],[TransactionDate]])/3,0)</f>
        <v>Q4</v>
      </c>
      <c r="U1202" t="str">
        <f>Transactions_RAW_cleaned[[#This Row],[Region ]]&amp;Transactions_RAW_cleaned[[#This Row],[Quarter ]]</f>
        <v>APACQ4</v>
      </c>
      <c r="V1202" s="5">
        <f>_xlfn.XLOOKUP(Transactions_RAW_cleaned[[#This Row],[RegionQuarterKey]], Quarterly_Targets_cleaned[RegionQuarterKey], Quarterly_Targets_cleaned[TargetRevenue])</f>
        <v>126500</v>
      </c>
    </row>
    <row r="1203" spans="1:22" x14ac:dyDescent="0.25">
      <c r="A1203" t="s">
        <v>1536</v>
      </c>
      <c r="B1203" s="1">
        <v>45507</v>
      </c>
      <c r="C1203" t="s">
        <v>109</v>
      </c>
      <c r="D1203" t="s">
        <v>306</v>
      </c>
      <c r="E1203">
        <v>350.29</v>
      </c>
      <c r="F1203" t="s">
        <v>324</v>
      </c>
      <c r="G1203" t="s">
        <v>325</v>
      </c>
      <c r="I1203" t="s">
        <v>8</v>
      </c>
      <c r="J1203" t="s">
        <v>102</v>
      </c>
      <c r="K1203" t="s">
        <v>18</v>
      </c>
      <c r="L1203" t="s">
        <v>307</v>
      </c>
      <c r="M1203" t="s">
        <v>308</v>
      </c>
      <c r="N1203">
        <v>0</v>
      </c>
      <c r="O1203" t="str">
        <f>IF(Transactions_RAW_cleaned[[#This Row],[Status]]="Completed", IFERROR(_xlfn.XLOOKUP(Transactions_RAW_cleaned[[#This Row],[CustomerID]], Customers_cleaned[CustomerID], Customers_cleaned[Segment]), "Customer Not Found"), "N/A")</f>
        <v>SMB</v>
      </c>
      <c r="P1203" s="5" t="str">
        <f>IF(Transactions_RAW_cleaned[[#This Row],[Status]]="Refunded", "Refund",
  IF(Transactions_RAW_cleaned[[#This Row],[Category]]="Payments", IF(Transactions_RAW_cleaned[[#This Row],[Amount]]&gt;500,"High Value","Standard"),
    IF(Transactions_RAW_cleaned[[#This Row],[Amount]]&gt;250,"High Value","Standard")))</f>
        <v>High Value</v>
      </c>
      <c r="Q1203" s="5" t="str">
        <f>IF(Transactions_RAW_cleaned[[#This Row],[Amount]] &gt; (_xlfn.XLOOKUP(Transactions_RAW_cleaned[[#This Row],[ServiceID]],Services_cleaned[ServiceID],Services_cleaned[TransactionFeePct]) * 10000), "Yes", "No")</f>
        <v>Yes</v>
      </c>
      <c r="R1203" s="5" t="str">
        <f>IF(COUNTIFS($C$2:Transactions_RAW_cleaned[[#This Row],[CustomerID]],Transactions_RAW_cleaned[[#This Row],[CustomerID]],$D$2:Transactions_RAW_cleaned[[#This Row],[ServiceID]],Transactions_RAW_cleaned[[#This Row],[ServiceID]])=1,"Yes","No")</f>
        <v>No</v>
      </c>
      <c r="S120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03" t="str">
        <f>"Q"&amp;ROUNDUP(MONTH(Transactions_RAW_cleaned[[#This Row],[TransactionDate]])/3,0)</f>
        <v>Q3</v>
      </c>
      <c r="U1203" t="str">
        <f>Transactions_RAW_cleaned[[#This Row],[Region ]]&amp;Transactions_RAW_cleaned[[#This Row],[Quarter ]]</f>
        <v>NAQ3</v>
      </c>
      <c r="V1203" s="5">
        <f>_xlfn.XLOOKUP(Transactions_RAW_cleaned[[#This Row],[RegionQuarterKey]], Quarterly_Targets_cleaned[RegionQuarterKey], Quarterly_Targets_cleaned[TargetRevenue])</f>
        <v>273000</v>
      </c>
    </row>
    <row r="1204" spans="1:22" x14ac:dyDescent="0.25">
      <c r="A1204" t="s">
        <v>1537</v>
      </c>
      <c r="B1204" s="1">
        <v>45416</v>
      </c>
      <c r="C1204" t="s">
        <v>221</v>
      </c>
      <c r="D1204" t="s">
        <v>309</v>
      </c>
      <c r="E1204">
        <v>883.87</v>
      </c>
      <c r="F1204" t="s">
        <v>324</v>
      </c>
      <c r="G1204" t="s">
        <v>329</v>
      </c>
      <c r="I1204" t="s">
        <v>8</v>
      </c>
      <c r="J1204" t="s">
        <v>102</v>
      </c>
      <c r="K1204" t="s">
        <v>14</v>
      </c>
      <c r="L1204" t="s">
        <v>310</v>
      </c>
      <c r="M1204" t="s">
        <v>311</v>
      </c>
      <c r="N1204">
        <v>0</v>
      </c>
      <c r="O1204" t="str">
        <f>IF(Transactions_RAW_cleaned[[#This Row],[Status]]="Completed", IFERROR(_xlfn.XLOOKUP(Transactions_RAW_cleaned[[#This Row],[CustomerID]], Customers_cleaned[CustomerID], Customers_cleaned[Segment]), "Customer Not Found"), "N/A")</f>
        <v>SMB</v>
      </c>
      <c r="P1204" s="5" t="str">
        <f>IF(Transactions_RAW_cleaned[[#This Row],[Status]]="Refunded", "Refund",
  IF(Transactions_RAW_cleaned[[#This Row],[Category]]="Payments", IF(Transactions_RAW_cleaned[[#This Row],[Amount]]&gt;500,"High Value","Standard"),
    IF(Transactions_RAW_cleaned[[#This Row],[Amount]]&gt;250,"High Value","Standard")))</f>
        <v>High Value</v>
      </c>
      <c r="Q1204" s="5" t="str">
        <f>IF(Transactions_RAW_cleaned[[#This Row],[Amount]] &gt; (_xlfn.XLOOKUP(Transactions_RAW_cleaned[[#This Row],[ServiceID]],Services_cleaned[ServiceID],Services_cleaned[TransactionFeePct]) * 10000), "Yes", "No")</f>
        <v>Yes</v>
      </c>
      <c r="R1204" s="5" t="str">
        <f>IF(COUNTIFS($C$2:Transactions_RAW_cleaned[[#This Row],[CustomerID]],Transactions_RAW_cleaned[[#This Row],[CustomerID]],$D$2:Transactions_RAW_cleaned[[#This Row],[ServiceID]],Transactions_RAW_cleaned[[#This Row],[ServiceID]])=1,"Yes","No")</f>
        <v>No</v>
      </c>
      <c r="S120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04" t="str">
        <f>"Q"&amp;ROUNDUP(MONTH(Transactions_RAW_cleaned[[#This Row],[TransactionDate]])/3,0)</f>
        <v>Q2</v>
      </c>
      <c r="U1204" t="str">
        <f>Transactions_RAW_cleaned[[#This Row],[Region ]]&amp;Transactions_RAW_cleaned[[#This Row],[Quarter ]]</f>
        <v>NAQ2</v>
      </c>
      <c r="V1204" s="5">
        <f>_xlfn.XLOOKUP(Transactions_RAW_cleaned[[#This Row],[RegionQuarterKey]], Quarterly_Targets_cleaned[RegionQuarterKey], Quarterly_Targets_cleaned[TargetRevenue])</f>
        <v>260000</v>
      </c>
    </row>
    <row r="1205" spans="1:22" x14ac:dyDescent="0.25">
      <c r="A1205" t="s">
        <v>1538</v>
      </c>
      <c r="B1205" s="1">
        <v>45527</v>
      </c>
      <c r="C1205" t="s">
        <v>98</v>
      </c>
      <c r="D1205" t="s">
        <v>294</v>
      </c>
      <c r="E1205">
        <v>553.22</v>
      </c>
      <c r="F1205" t="s">
        <v>324</v>
      </c>
      <c r="G1205" t="s">
        <v>327</v>
      </c>
      <c r="H1205" t="s">
        <v>346</v>
      </c>
      <c r="I1205" t="s">
        <v>8</v>
      </c>
      <c r="J1205" t="s">
        <v>37</v>
      </c>
      <c r="K1205" t="s">
        <v>18</v>
      </c>
      <c r="L1205" t="s">
        <v>295</v>
      </c>
      <c r="M1205" t="s">
        <v>296</v>
      </c>
      <c r="N1205">
        <v>2.9000000000000001E-2</v>
      </c>
      <c r="O1205" t="str">
        <f>IF(Transactions_RAW_cleaned[[#This Row],[Status]]="Completed", IFERROR(_xlfn.XLOOKUP(Transactions_RAW_cleaned[[#This Row],[CustomerID]], Customers_cleaned[CustomerID], Customers_cleaned[Segment]), "Customer Not Found"), "N/A")</f>
        <v>SMB</v>
      </c>
      <c r="P1205" s="5" t="str">
        <f>IF(Transactions_RAW_cleaned[[#This Row],[Status]]="Refunded", "Refund",
  IF(Transactions_RAW_cleaned[[#This Row],[Category]]="Payments", IF(Transactions_RAW_cleaned[[#This Row],[Amount]]&gt;500,"High Value","Standard"),
    IF(Transactions_RAW_cleaned[[#This Row],[Amount]]&gt;250,"High Value","Standard")))</f>
        <v>High Value</v>
      </c>
      <c r="Q1205" s="5" t="str">
        <f>IF(Transactions_RAW_cleaned[[#This Row],[Amount]] &gt; (_xlfn.XLOOKUP(Transactions_RAW_cleaned[[#This Row],[ServiceID]],Services_cleaned[ServiceID],Services_cleaned[TransactionFeePct]) * 10000), "Yes", "No")</f>
        <v>Yes</v>
      </c>
      <c r="R1205" s="5" t="str">
        <f>IF(COUNTIFS($C$2:Transactions_RAW_cleaned[[#This Row],[CustomerID]],Transactions_RAW_cleaned[[#This Row],[CustomerID]],$D$2:Transactions_RAW_cleaned[[#This Row],[ServiceID]],Transactions_RAW_cleaned[[#This Row],[ServiceID]])=1,"Yes","No")</f>
        <v>Yes</v>
      </c>
      <c r="S120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205" t="str">
        <f>"Q"&amp;ROUNDUP(MONTH(Transactions_RAW_cleaned[[#This Row],[TransactionDate]])/3,0)</f>
        <v>Q3</v>
      </c>
      <c r="U1205" t="str">
        <f>Transactions_RAW_cleaned[[#This Row],[Region ]]&amp;Transactions_RAW_cleaned[[#This Row],[Quarter ]]</f>
        <v>EMEAQ3</v>
      </c>
      <c r="V1205" s="5">
        <f>_xlfn.XLOOKUP(Transactions_RAW_cleaned[[#This Row],[RegionQuarterKey]], Quarterly_Targets_cleaned[RegionQuarterKey], Quarterly_Targets_cleaned[TargetRevenue])</f>
        <v>147000</v>
      </c>
    </row>
    <row r="1206" spans="1:22" x14ac:dyDescent="0.25">
      <c r="A1206" t="s">
        <v>1539</v>
      </c>
      <c r="B1206" s="1">
        <v>45595</v>
      </c>
      <c r="C1206" t="s">
        <v>219</v>
      </c>
      <c r="D1206" t="s">
        <v>312</v>
      </c>
      <c r="E1206">
        <v>870.7</v>
      </c>
      <c r="F1206" t="s">
        <v>324</v>
      </c>
      <c r="G1206" t="s">
        <v>327</v>
      </c>
      <c r="I1206" t="s">
        <v>17</v>
      </c>
      <c r="J1206" t="s">
        <v>31</v>
      </c>
      <c r="K1206" t="s">
        <v>32</v>
      </c>
      <c r="L1206" t="s">
        <v>313</v>
      </c>
      <c r="M1206" t="s">
        <v>314</v>
      </c>
      <c r="N1206">
        <v>0</v>
      </c>
      <c r="O1206" t="str">
        <f>IF(Transactions_RAW_cleaned[[#This Row],[Status]]="Completed", IFERROR(_xlfn.XLOOKUP(Transactions_RAW_cleaned[[#This Row],[CustomerID]], Customers_cleaned[CustomerID], Customers_cleaned[Segment]), "Customer Not Found"), "N/A")</f>
        <v>Enterprise</v>
      </c>
      <c r="P1206" s="5" t="str">
        <f>IF(Transactions_RAW_cleaned[[#This Row],[Status]]="Refunded", "Refund",
  IF(Transactions_RAW_cleaned[[#This Row],[Category]]="Payments", IF(Transactions_RAW_cleaned[[#This Row],[Amount]]&gt;500,"High Value","Standard"),
    IF(Transactions_RAW_cleaned[[#This Row],[Amount]]&gt;250,"High Value","Standard")))</f>
        <v>High Value</v>
      </c>
      <c r="Q1206" s="5" t="str">
        <f>IF(Transactions_RAW_cleaned[[#This Row],[Amount]] &gt; (_xlfn.XLOOKUP(Transactions_RAW_cleaned[[#This Row],[ServiceID]],Services_cleaned[ServiceID],Services_cleaned[TransactionFeePct]) * 10000), "Yes", "No")</f>
        <v>Yes</v>
      </c>
      <c r="R1206" s="5" t="str">
        <f>IF(COUNTIFS($C$2:Transactions_RAW_cleaned[[#This Row],[CustomerID]],Transactions_RAW_cleaned[[#This Row],[CustomerID]],$D$2:Transactions_RAW_cleaned[[#This Row],[ServiceID]],Transactions_RAW_cleaned[[#This Row],[ServiceID]])=1,"Yes","No")</f>
        <v>No</v>
      </c>
      <c r="S120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206" t="str">
        <f>"Q"&amp;ROUNDUP(MONTH(Transactions_RAW_cleaned[[#This Row],[TransactionDate]])/3,0)</f>
        <v>Q4</v>
      </c>
      <c r="U1206" t="str">
        <f>Transactions_RAW_cleaned[[#This Row],[Region ]]&amp;Transactions_RAW_cleaned[[#This Row],[Quarter ]]</f>
        <v>EMEAQ4</v>
      </c>
      <c r="V1206" s="5">
        <f>_xlfn.XLOOKUP(Transactions_RAW_cleaned[[#This Row],[RegionQuarterKey]], Quarterly_Targets_cleaned[RegionQuarterKey], Quarterly_Targets_cleaned[TargetRevenue])</f>
        <v>161000</v>
      </c>
    </row>
    <row r="1207" spans="1:22" x14ac:dyDescent="0.25">
      <c r="A1207" t="s">
        <v>1540</v>
      </c>
      <c r="B1207" s="1">
        <v>45568</v>
      </c>
      <c r="C1207" t="s">
        <v>96</v>
      </c>
      <c r="D1207" t="s">
        <v>294</v>
      </c>
      <c r="E1207">
        <v>69.010000000000005</v>
      </c>
      <c r="F1207" t="s">
        <v>324</v>
      </c>
      <c r="G1207" t="s">
        <v>327</v>
      </c>
      <c r="I1207" t="s">
        <v>17</v>
      </c>
      <c r="J1207" t="s">
        <v>31</v>
      </c>
      <c r="K1207" t="s">
        <v>14</v>
      </c>
      <c r="L1207" t="s">
        <v>295</v>
      </c>
      <c r="M1207" t="s">
        <v>296</v>
      </c>
      <c r="N1207">
        <v>2.9000000000000001E-2</v>
      </c>
      <c r="O1207" t="str">
        <f>IF(Transactions_RAW_cleaned[[#This Row],[Status]]="Completed", IFERROR(_xlfn.XLOOKUP(Transactions_RAW_cleaned[[#This Row],[CustomerID]], Customers_cleaned[CustomerID], Customers_cleaned[Segment]), "Customer Not Found"), "N/A")</f>
        <v>Enterprise</v>
      </c>
      <c r="P1207" s="5" t="str">
        <f>IF(Transactions_RAW_cleaned[[#This Row],[Status]]="Refunded", "Refund",
  IF(Transactions_RAW_cleaned[[#This Row],[Category]]="Payments", IF(Transactions_RAW_cleaned[[#This Row],[Amount]]&gt;500,"High Value","Standard"),
    IF(Transactions_RAW_cleaned[[#This Row],[Amount]]&gt;250,"High Value","Standard")))</f>
        <v>Standard</v>
      </c>
      <c r="Q1207" s="5" t="str">
        <f>IF(Transactions_RAW_cleaned[[#This Row],[Amount]] &gt; (_xlfn.XLOOKUP(Transactions_RAW_cleaned[[#This Row],[ServiceID]],Services_cleaned[ServiceID],Services_cleaned[TransactionFeePct]) * 10000), "Yes", "No")</f>
        <v>No</v>
      </c>
      <c r="R1207" s="5" t="str">
        <f>IF(COUNTIFS($C$2:Transactions_RAW_cleaned[[#This Row],[CustomerID]],Transactions_RAW_cleaned[[#This Row],[CustomerID]],$D$2:Transactions_RAW_cleaned[[#This Row],[ServiceID]],Transactions_RAW_cleaned[[#This Row],[ServiceID]])=1,"Yes","No")</f>
        <v>No</v>
      </c>
      <c r="S120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207" t="str">
        <f>"Q"&amp;ROUNDUP(MONTH(Transactions_RAW_cleaned[[#This Row],[TransactionDate]])/3,0)</f>
        <v>Q4</v>
      </c>
      <c r="U1207" t="str">
        <f>Transactions_RAW_cleaned[[#This Row],[Region ]]&amp;Transactions_RAW_cleaned[[#This Row],[Quarter ]]</f>
        <v>EMEAQ4</v>
      </c>
      <c r="V1207" s="5">
        <f>_xlfn.XLOOKUP(Transactions_RAW_cleaned[[#This Row],[RegionQuarterKey]], Quarterly_Targets_cleaned[RegionQuarterKey], Quarterly_Targets_cleaned[TargetRevenue])</f>
        <v>161000</v>
      </c>
    </row>
    <row r="1208" spans="1:22" x14ac:dyDescent="0.25">
      <c r="A1208" t="s">
        <v>2969</v>
      </c>
      <c r="B1208" s="1">
        <v>45431</v>
      </c>
      <c r="D1208" t="s">
        <v>300</v>
      </c>
      <c r="E1208">
        <v>1488.55</v>
      </c>
      <c r="F1208" t="s">
        <v>324</v>
      </c>
      <c r="G1208" t="s">
        <v>325</v>
      </c>
      <c r="L1208" t="s">
        <v>301</v>
      </c>
      <c r="M1208" t="s">
        <v>302</v>
      </c>
      <c r="N1208">
        <v>5.0000000000000001E-3</v>
      </c>
      <c r="O1208" t="str">
        <f>IF(Transactions_RAW_cleaned[[#This Row],[Status]]="Completed", IFERROR(_xlfn.XLOOKUP(Transactions_RAW_cleaned[[#This Row],[CustomerID]], Customers_cleaned[CustomerID], Customers_cleaned[Segment]), "Customer Not Found"), "N/A")</f>
        <v>Customer Not Found</v>
      </c>
      <c r="P1208" s="5" t="str">
        <f>IF(Transactions_RAW_cleaned[[#This Row],[Status]]="Refunded", "Refund",
  IF(Transactions_RAW_cleaned[[#This Row],[Category]]="Payments", IF(Transactions_RAW_cleaned[[#This Row],[Amount]]&gt;500,"High Value","Standard"),
    IF(Transactions_RAW_cleaned[[#This Row],[Amount]]&gt;250,"High Value","Standard")))</f>
        <v>High Value</v>
      </c>
      <c r="Q1208" s="5" t="str">
        <f>IF(Transactions_RAW_cleaned[[#This Row],[Amount]] &gt; (_xlfn.XLOOKUP(Transactions_RAW_cleaned[[#This Row],[ServiceID]],Services_cleaned[ServiceID],Services_cleaned[TransactionFeePct]) * 10000), "Yes", "No")</f>
        <v>Yes</v>
      </c>
      <c r="R1208" s="5" t="str">
        <f>IF(COUNTIFS($C$2:Transactions_RAW_cleaned[[#This Row],[CustomerID]],Transactions_RAW_cleaned[[#This Row],[CustomerID]],$D$2:Transactions_RAW_cleaned[[#This Row],[ServiceID]],Transactions_RAW_cleaned[[#This Row],[ServiceID]])=1,"Yes","No")</f>
        <v>No</v>
      </c>
      <c r="S120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08" t="str">
        <f>"Q"&amp;ROUNDUP(MONTH(Transactions_RAW_cleaned[[#This Row],[TransactionDate]])/3,0)</f>
        <v>Q2</v>
      </c>
      <c r="U1208" t="str">
        <f>Transactions_RAW_cleaned[[#This Row],[Region ]]&amp;Transactions_RAW_cleaned[[#This Row],[Quarter ]]</f>
        <v>APACQ2</v>
      </c>
      <c r="V1208" s="5">
        <f>_xlfn.XLOOKUP(Transactions_RAW_cleaned[[#This Row],[RegionQuarterKey]], Quarterly_Targets_cleaned[RegionQuarterKey], Quarterly_Targets_cleaned[TargetRevenue])</f>
        <v>110000</v>
      </c>
    </row>
    <row r="1209" spans="1:22" x14ac:dyDescent="0.25">
      <c r="A1209" t="s">
        <v>1541</v>
      </c>
      <c r="B1209" s="1">
        <v>45295</v>
      </c>
      <c r="C1209" t="s">
        <v>76</v>
      </c>
      <c r="D1209" t="s">
        <v>303</v>
      </c>
      <c r="E1209">
        <v>366.2</v>
      </c>
      <c r="F1209" t="s">
        <v>324</v>
      </c>
      <c r="G1209" t="s">
        <v>327</v>
      </c>
      <c r="H1209" t="s">
        <v>346</v>
      </c>
      <c r="I1209" t="s">
        <v>17</v>
      </c>
      <c r="J1209" t="s">
        <v>13</v>
      </c>
      <c r="K1209" t="s">
        <v>18</v>
      </c>
      <c r="L1209" t="s">
        <v>304</v>
      </c>
      <c r="M1209" t="s">
        <v>305</v>
      </c>
      <c r="N1209">
        <v>1E-3</v>
      </c>
      <c r="O1209" t="str">
        <f>IF(Transactions_RAW_cleaned[[#This Row],[Status]]="Completed", IFERROR(_xlfn.XLOOKUP(Transactions_RAW_cleaned[[#This Row],[CustomerID]], Customers_cleaned[CustomerID], Customers_cleaned[Segment]), "Customer Not Found"), "N/A")</f>
        <v>Enterprise</v>
      </c>
      <c r="P1209" s="5" t="str">
        <f>IF(Transactions_RAW_cleaned[[#This Row],[Status]]="Refunded", "Refund",
  IF(Transactions_RAW_cleaned[[#This Row],[Category]]="Payments", IF(Transactions_RAW_cleaned[[#This Row],[Amount]]&gt;500,"High Value","Standard"),
    IF(Transactions_RAW_cleaned[[#This Row],[Amount]]&gt;250,"High Value","Standard")))</f>
        <v>High Value</v>
      </c>
      <c r="Q1209" s="5" t="str">
        <f>IF(Transactions_RAW_cleaned[[#This Row],[Amount]] &gt; (_xlfn.XLOOKUP(Transactions_RAW_cleaned[[#This Row],[ServiceID]],Services_cleaned[ServiceID],Services_cleaned[TransactionFeePct]) * 10000), "Yes", "No")</f>
        <v>Yes</v>
      </c>
      <c r="R1209" s="5" t="str">
        <f>IF(COUNTIFS($C$2:Transactions_RAW_cleaned[[#This Row],[CustomerID]],Transactions_RAW_cleaned[[#This Row],[CustomerID]],$D$2:Transactions_RAW_cleaned[[#This Row],[ServiceID]],Transactions_RAW_cleaned[[#This Row],[ServiceID]])=1,"Yes","No")</f>
        <v>No</v>
      </c>
      <c r="S120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09" t="str">
        <f>"Q"&amp;ROUNDUP(MONTH(Transactions_RAW_cleaned[[#This Row],[TransactionDate]])/3,0)</f>
        <v>Q1</v>
      </c>
      <c r="U1209" t="str">
        <f>Transactions_RAW_cleaned[[#This Row],[Region ]]&amp;Transactions_RAW_cleaned[[#This Row],[Quarter ]]</f>
        <v>NAQ1</v>
      </c>
      <c r="V1209" s="5">
        <f>_xlfn.XLOOKUP(Transactions_RAW_cleaned[[#This Row],[RegionQuarterKey]], Quarterly_Targets_cleaned[RegionQuarterKey], Quarterly_Targets_cleaned[TargetRevenue])</f>
        <v>247000</v>
      </c>
    </row>
    <row r="1210" spans="1:22" x14ac:dyDescent="0.25">
      <c r="A1210" t="s">
        <v>1542</v>
      </c>
      <c r="B1210" s="1">
        <v>45642</v>
      </c>
      <c r="C1210" t="s">
        <v>117</v>
      </c>
      <c r="D1210" t="s">
        <v>309</v>
      </c>
      <c r="E1210">
        <v>300.11</v>
      </c>
      <c r="F1210" t="s">
        <v>324</v>
      </c>
      <c r="G1210" t="s">
        <v>327</v>
      </c>
      <c r="H1210" t="s">
        <v>334</v>
      </c>
      <c r="I1210" t="s">
        <v>8</v>
      </c>
      <c r="J1210" t="s">
        <v>102</v>
      </c>
      <c r="K1210" t="s">
        <v>14</v>
      </c>
      <c r="L1210" t="s">
        <v>310</v>
      </c>
      <c r="M1210" t="s">
        <v>311</v>
      </c>
      <c r="N1210">
        <v>0</v>
      </c>
      <c r="O1210" t="str">
        <f>IF(Transactions_RAW_cleaned[[#This Row],[Status]]="Completed", IFERROR(_xlfn.XLOOKUP(Transactions_RAW_cleaned[[#This Row],[CustomerID]], Customers_cleaned[CustomerID], Customers_cleaned[Segment]), "Customer Not Found"), "N/A")</f>
        <v>SMB</v>
      </c>
      <c r="P1210" s="5" t="str">
        <f>IF(Transactions_RAW_cleaned[[#This Row],[Status]]="Refunded", "Refund",
  IF(Transactions_RAW_cleaned[[#This Row],[Category]]="Payments", IF(Transactions_RAW_cleaned[[#This Row],[Amount]]&gt;500,"High Value","Standard"),
    IF(Transactions_RAW_cleaned[[#This Row],[Amount]]&gt;250,"High Value","Standard")))</f>
        <v>High Value</v>
      </c>
      <c r="Q1210" s="5" t="str">
        <f>IF(Transactions_RAW_cleaned[[#This Row],[Amount]] &gt; (_xlfn.XLOOKUP(Transactions_RAW_cleaned[[#This Row],[ServiceID]],Services_cleaned[ServiceID],Services_cleaned[TransactionFeePct]) * 10000), "Yes", "No")</f>
        <v>Yes</v>
      </c>
      <c r="R1210" s="5" t="str">
        <f>IF(COUNTIFS($C$2:Transactions_RAW_cleaned[[#This Row],[CustomerID]],Transactions_RAW_cleaned[[#This Row],[CustomerID]],$D$2:Transactions_RAW_cleaned[[#This Row],[ServiceID]],Transactions_RAW_cleaned[[#This Row],[ServiceID]])=1,"Yes","No")</f>
        <v>No</v>
      </c>
      <c r="S121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10" t="str">
        <f>"Q"&amp;ROUNDUP(MONTH(Transactions_RAW_cleaned[[#This Row],[TransactionDate]])/3,0)</f>
        <v>Q4</v>
      </c>
      <c r="U1210" t="str">
        <f>Transactions_RAW_cleaned[[#This Row],[Region ]]&amp;Transactions_RAW_cleaned[[#This Row],[Quarter ]]</f>
        <v>NAQ4</v>
      </c>
      <c r="V1210" s="5">
        <f>_xlfn.XLOOKUP(Transactions_RAW_cleaned[[#This Row],[RegionQuarterKey]], Quarterly_Targets_cleaned[RegionQuarterKey], Quarterly_Targets_cleaned[TargetRevenue])</f>
        <v>299000</v>
      </c>
    </row>
    <row r="1211" spans="1:22" x14ac:dyDescent="0.25">
      <c r="A1211" t="s">
        <v>1543</v>
      </c>
      <c r="B1211" s="1">
        <v>45297</v>
      </c>
      <c r="C1211" t="s">
        <v>235</v>
      </c>
      <c r="D1211" t="s">
        <v>306</v>
      </c>
      <c r="E1211">
        <v>241.48</v>
      </c>
      <c r="F1211" t="s">
        <v>324</v>
      </c>
      <c r="G1211" t="s">
        <v>325</v>
      </c>
      <c r="I1211" t="s">
        <v>57</v>
      </c>
      <c r="J1211" t="s">
        <v>21</v>
      </c>
      <c r="K1211" t="s">
        <v>22</v>
      </c>
      <c r="L1211" t="s">
        <v>307</v>
      </c>
      <c r="M1211" t="s">
        <v>308</v>
      </c>
      <c r="N1211">
        <v>0</v>
      </c>
      <c r="O1211" t="str">
        <f>IF(Transactions_RAW_cleaned[[#This Row],[Status]]="Completed", IFERROR(_xlfn.XLOOKUP(Transactions_RAW_cleaned[[#This Row],[CustomerID]], Customers_cleaned[CustomerID], Customers_cleaned[Segment]), "Customer Not Found"), "N/A")</f>
        <v>Startup</v>
      </c>
      <c r="P1211" s="5" t="str">
        <f>IF(Transactions_RAW_cleaned[[#This Row],[Status]]="Refunded", "Refund",
  IF(Transactions_RAW_cleaned[[#This Row],[Category]]="Payments", IF(Transactions_RAW_cleaned[[#This Row],[Amount]]&gt;500,"High Value","Standard"),
    IF(Transactions_RAW_cleaned[[#This Row],[Amount]]&gt;250,"High Value","Standard")))</f>
        <v>Standard</v>
      </c>
      <c r="Q1211" s="5" t="str">
        <f>IF(Transactions_RAW_cleaned[[#This Row],[Amount]] &gt; (_xlfn.XLOOKUP(Transactions_RAW_cleaned[[#This Row],[ServiceID]],Services_cleaned[ServiceID],Services_cleaned[TransactionFeePct]) * 10000), "Yes", "No")</f>
        <v>Yes</v>
      </c>
      <c r="R1211" s="5" t="str">
        <f>IF(COUNTIFS($C$2:Transactions_RAW_cleaned[[#This Row],[CustomerID]],Transactions_RAW_cleaned[[#This Row],[CustomerID]],$D$2:Transactions_RAW_cleaned[[#This Row],[ServiceID]],Transactions_RAW_cleaned[[#This Row],[ServiceID]])=1,"Yes","No")</f>
        <v>Yes</v>
      </c>
      <c r="S121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11" t="str">
        <f>"Q"&amp;ROUNDUP(MONTH(Transactions_RAW_cleaned[[#This Row],[TransactionDate]])/3,0)</f>
        <v>Q1</v>
      </c>
      <c r="U1211" t="str">
        <f>Transactions_RAW_cleaned[[#This Row],[Region ]]&amp;Transactions_RAW_cleaned[[#This Row],[Quarter ]]</f>
        <v>APACQ1</v>
      </c>
      <c r="V1211" s="5">
        <f>_xlfn.XLOOKUP(Transactions_RAW_cleaned[[#This Row],[RegionQuarterKey]], Quarterly_Targets_cleaned[RegionQuarterKey], Quarterly_Targets_cleaned[TargetRevenue])</f>
        <v>104500</v>
      </c>
    </row>
    <row r="1212" spans="1:22" x14ac:dyDescent="0.25">
      <c r="A1212" t="s">
        <v>1544</v>
      </c>
      <c r="B1212" s="1">
        <v>45463</v>
      </c>
      <c r="C1212" t="s">
        <v>125</v>
      </c>
      <c r="D1212" t="s">
        <v>294</v>
      </c>
      <c r="E1212">
        <v>785.5</v>
      </c>
      <c r="F1212" t="s">
        <v>324</v>
      </c>
      <c r="G1212" t="s">
        <v>327</v>
      </c>
      <c r="H1212" t="s">
        <v>332</v>
      </c>
      <c r="I1212" t="s">
        <v>8</v>
      </c>
      <c r="J1212" t="s">
        <v>13</v>
      </c>
      <c r="K1212" t="s">
        <v>28</v>
      </c>
      <c r="L1212" t="s">
        <v>295</v>
      </c>
      <c r="M1212" t="s">
        <v>296</v>
      </c>
      <c r="N1212">
        <v>2.9000000000000001E-2</v>
      </c>
      <c r="O1212" t="str">
        <f>IF(Transactions_RAW_cleaned[[#This Row],[Status]]="Completed", IFERROR(_xlfn.XLOOKUP(Transactions_RAW_cleaned[[#This Row],[CustomerID]], Customers_cleaned[CustomerID], Customers_cleaned[Segment]), "Customer Not Found"), "N/A")</f>
        <v>SMB</v>
      </c>
      <c r="P1212" s="5" t="str">
        <f>IF(Transactions_RAW_cleaned[[#This Row],[Status]]="Refunded", "Refund",
  IF(Transactions_RAW_cleaned[[#This Row],[Category]]="Payments", IF(Transactions_RAW_cleaned[[#This Row],[Amount]]&gt;500,"High Value","Standard"),
    IF(Transactions_RAW_cleaned[[#This Row],[Amount]]&gt;250,"High Value","Standard")))</f>
        <v>High Value</v>
      </c>
      <c r="Q1212" s="5" t="str">
        <f>IF(Transactions_RAW_cleaned[[#This Row],[Amount]] &gt; (_xlfn.XLOOKUP(Transactions_RAW_cleaned[[#This Row],[ServiceID]],Services_cleaned[ServiceID],Services_cleaned[TransactionFeePct]) * 10000), "Yes", "No")</f>
        <v>Yes</v>
      </c>
      <c r="R1212" s="5" t="str">
        <f>IF(COUNTIFS($C$2:Transactions_RAW_cleaned[[#This Row],[CustomerID]],Transactions_RAW_cleaned[[#This Row],[CustomerID]],$D$2:Transactions_RAW_cleaned[[#This Row],[ServiceID]],Transactions_RAW_cleaned[[#This Row],[ServiceID]])=1,"Yes","No")</f>
        <v>No</v>
      </c>
      <c r="S121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12" t="str">
        <f>"Q"&amp;ROUNDUP(MONTH(Transactions_RAW_cleaned[[#This Row],[TransactionDate]])/3,0)</f>
        <v>Q2</v>
      </c>
      <c r="U1212" t="str">
        <f>Transactions_RAW_cleaned[[#This Row],[Region ]]&amp;Transactions_RAW_cleaned[[#This Row],[Quarter ]]</f>
        <v>NAQ2</v>
      </c>
      <c r="V1212" s="5">
        <f>_xlfn.XLOOKUP(Transactions_RAW_cleaned[[#This Row],[RegionQuarterKey]], Quarterly_Targets_cleaned[RegionQuarterKey], Quarterly_Targets_cleaned[TargetRevenue])</f>
        <v>260000</v>
      </c>
    </row>
    <row r="1213" spans="1:22" x14ac:dyDescent="0.25">
      <c r="A1213" t="s">
        <v>1545</v>
      </c>
      <c r="B1213" s="1">
        <v>45383</v>
      </c>
      <c r="C1213" t="s">
        <v>213</v>
      </c>
      <c r="D1213" t="s">
        <v>306</v>
      </c>
      <c r="E1213">
        <v>514.07000000000005</v>
      </c>
      <c r="F1213" t="s">
        <v>324</v>
      </c>
      <c r="G1213" t="s">
        <v>327</v>
      </c>
      <c r="I1213" t="s">
        <v>17</v>
      </c>
      <c r="J1213" t="s">
        <v>25</v>
      </c>
      <c r="K1213" t="s">
        <v>14</v>
      </c>
      <c r="L1213" t="s">
        <v>307</v>
      </c>
      <c r="M1213" t="s">
        <v>308</v>
      </c>
      <c r="N1213">
        <v>0</v>
      </c>
      <c r="O1213" t="str">
        <f>IF(Transactions_RAW_cleaned[[#This Row],[Status]]="Completed", IFERROR(_xlfn.XLOOKUP(Transactions_RAW_cleaned[[#This Row],[CustomerID]], Customers_cleaned[CustomerID], Customers_cleaned[Segment]), "Customer Not Found"), "N/A")</f>
        <v>Enterprise</v>
      </c>
      <c r="P1213" s="5" t="str">
        <f>IF(Transactions_RAW_cleaned[[#This Row],[Status]]="Refunded", "Refund",
  IF(Transactions_RAW_cleaned[[#This Row],[Category]]="Payments", IF(Transactions_RAW_cleaned[[#This Row],[Amount]]&gt;500,"High Value","Standard"),
    IF(Transactions_RAW_cleaned[[#This Row],[Amount]]&gt;250,"High Value","Standard")))</f>
        <v>High Value</v>
      </c>
      <c r="Q1213" s="5" t="str">
        <f>IF(Transactions_RAW_cleaned[[#This Row],[Amount]] &gt; (_xlfn.XLOOKUP(Transactions_RAW_cleaned[[#This Row],[ServiceID]],Services_cleaned[ServiceID],Services_cleaned[TransactionFeePct]) * 10000), "Yes", "No")</f>
        <v>Yes</v>
      </c>
      <c r="R1213" s="5" t="str">
        <f>IF(COUNTIFS($C$2:Transactions_RAW_cleaned[[#This Row],[CustomerID]],Transactions_RAW_cleaned[[#This Row],[CustomerID]],$D$2:Transactions_RAW_cleaned[[#This Row],[ServiceID]],Transactions_RAW_cleaned[[#This Row],[ServiceID]])=1,"Yes","No")</f>
        <v>Yes</v>
      </c>
      <c r="S121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13" t="str">
        <f>"Q"&amp;ROUNDUP(MONTH(Transactions_RAW_cleaned[[#This Row],[TransactionDate]])/3,0)</f>
        <v>Q2</v>
      </c>
      <c r="U1213" t="str">
        <f>Transactions_RAW_cleaned[[#This Row],[Region ]]&amp;Transactions_RAW_cleaned[[#This Row],[Quarter ]]</f>
        <v>APACQ2</v>
      </c>
      <c r="V1213" s="5">
        <f>_xlfn.XLOOKUP(Transactions_RAW_cleaned[[#This Row],[RegionQuarterKey]], Quarterly_Targets_cleaned[RegionQuarterKey], Quarterly_Targets_cleaned[TargetRevenue])</f>
        <v>110000</v>
      </c>
    </row>
    <row r="1214" spans="1:22" x14ac:dyDescent="0.25">
      <c r="A1214" t="s">
        <v>2960</v>
      </c>
      <c r="B1214" s="1">
        <v>45505</v>
      </c>
      <c r="C1214" t="s">
        <v>271</v>
      </c>
      <c r="E1214">
        <v>895.78</v>
      </c>
      <c r="F1214" t="s">
        <v>324</v>
      </c>
      <c r="G1214" t="s">
        <v>327</v>
      </c>
      <c r="I1214" t="s">
        <v>8</v>
      </c>
      <c r="J1214" t="s">
        <v>102</v>
      </c>
      <c r="K1214" t="s">
        <v>28</v>
      </c>
      <c r="O1214" t="str">
        <f>IF(Transactions_RAW_cleaned[[#This Row],[Status]]="Completed", IFERROR(_xlfn.XLOOKUP(Transactions_RAW_cleaned[[#This Row],[CustomerID]], Customers_cleaned[CustomerID], Customers_cleaned[Segment]), "Customer Not Found"), "N/A")</f>
        <v>SMB</v>
      </c>
      <c r="P1214" s="5" t="str">
        <f>IF(Transactions_RAW_cleaned[[#This Row],[Status]]="Refunded", "Refund",
  IF(Transactions_RAW_cleaned[[#This Row],[Category]]="Payments", IF(Transactions_RAW_cleaned[[#This Row],[Amount]]&gt;500,"High Value","Standard"),
    IF(Transactions_RAW_cleaned[[#This Row],[Amount]]&gt;250,"High Value","Standard")))</f>
        <v>High Value</v>
      </c>
      <c r="Q1214" s="5" t="e">
        <f>IF(Transactions_RAW_cleaned[[#This Row],[Amount]] &gt; (_xlfn.XLOOKUP(Transactions_RAW_cleaned[[#This Row],[ServiceID]],Services_cleaned[ServiceID],Services_cleaned[TransactionFeePct]) * 10000), "Yes", "No")</f>
        <v>#N/A</v>
      </c>
      <c r="R1214" s="5" t="str">
        <f>IF(COUNTIFS($C$2:Transactions_RAW_cleaned[[#This Row],[CustomerID]],Transactions_RAW_cleaned[[#This Row],[CustomerID]],$D$2:Transactions_RAW_cleaned[[#This Row],[ServiceID]],Transactions_RAW_cleaned[[#This Row],[ServiceID]])=1,"Yes","No")</f>
        <v>No</v>
      </c>
      <c r="S121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14" t="str">
        <f>"Q"&amp;ROUNDUP(MONTH(Transactions_RAW_cleaned[[#This Row],[TransactionDate]])/3,0)</f>
        <v>Q3</v>
      </c>
      <c r="U1214" t="str">
        <f>Transactions_RAW_cleaned[[#This Row],[Region ]]&amp;Transactions_RAW_cleaned[[#This Row],[Quarter ]]</f>
        <v>NAQ3</v>
      </c>
      <c r="V1214" s="5">
        <f>_xlfn.XLOOKUP(Transactions_RAW_cleaned[[#This Row],[RegionQuarterKey]], Quarterly_Targets_cleaned[RegionQuarterKey], Quarterly_Targets_cleaned[TargetRevenue])</f>
        <v>273000</v>
      </c>
    </row>
    <row r="1215" spans="1:22" x14ac:dyDescent="0.25">
      <c r="A1215" t="s">
        <v>1546</v>
      </c>
      <c r="B1215" s="1">
        <v>45494</v>
      </c>
      <c r="C1215" t="s">
        <v>147</v>
      </c>
      <c r="D1215" t="s">
        <v>315</v>
      </c>
      <c r="E1215">
        <v>375.47</v>
      </c>
      <c r="F1215" t="s">
        <v>324</v>
      </c>
      <c r="G1215" t="s">
        <v>325</v>
      </c>
      <c r="I1215" t="s">
        <v>17</v>
      </c>
      <c r="J1215" t="s">
        <v>25</v>
      </c>
      <c r="K1215" t="s">
        <v>32</v>
      </c>
      <c r="L1215" t="s">
        <v>316</v>
      </c>
      <c r="M1215" t="s">
        <v>305</v>
      </c>
      <c r="N1215">
        <v>2.5000000000000001E-3</v>
      </c>
      <c r="O1215" t="str">
        <f>IF(Transactions_RAW_cleaned[[#This Row],[Status]]="Completed", IFERROR(_xlfn.XLOOKUP(Transactions_RAW_cleaned[[#This Row],[CustomerID]], Customers_cleaned[CustomerID], Customers_cleaned[Segment]), "Customer Not Found"), "N/A")</f>
        <v>Enterprise</v>
      </c>
      <c r="P1215" s="5" t="str">
        <f>IF(Transactions_RAW_cleaned[[#This Row],[Status]]="Refunded", "Refund",
  IF(Transactions_RAW_cleaned[[#This Row],[Category]]="Payments", IF(Transactions_RAW_cleaned[[#This Row],[Amount]]&gt;500,"High Value","Standard"),
    IF(Transactions_RAW_cleaned[[#This Row],[Amount]]&gt;250,"High Value","Standard")))</f>
        <v>High Value</v>
      </c>
      <c r="Q1215" s="5" t="str">
        <f>IF(Transactions_RAW_cleaned[[#This Row],[Amount]] &gt; (_xlfn.XLOOKUP(Transactions_RAW_cleaned[[#This Row],[ServiceID]],Services_cleaned[ServiceID],Services_cleaned[TransactionFeePct]) * 10000), "Yes", "No")</f>
        <v>Yes</v>
      </c>
      <c r="R1215" s="5" t="str">
        <f>IF(COUNTIFS($C$2:Transactions_RAW_cleaned[[#This Row],[CustomerID]],Transactions_RAW_cleaned[[#This Row],[CustomerID]],$D$2:Transactions_RAW_cleaned[[#This Row],[ServiceID]],Transactions_RAW_cleaned[[#This Row],[ServiceID]])=1,"Yes","No")</f>
        <v>Yes</v>
      </c>
      <c r="S121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15" t="str">
        <f>"Q"&amp;ROUNDUP(MONTH(Transactions_RAW_cleaned[[#This Row],[TransactionDate]])/3,0)</f>
        <v>Q3</v>
      </c>
      <c r="U1215" t="str">
        <f>Transactions_RAW_cleaned[[#This Row],[Region ]]&amp;Transactions_RAW_cleaned[[#This Row],[Quarter ]]</f>
        <v>APACQ3</v>
      </c>
      <c r="V1215" s="5">
        <f>_xlfn.XLOOKUP(Transactions_RAW_cleaned[[#This Row],[RegionQuarterKey]], Quarterly_Targets_cleaned[RegionQuarterKey], Quarterly_Targets_cleaned[TargetRevenue])</f>
        <v>115500</v>
      </c>
    </row>
    <row r="1216" spans="1:22" x14ac:dyDescent="0.25">
      <c r="A1216" t="s">
        <v>1547</v>
      </c>
      <c r="B1216" s="1">
        <v>45452</v>
      </c>
      <c r="C1216" t="s">
        <v>137</v>
      </c>
      <c r="D1216" t="s">
        <v>297</v>
      </c>
      <c r="E1216">
        <v>345.92</v>
      </c>
      <c r="F1216" t="s">
        <v>324</v>
      </c>
      <c r="G1216" t="s">
        <v>325</v>
      </c>
      <c r="I1216" t="s">
        <v>8</v>
      </c>
      <c r="J1216" t="s">
        <v>13</v>
      </c>
      <c r="K1216" t="s">
        <v>18</v>
      </c>
      <c r="L1216" t="s">
        <v>298</v>
      </c>
      <c r="M1216" t="s">
        <v>299</v>
      </c>
      <c r="N1216">
        <v>0</v>
      </c>
      <c r="O1216" t="str">
        <f>IF(Transactions_RAW_cleaned[[#This Row],[Status]]="Completed", IFERROR(_xlfn.XLOOKUP(Transactions_RAW_cleaned[[#This Row],[CustomerID]], Customers_cleaned[CustomerID], Customers_cleaned[Segment]), "Customer Not Found"), "N/A")</f>
        <v>SMB</v>
      </c>
      <c r="P1216" s="5" t="str">
        <f>IF(Transactions_RAW_cleaned[[#This Row],[Status]]="Refunded", "Refund",
  IF(Transactions_RAW_cleaned[[#This Row],[Category]]="Payments", IF(Transactions_RAW_cleaned[[#This Row],[Amount]]&gt;500,"High Value","Standard"),
    IF(Transactions_RAW_cleaned[[#This Row],[Amount]]&gt;250,"High Value","Standard")))</f>
        <v>High Value</v>
      </c>
      <c r="Q1216" s="5" t="str">
        <f>IF(Transactions_RAW_cleaned[[#This Row],[Amount]] &gt; (_xlfn.XLOOKUP(Transactions_RAW_cleaned[[#This Row],[ServiceID]],Services_cleaned[ServiceID],Services_cleaned[TransactionFeePct]) * 10000), "Yes", "No")</f>
        <v>Yes</v>
      </c>
      <c r="R1216" s="5" t="str">
        <f>IF(COUNTIFS($C$2:Transactions_RAW_cleaned[[#This Row],[CustomerID]],Transactions_RAW_cleaned[[#This Row],[CustomerID]],$D$2:Transactions_RAW_cleaned[[#This Row],[ServiceID]],Transactions_RAW_cleaned[[#This Row],[ServiceID]])=1,"Yes","No")</f>
        <v>No</v>
      </c>
      <c r="S121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16" t="str">
        <f>"Q"&amp;ROUNDUP(MONTH(Transactions_RAW_cleaned[[#This Row],[TransactionDate]])/3,0)</f>
        <v>Q2</v>
      </c>
      <c r="U1216" t="str">
        <f>Transactions_RAW_cleaned[[#This Row],[Region ]]&amp;Transactions_RAW_cleaned[[#This Row],[Quarter ]]</f>
        <v>NAQ2</v>
      </c>
      <c r="V1216" s="5">
        <f>_xlfn.XLOOKUP(Transactions_RAW_cleaned[[#This Row],[RegionQuarterKey]], Quarterly_Targets_cleaned[RegionQuarterKey], Quarterly_Targets_cleaned[TargetRevenue])</f>
        <v>260000</v>
      </c>
    </row>
    <row r="1217" spans="1:22" x14ac:dyDescent="0.25">
      <c r="A1217" t="s">
        <v>1548</v>
      </c>
      <c r="B1217" s="1">
        <v>45452</v>
      </c>
      <c r="C1217" t="s">
        <v>263</v>
      </c>
      <c r="D1217" t="s">
        <v>294</v>
      </c>
      <c r="E1217">
        <v>465.79</v>
      </c>
      <c r="F1217" t="s">
        <v>324</v>
      </c>
      <c r="G1217" t="s">
        <v>2963</v>
      </c>
      <c r="H1217" t="s">
        <v>334</v>
      </c>
      <c r="I1217" t="s">
        <v>8</v>
      </c>
      <c r="J1217" t="s">
        <v>102</v>
      </c>
      <c r="K1217" t="s">
        <v>32</v>
      </c>
      <c r="L1217" t="s">
        <v>295</v>
      </c>
      <c r="M1217" t="s">
        <v>296</v>
      </c>
      <c r="N1217">
        <v>2.9000000000000001E-2</v>
      </c>
      <c r="O1217" t="str">
        <f>IF(Transactions_RAW_cleaned[[#This Row],[Status]]="Completed", IFERROR(_xlfn.XLOOKUP(Transactions_RAW_cleaned[[#This Row],[CustomerID]], Customers_cleaned[CustomerID], Customers_cleaned[Segment]), "Customer Not Found"), "N/A")</f>
        <v>SMB</v>
      </c>
      <c r="P1217" s="5" t="str">
        <f>IF(Transactions_RAW_cleaned[[#This Row],[Status]]="Refunded", "Refund",
  IF(Transactions_RAW_cleaned[[#This Row],[Category]]="Payments", IF(Transactions_RAW_cleaned[[#This Row],[Amount]]&gt;500,"High Value","Standard"),
    IF(Transactions_RAW_cleaned[[#This Row],[Amount]]&gt;250,"High Value","Standard")))</f>
        <v>Standard</v>
      </c>
      <c r="Q1217" s="5" t="str">
        <f>IF(Transactions_RAW_cleaned[[#This Row],[Amount]] &gt; (_xlfn.XLOOKUP(Transactions_RAW_cleaned[[#This Row],[ServiceID]],Services_cleaned[ServiceID],Services_cleaned[TransactionFeePct]) * 10000), "Yes", "No")</f>
        <v>Yes</v>
      </c>
      <c r="R1217" s="5" t="str">
        <f>IF(COUNTIFS($C$2:Transactions_RAW_cleaned[[#This Row],[CustomerID]],Transactions_RAW_cleaned[[#This Row],[CustomerID]],$D$2:Transactions_RAW_cleaned[[#This Row],[ServiceID]],Transactions_RAW_cleaned[[#This Row],[ServiceID]])=1,"Yes","No")</f>
        <v>No</v>
      </c>
      <c r="S121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17" t="str">
        <f>"Q"&amp;ROUNDUP(MONTH(Transactions_RAW_cleaned[[#This Row],[TransactionDate]])/3,0)</f>
        <v>Q2</v>
      </c>
      <c r="U1217" t="str">
        <f>Transactions_RAW_cleaned[[#This Row],[Region ]]&amp;Transactions_RAW_cleaned[[#This Row],[Quarter ]]</f>
        <v>NAQ2</v>
      </c>
      <c r="V1217" s="5">
        <f>_xlfn.XLOOKUP(Transactions_RAW_cleaned[[#This Row],[RegionQuarterKey]], Quarterly_Targets_cleaned[RegionQuarterKey], Quarterly_Targets_cleaned[TargetRevenue])</f>
        <v>260000</v>
      </c>
    </row>
    <row r="1218" spans="1:22" x14ac:dyDescent="0.25">
      <c r="A1218" t="s">
        <v>1549</v>
      </c>
      <c r="B1218" s="1">
        <v>45551</v>
      </c>
      <c r="C1218" t="s">
        <v>84</v>
      </c>
      <c r="D1218" t="s">
        <v>294</v>
      </c>
      <c r="E1218">
        <v>476.16</v>
      </c>
      <c r="F1218" t="s">
        <v>324</v>
      </c>
      <c r="G1218" t="s">
        <v>325</v>
      </c>
      <c r="H1218" t="s">
        <v>332</v>
      </c>
      <c r="I1218" t="s">
        <v>8</v>
      </c>
      <c r="J1218" t="s">
        <v>46</v>
      </c>
      <c r="K1218" t="s">
        <v>28</v>
      </c>
      <c r="L1218" t="s">
        <v>295</v>
      </c>
      <c r="M1218" t="s">
        <v>296</v>
      </c>
      <c r="N1218">
        <v>2.9000000000000001E-2</v>
      </c>
      <c r="O1218" t="str">
        <f>IF(Transactions_RAW_cleaned[[#This Row],[Status]]="Completed", IFERROR(_xlfn.XLOOKUP(Transactions_RAW_cleaned[[#This Row],[CustomerID]], Customers_cleaned[CustomerID], Customers_cleaned[Segment]), "Customer Not Found"), "N/A")</f>
        <v>SMB</v>
      </c>
      <c r="P1218" s="5" t="str">
        <f>IF(Transactions_RAW_cleaned[[#This Row],[Status]]="Refunded", "Refund",
  IF(Transactions_RAW_cleaned[[#This Row],[Category]]="Payments", IF(Transactions_RAW_cleaned[[#This Row],[Amount]]&gt;500,"High Value","Standard"),
    IF(Transactions_RAW_cleaned[[#This Row],[Amount]]&gt;250,"High Value","Standard")))</f>
        <v>Standard</v>
      </c>
      <c r="Q1218" s="5" t="str">
        <f>IF(Transactions_RAW_cleaned[[#This Row],[Amount]] &gt; (_xlfn.XLOOKUP(Transactions_RAW_cleaned[[#This Row],[ServiceID]],Services_cleaned[ServiceID],Services_cleaned[TransactionFeePct]) * 10000), "Yes", "No")</f>
        <v>Yes</v>
      </c>
      <c r="R1218" s="5" t="str">
        <f>IF(COUNTIFS($C$2:Transactions_RAW_cleaned[[#This Row],[CustomerID]],Transactions_RAW_cleaned[[#This Row],[CustomerID]],$D$2:Transactions_RAW_cleaned[[#This Row],[ServiceID]],Transactions_RAW_cleaned[[#This Row],[ServiceID]])=1,"Yes","No")</f>
        <v>No</v>
      </c>
      <c r="S121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18" t="str">
        <f>"Q"&amp;ROUNDUP(MONTH(Transactions_RAW_cleaned[[#This Row],[TransactionDate]])/3,0)</f>
        <v>Q3</v>
      </c>
      <c r="U1218" t="str">
        <f>Transactions_RAW_cleaned[[#This Row],[Region ]]&amp;Transactions_RAW_cleaned[[#This Row],[Quarter ]]</f>
        <v>APACQ3</v>
      </c>
      <c r="V1218" s="5">
        <f>_xlfn.XLOOKUP(Transactions_RAW_cleaned[[#This Row],[RegionQuarterKey]], Quarterly_Targets_cleaned[RegionQuarterKey], Quarterly_Targets_cleaned[TargetRevenue])</f>
        <v>115500</v>
      </c>
    </row>
    <row r="1219" spans="1:22" x14ac:dyDescent="0.25">
      <c r="A1219" t="s">
        <v>1550</v>
      </c>
      <c r="B1219" s="1">
        <v>45620</v>
      </c>
      <c r="C1219" t="s">
        <v>265</v>
      </c>
      <c r="D1219" t="s">
        <v>300</v>
      </c>
      <c r="E1219">
        <v>468.5</v>
      </c>
      <c r="F1219" t="s">
        <v>324</v>
      </c>
      <c r="G1219" t="s">
        <v>329</v>
      </c>
      <c r="I1219" t="s">
        <v>8</v>
      </c>
      <c r="J1219" t="s">
        <v>102</v>
      </c>
      <c r="K1219" t="s">
        <v>32</v>
      </c>
      <c r="L1219" t="s">
        <v>301</v>
      </c>
      <c r="M1219" t="s">
        <v>302</v>
      </c>
      <c r="N1219">
        <v>5.0000000000000001E-3</v>
      </c>
      <c r="O1219" t="str">
        <f>IF(Transactions_RAW_cleaned[[#This Row],[Status]]="Completed", IFERROR(_xlfn.XLOOKUP(Transactions_RAW_cleaned[[#This Row],[CustomerID]], Customers_cleaned[CustomerID], Customers_cleaned[Segment]), "Customer Not Found"), "N/A")</f>
        <v>SMB</v>
      </c>
      <c r="P1219" s="5" t="str">
        <f>IF(Transactions_RAW_cleaned[[#This Row],[Status]]="Refunded", "Refund",
  IF(Transactions_RAW_cleaned[[#This Row],[Category]]="Payments", IF(Transactions_RAW_cleaned[[#This Row],[Amount]]&gt;500,"High Value","Standard"),
    IF(Transactions_RAW_cleaned[[#This Row],[Amount]]&gt;250,"High Value","Standard")))</f>
        <v>High Value</v>
      </c>
      <c r="Q1219" s="5" t="str">
        <f>IF(Transactions_RAW_cleaned[[#This Row],[Amount]] &gt; (_xlfn.XLOOKUP(Transactions_RAW_cleaned[[#This Row],[ServiceID]],Services_cleaned[ServiceID],Services_cleaned[TransactionFeePct]) * 10000), "Yes", "No")</f>
        <v>Yes</v>
      </c>
      <c r="R1219" s="5" t="str">
        <f>IF(COUNTIFS($C$2:Transactions_RAW_cleaned[[#This Row],[CustomerID]],Transactions_RAW_cleaned[[#This Row],[CustomerID]],$D$2:Transactions_RAW_cleaned[[#This Row],[ServiceID]],Transactions_RAW_cleaned[[#This Row],[ServiceID]])=1,"Yes","No")</f>
        <v>No</v>
      </c>
      <c r="S121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19" t="str">
        <f>"Q"&amp;ROUNDUP(MONTH(Transactions_RAW_cleaned[[#This Row],[TransactionDate]])/3,0)</f>
        <v>Q4</v>
      </c>
      <c r="U1219" t="str">
        <f>Transactions_RAW_cleaned[[#This Row],[Region ]]&amp;Transactions_RAW_cleaned[[#This Row],[Quarter ]]</f>
        <v>NAQ4</v>
      </c>
      <c r="V1219" s="5">
        <f>_xlfn.XLOOKUP(Transactions_RAW_cleaned[[#This Row],[RegionQuarterKey]], Quarterly_Targets_cleaned[RegionQuarterKey], Quarterly_Targets_cleaned[TargetRevenue])</f>
        <v>299000</v>
      </c>
    </row>
    <row r="1220" spans="1:22" x14ac:dyDescent="0.25">
      <c r="A1220" t="s">
        <v>1551</v>
      </c>
      <c r="B1220" s="1">
        <v>45463</v>
      </c>
      <c r="C1220" t="s">
        <v>74</v>
      </c>
      <c r="D1220" t="s">
        <v>315</v>
      </c>
      <c r="E1220">
        <v>441.52</v>
      </c>
      <c r="F1220" t="s">
        <v>324</v>
      </c>
      <c r="G1220" t="s">
        <v>327</v>
      </c>
      <c r="H1220" t="s">
        <v>346</v>
      </c>
      <c r="I1220" t="s">
        <v>17</v>
      </c>
      <c r="J1220" t="s">
        <v>46</v>
      </c>
      <c r="K1220" t="s">
        <v>28</v>
      </c>
      <c r="L1220" t="s">
        <v>316</v>
      </c>
      <c r="M1220" t="s">
        <v>305</v>
      </c>
      <c r="N1220">
        <v>2.5000000000000001E-3</v>
      </c>
      <c r="O1220" t="str">
        <f>IF(Transactions_RAW_cleaned[[#This Row],[Status]]="Completed", IFERROR(_xlfn.XLOOKUP(Transactions_RAW_cleaned[[#This Row],[CustomerID]], Customers_cleaned[CustomerID], Customers_cleaned[Segment]), "Customer Not Found"), "N/A")</f>
        <v>Enterprise</v>
      </c>
      <c r="P1220" s="5" t="str">
        <f>IF(Transactions_RAW_cleaned[[#This Row],[Status]]="Refunded", "Refund",
  IF(Transactions_RAW_cleaned[[#This Row],[Category]]="Payments", IF(Transactions_RAW_cleaned[[#This Row],[Amount]]&gt;500,"High Value","Standard"),
    IF(Transactions_RAW_cleaned[[#This Row],[Amount]]&gt;250,"High Value","Standard")))</f>
        <v>High Value</v>
      </c>
      <c r="Q1220" s="5" t="str">
        <f>IF(Transactions_RAW_cleaned[[#This Row],[Amount]] &gt; (_xlfn.XLOOKUP(Transactions_RAW_cleaned[[#This Row],[ServiceID]],Services_cleaned[ServiceID],Services_cleaned[TransactionFeePct]) * 10000), "Yes", "No")</f>
        <v>Yes</v>
      </c>
      <c r="R1220" s="5" t="str">
        <f>IF(COUNTIFS($C$2:Transactions_RAW_cleaned[[#This Row],[CustomerID]],Transactions_RAW_cleaned[[#This Row],[CustomerID]],$D$2:Transactions_RAW_cleaned[[#This Row],[ServiceID]],Transactions_RAW_cleaned[[#This Row],[ServiceID]])=1,"Yes","No")</f>
        <v>Yes</v>
      </c>
      <c r="S122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20" t="str">
        <f>"Q"&amp;ROUNDUP(MONTH(Transactions_RAW_cleaned[[#This Row],[TransactionDate]])/3,0)</f>
        <v>Q2</v>
      </c>
      <c r="U1220" t="str">
        <f>Transactions_RAW_cleaned[[#This Row],[Region ]]&amp;Transactions_RAW_cleaned[[#This Row],[Quarter ]]</f>
        <v>APACQ2</v>
      </c>
      <c r="V1220" s="5">
        <f>_xlfn.XLOOKUP(Transactions_RAW_cleaned[[#This Row],[RegionQuarterKey]], Quarterly_Targets_cleaned[RegionQuarterKey], Quarterly_Targets_cleaned[TargetRevenue])</f>
        <v>110000</v>
      </c>
    </row>
    <row r="1221" spans="1:22" x14ac:dyDescent="0.25">
      <c r="A1221" t="s">
        <v>1552</v>
      </c>
      <c r="B1221" s="1">
        <v>45593</v>
      </c>
      <c r="C1221" t="s">
        <v>275</v>
      </c>
      <c r="D1221" t="s">
        <v>294</v>
      </c>
      <c r="E1221">
        <v>166.3</v>
      </c>
      <c r="F1221" t="s">
        <v>324</v>
      </c>
      <c r="G1221" t="s">
        <v>337</v>
      </c>
      <c r="H1221" t="s">
        <v>346</v>
      </c>
      <c r="I1221" t="s">
        <v>57</v>
      </c>
      <c r="J1221" t="s">
        <v>13</v>
      </c>
      <c r="K1221" t="s">
        <v>22</v>
      </c>
      <c r="L1221" t="s">
        <v>295</v>
      </c>
      <c r="M1221" t="s">
        <v>296</v>
      </c>
      <c r="N1221">
        <v>2.9000000000000001E-2</v>
      </c>
      <c r="O1221" t="str">
        <f>IF(Transactions_RAW_cleaned[[#This Row],[Status]]="Completed", IFERROR(_xlfn.XLOOKUP(Transactions_RAW_cleaned[[#This Row],[CustomerID]], Customers_cleaned[CustomerID], Customers_cleaned[Segment]), "Customer Not Found"), "N/A")</f>
        <v>Startup</v>
      </c>
      <c r="P1221" s="5" t="str">
        <f>IF(Transactions_RAW_cleaned[[#This Row],[Status]]="Refunded", "Refund",
  IF(Transactions_RAW_cleaned[[#This Row],[Category]]="Payments", IF(Transactions_RAW_cleaned[[#This Row],[Amount]]&gt;500,"High Value","Standard"),
    IF(Transactions_RAW_cleaned[[#This Row],[Amount]]&gt;250,"High Value","Standard")))</f>
        <v>Standard</v>
      </c>
      <c r="Q1221" s="5" t="str">
        <f>IF(Transactions_RAW_cleaned[[#This Row],[Amount]] &gt; (_xlfn.XLOOKUP(Transactions_RAW_cleaned[[#This Row],[ServiceID]],Services_cleaned[ServiceID],Services_cleaned[TransactionFeePct]) * 10000), "Yes", "No")</f>
        <v>No</v>
      </c>
      <c r="R1221" s="5" t="str">
        <f>IF(COUNTIFS($C$2:Transactions_RAW_cleaned[[#This Row],[CustomerID]],Transactions_RAW_cleaned[[#This Row],[CustomerID]],$D$2:Transactions_RAW_cleaned[[#This Row],[ServiceID]],Transactions_RAW_cleaned[[#This Row],[ServiceID]])=1,"Yes","No")</f>
        <v>No</v>
      </c>
      <c r="S122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21" t="str">
        <f>"Q"&amp;ROUNDUP(MONTH(Transactions_RAW_cleaned[[#This Row],[TransactionDate]])/3,0)</f>
        <v>Q4</v>
      </c>
      <c r="U1221" t="str">
        <f>Transactions_RAW_cleaned[[#This Row],[Region ]]&amp;Transactions_RAW_cleaned[[#This Row],[Quarter ]]</f>
        <v>NAQ4</v>
      </c>
      <c r="V1221" s="5">
        <f>_xlfn.XLOOKUP(Transactions_RAW_cleaned[[#This Row],[RegionQuarterKey]], Quarterly_Targets_cleaned[RegionQuarterKey], Quarterly_Targets_cleaned[TargetRevenue])</f>
        <v>299000</v>
      </c>
    </row>
    <row r="1222" spans="1:22" x14ac:dyDescent="0.25">
      <c r="A1222" t="s">
        <v>1553</v>
      </c>
      <c r="B1222" s="1">
        <v>45598</v>
      </c>
      <c r="C1222" t="s">
        <v>237</v>
      </c>
      <c r="D1222" t="s">
        <v>303</v>
      </c>
      <c r="E1222">
        <v>892.51</v>
      </c>
      <c r="F1222" t="s">
        <v>324</v>
      </c>
      <c r="G1222" t="s">
        <v>329</v>
      </c>
      <c r="H1222" t="s">
        <v>334</v>
      </c>
      <c r="I1222" t="s">
        <v>8</v>
      </c>
      <c r="J1222" t="s">
        <v>46</v>
      </c>
      <c r="K1222" t="s">
        <v>10</v>
      </c>
      <c r="L1222" t="s">
        <v>304</v>
      </c>
      <c r="M1222" t="s">
        <v>305</v>
      </c>
      <c r="N1222">
        <v>1E-3</v>
      </c>
      <c r="O1222" t="str">
        <f>IF(Transactions_RAW_cleaned[[#This Row],[Status]]="Completed", IFERROR(_xlfn.XLOOKUP(Transactions_RAW_cleaned[[#This Row],[CustomerID]], Customers_cleaned[CustomerID], Customers_cleaned[Segment]), "Customer Not Found"), "N/A")</f>
        <v>SMB</v>
      </c>
      <c r="P1222" s="5" t="str">
        <f>IF(Transactions_RAW_cleaned[[#This Row],[Status]]="Refunded", "Refund",
  IF(Transactions_RAW_cleaned[[#This Row],[Category]]="Payments", IF(Transactions_RAW_cleaned[[#This Row],[Amount]]&gt;500,"High Value","Standard"),
    IF(Transactions_RAW_cleaned[[#This Row],[Amount]]&gt;250,"High Value","Standard")))</f>
        <v>High Value</v>
      </c>
      <c r="Q1222" s="5" t="str">
        <f>IF(Transactions_RAW_cleaned[[#This Row],[Amount]] &gt; (_xlfn.XLOOKUP(Transactions_RAW_cleaned[[#This Row],[ServiceID]],Services_cleaned[ServiceID],Services_cleaned[TransactionFeePct]) * 10000), "Yes", "No")</f>
        <v>Yes</v>
      </c>
      <c r="R1222" s="5" t="str">
        <f>IF(COUNTIFS($C$2:Transactions_RAW_cleaned[[#This Row],[CustomerID]],Transactions_RAW_cleaned[[#This Row],[CustomerID]],$D$2:Transactions_RAW_cleaned[[#This Row],[ServiceID]],Transactions_RAW_cleaned[[#This Row],[ServiceID]])=1,"Yes","No")</f>
        <v>Yes</v>
      </c>
      <c r="S122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22" t="str">
        <f>"Q"&amp;ROUNDUP(MONTH(Transactions_RAW_cleaned[[#This Row],[TransactionDate]])/3,0)</f>
        <v>Q4</v>
      </c>
      <c r="U1222" t="str">
        <f>Transactions_RAW_cleaned[[#This Row],[Region ]]&amp;Transactions_RAW_cleaned[[#This Row],[Quarter ]]</f>
        <v>APACQ4</v>
      </c>
      <c r="V1222" s="5">
        <f>_xlfn.XLOOKUP(Transactions_RAW_cleaned[[#This Row],[RegionQuarterKey]], Quarterly_Targets_cleaned[RegionQuarterKey], Quarterly_Targets_cleaned[TargetRevenue])</f>
        <v>126500</v>
      </c>
    </row>
    <row r="1223" spans="1:22" x14ac:dyDescent="0.25">
      <c r="A1223" t="s">
        <v>1554</v>
      </c>
      <c r="B1223" s="1">
        <v>45594</v>
      </c>
      <c r="C1223" t="s">
        <v>159</v>
      </c>
      <c r="D1223" t="s">
        <v>315</v>
      </c>
      <c r="E1223">
        <v>-626.76</v>
      </c>
      <c r="F1223" t="s">
        <v>349</v>
      </c>
      <c r="G1223" t="s">
        <v>325</v>
      </c>
      <c r="H1223" t="s">
        <v>332</v>
      </c>
      <c r="I1223" t="s">
        <v>57</v>
      </c>
      <c r="J1223" t="s">
        <v>25</v>
      </c>
      <c r="K1223" t="s">
        <v>22</v>
      </c>
      <c r="L1223" t="s">
        <v>316</v>
      </c>
      <c r="M1223" t="s">
        <v>305</v>
      </c>
      <c r="N1223">
        <v>2.5000000000000001E-3</v>
      </c>
      <c r="O1223" t="str">
        <f>IF(Transactions_RAW_cleaned[[#This Row],[Status]]="Completed", IFERROR(_xlfn.XLOOKUP(Transactions_RAW_cleaned[[#This Row],[CustomerID]], Customers_cleaned[CustomerID], Customers_cleaned[Segment]), "Customer Not Found"), "N/A")</f>
        <v>N/A</v>
      </c>
      <c r="P1223" s="5" t="str">
        <f>IF(Transactions_RAW_cleaned[[#This Row],[Status]]="Refunded", "Refund",
  IF(Transactions_RAW_cleaned[[#This Row],[Category]]="Payments", IF(Transactions_RAW_cleaned[[#This Row],[Amount]]&gt;500,"High Value","Standard"),
    IF(Transactions_RAW_cleaned[[#This Row],[Amount]]&gt;250,"High Value","Standard")))</f>
        <v>Refund</v>
      </c>
      <c r="Q1223" s="5" t="str">
        <f>IF(Transactions_RAW_cleaned[[#This Row],[Amount]] &gt; (_xlfn.XLOOKUP(Transactions_RAW_cleaned[[#This Row],[ServiceID]],Services_cleaned[ServiceID],Services_cleaned[TransactionFeePct]) * 10000), "Yes", "No")</f>
        <v>No</v>
      </c>
      <c r="R1223" s="5" t="str">
        <f>IF(COUNTIFS($C$2:Transactions_RAW_cleaned[[#This Row],[CustomerID]],Transactions_RAW_cleaned[[#This Row],[CustomerID]],$D$2:Transactions_RAW_cleaned[[#This Row],[ServiceID]],Transactions_RAW_cleaned[[#This Row],[ServiceID]])=1,"Yes","No")</f>
        <v>No</v>
      </c>
      <c r="S122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23" t="str">
        <f>"Q"&amp;ROUNDUP(MONTH(Transactions_RAW_cleaned[[#This Row],[TransactionDate]])/3,0)</f>
        <v>Q4</v>
      </c>
      <c r="U1223" t="str">
        <f>Transactions_RAW_cleaned[[#This Row],[Region ]]&amp;Transactions_RAW_cleaned[[#This Row],[Quarter ]]</f>
        <v>APACQ4</v>
      </c>
      <c r="V1223" s="5">
        <f>_xlfn.XLOOKUP(Transactions_RAW_cleaned[[#This Row],[RegionQuarterKey]], Quarterly_Targets_cleaned[RegionQuarterKey], Quarterly_Targets_cleaned[TargetRevenue])</f>
        <v>126500</v>
      </c>
    </row>
    <row r="1224" spans="1:22" x14ac:dyDescent="0.25">
      <c r="A1224" t="s">
        <v>1555</v>
      </c>
      <c r="B1224" s="1">
        <v>45551</v>
      </c>
      <c r="C1224" t="s">
        <v>197</v>
      </c>
      <c r="D1224" t="s">
        <v>294</v>
      </c>
      <c r="E1224">
        <v>131.05000000000001</v>
      </c>
      <c r="F1224" t="s">
        <v>324</v>
      </c>
      <c r="G1224" t="s">
        <v>325</v>
      </c>
      <c r="I1224" t="s">
        <v>8</v>
      </c>
      <c r="J1224" t="s">
        <v>46</v>
      </c>
      <c r="K1224" t="s">
        <v>14</v>
      </c>
      <c r="L1224" t="s">
        <v>295</v>
      </c>
      <c r="M1224" t="s">
        <v>296</v>
      </c>
      <c r="N1224">
        <v>2.9000000000000001E-2</v>
      </c>
      <c r="O1224" t="str">
        <f>IF(Transactions_RAW_cleaned[[#This Row],[Status]]="Completed", IFERROR(_xlfn.XLOOKUP(Transactions_RAW_cleaned[[#This Row],[CustomerID]], Customers_cleaned[CustomerID], Customers_cleaned[Segment]), "Customer Not Found"), "N/A")</f>
        <v>SMB</v>
      </c>
      <c r="P1224" s="5" t="str">
        <f>IF(Transactions_RAW_cleaned[[#This Row],[Status]]="Refunded", "Refund",
  IF(Transactions_RAW_cleaned[[#This Row],[Category]]="Payments", IF(Transactions_RAW_cleaned[[#This Row],[Amount]]&gt;500,"High Value","Standard"),
    IF(Transactions_RAW_cleaned[[#This Row],[Amount]]&gt;250,"High Value","Standard")))</f>
        <v>Standard</v>
      </c>
      <c r="Q1224" s="5" t="str">
        <f>IF(Transactions_RAW_cleaned[[#This Row],[Amount]] &gt; (_xlfn.XLOOKUP(Transactions_RAW_cleaned[[#This Row],[ServiceID]],Services_cleaned[ServiceID],Services_cleaned[TransactionFeePct]) * 10000), "Yes", "No")</f>
        <v>No</v>
      </c>
      <c r="R1224" s="5" t="str">
        <f>IF(COUNTIFS($C$2:Transactions_RAW_cleaned[[#This Row],[CustomerID]],Transactions_RAW_cleaned[[#This Row],[CustomerID]],$D$2:Transactions_RAW_cleaned[[#This Row],[ServiceID]],Transactions_RAW_cleaned[[#This Row],[ServiceID]])=1,"Yes","No")</f>
        <v>No</v>
      </c>
      <c r="S122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24" t="str">
        <f>"Q"&amp;ROUNDUP(MONTH(Transactions_RAW_cleaned[[#This Row],[TransactionDate]])/3,0)</f>
        <v>Q3</v>
      </c>
      <c r="U1224" t="str">
        <f>Transactions_RAW_cleaned[[#This Row],[Region ]]&amp;Transactions_RAW_cleaned[[#This Row],[Quarter ]]</f>
        <v>APACQ3</v>
      </c>
      <c r="V1224" s="5">
        <f>_xlfn.XLOOKUP(Transactions_RAW_cleaned[[#This Row],[RegionQuarterKey]], Quarterly_Targets_cleaned[RegionQuarterKey], Quarterly_Targets_cleaned[TargetRevenue])</f>
        <v>115500</v>
      </c>
    </row>
    <row r="1225" spans="1:22" x14ac:dyDescent="0.25">
      <c r="A1225" t="s">
        <v>1556</v>
      </c>
      <c r="B1225" s="1">
        <v>45512</v>
      </c>
      <c r="C1225" t="s">
        <v>237</v>
      </c>
      <c r="D1225" t="s">
        <v>294</v>
      </c>
      <c r="E1225">
        <v>1117.74</v>
      </c>
      <c r="F1225" t="s">
        <v>324</v>
      </c>
      <c r="G1225" t="s">
        <v>327</v>
      </c>
      <c r="I1225" t="s">
        <v>8</v>
      </c>
      <c r="J1225" t="s">
        <v>46</v>
      </c>
      <c r="K1225" t="s">
        <v>10</v>
      </c>
      <c r="L1225" t="s">
        <v>295</v>
      </c>
      <c r="M1225" t="s">
        <v>296</v>
      </c>
      <c r="N1225">
        <v>2.9000000000000001E-2</v>
      </c>
      <c r="O1225" t="str">
        <f>IF(Transactions_RAW_cleaned[[#This Row],[Status]]="Completed", IFERROR(_xlfn.XLOOKUP(Transactions_RAW_cleaned[[#This Row],[CustomerID]], Customers_cleaned[CustomerID], Customers_cleaned[Segment]), "Customer Not Found"), "N/A")</f>
        <v>SMB</v>
      </c>
      <c r="P1225" s="5" t="str">
        <f>IF(Transactions_RAW_cleaned[[#This Row],[Status]]="Refunded", "Refund",
  IF(Transactions_RAW_cleaned[[#This Row],[Category]]="Payments", IF(Transactions_RAW_cleaned[[#This Row],[Amount]]&gt;500,"High Value","Standard"),
    IF(Transactions_RAW_cleaned[[#This Row],[Amount]]&gt;250,"High Value","Standard")))</f>
        <v>High Value</v>
      </c>
      <c r="Q1225" s="5" t="str">
        <f>IF(Transactions_RAW_cleaned[[#This Row],[Amount]] &gt; (_xlfn.XLOOKUP(Transactions_RAW_cleaned[[#This Row],[ServiceID]],Services_cleaned[ServiceID],Services_cleaned[TransactionFeePct]) * 10000), "Yes", "No")</f>
        <v>Yes</v>
      </c>
      <c r="R1225" s="5" t="str">
        <f>IF(COUNTIFS($C$2:Transactions_RAW_cleaned[[#This Row],[CustomerID]],Transactions_RAW_cleaned[[#This Row],[CustomerID]],$D$2:Transactions_RAW_cleaned[[#This Row],[ServiceID]],Transactions_RAW_cleaned[[#This Row],[ServiceID]])=1,"Yes","No")</f>
        <v>No</v>
      </c>
      <c r="S122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25" t="str">
        <f>"Q"&amp;ROUNDUP(MONTH(Transactions_RAW_cleaned[[#This Row],[TransactionDate]])/3,0)</f>
        <v>Q3</v>
      </c>
      <c r="U1225" t="str">
        <f>Transactions_RAW_cleaned[[#This Row],[Region ]]&amp;Transactions_RAW_cleaned[[#This Row],[Quarter ]]</f>
        <v>APACQ3</v>
      </c>
      <c r="V1225" s="5">
        <f>_xlfn.XLOOKUP(Transactions_RAW_cleaned[[#This Row],[RegionQuarterKey]], Quarterly_Targets_cleaned[RegionQuarterKey], Quarterly_Targets_cleaned[TargetRevenue])</f>
        <v>115500</v>
      </c>
    </row>
    <row r="1226" spans="1:22" x14ac:dyDescent="0.25">
      <c r="A1226" t="s">
        <v>1557</v>
      </c>
      <c r="B1226" s="1">
        <v>45585</v>
      </c>
      <c r="C1226" t="s">
        <v>64</v>
      </c>
      <c r="D1226" t="s">
        <v>294</v>
      </c>
      <c r="E1226">
        <v>934.24</v>
      </c>
      <c r="F1226" t="s">
        <v>324</v>
      </c>
      <c r="G1226" t="s">
        <v>325</v>
      </c>
      <c r="H1226" t="s">
        <v>334</v>
      </c>
      <c r="I1226" t="s">
        <v>8</v>
      </c>
      <c r="J1226" t="s">
        <v>37</v>
      </c>
      <c r="K1226" t="s">
        <v>28</v>
      </c>
      <c r="L1226" t="s">
        <v>295</v>
      </c>
      <c r="M1226" t="s">
        <v>296</v>
      </c>
      <c r="N1226">
        <v>2.9000000000000001E-2</v>
      </c>
      <c r="O1226" t="str">
        <f>IF(Transactions_RAW_cleaned[[#This Row],[Status]]="Completed", IFERROR(_xlfn.XLOOKUP(Transactions_RAW_cleaned[[#This Row],[CustomerID]], Customers_cleaned[CustomerID], Customers_cleaned[Segment]), "Customer Not Found"), "N/A")</f>
        <v>SMB</v>
      </c>
      <c r="P1226" s="5" t="str">
        <f>IF(Transactions_RAW_cleaned[[#This Row],[Status]]="Refunded", "Refund",
  IF(Transactions_RAW_cleaned[[#This Row],[Category]]="Payments", IF(Transactions_RAW_cleaned[[#This Row],[Amount]]&gt;500,"High Value","Standard"),
    IF(Transactions_RAW_cleaned[[#This Row],[Amount]]&gt;250,"High Value","Standard")))</f>
        <v>High Value</v>
      </c>
      <c r="Q1226" s="5" t="str">
        <f>IF(Transactions_RAW_cleaned[[#This Row],[Amount]] &gt; (_xlfn.XLOOKUP(Transactions_RAW_cleaned[[#This Row],[ServiceID]],Services_cleaned[ServiceID],Services_cleaned[TransactionFeePct]) * 10000), "Yes", "No")</f>
        <v>Yes</v>
      </c>
      <c r="R1226" s="5" t="str">
        <f>IF(COUNTIFS($C$2:Transactions_RAW_cleaned[[#This Row],[CustomerID]],Transactions_RAW_cleaned[[#This Row],[CustomerID]],$D$2:Transactions_RAW_cleaned[[#This Row],[ServiceID]],Transactions_RAW_cleaned[[#This Row],[ServiceID]])=1,"Yes","No")</f>
        <v>No</v>
      </c>
      <c r="S122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226" t="str">
        <f>"Q"&amp;ROUNDUP(MONTH(Transactions_RAW_cleaned[[#This Row],[TransactionDate]])/3,0)</f>
        <v>Q4</v>
      </c>
      <c r="U1226" t="str">
        <f>Transactions_RAW_cleaned[[#This Row],[Region ]]&amp;Transactions_RAW_cleaned[[#This Row],[Quarter ]]</f>
        <v>EMEAQ4</v>
      </c>
      <c r="V1226" s="5">
        <f>_xlfn.XLOOKUP(Transactions_RAW_cleaned[[#This Row],[RegionQuarterKey]], Quarterly_Targets_cleaned[RegionQuarterKey], Quarterly_Targets_cleaned[TargetRevenue])</f>
        <v>161000</v>
      </c>
    </row>
    <row r="1227" spans="1:22" x14ac:dyDescent="0.25">
      <c r="A1227" t="s">
        <v>1558</v>
      </c>
      <c r="B1227" s="1">
        <v>45324</v>
      </c>
      <c r="C1227" t="s">
        <v>275</v>
      </c>
      <c r="D1227" t="s">
        <v>297</v>
      </c>
      <c r="E1227">
        <v>107.41</v>
      </c>
      <c r="F1227" t="s">
        <v>324</v>
      </c>
      <c r="G1227" t="s">
        <v>325</v>
      </c>
      <c r="I1227" t="s">
        <v>57</v>
      </c>
      <c r="J1227" t="s">
        <v>13</v>
      </c>
      <c r="K1227" t="s">
        <v>22</v>
      </c>
      <c r="L1227" t="s">
        <v>298</v>
      </c>
      <c r="M1227" t="s">
        <v>299</v>
      </c>
      <c r="N1227">
        <v>0</v>
      </c>
      <c r="O1227" t="str">
        <f>IF(Transactions_RAW_cleaned[[#This Row],[Status]]="Completed", IFERROR(_xlfn.XLOOKUP(Transactions_RAW_cleaned[[#This Row],[CustomerID]], Customers_cleaned[CustomerID], Customers_cleaned[Segment]), "Customer Not Found"), "N/A")</f>
        <v>Startup</v>
      </c>
      <c r="P1227" s="5" t="str">
        <f>IF(Transactions_RAW_cleaned[[#This Row],[Status]]="Refunded", "Refund",
  IF(Transactions_RAW_cleaned[[#This Row],[Category]]="Payments", IF(Transactions_RAW_cleaned[[#This Row],[Amount]]&gt;500,"High Value","Standard"),
    IF(Transactions_RAW_cleaned[[#This Row],[Amount]]&gt;250,"High Value","Standard")))</f>
        <v>Standard</v>
      </c>
      <c r="Q1227" s="5" t="str">
        <f>IF(Transactions_RAW_cleaned[[#This Row],[Amount]] &gt; (_xlfn.XLOOKUP(Transactions_RAW_cleaned[[#This Row],[ServiceID]],Services_cleaned[ServiceID],Services_cleaned[TransactionFeePct]) * 10000), "Yes", "No")</f>
        <v>Yes</v>
      </c>
      <c r="R1227" s="5" t="str">
        <f>IF(COUNTIFS($C$2:Transactions_RAW_cleaned[[#This Row],[CustomerID]],Transactions_RAW_cleaned[[#This Row],[CustomerID]],$D$2:Transactions_RAW_cleaned[[#This Row],[ServiceID]],Transactions_RAW_cleaned[[#This Row],[ServiceID]])=1,"Yes","No")</f>
        <v>Yes</v>
      </c>
      <c r="S122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27" t="str">
        <f>"Q"&amp;ROUNDUP(MONTH(Transactions_RAW_cleaned[[#This Row],[TransactionDate]])/3,0)</f>
        <v>Q1</v>
      </c>
      <c r="U1227" t="str">
        <f>Transactions_RAW_cleaned[[#This Row],[Region ]]&amp;Transactions_RAW_cleaned[[#This Row],[Quarter ]]</f>
        <v>NAQ1</v>
      </c>
      <c r="V1227" s="5">
        <f>_xlfn.XLOOKUP(Transactions_RAW_cleaned[[#This Row],[RegionQuarterKey]], Quarterly_Targets_cleaned[RegionQuarterKey], Quarterly_Targets_cleaned[TargetRevenue])</f>
        <v>247000</v>
      </c>
    </row>
    <row r="1228" spans="1:22" x14ac:dyDescent="0.25">
      <c r="A1228" t="s">
        <v>1559</v>
      </c>
      <c r="B1228" s="1">
        <v>45616</v>
      </c>
      <c r="C1228" t="s">
        <v>177</v>
      </c>
      <c r="D1228" t="s">
        <v>294</v>
      </c>
      <c r="E1228">
        <v>274.41000000000003</v>
      </c>
      <c r="F1228" t="s">
        <v>331</v>
      </c>
      <c r="G1228" t="s">
        <v>325</v>
      </c>
      <c r="H1228" t="s">
        <v>346</v>
      </c>
      <c r="I1228" t="s">
        <v>8</v>
      </c>
      <c r="J1228" t="s">
        <v>46</v>
      </c>
      <c r="K1228" t="s">
        <v>10</v>
      </c>
      <c r="L1228" t="s">
        <v>295</v>
      </c>
      <c r="M1228" t="s">
        <v>296</v>
      </c>
      <c r="N1228">
        <v>2.9000000000000001E-2</v>
      </c>
      <c r="O1228" t="str">
        <f>IF(Transactions_RAW_cleaned[[#This Row],[Status]]="Completed", IFERROR(_xlfn.XLOOKUP(Transactions_RAW_cleaned[[#This Row],[CustomerID]], Customers_cleaned[CustomerID], Customers_cleaned[Segment]), "Customer Not Found"), "N/A")</f>
        <v>N/A</v>
      </c>
      <c r="P1228" s="5" t="str">
        <f>IF(Transactions_RAW_cleaned[[#This Row],[Status]]="Refunded", "Refund",
  IF(Transactions_RAW_cleaned[[#This Row],[Category]]="Payments", IF(Transactions_RAW_cleaned[[#This Row],[Amount]]&gt;500,"High Value","Standard"),
    IF(Transactions_RAW_cleaned[[#This Row],[Amount]]&gt;250,"High Value","Standard")))</f>
        <v>Standard</v>
      </c>
      <c r="Q1228" s="5" t="str">
        <f>IF(Transactions_RAW_cleaned[[#This Row],[Amount]] &gt; (_xlfn.XLOOKUP(Transactions_RAW_cleaned[[#This Row],[ServiceID]],Services_cleaned[ServiceID],Services_cleaned[TransactionFeePct]) * 10000), "Yes", "No")</f>
        <v>No</v>
      </c>
      <c r="R1228" s="5" t="str">
        <f>IF(COUNTIFS($C$2:Transactions_RAW_cleaned[[#This Row],[CustomerID]],Transactions_RAW_cleaned[[#This Row],[CustomerID]],$D$2:Transactions_RAW_cleaned[[#This Row],[ServiceID]],Transactions_RAW_cleaned[[#This Row],[ServiceID]])=1,"Yes","No")</f>
        <v>Yes</v>
      </c>
      <c r="S122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28" t="str">
        <f>"Q"&amp;ROUNDUP(MONTH(Transactions_RAW_cleaned[[#This Row],[TransactionDate]])/3,0)</f>
        <v>Q4</v>
      </c>
      <c r="U1228" t="str">
        <f>Transactions_RAW_cleaned[[#This Row],[Region ]]&amp;Transactions_RAW_cleaned[[#This Row],[Quarter ]]</f>
        <v>APACQ4</v>
      </c>
      <c r="V1228" s="5">
        <f>_xlfn.XLOOKUP(Transactions_RAW_cleaned[[#This Row],[RegionQuarterKey]], Quarterly_Targets_cleaned[RegionQuarterKey], Quarterly_Targets_cleaned[TargetRevenue])</f>
        <v>126500</v>
      </c>
    </row>
    <row r="1229" spans="1:22" x14ac:dyDescent="0.25">
      <c r="A1229" t="s">
        <v>1560</v>
      </c>
      <c r="B1229" s="1">
        <v>45390</v>
      </c>
      <c r="C1229" t="s">
        <v>171</v>
      </c>
      <c r="D1229" t="s">
        <v>312</v>
      </c>
      <c r="E1229">
        <v>287.48</v>
      </c>
      <c r="F1229" t="s">
        <v>324</v>
      </c>
      <c r="G1229" t="s">
        <v>325</v>
      </c>
      <c r="H1229" t="s">
        <v>332</v>
      </c>
      <c r="I1229" t="s">
        <v>17</v>
      </c>
      <c r="J1229" t="s">
        <v>31</v>
      </c>
      <c r="K1229" t="s">
        <v>32</v>
      </c>
      <c r="L1229" t="s">
        <v>313</v>
      </c>
      <c r="M1229" t="s">
        <v>314</v>
      </c>
      <c r="N1229">
        <v>0</v>
      </c>
      <c r="O1229" t="str">
        <f>IF(Transactions_RAW_cleaned[[#This Row],[Status]]="Completed", IFERROR(_xlfn.XLOOKUP(Transactions_RAW_cleaned[[#This Row],[CustomerID]], Customers_cleaned[CustomerID], Customers_cleaned[Segment]), "Customer Not Found"), "N/A")</f>
        <v>Enterprise</v>
      </c>
      <c r="P1229" s="5" t="str">
        <f>IF(Transactions_RAW_cleaned[[#This Row],[Status]]="Refunded", "Refund",
  IF(Transactions_RAW_cleaned[[#This Row],[Category]]="Payments", IF(Transactions_RAW_cleaned[[#This Row],[Amount]]&gt;500,"High Value","Standard"),
    IF(Transactions_RAW_cleaned[[#This Row],[Amount]]&gt;250,"High Value","Standard")))</f>
        <v>High Value</v>
      </c>
      <c r="Q1229" s="5" t="str">
        <f>IF(Transactions_RAW_cleaned[[#This Row],[Amount]] &gt; (_xlfn.XLOOKUP(Transactions_RAW_cleaned[[#This Row],[ServiceID]],Services_cleaned[ServiceID],Services_cleaned[TransactionFeePct]) * 10000), "Yes", "No")</f>
        <v>Yes</v>
      </c>
      <c r="R1229" s="5" t="str">
        <f>IF(COUNTIFS($C$2:Transactions_RAW_cleaned[[#This Row],[CustomerID]],Transactions_RAW_cleaned[[#This Row],[CustomerID]],$D$2:Transactions_RAW_cleaned[[#This Row],[ServiceID]],Transactions_RAW_cleaned[[#This Row],[ServiceID]])=1,"Yes","No")</f>
        <v>No</v>
      </c>
      <c r="S122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229" t="str">
        <f>"Q"&amp;ROUNDUP(MONTH(Transactions_RAW_cleaned[[#This Row],[TransactionDate]])/3,0)</f>
        <v>Q2</v>
      </c>
      <c r="U1229" t="str">
        <f>Transactions_RAW_cleaned[[#This Row],[Region ]]&amp;Transactions_RAW_cleaned[[#This Row],[Quarter ]]</f>
        <v>EMEAQ2</v>
      </c>
      <c r="V1229" s="5">
        <f>_xlfn.XLOOKUP(Transactions_RAW_cleaned[[#This Row],[RegionQuarterKey]], Quarterly_Targets_cleaned[RegionQuarterKey], Quarterly_Targets_cleaned[TargetRevenue])</f>
        <v>140000</v>
      </c>
    </row>
    <row r="1230" spans="1:22" x14ac:dyDescent="0.25">
      <c r="A1230" t="s">
        <v>1561</v>
      </c>
      <c r="B1230" s="1">
        <v>45491</v>
      </c>
      <c r="C1230" t="s">
        <v>223</v>
      </c>
      <c r="D1230" t="s">
        <v>300</v>
      </c>
      <c r="E1230">
        <v>507.05</v>
      </c>
      <c r="F1230" t="s">
        <v>324</v>
      </c>
      <c r="G1230" t="s">
        <v>337</v>
      </c>
      <c r="I1230" t="s">
        <v>8</v>
      </c>
      <c r="J1230" t="s">
        <v>102</v>
      </c>
      <c r="K1230" t="s">
        <v>28</v>
      </c>
      <c r="L1230" t="s">
        <v>301</v>
      </c>
      <c r="M1230" t="s">
        <v>302</v>
      </c>
      <c r="N1230">
        <v>5.0000000000000001E-3</v>
      </c>
      <c r="O1230" t="str">
        <f>IF(Transactions_RAW_cleaned[[#This Row],[Status]]="Completed", IFERROR(_xlfn.XLOOKUP(Transactions_RAW_cleaned[[#This Row],[CustomerID]], Customers_cleaned[CustomerID], Customers_cleaned[Segment]), "Customer Not Found"), "N/A")</f>
        <v>SMB</v>
      </c>
      <c r="P1230" s="5" t="str">
        <f>IF(Transactions_RAW_cleaned[[#This Row],[Status]]="Refunded", "Refund",
  IF(Transactions_RAW_cleaned[[#This Row],[Category]]="Payments", IF(Transactions_RAW_cleaned[[#This Row],[Amount]]&gt;500,"High Value","Standard"),
    IF(Transactions_RAW_cleaned[[#This Row],[Amount]]&gt;250,"High Value","Standard")))</f>
        <v>High Value</v>
      </c>
      <c r="Q1230" s="5" t="str">
        <f>IF(Transactions_RAW_cleaned[[#This Row],[Amount]] &gt; (_xlfn.XLOOKUP(Transactions_RAW_cleaned[[#This Row],[ServiceID]],Services_cleaned[ServiceID],Services_cleaned[TransactionFeePct]) * 10000), "Yes", "No")</f>
        <v>Yes</v>
      </c>
      <c r="R1230" s="5" t="str">
        <f>IF(COUNTIFS($C$2:Transactions_RAW_cleaned[[#This Row],[CustomerID]],Transactions_RAW_cleaned[[#This Row],[CustomerID]],$D$2:Transactions_RAW_cleaned[[#This Row],[ServiceID]],Transactions_RAW_cleaned[[#This Row],[ServiceID]])=1,"Yes","No")</f>
        <v>No</v>
      </c>
      <c r="S123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30" t="str">
        <f>"Q"&amp;ROUNDUP(MONTH(Transactions_RAW_cleaned[[#This Row],[TransactionDate]])/3,0)</f>
        <v>Q3</v>
      </c>
      <c r="U1230" t="str">
        <f>Transactions_RAW_cleaned[[#This Row],[Region ]]&amp;Transactions_RAW_cleaned[[#This Row],[Quarter ]]</f>
        <v>NAQ3</v>
      </c>
      <c r="V1230" s="5">
        <f>_xlfn.XLOOKUP(Transactions_RAW_cleaned[[#This Row],[RegionQuarterKey]], Quarterly_Targets_cleaned[RegionQuarterKey], Quarterly_Targets_cleaned[TargetRevenue])</f>
        <v>273000</v>
      </c>
    </row>
    <row r="1231" spans="1:22" x14ac:dyDescent="0.25">
      <c r="A1231" t="s">
        <v>1562</v>
      </c>
      <c r="B1231" s="1">
        <v>45303</v>
      </c>
      <c r="C1231" t="s">
        <v>86</v>
      </c>
      <c r="D1231" t="s">
        <v>294</v>
      </c>
      <c r="E1231">
        <v>350.19</v>
      </c>
      <c r="F1231" t="s">
        <v>324</v>
      </c>
      <c r="G1231" t="s">
        <v>327</v>
      </c>
      <c r="H1231" t="s">
        <v>334</v>
      </c>
      <c r="I1231" t="s">
        <v>8</v>
      </c>
      <c r="J1231" t="s">
        <v>102</v>
      </c>
      <c r="K1231" t="s">
        <v>18</v>
      </c>
      <c r="L1231" t="s">
        <v>295</v>
      </c>
      <c r="M1231" t="s">
        <v>296</v>
      </c>
      <c r="N1231">
        <v>2.9000000000000001E-2</v>
      </c>
      <c r="O1231" t="str">
        <f>IF(Transactions_RAW_cleaned[[#This Row],[Status]]="Completed", IFERROR(_xlfn.XLOOKUP(Transactions_RAW_cleaned[[#This Row],[CustomerID]], Customers_cleaned[CustomerID], Customers_cleaned[Segment]), "Customer Not Found"), "N/A")</f>
        <v>SMB</v>
      </c>
      <c r="P1231" s="5" t="str">
        <f>IF(Transactions_RAW_cleaned[[#This Row],[Status]]="Refunded", "Refund",
  IF(Transactions_RAW_cleaned[[#This Row],[Category]]="Payments", IF(Transactions_RAW_cleaned[[#This Row],[Amount]]&gt;500,"High Value","Standard"),
    IF(Transactions_RAW_cleaned[[#This Row],[Amount]]&gt;250,"High Value","Standard")))</f>
        <v>Standard</v>
      </c>
      <c r="Q1231" s="5" t="str">
        <f>IF(Transactions_RAW_cleaned[[#This Row],[Amount]] &gt; (_xlfn.XLOOKUP(Transactions_RAW_cleaned[[#This Row],[ServiceID]],Services_cleaned[ServiceID],Services_cleaned[TransactionFeePct]) * 10000), "Yes", "No")</f>
        <v>Yes</v>
      </c>
      <c r="R1231" s="5" t="str">
        <f>IF(COUNTIFS($C$2:Transactions_RAW_cleaned[[#This Row],[CustomerID]],Transactions_RAW_cleaned[[#This Row],[CustomerID]],$D$2:Transactions_RAW_cleaned[[#This Row],[ServiceID]],Transactions_RAW_cleaned[[#This Row],[ServiceID]])=1,"Yes","No")</f>
        <v>No</v>
      </c>
      <c r="S123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31" t="str">
        <f>"Q"&amp;ROUNDUP(MONTH(Transactions_RAW_cleaned[[#This Row],[TransactionDate]])/3,0)</f>
        <v>Q1</v>
      </c>
      <c r="U1231" t="str">
        <f>Transactions_RAW_cleaned[[#This Row],[Region ]]&amp;Transactions_RAW_cleaned[[#This Row],[Quarter ]]</f>
        <v>NAQ1</v>
      </c>
      <c r="V1231" s="5">
        <f>_xlfn.XLOOKUP(Transactions_RAW_cleaned[[#This Row],[RegionQuarterKey]], Quarterly_Targets_cleaned[RegionQuarterKey], Quarterly_Targets_cleaned[TargetRevenue])</f>
        <v>247000</v>
      </c>
    </row>
    <row r="1232" spans="1:22" x14ac:dyDescent="0.25">
      <c r="A1232" t="s">
        <v>1563</v>
      </c>
      <c r="B1232" s="1">
        <v>45528</v>
      </c>
      <c r="C1232" t="s">
        <v>6</v>
      </c>
      <c r="D1232" t="s">
        <v>312</v>
      </c>
      <c r="E1232">
        <v>186.2</v>
      </c>
      <c r="F1232" t="s">
        <v>381</v>
      </c>
      <c r="G1232" t="s">
        <v>325</v>
      </c>
      <c r="H1232" t="s">
        <v>346</v>
      </c>
      <c r="I1232" t="s">
        <v>8</v>
      </c>
      <c r="J1232" t="s">
        <v>102</v>
      </c>
      <c r="K1232" t="s">
        <v>10</v>
      </c>
      <c r="L1232" t="s">
        <v>313</v>
      </c>
      <c r="M1232" t="s">
        <v>314</v>
      </c>
      <c r="N1232">
        <v>0</v>
      </c>
      <c r="O1232" t="str">
        <f>IF(Transactions_RAW_cleaned[[#This Row],[Status]]="Completed", IFERROR(_xlfn.XLOOKUP(Transactions_RAW_cleaned[[#This Row],[CustomerID]], Customers_cleaned[CustomerID], Customers_cleaned[Segment]), "Customer Not Found"), "N/A")</f>
        <v>N/A</v>
      </c>
      <c r="P1232" s="5" t="str">
        <f>IF(Transactions_RAW_cleaned[[#This Row],[Status]]="Refunded", "Refund",
  IF(Transactions_RAW_cleaned[[#This Row],[Category]]="Payments", IF(Transactions_RAW_cleaned[[#This Row],[Amount]]&gt;500,"High Value","Standard"),
    IF(Transactions_RAW_cleaned[[#This Row],[Amount]]&gt;250,"High Value","Standard")))</f>
        <v>Standard</v>
      </c>
      <c r="Q1232" s="5" t="str">
        <f>IF(Transactions_RAW_cleaned[[#This Row],[Amount]] &gt; (_xlfn.XLOOKUP(Transactions_RAW_cleaned[[#This Row],[ServiceID]],Services_cleaned[ServiceID],Services_cleaned[TransactionFeePct]) * 10000), "Yes", "No")</f>
        <v>Yes</v>
      </c>
      <c r="R1232" s="5" t="str">
        <f>IF(COUNTIFS($C$2:Transactions_RAW_cleaned[[#This Row],[CustomerID]],Transactions_RAW_cleaned[[#This Row],[CustomerID]],$D$2:Transactions_RAW_cleaned[[#This Row],[ServiceID]],Transactions_RAW_cleaned[[#This Row],[ServiceID]])=1,"Yes","No")</f>
        <v>No</v>
      </c>
      <c r="S123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32" t="str">
        <f>"Q"&amp;ROUNDUP(MONTH(Transactions_RAW_cleaned[[#This Row],[TransactionDate]])/3,0)</f>
        <v>Q3</v>
      </c>
      <c r="U1232" t="str">
        <f>Transactions_RAW_cleaned[[#This Row],[Region ]]&amp;Transactions_RAW_cleaned[[#This Row],[Quarter ]]</f>
        <v>NAQ3</v>
      </c>
      <c r="V1232" s="5">
        <f>_xlfn.XLOOKUP(Transactions_RAW_cleaned[[#This Row],[RegionQuarterKey]], Quarterly_Targets_cleaned[RegionQuarterKey], Quarterly_Targets_cleaned[TargetRevenue])</f>
        <v>273000</v>
      </c>
    </row>
    <row r="1233" spans="1:22" x14ac:dyDescent="0.25">
      <c r="A1233" t="s">
        <v>1564</v>
      </c>
      <c r="B1233" s="1">
        <v>45436</v>
      </c>
      <c r="C1233" t="s">
        <v>74</v>
      </c>
      <c r="D1233" t="s">
        <v>294</v>
      </c>
      <c r="E1233">
        <v>71.08</v>
      </c>
      <c r="F1233" t="s">
        <v>324</v>
      </c>
      <c r="G1233" t="s">
        <v>2963</v>
      </c>
      <c r="H1233" t="s">
        <v>332</v>
      </c>
      <c r="I1233" t="s">
        <v>17</v>
      </c>
      <c r="J1233" t="s">
        <v>46</v>
      </c>
      <c r="K1233" t="s">
        <v>28</v>
      </c>
      <c r="L1233" t="s">
        <v>295</v>
      </c>
      <c r="M1233" t="s">
        <v>296</v>
      </c>
      <c r="N1233">
        <v>2.9000000000000001E-2</v>
      </c>
      <c r="O1233" t="str">
        <f>IF(Transactions_RAW_cleaned[[#This Row],[Status]]="Completed", IFERROR(_xlfn.XLOOKUP(Transactions_RAW_cleaned[[#This Row],[CustomerID]], Customers_cleaned[CustomerID], Customers_cleaned[Segment]), "Customer Not Found"), "N/A")</f>
        <v>Enterprise</v>
      </c>
      <c r="P1233" s="5" t="str">
        <f>IF(Transactions_RAW_cleaned[[#This Row],[Status]]="Refunded", "Refund",
  IF(Transactions_RAW_cleaned[[#This Row],[Category]]="Payments", IF(Transactions_RAW_cleaned[[#This Row],[Amount]]&gt;500,"High Value","Standard"),
    IF(Transactions_RAW_cleaned[[#This Row],[Amount]]&gt;250,"High Value","Standard")))</f>
        <v>Standard</v>
      </c>
      <c r="Q1233" s="5" t="str">
        <f>IF(Transactions_RAW_cleaned[[#This Row],[Amount]] &gt; (_xlfn.XLOOKUP(Transactions_RAW_cleaned[[#This Row],[ServiceID]],Services_cleaned[ServiceID],Services_cleaned[TransactionFeePct]) * 10000), "Yes", "No")</f>
        <v>No</v>
      </c>
      <c r="R1233" s="5" t="str">
        <f>IF(COUNTIFS($C$2:Transactions_RAW_cleaned[[#This Row],[CustomerID]],Transactions_RAW_cleaned[[#This Row],[CustomerID]],$D$2:Transactions_RAW_cleaned[[#This Row],[ServiceID]],Transactions_RAW_cleaned[[#This Row],[ServiceID]])=1,"Yes","No")</f>
        <v>No</v>
      </c>
      <c r="S123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33" t="str">
        <f>"Q"&amp;ROUNDUP(MONTH(Transactions_RAW_cleaned[[#This Row],[TransactionDate]])/3,0)</f>
        <v>Q2</v>
      </c>
      <c r="U1233" t="str">
        <f>Transactions_RAW_cleaned[[#This Row],[Region ]]&amp;Transactions_RAW_cleaned[[#This Row],[Quarter ]]</f>
        <v>APACQ2</v>
      </c>
      <c r="V1233" s="5">
        <f>_xlfn.XLOOKUP(Transactions_RAW_cleaned[[#This Row],[RegionQuarterKey]], Quarterly_Targets_cleaned[RegionQuarterKey], Quarterly_Targets_cleaned[TargetRevenue])</f>
        <v>110000</v>
      </c>
    </row>
    <row r="1234" spans="1:22" x14ac:dyDescent="0.25">
      <c r="A1234" t="s">
        <v>1565</v>
      </c>
      <c r="B1234" s="1">
        <v>45437</v>
      </c>
      <c r="C1234" t="s">
        <v>11</v>
      </c>
      <c r="D1234" t="s">
        <v>312</v>
      </c>
      <c r="E1234">
        <v>213.08</v>
      </c>
      <c r="F1234" t="s">
        <v>324</v>
      </c>
      <c r="G1234" t="s">
        <v>325</v>
      </c>
      <c r="H1234" t="s">
        <v>332</v>
      </c>
      <c r="I1234" t="s">
        <v>8</v>
      </c>
      <c r="J1234" t="s">
        <v>13</v>
      </c>
      <c r="K1234" t="s">
        <v>14</v>
      </c>
      <c r="L1234" t="s">
        <v>313</v>
      </c>
      <c r="M1234" t="s">
        <v>314</v>
      </c>
      <c r="N1234">
        <v>0</v>
      </c>
      <c r="O1234" t="str">
        <f>IF(Transactions_RAW_cleaned[[#This Row],[Status]]="Completed", IFERROR(_xlfn.XLOOKUP(Transactions_RAW_cleaned[[#This Row],[CustomerID]], Customers_cleaned[CustomerID], Customers_cleaned[Segment]), "Customer Not Found"), "N/A")</f>
        <v>SMB</v>
      </c>
      <c r="P1234" s="5" t="str">
        <f>IF(Transactions_RAW_cleaned[[#This Row],[Status]]="Refunded", "Refund",
  IF(Transactions_RAW_cleaned[[#This Row],[Category]]="Payments", IF(Transactions_RAW_cleaned[[#This Row],[Amount]]&gt;500,"High Value","Standard"),
    IF(Transactions_RAW_cleaned[[#This Row],[Amount]]&gt;250,"High Value","Standard")))</f>
        <v>Standard</v>
      </c>
      <c r="Q1234" s="5" t="str">
        <f>IF(Transactions_RAW_cleaned[[#This Row],[Amount]] &gt; (_xlfn.XLOOKUP(Transactions_RAW_cleaned[[#This Row],[ServiceID]],Services_cleaned[ServiceID],Services_cleaned[TransactionFeePct]) * 10000), "Yes", "No")</f>
        <v>Yes</v>
      </c>
      <c r="R1234" s="5" t="str">
        <f>IF(COUNTIFS($C$2:Transactions_RAW_cleaned[[#This Row],[CustomerID]],Transactions_RAW_cleaned[[#This Row],[CustomerID]],$D$2:Transactions_RAW_cleaned[[#This Row],[ServiceID]],Transactions_RAW_cleaned[[#This Row],[ServiceID]])=1,"Yes","No")</f>
        <v>No</v>
      </c>
      <c r="S123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34" t="str">
        <f>"Q"&amp;ROUNDUP(MONTH(Transactions_RAW_cleaned[[#This Row],[TransactionDate]])/3,0)</f>
        <v>Q2</v>
      </c>
      <c r="U1234" t="str">
        <f>Transactions_RAW_cleaned[[#This Row],[Region ]]&amp;Transactions_RAW_cleaned[[#This Row],[Quarter ]]</f>
        <v>NAQ2</v>
      </c>
      <c r="V1234" s="5">
        <f>_xlfn.XLOOKUP(Transactions_RAW_cleaned[[#This Row],[RegionQuarterKey]], Quarterly_Targets_cleaned[RegionQuarterKey], Quarterly_Targets_cleaned[TargetRevenue])</f>
        <v>260000</v>
      </c>
    </row>
    <row r="1235" spans="1:22" x14ac:dyDescent="0.25">
      <c r="A1235" t="s">
        <v>1566</v>
      </c>
      <c r="B1235" s="1">
        <v>45585</v>
      </c>
      <c r="C1235" t="s">
        <v>183</v>
      </c>
      <c r="D1235" t="s">
        <v>309</v>
      </c>
      <c r="E1235">
        <v>-526.04</v>
      </c>
      <c r="F1235" t="s">
        <v>349</v>
      </c>
      <c r="G1235" t="s">
        <v>327</v>
      </c>
      <c r="I1235" t="s">
        <v>8</v>
      </c>
      <c r="J1235" t="s">
        <v>13</v>
      </c>
      <c r="K1235" t="s">
        <v>10</v>
      </c>
      <c r="L1235" t="s">
        <v>310</v>
      </c>
      <c r="M1235" t="s">
        <v>311</v>
      </c>
      <c r="N1235">
        <v>0</v>
      </c>
      <c r="O1235" t="str">
        <f>IF(Transactions_RAW_cleaned[[#This Row],[Status]]="Completed", IFERROR(_xlfn.XLOOKUP(Transactions_RAW_cleaned[[#This Row],[CustomerID]], Customers_cleaned[CustomerID], Customers_cleaned[Segment]), "Customer Not Found"), "N/A")</f>
        <v>N/A</v>
      </c>
      <c r="P1235" s="5" t="str">
        <f>IF(Transactions_RAW_cleaned[[#This Row],[Status]]="Refunded", "Refund",
  IF(Transactions_RAW_cleaned[[#This Row],[Category]]="Payments", IF(Transactions_RAW_cleaned[[#This Row],[Amount]]&gt;500,"High Value","Standard"),
    IF(Transactions_RAW_cleaned[[#This Row],[Amount]]&gt;250,"High Value","Standard")))</f>
        <v>Refund</v>
      </c>
      <c r="Q1235" s="5" t="str">
        <f>IF(Transactions_RAW_cleaned[[#This Row],[Amount]] &gt; (_xlfn.XLOOKUP(Transactions_RAW_cleaned[[#This Row],[ServiceID]],Services_cleaned[ServiceID],Services_cleaned[TransactionFeePct]) * 10000), "Yes", "No")</f>
        <v>No</v>
      </c>
      <c r="R1235" s="5" t="str">
        <f>IF(COUNTIFS($C$2:Transactions_RAW_cleaned[[#This Row],[CustomerID]],Transactions_RAW_cleaned[[#This Row],[CustomerID]],$D$2:Transactions_RAW_cleaned[[#This Row],[ServiceID]],Transactions_RAW_cleaned[[#This Row],[ServiceID]])=1,"Yes","No")</f>
        <v>No</v>
      </c>
      <c r="S123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35" t="str">
        <f>"Q"&amp;ROUNDUP(MONTH(Transactions_RAW_cleaned[[#This Row],[TransactionDate]])/3,0)</f>
        <v>Q4</v>
      </c>
      <c r="U1235" t="str">
        <f>Transactions_RAW_cleaned[[#This Row],[Region ]]&amp;Transactions_RAW_cleaned[[#This Row],[Quarter ]]</f>
        <v>NAQ4</v>
      </c>
      <c r="V1235" s="5">
        <f>_xlfn.XLOOKUP(Transactions_RAW_cleaned[[#This Row],[RegionQuarterKey]], Quarterly_Targets_cleaned[RegionQuarterKey], Quarterly_Targets_cleaned[TargetRevenue])</f>
        <v>299000</v>
      </c>
    </row>
    <row r="1236" spans="1:22" x14ac:dyDescent="0.25">
      <c r="A1236" t="s">
        <v>1567</v>
      </c>
      <c r="B1236" s="1">
        <v>45318</v>
      </c>
      <c r="C1236" t="s">
        <v>273</v>
      </c>
      <c r="D1236" t="s">
        <v>303</v>
      </c>
      <c r="E1236">
        <v>333.19</v>
      </c>
      <c r="F1236" t="s">
        <v>324</v>
      </c>
      <c r="G1236" t="s">
        <v>337</v>
      </c>
      <c r="H1236" t="s">
        <v>346</v>
      </c>
      <c r="I1236" t="s">
        <v>17</v>
      </c>
      <c r="J1236" t="s">
        <v>102</v>
      </c>
      <c r="K1236" t="s">
        <v>22</v>
      </c>
      <c r="L1236" t="s">
        <v>304</v>
      </c>
      <c r="M1236" t="s">
        <v>305</v>
      </c>
      <c r="N1236">
        <v>1E-3</v>
      </c>
      <c r="O1236" t="str">
        <f>IF(Transactions_RAW_cleaned[[#This Row],[Status]]="Completed", IFERROR(_xlfn.XLOOKUP(Transactions_RAW_cleaned[[#This Row],[CustomerID]], Customers_cleaned[CustomerID], Customers_cleaned[Segment]), "Customer Not Found"), "N/A")</f>
        <v>Enterprise</v>
      </c>
      <c r="P1236" s="5" t="str">
        <f>IF(Transactions_RAW_cleaned[[#This Row],[Status]]="Refunded", "Refund",
  IF(Transactions_RAW_cleaned[[#This Row],[Category]]="Payments", IF(Transactions_RAW_cleaned[[#This Row],[Amount]]&gt;500,"High Value","Standard"),
    IF(Transactions_RAW_cleaned[[#This Row],[Amount]]&gt;250,"High Value","Standard")))</f>
        <v>High Value</v>
      </c>
      <c r="Q1236" s="5" t="str">
        <f>IF(Transactions_RAW_cleaned[[#This Row],[Amount]] &gt; (_xlfn.XLOOKUP(Transactions_RAW_cleaned[[#This Row],[ServiceID]],Services_cleaned[ServiceID],Services_cleaned[TransactionFeePct]) * 10000), "Yes", "No")</f>
        <v>Yes</v>
      </c>
      <c r="R1236" s="5" t="str">
        <f>IF(COUNTIFS($C$2:Transactions_RAW_cleaned[[#This Row],[CustomerID]],Transactions_RAW_cleaned[[#This Row],[CustomerID]],$D$2:Transactions_RAW_cleaned[[#This Row],[ServiceID]],Transactions_RAW_cleaned[[#This Row],[ServiceID]])=1,"Yes","No")</f>
        <v>No</v>
      </c>
      <c r="S123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36" t="str">
        <f>"Q"&amp;ROUNDUP(MONTH(Transactions_RAW_cleaned[[#This Row],[TransactionDate]])/3,0)</f>
        <v>Q1</v>
      </c>
      <c r="U1236" t="str">
        <f>Transactions_RAW_cleaned[[#This Row],[Region ]]&amp;Transactions_RAW_cleaned[[#This Row],[Quarter ]]</f>
        <v>NAQ1</v>
      </c>
      <c r="V1236" s="5">
        <f>_xlfn.XLOOKUP(Transactions_RAW_cleaned[[#This Row],[RegionQuarterKey]], Quarterly_Targets_cleaned[RegionQuarterKey], Quarterly_Targets_cleaned[TargetRevenue])</f>
        <v>247000</v>
      </c>
    </row>
    <row r="1237" spans="1:22" x14ac:dyDescent="0.25">
      <c r="A1237" t="s">
        <v>1568</v>
      </c>
      <c r="B1237" s="1">
        <v>45508</v>
      </c>
      <c r="C1237" t="s">
        <v>127</v>
      </c>
      <c r="D1237" t="s">
        <v>306</v>
      </c>
      <c r="E1237">
        <v>243.5</v>
      </c>
      <c r="F1237" t="s">
        <v>324</v>
      </c>
      <c r="G1237" t="s">
        <v>327</v>
      </c>
      <c r="H1237" t="s">
        <v>332</v>
      </c>
      <c r="I1237" t="s">
        <v>8</v>
      </c>
      <c r="J1237" t="s">
        <v>102</v>
      </c>
      <c r="K1237" t="s">
        <v>22</v>
      </c>
      <c r="L1237" t="s">
        <v>307</v>
      </c>
      <c r="M1237" t="s">
        <v>308</v>
      </c>
      <c r="N1237">
        <v>0</v>
      </c>
      <c r="O1237" t="str">
        <f>IF(Transactions_RAW_cleaned[[#This Row],[Status]]="Completed", IFERROR(_xlfn.XLOOKUP(Transactions_RAW_cleaned[[#This Row],[CustomerID]], Customers_cleaned[CustomerID], Customers_cleaned[Segment]), "Customer Not Found"), "N/A")</f>
        <v>SMB</v>
      </c>
      <c r="P1237" s="5" t="str">
        <f>IF(Transactions_RAW_cleaned[[#This Row],[Status]]="Refunded", "Refund",
  IF(Transactions_RAW_cleaned[[#This Row],[Category]]="Payments", IF(Transactions_RAW_cleaned[[#This Row],[Amount]]&gt;500,"High Value","Standard"),
    IF(Transactions_RAW_cleaned[[#This Row],[Amount]]&gt;250,"High Value","Standard")))</f>
        <v>Standard</v>
      </c>
      <c r="Q1237" s="5" t="str">
        <f>IF(Transactions_RAW_cleaned[[#This Row],[Amount]] &gt; (_xlfn.XLOOKUP(Transactions_RAW_cleaned[[#This Row],[ServiceID]],Services_cleaned[ServiceID],Services_cleaned[TransactionFeePct]) * 10000), "Yes", "No")</f>
        <v>Yes</v>
      </c>
      <c r="R1237" s="5" t="str">
        <f>IF(COUNTIFS($C$2:Transactions_RAW_cleaned[[#This Row],[CustomerID]],Transactions_RAW_cleaned[[#This Row],[CustomerID]],$D$2:Transactions_RAW_cleaned[[#This Row],[ServiceID]],Transactions_RAW_cleaned[[#This Row],[ServiceID]])=1,"Yes","No")</f>
        <v>Yes</v>
      </c>
      <c r="S123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37" t="str">
        <f>"Q"&amp;ROUNDUP(MONTH(Transactions_RAW_cleaned[[#This Row],[TransactionDate]])/3,0)</f>
        <v>Q3</v>
      </c>
      <c r="U1237" t="str">
        <f>Transactions_RAW_cleaned[[#This Row],[Region ]]&amp;Transactions_RAW_cleaned[[#This Row],[Quarter ]]</f>
        <v>NAQ3</v>
      </c>
      <c r="V1237" s="5">
        <f>_xlfn.XLOOKUP(Transactions_RAW_cleaned[[#This Row],[RegionQuarterKey]], Quarterly_Targets_cleaned[RegionQuarterKey], Quarterly_Targets_cleaned[TargetRevenue])</f>
        <v>273000</v>
      </c>
    </row>
    <row r="1238" spans="1:22" x14ac:dyDescent="0.25">
      <c r="A1238" t="s">
        <v>1569</v>
      </c>
      <c r="B1238" s="1">
        <v>45317</v>
      </c>
      <c r="C1238" t="s">
        <v>55</v>
      </c>
      <c r="D1238" t="s">
        <v>300</v>
      </c>
      <c r="E1238">
        <v>261.56</v>
      </c>
      <c r="F1238" t="s">
        <v>381</v>
      </c>
      <c r="G1238" t="s">
        <v>329</v>
      </c>
      <c r="H1238" t="s">
        <v>334</v>
      </c>
      <c r="I1238" t="s">
        <v>57</v>
      </c>
      <c r="J1238" t="s">
        <v>31</v>
      </c>
      <c r="K1238" t="s">
        <v>22</v>
      </c>
      <c r="L1238" t="s">
        <v>301</v>
      </c>
      <c r="M1238" t="s">
        <v>302</v>
      </c>
      <c r="N1238">
        <v>5.0000000000000001E-3</v>
      </c>
      <c r="O1238" t="str">
        <f>IF(Transactions_RAW_cleaned[[#This Row],[Status]]="Completed", IFERROR(_xlfn.XLOOKUP(Transactions_RAW_cleaned[[#This Row],[CustomerID]], Customers_cleaned[CustomerID], Customers_cleaned[Segment]), "Customer Not Found"), "N/A")</f>
        <v>N/A</v>
      </c>
      <c r="P1238" s="5" t="str">
        <f>IF(Transactions_RAW_cleaned[[#This Row],[Status]]="Refunded", "Refund",
  IF(Transactions_RAW_cleaned[[#This Row],[Category]]="Payments", IF(Transactions_RAW_cleaned[[#This Row],[Amount]]&gt;500,"High Value","Standard"),
    IF(Transactions_RAW_cleaned[[#This Row],[Amount]]&gt;250,"High Value","Standard")))</f>
        <v>High Value</v>
      </c>
      <c r="Q1238" s="5" t="str">
        <f>IF(Transactions_RAW_cleaned[[#This Row],[Amount]] &gt; (_xlfn.XLOOKUP(Transactions_RAW_cleaned[[#This Row],[ServiceID]],Services_cleaned[ServiceID],Services_cleaned[TransactionFeePct]) * 10000), "Yes", "No")</f>
        <v>Yes</v>
      </c>
      <c r="R1238" s="5" t="str">
        <f>IF(COUNTIFS($C$2:Transactions_RAW_cleaned[[#This Row],[CustomerID]],Transactions_RAW_cleaned[[#This Row],[CustomerID]],$D$2:Transactions_RAW_cleaned[[#This Row],[ServiceID]],Transactions_RAW_cleaned[[#This Row],[ServiceID]])=1,"Yes","No")</f>
        <v>No</v>
      </c>
      <c r="S123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238" t="str">
        <f>"Q"&amp;ROUNDUP(MONTH(Transactions_RAW_cleaned[[#This Row],[TransactionDate]])/3,0)</f>
        <v>Q1</v>
      </c>
      <c r="U1238" t="str">
        <f>Transactions_RAW_cleaned[[#This Row],[Region ]]&amp;Transactions_RAW_cleaned[[#This Row],[Quarter ]]</f>
        <v>EMEAQ1</v>
      </c>
      <c r="V1238" s="5">
        <f>_xlfn.XLOOKUP(Transactions_RAW_cleaned[[#This Row],[RegionQuarterKey]], Quarterly_Targets_cleaned[RegionQuarterKey], Quarterly_Targets_cleaned[TargetRevenue])</f>
        <v>133000</v>
      </c>
    </row>
    <row r="1239" spans="1:22" x14ac:dyDescent="0.25">
      <c r="A1239" t="s">
        <v>1570</v>
      </c>
      <c r="B1239" s="1">
        <v>45384</v>
      </c>
      <c r="C1239" t="s">
        <v>223</v>
      </c>
      <c r="D1239" t="s">
        <v>294</v>
      </c>
      <c r="E1239">
        <v>139.72</v>
      </c>
      <c r="F1239" t="s">
        <v>324</v>
      </c>
      <c r="G1239" t="s">
        <v>329</v>
      </c>
      <c r="I1239" t="s">
        <v>8</v>
      </c>
      <c r="J1239" t="s">
        <v>102</v>
      </c>
      <c r="K1239" t="s">
        <v>28</v>
      </c>
      <c r="L1239" t="s">
        <v>295</v>
      </c>
      <c r="M1239" t="s">
        <v>296</v>
      </c>
      <c r="N1239">
        <v>2.9000000000000001E-2</v>
      </c>
      <c r="O1239" t="str">
        <f>IF(Transactions_RAW_cleaned[[#This Row],[Status]]="Completed", IFERROR(_xlfn.XLOOKUP(Transactions_RAW_cleaned[[#This Row],[CustomerID]], Customers_cleaned[CustomerID], Customers_cleaned[Segment]), "Customer Not Found"), "N/A")</f>
        <v>SMB</v>
      </c>
      <c r="P1239" s="5" t="str">
        <f>IF(Transactions_RAW_cleaned[[#This Row],[Status]]="Refunded", "Refund",
  IF(Transactions_RAW_cleaned[[#This Row],[Category]]="Payments", IF(Transactions_RAW_cleaned[[#This Row],[Amount]]&gt;500,"High Value","Standard"),
    IF(Transactions_RAW_cleaned[[#This Row],[Amount]]&gt;250,"High Value","Standard")))</f>
        <v>Standard</v>
      </c>
      <c r="Q1239" s="5" t="str">
        <f>IF(Transactions_RAW_cleaned[[#This Row],[Amount]] &gt; (_xlfn.XLOOKUP(Transactions_RAW_cleaned[[#This Row],[ServiceID]],Services_cleaned[ServiceID],Services_cleaned[TransactionFeePct]) * 10000), "Yes", "No")</f>
        <v>No</v>
      </c>
      <c r="R1239" s="5" t="str">
        <f>IF(COUNTIFS($C$2:Transactions_RAW_cleaned[[#This Row],[CustomerID]],Transactions_RAW_cleaned[[#This Row],[CustomerID]],$D$2:Transactions_RAW_cleaned[[#This Row],[ServiceID]],Transactions_RAW_cleaned[[#This Row],[ServiceID]])=1,"Yes","No")</f>
        <v>No</v>
      </c>
      <c r="S123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39" t="str">
        <f>"Q"&amp;ROUNDUP(MONTH(Transactions_RAW_cleaned[[#This Row],[TransactionDate]])/3,0)</f>
        <v>Q2</v>
      </c>
      <c r="U1239" t="str">
        <f>Transactions_RAW_cleaned[[#This Row],[Region ]]&amp;Transactions_RAW_cleaned[[#This Row],[Quarter ]]</f>
        <v>NAQ2</v>
      </c>
      <c r="V1239" s="5">
        <f>_xlfn.XLOOKUP(Transactions_RAW_cleaned[[#This Row],[RegionQuarterKey]], Quarterly_Targets_cleaned[RegionQuarterKey], Quarterly_Targets_cleaned[TargetRevenue])</f>
        <v>260000</v>
      </c>
    </row>
    <row r="1240" spans="1:22" x14ac:dyDescent="0.25">
      <c r="A1240" t="s">
        <v>1571</v>
      </c>
      <c r="B1240" s="1">
        <v>45647</v>
      </c>
      <c r="C1240" t="s">
        <v>90</v>
      </c>
      <c r="D1240" t="s">
        <v>309</v>
      </c>
      <c r="E1240">
        <v>58.96</v>
      </c>
      <c r="F1240" t="s">
        <v>324</v>
      </c>
      <c r="G1240" t="s">
        <v>337</v>
      </c>
      <c r="H1240" t="s">
        <v>346</v>
      </c>
      <c r="I1240" t="s">
        <v>8</v>
      </c>
      <c r="J1240" t="s">
        <v>102</v>
      </c>
      <c r="K1240" t="s">
        <v>28</v>
      </c>
      <c r="L1240" t="s">
        <v>310</v>
      </c>
      <c r="M1240" t="s">
        <v>311</v>
      </c>
      <c r="N1240">
        <v>0</v>
      </c>
      <c r="O1240" t="str">
        <f>IF(Transactions_RAW_cleaned[[#This Row],[Status]]="Completed", IFERROR(_xlfn.XLOOKUP(Transactions_RAW_cleaned[[#This Row],[CustomerID]], Customers_cleaned[CustomerID], Customers_cleaned[Segment]), "Customer Not Found"), "N/A")</f>
        <v>SMB</v>
      </c>
      <c r="P1240" s="5" t="str">
        <f>IF(Transactions_RAW_cleaned[[#This Row],[Status]]="Refunded", "Refund",
  IF(Transactions_RAW_cleaned[[#This Row],[Category]]="Payments", IF(Transactions_RAW_cleaned[[#This Row],[Amount]]&gt;500,"High Value","Standard"),
    IF(Transactions_RAW_cleaned[[#This Row],[Amount]]&gt;250,"High Value","Standard")))</f>
        <v>Standard</v>
      </c>
      <c r="Q1240" s="5" t="str">
        <f>IF(Transactions_RAW_cleaned[[#This Row],[Amount]] &gt; (_xlfn.XLOOKUP(Transactions_RAW_cleaned[[#This Row],[ServiceID]],Services_cleaned[ServiceID],Services_cleaned[TransactionFeePct]) * 10000), "Yes", "No")</f>
        <v>Yes</v>
      </c>
      <c r="R1240" s="5" t="str">
        <f>IF(COUNTIFS($C$2:Transactions_RAW_cleaned[[#This Row],[CustomerID]],Transactions_RAW_cleaned[[#This Row],[CustomerID]],$D$2:Transactions_RAW_cleaned[[#This Row],[ServiceID]],Transactions_RAW_cleaned[[#This Row],[ServiceID]])=1,"Yes","No")</f>
        <v>Yes</v>
      </c>
      <c r="S124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40" t="str">
        <f>"Q"&amp;ROUNDUP(MONTH(Transactions_RAW_cleaned[[#This Row],[TransactionDate]])/3,0)</f>
        <v>Q4</v>
      </c>
      <c r="U1240" t="str">
        <f>Transactions_RAW_cleaned[[#This Row],[Region ]]&amp;Transactions_RAW_cleaned[[#This Row],[Quarter ]]</f>
        <v>NAQ4</v>
      </c>
      <c r="V1240" s="5">
        <f>_xlfn.XLOOKUP(Transactions_RAW_cleaned[[#This Row],[RegionQuarterKey]], Quarterly_Targets_cleaned[RegionQuarterKey], Quarterly_Targets_cleaned[TargetRevenue])</f>
        <v>299000</v>
      </c>
    </row>
    <row r="1241" spans="1:22" x14ac:dyDescent="0.25">
      <c r="A1241" t="s">
        <v>1572</v>
      </c>
      <c r="B1241" s="1">
        <v>45504</v>
      </c>
      <c r="C1241" t="s">
        <v>74</v>
      </c>
      <c r="D1241" t="s">
        <v>300</v>
      </c>
      <c r="E1241">
        <v>-108.55</v>
      </c>
      <c r="F1241" t="s">
        <v>349</v>
      </c>
      <c r="G1241" t="s">
        <v>325</v>
      </c>
      <c r="H1241" t="s">
        <v>346</v>
      </c>
      <c r="I1241" t="s">
        <v>17</v>
      </c>
      <c r="J1241" t="s">
        <v>46</v>
      </c>
      <c r="K1241" t="s">
        <v>28</v>
      </c>
      <c r="L1241" t="s">
        <v>301</v>
      </c>
      <c r="M1241" t="s">
        <v>302</v>
      </c>
      <c r="N1241">
        <v>5.0000000000000001E-3</v>
      </c>
      <c r="O1241" t="str">
        <f>IF(Transactions_RAW_cleaned[[#This Row],[Status]]="Completed", IFERROR(_xlfn.XLOOKUP(Transactions_RAW_cleaned[[#This Row],[CustomerID]], Customers_cleaned[CustomerID], Customers_cleaned[Segment]), "Customer Not Found"), "N/A")</f>
        <v>N/A</v>
      </c>
      <c r="P1241" s="5" t="str">
        <f>IF(Transactions_RAW_cleaned[[#This Row],[Status]]="Refunded", "Refund",
  IF(Transactions_RAW_cleaned[[#This Row],[Category]]="Payments", IF(Transactions_RAW_cleaned[[#This Row],[Amount]]&gt;500,"High Value","Standard"),
    IF(Transactions_RAW_cleaned[[#This Row],[Amount]]&gt;250,"High Value","Standard")))</f>
        <v>Refund</v>
      </c>
      <c r="Q1241" s="5" t="str">
        <f>IF(Transactions_RAW_cleaned[[#This Row],[Amount]] &gt; (_xlfn.XLOOKUP(Transactions_RAW_cleaned[[#This Row],[ServiceID]],Services_cleaned[ServiceID],Services_cleaned[TransactionFeePct]) * 10000), "Yes", "No")</f>
        <v>No</v>
      </c>
      <c r="R1241" s="5" t="str">
        <f>IF(COUNTIFS($C$2:Transactions_RAW_cleaned[[#This Row],[CustomerID]],Transactions_RAW_cleaned[[#This Row],[CustomerID]],$D$2:Transactions_RAW_cleaned[[#This Row],[ServiceID]],Transactions_RAW_cleaned[[#This Row],[ServiceID]])=1,"Yes","No")</f>
        <v>No</v>
      </c>
      <c r="S124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41" t="str">
        <f>"Q"&amp;ROUNDUP(MONTH(Transactions_RAW_cleaned[[#This Row],[TransactionDate]])/3,0)</f>
        <v>Q3</v>
      </c>
      <c r="U1241" t="str">
        <f>Transactions_RAW_cleaned[[#This Row],[Region ]]&amp;Transactions_RAW_cleaned[[#This Row],[Quarter ]]</f>
        <v>APACQ3</v>
      </c>
      <c r="V1241" s="5">
        <f>_xlfn.XLOOKUP(Transactions_RAW_cleaned[[#This Row],[RegionQuarterKey]], Quarterly_Targets_cleaned[RegionQuarterKey], Quarterly_Targets_cleaned[TargetRevenue])</f>
        <v>115500</v>
      </c>
    </row>
    <row r="1242" spans="1:22" x14ac:dyDescent="0.25">
      <c r="A1242" t="s">
        <v>1573</v>
      </c>
      <c r="B1242" s="1">
        <v>45329</v>
      </c>
      <c r="C1242" t="s">
        <v>49</v>
      </c>
      <c r="D1242" t="s">
        <v>294</v>
      </c>
      <c r="E1242">
        <v>592.04</v>
      </c>
      <c r="F1242" t="s">
        <v>381</v>
      </c>
      <c r="G1242" t="s">
        <v>327</v>
      </c>
      <c r="I1242" t="s">
        <v>8</v>
      </c>
      <c r="J1242" t="s">
        <v>102</v>
      </c>
      <c r="K1242" t="s">
        <v>32</v>
      </c>
      <c r="L1242" t="s">
        <v>295</v>
      </c>
      <c r="M1242" t="s">
        <v>296</v>
      </c>
      <c r="N1242">
        <v>2.9000000000000001E-2</v>
      </c>
      <c r="O1242" t="str">
        <f>IF(Transactions_RAW_cleaned[[#This Row],[Status]]="Completed", IFERROR(_xlfn.XLOOKUP(Transactions_RAW_cleaned[[#This Row],[CustomerID]], Customers_cleaned[CustomerID], Customers_cleaned[Segment]), "Customer Not Found"), "N/A")</f>
        <v>N/A</v>
      </c>
      <c r="P1242" s="5" t="str">
        <f>IF(Transactions_RAW_cleaned[[#This Row],[Status]]="Refunded", "Refund",
  IF(Transactions_RAW_cleaned[[#This Row],[Category]]="Payments", IF(Transactions_RAW_cleaned[[#This Row],[Amount]]&gt;500,"High Value","Standard"),
    IF(Transactions_RAW_cleaned[[#This Row],[Amount]]&gt;250,"High Value","Standard")))</f>
        <v>High Value</v>
      </c>
      <c r="Q1242" s="5" t="str">
        <f>IF(Transactions_RAW_cleaned[[#This Row],[Amount]] &gt; (_xlfn.XLOOKUP(Transactions_RAW_cleaned[[#This Row],[ServiceID]],Services_cleaned[ServiceID],Services_cleaned[TransactionFeePct]) * 10000), "Yes", "No")</f>
        <v>Yes</v>
      </c>
      <c r="R1242" s="5" t="str">
        <f>IF(COUNTIFS($C$2:Transactions_RAW_cleaned[[#This Row],[CustomerID]],Transactions_RAW_cleaned[[#This Row],[CustomerID]],$D$2:Transactions_RAW_cleaned[[#This Row],[ServiceID]],Transactions_RAW_cleaned[[#This Row],[ServiceID]])=1,"Yes","No")</f>
        <v>No</v>
      </c>
      <c r="S124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42" t="str">
        <f>"Q"&amp;ROUNDUP(MONTH(Transactions_RAW_cleaned[[#This Row],[TransactionDate]])/3,0)</f>
        <v>Q1</v>
      </c>
      <c r="U1242" t="str">
        <f>Transactions_RAW_cleaned[[#This Row],[Region ]]&amp;Transactions_RAW_cleaned[[#This Row],[Quarter ]]</f>
        <v>NAQ1</v>
      </c>
      <c r="V1242" s="5">
        <f>_xlfn.XLOOKUP(Transactions_RAW_cleaned[[#This Row],[RegionQuarterKey]], Quarterly_Targets_cleaned[RegionQuarterKey], Quarterly_Targets_cleaned[TargetRevenue])</f>
        <v>247000</v>
      </c>
    </row>
    <row r="1243" spans="1:22" x14ac:dyDescent="0.25">
      <c r="A1243" t="s">
        <v>1574</v>
      </c>
      <c r="B1243" s="1">
        <v>45583</v>
      </c>
      <c r="C1243" t="s">
        <v>115</v>
      </c>
      <c r="D1243" t="s">
        <v>306</v>
      </c>
      <c r="E1243">
        <v>585.5</v>
      </c>
      <c r="F1243" t="s">
        <v>324</v>
      </c>
      <c r="G1243" t="s">
        <v>337</v>
      </c>
      <c r="H1243" t="s">
        <v>346</v>
      </c>
      <c r="I1243" t="s">
        <v>17</v>
      </c>
      <c r="J1243" t="s">
        <v>102</v>
      </c>
      <c r="K1243" t="s">
        <v>32</v>
      </c>
      <c r="L1243" t="s">
        <v>307</v>
      </c>
      <c r="M1243" t="s">
        <v>308</v>
      </c>
      <c r="N1243">
        <v>0</v>
      </c>
      <c r="O1243" t="str">
        <f>IF(Transactions_RAW_cleaned[[#This Row],[Status]]="Completed", IFERROR(_xlfn.XLOOKUP(Transactions_RAW_cleaned[[#This Row],[CustomerID]], Customers_cleaned[CustomerID], Customers_cleaned[Segment]), "Customer Not Found"), "N/A")</f>
        <v>Enterprise</v>
      </c>
      <c r="P1243" s="5" t="str">
        <f>IF(Transactions_RAW_cleaned[[#This Row],[Status]]="Refunded", "Refund",
  IF(Transactions_RAW_cleaned[[#This Row],[Category]]="Payments", IF(Transactions_RAW_cleaned[[#This Row],[Amount]]&gt;500,"High Value","Standard"),
    IF(Transactions_RAW_cleaned[[#This Row],[Amount]]&gt;250,"High Value","Standard")))</f>
        <v>High Value</v>
      </c>
      <c r="Q1243" s="5" t="str">
        <f>IF(Transactions_RAW_cleaned[[#This Row],[Amount]] &gt; (_xlfn.XLOOKUP(Transactions_RAW_cleaned[[#This Row],[ServiceID]],Services_cleaned[ServiceID],Services_cleaned[TransactionFeePct]) * 10000), "Yes", "No")</f>
        <v>Yes</v>
      </c>
      <c r="R1243" s="5" t="str">
        <f>IF(COUNTIFS($C$2:Transactions_RAW_cleaned[[#This Row],[CustomerID]],Transactions_RAW_cleaned[[#This Row],[CustomerID]],$D$2:Transactions_RAW_cleaned[[#This Row],[ServiceID]],Transactions_RAW_cleaned[[#This Row],[ServiceID]])=1,"Yes","No")</f>
        <v>No</v>
      </c>
      <c r="S124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43" t="str">
        <f>"Q"&amp;ROUNDUP(MONTH(Transactions_RAW_cleaned[[#This Row],[TransactionDate]])/3,0)</f>
        <v>Q4</v>
      </c>
      <c r="U1243" t="str">
        <f>Transactions_RAW_cleaned[[#This Row],[Region ]]&amp;Transactions_RAW_cleaned[[#This Row],[Quarter ]]</f>
        <v>NAQ4</v>
      </c>
      <c r="V1243" s="5">
        <f>_xlfn.XLOOKUP(Transactions_RAW_cleaned[[#This Row],[RegionQuarterKey]], Quarterly_Targets_cleaned[RegionQuarterKey], Quarterly_Targets_cleaned[TargetRevenue])</f>
        <v>299000</v>
      </c>
    </row>
    <row r="1244" spans="1:22" x14ac:dyDescent="0.25">
      <c r="A1244" t="s">
        <v>1575</v>
      </c>
      <c r="B1244" s="1">
        <v>45579</v>
      </c>
      <c r="C1244" t="s">
        <v>251</v>
      </c>
      <c r="D1244" t="s">
        <v>294</v>
      </c>
      <c r="E1244">
        <v>1073.23</v>
      </c>
      <c r="F1244" t="s">
        <v>324</v>
      </c>
      <c r="G1244" t="s">
        <v>325</v>
      </c>
      <c r="H1244" t="s">
        <v>346</v>
      </c>
      <c r="I1244" t="s">
        <v>17</v>
      </c>
      <c r="J1244" t="s">
        <v>46</v>
      </c>
      <c r="K1244" t="s">
        <v>14</v>
      </c>
      <c r="L1244" t="s">
        <v>295</v>
      </c>
      <c r="M1244" t="s">
        <v>296</v>
      </c>
      <c r="N1244">
        <v>2.9000000000000001E-2</v>
      </c>
      <c r="O1244" t="str">
        <f>IF(Transactions_RAW_cleaned[[#This Row],[Status]]="Completed", IFERROR(_xlfn.XLOOKUP(Transactions_RAW_cleaned[[#This Row],[CustomerID]], Customers_cleaned[CustomerID], Customers_cleaned[Segment]), "Customer Not Found"), "N/A")</f>
        <v>Enterprise</v>
      </c>
      <c r="P1244" s="5" t="str">
        <f>IF(Transactions_RAW_cleaned[[#This Row],[Status]]="Refunded", "Refund",
  IF(Transactions_RAW_cleaned[[#This Row],[Category]]="Payments", IF(Transactions_RAW_cleaned[[#This Row],[Amount]]&gt;500,"High Value","Standard"),
    IF(Transactions_RAW_cleaned[[#This Row],[Amount]]&gt;250,"High Value","Standard")))</f>
        <v>High Value</v>
      </c>
      <c r="Q1244" s="5" t="str">
        <f>IF(Transactions_RAW_cleaned[[#This Row],[Amount]] &gt; (_xlfn.XLOOKUP(Transactions_RAW_cleaned[[#This Row],[ServiceID]],Services_cleaned[ServiceID],Services_cleaned[TransactionFeePct]) * 10000), "Yes", "No")</f>
        <v>Yes</v>
      </c>
      <c r="R1244" s="5" t="str">
        <f>IF(COUNTIFS($C$2:Transactions_RAW_cleaned[[#This Row],[CustomerID]],Transactions_RAW_cleaned[[#This Row],[CustomerID]],$D$2:Transactions_RAW_cleaned[[#This Row],[ServiceID]],Transactions_RAW_cleaned[[#This Row],[ServiceID]])=1,"Yes","No")</f>
        <v>No</v>
      </c>
      <c r="S124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44" t="str">
        <f>"Q"&amp;ROUNDUP(MONTH(Transactions_RAW_cleaned[[#This Row],[TransactionDate]])/3,0)</f>
        <v>Q4</v>
      </c>
      <c r="U1244" t="str">
        <f>Transactions_RAW_cleaned[[#This Row],[Region ]]&amp;Transactions_RAW_cleaned[[#This Row],[Quarter ]]</f>
        <v>APACQ4</v>
      </c>
      <c r="V1244" s="5">
        <f>_xlfn.XLOOKUP(Transactions_RAW_cleaned[[#This Row],[RegionQuarterKey]], Quarterly_Targets_cleaned[RegionQuarterKey], Quarterly_Targets_cleaned[TargetRevenue])</f>
        <v>126500</v>
      </c>
    </row>
    <row r="1245" spans="1:22" x14ac:dyDescent="0.25">
      <c r="A1245" t="s">
        <v>1576</v>
      </c>
      <c r="B1245" s="1">
        <v>45617</v>
      </c>
      <c r="C1245" t="s">
        <v>90</v>
      </c>
      <c r="D1245" t="s">
        <v>312</v>
      </c>
      <c r="E1245">
        <v>488.04</v>
      </c>
      <c r="F1245" t="s">
        <v>381</v>
      </c>
      <c r="G1245" t="s">
        <v>329</v>
      </c>
      <c r="H1245" t="s">
        <v>346</v>
      </c>
      <c r="I1245" t="s">
        <v>8</v>
      </c>
      <c r="J1245" t="s">
        <v>102</v>
      </c>
      <c r="K1245" t="s">
        <v>28</v>
      </c>
      <c r="L1245" t="s">
        <v>313</v>
      </c>
      <c r="M1245" t="s">
        <v>314</v>
      </c>
      <c r="N1245">
        <v>0</v>
      </c>
      <c r="O1245" t="str">
        <f>IF(Transactions_RAW_cleaned[[#This Row],[Status]]="Completed", IFERROR(_xlfn.XLOOKUP(Transactions_RAW_cleaned[[#This Row],[CustomerID]], Customers_cleaned[CustomerID], Customers_cleaned[Segment]), "Customer Not Found"), "N/A")</f>
        <v>N/A</v>
      </c>
      <c r="P1245" s="5" t="str">
        <f>IF(Transactions_RAW_cleaned[[#This Row],[Status]]="Refunded", "Refund",
  IF(Transactions_RAW_cleaned[[#This Row],[Category]]="Payments", IF(Transactions_RAW_cleaned[[#This Row],[Amount]]&gt;500,"High Value","Standard"),
    IF(Transactions_RAW_cleaned[[#This Row],[Amount]]&gt;250,"High Value","Standard")))</f>
        <v>High Value</v>
      </c>
      <c r="Q1245" s="5" t="str">
        <f>IF(Transactions_RAW_cleaned[[#This Row],[Amount]] &gt; (_xlfn.XLOOKUP(Transactions_RAW_cleaned[[#This Row],[ServiceID]],Services_cleaned[ServiceID],Services_cleaned[TransactionFeePct]) * 10000), "Yes", "No")</f>
        <v>Yes</v>
      </c>
      <c r="R1245" s="5" t="str">
        <f>IF(COUNTIFS($C$2:Transactions_RAW_cleaned[[#This Row],[CustomerID]],Transactions_RAW_cleaned[[#This Row],[CustomerID]],$D$2:Transactions_RAW_cleaned[[#This Row],[ServiceID]],Transactions_RAW_cleaned[[#This Row],[ServiceID]])=1,"Yes","No")</f>
        <v>No</v>
      </c>
      <c r="S124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45" t="str">
        <f>"Q"&amp;ROUNDUP(MONTH(Transactions_RAW_cleaned[[#This Row],[TransactionDate]])/3,0)</f>
        <v>Q4</v>
      </c>
      <c r="U1245" t="str">
        <f>Transactions_RAW_cleaned[[#This Row],[Region ]]&amp;Transactions_RAW_cleaned[[#This Row],[Quarter ]]</f>
        <v>NAQ4</v>
      </c>
      <c r="V1245" s="5">
        <f>_xlfn.XLOOKUP(Transactions_RAW_cleaned[[#This Row],[RegionQuarterKey]], Quarterly_Targets_cleaned[RegionQuarterKey], Quarterly_Targets_cleaned[TargetRevenue])</f>
        <v>299000</v>
      </c>
    </row>
    <row r="1246" spans="1:22" x14ac:dyDescent="0.25">
      <c r="A1246" t="s">
        <v>1577</v>
      </c>
      <c r="B1246" s="1">
        <v>45371</v>
      </c>
      <c r="C1246" t="s">
        <v>243</v>
      </c>
      <c r="D1246" t="s">
        <v>306</v>
      </c>
      <c r="E1246">
        <v>891.7</v>
      </c>
      <c r="F1246" t="s">
        <v>324</v>
      </c>
      <c r="G1246" t="s">
        <v>325</v>
      </c>
      <c r="I1246" t="s">
        <v>17</v>
      </c>
      <c r="J1246" t="s">
        <v>13</v>
      </c>
      <c r="K1246" t="s">
        <v>28</v>
      </c>
      <c r="L1246" t="s">
        <v>307</v>
      </c>
      <c r="M1246" t="s">
        <v>308</v>
      </c>
      <c r="N1246">
        <v>0</v>
      </c>
      <c r="O1246" t="str">
        <f>IF(Transactions_RAW_cleaned[[#This Row],[Status]]="Completed", IFERROR(_xlfn.XLOOKUP(Transactions_RAW_cleaned[[#This Row],[CustomerID]], Customers_cleaned[CustomerID], Customers_cleaned[Segment]), "Customer Not Found"), "N/A")</f>
        <v>Enterprise</v>
      </c>
      <c r="P1246" s="5" t="str">
        <f>IF(Transactions_RAW_cleaned[[#This Row],[Status]]="Refunded", "Refund",
  IF(Transactions_RAW_cleaned[[#This Row],[Category]]="Payments", IF(Transactions_RAW_cleaned[[#This Row],[Amount]]&gt;500,"High Value","Standard"),
    IF(Transactions_RAW_cleaned[[#This Row],[Amount]]&gt;250,"High Value","Standard")))</f>
        <v>High Value</v>
      </c>
      <c r="Q1246" s="5" t="str">
        <f>IF(Transactions_RAW_cleaned[[#This Row],[Amount]] &gt; (_xlfn.XLOOKUP(Transactions_RAW_cleaned[[#This Row],[ServiceID]],Services_cleaned[ServiceID],Services_cleaned[TransactionFeePct]) * 10000), "Yes", "No")</f>
        <v>Yes</v>
      </c>
      <c r="R1246" s="5" t="str">
        <f>IF(COUNTIFS($C$2:Transactions_RAW_cleaned[[#This Row],[CustomerID]],Transactions_RAW_cleaned[[#This Row],[CustomerID]],$D$2:Transactions_RAW_cleaned[[#This Row],[ServiceID]],Transactions_RAW_cleaned[[#This Row],[ServiceID]])=1,"Yes","No")</f>
        <v>No</v>
      </c>
      <c r="S124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46" t="str">
        <f>"Q"&amp;ROUNDUP(MONTH(Transactions_RAW_cleaned[[#This Row],[TransactionDate]])/3,0)</f>
        <v>Q1</v>
      </c>
      <c r="U1246" t="str">
        <f>Transactions_RAW_cleaned[[#This Row],[Region ]]&amp;Transactions_RAW_cleaned[[#This Row],[Quarter ]]</f>
        <v>NAQ1</v>
      </c>
      <c r="V1246" s="5">
        <f>_xlfn.XLOOKUP(Transactions_RAW_cleaned[[#This Row],[RegionQuarterKey]], Quarterly_Targets_cleaned[RegionQuarterKey], Quarterly_Targets_cleaned[TargetRevenue])</f>
        <v>247000</v>
      </c>
    </row>
    <row r="1247" spans="1:22" x14ac:dyDescent="0.25">
      <c r="A1247" t="s">
        <v>1578</v>
      </c>
      <c r="B1247" s="1">
        <v>45617</v>
      </c>
      <c r="C1247" t="s">
        <v>227</v>
      </c>
      <c r="D1247" t="s">
        <v>306</v>
      </c>
      <c r="E1247">
        <v>370.73</v>
      </c>
      <c r="F1247" t="s">
        <v>324</v>
      </c>
      <c r="G1247" t="s">
        <v>325</v>
      </c>
      <c r="I1247" t="s">
        <v>57</v>
      </c>
      <c r="J1247" t="s">
        <v>31</v>
      </c>
      <c r="K1247" t="s">
        <v>32</v>
      </c>
      <c r="L1247" t="s">
        <v>307</v>
      </c>
      <c r="M1247" t="s">
        <v>308</v>
      </c>
      <c r="N1247">
        <v>0</v>
      </c>
      <c r="O1247" t="str">
        <f>IF(Transactions_RAW_cleaned[[#This Row],[Status]]="Completed", IFERROR(_xlfn.XLOOKUP(Transactions_RAW_cleaned[[#This Row],[CustomerID]], Customers_cleaned[CustomerID], Customers_cleaned[Segment]), "Customer Not Found"), "N/A")</f>
        <v>Startup</v>
      </c>
      <c r="P1247" s="5" t="str">
        <f>IF(Transactions_RAW_cleaned[[#This Row],[Status]]="Refunded", "Refund",
  IF(Transactions_RAW_cleaned[[#This Row],[Category]]="Payments", IF(Transactions_RAW_cleaned[[#This Row],[Amount]]&gt;500,"High Value","Standard"),
    IF(Transactions_RAW_cleaned[[#This Row],[Amount]]&gt;250,"High Value","Standard")))</f>
        <v>High Value</v>
      </c>
      <c r="Q1247" s="5" t="str">
        <f>IF(Transactions_RAW_cleaned[[#This Row],[Amount]] &gt; (_xlfn.XLOOKUP(Transactions_RAW_cleaned[[#This Row],[ServiceID]],Services_cleaned[ServiceID],Services_cleaned[TransactionFeePct]) * 10000), "Yes", "No")</f>
        <v>Yes</v>
      </c>
      <c r="R1247" s="5" t="str">
        <f>IF(COUNTIFS($C$2:Transactions_RAW_cleaned[[#This Row],[CustomerID]],Transactions_RAW_cleaned[[#This Row],[CustomerID]],$D$2:Transactions_RAW_cleaned[[#This Row],[ServiceID]],Transactions_RAW_cleaned[[#This Row],[ServiceID]])=1,"Yes","No")</f>
        <v>No</v>
      </c>
      <c r="S124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247" t="str">
        <f>"Q"&amp;ROUNDUP(MONTH(Transactions_RAW_cleaned[[#This Row],[TransactionDate]])/3,0)</f>
        <v>Q4</v>
      </c>
      <c r="U1247" t="str">
        <f>Transactions_RAW_cleaned[[#This Row],[Region ]]&amp;Transactions_RAW_cleaned[[#This Row],[Quarter ]]</f>
        <v>EMEAQ4</v>
      </c>
      <c r="V1247" s="5">
        <f>_xlfn.XLOOKUP(Transactions_RAW_cleaned[[#This Row],[RegionQuarterKey]], Quarterly_Targets_cleaned[RegionQuarterKey], Quarterly_Targets_cleaned[TargetRevenue])</f>
        <v>161000</v>
      </c>
    </row>
    <row r="1248" spans="1:22" x14ac:dyDescent="0.25">
      <c r="A1248" t="s">
        <v>1579</v>
      </c>
      <c r="B1248" s="1">
        <v>45518</v>
      </c>
      <c r="C1248" t="s">
        <v>60</v>
      </c>
      <c r="D1248" t="s">
        <v>297</v>
      </c>
      <c r="E1248">
        <v>755.52</v>
      </c>
      <c r="F1248" t="s">
        <v>324</v>
      </c>
      <c r="G1248" t="s">
        <v>325</v>
      </c>
      <c r="H1248" t="s">
        <v>332</v>
      </c>
      <c r="I1248" t="s">
        <v>8</v>
      </c>
      <c r="J1248" t="s">
        <v>13</v>
      </c>
      <c r="K1248" t="s">
        <v>14</v>
      </c>
      <c r="L1248" t="s">
        <v>298</v>
      </c>
      <c r="M1248" t="s">
        <v>299</v>
      </c>
      <c r="N1248">
        <v>0</v>
      </c>
      <c r="O1248" t="str">
        <f>IF(Transactions_RAW_cleaned[[#This Row],[Status]]="Completed", IFERROR(_xlfn.XLOOKUP(Transactions_RAW_cleaned[[#This Row],[CustomerID]], Customers_cleaned[CustomerID], Customers_cleaned[Segment]), "Customer Not Found"), "N/A")</f>
        <v>SMB</v>
      </c>
      <c r="P1248" s="5" t="str">
        <f>IF(Transactions_RAW_cleaned[[#This Row],[Status]]="Refunded", "Refund",
  IF(Transactions_RAW_cleaned[[#This Row],[Category]]="Payments", IF(Transactions_RAW_cleaned[[#This Row],[Amount]]&gt;500,"High Value","Standard"),
    IF(Transactions_RAW_cleaned[[#This Row],[Amount]]&gt;250,"High Value","Standard")))</f>
        <v>High Value</v>
      </c>
      <c r="Q1248" s="5" t="str">
        <f>IF(Transactions_RAW_cleaned[[#This Row],[Amount]] &gt; (_xlfn.XLOOKUP(Transactions_RAW_cleaned[[#This Row],[ServiceID]],Services_cleaned[ServiceID],Services_cleaned[TransactionFeePct]) * 10000), "Yes", "No")</f>
        <v>Yes</v>
      </c>
      <c r="R1248" s="5" t="str">
        <f>IF(COUNTIFS($C$2:Transactions_RAW_cleaned[[#This Row],[CustomerID]],Transactions_RAW_cleaned[[#This Row],[CustomerID]],$D$2:Transactions_RAW_cleaned[[#This Row],[ServiceID]],Transactions_RAW_cleaned[[#This Row],[ServiceID]])=1,"Yes","No")</f>
        <v>No</v>
      </c>
      <c r="S124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48" t="str">
        <f>"Q"&amp;ROUNDUP(MONTH(Transactions_RAW_cleaned[[#This Row],[TransactionDate]])/3,0)</f>
        <v>Q3</v>
      </c>
      <c r="U1248" t="str">
        <f>Transactions_RAW_cleaned[[#This Row],[Region ]]&amp;Transactions_RAW_cleaned[[#This Row],[Quarter ]]</f>
        <v>NAQ3</v>
      </c>
      <c r="V1248" s="5">
        <f>_xlfn.XLOOKUP(Transactions_RAW_cleaned[[#This Row],[RegionQuarterKey]], Quarterly_Targets_cleaned[RegionQuarterKey], Quarterly_Targets_cleaned[TargetRevenue])</f>
        <v>273000</v>
      </c>
    </row>
    <row r="1249" spans="1:22" x14ac:dyDescent="0.25">
      <c r="A1249" t="s">
        <v>1580</v>
      </c>
      <c r="B1249" s="1">
        <v>45294</v>
      </c>
      <c r="C1249" t="s">
        <v>259</v>
      </c>
      <c r="D1249" t="s">
        <v>300</v>
      </c>
      <c r="E1249">
        <v>462.99</v>
      </c>
      <c r="F1249" t="s">
        <v>331</v>
      </c>
      <c r="G1249" t="s">
        <v>325</v>
      </c>
      <c r="I1249" t="s">
        <v>8</v>
      </c>
      <c r="J1249" t="s">
        <v>31</v>
      </c>
      <c r="K1249" t="s">
        <v>22</v>
      </c>
      <c r="L1249" t="s">
        <v>301</v>
      </c>
      <c r="M1249" t="s">
        <v>302</v>
      </c>
      <c r="N1249">
        <v>5.0000000000000001E-3</v>
      </c>
      <c r="O1249" t="str">
        <f>IF(Transactions_RAW_cleaned[[#This Row],[Status]]="Completed", IFERROR(_xlfn.XLOOKUP(Transactions_RAW_cleaned[[#This Row],[CustomerID]], Customers_cleaned[CustomerID], Customers_cleaned[Segment]), "Customer Not Found"), "N/A")</f>
        <v>N/A</v>
      </c>
      <c r="P1249" s="5" t="str">
        <f>IF(Transactions_RAW_cleaned[[#This Row],[Status]]="Refunded", "Refund",
  IF(Transactions_RAW_cleaned[[#This Row],[Category]]="Payments", IF(Transactions_RAW_cleaned[[#This Row],[Amount]]&gt;500,"High Value","Standard"),
    IF(Transactions_RAW_cleaned[[#This Row],[Amount]]&gt;250,"High Value","Standard")))</f>
        <v>High Value</v>
      </c>
      <c r="Q1249" s="5" t="str">
        <f>IF(Transactions_RAW_cleaned[[#This Row],[Amount]] &gt; (_xlfn.XLOOKUP(Transactions_RAW_cleaned[[#This Row],[ServiceID]],Services_cleaned[ServiceID],Services_cleaned[TransactionFeePct]) * 10000), "Yes", "No")</f>
        <v>Yes</v>
      </c>
      <c r="R1249" s="5" t="str">
        <f>IF(COUNTIFS($C$2:Transactions_RAW_cleaned[[#This Row],[CustomerID]],Transactions_RAW_cleaned[[#This Row],[CustomerID]],$D$2:Transactions_RAW_cleaned[[#This Row],[ServiceID]],Transactions_RAW_cleaned[[#This Row],[ServiceID]])=1,"Yes","No")</f>
        <v>Yes</v>
      </c>
      <c r="S124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249" t="str">
        <f>"Q"&amp;ROUNDUP(MONTH(Transactions_RAW_cleaned[[#This Row],[TransactionDate]])/3,0)</f>
        <v>Q1</v>
      </c>
      <c r="U1249" t="str">
        <f>Transactions_RAW_cleaned[[#This Row],[Region ]]&amp;Transactions_RAW_cleaned[[#This Row],[Quarter ]]</f>
        <v>EMEAQ1</v>
      </c>
      <c r="V1249" s="5">
        <f>_xlfn.XLOOKUP(Transactions_RAW_cleaned[[#This Row],[RegionQuarterKey]], Quarterly_Targets_cleaned[RegionQuarterKey], Quarterly_Targets_cleaned[TargetRevenue])</f>
        <v>133000</v>
      </c>
    </row>
    <row r="1250" spans="1:22" x14ac:dyDescent="0.25">
      <c r="A1250" t="s">
        <v>1581</v>
      </c>
      <c r="B1250" s="1">
        <v>45627</v>
      </c>
      <c r="C1250" t="s">
        <v>641</v>
      </c>
      <c r="D1250" t="s">
        <v>294</v>
      </c>
      <c r="E1250">
        <v>652</v>
      </c>
      <c r="F1250" t="s">
        <v>324</v>
      </c>
      <c r="G1250" t="s">
        <v>337</v>
      </c>
      <c r="H1250" t="s">
        <v>332</v>
      </c>
      <c r="I1250" t="s">
        <v>8</v>
      </c>
      <c r="J1250" t="s">
        <v>13</v>
      </c>
      <c r="K1250" t="s">
        <v>22</v>
      </c>
      <c r="L1250" t="s">
        <v>295</v>
      </c>
      <c r="M1250" t="s">
        <v>296</v>
      </c>
      <c r="N1250">
        <v>2.9000000000000001E-2</v>
      </c>
      <c r="O1250" t="str">
        <f>IF(Transactions_RAW_cleaned[[#This Row],[Status]]="Completed", IFERROR(_xlfn.XLOOKUP(Transactions_RAW_cleaned[[#This Row],[CustomerID]], Customers_cleaned[CustomerID], Customers_cleaned[Segment]), "Customer Not Found"), "N/A")</f>
        <v>SMB</v>
      </c>
      <c r="P1250" s="5" t="str">
        <f>IF(Transactions_RAW_cleaned[[#This Row],[Status]]="Refunded", "Refund",
  IF(Transactions_RAW_cleaned[[#This Row],[Category]]="Payments", IF(Transactions_RAW_cleaned[[#This Row],[Amount]]&gt;500,"High Value","Standard"),
    IF(Transactions_RAW_cleaned[[#This Row],[Amount]]&gt;250,"High Value","Standard")))</f>
        <v>High Value</v>
      </c>
      <c r="Q1250" s="5" t="str">
        <f>IF(Transactions_RAW_cleaned[[#This Row],[Amount]] &gt; (_xlfn.XLOOKUP(Transactions_RAW_cleaned[[#This Row],[ServiceID]],Services_cleaned[ServiceID],Services_cleaned[TransactionFeePct]) * 10000), "Yes", "No")</f>
        <v>Yes</v>
      </c>
      <c r="R1250" s="5" t="str">
        <f>IF(COUNTIFS($C$2:Transactions_RAW_cleaned[[#This Row],[CustomerID]],Transactions_RAW_cleaned[[#This Row],[CustomerID]],$D$2:Transactions_RAW_cleaned[[#This Row],[ServiceID]],Transactions_RAW_cleaned[[#This Row],[ServiceID]])=1,"Yes","No")</f>
        <v>No</v>
      </c>
      <c r="S125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50" t="str">
        <f>"Q"&amp;ROUNDUP(MONTH(Transactions_RAW_cleaned[[#This Row],[TransactionDate]])/3,0)</f>
        <v>Q4</v>
      </c>
      <c r="U1250" t="str">
        <f>Transactions_RAW_cleaned[[#This Row],[Region ]]&amp;Transactions_RAW_cleaned[[#This Row],[Quarter ]]</f>
        <v>NAQ4</v>
      </c>
      <c r="V1250" s="5">
        <f>_xlfn.XLOOKUP(Transactions_RAW_cleaned[[#This Row],[RegionQuarterKey]], Quarterly_Targets_cleaned[RegionQuarterKey], Quarterly_Targets_cleaned[TargetRevenue])</f>
        <v>299000</v>
      </c>
    </row>
    <row r="1251" spans="1:22" x14ac:dyDescent="0.25">
      <c r="A1251" t="s">
        <v>1582</v>
      </c>
      <c r="B1251" s="1">
        <v>45484</v>
      </c>
      <c r="C1251" t="s">
        <v>203</v>
      </c>
      <c r="D1251" t="s">
        <v>306</v>
      </c>
      <c r="E1251">
        <v>342.22</v>
      </c>
      <c r="F1251" t="s">
        <v>324</v>
      </c>
      <c r="G1251" t="s">
        <v>325</v>
      </c>
      <c r="H1251" t="s">
        <v>346</v>
      </c>
      <c r="I1251" t="s">
        <v>57</v>
      </c>
      <c r="J1251" t="s">
        <v>21</v>
      </c>
      <c r="K1251" t="s">
        <v>14</v>
      </c>
      <c r="L1251" t="s">
        <v>307</v>
      </c>
      <c r="M1251" t="s">
        <v>308</v>
      </c>
      <c r="N1251">
        <v>0</v>
      </c>
      <c r="O1251" t="str">
        <f>IF(Transactions_RAW_cleaned[[#This Row],[Status]]="Completed", IFERROR(_xlfn.XLOOKUP(Transactions_RAW_cleaned[[#This Row],[CustomerID]], Customers_cleaned[CustomerID], Customers_cleaned[Segment]), "Customer Not Found"), "N/A")</f>
        <v>Startup</v>
      </c>
      <c r="P1251" s="5" t="str">
        <f>IF(Transactions_RAW_cleaned[[#This Row],[Status]]="Refunded", "Refund",
  IF(Transactions_RAW_cleaned[[#This Row],[Category]]="Payments", IF(Transactions_RAW_cleaned[[#This Row],[Amount]]&gt;500,"High Value","Standard"),
    IF(Transactions_RAW_cleaned[[#This Row],[Amount]]&gt;250,"High Value","Standard")))</f>
        <v>High Value</v>
      </c>
      <c r="Q1251" s="5" t="str">
        <f>IF(Transactions_RAW_cleaned[[#This Row],[Amount]] &gt; (_xlfn.XLOOKUP(Transactions_RAW_cleaned[[#This Row],[ServiceID]],Services_cleaned[ServiceID],Services_cleaned[TransactionFeePct]) * 10000), "Yes", "No")</f>
        <v>Yes</v>
      </c>
      <c r="R1251" s="5" t="str">
        <f>IF(COUNTIFS($C$2:Transactions_RAW_cleaned[[#This Row],[CustomerID]],Transactions_RAW_cleaned[[#This Row],[CustomerID]],$D$2:Transactions_RAW_cleaned[[#This Row],[ServiceID]],Transactions_RAW_cleaned[[#This Row],[ServiceID]])=1,"Yes","No")</f>
        <v>No</v>
      </c>
      <c r="S125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51" t="str">
        <f>"Q"&amp;ROUNDUP(MONTH(Transactions_RAW_cleaned[[#This Row],[TransactionDate]])/3,0)</f>
        <v>Q3</v>
      </c>
      <c r="U1251" t="str">
        <f>Transactions_RAW_cleaned[[#This Row],[Region ]]&amp;Transactions_RAW_cleaned[[#This Row],[Quarter ]]</f>
        <v>APACQ3</v>
      </c>
      <c r="V1251" s="5">
        <f>_xlfn.XLOOKUP(Transactions_RAW_cleaned[[#This Row],[RegionQuarterKey]], Quarterly_Targets_cleaned[RegionQuarterKey], Quarterly_Targets_cleaned[TargetRevenue])</f>
        <v>115500</v>
      </c>
    </row>
    <row r="1252" spans="1:22" x14ac:dyDescent="0.25">
      <c r="A1252" t="s">
        <v>1583</v>
      </c>
      <c r="B1252" s="1">
        <v>45412</v>
      </c>
      <c r="C1252" t="s">
        <v>133</v>
      </c>
      <c r="D1252" t="s">
        <v>306</v>
      </c>
      <c r="E1252">
        <v>538.4</v>
      </c>
      <c r="F1252" t="s">
        <v>324</v>
      </c>
      <c r="G1252" t="s">
        <v>337</v>
      </c>
      <c r="I1252" t="s">
        <v>17</v>
      </c>
      <c r="J1252" t="s">
        <v>102</v>
      </c>
      <c r="K1252" t="s">
        <v>22</v>
      </c>
      <c r="L1252" t="s">
        <v>307</v>
      </c>
      <c r="M1252" t="s">
        <v>308</v>
      </c>
      <c r="N1252">
        <v>0</v>
      </c>
      <c r="O1252" t="str">
        <f>IF(Transactions_RAW_cleaned[[#This Row],[Status]]="Completed", IFERROR(_xlfn.XLOOKUP(Transactions_RAW_cleaned[[#This Row],[CustomerID]], Customers_cleaned[CustomerID], Customers_cleaned[Segment]), "Customer Not Found"), "N/A")</f>
        <v>Enterprise</v>
      </c>
      <c r="P1252" s="5" t="str">
        <f>IF(Transactions_RAW_cleaned[[#This Row],[Status]]="Refunded", "Refund",
  IF(Transactions_RAW_cleaned[[#This Row],[Category]]="Payments", IF(Transactions_RAW_cleaned[[#This Row],[Amount]]&gt;500,"High Value","Standard"),
    IF(Transactions_RAW_cleaned[[#This Row],[Amount]]&gt;250,"High Value","Standard")))</f>
        <v>High Value</v>
      </c>
      <c r="Q1252" s="5" t="str">
        <f>IF(Transactions_RAW_cleaned[[#This Row],[Amount]] &gt; (_xlfn.XLOOKUP(Transactions_RAW_cleaned[[#This Row],[ServiceID]],Services_cleaned[ServiceID],Services_cleaned[TransactionFeePct]) * 10000), "Yes", "No")</f>
        <v>Yes</v>
      </c>
      <c r="R1252" s="5" t="str">
        <f>IF(COUNTIFS($C$2:Transactions_RAW_cleaned[[#This Row],[CustomerID]],Transactions_RAW_cleaned[[#This Row],[CustomerID]],$D$2:Transactions_RAW_cleaned[[#This Row],[ServiceID]],Transactions_RAW_cleaned[[#This Row],[ServiceID]])=1,"Yes","No")</f>
        <v>No</v>
      </c>
      <c r="S125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52" t="str">
        <f>"Q"&amp;ROUNDUP(MONTH(Transactions_RAW_cleaned[[#This Row],[TransactionDate]])/3,0)</f>
        <v>Q2</v>
      </c>
      <c r="U1252" t="str">
        <f>Transactions_RAW_cleaned[[#This Row],[Region ]]&amp;Transactions_RAW_cleaned[[#This Row],[Quarter ]]</f>
        <v>NAQ2</v>
      </c>
      <c r="V1252" s="5">
        <f>_xlfn.XLOOKUP(Transactions_RAW_cleaned[[#This Row],[RegionQuarterKey]], Quarterly_Targets_cleaned[RegionQuarterKey], Quarterly_Targets_cleaned[TargetRevenue])</f>
        <v>260000</v>
      </c>
    </row>
    <row r="1253" spans="1:22" x14ac:dyDescent="0.25">
      <c r="A1253" t="s">
        <v>1584</v>
      </c>
      <c r="B1253" s="1">
        <v>45330</v>
      </c>
      <c r="C1253" t="s">
        <v>247</v>
      </c>
      <c r="D1253" t="s">
        <v>315</v>
      </c>
      <c r="E1253">
        <v>-583.5</v>
      </c>
      <c r="F1253" t="s">
        <v>349</v>
      </c>
      <c r="G1253" t="s">
        <v>327</v>
      </c>
      <c r="H1253" t="s">
        <v>346</v>
      </c>
      <c r="I1253" t="s">
        <v>17</v>
      </c>
      <c r="J1253" t="s">
        <v>13</v>
      </c>
      <c r="K1253" t="s">
        <v>28</v>
      </c>
      <c r="L1253" t="s">
        <v>316</v>
      </c>
      <c r="M1253" t="s">
        <v>305</v>
      </c>
      <c r="N1253">
        <v>2.5000000000000001E-3</v>
      </c>
      <c r="O1253" t="str">
        <f>IF(Transactions_RAW_cleaned[[#This Row],[Status]]="Completed", IFERROR(_xlfn.XLOOKUP(Transactions_RAW_cleaned[[#This Row],[CustomerID]], Customers_cleaned[CustomerID], Customers_cleaned[Segment]), "Customer Not Found"), "N/A")</f>
        <v>N/A</v>
      </c>
      <c r="P1253" s="5" t="str">
        <f>IF(Transactions_RAW_cleaned[[#This Row],[Status]]="Refunded", "Refund",
  IF(Transactions_RAW_cleaned[[#This Row],[Category]]="Payments", IF(Transactions_RAW_cleaned[[#This Row],[Amount]]&gt;500,"High Value","Standard"),
    IF(Transactions_RAW_cleaned[[#This Row],[Amount]]&gt;250,"High Value","Standard")))</f>
        <v>Refund</v>
      </c>
      <c r="Q1253" s="5" t="str">
        <f>IF(Transactions_RAW_cleaned[[#This Row],[Amount]] &gt; (_xlfn.XLOOKUP(Transactions_RAW_cleaned[[#This Row],[ServiceID]],Services_cleaned[ServiceID],Services_cleaned[TransactionFeePct]) * 10000), "Yes", "No")</f>
        <v>No</v>
      </c>
      <c r="R1253" s="5" t="str">
        <f>IF(COUNTIFS($C$2:Transactions_RAW_cleaned[[#This Row],[CustomerID]],Transactions_RAW_cleaned[[#This Row],[CustomerID]],$D$2:Transactions_RAW_cleaned[[#This Row],[ServiceID]],Transactions_RAW_cleaned[[#This Row],[ServiceID]])=1,"Yes","No")</f>
        <v>Yes</v>
      </c>
      <c r="S125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53" t="str">
        <f>"Q"&amp;ROUNDUP(MONTH(Transactions_RAW_cleaned[[#This Row],[TransactionDate]])/3,0)</f>
        <v>Q1</v>
      </c>
      <c r="U1253" t="str">
        <f>Transactions_RAW_cleaned[[#This Row],[Region ]]&amp;Transactions_RAW_cleaned[[#This Row],[Quarter ]]</f>
        <v>NAQ1</v>
      </c>
      <c r="V1253" s="5">
        <f>_xlfn.XLOOKUP(Transactions_RAW_cleaned[[#This Row],[RegionQuarterKey]], Quarterly_Targets_cleaned[RegionQuarterKey], Quarterly_Targets_cleaned[TargetRevenue])</f>
        <v>247000</v>
      </c>
    </row>
    <row r="1254" spans="1:22" x14ac:dyDescent="0.25">
      <c r="A1254" t="s">
        <v>1585</v>
      </c>
      <c r="B1254" s="1">
        <v>45373</v>
      </c>
      <c r="C1254" t="s">
        <v>6</v>
      </c>
      <c r="D1254" t="s">
        <v>300</v>
      </c>
      <c r="E1254">
        <v>164.19</v>
      </c>
      <c r="F1254" t="s">
        <v>324</v>
      </c>
      <c r="G1254" t="s">
        <v>325</v>
      </c>
      <c r="H1254" t="s">
        <v>346</v>
      </c>
      <c r="I1254" t="s">
        <v>8</v>
      </c>
      <c r="J1254" t="s">
        <v>102</v>
      </c>
      <c r="K1254" t="s">
        <v>10</v>
      </c>
      <c r="L1254" t="s">
        <v>301</v>
      </c>
      <c r="M1254" t="s">
        <v>302</v>
      </c>
      <c r="N1254">
        <v>5.0000000000000001E-3</v>
      </c>
      <c r="O1254" t="str">
        <f>IF(Transactions_RAW_cleaned[[#This Row],[Status]]="Completed", IFERROR(_xlfn.XLOOKUP(Transactions_RAW_cleaned[[#This Row],[CustomerID]], Customers_cleaned[CustomerID], Customers_cleaned[Segment]), "Customer Not Found"), "N/A")</f>
        <v>SMB</v>
      </c>
      <c r="P1254" s="5" t="str">
        <f>IF(Transactions_RAW_cleaned[[#This Row],[Status]]="Refunded", "Refund",
  IF(Transactions_RAW_cleaned[[#This Row],[Category]]="Payments", IF(Transactions_RAW_cleaned[[#This Row],[Amount]]&gt;500,"High Value","Standard"),
    IF(Transactions_RAW_cleaned[[#This Row],[Amount]]&gt;250,"High Value","Standard")))</f>
        <v>Standard</v>
      </c>
      <c r="Q1254" s="5" t="str">
        <f>IF(Transactions_RAW_cleaned[[#This Row],[Amount]] &gt; (_xlfn.XLOOKUP(Transactions_RAW_cleaned[[#This Row],[ServiceID]],Services_cleaned[ServiceID],Services_cleaned[TransactionFeePct]) * 10000), "Yes", "No")</f>
        <v>Yes</v>
      </c>
      <c r="R1254" s="5" t="str">
        <f>IF(COUNTIFS($C$2:Transactions_RAW_cleaned[[#This Row],[CustomerID]],Transactions_RAW_cleaned[[#This Row],[CustomerID]],$D$2:Transactions_RAW_cleaned[[#This Row],[ServiceID]],Transactions_RAW_cleaned[[#This Row],[ServiceID]])=1,"Yes","No")</f>
        <v>No</v>
      </c>
      <c r="S125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54" t="str">
        <f>"Q"&amp;ROUNDUP(MONTH(Transactions_RAW_cleaned[[#This Row],[TransactionDate]])/3,0)</f>
        <v>Q1</v>
      </c>
      <c r="U1254" t="str">
        <f>Transactions_RAW_cleaned[[#This Row],[Region ]]&amp;Transactions_RAW_cleaned[[#This Row],[Quarter ]]</f>
        <v>NAQ1</v>
      </c>
      <c r="V1254" s="5">
        <f>_xlfn.XLOOKUP(Transactions_RAW_cleaned[[#This Row],[RegionQuarterKey]], Quarterly_Targets_cleaned[RegionQuarterKey], Quarterly_Targets_cleaned[TargetRevenue])</f>
        <v>247000</v>
      </c>
    </row>
    <row r="1255" spans="1:22" x14ac:dyDescent="0.25">
      <c r="A1255" t="s">
        <v>1586</v>
      </c>
      <c r="B1255" s="1">
        <v>45390</v>
      </c>
      <c r="C1255" t="s">
        <v>105</v>
      </c>
      <c r="D1255" t="s">
        <v>315</v>
      </c>
      <c r="E1255">
        <v>174.68</v>
      </c>
      <c r="F1255" t="s">
        <v>324</v>
      </c>
      <c r="G1255" t="s">
        <v>2963</v>
      </c>
      <c r="H1255" t="s">
        <v>346</v>
      </c>
      <c r="I1255" t="s">
        <v>57</v>
      </c>
      <c r="J1255" t="s">
        <v>102</v>
      </c>
      <c r="K1255" t="s">
        <v>32</v>
      </c>
      <c r="L1255" t="s">
        <v>316</v>
      </c>
      <c r="M1255" t="s">
        <v>305</v>
      </c>
      <c r="N1255">
        <v>2.5000000000000001E-3</v>
      </c>
      <c r="O1255" t="str">
        <f>IF(Transactions_RAW_cleaned[[#This Row],[Status]]="Completed", IFERROR(_xlfn.XLOOKUP(Transactions_RAW_cleaned[[#This Row],[CustomerID]], Customers_cleaned[CustomerID], Customers_cleaned[Segment]), "Customer Not Found"), "N/A")</f>
        <v>Startup</v>
      </c>
      <c r="P1255" s="5" t="str">
        <f>IF(Transactions_RAW_cleaned[[#This Row],[Status]]="Refunded", "Refund",
  IF(Transactions_RAW_cleaned[[#This Row],[Category]]="Payments", IF(Transactions_RAW_cleaned[[#This Row],[Amount]]&gt;500,"High Value","Standard"),
    IF(Transactions_RAW_cleaned[[#This Row],[Amount]]&gt;250,"High Value","Standard")))</f>
        <v>Standard</v>
      </c>
      <c r="Q1255" s="5" t="str">
        <f>IF(Transactions_RAW_cleaned[[#This Row],[Amount]] &gt; (_xlfn.XLOOKUP(Transactions_RAW_cleaned[[#This Row],[ServiceID]],Services_cleaned[ServiceID],Services_cleaned[TransactionFeePct]) * 10000), "Yes", "No")</f>
        <v>Yes</v>
      </c>
      <c r="R1255" s="5" t="str">
        <f>IF(COUNTIFS($C$2:Transactions_RAW_cleaned[[#This Row],[CustomerID]],Transactions_RAW_cleaned[[#This Row],[CustomerID]],$D$2:Transactions_RAW_cleaned[[#This Row],[ServiceID]],Transactions_RAW_cleaned[[#This Row],[ServiceID]])=1,"Yes","No")</f>
        <v>Yes</v>
      </c>
      <c r="S125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55" t="str">
        <f>"Q"&amp;ROUNDUP(MONTH(Transactions_RAW_cleaned[[#This Row],[TransactionDate]])/3,0)</f>
        <v>Q2</v>
      </c>
      <c r="U1255" t="str">
        <f>Transactions_RAW_cleaned[[#This Row],[Region ]]&amp;Transactions_RAW_cleaned[[#This Row],[Quarter ]]</f>
        <v>NAQ2</v>
      </c>
      <c r="V1255" s="5">
        <f>_xlfn.XLOOKUP(Transactions_RAW_cleaned[[#This Row],[RegionQuarterKey]], Quarterly_Targets_cleaned[RegionQuarterKey], Quarterly_Targets_cleaned[TargetRevenue])</f>
        <v>260000</v>
      </c>
    </row>
    <row r="1256" spans="1:22" x14ac:dyDescent="0.25">
      <c r="A1256" t="s">
        <v>1587</v>
      </c>
      <c r="B1256" s="1">
        <v>45312</v>
      </c>
      <c r="C1256" t="s">
        <v>231</v>
      </c>
      <c r="D1256" t="s">
        <v>300</v>
      </c>
      <c r="E1256">
        <v>660.65</v>
      </c>
      <c r="F1256" t="s">
        <v>324</v>
      </c>
      <c r="G1256" t="s">
        <v>325</v>
      </c>
      <c r="H1256" t="s">
        <v>346</v>
      </c>
      <c r="I1256" t="s">
        <v>17</v>
      </c>
      <c r="J1256" t="s">
        <v>102</v>
      </c>
      <c r="K1256" t="s">
        <v>22</v>
      </c>
      <c r="L1256" t="s">
        <v>301</v>
      </c>
      <c r="M1256" t="s">
        <v>302</v>
      </c>
      <c r="N1256">
        <v>5.0000000000000001E-3</v>
      </c>
      <c r="O1256" t="str">
        <f>IF(Transactions_RAW_cleaned[[#This Row],[Status]]="Completed", IFERROR(_xlfn.XLOOKUP(Transactions_RAW_cleaned[[#This Row],[CustomerID]], Customers_cleaned[CustomerID], Customers_cleaned[Segment]), "Customer Not Found"), "N/A")</f>
        <v>Enterprise</v>
      </c>
      <c r="P1256" s="5" t="str">
        <f>IF(Transactions_RAW_cleaned[[#This Row],[Status]]="Refunded", "Refund",
  IF(Transactions_RAW_cleaned[[#This Row],[Category]]="Payments", IF(Transactions_RAW_cleaned[[#This Row],[Amount]]&gt;500,"High Value","Standard"),
    IF(Transactions_RAW_cleaned[[#This Row],[Amount]]&gt;250,"High Value","Standard")))</f>
        <v>High Value</v>
      </c>
      <c r="Q1256" s="5" t="str">
        <f>IF(Transactions_RAW_cleaned[[#This Row],[Amount]] &gt; (_xlfn.XLOOKUP(Transactions_RAW_cleaned[[#This Row],[ServiceID]],Services_cleaned[ServiceID],Services_cleaned[TransactionFeePct]) * 10000), "Yes", "No")</f>
        <v>Yes</v>
      </c>
      <c r="R1256" s="5" t="str">
        <f>IF(COUNTIFS($C$2:Transactions_RAW_cleaned[[#This Row],[CustomerID]],Transactions_RAW_cleaned[[#This Row],[CustomerID]],$D$2:Transactions_RAW_cleaned[[#This Row],[ServiceID]],Transactions_RAW_cleaned[[#This Row],[ServiceID]])=1,"Yes","No")</f>
        <v>No</v>
      </c>
      <c r="S125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56" t="str">
        <f>"Q"&amp;ROUNDUP(MONTH(Transactions_RAW_cleaned[[#This Row],[TransactionDate]])/3,0)</f>
        <v>Q1</v>
      </c>
      <c r="U1256" t="str">
        <f>Transactions_RAW_cleaned[[#This Row],[Region ]]&amp;Transactions_RAW_cleaned[[#This Row],[Quarter ]]</f>
        <v>NAQ1</v>
      </c>
      <c r="V1256" s="5">
        <f>_xlfn.XLOOKUP(Transactions_RAW_cleaned[[#This Row],[RegionQuarterKey]], Quarterly_Targets_cleaned[RegionQuarterKey], Quarterly_Targets_cleaned[TargetRevenue])</f>
        <v>247000</v>
      </c>
    </row>
    <row r="1257" spans="1:22" x14ac:dyDescent="0.25">
      <c r="A1257" t="s">
        <v>1588</v>
      </c>
      <c r="B1257" s="1">
        <v>45364</v>
      </c>
      <c r="C1257" t="s">
        <v>255</v>
      </c>
      <c r="D1257" t="s">
        <v>300</v>
      </c>
      <c r="E1257">
        <v>571.14</v>
      </c>
      <c r="F1257" t="s">
        <v>324</v>
      </c>
      <c r="G1257" t="s">
        <v>337</v>
      </c>
      <c r="I1257" t="s">
        <v>17</v>
      </c>
      <c r="J1257" t="s">
        <v>21</v>
      </c>
      <c r="K1257" t="s">
        <v>28</v>
      </c>
      <c r="L1257" t="s">
        <v>301</v>
      </c>
      <c r="M1257" t="s">
        <v>302</v>
      </c>
      <c r="N1257">
        <v>5.0000000000000001E-3</v>
      </c>
      <c r="O1257" t="str">
        <f>IF(Transactions_RAW_cleaned[[#This Row],[Status]]="Completed", IFERROR(_xlfn.XLOOKUP(Transactions_RAW_cleaned[[#This Row],[CustomerID]], Customers_cleaned[CustomerID], Customers_cleaned[Segment]), "Customer Not Found"), "N/A")</f>
        <v>Enterprise</v>
      </c>
      <c r="P1257" s="5" t="str">
        <f>IF(Transactions_RAW_cleaned[[#This Row],[Status]]="Refunded", "Refund",
  IF(Transactions_RAW_cleaned[[#This Row],[Category]]="Payments", IF(Transactions_RAW_cleaned[[#This Row],[Amount]]&gt;500,"High Value","Standard"),
    IF(Transactions_RAW_cleaned[[#This Row],[Amount]]&gt;250,"High Value","Standard")))</f>
        <v>High Value</v>
      </c>
      <c r="Q1257" s="5" t="str">
        <f>IF(Transactions_RAW_cleaned[[#This Row],[Amount]] &gt; (_xlfn.XLOOKUP(Transactions_RAW_cleaned[[#This Row],[ServiceID]],Services_cleaned[ServiceID],Services_cleaned[TransactionFeePct]) * 10000), "Yes", "No")</f>
        <v>Yes</v>
      </c>
      <c r="R1257" s="5" t="str">
        <f>IF(COUNTIFS($C$2:Transactions_RAW_cleaned[[#This Row],[CustomerID]],Transactions_RAW_cleaned[[#This Row],[CustomerID]],$D$2:Transactions_RAW_cleaned[[#This Row],[ServiceID]],Transactions_RAW_cleaned[[#This Row],[ServiceID]])=1,"Yes","No")</f>
        <v>Yes</v>
      </c>
      <c r="S125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57" t="str">
        <f>"Q"&amp;ROUNDUP(MONTH(Transactions_RAW_cleaned[[#This Row],[TransactionDate]])/3,0)</f>
        <v>Q1</v>
      </c>
      <c r="U1257" t="str">
        <f>Transactions_RAW_cleaned[[#This Row],[Region ]]&amp;Transactions_RAW_cleaned[[#This Row],[Quarter ]]</f>
        <v>APACQ1</v>
      </c>
      <c r="V1257" s="5">
        <f>_xlfn.XLOOKUP(Transactions_RAW_cleaned[[#This Row],[RegionQuarterKey]], Quarterly_Targets_cleaned[RegionQuarterKey], Quarterly_Targets_cleaned[TargetRevenue])</f>
        <v>104500</v>
      </c>
    </row>
    <row r="1258" spans="1:22" x14ac:dyDescent="0.25">
      <c r="A1258" t="s">
        <v>1589</v>
      </c>
      <c r="B1258" s="1">
        <v>45585</v>
      </c>
      <c r="C1258" t="s">
        <v>64</v>
      </c>
      <c r="D1258" t="s">
        <v>294</v>
      </c>
      <c r="E1258">
        <v>557.42999999999995</v>
      </c>
      <c r="F1258" t="s">
        <v>324</v>
      </c>
      <c r="G1258" t="s">
        <v>327</v>
      </c>
      <c r="I1258" t="s">
        <v>8</v>
      </c>
      <c r="J1258" t="s">
        <v>37</v>
      </c>
      <c r="K1258" t="s">
        <v>28</v>
      </c>
      <c r="L1258" t="s">
        <v>295</v>
      </c>
      <c r="M1258" t="s">
        <v>296</v>
      </c>
      <c r="N1258">
        <v>2.9000000000000001E-2</v>
      </c>
      <c r="O1258" t="str">
        <f>IF(Transactions_RAW_cleaned[[#This Row],[Status]]="Completed", IFERROR(_xlfn.XLOOKUP(Transactions_RAW_cleaned[[#This Row],[CustomerID]], Customers_cleaned[CustomerID], Customers_cleaned[Segment]), "Customer Not Found"), "N/A")</f>
        <v>SMB</v>
      </c>
      <c r="P1258" s="5" t="str">
        <f>IF(Transactions_RAW_cleaned[[#This Row],[Status]]="Refunded", "Refund",
  IF(Transactions_RAW_cleaned[[#This Row],[Category]]="Payments", IF(Transactions_RAW_cleaned[[#This Row],[Amount]]&gt;500,"High Value","Standard"),
    IF(Transactions_RAW_cleaned[[#This Row],[Amount]]&gt;250,"High Value","Standard")))</f>
        <v>High Value</v>
      </c>
      <c r="Q1258" s="5" t="str">
        <f>IF(Transactions_RAW_cleaned[[#This Row],[Amount]] &gt; (_xlfn.XLOOKUP(Transactions_RAW_cleaned[[#This Row],[ServiceID]],Services_cleaned[ServiceID],Services_cleaned[TransactionFeePct]) * 10000), "Yes", "No")</f>
        <v>Yes</v>
      </c>
      <c r="R1258" s="5" t="str">
        <f>IF(COUNTIFS($C$2:Transactions_RAW_cleaned[[#This Row],[CustomerID]],Transactions_RAW_cleaned[[#This Row],[CustomerID]],$D$2:Transactions_RAW_cleaned[[#This Row],[ServiceID]],Transactions_RAW_cleaned[[#This Row],[ServiceID]])=1,"Yes","No")</f>
        <v>No</v>
      </c>
      <c r="S125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258" t="str">
        <f>"Q"&amp;ROUNDUP(MONTH(Transactions_RAW_cleaned[[#This Row],[TransactionDate]])/3,0)</f>
        <v>Q4</v>
      </c>
      <c r="U1258" t="str">
        <f>Transactions_RAW_cleaned[[#This Row],[Region ]]&amp;Transactions_RAW_cleaned[[#This Row],[Quarter ]]</f>
        <v>EMEAQ4</v>
      </c>
      <c r="V1258" s="5">
        <f>_xlfn.XLOOKUP(Transactions_RAW_cleaned[[#This Row],[RegionQuarterKey]], Quarterly_Targets_cleaned[RegionQuarterKey], Quarterly_Targets_cleaned[TargetRevenue])</f>
        <v>161000</v>
      </c>
    </row>
    <row r="1259" spans="1:22" x14ac:dyDescent="0.25">
      <c r="A1259" t="s">
        <v>1590</v>
      </c>
      <c r="B1259" s="1">
        <v>45621</v>
      </c>
      <c r="C1259" t="s">
        <v>239</v>
      </c>
      <c r="D1259" t="s">
        <v>294</v>
      </c>
      <c r="E1259">
        <v>406.01</v>
      </c>
      <c r="F1259" t="s">
        <v>324</v>
      </c>
      <c r="G1259" t="s">
        <v>325</v>
      </c>
      <c r="I1259" t="s">
        <v>57</v>
      </c>
      <c r="J1259" t="s">
        <v>102</v>
      </c>
      <c r="K1259" t="s">
        <v>10</v>
      </c>
      <c r="L1259" t="s">
        <v>295</v>
      </c>
      <c r="M1259" t="s">
        <v>296</v>
      </c>
      <c r="N1259">
        <v>2.9000000000000001E-2</v>
      </c>
      <c r="O1259" t="str">
        <f>IF(Transactions_RAW_cleaned[[#This Row],[Status]]="Completed", IFERROR(_xlfn.XLOOKUP(Transactions_RAW_cleaned[[#This Row],[CustomerID]], Customers_cleaned[CustomerID], Customers_cleaned[Segment]), "Customer Not Found"), "N/A")</f>
        <v>Startup</v>
      </c>
      <c r="P1259" s="5" t="str">
        <f>IF(Transactions_RAW_cleaned[[#This Row],[Status]]="Refunded", "Refund",
  IF(Transactions_RAW_cleaned[[#This Row],[Category]]="Payments", IF(Transactions_RAW_cleaned[[#This Row],[Amount]]&gt;500,"High Value","Standard"),
    IF(Transactions_RAW_cleaned[[#This Row],[Amount]]&gt;250,"High Value","Standard")))</f>
        <v>Standard</v>
      </c>
      <c r="Q1259" s="5" t="str">
        <f>IF(Transactions_RAW_cleaned[[#This Row],[Amount]] &gt; (_xlfn.XLOOKUP(Transactions_RAW_cleaned[[#This Row],[ServiceID]],Services_cleaned[ServiceID],Services_cleaned[TransactionFeePct]) * 10000), "Yes", "No")</f>
        <v>Yes</v>
      </c>
      <c r="R1259" s="5" t="str">
        <f>IF(COUNTIFS($C$2:Transactions_RAW_cleaned[[#This Row],[CustomerID]],Transactions_RAW_cleaned[[#This Row],[CustomerID]],$D$2:Transactions_RAW_cleaned[[#This Row],[ServiceID]],Transactions_RAW_cleaned[[#This Row],[ServiceID]])=1,"Yes","No")</f>
        <v>No</v>
      </c>
      <c r="S125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59" t="str">
        <f>"Q"&amp;ROUNDUP(MONTH(Transactions_RAW_cleaned[[#This Row],[TransactionDate]])/3,0)</f>
        <v>Q4</v>
      </c>
      <c r="U1259" t="str">
        <f>Transactions_RAW_cleaned[[#This Row],[Region ]]&amp;Transactions_RAW_cleaned[[#This Row],[Quarter ]]</f>
        <v>NAQ4</v>
      </c>
      <c r="V1259" s="5">
        <f>_xlfn.XLOOKUP(Transactions_RAW_cleaned[[#This Row],[RegionQuarterKey]], Quarterly_Targets_cleaned[RegionQuarterKey], Quarterly_Targets_cleaned[TargetRevenue])</f>
        <v>299000</v>
      </c>
    </row>
    <row r="1260" spans="1:22" x14ac:dyDescent="0.25">
      <c r="A1260" t="s">
        <v>1591</v>
      </c>
      <c r="B1260" s="1">
        <v>45594</v>
      </c>
      <c r="C1260" t="s">
        <v>100</v>
      </c>
      <c r="D1260" t="s">
        <v>294</v>
      </c>
      <c r="E1260">
        <v>48.54</v>
      </c>
      <c r="F1260" t="s">
        <v>324</v>
      </c>
      <c r="G1260" t="s">
        <v>327</v>
      </c>
      <c r="H1260" t="s">
        <v>332</v>
      </c>
      <c r="I1260" t="s">
        <v>8</v>
      </c>
      <c r="J1260" t="s">
        <v>102</v>
      </c>
      <c r="K1260" t="s">
        <v>22</v>
      </c>
      <c r="L1260" t="s">
        <v>295</v>
      </c>
      <c r="M1260" t="s">
        <v>296</v>
      </c>
      <c r="N1260">
        <v>2.9000000000000001E-2</v>
      </c>
      <c r="O1260" t="str">
        <f>IF(Transactions_RAW_cleaned[[#This Row],[Status]]="Completed", IFERROR(_xlfn.XLOOKUP(Transactions_RAW_cleaned[[#This Row],[CustomerID]], Customers_cleaned[CustomerID], Customers_cleaned[Segment]), "Customer Not Found"), "N/A")</f>
        <v>SMB</v>
      </c>
      <c r="P1260" s="5" t="str">
        <f>IF(Transactions_RAW_cleaned[[#This Row],[Status]]="Refunded", "Refund",
  IF(Transactions_RAW_cleaned[[#This Row],[Category]]="Payments", IF(Transactions_RAW_cleaned[[#This Row],[Amount]]&gt;500,"High Value","Standard"),
    IF(Transactions_RAW_cleaned[[#This Row],[Amount]]&gt;250,"High Value","Standard")))</f>
        <v>Standard</v>
      </c>
      <c r="Q1260" s="5" t="str">
        <f>IF(Transactions_RAW_cleaned[[#This Row],[Amount]] &gt; (_xlfn.XLOOKUP(Transactions_RAW_cleaned[[#This Row],[ServiceID]],Services_cleaned[ServiceID],Services_cleaned[TransactionFeePct]) * 10000), "Yes", "No")</f>
        <v>No</v>
      </c>
      <c r="R1260" s="5" t="str">
        <f>IF(COUNTIFS($C$2:Transactions_RAW_cleaned[[#This Row],[CustomerID]],Transactions_RAW_cleaned[[#This Row],[CustomerID]],$D$2:Transactions_RAW_cleaned[[#This Row],[ServiceID]],Transactions_RAW_cleaned[[#This Row],[ServiceID]])=1,"Yes","No")</f>
        <v>No</v>
      </c>
      <c r="S126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60" t="str">
        <f>"Q"&amp;ROUNDUP(MONTH(Transactions_RAW_cleaned[[#This Row],[TransactionDate]])/3,0)</f>
        <v>Q4</v>
      </c>
      <c r="U1260" t="str">
        <f>Transactions_RAW_cleaned[[#This Row],[Region ]]&amp;Transactions_RAW_cleaned[[#This Row],[Quarter ]]</f>
        <v>NAQ4</v>
      </c>
      <c r="V1260" s="5">
        <f>_xlfn.XLOOKUP(Transactions_RAW_cleaned[[#This Row],[RegionQuarterKey]], Quarterly_Targets_cleaned[RegionQuarterKey], Quarterly_Targets_cleaned[TargetRevenue])</f>
        <v>299000</v>
      </c>
    </row>
    <row r="1261" spans="1:22" x14ac:dyDescent="0.25">
      <c r="A1261" t="s">
        <v>1592</v>
      </c>
      <c r="B1261" s="1">
        <v>45356</v>
      </c>
      <c r="C1261" t="s">
        <v>117</v>
      </c>
      <c r="D1261" t="s">
        <v>312</v>
      </c>
      <c r="E1261">
        <v>169.52</v>
      </c>
      <c r="F1261" t="s">
        <v>324</v>
      </c>
      <c r="G1261" t="s">
        <v>337</v>
      </c>
      <c r="I1261" t="s">
        <v>8</v>
      </c>
      <c r="J1261" t="s">
        <v>102</v>
      </c>
      <c r="K1261" t="s">
        <v>14</v>
      </c>
      <c r="L1261" t="s">
        <v>313</v>
      </c>
      <c r="M1261" t="s">
        <v>314</v>
      </c>
      <c r="N1261">
        <v>0</v>
      </c>
      <c r="O1261" t="str">
        <f>IF(Transactions_RAW_cleaned[[#This Row],[Status]]="Completed", IFERROR(_xlfn.XLOOKUP(Transactions_RAW_cleaned[[#This Row],[CustomerID]], Customers_cleaned[CustomerID], Customers_cleaned[Segment]), "Customer Not Found"), "N/A")</f>
        <v>SMB</v>
      </c>
      <c r="P1261" s="5" t="str">
        <f>IF(Transactions_RAW_cleaned[[#This Row],[Status]]="Refunded", "Refund",
  IF(Transactions_RAW_cleaned[[#This Row],[Category]]="Payments", IF(Transactions_RAW_cleaned[[#This Row],[Amount]]&gt;500,"High Value","Standard"),
    IF(Transactions_RAW_cleaned[[#This Row],[Amount]]&gt;250,"High Value","Standard")))</f>
        <v>Standard</v>
      </c>
      <c r="Q1261" s="5" t="str">
        <f>IF(Transactions_RAW_cleaned[[#This Row],[Amount]] &gt; (_xlfn.XLOOKUP(Transactions_RAW_cleaned[[#This Row],[ServiceID]],Services_cleaned[ServiceID],Services_cleaned[TransactionFeePct]) * 10000), "Yes", "No")</f>
        <v>Yes</v>
      </c>
      <c r="R1261" s="5" t="str">
        <f>IF(COUNTIFS($C$2:Transactions_RAW_cleaned[[#This Row],[CustomerID]],Transactions_RAW_cleaned[[#This Row],[CustomerID]],$D$2:Transactions_RAW_cleaned[[#This Row],[ServiceID]],Transactions_RAW_cleaned[[#This Row],[ServiceID]])=1,"Yes","No")</f>
        <v>No</v>
      </c>
      <c r="S126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61" t="str">
        <f>"Q"&amp;ROUNDUP(MONTH(Transactions_RAW_cleaned[[#This Row],[TransactionDate]])/3,0)</f>
        <v>Q1</v>
      </c>
      <c r="U1261" t="str">
        <f>Transactions_RAW_cleaned[[#This Row],[Region ]]&amp;Transactions_RAW_cleaned[[#This Row],[Quarter ]]</f>
        <v>NAQ1</v>
      </c>
      <c r="V1261" s="5">
        <f>_xlfn.XLOOKUP(Transactions_RAW_cleaned[[#This Row],[RegionQuarterKey]], Quarterly_Targets_cleaned[RegionQuarterKey], Quarterly_Targets_cleaned[TargetRevenue])</f>
        <v>247000</v>
      </c>
    </row>
    <row r="1262" spans="1:22" x14ac:dyDescent="0.25">
      <c r="A1262" t="s">
        <v>1593</v>
      </c>
      <c r="B1262" s="1">
        <v>45450</v>
      </c>
      <c r="C1262" t="s">
        <v>119</v>
      </c>
      <c r="D1262" t="s">
        <v>294</v>
      </c>
      <c r="E1262">
        <v>302.75</v>
      </c>
      <c r="F1262" t="s">
        <v>324</v>
      </c>
      <c r="G1262" t="s">
        <v>337</v>
      </c>
      <c r="H1262" t="s">
        <v>332</v>
      </c>
      <c r="I1262" t="s">
        <v>57</v>
      </c>
      <c r="J1262" t="s">
        <v>102</v>
      </c>
      <c r="K1262" t="s">
        <v>18</v>
      </c>
      <c r="L1262" t="s">
        <v>295</v>
      </c>
      <c r="M1262" t="s">
        <v>296</v>
      </c>
      <c r="N1262">
        <v>2.9000000000000001E-2</v>
      </c>
      <c r="O1262" t="str">
        <f>IF(Transactions_RAW_cleaned[[#This Row],[Status]]="Completed", IFERROR(_xlfn.XLOOKUP(Transactions_RAW_cleaned[[#This Row],[CustomerID]], Customers_cleaned[CustomerID], Customers_cleaned[Segment]), "Customer Not Found"), "N/A")</f>
        <v>Startup</v>
      </c>
      <c r="P1262" s="5" t="str">
        <f>IF(Transactions_RAW_cleaned[[#This Row],[Status]]="Refunded", "Refund",
  IF(Transactions_RAW_cleaned[[#This Row],[Category]]="Payments", IF(Transactions_RAW_cleaned[[#This Row],[Amount]]&gt;500,"High Value","Standard"),
    IF(Transactions_RAW_cleaned[[#This Row],[Amount]]&gt;250,"High Value","Standard")))</f>
        <v>Standard</v>
      </c>
      <c r="Q1262" s="5" t="str">
        <f>IF(Transactions_RAW_cleaned[[#This Row],[Amount]] &gt; (_xlfn.XLOOKUP(Transactions_RAW_cleaned[[#This Row],[ServiceID]],Services_cleaned[ServiceID],Services_cleaned[TransactionFeePct]) * 10000), "Yes", "No")</f>
        <v>Yes</v>
      </c>
      <c r="R1262" s="5" t="str">
        <f>IF(COUNTIFS($C$2:Transactions_RAW_cleaned[[#This Row],[CustomerID]],Transactions_RAW_cleaned[[#This Row],[CustomerID]],$D$2:Transactions_RAW_cleaned[[#This Row],[ServiceID]],Transactions_RAW_cleaned[[#This Row],[ServiceID]])=1,"Yes","No")</f>
        <v>No</v>
      </c>
      <c r="S126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62" t="str">
        <f>"Q"&amp;ROUNDUP(MONTH(Transactions_RAW_cleaned[[#This Row],[TransactionDate]])/3,0)</f>
        <v>Q2</v>
      </c>
      <c r="U1262" t="str">
        <f>Transactions_RAW_cleaned[[#This Row],[Region ]]&amp;Transactions_RAW_cleaned[[#This Row],[Quarter ]]</f>
        <v>NAQ2</v>
      </c>
      <c r="V1262" s="5">
        <f>_xlfn.XLOOKUP(Transactions_RAW_cleaned[[#This Row],[RegionQuarterKey]], Quarterly_Targets_cleaned[RegionQuarterKey], Quarterly_Targets_cleaned[TargetRevenue])</f>
        <v>260000</v>
      </c>
    </row>
    <row r="1263" spans="1:22" x14ac:dyDescent="0.25">
      <c r="A1263" t="s">
        <v>1594</v>
      </c>
      <c r="B1263" s="1">
        <v>45431</v>
      </c>
      <c r="C1263" t="s">
        <v>26</v>
      </c>
      <c r="D1263" t="s">
        <v>300</v>
      </c>
      <c r="E1263">
        <v>164.4</v>
      </c>
      <c r="F1263" t="s">
        <v>324</v>
      </c>
      <c r="G1263" t="s">
        <v>327</v>
      </c>
      <c r="H1263" t="s">
        <v>334</v>
      </c>
      <c r="I1263" t="s">
        <v>8</v>
      </c>
      <c r="J1263" t="s">
        <v>102</v>
      </c>
      <c r="K1263" t="s">
        <v>28</v>
      </c>
      <c r="L1263" t="s">
        <v>301</v>
      </c>
      <c r="M1263" t="s">
        <v>302</v>
      </c>
      <c r="N1263">
        <v>5.0000000000000001E-3</v>
      </c>
      <c r="O1263" t="str">
        <f>IF(Transactions_RAW_cleaned[[#This Row],[Status]]="Completed", IFERROR(_xlfn.XLOOKUP(Transactions_RAW_cleaned[[#This Row],[CustomerID]], Customers_cleaned[CustomerID], Customers_cleaned[Segment]), "Customer Not Found"), "N/A")</f>
        <v>SMB</v>
      </c>
      <c r="P1263" s="5" t="str">
        <f>IF(Transactions_RAW_cleaned[[#This Row],[Status]]="Refunded", "Refund",
  IF(Transactions_RAW_cleaned[[#This Row],[Category]]="Payments", IF(Transactions_RAW_cleaned[[#This Row],[Amount]]&gt;500,"High Value","Standard"),
    IF(Transactions_RAW_cleaned[[#This Row],[Amount]]&gt;250,"High Value","Standard")))</f>
        <v>Standard</v>
      </c>
      <c r="Q1263" s="5" t="str">
        <f>IF(Transactions_RAW_cleaned[[#This Row],[Amount]] &gt; (_xlfn.XLOOKUP(Transactions_RAW_cleaned[[#This Row],[ServiceID]],Services_cleaned[ServiceID],Services_cleaned[TransactionFeePct]) * 10000), "Yes", "No")</f>
        <v>Yes</v>
      </c>
      <c r="R1263" s="5" t="str">
        <f>IF(COUNTIFS($C$2:Transactions_RAW_cleaned[[#This Row],[CustomerID]],Transactions_RAW_cleaned[[#This Row],[CustomerID]],$D$2:Transactions_RAW_cleaned[[#This Row],[ServiceID]],Transactions_RAW_cleaned[[#This Row],[ServiceID]])=1,"Yes","No")</f>
        <v>No</v>
      </c>
      <c r="S126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63" t="str">
        <f>"Q"&amp;ROUNDUP(MONTH(Transactions_RAW_cleaned[[#This Row],[TransactionDate]])/3,0)</f>
        <v>Q2</v>
      </c>
      <c r="U1263" t="str">
        <f>Transactions_RAW_cleaned[[#This Row],[Region ]]&amp;Transactions_RAW_cleaned[[#This Row],[Quarter ]]</f>
        <v>NAQ2</v>
      </c>
      <c r="V1263" s="5">
        <f>_xlfn.XLOOKUP(Transactions_RAW_cleaned[[#This Row],[RegionQuarterKey]], Quarterly_Targets_cleaned[RegionQuarterKey], Quarterly_Targets_cleaned[TargetRevenue])</f>
        <v>260000</v>
      </c>
    </row>
    <row r="1264" spans="1:22" x14ac:dyDescent="0.25">
      <c r="A1264" t="s">
        <v>1595</v>
      </c>
      <c r="B1264" s="1">
        <v>45364</v>
      </c>
      <c r="C1264" t="s">
        <v>44</v>
      </c>
      <c r="D1264" t="s">
        <v>306</v>
      </c>
      <c r="E1264">
        <v>265.58</v>
      </c>
      <c r="F1264" t="s">
        <v>324</v>
      </c>
      <c r="G1264" t="s">
        <v>325</v>
      </c>
      <c r="H1264" t="s">
        <v>332</v>
      </c>
      <c r="I1264" t="s">
        <v>8</v>
      </c>
      <c r="J1264" t="s">
        <v>46</v>
      </c>
      <c r="K1264" t="s">
        <v>32</v>
      </c>
      <c r="L1264" t="s">
        <v>307</v>
      </c>
      <c r="M1264" t="s">
        <v>308</v>
      </c>
      <c r="N1264">
        <v>0</v>
      </c>
      <c r="O1264" t="str">
        <f>IF(Transactions_RAW_cleaned[[#This Row],[Status]]="Completed", IFERROR(_xlfn.XLOOKUP(Transactions_RAW_cleaned[[#This Row],[CustomerID]], Customers_cleaned[CustomerID], Customers_cleaned[Segment]), "Customer Not Found"), "N/A")</f>
        <v>SMB</v>
      </c>
      <c r="P1264" s="5" t="str">
        <f>IF(Transactions_RAW_cleaned[[#This Row],[Status]]="Refunded", "Refund",
  IF(Transactions_RAW_cleaned[[#This Row],[Category]]="Payments", IF(Transactions_RAW_cleaned[[#This Row],[Amount]]&gt;500,"High Value","Standard"),
    IF(Transactions_RAW_cleaned[[#This Row],[Amount]]&gt;250,"High Value","Standard")))</f>
        <v>High Value</v>
      </c>
      <c r="Q1264" s="5" t="str">
        <f>IF(Transactions_RAW_cleaned[[#This Row],[Amount]] &gt; (_xlfn.XLOOKUP(Transactions_RAW_cleaned[[#This Row],[ServiceID]],Services_cleaned[ServiceID],Services_cleaned[TransactionFeePct]) * 10000), "Yes", "No")</f>
        <v>Yes</v>
      </c>
      <c r="R1264" s="5" t="str">
        <f>IF(COUNTIFS($C$2:Transactions_RAW_cleaned[[#This Row],[CustomerID]],Transactions_RAW_cleaned[[#This Row],[CustomerID]],$D$2:Transactions_RAW_cleaned[[#This Row],[ServiceID]],Transactions_RAW_cleaned[[#This Row],[ServiceID]])=1,"Yes","No")</f>
        <v>No</v>
      </c>
      <c r="S126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64" t="str">
        <f>"Q"&amp;ROUNDUP(MONTH(Transactions_RAW_cleaned[[#This Row],[TransactionDate]])/3,0)</f>
        <v>Q1</v>
      </c>
      <c r="U1264" t="str">
        <f>Transactions_RAW_cleaned[[#This Row],[Region ]]&amp;Transactions_RAW_cleaned[[#This Row],[Quarter ]]</f>
        <v>APACQ1</v>
      </c>
      <c r="V1264" s="5">
        <f>_xlfn.XLOOKUP(Transactions_RAW_cleaned[[#This Row],[RegionQuarterKey]], Quarterly_Targets_cleaned[RegionQuarterKey], Quarterly_Targets_cleaned[TargetRevenue])</f>
        <v>104500</v>
      </c>
    </row>
    <row r="1265" spans="1:22" x14ac:dyDescent="0.25">
      <c r="A1265" t="s">
        <v>1596</v>
      </c>
      <c r="B1265" s="1">
        <v>45360</v>
      </c>
      <c r="C1265" t="s">
        <v>261</v>
      </c>
      <c r="D1265" t="s">
        <v>297</v>
      </c>
      <c r="E1265">
        <v>517.29</v>
      </c>
      <c r="F1265" t="s">
        <v>324</v>
      </c>
      <c r="G1265" t="s">
        <v>327</v>
      </c>
      <c r="I1265" t="s">
        <v>8</v>
      </c>
      <c r="J1265" t="s">
        <v>31</v>
      </c>
      <c r="K1265" t="s">
        <v>18</v>
      </c>
      <c r="L1265" t="s">
        <v>298</v>
      </c>
      <c r="M1265" t="s">
        <v>299</v>
      </c>
      <c r="N1265">
        <v>0</v>
      </c>
      <c r="O1265" t="str">
        <f>IF(Transactions_RAW_cleaned[[#This Row],[Status]]="Completed", IFERROR(_xlfn.XLOOKUP(Transactions_RAW_cleaned[[#This Row],[CustomerID]], Customers_cleaned[CustomerID], Customers_cleaned[Segment]), "Customer Not Found"), "N/A")</f>
        <v>SMB</v>
      </c>
      <c r="P1265" s="5" t="str">
        <f>IF(Transactions_RAW_cleaned[[#This Row],[Status]]="Refunded", "Refund",
  IF(Transactions_RAW_cleaned[[#This Row],[Category]]="Payments", IF(Transactions_RAW_cleaned[[#This Row],[Amount]]&gt;500,"High Value","Standard"),
    IF(Transactions_RAW_cleaned[[#This Row],[Amount]]&gt;250,"High Value","Standard")))</f>
        <v>High Value</v>
      </c>
      <c r="Q1265" s="5" t="str">
        <f>IF(Transactions_RAW_cleaned[[#This Row],[Amount]] &gt; (_xlfn.XLOOKUP(Transactions_RAW_cleaned[[#This Row],[ServiceID]],Services_cleaned[ServiceID],Services_cleaned[TransactionFeePct]) * 10000), "Yes", "No")</f>
        <v>Yes</v>
      </c>
      <c r="R1265" s="5" t="str">
        <f>IF(COUNTIFS($C$2:Transactions_RAW_cleaned[[#This Row],[CustomerID]],Transactions_RAW_cleaned[[#This Row],[CustomerID]],$D$2:Transactions_RAW_cleaned[[#This Row],[ServiceID]],Transactions_RAW_cleaned[[#This Row],[ServiceID]])=1,"Yes","No")</f>
        <v>Yes</v>
      </c>
      <c r="S126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265" t="str">
        <f>"Q"&amp;ROUNDUP(MONTH(Transactions_RAW_cleaned[[#This Row],[TransactionDate]])/3,0)</f>
        <v>Q1</v>
      </c>
      <c r="U1265" t="str">
        <f>Transactions_RAW_cleaned[[#This Row],[Region ]]&amp;Transactions_RAW_cleaned[[#This Row],[Quarter ]]</f>
        <v>EMEAQ1</v>
      </c>
      <c r="V1265" s="5">
        <f>_xlfn.XLOOKUP(Transactions_RAW_cleaned[[#This Row],[RegionQuarterKey]], Quarterly_Targets_cleaned[RegionQuarterKey], Quarterly_Targets_cleaned[TargetRevenue])</f>
        <v>133000</v>
      </c>
    </row>
    <row r="1266" spans="1:22" x14ac:dyDescent="0.25">
      <c r="A1266" t="s">
        <v>1597</v>
      </c>
      <c r="B1266" s="1">
        <v>45604</v>
      </c>
      <c r="C1266" t="s">
        <v>76</v>
      </c>
      <c r="D1266" t="s">
        <v>315</v>
      </c>
      <c r="E1266">
        <v>342.53</v>
      </c>
      <c r="F1266" t="s">
        <v>324</v>
      </c>
      <c r="G1266" t="s">
        <v>325</v>
      </c>
      <c r="H1266" t="s">
        <v>332</v>
      </c>
      <c r="I1266" t="s">
        <v>17</v>
      </c>
      <c r="J1266" t="s">
        <v>13</v>
      </c>
      <c r="K1266" t="s">
        <v>18</v>
      </c>
      <c r="L1266" t="s">
        <v>316</v>
      </c>
      <c r="M1266" t="s">
        <v>305</v>
      </c>
      <c r="N1266">
        <v>2.5000000000000001E-3</v>
      </c>
      <c r="O1266" t="str">
        <f>IF(Transactions_RAW_cleaned[[#This Row],[Status]]="Completed", IFERROR(_xlfn.XLOOKUP(Transactions_RAW_cleaned[[#This Row],[CustomerID]], Customers_cleaned[CustomerID], Customers_cleaned[Segment]), "Customer Not Found"), "N/A")</f>
        <v>Enterprise</v>
      </c>
      <c r="P1266" s="5" t="str">
        <f>IF(Transactions_RAW_cleaned[[#This Row],[Status]]="Refunded", "Refund",
  IF(Transactions_RAW_cleaned[[#This Row],[Category]]="Payments", IF(Transactions_RAW_cleaned[[#This Row],[Amount]]&gt;500,"High Value","Standard"),
    IF(Transactions_RAW_cleaned[[#This Row],[Amount]]&gt;250,"High Value","Standard")))</f>
        <v>High Value</v>
      </c>
      <c r="Q1266" s="5" t="str">
        <f>IF(Transactions_RAW_cleaned[[#This Row],[Amount]] &gt; (_xlfn.XLOOKUP(Transactions_RAW_cleaned[[#This Row],[ServiceID]],Services_cleaned[ServiceID],Services_cleaned[TransactionFeePct]) * 10000), "Yes", "No")</f>
        <v>Yes</v>
      </c>
      <c r="R1266" s="5" t="str">
        <f>IF(COUNTIFS($C$2:Transactions_RAW_cleaned[[#This Row],[CustomerID]],Transactions_RAW_cleaned[[#This Row],[CustomerID]],$D$2:Transactions_RAW_cleaned[[#This Row],[ServiceID]],Transactions_RAW_cleaned[[#This Row],[ServiceID]])=1,"Yes","No")</f>
        <v>Yes</v>
      </c>
      <c r="S126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66" t="str">
        <f>"Q"&amp;ROUNDUP(MONTH(Transactions_RAW_cleaned[[#This Row],[TransactionDate]])/3,0)</f>
        <v>Q4</v>
      </c>
      <c r="U1266" t="str">
        <f>Transactions_RAW_cleaned[[#This Row],[Region ]]&amp;Transactions_RAW_cleaned[[#This Row],[Quarter ]]</f>
        <v>NAQ4</v>
      </c>
      <c r="V1266" s="5">
        <f>_xlfn.XLOOKUP(Transactions_RAW_cleaned[[#This Row],[RegionQuarterKey]], Quarterly_Targets_cleaned[RegionQuarterKey], Quarterly_Targets_cleaned[TargetRevenue])</f>
        <v>299000</v>
      </c>
    </row>
    <row r="1267" spans="1:22" x14ac:dyDescent="0.25">
      <c r="A1267" t="s">
        <v>1598</v>
      </c>
      <c r="B1267" s="1">
        <v>45492</v>
      </c>
      <c r="C1267" t="s">
        <v>98</v>
      </c>
      <c r="D1267" t="s">
        <v>300</v>
      </c>
      <c r="E1267">
        <v>227.15</v>
      </c>
      <c r="F1267" t="s">
        <v>324</v>
      </c>
      <c r="G1267" t="s">
        <v>327</v>
      </c>
      <c r="I1267" t="s">
        <v>8</v>
      </c>
      <c r="J1267" t="s">
        <v>37</v>
      </c>
      <c r="K1267" t="s">
        <v>18</v>
      </c>
      <c r="L1267" t="s">
        <v>301</v>
      </c>
      <c r="M1267" t="s">
        <v>302</v>
      </c>
      <c r="N1267">
        <v>5.0000000000000001E-3</v>
      </c>
      <c r="O1267" t="str">
        <f>IF(Transactions_RAW_cleaned[[#This Row],[Status]]="Completed", IFERROR(_xlfn.XLOOKUP(Transactions_RAW_cleaned[[#This Row],[CustomerID]], Customers_cleaned[CustomerID], Customers_cleaned[Segment]), "Customer Not Found"), "N/A")</f>
        <v>SMB</v>
      </c>
      <c r="P1267" s="5" t="str">
        <f>IF(Transactions_RAW_cleaned[[#This Row],[Status]]="Refunded", "Refund",
  IF(Transactions_RAW_cleaned[[#This Row],[Category]]="Payments", IF(Transactions_RAW_cleaned[[#This Row],[Amount]]&gt;500,"High Value","Standard"),
    IF(Transactions_RAW_cleaned[[#This Row],[Amount]]&gt;250,"High Value","Standard")))</f>
        <v>Standard</v>
      </c>
      <c r="Q1267" s="5" t="str">
        <f>IF(Transactions_RAW_cleaned[[#This Row],[Amount]] &gt; (_xlfn.XLOOKUP(Transactions_RAW_cleaned[[#This Row],[ServiceID]],Services_cleaned[ServiceID],Services_cleaned[TransactionFeePct]) * 10000), "Yes", "No")</f>
        <v>Yes</v>
      </c>
      <c r="R1267" s="5" t="str">
        <f>IF(COUNTIFS($C$2:Transactions_RAW_cleaned[[#This Row],[CustomerID]],Transactions_RAW_cleaned[[#This Row],[CustomerID]],$D$2:Transactions_RAW_cleaned[[#This Row],[ServiceID]],Transactions_RAW_cleaned[[#This Row],[ServiceID]])=1,"Yes","No")</f>
        <v>No</v>
      </c>
      <c r="S126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267" t="str">
        <f>"Q"&amp;ROUNDUP(MONTH(Transactions_RAW_cleaned[[#This Row],[TransactionDate]])/3,0)</f>
        <v>Q3</v>
      </c>
      <c r="U1267" t="str">
        <f>Transactions_RAW_cleaned[[#This Row],[Region ]]&amp;Transactions_RAW_cleaned[[#This Row],[Quarter ]]</f>
        <v>EMEAQ3</v>
      </c>
      <c r="V1267" s="5">
        <f>_xlfn.XLOOKUP(Transactions_RAW_cleaned[[#This Row],[RegionQuarterKey]], Quarterly_Targets_cleaned[RegionQuarterKey], Quarterly_Targets_cleaned[TargetRevenue])</f>
        <v>147000</v>
      </c>
    </row>
    <row r="1268" spans="1:22" x14ac:dyDescent="0.25">
      <c r="A1268" t="s">
        <v>1599</v>
      </c>
      <c r="B1268" s="1">
        <v>45466</v>
      </c>
      <c r="C1268" t="s">
        <v>163</v>
      </c>
      <c r="D1268" t="s">
        <v>300</v>
      </c>
      <c r="E1268">
        <v>160.59</v>
      </c>
      <c r="F1268" t="s">
        <v>324</v>
      </c>
      <c r="G1268" t="s">
        <v>327</v>
      </c>
      <c r="I1268" t="s">
        <v>17</v>
      </c>
      <c r="J1268" t="s">
        <v>102</v>
      </c>
      <c r="K1268" t="s">
        <v>18</v>
      </c>
      <c r="L1268" t="s">
        <v>301</v>
      </c>
      <c r="M1268" t="s">
        <v>302</v>
      </c>
      <c r="N1268">
        <v>5.0000000000000001E-3</v>
      </c>
      <c r="O1268" t="str">
        <f>IF(Transactions_RAW_cleaned[[#This Row],[Status]]="Completed", IFERROR(_xlfn.XLOOKUP(Transactions_RAW_cleaned[[#This Row],[CustomerID]], Customers_cleaned[CustomerID], Customers_cleaned[Segment]), "Customer Not Found"), "N/A")</f>
        <v>Enterprise</v>
      </c>
      <c r="P1268" s="5" t="str">
        <f>IF(Transactions_RAW_cleaned[[#This Row],[Status]]="Refunded", "Refund",
  IF(Transactions_RAW_cleaned[[#This Row],[Category]]="Payments", IF(Transactions_RAW_cleaned[[#This Row],[Amount]]&gt;500,"High Value","Standard"),
    IF(Transactions_RAW_cleaned[[#This Row],[Amount]]&gt;250,"High Value","Standard")))</f>
        <v>Standard</v>
      </c>
      <c r="Q1268" s="5" t="str">
        <f>IF(Transactions_RAW_cleaned[[#This Row],[Amount]] &gt; (_xlfn.XLOOKUP(Transactions_RAW_cleaned[[#This Row],[ServiceID]],Services_cleaned[ServiceID],Services_cleaned[TransactionFeePct]) * 10000), "Yes", "No")</f>
        <v>Yes</v>
      </c>
      <c r="R1268" s="5" t="str">
        <f>IF(COUNTIFS($C$2:Transactions_RAW_cleaned[[#This Row],[CustomerID]],Transactions_RAW_cleaned[[#This Row],[CustomerID]],$D$2:Transactions_RAW_cleaned[[#This Row],[ServiceID]],Transactions_RAW_cleaned[[#This Row],[ServiceID]])=1,"Yes","No")</f>
        <v>No</v>
      </c>
      <c r="S126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68" t="str">
        <f>"Q"&amp;ROUNDUP(MONTH(Transactions_RAW_cleaned[[#This Row],[TransactionDate]])/3,0)</f>
        <v>Q2</v>
      </c>
      <c r="U1268" t="str">
        <f>Transactions_RAW_cleaned[[#This Row],[Region ]]&amp;Transactions_RAW_cleaned[[#This Row],[Quarter ]]</f>
        <v>NAQ2</v>
      </c>
      <c r="V1268" s="5">
        <f>_xlfn.XLOOKUP(Transactions_RAW_cleaned[[#This Row],[RegionQuarterKey]], Quarterly_Targets_cleaned[RegionQuarterKey], Quarterly_Targets_cleaned[TargetRevenue])</f>
        <v>260000</v>
      </c>
    </row>
    <row r="1269" spans="1:22" x14ac:dyDescent="0.25">
      <c r="A1269" t="s">
        <v>1600</v>
      </c>
      <c r="B1269" s="1">
        <v>45628</v>
      </c>
      <c r="C1269" t="s">
        <v>209</v>
      </c>
      <c r="D1269" t="s">
        <v>294</v>
      </c>
      <c r="E1269">
        <v>767.06</v>
      </c>
      <c r="F1269" t="s">
        <v>324</v>
      </c>
      <c r="G1269" t="s">
        <v>337</v>
      </c>
      <c r="H1269" t="s">
        <v>334</v>
      </c>
      <c r="I1269" t="s">
        <v>17</v>
      </c>
      <c r="J1269" t="s">
        <v>102</v>
      </c>
      <c r="K1269" t="s">
        <v>22</v>
      </c>
      <c r="L1269" t="s">
        <v>295</v>
      </c>
      <c r="M1269" t="s">
        <v>296</v>
      </c>
      <c r="N1269">
        <v>2.9000000000000001E-2</v>
      </c>
      <c r="O1269" t="str">
        <f>IF(Transactions_RAW_cleaned[[#This Row],[Status]]="Completed", IFERROR(_xlfn.XLOOKUP(Transactions_RAW_cleaned[[#This Row],[CustomerID]], Customers_cleaned[CustomerID], Customers_cleaned[Segment]), "Customer Not Found"), "N/A")</f>
        <v>Enterprise</v>
      </c>
      <c r="P1269" s="5" t="str">
        <f>IF(Transactions_RAW_cleaned[[#This Row],[Status]]="Refunded", "Refund",
  IF(Transactions_RAW_cleaned[[#This Row],[Category]]="Payments", IF(Transactions_RAW_cleaned[[#This Row],[Amount]]&gt;500,"High Value","Standard"),
    IF(Transactions_RAW_cleaned[[#This Row],[Amount]]&gt;250,"High Value","Standard")))</f>
        <v>High Value</v>
      </c>
      <c r="Q1269" s="5" t="str">
        <f>IF(Transactions_RAW_cleaned[[#This Row],[Amount]] &gt; (_xlfn.XLOOKUP(Transactions_RAW_cleaned[[#This Row],[ServiceID]],Services_cleaned[ServiceID],Services_cleaned[TransactionFeePct]) * 10000), "Yes", "No")</f>
        <v>Yes</v>
      </c>
      <c r="R1269" s="5" t="str">
        <f>IF(COUNTIFS($C$2:Transactions_RAW_cleaned[[#This Row],[CustomerID]],Transactions_RAW_cleaned[[#This Row],[CustomerID]],$D$2:Transactions_RAW_cleaned[[#This Row],[ServiceID]],Transactions_RAW_cleaned[[#This Row],[ServiceID]])=1,"Yes","No")</f>
        <v>No</v>
      </c>
      <c r="S126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69" t="str">
        <f>"Q"&amp;ROUNDUP(MONTH(Transactions_RAW_cleaned[[#This Row],[TransactionDate]])/3,0)</f>
        <v>Q4</v>
      </c>
      <c r="U1269" t="str">
        <f>Transactions_RAW_cleaned[[#This Row],[Region ]]&amp;Transactions_RAW_cleaned[[#This Row],[Quarter ]]</f>
        <v>NAQ4</v>
      </c>
      <c r="V1269" s="5">
        <f>_xlfn.XLOOKUP(Transactions_RAW_cleaned[[#This Row],[RegionQuarterKey]], Quarterly_Targets_cleaned[RegionQuarterKey], Quarterly_Targets_cleaned[TargetRevenue])</f>
        <v>299000</v>
      </c>
    </row>
    <row r="1270" spans="1:22" x14ac:dyDescent="0.25">
      <c r="A1270" t="s">
        <v>1601</v>
      </c>
      <c r="B1270" s="1">
        <v>45320</v>
      </c>
      <c r="C1270" t="s">
        <v>92</v>
      </c>
      <c r="D1270" t="s">
        <v>294</v>
      </c>
      <c r="E1270">
        <v>546.79999999999995</v>
      </c>
      <c r="F1270" t="s">
        <v>324</v>
      </c>
      <c r="G1270" t="s">
        <v>337</v>
      </c>
      <c r="I1270" t="s">
        <v>8</v>
      </c>
      <c r="J1270" t="s">
        <v>102</v>
      </c>
      <c r="K1270" t="s">
        <v>10</v>
      </c>
      <c r="L1270" t="s">
        <v>295</v>
      </c>
      <c r="M1270" t="s">
        <v>296</v>
      </c>
      <c r="N1270">
        <v>2.9000000000000001E-2</v>
      </c>
      <c r="O1270" t="str">
        <f>IF(Transactions_RAW_cleaned[[#This Row],[Status]]="Completed", IFERROR(_xlfn.XLOOKUP(Transactions_RAW_cleaned[[#This Row],[CustomerID]], Customers_cleaned[CustomerID], Customers_cleaned[Segment]), "Customer Not Found"), "N/A")</f>
        <v>SMB</v>
      </c>
      <c r="P1270" s="5" t="str">
        <f>IF(Transactions_RAW_cleaned[[#This Row],[Status]]="Refunded", "Refund",
  IF(Transactions_RAW_cleaned[[#This Row],[Category]]="Payments", IF(Transactions_RAW_cleaned[[#This Row],[Amount]]&gt;500,"High Value","Standard"),
    IF(Transactions_RAW_cleaned[[#This Row],[Amount]]&gt;250,"High Value","Standard")))</f>
        <v>High Value</v>
      </c>
      <c r="Q1270" s="5" t="str">
        <f>IF(Transactions_RAW_cleaned[[#This Row],[Amount]] &gt; (_xlfn.XLOOKUP(Transactions_RAW_cleaned[[#This Row],[ServiceID]],Services_cleaned[ServiceID],Services_cleaned[TransactionFeePct]) * 10000), "Yes", "No")</f>
        <v>Yes</v>
      </c>
      <c r="R1270" s="5" t="str">
        <f>IF(COUNTIFS($C$2:Transactions_RAW_cleaned[[#This Row],[CustomerID]],Transactions_RAW_cleaned[[#This Row],[CustomerID]],$D$2:Transactions_RAW_cleaned[[#This Row],[ServiceID]],Transactions_RAW_cleaned[[#This Row],[ServiceID]])=1,"Yes","No")</f>
        <v>No</v>
      </c>
      <c r="S127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70" t="str">
        <f>"Q"&amp;ROUNDUP(MONTH(Transactions_RAW_cleaned[[#This Row],[TransactionDate]])/3,0)</f>
        <v>Q1</v>
      </c>
      <c r="U1270" t="str">
        <f>Transactions_RAW_cleaned[[#This Row],[Region ]]&amp;Transactions_RAW_cleaned[[#This Row],[Quarter ]]</f>
        <v>NAQ1</v>
      </c>
      <c r="V1270" s="5">
        <f>_xlfn.XLOOKUP(Transactions_RAW_cleaned[[#This Row],[RegionQuarterKey]], Quarterly_Targets_cleaned[RegionQuarterKey], Quarterly_Targets_cleaned[TargetRevenue])</f>
        <v>247000</v>
      </c>
    </row>
    <row r="1271" spans="1:22" x14ac:dyDescent="0.25">
      <c r="A1271" t="s">
        <v>1602</v>
      </c>
      <c r="B1271" s="1">
        <v>45424</v>
      </c>
      <c r="C1271" t="s">
        <v>145</v>
      </c>
      <c r="D1271" t="s">
        <v>312</v>
      </c>
      <c r="E1271">
        <v>358.55</v>
      </c>
      <c r="F1271" t="s">
        <v>324</v>
      </c>
      <c r="G1271" t="s">
        <v>325</v>
      </c>
      <c r="I1271" t="s">
        <v>8</v>
      </c>
      <c r="J1271" t="s">
        <v>13</v>
      </c>
      <c r="K1271" t="s">
        <v>32</v>
      </c>
      <c r="L1271" t="s">
        <v>313</v>
      </c>
      <c r="M1271" t="s">
        <v>314</v>
      </c>
      <c r="N1271">
        <v>0</v>
      </c>
      <c r="O1271" t="str">
        <f>IF(Transactions_RAW_cleaned[[#This Row],[Status]]="Completed", IFERROR(_xlfn.XLOOKUP(Transactions_RAW_cleaned[[#This Row],[CustomerID]], Customers_cleaned[CustomerID], Customers_cleaned[Segment]), "Customer Not Found"), "N/A")</f>
        <v>SMB</v>
      </c>
      <c r="P1271" s="5" t="str">
        <f>IF(Transactions_RAW_cleaned[[#This Row],[Status]]="Refunded", "Refund",
  IF(Transactions_RAW_cleaned[[#This Row],[Category]]="Payments", IF(Transactions_RAW_cleaned[[#This Row],[Amount]]&gt;500,"High Value","Standard"),
    IF(Transactions_RAW_cleaned[[#This Row],[Amount]]&gt;250,"High Value","Standard")))</f>
        <v>High Value</v>
      </c>
      <c r="Q1271" s="5" t="str">
        <f>IF(Transactions_RAW_cleaned[[#This Row],[Amount]] &gt; (_xlfn.XLOOKUP(Transactions_RAW_cleaned[[#This Row],[ServiceID]],Services_cleaned[ServiceID],Services_cleaned[TransactionFeePct]) * 10000), "Yes", "No")</f>
        <v>Yes</v>
      </c>
      <c r="R1271" s="5" t="str">
        <f>IF(COUNTIFS($C$2:Transactions_RAW_cleaned[[#This Row],[CustomerID]],Transactions_RAW_cleaned[[#This Row],[CustomerID]],$D$2:Transactions_RAW_cleaned[[#This Row],[ServiceID]],Transactions_RAW_cleaned[[#This Row],[ServiceID]])=1,"Yes","No")</f>
        <v>Yes</v>
      </c>
      <c r="S127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71" t="str">
        <f>"Q"&amp;ROUNDUP(MONTH(Transactions_RAW_cleaned[[#This Row],[TransactionDate]])/3,0)</f>
        <v>Q2</v>
      </c>
      <c r="U1271" t="str">
        <f>Transactions_RAW_cleaned[[#This Row],[Region ]]&amp;Transactions_RAW_cleaned[[#This Row],[Quarter ]]</f>
        <v>NAQ2</v>
      </c>
      <c r="V1271" s="5">
        <f>_xlfn.XLOOKUP(Transactions_RAW_cleaned[[#This Row],[RegionQuarterKey]], Quarterly_Targets_cleaned[RegionQuarterKey], Quarterly_Targets_cleaned[TargetRevenue])</f>
        <v>260000</v>
      </c>
    </row>
    <row r="1272" spans="1:22" x14ac:dyDescent="0.25">
      <c r="A1272" t="s">
        <v>1603</v>
      </c>
      <c r="B1272" s="1">
        <v>45519</v>
      </c>
      <c r="C1272" t="s">
        <v>94</v>
      </c>
      <c r="D1272" t="s">
        <v>294</v>
      </c>
      <c r="E1272">
        <v>286.56</v>
      </c>
      <c r="F1272" t="s">
        <v>324</v>
      </c>
      <c r="G1272" t="s">
        <v>327</v>
      </c>
      <c r="H1272" t="s">
        <v>334</v>
      </c>
      <c r="I1272" t="s">
        <v>8</v>
      </c>
      <c r="J1272" t="s">
        <v>21</v>
      </c>
      <c r="K1272" t="s">
        <v>14</v>
      </c>
      <c r="L1272" t="s">
        <v>295</v>
      </c>
      <c r="M1272" t="s">
        <v>296</v>
      </c>
      <c r="N1272">
        <v>2.9000000000000001E-2</v>
      </c>
      <c r="O1272" t="str">
        <f>IF(Transactions_RAW_cleaned[[#This Row],[Status]]="Completed", IFERROR(_xlfn.XLOOKUP(Transactions_RAW_cleaned[[#This Row],[CustomerID]], Customers_cleaned[CustomerID], Customers_cleaned[Segment]), "Customer Not Found"), "N/A")</f>
        <v>SMB</v>
      </c>
      <c r="P1272" s="5" t="str">
        <f>IF(Transactions_RAW_cleaned[[#This Row],[Status]]="Refunded", "Refund",
  IF(Transactions_RAW_cleaned[[#This Row],[Category]]="Payments", IF(Transactions_RAW_cleaned[[#This Row],[Amount]]&gt;500,"High Value","Standard"),
    IF(Transactions_RAW_cleaned[[#This Row],[Amount]]&gt;250,"High Value","Standard")))</f>
        <v>Standard</v>
      </c>
      <c r="Q1272" s="5" t="str">
        <f>IF(Transactions_RAW_cleaned[[#This Row],[Amount]] &gt; (_xlfn.XLOOKUP(Transactions_RAW_cleaned[[#This Row],[ServiceID]],Services_cleaned[ServiceID],Services_cleaned[TransactionFeePct]) * 10000), "Yes", "No")</f>
        <v>No</v>
      </c>
      <c r="R1272" s="5" t="str">
        <f>IF(COUNTIFS($C$2:Transactions_RAW_cleaned[[#This Row],[CustomerID]],Transactions_RAW_cleaned[[#This Row],[CustomerID]],$D$2:Transactions_RAW_cleaned[[#This Row],[ServiceID]],Transactions_RAW_cleaned[[#This Row],[ServiceID]])=1,"Yes","No")</f>
        <v>No</v>
      </c>
      <c r="S127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72" t="str">
        <f>"Q"&amp;ROUNDUP(MONTH(Transactions_RAW_cleaned[[#This Row],[TransactionDate]])/3,0)</f>
        <v>Q3</v>
      </c>
      <c r="U1272" t="str">
        <f>Transactions_RAW_cleaned[[#This Row],[Region ]]&amp;Transactions_RAW_cleaned[[#This Row],[Quarter ]]</f>
        <v>APACQ3</v>
      </c>
      <c r="V1272" s="5">
        <f>_xlfn.XLOOKUP(Transactions_RAW_cleaned[[#This Row],[RegionQuarterKey]], Quarterly_Targets_cleaned[RegionQuarterKey], Quarterly_Targets_cleaned[TargetRevenue])</f>
        <v>115500</v>
      </c>
    </row>
    <row r="1273" spans="1:22" x14ac:dyDescent="0.25">
      <c r="A1273" t="s">
        <v>1604</v>
      </c>
      <c r="B1273" s="1">
        <v>45632</v>
      </c>
      <c r="C1273" t="s">
        <v>125</v>
      </c>
      <c r="D1273" t="s">
        <v>300</v>
      </c>
      <c r="E1273">
        <v>-958.43</v>
      </c>
      <c r="F1273" t="s">
        <v>349</v>
      </c>
      <c r="G1273" t="s">
        <v>329</v>
      </c>
      <c r="I1273" t="s">
        <v>8</v>
      </c>
      <c r="J1273" t="s">
        <v>13</v>
      </c>
      <c r="K1273" t="s">
        <v>28</v>
      </c>
      <c r="L1273" t="s">
        <v>301</v>
      </c>
      <c r="M1273" t="s">
        <v>302</v>
      </c>
      <c r="N1273">
        <v>5.0000000000000001E-3</v>
      </c>
      <c r="O1273" t="str">
        <f>IF(Transactions_RAW_cleaned[[#This Row],[Status]]="Completed", IFERROR(_xlfn.XLOOKUP(Transactions_RAW_cleaned[[#This Row],[CustomerID]], Customers_cleaned[CustomerID], Customers_cleaned[Segment]), "Customer Not Found"), "N/A")</f>
        <v>N/A</v>
      </c>
      <c r="P1273" s="5" t="str">
        <f>IF(Transactions_RAW_cleaned[[#This Row],[Status]]="Refunded", "Refund",
  IF(Transactions_RAW_cleaned[[#This Row],[Category]]="Payments", IF(Transactions_RAW_cleaned[[#This Row],[Amount]]&gt;500,"High Value","Standard"),
    IF(Transactions_RAW_cleaned[[#This Row],[Amount]]&gt;250,"High Value","Standard")))</f>
        <v>Refund</v>
      </c>
      <c r="Q1273" s="5" t="str">
        <f>IF(Transactions_RAW_cleaned[[#This Row],[Amount]] &gt; (_xlfn.XLOOKUP(Transactions_RAW_cleaned[[#This Row],[ServiceID]],Services_cleaned[ServiceID],Services_cleaned[TransactionFeePct]) * 10000), "Yes", "No")</f>
        <v>No</v>
      </c>
      <c r="R1273" s="5" t="str">
        <f>IF(COUNTIFS($C$2:Transactions_RAW_cleaned[[#This Row],[CustomerID]],Transactions_RAW_cleaned[[#This Row],[CustomerID]],$D$2:Transactions_RAW_cleaned[[#This Row],[ServiceID]],Transactions_RAW_cleaned[[#This Row],[ServiceID]])=1,"Yes","No")</f>
        <v>No</v>
      </c>
      <c r="S127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73" t="str">
        <f>"Q"&amp;ROUNDUP(MONTH(Transactions_RAW_cleaned[[#This Row],[TransactionDate]])/3,0)</f>
        <v>Q4</v>
      </c>
      <c r="U1273" t="str">
        <f>Transactions_RAW_cleaned[[#This Row],[Region ]]&amp;Transactions_RAW_cleaned[[#This Row],[Quarter ]]</f>
        <v>NAQ4</v>
      </c>
      <c r="V1273" s="5">
        <f>_xlfn.XLOOKUP(Transactions_RAW_cleaned[[#This Row],[RegionQuarterKey]], Quarterly_Targets_cleaned[RegionQuarterKey], Quarterly_Targets_cleaned[TargetRevenue])</f>
        <v>299000</v>
      </c>
    </row>
    <row r="1274" spans="1:22" x14ac:dyDescent="0.25">
      <c r="A1274" t="s">
        <v>1605</v>
      </c>
      <c r="B1274" s="1">
        <v>45653</v>
      </c>
      <c r="C1274" t="s">
        <v>259</v>
      </c>
      <c r="D1274" t="s">
        <v>294</v>
      </c>
      <c r="E1274">
        <v>1022.19</v>
      </c>
      <c r="F1274" t="s">
        <v>324</v>
      </c>
      <c r="G1274" t="s">
        <v>337</v>
      </c>
      <c r="H1274" t="s">
        <v>346</v>
      </c>
      <c r="I1274" t="s">
        <v>8</v>
      </c>
      <c r="J1274" t="s">
        <v>31</v>
      </c>
      <c r="K1274" t="s">
        <v>22</v>
      </c>
      <c r="L1274" t="s">
        <v>295</v>
      </c>
      <c r="M1274" t="s">
        <v>296</v>
      </c>
      <c r="N1274">
        <v>2.9000000000000001E-2</v>
      </c>
      <c r="O1274" t="str">
        <f>IF(Transactions_RAW_cleaned[[#This Row],[Status]]="Completed", IFERROR(_xlfn.XLOOKUP(Transactions_RAW_cleaned[[#This Row],[CustomerID]], Customers_cleaned[CustomerID], Customers_cleaned[Segment]), "Customer Not Found"), "N/A")</f>
        <v>SMB</v>
      </c>
      <c r="P1274" s="5" t="str">
        <f>IF(Transactions_RAW_cleaned[[#This Row],[Status]]="Refunded", "Refund",
  IF(Transactions_RAW_cleaned[[#This Row],[Category]]="Payments", IF(Transactions_RAW_cleaned[[#This Row],[Amount]]&gt;500,"High Value","Standard"),
    IF(Transactions_RAW_cleaned[[#This Row],[Amount]]&gt;250,"High Value","Standard")))</f>
        <v>High Value</v>
      </c>
      <c r="Q1274" s="5" t="str">
        <f>IF(Transactions_RAW_cleaned[[#This Row],[Amount]] &gt; (_xlfn.XLOOKUP(Transactions_RAW_cleaned[[#This Row],[ServiceID]],Services_cleaned[ServiceID],Services_cleaned[TransactionFeePct]) * 10000), "Yes", "No")</f>
        <v>Yes</v>
      </c>
      <c r="R1274" s="5" t="str">
        <f>IF(COUNTIFS($C$2:Transactions_RAW_cleaned[[#This Row],[CustomerID]],Transactions_RAW_cleaned[[#This Row],[CustomerID]],$D$2:Transactions_RAW_cleaned[[#This Row],[ServiceID]],Transactions_RAW_cleaned[[#This Row],[ServiceID]])=1,"Yes","No")</f>
        <v>No</v>
      </c>
      <c r="S127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274" t="str">
        <f>"Q"&amp;ROUNDUP(MONTH(Transactions_RAW_cleaned[[#This Row],[TransactionDate]])/3,0)</f>
        <v>Q4</v>
      </c>
      <c r="U1274" t="str">
        <f>Transactions_RAW_cleaned[[#This Row],[Region ]]&amp;Transactions_RAW_cleaned[[#This Row],[Quarter ]]</f>
        <v>EMEAQ4</v>
      </c>
      <c r="V1274" s="5">
        <f>_xlfn.XLOOKUP(Transactions_RAW_cleaned[[#This Row],[RegionQuarterKey]], Quarterly_Targets_cleaned[RegionQuarterKey], Quarterly_Targets_cleaned[TargetRevenue])</f>
        <v>161000</v>
      </c>
    </row>
    <row r="1275" spans="1:22" x14ac:dyDescent="0.25">
      <c r="A1275" t="s">
        <v>1606</v>
      </c>
      <c r="B1275" s="1">
        <v>45584</v>
      </c>
      <c r="C1275" t="s">
        <v>6</v>
      </c>
      <c r="D1275" t="s">
        <v>300</v>
      </c>
      <c r="E1275">
        <v>624.34</v>
      </c>
      <c r="F1275" t="s">
        <v>324</v>
      </c>
      <c r="G1275" t="s">
        <v>325</v>
      </c>
      <c r="I1275" t="s">
        <v>8</v>
      </c>
      <c r="J1275" t="s">
        <v>102</v>
      </c>
      <c r="K1275" t="s">
        <v>10</v>
      </c>
      <c r="L1275" t="s">
        <v>301</v>
      </c>
      <c r="M1275" t="s">
        <v>302</v>
      </c>
      <c r="N1275">
        <v>5.0000000000000001E-3</v>
      </c>
      <c r="O1275" t="str">
        <f>IF(Transactions_RAW_cleaned[[#This Row],[Status]]="Completed", IFERROR(_xlfn.XLOOKUP(Transactions_RAW_cleaned[[#This Row],[CustomerID]], Customers_cleaned[CustomerID], Customers_cleaned[Segment]), "Customer Not Found"), "N/A")</f>
        <v>SMB</v>
      </c>
      <c r="P1275" s="5" t="str">
        <f>IF(Transactions_RAW_cleaned[[#This Row],[Status]]="Refunded", "Refund",
  IF(Transactions_RAW_cleaned[[#This Row],[Category]]="Payments", IF(Transactions_RAW_cleaned[[#This Row],[Amount]]&gt;500,"High Value","Standard"),
    IF(Transactions_RAW_cleaned[[#This Row],[Amount]]&gt;250,"High Value","Standard")))</f>
        <v>High Value</v>
      </c>
      <c r="Q1275" s="5" t="str">
        <f>IF(Transactions_RAW_cleaned[[#This Row],[Amount]] &gt; (_xlfn.XLOOKUP(Transactions_RAW_cleaned[[#This Row],[ServiceID]],Services_cleaned[ServiceID],Services_cleaned[TransactionFeePct]) * 10000), "Yes", "No")</f>
        <v>Yes</v>
      </c>
      <c r="R1275" s="5" t="str">
        <f>IF(COUNTIFS($C$2:Transactions_RAW_cleaned[[#This Row],[CustomerID]],Transactions_RAW_cleaned[[#This Row],[CustomerID]],$D$2:Transactions_RAW_cleaned[[#This Row],[ServiceID]],Transactions_RAW_cleaned[[#This Row],[ServiceID]])=1,"Yes","No")</f>
        <v>No</v>
      </c>
      <c r="S127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75" t="str">
        <f>"Q"&amp;ROUNDUP(MONTH(Transactions_RAW_cleaned[[#This Row],[TransactionDate]])/3,0)</f>
        <v>Q4</v>
      </c>
      <c r="U1275" t="str">
        <f>Transactions_RAW_cleaned[[#This Row],[Region ]]&amp;Transactions_RAW_cleaned[[#This Row],[Quarter ]]</f>
        <v>NAQ4</v>
      </c>
      <c r="V1275" s="5">
        <f>_xlfn.XLOOKUP(Transactions_RAW_cleaned[[#This Row],[RegionQuarterKey]], Quarterly_Targets_cleaned[RegionQuarterKey], Quarterly_Targets_cleaned[TargetRevenue])</f>
        <v>299000</v>
      </c>
    </row>
    <row r="1276" spans="1:22" x14ac:dyDescent="0.25">
      <c r="A1276" t="s">
        <v>1607</v>
      </c>
      <c r="B1276" s="1">
        <v>45493</v>
      </c>
      <c r="C1276" t="s">
        <v>185</v>
      </c>
      <c r="D1276" t="s">
        <v>312</v>
      </c>
      <c r="E1276">
        <v>565.42999999999995</v>
      </c>
      <c r="F1276" t="s">
        <v>324</v>
      </c>
      <c r="G1276" t="s">
        <v>325</v>
      </c>
      <c r="H1276" t="s">
        <v>332</v>
      </c>
      <c r="I1276" t="s">
        <v>17</v>
      </c>
      <c r="J1276" t="s">
        <v>13</v>
      </c>
      <c r="K1276" t="s">
        <v>32</v>
      </c>
      <c r="L1276" t="s">
        <v>313</v>
      </c>
      <c r="M1276" t="s">
        <v>314</v>
      </c>
      <c r="N1276">
        <v>0</v>
      </c>
      <c r="O1276" t="str">
        <f>IF(Transactions_RAW_cleaned[[#This Row],[Status]]="Completed", IFERROR(_xlfn.XLOOKUP(Transactions_RAW_cleaned[[#This Row],[CustomerID]], Customers_cleaned[CustomerID], Customers_cleaned[Segment]), "Customer Not Found"), "N/A")</f>
        <v>Enterprise</v>
      </c>
      <c r="P1276" s="5" t="str">
        <f>IF(Transactions_RAW_cleaned[[#This Row],[Status]]="Refunded", "Refund",
  IF(Transactions_RAW_cleaned[[#This Row],[Category]]="Payments", IF(Transactions_RAW_cleaned[[#This Row],[Amount]]&gt;500,"High Value","Standard"),
    IF(Transactions_RAW_cleaned[[#This Row],[Amount]]&gt;250,"High Value","Standard")))</f>
        <v>High Value</v>
      </c>
      <c r="Q1276" s="5" t="str">
        <f>IF(Transactions_RAW_cleaned[[#This Row],[Amount]] &gt; (_xlfn.XLOOKUP(Transactions_RAW_cleaned[[#This Row],[ServiceID]],Services_cleaned[ServiceID],Services_cleaned[TransactionFeePct]) * 10000), "Yes", "No")</f>
        <v>Yes</v>
      </c>
      <c r="R1276" s="5" t="str">
        <f>IF(COUNTIFS($C$2:Transactions_RAW_cleaned[[#This Row],[CustomerID]],Transactions_RAW_cleaned[[#This Row],[CustomerID]],$D$2:Transactions_RAW_cleaned[[#This Row],[ServiceID]],Transactions_RAW_cleaned[[#This Row],[ServiceID]])=1,"Yes","No")</f>
        <v>No</v>
      </c>
      <c r="S127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76" t="str">
        <f>"Q"&amp;ROUNDUP(MONTH(Transactions_RAW_cleaned[[#This Row],[TransactionDate]])/3,0)</f>
        <v>Q3</v>
      </c>
      <c r="U1276" t="str">
        <f>Transactions_RAW_cleaned[[#This Row],[Region ]]&amp;Transactions_RAW_cleaned[[#This Row],[Quarter ]]</f>
        <v>NAQ3</v>
      </c>
      <c r="V1276" s="5">
        <f>_xlfn.XLOOKUP(Transactions_RAW_cleaned[[#This Row],[RegionQuarterKey]], Quarterly_Targets_cleaned[RegionQuarterKey], Quarterly_Targets_cleaned[TargetRevenue])</f>
        <v>273000</v>
      </c>
    </row>
    <row r="1277" spans="1:22" x14ac:dyDescent="0.25">
      <c r="A1277" t="s">
        <v>1608</v>
      </c>
      <c r="B1277" s="1">
        <v>45352</v>
      </c>
      <c r="C1277" t="s">
        <v>227</v>
      </c>
      <c r="D1277" t="s">
        <v>312</v>
      </c>
      <c r="E1277">
        <v>-156.06</v>
      </c>
      <c r="F1277" t="s">
        <v>349</v>
      </c>
      <c r="G1277" t="s">
        <v>327</v>
      </c>
      <c r="H1277" t="s">
        <v>346</v>
      </c>
      <c r="I1277" t="s">
        <v>57</v>
      </c>
      <c r="J1277" t="s">
        <v>31</v>
      </c>
      <c r="K1277" t="s">
        <v>32</v>
      </c>
      <c r="L1277" t="s">
        <v>313</v>
      </c>
      <c r="M1277" t="s">
        <v>314</v>
      </c>
      <c r="N1277">
        <v>0</v>
      </c>
      <c r="O1277" t="str">
        <f>IF(Transactions_RAW_cleaned[[#This Row],[Status]]="Completed", IFERROR(_xlfn.XLOOKUP(Transactions_RAW_cleaned[[#This Row],[CustomerID]], Customers_cleaned[CustomerID], Customers_cleaned[Segment]), "Customer Not Found"), "N/A")</f>
        <v>N/A</v>
      </c>
      <c r="P1277" s="5" t="str">
        <f>IF(Transactions_RAW_cleaned[[#This Row],[Status]]="Refunded", "Refund",
  IF(Transactions_RAW_cleaned[[#This Row],[Category]]="Payments", IF(Transactions_RAW_cleaned[[#This Row],[Amount]]&gt;500,"High Value","Standard"),
    IF(Transactions_RAW_cleaned[[#This Row],[Amount]]&gt;250,"High Value","Standard")))</f>
        <v>Refund</v>
      </c>
      <c r="Q1277" s="5" t="str">
        <f>IF(Transactions_RAW_cleaned[[#This Row],[Amount]] &gt; (_xlfn.XLOOKUP(Transactions_RAW_cleaned[[#This Row],[ServiceID]],Services_cleaned[ServiceID],Services_cleaned[TransactionFeePct]) * 10000), "Yes", "No")</f>
        <v>No</v>
      </c>
      <c r="R1277" s="5" t="str">
        <f>IF(COUNTIFS($C$2:Transactions_RAW_cleaned[[#This Row],[CustomerID]],Transactions_RAW_cleaned[[#This Row],[CustomerID]],$D$2:Transactions_RAW_cleaned[[#This Row],[ServiceID]],Transactions_RAW_cleaned[[#This Row],[ServiceID]])=1,"Yes","No")</f>
        <v>No</v>
      </c>
      <c r="S127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277" t="str">
        <f>"Q"&amp;ROUNDUP(MONTH(Transactions_RAW_cleaned[[#This Row],[TransactionDate]])/3,0)</f>
        <v>Q1</v>
      </c>
      <c r="U1277" t="str">
        <f>Transactions_RAW_cleaned[[#This Row],[Region ]]&amp;Transactions_RAW_cleaned[[#This Row],[Quarter ]]</f>
        <v>EMEAQ1</v>
      </c>
      <c r="V1277" s="5">
        <f>_xlfn.XLOOKUP(Transactions_RAW_cleaned[[#This Row],[RegionQuarterKey]], Quarterly_Targets_cleaned[RegionQuarterKey], Quarterly_Targets_cleaned[TargetRevenue])</f>
        <v>133000</v>
      </c>
    </row>
    <row r="1278" spans="1:22" x14ac:dyDescent="0.25">
      <c r="A1278" t="s">
        <v>1609</v>
      </c>
      <c r="B1278" s="1">
        <v>45628</v>
      </c>
      <c r="C1278" t="s">
        <v>253</v>
      </c>
      <c r="D1278" t="s">
        <v>306</v>
      </c>
      <c r="E1278">
        <v>-540.66999999999996</v>
      </c>
      <c r="F1278" t="s">
        <v>349</v>
      </c>
      <c r="G1278" t="s">
        <v>327</v>
      </c>
      <c r="H1278" t="s">
        <v>332</v>
      </c>
      <c r="I1278" t="s">
        <v>8</v>
      </c>
      <c r="J1278" t="s">
        <v>102</v>
      </c>
      <c r="K1278" t="s">
        <v>28</v>
      </c>
      <c r="L1278" t="s">
        <v>307</v>
      </c>
      <c r="M1278" t="s">
        <v>308</v>
      </c>
      <c r="N1278">
        <v>0</v>
      </c>
      <c r="O1278" t="str">
        <f>IF(Transactions_RAW_cleaned[[#This Row],[Status]]="Completed", IFERROR(_xlfn.XLOOKUP(Transactions_RAW_cleaned[[#This Row],[CustomerID]], Customers_cleaned[CustomerID], Customers_cleaned[Segment]), "Customer Not Found"), "N/A")</f>
        <v>N/A</v>
      </c>
      <c r="P1278" s="5" t="str">
        <f>IF(Transactions_RAW_cleaned[[#This Row],[Status]]="Refunded", "Refund",
  IF(Transactions_RAW_cleaned[[#This Row],[Category]]="Payments", IF(Transactions_RAW_cleaned[[#This Row],[Amount]]&gt;500,"High Value","Standard"),
    IF(Transactions_RAW_cleaned[[#This Row],[Amount]]&gt;250,"High Value","Standard")))</f>
        <v>Refund</v>
      </c>
      <c r="Q1278" s="5" t="str">
        <f>IF(Transactions_RAW_cleaned[[#This Row],[Amount]] &gt; (_xlfn.XLOOKUP(Transactions_RAW_cleaned[[#This Row],[ServiceID]],Services_cleaned[ServiceID],Services_cleaned[TransactionFeePct]) * 10000), "Yes", "No")</f>
        <v>No</v>
      </c>
      <c r="R1278" s="5" t="str">
        <f>IF(COUNTIFS($C$2:Transactions_RAW_cleaned[[#This Row],[CustomerID]],Transactions_RAW_cleaned[[#This Row],[CustomerID]],$D$2:Transactions_RAW_cleaned[[#This Row],[ServiceID]],Transactions_RAW_cleaned[[#This Row],[ServiceID]])=1,"Yes","No")</f>
        <v>Yes</v>
      </c>
      <c r="S127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78" t="str">
        <f>"Q"&amp;ROUNDUP(MONTH(Transactions_RAW_cleaned[[#This Row],[TransactionDate]])/3,0)</f>
        <v>Q4</v>
      </c>
      <c r="U1278" t="str">
        <f>Transactions_RAW_cleaned[[#This Row],[Region ]]&amp;Transactions_RAW_cleaned[[#This Row],[Quarter ]]</f>
        <v>NAQ4</v>
      </c>
      <c r="V1278" s="5">
        <f>_xlfn.XLOOKUP(Transactions_RAW_cleaned[[#This Row],[RegionQuarterKey]], Quarterly_Targets_cleaned[RegionQuarterKey], Quarterly_Targets_cleaned[TargetRevenue])</f>
        <v>299000</v>
      </c>
    </row>
    <row r="1279" spans="1:22" x14ac:dyDescent="0.25">
      <c r="A1279" t="s">
        <v>1610</v>
      </c>
      <c r="B1279" s="1">
        <v>45618</v>
      </c>
      <c r="C1279" t="s">
        <v>197</v>
      </c>
      <c r="D1279" t="s">
        <v>303</v>
      </c>
      <c r="E1279">
        <v>459.88</v>
      </c>
      <c r="F1279" t="s">
        <v>324</v>
      </c>
      <c r="G1279" t="s">
        <v>329</v>
      </c>
      <c r="I1279" t="s">
        <v>8</v>
      </c>
      <c r="J1279" t="s">
        <v>46</v>
      </c>
      <c r="K1279" t="s">
        <v>14</v>
      </c>
      <c r="L1279" t="s">
        <v>304</v>
      </c>
      <c r="M1279" t="s">
        <v>305</v>
      </c>
      <c r="N1279">
        <v>1E-3</v>
      </c>
      <c r="O1279" t="str">
        <f>IF(Transactions_RAW_cleaned[[#This Row],[Status]]="Completed", IFERROR(_xlfn.XLOOKUP(Transactions_RAW_cleaned[[#This Row],[CustomerID]], Customers_cleaned[CustomerID], Customers_cleaned[Segment]), "Customer Not Found"), "N/A")</f>
        <v>SMB</v>
      </c>
      <c r="P1279" s="5" t="str">
        <f>IF(Transactions_RAW_cleaned[[#This Row],[Status]]="Refunded", "Refund",
  IF(Transactions_RAW_cleaned[[#This Row],[Category]]="Payments", IF(Transactions_RAW_cleaned[[#This Row],[Amount]]&gt;500,"High Value","Standard"),
    IF(Transactions_RAW_cleaned[[#This Row],[Amount]]&gt;250,"High Value","Standard")))</f>
        <v>High Value</v>
      </c>
      <c r="Q1279" s="5" t="str">
        <f>IF(Transactions_RAW_cleaned[[#This Row],[Amount]] &gt; (_xlfn.XLOOKUP(Transactions_RAW_cleaned[[#This Row],[ServiceID]],Services_cleaned[ServiceID],Services_cleaned[TransactionFeePct]) * 10000), "Yes", "No")</f>
        <v>Yes</v>
      </c>
      <c r="R1279" s="5" t="str">
        <f>IF(COUNTIFS($C$2:Transactions_RAW_cleaned[[#This Row],[CustomerID]],Transactions_RAW_cleaned[[#This Row],[CustomerID]],$D$2:Transactions_RAW_cleaned[[#This Row],[ServiceID]],Transactions_RAW_cleaned[[#This Row],[ServiceID]])=1,"Yes","No")</f>
        <v>Yes</v>
      </c>
      <c r="S127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79" t="str">
        <f>"Q"&amp;ROUNDUP(MONTH(Transactions_RAW_cleaned[[#This Row],[TransactionDate]])/3,0)</f>
        <v>Q4</v>
      </c>
      <c r="U1279" t="str">
        <f>Transactions_RAW_cleaned[[#This Row],[Region ]]&amp;Transactions_RAW_cleaned[[#This Row],[Quarter ]]</f>
        <v>APACQ4</v>
      </c>
      <c r="V1279" s="5">
        <f>_xlfn.XLOOKUP(Transactions_RAW_cleaned[[#This Row],[RegionQuarterKey]], Quarterly_Targets_cleaned[RegionQuarterKey], Quarterly_Targets_cleaned[TargetRevenue])</f>
        <v>126500</v>
      </c>
    </row>
    <row r="1280" spans="1:22" x14ac:dyDescent="0.25">
      <c r="A1280" t="s">
        <v>1611</v>
      </c>
      <c r="B1280" s="1">
        <v>45312</v>
      </c>
      <c r="C1280" t="s">
        <v>251</v>
      </c>
      <c r="D1280" t="s">
        <v>312</v>
      </c>
      <c r="E1280">
        <v>-218.08</v>
      </c>
      <c r="F1280" t="s">
        <v>349</v>
      </c>
      <c r="G1280" t="s">
        <v>329</v>
      </c>
      <c r="H1280" t="s">
        <v>332</v>
      </c>
      <c r="I1280" t="s">
        <v>17</v>
      </c>
      <c r="J1280" t="s">
        <v>46</v>
      </c>
      <c r="K1280" t="s">
        <v>14</v>
      </c>
      <c r="L1280" t="s">
        <v>313</v>
      </c>
      <c r="M1280" t="s">
        <v>314</v>
      </c>
      <c r="N1280">
        <v>0</v>
      </c>
      <c r="O1280" t="str">
        <f>IF(Transactions_RAW_cleaned[[#This Row],[Status]]="Completed", IFERROR(_xlfn.XLOOKUP(Transactions_RAW_cleaned[[#This Row],[CustomerID]], Customers_cleaned[CustomerID], Customers_cleaned[Segment]), "Customer Not Found"), "N/A")</f>
        <v>N/A</v>
      </c>
      <c r="P1280" s="5" t="str">
        <f>IF(Transactions_RAW_cleaned[[#This Row],[Status]]="Refunded", "Refund",
  IF(Transactions_RAW_cleaned[[#This Row],[Category]]="Payments", IF(Transactions_RAW_cleaned[[#This Row],[Amount]]&gt;500,"High Value","Standard"),
    IF(Transactions_RAW_cleaned[[#This Row],[Amount]]&gt;250,"High Value","Standard")))</f>
        <v>Refund</v>
      </c>
      <c r="Q1280" s="5" t="str">
        <f>IF(Transactions_RAW_cleaned[[#This Row],[Amount]] &gt; (_xlfn.XLOOKUP(Transactions_RAW_cleaned[[#This Row],[ServiceID]],Services_cleaned[ServiceID],Services_cleaned[TransactionFeePct]) * 10000), "Yes", "No")</f>
        <v>No</v>
      </c>
      <c r="R1280" s="5" t="str">
        <f>IF(COUNTIFS($C$2:Transactions_RAW_cleaned[[#This Row],[CustomerID]],Transactions_RAW_cleaned[[#This Row],[CustomerID]],$D$2:Transactions_RAW_cleaned[[#This Row],[ServiceID]],Transactions_RAW_cleaned[[#This Row],[ServiceID]])=1,"Yes","No")</f>
        <v>Yes</v>
      </c>
      <c r="S128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80" t="str">
        <f>"Q"&amp;ROUNDUP(MONTH(Transactions_RAW_cleaned[[#This Row],[TransactionDate]])/3,0)</f>
        <v>Q1</v>
      </c>
      <c r="U1280" t="str">
        <f>Transactions_RAW_cleaned[[#This Row],[Region ]]&amp;Transactions_RAW_cleaned[[#This Row],[Quarter ]]</f>
        <v>APACQ1</v>
      </c>
      <c r="V1280" s="5">
        <f>_xlfn.XLOOKUP(Transactions_RAW_cleaned[[#This Row],[RegionQuarterKey]], Quarterly_Targets_cleaned[RegionQuarterKey], Quarterly_Targets_cleaned[TargetRevenue])</f>
        <v>104500</v>
      </c>
    </row>
    <row r="1281" spans="1:22" x14ac:dyDescent="0.25">
      <c r="A1281" t="s">
        <v>1612</v>
      </c>
      <c r="B1281" s="1">
        <v>45593</v>
      </c>
      <c r="C1281" t="s">
        <v>92</v>
      </c>
      <c r="D1281" t="s">
        <v>294</v>
      </c>
      <c r="E1281">
        <v>27.52</v>
      </c>
      <c r="F1281" t="s">
        <v>324</v>
      </c>
      <c r="G1281" t="s">
        <v>327</v>
      </c>
      <c r="I1281" t="s">
        <v>8</v>
      </c>
      <c r="J1281" t="s">
        <v>102</v>
      </c>
      <c r="K1281" t="s">
        <v>10</v>
      </c>
      <c r="L1281" t="s">
        <v>295</v>
      </c>
      <c r="M1281" t="s">
        <v>296</v>
      </c>
      <c r="N1281">
        <v>2.9000000000000001E-2</v>
      </c>
      <c r="O1281" t="str">
        <f>IF(Transactions_RAW_cleaned[[#This Row],[Status]]="Completed", IFERROR(_xlfn.XLOOKUP(Transactions_RAW_cleaned[[#This Row],[CustomerID]], Customers_cleaned[CustomerID], Customers_cleaned[Segment]), "Customer Not Found"), "N/A")</f>
        <v>SMB</v>
      </c>
      <c r="P1281" s="5" t="str">
        <f>IF(Transactions_RAW_cleaned[[#This Row],[Status]]="Refunded", "Refund",
  IF(Transactions_RAW_cleaned[[#This Row],[Category]]="Payments", IF(Transactions_RAW_cleaned[[#This Row],[Amount]]&gt;500,"High Value","Standard"),
    IF(Transactions_RAW_cleaned[[#This Row],[Amount]]&gt;250,"High Value","Standard")))</f>
        <v>Standard</v>
      </c>
      <c r="Q1281" s="5" t="str">
        <f>IF(Transactions_RAW_cleaned[[#This Row],[Amount]] &gt; (_xlfn.XLOOKUP(Transactions_RAW_cleaned[[#This Row],[ServiceID]],Services_cleaned[ServiceID],Services_cleaned[TransactionFeePct]) * 10000), "Yes", "No")</f>
        <v>No</v>
      </c>
      <c r="R1281" s="5" t="str">
        <f>IF(COUNTIFS($C$2:Transactions_RAW_cleaned[[#This Row],[CustomerID]],Transactions_RAW_cleaned[[#This Row],[CustomerID]],$D$2:Transactions_RAW_cleaned[[#This Row],[ServiceID]],Transactions_RAW_cleaned[[#This Row],[ServiceID]])=1,"Yes","No")</f>
        <v>No</v>
      </c>
      <c r="S128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81" t="str">
        <f>"Q"&amp;ROUNDUP(MONTH(Transactions_RAW_cleaned[[#This Row],[TransactionDate]])/3,0)</f>
        <v>Q4</v>
      </c>
      <c r="U1281" t="str">
        <f>Transactions_RAW_cleaned[[#This Row],[Region ]]&amp;Transactions_RAW_cleaned[[#This Row],[Quarter ]]</f>
        <v>NAQ4</v>
      </c>
      <c r="V1281" s="5">
        <f>_xlfn.XLOOKUP(Transactions_RAW_cleaned[[#This Row],[RegionQuarterKey]], Quarterly_Targets_cleaned[RegionQuarterKey], Quarterly_Targets_cleaned[TargetRevenue])</f>
        <v>299000</v>
      </c>
    </row>
    <row r="1282" spans="1:22" x14ac:dyDescent="0.25">
      <c r="A1282" t="s">
        <v>1613</v>
      </c>
      <c r="B1282" s="1">
        <v>45635</v>
      </c>
      <c r="C1282" t="s">
        <v>185</v>
      </c>
      <c r="D1282" t="s">
        <v>306</v>
      </c>
      <c r="E1282">
        <v>276.41000000000003</v>
      </c>
      <c r="F1282" t="s">
        <v>324</v>
      </c>
      <c r="G1282" t="s">
        <v>327</v>
      </c>
      <c r="I1282" t="s">
        <v>17</v>
      </c>
      <c r="J1282" t="s">
        <v>13</v>
      </c>
      <c r="K1282" t="s">
        <v>32</v>
      </c>
      <c r="L1282" t="s">
        <v>307</v>
      </c>
      <c r="M1282" t="s">
        <v>308</v>
      </c>
      <c r="N1282">
        <v>0</v>
      </c>
      <c r="O1282" t="str">
        <f>IF(Transactions_RAW_cleaned[[#This Row],[Status]]="Completed", IFERROR(_xlfn.XLOOKUP(Transactions_RAW_cleaned[[#This Row],[CustomerID]], Customers_cleaned[CustomerID], Customers_cleaned[Segment]), "Customer Not Found"), "N/A")</f>
        <v>Enterprise</v>
      </c>
      <c r="P1282" s="5" t="str">
        <f>IF(Transactions_RAW_cleaned[[#This Row],[Status]]="Refunded", "Refund",
  IF(Transactions_RAW_cleaned[[#This Row],[Category]]="Payments", IF(Transactions_RAW_cleaned[[#This Row],[Amount]]&gt;500,"High Value","Standard"),
    IF(Transactions_RAW_cleaned[[#This Row],[Amount]]&gt;250,"High Value","Standard")))</f>
        <v>High Value</v>
      </c>
      <c r="Q1282" s="5" t="str">
        <f>IF(Transactions_RAW_cleaned[[#This Row],[Amount]] &gt; (_xlfn.XLOOKUP(Transactions_RAW_cleaned[[#This Row],[ServiceID]],Services_cleaned[ServiceID],Services_cleaned[TransactionFeePct]) * 10000), "Yes", "No")</f>
        <v>Yes</v>
      </c>
      <c r="R1282" s="5" t="str">
        <f>IF(COUNTIFS($C$2:Transactions_RAW_cleaned[[#This Row],[CustomerID]],Transactions_RAW_cleaned[[#This Row],[CustomerID]],$D$2:Transactions_RAW_cleaned[[#This Row],[ServiceID]],Transactions_RAW_cleaned[[#This Row],[ServiceID]])=1,"Yes","No")</f>
        <v>Yes</v>
      </c>
      <c r="S128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82" t="str">
        <f>"Q"&amp;ROUNDUP(MONTH(Transactions_RAW_cleaned[[#This Row],[TransactionDate]])/3,0)</f>
        <v>Q4</v>
      </c>
      <c r="U1282" t="str">
        <f>Transactions_RAW_cleaned[[#This Row],[Region ]]&amp;Transactions_RAW_cleaned[[#This Row],[Quarter ]]</f>
        <v>NAQ4</v>
      </c>
      <c r="V1282" s="5">
        <f>_xlfn.XLOOKUP(Transactions_RAW_cleaned[[#This Row],[RegionQuarterKey]], Quarterly_Targets_cleaned[RegionQuarterKey], Quarterly_Targets_cleaned[TargetRevenue])</f>
        <v>299000</v>
      </c>
    </row>
    <row r="1283" spans="1:22" x14ac:dyDescent="0.25">
      <c r="A1283" t="s">
        <v>1614</v>
      </c>
      <c r="B1283" s="1">
        <v>45637</v>
      </c>
      <c r="C1283" t="s">
        <v>271</v>
      </c>
      <c r="D1283" t="s">
        <v>294</v>
      </c>
      <c r="E1283">
        <v>587.15</v>
      </c>
      <c r="F1283" t="s">
        <v>324</v>
      </c>
      <c r="G1283" t="s">
        <v>327</v>
      </c>
      <c r="H1283" t="s">
        <v>334</v>
      </c>
      <c r="I1283" t="s">
        <v>8</v>
      </c>
      <c r="J1283" t="s">
        <v>102</v>
      </c>
      <c r="K1283" t="s">
        <v>28</v>
      </c>
      <c r="L1283" t="s">
        <v>295</v>
      </c>
      <c r="M1283" t="s">
        <v>296</v>
      </c>
      <c r="N1283">
        <v>2.9000000000000001E-2</v>
      </c>
      <c r="O1283" t="str">
        <f>IF(Transactions_RAW_cleaned[[#This Row],[Status]]="Completed", IFERROR(_xlfn.XLOOKUP(Transactions_RAW_cleaned[[#This Row],[CustomerID]], Customers_cleaned[CustomerID], Customers_cleaned[Segment]), "Customer Not Found"), "N/A")</f>
        <v>SMB</v>
      </c>
      <c r="P1283" s="5" t="str">
        <f>IF(Transactions_RAW_cleaned[[#This Row],[Status]]="Refunded", "Refund",
  IF(Transactions_RAW_cleaned[[#This Row],[Category]]="Payments", IF(Transactions_RAW_cleaned[[#This Row],[Amount]]&gt;500,"High Value","Standard"),
    IF(Transactions_RAW_cleaned[[#This Row],[Amount]]&gt;250,"High Value","Standard")))</f>
        <v>High Value</v>
      </c>
      <c r="Q1283" s="5" t="str">
        <f>IF(Transactions_RAW_cleaned[[#This Row],[Amount]] &gt; (_xlfn.XLOOKUP(Transactions_RAW_cleaned[[#This Row],[ServiceID]],Services_cleaned[ServiceID],Services_cleaned[TransactionFeePct]) * 10000), "Yes", "No")</f>
        <v>Yes</v>
      </c>
      <c r="R1283" s="5" t="str">
        <f>IF(COUNTIFS($C$2:Transactions_RAW_cleaned[[#This Row],[CustomerID]],Transactions_RAW_cleaned[[#This Row],[CustomerID]],$D$2:Transactions_RAW_cleaned[[#This Row],[ServiceID]],Transactions_RAW_cleaned[[#This Row],[ServiceID]])=1,"Yes","No")</f>
        <v>No</v>
      </c>
      <c r="S128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83" t="str">
        <f>"Q"&amp;ROUNDUP(MONTH(Transactions_RAW_cleaned[[#This Row],[TransactionDate]])/3,0)</f>
        <v>Q4</v>
      </c>
      <c r="U1283" t="str">
        <f>Transactions_RAW_cleaned[[#This Row],[Region ]]&amp;Transactions_RAW_cleaned[[#This Row],[Quarter ]]</f>
        <v>NAQ4</v>
      </c>
      <c r="V1283" s="5">
        <f>_xlfn.XLOOKUP(Transactions_RAW_cleaned[[#This Row],[RegionQuarterKey]], Quarterly_Targets_cleaned[RegionQuarterKey], Quarterly_Targets_cleaned[TargetRevenue])</f>
        <v>299000</v>
      </c>
    </row>
    <row r="1284" spans="1:22" x14ac:dyDescent="0.25">
      <c r="A1284" t="s">
        <v>1615</v>
      </c>
      <c r="B1284" s="1">
        <v>45423</v>
      </c>
      <c r="C1284" t="s">
        <v>167</v>
      </c>
      <c r="D1284" t="s">
        <v>306</v>
      </c>
      <c r="E1284">
        <v>518.73</v>
      </c>
      <c r="F1284" t="s">
        <v>324</v>
      </c>
      <c r="G1284" t="s">
        <v>325</v>
      </c>
      <c r="I1284" t="s">
        <v>17</v>
      </c>
      <c r="J1284" t="s">
        <v>13</v>
      </c>
      <c r="K1284" t="s">
        <v>10</v>
      </c>
      <c r="L1284" t="s">
        <v>307</v>
      </c>
      <c r="M1284" t="s">
        <v>308</v>
      </c>
      <c r="N1284">
        <v>0</v>
      </c>
      <c r="O1284" t="str">
        <f>IF(Transactions_RAW_cleaned[[#This Row],[Status]]="Completed", IFERROR(_xlfn.XLOOKUP(Transactions_RAW_cleaned[[#This Row],[CustomerID]], Customers_cleaned[CustomerID], Customers_cleaned[Segment]), "Customer Not Found"), "N/A")</f>
        <v>Enterprise</v>
      </c>
      <c r="P1284" s="5" t="str">
        <f>IF(Transactions_RAW_cleaned[[#This Row],[Status]]="Refunded", "Refund",
  IF(Transactions_RAW_cleaned[[#This Row],[Category]]="Payments", IF(Transactions_RAW_cleaned[[#This Row],[Amount]]&gt;500,"High Value","Standard"),
    IF(Transactions_RAW_cleaned[[#This Row],[Amount]]&gt;250,"High Value","Standard")))</f>
        <v>High Value</v>
      </c>
      <c r="Q1284" s="5" t="str">
        <f>IF(Transactions_RAW_cleaned[[#This Row],[Amount]] &gt; (_xlfn.XLOOKUP(Transactions_RAW_cleaned[[#This Row],[ServiceID]],Services_cleaned[ServiceID],Services_cleaned[TransactionFeePct]) * 10000), "Yes", "No")</f>
        <v>Yes</v>
      </c>
      <c r="R1284" s="5" t="str">
        <f>IF(COUNTIFS($C$2:Transactions_RAW_cleaned[[#This Row],[CustomerID]],Transactions_RAW_cleaned[[#This Row],[CustomerID]],$D$2:Transactions_RAW_cleaned[[#This Row],[ServiceID]],Transactions_RAW_cleaned[[#This Row],[ServiceID]])=1,"Yes","No")</f>
        <v>Yes</v>
      </c>
      <c r="S128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84" t="str">
        <f>"Q"&amp;ROUNDUP(MONTH(Transactions_RAW_cleaned[[#This Row],[TransactionDate]])/3,0)</f>
        <v>Q2</v>
      </c>
      <c r="U1284" t="str">
        <f>Transactions_RAW_cleaned[[#This Row],[Region ]]&amp;Transactions_RAW_cleaned[[#This Row],[Quarter ]]</f>
        <v>NAQ2</v>
      </c>
      <c r="V1284" s="5">
        <f>_xlfn.XLOOKUP(Transactions_RAW_cleaned[[#This Row],[RegionQuarterKey]], Quarterly_Targets_cleaned[RegionQuarterKey], Quarterly_Targets_cleaned[TargetRevenue])</f>
        <v>260000</v>
      </c>
    </row>
    <row r="1285" spans="1:22" x14ac:dyDescent="0.25">
      <c r="A1285" t="s">
        <v>1616</v>
      </c>
      <c r="B1285" s="1">
        <v>45616</v>
      </c>
      <c r="C1285" t="s">
        <v>223</v>
      </c>
      <c r="D1285" t="s">
        <v>294</v>
      </c>
      <c r="E1285">
        <v>-309.47000000000003</v>
      </c>
      <c r="F1285" t="s">
        <v>349</v>
      </c>
      <c r="G1285" t="s">
        <v>327</v>
      </c>
      <c r="H1285" t="s">
        <v>346</v>
      </c>
      <c r="I1285" t="s">
        <v>8</v>
      </c>
      <c r="J1285" t="s">
        <v>102</v>
      </c>
      <c r="K1285" t="s">
        <v>28</v>
      </c>
      <c r="L1285" t="s">
        <v>295</v>
      </c>
      <c r="M1285" t="s">
        <v>296</v>
      </c>
      <c r="N1285">
        <v>2.9000000000000001E-2</v>
      </c>
      <c r="O1285" t="str">
        <f>IF(Transactions_RAW_cleaned[[#This Row],[Status]]="Completed", IFERROR(_xlfn.XLOOKUP(Transactions_RAW_cleaned[[#This Row],[CustomerID]], Customers_cleaned[CustomerID], Customers_cleaned[Segment]), "Customer Not Found"), "N/A")</f>
        <v>N/A</v>
      </c>
      <c r="P1285" s="5" t="str">
        <f>IF(Transactions_RAW_cleaned[[#This Row],[Status]]="Refunded", "Refund",
  IF(Transactions_RAW_cleaned[[#This Row],[Category]]="Payments", IF(Transactions_RAW_cleaned[[#This Row],[Amount]]&gt;500,"High Value","Standard"),
    IF(Transactions_RAW_cleaned[[#This Row],[Amount]]&gt;250,"High Value","Standard")))</f>
        <v>Refund</v>
      </c>
      <c r="Q1285" s="5" t="str">
        <f>IF(Transactions_RAW_cleaned[[#This Row],[Amount]] &gt; (_xlfn.XLOOKUP(Transactions_RAW_cleaned[[#This Row],[ServiceID]],Services_cleaned[ServiceID],Services_cleaned[TransactionFeePct]) * 10000), "Yes", "No")</f>
        <v>No</v>
      </c>
      <c r="R1285" s="5" t="str">
        <f>IF(COUNTIFS($C$2:Transactions_RAW_cleaned[[#This Row],[CustomerID]],Transactions_RAW_cleaned[[#This Row],[CustomerID]],$D$2:Transactions_RAW_cleaned[[#This Row],[ServiceID]],Transactions_RAW_cleaned[[#This Row],[ServiceID]])=1,"Yes","No")</f>
        <v>No</v>
      </c>
      <c r="S128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85" t="str">
        <f>"Q"&amp;ROUNDUP(MONTH(Transactions_RAW_cleaned[[#This Row],[TransactionDate]])/3,0)</f>
        <v>Q4</v>
      </c>
      <c r="U1285" t="str">
        <f>Transactions_RAW_cleaned[[#This Row],[Region ]]&amp;Transactions_RAW_cleaned[[#This Row],[Quarter ]]</f>
        <v>NAQ4</v>
      </c>
      <c r="V1285" s="5">
        <f>_xlfn.XLOOKUP(Transactions_RAW_cleaned[[#This Row],[RegionQuarterKey]], Quarterly_Targets_cleaned[RegionQuarterKey], Quarterly_Targets_cleaned[TargetRevenue])</f>
        <v>299000</v>
      </c>
    </row>
    <row r="1286" spans="1:22" x14ac:dyDescent="0.25">
      <c r="A1286" t="s">
        <v>1617</v>
      </c>
      <c r="B1286" s="1">
        <v>45491</v>
      </c>
      <c r="C1286" t="s">
        <v>203</v>
      </c>
      <c r="D1286" t="s">
        <v>309</v>
      </c>
      <c r="E1286">
        <v>308.76</v>
      </c>
      <c r="F1286" t="s">
        <v>324</v>
      </c>
      <c r="G1286" t="s">
        <v>329</v>
      </c>
      <c r="H1286" t="s">
        <v>332</v>
      </c>
      <c r="I1286" t="s">
        <v>57</v>
      </c>
      <c r="J1286" t="s">
        <v>21</v>
      </c>
      <c r="K1286" t="s">
        <v>14</v>
      </c>
      <c r="L1286" t="s">
        <v>310</v>
      </c>
      <c r="M1286" t="s">
        <v>311</v>
      </c>
      <c r="N1286">
        <v>0</v>
      </c>
      <c r="O1286" t="str">
        <f>IF(Transactions_RAW_cleaned[[#This Row],[Status]]="Completed", IFERROR(_xlfn.XLOOKUP(Transactions_RAW_cleaned[[#This Row],[CustomerID]], Customers_cleaned[CustomerID], Customers_cleaned[Segment]), "Customer Not Found"), "N/A")</f>
        <v>Startup</v>
      </c>
      <c r="P1286" s="5" t="str">
        <f>IF(Transactions_RAW_cleaned[[#This Row],[Status]]="Refunded", "Refund",
  IF(Transactions_RAW_cleaned[[#This Row],[Category]]="Payments", IF(Transactions_RAW_cleaned[[#This Row],[Amount]]&gt;500,"High Value","Standard"),
    IF(Transactions_RAW_cleaned[[#This Row],[Amount]]&gt;250,"High Value","Standard")))</f>
        <v>High Value</v>
      </c>
      <c r="Q1286" s="5" t="str">
        <f>IF(Transactions_RAW_cleaned[[#This Row],[Amount]] &gt; (_xlfn.XLOOKUP(Transactions_RAW_cleaned[[#This Row],[ServiceID]],Services_cleaned[ServiceID],Services_cleaned[TransactionFeePct]) * 10000), "Yes", "No")</f>
        <v>Yes</v>
      </c>
      <c r="R1286" s="5" t="str">
        <f>IF(COUNTIFS($C$2:Transactions_RAW_cleaned[[#This Row],[CustomerID]],Transactions_RAW_cleaned[[#This Row],[CustomerID]],$D$2:Transactions_RAW_cleaned[[#This Row],[ServiceID]],Transactions_RAW_cleaned[[#This Row],[ServiceID]])=1,"Yes","No")</f>
        <v>No</v>
      </c>
      <c r="S128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86" t="str">
        <f>"Q"&amp;ROUNDUP(MONTH(Transactions_RAW_cleaned[[#This Row],[TransactionDate]])/3,0)</f>
        <v>Q3</v>
      </c>
      <c r="U1286" t="str">
        <f>Transactions_RAW_cleaned[[#This Row],[Region ]]&amp;Transactions_RAW_cleaned[[#This Row],[Quarter ]]</f>
        <v>APACQ3</v>
      </c>
      <c r="V1286" s="5">
        <f>_xlfn.XLOOKUP(Transactions_RAW_cleaned[[#This Row],[RegionQuarterKey]], Quarterly_Targets_cleaned[RegionQuarterKey], Quarterly_Targets_cleaned[TargetRevenue])</f>
        <v>115500</v>
      </c>
    </row>
    <row r="1287" spans="1:22" x14ac:dyDescent="0.25">
      <c r="A1287" t="s">
        <v>1618</v>
      </c>
      <c r="B1287" s="1">
        <v>45616</v>
      </c>
      <c r="C1287" t="s">
        <v>113</v>
      </c>
      <c r="D1287" t="s">
        <v>297</v>
      </c>
      <c r="E1287">
        <v>448.94</v>
      </c>
      <c r="F1287" t="s">
        <v>324</v>
      </c>
      <c r="G1287" t="s">
        <v>337</v>
      </c>
      <c r="H1287" t="s">
        <v>334</v>
      </c>
      <c r="I1287" t="s">
        <v>57</v>
      </c>
      <c r="J1287" t="s">
        <v>46</v>
      </c>
      <c r="K1287" t="s">
        <v>10</v>
      </c>
      <c r="L1287" t="s">
        <v>298</v>
      </c>
      <c r="M1287" t="s">
        <v>299</v>
      </c>
      <c r="N1287">
        <v>0</v>
      </c>
      <c r="O1287" t="str">
        <f>IF(Transactions_RAW_cleaned[[#This Row],[Status]]="Completed", IFERROR(_xlfn.XLOOKUP(Transactions_RAW_cleaned[[#This Row],[CustomerID]], Customers_cleaned[CustomerID], Customers_cleaned[Segment]), "Customer Not Found"), "N/A")</f>
        <v>Startup</v>
      </c>
      <c r="P1287" s="5" t="str">
        <f>IF(Transactions_RAW_cleaned[[#This Row],[Status]]="Refunded", "Refund",
  IF(Transactions_RAW_cleaned[[#This Row],[Category]]="Payments", IF(Transactions_RAW_cleaned[[#This Row],[Amount]]&gt;500,"High Value","Standard"),
    IF(Transactions_RAW_cleaned[[#This Row],[Amount]]&gt;250,"High Value","Standard")))</f>
        <v>High Value</v>
      </c>
      <c r="Q1287" s="5" t="str">
        <f>IF(Transactions_RAW_cleaned[[#This Row],[Amount]] &gt; (_xlfn.XLOOKUP(Transactions_RAW_cleaned[[#This Row],[ServiceID]],Services_cleaned[ServiceID],Services_cleaned[TransactionFeePct]) * 10000), "Yes", "No")</f>
        <v>Yes</v>
      </c>
      <c r="R1287" s="5" t="str">
        <f>IF(COUNTIFS($C$2:Transactions_RAW_cleaned[[#This Row],[CustomerID]],Transactions_RAW_cleaned[[#This Row],[CustomerID]],$D$2:Transactions_RAW_cleaned[[#This Row],[ServiceID]],Transactions_RAW_cleaned[[#This Row],[ServiceID]])=1,"Yes","No")</f>
        <v>No</v>
      </c>
      <c r="S128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87" t="str">
        <f>"Q"&amp;ROUNDUP(MONTH(Transactions_RAW_cleaned[[#This Row],[TransactionDate]])/3,0)</f>
        <v>Q4</v>
      </c>
      <c r="U1287" t="str">
        <f>Transactions_RAW_cleaned[[#This Row],[Region ]]&amp;Transactions_RAW_cleaned[[#This Row],[Quarter ]]</f>
        <v>APACQ4</v>
      </c>
      <c r="V1287" s="5">
        <f>_xlfn.XLOOKUP(Transactions_RAW_cleaned[[#This Row],[RegionQuarterKey]], Quarterly_Targets_cleaned[RegionQuarterKey], Quarterly_Targets_cleaned[TargetRevenue])</f>
        <v>126500</v>
      </c>
    </row>
    <row r="1288" spans="1:22" x14ac:dyDescent="0.25">
      <c r="A1288" t="s">
        <v>1619</v>
      </c>
      <c r="B1288" s="1">
        <v>45613</v>
      </c>
      <c r="C1288" t="s">
        <v>62</v>
      </c>
      <c r="D1288" t="s">
        <v>294</v>
      </c>
      <c r="E1288">
        <v>315.06</v>
      </c>
      <c r="F1288" t="s">
        <v>324</v>
      </c>
      <c r="G1288" t="s">
        <v>325</v>
      </c>
      <c r="I1288" t="s">
        <v>8</v>
      </c>
      <c r="J1288" t="s">
        <v>46</v>
      </c>
      <c r="K1288" t="s">
        <v>18</v>
      </c>
      <c r="L1288" t="s">
        <v>295</v>
      </c>
      <c r="M1288" t="s">
        <v>296</v>
      </c>
      <c r="N1288">
        <v>2.9000000000000001E-2</v>
      </c>
      <c r="O1288" t="str">
        <f>IF(Transactions_RAW_cleaned[[#This Row],[Status]]="Completed", IFERROR(_xlfn.XLOOKUP(Transactions_RAW_cleaned[[#This Row],[CustomerID]], Customers_cleaned[CustomerID], Customers_cleaned[Segment]), "Customer Not Found"), "N/A")</f>
        <v>SMB</v>
      </c>
      <c r="P1288" s="5" t="str">
        <f>IF(Transactions_RAW_cleaned[[#This Row],[Status]]="Refunded", "Refund",
  IF(Transactions_RAW_cleaned[[#This Row],[Category]]="Payments", IF(Transactions_RAW_cleaned[[#This Row],[Amount]]&gt;500,"High Value","Standard"),
    IF(Transactions_RAW_cleaned[[#This Row],[Amount]]&gt;250,"High Value","Standard")))</f>
        <v>Standard</v>
      </c>
      <c r="Q1288" s="5" t="str">
        <f>IF(Transactions_RAW_cleaned[[#This Row],[Amount]] &gt; (_xlfn.XLOOKUP(Transactions_RAW_cleaned[[#This Row],[ServiceID]],Services_cleaned[ServiceID],Services_cleaned[TransactionFeePct]) * 10000), "Yes", "No")</f>
        <v>Yes</v>
      </c>
      <c r="R1288" s="5" t="str">
        <f>IF(COUNTIFS($C$2:Transactions_RAW_cleaned[[#This Row],[CustomerID]],Transactions_RAW_cleaned[[#This Row],[CustomerID]],$D$2:Transactions_RAW_cleaned[[#This Row],[ServiceID]],Transactions_RAW_cleaned[[#This Row],[ServiceID]])=1,"Yes","No")</f>
        <v>No</v>
      </c>
      <c r="S128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88" t="str">
        <f>"Q"&amp;ROUNDUP(MONTH(Transactions_RAW_cleaned[[#This Row],[TransactionDate]])/3,0)</f>
        <v>Q4</v>
      </c>
      <c r="U1288" t="str">
        <f>Transactions_RAW_cleaned[[#This Row],[Region ]]&amp;Transactions_RAW_cleaned[[#This Row],[Quarter ]]</f>
        <v>APACQ4</v>
      </c>
      <c r="V1288" s="5">
        <f>_xlfn.XLOOKUP(Transactions_RAW_cleaned[[#This Row],[RegionQuarterKey]], Quarterly_Targets_cleaned[RegionQuarterKey], Quarterly_Targets_cleaned[TargetRevenue])</f>
        <v>126500</v>
      </c>
    </row>
    <row r="1289" spans="1:22" x14ac:dyDescent="0.25">
      <c r="A1289" t="s">
        <v>1620</v>
      </c>
      <c r="B1289" s="1">
        <v>45529</v>
      </c>
      <c r="C1289" t="s">
        <v>239</v>
      </c>
      <c r="D1289" t="s">
        <v>294</v>
      </c>
      <c r="E1289">
        <v>280.13</v>
      </c>
      <c r="F1289" t="s">
        <v>324</v>
      </c>
      <c r="G1289" t="s">
        <v>327</v>
      </c>
      <c r="I1289" t="s">
        <v>57</v>
      </c>
      <c r="J1289" t="s">
        <v>102</v>
      </c>
      <c r="K1289" t="s">
        <v>10</v>
      </c>
      <c r="L1289" t="s">
        <v>295</v>
      </c>
      <c r="M1289" t="s">
        <v>296</v>
      </c>
      <c r="N1289">
        <v>2.9000000000000001E-2</v>
      </c>
      <c r="O1289" t="str">
        <f>IF(Transactions_RAW_cleaned[[#This Row],[Status]]="Completed", IFERROR(_xlfn.XLOOKUP(Transactions_RAW_cleaned[[#This Row],[CustomerID]], Customers_cleaned[CustomerID], Customers_cleaned[Segment]), "Customer Not Found"), "N/A")</f>
        <v>Startup</v>
      </c>
      <c r="P1289" s="5" t="str">
        <f>IF(Transactions_RAW_cleaned[[#This Row],[Status]]="Refunded", "Refund",
  IF(Transactions_RAW_cleaned[[#This Row],[Category]]="Payments", IF(Transactions_RAW_cleaned[[#This Row],[Amount]]&gt;500,"High Value","Standard"),
    IF(Transactions_RAW_cleaned[[#This Row],[Amount]]&gt;250,"High Value","Standard")))</f>
        <v>Standard</v>
      </c>
      <c r="Q1289" s="5" t="str">
        <f>IF(Transactions_RAW_cleaned[[#This Row],[Amount]] &gt; (_xlfn.XLOOKUP(Transactions_RAW_cleaned[[#This Row],[ServiceID]],Services_cleaned[ServiceID],Services_cleaned[TransactionFeePct]) * 10000), "Yes", "No")</f>
        <v>No</v>
      </c>
      <c r="R1289" s="5" t="str">
        <f>IF(COUNTIFS($C$2:Transactions_RAW_cleaned[[#This Row],[CustomerID]],Transactions_RAW_cleaned[[#This Row],[CustomerID]],$D$2:Transactions_RAW_cleaned[[#This Row],[ServiceID]],Transactions_RAW_cleaned[[#This Row],[ServiceID]])=1,"Yes","No")</f>
        <v>No</v>
      </c>
      <c r="S128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89" t="str">
        <f>"Q"&amp;ROUNDUP(MONTH(Transactions_RAW_cleaned[[#This Row],[TransactionDate]])/3,0)</f>
        <v>Q3</v>
      </c>
      <c r="U1289" t="str">
        <f>Transactions_RAW_cleaned[[#This Row],[Region ]]&amp;Transactions_RAW_cleaned[[#This Row],[Quarter ]]</f>
        <v>NAQ3</v>
      </c>
      <c r="V1289" s="5">
        <f>_xlfn.XLOOKUP(Transactions_RAW_cleaned[[#This Row],[RegionQuarterKey]], Quarterly_Targets_cleaned[RegionQuarterKey], Quarterly_Targets_cleaned[TargetRevenue])</f>
        <v>273000</v>
      </c>
    </row>
    <row r="1290" spans="1:22" x14ac:dyDescent="0.25">
      <c r="A1290" t="s">
        <v>1621</v>
      </c>
      <c r="B1290" s="1">
        <v>45495</v>
      </c>
      <c r="C1290" t="s">
        <v>223</v>
      </c>
      <c r="D1290" t="s">
        <v>312</v>
      </c>
      <c r="E1290">
        <v>957.88</v>
      </c>
      <c r="F1290" t="s">
        <v>324</v>
      </c>
      <c r="G1290" t="s">
        <v>329</v>
      </c>
      <c r="I1290" t="s">
        <v>8</v>
      </c>
      <c r="J1290" t="s">
        <v>102</v>
      </c>
      <c r="K1290" t="s">
        <v>28</v>
      </c>
      <c r="L1290" t="s">
        <v>313</v>
      </c>
      <c r="M1290" t="s">
        <v>314</v>
      </c>
      <c r="N1290">
        <v>0</v>
      </c>
      <c r="O1290" t="str">
        <f>IF(Transactions_RAW_cleaned[[#This Row],[Status]]="Completed", IFERROR(_xlfn.XLOOKUP(Transactions_RAW_cleaned[[#This Row],[CustomerID]], Customers_cleaned[CustomerID], Customers_cleaned[Segment]), "Customer Not Found"), "N/A")</f>
        <v>SMB</v>
      </c>
      <c r="P1290" s="5" t="str">
        <f>IF(Transactions_RAW_cleaned[[#This Row],[Status]]="Refunded", "Refund",
  IF(Transactions_RAW_cleaned[[#This Row],[Category]]="Payments", IF(Transactions_RAW_cleaned[[#This Row],[Amount]]&gt;500,"High Value","Standard"),
    IF(Transactions_RAW_cleaned[[#This Row],[Amount]]&gt;250,"High Value","Standard")))</f>
        <v>High Value</v>
      </c>
      <c r="Q1290" s="5" t="str">
        <f>IF(Transactions_RAW_cleaned[[#This Row],[Amount]] &gt; (_xlfn.XLOOKUP(Transactions_RAW_cleaned[[#This Row],[ServiceID]],Services_cleaned[ServiceID],Services_cleaned[TransactionFeePct]) * 10000), "Yes", "No")</f>
        <v>Yes</v>
      </c>
      <c r="R1290" s="5" t="str">
        <f>IF(COUNTIFS($C$2:Transactions_RAW_cleaned[[#This Row],[CustomerID]],Transactions_RAW_cleaned[[#This Row],[CustomerID]],$D$2:Transactions_RAW_cleaned[[#This Row],[ServiceID]],Transactions_RAW_cleaned[[#This Row],[ServiceID]])=1,"Yes","No")</f>
        <v>No</v>
      </c>
      <c r="S129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90" t="str">
        <f>"Q"&amp;ROUNDUP(MONTH(Transactions_RAW_cleaned[[#This Row],[TransactionDate]])/3,0)</f>
        <v>Q3</v>
      </c>
      <c r="U1290" t="str">
        <f>Transactions_RAW_cleaned[[#This Row],[Region ]]&amp;Transactions_RAW_cleaned[[#This Row],[Quarter ]]</f>
        <v>NAQ3</v>
      </c>
      <c r="V1290" s="5">
        <f>_xlfn.XLOOKUP(Transactions_RAW_cleaned[[#This Row],[RegionQuarterKey]], Quarterly_Targets_cleaned[RegionQuarterKey], Quarterly_Targets_cleaned[TargetRevenue])</f>
        <v>273000</v>
      </c>
    </row>
    <row r="1291" spans="1:22" x14ac:dyDescent="0.25">
      <c r="A1291" t="s">
        <v>1622</v>
      </c>
      <c r="B1291" s="1">
        <v>45597</v>
      </c>
      <c r="C1291" t="s">
        <v>147</v>
      </c>
      <c r="D1291" t="s">
        <v>306</v>
      </c>
      <c r="E1291">
        <v>430.57</v>
      </c>
      <c r="F1291" t="s">
        <v>324</v>
      </c>
      <c r="G1291" t="s">
        <v>327</v>
      </c>
      <c r="I1291" t="s">
        <v>17</v>
      </c>
      <c r="J1291" t="s">
        <v>25</v>
      </c>
      <c r="K1291" t="s">
        <v>32</v>
      </c>
      <c r="L1291" t="s">
        <v>307</v>
      </c>
      <c r="M1291" t="s">
        <v>308</v>
      </c>
      <c r="N1291">
        <v>0</v>
      </c>
      <c r="O1291" t="str">
        <f>IF(Transactions_RAW_cleaned[[#This Row],[Status]]="Completed", IFERROR(_xlfn.XLOOKUP(Transactions_RAW_cleaned[[#This Row],[CustomerID]], Customers_cleaned[CustomerID], Customers_cleaned[Segment]), "Customer Not Found"), "N/A")</f>
        <v>Enterprise</v>
      </c>
      <c r="P1291" s="5" t="str">
        <f>IF(Transactions_RAW_cleaned[[#This Row],[Status]]="Refunded", "Refund",
  IF(Transactions_RAW_cleaned[[#This Row],[Category]]="Payments", IF(Transactions_RAW_cleaned[[#This Row],[Amount]]&gt;500,"High Value","Standard"),
    IF(Transactions_RAW_cleaned[[#This Row],[Amount]]&gt;250,"High Value","Standard")))</f>
        <v>High Value</v>
      </c>
      <c r="Q1291" s="5" t="str">
        <f>IF(Transactions_RAW_cleaned[[#This Row],[Amount]] &gt; (_xlfn.XLOOKUP(Transactions_RAW_cleaned[[#This Row],[ServiceID]],Services_cleaned[ServiceID],Services_cleaned[TransactionFeePct]) * 10000), "Yes", "No")</f>
        <v>Yes</v>
      </c>
      <c r="R1291" s="5" t="str">
        <f>IF(COUNTIFS($C$2:Transactions_RAW_cleaned[[#This Row],[CustomerID]],Transactions_RAW_cleaned[[#This Row],[CustomerID]],$D$2:Transactions_RAW_cleaned[[#This Row],[ServiceID]],Transactions_RAW_cleaned[[#This Row],[ServiceID]])=1,"Yes","No")</f>
        <v>No</v>
      </c>
      <c r="S129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91" t="str">
        <f>"Q"&amp;ROUNDUP(MONTH(Transactions_RAW_cleaned[[#This Row],[TransactionDate]])/3,0)</f>
        <v>Q4</v>
      </c>
      <c r="U1291" t="str">
        <f>Transactions_RAW_cleaned[[#This Row],[Region ]]&amp;Transactions_RAW_cleaned[[#This Row],[Quarter ]]</f>
        <v>APACQ4</v>
      </c>
      <c r="V1291" s="5">
        <f>_xlfn.XLOOKUP(Transactions_RAW_cleaned[[#This Row],[RegionQuarterKey]], Quarterly_Targets_cleaned[RegionQuarterKey], Quarterly_Targets_cleaned[TargetRevenue])</f>
        <v>126500</v>
      </c>
    </row>
    <row r="1292" spans="1:22" x14ac:dyDescent="0.25">
      <c r="A1292" t="s">
        <v>1623</v>
      </c>
      <c r="B1292" s="1">
        <v>45366</v>
      </c>
      <c r="C1292" t="s">
        <v>11</v>
      </c>
      <c r="D1292" t="s">
        <v>309</v>
      </c>
      <c r="E1292">
        <v>57.58</v>
      </c>
      <c r="F1292" t="s">
        <v>324</v>
      </c>
      <c r="G1292" t="s">
        <v>325</v>
      </c>
      <c r="I1292" t="s">
        <v>8</v>
      </c>
      <c r="J1292" t="s">
        <v>13</v>
      </c>
      <c r="K1292" t="s">
        <v>14</v>
      </c>
      <c r="L1292" t="s">
        <v>310</v>
      </c>
      <c r="M1292" t="s">
        <v>311</v>
      </c>
      <c r="N1292">
        <v>0</v>
      </c>
      <c r="O1292" t="str">
        <f>IF(Transactions_RAW_cleaned[[#This Row],[Status]]="Completed", IFERROR(_xlfn.XLOOKUP(Transactions_RAW_cleaned[[#This Row],[CustomerID]], Customers_cleaned[CustomerID], Customers_cleaned[Segment]), "Customer Not Found"), "N/A")</f>
        <v>SMB</v>
      </c>
      <c r="P1292" s="5" t="str">
        <f>IF(Transactions_RAW_cleaned[[#This Row],[Status]]="Refunded", "Refund",
  IF(Transactions_RAW_cleaned[[#This Row],[Category]]="Payments", IF(Transactions_RAW_cleaned[[#This Row],[Amount]]&gt;500,"High Value","Standard"),
    IF(Transactions_RAW_cleaned[[#This Row],[Amount]]&gt;250,"High Value","Standard")))</f>
        <v>Standard</v>
      </c>
      <c r="Q1292" s="5" t="str">
        <f>IF(Transactions_RAW_cleaned[[#This Row],[Amount]] &gt; (_xlfn.XLOOKUP(Transactions_RAW_cleaned[[#This Row],[ServiceID]],Services_cleaned[ServiceID],Services_cleaned[TransactionFeePct]) * 10000), "Yes", "No")</f>
        <v>Yes</v>
      </c>
      <c r="R1292" s="5" t="str">
        <f>IF(COUNTIFS($C$2:Transactions_RAW_cleaned[[#This Row],[CustomerID]],Transactions_RAW_cleaned[[#This Row],[CustomerID]],$D$2:Transactions_RAW_cleaned[[#This Row],[ServiceID]],Transactions_RAW_cleaned[[#This Row],[ServiceID]])=1,"Yes","No")</f>
        <v>No</v>
      </c>
      <c r="S129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92" t="str">
        <f>"Q"&amp;ROUNDUP(MONTH(Transactions_RAW_cleaned[[#This Row],[TransactionDate]])/3,0)</f>
        <v>Q1</v>
      </c>
      <c r="U1292" t="str">
        <f>Transactions_RAW_cleaned[[#This Row],[Region ]]&amp;Transactions_RAW_cleaned[[#This Row],[Quarter ]]</f>
        <v>NAQ1</v>
      </c>
      <c r="V1292" s="5">
        <f>_xlfn.XLOOKUP(Transactions_RAW_cleaned[[#This Row],[RegionQuarterKey]], Quarterly_Targets_cleaned[RegionQuarterKey], Quarterly_Targets_cleaned[TargetRevenue])</f>
        <v>247000</v>
      </c>
    </row>
    <row r="1293" spans="1:22" x14ac:dyDescent="0.25">
      <c r="A1293" t="s">
        <v>1624</v>
      </c>
      <c r="B1293" s="1">
        <v>45594</v>
      </c>
      <c r="C1293" t="s">
        <v>86</v>
      </c>
      <c r="D1293" t="s">
        <v>309</v>
      </c>
      <c r="E1293">
        <v>244.29</v>
      </c>
      <c r="F1293" t="s">
        <v>324</v>
      </c>
      <c r="G1293" t="s">
        <v>325</v>
      </c>
      <c r="I1293" t="s">
        <v>8</v>
      </c>
      <c r="J1293" t="s">
        <v>102</v>
      </c>
      <c r="K1293" t="s">
        <v>18</v>
      </c>
      <c r="L1293" t="s">
        <v>310</v>
      </c>
      <c r="M1293" t="s">
        <v>311</v>
      </c>
      <c r="N1293">
        <v>0</v>
      </c>
      <c r="O1293" t="str">
        <f>IF(Transactions_RAW_cleaned[[#This Row],[Status]]="Completed", IFERROR(_xlfn.XLOOKUP(Transactions_RAW_cleaned[[#This Row],[CustomerID]], Customers_cleaned[CustomerID], Customers_cleaned[Segment]), "Customer Not Found"), "N/A")</f>
        <v>SMB</v>
      </c>
      <c r="P1293" s="5" t="str">
        <f>IF(Transactions_RAW_cleaned[[#This Row],[Status]]="Refunded", "Refund",
  IF(Transactions_RAW_cleaned[[#This Row],[Category]]="Payments", IF(Transactions_RAW_cleaned[[#This Row],[Amount]]&gt;500,"High Value","Standard"),
    IF(Transactions_RAW_cleaned[[#This Row],[Amount]]&gt;250,"High Value","Standard")))</f>
        <v>Standard</v>
      </c>
      <c r="Q1293" s="5" t="str">
        <f>IF(Transactions_RAW_cleaned[[#This Row],[Amount]] &gt; (_xlfn.XLOOKUP(Transactions_RAW_cleaned[[#This Row],[ServiceID]],Services_cleaned[ServiceID],Services_cleaned[TransactionFeePct]) * 10000), "Yes", "No")</f>
        <v>Yes</v>
      </c>
      <c r="R1293" s="5" t="str">
        <f>IF(COUNTIFS($C$2:Transactions_RAW_cleaned[[#This Row],[CustomerID]],Transactions_RAW_cleaned[[#This Row],[CustomerID]],$D$2:Transactions_RAW_cleaned[[#This Row],[ServiceID]],Transactions_RAW_cleaned[[#This Row],[ServiceID]])=1,"Yes","No")</f>
        <v>No</v>
      </c>
      <c r="S129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93" t="str">
        <f>"Q"&amp;ROUNDUP(MONTH(Transactions_RAW_cleaned[[#This Row],[TransactionDate]])/3,0)</f>
        <v>Q4</v>
      </c>
      <c r="U1293" t="str">
        <f>Transactions_RAW_cleaned[[#This Row],[Region ]]&amp;Transactions_RAW_cleaned[[#This Row],[Quarter ]]</f>
        <v>NAQ4</v>
      </c>
      <c r="V1293" s="5">
        <f>_xlfn.XLOOKUP(Transactions_RAW_cleaned[[#This Row],[RegionQuarterKey]], Quarterly_Targets_cleaned[RegionQuarterKey], Quarterly_Targets_cleaned[TargetRevenue])</f>
        <v>299000</v>
      </c>
    </row>
    <row r="1294" spans="1:22" x14ac:dyDescent="0.25">
      <c r="A1294" t="s">
        <v>1625</v>
      </c>
      <c r="B1294" s="1">
        <v>45555</v>
      </c>
      <c r="C1294" t="s">
        <v>237</v>
      </c>
      <c r="D1294" t="s">
        <v>309</v>
      </c>
      <c r="E1294">
        <v>630.15</v>
      </c>
      <c r="F1294" t="s">
        <v>324</v>
      </c>
      <c r="G1294" t="s">
        <v>327</v>
      </c>
      <c r="I1294" t="s">
        <v>8</v>
      </c>
      <c r="J1294" t="s">
        <v>46</v>
      </c>
      <c r="K1294" t="s">
        <v>10</v>
      </c>
      <c r="L1294" t="s">
        <v>310</v>
      </c>
      <c r="M1294" t="s">
        <v>311</v>
      </c>
      <c r="N1294">
        <v>0</v>
      </c>
      <c r="O1294" t="str">
        <f>IF(Transactions_RAW_cleaned[[#This Row],[Status]]="Completed", IFERROR(_xlfn.XLOOKUP(Transactions_RAW_cleaned[[#This Row],[CustomerID]], Customers_cleaned[CustomerID], Customers_cleaned[Segment]), "Customer Not Found"), "N/A")</f>
        <v>SMB</v>
      </c>
      <c r="P1294" s="5" t="str">
        <f>IF(Transactions_RAW_cleaned[[#This Row],[Status]]="Refunded", "Refund",
  IF(Transactions_RAW_cleaned[[#This Row],[Category]]="Payments", IF(Transactions_RAW_cleaned[[#This Row],[Amount]]&gt;500,"High Value","Standard"),
    IF(Transactions_RAW_cleaned[[#This Row],[Amount]]&gt;250,"High Value","Standard")))</f>
        <v>High Value</v>
      </c>
      <c r="Q1294" s="5" t="str">
        <f>IF(Transactions_RAW_cleaned[[#This Row],[Amount]] &gt; (_xlfn.XLOOKUP(Transactions_RAW_cleaned[[#This Row],[ServiceID]],Services_cleaned[ServiceID],Services_cleaned[TransactionFeePct]) * 10000), "Yes", "No")</f>
        <v>Yes</v>
      </c>
      <c r="R1294" s="5" t="str">
        <f>IF(COUNTIFS($C$2:Transactions_RAW_cleaned[[#This Row],[CustomerID]],Transactions_RAW_cleaned[[#This Row],[CustomerID]],$D$2:Transactions_RAW_cleaned[[#This Row],[ServiceID]],Transactions_RAW_cleaned[[#This Row],[ServiceID]])=1,"Yes","No")</f>
        <v>Yes</v>
      </c>
      <c r="S129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94" t="str">
        <f>"Q"&amp;ROUNDUP(MONTH(Transactions_RAW_cleaned[[#This Row],[TransactionDate]])/3,0)</f>
        <v>Q3</v>
      </c>
      <c r="U1294" t="str">
        <f>Transactions_RAW_cleaned[[#This Row],[Region ]]&amp;Transactions_RAW_cleaned[[#This Row],[Quarter ]]</f>
        <v>APACQ3</v>
      </c>
      <c r="V1294" s="5">
        <f>_xlfn.XLOOKUP(Transactions_RAW_cleaned[[#This Row],[RegionQuarterKey]], Quarterly_Targets_cleaned[RegionQuarterKey], Quarterly_Targets_cleaned[TargetRevenue])</f>
        <v>115500</v>
      </c>
    </row>
    <row r="1295" spans="1:22" x14ac:dyDescent="0.25">
      <c r="A1295" t="s">
        <v>1626</v>
      </c>
      <c r="B1295" s="1">
        <v>45311</v>
      </c>
      <c r="C1295" t="s">
        <v>82</v>
      </c>
      <c r="D1295" t="s">
        <v>312</v>
      </c>
      <c r="E1295">
        <v>761.68</v>
      </c>
      <c r="F1295" t="s">
        <v>324</v>
      </c>
      <c r="G1295" t="s">
        <v>327</v>
      </c>
      <c r="H1295" t="s">
        <v>332</v>
      </c>
      <c r="I1295" t="s">
        <v>57</v>
      </c>
      <c r="J1295" t="s">
        <v>46</v>
      </c>
      <c r="K1295" t="s">
        <v>10</v>
      </c>
      <c r="L1295" t="s">
        <v>313</v>
      </c>
      <c r="M1295" t="s">
        <v>314</v>
      </c>
      <c r="N1295">
        <v>0</v>
      </c>
      <c r="O1295" t="str">
        <f>IF(Transactions_RAW_cleaned[[#This Row],[Status]]="Completed", IFERROR(_xlfn.XLOOKUP(Transactions_RAW_cleaned[[#This Row],[CustomerID]], Customers_cleaned[CustomerID], Customers_cleaned[Segment]), "Customer Not Found"), "N/A")</f>
        <v>Startup</v>
      </c>
      <c r="P1295" s="5" t="str">
        <f>IF(Transactions_RAW_cleaned[[#This Row],[Status]]="Refunded", "Refund",
  IF(Transactions_RAW_cleaned[[#This Row],[Category]]="Payments", IF(Transactions_RAW_cleaned[[#This Row],[Amount]]&gt;500,"High Value","Standard"),
    IF(Transactions_RAW_cleaned[[#This Row],[Amount]]&gt;250,"High Value","Standard")))</f>
        <v>High Value</v>
      </c>
      <c r="Q1295" s="5" t="str">
        <f>IF(Transactions_RAW_cleaned[[#This Row],[Amount]] &gt; (_xlfn.XLOOKUP(Transactions_RAW_cleaned[[#This Row],[ServiceID]],Services_cleaned[ServiceID],Services_cleaned[TransactionFeePct]) * 10000), "Yes", "No")</f>
        <v>Yes</v>
      </c>
      <c r="R1295" s="5" t="str">
        <f>IF(COUNTIFS($C$2:Transactions_RAW_cleaned[[#This Row],[CustomerID]],Transactions_RAW_cleaned[[#This Row],[CustomerID]],$D$2:Transactions_RAW_cleaned[[#This Row],[ServiceID]],Transactions_RAW_cleaned[[#This Row],[ServiceID]])=1,"Yes","No")</f>
        <v>Yes</v>
      </c>
      <c r="S129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95" t="str">
        <f>"Q"&amp;ROUNDUP(MONTH(Transactions_RAW_cleaned[[#This Row],[TransactionDate]])/3,0)</f>
        <v>Q1</v>
      </c>
      <c r="U1295" t="str">
        <f>Transactions_RAW_cleaned[[#This Row],[Region ]]&amp;Transactions_RAW_cleaned[[#This Row],[Quarter ]]</f>
        <v>APACQ1</v>
      </c>
      <c r="V1295" s="5">
        <f>_xlfn.XLOOKUP(Transactions_RAW_cleaned[[#This Row],[RegionQuarterKey]], Quarterly_Targets_cleaned[RegionQuarterKey], Quarterly_Targets_cleaned[TargetRevenue])</f>
        <v>104500</v>
      </c>
    </row>
    <row r="1296" spans="1:22" x14ac:dyDescent="0.25">
      <c r="A1296" t="s">
        <v>1627</v>
      </c>
      <c r="B1296" s="1">
        <v>45346</v>
      </c>
      <c r="C1296" t="s">
        <v>153</v>
      </c>
      <c r="D1296" t="s">
        <v>312</v>
      </c>
      <c r="E1296">
        <v>77.75</v>
      </c>
      <c r="F1296" t="s">
        <v>324</v>
      </c>
      <c r="G1296" t="s">
        <v>327</v>
      </c>
      <c r="I1296" t="s">
        <v>8</v>
      </c>
      <c r="J1296" t="s">
        <v>37</v>
      </c>
      <c r="K1296" t="s">
        <v>32</v>
      </c>
      <c r="L1296" t="s">
        <v>313</v>
      </c>
      <c r="M1296" t="s">
        <v>314</v>
      </c>
      <c r="N1296">
        <v>0</v>
      </c>
      <c r="O1296" t="str">
        <f>IF(Transactions_RAW_cleaned[[#This Row],[Status]]="Completed", IFERROR(_xlfn.XLOOKUP(Transactions_RAW_cleaned[[#This Row],[CustomerID]], Customers_cleaned[CustomerID], Customers_cleaned[Segment]), "Customer Not Found"), "N/A")</f>
        <v>SMB</v>
      </c>
      <c r="P1296" s="5" t="str">
        <f>IF(Transactions_RAW_cleaned[[#This Row],[Status]]="Refunded", "Refund",
  IF(Transactions_RAW_cleaned[[#This Row],[Category]]="Payments", IF(Transactions_RAW_cleaned[[#This Row],[Amount]]&gt;500,"High Value","Standard"),
    IF(Transactions_RAW_cleaned[[#This Row],[Amount]]&gt;250,"High Value","Standard")))</f>
        <v>Standard</v>
      </c>
      <c r="Q1296" s="5" t="str">
        <f>IF(Transactions_RAW_cleaned[[#This Row],[Amount]] &gt; (_xlfn.XLOOKUP(Transactions_RAW_cleaned[[#This Row],[ServiceID]],Services_cleaned[ServiceID],Services_cleaned[TransactionFeePct]) * 10000), "Yes", "No")</f>
        <v>Yes</v>
      </c>
      <c r="R1296" s="5" t="str">
        <f>IF(COUNTIFS($C$2:Transactions_RAW_cleaned[[#This Row],[CustomerID]],Transactions_RAW_cleaned[[#This Row],[CustomerID]],$D$2:Transactions_RAW_cleaned[[#This Row],[ServiceID]],Transactions_RAW_cleaned[[#This Row],[ServiceID]])=1,"Yes","No")</f>
        <v>No</v>
      </c>
      <c r="S129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296" t="str">
        <f>"Q"&amp;ROUNDUP(MONTH(Transactions_RAW_cleaned[[#This Row],[TransactionDate]])/3,0)</f>
        <v>Q1</v>
      </c>
      <c r="U1296" t="str">
        <f>Transactions_RAW_cleaned[[#This Row],[Region ]]&amp;Transactions_RAW_cleaned[[#This Row],[Quarter ]]</f>
        <v>EMEAQ1</v>
      </c>
      <c r="V1296" s="5">
        <f>_xlfn.XLOOKUP(Transactions_RAW_cleaned[[#This Row],[RegionQuarterKey]], Quarterly_Targets_cleaned[RegionQuarterKey], Quarterly_Targets_cleaned[TargetRevenue])</f>
        <v>133000</v>
      </c>
    </row>
    <row r="1297" spans="1:22" x14ac:dyDescent="0.25">
      <c r="A1297" t="s">
        <v>1628</v>
      </c>
      <c r="B1297" s="1">
        <v>45440</v>
      </c>
      <c r="C1297" t="s">
        <v>135</v>
      </c>
      <c r="D1297" t="s">
        <v>294</v>
      </c>
      <c r="E1297">
        <v>169.32</v>
      </c>
      <c r="F1297" t="s">
        <v>324</v>
      </c>
      <c r="G1297" t="s">
        <v>329</v>
      </c>
      <c r="I1297" t="s">
        <v>8</v>
      </c>
      <c r="J1297" t="s">
        <v>46</v>
      </c>
      <c r="K1297" t="s">
        <v>10</v>
      </c>
      <c r="L1297" t="s">
        <v>295</v>
      </c>
      <c r="M1297" t="s">
        <v>296</v>
      </c>
      <c r="N1297">
        <v>2.9000000000000001E-2</v>
      </c>
      <c r="O1297" t="str">
        <f>IF(Transactions_RAW_cleaned[[#This Row],[Status]]="Completed", IFERROR(_xlfn.XLOOKUP(Transactions_RAW_cleaned[[#This Row],[CustomerID]], Customers_cleaned[CustomerID], Customers_cleaned[Segment]), "Customer Not Found"), "N/A")</f>
        <v>SMB</v>
      </c>
      <c r="P1297" s="5" t="str">
        <f>IF(Transactions_RAW_cleaned[[#This Row],[Status]]="Refunded", "Refund",
  IF(Transactions_RAW_cleaned[[#This Row],[Category]]="Payments", IF(Transactions_RAW_cleaned[[#This Row],[Amount]]&gt;500,"High Value","Standard"),
    IF(Transactions_RAW_cleaned[[#This Row],[Amount]]&gt;250,"High Value","Standard")))</f>
        <v>Standard</v>
      </c>
      <c r="Q1297" s="5" t="str">
        <f>IF(Transactions_RAW_cleaned[[#This Row],[Amount]] &gt; (_xlfn.XLOOKUP(Transactions_RAW_cleaned[[#This Row],[ServiceID]],Services_cleaned[ServiceID],Services_cleaned[TransactionFeePct]) * 10000), "Yes", "No")</f>
        <v>No</v>
      </c>
      <c r="R1297" s="5" t="str">
        <f>IF(COUNTIFS($C$2:Transactions_RAW_cleaned[[#This Row],[CustomerID]],Transactions_RAW_cleaned[[#This Row],[CustomerID]],$D$2:Transactions_RAW_cleaned[[#This Row],[ServiceID]],Transactions_RAW_cleaned[[#This Row],[ServiceID]])=1,"Yes","No")</f>
        <v>No</v>
      </c>
      <c r="S129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297" t="str">
        <f>"Q"&amp;ROUNDUP(MONTH(Transactions_RAW_cleaned[[#This Row],[TransactionDate]])/3,0)</f>
        <v>Q2</v>
      </c>
      <c r="U1297" t="str">
        <f>Transactions_RAW_cleaned[[#This Row],[Region ]]&amp;Transactions_RAW_cleaned[[#This Row],[Quarter ]]</f>
        <v>APACQ2</v>
      </c>
      <c r="V1297" s="5">
        <f>_xlfn.XLOOKUP(Transactions_RAW_cleaned[[#This Row],[RegionQuarterKey]], Quarterly_Targets_cleaned[RegionQuarterKey], Quarterly_Targets_cleaned[TargetRevenue])</f>
        <v>110000</v>
      </c>
    </row>
    <row r="1298" spans="1:22" x14ac:dyDescent="0.25">
      <c r="A1298" t="s">
        <v>1629</v>
      </c>
      <c r="B1298" s="1">
        <v>45472</v>
      </c>
      <c r="C1298" t="s">
        <v>245</v>
      </c>
      <c r="D1298" t="s">
        <v>306</v>
      </c>
      <c r="E1298">
        <v>-441.01</v>
      </c>
      <c r="F1298" t="s">
        <v>349</v>
      </c>
      <c r="G1298" t="s">
        <v>327</v>
      </c>
      <c r="H1298" t="s">
        <v>346</v>
      </c>
      <c r="I1298" t="s">
        <v>8</v>
      </c>
      <c r="J1298" t="s">
        <v>31</v>
      </c>
      <c r="K1298" t="s">
        <v>14</v>
      </c>
      <c r="L1298" t="s">
        <v>307</v>
      </c>
      <c r="M1298" t="s">
        <v>308</v>
      </c>
      <c r="N1298">
        <v>0</v>
      </c>
      <c r="O1298" t="str">
        <f>IF(Transactions_RAW_cleaned[[#This Row],[Status]]="Completed", IFERROR(_xlfn.XLOOKUP(Transactions_RAW_cleaned[[#This Row],[CustomerID]], Customers_cleaned[CustomerID], Customers_cleaned[Segment]), "Customer Not Found"), "N/A")</f>
        <v>N/A</v>
      </c>
      <c r="P1298" s="5" t="str">
        <f>IF(Transactions_RAW_cleaned[[#This Row],[Status]]="Refunded", "Refund",
  IF(Transactions_RAW_cleaned[[#This Row],[Category]]="Payments", IF(Transactions_RAW_cleaned[[#This Row],[Amount]]&gt;500,"High Value","Standard"),
    IF(Transactions_RAW_cleaned[[#This Row],[Amount]]&gt;250,"High Value","Standard")))</f>
        <v>Refund</v>
      </c>
      <c r="Q1298" s="5" t="str">
        <f>IF(Transactions_RAW_cleaned[[#This Row],[Amount]] &gt; (_xlfn.XLOOKUP(Transactions_RAW_cleaned[[#This Row],[ServiceID]],Services_cleaned[ServiceID],Services_cleaned[TransactionFeePct]) * 10000), "Yes", "No")</f>
        <v>No</v>
      </c>
      <c r="R1298" s="5" t="str">
        <f>IF(COUNTIFS($C$2:Transactions_RAW_cleaned[[#This Row],[CustomerID]],Transactions_RAW_cleaned[[#This Row],[CustomerID]],$D$2:Transactions_RAW_cleaned[[#This Row],[ServiceID]],Transactions_RAW_cleaned[[#This Row],[ServiceID]])=1,"Yes","No")</f>
        <v>Yes</v>
      </c>
      <c r="S129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298" t="str">
        <f>"Q"&amp;ROUNDUP(MONTH(Transactions_RAW_cleaned[[#This Row],[TransactionDate]])/3,0)</f>
        <v>Q2</v>
      </c>
      <c r="U1298" t="str">
        <f>Transactions_RAW_cleaned[[#This Row],[Region ]]&amp;Transactions_RAW_cleaned[[#This Row],[Quarter ]]</f>
        <v>EMEAQ2</v>
      </c>
      <c r="V1298" s="5">
        <f>_xlfn.XLOOKUP(Transactions_RAW_cleaned[[#This Row],[RegionQuarterKey]], Quarterly_Targets_cleaned[RegionQuarterKey], Quarterly_Targets_cleaned[TargetRevenue])</f>
        <v>140000</v>
      </c>
    </row>
    <row r="1299" spans="1:22" x14ac:dyDescent="0.25">
      <c r="A1299" t="s">
        <v>1630</v>
      </c>
      <c r="B1299" s="1">
        <v>45564</v>
      </c>
      <c r="C1299" t="s">
        <v>221</v>
      </c>
      <c r="D1299" t="s">
        <v>300</v>
      </c>
      <c r="E1299">
        <v>763.01</v>
      </c>
      <c r="F1299" t="s">
        <v>331</v>
      </c>
      <c r="G1299" t="s">
        <v>325</v>
      </c>
      <c r="H1299" t="s">
        <v>332</v>
      </c>
      <c r="I1299" t="s">
        <v>8</v>
      </c>
      <c r="J1299" t="s">
        <v>102</v>
      </c>
      <c r="K1299" t="s">
        <v>14</v>
      </c>
      <c r="L1299" t="s">
        <v>301</v>
      </c>
      <c r="M1299" t="s">
        <v>302</v>
      </c>
      <c r="N1299">
        <v>5.0000000000000001E-3</v>
      </c>
      <c r="O1299" t="str">
        <f>IF(Transactions_RAW_cleaned[[#This Row],[Status]]="Completed", IFERROR(_xlfn.XLOOKUP(Transactions_RAW_cleaned[[#This Row],[CustomerID]], Customers_cleaned[CustomerID], Customers_cleaned[Segment]), "Customer Not Found"), "N/A")</f>
        <v>N/A</v>
      </c>
      <c r="P1299" s="5" t="str">
        <f>IF(Transactions_RAW_cleaned[[#This Row],[Status]]="Refunded", "Refund",
  IF(Transactions_RAW_cleaned[[#This Row],[Category]]="Payments", IF(Transactions_RAW_cleaned[[#This Row],[Amount]]&gt;500,"High Value","Standard"),
    IF(Transactions_RAW_cleaned[[#This Row],[Amount]]&gt;250,"High Value","Standard")))</f>
        <v>High Value</v>
      </c>
      <c r="Q1299" s="5" t="str">
        <f>IF(Transactions_RAW_cleaned[[#This Row],[Amount]] &gt; (_xlfn.XLOOKUP(Transactions_RAW_cleaned[[#This Row],[ServiceID]],Services_cleaned[ServiceID],Services_cleaned[TransactionFeePct]) * 10000), "Yes", "No")</f>
        <v>Yes</v>
      </c>
      <c r="R1299" s="5" t="str">
        <f>IF(COUNTIFS($C$2:Transactions_RAW_cleaned[[#This Row],[CustomerID]],Transactions_RAW_cleaned[[#This Row],[CustomerID]],$D$2:Transactions_RAW_cleaned[[#This Row],[ServiceID]],Transactions_RAW_cleaned[[#This Row],[ServiceID]])=1,"Yes","No")</f>
        <v>No</v>
      </c>
      <c r="S129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299" t="str">
        <f>"Q"&amp;ROUNDUP(MONTH(Transactions_RAW_cleaned[[#This Row],[TransactionDate]])/3,0)</f>
        <v>Q3</v>
      </c>
      <c r="U1299" t="str">
        <f>Transactions_RAW_cleaned[[#This Row],[Region ]]&amp;Transactions_RAW_cleaned[[#This Row],[Quarter ]]</f>
        <v>NAQ3</v>
      </c>
      <c r="V1299" s="5">
        <f>_xlfn.XLOOKUP(Transactions_RAW_cleaned[[#This Row],[RegionQuarterKey]], Quarterly_Targets_cleaned[RegionQuarterKey], Quarterly_Targets_cleaned[TargetRevenue])</f>
        <v>273000</v>
      </c>
    </row>
    <row r="1300" spans="1:22" x14ac:dyDescent="0.25">
      <c r="A1300" t="s">
        <v>1631</v>
      </c>
      <c r="B1300" s="1">
        <v>45417</v>
      </c>
      <c r="C1300" t="s">
        <v>249</v>
      </c>
      <c r="D1300" t="s">
        <v>294</v>
      </c>
      <c r="E1300">
        <v>662.27</v>
      </c>
      <c r="F1300" t="s">
        <v>324</v>
      </c>
      <c r="G1300" t="s">
        <v>327</v>
      </c>
      <c r="I1300" t="s">
        <v>57</v>
      </c>
      <c r="J1300" t="s">
        <v>21</v>
      </c>
      <c r="K1300" t="s">
        <v>14</v>
      </c>
      <c r="L1300" t="s">
        <v>295</v>
      </c>
      <c r="M1300" t="s">
        <v>296</v>
      </c>
      <c r="N1300">
        <v>2.9000000000000001E-2</v>
      </c>
      <c r="O1300" t="str">
        <f>IF(Transactions_RAW_cleaned[[#This Row],[Status]]="Completed", IFERROR(_xlfn.XLOOKUP(Transactions_RAW_cleaned[[#This Row],[CustomerID]], Customers_cleaned[CustomerID], Customers_cleaned[Segment]), "Customer Not Found"), "N/A")</f>
        <v>Startup</v>
      </c>
      <c r="P1300" s="5" t="str">
        <f>IF(Transactions_RAW_cleaned[[#This Row],[Status]]="Refunded", "Refund",
  IF(Transactions_RAW_cleaned[[#This Row],[Category]]="Payments", IF(Transactions_RAW_cleaned[[#This Row],[Amount]]&gt;500,"High Value","Standard"),
    IF(Transactions_RAW_cleaned[[#This Row],[Amount]]&gt;250,"High Value","Standard")))</f>
        <v>High Value</v>
      </c>
      <c r="Q1300" s="5" t="str">
        <f>IF(Transactions_RAW_cleaned[[#This Row],[Amount]] &gt; (_xlfn.XLOOKUP(Transactions_RAW_cleaned[[#This Row],[ServiceID]],Services_cleaned[ServiceID],Services_cleaned[TransactionFeePct]) * 10000), "Yes", "No")</f>
        <v>Yes</v>
      </c>
      <c r="R1300" s="5" t="str">
        <f>IF(COUNTIFS($C$2:Transactions_RAW_cleaned[[#This Row],[CustomerID]],Transactions_RAW_cleaned[[#This Row],[CustomerID]],$D$2:Transactions_RAW_cleaned[[#This Row],[ServiceID]],Transactions_RAW_cleaned[[#This Row],[ServiceID]])=1,"Yes","No")</f>
        <v>Yes</v>
      </c>
      <c r="S130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00" t="str">
        <f>"Q"&amp;ROUNDUP(MONTH(Transactions_RAW_cleaned[[#This Row],[TransactionDate]])/3,0)</f>
        <v>Q2</v>
      </c>
      <c r="U1300" t="str">
        <f>Transactions_RAW_cleaned[[#This Row],[Region ]]&amp;Transactions_RAW_cleaned[[#This Row],[Quarter ]]</f>
        <v>APACQ2</v>
      </c>
      <c r="V1300" s="5">
        <f>_xlfn.XLOOKUP(Transactions_RAW_cleaned[[#This Row],[RegionQuarterKey]], Quarterly_Targets_cleaned[RegionQuarterKey], Quarterly_Targets_cleaned[TargetRevenue])</f>
        <v>110000</v>
      </c>
    </row>
    <row r="1301" spans="1:22" x14ac:dyDescent="0.25">
      <c r="A1301" t="s">
        <v>1632</v>
      </c>
      <c r="B1301" s="1">
        <v>45544</v>
      </c>
      <c r="C1301" t="s">
        <v>68</v>
      </c>
      <c r="D1301" t="s">
        <v>294</v>
      </c>
      <c r="E1301">
        <v>147.74</v>
      </c>
      <c r="F1301" t="s">
        <v>324</v>
      </c>
      <c r="G1301" t="s">
        <v>337</v>
      </c>
      <c r="H1301" t="s">
        <v>332</v>
      </c>
      <c r="I1301" t="s">
        <v>57</v>
      </c>
      <c r="J1301" t="s">
        <v>13</v>
      </c>
      <c r="K1301" t="s">
        <v>10</v>
      </c>
      <c r="L1301" t="s">
        <v>295</v>
      </c>
      <c r="M1301" t="s">
        <v>296</v>
      </c>
      <c r="N1301">
        <v>2.9000000000000001E-2</v>
      </c>
      <c r="O1301" t="str">
        <f>IF(Transactions_RAW_cleaned[[#This Row],[Status]]="Completed", IFERROR(_xlfn.XLOOKUP(Transactions_RAW_cleaned[[#This Row],[CustomerID]], Customers_cleaned[CustomerID], Customers_cleaned[Segment]), "Customer Not Found"), "N/A")</f>
        <v>Startup</v>
      </c>
      <c r="P1301" s="5" t="str">
        <f>IF(Transactions_RAW_cleaned[[#This Row],[Status]]="Refunded", "Refund",
  IF(Transactions_RAW_cleaned[[#This Row],[Category]]="Payments", IF(Transactions_RAW_cleaned[[#This Row],[Amount]]&gt;500,"High Value","Standard"),
    IF(Transactions_RAW_cleaned[[#This Row],[Amount]]&gt;250,"High Value","Standard")))</f>
        <v>Standard</v>
      </c>
      <c r="Q1301" s="5" t="str">
        <f>IF(Transactions_RAW_cleaned[[#This Row],[Amount]] &gt; (_xlfn.XLOOKUP(Transactions_RAW_cleaned[[#This Row],[ServiceID]],Services_cleaned[ServiceID],Services_cleaned[TransactionFeePct]) * 10000), "Yes", "No")</f>
        <v>No</v>
      </c>
      <c r="R1301" s="5" t="str">
        <f>IF(COUNTIFS($C$2:Transactions_RAW_cleaned[[#This Row],[CustomerID]],Transactions_RAW_cleaned[[#This Row],[CustomerID]],$D$2:Transactions_RAW_cleaned[[#This Row],[ServiceID]],Transactions_RAW_cleaned[[#This Row],[ServiceID]])=1,"Yes","No")</f>
        <v>No</v>
      </c>
      <c r="S130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01" t="str">
        <f>"Q"&amp;ROUNDUP(MONTH(Transactions_RAW_cleaned[[#This Row],[TransactionDate]])/3,0)</f>
        <v>Q3</v>
      </c>
      <c r="U1301" t="str">
        <f>Transactions_RAW_cleaned[[#This Row],[Region ]]&amp;Transactions_RAW_cleaned[[#This Row],[Quarter ]]</f>
        <v>NAQ3</v>
      </c>
      <c r="V1301" s="5">
        <f>_xlfn.XLOOKUP(Transactions_RAW_cleaned[[#This Row],[RegionQuarterKey]], Quarterly_Targets_cleaned[RegionQuarterKey], Quarterly_Targets_cleaned[TargetRevenue])</f>
        <v>273000</v>
      </c>
    </row>
    <row r="1302" spans="1:22" x14ac:dyDescent="0.25">
      <c r="A1302" t="s">
        <v>1633</v>
      </c>
      <c r="B1302" s="1">
        <v>45614</v>
      </c>
      <c r="C1302" t="s">
        <v>229</v>
      </c>
      <c r="D1302" t="s">
        <v>294</v>
      </c>
      <c r="E1302">
        <v>661.19</v>
      </c>
      <c r="F1302" t="s">
        <v>324</v>
      </c>
      <c r="G1302" t="s">
        <v>325</v>
      </c>
      <c r="H1302" t="s">
        <v>332</v>
      </c>
      <c r="I1302" t="s">
        <v>17</v>
      </c>
      <c r="J1302" t="s">
        <v>102</v>
      </c>
      <c r="K1302" t="s">
        <v>18</v>
      </c>
      <c r="L1302" t="s">
        <v>295</v>
      </c>
      <c r="M1302" t="s">
        <v>296</v>
      </c>
      <c r="N1302">
        <v>2.9000000000000001E-2</v>
      </c>
      <c r="O1302" t="str">
        <f>IF(Transactions_RAW_cleaned[[#This Row],[Status]]="Completed", IFERROR(_xlfn.XLOOKUP(Transactions_RAW_cleaned[[#This Row],[CustomerID]], Customers_cleaned[CustomerID], Customers_cleaned[Segment]), "Customer Not Found"), "N/A")</f>
        <v>Enterprise</v>
      </c>
      <c r="P1302" s="5" t="str">
        <f>IF(Transactions_RAW_cleaned[[#This Row],[Status]]="Refunded", "Refund",
  IF(Transactions_RAW_cleaned[[#This Row],[Category]]="Payments", IF(Transactions_RAW_cleaned[[#This Row],[Amount]]&gt;500,"High Value","Standard"),
    IF(Transactions_RAW_cleaned[[#This Row],[Amount]]&gt;250,"High Value","Standard")))</f>
        <v>High Value</v>
      </c>
      <c r="Q1302" s="5" t="str">
        <f>IF(Transactions_RAW_cleaned[[#This Row],[Amount]] &gt; (_xlfn.XLOOKUP(Transactions_RAW_cleaned[[#This Row],[ServiceID]],Services_cleaned[ServiceID],Services_cleaned[TransactionFeePct]) * 10000), "Yes", "No")</f>
        <v>Yes</v>
      </c>
      <c r="R1302" s="5" t="str">
        <f>IF(COUNTIFS($C$2:Transactions_RAW_cleaned[[#This Row],[CustomerID]],Transactions_RAW_cleaned[[#This Row],[CustomerID]],$D$2:Transactions_RAW_cleaned[[#This Row],[ServiceID]],Transactions_RAW_cleaned[[#This Row],[ServiceID]])=1,"Yes","No")</f>
        <v>No</v>
      </c>
      <c r="S130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02" t="str">
        <f>"Q"&amp;ROUNDUP(MONTH(Transactions_RAW_cleaned[[#This Row],[TransactionDate]])/3,0)</f>
        <v>Q4</v>
      </c>
      <c r="U1302" t="str">
        <f>Transactions_RAW_cleaned[[#This Row],[Region ]]&amp;Transactions_RAW_cleaned[[#This Row],[Quarter ]]</f>
        <v>NAQ4</v>
      </c>
      <c r="V1302" s="5">
        <f>_xlfn.XLOOKUP(Transactions_RAW_cleaned[[#This Row],[RegionQuarterKey]], Quarterly_Targets_cleaned[RegionQuarterKey], Quarterly_Targets_cleaned[TargetRevenue])</f>
        <v>299000</v>
      </c>
    </row>
    <row r="1303" spans="1:22" x14ac:dyDescent="0.25">
      <c r="A1303" t="s">
        <v>1634</v>
      </c>
      <c r="B1303" s="1">
        <v>45553</v>
      </c>
      <c r="C1303" t="s">
        <v>62</v>
      </c>
      <c r="D1303" t="s">
        <v>315</v>
      </c>
      <c r="E1303">
        <v>306.47000000000003</v>
      </c>
      <c r="F1303" t="s">
        <v>331</v>
      </c>
      <c r="G1303" t="s">
        <v>327</v>
      </c>
      <c r="I1303" t="s">
        <v>8</v>
      </c>
      <c r="J1303" t="s">
        <v>46</v>
      </c>
      <c r="K1303" t="s">
        <v>18</v>
      </c>
      <c r="L1303" t="s">
        <v>316</v>
      </c>
      <c r="M1303" t="s">
        <v>305</v>
      </c>
      <c r="N1303">
        <v>2.5000000000000001E-3</v>
      </c>
      <c r="O1303" t="str">
        <f>IF(Transactions_RAW_cleaned[[#This Row],[Status]]="Completed", IFERROR(_xlfn.XLOOKUP(Transactions_RAW_cleaned[[#This Row],[CustomerID]], Customers_cleaned[CustomerID], Customers_cleaned[Segment]), "Customer Not Found"), "N/A")</f>
        <v>N/A</v>
      </c>
      <c r="P1303" s="5" t="str">
        <f>IF(Transactions_RAW_cleaned[[#This Row],[Status]]="Refunded", "Refund",
  IF(Transactions_RAW_cleaned[[#This Row],[Category]]="Payments", IF(Transactions_RAW_cleaned[[#This Row],[Amount]]&gt;500,"High Value","Standard"),
    IF(Transactions_RAW_cleaned[[#This Row],[Amount]]&gt;250,"High Value","Standard")))</f>
        <v>High Value</v>
      </c>
      <c r="Q1303" s="5" t="str">
        <f>IF(Transactions_RAW_cleaned[[#This Row],[Amount]] &gt; (_xlfn.XLOOKUP(Transactions_RAW_cleaned[[#This Row],[ServiceID]],Services_cleaned[ServiceID],Services_cleaned[TransactionFeePct]) * 10000), "Yes", "No")</f>
        <v>Yes</v>
      </c>
      <c r="R1303" s="5" t="str">
        <f>IF(COUNTIFS($C$2:Transactions_RAW_cleaned[[#This Row],[CustomerID]],Transactions_RAW_cleaned[[#This Row],[CustomerID]],$D$2:Transactions_RAW_cleaned[[#This Row],[ServiceID]],Transactions_RAW_cleaned[[#This Row],[ServiceID]])=1,"Yes","No")</f>
        <v>Yes</v>
      </c>
      <c r="S130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03" t="str">
        <f>"Q"&amp;ROUNDUP(MONTH(Transactions_RAW_cleaned[[#This Row],[TransactionDate]])/3,0)</f>
        <v>Q3</v>
      </c>
      <c r="U1303" t="str">
        <f>Transactions_RAW_cleaned[[#This Row],[Region ]]&amp;Transactions_RAW_cleaned[[#This Row],[Quarter ]]</f>
        <v>APACQ3</v>
      </c>
      <c r="V1303" s="5">
        <f>_xlfn.XLOOKUP(Transactions_RAW_cleaned[[#This Row],[RegionQuarterKey]], Quarterly_Targets_cleaned[RegionQuarterKey], Quarterly_Targets_cleaned[TargetRevenue])</f>
        <v>115500</v>
      </c>
    </row>
    <row r="1304" spans="1:22" x14ac:dyDescent="0.25">
      <c r="A1304" t="s">
        <v>1635</v>
      </c>
      <c r="B1304" s="1">
        <v>45295</v>
      </c>
      <c r="C1304" t="s">
        <v>113</v>
      </c>
      <c r="D1304" t="s">
        <v>300</v>
      </c>
      <c r="E1304">
        <v>428.53</v>
      </c>
      <c r="F1304" t="s">
        <v>324</v>
      </c>
      <c r="G1304" t="s">
        <v>2963</v>
      </c>
      <c r="I1304" t="s">
        <v>57</v>
      </c>
      <c r="J1304" t="s">
        <v>46</v>
      </c>
      <c r="K1304" t="s">
        <v>10</v>
      </c>
      <c r="L1304" t="s">
        <v>301</v>
      </c>
      <c r="M1304" t="s">
        <v>302</v>
      </c>
      <c r="N1304">
        <v>5.0000000000000001E-3</v>
      </c>
      <c r="O1304" t="str">
        <f>IF(Transactions_RAW_cleaned[[#This Row],[Status]]="Completed", IFERROR(_xlfn.XLOOKUP(Transactions_RAW_cleaned[[#This Row],[CustomerID]], Customers_cleaned[CustomerID], Customers_cleaned[Segment]), "Customer Not Found"), "N/A")</f>
        <v>Startup</v>
      </c>
      <c r="P1304" s="5" t="str">
        <f>IF(Transactions_RAW_cleaned[[#This Row],[Status]]="Refunded", "Refund",
  IF(Transactions_RAW_cleaned[[#This Row],[Category]]="Payments", IF(Transactions_RAW_cleaned[[#This Row],[Amount]]&gt;500,"High Value","Standard"),
    IF(Transactions_RAW_cleaned[[#This Row],[Amount]]&gt;250,"High Value","Standard")))</f>
        <v>High Value</v>
      </c>
      <c r="Q1304" s="5" t="str">
        <f>IF(Transactions_RAW_cleaned[[#This Row],[Amount]] &gt; (_xlfn.XLOOKUP(Transactions_RAW_cleaned[[#This Row],[ServiceID]],Services_cleaned[ServiceID],Services_cleaned[TransactionFeePct]) * 10000), "Yes", "No")</f>
        <v>Yes</v>
      </c>
      <c r="R1304" s="5" t="str">
        <f>IF(COUNTIFS($C$2:Transactions_RAW_cleaned[[#This Row],[CustomerID]],Transactions_RAW_cleaned[[#This Row],[CustomerID]],$D$2:Transactions_RAW_cleaned[[#This Row],[ServiceID]],Transactions_RAW_cleaned[[#This Row],[ServiceID]])=1,"Yes","No")</f>
        <v>No</v>
      </c>
      <c r="S130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04" t="str">
        <f>"Q"&amp;ROUNDUP(MONTH(Transactions_RAW_cleaned[[#This Row],[TransactionDate]])/3,0)</f>
        <v>Q1</v>
      </c>
      <c r="U1304" t="str">
        <f>Transactions_RAW_cleaned[[#This Row],[Region ]]&amp;Transactions_RAW_cleaned[[#This Row],[Quarter ]]</f>
        <v>APACQ1</v>
      </c>
      <c r="V1304" s="5">
        <f>_xlfn.XLOOKUP(Transactions_RAW_cleaned[[#This Row],[RegionQuarterKey]], Quarterly_Targets_cleaned[RegionQuarterKey], Quarterly_Targets_cleaned[TargetRevenue])</f>
        <v>104500</v>
      </c>
    </row>
    <row r="1305" spans="1:22" x14ac:dyDescent="0.25">
      <c r="A1305" t="s">
        <v>1636</v>
      </c>
      <c r="B1305" s="1">
        <v>45480</v>
      </c>
      <c r="C1305" t="s">
        <v>64</v>
      </c>
      <c r="D1305" t="s">
        <v>294</v>
      </c>
      <c r="E1305">
        <v>553.38</v>
      </c>
      <c r="F1305" t="s">
        <v>381</v>
      </c>
      <c r="G1305" t="s">
        <v>325</v>
      </c>
      <c r="H1305" t="s">
        <v>334</v>
      </c>
      <c r="I1305" t="s">
        <v>8</v>
      </c>
      <c r="J1305" t="s">
        <v>37</v>
      </c>
      <c r="K1305" t="s">
        <v>28</v>
      </c>
      <c r="L1305" t="s">
        <v>295</v>
      </c>
      <c r="M1305" t="s">
        <v>296</v>
      </c>
      <c r="N1305">
        <v>2.9000000000000001E-2</v>
      </c>
      <c r="O1305" t="str">
        <f>IF(Transactions_RAW_cleaned[[#This Row],[Status]]="Completed", IFERROR(_xlfn.XLOOKUP(Transactions_RAW_cleaned[[#This Row],[CustomerID]], Customers_cleaned[CustomerID], Customers_cleaned[Segment]), "Customer Not Found"), "N/A")</f>
        <v>N/A</v>
      </c>
      <c r="P1305" s="5" t="str">
        <f>IF(Transactions_RAW_cleaned[[#This Row],[Status]]="Refunded", "Refund",
  IF(Transactions_RAW_cleaned[[#This Row],[Category]]="Payments", IF(Transactions_RAW_cleaned[[#This Row],[Amount]]&gt;500,"High Value","Standard"),
    IF(Transactions_RAW_cleaned[[#This Row],[Amount]]&gt;250,"High Value","Standard")))</f>
        <v>High Value</v>
      </c>
      <c r="Q1305" s="5" t="str">
        <f>IF(Transactions_RAW_cleaned[[#This Row],[Amount]] &gt; (_xlfn.XLOOKUP(Transactions_RAW_cleaned[[#This Row],[ServiceID]],Services_cleaned[ServiceID],Services_cleaned[TransactionFeePct]) * 10000), "Yes", "No")</f>
        <v>Yes</v>
      </c>
      <c r="R1305" s="5" t="str">
        <f>IF(COUNTIFS($C$2:Transactions_RAW_cleaned[[#This Row],[CustomerID]],Transactions_RAW_cleaned[[#This Row],[CustomerID]],$D$2:Transactions_RAW_cleaned[[#This Row],[ServiceID]],Transactions_RAW_cleaned[[#This Row],[ServiceID]])=1,"Yes","No")</f>
        <v>No</v>
      </c>
      <c r="S130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05" t="str">
        <f>"Q"&amp;ROUNDUP(MONTH(Transactions_RAW_cleaned[[#This Row],[TransactionDate]])/3,0)</f>
        <v>Q3</v>
      </c>
      <c r="U1305" t="str">
        <f>Transactions_RAW_cleaned[[#This Row],[Region ]]&amp;Transactions_RAW_cleaned[[#This Row],[Quarter ]]</f>
        <v>EMEAQ3</v>
      </c>
      <c r="V1305" s="5">
        <f>_xlfn.XLOOKUP(Transactions_RAW_cleaned[[#This Row],[RegionQuarterKey]], Quarterly_Targets_cleaned[RegionQuarterKey], Quarterly_Targets_cleaned[TargetRevenue])</f>
        <v>147000</v>
      </c>
    </row>
    <row r="1306" spans="1:22" x14ac:dyDescent="0.25">
      <c r="A1306" t="s">
        <v>1637</v>
      </c>
      <c r="B1306" s="1">
        <v>45538</v>
      </c>
      <c r="C1306" t="s">
        <v>123</v>
      </c>
      <c r="D1306" t="s">
        <v>294</v>
      </c>
      <c r="E1306">
        <v>542.52</v>
      </c>
      <c r="F1306" t="s">
        <v>324</v>
      </c>
      <c r="G1306" t="s">
        <v>327</v>
      </c>
      <c r="I1306" t="s">
        <v>8</v>
      </c>
      <c r="J1306" t="s">
        <v>13</v>
      </c>
      <c r="K1306" t="s">
        <v>32</v>
      </c>
      <c r="L1306" t="s">
        <v>295</v>
      </c>
      <c r="M1306" t="s">
        <v>296</v>
      </c>
      <c r="N1306">
        <v>2.9000000000000001E-2</v>
      </c>
      <c r="O1306" t="str">
        <f>IF(Transactions_RAW_cleaned[[#This Row],[Status]]="Completed", IFERROR(_xlfn.XLOOKUP(Transactions_RAW_cleaned[[#This Row],[CustomerID]], Customers_cleaned[CustomerID], Customers_cleaned[Segment]), "Customer Not Found"), "N/A")</f>
        <v>SMB</v>
      </c>
      <c r="P1306" s="5" t="str">
        <f>IF(Transactions_RAW_cleaned[[#This Row],[Status]]="Refunded", "Refund",
  IF(Transactions_RAW_cleaned[[#This Row],[Category]]="Payments", IF(Transactions_RAW_cleaned[[#This Row],[Amount]]&gt;500,"High Value","Standard"),
    IF(Transactions_RAW_cleaned[[#This Row],[Amount]]&gt;250,"High Value","Standard")))</f>
        <v>High Value</v>
      </c>
      <c r="Q1306" s="5" t="str">
        <f>IF(Transactions_RAW_cleaned[[#This Row],[Amount]] &gt; (_xlfn.XLOOKUP(Transactions_RAW_cleaned[[#This Row],[ServiceID]],Services_cleaned[ServiceID],Services_cleaned[TransactionFeePct]) * 10000), "Yes", "No")</f>
        <v>Yes</v>
      </c>
      <c r="R1306" s="5" t="str">
        <f>IF(COUNTIFS($C$2:Transactions_RAW_cleaned[[#This Row],[CustomerID]],Transactions_RAW_cleaned[[#This Row],[CustomerID]],$D$2:Transactions_RAW_cleaned[[#This Row],[ServiceID]],Transactions_RAW_cleaned[[#This Row],[ServiceID]])=1,"Yes","No")</f>
        <v>No</v>
      </c>
      <c r="S130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06" t="str">
        <f>"Q"&amp;ROUNDUP(MONTH(Transactions_RAW_cleaned[[#This Row],[TransactionDate]])/3,0)</f>
        <v>Q3</v>
      </c>
      <c r="U1306" t="str">
        <f>Transactions_RAW_cleaned[[#This Row],[Region ]]&amp;Transactions_RAW_cleaned[[#This Row],[Quarter ]]</f>
        <v>NAQ3</v>
      </c>
      <c r="V1306" s="5">
        <f>_xlfn.XLOOKUP(Transactions_RAW_cleaned[[#This Row],[RegionQuarterKey]], Quarterly_Targets_cleaned[RegionQuarterKey], Quarterly_Targets_cleaned[TargetRevenue])</f>
        <v>273000</v>
      </c>
    </row>
    <row r="1307" spans="1:22" x14ac:dyDescent="0.25">
      <c r="A1307" t="s">
        <v>1638</v>
      </c>
      <c r="B1307" s="1">
        <v>45413</v>
      </c>
      <c r="C1307" t="s">
        <v>125</v>
      </c>
      <c r="D1307" t="s">
        <v>312</v>
      </c>
      <c r="E1307">
        <v>936.15</v>
      </c>
      <c r="F1307" t="s">
        <v>324</v>
      </c>
      <c r="G1307" t="s">
        <v>325</v>
      </c>
      <c r="I1307" t="s">
        <v>8</v>
      </c>
      <c r="J1307" t="s">
        <v>13</v>
      </c>
      <c r="K1307" t="s">
        <v>28</v>
      </c>
      <c r="L1307" t="s">
        <v>313</v>
      </c>
      <c r="M1307" t="s">
        <v>314</v>
      </c>
      <c r="N1307">
        <v>0</v>
      </c>
      <c r="O1307" t="str">
        <f>IF(Transactions_RAW_cleaned[[#This Row],[Status]]="Completed", IFERROR(_xlfn.XLOOKUP(Transactions_RAW_cleaned[[#This Row],[CustomerID]], Customers_cleaned[CustomerID], Customers_cleaned[Segment]), "Customer Not Found"), "N/A")</f>
        <v>SMB</v>
      </c>
      <c r="P1307" s="5" t="str">
        <f>IF(Transactions_RAW_cleaned[[#This Row],[Status]]="Refunded", "Refund",
  IF(Transactions_RAW_cleaned[[#This Row],[Category]]="Payments", IF(Transactions_RAW_cleaned[[#This Row],[Amount]]&gt;500,"High Value","Standard"),
    IF(Transactions_RAW_cleaned[[#This Row],[Amount]]&gt;250,"High Value","Standard")))</f>
        <v>High Value</v>
      </c>
      <c r="Q1307" s="5" t="str">
        <f>IF(Transactions_RAW_cleaned[[#This Row],[Amount]] &gt; (_xlfn.XLOOKUP(Transactions_RAW_cleaned[[#This Row],[ServiceID]],Services_cleaned[ServiceID],Services_cleaned[TransactionFeePct]) * 10000), "Yes", "No")</f>
        <v>Yes</v>
      </c>
      <c r="R1307" s="5" t="str">
        <f>IF(COUNTIFS($C$2:Transactions_RAW_cleaned[[#This Row],[CustomerID]],Transactions_RAW_cleaned[[#This Row],[CustomerID]],$D$2:Transactions_RAW_cleaned[[#This Row],[ServiceID]],Transactions_RAW_cleaned[[#This Row],[ServiceID]])=1,"Yes","No")</f>
        <v>No</v>
      </c>
      <c r="S130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07" t="str">
        <f>"Q"&amp;ROUNDUP(MONTH(Transactions_RAW_cleaned[[#This Row],[TransactionDate]])/3,0)</f>
        <v>Q2</v>
      </c>
      <c r="U1307" t="str">
        <f>Transactions_RAW_cleaned[[#This Row],[Region ]]&amp;Transactions_RAW_cleaned[[#This Row],[Quarter ]]</f>
        <v>NAQ2</v>
      </c>
      <c r="V1307" s="5">
        <f>_xlfn.XLOOKUP(Transactions_RAW_cleaned[[#This Row],[RegionQuarterKey]], Quarterly_Targets_cleaned[RegionQuarterKey], Quarterly_Targets_cleaned[TargetRevenue])</f>
        <v>260000</v>
      </c>
    </row>
    <row r="1308" spans="1:22" x14ac:dyDescent="0.25">
      <c r="A1308" t="s">
        <v>1639</v>
      </c>
      <c r="B1308" s="1">
        <v>45582</v>
      </c>
      <c r="C1308" t="s">
        <v>60</v>
      </c>
      <c r="D1308" t="s">
        <v>306</v>
      </c>
      <c r="E1308">
        <v>729.54</v>
      </c>
      <c r="F1308" t="s">
        <v>381</v>
      </c>
      <c r="G1308" t="s">
        <v>327</v>
      </c>
      <c r="H1308" t="s">
        <v>332</v>
      </c>
      <c r="I1308" t="s">
        <v>8</v>
      </c>
      <c r="J1308" t="s">
        <v>13</v>
      </c>
      <c r="K1308" t="s">
        <v>14</v>
      </c>
      <c r="L1308" t="s">
        <v>307</v>
      </c>
      <c r="M1308" t="s">
        <v>308</v>
      </c>
      <c r="N1308">
        <v>0</v>
      </c>
      <c r="O1308" t="str">
        <f>IF(Transactions_RAW_cleaned[[#This Row],[Status]]="Completed", IFERROR(_xlfn.XLOOKUP(Transactions_RAW_cleaned[[#This Row],[CustomerID]], Customers_cleaned[CustomerID], Customers_cleaned[Segment]), "Customer Not Found"), "N/A")</f>
        <v>N/A</v>
      </c>
      <c r="P1308" s="5" t="str">
        <f>IF(Transactions_RAW_cleaned[[#This Row],[Status]]="Refunded", "Refund",
  IF(Transactions_RAW_cleaned[[#This Row],[Category]]="Payments", IF(Transactions_RAW_cleaned[[#This Row],[Amount]]&gt;500,"High Value","Standard"),
    IF(Transactions_RAW_cleaned[[#This Row],[Amount]]&gt;250,"High Value","Standard")))</f>
        <v>High Value</v>
      </c>
      <c r="Q1308" s="5" t="str">
        <f>IF(Transactions_RAW_cleaned[[#This Row],[Amount]] &gt; (_xlfn.XLOOKUP(Transactions_RAW_cleaned[[#This Row],[ServiceID]],Services_cleaned[ServiceID],Services_cleaned[TransactionFeePct]) * 10000), "Yes", "No")</f>
        <v>Yes</v>
      </c>
      <c r="R1308" s="5" t="str">
        <f>IF(COUNTIFS($C$2:Transactions_RAW_cleaned[[#This Row],[CustomerID]],Transactions_RAW_cleaned[[#This Row],[CustomerID]],$D$2:Transactions_RAW_cleaned[[#This Row],[ServiceID]],Transactions_RAW_cleaned[[#This Row],[ServiceID]])=1,"Yes","No")</f>
        <v>Yes</v>
      </c>
      <c r="S130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08" t="str">
        <f>"Q"&amp;ROUNDUP(MONTH(Transactions_RAW_cleaned[[#This Row],[TransactionDate]])/3,0)</f>
        <v>Q4</v>
      </c>
      <c r="U1308" t="str">
        <f>Transactions_RAW_cleaned[[#This Row],[Region ]]&amp;Transactions_RAW_cleaned[[#This Row],[Quarter ]]</f>
        <v>NAQ4</v>
      </c>
      <c r="V1308" s="5">
        <f>_xlfn.XLOOKUP(Transactions_RAW_cleaned[[#This Row],[RegionQuarterKey]], Quarterly_Targets_cleaned[RegionQuarterKey], Quarterly_Targets_cleaned[TargetRevenue])</f>
        <v>299000</v>
      </c>
    </row>
    <row r="1309" spans="1:22" x14ac:dyDescent="0.25">
      <c r="A1309" t="s">
        <v>1640</v>
      </c>
      <c r="B1309" s="1">
        <v>45534</v>
      </c>
      <c r="C1309" t="s">
        <v>11</v>
      </c>
      <c r="D1309" t="s">
        <v>294</v>
      </c>
      <c r="E1309">
        <v>407.33</v>
      </c>
      <c r="F1309" t="s">
        <v>324</v>
      </c>
      <c r="G1309" t="s">
        <v>325</v>
      </c>
      <c r="I1309" t="s">
        <v>8</v>
      </c>
      <c r="J1309" t="s">
        <v>13</v>
      </c>
      <c r="K1309" t="s">
        <v>14</v>
      </c>
      <c r="L1309" t="s">
        <v>295</v>
      </c>
      <c r="M1309" t="s">
        <v>296</v>
      </c>
      <c r="N1309">
        <v>2.9000000000000001E-2</v>
      </c>
      <c r="O1309" t="str">
        <f>IF(Transactions_RAW_cleaned[[#This Row],[Status]]="Completed", IFERROR(_xlfn.XLOOKUP(Transactions_RAW_cleaned[[#This Row],[CustomerID]], Customers_cleaned[CustomerID], Customers_cleaned[Segment]), "Customer Not Found"), "N/A")</f>
        <v>SMB</v>
      </c>
      <c r="P1309" s="5" t="str">
        <f>IF(Transactions_RAW_cleaned[[#This Row],[Status]]="Refunded", "Refund",
  IF(Transactions_RAW_cleaned[[#This Row],[Category]]="Payments", IF(Transactions_RAW_cleaned[[#This Row],[Amount]]&gt;500,"High Value","Standard"),
    IF(Transactions_RAW_cleaned[[#This Row],[Amount]]&gt;250,"High Value","Standard")))</f>
        <v>Standard</v>
      </c>
      <c r="Q1309" s="5" t="str">
        <f>IF(Transactions_RAW_cleaned[[#This Row],[Amount]] &gt; (_xlfn.XLOOKUP(Transactions_RAW_cleaned[[#This Row],[ServiceID]],Services_cleaned[ServiceID],Services_cleaned[TransactionFeePct]) * 10000), "Yes", "No")</f>
        <v>Yes</v>
      </c>
      <c r="R1309" s="5" t="str">
        <f>IF(COUNTIFS($C$2:Transactions_RAW_cleaned[[#This Row],[CustomerID]],Transactions_RAW_cleaned[[#This Row],[CustomerID]],$D$2:Transactions_RAW_cleaned[[#This Row],[ServiceID]],Transactions_RAW_cleaned[[#This Row],[ServiceID]])=1,"Yes","No")</f>
        <v>No</v>
      </c>
      <c r="S130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09" t="str">
        <f>"Q"&amp;ROUNDUP(MONTH(Transactions_RAW_cleaned[[#This Row],[TransactionDate]])/3,0)</f>
        <v>Q3</v>
      </c>
      <c r="U1309" t="str">
        <f>Transactions_RAW_cleaned[[#This Row],[Region ]]&amp;Transactions_RAW_cleaned[[#This Row],[Quarter ]]</f>
        <v>NAQ3</v>
      </c>
      <c r="V1309" s="5">
        <f>_xlfn.XLOOKUP(Transactions_RAW_cleaned[[#This Row],[RegionQuarterKey]], Quarterly_Targets_cleaned[RegionQuarterKey], Quarterly_Targets_cleaned[TargetRevenue])</f>
        <v>273000</v>
      </c>
    </row>
    <row r="1310" spans="1:22" x14ac:dyDescent="0.25">
      <c r="A1310" t="s">
        <v>1641</v>
      </c>
      <c r="B1310" s="1">
        <v>45597</v>
      </c>
      <c r="C1310" t="s">
        <v>197</v>
      </c>
      <c r="D1310" t="s">
        <v>300</v>
      </c>
      <c r="E1310">
        <v>537.39</v>
      </c>
      <c r="F1310" t="s">
        <v>324</v>
      </c>
      <c r="G1310" t="s">
        <v>329</v>
      </c>
      <c r="I1310" t="s">
        <v>8</v>
      </c>
      <c r="J1310" t="s">
        <v>46</v>
      </c>
      <c r="K1310" t="s">
        <v>14</v>
      </c>
      <c r="L1310" t="s">
        <v>301</v>
      </c>
      <c r="M1310" t="s">
        <v>302</v>
      </c>
      <c r="N1310">
        <v>5.0000000000000001E-3</v>
      </c>
      <c r="O1310" t="str">
        <f>IF(Transactions_RAW_cleaned[[#This Row],[Status]]="Completed", IFERROR(_xlfn.XLOOKUP(Transactions_RAW_cleaned[[#This Row],[CustomerID]], Customers_cleaned[CustomerID], Customers_cleaned[Segment]), "Customer Not Found"), "N/A")</f>
        <v>SMB</v>
      </c>
      <c r="P1310" s="5" t="str">
        <f>IF(Transactions_RAW_cleaned[[#This Row],[Status]]="Refunded", "Refund",
  IF(Transactions_RAW_cleaned[[#This Row],[Category]]="Payments", IF(Transactions_RAW_cleaned[[#This Row],[Amount]]&gt;500,"High Value","Standard"),
    IF(Transactions_RAW_cleaned[[#This Row],[Amount]]&gt;250,"High Value","Standard")))</f>
        <v>High Value</v>
      </c>
      <c r="Q1310" s="5" t="str">
        <f>IF(Transactions_RAW_cleaned[[#This Row],[Amount]] &gt; (_xlfn.XLOOKUP(Transactions_RAW_cleaned[[#This Row],[ServiceID]],Services_cleaned[ServiceID],Services_cleaned[TransactionFeePct]) * 10000), "Yes", "No")</f>
        <v>Yes</v>
      </c>
      <c r="R1310" s="5" t="str">
        <f>IF(COUNTIFS($C$2:Transactions_RAW_cleaned[[#This Row],[CustomerID]],Transactions_RAW_cleaned[[#This Row],[CustomerID]],$D$2:Transactions_RAW_cleaned[[#This Row],[ServiceID]],Transactions_RAW_cleaned[[#This Row],[ServiceID]])=1,"Yes","No")</f>
        <v>Yes</v>
      </c>
      <c r="S131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10" t="str">
        <f>"Q"&amp;ROUNDUP(MONTH(Transactions_RAW_cleaned[[#This Row],[TransactionDate]])/3,0)</f>
        <v>Q4</v>
      </c>
      <c r="U1310" t="str">
        <f>Transactions_RAW_cleaned[[#This Row],[Region ]]&amp;Transactions_RAW_cleaned[[#This Row],[Quarter ]]</f>
        <v>APACQ4</v>
      </c>
      <c r="V1310" s="5">
        <f>_xlfn.XLOOKUP(Transactions_RAW_cleaned[[#This Row],[RegionQuarterKey]], Quarterly_Targets_cleaned[RegionQuarterKey], Quarterly_Targets_cleaned[TargetRevenue])</f>
        <v>126500</v>
      </c>
    </row>
    <row r="1311" spans="1:22" x14ac:dyDescent="0.25">
      <c r="A1311" t="s">
        <v>1642</v>
      </c>
      <c r="B1311" s="1">
        <v>45576</v>
      </c>
      <c r="C1311" t="s">
        <v>123</v>
      </c>
      <c r="D1311" t="s">
        <v>315</v>
      </c>
      <c r="E1311">
        <v>289.54000000000002</v>
      </c>
      <c r="F1311" t="s">
        <v>381</v>
      </c>
      <c r="G1311" t="s">
        <v>327</v>
      </c>
      <c r="I1311" t="s">
        <v>8</v>
      </c>
      <c r="J1311" t="s">
        <v>13</v>
      </c>
      <c r="K1311" t="s">
        <v>32</v>
      </c>
      <c r="L1311" t="s">
        <v>316</v>
      </c>
      <c r="M1311" t="s">
        <v>305</v>
      </c>
      <c r="N1311">
        <v>2.5000000000000001E-3</v>
      </c>
      <c r="O1311" t="str">
        <f>IF(Transactions_RAW_cleaned[[#This Row],[Status]]="Completed", IFERROR(_xlfn.XLOOKUP(Transactions_RAW_cleaned[[#This Row],[CustomerID]], Customers_cleaned[CustomerID], Customers_cleaned[Segment]), "Customer Not Found"), "N/A")</f>
        <v>N/A</v>
      </c>
      <c r="P1311" s="5" t="str">
        <f>IF(Transactions_RAW_cleaned[[#This Row],[Status]]="Refunded", "Refund",
  IF(Transactions_RAW_cleaned[[#This Row],[Category]]="Payments", IF(Transactions_RAW_cleaned[[#This Row],[Amount]]&gt;500,"High Value","Standard"),
    IF(Transactions_RAW_cleaned[[#This Row],[Amount]]&gt;250,"High Value","Standard")))</f>
        <v>High Value</v>
      </c>
      <c r="Q1311" s="5" t="str">
        <f>IF(Transactions_RAW_cleaned[[#This Row],[Amount]] &gt; (_xlfn.XLOOKUP(Transactions_RAW_cleaned[[#This Row],[ServiceID]],Services_cleaned[ServiceID],Services_cleaned[TransactionFeePct]) * 10000), "Yes", "No")</f>
        <v>Yes</v>
      </c>
      <c r="R1311" s="5" t="str">
        <f>IF(COUNTIFS($C$2:Transactions_RAW_cleaned[[#This Row],[CustomerID]],Transactions_RAW_cleaned[[#This Row],[CustomerID]],$D$2:Transactions_RAW_cleaned[[#This Row],[ServiceID]],Transactions_RAW_cleaned[[#This Row],[ServiceID]])=1,"Yes","No")</f>
        <v>Yes</v>
      </c>
      <c r="S131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11" t="str">
        <f>"Q"&amp;ROUNDUP(MONTH(Transactions_RAW_cleaned[[#This Row],[TransactionDate]])/3,0)</f>
        <v>Q4</v>
      </c>
      <c r="U1311" t="str">
        <f>Transactions_RAW_cleaned[[#This Row],[Region ]]&amp;Transactions_RAW_cleaned[[#This Row],[Quarter ]]</f>
        <v>NAQ4</v>
      </c>
      <c r="V1311" s="5">
        <f>_xlfn.XLOOKUP(Transactions_RAW_cleaned[[#This Row],[RegionQuarterKey]], Quarterly_Targets_cleaned[RegionQuarterKey], Quarterly_Targets_cleaned[TargetRevenue])</f>
        <v>299000</v>
      </c>
    </row>
    <row r="1312" spans="1:22" x14ac:dyDescent="0.25">
      <c r="A1312" t="s">
        <v>1643</v>
      </c>
      <c r="B1312" s="1">
        <v>45653</v>
      </c>
      <c r="C1312" t="s">
        <v>53</v>
      </c>
      <c r="D1312" t="s">
        <v>312</v>
      </c>
      <c r="E1312">
        <v>373.51</v>
      </c>
      <c r="F1312" t="s">
        <v>324</v>
      </c>
      <c r="G1312" t="s">
        <v>329</v>
      </c>
      <c r="H1312" t="s">
        <v>346</v>
      </c>
      <c r="I1312" t="s">
        <v>17</v>
      </c>
      <c r="J1312" t="s">
        <v>21</v>
      </c>
      <c r="K1312" t="s">
        <v>28</v>
      </c>
      <c r="L1312" t="s">
        <v>313</v>
      </c>
      <c r="M1312" t="s">
        <v>314</v>
      </c>
      <c r="N1312">
        <v>0</v>
      </c>
      <c r="O1312" t="str">
        <f>IF(Transactions_RAW_cleaned[[#This Row],[Status]]="Completed", IFERROR(_xlfn.XLOOKUP(Transactions_RAW_cleaned[[#This Row],[CustomerID]], Customers_cleaned[CustomerID], Customers_cleaned[Segment]), "Customer Not Found"), "N/A")</f>
        <v>Enterprise</v>
      </c>
      <c r="P1312" s="5" t="str">
        <f>IF(Transactions_RAW_cleaned[[#This Row],[Status]]="Refunded", "Refund",
  IF(Transactions_RAW_cleaned[[#This Row],[Category]]="Payments", IF(Transactions_RAW_cleaned[[#This Row],[Amount]]&gt;500,"High Value","Standard"),
    IF(Transactions_RAW_cleaned[[#This Row],[Amount]]&gt;250,"High Value","Standard")))</f>
        <v>High Value</v>
      </c>
      <c r="Q1312" s="5" t="str">
        <f>IF(Transactions_RAW_cleaned[[#This Row],[Amount]] &gt; (_xlfn.XLOOKUP(Transactions_RAW_cleaned[[#This Row],[ServiceID]],Services_cleaned[ServiceID],Services_cleaned[TransactionFeePct]) * 10000), "Yes", "No")</f>
        <v>Yes</v>
      </c>
      <c r="R1312" s="5" t="str">
        <f>IF(COUNTIFS($C$2:Transactions_RAW_cleaned[[#This Row],[CustomerID]],Transactions_RAW_cleaned[[#This Row],[CustomerID]],$D$2:Transactions_RAW_cleaned[[#This Row],[ServiceID]],Transactions_RAW_cleaned[[#This Row],[ServiceID]])=1,"Yes","No")</f>
        <v>No</v>
      </c>
      <c r="S131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12" t="str">
        <f>"Q"&amp;ROUNDUP(MONTH(Transactions_RAW_cleaned[[#This Row],[TransactionDate]])/3,0)</f>
        <v>Q4</v>
      </c>
      <c r="U1312" t="str">
        <f>Transactions_RAW_cleaned[[#This Row],[Region ]]&amp;Transactions_RAW_cleaned[[#This Row],[Quarter ]]</f>
        <v>APACQ4</v>
      </c>
      <c r="V1312" s="5">
        <f>_xlfn.XLOOKUP(Transactions_RAW_cleaned[[#This Row],[RegionQuarterKey]], Quarterly_Targets_cleaned[RegionQuarterKey], Quarterly_Targets_cleaned[TargetRevenue])</f>
        <v>126500</v>
      </c>
    </row>
    <row r="1313" spans="1:22" x14ac:dyDescent="0.25">
      <c r="A1313" t="s">
        <v>1644</v>
      </c>
      <c r="B1313" s="1">
        <v>45514</v>
      </c>
      <c r="C1313" t="s">
        <v>177</v>
      </c>
      <c r="D1313" t="s">
        <v>312</v>
      </c>
      <c r="E1313">
        <v>-913.44</v>
      </c>
      <c r="F1313" t="s">
        <v>349</v>
      </c>
      <c r="G1313" t="s">
        <v>325</v>
      </c>
      <c r="H1313" t="s">
        <v>334</v>
      </c>
      <c r="I1313" t="s">
        <v>8</v>
      </c>
      <c r="J1313" t="s">
        <v>46</v>
      </c>
      <c r="K1313" t="s">
        <v>10</v>
      </c>
      <c r="L1313" t="s">
        <v>313</v>
      </c>
      <c r="M1313" t="s">
        <v>314</v>
      </c>
      <c r="N1313">
        <v>0</v>
      </c>
      <c r="O1313" t="str">
        <f>IF(Transactions_RAW_cleaned[[#This Row],[Status]]="Completed", IFERROR(_xlfn.XLOOKUP(Transactions_RAW_cleaned[[#This Row],[CustomerID]], Customers_cleaned[CustomerID], Customers_cleaned[Segment]), "Customer Not Found"), "N/A")</f>
        <v>N/A</v>
      </c>
      <c r="P1313" s="5" t="str">
        <f>IF(Transactions_RAW_cleaned[[#This Row],[Status]]="Refunded", "Refund",
  IF(Transactions_RAW_cleaned[[#This Row],[Category]]="Payments", IF(Transactions_RAW_cleaned[[#This Row],[Amount]]&gt;500,"High Value","Standard"),
    IF(Transactions_RAW_cleaned[[#This Row],[Amount]]&gt;250,"High Value","Standard")))</f>
        <v>Refund</v>
      </c>
      <c r="Q1313" s="5" t="str">
        <f>IF(Transactions_RAW_cleaned[[#This Row],[Amount]] &gt; (_xlfn.XLOOKUP(Transactions_RAW_cleaned[[#This Row],[ServiceID]],Services_cleaned[ServiceID],Services_cleaned[TransactionFeePct]) * 10000), "Yes", "No")</f>
        <v>No</v>
      </c>
      <c r="R1313" s="5" t="str">
        <f>IF(COUNTIFS($C$2:Transactions_RAW_cleaned[[#This Row],[CustomerID]],Transactions_RAW_cleaned[[#This Row],[CustomerID]],$D$2:Transactions_RAW_cleaned[[#This Row],[ServiceID]],Transactions_RAW_cleaned[[#This Row],[ServiceID]])=1,"Yes","No")</f>
        <v>No</v>
      </c>
      <c r="S131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13" t="str">
        <f>"Q"&amp;ROUNDUP(MONTH(Transactions_RAW_cleaned[[#This Row],[TransactionDate]])/3,0)</f>
        <v>Q3</v>
      </c>
      <c r="U1313" t="str">
        <f>Transactions_RAW_cleaned[[#This Row],[Region ]]&amp;Transactions_RAW_cleaned[[#This Row],[Quarter ]]</f>
        <v>APACQ3</v>
      </c>
      <c r="V1313" s="5">
        <f>_xlfn.XLOOKUP(Transactions_RAW_cleaned[[#This Row],[RegionQuarterKey]], Quarterly_Targets_cleaned[RegionQuarterKey], Quarterly_Targets_cleaned[TargetRevenue])</f>
        <v>115500</v>
      </c>
    </row>
    <row r="1314" spans="1:22" x14ac:dyDescent="0.25">
      <c r="A1314" t="s">
        <v>1645</v>
      </c>
      <c r="B1314" s="1">
        <v>45509</v>
      </c>
      <c r="C1314" t="s">
        <v>29</v>
      </c>
      <c r="D1314" t="s">
        <v>306</v>
      </c>
      <c r="E1314">
        <v>541.73</v>
      </c>
      <c r="F1314" t="s">
        <v>324</v>
      </c>
      <c r="G1314" t="s">
        <v>329</v>
      </c>
      <c r="I1314" t="s">
        <v>8</v>
      </c>
      <c r="J1314" t="s">
        <v>31</v>
      </c>
      <c r="K1314" t="s">
        <v>32</v>
      </c>
      <c r="L1314" t="s">
        <v>307</v>
      </c>
      <c r="M1314" t="s">
        <v>308</v>
      </c>
      <c r="N1314">
        <v>0</v>
      </c>
      <c r="O1314" t="str">
        <f>IF(Transactions_RAW_cleaned[[#This Row],[Status]]="Completed", IFERROR(_xlfn.XLOOKUP(Transactions_RAW_cleaned[[#This Row],[CustomerID]], Customers_cleaned[CustomerID], Customers_cleaned[Segment]), "Customer Not Found"), "N/A")</f>
        <v>SMB</v>
      </c>
      <c r="P1314" s="5" t="str">
        <f>IF(Transactions_RAW_cleaned[[#This Row],[Status]]="Refunded", "Refund",
  IF(Transactions_RAW_cleaned[[#This Row],[Category]]="Payments", IF(Transactions_RAW_cleaned[[#This Row],[Amount]]&gt;500,"High Value","Standard"),
    IF(Transactions_RAW_cleaned[[#This Row],[Amount]]&gt;250,"High Value","Standard")))</f>
        <v>High Value</v>
      </c>
      <c r="Q1314" s="5" t="str">
        <f>IF(Transactions_RAW_cleaned[[#This Row],[Amount]] &gt; (_xlfn.XLOOKUP(Transactions_RAW_cleaned[[#This Row],[ServiceID]],Services_cleaned[ServiceID],Services_cleaned[TransactionFeePct]) * 10000), "Yes", "No")</f>
        <v>Yes</v>
      </c>
      <c r="R1314" s="5" t="str">
        <f>IF(COUNTIFS($C$2:Transactions_RAW_cleaned[[#This Row],[CustomerID]],Transactions_RAW_cleaned[[#This Row],[CustomerID]],$D$2:Transactions_RAW_cleaned[[#This Row],[ServiceID]],Transactions_RAW_cleaned[[#This Row],[ServiceID]])=1,"Yes","No")</f>
        <v>Yes</v>
      </c>
      <c r="S131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14" t="str">
        <f>"Q"&amp;ROUNDUP(MONTH(Transactions_RAW_cleaned[[#This Row],[TransactionDate]])/3,0)</f>
        <v>Q3</v>
      </c>
      <c r="U1314" t="str">
        <f>Transactions_RAW_cleaned[[#This Row],[Region ]]&amp;Transactions_RAW_cleaned[[#This Row],[Quarter ]]</f>
        <v>EMEAQ3</v>
      </c>
      <c r="V1314" s="5">
        <f>_xlfn.XLOOKUP(Transactions_RAW_cleaned[[#This Row],[RegionQuarterKey]], Quarterly_Targets_cleaned[RegionQuarterKey], Quarterly_Targets_cleaned[TargetRevenue])</f>
        <v>147000</v>
      </c>
    </row>
    <row r="1315" spans="1:22" x14ac:dyDescent="0.25">
      <c r="A1315" t="s">
        <v>1646</v>
      </c>
      <c r="B1315" s="1">
        <v>45518</v>
      </c>
      <c r="C1315" t="s">
        <v>121</v>
      </c>
      <c r="D1315" t="s">
        <v>312</v>
      </c>
      <c r="E1315">
        <v>853.94</v>
      </c>
      <c r="F1315" t="s">
        <v>324</v>
      </c>
      <c r="G1315" t="s">
        <v>325</v>
      </c>
      <c r="I1315" t="s">
        <v>8</v>
      </c>
      <c r="J1315" t="s">
        <v>37</v>
      </c>
      <c r="K1315" t="s">
        <v>14</v>
      </c>
      <c r="L1315" t="s">
        <v>313</v>
      </c>
      <c r="M1315" t="s">
        <v>314</v>
      </c>
      <c r="N1315">
        <v>0</v>
      </c>
      <c r="O1315" t="str">
        <f>IF(Transactions_RAW_cleaned[[#This Row],[Status]]="Completed", IFERROR(_xlfn.XLOOKUP(Transactions_RAW_cleaned[[#This Row],[CustomerID]], Customers_cleaned[CustomerID], Customers_cleaned[Segment]), "Customer Not Found"), "N/A")</f>
        <v>SMB</v>
      </c>
      <c r="P1315" s="5" t="str">
        <f>IF(Transactions_RAW_cleaned[[#This Row],[Status]]="Refunded", "Refund",
  IF(Transactions_RAW_cleaned[[#This Row],[Category]]="Payments", IF(Transactions_RAW_cleaned[[#This Row],[Amount]]&gt;500,"High Value","Standard"),
    IF(Transactions_RAW_cleaned[[#This Row],[Amount]]&gt;250,"High Value","Standard")))</f>
        <v>High Value</v>
      </c>
      <c r="Q1315" s="5" t="str">
        <f>IF(Transactions_RAW_cleaned[[#This Row],[Amount]] &gt; (_xlfn.XLOOKUP(Transactions_RAW_cleaned[[#This Row],[ServiceID]],Services_cleaned[ServiceID],Services_cleaned[TransactionFeePct]) * 10000), "Yes", "No")</f>
        <v>Yes</v>
      </c>
      <c r="R1315" s="5" t="str">
        <f>IF(COUNTIFS($C$2:Transactions_RAW_cleaned[[#This Row],[CustomerID]],Transactions_RAW_cleaned[[#This Row],[CustomerID]],$D$2:Transactions_RAW_cleaned[[#This Row],[ServiceID]],Transactions_RAW_cleaned[[#This Row],[ServiceID]])=1,"Yes","No")</f>
        <v>Yes</v>
      </c>
      <c r="S131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15" t="str">
        <f>"Q"&amp;ROUNDUP(MONTH(Transactions_RAW_cleaned[[#This Row],[TransactionDate]])/3,0)</f>
        <v>Q3</v>
      </c>
      <c r="U1315" t="str">
        <f>Transactions_RAW_cleaned[[#This Row],[Region ]]&amp;Transactions_RAW_cleaned[[#This Row],[Quarter ]]</f>
        <v>EMEAQ3</v>
      </c>
      <c r="V1315" s="5">
        <f>_xlfn.XLOOKUP(Transactions_RAW_cleaned[[#This Row],[RegionQuarterKey]], Quarterly_Targets_cleaned[RegionQuarterKey], Quarterly_Targets_cleaned[TargetRevenue])</f>
        <v>147000</v>
      </c>
    </row>
    <row r="1316" spans="1:22" x14ac:dyDescent="0.25">
      <c r="A1316" t="s">
        <v>1647</v>
      </c>
      <c r="B1316" s="1">
        <v>45420</v>
      </c>
      <c r="C1316" t="s">
        <v>187</v>
      </c>
      <c r="D1316" t="s">
        <v>297</v>
      </c>
      <c r="E1316">
        <v>-652.36</v>
      </c>
      <c r="F1316" t="s">
        <v>349</v>
      </c>
      <c r="G1316" t="s">
        <v>325</v>
      </c>
      <c r="H1316" t="s">
        <v>346</v>
      </c>
      <c r="I1316" t="s">
        <v>57</v>
      </c>
      <c r="J1316" t="s">
        <v>21</v>
      </c>
      <c r="K1316" t="s">
        <v>28</v>
      </c>
      <c r="L1316" t="s">
        <v>298</v>
      </c>
      <c r="M1316" t="s">
        <v>299</v>
      </c>
      <c r="N1316">
        <v>0</v>
      </c>
      <c r="O1316" t="str">
        <f>IF(Transactions_RAW_cleaned[[#This Row],[Status]]="Completed", IFERROR(_xlfn.XLOOKUP(Transactions_RAW_cleaned[[#This Row],[CustomerID]], Customers_cleaned[CustomerID], Customers_cleaned[Segment]), "Customer Not Found"), "N/A")</f>
        <v>N/A</v>
      </c>
      <c r="P1316" s="5" t="str">
        <f>IF(Transactions_RAW_cleaned[[#This Row],[Status]]="Refunded", "Refund",
  IF(Transactions_RAW_cleaned[[#This Row],[Category]]="Payments", IF(Transactions_RAW_cleaned[[#This Row],[Amount]]&gt;500,"High Value","Standard"),
    IF(Transactions_RAW_cleaned[[#This Row],[Amount]]&gt;250,"High Value","Standard")))</f>
        <v>Refund</v>
      </c>
      <c r="Q1316" s="5" t="str">
        <f>IF(Transactions_RAW_cleaned[[#This Row],[Amount]] &gt; (_xlfn.XLOOKUP(Transactions_RAW_cleaned[[#This Row],[ServiceID]],Services_cleaned[ServiceID],Services_cleaned[TransactionFeePct]) * 10000), "Yes", "No")</f>
        <v>No</v>
      </c>
      <c r="R1316" s="5" t="str">
        <f>IF(COUNTIFS($C$2:Transactions_RAW_cleaned[[#This Row],[CustomerID]],Transactions_RAW_cleaned[[#This Row],[CustomerID]],$D$2:Transactions_RAW_cleaned[[#This Row],[ServiceID]],Transactions_RAW_cleaned[[#This Row],[ServiceID]])=1,"Yes","No")</f>
        <v>No</v>
      </c>
      <c r="S131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16" t="str">
        <f>"Q"&amp;ROUNDUP(MONTH(Transactions_RAW_cleaned[[#This Row],[TransactionDate]])/3,0)</f>
        <v>Q2</v>
      </c>
      <c r="U1316" t="str">
        <f>Transactions_RAW_cleaned[[#This Row],[Region ]]&amp;Transactions_RAW_cleaned[[#This Row],[Quarter ]]</f>
        <v>APACQ2</v>
      </c>
      <c r="V1316" s="5">
        <f>_xlfn.XLOOKUP(Transactions_RAW_cleaned[[#This Row],[RegionQuarterKey]], Quarterly_Targets_cleaned[RegionQuarterKey], Quarterly_Targets_cleaned[TargetRevenue])</f>
        <v>110000</v>
      </c>
    </row>
    <row r="1317" spans="1:22" x14ac:dyDescent="0.25">
      <c r="A1317" t="s">
        <v>1648</v>
      </c>
      <c r="B1317" s="1">
        <v>45433</v>
      </c>
      <c r="C1317" t="s">
        <v>153</v>
      </c>
      <c r="D1317" t="s">
        <v>309</v>
      </c>
      <c r="E1317">
        <v>432.58</v>
      </c>
      <c r="F1317" t="s">
        <v>324</v>
      </c>
      <c r="G1317" t="s">
        <v>325</v>
      </c>
      <c r="I1317" t="s">
        <v>8</v>
      </c>
      <c r="J1317" t="s">
        <v>37</v>
      </c>
      <c r="K1317" t="s">
        <v>32</v>
      </c>
      <c r="L1317" t="s">
        <v>310</v>
      </c>
      <c r="M1317" t="s">
        <v>311</v>
      </c>
      <c r="N1317">
        <v>0</v>
      </c>
      <c r="O1317" t="str">
        <f>IF(Transactions_RAW_cleaned[[#This Row],[Status]]="Completed", IFERROR(_xlfn.XLOOKUP(Transactions_RAW_cleaned[[#This Row],[CustomerID]], Customers_cleaned[CustomerID], Customers_cleaned[Segment]), "Customer Not Found"), "N/A")</f>
        <v>SMB</v>
      </c>
      <c r="P1317" s="5" t="str">
        <f>IF(Transactions_RAW_cleaned[[#This Row],[Status]]="Refunded", "Refund",
  IF(Transactions_RAW_cleaned[[#This Row],[Category]]="Payments", IF(Transactions_RAW_cleaned[[#This Row],[Amount]]&gt;500,"High Value","Standard"),
    IF(Transactions_RAW_cleaned[[#This Row],[Amount]]&gt;250,"High Value","Standard")))</f>
        <v>High Value</v>
      </c>
      <c r="Q1317" s="5" t="str">
        <f>IF(Transactions_RAW_cleaned[[#This Row],[Amount]] &gt; (_xlfn.XLOOKUP(Transactions_RAW_cleaned[[#This Row],[ServiceID]],Services_cleaned[ServiceID],Services_cleaned[TransactionFeePct]) * 10000), "Yes", "No")</f>
        <v>Yes</v>
      </c>
      <c r="R1317" s="5" t="str">
        <f>IF(COUNTIFS($C$2:Transactions_RAW_cleaned[[#This Row],[CustomerID]],Transactions_RAW_cleaned[[#This Row],[CustomerID]],$D$2:Transactions_RAW_cleaned[[#This Row],[ServiceID]],Transactions_RAW_cleaned[[#This Row],[ServiceID]])=1,"Yes","No")</f>
        <v>No</v>
      </c>
      <c r="S131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17" t="str">
        <f>"Q"&amp;ROUNDUP(MONTH(Transactions_RAW_cleaned[[#This Row],[TransactionDate]])/3,0)</f>
        <v>Q2</v>
      </c>
      <c r="U1317" t="str">
        <f>Transactions_RAW_cleaned[[#This Row],[Region ]]&amp;Transactions_RAW_cleaned[[#This Row],[Quarter ]]</f>
        <v>EMEAQ2</v>
      </c>
      <c r="V1317" s="5">
        <f>_xlfn.XLOOKUP(Transactions_RAW_cleaned[[#This Row],[RegionQuarterKey]], Quarterly_Targets_cleaned[RegionQuarterKey], Quarterly_Targets_cleaned[TargetRevenue])</f>
        <v>140000</v>
      </c>
    </row>
    <row r="1318" spans="1:22" x14ac:dyDescent="0.25">
      <c r="A1318" t="s">
        <v>1649</v>
      </c>
      <c r="B1318" s="1">
        <v>45423</v>
      </c>
      <c r="C1318" t="s">
        <v>197</v>
      </c>
      <c r="D1318" t="s">
        <v>315</v>
      </c>
      <c r="E1318">
        <v>760.47</v>
      </c>
      <c r="F1318" t="s">
        <v>324</v>
      </c>
      <c r="G1318" t="s">
        <v>327</v>
      </c>
      <c r="I1318" t="s">
        <v>8</v>
      </c>
      <c r="J1318" t="s">
        <v>46</v>
      </c>
      <c r="K1318" t="s">
        <v>14</v>
      </c>
      <c r="L1318" t="s">
        <v>316</v>
      </c>
      <c r="M1318" t="s">
        <v>305</v>
      </c>
      <c r="N1318">
        <v>2.5000000000000001E-3</v>
      </c>
      <c r="O1318" t="str">
        <f>IF(Transactions_RAW_cleaned[[#This Row],[Status]]="Completed", IFERROR(_xlfn.XLOOKUP(Transactions_RAW_cleaned[[#This Row],[CustomerID]], Customers_cleaned[CustomerID], Customers_cleaned[Segment]), "Customer Not Found"), "N/A")</f>
        <v>SMB</v>
      </c>
      <c r="P1318" s="5" t="str">
        <f>IF(Transactions_RAW_cleaned[[#This Row],[Status]]="Refunded", "Refund",
  IF(Transactions_RAW_cleaned[[#This Row],[Category]]="Payments", IF(Transactions_RAW_cleaned[[#This Row],[Amount]]&gt;500,"High Value","Standard"),
    IF(Transactions_RAW_cleaned[[#This Row],[Amount]]&gt;250,"High Value","Standard")))</f>
        <v>High Value</v>
      </c>
      <c r="Q1318" s="5" t="str">
        <f>IF(Transactions_RAW_cleaned[[#This Row],[Amount]] &gt; (_xlfn.XLOOKUP(Transactions_RAW_cleaned[[#This Row],[ServiceID]],Services_cleaned[ServiceID],Services_cleaned[TransactionFeePct]) * 10000), "Yes", "No")</f>
        <v>Yes</v>
      </c>
      <c r="R1318" s="5" t="str">
        <f>IF(COUNTIFS($C$2:Transactions_RAW_cleaned[[#This Row],[CustomerID]],Transactions_RAW_cleaned[[#This Row],[CustomerID]],$D$2:Transactions_RAW_cleaned[[#This Row],[ServiceID]],Transactions_RAW_cleaned[[#This Row],[ServiceID]])=1,"Yes","No")</f>
        <v>No</v>
      </c>
      <c r="S131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18" t="str">
        <f>"Q"&amp;ROUNDUP(MONTH(Transactions_RAW_cleaned[[#This Row],[TransactionDate]])/3,0)</f>
        <v>Q2</v>
      </c>
      <c r="U1318" t="str">
        <f>Transactions_RAW_cleaned[[#This Row],[Region ]]&amp;Transactions_RAW_cleaned[[#This Row],[Quarter ]]</f>
        <v>APACQ2</v>
      </c>
      <c r="V1318" s="5">
        <f>_xlfn.XLOOKUP(Transactions_RAW_cleaned[[#This Row],[RegionQuarterKey]], Quarterly_Targets_cleaned[RegionQuarterKey], Quarterly_Targets_cleaned[TargetRevenue])</f>
        <v>110000</v>
      </c>
    </row>
    <row r="1319" spans="1:22" x14ac:dyDescent="0.25">
      <c r="A1319" t="s">
        <v>1650</v>
      </c>
      <c r="B1319" s="1">
        <v>45548</v>
      </c>
      <c r="C1319" t="s">
        <v>1651</v>
      </c>
      <c r="D1319" t="s">
        <v>306</v>
      </c>
      <c r="E1319">
        <v>795.44</v>
      </c>
      <c r="F1319" t="s">
        <v>324</v>
      </c>
      <c r="G1319" t="s">
        <v>325</v>
      </c>
      <c r="L1319" t="s">
        <v>307</v>
      </c>
      <c r="M1319" t="s">
        <v>308</v>
      </c>
      <c r="N1319">
        <v>0</v>
      </c>
      <c r="O1319" t="str">
        <f>IF(Transactions_RAW_cleaned[[#This Row],[Status]]="Completed", IFERROR(_xlfn.XLOOKUP(Transactions_RAW_cleaned[[#This Row],[CustomerID]], Customers_cleaned[CustomerID], Customers_cleaned[Segment]), "Customer Not Found"), "N/A")</f>
        <v>Customer Not Found</v>
      </c>
      <c r="P1319" s="5" t="str">
        <f>IF(Transactions_RAW_cleaned[[#This Row],[Status]]="Refunded", "Refund",
  IF(Transactions_RAW_cleaned[[#This Row],[Category]]="Payments", IF(Transactions_RAW_cleaned[[#This Row],[Amount]]&gt;500,"High Value","Standard"),
    IF(Transactions_RAW_cleaned[[#This Row],[Amount]]&gt;250,"High Value","Standard")))</f>
        <v>High Value</v>
      </c>
      <c r="Q1319" s="5" t="str">
        <f>IF(Transactions_RAW_cleaned[[#This Row],[Amount]] &gt; (_xlfn.XLOOKUP(Transactions_RAW_cleaned[[#This Row],[ServiceID]],Services_cleaned[ServiceID],Services_cleaned[TransactionFeePct]) * 10000), "Yes", "No")</f>
        <v>Yes</v>
      </c>
      <c r="R1319" s="5" t="str">
        <f>IF(COUNTIFS($C$2:Transactions_RAW_cleaned[[#This Row],[CustomerID]],Transactions_RAW_cleaned[[#This Row],[CustomerID]],$D$2:Transactions_RAW_cleaned[[#This Row],[ServiceID]],Transactions_RAW_cleaned[[#This Row],[ServiceID]])=1,"Yes","No")</f>
        <v>Yes</v>
      </c>
      <c r="S131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19" t="str">
        <f>"Q"&amp;ROUNDUP(MONTH(Transactions_RAW_cleaned[[#This Row],[TransactionDate]])/3,0)</f>
        <v>Q3</v>
      </c>
      <c r="U1319" t="str">
        <f>Transactions_RAW_cleaned[[#This Row],[Region ]]&amp;Transactions_RAW_cleaned[[#This Row],[Quarter ]]</f>
        <v>APACQ3</v>
      </c>
      <c r="V1319" s="5">
        <f>_xlfn.XLOOKUP(Transactions_RAW_cleaned[[#This Row],[RegionQuarterKey]], Quarterly_Targets_cleaned[RegionQuarterKey], Quarterly_Targets_cleaned[TargetRevenue])</f>
        <v>115500</v>
      </c>
    </row>
    <row r="1320" spans="1:22" x14ac:dyDescent="0.25">
      <c r="A1320" t="s">
        <v>1652</v>
      </c>
      <c r="B1320" s="1">
        <v>45413</v>
      </c>
      <c r="C1320" t="s">
        <v>19</v>
      </c>
      <c r="D1320" t="s">
        <v>309</v>
      </c>
      <c r="E1320">
        <v>383.62</v>
      </c>
      <c r="F1320" t="s">
        <v>324</v>
      </c>
      <c r="G1320" t="s">
        <v>327</v>
      </c>
      <c r="H1320" t="s">
        <v>332</v>
      </c>
      <c r="I1320" t="s">
        <v>8</v>
      </c>
      <c r="J1320" t="s">
        <v>21</v>
      </c>
      <c r="K1320" t="s">
        <v>22</v>
      </c>
      <c r="L1320" t="s">
        <v>310</v>
      </c>
      <c r="M1320" t="s">
        <v>311</v>
      </c>
      <c r="N1320">
        <v>0</v>
      </c>
      <c r="O1320" t="str">
        <f>IF(Transactions_RAW_cleaned[[#This Row],[Status]]="Completed", IFERROR(_xlfn.XLOOKUP(Transactions_RAW_cleaned[[#This Row],[CustomerID]], Customers_cleaned[CustomerID], Customers_cleaned[Segment]), "Customer Not Found"), "N/A")</f>
        <v>SMB</v>
      </c>
      <c r="P1320" s="5" t="str">
        <f>IF(Transactions_RAW_cleaned[[#This Row],[Status]]="Refunded", "Refund",
  IF(Transactions_RAW_cleaned[[#This Row],[Category]]="Payments", IF(Transactions_RAW_cleaned[[#This Row],[Amount]]&gt;500,"High Value","Standard"),
    IF(Transactions_RAW_cleaned[[#This Row],[Amount]]&gt;250,"High Value","Standard")))</f>
        <v>High Value</v>
      </c>
      <c r="Q1320" s="5" t="str">
        <f>IF(Transactions_RAW_cleaned[[#This Row],[Amount]] &gt; (_xlfn.XLOOKUP(Transactions_RAW_cleaned[[#This Row],[ServiceID]],Services_cleaned[ServiceID],Services_cleaned[TransactionFeePct]) * 10000), "Yes", "No")</f>
        <v>Yes</v>
      </c>
      <c r="R1320" s="5" t="str">
        <f>IF(COUNTIFS($C$2:Transactions_RAW_cleaned[[#This Row],[CustomerID]],Transactions_RAW_cleaned[[#This Row],[CustomerID]],$D$2:Transactions_RAW_cleaned[[#This Row],[ServiceID]],Transactions_RAW_cleaned[[#This Row],[ServiceID]])=1,"Yes","No")</f>
        <v>No</v>
      </c>
      <c r="S132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20" t="str">
        <f>"Q"&amp;ROUNDUP(MONTH(Transactions_RAW_cleaned[[#This Row],[TransactionDate]])/3,0)</f>
        <v>Q2</v>
      </c>
      <c r="U1320" t="str">
        <f>Transactions_RAW_cleaned[[#This Row],[Region ]]&amp;Transactions_RAW_cleaned[[#This Row],[Quarter ]]</f>
        <v>APACQ2</v>
      </c>
      <c r="V1320" s="5">
        <f>_xlfn.XLOOKUP(Transactions_RAW_cleaned[[#This Row],[RegionQuarterKey]], Quarterly_Targets_cleaned[RegionQuarterKey], Quarterly_Targets_cleaned[TargetRevenue])</f>
        <v>110000</v>
      </c>
    </row>
    <row r="1321" spans="1:22" x14ac:dyDescent="0.25">
      <c r="A1321" t="s">
        <v>1653</v>
      </c>
      <c r="B1321" s="1">
        <v>45345</v>
      </c>
      <c r="C1321" t="s">
        <v>149</v>
      </c>
      <c r="D1321" t="s">
        <v>297</v>
      </c>
      <c r="E1321">
        <v>699.74</v>
      </c>
      <c r="F1321" t="s">
        <v>324</v>
      </c>
      <c r="G1321" t="s">
        <v>337</v>
      </c>
      <c r="H1321" t="s">
        <v>332</v>
      </c>
      <c r="I1321" t="s">
        <v>8</v>
      </c>
      <c r="J1321" t="s">
        <v>13</v>
      </c>
      <c r="K1321" t="s">
        <v>22</v>
      </c>
      <c r="L1321" t="s">
        <v>298</v>
      </c>
      <c r="M1321" t="s">
        <v>299</v>
      </c>
      <c r="N1321">
        <v>0</v>
      </c>
      <c r="O1321" t="str">
        <f>IF(Transactions_RAW_cleaned[[#This Row],[Status]]="Completed", IFERROR(_xlfn.XLOOKUP(Transactions_RAW_cleaned[[#This Row],[CustomerID]], Customers_cleaned[CustomerID], Customers_cleaned[Segment]), "Customer Not Found"), "N/A")</f>
        <v>SMB</v>
      </c>
      <c r="P1321" s="5" t="str">
        <f>IF(Transactions_RAW_cleaned[[#This Row],[Status]]="Refunded", "Refund",
  IF(Transactions_RAW_cleaned[[#This Row],[Category]]="Payments", IF(Transactions_RAW_cleaned[[#This Row],[Amount]]&gt;500,"High Value","Standard"),
    IF(Transactions_RAW_cleaned[[#This Row],[Amount]]&gt;250,"High Value","Standard")))</f>
        <v>High Value</v>
      </c>
      <c r="Q1321" s="5" t="str">
        <f>IF(Transactions_RAW_cleaned[[#This Row],[Amount]] &gt; (_xlfn.XLOOKUP(Transactions_RAW_cleaned[[#This Row],[ServiceID]],Services_cleaned[ServiceID],Services_cleaned[TransactionFeePct]) * 10000), "Yes", "No")</f>
        <v>Yes</v>
      </c>
      <c r="R1321" s="5" t="str">
        <f>IF(COUNTIFS($C$2:Transactions_RAW_cleaned[[#This Row],[CustomerID]],Transactions_RAW_cleaned[[#This Row],[CustomerID]],$D$2:Transactions_RAW_cleaned[[#This Row],[ServiceID]],Transactions_RAW_cleaned[[#This Row],[ServiceID]])=1,"Yes","No")</f>
        <v>Yes</v>
      </c>
      <c r="S132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21" t="str">
        <f>"Q"&amp;ROUNDUP(MONTH(Transactions_RAW_cleaned[[#This Row],[TransactionDate]])/3,0)</f>
        <v>Q1</v>
      </c>
      <c r="U1321" t="str">
        <f>Transactions_RAW_cleaned[[#This Row],[Region ]]&amp;Transactions_RAW_cleaned[[#This Row],[Quarter ]]</f>
        <v>NAQ1</v>
      </c>
      <c r="V1321" s="5">
        <f>_xlfn.XLOOKUP(Transactions_RAW_cleaned[[#This Row],[RegionQuarterKey]], Quarterly_Targets_cleaned[RegionQuarterKey], Quarterly_Targets_cleaned[TargetRevenue])</f>
        <v>247000</v>
      </c>
    </row>
    <row r="1322" spans="1:22" x14ac:dyDescent="0.25">
      <c r="A1322" t="s">
        <v>1654</v>
      </c>
      <c r="B1322" s="1">
        <v>45649</v>
      </c>
      <c r="C1322" t="s">
        <v>177</v>
      </c>
      <c r="D1322" t="s">
        <v>315</v>
      </c>
      <c r="E1322">
        <v>182.02</v>
      </c>
      <c r="F1322" t="s">
        <v>324</v>
      </c>
      <c r="G1322" t="s">
        <v>329</v>
      </c>
      <c r="I1322" t="s">
        <v>8</v>
      </c>
      <c r="J1322" t="s">
        <v>46</v>
      </c>
      <c r="K1322" t="s">
        <v>10</v>
      </c>
      <c r="L1322" t="s">
        <v>316</v>
      </c>
      <c r="M1322" t="s">
        <v>305</v>
      </c>
      <c r="N1322">
        <v>2.5000000000000001E-3</v>
      </c>
      <c r="O1322" t="str">
        <f>IF(Transactions_RAW_cleaned[[#This Row],[Status]]="Completed", IFERROR(_xlfn.XLOOKUP(Transactions_RAW_cleaned[[#This Row],[CustomerID]], Customers_cleaned[CustomerID], Customers_cleaned[Segment]), "Customer Not Found"), "N/A")</f>
        <v>SMB</v>
      </c>
      <c r="P1322" s="5" t="str">
        <f>IF(Transactions_RAW_cleaned[[#This Row],[Status]]="Refunded", "Refund",
  IF(Transactions_RAW_cleaned[[#This Row],[Category]]="Payments", IF(Transactions_RAW_cleaned[[#This Row],[Amount]]&gt;500,"High Value","Standard"),
    IF(Transactions_RAW_cleaned[[#This Row],[Amount]]&gt;250,"High Value","Standard")))</f>
        <v>Standard</v>
      </c>
      <c r="Q1322" s="5" t="str">
        <f>IF(Transactions_RAW_cleaned[[#This Row],[Amount]] &gt; (_xlfn.XLOOKUP(Transactions_RAW_cleaned[[#This Row],[ServiceID]],Services_cleaned[ServiceID],Services_cleaned[TransactionFeePct]) * 10000), "Yes", "No")</f>
        <v>Yes</v>
      </c>
      <c r="R1322" s="5" t="str">
        <f>IF(COUNTIFS($C$2:Transactions_RAW_cleaned[[#This Row],[CustomerID]],Transactions_RAW_cleaned[[#This Row],[CustomerID]],$D$2:Transactions_RAW_cleaned[[#This Row],[ServiceID]],Transactions_RAW_cleaned[[#This Row],[ServiceID]])=1,"Yes","No")</f>
        <v>Yes</v>
      </c>
      <c r="S132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22" t="str">
        <f>"Q"&amp;ROUNDUP(MONTH(Transactions_RAW_cleaned[[#This Row],[TransactionDate]])/3,0)</f>
        <v>Q4</v>
      </c>
      <c r="U1322" t="str">
        <f>Transactions_RAW_cleaned[[#This Row],[Region ]]&amp;Transactions_RAW_cleaned[[#This Row],[Quarter ]]</f>
        <v>APACQ4</v>
      </c>
      <c r="V1322" s="5">
        <f>_xlfn.XLOOKUP(Transactions_RAW_cleaned[[#This Row],[RegionQuarterKey]], Quarterly_Targets_cleaned[RegionQuarterKey], Quarterly_Targets_cleaned[TargetRevenue])</f>
        <v>126500</v>
      </c>
    </row>
    <row r="1323" spans="1:22" x14ac:dyDescent="0.25">
      <c r="A1323" t="s">
        <v>1655</v>
      </c>
      <c r="B1323" s="1">
        <v>45538</v>
      </c>
      <c r="C1323" t="s">
        <v>217</v>
      </c>
      <c r="D1323" t="s">
        <v>306</v>
      </c>
      <c r="E1323">
        <v>722.48</v>
      </c>
      <c r="F1323" t="s">
        <v>324</v>
      </c>
      <c r="G1323" t="s">
        <v>327</v>
      </c>
      <c r="I1323" t="s">
        <v>17</v>
      </c>
      <c r="J1323" t="s">
        <v>102</v>
      </c>
      <c r="K1323" t="s">
        <v>14</v>
      </c>
      <c r="L1323" t="s">
        <v>307</v>
      </c>
      <c r="M1323" t="s">
        <v>308</v>
      </c>
      <c r="N1323">
        <v>0</v>
      </c>
      <c r="O1323" t="str">
        <f>IF(Transactions_RAW_cleaned[[#This Row],[Status]]="Completed", IFERROR(_xlfn.XLOOKUP(Transactions_RAW_cleaned[[#This Row],[CustomerID]], Customers_cleaned[CustomerID], Customers_cleaned[Segment]), "Customer Not Found"), "N/A")</f>
        <v>Enterprise</v>
      </c>
      <c r="P1323" s="5" t="str">
        <f>IF(Transactions_RAW_cleaned[[#This Row],[Status]]="Refunded", "Refund",
  IF(Transactions_RAW_cleaned[[#This Row],[Category]]="Payments", IF(Transactions_RAW_cleaned[[#This Row],[Amount]]&gt;500,"High Value","Standard"),
    IF(Transactions_RAW_cleaned[[#This Row],[Amount]]&gt;250,"High Value","Standard")))</f>
        <v>High Value</v>
      </c>
      <c r="Q1323" s="5" t="str">
        <f>IF(Transactions_RAW_cleaned[[#This Row],[Amount]] &gt; (_xlfn.XLOOKUP(Transactions_RAW_cleaned[[#This Row],[ServiceID]],Services_cleaned[ServiceID],Services_cleaned[TransactionFeePct]) * 10000), "Yes", "No")</f>
        <v>Yes</v>
      </c>
      <c r="R1323" s="5" t="str">
        <f>IF(COUNTIFS($C$2:Transactions_RAW_cleaned[[#This Row],[CustomerID]],Transactions_RAW_cleaned[[#This Row],[CustomerID]],$D$2:Transactions_RAW_cleaned[[#This Row],[ServiceID]],Transactions_RAW_cleaned[[#This Row],[ServiceID]])=1,"Yes","No")</f>
        <v>No</v>
      </c>
      <c r="S132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23" t="str">
        <f>"Q"&amp;ROUNDUP(MONTH(Transactions_RAW_cleaned[[#This Row],[TransactionDate]])/3,0)</f>
        <v>Q3</v>
      </c>
      <c r="U1323" t="str">
        <f>Transactions_RAW_cleaned[[#This Row],[Region ]]&amp;Transactions_RAW_cleaned[[#This Row],[Quarter ]]</f>
        <v>NAQ3</v>
      </c>
      <c r="V1323" s="5">
        <f>_xlfn.XLOOKUP(Transactions_RAW_cleaned[[#This Row],[RegionQuarterKey]], Quarterly_Targets_cleaned[RegionQuarterKey], Quarterly_Targets_cleaned[TargetRevenue])</f>
        <v>273000</v>
      </c>
    </row>
    <row r="1324" spans="1:22" x14ac:dyDescent="0.25">
      <c r="A1324" t="s">
        <v>1656</v>
      </c>
      <c r="B1324" s="1">
        <v>45392</v>
      </c>
      <c r="C1324" t="s">
        <v>273</v>
      </c>
      <c r="D1324" t="s">
        <v>300</v>
      </c>
      <c r="E1324">
        <v>698.12</v>
      </c>
      <c r="F1324" t="s">
        <v>324</v>
      </c>
      <c r="G1324" t="s">
        <v>2963</v>
      </c>
      <c r="I1324" t="s">
        <v>17</v>
      </c>
      <c r="J1324" t="s">
        <v>102</v>
      </c>
      <c r="K1324" t="s">
        <v>22</v>
      </c>
      <c r="L1324" t="s">
        <v>301</v>
      </c>
      <c r="M1324" t="s">
        <v>302</v>
      </c>
      <c r="N1324">
        <v>5.0000000000000001E-3</v>
      </c>
      <c r="O1324" t="str">
        <f>IF(Transactions_RAW_cleaned[[#This Row],[Status]]="Completed", IFERROR(_xlfn.XLOOKUP(Transactions_RAW_cleaned[[#This Row],[CustomerID]], Customers_cleaned[CustomerID], Customers_cleaned[Segment]), "Customer Not Found"), "N/A")</f>
        <v>Enterprise</v>
      </c>
      <c r="P1324" s="5" t="str">
        <f>IF(Transactions_RAW_cleaned[[#This Row],[Status]]="Refunded", "Refund",
  IF(Transactions_RAW_cleaned[[#This Row],[Category]]="Payments", IF(Transactions_RAW_cleaned[[#This Row],[Amount]]&gt;500,"High Value","Standard"),
    IF(Transactions_RAW_cleaned[[#This Row],[Amount]]&gt;250,"High Value","Standard")))</f>
        <v>High Value</v>
      </c>
      <c r="Q1324" s="5" t="str">
        <f>IF(Transactions_RAW_cleaned[[#This Row],[Amount]] &gt; (_xlfn.XLOOKUP(Transactions_RAW_cleaned[[#This Row],[ServiceID]],Services_cleaned[ServiceID],Services_cleaned[TransactionFeePct]) * 10000), "Yes", "No")</f>
        <v>Yes</v>
      </c>
      <c r="R1324" s="5" t="str">
        <f>IF(COUNTIFS($C$2:Transactions_RAW_cleaned[[#This Row],[CustomerID]],Transactions_RAW_cleaned[[#This Row],[CustomerID]],$D$2:Transactions_RAW_cleaned[[#This Row],[ServiceID]],Transactions_RAW_cleaned[[#This Row],[ServiceID]])=1,"Yes","No")</f>
        <v>No</v>
      </c>
      <c r="S132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24" t="str">
        <f>"Q"&amp;ROUNDUP(MONTH(Transactions_RAW_cleaned[[#This Row],[TransactionDate]])/3,0)</f>
        <v>Q2</v>
      </c>
      <c r="U1324" t="str">
        <f>Transactions_RAW_cleaned[[#This Row],[Region ]]&amp;Transactions_RAW_cleaned[[#This Row],[Quarter ]]</f>
        <v>NAQ2</v>
      </c>
      <c r="V1324" s="5">
        <f>_xlfn.XLOOKUP(Transactions_RAW_cleaned[[#This Row],[RegionQuarterKey]], Quarterly_Targets_cleaned[RegionQuarterKey], Quarterly_Targets_cleaned[TargetRevenue])</f>
        <v>260000</v>
      </c>
    </row>
    <row r="1325" spans="1:22" x14ac:dyDescent="0.25">
      <c r="A1325" t="s">
        <v>1657</v>
      </c>
      <c r="B1325" s="1">
        <v>45477</v>
      </c>
      <c r="C1325" t="s">
        <v>229</v>
      </c>
      <c r="D1325" t="s">
        <v>312</v>
      </c>
      <c r="E1325">
        <v>1064.52</v>
      </c>
      <c r="F1325" t="s">
        <v>331</v>
      </c>
      <c r="G1325" t="s">
        <v>327</v>
      </c>
      <c r="H1325" t="s">
        <v>346</v>
      </c>
      <c r="I1325" t="s">
        <v>17</v>
      </c>
      <c r="J1325" t="s">
        <v>102</v>
      </c>
      <c r="K1325" t="s">
        <v>18</v>
      </c>
      <c r="L1325" t="s">
        <v>313</v>
      </c>
      <c r="M1325" t="s">
        <v>314</v>
      </c>
      <c r="N1325">
        <v>0</v>
      </c>
      <c r="O1325" t="str">
        <f>IF(Transactions_RAW_cleaned[[#This Row],[Status]]="Completed", IFERROR(_xlfn.XLOOKUP(Transactions_RAW_cleaned[[#This Row],[CustomerID]], Customers_cleaned[CustomerID], Customers_cleaned[Segment]), "Customer Not Found"), "N/A")</f>
        <v>N/A</v>
      </c>
      <c r="P1325" s="5" t="str">
        <f>IF(Transactions_RAW_cleaned[[#This Row],[Status]]="Refunded", "Refund",
  IF(Transactions_RAW_cleaned[[#This Row],[Category]]="Payments", IF(Transactions_RAW_cleaned[[#This Row],[Amount]]&gt;500,"High Value","Standard"),
    IF(Transactions_RAW_cleaned[[#This Row],[Amount]]&gt;250,"High Value","Standard")))</f>
        <v>High Value</v>
      </c>
      <c r="Q1325" s="5" t="str">
        <f>IF(Transactions_RAW_cleaned[[#This Row],[Amount]] &gt; (_xlfn.XLOOKUP(Transactions_RAW_cleaned[[#This Row],[ServiceID]],Services_cleaned[ServiceID],Services_cleaned[TransactionFeePct]) * 10000), "Yes", "No")</f>
        <v>Yes</v>
      </c>
      <c r="R1325" s="5" t="str">
        <f>IF(COUNTIFS($C$2:Transactions_RAW_cleaned[[#This Row],[CustomerID]],Transactions_RAW_cleaned[[#This Row],[CustomerID]],$D$2:Transactions_RAW_cleaned[[#This Row],[ServiceID]],Transactions_RAW_cleaned[[#This Row],[ServiceID]])=1,"Yes","No")</f>
        <v>No</v>
      </c>
      <c r="S132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25" t="str">
        <f>"Q"&amp;ROUNDUP(MONTH(Transactions_RAW_cleaned[[#This Row],[TransactionDate]])/3,0)</f>
        <v>Q3</v>
      </c>
      <c r="U1325" t="str">
        <f>Transactions_RAW_cleaned[[#This Row],[Region ]]&amp;Transactions_RAW_cleaned[[#This Row],[Quarter ]]</f>
        <v>NAQ3</v>
      </c>
      <c r="V1325" s="5">
        <f>_xlfn.XLOOKUP(Transactions_RAW_cleaned[[#This Row],[RegionQuarterKey]], Quarterly_Targets_cleaned[RegionQuarterKey], Quarterly_Targets_cleaned[TargetRevenue])</f>
        <v>273000</v>
      </c>
    </row>
    <row r="1326" spans="1:22" x14ac:dyDescent="0.25">
      <c r="A1326" t="s">
        <v>1658</v>
      </c>
      <c r="B1326" s="1">
        <v>45565</v>
      </c>
      <c r="C1326" t="s">
        <v>139</v>
      </c>
      <c r="D1326" t="s">
        <v>300</v>
      </c>
      <c r="E1326">
        <v>1117.1300000000001</v>
      </c>
      <c r="F1326" t="s">
        <v>324</v>
      </c>
      <c r="G1326" t="s">
        <v>327</v>
      </c>
      <c r="H1326" t="s">
        <v>346</v>
      </c>
      <c r="I1326" t="s">
        <v>8</v>
      </c>
      <c r="J1326" t="s">
        <v>102</v>
      </c>
      <c r="K1326" t="s">
        <v>22</v>
      </c>
      <c r="L1326" t="s">
        <v>301</v>
      </c>
      <c r="M1326" t="s">
        <v>302</v>
      </c>
      <c r="N1326">
        <v>5.0000000000000001E-3</v>
      </c>
      <c r="O1326" t="str">
        <f>IF(Transactions_RAW_cleaned[[#This Row],[Status]]="Completed", IFERROR(_xlfn.XLOOKUP(Transactions_RAW_cleaned[[#This Row],[CustomerID]], Customers_cleaned[CustomerID], Customers_cleaned[Segment]), "Customer Not Found"), "N/A")</f>
        <v>SMB</v>
      </c>
      <c r="P1326" s="5" t="str">
        <f>IF(Transactions_RAW_cleaned[[#This Row],[Status]]="Refunded", "Refund",
  IF(Transactions_RAW_cleaned[[#This Row],[Category]]="Payments", IF(Transactions_RAW_cleaned[[#This Row],[Amount]]&gt;500,"High Value","Standard"),
    IF(Transactions_RAW_cleaned[[#This Row],[Amount]]&gt;250,"High Value","Standard")))</f>
        <v>High Value</v>
      </c>
      <c r="Q1326" s="5" t="str">
        <f>IF(Transactions_RAW_cleaned[[#This Row],[Amount]] &gt; (_xlfn.XLOOKUP(Transactions_RAW_cleaned[[#This Row],[ServiceID]],Services_cleaned[ServiceID],Services_cleaned[TransactionFeePct]) * 10000), "Yes", "No")</f>
        <v>Yes</v>
      </c>
      <c r="R1326" s="5" t="str">
        <f>IF(COUNTIFS($C$2:Transactions_RAW_cleaned[[#This Row],[CustomerID]],Transactions_RAW_cleaned[[#This Row],[CustomerID]],$D$2:Transactions_RAW_cleaned[[#This Row],[ServiceID]],Transactions_RAW_cleaned[[#This Row],[ServiceID]])=1,"Yes","No")</f>
        <v>No</v>
      </c>
      <c r="S132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26" t="str">
        <f>"Q"&amp;ROUNDUP(MONTH(Transactions_RAW_cleaned[[#This Row],[TransactionDate]])/3,0)</f>
        <v>Q3</v>
      </c>
      <c r="U1326" t="str">
        <f>Transactions_RAW_cleaned[[#This Row],[Region ]]&amp;Transactions_RAW_cleaned[[#This Row],[Quarter ]]</f>
        <v>NAQ3</v>
      </c>
      <c r="V1326" s="5">
        <f>_xlfn.XLOOKUP(Transactions_RAW_cleaned[[#This Row],[RegionQuarterKey]], Quarterly_Targets_cleaned[RegionQuarterKey], Quarterly_Targets_cleaned[TargetRevenue])</f>
        <v>273000</v>
      </c>
    </row>
    <row r="1327" spans="1:22" x14ac:dyDescent="0.25">
      <c r="A1327" t="s">
        <v>1659</v>
      </c>
      <c r="B1327" s="1">
        <v>45441</v>
      </c>
      <c r="C1327" t="s">
        <v>211</v>
      </c>
      <c r="D1327" t="s">
        <v>294</v>
      </c>
      <c r="E1327">
        <v>521.35</v>
      </c>
      <c r="F1327" t="s">
        <v>324</v>
      </c>
      <c r="G1327" t="s">
        <v>327</v>
      </c>
      <c r="H1327" t="s">
        <v>332</v>
      </c>
      <c r="I1327" t="s">
        <v>8</v>
      </c>
      <c r="J1327" t="s">
        <v>31</v>
      </c>
      <c r="K1327" t="s">
        <v>22</v>
      </c>
      <c r="L1327" t="s">
        <v>295</v>
      </c>
      <c r="M1327" t="s">
        <v>296</v>
      </c>
      <c r="N1327">
        <v>2.9000000000000001E-2</v>
      </c>
      <c r="O1327" t="str">
        <f>IF(Transactions_RAW_cleaned[[#This Row],[Status]]="Completed", IFERROR(_xlfn.XLOOKUP(Transactions_RAW_cleaned[[#This Row],[CustomerID]], Customers_cleaned[CustomerID], Customers_cleaned[Segment]), "Customer Not Found"), "N/A")</f>
        <v>SMB</v>
      </c>
      <c r="P1327" s="5" t="str">
        <f>IF(Transactions_RAW_cleaned[[#This Row],[Status]]="Refunded", "Refund",
  IF(Transactions_RAW_cleaned[[#This Row],[Category]]="Payments", IF(Transactions_RAW_cleaned[[#This Row],[Amount]]&gt;500,"High Value","Standard"),
    IF(Transactions_RAW_cleaned[[#This Row],[Amount]]&gt;250,"High Value","Standard")))</f>
        <v>High Value</v>
      </c>
      <c r="Q1327" s="5" t="str">
        <f>IF(Transactions_RAW_cleaned[[#This Row],[Amount]] &gt; (_xlfn.XLOOKUP(Transactions_RAW_cleaned[[#This Row],[ServiceID]],Services_cleaned[ServiceID],Services_cleaned[TransactionFeePct]) * 10000), "Yes", "No")</f>
        <v>Yes</v>
      </c>
      <c r="R1327" s="5" t="str">
        <f>IF(COUNTIFS($C$2:Transactions_RAW_cleaned[[#This Row],[CustomerID]],Transactions_RAW_cleaned[[#This Row],[CustomerID]],$D$2:Transactions_RAW_cleaned[[#This Row],[ServiceID]],Transactions_RAW_cleaned[[#This Row],[ServiceID]])=1,"Yes","No")</f>
        <v>Yes</v>
      </c>
      <c r="S132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27" t="str">
        <f>"Q"&amp;ROUNDUP(MONTH(Transactions_RAW_cleaned[[#This Row],[TransactionDate]])/3,0)</f>
        <v>Q2</v>
      </c>
      <c r="U1327" t="str">
        <f>Transactions_RAW_cleaned[[#This Row],[Region ]]&amp;Transactions_RAW_cleaned[[#This Row],[Quarter ]]</f>
        <v>EMEAQ2</v>
      </c>
      <c r="V1327" s="5">
        <f>_xlfn.XLOOKUP(Transactions_RAW_cleaned[[#This Row],[RegionQuarterKey]], Quarterly_Targets_cleaned[RegionQuarterKey], Quarterly_Targets_cleaned[TargetRevenue])</f>
        <v>140000</v>
      </c>
    </row>
    <row r="1328" spans="1:22" x14ac:dyDescent="0.25">
      <c r="A1328" t="s">
        <v>1660</v>
      </c>
      <c r="B1328" s="1">
        <v>45638</v>
      </c>
      <c r="C1328" t="s">
        <v>62</v>
      </c>
      <c r="D1328" t="s">
        <v>315</v>
      </c>
      <c r="E1328">
        <v>307.85000000000002</v>
      </c>
      <c r="F1328" t="s">
        <v>324</v>
      </c>
      <c r="G1328" t="s">
        <v>327</v>
      </c>
      <c r="I1328" t="s">
        <v>8</v>
      </c>
      <c r="J1328" t="s">
        <v>46</v>
      </c>
      <c r="K1328" t="s">
        <v>18</v>
      </c>
      <c r="L1328" t="s">
        <v>316</v>
      </c>
      <c r="M1328" t="s">
        <v>305</v>
      </c>
      <c r="N1328">
        <v>2.5000000000000001E-3</v>
      </c>
      <c r="O1328" t="str">
        <f>IF(Transactions_RAW_cleaned[[#This Row],[Status]]="Completed", IFERROR(_xlfn.XLOOKUP(Transactions_RAW_cleaned[[#This Row],[CustomerID]], Customers_cleaned[CustomerID], Customers_cleaned[Segment]), "Customer Not Found"), "N/A")</f>
        <v>SMB</v>
      </c>
      <c r="P1328" s="5" t="str">
        <f>IF(Transactions_RAW_cleaned[[#This Row],[Status]]="Refunded", "Refund",
  IF(Transactions_RAW_cleaned[[#This Row],[Category]]="Payments", IF(Transactions_RAW_cleaned[[#This Row],[Amount]]&gt;500,"High Value","Standard"),
    IF(Transactions_RAW_cleaned[[#This Row],[Amount]]&gt;250,"High Value","Standard")))</f>
        <v>High Value</v>
      </c>
      <c r="Q1328" s="5" t="str">
        <f>IF(Transactions_RAW_cleaned[[#This Row],[Amount]] &gt; (_xlfn.XLOOKUP(Transactions_RAW_cleaned[[#This Row],[ServiceID]],Services_cleaned[ServiceID],Services_cleaned[TransactionFeePct]) * 10000), "Yes", "No")</f>
        <v>Yes</v>
      </c>
      <c r="R1328" s="5" t="str">
        <f>IF(COUNTIFS($C$2:Transactions_RAW_cleaned[[#This Row],[CustomerID]],Transactions_RAW_cleaned[[#This Row],[CustomerID]],$D$2:Transactions_RAW_cleaned[[#This Row],[ServiceID]],Transactions_RAW_cleaned[[#This Row],[ServiceID]])=1,"Yes","No")</f>
        <v>No</v>
      </c>
      <c r="S132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28" t="str">
        <f>"Q"&amp;ROUNDUP(MONTH(Transactions_RAW_cleaned[[#This Row],[TransactionDate]])/3,0)</f>
        <v>Q4</v>
      </c>
      <c r="U1328" t="str">
        <f>Transactions_RAW_cleaned[[#This Row],[Region ]]&amp;Transactions_RAW_cleaned[[#This Row],[Quarter ]]</f>
        <v>APACQ4</v>
      </c>
      <c r="V1328" s="5">
        <f>_xlfn.XLOOKUP(Transactions_RAW_cleaned[[#This Row],[RegionQuarterKey]], Quarterly_Targets_cleaned[RegionQuarterKey], Quarterly_Targets_cleaned[TargetRevenue])</f>
        <v>126500</v>
      </c>
    </row>
    <row r="1329" spans="1:22" x14ac:dyDescent="0.25">
      <c r="A1329" t="s">
        <v>1661</v>
      </c>
      <c r="B1329" s="1">
        <v>45363</v>
      </c>
      <c r="C1329" t="s">
        <v>68</v>
      </c>
      <c r="D1329" t="s">
        <v>294</v>
      </c>
      <c r="E1329">
        <v>448.52</v>
      </c>
      <c r="F1329" t="s">
        <v>324</v>
      </c>
      <c r="G1329" t="s">
        <v>325</v>
      </c>
      <c r="H1329" t="s">
        <v>334</v>
      </c>
      <c r="I1329" t="s">
        <v>57</v>
      </c>
      <c r="J1329" t="s">
        <v>13</v>
      </c>
      <c r="K1329" t="s">
        <v>10</v>
      </c>
      <c r="L1329" t="s">
        <v>295</v>
      </c>
      <c r="M1329" t="s">
        <v>296</v>
      </c>
      <c r="N1329">
        <v>2.9000000000000001E-2</v>
      </c>
      <c r="O1329" t="str">
        <f>IF(Transactions_RAW_cleaned[[#This Row],[Status]]="Completed", IFERROR(_xlfn.XLOOKUP(Transactions_RAW_cleaned[[#This Row],[CustomerID]], Customers_cleaned[CustomerID], Customers_cleaned[Segment]), "Customer Not Found"), "N/A")</f>
        <v>Startup</v>
      </c>
      <c r="P1329" s="5" t="str">
        <f>IF(Transactions_RAW_cleaned[[#This Row],[Status]]="Refunded", "Refund",
  IF(Transactions_RAW_cleaned[[#This Row],[Category]]="Payments", IF(Transactions_RAW_cleaned[[#This Row],[Amount]]&gt;500,"High Value","Standard"),
    IF(Transactions_RAW_cleaned[[#This Row],[Amount]]&gt;250,"High Value","Standard")))</f>
        <v>Standard</v>
      </c>
      <c r="Q1329" s="5" t="str">
        <f>IF(Transactions_RAW_cleaned[[#This Row],[Amount]] &gt; (_xlfn.XLOOKUP(Transactions_RAW_cleaned[[#This Row],[ServiceID]],Services_cleaned[ServiceID],Services_cleaned[TransactionFeePct]) * 10000), "Yes", "No")</f>
        <v>Yes</v>
      </c>
      <c r="R1329" s="5" t="str">
        <f>IF(COUNTIFS($C$2:Transactions_RAW_cleaned[[#This Row],[CustomerID]],Transactions_RAW_cleaned[[#This Row],[CustomerID]],$D$2:Transactions_RAW_cleaned[[#This Row],[ServiceID]],Transactions_RAW_cleaned[[#This Row],[ServiceID]])=1,"Yes","No")</f>
        <v>No</v>
      </c>
      <c r="S132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29" t="str">
        <f>"Q"&amp;ROUNDUP(MONTH(Transactions_RAW_cleaned[[#This Row],[TransactionDate]])/3,0)</f>
        <v>Q1</v>
      </c>
      <c r="U1329" t="str">
        <f>Transactions_RAW_cleaned[[#This Row],[Region ]]&amp;Transactions_RAW_cleaned[[#This Row],[Quarter ]]</f>
        <v>NAQ1</v>
      </c>
      <c r="V1329" s="5">
        <f>_xlfn.XLOOKUP(Transactions_RAW_cleaned[[#This Row],[RegionQuarterKey]], Quarterly_Targets_cleaned[RegionQuarterKey], Quarterly_Targets_cleaned[TargetRevenue])</f>
        <v>247000</v>
      </c>
    </row>
    <row r="1330" spans="1:22" x14ac:dyDescent="0.25">
      <c r="A1330" t="s">
        <v>1662</v>
      </c>
      <c r="B1330" s="1">
        <v>45458</v>
      </c>
      <c r="C1330" t="s">
        <v>84</v>
      </c>
      <c r="D1330" t="s">
        <v>312</v>
      </c>
      <c r="E1330">
        <v>-503.76</v>
      </c>
      <c r="F1330" t="s">
        <v>349</v>
      </c>
      <c r="G1330" t="s">
        <v>325</v>
      </c>
      <c r="H1330" t="s">
        <v>346</v>
      </c>
      <c r="I1330" t="s">
        <v>8</v>
      </c>
      <c r="J1330" t="s">
        <v>46</v>
      </c>
      <c r="K1330" t="s">
        <v>28</v>
      </c>
      <c r="L1330" t="s">
        <v>313</v>
      </c>
      <c r="M1330" t="s">
        <v>314</v>
      </c>
      <c r="N1330">
        <v>0</v>
      </c>
      <c r="O1330" t="str">
        <f>IF(Transactions_RAW_cleaned[[#This Row],[Status]]="Completed", IFERROR(_xlfn.XLOOKUP(Transactions_RAW_cleaned[[#This Row],[CustomerID]], Customers_cleaned[CustomerID], Customers_cleaned[Segment]), "Customer Not Found"), "N/A")</f>
        <v>N/A</v>
      </c>
      <c r="P1330" s="5" t="str">
        <f>IF(Transactions_RAW_cleaned[[#This Row],[Status]]="Refunded", "Refund",
  IF(Transactions_RAW_cleaned[[#This Row],[Category]]="Payments", IF(Transactions_RAW_cleaned[[#This Row],[Amount]]&gt;500,"High Value","Standard"),
    IF(Transactions_RAW_cleaned[[#This Row],[Amount]]&gt;250,"High Value","Standard")))</f>
        <v>Refund</v>
      </c>
      <c r="Q1330" s="5" t="str">
        <f>IF(Transactions_RAW_cleaned[[#This Row],[Amount]] &gt; (_xlfn.XLOOKUP(Transactions_RAW_cleaned[[#This Row],[ServiceID]],Services_cleaned[ServiceID],Services_cleaned[TransactionFeePct]) * 10000), "Yes", "No")</f>
        <v>No</v>
      </c>
      <c r="R1330" s="5" t="str">
        <f>IF(COUNTIFS($C$2:Transactions_RAW_cleaned[[#This Row],[CustomerID]],Transactions_RAW_cleaned[[#This Row],[CustomerID]],$D$2:Transactions_RAW_cleaned[[#This Row],[ServiceID]],Transactions_RAW_cleaned[[#This Row],[ServiceID]])=1,"Yes","No")</f>
        <v>No</v>
      </c>
      <c r="S133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30" t="str">
        <f>"Q"&amp;ROUNDUP(MONTH(Transactions_RAW_cleaned[[#This Row],[TransactionDate]])/3,0)</f>
        <v>Q2</v>
      </c>
      <c r="U1330" t="str">
        <f>Transactions_RAW_cleaned[[#This Row],[Region ]]&amp;Transactions_RAW_cleaned[[#This Row],[Quarter ]]</f>
        <v>APACQ2</v>
      </c>
      <c r="V1330" s="5">
        <f>_xlfn.XLOOKUP(Transactions_RAW_cleaned[[#This Row],[RegionQuarterKey]], Quarterly_Targets_cleaned[RegionQuarterKey], Quarterly_Targets_cleaned[TargetRevenue])</f>
        <v>110000</v>
      </c>
    </row>
    <row r="1331" spans="1:22" x14ac:dyDescent="0.25">
      <c r="A1331" t="s">
        <v>1663</v>
      </c>
      <c r="B1331" s="1">
        <v>45388</v>
      </c>
      <c r="C1331" t="s">
        <v>213</v>
      </c>
      <c r="D1331" t="s">
        <v>297</v>
      </c>
      <c r="E1331">
        <v>400.55</v>
      </c>
      <c r="F1331" t="s">
        <v>324</v>
      </c>
      <c r="G1331" t="s">
        <v>329</v>
      </c>
      <c r="H1331" t="s">
        <v>332</v>
      </c>
      <c r="I1331" t="s">
        <v>17</v>
      </c>
      <c r="J1331" t="s">
        <v>25</v>
      </c>
      <c r="K1331" t="s">
        <v>14</v>
      </c>
      <c r="L1331" t="s">
        <v>298</v>
      </c>
      <c r="M1331" t="s">
        <v>299</v>
      </c>
      <c r="N1331">
        <v>0</v>
      </c>
      <c r="O1331" t="str">
        <f>IF(Transactions_RAW_cleaned[[#This Row],[Status]]="Completed", IFERROR(_xlfn.XLOOKUP(Transactions_RAW_cleaned[[#This Row],[CustomerID]], Customers_cleaned[CustomerID], Customers_cleaned[Segment]), "Customer Not Found"), "N/A")</f>
        <v>Enterprise</v>
      </c>
      <c r="P1331" s="5" t="str">
        <f>IF(Transactions_RAW_cleaned[[#This Row],[Status]]="Refunded", "Refund",
  IF(Transactions_RAW_cleaned[[#This Row],[Category]]="Payments", IF(Transactions_RAW_cleaned[[#This Row],[Amount]]&gt;500,"High Value","Standard"),
    IF(Transactions_RAW_cleaned[[#This Row],[Amount]]&gt;250,"High Value","Standard")))</f>
        <v>High Value</v>
      </c>
      <c r="Q1331" s="5" t="str">
        <f>IF(Transactions_RAW_cleaned[[#This Row],[Amount]] &gt; (_xlfn.XLOOKUP(Transactions_RAW_cleaned[[#This Row],[ServiceID]],Services_cleaned[ServiceID],Services_cleaned[TransactionFeePct]) * 10000), "Yes", "No")</f>
        <v>Yes</v>
      </c>
      <c r="R1331" s="5" t="str">
        <f>IF(COUNTIFS($C$2:Transactions_RAW_cleaned[[#This Row],[CustomerID]],Transactions_RAW_cleaned[[#This Row],[CustomerID]],$D$2:Transactions_RAW_cleaned[[#This Row],[ServiceID]],Transactions_RAW_cleaned[[#This Row],[ServiceID]])=1,"Yes","No")</f>
        <v>No</v>
      </c>
      <c r="S133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31" t="str">
        <f>"Q"&amp;ROUNDUP(MONTH(Transactions_RAW_cleaned[[#This Row],[TransactionDate]])/3,0)</f>
        <v>Q2</v>
      </c>
      <c r="U1331" t="str">
        <f>Transactions_RAW_cleaned[[#This Row],[Region ]]&amp;Transactions_RAW_cleaned[[#This Row],[Quarter ]]</f>
        <v>APACQ2</v>
      </c>
      <c r="V1331" s="5">
        <f>_xlfn.XLOOKUP(Transactions_RAW_cleaned[[#This Row],[RegionQuarterKey]], Quarterly_Targets_cleaned[RegionQuarterKey], Quarterly_Targets_cleaned[TargetRevenue])</f>
        <v>110000</v>
      </c>
    </row>
    <row r="1332" spans="1:22" x14ac:dyDescent="0.25">
      <c r="A1332" t="s">
        <v>1664</v>
      </c>
      <c r="B1332" s="1">
        <v>45458</v>
      </c>
      <c r="C1332" t="s">
        <v>66</v>
      </c>
      <c r="D1332" t="s">
        <v>294</v>
      </c>
      <c r="E1332">
        <v>714.07</v>
      </c>
      <c r="F1332" t="s">
        <v>324</v>
      </c>
      <c r="G1332" t="s">
        <v>337</v>
      </c>
      <c r="H1332" t="s">
        <v>346</v>
      </c>
      <c r="I1332" t="s">
        <v>8</v>
      </c>
      <c r="J1332" t="s">
        <v>46</v>
      </c>
      <c r="K1332" t="s">
        <v>10</v>
      </c>
      <c r="L1332" t="s">
        <v>295</v>
      </c>
      <c r="M1332" t="s">
        <v>296</v>
      </c>
      <c r="N1332">
        <v>2.9000000000000001E-2</v>
      </c>
      <c r="O1332" t="str">
        <f>IF(Transactions_RAW_cleaned[[#This Row],[Status]]="Completed", IFERROR(_xlfn.XLOOKUP(Transactions_RAW_cleaned[[#This Row],[CustomerID]], Customers_cleaned[CustomerID], Customers_cleaned[Segment]), "Customer Not Found"), "N/A")</f>
        <v>SMB</v>
      </c>
      <c r="P1332" s="5" t="str">
        <f>IF(Transactions_RAW_cleaned[[#This Row],[Status]]="Refunded", "Refund",
  IF(Transactions_RAW_cleaned[[#This Row],[Category]]="Payments", IF(Transactions_RAW_cleaned[[#This Row],[Amount]]&gt;500,"High Value","Standard"),
    IF(Transactions_RAW_cleaned[[#This Row],[Amount]]&gt;250,"High Value","Standard")))</f>
        <v>High Value</v>
      </c>
      <c r="Q1332" s="5" t="str">
        <f>IF(Transactions_RAW_cleaned[[#This Row],[Amount]] &gt; (_xlfn.XLOOKUP(Transactions_RAW_cleaned[[#This Row],[ServiceID]],Services_cleaned[ServiceID],Services_cleaned[TransactionFeePct]) * 10000), "Yes", "No")</f>
        <v>Yes</v>
      </c>
      <c r="R1332" s="5" t="str">
        <f>IF(COUNTIFS($C$2:Transactions_RAW_cleaned[[#This Row],[CustomerID]],Transactions_RAW_cleaned[[#This Row],[CustomerID]],$D$2:Transactions_RAW_cleaned[[#This Row],[ServiceID]],Transactions_RAW_cleaned[[#This Row],[ServiceID]])=1,"Yes","No")</f>
        <v>No</v>
      </c>
      <c r="S133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32" t="str">
        <f>"Q"&amp;ROUNDUP(MONTH(Transactions_RAW_cleaned[[#This Row],[TransactionDate]])/3,0)</f>
        <v>Q2</v>
      </c>
      <c r="U1332" t="str">
        <f>Transactions_RAW_cleaned[[#This Row],[Region ]]&amp;Transactions_RAW_cleaned[[#This Row],[Quarter ]]</f>
        <v>APACQ2</v>
      </c>
      <c r="V1332" s="5">
        <f>_xlfn.XLOOKUP(Transactions_RAW_cleaned[[#This Row],[RegionQuarterKey]], Quarterly_Targets_cleaned[RegionQuarterKey], Quarterly_Targets_cleaned[TargetRevenue])</f>
        <v>110000</v>
      </c>
    </row>
    <row r="1333" spans="1:22" x14ac:dyDescent="0.25">
      <c r="A1333" t="s">
        <v>1665</v>
      </c>
      <c r="B1333" s="1">
        <v>45500</v>
      </c>
      <c r="C1333" t="s">
        <v>84</v>
      </c>
      <c r="D1333" t="s">
        <v>297</v>
      </c>
      <c r="E1333">
        <v>274.48</v>
      </c>
      <c r="F1333" t="s">
        <v>324</v>
      </c>
      <c r="G1333" t="s">
        <v>327</v>
      </c>
      <c r="I1333" t="s">
        <v>8</v>
      </c>
      <c r="J1333" t="s">
        <v>46</v>
      </c>
      <c r="K1333" t="s">
        <v>28</v>
      </c>
      <c r="L1333" t="s">
        <v>298</v>
      </c>
      <c r="M1333" t="s">
        <v>299</v>
      </c>
      <c r="N1333">
        <v>0</v>
      </c>
      <c r="O1333" t="str">
        <f>IF(Transactions_RAW_cleaned[[#This Row],[Status]]="Completed", IFERROR(_xlfn.XLOOKUP(Transactions_RAW_cleaned[[#This Row],[CustomerID]], Customers_cleaned[CustomerID], Customers_cleaned[Segment]), "Customer Not Found"), "N/A")</f>
        <v>SMB</v>
      </c>
      <c r="P1333" s="5" t="str">
        <f>IF(Transactions_RAW_cleaned[[#This Row],[Status]]="Refunded", "Refund",
  IF(Transactions_RAW_cleaned[[#This Row],[Category]]="Payments", IF(Transactions_RAW_cleaned[[#This Row],[Amount]]&gt;500,"High Value","Standard"),
    IF(Transactions_RAW_cleaned[[#This Row],[Amount]]&gt;250,"High Value","Standard")))</f>
        <v>High Value</v>
      </c>
      <c r="Q1333" s="5" t="str">
        <f>IF(Transactions_RAW_cleaned[[#This Row],[Amount]] &gt; (_xlfn.XLOOKUP(Transactions_RAW_cleaned[[#This Row],[ServiceID]],Services_cleaned[ServiceID],Services_cleaned[TransactionFeePct]) * 10000), "Yes", "No")</f>
        <v>Yes</v>
      </c>
      <c r="R1333" s="5" t="str">
        <f>IF(COUNTIFS($C$2:Transactions_RAW_cleaned[[#This Row],[CustomerID]],Transactions_RAW_cleaned[[#This Row],[CustomerID]],$D$2:Transactions_RAW_cleaned[[#This Row],[ServiceID]],Transactions_RAW_cleaned[[#This Row],[ServiceID]])=1,"Yes","No")</f>
        <v>Yes</v>
      </c>
      <c r="S133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33" t="str">
        <f>"Q"&amp;ROUNDUP(MONTH(Transactions_RAW_cleaned[[#This Row],[TransactionDate]])/3,0)</f>
        <v>Q3</v>
      </c>
      <c r="U1333" t="str">
        <f>Transactions_RAW_cleaned[[#This Row],[Region ]]&amp;Transactions_RAW_cleaned[[#This Row],[Quarter ]]</f>
        <v>APACQ3</v>
      </c>
      <c r="V1333" s="5">
        <f>_xlfn.XLOOKUP(Transactions_RAW_cleaned[[#This Row],[RegionQuarterKey]], Quarterly_Targets_cleaned[RegionQuarterKey], Quarterly_Targets_cleaned[TargetRevenue])</f>
        <v>115500</v>
      </c>
    </row>
    <row r="1334" spans="1:22" x14ac:dyDescent="0.25">
      <c r="A1334" t="s">
        <v>1666</v>
      </c>
      <c r="B1334" s="1">
        <v>45446</v>
      </c>
      <c r="C1334" t="s">
        <v>149</v>
      </c>
      <c r="D1334" t="s">
        <v>294</v>
      </c>
      <c r="E1334">
        <v>522.92999999999995</v>
      </c>
      <c r="F1334" t="s">
        <v>324</v>
      </c>
      <c r="G1334" t="s">
        <v>337</v>
      </c>
      <c r="H1334" t="s">
        <v>332</v>
      </c>
      <c r="I1334" t="s">
        <v>8</v>
      </c>
      <c r="J1334" t="s">
        <v>13</v>
      </c>
      <c r="K1334" t="s">
        <v>22</v>
      </c>
      <c r="L1334" t="s">
        <v>295</v>
      </c>
      <c r="M1334" t="s">
        <v>296</v>
      </c>
      <c r="N1334">
        <v>2.9000000000000001E-2</v>
      </c>
      <c r="O1334" t="str">
        <f>IF(Transactions_RAW_cleaned[[#This Row],[Status]]="Completed", IFERROR(_xlfn.XLOOKUP(Transactions_RAW_cleaned[[#This Row],[CustomerID]], Customers_cleaned[CustomerID], Customers_cleaned[Segment]), "Customer Not Found"), "N/A")</f>
        <v>SMB</v>
      </c>
      <c r="P1334" s="5" t="str">
        <f>IF(Transactions_RAW_cleaned[[#This Row],[Status]]="Refunded", "Refund",
  IF(Transactions_RAW_cleaned[[#This Row],[Category]]="Payments", IF(Transactions_RAW_cleaned[[#This Row],[Amount]]&gt;500,"High Value","Standard"),
    IF(Transactions_RAW_cleaned[[#This Row],[Amount]]&gt;250,"High Value","Standard")))</f>
        <v>High Value</v>
      </c>
      <c r="Q1334" s="5" t="str">
        <f>IF(Transactions_RAW_cleaned[[#This Row],[Amount]] &gt; (_xlfn.XLOOKUP(Transactions_RAW_cleaned[[#This Row],[ServiceID]],Services_cleaned[ServiceID],Services_cleaned[TransactionFeePct]) * 10000), "Yes", "No")</f>
        <v>Yes</v>
      </c>
      <c r="R1334" s="5" t="str">
        <f>IF(COUNTIFS($C$2:Transactions_RAW_cleaned[[#This Row],[CustomerID]],Transactions_RAW_cleaned[[#This Row],[CustomerID]],$D$2:Transactions_RAW_cleaned[[#This Row],[ServiceID]],Transactions_RAW_cleaned[[#This Row],[ServiceID]])=1,"Yes","No")</f>
        <v>No</v>
      </c>
      <c r="S133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34" t="str">
        <f>"Q"&amp;ROUNDUP(MONTH(Transactions_RAW_cleaned[[#This Row],[TransactionDate]])/3,0)</f>
        <v>Q2</v>
      </c>
      <c r="U1334" t="str">
        <f>Transactions_RAW_cleaned[[#This Row],[Region ]]&amp;Transactions_RAW_cleaned[[#This Row],[Quarter ]]</f>
        <v>NAQ2</v>
      </c>
      <c r="V1334" s="5">
        <f>_xlfn.XLOOKUP(Transactions_RAW_cleaned[[#This Row],[RegionQuarterKey]], Quarterly_Targets_cleaned[RegionQuarterKey], Quarterly_Targets_cleaned[TargetRevenue])</f>
        <v>260000</v>
      </c>
    </row>
    <row r="1335" spans="1:22" x14ac:dyDescent="0.25">
      <c r="A1335" t="s">
        <v>1667</v>
      </c>
      <c r="B1335" s="1">
        <v>45316</v>
      </c>
      <c r="C1335" t="s">
        <v>179</v>
      </c>
      <c r="D1335" t="s">
        <v>300</v>
      </c>
      <c r="E1335">
        <v>212.42</v>
      </c>
      <c r="F1335" t="s">
        <v>324</v>
      </c>
      <c r="G1335" t="s">
        <v>327</v>
      </c>
      <c r="H1335" t="s">
        <v>334</v>
      </c>
      <c r="I1335" t="s">
        <v>8</v>
      </c>
      <c r="J1335" t="s">
        <v>31</v>
      </c>
      <c r="K1335" t="s">
        <v>18</v>
      </c>
      <c r="L1335" t="s">
        <v>301</v>
      </c>
      <c r="M1335" t="s">
        <v>302</v>
      </c>
      <c r="N1335">
        <v>5.0000000000000001E-3</v>
      </c>
      <c r="O1335" t="str">
        <f>IF(Transactions_RAW_cleaned[[#This Row],[Status]]="Completed", IFERROR(_xlfn.XLOOKUP(Transactions_RAW_cleaned[[#This Row],[CustomerID]], Customers_cleaned[CustomerID], Customers_cleaned[Segment]), "Customer Not Found"), "N/A")</f>
        <v>SMB</v>
      </c>
      <c r="P1335" s="5" t="str">
        <f>IF(Transactions_RAW_cleaned[[#This Row],[Status]]="Refunded", "Refund",
  IF(Transactions_RAW_cleaned[[#This Row],[Category]]="Payments", IF(Transactions_RAW_cleaned[[#This Row],[Amount]]&gt;500,"High Value","Standard"),
    IF(Transactions_RAW_cleaned[[#This Row],[Amount]]&gt;250,"High Value","Standard")))</f>
        <v>Standard</v>
      </c>
      <c r="Q1335" s="5" t="str">
        <f>IF(Transactions_RAW_cleaned[[#This Row],[Amount]] &gt; (_xlfn.XLOOKUP(Transactions_RAW_cleaned[[#This Row],[ServiceID]],Services_cleaned[ServiceID],Services_cleaned[TransactionFeePct]) * 10000), "Yes", "No")</f>
        <v>Yes</v>
      </c>
      <c r="R1335" s="5" t="str">
        <f>IF(COUNTIFS($C$2:Transactions_RAW_cleaned[[#This Row],[CustomerID]],Transactions_RAW_cleaned[[#This Row],[CustomerID]],$D$2:Transactions_RAW_cleaned[[#This Row],[ServiceID]],Transactions_RAW_cleaned[[#This Row],[ServiceID]])=1,"Yes","No")</f>
        <v>No</v>
      </c>
      <c r="S133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35" t="str">
        <f>"Q"&amp;ROUNDUP(MONTH(Transactions_RAW_cleaned[[#This Row],[TransactionDate]])/3,0)</f>
        <v>Q1</v>
      </c>
      <c r="U1335" t="str">
        <f>Transactions_RAW_cleaned[[#This Row],[Region ]]&amp;Transactions_RAW_cleaned[[#This Row],[Quarter ]]</f>
        <v>EMEAQ1</v>
      </c>
      <c r="V1335" s="5">
        <f>_xlfn.XLOOKUP(Transactions_RAW_cleaned[[#This Row],[RegionQuarterKey]], Quarterly_Targets_cleaned[RegionQuarterKey], Quarterly_Targets_cleaned[TargetRevenue])</f>
        <v>133000</v>
      </c>
    </row>
    <row r="1336" spans="1:22" x14ac:dyDescent="0.25">
      <c r="A1336" t="s">
        <v>1668</v>
      </c>
      <c r="B1336" s="1">
        <v>45464</v>
      </c>
      <c r="C1336" t="s">
        <v>257</v>
      </c>
      <c r="D1336" t="s">
        <v>300</v>
      </c>
      <c r="E1336">
        <v>625.59</v>
      </c>
      <c r="F1336" t="s">
        <v>324</v>
      </c>
      <c r="G1336" t="s">
        <v>327</v>
      </c>
      <c r="H1336" t="s">
        <v>346</v>
      </c>
      <c r="I1336" t="s">
        <v>57</v>
      </c>
      <c r="J1336" t="s">
        <v>13</v>
      </c>
      <c r="K1336" t="s">
        <v>22</v>
      </c>
      <c r="L1336" t="s">
        <v>301</v>
      </c>
      <c r="M1336" t="s">
        <v>302</v>
      </c>
      <c r="N1336">
        <v>5.0000000000000001E-3</v>
      </c>
      <c r="O1336" t="str">
        <f>IF(Transactions_RAW_cleaned[[#This Row],[Status]]="Completed", IFERROR(_xlfn.XLOOKUP(Transactions_RAW_cleaned[[#This Row],[CustomerID]], Customers_cleaned[CustomerID], Customers_cleaned[Segment]), "Customer Not Found"), "N/A")</f>
        <v>Startup</v>
      </c>
      <c r="P1336" s="5" t="str">
        <f>IF(Transactions_RAW_cleaned[[#This Row],[Status]]="Refunded", "Refund",
  IF(Transactions_RAW_cleaned[[#This Row],[Category]]="Payments", IF(Transactions_RAW_cleaned[[#This Row],[Amount]]&gt;500,"High Value","Standard"),
    IF(Transactions_RAW_cleaned[[#This Row],[Amount]]&gt;250,"High Value","Standard")))</f>
        <v>High Value</v>
      </c>
      <c r="Q1336" s="5" t="str">
        <f>IF(Transactions_RAW_cleaned[[#This Row],[Amount]] &gt; (_xlfn.XLOOKUP(Transactions_RAW_cleaned[[#This Row],[ServiceID]],Services_cleaned[ServiceID],Services_cleaned[TransactionFeePct]) * 10000), "Yes", "No")</f>
        <v>Yes</v>
      </c>
      <c r="R1336" s="5" t="str">
        <f>IF(COUNTIFS($C$2:Transactions_RAW_cleaned[[#This Row],[CustomerID]],Transactions_RAW_cleaned[[#This Row],[CustomerID]],$D$2:Transactions_RAW_cleaned[[#This Row],[ServiceID]],Transactions_RAW_cleaned[[#This Row],[ServiceID]])=1,"Yes","No")</f>
        <v>No</v>
      </c>
      <c r="S133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36" t="str">
        <f>"Q"&amp;ROUNDUP(MONTH(Transactions_RAW_cleaned[[#This Row],[TransactionDate]])/3,0)</f>
        <v>Q2</v>
      </c>
      <c r="U1336" t="str">
        <f>Transactions_RAW_cleaned[[#This Row],[Region ]]&amp;Transactions_RAW_cleaned[[#This Row],[Quarter ]]</f>
        <v>NAQ2</v>
      </c>
      <c r="V1336" s="5">
        <f>_xlfn.XLOOKUP(Transactions_RAW_cleaned[[#This Row],[RegionQuarterKey]], Quarterly_Targets_cleaned[RegionQuarterKey], Quarterly_Targets_cleaned[TargetRevenue])</f>
        <v>260000</v>
      </c>
    </row>
    <row r="1337" spans="1:22" x14ac:dyDescent="0.25">
      <c r="A1337" t="s">
        <v>1669</v>
      </c>
      <c r="B1337" s="1">
        <v>45496</v>
      </c>
      <c r="C1337" t="s">
        <v>253</v>
      </c>
      <c r="D1337" t="s">
        <v>294</v>
      </c>
      <c r="E1337">
        <v>114.97</v>
      </c>
      <c r="F1337" t="s">
        <v>324</v>
      </c>
      <c r="G1337" t="s">
        <v>325</v>
      </c>
      <c r="H1337" t="s">
        <v>332</v>
      </c>
      <c r="I1337" t="s">
        <v>8</v>
      </c>
      <c r="J1337" t="s">
        <v>102</v>
      </c>
      <c r="K1337" t="s">
        <v>28</v>
      </c>
      <c r="L1337" t="s">
        <v>295</v>
      </c>
      <c r="M1337" t="s">
        <v>296</v>
      </c>
      <c r="N1337">
        <v>2.9000000000000001E-2</v>
      </c>
      <c r="O1337" t="str">
        <f>IF(Transactions_RAW_cleaned[[#This Row],[Status]]="Completed", IFERROR(_xlfn.XLOOKUP(Transactions_RAW_cleaned[[#This Row],[CustomerID]], Customers_cleaned[CustomerID], Customers_cleaned[Segment]), "Customer Not Found"), "N/A")</f>
        <v>SMB</v>
      </c>
      <c r="P1337" s="5" t="str">
        <f>IF(Transactions_RAW_cleaned[[#This Row],[Status]]="Refunded", "Refund",
  IF(Transactions_RAW_cleaned[[#This Row],[Category]]="Payments", IF(Transactions_RAW_cleaned[[#This Row],[Amount]]&gt;500,"High Value","Standard"),
    IF(Transactions_RAW_cleaned[[#This Row],[Amount]]&gt;250,"High Value","Standard")))</f>
        <v>Standard</v>
      </c>
      <c r="Q1337" s="5" t="str">
        <f>IF(Transactions_RAW_cleaned[[#This Row],[Amount]] &gt; (_xlfn.XLOOKUP(Transactions_RAW_cleaned[[#This Row],[ServiceID]],Services_cleaned[ServiceID],Services_cleaned[TransactionFeePct]) * 10000), "Yes", "No")</f>
        <v>No</v>
      </c>
      <c r="R1337" s="5" t="str">
        <f>IF(COUNTIFS($C$2:Transactions_RAW_cleaned[[#This Row],[CustomerID]],Transactions_RAW_cleaned[[#This Row],[CustomerID]],$D$2:Transactions_RAW_cleaned[[#This Row],[ServiceID]],Transactions_RAW_cleaned[[#This Row],[ServiceID]])=1,"Yes","No")</f>
        <v>No</v>
      </c>
      <c r="S133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37" t="str">
        <f>"Q"&amp;ROUNDUP(MONTH(Transactions_RAW_cleaned[[#This Row],[TransactionDate]])/3,0)</f>
        <v>Q3</v>
      </c>
      <c r="U1337" t="str">
        <f>Transactions_RAW_cleaned[[#This Row],[Region ]]&amp;Transactions_RAW_cleaned[[#This Row],[Quarter ]]</f>
        <v>NAQ3</v>
      </c>
      <c r="V1337" s="5">
        <f>_xlfn.XLOOKUP(Transactions_RAW_cleaned[[#This Row],[RegionQuarterKey]], Quarterly_Targets_cleaned[RegionQuarterKey], Quarterly_Targets_cleaned[TargetRevenue])</f>
        <v>273000</v>
      </c>
    </row>
    <row r="1338" spans="1:22" x14ac:dyDescent="0.25">
      <c r="A1338" t="s">
        <v>1670</v>
      </c>
      <c r="B1338" s="1">
        <v>45649</v>
      </c>
      <c r="C1338" t="s">
        <v>29</v>
      </c>
      <c r="D1338" t="s">
        <v>294</v>
      </c>
      <c r="E1338">
        <v>570.6</v>
      </c>
      <c r="F1338" t="s">
        <v>324</v>
      </c>
      <c r="G1338" t="s">
        <v>325</v>
      </c>
      <c r="I1338" t="s">
        <v>8</v>
      </c>
      <c r="J1338" t="s">
        <v>31</v>
      </c>
      <c r="K1338" t="s">
        <v>32</v>
      </c>
      <c r="L1338" t="s">
        <v>295</v>
      </c>
      <c r="M1338" t="s">
        <v>296</v>
      </c>
      <c r="N1338">
        <v>2.9000000000000001E-2</v>
      </c>
      <c r="O1338" t="str">
        <f>IF(Transactions_RAW_cleaned[[#This Row],[Status]]="Completed", IFERROR(_xlfn.XLOOKUP(Transactions_RAW_cleaned[[#This Row],[CustomerID]], Customers_cleaned[CustomerID], Customers_cleaned[Segment]), "Customer Not Found"), "N/A")</f>
        <v>SMB</v>
      </c>
      <c r="P1338" s="5" t="str">
        <f>IF(Transactions_RAW_cleaned[[#This Row],[Status]]="Refunded", "Refund",
  IF(Transactions_RAW_cleaned[[#This Row],[Category]]="Payments", IF(Transactions_RAW_cleaned[[#This Row],[Amount]]&gt;500,"High Value","Standard"),
    IF(Transactions_RAW_cleaned[[#This Row],[Amount]]&gt;250,"High Value","Standard")))</f>
        <v>High Value</v>
      </c>
      <c r="Q1338" s="5" t="str">
        <f>IF(Transactions_RAW_cleaned[[#This Row],[Amount]] &gt; (_xlfn.XLOOKUP(Transactions_RAW_cleaned[[#This Row],[ServiceID]],Services_cleaned[ServiceID],Services_cleaned[TransactionFeePct]) * 10000), "Yes", "No")</f>
        <v>Yes</v>
      </c>
      <c r="R1338" s="5" t="str">
        <f>IF(COUNTIFS($C$2:Transactions_RAW_cleaned[[#This Row],[CustomerID]],Transactions_RAW_cleaned[[#This Row],[CustomerID]],$D$2:Transactions_RAW_cleaned[[#This Row],[ServiceID]],Transactions_RAW_cleaned[[#This Row],[ServiceID]])=1,"Yes","No")</f>
        <v>No</v>
      </c>
      <c r="S133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38" t="str">
        <f>"Q"&amp;ROUNDUP(MONTH(Transactions_RAW_cleaned[[#This Row],[TransactionDate]])/3,0)</f>
        <v>Q4</v>
      </c>
      <c r="U1338" t="str">
        <f>Transactions_RAW_cleaned[[#This Row],[Region ]]&amp;Transactions_RAW_cleaned[[#This Row],[Quarter ]]</f>
        <v>EMEAQ4</v>
      </c>
      <c r="V1338" s="5">
        <f>_xlfn.XLOOKUP(Transactions_RAW_cleaned[[#This Row],[RegionQuarterKey]], Quarterly_Targets_cleaned[RegionQuarterKey], Quarterly_Targets_cleaned[TargetRevenue])</f>
        <v>161000</v>
      </c>
    </row>
    <row r="1339" spans="1:22" x14ac:dyDescent="0.25">
      <c r="A1339" t="s">
        <v>1671</v>
      </c>
      <c r="B1339" s="1">
        <v>45433</v>
      </c>
      <c r="C1339" t="s">
        <v>47</v>
      </c>
      <c r="D1339" t="s">
        <v>303</v>
      </c>
      <c r="E1339">
        <v>52.46</v>
      </c>
      <c r="F1339" t="s">
        <v>324</v>
      </c>
      <c r="G1339" t="s">
        <v>325</v>
      </c>
      <c r="H1339" t="s">
        <v>346</v>
      </c>
      <c r="I1339" t="s">
        <v>8</v>
      </c>
      <c r="J1339" t="s">
        <v>21</v>
      </c>
      <c r="K1339" t="s">
        <v>22</v>
      </c>
      <c r="L1339" t="s">
        <v>304</v>
      </c>
      <c r="M1339" t="s">
        <v>305</v>
      </c>
      <c r="N1339">
        <v>1E-3</v>
      </c>
      <c r="O1339" t="str">
        <f>IF(Transactions_RAW_cleaned[[#This Row],[Status]]="Completed", IFERROR(_xlfn.XLOOKUP(Transactions_RAW_cleaned[[#This Row],[CustomerID]], Customers_cleaned[CustomerID], Customers_cleaned[Segment]), "Customer Not Found"), "N/A")</f>
        <v>SMB</v>
      </c>
      <c r="P1339" s="5" t="str">
        <f>IF(Transactions_RAW_cleaned[[#This Row],[Status]]="Refunded", "Refund",
  IF(Transactions_RAW_cleaned[[#This Row],[Category]]="Payments", IF(Transactions_RAW_cleaned[[#This Row],[Amount]]&gt;500,"High Value","Standard"),
    IF(Transactions_RAW_cleaned[[#This Row],[Amount]]&gt;250,"High Value","Standard")))</f>
        <v>Standard</v>
      </c>
      <c r="Q1339" s="5" t="str">
        <f>IF(Transactions_RAW_cleaned[[#This Row],[Amount]] &gt; (_xlfn.XLOOKUP(Transactions_RAW_cleaned[[#This Row],[ServiceID]],Services_cleaned[ServiceID],Services_cleaned[TransactionFeePct]) * 10000), "Yes", "No")</f>
        <v>Yes</v>
      </c>
      <c r="R1339" s="5" t="str">
        <f>IF(COUNTIFS($C$2:Transactions_RAW_cleaned[[#This Row],[CustomerID]],Transactions_RAW_cleaned[[#This Row],[CustomerID]],$D$2:Transactions_RAW_cleaned[[#This Row],[ServiceID]],Transactions_RAW_cleaned[[#This Row],[ServiceID]])=1,"Yes","No")</f>
        <v>Yes</v>
      </c>
      <c r="S133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39" t="str">
        <f>"Q"&amp;ROUNDUP(MONTH(Transactions_RAW_cleaned[[#This Row],[TransactionDate]])/3,0)</f>
        <v>Q2</v>
      </c>
      <c r="U1339" t="str">
        <f>Transactions_RAW_cleaned[[#This Row],[Region ]]&amp;Transactions_RAW_cleaned[[#This Row],[Quarter ]]</f>
        <v>APACQ2</v>
      </c>
      <c r="V1339" s="5">
        <f>_xlfn.XLOOKUP(Transactions_RAW_cleaned[[#This Row],[RegionQuarterKey]], Quarterly_Targets_cleaned[RegionQuarterKey], Quarterly_Targets_cleaned[TargetRevenue])</f>
        <v>110000</v>
      </c>
    </row>
    <row r="1340" spans="1:22" x14ac:dyDescent="0.25">
      <c r="A1340" t="s">
        <v>1672</v>
      </c>
      <c r="B1340" s="1">
        <v>45322</v>
      </c>
      <c r="C1340" t="s">
        <v>29</v>
      </c>
      <c r="D1340" t="s">
        <v>300</v>
      </c>
      <c r="E1340">
        <v>525.67999999999995</v>
      </c>
      <c r="F1340" t="s">
        <v>324</v>
      </c>
      <c r="G1340" t="s">
        <v>337</v>
      </c>
      <c r="I1340" t="s">
        <v>8</v>
      </c>
      <c r="J1340" t="s">
        <v>31</v>
      </c>
      <c r="K1340" t="s">
        <v>32</v>
      </c>
      <c r="L1340" t="s">
        <v>301</v>
      </c>
      <c r="M1340" t="s">
        <v>302</v>
      </c>
      <c r="N1340">
        <v>5.0000000000000001E-3</v>
      </c>
      <c r="O1340" t="str">
        <f>IF(Transactions_RAW_cleaned[[#This Row],[Status]]="Completed", IFERROR(_xlfn.XLOOKUP(Transactions_RAW_cleaned[[#This Row],[CustomerID]], Customers_cleaned[CustomerID], Customers_cleaned[Segment]), "Customer Not Found"), "N/A")</f>
        <v>SMB</v>
      </c>
      <c r="P1340" s="5" t="str">
        <f>IF(Transactions_RAW_cleaned[[#This Row],[Status]]="Refunded", "Refund",
  IF(Transactions_RAW_cleaned[[#This Row],[Category]]="Payments", IF(Transactions_RAW_cleaned[[#This Row],[Amount]]&gt;500,"High Value","Standard"),
    IF(Transactions_RAW_cleaned[[#This Row],[Amount]]&gt;250,"High Value","Standard")))</f>
        <v>High Value</v>
      </c>
      <c r="Q1340" s="5" t="str">
        <f>IF(Transactions_RAW_cleaned[[#This Row],[Amount]] &gt; (_xlfn.XLOOKUP(Transactions_RAW_cleaned[[#This Row],[ServiceID]],Services_cleaned[ServiceID],Services_cleaned[TransactionFeePct]) * 10000), "Yes", "No")</f>
        <v>Yes</v>
      </c>
      <c r="R1340" s="5" t="str">
        <f>IF(COUNTIFS($C$2:Transactions_RAW_cleaned[[#This Row],[CustomerID]],Transactions_RAW_cleaned[[#This Row],[CustomerID]],$D$2:Transactions_RAW_cleaned[[#This Row],[ServiceID]],Transactions_RAW_cleaned[[#This Row],[ServiceID]])=1,"Yes","No")</f>
        <v>Yes</v>
      </c>
      <c r="S134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40" t="str">
        <f>"Q"&amp;ROUNDUP(MONTH(Transactions_RAW_cleaned[[#This Row],[TransactionDate]])/3,0)</f>
        <v>Q1</v>
      </c>
      <c r="U1340" t="str">
        <f>Transactions_RAW_cleaned[[#This Row],[Region ]]&amp;Transactions_RAW_cleaned[[#This Row],[Quarter ]]</f>
        <v>EMEAQ1</v>
      </c>
      <c r="V1340" s="5">
        <f>_xlfn.XLOOKUP(Transactions_RAW_cleaned[[#This Row],[RegionQuarterKey]], Quarterly_Targets_cleaned[RegionQuarterKey], Quarterly_Targets_cleaned[TargetRevenue])</f>
        <v>133000</v>
      </c>
    </row>
    <row r="1341" spans="1:22" x14ac:dyDescent="0.25">
      <c r="A1341" t="s">
        <v>1673</v>
      </c>
      <c r="B1341" s="1">
        <v>45494</v>
      </c>
      <c r="C1341" t="s">
        <v>29</v>
      </c>
      <c r="D1341" t="s">
        <v>297</v>
      </c>
      <c r="E1341">
        <v>100.32</v>
      </c>
      <c r="F1341" t="s">
        <v>324</v>
      </c>
      <c r="G1341" t="s">
        <v>2963</v>
      </c>
      <c r="I1341" t="s">
        <v>8</v>
      </c>
      <c r="J1341" t="s">
        <v>31</v>
      </c>
      <c r="K1341" t="s">
        <v>32</v>
      </c>
      <c r="L1341" t="s">
        <v>298</v>
      </c>
      <c r="M1341" t="s">
        <v>299</v>
      </c>
      <c r="N1341">
        <v>0</v>
      </c>
      <c r="O1341" t="str">
        <f>IF(Transactions_RAW_cleaned[[#This Row],[Status]]="Completed", IFERROR(_xlfn.XLOOKUP(Transactions_RAW_cleaned[[#This Row],[CustomerID]], Customers_cleaned[CustomerID], Customers_cleaned[Segment]), "Customer Not Found"), "N/A")</f>
        <v>SMB</v>
      </c>
      <c r="P1341" s="5" t="str">
        <f>IF(Transactions_RAW_cleaned[[#This Row],[Status]]="Refunded", "Refund",
  IF(Transactions_RAW_cleaned[[#This Row],[Category]]="Payments", IF(Transactions_RAW_cleaned[[#This Row],[Amount]]&gt;500,"High Value","Standard"),
    IF(Transactions_RAW_cleaned[[#This Row],[Amount]]&gt;250,"High Value","Standard")))</f>
        <v>Standard</v>
      </c>
      <c r="Q1341" s="5" t="str">
        <f>IF(Transactions_RAW_cleaned[[#This Row],[Amount]] &gt; (_xlfn.XLOOKUP(Transactions_RAW_cleaned[[#This Row],[ServiceID]],Services_cleaned[ServiceID],Services_cleaned[TransactionFeePct]) * 10000), "Yes", "No")</f>
        <v>Yes</v>
      </c>
      <c r="R1341" s="5" t="str">
        <f>IF(COUNTIFS($C$2:Transactions_RAW_cleaned[[#This Row],[CustomerID]],Transactions_RAW_cleaned[[#This Row],[CustomerID]],$D$2:Transactions_RAW_cleaned[[#This Row],[ServiceID]],Transactions_RAW_cleaned[[#This Row],[ServiceID]])=1,"Yes","No")</f>
        <v>No</v>
      </c>
      <c r="S134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41" t="str">
        <f>"Q"&amp;ROUNDUP(MONTH(Transactions_RAW_cleaned[[#This Row],[TransactionDate]])/3,0)</f>
        <v>Q3</v>
      </c>
      <c r="U1341" t="str">
        <f>Transactions_RAW_cleaned[[#This Row],[Region ]]&amp;Transactions_RAW_cleaned[[#This Row],[Quarter ]]</f>
        <v>EMEAQ3</v>
      </c>
      <c r="V1341" s="5">
        <f>_xlfn.XLOOKUP(Transactions_RAW_cleaned[[#This Row],[RegionQuarterKey]], Quarterly_Targets_cleaned[RegionQuarterKey], Quarterly_Targets_cleaned[TargetRevenue])</f>
        <v>147000</v>
      </c>
    </row>
    <row r="1342" spans="1:22" x14ac:dyDescent="0.25">
      <c r="A1342" t="s">
        <v>1674</v>
      </c>
      <c r="B1342" s="1">
        <v>45536</v>
      </c>
      <c r="C1342" t="s">
        <v>209</v>
      </c>
      <c r="D1342" t="s">
        <v>300</v>
      </c>
      <c r="E1342">
        <v>662.84</v>
      </c>
      <c r="F1342" t="s">
        <v>324</v>
      </c>
      <c r="G1342" t="s">
        <v>325</v>
      </c>
      <c r="H1342" t="s">
        <v>346</v>
      </c>
      <c r="I1342" t="s">
        <v>17</v>
      </c>
      <c r="J1342" t="s">
        <v>102</v>
      </c>
      <c r="K1342" t="s">
        <v>22</v>
      </c>
      <c r="L1342" t="s">
        <v>301</v>
      </c>
      <c r="M1342" t="s">
        <v>302</v>
      </c>
      <c r="N1342">
        <v>5.0000000000000001E-3</v>
      </c>
      <c r="O1342" t="str">
        <f>IF(Transactions_RAW_cleaned[[#This Row],[Status]]="Completed", IFERROR(_xlfn.XLOOKUP(Transactions_RAW_cleaned[[#This Row],[CustomerID]], Customers_cleaned[CustomerID], Customers_cleaned[Segment]), "Customer Not Found"), "N/A")</f>
        <v>Enterprise</v>
      </c>
      <c r="P1342" s="5" t="str">
        <f>IF(Transactions_RAW_cleaned[[#This Row],[Status]]="Refunded", "Refund",
  IF(Transactions_RAW_cleaned[[#This Row],[Category]]="Payments", IF(Transactions_RAW_cleaned[[#This Row],[Amount]]&gt;500,"High Value","Standard"),
    IF(Transactions_RAW_cleaned[[#This Row],[Amount]]&gt;250,"High Value","Standard")))</f>
        <v>High Value</v>
      </c>
      <c r="Q1342" s="5" t="str">
        <f>IF(Transactions_RAW_cleaned[[#This Row],[Amount]] &gt; (_xlfn.XLOOKUP(Transactions_RAW_cleaned[[#This Row],[ServiceID]],Services_cleaned[ServiceID],Services_cleaned[TransactionFeePct]) * 10000), "Yes", "No")</f>
        <v>Yes</v>
      </c>
      <c r="R1342" s="5" t="str">
        <f>IF(COUNTIFS($C$2:Transactions_RAW_cleaned[[#This Row],[CustomerID]],Transactions_RAW_cleaned[[#This Row],[CustomerID]],$D$2:Transactions_RAW_cleaned[[#This Row],[ServiceID]],Transactions_RAW_cleaned[[#This Row],[ServiceID]])=1,"Yes","No")</f>
        <v>No</v>
      </c>
      <c r="S134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42" t="str">
        <f>"Q"&amp;ROUNDUP(MONTH(Transactions_RAW_cleaned[[#This Row],[TransactionDate]])/3,0)</f>
        <v>Q3</v>
      </c>
      <c r="U1342" t="str">
        <f>Transactions_RAW_cleaned[[#This Row],[Region ]]&amp;Transactions_RAW_cleaned[[#This Row],[Quarter ]]</f>
        <v>NAQ3</v>
      </c>
      <c r="V1342" s="5">
        <f>_xlfn.XLOOKUP(Transactions_RAW_cleaned[[#This Row],[RegionQuarterKey]], Quarterly_Targets_cleaned[RegionQuarterKey], Quarterly_Targets_cleaned[TargetRevenue])</f>
        <v>273000</v>
      </c>
    </row>
    <row r="1343" spans="1:22" x14ac:dyDescent="0.25">
      <c r="A1343" t="s">
        <v>1675</v>
      </c>
      <c r="B1343" s="1">
        <v>45297</v>
      </c>
      <c r="C1343" t="s">
        <v>159</v>
      </c>
      <c r="D1343" t="s">
        <v>297</v>
      </c>
      <c r="E1343">
        <v>512.23</v>
      </c>
      <c r="F1343" t="s">
        <v>324</v>
      </c>
      <c r="G1343" t="s">
        <v>325</v>
      </c>
      <c r="I1343" t="s">
        <v>57</v>
      </c>
      <c r="J1343" t="s">
        <v>25</v>
      </c>
      <c r="K1343" t="s">
        <v>22</v>
      </c>
      <c r="L1343" t="s">
        <v>298</v>
      </c>
      <c r="M1343" t="s">
        <v>299</v>
      </c>
      <c r="N1343">
        <v>0</v>
      </c>
      <c r="O1343" t="str">
        <f>IF(Transactions_RAW_cleaned[[#This Row],[Status]]="Completed", IFERROR(_xlfn.XLOOKUP(Transactions_RAW_cleaned[[#This Row],[CustomerID]], Customers_cleaned[CustomerID], Customers_cleaned[Segment]), "Customer Not Found"), "N/A")</f>
        <v>Startup</v>
      </c>
      <c r="P1343" s="5" t="str">
        <f>IF(Transactions_RAW_cleaned[[#This Row],[Status]]="Refunded", "Refund",
  IF(Transactions_RAW_cleaned[[#This Row],[Category]]="Payments", IF(Transactions_RAW_cleaned[[#This Row],[Amount]]&gt;500,"High Value","Standard"),
    IF(Transactions_RAW_cleaned[[#This Row],[Amount]]&gt;250,"High Value","Standard")))</f>
        <v>High Value</v>
      </c>
      <c r="Q1343" s="5" t="str">
        <f>IF(Transactions_RAW_cleaned[[#This Row],[Amount]] &gt; (_xlfn.XLOOKUP(Transactions_RAW_cleaned[[#This Row],[ServiceID]],Services_cleaned[ServiceID],Services_cleaned[TransactionFeePct]) * 10000), "Yes", "No")</f>
        <v>Yes</v>
      </c>
      <c r="R1343" s="5" t="str">
        <f>IF(COUNTIFS($C$2:Transactions_RAW_cleaned[[#This Row],[CustomerID]],Transactions_RAW_cleaned[[#This Row],[CustomerID]],$D$2:Transactions_RAW_cleaned[[#This Row],[ServiceID]],Transactions_RAW_cleaned[[#This Row],[ServiceID]])=1,"Yes","No")</f>
        <v>No</v>
      </c>
      <c r="S134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43" t="str">
        <f>"Q"&amp;ROUNDUP(MONTH(Transactions_RAW_cleaned[[#This Row],[TransactionDate]])/3,0)</f>
        <v>Q1</v>
      </c>
      <c r="U1343" t="str">
        <f>Transactions_RAW_cleaned[[#This Row],[Region ]]&amp;Transactions_RAW_cleaned[[#This Row],[Quarter ]]</f>
        <v>APACQ1</v>
      </c>
      <c r="V1343" s="5">
        <f>_xlfn.XLOOKUP(Transactions_RAW_cleaned[[#This Row],[RegionQuarterKey]], Quarterly_Targets_cleaned[RegionQuarterKey], Quarterly_Targets_cleaned[TargetRevenue])</f>
        <v>104500</v>
      </c>
    </row>
    <row r="1344" spans="1:22" x14ac:dyDescent="0.25">
      <c r="A1344" t="s">
        <v>1676</v>
      </c>
      <c r="B1344" s="1">
        <v>45396</v>
      </c>
      <c r="C1344" t="s">
        <v>100</v>
      </c>
      <c r="D1344" t="s">
        <v>315</v>
      </c>
      <c r="E1344">
        <v>73.7</v>
      </c>
      <c r="F1344" t="s">
        <v>324</v>
      </c>
      <c r="G1344" t="s">
        <v>325</v>
      </c>
      <c r="H1344" t="s">
        <v>332</v>
      </c>
      <c r="I1344" t="s">
        <v>8</v>
      </c>
      <c r="J1344" t="s">
        <v>102</v>
      </c>
      <c r="K1344" t="s">
        <v>22</v>
      </c>
      <c r="L1344" t="s">
        <v>316</v>
      </c>
      <c r="M1344" t="s">
        <v>305</v>
      </c>
      <c r="N1344">
        <v>2.5000000000000001E-3</v>
      </c>
      <c r="O1344" t="str">
        <f>IF(Transactions_RAW_cleaned[[#This Row],[Status]]="Completed", IFERROR(_xlfn.XLOOKUP(Transactions_RAW_cleaned[[#This Row],[CustomerID]], Customers_cleaned[CustomerID], Customers_cleaned[Segment]), "Customer Not Found"), "N/A")</f>
        <v>SMB</v>
      </c>
      <c r="P1344" s="5" t="str">
        <f>IF(Transactions_RAW_cleaned[[#This Row],[Status]]="Refunded", "Refund",
  IF(Transactions_RAW_cleaned[[#This Row],[Category]]="Payments", IF(Transactions_RAW_cleaned[[#This Row],[Amount]]&gt;500,"High Value","Standard"),
    IF(Transactions_RAW_cleaned[[#This Row],[Amount]]&gt;250,"High Value","Standard")))</f>
        <v>Standard</v>
      </c>
      <c r="Q1344" s="5" t="str">
        <f>IF(Transactions_RAW_cleaned[[#This Row],[Amount]] &gt; (_xlfn.XLOOKUP(Transactions_RAW_cleaned[[#This Row],[ServiceID]],Services_cleaned[ServiceID],Services_cleaned[TransactionFeePct]) * 10000), "Yes", "No")</f>
        <v>Yes</v>
      </c>
      <c r="R1344" s="5" t="str">
        <f>IF(COUNTIFS($C$2:Transactions_RAW_cleaned[[#This Row],[CustomerID]],Transactions_RAW_cleaned[[#This Row],[CustomerID]],$D$2:Transactions_RAW_cleaned[[#This Row],[ServiceID]],Transactions_RAW_cleaned[[#This Row],[ServiceID]])=1,"Yes","No")</f>
        <v>Yes</v>
      </c>
      <c r="S134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44" t="str">
        <f>"Q"&amp;ROUNDUP(MONTH(Transactions_RAW_cleaned[[#This Row],[TransactionDate]])/3,0)</f>
        <v>Q2</v>
      </c>
      <c r="U1344" t="str">
        <f>Transactions_RAW_cleaned[[#This Row],[Region ]]&amp;Transactions_RAW_cleaned[[#This Row],[Quarter ]]</f>
        <v>NAQ2</v>
      </c>
      <c r="V1344" s="5">
        <f>_xlfn.XLOOKUP(Transactions_RAW_cleaned[[#This Row],[RegionQuarterKey]], Quarterly_Targets_cleaned[RegionQuarterKey], Quarterly_Targets_cleaned[TargetRevenue])</f>
        <v>260000</v>
      </c>
    </row>
    <row r="1345" spans="1:22" x14ac:dyDescent="0.25">
      <c r="A1345" t="s">
        <v>1677</v>
      </c>
      <c r="B1345" s="1">
        <v>45450</v>
      </c>
      <c r="C1345" t="s">
        <v>239</v>
      </c>
      <c r="D1345" t="s">
        <v>306</v>
      </c>
      <c r="E1345">
        <v>807.8</v>
      </c>
      <c r="F1345" t="s">
        <v>331</v>
      </c>
      <c r="G1345" t="s">
        <v>327</v>
      </c>
      <c r="I1345" t="s">
        <v>57</v>
      </c>
      <c r="J1345" t="s">
        <v>102</v>
      </c>
      <c r="K1345" t="s">
        <v>10</v>
      </c>
      <c r="L1345" t="s">
        <v>307</v>
      </c>
      <c r="M1345" t="s">
        <v>308</v>
      </c>
      <c r="N1345">
        <v>0</v>
      </c>
      <c r="O1345" t="str">
        <f>IF(Transactions_RAW_cleaned[[#This Row],[Status]]="Completed", IFERROR(_xlfn.XLOOKUP(Transactions_RAW_cleaned[[#This Row],[CustomerID]], Customers_cleaned[CustomerID], Customers_cleaned[Segment]), "Customer Not Found"), "N/A")</f>
        <v>N/A</v>
      </c>
      <c r="P1345" s="5" t="str">
        <f>IF(Transactions_RAW_cleaned[[#This Row],[Status]]="Refunded", "Refund",
  IF(Transactions_RAW_cleaned[[#This Row],[Category]]="Payments", IF(Transactions_RAW_cleaned[[#This Row],[Amount]]&gt;500,"High Value","Standard"),
    IF(Transactions_RAW_cleaned[[#This Row],[Amount]]&gt;250,"High Value","Standard")))</f>
        <v>High Value</v>
      </c>
      <c r="Q1345" s="5" t="str">
        <f>IF(Transactions_RAW_cleaned[[#This Row],[Amount]] &gt; (_xlfn.XLOOKUP(Transactions_RAW_cleaned[[#This Row],[ServiceID]],Services_cleaned[ServiceID],Services_cleaned[TransactionFeePct]) * 10000), "Yes", "No")</f>
        <v>Yes</v>
      </c>
      <c r="R1345" s="5" t="str">
        <f>IF(COUNTIFS($C$2:Transactions_RAW_cleaned[[#This Row],[CustomerID]],Transactions_RAW_cleaned[[#This Row],[CustomerID]],$D$2:Transactions_RAW_cleaned[[#This Row],[ServiceID]],Transactions_RAW_cleaned[[#This Row],[ServiceID]])=1,"Yes","No")</f>
        <v>Yes</v>
      </c>
      <c r="S134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45" t="str">
        <f>"Q"&amp;ROUNDUP(MONTH(Transactions_RAW_cleaned[[#This Row],[TransactionDate]])/3,0)</f>
        <v>Q2</v>
      </c>
      <c r="U1345" t="str">
        <f>Transactions_RAW_cleaned[[#This Row],[Region ]]&amp;Transactions_RAW_cleaned[[#This Row],[Quarter ]]</f>
        <v>NAQ2</v>
      </c>
      <c r="V1345" s="5">
        <f>_xlfn.XLOOKUP(Transactions_RAW_cleaned[[#This Row],[RegionQuarterKey]], Quarterly_Targets_cleaned[RegionQuarterKey], Quarterly_Targets_cleaned[TargetRevenue])</f>
        <v>260000</v>
      </c>
    </row>
    <row r="1346" spans="1:22" x14ac:dyDescent="0.25">
      <c r="A1346" t="s">
        <v>1678</v>
      </c>
      <c r="B1346" s="1">
        <v>45563</v>
      </c>
      <c r="C1346" t="s">
        <v>100</v>
      </c>
      <c r="D1346" t="s">
        <v>303</v>
      </c>
      <c r="E1346">
        <v>332.78</v>
      </c>
      <c r="F1346" t="s">
        <v>324</v>
      </c>
      <c r="G1346" t="s">
        <v>325</v>
      </c>
      <c r="I1346" t="s">
        <v>8</v>
      </c>
      <c r="J1346" t="s">
        <v>102</v>
      </c>
      <c r="K1346" t="s">
        <v>22</v>
      </c>
      <c r="L1346" t="s">
        <v>304</v>
      </c>
      <c r="M1346" t="s">
        <v>305</v>
      </c>
      <c r="N1346">
        <v>1E-3</v>
      </c>
      <c r="O1346" t="str">
        <f>IF(Transactions_RAW_cleaned[[#This Row],[Status]]="Completed", IFERROR(_xlfn.XLOOKUP(Transactions_RAW_cleaned[[#This Row],[CustomerID]], Customers_cleaned[CustomerID], Customers_cleaned[Segment]), "Customer Not Found"), "N/A")</f>
        <v>SMB</v>
      </c>
      <c r="P1346" s="5" t="str">
        <f>IF(Transactions_RAW_cleaned[[#This Row],[Status]]="Refunded", "Refund",
  IF(Transactions_RAW_cleaned[[#This Row],[Category]]="Payments", IF(Transactions_RAW_cleaned[[#This Row],[Amount]]&gt;500,"High Value","Standard"),
    IF(Transactions_RAW_cleaned[[#This Row],[Amount]]&gt;250,"High Value","Standard")))</f>
        <v>High Value</v>
      </c>
      <c r="Q1346" s="5" t="str">
        <f>IF(Transactions_RAW_cleaned[[#This Row],[Amount]] &gt; (_xlfn.XLOOKUP(Transactions_RAW_cleaned[[#This Row],[ServiceID]],Services_cleaned[ServiceID],Services_cleaned[TransactionFeePct]) * 10000), "Yes", "No")</f>
        <v>Yes</v>
      </c>
      <c r="R1346" s="5" t="str">
        <f>IF(COUNTIFS($C$2:Transactions_RAW_cleaned[[#This Row],[CustomerID]],Transactions_RAW_cleaned[[#This Row],[CustomerID]],$D$2:Transactions_RAW_cleaned[[#This Row],[ServiceID]],Transactions_RAW_cleaned[[#This Row],[ServiceID]])=1,"Yes","No")</f>
        <v>Yes</v>
      </c>
      <c r="S134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46" t="str">
        <f>"Q"&amp;ROUNDUP(MONTH(Transactions_RAW_cleaned[[#This Row],[TransactionDate]])/3,0)</f>
        <v>Q3</v>
      </c>
      <c r="U1346" t="str">
        <f>Transactions_RAW_cleaned[[#This Row],[Region ]]&amp;Transactions_RAW_cleaned[[#This Row],[Quarter ]]</f>
        <v>NAQ3</v>
      </c>
      <c r="V1346" s="5">
        <f>_xlfn.XLOOKUP(Transactions_RAW_cleaned[[#This Row],[RegionQuarterKey]], Quarterly_Targets_cleaned[RegionQuarterKey], Quarterly_Targets_cleaned[TargetRevenue])</f>
        <v>273000</v>
      </c>
    </row>
    <row r="1347" spans="1:22" x14ac:dyDescent="0.25">
      <c r="A1347" t="s">
        <v>1679</v>
      </c>
      <c r="B1347" s="1">
        <v>45379</v>
      </c>
      <c r="C1347" t="s">
        <v>235</v>
      </c>
      <c r="D1347" t="s">
        <v>300</v>
      </c>
      <c r="E1347">
        <v>844.46</v>
      </c>
      <c r="F1347" t="s">
        <v>324</v>
      </c>
      <c r="G1347" t="s">
        <v>337</v>
      </c>
      <c r="I1347" t="s">
        <v>57</v>
      </c>
      <c r="J1347" t="s">
        <v>21</v>
      </c>
      <c r="K1347" t="s">
        <v>22</v>
      </c>
      <c r="L1347" t="s">
        <v>301</v>
      </c>
      <c r="M1347" t="s">
        <v>302</v>
      </c>
      <c r="N1347">
        <v>5.0000000000000001E-3</v>
      </c>
      <c r="O1347" t="str">
        <f>IF(Transactions_RAW_cleaned[[#This Row],[Status]]="Completed", IFERROR(_xlfn.XLOOKUP(Transactions_RAW_cleaned[[#This Row],[CustomerID]], Customers_cleaned[CustomerID], Customers_cleaned[Segment]), "Customer Not Found"), "N/A")</f>
        <v>Startup</v>
      </c>
      <c r="P1347" s="5" t="str">
        <f>IF(Transactions_RAW_cleaned[[#This Row],[Status]]="Refunded", "Refund",
  IF(Transactions_RAW_cleaned[[#This Row],[Category]]="Payments", IF(Transactions_RAW_cleaned[[#This Row],[Amount]]&gt;500,"High Value","Standard"),
    IF(Transactions_RAW_cleaned[[#This Row],[Amount]]&gt;250,"High Value","Standard")))</f>
        <v>High Value</v>
      </c>
      <c r="Q1347" s="5" t="str">
        <f>IF(Transactions_RAW_cleaned[[#This Row],[Amount]] &gt; (_xlfn.XLOOKUP(Transactions_RAW_cleaned[[#This Row],[ServiceID]],Services_cleaned[ServiceID],Services_cleaned[TransactionFeePct]) * 10000), "Yes", "No")</f>
        <v>Yes</v>
      </c>
      <c r="R1347" s="5" t="str">
        <f>IF(COUNTIFS($C$2:Transactions_RAW_cleaned[[#This Row],[CustomerID]],Transactions_RAW_cleaned[[#This Row],[CustomerID]],$D$2:Transactions_RAW_cleaned[[#This Row],[ServiceID]],Transactions_RAW_cleaned[[#This Row],[ServiceID]])=1,"Yes","No")</f>
        <v>Yes</v>
      </c>
      <c r="S134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47" t="str">
        <f>"Q"&amp;ROUNDUP(MONTH(Transactions_RAW_cleaned[[#This Row],[TransactionDate]])/3,0)</f>
        <v>Q1</v>
      </c>
      <c r="U1347" t="str">
        <f>Transactions_RAW_cleaned[[#This Row],[Region ]]&amp;Transactions_RAW_cleaned[[#This Row],[Quarter ]]</f>
        <v>APACQ1</v>
      </c>
      <c r="V1347" s="5">
        <f>_xlfn.XLOOKUP(Transactions_RAW_cleaned[[#This Row],[RegionQuarterKey]], Quarterly_Targets_cleaned[RegionQuarterKey], Quarterly_Targets_cleaned[TargetRevenue])</f>
        <v>104500</v>
      </c>
    </row>
    <row r="1348" spans="1:22" x14ac:dyDescent="0.25">
      <c r="A1348" t="s">
        <v>1680</v>
      </c>
      <c r="B1348" s="1">
        <v>45431</v>
      </c>
      <c r="C1348" t="s">
        <v>227</v>
      </c>
      <c r="D1348" t="s">
        <v>303</v>
      </c>
      <c r="E1348">
        <v>763.46</v>
      </c>
      <c r="F1348" t="s">
        <v>324</v>
      </c>
      <c r="G1348" t="s">
        <v>329</v>
      </c>
      <c r="I1348" t="s">
        <v>57</v>
      </c>
      <c r="J1348" t="s">
        <v>31</v>
      </c>
      <c r="K1348" t="s">
        <v>32</v>
      </c>
      <c r="L1348" t="s">
        <v>304</v>
      </c>
      <c r="M1348" t="s">
        <v>305</v>
      </c>
      <c r="N1348">
        <v>1E-3</v>
      </c>
      <c r="O1348" t="str">
        <f>IF(Transactions_RAW_cleaned[[#This Row],[Status]]="Completed", IFERROR(_xlfn.XLOOKUP(Transactions_RAW_cleaned[[#This Row],[CustomerID]], Customers_cleaned[CustomerID], Customers_cleaned[Segment]), "Customer Not Found"), "N/A")</f>
        <v>Startup</v>
      </c>
      <c r="P1348" s="5" t="str">
        <f>IF(Transactions_RAW_cleaned[[#This Row],[Status]]="Refunded", "Refund",
  IF(Transactions_RAW_cleaned[[#This Row],[Category]]="Payments", IF(Transactions_RAW_cleaned[[#This Row],[Amount]]&gt;500,"High Value","Standard"),
    IF(Transactions_RAW_cleaned[[#This Row],[Amount]]&gt;250,"High Value","Standard")))</f>
        <v>High Value</v>
      </c>
      <c r="Q1348" s="5" t="str">
        <f>IF(Transactions_RAW_cleaned[[#This Row],[Amount]] &gt; (_xlfn.XLOOKUP(Transactions_RAW_cleaned[[#This Row],[ServiceID]],Services_cleaned[ServiceID],Services_cleaned[TransactionFeePct]) * 10000), "Yes", "No")</f>
        <v>Yes</v>
      </c>
      <c r="R1348" s="5" t="str">
        <f>IF(COUNTIFS($C$2:Transactions_RAW_cleaned[[#This Row],[CustomerID]],Transactions_RAW_cleaned[[#This Row],[CustomerID]],$D$2:Transactions_RAW_cleaned[[#This Row],[ServiceID]],Transactions_RAW_cleaned[[#This Row],[ServiceID]])=1,"Yes","No")</f>
        <v>Yes</v>
      </c>
      <c r="S134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48" t="str">
        <f>"Q"&amp;ROUNDUP(MONTH(Transactions_RAW_cleaned[[#This Row],[TransactionDate]])/3,0)</f>
        <v>Q2</v>
      </c>
      <c r="U1348" t="str">
        <f>Transactions_RAW_cleaned[[#This Row],[Region ]]&amp;Transactions_RAW_cleaned[[#This Row],[Quarter ]]</f>
        <v>EMEAQ2</v>
      </c>
      <c r="V1348" s="5">
        <f>_xlfn.XLOOKUP(Transactions_RAW_cleaned[[#This Row],[RegionQuarterKey]], Quarterly_Targets_cleaned[RegionQuarterKey], Quarterly_Targets_cleaned[TargetRevenue])</f>
        <v>140000</v>
      </c>
    </row>
    <row r="1349" spans="1:22" x14ac:dyDescent="0.25">
      <c r="A1349" t="s">
        <v>1681</v>
      </c>
      <c r="B1349" s="1">
        <v>45646</v>
      </c>
      <c r="C1349" t="s">
        <v>145</v>
      </c>
      <c r="D1349" t="s">
        <v>294</v>
      </c>
      <c r="E1349">
        <v>169.98</v>
      </c>
      <c r="F1349" t="s">
        <v>324</v>
      </c>
      <c r="G1349" t="s">
        <v>325</v>
      </c>
      <c r="I1349" t="s">
        <v>8</v>
      </c>
      <c r="J1349" t="s">
        <v>13</v>
      </c>
      <c r="K1349" t="s">
        <v>32</v>
      </c>
      <c r="L1349" t="s">
        <v>295</v>
      </c>
      <c r="M1349" t="s">
        <v>296</v>
      </c>
      <c r="N1349">
        <v>2.9000000000000001E-2</v>
      </c>
      <c r="O1349" t="str">
        <f>IF(Transactions_RAW_cleaned[[#This Row],[Status]]="Completed", IFERROR(_xlfn.XLOOKUP(Transactions_RAW_cleaned[[#This Row],[CustomerID]], Customers_cleaned[CustomerID], Customers_cleaned[Segment]), "Customer Not Found"), "N/A")</f>
        <v>SMB</v>
      </c>
      <c r="P1349" s="5" t="str">
        <f>IF(Transactions_RAW_cleaned[[#This Row],[Status]]="Refunded", "Refund",
  IF(Transactions_RAW_cleaned[[#This Row],[Category]]="Payments", IF(Transactions_RAW_cleaned[[#This Row],[Amount]]&gt;500,"High Value","Standard"),
    IF(Transactions_RAW_cleaned[[#This Row],[Amount]]&gt;250,"High Value","Standard")))</f>
        <v>Standard</v>
      </c>
      <c r="Q1349" s="5" t="str">
        <f>IF(Transactions_RAW_cleaned[[#This Row],[Amount]] &gt; (_xlfn.XLOOKUP(Transactions_RAW_cleaned[[#This Row],[ServiceID]],Services_cleaned[ServiceID],Services_cleaned[TransactionFeePct]) * 10000), "Yes", "No")</f>
        <v>No</v>
      </c>
      <c r="R1349" s="5" t="str">
        <f>IF(COUNTIFS($C$2:Transactions_RAW_cleaned[[#This Row],[CustomerID]],Transactions_RAW_cleaned[[#This Row],[CustomerID]],$D$2:Transactions_RAW_cleaned[[#This Row],[ServiceID]],Transactions_RAW_cleaned[[#This Row],[ServiceID]])=1,"Yes","No")</f>
        <v>No</v>
      </c>
      <c r="S134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49" t="str">
        <f>"Q"&amp;ROUNDUP(MONTH(Transactions_RAW_cleaned[[#This Row],[TransactionDate]])/3,0)</f>
        <v>Q4</v>
      </c>
      <c r="U1349" t="str">
        <f>Transactions_RAW_cleaned[[#This Row],[Region ]]&amp;Transactions_RAW_cleaned[[#This Row],[Quarter ]]</f>
        <v>NAQ4</v>
      </c>
      <c r="V1349" s="5">
        <f>_xlfn.XLOOKUP(Transactions_RAW_cleaned[[#This Row],[RegionQuarterKey]], Quarterly_Targets_cleaned[RegionQuarterKey], Quarterly_Targets_cleaned[TargetRevenue])</f>
        <v>299000</v>
      </c>
    </row>
    <row r="1350" spans="1:22" x14ac:dyDescent="0.25">
      <c r="A1350" t="s">
        <v>1682</v>
      </c>
      <c r="B1350" s="1">
        <v>45481</v>
      </c>
      <c r="C1350" t="s">
        <v>175</v>
      </c>
      <c r="D1350" t="s">
        <v>303</v>
      </c>
      <c r="E1350">
        <v>189.3</v>
      </c>
      <c r="F1350" t="s">
        <v>324</v>
      </c>
      <c r="G1350" t="s">
        <v>2963</v>
      </c>
      <c r="I1350" t="s">
        <v>8</v>
      </c>
      <c r="J1350" t="s">
        <v>31</v>
      </c>
      <c r="K1350" t="s">
        <v>32</v>
      </c>
      <c r="L1350" t="s">
        <v>304</v>
      </c>
      <c r="M1350" t="s">
        <v>305</v>
      </c>
      <c r="N1350">
        <v>1E-3</v>
      </c>
      <c r="O1350" t="str">
        <f>IF(Transactions_RAW_cleaned[[#This Row],[Status]]="Completed", IFERROR(_xlfn.XLOOKUP(Transactions_RAW_cleaned[[#This Row],[CustomerID]], Customers_cleaned[CustomerID], Customers_cleaned[Segment]), "Customer Not Found"), "N/A")</f>
        <v>SMB</v>
      </c>
      <c r="P1350" s="5" t="str">
        <f>IF(Transactions_RAW_cleaned[[#This Row],[Status]]="Refunded", "Refund",
  IF(Transactions_RAW_cleaned[[#This Row],[Category]]="Payments", IF(Transactions_RAW_cleaned[[#This Row],[Amount]]&gt;500,"High Value","Standard"),
    IF(Transactions_RAW_cleaned[[#This Row],[Amount]]&gt;250,"High Value","Standard")))</f>
        <v>Standard</v>
      </c>
      <c r="Q1350" s="5" t="str">
        <f>IF(Transactions_RAW_cleaned[[#This Row],[Amount]] &gt; (_xlfn.XLOOKUP(Transactions_RAW_cleaned[[#This Row],[ServiceID]],Services_cleaned[ServiceID],Services_cleaned[TransactionFeePct]) * 10000), "Yes", "No")</f>
        <v>Yes</v>
      </c>
      <c r="R1350" s="5" t="str">
        <f>IF(COUNTIFS($C$2:Transactions_RAW_cleaned[[#This Row],[CustomerID]],Transactions_RAW_cleaned[[#This Row],[CustomerID]],$D$2:Transactions_RAW_cleaned[[#This Row],[ServiceID]],Transactions_RAW_cleaned[[#This Row],[ServiceID]])=1,"Yes","No")</f>
        <v>No</v>
      </c>
      <c r="S135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50" t="str">
        <f>"Q"&amp;ROUNDUP(MONTH(Transactions_RAW_cleaned[[#This Row],[TransactionDate]])/3,0)</f>
        <v>Q3</v>
      </c>
      <c r="U1350" t="str">
        <f>Transactions_RAW_cleaned[[#This Row],[Region ]]&amp;Transactions_RAW_cleaned[[#This Row],[Quarter ]]</f>
        <v>EMEAQ3</v>
      </c>
      <c r="V1350" s="5">
        <f>_xlfn.XLOOKUP(Transactions_RAW_cleaned[[#This Row],[RegionQuarterKey]], Quarterly_Targets_cleaned[RegionQuarterKey], Quarterly_Targets_cleaned[TargetRevenue])</f>
        <v>147000</v>
      </c>
    </row>
    <row r="1351" spans="1:22" x14ac:dyDescent="0.25">
      <c r="A1351" t="s">
        <v>1683</v>
      </c>
      <c r="B1351" s="1">
        <v>45453</v>
      </c>
      <c r="C1351" t="s">
        <v>53</v>
      </c>
      <c r="D1351" t="s">
        <v>297</v>
      </c>
      <c r="E1351">
        <v>953.84</v>
      </c>
      <c r="F1351" t="s">
        <v>331</v>
      </c>
      <c r="G1351" t="s">
        <v>325</v>
      </c>
      <c r="I1351" t="s">
        <v>17</v>
      </c>
      <c r="J1351" t="s">
        <v>21</v>
      </c>
      <c r="K1351" t="s">
        <v>28</v>
      </c>
      <c r="L1351" t="s">
        <v>298</v>
      </c>
      <c r="M1351" t="s">
        <v>299</v>
      </c>
      <c r="N1351">
        <v>0</v>
      </c>
      <c r="O1351" t="str">
        <f>IF(Transactions_RAW_cleaned[[#This Row],[Status]]="Completed", IFERROR(_xlfn.XLOOKUP(Transactions_RAW_cleaned[[#This Row],[CustomerID]], Customers_cleaned[CustomerID], Customers_cleaned[Segment]), "Customer Not Found"), "N/A")</f>
        <v>N/A</v>
      </c>
      <c r="P1351" s="5" t="str">
        <f>IF(Transactions_RAW_cleaned[[#This Row],[Status]]="Refunded", "Refund",
  IF(Transactions_RAW_cleaned[[#This Row],[Category]]="Payments", IF(Transactions_RAW_cleaned[[#This Row],[Amount]]&gt;500,"High Value","Standard"),
    IF(Transactions_RAW_cleaned[[#This Row],[Amount]]&gt;250,"High Value","Standard")))</f>
        <v>High Value</v>
      </c>
      <c r="Q1351" s="5" t="str">
        <f>IF(Transactions_RAW_cleaned[[#This Row],[Amount]] &gt; (_xlfn.XLOOKUP(Transactions_RAW_cleaned[[#This Row],[ServiceID]],Services_cleaned[ServiceID],Services_cleaned[TransactionFeePct]) * 10000), "Yes", "No")</f>
        <v>Yes</v>
      </c>
      <c r="R1351" s="5" t="str">
        <f>IF(COUNTIFS($C$2:Transactions_RAW_cleaned[[#This Row],[CustomerID]],Transactions_RAW_cleaned[[#This Row],[CustomerID]],$D$2:Transactions_RAW_cleaned[[#This Row],[ServiceID]],Transactions_RAW_cleaned[[#This Row],[ServiceID]])=1,"Yes","No")</f>
        <v>No</v>
      </c>
      <c r="S135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51" t="str">
        <f>"Q"&amp;ROUNDUP(MONTH(Transactions_RAW_cleaned[[#This Row],[TransactionDate]])/3,0)</f>
        <v>Q2</v>
      </c>
      <c r="U1351" t="str">
        <f>Transactions_RAW_cleaned[[#This Row],[Region ]]&amp;Transactions_RAW_cleaned[[#This Row],[Quarter ]]</f>
        <v>APACQ2</v>
      </c>
      <c r="V1351" s="5">
        <f>_xlfn.XLOOKUP(Transactions_RAW_cleaned[[#This Row],[RegionQuarterKey]], Quarterly_Targets_cleaned[RegionQuarterKey], Quarterly_Targets_cleaned[TargetRevenue])</f>
        <v>110000</v>
      </c>
    </row>
    <row r="1352" spans="1:22" x14ac:dyDescent="0.25">
      <c r="A1352" t="s">
        <v>1684</v>
      </c>
      <c r="B1352" s="1">
        <v>45355</v>
      </c>
      <c r="C1352" t="s">
        <v>161</v>
      </c>
      <c r="D1352" t="s">
        <v>300</v>
      </c>
      <c r="E1352">
        <v>92.4</v>
      </c>
      <c r="F1352" t="s">
        <v>324</v>
      </c>
      <c r="G1352" t="s">
        <v>327</v>
      </c>
      <c r="I1352" t="s">
        <v>8</v>
      </c>
      <c r="J1352" t="s">
        <v>21</v>
      </c>
      <c r="K1352" t="s">
        <v>22</v>
      </c>
      <c r="L1352" t="s">
        <v>301</v>
      </c>
      <c r="M1352" t="s">
        <v>302</v>
      </c>
      <c r="N1352">
        <v>5.0000000000000001E-3</v>
      </c>
      <c r="O1352" t="str">
        <f>IF(Transactions_RAW_cleaned[[#This Row],[Status]]="Completed", IFERROR(_xlfn.XLOOKUP(Transactions_RAW_cleaned[[#This Row],[CustomerID]], Customers_cleaned[CustomerID], Customers_cleaned[Segment]), "Customer Not Found"), "N/A")</f>
        <v>SMB</v>
      </c>
      <c r="P1352" s="5" t="str">
        <f>IF(Transactions_RAW_cleaned[[#This Row],[Status]]="Refunded", "Refund",
  IF(Transactions_RAW_cleaned[[#This Row],[Category]]="Payments", IF(Transactions_RAW_cleaned[[#This Row],[Amount]]&gt;500,"High Value","Standard"),
    IF(Transactions_RAW_cleaned[[#This Row],[Amount]]&gt;250,"High Value","Standard")))</f>
        <v>Standard</v>
      </c>
      <c r="Q1352" s="5" t="str">
        <f>IF(Transactions_RAW_cleaned[[#This Row],[Amount]] &gt; (_xlfn.XLOOKUP(Transactions_RAW_cleaned[[#This Row],[ServiceID]],Services_cleaned[ServiceID],Services_cleaned[TransactionFeePct]) * 10000), "Yes", "No")</f>
        <v>Yes</v>
      </c>
      <c r="R1352" s="5" t="str">
        <f>IF(COUNTIFS($C$2:Transactions_RAW_cleaned[[#This Row],[CustomerID]],Transactions_RAW_cleaned[[#This Row],[CustomerID]],$D$2:Transactions_RAW_cleaned[[#This Row],[ServiceID]],Transactions_RAW_cleaned[[#This Row],[ServiceID]])=1,"Yes","No")</f>
        <v>No</v>
      </c>
      <c r="S135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52" t="str">
        <f>"Q"&amp;ROUNDUP(MONTH(Transactions_RAW_cleaned[[#This Row],[TransactionDate]])/3,0)</f>
        <v>Q1</v>
      </c>
      <c r="U1352" t="str">
        <f>Transactions_RAW_cleaned[[#This Row],[Region ]]&amp;Transactions_RAW_cleaned[[#This Row],[Quarter ]]</f>
        <v>APACQ1</v>
      </c>
      <c r="V1352" s="5">
        <f>_xlfn.XLOOKUP(Transactions_RAW_cleaned[[#This Row],[RegionQuarterKey]], Quarterly_Targets_cleaned[RegionQuarterKey], Quarterly_Targets_cleaned[TargetRevenue])</f>
        <v>104500</v>
      </c>
    </row>
    <row r="1353" spans="1:22" x14ac:dyDescent="0.25">
      <c r="A1353" t="s">
        <v>1685</v>
      </c>
      <c r="B1353" s="1">
        <v>45466</v>
      </c>
      <c r="C1353" t="s">
        <v>19</v>
      </c>
      <c r="D1353" t="s">
        <v>297</v>
      </c>
      <c r="E1353">
        <v>188.74</v>
      </c>
      <c r="F1353" t="s">
        <v>324</v>
      </c>
      <c r="G1353" t="s">
        <v>329</v>
      </c>
      <c r="I1353" t="s">
        <v>8</v>
      </c>
      <c r="J1353" t="s">
        <v>21</v>
      </c>
      <c r="K1353" t="s">
        <v>22</v>
      </c>
      <c r="L1353" t="s">
        <v>298</v>
      </c>
      <c r="M1353" t="s">
        <v>299</v>
      </c>
      <c r="N1353">
        <v>0</v>
      </c>
      <c r="O1353" t="str">
        <f>IF(Transactions_RAW_cleaned[[#This Row],[Status]]="Completed", IFERROR(_xlfn.XLOOKUP(Transactions_RAW_cleaned[[#This Row],[CustomerID]], Customers_cleaned[CustomerID], Customers_cleaned[Segment]), "Customer Not Found"), "N/A")</f>
        <v>SMB</v>
      </c>
      <c r="P1353" s="5" t="str">
        <f>IF(Transactions_RAW_cleaned[[#This Row],[Status]]="Refunded", "Refund",
  IF(Transactions_RAW_cleaned[[#This Row],[Category]]="Payments", IF(Transactions_RAW_cleaned[[#This Row],[Amount]]&gt;500,"High Value","Standard"),
    IF(Transactions_RAW_cleaned[[#This Row],[Amount]]&gt;250,"High Value","Standard")))</f>
        <v>Standard</v>
      </c>
      <c r="Q1353" s="5" t="str">
        <f>IF(Transactions_RAW_cleaned[[#This Row],[Amount]] &gt; (_xlfn.XLOOKUP(Transactions_RAW_cleaned[[#This Row],[ServiceID]],Services_cleaned[ServiceID],Services_cleaned[TransactionFeePct]) * 10000), "Yes", "No")</f>
        <v>Yes</v>
      </c>
      <c r="R1353" s="5" t="str">
        <f>IF(COUNTIFS($C$2:Transactions_RAW_cleaned[[#This Row],[CustomerID]],Transactions_RAW_cleaned[[#This Row],[CustomerID]],$D$2:Transactions_RAW_cleaned[[#This Row],[ServiceID]],Transactions_RAW_cleaned[[#This Row],[ServiceID]])=1,"Yes","No")</f>
        <v>No</v>
      </c>
      <c r="S135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53" t="str">
        <f>"Q"&amp;ROUNDUP(MONTH(Transactions_RAW_cleaned[[#This Row],[TransactionDate]])/3,0)</f>
        <v>Q2</v>
      </c>
      <c r="U1353" t="str">
        <f>Transactions_RAW_cleaned[[#This Row],[Region ]]&amp;Transactions_RAW_cleaned[[#This Row],[Quarter ]]</f>
        <v>APACQ2</v>
      </c>
      <c r="V1353" s="5">
        <f>_xlfn.XLOOKUP(Transactions_RAW_cleaned[[#This Row],[RegionQuarterKey]], Quarterly_Targets_cleaned[RegionQuarterKey], Quarterly_Targets_cleaned[TargetRevenue])</f>
        <v>110000</v>
      </c>
    </row>
    <row r="1354" spans="1:22" x14ac:dyDescent="0.25">
      <c r="A1354" t="s">
        <v>1686</v>
      </c>
      <c r="B1354" s="1">
        <v>45315</v>
      </c>
      <c r="C1354" t="s">
        <v>100</v>
      </c>
      <c r="D1354" t="s">
        <v>294</v>
      </c>
      <c r="E1354">
        <v>188.25</v>
      </c>
      <c r="F1354" t="s">
        <v>324</v>
      </c>
      <c r="G1354" t="s">
        <v>325</v>
      </c>
      <c r="I1354" t="s">
        <v>8</v>
      </c>
      <c r="J1354" t="s">
        <v>102</v>
      </c>
      <c r="K1354" t="s">
        <v>22</v>
      </c>
      <c r="L1354" t="s">
        <v>295</v>
      </c>
      <c r="M1354" t="s">
        <v>296</v>
      </c>
      <c r="N1354">
        <v>2.9000000000000001E-2</v>
      </c>
      <c r="O1354" t="str">
        <f>IF(Transactions_RAW_cleaned[[#This Row],[Status]]="Completed", IFERROR(_xlfn.XLOOKUP(Transactions_RAW_cleaned[[#This Row],[CustomerID]], Customers_cleaned[CustomerID], Customers_cleaned[Segment]), "Customer Not Found"), "N/A")</f>
        <v>SMB</v>
      </c>
      <c r="P1354" s="5" t="str">
        <f>IF(Transactions_RAW_cleaned[[#This Row],[Status]]="Refunded", "Refund",
  IF(Transactions_RAW_cleaned[[#This Row],[Category]]="Payments", IF(Transactions_RAW_cleaned[[#This Row],[Amount]]&gt;500,"High Value","Standard"),
    IF(Transactions_RAW_cleaned[[#This Row],[Amount]]&gt;250,"High Value","Standard")))</f>
        <v>Standard</v>
      </c>
      <c r="Q1354" s="5" t="str">
        <f>IF(Transactions_RAW_cleaned[[#This Row],[Amount]] &gt; (_xlfn.XLOOKUP(Transactions_RAW_cleaned[[#This Row],[ServiceID]],Services_cleaned[ServiceID],Services_cleaned[TransactionFeePct]) * 10000), "Yes", "No")</f>
        <v>No</v>
      </c>
      <c r="R1354" s="5" t="str">
        <f>IF(COUNTIFS($C$2:Transactions_RAW_cleaned[[#This Row],[CustomerID]],Transactions_RAW_cleaned[[#This Row],[CustomerID]],$D$2:Transactions_RAW_cleaned[[#This Row],[ServiceID]],Transactions_RAW_cleaned[[#This Row],[ServiceID]])=1,"Yes","No")</f>
        <v>No</v>
      </c>
      <c r="S135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54" t="str">
        <f>"Q"&amp;ROUNDUP(MONTH(Transactions_RAW_cleaned[[#This Row],[TransactionDate]])/3,0)</f>
        <v>Q1</v>
      </c>
      <c r="U1354" t="str">
        <f>Transactions_RAW_cleaned[[#This Row],[Region ]]&amp;Transactions_RAW_cleaned[[#This Row],[Quarter ]]</f>
        <v>NAQ1</v>
      </c>
      <c r="V1354" s="5">
        <f>_xlfn.XLOOKUP(Transactions_RAW_cleaned[[#This Row],[RegionQuarterKey]], Quarterly_Targets_cleaned[RegionQuarterKey], Quarterly_Targets_cleaned[TargetRevenue])</f>
        <v>247000</v>
      </c>
    </row>
    <row r="1355" spans="1:22" x14ac:dyDescent="0.25">
      <c r="A1355" t="s">
        <v>1687</v>
      </c>
      <c r="B1355" s="1">
        <v>45483</v>
      </c>
      <c r="C1355" t="s">
        <v>86</v>
      </c>
      <c r="D1355" t="s">
        <v>297</v>
      </c>
      <c r="E1355">
        <v>408.66</v>
      </c>
      <c r="F1355" t="s">
        <v>324</v>
      </c>
      <c r="G1355" t="s">
        <v>337</v>
      </c>
      <c r="I1355" t="s">
        <v>8</v>
      </c>
      <c r="J1355" t="s">
        <v>102</v>
      </c>
      <c r="K1355" t="s">
        <v>18</v>
      </c>
      <c r="L1355" t="s">
        <v>298</v>
      </c>
      <c r="M1355" t="s">
        <v>299</v>
      </c>
      <c r="N1355">
        <v>0</v>
      </c>
      <c r="O1355" t="str">
        <f>IF(Transactions_RAW_cleaned[[#This Row],[Status]]="Completed", IFERROR(_xlfn.XLOOKUP(Transactions_RAW_cleaned[[#This Row],[CustomerID]], Customers_cleaned[CustomerID], Customers_cleaned[Segment]), "Customer Not Found"), "N/A")</f>
        <v>SMB</v>
      </c>
      <c r="P1355" s="5" t="str">
        <f>IF(Transactions_RAW_cleaned[[#This Row],[Status]]="Refunded", "Refund",
  IF(Transactions_RAW_cleaned[[#This Row],[Category]]="Payments", IF(Transactions_RAW_cleaned[[#This Row],[Amount]]&gt;500,"High Value","Standard"),
    IF(Transactions_RAW_cleaned[[#This Row],[Amount]]&gt;250,"High Value","Standard")))</f>
        <v>High Value</v>
      </c>
      <c r="Q1355" s="5" t="str">
        <f>IF(Transactions_RAW_cleaned[[#This Row],[Amount]] &gt; (_xlfn.XLOOKUP(Transactions_RAW_cleaned[[#This Row],[ServiceID]],Services_cleaned[ServiceID],Services_cleaned[TransactionFeePct]) * 10000), "Yes", "No")</f>
        <v>Yes</v>
      </c>
      <c r="R1355" s="5" t="str">
        <f>IF(COUNTIFS($C$2:Transactions_RAW_cleaned[[#This Row],[CustomerID]],Transactions_RAW_cleaned[[#This Row],[CustomerID]],$D$2:Transactions_RAW_cleaned[[#This Row],[ServiceID]],Transactions_RAW_cleaned[[#This Row],[ServiceID]])=1,"Yes","No")</f>
        <v>No</v>
      </c>
      <c r="S135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55" t="str">
        <f>"Q"&amp;ROUNDUP(MONTH(Transactions_RAW_cleaned[[#This Row],[TransactionDate]])/3,0)</f>
        <v>Q3</v>
      </c>
      <c r="U1355" t="str">
        <f>Transactions_RAW_cleaned[[#This Row],[Region ]]&amp;Transactions_RAW_cleaned[[#This Row],[Quarter ]]</f>
        <v>NAQ3</v>
      </c>
      <c r="V1355" s="5">
        <f>_xlfn.XLOOKUP(Transactions_RAW_cleaned[[#This Row],[RegionQuarterKey]], Quarterly_Targets_cleaned[RegionQuarterKey], Quarterly_Targets_cleaned[TargetRevenue])</f>
        <v>273000</v>
      </c>
    </row>
    <row r="1356" spans="1:22" x14ac:dyDescent="0.25">
      <c r="A1356" t="s">
        <v>1688</v>
      </c>
      <c r="B1356" s="1">
        <v>45383</v>
      </c>
      <c r="C1356" t="s">
        <v>259</v>
      </c>
      <c r="D1356" t="s">
        <v>300</v>
      </c>
      <c r="E1356">
        <v>388.52</v>
      </c>
      <c r="F1356" t="s">
        <v>324</v>
      </c>
      <c r="G1356" t="s">
        <v>327</v>
      </c>
      <c r="H1356" t="s">
        <v>346</v>
      </c>
      <c r="I1356" t="s">
        <v>8</v>
      </c>
      <c r="J1356" t="s">
        <v>31</v>
      </c>
      <c r="K1356" t="s">
        <v>22</v>
      </c>
      <c r="L1356" t="s">
        <v>301</v>
      </c>
      <c r="M1356" t="s">
        <v>302</v>
      </c>
      <c r="N1356">
        <v>5.0000000000000001E-3</v>
      </c>
      <c r="O1356" t="str">
        <f>IF(Transactions_RAW_cleaned[[#This Row],[Status]]="Completed", IFERROR(_xlfn.XLOOKUP(Transactions_RAW_cleaned[[#This Row],[CustomerID]], Customers_cleaned[CustomerID], Customers_cleaned[Segment]), "Customer Not Found"), "N/A")</f>
        <v>SMB</v>
      </c>
      <c r="P1356" s="5" t="str">
        <f>IF(Transactions_RAW_cleaned[[#This Row],[Status]]="Refunded", "Refund",
  IF(Transactions_RAW_cleaned[[#This Row],[Category]]="Payments", IF(Transactions_RAW_cleaned[[#This Row],[Amount]]&gt;500,"High Value","Standard"),
    IF(Transactions_RAW_cleaned[[#This Row],[Amount]]&gt;250,"High Value","Standard")))</f>
        <v>High Value</v>
      </c>
      <c r="Q1356" s="5" t="str">
        <f>IF(Transactions_RAW_cleaned[[#This Row],[Amount]] &gt; (_xlfn.XLOOKUP(Transactions_RAW_cleaned[[#This Row],[ServiceID]],Services_cleaned[ServiceID],Services_cleaned[TransactionFeePct]) * 10000), "Yes", "No")</f>
        <v>Yes</v>
      </c>
      <c r="R1356" s="5" t="str">
        <f>IF(COUNTIFS($C$2:Transactions_RAW_cleaned[[#This Row],[CustomerID]],Transactions_RAW_cleaned[[#This Row],[CustomerID]],$D$2:Transactions_RAW_cleaned[[#This Row],[ServiceID]],Transactions_RAW_cleaned[[#This Row],[ServiceID]])=1,"Yes","No")</f>
        <v>No</v>
      </c>
      <c r="S135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56" t="str">
        <f>"Q"&amp;ROUNDUP(MONTH(Transactions_RAW_cleaned[[#This Row],[TransactionDate]])/3,0)</f>
        <v>Q2</v>
      </c>
      <c r="U1356" t="str">
        <f>Transactions_RAW_cleaned[[#This Row],[Region ]]&amp;Transactions_RAW_cleaned[[#This Row],[Quarter ]]</f>
        <v>EMEAQ2</v>
      </c>
      <c r="V1356" s="5">
        <f>_xlfn.XLOOKUP(Transactions_RAW_cleaned[[#This Row],[RegionQuarterKey]], Quarterly_Targets_cleaned[RegionQuarterKey], Quarterly_Targets_cleaned[TargetRevenue])</f>
        <v>140000</v>
      </c>
    </row>
    <row r="1357" spans="1:22" x14ac:dyDescent="0.25">
      <c r="A1357" t="s">
        <v>1689</v>
      </c>
      <c r="B1357" s="1">
        <v>45396</v>
      </c>
      <c r="C1357" t="s">
        <v>125</v>
      </c>
      <c r="D1357" t="s">
        <v>303</v>
      </c>
      <c r="E1357">
        <v>529.24</v>
      </c>
      <c r="F1357" t="s">
        <v>324</v>
      </c>
      <c r="G1357" t="s">
        <v>329</v>
      </c>
      <c r="H1357" t="s">
        <v>334</v>
      </c>
      <c r="I1357" t="s">
        <v>8</v>
      </c>
      <c r="J1357" t="s">
        <v>13</v>
      </c>
      <c r="K1357" t="s">
        <v>28</v>
      </c>
      <c r="L1357" t="s">
        <v>304</v>
      </c>
      <c r="M1357" t="s">
        <v>305</v>
      </c>
      <c r="N1357">
        <v>1E-3</v>
      </c>
      <c r="O1357" t="str">
        <f>IF(Transactions_RAW_cleaned[[#This Row],[Status]]="Completed", IFERROR(_xlfn.XLOOKUP(Transactions_RAW_cleaned[[#This Row],[CustomerID]], Customers_cleaned[CustomerID], Customers_cleaned[Segment]), "Customer Not Found"), "N/A")</f>
        <v>SMB</v>
      </c>
      <c r="P1357" s="5" t="str">
        <f>IF(Transactions_RAW_cleaned[[#This Row],[Status]]="Refunded", "Refund",
  IF(Transactions_RAW_cleaned[[#This Row],[Category]]="Payments", IF(Transactions_RAW_cleaned[[#This Row],[Amount]]&gt;500,"High Value","Standard"),
    IF(Transactions_RAW_cleaned[[#This Row],[Amount]]&gt;250,"High Value","Standard")))</f>
        <v>High Value</v>
      </c>
      <c r="Q1357" s="5" t="str">
        <f>IF(Transactions_RAW_cleaned[[#This Row],[Amount]] &gt; (_xlfn.XLOOKUP(Transactions_RAW_cleaned[[#This Row],[ServiceID]],Services_cleaned[ServiceID],Services_cleaned[TransactionFeePct]) * 10000), "Yes", "No")</f>
        <v>Yes</v>
      </c>
      <c r="R1357" s="5" t="str">
        <f>IF(COUNTIFS($C$2:Transactions_RAW_cleaned[[#This Row],[CustomerID]],Transactions_RAW_cleaned[[#This Row],[CustomerID]],$D$2:Transactions_RAW_cleaned[[#This Row],[ServiceID]],Transactions_RAW_cleaned[[#This Row],[ServiceID]])=1,"Yes","No")</f>
        <v>Yes</v>
      </c>
      <c r="S135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57" t="str">
        <f>"Q"&amp;ROUNDUP(MONTH(Transactions_RAW_cleaned[[#This Row],[TransactionDate]])/3,0)</f>
        <v>Q2</v>
      </c>
      <c r="U1357" t="str">
        <f>Transactions_RAW_cleaned[[#This Row],[Region ]]&amp;Transactions_RAW_cleaned[[#This Row],[Quarter ]]</f>
        <v>NAQ2</v>
      </c>
      <c r="V1357" s="5">
        <f>_xlfn.XLOOKUP(Transactions_RAW_cleaned[[#This Row],[RegionQuarterKey]], Quarterly_Targets_cleaned[RegionQuarterKey], Quarterly_Targets_cleaned[TargetRevenue])</f>
        <v>260000</v>
      </c>
    </row>
    <row r="1358" spans="1:22" x14ac:dyDescent="0.25">
      <c r="A1358" t="s">
        <v>1690</v>
      </c>
      <c r="B1358" s="1">
        <v>45526</v>
      </c>
      <c r="C1358" t="s">
        <v>255</v>
      </c>
      <c r="D1358" t="s">
        <v>294</v>
      </c>
      <c r="E1358">
        <v>125.45</v>
      </c>
      <c r="F1358" t="s">
        <v>324</v>
      </c>
      <c r="G1358" t="s">
        <v>325</v>
      </c>
      <c r="H1358" t="s">
        <v>334</v>
      </c>
      <c r="I1358" t="s">
        <v>17</v>
      </c>
      <c r="J1358" t="s">
        <v>21</v>
      </c>
      <c r="K1358" t="s">
        <v>28</v>
      </c>
      <c r="L1358" t="s">
        <v>295</v>
      </c>
      <c r="M1358" t="s">
        <v>296</v>
      </c>
      <c r="N1358">
        <v>2.9000000000000001E-2</v>
      </c>
      <c r="O1358" t="str">
        <f>IF(Transactions_RAW_cleaned[[#This Row],[Status]]="Completed", IFERROR(_xlfn.XLOOKUP(Transactions_RAW_cleaned[[#This Row],[CustomerID]], Customers_cleaned[CustomerID], Customers_cleaned[Segment]), "Customer Not Found"), "N/A")</f>
        <v>Enterprise</v>
      </c>
      <c r="P1358" s="5" t="str">
        <f>IF(Transactions_RAW_cleaned[[#This Row],[Status]]="Refunded", "Refund",
  IF(Transactions_RAW_cleaned[[#This Row],[Category]]="Payments", IF(Transactions_RAW_cleaned[[#This Row],[Amount]]&gt;500,"High Value","Standard"),
    IF(Transactions_RAW_cleaned[[#This Row],[Amount]]&gt;250,"High Value","Standard")))</f>
        <v>Standard</v>
      </c>
      <c r="Q1358" s="5" t="str">
        <f>IF(Transactions_RAW_cleaned[[#This Row],[Amount]] &gt; (_xlfn.XLOOKUP(Transactions_RAW_cleaned[[#This Row],[ServiceID]],Services_cleaned[ServiceID],Services_cleaned[TransactionFeePct]) * 10000), "Yes", "No")</f>
        <v>No</v>
      </c>
      <c r="R1358" s="5" t="str">
        <f>IF(COUNTIFS($C$2:Transactions_RAW_cleaned[[#This Row],[CustomerID]],Transactions_RAW_cleaned[[#This Row],[CustomerID]],$D$2:Transactions_RAW_cleaned[[#This Row],[ServiceID]],Transactions_RAW_cleaned[[#This Row],[ServiceID]])=1,"Yes","No")</f>
        <v>No</v>
      </c>
      <c r="S135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58" t="str">
        <f>"Q"&amp;ROUNDUP(MONTH(Transactions_RAW_cleaned[[#This Row],[TransactionDate]])/3,0)</f>
        <v>Q3</v>
      </c>
      <c r="U1358" t="str">
        <f>Transactions_RAW_cleaned[[#This Row],[Region ]]&amp;Transactions_RAW_cleaned[[#This Row],[Quarter ]]</f>
        <v>APACQ3</v>
      </c>
      <c r="V1358" s="5">
        <f>_xlfn.XLOOKUP(Transactions_RAW_cleaned[[#This Row],[RegionQuarterKey]], Quarterly_Targets_cleaned[RegionQuarterKey], Quarterly_Targets_cleaned[TargetRevenue])</f>
        <v>115500</v>
      </c>
    </row>
    <row r="1359" spans="1:22" x14ac:dyDescent="0.25">
      <c r="A1359" t="s">
        <v>1691</v>
      </c>
      <c r="B1359" s="1">
        <v>45563</v>
      </c>
      <c r="C1359" t="s">
        <v>159</v>
      </c>
      <c r="D1359" t="s">
        <v>294</v>
      </c>
      <c r="E1359">
        <v>104.34</v>
      </c>
      <c r="F1359" t="s">
        <v>324</v>
      </c>
      <c r="G1359" t="s">
        <v>337</v>
      </c>
      <c r="H1359" t="s">
        <v>334</v>
      </c>
      <c r="I1359" t="s">
        <v>57</v>
      </c>
      <c r="J1359" t="s">
        <v>25</v>
      </c>
      <c r="K1359" t="s">
        <v>22</v>
      </c>
      <c r="L1359" t="s">
        <v>295</v>
      </c>
      <c r="M1359" t="s">
        <v>296</v>
      </c>
      <c r="N1359">
        <v>2.9000000000000001E-2</v>
      </c>
      <c r="O1359" t="str">
        <f>IF(Transactions_RAW_cleaned[[#This Row],[Status]]="Completed", IFERROR(_xlfn.XLOOKUP(Transactions_RAW_cleaned[[#This Row],[CustomerID]], Customers_cleaned[CustomerID], Customers_cleaned[Segment]), "Customer Not Found"), "N/A")</f>
        <v>Startup</v>
      </c>
      <c r="P1359" s="5" t="str">
        <f>IF(Transactions_RAW_cleaned[[#This Row],[Status]]="Refunded", "Refund",
  IF(Transactions_RAW_cleaned[[#This Row],[Category]]="Payments", IF(Transactions_RAW_cleaned[[#This Row],[Amount]]&gt;500,"High Value","Standard"),
    IF(Transactions_RAW_cleaned[[#This Row],[Amount]]&gt;250,"High Value","Standard")))</f>
        <v>Standard</v>
      </c>
      <c r="Q1359" s="5" t="str">
        <f>IF(Transactions_RAW_cleaned[[#This Row],[Amount]] &gt; (_xlfn.XLOOKUP(Transactions_RAW_cleaned[[#This Row],[ServiceID]],Services_cleaned[ServiceID],Services_cleaned[TransactionFeePct]) * 10000), "Yes", "No")</f>
        <v>No</v>
      </c>
      <c r="R1359" s="5" t="str">
        <f>IF(COUNTIFS($C$2:Transactions_RAW_cleaned[[#This Row],[CustomerID]],Transactions_RAW_cleaned[[#This Row],[CustomerID]],$D$2:Transactions_RAW_cleaned[[#This Row],[ServiceID]],Transactions_RAW_cleaned[[#This Row],[ServiceID]])=1,"Yes","No")</f>
        <v>No</v>
      </c>
      <c r="S135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59" t="str">
        <f>"Q"&amp;ROUNDUP(MONTH(Transactions_RAW_cleaned[[#This Row],[TransactionDate]])/3,0)</f>
        <v>Q3</v>
      </c>
      <c r="U1359" t="str">
        <f>Transactions_RAW_cleaned[[#This Row],[Region ]]&amp;Transactions_RAW_cleaned[[#This Row],[Quarter ]]</f>
        <v>APACQ3</v>
      </c>
      <c r="V1359" s="5">
        <f>_xlfn.XLOOKUP(Transactions_RAW_cleaned[[#This Row],[RegionQuarterKey]], Quarterly_Targets_cleaned[RegionQuarterKey], Quarterly_Targets_cleaned[TargetRevenue])</f>
        <v>115500</v>
      </c>
    </row>
    <row r="1360" spans="1:22" x14ac:dyDescent="0.25">
      <c r="A1360" t="s">
        <v>1692</v>
      </c>
      <c r="B1360" s="1">
        <v>45491</v>
      </c>
      <c r="C1360" t="s">
        <v>98</v>
      </c>
      <c r="D1360" t="s">
        <v>294</v>
      </c>
      <c r="E1360">
        <v>780.63</v>
      </c>
      <c r="F1360" t="s">
        <v>324</v>
      </c>
      <c r="G1360" t="s">
        <v>325</v>
      </c>
      <c r="H1360" t="s">
        <v>334</v>
      </c>
      <c r="I1360" t="s">
        <v>8</v>
      </c>
      <c r="J1360" t="s">
        <v>37</v>
      </c>
      <c r="K1360" t="s">
        <v>18</v>
      </c>
      <c r="L1360" t="s">
        <v>295</v>
      </c>
      <c r="M1360" t="s">
        <v>296</v>
      </c>
      <c r="N1360">
        <v>2.9000000000000001E-2</v>
      </c>
      <c r="O1360" t="str">
        <f>IF(Transactions_RAW_cleaned[[#This Row],[Status]]="Completed", IFERROR(_xlfn.XLOOKUP(Transactions_RAW_cleaned[[#This Row],[CustomerID]], Customers_cleaned[CustomerID], Customers_cleaned[Segment]), "Customer Not Found"), "N/A")</f>
        <v>SMB</v>
      </c>
      <c r="P1360" s="5" t="str">
        <f>IF(Transactions_RAW_cleaned[[#This Row],[Status]]="Refunded", "Refund",
  IF(Transactions_RAW_cleaned[[#This Row],[Category]]="Payments", IF(Transactions_RAW_cleaned[[#This Row],[Amount]]&gt;500,"High Value","Standard"),
    IF(Transactions_RAW_cleaned[[#This Row],[Amount]]&gt;250,"High Value","Standard")))</f>
        <v>High Value</v>
      </c>
      <c r="Q1360" s="5" t="str">
        <f>IF(Transactions_RAW_cleaned[[#This Row],[Amount]] &gt; (_xlfn.XLOOKUP(Transactions_RAW_cleaned[[#This Row],[ServiceID]],Services_cleaned[ServiceID],Services_cleaned[TransactionFeePct]) * 10000), "Yes", "No")</f>
        <v>Yes</v>
      </c>
      <c r="R1360" s="5" t="str">
        <f>IF(COUNTIFS($C$2:Transactions_RAW_cleaned[[#This Row],[CustomerID]],Transactions_RAW_cleaned[[#This Row],[CustomerID]],$D$2:Transactions_RAW_cleaned[[#This Row],[ServiceID]],Transactions_RAW_cleaned[[#This Row],[ServiceID]])=1,"Yes","No")</f>
        <v>No</v>
      </c>
      <c r="S136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60" t="str">
        <f>"Q"&amp;ROUNDUP(MONTH(Transactions_RAW_cleaned[[#This Row],[TransactionDate]])/3,0)</f>
        <v>Q3</v>
      </c>
      <c r="U1360" t="str">
        <f>Transactions_RAW_cleaned[[#This Row],[Region ]]&amp;Transactions_RAW_cleaned[[#This Row],[Quarter ]]</f>
        <v>EMEAQ3</v>
      </c>
      <c r="V1360" s="5">
        <f>_xlfn.XLOOKUP(Transactions_RAW_cleaned[[#This Row],[RegionQuarterKey]], Quarterly_Targets_cleaned[RegionQuarterKey], Quarterly_Targets_cleaned[TargetRevenue])</f>
        <v>147000</v>
      </c>
    </row>
    <row r="1361" spans="1:22" x14ac:dyDescent="0.25">
      <c r="A1361" t="s">
        <v>1693</v>
      </c>
      <c r="B1361" s="1">
        <v>45485</v>
      </c>
      <c r="C1361" t="s">
        <v>213</v>
      </c>
      <c r="D1361" t="s">
        <v>300</v>
      </c>
      <c r="E1361">
        <v>519.80999999999995</v>
      </c>
      <c r="F1361" t="s">
        <v>324</v>
      </c>
      <c r="G1361" t="s">
        <v>329</v>
      </c>
      <c r="H1361" t="s">
        <v>332</v>
      </c>
      <c r="I1361" t="s">
        <v>17</v>
      </c>
      <c r="J1361" t="s">
        <v>25</v>
      </c>
      <c r="K1361" t="s">
        <v>14</v>
      </c>
      <c r="L1361" t="s">
        <v>301</v>
      </c>
      <c r="M1361" t="s">
        <v>302</v>
      </c>
      <c r="N1361">
        <v>5.0000000000000001E-3</v>
      </c>
      <c r="O1361" t="str">
        <f>IF(Transactions_RAW_cleaned[[#This Row],[Status]]="Completed", IFERROR(_xlfn.XLOOKUP(Transactions_RAW_cleaned[[#This Row],[CustomerID]], Customers_cleaned[CustomerID], Customers_cleaned[Segment]), "Customer Not Found"), "N/A")</f>
        <v>Enterprise</v>
      </c>
      <c r="P1361" s="5" t="str">
        <f>IF(Transactions_RAW_cleaned[[#This Row],[Status]]="Refunded", "Refund",
  IF(Transactions_RAW_cleaned[[#This Row],[Category]]="Payments", IF(Transactions_RAW_cleaned[[#This Row],[Amount]]&gt;500,"High Value","Standard"),
    IF(Transactions_RAW_cleaned[[#This Row],[Amount]]&gt;250,"High Value","Standard")))</f>
        <v>High Value</v>
      </c>
      <c r="Q1361" s="5" t="str">
        <f>IF(Transactions_RAW_cleaned[[#This Row],[Amount]] &gt; (_xlfn.XLOOKUP(Transactions_RAW_cleaned[[#This Row],[ServiceID]],Services_cleaned[ServiceID],Services_cleaned[TransactionFeePct]) * 10000), "Yes", "No")</f>
        <v>Yes</v>
      </c>
      <c r="R1361" s="5" t="str">
        <f>IF(COUNTIFS($C$2:Transactions_RAW_cleaned[[#This Row],[CustomerID]],Transactions_RAW_cleaned[[#This Row],[CustomerID]],$D$2:Transactions_RAW_cleaned[[#This Row],[ServiceID]],Transactions_RAW_cleaned[[#This Row],[ServiceID]])=1,"Yes","No")</f>
        <v>No</v>
      </c>
      <c r="S136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61" t="str">
        <f>"Q"&amp;ROUNDUP(MONTH(Transactions_RAW_cleaned[[#This Row],[TransactionDate]])/3,0)</f>
        <v>Q3</v>
      </c>
      <c r="U1361" t="str">
        <f>Transactions_RAW_cleaned[[#This Row],[Region ]]&amp;Transactions_RAW_cleaned[[#This Row],[Quarter ]]</f>
        <v>APACQ3</v>
      </c>
      <c r="V1361" s="5">
        <f>_xlfn.XLOOKUP(Transactions_RAW_cleaned[[#This Row],[RegionQuarterKey]], Quarterly_Targets_cleaned[RegionQuarterKey], Quarterly_Targets_cleaned[TargetRevenue])</f>
        <v>115500</v>
      </c>
    </row>
    <row r="1362" spans="1:22" x14ac:dyDescent="0.25">
      <c r="A1362" t="s">
        <v>1694</v>
      </c>
      <c r="B1362" s="1">
        <v>45352</v>
      </c>
      <c r="C1362" t="s">
        <v>88</v>
      </c>
      <c r="D1362" t="s">
        <v>315</v>
      </c>
      <c r="E1362">
        <v>153.54</v>
      </c>
      <c r="F1362" t="s">
        <v>324</v>
      </c>
      <c r="G1362" t="s">
        <v>327</v>
      </c>
      <c r="I1362" t="s">
        <v>8</v>
      </c>
      <c r="J1362" t="s">
        <v>102</v>
      </c>
      <c r="K1362" t="s">
        <v>18</v>
      </c>
      <c r="L1362" t="s">
        <v>316</v>
      </c>
      <c r="M1362" t="s">
        <v>305</v>
      </c>
      <c r="N1362">
        <v>2.5000000000000001E-3</v>
      </c>
      <c r="O1362" t="str">
        <f>IF(Transactions_RAW_cleaned[[#This Row],[Status]]="Completed", IFERROR(_xlfn.XLOOKUP(Transactions_RAW_cleaned[[#This Row],[CustomerID]], Customers_cleaned[CustomerID], Customers_cleaned[Segment]), "Customer Not Found"), "N/A")</f>
        <v>SMB</v>
      </c>
      <c r="P1362" s="5" t="str">
        <f>IF(Transactions_RAW_cleaned[[#This Row],[Status]]="Refunded", "Refund",
  IF(Transactions_RAW_cleaned[[#This Row],[Category]]="Payments", IF(Transactions_RAW_cleaned[[#This Row],[Amount]]&gt;500,"High Value","Standard"),
    IF(Transactions_RAW_cleaned[[#This Row],[Amount]]&gt;250,"High Value","Standard")))</f>
        <v>Standard</v>
      </c>
      <c r="Q1362" s="5" t="str">
        <f>IF(Transactions_RAW_cleaned[[#This Row],[Amount]] &gt; (_xlfn.XLOOKUP(Transactions_RAW_cleaned[[#This Row],[ServiceID]],Services_cleaned[ServiceID],Services_cleaned[TransactionFeePct]) * 10000), "Yes", "No")</f>
        <v>Yes</v>
      </c>
      <c r="R1362" s="5" t="str">
        <f>IF(COUNTIFS($C$2:Transactions_RAW_cleaned[[#This Row],[CustomerID]],Transactions_RAW_cleaned[[#This Row],[CustomerID]],$D$2:Transactions_RAW_cleaned[[#This Row],[ServiceID]],Transactions_RAW_cleaned[[#This Row],[ServiceID]])=1,"Yes","No")</f>
        <v>No</v>
      </c>
      <c r="S136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62" t="str">
        <f>"Q"&amp;ROUNDUP(MONTH(Transactions_RAW_cleaned[[#This Row],[TransactionDate]])/3,0)</f>
        <v>Q1</v>
      </c>
      <c r="U1362" t="str">
        <f>Transactions_RAW_cleaned[[#This Row],[Region ]]&amp;Transactions_RAW_cleaned[[#This Row],[Quarter ]]</f>
        <v>NAQ1</v>
      </c>
      <c r="V1362" s="5">
        <f>_xlfn.XLOOKUP(Transactions_RAW_cleaned[[#This Row],[RegionQuarterKey]], Quarterly_Targets_cleaned[RegionQuarterKey], Quarterly_Targets_cleaned[TargetRevenue])</f>
        <v>247000</v>
      </c>
    </row>
    <row r="1363" spans="1:22" x14ac:dyDescent="0.25">
      <c r="A1363" t="s">
        <v>1695</v>
      </c>
      <c r="B1363" s="1">
        <v>45539</v>
      </c>
      <c r="C1363" t="s">
        <v>193</v>
      </c>
      <c r="D1363" t="s">
        <v>315</v>
      </c>
      <c r="E1363">
        <v>-887.5</v>
      </c>
      <c r="F1363" t="s">
        <v>349</v>
      </c>
      <c r="G1363" t="s">
        <v>325</v>
      </c>
      <c r="H1363" t="s">
        <v>332</v>
      </c>
      <c r="I1363" t="s">
        <v>8</v>
      </c>
      <c r="J1363" t="s">
        <v>102</v>
      </c>
      <c r="K1363" t="s">
        <v>18</v>
      </c>
      <c r="L1363" t="s">
        <v>316</v>
      </c>
      <c r="M1363" t="s">
        <v>305</v>
      </c>
      <c r="N1363">
        <v>2.5000000000000001E-3</v>
      </c>
      <c r="O1363" t="str">
        <f>IF(Transactions_RAW_cleaned[[#This Row],[Status]]="Completed", IFERROR(_xlfn.XLOOKUP(Transactions_RAW_cleaned[[#This Row],[CustomerID]], Customers_cleaned[CustomerID], Customers_cleaned[Segment]), "Customer Not Found"), "N/A")</f>
        <v>N/A</v>
      </c>
      <c r="P1363" s="5" t="str">
        <f>IF(Transactions_RAW_cleaned[[#This Row],[Status]]="Refunded", "Refund",
  IF(Transactions_RAW_cleaned[[#This Row],[Category]]="Payments", IF(Transactions_RAW_cleaned[[#This Row],[Amount]]&gt;500,"High Value","Standard"),
    IF(Transactions_RAW_cleaned[[#This Row],[Amount]]&gt;250,"High Value","Standard")))</f>
        <v>Refund</v>
      </c>
      <c r="Q1363" s="5" t="str">
        <f>IF(Transactions_RAW_cleaned[[#This Row],[Amount]] &gt; (_xlfn.XLOOKUP(Transactions_RAW_cleaned[[#This Row],[ServiceID]],Services_cleaned[ServiceID],Services_cleaned[TransactionFeePct]) * 10000), "Yes", "No")</f>
        <v>No</v>
      </c>
      <c r="R1363" s="5" t="str">
        <f>IF(COUNTIFS($C$2:Transactions_RAW_cleaned[[#This Row],[CustomerID]],Transactions_RAW_cleaned[[#This Row],[CustomerID]],$D$2:Transactions_RAW_cleaned[[#This Row],[ServiceID]],Transactions_RAW_cleaned[[#This Row],[ServiceID]])=1,"Yes","No")</f>
        <v>Yes</v>
      </c>
      <c r="S136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63" t="str">
        <f>"Q"&amp;ROUNDUP(MONTH(Transactions_RAW_cleaned[[#This Row],[TransactionDate]])/3,0)</f>
        <v>Q3</v>
      </c>
      <c r="U1363" t="str">
        <f>Transactions_RAW_cleaned[[#This Row],[Region ]]&amp;Transactions_RAW_cleaned[[#This Row],[Quarter ]]</f>
        <v>NAQ3</v>
      </c>
      <c r="V1363" s="5">
        <f>_xlfn.XLOOKUP(Transactions_RAW_cleaned[[#This Row],[RegionQuarterKey]], Quarterly_Targets_cleaned[RegionQuarterKey], Quarterly_Targets_cleaned[TargetRevenue])</f>
        <v>273000</v>
      </c>
    </row>
    <row r="1364" spans="1:22" x14ac:dyDescent="0.25">
      <c r="A1364" t="s">
        <v>1696</v>
      </c>
      <c r="B1364" s="1">
        <v>45538</v>
      </c>
      <c r="C1364" t="s">
        <v>98</v>
      </c>
      <c r="D1364" t="s">
        <v>294</v>
      </c>
      <c r="E1364">
        <v>318.55</v>
      </c>
      <c r="F1364" t="s">
        <v>331</v>
      </c>
      <c r="G1364" t="s">
        <v>327</v>
      </c>
      <c r="I1364" t="s">
        <v>8</v>
      </c>
      <c r="J1364" t="s">
        <v>37</v>
      </c>
      <c r="K1364" t="s">
        <v>18</v>
      </c>
      <c r="L1364" t="s">
        <v>295</v>
      </c>
      <c r="M1364" t="s">
        <v>296</v>
      </c>
      <c r="N1364">
        <v>2.9000000000000001E-2</v>
      </c>
      <c r="O1364" t="str">
        <f>IF(Transactions_RAW_cleaned[[#This Row],[Status]]="Completed", IFERROR(_xlfn.XLOOKUP(Transactions_RAW_cleaned[[#This Row],[CustomerID]], Customers_cleaned[CustomerID], Customers_cleaned[Segment]), "Customer Not Found"), "N/A")</f>
        <v>N/A</v>
      </c>
      <c r="P1364" s="5" t="str">
        <f>IF(Transactions_RAW_cleaned[[#This Row],[Status]]="Refunded", "Refund",
  IF(Transactions_RAW_cleaned[[#This Row],[Category]]="Payments", IF(Transactions_RAW_cleaned[[#This Row],[Amount]]&gt;500,"High Value","Standard"),
    IF(Transactions_RAW_cleaned[[#This Row],[Amount]]&gt;250,"High Value","Standard")))</f>
        <v>Standard</v>
      </c>
      <c r="Q1364" s="5" t="str">
        <f>IF(Transactions_RAW_cleaned[[#This Row],[Amount]] &gt; (_xlfn.XLOOKUP(Transactions_RAW_cleaned[[#This Row],[ServiceID]],Services_cleaned[ServiceID],Services_cleaned[TransactionFeePct]) * 10000), "Yes", "No")</f>
        <v>Yes</v>
      </c>
      <c r="R1364" s="5" t="str">
        <f>IF(COUNTIFS($C$2:Transactions_RAW_cleaned[[#This Row],[CustomerID]],Transactions_RAW_cleaned[[#This Row],[CustomerID]],$D$2:Transactions_RAW_cleaned[[#This Row],[ServiceID]],Transactions_RAW_cleaned[[#This Row],[ServiceID]])=1,"Yes","No")</f>
        <v>No</v>
      </c>
      <c r="S136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64" t="str">
        <f>"Q"&amp;ROUNDUP(MONTH(Transactions_RAW_cleaned[[#This Row],[TransactionDate]])/3,0)</f>
        <v>Q3</v>
      </c>
      <c r="U1364" t="str">
        <f>Transactions_RAW_cleaned[[#This Row],[Region ]]&amp;Transactions_RAW_cleaned[[#This Row],[Quarter ]]</f>
        <v>EMEAQ3</v>
      </c>
      <c r="V1364" s="5">
        <f>_xlfn.XLOOKUP(Transactions_RAW_cleaned[[#This Row],[RegionQuarterKey]], Quarterly_Targets_cleaned[RegionQuarterKey], Quarterly_Targets_cleaned[TargetRevenue])</f>
        <v>147000</v>
      </c>
    </row>
    <row r="1365" spans="1:22" x14ac:dyDescent="0.25">
      <c r="A1365" t="s">
        <v>1697</v>
      </c>
      <c r="B1365" s="1">
        <v>45462</v>
      </c>
      <c r="C1365" t="s">
        <v>253</v>
      </c>
      <c r="D1365" t="s">
        <v>306</v>
      </c>
      <c r="E1365">
        <v>338.65</v>
      </c>
      <c r="F1365" t="s">
        <v>324</v>
      </c>
      <c r="G1365" t="s">
        <v>2963</v>
      </c>
      <c r="H1365" t="s">
        <v>332</v>
      </c>
      <c r="I1365" t="s">
        <v>8</v>
      </c>
      <c r="J1365" t="s">
        <v>102</v>
      </c>
      <c r="K1365" t="s">
        <v>28</v>
      </c>
      <c r="L1365" t="s">
        <v>307</v>
      </c>
      <c r="M1365" t="s">
        <v>308</v>
      </c>
      <c r="N1365">
        <v>0</v>
      </c>
      <c r="O1365" t="str">
        <f>IF(Transactions_RAW_cleaned[[#This Row],[Status]]="Completed", IFERROR(_xlfn.XLOOKUP(Transactions_RAW_cleaned[[#This Row],[CustomerID]], Customers_cleaned[CustomerID], Customers_cleaned[Segment]), "Customer Not Found"), "N/A")</f>
        <v>SMB</v>
      </c>
      <c r="P1365" s="5" t="str">
        <f>IF(Transactions_RAW_cleaned[[#This Row],[Status]]="Refunded", "Refund",
  IF(Transactions_RAW_cleaned[[#This Row],[Category]]="Payments", IF(Transactions_RAW_cleaned[[#This Row],[Amount]]&gt;500,"High Value","Standard"),
    IF(Transactions_RAW_cleaned[[#This Row],[Amount]]&gt;250,"High Value","Standard")))</f>
        <v>High Value</v>
      </c>
      <c r="Q1365" s="5" t="str">
        <f>IF(Transactions_RAW_cleaned[[#This Row],[Amount]] &gt; (_xlfn.XLOOKUP(Transactions_RAW_cleaned[[#This Row],[ServiceID]],Services_cleaned[ServiceID],Services_cleaned[TransactionFeePct]) * 10000), "Yes", "No")</f>
        <v>Yes</v>
      </c>
      <c r="R1365" s="5" t="str">
        <f>IF(COUNTIFS($C$2:Transactions_RAW_cleaned[[#This Row],[CustomerID]],Transactions_RAW_cleaned[[#This Row],[CustomerID]],$D$2:Transactions_RAW_cleaned[[#This Row],[ServiceID]],Transactions_RAW_cleaned[[#This Row],[ServiceID]])=1,"Yes","No")</f>
        <v>No</v>
      </c>
      <c r="S136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65" t="str">
        <f>"Q"&amp;ROUNDUP(MONTH(Transactions_RAW_cleaned[[#This Row],[TransactionDate]])/3,0)</f>
        <v>Q2</v>
      </c>
      <c r="U1365" t="str">
        <f>Transactions_RAW_cleaned[[#This Row],[Region ]]&amp;Transactions_RAW_cleaned[[#This Row],[Quarter ]]</f>
        <v>NAQ2</v>
      </c>
      <c r="V1365" s="5">
        <f>_xlfn.XLOOKUP(Transactions_RAW_cleaned[[#This Row],[RegionQuarterKey]], Quarterly_Targets_cleaned[RegionQuarterKey], Quarterly_Targets_cleaned[TargetRevenue])</f>
        <v>260000</v>
      </c>
    </row>
    <row r="1366" spans="1:22" x14ac:dyDescent="0.25">
      <c r="A1366" t="s">
        <v>1698</v>
      </c>
      <c r="B1366" s="1">
        <v>45410</v>
      </c>
      <c r="C1366" t="s">
        <v>171</v>
      </c>
      <c r="D1366" t="s">
        <v>294</v>
      </c>
      <c r="E1366">
        <v>226.25</v>
      </c>
      <c r="F1366" t="s">
        <v>381</v>
      </c>
      <c r="G1366" t="s">
        <v>337</v>
      </c>
      <c r="I1366" t="s">
        <v>17</v>
      </c>
      <c r="J1366" t="s">
        <v>31</v>
      </c>
      <c r="K1366" t="s">
        <v>32</v>
      </c>
      <c r="L1366" t="s">
        <v>295</v>
      </c>
      <c r="M1366" t="s">
        <v>296</v>
      </c>
      <c r="N1366">
        <v>2.9000000000000001E-2</v>
      </c>
      <c r="O1366" t="str">
        <f>IF(Transactions_RAW_cleaned[[#This Row],[Status]]="Completed", IFERROR(_xlfn.XLOOKUP(Transactions_RAW_cleaned[[#This Row],[CustomerID]], Customers_cleaned[CustomerID], Customers_cleaned[Segment]), "Customer Not Found"), "N/A")</f>
        <v>N/A</v>
      </c>
      <c r="P1366" s="5" t="str">
        <f>IF(Transactions_RAW_cleaned[[#This Row],[Status]]="Refunded", "Refund",
  IF(Transactions_RAW_cleaned[[#This Row],[Category]]="Payments", IF(Transactions_RAW_cleaned[[#This Row],[Amount]]&gt;500,"High Value","Standard"),
    IF(Transactions_RAW_cleaned[[#This Row],[Amount]]&gt;250,"High Value","Standard")))</f>
        <v>Standard</v>
      </c>
      <c r="Q1366" s="5" t="str">
        <f>IF(Transactions_RAW_cleaned[[#This Row],[Amount]] &gt; (_xlfn.XLOOKUP(Transactions_RAW_cleaned[[#This Row],[ServiceID]],Services_cleaned[ServiceID],Services_cleaned[TransactionFeePct]) * 10000), "Yes", "No")</f>
        <v>No</v>
      </c>
      <c r="R1366" s="5" t="str">
        <f>IF(COUNTIFS($C$2:Transactions_RAW_cleaned[[#This Row],[CustomerID]],Transactions_RAW_cleaned[[#This Row],[CustomerID]],$D$2:Transactions_RAW_cleaned[[#This Row],[ServiceID]],Transactions_RAW_cleaned[[#This Row],[ServiceID]])=1,"Yes","No")</f>
        <v>No</v>
      </c>
      <c r="S136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66" t="str">
        <f>"Q"&amp;ROUNDUP(MONTH(Transactions_RAW_cleaned[[#This Row],[TransactionDate]])/3,0)</f>
        <v>Q2</v>
      </c>
      <c r="U1366" t="str">
        <f>Transactions_RAW_cleaned[[#This Row],[Region ]]&amp;Transactions_RAW_cleaned[[#This Row],[Quarter ]]</f>
        <v>EMEAQ2</v>
      </c>
      <c r="V1366" s="5">
        <f>_xlfn.XLOOKUP(Transactions_RAW_cleaned[[#This Row],[RegionQuarterKey]], Quarterly_Targets_cleaned[RegionQuarterKey], Quarterly_Targets_cleaned[TargetRevenue])</f>
        <v>140000</v>
      </c>
    </row>
    <row r="1367" spans="1:22" x14ac:dyDescent="0.25">
      <c r="A1367" t="s">
        <v>1699</v>
      </c>
      <c r="B1367" s="1">
        <v>45618</v>
      </c>
      <c r="C1367" t="s">
        <v>35</v>
      </c>
      <c r="D1367" t="s">
        <v>309</v>
      </c>
      <c r="E1367">
        <v>281.33</v>
      </c>
      <c r="F1367" t="s">
        <v>324</v>
      </c>
      <c r="G1367" t="s">
        <v>337</v>
      </c>
      <c r="I1367" t="s">
        <v>8</v>
      </c>
      <c r="J1367" t="s">
        <v>37</v>
      </c>
      <c r="K1367" t="s">
        <v>28</v>
      </c>
      <c r="L1367" t="s">
        <v>310</v>
      </c>
      <c r="M1367" t="s">
        <v>311</v>
      </c>
      <c r="N1367">
        <v>0</v>
      </c>
      <c r="O1367" t="str">
        <f>IF(Transactions_RAW_cleaned[[#This Row],[Status]]="Completed", IFERROR(_xlfn.XLOOKUP(Transactions_RAW_cleaned[[#This Row],[CustomerID]], Customers_cleaned[CustomerID], Customers_cleaned[Segment]), "Customer Not Found"), "N/A")</f>
        <v>SMB</v>
      </c>
      <c r="P1367" s="5" t="str">
        <f>IF(Transactions_RAW_cleaned[[#This Row],[Status]]="Refunded", "Refund",
  IF(Transactions_RAW_cleaned[[#This Row],[Category]]="Payments", IF(Transactions_RAW_cleaned[[#This Row],[Amount]]&gt;500,"High Value","Standard"),
    IF(Transactions_RAW_cleaned[[#This Row],[Amount]]&gt;250,"High Value","Standard")))</f>
        <v>High Value</v>
      </c>
      <c r="Q1367" s="5" t="str">
        <f>IF(Transactions_RAW_cleaned[[#This Row],[Amount]] &gt; (_xlfn.XLOOKUP(Transactions_RAW_cleaned[[#This Row],[ServiceID]],Services_cleaned[ServiceID],Services_cleaned[TransactionFeePct]) * 10000), "Yes", "No")</f>
        <v>Yes</v>
      </c>
      <c r="R1367" s="5" t="str">
        <f>IF(COUNTIFS($C$2:Transactions_RAW_cleaned[[#This Row],[CustomerID]],Transactions_RAW_cleaned[[#This Row],[CustomerID]],$D$2:Transactions_RAW_cleaned[[#This Row],[ServiceID]],Transactions_RAW_cleaned[[#This Row],[ServiceID]])=1,"Yes","No")</f>
        <v>Yes</v>
      </c>
      <c r="S136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67" t="str">
        <f>"Q"&amp;ROUNDUP(MONTH(Transactions_RAW_cleaned[[#This Row],[TransactionDate]])/3,0)</f>
        <v>Q4</v>
      </c>
      <c r="U1367" t="str">
        <f>Transactions_RAW_cleaned[[#This Row],[Region ]]&amp;Transactions_RAW_cleaned[[#This Row],[Quarter ]]</f>
        <v>EMEAQ4</v>
      </c>
      <c r="V1367" s="5">
        <f>_xlfn.XLOOKUP(Transactions_RAW_cleaned[[#This Row],[RegionQuarterKey]], Quarterly_Targets_cleaned[RegionQuarterKey], Quarterly_Targets_cleaned[TargetRevenue])</f>
        <v>161000</v>
      </c>
    </row>
    <row r="1368" spans="1:22" x14ac:dyDescent="0.25">
      <c r="A1368" t="s">
        <v>1700</v>
      </c>
      <c r="B1368" s="1">
        <v>45450</v>
      </c>
      <c r="C1368" t="s">
        <v>123</v>
      </c>
      <c r="D1368" t="s">
        <v>312</v>
      </c>
      <c r="E1368">
        <v>249.13</v>
      </c>
      <c r="F1368" t="s">
        <v>324</v>
      </c>
      <c r="G1368" t="s">
        <v>337</v>
      </c>
      <c r="H1368" t="s">
        <v>346</v>
      </c>
      <c r="I1368" t="s">
        <v>8</v>
      </c>
      <c r="J1368" t="s">
        <v>13</v>
      </c>
      <c r="K1368" t="s">
        <v>32</v>
      </c>
      <c r="L1368" t="s">
        <v>313</v>
      </c>
      <c r="M1368" t="s">
        <v>314</v>
      </c>
      <c r="N1368">
        <v>0</v>
      </c>
      <c r="O1368" t="str">
        <f>IF(Transactions_RAW_cleaned[[#This Row],[Status]]="Completed", IFERROR(_xlfn.XLOOKUP(Transactions_RAW_cleaned[[#This Row],[CustomerID]], Customers_cleaned[CustomerID], Customers_cleaned[Segment]), "Customer Not Found"), "N/A")</f>
        <v>SMB</v>
      </c>
      <c r="P1368" s="5" t="str">
        <f>IF(Transactions_RAW_cleaned[[#This Row],[Status]]="Refunded", "Refund",
  IF(Transactions_RAW_cleaned[[#This Row],[Category]]="Payments", IF(Transactions_RAW_cleaned[[#This Row],[Amount]]&gt;500,"High Value","Standard"),
    IF(Transactions_RAW_cleaned[[#This Row],[Amount]]&gt;250,"High Value","Standard")))</f>
        <v>Standard</v>
      </c>
      <c r="Q1368" s="5" t="str">
        <f>IF(Transactions_RAW_cleaned[[#This Row],[Amount]] &gt; (_xlfn.XLOOKUP(Transactions_RAW_cleaned[[#This Row],[ServiceID]],Services_cleaned[ServiceID],Services_cleaned[TransactionFeePct]) * 10000), "Yes", "No")</f>
        <v>Yes</v>
      </c>
      <c r="R1368" s="5" t="str">
        <f>IF(COUNTIFS($C$2:Transactions_RAW_cleaned[[#This Row],[CustomerID]],Transactions_RAW_cleaned[[#This Row],[CustomerID]],$D$2:Transactions_RAW_cleaned[[#This Row],[ServiceID]],Transactions_RAW_cleaned[[#This Row],[ServiceID]])=1,"Yes","No")</f>
        <v>No</v>
      </c>
      <c r="S136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68" t="str">
        <f>"Q"&amp;ROUNDUP(MONTH(Transactions_RAW_cleaned[[#This Row],[TransactionDate]])/3,0)</f>
        <v>Q2</v>
      </c>
      <c r="U1368" t="str">
        <f>Transactions_RAW_cleaned[[#This Row],[Region ]]&amp;Transactions_RAW_cleaned[[#This Row],[Quarter ]]</f>
        <v>NAQ2</v>
      </c>
      <c r="V1368" s="5">
        <f>_xlfn.XLOOKUP(Transactions_RAW_cleaned[[#This Row],[RegionQuarterKey]], Quarterly_Targets_cleaned[RegionQuarterKey], Quarterly_Targets_cleaned[TargetRevenue])</f>
        <v>260000</v>
      </c>
    </row>
    <row r="1369" spans="1:22" x14ac:dyDescent="0.25">
      <c r="A1369" t="s">
        <v>1701</v>
      </c>
      <c r="B1369" s="1">
        <v>45574</v>
      </c>
      <c r="C1369" t="s">
        <v>251</v>
      </c>
      <c r="D1369" t="s">
        <v>300</v>
      </c>
      <c r="E1369">
        <v>424.94</v>
      </c>
      <c r="F1369" t="s">
        <v>381</v>
      </c>
      <c r="G1369" t="s">
        <v>325</v>
      </c>
      <c r="H1369" t="s">
        <v>346</v>
      </c>
      <c r="I1369" t="s">
        <v>17</v>
      </c>
      <c r="J1369" t="s">
        <v>46</v>
      </c>
      <c r="K1369" t="s">
        <v>14</v>
      </c>
      <c r="L1369" t="s">
        <v>301</v>
      </c>
      <c r="M1369" t="s">
        <v>302</v>
      </c>
      <c r="N1369">
        <v>5.0000000000000001E-3</v>
      </c>
      <c r="O1369" t="str">
        <f>IF(Transactions_RAW_cleaned[[#This Row],[Status]]="Completed", IFERROR(_xlfn.XLOOKUP(Transactions_RAW_cleaned[[#This Row],[CustomerID]], Customers_cleaned[CustomerID], Customers_cleaned[Segment]), "Customer Not Found"), "N/A")</f>
        <v>N/A</v>
      </c>
      <c r="P1369" s="5" t="str">
        <f>IF(Transactions_RAW_cleaned[[#This Row],[Status]]="Refunded", "Refund",
  IF(Transactions_RAW_cleaned[[#This Row],[Category]]="Payments", IF(Transactions_RAW_cleaned[[#This Row],[Amount]]&gt;500,"High Value","Standard"),
    IF(Transactions_RAW_cleaned[[#This Row],[Amount]]&gt;250,"High Value","Standard")))</f>
        <v>High Value</v>
      </c>
      <c r="Q1369" s="5" t="str">
        <f>IF(Transactions_RAW_cleaned[[#This Row],[Amount]] &gt; (_xlfn.XLOOKUP(Transactions_RAW_cleaned[[#This Row],[ServiceID]],Services_cleaned[ServiceID],Services_cleaned[TransactionFeePct]) * 10000), "Yes", "No")</f>
        <v>Yes</v>
      </c>
      <c r="R1369" s="5" t="str">
        <f>IF(COUNTIFS($C$2:Transactions_RAW_cleaned[[#This Row],[CustomerID]],Transactions_RAW_cleaned[[#This Row],[CustomerID]],$D$2:Transactions_RAW_cleaned[[#This Row],[ServiceID]],Transactions_RAW_cleaned[[#This Row],[ServiceID]])=1,"Yes","No")</f>
        <v>No</v>
      </c>
      <c r="S136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69" t="str">
        <f>"Q"&amp;ROUNDUP(MONTH(Transactions_RAW_cleaned[[#This Row],[TransactionDate]])/3,0)</f>
        <v>Q4</v>
      </c>
      <c r="U1369" t="str">
        <f>Transactions_RAW_cleaned[[#This Row],[Region ]]&amp;Transactions_RAW_cleaned[[#This Row],[Quarter ]]</f>
        <v>APACQ4</v>
      </c>
      <c r="V1369" s="5">
        <f>_xlfn.XLOOKUP(Transactions_RAW_cleaned[[#This Row],[RegionQuarterKey]], Quarterly_Targets_cleaned[RegionQuarterKey], Quarterly_Targets_cleaned[TargetRevenue])</f>
        <v>126500</v>
      </c>
    </row>
    <row r="1370" spans="1:22" x14ac:dyDescent="0.25">
      <c r="A1370" t="s">
        <v>1702</v>
      </c>
      <c r="B1370" s="1">
        <v>45521</v>
      </c>
      <c r="C1370" t="s">
        <v>107</v>
      </c>
      <c r="D1370" t="s">
        <v>294</v>
      </c>
      <c r="E1370">
        <v>131.97999999999999</v>
      </c>
      <c r="F1370" t="s">
        <v>324</v>
      </c>
      <c r="G1370" t="s">
        <v>327</v>
      </c>
      <c r="H1370" t="s">
        <v>334</v>
      </c>
      <c r="I1370" t="s">
        <v>17</v>
      </c>
      <c r="J1370" t="s">
        <v>102</v>
      </c>
      <c r="K1370" t="s">
        <v>22</v>
      </c>
      <c r="L1370" t="s">
        <v>295</v>
      </c>
      <c r="M1370" t="s">
        <v>296</v>
      </c>
      <c r="N1370">
        <v>2.9000000000000001E-2</v>
      </c>
      <c r="O1370" t="str">
        <f>IF(Transactions_RAW_cleaned[[#This Row],[Status]]="Completed", IFERROR(_xlfn.XLOOKUP(Transactions_RAW_cleaned[[#This Row],[CustomerID]], Customers_cleaned[CustomerID], Customers_cleaned[Segment]), "Customer Not Found"), "N/A")</f>
        <v>Enterprise</v>
      </c>
      <c r="P1370" s="5" t="str">
        <f>IF(Transactions_RAW_cleaned[[#This Row],[Status]]="Refunded", "Refund",
  IF(Transactions_RAW_cleaned[[#This Row],[Category]]="Payments", IF(Transactions_RAW_cleaned[[#This Row],[Amount]]&gt;500,"High Value","Standard"),
    IF(Transactions_RAW_cleaned[[#This Row],[Amount]]&gt;250,"High Value","Standard")))</f>
        <v>Standard</v>
      </c>
      <c r="Q1370" s="5" t="str">
        <f>IF(Transactions_RAW_cleaned[[#This Row],[Amount]] &gt; (_xlfn.XLOOKUP(Transactions_RAW_cleaned[[#This Row],[ServiceID]],Services_cleaned[ServiceID],Services_cleaned[TransactionFeePct]) * 10000), "Yes", "No")</f>
        <v>No</v>
      </c>
      <c r="R1370" s="5" t="str">
        <f>IF(COUNTIFS($C$2:Transactions_RAW_cleaned[[#This Row],[CustomerID]],Transactions_RAW_cleaned[[#This Row],[CustomerID]],$D$2:Transactions_RAW_cleaned[[#This Row],[ServiceID]],Transactions_RAW_cleaned[[#This Row],[ServiceID]])=1,"Yes","No")</f>
        <v>No</v>
      </c>
      <c r="S137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70" t="str">
        <f>"Q"&amp;ROUNDUP(MONTH(Transactions_RAW_cleaned[[#This Row],[TransactionDate]])/3,0)</f>
        <v>Q3</v>
      </c>
      <c r="U1370" t="str">
        <f>Transactions_RAW_cleaned[[#This Row],[Region ]]&amp;Transactions_RAW_cleaned[[#This Row],[Quarter ]]</f>
        <v>NAQ3</v>
      </c>
      <c r="V1370" s="5">
        <f>_xlfn.XLOOKUP(Transactions_RAW_cleaned[[#This Row],[RegionQuarterKey]], Quarterly_Targets_cleaned[RegionQuarterKey], Quarterly_Targets_cleaned[TargetRevenue])</f>
        <v>273000</v>
      </c>
    </row>
    <row r="1371" spans="1:22" x14ac:dyDescent="0.25">
      <c r="A1371" t="s">
        <v>1703</v>
      </c>
      <c r="B1371" s="1">
        <v>45503</v>
      </c>
      <c r="C1371" t="s">
        <v>47</v>
      </c>
      <c r="D1371" t="s">
        <v>300</v>
      </c>
      <c r="E1371">
        <v>272.60000000000002</v>
      </c>
      <c r="F1371" t="s">
        <v>324</v>
      </c>
      <c r="G1371" t="s">
        <v>325</v>
      </c>
      <c r="H1371" t="s">
        <v>334</v>
      </c>
      <c r="I1371" t="s">
        <v>8</v>
      </c>
      <c r="J1371" t="s">
        <v>21</v>
      </c>
      <c r="K1371" t="s">
        <v>22</v>
      </c>
      <c r="L1371" t="s">
        <v>301</v>
      </c>
      <c r="M1371" t="s">
        <v>302</v>
      </c>
      <c r="N1371">
        <v>5.0000000000000001E-3</v>
      </c>
      <c r="O1371" t="str">
        <f>IF(Transactions_RAW_cleaned[[#This Row],[Status]]="Completed", IFERROR(_xlfn.XLOOKUP(Transactions_RAW_cleaned[[#This Row],[CustomerID]], Customers_cleaned[CustomerID], Customers_cleaned[Segment]), "Customer Not Found"), "N/A")</f>
        <v>SMB</v>
      </c>
      <c r="P1371" s="5" t="str">
        <f>IF(Transactions_RAW_cleaned[[#This Row],[Status]]="Refunded", "Refund",
  IF(Transactions_RAW_cleaned[[#This Row],[Category]]="Payments", IF(Transactions_RAW_cleaned[[#This Row],[Amount]]&gt;500,"High Value","Standard"),
    IF(Transactions_RAW_cleaned[[#This Row],[Amount]]&gt;250,"High Value","Standard")))</f>
        <v>High Value</v>
      </c>
      <c r="Q1371" s="5" t="str">
        <f>IF(Transactions_RAW_cleaned[[#This Row],[Amount]] &gt; (_xlfn.XLOOKUP(Transactions_RAW_cleaned[[#This Row],[ServiceID]],Services_cleaned[ServiceID],Services_cleaned[TransactionFeePct]) * 10000), "Yes", "No")</f>
        <v>Yes</v>
      </c>
      <c r="R1371" s="5" t="str">
        <f>IF(COUNTIFS($C$2:Transactions_RAW_cleaned[[#This Row],[CustomerID]],Transactions_RAW_cleaned[[#This Row],[CustomerID]],$D$2:Transactions_RAW_cleaned[[#This Row],[ServiceID]],Transactions_RAW_cleaned[[#This Row],[ServiceID]])=1,"Yes","No")</f>
        <v>No</v>
      </c>
      <c r="S137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71" t="str">
        <f>"Q"&amp;ROUNDUP(MONTH(Transactions_RAW_cleaned[[#This Row],[TransactionDate]])/3,0)</f>
        <v>Q3</v>
      </c>
      <c r="U1371" t="str">
        <f>Transactions_RAW_cleaned[[#This Row],[Region ]]&amp;Transactions_RAW_cleaned[[#This Row],[Quarter ]]</f>
        <v>APACQ3</v>
      </c>
      <c r="V1371" s="5">
        <f>_xlfn.XLOOKUP(Transactions_RAW_cleaned[[#This Row],[RegionQuarterKey]], Quarterly_Targets_cleaned[RegionQuarterKey], Quarterly_Targets_cleaned[TargetRevenue])</f>
        <v>115500</v>
      </c>
    </row>
    <row r="1372" spans="1:22" x14ac:dyDescent="0.25">
      <c r="A1372" t="s">
        <v>1704</v>
      </c>
      <c r="B1372" s="1">
        <v>45499</v>
      </c>
      <c r="C1372" t="s">
        <v>275</v>
      </c>
      <c r="D1372" t="s">
        <v>294</v>
      </c>
      <c r="E1372">
        <v>390.18</v>
      </c>
      <c r="F1372" t="s">
        <v>324</v>
      </c>
      <c r="G1372" t="s">
        <v>337</v>
      </c>
      <c r="H1372" t="s">
        <v>346</v>
      </c>
      <c r="I1372" t="s">
        <v>57</v>
      </c>
      <c r="J1372" t="s">
        <v>13</v>
      </c>
      <c r="K1372" t="s">
        <v>22</v>
      </c>
      <c r="L1372" t="s">
        <v>295</v>
      </c>
      <c r="M1372" t="s">
        <v>296</v>
      </c>
      <c r="N1372">
        <v>2.9000000000000001E-2</v>
      </c>
      <c r="O1372" t="str">
        <f>IF(Transactions_RAW_cleaned[[#This Row],[Status]]="Completed", IFERROR(_xlfn.XLOOKUP(Transactions_RAW_cleaned[[#This Row],[CustomerID]], Customers_cleaned[CustomerID], Customers_cleaned[Segment]), "Customer Not Found"), "N/A")</f>
        <v>Startup</v>
      </c>
      <c r="P1372" s="5" t="str">
        <f>IF(Transactions_RAW_cleaned[[#This Row],[Status]]="Refunded", "Refund",
  IF(Transactions_RAW_cleaned[[#This Row],[Category]]="Payments", IF(Transactions_RAW_cleaned[[#This Row],[Amount]]&gt;500,"High Value","Standard"),
    IF(Transactions_RAW_cleaned[[#This Row],[Amount]]&gt;250,"High Value","Standard")))</f>
        <v>Standard</v>
      </c>
      <c r="Q1372" s="5" t="str">
        <f>IF(Transactions_RAW_cleaned[[#This Row],[Amount]] &gt; (_xlfn.XLOOKUP(Transactions_RAW_cleaned[[#This Row],[ServiceID]],Services_cleaned[ServiceID],Services_cleaned[TransactionFeePct]) * 10000), "Yes", "No")</f>
        <v>Yes</v>
      </c>
      <c r="R1372" s="5" t="str">
        <f>IF(COUNTIFS($C$2:Transactions_RAW_cleaned[[#This Row],[CustomerID]],Transactions_RAW_cleaned[[#This Row],[CustomerID]],$D$2:Transactions_RAW_cleaned[[#This Row],[ServiceID]],Transactions_RAW_cleaned[[#This Row],[ServiceID]])=1,"Yes","No")</f>
        <v>No</v>
      </c>
      <c r="S137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72" t="str">
        <f>"Q"&amp;ROUNDUP(MONTH(Transactions_RAW_cleaned[[#This Row],[TransactionDate]])/3,0)</f>
        <v>Q3</v>
      </c>
      <c r="U1372" t="str">
        <f>Transactions_RAW_cleaned[[#This Row],[Region ]]&amp;Transactions_RAW_cleaned[[#This Row],[Quarter ]]</f>
        <v>NAQ3</v>
      </c>
      <c r="V1372" s="5">
        <f>_xlfn.XLOOKUP(Transactions_RAW_cleaned[[#This Row],[RegionQuarterKey]], Quarterly_Targets_cleaned[RegionQuarterKey], Quarterly_Targets_cleaned[TargetRevenue])</f>
        <v>273000</v>
      </c>
    </row>
    <row r="1373" spans="1:22" x14ac:dyDescent="0.25">
      <c r="A1373" t="s">
        <v>1705</v>
      </c>
      <c r="B1373" s="1">
        <v>45394</v>
      </c>
      <c r="C1373" t="s">
        <v>261</v>
      </c>
      <c r="D1373" t="s">
        <v>300</v>
      </c>
      <c r="E1373">
        <v>402.2</v>
      </c>
      <c r="F1373" t="s">
        <v>324</v>
      </c>
      <c r="G1373" t="s">
        <v>325</v>
      </c>
      <c r="I1373" t="s">
        <v>8</v>
      </c>
      <c r="J1373" t="s">
        <v>31</v>
      </c>
      <c r="K1373" t="s">
        <v>18</v>
      </c>
      <c r="L1373" t="s">
        <v>301</v>
      </c>
      <c r="M1373" t="s">
        <v>302</v>
      </c>
      <c r="N1373">
        <v>5.0000000000000001E-3</v>
      </c>
      <c r="O1373" t="str">
        <f>IF(Transactions_RAW_cleaned[[#This Row],[Status]]="Completed", IFERROR(_xlfn.XLOOKUP(Transactions_RAW_cleaned[[#This Row],[CustomerID]], Customers_cleaned[CustomerID], Customers_cleaned[Segment]), "Customer Not Found"), "N/A")</f>
        <v>SMB</v>
      </c>
      <c r="P1373" s="5" t="str">
        <f>IF(Transactions_RAW_cleaned[[#This Row],[Status]]="Refunded", "Refund",
  IF(Transactions_RAW_cleaned[[#This Row],[Category]]="Payments", IF(Transactions_RAW_cleaned[[#This Row],[Amount]]&gt;500,"High Value","Standard"),
    IF(Transactions_RAW_cleaned[[#This Row],[Amount]]&gt;250,"High Value","Standard")))</f>
        <v>High Value</v>
      </c>
      <c r="Q1373" s="5" t="str">
        <f>IF(Transactions_RAW_cleaned[[#This Row],[Amount]] &gt; (_xlfn.XLOOKUP(Transactions_RAW_cleaned[[#This Row],[ServiceID]],Services_cleaned[ServiceID],Services_cleaned[TransactionFeePct]) * 10000), "Yes", "No")</f>
        <v>Yes</v>
      </c>
      <c r="R1373" s="5" t="str">
        <f>IF(COUNTIFS($C$2:Transactions_RAW_cleaned[[#This Row],[CustomerID]],Transactions_RAW_cleaned[[#This Row],[CustomerID]],$D$2:Transactions_RAW_cleaned[[#This Row],[ServiceID]],Transactions_RAW_cleaned[[#This Row],[ServiceID]])=1,"Yes","No")</f>
        <v>No</v>
      </c>
      <c r="S137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73" t="str">
        <f>"Q"&amp;ROUNDUP(MONTH(Transactions_RAW_cleaned[[#This Row],[TransactionDate]])/3,0)</f>
        <v>Q2</v>
      </c>
      <c r="U1373" t="str">
        <f>Transactions_RAW_cleaned[[#This Row],[Region ]]&amp;Transactions_RAW_cleaned[[#This Row],[Quarter ]]</f>
        <v>EMEAQ2</v>
      </c>
      <c r="V1373" s="5">
        <f>_xlfn.XLOOKUP(Transactions_RAW_cleaned[[#This Row],[RegionQuarterKey]], Quarterly_Targets_cleaned[RegionQuarterKey], Quarterly_Targets_cleaned[TargetRevenue])</f>
        <v>140000</v>
      </c>
    </row>
    <row r="1374" spans="1:22" x14ac:dyDescent="0.25">
      <c r="A1374" t="s">
        <v>1706</v>
      </c>
      <c r="B1374" s="1">
        <v>45365</v>
      </c>
      <c r="C1374" t="s">
        <v>86</v>
      </c>
      <c r="D1374" t="s">
        <v>294</v>
      </c>
      <c r="E1374">
        <v>985.36</v>
      </c>
      <c r="F1374" t="s">
        <v>324</v>
      </c>
      <c r="G1374" t="s">
        <v>325</v>
      </c>
      <c r="I1374" t="s">
        <v>8</v>
      </c>
      <c r="J1374" t="s">
        <v>102</v>
      </c>
      <c r="K1374" t="s">
        <v>18</v>
      </c>
      <c r="L1374" t="s">
        <v>295</v>
      </c>
      <c r="M1374" t="s">
        <v>296</v>
      </c>
      <c r="N1374">
        <v>2.9000000000000001E-2</v>
      </c>
      <c r="O1374" t="str">
        <f>IF(Transactions_RAW_cleaned[[#This Row],[Status]]="Completed", IFERROR(_xlfn.XLOOKUP(Transactions_RAW_cleaned[[#This Row],[CustomerID]], Customers_cleaned[CustomerID], Customers_cleaned[Segment]), "Customer Not Found"), "N/A")</f>
        <v>SMB</v>
      </c>
      <c r="P1374" s="5" t="str">
        <f>IF(Transactions_RAW_cleaned[[#This Row],[Status]]="Refunded", "Refund",
  IF(Transactions_RAW_cleaned[[#This Row],[Category]]="Payments", IF(Transactions_RAW_cleaned[[#This Row],[Amount]]&gt;500,"High Value","Standard"),
    IF(Transactions_RAW_cleaned[[#This Row],[Amount]]&gt;250,"High Value","Standard")))</f>
        <v>High Value</v>
      </c>
      <c r="Q1374" s="5" t="str">
        <f>IF(Transactions_RAW_cleaned[[#This Row],[Amount]] &gt; (_xlfn.XLOOKUP(Transactions_RAW_cleaned[[#This Row],[ServiceID]],Services_cleaned[ServiceID],Services_cleaned[TransactionFeePct]) * 10000), "Yes", "No")</f>
        <v>Yes</v>
      </c>
      <c r="R1374" s="5" t="str">
        <f>IF(COUNTIFS($C$2:Transactions_RAW_cleaned[[#This Row],[CustomerID]],Transactions_RAW_cleaned[[#This Row],[CustomerID]],$D$2:Transactions_RAW_cleaned[[#This Row],[ServiceID]],Transactions_RAW_cleaned[[#This Row],[ServiceID]])=1,"Yes","No")</f>
        <v>No</v>
      </c>
      <c r="S137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74" t="str">
        <f>"Q"&amp;ROUNDUP(MONTH(Transactions_RAW_cleaned[[#This Row],[TransactionDate]])/3,0)</f>
        <v>Q1</v>
      </c>
      <c r="U1374" t="str">
        <f>Transactions_RAW_cleaned[[#This Row],[Region ]]&amp;Transactions_RAW_cleaned[[#This Row],[Quarter ]]</f>
        <v>NAQ1</v>
      </c>
      <c r="V1374" s="5">
        <f>_xlfn.XLOOKUP(Transactions_RAW_cleaned[[#This Row],[RegionQuarterKey]], Quarterly_Targets_cleaned[RegionQuarterKey], Quarterly_Targets_cleaned[TargetRevenue])</f>
        <v>247000</v>
      </c>
    </row>
    <row r="1375" spans="1:22" x14ac:dyDescent="0.25">
      <c r="A1375" t="s">
        <v>1707</v>
      </c>
      <c r="B1375" s="1">
        <v>45386</v>
      </c>
      <c r="C1375" t="s">
        <v>235</v>
      </c>
      <c r="D1375" t="s">
        <v>309</v>
      </c>
      <c r="E1375">
        <v>887.96</v>
      </c>
      <c r="F1375" t="s">
        <v>331</v>
      </c>
      <c r="G1375" t="s">
        <v>327</v>
      </c>
      <c r="I1375" t="s">
        <v>57</v>
      </c>
      <c r="J1375" t="s">
        <v>21</v>
      </c>
      <c r="K1375" t="s">
        <v>22</v>
      </c>
      <c r="L1375" t="s">
        <v>310</v>
      </c>
      <c r="M1375" t="s">
        <v>311</v>
      </c>
      <c r="N1375">
        <v>0</v>
      </c>
      <c r="O1375" t="str">
        <f>IF(Transactions_RAW_cleaned[[#This Row],[Status]]="Completed", IFERROR(_xlfn.XLOOKUP(Transactions_RAW_cleaned[[#This Row],[CustomerID]], Customers_cleaned[CustomerID], Customers_cleaned[Segment]), "Customer Not Found"), "N/A")</f>
        <v>N/A</v>
      </c>
      <c r="P1375" s="5" t="str">
        <f>IF(Transactions_RAW_cleaned[[#This Row],[Status]]="Refunded", "Refund",
  IF(Transactions_RAW_cleaned[[#This Row],[Category]]="Payments", IF(Transactions_RAW_cleaned[[#This Row],[Amount]]&gt;500,"High Value","Standard"),
    IF(Transactions_RAW_cleaned[[#This Row],[Amount]]&gt;250,"High Value","Standard")))</f>
        <v>High Value</v>
      </c>
      <c r="Q1375" s="5" t="str">
        <f>IF(Transactions_RAW_cleaned[[#This Row],[Amount]] &gt; (_xlfn.XLOOKUP(Transactions_RAW_cleaned[[#This Row],[ServiceID]],Services_cleaned[ServiceID],Services_cleaned[TransactionFeePct]) * 10000), "Yes", "No")</f>
        <v>Yes</v>
      </c>
      <c r="R1375" s="5" t="str">
        <f>IF(COUNTIFS($C$2:Transactions_RAW_cleaned[[#This Row],[CustomerID]],Transactions_RAW_cleaned[[#This Row],[CustomerID]],$D$2:Transactions_RAW_cleaned[[#This Row],[ServiceID]],Transactions_RAW_cleaned[[#This Row],[ServiceID]])=1,"Yes","No")</f>
        <v>Yes</v>
      </c>
      <c r="S137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75" t="str">
        <f>"Q"&amp;ROUNDUP(MONTH(Transactions_RAW_cleaned[[#This Row],[TransactionDate]])/3,0)</f>
        <v>Q2</v>
      </c>
      <c r="U1375" t="str">
        <f>Transactions_RAW_cleaned[[#This Row],[Region ]]&amp;Transactions_RAW_cleaned[[#This Row],[Quarter ]]</f>
        <v>APACQ2</v>
      </c>
      <c r="V1375" s="5">
        <f>_xlfn.XLOOKUP(Transactions_RAW_cleaned[[#This Row],[RegionQuarterKey]], Quarterly_Targets_cleaned[RegionQuarterKey], Quarterly_Targets_cleaned[TargetRevenue])</f>
        <v>110000</v>
      </c>
    </row>
    <row r="1376" spans="1:22" x14ac:dyDescent="0.25">
      <c r="A1376" t="s">
        <v>1708</v>
      </c>
      <c r="B1376" s="1">
        <v>45611</v>
      </c>
      <c r="C1376" t="s">
        <v>53</v>
      </c>
      <c r="D1376" t="s">
        <v>294</v>
      </c>
      <c r="E1376">
        <v>1066.1500000000001</v>
      </c>
      <c r="F1376" t="s">
        <v>324</v>
      </c>
      <c r="G1376" t="s">
        <v>325</v>
      </c>
      <c r="H1376" t="s">
        <v>334</v>
      </c>
      <c r="I1376" t="s">
        <v>17</v>
      </c>
      <c r="J1376" t="s">
        <v>21</v>
      </c>
      <c r="K1376" t="s">
        <v>28</v>
      </c>
      <c r="L1376" t="s">
        <v>295</v>
      </c>
      <c r="M1376" t="s">
        <v>296</v>
      </c>
      <c r="N1376">
        <v>2.9000000000000001E-2</v>
      </c>
      <c r="O1376" t="str">
        <f>IF(Transactions_RAW_cleaned[[#This Row],[Status]]="Completed", IFERROR(_xlfn.XLOOKUP(Transactions_RAW_cleaned[[#This Row],[CustomerID]], Customers_cleaned[CustomerID], Customers_cleaned[Segment]), "Customer Not Found"), "N/A")</f>
        <v>Enterprise</v>
      </c>
      <c r="P1376" s="5" t="str">
        <f>IF(Transactions_RAW_cleaned[[#This Row],[Status]]="Refunded", "Refund",
  IF(Transactions_RAW_cleaned[[#This Row],[Category]]="Payments", IF(Transactions_RAW_cleaned[[#This Row],[Amount]]&gt;500,"High Value","Standard"),
    IF(Transactions_RAW_cleaned[[#This Row],[Amount]]&gt;250,"High Value","Standard")))</f>
        <v>High Value</v>
      </c>
      <c r="Q1376" s="5" t="str">
        <f>IF(Transactions_RAW_cleaned[[#This Row],[Amount]] &gt; (_xlfn.XLOOKUP(Transactions_RAW_cleaned[[#This Row],[ServiceID]],Services_cleaned[ServiceID],Services_cleaned[TransactionFeePct]) * 10000), "Yes", "No")</f>
        <v>Yes</v>
      </c>
      <c r="R1376" s="5" t="str">
        <f>IF(COUNTIFS($C$2:Transactions_RAW_cleaned[[#This Row],[CustomerID]],Transactions_RAW_cleaned[[#This Row],[CustomerID]],$D$2:Transactions_RAW_cleaned[[#This Row],[ServiceID]],Transactions_RAW_cleaned[[#This Row],[ServiceID]])=1,"Yes","No")</f>
        <v>No</v>
      </c>
      <c r="S137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76" t="str">
        <f>"Q"&amp;ROUNDUP(MONTH(Transactions_RAW_cleaned[[#This Row],[TransactionDate]])/3,0)</f>
        <v>Q4</v>
      </c>
      <c r="U1376" t="str">
        <f>Transactions_RAW_cleaned[[#This Row],[Region ]]&amp;Transactions_RAW_cleaned[[#This Row],[Quarter ]]</f>
        <v>APACQ4</v>
      </c>
      <c r="V1376" s="5">
        <f>_xlfn.XLOOKUP(Transactions_RAW_cleaned[[#This Row],[RegionQuarterKey]], Quarterly_Targets_cleaned[RegionQuarterKey], Quarterly_Targets_cleaned[TargetRevenue])</f>
        <v>126500</v>
      </c>
    </row>
    <row r="1377" spans="1:22" x14ac:dyDescent="0.25">
      <c r="A1377" t="s">
        <v>1709</v>
      </c>
      <c r="B1377" s="1">
        <v>45654</v>
      </c>
      <c r="C1377" t="s">
        <v>109</v>
      </c>
      <c r="D1377" t="s">
        <v>294</v>
      </c>
      <c r="E1377">
        <v>625.08000000000004</v>
      </c>
      <c r="F1377" t="s">
        <v>324</v>
      </c>
      <c r="G1377" t="s">
        <v>327</v>
      </c>
      <c r="I1377" t="s">
        <v>8</v>
      </c>
      <c r="J1377" t="s">
        <v>102</v>
      </c>
      <c r="K1377" t="s">
        <v>18</v>
      </c>
      <c r="L1377" t="s">
        <v>295</v>
      </c>
      <c r="M1377" t="s">
        <v>296</v>
      </c>
      <c r="N1377">
        <v>2.9000000000000001E-2</v>
      </c>
      <c r="O1377" t="str">
        <f>IF(Transactions_RAW_cleaned[[#This Row],[Status]]="Completed", IFERROR(_xlfn.XLOOKUP(Transactions_RAW_cleaned[[#This Row],[CustomerID]], Customers_cleaned[CustomerID], Customers_cleaned[Segment]), "Customer Not Found"), "N/A")</f>
        <v>SMB</v>
      </c>
      <c r="P1377" s="5" t="str">
        <f>IF(Transactions_RAW_cleaned[[#This Row],[Status]]="Refunded", "Refund",
  IF(Transactions_RAW_cleaned[[#This Row],[Category]]="Payments", IF(Transactions_RAW_cleaned[[#This Row],[Amount]]&gt;500,"High Value","Standard"),
    IF(Transactions_RAW_cleaned[[#This Row],[Amount]]&gt;250,"High Value","Standard")))</f>
        <v>High Value</v>
      </c>
      <c r="Q1377" s="5" t="str">
        <f>IF(Transactions_RAW_cleaned[[#This Row],[Amount]] &gt; (_xlfn.XLOOKUP(Transactions_RAW_cleaned[[#This Row],[ServiceID]],Services_cleaned[ServiceID],Services_cleaned[TransactionFeePct]) * 10000), "Yes", "No")</f>
        <v>Yes</v>
      </c>
      <c r="R1377" s="5" t="str">
        <f>IF(COUNTIFS($C$2:Transactions_RAW_cleaned[[#This Row],[CustomerID]],Transactions_RAW_cleaned[[#This Row],[CustomerID]],$D$2:Transactions_RAW_cleaned[[#This Row],[ServiceID]],Transactions_RAW_cleaned[[#This Row],[ServiceID]])=1,"Yes","No")</f>
        <v>No</v>
      </c>
      <c r="S137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77" t="str">
        <f>"Q"&amp;ROUNDUP(MONTH(Transactions_RAW_cleaned[[#This Row],[TransactionDate]])/3,0)</f>
        <v>Q4</v>
      </c>
      <c r="U1377" t="str">
        <f>Transactions_RAW_cleaned[[#This Row],[Region ]]&amp;Transactions_RAW_cleaned[[#This Row],[Quarter ]]</f>
        <v>NAQ4</v>
      </c>
      <c r="V1377" s="5">
        <f>_xlfn.XLOOKUP(Transactions_RAW_cleaned[[#This Row],[RegionQuarterKey]], Quarterly_Targets_cleaned[RegionQuarterKey], Quarterly_Targets_cleaned[TargetRevenue])</f>
        <v>299000</v>
      </c>
    </row>
    <row r="1378" spans="1:22" x14ac:dyDescent="0.25">
      <c r="A1378" t="s">
        <v>1710</v>
      </c>
      <c r="B1378" s="1">
        <v>45491</v>
      </c>
      <c r="C1378" t="s">
        <v>42</v>
      </c>
      <c r="D1378" t="s">
        <v>309</v>
      </c>
      <c r="E1378">
        <v>512.51</v>
      </c>
      <c r="F1378" t="s">
        <v>324</v>
      </c>
      <c r="G1378" t="s">
        <v>327</v>
      </c>
      <c r="I1378" t="s">
        <v>8</v>
      </c>
      <c r="J1378" t="s">
        <v>102</v>
      </c>
      <c r="K1378" t="s">
        <v>10</v>
      </c>
      <c r="L1378" t="s">
        <v>310</v>
      </c>
      <c r="M1378" t="s">
        <v>311</v>
      </c>
      <c r="N1378">
        <v>0</v>
      </c>
      <c r="O1378" t="str">
        <f>IF(Transactions_RAW_cleaned[[#This Row],[Status]]="Completed", IFERROR(_xlfn.XLOOKUP(Transactions_RAW_cleaned[[#This Row],[CustomerID]], Customers_cleaned[CustomerID], Customers_cleaned[Segment]), "Customer Not Found"), "N/A")</f>
        <v>SMB</v>
      </c>
      <c r="P1378" s="5" t="str">
        <f>IF(Transactions_RAW_cleaned[[#This Row],[Status]]="Refunded", "Refund",
  IF(Transactions_RAW_cleaned[[#This Row],[Category]]="Payments", IF(Transactions_RAW_cleaned[[#This Row],[Amount]]&gt;500,"High Value","Standard"),
    IF(Transactions_RAW_cleaned[[#This Row],[Amount]]&gt;250,"High Value","Standard")))</f>
        <v>High Value</v>
      </c>
      <c r="Q1378" s="5" t="str">
        <f>IF(Transactions_RAW_cleaned[[#This Row],[Amount]] &gt; (_xlfn.XLOOKUP(Transactions_RAW_cleaned[[#This Row],[ServiceID]],Services_cleaned[ServiceID],Services_cleaned[TransactionFeePct]) * 10000), "Yes", "No")</f>
        <v>Yes</v>
      </c>
      <c r="R1378" s="5" t="str">
        <f>IF(COUNTIFS($C$2:Transactions_RAW_cleaned[[#This Row],[CustomerID]],Transactions_RAW_cleaned[[#This Row],[CustomerID]],$D$2:Transactions_RAW_cleaned[[#This Row],[ServiceID]],Transactions_RAW_cleaned[[#This Row],[ServiceID]])=1,"Yes","No")</f>
        <v>No</v>
      </c>
      <c r="S137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78" t="str">
        <f>"Q"&amp;ROUNDUP(MONTH(Transactions_RAW_cleaned[[#This Row],[TransactionDate]])/3,0)</f>
        <v>Q3</v>
      </c>
      <c r="U1378" t="str">
        <f>Transactions_RAW_cleaned[[#This Row],[Region ]]&amp;Transactions_RAW_cleaned[[#This Row],[Quarter ]]</f>
        <v>NAQ3</v>
      </c>
      <c r="V1378" s="5">
        <f>_xlfn.XLOOKUP(Transactions_RAW_cleaned[[#This Row],[RegionQuarterKey]], Quarterly_Targets_cleaned[RegionQuarterKey], Quarterly_Targets_cleaned[TargetRevenue])</f>
        <v>273000</v>
      </c>
    </row>
    <row r="1379" spans="1:22" x14ac:dyDescent="0.25">
      <c r="A1379" t="s">
        <v>1711</v>
      </c>
      <c r="B1379" s="1">
        <v>45413</v>
      </c>
      <c r="C1379" t="s">
        <v>51</v>
      </c>
      <c r="D1379" t="s">
        <v>294</v>
      </c>
      <c r="E1379">
        <v>660.75</v>
      </c>
      <c r="F1379" t="s">
        <v>324</v>
      </c>
      <c r="G1379" t="s">
        <v>325</v>
      </c>
      <c r="I1379" t="s">
        <v>8</v>
      </c>
      <c r="J1379" t="s">
        <v>31</v>
      </c>
      <c r="K1379" t="s">
        <v>14</v>
      </c>
      <c r="L1379" t="s">
        <v>295</v>
      </c>
      <c r="M1379" t="s">
        <v>296</v>
      </c>
      <c r="N1379">
        <v>2.9000000000000001E-2</v>
      </c>
      <c r="O1379" t="str">
        <f>IF(Transactions_RAW_cleaned[[#This Row],[Status]]="Completed", IFERROR(_xlfn.XLOOKUP(Transactions_RAW_cleaned[[#This Row],[CustomerID]], Customers_cleaned[CustomerID], Customers_cleaned[Segment]), "Customer Not Found"), "N/A")</f>
        <v>SMB</v>
      </c>
      <c r="P1379" s="5" t="str">
        <f>IF(Transactions_RAW_cleaned[[#This Row],[Status]]="Refunded", "Refund",
  IF(Transactions_RAW_cleaned[[#This Row],[Category]]="Payments", IF(Transactions_RAW_cleaned[[#This Row],[Amount]]&gt;500,"High Value","Standard"),
    IF(Transactions_RAW_cleaned[[#This Row],[Amount]]&gt;250,"High Value","Standard")))</f>
        <v>High Value</v>
      </c>
      <c r="Q1379" s="5" t="str">
        <f>IF(Transactions_RAW_cleaned[[#This Row],[Amount]] &gt; (_xlfn.XLOOKUP(Transactions_RAW_cleaned[[#This Row],[ServiceID]],Services_cleaned[ServiceID],Services_cleaned[TransactionFeePct]) * 10000), "Yes", "No")</f>
        <v>Yes</v>
      </c>
      <c r="R1379" s="5" t="str">
        <f>IF(COUNTIFS($C$2:Transactions_RAW_cleaned[[#This Row],[CustomerID]],Transactions_RAW_cleaned[[#This Row],[CustomerID]],$D$2:Transactions_RAW_cleaned[[#This Row],[ServiceID]],Transactions_RAW_cleaned[[#This Row],[ServiceID]])=1,"Yes","No")</f>
        <v>No</v>
      </c>
      <c r="S137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79" t="str">
        <f>"Q"&amp;ROUNDUP(MONTH(Transactions_RAW_cleaned[[#This Row],[TransactionDate]])/3,0)</f>
        <v>Q2</v>
      </c>
      <c r="U1379" t="str">
        <f>Transactions_RAW_cleaned[[#This Row],[Region ]]&amp;Transactions_RAW_cleaned[[#This Row],[Quarter ]]</f>
        <v>EMEAQ2</v>
      </c>
      <c r="V1379" s="5">
        <f>_xlfn.XLOOKUP(Transactions_RAW_cleaned[[#This Row],[RegionQuarterKey]], Quarterly_Targets_cleaned[RegionQuarterKey], Quarterly_Targets_cleaned[TargetRevenue])</f>
        <v>140000</v>
      </c>
    </row>
    <row r="1380" spans="1:22" x14ac:dyDescent="0.25">
      <c r="A1380" t="s">
        <v>1712</v>
      </c>
      <c r="B1380" s="1">
        <v>45360</v>
      </c>
      <c r="C1380" t="s">
        <v>263</v>
      </c>
      <c r="D1380" t="s">
        <v>294</v>
      </c>
      <c r="E1380">
        <v>491.05</v>
      </c>
      <c r="F1380" t="s">
        <v>324</v>
      </c>
      <c r="G1380" t="s">
        <v>327</v>
      </c>
      <c r="I1380" t="s">
        <v>8</v>
      </c>
      <c r="J1380" t="s">
        <v>102</v>
      </c>
      <c r="K1380" t="s">
        <v>32</v>
      </c>
      <c r="L1380" t="s">
        <v>295</v>
      </c>
      <c r="M1380" t="s">
        <v>296</v>
      </c>
      <c r="N1380">
        <v>2.9000000000000001E-2</v>
      </c>
      <c r="O1380" t="str">
        <f>IF(Transactions_RAW_cleaned[[#This Row],[Status]]="Completed", IFERROR(_xlfn.XLOOKUP(Transactions_RAW_cleaned[[#This Row],[CustomerID]], Customers_cleaned[CustomerID], Customers_cleaned[Segment]), "Customer Not Found"), "N/A")</f>
        <v>SMB</v>
      </c>
      <c r="P1380" s="5" t="str">
        <f>IF(Transactions_RAW_cleaned[[#This Row],[Status]]="Refunded", "Refund",
  IF(Transactions_RAW_cleaned[[#This Row],[Category]]="Payments", IF(Transactions_RAW_cleaned[[#This Row],[Amount]]&gt;500,"High Value","Standard"),
    IF(Transactions_RAW_cleaned[[#This Row],[Amount]]&gt;250,"High Value","Standard")))</f>
        <v>Standard</v>
      </c>
      <c r="Q1380" s="5" t="str">
        <f>IF(Transactions_RAW_cleaned[[#This Row],[Amount]] &gt; (_xlfn.XLOOKUP(Transactions_RAW_cleaned[[#This Row],[ServiceID]],Services_cleaned[ServiceID],Services_cleaned[TransactionFeePct]) * 10000), "Yes", "No")</f>
        <v>Yes</v>
      </c>
      <c r="R1380" s="5" t="str">
        <f>IF(COUNTIFS($C$2:Transactions_RAW_cleaned[[#This Row],[CustomerID]],Transactions_RAW_cleaned[[#This Row],[CustomerID]],$D$2:Transactions_RAW_cleaned[[#This Row],[ServiceID]],Transactions_RAW_cleaned[[#This Row],[ServiceID]])=1,"Yes","No")</f>
        <v>No</v>
      </c>
      <c r="S138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80" t="str">
        <f>"Q"&amp;ROUNDUP(MONTH(Transactions_RAW_cleaned[[#This Row],[TransactionDate]])/3,0)</f>
        <v>Q1</v>
      </c>
      <c r="U1380" t="str">
        <f>Transactions_RAW_cleaned[[#This Row],[Region ]]&amp;Transactions_RAW_cleaned[[#This Row],[Quarter ]]</f>
        <v>NAQ1</v>
      </c>
      <c r="V1380" s="5">
        <f>_xlfn.XLOOKUP(Transactions_RAW_cleaned[[#This Row],[RegionQuarterKey]], Quarterly_Targets_cleaned[RegionQuarterKey], Quarterly_Targets_cleaned[TargetRevenue])</f>
        <v>247000</v>
      </c>
    </row>
    <row r="1381" spans="1:22" x14ac:dyDescent="0.25">
      <c r="A1381" t="s">
        <v>1713</v>
      </c>
      <c r="B1381" s="1">
        <v>45579</v>
      </c>
      <c r="C1381" t="s">
        <v>209</v>
      </c>
      <c r="D1381" t="s">
        <v>294</v>
      </c>
      <c r="E1381">
        <v>579.04</v>
      </c>
      <c r="F1381" t="s">
        <v>324</v>
      </c>
      <c r="G1381" t="s">
        <v>329</v>
      </c>
      <c r="H1381" t="s">
        <v>334</v>
      </c>
      <c r="I1381" t="s">
        <v>17</v>
      </c>
      <c r="J1381" t="s">
        <v>102</v>
      </c>
      <c r="K1381" t="s">
        <v>22</v>
      </c>
      <c r="L1381" t="s">
        <v>295</v>
      </c>
      <c r="M1381" t="s">
        <v>296</v>
      </c>
      <c r="N1381">
        <v>2.9000000000000001E-2</v>
      </c>
      <c r="O1381" t="str">
        <f>IF(Transactions_RAW_cleaned[[#This Row],[Status]]="Completed", IFERROR(_xlfn.XLOOKUP(Transactions_RAW_cleaned[[#This Row],[CustomerID]], Customers_cleaned[CustomerID], Customers_cleaned[Segment]), "Customer Not Found"), "N/A")</f>
        <v>Enterprise</v>
      </c>
      <c r="P1381" s="5" t="str">
        <f>IF(Transactions_RAW_cleaned[[#This Row],[Status]]="Refunded", "Refund",
  IF(Transactions_RAW_cleaned[[#This Row],[Category]]="Payments", IF(Transactions_RAW_cleaned[[#This Row],[Amount]]&gt;500,"High Value","Standard"),
    IF(Transactions_RAW_cleaned[[#This Row],[Amount]]&gt;250,"High Value","Standard")))</f>
        <v>High Value</v>
      </c>
      <c r="Q1381" s="5" t="str">
        <f>IF(Transactions_RAW_cleaned[[#This Row],[Amount]] &gt; (_xlfn.XLOOKUP(Transactions_RAW_cleaned[[#This Row],[ServiceID]],Services_cleaned[ServiceID],Services_cleaned[TransactionFeePct]) * 10000), "Yes", "No")</f>
        <v>Yes</v>
      </c>
      <c r="R1381" s="5" t="str">
        <f>IF(COUNTIFS($C$2:Transactions_RAW_cleaned[[#This Row],[CustomerID]],Transactions_RAW_cleaned[[#This Row],[CustomerID]],$D$2:Transactions_RAW_cleaned[[#This Row],[ServiceID]],Transactions_RAW_cleaned[[#This Row],[ServiceID]])=1,"Yes","No")</f>
        <v>No</v>
      </c>
      <c r="S138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81" t="str">
        <f>"Q"&amp;ROUNDUP(MONTH(Transactions_RAW_cleaned[[#This Row],[TransactionDate]])/3,0)</f>
        <v>Q4</v>
      </c>
      <c r="U1381" t="str">
        <f>Transactions_RAW_cleaned[[#This Row],[Region ]]&amp;Transactions_RAW_cleaned[[#This Row],[Quarter ]]</f>
        <v>NAQ4</v>
      </c>
      <c r="V1381" s="5">
        <f>_xlfn.XLOOKUP(Transactions_RAW_cleaned[[#This Row],[RegionQuarterKey]], Quarterly_Targets_cleaned[RegionQuarterKey], Quarterly_Targets_cleaned[TargetRevenue])</f>
        <v>299000</v>
      </c>
    </row>
    <row r="1382" spans="1:22" x14ac:dyDescent="0.25">
      <c r="A1382" t="s">
        <v>1714</v>
      </c>
      <c r="B1382" s="1">
        <v>45332</v>
      </c>
      <c r="C1382" t="s">
        <v>84</v>
      </c>
      <c r="D1382" t="s">
        <v>294</v>
      </c>
      <c r="E1382">
        <v>292.66000000000003</v>
      </c>
      <c r="F1382" t="s">
        <v>324</v>
      </c>
      <c r="G1382" t="s">
        <v>337</v>
      </c>
      <c r="H1382" t="s">
        <v>346</v>
      </c>
      <c r="I1382" t="s">
        <v>8</v>
      </c>
      <c r="J1382" t="s">
        <v>46</v>
      </c>
      <c r="K1382" t="s">
        <v>28</v>
      </c>
      <c r="L1382" t="s">
        <v>295</v>
      </c>
      <c r="M1382" t="s">
        <v>296</v>
      </c>
      <c r="N1382">
        <v>2.9000000000000001E-2</v>
      </c>
      <c r="O1382" t="str">
        <f>IF(Transactions_RAW_cleaned[[#This Row],[Status]]="Completed", IFERROR(_xlfn.XLOOKUP(Transactions_RAW_cleaned[[#This Row],[CustomerID]], Customers_cleaned[CustomerID], Customers_cleaned[Segment]), "Customer Not Found"), "N/A")</f>
        <v>SMB</v>
      </c>
      <c r="P1382" s="5" t="str">
        <f>IF(Transactions_RAW_cleaned[[#This Row],[Status]]="Refunded", "Refund",
  IF(Transactions_RAW_cleaned[[#This Row],[Category]]="Payments", IF(Transactions_RAW_cleaned[[#This Row],[Amount]]&gt;500,"High Value","Standard"),
    IF(Transactions_RAW_cleaned[[#This Row],[Amount]]&gt;250,"High Value","Standard")))</f>
        <v>Standard</v>
      </c>
      <c r="Q1382" s="5" t="str">
        <f>IF(Transactions_RAW_cleaned[[#This Row],[Amount]] &gt; (_xlfn.XLOOKUP(Transactions_RAW_cleaned[[#This Row],[ServiceID]],Services_cleaned[ServiceID],Services_cleaned[TransactionFeePct]) * 10000), "Yes", "No")</f>
        <v>Yes</v>
      </c>
      <c r="R1382" s="5" t="str">
        <f>IF(COUNTIFS($C$2:Transactions_RAW_cleaned[[#This Row],[CustomerID]],Transactions_RAW_cleaned[[#This Row],[CustomerID]],$D$2:Transactions_RAW_cleaned[[#This Row],[ServiceID]],Transactions_RAW_cleaned[[#This Row],[ServiceID]])=1,"Yes","No")</f>
        <v>No</v>
      </c>
      <c r="S138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82" t="str">
        <f>"Q"&amp;ROUNDUP(MONTH(Transactions_RAW_cleaned[[#This Row],[TransactionDate]])/3,0)</f>
        <v>Q1</v>
      </c>
      <c r="U1382" t="str">
        <f>Transactions_RAW_cleaned[[#This Row],[Region ]]&amp;Transactions_RAW_cleaned[[#This Row],[Quarter ]]</f>
        <v>APACQ1</v>
      </c>
      <c r="V1382" s="5">
        <f>_xlfn.XLOOKUP(Transactions_RAW_cleaned[[#This Row],[RegionQuarterKey]], Quarterly_Targets_cleaned[RegionQuarterKey], Quarterly_Targets_cleaned[TargetRevenue])</f>
        <v>104500</v>
      </c>
    </row>
    <row r="1383" spans="1:22" x14ac:dyDescent="0.25">
      <c r="A1383" t="s">
        <v>1715</v>
      </c>
      <c r="B1383" s="1">
        <v>45363</v>
      </c>
      <c r="C1383" t="s">
        <v>191</v>
      </c>
      <c r="D1383" t="s">
        <v>300</v>
      </c>
      <c r="E1383">
        <v>666.02</v>
      </c>
      <c r="F1383" t="s">
        <v>324</v>
      </c>
      <c r="G1383" t="s">
        <v>327</v>
      </c>
      <c r="H1383" t="s">
        <v>346</v>
      </c>
      <c r="I1383" t="s">
        <v>57</v>
      </c>
      <c r="J1383" t="s">
        <v>31</v>
      </c>
      <c r="K1383" t="s">
        <v>32</v>
      </c>
      <c r="L1383" t="s">
        <v>301</v>
      </c>
      <c r="M1383" t="s">
        <v>302</v>
      </c>
      <c r="N1383">
        <v>5.0000000000000001E-3</v>
      </c>
      <c r="O1383" t="str">
        <f>IF(Transactions_RAW_cleaned[[#This Row],[Status]]="Completed", IFERROR(_xlfn.XLOOKUP(Transactions_RAW_cleaned[[#This Row],[CustomerID]], Customers_cleaned[CustomerID], Customers_cleaned[Segment]), "Customer Not Found"), "N/A")</f>
        <v>Startup</v>
      </c>
      <c r="P1383" s="5" t="str">
        <f>IF(Transactions_RAW_cleaned[[#This Row],[Status]]="Refunded", "Refund",
  IF(Transactions_RAW_cleaned[[#This Row],[Category]]="Payments", IF(Transactions_RAW_cleaned[[#This Row],[Amount]]&gt;500,"High Value","Standard"),
    IF(Transactions_RAW_cleaned[[#This Row],[Amount]]&gt;250,"High Value","Standard")))</f>
        <v>High Value</v>
      </c>
      <c r="Q1383" s="5" t="str">
        <f>IF(Transactions_RAW_cleaned[[#This Row],[Amount]] &gt; (_xlfn.XLOOKUP(Transactions_RAW_cleaned[[#This Row],[ServiceID]],Services_cleaned[ServiceID],Services_cleaned[TransactionFeePct]) * 10000), "Yes", "No")</f>
        <v>Yes</v>
      </c>
      <c r="R1383" s="5" t="str">
        <f>IF(COUNTIFS($C$2:Transactions_RAW_cleaned[[#This Row],[CustomerID]],Transactions_RAW_cleaned[[#This Row],[CustomerID]],$D$2:Transactions_RAW_cleaned[[#This Row],[ServiceID]],Transactions_RAW_cleaned[[#This Row],[ServiceID]])=1,"Yes","No")</f>
        <v>No</v>
      </c>
      <c r="S138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83" t="str">
        <f>"Q"&amp;ROUNDUP(MONTH(Transactions_RAW_cleaned[[#This Row],[TransactionDate]])/3,0)</f>
        <v>Q1</v>
      </c>
      <c r="U1383" t="str">
        <f>Transactions_RAW_cleaned[[#This Row],[Region ]]&amp;Transactions_RAW_cleaned[[#This Row],[Quarter ]]</f>
        <v>EMEAQ1</v>
      </c>
      <c r="V1383" s="5">
        <f>_xlfn.XLOOKUP(Transactions_RAW_cleaned[[#This Row],[RegionQuarterKey]], Quarterly_Targets_cleaned[RegionQuarterKey], Quarterly_Targets_cleaned[TargetRevenue])</f>
        <v>133000</v>
      </c>
    </row>
    <row r="1384" spans="1:22" x14ac:dyDescent="0.25">
      <c r="A1384" t="s">
        <v>1716</v>
      </c>
      <c r="B1384" s="1">
        <v>45495</v>
      </c>
      <c r="C1384" t="s">
        <v>90</v>
      </c>
      <c r="D1384" t="s">
        <v>297</v>
      </c>
      <c r="E1384">
        <v>-85.63</v>
      </c>
      <c r="F1384" t="s">
        <v>349</v>
      </c>
      <c r="G1384" t="s">
        <v>2963</v>
      </c>
      <c r="H1384" t="s">
        <v>332</v>
      </c>
      <c r="I1384" t="s">
        <v>8</v>
      </c>
      <c r="J1384" t="s">
        <v>102</v>
      </c>
      <c r="K1384" t="s">
        <v>28</v>
      </c>
      <c r="L1384" t="s">
        <v>298</v>
      </c>
      <c r="M1384" t="s">
        <v>299</v>
      </c>
      <c r="N1384">
        <v>0</v>
      </c>
      <c r="O1384" t="str">
        <f>IF(Transactions_RAW_cleaned[[#This Row],[Status]]="Completed", IFERROR(_xlfn.XLOOKUP(Transactions_RAW_cleaned[[#This Row],[CustomerID]], Customers_cleaned[CustomerID], Customers_cleaned[Segment]), "Customer Not Found"), "N/A")</f>
        <v>N/A</v>
      </c>
      <c r="P1384" s="5" t="str">
        <f>IF(Transactions_RAW_cleaned[[#This Row],[Status]]="Refunded", "Refund",
  IF(Transactions_RAW_cleaned[[#This Row],[Category]]="Payments", IF(Transactions_RAW_cleaned[[#This Row],[Amount]]&gt;500,"High Value","Standard"),
    IF(Transactions_RAW_cleaned[[#This Row],[Amount]]&gt;250,"High Value","Standard")))</f>
        <v>Refund</v>
      </c>
      <c r="Q1384" s="5" t="str">
        <f>IF(Transactions_RAW_cleaned[[#This Row],[Amount]] &gt; (_xlfn.XLOOKUP(Transactions_RAW_cleaned[[#This Row],[ServiceID]],Services_cleaned[ServiceID],Services_cleaned[TransactionFeePct]) * 10000), "Yes", "No")</f>
        <v>No</v>
      </c>
      <c r="R1384" s="5" t="str">
        <f>IF(COUNTIFS($C$2:Transactions_RAW_cleaned[[#This Row],[CustomerID]],Transactions_RAW_cleaned[[#This Row],[CustomerID]],$D$2:Transactions_RAW_cleaned[[#This Row],[ServiceID]],Transactions_RAW_cleaned[[#This Row],[ServiceID]])=1,"Yes","No")</f>
        <v>Yes</v>
      </c>
      <c r="S138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84" t="str">
        <f>"Q"&amp;ROUNDUP(MONTH(Transactions_RAW_cleaned[[#This Row],[TransactionDate]])/3,0)</f>
        <v>Q3</v>
      </c>
      <c r="U1384" t="str">
        <f>Transactions_RAW_cleaned[[#This Row],[Region ]]&amp;Transactions_RAW_cleaned[[#This Row],[Quarter ]]</f>
        <v>NAQ3</v>
      </c>
      <c r="V1384" s="5">
        <f>_xlfn.XLOOKUP(Transactions_RAW_cleaned[[#This Row],[RegionQuarterKey]], Quarterly_Targets_cleaned[RegionQuarterKey], Quarterly_Targets_cleaned[TargetRevenue])</f>
        <v>273000</v>
      </c>
    </row>
    <row r="1385" spans="1:22" x14ac:dyDescent="0.25">
      <c r="A1385" t="s">
        <v>1717</v>
      </c>
      <c r="B1385" s="1">
        <v>45550</v>
      </c>
      <c r="C1385" t="s">
        <v>241</v>
      </c>
      <c r="D1385" t="s">
        <v>315</v>
      </c>
      <c r="E1385">
        <v>807.3</v>
      </c>
      <c r="F1385" t="s">
        <v>331</v>
      </c>
      <c r="G1385" t="s">
        <v>327</v>
      </c>
      <c r="I1385" t="s">
        <v>8</v>
      </c>
      <c r="J1385" t="s">
        <v>102</v>
      </c>
      <c r="K1385" t="s">
        <v>32</v>
      </c>
      <c r="L1385" t="s">
        <v>316</v>
      </c>
      <c r="M1385" t="s">
        <v>305</v>
      </c>
      <c r="N1385">
        <v>2.5000000000000001E-3</v>
      </c>
      <c r="O1385" t="str">
        <f>IF(Transactions_RAW_cleaned[[#This Row],[Status]]="Completed", IFERROR(_xlfn.XLOOKUP(Transactions_RAW_cleaned[[#This Row],[CustomerID]], Customers_cleaned[CustomerID], Customers_cleaned[Segment]), "Customer Not Found"), "N/A")</f>
        <v>N/A</v>
      </c>
      <c r="P1385" s="5" t="str">
        <f>IF(Transactions_RAW_cleaned[[#This Row],[Status]]="Refunded", "Refund",
  IF(Transactions_RAW_cleaned[[#This Row],[Category]]="Payments", IF(Transactions_RAW_cleaned[[#This Row],[Amount]]&gt;500,"High Value","Standard"),
    IF(Transactions_RAW_cleaned[[#This Row],[Amount]]&gt;250,"High Value","Standard")))</f>
        <v>High Value</v>
      </c>
      <c r="Q1385" s="5" t="str">
        <f>IF(Transactions_RAW_cleaned[[#This Row],[Amount]] &gt; (_xlfn.XLOOKUP(Transactions_RAW_cleaned[[#This Row],[ServiceID]],Services_cleaned[ServiceID],Services_cleaned[TransactionFeePct]) * 10000), "Yes", "No")</f>
        <v>Yes</v>
      </c>
      <c r="R1385" s="5" t="str">
        <f>IF(COUNTIFS($C$2:Transactions_RAW_cleaned[[#This Row],[CustomerID]],Transactions_RAW_cleaned[[#This Row],[CustomerID]],$D$2:Transactions_RAW_cleaned[[#This Row],[ServiceID]],Transactions_RAW_cleaned[[#This Row],[ServiceID]])=1,"Yes","No")</f>
        <v>Yes</v>
      </c>
      <c r="S138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85" t="str">
        <f>"Q"&amp;ROUNDUP(MONTH(Transactions_RAW_cleaned[[#This Row],[TransactionDate]])/3,0)</f>
        <v>Q3</v>
      </c>
      <c r="U1385" t="str">
        <f>Transactions_RAW_cleaned[[#This Row],[Region ]]&amp;Transactions_RAW_cleaned[[#This Row],[Quarter ]]</f>
        <v>NAQ3</v>
      </c>
      <c r="V1385" s="5">
        <f>_xlfn.XLOOKUP(Transactions_RAW_cleaned[[#This Row],[RegionQuarterKey]], Quarterly_Targets_cleaned[RegionQuarterKey], Quarterly_Targets_cleaned[TargetRevenue])</f>
        <v>273000</v>
      </c>
    </row>
    <row r="1386" spans="1:22" x14ac:dyDescent="0.25">
      <c r="A1386" t="s">
        <v>1718</v>
      </c>
      <c r="B1386" s="1">
        <v>45501</v>
      </c>
      <c r="C1386" t="s">
        <v>6</v>
      </c>
      <c r="D1386" t="s">
        <v>300</v>
      </c>
      <c r="E1386">
        <v>304.23</v>
      </c>
      <c r="F1386" t="s">
        <v>324</v>
      </c>
      <c r="G1386" t="s">
        <v>327</v>
      </c>
      <c r="I1386" t="s">
        <v>8</v>
      </c>
      <c r="J1386" t="s">
        <v>102</v>
      </c>
      <c r="K1386" t="s">
        <v>10</v>
      </c>
      <c r="L1386" t="s">
        <v>301</v>
      </c>
      <c r="M1386" t="s">
        <v>302</v>
      </c>
      <c r="N1386">
        <v>5.0000000000000001E-3</v>
      </c>
      <c r="O1386" t="str">
        <f>IF(Transactions_RAW_cleaned[[#This Row],[Status]]="Completed", IFERROR(_xlfn.XLOOKUP(Transactions_RAW_cleaned[[#This Row],[CustomerID]], Customers_cleaned[CustomerID], Customers_cleaned[Segment]), "Customer Not Found"), "N/A")</f>
        <v>SMB</v>
      </c>
      <c r="P1386" s="5" t="str">
        <f>IF(Transactions_RAW_cleaned[[#This Row],[Status]]="Refunded", "Refund",
  IF(Transactions_RAW_cleaned[[#This Row],[Category]]="Payments", IF(Transactions_RAW_cleaned[[#This Row],[Amount]]&gt;500,"High Value","Standard"),
    IF(Transactions_RAW_cleaned[[#This Row],[Amount]]&gt;250,"High Value","Standard")))</f>
        <v>High Value</v>
      </c>
      <c r="Q1386" s="5" t="str">
        <f>IF(Transactions_RAW_cleaned[[#This Row],[Amount]] &gt; (_xlfn.XLOOKUP(Transactions_RAW_cleaned[[#This Row],[ServiceID]],Services_cleaned[ServiceID],Services_cleaned[TransactionFeePct]) * 10000), "Yes", "No")</f>
        <v>Yes</v>
      </c>
      <c r="R1386" s="5" t="str">
        <f>IF(COUNTIFS($C$2:Transactions_RAW_cleaned[[#This Row],[CustomerID]],Transactions_RAW_cleaned[[#This Row],[CustomerID]],$D$2:Transactions_RAW_cleaned[[#This Row],[ServiceID]],Transactions_RAW_cleaned[[#This Row],[ServiceID]])=1,"Yes","No")</f>
        <v>No</v>
      </c>
      <c r="S138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86" t="str">
        <f>"Q"&amp;ROUNDUP(MONTH(Transactions_RAW_cleaned[[#This Row],[TransactionDate]])/3,0)</f>
        <v>Q3</v>
      </c>
      <c r="U1386" t="str">
        <f>Transactions_RAW_cleaned[[#This Row],[Region ]]&amp;Transactions_RAW_cleaned[[#This Row],[Quarter ]]</f>
        <v>NAQ3</v>
      </c>
      <c r="V1386" s="5">
        <f>_xlfn.XLOOKUP(Transactions_RAW_cleaned[[#This Row],[RegionQuarterKey]], Quarterly_Targets_cleaned[RegionQuarterKey], Quarterly_Targets_cleaned[TargetRevenue])</f>
        <v>273000</v>
      </c>
    </row>
    <row r="1387" spans="1:22" x14ac:dyDescent="0.25">
      <c r="A1387" t="s">
        <v>1719</v>
      </c>
      <c r="B1387" s="1">
        <v>45355</v>
      </c>
      <c r="C1387" t="s">
        <v>251</v>
      </c>
      <c r="D1387" t="s">
        <v>300</v>
      </c>
      <c r="E1387">
        <v>150.33000000000001</v>
      </c>
      <c r="F1387" t="s">
        <v>324</v>
      </c>
      <c r="G1387" t="s">
        <v>325</v>
      </c>
      <c r="H1387" t="s">
        <v>332</v>
      </c>
      <c r="I1387" t="s">
        <v>17</v>
      </c>
      <c r="J1387" t="s">
        <v>46</v>
      </c>
      <c r="K1387" t="s">
        <v>14</v>
      </c>
      <c r="L1387" t="s">
        <v>301</v>
      </c>
      <c r="M1387" t="s">
        <v>302</v>
      </c>
      <c r="N1387">
        <v>5.0000000000000001E-3</v>
      </c>
      <c r="O1387" t="str">
        <f>IF(Transactions_RAW_cleaned[[#This Row],[Status]]="Completed", IFERROR(_xlfn.XLOOKUP(Transactions_RAW_cleaned[[#This Row],[CustomerID]], Customers_cleaned[CustomerID], Customers_cleaned[Segment]), "Customer Not Found"), "N/A")</f>
        <v>Enterprise</v>
      </c>
      <c r="P1387" s="5" t="str">
        <f>IF(Transactions_RAW_cleaned[[#This Row],[Status]]="Refunded", "Refund",
  IF(Transactions_RAW_cleaned[[#This Row],[Category]]="Payments", IF(Transactions_RAW_cleaned[[#This Row],[Amount]]&gt;500,"High Value","Standard"),
    IF(Transactions_RAW_cleaned[[#This Row],[Amount]]&gt;250,"High Value","Standard")))</f>
        <v>Standard</v>
      </c>
      <c r="Q1387" s="5" t="str">
        <f>IF(Transactions_RAW_cleaned[[#This Row],[Amount]] &gt; (_xlfn.XLOOKUP(Transactions_RAW_cleaned[[#This Row],[ServiceID]],Services_cleaned[ServiceID],Services_cleaned[TransactionFeePct]) * 10000), "Yes", "No")</f>
        <v>Yes</v>
      </c>
      <c r="R1387" s="5" t="str">
        <f>IF(COUNTIFS($C$2:Transactions_RAW_cleaned[[#This Row],[CustomerID]],Transactions_RAW_cleaned[[#This Row],[CustomerID]],$D$2:Transactions_RAW_cleaned[[#This Row],[ServiceID]],Transactions_RAW_cleaned[[#This Row],[ServiceID]])=1,"Yes","No")</f>
        <v>No</v>
      </c>
      <c r="S138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87" t="str">
        <f>"Q"&amp;ROUNDUP(MONTH(Transactions_RAW_cleaned[[#This Row],[TransactionDate]])/3,0)</f>
        <v>Q1</v>
      </c>
      <c r="U1387" t="str">
        <f>Transactions_RAW_cleaned[[#This Row],[Region ]]&amp;Transactions_RAW_cleaned[[#This Row],[Quarter ]]</f>
        <v>APACQ1</v>
      </c>
      <c r="V1387" s="5">
        <f>_xlfn.XLOOKUP(Transactions_RAW_cleaned[[#This Row],[RegionQuarterKey]], Quarterly_Targets_cleaned[RegionQuarterKey], Quarterly_Targets_cleaned[TargetRevenue])</f>
        <v>104500</v>
      </c>
    </row>
    <row r="1388" spans="1:22" x14ac:dyDescent="0.25">
      <c r="A1388" t="s">
        <v>1720</v>
      </c>
      <c r="B1388" s="1">
        <v>45524</v>
      </c>
      <c r="C1388" t="s">
        <v>55</v>
      </c>
      <c r="D1388" t="s">
        <v>300</v>
      </c>
      <c r="E1388">
        <v>1107.9000000000001</v>
      </c>
      <c r="F1388" t="s">
        <v>331</v>
      </c>
      <c r="G1388" t="s">
        <v>325</v>
      </c>
      <c r="H1388" t="s">
        <v>332</v>
      </c>
      <c r="I1388" t="s">
        <v>57</v>
      </c>
      <c r="J1388" t="s">
        <v>31</v>
      </c>
      <c r="K1388" t="s">
        <v>22</v>
      </c>
      <c r="L1388" t="s">
        <v>301</v>
      </c>
      <c r="M1388" t="s">
        <v>302</v>
      </c>
      <c r="N1388">
        <v>5.0000000000000001E-3</v>
      </c>
      <c r="O1388" t="str">
        <f>IF(Transactions_RAW_cleaned[[#This Row],[Status]]="Completed", IFERROR(_xlfn.XLOOKUP(Transactions_RAW_cleaned[[#This Row],[CustomerID]], Customers_cleaned[CustomerID], Customers_cleaned[Segment]), "Customer Not Found"), "N/A")</f>
        <v>N/A</v>
      </c>
      <c r="P1388" s="5" t="str">
        <f>IF(Transactions_RAW_cleaned[[#This Row],[Status]]="Refunded", "Refund",
  IF(Transactions_RAW_cleaned[[#This Row],[Category]]="Payments", IF(Transactions_RAW_cleaned[[#This Row],[Amount]]&gt;500,"High Value","Standard"),
    IF(Transactions_RAW_cleaned[[#This Row],[Amount]]&gt;250,"High Value","Standard")))</f>
        <v>High Value</v>
      </c>
      <c r="Q1388" s="5" t="str">
        <f>IF(Transactions_RAW_cleaned[[#This Row],[Amount]] &gt; (_xlfn.XLOOKUP(Transactions_RAW_cleaned[[#This Row],[ServiceID]],Services_cleaned[ServiceID],Services_cleaned[TransactionFeePct]) * 10000), "Yes", "No")</f>
        <v>Yes</v>
      </c>
      <c r="R1388" s="5" t="str">
        <f>IF(COUNTIFS($C$2:Transactions_RAW_cleaned[[#This Row],[CustomerID]],Transactions_RAW_cleaned[[#This Row],[CustomerID]],$D$2:Transactions_RAW_cleaned[[#This Row],[ServiceID]],Transactions_RAW_cleaned[[#This Row],[ServiceID]])=1,"Yes","No")</f>
        <v>No</v>
      </c>
      <c r="S138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88" t="str">
        <f>"Q"&amp;ROUNDUP(MONTH(Transactions_RAW_cleaned[[#This Row],[TransactionDate]])/3,0)</f>
        <v>Q3</v>
      </c>
      <c r="U1388" t="str">
        <f>Transactions_RAW_cleaned[[#This Row],[Region ]]&amp;Transactions_RAW_cleaned[[#This Row],[Quarter ]]</f>
        <v>EMEAQ3</v>
      </c>
      <c r="V1388" s="5">
        <f>_xlfn.XLOOKUP(Transactions_RAW_cleaned[[#This Row],[RegionQuarterKey]], Quarterly_Targets_cleaned[RegionQuarterKey], Quarterly_Targets_cleaned[TargetRevenue])</f>
        <v>147000</v>
      </c>
    </row>
    <row r="1389" spans="1:22" x14ac:dyDescent="0.25">
      <c r="A1389" t="s">
        <v>1721</v>
      </c>
      <c r="B1389" s="1">
        <v>45459</v>
      </c>
      <c r="C1389" t="s">
        <v>253</v>
      </c>
      <c r="D1389" t="s">
        <v>297</v>
      </c>
      <c r="E1389">
        <v>1143.32</v>
      </c>
      <c r="F1389" t="s">
        <v>324</v>
      </c>
      <c r="G1389" t="s">
        <v>327</v>
      </c>
      <c r="I1389" t="s">
        <v>8</v>
      </c>
      <c r="J1389" t="s">
        <v>102</v>
      </c>
      <c r="K1389" t="s">
        <v>28</v>
      </c>
      <c r="L1389" t="s">
        <v>298</v>
      </c>
      <c r="M1389" t="s">
        <v>299</v>
      </c>
      <c r="N1389">
        <v>0</v>
      </c>
      <c r="O1389" t="str">
        <f>IF(Transactions_RAW_cleaned[[#This Row],[Status]]="Completed", IFERROR(_xlfn.XLOOKUP(Transactions_RAW_cleaned[[#This Row],[CustomerID]], Customers_cleaned[CustomerID], Customers_cleaned[Segment]), "Customer Not Found"), "N/A")</f>
        <v>SMB</v>
      </c>
      <c r="P1389" s="5" t="str">
        <f>IF(Transactions_RAW_cleaned[[#This Row],[Status]]="Refunded", "Refund",
  IF(Transactions_RAW_cleaned[[#This Row],[Category]]="Payments", IF(Transactions_RAW_cleaned[[#This Row],[Amount]]&gt;500,"High Value","Standard"),
    IF(Transactions_RAW_cleaned[[#This Row],[Amount]]&gt;250,"High Value","Standard")))</f>
        <v>High Value</v>
      </c>
      <c r="Q1389" s="5" t="str">
        <f>IF(Transactions_RAW_cleaned[[#This Row],[Amount]] &gt; (_xlfn.XLOOKUP(Transactions_RAW_cleaned[[#This Row],[ServiceID]],Services_cleaned[ServiceID],Services_cleaned[TransactionFeePct]) * 10000), "Yes", "No")</f>
        <v>Yes</v>
      </c>
      <c r="R1389" s="5" t="str">
        <f>IF(COUNTIFS($C$2:Transactions_RAW_cleaned[[#This Row],[CustomerID]],Transactions_RAW_cleaned[[#This Row],[CustomerID]],$D$2:Transactions_RAW_cleaned[[#This Row],[ServiceID]],Transactions_RAW_cleaned[[#This Row],[ServiceID]])=1,"Yes","No")</f>
        <v>No</v>
      </c>
      <c r="S138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89" t="str">
        <f>"Q"&amp;ROUNDUP(MONTH(Transactions_RAW_cleaned[[#This Row],[TransactionDate]])/3,0)</f>
        <v>Q2</v>
      </c>
      <c r="U1389" t="str">
        <f>Transactions_RAW_cleaned[[#This Row],[Region ]]&amp;Transactions_RAW_cleaned[[#This Row],[Quarter ]]</f>
        <v>NAQ2</v>
      </c>
      <c r="V1389" s="5">
        <f>_xlfn.XLOOKUP(Transactions_RAW_cleaned[[#This Row],[RegionQuarterKey]], Quarterly_Targets_cleaned[RegionQuarterKey], Quarterly_Targets_cleaned[TargetRevenue])</f>
        <v>260000</v>
      </c>
    </row>
    <row r="1390" spans="1:22" x14ac:dyDescent="0.25">
      <c r="A1390" t="s">
        <v>1722</v>
      </c>
      <c r="B1390" s="1">
        <v>45599</v>
      </c>
      <c r="C1390" t="s">
        <v>141</v>
      </c>
      <c r="D1390" t="s">
        <v>315</v>
      </c>
      <c r="E1390">
        <v>243.14</v>
      </c>
      <c r="F1390" t="s">
        <v>324</v>
      </c>
      <c r="G1390" t="s">
        <v>327</v>
      </c>
      <c r="H1390" t="s">
        <v>332</v>
      </c>
      <c r="I1390" t="s">
        <v>57</v>
      </c>
      <c r="J1390" t="s">
        <v>25</v>
      </c>
      <c r="K1390" t="s">
        <v>10</v>
      </c>
      <c r="L1390" t="s">
        <v>316</v>
      </c>
      <c r="M1390" t="s">
        <v>305</v>
      </c>
      <c r="N1390">
        <v>2.5000000000000001E-3</v>
      </c>
      <c r="O1390" t="str">
        <f>IF(Transactions_RAW_cleaned[[#This Row],[Status]]="Completed", IFERROR(_xlfn.XLOOKUP(Transactions_RAW_cleaned[[#This Row],[CustomerID]], Customers_cleaned[CustomerID], Customers_cleaned[Segment]), "Customer Not Found"), "N/A")</f>
        <v>Startup</v>
      </c>
      <c r="P1390" s="5" t="str">
        <f>IF(Transactions_RAW_cleaned[[#This Row],[Status]]="Refunded", "Refund",
  IF(Transactions_RAW_cleaned[[#This Row],[Category]]="Payments", IF(Transactions_RAW_cleaned[[#This Row],[Amount]]&gt;500,"High Value","Standard"),
    IF(Transactions_RAW_cleaned[[#This Row],[Amount]]&gt;250,"High Value","Standard")))</f>
        <v>Standard</v>
      </c>
      <c r="Q1390" s="5" t="str">
        <f>IF(Transactions_RAW_cleaned[[#This Row],[Amount]] &gt; (_xlfn.XLOOKUP(Transactions_RAW_cleaned[[#This Row],[ServiceID]],Services_cleaned[ServiceID],Services_cleaned[TransactionFeePct]) * 10000), "Yes", "No")</f>
        <v>Yes</v>
      </c>
      <c r="R1390" s="5" t="str">
        <f>IF(COUNTIFS($C$2:Transactions_RAW_cleaned[[#This Row],[CustomerID]],Transactions_RAW_cleaned[[#This Row],[CustomerID]],$D$2:Transactions_RAW_cleaned[[#This Row],[ServiceID]],Transactions_RAW_cleaned[[#This Row],[ServiceID]])=1,"Yes","No")</f>
        <v>No</v>
      </c>
      <c r="S139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90" t="str">
        <f>"Q"&amp;ROUNDUP(MONTH(Transactions_RAW_cleaned[[#This Row],[TransactionDate]])/3,0)</f>
        <v>Q4</v>
      </c>
      <c r="U1390" t="str">
        <f>Transactions_RAW_cleaned[[#This Row],[Region ]]&amp;Transactions_RAW_cleaned[[#This Row],[Quarter ]]</f>
        <v>APACQ4</v>
      </c>
      <c r="V1390" s="5">
        <f>_xlfn.XLOOKUP(Transactions_RAW_cleaned[[#This Row],[RegionQuarterKey]], Quarterly_Targets_cleaned[RegionQuarterKey], Quarterly_Targets_cleaned[TargetRevenue])</f>
        <v>126500</v>
      </c>
    </row>
    <row r="1391" spans="1:22" x14ac:dyDescent="0.25">
      <c r="A1391" t="s">
        <v>1723</v>
      </c>
      <c r="B1391" s="1">
        <v>45605</v>
      </c>
      <c r="C1391" t="s">
        <v>42</v>
      </c>
      <c r="D1391" t="s">
        <v>294</v>
      </c>
      <c r="E1391">
        <v>794.43</v>
      </c>
      <c r="F1391" t="s">
        <v>324</v>
      </c>
      <c r="G1391" t="s">
        <v>2963</v>
      </c>
      <c r="I1391" t="s">
        <v>8</v>
      </c>
      <c r="J1391" t="s">
        <v>102</v>
      </c>
      <c r="K1391" t="s">
        <v>10</v>
      </c>
      <c r="L1391" t="s">
        <v>295</v>
      </c>
      <c r="M1391" t="s">
        <v>296</v>
      </c>
      <c r="N1391">
        <v>2.9000000000000001E-2</v>
      </c>
      <c r="O1391" t="str">
        <f>IF(Transactions_RAW_cleaned[[#This Row],[Status]]="Completed", IFERROR(_xlfn.XLOOKUP(Transactions_RAW_cleaned[[#This Row],[CustomerID]], Customers_cleaned[CustomerID], Customers_cleaned[Segment]), "Customer Not Found"), "N/A")</f>
        <v>SMB</v>
      </c>
      <c r="P1391" s="5" t="str">
        <f>IF(Transactions_RAW_cleaned[[#This Row],[Status]]="Refunded", "Refund",
  IF(Transactions_RAW_cleaned[[#This Row],[Category]]="Payments", IF(Transactions_RAW_cleaned[[#This Row],[Amount]]&gt;500,"High Value","Standard"),
    IF(Transactions_RAW_cleaned[[#This Row],[Amount]]&gt;250,"High Value","Standard")))</f>
        <v>High Value</v>
      </c>
      <c r="Q1391" s="5" t="str">
        <f>IF(Transactions_RAW_cleaned[[#This Row],[Amount]] &gt; (_xlfn.XLOOKUP(Transactions_RAW_cleaned[[#This Row],[ServiceID]],Services_cleaned[ServiceID],Services_cleaned[TransactionFeePct]) * 10000), "Yes", "No")</f>
        <v>Yes</v>
      </c>
      <c r="R1391" s="5" t="str">
        <f>IF(COUNTIFS($C$2:Transactions_RAW_cleaned[[#This Row],[CustomerID]],Transactions_RAW_cleaned[[#This Row],[CustomerID]],$D$2:Transactions_RAW_cleaned[[#This Row],[ServiceID]],Transactions_RAW_cleaned[[#This Row],[ServiceID]])=1,"Yes","No")</f>
        <v>No</v>
      </c>
      <c r="S139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91" t="str">
        <f>"Q"&amp;ROUNDUP(MONTH(Transactions_RAW_cleaned[[#This Row],[TransactionDate]])/3,0)</f>
        <v>Q4</v>
      </c>
      <c r="U1391" t="str">
        <f>Transactions_RAW_cleaned[[#This Row],[Region ]]&amp;Transactions_RAW_cleaned[[#This Row],[Quarter ]]</f>
        <v>NAQ4</v>
      </c>
      <c r="V1391" s="5">
        <f>_xlfn.XLOOKUP(Transactions_RAW_cleaned[[#This Row],[RegionQuarterKey]], Quarterly_Targets_cleaned[RegionQuarterKey], Quarterly_Targets_cleaned[TargetRevenue])</f>
        <v>299000</v>
      </c>
    </row>
    <row r="1392" spans="1:22" x14ac:dyDescent="0.25">
      <c r="A1392" t="s">
        <v>1724</v>
      </c>
      <c r="B1392" s="1">
        <v>45612</v>
      </c>
      <c r="C1392" t="s">
        <v>241</v>
      </c>
      <c r="D1392" t="s">
        <v>315</v>
      </c>
      <c r="E1392">
        <v>418.59</v>
      </c>
      <c r="F1392" t="s">
        <v>324</v>
      </c>
      <c r="G1392" t="s">
        <v>327</v>
      </c>
      <c r="I1392" t="s">
        <v>8</v>
      </c>
      <c r="J1392" t="s">
        <v>102</v>
      </c>
      <c r="K1392" t="s">
        <v>32</v>
      </c>
      <c r="L1392" t="s">
        <v>316</v>
      </c>
      <c r="M1392" t="s">
        <v>305</v>
      </c>
      <c r="N1392">
        <v>2.5000000000000001E-3</v>
      </c>
      <c r="O1392" t="str">
        <f>IF(Transactions_RAW_cleaned[[#This Row],[Status]]="Completed", IFERROR(_xlfn.XLOOKUP(Transactions_RAW_cleaned[[#This Row],[CustomerID]], Customers_cleaned[CustomerID], Customers_cleaned[Segment]), "Customer Not Found"), "N/A")</f>
        <v>SMB</v>
      </c>
      <c r="P1392" s="5" t="str">
        <f>IF(Transactions_RAW_cleaned[[#This Row],[Status]]="Refunded", "Refund",
  IF(Transactions_RAW_cleaned[[#This Row],[Category]]="Payments", IF(Transactions_RAW_cleaned[[#This Row],[Amount]]&gt;500,"High Value","Standard"),
    IF(Transactions_RAW_cleaned[[#This Row],[Amount]]&gt;250,"High Value","Standard")))</f>
        <v>High Value</v>
      </c>
      <c r="Q1392" s="5" t="str">
        <f>IF(Transactions_RAW_cleaned[[#This Row],[Amount]] &gt; (_xlfn.XLOOKUP(Transactions_RAW_cleaned[[#This Row],[ServiceID]],Services_cleaned[ServiceID],Services_cleaned[TransactionFeePct]) * 10000), "Yes", "No")</f>
        <v>Yes</v>
      </c>
      <c r="R1392" s="5" t="str">
        <f>IF(COUNTIFS($C$2:Transactions_RAW_cleaned[[#This Row],[CustomerID]],Transactions_RAW_cleaned[[#This Row],[CustomerID]],$D$2:Transactions_RAW_cleaned[[#This Row],[ServiceID]],Transactions_RAW_cleaned[[#This Row],[ServiceID]])=1,"Yes","No")</f>
        <v>No</v>
      </c>
      <c r="S139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92" t="str">
        <f>"Q"&amp;ROUNDUP(MONTH(Transactions_RAW_cleaned[[#This Row],[TransactionDate]])/3,0)</f>
        <v>Q4</v>
      </c>
      <c r="U1392" t="str">
        <f>Transactions_RAW_cleaned[[#This Row],[Region ]]&amp;Transactions_RAW_cleaned[[#This Row],[Quarter ]]</f>
        <v>NAQ4</v>
      </c>
      <c r="V1392" s="5">
        <f>_xlfn.XLOOKUP(Transactions_RAW_cleaned[[#This Row],[RegionQuarterKey]], Quarterly_Targets_cleaned[RegionQuarterKey], Quarterly_Targets_cleaned[TargetRevenue])</f>
        <v>299000</v>
      </c>
    </row>
    <row r="1393" spans="1:22" x14ac:dyDescent="0.25">
      <c r="A1393" t="s">
        <v>1725</v>
      </c>
      <c r="B1393" s="1">
        <v>45349</v>
      </c>
      <c r="C1393" t="s">
        <v>119</v>
      </c>
      <c r="D1393" t="s">
        <v>300</v>
      </c>
      <c r="E1393">
        <v>520.11</v>
      </c>
      <c r="F1393" t="s">
        <v>324</v>
      </c>
      <c r="G1393" t="s">
        <v>337</v>
      </c>
      <c r="H1393" t="s">
        <v>334</v>
      </c>
      <c r="I1393" t="s">
        <v>57</v>
      </c>
      <c r="J1393" t="s">
        <v>102</v>
      </c>
      <c r="K1393" t="s">
        <v>18</v>
      </c>
      <c r="L1393" t="s">
        <v>301</v>
      </c>
      <c r="M1393" t="s">
        <v>302</v>
      </c>
      <c r="N1393">
        <v>5.0000000000000001E-3</v>
      </c>
      <c r="O1393" t="str">
        <f>IF(Transactions_RAW_cleaned[[#This Row],[Status]]="Completed", IFERROR(_xlfn.XLOOKUP(Transactions_RAW_cleaned[[#This Row],[CustomerID]], Customers_cleaned[CustomerID], Customers_cleaned[Segment]), "Customer Not Found"), "N/A")</f>
        <v>Startup</v>
      </c>
      <c r="P1393" s="5" t="str">
        <f>IF(Transactions_RAW_cleaned[[#This Row],[Status]]="Refunded", "Refund",
  IF(Transactions_RAW_cleaned[[#This Row],[Category]]="Payments", IF(Transactions_RAW_cleaned[[#This Row],[Amount]]&gt;500,"High Value","Standard"),
    IF(Transactions_RAW_cleaned[[#This Row],[Amount]]&gt;250,"High Value","Standard")))</f>
        <v>High Value</v>
      </c>
      <c r="Q1393" s="5" t="str">
        <f>IF(Transactions_RAW_cleaned[[#This Row],[Amount]] &gt; (_xlfn.XLOOKUP(Transactions_RAW_cleaned[[#This Row],[ServiceID]],Services_cleaned[ServiceID],Services_cleaned[TransactionFeePct]) * 10000), "Yes", "No")</f>
        <v>Yes</v>
      </c>
      <c r="R1393" s="5" t="str">
        <f>IF(COUNTIFS($C$2:Transactions_RAW_cleaned[[#This Row],[CustomerID]],Transactions_RAW_cleaned[[#This Row],[CustomerID]],$D$2:Transactions_RAW_cleaned[[#This Row],[ServiceID]],Transactions_RAW_cleaned[[#This Row],[ServiceID]])=1,"Yes","No")</f>
        <v>No</v>
      </c>
      <c r="S139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93" t="str">
        <f>"Q"&amp;ROUNDUP(MONTH(Transactions_RAW_cleaned[[#This Row],[TransactionDate]])/3,0)</f>
        <v>Q1</v>
      </c>
      <c r="U1393" t="str">
        <f>Transactions_RAW_cleaned[[#This Row],[Region ]]&amp;Transactions_RAW_cleaned[[#This Row],[Quarter ]]</f>
        <v>NAQ1</v>
      </c>
      <c r="V1393" s="5">
        <f>_xlfn.XLOOKUP(Transactions_RAW_cleaned[[#This Row],[RegionQuarterKey]], Quarterly_Targets_cleaned[RegionQuarterKey], Quarterly_Targets_cleaned[TargetRevenue])</f>
        <v>247000</v>
      </c>
    </row>
    <row r="1394" spans="1:22" x14ac:dyDescent="0.25">
      <c r="A1394" t="s">
        <v>1726</v>
      </c>
      <c r="B1394" s="1">
        <v>45403</v>
      </c>
      <c r="C1394" t="s">
        <v>155</v>
      </c>
      <c r="D1394" t="s">
        <v>294</v>
      </c>
      <c r="E1394">
        <v>38.69</v>
      </c>
      <c r="F1394" t="s">
        <v>324</v>
      </c>
      <c r="G1394" t="s">
        <v>327</v>
      </c>
      <c r="I1394" t="s">
        <v>8</v>
      </c>
      <c r="J1394" t="s">
        <v>46</v>
      </c>
      <c r="K1394" t="s">
        <v>22</v>
      </c>
      <c r="L1394" t="s">
        <v>295</v>
      </c>
      <c r="M1394" t="s">
        <v>296</v>
      </c>
      <c r="N1394">
        <v>2.9000000000000001E-2</v>
      </c>
      <c r="O1394" t="str">
        <f>IF(Transactions_RAW_cleaned[[#This Row],[Status]]="Completed", IFERROR(_xlfn.XLOOKUP(Transactions_RAW_cleaned[[#This Row],[CustomerID]], Customers_cleaned[CustomerID], Customers_cleaned[Segment]), "Customer Not Found"), "N/A")</f>
        <v>SMB</v>
      </c>
      <c r="P1394" s="5" t="str">
        <f>IF(Transactions_RAW_cleaned[[#This Row],[Status]]="Refunded", "Refund",
  IF(Transactions_RAW_cleaned[[#This Row],[Category]]="Payments", IF(Transactions_RAW_cleaned[[#This Row],[Amount]]&gt;500,"High Value","Standard"),
    IF(Transactions_RAW_cleaned[[#This Row],[Amount]]&gt;250,"High Value","Standard")))</f>
        <v>Standard</v>
      </c>
      <c r="Q1394" s="5" t="str">
        <f>IF(Transactions_RAW_cleaned[[#This Row],[Amount]] &gt; (_xlfn.XLOOKUP(Transactions_RAW_cleaned[[#This Row],[ServiceID]],Services_cleaned[ServiceID],Services_cleaned[TransactionFeePct]) * 10000), "Yes", "No")</f>
        <v>No</v>
      </c>
      <c r="R1394" s="5" t="str">
        <f>IF(COUNTIFS($C$2:Transactions_RAW_cleaned[[#This Row],[CustomerID]],Transactions_RAW_cleaned[[#This Row],[CustomerID]],$D$2:Transactions_RAW_cleaned[[#This Row],[ServiceID]],Transactions_RAW_cleaned[[#This Row],[ServiceID]])=1,"Yes","No")</f>
        <v>No</v>
      </c>
      <c r="S139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94" t="str">
        <f>"Q"&amp;ROUNDUP(MONTH(Transactions_RAW_cleaned[[#This Row],[TransactionDate]])/3,0)</f>
        <v>Q2</v>
      </c>
      <c r="U1394" t="str">
        <f>Transactions_RAW_cleaned[[#This Row],[Region ]]&amp;Transactions_RAW_cleaned[[#This Row],[Quarter ]]</f>
        <v>APACQ2</v>
      </c>
      <c r="V1394" s="5">
        <f>_xlfn.XLOOKUP(Transactions_RAW_cleaned[[#This Row],[RegionQuarterKey]], Quarterly_Targets_cleaned[RegionQuarterKey], Quarterly_Targets_cleaned[TargetRevenue])</f>
        <v>110000</v>
      </c>
    </row>
    <row r="1395" spans="1:22" x14ac:dyDescent="0.25">
      <c r="A1395" t="s">
        <v>1727</v>
      </c>
      <c r="B1395" s="1">
        <v>45419</v>
      </c>
      <c r="C1395" t="s">
        <v>396</v>
      </c>
      <c r="D1395" t="s">
        <v>294</v>
      </c>
      <c r="E1395">
        <v>354.5</v>
      </c>
      <c r="F1395" t="s">
        <v>324</v>
      </c>
      <c r="G1395" t="s">
        <v>327</v>
      </c>
      <c r="H1395" t="s">
        <v>332</v>
      </c>
      <c r="I1395" t="s">
        <v>57</v>
      </c>
      <c r="J1395" t="s">
        <v>21</v>
      </c>
      <c r="K1395" t="s">
        <v>2964</v>
      </c>
      <c r="L1395" t="s">
        <v>295</v>
      </c>
      <c r="M1395" t="s">
        <v>296</v>
      </c>
      <c r="N1395">
        <v>2.9000000000000001E-2</v>
      </c>
      <c r="O1395" t="str">
        <f>IF(Transactions_RAW_cleaned[[#This Row],[Status]]="Completed", IFERROR(_xlfn.XLOOKUP(Transactions_RAW_cleaned[[#This Row],[CustomerID]], Customers_cleaned[CustomerID], Customers_cleaned[Segment]), "Customer Not Found"), "N/A")</f>
        <v>Startup</v>
      </c>
      <c r="P1395" s="5" t="str">
        <f>IF(Transactions_RAW_cleaned[[#This Row],[Status]]="Refunded", "Refund",
  IF(Transactions_RAW_cleaned[[#This Row],[Category]]="Payments", IF(Transactions_RAW_cleaned[[#This Row],[Amount]]&gt;500,"High Value","Standard"),
    IF(Transactions_RAW_cleaned[[#This Row],[Amount]]&gt;250,"High Value","Standard")))</f>
        <v>Standard</v>
      </c>
      <c r="Q1395" s="5" t="str">
        <f>IF(Transactions_RAW_cleaned[[#This Row],[Amount]] &gt; (_xlfn.XLOOKUP(Transactions_RAW_cleaned[[#This Row],[ServiceID]],Services_cleaned[ServiceID],Services_cleaned[TransactionFeePct]) * 10000), "Yes", "No")</f>
        <v>Yes</v>
      </c>
      <c r="R1395" s="5" t="str">
        <f>IF(COUNTIFS($C$2:Transactions_RAW_cleaned[[#This Row],[CustomerID]],Transactions_RAW_cleaned[[#This Row],[CustomerID]],$D$2:Transactions_RAW_cleaned[[#This Row],[ServiceID]],Transactions_RAW_cleaned[[#This Row],[ServiceID]])=1,"Yes","No")</f>
        <v>No</v>
      </c>
      <c r="S139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95" t="str">
        <f>"Q"&amp;ROUNDUP(MONTH(Transactions_RAW_cleaned[[#This Row],[TransactionDate]])/3,0)</f>
        <v>Q2</v>
      </c>
      <c r="U1395" t="str">
        <f>Transactions_RAW_cleaned[[#This Row],[Region ]]&amp;Transactions_RAW_cleaned[[#This Row],[Quarter ]]</f>
        <v>APACQ2</v>
      </c>
      <c r="V1395" s="5">
        <f>_xlfn.XLOOKUP(Transactions_RAW_cleaned[[#This Row],[RegionQuarterKey]], Quarterly_Targets_cleaned[RegionQuarterKey], Quarterly_Targets_cleaned[TargetRevenue])</f>
        <v>110000</v>
      </c>
    </row>
    <row r="1396" spans="1:22" x14ac:dyDescent="0.25">
      <c r="A1396" t="s">
        <v>1728</v>
      </c>
      <c r="B1396" s="1">
        <v>45634</v>
      </c>
      <c r="C1396" t="s">
        <v>205</v>
      </c>
      <c r="D1396" t="s">
        <v>315</v>
      </c>
      <c r="E1396">
        <v>368.31</v>
      </c>
      <c r="F1396" t="s">
        <v>324</v>
      </c>
      <c r="G1396" t="s">
        <v>329</v>
      </c>
      <c r="H1396" t="s">
        <v>332</v>
      </c>
      <c r="I1396" t="s">
        <v>8</v>
      </c>
      <c r="J1396" t="s">
        <v>21</v>
      </c>
      <c r="K1396" t="s">
        <v>14</v>
      </c>
      <c r="L1396" t="s">
        <v>316</v>
      </c>
      <c r="M1396" t="s">
        <v>305</v>
      </c>
      <c r="N1396">
        <v>2.5000000000000001E-3</v>
      </c>
      <c r="O1396" t="str">
        <f>IF(Transactions_RAW_cleaned[[#This Row],[Status]]="Completed", IFERROR(_xlfn.XLOOKUP(Transactions_RAW_cleaned[[#This Row],[CustomerID]], Customers_cleaned[CustomerID], Customers_cleaned[Segment]), "Customer Not Found"), "N/A")</f>
        <v>SMB</v>
      </c>
      <c r="P1396" s="5" t="str">
        <f>IF(Transactions_RAW_cleaned[[#This Row],[Status]]="Refunded", "Refund",
  IF(Transactions_RAW_cleaned[[#This Row],[Category]]="Payments", IF(Transactions_RAW_cleaned[[#This Row],[Amount]]&gt;500,"High Value","Standard"),
    IF(Transactions_RAW_cleaned[[#This Row],[Amount]]&gt;250,"High Value","Standard")))</f>
        <v>High Value</v>
      </c>
      <c r="Q1396" s="5" t="str">
        <f>IF(Transactions_RAW_cleaned[[#This Row],[Amount]] &gt; (_xlfn.XLOOKUP(Transactions_RAW_cleaned[[#This Row],[ServiceID]],Services_cleaned[ServiceID],Services_cleaned[TransactionFeePct]) * 10000), "Yes", "No")</f>
        <v>Yes</v>
      </c>
      <c r="R1396" s="5" t="str">
        <f>IF(COUNTIFS($C$2:Transactions_RAW_cleaned[[#This Row],[CustomerID]],Transactions_RAW_cleaned[[#This Row],[CustomerID]],$D$2:Transactions_RAW_cleaned[[#This Row],[ServiceID]],Transactions_RAW_cleaned[[#This Row],[ServiceID]])=1,"Yes","No")</f>
        <v>Yes</v>
      </c>
      <c r="S139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396" t="str">
        <f>"Q"&amp;ROUNDUP(MONTH(Transactions_RAW_cleaned[[#This Row],[TransactionDate]])/3,0)</f>
        <v>Q4</v>
      </c>
      <c r="U1396" t="str">
        <f>Transactions_RAW_cleaned[[#This Row],[Region ]]&amp;Transactions_RAW_cleaned[[#This Row],[Quarter ]]</f>
        <v>APACQ4</v>
      </c>
      <c r="V1396" s="5">
        <f>_xlfn.XLOOKUP(Transactions_RAW_cleaned[[#This Row],[RegionQuarterKey]], Quarterly_Targets_cleaned[RegionQuarterKey], Quarterly_Targets_cleaned[TargetRevenue])</f>
        <v>126500</v>
      </c>
    </row>
    <row r="1397" spans="1:22" x14ac:dyDescent="0.25">
      <c r="A1397" t="s">
        <v>1729</v>
      </c>
      <c r="B1397" s="1">
        <v>45494</v>
      </c>
      <c r="C1397" t="s">
        <v>191</v>
      </c>
      <c r="D1397" t="s">
        <v>294</v>
      </c>
      <c r="E1397">
        <v>818.41</v>
      </c>
      <c r="F1397" t="s">
        <v>324</v>
      </c>
      <c r="G1397" t="s">
        <v>327</v>
      </c>
      <c r="I1397" t="s">
        <v>57</v>
      </c>
      <c r="J1397" t="s">
        <v>31</v>
      </c>
      <c r="K1397" t="s">
        <v>32</v>
      </c>
      <c r="L1397" t="s">
        <v>295</v>
      </c>
      <c r="M1397" t="s">
        <v>296</v>
      </c>
      <c r="N1397">
        <v>2.9000000000000001E-2</v>
      </c>
      <c r="O1397" t="str">
        <f>IF(Transactions_RAW_cleaned[[#This Row],[Status]]="Completed", IFERROR(_xlfn.XLOOKUP(Transactions_RAW_cleaned[[#This Row],[CustomerID]], Customers_cleaned[CustomerID], Customers_cleaned[Segment]), "Customer Not Found"), "N/A")</f>
        <v>Startup</v>
      </c>
      <c r="P1397" s="5" t="str">
        <f>IF(Transactions_RAW_cleaned[[#This Row],[Status]]="Refunded", "Refund",
  IF(Transactions_RAW_cleaned[[#This Row],[Category]]="Payments", IF(Transactions_RAW_cleaned[[#This Row],[Amount]]&gt;500,"High Value","Standard"),
    IF(Transactions_RAW_cleaned[[#This Row],[Amount]]&gt;250,"High Value","Standard")))</f>
        <v>High Value</v>
      </c>
      <c r="Q1397" s="5" t="str">
        <f>IF(Transactions_RAW_cleaned[[#This Row],[Amount]] &gt; (_xlfn.XLOOKUP(Transactions_RAW_cleaned[[#This Row],[ServiceID]],Services_cleaned[ServiceID],Services_cleaned[TransactionFeePct]) * 10000), "Yes", "No")</f>
        <v>Yes</v>
      </c>
      <c r="R1397" s="5" t="str">
        <f>IF(COUNTIFS($C$2:Transactions_RAW_cleaned[[#This Row],[CustomerID]],Transactions_RAW_cleaned[[#This Row],[CustomerID]],$D$2:Transactions_RAW_cleaned[[#This Row],[ServiceID]],Transactions_RAW_cleaned[[#This Row],[ServiceID]])=1,"Yes","No")</f>
        <v>No</v>
      </c>
      <c r="S139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397" t="str">
        <f>"Q"&amp;ROUNDUP(MONTH(Transactions_RAW_cleaned[[#This Row],[TransactionDate]])/3,0)</f>
        <v>Q3</v>
      </c>
      <c r="U1397" t="str">
        <f>Transactions_RAW_cleaned[[#This Row],[Region ]]&amp;Transactions_RAW_cleaned[[#This Row],[Quarter ]]</f>
        <v>EMEAQ3</v>
      </c>
      <c r="V1397" s="5">
        <f>_xlfn.XLOOKUP(Transactions_RAW_cleaned[[#This Row],[RegionQuarterKey]], Quarterly_Targets_cleaned[RegionQuarterKey], Quarterly_Targets_cleaned[TargetRevenue])</f>
        <v>147000</v>
      </c>
    </row>
    <row r="1398" spans="1:22" x14ac:dyDescent="0.25">
      <c r="A1398" t="s">
        <v>1730</v>
      </c>
      <c r="B1398" s="1">
        <v>45370</v>
      </c>
      <c r="C1398" t="s">
        <v>169</v>
      </c>
      <c r="D1398" t="s">
        <v>294</v>
      </c>
      <c r="E1398">
        <v>256.33</v>
      </c>
      <c r="F1398" t="s">
        <v>324</v>
      </c>
      <c r="G1398" t="s">
        <v>327</v>
      </c>
      <c r="I1398" t="s">
        <v>8</v>
      </c>
      <c r="J1398" t="s">
        <v>13</v>
      </c>
      <c r="K1398" t="s">
        <v>32</v>
      </c>
      <c r="L1398" t="s">
        <v>295</v>
      </c>
      <c r="M1398" t="s">
        <v>296</v>
      </c>
      <c r="N1398">
        <v>2.9000000000000001E-2</v>
      </c>
      <c r="O1398" t="str">
        <f>IF(Transactions_RAW_cleaned[[#This Row],[Status]]="Completed", IFERROR(_xlfn.XLOOKUP(Transactions_RAW_cleaned[[#This Row],[CustomerID]], Customers_cleaned[CustomerID], Customers_cleaned[Segment]), "Customer Not Found"), "N/A")</f>
        <v>SMB</v>
      </c>
      <c r="P1398" s="5" t="str">
        <f>IF(Transactions_RAW_cleaned[[#This Row],[Status]]="Refunded", "Refund",
  IF(Transactions_RAW_cleaned[[#This Row],[Category]]="Payments", IF(Transactions_RAW_cleaned[[#This Row],[Amount]]&gt;500,"High Value","Standard"),
    IF(Transactions_RAW_cleaned[[#This Row],[Amount]]&gt;250,"High Value","Standard")))</f>
        <v>Standard</v>
      </c>
      <c r="Q1398" s="5" t="str">
        <f>IF(Transactions_RAW_cleaned[[#This Row],[Amount]] &gt; (_xlfn.XLOOKUP(Transactions_RAW_cleaned[[#This Row],[ServiceID]],Services_cleaned[ServiceID],Services_cleaned[TransactionFeePct]) * 10000), "Yes", "No")</f>
        <v>No</v>
      </c>
      <c r="R1398" s="5" t="str">
        <f>IF(COUNTIFS($C$2:Transactions_RAW_cleaned[[#This Row],[CustomerID]],Transactions_RAW_cleaned[[#This Row],[CustomerID]],$D$2:Transactions_RAW_cleaned[[#This Row],[ServiceID]],Transactions_RAW_cleaned[[#This Row],[ServiceID]])=1,"Yes","No")</f>
        <v>No</v>
      </c>
      <c r="S139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98" t="str">
        <f>"Q"&amp;ROUNDUP(MONTH(Transactions_RAW_cleaned[[#This Row],[TransactionDate]])/3,0)</f>
        <v>Q1</v>
      </c>
      <c r="U1398" t="str">
        <f>Transactions_RAW_cleaned[[#This Row],[Region ]]&amp;Transactions_RAW_cleaned[[#This Row],[Quarter ]]</f>
        <v>NAQ1</v>
      </c>
      <c r="V1398" s="5">
        <f>_xlfn.XLOOKUP(Transactions_RAW_cleaned[[#This Row],[RegionQuarterKey]], Quarterly_Targets_cleaned[RegionQuarterKey], Quarterly_Targets_cleaned[TargetRevenue])</f>
        <v>247000</v>
      </c>
    </row>
    <row r="1399" spans="1:22" x14ac:dyDescent="0.25">
      <c r="A1399" t="s">
        <v>1731</v>
      </c>
      <c r="B1399" s="1">
        <v>45376</v>
      </c>
      <c r="C1399" t="s">
        <v>42</v>
      </c>
      <c r="D1399" t="s">
        <v>303</v>
      </c>
      <c r="E1399">
        <v>838.63</v>
      </c>
      <c r="F1399" t="s">
        <v>324</v>
      </c>
      <c r="G1399" t="s">
        <v>327</v>
      </c>
      <c r="I1399" t="s">
        <v>8</v>
      </c>
      <c r="J1399" t="s">
        <v>102</v>
      </c>
      <c r="K1399" t="s">
        <v>10</v>
      </c>
      <c r="L1399" t="s">
        <v>304</v>
      </c>
      <c r="M1399" t="s">
        <v>305</v>
      </c>
      <c r="N1399">
        <v>1E-3</v>
      </c>
      <c r="O1399" t="str">
        <f>IF(Transactions_RAW_cleaned[[#This Row],[Status]]="Completed", IFERROR(_xlfn.XLOOKUP(Transactions_RAW_cleaned[[#This Row],[CustomerID]], Customers_cleaned[CustomerID], Customers_cleaned[Segment]), "Customer Not Found"), "N/A")</f>
        <v>SMB</v>
      </c>
      <c r="P1399" s="5" t="str">
        <f>IF(Transactions_RAW_cleaned[[#This Row],[Status]]="Refunded", "Refund",
  IF(Transactions_RAW_cleaned[[#This Row],[Category]]="Payments", IF(Transactions_RAW_cleaned[[#This Row],[Amount]]&gt;500,"High Value","Standard"),
    IF(Transactions_RAW_cleaned[[#This Row],[Amount]]&gt;250,"High Value","Standard")))</f>
        <v>High Value</v>
      </c>
      <c r="Q1399" s="5" t="str">
        <f>IF(Transactions_RAW_cleaned[[#This Row],[Amount]] &gt; (_xlfn.XLOOKUP(Transactions_RAW_cleaned[[#This Row],[ServiceID]],Services_cleaned[ServiceID],Services_cleaned[TransactionFeePct]) * 10000), "Yes", "No")</f>
        <v>Yes</v>
      </c>
      <c r="R1399" s="5" t="str">
        <f>IF(COUNTIFS($C$2:Transactions_RAW_cleaned[[#This Row],[CustomerID]],Transactions_RAW_cleaned[[#This Row],[CustomerID]],$D$2:Transactions_RAW_cleaned[[#This Row],[ServiceID]],Transactions_RAW_cleaned[[#This Row],[ServiceID]])=1,"Yes","No")</f>
        <v>No</v>
      </c>
      <c r="S139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399" t="str">
        <f>"Q"&amp;ROUNDUP(MONTH(Transactions_RAW_cleaned[[#This Row],[TransactionDate]])/3,0)</f>
        <v>Q1</v>
      </c>
      <c r="U1399" t="str">
        <f>Transactions_RAW_cleaned[[#This Row],[Region ]]&amp;Transactions_RAW_cleaned[[#This Row],[Quarter ]]</f>
        <v>NAQ1</v>
      </c>
      <c r="V1399" s="5">
        <f>_xlfn.XLOOKUP(Transactions_RAW_cleaned[[#This Row],[RegionQuarterKey]], Quarterly_Targets_cleaned[RegionQuarterKey], Quarterly_Targets_cleaned[TargetRevenue])</f>
        <v>247000</v>
      </c>
    </row>
    <row r="1400" spans="1:22" x14ac:dyDescent="0.25">
      <c r="A1400" t="s">
        <v>1732</v>
      </c>
      <c r="B1400" s="1">
        <v>45351</v>
      </c>
      <c r="C1400" t="s">
        <v>179</v>
      </c>
      <c r="D1400" t="s">
        <v>309</v>
      </c>
      <c r="E1400">
        <v>355.49</v>
      </c>
      <c r="F1400" t="s">
        <v>324</v>
      </c>
      <c r="G1400" t="s">
        <v>2963</v>
      </c>
      <c r="H1400" t="s">
        <v>346</v>
      </c>
      <c r="I1400" t="s">
        <v>8</v>
      </c>
      <c r="J1400" t="s">
        <v>31</v>
      </c>
      <c r="K1400" t="s">
        <v>18</v>
      </c>
      <c r="L1400" t="s">
        <v>310</v>
      </c>
      <c r="M1400" t="s">
        <v>311</v>
      </c>
      <c r="N1400">
        <v>0</v>
      </c>
      <c r="O1400" t="str">
        <f>IF(Transactions_RAW_cleaned[[#This Row],[Status]]="Completed", IFERROR(_xlfn.XLOOKUP(Transactions_RAW_cleaned[[#This Row],[CustomerID]], Customers_cleaned[CustomerID], Customers_cleaned[Segment]), "Customer Not Found"), "N/A")</f>
        <v>SMB</v>
      </c>
      <c r="P1400" s="5" t="str">
        <f>IF(Transactions_RAW_cleaned[[#This Row],[Status]]="Refunded", "Refund",
  IF(Transactions_RAW_cleaned[[#This Row],[Category]]="Payments", IF(Transactions_RAW_cleaned[[#This Row],[Amount]]&gt;500,"High Value","Standard"),
    IF(Transactions_RAW_cleaned[[#This Row],[Amount]]&gt;250,"High Value","Standard")))</f>
        <v>High Value</v>
      </c>
      <c r="Q1400" s="5" t="str">
        <f>IF(Transactions_RAW_cleaned[[#This Row],[Amount]] &gt; (_xlfn.XLOOKUP(Transactions_RAW_cleaned[[#This Row],[ServiceID]],Services_cleaned[ServiceID],Services_cleaned[TransactionFeePct]) * 10000), "Yes", "No")</f>
        <v>Yes</v>
      </c>
      <c r="R1400" s="5" t="str">
        <f>IF(COUNTIFS($C$2:Transactions_RAW_cleaned[[#This Row],[CustomerID]],Transactions_RAW_cleaned[[#This Row],[CustomerID]],$D$2:Transactions_RAW_cleaned[[#This Row],[ServiceID]],Transactions_RAW_cleaned[[#This Row],[ServiceID]])=1,"Yes","No")</f>
        <v>Yes</v>
      </c>
      <c r="S140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00" t="str">
        <f>"Q"&amp;ROUNDUP(MONTH(Transactions_RAW_cleaned[[#This Row],[TransactionDate]])/3,0)</f>
        <v>Q1</v>
      </c>
      <c r="U1400" t="str">
        <f>Transactions_RAW_cleaned[[#This Row],[Region ]]&amp;Transactions_RAW_cleaned[[#This Row],[Quarter ]]</f>
        <v>EMEAQ1</v>
      </c>
      <c r="V1400" s="5">
        <f>_xlfn.XLOOKUP(Transactions_RAW_cleaned[[#This Row],[RegionQuarterKey]], Quarterly_Targets_cleaned[RegionQuarterKey], Quarterly_Targets_cleaned[TargetRevenue])</f>
        <v>133000</v>
      </c>
    </row>
    <row r="1401" spans="1:22" x14ac:dyDescent="0.25">
      <c r="A1401" t="s">
        <v>1733</v>
      </c>
      <c r="B1401" s="1">
        <v>45458</v>
      </c>
      <c r="C1401" t="s">
        <v>189</v>
      </c>
      <c r="D1401" t="s">
        <v>300</v>
      </c>
      <c r="E1401">
        <v>737.6</v>
      </c>
      <c r="F1401" t="s">
        <v>324</v>
      </c>
      <c r="G1401" t="s">
        <v>327</v>
      </c>
      <c r="H1401" t="s">
        <v>346</v>
      </c>
      <c r="I1401" t="s">
        <v>17</v>
      </c>
      <c r="J1401" t="s">
        <v>102</v>
      </c>
      <c r="K1401" t="s">
        <v>14</v>
      </c>
      <c r="L1401" t="s">
        <v>301</v>
      </c>
      <c r="M1401" t="s">
        <v>302</v>
      </c>
      <c r="N1401">
        <v>5.0000000000000001E-3</v>
      </c>
      <c r="O1401" t="str">
        <f>IF(Transactions_RAW_cleaned[[#This Row],[Status]]="Completed", IFERROR(_xlfn.XLOOKUP(Transactions_RAW_cleaned[[#This Row],[CustomerID]], Customers_cleaned[CustomerID], Customers_cleaned[Segment]), "Customer Not Found"), "N/A")</f>
        <v>Enterprise</v>
      </c>
      <c r="P1401" s="5" t="str">
        <f>IF(Transactions_RAW_cleaned[[#This Row],[Status]]="Refunded", "Refund",
  IF(Transactions_RAW_cleaned[[#This Row],[Category]]="Payments", IF(Transactions_RAW_cleaned[[#This Row],[Amount]]&gt;500,"High Value","Standard"),
    IF(Transactions_RAW_cleaned[[#This Row],[Amount]]&gt;250,"High Value","Standard")))</f>
        <v>High Value</v>
      </c>
      <c r="Q1401" s="5" t="str">
        <f>IF(Transactions_RAW_cleaned[[#This Row],[Amount]] &gt; (_xlfn.XLOOKUP(Transactions_RAW_cleaned[[#This Row],[ServiceID]],Services_cleaned[ServiceID],Services_cleaned[TransactionFeePct]) * 10000), "Yes", "No")</f>
        <v>Yes</v>
      </c>
      <c r="R1401" s="5" t="str">
        <f>IF(COUNTIFS($C$2:Transactions_RAW_cleaned[[#This Row],[CustomerID]],Transactions_RAW_cleaned[[#This Row],[CustomerID]],$D$2:Transactions_RAW_cleaned[[#This Row],[ServiceID]],Transactions_RAW_cleaned[[#This Row],[ServiceID]])=1,"Yes","No")</f>
        <v>Yes</v>
      </c>
      <c r="S140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01" t="str">
        <f>"Q"&amp;ROUNDUP(MONTH(Transactions_RAW_cleaned[[#This Row],[TransactionDate]])/3,0)</f>
        <v>Q2</v>
      </c>
      <c r="U1401" t="str">
        <f>Transactions_RAW_cleaned[[#This Row],[Region ]]&amp;Transactions_RAW_cleaned[[#This Row],[Quarter ]]</f>
        <v>NAQ2</v>
      </c>
      <c r="V1401" s="5">
        <f>_xlfn.XLOOKUP(Transactions_RAW_cleaned[[#This Row],[RegionQuarterKey]], Quarterly_Targets_cleaned[RegionQuarterKey], Quarterly_Targets_cleaned[TargetRevenue])</f>
        <v>260000</v>
      </c>
    </row>
    <row r="1402" spans="1:22" x14ac:dyDescent="0.25">
      <c r="A1402" t="s">
        <v>1734</v>
      </c>
      <c r="B1402" s="1">
        <v>45567</v>
      </c>
      <c r="C1402" t="s">
        <v>396</v>
      </c>
      <c r="D1402" t="s">
        <v>294</v>
      </c>
      <c r="E1402">
        <v>249.01</v>
      </c>
      <c r="F1402" t="s">
        <v>324</v>
      </c>
      <c r="G1402" t="s">
        <v>329</v>
      </c>
      <c r="I1402" t="s">
        <v>57</v>
      </c>
      <c r="J1402" t="s">
        <v>21</v>
      </c>
      <c r="K1402" t="s">
        <v>2964</v>
      </c>
      <c r="L1402" t="s">
        <v>295</v>
      </c>
      <c r="M1402" t="s">
        <v>296</v>
      </c>
      <c r="N1402">
        <v>2.9000000000000001E-2</v>
      </c>
      <c r="O1402" t="str">
        <f>IF(Transactions_RAW_cleaned[[#This Row],[Status]]="Completed", IFERROR(_xlfn.XLOOKUP(Transactions_RAW_cleaned[[#This Row],[CustomerID]], Customers_cleaned[CustomerID], Customers_cleaned[Segment]), "Customer Not Found"), "N/A")</f>
        <v>Startup</v>
      </c>
      <c r="P1402" s="5" t="str">
        <f>IF(Transactions_RAW_cleaned[[#This Row],[Status]]="Refunded", "Refund",
  IF(Transactions_RAW_cleaned[[#This Row],[Category]]="Payments", IF(Transactions_RAW_cleaned[[#This Row],[Amount]]&gt;500,"High Value","Standard"),
    IF(Transactions_RAW_cleaned[[#This Row],[Amount]]&gt;250,"High Value","Standard")))</f>
        <v>Standard</v>
      </c>
      <c r="Q1402" s="5" t="str">
        <f>IF(Transactions_RAW_cleaned[[#This Row],[Amount]] &gt; (_xlfn.XLOOKUP(Transactions_RAW_cleaned[[#This Row],[ServiceID]],Services_cleaned[ServiceID],Services_cleaned[TransactionFeePct]) * 10000), "Yes", "No")</f>
        <v>No</v>
      </c>
      <c r="R1402" s="5" t="str">
        <f>IF(COUNTIFS($C$2:Transactions_RAW_cleaned[[#This Row],[CustomerID]],Transactions_RAW_cleaned[[#This Row],[CustomerID]],$D$2:Transactions_RAW_cleaned[[#This Row],[ServiceID]],Transactions_RAW_cleaned[[#This Row],[ServiceID]])=1,"Yes","No")</f>
        <v>No</v>
      </c>
      <c r="S140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02" t="str">
        <f>"Q"&amp;ROUNDUP(MONTH(Transactions_RAW_cleaned[[#This Row],[TransactionDate]])/3,0)</f>
        <v>Q4</v>
      </c>
      <c r="U1402" t="str">
        <f>Transactions_RAW_cleaned[[#This Row],[Region ]]&amp;Transactions_RAW_cleaned[[#This Row],[Quarter ]]</f>
        <v>APACQ4</v>
      </c>
      <c r="V1402" s="5">
        <f>_xlfn.XLOOKUP(Transactions_RAW_cleaned[[#This Row],[RegionQuarterKey]], Quarterly_Targets_cleaned[RegionQuarterKey], Quarterly_Targets_cleaned[TargetRevenue])</f>
        <v>126500</v>
      </c>
    </row>
    <row r="1403" spans="1:22" x14ac:dyDescent="0.25">
      <c r="A1403" t="s">
        <v>1735</v>
      </c>
      <c r="B1403" s="1">
        <v>45304</v>
      </c>
      <c r="C1403" t="s">
        <v>187</v>
      </c>
      <c r="D1403" t="s">
        <v>303</v>
      </c>
      <c r="E1403">
        <v>196.16</v>
      </c>
      <c r="F1403" t="s">
        <v>324</v>
      </c>
      <c r="G1403" t="s">
        <v>325</v>
      </c>
      <c r="H1403" t="s">
        <v>332</v>
      </c>
      <c r="I1403" t="s">
        <v>57</v>
      </c>
      <c r="J1403" t="s">
        <v>21</v>
      </c>
      <c r="K1403" t="s">
        <v>28</v>
      </c>
      <c r="L1403" t="s">
        <v>304</v>
      </c>
      <c r="M1403" t="s">
        <v>305</v>
      </c>
      <c r="N1403">
        <v>1E-3</v>
      </c>
      <c r="O1403" t="str">
        <f>IF(Transactions_RAW_cleaned[[#This Row],[Status]]="Completed", IFERROR(_xlfn.XLOOKUP(Transactions_RAW_cleaned[[#This Row],[CustomerID]], Customers_cleaned[CustomerID], Customers_cleaned[Segment]), "Customer Not Found"), "N/A")</f>
        <v>Startup</v>
      </c>
      <c r="P1403" s="5" t="str">
        <f>IF(Transactions_RAW_cleaned[[#This Row],[Status]]="Refunded", "Refund",
  IF(Transactions_RAW_cleaned[[#This Row],[Category]]="Payments", IF(Transactions_RAW_cleaned[[#This Row],[Amount]]&gt;500,"High Value","Standard"),
    IF(Transactions_RAW_cleaned[[#This Row],[Amount]]&gt;250,"High Value","Standard")))</f>
        <v>Standard</v>
      </c>
      <c r="Q1403" s="5" t="str">
        <f>IF(Transactions_RAW_cleaned[[#This Row],[Amount]] &gt; (_xlfn.XLOOKUP(Transactions_RAW_cleaned[[#This Row],[ServiceID]],Services_cleaned[ServiceID],Services_cleaned[TransactionFeePct]) * 10000), "Yes", "No")</f>
        <v>Yes</v>
      </c>
      <c r="R1403" s="5" t="str">
        <f>IF(COUNTIFS($C$2:Transactions_RAW_cleaned[[#This Row],[CustomerID]],Transactions_RAW_cleaned[[#This Row],[CustomerID]],$D$2:Transactions_RAW_cleaned[[#This Row],[ServiceID]],Transactions_RAW_cleaned[[#This Row],[ServiceID]])=1,"Yes","No")</f>
        <v>No</v>
      </c>
      <c r="S140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03" t="str">
        <f>"Q"&amp;ROUNDUP(MONTH(Transactions_RAW_cleaned[[#This Row],[TransactionDate]])/3,0)</f>
        <v>Q1</v>
      </c>
      <c r="U1403" t="str">
        <f>Transactions_RAW_cleaned[[#This Row],[Region ]]&amp;Transactions_RAW_cleaned[[#This Row],[Quarter ]]</f>
        <v>APACQ1</v>
      </c>
      <c r="V1403" s="5">
        <f>_xlfn.XLOOKUP(Transactions_RAW_cleaned[[#This Row],[RegionQuarterKey]], Quarterly_Targets_cleaned[RegionQuarterKey], Quarterly_Targets_cleaned[TargetRevenue])</f>
        <v>104500</v>
      </c>
    </row>
    <row r="1404" spans="1:22" x14ac:dyDescent="0.25">
      <c r="A1404" t="s">
        <v>1736</v>
      </c>
      <c r="B1404" s="1">
        <v>45642</v>
      </c>
      <c r="C1404" t="s">
        <v>98</v>
      </c>
      <c r="D1404" t="s">
        <v>315</v>
      </c>
      <c r="E1404">
        <v>166.3</v>
      </c>
      <c r="F1404" t="s">
        <v>324</v>
      </c>
      <c r="G1404" t="s">
        <v>325</v>
      </c>
      <c r="H1404" t="s">
        <v>346</v>
      </c>
      <c r="I1404" t="s">
        <v>8</v>
      </c>
      <c r="J1404" t="s">
        <v>37</v>
      </c>
      <c r="K1404" t="s">
        <v>18</v>
      </c>
      <c r="L1404" t="s">
        <v>316</v>
      </c>
      <c r="M1404" t="s">
        <v>305</v>
      </c>
      <c r="N1404">
        <v>2.5000000000000001E-3</v>
      </c>
      <c r="O1404" t="str">
        <f>IF(Transactions_RAW_cleaned[[#This Row],[Status]]="Completed", IFERROR(_xlfn.XLOOKUP(Transactions_RAW_cleaned[[#This Row],[CustomerID]], Customers_cleaned[CustomerID], Customers_cleaned[Segment]), "Customer Not Found"), "N/A")</f>
        <v>SMB</v>
      </c>
      <c r="P1404" s="5" t="str">
        <f>IF(Transactions_RAW_cleaned[[#This Row],[Status]]="Refunded", "Refund",
  IF(Transactions_RAW_cleaned[[#This Row],[Category]]="Payments", IF(Transactions_RAW_cleaned[[#This Row],[Amount]]&gt;500,"High Value","Standard"),
    IF(Transactions_RAW_cleaned[[#This Row],[Amount]]&gt;250,"High Value","Standard")))</f>
        <v>Standard</v>
      </c>
      <c r="Q1404" s="5" t="str">
        <f>IF(Transactions_RAW_cleaned[[#This Row],[Amount]] &gt; (_xlfn.XLOOKUP(Transactions_RAW_cleaned[[#This Row],[ServiceID]],Services_cleaned[ServiceID],Services_cleaned[TransactionFeePct]) * 10000), "Yes", "No")</f>
        <v>Yes</v>
      </c>
      <c r="R1404" s="5" t="str">
        <f>IF(COUNTIFS($C$2:Transactions_RAW_cleaned[[#This Row],[CustomerID]],Transactions_RAW_cleaned[[#This Row],[CustomerID]],$D$2:Transactions_RAW_cleaned[[#This Row],[ServiceID]],Transactions_RAW_cleaned[[#This Row],[ServiceID]])=1,"Yes","No")</f>
        <v>No</v>
      </c>
      <c r="S140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04" t="str">
        <f>"Q"&amp;ROUNDUP(MONTH(Transactions_RAW_cleaned[[#This Row],[TransactionDate]])/3,0)</f>
        <v>Q4</v>
      </c>
      <c r="U1404" t="str">
        <f>Transactions_RAW_cleaned[[#This Row],[Region ]]&amp;Transactions_RAW_cleaned[[#This Row],[Quarter ]]</f>
        <v>EMEAQ4</v>
      </c>
      <c r="V1404" s="5">
        <f>_xlfn.XLOOKUP(Transactions_RAW_cleaned[[#This Row],[RegionQuarterKey]], Quarterly_Targets_cleaned[RegionQuarterKey], Quarterly_Targets_cleaned[TargetRevenue])</f>
        <v>161000</v>
      </c>
    </row>
    <row r="1405" spans="1:22" x14ac:dyDescent="0.25">
      <c r="A1405" t="s">
        <v>1737</v>
      </c>
      <c r="B1405" s="1">
        <v>45432</v>
      </c>
      <c r="C1405" t="s">
        <v>42</v>
      </c>
      <c r="D1405" t="s">
        <v>297</v>
      </c>
      <c r="E1405">
        <v>294.85000000000002</v>
      </c>
      <c r="F1405" t="s">
        <v>324</v>
      </c>
      <c r="G1405" t="s">
        <v>327</v>
      </c>
      <c r="H1405" t="s">
        <v>346</v>
      </c>
      <c r="I1405" t="s">
        <v>8</v>
      </c>
      <c r="J1405" t="s">
        <v>102</v>
      </c>
      <c r="K1405" t="s">
        <v>10</v>
      </c>
      <c r="L1405" t="s">
        <v>298</v>
      </c>
      <c r="M1405" t="s">
        <v>299</v>
      </c>
      <c r="N1405">
        <v>0</v>
      </c>
      <c r="O1405" t="str">
        <f>IF(Transactions_RAW_cleaned[[#This Row],[Status]]="Completed", IFERROR(_xlfn.XLOOKUP(Transactions_RAW_cleaned[[#This Row],[CustomerID]], Customers_cleaned[CustomerID], Customers_cleaned[Segment]), "Customer Not Found"), "N/A")</f>
        <v>SMB</v>
      </c>
      <c r="P1405" s="5" t="str">
        <f>IF(Transactions_RAW_cleaned[[#This Row],[Status]]="Refunded", "Refund",
  IF(Transactions_RAW_cleaned[[#This Row],[Category]]="Payments", IF(Transactions_RAW_cleaned[[#This Row],[Amount]]&gt;500,"High Value","Standard"),
    IF(Transactions_RAW_cleaned[[#This Row],[Amount]]&gt;250,"High Value","Standard")))</f>
        <v>High Value</v>
      </c>
      <c r="Q1405" s="5" t="str">
        <f>IF(Transactions_RAW_cleaned[[#This Row],[Amount]] &gt; (_xlfn.XLOOKUP(Transactions_RAW_cleaned[[#This Row],[ServiceID]],Services_cleaned[ServiceID],Services_cleaned[TransactionFeePct]) * 10000), "Yes", "No")</f>
        <v>Yes</v>
      </c>
      <c r="R1405" s="5" t="str">
        <f>IF(COUNTIFS($C$2:Transactions_RAW_cleaned[[#This Row],[CustomerID]],Transactions_RAW_cleaned[[#This Row],[CustomerID]],$D$2:Transactions_RAW_cleaned[[#This Row],[ServiceID]],Transactions_RAW_cleaned[[#This Row],[ServiceID]])=1,"Yes","No")</f>
        <v>Yes</v>
      </c>
      <c r="S140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05" t="str">
        <f>"Q"&amp;ROUNDUP(MONTH(Transactions_RAW_cleaned[[#This Row],[TransactionDate]])/3,0)</f>
        <v>Q2</v>
      </c>
      <c r="U1405" t="str">
        <f>Transactions_RAW_cleaned[[#This Row],[Region ]]&amp;Transactions_RAW_cleaned[[#This Row],[Quarter ]]</f>
        <v>NAQ2</v>
      </c>
      <c r="V1405" s="5">
        <f>_xlfn.XLOOKUP(Transactions_RAW_cleaned[[#This Row],[RegionQuarterKey]], Quarterly_Targets_cleaned[RegionQuarterKey], Quarterly_Targets_cleaned[TargetRevenue])</f>
        <v>260000</v>
      </c>
    </row>
    <row r="1406" spans="1:22" x14ac:dyDescent="0.25">
      <c r="A1406" t="s">
        <v>1738</v>
      </c>
      <c r="B1406" s="1">
        <v>45593</v>
      </c>
      <c r="C1406" t="s">
        <v>135</v>
      </c>
      <c r="D1406" t="s">
        <v>312</v>
      </c>
      <c r="E1406">
        <v>939.62</v>
      </c>
      <c r="F1406" t="s">
        <v>324</v>
      </c>
      <c r="G1406" t="s">
        <v>327</v>
      </c>
      <c r="H1406" t="s">
        <v>332</v>
      </c>
      <c r="I1406" t="s">
        <v>8</v>
      </c>
      <c r="J1406" t="s">
        <v>46</v>
      </c>
      <c r="K1406" t="s">
        <v>10</v>
      </c>
      <c r="L1406" t="s">
        <v>313</v>
      </c>
      <c r="M1406" t="s">
        <v>314</v>
      </c>
      <c r="N1406">
        <v>0</v>
      </c>
      <c r="O1406" t="str">
        <f>IF(Transactions_RAW_cleaned[[#This Row],[Status]]="Completed", IFERROR(_xlfn.XLOOKUP(Transactions_RAW_cleaned[[#This Row],[CustomerID]], Customers_cleaned[CustomerID], Customers_cleaned[Segment]), "Customer Not Found"), "N/A")</f>
        <v>SMB</v>
      </c>
      <c r="P1406" s="5" t="str">
        <f>IF(Transactions_RAW_cleaned[[#This Row],[Status]]="Refunded", "Refund",
  IF(Transactions_RAW_cleaned[[#This Row],[Category]]="Payments", IF(Transactions_RAW_cleaned[[#This Row],[Amount]]&gt;500,"High Value","Standard"),
    IF(Transactions_RAW_cleaned[[#This Row],[Amount]]&gt;250,"High Value","Standard")))</f>
        <v>High Value</v>
      </c>
      <c r="Q1406" s="5" t="str">
        <f>IF(Transactions_RAW_cleaned[[#This Row],[Amount]] &gt; (_xlfn.XLOOKUP(Transactions_RAW_cleaned[[#This Row],[ServiceID]],Services_cleaned[ServiceID],Services_cleaned[TransactionFeePct]) * 10000), "Yes", "No")</f>
        <v>Yes</v>
      </c>
      <c r="R1406" s="5" t="str">
        <f>IF(COUNTIFS($C$2:Transactions_RAW_cleaned[[#This Row],[CustomerID]],Transactions_RAW_cleaned[[#This Row],[CustomerID]],$D$2:Transactions_RAW_cleaned[[#This Row],[ServiceID]],Transactions_RAW_cleaned[[#This Row],[ServiceID]])=1,"Yes","No")</f>
        <v>No</v>
      </c>
      <c r="S140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06" t="str">
        <f>"Q"&amp;ROUNDUP(MONTH(Transactions_RAW_cleaned[[#This Row],[TransactionDate]])/3,0)</f>
        <v>Q4</v>
      </c>
      <c r="U1406" t="str">
        <f>Transactions_RAW_cleaned[[#This Row],[Region ]]&amp;Transactions_RAW_cleaned[[#This Row],[Quarter ]]</f>
        <v>APACQ4</v>
      </c>
      <c r="V1406" s="5">
        <f>_xlfn.XLOOKUP(Transactions_RAW_cleaned[[#This Row],[RegionQuarterKey]], Quarterly_Targets_cleaned[RegionQuarterKey], Quarterly_Targets_cleaned[TargetRevenue])</f>
        <v>126500</v>
      </c>
    </row>
    <row r="1407" spans="1:22" x14ac:dyDescent="0.25">
      <c r="A1407" t="s">
        <v>1739</v>
      </c>
      <c r="B1407" s="1">
        <v>45511</v>
      </c>
      <c r="C1407" t="s">
        <v>215</v>
      </c>
      <c r="D1407" t="s">
        <v>297</v>
      </c>
      <c r="E1407">
        <v>278.43</v>
      </c>
      <c r="F1407" t="s">
        <v>324</v>
      </c>
      <c r="G1407" t="s">
        <v>325</v>
      </c>
      <c r="I1407" t="s">
        <v>57</v>
      </c>
      <c r="J1407" t="s">
        <v>102</v>
      </c>
      <c r="K1407" t="s">
        <v>14</v>
      </c>
      <c r="L1407" t="s">
        <v>298</v>
      </c>
      <c r="M1407" t="s">
        <v>299</v>
      </c>
      <c r="N1407">
        <v>0</v>
      </c>
      <c r="O1407" t="str">
        <f>IF(Transactions_RAW_cleaned[[#This Row],[Status]]="Completed", IFERROR(_xlfn.XLOOKUP(Transactions_RAW_cleaned[[#This Row],[CustomerID]], Customers_cleaned[CustomerID], Customers_cleaned[Segment]), "Customer Not Found"), "N/A")</f>
        <v>Startup</v>
      </c>
      <c r="P1407" s="5" t="str">
        <f>IF(Transactions_RAW_cleaned[[#This Row],[Status]]="Refunded", "Refund",
  IF(Transactions_RAW_cleaned[[#This Row],[Category]]="Payments", IF(Transactions_RAW_cleaned[[#This Row],[Amount]]&gt;500,"High Value","Standard"),
    IF(Transactions_RAW_cleaned[[#This Row],[Amount]]&gt;250,"High Value","Standard")))</f>
        <v>High Value</v>
      </c>
      <c r="Q1407" s="5" t="str">
        <f>IF(Transactions_RAW_cleaned[[#This Row],[Amount]] &gt; (_xlfn.XLOOKUP(Transactions_RAW_cleaned[[#This Row],[ServiceID]],Services_cleaned[ServiceID],Services_cleaned[TransactionFeePct]) * 10000), "Yes", "No")</f>
        <v>Yes</v>
      </c>
      <c r="R1407" s="5" t="str">
        <f>IF(COUNTIFS($C$2:Transactions_RAW_cleaned[[#This Row],[CustomerID]],Transactions_RAW_cleaned[[#This Row],[CustomerID]],$D$2:Transactions_RAW_cleaned[[#This Row],[ServiceID]],Transactions_RAW_cleaned[[#This Row],[ServiceID]])=1,"Yes","No")</f>
        <v>No</v>
      </c>
      <c r="S140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07" t="str">
        <f>"Q"&amp;ROUNDUP(MONTH(Transactions_RAW_cleaned[[#This Row],[TransactionDate]])/3,0)</f>
        <v>Q3</v>
      </c>
      <c r="U1407" t="str">
        <f>Transactions_RAW_cleaned[[#This Row],[Region ]]&amp;Transactions_RAW_cleaned[[#This Row],[Quarter ]]</f>
        <v>NAQ3</v>
      </c>
      <c r="V1407" s="5">
        <f>_xlfn.XLOOKUP(Transactions_RAW_cleaned[[#This Row],[RegionQuarterKey]], Quarterly_Targets_cleaned[RegionQuarterKey], Quarterly_Targets_cleaned[TargetRevenue])</f>
        <v>273000</v>
      </c>
    </row>
    <row r="1408" spans="1:22" x14ac:dyDescent="0.25">
      <c r="A1408" t="s">
        <v>1740</v>
      </c>
      <c r="B1408" s="1">
        <v>45532</v>
      </c>
      <c r="C1408" t="s">
        <v>191</v>
      </c>
      <c r="D1408" t="s">
        <v>294</v>
      </c>
      <c r="E1408">
        <v>270.76</v>
      </c>
      <c r="F1408" t="s">
        <v>324</v>
      </c>
      <c r="G1408" t="s">
        <v>337</v>
      </c>
      <c r="H1408" t="s">
        <v>346</v>
      </c>
      <c r="I1408" t="s">
        <v>57</v>
      </c>
      <c r="J1408" t="s">
        <v>31</v>
      </c>
      <c r="K1408" t="s">
        <v>32</v>
      </c>
      <c r="L1408" t="s">
        <v>295</v>
      </c>
      <c r="M1408" t="s">
        <v>296</v>
      </c>
      <c r="N1408">
        <v>2.9000000000000001E-2</v>
      </c>
      <c r="O1408" t="str">
        <f>IF(Transactions_RAW_cleaned[[#This Row],[Status]]="Completed", IFERROR(_xlfn.XLOOKUP(Transactions_RAW_cleaned[[#This Row],[CustomerID]], Customers_cleaned[CustomerID], Customers_cleaned[Segment]), "Customer Not Found"), "N/A")</f>
        <v>Startup</v>
      </c>
      <c r="P1408" s="5" t="str">
        <f>IF(Transactions_RAW_cleaned[[#This Row],[Status]]="Refunded", "Refund",
  IF(Transactions_RAW_cleaned[[#This Row],[Category]]="Payments", IF(Transactions_RAW_cleaned[[#This Row],[Amount]]&gt;500,"High Value","Standard"),
    IF(Transactions_RAW_cleaned[[#This Row],[Amount]]&gt;250,"High Value","Standard")))</f>
        <v>Standard</v>
      </c>
      <c r="Q1408" s="5" t="str">
        <f>IF(Transactions_RAW_cleaned[[#This Row],[Amount]] &gt; (_xlfn.XLOOKUP(Transactions_RAW_cleaned[[#This Row],[ServiceID]],Services_cleaned[ServiceID],Services_cleaned[TransactionFeePct]) * 10000), "Yes", "No")</f>
        <v>No</v>
      </c>
      <c r="R1408" s="5" t="str">
        <f>IF(COUNTIFS($C$2:Transactions_RAW_cleaned[[#This Row],[CustomerID]],Transactions_RAW_cleaned[[#This Row],[CustomerID]],$D$2:Transactions_RAW_cleaned[[#This Row],[ServiceID]],Transactions_RAW_cleaned[[#This Row],[ServiceID]])=1,"Yes","No")</f>
        <v>No</v>
      </c>
      <c r="S140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08" t="str">
        <f>"Q"&amp;ROUNDUP(MONTH(Transactions_RAW_cleaned[[#This Row],[TransactionDate]])/3,0)</f>
        <v>Q3</v>
      </c>
      <c r="U1408" t="str">
        <f>Transactions_RAW_cleaned[[#This Row],[Region ]]&amp;Transactions_RAW_cleaned[[#This Row],[Quarter ]]</f>
        <v>EMEAQ3</v>
      </c>
      <c r="V1408" s="5">
        <f>_xlfn.XLOOKUP(Transactions_RAW_cleaned[[#This Row],[RegionQuarterKey]], Quarterly_Targets_cleaned[RegionQuarterKey], Quarterly_Targets_cleaned[TargetRevenue])</f>
        <v>147000</v>
      </c>
    </row>
    <row r="1409" spans="1:22" x14ac:dyDescent="0.25">
      <c r="A1409" t="s">
        <v>1741</v>
      </c>
      <c r="B1409" s="1">
        <v>45331</v>
      </c>
      <c r="C1409" t="s">
        <v>100</v>
      </c>
      <c r="D1409" t="s">
        <v>300</v>
      </c>
      <c r="E1409">
        <v>12.65</v>
      </c>
      <c r="F1409" t="s">
        <v>324</v>
      </c>
      <c r="G1409" t="s">
        <v>325</v>
      </c>
      <c r="H1409" t="s">
        <v>332</v>
      </c>
      <c r="I1409" t="s">
        <v>8</v>
      </c>
      <c r="J1409" t="s">
        <v>102</v>
      </c>
      <c r="K1409" t="s">
        <v>22</v>
      </c>
      <c r="L1409" t="s">
        <v>301</v>
      </c>
      <c r="M1409" t="s">
        <v>302</v>
      </c>
      <c r="N1409">
        <v>5.0000000000000001E-3</v>
      </c>
      <c r="O1409" t="str">
        <f>IF(Transactions_RAW_cleaned[[#This Row],[Status]]="Completed", IFERROR(_xlfn.XLOOKUP(Transactions_RAW_cleaned[[#This Row],[CustomerID]], Customers_cleaned[CustomerID], Customers_cleaned[Segment]), "Customer Not Found"), "N/A")</f>
        <v>SMB</v>
      </c>
      <c r="P1409" s="5" t="str">
        <f>IF(Transactions_RAW_cleaned[[#This Row],[Status]]="Refunded", "Refund",
  IF(Transactions_RAW_cleaned[[#This Row],[Category]]="Payments", IF(Transactions_RAW_cleaned[[#This Row],[Amount]]&gt;500,"High Value","Standard"),
    IF(Transactions_RAW_cleaned[[#This Row],[Amount]]&gt;250,"High Value","Standard")))</f>
        <v>Standard</v>
      </c>
      <c r="Q1409" s="5" t="str">
        <f>IF(Transactions_RAW_cleaned[[#This Row],[Amount]] &gt; (_xlfn.XLOOKUP(Transactions_RAW_cleaned[[#This Row],[ServiceID]],Services_cleaned[ServiceID],Services_cleaned[TransactionFeePct]) * 10000), "Yes", "No")</f>
        <v>No</v>
      </c>
      <c r="R1409" s="5" t="str">
        <f>IF(COUNTIFS($C$2:Transactions_RAW_cleaned[[#This Row],[CustomerID]],Transactions_RAW_cleaned[[#This Row],[CustomerID]],$D$2:Transactions_RAW_cleaned[[#This Row],[ServiceID]],Transactions_RAW_cleaned[[#This Row],[ServiceID]])=1,"Yes","No")</f>
        <v>No</v>
      </c>
      <c r="S140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09" t="str">
        <f>"Q"&amp;ROUNDUP(MONTH(Transactions_RAW_cleaned[[#This Row],[TransactionDate]])/3,0)</f>
        <v>Q1</v>
      </c>
      <c r="U1409" t="str">
        <f>Transactions_RAW_cleaned[[#This Row],[Region ]]&amp;Transactions_RAW_cleaned[[#This Row],[Quarter ]]</f>
        <v>NAQ1</v>
      </c>
      <c r="V1409" s="5">
        <f>_xlfn.XLOOKUP(Transactions_RAW_cleaned[[#This Row],[RegionQuarterKey]], Quarterly_Targets_cleaned[RegionQuarterKey], Quarterly_Targets_cleaned[TargetRevenue])</f>
        <v>247000</v>
      </c>
    </row>
    <row r="1410" spans="1:22" x14ac:dyDescent="0.25">
      <c r="A1410" t="s">
        <v>1742</v>
      </c>
      <c r="B1410" s="1">
        <v>45328</v>
      </c>
      <c r="C1410" t="s">
        <v>173</v>
      </c>
      <c r="D1410" t="s">
        <v>300</v>
      </c>
      <c r="E1410">
        <v>253.81</v>
      </c>
      <c r="F1410" t="s">
        <v>324</v>
      </c>
      <c r="G1410" t="s">
        <v>337</v>
      </c>
      <c r="I1410" t="s">
        <v>8</v>
      </c>
      <c r="J1410" t="s">
        <v>46</v>
      </c>
      <c r="K1410" t="s">
        <v>32</v>
      </c>
      <c r="L1410" t="s">
        <v>301</v>
      </c>
      <c r="M1410" t="s">
        <v>302</v>
      </c>
      <c r="N1410">
        <v>5.0000000000000001E-3</v>
      </c>
      <c r="O1410" t="str">
        <f>IF(Transactions_RAW_cleaned[[#This Row],[Status]]="Completed", IFERROR(_xlfn.XLOOKUP(Transactions_RAW_cleaned[[#This Row],[CustomerID]], Customers_cleaned[CustomerID], Customers_cleaned[Segment]), "Customer Not Found"), "N/A")</f>
        <v>SMB</v>
      </c>
      <c r="P1410" s="5" t="str">
        <f>IF(Transactions_RAW_cleaned[[#This Row],[Status]]="Refunded", "Refund",
  IF(Transactions_RAW_cleaned[[#This Row],[Category]]="Payments", IF(Transactions_RAW_cleaned[[#This Row],[Amount]]&gt;500,"High Value","Standard"),
    IF(Transactions_RAW_cleaned[[#This Row],[Amount]]&gt;250,"High Value","Standard")))</f>
        <v>High Value</v>
      </c>
      <c r="Q1410" s="5" t="str">
        <f>IF(Transactions_RAW_cleaned[[#This Row],[Amount]] &gt; (_xlfn.XLOOKUP(Transactions_RAW_cleaned[[#This Row],[ServiceID]],Services_cleaned[ServiceID],Services_cleaned[TransactionFeePct]) * 10000), "Yes", "No")</f>
        <v>Yes</v>
      </c>
      <c r="R1410" s="5" t="str">
        <f>IF(COUNTIFS($C$2:Transactions_RAW_cleaned[[#This Row],[CustomerID]],Transactions_RAW_cleaned[[#This Row],[CustomerID]],$D$2:Transactions_RAW_cleaned[[#This Row],[ServiceID]],Transactions_RAW_cleaned[[#This Row],[ServiceID]])=1,"Yes","No")</f>
        <v>No</v>
      </c>
      <c r="S141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10" t="str">
        <f>"Q"&amp;ROUNDUP(MONTH(Transactions_RAW_cleaned[[#This Row],[TransactionDate]])/3,0)</f>
        <v>Q1</v>
      </c>
      <c r="U1410" t="str">
        <f>Transactions_RAW_cleaned[[#This Row],[Region ]]&amp;Transactions_RAW_cleaned[[#This Row],[Quarter ]]</f>
        <v>APACQ1</v>
      </c>
      <c r="V1410" s="5">
        <f>_xlfn.XLOOKUP(Transactions_RAW_cleaned[[#This Row],[RegionQuarterKey]], Quarterly_Targets_cleaned[RegionQuarterKey], Quarterly_Targets_cleaned[TargetRevenue])</f>
        <v>104500</v>
      </c>
    </row>
    <row r="1411" spans="1:22" x14ac:dyDescent="0.25">
      <c r="A1411" t="s">
        <v>1743</v>
      </c>
      <c r="B1411" s="1">
        <v>45627</v>
      </c>
      <c r="C1411" t="s">
        <v>80</v>
      </c>
      <c r="D1411" t="s">
        <v>294</v>
      </c>
      <c r="E1411">
        <v>106.44</v>
      </c>
      <c r="F1411" t="s">
        <v>324</v>
      </c>
      <c r="G1411" t="s">
        <v>327</v>
      </c>
      <c r="H1411" t="s">
        <v>334</v>
      </c>
      <c r="I1411" t="s">
        <v>8</v>
      </c>
      <c r="J1411" t="s">
        <v>13</v>
      </c>
      <c r="K1411" t="s">
        <v>32</v>
      </c>
      <c r="L1411" t="s">
        <v>295</v>
      </c>
      <c r="M1411" t="s">
        <v>296</v>
      </c>
      <c r="N1411">
        <v>2.9000000000000001E-2</v>
      </c>
      <c r="O1411" t="str">
        <f>IF(Transactions_RAW_cleaned[[#This Row],[Status]]="Completed", IFERROR(_xlfn.XLOOKUP(Transactions_RAW_cleaned[[#This Row],[CustomerID]], Customers_cleaned[CustomerID], Customers_cleaned[Segment]), "Customer Not Found"), "N/A")</f>
        <v>SMB</v>
      </c>
      <c r="P1411" s="5" t="str">
        <f>IF(Transactions_RAW_cleaned[[#This Row],[Status]]="Refunded", "Refund",
  IF(Transactions_RAW_cleaned[[#This Row],[Category]]="Payments", IF(Transactions_RAW_cleaned[[#This Row],[Amount]]&gt;500,"High Value","Standard"),
    IF(Transactions_RAW_cleaned[[#This Row],[Amount]]&gt;250,"High Value","Standard")))</f>
        <v>Standard</v>
      </c>
      <c r="Q1411" s="5" t="str">
        <f>IF(Transactions_RAW_cleaned[[#This Row],[Amount]] &gt; (_xlfn.XLOOKUP(Transactions_RAW_cleaned[[#This Row],[ServiceID]],Services_cleaned[ServiceID],Services_cleaned[TransactionFeePct]) * 10000), "Yes", "No")</f>
        <v>No</v>
      </c>
      <c r="R1411" s="5" t="str">
        <f>IF(COUNTIFS($C$2:Transactions_RAW_cleaned[[#This Row],[CustomerID]],Transactions_RAW_cleaned[[#This Row],[CustomerID]],$D$2:Transactions_RAW_cleaned[[#This Row],[ServiceID]],Transactions_RAW_cleaned[[#This Row],[ServiceID]])=1,"Yes","No")</f>
        <v>No</v>
      </c>
      <c r="S141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11" t="str">
        <f>"Q"&amp;ROUNDUP(MONTH(Transactions_RAW_cleaned[[#This Row],[TransactionDate]])/3,0)</f>
        <v>Q4</v>
      </c>
      <c r="U1411" t="str">
        <f>Transactions_RAW_cleaned[[#This Row],[Region ]]&amp;Transactions_RAW_cleaned[[#This Row],[Quarter ]]</f>
        <v>NAQ4</v>
      </c>
      <c r="V1411" s="5">
        <f>_xlfn.XLOOKUP(Transactions_RAW_cleaned[[#This Row],[RegionQuarterKey]], Quarterly_Targets_cleaned[RegionQuarterKey], Quarterly_Targets_cleaned[TargetRevenue])</f>
        <v>299000</v>
      </c>
    </row>
    <row r="1412" spans="1:22" x14ac:dyDescent="0.25">
      <c r="A1412" t="s">
        <v>1744</v>
      </c>
      <c r="B1412" s="1">
        <v>45550</v>
      </c>
      <c r="C1412" t="s">
        <v>396</v>
      </c>
      <c r="D1412" t="s">
        <v>306</v>
      </c>
      <c r="E1412">
        <v>434.11</v>
      </c>
      <c r="F1412" t="s">
        <v>324</v>
      </c>
      <c r="G1412" t="s">
        <v>327</v>
      </c>
      <c r="H1412" t="s">
        <v>334</v>
      </c>
      <c r="I1412" t="s">
        <v>57</v>
      </c>
      <c r="J1412" t="s">
        <v>21</v>
      </c>
      <c r="K1412" t="s">
        <v>2964</v>
      </c>
      <c r="L1412" t="s">
        <v>307</v>
      </c>
      <c r="M1412" t="s">
        <v>308</v>
      </c>
      <c r="N1412">
        <v>0</v>
      </c>
      <c r="O1412" t="str">
        <f>IF(Transactions_RAW_cleaned[[#This Row],[Status]]="Completed", IFERROR(_xlfn.XLOOKUP(Transactions_RAW_cleaned[[#This Row],[CustomerID]], Customers_cleaned[CustomerID], Customers_cleaned[Segment]), "Customer Not Found"), "N/A")</f>
        <v>Startup</v>
      </c>
      <c r="P1412" s="5" t="str">
        <f>IF(Transactions_RAW_cleaned[[#This Row],[Status]]="Refunded", "Refund",
  IF(Transactions_RAW_cleaned[[#This Row],[Category]]="Payments", IF(Transactions_RAW_cleaned[[#This Row],[Amount]]&gt;500,"High Value","Standard"),
    IF(Transactions_RAW_cleaned[[#This Row],[Amount]]&gt;250,"High Value","Standard")))</f>
        <v>High Value</v>
      </c>
      <c r="Q1412" s="5" t="str">
        <f>IF(Transactions_RAW_cleaned[[#This Row],[Amount]] &gt; (_xlfn.XLOOKUP(Transactions_RAW_cleaned[[#This Row],[ServiceID]],Services_cleaned[ServiceID],Services_cleaned[TransactionFeePct]) * 10000), "Yes", "No")</f>
        <v>Yes</v>
      </c>
      <c r="R1412" s="5" t="str">
        <f>IF(COUNTIFS($C$2:Transactions_RAW_cleaned[[#This Row],[CustomerID]],Transactions_RAW_cleaned[[#This Row],[CustomerID]],$D$2:Transactions_RAW_cleaned[[#This Row],[ServiceID]],Transactions_RAW_cleaned[[#This Row],[ServiceID]])=1,"Yes","No")</f>
        <v>Yes</v>
      </c>
      <c r="S141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12" t="str">
        <f>"Q"&amp;ROUNDUP(MONTH(Transactions_RAW_cleaned[[#This Row],[TransactionDate]])/3,0)</f>
        <v>Q3</v>
      </c>
      <c r="U1412" t="str">
        <f>Transactions_RAW_cleaned[[#This Row],[Region ]]&amp;Transactions_RAW_cleaned[[#This Row],[Quarter ]]</f>
        <v>APACQ3</v>
      </c>
      <c r="V1412" s="5">
        <f>_xlfn.XLOOKUP(Transactions_RAW_cleaned[[#This Row],[RegionQuarterKey]], Quarterly_Targets_cleaned[RegionQuarterKey], Quarterly_Targets_cleaned[TargetRevenue])</f>
        <v>115500</v>
      </c>
    </row>
    <row r="1413" spans="1:22" x14ac:dyDescent="0.25">
      <c r="A1413" t="s">
        <v>1745</v>
      </c>
      <c r="B1413" s="1">
        <v>45308</v>
      </c>
      <c r="C1413" t="s">
        <v>211</v>
      </c>
      <c r="D1413" t="s">
        <v>312</v>
      </c>
      <c r="E1413">
        <v>502.87</v>
      </c>
      <c r="F1413" t="s">
        <v>324</v>
      </c>
      <c r="G1413" t="s">
        <v>337</v>
      </c>
      <c r="H1413" t="s">
        <v>334</v>
      </c>
      <c r="I1413" t="s">
        <v>8</v>
      </c>
      <c r="J1413" t="s">
        <v>31</v>
      </c>
      <c r="K1413" t="s">
        <v>22</v>
      </c>
      <c r="L1413" t="s">
        <v>313</v>
      </c>
      <c r="M1413" t="s">
        <v>314</v>
      </c>
      <c r="N1413">
        <v>0</v>
      </c>
      <c r="O1413" t="str">
        <f>IF(Transactions_RAW_cleaned[[#This Row],[Status]]="Completed", IFERROR(_xlfn.XLOOKUP(Transactions_RAW_cleaned[[#This Row],[CustomerID]], Customers_cleaned[CustomerID], Customers_cleaned[Segment]), "Customer Not Found"), "N/A")</f>
        <v>SMB</v>
      </c>
      <c r="P1413" s="5" t="str">
        <f>IF(Transactions_RAW_cleaned[[#This Row],[Status]]="Refunded", "Refund",
  IF(Transactions_RAW_cleaned[[#This Row],[Category]]="Payments", IF(Transactions_RAW_cleaned[[#This Row],[Amount]]&gt;500,"High Value","Standard"),
    IF(Transactions_RAW_cleaned[[#This Row],[Amount]]&gt;250,"High Value","Standard")))</f>
        <v>High Value</v>
      </c>
      <c r="Q1413" s="5" t="str">
        <f>IF(Transactions_RAW_cleaned[[#This Row],[Amount]] &gt; (_xlfn.XLOOKUP(Transactions_RAW_cleaned[[#This Row],[ServiceID]],Services_cleaned[ServiceID],Services_cleaned[TransactionFeePct]) * 10000), "Yes", "No")</f>
        <v>Yes</v>
      </c>
      <c r="R1413" s="5" t="str">
        <f>IF(COUNTIFS($C$2:Transactions_RAW_cleaned[[#This Row],[CustomerID]],Transactions_RAW_cleaned[[#This Row],[CustomerID]],$D$2:Transactions_RAW_cleaned[[#This Row],[ServiceID]],Transactions_RAW_cleaned[[#This Row],[ServiceID]])=1,"Yes","No")</f>
        <v>Yes</v>
      </c>
      <c r="S141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13" t="str">
        <f>"Q"&amp;ROUNDUP(MONTH(Transactions_RAW_cleaned[[#This Row],[TransactionDate]])/3,0)</f>
        <v>Q1</v>
      </c>
      <c r="U1413" t="str">
        <f>Transactions_RAW_cleaned[[#This Row],[Region ]]&amp;Transactions_RAW_cleaned[[#This Row],[Quarter ]]</f>
        <v>EMEAQ1</v>
      </c>
      <c r="V1413" s="5">
        <f>_xlfn.XLOOKUP(Transactions_RAW_cleaned[[#This Row],[RegionQuarterKey]], Quarterly_Targets_cleaned[RegionQuarterKey], Quarterly_Targets_cleaned[TargetRevenue])</f>
        <v>133000</v>
      </c>
    </row>
    <row r="1414" spans="1:22" x14ac:dyDescent="0.25">
      <c r="A1414" t="s">
        <v>1746</v>
      </c>
      <c r="B1414" s="1">
        <v>45377</v>
      </c>
      <c r="C1414" t="s">
        <v>259</v>
      </c>
      <c r="D1414" t="s">
        <v>315</v>
      </c>
      <c r="E1414">
        <v>369.03</v>
      </c>
      <c r="F1414" t="s">
        <v>324</v>
      </c>
      <c r="G1414" t="s">
        <v>325</v>
      </c>
      <c r="H1414" t="s">
        <v>334</v>
      </c>
      <c r="I1414" t="s">
        <v>8</v>
      </c>
      <c r="J1414" t="s">
        <v>31</v>
      </c>
      <c r="K1414" t="s">
        <v>22</v>
      </c>
      <c r="L1414" t="s">
        <v>316</v>
      </c>
      <c r="M1414" t="s">
        <v>305</v>
      </c>
      <c r="N1414">
        <v>2.5000000000000001E-3</v>
      </c>
      <c r="O1414" t="str">
        <f>IF(Transactions_RAW_cleaned[[#This Row],[Status]]="Completed", IFERROR(_xlfn.XLOOKUP(Transactions_RAW_cleaned[[#This Row],[CustomerID]], Customers_cleaned[CustomerID], Customers_cleaned[Segment]), "Customer Not Found"), "N/A")</f>
        <v>SMB</v>
      </c>
      <c r="P1414" s="5" t="str">
        <f>IF(Transactions_RAW_cleaned[[#This Row],[Status]]="Refunded", "Refund",
  IF(Transactions_RAW_cleaned[[#This Row],[Category]]="Payments", IF(Transactions_RAW_cleaned[[#This Row],[Amount]]&gt;500,"High Value","Standard"),
    IF(Transactions_RAW_cleaned[[#This Row],[Amount]]&gt;250,"High Value","Standard")))</f>
        <v>High Value</v>
      </c>
      <c r="Q1414" s="5" t="str">
        <f>IF(Transactions_RAW_cleaned[[#This Row],[Amount]] &gt; (_xlfn.XLOOKUP(Transactions_RAW_cleaned[[#This Row],[ServiceID]],Services_cleaned[ServiceID],Services_cleaned[TransactionFeePct]) * 10000), "Yes", "No")</f>
        <v>Yes</v>
      </c>
      <c r="R1414" s="5" t="str">
        <f>IF(COUNTIFS($C$2:Transactions_RAW_cleaned[[#This Row],[CustomerID]],Transactions_RAW_cleaned[[#This Row],[CustomerID]],$D$2:Transactions_RAW_cleaned[[#This Row],[ServiceID]],Transactions_RAW_cleaned[[#This Row],[ServiceID]])=1,"Yes","No")</f>
        <v>No</v>
      </c>
      <c r="S141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14" t="str">
        <f>"Q"&amp;ROUNDUP(MONTH(Transactions_RAW_cleaned[[#This Row],[TransactionDate]])/3,0)</f>
        <v>Q1</v>
      </c>
      <c r="U1414" t="str">
        <f>Transactions_RAW_cleaned[[#This Row],[Region ]]&amp;Transactions_RAW_cleaned[[#This Row],[Quarter ]]</f>
        <v>EMEAQ1</v>
      </c>
      <c r="V1414" s="5">
        <f>_xlfn.XLOOKUP(Transactions_RAW_cleaned[[#This Row],[RegionQuarterKey]], Quarterly_Targets_cleaned[RegionQuarterKey], Quarterly_Targets_cleaned[TargetRevenue])</f>
        <v>133000</v>
      </c>
    </row>
    <row r="1415" spans="1:22" x14ac:dyDescent="0.25">
      <c r="A1415" t="s">
        <v>1747</v>
      </c>
      <c r="B1415" s="1">
        <v>45481</v>
      </c>
      <c r="C1415" t="s">
        <v>241</v>
      </c>
      <c r="D1415" t="s">
        <v>309</v>
      </c>
      <c r="E1415">
        <v>477.12</v>
      </c>
      <c r="F1415" t="s">
        <v>324</v>
      </c>
      <c r="G1415" t="s">
        <v>327</v>
      </c>
      <c r="I1415" t="s">
        <v>8</v>
      </c>
      <c r="J1415" t="s">
        <v>102</v>
      </c>
      <c r="K1415" t="s">
        <v>32</v>
      </c>
      <c r="L1415" t="s">
        <v>310</v>
      </c>
      <c r="M1415" t="s">
        <v>311</v>
      </c>
      <c r="N1415">
        <v>0</v>
      </c>
      <c r="O1415" t="str">
        <f>IF(Transactions_RAW_cleaned[[#This Row],[Status]]="Completed", IFERROR(_xlfn.XLOOKUP(Transactions_RAW_cleaned[[#This Row],[CustomerID]], Customers_cleaned[CustomerID], Customers_cleaned[Segment]), "Customer Not Found"), "N/A")</f>
        <v>SMB</v>
      </c>
      <c r="P1415" s="5" t="str">
        <f>IF(Transactions_RAW_cleaned[[#This Row],[Status]]="Refunded", "Refund",
  IF(Transactions_RAW_cleaned[[#This Row],[Category]]="Payments", IF(Transactions_RAW_cleaned[[#This Row],[Amount]]&gt;500,"High Value","Standard"),
    IF(Transactions_RAW_cleaned[[#This Row],[Amount]]&gt;250,"High Value","Standard")))</f>
        <v>High Value</v>
      </c>
      <c r="Q1415" s="5" t="str">
        <f>IF(Transactions_RAW_cleaned[[#This Row],[Amount]] &gt; (_xlfn.XLOOKUP(Transactions_RAW_cleaned[[#This Row],[ServiceID]],Services_cleaned[ServiceID],Services_cleaned[TransactionFeePct]) * 10000), "Yes", "No")</f>
        <v>Yes</v>
      </c>
      <c r="R1415" s="5" t="str">
        <f>IF(COUNTIFS($C$2:Transactions_RAW_cleaned[[#This Row],[CustomerID]],Transactions_RAW_cleaned[[#This Row],[CustomerID]],$D$2:Transactions_RAW_cleaned[[#This Row],[ServiceID]],Transactions_RAW_cleaned[[#This Row],[ServiceID]])=1,"Yes","No")</f>
        <v>Yes</v>
      </c>
      <c r="S141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15" t="str">
        <f>"Q"&amp;ROUNDUP(MONTH(Transactions_RAW_cleaned[[#This Row],[TransactionDate]])/3,0)</f>
        <v>Q3</v>
      </c>
      <c r="U1415" t="str">
        <f>Transactions_RAW_cleaned[[#This Row],[Region ]]&amp;Transactions_RAW_cleaned[[#This Row],[Quarter ]]</f>
        <v>NAQ3</v>
      </c>
      <c r="V1415" s="5">
        <f>_xlfn.XLOOKUP(Transactions_RAW_cleaned[[#This Row],[RegionQuarterKey]], Quarterly_Targets_cleaned[RegionQuarterKey], Quarterly_Targets_cleaned[TargetRevenue])</f>
        <v>273000</v>
      </c>
    </row>
    <row r="1416" spans="1:22" x14ac:dyDescent="0.25">
      <c r="A1416" t="s">
        <v>1748</v>
      </c>
      <c r="B1416" s="1">
        <v>45334</v>
      </c>
      <c r="C1416" t="s">
        <v>82</v>
      </c>
      <c r="D1416" t="s">
        <v>294</v>
      </c>
      <c r="E1416">
        <v>1033.9000000000001</v>
      </c>
      <c r="F1416" t="s">
        <v>381</v>
      </c>
      <c r="G1416" t="s">
        <v>327</v>
      </c>
      <c r="I1416" t="s">
        <v>57</v>
      </c>
      <c r="J1416" t="s">
        <v>46</v>
      </c>
      <c r="K1416" t="s">
        <v>10</v>
      </c>
      <c r="L1416" t="s">
        <v>295</v>
      </c>
      <c r="M1416" t="s">
        <v>296</v>
      </c>
      <c r="N1416">
        <v>2.9000000000000001E-2</v>
      </c>
      <c r="O1416" t="str">
        <f>IF(Transactions_RAW_cleaned[[#This Row],[Status]]="Completed", IFERROR(_xlfn.XLOOKUP(Transactions_RAW_cleaned[[#This Row],[CustomerID]], Customers_cleaned[CustomerID], Customers_cleaned[Segment]), "Customer Not Found"), "N/A")</f>
        <v>N/A</v>
      </c>
      <c r="P1416" s="5" t="str">
        <f>IF(Transactions_RAW_cleaned[[#This Row],[Status]]="Refunded", "Refund",
  IF(Transactions_RAW_cleaned[[#This Row],[Category]]="Payments", IF(Transactions_RAW_cleaned[[#This Row],[Amount]]&gt;500,"High Value","Standard"),
    IF(Transactions_RAW_cleaned[[#This Row],[Amount]]&gt;250,"High Value","Standard")))</f>
        <v>High Value</v>
      </c>
      <c r="Q1416" s="5" t="str">
        <f>IF(Transactions_RAW_cleaned[[#This Row],[Amount]] &gt; (_xlfn.XLOOKUP(Transactions_RAW_cleaned[[#This Row],[ServiceID]],Services_cleaned[ServiceID],Services_cleaned[TransactionFeePct]) * 10000), "Yes", "No")</f>
        <v>Yes</v>
      </c>
      <c r="R1416" s="5" t="str">
        <f>IF(COUNTIFS($C$2:Transactions_RAW_cleaned[[#This Row],[CustomerID]],Transactions_RAW_cleaned[[#This Row],[CustomerID]],$D$2:Transactions_RAW_cleaned[[#This Row],[ServiceID]],Transactions_RAW_cleaned[[#This Row],[ServiceID]])=1,"Yes","No")</f>
        <v>No</v>
      </c>
      <c r="S141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16" t="str">
        <f>"Q"&amp;ROUNDUP(MONTH(Transactions_RAW_cleaned[[#This Row],[TransactionDate]])/3,0)</f>
        <v>Q1</v>
      </c>
      <c r="U1416" t="str">
        <f>Transactions_RAW_cleaned[[#This Row],[Region ]]&amp;Transactions_RAW_cleaned[[#This Row],[Quarter ]]</f>
        <v>APACQ1</v>
      </c>
      <c r="V1416" s="5">
        <f>_xlfn.XLOOKUP(Transactions_RAW_cleaned[[#This Row],[RegionQuarterKey]], Quarterly_Targets_cleaned[RegionQuarterKey], Quarterly_Targets_cleaned[TargetRevenue])</f>
        <v>104500</v>
      </c>
    </row>
    <row r="1417" spans="1:22" x14ac:dyDescent="0.25">
      <c r="A1417" t="s">
        <v>1749</v>
      </c>
      <c r="B1417" s="1">
        <v>45630</v>
      </c>
      <c r="C1417" t="s">
        <v>261</v>
      </c>
      <c r="D1417" t="s">
        <v>300</v>
      </c>
      <c r="E1417">
        <v>527.09</v>
      </c>
      <c r="F1417" t="s">
        <v>324</v>
      </c>
      <c r="G1417" t="s">
        <v>2963</v>
      </c>
      <c r="I1417" t="s">
        <v>8</v>
      </c>
      <c r="J1417" t="s">
        <v>31</v>
      </c>
      <c r="K1417" t="s">
        <v>18</v>
      </c>
      <c r="L1417" t="s">
        <v>301</v>
      </c>
      <c r="M1417" t="s">
        <v>302</v>
      </c>
      <c r="N1417">
        <v>5.0000000000000001E-3</v>
      </c>
      <c r="O1417" t="str">
        <f>IF(Transactions_RAW_cleaned[[#This Row],[Status]]="Completed", IFERROR(_xlfn.XLOOKUP(Transactions_RAW_cleaned[[#This Row],[CustomerID]], Customers_cleaned[CustomerID], Customers_cleaned[Segment]), "Customer Not Found"), "N/A")</f>
        <v>SMB</v>
      </c>
      <c r="P1417" s="5" t="str">
        <f>IF(Transactions_RAW_cleaned[[#This Row],[Status]]="Refunded", "Refund",
  IF(Transactions_RAW_cleaned[[#This Row],[Category]]="Payments", IF(Transactions_RAW_cleaned[[#This Row],[Amount]]&gt;500,"High Value","Standard"),
    IF(Transactions_RAW_cleaned[[#This Row],[Amount]]&gt;250,"High Value","Standard")))</f>
        <v>High Value</v>
      </c>
      <c r="Q1417" s="5" t="str">
        <f>IF(Transactions_RAW_cleaned[[#This Row],[Amount]] &gt; (_xlfn.XLOOKUP(Transactions_RAW_cleaned[[#This Row],[ServiceID]],Services_cleaned[ServiceID],Services_cleaned[TransactionFeePct]) * 10000), "Yes", "No")</f>
        <v>Yes</v>
      </c>
      <c r="R1417" s="5" t="str">
        <f>IF(COUNTIFS($C$2:Transactions_RAW_cleaned[[#This Row],[CustomerID]],Transactions_RAW_cleaned[[#This Row],[CustomerID]],$D$2:Transactions_RAW_cleaned[[#This Row],[ServiceID]],Transactions_RAW_cleaned[[#This Row],[ServiceID]])=1,"Yes","No")</f>
        <v>No</v>
      </c>
      <c r="S141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17" t="str">
        <f>"Q"&amp;ROUNDUP(MONTH(Transactions_RAW_cleaned[[#This Row],[TransactionDate]])/3,0)</f>
        <v>Q4</v>
      </c>
      <c r="U1417" t="str">
        <f>Transactions_RAW_cleaned[[#This Row],[Region ]]&amp;Transactions_RAW_cleaned[[#This Row],[Quarter ]]</f>
        <v>EMEAQ4</v>
      </c>
      <c r="V1417" s="5">
        <f>_xlfn.XLOOKUP(Transactions_RAW_cleaned[[#This Row],[RegionQuarterKey]], Quarterly_Targets_cleaned[RegionQuarterKey], Quarterly_Targets_cleaned[TargetRevenue])</f>
        <v>161000</v>
      </c>
    </row>
    <row r="1418" spans="1:22" x14ac:dyDescent="0.25">
      <c r="A1418" t="s">
        <v>1750</v>
      </c>
      <c r="B1418" s="1">
        <v>45495</v>
      </c>
      <c r="C1418" t="s">
        <v>169</v>
      </c>
      <c r="D1418" t="s">
        <v>294</v>
      </c>
      <c r="E1418">
        <v>446.1</v>
      </c>
      <c r="F1418" t="s">
        <v>324</v>
      </c>
      <c r="G1418" t="s">
        <v>325</v>
      </c>
      <c r="I1418" t="s">
        <v>8</v>
      </c>
      <c r="J1418" t="s">
        <v>13</v>
      </c>
      <c r="K1418" t="s">
        <v>32</v>
      </c>
      <c r="L1418" t="s">
        <v>295</v>
      </c>
      <c r="M1418" t="s">
        <v>296</v>
      </c>
      <c r="N1418">
        <v>2.9000000000000001E-2</v>
      </c>
      <c r="O1418" t="str">
        <f>IF(Transactions_RAW_cleaned[[#This Row],[Status]]="Completed", IFERROR(_xlfn.XLOOKUP(Transactions_RAW_cleaned[[#This Row],[CustomerID]], Customers_cleaned[CustomerID], Customers_cleaned[Segment]), "Customer Not Found"), "N/A")</f>
        <v>SMB</v>
      </c>
      <c r="P1418" s="5" t="str">
        <f>IF(Transactions_RAW_cleaned[[#This Row],[Status]]="Refunded", "Refund",
  IF(Transactions_RAW_cleaned[[#This Row],[Category]]="Payments", IF(Transactions_RAW_cleaned[[#This Row],[Amount]]&gt;500,"High Value","Standard"),
    IF(Transactions_RAW_cleaned[[#This Row],[Amount]]&gt;250,"High Value","Standard")))</f>
        <v>Standard</v>
      </c>
      <c r="Q1418" s="5" t="str">
        <f>IF(Transactions_RAW_cleaned[[#This Row],[Amount]] &gt; (_xlfn.XLOOKUP(Transactions_RAW_cleaned[[#This Row],[ServiceID]],Services_cleaned[ServiceID],Services_cleaned[TransactionFeePct]) * 10000), "Yes", "No")</f>
        <v>Yes</v>
      </c>
      <c r="R1418" s="5" t="str">
        <f>IF(COUNTIFS($C$2:Transactions_RAW_cleaned[[#This Row],[CustomerID]],Transactions_RAW_cleaned[[#This Row],[CustomerID]],$D$2:Transactions_RAW_cleaned[[#This Row],[ServiceID]],Transactions_RAW_cleaned[[#This Row],[ServiceID]])=1,"Yes","No")</f>
        <v>No</v>
      </c>
      <c r="S141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18" t="str">
        <f>"Q"&amp;ROUNDUP(MONTH(Transactions_RAW_cleaned[[#This Row],[TransactionDate]])/3,0)</f>
        <v>Q3</v>
      </c>
      <c r="U1418" t="str">
        <f>Transactions_RAW_cleaned[[#This Row],[Region ]]&amp;Transactions_RAW_cleaned[[#This Row],[Quarter ]]</f>
        <v>NAQ3</v>
      </c>
      <c r="V1418" s="5">
        <f>_xlfn.XLOOKUP(Transactions_RAW_cleaned[[#This Row],[RegionQuarterKey]], Quarterly_Targets_cleaned[RegionQuarterKey], Quarterly_Targets_cleaned[TargetRevenue])</f>
        <v>273000</v>
      </c>
    </row>
    <row r="1419" spans="1:22" x14ac:dyDescent="0.25">
      <c r="A1419" t="s">
        <v>1751</v>
      </c>
      <c r="B1419" s="1">
        <v>45419</v>
      </c>
      <c r="C1419" t="s">
        <v>249</v>
      </c>
      <c r="D1419" t="s">
        <v>315</v>
      </c>
      <c r="E1419">
        <v>566.54</v>
      </c>
      <c r="F1419" t="s">
        <v>324</v>
      </c>
      <c r="G1419" t="s">
        <v>329</v>
      </c>
      <c r="H1419" t="s">
        <v>346</v>
      </c>
      <c r="I1419" t="s">
        <v>57</v>
      </c>
      <c r="J1419" t="s">
        <v>21</v>
      </c>
      <c r="K1419" t="s">
        <v>14</v>
      </c>
      <c r="L1419" t="s">
        <v>316</v>
      </c>
      <c r="M1419" t="s">
        <v>305</v>
      </c>
      <c r="N1419">
        <v>2.5000000000000001E-3</v>
      </c>
      <c r="O1419" t="str">
        <f>IF(Transactions_RAW_cleaned[[#This Row],[Status]]="Completed", IFERROR(_xlfn.XLOOKUP(Transactions_RAW_cleaned[[#This Row],[CustomerID]], Customers_cleaned[CustomerID], Customers_cleaned[Segment]), "Customer Not Found"), "N/A")</f>
        <v>Startup</v>
      </c>
      <c r="P1419" s="5" t="str">
        <f>IF(Transactions_RAW_cleaned[[#This Row],[Status]]="Refunded", "Refund",
  IF(Transactions_RAW_cleaned[[#This Row],[Category]]="Payments", IF(Transactions_RAW_cleaned[[#This Row],[Amount]]&gt;500,"High Value","Standard"),
    IF(Transactions_RAW_cleaned[[#This Row],[Amount]]&gt;250,"High Value","Standard")))</f>
        <v>High Value</v>
      </c>
      <c r="Q1419" s="5" t="str">
        <f>IF(Transactions_RAW_cleaned[[#This Row],[Amount]] &gt; (_xlfn.XLOOKUP(Transactions_RAW_cleaned[[#This Row],[ServiceID]],Services_cleaned[ServiceID],Services_cleaned[TransactionFeePct]) * 10000), "Yes", "No")</f>
        <v>Yes</v>
      </c>
      <c r="R1419" s="5" t="str">
        <f>IF(COUNTIFS($C$2:Transactions_RAW_cleaned[[#This Row],[CustomerID]],Transactions_RAW_cleaned[[#This Row],[CustomerID]],$D$2:Transactions_RAW_cleaned[[#This Row],[ServiceID]],Transactions_RAW_cleaned[[#This Row],[ServiceID]])=1,"Yes","No")</f>
        <v>Yes</v>
      </c>
      <c r="S141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19" t="str">
        <f>"Q"&amp;ROUNDUP(MONTH(Transactions_RAW_cleaned[[#This Row],[TransactionDate]])/3,0)</f>
        <v>Q2</v>
      </c>
      <c r="U1419" t="str">
        <f>Transactions_RAW_cleaned[[#This Row],[Region ]]&amp;Transactions_RAW_cleaned[[#This Row],[Quarter ]]</f>
        <v>APACQ2</v>
      </c>
      <c r="V1419" s="5">
        <f>_xlfn.XLOOKUP(Transactions_RAW_cleaned[[#This Row],[RegionQuarterKey]], Quarterly_Targets_cleaned[RegionQuarterKey], Quarterly_Targets_cleaned[TargetRevenue])</f>
        <v>110000</v>
      </c>
    </row>
    <row r="1420" spans="1:22" x14ac:dyDescent="0.25">
      <c r="A1420" t="s">
        <v>1752</v>
      </c>
      <c r="B1420" s="1">
        <v>45406</v>
      </c>
      <c r="C1420" t="s">
        <v>235</v>
      </c>
      <c r="D1420" t="s">
        <v>306</v>
      </c>
      <c r="E1420">
        <v>286.74</v>
      </c>
      <c r="F1420" t="s">
        <v>324</v>
      </c>
      <c r="G1420" t="s">
        <v>337</v>
      </c>
      <c r="I1420" t="s">
        <v>57</v>
      </c>
      <c r="J1420" t="s">
        <v>21</v>
      </c>
      <c r="K1420" t="s">
        <v>22</v>
      </c>
      <c r="L1420" t="s">
        <v>307</v>
      </c>
      <c r="M1420" t="s">
        <v>308</v>
      </c>
      <c r="N1420">
        <v>0</v>
      </c>
      <c r="O1420" t="str">
        <f>IF(Transactions_RAW_cleaned[[#This Row],[Status]]="Completed", IFERROR(_xlfn.XLOOKUP(Transactions_RAW_cleaned[[#This Row],[CustomerID]], Customers_cleaned[CustomerID], Customers_cleaned[Segment]), "Customer Not Found"), "N/A")</f>
        <v>Startup</v>
      </c>
      <c r="P1420" s="5" t="str">
        <f>IF(Transactions_RAW_cleaned[[#This Row],[Status]]="Refunded", "Refund",
  IF(Transactions_RAW_cleaned[[#This Row],[Category]]="Payments", IF(Transactions_RAW_cleaned[[#This Row],[Amount]]&gt;500,"High Value","Standard"),
    IF(Transactions_RAW_cleaned[[#This Row],[Amount]]&gt;250,"High Value","Standard")))</f>
        <v>High Value</v>
      </c>
      <c r="Q1420" s="5" t="str">
        <f>IF(Transactions_RAW_cleaned[[#This Row],[Amount]] &gt; (_xlfn.XLOOKUP(Transactions_RAW_cleaned[[#This Row],[ServiceID]],Services_cleaned[ServiceID],Services_cleaned[TransactionFeePct]) * 10000), "Yes", "No")</f>
        <v>Yes</v>
      </c>
      <c r="R1420" s="5" t="str">
        <f>IF(COUNTIFS($C$2:Transactions_RAW_cleaned[[#This Row],[CustomerID]],Transactions_RAW_cleaned[[#This Row],[CustomerID]],$D$2:Transactions_RAW_cleaned[[#This Row],[ServiceID]],Transactions_RAW_cleaned[[#This Row],[ServiceID]])=1,"Yes","No")</f>
        <v>No</v>
      </c>
      <c r="S142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20" t="str">
        <f>"Q"&amp;ROUNDUP(MONTH(Transactions_RAW_cleaned[[#This Row],[TransactionDate]])/3,0)</f>
        <v>Q2</v>
      </c>
      <c r="U1420" t="str">
        <f>Transactions_RAW_cleaned[[#This Row],[Region ]]&amp;Transactions_RAW_cleaned[[#This Row],[Quarter ]]</f>
        <v>APACQ2</v>
      </c>
      <c r="V1420" s="5">
        <f>_xlfn.XLOOKUP(Transactions_RAW_cleaned[[#This Row],[RegionQuarterKey]], Quarterly_Targets_cleaned[RegionQuarterKey], Quarterly_Targets_cleaned[TargetRevenue])</f>
        <v>110000</v>
      </c>
    </row>
    <row r="1421" spans="1:22" x14ac:dyDescent="0.25">
      <c r="A1421" t="s">
        <v>1753</v>
      </c>
      <c r="B1421" s="1">
        <v>45383</v>
      </c>
      <c r="C1421" t="s">
        <v>143</v>
      </c>
      <c r="D1421" t="s">
        <v>297</v>
      </c>
      <c r="E1421">
        <v>851.12</v>
      </c>
      <c r="F1421" t="s">
        <v>381</v>
      </c>
      <c r="G1421" t="s">
        <v>325</v>
      </c>
      <c r="I1421" t="s">
        <v>8</v>
      </c>
      <c r="J1421" t="s">
        <v>102</v>
      </c>
      <c r="K1421" t="s">
        <v>22</v>
      </c>
      <c r="L1421" t="s">
        <v>298</v>
      </c>
      <c r="M1421" t="s">
        <v>299</v>
      </c>
      <c r="N1421">
        <v>0</v>
      </c>
      <c r="O1421" t="str">
        <f>IF(Transactions_RAW_cleaned[[#This Row],[Status]]="Completed", IFERROR(_xlfn.XLOOKUP(Transactions_RAW_cleaned[[#This Row],[CustomerID]], Customers_cleaned[CustomerID], Customers_cleaned[Segment]), "Customer Not Found"), "N/A")</f>
        <v>N/A</v>
      </c>
      <c r="P1421" s="5" t="str">
        <f>IF(Transactions_RAW_cleaned[[#This Row],[Status]]="Refunded", "Refund",
  IF(Transactions_RAW_cleaned[[#This Row],[Category]]="Payments", IF(Transactions_RAW_cleaned[[#This Row],[Amount]]&gt;500,"High Value","Standard"),
    IF(Transactions_RAW_cleaned[[#This Row],[Amount]]&gt;250,"High Value","Standard")))</f>
        <v>High Value</v>
      </c>
      <c r="Q1421" s="5" t="str">
        <f>IF(Transactions_RAW_cleaned[[#This Row],[Amount]] &gt; (_xlfn.XLOOKUP(Transactions_RAW_cleaned[[#This Row],[ServiceID]],Services_cleaned[ServiceID],Services_cleaned[TransactionFeePct]) * 10000), "Yes", "No")</f>
        <v>Yes</v>
      </c>
      <c r="R1421" s="5" t="str">
        <f>IF(COUNTIFS($C$2:Transactions_RAW_cleaned[[#This Row],[CustomerID]],Transactions_RAW_cleaned[[#This Row],[CustomerID]],$D$2:Transactions_RAW_cleaned[[#This Row],[ServiceID]],Transactions_RAW_cleaned[[#This Row],[ServiceID]])=1,"Yes","No")</f>
        <v>No</v>
      </c>
      <c r="S142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21" t="str">
        <f>"Q"&amp;ROUNDUP(MONTH(Transactions_RAW_cleaned[[#This Row],[TransactionDate]])/3,0)</f>
        <v>Q2</v>
      </c>
      <c r="U1421" t="str">
        <f>Transactions_RAW_cleaned[[#This Row],[Region ]]&amp;Transactions_RAW_cleaned[[#This Row],[Quarter ]]</f>
        <v>NAQ2</v>
      </c>
      <c r="V1421" s="5">
        <f>_xlfn.XLOOKUP(Transactions_RAW_cleaned[[#This Row],[RegionQuarterKey]], Quarterly_Targets_cleaned[RegionQuarterKey], Quarterly_Targets_cleaned[TargetRevenue])</f>
        <v>260000</v>
      </c>
    </row>
    <row r="1422" spans="1:22" x14ac:dyDescent="0.25">
      <c r="A1422" t="s">
        <v>1754</v>
      </c>
      <c r="B1422" s="1">
        <v>45403</v>
      </c>
      <c r="C1422" t="s">
        <v>141</v>
      </c>
      <c r="D1422" t="s">
        <v>315</v>
      </c>
      <c r="E1422">
        <v>239.41</v>
      </c>
      <c r="F1422" t="s">
        <v>324</v>
      </c>
      <c r="G1422" t="s">
        <v>2963</v>
      </c>
      <c r="H1422" t="s">
        <v>346</v>
      </c>
      <c r="I1422" t="s">
        <v>57</v>
      </c>
      <c r="J1422" t="s">
        <v>25</v>
      </c>
      <c r="K1422" t="s">
        <v>10</v>
      </c>
      <c r="L1422" t="s">
        <v>316</v>
      </c>
      <c r="M1422" t="s">
        <v>305</v>
      </c>
      <c r="N1422">
        <v>2.5000000000000001E-3</v>
      </c>
      <c r="O1422" t="str">
        <f>IF(Transactions_RAW_cleaned[[#This Row],[Status]]="Completed", IFERROR(_xlfn.XLOOKUP(Transactions_RAW_cleaned[[#This Row],[CustomerID]], Customers_cleaned[CustomerID], Customers_cleaned[Segment]), "Customer Not Found"), "N/A")</f>
        <v>Startup</v>
      </c>
      <c r="P1422" s="5" t="str">
        <f>IF(Transactions_RAW_cleaned[[#This Row],[Status]]="Refunded", "Refund",
  IF(Transactions_RAW_cleaned[[#This Row],[Category]]="Payments", IF(Transactions_RAW_cleaned[[#This Row],[Amount]]&gt;500,"High Value","Standard"),
    IF(Transactions_RAW_cleaned[[#This Row],[Amount]]&gt;250,"High Value","Standard")))</f>
        <v>Standard</v>
      </c>
      <c r="Q1422" s="5" t="str">
        <f>IF(Transactions_RAW_cleaned[[#This Row],[Amount]] &gt; (_xlfn.XLOOKUP(Transactions_RAW_cleaned[[#This Row],[ServiceID]],Services_cleaned[ServiceID],Services_cleaned[TransactionFeePct]) * 10000), "Yes", "No")</f>
        <v>Yes</v>
      </c>
      <c r="R1422" s="5" t="str">
        <f>IF(COUNTIFS($C$2:Transactions_RAW_cleaned[[#This Row],[CustomerID]],Transactions_RAW_cleaned[[#This Row],[CustomerID]],$D$2:Transactions_RAW_cleaned[[#This Row],[ServiceID]],Transactions_RAW_cleaned[[#This Row],[ServiceID]])=1,"Yes","No")</f>
        <v>No</v>
      </c>
      <c r="S142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22" t="str">
        <f>"Q"&amp;ROUNDUP(MONTH(Transactions_RAW_cleaned[[#This Row],[TransactionDate]])/3,0)</f>
        <v>Q2</v>
      </c>
      <c r="U1422" t="str">
        <f>Transactions_RAW_cleaned[[#This Row],[Region ]]&amp;Transactions_RAW_cleaned[[#This Row],[Quarter ]]</f>
        <v>APACQ2</v>
      </c>
      <c r="V1422" s="5">
        <f>_xlfn.XLOOKUP(Transactions_RAW_cleaned[[#This Row],[RegionQuarterKey]], Quarterly_Targets_cleaned[RegionQuarterKey], Quarterly_Targets_cleaned[TargetRevenue])</f>
        <v>110000</v>
      </c>
    </row>
    <row r="1423" spans="1:22" x14ac:dyDescent="0.25">
      <c r="A1423" t="s">
        <v>1755</v>
      </c>
      <c r="B1423" s="1">
        <v>45484</v>
      </c>
      <c r="C1423" t="s">
        <v>90</v>
      </c>
      <c r="D1423" t="s">
        <v>312</v>
      </c>
      <c r="E1423">
        <v>531.59</v>
      </c>
      <c r="F1423" t="s">
        <v>381</v>
      </c>
      <c r="G1423" t="s">
        <v>327</v>
      </c>
      <c r="H1423" t="s">
        <v>346</v>
      </c>
      <c r="I1423" t="s">
        <v>8</v>
      </c>
      <c r="J1423" t="s">
        <v>102</v>
      </c>
      <c r="K1423" t="s">
        <v>28</v>
      </c>
      <c r="L1423" t="s">
        <v>313</v>
      </c>
      <c r="M1423" t="s">
        <v>314</v>
      </c>
      <c r="N1423">
        <v>0</v>
      </c>
      <c r="O1423" t="str">
        <f>IF(Transactions_RAW_cleaned[[#This Row],[Status]]="Completed", IFERROR(_xlfn.XLOOKUP(Transactions_RAW_cleaned[[#This Row],[CustomerID]], Customers_cleaned[CustomerID], Customers_cleaned[Segment]), "Customer Not Found"), "N/A")</f>
        <v>N/A</v>
      </c>
      <c r="P1423" s="5" t="str">
        <f>IF(Transactions_RAW_cleaned[[#This Row],[Status]]="Refunded", "Refund",
  IF(Transactions_RAW_cleaned[[#This Row],[Category]]="Payments", IF(Transactions_RAW_cleaned[[#This Row],[Amount]]&gt;500,"High Value","Standard"),
    IF(Transactions_RAW_cleaned[[#This Row],[Amount]]&gt;250,"High Value","Standard")))</f>
        <v>High Value</v>
      </c>
      <c r="Q1423" s="5" t="str">
        <f>IF(Transactions_RAW_cleaned[[#This Row],[Amount]] &gt; (_xlfn.XLOOKUP(Transactions_RAW_cleaned[[#This Row],[ServiceID]],Services_cleaned[ServiceID],Services_cleaned[TransactionFeePct]) * 10000), "Yes", "No")</f>
        <v>Yes</v>
      </c>
      <c r="R1423" s="5" t="str">
        <f>IF(COUNTIFS($C$2:Transactions_RAW_cleaned[[#This Row],[CustomerID]],Transactions_RAW_cleaned[[#This Row],[CustomerID]],$D$2:Transactions_RAW_cleaned[[#This Row],[ServiceID]],Transactions_RAW_cleaned[[#This Row],[ServiceID]])=1,"Yes","No")</f>
        <v>No</v>
      </c>
      <c r="S142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23" t="str">
        <f>"Q"&amp;ROUNDUP(MONTH(Transactions_RAW_cleaned[[#This Row],[TransactionDate]])/3,0)</f>
        <v>Q3</v>
      </c>
      <c r="U1423" t="str">
        <f>Transactions_RAW_cleaned[[#This Row],[Region ]]&amp;Transactions_RAW_cleaned[[#This Row],[Quarter ]]</f>
        <v>NAQ3</v>
      </c>
      <c r="V1423" s="5">
        <f>_xlfn.XLOOKUP(Transactions_RAW_cleaned[[#This Row],[RegionQuarterKey]], Quarterly_Targets_cleaned[RegionQuarterKey], Quarterly_Targets_cleaned[TargetRevenue])</f>
        <v>273000</v>
      </c>
    </row>
    <row r="1424" spans="1:22" x14ac:dyDescent="0.25">
      <c r="A1424" t="s">
        <v>1756</v>
      </c>
      <c r="B1424" s="1">
        <v>45394</v>
      </c>
      <c r="C1424" t="s">
        <v>47</v>
      </c>
      <c r="D1424" t="s">
        <v>306</v>
      </c>
      <c r="E1424">
        <v>250.33</v>
      </c>
      <c r="F1424" t="s">
        <v>331</v>
      </c>
      <c r="G1424" t="s">
        <v>325</v>
      </c>
      <c r="H1424" t="s">
        <v>334</v>
      </c>
      <c r="I1424" t="s">
        <v>8</v>
      </c>
      <c r="J1424" t="s">
        <v>21</v>
      </c>
      <c r="K1424" t="s">
        <v>22</v>
      </c>
      <c r="L1424" t="s">
        <v>307</v>
      </c>
      <c r="M1424" t="s">
        <v>308</v>
      </c>
      <c r="N1424">
        <v>0</v>
      </c>
      <c r="O1424" t="str">
        <f>IF(Transactions_RAW_cleaned[[#This Row],[Status]]="Completed", IFERROR(_xlfn.XLOOKUP(Transactions_RAW_cleaned[[#This Row],[CustomerID]], Customers_cleaned[CustomerID], Customers_cleaned[Segment]), "Customer Not Found"), "N/A")</f>
        <v>N/A</v>
      </c>
      <c r="P1424" s="5" t="str">
        <f>IF(Transactions_RAW_cleaned[[#This Row],[Status]]="Refunded", "Refund",
  IF(Transactions_RAW_cleaned[[#This Row],[Category]]="Payments", IF(Transactions_RAW_cleaned[[#This Row],[Amount]]&gt;500,"High Value","Standard"),
    IF(Transactions_RAW_cleaned[[#This Row],[Amount]]&gt;250,"High Value","Standard")))</f>
        <v>High Value</v>
      </c>
      <c r="Q1424" s="5" t="str">
        <f>IF(Transactions_RAW_cleaned[[#This Row],[Amount]] &gt; (_xlfn.XLOOKUP(Transactions_RAW_cleaned[[#This Row],[ServiceID]],Services_cleaned[ServiceID],Services_cleaned[TransactionFeePct]) * 10000), "Yes", "No")</f>
        <v>Yes</v>
      </c>
      <c r="R1424" s="5" t="str">
        <f>IF(COUNTIFS($C$2:Transactions_RAW_cleaned[[#This Row],[CustomerID]],Transactions_RAW_cleaned[[#This Row],[CustomerID]],$D$2:Transactions_RAW_cleaned[[#This Row],[ServiceID]],Transactions_RAW_cleaned[[#This Row],[ServiceID]])=1,"Yes","No")</f>
        <v>No</v>
      </c>
      <c r="S142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24" t="str">
        <f>"Q"&amp;ROUNDUP(MONTH(Transactions_RAW_cleaned[[#This Row],[TransactionDate]])/3,0)</f>
        <v>Q2</v>
      </c>
      <c r="U1424" t="str">
        <f>Transactions_RAW_cleaned[[#This Row],[Region ]]&amp;Transactions_RAW_cleaned[[#This Row],[Quarter ]]</f>
        <v>APACQ2</v>
      </c>
      <c r="V1424" s="5">
        <f>_xlfn.XLOOKUP(Transactions_RAW_cleaned[[#This Row],[RegionQuarterKey]], Quarterly_Targets_cleaned[RegionQuarterKey], Quarterly_Targets_cleaned[TargetRevenue])</f>
        <v>110000</v>
      </c>
    </row>
    <row r="1425" spans="1:22" x14ac:dyDescent="0.25">
      <c r="A1425" t="s">
        <v>1757</v>
      </c>
      <c r="B1425" s="1">
        <v>45381</v>
      </c>
      <c r="C1425" t="s">
        <v>219</v>
      </c>
      <c r="D1425" t="s">
        <v>312</v>
      </c>
      <c r="E1425">
        <v>461.84</v>
      </c>
      <c r="F1425" t="s">
        <v>324</v>
      </c>
      <c r="G1425" t="s">
        <v>327</v>
      </c>
      <c r="I1425" t="s">
        <v>17</v>
      </c>
      <c r="J1425" t="s">
        <v>31</v>
      </c>
      <c r="K1425" t="s">
        <v>32</v>
      </c>
      <c r="L1425" t="s">
        <v>313</v>
      </c>
      <c r="M1425" t="s">
        <v>314</v>
      </c>
      <c r="N1425">
        <v>0</v>
      </c>
      <c r="O1425" t="str">
        <f>IF(Transactions_RAW_cleaned[[#This Row],[Status]]="Completed", IFERROR(_xlfn.XLOOKUP(Transactions_RAW_cleaned[[#This Row],[CustomerID]], Customers_cleaned[CustomerID], Customers_cleaned[Segment]), "Customer Not Found"), "N/A")</f>
        <v>Enterprise</v>
      </c>
      <c r="P1425" s="5" t="str">
        <f>IF(Transactions_RAW_cleaned[[#This Row],[Status]]="Refunded", "Refund",
  IF(Transactions_RAW_cleaned[[#This Row],[Category]]="Payments", IF(Transactions_RAW_cleaned[[#This Row],[Amount]]&gt;500,"High Value","Standard"),
    IF(Transactions_RAW_cleaned[[#This Row],[Amount]]&gt;250,"High Value","Standard")))</f>
        <v>High Value</v>
      </c>
      <c r="Q1425" s="5" t="str">
        <f>IF(Transactions_RAW_cleaned[[#This Row],[Amount]] &gt; (_xlfn.XLOOKUP(Transactions_RAW_cleaned[[#This Row],[ServiceID]],Services_cleaned[ServiceID],Services_cleaned[TransactionFeePct]) * 10000), "Yes", "No")</f>
        <v>Yes</v>
      </c>
      <c r="R1425" s="5" t="str">
        <f>IF(COUNTIFS($C$2:Transactions_RAW_cleaned[[#This Row],[CustomerID]],Transactions_RAW_cleaned[[#This Row],[CustomerID]],$D$2:Transactions_RAW_cleaned[[#This Row],[ServiceID]],Transactions_RAW_cleaned[[#This Row],[ServiceID]])=1,"Yes","No")</f>
        <v>No</v>
      </c>
      <c r="S142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25" t="str">
        <f>"Q"&amp;ROUNDUP(MONTH(Transactions_RAW_cleaned[[#This Row],[TransactionDate]])/3,0)</f>
        <v>Q1</v>
      </c>
      <c r="U1425" t="str">
        <f>Transactions_RAW_cleaned[[#This Row],[Region ]]&amp;Transactions_RAW_cleaned[[#This Row],[Quarter ]]</f>
        <v>EMEAQ1</v>
      </c>
      <c r="V1425" s="5">
        <f>_xlfn.XLOOKUP(Transactions_RAW_cleaned[[#This Row],[RegionQuarterKey]], Quarterly_Targets_cleaned[RegionQuarterKey], Quarterly_Targets_cleaned[TargetRevenue])</f>
        <v>133000</v>
      </c>
    </row>
    <row r="1426" spans="1:22" x14ac:dyDescent="0.25">
      <c r="A1426" t="s">
        <v>1758</v>
      </c>
      <c r="B1426" s="1">
        <v>45319</v>
      </c>
      <c r="C1426" t="s">
        <v>40</v>
      </c>
      <c r="D1426" t="s">
        <v>303</v>
      </c>
      <c r="E1426">
        <v>32.44</v>
      </c>
      <c r="F1426" t="s">
        <v>324</v>
      </c>
      <c r="G1426" t="s">
        <v>327</v>
      </c>
      <c r="H1426" t="s">
        <v>332</v>
      </c>
      <c r="I1426" t="s">
        <v>17</v>
      </c>
      <c r="J1426" t="s">
        <v>102</v>
      </c>
      <c r="K1426" t="s">
        <v>14</v>
      </c>
      <c r="L1426" t="s">
        <v>304</v>
      </c>
      <c r="M1426" t="s">
        <v>305</v>
      </c>
      <c r="N1426">
        <v>1E-3</v>
      </c>
      <c r="O1426" t="str">
        <f>IF(Transactions_RAW_cleaned[[#This Row],[Status]]="Completed", IFERROR(_xlfn.XLOOKUP(Transactions_RAW_cleaned[[#This Row],[CustomerID]], Customers_cleaned[CustomerID], Customers_cleaned[Segment]), "Customer Not Found"), "N/A")</f>
        <v>Enterprise</v>
      </c>
      <c r="P1426" s="5" t="str">
        <f>IF(Transactions_RAW_cleaned[[#This Row],[Status]]="Refunded", "Refund",
  IF(Transactions_RAW_cleaned[[#This Row],[Category]]="Payments", IF(Transactions_RAW_cleaned[[#This Row],[Amount]]&gt;500,"High Value","Standard"),
    IF(Transactions_RAW_cleaned[[#This Row],[Amount]]&gt;250,"High Value","Standard")))</f>
        <v>Standard</v>
      </c>
      <c r="Q1426" s="5" t="str">
        <f>IF(Transactions_RAW_cleaned[[#This Row],[Amount]] &gt; (_xlfn.XLOOKUP(Transactions_RAW_cleaned[[#This Row],[ServiceID]],Services_cleaned[ServiceID],Services_cleaned[TransactionFeePct]) * 10000), "Yes", "No")</f>
        <v>Yes</v>
      </c>
      <c r="R1426" s="5" t="str">
        <f>IF(COUNTIFS($C$2:Transactions_RAW_cleaned[[#This Row],[CustomerID]],Transactions_RAW_cleaned[[#This Row],[CustomerID]],$D$2:Transactions_RAW_cleaned[[#This Row],[ServiceID]],Transactions_RAW_cleaned[[#This Row],[ServiceID]])=1,"Yes","No")</f>
        <v>Yes</v>
      </c>
      <c r="S142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26" t="str">
        <f>"Q"&amp;ROUNDUP(MONTH(Transactions_RAW_cleaned[[#This Row],[TransactionDate]])/3,0)</f>
        <v>Q1</v>
      </c>
      <c r="U1426" t="str">
        <f>Transactions_RAW_cleaned[[#This Row],[Region ]]&amp;Transactions_RAW_cleaned[[#This Row],[Quarter ]]</f>
        <v>NAQ1</v>
      </c>
      <c r="V1426" s="5">
        <f>_xlfn.XLOOKUP(Transactions_RAW_cleaned[[#This Row],[RegionQuarterKey]], Quarterly_Targets_cleaned[RegionQuarterKey], Quarterly_Targets_cleaned[TargetRevenue])</f>
        <v>247000</v>
      </c>
    </row>
    <row r="1427" spans="1:22" x14ac:dyDescent="0.25">
      <c r="A1427" t="s">
        <v>1759</v>
      </c>
      <c r="B1427" s="1">
        <v>45589</v>
      </c>
      <c r="C1427" t="s">
        <v>123</v>
      </c>
      <c r="D1427" t="s">
        <v>315</v>
      </c>
      <c r="E1427">
        <v>181.84</v>
      </c>
      <c r="F1427" t="s">
        <v>324</v>
      </c>
      <c r="G1427" t="s">
        <v>327</v>
      </c>
      <c r="H1427" t="s">
        <v>346</v>
      </c>
      <c r="I1427" t="s">
        <v>8</v>
      </c>
      <c r="J1427" t="s">
        <v>13</v>
      </c>
      <c r="K1427" t="s">
        <v>32</v>
      </c>
      <c r="L1427" t="s">
        <v>316</v>
      </c>
      <c r="M1427" t="s">
        <v>305</v>
      </c>
      <c r="N1427">
        <v>2.5000000000000001E-3</v>
      </c>
      <c r="O1427" t="str">
        <f>IF(Transactions_RAW_cleaned[[#This Row],[Status]]="Completed", IFERROR(_xlfn.XLOOKUP(Transactions_RAW_cleaned[[#This Row],[CustomerID]], Customers_cleaned[CustomerID], Customers_cleaned[Segment]), "Customer Not Found"), "N/A")</f>
        <v>SMB</v>
      </c>
      <c r="P1427" s="5" t="str">
        <f>IF(Transactions_RAW_cleaned[[#This Row],[Status]]="Refunded", "Refund",
  IF(Transactions_RAW_cleaned[[#This Row],[Category]]="Payments", IF(Transactions_RAW_cleaned[[#This Row],[Amount]]&gt;500,"High Value","Standard"),
    IF(Transactions_RAW_cleaned[[#This Row],[Amount]]&gt;250,"High Value","Standard")))</f>
        <v>Standard</v>
      </c>
      <c r="Q1427" s="5" t="str">
        <f>IF(Transactions_RAW_cleaned[[#This Row],[Amount]] &gt; (_xlfn.XLOOKUP(Transactions_RAW_cleaned[[#This Row],[ServiceID]],Services_cleaned[ServiceID],Services_cleaned[TransactionFeePct]) * 10000), "Yes", "No")</f>
        <v>Yes</v>
      </c>
      <c r="R1427" s="5" t="str">
        <f>IF(COUNTIFS($C$2:Transactions_RAW_cleaned[[#This Row],[CustomerID]],Transactions_RAW_cleaned[[#This Row],[CustomerID]],$D$2:Transactions_RAW_cleaned[[#This Row],[ServiceID]],Transactions_RAW_cleaned[[#This Row],[ServiceID]])=1,"Yes","No")</f>
        <v>No</v>
      </c>
      <c r="S142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27" t="str">
        <f>"Q"&amp;ROUNDUP(MONTH(Transactions_RAW_cleaned[[#This Row],[TransactionDate]])/3,0)</f>
        <v>Q4</v>
      </c>
      <c r="U1427" t="str">
        <f>Transactions_RAW_cleaned[[#This Row],[Region ]]&amp;Transactions_RAW_cleaned[[#This Row],[Quarter ]]</f>
        <v>NAQ4</v>
      </c>
      <c r="V1427" s="5">
        <f>_xlfn.XLOOKUP(Transactions_RAW_cleaned[[#This Row],[RegionQuarterKey]], Quarterly_Targets_cleaned[RegionQuarterKey], Quarterly_Targets_cleaned[TargetRevenue])</f>
        <v>299000</v>
      </c>
    </row>
    <row r="1428" spans="1:22" x14ac:dyDescent="0.25">
      <c r="A1428" t="s">
        <v>1760</v>
      </c>
      <c r="B1428" s="1">
        <v>45585</v>
      </c>
      <c r="C1428" t="s">
        <v>40</v>
      </c>
      <c r="D1428" t="s">
        <v>294</v>
      </c>
      <c r="E1428">
        <v>204.24</v>
      </c>
      <c r="F1428" t="s">
        <v>324</v>
      </c>
      <c r="G1428" t="s">
        <v>329</v>
      </c>
      <c r="I1428" t="s">
        <v>17</v>
      </c>
      <c r="J1428" t="s">
        <v>102</v>
      </c>
      <c r="K1428" t="s">
        <v>14</v>
      </c>
      <c r="L1428" t="s">
        <v>295</v>
      </c>
      <c r="M1428" t="s">
        <v>296</v>
      </c>
      <c r="N1428">
        <v>2.9000000000000001E-2</v>
      </c>
      <c r="O1428" t="str">
        <f>IF(Transactions_RAW_cleaned[[#This Row],[Status]]="Completed", IFERROR(_xlfn.XLOOKUP(Transactions_RAW_cleaned[[#This Row],[CustomerID]], Customers_cleaned[CustomerID], Customers_cleaned[Segment]), "Customer Not Found"), "N/A")</f>
        <v>Enterprise</v>
      </c>
      <c r="P1428" s="5" t="str">
        <f>IF(Transactions_RAW_cleaned[[#This Row],[Status]]="Refunded", "Refund",
  IF(Transactions_RAW_cleaned[[#This Row],[Category]]="Payments", IF(Transactions_RAW_cleaned[[#This Row],[Amount]]&gt;500,"High Value","Standard"),
    IF(Transactions_RAW_cleaned[[#This Row],[Amount]]&gt;250,"High Value","Standard")))</f>
        <v>Standard</v>
      </c>
      <c r="Q1428" s="5" t="str">
        <f>IF(Transactions_RAW_cleaned[[#This Row],[Amount]] &gt; (_xlfn.XLOOKUP(Transactions_RAW_cleaned[[#This Row],[ServiceID]],Services_cleaned[ServiceID],Services_cleaned[TransactionFeePct]) * 10000), "Yes", "No")</f>
        <v>No</v>
      </c>
      <c r="R1428" s="5" t="str">
        <f>IF(COUNTIFS($C$2:Transactions_RAW_cleaned[[#This Row],[CustomerID]],Transactions_RAW_cleaned[[#This Row],[CustomerID]],$D$2:Transactions_RAW_cleaned[[#This Row],[ServiceID]],Transactions_RAW_cleaned[[#This Row],[ServiceID]])=1,"Yes","No")</f>
        <v>No</v>
      </c>
      <c r="S142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28" t="str">
        <f>"Q"&amp;ROUNDUP(MONTH(Transactions_RAW_cleaned[[#This Row],[TransactionDate]])/3,0)</f>
        <v>Q4</v>
      </c>
      <c r="U1428" t="str">
        <f>Transactions_RAW_cleaned[[#This Row],[Region ]]&amp;Transactions_RAW_cleaned[[#This Row],[Quarter ]]</f>
        <v>NAQ4</v>
      </c>
      <c r="V1428" s="5">
        <f>_xlfn.XLOOKUP(Transactions_RAW_cleaned[[#This Row],[RegionQuarterKey]], Quarterly_Targets_cleaned[RegionQuarterKey], Quarterly_Targets_cleaned[TargetRevenue])</f>
        <v>299000</v>
      </c>
    </row>
    <row r="1429" spans="1:22" x14ac:dyDescent="0.25">
      <c r="A1429" t="s">
        <v>1761</v>
      </c>
      <c r="B1429" s="1">
        <v>45408</v>
      </c>
      <c r="C1429" t="s">
        <v>96</v>
      </c>
      <c r="D1429" t="s">
        <v>312</v>
      </c>
      <c r="E1429">
        <v>205.27</v>
      </c>
      <c r="F1429" t="s">
        <v>324</v>
      </c>
      <c r="G1429" t="s">
        <v>327</v>
      </c>
      <c r="H1429" t="s">
        <v>332</v>
      </c>
      <c r="I1429" t="s">
        <v>17</v>
      </c>
      <c r="J1429" t="s">
        <v>31</v>
      </c>
      <c r="K1429" t="s">
        <v>14</v>
      </c>
      <c r="L1429" t="s">
        <v>313</v>
      </c>
      <c r="M1429" t="s">
        <v>314</v>
      </c>
      <c r="N1429">
        <v>0</v>
      </c>
      <c r="O1429" t="str">
        <f>IF(Transactions_RAW_cleaned[[#This Row],[Status]]="Completed", IFERROR(_xlfn.XLOOKUP(Transactions_RAW_cleaned[[#This Row],[CustomerID]], Customers_cleaned[CustomerID], Customers_cleaned[Segment]), "Customer Not Found"), "N/A")</f>
        <v>Enterprise</v>
      </c>
      <c r="P1429" s="5" t="str">
        <f>IF(Transactions_RAW_cleaned[[#This Row],[Status]]="Refunded", "Refund",
  IF(Transactions_RAW_cleaned[[#This Row],[Category]]="Payments", IF(Transactions_RAW_cleaned[[#This Row],[Amount]]&gt;500,"High Value","Standard"),
    IF(Transactions_RAW_cleaned[[#This Row],[Amount]]&gt;250,"High Value","Standard")))</f>
        <v>Standard</v>
      </c>
      <c r="Q1429" s="5" t="str">
        <f>IF(Transactions_RAW_cleaned[[#This Row],[Amount]] &gt; (_xlfn.XLOOKUP(Transactions_RAW_cleaned[[#This Row],[ServiceID]],Services_cleaned[ServiceID],Services_cleaned[TransactionFeePct]) * 10000), "Yes", "No")</f>
        <v>Yes</v>
      </c>
      <c r="R1429" s="5" t="str">
        <f>IF(COUNTIFS($C$2:Transactions_RAW_cleaned[[#This Row],[CustomerID]],Transactions_RAW_cleaned[[#This Row],[CustomerID]],$D$2:Transactions_RAW_cleaned[[#This Row],[ServiceID]],Transactions_RAW_cleaned[[#This Row],[ServiceID]])=1,"Yes","No")</f>
        <v>Yes</v>
      </c>
      <c r="S142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29" t="str">
        <f>"Q"&amp;ROUNDUP(MONTH(Transactions_RAW_cleaned[[#This Row],[TransactionDate]])/3,0)</f>
        <v>Q2</v>
      </c>
      <c r="U1429" t="str">
        <f>Transactions_RAW_cleaned[[#This Row],[Region ]]&amp;Transactions_RAW_cleaned[[#This Row],[Quarter ]]</f>
        <v>EMEAQ2</v>
      </c>
      <c r="V1429" s="5">
        <f>_xlfn.XLOOKUP(Transactions_RAW_cleaned[[#This Row],[RegionQuarterKey]], Quarterly_Targets_cleaned[RegionQuarterKey], Quarterly_Targets_cleaned[TargetRevenue])</f>
        <v>140000</v>
      </c>
    </row>
    <row r="1430" spans="1:22" x14ac:dyDescent="0.25">
      <c r="A1430" t="s">
        <v>1762</v>
      </c>
      <c r="B1430" s="1">
        <v>45470</v>
      </c>
      <c r="C1430" t="s">
        <v>80</v>
      </c>
      <c r="D1430" t="s">
        <v>294</v>
      </c>
      <c r="E1430">
        <v>380.58</v>
      </c>
      <c r="F1430" t="s">
        <v>324</v>
      </c>
      <c r="G1430" t="s">
        <v>325</v>
      </c>
      <c r="I1430" t="s">
        <v>8</v>
      </c>
      <c r="J1430" t="s">
        <v>13</v>
      </c>
      <c r="K1430" t="s">
        <v>32</v>
      </c>
      <c r="L1430" t="s">
        <v>295</v>
      </c>
      <c r="M1430" t="s">
        <v>296</v>
      </c>
      <c r="N1430">
        <v>2.9000000000000001E-2</v>
      </c>
      <c r="O1430" t="str">
        <f>IF(Transactions_RAW_cleaned[[#This Row],[Status]]="Completed", IFERROR(_xlfn.XLOOKUP(Transactions_RAW_cleaned[[#This Row],[CustomerID]], Customers_cleaned[CustomerID], Customers_cleaned[Segment]), "Customer Not Found"), "N/A")</f>
        <v>SMB</v>
      </c>
      <c r="P1430" s="5" t="str">
        <f>IF(Transactions_RAW_cleaned[[#This Row],[Status]]="Refunded", "Refund",
  IF(Transactions_RAW_cleaned[[#This Row],[Category]]="Payments", IF(Transactions_RAW_cleaned[[#This Row],[Amount]]&gt;500,"High Value","Standard"),
    IF(Transactions_RAW_cleaned[[#This Row],[Amount]]&gt;250,"High Value","Standard")))</f>
        <v>Standard</v>
      </c>
      <c r="Q1430" s="5" t="str">
        <f>IF(Transactions_RAW_cleaned[[#This Row],[Amount]] &gt; (_xlfn.XLOOKUP(Transactions_RAW_cleaned[[#This Row],[ServiceID]],Services_cleaned[ServiceID],Services_cleaned[TransactionFeePct]) * 10000), "Yes", "No")</f>
        <v>Yes</v>
      </c>
      <c r="R1430" s="5" t="str">
        <f>IF(COUNTIFS($C$2:Transactions_RAW_cleaned[[#This Row],[CustomerID]],Transactions_RAW_cleaned[[#This Row],[CustomerID]],$D$2:Transactions_RAW_cleaned[[#This Row],[ServiceID]],Transactions_RAW_cleaned[[#This Row],[ServiceID]])=1,"Yes","No")</f>
        <v>No</v>
      </c>
      <c r="S143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30" t="str">
        <f>"Q"&amp;ROUNDUP(MONTH(Transactions_RAW_cleaned[[#This Row],[TransactionDate]])/3,0)</f>
        <v>Q2</v>
      </c>
      <c r="U1430" t="str">
        <f>Transactions_RAW_cleaned[[#This Row],[Region ]]&amp;Transactions_RAW_cleaned[[#This Row],[Quarter ]]</f>
        <v>NAQ2</v>
      </c>
      <c r="V1430" s="5">
        <f>_xlfn.XLOOKUP(Transactions_RAW_cleaned[[#This Row],[RegionQuarterKey]], Quarterly_Targets_cleaned[RegionQuarterKey], Quarterly_Targets_cleaned[TargetRevenue])</f>
        <v>260000</v>
      </c>
    </row>
    <row r="1431" spans="1:22" x14ac:dyDescent="0.25">
      <c r="A1431" t="s">
        <v>1763</v>
      </c>
      <c r="B1431" s="1">
        <v>45653</v>
      </c>
      <c r="C1431" t="s">
        <v>275</v>
      </c>
      <c r="D1431" t="s">
        <v>294</v>
      </c>
      <c r="E1431">
        <v>246.4</v>
      </c>
      <c r="F1431" t="s">
        <v>324</v>
      </c>
      <c r="G1431" t="s">
        <v>325</v>
      </c>
      <c r="I1431" t="s">
        <v>57</v>
      </c>
      <c r="J1431" t="s">
        <v>13</v>
      </c>
      <c r="K1431" t="s">
        <v>22</v>
      </c>
      <c r="L1431" t="s">
        <v>295</v>
      </c>
      <c r="M1431" t="s">
        <v>296</v>
      </c>
      <c r="N1431">
        <v>2.9000000000000001E-2</v>
      </c>
      <c r="O1431" t="str">
        <f>IF(Transactions_RAW_cleaned[[#This Row],[Status]]="Completed", IFERROR(_xlfn.XLOOKUP(Transactions_RAW_cleaned[[#This Row],[CustomerID]], Customers_cleaned[CustomerID], Customers_cleaned[Segment]), "Customer Not Found"), "N/A")</f>
        <v>Startup</v>
      </c>
      <c r="P1431" s="5" t="str">
        <f>IF(Transactions_RAW_cleaned[[#This Row],[Status]]="Refunded", "Refund",
  IF(Transactions_RAW_cleaned[[#This Row],[Category]]="Payments", IF(Transactions_RAW_cleaned[[#This Row],[Amount]]&gt;500,"High Value","Standard"),
    IF(Transactions_RAW_cleaned[[#This Row],[Amount]]&gt;250,"High Value","Standard")))</f>
        <v>Standard</v>
      </c>
      <c r="Q1431" s="5" t="str">
        <f>IF(Transactions_RAW_cleaned[[#This Row],[Amount]] &gt; (_xlfn.XLOOKUP(Transactions_RAW_cleaned[[#This Row],[ServiceID]],Services_cleaned[ServiceID],Services_cleaned[TransactionFeePct]) * 10000), "Yes", "No")</f>
        <v>No</v>
      </c>
      <c r="R1431" s="5" t="str">
        <f>IF(COUNTIFS($C$2:Transactions_RAW_cleaned[[#This Row],[CustomerID]],Transactions_RAW_cleaned[[#This Row],[CustomerID]],$D$2:Transactions_RAW_cleaned[[#This Row],[ServiceID]],Transactions_RAW_cleaned[[#This Row],[ServiceID]])=1,"Yes","No")</f>
        <v>No</v>
      </c>
      <c r="S143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31" t="str">
        <f>"Q"&amp;ROUNDUP(MONTH(Transactions_RAW_cleaned[[#This Row],[TransactionDate]])/3,0)</f>
        <v>Q4</v>
      </c>
      <c r="U1431" t="str">
        <f>Transactions_RAW_cleaned[[#This Row],[Region ]]&amp;Transactions_RAW_cleaned[[#This Row],[Quarter ]]</f>
        <v>NAQ4</v>
      </c>
      <c r="V1431" s="5">
        <f>_xlfn.XLOOKUP(Transactions_RAW_cleaned[[#This Row],[RegionQuarterKey]], Quarterly_Targets_cleaned[RegionQuarterKey], Quarterly_Targets_cleaned[TargetRevenue])</f>
        <v>299000</v>
      </c>
    </row>
    <row r="1432" spans="1:22" x14ac:dyDescent="0.25">
      <c r="A1432" t="s">
        <v>1764</v>
      </c>
      <c r="B1432" s="1">
        <v>45370</v>
      </c>
      <c r="C1432" t="s">
        <v>47</v>
      </c>
      <c r="D1432" t="s">
        <v>297</v>
      </c>
      <c r="E1432">
        <v>-230.59</v>
      </c>
      <c r="F1432" t="s">
        <v>349</v>
      </c>
      <c r="G1432" t="s">
        <v>325</v>
      </c>
      <c r="H1432" t="s">
        <v>334</v>
      </c>
      <c r="I1432" t="s">
        <v>8</v>
      </c>
      <c r="J1432" t="s">
        <v>21</v>
      </c>
      <c r="K1432" t="s">
        <v>22</v>
      </c>
      <c r="L1432" t="s">
        <v>298</v>
      </c>
      <c r="M1432" t="s">
        <v>299</v>
      </c>
      <c r="N1432">
        <v>0</v>
      </c>
      <c r="O1432" t="str">
        <f>IF(Transactions_RAW_cleaned[[#This Row],[Status]]="Completed", IFERROR(_xlfn.XLOOKUP(Transactions_RAW_cleaned[[#This Row],[CustomerID]], Customers_cleaned[CustomerID], Customers_cleaned[Segment]), "Customer Not Found"), "N/A")</f>
        <v>N/A</v>
      </c>
      <c r="P1432" s="5" t="str">
        <f>IF(Transactions_RAW_cleaned[[#This Row],[Status]]="Refunded", "Refund",
  IF(Transactions_RAW_cleaned[[#This Row],[Category]]="Payments", IF(Transactions_RAW_cleaned[[#This Row],[Amount]]&gt;500,"High Value","Standard"),
    IF(Transactions_RAW_cleaned[[#This Row],[Amount]]&gt;250,"High Value","Standard")))</f>
        <v>Refund</v>
      </c>
      <c r="Q1432" s="5" t="str">
        <f>IF(Transactions_RAW_cleaned[[#This Row],[Amount]] &gt; (_xlfn.XLOOKUP(Transactions_RAW_cleaned[[#This Row],[ServiceID]],Services_cleaned[ServiceID],Services_cleaned[TransactionFeePct]) * 10000), "Yes", "No")</f>
        <v>No</v>
      </c>
      <c r="R1432" s="5" t="str">
        <f>IF(COUNTIFS($C$2:Transactions_RAW_cleaned[[#This Row],[CustomerID]],Transactions_RAW_cleaned[[#This Row],[CustomerID]],$D$2:Transactions_RAW_cleaned[[#This Row],[ServiceID]],Transactions_RAW_cleaned[[#This Row],[ServiceID]])=1,"Yes","No")</f>
        <v>No</v>
      </c>
      <c r="S143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32" t="str">
        <f>"Q"&amp;ROUNDUP(MONTH(Transactions_RAW_cleaned[[#This Row],[TransactionDate]])/3,0)</f>
        <v>Q1</v>
      </c>
      <c r="U1432" t="str">
        <f>Transactions_RAW_cleaned[[#This Row],[Region ]]&amp;Transactions_RAW_cleaned[[#This Row],[Quarter ]]</f>
        <v>APACQ1</v>
      </c>
      <c r="V1432" s="5">
        <f>_xlfn.XLOOKUP(Transactions_RAW_cleaned[[#This Row],[RegionQuarterKey]], Quarterly_Targets_cleaned[RegionQuarterKey], Quarterly_Targets_cleaned[TargetRevenue])</f>
        <v>104500</v>
      </c>
    </row>
    <row r="1433" spans="1:22" x14ac:dyDescent="0.25">
      <c r="A1433" t="s">
        <v>1765</v>
      </c>
      <c r="B1433" s="1">
        <v>45586</v>
      </c>
      <c r="C1433" t="s">
        <v>1766</v>
      </c>
      <c r="D1433" t="s">
        <v>303</v>
      </c>
      <c r="E1433">
        <v>411.93</v>
      </c>
      <c r="F1433" t="s">
        <v>324</v>
      </c>
      <c r="G1433" t="s">
        <v>2963</v>
      </c>
      <c r="L1433" t="s">
        <v>304</v>
      </c>
      <c r="M1433" t="s">
        <v>305</v>
      </c>
      <c r="N1433">
        <v>1E-3</v>
      </c>
      <c r="O1433" t="str">
        <f>IF(Transactions_RAW_cleaned[[#This Row],[Status]]="Completed", IFERROR(_xlfn.XLOOKUP(Transactions_RAW_cleaned[[#This Row],[CustomerID]], Customers_cleaned[CustomerID], Customers_cleaned[Segment]), "Customer Not Found"), "N/A")</f>
        <v>Customer Not Found</v>
      </c>
      <c r="P1433" s="5" t="str">
        <f>IF(Transactions_RAW_cleaned[[#This Row],[Status]]="Refunded", "Refund",
  IF(Transactions_RAW_cleaned[[#This Row],[Category]]="Payments", IF(Transactions_RAW_cleaned[[#This Row],[Amount]]&gt;500,"High Value","Standard"),
    IF(Transactions_RAW_cleaned[[#This Row],[Amount]]&gt;250,"High Value","Standard")))</f>
        <v>High Value</v>
      </c>
      <c r="Q1433" s="5" t="str">
        <f>IF(Transactions_RAW_cleaned[[#This Row],[Amount]] &gt; (_xlfn.XLOOKUP(Transactions_RAW_cleaned[[#This Row],[ServiceID]],Services_cleaned[ServiceID],Services_cleaned[TransactionFeePct]) * 10000), "Yes", "No")</f>
        <v>Yes</v>
      </c>
      <c r="R1433" s="5" t="str">
        <f>IF(COUNTIFS($C$2:Transactions_RAW_cleaned[[#This Row],[CustomerID]],Transactions_RAW_cleaned[[#This Row],[CustomerID]],$D$2:Transactions_RAW_cleaned[[#This Row],[ServiceID]],Transactions_RAW_cleaned[[#This Row],[ServiceID]])=1,"Yes","No")</f>
        <v>Yes</v>
      </c>
      <c r="S143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33" t="str">
        <f>"Q"&amp;ROUNDUP(MONTH(Transactions_RAW_cleaned[[#This Row],[TransactionDate]])/3,0)</f>
        <v>Q4</v>
      </c>
      <c r="U1433" t="str">
        <f>Transactions_RAW_cleaned[[#This Row],[Region ]]&amp;Transactions_RAW_cleaned[[#This Row],[Quarter ]]</f>
        <v>APACQ4</v>
      </c>
      <c r="V1433" s="5">
        <f>_xlfn.XLOOKUP(Transactions_RAW_cleaned[[#This Row],[RegionQuarterKey]], Quarterly_Targets_cleaned[RegionQuarterKey], Quarterly_Targets_cleaned[TargetRevenue])</f>
        <v>126500</v>
      </c>
    </row>
    <row r="1434" spans="1:22" x14ac:dyDescent="0.25">
      <c r="A1434" t="s">
        <v>1767</v>
      </c>
      <c r="B1434" s="1">
        <v>45566</v>
      </c>
      <c r="C1434" t="s">
        <v>119</v>
      </c>
      <c r="D1434" t="s">
        <v>303</v>
      </c>
      <c r="E1434">
        <v>327.43</v>
      </c>
      <c r="F1434" t="s">
        <v>324</v>
      </c>
      <c r="G1434" t="s">
        <v>325</v>
      </c>
      <c r="I1434" t="s">
        <v>57</v>
      </c>
      <c r="J1434" t="s">
        <v>102</v>
      </c>
      <c r="K1434" t="s">
        <v>18</v>
      </c>
      <c r="L1434" t="s">
        <v>304</v>
      </c>
      <c r="M1434" t="s">
        <v>305</v>
      </c>
      <c r="N1434">
        <v>1E-3</v>
      </c>
      <c r="O1434" t="str">
        <f>IF(Transactions_RAW_cleaned[[#This Row],[Status]]="Completed", IFERROR(_xlfn.XLOOKUP(Transactions_RAW_cleaned[[#This Row],[CustomerID]], Customers_cleaned[CustomerID], Customers_cleaned[Segment]), "Customer Not Found"), "N/A")</f>
        <v>Startup</v>
      </c>
      <c r="P1434" s="5" t="str">
        <f>IF(Transactions_RAW_cleaned[[#This Row],[Status]]="Refunded", "Refund",
  IF(Transactions_RAW_cleaned[[#This Row],[Category]]="Payments", IF(Transactions_RAW_cleaned[[#This Row],[Amount]]&gt;500,"High Value","Standard"),
    IF(Transactions_RAW_cleaned[[#This Row],[Amount]]&gt;250,"High Value","Standard")))</f>
        <v>High Value</v>
      </c>
      <c r="Q1434" s="5" t="str">
        <f>IF(Transactions_RAW_cleaned[[#This Row],[Amount]] &gt; (_xlfn.XLOOKUP(Transactions_RAW_cleaned[[#This Row],[ServiceID]],Services_cleaned[ServiceID],Services_cleaned[TransactionFeePct]) * 10000), "Yes", "No")</f>
        <v>Yes</v>
      </c>
      <c r="R1434" s="5" t="str">
        <f>IF(COUNTIFS($C$2:Transactions_RAW_cleaned[[#This Row],[CustomerID]],Transactions_RAW_cleaned[[#This Row],[CustomerID]],$D$2:Transactions_RAW_cleaned[[#This Row],[ServiceID]],Transactions_RAW_cleaned[[#This Row],[ServiceID]])=1,"Yes","No")</f>
        <v>No</v>
      </c>
      <c r="S143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34" t="str">
        <f>"Q"&amp;ROUNDUP(MONTH(Transactions_RAW_cleaned[[#This Row],[TransactionDate]])/3,0)</f>
        <v>Q4</v>
      </c>
      <c r="U1434" t="str">
        <f>Transactions_RAW_cleaned[[#This Row],[Region ]]&amp;Transactions_RAW_cleaned[[#This Row],[Quarter ]]</f>
        <v>NAQ4</v>
      </c>
      <c r="V1434" s="5">
        <f>_xlfn.XLOOKUP(Transactions_RAW_cleaned[[#This Row],[RegionQuarterKey]], Quarterly_Targets_cleaned[RegionQuarterKey], Quarterly_Targets_cleaned[TargetRevenue])</f>
        <v>299000</v>
      </c>
    </row>
    <row r="1435" spans="1:22" x14ac:dyDescent="0.25">
      <c r="A1435" t="s">
        <v>1768</v>
      </c>
      <c r="B1435" s="1">
        <v>45536</v>
      </c>
      <c r="C1435" t="s">
        <v>223</v>
      </c>
      <c r="D1435" t="s">
        <v>315</v>
      </c>
      <c r="E1435">
        <v>197.21</v>
      </c>
      <c r="F1435" t="s">
        <v>324</v>
      </c>
      <c r="G1435" t="s">
        <v>325</v>
      </c>
      <c r="H1435" t="s">
        <v>332</v>
      </c>
      <c r="I1435" t="s">
        <v>8</v>
      </c>
      <c r="J1435" t="s">
        <v>102</v>
      </c>
      <c r="K1435" t="s">
        <v>28</v>
      </c>
      <c r="L1435" t="s">
        <v>316</v>
      </c>
      <c r="M1435" t="s">
        <v>305</v>
      </c>
      <c r="N1435">
        <v>2.5000000000000001E-3</v>
      </c>
      <c r="O1435" t="str">
        <f>IF(Transactions_RAW_cleaned[[#This Row],[Status]]="Completed", IFERROR(_xlfn.XLOOKUP(Transactions_RAW_cleaned[[#This Row],[CustomerID]], Customers_cleaned[CustomerID], Customers_cleaned[Segment]), "Customer Not Found"), "N/A")</f>
        <v>SMB</v>
      </c>
      <c r="P1435" s="5" t="str">
        <f>IF(Transactions_RAW_cleaned[[#This Row],[Status]]="Refunded", "Refund",
  IF(Transactions_RAW_cleaned[[#This Row],[Category]]="Payments", IF(Transactions_RAW_cleaned[[#This Row],[Amount]]&gt;500,"High Value","Standard"),
    IF(Transactions_RAW_cleaned[[#This Row],[Amount]]&gt;250,"High Value","Standard")))</f>
        <v>Standard</v>
      </c>
      <c r="Q1435" s="5" t="str">
        <f>IF(Transactions_RAW_cleaned[[#This Row],[Amount]] &gt; (_xlfn.XLOOKUP(Transactions_RAW_cleaned[[#This Row],[ServiceID]],Services_cleaned[ServiceID],Services_cleaned[TransactionFeePct]) * 10000), "Yes", "No")</f>
        <v>Yes</v>
      </c>
      <c r="R1435" s="5" t="str">
        <f>IF(COUNTIFS($C$2:Transactions_RAW_cleaned[[#This Row],[CustomerID]],Transactions_RAW_cleaned[[#This Row],[CustomerID]],$D$2:Transactions_RAW_cleaned[[#This Row],[ServiceID]],Transactions_RAW_cleaned[[#This Row],[ServiceID]])=1,"Yes","No")</f>
        <v>Yes</v>
      </c>
      <c r="S143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35" t="str">
        <f>"Q"&amp;ROUNDUP(MONTH(Transactions_RAW_cleaned[[#This Row],[TransactionDate]])/3,0)</f>
        <v>Q3</v>
      </c>
      <c r="U1435" t="str">
        <f>Transactions_RAW_cleaned[[#This Row],[Region ]]&amp;Transactions_RAW_cleaned[[#This Row],[Quarter ]]</f>
        <v>NAQ3</v>
      </c>
      <c r="V1435" s="5">
        <f>_xlfn.XLOOKUP(Transactions_RAW_cleaned[[#This Row],[RegionQuarterKey]], Quarterly_Targets_cleaned[RegionQuarterKey], Quarterly_Targets_cleaned[TargetRevenue])</f>
        <v>273000</v>
      </c>
    </row>
    <row r="1436" spans="1:22" x14ac:dyDescent="0.25">
      <c r="A1436" t="s">
        <v>1769</v>
      </c>
      <c r="B1436" s="1">
        <v>45411</v>
      </c>
      <c r="C1436" t="s">
        <v>33</v>
      </c>
      <c r="D1436" t="s">
        <v>297</v>
      </c>
      <c r="E1436">
        <v>598.6</v>
      </c>
      <c r="F1436" t="s">
        <v>331</v>
      </c>
      <c r="G1436" t="s">
        <v>327</v>
      </c>
      <c r="H1436" t="s">
        <v>332</v>
      </c>
      <c r="I1436" t="s">
        <v>17</v>
      </c>
      <c r="J1436" t="s">
        <v>31</v>
      </c>
      <c r="K1436" t="s">
        <v>14</v>
      </c>
      <c r="L1436" t="s">
        <v>298</v>
      </c>
      <c r="M1436" t="s">
        <v>299</v>
      </c>
      <c r="N1436">
        <v>0</v>
      </c>
      <c r="O1436" t="str">
        <f>IF(Transactions_RAW_cleaned[[#This Row],[Status]]="Completed", IFERROR(_xlfn.XLOOKUP(Transactions_RAW_cleaned[[#This Row],[CustomerID]], Customers_cleaned[CustomerID], Customers_cleaned[Segment]), "Customer Not Found"), "N/A")</f>
        <v>N/A</v>
      </c>
      <c r="P1436" s="5" t="str">
        <f>IF(Transactions_RAW_cleaned[[#This Row],[Status]]="Refunded", "Refund",
  IF(Transactions_RAW_cleaned[[#This Row],[Category]]="Payments", IF(Transactions_RAW_cleaned[[#This Row],[Amount]]&gt;500,"High Value","Standard"),
    IF(Transactions_RAW_cleaned[[#This Row],[Amount]]&gt;250,"High Value","Standard")))</f>
        <v>High Value</v>
      </c>
      <c r="Q1436" s="5" t="str">
        <f>IF(Transactions_RAW_cleaned[[#This Row],[Amount]] &gt; (_xlfn.XLOOKUP(Transactions_RAW_cleaned[[#This Row],[ServiceID]],Services_cleaned[ServiceID],Services_cleaned[TransactionFeePct]) * 10000), "Yes", "No")</f>
        <v>Yes</v>
      </c>
      <c r="R1436" s="5" t="str">
        <f>IF(COUNTIFS($C$2:Transactions_RAW_cleaned[[#This Row],[CustomerID]],Transactions_RAW_cleaned[[#This Row],[CustomerID]],$D$2:Transactions_RAW_cleaned[[#This Row],[ServiceID]],Transactions_RAW_cleaned[[#This Row],[ServiceID]])=1,"Yes","No")</f>
        <v>No</v>
      </c>
      <c r="S143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36" t="str">
        <f>"Q"&amp;ROUNDUP(MONTH(Transactions_RAW_cleaned[[#This Row],[TransactionDate]])/3,0)</f>
        <v>Q2</v>
      </c>
      <c r="U1436" t="str">
        <f>Transactions_RAW_cleaned[[#This Row],[Region ]]&amp;Transactions_RAW_cleaned[[#This Row],[Quarter ]]</f>
        <v>EMEAQ2</v>
      </c>
      <c r="V1436" s="5">
        <f>_xlfn.XLOOKUP(Transactions_RAW_cleaned[[#This Row],[RegionQuarterKey]], Quarterly_Targets_cleaned[RegionQuarterKey], Quarterly_Targets_cleaned[TargetRevenue])</f>
        <v>140000</v>
      </c>
    </row>
    <row r="1437" spans="1:22" x14ac:dyDescent="0.25">
      <c r="A1437" t="s">
        <v>1770</v>
      </c>
      <c r="B1437" s="1">
        <v>45625</v>
      </c>
      <c r="C1437" t="s">
        <v>1771</v>
      </c>
      <c r="D1437" t="s">
        <v>312</v>
      </c>
      <c r="E1437">
        <v>546.91999999999996</v>
      </c>
      <c r="F1437" t="s">
        <v>324</v>
      </c>
      <c r="G1437" t="s">
        <v>327</v>
      </c>
      <c r="L1437" t="s">
        <v>313</v>
      </c>
      <c r="M1437" t="s">
        <v>314</v>
      </c>
      <c r="N1437">
        <v>0</v>
      </c>
      <c r="O1437" t="str">
        <f>IF(Transactions_RAW_cleaned[[#This Row],[Status]]="Completed", IFERROR(_xlfn.XLOOKUP(Transactions_RAW_cleaned[[#This Row],[CustomerID]], Customers_cleaned[CustomerID], Customers_cleaned[Segment]), "Customer Not Found"), "N/A")</f>
        <v>Customer Not Found</v>
      </c>
      <c r="P1437" s="5" t="str">
        <f>IF(Transactions_RAW_cleaned[[#This Row],[Status]]="Refunded", "Refund",
  IF(Transactions_RAW_cleaned[[#This Row],[Category]]="Payments", IF(Transactions_RAW_cleaned[[#This Row],[Amount]]&gt;500,"High Value","Standard"),
    IF(Transactions_RAW_cleaned[[#This Row],[Amount]]&gt;250,"High Value","Standard")))</f>
        <v>High Value</v>
      </c>
      <c r="Q1437" s="5" t="str">
        <f>IF(Transactions_RAW_cleaned[[#This Row],[Amount]] &gt; (_xlfn.XLOOKUP(Transactions_RAW_cleaned[[#This Row],[ServiceID]],Services_cleaned[ServiceID],Services_cleaned[TransactionFeePct]) * 10000), "Yes", "No")</f>
        <v>Yes</v>
      </c>
      <c r="R1437" s="5" t="str">
        <f>IF(COUNTIFS($C$2:Transactions_RAW_cleaned[[#This Row],[CustomerID]],Transactions_RAW_cleaned[[#This Row],[CustomerID]],$D$2:Transactions_RAW_cleaned[[#This Row],[ServiceID]],Transactions_RAW_cleaned[[#This Row],[ServiceID]])=1,"Yes","No")</f>
        <v>Yes</v>
      </c>
      <c r="S143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37" t="str">
        <f>"Q"&amp;ROUNDUP(MONTH(Transactions_RAW_cleaned[[#This Row],[TransactionDate]])/3,0)</f>
        <v>Q4</v>
      </c>
      <c r="U1437" t="str">
        <f>Transactions_RAW_cleaned[[#This Row],[Region ]]&amp;Transactions_RAW_cleaned[[#This Row],[Quarter ]]</f>
        <v>APACQ4</v>
      </c>
      <c r="V1437" s="5">
        <f>_xlfn.XLOOKUP(Transactions_RAW_cleaned[[#This Row],[RegionQuarterKey]], Quarterly_Targets_cleaned[RegionQuarterKey], Quarterly_Targets_cleaned[TargetRevenue])</f>
        <v>126500</v>
      </c>
    </row>
    <row r="1438" spans="1:22" x14ac:dyDescent="0.25">
      <c r="A1438" t="s">
        <v>1772</v>
      </c>
      <c r="B1438" s="1">
        <v>45337</v>
      </c>
      <c r="C1438" t="s">
        <v>98</v>
      </c>
      <c r="D1438" t="s">
        <v>294</v>
      </c>
      <c r="E1438">
        <v>294.16000000000003</v>
      </c>
      <c r="F1438" t="s">
        <v>324</v>
      </c>
      <c r="G1438" t="s">
        <v>325</v>
      </c>
      <c r="I1438" t="s">
        <v>8</v>
      </c>
      <c r="J1438" t="s">
        <v>37</v>
      </c>
      <c r="K1438" t="s">
        <v>18</v>
      </c>
      <c r="L1438" t="s">
        <v>295</v>
      </c>
      <c r="M1438" t="s">
        <v>296</v>
      </c>
      <c r="N1438">
        <v>2.9000000000000001E-2</v>
      </c>
      <c r="O1438" t="str">
        <f>IF(Transactions_RAW_cleaned[[#This Row],[Status]]="Completed", IFERROR(_xlfn.XLOOKUP(Transactions_RAW_cleaned[[#This Row],[CustomerID]], Customers_cleaned[CustomerID], Customers_cleaned[Segment]), "Customer Not Found"), "N/A")</f>
        <v>SMB</v>
      </c>
      <c r="P1438" s="5" t="str">
        <f>IF(Transactions_RAW_cleaned[[#This Row],[Status]]="Refunded", "Refund",
  IF(Transactions_RAW_cleaned[[#This Row],[Category]]="Payments", IF(Transactions_RAW_cleaned[[#This Row],[Amount]]&gt;500,"High Value","Standard"),
    IF(Transactions_RAW_cleaned[[#This Row],[Amount]]&gt;250,"High Value","Standard")))</f>
        <v>Standard</v>
      </c>
      <c r="Q1438" s="5" t="str">
        <f>IF(Transactions_RAW_cleaned[[#This Row],[Amount]] &gt; (_xlfn.XLOOKUP(Transactions_RAW_cleaned[[#This Row],[ServiceID]],Services_cleaned[ServiceID],Services_cleaned[TransactionFeePct]) * 10000), "Yes", "No")</f>
        <v>Yes</v>
      </c>
      <c r="R1438" s="5" t="str">
        <f>IF(COUNTIFS($C$2:Transactions_RAW_cleaned[[#This Row],[CustomerID]],Transactions_RAW_cleaned[[#This Row],[CustomerID]],$D$2:Transactions_RAW_cleaned[[#This Row],[ServiceID]],Transactions_RAW_cleaned[[#This Row],[ServiceID]])=1,"Yes","No")</f>
        <v>No</v>
      </c>
      <c r="S143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38" t="str">
        <f>"Q"&amp;ROUNDUP(MONTH(Transactions_RAW_cleaned[[#This Row],[TransactionDate]])/3,0)</f>
        <v>Q1</v>
      </c>
      <c r="U1438" t="str">
        <f>Transactions_RAW_cleaned[[#This Row],[Region ]]&amp;Transactions_RAW_cleaned[[#This Row],[Quarter ]]</f>
        <v>EMEAQ1</v>
      </c>
      <c r="V1438" s="5">
        <f>_xlfn.XLOOKUP(Transactions_RAW_cleaned[[#This Row],[RegionQuarterKey]], Quarterly_Targets_cleaned[RegionQuarterKey], Quarterly_Targets_cleaned[TargetRevenue])</f>
        <v>133000</v>
      </c>
    </row>
    <row r="1439" spans="1:22" x14ac:dyDescent="0.25">
      <c r="A1439" t="s">
        <v>1773</v>
      </c>
      <c r="B1439" s="1">
        <v>45327</v>
      </c>
      <c r="C1439" t="s">
        <v>167</v>
      </c>
      <c r="D1439" t="s">
        <v>294</v>
      </c>
      <c r="E1439">
        <v>61.84</v>
      </c>
      <c r="F1439" t="s">
        <v>324</v>
      </c>
      <c r="G1439" t="s">
        <v>325</v>
      </c>
      <c r="H1439" t="s">
        <v>332</v>
      </c>
      <c r="I1439" t="s">
        <v>17</v>
      </c>
      <c r="J1439" t="s">
        <v>13</v>
      </c>
      <c r="K1439" t="s">
        <v>10</v>
      </c>
      <c r="L1439" t="s">
        <v>295</v>
      </c>
      <c r="M1439" t="s">
        <v>296</v>
      </c>
      <c r="N1439">
        <v>2.9000000000000001E-2</v>
      </c>
      <c r="O1439" t="str">
        <f>IF(Transactions_RAW_cleaned[[#This Row],[Status]]="Completed", IFERROR(_xlfn.XLOOKUP(Transactions_RAW_cleaned[[#This Row],[CustomerID]], Customers_cleaned[CustomerID], Customers_cleaned[Segment]), "Customer Not Found"), "N/A")</f>
        <v>Enterprise</v>
      </c>
      <c r="P1439" s="5" t="str">
        <f>IF(Transactions_RAW_cleaned[[#This Row],[Status]]="Refunded", "Refund",
  IF(Transactions_RAW_cleaned[[#This Row],[Category]]="Payments", IF(Transactions_RAW_cleaned[[#This Row],[Amount]]&gt;500,"High Value","Standard"),
    IF(Transactions_RAW_cleaned[[#This Row],[Amount]]&gt;250,"High Value","Standard")))</f>
        <v>Standard</v>
      </c>
      <c r="Q1439" s="5" t="str">
        <f>IF(Transactions_RAW_cleaned[[#This Row],[Amount]] &gt; (_xlfn.XLOOKUP(Transactions_RAW_cleaned[[#This Row],[ServiceID]],Services_cleaned[ServiceID],Services_cleaned[TransactionFeePct]) * 10000), "Yes", "No")</f>
        <v>No</v>
      </c>
      <c r="R1439" s="5" t="str">
        <f>IF(COUNTIFS($C$2:Transactions_RAW_cleaned[[#This Row],[CustomerID]],Transactions_RAW_cleaned[[#This Row],[CustomerID]],$D$2:Transactions_RAW_cleaned[[#This Row],[ServiceID]],Transactions_RAW_cleaned[[#This Row],[ServiceID]])=1,"Yes","No")</f>
        <v>No</v>
      </c>
      <c r="S143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39" t="str">
        <f>"Q"&amp;ROUNDUP(MONTH(Transactions_RAW_cleaned[[#This Row],[TransactionDate]])/3,0)</f>
        <v>Q1</v>
      </c>
      <c r="U1439" t="str">
        <f>Transactions_RAW_cleaned[[#This Row],[Region ]]&amp;Transactions_RAW_cleaned[[#This Row],[Quarter ]]</f>
        <v>NAQ1</v>
      </c>
      <c r="V1439" s="5">
        <f>_xlfn.XLOOKUP(Transactions_RAW_cleaned[[#This Row],[RegionQuarterKey]], Quarterly_Targets_cleaned[RegionQuarterKey], Quarterly_Targets_cleaned[TargetRevenue])</f>
        <v>247000</v>
      </c>
    </row>
    <row r="1440" spans="1:22" x14ac:dyDescent="0.25">
      <c r="A1440" t="s">
        <v>1774</v>
      </c>
      <c r="B1440" s="1">
        <v>45595</v>
      </c>
      <c r="C1440" t="s">
        <v>84</v>
      </c>
      <c r="D1440" t="s">
        <v>294</v>
      </c>
      <c r="E1440">
        <v>279.10000000000002</v>
      </c>
      <c r="F1440" t="s">
        <v>324</v>
      </c>
      <c r="G1440" t="s">
        <v>325</v>
      </c>
      <c r="H1440" t="s">
        <v>332</v>
      </c>
      <c r="I1440" t="s">
        <v>8</v>
      </c>
      <c r="J1440" t="s">
        <v>46</v>
      </c>
      <c r="K1440" t="s">
        <v>28</v>
      </c>
      <c r="L1440" t="s">
        <v>295</v>
      </c>
      <c r="M1440" t="s">
        <v>296</v>
      </c>
      <c r="N1440">
        <v>2.9000000000000001E-2</v>
      </c>
      <c r="O1440" t="str">
        <f>IF(Transactions_RAW_cleaned[[#This Row],[Status]]="Completed", IFERROR(_xlfn.XLOOKUP(Transactions_RAW_cleaned[[#This Row],[CustomerID]], Customers_cleaned[CustomerID], Customers_cleaned[Segment]), "Customer Not Found"), "N/A")</f>
        <v>SMB</v>
      </c>
      <c r="P1440" s="5" t="str">
        <f>IF(Transactions_RAW_cleaned[[#This Row],[Status]]="Refunded", "Refund",
  IF(Transactions_RAW_cleaned[[#This Row],[Category]]="Payments", IF(Transactions_RAW_cleaned[[#This Row],[Amount]]&gt;500,"High Value","Standard"),
    IF(Transactions_RAW_cleaned[[#This Row],[Amount]]&gt;250,"High Value","Standard")))</f>
        <v>Standard</v>
      </c>
      <c r="Q1440" s="5" t="str">
        <f>IF(Transactions_RAW_cleaned[[#This Row],[Amount]] &gt; (_xlfn.XLOOKUP(Transactions_RAW_cleaned[[#This Row],[ServiceID]],Services_cleaned[ServiceID],Services_cleaned[TransactionFeePct]) * 10000), "Yes", "No")</f>
        <v>No</v>
      </c>
      <c r="R1440" s="5" t="str">
        <f>IF(COUNTIFS($C$2:Transactions_RAW_cleaned[[#This Row],[CustomerID]],Transactions_RAW_cleaned[[#This Row],[CustomerID]],$D$2:Transactions_RAW_cleaned[[#This Row],[ServiceID]],Transactions_RAW_cleaned[[#This Row],[ServiceID]])=1,"Yes","No")</f>
        <v>No</v>
      </c>
      <c r="S144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40" t="str">
        <f>"Q"&amp;ROUNDUP(MONTH(Transactions_RAW_cleaned[[#This Row],[TransactionDate]])/3,0)</f>
        <v>Q4</v>
      </c>
      <c r="U1440" t="str">
        <f>Transactions_RAW_cleaned[[#This Row],[Region ]]&amp;Transactions_RAW_cleaned[[#This Row],[Quarter ]]</f>
        <v>APACQ4</v>
      </c>
      <c r="V1440" s="5">
        <f>_xlfn.XLOOKUP(Transactions_RAW_cleaned[[#This Row],[RegionQuarterKey]], Quarterly_Targets_cleaned[RegionQuarterKey], Quarterly_Targets_cleaned[TargetRevenue])</f>
        <v>126500</v>
      </c>
    </row>
    <row r="1441" spans="1:22" x14ac:dyDescent="0.25">
      <c r="A1441" t="s">
        <v>1775</v>
      </c>
      <c r="B1441" s="1">
        <v>45386</v>
      </c>
      <c r="C1441" t="s">
        <v>249</v>
      </c>
      <c r="D1441" t="s">
        <v>297</v>
      </c>
      <c r="E1441">
        <v>256.5</v>
      </c>
      <c r="F1441" t="s">
        <v>381</v>
      </c>
      <c r="G1441" t="s">
        <v>325</v>
      </c>
      <c r="I1441" t="s">
        <v>57</v>
      </c>
      <c r="J1441" t="s">
        <v>21</v>
      </c>
      <c r="K1441" t="s">
        <v>14</v>
      </c>
      <c r="L1441" t="s">
        <v>298</v>
      </c>
      <c r="M1441" t="s">
        <v>299</v>
      </c>
      <c r="N1441">
        <v>0</v>
      </c>
      <c r="O1441" t="str">
        <f>IF(Transactions_RAW_cleaned[[#This Row],[Status]]="Completed", IFERROR(_xlfn.XLOOKUP(Transactions_RAW_cleaned[[#This Row],[CustomerID]], Customers_cleaned[CustomerID], Customers_cleaned[Segment]), "Customer Not Found"), "N/A")</f>
        <v>N/A</v>
      </c>
      <c r="P1441" s="5" t="str">
        <f>IF(Transactions_RAW_cleaned[[#This Row],[Status]]="Refunded", "Refund",
  IF(Transactions_RAW_cleaned[[#This Row],[Category]]="Payments", IF(Transactions_RAW_cleaned[[#This Row],[Amount]]&gt;500,"High Value","Standard"),
    IF(Transactions_RAW_cleaned[[#This Row],[Amount]]&gt;250,"High Value","Standard")))</f>
        <v>High Value</v>
      </c>
      <c r="Q1441" s="5" t="str">
        <f>IF(Transactions_RAW_cleaned[[#This Row],[Amount]] &gt; (_xlfn.XLOOKUP(Transactions_RAW_cleaned[[#This Row],[ServiceID]],Services_cleaned[ServiceID],Services_cleaned[TransactionFeePct]) * 10000), "Yes", "No")</f>
        <v>Yes</v>
      </c>
      <c r="R1441" s="5" t="str">
        <f>IF(COUNTIFS($C$2:Transactions_RAW_cleaned[[#This Row],[CustomerID]],Transactions_RAW_cleaned[[#This Row],[CustomerID]],$D$2:Transactions_RAW_cleaned[[#This Row],[ServiceID]],Transactions_RAW_cleaned[[#This Row],[ServiceID]])=1,"Yes","No")</f>
        <v>Yes</v>
      </c>
      <c r="S144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41" t="str">
        <f>"Q"&amp;ROUNDUP(MONTH(Transactions_RAW_cleaned[[#This Row],[TransactionDate]])/3,0)</f>
        <v>Q2</v>
      </c>
      <c r="U1441" t="str">
        <f>Transactions_RAW_cleaned[[#This Row],[Region ]]&amp;Transactions_RAW_cleaned[[#This Row],[Quarter ]]</f>
        <v>APACQ2</v>
      </c>
      <c r="V1441" s="5">
        <f>_xlfn.XLOOKUP(Transactions_RAW_cleaned[[#This Row],[RegionQuarterKey]], Quarterly_Targets_cleaned[RegionQuarterKey], Quarterly_Targets_cleaned[TargetRevenue])</f>
        <v>110000</v>
      </c>
    </row>
    <row r="1442" spans="1:22" x14ac:dyDescent="0.25">
      <c r="A1442" t="s">
        <v>1776</v>
      </c>
      <c r="B1442" s="1">
        <v>45569</v>
      </c>
      <c r="C1442" t="s">
        <v>119</v>
      </c>
      <c r="D1442" t="s">
        <v>309</v>
      </c>
      <c r="E1442">
        <v>348.6</v>
      </c>
      <c r="F1442" t="s">
        <v>324</v>
      </c>
      <c r="G1442" t="s">
        <v>325</v>
      </c>
      <c r="H1442" t="s">
        <v>346</v>
      </c>
      <c r="I1442" t="s">
        <v>57</v>
      </c>
      <c r="J1442" t="s">
        <v>102</v>
      </c>
      <c r="K1442" t="s">
        <v>18</v>
      </c>
      <c r="L1442" t="s">
        <v>310</v>
      </c>
      <c r="M1442" t="s">
        <v>311</v>
      </c>
      <c r="N1442">
        <v>0</v>
      </c>
      <c r="O1442" t="str">
        <f>IF(Transactions_RAW_cleaned[[#This Row],[Status]]="Completed", IFERROR(_xlfn.XLOOKUP(Transactions_RAW_cleaned[[#This Row],[CustomerID]], Customers_cleaned[CustomerID], Customers_cleaned[Segment]), "Customer Not Found"), "N/A")</f>
        <v>Startup</v>
      </c>
      <c r="P1442" s="5" t="str">
        <f>IF(Transactions_RAW_cleaned[[#This Row],[Status]]="Refunded", "Refund",
  IF(Transactions_RAW_cleaned[[#This Row],[Category]]="Payments", IF(Transactions_RAW_cleaned[[#This Row],[Amount]]&gt;500,"High Value","Standard"),
    IF(Transactions_RAW_cleaned[[#This Row],[Amount]]&gt;250,"High Value","Standard")))</f>
        <v>High Value</v>
      </c>
      <c r="Q1442" s="5" t="str">
        <f>IF(Transactions_RAW_cleaned[[#This Row],[Amount]] &gt; (_xlfn.XLOOKUP(Transactions_RAW_cleaned[[#This Row],[ServiceID]],Services_cleaned[ServiceID],Services_cleaned[TransactionFeePct]) * 10000), "Yes", "No")</f>
        <v>Yes</v>
      </c>
      <c r="R1442" s="5" t="str">
        <f>IF(COUNTIFS($C$2:Transactions_RAW_cleaned[[#This Row],[CustomerID]],Transactions_RAW_cleaned[[#This Row],[CustomerID]],$D$2:Transactions_RAW_cleaned[[#This Row],[ServiceID]],Transactions_RAW_cleaned[[#This Row],[ServiceID]])=1,"Yes","No")</f>
        <v>No</v>
      </c>
      <c r="S144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42" t="str">
        <f>"Q"&amp;ROUNDUP(MONTH(Transactions_RAW_cleaned[[#This Row],[TransactionDate]])/3,0)</f>
        <v>Q4</v>
      </c>
      <c r="U1442" t="str">
        <f>Transactions_RAW_cleaned[[#This Row],[Region ]]&amp;Transactions_RAW_cleaned[[#This Row],[Quarter ]]</f>
        <v>NAQ4</v>
      </c>
      <c r="V1442" s="5">
        <f>_xlfn.XLOOKUP(Transactions_RAW_cleaned[[#This Row],[RegionQuarterKey]], Quarterly_Targets_cleaned[RegionQuarterKey], Quarterly_Targets_cleaned[TargetRevenue])</f>
        <v>299000</v>
      </c>
    </row>
    <row r="1443" spans="1:22" x14ac:dyDescent="0.25">
      <c r="A1443" t="s">
        <v>1777</v>
      </c>
      <c r="B1443" s="1">
        <v>45483</v>
      </c>
      <c r="C1443" t="s">
        <v>55</v>
      </c>
      <c r="D1443" t="s">
        <v>300</v>
      </c>
      <c r="E1443">
        <v>642.83000000000004</v>
      </c>
      <c r="F1443" t="s">
        <v>324</v>
      </c>
      <c r="G1443" t="s">
        <v>337</v>
      </c>
      <c r="I1443" t="s">
        <v>57</v>
      </c>
      <c r="J1443" t="s">
        <v>31</v>
      </c>
      <c r="K1443" t="s">
        <v>22</v>
      </c>
      <c r="L1443" t="s">
        <v>301</v>
      </c>
      <c r="M1443" t="s">
        <v>302</v>
      </c>
      <c r="N1443">
        <v>5.0000000000000001E-3</v>
      </c>
      <c r="O1443" t="str">
        <f>IF(Transactions_RAW_cleaned[[#This Row],[Status]]="Completed", IFERROR(_xlfn.XLOOKUP(Transactions_RAW_cleaned[[#This Row],[CustomerID]], Customers_cleaned[CustomerID], Customers_cleaned[Segment]), "Customer Not Found"), "N/A")</f>
        <v>Startup</v>
      </c>
      <c r="P1443" s="5" t="str">
        <f>IF(Transactions_RAW_cleaned[[#This Row],[Status]]="Refunded", "Refund",
  IF(Transactions_RAW_cleaned[[#This Row],[Category]]="Payments", IF(Transactions_RAW_cleaned[[#This Row],[Amount]]&gt;500,"High Value","Standard"),
    IF(Transactions_RAW_cleaned[[#This Row],[Amount]]&gt;250,"High Value","Standard")))</f>
        <v>High Value</v>
      </c>
      <c r="Q1443" s="5" t="str">
        <f>IF(Transactions_RAW_cleaned[[#This Row],[Amount]] &gt; (_xlfn.XLOOKUP(Transactions_RAW_cleaned[[#This Row],[ServiceID]],Services_cleaned[ServiceID],Services_cleaned[TransactionFeePct]) * 10000), "Yes", "No")</f>
        <v>Yes</v>
      </c>
      <c r="R1443" s="5" t="str">
        <f>IF(COUNTIFS($C$2:Transactions_RAW_cleaned[[#This Row],[CustomerID]],Transactions_RAW_cleaned[[#This Row],[CustomerID]],$D$2:Transactions_RAW_cleaned[[#This Row],[ServiceID]],Transactions_RAW_cleaned[[#This Row],[ServiceID]])=1,"Yes","No")</f>
        <v>No</v>
      </c>
      <c r="S144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43" t="str">
        <f>"Q"&amp;ROUNDUP(MONTH(Transactions_RAW_cleaned[[#This Row],[TransactionDate]])/3,0)</f>
        <v>Q3</v>
      </c>
      <c r="U1443" t="str">
        <f>Transactions_RAW_cleaned[[#This Row],[Region ]]&amp;Transactions_RAW_cleaned[[#This Row],[Quarter ]]</f>
        <v>EMEAQ3</v>
      </c>
      <c r="V1443" s="5">
        <f>_xlfn.XLOOKUP(Transactions_RAW_cleaned[[#This Row],[RegionQuarterKey]], Quarterly_Targets_cleaned[RegionQuarterKey], Quarterly_Targets_cleaned[TargetRevenue])</f>
        <v>147000</v>
      </c>
    </row>
    <row r="1444" spans="1:22" x14ac:dyDescent="0.25">
      <c r="A1444" t="s">
        <v>1778</v>
      </c>
      <c r="B1444" s="1">
        <v>45360</v>
      </c>
      <c r="C1444" t="s">
        <v>51</v>
      </c>
      <c r="D1444" t="s">
        <v>294</v>
      </c>
      <c r="E1444">
        <v>294.79000000000002</v>
      </c>
      <c r="F1444" t="s">
        <v>324</v>
      </c>
      <c r="G1444" t="s">
        <v>327</v>
      </c>
      <c r="H1444" t="s">
        <v>346</v>
      </c>
      <c r="I1444" t="s">
        <v>8</v>
      </c>
      <c r="J1444" t="s">
        <v>31</v>
      </c>
      <c r="K1444" t="s">
        <v>14</v>
      </c>
      <c r="L1444" t="s">
        <v>295</v>
      </c>
      <c r="M1444" t="s">
        <v>296</v>
      </c>
      <c r="N1444">
        <v>2.9000000000000001E-2</v>
      </c>
      <c r="O1444" t="str">
        <f>IF(Transactions_RAW_cleaned[[#This Row],[Status]]="Completed", IFERROR(_xlfn.XLOOKUP(Transactions_RAW_cleaned[[#This Row],[CustomerID]], Customers_cleaned[CustomerID], Customers_cleaned[Segment]), "Customer Not Found"), "N/A")</f>
        <v>SMB</v>
      </c>
      <c r="P1444" s="5" t="str">
        <f>IF(Transactions_RAW_cleaned[[#This Row],[Status]]="Refunded", "Refund",
  IF(Transactions_RAW_cleaned[[#This Row],[Category]]="Payments", IF(Transactions_RAW_cleaned[[#This Row],[Amount]]&gt;500,"High Value","Standard"),
    IF(Transactions_RAW_cleaned[[#This Row],[Amount]]&gt;250,"High Value","Standard")))</f>
        <v>Standard</v>
      </c>
      <c r="Q1444" s="5" t="str">
        <f>IF(Transactions_RAW_cleaned[[#This Row],[Amount]] &gt; (_xlfn.XLOOKUP(Transactions_RAW_cleaned[[#This Row],[ServiceID]],Services_cleaned[ServiceID],Services_cleaned[TransactionFeePct]) * 10000), "Yes", "No")</f>
        <v>Yes</v>
      </c>
      <c r="R1444" s="5" t="str">
        <f>IF(COUNTIFS($C$2:Transactions_RAW_cleaned[[#This Row],[CustomerID]],Transactions_RAW_cleaned[[#This Row],[CustomerID]],$D$2:Transactions_RAW_cleaned[[#This Row],[ServiceID]],Transactions_RAW_cleaned[[#This Row],[ServiceID]])=1,"Yes","No")</f>
        <v>No</v>
      </c>
      <c r="S144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44" t="str">
        <f>"Q"&amp;ROUNDUP(MONTH(Transactions_RAW_cleaned[[#This Row],[TransactionDate]])/3,0)</f>
        <v>Q1</v>
      </c>
      <c r="U1444" t="str">
        <f>Transactions_RAW_cleaned[[#This Row],[Region ]]&amp;Transactions_RAW_cleaned[[#This Row],[Quarter ]]</f>
        <v>EMEAQ1</v>
      </c>
      <c r="V1444" s="5">
        <f>_xlfn.XLOOKUP(Transactions_RAW_cleaned[[#This Row],[RegionQuarterKey]], Quarterly_Targets_cleaned[RegionQuarterKey], Quarterly_Targets_cleaned[TargetRevenue])</f>
        <v>133000</v>
      </c>
    </row>
    <row r="1445" spans="1:22" x14ac:dyDescent="0.25">
      <c r="A1445" t="s">
        <v>1779</v>
      </c>
      <c r="B1445" s="1">
        <v>45351</v>
      </c>
      <c r="C1445" t="s">
        <v>145</v>
      </c>
      <c r="D1445" t="s">
        <v>294</v>
      </c>
      <c r="E1445">
        <v>453.9</v>
      </c>
      <c r="F1445" t="s">
        <v>324</v>
      </c>
      <c r="G1445" t="s">
        <v>325</v>
      </c>
      <c r="I1445" t="s">
        <v>8</v>
      </c>
      <c r="J1445" t="s">
        <v>13</v>
      </c>
      <c r="K1445" t="s">
        <v>32</v>
      </c>
      <c r="L1445" t="s">
        <v>295</v>
      </c>
      <c r="M1445" t="s">
        <v>296</v>
      </c>
      <c r="N1445">
        <v>2.9000000000000001E-2</v>
      </c>
      <c r="O1445" t="str">
        <f>IF(Transactions_RAW_cleaned[[#This Row],[Status]]="Completed", IFERROR(_xlfn.XLOOKUP(Transactions_RAW_cleaned[[#This Row],[CustomerID]], Customers_cleaned[CustomerID], Customers_cleaned[Segment]), "Customer Not Found"), "N/A")</f>
        <v>SMB</v>
      </c>
      <c r="P1445" s="5" t="str">
        <f>IF(Transactions_RAW_cleaned[[#This Row],[Status]]="Refunded", "Refund",
  IF(Transactions_RAW_cleaned[[#This Row],[Category]]="Payments", IF(Transactions_RAW_cleaned[[#This Row],[Amount]]&gt;500,"High Value","Standard"),
    IF(Transactions_RAW_cleaned[[#This Row],[Amount]]&gt;250,"High Value","Standard")))</f>
        <v>Standard</v>
      </c>
      <c r="Q1445" s="5" t="str">
        <f>IF(Transactions_RAW_cleaned[[#This Row],[Amount]] &gt; (_xlfn.XLOOKUP(Transactions_RAW_cleaned[[#This Row],[ServiceID]],Services_cleaned[ServiceID],Services_cleaned[TransactionFeePct]) * 10000), "Yes", "No")</f>
        <v>Yes</v>
      </c>
      <c r="R1445" s="5" t="str">
        <f>IF(COUNTIFS($C$2:Transactions_RAW_cleaned[[#This Row],[CustomerID]],Transactions_RAW_cleaned[[#This Row],[CustomerID]],$D$2:Transactions_RAW_cleaned[[#This Row],[ServiceID]],Transactions_RAW_cleaned[[#This Row],[ServiceID]])=1,"Yes","No")</f>
        <v>No</v>
      </c>
      <c r="S144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45" t="str">
        <f>"Q"&amp;ROUNDUP(MONTH(Transactions_RAW_cleaned[[#This Row],[TransactionDate]])/3,0)</f>
        <v>Q1</v>
      </c>
      <c r="U1445" t="str">
        <f>Transactions_RAW_cleaned[[#This Row],[Region ]]&amp;Transactions_RAW_cleaned[[#This Row],[Quarter ]]</f>
        <v>NAQ1</v>
      </c>
      <c r="V1445" s="5">
        <f>_xlfn.XLOOKUP(Transactions_RAW_cleaned[[#This Row],[RegionQuarterKey]], Quarterly_Targets_cleaned[RegionQuarterKey], Quarterly_Targets_cleaned[TargetRevenue])</f>
        <v>247000</v>
      </c>
    </row>
    <row r="1446" spans="1:22" x14ac:dyDescent="0.25">
      <c r="A1446" t="s">
        <v>1780</v>
      </c>
      <c r="B1446" s="1">
        <v>45640</v>
      </c>
      <c r="C1446" t="s">
        <v>247</v>
      </c>
      <c r="D1446" t="s">
        <v>294</v>
      </c>
      <c r="E1446">
        <v>523.97</v>
      </c>
      <c r="F1446" t="s">
        <v>331</v>
      </c>
      <c r="G1446" t="s">
        <v>337</v>
      </c>
      <c r="H1446" t="s">
        <v>334</v>
      </c>
      <c r="I1446" t="s">
        <v>17</v>
      </c>
      <c r="J1446" t="s">
        <v>13</v>
      </c>
      <c r="K1446" t="s">
        <v>28</v>
      </c>
      <c r="L1446" t="s">
        <v>295</v>
      </c>
      <c r="M1446" t="s">
        <v>296</v>
      </c>
      <c r="N1446">
        <v>2.9000000000000001E-2</v>
      </c>
      <c r="O1446" t="str">
        <f>IF(Transactions_RAW_cleaned[[#This Row],[Status]]="Completed", IFERROR(_xlfn.XLOOKUP(Transactions_RAW_cleaned[[#This Row],[CustomerID]], Customers_cleaned[CustomerID], Customers_cleaned[Segment]), "Customer Not Found"), "N/A")</f>
        <v>N/A</v>
      </c>
      <c r="P1446" s="5" t="str">
        <f>IF(Transactions_RAW_cleaned[[#This Row],[Status]]="Refunded", "Refund",
  IF(Transactions_RAW_cleaned[[#This Row],[Category]]="Payments", IF(Transactions_RAW_cleaned[[#This Row],[Amount]]&gt;500,"High Value","Standard"),
    IF(Transactions_RAW_cleaned[[#This Row],[Amount]]&gt;250,"High Value","Standard")))</f>
        <v>High Value</v>
      </c>
      <c r="Q1446" s="5" t="str">
        <f>IF(Transactions_RAW_cleaned[[#This Row],[Amount]] &gt; (_xlfn.XLOOKUP(Transactions_RAW_cleaned[[#This Row],[ServiceID]],Services_cleaned[ServiceID],Services_cleaned[TransactionFeePct]) * 10000), "Yes", "No")</f>
        <v>Yes</v>
      </c>
      <c r="R1446" s="5" t="str">
        <f>IF(COUNTIFS($C$2:Transactions_RAW_cleaned[[#This Row],[CustomerID]],Transactions_RAW_cleaned[[#This Row],[CustomerID]],$D$2:Transactions_RAW_cleaned[[#This Row],[ServiceID]],Transactions_RAW_cleaned[[#This Row],[ServiceID]])=1,"Yes","No")</f>
        <v>No</v>
      </c>
      <c r="S144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46" t="str">
        <f>"Q"&amp;ROUNDUP(MONTH(Transactions_RAW_cleaned[[#This Row],[TransactionDate]])/3,0)</f>
        <v>Q4</v>
      </c>
      <c r="U1446" t="str">
        <f>Transactions_RAW_cleaned[[#This Row],[Region ]]&amp;Transactions_RAW_cleaned[[#This Row],[Quarter ]]</f>
        <v>NAQ4</v>
      </c>
      <c r="V1446" s="5">
        <f>_xlfn.XLOOKUP(Transactions_RAW_cleaned[[#This Row],[RegionQuarterKey]], Quarterly_Targets_cleaned[RegionQuarterKey], Quarterly_Targets_cleaned[TargetRevenue])</f>
        <v>299000</v>
      </c>
    </row>
    <row r="1447" spans="1:22" x14ac:dyDescent="0.25">
      <c r="A1447" t="s">
        <v>1781</v>
      </c>
      <c r="B1447" s="1">
        <v>45483</v>
      </c>
      <c r="C1447" t="s">
        <v>221</v>
      </c>
      <c r="D1447" t="s">
        <v>294</v>
      </c>
      <c r="E1447">
        <v>700.97</v>
      </c>
      <c r="F1447" t="s">
        <v>381</v>
      </c>
      <c r="G1447" t="s">
        <v>325</v>
      </c>
      <c r="H1447" t="s">
        <v>334</v>
      </c>
      <c r="I1447" t="s">
        <v>8</v>
      </c>
      <c r="J1447" t="s">
        <v>102</v>
      </c>
      <c r="K1447" t="s">
        <v>14</v>
      </c>
      <c r="L1447" t="s">
        <v>295</v>
      </c>
      <c r="M1447" t="s">
        <v>296</v>
      </c>
      <c r="N1447">
        <v>2.9000000000000001E-2</v>
      </c>
      <c r="O1447" t="str">
        <f>IF(Transactions_RAW_cleaned[[#This Row],[Status]]="Completed", IFERROR(_xlfn.XLOOKUP(Transactions_RAW_cleaned[[#This Row],[CustomerID]], Customers_cleaned[CustomerID], Customers_cleaned[Segment]), "Customer Not Found"), "N/A")</f>
        <v>N/A</v>
      </c>
      <c r="P1447" s="5" t="str">
        <f>IF(Transactions_RAW_cleaned[[#This Row],[Status]]="Refunded", "Refund",
  IF(Transactions_RAW_cleaned[[#This Row],[Category]]="Payments", IF(Transactions_RAW_cleaned[[#This Row],[Amount]]&gt;500,"High Value","Standard"),
    IF(Transactions_RAW_cleaned[[#This Row],[Amount]]&gt;250,"High Value","Standard")))</f>
        <v>High Value</v>
      </c>
      <c r="Q1447" s="5" t="str">
        <f>IF(Transactions_RAW_cleaned[[#This Row],[Amount]] &gt; (_xlfn.XLOOKUP(Transactions_RAW_cleaned[[#This Row],[ServiceID]],Services_cleaned[ServiceID],Services_cleaned[TransactionFeePct]) * 10000), "Yes", "No")</f>
        <v>Yes</v>
      </c>
      <c r="R1447" s="5" t="str">
        <f>IF(COUNTIFS($C$2:Transactions_RAW_cleaned[[#This Row],[CustomerID]],Transactions_RAW_cleaned[[#This Row],[CustomerID]],$D$2:Transactions_RAW_cleaned[[#This Row],[ServiceID]],Transactions_RAW_cleaned[[#This Row],[ServiceID]])=1,"Yes","No")</f>
        <v>No</v>
      </c>
      <c r="S144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47" t="str">
        <f>"Q"&amp;ROUNDUP(MONTH(Transactions_RAW_cleaned[[#This Row],[TransactionDate]])/3,0)</f>
        <v>Q3</v>
      </c>
      <c r="U1447" t="str">
        <f>Transactions_RAW_cleaned[[#This Row],[Region ]]&amp;Transactions_RAW_cleaned[[#This Row],[Quarter ]]</f>
        <v>NAQ3</v>
      </c>
      <c r="V1447" s="5">
        <f>_xlfn.XLOOKUP(Transactions_RAW_cleaned[[#This Row],[RegionQuarterKey]], Quarterly_Targets_cleaned[RegionQuarterKey], Quarterly_Targets_cleaned[TargetRevenue])</f>
        <v>273000</v>
      </c>
    </row>
    <row r="1448" spans="1:22" x14ac:dyDescent="0.25">
      <c r="A1448" t="s">
        <v>1782</v>
      </c>
      <c r="B1448" s="1">
        <v>45478</v>
      </c>
      <c r="C1448" t="s">
        <v>42</v>
      </c>
      <c r="D1448" t="s">
        <v>294</v>
      </c>
      <c r="E1448">
        <v>452.54</v>
      </c>
      <c r="F1448" t="s">
        <v>324</v>
      </c>
      <c r="G1448" t="s">
        <v>327</v>
      </c>
      <c r="H1448" t="s">
        <v>346</v>
      </c>
      <c r="I1448" t="s">
        <v>8</v>
      </c>
      <c r="J1448" t="s">
        <v>102</v>
      </c>
      <c r="K1448" t="s">
        <v>10</v>
      </c>
      <c r="L1448" t="s">
        <v>295</v>
      </c>
      <c r="M1448" t="s">
        <v>296</v>
      </c>
      <c r="N1448">
        <v>2.9000000000000001E-2</v>
      </c>
      <c r="O1448" t="str">
        <f>IF(Transactions_RAW_cleaned[[#This Row],[Status]]="Completed", IFERROR(_xlfn.XLOOKUP(Transactions_RAW_cleaned[[#This Row],[CustomerID]], Customers_cleaned[CustomerID], Customers_cleaned[Segment]), "Customer Not Found"), "N/A")</f>
        <v>SMB</v>
      </c>
      <c r="P1448" s="5" t="str">
        <f>IF(Transactions_RAW_cleaned[[#This Row],[Status]]="Refunded", "Refund",
  IF(Transactions_RAW_cleaned[[#This Row],[Category]]="Payments", IF(Transactions_RAW_cleaned[[#This Row],[Amount]]&gt;500,"High Value","Standard"),
    IF(Transactions_RAW_cleaned[[#This Row],[Amount]]&gt;250,"High Value","Standard")))</f>
        <v>Standard</v>
      </c>
      <c r="Q1448" s="5" t="str">
        <f>IF(Transactions_RAW_cleaned[[#This Row],[Amount]] &gt; (_xlfn.XLOOKUP(Transactions_RAW_cleaned[[#This Row],[ServiceID]],Services_cleaned[ServiceID],Services_cleaned[TransactionFeePct]) * 10000), "Yes", "No")</f>
        <v>Yes</v>
      </c>
      <c r="R1448" s="5" t="str">
        <f>IF(COUNTIFS($C$2:Transactions_RAW_cleaned[[#This Row],[CustomerID]],Transactions_RAW_cleaned[[#This Row],[CustomerID]],$D$2:Transactions_RAW_cleaned[[#This Row],[ServiceID]],Transactions_RAW_cleaned[[#This Row],[ServiceID]])=1,"Yes","No")</f>
        <v>No</v>
      </c>
      <c r="S144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48" t="str">
        <f>"Q"&amp;ROUNDUP(MONTH(Transactions_RAW_cleaned[[#This Row],[TransactionDate]])/3,0)</f>
        <v>Q3</v>
      </c>
      <c r="U1448" t="str">
        <f>Transactions_RAW_cleaned[[#This Row],[Region ]]&amp;Transactions_RAW_cleaned[[#This Row],[Quarter ]]</f>
        <v>NAQ3</v>
      </c>
      <c r="V1448" s="5">
        <f>_xlfn.XLOOKUP(Transactions_RAW_cleaned[[#This Row],[RegionQuarterKey]], Quarterly_Targets_cleaned[RegionQuarterKey], Quarterly_Targets_cleaned[TargetRevenue])</f>
        <v>273000</v>
      </c>
    </row>
    <row r="1449" spans="1:22" x14ac:dyDescent="0.25">
      <c r="A1449" t="s">
        <v>1783</v>
      </c>
      <c r="B1449" s="1">
        <v>45478</v>
      </c>
      <c r="C1449" t="s">
        <v>51</v>
      </c>
      <c r="D1449" t="s">
        <v>297</v>
      </c>
      <c r="E1449">
        <v>256.04000000000002</v>
      </c>
      <c r="F1449" t="s">
        <v>324</v>
      </c>
      <c r="G1449" t="s">
        <v>325</v>
      </c>
      <c r="I1449" t="s">
        <v>8</v>
      </c>
      <c r="J1449" t="s">
        <v>31</v>
      </c>
      <c r="K1449" t="s">
        <v>14</v>
      </c>
      <c r="L1449" t="s">
        <v>298</v>
      </c>
      <c r="M1449" t="s">
        <v>299</v>
      </c>
      <c r="N1449">
        <v>0</v>
      </c>
      <c r="O1449" t="str">
        <f>IF(Transactions_RAW_cleaned[[#This Row],[Status]]="Completed", IFERROR(_xlfn.XLOOKUP(Transactions_RAW_cleaned[[#This Row],[CustomerID]], Customers_cleaned[CustomerID], Customers_cleaned[Segment]), "Customer Not Found"), "N/A")</f>
        <v>SMB</v>
      </c>
      <c r="P1449" s="5" t="str">
        <f>IF(Transactions_RAW_cleaned[[#This Row],[Status]]="Refunded", "Refund",
  IF(Transactions_RAW_cleaned[[#This Row],[Category]]="Payments", IF(Transactions_RAW_cleaned[[#This Row],[Amount]]&gt;500,"High Value","Standard"),
    IF(Transactions_RAW_cleaned[[#This Row],[Amount]]&gt;250,"High Value","Standard")))</f>
        <v>High Value</v>
      </c>
      <c r="Q1449" s="5" t="str">
        <f>IF(Transactions_RAW_cleaned[[#This Row],[Amount]] &gt; (_xlfn.XLOOKUP(Transactions_RAW_cleaned[[#This Row],[ServiceID]],Services_cleaned[ServiceID],Services_cleaned[TransactionFeePct]) * 10000), "Yes", "No")</f>
        <v>Yes</v>
      </c>
      <c r="R1449" s="5" t="str">
        <f>IF(COUNTIFS($C$2:Transactions_RAW_cleaned[[#This Row],[CustomerID]],Transactions_RAW_cleaned[[#This Row],[CustomerID]],$D$2:Transactions_RAW_cleaned[[#This Row],[ServiceID]],Transactions_RAW_cleaned[[#This Row],[ServiceID]])=1,"Yes","No")</f>
        <v>No</v>
      </c>
      <c r="S144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49" t="str">
        <f>"Q"&amp;ROUNDUP(MONTH(Transactions_RAW_cleaned[[#This Row],[TransactionDate]])/3,0)</f>
        <v>Q3</v>
      </c>
      <c r="U1449" t="str">
        <f>Transactions_RAW_cleaned[[#This Row],[Region ]]&amp;Transactions_RAW_cleaned[[#This Row],[Quarter ]]</f>
        <v>EMEAQ3</v>
      </c>
      <c r="V1449" s="5">
        <f>_xlfn.XLOOKUP(Transactions_RAW_cleaned[[#This Row],[RegionQuarterKey]], Quarterly_Targets_cleaned[RegionQuarterKey], Quarterly_Targets_cleaned[TargetRevenue])</f>
        <v>147000</v>
      </c>
    </row>
    <row r="1450" spans="1:22" x14ac:dyDescent="0.25">
      <c r="A1450" t="s">
        <v>1784</v>
      </c>
      <c r="B1450" s="1">
        <v>45600</v>
      </c>
      <c r="C1450" t="s">
        <v>171</v>
      </c>
      <c r="D1450" t="s">
        <v>297</v>
      </c>
      <c r="E1450">
        <v>704.98</v>
      </c>
      <c r="F1450" t="s">
        <v>324</v>
      </c>
      <c r="G1450" t="s">
        <v>327</v>
      </c>
      <c r="H1450" t="s">
        <v>346</v>
      </c>
      <c r="I1450" t="s">
        <v>17</v>
      </c>
      <c r="J1450" t="s">
        <v>31</v>
      </c>
      <c r="K1450" t="s">
        <v>32</v>
      </c>
      <c r="L1450" t="s">
        <v>298</v>
      </c>
      <c r="M1450" t="s">
        <v>299</v>
      </c>
      <c r="N1450">
        <v>0</v>
      </c>
      <c r="O1450" t="str">
        <f>IF(Transactions_RAW_cleaned[[#This Row],[Status]]="Completed", IFERROR(_xlfn.XLOOKUP(Transactions_RAW_cleaned[[#This Row],[CustomerID]], Customers_cleaned[CustomerID], Customers_cleaned[Segment]), "Customer Not Found"), "N/A")</f>
        <v>Enterprise</v>
      </c>
      <c r="P1450" s="5" t="str">
        <f>IF(Transactions_RAW_cleaned[[#This Row],[Status]]="Refunded", "Refund",
  IF(Transactions_RAW_cleaned[[#This Row],[Category]]="Payments", IF(Transactions_RAW_cleaned[[#This Row],[Amount]]&gt;500,"High Value","Standard"),
    IF(Transactions_RAW_cleaned[[#This Row],[Amount]]&gt;250,"High Value","Standard")))</f>
        <v>High Value</v>
      </c>
      <c r="Q1450" s="5" t="str">
        <f>IF(Transactions_RAW_cleaned[[#This Row],[Amount]] &gt; (_xlfn.XLOOKUP(Transactions_RAW_cleaned[[#This Row],[ServiceID]],Services_cleaned[ServiceID],Services_cleaned[TransactionFeePct]) * 10000), "Yes", "No")</f>
        <v>Yes</v>
      </c>
      <c r="R1450" s="5" t="str">
        <f>IF(COUNTIFS($C$2:Transactions_RAW_cleaned[[#This Row],[CustomerID]],Transactions_RAW_cleaned[[#This Row],[CustomerID]],$D$2:Transactions_RAW_cleaned[[#This Row],[ServiceID]],Transactions_RAW_cleaned[[#This Row],[ServiceID]])=1,"Yes","No")</f>
        <v>No</v>
      </c>
      <c r="S145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50" t="str">
        <f>"Q"&amp;ROUNDUP(MONTH(Transactions_RAW_cleaned[[#This Row],[TransactionDate]])/3,0)</f>
        <v>Q4</v>
      </c>
      <c r="U1450" t="str">
        <f>Transactions_RAW_cleaned[[#This Row],[Region ]]&amp;Transactions_RAW_cleaned[[#This Row],[Quarter ]]</f>
        <v>EMEAQ4</v>
      </c>
      <c r="V1450" s="5">
        <f>_xlfn.XLOOKUP(Transactions_RAW_cleaned[[#This Row],[RegionQuarterKey]], Quarterly_Targets_cleaned[RegionQuarterKey], Quarterly_Targets_cleaned[TargetRevenue])</f>
        <v>161000</v>
      </c>
    </row>
    <row r="1451" spans="1:22" x14ac:dyDescent="0.25">
      <c r="A1451" t="s">
        <v>1785</v>
      </c>
      <c r="B1451" s="1">
        <v>45576</v>
      </c>
      <c r="C1451" t="s">
        <v>74</v>
      </c>
      <c r="D1451" t="s">
        <v>297</v>
      </c>
      <c r="E1451">
        <v>707.06</v>
      </c>
      <c r="F1451" t="s">
        <v>324</v>
      </c>
      <c r="G1451" t="s">
        <v>327</v>
      </c>
      <c r="H1451" t="s">
        <v>346</v>
      </c>
      <c r="I1451" t="s">
        <v>17</v>
      </c>
      <c r="J1451" t="s">
        <v>46</v>
      </c>
      <c r="K1451" t="s">
        <v>28</v>
      </c>
      <c r="L1451" t="s">
        <v>298</v>
      </c>
      <c r="M1451" t="s">
        <v>299</v>
      </c>
      <c r="N1451">
        <v>0</v>
      </c>
      <c r="O1451" t="str">
        <f>IF(Transactions_RAW_cleaned[[#This Row],[Status]]="Completed", IFERROR(_xlfn.XLOOKUP(Transactions_RAW_cleaned[[#This Row],[CustomerID]], Customers_cleaned[CustomerID], Customers_cleaned[Segment]), "Customer Not Found"), "N/A")</f>
        <v>Enterprise</v>
      </c>
      <c r="P1451" s="5" t="str">
        <f>IF(Transactions_RAW_cleaned[[#This Row],[Status]]="Refunded", "Refund",
  IF(Transactions_RAW_cleaned[[#This Row],[Category]]="Payments", IF(Transactions_RAW_cleaned[[#This Row],[Amount]]&gt;500,"High Value","Standard"),
    IF(Transactions_RAW_cleaned[[#This Row],[Amount]]&gt;250,"High Value","Standard")))</f>
        <v>High Value</v>
      </c>
      <c r="Q1451" s="5" t="str">
        <f>IF(Transactions_RAW_cleaned[[#This Row],[Amount]] &gt; (_xlfn.XLOOKUP(Transactions_RAW_cleaned[[#This Row],[ServiceID]],Services_cleaned[ServiceID],Services_cleaned[TransactionFeePct]) * 10000), "Yes", "No")</f>
        <v>Yes</v>
      </c>
      <c r="R1451" s="5" t="str">
        <f>IF(COUNTIFS($C$2:Transactions_RAW_cleaned[[#This Row],[CustomerID]],Transactions_RAW_cleaned[[#This Row],[CustomerID]],$D$2:Transactions_RAW_cleaned[[#This Row],[ServiceID]],Transactions_RAW_cleaned[[#This Row],[ServiceID]])=1,"Yes","No")</f>
        <v>No</v>
      </c>
      <c r="S145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51" t="str">
        <f>"Q"&amp;ROUNDUP(MONTH(Transactions_RAW_cleaned[[#This Row],[TransactionDate]])/3,0)</f>
        <v>Q4</v>
      </c>
      <c r="U1451" t="str">
        <f>Transactions_RAW_cleaned[[#This Row],[Region ]]&amp;Transactions_RAW_cleaned[[#This Row],[Quarter ]]</f>
        <v>APACQ4</v>
      </c>
      <c r="V1451" s="5">
        <f>_xlfn.XLOOKUP(Transactions_RAW_cleaned[[#This Row],[RegionQuarterKey]], Quarterly_Targets_cleaned[RegionQuarterKey], Quarterly_Targets_cleaned[TargetRevenue])</f>
        <v>126500</v>
      </c>
    </row>
    <row r="1452" spans="1:22" x14ac:dyDescent="0.25">
      <c r="A1452" t="s">
        <v>1786</v>
      </c>
      <c r="B1452" s="1">
        <v>45657</v>
      </c>
      <c r="C1452" t="s">
        <v>117</v>
      </c>
      <c r="D1452" t="s">
        <v>297</v>
      </c>
      <c r="E1452">
        <v>94.64</v>
      </c>
      <c r="F1452" t="s">
        <v>324</v>
      </c>
      <c r="G1452" t="s">
        <v>337</v>
      </c>
      <c r="H1452" t="s">
        <v>334</v>
      </c>
      <c r="I1452" t="s">
        <v>8</v>
      </c>
      <c r="J1452" t="s">
        <v>102</v>
      </c>
      <c r="K1452" t="s">
        <v>14</v>
      </c>
      <c r="L1452" t="s">
        <v>298</v>
      </c>
      <c r="M1452" t="s">
        <v>299</v>
      </c>
      <c r="N1452">
        <v>0</v>
      </c>
      <c r="O1452" t="str">
        <f>IF(Transactions_RAW_cleaned[[#This Row],[Status]]="Completed", IFERROR(_xlfn.XLOOKUP(Transactions_RAW_cleaned[[#This Row],[CustomerID]], Customers_cleaned[CustomerID], Customers_cleaned[Segment]), "Customer Not Found"), "N/A")</f>
        <v>SMB</v>
      </c>
      <c r="P1452" s="5" t="str">
        <f>IF(Transactions_RAW_cleaned[[#This Row],[Status]]="Refunded", "Refund",
  IF(Transactions_RAW_cleaned[[#This Row],[Category]]="Payments", IF(Transactions_RAW_cleaned[[#This Row],[Amount]]&gt;500,"High Value","Standard"),
    IF(Transactions_RAW_cleaned[[#This Row],[Amount]]&gt;250,"High Value","Standard")))</f>
        <v>Standard</v>
      </c>
      <c r="Q1452" s="5" t="str">
        <f>IF(Transactions_RAW_cleaned[[#This Row],[Amount]] &gt; (_xlfn.XLOOKUP(Transactions_RAW_cleaned[[#This Row],[ServiceID]],Services_cleaned[ServiceID],Services_cleaned[TransactionFeePct]) * 10000), "Yes", "No")</f>
        <v>Yes</v>
      </c>
      <c r="R1452" s="5" t="str">
        <f>IF(COUNTIFS($C$2:Transactions_RAW_cleaned[[#This Row],[CustomerID]],Transactions_RAW_cleaned[[#This Row],[CustomerID]],$D$2:Transactions_RAW_cleaned[[#This Row],[ServiceID]],Transactions_RAW_cleaned[[#This Row],[ServiceID]])=1,"Yes","No")</f>
        <v>No</v>
      </c>
      <c r="S145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52" t="str">
        <f>"Q"&amp;ROUNDUP(MONTH(Transactions_RAW_cleaned[[#This Row],[TransactionDate]])/3,0)</f>
        <v>Q4</v>
      </c>
      <c r="U1452" t="str">
        <f>Transactions_RAW_cleaned[[#This Row],[Region ]]&amp;Transactions_RAW_cleaned[[#This Row],[Quarter ]]</f>
        <v>NAQ4</v>
      </c>
      <c r="V1452" s="5">
        <f>_xlfn.XLOOKUP(Transactions_RAW_cleaned[[#This Row],[RegionQuarterKey]], Quarterly_Targets_cleaned[RegionQuarterKey], Quarterly_Targets_cleaned[TargetRevenue])</f>
        <v>299000</v>
      </c>
    </row>
    <row r="1453" spans="1:22" x14ac:dyDescent="0.25">
      <c r="A1453" t="s">
        <v>1787</v>
      </c>
      <c r="B1453" s="1">
        <v>45333</v>
      </c>
      <c r="C1453" t="s">
        <v>23</v>
      </c>
      <c r="D1453" t="s">
        <v>315</v>
      </c>
      <c r="E1453">
        <v>325.95</v>
      </c>
      <c r="F1453" t="s">
        <v>324</v>
      </c>
      <c r="G1453" t="s">
        <v>337</v>
      </c>
      <c r="I1453" t="s">
        <v>8</v>
      </c>
      <c r="J1453" t="s">
        <v>25</v>
      </c>
      <c r="K1453" t="s">
        <v>22</v>
      </c>
      <c r="L1453" t="s">
        <v>316</v>
      </c>
      <c r="M1453" t="s">
        <v>305</v>
      </c>
      <c r="N1453">
        <v>2.5000000000000001E-3</v>
      </c>
      <c r="O1453" t="str">
        <f>IF(Transactions_RAW_cleaned[[#This Row],[Status]]="Completed", IFERROR(_xlfn.XLOOKUP(Transactions_RAW_cleaned[[#This Row],[CustomerID]], Customers_cleaned[CustomerID], Customers_cleaned[Segment]), "Customer Not Found"), "N/A")</f>
        <v>SMB</v>
      </c>
      <c r="P1453" s="5" t="str">
        <f>IF(Transactions_RAW_cleaned[[#This Row],[Status]]="Refunded", "Refund",
  IF(Transactions_RAW_cleaned[[#This Row],[Category]]="Payments", IF(Transactions_RAW_cleaned[[#This Row],[Amount]]&gt;500,"High Value","Standard"),
    IF(Transactions_RAW_cleaned[[#This Row],[Amount]]&gt;250,"High Value","Standard")))</f>
        <v>High Value</v>
      </c>
      <c r="Q1453" s="5" t="str">
        <f>IF(Transactions_RAW_cleaned[[#This Row],[Amount]] &gt; (_xlfn.XLOOKUP(Transactions_RAW_cleaned[[#This Row],[ServiceID]],Services_cleaned[ServiceID],Services_cleaned[TransactionFeePct]) * 10000), "Yes", "No")</f>
        <v>Yes</v>
      </c>
      <c r="R1453" s="5" t="str">
        <f>IF(COUNTIFS($C$2:Transactions_RAW_cleaned[[#This Row],[CustomerID]],Transactions_RAW_cleaned[[#This Row],[CustomerID]],$D$2:Transactions_RAW_cleaned[[#This Row],[ServiceID]],Transactions_RAW_cleaned[[#This Row],[ServiceID]])=1,"Yes","No")</f>
        <v>Yes</v>
      </c>
      <c r="S145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53" t="str">
        <f>"Q"&amp;ROUNDUP(MONTH(Transactions_RAW_cleaned[[#This Row],[TransactionDate]])/3,0)</f>
        <v>Q1</v>
      </c>
      <c r="U1453" t="str">
        <f>Transactions_RAW_cleaned[[#This Row],[Region ]]&amp;Transactions_RAW_cleaned[[#This Row],[Quarter ]]</f>
        <v>APACQ1</v>
      </c>
      <c r="V1453" s="5">
        <f>_xlfn.XLOOKUP(Transactions_RAW_cleaned[[#This Row],[RegionQuarterKey]], Quarterly_Targets_cleaned[RegionQuarterKey], Quarterly_Targets_cleaned[TargetRevenue])</f>
        <v>104500</v>
      </c>
    </row>
    <row r="1454" spans="1:22" x14ac:dyDescent="0.25">
      <c r="A1454" t="s">
        <v>1788</v>
      </c>
      <c r="B1454" s="1">
        <v>45395</v>
      </c>
      <c r="C1454" t="s">
        <v>185</v>
      </c>
      <c r="D1454" t="s">
        <v>309</v>
      </c>
      <c r="E1454">
        <v>188.18</v>
      </c>
      <c r="F1454" t="s">
        <v>324</v>
      </c>
      <c r="G1454" t="s">
        <v>327</v>
      </c>
      <c r="I1454" t="s">
        <v>17</v>
      </c>
      <c r="J1454" t="s">
        <v>13</v>
      </c>
      <c r="K1454" t="s">
        <v>32</v>
      </c>
      <c r="L1454" t="s">
        <v>310</v>
      </c>
      <c r="M1454" t="s">
        <v>311</v>
      </c>
      <c r="N1454">
        <v>0</v>
      </c>
      <c r="O1454" t="str">
        <f>IF(Transactions_RAW_cleaned[[#This Row],[Status]]="Completed", IFERROR(_xlfn.XLOOKUP(Transactions_RAW_cleaned[[#This Row],[CustomerID]], Customers_cleaned[CustomerID], Customers_cleaned[Segment]), "Customer Not Found"), "N/A")</f>
        <v>Enterprise</v>
      </c>
      <c r="P1454" s="5" t="str">
        <f>IF(Transactions_RAW_cleaned[[#This Row],[Status]]="Refunded", "Refund",
  IF(Transactions_RAW_cleaned[[#This Row],[Category]]="Payments", IF(Transactions_RAW_cleaned[[#This Row],[Amount]]&gt;500,"High Value","Standard"),
    IF(Transactions_RAW_cleaned[[#This Row],[Amount]]&gt;250,"High Value","Standard")))</f>
        <v>Standard</v>
      </c>
      <c r="Q1454" s="5" t="str">
        <f>IF(Transactions_RAW_cleaned[[#This Row],[Amount]] &gt; (_xlfn.XLOOKUP(Transactions_RAW_cleaned[[#This Row],[ServiceID]],Services_cleaned[ServiceID],Services_cleaned[TransactionFeePct]) * 10000), "Yes", "No")</f>
        <v>Yes</v>
      </c>
      <c r="R1454" s="5" t="str">
        <f>IF(COUNTIFS($C$2:Transactions_RAW_cleaned[[#This Row],[CustomerID]],Transactions_RAW_cleaned[[#This Row],[CustomerID]],$D$2:Transactions_RAW_cleaned[[#This Row],[ServiceID]],Transactions_RAW_cleaned[[#This Row],[ServiceID]])=1,"Yes","No")</f>
        <v>Yes</v>
      </c>
      <c r="S145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54" t="str">
        <f>"Q"&amp;ROUNDUP(MONTH(Transactions_RAW_cleaned[[#This Row],[TransactionDate]])/3,0)</f>
        <v>Q2</v>
      </c>
      <c r="U1454" t="str">
        <f>Transactions_RAW_cleaned[[#This Row],[Region ]]&amp;Transactions_RAW_cleaned[[#This Row],[Quarter ]]</f>
        <v>NAQ2</v>
      </c>
      <c r="V1454" s="5">
        <f>_xlfn.XLOOKUP(Transactions_RAW_cleaned[[#This Row],[RegionQuarterKey]], Quarterly_Targets_cleaned[RegionQuarterKey], Quarterly_Targets_cleaned[TargetRevenue])</f>
        <v>260000</v>
      </c>
    </row>
    <row r="1455" spans="1:22" x14ac:dyDescent="0.25">
      <c r="A1455" t="s">
        <v>1789</v>
      </c>
      <c r="B1455" s="1">
        <v>45607</v>
      </c>
      <c r="C1455" t="s">
        <v>96</v>
      </c>
      <c r="D1455" t="s">
        <v>312</v>
      </c>
      <c r="E1455">
        <v>793.39</v>
      </c>
      <c r="F1455" t="s">
        <v>324</v>
      </c>
      <c r="G1455" t="s">
        <v>325</v>
      </c>
      <c r="I1455" t="s">
        <v>17</v>
      </c>
      <c r="J1455" t="s">
        <v>31</v>
      </c>
      <c r="K1455" t="s">
        <v>14</v>
      </c>
      <c r="L1455" t="s">
        <v>313</v>
      </c>
      <c r="M1455" t="s">
        <v>314</v>
      </c>
      <c r="N1455">
        <v>0</v>
      </c>
      <c r="O1455" t="str">
        <f>IF(Transactions_RAW_cleaned[[#This Row],[Status]]="Completed", IFERROR(_xlfn.XLOOKUP(Transactions_RAW_cleaned[[#This Row],[CustomerID]], Customers_cleaned[CustomerID], Customers_cleaned[Segment]), "Customer Not Found"), "N/A")</f>
        <v>Enterprise</v>
      </c>
      <c r="P1455" s="5" t="str">
        <f>IF(Transactions_RAW_cleaned[[#This Row],[Status]]="Refunded", "Refund",
  IF(Transactions_RAW_cleaned[[#This Row],[Category]]="Payments", IF(Transactions_RAW_cleaned[[#This Row],[Amount]]&gt;500,"High Value","Standard"),
    IF(Transactions_RAW_cleaned[[#This Row],[Amount]]&gt;250,"High Value","Standard")))</f>
        <v>High Value</v>
      </c>
      <c r="Q1455" s="5" t="str">
        <f>IF(Transactions_RAW_cleaned[[#This Row],[Amount]] &gt; (_xlfn.XLOOKUP(Transactions_RAW_cleaned[[#This Row],[ServiceID]],Services_cleaned[ServiceID],Services_cleaned[TransactionFeePct]) * 10000), "Yes", "No")</f>
        <v>Yes</v>
      </c>
      <c r="R1455" s="5" t="str">
        <f>IF(COUNTIFS($C$2:Transactions_RAW_cleaned[[#This Row],[CustomerID]],Transactions_RAW_cleaned[[#This Row],[CustomerID]],$D$2:Transactions_RAW_cleaned[[#This Row],[ServiceID]],Transactions_RAW_cleaned[[#This Row],[ServiceID]])=1,"Yes","No")</f>
        <v>No</v>
      </c>
      <c r="S145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55" t="str">
        <f>"Q"&amp;ROUNDUP(MONTH(Transactions_RAW_cleaned[[#This Row],[TransactionDate]])/3,0)</f>
        <v>Q4</v>
      </c>
      <c r="U1455" t="str">
        <f>Transactions_RAW_cleaned[[#This Row],[Region ]]&amp;Transactions_RAW_cleaned[[#This Row],[Quarter ]]</f>
        <v>EMEAQ4</v>
      </c>
      <c r="V1455" s="5">
        <f>_xlfn.XLOOKUP(Transactions_RAW_cleaned[[#This Row],[RegionQuarterKey]], Quarterly_Targets_cleaned[RegionQuarterKey], Quarterly_Targets_cleaned[TargetRevenue])</f>
        <v>161000</v>
      </c>
    </row>
    <row r="1456" spans="1:22" x14ac:dyDescent="0.25">
      <c r="A1456" t="s">
        <v>1790</v>
      </c>
      <c r="B1456" s="1">
        <v>45366</v>
      </c>
      <c r="C1456" t="s">
        <v>253</v>
      </c>
      <c r="D1456" t="s">
        <v>300</v>
      </c>
      <c r="E1456">
        <v>337.96</v>
      </c>
      <c r="F1456" t="s">
        <v>324</v>
      </c>
      <c r="G1456" t="s">
        <v>325</v>
      </c>
      <c r="H1456" t="s">
        <v>346</v>
      </c>
      <c r="I1456" t="s">
        <v>8</v>
      </c>
      <c r="J1456" t="s">
        <v>102</v>
      </c>
      <c r="K1456" t="s">
        <v>28</v>
      </c>
      <c r="L1456" t="s">
        <v>301</v>
      </c>
      <c r="M1456" t="s">
        <v>302</v>
      </c>
      <c r="N1456">
        <v>5.0000000000000001E-3</v>
      </c>
      <c r="O1456" t="str">
        <f>IF(Transactions_RAW_cleaned[[#This Row],[Status]]="Completed", IFERROR(_xlfn.XLOOKUP(Transactions_RAW_cleaned[[#This Row],[CustomerID]], Customers_cleaned[CustomerID], Customers_cleaned[Segment]), "Customer Not Found"), "N/A")</f>
        <v>SMB</v>
      </c>
      <c r="P1456" s="5" t="str">
        <f>IF(Transactions_RAW_cleaned[[#This Row],[Status]]="Refunded", "Refund",
  IF(Transactions_RAW_cleaned[[#This Row],[Category]]="Payments", IF(Transactions_RAW_cleaned[[#This Row],[Amount]]&gt;500,"High Value","Standard"),
    IF(Transactions_RAW_cleaned[[#This Row],[Amount]]&gt;250,"High Value","Standard")))</f>
        <v>High Value</v>
      </c>
      <c r="Q1456" s="5" t="str">
        <f>IF(Transactions_RAW_cleaned[[#This Row],[Amount]] &gt; (_xlfn.XLOOKUP(Transactions_RAW_cleaned[[#This Row],[ServiceID]],Services_cleaned[ServiceID],Services_cleaned[TransactionFeePct]) * 10000), "Yes", "No")</f>
        <v>Yes</v>
      </c>
      <c r="R1456" s="5" t="str">
        <f>IF(COUNTIFS($C$2:Transactions_RAW_cleaned[[#This Row],[CustomerID]],Transactions_RAW_cleaned[[#This Row],[CustomerID]],$D$2:Transactions_RAW_cleaned[[#This Row],[ServiceID]],Transactions_RAW_cleaned[[#This Row],[ServiceID]])=1,"Yes","No")</f>
        <v>Yes</v>
      </c>
      <c r="S145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56" t="str">
        <f>"Q"&amp;ROUNDUP(MONTH(Transactions_RAW_cleaned[[#This Row],[TransactionDate]])/3,0)</f>
        <v>Q1</v>
      </c>
      <c r="U1456" t="str">
        <f>Transactions_RAW_cleaned[[#This Row],[Region ]]&amp;Transactions_RAW_cleaned[[#This Row],[Quarter ]]</f>
        <v>NAQ1</v>
      </c>
      <c r="V1456" s="5">
        <f>_xlfn.XLOOKUP(Transactions_RAW_cleaned[[#This Row],[RegionQuarterKey]], Quarterly_Targets_cleaned[RegionQuarterKey], Quarterly_Targets_cleaned[TargetRevenue])</f>
        <v>247000</v>
      </c>
    </row>
    <row r="1457" spans="1:22" x14ac:dyDescent="0.25">
      <c r="A1457" t="s">
        <v>1791</v>
      </c>
      <c r="B1457" s="1">
        <v>45361</v>
      </c>
      <c r="C1457" t="s">
        <v>68</v>
      </c>
      <c r="D1457" t="s">
        <v>300</v>
      </c>
      <c r="E1457">
        <v>367.12</v>
      </c>
      <c r="F1457" t="s">
        <v>324</v>
      </c>
      <c r="G1457" t="s">
        <v>2963</v>
      </c>
      <c r="I1457" t="s">
        <v>57</v>
      </c>
      <c r="J1457" t="s">
        <v>13</v>
      </c>
      <c r="K1457" t="s">
        <v>10</v>
      </c>
      <c r="L1457" t="s">
        <v>301</v>
      </c>
      <c r="M1457" t="s">
        <v>302</v>
      </c>
      <c r="N1457">
        <v>5.0000000000000001E-3</v>
      </c>
      <c r="O1457" t="str">
        <f>IF(Transactions_RAW_cleaned[[#This Row],[Status]]="Completed", IFERROR(_xlfn.XLOOKUP(Transactions_RAW_cleaned[[#This Row],[CustomerID]], Customers_cleaned[CustomerID], Customers_cleaned[Segment]), "Customer Not Found"), "N/A")</f>
        <v>Startup</v>
      </c>
      <c r="P1457" s="5" t="str">
        <f>IF(Transactions_RAW_cleaned[[#This Row],[Status]]="Refunded", "Refund",
  IF(Transactions_RAW_cleaned[[#This Row],[Category]]="Payments", IF(Transactions_RAW_cleaned[[#This Row],[Amount]]&gt;500,"High Value","Standard"),
    IF(Transactions_RAW_cleaned[[#This Row],[Amount]]&gt;250,"High Value","Standard")))</f>
        <v>High Value</v>
      </c>
      <c r="Q1457" s="5" t="str">
        <f>IF(Transactions_RAW_cleaned[[#This Row],[Amount]] &gt; (_xlfn.XLOOKUP(Transactions_RAW_cleaned[[#This Row],[ServiceID]],Services_cleaned[ServiceID],Services_cleaned[TransactionFeePct]) * 10000), "Yes", "No")</f>
        <v>Yes</v>
      </c>
      <c r="R1457" s="5" t="str">
        <f>IF(COUNTIFS($C$2:Transactions_RAW_cleaned[[#This Row],[CustomerID]],Transactions_RAW_cleaned[[#This Row],[CustomerID]],$D$2:Transactions_RAW_cleaned[[#This Row],[ServiceID]],Transactions_RAW_cleaned[[#This Row],[ServiceID]])=1,"Yes","No")</f>
        <v>No</v>
      </c>
      <c r="S145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57" t="str">
        <f>"Q"&amp;ROUNDUP(MONTH(Transactions_RAW_cleaned[[#This Row],[TransactionDate]])/3,0)</f>
        <v>Q1</v>
      </c>
      <c r="U1457" t="str">
        <f>Transactions_RAW_cleaned[[#This Row],[Region ]]&amp;Transactions_RAW_cleaned[[#This Row],[Quarter ]]</f>
        <v>NAQ1</v>
      </c>
      <c r="V1457" s="5">
        <f>_xlfn.XLOOKUP(Transactions_RAW_cleaned[[#This Row],[RegionQuarterKey]], Quarterly_Targets_cleaned[RegionQuarterKey], Quarterly_Targets_cleaned[TargetRevenue])</f>
        <v>247000</v>
      </c>
    </row>
    <row r="1458" spans="1:22" x14ac:dyDescent="0.25">
      <c r="A1458" t="s">
        <v>1792</v>
      </c>
      <c r="B1458" s="1">
        <v>45449</v>
      </c>
      <c r="C1458" t="s">
        <v>209</v>
      </c>
      <c r="D1458" t="s">
        <v>297</v>
      </c>
      <c r="E1458">
        <v>527.85</v>
      </c>
      <c r="F1458" t="s">
        <v>324</v>
      </c>
      <c r="G1458" t="s">
        <v>327</v>
      </c>
      <c r="I1458" t="s">
        <v>17</v>
      </c>
      <c r="J1458" t="s">
        <v>102</v>
      </c>
      <c r="K1458" t="s">
        <v>22</v>
      </c>
      <c r="L1458" t="s">
        <v>298</v>
      </c>
      <c r="M1458" t="s">
        <v>299</v>
      </c>
      <c r="N1458">
        <v>0</v>
      </c>
      <c r="O1458" t="str">
        <f>IF(Transactions_RAW_cleaned[[#This Row],[Status]]="Completed", IFERROR(_xlfn.XLOOKUP(Transactions_RAW_cleaned[[#This Row],[CustomerID]], Customers_cleaned[CustomerID], Customers_cleaned[Segment]), "Customer Not Found"), "N/A")</f>
        <v>Enterprise</v>
      </c>
      <c r="P1458" s="5" t="str">
        <f>IF(Transactions_RAW_cleaned[[#This Row],[Status]]="Refunded", "Refund",
  IF(Transactions_RAW_cleaned[[#This Row],[Category]]="Payments", IF(Transactions_RAW_cleaned[[#This Row],[Amount]]&gt;500,"High Value","Standard"),
    IF(Transactions_RAW_cleaned[[#This Row],[Amount]]&gt;250,"High Value","Standard")))</f>
        <v>High Value</v>
      </c>
      <c r="Q1458" s="5" t="str">
        <f>IF(Transactions_RAW_cleaned[[#This Row],[Amount]] &gt; (_xlfn.XLOOKUP(Transactions_RAW_cleaned[[#This Row],[ServiceID]],Services_cleaned[ServiceID],Services_cleaned[TransactionFeePct]) * 10000), "Yes", "No")</f>
        <v>Yes</v>
      </c>
      <c r="R1458" s="5" t="str">
        <f>IF(COUNTIFS($C$2:Transactions_RAW_cleaned[[#This Row],[CustomerID]],Transactions_RAW_cleaned[[#This Row],[CustomerID]],$D$2:Transactions_RAW_cleaned[[#This Row],[ServiceID]],Transactions_RAW_cleaned[[#This Row],[ServiceID]])=1,"Yes","No")</f>
        <v>Yes</v>
      </c>
      <c r="S145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58" t="str">
        <f>"Q"&amp;ROUNDUP(MONTH(Transactions_RAW_cleaned[[#This Row],[TransactionDate]])/3,0)</f>
        <v>Q2</v>
      </c>
      <c r="U1458" t="str">
        <f>Transactions_RAW_cleaned[[#This Row],[Region ]]&amp;Transactions_RAW_cleaned[[#This Row],[Quarter ]]</f>
        <v>NAQ2</v>
      </c>
      <c r="V1458" s="5">
        <f>_xlfn.XLOOKUP(Transactions_RAW_cleaned[[#This Row],[RegionQuarterKey]], Quarterly_Targets_cleaned[RegionQuarterKey], Quarterly_Targets_cleaned[TargetRevenue])</f>
        <v>260000</v>
      </c>
    </row>
    <row r="1459" spans="1:22" x14ac:dyDescent="0.25">
      <c r="A1459" t="s">
        <v>1793</v>
      </c>
      <c r="B1459" s="1">
        <v>45594</v>
      </c>
      <c r="C1459" t="s">
        <v>193</v>
      </c>
      <c r="D1459" t="s">
        <v>294</v>
      </c>
      <c r="E1459">
        <v>605.34</v>
      </c>
      <c r="F1459" t="s">
        <v>324</v>
      </c>
      <c r="G1459" t="s">
        <v>327</v>
      </c>
      <c r="I1459" t="s">
        <v>8</v>
      </c>
      <c r="J1459" t="s">
        <v>102</v>
      </c>
      <c r="K1459" t="s">
        <v>18</v>
      </c>
      <c r="L1459" t="s">
        <v>295</v>
      </c>
      <c r="M1459" t="s">
        <v>296</v>
      </c>
      <c r="N1459">
        <v>2.9000000000000001E-2</v>
      </c>
      <c r="O1459" t="str">
        <f>IF(Transactions_RAW_cleaned[[#This Row],[Status]]="Completed", IFERROR(_xlfn.XLOOKUP(Transactions_RAW_cleaned[[#This Row],[CustomerID]], Customers_cleaned[CustomerID], Customers_cleaned[Segment]), "Customer Not Found"), "N/A")</f>
        <v>SMB</v>
      </c>
      <c r="P1459" s="5" t="str">
        <f>IF(Transactions_RAW_cleaned[[#This Row],[Status]]="Refunded", "Refund",
  IF(Transactions_RAW_cleaned[[#This Row],[Category]]="Payments", IF(Transactions_RAW_cleaned[[#This Row],[Amount]]&gt;500,"High Value","Standard"),
    IF(Transactions_RAW_cleaned[[#This Row],[Amount]]&gt;250,"High Value","Standard")))</f>
        <v>High Value</v>
      </c>
      <c r="Q1459" s="5" t="str">
        <f>IF(Transactions_RAW_cleaned[[#This Row],[Amount]] &gt; (_xlfn.XLOOKUP(Transactions_RAW_cleaned[[#This Row],[ServiceID]],Services_cleaned[ServiceID],Services_cleaned[TransactionFeePct]) * 10000), "Yes", "No")</f>
        <v>Yes</v>
      </c>
      <c r="R1459" s="5" t="str">
        <f>IF(COUNTIFS($C$2:Transactions_RAW_cleaned[[#This Row],[CustomerID]],Transactions_RAW_cleaned[[#This Row],[CustomerID]],$D$2:Transactions_RAW_cleaned[[#This Row],[ServiceID]],Transactions_RAW_cleaned[[#This Row],[ServiceID]])=1,"Yes","No")</f>
        <v>No</v>
      </c>
      <c r="S145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59" t="str">
        <f>"Q"&amp;ROUNDUP(MONTH(Transactions_RAW_cleaned[[#This Row],[TransactionDate]])/3,0)</f>
        <v>Q4</v>
      </c>
      <c r="U1459" t="str">
        <f>Transactions_RAW_cleaned[[#This Row],[Region ]]&amp;Transactions_RAW_cleaned[[#This Row],[Quarter ]]</f>
        <v>NAQ4</v>
      </c>
      <c r="V1459" s="5">
        <f>_xlfn.XLOOKUP(Transactions_RAW_cleaned[[#This Row],[RegionQuarterKey]], Quarterly_Targets_cleaned[RegionQuarterKey], Quarterly_Targets_cleaned[TargetRevenue])</f>
        <v>299000</v>
      </c>
    </row>
    <row r="1460" spans="1:22" x14ac:dyDescent="0.25">
      <c r="A1460" t="s">
        <v>1794</v>
      </c>
      <c r="B1460" s="1">
        <v>45468</v>
      </c>
      <c r="C1460" t="s">
        <v>68</v>
      </c>
      <c r="D1460" t="s">
        <v>294</v>
      </c>
      <c r="E1460">
        <v>673.33</v>
      </c>
      <c r="F1460" t="s">
        <v>381</v>
      </c>
      <c r="G1460" t="s">
        <v>337</v>
      </c>
      <c r="I1460" t="s">
        <v>57</v>
      </c>
      <c r="J1460" t="s">
        <v>13</v>
      </c>
      <c r="K1460" t="s">
        <v>10</v>
      </c>
      <c r="L1460" t="s">
        <v>295</v>
      </c>
      <c r="M1460" t="s">
        <v>296</v>
      </c>
      <c r="N1460">
        <v>2.9000000000000001E-2</v>
      </c>
      <c r="O1460" t="str">
        <f>IF(Transactions_RAW_cleaned[[#This Row],[Status]]="Completed", IFERROR(_xlfn.XLOOKUP(Transactions_RAW_cleaned[[#This Row],[CustomerID]], Customers_cleaned[CustomerID], Customers_cleaned[Segment]), "Customer Not Found"), "N/A")</f>
        <v>N/A</v>
      </c>
      <c r="P1460" s="5" t="str">
        <f>IF(Transactions_RAW_cleaned[[#This Row],[Status]]="Refunded", "Refund",
  IF(Transactions_RAW_cleaned[[#This Row],[Category]]="Payments", IF(Transactions_RAW_cleaned[[#This Row],[Amount]]&gt;500,"High Value","Standard"),
    IF(Transactions_RAW_cleaned[[#This Row],[Amount]]&gt;250,"High Value","Standard")))</f>
        <v>High Value</v>
      </c>
      <c r="Q1460" s="5" t="str">
        <f>IF(Transactions_RAW_cleaned[[#This Row],[Amount]] &gt; (_xlfn.XLOOKUP(Transactions_RAW_cleaned[[#This Row],[ServiceID]],Services_cleaned[ServiceID],Services_cleaned[TransactionFeePct]) * 10000), "Yes", "No")</f>
        <v>Yes</v>
      </c>
      <c r="R1460" s="5" t="str">
        <f>IF(COUNTIFS($C$2:Transactions_RAW_cleaned[[#This Row],[CustomerID]],Transactions_RAW_cleaned[[#This Row],[CustomerID]],$D$2:Transactions_RAW_cleaned[[#This Row],[ServiceID]],Transactions_RAW_cleaned[[#This Row],[ServiceID]])=1,"Yes","No")</f>
        <v>No</v>
      </c>
      <c r="S146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60" t="str">
        <f>"Q"&amp;ROUNDUP(MONTH(Transactions_RAW_cleaned[[#This Row],[TransactionDate]])/3,0)</f>
        <v>Q2</v>
      </c>
      <c r="U1460" t="str">
        <f>Transactions_RAW_cleaned[[#This Row],[Region ]]&amp;Transactions_RAW_cleaned[[#This Row],[Quarter ]]</f>
        <v>NAQ2</v>
      </c>
      <c r="V1460" s="5">
        <f>_xlfn.XLOOKUP(Transactions_RAW_cleaned[[#This Row],[RegionQuarterKey]], Quarterly_Targets_cleaned[RegionQuarterKey], Quarterly_Targets_cleaned[TargetRevenue])</f>
        <v>260000</v>
      </c>
    </row>
    <row r="1461" spans="1:22" x14ac:dyDescent="0.25">
      <c r="A1461" t="s">
        <v>1795</v>
      </c>
      <c r="B1461" s="1">
        <v>45356</v>
      </c>
      <c r="C1461" t="s">
        <v>90</v>
      </c>
      <c r="D1461" t="s">
        <v>297</v>
      </c>
      <c r="E1461">
        <v>504.55</v>
      </c>
      <c r="F1461" t="s">
        <v>324</v>
      </c>
      <c r="G1461" t="s">
        <v>329</v>
      </c>
      <c r="H1461" t="s">
        <v>346</v>
      </c>
      <c r="I1461" t="s">
        <v>8</v>
      </c>
      <c r="J1461" t="s">
        <v>102</v>
      </c>
      <c r="K1461" t="s">
        <v>28</v>
      </c>
      <c r="L1461" t="s">
        <v>298</v>
      </c>
      <c r="M1461" t="s">
        <v>299</v>
      </c>
      <c r="N1461">
        <v>0</v>
      </c>
      <c r="O1461" t="str">
        <f>IF(Transactions_RAW_cleaned[[#This Row],[Status]]="Completed", IFERROR(_xlfn.XLOOKUP(Transactions_RAW_cleaned[[#This Row],[CustomerID]], Customers_cleaned[CustomerID], Customers_cleaned[Segment]), "Customer Not Found"), "N/A")</f>
        <v>SMB</v>
      </c>
      <c r="P1461" s="5" t="str">
        <f>IF(Transactions_RAW_cleaned[[#This Row],[Status]]="Refunded", "Refund",
  IF(Transactions_RAW_cleaned[[#This Row],[Category]]="Payments", IF(Transactions_RAW_cleaned[[#This Row],[Amount]]&gt;500,"High Value","Standard"),
    IF(Transactions_RAW_cleaned[[#This Row],[Amount]]&gt;250,"High Value","Standard")))</f>
        <v>High Value</v>
      </c>
      <c r="Q1461" s="5" t="str">
        <f>IF(Transactions_RAW_cleaned[[#This Row],[Amount]] &gt; (_xlfn.XLOOKUP(Transactions_RAW_cleaned[[#This Row],[ServiceID]],Services_cleaned[ServiceID],Services_cleaned[TransactionFeePct]) * 10000), "Yes", "No")</f>
        <v>Yes</v>
      </c>
      <c r="R1461" s="5" t="str">
        <f>IF(COUNTIFS($C$2:Transactions_RAW_cleaned[[#This Row],[CustomerID]],Transactions_RAW_cleaned[[#This Row],[CustomerID]],$D$2:Transactions_RAW_cleaned[[#This Row],[ServiceID]],Transactions_RAW_cleaned[[#This Row],[ServiceID]])=1,"Yes","No")</f>
        <v>No</v>
      </c>
      <c r="S146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61" t="str">
        <f>"Q"&amp;ROUNDUP(MONTH(Transactions_RAW_cleaned[[#This Row],[TransactionDate]])/3,0)</f>
        <v>Q1</v>
      </c>
      <c r="U1461" t="str">
        <f>Transactions_RAW_cleaned[[#This Row],[Region ]]&amp;Transactions_RAW_cleaned[[#This Row],[Quarter ]]</f>
        <v>NAQ1</v>
      </c>
      <c r="V1461" s="5">
        <f>_xlfn.XLOOKUP(Transactions_RAW_cleaned[[#This Row],[RegionQuarterKey]], Quarterly_Targets_cleaned[RegionQuarterKey], Quarterly_Targets_cleaned[TargetRevenue])</f>
        <v>247000</v>
      </c>
    </row>
    <row r="1462" spans="1:22" x14ac:dyDescent="0.25">
      <c r="A1462" t="s">
        <v>1796</v>
      </c>
      <c r="B1462" s="1">
        <v>45315</v>
      </c>
      <c r="C1462" t="s">
        <v>191</v>
      </c>
      <c r="D1462" t="s">
        <v>306</v>
      </c>
      <c r="E1462">
        <v>591.52</v>
      </c>
      <c r="F1462" t="s">
        <v>324</v>
      </c>
      <c r="G1462" t="s">
        <v>325</v>
      </c>
      <c r="I1462" t="s">
        <v>57</v>
      </c>
      <c r="J1462" t="s">
        <v>31</v>
      </c>
      <c r="K1462" t="s">
        <v>32</v>
      </c>
      <c r="L1462" t="s">
        <v>307</v>
      </c>
      <c r="M1462" t="s">
        <v>308</v>
      </c>
      <c r="N1462">
        <v>0</v>
      </c>
      <c r="O1462" t="str">
        <f>IF(Transactions_RAW_cleaned[[#This Row],[Status]]="Completed", IFERROR(_xlfn.XLOOKUP(Transactions_RAW_cleaned[[#This Row],[CustomerID]], Customers_cleaned[CustomerID], Customers_cleaned[Segment]), "Customer Not Found"), "N/A")</f>
        <v>Startup</v>
      </c>
      <c r="P1462" s="5" t="str">
        <f>IF(Transactions_RAW_cleaned[[#This Row],[Status]]="Refunded", "Refund",
  IF(Transactions_RAW_cleaned[[#This Row],[Category]]="Payments", IF(Transactions_RAW_cleaned[[#This Row],[Amount]]&gt;500,"High Value","Standard"),
    IF(Transactions_RAW_cleaned[[#This Row],[Amount]]&gt;250,"High Value","Standard")))</f>
        <v>High Value</v>
      </c>
      <c r="Q1462" s="5" t="str">
        <f>IF(Transactions_RAW_cleaned[[#This Row],[Amount]] &gt; (_xlfn.XLOOKUP(Transactions_RAW_cleaned[[#This Row],[ServiceID]],Services_cleaned[ServiceID],Services_cleaned[TransactionFeePct]) * 10000), "Yes", "No")</f>
        <v>Yes</v>
      </c>
      <c r="R1462" s="5" t="str">
        <f>IF(COUNTIFS($C$2:Transactions_RAW_cleaned[[#This Row],[CustomerID]],Transactions_RAW_cleaned[[#This Row],[CustomerID]],$D$2:Transactions_RAW_cleaned[[#This Row],[ServiceID]],Transactions_RAW_cleaned[[#This Row],[ServiceID]])=1,"Yes","No")</f>
        <v>No</v>
      </c>
      <c r="S146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62" t="str">
        <f>"Q"&amp;ROUNDUP(MONTH(Transactions_RAW_cleaned[[#This Row],[TransactionDate]])/3,0)</f>
        <v>Q1</v>
      </c>
      <c r="U1462" t="str">
        <f>Transactions_RAW_cleaned[[#This Row],[Region ]]&amp;Transactions_RAW_cleaned[[#This Row],[Quarter ]]</f>
        <v>EMEAQ1</v>
      </c>
      <c r="V1462" s="5">
        <f>_xlfn.XLOOKUP(Transactions_RAW_cleaned[[#This Row],[RegionQuarterKey]], Quarterly_Targets_cleaned[RegionQuarterKey], Quarterly_Targets_cleaned[TargetRevenue])</f>
        <v>133000</v>
      </c>
    </row>
    <row r="1463" spans="1:22" x14ac:dyDescent="0.25">
      <c r="A1463" t="s">
        <v>1797</v>
      </c>
      <c r="B1463" s="1">
        <v>45496</v>
      </c>
      <c r="C1463" t="s">
        <v>205</v>
      </c>
      <c r="D1463" t="s">
        <v>306</v>
      </c>
      <c r="E1463">
        <v>343.45</v>
      </c>
      <c r="F1463" t="s">
        <v>324</v>
      </c>
      <c r="G1463" t="s">
        <v>327</v>
      </c>
      <c r="I1463" t="s">
        <v>8</v>
      </c>
      <c r="J1463" t="s">
        <v>21</v>
      </c>
      <c r="K1463" t="s">
        <v>14</v>
      </c>
      <c r="L1463" t="s">
        <v>307</v>
      </c>
      <c r="M1463" t="s">
        <v>308</v>
      </c>
      <c r="N1463">
        <v>0</v>
      </c>
      <c r="O1463" t="str">
        <f>IF(Transactions_RAW_cleaned[[#This Row],[Status]]="Completed", IFERROR(_xlfn.XLOOKUP(Transactions_RAW_cleaned[[#This Row],[CustomerID]], Customers_cleaned[CustomerID], Customers_cleaned[Segment]), "Customer Not Found"), "N/A")</f>
        <v>SMB</v>
      </c>
      <c r="P1463" s="5" t="str">
        <f>IF(Transactions_RAW_cleaned[[#This Row],[Status]]="Refunded", "Refund",
  IF(Transactions_RAW_cleaned[[#This Row],[Category]]="Payments", IF(Transactions_RAW_cleaned[[#This Row],[Amount]]&gt;500,"High Value","Standard"),
    IF(Transactions_RAW_cleaned[[#This Row],[Amount]]&gt;250,"High Value","Standard")))</f>
        <v>High Value</v>
      </c>
      <c r="Q1463" s="5" t="str">
        <f>IF(Transactions_RAW_cleaned[[#This Row],[Amount]] &gt; (_xlfn.XLOOKUP(Transactions_RAW_cleaned[[#This Row],[ServiceID]],Services_cleaned[ServiceID],Services_cleaned[TransactionFeePct]) * 10000), "Yes", "No")</f>
        <v>Yes</v>
      </c>
      <c r="R1463" s="5" t="str">
        <f>IF(COUNTIFS($C$2:Transactions_RAW_cleaned[[#This Row],[CustomerID]],Transactions_RAW_cleaned[[#This Row],[CustomerID]],$D$2:Transactions_RAW_cleaned[[#This Row],[ServiceID]],Transactions_RAW_cleaned[[#This Row],[ServiceID]])=1,"Yes","No")</f>
        <v>No</v>
      </c>
      <c r="S146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63" t="str">
        <f>"Q"&amp;ROUNDUP(MONTH(Transactions_RAW_cleaned[[#This Row],[TransactionDate]])/3,0)</f>
        <v>Q3</v>
      </c>
      <c r="U1463" t="str">
        <f>Transactions_RAW_cleaned[[#This Row],[Region ]]&amp;Transactions_RAW_cleaned[[#This Row],[Quarter ]]</f>
        <v>APACQ3</v>
      </c>
      <c r="V1463" s="5">
        <f>_xlfn.XLOOKUP(Transactions_RAW_cleaned[[#This Row],[RegionQuarterKey]], Quarterly_Targets_cleaned[RegionQuarterKey], Quarterly_Targets_cleaned[TargetRevenue])</f>
        <v>115500</v>
      </c>
    </row>
    <row r="1464" spans="1:22" x14ac:dyDescent="0.25">
      <c r="A1464" t="s">
        <v>1798</v>
      </c>
      <c r="B1464" s="1">
        <v>45598</v>
      </c>
      <c r="C1464" t="s">
        <v>105</v>
      </c>
      <c r="D1464" t="s">
        <v>297</v>
      </c>
      <c r="E1464">
        <v>508.59</v>
      </c>
      <c r="F1464" t="s">
        <v>324</v>
      </c>
      <c r="G1464" t="s">
        <v>325</v>
      </c>
      <c r="I1464" t="s">
        <v>57</v>
      </c>
      <c r="J1464" t="s">
        <v>102</v>
      </c>
      <c r="K1464" t="s">
        <v>32</v>
      </c>
      <c r="L1464" t="s">
        <v>298</v>
      </c>
      <c r="M1464" t="s">
        <v>299</v>
      </c>
      <c r="N1464">
        <v>0</v>
      </c>
      <c r="O1464" t="str">
        <f>IF(Transactions_RAW_cleaned[[#This Row],[Status]]="Completed", IFERROR(_xlfn.XLOOKUP(Transactions_RAW_cleaned[[#This Row],[CustomerID]], Customers_cleaned[CustomerID], Customers_cleaned[Segment]), "Customer Not Found"), "N/A")</f>
        <v>Startup</v>
      </c>
      <c r="P1464" s="5" t="str">
        <f>IF(Transactions_RAW_cleaned[[#This Row],[Status]]="Refunded", "Refund",
  IF(Transactions_RAW_cleaned[[#This Row],[Category]]="Payments", IF(Transactions_RAW_cleaned[[#This Row],[Amount]]&gt;500,"High Value","Standard"),
    IF(Transactions_RAW_cleaned[[#This Row],[Amount]]&gt;250,"High Value","Standard")))</f>
        <v>High Value</v>
      </c>
      <c r="Q1464" s="5" t="str">
        <f>IF(Transactions_RAW_cleaned[[#This Row],[Amount]] &gt; (_xlfn.XLOOKUP(Transactions_RAW_cleaned[[#This Row],[ServiceID]],Services_cleaned[ServiceID],Services_cleaned[TransactionFeePct]) * 10000), "Yes", "No")</f>
        <v>Yes</v>
      </c>
      <c r="R1464" s="5" t="str">
        <f>IF(COUNTIFS($C$2:Transactions_RAW_cleaned[[#This Row],[CustomerID]],Transactions_RAW_cleaned[[#This Row],[CustomerID]],$D$2:Transactions_RAW_cleaned[[#This Row],[ServiceID]],Transactions_RAW_cleaned[[#This Row],[ServiceID]])=1,"Yes","No")</f>
        <v>No</v>
      </c>
      <c r="S146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64" t="str">
        <f>"Q"&amp;ROUNDUP(MONTH(Transactions_RAW_cleaned[[#This Row],[TransactionDate]])/3,0)</f>
        <v>Q4</v>
      </c>
      <c r="U1464" t="str">
        <f>Transactions_RAW_cleaned[[#This Row],[Region ]]&amp;Transactions_RAW_cleaned[[#This Row],[Quarter ]]</f>
        <v>NAQ4</v>
      </c>
      <c r="V1464" s="5">
        <f>_xlfn.XLOOKUP(Transactions_RAW_cleaned[[#This Row],[RegionQuarterKey]], Quarterly_Targets_cleaned[RegionQuarterKey], Quarterly_Targets_cleaned[TargetRevenue])</f>
        <v>299000</v>
      </c>
    </row>
    <row r="1465" spans="1:22" x14ac:dyDescent="0.25">
      <c r="A1465" t="s">
        <v>1799</v>
      </c>
      <c r="B1465" s="1">
        <v>45346</v>
      </c>
      <c r="C1465" t="s">
        <v>179</v>
      </c>
      <c r="D1465" t="s">
        <v>297</v>
      </c>
      <c r="E1465">
        <v>267.25</v>
      </c>
      <c r="F1465" t="s">
        <v>324</v>
      </c>
      <c r="G1465" t="s">
        <v>325</v>
      </c>
      <c r="H1465" t="s">
        <v>332</v>
      </c>
      <c r="I1465" t="s">
        <v>8</v>
      </c>
      <c r="J1465" t="s">
        <v>31</v>
      </c>
      <c r="K1465" t="s">
        <v>18</v>
      </c>
      <c r="L1465" t="s">
        <v>298</v>
      </c>
      <c r="M1465" t="s">
        <v>299</v>
      </c>
      <c r="N1465">
        <v>0</v>
      </c>
      <c r="O1465" t="str">
        <f>IF(Transactions_RAW_cleaned[[#This Row],[Status]]="Completed", IFERROR(_xlfn.XLOOKUP(Transactions_RAW_cleaned[[#This Row],[CustomerID]], Customers_cleaned[CustomerID], Customers_cleaned[Segment]), "Customer Not Found"), "N/A")</f>
        <v>SMB</v>
      </c>
      <c r="P1465" s="5" t="str">
        <f>IF(Transactions_RAW_cleaned[[#This Row],[Status]]="Refunded", "Refund",
  IF(Transactions_RAW_cleaned[[#This Row],[Category]]="Payments", IF(Transactions_RAW_cleaned[[#This Row],[Amount]]&gt;500,"High Value","Standard"),
    IF(Transactions_RAW_cleaned[[#This Row],[Amount]]&gt;250,"High Value","Standard")))</f>
        <v>High Value</v>
      </c>
      <c r="Q1465" s="5" t="str">
        <f>IF(Transactions_RAW_cleaned[[#This Row],[Amount]] &gt; (_xlfn.XLOOKUP(Transactions_RAW_cleaned[[#This Row],[ServiceID]],Services_cleaned[ServiceID],Services_cleaned[TransactionFeePct]) * 10000), "Yes", "No")</f>
        <v>Yes</v>
      </c>
      <c r="R1465" s="5" t="str">
        <f>IF(COUNTIFS($C$2:Transactions_RAW_cleaned[[#This Row],[CustomerID]],Transactions_RAW_cleaned[[#This Row],[CustomerID]],$D$2:Transactions_RAW_cleaned[[#This Row],[ServiceID]],Transactions_RAW_cleaned[[#This Row],[ServiceID]])=1,"Yes","No")</f>
        <v>No</v>
      </c>
      <c r="S146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65" t="str">
        <f>"Q"&amp;ROUNDUP(MONTH(Transactions_RAW_cleaned[[#This Row],[TransactionDate]])/3,0)</f>
        <v>Q1</v>
      </c>
      <c r="U1465" t="str">
        <f>Transactions_RAW_cleaned[[#This Row],[Region ]]&amp;Transactions_RAW_cleaned[[#This Row],[Quarter ]]</f>
        <v>EMEAQ1</v>
      </c>
      <c r="V1465" s="5">
        <f>_xlfn.XLOOKUP(Transactions_RAW_cleaned[[#This Row],[RegionQuarterKey]], Quarterly_Targets_cleaned[RegionQuarterKey], Quarterly_Targets_cleaned[TargetRevenue])</f>
        <v>133000</v>
      </c>
    </row>
    <row r="1466" spans="1:22" x14ac:dyDescent="0.25">
      <c r="A1466" t="s">
        <v>1800</v>
      </c>
      <c r="B1466" s="1">
        <v>45296</v>
      </c>
      <c r="C1466" t="s">
        <v>193</v>
      </c>
      <c r="D1466" t="s">
        <v>294</v>
      </c>
      <c r="E1466">
        <v>334.27</v>
      </c>
      <c r="F1466" t="s">
        <v>324</v>
      </c>
      <c r="G1466" t="s">
        <v>325</v>
      </c>
      <c r="I1466" t="s">
        <v>8</v>
      </c>
      <c r="J1466" t="s">
        <v>102</v>
      </c>
      <c r="K1466" t="s">
        <v>18</v>
      </c>
      <c r="L1466" t="s">
        <v>295</v>
      </c>
      <c r="M1466" t="s">
        <v>296</v>
      </c>
      <c r="N1466">
        <v>2.9000000000000001E-2</v>
      </c>
      <c r="O1466" t="str">
        <f>IF(Transactions_RAW_cleaned[[#This Row],[Status]]="Completed", IFERROR(_xlfn.XLOOKUP(Transactions_RAW_cleaned[[#This Row],[CustomerID]], Customers_cleaned[CustomerID], Customers_cleaned[Segment]), "Customer Not Found"), "N/A")</f>
        <v>SMB</v>
      </c>
      <c r="P1466" s="5" t="str">
        <f>IF(Transactions_RAW_cleaned[[#This Row],[Status]]="Refunded", "Refund",
  IF(Transactions_RAW_cleaned[[#This Row],[Category]]="Payments", IF(Transactions_RAW_cleaned[[#This Row],[Amount]]&gt;500,"High Value","Standard"),
    IF(Transactions_RAW_cleaned[[#This Row],[Amount]]&gt;250,"High Value","Standard")))</f>
        <v>Standard</v>
      </c>
      <c r="Q1466" s="5" t="str">
        <f>IF(Transactions_RAW_cleaned[[#This Row],[Amount]] &gt; (_xlfn.XLOOKUP(Transactions_RAW_cleaned[[#This Row],[ServiceID]],Services_cleaned[ServiceID],Services_cleaned[TransactionFeePct]) * 10000), "Yes", "No")</f>
        <v>Yes</v>
      </c>
      <c r="R1466" s="5" t="str">
        <f>IF(COUNTIFS($C$2:Transactions_RAW_cleaned[[#This Row],[CustomerID]],Transactions_RAW_cleaned[[#This Row],[CustomerID]],$D$2:Transactions_RAW_cleaned[[#This Row],[ServiceID]],Transactions_RAW_cleaned[[#This Row],[ServiceID]])=1,"Yes","No")</f>
        <v>No</v>
      </c>
      <c r="S146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66" t="str">
        <f>"Q"&amp;ROUNDUP(MONTH(Transactions_RAW_cleaned[[#This Row],[TransactionDate]])/3,0)</f>
        <v>Q1</v>
      </c>
      <c r="U1466" t="str">
        <f>Transactions_RAW_cleaned[[#This Row],[Region ]]&amp;Transactions_RAW_cleaned[[#This Row],[Quarter ]]</f>
        <v>NAQ1</v>
      </c>
      <c r="V1466" s="5">
        <f>_xlfn.XLOOKUP(Transactions_RAW_cleaned[[#This Row],[RegionQuarterKey]], Quarterly_Targets_cleaned[RegionQuarterKey], Quarterly_Targets_cleaned[TargetRevenue])</f>
        <v>247000</v>
      </c>
    </row>
    <row r="1467" spans="1:22" x14ac:dyDescent="0.25">
      <c r="A1467" t="s">
        <v>1801</v>
      </c>
      <c r="B1467" s="1">
        <v>45652</v>
      </c>
      <c r="C1467" t="s">
        <v>70</v>
      </c>
      <c r="D1467" t="s">
        <v>309</v>
      </c>
      <c r="E1467">
        <v>620.20000000000005</v>
      </c>
      <c r="F1467" t="s">
        <v>331</v>
      </c>
      <c r="G1467" t="s">
        <v>329</v>
      </c>
      <c r="I1467" t="s">
        <v>8</v>
      </c>
      <c r="J1467" t="s">
        <v>37</v>
      </c>
      <c r="K1467" t="s">
        <v>28</v>
      </c>
      <c r="L1467" t="s">
        <v>310</v>
      </c>
      <c r="M1467" t="s">
        <v>311</v>
      </c>
      <c r="N1467">
        <v>0</v>
      </c>
      <c r="O1467" t="str">
        <f>IF(Transactions_RAW_cleaned[[#This Row],[Status]]="Completed", IFERROR(_xlfn.XLOOKUP(Transactions_RAW_cleaned[[#This Row],[CustomerID]], Customers_cleaned[CustomerID], Customers_cleaned[Segment]), "Customer Not Found"), "N/A")</f>
        <v>N/A</v>
      </c>
      <c r="P1467" s="5" t="str">
        <f>IF(Transactions_RAW_cleaned[[#This Row],[Status]]="Refunded", "Refund",
  IF(Transactions_RAW_cleaned[[#This Row],[Category]]="Payments", IF(Transactions_RAW_cleaned[[#This Row],[Amount]]&gt;500,"High Value","Standard"),
    IF(Transactions_RAW_cleaned[[#This Row],[Amount]]&gt;250,"High Value","Standard")))</f>
        <v>High Value</v>
      </c>
      <c r="Q1467" s="5" t="str">
        <f>IF(Transactions_RAW_cleaned[[#This Row],[Amount]] &gt; (_xlfn.XLOOKUP(Transactions_RAW_cleaned[[#This Row],[ServiceID]],Services_cleaned[ServiceID],Services_cleaned[TransactionFeePct]) * 10000), "Yes", "No")</f>
        <v>Yes</v>
      </c>
      <c r="R1467" s="5" t="str">
        <f>IF(COUNTIFS($C$2:Transactions_RAW_cleaned[[#This Row],[CustomerID]],Transactions_RAW_cleaned[[#This Row],[CustomerID]],$D$2:Transactions_RAW_cleaned[[#This Row],[ServiceID]],Transactions_RAW_cleaned[[#This Row],[ServiceID]])=1,"Yes","No")</f>
        <v>No</v>
      </c>
      <c r="S146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67" t="str">
        <f>"Q"&amp;ROUNDUP(MONTH(Transactions_RAW_cleaned[[#This Row],[TransactionDate]])/3,0)</f>
        <v>Q4</v>
      </c>
      <c r="U1467" t="str">
        <f>Transactions_RAW_cleaned[[#This Row],[Region ]]&amp;Transactions_RAW_cleaned[[#This Row],[Quarter ]]</f>
        <v>EMEAQ4</v>
      </c>
      <c r="V1467" s="5">
        <f>_xlfn.XLOOKUP(Transactions_RAW_cleaned[[#This Row],[RegionQuarterKey]], Quarterly_Targets_cleaned[RegionQuarterKey], Quarterly_Targets_cleaned[TargetRevenue])</f>
        <v>161000</v>
      </c>
    </row>
    <row r="1468" spans="1:22" x14ac:dyDescent="0.25">
      <c r="A1468" t="s">
        <v>1802</v>
      </c>
      <c r="B1468" s="1">
        <v>45464</v>
      </c>
      <c r="C1468" t="s">
        <v>173</v>
      </c>
      <c r="D1468" t="s">
        <v>312</v>
      </c>
      <c r="E1468">
        <v>134.76</v>
      </c>
      <c r="F1468" t="s">
        <v>381</v>
      </c>
      <c r="G1468" t="s">
        <v>327</v>
      </c>
      <c r="I1468" t="s">
        <v>8</v>
      </c>
      <c r="J1468" t="s">
        <v>46</v>
      </c>
      <c r="K1468" t="s">
        <v>32</v>
      </c>
      <c r="L1468" t="s">
        <v>313</v>
      </c>
      <c r="M1468" t="s">
        <v>314</v>
      </c>
      <c r="N1468">
        <v>0</v>
      </c>
      <c r="O1468" t="str">
        <f>IF(Transactions_RAW_cleaned[[#This Row],[Status]]="Completed", IFERROR(_xlfn.XLOOKUP(Transactions_RAW_cleaned[[#This Row],[CustomerID]], Customers_cleaned[CustomerID], Customers_cleaned[Segment]), "Customer Not Found"), "N/A")</f>
        <v>N/A</v>
      </c>
      <c r="P1468" s="5" t="str">
        <f>IF(Transactions_RAW_cleaned[[#This Row],[Status]]="Refunded", "Refund",
  IF(Transactions_RAW_cleaned[[#This Row],[Category]]="Payments", IF(Transactions_RAW_cleaned[[#This Row],[Amount]]&gt;500,"High Value","Standard"),
    IF(Transactions_RAW_cleaned[[#This Row],[Amount]]&gt;250,"High Value","Standard")))</f>
        <v>Standard</v>
      </c>
      <c r="Q1468" s="5" t="str">
        <f>IF(Transactions_RAW_cleaned[[#This Row],[Amount]] &gt; (_xlfn.XLOOKUP(Transactions_RAW_cleaned[[#This Row],[ServiceID]],Services_cleaned[ServiceID],Services_cleaned[TransactionFeePct]) * 10000), "Yes", "No")</f>
        <v>Yes</v>
      </c>
      <c r="R1468" s="5" t="str">
        <f>IF(COUNTIFS($C$2:Transactions_RAW_cleaned[[#This Row],[CustomerID]],Transactions_RAW_cleaned[[#This Row],[CustomerID]],$D$2:Transactions_RAW_cleaned[[#This Row],[ServiceID]],Transactions_RAW_cleaned[[#This Row],[ServiceID]])=1,"Yes","No")</f>
        <v>No</v>
      </c>
      <c r="S146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68" t="str">
        <f>"Q"&amp;ROUNDUP(MONTH(Transactions_RAW_cleaned[[#This Row],[TransactionDate]])/3,0)</f>
        <v>Q2</v>
      </c>
      <c r="U1468" t="str">
        <f>Transactions_RAW_cleaned[[#This Row],[Region ]]&amp;Transactions_RAW_cleaned[[#This Row],[Quarter ]]</f>
        <v>APACQ2</v>
      </c>
      <c r="V1468" s="5">
        <f>_xlfn.XLOOKUP(Transactions_RAW_cleaned[[#This Row],[RegionQuarterKey]], Quarterly_Targets_cleaned[RegionQuarterKey], Quarterly_Targets_cleaned[TargetRevenue])</f>
        <v>110000</v>
      </c>
    </row>
    <row r="1469" spans="1:22" x14ac:dyDescent="0.25">
      <c r="A1469" t="s">
        <v>1803</v>
      </c>
      <c r="B1469" s="1">
        <v>45607</v>
      </c>
      <c r="C1469" t="s">
        <v>145</v>
      </c>
      <c r="D1469" t="s">
        <v>315</v>
      </c>
      <c r="E1469">
        <v>505.77</v>
      </c>
      <c r="F1469" t="s">
        <v>324</v>
      </c>
      <c r="G1469" t="s">
        <v>325</v>
      </c>
      <c r="I1469" t="s">
        <v>8</v>
      </c>
      <c r="J1469" t="s">
        <v>13</v>
      </c>
      <c r="K1469" t="s">
        <v>32</v>
      </c>
      <c r="L1469" t="s">
        <v>316</v>
      </c>
      <c r="M1469" t="s">
        <v>305</v>
      </c>
      <c r="N1469">
        <v>2.5000000000000001E-3</v>
      </c>
      <c r="O1469" t="str">
        <f>IF(Transactions_RAW_cleaned[[#This Row],[Status]]="Completed", IFERROR(_xlfn.XLOOKUP(Transactions_RAW_cleaned[[#This Row],[CustomerID]], Customers_cleaned[CustomerID], Customers_cleaned[Segment]), "Customer Not Found"), "N/A")</f>
        <v>SMB</v>
      </c>
      <c r="P1469" s="5" t="str">
        <f>IF(Transactions_RAW_cleaned[[#This Row],[Status]]="Refunded", "Refund",
  IF(Transactions_RAW_cleaned[[#This Row],[Category]]="Payments", IF(Transactions_RAW_cleaned[[#This Row],[Amount]]&gt;500,"High Value","Standard"),
    IF(Transactions_RAW_cleaned[[#This Row],[Amount]]&gt;250,"High Value","Standard")))</f>
        <v>High Value</v>
      </c>
      <c r="Q1469" s="5" t="str">
        <f>IF(Transactions_RAW_cleaned[[#This Row],[Amount]] &gt; (_xlfn.XLOOKUP(Transactions_RAW_cleaned[[#This Row],[ServiceID]],Services_cleaned[ServiceID],Services_cleaned[TransactionFeePct]) * 10000), "Yes", "No")</f>
        <v>Yes</v>
      </c>
      <c r="R1469" s="5" t="str">
        <f>IF(COUNTIFS($C$2:Transactions_RAW_cleaned[[#This Row],[CustomerID]],Transactions_RAW_cleaned[[#This Row],[CustomerID]],$D$2:Transactions_RAW_cleaned[[#This Row],[ServiceID]],Transactions_RAW_cleaned[[#This Row],[ServiceID]])=1,"Yes","No")</f>
        <v>No</v>
      </c>
      <c r="S146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69" t="str">
        <f>"Q"&amp;ROUNDUP(MONTH(Transactions_RAW_cleaned[[#This Row],[TransactionDate]])/3,0)</f>
        <v>Q4</v>
      </c>
      <c r="U1469" t="str">
        <f>Transactions_RAW_cleaned[[#This Row],[Region ]]&amp;Transactions_RAW_cleaned[[#This Row],[Quarter ]]</f>
        <v>NAQ4</v>
      </c>
      <c r="V1469" s="5">
        <f>_xlfn.XLOOKUP(Transactions_RAW_cleaned[[#This Row],[RegionQuarterKey]], Quarterly_Targets_cleaned[RegionQuarterKey], Quarterly_Targets_cleaned[TargetRevenue])</f>
        <v>299000</v>
      </c>
    </row>
    <row r="1470" spans="1:22" x14ac:dyDescent="0.25">
      <c r="A1470" t="s">
        <v>1804</v>
      </c>
      <c r="B1470" s="1">
        <v>45482</v>
      </c>
      <c r="C1470" t="s">
        <v>23</v>
      </c>
      <c r="D1470" t="s">
        <v>315</v>
      </c>
      <c r="E1470">
        <v>449.7</v>
      </c>
      <c r="F1470" t="s">
        <v>324</v>
      </c>
      <c r="G1470" t="s">
        <v>337</v>
      </c>
      <c r="I1470" t="s">
        <v>8</v>
      </c>
      <c r="J1470" t="s">
        <v>25</v>
      </c>
      <c r="K1470" t="s">
        <v>22</v>
      </c>
      <c r="L1470" t="s">
        <v>316</v>
      </c>
      <c r="M1470" t="s">
        <v>305</v>
      </c>
      <c r="N1470">
        <v>2.5000000000000001E-3</v>
      </c>
      <c r="O1470" t="str">
        <f>IF(Transactions_RAW_cleaned[[#This Row],[Status]]="Completed", IFERROR(_xlfn.XLOOKUP(Transactions_RAW_cleaned[[#This Row],[CustomerID]], Customers_cleaned[CustomerID], Customers_cleaned[Segment]), "Customer Not Found"), "N/A")</f>
        <v>SMB</v>
      </c>
      <c r="P1470" s="5" t="str">
        <f>IF(Transactions_RAW_cleaned[[#This Row],[Status]]="Refunded", "Refund",
  IF(Transactions_RAW_cleaned[[#This Row],[Category]]="Payments", IF(Transactions_RAW_cleaned[[#This Row],[Amount]]&gt;500,"High Value","Standard"),
    IF(Transactions_RAW_cleaned[[#This Row],[Amount]]&gt;250,"High Value","Standard")))</f>
        <v>High Value</v>
      </c>
      <c r="Q1470" s="5" t="str">
        <f>IF(Transactions_RAW_cleaned[[#This Row],[Amount]] &gt; (_xlfn.XLOOKUP(Transactions_RAW_cleaned[[#This Row],[ServiceID]],Services_cleaned[ServiceID],Services_cleaned[TransactionFeePct]) * 10000), "Yes", "No")</f>
        <v>Yes</v>
      </c>
      <c r="R1470" s="5" t="str">
        <f>IF(COUNTIFS($C$2:Transactions_RAW_cleaned[[#This Row],[CustomerID]],Transactions_RAW_cleaned[[#This Row],[CustomerID]],$D$2:Transactions_RAW_cleaned[[#This Row],[ServiceID]],Transactions_RAW_cleaned[[#This Row],[ServiceID]])=1,"Yes","No")</f>
        <v>No</v>
      </c>
      <c r="S147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70" t="str">
        <f>"Q"&amp;ROUNDUP(MONTH(Transactions_RAW_cleaned[[#This Row],[TransactionDate]])/3,0)</f>
        <v>Q3</v>
      </c>
      <c r="U1470" t="str">
        <f>Transactions_RAW_cleaned[[#This Row],[Region ]]&amp;Transactions_RAW_cleaned[[#This Row],[Quarter ]]</f>
        <v>APACQ3</v>
      </c>
      <c r="V1470" s="5">
        <f>_xlfn.XLOOKUP(Transactions_RAW_cleaned[[#This Row],[RegionQuarterKey]], Quarterly_Targets_cleaned[RegionQuarterKey], Quarterly_Targets_cleaned[TargetRevenue])</f>
        <v>115500</v>
      </c>
    </row>
    <row r="1471" spans="1:22" x14ac:dyDescent="0.25">
      <c r="A1471" t="s">
        <v>1805</v>
      </c>
      <c r="B1471" s="1">
        <v>45412</v>
      </c>
      <c r="C1471" t="s">
        <v>215</v>
      </c>
      <c r="D1471" t="s">
        <v>294</v>
      </c>
      <c r="E1471">
        <v>168.63</v>
      </c>
      <c r="F1471" t="s">
        <v>324</v>
      </c>
      <c r="G1471" t="s">
        <v>327</v>
      </c>
      <c r="I1471" t="s">
        <v>57</v>
      </c>
      <c r="J1471" t="s">
        <v>102</v>
      </c>
      <c r="K1471" t="s">
        <v>14</v>
      </c>
      <c r="L1471" t="s">
        <v>295</v>
      </c>
      <c r="M1471" t="s">
        <v>296</v>
      </c>
      <c r="N1471">
        <v>2.9000000000000001E-2</v>
      </c>
      <c r="O1471" t="str">
        <f>IF(Transactions_RAW_cleaned[[#This Row],[Status]]="Completed", IFERROR(_xlfn.XLOOKUP(Transactions_RAW_cleaned[[#This Row],[CustomerID]], Customers_cleaned[CustomerID], Customers_cleaned[Segment]), "Customer Not Found"), "N/A")</f>
        <v>Startup</v>
      </c>
      <c r="P1471" s="5" t="str">
        <f>IF(Transactions_RAW_cleaned[[#This Row],[Status]]="Refunded", "Refund",
  IF(Transactions_RAW_cleaned[[#This Row],[Category]]="Payments", IF(Transactions_RAW_cleaned[[#This Row],[Amount]]&gt;500,"High Value","Standard"),
    IF(Transactions_RAW_cleaned[[#This Row],[Amount]]&gt;250,"High Value","Standard")))</f>
        <v>Standard</v>
      </c>
      <c r="Q1471" s="5" t="str">
        <f>IF(Transactions_RAW_cleaned[[#This Row],[Amount]] &gt; (_xlfn.XLOOKUP(Transactions_RAW_cleaned[[#This Row],[ServiceID]],Services_cleaned[ServiceID],Services_cleaned[TransactionFeePct]) * 10000), "Yes", "No")</f>
        <v>No</v>
      </c>
      <c r="R1471" s="5" t="str">
        <f>IF(COUNTIFS($C$2:Transactions_RAW_cleaned[[#This Row],[CustomerID]],Transactions_RAW_cleaned[[#This Row],[CustomerID]],$D$2:Transactions_RAW_cleaned[[#This Row],[ServiceID]],Transactions_RAW_cleaned[[#This Row],[ServiceID]])=1,"Yes","No")</f>
        <v>No</v>
      </c>
      <c r="S147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71" t="str">
        <f>"Q"&amp;ROUNDUP(MONTH(Transactions_RAW_cleaned[[#This Row],[TransactionDate]])/3,0)</f>
        <v>Q2</v>
      </c>
      <c r="U1471" t="str">
        <f>Transactions_RAW_cleaned[[#This Row],[Region ]]&amp;Transactions_RAW_cleaned[[#This Row],[Quarter ]]</f>
        <v>NAQ2</v>
      </c>
      <c r="V1471" s="5">
        <f>_xlfn.XLOOKUP(Transactions_RAW_cleaned[[#This Row],[RegionQuarterKey]], Quarterly_Targets_cleaned[RegionQuarterKey], Quarterly_Targets_cleaned[TargetRevenue])</f>
        <v>260000</v>
      </c>
    </row>
    <row r="1472" spans="1:22" x14ac:dyDescent="0.25">
      <c r="A1472" t="s">
        <v>1806</v>
      </c>
      <c r="B1472" s="1">
        <v>45428</v>
      </c>
      <c r="C1472" t="s">
        <v>269</v>
      </c>
      <c r="D1472" t="s">
        <v>300</v>
      </c>
      <c r="E1472">
        <v>748.37</v>
      </c>
      <c r="F1472" t="s">
        <v>324</v>
      </c>
      <c r="G1472" t="s">
        <v>325</v>
      </c>
      <c r="I1472" t="s">
        <v>17</v>
      </c>
      <c r="J1472" t="s">
        <v>31</v>
      </c>
      <c r="K1472" t="s">
        <v>32</v>
      </c>
      <c r="L1472" t="s">
        <v>301</v>
      </c>
      <c r="M1472" t="s">
        <v>302</v>
      </c>
      <c r="N1472">
        <v>5.0000000000000001E-3</v>
      </c>
      <c r="O1472" t="str">
        <f>IF(Transactions_RAW_cleaned[[#This Row],[Status]]="Completed", IFERROR(_xlfn.XLOOKUP(Transactions_RAW_cleaned[[#This Row],[CustomerID]], Customers_cleaned[CustomerID], Customers_cleaned[Segment]), "Customer Not Found"), "N/A")</f>
        <v>Enterprise</v>
      </c>
      <c r="P1472" s="5" t="str">
        <f>IF(Transactions_RAW_cleaned[[#This Row],[Status]]="Refunded", "Refund",
  IF(Transactions_RAW_cleaned[[#This Row],[Category]]="Payments", IF(Transactions_RAW_cleaned[[#This Row],[Amount]]&gt;500,"High Value","Standard"),
    IF(Transactions_RAW_cleaned[[#This Row],[Amount]]&gt;250,"High Value","Standard")))</f>
        <v>High Value</v>
      </c>
      <c r="Q1472" s="5" t="str">
        <f>IF(Transactions_RAW_cleaned[[#This Row],[Amount]] &gt; (_xlfn.XLOOKUP(Transactions_RAW_cleaned[[#This Row],[ServiceID]],Services_cleaned[ServiceID],Services_cleaned[TransactionFeePct]) * 10000), "Yes", "No")</f>
        <v>Yes</v>
      </c>
      <c r="R1472" s="5" t="str">
        <f>IF(COUNTIFS($C$2:Transactions_RAW_cleaned[[#This Row],[CustomerID]],Transactions_RAW_cleaned[[#This Row],[CustomerID]],$D$2:Transactions_RAW_cleaned[[#This Row],[ServiceID]],Transactions_RAW_cleaned[[#This Row],[ServiceID]])=1,"Yes","No")</f>
        <v>No</v>
      </c>
      <c r="S147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72" t="str">
        <f>"Q"&amp;ROUNDUP(MONTH(Transactions_RAW_cleaned[[#This Row],[TransactionDate]])/3,0)</f>
        <v>Q2</v>
      </c>
      <c r="U1472" t="str">
        <f>Transactions_RAW_cleaned[[#This Row],[Region ]]&amp;Transactions_RAW_cleaned[[#This Row],[Quarter ]]</f>
        <v>EMEAQ2</v>
      </c>
      <c r="V1472" s="5">
        <f>_xlfn.XLOOKUP(Transactions_RAW_cleaned[[#This Row],[RegionQuarterKey]], Quarterly_Targets_cleaned[RegionQuarterKey], Quarterly_Targets_cleaned[TargetRevenue])</f>
        <v>140000</v>
      </c>
    </row>
    <row r="1473" spans="1:22" x14ac:dyDescent="0.25">
      <c r="A1473" t="s">
        <v>1807</v>
      </c>
      <c r="B1473" s="1">
        <v>45519</v>
      </c>
      <c r="C1473" t="s">
        <v>76</v>
      </c>
      <c r="D1473" t="s">
        <v>294</v>
      </c>
      <c r="E1473">
        <v>-176.37</v>
      </c>
      <c r="F1473" t="s">
        <v>349</v>
      </c>
      <c r="G1473" t="s">
        <v>327</v>
      </c>
      <c r="H1473" t="s">
        <v>334</v>
      </c>
      <c r="I1473" t="s">
        <v>17</v>
      </c>
      <c r="J1473" t="s">
        <v>13</v>
      </c>
      <c r="K1473" t="s">
        <v>18</v>
      </c>
      <c r="L1473" t="s">
        <v>295</v>
      </c>
      <c r="M1473" t="s">
        <v>296</v>
      </c>
      <c r="N1473">
        <v>2.9000000000000001E-2</v>
      </c>
      <c r="O1473" t="str">
        <f>IF(Transactions_RAW_cleaned[[#This Row],[Status]]="Completed", IFERROR(_xlfn.XLOOKUP(Transactions_RAW_cleaned[[#This Row],[CustomerID]], Customers_cleaned[CustomerID], Customers_cleaned[Segment]), "Customer Not Found"), "N/A")</f>
        <v>N/A</v>
      </c>
      <c r="P1473" s="5" t="str">
        <f>IF(Transactions_RAW_cleaned[[#This Row],[Status]]="Refunded", "Refund",
  IF(Transactions_RAW_cleaned[[#This Row],[Category]]="Payments", IF(Transactions_RAW_cleaned[[#This Row],[Amount]]&gt;500,"High Value","Standard"),
    IF(Transactions_RAW_cleaned[[#This Row],[Amount]]&gt;250,"High Value","Standard")))</f>
        <v>Refund</v>
      </c>
      <c r="Q1473" s="5" t="str">
        <f>IF(Transactions_RAW_cleaned[[#This Row],[Amount]] &gt; (_xlfn.XLOOKUP(Transactions_RAW_cleaned[[#This Row],[ServiceID]],Services_cleaned[ServiceID],Services_cleaned[TransactionFeePct]) * 10000), "Yes", "No")</f>
        <v>No</v>
      </c>
      <c r="R1473" s="5" t="str">
        <f>IF(COUNTIFS($C$2:Transactions_RAW_cleaned[[#This Row],[CustomerID]],Transactions_RAW_cleaned[[#This Row],[CustomerID]],$D$2:Transactions_RAW_cleaned[[#This Row],[ServiceID]],Transactions_RAW_cleaned[[#This Row],[ServiceID]])=1,"Yes","No")</f>
        <v>No</v>
      </c>
      <c r="S147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73" t="str">
        <f>"Q"&amp;ROUNDUP(MONTH(Transactions_RAW_cleaned[[#This Row],[TransactionDate]])/3,0)</f>
        <v>Q3</v>
      </c>
      <c r="U1473" t="str">
        <f>Transactions_RAW_cleaned[[#This Row],[Region ]]&amp;Transactions_RAW_cleaned[[#This Row],[Quarter ]]</f>
        <v>NAQ3</v>
      </c>
      <c r="V1473" s="5">
        <f>_xlfn.XLOOKUP(Transactions_RAW_cleaned[[#This Row],[RegionQuarterKey]], Quarterly_Targets_cleaned[RegionQuarterKey], Quarterly_Targets_cleaned[TargetRevenue])</f>
        <v>273000</v>
      </c>
    </row>
    <row r="1474" spans="1:22" x14ac:dyDescent="0.25">
      <c r="A1474" t="s">
        <v>1808</v>
      </c>
      <c r="B1474" s="1">
        <v>45358</v>
      </c>
      <c r="C1474" t="s">
        <v>175</v>
      </c>
      <c r="D1474" t="s">
        <v>294</v>
      </c>
      <c r="E1474">
        <v>-483.75</v>
      </c>
      <c r="F1474" t="s">
        <v>349</v>
      </c>
      <c r="G1474" t="s">
        <v>337</v>
      </c>
      <c r="I1474" t="s">
        <v>8</v>
      </c>
      <c r="J1474" t="s">
        <v>31</v>
      </c>
      <c r="K1474" t="s">
        <v>32</v>
      </c>
      <c r="L1474" t="s">
        <v>295</v>
      </c>
      <c r="M1474" t="s">
        <v>296</v>
      </c>
      <c r="N1474">
        <v>2.9000000000000001E-2</v>
      </c>
      <c r="O1474" t="str">
        <f>IF(Transactions_RAW_cleaned[[#This Row],[Status]]="Completed", IFERROR(_xlfn.XLOOKUP(Transactions_RAW_cleaned[[#This Row],[CustomerID]], Customers_cleaned[CustomerID], Customers_cleaned[Segment]), "Customer Not Found"), "N/A")</f>
        <v>N/A</v>
      </c>
      <c r="P1474" s="5" t="str">
        <f>IF(Transactions_RAW_cleaned[[#This Row],[Status]]="Refunded", "Refund",
  IF(Transactions_RAW_cleaned[[#This Row],[Category]]="Payments", IF(Transactions_RAW_cleaned[[#This Row],[Amount]]&gt;500,"High Value","Standard"),
    IF(Transactions_RAW_cleaned[[#This Row],[Amount]]&gt;250,"High Value","Standard")))</f>
        <v>Refund</v>
      </c>
      <c r="Q1474" s="5" t="str">
        <f>IF(Transactions_RAW_cleaned[[#This Row],[Amount]] &gt; (_xlfn.XLOOKUP(Transactions_RAW_cleaned[[#This Row],[ServiceID]],Services_cleaned[ServiceID],Services_cleaned[TransactionFeePct]) * 10000), "Yes", "No")</f>
        <v>No</v>
      </c>
      <c r="R1474" s="5" t="str">
        <f>IF(COUNTIFS($C$2:Transactions_RAW_cleaned[[#This Row],[CustomerID]],Transactions_RAW_cleaned[[#This Row],[CustomerID]],$D$2:Transactions_RAW_cleaned[[#This Row],[ServiceID]],Transactions_RAW_cleaned[[#This Row],[ServiceID]])=1,"Yes","No")</f>
        <v>No</v>
      </c>
      <c r="S147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74" t="str">
        <f>"Q"&amp;ROUNDUP(MONTH(Transactions_RAW_cleaned[[#This Row],[TransactionDate]])/3,0)</f>
        <v>Q1</v>
      </c>
      <c r="U1474" t="str">
        <f>Transactions_RAW_cleaned[[#This Row],[Region ]]&amp;Transactions_RAW_cleaned[[#This Row],[Quarter ]]</f>
        <v>EMEAQ1</v>
      </c>
      <c r="V1474" s="5">
        <f>_xlfn.XLOOKUP(Transactions_RAW_cleaned[[#This Row],[RegionQuarterKey]], Quarterly_Targets_cleaned[RegionQuarterKey], Quarterly_Targets_cleaned[TargetRevenue])</f>
        <v>133000</v>
      </c>
    </row>
    <row r="1475" spans="1:22" x14ac:dyDescent="0.25">
      <c r="A1475" t="s">
        <v>1809</v>
      </c>
      <c r="B1475" s="1">
        <v>45651</v>
      </c>
      <c r="C1475" t="s">
        <v>33</v>
      </c>
      <c r="D1475" t="s">
        <v>294</v>
      </c>
      <c r="E1475">
        <v>444.42</v>
      </c>
      <c r="F1475" t="s">
        <v>324</v>
      </c>
      <c r="G1475" t="s">
        <v>329</v>
      </c>
      <c r="H1475" t="s">
        <v>346</v>
      </c>
      <c r="I1475" t="s">
        <v>17</v>
      </c>
      <c r="J1475" t="s">
        <v>31</v>
      </c>
      <c r="K1475" t="s">
        <v>14</v>
      </c>
      <c r="L1475" t="s">
        <v>295</v>
      </c>
      <c r="M1475" t="s">
        <v>296</v>
      </c>
      <c r="N1475">
        <v>2.9000000000000001E-2</v>
      </c>
      <c r="O1475" t="str">
        <f>IF(Transactions_RAW_cleaned[[#This Row],[Status]]="Completed", IFERROR(_xlfn.XLOOKUP(Transactions_RAW_cleaned[[#This Row],[CustomerID]], Customers_cleaned[CustomerID], Customers_cleaned[Segment]), "Customer Not Found"), "N/A")</f>
        <v>Enterprise</v>
      </c>
      <c r="P1475" s="5" t="str">
        <f>IF(Transactions_RAW_cleaned[[#This Row],[Status]]="Refunded", "Refund",
  IF(Transactions_RAW_cleaned[[#This Row],[Category]]="Payments", IF(Transactions_RAW_cleaned[[#This Row],[Amount]]&gt;500,"High Value","Standard"),
    IF(Transactions_RAW_cleaned[[#This Row],[Amount]]&gt;250,"High Value","Standard")))</f>
        <v>Standard</v>
      </c>
      <c r="Q1475" s="5" t="str">
        <f>IF(Transactions_RAW_cleaned[[#This Row],[Amount]] &gt; (_xlfn.XLOOKUP(Transactions_RAW_cleaned[[#This Row],[ServiceID]],Services_cleaned[ServiceID],Services_cleaned[TransactionFeePct]) * 10000), "Yes", "No")</f>
        <v>Yes</v>
      </c>
      <c r="R1475" s="5" t="str">
        <f>IF(COUNTIFS($C$2:Transactions_RAW_cleaned[[#This Row],[CustomerID]],Transactions_RAW_cleaned[[#This Row],[CustomerID]],$D$2:Transactions_RAW_cleaned[[#This Row],[ServiceID]],Transactions_RAW_cleaned[[#This Row],[ServiceID]])=1,"Yes","No")</f>
        <v>No</v>
      </c>
      <c r="S147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75" t="str">
        <f>"Q"&amp;ROUNDUP(MONTH(Transactions_RAW_cleaned[[#This Row],[TransactionDate]])/3,0)</f>
        <v>Q4</v>
      </c>
      <c r="U1475" t="str">
        <f>Transactions_RAW_cleaned[[#This Row],[Region ]]&amp;Transactions_RAW_cleaned[[#This Row],[Quarter ]]</f>
        <v>EMEAQ4</v>
      </c>
      <c r="V1475" s="5">
        <f>_xlfn.XLOOKUP(Transactions_RAW_cleaned[[#This Row],[RegionQuarterKey]], Quarterly_Targets_cleaned[RegionQuarterKey], Quarterly_Targets_cleaned[TargetRevenue])</f>
        <v>161000</v>
      </c>
    </row>
    <row r="1476" spans="1:22" x14ac:dyDescent="0.25">
      <c r="A1476" t="s">
        <v>1810</v>
      </c>
      <c r="B1476" s="1">
        <v>45414</v>
      </c>
      <c r="C1476" t="s">
        <v>105</v>
      </c>
      <c r="D1476" t="s">
        <v>294</v>
      </c>
      <c r="E1476">
        <v>134.49</v>
      </c>
      <c r="F1476" t="s">
        <v>324</v>
      </c>
      <c r="G1476" t="s">
        <v>2963</v>
      </c>
      <c r="I1476" t="s">
        <v>57</v>
      </c>
      <c r="J1476" t="s">
        <v>102</v>
      </c>
      <c r="K1476" t="s">
        <v>32</v>
      </c>
      <c r="L1476" t="s">
        <v>295</v>
      </c>
      <c r="M1476" t="s">
        <v>296</v>
      </c>
      <c r="N1476">
        <v>2.9000000000000001E-2</v>
      </c>
      <c r="O1476" t="str">
        <f>IF(Transactions_RAW_cleaned[[#This Row],[Status]]="Completed", IFERROR(_xlfn.XLOOKUP(Transactions_RAW_cleaned[[#This Row],[CustomerID]], Customers_cleaned[CustomerID], Customers_cleaned[Segment]), "Customer Not Found"), "N/A")</f>
        <v>Startup</v>
      </c>
      <c r="P1476" s="5" t="str">
        <f>IF(Transactions_RAW_cleaned[[#This Row],[Status]]="Refunded", "Refund",
  IF(Transactions_RAW_cleaned[[#This Row],[Category]]="Payments", IF(Transactions_RAW_cleaned[[#This Row],[Amount]]&gt;500,"High Value","Standard"),
    IF(Transactions_RAW_cleaned[[#This Row],[Amount]]&gt;250,"High Value","Standard")))</f>
        <v>Standard</v>
      </c>
      <c r="Q1476" s="5" t="str">
        <f>IF(Transactions_RAW_cleaned[[#This Row],[Amount]] &gt; (_xlfn.XLOOKUP(Transactions_RAW_cleaned[[#This Row],[ServiceID]],Services_cleaned[ServiceID],Services_cleaned[TransactionFeePct]) * 10000), "Yes", "No")</f>
        <v>No</v>
      </c>
      <c r="R1476" s="5" t="str">
        <f>IF(COUNTIFS($C$2:Transactions_RAW_cleaned[[#This Row],[CustomerID]],Transactions_RAW_cleaned[[#This Row],[CustomerID]],$D$2:Transactions_RAW_cleaned[[#This Row],[ServiceID]],Transactions_RAW_cleaned[[#This Row],[ServiceID]])=1,"Yes","No")</f>
        <v>No</v>
      </c>
      <c r="S147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76" t="str">
        <f>"Q"&amp;ROUNDUP(MONTH(Transactions_RAW_cleaned[[#This Row],[TransactionDate]])/3,0)</f>
        <v>Q2</v>
      </c>
      <c r="U1476" t="str">
        <f>Transactions_RAW_cleaned[[#This Row],[Region ]]&amp;Transactions_RAW_cleaned[[#This Row],[Quarter ]]</f>
        <v>NAQ2</v>
      </c>
      <c r="V1476" s="5">
        <f>_xlfn.XLOOKUP(Transactions_RAW_cleaned[[#This Row],[RegionQuarterKey]], Quarterly_Targets_cleaned[RegionQuarterKey], Quarterly_Targets_cleaned[TargetRevenue])</f>
        <v>260000</v>
      </c>
    </row>
    <row r="1477" spans="1:22" x14ac:dyDescent="0.25">
      <c r="A1477" t="s">
        <v>1811</v>
      </c>
      <c r="B1477" s="1">
        <v>45325</v>
      </c>
      <c r="C1477" t="s">
        <v>38</v>
      </c>
      <c r="D1477" t="s">
        <v>306</v>
      </c>
      <c r="E1477">
        <v>664.53</v>
      </c>
      <c r="F1477" t="s">
        <v>324</v>
      </c>
      <c r="G1477" t="s">
        <v>337</v>
      </c>
      <c r="I1477" t="s">
        <v>8</v>
      </c>
      <c r="J1477" t="s">
        <v>102</v>
      </c>
      <c r="K1477" t="s">
        <v>28</v>
      </c>
      <c r="L1477" t="s">
        <v>307</v>
      </c>
      <c r="M1477" t="s">
        <v>308</v>
      </c>
      <c r="N1477">
        <v>0</v>
      </c>
      <c r="O1477" t="str">
        <f>IF(Transactions_RAW_cleaned[[#This Row],[Status]]="Completed", IFERROR(_xlfn.XLOOKUP(Transactions_RAW_cleaned[[#This Row],[CustomerID]], Customers_cleaned[CustomerID], Customers_cleaned[Segment]), "Customer Not Found"), "N/A")</f>
        <v>SMB</v>
      </c>
      <c r="P1477" s="5" t="str">
        <f>IF(Transactions_RAW_cleaned[[#This Row],[Status]]="Refunded", "Refund",
  IF(Transactions_RAW_cleaned[[#This Row],[Category]]="Payments", IF(Transactions_RAW_cleaned[[#This Row],[Amount]]&gt;500,"High Value","Standard"),
    IF(Transactions_RAW_cleaned[[#This Row],[Amount]]&gt;250,"High Value","Standard")))</f>
        <v>High Value</v>
      </c>
      <c r="Q1477" s="5" t="str">
        <f>IF(Transactions_RAW_cleaned[[#This Row],[Amount]] &gt; (_xlfn.XLOOKUP(Transactions_RAW_cleaned[[#This Row],[ServiceID]],Services_cleaned[ServiceID],Services_cleaned[TransactionFeePct]) * 10000), "Yes", "No")</f>
        <v>Yes</v>
      </c>
      <c r="R1477" s="5" t="str">
        <f>IF(COUNTIFS($C$2:Transactions_RAW_cleaned[[#This Row],[CustomerID]],Transactions_RAW_cleaned[[#This Row],[CustomerID]],$D$2:Transactions_RAW_cleaned[[#This Row],[ServiceID]],Transactions_RAW_cleaned[[#This Row],[ServiceID]])=1,"Yes","No")</f>
        <v>Yes</v>
      </c>
      <c r="S147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77" t="str">
        <f>"Q"&amp;ROUNDUP(MONTH(Transactions_RAW_cleaned[[#This Row],[TransactionDate]])/3,0)</f>
        <v>Q1</v>
      </c>
      <c r="U1477" t="str">
        <f>Transactions_RAW_cleaned[[#This Row],[Region ]]&amp;Transactions_RAW_cleaned[[#This Row],[Quarter ]]</f>
        <v>NAQ1</v>
      </c>
      <c r="V1477" s="5">
        <f>_xlfn.XLOOKUP(Transactions_RAW_cleaned[[#This Row],[RegionQuarterKey]], Quarterly_Targets_cleaned[RegionQuarterKey], Quarterly_Targets_cleaned[TargetRevenue])</f>
        <v>247000</v>
      </c>
    </row>
    <row r="1478" spans="1:22" x14ac:dyDescent="0.25">
      <c r="A1478" t="s">
        <v>1812</v>
      </c>
      <c r="B1478" s="1">
        <v>45467</v>
      </c>
      <c r="C1478" t="s">
        <v>253</v>
      </c>
      <c r="D1478" t="s">
        <v>309</v>
      </c>
      <c r="E1478">
        <v>250.1</v>
      </c>
      <c r="F1478" t="s">
        <v>324</v>
      </c>
      <c r="G1478" t="s">
        <v>337</v>
      </c>
      <c r="I1478" t="s">
        <v>8</v>
      </c>
      <c r="J1478" t="s">
        <v>102</v>
      </c>
      <c r="K1478" t="s">
        <v>28</v>
      </c>
      <c r="L1478" t="s">
        <v>310</v>
      </c>
      <c r="M1478" t="s">
        <v>311</v>
      </c>
      <c r="N1478">
        <v>0</v>
      </c>
      <c r="O1478" t="str">
        <f>IF(Transactions_RAW_cleaned[[#This Row],[Status]]="Completed", IFERROR(_xlfn.XLOOKUP(Transactions_RAW_cleaned[[#This Row],[CustomerID]], Customers_cleaned[CustomerID], Customers_cleaned[Segment]), "Customer Not Found"), "N/A")</f>
        <v>SMB</v>
      </c>
      <c r="P1478" s="5" t="str">
        <f>IF(Transactions_RAW_cleaned[[#This Row],[Status]]="Refunded", "Refund",
  IF(Transactions_RAW_cleaned[[#This Row],[Category]]="Payments", IF(Transactions_RAW_cleaned[[#This Row],[Amount]]&gt;500,"High Value","Standard"),
    IF(Transactions_RAW_cleaned[[#This Row],[Amount]]&gt;250,"High Value","Standard")))</f>
        <v>High Value</v>
      </c>
      <c r="Q1478" s="5" t="str">
        <f>IF(Transactions_RAW_cleaned[[#This Row],[Amount]] &gt; (_xlfn.XLOOKUP(Transactions_RAW_cleaned[[#This Row],[ServiceID]],Services_cleaned[ServiceID],Services_cleaned[TransactionFeePct]) * 10000), "Yes", "No")</f>
        <v>Yes</v>
      </c>
      <c r="R1478" s="5" t="str">
        <f>IF(COUNTIFS($C$2:Transactions_RAW_cleaned[[#This Row],[CustomerID]],Transactions_RAW_cleaned[[#This Row],[CustomerID]],$D$2:Transactions_RAW_cleaned[[#This Row],[ServiceID]],Transactions_RAW_cleaned[[#This Row],[ServiceID]])=1,"Yes","No")</f>
        <v>Yes</v>
      </c>
      <c r="S147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78" t="str">
        <f>"Q"&amp;ROUNDUP(MONTH(Transactions_RAW_cleaned[[#This Row],[TransactionDate]])/3,0)</f>
        <v>Q2</v>
      </c>
      <c r="U1478" t="str">
        <f>Transactions_RAW_cleaned[[#This Row],[Region ]]&amp;Transactions_RAW_cleaned[[#This Row],[Quarter ]]</f>
        <v>NAQ2</v>
      </c>
      <c r="V1478" s="5">
        <f>_xlfn.XLOOKUP(Transactions_RAW_cleaned[[#This Row],[RegionQuarterKey]], Quarterly_Targets_cleaned[RegionQuarterKey], Quarterly_Targets_cleaned[TargetRevenue])</f>
        <v>260000</v>
      </c>
    </row>
    <row r="1479" spans="1:22" x14ac:dyDescent="0.25">
      <c r="A1479" t="s">
        <v>1813</v>
      </c>
      <c r="B1479" s="1">
        <v>45580</v>
      </c>
      <c r="C1479" t="s">
        <v>191</v>
      </c>
      <c r="D1479" t="s">
        <v>312</v>
      </c>
      <c r="E1479">
        <v>529.29999999999995</v>
      </c>
      <c r="F1479" t="s">
        <v>324</v>
      </c>
      <c r="G1479" t="s">
        <v>325</v>
      </c>
      <c r="H1479" t="s">
        <v>334</v>
      </c>
      <c r="I1479" t="s">
        <v>57</v>
      </c>
      <c r="J1479" t="s">
        <v>31</v>
      </c>
      <c r="K1479" t="s">
        <v>32</v>
      </c>
      <c r="L1479" t="s">
        <v>313</v>
      </c>
      <c r="M1479" t="s">
        <v>314</v>
      </c>
      <c r="N1479">
        <v>0</v>
      </c>
      <c r="O1479" t="str">
        <f>IF(Transactions_RAW_cleaned[[#This Row],[Status]]="Completed", IFERROR(_xlfn.XLOOKUP(Transactions_RAW_cleaned[[#This Row],[CustomerID]], Customers_cleaned[CustomerID], Customers_cleaned[Segment]), "Customer Not Found"), "N/A")</f>
        <v>Startup</v>
      </c>
      <c r="P1479" s="5" t="str">
        <f>IF(Transactions_RAW_cleaned[[#This Row],[Status]]="Refunded", "Refund",
  IF(Transactions_RAW_cleaned[[#This Row],[Category]]="Payments", IF(Transactions_RAW_cleaned[[#This Row],[Amount]]&gt;500,"High Value","Standard"),
    IF(Transactions_RAW_cleaned[[#This Row],[Amount]]&gt;250,"High Value","Standard")))</f>
        <v>High Value</v>
      </c>
      <c r="Q1479" s="5" t="str">
        <f>IF(Transactions_RAW_cleaned[[#This Row],[Amount]] &gt; (_xlfn.XLOOKUP(Transactions_RAW_cleaned[[#This Row],[ServiceID]],Services_cleaned[ServiceID],Services_cleaned[TransactionFeePct]) * 10000), "Yes", "No")</f>
        <v>Yes</v>
      </c>
      <c r="R1479" s="5" t="str">
        <f>IF(COUNTIFS($C$2:Transactions_RAW_cleaned[[#This Row],[CustomerID]],Transactions_RAW_cleaned[[#This Row],[CustomerID]],$D$2:Transactions_RAW_cleaned[[#This Row],[ServiceID]],Transactions_RAW_cleaned[[#This Row],[ServiceID]])=1,"Yes","No")</f>
        <v>Yes</v>
      </c>
      <c r="S147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79" t="str">
        <f>"Q"&amp;ROUNDUP(MONTH(Transactions_RAW_cleaned[[#This Row],[TransactionDate]])/3,0)</f>
        <v>Q4</v>
      </c>
      <c r="U1479" t="str">
        <f>Transactions_RAW_cleaned[[#This Row],[Region ]]&amp;Transactions_RAW_cleaned[[#This Row],[Quarter ]]</f>
        <v>EMEAQ4</v>
      </c>
      <c r="V1479" s="5">
        <f>_xlfn.XLOOKUP(Transactions_RAW_cleaned[[#This Row],[RegionQuarterKey]], Quarterly_Targets_cleaned[RegionQuarterKey], Quarterly_Targets_cleaned[TargetRevenue])</f>
        <v>161000</v>
      </c>
    </row>
    <row r="1480" spans="1:22" x14ac:dyDescent="0.25">
      <c r="A1480" t="s">
        <v>1814</v>
      </c>
      <c r="B1480" s="1">
        <v>45413</v>
      </c>
      <c r="C1480" t="s">
        <v>217</v>
      </c>
      <c r="D1480" t="s">
        <v>300</v>
      </c>
      <c r="E1480">
        <v>258.68</v>
      </c>
      <c r="F1480" t="s">
        <v>324</v>
      </c>
      <c r="G1480" t="s">
        <v>327</v>
      </c>
      <c r="H1480" t="s">
        <v>334</v>
      </c>
      <c r="I1480" t="s">
        <v>17</v>
      </c>
      <c r="J1480" t="s">
        <v>102</v>
      </c>
      <c r="K1480" t="s">
        <v>14</v>
      </c>
      <c r="L1480" t="s">
        <v>301</v>
      </c>
      <c r="M1480" t="s">
        <v>302</v>
      </c>
      <c r="N1480">
        <v>5.0000000000000001E-3</v>
      </c>
      <c r="O1480" t="str">
        <f>IF(Transactions_RAW_cleaned[[#This Row],[Status]]="Completed", IFERROR(_xlfn.XLOOKUP(Transactions_RAW_cleaned[[#This Row],[CustomerID]], Customers_cleaned[CustomerID], Customers_cleaned[Segment]), "Customer Not Found"), "N/A")</f>
        <v>Enterprise</v>
      </c>
      <c r="P1480" s="5" t="str">
        <f>IF(Transactions_RAW_cleaned[[#This Row],[Status]]="Refunded", "Refund",
  IF(Transactions_RAW_cleaned[[#This Row],[Category]]="Payments", IF(Transactions_RAW_cleaned[[#This Row],[Amount]]&gt;500,"High Value","Standard"),
    IF(Transactions_RAW_cleaned[[#This Row],[Amount]]&gt;250,"High Value","Standard")))</f>
        <v>High Value</v>
      </c>
      <c r="Q1480" s="5" t="str">
        <f>IF(Transactions_RAW_cleaned[[#This Row],[Amount]] &gt; (_xlfn.XLOOKUP(Transactions_RAW_cleaned[[#This Row],[ServiceID]],Services_cleaned[ServiceID],Services_cleaned[TransactionFeePct]) * 10000), "Yes", "No")</f>
        <v>Yes</v>
      </c>
      <c r="R1480" s="5" t="str">
        <f>IF(COUNTIFS($C$2:Transactions_RAW_cleaned[[#This Row],[CustomerID]],Transactions_RAW_cleaned[[#This Row],[CustomerID]],$D$2:Transactions_RAW_cleaned[[#This Row],[ServiceID]],Transactions_RAW_cleaned[[#This Row],[ServiceID]])=1,"Yes","No")</f>
        <v>No</v>
      </c>
      <c r="S148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80" t="str">
        <f>"Q"&amp;ROUNDUP(MONTH(Transactions_RAW_cleaned[[#This Row],[TransactionDate]])/3,0)</f>
        <v>Q2</v>
      </c>
      <c r="U1480" t="str">
        <f>Transactions_RAW_cleaned[[#This Row],[Region ]]&amp;Transactions_RAW_cleaned[[#This Row],[Quarter ]]</f>
        <v>NAQ2</v>
      </c>
      <c r="V1480" s="5">
        <f>_xlfn.XLOOKUP(Transactions_RAW_cleaned[[#This Row],[RegionQuarterKey]], Quarterly_Targets_cleaned[RegionQuarterKey], Quarterly_Targets_cleaned[TargetRevenue])</f>
        <v>260000</v>
      </c>
    </row>
    <row r="1481" spans="1:22" x14ac:dyDescent="0.25">
      <c r="A1481" t="s">
        <v>1815</v>
      </c>
      <c r="B1481" s="1">
        <v>45445</v>
      </c>
      <c r="C1481" t="s">
        <v>58</v>
      </c>
      <c r="D1481" t="s">
        <v>312</v>
      </c>
      <c r="E1481">
        <v>388.53</v>
      </c>
      <c r="F1481" t="s">
        <v>331</v>
      </c>
      <c r="G1481" t="s">
        <v>325</v>
      </c>
      <c r="I1481" t="s">
        <v>17</v>
      </c>
      <c r="J1481" t="s">
        <v>102</v>
      </c>
      <c r="K1481" t="s">
        <v>22</v>
      </c>
      <c r="L1481" t="s">
        <v>313</v>
      </c>
      <c r="M1481" t="s">
        <v>314</v>
      </c>
      <c r="N1481">
        <v>0</v>
      </c>
      <c r="O1481" t="str">
        <f>IF(Transactions_RAW_cleaned[[#This Row],[Status]]="Completed", IFERROR(_xlfn.XLOOKUP(Transactions_RAW_cleaned[[#This Row],[CustomerID]], Customers_cleaned[CustomerID], Customers_cleaned[Segment]), "Customer Not Found"), "N/A")</f>
        <v>N/A</v>
      </c>
      <c r="P1481" s="5" t="str">
        <f>IF(Transactions_RAW_cleaned[[#This Row],[Status]]="Refunded", "Refund",
  IF(Transactions_RAW_cleaned[[#This Row],[Category]]="Payments", IF(Transactions_RAW_cleaned[[#This Row],[Amount]]&gt;500,"High Value","Standard"),
    IF(Transactions_RAW_cleaned[[#This Row],[Amount]]&gt;250,"High Value","Standard")))</f>
        <v>High Value</v>
      </c>
      <c r="Q1481" s="5" t="str">
        <f>IF(Transactions_RAW_cleaned[[#This Row],[Amount]] &gt; (_xlfn.XLOOKUP(Transactions_RAW_cleaned[[#This Row],[ServiceID]],Services_cleaned[ServiceID],Services_cleaned[TransactionFeePct]) * 10000), "Yes", "No")</f>
        <v>Yes</v>
      </c>
      <c r="R1481" s="5" t="str">
        <f>IF(COUNTIFS($C$2:Transactions_RAW_cleaned[[#This Row],[CustomerID]],Transactions_RAW_cleaned[[#This Row],[CustomerID]],$D$2:Transactions_RAW_cleaned[[#This Row],[ServiceID]],Transactions_RAW_cleaned[[#This Row],[ServiceID]])=1,"Yes","No")</f>
        <v>Yes</v>
      </c>
      <c r="S148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81" t="str">
        <f>"Q"&amp;ROUNDUP(MONTH(Transactions_RAW_cleaned[[#This Row],[TransactionDate]])/3,0)</f>
        <v>Q2</v>
      </c>
      <c r="U1481" t="str">
        <f>Transactions_RAW_cleaned[[#This Row],[Region ]]&amp;Transactions_RAW_cleaned[[#This Row],[Quarter ]]</f>
        <v>NAQ2</v>
      </c>
      <c r="V1481" s="5">
        <f>_xlfn.XLOOKUP(Transactions_RAW_cleaned[[#This Row],[RegionQuarterKey]], Quarterly_Targets_cleaned[RegionQuarterKey], Quarterly_Targets_cleaned[TargetRevenue])</f>
        <v>260000</v>
      </c>
    </row>
    <row r="1482" spans="1:22" x14ac:dyDescent="0.25">
      <c r="A1482" t="s">
        <v>1816</v>
      </c>
      <c r="B1482" s="1">
        <v>45652</v>
      </c>
      <c r="C1482" t="s">
        <v>219</v>
      </c>
      <c r="D1482" t="s">
        <v>312</v>
      </c>
      <c r="E1482">
        <v>217.9</v>
      </c>
      <c r="F1482" t="s">
        <v>381</v>
      </c>
      <c r="G1482" t="s">
        <v>337</v>
      </c>
      <c r="H1482" t="s">
        <v>346</v>
      </c>
      <c r="I1482" t="s">
        <v>17</v>
      </c>
      <c r="J1482" t="s">
        <v>31</v>
      </c>
      <c r="K1482" t="s">
        <v>32</v>
      </c>
      <c r="L1482" t="s">
        <v>313</v>
      </c>
      <c r="M1482" t="s">
        <v>314</v>
      </c>
      <c r="N1482">
        <v>0</v>
      </c>
      <c r="O1482" t="str">
        <f>IF(Transactions_RAW_cleaned[[#This Row],[Status]]="Completed", IFERROR(_xlfn.XLOOKUP(Transactions_RAW_cleaned[[#This Row],[CustomerID]], Customers_cleaned[CustomerID], Customers_cleaned[Segment]), "Customer Not Found"), "N/A")</f>
        <v>N/A</v>
      </c>
      <c r="P1482" s="5" t="str">
        <f>IF(Transactions_RAW_cleaned[[#This Row],[Status]]="Refunded", "Refund",
  IF(Transactions_RAW_cleaned[[#This Row],[Category]]="Payments", IF(Transactions_RAW_cleaned[[#This Row],[Amount]]&gt;500,"High Value","Standard"),
    IF(Transactions_RAW_cleaned[[#This Row],[Amount]]&gt;250,"High Value","Standard")))</f>
        <v>Standard</v>
      </c>
      <c r="Q1482" s="5" t="str">
        <f>IF(Transactions_RAW_cleaned[[#This Row],[Amount]] &gt; (_xlfn.XLOOKUP(Transactions_RAW_cleaned[[#This Row],[ServiceID]],Services_cleaned[ServiceID],Services_cleaned[TransactionFeePct]) * 10000), "Yes", "No")</f>
        <v>Yes</v>
      </c>
      <c r="R1482" s="5" t="str">
        <f>IF(COUNTIFS($C$2:Transactions_RAW_cleaned[[#This Row],[CustomerID]],Transactions_RAW_cleaned[[#This Row],[CustomerID]],$D$2:Transactions_RAW_cleaned[[#This Row],[ServiceID]],Transactions_RAW_cleaned[[#This Row],[ServiceID]])=1,"Yes","No")</f>
        <v>No</v>
      </c>
      <c r="S148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82" t="str">
        <f>"Q"&amp;ROUNDUP(MONTH(Transactions_RAW_cleaned[[#This Row],[TransactionDate]])/3,0)</f>
        <v>Q4</v>
      </c>
      <c r="U1482" t="str">
        <f>Transactions_RAW_cleaned[[#This Row],[Region ]]&amp;Transactions_RAW_cleaned[[#This Row],[Quarter ]]</f>
        <v>EMEAQ4</v>
      </c>
      <c r="V1482" s="5">
        <f>_xlfn.XLOOKUP(Transactions_RAW_cleaned[[#This Row],[RegionQuarterKey]], Quarterly_Targets_cleaned[RegionQuarterKey], Quarterly_Targets_cleaned[TargetRevenue])</f>
        <v>161000</v>
      </c>
    </row>
    <row r="1483" spans="1:22" x14ac:dyDescent="0.25">
      <c r="A1483" t="s">
        <v>1817</v>
      </c>
      <c r="B1483" s="1">
        <v>45384</v>
      </c>
      <c r="C1483" t="s">
        <v>94</v>
      </c>
      <c r="D1483" t="s">
        <v>294</v>
      </c>
      <c r="E1483">
        <v>245.9</v>
      </c>
      <c r="F1483" t="s">
        <v>324</v>
      </c>
      <c r="G1483" t="s">
        <v>337</v>
      </c>
      <c r="I1483" t="s">
        <v>8</v>
      </c>
      <c r="J1483" t="s">
        <v>21</v>
      </c>
      <c r="K1483" t="s">
        <v>14</v>
      </c>
      <c r="L1483" t="s">
        <v>295</v>
      </c>
      <c r="M1483" t="s">
        <v>296</v>
      </c>
      <c r="N1483">
        <v>2.9000000000000001E-2</v>
      </c>
      <c r="O1483" t="str">
        <f>IF(Transactions_RAW_cleaned[[#This Row],[Status]]="Completed", IFERROR(_xlfn.XLOOKUP(Transactions_RAW_cleaned[[#This Row],[CustomerID]], Customers_cleaned[CustomerID], Customers_cleaned[Segment]), "Customer Not Found"), "N/A")</f>
        <v>SMB</v>
      </c>
      <c r="P1483" s="5" t="str">
        <f>IF(Transactions_RAW_cleaned[[#This Row],[Status]]="Refunded", "Refund",
  IF(Transactions_RAW_cleaned[[#This Row],[Category]]="Payments", IF(Transactions_RAW_cleaned[[#This Row],[Amount]]&gt;500,"High Value","Standard"),
    IF(Transactions_RAW_cleaned[[#This Row],[Amount]]&gt;250,"High Value","Standard")))</f>
        <v>Standard</v>
      </c>
      <c r="Q1483" s="5" t="str">
        <f>IF(Transactions_RAW_cleaned[[#This Row],[Amount]] &gt; (_xlfn.XLOOKUP(Transactions_RAW_cleaned[[#This Row],[ServiceID]],Services_cleaned[ServiceID],Services_cleaned[TransactionFeePct]) * 10000), "Yes", "No")</f>
        <v>No</v>
      </c>
      <c r="R1483" s="5" t="str">
        <f>IF(COUNTIFS($C$2:Transactions_RAW_cleaned[[#This Row],[CustomerID]],Transactions_RAW_cleaned[[#This Row],[CustomerID]],$D$2:Transactions_RAW_cleaned[[#This Row],[ServiceID]],Transactions_RAW_cleaned[[#This Row],[ServiceID]])=1,"Yes","No")</f>
        <v>No</v>
      </c>
      <c r="S148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83" t="str">
        <f>"Q"&amp;ROUNDUP(MONTH(Transactions_RAW_cleaned[[#This Row],[TransactionDate]])/3,0)</f>
        <v>Q2</v>
      </c>
      <c r="U1483" t="str">
        <f>Transactions_RAW_cleaned[[#This Row],[Region ]]&amp;Transactions_RAW_cleaned[[#This Row],[Quarter ]]</f>
        <v>APACQ2</v>
      </c>
      <c r="V1483" s="5">
        <f>_xlfn.XLOOKUP(Transactions_RAW_cleaned[[#This Row],[RegionQuarterKey]], Quarterly_Targets_cleaned[RegionQuarterKey], Quarterly_Targets_cleaned[TargetRevenue])</f>
        <v>110000</v>
      </c>
    </row>
    <row r="1484" spans="1:22" x14ac:dyDescent="0.25">
      <c r="A1484" t="s">
        <v>1818</v>
      </c>
      <c r="B1484" s="1">
        <v>45378</v>
      </c>
      <c r="C1484" t="s">
        <v>237</v>
      </c>
      <c r="D1484" t="s">
        <v>306</v>
      </c>
      <c r="E1484">
        <v>105.14</v>
      </c>
      <c r="F1484" t="s">
        <v>331</v>
      </c>
      <c r="G1484" t="s">
        <v>2963</v>
      </c>
      <c r="I1484" t="s">
        <v>8</v>
      </c>
      <c r="J1484" t="s">
        <v>46</v>
      </c>
      <c r="K1484" t="s">
        <v>10</v>
      </c>
      <c r="L1484" t="s">
        <v>307</v>
      </c>
      <c r="M1484" t="s">
        <v>308</v>
      </c>
      <c r="N1484">
        <v>0</v>
      </c>
      <c r="O1484" t="str">
        <f>IF(Transactions_RAW_cleaned[[#This Row],[Status]]="Completed", IFERROR(_xlfn.XLOOKUP(Transactions_RAW_cleaned[[#This Row],[CustomerID]], Customers_cleaned[CustomerID], Customers_cleaned[Segment]), "Customer Not Found"), "N/A")</f>
        <v>N/A</v>
      </c>
      <c r="P1484" s="5" t="str">
        <f>IF(Transactions_RAW_cleaned[[#This Row],[Status]]="Refunded", "Refund",
  IF(Transactions_RAW_cleaned[[#This Row],[Category]]="Payments", IF(Transactions_RAW_cleaned[[#This Row],[Amount]]&gt;500,"High Value","Standard"),
    IF(Transactions_RAW_cleaned[[#This Row],[Amount]]&gt;250,"High Value","Standard")))</f>
        <v>Standard</v>
      </c>
      <c r="Q1484" s="5" t="str">
        <f>IF(Transactions_RAW_cleaned[[#This Row],[Amount]] &gt; (_xlfn.XLOOKUP(Transactions_RAW_cleaned[[#This Row],[ServiceID]],Services_cleaned[ServiceID],Services_cleaned[TransactionFeePct]) * 10000), "Yes", "No")</f>
        <v>Yes</v>
      </c>
      <c r="R1484" s="5" t="str">
        <f>IF(COUNTIFS($C$2:Transactions_RAW_cleaned[[#This Row],[CustomerID]],Transactions_RAW_cleaned[[#This Row],[CustomerID]],$D$2:Transactions_RAW_cleaned[[#This Row],[ServiceID]],Transactions_RAW_cleaned[[#This Row],[ServiceID]])=1,"Yes","No")</f>
        <v>Yes</v>
      </c>
      <c r="S148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84" t="str">
        <f>"Q"&amp;ROUNDUP(MONTH(Transactions_RAW_cleaned[[#This Row],[TransactionDate]])/3,0)</f>
        <v>Q1</v>
      </c>
      <c r="U1484" t="str">
        <f>Transactions_RAW_cleaned[[#This Row],[Region ]]&amp;Transactions_RAW_cleaned[[#This Row],[Quarter ]]</f>
        <v>APACQ1</v>
      </c>
      <c r="V1484" s="5">
        <f>_xlfn.XLOOKUP(Transactions_RAW_cleaned[[#This Row],[RegionQuarterKey]], Quarterly_Targets_cleaned[RegionQuarterKey], Quarterly_Targets_cleaned[TargetRevenue])</f>
        <v>104500</v>
      </c>
    </row>
    <row r="1485" spans="1:22" x14ac:dyDescent="0.25">
      <c r="A1485" t="s">
        <v>1819</v>
      </c>
      <c r="B1485" s="1">
        <v>45402</v>
      </c>
      <c r="C1485" t="s">
        <v>165</v>
      </c>
      <c r="D1485" t="s">
        <v>315</v>
      </c>
      <c r="E1485">
        <v>329.73</v>
      </c>
      <c r="F1485" t="s">
        <v>324</v>
      </c>
      <c r="G1485" t="s">
        <v>337</v>
      </c>
      <c r="I1485" t="s">
        <v>8</v>
      </c>
      <c r="J1485" t="s">
        <v>31</v>
      </c>
      <c r="K1485" t="s">
        <v>32</v>
      </c>
      <c r="L1485" t="s">
        <v>316</v>
      </c>
      <c r="M1485" t="s">
        <v>305</v>
      </c>
      <c r="N1485">
        <v>2.5000000000000001E-3</v>
      </c>
      <c r="O1485" t="str">
        <f>IF(Transactions_RAW_cleaned[[#This Row],[Status]]="Completed", IFERROR(_xlfn.XLOOKUP(Transactions_RAW_cleaned[[#This Row],[CustomerID]], Customers_cleaned[CustomerID], Customers_cleaned[Segment]), "Customer Not Found"), "N/A")</f>
        <v>SMB</v>
      </c>
      <c r="P1485" s="5" t="str">
        <f>IF(Transactions_RAW_cleaned[[#This Row],[Status]]="Refunded", "Refund",
  IF(Transactions_RAW_cleaned[[#This Row],[Category]]="Payments", IF(Transactions_RAW_cleaned[[#This Row],[Amount]]&gt;500,"High Value","Standard"),
    IF(Transactions_RAW_cleaned[[#This Row],[Amount]]&gt;250,"High Value","Standard")))</f>
        <v>High Value</v>
      </c>
      <c r="Q1485" s="5" t="str">
        <f>IF(Transactions_RAW_cleaned[[#This Row],[Amount]] &gt; (_xlfn.XLOOKUP(Transactions_RAW_cleaned[[#This Row],[ServiceID]],Services_cleaned[ServiceID],Services_cleaned[TransactionFeePct]) * 10000), "Yes", "No")</f>
        <v>Yes</v>
      </c>
      <c r="R1485" s="5" t="str">
        <f>IF(COUNTIFS($C$2:Transactions_RAW_cleaned[[#This Row],[CustomerID]],Transactions_RAW_cleaned[[#This Row],[CustomerID]],$D$2:Transactions_RAW_cleaned[[#This Row],[ServiceID]],Transactions_RAW_cleaned[[#This Row],[ServiceID]])=1,"Yes","No")</f>
        <v>Yes</v>
      </c>
      <c r="S148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85" t="str">
        <f>"Q"&amp;ROUNDUP(MONTH(Transactions_RAW_cleaned[[#This Row],[TransactionDate]])/3,0)</f>
        <v>Q2</v>
      </c>
      <c r="U1485" t="str">
        <f>Transactions_RAW_cleaned[[#This Row],[Region ]]&amp;Transactions_RAW_cleaned[[#This Row],[Quarter ]]</f>
        <v>EMEAQ2</v>
      </c>
      <c r="V1485" s="5">
        <f>_xlfn.XLOOKUP(Transactions_RAW_cleaned[[#This Row],[RegionQuarterKey]], Quarterly_Targets_cleaned[RegionQuarterKey], Quarterly_Targets_cleaned[TargetRevenue])</f>
        <v>140000</v>
      </c>
    </row>
    <row r="1486" spans="1:22" x14ac:dyDescent="0.25">
      <c r="A1486" t="s">
        <v>1820</v>
      </c>
      <c r="B1486" s="1">
        <v>45447</v>
      </c>
      <c r="C1486" t="s">
        <v>229</v>
      </c>
      <c r="D1486" t="s">
        <v>315</v>
      </c>
      <c r="E1486">
        <v>470.75</v>
      </c>
      <c r="F1486" t="s">
        <v>324</v>
      </c>
      <c r="G1486" t="s">
        <v>337</v>
      </c>
      <c r="H1486" t="s">
        <v>334</v>
      </c>
      <c r="I1486" t="s">
        <v>17</v>
      </c>
      <c r="J1486" t="s">
        <v>102</v>
      </c>
      <c r="K1486" t="s">
        <v>18</v>
      </c>
      <c r="L1486" t="s">
        <v>316</v>
      </c>
      <c r="M1486" t="s">
        <v>305</v>
      </c>
      <c r="N1486">
        <v>2.5000000000000001E-3</v>
      </c>
      <c r="O1486" t="str">
        <f>IF(Transactions_RAW_cleaned[[#This Row],[Status]]="Completed", IFERROR(_xlfn.XLOOKUP(Transactions_RAW_cleaned[[#This Row],[CustomerID]], Customers_cleaned[CustomerID], Customers_cleaned[Segment]), "Customer Not Found"), "N/A")</f>
        <v>Enterprise</v>
      </c>
      <c r="P1486" s="5" t="str">
        <f>IF(Transactions_RAW_cleaned[[#This Row],[Status]]="Refunded", "Refund",
  IF(Transactions_RAW_cleaned[[#This Row],[Category]]="Payments", IF(Transactions_RAW_cleaned[[#This Row],[Amount]]&gt;500,"High Value","Standard"),
    IF(Transactions_RAW_cleaned[[#This Row],[Amount]]&gt;250,"High Value","Standard")))</f>
        <v>High Value</v>
      </c>
      <c r="Q1486" s="5" t="str">
        <f>IF(Transactions_RAW_cleaned[[#This Row],[Amount]] &gt; (_xlfn.XLOOKUP(Transactions_RAW_cleaned[[#This Row],[ServiceID]],Services_cleaned[ServiceID],Services_cleaned[TransactionFeePct]) * 10000), "Yes", "No")</f>
        <v>Yes</v>
      </c>
      <c r="R1486" s="5" t="str">
        <f>IF(COUNTIFS($C$2:Transactions_RAW_cleaned[[#This Row],[CustomerID]],Transactions_RAW_cleaned[[#This Row],[CustomerID]],$D$2:Transactions_RAW_cleaned[[#This Row],[ServiceID]],Transactions_RAW_cleaned[[#This Row],[ServiceID]])=1,"Yes","No")</f>
        <v>No</v>
      </c>
      <c r="S148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86" t="str">
        <f>"Q"&amp;ROUNDUP(MONTH(Transactions_RAW_cleaned[[#This Row],[TransactionDate]])/3,0)</f>
        <v>Q2</v>
      </c>
      <c r="U1486" t="str">
        <f>Transactions_RAW_cleaned[[#This Row],[Region ]]&amp;Transactions_RAW_cleaned[[#This Row],[Quarter ]]</f>
        <v>NAQ2</v>
      </c>
      <c r="V1486" s="5">
        <f>_xlfn.XLOOKUP(Transactions_RAW_cleaned[[#This Row],[RegionQuarterKey]], Quarterly_Targets_cleaned[RegionQuarterKey], Quarterly_Targets_cleaned[TargetRevenue])</f>
        <v>260000</v>
      </c>
    </row>
    <row r="1487" spans="1:22" x14ac:dyDescent="0.25">
      <c r="A1487" t="s">
        <v>1821</v>
      </c>
      <c r="B1487" s="1">
        <v>45427</v>
      </c>
      <c r="C1487" t="s">
        <v>195</v>
      </c>
      <c r="D1487" t="s">
        <v>312</v>
      </c>
      <c r="E1487">
        <v>558.98</v>
      </c>
      <c r="F1487" t="s">
        <v>324</v>
      </c>
      <c r="G1487" t="s">
        <v>327</v>
      </c>
      <c r="I1487" t="s">
        <v>8</v>
      </c>
      <c r="J1487" t="s">
        <v>102</v>
      </c>
      <c r="K1487" t="s">
        <v>32</v>
      </c>
      <c r="L1487" t="s">
        <v>313</v>
      </c>
      <c r="M1487" t="s">
        <v>314</v>
      </c>
      <c r="N1487">
        <v>0</v>
      </c>
      <c r="O1487" t="str">
        <f>IF(Transactions_RAW_cleaned[[#This Row],[Status]]="Completed", IFERROR(_xlfn.XLOOKUP(Transactions_RAW_cleaned[[#This Row],[CustomerID]], Customers_cleaned[CustomerID], Customers_cleaned[Segment]), "Customer Not Found"), "N/A")</f>
        <v>SMB</v>
      </c>
      <c r="P1487" s="5" t="str">
        <f>IF(Transactions_RAW_cleaned[[#This Row],[Status]]="Refunded", "Refund",
  IF(Transactions_RAW_cleaned[[#This Row],[Category]]="Payments", IF(Transactions_RAW_cleaned[[#This Row],[Amount]]&gt;500,"High Value","Standard"),
    IF(Transactions_RAW_cleaned[[#This Row],[Amount]]&gt;250,"High Value","Standard")))</f>
        <v>High Value</v>
      </c>
      <c r="Q1487" s="5" t="str">
        <f>IF(Transactions_RAW_cleaned[[#This Row],[Amount]] &gt; (_xlfn.XLOOKUP(Transactions_RAW_cleaned[[#This Row],[ServiceID]],Services_cleaned[ServiceID],Services_cleaned[TransactionFeePct]) * 10000), "Yes", "No")</f>
        <v>Yes</v>
      </c>
      <c r="R1487" s="5" t="str">
        <f>IF(COUNTIFS($C$2:Transactions_RAW_cleaned[[#This Row],[CustomerID]],Transactions_RAW_cleaned[[#This Row],[CustomerID]],$D$2:Transactions_RAW_cleaned[[#This Row],[ServiceID]],Transactions_RAW_cleaned[[#This Row],[ServiceID]])=1,"Yes","No")</f>
        <v>Yes</v>
      </c>
      <c r="S148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87" t="str">
        <f>"Q"&amp;ROUNDUP(MONTH(Transactions_RAW_cleaned[[#This Row],[TransactionDate]])/3,0)</f>
        <v>Q2</v>
      </c>
      <c r="U1487" t="str">
        <f>Transactions_RAW_cleaned[[#This Row],[Region ]]&amp;Transactions_RAW_cleaned[[#This Row],[Quarter ]]</f>
        <v>NAQ2</v>
      </c>
      <c r="V1487" s="5">
        <f>_xlfn.XLOOKUP(Transactions_RAW_cleaned[[#This Row],[RegionQuarterKey]], Quarterly_Targets_cleaned[RegionQuarterKey], Quarterly_Targets_cleaned[TargetRevenue])</f>
        <v>260000</v>
      </c>
    </row>
    <row r="1488" spans="1:22" x14ac:dyDescent="0.25">
      <c r="A1488" t="s">
        <v>1822</v>
      </c>
      <c r="B1488" s="1">
        <v>45451</v>
      </c>
      <c r="C1488" t="s">
        <v>80</v>
      </c>
      <c r="D1488" t="s">
        <v>309</v>
      </c>
      <c r="E1488">
        <v>639.13</v>
      </c>
      <c r="F1488" t="s">
        <v>331</v>
      </c>
      <c r="G1488" t="s">
        <v>329</v>
      </c>
      <c r="H1488" t="s">
        <v>332</v>
      </c>
      <c r="I1488" t="s">
        <v>8</v>
      </c>
      <c r="J1488" t="s">
        <v>13</v>
      </c>
      <c r="K1488" t="s">
        <v>32</v>
      </c>
      <c r="L1488" t="s">
        <v>310</v>
      </c>
      <c r="M1488" t="s">
        <v>311</v>
      </c>
      <c r="N1488">
        <v>0</v>
      </c>
      <c r="O1488" t="str">
        <f>IF(Transactions_RAW_cleaned[[#This Row],[Status]]="Completed", IFERROR(_xlfn.XLOOKUP(Transactions_RAW_cleaned[[#This Row],[CustomerID]], Customers_cleaned[CustomerID], Customers_cleaned[Segment]), "Customer Not Found"), "N/A")</f>
        <v>N/A</v>
      </c>
      <c r="P1488" s="5" t="str">
        <f>IF(Transactions_RAW_cleaned[[#This Row],[Status]]="Refunded", "Refund",
  IF(Transactions_RAW_cleaned[[#This Row],[Category]]="Payments", IF(Transactions_RAW_cleaned[[#This Row],[Amount]]&gt;500,"High Value","Standard"),
    IF(Transactions_RAW_cleaned[[#This Row],[Amount]]&gt;250,"High Value","Standard")))</f>
        <v>High Value</v>
      </c>
      <c r="Q1488" s="5" t="str">
        <f>IF(Transactions_RAW_cleaned[[#This Row],[Amount]] &gt; (_xlfn.XLOOKUP(Transactions_RAW_cleaned[[#This Row],[ServiceID]],Services_cleaned[ServiceID],Services_cleaned[TransactionFeePct]) * 10000), "Yes", "No")</f>
        <v>Yes</v>
      </c>
      <c r="R1488" s="5" t="str">
        <f>IF(COUNTIFS($C$2:Transactions_RAW_cleaned[[#This Row],[CustomerID]],Transactions_RAW_cleaned[[#This Row],[CustomerID]],$D$2:Transactions_RAW_cleaned[[#This Row],[ServiceID]],Transactions_RAW_cleaned[[#This Row],[ServiceID]])=1,"Yes","No")</f>
        <v>Yes</v>
      </c>
      <c r="S148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88" t="str">
        <f>"Q"&amp;ROUNDUP(MONTH(Transactions_RAW_cleaned[[#This Row],[TransactionDate]])/3,0)</f>
        <v>Q2</v>
      </c>
      <c r="U1488" t="str">
        <f>Transactions_RAW_cleaned[[#This Row],[Region ]]&amp;Transactions_RAW_cleaned[[#This Row],[Quarter ]]</f>
        <v>NAQ2</v>
      </c>
      <c r="V1488" s="5">
        <f>_xlfn.XLOOKUP(Transactions_RAW_cleaned[[#This Row],[RegionQuarterKey]], Quarterly_Targets_cleaned[RegionQuarterKey], Quarterly_Targets_cleaned[TargetRevenue])</f>
        <v>260000</v>
      </c>
    </row>
    <row r="1489" spans="1:22" x14ac:dyDescent="0.25">
      <c r="A1489" t="s">
        <v>1823</v>
      </c>
      <c r="B1489" s="1">
        <v>45385</v>
      </c>
      <c r="C1489" t="s">
        <v>143</v>
      </c>
      <c r="D1489" t="s">
        <v>300</v>
      </c>
      <c r="E1489">
        <v>540.09</v>
      </c>
      <c r="F1489" t="s">
        <v>324</v>
      </c>
      <c r="G1489" t="s">
        <v>327</v>
      </c>
      <c r="H1489" t="s">
        <v>346</v>
      </c>
      <c r="I1489" t="s">
        <v>8</v>
      </c>
      <c r="J1489" t="s">
        <v>102</v>
      </c>
      <c r="K1489" t="s">
        <v>22</v>
      </c>
      <c r="L1489" t="s">
        <v>301</v>
      </c>
      <c r="M1489" t="s">
        <v>302</v>
      </c>
      <c r="N1489">
        <v>5.0000000000000001E-3</v>
      </c>
      <c r="O1489" t="str">
        <f>IF(Transactions_RAW_cleaned[[#This Row],[Status]]="Completed", IFERROR(_xlfn.XLOOKUP(Transactions_RAW_cleaned[[#This Row],[CustomerID]], Customers_cleaned[CustomerID], Customers_cleaned[Segment]), "Customer Not Found"), "N/A")</f>
        <v>SMB</v>
      </c>
      <c r="P1489" s="5" t="str">
        <f>IF(Transactions_RAW_cleaned[[#This Row],[Status]]="Refunded", "Refund",
  IF(Transactions_RAW_cleaned[[#This Row],[Category]]="Payments", IF(Transactions_RAW_cleaned[[#This Row],[Amount]]&gt;500,"High Value","Standard"),
    IF(Transactions_RAW_cleaned[[#This Row],[Amount]]&gt;250,"High Value","Standard")))</f>
        <v>High Value</v>
      </c>
      <c r="Q1489" s="5" t="str">
        <f>IF(Transactions_RAW_cleaned[[#This Row],[Amount]] &gt; (_xlfn.XLOOKUP(Transactions_RAW_cleaned[[#This Row],[ServiceID]],Services_cleaned[ServiceID],Services_cleaned[TransactionFeePct]) * 10000), "Yes", "No")</f>
        <v>Yes</v>
      </c>
      <c r="R1489" s="5" t="str">
        <f>IF(COUNTIFS($C$2:Transactions_RAW_cleaned[[#This Row],[CustomerID]],Transactions_RAW_cleaned[[#This Row],[CustomerID]],$D$2:Transactions_RAW_cleaned[[#This Row],[ServiceID]],Transactions_RAW_cleaned[[#This Row],[ServiceID]])=1,"Yes","No")</f>
        <v>Yes</v>
      </c>
      <c r="S148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89" t="str">
        <f>"Q"&amp;ROUNDUP(MONTH(Transactions_RAW_cleaned[[#This Row],[TransactionDate]])/3,0)</f>
        <v>Q2</v>
      </c>
      <c r="U1489" t="str">
        <f>Transactions_RAW_cleaned[[#This Row],[Region ]]&amp;Transactions_RAW_cleaned[[#This Row],[Quarter ]]</f>
        <v>NAQ2</v>
      </c>
      <c r="V1489" s="5">
        <f>_xlfn.XLOOKUP(Transactions_RAW_cleaned[[#This Row],[RegionQuarterKey]], Quarterly_Targets_cleaned[RegionQuarterKey], Quarterly_Targets_cleaned[TargetRevenue])</f>
        <v>260000</v>
      </c>
    </row>
    <row r="1490" spans="1:22" x14ac:dyDescent="0.25">
      <c r="A1490" t="s">
        <v>1824</v>
      </c>
      <c r="B1490" s="1">
        <v>45456</v>
      </c>
      <c r="C1490" t="s">
        <v>19</v>
      </c>
      <c r="D1490" t="s">
        <v>294</v>
      </c>
      <c r="E1490">
        <v>531.74</v>
      </c>
      <c r="F1490" t="s">
        <v>324</v>
      </c>
      <c r="G1490" t="s">
        <v>325</v>
      </c>
      <c r="H1490" t="s">
        <v>346</v>
      </c>
      <c r="I1490" t="s">
        <v>8</v>
      </c>
      <c r="J1490" t="s">
        <v>21</v>
      </c>
      <c r="K1490" t="s">
        <v>22</v>
      </c>
      <c r="L1490" t="s">
        <v>295</v>
      </c>
      <c r="M1490" t="s">
        <v>296</v>
      </c>
      <c r="N1490">
        <v>2.9000000000000001E-2</v>
      </c>
      <c r="O1490" t="str">
        <f>IF(Transactions_RAW_cleaned[[#This Row],[Status]]="Completed", IFERROR(_xlfn.XLOOKUP(Transactions_RAW_cleaned[[#This Row],[CustomerID]], Customers_cleaned[CustomerID], Customers_cleaned[Segment]), "Customer Not Found"), "N/A")</f>
        <v>SMB</v>
      </c>
      <c r="P1490" s="5" t="str">
        <f>IF(Transactions_RAW_cleaned[[#This Row],[Status]]="Refunded", "Refund",
  IF(Transactions_RAW_cleaned[[#This Row],[Category]]="Payments", IF(Transactions_RAW_cleaned[[#This Row],[Amount]]&gt;500,"High Value","Standard"),
    IF(Transactions_RAW_cleaned[[#This Row],[Amount]]&gt;250,"High Value","Standard")))</f>
        <v>High Value</v>
      </c>
      <c r="Q1490" s="5" t="str">
        <f>IF(Transactions_RAW_cleaned[[#This Row],[Amount]] &gt; (_xlfn.XLOOKUP(Transactions_RAW_cleaned[[#This Row],[ServiceID]],Services_cleaned[ServiceID],Services_cleaned[TransactionFeePct]) * 10000), "Yes", "No")</f>
        <v>Yes</v>
      </c>
      <c r="R1490" s="5" t="str">
        <f>IF(COUNTIFS($C$2:Transactions_RAW_cleaned[[#This Row],[CustomerID]],Transactions_RAW_cleaned[[#This Row],[CustomerID]],$D$2:Transactions_RAW_cleaned[[#This Row],[ServiceID]],Transactions_RAW_cleaned[[#This Row],[ServiceID]])=1,"Yes","No")</f>
        <v>No</v>
      </c>
      <c r="S149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90" t="str">
        <f>"Q"&amp;ROUNDUP(MONTH(Transactions_RAW_cleaned[[#This Row],[TransactionDate]])/3,0)</f>
        <v>Q2</v>
      </c>
      <c r="U1490" t="str">
        <f>Transactions_RAW_cleaned[[#This Row],[Region ]]&amp;Transactions_RAW_cleaned[[#This Row],[Quarter ]]</f>
        <v>APACQ2</v>
      </c>
      <c r="V1490" s="5">
        <f>_xlfn.XLOOKUP(Transactions_RAW_cleaned[[#This Row],[RegionQuarterKey]], Quarterly_Targets_cleaned[RegionQuarterKey], Quarterly_Targets_cleaned[TargetRevenue])</f>
        <v>110000</v>
      </c>
    </row>
    <row r="1491" spans="1:22" x14ac:dyDescent="0.25">
      <c r="A1491" t="s">
        <v>1825</v>
      </c>
      <c r="B1491" s="1">
        <v>45351</v>
      </c>
      <c r="C1491" t="s">
        <v>82</v>
      </c>
      <c r="D1491" t="s">
        <v>294</v>
      </c>
      <c r="E1491">
        <v>395.01</v>
      </c>
      <c r="F1491" t="s">
        <v>324</v>
      </c>
      <c r="G1491" t="s">
        <v>337</v>
      </c>
      <c r="I1491" t="s">
        <v>57</v>
      </c>
      <c r="J1491" t="s">
        <v>46</v>
      </c>
      <c r="K1491" t="s">
        <v>10</v>
      </c>
      <c r="L1491" t="s">
        <v>295</v>
      </c>
      <c r="M1491" t="s">
        <v>296</v>
      </c>
      <c r="N1491">
        <v>2.9000000000000001E-2</v>
      </c>
      <c r="O1491" t="str">
        <f>IF(Transactions_RAW_cleaned[[#This Row],[Status]]="Completed", IFERROR(_xlfn.XLOOKUP(Transactions_RAW_cleaned[[#This Row],[CustomerID]], Customers_cleaned[CustomerID], Customers_cleaned[Segment]), "Customer Not Found"), "N/A")</f>
        <v>Startup</v>
      </c>
      <c r="P1491" s="5" t="str">
        <f>IF(Transactions_RAW_cleaned[[#This Row],[Status]]="Refunded", "Refund",
  IF(Transactions_RAW_cleaned[[#This Row],[Category]]="Payments", IF(Transactions_RAW_cleaned[[#This Row],[Amount]]&gt;500,"High Value","Standard"),
    IF(Transactions_RAW_cleaned[[#This Row],[Amount]]&gt;250,"High Value","Standard")))</f>
        <v>Standard</v>
      </c>
      <c r="Q1491" s="5" t="str">
        <f>IF(Transactions_RAW_cleaned[[#This Row],[Amount]] &gt; (_xlfn.XLOOKUP(Transactions_RAW_cleaned[[#This Row],[ServiceID]],Services_cleaned[ServiceID],Services_cleaned[TransactionFeePct]) * 10000), "Yes", "No")</f>
        <v>Yes</v>
      </c>
      <c r="R1491" s="5" t="str">
        <f>IF(COUNTIFS($C$2:Transactions_RAW_cleaned[[#This Row],[CustomerID]],Transactions_RAW_cleaned[[#This Row],[CustomerID]],$D$2:Transactions_RAW_cleaned[[#This Row],[ServiceID]],Transactions_RAW_cleaned[[#This Row],[ServiceID]])=1,"Yes","No")</f>
        <v>No</v>
      </c>
      <c r="S149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91" t="str">
        <f>"Q"&amp;ROUNDUP(MONTH(Transactions_RAW_cleaned[[#This Row],[TransactionDate]])/3,0)</f>
        <v>Q1</v>
      </c>
      <c r="U1491" t="str">
        <f>Transactions_RAW_cleaned[[#This Row],[Region ]]&amp;Transactions_RAW_cleaned[[#This Row],[Quarter ]]</f>
        <v>APACQ1</v>
      </c>
      <c r="V1491" s="5">
        <f>_xlfn.XLOOKUP(Transactions_RAW_cleaned[[#This Row],[RegionQuarterKey]], Quarterly_Targets_cleaned[RegionQuarterKey], Quarterly_Targets_cleaned[TargetRevenue])</f>
        <v>104500</v>
      </c>
    </row>
    <row r="1492" spans="1:22" x14ac:dyDescent="0.25">
      <c r="A1492" t="s">
        <v>1826</v>
      </c>
      <c r="B1492" s="1">
        <v>45331</v>
      </c>
      <c r="C1492" t="s">
        <v>233</v>
      </c>
      <c r="D1492" t="s">
        <v>294</v>
      </c>
      <c r="E1492">
        <v>784.35</v>
      </c>
      <c r="F1492" t="s">
        <v>324</v>
      </c>
      <c r="G1492" t="s">
        <v>329</v>
      </c>
      <c r="H1492" t="s">
        <v>346</v>
      </c>
      <c r="I1492" t="s">
        <v>8</v>
      </c>
      <c r="J1492" t="s">
        <v>13</v>
      </c>
      <c r="K1492" t="s">
        <v>14</v>
      </c>
      <c r="L1492" t="s">
        <v>295</v>
      </c>
      <c r="M1492" t="s">
        <v>296</v>
      </c>
      <c r="N1492">
        <v>2.9000000000000001E-2</v>
      </c>
      <c r="O1492" t="str">
        <f>IF(Transactions_RAW_cleaned[[#This Row],[Status]]="Completed", IFERROR(_xlfn.XLOOKUP(Transactions_RAW_cleaned[[#This Row],[CustomerID]], Customers_cleaned[CustomerID], Customers_cleaned[Segment]), "Customer Not Found"), "N/A")</f>
        <v>SMB</v>
      </c>
      <c r="P1492" s="5" t="str">
        <f>IF(Transactions_RAW_cleaned[[#This Row],[Status]]="Refunded", "Refund",
  IF(Transactions_RAW_cleaned[[#This Row],[Category]]="Payments", IF(Transactions_RAW_cleaned[[#This Row],[Amount]]&gt;500,"High Value","Standard"),
    IF(Transactions_RAW_cleaned[[#This Row],[Amount]]&gt;250,"High Value","Standard")))</f>
        <v>High Value</v>
      </c>
      <c r="Q1492" s="5" t="str">
        <f>IF(Transactions_RAW_cleaned[[#This Row],[Amount]] &gt; (_xlfn.XLOOKUP(Transactions_RAW_cleaned[[#This Row],[ServiceID]],Services_cleaned[ServiceID],Services_cleaned[TransactionFeePct]) * 10000), "Yes", "No")</f>
        <v>Yes</v>
      </c>
      <c r="R1492" s="5" t="str">
        <f>IF(COUNTIFS($C$2:Transactions_RAW_cleaned[[#This Row],[CustomerID]],Transactions_RAW_cleaned[[#This Row],[CustomerID]],$D$2:Transactions_RAW_cleaned[[#This Row],[ServiceID]],Transactions_RAW_cleaned[[#This Row],[ServiceID]])=1,"Yes","No")</f>
        <v>No</v>
      </c>
      <c r="S149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92" t="str">
        <f>"Q"&amp;ROUNDUP(MONTH(Transactions_RAW_cleaned[[#This Row],[TransactionDate]])/3,0)</f>
        <v>Q1</v>
      </c>
      <c r="U1492" t="str">
        <f>Transactions_RAW_cleaned[[#This Row],[Region ]]&amp;Transactions_RAW_cleaned[[#This Row],[Quarter ]]</f>
        <v>NAQ1</v>
      </c>
      <c r="V1492" s="5">
        <f>_xlfn.XLOOKUP(Transactions_RAW_cleaned[[#This Row],[RegionQuarterKey]], Quarterly_Targets_cleaned[RegionQuarterKey], Quarterly_Targets_cleaned[TargetRevenue])</f>
        <v>247000</v>
      </c>
    </row>
    <row r="1493" spans="1:22" x14ac:dyDescent="0.25">
      <c r="A1493" t="s">
        <v>1827</v>
      </c>
      <c r="B1493" s="1">
        <v>45644</v>
      </c>
      <c r="C1493" t="s">
        <v>109</v>
      </c>
      <c r="D1493" t="s">
        <v>297</v>
      </c>
      <c r="E1493">
        <v>265.64999999999998</v>
      </c>
      <c r="F1493" t="s">
        <v>324</v>
      </c>
      <c r="G1493" t="s">
        <v>325</v>
      </c>
      <c r="H1493" t="s">
        <v>334</v>
      </c>
      <c r="I1493" t="s">
        <v>8</v>
      </c>
      <c r="J1493" t="s">
        <v>102</v>
      </c>
      <c r="K1493" t="s">
        <v>18</v>
      </c>
      <c r="L1493" t="s">
        <v>298</v>
      </c>
      <c r="M1493" t="s">
        <v>299</v>
      </c>
      <c r="N1493">
        <v>0</v>
      </c>
      <c r="O1493" t="str">
        <f>IF(Transactions_RAW_cleaned[[#This Row],[Status]]="Completed", IFERROR(_xlfn.XLOOKUP(Transactions_RAW_cleaned[[#This Row],[CustomerID]], Customers_cleaned[CustomerID], Customers_cleaned[Segment]), "Customer Not Found"), "N/A")</f>
        <v>SMB</v>
      </c>
      <c r="P1493" s="5" t="str">
        <f>IF(Transactions_RAW_cleaned[[#This Row],[Status]]="Refunded", "Refund",
  IF(Transactions_RAW_cleaned[[#This Row],[Category]]="Payments", IF(Transactions_RAW_cleaned[[#This Row],[Amount]]&gt;500,"High Value","Standard"),
    IF(Transactions_RAW_cleaned[[#This Row],[Amount]]&gt;250,"High Value","Standard")))</f>
        <v>High Value</v>
      </c>
      <c r="Q1493" s="5" t="str">
        <f>IF(Transactions_RAW_cleaned[[#This Row],[Amount]] &gt; (_xlfn.XLOOKUP(Transactions_RAW_cleaned[[#This Row],[ServiceID]],Services_cleaned[ServiceID],Services_cleaned[TransactionFeePct]) * 10000), "Yes", "No")</f>
        <v>Yes</v>
      </c>
      <c r="R1493" s="5" t="str">
        <f>IF(COUNTIFS($C$2:Transactions_RAW_cleaned[[#This Row],[CustomerID]],Transactions_RAW_cleaned[[#This Row],[CustomerID]],$D$2:Transactions_RAW_cleaned[[#This Row],[ServiceID]],Transactions_RAW_cleaned[[#This Row],[ServiceID]])=1,"Yes","No")</f>
        <v>Yes</v>
      </c>
      <c r="S149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93" t="str">
        <f>"Q"&amp;ROUNDUP(MONTH(Transactions_RAW_cleaned[[#This Row],[TransactionDate]])/3,0)</f>
        <v>Q4</v>
      </c>
      <c r="U1493" t="str">
        <f>Transactions_RAW_cleaned[[#This Row],[Region ]]&amp;Transactions_RAW_cleaned[[#This Row],[Quarter ]]</f>
        <v>NAQ4</v>
      </c>
      <c r="V1493" s="5">
        <f>_xlfn.XLOOKUP(Transactions_RAW_cleaned[[#This Row],[RegionQuarterKey]], Quarterly_Targets_cleaned[RegionQuarterKey], Quarterly_Targets_cleaned[TargetRevenue])</f>
        <v>299000</v>
      </c>
    </row>
    <row r="1494" spans="1:22" x14ac:dyDescent="0.25">
      <c r="A1494" t="s">
        <v>1828</v>
      </c>
      <c r="B1494" s="1">
        <v>45354</v>
      </c>
      <c r="C1494" t="s">
        <v>193</v>
      </c>
      <c r="D1494" t="s">
        <v>312</v>
      </c>
      <c r="E1494">
        <v>527.5</v>
      </c>
      <c r="F1494" t="s">
        <v>324</v>
      </c>
      <c r="G1494" t="s">
        <v>2963</v>
      </c>
      <c r="I1494" t="s">
        <v>8</v>
      </c>
      <c r="J1494" t="s">
        <v>102</v>
      </c>
      <c r="K1494" t="s">
        <v>18</v>
      </c>
      <c r="L1494" t="s">
        <v>313</v>
      </c>
      <c r="M1494" t="s">
        <v>314</v>
      </c>
      <c r="N1494">
        <v>0</v>
      </c>
      <c r="O1494" t="str">
        <f>IF(Transactions_RAW_cleaned[[#This Row],[Status]]="Completed", IFERROR(_xlfn.XLOOKUP(Transactions_RAW_cleaned[[#This Row],[CustomerID]], Customers_cleaned[CustomerID], Customers_cleaned[Segment]), "Customer Not Found"), "N/A")</f>
        <v>SMB</v>
      </c>
      <c r="P1494" s="5" t="str">
        <f>IF(Transactions_RAW_cleaned[[#This Row],[Status]]="Refunded", "Refund",
  IF(Transactions_RAW_cleaned[[#This Row],[Category]]="Payments", IF(Transactions_RAW_cleaned[[#This Row],[Amount]]&gt;500,"High Value","Standard"),
    IF(Transactions_RAW_cleaned[[#This Row],[Amount]]&gt;250,"High Value","Standard")))</f>
        <v>High Value</v>
      </c>
      <c r="Q1494" s="5" t="str">
        <f>IF(Transactions_RAW_cleaned[[#This Row],[Amount]] &gt; (_xlfn.XLOOKUP(Transactions_RAW_cleaned[[#This Row],[ServiceID]],Services_cleaned[ServiceID],Services_cleaned[TransactionFeePct]) * 10000), "Yes", "No")</f>
        <v>Yes</v>
      </c>
      <c r="R1494" s="5" t="str">
        <f>IF(COUNTIFS($C$2:Transactions_RAW_cleaned[[#This Row],[CustomerID]],Transactions_RAW_cleaned[[#This Row],[CustomerID]],$D$2:Transactions_RAW_cleaned[[#This Row],[ServiceID]],Transactions_RAW_cleaned[[#This Row],[ServiceID]])=1,"Yes","No")</f>
        <v>No</v>
      </c>
      <c r="S149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94" t="str">
        <f>"Q"&amp;ROUNDUP(MONTH(Transactions_RAW_cleaned[[#This Row],[TransactionDate]])/3,0)</f>
        <v>Q1</v>
      </c>
      <c r="U1494" t="str">
        <f>Transactions_RAW_cleaned[[#This Row],[Region ]]&amp;Transactions_RAW_cleaned[[#This Row],[Quarter ]]</f>
        <v>NAQ1</v>
      </c>
      <c r="V1494" s="5">
        <f>_xlfn.XLOOKUP(Transactions_RAW_cleaned[[#This Row],[RegionQuarterKey]], Quarterly_Targets_cleaned[RegionQuarterKey], Quarterly_Targets_cleaned[TargetRevenue])</f>
        <v>247000</v>
      </c>
    </row>
    <row r="1495" spans="1:22" x14ac:dyDescent="0.25">
      <c r="A1495" t="s">
        <v>1829</v>
      </c>
      <c r="B1495" s="1">
        <v>45354</v>
      </c>
      <c r="C1495" t="s">
        <v>255</v>
      </c>
      <c r="D1495" t="s">
        <v>294</v>
      </c>
      <c r="E1495">
        <v>601.57000000000005</v>
      </c>
      <c r="F1495" t="s">
        <v>381</v>
      </c>
      <c r="G1495" t="s">
        <v>325</v>
      </c>
      <c r="H1495" t="s">
        <v>332</v>
      </c>
      <c r="I1495" t="s">
        <v>17</v>
      </c>
      <c r="J1495" t="s">
        <v>21</v>
      </c>
      <c r="K1495" t="s">
        <v>28</v>
      </c>
      <c r="L1495" t="s">
        <v>295</v>
      </c>
      <c r="M1495" t="s">
        <v>296</v>
      </c>
      <c r="N1495">
        <v>2.9000000000000001E-2</v>
      </c>
      <c r="O1495" t="str">
        <f>IF(Transactions_RAW_cleaned[[#This Row],[Status]]="Completed", IFERROR(_xlfn.XLOOKUP(Transactions_RAW_cleaned[[#This Row],[CustomerID]], Customers_cleaned[CustomerID], Customers_cleaned[Segment]), "Customer Not Found"), "N/A")</f>
        <v>N/A</v>
      </c>
      <c r="P1495" s="5" t="str">
        <f>IF(Transactions_RAW_cleaned[[#This Row],[Status]]="Refunded", "Refund",
  IF(Transactions_RAW_cleaned[[#This Row],[Category]]="Payments", IF(Transactions_RAW_cleaned[[#This Row],[Amount]]&gt;500,"High Value","Standard"),
    IF(Transactions_RAW_cleaned[[#This Row],[Amount]]&gt;250,"High Value","Standard")))</f>
        <v>High Value</v>
      </c>
      <c r="Q1495" s="5" t="str">
        <f>IF(Transactions_RAW_cleaned[[#This Row],[Amount]] &gt; (_xlfn.XLOOKUP(Transactions_RAW_cleaned[[#This Row],[ServiceID]],Services_cleaned[ServiceID],Services_cleaned[TransactionFeePct]) * 10000), "Yes", "No")</f>
        <v>Yes</v>
      </c>
      <c r="R1495" s="5" t="str">
        <f>IF(COUNTIFS($C$2:Transactions_RAW_cleaned[[#This Row],[CustomerID]],Transactions_RAW_cleaned[[#This Row],[CustomerID]],$D$2:Transactions_RAW_cleaned[[#This Row],[ServiceID]],Transactions_RAW_cleaned[[#This Row],[ServiceID]])=1,"Yes","No")</f>
        <v>No</v>
      </c>
      <c r="S149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95" t="str">
        <f>"Q"&amp;ROUNDUP(MONTH(Transactions_RAW_cleaned[[#This Row],[TransactionDate]])/3,0)</f>
        <v>Q1</v>
      </c>
      <c r="U1495" t="str">
        <f>Transactions_RAW_cleaned[[#This Row],[Region ]]&amp;Transactions_RAW_cleaned[[#This Row],[Quarter ]]</f>
        <v>APACQ1</v>
      </c>
      <c r="V1495" s="5">
        <f>_xlfn.XLOOKUP(Transactions_RAW_cleaned[[#This Row],[RegionQuarterKey]], Quarterly_Targets_cleaned[RegionQuarterKey], Quarterly_Targets_cleaned[TargetRevenue])</f>
        <v>104500</v>
      </c>
    </row>
    <row r="1496" spans="1:22" x14ac:dyDescent="0.25">
      <c r="A1496" t="s">
        <v>1830</v>
      </c>
      <c r="B1496" s="1">
        <v>45296</v>
      </c>
      <c r="C1496" t="s">
        <v>147</v>
      </c>
      <c r="D1496" t="s">
        <v>294</v>
      </c>
      <c r="E1496">
        <v>463.11</v>
      </c>
      <c r="F1496" t="s">
        <v>324</v>
      </c>
      <c r="G1496" t="s">
        <v>329</v>
      </c>
      <c r="I1496" t="s">
        <v>17</v>
      </c>
      <c r="J1496" t="s">
        <v>25</v>
      </c>
      <c r="K1496" t="s">
        <v>32</v>
      </c>
      <c r="L1496" t="s">
        <v>295</v>
      </c>
      <c r="M1496" t="s">
        <v>296</v>
      </c>
      <c r="N1496">
        <v>2.9000000000000001E-2</v>
      </c>
      <c r="O1496" t="str">
        <f>IF(Transactions_RAW_cleaned[[#This Row],[Status]]="Completed", IFERROR(_xlfn.XLOOKUP(Transactions_RAW_cleaned[[#This Row],[CustomerID]], Customers_cleaned[CustomerID], Customers_cleaned[Segment]), "Customer Not Found"), "N/A")</f>
        <v>Enterprise</v>
      </c>
      <c r="P1496" s="5" t="str">
        <f>IF(Transactions_RAW_cleaned[[#This Row],[Status]]="Refunded", "Refund",
  IF(Transactions_RAW_cleaned[[#This Row],[Category]]="Payments", IF(Transactions_RAW_cleaned[[#This Row],[Amount]]&gt;500,"High Value","Standard"),
    IF(Transactions_RAW_cleaned[[#This Row],[Amount]]&gt;250,"High Value","Standard")))</f>
        <v>Standard</v>
      </c>
      <c r="Q1496" s="5" t="str">
        <f>IF(Transactions_RAW_cleaned[[#This Row],[Amount]] &gt; (_xlfn.XLOOKUP(Transactions_RAW_cleaned[[#This Row],[ServiceID]],Services_cleaned[ServiceID],Services_cleaned[TransactionFeePct]) * 10000), "Yes", "No")</f>
        <v>Yes</v>
      </c>
      <c r="R1496" s="5" t="str">
        <f>IF(COUNTIFS($C$2:Transactions_RAW_cleaned[[#This Row],[CustomerID]],Transactions_RAW_cleaned[[#This Row],[CustomerID]],$D$2:Transactions_RAW_cleaned[[#This Row],[ServiceID]],Transactions_RAW_cleaned[[#This Row],[ServiceID]])=1,"Yes","No")</f>
        <v>No</v>
      </c>
      <c r="S149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496" t="str">
        <f>"Q"&amp;ROUNDUP(MONTH(Transactions_RAW_cleaned[[#This Row],[TransactionDate]])/3,0)</f>
        <v>Q1</v>
      </c>
      <c r="U1496" t="str">
        <f>Transactions_RAW_cleaned[[#This Row],[Region ]]&amp;Transactions_RAW_cleaned[[#This Row],[Quarter ]]</f>
        <v>APACQ1</v>
      </c>
      <c r="V1496" s="5">
        <f>_xlfn.XLOOKUP(Transactions_RAW_cleaned[[#This Row],[RegionQuarterKey]], Quarterly_Targets_cleaned[RegionQuarterKey], Quarterly_Targets_cleaned[TargetRevenue])</f>
        <v>104500</v>
      </c>
    </row>
    <row r="1497" spans="1:22" x14ac:dyDescent="0.25">
      <c r="A1497" t="s">
        <v>1831</v>
      </c>
      <c r="B1497" s="1">
        <v>45597</v>
      </c>
      <c r="C1497" t="s">
        <v>35</v>
      </c>
      <c r="D1497" t="s">
        <v>315</v>
      </c>
      <c r="E1497">
        <v>283.47000000000003</v>
      </c>
      <c r="F1497" t="s">
        <v>324</v>
      </c>
      <c r="G1497" t="s">
        <v>337</v>
      </c>
      <c r="I1497" t="s">
        <v>8</v>
      </c>
      <c r="J1497" t="s">
        <v>37</v>
      </c>
      <c r="K1497" t="s">
        <v>28</v>
      </c>
      <c r="L1497" t="s">
        <v>316</v>
      </c>
      <c r="M1497" t="s">
        <v>305</v>
      </c>
      <c r="N1497">
        <v>2.5000000000000001E-3</v>
      </c>
      <c r="O1497" t="str">
        <f>IF(Transactions_RAW_cleaned[[#This Row],[Status]]="Completed", IFERROR(_xlfn.XLOOKUP(Transactions_RAW_cleaned[[#This Row],[CustomerID]], Customers_cleaned[CustomerID], Customers_cleaned[Segment]), "Customer Not Found"), "N/A")</f>
        <v>SMB</v>
      </c>
      <c r="P1497" s="5" t="str">
        <f>IF(Transactions_RAW_cleaned[[#This Row],[Status]]="Refunded", "Refund",
  IF(Transactions_RAW_cleaned[[#This Row],[Category]]="Payments", IF(Transactions_RAW_cleaned[[#This Row],[Amount]]&gt;500,"High Value","Standard"),
    IF(Transactions_RAW_cleaned[[#This Row],[Amount]]&gt;250,"High Value","Standard")))</f>
        <v>High Value</v>
      </c>
      <c r="Q1497" s="5" t="str">
        <f>IF(Transactions_RAW_cleaned[[#This Row],[Amount]] &gt; (_xlfn.XLOOKUP(Transactions_RAW_cleaned[[#This Row],[ServiceID]],Services_cleaned[ServiceID],Services_cleaned[TransactionFeePct]) * 10000), "Yes", "No")</f>
        <v>Yes</v>
      </c>
      <c r="R1497" s="5" t="str">
        <f>IF(COUNTIFS($C$2:Transactions_RAW_cleaned[[#This Row],[CustomerID]],Transactions_RAW_cleaned[[#This Row],[CustomerID]],$D$2:Transactions_RAW_cleaned[[#This Row],[ServiceID]],Transactions_RAW_cleaned[[#This Row],[ServiceID]])=1,"Yes","No")</f>
        <v>No</v>
      </c>
      <c r="S149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97" t="str">
        <f>"Q"&amp;ROUNDUP(MONTH(Transactions_RAW_cleaned[[#This Row],[TransactionDate]])/3,0)</f>
        <v>Q4</v>
      </c>
      <c r="U1497" t="str">
        <f>Transactions_RAW_cleaned[[#This Row],[Region ]]&amp;Transactions_RAW_cleaned[[#This Row],[Quarter ]]</f>
        <v>EMEAQ4</v>
      </c>
      <c r="V1497" s="5">
        <f>_xlfn.XLOOKUP(Transactions_RAW_cleaned[[#This Row],[RegionQuarterKey]], Quarterly_Targets_cleaned[RegionQuarterKey], Quarterly_Targets_cleaned[TargetRevenue])</f>
        <v>161000</v>
      </c>
    </row>
    <row r="1498" spans="1:22" x14ac:dyDescent="0.25">
      <c r="A1498" t="s">
        <v>1832</v>
      </c>
      <c r="B1498" s="1">
        <v>45655</v>
      </c>
      <c r="C1498" t="s">
        <v>269</v>
      </c>
      <c r="D1498" t="s">
        <v>297</v>
      </c>
      <c r="E1498">
        <v>252.25</v>
      </c>
      <c r="F1498" t="s">
        <v>324</v>
      </c>
      <c r="G1498" t="s">
        <v>325</v>
      </c>
      <c r="H1498" t="s">
        <v>332</v>
      </c>
      <c r="I1498" t="s">
        <v>17</v>
      </c>
      <c r="J1498" t="s">
        <v>31</v>
      </c>
      <c r="K1498" t="s">
        <v>32</v>
      </c>
      <c r="L1498" t="s">
        <v>298</v>
      </c>
      <c r="M1498" t="s">
        <v>299</v>
      </c>
      <c r="N1498">
        <v>0</v>
      </c>
      <c r="O1498" t="str">
        <f>IF(Transactions_RAW_cleaned[[#This Row],[Status]]="Completed", IFERROR(_xlfn.XLOOKUP(Transactions_RAW_cleaned[[#This Row],[CustomerID]], Customers_cleaned[CustomerID], Customers_cleaned[Segment]), "Customer Not Found"), "N/A")</f>
        <v>Enterprise</v>
      </c>
      <c r="P1498" s="5" t="str">
        <f>IF(Transactions_RAW_cleaned[[#This Row],[Status]]="Refunded", "Refund",
  IF(Transactions_RAW_cleaned[[#This Row],[Category]]="Payments", IF(Transactions_RAW_cleaned[[#This Row],[Amount]]&gt;500,"High Value","Standard"),
    IF(Transactions_RAW_cleaned[[#This Row],[Amount]]&gt;250,"High Value","Standard")))</f>
        <v>High Value</v>
      </c>
      <c r="Q1498" s="5" t="str">
        <f>IF(Transactions_RAW_cleaned[[#This Row],[Amount]] &gt; (_xlfn.XLOOKUP(Transactions_RAW_cleaned[[#This Row],[ServiceID]],Services_cleaned[ServiceID],Services_cleaned[TransactionFeePct]) * 10000), "Yes", "No")</f>
        <v>Yes</v>
      </c>
      <c r="R1498" s="5" t="str">
        <f>IF(COUNTIFS($C$2:Transactions_RAW_cleaned[[#This Row],[CustomerID]],Transactions_RAW_cleaned[[#This Row],[CustomerID]],$D$2:Transactions_RAW_cleaned[[#This Row],[ServiceID]],Transactions_RAW_cleaned[[#This Row],[ServiceID]])=1,"Yes","No")</f>
        <v>Yes</v>
      </c>
      <c r="S149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498" t="str">
        <f>"Q"&amp;ROUNDUP(MONTH(Transactions_RAW_cleaned[[#This Row],[TransactionDate]])/3,0)</f>
        <v>Q4</v>
      </c>
      <c r="U1498" t="str">
        <f>Transactions_RAW_cleaned[[#This Row],[Region ]]&amp;Transactions_RAW_cleaned[[#This Row],[Quarter ]]</f>
        <v>EMEAQ4</v>
      </c>
      <c r="V1498" s="5">
        <f>_xlfn.XLOOKUP(Transactions_RAW_cleaned[[#This Row],[RegionQuarterKey]], Quarterly_Targets_cleaned[RegionQuarterKey], Quarterly_Targets_cleaned[TargetRevenue])</f>
        <v>161000</v>
      </c>
    </row>
    <row r="1499" spans="1:22" x14ac:dyDescent="0.25">
      <c r="A1499" t="s">
        <v>1833</v>
      </c>
      <c r="B1499" s="1">
        <v>45404</v>
      </c>
      <c r="C1499" t="s">
        <v>6</v>
      </c>
      <c r="D1499" t="s">
        <v>297</v>
      </c>
      <c r="E1499">
        <v>364.33</v>
      </c>
      <c r="F1499" t="s">
        <v>324</v>
      </c>
      <c r="G1499" t="s">
        <v>327</v>
      </c>
      <c r="H1499" t="s">
        <v>334</v>
      </c>
      <c r="I1499" t="s">
        <v>8</v>
      </c>
      <c r="J1499" t="s">
        <v>102</v>
      </c>
      <c r="K1499" t="s">
        <v>10</v>
      </c>
      <c r="L1499" t="s">
        <v>298</v>
      </c>
      <c r="M1499" t="s">
        <v>299</v>
      </c>
      <c r="N1499">
        <v>0</v>
      </c>
      <c r="O1499" t="str">
        <f>IF(Transactions_RAW_cleaned[[#This Row],[Status]]="Completed", IFERROR(_xlfn.XLOOKUP(Transactions_RAW_cleaned[[#This Row],[CustomerID]], Customers_cleaned[CustomerID], Customers_cleaned[Segment]), "Customer Not Found"), "N/A")</f>
        <v>SMB</v>
      </c>
      <c r="P1499" s="5" t="str">
        <f>IF(Transactions_RAW_cleaned[[#This Row],[Status]]="Refunded", "Refund",
  IF(Transactions_RAW_cleaned[[#This Row],[Category]]="Payments", IF(Transactions_RAW_cleaned[[#This Row],[Amount]]&gt;500,"High Value","Standard"),
    IF(Transactions_RAW_cleaned[[#This Row],[Amount]]&gt;250,"High Value","Standard")))</f>
        <v>High Value</v>
      </c>
      <c r="Q1499" s="5" t="str">
        <f>IF(Transactions_RAW_cleaned[[#This Row],[Amount]] &gt; (_xlfn.XLOOKUP(Transactions_RAW_cleaned[[#This Row],[ServiceID]],Services_cleaned[ServiceID],Services_cleaned[TransactionFeePct]) * 10000), "Yes", "No")</f>
        <v>Yes</v>
      </c>
      <c r="R1499" s="5" t="str">
        <f>IF(COUNTIFS($C$2:Transactions_RAW_cleaned[[#This Row],[CustomerID]],Transactions_RAW_cleaned[[#This Row],[CustomerID]],$D$2:Transactions_RAW_cleaned[[#This Row],[ServiceID]],Transactions_RAW_cleaned[[#This Row],[ServiceID]])=1,"Yes","No")</f>
        <v>No</v>
      </c>
      <c r="S149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499" t="str">
        <f>"Q"&amp;ROUNDUP(MONTH(Transactions_RAW_cleaned[[#This Row],[TransactionDate]])/3,0)</f>
        <v>Q2</v>
      </c>
      <c r="U1499" t="str">
        <f>Transactions_RAW_cleaned[[#This Row],[Region ]]&amp;Transactions_RAW_cleaned[[#This Row],[Quarter ]]</f>
        <v>NAQ2</v>
      </c>
      <c r="V1499" s="5">
        <f>_xlfn.XLOOKUP(Transactions_RAW_cleaned[[#This Row],[RegionQuarterKey]], Quarterly_Targets_cleaned[RegionQuarterKey], Quarterly_Targets_cleaned[TargetRevenue])</f>
        <v>260000</v>
      </c>
    </row>
    <row r="1500" spans="1:22" x14ac:dyDescent="0.25">
      <c r="A1500" t="s">
        <v>1834</v>
      </c>
      <c r="B1500" s="1">
        <v>45556</v>
      </c>
      <c r="C1500" t="s">
        <v>80</v>
      </c>
      <c r="D1500" t="s">
        <v>294</v>
      </c>
      <c r="E1500">
        <v>551.59</v>
      </c>
      <c r="F1500" t="s">
        <v>381</v>
      </c>
      <c r="G1500" t="s">
        <v>325</v>
      </c>
      <c r="H1500" t="s">
        <v>334</v>
      </c>
      <c r="I1500" t="s">
        <v>8</v>
      </c>
      <c r="J1500" t="s">
        <v>13</v>
      </c>
      <c r="K1500" t="s">
        <v>32</v>
      </c>
      <c r="L1500" t="s">
        <v>295</v>
      </c>
      <c r="M1500" t="s">
        <v>296</v>
      </c>
      <c r="N1500">
        <v>2.9000000000000001E-2</v>
      </c>
      <c r="O1500" t="str">
        <f>IF(Transactions_RAW_cleaned[[#This Row],[Status]]="Completed", IFERROR(_xlfn.XLOOKUP(Transactions_RAW_cleaned[[#This Row],[CustomerID]], Customers_cleaned[CustomerID], Customers_cleaned[Segment]), "Customer Not Found"), "N/A")</f>
        <v>N/A</v>
      </c>
      <c r="P1500" s="5" t="str">
        <f>IF(Transactions_RAW_cleaned[[#This Row],[Status]]="Refunded", "Refund",
  IF(Transactions_RAW_cleaned[[#This Row],[Category]]="Payments", IF(Transactions_RAW_cleaned[[#This Row],[Amount]]&gt;500,"High Value","Standard"),
    IF(Transactions_RAW_cleaned[[#This Row],[Amount]]&gt;250,"High Value","Standard")))</f>
        <v>High Value</v>
      </c>
      <c r="Q1500" s="5" t="str">
        <f>IF(Transactions_RAW_cleaned[[#This Row],[Amount]] &gt; (_xlfn.XLOOKUP(Transactions_RAW_cleaned[[#This Row],[ServiceID]],Services_cleaned[ServiceID],Services_cleaned[TransactionFeePct]) * 10000), "Yes", "No")</f>
        <v>Yes</v>
      </c>
      <c r="R1500" s="5" t="str">
        <f>IF(COUNTIFS($C$2:Transactions_RAW_cleaned[[#This Row],[CustomerID]],Transactions_RAW_cleaned[[#This Row],[CustomerID]],$D$2:Transactions_RAW_cleaned[[#This Row],[ServiceID]],Transactions_RAW_cleaned[[#This Row],[ServiceID]])=1,"Yes","No")</f>
        <v>No</v>
      </c>
      <c r="S150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00" t="str">
        <f>"Q"&amp;ROUNDUP(MONTH(Transactions_RAW_cleaned[[#This Row],[TransactionDate]])/3,0)</f>
        <v>Q3</v>
      </c>
      <c r="U1500" t="str">
        <f>Transactions_RAW_cleaned[[#This Row],[Region ]]&amp;Transactions_RAW_cleaned[[#This Row],[Quarter ]]</f>
        <v>NAQ3</v>
      </c>
      <c r="V1500" s="5">
        <f>_xlfn.XLOOKUP(Transactions_RAW_cleaned[[#This Row],[RegionQuarterKey]], Quarterly_Targets_cleaned[RegionQuarterKey], Quarterly_Targets_cleaned[TargetRevenue])</f>
        <v>273000</v>
      </c>
    </row>
    <row r="1501" spans="1:22" x14ac:dyDescent="0.25">
      <c r="A1501" t="s">
        <v>1835</v>
      </c>
      <c r="B1501" s="1">
        <v>45484</v>
      </c>
      <c r="C1501" t="s">
        <v>33</v>
      </c>
      <c r="D1501" t="s">
        <v>300</v>
      </c>
      <c r="E1501">
        <v>-301.49</v>
      </c>
      <c r="F1501" t="s">
        <v>349</v>
      </c>
      <c r="G1501" t="s">
        <v>325</v>
      </c>
      <c r="H1501" t="s">
        <v>332</v>
      </c>
      <c r="I1501" t="s">
        <v>17</v>
      </c>
      <c r="J1501" t="s">
        <v>31</v>
      </c>
      <c r="K1501" t="s">
        <v>14</v>
      </c>
      <c r="L1501" t="s">
        <v>301</v>
      </c>
      <c r="M1501" t="s">
        <v>302</v>
      </c>
      <c r="N1501">
        <v>5.0000000000000001E-3</v>
      </c>
      <c r="O1501" t="str">
        <f>IF(Transactions_RAW_cleaned[[#This Row],[Status]]="Completed", IFERROR(_xlfn.XLOOKUP(Transactions_RAW_cleaned[[#This Row],[CustomerID]], Customers_cleaned[CustomerID], Customers_cleaned[Segment]), "Customer Not Found"), "N/A")</f>
        <v>N/A</v>
      </c>
      <c r="P1501" s="5" t="str">
        <f>IF(Transactions_RAW_cleaned[[#This Row],[Status]]="Refunded", "Refund",
  IF(Transactions_RAW_cleaned[[#This Row],[Category]]="Payments", IF(Transactions_RAW_cleaned[[#This Row],[Amount]]&gt;500,"High Value","Standard"),
    IF(Transactions_RAW_cleaned[[#This Row],[Amount]]&gt;250,"High Value","Standard")))</f>
        <v>Refund</v>
      </c>
      <c r="Q1501" s="5" t="str">
        <f>IF(Transactions_RAW_cleaned[[#This Row],[Amount]] &gt; (_xlfn.XLOOKUP(Transactions_RAW_cleaned[[#This Row],[ServiceID]],Services_cleaned[ServiceID],Services_cleaned[TransactionFeePct]) * 10000), "Yes", "No")</f>
        <v>No</v>
      </c>
      <c r="R1501" s="5" t="str">
        <f>IF(COUNTIFS($C$2:Transactions_RAW_cleaned[[#This Row],[CustomerID]],Transactions_RAW_cleaned[[#This Row],[CustomerID]],$D$2:Transactions_RAW_cleaned[[#This Row],[ServiceID]],Transactions_RAW_cleaned[[#This Row],[ServiceID]])=1,"Yes","No")</f>
        <v>Yes</v>
      </c>
      <c r="S150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01" t="str">
        <f>"Q"&amp;ROUNDUP(MONTH(Transactions_RAW_cleaned[[#This Row],[TransactionDate]])/3,0)</f>
        <v>Q3</v>
      </c>
      <c r="U1501" t="str">
        <f>Transactions_RAW_cleaned[[#This Row],[Region ]]&amp;Transactions_RAW_cleaned[[#This Row],[Quarter ]]</f>
        <v>EMEAQ3</v>
      </c>
      <c r="V1501" s="5">
        <f>_xlfn.XLOOKUP(Transactions_RAW_cleaned[[#This Row],[RegionQuarterKey]], Quarterly_Targets_cleaned[RegionQuarterKey], Quarterly_Targets_cleaned[TargetRevenue])</f>
        <v>147000</v>
      </c>
    </row>
    <row r="1502" spans="1:22" x14ac:dyDescent="0.25">
      <c r="A1502" t="s">
        <v>1836</v>
      </c>
      <c r="B1502" s="1">
        <v>45468</v>
      </c>
      <c r="C1502" t="s">
        <v>265</v>
      </c>
      <c r="D1502" t="s">
        <v>300</v>
      </c>
      <c r="E1502">
        <v>322.36</v>
      </c>
      <c r="F1502" t="s">
        <v>324</v>
      </c>
      <c r="G1502" t="s">
        <v>2963</v>
      </c>
      <c r="H1502" t="s">
        <v>346</v>
      </c>
      <c r="I1502" t="s">
        <v>8</v>
      </c>
      <c r="J1502" t="s">
        <v>102</v>
      </c>
      <c r="K1502" t="s">
        <v>32</v>
      </c>
      <c r="L1502" t="s">
        <v>301</v>
      </c>
      <c r="M1502" t="s">
        <v>302</v>
      </c>
      <c r="N1502">
        <v>5.0000000000000001E-3</v>
      </c>
      <c r="O1502" t="str">
        <f>IF(Transactions_RAW_cleaned[[#This Row],[Status]]="Completed", IFERROR(_xlfn.XLOOKUP(Transactions_RAW_cleaned[[#This Row],[CustomerID]], Customers_cleaned[CustomerID], Customers_cleaned[Segment]), "Customer Not Found"), "N/A")</f>
        <v>SMB</v>
      </c>
      <c r="P1502" s="5" t="str">
        <f>IF(Transactions_RAW_cleaned[[#This Row],[Status]]="Refunded", "Refund",
  IF(Transactions_RAW_cleaned[[#This Row],[Category]]="Payments", IF(Transactions_RAW_cleaned[[#This Row],[Amount]]&gt;500,"High Value","Standard"),
    IF(Transactions_RAW_cleaned[[#This Row],[Amount]]&gt;250,"High Value","Standard")))</f>
        <v>High Value</v>
      </c>
      <c r="Q1502" s="5" t="str">
        <f>IF(Transactions_RAW_cleaned[[#This Row],[Amount]] &gt; (_xlfn.XLOOKUP(Transactions_RAW_cleaned[[#This Row],[ServiceID]],Services_cleaned[ServiceID],Services_cleaned[TransactionFeePct]) * 10000), "Yes", "No")</f>
        <v>Yes</v>
      </c>
      <c r="R1502" s="5" t="str">
        <f>IF(COUNTIFS($C$2:Transactions_RAW_cleaned[[#This Row],[CustomerID]],Transactions_RAW_cleaned[[#This Row],[CustomerID]],$D$2:Transactions_RAW_cleaned[[#This Row],[ServiceID]],Transactions_RAW_cleaned[[#This Row],[ServiceID]])=1,"Yes","No")</f>
        <v>No</v>
      </c>
      <c r="S150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02" t="str">
        <f>"Q"&amp;ROUNDUP(MONTH(Transactions_RAW_cleaned[[#This Row],[TransactionDate]])/3,0)</f>
        <v>Q2</v>
      </c>
      <c r="U1502" t="str">
        <f>Transactions_RAW_cleaned[[#This Row],[Region ]]&amp;Transactions_RAW_cleaned[[#This Row],[Quarter ]]</f>
        <v>NAQ2</v>
      </c>
      <c r="V1502" s="5">
        <f>_xlfn.XLOOKUP(Transactions_RAW_cleaned[[#This Row],[RegionQuarterKey]], Quarterly_Targets_cleaned[RegionQuarterKey], Quarterly_Targets_cleaned[TargetRevenue])</f>
        <v>260000</v>
      </c>
    </row>
    <row r="1503" spans="1:22" x14ac:dyDescent="0.25">
      <c r="A1503" t="s">
        <v>1837</v>
      </c>
      <c r="B1503" s="1">
        <v>45454</v>
      </c>
      <c r="C1503" t="s">
        <v>121</v>
      </c>
      <c r="D1503" t="s">
        <v>294</v>
      </c>
      <c r="E1503">
        <v>291.56</v>
      </c>
      <c r="F1503" t="s">
        <v>324</v>
      </c>
      <c r="G1503" t="s">
        <v>325</v>
      </c>
      <c r="H1503" t="s">
        <v>346</v>
      </c>
      <c r="I1503" t="s">
        <v>8</v>
      </c>
      <c r="J1503" t="s">
        <v>37</v>
      </c>
      <c r="K1503" t="s">
        <v>14</v>
      </c>
      <c r="L1503" t="s">
        <v>295</v>
      </c>
      <c r="M1503" t="s">
        <v>296</v>
      </c>
      <c r="N1503">
        <v>2.9000000000000001E-2</v>
      </c>
      <c r="O1503" t="str">
        <f>IF(Transactions_RAW_cleaned[[#This Row],[Status]]="Completed", IFERROR(_xlfn.XLOOKUP(Transactions_RAW_cleaned[[#This Row],[CustomerID]], Customers_cleaned[CustomerID], Customers_cleaned[Segment]), "Customer Not Found"), "N/A")</f>
        <v>SMB</v>
      </c>
      <c r="P1503" s="5" t="str">
        <f>IF(Transactions_RAW_cleaned[[#This Row],[Status]]="Refunded", "Refund",
  IF(Transactions_RAW_cleaned[[#This Row],[Category]]="Payments", IF(Transactions_RAW_cleaned[[#This Row],[Amount]]&gt;500,"High Value","Standard"),
    IF(Transactions_RAW_cleaned[[#This Row],[Amount]]&gt;250,"High Value","Standard")))</f>
        <v>Standard</v>
      </c>
      <c r="Q1503" s="5" t="str">
        <f>IF(Transactions_RAW_cleaned[[#This Row],[Amount]] &gt; (_xlfn.XLOOKUP(Transactions_RAW_cleaned[[#This Row],[ServiceID]],Services_cleaned[ServiceID],Services_cleaned[TransactionFeePct]) * 10000), "Yes", "No")</f>
        <v>Yes</v>
      </c>
      <c r="R1503" s="5" t="str">
        <f>IF(COUNTIFS($C$2:Transactions_RAW_cleaned[[#This Row],[CustomerID]],Transactions_RAW_cleaned[[#This Row],[CustomerID]],$D$2:Transactions_RAW_cleaned[[#This Row],[ServiceID]],Transactions_RAW_cleaned[[#This Row],[ServiceID]])=1,"Yes","No")</f>
        <v>No</v>
      </c>
      <c r="S150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03" t="str">
        <f>"Q"&amp;ROUNDUP(MONTH(Transactions_RAW_cleaned[[#This Row],[TransactionDate]])/3,0)</f>
        <v>Q2</v>
      </c>
      <c r="U1503" t="str">
        <f>Transactions_RAW_cleaned[[#This Row],[Region ]]&amp;Transactions_RAW_cleaned[[#This Row],[Quarter ]]</f>
        <v>EMEAQ2</v>
      </c>
      <c r="V1503" s="5">
        <f>_xlfn.XLOOKUP(Transactions_RAW_cleaned[[#This Row],[RegionQuarterKey]], Quarterly_Targets_cleaned[RegionQuarterKey], Quarterly_Targets_cleaned[TargetRevenue])</f>
        <v>140000</v>
      </c>
    </row>
    <row r="1504" spans="1:22" x14ac:dyDescent="0.25">
      <c r="A1504" t="s">
        <v>1838</v>
      </c>
      <c r="B1504" s="1">
        <v>45412</v>
      </c>
      <c r="C1504" t="s">
        <v>219</v>
      </c>
      <c r="D1504" t="s">
        <v>306</v>
      </c>
      <c r="E1504">
        <v>401.87</v>
      </c>
      <c r="F1504" t="s">
        <v>324</v>
      </c>
      <c r="G1504" t="s">
        <v>325</v>
      </c>
      <c r="I1504" t="s">
        <v>17</v>
      </c>
      <c r="J1504" t="s">
        <v>31</v>
      </c>
      <c r="K1504" t="s">
        <v>32</v>
      </c>
      <c r="L1504" t="s">
        <v>307</v>
      </c>
      <c r="M1504" t="s">
        <v>308</v>
      </c>
      <c r="N1504">
        <v>0</v>
      </c>
      <c r="O1504" t="str">
        <f>IF(Transactions_RAW_cleaned[[#This Row],[Status]]="Completed", IFERROR(_xlfn.XLOOKUP(Transactions_RAW_cleaned[[#This Row],[CustomerID]], Customers_cleaned[CustomerID], Customers_cleaned[Segment]), "Customer Not Found"), "N/A")</f>
        <v>Enterprise</v>
      </c>
      <c r="P1504" s="5" t="str">
        <f>IF(Transactions_RAW_cleaned[[#This Row],[Status]]="Refunded", "Refund",
  IF(Transactions_RAW_cleaned[[#This Row],[Category]]="Payments", IF(Transactions_RAW_cleaned[[#This Row],[Amount]]&gt;500,"High Value","Standard"),
    IF(Transactions_RAW_cleaned[[#This Row],[Amount]]&gt;250,"High Value","Standard")))</f>
        <v>High Value</v>
      </c>
      <c r="Q1504" s="5" t="str">
        <f>IF(Transactions_RAW_cleaned[[#This Row],[Amount]] &gt; (_xlfn.XLOOKUP(Transactions_RAW_cleaned[[#This Row],[ServiceID]],Services_cleaned[ServiceID],Services_cleaned[TransactionFeePct]) * 10000), "Yes", "No")</f>
        <v>Yes</v>
      </c>
      <c r="R1504" s="5" t="str">
        <f>IF(COUNTIFS($C$2:Transactions_RAW_cleaned[[#This Row],[CustomerID]],Transactions_RAW_cleaned[[#This Row],[CustomerID]],$D$2:Transactions_RAW_cleaned[[#This Row],[ServiceID]],Transactions_RAW_cleaned[[#This Row],[ServiceID]])=1,"Yes","No")</f>
        <v>Yes</v>
      </c>
      <c r="S150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04" t="str">
        <f>"Q"&amp;ROUNDUP(MONTH(Transactions_RAW_cleaned[[#This Row],[TransactionDate]])/3,0)</f>
        <v>Q2</v>
      </c>
      <c r="U1504" t="str">
        <f>Transactions_RAW_cleaned[[#This Row],[Region ]]&amp;Transactions_RAW_cleaned[[#This Row],[Quarter ]]</f>
        <v>EMEAQ2</v>
      </c>
      <c r="V1504" s="5">
        <f>_xlfn.XLOOKUP(Transactions_RAW_cleaned[[#This Row],[RegionQuarterKey]], Quarterly_Targets_cleaned[RegionQuarterKey], Quarterly_Targets_cleaned[TargetRevenue])</f>
        <v>140000</v>
      </c>
    </row>
    <row r="1505" spans="1:22" x14ac:dyDescent="0.25">
      <c r="A1505" t="s">
        <v>1839</v>
      </c>
      <c r="B1505" s="1">
        <v>45322</v>
      </c>
      <c r="C1505" t="s">
        <v>58</v>
      </c>
      <c r="D1505" t="s">
        <v>315</v>
      </c>
      <c r="E1505">
        <v>985.41</v>
      </c>
      <c r="F1505" t="s">
        <v>324</v>
      </c>
      <c r="G1505" t="s">
        <v>327</v>
      </c>
      <c r="H1505" t="s">
        <v>346</v>
      </c>
      <c r="I1505" t="s">
        <v>17</v>
      </c>
      <c r="J1505" t="s">
        <v>102</v>
      </c>
      <c r="K1505" t="s">
        <v>22</v>
      </c>
      <c r="L1505" t="s">
        <v>316</v>
      </c>
      <c r="M1505" t="s">
        <v>305</v>
      </c>
      <c r="N1505">
        <v>2.5000000000000001E-3</v>
      </c>
      <c r="O1505" t="str">
        <f>IF(Transactions_RAW_cleaned[[#This Row],[Status]]="Completed", IFERROR(_xlfn.XLOOKUP(Transactions_RAW_cleaned[[#This Row],[CustomerID]], Customers_cleaned[CustomerID], Customers_cleaned[Segment]), "Customer Not Found"), "N/A")</f>
        <v>Enterprise</v>
      </c>
      <c r="P1505" s="5" t="str">
        <f>IF(Transactions_RAW_cleaned[[#This Row],[Status]]="Refunded", "Refund",
  IF(Transactions_RAW_cleaned[[#This Row],[Category]]="Payments", IF(Transactions_RAW_cleaned[[#This Row],[Amount]]&gt;500,"High Value","Standard"),
    IF(Transactions_RAW_cleaned[[#This Row],[Amount]]&gt;250,"High Value","Standard")))</f>
        <v>High Value</v>
      </c>
      <c r="Q1505" s="5" t="str">
        <f>IF(Transactions_RAW_cleaned[[#This Row],[Amount]] &gt; (_xlfn.XLOOKUP(Transactions_RAW_cleaned[[#This Row],[ServiceID]],Services_cleaned[ServiceID],Services_cleaned[TransactionFeePct]) * 10000), "Yes", "No")</f>
        <v>Yes</v>
      </c>
      <c r="R1505" s="5" t="str">
        <f>IF(COUNTIFS($C$2:Transactions_RAW_cleaned[[#This Row],[CustomerID]],Transactions_RAW_cleaned[[#This Row],[CustomerID]],$D$2:Transactions_RAW_cleaned[[#This Row],[ServiceID]],Transactions_RAW_cleaned[[#This Row],[ServiceID]])=1,"Yes","No")</f>
        <v>No</v>
      </c>
      <c r="S150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05" t="str">
        <f>"Q"&amp;ROUNDUP(MONTH(Transactions_RAW_cleaned[[#This Row],[TransactionDate]])/3,0)</f>
        <v>Q1</v>
      </c>
      <c r="U1505" t="str">
        <f>Transactions_RAW_cleaned[[#This Row],[Region ]]&amp;Transactions_RAW_cleaned[[#This Row],[Quarter ]]</f>
        <v>NAQ1</v>
      </c>
      <c r="V1505" s="5">
        <f>_xlfn.XLOOKUP(Transactions_RAW_cleaned[[#This Row],[RegionQuarterKey]], Quarterly_Targets_cleaned[RegionQuarterKey], Quarterly_Targets_cleaned[TargetRevenue])</f>
        <v>247000</v>
      </c>
    </row>
    <row r="1506" spans="1:22" x14ac:dyDescent="0.25">
      <c r="A1506" t="s">
        <v>1840</v>
      </c>
      <c r="B1506" s="1">
        <v>45396</v>
      </c>
      <c r="C1506" t="s">
        <v>177</v>
      </c>
      <c r="D1506" t="s">
        <v>294</v>
      </c>
      <c r="E1506">
        <v>-282.49</v>
      </c>
      <c r="F1506" t="s">
        <v>349</v>
      </c>
      <c r="G1506" t="s">
        <v>327</v>
      </c>
      <c r="H1506" t="s">
        <v>332</v>
      </c>
      <c r="I1506" t="s">
        <v>8</v>
      </c>
      <c r="J1506" t="s">
        <v>46</v>
      </c>
      <c r="K1506" t="s">
        <v>10</v>
      </c>
      <c r="L1506" t="s">
        <v>295</v>
      </c>
      <c r="M1506" t="s">
        <v>296</v>
      </c>
      <c r="N1506">
        <v>2.9000000000000001E-2</v>
      </c>
      <c r="O1506" t="str">
        <f>IF(Transactions_RAW_cleaned[[#This Row],[Status]]="Completed", IFERROR(_xlfn.XLOOKUP(Transactions_RAW_cleaned[[#This Row],[CustomerID]], Customers_cleaned[CustomerID], Customers_cleaned[Segment]), "Customer Not Found"), "N/A")</f>
        <v>N/A</v>
      </c>
      <c r="P1506" s="5" t="str">
        <f>IF(Transactions_RAW_cleaned[[#This Row],[Status]]="Refunded", "Refund",
  IF(Transactions_RAW_cleaned[[#This Row],[Category]]="Payments", IF(Transactions_RAW_cleaned[[#This Row],[Amount]]&gt;500,"High Value","Standard"),
    IF(Transactions_RAW_cleaned[[#This Row],[Amount]]&gt;250,"High Value","Standard")))</f>
        <v>Refund</v>
      </c>
      <c r="Q1506" s="5" t="str">
        <f>IF(Transactions_RAW_cleaned[[#This Row],[Amount]] &gt; (_xlfn.XLOOKUP(Transactions_RAW_cleaned[[#This Row],[ServiceID]],Services_cleaned[ServiceID],Services_cleaned[TransactionFeePct]) * 10000), "Yes", "No")</f>
        <v>No</v>
      </c>
      <c r="R1506" s="5" t="str">
        <f>IF(COUNTIFS($C$2:Transactions_RAW_cleaned[[#This Row],[CustomerID]],Transactions_RAW_cleaned[[#This Row],[CustomerID]],$D$2:Transactions_RAW_cleaned[[#This Row],[ServiceID]],Transactions_RAW_cleaned[[#This Row],[ServiceID]])=1,"Yes","No")</f>
        <v>No</v>
      </c>
      <c r="S150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06" t="str">
        <f>"Q"&amp;ROUNDUP(MONTH(Transactions_RAW_cleaned[[#This Row],[TransactionDate]])/3,0)</f>
        <v>Q2</v>
      </c>
      <c r="U1506" t="str">
        <f>Transactions_RAW_cleaned[[#This Row],[Region ]]&amp;Transactions_RAW_cleaned[[#This Row],[Quarter ]]</f>
        <v>APACQ2</v>
      </c>
      <c r="V1506" s="5">
        <f>_xlfn.XLOOKUP(Transactions_RAW_cleaned[[#This Row],[RegionQuarterKey]], Quarterly_Targets_cleaned[RegionQuarterKey], Quarterly_Targets_cleaned[TargetRevenue])</f>
        <v>110000</v>
      </c>
    </row>
    <row r="1507" spans="1:22" x14ac:dyDescent="0.25">
      <c r="A1507" t="s">
        <v>1841</v>
      </c>
      <c r="B1507" s="1">
        <v>45603</v>
      </c>
      <c r="C1507" t="s">
        <v>119</v>
      </c>
      <c r="D1507" t="s">
        <v>309</v>
      </c>
      <c r="E1507">
        <v>1354.47</v>
      </c>
      <c r="F1507" t="s">
        <v>324</v>
      </c>
      <c r="G1507" t="s">
        <v>337</v>
      </c>
      <c r="I1507" t="s">
        <v>57</v>
      </c>
      <c r="J1507" t="s">
        <v>102</v>
      </c>
      <c r="K1507" t="s">
        <v>18</v>
      </c>
      <c r="L1507" t="s">
        <v>310</v>
      </c>
      <c r="M1507" t="s">
        <v>311</v>
      </c>
      <c r="N1507">
        <v>0</v>
      </c>
      <c r="O1507" t="str">
        <f>IF(Transactions_RAW_cleaned[[#This Row],[Status]]="Completed", IFERROR(_xlfn.XLOOKUP(Transactions_RAW_cleaned[[#This Row],[CustomerID]], Customers_cleaned[CustomerID], Customers_cleaned[Segment]), "Customer Not Found"), "N/A")</f>
        <v>Startup</v>
      </c>
      <c r="P1507" s="5" t="str">
        <f>IF(Transactions_RAW_cleaned[[#This Row],[Status]]="Refunded", "Refund",
  IF(Transactions_RAW_cleaned[[#This Row],[Category]]="Payments", IF(Transactions_RAW_cleaned[[#This Row],[Amount]]&gt;500,"High Value","Standard"),
    IF(Transactions_RAW_cleaned[[#This Row],[Amount]]&gt;250,"High Value","Standard")))</f>
        <v>High Value</v>
      </c>
      <c r="Q1507" s="5" t="str">
        <f>IF(Transactions_RAW_cleaned[[#This Row],[Amount]] &gt; (_xlfn.XLOOKUP(Transactions_RAW_cleaned[[#This Row],[ServiceID]],Services_cleaned[ServiceID],Services_cleaned[TransactionFeePct]) * 10000), "Yes", "No")</f>
        <v>Yes</v>
      </c>
      <c r="R1507" s="5" t="str">
        <f>IF(COUNTIFS($C$2:Transactions_RAW_cleaned[[#This Row],[CustomerID]],Transactions_RAW_cleaned[[#This Row],[CustomerID]],$D$2:Transactions_RAW_cleaned[[#This Row],[ServiceID]],Transactions_RAW_cleaned[[#This Row],[ServiceID]])=1,"Yes","No")</f>
        <v>No</v>
      </c>
      <c r="S150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07" t="str">
        <f>"Q"&amp;ROUNDUP(MONTH(Transactions_RAW_cleaned[[#This Row],[TransactionDate]])/3,0)</f>
        <v>Q4</v>
      </c>
      <c r="U1507" t="str">
        <f>Transactions_RAW_cleaned[[#This Row],[Region ]]&amp;Transactions_RAW_cleaned[[#This Row],[Quarter ]]</f>
        <v>NAQ4</v>
      </c>
      <c r="V1507" s="5">
        <f>_xlfn.XLOOKUP(Transactions_RAW_cleaned[[#This Row],[RegionQuarterKey]], Quarterly_Targets_cleaned[RegionQuarterKey], Quarterly_Targets_cleaned[TargetRevenue])</f>
        <v>299000</v>
      </c>
    </row>
    <row r="1508" spans="1:22" x14ac:dyDescent="0.25">
      <c r="A1508" t="s">
        <v>1842</v>
      </c>
      <c r="B1508" s="1">
        <v>45374</v>
      </c>
      <c r="C1508" t="s">
        <v>107</v>
      </c>
      <c r="D1508" t="s">
        <v>312</v>
      </c>
      <c r="E1508">
        <v>357.08</v>
      </c>
      <c r="F1508" t="s">
        <v>324</v>
      </c>
      <c r="G1508" t="s">
        <v>337</v>
      </c>
      <c r="I1508" t="s">
        <v>17</v>
      </c>
      <c r="J1508" t="s">
        <v>102</v>
      </c>
      <c r="K1508" t="s">
        <v>22</v>
      </c>
      <c r="L1508" t="s">
        <v>313</v>
      </c>
      <c r="M1508" t="s">
        <v>314</v>
      </c>
      <c r="N1508">
        <v>0</v>
      </c>
      <c r="O1508" t="str">
        <f>IF(Transactions_RAW_cleaned[[#This Row],[Status]]="Completed", IFERROR(_xlfn.XLOOKUP(Transactions_RAW_cleaned[[#This Row],[CustomerID]], Customers_cleaned[CustomerID], Customers_cleaned[Segment]), "Customer Not Found"), "N/A")</f>
        <v>Enterprise</v>
      </c>
      <c r="P1508" s="5" t="str">
        <f>IF(Transactions_RAW_cleaned[[#This Row],[Status]]="Refunded", "Refund",
  IF(Transactions_RAW_cleaned[[#This Row],[Category]]="Payments", IF(Transactions_RAW_cleaned[[#This Row],[Amount]]&gt;500,"High Value","Standard"),
    IF(Transactions_RAW_cleaned[[#This Row],[Amount]]&gt;250,"High Value","Standard")))</f>
        <v>High Value</v>
      </c>
      <c r="Q1508" s="5" t="str">
        <f>IF(Transactions_RAW_cleaned[[#This Row],[Amount]] &gt; (_xlfn.XLOOKUP(Transactions_RAW_cleaned[[#This Row],[ServiceID]],Services_cleaned[ServiceID],Services_cleaned[TransactionFeePct]) * 10000), "Yes", "No")</f>
        <v>Yes</v>
      </c>
      <c r="R1508" s="5" t="str">
        <f>IF(COUNTIFS($C$2:Transactions_RAW_cleaned[[#This Row],[CustomerID]],Transactions_RAW_cleaned[[#This Row],[CustomerID]],$D$2:Transactions_RAW_cleaned[[#This Row],[ServiceID]],Transactions_RAW_cleaned[[#This Row],[ServiceID]])=1,"Yes","No")</f>
        <v>Yes</v>
      </c>
      <c r="S150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08" t="str">
        <f>"Q"&amp;ROUNDUP(MONTH(Transactions_RAW_cleaned[[#This Row],[TransactionDate]])/3,0)</f>
        <v>Q1</v>
      </c>
      <c r="U1508" t="str">
        <f>Transactions_RAW_cleaned[[#This Row],[Region ]]&amp;Transactions_RAW_cleaned[[#This Row],[Quarter ]]</f>
        <v>NAQ1</v>
      </c>
      <c r="V1508" s="5">
        <f>_xlfn.XLOOKUP(Transactions_RAW_cleaned[[#This Row],[RegionQuarterKey]], Quarterly_Targets_cleaned[RegionQuarterKey], Quarterly_Targets_cleaned[TargetRevenue])</f>
        <v>247000</v>
      </c>
    </row>
    <row r="1509" spans="1:22" x14ac:dyDescent="0.25">
      <c r="A1509" t="s">
        <v>1843</v>
      </c>
      <c r="B1509" s="1">
        <v>45650</v>
      </c>
      <c r="C1509" t="s">
        <v>78</v>
      </c>
      <c r="D1509" t="s">
        <v>312</v>
      </c>
      <c r="E1509">
        <v>796.9</v>
      </c>
      <c r="F1509" t="s">
        <v>324</v>
      </c>
      <c r="G1509" t="s">
        <v>325</v>
      </c>
      <c r="H1509" t="s">
        <v>334</v>
      </c>
      <c r="I1509" t="s">
        <v>17</v>
      </c>
      <c r="J1509" t="s">
        <v>21</v>
      </c>
      <c r="K1509" t="s">
        <v>22</v>
      </c>
      <c r="L1509" t="s">
        <v>313</v>
      </c>
      <c r="M1509" t="s">
        <v>314</v>
      </c>
      <c r="N1509">
        <v>0</v>
      </c>
      <c r="O1509" t="str">
        <f>IF(Transactions_RAW_cleaned[[#This Row],[Status]]="Completed", IFERROR(_xlfn.XLOOKUP(Transactions_RAW_cleaned[[#This Row],[CustomerID]], Customers_cleaned[CustomerID], Customers_cleaned[Segment]), "Customer Not Found"), "N/A")</f>
        <v>Enterprise</v>
      </c>
      <c r="P1509" s="5" t="str">
        <f>IF(Transactions_RAW_cleaned[[#This Row],[Status]]="Refunded", "Refund",
  IF(Transactions_RAW_cleaned[[#This Row],[Category]]="Payments", IF(Transactions_RAW_cleaned[[#This Row],[Amount]]&gt;500,"High Value","Standard"),
    IF(Transactions_RAW_cleaned[[#This Row],[Amount]]&gt;250,"High Value","Standard")))</f>
        <v>High Value</v>
      </c>
      <c r="Q1509" s="5" t="str">
        <f>IF(Transactions_RAW_cleaned[[#This Row],[Amount]] &gt; (_xlfn.XLOOKUP(Transactions_RAW_cleaned[[#This Row],[ServiceID]],Services_cleaned[ServiceID],Services_cleaned[TransactionFeePct]) * 10000), "Yes", "No")</f>
        <v>Yes</v>
      </c>
      <c r="R1509" s="5" t="str">
        <f>IF(COUNTIFS($C$2:Transactions_RAW_cleaned[[#This Row],[CustomerID]],Transactions_RAW_cleaned[[#This Row],[CustomerID]],$D$2:Transactions_RAW_cleaned[[#This Row],[ServiceID]],Transactions_RAW_cleaned[[#This Row],[ServiceID]])=1,"Yes","No")</f>
        <v>Yes</v>
      </c>
      <c r="S150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09" t="str">
        <f>"Q"&amp;ROUNDUP(MONTH(Transactions_RAW_cleaned[[#This Row],[TransactionDate]])/3,0)</f>
        <v>Q4</v>
      </c>
      <c r="U1509" t="str">
        <f>Transactions_RAW_cleaned[[#This Row],[Region ]]&amp;Transactions_RAW_cleaned[[#This Row],[Quarter ]]</f>
        <v>APACQ4</v>
      </c>
      <c r="V1509" s="5">
        <f>_xlfn.XLOOKUP(Transactions_RAW_cleaned[[#This Row],[RegionQuarterKey]], Quarterly_Targets_cleaned[RegionQuarterKey], Quarterly_Targets_cleaned[TargetRevenue])</f>
        <v>126500</v>
      </c>
    </row>
    <row r="1510" spans="1:22" x14ac:dyDescent="0.25">
      <c r="A1510" t="s">
        <v>1844</v>
      </c>
      <c r="B1510" s="1">
        <v>45473</v>
      </c>
      <c r="C1510" t="s">
        <v>42</v>
      </c>
      <c r="D1510" t="s">
        <v>294</v>
      </c>
      <c r="E1510">
        <v>-390.14</v>
      </c>
      <c r="F1510" t="s">
        <v>349</v>
      </c>
      <c r="G1510" t="s">
        <v>327</v>
      </c>
      <c r="H1510" t="s">
        <v>334</v>
      </c>
      <c r="I1510" t="s">
        <v>8</v>
      </c>
      <c r="J1510" t="s">
        <v>102</v>
      </c>
      <c r="K1510" t="s">
        <v>10</v>
      </c>
      <c r="L1510" t="s">
        <v>295</v>
      </c>
      <c r="M1510" t="s">
        <v>296</v>
      </c>
      <c r="N1510">
        <v>2.9000000000000001E-2</v>
      </c>
      <c r="O1510" t="str">
        <f>IF(Transactions_RAW_cleaned[[#This Row],[Status]]="Completed", IFERROR(_xlfn.XLOOKUP(Transactions_RAW_cleaned[[#This Row],[CustomerID]], Customers_cleaned[CustomerID], Customers_cleaned[Segment]), "Customer Not Found"), "N/A")</f>
        <v>N/A</v>
      </c>
      <c r="P1510" s="5" t="str">
        <f>IF(Transactions_RAW_cleaned[[#This Row],[Status]]="Refunded", "Refund",
  IF(Transactions_RAW_cleaned[[#This Row],[Category]]="Payments", IF(Transactions_RAW_cleaned[[#This Row],[Amount]]&gt;500,"High Value","Standard"),
    IF(Transactions_RAW_cleaned[[#This Row],[Amount]]&gt;250,"High Value","Standard")))</f>
        <v>Refund</v>
      </c>
      <c r="Q1510" s="5" t="str">
        <f>IF(Transactions_RAW_cleaned[[#This Row],[Amount]] &gt; (_xlfn.XLOOKUP(Transactions_RAW_cleaned[[#This Row],[ServiceID]],Services_cleaned[ServiceID],Services_cleaned[TransactionFeePct]) * 10000), "Yes", "No")</f>
        <v>No</v>
      </c>
      <c r="R1510" s="5" t="str">
        <f>IF(COUNTIFS($C$2:Transactions_RAW_cleaned[[#This Row],[CustomerID]],Transactions_RAW_cleaned[[#This Row],[CustomerID]],$D$2:Transactions_RAW_cleaned[[#This Row],[ServiceID]],Transactions_RAW_cleaned[[#This Row],[ServiceID]])=1,"Yes","No")</f>
        <v>No</v>
      </c>
      <c r="S151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10" t="str">
        <f>"Q"&amp;ROUNDUP(MONTH(Transactions_RAW_cleaned[[#This Row],[TransactionDate]])/3,0)</f>
        <v>Q2</v>
      </c>
      <c r="U1510" t="str">
        <f>Transactions_RAW_cleaned[[#This Row],[Region ]]&amp;Transactions_RAW_cleaned[[#This Row],[Quarter ]]</f>
        <v>NAQ2</v>
      </c>
      <c r="V1510" s="5">
        <f>_xlfn.XLOOKUP(Transactions_RAW_cleaned[[#This Row],[RegionQuarterKey]], Quarterly_Targets_cleaned[RegionQuarterKey], Quarterly_Targets_cleaned[TargetRevenue])</f>
        <v>260000</v>
      </c>
    </row>
    <row r="1511" spans="1:22" x14ac:dyDescent="0.25">
      <c r="A1511" t="s">
        <v>1845</v>
      </c>
      <c r="B1511" s="1">
        <v>45571</v>
      </c>
      <c r="C1511" t="s">
        <v>53</v>
      </c>
      <c r="D1511" t="s">
        <v>300</v>
      </c>
      <c r="E1511">
        <v>437.32</v>
      </c>
      <c r="F1511" t="s">
        <v>324</v>
      </c>
      <c r="G1511" t="s">
        <v>337</v>
      </c>
      <c r="H1511" t="s">
        <v>334</v>
      </c>
      <c r="I1511" t="s">
        <v>17</v>
      </c>
      <c r="J1511" t="s">
        <v>21</v>
      </c>
      <c r="K1511" t="s">
        <v>28</v>
      </c>
      <c r="L1511" t="s">
        <v>301</v>
      </c>
      <c r="M1511" t="s">
        <v>302</v>
      </c>
      <c r="N1511">
        <v>5.0000000000000001E-3</v>
      </c>
      <c r="O1511" t="str">
        <f>IF(Transactions_RAW_cleaned[[#This Row],[Status]]="Completed", IFERROR(_xlfn.XLOOKUP(Transactions_RAW_cleaned[[#This Row],[CustomerID]], Customers_cleaned[CustomerID], Customers_cleaned[Segment]), "Customer Not Found"), "N/A")</f>
        <v>Enterprise</v>
      </c>
      <c r="P1511" s="5" t="str">
        <f>IF(Transactions_RAW_cleaned[[#This Row],[Status]]="Refunded", "Refund",
  IF(Transactions_RAW_cleaned[[#This Row],[Category]]="Payments", IF(Transactions_RAW_cleaned[[#This Row],[Amount]]&gt;500,"High Value","Standard"),
    IF(Transactions_RAW_cleaned[[#This Row],[Amount]]&gt;250,"High Value","Standard")))</f>
        <v>High Value</v>
      </c>
      <c r="Q1511" s="5" t="str">
        <f>IF(Transactions_RAW_cleaned[[#This Row],[Amount]] &gt; (_xlfn.XLOOKUP(Transactions_RAW_cleaned[[#This Row],[ServiceID]],Services_cleaned[ServiceID],Services_cleaned[TransactionFeePct]) * 10000), "Yes", "No")</f>
        <v>Yes</v>
      </c>
      <c r="R1511" s="5" t="str">
        <f>IF(COUNTIFS($C$2:Transactions_RAW_cleaned[[#This Row],[CustomerID]],Transactions_RAW_cleaned[[#This Row],[CustomerID]],$D$2:Transactions_RAW_cleaned[[#This Row],[ServiceID]],Transactions_RAW_cleaned[[#This Row],[ServiceID]])=1,"Yes","No")</f>
        <v>No</v>
      </c>
      <c r="S151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11" t="str">
        <f>"Q"&amp;ROUNDUP(MONTH(Transactions_RAW_cleaned[[#This Row],[TransactionDate]])/3,0)</f>
        <v>Q4</v>
      </c>
      <c r="U1511" t="str">
        <f>Transactions_RAW_cleaned[[#This Row],[Region ]]&amp;Transactions_RAW_cleaned[[#This Row],[Quarter ]]</f>
        <v>APACQ4</v>
      </c>
      <c r="V1511" s="5">
        <f>_xlfn.XLOOKUP(Transactions_RAW_cleaned[[#This Row],[RegionQuarterKey]], Quarterly_Targets_cleaned[RegionQuarterKey], Quarterly_Targets_cleaned[TargetRevenue])</f>
        <v>126500</v>
      </c>
    </row>
    <row r="1512" spans="1:22" x14ac:dyDescent="0.25">
      <c r="A1512" t="s">
        <v>1846</v>
      </c>
      <c r="B1512" s="1">
        <v>45516</v>
      </c>
      <c r="C1512" t="s">
        <v>193</v>
      </c>
      <c r="D1512" t="s">
        <v>309</v>
      </c>
      <c r="E1512">
        <v>507.2</v>
      </c>
      <c r="F1512" t="s">
        <v>324</v>
      </c>
      <c r="G1512" t="s">
        <v>2963</v>
      </c>
      <c r="H1512" t="s">
        <v>332</v>
      </c>
      <c r="I1512" t="s">
        <v>8</v>
      </c>
      <c r="J1512" t="s">
        <v>102</v>
      </c>
      <c r="K1512" t="s">
        <v>18</v>
      </c>
      <c r="L1512" t="s">
        <v>310</v>
      </c>
      <c r="M1512" t="s">
        <v>311</v>
      </c>
      <c r="N1512">
        <v>0</v>
      </c>
      <c r="O1512" t="str">
        <f>IF(Transactions_RAW_cleaned[[#This Row],[Status]]="Completed", IFERROR(_xlfn.XLOOKUP(Transactions_RAW_cleaned[[#This Row],[CustomerID]], Customers_cleaned[CustomerID], Customers_cleaned[Segment]), "Customer Not Found"), "N/A")</f>
        <v>SMB</v>
      </c>
      <c r="P1512" s="5" t="str">
        <f>IF(Transactions_RAW_cleaned[[#This Row],[Status]]="Refunded", "Refund",
  IF(Transactions_RAW_cleaned[[#This Row],[Category]]="Payments", IF(Transactions_RAW_cleaned[[#This Row],[Amount]]&gt;500,"High Value","Standard"),
    IF(Transactions_RAW_cleaned[[#This Row],[Amount]]&gt;250,"High Value","Standard")))</f>
        <v>High Value</v>
      </c>
      <c r="Q1512" s="5" t="str">
        <f>IF(Transactions_RAW_cleaned[[#This Row],[Amount]] &gt; (_xlfn.XLOOKUP(Transactions_RAW_cleaned[[#This Row],[ServiceID]],Services_cleaned[ServiceID],Services_cleaned[TransactionFeePct]) * 10000), "Yes", "No")</f>
        <v>Yes</v>
      </c>
      <c r="R1512" s="5" t="str">
        <f>IF(COUNTIFS($C$2:Transactions_RAW_cleaned[[#This Row],[CustomerID]],Transactions_RAW_cleaned[[#This Row],[CustomerID]],$D$2:Transactions_RAW_cleaned[[#This Row],[ServiceID]],Transactions_RAW_cleaned[[#This Row],[ServiceID]])=1,"Yes","No")</f>
        <v>Yes</v>
      </c>
      <c r="S151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12" t="str">
        <f>"Q"&amp;ROUNDUP(MONTH(Transactions_RAW_cleaned[[#This Row],[TransactionDate]])/3,0)</f>
        <v>Q3</v>
      </c>
      <c r="U1512" t="str">
        <f>Transactions_RAW_cleaned[[#This Row],[Region ]]&amp;Transactions_RAW_cleaned[[#This Row],[Quarter ]]</f>
        <v>NAQ3</v>
      </c>
      <c r="V1512" s="5">
        <f>_xlfn.XLOOKUP(Transactions_RAW_cleaned[[#This Row],[RegionQuarterKey]], Quarterly_Targets_cleaned[RegionQuarterKey], Quarterly_Targets_cleaned[TargetRevenue])</f>
        <v>273000</v>
      </c>
    </row>
    <row r="1513" spans="1:22" x14ac:dyDescent="0.25">
      <c r="A1513" t="s">
        <v>1847</v>
      </c>
      <c r="B1513" s="1">
        <v>45412</v>
      </c>
      <c r="C1513" t="s">
        <v>44</v>
      </c>
      <c r="D1513" t="s">
        <v>297</v>
      </c>
      <c r="E1513">
        <v>399.1</v>
      </c>
      <c r="F1513" t="s">
        <v>324</v>
      </c>
      <c r="G1513" t="s">
        <v>327</v>
      </c>
      <c r="H1513" t="s">
        <v>334</v>
      </c>
      <c r="I1513" t="s">
        <v>8</v>
      </c>
      <c r="J1513" t="s">
        <v>46</v>
      </c>
      <c r="K1513" t="s">
        <v>32</v>
      </c>
      <c r="L1513" t="s">
        <v>298</v>
      </c>
      <c r="M1513" t="s">
        <v>299</v>
      </c>
      <c r="N1513">
        <v>0</v>
      </c>
      <c r="O1513" t="str">
        <f>IF(Transactions_RAW_cleaned[[#This Row],[Status]]="Completed", IFERROR(_xlfn.XLOOKUP(Transactions_RAW_cleaned[[#This Row],[CustomerID]], Customers_cleaned[CustomerID], Customers_cleaned[Segment]), "Customer Not Found"), "N/A")</f>
        <v>SMB</v>
      </c>
      <c r="P1513" s="5" t="str">
        <f>IF(Transactions_RAW_cleaned[[#This Row],[Status]]="Refunded", "Refund",
  IF(Transactions_RAW_cleaned[[#This Row],[Category]]="Payments", IF(Transactions_RAW_cleaned[[#This Row],[Amount]]&gt;500,"High Value","Standard"),
    IF(Transactions_RAW_cleaned[[#This Row],[Amount]]&gt;250,"High Value","Standard")))</f>
        <v>High Value</v>
      </c>
      <c r="Q1513" s="5" t="str">
        <f>IF(Transactions_RAW_cleaned[[#This Row],[Amount]] &gt; (_xlfn.XLOOKUP(Transactions_RAW_cleaned[[#This Row],[ServiceID]],Services_cleaned[ServiceID],Services_cleaned[TransactionFeePct]) * 10000), "Yes", "No")</f>
        <v>Yes</v>
      </c>
      <c r="R1513" s="5" t="str">
        <f>IF(COUNTIFS($C$2:Transactions_RAW_cleaned[[#This Row],[CustomerID]],Transactions_RAW_cleaned[[#This Row],[CustomerID]],$D$2:Transactions_RAW_cleaned[[#This Row],[ServiceID]],Transactions_RAW_cleaned[[#This Row],[ServiceID]])=1,"Yes","No")</f>
        <v>No</v>
      </c>
      <c r="S151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13" t="str">
        <f>"Q"&amp;ROUNDUP(MONTH(Transactions_RAW_cleaned[[#This Row],[TransactionDate]])/3,0)</f>
        <v>Q2</v>
      </c>
      <c r="U1513" t="str">
        <f>Transactions_RAW_cleaned[[#This Row],[Region ]]&amp;Transactions_RAW_cleaned[[#This Row],[Quarter ]]</f>
        <v>APACQ2</v>
      </c>
      <c r="V1513" s="5">
        <f>_xlfn.XLOOKUP(Transactions_RAW_cleaned[[#This Row],[RegionQuarterKey]], Quarterly_Targets_cleaned[RegionQuarterKey], Quarterly_Targets_cleaned[TargetRevenue])</f>
        <v>110000</v>
      </c>
    </row>
    <row r="1514" spans="1:22" x14ac:dyDescent="0.25">
      <c r="A1514" t="s">
        <v>1848</v>
      </c>
      <c r="B1514" s="1">
        <v>45411</v>
      </c>
      <c r="C1514" t="s">
        <v>96</v>
      </c>
      <c r="D1514" t="s">
        <v>309</v>
      </c>
      <c r="E1514">
        <v>275.33</v>
      </c>
      <c r="F1514" t="s">
        <v>331</v>
      </c>
      <c r="G1514" t="s">
        <v>325</v>
      </c>
      <c r="H1514" t="s">
        <v>334</v>
      </c>
      <c r="I1514" t="s">
        <v>17</v>
      </c>
      <c r="J1514" t="s">
        <v>31</v>
      </c>
      <c r="K1514" t="s">
        <v>14</v>
      </c>
      <c r="L1514" t="s">
        <v>310</v>
      </c>
      <c r="M1514" t="s">
        <v>311</v>
      </c>
      <c r="N1514">
        <v>0</v>
      </c>
      <c r="O1514" t="str">
        <f>IF(Transactions_RAW_cleaned[[#This Row],[Status]]="Completed", IFERROR(_xlfn.XLOOKUP(Transactions_RAW_cleaned[[#This Row],[CustomerID]], Customers_cleaned[CustomerID], Customers_cleaned[Segment]), "Customer Not Found"), "N/A")</f>
        <v>N/A</v>
      </c>
      <c r="P1514" s="5" t="str">
        <f>IF(Transactions_RAW_cleaned[[#This Row],[Status]]="Refunded", "Refund",
  IF(Transactions_RAW_cleaned[[#This Row],[Category]]="Payments", IF(Transactions_RAW_cleaned[[#This Row],[Amount]]&gt;500,"High Value","Standard"),
    IF(Transactions_RAW_cleaned[[#This Row],[Amount]]&gt;250,"High Value","Standard")))</f>
        <v>High Value</v>
      </c>
      <c r="Q1514" s="5" t="str">
        <f>IF(Transactions_RAW_cleaned[[#This Row],[Amount]] &gt; (_xlfn.XLOOKUP(Transactions_RAW_cleaned[[#This Row],[ServiceID]],Services_cleaned[ServiceID],Services_cleaned[TransactionFeePct]) * 10000), "Yes", "No")</f>
        <v>Yes</v>
      </c>
      <c r="R1514" s="5" t="str">
        <f>IF(COUNTIFS($C$2:Transactions_RAW_cleaned[[#This Row],[CustomerID]],Transactions_RAW_cleaned[[#This Row],[CustomerID]],$D$2:Transactions_RAW_cleaned[[#This Row],[ServiceID]],Transactions_RAW_cleaned[[#This Row],[ServiceID]])=1,"Yes","No")</f>
        <v>No</v>
      </c>
      <c r="S151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14" t="str">
        <f>"Q"&amp;ROUNDUP(MONTH(Transactions_RAW_cleaned[[#This Row],[TransactionDate]])/3,0)</f>
        <v>Q2</v>
      </c>
      <c r="U1514" t="str">
        <f>Transactions_RAW_cleaned[[#This Row],[Region ]]&amp;Transactions_RAW_cleaned[[#This Row],[Quarter ]]</f>
        <v>EMEAQ2</v>
      </c>
      <c r="V1514" s="5">
        <f>_xlfn.XLOOKUP(Transactions_RAW_cleaned[[#This Row],[RegionQuarterKey]], Quarterly_Targets_cleaned[RegionQuarterKey], Quarterly_Targets_cleaned[TargetRevenue])</f>
        <v>140000</v>
      </c>
    </row>
    <row r="1515" spans="1:22" x14ac:dyDescent="0.25">
      <c r="A1515" t="s">
        <v>1849</v>
      </c>
      <c r="B1515" s="1">
        <v>45292</v>
      </c>
      <c r="C1515" t="s">
        <v>225</v>
      </c>
      <c r="D1515" t="s">
        <v>312</v>
      </c>
      <c r="E1515">
        <v>921.47</v>
      </c>
      <c r="F1515" t="s">
        <v>324</v>
      </c>
      <c r="G1515" t="s">
        <v>327</v>
      </c>
      <c r="I1515" t="s">
        <v>8</v>
      </c>
      <c r="J1515" t="s">
        <v>21</v>
      </c>
      <c r="K1515" t="s">
        <v>28</v>
      </c>
      <c r="L1515" t="s">
        <v>313</v>
      </c>
      <c r="M1515" t="s">
        <v>314</v>
      </c>
      <c r="N1515">
        <v>0</v>
      </c>
      <c r="O1515" t="str">
        <f>IF(Transactions_RAW_cleaned[[#This Row],[Status]]="Completed", IFERROR(_xlfn.XLOOKUP(Transactions_RAW_cleaned[[#This Row],[CustomerID]], Customers_cleaned[CustomerID], Customers_cleaned[Segment]), "Customer Not Found"), "N/A")</f>
        <v>SMB</v>
      </c>
      <c r="P1515" s="5" t="str">
        <f>IF(Transactions_RAW_cleaned[[#This Row],[Status]]="Refunded", "Refund",
  IF(Transactions_RAW_cleaned[[#This Row],[Category]]="Payments", IF(Transactions_RAW_cleaned[[#This Row],[Amount]]&gt;500,"High Value","Standard"),
    IF(Transactions_RAW_cleaned[[#This Row],[Amount]]&gt;250,"High Value","Standard")))</f>
        <v>High Value</v>
      </c>
      <c r="Q1515" s="5" t="str">
        <f>IF(Transactions_RAW_cleaned[[#This Row],[Amount]] &gt; (_xlfn.XLOOKUP(Transactions_RAW_cleaned[[#This Row],[ServiceID]],Services_cleaned[ServiceID],Services_cleaned[TransactionFeePct]) * 10000), "Yes", "No")</f>
        <v>Yes</v>
      </c>
      <c r="R1515" s="5" t="str">
        <f>IF(COUNTIFS($C$2:Transactions_RAW_cleaned[[#This Row],[CustomerID]],Transactions_RAW_cleaned[[#This Row],[CustomerID]],$D$2:Transactions_RAW_cleaned[[#This Row],[ServiceID]],Transactions_RAW_cleaned[[#This Row],[ServiceID]])=1,"Yes","No")</f>
        <v>Yes</v>
      </c>
      <c r="S151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15" t="str">
        <f>"Q"&amp;ROUNDUP(MONTH(Transactions_RAW_cleaned[[#This Row],[TransactionDate]])/3,0)</f>
        <v>Q1</v>
      </c>
      <c r="U1515" t="str">
        <f>Transactions_RAW_cleaned[[#This Row],[Region ]]&amp;Transactions_RAW_cleaned[[#This Row],[Quarter ]]</f>
        <v>APACQ1</v>
      </c>
      <c r="V1515" s="5">
        <f>_xlfn.XLOOKUP(Transactions_RAW_cleaned[[#This Row],[RegionQuarterKey]], Quarterly_Targets_cleaned[RegionQuarterKey], Quarterly_Targets_cleaned[TargetRevenue])</f>
        <v>104500</v>
      </c>
    </row>
    <row r="1516" spans="1:22" x14ac:dyDescent="0.25">
      <c r="A1516" t="s">
        <v>1850</v>
      </c>
      <c r="B1516" s="1">
        <v>45474</v>
      </c>
      <c r="C1516" t="s">
        <v>179</v>
      </c>
      <c r="D1516" t="s">
        <v>315</v>
      </c>
      <c r="E1516">
        <v>331.08</v>
      </c>
      <c r="F1516" t="s">
        <v>324</v>
      </c>
      <c r="G1516" t="s">
        <v>325</v>
      </c>
      <c r="I1516" t="s">
        <v>8</v>
      </c>
      <c r="J1516" t="s">
        <v>31</v>
      </c>
      <c r="K1516" t="s">
        <v>18</v>
      </c>
      <c r="L1516" t="s">
        <v>316</v>
      </c>
      <c r="M1516" t="s">
        <v>305</v>
      </c>
      <c r="N1516">
        <v>2.5000000000000001E-3</v>
      </c>
      <c r="O1516" t="str">
        <f>IF(Transactions_RAW_cleaned[[#This Row],[Status]]="Completed", IFERROR(_xlfn.XLOOKUP(Transactions_RAW_cleaned[[#This Row],[CustomerID]], Customers_cleaned[CustomerID], Customers_cleaned[Segment]), "Customer Not Found"), "N/A")</f>
        <v>SMB</v>
      </c>
      <c r="P1516" s="5" t="str">
        <f>IF(Transactions_RAW_cleaned[[#This Row],[Status]]="Refunded", "Refund",
  IF(Transactions_RAW_cleaned[[#This Row],[Category]]="Payments", IF(Transactions_RAW_cleaned[[#This Row],[Amount]]&gt;500,"High Value","Standard"),
    IF(Transactions_RAW_cleaned[[#This Row],[Amount]]&gt;250,"High Value","Standard")))</f>
        <v>High Value</v>
      </c>
      <c r="Q1516" s="5" t="str">
        <f>IF(Transactions_RAW_cleaned[[#This Row],[Amount]] &gt; (_xlfn.XLOOKUP(Transactions_RAW_cleaned[[#This Row],[ServiceID]],Services_cleaned[ServiceID],Services_cleaned[TransactionFeePct]) * 10000), "Yes", "No")</f>
        <v>Yes</v>
      </c>
      <c r="R1516" s="5" t="str">
        <f>IF(COUNTIFS($C$2:Transactions_RAW_cleaned[[#This Row],[CustomerID]],Transactions_RAW_cleaned[[#This Row],[CustomerID]],$D$2:Transactions_RAW_cleaned[[#This Row],[ServiceID]],Transactions_RAW_cleaned[[#This Row],[ServiceID]])=1,"Yes","No")</f>
        <v>Yes</v>
      </c>
      <c r="S151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16" t="str">
        <f>"Q"&amp;ROUNDUP(MONTH(Transactions_RAW_cleaned[[#This Row],[TransactionDate]])/3,0)</f>
        <v>Q3</v>
      </c>
      <c r="U1516" t="str">
        <f>Transactions_RAW_cleaned[[#This Row],[Region ]]&amp;Transactions_RAW_cleaned[[#This Row],[Quarter ]]</f>
        <v>EMEAQ3</v>
      </c>
      <c r="V1516" s="5">
        <f>_xlfn.XLOOKUP(Transactions_RAW_cleaned[[#This Row],[RegionQuarterKey]], Quarterly_Targets_cleaned[RegionQuarterKey], Quarterly_Targets_cleaned[TargetRevenue])</f>
        <v>147000</v>
      </c>
    </row>
    <row r="1517" spans="1:22" x14ac:dyDescent="0.25">
      <c r="A1517" t="s">
        <v>1851</v>
      </c>
      <c r="B1517" s="1">
        <v>45505</v>
      </c>
      <c r="C1517" t="s">
        <v>209</v>
      </c>
      <c r="D1517" t="s">
        <v>294</v>
      </c>
      <c r="E1517">
        <v>485.68</v>
      </c>
      <c r="F1517" t="s">
        <v>324</v>
      </c>
      <c r="G1517" t="s">
        <v>325</v>
      </c>
      <c r="I1517" t="s">
        <v>17</v>
      </c>
      <c r="J1517" t="s">
        <v>102</v>
      </c>
      <c r="K1517" t="s">
        <v>22</v>
      </c>
      <c r="L1517" t="s">
        <v>295</v>
      </c>
      <c r="M1517" t="s">
        <v>296</v>
      </c>
      <c r="N1517">
        <v>2.9000000000000001E-2</v>
      </c>
      <c r="O1517" t="str">
        <f>IF(Transactions_RAW_cleaned[[#This Row],[Status]]="Completed", IFERROR(_xlfn.XLOOKUP(Transactions_RAW_cleaned[[#This Row],[CustomerID]], Customers_cleaned[CustomerID], Customers_cleaned[Segment]), "Customer Not Found"), "N/A")</f>
        <v>Enterprise</v>
      </c>
      <c r="P1517" s="5" t="str">
        <f>IF(Transactions_RAW_cleaned[[#This Row],[Status]]="Refunded", "Refund",
  IF(Transactions_RAW_cleaned[[#This Row],[Category]]="Payments", IF(Transactions_RAW_cleaned[[#This Row],[Amount]]&gt;500,"High Value","Standard"),
    IF(Transactions_RAW_cleaned[[#This Row],[Amount]]&gt;250,"High Value","Standard")))</f>
        <v>Standard</v>
      </c>
      <c r="Q1517" s="5" t="str">
        <f>IF(Transactions_RAW_cleaned[[#This Row],[Amount]] &gt; (_xlfn.XLOOKUP(Transactions_RAW_cleaned[[#This Row],[ServiceID]],Services_cleaned[ServiceID],Services_cleaned[TransactionFeePct]) * 10000), "Yes", "No")</f>
        <v>Yes</v>
      </c>
      <c r="R1517" s="5" t="str">
        <f>IF(COUNTIFS($C$2:Transactions_RAW_cleaned[[#This Row],[CustomerID]],Transactions_RAW_cleaned[[#This Row],[CustomerID]],$D$2:Transactions_RAW_cleaned[[#This Row],[ServiceID]],Transactions_RAW_cleaned[[#This Row],[ServiceID]])=1,"Yes","No")</f>
        <v>No</v>
      </c>
      <c r="S151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17" t="str">
        <f>"Q"&amp;ROUNDUP(MONTH(Transactions_RAW_cleaned[[#This Row],[TransactionDate]])/3,0)</f>
        <v>Q3</v>
      </c>
      <c r="U1517" t="str">
        <f>Transactions_RAW_cleaned[[#This Row],[Region ]]&amp;Transactions_RAW_cleaned[[#This Row],[Quarter ]]</f>
        <v>NAQ3</v>
      </c>
      <c r="V1517" s="5">
        <f>_xlfn.XLOOKUP(Transactions_RAW_cleaned[[#This Row],[RegionQuarterKey]], Quarterly_Targets_cleaned[RegionQuarterKey], Quarterly_Targets_cleaned[TargetRevenue])</f>
        <v>273000</v>
      </c>
    </row>
    <row r="1518" spans="1:22" x14ac:dyDescent="0.25">
      <c r="A1518" t="s">
        <v>1852</v>
      </c>
      <c r="B1518" s="1">
        <v>45337</v>
      </c>
      <c r="C1518" t="s">
        <v>109</v>
      </c>
      <c r="D1518" t="s">
        <v>312</v>
      </c>
      <c r="E1518">
        <v>229.44</v>
      </c>
      <c r="F1518" t="s">
        <v>324</v>
      </c>
      <c r="G1518" t="s">
        <v>329</v>
      </c>
      <c r="I1518" t="s">
        <v>8</v>
      </c>
      <c r="J1518" t="s">
        <v>102</v>
      </c>
      <c r="K1518" t="s">
        <v>18</v>
      </c>
      <c r="L1518" t="s">
        <v>313</v>
      </c>
      <c r="M1518" t="s">
        <v>314</v>
      </c>
      <c r="N1518">
        <v>0</v>
      </c>
      <c r="O1518" t="str">
        <f>IF(Transactions_RAW_cleaned[[#This Row],[Status]]="Completed", IFERROR(_xlfn.XLOOKUP(Transactions_RAW_cleaned[[#This Row],[CustomerID]], Customers_cleaned[CustomerID], Customers_cleaned[Segment]), "Customer Not Found"), "N/A")</f>
        <v>SMB</v>
      </c>
      <c r="P1518" s="5" t="str">
        <f>IF(Transactions_RAW_cleaned[[#This Row],[Status]]="Refunded", "Refund",
  IF(Transactions_RAW_cleaned[[#This Row],[Category]]="Payments", IF(Transactions_RAW_cleaned[[#This Row],[Amount]]&gt;500,"High Value","Standard"),
    IF(Transactions_RAW_cleaned[[#This Row],[Amount]]&gt;250,"High Value","Standard")))</f>
        <v>Standard</v>
      </c>
      <c r="Q1518" s="5" t="str">
        <f>IF(Transactions_RAW_cleaned[[#This Row],[Amount]] &gt; (_xlfn.XLOOKUP(Transactions_RAW_cleaned[[#This Row],[ServiceID]],Services_cleaned[ServiceID],Services_cleaned[TransactionFeePct]) * 10000), "Yes", "No")</f>
        <v>Yes</v>
      </c>
      <c r="R1518" s="5" t="str">
        <f>IF(COUNTIFS($C$2:Transactions_RAW_cleaned[[#This Row],[CustomerID]],Transactions_RAW_cleaned[[#This Row],[CustomerID]],$D$2:Transactions_RAW_cleaned[[#This Row],[ServiceID]],Transactions_RAW_cleaned[[#This Row],[ServiceID]])=1,"Yes","No")</f>
        <v>No</v>
      </c>
      <c r="S151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18" t="str">
        <f>"Q"&amp;ROUNDUP(MONTH(Transactions_RAW_cleaned[[#This Row],[TransactionDate]])/3,0)</f>
        <v>Q1</v>
      </c>
      <c r="U1518" t="str">
        <f>Transactions_RAW_cleaned[[#This Row],[Region ]]&amp;Transactions_RAW_cleaned[[#This Row],[Quarter ]]</f>
        <v>NAQ1</v>
      </c>
      <c r="V1518" s="5">
        <f>_xlfn.XLOOKUP(Transactions_RAW_cleaned[[#This Row],[RegionQuarterKey]], Quarterly_Targets_cleaned[RegionQuarterKey], Quarterly_Targets_cleaned[TargetRevenue])</f>
        <v>247000</v>
      </c>
    </row>
    <row r="1519" spans="1:22" x14ac:dyDescent="0.25">
      <c r="A1519" t="s">
        <v>1853</v>
      </c>
      <c r="B1519" s="1">
        <v>45537</v>
      </c>
      <c r="C1519" t="s">
        <v>113</v>
      </c>
      <c r="D1519" t="s">
        <v>312</v>
      </c>
      <c r="E1519">
        <v>143.04</v>
      </c>
      <c r="F1519" t="s">
        <v>324</v>
      </c>
      <c r="G1519" t="s">
        <v>2963</v>
      </c>
      <c r="H1519" t="s">
        <v>332</v>
      </c>
      <c r="I1519" t="s">
        <v>57</v>
      </c>
      <c r="J1519" t="s">
        <v>46</v>
      </c>
      <c r="K1519" t="s">
        <v>10</v>
      </c>
      <c r="L1519" t="s">
        <v>313</v>
      </c>
      <c r="M1519" t="s">
        <v>314</v>
      </c>
      <c r="N1519">
        <v>0</v>
      </c>
      <c r="O1519" t="str">
        <f>IF(Transactions_RAW_cleaned[[#This Row],[Status]]="Completed", IFERROR(_xlfn.XLOOKUP(Transactions_RAW_cleaned[[#This Row],[CustomerID]], Customers_cleaned[CustomerID], Customers_cleaned[Segment]), "Customer Not Found"), "N/A")</f>
        <v>Startup</v>
      </c>
      <c r="P1519" s="5" t="str">
        <f>IF(Transactions_RAW_cleaned[[#This Row],[Status]]="Refunded", "Refund",
  IF(Transactions_RAW_cleaned[[#This Row],[Category]]="Payments", IF(Transactions_RAW_cleaned[[#This Row],[Amount]]&gt;500,"High Value","Standard"),
    IF(Transactions_RAW_cleaned[[#This Row],[Amount]]&gt;250,"High Value","Standard")))</f>
        <v>Standard</v>
      </c>
      <c r="Q1519" s="5" t="str">
        <f>IF(Transactions_RAW_cleaned[[#This Row],[Amount]] &gt; (_xlfn.XLOOKUP(Transactions_RAW_cleaned[[#This Row],[ServiceID]],Services_cleaned[ServiceID],Services_cleaned[TransactionFeePct]) * 10000), "Yes", "No")</f>
        <v>Yes</v>
      </c>
      <c r="R1519" s="5" t="str">
        <f>IF(COUNTIFS($C$2:Transactions_RAW_cleaned[[#This Row],[CustomerID]],Transactions_RAW_cleaned[[#This Row],[CustomerID]],$D$2:Transactions_RAW_cleaned[[#This Row],[ServiceID]],Transactions_RAW_cleaned[[#This Row],[ServiceID]])=1,"Yes","No")</f>
        <v>No</v>
      </c>
      <c r="S151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19" t="str">
        <f>"Q"&amp;ROUNDUP(MONTH(Transactions_RAW_cleaned[[#This Row],[TransactionDate]])/3,0)</f>
        <v>Q3</v>
      </c>
      <c r="U1519" t="str">
        <f>Transactions_RAW_cleaned[[#This Row],[Region ]]&amp;Transactions_RAW_cleaned[[#This Row],[Quarter ]]</f>
        <v>APACQ3</v>
      </c>
      <c r="V1519" s="5">
        <f>_xlfn.XLOOKUP(Transactions_RAW_cleaned[[#This Row],[RegionQuarterKey]], Quarterly_Targets_cleaned[RegionQuarterKey], Quarterly_Targets_cleaned[TargetRevenue])</f>
        <v>115500</v>
      </c>
    </row>
    <row r="1520" spans="1:22" x14ac:dyDescent="0.25">
      <c r="A1520" t="s">
        <v>1854</v>
      </c>
      <c r="B1520" s="1">
        <v>45490</v>
      </c>
      <c r="C1520" t="s">
        <v>76</v>
      </c>
      <c r="D1520" t="s">
        <v>294</v>
      </c>
      <c r="E1520">
        <v>316.92</v>
      </c>
      <c r="F1520" t="s">
        <v>324</v>
      </c>
      <c r="G1520" t="s">
        <v>337</v>
      </c>
      <c r="I1520" t="s">
        <v>17</v>
      </c>
      <c r="J1520" t="s">
        <v>13</v>
      </c>
      <c r="K1520" t="s">
        <v>18</v>
      </c>
      <c r="L1520" t="s">
        <v>295</v>
      </c>
      <c r="M1520" t="s">
        <v>296</v>
      </c>
      <c r="N1520">
        <v>2.9000000000000001E-2</v>
      </c>
      <c r="O1520" t="str">
        <f>IF(Transactions_RAW_cleaned[[#This Row],[Status]]="Completed", IFERROR(_xlfn.XLOOKUP(Transactions_RAW_cleaned[[#This Row],[CustomerID]], Customers_cleaned[CustomerID], Customers_cleaned[Segment]), "Customer Not Found"), "N/A")</f>
        <v>Enterprise</v>
      </c>
      <c r="P1520" s="5" t="str">
        <f>IF(Transactions_RAW_cleaned[[#This Row],[Status]]="Refunded", "Refund",
  IF(Transactions_RAW_cleaned[[#This Row],[Category]]="Payments", IF(Transactions_RAW_cleaned[[#This Row],[Amount]]&gt;500,"High Value","Standard"),
    IF(Transactions_RAW_cleaned[[#This Row],[Amount]]&gt;250,"High Value","Standard")))</f>
        <v>Standard</v>
      </c>
      <c r="Q1520" s="5" t="str">
        <f>IF(Transactions_RAW_cleaned[[#This Row],[Amount]] &gt; (_xlfn.XLOOKUP(Transactions_RAW_cleaned[[#This Row],[ServiceID]],Services_cleaned[ServiceID],Services_cleaned[TransactionFeePct]) * 10000), "Yes", "No")</f>
        <v>Yes</v>
      </c>
      <c r="R1520" s="5" t="str">
        <f>IF(COUNTIFS($C$2:Transactions_RAW_cleaned[[#This Row],[CustomerID]],Transactions_RAW_cleaned[[#This Row],[CustomerID]],$D$2:Transactions_RAW_cleaned[[#This Row],[ServiceID]],Transactions_RAW_cleaned[[#This Row],[ServiceID]])=1,"Yes","No")</f>
        <v>No</v>
      </c>
      <c r="S152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20" t="str">
        <f>"Q"&amp;ROUNDUP(MONTH(Transactions_RAW_cleaned[[#This Row],[TransactionDate]])/3,0)</f>
        <v>Q3</v>
      </c>
      <c r="U1520" t="str">
        <f>Transactions_RAW_cleaned[[#This Row],[Region ]]&amp;Transactions_RAW_cleaned[[#This Row],[Quarter ]]</f>
        <v>NAQ3</v>
      </c>
      <c r="V1520" s="5">
        <f>_xlfn.XLOOKUP(Transactions_RAW_cleaned[[#This Row],[RegionQuarterKey]], Quarterly_Targets_cleaned[RegionQuarterKey], Quarterly_Targets_cleaned[TargetRevenue])</f>
        <v>273000</v>
      </c>
    </row>
    <row r="1521" spans="1:22" x14ac:dyDescent="0.25">
      <c r="A1521" t="s">
        <v>1855</v>
      </c>
      <c r="B1521" s="1">
        <v>45638</v>
      </c>
      <c r="C1521" t="s">
        <v>135</v>
      </c>
      <c r="D1521" t="s">
        <v>303</v>
      </c>
      <c r="E1521">
        <v>223.24</v>
      </c>
      <c r="F1521" t="s">
        <v>324</v>
      </c>
      <c r="G1521" t="s">
        <v>337</v>
      </c>
      <c r="H1521" t="s">
        <v>332</v>
      </c>
      <c r="I1521" t="s">
        <v>8</v>
      </c>
      <c r="J1521" t="s">
        <v>46</v>
      </c>
      <c r="K1521" t="s">
        <v>10</v>
      </c>
      <c r="L1521" t="s">
        <v>304</v>
      </c>
      <c r="M1521" t="s">
        <v>305</v>
      </c>
      <c r="N1521">
        <v>1E-3</v>
      </c>
      <c r="O1521" t="str">
        <f>IF(Transactions_RAW_cleaned[[#This Row],[Status]]="Completed", IFERROR(_xlfn.XLOOKUP(Transactions_RAW_cleaned[[#This Row],[CustomerID]], Customers_cleaned[CustomerID], Customers_cleaned[Segment]), "Customer Not Found"), "N/A")</f>
        <v>SMB</v>
      </c>
      <c r="P1521" s="5" t="str">
        <f>IF(Transactions_RAW_cleaned[[#This Row],[Status]]="Refunded", "Refund",
  IF(Transactions_RAW_cleaned[[#This Row],[Category]]="Payments", IF(Transactions_RAW_cleaned[[#This Row],[Amount]]&gt;500,"High Value","Standard"),
    IF(Transactions_RAW_cleaned[[#This Row],[Amount]]&gt;250,"High Value","Standard")))</f>
        <v>Standard</v>
      </c>
      <c r="Q1521" s="5" t="str">
        <f>IF(Transactions_RAW_cleaned[[#This Row],[Amount]] &gt; (_xlfn.XLOOKUP(Transactions_RAW_cleaned[[#This Row],[ServiceID]],Services_cleaned[ServiceID],Services_cleaned[TransactionFeePct]) * 10000), "Yes", "No")</f>
        <v>Yes</v>
      </c>
      <c r="R1521" s="5" t="str">
        <f>IF(COUNTIFS($C$2:Transactions_RAW_cleaned[[#This Row],[CustomerID]],Transactions_RAW_cleaned[[#This Row],[CustomerID]],$D$2:Transactions_RAW_cleaned[[#This Row],[ServiceID]],Transactions_RAW_cleaned[[#This Row],[ServiceID]])=1,"Yes","No")</f>
        <v>Yes</v>
      </c>
      <c r="S152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21" t="str">
        <f>"Q"&amp;ROUNDUP(MONTH(Transactions_RAW_cleaned[[#This Row],[TransactionDate]])/3,0)</f>
        <v>Q4</v>
      </c>
      <c r="U1521" t="str">
        <f>Transactions_RAW_cleaned[[#This Row],[Region ]]&amp;Transactions_RAW_cleaned[[#This Row],[Quarter ]]</f>
        <v>APACQ4</v>
      </c>
      <c r="V1521" s="5">
        <f>_xlfn.XLOOKUP(Transactions_RAW_cleaned[[#This Row],[RegionQuarterKey]], Quarterly_Targets_cleaned[RegionQuarterKey], Quarterly_Targets_cleaned[TargetRevenue])</f>
        <v>126500</v>
      </c>
    </row>
    <row r="1522" spans="1:22" x14ac:dyDescent="0.25">
      <c r="A1522" t="s">
        <v>1856</v>
      </c>
      <c r="B1522" s="1">
        <v>45428</v>
      </c>
      <c r="C1522" t="s">
        <v>263</v>
      </c>
      <c r="D1522" t="s">
        <v>315</v>
      </c>
      <c r="E1522">
        <v>947.89</v>
      </c>
      <c r="F1522" t="s">
        <v>324</v>
      </c>
      <c r="G1522" t="s">
        <v>327</v>
      </c>
      <c r="H1522" t="s">
        <v>334</v>
      </c>
      <c r="I1522" t="s">
        <v>8</v>
      </c>
      <c r="J1522" t="s">
        <v>102</v>
      </c>
      <c r="K1522" t="s">
        <v>32</v>
      </c>
      <c r="L1522" t="s">
        <v>316</v>
      </c>
      <c r="M1522" t="s">
        <v>305</v>
      </c>
      <c r="N1522">
        <v>2.5000000000000001E-3</v>
      </c>
      <c r="O1522" t="str">
        <f>IF(Transactions_RAW_cleaned[[#This Row],[Status]]="Completed", IFERROR(_xlfn.XLOOKUP(Transactions_RAW_cleaned[[#This Row],[CustomerID]], Customers_cleaned[CustomerID], Customers_cleaned[Segment]), "Customer Not Found"), "N/A")</f>
        <v>SMB</v>
      </c>
      <c r="P1522" s="5" t="str">
        <f>IF(Transactions_RAW_cleaned[[#This Row],[Status]]="Refunded", "Refund",
  IF(Transactions_RAW_cleaned[[#This Row],[Category]]="Payments", IF(Transactions_RAW_cleaned[[#This Row],[Amount]]&gt;500,"High Value","Standard"),
    IF(Transactions_RAW_cleaned[[#This Row],[Amount]]&gt;250,"High Value","Standard")))</f>
        <v>High Value</v>
      </c>
      <c r="Q1522" s="5" t="str">
        <f>IF(Transactions_RAW_cleaned[[#This Row],[Amount]] &gt; (_xlfn.XLOOKUP(Transactions_RAW_cleaned[[#This Row],[ServiceID]],Services_cleaned[ServiceID],Services_cleaned[TransactionFeePct]) * 10000), "Yes", "No")</f>
        <v>Yes</v>
      </c>
      <c r="R1522" s="5" t="str">
        <f>IF(COUNTIFS($C$2:Transactions_RAW_cleaned[[#This Row],[CustomerID]],Transactions_RAW_cleaned[[#This Row],[CustomerID]],$D$2:Transactions_RAW_cleaned[[#This Row],[ServiceID]],Transactions_RAW_cleaned[[#This Row],[ServiceID]])=1,"Yes","No")</f>
        <v>Yes</v>
      </c>
      <c r="S152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22" t="str">
        <f>"Q"&amp;ROUNDUP(MONTH(Transactions_RAW_cleaned[[#This Row],[TransactionDate]])/3,0)</f>
        <v>Q2</v>
      </c>
      <c r="U1522" t="str">
        <f>Transactions_RAW_cleaned[[#This Row],[Region ]]&amp;Transactions_RAW_cleaned[[#This Row],[Quarter ]]</f>
        <v>NAQ2</v>
      </c>
      <c r="V1522" s="5">
        <f>_xlfn.XLOOKUP(Transactions_RAW_cleaned[[#This Row],[RegionQuarterKey]], Quarterly_Targets_cleaned[RegionQuarterKey], Quarterly_Targets_cleaned[TargetRevenue])</f>
        <v>260000</v>
      </c>
    </row>
    <row r="1523" spans="1:22" x14ac:dyDescent="0.25">
      <c r="A1523" t="s">
        <v>1857</v>
      </c>
      <c r="B1523" s="1">
        <v>45641</v>
      </c>
      <c r="C1523" t="s">
        <v>179</v>
      </c>
      <c r="D1523" t="s">
        <v>297</v>
      </c>
      <c r="E1523">
        <v>449.26</v>
      </c>
      <c r="F1523" t="s">
        <v>324</v>
      </c>
      <c r="G1523" t="s">
        <v>337</v>
      </c>
      <c r="H1523" t="s">
        <v>334</v>
      </c>
      <c r="I1523" t="s">
        <v>8</v>
      </c>
      <c r="J1523" t="s">
        <v>31</v>
      </c>
      <c r="K1523" t="s">
        <v>18</v>
      </c>
      <c r="L1523" t="s">
        <v>298</v>
      </c>
      <c r="M1523" t="s">
        <v>299</v>
      </c>
      <c r="N1523">
        <v>0</v>
      </c>
      <c r="O1523" t="str">
        <f>IF(Transactions_RAW_cleaned[[#This Row],[Status]]="Completed", IFERROR(_xlfn.XLOOKUP(Transactions_RAW_cleaned[[#This Row],[CustomerID]], Customers_cleaned[CustomerID], Customers_cleaned[Segment]), "Customer Not Found"), "N/A")</f>
        <v>SMB</v>
      </c>
      <c r="P1523" s="5" t="str">
        <f>IF(Transactions_RAW_cleaned[[#This Row],[Status]]="Refunded", "Refund",
  IF(Transactions_RAW_cleaned[[#This Row],[Category]]="Payments", IF(Transactions_RAW_cleaned[[#This Row],[Amount]]&gt;500,"High Value","Standard"),
    IF(Transactions_RAW_cleaned[[#This Row],[Amount]]&gt;250,"High Value","Standard")))</f>
        <v>High Value</v>
      </c>
      <c r="Q1523" s="5" t="str">
        <f>IF(Transactions_RAW_cleaned[[#This Row],[Amount]] &gt; (_xlfn.XLOOKUP(Transactions_RAW_cleaned[[#This Row],[ServiceID]],Services_cleaned[ServiceID],Services_cleaned[TransactionFeePct]) * 10000), "Yes", "No")</f>
        <v>Yes</v>
      </c>
      <c r="R1523" s="5" t="str">
        <f>IF(COUNTIFS($C$2:Transactions_RAW_cleaned[[#This Row],[CustomerID]],Transactions_RAW_cleaned[[#This Row],[CustomerID]],$D$2:Transactions_RAW_cleaned[[#This Row],[ServiceID]],Transactions_RAW_cleaned[[#This Row],[ServiceID]])=1,"Yes","No")</f>
        <v>No</v>
      </c>
      <c r="S152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23" t="str">
        <f>"Q"&amp;ROUNDUP(MONTH(Transactions_RAW_cleaned[[#This Row],[TransactionDate]])/3,0)</f>
        <v>Q4</v>
      </c>
      <c r="U1523" t="str">
        <f>Transactions_RAW_cleaned[[#This Row],[Region ]]&amp;Transactions_RAW_cleaned[[#This Row],[Quarter ]]</f>
        <v>EMEAQ4</v>
      </c>
      <c r="V1523" s="5">
        <f>_xlfn.XLOOKUP(Transactions_RAW_cleaned[[#This Row],[RegionQuarterKey]], Quarterly_Targets_cleaned[RegionQuarterKey], Quarterly_Targets_cleaned[TargetRevenue])</f>
        <v>161000</v>
      </c>
    </row>
    <row r="1524" spans="1:22" x14ac:dyDescent="0.25">
      <c r="A1524" t="s">
        <v>1858</v>
      </c>
      <c r="B1524" s="1">
        <v>45362</v>
      </c>
      <c r="C1524" t="s">
        <v>157</v>
      </c>
      <c r="D1524" t="s">
        <v>309</v>
      </c>
      <c r="E1524">
        <v>718.12</v>
      </c>
      <c r="F1524" t="s">
        <v>324</v>
      </c>
      <c r="G1524" t="s">
        <v>327</v>
      </c>
      <c r="I1524" t="s">
        <v>8</v>
      </c>
      <c r="J1524" t="s">
        <v>102</v>
      </c>
      <c r="K1524" t="s">
        <v>14</v>
      </c>
      <c r="L1524" t="s">
        <v>310</v>
      </c>
      <c r="M1524" t="s">
        <v>311</v>
      </c>
      <c r="N1524">
        <v>0</v>
      </c>
      <c r="O1524" t="str">
        <f>IF(Transactions_RAW_cleaned[[#This Row],[Status]]="Completed", IFERROR(_xlfn.XLOOKUP(Transactions_RAW_cleaned[[#This Row],[CustomerID]], Customers_cleaned[CustomerID], Customers_cleaned[Segment]), "Customer Not Found"), "N/A")</f>
        <v>SMB</v>
      </c>
      <c r="P1524" s="5" t="str">
        <f>IF(Transactions_RAW_cleaned[[#This Row],[Status]]="Refunded", "Refund",
  IF(Transactions_RAW_cleaned[[#This Row],[Category]]="Payments", IF(Transactions_RAW_cleaned[[#This Row],[Amount]]&gt;500,"High Value","Standard"),
    IF(Transactions_RAW_cleaned[[#This Row],[Amount]]&gt;250,"High Value","Standard")))</f>
        <v>High Value</v>
      </c>
      <c r="Q1524" s="5" t="str">
        <f>IF(Transactions_RAW_cleaned[[#This Row],[Amount]] &gt; (_xlfn.XLOOKUP(Transactions_RAW_cleaned[[#This Row],[ServiceID]],Services_cleaned[ServiceID],Services_cleaned[TransactionFeePct]) * 10000), "Yes", "No")</f>
        <v>Yes</v>
      </c>
      <c r="R1524" s="5" t="str">
        <f>IF(COUNTIFS($C$2:Transactions_RAW_cleaned[[#This Row],[CustomerID]],Transactions_RAW_cleaned[[#This Row],[CustomerID]],$D$2:Transactions_RAW_cleaned[[#This Row],[ServiceID]],Transactions_RAW_cleaned[[#This Row],[ServiceID]])=1,"Yes","No")</f>
        <v>No</v>
      </c>
      <c r="S152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24" t="str">
        <f>"Q"&amp;ROUNDUP(MONTH(Transactions_RAW_cleaned[[#This Row],[TransactionDate]])/3,0)</f>
        <v>Q1</v>
      </c>
      <c r="U1524" t="str">
        <f>Transactions_RAW_cleaned[[#This Row],[Region ]]&amp;Transactions_RAW_cleaned[[#This Row],[Quarter ]]</f>
        <v>NAQ1</v>
      </c>
      <c r="V1524" s="5">
        <f>_xlfn.XLOOKUP(Transactions_RAW_cleaned[[#This Row],[RegionQuarterKey]], Quarterly_Targets_cleaned[RegionQuarterKey], Quarterly_Targets_cleaned[TargetRevenue])</f>
        <v>247000</v>
      </c>
    </row>
    <row r="1525" spans="1:22" x14ac:dyDescent="0.25">
      <c r="A1525" t="s">
        <v>1859</v>
      </c>
      <c r="B1525" s="1">
        <v>45393</v>
      </c>
      <c r="C1525" t="s">
        <v>253</v>
      </c>
      <c r="D1525" t="s">
        <v>306</v>
      </c>
      <c r="E1525">
        <v>93.91</v>
      </c>
      <c r="F1525" t="s">
        <v>324</v>
      </c>
      <c r="G1525" t="s">
        <v>325</v>
      </c>
      <c r="H1525" t="s">
        <v>332</v>
      </c>
      <c r="I1525" t="s">
        <v>8</v>
      </c>
      <c r="J1525" t="s">
        <v>102</v>
      </c>
      <c r="K1525" t="s">
        <v>28</v>
      </c>
      <c r="L1525" t="s">
        <v>307</v>
      </c>
      <c r="M1525" t="s">
        <v>308</v>
      </c>
      <c r="N1525">
        <v>0</v>
      </c>
      <c r="O1525" t="str">
        <f>IF(Transactions_RAW_cleaned[[#This Row],[Status]]="Completed", IFERROR(_xlfn.XLOOKUP(Transactions_RAW_cleaned[[#This Row],[CustomerID]], Customers_cleaned[CustomerID], Customers_cleaned[Segment]), "Customer Not Found"), "N/A")</f>
        <v>SMB</v>
      </c>
      <c r="P1525" s="5" t="str">
        <f>IF(Transactions_RAW_cleaned[[#This Row],[Status]]="Refunded", "Refund",
  IF(Transactions_RAW_cleaned[[#This Row],[Category]]="Payments", IF(Transactions_RAW_cleaned[[#This Row],[Amount]]&gt;500,"High Value","Standard"),
    IF(Transactions_RAW_cleaned[[#This Row],[Amount]]&gt;250,"High Value","Standard")))</f>
        <v>Standard</v>
      </c>
      <c r="Q1525" s="5" t="str">
        <f>IF(Transactions_RAW_cleaned[[#This Row],[Amount]] &gt; (_xlfn.XLOOKUP(Transactions_RAW_cleaned[[#This Row],[ServiceID]],Services_cleaned[ServiceID],Services_cleaned[TransactionFeePct]) * 10000), "Yes", "No")</f>
        <v>Yes</v>
      </c>
      <c r="R1525" s="5" t="str">
        <f>IF(COUNTIFS($C$2:Transactions_RAW_cleaned[[#This Row],[CustomerID]],Transactions_RAW_cleaned[[#This Row],[CustomerID]],$D$2:Transactions_RAW_cleaned[[#This Row],[ServiceID]],Transactions_RAW_cleaned[[#This Row],[ServiceID]])=1,"Yes","No")</f>
        <v>No</v>
      </c>
      <c r="S152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25" t="str">
        <f>"Q"&amp;ROUNDUP(MONTH(Transactions_RAW_cleaned[[#This Row],[TransactionDate]])/3,0)</f>
        <v>Q2</v>
      </c>
      <c r="U1525" t="str">
        <f>Transactions_RAW_cleaned[[#This Row],[Region ]]&amp;Transactions_RAW_cleaned[[#This Row],[Quarter ]]</f>
        <v>NAQ2</v>
      </c>
      <c r="V1525" s="5">
        <f>_xlfn.XLOOKUP(Transactions_RAW_cleaned[[#This Row],[RegionQuarterKey]], Quarterly_Targets_cleaned[RegionQuarterKey], Quarterly_Targets_cleaned[TargetRevenue])</f>
        <v>260000</v>
      </c>
    </row>
    <row r="1526" spans="1:22" x14ac:dyDescent="0.25">
      <c r="A1526" t="s">
        <v>1860</v>
      </c>
      <c r="B1526" s="1">
        <v>45617</v>
      </c>
      <c r="C1526" t="s">
        <v>255</v>
      </c>
      <c r="D1526" t="s">
        <v>300</v>
      </c>
      <c r="E1526">
        <v>256.27</v>
      </c>
      <c r="F1526" t="s">
        <v>331</v>
      </c>
      <c r="G1526" t="s">
        <v>325</v>
      </c>
      <c r="H1526" t="s">
        <v>346</v>
      </c>
      <c r="I1526" t="s">
        <v>17</v>
      </c>
      <c r="J1526" t="s">
        <v>21</v>
      </c>
      <c r="K1526" t="s">
        <v>28</v>
      </c>
      <c r="L1526" t="s">
        <v>301</v>
      </c>
      <c r="M1526" t="s">
        <v>302</v>
      </c>
      <c r="N1526">
        <v>5.0000000000000001E-3</v>
      </c>
      <c r="O1526" t="str">
        <f>IF(Transactions_RAW_cleaned[[#This Row],[Status]]="Completed", IFERROR(_xlfn.XLOOKUP(Transactions_RAW_cleaned[[#This Row],[CustomerID]], Customers_cleaned[CustomerID], Customers_cleaned[Segment]), "Customer Not Found"), "N/A")</f>
        <v>N/A</v>
      </c>
      <c r="P1526" s="5" t="str">
        <f>IF(Transactions_RAW_cleaned[[#This Row],[Status]]="Refunded", "Refund",
  IF(Transactions_RAW_cleaned[[#This Row],[Category]]="Payments", IF(Transactions_RAW_cleaned[[#This Row],[Amount]]&gt;500,"High Value","Standard"),
    IF(Transactions_RAW_cleaned[[#This Row],[Amount]]&gt;250,"High Value","Standard")))</f>
        <v>High Value</v>
      </c>
      <c r="Q1526" s="5" t="str">
        <f>IF(Transactions_RAW_cleaned[[#This Row],[Amount]] &gt; (_xlfn.XLOOKUP(Transactions_RAW_cleaned[[#This Row],[ServiceID]],Services_cleaned[ServiceID],Services_cleaned[TransactionFeePct]) * 10000), "Yes", "No")</f>
        <v>Yes</v>
      </c>
      <c r="R1526" s="5" t="str">
        <f>IF(COUNTIFS($C$2:Transactions_RAW_cleaned[[#This Row],[CustomerID]],Transactions_RAW_cleaned[[#This Row],[CustomerID]],$D$2:Transactions_RAW_cleaned[[#This Row],[ServiceID]],Transactions_RAW_cleaned[[#This Row],[ServiceID]])=1,"Yes","No")</f>
        <v>No</v>
      </c>
      <c r="S152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26" t="str">
        <f>"Q"&amp;ROUNDUP(MONTH(Transactions_RAW_cleaned[[#This Row],[TransactionDate]])/3,0)</f>
        <v>Q4</v>
      </c>
      <c r="U1526" t="str">
        <f>Transactions_RAW_cleaned[[#This Row],[Region ]]&amp;Transactions_RAW_cleaned[[#This Row],[Quarter ]]</f>
        <v>APACQ4</v>
      </c>
      <c r="V1526" s="5">
        <f>_xlfn.XLOOKUP(Transactions_RAW_cleaned[[#This Row],[RegionQuarterKey]], Quarterly_Targets_cleaned[RegionQuarterKey], Quarterly_Targets_cleaned[TargetRevenue])</f>
        <v>126500</v>
      </c>
    </row>
    <row r="1527" spans="1:22" x14ac:dyDescent="0.25">
      <c r="A1527" t="s">
        <v>1861</v>
      </c>
      <c r="B1527" s="1">
        <v>45596</v>
      </c>
      <c r="C1527" t="s">
        <v>201</v>
      </c>
      <c r="D1527" t="s">
        <v>300</v>
      </c>
      <c r="E1527">
        <v>439.22</v>
      </c>
      <c r="F1527" t="s">
        <v>324</v>
      </c>
      <c r="G1527" t="s">
        <v>327</v>
      </c>
      <c r="H1527" t="s">
        <v>334</v>
      </c>
      <c r="I1527" t="s">
        <v>57</v>
      </c>
      <c r="J1527" t="s">
        <v>37</v>
      </c>
      <c r="K1527" t="s">
        <v>32</v>
      </c>
      <c r="L1527" t="s">
        <v>301</v>
      </c>
      <c r="M1527" t="s">
        <v>302</v>
      </c>
      <c r="N1527">
        <v>5.0000000000000001E-3</v>
      </c>
      <c r="O1527" t="str">
        <f>IF(Transactions_RAW_cleaned[[#This Row],[Status]]="Completed", IFERROR(_xlfn.XLOOKUP(Transactions_RAW_cleaned[[#This Row],[CustomerID]], Customers_cleaned[CustomerID], Customers_cleaned[Segment]), "Customer Not Found"), "N/A")</f>
        <v>Startup</v>
      </c>
      <c r="P1527" s="5" t="str">
        <f>IF(Transactions_RAW_cleaned[[#This Row],[Status]]="Refunded", "Refund",
  IF(Transactions_RAW_cleaned[[#This Row],[Category]]="Payments", IF(Transactions_RAW_cleaned[[#This Row],[Amount]]&gt;500,"High Value","Standard"),
    IF(Transactions_RAW_cleaned[[#This Row],[Amount]]&gt;250,"High Value","Standard")))</f>
        <v>High Value</v>
      </c>
      <c r="Q1527" s="5" t="str">
        <f>IF(Transactions_RAW_cleaned[[#This Row],[Amount]] &gt; (_xlfn.XLOOKUP(Transactions_RAW_cleaned[[#This Row],[ServiceID]],Services_cleaned[ServiceID],Services_cleaned[TransactionFeePct]) * 10000), "Yes", "No")</f>
        <v>Yes</v>
      </c>
      <c r="R1527" s="5" t="str">
        <f>IF(COUNTIFS($C$2:Transactions_RAW_cleaned[[#This Row],[CustomerID]],Transactions_RAW_cleaned[[#This Row],[CustomerID]],$D$2:Transactions_RAW_cleaned[[#This Row],[ServiceID]],Transactions_RAW_cleaned[[#This Row],[ServiceID]])=1,"Yes","No")</f>
        <v>No</v>
      </c>
      <c r="S152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27" t="str">
        <f>"Q"&amp;ROUNDUP(MONTH(Transactions_RAW_cleaned[[#This Row],[TransactionDate]])/3,0)</f>
        <v>Q4</v>
      </c>
      <c r="U1527" t="str">
        <f>Transactions_RAW_cleaned[[#This Row],[Region ]]&amp;Transactions_RAW_cleaned[[#This Row],[Quarter ]]</f>
        <v>EMEAQ4</v>
      </c>
      <c r="V1527" s="5">
        <f>_xlfn.XLOOKUP(Transactions_RAW_cleaned[[#This Row],[RegionQuarterKey]], Quarterly_Targets_cleaned[RegionQuarterKey], Quarterly_Targets_cleaned[TargetRevenue])</f>
        <v>161000</v>
      </c>
    </row>
    <row r="1528" spans="1:22" x14ac:dyDescent="0.25">
      <c r="A1528" t="s">
        <v>1862</v>
      </c>
      <c r="B1528" s="1">
        <v>45474</v>
      </c>
      <c r="C1528" t="s">
        <v>245</v>
      </c>
      <c r="D1528" t="s">
        <v>306</v>
      </c>
      <c r="E1528">
        <v>223.69</v>
      </c>
      <c r="F1528" t="s">
        <v>324</v>
      </c>
      <c r="G1528" t="s">
        <v>325</v>
      </c>
      <c r="H1528" t="s">
        <v>332</v>
      </c>
      <c r="I1528" t="s">
        <v>8</v>
      </c>
      <c r="J1528" t="s">
        <v>31</v>
      </c>
      <c r="K1528" t="s">
        <v>14</v>
      </c>
      <c r="L1528" t="s">
        <v>307</v>
      </c>
      <c r="M1528" t="s">
        <v>308</v>
      </c>
      <c r="N1528">
        <v>0</v>
      </c>
      <c r="O1528" t="str">
        <f>IF(Transactions_RAW_cleaned[[#This Row],[Status]]="Completed", IFERROR(_xlfn.XLOOKUP(Transactions_RAW_cleaned[[#This Row],[CustomerID]], Customers_cleaned[CustomerID], Customers_cleaned[Segment]), "Customer Not Found"), "N/A")</f>
        <v>SMB</v>
      </c>
      <c r="P1528" s="5" t="str">
        <f>IF(Transactions_RAW_cleaned[[#This Row],[Status]]="Refunded", "Refund",
  IF(Transactions_RAW_cleaned[[#This Row],[Category]]="Payments", IF(Transactions_RAW_cleaned[[#This Row],[Amount]]&gt;500,"High Value","Standard"),
    IF(Transactions_RAW_cleaned[[#This Row],[Amount]]&gt;250,"High Value","Standard")))</f>
        <v>Standard</v>
      </c>
      <c r="Q1528" s="5" t="str">
        <f>IF(Transactions_RAW_cleaned[[#This Row],[Amount]] &gt; (_xlfn.XLOOKUP(Transactions_RAW_cleaned[[#This Row],[ServiceID]],Services_cleaned[ServiceID],Services_cleaned[TransactionFeePct]) * 10000), "Yes", "No")</f>
        <v>Yes</v>
      </c>
      <c r="R1528" s="5" t="str">
        <f>IF(COUNTIFS($C$2:Transactions_RAW_cleaned[[#This Row],[CustomerID]],Transactions_RAW_cleaned[[#This Row],[CustomerID]],$D$2:Transactions_RAW_cleaned[[#This Row],[ServiceID]],Transactions_RAW_cleaned[[#This Row],[ServiceID]])=1,"Yes","No")</f>
        <v>No</v>
      </c>
      <c r="S152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28" t="str">
        <f>"Q"&amp;ROUNDUP(MONTH(Transactions_RAW_cleaned[[#This Row],[TransactionDate]])/3,0)</f>
        <v>Q3</v>
      </c>
      <c r="U1528" t="str">
        <f>Transactions_RAW_cleaned[[#This Row],[Region ]]&amp;Transactions_RAW_cleaned[[#This Row],[Quarter ]]</f>
        <v>EMEAQ3</v>
      </c>
      <c r="V1528" s="5">
        <f>_xlfn.XLOOKUP(Transactions_RAW_cleaned[[#This Row],[RegionQuarterKey]], Quarterly_Targets_cleaned[RegionQuarterKey], Quarterly_Targets_cleaned[TargetRevenue])</f>
        <v>147000</v>
      </c>
    </row>
    <row r="1529" spans="1:22" x14ac:dyDescent="0.25">
      <c r="A1529" t="s">
        <v>1863</v>
      </c>
      <c r="B1529" s="1">
        <v>45585</v>
      </c>
      <c r="C1529" t="s">
        <v>165</v>
      </c>
      <c r="D1529" t="s">
        <v>306</v>
      </c>
      <c r="E1529">
        <v>699.56</v>
      </c>
      <c r="F1529" t="s">
        <v>324</v>
      </c>
      <c r="G1529" t="s">
        <v>327</v>
      </c>
      <c r="I1529" t="s">
        <v>8</v>
      </c>
      <c r="J1529" t="s">
        <v>31</v>
      </c>
      <c r="K1529" t="s">
        <v>32</v>
      </c>
      <c r="L1529" t="s">
        <v>307</v>
      </c>
      <c r="M1529" t="s">
        <v>308</v>
      </c>
      <c r="N1529">
        <v>0</v>
      </c>
      <c r="O1529" t="str">
        <f>IF(Transactions_RAW_cleaned[[#This Row],[Status]]="Completed", IFERROR(_xlfn.XLOOKUP(Transactions_RAW_cleaned[[#This Row],[CustomerID]], Customers_cleaned[CustomerID], Customers_cleaned[Segment]), "Customer Not Found"), "N/A")</f>
        <v>SMB</v>
      </c>
      <c r="P1529" s="5" t="str">
        <f>IF(Transactions_RAW_cleaned[[#This Row],[Status]]="Refunded", "Refund",
  IF(Transactions_RAW_cleaned[[#This Row],[Category]]="Payments", IF(Transactions_RAW_cleaned[[#This Row],[Amount]]&gt;500,"High Value","Standard"),
    IF(Transactions_RAW_cleaned[[#This Row],[Amount]]&gt;250,"High Value","Standard")))</f>
        <v>High Value</v>
      </c>
      <c r="Q1529" s="5" t="str">
        <f>IF(Transactions_RAW_cleaned[[#This Row],[Amount]] &gt; (_xlfn.XLOOKUP(Transactions_RAW_cleaned[[#This Row],[ServiceID]],Services_cleaned[ServiceID],Services_cleaned[TransactionFeePct]) * 10000), "Yes", "No")</f>
        <v>Yes</v>
      </c>
      <c r="R1529" s="5" t="str">
        <f>IF(COUNTIFS($C$2:Transactions_RAW_cleaned[[#This Row],[CustomerID]],Transactions_RAW_cleaned[[#This Row],[CustomerID]],$D$2:Transactions_RAW_cleaned[[#This Row],[ServiceID]],Transactions_RAW_cleaned[[#This Row],[ServiceID]])=1,"Yes","No")</f>
        <v>No</v>
      </c>
      <c r="S152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29" t="str">
        <f>"Q"&amp;ROUNDUP(MONTH(Transactions_RAW_cleaned[[#This Row],[TransactionDate]])/3,0)</f>
        <v>Q4</v>
      </c>
      <c r="U1529" t="str">
        <f>Transactions_RAW_cleaned[[#This Row],[Region ]]&amp;Transactions_RAW_cleaned[[#This Row],[Quarter ]]</f>
        <v>EMEAQ4</v>
      </c>
      <c r="V1529" s="5">
        <f>_xlfn.XLOOKUP(Transactions_RAW_cleaned[[#This Row],[RegionQuarterKey]], Quarterly_Targets_cleaned[RegionQuarterKey], Quarterly_Targets_cleaned[TargetRevenue])</f>
        <v>161000</v>
      </c>
    </row>
    <row r="1530" spans="1:22" x14ac:dyDescent="0.25">
      <c r="A1530" t="s">
        <v>1864</v>
      </c>
      <c r="B1530" s="1">
        <v>45321</v>
      </c>
      <c r="C1530" t="s">
        <v>6</v>
      </c>
      <c r="D1530" t="s">
        <v>306</v>
      </c>
      <c r="E1530">
        <v>184.77</v>
      </c>
      <c r="F1530" t="s">
        <v>324</v>
      </c>
      <c r="G1530" t="s">
        <v>325</v>
      </c>
      <c r="H1530" t="s">
        <v>346</v>
      </c>
      <c r="I1530" t="s">
        <v>8</v>
      </c>
      <c r="J1530" t="s">
        <v>102</v>
      </c>
      <c r="K1530" t="s">
        <v>10</v>
      </c>
      <c r="L1530" t="s">
        <v>307</v>
      </c>
      <c r="M1530" t="s">
        <v>308</v>
      </c>
      <c r="N1530">
        <v>0</v>
      </c>
      <c r="O1530" t="str">
        <f>IF(Transactions_RAW_cleaned[[#This Row],[Status]]="Completed", IFERROR(_xlfn.XLOOKUP(Transactions_RAW_cleaned[[#This Row],[CustomerID]], Customers_cleaned[CustomerID], Customers_cleaned[Segment]), "Customer Not Found"), "N/A")</f>
        <v>SMB</v>
      </c>
      <c r="P1530" s="5" t="str">
        <f>IF(Transactions_RAW_cleaned[[#This Row],[Status]]="Refunded", "Refund",
  IF(Transactions_RAW_cleaned[[#This Row],[Category]]="Payments", IF(Transactions_RAW_cleaned[[#This Row],[Amount]]&gt;500,"High Value","Standard"),
    IF(Transactions_RAW_cleaned[[#This Row],[Amount]]&gt;250,"High Value","Standard")))</f>
        <v>Standard</v>
      </c>
      <c r="Q1530" s="5" t="str">
        <f>IF(Transactions_RAW_cleaned[[#This Row],[Amount]] &gt; (_xlfn.XLOOKUP(Transactions_RAW_cleaned[[#This Row],[ServiceID]],Services_cleaned[ServiceID],Services_cleaned[TransactionFeePct]) * 10000), "Yes", "No")</f>
        <v>Yes</v>
      </c>
      <c r="R1530" s="5" t="str">
        <f>IF(COUNTIFS($C$2:Transactions_RAW_cleaned[[#This Row],[CustomerID]],Transactions_RAW_cleaned[[#This Row],[CustomerID]],$D$2:Transactions_RAW_cleaned[[#This Row],[ServiceID]],Transactions_RAW_cleaned[[#This Row],[ServiceID]])=1,"Yes","No")</f>
        <v>Yes</v>
      </c>
      <c r="S153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30" t="str">
        <f>"Q"&amp;ROUNDUP(MONTH(Transactions_RAW_cleaned[[#This Row],[TransactionDate]])/3,0)</f>
        <v>Q1</v>
      </c>
      <c r="U1530" t="str">
        <f>Transactions_RAW_cleaned[[#This Row],[Region ]]&amp;Transactions_RAW_cleaned[[#This Row],[Quarter ]]</f>
        <v>NAQ1</v>
      </c>
      <c r="V1530" s="5">
        <f>_xlfn.XLOOKUP(Transactions_RAW_cleaned[[#This Row],[RegionQuarterKey]], Quarterly_Targets_cleaned[RegionQuarterKey], Quarterly_Targets_cleaned[TargetRevenue])</f>
        <v>247000</v>
      </c>
    </row>
    <row r="1531" spans="1:22" x14ac:dyDescent="0.25">
      <c r="A1531" t="s">
        <v>1865</v>
      </c>
      <c r="B1531" s="1">
        <v>45571</v>
      </c>
      <c r="C1531" t="s">
        <v>153</v>
      </c>
      <c r="D1531" t="s">
        <v>294</v>
      </c>
      <c r="E1531">
        <v>802.28</v>
      </c>
      <c r="F1531" t="s">
        <v>381</v>
      </c>
      <c r="G1531" t="s">
        <v>327</v>
      </c>
      <c r="H1531" t="s">
        <v>346</v>
      </c>
      <c r="I1531" t="s">
        <v>8</v>
      </c>
      <c r="J1531" t="s">
        <v>37</v>
      </c>
      <c r="K1531" t="s">
        <v>32</v>
      </c>
      <c r="L1531" t="s">
        <v>295</v>
      </c>
      <c r="M1531" t="s">
        <v>296</v>
      </c>
      <c r="N1531">
        <v>2.9000000000000001E-2</v>
      </c>
      <c r="O1531" t="str">
        <f>IF(Transactions_RAW_cleaned[[#This Row],[Status]]="Completed", IFERROR(_xlfn.XLOOKUP(Transactions_RAW_cleaned[[#This Row],[CustomerID]], Customers_cleaned[CustomerID], Customers_cleaned[Segment]), "Customer Not Found"), "N/A")</f>
        <v>N/A</v>
      </c>
      <c r="P1531" s="5" t="str">
        <f>IF(Transactions_RAW_cleaned[[#This Row],[Status]]="Refunded", "Refund",
  IF(Transactions_RAW_cleaned[[#This Row],[Category]]="Payments", IF(Transactions_RAW_cleaned[[#This Row],[Amount]]&gt;500,"High Value","Standard"),
    IF(Transactions_RAW_cleaned[[#This Row],[Amount]]&gt;250,"High Value","Standard")))</f>
        <v>High Value</v>
      </c>
      <c r="Q1531" s="5" t="str">
        <f>IF(Transactions_RAW_cleaned[[#This Row],[Amount]] &gt; (_xlfn.XLOOKUP(Transactions_RAW_cleaned[[#This Row],[ServiceID]],Services_cleaned[ServiceID],Services_cleaned[TransactionFeePct]) * 10000), "Yes", "No")</f>
        <v>Yes</v>
      </c>
      <c r="R1531" s="5" t="str">
        <f>IF(COUNTIFS($C$2:Transactions_RAW_cleaned[[#This Row],[CustomerID]],Transactions_RAW_cleaned[[#This Row],[CustomerID]],$D$2:Transactions_RAW_cleaned[[#This Row],[ServiceID]],Transactions_RAW_cleaned[[#This Row],[ServiceID]])=1,"Yes","No")</f>
        <v>No</v>
      </c>
      <c r="S153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31" t="str">
        <f>"Q"&amp;ROUNDUP(MONTH(Transactions_RAW_cleaned[[#This Row],[TransactionDate]])/3,0)</f>
        <v>Q4</v>
      </c>
      <c r="U1531" t="str">
        <f>Transactions_RAW_cleaned[[#This Row],[Region ]]&amp;Transactions_RAW_cleaned[[#This Row],[Quarter ]]</f>
        <v>EMEAQ4</v>
      </c>
      <c r="V1531" s="5">
        <f>_xlfn.XLOOKUP(Transactions_RAW_cleaned[[#This Row],[RegionQuarterKey]], Quarterly_Targets_cleaned[RegionQuarterKey], Quarterly_Targets_cleaned[TargetRevenue])</f>
        <v>161000</v>
      </c>
    </row>
    <row r="1532" spans="1:22" x14ac:dyDescent="0.25">
      <c r="A1532" t="s">
        <v>1866</v>
      </c>
      <c r="B1532" s="1">
        <v>45300</v>
      </c>
      <c r="C1532" t="s">
        <v>35</v>
      </c>
      <c r="D1532" t="s">
        <v>300</v>
      </c>
      <c r="E1532">
        <v>587.41999999999996</v>
      </c>
      <c r="F1532" t="s">
        <v>324</v>
      </c>
      <c r="G1532" t="s">
        <v>325</v>
      </c>
      <c r="I1532" t="s">
        <v>8</v>
      </c>
      <c r="J1532" t="s">
        <v>37</v>
      </c>
      <c r="K1532" t="s">
        <v>28</v>
      </c>
      <c r="L1532" t="s">
        <v>301</v>
      </c>
      <c r="M1532" t="s">
        <v>302</v>
      </c>
      <c r="N1532">
        <v>5.0000000000000001E-3</v>
      </c>
      <c r="O1532" t="str">
        <f>IF(Transactions_RAW_cleaned[[#This Row],[Status]]="Completed", IFERROR(_xlfn.XLOOKUP(Transactions_RAW_cleaned[[#This Row],[CustomerID]], Customers_cleaned[CustomerID], Customers_cleaned[Segment]), "Customer Not Found"), "N/A")</f>
        <v>SMB</v>
      </c>
      <c r="P1532" s="5" t="str">
        <f>IF(Transactions_RAW_cleaned[[#This Row],[Status]]="Refunded", "Refund",
  IF(Transactions_RAW_cleaned[[#This Row],[Category]]="Payments", IF(Transactions_RAW_cleaned[[#This Row],[Amount]]&gt;500,"High Value","Standard"),
    IF(Transactions_RAW_cleaned[[#This Row],[Amount]]&gt;250,"High Value","Standard")))</f>
        <v>High Value</v>
      </c>
      <c r="Q1532" s="5" t="str">
        <f>IF(Transactions_RAW_cleaned[[#This Row],[Amount]] &gt; (_xlfn.XLOOKUP(Transactions_RAW_cleaned[[#This Row],[ServiceID]],Services_cleaned[ServiceID],Services_cleaned[TransactionFeePct]) * 10000), "Yes", "No")</f>
        <v>Yes</v>
      </c>
      <c r="R1532" s="5" t="str">
        <f>IF(COUNTIFS($C$2:Transactions_RAW_cleaned[[#This Row],[CustomerID]],Transactions_RAW_cleaned[[#This Row],[CustomerID]],$D$2:Transactions_RAW_cleaned[[#This Row],[ServiceID]],Transactions_RAW_cleaned[[#This Row],[ServiceID]])=1,"Yes","No")</f>
        <v>No</v>
      </c>
      <c r="S153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32" t="str">
        <f>"Q"&amp;ROUNDUP(MONTH(Transactions_RAW_cleaned[[#This Row],[TransactionDate]])/3,0)</f>
        <v>Q1</v>
      </c>
      <c r="U1532" t="str">
        <f>Transactions_RAW_cleaned[[#This Row],[Region ]]&amp;Transactions_RAW_cleaned[[#This Row],[Quarter ]]</f>
        <v>EMEAQ1</v>
      </c>
      <c r="V1532" s="5">
        <f>_xlfn.XLOOKUP(Transactions_RAW_cleaned[[#This Row],[RegionQuarterKey]], Quarterly_Targets_cleaned[RegionQuarterKey], Quarterly_Targets_cleaned[TargetRevenue])</f>
        <v>133000</v>
      </c>
    </row>
    <row r="1533" spans="1:22" x14ac:dyDescent="0.25">
      <c r="A1533" t="s">
        <v>1867</v>
      </c>
      <c r="B1533" s="1">
        <v>45372</v>
      </c>
      <c r="C1533" t="s">
        <v>253</v>
      </c>
      <c r="D1533" t="s">
        <v>294</v>
      </c>
      <c r="E1533">
        <v>487.74</v>
      </c>
      <c r="F1533" t="s">
        <v>324</v>
      </c>
      <c r="G1533" t="s">
        <v>2963</v>
      </c>
      <c r="I1533" t="s">
        <v>8</v>
      </c>
      <c r="J1533" t="s">
        <v>102</v>
      </c>
      <c r="K1533" t="s">
        <v>28</v>
      </c>
      <c r="L1533" t="s">
        <v>295</v>
      </c>
      <c r="M1533" t="s">
        <v>296</v>
      </c>
      <c r="N1533">
        <v>2.9000000000000001E-2</v>
      </c>
      <c r="O1533" t="str">
        <f>IF(Transactions_RAW_cleaned[[#This Row],[Status]]="Completed", IFERROR(_xlfn.XLOOKUP(Transactions_RAW_cleaned[[#This Row],[CustomerID]], Customers_cleaned[CustomerID], Customers_cleaned[Segment]), "Customer Not Found"), "N/A")</f>
        <v>SMB</v>
      </c>
      <c r="P1533" s="5" t="str">
        <f>IF(Transactions_RAW_cleaned[[#This Row],[Status]]="Refunded", "Refund",
  IF(Transactions_RAW_cleaned[[#This Row],[Category]]="Payments", IF(Transactions_RAW_cleaned[[#This Row],[Amount]]&gt;500,"High Value","Standard"),
    IF(Transactions_RAW_cleaned[[#This Row],[Amount]]&gt;250,"High Value","Standard")))</f>
        <v>Standard</v>
      </c>
      <c r="Q1533" s="5" t="str">
        <f>IF(Transactions_RAW_cleaned[[#This Row],[Amount]] &gt; (_xlfn.XLOOKUP(Transactions_RAW_cleaned[[#This Row],[ServiceID]],Services_cleaned[ServiceID],Services_cleaned[TransactionFeePct]) * 10000), "Yes", "No")</f>
        <v>Yes</v>
      </c>
      <c r="R1533" s="5" t="str">
        <f>IF(COUNTIFS($C$2:Transactions_RAW_cleaned[[#This Row],[CustomerID]],Transactions_RAW_cleaned[[#This Row],[CustomerID]],$D$2:Transactions_RAW_cleaned[[#This Row],[ServiceID]],Transactions_RAW_cleaned[[#This Row],[ServiceID]])=1,"Yes","No")</f>
        <v>No</v>
      </c>
      <c r="S153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33" t="str">
        <f>"Q"&amp;ROUNDUP(MONTH(Transactions_RAW_cleaned[[#This Row],[TransactionDate]])/3,0)</f>
        <v>Q1</v>
      </c>
      <c r="U1533" t="str">
        <f>Transactions_RAW_cleaned[[#This Row],[Region ]]&amp;Transactions_RAW_cleaned[[#This Row],[Quarter ]]</f>
        <v>NAQ1</v>
      </c>
      <c r="V1533" s="5">
        <f>_xlfn.XLOOKUP(Transactions_RAW_cleaned[[#This Row],[RegionQuarterKey]], Quarterly_Targets_cleaned[RegionQuarterKey], Quarterly_Targets_cleaned[TargetRevenue])</f>
        <v>247000</v>
      </c>
    </row>
    <row r="1534" spans="1:22" x14ac:dyDescent="0.25">
      <c r="A1534" t="s">
        <v>1868</v>
      </c>
      <c r="B1534" s="1">
        <v>45305</v>
      </c>
      <c r="C1534" t="s">
        <v>219</v>
      </c>
      <c r="D1534" t="s">
        <v>297</v>
      </c>
      <c r="E1534">
        <v>-610.95000000000005</v>
      </c>
      <c r="F1534" t="s">
        <v>349</v>
      </c>
      <c r="G1534" t="s">
        <v>325</v>
      </c>
      <c r="H1534" t="s">
        <v>346</v>
      </c>
      <c r="I1534" t="s">
        <v>17</v>
      </c>
      <c r="J1534" t="s">
        <v>31</v>
      </c>
      <c r="K1534" t="s">
        <v>32</v>
      </c>
      <c r="L1534" t="s">
        <v>298</v>
      </c>
      <c r="M1534" t="s">
        <v>299</v>
      </c>
      <c r="N1534">
        <v>0</v>
      </c>
      <c r="O1534" t="str">
        <f>IF(Transactions_RAW_cleaned[[#This Row],[Status]]="Completed", IFERROR(_xlfn.XLOOKUP(Transactions_RAW_cleaned[[#This Row],[CustomerID]], Customers_cleaned[CustomerID], Customers_cleaned[Segment]), "Customer Not Found"), "N/A")</f>
        <v>N/A</v>
      </c>
      <c r="P1534" s="5" t="str">
        <f>IF(Transactions_RAW_cleaned[[#This Row],[Status]]="Refunded", "Refund",
  IF(Transactions_RAW_cleaned[[#This Row],[Category]]="Payments", IF(Transactions_RAW_cleaned[[#This Row],[Amount]]&gt;500,"High Value","Standard"),
    IF(Transactions_RAW_cleaned[[#This Row],[Amount]]&gt;250,"High Value","Standard")))</f>
        <v>Refund</v>
      </c>
      <c r="Q1534" s="5" t="str">
        <f>IF(Transactions_RAW_cleaned[[#This Row],[Amount]] &gt; (_xlfn.XLOOKUP(Transactions_RAW_cleaned[[#This Row],[ServiceID]],Services_cleaned[ServiceID],Services_cleaned[TransactionFeePct]) * 10000), "Yes", "No")</f>
        <v>No</v>
      </c>
      <c r="R1534" s="5" t="str">
        <f>IF(COUNTIFS($C$2:Transactions_RAW_cleaned[[#This Row],[CustomerID]],Transactions_RAW_cleaned[[#This Row],[CustomerID]],$D$2:Transactions_RAW_cleaned[[#This Row],[ServiceID]],Transactions_RAW_cleaned[[#This Row],[ServiceID]])=1,"Yes","No")</f>
        <v>Yes</v>
      </c>
      <c r="S153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34" t="str">
        <f>"Q"&amp;ROUNDUP(MONTH(Transactions_RAW_cleaned[[#This Row],[TransactionDate]])/3,0)</f>
        <v>Q1</v>
      </c>
      <c r="U1534" t="str">
        <f>Transactions_RAW_cleaned[[#This Row],[Region ]]&amp;Transactions_RAW_cleaned[[#This Row],[Quarter ]]</f>
        <v>EMEAQ1</v>
      </c>
      <c r="V1534" s="5">
        <f>_xlfn.XLOOKUP(Transactions_RAW_cleaned[[#This Row],[RegionQuarterKey]], Quarterly_Targets_cleaned[RegionQuarterKey], Quarterly_Targets_cleaned[TargetRevenue])</f>
        <v>133000</v>
      </c>
    </row>
    <row r="1535" spans="1:22" x14ac:dyDescent="0.25">
      <c r="A1535" t="s">
        <v>1869</v>
      </c>
      <c r="B1535" s="1">
        <v>45408</v>
      </c>
      <c r="C1535" t="s">
        <v>185</v>
      </c>
      <c r="D1535" t="s">
        <v>306</v>
      </c>
      <c r="E1535">
        <v>530.02</v>
      </c>
      <c r="F1535" t="s">
        <v>381</v>
      </c>
      <c r="G1535" t="s">
        <v>327</v>
      </c>
      <c r="H1535" t="s">
        <v>346</v>
      </c>
      <c r="I1535" t="s">
        <v>17</v>
      </c>
      <c r="J1535" t="s">
        <v>13</v>
      </c>
      <c r="K1535" t="s">
        <v>32</v>
      </c>
      <c r="L1535" t="s">
        <v>307</v>
      </c>
      <c r="M1535" t="s">
        <v>308</v>
      </c>
      <c r="N1535">
        <v>0</v>
      </c>
      <c r="O1535" t="str">
        <f>IF(Transactions_RAW_cleaned[[#This Row],[Status]]="Completed", IFERROR(_xlfn.XLOOKUP(Transactions_RAW_cleaned[[#This Row],[CustomerID]], Customers_cleaned[CustomerID], Customers_cleaned[Segment]), "Customer Not Found"), "N/A")</f>
        <v>N/A</v>
      </c>
      <c r="P1535" s="5" t="str">
        <f>IF(Transactions_RAW_cleaned[[#This Row],[Status]]="Refunded", "Refund",
  IF(Transactions_RAW_cleaned[[#This Row],[Category]]="Payments", IF(Transactions_RAW_cleaned[[#This Row],[Amount]]&gt;500,"High Value","Standard"),
    IF(Transactions_RAW_cleaned[[#This Row],[Amount]]&gt;250,"High Value","Standard")))</f>
        <v>High Value</v>
      </c>
      <c r="Q1535" s="5" t="str">
        <f>IF(Transactions_RAW_cleaned[[#This Row],[Amount]] &gt; (_xlfn.XLOOKUP(Transactions_RAW_cleaned[[#This Row],[ServiceID]],Services_cleaned[ServiceID],Services_cleaned[TransactionFeePct]) * 10000), "Yes", "No")</f>
        <v>Yes</v>
      </c>
      <c r="R1535" s="5" t="str">
        <f>IF(COUNTIFS($C$2:Transactions_RAW_cleaned[[#This Row],[CustomerID]],Transactions_RAW_cleaned[[#This Row],[CustomerID]],$D$2:Transactions_RAW_cleaned[[#This Row],[ServiceID]],Transactions_RAW_cleaned[[#This Row],[ServiceID]])=1,"Yes","No")</f>
        <v>No</v>
      </c>
      <c r="S153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35" t="str">
        <f>"Q"&amp;ROUNDUP(MONTH(Transactions_RAW_cleaned[[#This Row],[TransactionDate]])/3,0)</f>
        <v>Q2</v>
      </c>
      <c r="U1535" t="str">
        <f>Transactions_RAW_cleaned[[#This Row],[Region ]]&amp;Transactions_RAW_cleaned[[#This Row],[Quarter ]]</f>
        <v>NAQ2</v>
      </c>
      <c r="V1535" s="5">
        <f>_xlfn.XLOOKUP(Transactions_RAW_cleaned[[#This Row],[RegionQuarterKey]], Quarterly_Targets_cleaned[RegionQuarterKey], Quarterly_Targets_cleaned[TargetRevenue])</f>
        <v>260000</v>
      </c>
    </row>
    <row r="1536" spans="1:22" x14ac:dyDescent="0.25">
      <c r="A1536" t="s">
        <v>1870</v>
      </c>
      <c r="B1536" s="1">
        <v>45456</v>
      </c>
      <c r="C1536" t="s">
        <v>157</v>
      </c>
      <c r="D1536" t="s">
        <v>300</v>
      </c>
      <c r="E1536">
        <v>521.54</v>
      </c>
      <c r="F1536" t="s">
        <v>324</v>
      </c>
      <c r="G1536" t="s">
        <v>327</v>
      </c>
      <c r="I1536" t="s">
        <v>8</v>
      </c>
      <c r="J1536" t="s">
        <v>102</v>
      </c>
      <c r="K1536" t="s">
        <v>14</v>
      </c>
      <c r="L1536" t="s">
        <v>301</v>
      </c>
      <c r="M1536" t="s">
        <v>302</v>
      </c>
      <c r="N1536">
        <v>5.0000000000000001E-3</v>
      </c>
      <c r="O1536" t="str">
        <f>IF(Transactions_RAW_cleaned[[#This Row],[Status]]="Completed", IFERROR(_xlfn.XLOOKUP(Transactions_RAW_cleaned[[#This Row],[CustomerID]], Customers_cleaned[CustomerID], Customers_cleaned[Segment]), "Customer Not Found"), "N/A")</f>
        <v>SMB</v>
      </c>
      <c r="P1536" s="5" t="str">
        <f>IF(Transactions_RAW_cleaned[[#This Row],[Status]]="Refunded", "Refund",
  IF(Transactions_RAW_cleaned[[#This Row],[Category]]="Payments", IF(Transactions_RAW_cleaned[[#This Row],[Amount]]&gt;500,"High Value","Standard"),
    IF(Transactions_RAW_cleaned[[#This Row],[Amount]]&gt;250,"High Value","Standard")))</f>
        <v>High Value</v>
      </c>
      <c r="Q1536" s="5" t="str">
        <f>IF(Transactions_RAW_cleaned[[#This Row],[Amount]] &gt; (_xlfn.XLOOKUP(Transactions_RAW_cleaned[[#This Row],[ServiceID]],Services_cleaned[ServiceID],Services_cleaned[TransactionFeePct]) * 10000), "Yes", "No")</f>
        <v>Yes</v>
      </c>
      <c r="R1536" s="5" t="str">
        <f>IF(COUNTIFS($C$2:Transactions_RAW_cleaned[[#This Row],[CustomerID]],Transactions_RAW_cleaned[[#This Row],[CustomerID]],$D$2:Transactions_RAW_cleaned[[#This Row],[ServiceID]],Transactions_RAW_cleaned[[#This Row],[ServiceID]])=1,"Yes","No")</f>
        <v>No</v>
      </c>
      <c r="S153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36" t="str">
        <f>"Q"&amp;ROUNDUP(MONTH(Transactions_RAW_cleaned[[#This Row],[TransactionDate]])/3,0)</f>
        <v>Q2</v>
      </c>
      <c r="U1536" t="str">
        <f>Transactions_RAW_cleaned[[#This Row],[Region ]]&amp;Transactions_RAW_cleaned[[#This Row],[Quarter ]]</f>
        <v>NAQ2</v>
      </c>
      <c r="V1536" s="5">
        <f>_xlfn.XLOOKUP(Transactions_RAW_cleaned[[#This Row],[RegionQuarterKey]], Quarterly_Targets_cleaned[RegionQuarterKey], Quarterly_Targets_cleaned[TargetRevenue])</f>
        <v>260000</v>
      </c>
    </row>
    <row r="1537" spans="1:22" x14ac:dyDescent="0.25">
      <c r="A1537" t="s">
        <v>1871</v>
      </c>
      <c r="B1537" s="1">
        <v>45533</v>
      </c>
      <c r="C1537" t="s">
        <v>229</v>
      </c>
      <c r="D1537" t="s">
        <v>297</v>
      </c>
      <c r="E1537">
        <v>481.59</v>
      </c>
      <c r="F1537" t="s">
        <v>381</v>
      </c>
      <c r="G1537" t="s">
        <v>337</v>
      </c>
      <c r="I1537" t="s">
        <v>17</v>
      </c>
      <c r="J1537" t="s">
        <v>102</v>
      </c>
      <c r="K1537" t="s">
        <v>18</v>
      </c>
      <c r="L1537" t="s">
        <v>298</v>
      </c>
      <c r="M1537" t="s">
        <v>299</v>
      </c>
      <c r="N1537">
        <v>0</v>
      </c>
      <c r="O1537" t="str">
        <f>IF(Transactions_RAW_cleaned[[#This Row],[Status]]="Completed", IFERROR(_xlfn.XLOOKUP(Transactions_RAW_cleaned[[#This Row],[CustomerID]], Customers_cleaned[CustomerID], Customers_cleaned[Segment]), "Customer Not Found"), "N/A")</f>
        <v>N/A</v>
      </c>
      <c r="P1537" s="5" t="str">
        <f>IF(Transactions_RAW_cleaned[[#This Row],[Status]]="Refunded", "Refund",
  IF(Transactions_RAW_cleaned[[#This Row],[Category]]="Payments", IF(Transactions_RAW_cleaned[[#This Row],[Amount]]&gt;500,"High Value","Standard"),
    IF(Transactions_RAW_cleaned[[#This Row],[Amount]]&gt;250,"High Value","Standard")))</f>
        <v>High Value</v>
      </c>
      <c r="Q1537" s="5" t="str">
        <f>IF(Transactions_RAW_cleaned[[#This Row],[Amount]] &gt; (_xlfn.XLOOKUP(Transactions_RAW_cleaned[[#This Row],[ServiceID]],Services_cleaned[ServiceID],Services_cleaned[TransactionFeePct]) * 10000), "Yes", "No")</f>
        <v>Yes</v>
      </c>
      <c r="R1537" s="5" t="str">
        <f>IF(COUNTIFS($C$2:Transactions_RAW_cleaned[[#This Row],[CustomerID]],Transactions_RAW_cleaned[[#This Row],[CustomerID]],$D$2:Transactions_RAW_cleaned[[#This Row],[ServiceID]],Transactions_RAW_cleaned[[#This Row],[ServiceID]])=1,"Yes","No")</f>
        <v>No</v>
      </c>
      <c r="S153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37" t="str">
        <f>"Q"&amp;ROUNDUP(MONTH(Transactions_RAW_cleaned[[#This Row],[TransactionDate]])/3,0)</f>
        <v>Q3</v>
      </c>
      <c r="U1537" t="str">
        <f>Transactions_RAW_cleaned[[#This Row],[Region ]]&amp;Transactions_RAW_cleaned[[#This Row],[Quarter ]]</f>
        <v>NAQ3</v>
      </c>
      <c r="V1537" s="5">
        <f>_xlfn.XLOOKUP(Transactions_RAW_cleaned[[#This Row],[RegionQuarterKey]], Quarterly_Targets_cleaned[RegionQuarterKey], Quarterly_Targets_cleaned[TargetRevenue])</f>
        <v>273000</v>
      </c>
    </row>
    <row r="1538" spans="1:22" x14ac:dyDescent="0.25">
      <c r="A1538" t="s">
        <v>1872</v>
      </c>
      <c r="B1538" s="1">
        <v>45573</v>
      </c>
      <c r="C1538" t="s">
        <v>171</v>
      </c>
      <c r="D1538" t="s">
        <v>294</v>
      </c>
      <c r="E1538">
        <v>-858.8</v>
      </c>
      <c r="F1538" t="s">
        <v>349</v>
      </c>
      <c r="G1538" t="s">
        <v>327</v>
      </c>
      <c r="I1538" t="s">
        <v>17</v>
      </c>
      <c r="J1538" t="s">
        <v>31</v>
      </c>
      <c r="K1538" t="s">
        <v>32</v>
      </c>
      <c r="L1538" t="s">
        <v>295</v>
      </c>
      <c r="M1538" t="s">
        <v>296</v>
      </c>
      <c r="N1538">
        <v>2.9000000000000001E-2</v>
      </c>
      <c r="O1538" t="str">
        <f>IF(Transactions_RAW_cleaned[[#This Row],[Status]]="Completed", IFERROR(_xlfn.XLOOKUP(Transactions_RAW_cleaned[[#This Row],[CustomerID]], Customers_cleaned[CustomerID], Customers_cleaned[Segment]), "Customer Not Found"), "N/A")</f>
        <v>N/A</v>
      </c>
      <c r="P1538" s="5" t="str">
        <f>IF(Transactions_RAW_cleaned[[#This Row],[Status]]="Refunded", "Refund",
  IF(Transactions_RAW_cleaned[[#This Row],[Category]]="Payments", IF(Transactions_RAW_cleaned[[#This Row],[Amount]]&gt;500,"High Value","Standard"),
    IF(Transactions_RAW_cleaned[[#This Row],[Amount]]&gt;250,"High Value","Standard")))</f>
        <v>Refund</v>
      </c>
      <c r="Q1538" s="5" t="str">
        <f>IF(Transactions_RAW_cleaned[[#This Row],[Amount]] &gt; (_xlfn.XLOOKUP(Transactions_RAW_cleaned[[#This Row],[ServiceID]],Services_cleaned[ServiceID],Services_cleaned[TransactionFeePct]) * 10000), "Yes", "No")</f>
        <v>No</v>
      </c>
      <c r="R1538" s="5" t="str">
        <f>IF(COUNTIFS($C$2:Transactions_RAW_cleaned[[#This Row],[CustomerID]],Transactions_RAW_cleaned[[#This Row],[CustomerID]],$D$2:Transactions_RAW_cleaned[[#This Row],[ServiceID]],Transactions_RAW_cleaned[[#This Row],[ServiceID]])=1,"Yes","No")</f>
        <v>No</v>
      </c>
      <c r="S153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38" t="str">
        <f>"Q"&amp;ROUNDUP(MONTH(Transactions_RAW_cleaned[[#This Row],[TransactionDate]])/3,0)</f>
        <v>Q4</v>
      </c>
      <c r="U1538" t="str">
        <f>Transactions_RAW_cleaned[[#This Row],[Region ]]&amp;Transactions_RAW_cleaned[[#This Row],[Quarter ]]</f>
        <v>EMEAQ4</v>
      </c>
      <c r="V1538" s="5">
        <f>_xlfn.XLOOKUP(Transactions_RAW_cleaned[[#This Row],[RegionQuarterKey]], Quarterly_Targets_cleaned[RegionQuarterKey], Quarterly_Targets_cleaned[TargetRevenue])</f>
        <v>161000</v>
      </c>
    </row>
    <row r="1539" spans="1:22" x14ac:dyDescent="0.25">
      <c r="A1539" t="s">
        <v>1873</v>
      </c>
      <c r="B1539" s="1">
        <v>45642</v>
      </c>
      <c r="C1539" t="s">
        <v>44</v>
      </c>
      <c r="D1539" t="s">
        <v>309</v>
      </c>
      <c r="E1539">
        <v>483.48</v>
      </c>
      <c r="F1539" t="s">
        <v>331</v>
      </c>
      <c r="G1539" t="s">
        <v>327</v>
      </c>
      <c r="I1539" t="s">
        <v>8</v>
      </c>
      <c r="J1539" t="s">
        <v>46</v>
      </c>
      <c r="K1539" t="s">
        <v>32</v>
      </c>
      <c r="L1539" t="s">
        <v>310</v>
      </c>
      <c r="M1539" t="s">
        <v>311</v>
      </c>
      <c r="N1539">
        <v>0</v>
      </c>
      <c r="O1539" t="str">
        <f>IF(Transactions_RAW_cleaned[[#This Row],[Status]]="Completed", IFERROR(_xlfn.XLOOKUP(Transactions_RAW_cleaned[[#This Row],[CustomerID]], Customers_cleaned[CustomerID], Customers_cleaned[Segment]), "Customer Not Found"), "N/A")</f>
        <v>N/A</v>
      </c>
      <c r="P1539" s="5" t="str">
        <f>IF(Transactions_RAW_cleaned[[#This Row],[Status]]="Refunded", "Refund",
  IF(Transactions_RAW_cleaned[[#This Row],[Category]]="Payments", IF(Transactions_RAW_cleaned[[#This Row],[Amount]]&gt;500,"High Value","Standard"),
    IF(Transactions_RAW_cleaned[[#This Row],[Amount]]&gt;250,"High Value","Standard")))</f>
        <v>High Value</v>
      </c>
      <c r="Q1539" s="5" t="str">
        <f>IF(Transactions_RAW_cleaned[[#This Row],[Amount]] &gt; (_xlfn.XLOOKUP(Transactions_RAW_cleaned[[#This Row],[ServiceID]],Services_cleaned[ServiceID],Services_cleaned[TransactionFeePct]) * 10000), "Yes", "No")</f>
        <v>Yes</v>
      </c>
      <c r="R1539" s="5" t="str">
        <f>IF(COUNTIFS($C$2:Transactions_RAW_cleaned[[#This Row],[CustomerID]],Transactions_RAW_cleaned[[#This Row],[CustomerID]],$D$2:Transactions_RAW_cleaned[[#This Row],[ServiceID]],Transactions_RAW_cleaned[[#This Row],[ServiceID]])=1,"Yes","No")</f>
        <v>Yes</v>
      </c>
      <c r="S153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39" t="str">
        <f>"Q"&amp;ROUNDUP(MONTH(Transactions_RAW_cleaned[[#This Row],[TransactionDate]])/3,0)</f>
        <v>Q4</v>
      </c>
      <c r="U1539" t="str">
        <f>Transactions_RAW_cleaned[[#This Row],[Region ]]&amp;Transactions_RAW_cleaned[[#This Row],[Quarter ]]</f>
        <v>APACQ4</v>
      </c>
      <c r="V1539" s="5">
        <f>_xlfn.XLOOKUP(Transactions_RAW_cleaned[[#This Row],[RegionQuarterKey]], Quarterly_Targets_cleaned[RegionQuarterKey], Quarterly_Targets_cleaned[TargetRevenue])</f>
        <v>126500</v>
      </c>
    </row>
    <row r="1540" spans="1:22" x14ac:dyDescent="0.25">
      <c r="A1540" t="s">
        <v>1874</v>
      </c>
      <c r="B1540" s="1">
        <v>45445</v>
      </c>
      <c r="C1540" t="s">
        <v>147</v>
      </c>
      <c r="D1540" t="s">
        <v>300</v>
      </c>
      <c r="E1540">
        <v>351.27</v>
      </c>
      <c r="F1540" t="s">
        <v>324</v>
      </c>
      <c r="G1540" t="s">
        <v>329</v>
      </c>
      <c r="I1540" t="s">
        <v>17</v>
      </c>
      <c r="J1540" t="s">
        <v>25</v>
      </c>
      <c r="K1540" t="s">
        <v>32</v>
      </c>
      <c r="L1540" t="s">
        <v>301</v>
      </c>
      <c r="M1540" t="s">
        <v>302</v>
      </c>
      <c r="N1540">
        <v>5.0000000000000001E-3</v>
      </c>
      <c r="O1540" t="str">
        <f>IF(Transactions_RAW_cleaned[[#This Row],[Status]]="Completed", IFERROR(_xlfn.XLOOKUP(Transactions_RAW_cleaned[[#This Row],[CustomerID]], Customers_cleaned[CustomerID], Customers_cleaned[Segment]), "Customer Not Found"), "N/A")</f>
        <v>Enterprise</v>
      </c>
      <c r="P1540" s="5" t="str">
        <f>IF(Transactions_RAW_cleaned[[#This Row],[Status]]="Refunded", "Refund",
  IF(Transactions_RAW_cleaned[[#This Row],[Category]]="Payments", IF(Transactions_RAW_cleaned[[#This Row],[Amount]]&gt;500,"High Value","Standard"),
    IF(Transactions_RAW_cleaned[[#This Row],[Amount]]&gt;250,"High Value","Standard")))</f>
        <v>High Value</v>
      </c>
      <c r="Q1540" s="5" t="str">
        <f>IF(Transactions_RAW_cleaned[[#This Row],[Amount]] &gt; (_xlfn.XLOOKUP(Transactions_RAW_cleaned[[#This Row],[ServiceID]],Services_cleaned[ServiceID],Services_cleaned[TransactionFeePct]) * 10000), "Yes", "No")</f>
        <v>Yes</v>
      </c>
      <c r="R1540" s="5" t="str">
        <f>IF(COUNTIFS($C$2:Transactions_RAW_cleaned[[#This Row],[CustomerID]],Transactions_RAW_cleaned[[#This Row],[CustomerID]],$D$2:Transactions_RAW_cleaned[[#This Row],[ServiceID]],Transactions_RAW_cleaned[[#This Row],[ServiceID]])=1,"Yes","No")</f>
        <v>No</v>
      </c>
      <c r="S154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40" t="str">
        <f>"Q"&amp;ROUNDUP(MONTH(Transactions_RAW_cleaned[[#This Row],[TransactionDate]])/3,0)</f>
        <v>Q2</v>
      </c>
      <c r="U1540" t="str">
        <f>Transactions_RAW_cleaned[[#This Row],[Region ]]&amp;Transactions_RAW_cleaned[[#This Row],[Quarter ]]</f>
        <v>APACQ2</v>
      </c>
      <c r="V1540" s="5">
        <f>_xlfn.XLOOKUP(Transactions_RAW_cleaned[[#This Row],[RegionQuarterKey]], Quarterly_Targets_cleaned[RegionQuarterKey], Quarterly_Targets_cleaned[TargetRevenue])</f>
        <v>110000</v>
      </c>
    </row>
    <row r="1541" spans="1:22" x14ac:dyDescent="0.25">
      <c r="A1541" t="s">
        <v>1875</v>
      </c>
      <c r="B1541" s="1">
        <v>45349</v>
      </c>
      <c r="C1541" t="s">
        <v>72</v>
      </c>
      <c r="D1541" t="s">
        <v>294</v>
      </c>
      <c r="E1541">
        <v>-14.87</v>
      </c>
      <c r="F1541" t="s">
        <v>349</v>
      </c>
      <c r="G1541" t="s">
        <v>327</v>
      </c>
      <c r="H1541" t="s">
        <v>346</v>
      </c>
      <c r="I1541" t="s">
        <v>57</v>
      </c>
      <c r="J1541" t="s">
        <v>46</v>
      </c>
      <c r="K1541" t="s">
        <v>32</v>
      </c>
      <c r="L1541" t="s">
        <v>295</v>
      </c>
      <c r="M1541" t="s">
        <v>296</v>
      </c>
      <c r="N1541">
        <v>2.9000000000000001E-2</v>
      </c>
      <c r="O1541" t="str">
        <f>IF(Transactions_RAW_cleaned[[#This Row],[Status]]="Completed", IFERROR(_xlfn.XLOOKUP(Transactions_RAW_cleaned[[#This Row],[CustomerID]], Customers_cleaned[CustomerID], Customers_cleaned[Segment]), "Customer Not Found"), "N/A")</f>
        <v>N/A</v>
      </c>
      <c r="P1541" s="5" t="str">
        <f>IF(Transactions_RAW_cleaned[[#This Row],[Status]]="Refunded", "Refund",
  IF(Transactions_RAW_cleaned[[#This Row],[Category]]="Payments", IF(Transactions_RAW_cleaned[[#This Row],[Amount]]&gt;500,"High Value","Standard"),
    IF(Transactions_RAW_cleaned[[#This Row],[Amount]]&gt;250,"High Value","Standard")))</f>
        <v>Refund</v>
      </c>
      <c r="Q1541" s="5" t="str">
        <f>IF(Transactions_RAW_cleaned[[#This Row],[Amount]] &gt; (_xlfn.XLOOKUP(Transactions_RAW_cleaned[[#This Row],[ServiceID]],Services_cleaned[ServiceID],Services_cleaned[TransactionFeePct]) * 10000), "Yes", "No")</f>
        <v>No</v>
      </c>
      <c r="R1541" s="5" t="str">
        <f>IF(COUNTIFS($C$2:Transactions_RAW_cleaned[[#This Row],[CustomerID]],Transactions_RAW_cleaned[[#This Row],[CustomerID]],$D$2:Transactions_RAW_cleaned[[#This Row],[ServiceID]],Transactions_RAW_cleaned[[#This Row],[ServiceID]])=1,"Yes","No")</f>
        <v>No</v>
      </c>
      <c r="S154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41" t="str">
        <f>"Q"&amp;ROUNDUP(MONTH(Transactions_RAW_cleaned[[#This Row],[TransactionDate]])/3,0)</f>
        <v>Q1</v>
      </c>
      <c r="U1541" t="str">
        <f>Transactions_RAW_cleaned[[#This Row],[Region ]]&amp;Transactions_RAW_cleaned[[#This Row],[Quarter ]]</f>
        <v>APACQ1</v>
      </c>
      <c r="V1541" s="5">
        <f>_xlfn.XLOOKUP(Transactions_RAW_cleaned[[#This Row],[RegionQuarterKey]], Quarterly_Targets_cleaned[RegionQuarterKey], Quarterly_Targets_cleaned[TargetRevenue])</f>
        <v>104500</v>
      </c>
    </row>
    <row r="1542" spans="1:22" x14ac:dyDescent="0.25">
      <c r="A1542" t="s">
        <v>1876</v>
      </c>
      <c r="B1542" s="1">
        <v>45620</v>
      </c>
      <c r="C1542" t="s">
        <v>145</v>
      </c>
      <c r="D1542" t="s">
        <v>312</v>
      </c>
      <c r="E1542">
        <v>335.99</v>
      </c>
      <c r="F1542" t="s">
        <v>324</v>
      </c>
      <c r="G1542" t="s">
        <v>325</v>
      </c>
      <c r="I1542" t="s">
        <v>8</v>
      </c>
      <c r="J1542" t="s">
        <v>13</v>
      </c>
      <c r="K1542" t="s">
        <v>32</v>
      </c>
      <c r="L1542" t="s">
        <v>313</v>
      </c>
      <c r="M1542" t="s">
        <v>314</v>
      </c>
      <c r="N1542">
        <v>0</v>
      </c>
      <c r="O1542" t="str">
        <f>IF(Transactions_RAW_cleaned[[#This Row],[Status]]="Completed", IFERROR(_xlfn.XLOOKUP(Transactions_RAW_cleaned[[#This Row],[CustomerID]], Customers_cleaned[CustomerID], Customers_cleaned[Segment]), "Customer Not Found"), "N/A")</f>
        <v>SMB</v>
      </c>
      <c r="P1542" s="5" t="str">
        <f>IF(Transactions_RAW_cleaned[[#This Row],[Status]]="Refunded", "Refund",
  IF(Transactions_RAW_cleaned[[#This Row],[Category]]="Payments", IF(Transactions_RAW_cleaned[[#This Row],[Amount]]&gt;500,"High Value","Standard"),
    IF(Transactions_RAW_cleaned[[#This Row],[Amount]]&gt;250,"High Value","Standard")))</f>
        <v>High Value</v>
      </c>
      <c r="Q1542" s="5" t="str">
        <f>IF(Transactions_RAW_cleaned[[#This Row],[Amount]] &gt; (_xlfn.XLOOKUP(Transactions_RAW_cleaned[[#This Row],[ServiceID]],Services_cleaned[ServiceID],Services_cleaned[TransactionFeePct]) * 10000), "Yes", "No")</f>
        <v>Yes</v>
      </c>
      <c r="R1542" s="5" t="str">
        <f>IF(COUNTIFS($C$2:Transactions_RAW_cleaned[[#This Row],[CustomerID]],Transactions_RAW_cleaned[[#This Row],[CustomerID]],$D$2:Transactions_RAW_cleaned[[#This Row],[ServiceID]],Transactions_RAW_cleaned[[#This Row],[ServiceID]])=1,"Yes","No")</f>
        <v>No</v>
      </c>
      <c r="S154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42" t="str">
        <f>"Q"&amp;ROUNDUP(MONTH(Transactions_RAW_cleaned[[#This Row],[TransactionDate]])/3,0)</f>
        <v>Q4</v>
      </c>
      <c r="U1542" t="str">
        <f>Transactions_RAW_cleaned[[#This Row],[Region ]]&amp;Transactions_RAW_cleaned[[#This Row],[Quarter ]]</f>
        <v>NAQ4</v>
      </c>
      <c r="V1542" s="5">
        <f>_xlfn.XLOOKUP(Transactions_RAW_cleaned[[#This Row],[RegionQuarterKey]], Quarterly_Targets_cleaned[RegionQuarterKey], Quarterly_Targets_cleaned[TargetRevenue])</f>
        <v>299000</v>
      </c>
    </row>
    <row r="1543" spans="1:22" x14ac:dyDescent="0.25">
      <c r="A1543" t="s">
        <v>1877</v>
      </c>
      <c r="B1543" s="1">
        <v>45366</v>
      </c>
      <c r="C1543" t="s">
        <v>94</v>
      </c>
      <c r="D1543" t="s">
        <v>303</v>
      </c>
      <c r="E1543">
        <v>1228.58</v>
      </c>
      <c r="F1543" t="s">
        <v>324</v>
      </c>
      <c r="G1543" t="s">
        <v>337</v>
      </c>
      <c r="I1543" t="s">
        <v>8</v>
      </c>
      <c r="J1543" t="s">
        <v>21</v>
      </c>
      <c r="K1543" t="s">
        <v>14</v>
      </c>
      <c r="L1543" t="s">
        <v>304</v>
      </c>
      <c r="M1543" t="s">
        <v>305</v>
      </c>
      <c r="N1543">
        <v>1E-3</v>
      </c>
      <c r="O1543" t="str">
        <f>IF(Transactions_RAW_cleaned[[#This Row],[Status]]="Completed", IFERROR(_xlfn.XLOOKUP(Transactions_RAW_cleaned[[#This Row],[CustomerID]], Customers_cleaned[CustomerID], Customers_cleaned[Segment]), "Customer Not Found"), "N/A")</f>
        <v>SMB</v>
      </c>
      <c r="P1543" s="5" t="str">
        <f>IF(Transactions_RAW_cleaned[[#This Row],[Status]]="Refunded", "Refund",
  IF(Transactions_RAW_cleaned[[#This Row],[Category]]="Payments", IF(Transactions_RAW_cleaned[[#This Row],[Amount]]&gt;500,"High Value","Standard"),
    IF(Transactions_RAW_cleaned[[#This Row],[Amount]]&gt;250,"High Value","Standard")))</f>
        <v>High Value</v>
      </c>
      <c r="Q1543" s="5" t="str">
        <f>IF(Transactions_RAW_cleaned[[#This Row],[Amount]] &gt; (_xlfn.XLOOKUP(Transactions_RAW_cleaned[[#This Row],[ServiceID]],Services_cleaned[ServiceID],Services_cleaned[TransactionFeePct]) * 10000), "Yes", "No")</f>
        <v>Yes</v>
      </c>
      <c r="R1543" s="5" t="str">
        <f>IF(COUNTIFS($C$2:Transactions_RAW_cleaned[[#This Row],[CustomerID]],Transactions_RAW_cleaned[[#This Row],[CustomerID]],$D$2:Transactions_RAW_cleaned[[#This Row],[ServiceID]],Transactions_RAW_cleaned[[#This Row],[ServiceID]])=1,"Yes","No")</f>
        <v>Yes</v>
      </c>
      <c r="S154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43" t="str">
        <f>"Q"&amp;ROUNDUP(MONTH(Transactions_RAW_cleaned[[#This Row],[TransactionDate]])/3,0)</f>
        <v>Q1</v>
      </c>
      <c r="U1543" t="str">
        <f>Transactions_RAW_cleaned[[#This Row],[Region ]]&amp;Transactions_RAW_cleaned[[#This Row],[Quarter ]]</f>
        <v>APACQ1</v>
      </c>
      <c r="V1543" s="5">
        <f>_xlfn.XLOOKUP(Transactions_RAW_cleaned[[#This Row],[RegionQuarterKey]], Quarterly_Targets_cleaned[RegionQuarterKey], Quarterly_Targets_cleaned[TargetRevenue])</f>
        <v>104500</v>
      </c>
    </row>
    <row r="1544" spans="1:22" x14ac:dyDescent="0.25">
      <c r="A1544" t="s">
        <v>1878</v>
      </c>
      <c r="B1544" s="1">
        <v>45513</v>
      </c>
      <c r="C1544" t="s">
        <v>60</v>
      </c>
      <c r="D1544" t="s">
        <v>312</v>
      </c>
      <c r="E1544">
        <v>-688.71</v>
      </c>
      <c r="F1544" t="s">
        <v>349</v>
      </c>
      <c r="G1544" t="s">
        <v>327</v>
      </c>
      <c r="I1544" t="s">
        <v>8</v>
      </c>
      <c r="J1544" t="s">
        <v>13</v>
      </c>
      <c r="K1544" t="s">
        <v>14</v>
      </c>
      <c r="L1544" t="s">
        <v>313</v>
      </c>
      <c r="M1544" t="s">
        <v>314</v>
      </c>
      <c r="N1544">
        <v>0</v>
      </c>
      <c r="O1544" t="str">
        <f>IF(Transactions_RAW_cleaned[[#This Row],[Status]]="Completed", IFERROR(_xlfn.XLOOKUP(Transactions_RAW_cleaned[[#This Row],[CustomerID]], Customers_cleaned[CustomerID], Customers_cleaned[Segment]), "Customer Not Found"), "N/A")</f>
        <v>N/A</v>
      </c>
      <c r="P1544" s="5" t="str">
        <f>IF(Transactions_RAW_cleaned[[#This Row],[Status]]="Refunded", "Refund",
  IF(Transactions_RAW_cleaned[[#This Row],[Category]]="Payments", IF(Transactions_RAW_cleaned[[#This Row],[Amount]]&gt;500,"High Value","Standard"),
    IF(Transactions_RAW_cleaned[[#This Row],[Amount]]&gt;250,"High Value","Standard")))</f>
        <v>Refund</v>
      </c>
      <c r="Q1544" s="5" t="str">
        <f>IF(Transactions_RAW_cleaned[[#This Row],[Amount]] &gt; (_xlfn.XLOOKUP(Transactions_RAW_cleaned[[#This Row],[ServiceID]],Services_cleaned[ServiceID],Services_cleaned[TransactionFeePct]) * 10000), "Yes", "No")</f>
        <v>No</v>
      </c>
      <c r="R1544" s="5" t="str">
        <f>IF(COUNTIFS($C$2:Transactions_RAW_cleaned[[#This Row],[CustomerID]],Transactions_RAW_cleaned[[#This Row],[CustomerID]],$D$2:Transactions_RAW_cleaned[[#This Row],[ServiceID]],Transactions_RAW_cleaned[[#This Row],[ServiceID]])=1,"Yes","No")</f>
        <v>No</v>
      </c>
      <c r="S154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44" t="str">
        <f>"Q"&amp;ROUNDUP(MONTH(Transactions_RAW_cleaned[[#This Row],[TransactionDate]])/3,0)</f>
        <v>Q3</v>
      </c>
      <c r="U1544" t="str">
        <f>Transactions_RAW_cleaned[[#This Row],[Region ]]&amp;Transactions_RAW_cleaned[[#This Row],[Quarter ]]</f>
        <v>NAQ3</v>
      </c>
      <c r="V1544" s="5">
        <f>_xlfn.XLOOKUP(Transactions_RAW_cleaned[[#This Row],[RegionQuarterKey]], Quarterly_Targets_cleaned[RegionQuarterKey], Quarterly_Targets_cleaned[TargetRevenue])</f>
        <v>273000</v>
      </c>
    </row>
    <row r="1545" spans="1:22" x14ac:dyDescent="0.25">
      <c r="A1545" t="s">
        <v>1879</v>
      </c>
      <c r="B1545" s="1">
        <v>45308</v>
      </c>
      <c r="C1545" t="s">
        <v>6</v>
      </c>
      <c r="D1545" t="s">
        <v>300</v>
      </c>
      <c r="E1545">
        <v>549.55999999999995</v>
      </c>
      <c r="F1545" t="s">
        <v>324</v>
      </c>
      <c r="G1545" t="s">
        <v>327</v>
      </c>
      <c r="H1545" t="s">
        <v>334</v>
      </c>
      <c r="I1545" t="s">
        <v>8</v>
      </c>
      <c r="J1545" t="s">
        <v>102</v>
      </c>
      <c r="K1545" t="s">
        <v>10</v>
      </c>
      <c r="L1545" t="s">
        <v>301</v>
      </c>
      <c r="M1545" t="s">
        <v>302</v>
      </c>
      <c r="N1545">
        <v>5.0000000000000001E-3</v>
      </c>
      <c r="O1545" t="str">
        <f>IF(Transactions_RAW_cleaned[[#This Row],[Status]]="Completed", IFERROR(_xlfn.XLOOKUP(Transactions_RAW_cleaned[[#This Row],[CustomerID]], Customers_cleaned[CustomerID], Customers_cleaned[Segment]), "Customer Not Found"), "N/A")</f>
        <v>SMB</v>
      </c>
      <c r="P1545" s="5" t="str">
        <f>IF(Transactions_RAW_cleaned[[#This Row],[Status]]="Refunded", "Refund",
  IF(Transactions_RAW_cleaned[[#This Row],[Category]]="Payments", IF(Transactions_RAW_cleaned[[#This Row],[Amount]]&gt;500,"High Value","Standard"),
    IF(Transactions_RAW_cleaned[[#This Row],[Amount]]&gt;250,"High Value","Standard")))</f>
        <v>High Value</v>
      </c>
      <c r="Q1545" s="5" t="str">
        <f>IF(Transactions_RAW_cleaned[[#This Row],[Amount]] &gt; (_xlfn.XLOOKUP(Transactions_RAW_cleaned[[#This Row],[ServiceID]],Services_cleaned[ServiceID],Services_cleaned[TransactionFeePct]) * 10000), "Yes", "No")</f>
        <v>Yes</v>
      </c>
      <c r="R1545" s="5" t="str">
        <f>IF(COUNTIFS($C$2:Transactions_RAW_cleaned[[#This Row],[CustomerID]],Transactions_RAW_cleaned[[#This Row],[CustomerID]],$D$2:Transactions_RAW_cleaned[[#This Row],[ServiceID]],Transactions_RAW_cleaned[[#This Row],[ServiceID]])=1,"Yes","No")</f>
        <v>No</v>
      </c>
      <c r="S154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45" t="str">
        <f>"Q"&amp;ROUNDUP(MONTH(Transactions_RAW_cleaned[[#This Row],[TransactionDate]])/3,0)</f>
        <v>Q1</v>
      </c>
      <c r="U1545" t="str">
        <f>Transactions_RAW_cleaned[[#This Row],[Region ]]&amp;Transactions_RAW_cleaned[[#This Row],[Quarter ]]</f>
        <v>NAQ1</v>
      </c>
      <c r="V1545" s="5">
        <f>_xlfn.XLOOKUP(Transactions_RAW_cleaned[[#This Row],[RegionQuarterKey]], Quarterly_Targets_cleaned[RegionQuarterKey], Quarterly_Targets_cleaned[TargetRevenue])</f>
        <v>247000</v>
      </c>
    </row>
    <row r="1546" spans="1:22" x14ac:dyDescent="0.25">
      <c r="A1546" t="s">
        <v>1880</v>
      </c>
      <c r="B1546" s="1">
        <v>45522</v>
      </c>
      <c r="C1546" t="s">
        <v>165</v>
      </c>
      <c r="D1546" t="s">
        <v>309</v>
      </c>
      <c r="E1546">
        <v>1007.56</v>
      </c>
      <c r="F1546" t="s">
        <v>324</v>
      </c>
      <c r="G1546" t="s">
        <v>325</v>
      </c>
      <c r="I1546" t="s">
        <v>8</v>
      </c>
      <c r="J1546" t="s">
        <v>31</v>
      </c>
      <c r="K1546" t="s">
        <v>32</v>
      </c>
      <c r="L1546" t="s">
        <v>310</v>
      </c>
      <c r="M1546" t="s">
        <v>311</v>
      </c>
      <c r="N1546">
        <v>0</v>
      </c>
      <c r="O1546" t="str">
        <f>IF(Transactions_RAW_cleaned[[#This Row],[Status]]="Completed", IFERROR(_xlfn.XLOOKUP(Transactions_RAW_cleaned[[#This Row],[CustomerID]], Customers_cleaned[CustomerID], Customers_cleaned[Segment]), "Customer Not Found"), "N/A")</f>
        <v>SMB</v>
      </c>
      <c r="P1546" s="5" t="str">
        <f>IF(Transactions_RAW_cleaned[[#This Row],[Status]]="Refunded", "Refund",
  IF(Transactions_RAW_cleaned[[#This Row],[Category]]="Payments", IF(Transactions_RAW_cleaned[[#This Row],[Amount]]&gt;500,"High Value","Standard"),
    IF(Transactions_RAW_cleaned[[#This Row],[Amount]]&gt;250,"High Value","Standard")))</f>
        <v>High Value</v>
      </c>
      <c r="Q1546" s="5" t="str">
        <f>IF(Transactions_RAW_cleaned[[#This Row],[Amount]] &gt; (_xlfn.XLOOKUP(Transactions_RAW_cleaned[[#This Row],[ServiceID]],Services_cleaned[ServiceID],Services_cleaned[TransactionFeePct]) * 10000), "Yes", "No")</f>
        <v>Yes</v>
      </c>
      <c r="R1546" s="5" t="str">
        <f>IF(COUNTIFS($C$2:Transactions_RAW_cleaned[[#This Row],[CustomerID]],Transactions_RAW_cleaned[[#This Row],[CustomerID]],$D$2:Transactions_RAW_cleaned[[#This Row],[ServiceID]],Transactions_RAW_cleaned[[#This Row],[ServiceID]])=1,"Yes","No")</f>
        <v>Yes</v>
      </c>
      <c r="S154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46" t="str">
        <f>"Q"&amp;ROUNDUP(MONTH(Transactions_RAW_cleaned[[#This Row],[TransactionDate]])/3,0)</f>
        <v>Q3</v>
      </c>
      <c r="U1546" t="str">
        <f>Transactions_RAW_cleaned[[#This Row],[Region ]]&amp;Transactions_RAW_cleaned[[#This Row],[Quarter ]]</f>
        <v>EMEAQ3</v>
      </c>
      <c r="V1546" s="5">
        <f>_xlfn.XLOOKUP(Transactions_RAW_cleaned[[#This Row],[RegionQuarterKey]], Quarterly_Targets_cleaned[RegionQuarterKey], Quarterly_Targets_cleaned[TargetRevenue])</f>
        <v>147000</v>
      </c>
    </row>
    <row r="1547" spans="1:22" x14ac:dyDescent="0.25">
      <c r="A1547" t="s">
        <v>1881</v>
      </c>
      <c r="B1547" s="1">
        <v>45593</v>
      </c>
      <c r="C1547" t="s">
        <v>261</v>
      </c>
      <c r="D1547" t="s">
        <v>297</v>
      </c>
      <c r="E1547">
        <v>879.84</v>
      </c>
      <c r="F1547" t="s">
        <v>324</v>
      </c>
      <c r="G1547" t="s">
        <v>325</v>
      </c>
      <c r="I1547" t="s">
        <v>8</v>
      </c>
      <c r="J1547" t="s">
        <v>31</v>
      </c>
      <c r="K1547" t="s">
        <v>18</v>
      </c>
      <c r="L1547" t="s">
        <v>298</v>
      </c>
      <c r="M1547" t="s">
        <v>299</v>
      </c>
      <c r="N1547">
        <v>0</v>
      </c>
      <c r="O1547" t="str">
        <f>IF(Transactions_RAW_cleaned[[#This Row],[Status]]="Completed", IFERROR(_xlfn.XLOOKUP(Transactions_RAW_cleaned[[#This Row],[CustomerID]], Customers_cleaned[CustomerID], Customers_cleaned[Segment]), "Customer Not Found"), "N/A")</f>
        <v>SMB</v>
      </c>
      <c r="P1547" s="5" t="str">
        <f>IF(Transactions_RAW_cleaned[[#This Row],[Status]]="Refunded", "Refund",
  IF(Transactions_RAW_cleaned[[#This Row],[Category]]="Payments", IF(Transactions_RAW_cleaned[[#This Row],[Amount]]&gt;500,"High Value","Standard"),
    IF(Transactions_RAW_cleaned[[#This Row],[Amount]]&gt;250,"High Value","Standard")))</f>
        <v>High Value</v>
      </c>
      <c r="Q1547" s="5" t="str">
        <f>IF(Transactions_RAW_cleaned[[#This Row],[Amount]] &gt; (_xlfn.XLOOKUP(Transactions_RAW_cleaned[[#This Row],[ServiceID]],Services_cleaned[ServiceID],Services_cleaned[TransactionFeePct]) * 10000), "Yes", "No")</f>
        <v>Yes</v>
      </c>
      <c r="R1547" s="5" t="str">
        <f>IF(COUNTIFS($C$2:Transactions_RAW_cleaned[[#This Row],[CustomerID]],Transactions_RAW_cleaned[[#This Row],[CustomerID]],$D$2:Transactions_RAW_cleaned[[#This Row],[ServiceID]],Transactions_RAW_cleaned[[#This Row],[ServiceID]])=1,"Yes","No")</f>
        <v>No</v>
      </c>
      <c r="S154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47" t="str">
        <f>"Q"&amp;ROUNDUP(MONTH(Transactions_RAW_cleaned[[#This Row],[TransactionDate]])/3,0)</f>
        <v>Q4</v>
      </c>
      <c r="U1547" t="str">
        <f>Transactions_RAW_cleaned[[#This Row],[Region ]]&amp;Transactions_RAW_cleaned[[#This Row],[Quarter ]]</f>
        <v>EMEAQ4</v>
      </c>
      <c r="V1547" s="5">
        <f>_xlfn.XLOOKUP(Transactions_RAW_cleaned[[#This Row],[RegionQuarterKey]], Quarterly_Targets_cleaned[RegionQuarterKey], Quarterly_Targets_cleaned[TargetRevenue])</f>
        <v>161000</v>
      </c>
    </row>
    <row r="1548" spans="1:22" x14ac:dyDescent="0.25">
      <c r="A1548" t="s">
        <v>1882</v>
      </c>
      <c r="B1548" s="1">
        <v>45362</v>
      </c>
      <c r="C1548" t="s">
        <v>253</v>
      </c>
      <c r="D1548" t="s">
        <v>297</v>
      </c>
      <c r="E1548">
        <v>288.93</v>
      </c>
      <c r="F1548" t="s">
        <v>324</v>
      </c>
      <c r="G1548" t="s">
        <v>325</v>
      </c>
      <c r="I1548" t="s">
        <v>8</v>
      </c>
      <c r="J1548" t="s">
        <v>102</v>
      </c>
      <c r="K1548" t="s">
        <v>28</v>
      </c>
      <c r="L1548" t="s">
        <v>298</v>
      </c>
      <c r="M1548" t="s">
        <v>299</v>
      </c>
      <c r="N1548">
        <v>0</v>
      </c>
      <c r="O1548" t="str">
        <f>IF(Transactions_RAW_cleaned[[#This Row],[Status]]="Completed", IFERROR(_xlfn.XLOOKUP(Transactions_RAW_cleaned[[#This Row],[CustomerID]], Customers_cleaned[CustomerID], Customers_cleaned[Segment]), "Customer Not Found"), "N/A")</f>
        <v>SMB</v>
      </c>
      <c r="P1548" s="5" t="str">
        <f>IF(Transactions_RAW_cleaned[[#This Row],[Status]]="Refunded", "Refund",
  IF(Transactions_RAW_cleaned[[#This Row],[Category]]="Payments", IF(Transactions_RAW_cleaned[[#This Row],[Amount]]&gt;500,"High Value","Standard"),
    IF(Transactions_RAW_cleaned[[#This Row],[Amount]]&gt;250,"High Value","Standard")))</f>
        <v>High Value</v>
      </c>
      <c r="Q1548" s="5" t="str">
        <f>IF(Transactions_RAW_cleaned[[#This Row],[Amount]] &gt; (_xlfn.XLOOKUP(Transactions_RAW_cleaned[[#This Row],[ServiceID]],Services_cleaned[ServiceID],Services_cleaned[TransactionFeePct]) * 10000), "Yes", "No")</f>
        <v>Yes</v>
      </c>
      <c r="R1548" s="5" t="str">
        <f>IF(COUNTIFS($C$2:Transactions_RAW_cleaned[[#This Row],[CustomerID]],Transactions_RAW_cleaned[[#This Row],[CustomerID]],$D$2:Transactions_RAW_cleaned[[#This Row],[ServiceID]],Transactions_RAW_cleaned[[#This Row],[ServiceID]])=1,"Yes","No")</f>
        <v>No</v>
      </c>
      <c r="S154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48" t="str">
        <f>"Q"&amp;ROUNDUP(MONTH(Transactions_RAW_cleaned[[#This Row],[TransactionDate]])/3,0)</f>
        <v>Q1</v>
      </c>
      <c r="U1548" t="str">
        <f>Transactions_RAW_cleaned[[#This Row],[Region ]]&amp;Transactions_RAW_cleaned[[#This Row],[Quarter ]]</f>
        <v>NAQ1</v>
      </c>
      <c r="V1548" s="5">
        <f>_xlfn.XLOOKUP(Transactions_RAW_cleaned[[#This Row],[RegionQuarterKey]], Quarterly_Targets_cleaned[RegionQuarterKey], Quarterly_Targets_cleaned[TargetRevenue])</f>
        <v>247000</v>
      </c>
    </row>
    <row r="1549" spans="1:22" x14ac:dyDescent="0.25">
      <c r="A1549" t="s">
        <v>1883</v>
      </c>
      <c r="B1549" s="1">
        <v>45530</v>
      </c>
      <c r="C1549" t="s">
        <v>197</v>
      </c>
      <c r="D1549" t="s">
        <v>294</v>
      </c>
      <c r="E1549">
        <v>525.72</v>
      </c>
      <c r="F1549" t="s">
        <v>324</v>
      </c>
      <c r="G1549" t="s">
        <v>327</v>
      </c>
      <c r="H1549" t="s">
        <v>346</v>
      </c>
      <c r="I1549" t="s">
        <v>8</v>
      </c>
      <c r="J1549" t="s">
        <v>46</v>
      </c>
      <c r="K1549" t="s">
        <v>14</v>
      </c>
      <c r="L1549" t="s">
        <v>295</v>
      </c>
      <c r="M1549" t="s">
        <v>296</v>
      </c>
      <c r="N1549">
        <v>2.9000000000000001E-2</v>
      </c>
      <c r="O1549" t="str">
        <f>IF(Transactions_RAW_cleaned[[#This Row],[Status]]="Completed", IFERROR(_xlfn.XLOOKUP(Transactions_RAW_cleaned[[#This Row],[CustomerID]], Customers_cleaned[CustomerID], Customers_cleaned[Segment]), "Customer Not Found"), "N/A")</f>
        <v>SMB</v>
      </c>
      <c r="P1549" s="5" t="str">
        <f>IF(Transactions_RAW_cleaned[[#This Row],[Status]]="Refunded", "Refund",
  IF(Transactions_RAW_cleaned[[#This Row],[Category]]="Payments", IF(Transactions_RAW_cleaned[[#This Row],[Amount]]&gt;500,"High Value","Standard"),
    IF(Transactions_RAW_cleaned[[#This Row],[Amount]]&gt;250,"High Value","Standard")))</f>
        <v>High Value</v>
      </c>
      <c r="Q1549" s="5" t="str">
        <f>IF(Transactions_RAW_cleaned[[#This Row],[Amount]] &gt; (_xlfn.XLOOKUP(Transactions_RAW_cleaned[[#This Row],[ServiceID]],Services_cleaned[ServiceID],Services_cleaned[TransactionFeePct]) * 10000), "Yes", "No")</f>
        <v>Yes</v>
      </c>
      <c r="R1549" s="5" t="str">
        <f>IF(COUNTIFS($C$2:Transactions_RAW_cleaned[[#This Row],[CustomerID]],Transactions_RAW_cleaned[[#This Row],[CustomerID]],$D$2:Transactions_RAW_cleaned[[#This Row],[ServiceID]],Transactions_RAW_cleaned[[#This Row],[ServiceID]])=1,"Yes","No")</f>
        <v>No</v>
      </c>
      <c r="S154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49" t="str">
        <f>"Q"&amp;ROUNDUP(MONTH(Transactions_RAW_cleaned[[#This Row],[TransactionDate]])/3,0)</f>
        <v>Q3</v>
      </c>
      <c r="U1549" t="str">
        <f>Transactions_RAW_cleaned[[#This Row],[Region ]]&amp;Transactions_RAW_cleaned[[#This Row],[Quarter ]]</f>
        <v>APACQ3</v>
      </c>
      <c r="V1549" s="5">
        <f>_xlfn.XLOOKUP(Transactions_RAW_cleaned[[#This Row],[RegionQuarterKey]], Quarterly_Targets_cleaned[RegionQuarterKey], Quarterly_Targets_cleaned[TargetRevenue])</f>
        <v>115500</v>
      </c>
    </row>
    <row r="1550" spans="1:22" x14ac:dyDescent="0.25">
      <c r="A1550" t="s">
        <v>1884</v>
      </c>
      <c r="B1550" s="1">
        <v>45401</v>
      </c>
      <c r="C1550" t="s">
        <v>127</v>
      </c>
      <c r="D1550" t="s">
        <v>306</v>
      </c>
      <c r="E1550">
        <v>178.61</v>
      </c>
      <c r="F1550" t="s">
        <v>381</v>
      </c>
      <c r="G1550" t="s">
        <v>325</v>
      </c>
      <c r="H1550" t="s">
        <v>332</v>
      </c>
      <c r="I1550" t="s">
        <v>8</v>
      </c>
      <c r="J1550" t="s">
        <v>102</v>
      </c>
      <c r="K1550" t="s">
        <v>22</v>
      </c>
      <c r="L1550" t="s">
        <v>307</v>
      </c>
      <c r="M1550" t="s">
        <v>308</v>
      </c>
      <c r="N1550">
        <v>0</v>
      </c>
      <c r="O1550" t="str">
        <f>IF(Transactions_RAW_cleaned[[#This Row],[Status]]="Completed", IFERROR(_xlfn.XLOOKUP(Transactions_RAW_cleaned[[#This Row],[CustomerID]], Customers_cleaned[CustomerID], Customers_cleaned[Segment]), "Customer Not Found"), "N/A")</f>
        <v>N/A</v>
      </c>
      <c r="P1550" s="5" t="str">
        <f>IF(Transactions_RAW_cleaned[[#This Row],[Status]]="Refunded", "Refund",
  IF(Transactions_RAW_cleaned[[#This Row],[Category]]="Payments", IF(Transactions_RAW_cleaned[[#This Row],[Amount]]&gt;500,"High Value","Standard"),
    IF(Transactions_RAW_cleaned[[#This Row],[Amount]]&gt;250,"High Value","Standard")))</f>
        <v>Standard</v>
      </c>
      <c r="Q1550" s="5" t="str">
        <f>IF(Transactions_RAW_cleaned[[#This Row],[Amount]] &gt; (_xlfn.XLOOKUP(Transactions_RAW_cleaned[[#This Row],[ServiceID]],Services_cleaned[ServiceID],Services_cleaned[TransactionFeePct]) * 10000), "Yes", "No")</f>
        <v>Yes</v>
      </c>
      <c r="R1550" s="5" t="str">
        <f>IF(COUNTIFS($C$2:Transactions_RAW_cleaned[[#This Row],[CustomerID]],Transactions_RAW_cleaned[[#This Row],[CustomerID]],$D$2:Transactions_RAW_cleaned[[#This Row],[ServiceID]],Transactions_RAW_cleaned[[#This Row],[ServiceID]])=1,"Yes","No")</f>
        <v>No</v>
      </c>
      <c r="S155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50" t="str">
        <f>"Q"&amp;ROUNDUP(MONTH(Transactions_RAW_cleaned[[#This Row],[TransactionDate]])/3,0)</f>
        <v>Q2</v>
      </c>
      <c r="U1550" t="str">
        <f>Transactions_RAW_cleaned[[#This Row],[Region ]]&amp;Transactions_RAW_cleaned[[#This Row],[Quarter ]]</f>
        <v>NAQ2</v>
      </c>
      <c r="V1550" s="5">
        <f>_xlfn.XLOOKUP(Transactions_RAW_cleaned[[#This Row],[RegionQuarterKey]], Quarterly_Targets_cleaned[RegionQuarterKey], Quarterly_Targets_cleaned[TargetRevenue])</f>
        <v>260000</v>
      </c>
    </row>
    <row r="1551" spans="1:22" x14ac:dyDescent="0.25">
      <c r="A1551" t="s">
        <v>1885</v>
      </c>
      <c r="B1551" s="1">
        <v>45328</v>
      </c>
      <c r="C1551" t="s">
        <v>33</v>
      </c>
      <c r="D1551" t="s">
        <v>309</v>
      </c>
      <c r="E1551">
        <v>-815.09</v>
      </c>
      <c r="F1551" t="s">
        <v>349</v>
      </c>
      <c r="G1551" t="s">
        <v>337</v>
      </c>
      <c r="I1551" t="s">
        <v>17</v>
      </c>
      <c r="J1551" t="s">
        <v>31</v>
      </c>
      <c r="K1551" t="s">
        <v>14</v>
      </c>
      <c r="L1551" t="s">
        <v>310</v>
      </c>
      <c r="M1551" t="s">
        <v>311</v>
      </c>
      <c r="N1551">
        <v>0</v>
      </c>
      <c r="O1551" t="str">
        <f>IF(Transactions_RAW_cleaned[[#This Row],[Status]]="Completed", IFERROR(_xlfn.XLOOKUP(Transactions_RAW_cleaned[[#This Row],[CustomerID]], Customers_cleaned[CustomerID], Customers_cleaned[Segment]), "Customer Not Found"), "N/A")</f>
        <v>N/A</v>
      </c>
      <c r="P1551" s="5" t="str">
        <f>IF(Transactions_RAW_cleaned[[#This Row],[Status]]="Refunded", "Refund",
  IF(Transactions_RAW_cleaned[[#This Row],[Category]]="Payments", IF(Transactions_RAW_cleaned[[#This Row],[Amount]]&gt;500,"High Value","Standard"),
    IF(Transactions_RAW_cleaned[[#This Row],[Amount]]&gt;250,"High Value","Standard")))</f>
        <v>Refund</v>
      </c>
      <c r="Q1551" s="5" t="str">
        <f>IF(Transactions_RAW_cleaned[[#This Row],[Amount]] &gt; (_xlfn.XLOOKUP(Transactions_RAW_cleaned[[#This Row],[ServiceID]],Services_cleaned[ServiceID],Services_cleaned[TransactionFeePct]) * 10000), "Yes", "No")</f>
        <v>No</v>
      </c>
      <c r="R1551" s="5" t="str">
        <f>IF(COUNTIFS($C$2:Transactions_RAW_cleaned[[#This Row],[CustomerID]],Transactions_RAW_cleaned[[#This Row],[CustomerID]],$D$2:Transactions_RAW_cleaned[[#This Row],[ServiceID]],Transactions_RAW_cleaned[[#This Row],[ServiceID]])=1,"Yes","No")</f>
        <v>Yes</v>
      </c>
      <c r="S155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51" t="str">
        <f>"Q"&amp;ROUNDUP(MONTH(Transactions_RAW_cleaned[[#This Row],[TransactionDate]])/3,0)</f>
        <v>Q1</v>
      </c>
      <c r="U1551" t="str">
        <f>Transactions_RAW_cleaned[[#This Row],[Region ]]&amp;Transactions_RAW_cleaned[[#This Row],[Quarter ]]</f>
        <v>EMEAQ1</v>
      </c>
      <c r="V1551" s="5">
        <f>_xlfn.XLOOKUP(Transactions_RAW_cleaned[[#This Row],[RegionQuarterKey]], Quarterly_Targets_cleaned[RegionQuarterKey], Quarterly_Targets_cleaned[TargetRevenue])</f>
        <v>133000</v>
      </c>
    </row>
    <row r="1552" spans="1:22" x14ac:dyDescent="0.25">
      <c r="A1552" t="s">
        <v>1886</v>
      </c>
      <c r="B1552" s="1">
        <v>45537</v>
      </c>
      <c r="C1552" t="s">
        <v>181</v>
      </c>
      <c r="D1552" t="s">
        <v>300</v>
      </c>
      <c r="E1552">
        <v>589.34</v>
      </c>
      <c r="F1552" t="s">
        <v>324</v>
      </c>
      <c r="G1552" t="s">
        <v>327</v>
      </c>
      <c r="H1552" t="s">
        <v>332</v>
      </c>
      <c r="I1552" t="s">
        <v>17</v>
      </c>
      <c r="J1552" t="s">
        <v>21</v>
      </c>
      <c r="K1552" t="s">
        <v>10</v>
      </c>
      <c r="L1552" t="s">
        <v>301</v>
      </c>
      <c r="M1552" t="s">
        <v>302</v>
      </c>
      <c r="N1552">
        <v>5.0000000000000001E-3</v>
      </c>
      <c r="O1552" t="str">
        <f>IF(Transactions_RAW_cleaned[[#This Row],[Status]]="Completed", IFERROR(_xlfn.XLOOKUP(Transactions_RAW_cleaned[[#This Row],[CustomerID]], Customers_cleaned[CustomerID], Customers_cleaned[Segment]), "Customer Not Found"), "N/A")</f>
        <v>Enterprise</v>
      </c>
      <c r="P1552" s="5" t="str">
        <f>IF(Transactions_RAW_cleaned[[#This Row],[Status]]="Refunded", "Refund",
  IF(Transactions_RAW_cleaned[[#This Row],[Category]]="Payments", IF(Transactions_RAW_cleaned[[#This Row],[Amount]]&gt;500,"High Value","Standard"),
    IF(Transactions_RAW_cleaned[[#This Row],[Amount]]&gt;250,"High Value","Standard")))</f>
        <v>High Value</v>
      </c>
      <c r="Q1552" s="5" t="str">
        <f>IF(Transactions_RAW_cleaned[[#This Row],[Amount]] &gt; (_xlfn.XLOOKUP(Transactions_RAW_cleaned[[#This Row],[ServiceID]],Services_cleaned[ServiceID],Services_cleaned[TransactionFeePct]) * 10000), "Yes", "No")</f>
        <v>Yes</v>
      </c>
      <c r="R1552" s="5" t="str">
        <f>IF(COUNTIFS($C$2:Transactions_RAW_cleaned[[#This Row],[CustomerID]],Transactions_RAW_cleaned[[#This Row],[CustomerID]],$D$2:Transactions_RAW_cleaned[[#This Row],[ServiceID]],Transactions_RAW_cleaned[[#This Row],[ServiceID]])=1,"Yes","No")</f>
        <v>Yes</v>
      </c>
      <c r="S155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52" t="str">
        <f>"Q"&amp;ROUNDUP(MONTH(Transactions_RAW_cleaned[[#This Row],[TransactionDate]])/3,0)</f>
        <v>Q3</v>
      </c>
      <c r="U1552" t="str">
        <f>Transactions_RAW_cleaned[[#This Row],[Region ]]&amp;Transactions_RAW_cleaned[[#This Row],[Quarter ]]</f>
        <v>APACQ3</v>
      </c>
      <c r="V1552" s="5">
        <f>_xlfn.XLOOKUP(Transactions_RAW_cleaned[[#This Row],[RegionQuarterKey]], Quarterly_Targets_cleaned[RegionQuarterKey], Quarterly_Targets_cleaned[TargetRevenue])</f>
        <v>115500</v>
      </c>
    </row>
    <row r="1553" spans="1:22" x14ac:dyDescent="0.25">
      <c r="A1553" t="s">
        <v>1887</v>
      </c>
      <c r="B1553" s="1">
        <v>45353</v>
      </c>
      <c r="C1553" t="s">
        <v>221</v>
      </c>
      <c r="D1553" t="s">
        <v>315</v>
      </c>
      <c r="E1553">
        <v>158.97</v>
      </c>
      <c r="F1553" t="s">
        <v>324</v>
      </c>
      <c r="G1553" t="s">
        <v>327</v>
      </c>
      <c r="I1553" t="s">
        <v>8</v>
      </c>
      <c r="J1553" t="s">
        <v>102</v>
      </c>
      <c r="K1553" t="s">
        <v>14</v>
      </c>
      <c r="L1553" t="s">
        <v>316</v>
      </c>
      <c r="M1553" t="s">
        <v>305</v>
      </c>
      <c r="N1553">
        <v>2.5000000000000001E-3</v>
      </c>
      <c r="O1553" t="str">
        <f>IF(Transactions_RAW_cleaned[[#This Row],[Status]]="Completed", IFERROR(_xlfn.XLOOKUP(Transactions_RAW_cleaned[[#This Row],[CustomerID]], Customers_cleaned[CustomerID], Customers_cleaned[Segment]), "Customer Not Found"), "N/A")</f>
        <v>SMB</v>
      </c>
      <c r="P1553" s="5" t="str">
        <f>IF(Transactions_RAW_cleaned[[#This Row],[Status]]="Refunded", "Refund",
  IF(Transactions_RAW_cleaned[[#This Row],[Category]]="Payments", IF(Transactions_RAW_cleaned[[#This Row],[Amount]]&gt;500,"High Value","Standard"),
    IF(Transactions_RAW_cleaned[[#This Row],[Amount]]&gt;250,"High Value","Standard")))</f>
        <v>Standard</v>
      </c>
      <c r="Q1553" s="5" t="str">
        <f>IF(Transactions_RAW_cleaned[[#This Row],[Amount]] &gt; (_xlfn.XLOOKUP(Transactions_RAW_cleaned[[#This Row],[ServiceID]],Services_cleaned[ServiceID],Services_cleaned[TransactionFeePct]) * 10000), "Yes", "No")</f>
        <v>Yes</v>
      </c>
      <c r="R1553" s="5" t="str">
        <f>IF(COUNTIFS($C$2:Transactions_RAW_cleaned[[#This Row],[CustomerID]],Transactions_RAW_cleaned[[#This Row],[CustomerID]],$D$2:Transactions_RAW_cleaned[[#This Row],[ServiceID]],Transactions_RAW_cleaned[[#This Row],[ServiceID]])=1,"Yes","No")</f>
        <v>No</v>
      </c>
      <c r="S155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53" t="str">
        <f>"Q"&amp;ROUNDUP(MONTH(Transactions_RAW_cleaned[[#This Row],[TransactionDate]])/3,0)</f>
        <v>Q1</v>
      </c>
      <c r="U1553" t="str">
        <f>Transactions_RAW_cleaned[[#This Row],[Region ]]&amp;Transactions_RAW_cleaned[[#This Row],[Quarter ]]</f>
        <v>NAQ1</v>
      </c>
      <c r="V1553" s="5">
        <f>_xlfn.XLOOKUP(Transactions_RAW_cleaned[[#This Row],[RegionQuarterKey]], Quarterly_Targets_cleaned[RegionQuarterKey], Quarterly_Targets_cleaned[TargetRevenue])</f>
        <v>247000</v>
      </c>
    </row>
    <row r="1554" spans="1:22" x14ac:dyDescent="0.25">
      <c r="A1554" t="s">
        <v>1888</v>
      </c>
      <c r="B1554" s="1">
        <v>45566</v>
      </c>
      <c r="C1554" t="s">
        <v>26</v>
      </c>
      <c r="D1554" t="s">
        <v>297</v>
      </c>
      <c r="E1554">
        <v>119.57</v>
      </c>
      <c r="F1554" t="s">
        <v>381</v>
      </c>
      <c r="G1554" t="s">
        <v>325</v>
      </c>
      <c r="H1554" t="s">
        <v>332</v>
      </c>
      <c r="I1554" t="s">
        <v>8</v>
      </c>
      <c r="J1554" t="s">
        <v>102</v>
      </c>
      <c r="K1554" t="s">
        <v>28</v>
      </c>
      <c r="L1554" t="s">
        <v>298</v>
      </c>
      <c r="M1554" t="s">
        <v>299</v>
      </c>
      <c r="N1554">
        <v>0</v>
      </c>
      <c r="O1554" t="str">
        <f>IF(Transactions_RAW_cleaned[[#This Row],[Status]]="Completed", IFERROR(_xlfn.XLOOKUP(Transactions_RAW_cleaned[[#This Row],[CustomerID]], Customers_cleaned[CustomerID], Customers_cleaned[Segment]), "Customer Not Found"), "N/A")</f>
        <v>N/A</v>
      </c>
      <c r="P1554" s="5" t="str">
        <f>IF(Transactions_RAW_cleaned[[#This Row],[Status]]="Refunded", "Refund",
  IF(Transactions_RAW_cleaned[[#This Row],[Category]]="Payments", IF(Transactions_RAW_cleaned[[#This Row],[Amount]]&gt;500,"High Value","Standard"),
    IF(Transactions_RAW_cleaned[[#This Row],[Amount]]&gt;250,"High Value","Standard")))</f>
        <v>Standard</v>
      </c>
      <c r="Q1554" s="5" t="str">
        <f>IF(Transactions_RAW_cleaned[[#This Row],[Amount]] &gt; (_xlfn.XLOOKUP(Transactions_RAW_cleaned[[#This Row],[ServiceID]],Services_cleaned[ServiceID],Services_cleaned[TransactionFeePct]) * 10000), "Yes", "No")</f>
        <v>Yes</v>
      </c>
      <c r="R1554" s="5" t="str">
        <f>IF(COUNTIFS($C$2:Transactions_RAW_cleaned[[#This Row],[CustomerID]],Transactions_RAW_cleaned[[#This Row],[CustomerID]],$D$2:Transactions_RAW_cleaned[[#This Row],[ServiceID]],Transactions_RAW_cleaned[[#This Row],[ServiceID]])=1,"Yes","No")</f>
        <v>No</v>
      </c>
      <c r="S155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54" t="str">
        <f>"Q"&amp;ROUNDUP(MONTH(Transactions_RAW_cleaned[[#This Row],[TransactionDate]])/3,0)</f>
        <v>Q4</v>
      </c>
      <c r="U1554" t="str">
        <f>Transactions_RAW_cleaned[[#This Row],[Region ]]&amp;Transactions_RAW_cleaned[[#This Row],[Quarter ]]</f>
        <v>NAQ4</v>
      </c>
      <c r="V1554" s="5">
        <f>_xlfn.XLOOKUP(Transactions_RAW_cleaned[[#This Row],[RegionQuarterKey]], Quarterly_Targets_cleaned[RegionQuarterKey], Quarterly_Targets_cleaned[TargetRevenue])</f>
        <v>299000</v>
      </c>
    </row>
    <row r="1555" spans="1:22" x14ac:dyDescent="0.25">
      <c r="A1555" t="s">
        <v>1889</v>
      </c>
      <c r="B1555" s="1">
        <v>45467</v>
      </c>
      <c r="C1555" t="s">
        <v>66</v>
      </c>
      <c r="D1555" t="s">
        <v>306</v>
      </c>
      <c r="E1555">
        <v>581.70000000000005</v>
      </c>
      <c r="F1555" t="s">
        <v>324</v>
      </c>
      <c r="G1555" t="s">
        <v>325</v>
      </c>
      <c r="H1555" t="s">
        <v>334</v>
      </c>
      <c r="I1555" t="s">
        <v>8</v>
      </c>
      <c r="J1555" t="s">
        <v>46</v>
      </c>
      <c r="K1555" t="s">
        <v>10</v>
      </c>
      <c r="L1555" t="s">
        <v>307</v>
      </c>
      <c r="M1555" t="s">
        <v>308</v>
      </c>
      <c r="N1555">
        <v>0</v>
      </c>
      <c r="O1555" t="str">
        <f>IF(Transactions_RAW_cleaned[[#This Row],[Status]]="Completed", IFERROR(_xlfn.XLOOKUP(Transactions_RAW_cleaned[[#This Row],[CustomerID]], Customers_cleaned[CustomerID], Customers_cleaned[Segment]), "Customer Not Found"), "N/A")</f>
        <v>SMB</v>
      </c>
      <c r="P1555" s="5" t="str">
        <f>IF(Transactions_RAW_cleaned[[#This Row],[Status]]="Refunded", "Refund",
  IF(Transactions_RAW_cleaned[[#This Row],[Category]]="Payments", IF(Transactions_RAW_cleaned[[#This Row],[Amount]]&gt;500,"High Value","Standard"),
    IF(Transactions_RAW_cleaned[[#This Row],[Amount]]&gt;250,"High Value","Standard")))</f>
        <v>High Value</v>
      </c>
      <c r="Q1555" s="5" t="str">
        <f>IF(Transactions_RAW_cleaned[[#This Row],[Amount]] &gt; (_xlfn.XLOOKUP(Transactions_RAW_cleaned[[#This Row],[ServiceID]],Services_cleaned[ServiceID],Services_cleaned[TransactionFeePct]) * 10000), "Yes", "No")</f>
        <v>Yes</v>
      </c>
      <c r="R1555" s="5" t="str">
        <f>IF(COUNTIFS($C$2:Transactions_RAW_cleaned[[#This Row],[CustomerID]],Transactions_RAW_cleaned[[#This Row],[CustomerID]],$D$2:Transactions_RAW_cleaned[[#This Row],[ServiceID]],Transactions_RAW_cleaned[[#This Row],[ServiceID]])=1,"Yes","No")</f>
        <v>No</v>
      </c>
      <c r="S155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55" t="str">
        <f>"Q"&amp;ROUNDUP(MONTH(Transactions_RAW_cleaned[[#This Row],[TransactionDate]])/3,0)</f>
        <v>Q2</v>
      </c>
      <c r="U1555" t="str">
        <f>Transactions_RAW_cleaned[[#This Row],[Region ]]&amp;Transactions_RAW_cleaned[[#This Row],[Quarter ]]</f>
        <v>APACQ2</v>
      </c>
      <c r="V1555" s="5">
        <f>_xlfn.XLOOKUP(Transactions_RAW_cleaned[[#This Row],[RegionQuarterKey]], Quarterly_Targets_cleaned[RegionQuarterKey], Quarterly_Targets_cleaned[TargetRevenue])</f>
        <v>110000</v>
      </c>
    </row>
    <row r="1556" spans="1:22" x14ac:dyDescent="0.25">
      <c r="A1556" t="s">
        <v>1890</v>
      </c>
      <c r="B1556" s="1">
        <v>45440</v>
      </c>
      <c r="C1556" t="s">
        <v>141</v>
      </c>
      <c r="D1556" t="s">
        <v>312</v>
      </c>
      <c r="E1556">
        <v>1139.6099999999999</v>
      </c>
      <c r="F1556" t="s">
        <v>331</v>
      </c>
      <c r="G1556" t="s">
        <v>327</v>
      </c>
      <c r="I1556" t="s">
        <v>57</v>
      </c>
      <c r="J1556" t="s">
        <v>25</v>
      </c>
      <c r="K1556" t="s">
        <v>10</v>
      </c>
      <c r="L1556" t="s">
        <v>313</v>
      </c>
      <c r="M1556" t="s">
        <v>314</v>
      </c>
      <c r="N1556">
        <v>0</v>
      </c>
      <c r="O1556" t="str">
        <f>IF(Transactions_RAW_cleaned[[#This Row],[Status]]="Completed", IFERROR(_xlfn.XLOOKUP(Transactions_RAW_cleaned[[#This Row],[CustomerID]], Customers_cleaned[CustomerID], Customers_cleaned[Segment]), "Customer Not Found"), "N/A")</f>
        <v>N/A</v>
      </c>
      <c r="P1556" s="5" t="str">
        <f>IF(Transactions_RAW_cleaned[[#This Row],[Status]]="Refunded", "Refund",
  IF(Transactions_RAW_cleaned[[#This Row],[Category]]="Payments", IF(Transactions_RAW_cleaned[[#This Row],[Amount]]&gt;500,"High Value","Standard"),
    IF(Transactions_RAW_cleaned[[#This Row],[Amount]]&gt;250,"High Value","Standard")))</f>
        <v>High Value</v>
      </c>
      <c r="Q1556" s="5" t="str">
        <f>IF(Transactions_RAW_cleaned[[#This Row],[Amount]] &gt; (_xlfn.XLOOKUP(Transactions_RAW_cleaned[[#This Row],[ServiceID]],Services_cleaned[ServiceID],Services_cleaned[TransactionFeePct]) * 10000), "Yes", "No")</f>
        <v>Yes</v>
      </c>
      <c r="R1556" s="5" t="str">
        <f>IF(COUNTIFS($C$2:Transactions_RAW_cleaned[[#This Row],[CustomerID]],Transactions_RAW_cleaned[[#This Row],[CustomerID]],$D$2:Transactions_RAW_cleaned[[#This Row],[ServiceID]],Transactions_RAW_cleaned[[#This Row],[ServiceID]])=1,"Yes","No")</f>
        <v>Yes</v>
      </c>
      <c r="S155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56" t="str">
        <f>"Q"&amp;ROUNDUP(MONTH(Transactions_RAW_cleaned[[#This Row],[TransactionDate]])/3,0)</f>
        <v>Q2</v>
      </c>
      <c r="U1556" t="str">
        <f>Transactions_RAW_cleaned[[#This Row],[Region ]]&amp;Transactions_RAW_cleaned[[#This Row],[Quarter ]]</f>
        <v>APACQ2</v>
      </c>
      <c r="V1556" s="5">
        <f>_xlfn.XLOOKUP(Transactions_RAW_cleaned[[#This Row],[RegionQuarterKey]], Quarterly_Targets_cleaned[RegionQuarterKey], Quarterly_Targets_cleaned[TargetRevenue])</f>
        <v>110000</v>
      </c>
    </row>
    <row r="1557" spans="1:22" x14ac:dyDescent="0.25">
      <c r="A1557" t="s">
        <v>1891</v>
      </c>
      <c r="B1557" s="1">
        <v>45527</v>
      </c>
      <c r="C1557" t="s">
        <v>88</v>
      </c>
      <c r="D1557" t="s">
        <v>294</v>
      </c>
      <c r="E1557">
        <v>647.92999999999995</v>
      </c>
      <c r="F1557" t="s">
        <v>324</v>
      </c>
      <c r="G1557" t="s">
        <v>337</v>
      </c>
      <c r="H1557" t="s">
        <v>332</v>
      </c>
      <c r="I1557" t="s">
        <v>8</v>
      </c>
      <c r="J1557" t="s">
        <v>102</v>
      </c>
      <c r="K1557" t="s">
        <v>18</v>
      </c>
      <c r="L1557" t="s">
        <v>295</v>
      </c>
      <c r="M1557" t="s">
        <v>296</v>
      </c>
      <c r="N1557">
        <v>2.9000000000000001E-2</v>
      </c>
      <c r="O1557" t="str">
        <f>IF(Transactions_RAW_cleaned[[#This Row],[Status]]="Completed", IFERROR(_xlfn.XLOOKUP(Transactions_RAW_cleaned[[#This Row],[CustomerID]], Customers_cleaned[CustomerID], Customers_cleaned[Segment]), "Customer Not Found"), "N/A")</f>
        <v>SMB</v>
      </c>
      <c r="P1557" s="5" t="str">
        <f>IF(Transactions_RAW_cleaned[[#This Row],[Status]]="Refunded", "Refund",
  IF(Transactions_RAW_cleaned[[#This Row],[Category]]="Payments", IF(Transactions_RAW_cleaned[[#This Row],[Amount]]&gt;500,"High Value","Standard"),
    IF(Transactions_RAW_cleaned[[#This Row],[Amount]]&gt;250,"High Value","Standard")))</f>
        <v>High Value</v>
      </c>
      <c r="Q1557" s="5" t="str">
        <f>IF(Transactions_RAW_cleaned[[#This Row],[Amount]] &gt; (_xlfn.XLOOKUP(Transactions_RAW_cleaned[[#This Row],[ServiceID]],Services_cleaned[ServiceID],Services_cleaned[TransactionFeePct]) * 10000), "Yes", "No")</f>
        <v>Yes</v>
      </c>
      <c r="R1557" s="5" t="str">
        <f>IF(COUNTIFS($C$2:Transactions_RAW_cleaned[[#This Row],[CustomerID]],Transactions_RAW_cleaned[[#This Row],[CustomerID]],$D$2:Transactions_RAW_cleaned[[#This Row],[ServiceID]],Transactions_RAW_cleaned[[#This Row],[ServiceID]])=1,"Yes","No")</f>
        <v>No</v>
      </c>
      <c r="S155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57" t="str">
        <f>"Q"&amp;ROUNDUP(MONTH(Transactions_RAW_cleaned[[#This Row],[TransactionDate]])/3,0)</f>
        <v>Q3</v>
      </c>
      <c r="U1557" t="str">
        <f>Transactions_RAW_cleaned[[#This Row],[Region ]]&amp;Transactions_RAW_cleaned[[#This Row],[Quarter ]]</f>
        <v>NAQ3</v>
      </c>
      <c r="V1557" s="5">
        <f>_xlfn.XLOOKUP(Transactions_RAW_cleaned[[#This Row],[RegionQuarterKey]], Quarterly_Targets_cleaned[RegionQuarterKey], Quarterly_Targets_cleaned[TargetRevenue])</f>
        <v>273000</v>
      </c>
    </row>
    <row r="1558" spans="1:22" x14ac:dyDescent="0.25">
      <c r="A1558" t="s">
        <v>1892</v>
      </c>
      <c r="B1558" s="1">
        <v>45504</v>
      </c>
      <c r="C1558" t="s">
        <v>40</v>
      </c>
      <c r="D1558" t="s">
        <v>300</v>
      </c>
      <c r="E1558">
        <v>1132.74</v>
      </c>
      <c r="F1558" t="s">
        <v>324</v>
      </c>
      <c r="G1558" t="s">
        <v>325</v>
      </c>
      <c r="H1558" t="s">
        <v>334</v>
      </c>
      <c r="I1558" t="s">
        <v>17</v>
      </c>
      <c r="J1558" t="s">
        <v>102</v>
      </c>
      <c r="K1558" t="s">
        <v>14</v>
      </c>
      <c r="L1558" t="s">
        <v>301</v>
      </c>
      <c r="M1558" t="s">
        <v>302</v>
      </c>
      <c r="N1558">
        <v>5.0000000000000001E-3</v>
      </c>
      <c r="O1558" t="str">
        <f>IF(Transactions_RAW_cleaned[[#This Row],[Status]]="Completed", IFERROR(_xlfn.XLOOKUP(Transactions_RAW_cleaned[[#This Row],[CustomerID]], Customers_cleaned[CustomerID], Customers_cleaned[Segment]), "Customer Not Found"), "N/A")</f>
        <v>Enterprise</v>
      </c>
      <c r="P1558" s="5" t="str">
        <f>IF(Transactions_RAW_cleaned[[#This Row],[Status]]="Refunded", "Refund",
  IF(Transactions_RAW_cleaned[[#This Row],[Category]]="Payments", IF(Transactions_RAW_cleaned[[#This Row],[Amount]]&gt;500,"High Value","Standard"),
    IF(Transactions_RAW_cleaned[[#This Row],[Amount]]&gt;250,"High Value","Standard")))</f>
        <v>High Value</v>
      </c>
      <c r="Q1558" s="5" t="str">
        <f>IF(Transactions_RAW_cleaned[[#This Row],[Amount]] &gt; (_xlfn.XLOOKUP(Transactions_RAW_cleaned[[#This Row],[ServiceID]],Services_cleaned[ServiceID],Services_cleaned[TransactionFeePct]) * 10000), "Yes", "No")</f>
        <v>Yes</v>
      </c>
      <c r="R1558" s="5" t="str">
        <f>IF(COUNTIFS($C$2:Transactions_RAW_cleaned[[#This Row],[CustomerID]],Transactions_RAW_cleaned[[#This Row],[CustomerID]],$D$2:Transactions_RAW_cleaned[[#This Row],[ServiceID]],Transactions_RAW_cleaned[[#This Row],[ServiceID]])=1,"Yes","No")</f>
        <v>No</v>
      </c>
      <c r="S155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58" t="str">
        <f>"Q"&amp;ROUNDUP(MONTH(Transactions_RAW_cleaned[[#This Row],[TransactionDate]])/3,0)</f>
        <v>Q3</v>
      </c>
      <c r="U1558" t="str">
        <f>Transactions_RAW_cleaned[[#This Row],[Region ]]&amp;Transactions_RAW_cleaned[[#This Row],[Quarter ]]</f>
        <v>NAQ3</v>
      </c>
      <c r="V1558" s="5">
        <f>_xlfn.XLOOKUP(Transactions_RAW_cleaned[[#This Row],[RegionQuarterKey]], Quarterly_Targets_cleaned[RegionQuarterKey], Quarterly_Targets_cleaned[TargetRevenue])</f>
        <v>273000</v>
      </c>
    </row>
    <row r="1559" spans="1:22" x14ac:dyDescent="0.25">
      <c r="A1559" t="s">
        <v>1893</v>
      </c>
      <c r="B1559" s="1">
        <v>45358</v>
      </c>
      <c r="C1559" t="s">
        <v>113</v>
      </c>
      <c r="D1559" t="s">
        <v>309</v>
      </c>
      <c r="E1559">
        <v>532.30999999999995</v>
      </c>
      <c r="F1559" t="s">
        <v>324</v>
      </c>
      <c r="G1559" t="s">
        <v>325</v>
      </c>
      <c r="I1559" t="s">
        <v>57</v>
      </c>
      <c r="J1559" t="s">
        <v>46</v>
      </c>
      <c r="K1559" t="s">
        <v>10</v>
      </c>
      <c r="L1559" t="s">
        <v>310</v>
      </c>
      <c r="M1559" t="s">
        <v>311</v>
      </c>
      <c r="N1559">
        <v>0</v>
      </c>
      <c r="O1559" t="str">
        <f>IF(Transactions_RAW_cleaned[[#This Row],[Status]]="Completed", IFERROR(_xlfn.XLOOKUP(Transactions_RAW_cleaned[[#This Row],[CustomerID]], Customers_cleaned[CustomerID], Customers_cleaned[Segment]), "Customer Not Found"), "N/A")</f>
        <v>Startup</v>
      </c>
      <c r="P1559" s="5" t="str">
        <f>IF(Transactions_RAW_cleaned[[#This Row],[Status]]="Refunded", "Refund",
  IF(Transactions_RAW_cleaned[[#This Row],[Category]]="Payments", IF(Transactions_RAW_cleaned[[#This Row],[Amount]]&gt;500,"High Value","Standard"),
    IF(Transactions_RAW_cleaned[[#This Row],[Amount]]&gt;250,"High Value","Standard")))</f>
        <v>High Value</v>
      </c>
      <c r="Q1559" s="5" t="str">
        <f>IF(Transactions_RAW_cleaned[[#This Row],[Amount]] &gt; (_xlfn.XLOOKUP(Transactions_RAW_cleaned[[#This Row],[ServiceID]],Services_cleaned[ServiceID],Services_cleaned[TransactionFeePct]) * 10000), "Yes", "No")</f>
        <v>Yes</v>
      </c>
      <c r="R1559" s="5" t="str">
        <f>IF(COUNTIFS($C$2:Transactions_RAW_cleaned[[#This Row],[CustomerID]],Transactions_RAW_cleaned[[#This Row],[CustomerID]],$D$2:Transactions_RAW_cleaned[[#This Row],[ServiceID]],Transactions_RAW_cleaned[[#This Row],[ServiceID]])=1,"Yes","No")</f>
        <v>Yes</v>
      </c>
      <c r="S155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59" t="str">
        <f>"Q"&amp;ROUNDUP(MONTH(Transactions_RAW_cleaned[[#This Row],[TransactionDate]])/3,0)</f>
        <v>Q1</v>
      </c>
      <c r="U1559" t="str">
        <f>Transactions_RAW_cleaned[[#This Row],[Region ]]&amp;Transactions_RAW_cleaned[[#This Row],[Quarter ]]</f>
        <v>APACQ1</v>
      </c>
      <c r="V1559" s="5">
        <f>_xlfn.XLOOKUP(Transactions_RAW_cleaned[[#This Row],[RegionQuarterKey]], Quarterly_Targets_cleaned[RegionQuarterKey], Quarterly_Targets_cleaned[TargetRevenue])</f>
        <v>104500</v>
      </c>
    </row>
    <row r="1560" spans="1:22" x14ac:dyDescent="0.25">
      <c r="A1560" t="s">
        <v>1894</v>
      </c>
      <c r="B1560" s="1">
        <v>45504</v>
      </c>
      <c r="C1560" t="s">
        <v>265</v>
      </c>
      <c r="D1560" t="s">
        <v>312</v>
      </c>
      <c r="E1560">
        <v>400.14</v>
      </c>
      <c r="F1560" t="s">
        <v>324</v>
      </c>
      <c r="G1560" t="s">
        <v>325</v>
      </c>
      <c r="I1560" t="s">
        <v>8</v>
      </c>
      <c r="J1560" t="s">
        <v>102</v>
      </c>
      <c r="K1560" t="s">
        <v>32</v>
      </c>
      <c r="L1560" t="s">
        <v>313</v>
      </c>
      <c r="M1560" t="s">
        <v>314</v>
      </c>
      <c r="N1560">
        <v>0</v>
      </c>
      <c r="O1560" t="str">
        <f>IF(Transactions_RAW_cleaned[[#This Row],[Status]]="Completed", IFERROR(_xlfn.XLOOKUP(Transactions_RAW_cleaned[[#This Row],[CustomerID]], Customers_cleaned[CustomerID], Customers_cleaned[Segment]), "Customer Not Found"), "N/A")</f>
        <v>SMB</v>
      </c>
      <c r="P1560" s="5" t="str">
        <f>IF(Transactions_RAW_cleaned[[#This Row],[Status]]="Refunded", "Refund",
  IF(Transactions_RAW_cleaned[[#This Row],[Category]]="Payments", IF(Transactions_RAW_cleaned[[#This Row],[Amount]]&gt;500,"High Value","Standard"),
    IF(Transactions_RAW_cleaned[[#This Row],[Amount]]&gt;250,"High Value","Standard")))</f>
        <v>High Value</v>
      </c>
      <c r="Q1560" s="5" t="str">
        <f>IF(Transactions_RAW_cleaned[[#This Row],[Amount]] &gt; (_xlfn.XLOOKUP(Transactions_RAW_cleaned[[#This Row],[ServiceID]],Services_cleaned[ServiceID],Services_cleaned[TransactionFeePct]) * 10000), "Yes", "No")</f>
        <v>Yes</v>
      </c>
      <c r="R1560" s="5" t="str">
        <f>IF(COUNTIFS($C$2:Transactions_RAW_cleaned[[#This Row],[CustomerID]],Transactions_RAW_cleaned[[#This Row],[CustomerID]],$D$2:Transactions_RAW_cleaned[[#This Row],[ServiceID]],Transactions_RAW_cleaned[[#This Row],[ServiceID]])=1,"Yes","No")</f>
        <v>Yes</v>
      </c>
      <c r="S156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60" t="str">
        <f>"Q"&amp;ROUNDUP(MONTH(Transactions_RAW_cleaned[[#This Row],[TransactionDate]])/3,0)</f>
        <v>Q3</v>
      </c>
      <c r="U1560" t="str">
        <f>Transactions_RAW_cleaned[[#This Row],[Region ]]&amp;Transactions_RAW_cleaned[[#This Row],[Quarter ]]</f>
        <v>NAQ3</v>
      </c>
      <c r="V1560" s="5">
        <f>_xlfn.XLOOKUP(Transactions_RAW_cleaned[[#This Row],[RegionQuarterKey]], Quarterly_Targets_cleaned[RegionQuarterKey], Quarterly_Targets_cleaned[TargetRevenue])</f>
        <v>273000</v>
      </c>
    </row>
    <row r="1561" spans="1:22" x14ac:dyDescent="0.25">
      <c r="A1561" t="s">
        <v>1895</v>
      </c>
      <c r="B1561" s="1">
        <v>45515</v>
      </c>
      <c r="C1561" t="s">
        <v>243</v>
      </c>
      <c r="D1561" t="s">
        <v>315</v>
      </c>
      <c r="E1561">
        <v>183.34</v>
      </c>
      <c r="F1561" t="s">
        <v>331</v>
      </c>
      <c r="G1561" t="s">
        <v>325</v>
      </c>
      <c r="I1561" t="s">
        <v>17</v>
      </c>
      <c r="J1561" t="s">
        <v>13</v>
      </c>
      <c r="K1561" t="s">
        <v>28</v>
      </c>
      <c r="L1561" t="s">
        <v>316</v>
      </c>
      <c r="M1561" t="s">
        <v>305</v>
      </c>
      <c r="N1561">
        <v>2.5000000000000001E-3</v>
      </c>
      <c r="O1561" t="str">
        <f>IF(Transactions_RAW_cleaned[[#This Row],[Status]]="Completed", IFERROR(_xlfn.XLOOKUP(Transactions_RAW_cleaned[[#This Row],[CustomerID]], Customers_cleaned[CustomerID], Customers_cleaned[Segment]), "Customer Not Found"), "N/A")</f>
        <v>N/A</v>
      </c>
      <c r="P1561" s="5" t="str">
        <f>IF(Transactions_RAW_cleaned[[#This Row],[Status]]="Refunded", "Refund",
  IF(Transactions_RAW_cleaned[[#This Row],[Category]]="Payments", IF(Transactions_RAW_cleaned[[#This Row],[Amount]]&gt;500,"High Value","Standard"),
    IF(Transactions_RAW_cleaned[[#This Row],[Amount]]&gt;250,"High Value","Standard")))</f>
        <v>Standard</v>
      </c>
      <c r="Q1561" s="5" t="str">
        <f>IF(Transactions_RAW_cleaned[[#This Row],[Amount]] &gt; (_xlfn.XLOOKUP(Transactions_RAW_cleaned[[#This Row],[ServiceID]],Services_cleaned[ServiceID],Services_cleaned[TransactionFeePct]) * 10000), "Yes", "No")</f>
        <v>Yes</v>
      </c>
      <c r="R1561" s="5" t="str">
        <f>IF(COUNTIFS($C$2:Transactions_RAW_cleaned[[#This Row],[CustomerID]],Transactions_RAW_cleaned[[#This Row],[CustomerID]],$D$2:Transactions_RAW_cleaned[[#This Row],[ServiceID]],Transactions_RAW_cleaned[[#This Row],[ServiceID]])=1,"Yes","No")</f>
        <v>Yes</v>
      </c>
      <c r="S156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61" t="str">
        <f>"Q"&amp;ROUNDUP(MONTH(Transactions_RAW_cleaned[[#This Row],[TransactionDate]])/3,0)</f>
        <v>Q3</v>
      </c>
      <c r="U1561" t="str">
        <f>Transactions_RAW_cleaned[[#This Row],[Region ]]&amp;Transactions_RAW_cleaned[[#This Row],[Quarter ]]</f>
        <v>NAQ3</v>
      </c>
      <c r="V1561" s="5">
        <f>_xlfn.XLOOKUP(Transactions_RAW_cleaned[[#This Row],[RegionQuarterKey]], Quarterly_Targets_cleaned[RegionQuarterKey], Quarterly_Targets_cleaned[TargetRevenue])</f>
        <v>273000</v>
      </c>
    </row>
    <row r="1562" spans="1:22" x14ac:dyDescent="0.25">
      <c r="A1562" t="s">
        <v>1896</v>
      </c>
      <c r="B1562" s="1">
        <v>45540</v>
      </c>
      <c r="C1562" t="s">
        <v>86</v>
      </c>
      <c r="D1562" t="s">
        <v>303</v>
      </c>
      <c r="E1562">
        <v>266.63</v>
      </c>
      <c r="F1562" t="s">
        <v>381</v>
      </c>
      <c r="G1562" t="s">
        <v>337</v>
      </c>
      <c r="I1562" t="s">
        <v>8</v>
      </c>
      <c r="J1562" t="s">
        <v>102</v>
      </c>
      <c r="K1562" t="s">
        <v>18</v>
      </c>
      <c r="L1562" t="s">
        <v>304</v>
      </c>
      <c r="M1562" t="s">
        <v>305</v>
      </c>
      <c r="N1562">
        <v>1E-3</v>
      </c>
      <c r="O1562" t="str">
        <f>IF(Transactions_RAW_cleaned[[#This Row],[Status]]="Completed", IFERROR(_xlfn.XLOOKUP(Transactions_RAW_cleaned[[#This Row],[CustomerID]], Customers_cleaned[CustomerID], Customers_cleaned[Segment]), "Customer Not Found"), "N/A")</f>
        <v>N/A</v>
      </c>
      <c r="P1562" s="5" t="str">
        <f>IF(Transactions_RAW_cleaned[[#This Row],[Status]]="Refunded", "Refund",
  IF(Transactions_RAW_cleaned[[#This Row],[Category]]="Payments", IF(Transactions_RAW_cleaned[[#This Row],[Amount]]&gt;500,"High Value","Standard"),
    IF(Transactions_RAW_cleaned[[#This Row],[Amount]]&gt;250,"High Value","Standard")))</f>
        <v>High Value</v>
      </c>
      <c r="Q1562" s="5" t="str">
        <f>IF(Transactions_RAW_cleaned[[#This Row],[Amount]] &gt; (_xlfn.XLOOKUP(Transactions_RAW_cleaned[[#This Row],[ServiceID]],Services_cleaned[ServiceID],Services_cleaned[TransactionFeePct]) * 10000), "Yes", "No")</f>
        <v>Yes</v>
      </c>
      <c r="R1562" s="5" t="str">
        <f>IF(COUNTIFS($C$2:Transactions_RAW_cleaned[[#This Row],[CustomerID]],Transactions_RAW_cleaned[[#This Row],[CustomerID]],$D$2:Transactions_RAW_cleaned[[#This Row],[ServiceID]],Transactions_RAW_cleaned[[#This Row],[ServiceID]])=1,"Yes","No")</f>
        <v>No</v>
      </c>
      <c r="S156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62" t="str">
        <f>"Q"&amp;ROUNDUP(MONTH(Transactions_RAW_cleaned[[#This Row],[TransactionDate]])/3,0)</f>
        <v>Q3</v>
      </c>
      <c r="U1562" t="str">
        <f>Transactions_RAW_cleaned[[#This Row],[Region ]]&amp;Transactions_RAW_cleaned[[#This Row],[Quarter ]]</f>
        <v>NAQ3</v>
      </c>
      <c r="V1562" s="5">
        <f>_xlfn.XLOOKUP(Transactions_RAW_cleaned[[#This Row],[RegionQuarterKey]], Quarterly_Targets_cleaned[RegionQuarterKey], Quarterly_Targets_cleaned[TargetRevenue])</f>
        <v>273000</v>
      </c>
    </row>
    <row r="1563" spans="1:22" x14ac:dyDescent="0.25">
      <c r="A1563" t="s">
        <v>1897</v>
      </c>
      <c r="B1563" s="1">
        <v>45434</v>
      </c>
      <c r="C1563" t="s">
        <v>33</v>
      </c>
      <c r="D1563" t="s">
        <v>294</v>
      </c>
      <c r="E1563">
        <v>874.58</v>
      </c>
      <c r="F1563" t="s">
        <v>324</v>
      </c>
      <c r="G1563" t="s">
        <v>337</v>
      </c>
      <c r="H1563" t="s">
        <v>334</v>
      </c>
      <c r="I1563" t="s">
        <v>17</v>
      </c>
      <c r="J1563" t="s">
        <v>31</v>
      </c>
      <c r="K1563" t="s">
        <v>14</v>
      </c>
      <c r="L1563" t="s">
        <v>295</v>
      </c>
      <c r="M1563" t="s">
        <v>296</v>
      </c>
      <c r="N1563">
        <v>2.9000000000000001E-2</v>
      </c>
      <c r="O1563" t="str">
        <f>IF(Transactions_RAW_cleaned[[#This Row],[Status]]="Completed", IFERROR(_xlfn.XLOOKUP(Transactions_RAW_cleaned[[#This Row],[CustomerID]], Customers_cleaned[CustomerID], Customers_cleaned[Segment]), "Customer Not Found"), "N/A")</f>
        <v>Enterprise</v>
      </c>
      <c r="P1563" s="5" t="str">
        <f>IF(Transactions_RAW_cleaned[[#This Row],[Status]]="Refunded", "Refund",
  IF(Transactions_RAW_cleaned[[#This Row],[Category]]="Payments", IF(Transactions_RAW_cleaned[[#This Row],[Amount]]&gt;500,"High Value","Standard"),
    IF(Transactions_RAW_cleaned[[#This Row],[Amount]]&gt;250,"High Value","Standard")))</f>
        <v>High Value</v>
      </c>
      <c r="Q1563" s="5" t="str">
        <f>IF(Transactions_RAW_cleaned[[#This Row],[Amount]] &gt; (_xlfn.XLOOKUP(Transactions_RAW_cleaned[[#This Row],[ServiceID]],Services_cleaned[ServiceID],Services_cleaned[TransactionFeePct]) * 10000), "Yes", "No")</f>
        <v>Yes</v>
      </c>
      <c r="R1563" s="5" t="str">
        <f>IF(COUNTIFS($C$2:Transactions_RAW_cleaned[[#This Row],[CustomerID]],Transactions_RAW_cleaned[[#This Row],[CustomerID]],$D$2:Transactions_RAW_cleaned[[#This Row],[ServiceID]],Transactions_RAW_cleaned[[#This Row],[ServiceID]])=1,"Yes","No")</f>
        <v>No</v>
      </c>
      <c r="S156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63" t="str">
        <f>"Q"&amp;ROUNDUP(MONTH(Transactions_RAW_cleaned[[#This Row],[TransactionDate]])/3,0)</f>
        <v>Q2</v>
      </c>
      <c r="U1563" t="str">
        <f>Transactions_RAW_cleaned[[#This Row],[Region ]]&amp;Transactions_RAW_cleaned[[#This Row],[Quarter ]]</f>
        <v>EMEAQ2</v>
      </c>
      <c r="V1563" s="5">
        <f>_xlfn.XLOOKUP(Transactions_RAW_cleaned[[#This Row],[RegionQuarterKey]], Quarterly_Targets_cleaned[RegionQuarterKey], Quarterly_Targets_cleaned[TargetRevenue])</f>
        <v>140000</v>
      </c>
    </row>
    <row r="1564" spans="1:22" x14ac:dyDescent="0.25">
      <c r="A1564" t="s">
        <v>1898</v>
      </c>
      <c r="B1564" s="1">
        <v>45502</v>
      </c>
      <c r="C1564" t="s">
        <v>237</v>
      </c>
      <c r="D1564" t="s">
        <v>300</v>
      </c>
      <c r="E1564">
        <v>252.51</v>
      </c>
      <c r="F1564" t="s">
        <v>324</v>
      </c>
      <c r="G1564" t="s">
        <v>325</v>
      </c>
      <c r="H1564" t="s">
        <v>346</v>
      </c>
      <c r="I1564" t="s">
        <v>8</v>
      </c>
      <c r="J1564" t="s">
        <v>46</v>
      </c>
      <c r="K1564" t="s">
        <v>10</v>
      </c>
      <c r="L1564" t="s">
        <v>301</v>
      </c>
      <c r="M1564" t="s">
        <v>302</v>
      </c>
      <c r="N1564">
        <v>5.0000000000000001E-3</v>
      </c>
      <c r="O1564" t="str">
        <f>IF(Transactions_RAW_cleaned[[#This Row],[Status]]="Completed", IFERROR(_xlfn.XLOOKUP(Transactions_RAW_cleaned[[#This Row],[CustomerID]], Customers_cleaned[CustomerID], Customers_cleaned[Segment]), "Customer Not Found"), "N/A")</f>
        <v>SMB</v>
      </c>
      <c r="P1564" s="5" t="str">
        <f>IF(Transactions_RAW_cleaned[[#This Row],[Status]]="Refunded", "Refund",
  IF(Transactions_RAW_cleaned[[#This Row],[Category]]="Payments", IF(Transactions_RAW_cleaned[[#This Row],[Amount]]&gt;500,"High Value","Standard"),
    IF(Transactions_RAW_cleaned[[#This Row],[Amount]]&gt;250,"High Value","Standard")))</f>
        <v>High Value</v>
      </c>
      <c r="Q1564" s="5" t="str">
        <f>IF(Transactions_RAW_cleaned[[#This Row],[Amount]] &gt; (_xlfn.XLOOKUP(Transactions_RAW_cleaned[[#This Row],[ServiceID]],Services_cleaned[ServiceID],Services_cleaned[TransactionFeePct]) * 10000), "Yes", "No")</f>
        <v>Yes</v>
      </c>
      <c r="R1564" s="5" t="str">
        <f>IF(COUNTIFS($C$2:Transactions_RAW_cleaned[[#This Row],[CustomerID]],Transactions_RAW_cleaned[[#This Row],[CustomerID]],$D$2:Transactions_RAW_cleaned[[#This Row],[ServiceID]],Transactions_RAW_cleaned[[#This Row],[ServiceID]])=1,"Yes","No")</f>
        <v>Yes</v>
      </c>
      <c r="S156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64" t="str">
        <f>"Q"&amp;ROUNDUP(MONTH(Transactions_RAW_cleaned[[#This Row],[TransactionDate]])/3,0)</f>
        <v>Q3</v>
      </c>
      <c r="U1564" t="str">
        <f>Transactions_RAW_cleaned[[#This Row],[Region ]]&amp;Transactions_RAW_cleaned[[#This Row],[Quarter ]]</f>
        <v>APACQ3</v>
      </c>
      <c r="V1564" s="5">
        <f>_xlfn.XLOOKUP(Transactions_RAW_cleaned[[#This Row],[RegionQuarterKey]], Quarterly_Targets_cleaned[RegionQuarterKey], Quarterly_Targets_cleaned[TargetRevenue])</f>
        <v>115500</v>
      </c>
    </row>
    <row r="1565" spans="1:22" x14ac:dyDescent="0.25">
      <c r="A1565" t="s">
        <v>1899</v>
      </c>
      <c r="B1565" s="1">
        <v>45615</v>
      </c>
      <c r="C1565" t="s">
        <v>213</v>
      </c>
      <c r="D1565" t="s">
        <v>315</v>
      </c>
      <c r="E1565">
        <v>846.56</v>
      </c>
      <c r="F1565" t="s">
        <v>324</v>
      </c>
      <c r="G1565" t="s">
        <v>325</v>
      </c>
      <c r="I1565" t="s">
        <v>17</v>
      </c>
      <c r="J1565" t="s">
        <v>25</v>
      </c>
      <c r="K1565" t="s">
        <v>14</v>
      </c>
      <c r="L1565" t="s">
        <v>316</v>
      </c>
      <c r="M1565" t="s">
        <v>305</v>
      </c>
      <c r="N1565">
        <v>2.5000000000000001E-3</v>
      </c>
      <c r="O1565" t="str">
        <f>IF(Transactions_RAW_cleaned[[#This Row],[Status]]="Completed", IFERROR(_xlfn.XLOOKUP(Transactions_RAW_cleaned[[#This Row],[CustomerID]], Customers_cleaned[CustomerID], Customers_cleaned[Segment]), "Customer Not Found"), "N/A")</f>
        <v>Enterprise</v>
      </c>
      <c r="P1565" s="5" t="str">
        <f>IF(Transactions_RAW_cleaned[[#This Row],[Status]]="Refunded", "Refund",
  IF(Transactions_RAW_cleaned[[#This Row],[Category]]="Payments", IF(Transactions_RAW_cleaned[[#This Row],[Amount]]&gt;500,"High Value","Standard"),
    IF(Transactions_RAW_cleaned[[#This Row],[Amount]]&gt;250,"High Value","Standard")))</f>
        <v>High Value</v>
      </c>
      <c r="Q1565" s="5" t="str">
        <f>IF(Transactions_RAW_cleaned[[#This Row],[Amount]] &gt; (_xlfn.XLOOKUP(Transactions_RAW_cleaned[[#This Row],[ServiceID]],Services_cleaned[ServiceID],Services_cleaned[TransactionFeePct]) * 10000), "Yes", "No")</f>
        <v>Yes</v>
      </c>
      <c r="R1565" s="5" t="str">
        <f>IF(COUNTIFS($C$2:Transactions_RAW_cleaned[[#This Row],[CustomerID]],Transactions_RAW_cleaned[[#This Row],[CustomerID]],$D$2:Transactions_RAW_cleaned[[#This Row],[ServiceID]],Transactions_RAW_cleaned[[#This Row],[ServiceID]])=1,"Yes","No")</f>
        <v>No</v>
      </c>
      <c r="S156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65" t="str">
        <f>"Q"&amp;ROUNDUP(MONTH(Transactions_RAW_cleaned[[#This Row],[TransactionDate]])/3,0)</f>
        <v>Q4</v>
      </c>
      <c r="U1565" t="str">
        <f>Transactions_RAW_cleaned[[#This Row],[Region ]]&amp;Transactions_RAW_cleaned[[#This Row],[Quarter ]]</f>
        <v>APACQ4</v>
      </c>
      <c r="V1565" s="5">
        <f>_xlfn.XLOOKUP(Transactions_RAW_cleaned[[#This Row],[RegionQuarterKey]], Quarterly_Targets_cleaned[RegionQuarterKey], Quarterly_Targets_cleaned[TargetRevenue])</f>
        <v>126500</v>
      </c>
    </row>
    <row r="1566" spans="1:22" x14ac:dyDescent="0.25">
      <c r="A1566" t="s">
        <v>1900</v>
      </c>
      <c r="B1566" s="1">
        <v>45479</v>
      </c>
      <c r="C1566" t="s">
        <v>42</v>
      </c>
      <c r="D1566" t="s">
        <v>294</v>
      </c>
      <c r="E1566">
        <v>627.62</v>
      </c>
      <c r="F1566" t="s">
        <v>324</v>
      </c>
      <c r="G1566" t="s">
        <v>325</v>
      </c>
      <c r="H1566" t="s">
        <v>334</v>
      </c>
      <c r="I1566" t="s">
        <v>8</v>
      </c>
      <c r="J1566" t="s">
        <v>102</v>
      </c>
      <c r="K1566" t="s">
        <v>10</v>
      </c>
      <c r="L1566" t="s">
        <v>295</v>
      </c>
      <c r="M1566" t="s">
        <v>296</v>
      </c>
      <c r="N1566">
        <v>2.9000000000000001E-2</v>
      </c>
      <c r="O1566" t="str">
        <f>IF(Transactions_RAW_cleaned[[#This Row],[Status]]="Completed", IFERROR(_xlfn.XLOOKUP(Transactions_RAW_cleaned[[#This Row],[CustomerID]], Customers_cleaned[CustomerID], Customers_cleaned[Segment]), "Customer Not Found"), "N/A")</f>
        <v>SMB</v>
      </c>
      <c r="P1566" s="5" t="str">
        <f>IF(Transactions_RAW_cleaned[[#This Row],[Status]]="Refunded", "Refund",
  IF(Transactions_RAW_cleaned[[#This Row],[Category]]="Payments", IF(Transactions_RAW_cleaned[[#This Row],[Amount]]&gt;500,"High Value","Standard"),
    IF(Transactions_RAW_cleaned[[#This Row],[Amount]]&gt;250,"High Value","Standard")))</f>
        <v>High Value</v>
      </c>
      <c r="Q1566" s="5" t="str">
        <f>IF(Transactions_RAW_cleaned[[#This Row],[Amount]] &gt; (_xlfn.XLOOKUP(Transactions_RAW_cleaned[[#This Row],[ServiceID]],Services_cleaned[ServiceID],Services_cleaned[TransactionFeePct]) * 10000), "Yes", "No")</f>
        <v>Yes</v>
      </c>
      <c r="R1566" s="5" t="str">
        <f>IF(COUNTIFS($C$2:Transactions_RAW_cleaned[[#This Row],[CustomerID]],Transactions_RAW_cleaned[[#This Row],[CustomerID]],$D$2:Transactions_RAW_cleaned[[#This Row],[ServiceID]],Transactions_RAW_cleaned[[#This Row],[ServiceID]])=1,"Yes","No")</f>
        <v>No</v>
      </c>
      <c r="S156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66" t="str">
        <f>"Q"&amp;ROUNDUP(MONTH(Transactions_RAW_cleaned[[#This Row],[TransactionDate]])/3,0)</f>
        <v>Q3</v>
      </c>
      <c r="U1566" t="str">
        <f>Transactions_RAW_cleaned[[#This Row],[Region ]]&amp;Transactions_RAW_cleaned[[#This Row],[Quarter ]]</f>
        <v>NAQ3</v>
      </c>
      <c r="V1566" s="5">
        <f>_xlfn.XLOOKUP(Transactions_RAW_cleaned[[#This Row],[RegionQuarterKey]], Quarterly_Targets_cleaned[RegionQuarterKey], Quarterly_Targets_cleaned[TargetRevenue])</f>
        <v>273000</v>
      </c>
    </row>
    <row r="1567" spans="1:22" x14ac:dyDescent="0.25">
      <c r="A1567" t="s">
        <v>1901</v>
      </c>
      <c r="B1567" s="1">
        <v>45598</v>
      </c>
      <c r="C1567" t="s">
        <v>131</v>
      </c>
      <c r="D1567" t="s">
        <v>297</v>
      </c>
      <c r="E1567">
        <v>368.5</v>
      </c>
      <c r="F1567" t="s">
        <v>324</v>
      </c>
      <c r="G1567" t="s">
        <v>329</v>
      </c>
      <c r="H1567" t="s">
        <v>332</v>
      </c>
      <c r="I1567" t="s">
        <v>17</v>
      </c>
      <c r="J1567" t="s">
        <v>102</v>
      </c>
      <c r="K1567" t="s">
        <v>22</v>
      </c>
      <c r="L1567" t="s">
        <v>298</v>
      </c>
      <c r="M1567" t="s">
        <v>299</v>
      </c>
      <c r="N1567">
        <v>0</v>
      </c>
      <c r="O1567" t="str">
        <f>IF(Transactions_RAW_cleaned[[#This Row],[Status]]="Completed", IFERROR(_xlfn.XLOOKUP(Transactions_RAW_cleaned[[#This Row],[CustomerID]], Customers_cleaned[CustomerID], Customers_cleaned[Segment]), "Customer Not Found"), "N/A")</f>
        <v>Enterprise</v>
      </c>
      <c r="P1567" s="5" t="str">
        <f>IF(Transactions_RAW_cleaned[[#This Row],[Status]]="Refunded", "Refund",
  IF(Transactions_RAW_cleaned[[#This Row],[Category]]="Payments", IF(Transactions_RAW_cleaned[[#This Row],[Amount]]&gt;500,"High Value","Standard"),
    IF(Transactions_RAW_cleaned[[#This Row],[Amount]]&gt;250,"High Value","Standard")))</f>
        <v>High Value</v>
      </c>
      <c r="Q1567" s="5" t="str">
        <f>IF(Transactions_RAW_cleaned[[#This Row],[Amount]] &gt; (_xlfn.XLOOKUP(Transactions_RAW_cleaned[[#This Row],[ServiceID]],Services_cleaned[ServiceID],Services_cleaned[TransactionFeePct]) * 10000), "Yes", "No")</f>
        <v>Yes</v>
      </c>
      <c r="R1567" s="5" t="str">
        <f>IF(COUNTIFS($C$2:Transactions_RAW_cleaned[[#This Row],[CustomerID]],Transactions_RAW_cleaned[[#This Row],[CustomerID]],$D$2:Transactions_RAW_cleaned[[#This Row],[ServiceID]],Transactions_RAW_cleaned[[#This Row],[ServiceID]])=1,"Yes","No")</f>
        <v>No</v>
      </c>
      <c r="S156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67" t="str">
        <f>"Q"&amp;ROUNDUP(MONTH(Transactions_RAW_cleaned[[#This Row],[TransactionDate]])/3,0)</f>
        <v>Q4</v>
      </c>
      <c r="U1567" t="str">
        <f>Transactions_RAW_cleaned[[#This Row],[Region ]]&amp;Transactions_RAW_cleaned[[#This Row],[Quarter ]]</f>
        <v>NAQ4</v>
      </c>
      <c r="V1567" s="5">
        <f>_xlfn.XLOOKUP(Transactions_RAW_cleaned[[#This Row],[RegionQuarterKey]], Quarterly_Targets_cleaned[RegionQuarterKey], Quarterly_Targets_cleaned[TargetRevenue])</f>
        <v>299000</v>
      </c>
    </row>
    <row r="1568" spans="1:22" x14ac:dyDescent="0.25">
      <c r="A1568" t="s">
        <v>1902</v>
      </c>
      <c r="B1568" s="1">
        <v>45452</v>
      </c>
      <c r="C1568" t="s">
        <v>58</v>
      </c>
      <c r="D1568" t="s">
        <v>294</v>
      </c>
      <c r="E1568">
        <v>258.52</v>
      </c>
      <c r="F1568" t="s">
        <v>324</v>
      </c>
      <c r="G1568" t="s">
        <v>325</v>
      </c>
      <c r="I1568" t="s">
        <v>17</v>
      </c>
      <c r="J1568" t="s">
        <v>102</v>
      </c>
      <c r="K1568" t="s">
        <v>22</v>
      </c>
      <c r="L1568" t="s">
        <v>295</v>
      </c>
      <c r="M1568" t="s">
        <v>296</v>
      </c>
      <c r="N1568">
        <v>2.9000000000000001E-2</v>
      </c>
      <c r="O1568" t="str">
        <f>IF(Transactions_RAW_cleaned[[#This Row],[Status]]="Completed", IFERROR(_xlfn.XLOOKUP(Transactions_RAW_cleaned[[#This Row],[CustomerID]], Customers_cleaned[CustomerID], Customers_cleaned[Segment]), "Customer Not Found"), "N/A")</f>
        <v>Enterprise</v>
      </c>
      <c r="P1568" s="5" t="str">
        <f>IF(Transactions_RAW_cleaned[[#This Row],[Status]]="Refunded", "Refund",
  IF(Transactions_RAW_cleaned[[#This Row],[Category]]="Payments", IF(Transactions_RAW_cleaned[[#This Row],[Amount]]&gt;500,"High Value","Standard"),
    IF(Transactions_RAW_cleaned[[#This Row],[Amount]]&gt;250,"High Value","Standard")))</f>
        <v>Standard</v>
      </c>
      <c r="Q1568" s="5" t="str">
        <f>IF(Transactions_RAW_cleaned[[#This Row],[Amount]] &gt; (_xlfn.XLOOKUP(Transactions_RAW_cleaned[[#This Row],[ServiceID]],Services_cleaned[ServiceID],Services_cleaned[TransactionFeePct]) * 10000), "Yes", "No")</f>
        <v>No</v>
      </c>
      <c r="R1568" s="5" t="str">
        <f>IF(COUNTIFS($C$2:Transactions_RAW_cleaned[[#This Row],[CustomerID]],Transactions_RAW_cleaned[[#This Row],[CustomerID]],$D$2:Transactions_RAW_cleaned[[#This Row],[ServiceID]],Transactions_RAW_cleaned[[#This Row],[ServiceID]])=1,"Yes","No")</f>
        <v>No</v>
      </c>
      <c r="S156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68" t="str">
        <f>"Q"&amp;ROUNDUP(MONTH(Transactions_RAW_cleaned[[#This Row],[TransactionDate]])/3,0)</f>
        <v>Q2</v>
      </c>
      <c r="U1568" t="str">
        <f>Transactions_RAW_cleaned[[#This Row],[Region ]]&amp;Transactions_RAW_cleaned[[#This Row],[Quarter ]]</f>
        <v>NAQ2</v>
      </c>
      <c r="V1568" s="5">
        <f>_xlfn.XLOOKUP(Transactions_RAW_cleaned[[#This Row],[RegionQuarterKey]], Quarterly_Targets_cleaned[RegionQuarterKey], Quarterly_Targets_cleaned[TargetRevenue])</f>
        <v>260000</v>
      </c>
    </row>
    <row r="1569" spans="1:22" x14ac:dyDescent="0.25">
      <c r="A1569" t="s">
        <v>1903</v>
      </c>
      <c r="B1569" s="1">
        <v>45581</v>
      </c>
      <c r="C1569" t="s">
        <v>267</v>
      </c>
      <c r="D1569" t="s">
        <v>297</v>
      </c>
      <c r="E1569">
        <v>215.39</v>
      </c>
      <c r="F1569" t="s">
        <v>324</v>
      </c>
      <c r="G1569" t="s">
        <v>325</v>
      </c>
      <c r="I1569" t="s">
        <v>8</v>
      </c>
      <c r="J1569" t="s">
        <v>102</v>
      </c>
      <c r="K1569" t="s">
        <v>22</v>
      </c>
      <c r="L1569" t="s">
        <v>298</v>
      </c>
      <c r="M1569" t="s">
        <v>299</v>
      </c>
      <c r="N1569">
        <v>0</v>
      </c>
      <c r="O1569" t="str">
        <f>IF(Transactions_RAW_cleaned[[#This Row],[Status]]="Completed", IFERROR(_xlfn.XLOOKUP(Transactions_RAW_cleaned[[#This Row],[CustomerID]], Customers_cleaned[CustomerID], Customers_cleaned[Segment]), "Customer Not Found"), "N/A")</f>
        <v>SMB</v>
      </c>
      <c r="P1569" s="5" t="str">
        <f>IF(Transactions_RAW_cleaned[[#This Row],[Status]]="Refunded", "Refund",
  IF(Transactions_RAW_cleaned[[#This Row],[Category]]="Payments", IF(Transactions_RAW_cleaned[[#This Row],[Amount]]&gt;500,"High Value","Standard"),
    IF(Transactions_RAW_cleaned[[#This Row],[Amount]]&gt;250,"High Value","Standard")))</f>
        <v>Standard</v>
      </c>
      <c r="Q1569" s="5" t="str">
        <f>IF(Transactions_RAW_cleaned[[#This Row],[Amount]] &gt; (_xlfn.XLOOKUP(Transactions_RAW_cleaned[[#This Row],[ServiceID]],Services_cleaned[ServiceID],Services_cleaned[TransactionFeePct]) * 10000), "Yes", "No")</f>
        <v>Yes</v>
      </c>
      <c r="R1569" s="5" t="str">
        <f>IF(COUNTIFS($C$2:Transactions_RAW_cleaned[[#This Row],[CustomerID]],Transactions_RAW_cleaned[[#This Row],[CustomerID]],$D$2:Transactions_RAW_cleaned[[#This Row],[ServiceID]],Transactions_RAW_cleaned[[#This Row],[ServiceID]])=1,"Yes","No")</f>
        <v>No</v>
      </c>
      <c r="S156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69" t="str">
        <f>"Q"&amp;ROUNDUP(MONTH(Transactions_RAW_cleaned[[#This Row],[TransactionDate]])/3,0)</f>
        <v>Q4</v>
      </c>
      <c r="U1569" t="str">
        <f>Transactions_RAW_cleaned[[#This Row],[Region ]]&amp;Transactions_RAW_cleaned[[#This Row],[Quarter ]]</f>
        <v>NAQ4</v>
      </c>
      <c r="V1569" s="5">
        <f>_xlfn.XLOOKUP(Transactions_RAW_cleaned[[#This Row],[RegionQuarterKey]], Quarterly_Targets_cleaned[RegionQuarterKey], Quarterly_Targets_cleaned[TargetRevenue])</f>
        <v>299000</v>
      </c>
    </row>
    <row r="1570" spans="1:22" x14ac:dyDescent="0.25">
      <c r="A1570" t="s">
        <v>1904</v>
      </c>
      <c r="B1570" s="1">
        <v>45489</v>
      </c>
      <c r="C1570" t="s">
        <v>76</v>
      </c>
      <c r="D1570" t="s">
        <v>306</v>
      </c>
      <c r="E1570">
        <v>717.27</v>
      </c>
      <c r="F1570" t="s">
        <v>381</v>
      </c>
      <c r="G1570" t="s">
        <v>327</v>
      </c>
      <c r="H1570" t="s">
        <v>346</v>
      </c>
      <c r="I1570" t="s">
        <v>17</v>
      </c>
      <c r="J1570" t="s">
        <v>13</v>
      </c>
      <c r="K1570" t="s">
        <v>18</v>
      </c>
      <c r="L1570" t="s">
        <v>307</v>
      </c>
      <c r="M1570" t="s">
        <v>308</v>
      </c>
      <c r="N1570">
        <v>0</v>
      </c>
      <c r="O1570" t="str">
        <f>IF(Transactions_RAW_cleaned[[#This Row],[Status]]="Completed", IFERROR(_xlfn.XLOOKUP(Transactions_RAW_cleaned[[#This Row],[CustomerID]], Customers_cleaned[CustomerID], Customers_cleaned[Segment]), "Customer Not Found"), "N/A")</f>
        <v>N/A</v>
      </c>
      <c r="P1570" s="5" t="str">
        <f>IF(Transactions_RAW_cleaned[[#This Row],[Status]]="Refunded", "Refund",
  IF(Transactions_RAW_cleaned[[#This Row],[Category]]="Payments", IF(Transactions_RAW_cleaned[[#This Row],[Amount]]&gt;500,"High Value","Standard"),
    IF(Transactions_RAW_cleaned[[#This Row],[Amount]]&gt;250,"High Value","Standard")))</f>
        <v>High Value</v>
      </c>
      <c r="Q1570" s="5" t="str">
        <f>IF(Transactions_RAW_cleaned[[#This Row],[Amount]] &gt; (_xlfn.XLOOKUP(Transactions_RAW_cleaned[[#This Row],[ServiceID]],Services_cleaned[ServiceID],Services_cleaned[TransactionFeePct]) * 10000), "Yes", "No")</f>
        <v>Yes</v>
      </c>
      <c r="R1570" s="5" t="str">
        <f>IF(COUNTIFS($C$2:Transactions_RAW_cleaned[[#This Row],[CustomerID]],Transactions_RAW_cleaned[[#This Row],[CustomerID]],$D$2:Transactions_RAW_cleaned[[#This Row],[ServiceID]],Transactions_RAW_cleaned[[#This Row],[ServiceID]])=1,"Yes","No")</f>
        <v>No</v>
      </c>
      <c r="S157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70" t="str">
        <f>"Q"&amp;ROUNDUP(MONTH(Transactions_RAW_cleaned[[#This Row],[TransactionDate]])/3,0)</f>
        <v>Q3</v>
      </c>
      <c r="U1570" t="str">
        <f>Transactions_RAW_cleaned[[#This Row],[Region ]]&amp;Transactions_RAW_cleaned[[#This Row],[Quarter ]]</f>
        <v>NAQ3</v>
      </c>
      <c r="V1570" s="5">
        <f>_xlfn.XLOOKUP(Transactions_RAW_cleaned[[#This Row],[RegionQuarterKey]], Quarterly_Targets_cleaned[RegionQuarterKey], Quarterly_Targets_cleaned[TargetRevenue])</f>
        <v>273000</v>
      </c>
    </row>
    <row r="1571" spans="1:22" x14ac:dyDescent="0.25">
      <c r="A1571" t="s">
        <v>1905</v>
      </c>
      <c r="B1571" s="1">
        <v>45551</v>
      </c>
      <c r="C1571" t="s">
        <v>105</v>
      </c>
      <c r="D1571" t="s">
        <v>294</v>
      </c>
      <c r="E1571">
        <v>1536.29</v>
      </c>
      <c r="F1571" t="s">
        <v>324</v>
      </c>
      <c r="G1571" t="s">
        <v>327</v>
      </c>
      <c r="H1571" t="s">
        <v>334</v>
      </c>
      <c r="I1571" t="s">
        <v>57</v>
      </c>
      <c r="J1571" t="s">
        <v>102</v>
      </c>
      <c r="K1571" t="s">
        <v>32</v>
      </c>
      <c r="L1571" t="s">
        <v>295</v>
      </c>
      <c r="M1571" t="s">
        <v>296</v>
      </c>
      <c r="N1571">
        <v>2.9000000000000001E-2</v>
      </c>
      <c r="O1571" t="str">
        <f>IF(Transactions_RAW_cleaned[[#This Row],[Status]]="Completed", IFERROR(_xlfn.XLOOKUP(Transactions_RAW_cleaned[[#This Row],[CustomerID]], Customers_cleaned[CustomerID], Customers_cleaned[Segment]), "Customer Not Found"), "N/A")</f>
        <v>Startup</v>
      </c>
      <c r="P1571" s="5" t="str">
        <f>IF(Transactions_RAW_cleaned[[#This Row],[Status]]="Refunded", "Refund",
  IF(Transactions_RAW_cleaned[[#This Row],[Category]]="Payments", IF(Transactions_RAW_cleaned[[#This Row],[Amount]]&gt;500,"High Value","Standard"),
    IF(Transactions_RAW_cleaned[[#This Row],[Amount]]&gt;250,"High Value","Standard")))</f>
        <v>High Value</v>
      </c>
      <c r="Q1571" s="5" t="str">
        <f>IF(Transactions_RAW_cleaned[[#This Row],[Amount]] &gt; (_xlfn.XLOOKUP(Transactions_RAW_cleaned[[#This Row],[ServiceID]],Services_cleaned[ServiceID],Services_cleaned[TransactionFeePct]) * 10000), "Yes", "No")</f>
        <v>Yes</v>
      </c>
      <c r="R1571" s="5" t="str">
        <f>IF(COUNTIFS($C$2:Transactions_RAW_cleaned[[#This Row],[CustomerID]],Transactions_RAW_cleaned[[#This Row],[CustomerID]],$D$2:Transactions_RAW_cleaned[[#This Row],[ServiceID]],Transactions_RAW_cleaned[[#This Row],[ServiceID]])=1,"Yes","No")</f>
        <v>No</v>
      </c>
      <c r="S157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71" t="str">
        <f>"Q"&amp;ROUNDUP(MONTH(Transactions_RAW_cleaned[[#This Row],[TransactionDate]])/3,0)</f>
        <v>Q3</v>
      </c>
      <c r="U1571" t="str">
        <f>Transactions_RAW_cleaned[[#This Row],[Region ]]&amp;Transactions_RAW_cleaned[[#This Row],[Quarter ]]</f>
        <v>NAQ3</v>
      </c>
      <c r="V1571" s="5">
        <f>_xlfn.XLOOKUP(Transactions_RAW_cleaned[[#This Row],[RegionQuarterKey]], Quarterly_Targets_cleaned[RegionQuarterKey], Quarterly_Targets_cleaned[TargetRevenue])</f>
        <v>273000</v>
      </c>
    </row>
    <row r="1572" spans="1:22" x14ac:dyDescent="0.25">
      <c r="A1572" t="s">
        <v>1906</v>
      </c>
      <c r="B1572" s="1">
        <v>45497</v>
      </c>
      <c r="C1572" t="s">
        <v>271</v>
      </c>
      <c r="D1572" t="s">
        <v>294</v>
      </c>
      <c r="E1572">
        <v>479.33</v>
      </c>
      <c r="F1572" t="s">
        <v>381</v>
      </c>
      <c r="G1572" t="s">
        <v>327</v>
      </c>
      <c r="I1572" t="s">
        <v>8</v>
      </c>
      <c r="J1572" t="s">
        <v>102</v>
      </c>
      <c r="K1572" t="s">
        <v>28</v>
      </c>
      <c r="L1572" t="s">
        <v>295</v>
      </c>
      <c r="M1572" t="s">
        <v>296</v>
      </c>
      <c r="N1572">
        <v>2.9000000000000001E-2</v>
      </c>
      <c r="O1572" t="str">
        <f>IF(Transactions_RAW_cleaned[[#This Row],[Status]]="Completed", IFERROR(_xlfn.XLOOKUP(Transactions_RAW_cleaned[[#This Row],[CustomerID]], Customers_cleaned[CustomerID], Customers_cleaned[Segment]), "Customer Not Found"), "N/A")</f>
        <v>N/A</v>
      </c>
      <c r="P1572" s="5" t="str">
        <f>IF(Transactions_RAW_cleaned[[#This Row],[Status]]="Refunded", "Refund",
  IF(Transactions_RAW_cleaned[[#This Row],[Category]]="Payments", IF(Transactions_RAW_cleaned[[#This Row],[Amount]]&gt;500,"High Value","Standard"),
    IF(Transactions_RAW_cleaned[[#This Row],[Amount]]&gt;250,"High Value","Standard")))</f>
        <v>Standard</v>
      </c>
      <c r="Q1572" s="5" t="str">
        <f>IF(Transactions_RAW_cleaned[[#This Row],[Amount]] &gt; (_xlfn.XLOOKUP(Transactions_RAW_cleaned[[#This Row],[ServiceID]],Services_cleaned[ServiceID],Services_cleaned[TransactionFeePct]) * 10000), "Yes", "No")</f>
        <v>Yes</v>
      </c>
      <c r="R1572" s="5" t="str">
        <f>IF(COUNTIFS($C$2:Transactions_RAW_cleaned[[#This Row],[CustomerID]],Transactions_RAW_cleaned[[#This Row],[CustomerID]],$D$2:Transactions_RAW_cleaned[[#This Row],[ServiceID]],Transactions_RAW_cleaned[[#This Row],[ServiceID]])=1,"Yes","No")</f>
        <v>No</v>
      </c>
      <c r="S157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72" t="str">
        <f>"Q"&amp;ROUNDUP(MONTH(Transactions_RAW_cleaned[[#This Row],[TransactionDate]])/3,0)</f>
        <v>Q3</v>
      </c>
      <c r="U1572" t="str">
        <f>Transactions_RAW_cleaned[[#This Row],[Region ]]&amp;Transactions_RAW_cleaned[[#This Row],[Quarter ]]</f>
        <v>NAQ3</v>
      </c>
      <c r="V1572" s="5">
        <f>_xlfn.XLOOKUP(Transactions_RAW_cleaned[[#This Row],[RegionQuarterKey]], Quarterly_Targets_cleaned[RegionQuarterKey], Quarterly_Targets_cleaned[TargetRevenue])</f>
        <v>273000</v>
      </c>
    </row>
    <row r="1573" spans="1:22" x14ac:dyDescent="0.25">
      <c r="A1573" t="s">
        <v>1907</v>
      </c>
      <c r="B1573" s="1">
        <v>45540</v>
      </c>
      <c r="C1573" t="s">
        <v>165</v>
      </c>
      <c r="D1573" t="s">
        <v>297</v>
      </c>
      <c r="E1573">
        <v>796.62</v>
      </c>
      <c r="F1573" t="s">
        <v>324</v>
      </c>
      <c r="G1573" t="s">
        <v>325</v>
      </c>
      <c r="I1573" t="s">
        <v>8</v>
      </c>
      <c r="J1573" t="s">
        <v>31</v>
      </c>
      <c r="K1573" t="s">
        <v>32</v>
      </c>
      <c r="L1573" t="s">
        <v>298</v>
      </c>
      <c r="M1573" t="s">
        <v>299</v>
      </c>
      <c r="N1573">
        <v>0</v>
      </c>
      <c r="O1573" t="str">
        <f>IF(Transactions_RAW_cleaned[[#This Row],[Status]]="Completed", IFERROR(_xlfn.XLOOKUP(Transactions_RAW_cleaned[[#This Row],[CustomerID]], Customers_cleaned[CustomerID], Customers_cleaned[Segment]), "Customer Not Found"), "N/A")</f>
        <v>SMB</v>
      </c>
      <c r="P1573" s="5" t="str">
        <f>IF(Transactions_RAW_cleaned[[#This Row],[Status]]="Refunded", "Refund",
  IF(Transactions_RAW_cleaned[[#This Row],[Category]]="Payments", IF(Transactions_RAW_cleaned[[#This Row],[Amount]]&gt;500,"High Value","Standard"),
    IF(Transactions_RAW_cleaned[[#This Row],[Amount]]&gt;250,"High Value","Standard")))</f>
        <v>High Value</v>
      </c>
      <c r="Q1573" s="5" t="str">
        <f>IF(Transactions_RAW_cleaned[[#This Row],[Amount]] &gt; (_xlfn.XLOOKUP(Transactions_RAW_cleaned[[#This Row],[ServiceID]],Services_cleaned[ServiceID],Services_cleaned[TransactionFeePct]) * 10000), "Yes", "No")</f>
        <v>Yes</v>
      </c>
      <c r="R1573" s="5" t="str">
        <f>IF(COUNTIFS($C$2:Transactions_RAW_cleaned[[#This Row],[CustomerID]],Transactions_RAW_cleaned[[#This Row],[CustomerID]],$D$2:Transactions_RAW_cleaned[[#This Row],[ServiceID]],Transactions_RAW_cleaned[[#This Row],[ServiceID]])=1,"Yes","No")</f>
        <v>No</v>
      </c>
      <c r="S157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73" t="str">
        <f>"Q"&amp;ROUNDUP(MONTH(Transactions_RAW_cleaned[[#This Row],[TransactionDate]])/3,0)</f>
        <v>Q3</v>
      </c>
      <c r="U1573" t="str">
        <f>Transactions_RAW_cleaned[[#This Row],[Region ]]&amp;Transactions_RAW_cleaned[[#This Row],[Quarter ]]</f>
        <v>EMEAQ3</v>
      </c>
      <c r="V1573" s="5">
        <f>_xlfn.XLOOKUP(Transactions_RAW_cleaned[[#This Row],[RegionQuarterKey]], Quarterly_Targets_cleaned[RegionQuarterKey], Quarterly_Targets_cleaned[TargetRevenue])</f>
        <v>147000</v>
      </c>
    </row>
    <row r="1574" spans="1:22" x14ac:dyDescent="0.25">
      <c r="A1574" t="s">
        <v>1908</v>
      </c>
      <c r="B1574" s="1">
        <v>45548</v>
      </c>
      <c r="C1574" t="s">
        <v>171</v>
      </c>
      <c r="D1574" t="s">
        <v>294</v>
      </c>
      <c r="E1574">
        <v>663.44</v>
      </c>
      <c r="F1574" t="s">
        <v>331</v>
      </c>
      <c r="G1574" t="s">
        <v>337</v>
      </c>
      <c r="I1574" t="s">
        <v>17</v>
      </c>
      <c r="J1574" t="s">
        <v>31</v>
      </c>
      <c r="K1574" t="s">
        <v>32</v>
      </c>
      <c r="L1574" t="s">
        <v>295</v>
      </c>
      <c r="M1574" t="s">
        <v>296</v>
      </c>
      <c r="N1574">
        <v>2.9000000000000001E-2</v>
      </c>
      <c r="O1574" t="str">
        <f>IF(Transactions_RAW_cleaned[[#This Row],[Status]]="Completed", IFERROR(_xlfn.XLOOKUP(Transactions_RAW_cleaned[[#This Row],[CustomerID]], Customers_cleaned[CustomerID], Customers_cleaned[Segment]), "Customer Not Found"), "N/A")</f>
        <v>N/A</v>
      </c>
      <c r="P1574" s="5" t="str">
        <f>IF(Transactions_RAW_cleaned[[#This Row],[Status]]="Refunded", "Refund",
  IF(Transactions_RAW_cleaned[[#This Row],[Category]]="Payments", IF(Transactions_RAW_cleaned[[#This Row],[Amount]]&gt;500,"High Value","Standard"),
    IF(Transactions_RAW_cleaned[[#This Row],[Amount]]&gt;250,"High Value","Standard")))</f>
        <v>High Value</v>
      </c>
      <c r="Q1574" s="5" t="str">
        <f>IF(Transactions_RAW_cleaned[[#This Row],[Amount]] &gt; (_xlfn.XLOOKUP(Transactions_RAW_cleaned[[#This Row],[ServiceID]],Services_cleaned[ServiceID],Services_cleaned[TransactionFeePct]) * 10000), "Yes", "No")</f>
        <v>Yes</v>
      </c>
      <c r="R1574" s="5" t="str">
        <f>IF(COUNTIFS($C$2:Transactions_RAW_cleaned[[#This Row],[CustomerID]],Transactions_RAW_cleaned[[#This Row],[CustomerID]],$D$2:Transactions_RAW_cleaned[[#This Row],[ServiceID]],Transactions_RAW_cleaned[[#This Row],[ServiceID]])=1,"Yes","No")</f>
        <v>No</v>
      </c>
      <c r="S157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74" t="str">
        <f>"Q"&amp;ROUNDUP(MONTH(Transactions_RAW_cleaned[[#This Row],[TransactionDate]])/3,0)</f>
        <v>Q3</v>
      </c>
      <c r="U1574" t="str">
        <f>Transactions_RAW_cleaned[[#This Row],[Region ]]&amp;Transactions_RAW_cleaned[[#This Row],[Quarter ]]</f>
        <v>EMEAQ3</v>
      </c>
      <c r="V1574" s="5">
        <f>_xlfn.XLOOKUP(Transactions_RAW_cleaned[[#This Row],[RegionQuarterKey]], Quarterly_Targets_cleaned[RegionQuarterKey], Quarterly_Targets_cleaned[TargetRevenue])</f>
        <v>147000</v>
      </c>
    </row>
    <row r="1575" spans="1:22" x14ac:dyDescent="0.25">
      <c r="A1575" t="s">
        <v>1909</v>
      </c>
      <c r="B1575" s="1">
        <v>45465</v>
      </c>
      <c r="C1575" t="s">
        <v>205</v>
      </c>
      <c r="D1575" t="s">
        <v>297</v>
      </c>
      <c r="E1575">
        <v>901.28</v>
      </c>
      <c r="F1575" t="s">
        <v>324</v>
      </c>
      <c r="G1575" t="s">
        <v>327</v>
      </c>
      <c r="I1575" t="s">
        <v>8</v>
      </c>
      <c r="J1575" t="s">
        <v>21</v>
      </c>
      <c r="K1575" t="s">
        <v>14</v>
      </c>
      <c r="L1575" t="s">
        <v>298</v>
      </c>
      <c r="M1575" t="s">
        <v>299</v>
      </c>
      <c r="N1575">
        <v>0</v>
      </c>
      <c r="O1575" t="str">
        <f>IF(Transactions_RAW_cleaned[[#This Row],[Status]]="Completed", IFERROR(_xlfn.XLOOKUP(Transactions_RAW_cleaned[[#This Row],[CustomerID]], Customers_cleaned[CustomerID], Customers_cleaned[Segment]), "Customer Not Found"), "N/A")</f>
        <v>SMB</v>
      </c>
      <c r="P1575" s="5" t="str">
        <f>IF(Transactions_RAW_cleaned[[#This Row],[Status]]="Refunded", "Refund",
  IF(Transactions_RAW_cleaned[[#This Row],[Category]]="Payments", IF(Transactions_RAW_cleaned[[#This Row],[Amount]]&gt;500,"High Value","Standard"),
    IF(Transactions_RAW_cleaned[[#This Row],[Amount]]&gt;250,"High Value","Standard")))</f>
        <v>High Value</v>
      </c>
      <c r="Q1575" s="5" t="str">
        <f>IF(Transactions_RAW_cleaned[[#This Row],[Amount]] &gt; (_xlfn.XLOOKUP(Transactions_RAW_cleaned[[#This Row],[ServiceID]],Services_cleaned[ServiceID],Services_cleaned[TransactionFeePct]) * 10000), "Yes", "No")</f>
        <v>Yes</v>
      </c>
      <c r="R1575" s="5" t="str">
        <f>IF(COUNTIFS($C$2:Transactions_RAW_cleaned[[#This Row],[CustomerID]],Transactions_RAW_cleaned[[#This Row],[CustomerID]],$D$2:Transactions_RAW_cleaned[[#This Row],[ServiceID]],Transactions_RAW_cleaned[[#This Row],[ServiceID]])=1,"Yes","No")</f>
        <v>No</v>
      </c>
      <c r="S157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75" t="str">
        <f>"Q"&amp;ROUNDUP(MONTH(Transactions_RAW_cleaned[[#This Row],[TransactionDate]])/3,0)</f>
        <v>Q2</v>
      </c>
      <c r="U1575" t="str">
        <f>Transactions_RAW_cleaned[[#This Row],[Region ]]&amp;Transactions_RAW_cleaned[[#This Row],[Quarter ]]</f>
        <v>APACQ2</v>
      </c>
      <c r="V1575" s="5">
        <f>_xlfn.XLOOKUP(Transactions_RAW_cleaned[[#This Row],[RegionQuarterKey]], Quarterly_Targets_cleaned[RegionQuarterKey], Quarterly_Targets_cleaned[TargetRevenue])</f>
        <v>110000</v>
      </c>
    </row>
    <row r="1576" spans="1:22" x14ac:dyDescent="0.25">
      <c r="A1576" t="s">
        <v>1910</v>
      </c>
      <c r="B1576" s="1">
        <v>45331</v>
      </c>
      <c r="C1576" t="s">
        <v>249</v>
      </c>
      <c r="D1576" t="s">
        <v>294</v>
      </c>
      <c r="E1576">
        <v>-222.68</v>
      </c>
      <c r="F1576" t="s">
        <v>349</v>
      </c>
      <c r="G1576" t="s">
        <v>327</v>
      </c>
      <c r="H1576" t="s">
        <v>346</v>
      </c>
      <c r="I1576" t="s">
        <v>57</v>
      </c>
      <c r="J1576" t="s">
        <v>21</v>
      </c>
      <c r="K1576" t="s">
        <v>14</v>
      </c>
      <c r="L1576" t="s">
        <v>295</v>
      </c>
      <c r="M1576" t="s">
        <v>296</v>
      </c>
      <c r="N1576">
        <v>2.9000000000000001E-2</v>
      </c>
      <c r="O1576" t="str">
        <f>IF(Transactions_RAW_cleaned[[#This Row],[Status]]="Completed", IFERROR(_xlfn.XLOOKUP(Transactions_RAW_cleaned[[#This Row],[CustomerID]], Customers_cleaned[CustomerID], Customers_cleaned[Segment]), "Customer Not Found"), "N/A")</f>
        <v>N/A</v>
      </c>
      <c r="P1576" s="5" t="str">
        <f>IF(Transactions_RAW_cleaned[[#This Row],[Status]]="Refunded", "Refund",
  IF(Transactions_RAW_cleaned[[#This Row],[Category]]="Payments", IF(Transactions_RAW_cleaned[[#This Row],[Amount]]&gt;500,"High Value","Standard"),
    IF(Transactions_RAW_cleaned[[#This Row],[Amount]]&gt;250,"High Value","Standard")))</f>
        <v>Refund</v>
      </c>
      <c r="Q1576" s="5" t="str">
        <f>IF(Transactions_RAW_cleaned[[#This Row],[Amount]] &gt; (_xlfn.XLOOKUP(Transactions_RAW_cleaned[[#This Row],[ServiceID]],Services_cleaned[ServiceID],Services_cleaned[TransactionFeePct]) * 10000), "Yes", "No")</f>
        <v>No</v>
      </c>
      <c r="R1576" s="5" t="str">
        <f>IF(COUNTIFS($C$2:Transactions_RAW_cleaned[[#This Row],[CustomerID]],Transactions_RAW_cleaned[[#This Row],[CustomerID]],$D$2:Transactions_RAW_cleaned[[#This Row],[ServiceID]],Transactions_RAW_cleaned[[#This Row],[ServiceID]])=1,"Yes","No")</f>
        <v>No</v>
      </c>
      <c r="S157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76" t="str">
        <f>"Q"&amp;ROUNDUP(MONTH(Transactions_RAW_cleaned[[#This Row],[TransactionDate]])/3,0)</f>
        <v>Q1</v>
      </c>
      <c r="U1576" t="str">
        <f>Transactions_RAW_cleaned[[#This Row],[Region ]]&amp;Transactions_RAW_cleaned[[#This Row],[Quarter ]]</f>
        <v>APACQ1</v>
      </c>
      <c r="V1576" s="5">
        <f>_xlfn.XLOOKUP(Transactions_RAW_cleaned[[#This Row],[RegionQuarterKey]], Quarterly_Targets_cleaned[RegionQuarterKey], Quarterly_Targets_cleaned[TargetRevenue])</f>
        <v>104500</v>
      </c>
    </row>
    <row r="1577" spans="1:22" x14ac:dyDescent="0.25">
      <c r="A1577" t="s">
        <v>1911</v>
      </c>
      <c r="B1577" s="1">
        <v>45349</v>
      </c>
      <c r="C1577" t="s">
        <v>245</v>
      </c>
      <c r="D1577" t="s">
        <v>297</v>
      </c>
      <c r="E1577">
        <v>380.22</v>
      </c>
      <c r="F1577" t="s">
        <v>324</v>
      </c>
      <c r="G1577" t="s">
        <v>325</v>
      </c>
      <c r="H1577" t="s">
        <v>332</v>
      </c>
      <c r="I1577" t="s">
        <v>8</v>
      </c>
      <c r="J1577" t="s">
        <v>31</v>
      </c>
      <c r="K1577" t="s">
        <v>14</v>
      </c>
      <c r="L1577" t="s">
        <v>298</v>
      </c>
      <c r="M1577" t="s">
        <v>299</v>
      </c>
      <c r="N1577">
        <v>0</v>
      </c>
      <c r="O1577" t="str">
        <f>IF(Transactions_RAW_cleaned[[#This Row],[Status]]="Completed", IFERROR(_xlfn.XLOOKUP(Transactions_RAW_cleaned[[#This Row],[CustomerID]], Customers_cleaned[CustomerID], Customers_cleaned[Segment]), "Customer Not Found"), "N/A")</f>
        <v>SMB</v>
      </c>
      <c r="P1577" s="5" t="str">
        <f>IF(Transactions_RAW_cleaned[[#This Row],[Status]]="Refunded", "Refund",
  IF(Transactions_RAW_cleaned[[#This Row],[Category]]="Payments", IF(Transactions_RAW_cleaned[[#This Row],[Amount]]&gt;500,"High Value","Standard"),
    IF(Transactions_RAW_cleaned[[#This Row],[Amount]]&gt;250,"High Value","Standard")))</f>
        <v>High Value</v>
      </c>
      <c r="Q1577" s="5" t="str">
        <f>IF(Transactions_RAW_cleaned[[#This Row],[Amount]] &gt; (_xlfn.XLOOKUP(Transactions_RAW_cleaned[[#This Row],[ServiceID]],Services_cleaned[ServiceID],Services_cleaned[TransactionFeePct]) * 10000), "Yes", "No")</f>
        <v>Yes</v>
      </c>
      <c r="R1577" s="5" t="str">
        <f>IF(COUNTIFS($C$2:Transactions_RAW_cleaned[[#This Row],[CustomerID]],Transactions_RAW_cleaned[[#This Row],[CustomerID]],$D$2:Transactions_RAW_cleaned[[#This Row],[ServiceID]],Transactions_RAW_cleaned[[#This Row],[ServiceID]])=1,"Yes","No")</f>
        <v>No</v>
      </c>
      <c r="S157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77" t="str">
        <f>"Q"&amp;ROUNDUP(MONTH(Transactions_RAW_cleaned[[#This Row],[TransactionDate]])/3,0)</f>
        <v>Q1</v>
      </c>
      <c r="U1577" t="str">
        <f>Transactions_RAW_cleaned[[#This Row],[Region ]]&amp;Transactions_RAW_cleaned[[#This Row],[Quarter ]]</f>
        <v>EMEAQ1</v>
      </c>
      <c r="V1577" s="5">
        <f>_xlfn.XLOOKUP(Transactions_RAW_cleaned[[#This Row],[RegionQuarterKey]], Quarterly_Targets_cleaned[RegionQuarterKey], Quarterly_Targets_cleaned[TargetRevenue])</f>
        <v>133000</v>
      </c>
    </row>
    <row r="1578" spans="1:22" x14ac:dyDescent="0.25">
      <c r="A1578" t="s">
        <v>1912</v>
      </c>
      <c r="B1578" s="1">
        <v>45574</v>
      </c>
      <c r="C1578" t="s">
        <v>275</v>
      </c>
      <c r="D1578" t="s">
        <v>312</v>
      </c>
      <c r="E1578">
        <v>265.89</v>
      </c>
      <c r="F1578" t="s">
        <v>324</v>
      </c>
      <c r="G1578" t="s">
        <v>325</v>
      </c>
      <c r="I1578" t="s">
        <v>57</v>
      </c>
      <c r="J1578" t="s">
        <v>13</v>
      </c>
      <c r="K1578" t="s">
        <v>22</v>
      </c>
      <c r="L1578" t="s">
        <v>313</v>
      </c>
      <c r="M1578" t="s">
        <v>314</v>
      </c>
      <c r="N1578">
        <v>0</v>
      </c>
      <c r="O1578" t="str">
        <f>IF(Transactions_RAW_cleaned[[#This Row],[Status]]="Completed", IFERROR(_xlfn.XLOOKUP(Transactions_RAW_cleaned[[#This Row],[CustomerID]], Customers_cleaned[CustomerID], Customers_cleaned[Segment]), "Customer Not Found"), "N/A")</f>
        <v>Startup</v>
      </c>
      <c r="P1578" s="5" t="str">
        <f>IF(Transactions_RAW_cleaned[[#This Row],[Status]]="Refunded", "Refund",
  IF(Transactions_RAW_cleaned[[#This Row],[Category]]="Payments", IF(Transactions_RAW_cleaned[[#This Row],[Amount]]&gt;500,"High Value","Standard"),
    IF(Transactions_RAW_cleaned[[#This Row],[Amount]]&gt;250,"High Value","Standard")))</f>
        <v>High Value</v>
      </c>
      <c r="Q1578" s="5" t="str">
        <f>IF(Transactions_RAW_cleaned[[#This Row],[Amount]] &gt; (_xlfn.XLOOKUP(Transactions_RAW_cleaned[[#This Row],[ServiceID]],Services_cleaned[ServiceID],Services_cleaned[TransactionFeePct]) * 10000), "Yes", "No")</f>
        <v>Yes</v>
      </c>
      <c r="R1578" s="5" t="str">
        <f>IF(COUNTIFS($C$2:Transactions_RAW_cleaned[[#This Row],[CustomerID]],Transactions_RAW_cleaned[[#This Row],[CustomerID]],$D$2:Transactions_RAW_cleaned[[#This Row],[ServiceID]],Transactions_RAW_cleaned[[#This Row],[ServiceID]])=1,"Yes","No")</f>
        <v>Yes</v>
      </c>
      <c r="S157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78" t="str">
        <f>"Q"&amp;ROUNDUP(MONTH(Transactions_RAW_cleaned[[#This Row],[TransactionDate]])/3,0)</f>
        <v>Q4</v>
      </c>
      <c r="U1578" t="str">
        <f>Transactions_RAW_cleaned[[#This Row],[Region ]]&amp;Transactions_RAW_cleaned[[#This Row],[Quarter ]]</f>
        <v>NAQ4</v>
      </c>
      <c r="V1578" s="5">
        <f>_xlfn.XLOOKUP(Transactions_RAW_cleaned[[#This Row],[RegionQuarterKey]], Quarterly_Targets_cleaned[RegionQuarterKey], Quarterly_Targets_cleaned[TargetRevenue])</f>
        <v>299000</v>
      </c>
    </row>
    <row r="1579" spans="1:22" x14ac:dyDescent="0.25">
      <c r="A1579" t="s">
        <v>1913</v>
      </c>
      <c r="B1579" s="1">
        <v>45353</v>
      </c>
      <c r="C1579" t="s">
        <v>58</v>
      </c>
      <c r="D1579" t="s">
        <v>303</v>
      </c>
      <c r="E1579">
        <v>1230.44</v>
      </c>
      <c r="F1579" t="s">
        <v>324</v>
      </c>
      <c r="G1579" t="s">
        <v>325</v>
      </c>
      <c r="H1579" t="s">
        <v>332</v>
      </c>
      <c r="I1579" t="s">
        <v>17</v>
      </c>
      <c r="J1579" t="s">
        <v>102</v>
      </c>
      <c r="K1579" t="s">
        <v>22</v>
      </c>
      <c r="L1579" t="s">
        <v>304</v>
      </c>
      <c r="M1579" t="s">
        <v>305</v>
      </c>
      <c r="N1579">
        <v>1E-3</v>
      </c>
      <c r="O1579" t="str">
        <f>IF(Transactions_RAW_cleaned[[#This Row],[Status]]="Completed", IFERROR(_xlfn.XLOOKUP(Transactions_RAW_cleaned[[#This Row],[CustomerID]], Customers_cleaned[CustomerID], Customers_cleaned[Segment]), "Customer Not Found"), "N/A")</f>
        <v>Enterprise</v>
      </c>
      <c r="P1579" s="5" t="str">
        <f>IF(Transactions_RAW_cleaned[[#This Row],[Status]]="Refunded", "Refund",
  IF(Transactions_RAW_cleaned[[#This Row],[Category]]="Payments", IF(Transactions_RAW_cleaned[[#This Row],[Amount]]&gt;500,"High Value","Standard"),
    IF(Transactions_RAW_cleaned[[#This Row],[Amount]]&gt;250,"High Value","Standard")))</f>
        <v>High Value</v>
      </c>
      <c r="Q1579" s="5" t="str">
        <f>IF(Transactions_RAW_cleaned[[#This Row],[Amount]] &gt; (_xlfn.XLOOKUP(Transactions_RAW_cleaned[[#This Row],[ServiceID]],Services_cleaned[ServiceID],Services_cleaned[TransactionFeePct]) * 10000), "Yes", "No")</f>
        <v>Yes</v>
      </c>
      <c r="R1579" s="5" t="str">
        <f>IF(COUNTIFS($C$2:Transactions_RAW_cleaned[[#This Row],[CustomerID]],Transactions_RAW_cleaned[[#This Row],[CustomerID]],$D$2:Transactions_RAW_cleaned[[#This Row],[ServiceID]],Transactions_RAW_cleaned[[#This Row],[ServiceID]])=1,"Yes","No")</f>
        <v>Yes</v>
      </c>
      <c r="S157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79" t="str">
        <f>"Q"&amp;ROUNDUP(MONTH(Transactions_RAW_cleaned[[#This Row],[TransactionDate]])/3,0)</f>
        <v>Q1</v>
      </c>
      <c r="U1579" t="str">
        <f>Transactions_RAW_cleaned[[#This Row],[Region ]]&amp;Transactions_RAW_cleaned[[#This Row],[Quarter ]]</f>
        <v>NAQ1</v>
      </c>
      <c r="V1579" s="5">
        <f>_xlfn.XLOOKUP(Transactions_RAW_cleaned[[#This Row],[RegionQuarterKey]], Quarterly_Targets_cleaned[RegionQuarterKey], Quarterly_Targets_cleaned[TargetRevenue])</f>
        <v>247000</v>
      </c>
    </row>
    <row r="1580" spans="1:22" x14ac:dyDescent="0.25">
      <c r="A1580" t="s">
        <v>1914</v>
      </c>
      <c r="B1580" s="1">
        <v>45343</v>
      </c>
      <c r="C1580" t="s">
        <v>143</v>
      </c>
      <c r="D1580" t="s">
        <v>300</v>
      </c>
      <c r="E1580">
        <v>354.74</v>
      </c>
      <c r="F1580" t="s">
        <v>324</v>
      </c>
      <c r="G1580" t="s">
        <v>327</v>
      </c>
      <c r="I1580" t="s">
        <v>8</v>
      </c>
      <c r="J1580" t="s">
        <v>102</v>
      </c>
      <c r="K1580" t="s">
        <v>22</v>
      </c>
      <c r="L1580" t="s">
        <v>301</v>
      </c>
      <c r="M1580" t="s">
        <v>302</v>
      </c>
      <c r="N1580">
        <v>5.0000000000000001E-3</v>
      </c>
      <c r="O1580" t="str">
        <f>IF(Transactions_RAW_cleaned[[#This Row],[Status]]="Completed", IFERROR(_xlfn.XLOOKUP(Transactions_RAW_cleaned[[#This Row],[CustomerID]], Customers_cleaned[CustomerID], Customers_cleaned[Segment]), "Customer Not Found"), "N/A")</f>
        <v>SMB</v>
      </c>
      <c r="P1580" s="5" t="str">
        <f>IF(Transactions_RAW_cleaned[[#This Row],[Status]]="Refunded", "Refund",
  IF(Transactions_RAW_cleaned[[#This Row],[Category]]="Payments", IF(Transactions_RAW_cleaned[[#This Row],[Amount]]&gt;500,"High Value","Standard"),
    IF(Transactions_RAW_cleaned[[#This Row],[Amount]]&gt;250,"High Value","Standard")))</f>
        <v>High Value</v>
      </c>
      <c r="Q1580" s="5" t="str">
        <f>IF(Transactions_RAW_cleaned[[#This Row],[Amount]] &gt; (_xlfn.XLOOKUP(Transactions_RAW_cleaned[[#This Row],[ServiceID]],Services_cleaned[ServiceID],Services_cleaned[TransactionFeePct]) * 10000), "Yes", "No")</f>
        <v>Yes</v>
      </c>
      <c r="R1580" s="5" t="str">
        <f>IF(COUNTIFS($C$2:Transactions_RAW_cleaned[[#This Row],[CustomerID]],Transactions_RAW_cleaned[[#This Row],[CustomerID]],$D$2:Transactions_RAW_cleaned[[#This Row],[ServiceID]],Transactions_RAW_cleaned[[#This Row],[ServiceID]])=1,"Yes","No")</f>
        <v>No</v>
      </c>
      <c r="S158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80" t="str">
        <f>"Q"&amp;ROUNDUP(MONTH(Transactions_RAW_cleaned[[#This Row],[TransactionDate]])/3,0)</f>
        <v>Q1</v>
      </c>
      <c r="U1580" t="str">
        <f>Transactions_RAW_cleaned[[#This Row],[Region ]]&amp;Transactions_RAW_cleaned[[#This Row],[Quarter ]]</f>
        <v>NAQ1</v>
      </c>
      <c r="V1580" s="5">
        <f>_xlfn.XLOOKUP(Transactions_RAW_cleaned[[#This Row],[RegionQuarterKey]], Quarterly_Targets_cleaned[RegionQuarterKey], Quarterly_Targets_cleaned[TargetRevenue])</f>
        <v>247000</v>
      </c>
    </row>
    <row r="1581" spans="1:22" x14ac:dyDescent="0.25">
      <c r="A1581" t="s">
        <v>1915</v>
      </c>
      <c r="B1581" s="1">
        <v>45638</v>
      </c>
      <c r="C1581" t="s">
        <v>115</v>
      </c>
      <c r="D1581" t="s">
        <v>300</v>
      </c>
      <c r="E1581">
        <v>74.16</v>
      </c>
      <c r="F1581" t="s">
        <v>324</v>
      </c>
      <c r="G1581" t="s">
        <v>327</v>
      </c>
      <c r="H1581" t="s">
        <v>332</v>
      </c>
      <c r="I1581" t="s">
        <v>17</v>
      </c>
      <c r="J1581" t="s">
        <v>102</v>
      </c>
      <c r="K1581" t="s">
        <v>32</v>
      </c>
      <c r="L1581" t="s">
        <v>301</v>
      </c>
      <c r="M1581" t="s">
        <v>302</v>
      </c>
      <c r="N1581">
        <v>5.0000000000000001E-3</v>
      </c>
      <c r="O1581" t="str">
        <f>IF(Transactions_RAW_cleaned[[#This Row],[Status]]="Completed", IFERROR(_xlfn.XLOOKUP(Transactions_RAW_cleaned[[#This Row],[CustomerID]], Customers_cleaned[CustomerID], Customers_cleaned[Segment]), "Customer Not Found"), "N/A")</f>
        <v>Enterprise</v>
      </c>
      <c r="P1581" s="5" t="str">
        <f>IF(Transactions_RAW_cleaned[[#This Row],[Status]]="Refunded", "Refund",
  IF(Transactions_RAW_cleaned[[#This Row],[Category]]="Payments", IF(Transactions_RAW_cleaned[[#This Row],[Amount]]&gt;500,"High Value","Standard"),
    IF(Transactions_RAW_cleaned[[#This Row],[Amount]]&gt;250,"High Value","Standard")))</f>
        <v>Standard</v>
      </c>
      <c r="Q1581" s="5" t="str">
        <f>IF(Transactions_RAW_cleaned[[#This Row],[Amount]] &gt; (_xlfn.XLOOKUP(Transactions_RAW_cleaned[[#This Row],[ServiceID]],Services_cleaned[ServiceID],Services_cleaned[TransactionFeePct]) * 10000), "Yes", "No")</f>
        <v>Yes</v>
      </c>
      <c r="R1581" s="5" t="str">
        <f>IF(COUNTIFS($C$2:Transactions_RAW_cleaned[[#This Row],[CustomerID]],Transactions_RAW_cleaned[[#This Row],[CustomerID]],$D$2:Transactions_RAW_cleaned[[#This Row],[ServiceID]],Transactions_RAW_cleaned[[#This Row],[ServiceID]])=1,"Yes","No")</f>
        <v>Yes</v>
      </c>
      <c r="S158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81" t="str">
        <f>"Q"&amp;ROUNDUP(MONTH(Transactions_RAW_cleaned[[#This Row],[TransactionDate]])/3,0)</f>
        <v>Q4</v>
      </c>
      <c r="U1581" t="str">
        <f>Transactions_RAW_cleaned[[#This Row],[Region ]]&amp;Transactions_RAW_cleaned[[#This Row],[Quarter ]]</f>
        <v>NAQ4</v>
      </c>
      <c r="V1581" s="5">
        <f>_xlfn.XLOOKUP(Transactions_RAW_cleaned[[#This Row],[RegionQuarterKey]], Quarterly_Targets_cleaned[RegionQuarterKey], Quarterly_Targets_cleaned[TargetRevenue])</f>
        <v>299000</v>
      </c>
    </row>
    <row r="1582" spans="1:22" x14ac:dyDescent="0.25">
      <c r="A1582" t="s">
        <v>1916</v>
      </c>
      <c r="B1582" s="1">
        <v>45490</v>
      </c>
      <c r="C1582" t="s">
        <v>396</v>
      </c>
      <c r="D1582" t="s">
        <v>294</v>
      </c>
      <c r="E1582">
        <v>594.21</v>
      </c>
      <c r="F1582" t="s">
        <v>324</v>
      </c>
      <c r="G1582" t="s">
        <v>337</v>
      </c>
      <c r="H1582" t="s">
        <v>332</v>
      </c>
      <c r="I1582" t="s">
        <v>57</v>
      </c>
      <c r="J1582" t="s">
        <v>21</v>
      </c>
      <c r="K1582" t="s">
        <v>2964</v>
      </c>
      <c r="L1582" t="s">
        <v>295</v>
      </c>
      <c r="M1582" t="s">
        <v>296</v>
      </c>
      <c r="N1582">
        <v>2.9000000000000001E-2</v>
      </c>
      <c r="O1582" t="str">
        <f>IF(Transactions_RAW_cleaned[[#This Row],[Status]]="Completed", IFERROR(_xlfn.XLOOKUP(Transactions_RAW_cleaned[[#This Row],[CustomerID]], Customers_cleaned[CustomerID], Customers_cleaned[Segment]), "Customer Not Found"), "N/A")</f>
        <v>Startup</v>
      </c>
      <c r="P1582" s="5" t="str">
        <f>IF(Transactions_RAW_cleaned[[#This Row],[Status]]="Refunded", "Refund",
  IF(Transactions_RAW_cleaned[[#This Row],[Category]]="Payments", IF(Transactions_RAW_cleaned[[#This Row],[Amount]]&gt;500,"High Value","Standard"),
    IF(Transactions_RAW_cleaned[[#This Row],[Amount]]&gt;250,"High Value","Standard")))</f>
        <v>High Value</v>
      </c>
      <c r="Q1582" s="5" t="str">
        <f>IF(Transactions_RAW_cleaned[[#This Row],[Amount]] &gt; (_xlfn.XLOOKUP(Transactions_RAW_cleaned[[#This Row],[ServiceID]],Services_cleaned[ServiceID],Services_cleaned[TransactionFeePct]) * 10000), "Yes", "No")</f>
        <v>Yes</v>
      </c>
      <c r="R1582" s="5" t="str">
        <f>IF(COUNTIFS($C$2:Transactions_RAW_cleaned[[#This Row],[CustomerID]],Transactions_RAW_cleaned[[#This Row],[CustomerID]],$D$2:Transactions_RAW_cleaned[[#This Row],[ServiceID]],Transactions_RAW_cleaned[[#This Row],[ServiceID]])=1,"Yes","No")</f>
        <v>No</v>
      </c>
      <c r="S158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82" t="str">
        <f>"Q"&amp;ROUNDUP(MONTH(Transactions_RAW_cleaned[[#This Row],[TransactionDate]])/3,0)</f>
        <v>Q3</v>
      </c>
      <c r="U1582" t="str">
        <f>Transactions_RAW_cleaned[[#This Row],[Region ]]&amp;Transactions_RAW_cleaned[[#This Row],[Quarter ]]</f>
        <v>APACQ3</v>
      </c>
      <c r="V1582" s="5">
        <f>_xlfn.XLOOKUP(Transactions_RAW_cleaned[[#This Row],[RegionQuarterKey]], Quarterly_Targets_cleaned[RegionQuarterKey], Quarterly_Targets_cleaned[TargetRevenue])</f>
        <v>115500</v>
      </c>
    </row>
    <row r="1583" spans="1:22" x14ac:dyDescent="0.25">
      <c r="A1583" t="s">
        <v>1917</v>
      </c>
      <c r="B1583" s="1">
        <v>45501</v>
      </c>
      <c r="C1583" t="s">
        <v>42</v>
      </c>
      <c r="D1583" t="s">
        <v>297</v>
      </c>
      <c r="E1583">
        <v>395.98</v>
      </c>
      <c r="F1583" t="s">
        <v>324</v>
      </c>
      <c r="G1583" t="s">
        <v>327</v>
      </c>
      <c r="H1583" t="s">
        <v>334</v>
      </c>
      <c r="I1583" t="s">
        <v>8</v>
      </c>
      <c r="J1583" t="s">
        <v>102</v>
      </c>
      <c r="K1583" t="s">
        <v>10</v>
      </c>
      <c r="L1583" t="s">
        <v>298</v>
      </c>
      <c r="M1583" t="s">
        <v>299</v>
      </c>
      <c r="N1583">
        <v>0</v>
      </c>
      <c r="O1583" t="str">
        <f>IF(Transactions_RAW_cleaned[[#This Row],[Status]]="Completed", IFERROR(_xlfn.XLOOKUP(Transactions_RAW_cleaned[[#This Row],[CustomerID]], Customers_cleaned[CustomerID], Customers_cleaned[Segment]), "Customer Not Found"), "N/A")</f>
        <v>SMB</v>
      </c>
      <c r="P1583" s="5" t="str">
        <f>IF(Transactions_RAW_cleaned[[#This Row],[Status]]="Refunded", "Refund",
  IF(Transactions_RAW_cleaned[[#This Row],[Category]]="Payments", IF(Transactions_RAW_cleaned[[#This Row],[Amount]]&gt;500,"High Value","Standard"),
    IF(Transactions_RAW_cleaned[[#This Row],[Amount]]&gt;250,"High Value","Standard")))</f>
        <v>High Value</v>
      </c>
      <c r="Q1583" s="5" t="str">
        <f>IF(Transactions_RAW_cleaned[[#This Row],[Amount]] &gt; (_xlfn.XLOOKUP(Transactions_RAW_cleaned[[#This Row],[ServiceID]],Services_cleaned[ServiceID],Services_cleaned[TransactionFeePct]) * 10000), "Yes", "No")</f>
        <v>Yes</v>
      </c>
      <c r="R1583" s="5" t="str">
        <f>IF(COUNTIFS($C$2:Transactions_RAW_cleaned[[#This Row],[CustomerID]],Transactions_RAW_cleaned[[#This Row],[CustomerID]],$D$2:Transactions_RAW_cleaned[[#This Row],[ServiceID]],Transactions_RAW_cleaned[[#This Row],[ServiceID]])=1,"Yes","No")</f>
        <v>No</v>
      </c>
      <c r="S158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83" t="str">
        <f>"Q"&amp;ROUNDUP(MONTH(Transactions_RAW_cleaned[[#This Row],[TransactionDate]])/3,0)</f>
        <v>Q3</v>
      </c>
      <c r="U1583" t="str">
        <f>Transactions_RAW_cleaned[[#This Row],[Region ]]&amp;Transactions_RAW_cleaned[[#This Row],[Quarter ]]</f>
        <v>NAQ3</v>
      </c>
      <c r="V1583" s="5">
        <f>_xlfn.XLOOKUP(Transactions_RAW_cleaned[[#This Row],[RegionQuarterKey]], Quarterly_Targets_cleaned[RegionQuarterKey], Quarterly_Targets_cleaned[TargetRevenue])</f>
        <v>273000</v>
      </c>
    </row>
    <row r="1584" spans="1:22" x14ac:dyDescent="0.25">
      <c r="A1584" t="s">
        <v>1918</v>
      </c>
      <c r="B1584" s="1">
        <v>45625</v>
      </c>
      <c r="C1584" t="s">
        <v>239</v>
      </c>
      <c r="D1584" t="s">
        <v>303</v>
      </c>
      <c r="E1584">
        <v>328.11</v>
      </c>
      <c r="F1584" t="s">
        <v>381</v>
      </c>
      <c r="G1584" t="s">
        <v>325</v>
      </c>
      <c r="I1584" t="s">
        <v>57</v>
      </c>
      <c r="J1584" t="s">
        <v>102</v>
      </c>
      <c r="K1584" t="s">
        <v>10</v>
      </c>
      <c r="L1584" t="s">
        <v>304</v>
      </c>
      <c r="M1584" t="s">
        <v>305</v>
      </c>
      <c r="N1584">
        <v>1E-3</v>
      </c>
      <c r="O1584" t="str">
        <f>IF(Transactions_RAW_cleaned[[#This Row],[Status]]="Completed", IFERROR(_xlfn.XLOOKUP(Transactions_RAW_cleaned[[#This Row],[CustomerID]], Customers_cleaned[CustomerID], Customers_cleaned[Segment]), "Customer Not Found"), "N/A")</f>
        <v>N/A</v>
      </c>
      <c r="P1584" s="5" t="str">
        <f>IF(Transactions_RAW_cleaned[[#This Row],[Status]]="Refunded", "Refund",
  IF(Transactions_RAW_cleaned[[#This Row],[Category]]="Payments", IF(Transactions_RAW_cleaned[[#This Row],[Amount]]&gt;500,"High Value","Standard"),
    IF(Transactions_RAW_cleaned[[#This Row],[Amount]]&gt;250,"High Value","Standard")))</f>
        <v>High Value</v>
      </c>
      <c r="Q1584" s="5" t="str">
        <f>IF(Transactions_RAW_cleaned[[#This Row],[Amount]] &gt; (_xlfn.XLOOKUP(Transactions_RAW_cleaned[[#This Row],[ServiceID]],Services_cleaned[ServiceID],Services_cleaned[TransactionFeePct]) * 10000), "Yes", "No")</f>
        <v>Yes</v>
      </c>
      <c r="R1584" s="5" t="str">
        <f>IF(COUNTIFS($C$2:Transactions_RAW_cleaned[[#This Row],[CustomerID]],Transactions_RAW_cleaned[[#This Row],[CustomerID]],$D$2:Transactions_RAW_cleaned[[#This Row],[ServiceID]],Transactions_RAW_cleaned[[#This Row],[ServiceID]])=1,"Yes","No")</f>
        <v>Yes</v>
      </c>
      <c r="S158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84" t="str">
        <f>"Q"&amp;ROUNDUP(MONTH(Transactions_RAW_cleaned[[#This Row],[TransactionDate]])/3,0)</f>
        <v>Q4</v>
      </c>
      <c r="U1584" t="str">
        <f>Transactions_RAW_cleaned[[#This Row],[Region ]]&amp;Transactions_RAW_cleaned[[#This Row],[Quarter ]]</f>
        <v>NAQ4</v>
      </c>
      <c r="V1584" s="5">
        <f>_xlfn.XLOOKUP(Transactions_RAW_cleaned[[#This Row],[RegionQuarterKey]], Quarterly_Targets_cleaned[RegionQuarterKey], Quarterly_Targets_cleaned[TargetRevenue])</f>
        <v>299000</v>
      </c>
    </row>
    <row r="1585" spans="1:22" x14ac:dyDescent="0.25">
      <c r="A1585" t="s">
        <v>1919</v>
      </c>
      <c r="B1585" s="1">
        <v>45556</v>
      </c>
      <c r="C1585" t="s">
        <v>33</v>
      </c>
      <c r="D1585" t="s">
        <v>309</v>
      </c>
      <c r="E1585">
        <v>464.08</v>
      </c>
      <c r="F1585" t="s">
        <v>331</v>
      </c>
      <c r="G1585" t="s">
        <v>327</v>
      </c>
      <c r="H1585" t="s">
        <v>334</v>
      </c>
      <c r="I1585" t="s">
        <v>17</v>
      </c>
      <c r="J1585" t="s">
        <v>31</v>
      </c>
      <c r="K1585" t="s">
        <v>14</v>
      </c>
      <c r="L1585" t="s">
        <v>310</v>
      </c>
      <c r="M1585" t="s">
        <v>311</v>
      </c>
      <c r="N1585">
        <v>0</v>
      </c>
      <c r="O1585" t="str">
        <f>IF(Transactions_RAW_cleaned[[#This Row],[Status]]="Completed", IFERROR(_xlfn.XLOOKUP(Transactions_RAW_cleaned[[#This Row],[CustomerID]], Customers_cleaned[CustomerID], Customers_cleaned[Segment]), "Customer Not Found"), "N/A")</f>
        <v>N/A</v>
      </c>
      <c r="P1585" s="5" t="str">
        <f>IF(Transactions_RAW_cleaned[[#This Row],[Status]]="Refunded", "Refund",
  IF(Transactions_RAW_cleaned[[#This Row],[Category]]="Payments", IF(Transactions_RAW_cleaned[[#This Row],[Amount]]&gt;500,"High Value","Standard"),
    IF(Transactions_RAW_cleaned[[#This Row],[Amount]]&gt;250,"High Value","Standard")))</f>
        <v>High Value</v>
      </c>
      <c r="Q1585" s="5" t="str">
        <f>IF(Transactions_RAW_cleaned[[#This Row],[Amount]] &gt; (_xlfn.XLOOKUP(Transactions_RAW_cleaned[[#This Row],[ServiceID]],Services_cleaned[ServiceID],Services_cleaned[TransactionFeePct]) * 10000), "Yes", "No")</f>
        <v>Yes</v>
      </c>
      <c r="R1585" s="5" t="str">
        <f>IF(COUNTIFS($C$2:Transactions_RAW_cleaned[[#This Row],[CustomerID]],Transactions_RAW_cleaned[[#This Row],[CustomerID]],$D$2:Transactions_RAW_cleaned[[#This Row],[ServiceID]],Transactions_RAW_cleaned[[#This Row],[ServiceID]])=1,"Yes","No")</f>
        <v>No</v>
      </c>
      <c r="S158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85" t="str">
        <f>"Q"&amp;ROUNDUP(MONTH(Transactions_RAW_cleaned[[#This Row],[TransactionDate]])/3,0)</f>
        <v>Q3</v>
      </c>
      <c r="U1585" t="str">
        <f>Transactions_RAW_cleaned[[#This Row],[Region ]]&amp;Transactions_RAW_cleaned[[#This Row],[Quarter ]]</f>
        <v>EMEAQ3</v>
      </c>
      <c r="V1585" s="5">
        <f>_xlfn.XLOOKUP(Transactions_RAW_cleaned[[#This Row],[RegionQuarterKey]], Quarterly_Targets_cleaned[RegionQuarterKey], Quarterly_Targets_cleaned[TargetRevenue])</f>
        <v>147000</v>
      </c>
    </row>
    <row r="1586" spans="1:22" x14ac:dyDescent="0.25">
      <c r="A1586" t="s">
        <v>1920</v>
      </c>
      <c r="B1586" s="1">
        <v>45408</v>
      </c>
      <c r="C1586" t="s">
        <v>177</v>
      </c>
      <c r="D1586" t="s">
        <v>294</v>
      </c>
      <c r="E1586">
        <v>258.36</v>
      </c>
      <c r="F1586" t="s">
        <v>324</v>
      </c>
      <c r="G1586" t="s">
        <v>329</v>
      </c>
      <c r="H1586" t="s">
        <v>346</v>
      </c>
      <c r="I1586" t="s">
        <v>8</v>
      </c>
      <c r="J1586" t="s">
        <v>46</v>
      </c>
      <c r="K1586" t="s">
        <v>10</v>
      </c>
      <c r="L1586" t="s">
        <v>295</v>
      </c>
      <c r="M1586" t="s">
        <v>296</v>
      </c>
      <c r="N1586">
        <v>2.9000000000000001E-2</v>
      </c>
      <c r="O1586" t="str">
        <f>IF(Transactions_RAW_cleaned[[#This Row],[Status]]="Completed", IFERROR(_xlfn.XLOOKUP(Transactions_RAW_cleaned[[#This Row],[CustomerID]], Customers_cleaned[CustomerID], Customers_cleaned[Segment]), "Customer Not Found"), "N/A")</f>
        <v>SMB</v>
      </c>
      <c r="P1586" s="5" t="str">
        <f>IF(Transactions_RAW_cleaned[[#This Row],[Status]]="Refunded", "Refund",
  IF(Transactions_RAW_cleaned[[#This Row],[Category]]="Payments", IF(Transactions_RAW_cleaned[[#This Row],[Amount]]&gt;500,"High Value","Standard"),
    IF(Transactions_RAW_cleaned[[#This Row],[Amount]]&gt;250,"High Value","Standard")))</f>
        <v>Standard</v>
      </c>
      <c r="Q1586" s="5" t="str">
        <f>IF(Transactions_RAW_cleaned[[#This Row],[Amount]] &gt; (_xlfn.XLOOKUP(Transactions_RAW_cleaned[[#This Row],[ServiceID]],Services_cleaned[ServiceID],Services_cleaned[TransactionFeePct]) * 10000), "Yes", "No")</f>
        <v>No</v>
      </c>
      <c r="R1586" s="5" t="str">
        <f>IF(COUNTIFS($C$2:Transactions_RAW_cleaned[[#This Row],[CustomerID]],Transactions_RAW_cleaned[[#This Row],[CustomerID]],$D$2:Transactions_RAW_cleaned[[#This Row],[ServiceID]],Transactions_RAW_cleaned[[#This Row],[ServiceID]])=1,"Yes","No")</f>
        <v>No</v>
      </c>
      <c r="S158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86" t="str">
        <f>"Q"&amp;ROUNDUP(MONTH(Transactions_RAW_cleaned[[#This Row],[TransactionDate]])/3,0)</f>
        <v>Q2</v>
      </c>
      <c r="U1586" t="str">
        <f>Transactions_RAW_cleaned[[#This Row],[Region ]]&amp;Transactions_RAW_cleaned[[#This Row],[Quarter ]]</f>
        <v>APACQ2</v>
      </c>
      <c r="V1586" s="5">
        <f>_xlfn.XLOOKUP(Transactions_RAW_cleaned[[#This Row],[RegionQuarterKey]], Quarterly_Targets_cleaned[RegionQuarterKey], Quarterly_Targets_cleaned[TargetRevenue])</f>
        <v>110000</v>
      </c>
    </row>
    <row r="1587" spans="1:22" x14ac:dyDescent="0.25">
      <c r="A1587" t="s">
        <v>1921</v>
      </c>
      <c r="B1587" s="1">
        <v>45543</v>
      </c>
      <c r="C1587" t="s">
        <v>211</v>
      </c>
      <c r="D1587" t="s">
        <v>309</v>
      </c>
      <c r="E1587">
        <v>315.98</v>
      </c>
      <c r="F1587" t="s">
        <v>324</v>
      </c>
      <c r="G1587" t="s">
        <v>2963</v>
      </c>
      <c r="H1587" t="s">
        <v>332</v>
      </c>
      <c r="I1587" t="s">
        <v>8</v>
      </c>
      <c r="J1587" t="s">
        <v>31</v>
      </c>
      <c r="K1587" t="s">
        <v>22</v>
      </c>
      <c r="L1587" t="s">
        <v>310</v>
      </c>
      <c r="M1587" t="s">
        <v>311</v>
      </c>
      <c r="N1587">
        <v>0</v>
      </c>
      <c r="O1587" t="str">
        <f>IF(Transactions_RAW_cleaned[[#This Row],[Status]]="Completed", IFERROR(_xlfn.XLOOKUP(Transactions_RAW_cleaned[[#This Row],[CustomerID]], Customers_cleaned[CustomerID], Customers_cleaned[Segment]), "Customer Not Found"), "N/A")</f>
        <v>SMB</v>
      </c>
      <c r="P1587" s="5" t="str">
        <f>IF(Transactions_RAW_cleaned[[#This Row],[Status]]="Refunded", "Refund",
  IF(Transactions_RAW_cleaned[[#This Row],[Category]]="Payments", IF(Transactions_RAW_cleaned[[#This Row],[Amount]]&gt;500,"High Value","Standard"),
    IF(Transactions_RAW_cleaned[[#This Row],[Amount]]&gt;250,"High Value","Standard")))</f>
        <v>High Value</v>
      </c>
      <c r="Q1587" s="5" t="str">
        <f>IF(Transactions_RAW_cleaned[[#This Row],[Amount]] &gt; (_xlfn.XLOOKUP(Transactions_RAW_cleaned[[#This Row],[ServiceID]],Services_cleaned[ServiceID],Services_cleaned[TransactionFeePct]) * 10000), "Yes", "No")</f>
        <v>Yes</v>
      </c>
      <c r="R1587" s="5" t="str">
        <f>IF(COUNTIFS($C$2:Transactions_RAW_cleaned[[#This Row],[CustomerID]],Transactions_RAW_cleaned[[#This Row],[CustomerID]],$D$2:Transactions_RAW_cleaned[[#This Row],[ServiceID]],Transactions_RAW_cleaned[[#This Row],[ServiceID]])=1,"Yes","No")</f>
        <v>No</v>
      </c>
      <c r="S158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587" t="str">
        <f>"Q"&amp;ROUNDUP(MONTH(Transactions_RAW_cleaned[[#This Row],[TransactionDate]])/3,0)</f>
        <v>Q3</v>
      </c>
      <c r="U1587" t="str">
        <f>Transactions_RAW_cleaned[[#This Row],[Region ]]&amp;Transactions_RAW_cleaned[[#This Row],[Quarter ]]</f>
        <v>EMEAQ3</v>
      </c>
      <c r="V1587" s="5">
        <f>_xlfn.XLOOKUP(Transactions_RAW_cleaned[[#This Row],[RegionQuarterKey]], Quarterly_Targets_cleaned[RegionQuarterKey], Quarterly_Targets_cleaned[TargetRevenue])</f>
        <v>147000</v>
      </c>
    </row>
    <row r="1588" spans="1:22" x14ac:dyDescent="0.25">
      <c r="A1588" t="s">
        <v>1922</v>
      </c>
      <c r="B1588" s="1">
        <v>45299</v>
      </c>
      <c r="C1588" t="s">
        <v>135</v>
      </c>
      <c r="D1588" t="s">
        <v>297</v>
      </c>
      <c r="E1588">
        <v>537.46</v>
      </c>
      <c r="F1588" t="s">
        <v>331</v>
      </c>
      <c r="G1588" t="s">
        <v>337</v>
      </c>
      <c r="H1588" t="s">
        <v>346</v>
      </c>
      <c r="I1588" t="s">
        <v>8</v>
      </c>
      <c r="J1588" t="s">
        <v>46</v>
      </c>
      <c r="K1588" t="s">
        <v>10</v>
      </c>
      <c r="L1588" t="s">
        <v>298</v>
      </c>
      <c r="M1588" t="s">
        <v>299</v>
      </c>
      <c r="N1588">
        <v>0</v>
      </c>
      <c r="O1588" t="str">
        <f>IF(Transactions_RAW_cleaned[[#This Row],[Status]]="Completed", IFERROR(_xlfn.XLOOKUP(Transactions_RAW_cleaned[[#This Row],[CustomerID]], Customers_cleaned[CustomerID], Customers_cleaned[Segment]), "Customer Not Found"), "N/A")</f>
        <v>N/A</v>
      </c>
      <c r="P1588" s="5" t="str">
        <f>IF(Transactions_RAW_cleaned[[#This Row],[Status]]="Refunded", "Refund",
  IF(Transactions_RAW_cleaned[[#This Row],[Category]]="Payments", IF(Transactions_RAW_cleaned[[#This Row],[Amount]]&gt;500,"High Value","Standard"),
    IF(Transactions_RAW_cleaned[[#This Row],[Amount]]&gt;250,"High Value","Standard")))</f>
        <v>High Value</v>
      </c>
      <c r="Q1588" s="5" t="str">
        <f>IF(Transactions_RAW_cleaned[[#This Row],[Amount]] &gt; (_xlfn.XLOOKUP(Transactions_RAW_cleaned[[#This Row],[ServiceID]],Services_cleaned[ServiceID],Services_cleaned[TransactionFeePct]) * 10000), "Yes", "No")</f>
        <v>Yes</v>
      </c>
      <c r="R1588" s="5" t="str">
        <f>IF(COUNTIFS($C$2:Transactions_RAW_cleaned[[#This Row],[CustomerID]],Transactions_RAW_cleaned[[#This Row],[CustomerID]],$D$2:Transactions_RAW_cleaned[[#This Row],[ServiceID]],Transactions_RAW_cleaned[[#This Row],[ServiceID]])=1,"Yes","No")</f>
        <v>No</v>
      </c>
      <c r="S158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88" t="str">
        <f>"Q"&amp;ROUNDUP(MONTH(Transactions_RAW_cleaned[[#This Row],[TransactionDate]])/3,0)</f>
        <v>Q1</v>
      </c>
      <c r="U1588" t="str">
        <f>Transactions_RAW_cleaned[[#This Row],[Region ]]&amp;Transactions_RAW_cleaned[[#This Row],[Quarter ]]</f>
        <v>APACQ1</v>
      </c>
      <c r="V1588" s="5">
        <f>_xlfn.XLOOKUP(Transactions_RAW_cleaned[[#This Row],[RegionQuarterKey]], Quarterly_Targets_cleaned[RegionQuarterKey], Quarterly_Targets_cleaned[TargetRevenue])</f>
        <v>104500</v>
      </c>
    </row>
    <row r="1589" spans="1:22" x14ac:dyDescent="0.25">
      <c r="A1589" t="s">
        <v>1923</v>
      </c>
      <c r="B1589" s="1">
        <v>45484</v>
      </c>
      <c r="C1589" t="s">
        <v>229</v>
      </c>
      <c r="D1589" t="s">
        <v>312</v>
      </c>
      <c r="E1589">
        <v>379.89</v>
      </c>
      <c r="F1589" t="s">
        <v>331</v>
      </c>
      <c r="G1589" t="s">
        <v>327</v>
      </c>
      <c r="I1589" t="s">
        <v>17</v>
      </c>
      <c r="J1589" t="s">
        <v>102</v>
      </c>
      <c r="K1589" t="s">
        <v>18</v>
      </c>
      <c r="L1589" t="s">
        <v>313</v>
      </c>
      <c r="M1589" t="s">
        <v>314</v>
      </c>
      <c r="N1589">
        <v>0</v>
      </c>
      <c r="O1589" t="str">
        <f>IF(Transactions_RAW_cleaned[[#This Row],[Status]]="Completed", IFERROR(_xlfn.XLOOKUP(Transactions_RAW_cleaned[[#This Row],[CustomerID]], Customers_cleaned[CustomerID], Customers_cleaned[Segment]), "Customer Not Found"), "N/A")</f>
        <v>N/A</v>
      </c>
      <c r="P1589" s="5" t="str">
        <f>IF(Transactions_RAW_cleaned[[#This Row],[Status]]="Refunded", "Refund",
  IF(Transactions_RAW_cleaned[[#This Row],[Category]]="Payments", IF(Transactions_RAW_cleaned[[#This Row],[Amount]]&gt;500,"High Value","Standard"),
    IF(Transactions_RAW_cleaned[[#This Row],[Amount]]&gt;250,"High Value","Standard")))</f>
        <v>High Value</v>
      </c>
      <c r="Q1589" s="5" t="str">
        <f>IF(Transactions_RAW_cleaned[[#This Row],[Amount]] &gt; (_xlfn.XLOOKUP(Transactions_RAW_cleaned[[#This Row],[ServiceID]],Services_cleaned[ServiceID],Services_cleaned[TransactionFeePct]) * 10000), "Yes", "No")</f>
        <v>Yes</v>
      </c>
      <c r="R1589" s="5" t="str">
        <f>IF(COUNTIFS($C$2:Transactions_RAW_cleaned[[#This Row],[CustomerID]],Transactions_RAW_cleaned[[#This Row],[CustomerID]],$D$2:Transactions_RAW_cleaned[[#This Row],[ServiceID]],Transactions_RAW_cleaned[[#This Row],[ServiceID]])=1,"Yes","No")</f>
        <v>No</v>
      </c>
      <c r="S158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89" t="str">
        <f>"Q"&amp;ROUNDUP(MONTH(Transactions_RAW_cleaned[[#This Row],[TransactionDate]])/3,0)</f>
        <v>Q3</v>
      </c>
      <c r="U1589" t="str">
        <f>Transactions_RAW_cleaned[[#This Row],[Region ]]&amp;Transactions_RAW_cleaned[[#This Row],[Quarter ]]</f>
        <v>NAQ3</v>
      </c>
      <c r="V1589" s="5">
        <f>_xlfn.XLOOKUP(Transactions_RAW_cleaned[[#This Row],[RegionQuarterKey]], Quarterly_Targets_cleaned[RegionQuarterKey], Quarterly_Targets_cleaned[TargetRevenue])</f>
        <v>273000</v>
      </c>
    </row>
    <row r="1590" spans="1:22" x14ac:dyDescent="0.25">
      <c r="A1590" t="s">
        <v>1924</v>
      </c>
      <c r="B1590" s="1">
        <v>45541</v>
      </c>
      <c r="C1590" t="s">
        <v>125</v>
      </c>
      <c r="D1590" t="s">
        <v>315</v>
      </c>
      <c r="E1590">
        <v>94.54</v>
      </c>
      <c r="F1590" t="s">
        <v>324</v>
      </c>
      <c r="G1590" t="s">
        <v>327</v>
      </c>
      <c r="I1590" t="s">
        <v>8</v>
      </c>
      <c r="J1590" t="s">
        <v>13</v>
      </c>
      <c r="K1590" t="s">
        <v>28</v>
      </c>
      <c r="L1590" t="s">
        <v>316</v>
      </c>
      <c r="M1590" t="s">
        <v>305</v>
      </c>
      <c r="N1590">
        <v>2.5000000000000001E-3</v>
      </c>
      <c r="O1590" t="str">
        <f>IF(Transactions_RAW_cleaned[[#This Row],[Status]]="Completed", IFERROR(_xlfn.XLOOKUP(Transactions_RAW_cleaned[[#This Row],[CustomerID]], Customers_cleaned[CustomerID], Customers_cleaned[Segment]), "Customer Not Found"), "N/A")</f>
        <v>SMB</v>
      </c>
      <c r="P1590" s="5" t="str">
        <f>IF(Transactions_RAW_cleaned[[#This Row],[Status]]="Refunded", "Refund",
  IF(Transactions_RAW_cleaned[[#This Row],[Category]]="Payments", IF(Transactions_RAW_cleaned[[#This Row],[Amount]]&gt;500,"High Value","Standard"),
    IF(Transactions_RAW_cleaned[[#This Row],[Amount]]&gt;250,"High Value","Standard")))</f>
        <v>Standard</v>
      </c>
      <c r="Q1590" s="5" t="str">
        <f>IF(Transactions_RAW_cleaned[[#This Row],[Amount]] &gt; (_xlfn.XLOOKUP(Transactions_RAW_cleaned[[#This Row],[ServiceID]],Services_cleaned[ServiceID],Services_cleaned[TransactionFeePct]) * 10000), "Yes", "No")</f>
        <v>Yes</v>
      </c>
      <c r="R1590" s="5" t="str">
        <f>IF(COUNTIFS($C$2:Transactions_RAW_cleaned[[#This Row],[CustomerID]],Transactions_RAW_cleaned[[#This Row],[CustomerID]],$D$2:Transactions_RAW_cleaned[[#This Row],[ServiceID]],Transactions_RAW_cleaned[[#This Row],[ServiceID]])=1,"Yes","No")</f>
        <v>No</v>
      </c>
      <c r="S159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90" t="str">
        <f>"Q"&amp;ROUNDUP(MONTH(Transactions_RAW_cleaned[[#This Row],[TransactionDate]])/3,0)</f>
        <v>Q3</v>
      </c>
      <c r="U1590" t="str">
        <f>Transactions_RAW_cleaned[[#This Row],[Region ]]&amp;Transactions_RAW_cleaned[[#This Row],[Quarter ]]</f>
        <v>NAQ3</v>
      </c>
      <c r="V1590" s="5">
        <f>_xlfn.XLOOKUP(Transactions_RAW_cleaned[[#This Row],[RegionQuarterKey]], Quarterly_Targets_cleaned[RegionQuarterKey], Quarterly_Targets_cleaned[TargetRevenue])</f>
        <v>273000</v>
      </c>
    </row>
    <row r="1591" spans="1:22" x14ac:dyDescent="0.25">
      <c r="A1591" t="s">
        <v>1925</v>
      </c>
      <c r="B1591" s="1">
        <v>45592</v>
      </c>
      <c r="C1591" t="s">
        <v>105</v>
      </c>
      <c r="D1591" t="s">
        <v>309</v>
      </c>
      <c r="E1591">
        <v>454.59</v>
      </c>
      <c r="F1591" t="s">
        <v>324</v>
      </c>
      <c r="G1591" t="s">
        <v>325</v>
      </c>
      <c r="I1591" t="s">
        <v>57</v>
      </c>
      <c r="J1591" t="s">
        <v>102</v>
      </c>
      <c r="K1591" t="s">
        <v>32</v>
      </c>
      <c r="L1591" t="s">
        <v>310</v>
      </c>
      <c r="M1591" t="s">
        <v>311</v>
      </c>
      <c r="N1591">
        <v>0</v>
      </c>
      <c r="O1591" t="str">
        <f>IF(Transactions_RAW_cleaned[[#This Row],[Status]]="Completed", IFERROR(_xlfn.XLOOKUP(Transactions_RAW_cleaned[[#This Row],[CustomerID]], Customers_cleaned[CustomerID], Customers_cleaned[Segment]), "Customer Not Found"), "N/A")</f>
        <v>Startup</v>
      </c>
      <c r="P1591" s="5" t="str">
        <f>IF(Transactions_RAW_cleaned[[#This Row],[Status]]="Refunded", "Refund",
  IF(Transactions_RAW_cleaned[[#This Row],[Category]]="Payments", IF(Transactions_RAW_cleaned[[#This Row],[Amount]]&gt;500,"High Value","Standard"),
    IF(Transactions_RAW_cleaned[[#This Row],[Amount]]&gt;250,"High Value","Standard")))</f>
        <v>High Value</v>
      </c>
      <c r="Q1591" s="5" t="str">
        <f>IF(Transactions_RAW_cleaned[[#This Row],[Amount]] &gt; (_xlfn.XLOOKUP(Transactions_RAW_cleaned[[#This Row],[ServiceID]],Services_cleaned[ServiceID],Services_cleaned[TransactionFeePct]) * 10000), "Yes", "No")</f>
        <v>Yes</v>
      </c>
      <c r="R1591" s="5" t="str">
        <f>IF(COUNTIFS($C$2:Transactions_RAW_cleaned[[#This Row],[CustomerID]],Transactions_RAW_cleaned[[#This Row],[CustomerID]],$D$2:Transactions_RAW_cleaned[[#This Row],[ServiceID]],Transactions_RAW_cleaned[[#This Row],[ServiceID]])=1,"Yes","No")</f>
        <v>Yes</v>
      </c>
      <c r="S159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91" t="str">
        <f>"Q"&amp;ROUNDUP(MONTH(Transactions_RAW_cleaned[[#This Row],[TransactionDate]])/3,0)</f>
        <v>Q4</v>
      </c>
      <c r="U1591" t="str">
        <f>Transactions_RAW_cleaned[[#This Row],[Region ]]&amp;Transactions_RAW_cleaned[[#This Row],[Quarter ]]</f>
        <v>NAQ4</v>
      </c>
      <c r="V1591" s="5">
        <f>_xlfn.XLOOKUP(Transactions_RAW_cleaned[[#This Row],[RegionQuarterKey]], Quarterly_Targets_cleaned[RegionQuarterKey], Quarterly_Targets_cleaned[TargetRevenue])</f>
        <v>299000</v>
      </c>
    </row>
    <row r="1592" spans="1:22" x14ac:dyDescent="0.25">
      <c r="A1592" t="s">
        <v>1926</v>
      </c>
      <c r="B1592" s="1">
        <v>45639</v>
      </c>
      <c r="C1592" t="s">
        <v>109</v>
      </c>
      <c r="D1592" t="s">
        <v>294</v>
      </c>
      <c r="E1592">
        <v>461.17</v>
      </c>
      <c r="F1592" t="s">
        <v>324</v>
      </c>
      <c r="G1592" t="s">
        <v>327</v>
      </c>
      <c r="I1592" t="s">
        <v>8</v>
      </c>
      <c r="J1592" t="s">
        <v>102</v>
      </c>
      <c r="K1592" t="s">
        <v>18</v>
      </c>
      <c r="L1592" t="s">
        <v>295</v>
      </c>
      <c r="M1592" t="s">
        <v>296</v>
      </c>
      <c r="N1592">
        <v>2.9000000000000001E-2</v>
      </c>
      <c r="O1592" t="str">
        <f>IF(Transactions_RAW_cleaned[[#This Row],[Status]]="Completed", IFERROR(_xlfn.XLOOKUP(Transactions_RAW_cleaned[[#This Row],[CustomerID]], Customers_cleaned[CustomerID], Customers_cleaned[Segment]), "Customer Not Found"), "N/A")</f>
        <v>SMB</v>
      </c>
      <c r="P1592" s="5" t="str">
        <f>IF(Transactions_RAW_cleaned[[#This Row],[Status]]="Refunded", "Refund",
  IF(Transactions_RAW_cleaned[[#This Row],[Category]]="Payments", IF(Transactions_RAW_cleaned[[#This Row],[Amount]]&gt;500,"High Value","Standard"),
    IF(Transactions_RAW_cleaned[[#This Row],[Amount]]&gt;250,"High Value","Standard")))</f>
        <v>Standard</v>
      </c>
      <c r="Q1592" s="5" t="str">
        <f>IF(Transactions_RAW_cleaned[[#This Row],[Amount]] &gt; (_xlfn.XLOOKUP(Transactions_RAW_cleaned[[#This Row],[ServiceID]],Services_cleaned[ServiceID],Services_cleaned[TransactionFeePct]) * 10000), "Yes", "No")</f>
        <v>Yes</v>
      </c>
      <c r="R1592" s="5" t="str">
        <f>IF(COUNTIFS($C$2:Transactions_RAW_cleaned[[#This Row],[CustomerID]],Transactions_RAW_cleaned[[#This Row],[CustomerID]],$D$2:Transactions_RAW_cleaned[[#This Row],[ServiceID]],Transactions_RAW_cleaned[[#This Row],[ServiceID]])=1,"Yes","No")</f>
        <v>No</v>
      </c>
      <c r="S159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92" t="str">
        <f>"Q"&amp;ROUNDUP(MONTH(Transactions_RAW_cleaned[[#This Row],[TransactionDate]])/3,0)</f>
        <v>Q4</v>
      </c>
      <c r="U1592" t="str">
        <f>Transactions_RAW_cleaned[[#This Row],[Region ]]&amp;Transactions_RAW_cleaned[[#This Row],[Quarter ]]</f>
        <v>NAQ4</v>
      </c>
      <c r="V1592" s="5">
        <f>_xlfn.XLOOKUP(Transactions_RAW_cleaned[[#This Row],[RegionQuarterKey]], Quarterly_Targets_cleaned[RegionQuarterKey], Quarterly_Targets_cleaned[TargetRevenue])</f>
        <v>299000</v>
      </c>
    </row>
    <row r="1593" spans="1:22" x14ac:dyDescent="0.25">
      <c r="A1593" t="s">
        <v>1927</v>
      </c>
      <c r="B1593" s="1">
        <v>45560</v>
      </c>
      <c r="C1593" t="s">
        <v>265</v>
      </c>
      <c r="D1593" t="s">
        <v>306</v>
      </c>
      <c r="E1593">
        <v>498.72</v>
      </c>
      <c r="F1593" t="s">
        <v>324</v>
      </c>
      <c r="G1593" t="s">
        <v>337</v>
      </c>
      <c r="I1593" t="s">
        <v>8</v>
      </c>
      <c r="J1593" t="s">
        <v>102</v>
      </c>
      <c r="K1593" t="s">
        <v>32</v>
      </c>
      <c r="L1593" t="s">
        <v>307</v>
      </c>
      <c r="M1593" t="s">
        <v>308</v>
      </c>
      <c r="N1593">
        <v>0</v>
      </c>
      <c r="O1593" t="str">
        <f>IF(Transactions_RAW_cleaned[[#This Row],[Status]]="Completed", IFERROR(_xlfn.XLOOKUP(Transactions_RAW_cleaned[[#This Row],[CustomerID]], Customers_cleaned[CustomerID], Customers_cleaned[Segment]), "Customer Not Found"), "N/A")</f>
        <v>SMB</v>
      </c>
      <c r="P1593" s="5" t="str">
        <f>IF(Transactions_RAW_cleaned[[#This Row],[Status]]="Refunded", "Refund",
  IF(Transactions_RAW_cleaned[[#This Row],[Category]]="Payments", IF(Transactions_RAW_cleaned[[#This Row],[Amount]]&gt;500,"High Value","Standard"),
    IF(Transactions_RAW_cleaned[[#This Row],[Amount]]&gt;250,"High Value","Standard")))</f>
        <v>High Value</v>
      </c>
      <c r="Q1593" s="5" t="str">
        <f>IF(Transactions_RAW_cleaned[[#This Row],[Amount]] &gt; (_xlfn.XLOOKUP(Transactions_RAW_cleaned[[#This Row],[ServiceID]],Services_cleaned[ServiceID],Services_cleaned[TransactionFeePct]) * 10000), "Yes", "No")</f>
        <v>Yes</v>
      </c>
      <c r="R1593" s="5" t="str">
        <f>IF(COUNTIFS($C$2:Transactions_RAW_cleaned[[#This Row],[CustomerID]],Transactions_RAW_cleaned[[#This Row],[CustomerID]],$D$2:Transactions_RAW_cleaned[[#This Row],[ServiceID]],Transactions_RAW_cleaned[[#This Row],[ServiceID]])=1,"Yes","No")</f>
        <v>No</v>
      </c>
      <c r="S159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93" t="str">
        <f>"Q"&amp;ROUNDUP(MONTH(Transactions_RAW_cleaned[[#This Row],[TransactionDate]])/3,0)</f>
        <v>Q3</v>
      </c>
      <c r="U1593" t="str">
        <f>Transactions_RAW_cleaned[[#This Row],[Region ]]&amp;Transactions_RAW_cleaned[[#This Row],[Quarter ]]</f>
        <v>NAQ3</v>
      </c>
      <c r="V1593" s="5">
        <f>_xlfn.XLOOKUP(Transactions_RAW_cleaned[[#This Row],[RegionQuarterKey]], Quarterly_Targets_cleaned[RegionQuarterKey], Quarterly_Targets_cleaned[TargetRevenue])</f>
        <v>273000</v>
      </c>
    </row>
    <row r="1594" spans="1:22" x14ac:dyDescent="0.25">
      <c r="A1594" t="s">
        <v>1928</v>
      </c>
      <c r="B1594" s="1">
        <v>45531</v>
      </c>
      <c r="C1594" t="s">
        <v>40</v>
      </c>
      <c r="D1594" t="s">
        <v>294</v>
      </c>
      <c r="E1594">
        <v>245.76</v>
      </c>
      <c r="F1594" t="s">
        <v>324</v>
      </c>
      <c r="G1594" t="s">
        <v>329</v>
      </c>
      <c r="I1594" t="s">
        <v>17</v>
      </c>
      <c r="J1594" t="s">
        <v>102</v>
      </c>
      <c r="K1594" t="s">
        <v>14</v>
      </c>
      <c r="L1594" t="s">
        <v>295</v>
      </c>
      <c r="M1594" t="s">
        <v>296</v>
      </c>
      <c r="N1594">
        <v>2.9000000000000001E-2</v>
      </c>
      <c r="O1594" t="str">
        <f>IF(Transactions_RAW_cleaned[[#This Row],[Status]]="Completed", IFERROR(_xlfn.XLOOKUP(Transactions_RAW_cleaned[[#This Row],[CustomerID]], Customers_cleaned[CustomerID], Customers_cleaned[Segment]), "Customer Not Found"), "N/A")</f>
        <v>Enterprise</v>
      </c>
      <c r="P1594" s="5" t="str">
        <f>IF(Transactions_RAW_cleaned[[#This Row],[Status]]="Refunded", "Refund",
  IF(Transactions_RAW_cleaned[[#This Row],[Category]]="Payments", IF(Transactions_RAW_cleaned[[#This Row],[Amount]]&gt;500,"High Value","Standard"),
    IF(Transactions_RAW_cleaned[[#This Row],[Amount]]&gt;250,"High Value","Standard")))</f>
        <v>Standard</v>
      </c>
      <c r="Q1594" s="5" t="str">
        <f>IF(Transactions_RAW_cleaned[[#This Row],[Amount]] &gt; (_xlfn.XLOOKUP(Transactions_RAW_cleaned[[#This Row],[ServiceID]],Services_cleaned[ServiceID],Services_cleaned[TransactionFeePct]) * 10000), "Yes", "No")</f>
        <v>No</v>
      </c>
      <c r="R1594" s="5" t="str">
        <f>IF(COUNTIFS($C$2:Transactions_RAW_cleaned[[#This Row],[CustomerID]],Transactions_RAW_cleaned[[#This Row],[CustomerID]],$D$2:Transactions_RAW_cleaned[[#This Row],[ServiceID]],Transactions_RAW_cleaned[[#This Row],[ServiceID]])=1,"Yes","No")</f>
        <v>No</v>
      </c>
      <c r="S159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94" t="str">
        <f>"Q"&amp;ROUNDUP(MONTH(Transactions_RAW_cleaned[[#This Row],[TransactionDate]])/3,0)</f>
        <v>Q3</v>
      </c>
      <c r="U1594" t="str">
        <f>Transactions_RAW_cleaned[[#This Row],[Region ]]&amp;Transactions_RAW_cleaned[[#This Row],[Quarter ]]</f>
        <v>NAQ3</v>
      </c>
      <c r="V1594" s="5">
        <f>_xlfn.XLOOKUP(Transactions_RAW_cleaned[[#This Row],[RegionQuarterKey]], Quarterly_Targets_cleaned[RegionQuarterKey], Quarterly_Targets_cleaned[TargetRevenue])</f>
        <v>273000</v>
      </c>
    </row>
    <row r="1595" spans="1:22" x14ac:dyDescent="0.25">
      <c r="A1595" t="s">
        <v>1929</v>
      </c>
      <c r="B1595" s="1">
        <v>45358</v>
      </c>
      <c r="C1595" t="s">
        <v>161</v>
      </c>
      <c r="D1595" t="s">
        <v>306</v>
      </c>
      <c r="E1595">
        <v>1141.01</v>
      </c>
      <c r="F1595" t="s">
        <v>324</v>
      </c>
      <c r="G1595" t="s">
        <v>325</v>
      </c>
      <c r="H1595" t="s">
        <v>334</v>
      </c>
      <c r="I1595" t="s">
        <v>8</v>
      </c>
      <c r="J1595" t="s">
        <v>21</v>
      </c>
      <c r="K1595" t="s">
        <v>22</v>
      </c>
      <c r="L1595" t="s">
        <v>307</v>
      </c>
      <c r="M1595" t="s">
        <v>308</v>
      </c>
      <c r="N1595">
        <v>0</v>
      </c>
      <c r="O1595" t="str">
        <f>IF(Transactions_RAW_cleaned[[#This Row],[Status]]="Completed", IFERROR(_xlfn.XLOOKUP(Transactions_RAW_cleaned[[#This Row],[CustomerID]], Customers_cleaned[CustomerID], Customers_cleaned[Segment]), "Customer Not Found"), "N/A")</f>
        <v>SMB</v>
      </c>
      <c r="P1595" s="5" t="str">
        <f>IF(Transactions_RAW_cleaned[[#This Row],[Status]]="Refunded", "Refund",
  IF(Transactions_RAW_cleaned[[#This Row],[Category]]="Payments", IF(Transactions_RAW_cleaned[[#This Row],[Amount]]&gt;500,"High Value","Standard"),
    IF(Transactions_RAW_cleaned[[#This Row],[Amount]]&gt;250,"High Value","Standard")))</f>
        <v>High Value</v>
      </c>
      <c r="Q1595" s="5" t="str">
        <f>IF(Transactions_RAW_cleaned[[#This Row],[Amount]] &gt; (_xlfn.XLOOKUP(Transactions_RAW_cleaned[[#This Row],[ServiceID]],Services_cleaned[ServiceID],Services_cleaned[TransactionFeePct]) * 10000), "Yes", "No")</f>
        <v>Yes</v>
      </c>
      <c r="R1595" s="5" t="str">
        <f>IF(COUNTIFS($C$2:Transactions_RAW_cleaned[[#This Row],[CustomerID]],Transactions_RAW_cleaned[[#This Row],[CustomerID]],$D$2:Transactions_RAW_cleaned[[#This Row],[ServiceID]],Transactions_RAW_cleaned[[#This Row],[ServiceID]])=1,"Yes","No")</f>
        <v>Yes</v>
      </c>
      <c r="S159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95" t="str">
        <f>"Q"&amp;ROUNDUP(MONTH(Transactions_RAW_cleaned[[#This Row],[TransactionDate]])/3,0)</f>
        <v>Q1</v>
      </c>
      <c r="U1595" t="str">
        <f>Transactions_RAW_cleaned[[#This Row],[Region ]]&amp;Transactions_RAW_cleaned[[#This Row],[Quarter ]]</f>
        <v>APACQ1</v>
      </c>
      <c r="V1595" s="5">
        <f>_xlfn.XLOOKUP(Transactions_RAW_cleaned[[#This Row],[RegionQuarterKey]], Quarterly_Targets_cleaned[RegionQuarterKey], Quarterly_Targets_cleaned[TargetRevenue])</f>
        <v>104500</v>
      </c>
    </row>
    <row r="1596" spans="1:22" x14ac:dyDescent="0.25">
      <c r="A1596" t="s">
        <v>1930</v>
      </c>
      <c r="B1596" s="1">
        <v>45618</v>
      </c>
      <c r="C1596" t="s">
        <v>60</v>
      </c>
      <c r="D1596" t="s">
        <v>297</v>
      </c>
      <c r="E1596">
        <v>342.01</v>
      </c>
      <c r="F1596" t="s">
        <v>324</v>
      </c>
      <c r="G1596" t="s">
        <v>325</v>
      </c>
      <c r="H1596" t="s">
        <v>334</v>
      </c>
      <c r="I1596" t="s">
        <v>8</v>
      </c>
      <c r="J1596" t="s">
        <v>13</v>
      </c>
      <c r="K1596" t="s">
        <v>14</v>
      </c>
      <c r="L1596" t="s">
        <v>298</v>
      </c>
      <c r="M1596" t="s">
        <v>299</v>
      </c>
      <c r="N1596">
        <v>0</v>
      </c>
      <c r="O1596" t="str">
        <f>IF(Transactions_RAW_cleaned[[#This Row],[Status]]="Completed", IFERROR(_xlfn.XLOOKUP(Transactions_RAW_cleaned[[#This Row],[CustomerID]], Customers_cleaned[CustomerID], Customers_cleaned[Segment]), "Customer Not Found"), "N/A")</f>
        <v>SMB</v>
      </c>
      <c r="P1596" s="5" t="str">
        <f>IF(Transactions_RAW_cleaned[[#This Row],[Status]]="Refunded", "Refund",
  IF(Transactions_RAW_cleaned[[#This Row],[Category]]="Payments", IF(Transactions_RAW_cleaned[[#This Row],[Amount]]&gt;500,"High Value","Standard"),
    IF(Transactions_RAW_cleaned[[#This Row],[Amount]]&gt;250,"High Value","Standard")))</f>
        <v>High Value</v>
      </c>
      <c r="Q1596" s="5" t="str">
        <f>IF(Transactions_RAW_cleaned[[#This Row],[Amount]] &gt; (_xlfn.XLOOKUP(Transactions_RAW_cleaned[[#This Row],[ServiceID]],Services_cleaned[ServiceID],Services_cleaned[TransactionFeePct]) * 10000), "Yes", "No")</f>
        <v>Yes</v>
      </c>
      <c r="R1596" s="5" t="str">
        <f>IF(COUNTIFS($C$2:Transactions_RAW_cleaned[[#This Row],[CustomerID]],Transactions_RAW_cleaned[[#This Row],[CustomerID]],$D$2:Transactions_RAW_cleaned[[#This Row],[ServiceID]],Transactions_RAW_cleaned[[#This Row],[ServiceID]])=1,"Yes","No")</f>
        <v>No</v>
      </c>
      <c r="S159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96" t="str">
        <f>"Q"&amp;ROUNDUP(MONTH(Transactions_RAW_cleaned[[#This Row],[TransactionDate]])/3,0)</f>
        <v>Q4</v>
      </c>
      <c r="U1596" t="str">
        <f>Transactions_RAW_cleaned[[#This Row],[Region ]]&amp;Transactions_RAW_cleaned[[#This Row],[Quarter ]]</f>
        <v>NAQ4</v>
      </c>
      <c r="V1596" s="5">
        <f>_xlfn.XLOOKUP(Transactions_RAW_cleaned[[#This Row],[RegionQuarterKey]], Quarterly_Targets_cleaned[RegionQuarterKey], Quarterly_Targets_cleaned[TargetRevenue])</f>
        <v>299000</v>
      </c>
    </row>
    <row r="1597" spans="1:22" x14ac:dyDescent="0.25">
      <c r="A1597" t="s">
        <v>1931</v>
      </c>
      <c r="B1597" s="1">
        <v>45481</v>
      </c>
      <c r="C1597" t="s">
        <v>15</v>
      </c>
      <c r="D1597" t="s">
        <v>294</v>
      </c>
      <c r="E1597">
        <v>130.88999999999999</v>
      </c>
      <c r="F1597" t="s">
        <v>331</v>
      </c>
      <c r="G1597" t="s">
        <v>325</v>
      </c>
      <c r="I1597" t="s">
        <v>17</v>
      </c>
      <c r="J1597" t="s">
        <v>102</v>
      </c>
      <c r="K1597" t="s">
        <v>18</v>
      </c>
      <c r="L1597" t="s">
        <v>295</v>
      </c>
      <c r="M1597" t="s">
        <v>296</v>
      </c>
      <c r="N1597">
        <v>2.9000000000000001E-2</v>
      </c>
      <c r="O1597" t="str">
        <f>IF(Transactions_RAW_cleaned[[#This Row],[Status]]="Completed", IFERROR(_xlfn.XLOOKUP(Transactions_RAW_cleaned[[#This Row],[CustomerID]], Customers_cleaned[CustomerID], Customers_cleaned[Segment]), "Customer Not Found"), "N/A")</f>
        <v>N/A</v>
      </c>
      <c r="P1597" s="5" t="str">
        <f>IF(Transactions_RAW_cleaned[[#This Row],[Status]]="Refunded", "Refund",
  IF(Transactions_RAW_cleaned[[#This Row],[Category]]="Payments", IF(Transactions_RAW_cleaned[[#This Row],[Amount]]&gt;500,"High Value","Standard"),
    IF(Transactions_RAW_cleaned[[#This Row],[Amount]]&gt;250,"High Value","Standard")))</f>
        <v>Standard</v>
      </c>
      <c r="Q1597" s="5" t="str">
        <f>IF(Transactions_RAW_cleaned[[#This Row],[Amount]] &gt; (_xlfn.XLOOKUP(Transactions_RAW_cleaned[[#This Row],[ServiceID]],Services_cleaned[ServiceID],Services_cleaned[TransactionFeePct]) * 10000), "Yes", "No")</f>
        <v>No</v>
      </c>
      <c r="R1597" s="5" t="str">
        <f>IF(COUNTIFS($C$2:Transactions_RAW_cleaned[[#This Row],[CustomerID]],Transactions_RAW_cleaned[[#This Row],[CustomerID]],$D$2:Transactions_RAW_cleaned[[#This Row],[ServiceID]],Transactions_RAW_cleaned[[#This Row],[ServiceID]])=1,"Yes","No")</f>
        <v>No</v>
      </c>
      <c r="S159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97" t="str">
        <f>"Q"&amp;ROUNDUP(MONTH(Transactions_RAW_cleaned[[#This Row],[TransactionDate]])/3,0)</f>
        <v>Q3</v>
      </c>
      <c r="U1597" t="str">
        <f>Transactions_RAW_cleaned[[#This Row],[Region ]]&amp;Transactions_RAW_cleaned[[#This Row],[Quarter ]]</f>
        <v>NAQ3</v>
      </c>
      <c r="V1597" s="5">
        <f>_xlfn.XLOOKUP(Transactions_RAW_cleaned[[#This Row],[RegionQuarterKey]], Quarterly_Targets_cleaned[RegionQuarterKey], Quarterly_Targets_cleaned[TargetRevenue])</f>
        <v>273000</v>
      </c>
    </row>
    <row r="1598" spans="1:22" x14ac:dyDescent="0.25">
      <c r="A1598" t="s">
        <v>1932</v>
      </c>
      <c r="B1598" s="1">
        <v>45408</v>
      </c>
      <c r="C1598" t="s">
        <v>167</v>
      </c>
      <c r="D1598" t="s">
        <v>303</v>
      </c>
      <c r="E1598">
        <v>213.35</v>
      </c>
      <c r="F1598" t="s">
        <v>324</v>
      </c>
      <c r="G1598" t="s">
        <v>337</v>
      </c>
      <c r="H1598" t="s">
        <v>332</v>
      </c>
      <c r="I1598" t="s">
        <v>17</v>
      </c>
      <c r="J1598" t="s">
        <v>13</v>
      </c>
      <c r="K1598" t="s">
        <v>10</v>
      </c>
      <c r="L1598" t="s">
        <v>304</v>
      </c>
      <c r="M1598" t="s">
        <v>305</v>
      </c>
      <c r="N1598">
        <v>1E-3</v>
      </c>
      <c r="O1598" t="str">
        <f>IF(Transactions_RAW_cleaned[[#This Row],[Status]]="Completed", IFERROR(_xlfn.XLOOKUP(Transactions_RAW_cleaned[[#This Row],[CustomerID]], Customers_cleaned[CustomerID], Customers_cleaned[Segment]), "Customer Not Found"), "N/A")</f>
        <v>Enterprise</v>
      </c>
      <c r="P1598" s="5" t="str">
        <f>IF(Transactions_RAW_cleaned[[#This Row],[Status]]="Refunded", "Refund",
  IF(Transactions_RAW_cleaned[[#This Row],[Category]]="Payments", IF(Transactions_RAW_cleaned[[#This Row],[Amount]]&gt;500,"High Value","Standard"),
    IF(Transactions_RAW_cleaned[[#This Row],[Amount]]&gt;250,"High Value","Standard")))</f>
        <v>Standard</v>
      </c>
      <c r="Q1598" s="5" t="str">
        <f>IF(Transactions_RAW_cleaned[[#This Row],[Amount]] &gt; (_xlfn.XLOOKUP(Transactions_RAW_cleaned[[#This Row],[ServiceID]],Services_cleaned[ServiceID],Services_cleaned[TransactionFeePct]) * 10000), "Yes", "No")</f>
        <v>Yes</v>
      </c>
      <c r="R1598" s="5" t="str">
        <f>IF(COUNTIFS($C$2:Transactions_RAW_cleaned[[#This Row],[CustomerID]],Transactions_RAW_cleaned[[#This Row],[CustomerID]],$D$2:Transactions_RAW_cleaned[[#This Row],[ServiceID]],Transactions_RAW_cleaned[[#This Row],[ServiceID]])=1,"Yes","No")</f>
        <v>Yes</v>
      </c>
      <c r="S159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598" t="str">
        <f>"Q"&amp;ROUNDUP(MONTH(Transactions_RAW_cleaned[[#This Row],[TransactionDate]])/3,0)</f>
        <v>Q2</v>
      </c>
      <c r="U1598" t="str">
        <f>Transactions_RAW_cleaned[[#This Row],[Region ]]&amp;Transactions_RAW_cleaned[[#This Row],[Quarter ]]</f>
        <v>NAQ2</v>
      </c>
      <c r="V1598" s="5">
        <f>_xlfn.XLOOKUP(Transactions_RAW_cleaned[[#This Row],[RegionQuarterKey]], Quarterly_Targets_cleaned[RegionQuarterKey], Quarterly_Targets_cleaned[TargetRevenue])</f>
        <v>260000</v>
      </c>
    </row>
    <row r="1599" spans="1:22" x14ac:dyDescent="0.25">
      <c r="A1599" t="s">
        <v>1933</v>
      </c>
      <c r="B1599" s="1">
        <v>45649</v>
      </c>
      <c r="C1599" t="s">
        <v>396</v>
      </c>
      <c r="D1599" t="s">
        <v>294</v>
      </c>
      <c r="E1599">
        <v>762.36</v>
      </c>
      <c r="F1599" t="s">
        <v>324</v>
      </c>
      <c r="G1599" t="s">
        <v>327</v>
      </c>
      <c r="I1599" t="s">
        <v>57</v>
      </c>
      <c r="J1599" t="s">
        <v>21</v>
      </c>
      <c r="K1599" t="s">
        <v>2964</v>
      </c>
      <c r="L1599" t="s">
        <v>295</v>
      </c>
      <c r="M1599" t="s">
        <v>296</v>
      </c>
      <c r="N1599">
        <v>2.9000000000000001E-2</v>
      </c>
      <c r="O1599" t="str">
        <f>IF(Transactions_RAW_cleaned[[#This Row],[Status]]="Completed", IFERROR(_xlfn.XLOOKUP(Transactions_RAW_cleaned[[#This Row],[CustomerID]], Customers_cleaned[CustomerID], Customers_cleaned[Segment]), "Customer Not Found"), "N/A")</f>
        <v>Startup</v>
      </c>
      <c r="P1599" s="5" t="str">
        <f>IF(Transactions_RAW_cleaned[[#This Row],[Status]]="Refunded", "Refund",
  IF(Transactions_RAW_cleaned[[#This Row],[Category]]="Payments", IF(Transactions_RAW_cleaned[[#This Row],[Amount]]&gt;500,"High Value","Standard"),
    IF(Transactions_RAW_cleaned[[#This Row],[Amount]]&gt;250,"High Value","Standard")))</f>
        <v>High Value</v>
      </c>
      <c r="Q1599" s="5" t="str">
        <f>IF(Transactions_RAW_cleaned[[#This Row],[Amount]] &gt; (_xlfn.XLOOKUP(Transactions_RAW_cleaned[[#This Row],[ServiceID]],Services_cleaned[ServiceID],Services_cleaned[TransactionFeePct]) * 10000), "Yes", "No")</f>
        <v>Yes</v>
      </c>
      <c r="R1599" s="5" t="str">
        <f>IF(COUNTIFS($C$2:Transactions_RAW_cleaned[[#This Row],[CustomerID]],Transactions_RAW_cleaned[[#This Row],[CustomerID]],$D$2:Transactions_RAW_cleaned[[#This Row],[ServiceID]],Transactions_RAW_cleaned[[#This Row],[ServiceID]])=1,"Yes","No")</f>
        <v>No</v>
      </c>
      <c r="S159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599" t="str">
        <f>"Q"&amp;ROUNDUP(MONTH(Transactions_RAW_cleaned[[#This Row],[TransactionDate]])/3,0)</f>
        <v>Q4</v>
      </c>
      <c r="U1599" t="str">
        <f>Transactions_RAW_cleaned[[#This Row],[Region ]]&amp;Transactions_RAW_cleaned[[#This Row],[Quarter ]]</f>
        <v>APACQ4</v>
      </c>
      <c r="V1599" s="5">
        <f>_xlfn.XLOOKUP(Transactions_RAW_cleaned[[#This Row],[RegionQuarterKey]], Quarterly_Targets_cleaned[RegionQuarterKey], Quarterly_Targets_cleaned[TargetRevenue])</f>
        <v>126500</v>
      </c>
    </row>
    <row r="1600" spans="1:22" x14ac:dyDescent="0.25">
      <c r="A1600" t="s">
        <v>1934</v>
      </c>
      <c r="B1600" s="1">
        <v>45317</v>
      </c>
      <c r="C1600" t="s">
        <v>255</v>
      </c>
      <c r="D1600" t="s">
        <v>303</v>
      </c>
      <c r="E1600">
        <v>478.99</v>
      </c>
      <c r="F1600" t="s">
        <v>331</v>
      </c>
      <c r="G1600" t="s">
        <v>327</v>
      </c>
      <c r="I1600" t="s">
        <v>17</v>
      </c>
      <c r="J1600" t="s">
        <v>21</v>
      </c>
      <c r="K1600" t="s">
        <v>28</v>
      </c>
      <c r="L1600" t="s">
        <v>304</v>
      </c>
      <c r="M1600" t="s">
        <v>305</v>
      </c>
      <c r="N1600">
        <v>1E-3</v>
      </c>
      <c r="O1600" t="str">
        <f>IF(Transactions_RAW_cleaned[[#This Row],[Status]]="Completed", IFERROR(_xlfn.XLOOKUP(Transactions_RAW_cleaned[[#This Row],[CustomerID]], Customers_cleaned[CustomerID], Customers_cleaned[Segment]), "Customer Not Found"), "N/A")</f>
        <v>N/A</v>
      </c>
      <c r="P1600" s="5" t="str">
        <f>IF(Transactions_RAW_cleaned[[#This Row],[Status]]="Refunded", "Refund",
  IF(Transactions_RAW_cleaned[[#This Row],[Category]]="Payments", IF(Transactions_RAW_cleaned[[#This Row],[Amount]]&gt;500,"High Value","Standard"),
    IF(Transactions_RAW_cleaned[[#This Row],[Amount]]&gt;250,"High Value","Standard")))</f>
        <v>High Value</v>
      </c>
      <c r="Q1600" s="5" t="str">
        <f>IF(Transactions_RAW_cleaned[[#This Row],[Amount]] &gt; (_xlfn.XLOOKUP(Transactions_RAW_cleaned[[#This Row],[ServiceID]],Services_cleaned[ServiceID],Services_cleaned[TransactionFeePct]) * 10000), "Yes", "No")</f>
        <v>Yes</v>
      </c>
      <c r="R1600" s="5" t="str">
        <f>IF(COUNTIFS($C$2:Transactions_RAW_cleaned[[#This Row],[CustomerID]],Transactions_RAW_cleaned[[#This Row],[CustomerID]],$D$2:Transactions_RAW_cleaned[[#This Row],[ServiceID]],Transactions_RAW_cleaned[[#This Row],[ServiceID]])=1,"Yes","No")</f>
        <v>No</v>
      </c>
      <c r="S160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00" t="str">
        <f>"Q"&amp;ROUNDUP(MONTH(Transactions_RAW_cleaned[[#This Row],[TransactionDate]])/3,0)</f>
        <v>Q1</v>
      </c>
      <c r="U1600" t="str">
        <f>Transactions_RAW_cleaned[[#This Row],[Region ]]&amp;Transactions_RAW_cleaned[[#This Row],[Quarter ]]</f>
        <v>APACQ1</v>
      </c>
      <c r="V1600" s="5">
        <f>_xlfn.XLOOKUP(Transactions_RAW_cleaned[[#This Row],[RegionQuarterKey]], Quarterly_Targets_cleaned[RegionQuarterKey], Quarterly_Targets_cleaned[TargetRevenue])</f>
        <v>104500</v>
      </c>
    </row>
    <row r="1601" spans="1:22" x14ac:dyDescent="0.25">
      <c r="A1601" t="s">
        <v>1935</v>
      </c>
      <c r="B1601" s="1">
        <v>45653</v>
      </c>
      <c r="C1601" t="s">
        <v>217</v>
      </c>
      <c r="D1601" t="s">
        <v>309</v>
      </c>
      <c r="E1601">
        <v>748.96</v>
      </c>
      <c r="F1601" t="s">
        <v>381</v>
      </c>
      <c r="G1601" t="s">
        <v>337</v>
      </c>
      <c r="H1601" t="s">
        <v>346</v>
      </c>
      <c r="I1601" t="s">
        <v>17</v>
      </c>
      <c r="J1601" t="s">
        <v>102</v>
      </c>
      <c r="K1601" t="s">
        <v>14</v>
      </c>
      <c r="L1601" t="s">
        <v>310</v>
      </c>
      <c r="M1601" t="s">
        <v>311</v>
      </c>
      <c r="N1601">
        <v>0</v>
      </c>
      <c r="O1601" t="str">
        <f>IF(Transactions_RAW_cleaned[[#This Row],[Status]]="Completed", IFERROR(_xlfn.XLOOKUP(Transactions_RAW_cleaned[[#This Row],[CustomerID]], Customers_cleaned[CustomerID], Customers_cleaned[Segment]), "Customer Not Found"), "N/A")</f>
        <v>N/A</v>
      </c>
      <c r="P1601" s="5" t="str">
        <f>IF(Transactions_RAW_cleaned[[#This Row],[Status]]="Refunded", "Refund",
  IF(Transactions_RAW_cleaned[[#This Row],[Category]]="Payments", IF(Transactions_RAW_cleaned[[#This Row],[Amount]]&gt;500,"High Value","Standard"),
    IF(Transactions_RAW_cleaned[[#This Row],[Amount]]&gt;250,"High Value","Standard")))</f>
        <v>High Value</v>
      </c>
      <c r="Q1601" s="5" t="str">
        <f>IF(Transactions_RAW_cleaned[[#This Row],[Amount]] &gt; (_xlfn.XLOOKUP(Transactions_RAW_cleaned[[#This Row],[ServiceID]],Services_cleaned[ServiceID],Services_cleaned[TransactionFeePct]) * 10000), "Yes", "No")</f>
        <v>Yes</v>
      </c>
      <c r="R1601" s="5" t="str">
        <f>IF(COUNTIFS($C$2:Transactions_RAW_cleaned[[#This Row],[CustomerID]],Transactions_RAW_cleaned[[#This Row],[CustomerID]],$D$2:Transactions_RAW_cleaned[[#This Row],[ServiceID]],Transactions_RAW_cleaned[[#This Row],[ServiceID]])=1,"Yes","No")</f>
        <v>No</v>
      </c>
      <c r="S160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01" t="str">
        <f>"Q"&amp;ROUNDUP(MONTH(Transactions_RAW_cleaned[[#This Row],[TransactionDate]])/3,0)</f>
        <v>Q4</v>
      </c>
      <c r="U1601" t="str">
        <f>Transactions_RAW_cleaned[[#This Row],[Region ]]&amp;Transactions_RAW_cleaned[[#This Row],[Quarter ]]</f>
        <v>NAQ4</v>
      </c>
      <c r="V1601" s="5">
        <f>_xlfn.XLOOKUP(Transactions_RAW_cleaned[[#This Row],[RegionQuarterKey]], Quarterly_Targets_cleaned[RegionQuarterKey], Quarterly_Targets_cleaned[TargetRevenue])</f>
        <v>299000</v>
      </c>
    </row>
    <row r="1602" spans="1:22" x14ac:dyDescent="0.25">
      <c r="A1602" t="s">
        <v>1936</v>
      </c>
      <c r="B1602" s="1">
        <v>45478</v>
      </c>
      <c r="C1602" t="s">
        <v>70</v>
      </c>
      <c r="D1602" t="s">
        <v>294</v>
      </c>
      <c r="E1602">
        <v>547.85</v>
      </c>
      <c r="F1602" t="s">
        <v>324</v>
      </c>
      <c r="G1602" t="s">
        <v>337</v>
      </c>
      <c r="H1602" t="s">
        <v>346</v>
      </c>
      <c r="I1602" t="s">
        <v>8</v>
      </c>
      <c r="J1602" t="s">
        <v>37</v>
      </c>
      <c r="K1602" t="s">
        <v>28</v>
      </c>
      <c r="L1602" t="s">
        <v>295</v>
      </c>
      <c r="M1602" t="s">
        <v>296</v>
      </c>
      <c r="N1602">
        <v>2.9000000000000001E-2</v>
      </c>
      <c r="O1602" t="str">
        <f>IF(Transactions_RAW_cleaned[[#This Row],[Status]]="Completed", IFERROR(_xlfn.XLOOKUP(Transactions_RAW_cleaned[[#This Row],[CustomerID]], Customers_cleaned[CustomerID], Customers_cleaned[Segment]), "Customer Not Found"), "N/A")</f>
        <v>SMB</v>
      </c>
      <c r="P1602" s="5" t="str">
        <f>IF(Transactions_RAW_cleaned[[#This Row],[Status]]="Refunded", "Refund",
  IF(Transactions_RAW_cleaned[[#This Row],[Category]]="Payments", IF(Transactions_RAW_cleaned[[#This Row],[Amount]]&gt;500,"High Value","Standard"),
    IF(Transactions_RAW_cleaned[[#This Row],[Amount]]&gt;250,"High Value","Standard")))</f>
        <v>High Value</v>
      </c>
      <c r="Q1602" s="5" t="str">
        <f>IF(Transactions_RAW_cleaned[[#This Row],[Amount]] &gt; (_xlfn.XLOOKUP(Transactions_RAW_cleaned[[#This Row],[ServiceID]],Services_cleaned[ServiceID],Services_cleaned[TransactionFeePct]) * 10000), "Yes", "No")</f>
        <v>Yes</v>
      </c>
      <c r="R1602" s="5" t="str">
        <f>IF(COUNTIFS($C$2:Transactions_RAW_cleaned[[#This Row],[CustomerID]],Transactions_RAW_cleaned[[#This Row],[CustomerID]],$D$2:Transactions_RAW_cleaned[[#This Row],[ServiceID]],Transactions_RAW_cleaned[[#This Row],[ServiceID]])=1,"Yes","No")</f>
        <v>No</v>
      </c>
      <c r="S160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602" t="str">
        <f>"Q"&amp;ROUNDUP(MONTH(Transactions_RAW_cleaned[[#This Row],[TransactionDate]])/3,0)</f>
        <v>Q3</v>
      </c>
      <c r="U1602" t="str">
        <f>Transactions_RAW_cleaned[[#This Row],[Region ]]&amp;Transactions_RAW_cleaned[[#This Row],[Quarter ]]</f>
        <v>EMEAQ3</v>
      </c>
      <c r="V1602" s="5">
        <f>_xlfn.XLOOKUP(Transactions_RAW_cleaned[[#This Row],[RegionQuarterKey]], Quarterly_Targets_cleaned[RegionQuarterKey], Quarterly_Targets_cleaned[TargetRevenue])</f>
        <v>147000</v>
      </c>
    </row>
    <row r="1603" spans="1:22" x14ac:dyDescent="0.25">
      <c r="A1603" t="s">
        <v>1937</v>
      </c>
      <c r="B1603" s="1">
        <v>45474</v>
      </c>
      <c r="C1603" t="s">
        <v>179</v>
      </c>
      <c r="D1603" t="s">
        <v>309</v>
      </c>
      <c r="E1603">
        <v>-286.95</v>
      </c>
      <c r="F1603" t="s">
        <v>349</v>
      </c>
      <c r="G1603" t="s">
        <v>325</v>
      </c>
      <c r="H1603" t="s">
        <v>346</v>
      </c>
      <c r="I1603" t="s">
        <v>8</v>
      </c>
      <c r="J1603" t="s">
        <v>31</v>
      </c>
      <c r="K1603" t="s">
        <v>18</v>
      </c>
      <c r="L1603" t="s">
        <v>310</v>
      </c>
      <c r="M1603" t="s">
        <v>311</v>
      </c>
      <c r="N1603">
        <v>0</v>
      </c>
      <c r="O1603" t="str">
        <f>IF(Transactions_RAW_cleaned[[#This Row],[Status]]="Completed", IFERROR(_xlfn.XLOOKUP(Transactions_RAW_cleaned[[#This Row],[CustomerID]], Customers_cleaned[CustomerID], Customers_cleaned[Segment]), "Customer Not Found"), "N/A")</f>
        <v>N/A</v>
      </c>
      <c r="P1603" s="5" t="str">
        <f>IF(Transactions_RAW_cleaned[[#This Row],[Status]]="Refunded", "Refund",
  IF(Transactions_RAW_cleaned[[#This Row],[Category]]="Payments", IF(Transactions_RAW_cleaned[[#This Row],[Amount]]&gt;500,"High Value","Standard"),
    IF(Transactions_RAW_cleaned[[#This Row],[Amount]]&gt;250,"High Value","Standard")))</f>
        <v>Refund</v>
      </c>
      <c r="Q1603" s="5" t="str">
        <f>IF(Transactions_RAW_cleaned[[#This Row],[Amount]] &gt; (_xlfn.XLOOKUP(Transactions_RAW_cleaned[[#This Row],[ServiceID]],Services_cleaned[ServiceID],Services_cleaned[TransactionFeePct]) * 10000), "Yes", "No")</f>
        <v>No</v>
      </c>
      <c r="R1603" s="5" t="str">
        <f>IF(COUNTIFS($C$2:Transactions_RAW_cleaned[[#This Row],[CustomerID]],Transactions_RAW_cleaned[[#This Row],[CustomerID]],$D$2:Transactions_RAW_cleaned[[#This Row],[ServiceID]],Transactions_RAW_cleaned[[#This Row],[ServiceID]])=1,"Yes","No")</f>
        <v>No</v>
      </c>
      <c r="S160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603" t="str">
        <f>"Q"&amp;ROUNDUP(MONTH(Transactions_RAW_cleaned[[#This Row],[TransactionDate]])/3,0)</f>
        <v>Q3</v>
      </c>
      <c r="U1603" t="str">
        <f>Transactions_RAW_cleaned[[#This Row],[Region ]]&amp;Transactions_RAW_cleaned[[#This Row],[Quarter ]]</f>
        <v>EMEAQ3</v>
      </c>
      <c r="V1603" s="5">
        <f>_xlfn.XLOOKUP(Transactions_RAW_cleaned[[#This Row],[RegionQuarterKey]], Quarterly_Targets_cleaned[RegionQuarterKey], Quarterly_Targets_cleaned[TargetRevenue])</f>
        <v>147000</v>
      </c>
    </row>
    <row r="1604" spans="1:22" x14ac:dyDescent="0.25">
      <c r="A1604" t="s">
        <v>1938</v>
      </c>
      <c r="B1604" s="1">
        <v>45335</v>
      </c>
      <c r="C1604" t="s">
        <v>249</v>
      </c>
      <c r="D1604" t="s">
        <v>303</v>
      </c>
      <c r="E1604">
        <v>568.36</v>
      </c>
      <c r="F1604" t="s">
        <v>324</v>
      </c>
      <c r="G1604" t="s">
        <v>337</v>
      </c>
      <c r="H1604" t="s">
        <v>332</v>
      </c>
      <c r="I1604" t="s">
        <v>57</v>
      </c>
      <c r="J1604" t="s">
        <v>21</v>
      </c>
      <c r="K1604" t="s">
        <v>14</v>
      </c>
      <c r="L1604" t="s">
        <v>304</v>
      </c>
      <c r="M1604" t="s">
        <v>305</v>
      </c>
      <c r="N1604">
        <v>1E-3</v>
      </c>
      <c r="O1604" t="str">
        <f>IF(Transactions_RAW_cleaned[[#This Row],[Status]]="Completed", IFERROR(_xlfn.XLOOKUP(Transactions_RAW_cleaned[[#This Row],[CustomerID]], Customers_cleaned[CustomerID], Customers_cleaned[Segment]), "Customer Not Found"), "N/A")</f>
        <v>Startup</v>
      </c>
      <c r="P1604" s="5" t="str">
        <f>IF(Transactions_RAW_cleaned[[#This Row],[Status]]="Refunded", "Refund",
  IF(Transactions_RAW_cleaned[[#This Row],[Category]]="Payments", IF(Transactions_RAW_cleaned[[#This Row],[Amount]]&gt;500,"High Value","Standard"),
    IF(Transactions_RAW_cleaned[[#This Row],[Amount]]&gt;250,"High Value","Standard")))</f>
        <v>High Value</v>
      </c>
      <c r="Q1604" s="5" t="str">
        <f>IF(Transactions_RAW_cleaned[[#This Row],[Amount]] &gt; (_xlfn.XLOOKUP(Transactions_RAW_cleaned[[#This Row],[ServiceID]],Services_cleaned[ServiceID],Services_cleaned[TransactionFeePct]) * 10000), "Yes", "No")</f>
        <v>Yes</v>
      </c>
      <c r="R1604" s="5" t="str">
        <f>IF(COUNTIFS($C$2:Transactions_RAW_cleaned[[#This Row],[CustomerID]],Transactions_RAW_cleaned[[#This Row],[CustomerID]],$D$2:Transactions_RAW_cleaned[[#This Row],[ServiceID]],Transactions_RAW_cleaned[[#This Row],[ServiceID]])=1,"Yes","No")</f>
        <v>Yes</v>
      </c>
      <c r="S160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04" t="str">
        <f>"Q"&amp;ROUNDUP(MONTH(Transactions_RAW_cleaned[[#This Row],[TransactionDate]])/3,0)</f>
        <v>Q1</v>
      </c>
      <c r="U1604" t="str">
        <f>Transactions_RAW_cleaned[[#This Row],[Region ]]&amp;Transactions_RAW_cleaned[[#This Row],[Quarter ]]</f>
        <v>APACQ1</v>
      </c>
      <c r="V1604" s="5">
        <f>_xlfn.XLOOKUP(Transactions_RAW_cleaned[[#This Row],[RegionQuarterKey]], Quarterly_Targets_cleaned[RegionQuarterKey], Quarterly_Targets_cleaned[TargetRevenue])</f>
        <v>104500</v>
      </c>
    </row>
    <row r="1605" spans="1:22" x14ac:dyDescent="0.25">
      <c r="A1605" t="s">
        <v>1939</v>
      </c>
      <c r="B1605" s="1">
        <v>45563</v>
      </c>
      <c r="C1605" t="s">
        <v>229</v>
      </c>
      <c r="D1605" t="s">
        <v>315</v>
      </c>
      <c r="E1605">
        <v>701.81</v>
      </c>
      <c r="F1605" t="s">
        <v>324</v>
      </c>
      <c r="G1605" t="s">
        <v>329</v>
      </c>
      <c r="H1605" t="s">
        <v>346</v>
      </c>
      <c r="I1605" t="s">
        <v>17</v>
      </c>
      <c r="J1605" t="s">
        <v>102</v>
      </c>
      <c r="K1605" t="s">
        <v>18</v>
      </c>
      <c r="L1605" t="s">
        <v>316</v>
      </c>
      <c r="M1605" t="s">
        <v>305</v>
      </c>
      <c r="N1605">
        <v>2.5000000000000001E-3</v>
      </c>
      <c r="O1605" t="str">
        <f>IF(Transactions_RAW_cleaned[[#This Row],[Status]]="Completed", IFERROR(_xlfn.XLOOKUP(Transactions_RAW_cleaned[[#This Row],[CustomerID]], Customers_cleaned[CustomerID], Customers_cleaned[Segment]), "Customer Not Found"), "N/A")</f>
        <v>Enterprise</v>
      </c>
      <c r="P1605" s="5" t="str">
        <f>IF(Transactions_RAW_cleaned[[#This Row],[Status]]="Refunded", "Refund",
  IF(Transactions_RAW_cleaned[[#This Row],[Category]]="Payments", IF(Transactions_RAW_cleaned[[#This Row],[Amount]]&gt;500,"High Value","Standard"),
    IF(Transactions_RAW_cleaned[[#This Row],[Amount]]&gt;250,"High Value","Standard")))</f>
        <v>High Value</v>
      </c>
      <c r="Q1605" s="5" t="str">
        <f>IF(Transactions_RAW_cleaned[[#This Row],[Amount]] &gt; (_xlfn.XLOOKUP(Transactions_RAW_cleaned[[#This Row],[ServiceID]],Services_cleaned[ServiceID],Services_cleaned[TransactionFeePct]) * 10000), "Yes", "No")</f>
        <v>Yes</v>
      </c>
      <c r="R1605" s="5" t="str">
        <f>IF(COUNTIFS($C$2:Transactions_RAW_cleaned[[#This Row],[CustomerID]],Transactions_RAW_cleaned[[#This Row],[CustomerID]],$D$2:Transactions_RAW_cleaned[[#This Row],[ServiceID]],Transactions_RAW_cleaned[[#This Row],[ServiceID]])=1,"Yes","No")</f>
        <v>No</v>
      </c>
      <c r="S160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05" t="str">
        <f>"Q"&amp;ROUNDUP(MONTH(Transactions_RAW_cleaned[[#This Row],[TransactionDate]])/3,0)</f>
        <v>Q3</v>
      </c>
      <c r="U1605" t="str">
        <f>Transactions_RAW_cleaned[[#This Row],[Region ]]&amp;Transactions_RAW_cleaned[[#This Row],[Quarter ]]</f>
        <v>NAQ3</v>
      </c>
      <c r="V1605" s="5">
        <f>_xlfn.XLOOKUP(Transactions_RAW_cleaned[[#This Row],[RegionQuarterKey]], Quarterly_Targets_cleaned[RegionQuarterKey], Quarterly_Targets_cleaned[TargetRevenue])</f>
        <v>273000</v>
      </c>
    </row>
    <row r="1606" spans="1:22" x14ac:dyDescent="0.25">
      <c r="A1606" t="s">
        <v>1940</v>
      </c>
      <c r="B1606" s="1">
        <v>45446</v>
      </c>
      <c r="C1606" t="s">
        <v>277</v>
      </c>
      <c r="D1606" t="s">
        <v>303</v>
      </c>
      <c r="E1606">
        <v>-219.5</v>
      </c>
      <c r="F1606" t="s">
        <v>349</v>
      </c>
      <c r="G1606" t="s">
        <v>325</v>
      </c>
      <c r="H1606" t="s">
        <v>332</v>
      </c>
      <c r="I1606" t="s">
        <v>8</v>
      </c>
      <c r="J1606" t="s">
        <v>31</v>
      </c>
      <c r="K1606" t="s">
        <v>22</v>
      </c>
      <c r="L1606" t="s">
        <v>304</v>
      </c>
      <c r="M1606" t="s">
        <v>305</v>
      </c>
      <c r="N1606">
        <v>1E-3</v>
      </c>
      <c r="O1606" t="str">
        <f>IF(Transactions_RAW_cleaned[[#This Row],[Status]]="Completed", IFERROR(_xlfn.XLOOKUP(Transactions_RAW_cleaned[[#This Row],[CustomerID]], Customers_cleaned[CustomerID], Customers_cleaned[Segment]), "Customer Not Found"), "N/A")</f>
        <v>N/A</v>
      </c>
      <c r="P1606" s="5" t="str">
        <f>IF(Transactions_RAW_cleaned[[#This Row],[Status]]="Refunded", "Refund",
  IF(Transactions_RAW_cleaned[[#This Row],[Category]]="Payments", IF(Transactions_RAW_cleaned[[#This Row],[Amount]]&gt;500,"High Value","Standard"),
    IF(Transactions_RAW_cleaned[[#This Row],[Amount]]&gt;250,"High Value","Standard")))</f>
        <v>Refund</v>
      </c>
      <c r="Q1606" s="5" t="str">
        <f>IF(Transactions_RAW_cleaned[[#This Row],[Amount]] &gt; (_xlfn.XLOOKUP(Transactions_RAW_cleaned[[#This Row],[ServiceID]],Services_cleaned[ServiceID],Services_cleaned[TransactionFeePct]) * 10000), "Yes", "No")</f>
        <v>No</v>
      </c>
      <c r="R1606" s="5" t="str">
        <f>IF(COUNTIFS($C$2:Transactions_RAW_cleaned[[#This Row],[CustomerID]],Transactions_RAW_cleaned[[#This Row],[CustomerID]],$D$2:Transactions_RAW_cleaned[[#This Row],[ServiceID]],Transactions_RAW_cleaned[[#This Row],[ServiceID]])=1,"Yes","No")</f>
        <v>No</v>
      </c>
      <c r="S160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606" t="str">
        <f>"Q"&amp;ROUNDUP(MONTH(Transactions_RAW_cleaned[[#This Row],[TransactionDate]])/3,0)</f>
        <v>Q2</v>
      </c>
      <c r="U1606" t="str">
        <f>Transactions_RAW_cleaned[[#This Row],[Region ]]&amp;Transactions_RAW_cleaned[[#This Row],[Quarter ]]</f>
        <v>EMEAQ2</v>
      </c>
      <c r="V1606" s="5">
        <f>_xlfn.XLOOKUP(Transactions_RAW_cleaned[[#This Row],[RegionQuarterKey]], Quarterly_Targets_cleaned[RegionQuarterKey], Quarterly_Targets_cleaned[TargetRevenue])</f>
        <v>140000</v>
      </c>
    </row>
    <row r="1607" spans="1:22" x14ac:dyDescent="0.25">
      <c r="A1607" t="s">
        <v>1941</v>
      </c>
      <c r="B1607" s="1">
        <v>45447</v>
      </c>
      <c r="C1607" t="s">
        <v>193</v>
      </c>
      <c r="D1607" t="s">
        <v>294</v>
      </c>
      <c r="E1607">
        <v>373.25</v>
      </c>
      <c r="F1607" t="s">
        <v>324</v>
      </c>
      <c r="G1607" t="s">
        <v>325</v>
      </c>
      <c r="H1607" t="s">
        <v>334</v>
      </c>
      <c r="I1607" t="s">
        <v>8</v>
      </c>
      <c r="J1607" t="s">
        <v>102</v>
      </c>
      <c r="K1607" t="s">
        <v>18</v>
      </c>
      <c r="L1607" t="s">
        <v>295</v>
      </c>
      <c r="M1607" t="s">
        <v>296</v>
      </c>
      <c r="N1607">
        <v>2.9000000000000001E-2</v>
      </c>
      <c r="O1607" t="str">
        <f>IF(Transactions_RAW_cleaned[[#This Row],[Status]]="Completed", IFERROR(_xlfn.XLOOKUP(Transactions_RAW_cleaned[[#This Row],[CustomerID]], Customers_cleaned[CustomerID], Customers_cleaned[Segment]), "Customer Not Found"), "N/A")</f>
        <v>SMB</v>
      </c>
      <c r="P1607" s="5" t="str">
        <f>IF(Transactions_RAW_cleaned[[#This Row],[Status]]="Refunded", "Refund",
  IF(Transactions_RAW_cleaned[[#This Row],[Category]]="Payments", IF(Transactions_RAW_cleaned[[#This Row],[Amount]]&gt;500,"High Value","Standard"),
    IF(Transactions_RAW_cleaned[[#This Row],[Amount]]&gt;250,"High Value","Standard")))</f>
        <v>Standard</v>
      </c>
      <c r="Q1607" s="5" t="str">
        <f>IF(Transactions_RAW_cleaned[[#This Row],[Amount]] &gt; (_xlfn.XLOOKUP(Transactions_RAW_cleaned[[#This Row],[ServiceID]],Services_cleaned[ServiceID],Services_cleaned[TransactionFeePct]) * 10000), "Yes", "No")</f>
        <v>Yes</v>
      </c>
      <c r="R1607" s="5" t="str">
        <f>IF(COUNTIFS($C$2:Transactions_RAW_cleaned[[#This Row],[CustomerID]],Transactions_RAW_cleaned[[#This Row],[CustomerID]],$D$2:Transactions_RAW_cleaned[[#This Row],[ServiceID]],Transactions_RAW_cleaned[[#This Row],[ServiceID]])=1,"Yes","No")</f>
        <v>No</v>
      </c>
      <c r="S160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07" t="str">
        <f>"Q"&amp;ROUNDUP(MONTH(Transactions_RAW_cleaned[[#This Row],[TransactionDate]])/3,0)</f>
        <v>Q2</v>
      </c>
      <c r="U1607" t="str">
        <f>Transactions_RAW_cleaned[[#This Row],[Region ]]&amp;Transactions_RAW_cleaned[[#This Row],[Quarter ]]</f>
        <v>NAQ2</v>
      </c>
      <c r="V1607" s="5">
        <f>_xlfn.XLOOKUP(Transactions_RAW_cleaned[[#This Row],[RegionQuarterKey]], Quarterly_Targets_cleaned[RegionQuarterKey], Quarterly_Targets_cleaned[TargetRevenue])</f>
        <v>260000</v>
      </c>
    </row>
    <row r="1608" spans="1:22" x14ac:dyDescent="0.25">
      <c r="A1608" t="s">
        <v>1942</v>
      </c>
      <c r="B1608" s="1">
        <v>45640</v>
      </c>
      <c r="C1608" t="s">
        <v>275</v>
      </c>
      <c r="D1608" t="s">
        <v>294</v>
      </c>
      <c r="E1608">
        <v>585.52</v>
      </c>
      <c r="F1608" t="s">
        <v>324</v>
      </c>
      <c r="G1608" t="s">
        <v>325</v>
      </c>
      <c r="I1608" t="s">
        <v>57</v>
      </c>
      <c r="J1608" t="s">
        <v>13</v>
      </c>
      <c r="K1608" t="s">
        <v>22</v>
      </c>
      <c r="L1608" t="s">
        <v>295</v>
      </c>
      <c r="M1608" t="s">
        <v>296</v>
      </c>
      <c r="N1608">
        <v>2.9000000000000001E-2</v>
      </c>
      <c r="O1608" t="str">
        <f>IF(Transactions_RAW_cleaned[[#This Row],[Status]]="Completed", IFERROR(_xlfn.XLOOKUP(Transactions_RAW_cleaned[[#This Row],[CustomerID]], Customers_cleaned[CustomerID], Customers_cleaned[Segment]), "Customer Not Found"), "N/A")</f>
        <v>Startup</v>
      </c>
      <c r="P1608" s="5" t="str">
        <f>IF(Transactions_RAW_cleaned[[#This Row],[Status]]="Refunded", "Refund",
  IF(Transactions_RAW_cleaned[[#This Row],[Category]]="Payments", IF(Transactions_RAW_cleaned[[#This Row],[Amount]]&gt;500,"High Value","Standard"),
    IF(Transactions_RAW_cleaned[[#This Row],[Amount]]&gt;250,"High Value","Standard")))</f>
        <v>High Value</v>
      </c>
      <c r="Q1608" s="5" t="str">
        <f>IF(Transactions_RAW_cleaned[[#This Row],[Amount]] &gt; (_xlfn.XLOOKUP(Transactions_RAW_cleaned[[#This Row],[ServiceID]],Services_cleaned[ServiceID],Services_cleaned[TransactionFeePct]) * 10000), "Yes", "No")</f>
        <v>Yes</v>
      </c>
      <c r="R1608" s="5" t="str">
        <f>IF(COUNTIFS($C$2:Transactions_RAW_cleaned[[#This Row],[CustomerID]],Transactions_RAW_cleaned[[#This Row],[CustomerID]],$D$2:Transactions_RAW_cleaned[[#This Row],[ServiceID]],Transactions_RAW_cleaned[[#This Row],[ServiceID]])=1,"Yes","No")</f>
        <v>No</v>
      </c>
      <c r="S160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08" t="str">
        <f>"Q"&amp;ROUNDUP(MONTH(Transactions_RAW_cleaned[[#This Row],[TransactionDate]])/3,0)</f>
        <v>Q4</v>
      </c>
      <c r="U1608" t="str">
        <f>Transactions_RAW_cleaned[[#This Row],[Region ]]&amp;Transactions_RAW_cleaned[[#This Row],[Quarter ]]</f>
        <v>NAQ4</v>
      </c>
      <c r="V1608" s="5">
        <f>_xlfn.XLOOKUP(Transactions_RAW_cleaned[[#This Row],[RegionQuarterKey]], Quarterly_Targets_cleaned[RegionQuarterKey], Quarterly_Targets_cleaned[TargetRevenue])</f>
        <v>299000</v>
      </c>
    </row>
    <row r="1609" spans="1:22" x14ac:dyDescent="0.25">
      <c r="A1609" t="s">
        <v>1943</v>
      </c>
      <c r="B1609" s="1">
        <v>45576</v>
      </c>
      <c r="C1609" t="s">
        <v>15</v>
      </c>
      <c r="D1609" t="s">
        <v>300</v>
      </c>
      <c r="E1609">
        <v>1113.6300000000001</v>
      </c>
      <c r="F1609" t="s">
        <v>324</v>
      </c>
      <c r="G1609" t="s">
        <v>327</v>
      </c>
      <c r="H1609" t="s">
        <v>346</v>
      </c>
      <c r="I1609" t="s">
        <v>17</v>
      </c>
      <c r="J1609" t="s">
        <v>102</v>
      </c>
      <c r="K1609" t="s">
        <v>18</v>
      </c>
      <c r="L1609" t="s">
        <v>301</v>
      </c>
      <c r="M1609" t="s">
        <v>302</v>
      </c>
      <c r="N1609">
        <v>5.0000000000000001E-3</v>
      </c>
      <c r="O1609" t="str">
        <f>IF(Transactions_RAW_cleaned[[#This Row],[Status]]="Completed", IFERROR(_xlfn.XLOOKUP(Transactions_RAW_cleaned[[#This Row],[CustomerID]], Customers_cleaned[CustomerID], Customers_cleaned[Segment]), "Customer Not Found"), "N/A")</f>
        <v>Enterprise</v>
      </c>
      <c r="P1609" s="5" t="str">
        <f>IF(Transactions_RAW_cleaned[[#This Row],[Status]]="Refunded", "Refund",
  IF(Transactions_RAW_cleaned[[#This Row],[Category]]="Payments", IF(Transactions_RAW_cleaned[[#This Row],[Amount]]&gt;500,"High Value","Standard"),
    IF(Transactions_RAW_cleaned[[#This Row],[Amount]]&gt;250,"High Value","Standard")))</f>
        <v>High Value</v>
      </c>
      <c r="Q1609" s="5" t="str">
        <f>IF(Transactions_RAW_cleaned[[#This Row],[Amount]] &gt; (_xlfn.XLOOKUP(Transactions_RAW_cleaned[[#This Row],[ServiceID]],Services_cleaned[ServiceID],Services_cleaned[TransactionFeePct]) * 10000), "Yes", "No")</f>
        <v>Yes</v>
      </c>
      <c r="R1609" s="5" t="str">
        <f>IF(COUNTIFS($C$2:Transactions_RAW_cleaned[[#This Row],[CustomerID]],Transactions_RAW_cleaned[[#This Row],[CustomerID]],$D$2:Transactions_RAW_cleaned[[#This Row],[ServiceID]],Transactions_RAW_cleaned[[#This Row],[ServiceID]])=1,"Yes","No")</f>
        <v>No</v>
      </c>
      <c r="S160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09" t="str">
        <f>"Q"&amp;ROUNDUP(MONTH(Transactions_RAW_cleaned[[#This Row],[TransactionDate]])/3,0)</f>
        <v>Q4</v>
      </c>
      <c r="U1609" t="str">
        <f>Transactions_RAW_cleaned[[#This Row],[Region ]]&amp;Transactions_RAW_cleaned[[#This Row],[Quarter ]]</f>
        <v>NAQ4</v>
      </c>
      <c r="V1609" s="5">
        <f>_xlfn.XLOOKUP(Transactions_RAW_cleaned[[#This Row],[RegionQuarterKey]], Quarterly_Targets_cleaned[RegionQuarterKey], Quarterly_Targets_cleaned[TargetRevenue])</f>
        <v>299000</v>
      </c>
    </row>
    <row r="1610" spans="1:22" x14ac:dyDescent="0.25">
      <c r="A1610" t="s">
        <v>1944</v>
      </c>
      <c r="B1610" s="1">
        <v>45395</v>
      </c>
      <c r="C1610" t="s">
        <v>177</v>
      </c>
      <c r="D1610" t="s">
        <v>294</v>
      </c>
      <c r="E1610">
        <v>224.5</v>
      </c>
      <c r="F1610" t="s">
        <v>324</v>
      </c>
      <c r="G1610" t="s">
        <v>325</v>
      </c>
      <c r="H1610" t="s">
        <v>332</v>
      </c>
      <c r="I1610" t="s">
        <v>8</v>
      </c>
      <c r="J1610" t="s">
        <v>46</v>
      </c>
      <c r="K1610" t="s">
        <v>10</v>
      </c>
      <c r="L1610" t="s">
        <v>295</v>
      </c>
      <c r="M1610" t="s">
        <v>296</v>
      </c>
      <c r="N1610">
        <v>2.9000000000000001E-2</v>
      </c>
      <c r="O1610" t="str">
        <f>IF(Transactions_RAW_cleaned[[#This Row],[Status]]="Completed", IFERROR(_xlfn.XLOOKUP(Transactions_RAW_cleaned[[#This Row],[CustomerID]], Customers_cleaned[CustomerID], Customers_cleaned[Segment]), "Customer Not Found"), "N/A")</f>
        <v>SMB</v>
      </c>
      <c r="P1610" s="5" t="str">
        <f>IF(Transactions_RAW_cleaned[[#This Row],[Status]]="Refunded", "Refund",
  IF(Transactions_RAW_cleaned[[#This Row],[Category]]="Payments", IF(Transactions_RAW_cleaned[[#This Row],[Amount]]&gt;500,"High Value","Standard"),
    IF(Transactions_RAW_cleaned[[#This Row],[Amount]]&gt;250,"High Value","Standard")))</f>
        <v>Standard</v>
      </c>
      <c r="Q1610" s="5" t="str">
        <f>IF(Transactions_RAW_cleaned[[#This Row],[Amount]] &gt; (_xlfn.XLOOKUP(Transactions_RAW_cleaned[[#This Row],[ServiceID]],Services_cleaned[ServiceID],Services_cleaned[TransactionFeePct]) * 10000), "Yes", "No")</f>
        <v>No</v>
      </c>
      <c r="R1610" s="5" t="str">
        <f>IF(COUNTIFS($C$2:Transactions_RAW_cleaned[[#This Row],[CustomerID]],Transactions_RAW_cleaned[[#This Row],[CustomerID]],$D$2:Transactions_RAW_cleaned[[#This Row],[ServiceID]],Transactions_RAW_cleaned[[#This Row],[ServiceID]])=1,"Yes","No")</f>
        <v>No</v>
      </c>
      <c r="S161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10" t="str">
        <f>"Q"&amp;ROUNDUP(MONTH(Transactions_RAW_cleaned[[#This Row],[TransactionDate]])/3,0)</f>
        <v>Q2</v>
      </c>
      <c r="U1610" t="str">
        <f>Transactions_RAW_cleaned[[#This Row],[Region ]]&amp;Transactions_RAW_cleaned[[#This Row],[Quarter ]]</f>
        <v>APACQ2</v>
      </c>
      <c r="V1610" s="5">
        <f>_xlfn.XLOOKUP(Transactions_RAW_cleaned[[#This Row],[RegionQuarterKey]], Quarterly_Targets_cleaned[RegionQuarterKey], Quarterly_Targets_cleaned[TargetRevenue])</f>
        <v>110000</v>
      </c>
    </row>
    <row r="1611" spans="1:22" x14ac:dyDescent="0.25">
      <c r="A1611" t="s">
        <v>1945</v>
      </c>
      <c r="B1611" s="1">
        <v>45358</v>
      </c>
      <c r="C1611" t="s">
        <v>119</v>
      </c>
      <c r="D1611" t="s">
        <v>294</v>
      </c>
      <c r="E1611">
        <v>114.68</v>
      </c>
      <c r="F1611" t="s">
        <v>324</v>
      </c>
      <c r="G1611" t="s">
        <v>337</v>
      </c>
      <c r="H1611" t="s">
        <v>346</v>
      </c>
      <c r="I1611" t="s">
        <v>57</v>
      </c>
      <c r="J1611" t="s">
        <v>102</v>
      </c>
      <c r="K1611" t="s">
        <v>18</v>
      </c>
      <c r="L1611" t="s">
        <v>295</v>
      </c>
      <c r="M1611" t="s">
        <v>296</v>
      </c>
      <c r="N1611">
        <v>2.9000000000000001E-2</v>
      </c>
      <c r="O1611" t="str">
        <f>IF(Transactions_RAW_cleaned[[#This Row],[Status]]="Completed", IFERROR(_xlfn.XLOOKUP(Transactions_RAW_cleaned[[#This Row],[CustomerID]], Customers_cleaned[CustomerID], Customers_cleaned[Segment]), "Customer Not Found"), "N/A")</f>
        <v>Startup</v>
      </c>
      <c r="P1611" s="5" t="str">
        <f>IF(Transactions_RAW_cleaned[[#This Row],[Status]]="Refunded", "Refund",
  IF(Transactions_RAW_cleaned[[#This Row],[Category]]="Payments", IF(Transactions_RAW_cleaned[[#This Row],[Amount]]&gt;500,"High Value","Standard"),
    IF(Transactions_RAW_cleaned[[#This Row],[Amount]]&gt;250,"High Value","Standard")))</f>
        <v>Standard</v>
      </c>
      <c r="Q1611" s="5" t="str">
        <f>IF(Transactions_RAW_cleaned[[#This Row],[Amount]] &gt; (_xlfn.XLOOKUP(Transactions_RAW_cleaned[[#This Row],[ServiceID]],Services_cleaned[ServiceID],Services_cleaned[TransactionFeePct]) * 10000), "Yes", "No")</f>
        <v>No</v>
      </c>
      <c r="R1611" s="5" t="str">
        <f>IF(COUNTIFS($C$2:Transactions_RAW_cleaned[[#This Row],[CustomerID]],Transactions_RAW_cleaned[[#This Row],[CustomerID]],$D$2:Transactions_RAW_cleaned[[#This Row],[ServiceID]],Transactions_RAW_cleaned[[#This Row],[ServiceID]])=1,"Yes","No")</f>
        <v>No</v>
      </c>
      <c r="S161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11" t="str">
        <f>"Q"&amp;ROUNDUP(MONTH(Transactions_RAW_cleaned[[#This Row],[TransactionDate]])/3,0)</f>
        <v>Q1</v>
      </c>
      <c r="U1611" t="str">
        <f>Transactions_RAW_cleaned[[#This Row],[Region ]]&amp;Transactions_RAW_cleaned[[#This Row],[Quarter ]]</f>
        <v>NAQ1</v>
      </c>
      <c r="V1611" s="5">
        <f>_xlfn.XLOOKUP(Transactions_RAW_cleaned[[#This Row],[RegionQuarterKey]], Quarterly_Targets_cleaned[RegionQuarterKey], Quarterly_Targets_cleaned[TargetRevenue])</f>
        <v>247000</v>
      </c>
    </row>
    <row r="1612" spans="1:22" x14ac:dyDescent="0.25">
      <c r="A1612" t="s">
        <v>1946</v>
      </c>
      <c r="B1612" s="1">
        <v>45332</v>
      </c>
      <c r="C1612" t="s">
        <v>143</v>
      </c>
      <c r="D1612" t="s">
        <v>309</v>
      </c>
      <c r="E1612">
        <v>403.21</v>
      </c>
      <c r="F1612" t="s">
        <v>324</v>
      </c>
      <c r="G1612" t="s">
        <v>327</v>
      </c>
      <c r="H1612" t="s">
        <v>332</v>
      </c>
      <c r="I1612" t="s">
        <v>8</v>
      </c>
      <c r="J1612" t="s">
        <v>102</v>
      </c>
      <c r="K1612" t="s">
        <v>22</v>
      </c>
      <c r="L1612" t="s">
        <v>310</v>
      </c>
      <c r="M1612" t="s">
        <v>311</v>
      </c>
      <c r="N1612">
        <v>0</v>
      </c>
      <c r="O1612" t="str">
        <f>IF(Transactions_RAW_cleaned[[#This Row],[Status]]="Completed", IFERROR(_xlfn.XLOOKUP(Transactions_RAW_cleaned[[#This Row],[CustomerID]], Customers_cleaned[CustomerID], Customers_cleaned[Segment]), "Customer Not Found"), "N/A")</f>
        <v>SMB</v>
      </c>
      <c r="P1612" s="5" t="str">
        <f>IF(Transactions_RAW_cleaned[[#This Row],[Status]]="Refunded", "Refund",
  IF(Transactions_RAW_cleaned[[#This Row],[Category]]="Payments", IF(Transactions_RAW_cleaned[[#This Row],[Amount]]&gt;500,"High Value","Standard"),
    IF(Transactions_RAW_cleaned[[#This Row],[Amount]]&gt;250,"High Value","Standard")))</f>
        <v>High Value</v>
      </c>
      <c r="Q1612" s="5" t="str">
        <f>IF(Transactions_RAW_cleaned[[#This Row],[Amount]] &gt; (_xlfn.XLOOKUP(Transactions_RAW_cleaned[[#This Row],[ServiceID]],Services_cleaned[ServiceID],Services_cleaned[TransactionFeePct]) * 10000), "Yes", "No")</f>
        <v>Yes</v>
      </c>
      <c r="R1612" s="5" t="str">
        <f>IF(COUNTIFS($C$2:Transactions_RAW_cleaned[[#This Row],[CustomerID]],Transactions_RAW_cleaned[[#This Row],[CustomerID]],$D$2:Transactions_RAW_cleaned[[#This Row],[ServiceID]],Transactions_RAW_cleaned[[#This Row],[ServiceID]])=1,"Yes","No")</f>
        <v>No</v>
      </c>
      <c r="S161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12" t="str">
        <f>"Q"&amp;ROUNDUP(MONTH(Transactions_RAW_cleaned[[#This Row],[TransactionDate]])/3,0)</f>
        <v>Q1</v>
      </c>
      <c r="U1612" t="str">
        <f>Transactions_RAW_cleaned[[#This Row],[Region ]]&amp;Transactions_RAW_cleaned[[#This Row],[Quarter ]]</f>
        <v>NAQ1</v>
      </c>
      <c r="V1612" s="5">
        <f>_xlfn.XLOOKUP(Transactions_RAW_cleaned[[#This Row],[RegionQuarterKey]], Quarterly_Targets_cleaned[RegionQuarterKey], Quarterly_Targets_cleaned[TargetRevenue])</f>
        <v>247000</v>
      </c>
    </row>
    <row r="1613" spans="1:22" x14ac:dyDescent="0.25">
      <c r="A1613" t="s">
        <v>1947</v>
      </c>
      <c r="B1613" s="1">
        <v>45422</v>
      </c>
      <c r="C1613" t="s">
        <v>396</v>
      </c>
      <c r="D1613" t="s">
        <v>303</v>
      </c>
      <c r="E1613">
        <v>752.65</v>
      </c>
      <c r="F1613" t="s">
        <v>324</v>
      </c>
      <c r="G1613" t="s">
        <v>2963</v>
      </c>
      <c r="H1613" t="s">
        <v>346</v>
      </c>
      <c r="I1613" t="s">
        <v>57</v>
      </c>
      <c r="J1613" t="s">
        <v>21</v>
      </c>
      <c r="K1613" t="s">
        <v>2964</v>
      </c>
      <c r="L1613" t="s">
        <v>304</v>
      </c>
      <c r="M1613" t="s">
        <v>305</v>
      </c>
      <c r="N1613">
        <v>1E-3</v>
      </c>
      <c r="O1613" t="str">
        <f>IF(Transactions_RAW_cleaned[[#This Row],[Status]]="Completed", IFERROR(_xlfn.XLOOKUP(Transactions_RAW_cleaned[[#This Row],[CustomerID]], Customers_cleaned[CustomerID], Customers_cleaned[Segment]), "Customer Not Found"), "N/A")</f>
        <v>Startup</v>
      </c>
      <c r="P1613" s="5" t="str">
        <f>IF(Transactions_RAW_cleaned[[#This Row],[Status]]="Refunded", "Refund",
  IF(Transactions_RAW_cleaned[[#This Row],[Category]]="Payments", IF(Transactions_RAW_cleaned[[#This Row],[Amount]]&gt;500,"High Value","Standard"),
    IF(Transactions_RAW_cleaned[[#This Row],[Amount]]&gt;250,"High Value","Standard")))</f>
        <v>High Value</v>
      </c>
      <c r="Q1613" s="5" t="str">
        <f>IF(Transactions_RAW_cleaned[[#This Row],[Amount]] &gt; (_xlfn.XLOOKUP(Transactions_RAW_cleaned[[#This Row],[ServiceID]],Services_cleaned[ServiceID],Services_cleaned[TransactionFeePct]) * 10000), "Yes", "No")</f>
        <v>Yes</v>
      </c>
      <c r="R1613" s="5" t="str">
        <f>IF(COUNTIFS($C$2:Transactions_RAW_cleaned[[#This Row],[CustomerID]],Transactions_RAW_cleaned[[#This Row],[CustomerID]],$D$2:Transactions_RAW_cleaned[[#This Row],[ServiceID]],Transactions_RAW_cleaned[[#This Row],[ServiceID]])=1,"Yes","No")</f>
        <v>Yes</v>
      </c>
      <c r="S161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13" t="str">
        <f>"Q"&amp;ROUNDUP(MONTH(Transactions_RAW_cleaned[[#This Row],[TransactionDate]])/3,0)</f>
        <v>Q2</v>
      </c>
      <c r="U1613" t="str">
        <f>Transactions_RAW_cleaned[[#This Row],[Region ]]&amp;Transactions_RAW_cleaned[[#This Row],[Quarter ]]</f>
        <v>APACQ2</v>
      </c>
      <c r="V1613" s="5">
        <f>_xlfn.XLOOKUP(Transactions_RAW_cleaned[[#This Row],[RegionQuarterKey]], Quarterly_Targets_cleaned[RegionQuarterKey], Quarterly_Targets_cleaned[TargetRevenue])</f>
        <v>110000</v>
      </c>
    </row>
    <row r="1614" spans="1:22" x14ac:dyDescent="0.25">
      <c r="A1614" t="s">
        <v>1948</v>
      </c>
      <c r="B1614" s="1">
        <v>45341</v>
      </c>
      <c r="C1614" t="s">
        <v>42</v>
      </c>
      <c r="D1614" t="s">
        <v>300</v>
      </c>
      <c r="E1614">
        <v>802.4</v>
      </c>
      <c r="F1614" t="s">
        <v>324</v>
      </c>
      <c r="G1614" t="s">
        <v>337</v>
      </c>
      <c r="I1614" t="s">
        <v>8</v>
      </c>
      <c r="J1614" t="s">
        <v>102</v>
      </c>
      <c r="K1614" t="s">
        <v>10</v>
      </c>
      <c r="L1614" t="s">
        <v>301</v>
      </c>
      <c r="M1614" t="s">
        <v>302</v>
      </c>
      <c r="N1614">
        <v>5.0000000000000001E-3</v>
      </c>
      <c r="O1614" t="str">
        <f>IF(Transactions_RAW_cleaned[[#This Row],[Status]]="Completed", IFERROR(_xlfn.XLOOKUP(Transactions_RAW_cleaned[[#This Row],[CustomerID]], Customers_cleaned[CustomerID], Customers_cleaned[Segment]), "Customer Not Found"), "N/A")</f>
        <v>SMB</v>
      </c>
      <c r="P1614" s="5" t="str">
        <f>IF(Transactions_RAW_cleaned[[#This Row],[Status]]="Refunded", "Refund",
  IF(Transactions_RAW_cleaned[[#This Row],[Category]]="Payments", IF(Transactions_RAW_cleaned[[#This Row],[Amount]]&gt;500,"High Value","Standard"),
    IF(Transactions_RAW_cleaned[[#This Row],[Amount]]&gt;250,"High Value","Standard")))</f>
        <v>High Value</v>
      </c>
      <c r="Q1614" s="5" t="str">
        <f>IF(Transactions_RAW_cleaned[[#This Row],[Amount]] &gt; (_xlfn.XLOOKUP(Transactions_RAW_cleaned[[#This Row],[ServiceID]],Services_cleaned[ServiceID],Services_cleaned[TransactionFeePct]) * 10000), "Yes", "No")</f>
        <v>Yes</v>
      </c>
      <c r="R1614" s="5" t="str">
        <f>IF(COUNTIFS($C$2:Transactions_RAW_cleaned[[#This Row],[CustomerID]],Transactions_RAW_cleaned[[#This Row],[CustomerID]],$D$2:Transactions_RAW_cleaned[[#This Row],[ServiceID]],Transactions_RAW_cleaned[[#This Row],[ServiceID]])=1,"Yes","No")</f>
        <v>No</v>
      </c>
      <c r="S161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14" t="str">
        <f>"Q"&amp;ROUNDUP(MONTH(Transactions_RAW_cleaned[[#This Row],[TransactionDate]])/3,0)</f>
        <v>Q1</v>
      </c>
      <c r="U1614" t="str">
        <f>Transactions_RAW_cleaned[[#This Row],[Region ]]&amp;Transactions_RAW_cleaned[[#This Row],[Quarter ]]</f>
        <v>NAQ1</v>
      </c>
      <c r="V1614" s="5">
        <f>_xlfn.XLOOKUP(Transactions_RAW_cleaned[[#This Row],[RegionQuarterKey]], Quarterly_Targets_cleaned[RegionQuarterKey], Quarterly_Targets_cleaned[TargetRevenue])</f>
        <v>247000</v>
      </c>
    </row>
    <row r="1615" spans="1:22" x14ac:dyDescent="0.25">
      <c r="A1615" t="s">
        <v>1949</v>
      </c>
      <c r="B1615" s="1">
        <v>45649</v>
      </c>
      <c r="C1615" t="s">
        <v>265</v>
      </c>
      <c r="D1615" t="s">
        <v>309</v>
      </c>
      <c r="E1615">
        <v>373.24</v>
      </c>
      <c r="F1615" t="s">
        <v>324</v>
      </c>
      <c r="G1615" t="s">
        <v>325</v>
      </c>
      <c r="H1615" t="s">
        <v>334</v>
      </c>
      <c r="I1615" t="s">
        <v>8</v>
      </c>
      <c r="J1615" t="s">
        <v>102</v>
      </c>
      <c r="K1615" t="s">
        <v>32</v>
      </c>
      <c r="L1615" t="s">
        <v>310</v>
      </c>
      <c r="M1615" t="s">
        <v>311</v>
      </c>
      <c r="N1615">
        <v>0</v>
      </c>
      <c r="O1615" t="str">
        <f>IF(Transactions_RAW_cleaned[[#This Row],[Status]]="Completed", IFERROR(_xlfn.XLOOKUP(Transactions_RAW_cleaned[[#This Row],[CustomerID]], Customers_cleaned[CustomerID], Customers_cleaned[Segment]), "Customer Not Found"), "N/A")</f>
        <v>SMB</v>
      </c>
      <c r="P1615" s="5" t="str">
        <f>IF(Transactions_RAW_cleaned[[#This Row],[Status]]="Refunded", "Refund",
  IF(Transactions_RAW_cleaned[[#This Row],[Category]]="Payments", IF(Transactions_RAW_cleaned[[#This Row],[Amount]]&gt;500,"High Value","Standard"),
    IF(Transactions_RAW_cleaned[[#This Row],[Amount]]&gt;250,"High Value","Standard")))</f>
        <v>High Value</v>
      </c>
      <c r="Q1615" s="5" t="str">
        <f>IF(Transactions_RAW_cleaned[[#This Row],[Amount]] &gt; (_xlfn.XLOOKUP(Transactions_RAW_cleaned[[#This Row],[ServiceID]],Services_cleaned[ServiceID],Services_cleaned[TransactionFeePct]) * 10000), "Yes", "No")</f>
        <v>Yes</v>
      </c>
      <c r="R1615" s="5" t="str">
        <f>IF(COUNTIFS($C$2:Transactions_RAW_cleaned[[#This Row],[CustomerID]],Transactions_RAW_cleaned[[#This Row],[CustomerID]],$D$2:Transactions_RAW_cleaned[[#This Row],[ServiceID]],Transactions_RAW_cleaned[[#This Row],[ServiceID]])=1,"Yes","No")</f>
        <v>No</v>
      </c>
      <c r="S161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15" t="str">
        <f>"Q"&amp;ROUNDUP(MONTH(Transactions_RAW_cleaned[[#This Row],[TransactionDate]])/3,0)</f>
        <v>Q4</v>
      </c>
      <c r="U1615" t="str">
        <f>Transactions_RAW_cleaned[[#This Row],[Region ]]&amp;Transactions_RAW_cleaned[[#This Row],[Quarter ]]</f>
        <v>NAQ4</v>
      </c>
      <c r="V1615" s="5">
        <f>_xlfn.XLOOKUP(Transactions_RAW_cleaned[[#This Row],[RegionQuarterKey]], Quarterly_Targets_cleaned[RegionQuarterKey], Quarterly_Targets_cleaned[TargetRevenue])</f>
        <v>299000</v>
      </c>
    </row>
    <row r="1616" spans="1:22" x14ac:dyDescent="0.25">
      <c r="A1616" t="s">
        <v>1950</v>
      </c>
      <c r="B1616" s="1">
        <v>45377</v>
      </c>
      <c r="C1616" t="s">
        <v>15</v>
      </c>
      <c r="D1616" t="s">
        <v>294</v>
      </c>
      <c r="E1616">
        <v>443.94</v>
      </c>
      <c r="F1616" t="s">
        <v>324</v>
      </c>
      <c r="G1616" t="s">
        <v>329</v>
      </c>
      <c r="H1616" t="s">
        <v>334</v>
      </c>
      <c r="I1616" t="s">
        <v>17</v>
      </c>
      <c r="J1616" t="s">
        <v>102</v>
      </c>
      <c r="K1616" t="s">
        <v>18</v>
      </c>
      <c r="L1616" t="s">
        <v>295</v>
      </c>
      <c r="M1616" t="s">
        <v>296</v>
      </c>
      <c r="N1616">
        <v>2.9000000000000001E-2</v>
      </c>
      <c r="O1616" t="str">
        <f>IF(Transactions_RAW_cleaned[[#This Row],[Status]]="Completed", IFERROR(_xlfn.XLOOKUP(Transactions_RAW_cleaned[[#This Row],[CustomerID]], Customers_cleaned[CustomerID], Customers_cleaned[Segment]), "Customer Not Found"), "N/A")</f>
        <v>Enterprise</v>
      </c>
      <c r="P1616" s="5" t="str">
        <f>IF(Transactions_RAW_cleaned[[#This Row],[Status]]="Refunded", "Refund",
  IF(Transactions_RAW_cleaned[[#This Row],[Category]]="Payments", IF(Transactions_RAW_cleaned[[#This Row],[Amount]]&gt;500,"High Value","Standard"),
    IF(Transactions_RAW_cleaned[[#This Row],[Amount]]&gt;250,"High Value","Standard")))</f>
        <v>Standard</v>
      </c>
      <c r="Q1616" s="5" t="str">
        <f>IF(Transactions_RAW_cleaned[[#This Row],[Amount]] &gt; (_xlfn.XLOOKUP(Transactions_RAW_cleaned[[#This Row],[ServiceID]],Services_cleaned[ServiceID],Services_cleaned[TransactionFeePct]) * 10000), "Yes", "No")</f>
        <v>Yes</v>
      </c>
      <c r="R1616" s="5" t="str">
        <f>IF(COUNTIFS($C$2:Transactions_RAW_cleaned[[#This Row],[CustomerID]],Transactions_RAW_cleaned[[#This Row],[CustomerID]],$D$2:Transactions_RAW_cleaned[[#This Row],[ServiceID]],Transactions_RAW_cleaned[[#This Row],[ServiceID]])=1,"Yes","No")</f>
        <v>No</v>
      </c>
      <c r="S161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16" t="str">
        <f>"Q"&amp;ROUNDUP(MONTH(Transactions_RAW_cleaned[[#This Row],[TransactionDate]])/3,0)</f>
        <v>Q1</v>
      </c>
      <c r="U1616" t="str">
        <f>Transactions_RAW_cleaned[[#This Row],[Region ]]&amp;Transactions_RAW_cleaned[[#This Row],[Quarter ]]</f>
        <v>NAQ1</v>
      </c>
      <c r="V1616" s="5">
        <f>_xlfn.XLOOKUP(Transactions_RAW_cleaned[[#This Row],[RegionQuarterKey]], Quarterly_Targets_cleaned[RegionQuarterKey], Quarterly_Targets_cleaned[TargetRevenue])</f>
        <v>247000</v>
      </c>
    </row>
    <row r="1617" spans="1:22" x14ac:dyDescent="0.25">
      <c r="A1617" t="s">
        <v>1951</v>
      </c>
      <c r="B1617" s="1">
        <v>45316</v>
      </c>
      <c r="C1617" t="s">
        <v>78</v>
      </c>
      <c r="D1617" t="s">
        <v>315</v>
      </c>
      <c r="E1617">
        <v>555.26</v>
      </c>
      <c r="F1617" t="s">
        <v>324</v>
      </c>
      <c r="G1617" t="s">
        <v>325</v>
      </c>
      <c r="I1617" t="s">
        <v>17</v>
      </c>
      <c r="J1617" t="s">
        <v>21</v>
      </c>
      <c r="K1617" t="s">
        <v>22</v>
      </c>
      <c r="L1617" t="s">
        <v>316</v>
      </c>
      <c r="M1617" t="s">
        <v>305</v>
      </c>
      <c r="N1617">
        <v>2.5000000000000001E-3</v>
      </c>
      <c r="O1617" t="str">
        <f>IF(Transactions_RAW_cleaned[[#This Row],[Status]]="Completed", IFERROR(_xlfn.XLOOKUP(Transactions_RAW_cleaned[[#This Row],[CustomerID]], Customers_cleaned[CustomerID], Customers_cleaned[Segment]), "Customer Not Found"), "N/A")</f>
        <v>Enterprise</v>
      </c>
      <c r="P1617" s="5" t="str">
        <f>IF(Transactions_RAW_cleaned[[#This Row],[Status]]="Refunded", "Refund",
  IF(Transactions_RAW_cleaned[[#This Row],[Category]]="Payments", IF(Transactions_RAW_cleaned[[#This Row],[Amount]]&gt;500,"High Value","Standard"),
    IF(Transactions_RAW_cleaned[[#This Row],[Amount]]&gt;250,"High Value","Standard")))</f>
        <v>High Value</v>
      </c>
      <c r="Q1617" s="5" t="str">
        <f>IF(Transactions_RAW_cleaned[[#This Row],[Amount]] &gt; (_xlfn.XLOOKUP(Transactions_RAW_cleaned[[#This Row],[ServiceID]],Services_cleaned[ServiceID],Services_cleaned[TransactionFeePct]) * 10000), "Yes", "No")</f>
        <v>Yes</v>
      </c>
      <c r="R1617" s="5" t="str">
        <f>IF(COUNTIFS($C$2:Transactions_RAW_cleaned[[#This Row],[CustomerID]],Transactions_RAW_cleaned[[#This Row],[CustomerID]],$D$2:Transactions_RAW_cleaned[[#This Row],[ServiceID]],Transactions_RAW_cleaned[[#This Row],[ServiceID]])=1,"Yes","No")</f>
        <v>No</v>
      </c>
      <c r="S161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17" t="str">
        <f>"Q"&amp;ROUNDUP(MONTH(Transactions_RAW_cleaned[[#This Row],[TransactionDate]])/3,0)</f>
        <v>Q1</v>
      </c>
      <c r="U1617" t="str">
        <f>Transactions_RAW_cleaned[[#This Row],[Region ]]&amp;Transactions_RAW_cleaned[[#This Row],[Quarter ]]</f>
        <v>APACQ1</v>
      </c>
      <c r="V1617" s="5">
        <f>_xlfn.XLOOKUP(Transactions_RAW_cleaned[[#This Row],[RegionQuarterKey]], Quarterly_Targets_cleaned[RegionQuarterKey], Quarterly_Targets_cleaned[TargetRevenue])</f>
        <v>104500</v>
      </c>
    </row>
    <row r="1618" spans="1:22" x14ac:dyDescent="0.25">
      <c r="A1618" t="s">
        <v>1952</v>
      </c>
      <c r="B1618" s="1">
        <v>45648</v>
      </c>
      <c r="C1618" t="s">
        <v>35</v>
      </c>
      <c r="D1618" t="s">
        <v>312</v>
      </c>
      <c r="E1618">
        <v>1091.51</v>
      </c>
      <c r="F1618" t="s">
        <v>324</v>
      </c>
      <c r="G1618" t="s">
        <v>327</v>
      </c>
      <c r="H1618" t="s">
        <v>346</v>
      </c>
      <c r="I1618" t="s">
        <v>8</v>
      </c>
      <c r="J1618" t="s">
        <v>37</v>
      </c>
      <c r="K1618" t="s">
        <v>28</v>
      </c>
      <c r="L1618" t="s">
        <v>313</v>
      </c>
      <c r="M1618" t="s">
        <v>314</v>
      </c>
      <c r="N1618">
        <v>0</v>
      </c>
      <c r="O1618" t="str">
        <f>IF(Transactions_RAW_cleaned[[#This Row],[Status]]="Completed", IFERROR(_xlfn.XLOOKUP(Transactions_RAW_cleaned[[#This Row],[CustomerID]], Customers_cleaned[CustomerID], Customers_cleaned[Segment]), "Customer Not Found"), "N/A")</f>
        <v>SMB</v>
      </c>
      <c r="P1618" s="5" t="str">
        <f>IF(Transactions_RAW_cleaned[[#This Row],[Status]]="Refunded", "Refund",
  IF(Transactions_RAW_cleaned[[#This Row],[Category]]="Payments", IF(Transactions_RAW_cleaned[[#This Row],[Amount]]&gt;500,"High Value","Standard"),
    IF(Transactions_RAW_cleaned[[#This Row],[Amount]]&gt;250,"High Value","Standard")))</f>
        <v>High Value</v>
      </c>
      <c r="Q1618" s="5" t="str">
        <f>IF(Transactions_RAW_cleaned[[#This Row],[Amount]] &gt; (_xlfn.XLOOKUP(Transactions_RAW_cleaned[[#This Row],[ServiceID]],Services_cleaned[ServiceID],Services_cleaned[TransactionFeePct]) * 10000), "Yes", "No")</f>
        <v>Yes</v>
      </c>
      <c r="R1618" s="5" t="str">
        <f>IF(COUNTIFS($C$2:Transactions_RAW_cleaned[[#This Row],[CustomerID]],Transactions_RAW_cleaned[[#This Row],[CustomerID]],$D$2:Transactions_RAW_cleaned[[#This Row],[ServiceID]],Transactions_RAW_cleaned[[#This Row],[ServiceID]])=1,"Yes","No")</f>
        <v>Yes</v>
      </c>
      <c r="S161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618" t="str">
        <f>"Q"&amp;ROUNDUP(MONTH(Transactions_RAW_cleaned[[#This Row],[TransactionDate]])/3,0)</f>
        <v>Q4</v>
      </c>
      <c r="U1618" t="str">
        <f>Transactions_RAW_cleaned[[#This Row],[Region ]]&amp;Transactions_RAW_cleaned[[#This Row],[Quarter ]]</f>
        <v>EMEAQ4</v>
      </c>
      <c r="V1618" s="5">
        <f>_xlfn.XLOOKUP(Transactions_RAW_cleaned[[#This Row],[RegionQuarterKey]], Quarterly_Targets_cleaned[RegionQuarterKey], Quarterly_Targets_cleaned[TargetRevenue])</f>
        <v>161000</v>
      </c>
    </row>
    <row r="1619" spans="1:22" x14ac:dyDescent="0.25">
      <c r="A1619" t="s">
        <v>1953</v>
      </c>
      <c r="B1619" s="1">
        <v>45382</v>
      </c>
      <c r="C1619" t="s">
        <v>44</v>
      </c>
      <c r="D1619" t="s">
        <v>315</v>
      </c>
      <c r="E1619">
        <v>738.42</v>
      </c>
      <c r="F1619" t="s">
        <v>324</v>
      </c>
      <c r="G1619" t="s">
        <v>327</v>
      </c>
      <c r="I1619" t="s">
        <v>8</v>
      </c>
      <c r="J1619" t="s">
        <v>46</v>
      </c>
      <c r="K1619" t="s">
        <v>32</v>
      </c>
      <c r="L1619" t="s">
        <v>316</v>
      </c>
      <c r="M1619" t="s">
        <v>305</v>
      </c>
      <c r="N1619">
        <v>2.5000000000000001E-3</v>
      </c>
      <c r="O1619" t="str">
        <f>IF(Transactions_RAW_cleaned[[#This Row],[Status]]="Completed", IFERROR(_xlfn.XLOOKUP(Transactions_RAW_cleaned[[#This Row],[CustomerID]], Customers_cleaned[CustomerID], Customers_cleaned[Segment]), "Customer Not Found"), "N/A")</f>
        <v>SMB</v>
      </c>
      <c r="P1619" s="5" t="str">
        <f>IF(Transactions_RAW_cleaned[[#This Row],[Status]]="Refunded", "Refund",
  IF(Transactions_RAW_cleaned[[#This Row],[Category]]="Payments", IF(Transactions_RAW_cleaned[[#This Row],[Amount]]&gt;500,"High Value","Standard"),
    IF(Transactions_RAW_cleaned[[#This Row],[Amount]]&gt;250,"High Value","Standard")))</f>
        <v>High Value</v>
      </c>
      <c r="Q1619" s="5" t="str">
        <f>IF(Transactions_RAW_cleaned[[#This Row],[Amount]] &gt; (_xlfn.XLOOKUP(Transactions_RAW_cleaned[[#This Row],[ServiceID]],Services_cleaned[ServiceID],Services_cleaned[TransactionFeePct]) * 10000), "Yes", "No")</f>
        <v>Yes</v>
      </c>
      <c r="R1619" s="5" t="str">
        <f>IF(COUNTIFS($C$2:Transactions_RAW_cleaned[[#This Row],[CustomerID]],Transactions_RAW_cleaned[[#This Row],[CustomerID]],$D$2:Transactions_RAW_cleaned[[#This Row],[ServiceID]],Transactions_RAW_cleaned[[#This Row],[ServiceID]])=1,"Yes","No")</f>
        <v>Yes</v>
      </c>
      <c r="S161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19" t="str">
        <f>"Q"&amp;ROUNDUP(MONTH(Transactions_RAW_cleaned[[#This Row],[TransactionDate]])/3,0)</f>
        <v>Q1</v>
      </c>
      <c r="U1619" t="str">
        <f>Transactions_RAW_cleaned[[#This Row],[Region ]]&amp;Transactions_RAW_cleaned[[#This Row],[Quarter ]]</f>
        <v>APACQ1</v>
      </c>
      <c r="V1619" s="5">
        <f>_xlfn.XLOOKUP(Transactions_RAW_cleaned[[#This Row],[RegionQuarterKey]], Quarterly_Targets_cleaned[RegionQuarterKey], Quarterly_Targets_cleaned[TargetRevenue])</f>
        <v>104500</v>
      </c>
    </row>
    <row r="1620" spans="1:22" x14ac:dyDescent="0.25">
      <c r="A1620" t="s">
        <v>1954</v>
      </c>
      <c r="B1620" s="1">
        <v>45554</v>
      </c>
      <c r="C1620" t="s">
        <v>153</v>
      </c>
      <c r="D1620" t="s">
        <v>294</v>
      </c>
      <c r="E1620">
        <v>1045.78</v>
      </c>
      <c r="F1620" t="s">
        <v>324</v>
      </c>
      <c r="G1620" t="s">
        <v>325</v>
      </c>
      <c r="I1620" t="s">
        <v>8</v>
      </c>
      <c r="J1620" t="s">
        <v>37</v>
      </c>
      <c r="K1620" t="s">
        <v>32</v>
      </c>
      <c r="L1620" t="s">
        <v>295</v>
      </c>
      <c r="M1620" t="s">
        <v>296</v>
      </c>
      <c r="N1620">
        <v>2.9000000000000001E-2</v>
      </c>
      <c r="O1620" t="str">
        <f>IF(Transactions_RAW_cleaned[[#This Row],[Status]]="Completed", IFERROR(_xlfn.XLOOKUP(Transactions_RAW_cleaned[[#This Row],[CustomerID]], Customers_cleaned[CustomerID], Customers_cleaned[Segment]), "Customer Not Found"), "N/A")</f>
        <v>SMB</v>
      </c>
      <c r="P1620" s="5" t="str">
        <f>IF(Transactions_RAW_cleaned[[#This Row],[Status]]="Refunded", "Refund",
  IF(Transactions_RAW_cleaned[[#This Row],[Category]]="Payments", IF(Transactions_RAW_cleaned[[#This Row],[Amount]]&gt;500,"High Value","Standard"),
    IF(Transactions_RAW_cleaned[[#This Row],[Amount]]&gt;250,"High Value","Standard")))</f>
        <v>High Value</v>
      </c>
      <c r="Q1620" s="5" t="str">
        <f>IF(Transactions_RAW_cleaned[[#This Row],[Amount]] &gt; (_xlfn.XLOOKUP(Transactions_RAW_cleaned[[#This Row],[ServiceID]],Services_cleaned[ServiceID],Services_cleaned[TransactionFeePct]) * 10000), "Yes", "No")</f>
        <v>Yes</v>
      </c>
      <c r="R1620" s="5" t="str">
        <f>IF(COUNTIFS($C$2:Transactions_RAW_cleaned[[#This Row],[CustomerID]],Transactions_RAW_cleaned[[#This Row],[CustomerID]],$D$2:Transactions_RAW_cleaned[[#This Row],[ServiceID]],Transactions_RAW_cleaned[[#This Row],[ServiceID]])=1,"Yes","No")</f>
        <v>No</v>
      </c>
      <c r="S162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620" t="str">
        <f>"Q"&amp;ROUNDUP(MONTH(Transactions_RAW_cleaned[[#This Row],[TransactionDate]])/3,0)</f>
        <v>Q3</v>
      </c>
      <c r="U1620" t="str">
        <f>Transactions_RAW_cleaned[[#This Row],[Region ]]&amp;Transactions_RAW_cleaned[[#This Row],[Quarter ]]</f>
        <v>EMEAQ3</v>
      </c>
      <c r="V1620" s="5">
        <f>_xlfn.XLOOKUP(Transactions_RAW_cleaned[[#This Row],[RegionQuarterKey]], Quarterly_Targets_cleaned[RegionQuarterKey], Quarterly_Targets_cleaned[TargetRevenue])</f>
        <v>147000</v>
      </c>
    </row>
    <row r="1621" spans="1:22" x14ac:dyDescent="0.25">
      <c r="A1621" t="s">
        <v>1955</v>
      </c>
      <c r="B1621" s="1">
        <v>45592</v>
      </c>
      <c r="C1621" t="s">
        <v>209</v>
      </c>
      <c r="D1621" t="s">
        <v>303</v>
      </c>
      <c r="E1621">
        <v>470.11</v>
      </c>
      <c r="F1621" t="s">
        <v>324</v>
      </c>
      <c r="G1621" t="s">
        <v>2963</v>
      </c>
      <c r="I1621" t="s">
        <v>17</v>
      </c>
      <c r="J1621" t="s">
        <v>102</v>
      </c>
      <c r="K1621" t="s">
        <v>22</v>
      </c>
      <c r="L1621" t="s">
        <v>304</v>
      </c>
      <c r="M1621" t="s">
        <v>305</v>
      </c>
      <c r="N1621">
        <v>1E-3</v>
      </c>
      <c r="O1621" t="str">
        <f>IF(Transactions_RAW_cleaned[[#This Row],[Status]]="Completed", IFERROR(_xlfn.XLOOKUP(Transactions_RAW_cleaned[[#This Row],[CustomerID]], Customers_cleaned[CustomerID], Customers_cleaned[Segment]), "Customer Not Found"), "N/A")</f>
        <v>Enterprise</v>
      </c>
      <c r="P1621" s="5" t="str">
        <f>IF(Transactions_RAW_cleaned[[#This Row],[Status]]="Refunded", "Refund",
  IF(Transactions_RAW_cleaned[[#This Row],[Category]]="Payments", IF(Transactions_RAW_cleaned[[#This Row],[Amount]]&gt;500,"High Value","Standard"),
    IF(Transactions_RAW_cleaned[[#This Row],[Amount]]&gt;250,"High Value","Standard")))</f>
        <v>High Value</v>
      </c>
      <c r="Q1621" s="5" t="str">
        <f>IF(Transactions_RAW_cleaned[[#This Row],[Amount]] &gt; (_xlfn.XLOOKUP(Transactions_RAW_cleaned[[#This Row],[ServiceID]],Services_cleaned[ServiceID],Services_cleaned[TransactionFeePct]) * 10000), "Yes", "No")</f>
        <v>Yes</v>
      </c>
      <c r="R1621" s="5" t="str">
        <f>IF(COUNTIFS($C$2:Transactions_RAW_cleaned[[#This Row],[CustomerID]],Transactions_RAW_cleaned[[#This Row],[CustomerID]],$D$2:Transactions_RAW_cleaned[[#This Row],[ServiceID]],Transactions_RAW_cleaned[[#This Row],[ServiceID]])=1,"Yes","No")</f>
        <v>No</v>
      </c>
      <c r="S162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21" t="str">
        <f>"Q"&amp;ROUNDUP(MONTH(Transactions_RAW_cleaned[[#This Row],[TransactionDate]])/3,0)</f>
        <v>Q4</v>
      </c>
      <c r="U1621" t="str">
        <f>Transactions_RAW_cleaned[[#This Row],[Region ]]&amp;Transactions_RAW_cleaned[[#This Row],[Quarter ]]</f>
        <v>NAQ4</v>
      </c>
      <c r="V1621" s="5">
        <f>_xlfn.XLOOKUP(Transactions_RAW_cleaned[[#This Row],[RegionQuarterKey]], Quarterly_Targets_cleaned[RegionQuarterKey], Quarterly_Targets_cleaned[TargetRevenue])</f>
        <v>299000</v>
      </c>
    </row>
    <row r="1622" spans="1:22" x14ac:dyDescent="0.25">
      <c r="A1622" t="s">
        <v>1956</v>
      </c>
      <c r="B1622" s="1">
        <v>45493</v>
      </c>
      <c r="C1622" t="s">
        <v>219</v>
      </c>
      <c r="D1622" t="s">
        <v>300</v>
      </c>
      <c r="E1622">
        <v>677.94</v>
      </c>
      <c r="F1622" t="s">
        <v>324</v>
      </c>
      <c r="G1622" t="s">
        <v>337</v>
      </c>
      <c r="I1622" t="s">
        <v>17</v>
      </c>
      <c r="J1622" t="s">
        <v>31</v>
      </c>
      <c r="K1622" t="s">
        <v>32</v>
      </c>
      <c r="L1622" t="s">
        <v>301</v>
      </c>
      <c r="M1622" t="s">
        <v>302</v>
      </c>
      <c r="N1622">
        <v>5.0000000000000001E-3</v>
      </c>
      <c r="O1622" t="str">
        <f>IF(Transactions_RAW_cleaned[[#This Row],[Status]]="Completed", IFERROR(_xlfn.XLOOKUP(Transactions_RAW_cleaned[[#This Row],[CustomerID]], Customers_cleaned[CustomerID], Customers_cleaned[Segment]), "Customer Not Found"), "N/A")</f>
        <v>Enterprise</v>
      </c>
      <c r="P1622" s="5" t="str">
        <f>IF(Transactions_RAW_cleaned[[#This Row],[Status]]="Refunded", "Refund",
  IF(Transactions_RAW_cleaned[[#This Row],[Category]]="Payments", IF(Transactions_RAW_cleaned[[#This Row],[Amount]]&gt;500,"High Value","Standard"),
    IF(Transactions_RAW_cleaned[[#This Row],[Amount]]&gt;250,"High Value","Standard")))</f>
        <v>High Value</v>
      </c>
      <c r="Q1622" s="5" t="str">
        <f>IF(Transactions_RAW_cleaned[[#This Row],[Amount]] &gt; (_xlfn.XLOOKUP(Transactions_RAW_cleaned[[#This Row],[ServiceID]],Services_cleaned[ServiceID],Services_cleaned[TransactionFeePct]) * 10000), "Yes", "No")</f>
        <v>Yes</v>
      </c>
      <c r="R1622" s="5" t="str">
        <f>IF(COUNTIFS($C$2:Transactions_RAW_cleaned[[#This Row],[CustomerID]],Transactions_RAW_cleaned[[#This Row],[CustomerID]],$D$2:Transactions_RAW_cleaned[[#This Row],[ServiceID]],Transactions_RAW_cleaned[[#This Row],[ServiceID]])=1,"Yes","No")</f>
        <v>No</v>
      </c>
      <c r="S162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622" t="str">
        <f>"Q"&amp;ROUNDUP(MONTH(Transactions_RAW_cleaned[[#This Row],[TransactionDate]])/3,0)</f>
        <v>Q3</v>
      </c>
      <c r="U1622" t="str">
        <f>Transactions_RAW_cleaned[[#This Row],[Region ]]&amp;Transactions_RAW_cleaned[[#This Row],[Quarter ]]</f>
        <v>EMEAQ3</v>
      </c>
      <c r="V1622" s="5">
        <f>_xlfn.XLOOKUP(Transactions_RAW_cleaned[[#This Row],[RegionQuarterKey]], Quarterly_Targets_cleaned[RegionQuarterKey], Quarterly_Targets_cleaned[TargetRevenue])</f>
        <v>147000</v>
      </c>
    </row>
    <row r="1623" spans="1:22" x14ac:dyDescent="0.25">
      <c r="A1623" t="s">
        <v>1957</v>
      </c>
      <c r="B1623" s="1">
        <v>45498</v>
      </c>
      <c r="C1623" t="s">
        <v>1958</v>
      </c>
      <c r="D1623" t="s">
        <v>294</v>
      </c>
      <c r="E1623">
        <v>563.85</v>
      </c>
      <c r="F1623" t="s">
        <v>324</v>
      </c>
      <c r="G1623" t="s">
        <v>329</v>
      </c>
      <c r="L1623" t="s">
        <v>295</v>
      </c>
      <c r="M1623" t="s">
        <v>296</v>
      </c>
      <c r="N1623">
        <v>2.9000000000000001E-2</v>
      </c>
      <c r="O1623" t="str">
        <f>IF(Transactions_RAW_cleaned[[#This Row],[Status]]="Completed", IFERROR(_xlfn.XLOOKUP(Transactions_RAW_cleaned[[#This Row],[CustomerID]], Customers_cleaned[CustomerID], Customers_cleaned[Segment]), "Customer Not Found"), "N/A")</f>
        <v>Customer Not Found</v>
      </c>
      <c r="P1623" s="5" t="str">
        <f>IF(Transactions_RAW_cleaned[[#This Row],[Status]]="Refunded", "Refund",
  IF(Transactions_RAW_cleaned[[#This Row],[Category]]="Payments", IF(Transactions_RAW_cleaned[[#This Row],[Amount]]&gt;500,"High Value","Standard"),
    IF(Transactions_RAW_cleaned[[#This Row],[Amount]]&gt;250,"High Value","Standard")))</f>
        <v>High Value</v>
      </c>
      <c r="Q1623" s="5" t="str">
        <f>IF(Transactions_RAW_cleaned[[#This Row],[Amount]] &gt; (_xlfn.XLOOKUP(Transactions_RAW_cleaned[[#This Row],[ServiceID]],Services_cleaned[ServiceID],Services_cleaned[TransactionFeePct]) * 10000), "Yes", "No")</f>
        <v>Yes</v>
      </c>
      <c r="R1623" s="5" t="str">
        <f>IF(COUNTIFS($C$2:Transactions_RAW_cleaned[[#This Row],[CustomerID]],Transactions_RAW_cleaned[[#This Row],[CustomerID]],$D$2:Transactions_RAW_cleaned[[#This Row],[ServiceID]],Transactions_RAW_cleaned[[#This Row],[ServiceID]])=1,"Yes","No")</f>
        <v>Yes</v>
      </c>
      <c r="S162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23" t="str">
        <f>"Q"&amp;ROUNDUP(MONTH(Transactions_RAW_cleaned[[#This Row],[TransactionDate]])/3,0)</f>
        <v>Q3</v>
      </c>
      <c r="U1623" t="str">
        <f>Transactions_RAW_cleaned[[#This Row],[Region ]]&amp;Transactions_RAW_cleaned[[#This Row],[Quarter ]]</f>
        <v>APACQ3</v>
      </c>
      <c r="V1623" s="5">
        <f>_xlfn.XLOOKUP(Transactions_RAW_cleaned[[#This Row],[RegionQuarterKey]], Quarterly_Targets_cleaned[RegionQuarterKey], Quarterly_Targets_cleaned[TargetRevenue])</f>
        <v>115500</v>
      </c>
    </row>
    <row r="1624" spans="1:22" x14ac:dyDescent="0.25">
      <c r="A1624" t="s">
        <v>1959</v>
      </c>
      <c r="B1624" s="1">
        <v>45339</v>
      </c>
      <c r="C1624" t="s">
        <v>241</v>
      </c>
      <c r="D1624" t="s">
        <v>303</v>
      </c>
      <c r="E1624">
        <v>443.13</v>
      </c>
      <c r="F1624" t="s">
        <v>324</v>
      </c>
      <c r="G1624" t="s">
        <v>327</v>
      </c>
      <c r="I1624" t="s">
        <v>8</v>
      </c>
      <c r="J1624" t="s">
        <v>102</v>
      </c>
      <c r="K1624" t="s">
        <v>32</v>
      </c>
      <c r="L1624" t="s">
        <v>304</v>
      </c>
      <c r="M1624" t="s">
        <v>305</v>
      </c>
      <c r="N1624">
        <v>1E-3</v>
      </c>
      <c r="O1624" t="str">
        <f>IF(Transactions_RAW_cleaned[[#This Row],[Status]]="Completed", IFERROR(_xlfn.XLOOKUP(Transactions_RAW_cleaned[[#This Row],[CustomerID]], Customers_cleaned[CustomerID], Customers_cleaned[Segment]), "Customer Not Found"), "N/A")</f>
        <v>SMB</v>
      </c>
      <c r="P1624" s="5" t="str">
        <f>IF(Transactions_RAW_cleaned[[#This Row],[Status]]="Refunded", "Refund",
  IF(Transactions_RAW_cleaned[[#This Row],[Category]]="Payments", IF(Transactions_RAW_cleaned[[#This Row],[Amount]]&gt;500,"High Value","Standard"),
    IF(Transactions_RAW_cleaned[[#This Row],[Amount]]&gt;250,"High Value","Standard")))</f>
        <v>High Value</v>
      </c>
      <c r="Q1624" s="5" t="str">
        <f>IF(Transactions_RAW_cleaned[[#This Row],[Amount]] &gt; (_xlfn.XLOOKUP(Transactions_RAW_cleaned[[#This Row],[ServiceID]],Services_cleaned[ServiceID],Services_cleaned[TransactionFeePct]) * 10000), "Yes", "No")</f>
        <v>Yes</v>
      </c>
      <c r="R1624" s="5" t="str">
        <f>IF(COUNTIFS($C$2:Transactions_RAW_cleaned[[#This Row],[CustomerID]],Transactions_RAW_cleaned[[#This Row],[CustomerID]],$D$2:Transactions_RAW_cleaned[[#This Row],[ServiceID]],Transactions_RAW_cleaned[[#This Row],[ServiceID]])=1,"Yes","No")</f>
        <v>Yes</v>
      </c>
      <c r="S162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24" t="str">
        <f>"Q"&amp;ROUNDUP(MONTH(Transactions_RAW_cleaned[[#This Row],[TransactionDate]])/3,0)</f>
        <v>Q1</v>
      </c>
      <c r="U1624" t="str">
        <f>Transactions_RAW_cleaned[[#This Row],[Region ]]&amp;Transactions_RAW_cleaned[[#This Row],[Quarter ]]</f>
        <v>NAQ1</v>
      </c>
      <c r="V1624" s="5">
        <f>_xlfn.XLOOKUP(Transactions_RAW_cleaned[[#This Row],[RegionQuarterKey]], Quarterly_Targets_cleaned[RegionQuarterKey], Quarterly_Targets_cleaned[TargetRevenue])</f>
        <v>247000</v>
      </c>
    </row>
    <row r="1625" spans="1:22" x14ac:dyDescent="0.25">
      <c r="A1625" t="s">
        <v>1960</v>
      </c>
      <c r="B1625" s="1">
        <v>45357</v>
      </c>
      <c r="C1625" t="s">
        <v>84</v>
      </c>
      <c r="D1625" t="s">
        <v>309</v>
      </c>
      <c r="E1625">
        <v>796.06</v>
      </c>
      <c r="F1625" t="s">
        <v>324</v>
      </c>
      <c r="G1625" t="s">
        <v>325</v>
      </c>
      <c r="H1625" t="s">
        <v>332</v>
      </c>
      <c r="I1625" t="s">
        <v>8</v>
      </c>
      <c r="J1625" t="s">
        <v>46</v>
      </c>
      <c r="K1625" t="s">
        <v>28</v>
      </c>
      <c r="L1625" t="s">
        <v>310</v>
      </c>
      <c r="M1625" t="s">
        <v>311</v>
      </c>
      <c r="N1625">
        <v>0</v>
      </c>
      <c r="O1625" t="str">
        <f>IF(Transactions_RAW_cleaned[[#This Row],[Status]]="Completed", IFERROR(_xlfn.XLOOKUP(Transactions_RAW_cleaned[[#This Row],[CustomerID]], Customers_cleaned[CustomerID], Customers_cleaned[Segment]), "Customer Not Found"), "N/A")</f>
        <v>SMB</v>
      </c>
      <c r="P1625" s="5" t="str">
        <f>IF(Transactions_RAW_cleaned[[#This Row],[Status]]="Refunded", "Refund",
  IF(Transactions_RAW_cleaned[[#This Row],[Category]]="Payments", IF(Transactions_RAW_cleaned[[#This Row],[Amount]]&gt;500,"High Value","Standard"),
    IF(Transactions_RAW_cleaned[[#This Row],[Amount]]&gt;250,"High Value","Standard")))</f>
        <v>High Value</v>
      </c>
      <c r="Q1625" s="5" t="str">
        <f>IF(Transactions_RAW_cleaned[[#This Row],[Amount]] &gt; (_xlfn.XLOOKUP(Transactions_RAW_cleaned[[#This Row],[ServiceID]],Services_cleaned[ServiceID],Services_cleaned[TransactionFeePct]) * 10000), "Yes", "No")</f>
        <v>Yes</v>
      </c>
      <c r="R1625" s="5" t="str">
        <f>IF(COUNTIFS($C$2:Transactions_RAW_cleaned[[#This Row],[CustomerID]],Transactions_RAW_cleaned[[#This Row],[CustomerID]],$D$2:Transactions_RAW_cleaned[[#This Row],[ServiceID]],Transactions_RAW_cleaned[[#This Row],[ServiceID]])=1,"Yes","No")</f>
        <v>Yes</v>
      </c>
      <c r="S162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25" t="str">
        <f>"Q"&amp;ROUNDUP(MONTH(Transactions_RAW_cleaned[[#This Row],[TransactionDate]])/3,0)</f>
        <v>Q1</v>
      </c>
      <c r="U1625" t="str">
        <f>Transactions_RAW_cleaned[[#This Row],[Region ]]&amp;Transactions_RAW_cleaned[[#This Row],[Quarter ]]</f>
        <v>APACQ1</v>
      </c>
      <c r="V1625" s="5">
        <f>_xlfn.XLOOKUP(Transactions_RAW_cleaned[[#This Row],[RegionQuarterKey]], Quarterly_Targets_cleaned[RegionQuarterKey], Quarterly_Targets_cleaned[TargetRevenue])</f>
        <v>104500</v>
      </c>
    </row>
    <row r="1626" spans="1:22" x14ac:dyDescent="0.25">
      <c r="A1626" t="s">
        <v>1961</v>
      </c>
      <c r="B1626" s="1">
        <v>45512</v>
      </c>
      <c r="C1626" t="s">
        <v>80</v>
      </c>
      <c r="D1626" t="s">
        <v>294</v>
      </c>
      <c r="E1626">
        <v>348.81</v>
      </c>
      <c r="F1626" t="s">
        <v>324</v>
      </c>
      <c r="G1626" t="s">
        <v>329</v>
      </c>
      <c r="H1626" t="s">
        <v>332</v>
      </c>
      <c r="I1626" t="s">
        <v>8</v>
      </c>
      <c r="J1626" t="s">
        <v>13</v>
      </c>
      <c r="K1626" t="s">
        <v>32</v>
      </c>
      <c r="L1626" t="s">
        <v>295</v>
      </c>
      <c r="M1626" t="s">
        <v>296</v>
      </c>
      <c r="N1626">
        <v>2.9000000000000001E-2</v>
      </c>
      <c r="O1626" t="str">
        <f>IF(Transactions_RAW_cleaned[[#This Row],[Status]]="Completed", IFERROR(_xlfn.XLOOKUP(Transactions_RAW_cleaned[[#This Row],[CustomerID]], Customers_cleaned[CustomerID], Customers_cleaned[Segment]), "Customer Not Found"), "N/A")</f>
        <v>SMB</v>
      </c>
      <c r="P1626" s="5" t="str">
        <f>IF(Transactions_RAW_cleaned[[#This Row],[Status]]="Refunded", "Refund",
  IF(Transactions_RAW_cleaned[[#This Row],[Category]]="Payments", IF(Transactions_RAW_cleaned[[#This Row],[Amount]]&gt;500,"High Value","Standard"),
    IF(Transactions_RAW_cleaned[[#This Row],[Amount]]&gt;250,"High Value","Standard")))</f>
        <v>Standard</v>
      </c>
      <c r="Q1626" s="5" t="str">
        <f>IF(Transactions_RAW_cleaned[[#This Row],[Amount]] &gt; (_xlfn.XLOOKUP(Transactions_RAW_cleaned[[#This Row],[ServiceID]],Services_cleaned[ServiceID],Services_cleaned[TransactionFeePct]) * 10000), "Yes", "No")</f>
        <v>Yes</v>
      </c>
      <c r="R1626" s="5" t="str">
        <f>IF(COUNTIFS($C$2:Transactions_RAW_cleaned[[#This Row],[CustomerID]],Transactions_RAW_cleaned[[#This Row],[CustomerID]],$D$2:Transactions_RAW_cleaned[[#This Row],[ServiceID]],Transactions_RAW_cleaned[[#This Row],[ServiceID]])=1,"Yes","No")</f>
        <v>No</v>
      </c>
      <c r="S162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26" t="str">
        <f>"Q"&amp;ROUNDUP(MONTH(Transactions_RAW_cleaned[[#This Row],[TransactionDate]])/3,0)</f>
        <v>Q3</v>
      </c>
      <c r="U1626" t="str">
        <f>Transactions_RAW_cleaned[[#This Row],[Region ]]&amp;Transactions_RAW_cleaned[[#This Row],[Quarter ]]</f>
        <v>NAQ3</v>
      </c>
      <c r="V1626" s="5">
        <f>_xlfn.XLOOKUP(Transactions_RAW_cleaned[[#This Row],[RegionQuarterKey]], Quarterly_Targets_cleaned[RegionQuarterKey], Quarterly_Targets_cleaned[TargetRevenue])</f>
        <v>273000</v>
      </c>
    </row>
    <row r="1627" spans="1:22" x14ac:dyDescent="0.25">
      <c r="A1627" t="s">
        <v>1962</v>
      </c>
      <c r="B1627" s="1">
        <v>45641</v>
      </c>
      <c r="C1627" t="s">
        <v>149</v>
      </c>
      <c r="D1627" t="s">
        <v>297</v>
      </c>
      <c r="E1627">
        <v>234.16</v>
      </c>
      <c r="F1627" t="s">
        <v>324</v>
      </c>
      <c r="G1627" t="s">
        <v>325</v>
      </c>
      <c r="H1627" t="s">
        <v>346</v>
      </c>
      <c r="I1627" t="s">
        <v>8</v>
      </c>
      <c r="J1627" t="s">
        <v>13</v>
      </c>
      <c r="K1627" t="s">
        <v>22</v>
      </c>
      <c r="L1627" t="s">
        <v>298</v>
      </c>
      <c r="M1627" t="s">
        <v>299</v>
      </c>
      <c r="N1627">
        <v>0</v>
      </c>
      <c r="O1627" t="str">
        <f>IF(Transactions_RAW_cleaned[[#This Row],[Status]]="Completed", IFERROR(_xlfn.XLOOKUP(Transactions_RAW_cleaned[[#This Row],[CustomerID]], Customers_cleaned[CustomerID], Customers_cleaned[Segment]), "Customer Not Found"), "N/A")</f>
        <v>SMB</v>
      </c>
      <c r="P1627" s="5" t="str">
        <f>IF(Transactions_RAW_cleaned[[#This Row],[Status]]="Refunded", "Refund",
  IF(Transactions_RAW_cleaned[[#This Row],[Category]]="Payments", IF(Transactions_RAW_cleaned[[#This Row],[Amount]]&gt;500,"High Value","Standard"),
    IF(Transactions_RAW_cleaned[[#This Row],[Amount]]&gt;250,"High Value","Standard")))</f>
        <v>Standard</v>
      </c>
      <c r="Q1627" s="5" t="str">
        <f>IF(Transactions_RAW_cleaned[[#This Row],[Amount]] &gt; (_xlfn.XLOOKUP(Transactions_RAW_cleaned[[#This Row],[ServiceID]],Services_cleaned[ServiceID],Services_cleaned[TransactionFeePct]) * 10000), "Yes", "No")</f>
        <v>Yes</v>
      </c>
      <c r="R1627" s="5" t="str">
        <f>IF(COUNTIFS($C$2:Transactions_RAW_cleaned[[#This Row],[CustomerID]],Transactions_RAW_cleaned[[#This Row],[CustomerID]],$D$2:Transactions_RAW_cleaned[[#This Row],[ServiceID]],Transactions_RAW_cleaned[[#This Row],[ServiceID]])=1,"Yes","No")</f>
        <v>No</v>
      </c>
      <c r="S162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27" t="str">
        <f>"Q"&amp;ROUNDUP(MONTH(Transactions_RAW_cleaned[[#This Row],[TransactionDate]])/3,0)</f>
        <v>Q4</v>
      </c>
      <c r="U1627" t="str">
        <f>Transactions_RAW_cleaned[[#This Row],[Region ]]&amp;Transactions_RAW_cleaned[[#This Row],[Quarter ]]</f>
        <v>NAQ4</v>
      </c>
      <c r="V1627" s="5">
        <f>_xlfn.XLOOKUP(Transactions_RAW_cleaned[[#This Row],[RegionQuarterKey]], Quarterly_Targets_cleaned[RegionQuarterKey], Quarterly_Targets_cleaned[TargetRevenue])</f>
        <v>299000</v>
      </c>
    </row>
    <row r="1628" spans="1:22" x14ac:dyDescent="0.25">
      <c r="A1628" t="s">
        <v>1963</v>
      </c>
      <c r="B1628" s="1">
        <v>45585</v>
      </c>
      <c r="C1628" t="s">
        <v>261</v>
      </c>
      <c r="D1628" t="s">
        <v>303</v>
      </c>
      <c r="E1628">
        <v>637.45000000000005</v>
      </c>
      <c r="F1628" t="s">
        <v>324</v>
      </c>
      <c r="G1628" t="s">
        <v>337</v>
      </c>
      <c r="H1628" t="s">
        <v>332</v>
      </c>
      <c r="I1628" t="s">
        <v>8</v>
      </c>
      <c r="J1628" t="s">
        <v>31</v>
      </c>
      <c r="K1628" t="s">
        <v>18</v>
      </c>
      <c r="L1628" t="s">
        <v>304</v>
      </c>
      <c r="M1628" t="s">
        <v>305</v>
      </c>
      <c r="N1628">
        <v>1E-3</v>
      </c>
      <c r="O1628" t="str">
        <f>IF(Transactions_RAW_cleaned[[#This Row],[Status]]="Completed", IFERROR(_xlfn.XLOOKUP(Transactions_RAW_cleaned[[#This Row],[CustomerID]], Customers_cleaned[CustomerID], Customers_cleaned[Segment]), "Customer Not Found"), "N/A")</f>
        <v>SMB</v>
      </c>
      <c r="P1628" s="5" t="str">
        <f>IF(Transactions_RAW_cleaned[[#This Row],[Status]]="Refunded", "Refund",
  IF(Transactions_RAW_cleaned[[#This Row],[Category]]="Payments", IF(Transactions_RAW_cleaned[[#This Row],[Amount]]&gt;500,"High Value","Standard"),
    IF(Transactions_RAW_cleaned[[#This Row],[Amount]]&gt;250,"High Value","Standard")))</f>
        <v>High Value</v>
      </c>
      <c r="Q1628" s="5" t="str">
        <f>IF(Transactions_RAW_cleaned[[#This Row],[Amount]] &gt; (_xlfn.XLOOKUP(Transactions_RAW_cleaned[[#This Row],[ServiceID]],Services_cleaned[ServiceID],Services_cleaned[TransactionFeePct]) * 10000), "Yes", "No")</f>
        <v>Yes</v>
      </c>
      <c r="R1628" s="5" t="str">
        <f>IF(COUNTIFS($C$2:Transactions_RAW_cleaned[[#This Row],[CustomerID]],Transactions_RAW_cleaned[[#This Row],[CustomerID]],$D$2:Transactions_RAW_cleaned[[#This Row],[ServiceID]],Transactions_RAW_cleaned[[#This Row],[ServiceID]])=1,"Yes","No")</f>
        <v>No</v>
      </c>
      <c r="S162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628" t="str">
        <f>"Q"&amp;ROUNDUP(MONTH(Transactions_RAW_cleaned[[#This Row],[TransactionDate]])/3,0)</f>
        <v>Q4</v>
      </c>
      <c r="U1628" t="str">
        <f>Transactions_RAW_cleaned[[#This Row],[Region ]]&amp;Transactions_RAW_cleaned[[#This Row],[Quarter ]]</f>
        <v>EMEAQ4</v>
      </c>
      <c r="V1628" s="5">
        <f>_xlfn.XLOOKUP(Transactions_RAW_cleaned[[#This Row],[RegionQuarterKey]], Quarterly_Targets_cleaned[RegionQuarterKey], Quarterly_Targets_cleaned[TargetRevenue])</f>
        <v>161000</v>
      </c>
    </row>
    <row r="1629" spans="1:22" x14ac:dyDescent="0.25">
      <c r="A1629" t="s">
        <v>1964</v>
      </c>
      <c r="B1629" s="1">
        <v>45644</v>
      </c>
      <c r="C1629" t="s">
        <v>155</v>
      </c>
      <c r="D1629" t="s">
        <v>297</v>
      </c>
      <c r="E1629">
        <v>659.76</v>
      </c>
      <c r="F1629" t="s">
        <v>324</v>
      </c>
      <c r="G1629" t="s">
        <v>337</v>
      </c>
      <c r="H1629" t="s">
        <v>332</v>
      </c>
      <c r="I1629" t="s">
        <v>8</v>
      </c>
      <c r="J1629" t="s">
        <v>46</v>
      </c>
      <c r="K1629" t="s">
        <v>22</v>
      </c>
      <c r="L1629" t="s">
        <v>298</v>
      </c>
      <c r="M1629" t="s">
        <v>299</v>
      </c>
      <c r="N1629">
        <v>0</v>
      </c>
      <c r="O1629" t="str">
        <f>IF(Transactions_RAW_cleaned[[#This Row],[Status]]="Completed", IFERROR(_xlfn.XLOOKUP(Transactions_RAW_cleaned[[#This Row],[CustomerID]], Customers_cleaned[CustomerID], Customers_cleaned[Segment]), "Customer Not Found"), "N/A")</f>
        <v>SMB</v>
      </c>
      <c r="P1629" s="5" t="str">
        <f>IF(Transactions_RAW_cleaned[[#This Row],[Status]]="Refunded", "Refund",
  IF(Transactions_RAW_cleaned[[#This Row],[Category]]="Payments", IF(Transactions_RAW_cleaned[[#This Row],[Amount]]&gt;500,"High Value","Standard"),
    IF(Transactions_RAW_cleaned[[#This Row],[Amount]]&gt;250,"High Value","Standard")))</f>
        <v>High Value</v>
      </c>
      <c r="Q1629" s="5" t="str">
        <f>IF(Transactions_RAW_cleaned[[#This Row],[Amount]] &gt; (_xlfn.XLOOKUP(Transactions_RAW_cleaned[[#This Row],[ServiceID]],Services_cleaned[ServiceID],Services_cleaned[TransactionFeePct]) * 10000), "Yes", "No")</f>
        <v>Yes</v>
      </c>
      <c r="R1629" s="5" t="str">
        <f>IF(COUNTIFS($C$2:Transactions_RAW_cleaned[[#This Row],[CustomerID]],Transactions_RAW_cleaned[[#This Row],[CustomerID]],$D$2:Transactions_RAW_cleaned[[#This Row],[ServiceID]],Transactions_RAW_cleaned[[#This Row],[ServiceID]])=1,"Yes","No")</f>
        <v>Yes</v>
      </c>
      <c r="S162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29" t="str">
        <f>"Q"&amp;ROUNDUP(MONTH(Transactions_RAW_cleaned[[#This Row],[TransactionDate]])/3,0)</f>
        <v>Q4</v>
      </c>
      <c r="U1629" t="str">
        <f>Transactions_RAW_cleaned[[#This Row],[Region ]]&amp;Transactions_RAW_cleaned[[#This Row],[Quarter ]]</f>
        <v>APACQ4</v>
      </c>
      <c r="V1629" s="5">
        <f>_xlfn.XLOOKUP(Transactions_RAW_cleaned[[#This Row],[RegionQuarterKey]], Quarterly_Targets_cleaned[RegionQuarterKey], Quarterly_Targets_cleaned[TargetRevenue])</f>
        <v>126500</v>
      </c>
    </row>
    <row r="1630" spans="1:22" x14ac:dyDescent="0.25">
      <c r="A1630" t="s">
        <v>1965</v>
      </c>
      <c r="B1630" s="1">
        <v>45639</v>
      </c>
      <c r="C1630" t="s">
        <v>219</v>
      </c>
      <c r="D1630" t="s">
        <v>300</v>
      </c>
      <c r="E1630">
        <v>278.04000000000002</v>
      </c>
      <c r="F1630" t="s">
        <v>324</v>
      </c>
      <c r="G1630" t="s">
        <v>327</v>
      </c>
      <c r="I1630" t="s">
        <v>17</v>
      </c>
      <c r="J1630" t="s">
        <v>31</v>
      </c>
      <c r="K1630" t="s">
        <v>32</v>
      </c>
      <c r="L1630" t="s">
        <v>301</v>
      </c>
      <c r="M1630" t="s">
        <v>302</v>
      </c>
      <c r="N1630">
        <v>5.0000000000000001E-3</v>
      </c>
      <c r="O1630" t="str">
        <f>IF(Transactions_RAW_cleaned[[#This Row],[Status]]="Completed", IFERROR(_xlfn.XLOOKUP(Transactions_RAW_cleaned[[#This Row],[CustomerID]], Customers_cleaned[CustomerID], Customers_cleaned[Segment]), "Customer Not Found"), "N/A")</f>
        <v>Enterprise</v>
      </c>
      <c r="P1630" s="5" t="str">
        <f>IF(Transactions_RAW_cleaned[[#This Row],[Status]]="Refunded", "Refund",
  IF(Transactions_RAW_cleaned[[#This Row],[Category]]="Payments", IF(Transactions_RAW_cleaned[[#This Row],[Amount]]&gt;500,"High Value","Standard"),
    IF(Transactions_RAW_cleaned[[#This Row],[Amount]]&gt;250,"High Value","Standard")))</f>
        <v>High Value</v>
      </c>
      <c r="Q1630" s="5" t="str">
        <f>IF(Transactions_RAW_cleaned[[#This Row],[Amount]] &gt; (_xlfn.XLOOKUP(Transactions_RAW_cleaned[[#This Row],[ServiceID]],Services_cleaned[ServiceID],Services_cleaned[TransactionFeePct]) * 10000), "Yes", "No")</f>
        <v>Yes</v>
      </c>
      <c r="R1630" s="5" t="str">
        <f>IF(COUNTIFS($C$2:Transactions_RAW_cleaned[[#This Row],[CustomerID]],Transactions_RAW_cleaned[[#This Row],[CustomerID]],$D$2:Transactions_RAW_cleaned[[#This Row],[ServiceID]],Transactions_RAW_cleaned[[#This Row],[ServiceID]])=1,"Yes","No")</f>
        <v>No</v>
      </c>
      <c r="S163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630" t="str">
        <f>"Q"&amp;ROUNDUP(MONTH(Transactions_RAW_cleaned[[#This Row],[TransactionDate]])/3,0)</f>
        <v>Q4</v>
      </c>
      <c r="U1630" t="str">
        <f>Transactions_RAW_cleaned[[#This Row],[Region ]]&amp;Transactions_RAW_cleaned[[#This Row],[Quarter ]]</f>
        <v>EMEAQ4</v>
      </c>
      <c r="V1630" s="5">
        <f>_xlfn.XLOOKUP(Transactions_RAW_cleaned[[#This Row],[RegionQuarterKey]], Quarterly_Targets_cleaned[RegionQuarterKey], Quarterly_Targets_cleaned[TargetRevenue])</f>
        <v>161000</v>
      </c>
    </row>
    <row r="1631" spans="1:22" x14ac:dyDescent="0.25">
      <c r="A1631" t="s">
        <v>1966</v>
      </c>
      <c r="B1631" s="1">
        <v>45600</v>
      </c>
      <c r="C1631" t="s">
        <v>88</v>
      </c>
      <c r="D1631" t="s">
        <v>297</v>
      </c>
      <c r="E1631">
        <v>-386.76</v>
      </c>
      <c r="F1631" t="s">
        <v>349</v>
      </c>
      <c r="G1631" t="s">
        <v>327</v>
      </c>
      <c r="H1631" t="s">
        <v>346</v>
      </c>
      <c r="I1631" t="s">
        <v>8</v>
      </c>
      <c r="J1631" t="s">
        <v>102</v>
      </c>
      <c r="K1631" t="s">
        <v>18</v>
      </c>
      <c r="L1631" t="s">
        <v>298</v>
      </c>
      <c r="M1631" t="s">
        <v>299</v>
      </c>
      <c r="N1631">
        <v>0</v>
      </c>
      <c r="O1631" t="str">
        <f>IF(Transactions_RAW_cleaned[[#This Row],[Status]]="Completed", IFERROR(_xlfn.XLOOKUP(Transactions_RAW_cleaned[[#This Row],[CustomerID]], Customers_cleaned[CustomerID], Customers_cleaned[Segment]), "Customer Not Found"), "N/A")</f>
        <v>N/A</v>
      </c>
      <c r="P1631" s="5" t="str">
        <f>IF(Transactions_RAW_cleaned[[#This Row],[Status]]="Refunded", "Refund",
  IF(Transactions_RAW_cleaned[[#This Row],[Category]]="Payments", IF(Transactions_RAW_cleaned[[#This Row],[Amount]]&gt;500,"High Value","Standard"),
    IF(Transactions_RAW_cleaned[[#This Row],[Amount]]&gt;250,"High Value","Standard")))</f>
        <v>Refund</v>
      </c>
      <c r="Q1631" s="5" t="str">
        <f>IF(Transactions_RAW_cleaned[[#This Row],[Amount]] &gt; (_xlfn.XLOOKUP(Transactions_RAW_cleaned[[#This Row],[ServiceID]],Services_cleaned[ServiceID],Services_cleaned[TransactionFeePct]) * 10000), "Yes", "No")</f>
        <v>No</v>
      </c>
      <c r="R1631" s="5" t="str">
        <f>IF(COUNTIFS($C$2:Transactions_RAW_cleaned[[#This Row],[CustomerID]],Transactions_RAW_cleaned[[#This Row],[CustomerID]],$D$2:Transactions_RAW_cleaned[[#This Row],[ServiceID]],Transactions_RAW_cleaned[[#This Row],[ServiceID]])=1,"Yes","No")</f>
        <v>No</v>
      </c>
      <c r="S163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31" t="str">
        <f>"Q"&amp;ROUNDUP(MONTH(Transactions_RAW_cleaned[[#This Row],[TransactionDate]])/3,0)</f>
        <v>Q4</v>
      </c>
      <c r="U1631" t="str">
        <f>Transactions_RAW_cleaned[[#This Row],[Region ]]&amp;Transactions_RAW_cleaned[[#This Row],[Quarter ]]</f>
        <v>NAQ4</v>
      </c>
      <c r="V1631" s="5">
        <f>_xlfn.XLOOKUP(Transactions_RAW_cleaned[[#This Row],[RegionQuarterKey]], Quarterly_Targets_cleaned[RegionQuarterKey], Quarterly_Targets_cleaned[TargetRevenue])</f>
        <v>299000</v>
      </c>
    </row>
    <row r="1632" spans="1:22" x14ac:dyDescent="0.25">
      <c r="A1632" t="s">
        <v>1967</v>
      </c>
      <c r="B1632" s="1">
        <v>45482</v>
      </c>
      <c r="C1632" t="s">
        <v>44</v>
      </c>
      <c r="D1632" t="s">
        <v>306</v>
      </c>
      <c r="E1632">
        <v>647.69000000000005</v>
      </c>
      <c r="F1632" t="s">
        <v>324</v>
      </c>
      <c r="G1632" t="s">
        <v>337</v>
      </c>
      <c r="I1632" t="s">
        <v>8</v>
      </c>
      <c r="J1632" t="s">
        <v>46</v>
      </c>
      <c r="K1632" t="s">
        <v>32</v>
      </c>
      <c r="L1632" t="s">
        <v>307</v>
      </c>
      <c r="M1632" t="s">
        <v>308</v>
      </c>
      <c r="N1632">
        <v>0</v>
      </c>
      <c r="O1632" t="str">
        <f>IF(Transactions_RAW_cleaned[[#This Row],[Status]]="Completed", IFERROR(_xlfn.XLOOKUP(Transactions_RAW_cleaned[[#This Row],[CustomerID]], Customers_cleaned[CustomerID], Customers_cleaned[Segment]), "Customer Not Found"), "N/A")</f>
        <v>SMB</v>
      </c>
      <c r="P1632" s="5" t="str">
        <f>IF(Transactions_RAW_cleaned[[#This Row],[Status]]="Refunded", "Refund",
  IF(Transactions_RAW_cleaned[[#This Row],[Category]]="Payments", IF(Transactions_RAW_cleaned[[#This Row],[Amount]]&gt;500,"High Value","Standard"),
    IF(Transactions_RAW_cleaned[[#This Row],[Amount]]&gt;250,"High Value","Standard")))</f>
        <v>High Value</v>
      </c>
      <c r="Q1632" s="5" t="str">
        <f>IF(Transactions_RAW_cleaned[[#This Row],[Amount]] &gt; (_xlfn.XLOOKUP(Transactions_RAW_cleaned[[#This Row],[ServiceID]],Services_cleaned[ServiceID],Services_cleaned[TransactionFeePct]) * 10000), "Yes", "No")</f>
        <v>Yes</v>
      </c>
      <c r="R1632" s="5" t="str">
        <f>IF(COUNTIFS($C$2:Transactions_RAW_cleaned[[#This Row],[CustomerID]],Transactions_RAW_cleaned[[#This Row],[CustomerID]],$D$2:Transactions_RAW_cleaned[[#This Row],[ServiceID]],Transactions_RAW_cleaned[[#This Row],[ServiceID]])=1,"Yes","No")</f>
        <v>No</v>
      </c>
      <c r="S163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32" t="str">
        <f>"Q"&amp;ROUNDUP(MONTH(Transactions_RAW_cleaned[[#This Row],[TransactionDate]])/3,0)</f>
        <v>Q3</v>
      </c>
      <c r="U1632" t="str">
        <f>Transactions_RAW_cleaned[[#This Row],[Region ]]&amp;Transactions_RAW_cleaned[[#This Row],[Quarter ]]</f>
        <v>APACQ3</v>
      </c>
      <c r="V1632" s="5">
        <f>_xlfn.XLOOKUP(Transactions_RAW_cleaned[[#This Row],[RegionQuarterKey]], Quarterly_Targets_cleaned[RegionQuarterKey], Quarterly_Targets_cleaned[TargetRevenue])</f>
        <v>115500</v>
      </c>
    </row>
    <row r="1633" spans="1:22" x14ac:dyDescent="0.25">
      <c r="A1633" t="s">
        <v>1968</v>
      </c>
      <c r="B1633" s="1">
        <v>45315</v>
      </c>
      <c r="C1633" t="s">
        <v>233</v>
      </c>
      <c r="D1633" t="s">
        <v>312</v>
      </c>
      <c r="E1633">
        <v>403.85</v>
      </c>
      <c r="F1633" t="s">
        <v>324</v>
      </c>
      <c r="G1633" t="s">
        <v>337</v>
      </c>
      <c r="H1633" t="s">
        <v>332</v>
      </c>
      <c r="I1633" t="s">
        <v>8</v>
      </c>
      <c r="J1633" t="s">
        <v>13</v>
      </c>
      <c r="K1633" t="s">
        <v>14</v>
      </c>
      <c r="L1633" t="s">
        <v>313</v>
      </c>
      <c r="M1633" t="s">
        <v>314</v>
      </c>
      <c r="N1633">
        <v>0</v>
      </c>
      <c r="O1633" t="str">
        <f>IF(Transactions_RAW_cleaned[[#This Row],[Status]]="Completed", IFERROR(_xlfn.XLOOKUP(Transactions_RAW_cleaned[[#This Row],[CustomerID]], Customers_cleaned[CustomerID], Customers_cleaned[Segment]), "Customer Not Found"), "N/A")</f>
        <v>SMB</v>
      </c>
      <c r="P1633" s="5" t="str">
        <f>IF(Transactions_RAW_cleaned[[#This Row],[Status]]="Refunded", "Refund",
  IF(Transactions_RAW_cleaned[[#This Row],[Category]]="Payments", IF(Transactions_RAW_cleaned[[#This Row],[Amount]]&gt;500,"High Value","Standard"),
    IF(Transactions_RAW_cleaned[[#This Row],[Amount]]&gt;250,"High Value","Standard")))</f>
        <v>High Value</v>
      </c>
      <c r="Q1633" s="5" t="str">
        <f>IF(Transactions_RAW_cleaned[[#This Row],[Amount]] &gt; (_xlfn.XLOOKUP(Transactions_RAW_cleaned[[#This Row],[ServiceID]],Services_cleaned[ServiceID],Services_cleaned[TransactionFeePct]) * 10000), "Yes", "No")</f>
        <v>Yes</v>
      </c>
      <c r="R1633" s="5" t="str">
        <f>IF(COUNTIFS($C$2:Transactions_RAW_cleaned[[#This Row],[CustomerID]],Transactions_RAW_cleaned[[#This Row],[CustomerID]],$D$2:Transactions_RAW_cleaned[[#This Row],[ServiceID]],Transactions_RAW_cleaned[[#This Row],[ServiceID]])=1,"Yes","No")</f>
        <v>No</v>
      </c>
      <c r="S163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33" t="str">
        <f>"Q"&amp;ROUNDUP(MONTH(Transactions_RAW_cleaned[[#This Row],[TransactionDate]])/3,0)</f>
        <v>Q1</v>
      </c>
      <c r="U1633" t="str">
        <f>Transactions_RAW_cleaned[[#This Row],[Region ]]&amp;Transactions_RAW_cleaned[[#This Row],[Quarter ]]</f>
        <v>NAQ1</v>
      </c>
      <c r="V1633" s="5">
        <f>_xlfn.XLOOKUP(Transactions_RAW_cleaned[[#This Row],[RegionQuarterKey]], Quarterly_Targets_cleaned[RegionQuarterKey], Quarterly_Targets_cleaned[TargetRevenue])</f>
        <v>247000</v>
      </c>
    </row>
    <row r="1634" spans="1:22" x14ac:dyDescent="0.25">
      <c r="A1634" t="s">
        <v>1969</v>
      </c>
      <c r="B1634" s="1">
        <v>45586</v>
      </c>
      <c r="C1634" t="s">
        <v>44</v>
      </c>
      <c r="D1634" t="s">
        <v>312</v>
      </c>
      <c r="E1634">
        <v>538.32000000000005</v>
      </c>
      <c r="F1634" t="s">
        <v>324</v>
      </c>
      <c r="G1634" t="s">
        <v>325</v>
      </c>
      <c r="I1634" t="s">
        <v>8</v>
      </c>
      <c r="J1634" t="s">
        <v>46</v>
      </c>
      <c r="K1634" t="s">
        <v>32</v>
      </c>
      <c r="L1634" t="s">
        <v>313</v>
      </c>
      <c r="M1634" t="s">
        <v>314</v>
      </c>
      <c r="N1634">
        <v>0</v>
      </c>
      <c r="O1634" t="str">
        <f>IF(Transactions_RAW_cleaned[[#This Row],[Status]]="Completed", IFERROR(_xlfn.XLOOKUP(Transactions_RAW_cleaned[[#This Row],[CustomerID]], Customers_cleaned[CustomerID], Customers_cleaned[Segment]), "Customer Not Found"), "N/A")</f>
        <v>SMB</v>
      </c>
      <c r="P1634" s="5" t="str">
        <f>IF(Transactions_RAW_cleaned[[#This Row],[Status]]="Refunded", "Refund",
  IF(Transactions_RAW_cleaned[[#This Row],[Category]]="Payments", IF(Transactions_RAW_cleaned[[#This Row],[Amount]]&gt;500,"High Value","Standard"),
    IF(Transactions_RAW_cleaned[[#This Row],[Amount]]&gt;250,"High Value","Standard")))</f>
        <v>High Value</v>
      </c>
      <c r="Q1634" s="5" t="str">
        <f>IF(Transactions_RAW_cleaned[[#This Row],[Amount]] &gt; (_xlfn.XLOOKUP(Transactions_RAW_cleaned[[#This Row],[ServiceID]],Services_cleaned[ServiceID],Services_cleaned[TransactionFeePct]) * 10000), "Yes", "No")</f>
        <v>Yes</v>
      </c>
      <c r="R1634" s="5" t="str">
        <f>IF(COUNTIFS($C$2:Transactions_RAW_cleaned[[#This Row],[CustomerID]],Transactions_RAW_cleaned[[#This Row],[CustomerID]],$D$2:Transactions_RAW_cleaned[[#This Row],[ServiceID]],Transactions_RAW_cleaned[[#This Row],[ServiceID]])=1,"Yes","No")</f>
        <v>Yes</v>
      </c>
      <c r="S163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34" t="str">
        <f>"Q"&amp;ROUNDUP(MONTH(Transactions_RAW_cleaned[[#This Row],[TransactionDate]])/3,0)</f>
        <v>Q4</v>
      </c>
      <c r="U1634" t="str">
        <f>Transactions_RAW_cleaned[[#This Row],[Region ]]&amp;Transactions_RAW_cleaned[[#This Row],[Quarter ]]</f>
        <v>APACQ4</v>
      </c>
      <c r="V1634" s="5">
        <f>_xlfn.XLOOKUP(Transactions_RAW_cleaned[[#This Row],[RegionQuarterKey]], Quarterly_Targets_cleaned[RegionQuarterKey], Quarterly_Targets_cleaned[TargetRevenue])</f>
        <v>126500</v>
      </c>
    </row>
    <row r="1635" spans="1:22" x14ac:dyDescent="0.25">
      <c r="A1635" t="s">
        <v>1970</v>
      </c>
      <c r="B1635" s="1">
        <v>45476</v>
      </c>
      <c r="C1635" t="s">
        <v>189</v>
      </c>
      <c r="D1635" t="s">
        <v>294</v>
      </c>
      <c r="E1635">
        <v>123.42</v>
      </c>
      <c r="F1635" t="s">
        <v>324</v>
      </c>
      <c r="G1635" t="s">
        <v>325</v>
      </c>
      <c r="I1635" t="s">
        <v>17</v>
      </c>
      <c r="J1635" t="s">
        <v>102</v>
      </c>
      <c r="K1635" t="s">
        <v>14</v>
      </c>
      <c r="L1635" t="s">
        <v>295</v>
      </c>
      <c r="M1635" t="s">
        <v>296</v>
      </c>
      <c r="N1635">
        <v>2.9000000000000001E-2</v>
      </c>
      <c r="O1635" t="str">
        <f>IF(Transactions_RAW_cleaned[[#This Row],[Status]]="Completed", IFERROR(_xlfn.XLOOKUP(Transactions_RAW_cleaned[[#This Row],[CustomerID]], Customers_cleaned[CustomerID], Customers_cleaned[Segment]), "Customer Not Found"), "N/A")</f>
        <v>Enterprise</v>
      </c>
      <c r="P1635" s="5" t="str">
        <f>IF(Transactions_RAW_cleaned[[#This Row],[Status]]="Refunded", "Refund",
  IF(Transactions_RAW_cleaned[[#This Row],[Category]]="Payments", IF(Transactions_RAW_cleaned[[#This Row],[Amount]]&gt;500,"High Value","Standard"),
    IF(Transactions_RAW_cleaned[[#This Row],[Amount]]&gt;250,"High Value","Standard")))</f>
        <v>Standard</v>
      </c>
      <c r="Q1635" s="5" t="str">
        <f>IF(Transactions_RAW_cleaned[[#This Row],[Amount]] &gt; (_xlfn.XLOOKUP(Transactions_RAW_cleaned[[#This Row],[ServiceID]],Services_cleaned[ServiceID],Services_cleaned[TransactionFeePct]) * 10000), "Yes", "No")</f>
        <v>No</v>
      </c>
      <c r="R1635" s="5" t="str">
        <f>IF(COUNTIFS($C$2:Transactions_RAW_cleaned[[#This Row],[CustomerID]],Transactions_RAW_cleaned[[#This Row],[CustomerID]],$D$2:Transactions_RAW_cleaned[[#This Row],[ServiceID]],Transactions_RAW_cleaned[[#This Row],[ServiceID]])=1,"Yes","No")</f>
        <v>No</v>
      </c>
      <c r="S163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35" t="str">
        <f>"Q"&amp;ROUNDUP(MONTH(Transactions_RAW_cleaned[[#This Row],[TransactionDate]])/3,0)</f>
        <v>Q3</v>
      </c>
      <c r="U1635" t="str">
        <f>Transactions_RAW_cleaned[[#This Row],[Region ]]&amp;Transactions_RAW_cleaned[[#This Row],[Quarter ]]</f>
        <v>NAQ3</v>
      </c>
      <c r="V1635" s="5">
        <f>_xlfn.XLOOKUP(Transactions_RAW_cleaned[[#This Row],[RegionQuarterKey]], Quarterly_Targets_cleaned[RegionQuarterKey], Quarterly_Targets_cleaned[TargetRevenue])</f>
        <v>273000</v>
      </c>
    </row>
    <row r="1636" spans="1:22" x14ac:dyDescent="0.25">
      <c r="A1636" t="s">
        <v>1971</v>
      </c>
      <c r="B1636" s="1">
        <v>45480</v>
      </c>
      <c r="C1636" t="s">
        <v>121</v>
      </c>
      <c r="D1636" t="s">
        <v>294</v>
      </c>
      <c r="E1636">
        <v>260.14999999999998</v>
      </c>
      <c r="F1636" t="s">
        <v>324</v>
      </c>
      <c r="G1636" t="s">
        <v>337</v>
      </c>
      <c r="H1636" t="s">
        <v>332</v>
      </c>
      <c r="I1636" t="s">
        <v>8</v>
      </c>
      <c r="J1636" t="s">
        <v>37</v>
      </c>
      <c r="K1636" t="s">
        <v>14</v>
      </c>
      <c r="L1636" t="s">
        <v>295</v>
      </c>
      <c r="M1636" t="s">
        <v>296</v>
      </c>
      <c r="N1636">
        <v>2.9000000000000001E-2</v>
      </c>
      <c r="O1636" t="str">
        <f>IF(Transactions_RAW_cleaned[[#This Row],[Status]]="Completed", IFERROR(_xlfn.XLOOKUP(Transactions_RAW_cleaned[[#This Row],[CustomerID]], Customers_cleaned[CustomerID], Customers_cleaned[Segment]), "Customer Not Found"), "N/A")</f>
        <v>SMB</v>
      </c>
      <c r="P1636" s="5" t="str">
        <f>IF(Transactions_RAW_cleaned[[#This Row],[Status]]="Refunded", "Refund",
  IF(Transactions_RAW_cleaned[[#This Row],[Category]]="Payments", IF(Transactions_RAW_cleaned[[#This Row],[Amount]]&gt;500,"High Value","Standard"),
    IF(Transactions_RAW_cleaned[[#This Row],[Amount]]&gt;250,"High Value","Standard")))</f>
        <v>Standard</v>
      </c>
      <c r="Q1636" s="5" t="str">
        <f>IF(Transactions_RAW_cleaned[[#This Row],[Amount]] &gt; (_xlfn.XLOOKUP(Transactions_RAW_cleaned[[#This Row],[ServiceID]],Services_cleaned[ServiceID],Services_cleaned[TransactionFeePct]) * 10000), "Yes", "No")</f>
        <v>No</v>
      </c>
      <c r="R1636" s="5" t="str">
        <f>IF(COUNTIFS($C$2:Transactions_RAW_cleaned[[#This Row],[CustomerID]],Transactions_RAW_cleaned[[#This Row],[CustomerID]],$D$2:Transactions_RAW_cleaned[[#This Row],[ServiceID]],Transactions_RAW_cleaned[[#This Row],[ServiceID]])=1,"Yes","No")</f>
        <v>No</v>
      </c>
      <c r="S163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636" t="str">
        <f>"Q"&amp;ROUNDUP(MONTH(Transactions_RAW_cleaned[[#This Row],[TransactionDate]])/3,0)</f>
        <v>Q3</v>
      </c>
      <c r="U1636" t="str">
        <f>Transactions_RAW_cleaned[[#This Row],[Region ]]&amp;Transactions_RAW_cleaned[[#This Row],[Quarter ]]</f>
        <v>EMEAQ3</v>
      </c>
      <c r="V1636" s="5">
        <f>_xlfn.XLOOKUP(Transactions_RAW_cleaned[[#This Row],[RegionQuarterKey]], Quarterly_Targets_cleaned[RegionQuarterKey], Quarterly_Targets_cleaned[TargetRevenue])</f>
        <v>147000</v>
      </c>
    </row>
    <row r="1637" spans="1:22" x14ac:dyDescent="0.25">
      <c r="A1637" t="s">
        <v>1972</v>
      </c>
      <c r="B1637" s="1">
        <v>45527</v>
      </c>
      <c r="C1637" t="s">
        <v>211</v>
      </c>
      <c r="D1637" t="s">
        <v>297</v>
      </c>
      <c r="E1637">
        <v>183.75</v>
      </c>
      <c r="F1637" t="s">
        <v>324</v>
      </c>
      <c r="G1637" t="s">
        <v>329</v>
      </c>
      <c r="H1637" t="s">
        <v>334</v>
      </c>
      <c r="I1637" t="s">
        <v>8</v>
      </c>
      <c r="J1637" t="s">
        <v>31</v>
      </c>
      <c r="K1637" t="s">
        <v>22</v>
      </c>
      <c r="L1637" t="s">
        <v>298</v>
      </c>
      <c r="M1637" t="s">
        <v>299</v>
      </c>
      <c r="N1637">
        <v>0</v>
      </c>
      <c r="O1637" t="str">
        <f>IF(Transactions_RAW_cleaned[[#This Row],[Status]]="Completed", IFERROR(_xlfn.XLOOKUP(Transactions_RAW_cleaned[[#This Row],[CustomerID]], Customers_cleaned[CustomerID], Customers_cleaned[Segment]), "Customer Not Found"), "N/A")</f>
        <v>SMB</v>
      </c>
      <c r="P1637" s="5" t="str">
        <f>IF(Transactions_RAW_cleaned[[#This Row],[Status]]="Refunded", "Refund",
  IF(Transactions_RAW_cleaned[[#This Row],[Category]]="Payments", IF(Transactions_RAW_cleaned[[#This Row],[Amount]]&gt;500,"High Value","Standard"),
    IF(Transactions_RAW_cleaned[[#This Row],[Amount]]&gt;250,"High Value","Standard")))</f>
        <v>Standard</v>
      </c>
      <c r="Q1637" s="5" t="str">
        <f>IF(Transactions_RAW_cleaned[[#This Row],[Amount]] &gt; (_xlfn.XLOOKUP(Transactions_RAW_cleaned[[#This Row],[ServiceID]],Services_cleaned[ServiceID],Services_cleaned[TransactionFeePct]) * 10000), "Yes", "No")</f>
        <v>Yes</v>
      </c>
      <c r="R1637" s="5" t="str">
        <f>IF(COUNTIFS($C$2:Transactions_RAW_cleaned[[#This Row],[CustomerID]],Transactions_RAW_cleaned[[#This Row],[CustomerID]],$D$2:Transactions_RAW_cleaned[[#This Row],[ServiceID]],Transactions_RAW_cleaned[[#This Row],[ServiceID]])=1,"Yes","No")</f>
        <v>No</v>
      </c>
      <c r="S163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637" t="str">
        <f>"Q"&amp;ROUNDUP(MONTH(Transactions_RAW_cleaned[[#This Row],[TransactionDate]])/3,0)</f>
        <v>Q3</v>
      </c>
      <c r="U1637" t="str">
        <f>Transactions_RAW_cleaned[[#This Row],[Region ]]&amp;Transactions_RAW_cleaned[[#This Row],[Quarter ]]</f>
        <v>EMEAQ3</v>
      </c>
      <c r="V1637" s="5">
        <f>_xlfn.XLOOKUP(Transactions_RAW_cleaned[[#This Row],[RegionQuarterKey]], Quarterly_Targets_cleaned[RegionQuarterKey], Quarterly_Targets_cleaned[TargetRevenue])</f>
        <v>147000</v>
      </c>
    </row>
    <row r="1638" spans="1:22" x14ac:dyDescent="0.25">
      <c r="A1638" t="s">
        <v>1973</v>
      </c>
      <c r="B1638" s="1">
        <v>45439</v>
      </c>
      <c r="C1638" t="s">
        <v>135</v>
      </c>
      <c r="D1638" t="s">
        <v>312</v>
      </c>
      <c r="E1638">
        <v>579.17999999999995</v>
      </c>
      <c r="F1638" t="s">
        <v>331</v>
      </c>
      <c r="G1638" t="s">
        <v>327</v>
      </c>
      <c r="I1638" t="s">
        <v>8</v>
      </c>
      <c r="J1638" t="s">
        <v>46</v>
      </c>
      <c r="K1638" t="s">
        <v>10</v>
      </c>
      <c r="L1638" t="s">
        <v>313</v>
      </c>
      <c r="M1638" t="s">
        <v>314</v>
      </c>
      <c r="N1638">
        <v>0</v>
      </c>
      <c r="O1638" t="str">
        <f>IF(Transactions_RAW_cleaned[[#This Row],[Status]]="Completed", IFERROR(_xlfn.XLOOKUP(Transactions_RAW_cleaned[[#This Row],[CustomerID]], Customers_cleaned[CustomerID], Customers_cleaned[Segment]), "Customer Not Found"), "N/A")</f>
        <v>N/A</v>
      </c>
      <c r="P1638" s="5" t="str">
        <f>IF(Transactions_RAW_cleaned[[#This Row],[Status]]="Refunded", "Refund",
  IF(Transactions_RAW_cleaned[[#This Row],[Category]]="Payments", IF(Transactions_RAW_cleaned[[#This Row],[Amount]]&gt;500,"High Value","Standard"),
    IF(Transactions_RAW_cleaned[[#This Row],[Amount]]&gt;250,"High Value","Standard")))</f>
        <v>High Value</v>
      </c>
      <c r="Q1638" s="5" t="str">
        <f>IF(Transactions_RAW_cleaned[[#This Row],[Amount]] &gt; (_xlfn.XLOOKUP(Transactions_RAW_cleaned[[#This Row],[ServiceID]],Services_cleaned[ServiceID],Services_cleaned[TransactionFeePct]) * 10000), "Yes", "No")</f>
        <v>Yes</v>
      </c>
      <c r="R1638" s="5" t="str">
        <f>IF(COUNTIFS($C$2:Transactions_RAW_cleaned[[#This Row],[CustomerID]],Transactions_RAW_cleaned[[#This Row],[CustomerID]],$D$2:Transactions_RAW_cleaned[[#This Row],[ServiceID]],Transactions_RAW_cleaned[[#This Row],[ServiceID]])=1,"Yes","No")</f>
        <v>No</v>
      </c>
      <c r="S163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38" t="str">
        <f>"Q"&amp;ROUNDUP(MONTH(Transactions_RAW_cleaned[[#This Row],[TransactionDate]])/3,0)</f>
        <v>Q2</v>
      </c>
      <c r="U1638" t="str">
        <f>Transactions_RAW_cleaned[[#This Row],[Region ]]&amp;Transactions_RAW_cleaned[[#This Row],[Quarter ]]</f>
        <v>APACQ2</v>
      </c>
      <c r="V1638" s="5">
        <f>_xlfn.XLOOKUP(Transactions_RAW_cleaned[[#This Row],[RegionQuarterKey]], Quarterly_Targets_cleaned[RegionQuarterKey], Quarterly_Targets_cleaned[TargetRevenue])</f>
        <v>110000</v>
      </c>
    </row>
    <row r="1639" spans="1:22" x14ac:dyDescent="0.25">
      <c r="A1639" t="s">
        <v>1974</v>
      </c>
      <c r="B1639" s="1">
        <v>45561</v>
      </c>
      <c r="C1639" t="s">
        <v>80</v>
      </c>
      <c r="D1639" t="s">
        <v>294</v>
      </c>
      <c r="E1639">
        <v>1005.44</v>
      </c>
      <c r="F1639" t="s">
        <v>324</v>
      </c>
      <c r="G1639" t="s">
        <v>327</v>
      </c>
      <c r="H1639" t="s">
        <v>334</v>
      </c>
      <c r="I1639" t="s">
        <v>8</v>
      </c>
      <c r="J1639" t="s">
        <v>13</v>
      </c>
      <c r="K1639" t="s">
        <v>32</v>
      </c>
      <c r="L1639" t="s">
        <v>295</v>
      </c>
      <c r="M1639" t="s">
        <v>296</v>
      </c>
      <c r="N1639">
        <v>2.9000000000000001E-2</v>
      </c>
      <c r="O1639" t="str">
        <f>IF(Transactions_RAW_cleaned[[#This Row],[Status]]="Completed", IFERROR(_xlfn.XLOOKUP(Transactions_RAW_cleaned[[#This Row],[CustomerID]], Customers_cleaned[CustomerID], Customers_cleaned[Segment]), "Customer Not Found"), "N/A")</f>
        <v>SMB</v>
      </c>
      <c r="P1639" s="5" t="str">
        <f>IF(Transactions_RAW_cleaned[[#This Row],[Status]]="Refunded", "Refund",
  IF(Transactions_RAW_cleaned[[#This Row],[Category]]="Payments", IF(Transactions_RAW_cleaned[[#This Row],[Amount]]&gt;500,"High Value","Standard"),
    IF(Transactions_RAW_cleaned[[#This Row],[Amount]]&gt;250,"High Value","Standard")))</f>
        <v>High Value</v>
      </c>
      <c r="Q1639" s="5" t="str">
        <f>IF(Transactions_RAW_cleaned[[#This Row],[Amount]] &gt; (_xlfn.XLOOKUP(Transactions_RAW_cleaned[[#This Row],[ServiceID]],Services_cleaned[ServiceID],Services_cleaned[TransactionFeePct]) * 10000), "Yes", "No")</f>
        <v>Yes</v>
      </c>
      <c r="R1639" s="5" t="str">
        <f>IF(COUNTIFS($C$2:Transactions_RAW_cleaned[[#This Row],[CustomerID]],Transactions_RAW_cleaned[[#This Row],[CustomerID]],$D$2:Transactions_RAW_cleaned[[#This Row],[ServiceID]],Transactions_RAW_cleaned[[#This Row],[ServiceID]])=1,"Yes","No")</f>
        <v>No</v>
      </c>
      <c r="S163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39" t="str">
        <f>"Q"&amp;ROUNDUP(MONTH(Transactions_RAW_cleaned[[#This Row],[TransactionDate]])/3,0)</f>
        <v>Q3</v>
      </c>
      <c r="U1639" t="str">
        <f>Transactions_RAW_cleaned[[#This Row],[Region ]]&amp;Transactions_RAW_cleaned[[#This Row],[Quarter ]]</f>
        <v>NAQ3</v>
      </c>
      <c r="V1639" s="5">
        <f>_xlfn.XLOOKUP(Transactions_RAW_cleaned[[#This Row],[RegionQuarterKey]], Quarterly_Targets_cleaned[RegionQuarterKey], Quarterly_Targets_cleaned[TargetRevenue])</f>
        <v>273000</v>
      </c>
    </row>
    <row r="1640" spans="1:22" x14ac:dyDescent="0.25">
      <c r="A1640" t="s">
        <v>1975</v>
      </c>
      <c r="B1640" s="1">
        <v>45575</v>
      </c>
      <c r="C1640" t="s">
        <v>229</v>
      </c>
      <c r="D1640" t="s">
        <v>315</v>
      </c>
      <c r="E1640">
        <v>261.3</v>
      </c>
      <c r="F1640" t="s">
        <v>324</v>
      </c>
      <c r="G1640" t="s">
        <v>337</v>
      </c>
      <c r="H1640" t="s">
        <v>332</v>
      </c>
      <c r="I1640" t="s">
        <v>17</v>
      </c>
      <c r="J1640" t="s">
        <v>102</v>
      </c>
      <c r="K1640" t="s">
        <v>18</v>
      </c>
      <c r="L1640" t="s">
        <v>316</v>
      </c>
      <c r="M1640" t="s">
        <v>305</v>
      </c>
      <c r="N1640">
        <v>2.5000000000000001E-3</v>
      </c>
      <c r="O1640" t="str">
        <f>IF(Transactions_RAW_cleaned[[#This Row],[Status]]="Completed", IFERROR(_xlfn.XLOOKUP(Transactions_RAW_cleaned[[#This Row],[CustomerID]], Customers_cleaned[CustomerID], Customers_cleaned[Segment]), "Customer Not Found"), "N/A")</f>
        <v>Enterprise</v>
      </c>
      <c r="P1640" s="5" t="str">
        <f>IF(Transactions_RAW_cleaned[[#This Row],[Status]]="Refunded", "Refund",
  IF(Transactions_RAW_cleaned[[#This Row],[Category]]="Payments", IF(Transactions_RAW_cleaned[[#This Row],[Amount]]&gt;500,"High Value","Standard"),
    IF(Transactions_RAW_cleaned[[#This Row],[Amount]]&gt;250,"High Value","Standard")))</f>
        <v>High Value</v>
      </c>
      <c r="Q1640" s="5" t="str">
        <f>IF(Transactions_RAW_cleaned[[#This Row],[Amount]] &gt; (_xlfn.XLOOKUP(Transactions_RAW_cleaned[[#This Row],[ServiceID]],Services_cleaned[ServiceID],Services_cleaned[TransactionFeePct]) * 10000), "Yes", "No")</f>
        <v>Yes</v>
      </c>
      <c r="R1640" s="5" t="str">
        <f>IF(COUNTIFS($C$2:Transactions_RAW_cleaned[[#This Row],[CustomerID]],Transactions_RAW_cleaned[[#This Row],[CustomerID]],$D$2:Transactions_RAW_cleaned[[#This Row],[ServiceID]],Transactions_RAW_cleaned[[#This Row],[ServiceID]])=1,"Yes","No")</f>
        <v>No</v>
      </c>
      <c r="S164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40" t="str">
        <f>"Q"&amp;ROUNDUP(MONTH(Transactions_RAW_cleaned[[#This Row],[TransactionDate]])/3,0)</f>
        <v>Q4</v>
      </c>
      <c r="U1640" t="str">
        <f>Transactions_RAW_cleaned[[#This Row],[Region ]]&amp;Transactions_RAW_cleaned[[#This Row],[Quarter ]]</f>
        <v>NAQ4</v>
      </c>
      <c r="V1640" s="5">
        <f>_xlfn.XLOOKUP(Transactions_RAW_cleaned[[#This Row],[RegionQuarterKey]], Quarterly_Targets_cleaned[RegionQuarterKey], Quarterly_Targets_cleaned[TargetRevenue])</f>
        <v>299000</v>
      </c>
    </row>
    <row r="1641" spans="1:22" x14ac:dyDescent="0.25">
      <c r="A1641" t="s">
        <v>1976</v>
      </c>
      <c r="B1641" s="1">
        <v>45327</v>
      </c>
      <c r="C1641" t="s">
        <v>111</v>
      </c>
      <c r="D1641" t="s">
        <v>294</v>
      </c>
      <c r="E1641">
        <v>540.91</v>
      </c>
      <c r="F1641" t="s">
        <v>324</v>
      </c>
      <c r="G1641" t="s">
        <v>337</v>
      </c>
      <c r="H1641" t="s">
        <v>346</v>
      </c>
      <c r="I1641" t="s">
        <v>8</v>
      </c>
      <c r="J1641" t="s">
        <v>21</v>
      </c>
      <c r="K1641" t="s">
        <v>28</v>
      </c>
      <c r="L1641" t="s">
        <v>295</v>
      </c>
      <c r="M1641" t="s">
        <v>296</v>
      </c>
      <c r="N1641">
        <v>2.9000000000000001E-2</v>
      </c>
      <c r="O1641" t="str">
        <f>IF(Transactions_RAW_cleaned[[#This Row],[Status]]="Completed", IFERROR(_xlfn.XLOOKUP(Transactions_RAW_cleaned[[#This Row],[CustomerID]], Customers_cleaned[CustomerID], Customers_cleaned[Segment]), "Customer Not Found"), "N/A")</f>
        <v>SMB</v>
      </c>
      <c r="P1641" s="5" t="str">
        <f>IF(Transactions_RAW_cleaned[[#This Row],[Status]]="Refunded", "Refund",
  IF(Transactions_RAW_cleaned[[#This Row],[Category]]="Payments", IF(Transactions_RAW_cleaned[[#This Row],[Amount]]&gt;500,"High Value","Standard"),
    IF(Transactions_RAW_cleaned[[#This Row],[Amount]]&gt;250,"High Value","Standard")))</f>
        <v>High Value</v>
      </c>
      <c r="Q1641" s="5" t="str">
        <f>IF(Transactions_RAW_cleaned[[#This Row],[Amount]] &gt; (_xlfn.XLOOKUP(Transactions_RAW_cleaned[[#This Row],[ServiceID]],Services_cleaned[ServiceID],Services_cleaned[TransactionFeePct]) * 10000), "Yes", "No")</f>
        <v>Yes</v>
      </c>
      <c r="R1641" s="5" t="str">
        <f>IF(COUNTIFS($C$2:Transactions_RAW_cleaned[[#This Row],[CustomerID]],Transactions_RAW_cleaned[[#This Row],[CustomerID]],$D$2:Transactions_RAW_cleaned[[#This Row],[ServiceID]],Transactions_RAW_cleaned[[#This Row],[ServiceID]])=1,"Yes","No")</f>
        <v>No</v>
      </c>
      <c r="S164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41" t="str">
        <f>"Q"&amp;ROUNDUP(MONTH(Transactions_RAW_cleaned[[#This Row],[TransactionDate]])/3,0)</f>
        <v>Q1</v>
      </c>
      <c r="U1641" t="str">
        <f>Transactions_RAW_cleaned[[#This Row],[Region ]]&amp;Transactions_RAW_cleaned[[#This Row],[Quarter ]]</f>
        <v>APACQ1</v>
      </c>
      <c r="V1641" s="5">
        <f>_xlfn.XLOOKUP(Transactions_RAW_cleaned[[#This Row],[RegionQuarterKey]], Quarterly_Targets_cleaned[RegionQuarterKey], Quarterly_Targets_cleaned[TargetRevenue])</f>
        <v>104500</v>
      </c>
    </row>
    <row r="1642" spans="1:22" x14ac:dyDescent="0.25">
      <c r="A1642" t="s">
        <v>1977</v>
      </c>
      <c r="B1642" s="1">
        <v>45361</v>
      </c>
      <c r="C1642" t="s">
        <v>123</v>
      </c>
      <c r="D1642" t="s">
        <v>294</v>
      </c>
      <c r="E1642">
        <v>821.47</v>
      </c>
      <c r="F1642" t="s">
        <v>324</v>
      </c>
      <c r="G1642" t="s">
        <v>337</v>
      </c>
      <c r="H1642" t="s">
        <v>346</v>
      </c>
      <c r="I1642" t="s">
        <v>8</v>
      </c>
      <c r="J1642" t="s">
        <v>13</v>
      </c>
      <c r="K1642" t="s">
        <v>32</v>
      </c>
      <c r="L1642" t="s">
        <v>295</v>
      </c>
      <c r="M1642" t="s">
        <v>296</v>
      </c>
      <c r="N1642">
        <v>2.9000000000000001E-2</v>
      </c>
      <c r="O1642" t="str">
        <f>IF(Transactions_RAW_cleaned[[#This Row],[Status]]="Completed", IFERROR(_xlfn.XLOOKUP(Transactions_RAW_cleaned[[#This Row],[CustomerID]], Customers_cleaned[CustomerID], Customers_cleaned[Segment]), "Customer Not Found"), "N/A")</f>
        <v>SMB</v>
      </c>
      <c r="P1642" s="5" t="str">
        <f>IF(Transactions_RAW_cleaned[[#This Row],[Status]]="Refunded", "Refund",
  IF(Transactions_RAW_cleaned[[#This Row],[Category]]="Payments", IF(Transactions_RAW_cleaned[[#This Row],[Amount]]&gt;500,"High Value","Standard"),
    IF(Transactions_RAW_cleaned[[#This Row],[Amount]]&gt;250,"High Value","Standard")))</f>
        <v>High Value</v>
      </c>
      <c r="Q1642" s="5" t="str">
        <f>IF(Transactions_RAW_cleaned[[#This Row],[Amount]] &gt; (_xlfn.XLOOKUP(Transactions_RAW_cleaned[[#This Row],[ServiceID]],Services_cleaned[ServiceID],Services_cleaned[TransactionFeePct]) * 10000), "Yes", "No")</f>
        <v>Yes</v>
      </c>
      <c r="R1642" s="5" t="str">
        <f>IF(COUNTIFS($C$2:Transactions_RAW_cleaned[[#This Row],[CustomerID]],Transactions_RAW_cleaned[[#This Row],[CustomerID]],$D$2:Transactions_RAW_cleaned[[#This Row],[ServiceID]],Transactions_RAW_cleaned[[#This Row],[ServiceID]])=1,"Yes","No")</f>
        <v>No</v>
      </c>
      <c r="S164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42" t="str">
        <f>"Q"&amp;ROUNDUP(MONTH(Transactions_RAW_cleaned[[#This Row],[TransactionDate]])/3,0)</f>
        <v>Q1</v>
      </c>
      <c r="U1642" t="str">
        <f>Transactions_RAW_cleaned[[#This Row],[Region ]]&amp;Transactions_RAW_cleaned[[#This Row],[Quarter ]]</f>
        <v>NAQ1</v>
      </c>
      <c r="V1642" s="5">
        <f>_xlfn.XLOOKUP(Transactions_RAW_cleaned[[#This Row],[RegionQuarterKey]], Quarterly_Targets_cleaned[RegionQuarterKey], Quarterly_Targets_cleaned[TargetRevenue])</f>
        <v>247000</v>
      </c>
    </row>
    <row r="1643" spans="1:22" x14ac:dyDescent="0.25">
      <c r="A1643" t="s">
        <v>1978</v>
      </c>
      <c r="B1643" s="1">
        <v>45350</v>
      </c>
      <c r="C1643" t="s">
        <v>273</v>
      </c>
      <c r="D1643" t="s">
        <v>294</v>
      </c>
      <c r="E1643">
        <v>413.01</v>
      </c>
      <c r="F1643" t="s">
        <v>324</v>
      </c>
      <c r="G1643" t="s">
        <v>325</v>
      </c>
      <c r="I1643" t="s">
        <v>17</v>
      </c>
      <c r="J1643" t="s">
        <v>102</v>
      </c>
      <c r="K1643" t="s">
        <v>22</v>
      </c>
      <c r="L1643" t="s">
        <v>295</v>
      </c>
      <c r="M1643" t="s">
        <v>296</v>
      </c>
      <c r="N1643">
        <v>2.9000000000000001E-2</v>
      </c>
      <c r="O1643" t="str">
        <f>IF(Transactions_RAW_cleaned[[#This Row],[Status]]="Completed", IFERROR(_xlfn.XLOOKUP(Transactions_RAW_cleaned[[#This Row],[CustomerID]], Customers_cleaned[CustomerID], Customers_cleaned[Segment]), "Customer Not Found"), "N/A")</f>
        <v>Enterprise</v>
      </c>
      <c r="P1643" s="5" t="str">
        <f>IF(Transactions_RAW_cleaned[[#This Row],[Status]]="Refunded", "Refund",
  IF(Transactions_RAW_cleaned[[#This Row],[Category]]="Payments", IF(Transactions_RAW_cleaned[[#This Row],[Amount]]&gt;500,"High Value","Standard"),
    IF(Transactions_RAW_cleaned[[#This Row],[Amount]]&gt;250,"High Value","Standard")))</f>
        <v>Standard</v>
      </c>
      <c r="Q1643" s="5" t="str">
        <f>IF(Transactions_RAW_cleaned[[#This Row],[Amount]] &gt; (_xlfn.XLOOKUP(Transactions_RAW_cleaned[[#This Row],[ServiceID]],Services_cleaned[ServiceID],Services_cleaned[TransactionFeePct]) * 10000), "Yes", "No")</f>
        <v>Yes</v>
      </c>
      <c r="R1643" s="5" t="str">
        <f>IF(COUNTIFS($C$2:Transactions_RAW_cleaned[[#This Row],[CustomerID]],Transactions_RAW_cleaned[[#This Row],[CustomerID]],$D$2:Transactions_RAW_cleaned[[#This Row],[ServiceID]],Transactions_RAW_cleaned[[#This Row],[ServiceID]])=1,"Yes","No")</f>
        <v>No</v>
      </c>
      <c r="S164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43" t="str">
        <f>"Q"&amp;ROUNDUP(MONTH(Transactions_RAW_cleaned[[#This Row],[TransactionDate]])/3,0)</f>
        <v>Q1</v>
      </c>
      <c r="U1643" t="str">
        <f>Transactions_RAW_cleaned[[#This Row],[Region ]]&amp;Transactions_RAW_cleaned[[#This Row],[Quarter ]]</f>
        <v>NAQ1</v>
      </c>
      <c r="V1643" s="5">
        <f>_xlfn.XLOOKUP(Transactions_RAW_cleaned[[#This Row],[RegionQuarterKey]], Quarterly_Targets_cleaned[RegionQuarterKey], Quarterly_Targets_cleaned[TargetRevenue])</f>
        <v>247000</v>
      </c>
    </row>
    <row r="1644" spans="1:22" x14ac:dyDescent="0.25">
      <c r="A1644" t="s">
        <v>1979</v>
      </c>
      <c r="B1644" s="1">
        <v>45498</v>
      </c>
      <c r="C1644" t="s">
        <v>119</v>
      </c>
      <c r="D1644" t="s">
        <v>300</v>
      </c>
      <c r="E1644">
        <v>477.37</v>
      </c>
      <c r="F1644" t="s">
        <v>324</v>
      </c>
      <c r="G1644" t="s">
        <v>327</v>
      </c>
      <c r="I1644" t="s">
        <v>57</v>
      </c>
      <c r="J1644" t="s">
        <v>102</v>
      </c>
      <c r="K1644" t="s">
        <v>18</v>
      </c>
      <c r="L1644" t="s">
        <v>301</v>
      </c>
      <c r="M1644" t="s">
        <v>302</v>
      </c>
      <c r="N1644">
        <v>5.0000000000000001E-3</v>
      </c>
      <c r="O1644" t="str">
        <f>IF(Transactions_RAW_cleaned[[#This Row],[Status]]="Completed", IFERROR(_xlfn.XLOOKUP(Transactions_RAW_cleaned[[#This Row],[CustomerID]], Customers_cleaned[CustomerID], Customers_cleaned[Segment]), "Customer Not Found"), "N/A")</f>
        <v>Startup</v>
      </c>
      <c r="P1644" s="5" t="str">
        <f>IF(Transactions_RAW_cleaned[[#This Row],[Status]]="Refunded", "Refund",
  IF(Transactions_RAW_cleaned[[#This Row],[Category]]="Payments", IF(Transactions_RAW_cleaned[[#This Row],[Amount]]&gt;500,"High Value","Standard"),
    IF(Transactions_RAW_cleaned[[#This Row],[Amount]]&gt;250,"High Value","Standard")))</f>
        <v>High Value</v>
      </c>
      <c r="Q1644" s="5" t="str">
        <f>IF(Transactions_RAW_cleaned[[#This Row],[Amount]] &gt; (_xlfn.XLOOKUP(Transactions_RAW_cleaned[[#This Row],[ServiceID]],Services_cleaned[ServiceID],Services_cleaned[TransactionFeePct]) * 10000), "Yes", "No")</f>
        <v>Yes</v>
      </c>
      <c r="R1644" s="5" t="str">
        <f>IF(COUNTIFS($C$2:Transactions_RAW_cleaned[[#This Row],[CustomerID]],Transactions_RAW_cleaned[[#This Row],[CustomerID]],$D$2:Transactions_RAW_cleaned[[#This Row],[ServiceID]],Transactions_RAW_cleaned[[#This Row],[ServiceID]])=1,"Yes","No")</f>
        <v>No</v>
      </c>
      <c r="S164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44" t="str">
        <f>"Q"&amp;ROUNDUP(MONTH(Transactions_RAW_cleaned[[#This Row],[TransactionDate]])/3,0)</f>
        <v>Q3</v>
      </c>
      <c r="U1644" t="str">
        <f>Transactions_RAW_cleaned[[#This Row],[Region ]]&amp;Transactions_RAW_cleaned[[#This Row],[Quarter ]]</f>
        <v>NAQ3</v>
      </c>
      <c r="V1644" s="5">
        <f>_xlfn.XLOOKUP(Transactions_RAW_cleaned[[#This Row],[RegionQuarterKey]], Quarterly_Targets_cleaned[RegionQuarterKey], Quarterly_Targets_cleaned[TargetRevenue])</f>
        <v>273000</v>
      </c>
    </row>
    <row r="1645" spans="1:22" x14ac:dyDescent="0.25">
      <c r="A1645" t="s">
        <v>1980</v>
      </c>
      <c r="B1645" s="1">
        <v>45467</v>
      </c>
      <c r="C1645" t="s">
        <v>265</v>
      </c>
      <c r="D1645" t="s">
        <v>294</v>
      </c>
      <c r="E1645">
        <v>1360.68</v>
      </c>
      <c r="F1645" t="s">
        <v>324</v>
      </c>
      <c r="G1645" t="s">
        <v>325</v>
      </c>
      <c r="H1645" t="s">
        <v>332</v>
      </c>
      <c r="I1645" t="s">
        <v>8</v>
      </c>
      <c r="J1645" t="s">
        <v>102</v>
      </c>
      <c r="K1645" t="s">
        <v>32</v>
      </c>
      <c r="L1645" t="s">
        <v>295</v>
      </c>
      <c r="M1645" t="s">
        <v>296</v>
      </c>
      <c r="N1645">
        <v>2.9000000000000001E-2</v>
      </c>
      <c r="O1645" t="str">
        <f>IF(Transactions_RAW_cleaned[[#This Row],[Status]]="Completed", IFERROR(_xlfn.XLOOKUP(Transactions_RAW_cleaned[[#This Row],[CustomerID]], Customers_cleaned[CustomerID], Customers_cleaned[Segment]), "Customer Not Found"), "N/A")</f>
        <v>SMB</v>
      </c>
      <c r="P1645" s="5" t="str">
        <f>IF(Transactions_RAW_cleaned[[#This Row],[Status]]="Refunded", "Refund",
  IF(Transactions_RAW_cleaned[[#This Row],[Category]]="Payments", IF(Transactions_RAW_cleaned[[#This Row],[Amount]]&gt;500,"High Value","Standard"),
    IF(Transactions_RAW_cleaned[[#This Row],[Amount]]&gt;250,"High Value","Standard")))</f>
        <v>High Value</v>
      </c>
      <c r="Q1645" s="5" t="str">
        <f>IF(Transactions_RAW_cleaned[[#This Row],[Amount]] &gt; (_xlfn.XLOOKUP(Transactions_RAW_cleaned[[#This Row],[ServiceID]],Services_cleaned[ServiceID],Services_cleaned[TransactionFeePct]) * 10000), "Yes", "No")</f>
        <v>Yes</v>
      </c>
      <c r="R1645" s="5" t="str">
        <f>IF(COUNTIFS($C$2:Transactions_RAW_cleaned[[#This Row],[CustomerID]],Transactions_RAW_cleaned[[#This Row],[CustomerID]],$D$2:Transactions_RAW_cleaned[[#This Row],[ServiceID]],Transactions_RAW_cleaned[[#This Row],[ServiceID]])=1,"Yes","No")</f>
        <v>No</v>
      </c>
      <c r="S164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45" t="str">
        <f>"Q"&amp;ROUNDUP(MONTH(Transactions_RAW_cleaned[[#This Row],[TransactionDate]])/3,0)</f>
        <v>Q2</v>
      </c>
      <c r="U1645" t="str">
        <f>Transactions_RAW_cleaned[[#This Row],[Region ]]&amp;Transactions_RAW_cleaned[[#This Row],[Quarter ]]</f>
        <v>NAQ2</v>
      </c>
      <c r="V1645" s="5">
        <f>_xlfn.XLOOKUP(Transactions_RAW_cleaned[[#This Row],[RegionQuarterKey]], Quarterly_Targets_cleaned[RegionQuarterKey], Quarterly_Targets_cleaned[TargetRevenue])</f>
        <v>260000</v>
      </c>
    </row>
    <row r="1646" spans="1:22" x14ac:dyDescent="0.25">
      <c r="A1646" t="s">
        <v>1981</v>
      </c>
      <c r="B1646" s="1">
        <v>45632</v>
      </c>
      <c r="C1646" t="s">
        <v>15</v>
      </c>
      <c r="D1646" t="s">
        <v>309</v>
      </c>
      <c r="E1646">
        <v>734.89</v>
      </c>
      <c r="F1646" t="s">
        <v>324</v>
      </c>
      <c r="G1646" t="s">
        <v>329</v>
      </c>
      <c r="I1646" t="s">
        <v>17</v>
      </c>
      <c r="J1646" t="s">
        <v>102</v>
      </c>
      <c r="K1646" t="s">
        <v>18</v>
      </c>
      <c r="L1646" t="s">
        <v>310</v>
      </c>
      <c r="M1646" t="s">
        <v>311</v>
      </c>
      <c r="N1646">
        <v>0</v>
      </c>
      <c r="O1646" t="str">
        <f>IF(Transactions_RAW_cleaned[[#This Row],[Status]]="Completed", IFERROR(_xlfn.XLOOKUP(Transactions_RAW_cleaned[[#This Row],[CustomerID]], Customers_cleaned[CustomerID], Customers_cleaned[Segment]), "Customer Not Found"), "N/A")</f>
        <v>Enterprise</v>
      </c>
      <c r="P1646" s="5" t="str">
        <f>IF(Transactions_RAW_cleaned[[#This Row],[Status]]="Refunded", "Refund",
  IF(Transactions_RAW_cleaned[[#This Row],[Category]]="Payments", IF(Transactions_RAW_cleaned[[#This Row],[Amount]]&gt;500,"High Value","Standard"),
    IF(Transactions_RAW_cleaned[[#This Row],[Amount]]&gt;250,"High Value","Standard")))</f>
        <v>High Value</v>
      </c>
      <c r="Q1646" s="5" t="str">
        <f>IF(Transactions_RAW_cleaned[[#This Row],[Amount]] &gt; (_xlfn.XLOOKUP(Transactions_RAW_cleaned[[#This Row],[ServiceID]],Services_cleaned[ServiceID],Services_cleaned[TransactionFeePct]) * 10000), "Yes", "No")</f>
        <v>Yes</v>
      </c>
      <c r="R1646" s="5" t="str">
        <f>IF(COUNTIFS($C$2:Transactions_RAW_cleaned[[#This Row],[CustomerID]],Transactions_RAW_cleaned[[#This Row],[CustomerID]],$D$2:Transactions_RAW_cleaned[[#This Row],[ServiceID]],Transactions_RAW_cleaned[[#This Row],[ServiceID]])=1,"Yes","No")</f>
        <v>Yes</v>
      </c>
      <c r="S164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46" t="str">
        <f>"Q"&amp;ROUNDUP(MONTH(Transactions_RAW_cleaned[[#This Row],[TransactionDate]])/3,0)</f>
        <v>Q4</v>
      </c>
      <c r="U1646" t="str">
        <f>Transactions_RAW_cleaned[[#This Row],[Region ]]&amp;Transactions_RAW_cleaned[[#This Row],[Quarter ]]</f>
        <v>NAQ4</v>
      </c>
      <c r="V1646" s="5">
        <f>_xlfn.XLOOKUP(Transactions_RAW_cleaned[[#This Row],[RegionQuarterKey]], Quarterly_Targets_cleaned[RegionQuarterKey], Quarterly_Targets_cleaned[TargetRevenue])</f>
        <v>299000</v>
      </c>
    </row>
    <row r="1647" spans="1:22" x14ac:dyDescent="0.25">
      <c r="A1647" t="s">
        <v>1982</v>
      </c>
      <c r="B1647" s="1">
        <v>45611</v>
      </c>
      <c r="C1647" t="s">
        <v>191</v>
      </c>
      <c r="D1647" t="s">
        <v>294</v>
      </c>
      <c r="E1647">
        <v>412.25</v>
      </c>
      <c r="F1647" t="s">
        <v>381</v>
      </c>
      <c r="G1647" t="s">
        <v>337</v>
      </c>
      <c r="H1647" t="s">
        <v>334</v>
      </c>
      <c r="I1647" t="s">
        <v>57</v>
      </c>
      <c r="J1647" t="s">
        <v>31</v>
      </c>
      <c r="K1647" t="s">
        <v>32</v>
      </c>
      <c r="L1647" t="s">
        <v>295</v>
      </c>
      <c r="M1647" t="s">
        <v>296</v>
      </c>
      <c r="N1647">
        <v>2.9000000000000001E-2</v>
      </c>
      <c r="O1647" t="str">
        <f>IF(Transactions_RAW_cleaned[[#This Row],[Status]]="Completed", IFERROR(_xlfn.XLOOKUP(Transactions_RAW_cleaned[[#This Row],[CustomerID]], Customers_cleaned[CustomerID], Customers_cleaned[Segment]), "Customer Not Found"), "N/A")</f>
        <v>N/A</v>
      </c>
      <c r="P1647" s="5" t="str">
        <f>IF(Transactions_RAW_cleaned[[#This Row],[Status]]="Refunded", "Refund",
  IF(Transactions_RAW_cleaned[[#This Row],[Category]]="Payments", IF(Transactions_RAW_cleaned[[#This Row],[Amount]]&gt;500,"High Value","Standard"),
    IF(Transactions_RAW_cleaned[[#This Row],[Amount]]&gt;250,"High Value","Standard")))</f>
        <v>Standard</v>
      </c>
      <c r="Q1647" s="5" t="str">
        <f>IF(Transactions_RAW_cleaned[[#This Row],[Amount]] &gt; (_xlfn.XLOOKUP(Transactions_RAW_cleaned[[#This Row],[ServiceID]],Services_cleaned[ServiceID],Services_cleaned[TransactionFeePct]) * 10000), "Yes", "No")</f>
        <v>Yes</v>
      </c>
      <c r="R1647" s="5" t="str">
        <f>IF(COUNTIFS($C$2:Transactions_RAW_cleaned[[#This Row],[CustomerID]],Transactions_RAW_cleaned[[#This Row],[CustomerID]],$D$2:Transactions_RAW_cleaned[[#This Row],[ServiceID]],Transactions_RAW_cleaned[[#This Row],[ServiceID]])=1,"Yes","No")</f>
        <v>No</v>
      </c>
      <c r="S164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647" t="str">
        <f>"Q"&amp;ROUNDUP(MONTH(Transactions_RAW_cleaned[[#This Row],[TransactionDate]])/3,0)</f>
        <v>Q4</v>
      </c>
      <c r="U1647" t="str">
        <f>Transactions_RAW_cleaned[[#This Row],[Region ]]&amp;Transactions_RAW_cleaned[[#This Row],[Quarter ]]</f>
        <v>EMEAQ4</v>
      </c>
      <c r="V1647" s="5">
        <f>_xlfn.XLOOKUP(Transactions_RAW_cleaned[[#This Row],[RegionQuarterKey]], Quarterly_Targets_cleaned[RegionQuarterKey], Quarterly_Targets_cleaned[TargetRevenue])</f>
        <v>161000</v>
      </c>
    </row>
    <row r="1648" spans="1:22" x14ac:dyDescent="0.25">
      <c r="A1648" t="s">
        <v>1983</v>
      </c>
      <c r="B1648" s="1">
        <v>45387</v>
      </c>
      <c r="C1648" t="s">
        <v>269</v>
      </c>
      <c r="D1648" t="s">
        <v>294</v>
      </c>
      <c r="E1648">
        <v>481.91</v>
      </c>
      <c r="F1648" t="s">
        <v>324</v>
      </c>
      <c r="G1648" t="s">
        <v>325</v>
      </c>
      <c r="I1648" t="s">
        <v>17</v>
      </c>
      <c r="J1648" t="s">
        <v>31</v>
      </c>
      <c r="K1648" t="s">
        <v>32</v>
      </c>
      <c r="L1648" t="s">
        <v>295</v>
      </c>
      <c r="M1648" t="s">
        <v>296</v>
      </c>
      <c r="N1648">
        <v>2.9000000000000001E-2</v>
      </c>
      <c r="O1648" t="str">
        <f>IF(Transactions_RAW_cleaned[[#This Row],[Status]]="Completed", IFERROR(_xlfn.XLOOKUP(Transactions_RAW_cleaned[[#This Row],[CustomerID]], Customers_cleaned[CustomerID], Customers_cleaned[Segment]), "Customer Not Found"), "N/A")</f>
        <v>Enterprise</v>
      </c>
      <c r="P1648" s="5" t="str">
        <f>IF(Transactions_RAW_cleaned[[#This Row],[Status]]="Refunded", "Refund",
  IF(Transactions_RAW_cleaned[[#This Row],[Category]]="Payments", IF(Transactions_RAW_cleaned[[#This Row],[Amount]]&gt;500,"High Value","Standard"),
    IF(Transactions_RAW_cleaned[[#This Row],[Amount]]&gt;250,"High Value","Standard")))</f>
        <v>Standard</v>
      </c>
      <c r="Q1648" s="5" t="str">
        <f>IF(Transactions_RAW_cleaned[[#This Row],[Amount]] &gt; (_xlfn.XLOOKUP(Transactions_RAW_cleaned[[#This Row],[ServiceID]],Services_cleaned[ServiceID],Services_cleaned[TransactionFeePct]) * 10000), "Yes", "No")</f>
        <v>Yes</v>
      </c>
      <c r="R1648" s="5" t="str">
        <f>IF(COUNTIFS($C$2:Transactions_RAW_cleaned[[#This Row],[CustomerID]],Transactions_RAW_cleaned[[#This Row],[CustomerID]],$D$2:Transactions_RAW_cleaned[[#This Row],[ServiceID]],Transactions_RAW_cleaned[[#This Row],[ServiceID]])=1,"Yes","No")</f>
        <v>No</v>
      </c>
      <c r="S164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648" t="str">
        <f>"Q"&amp;ROUNDUP(MONTH(Transactions_RAW_cleaned[[#This Row],[TransactionDate]])/3,0)</f>
        <v>Q2</v>
      </c>
      <c r="U1648" t="str">
        <f>Transactions_RAW_cleaned[[#This Row],[Region ]]&amp;Transactions_RAW_cleaned[[#This Row],[Quarter ]]</f>
        <v>EMEAQ2</v>
      </c>
      <c r="V1648" s="5">
        <f>_xlfn.XLOOKUP(Transactions_RAW_cleaned[[#This Row],[RegionQuarterKey]], Quarterly_Targets_cleaned[RegionQuarterKey], Quarterly_Targets_cleaned[TargetRevenue])</f>
        <v>140000</v>
      </c>
    </row>
    <row r="1649" spans="1:22" x14ac:dyDescent="0.25">
      <c r="A1649" t="s">
        <v>1984</v>
      </c>
      <c r="B1649" s="1">
        <v>45368</v>
      </c>
      <c r="C1649" t="s">
        <v>199</v>
      </c>
      <c r="D1649" t="s">
        <v>294</v>
      </c>
      <c r="E1649">
        <v>443.72</v>
      </c>
      <c r="F1649" t="s">
        <v>324</v>
      </c>
      <c r="G1649" t="s">
        <v>2963</v>
      </c>
      <c r="H1649" t="s">
        <v>334</v>
      </c>
      <c r="I1649" t="s">
        <v>8</v>
      </c>
      <c r="J1649" t="s">
        <v>13</v>
      </c>
      <c r="K1649" t="s">
        <v>32</v>
      </c>
      <c r="L1649" t="s">
        <v>295</v>
      </c>
      <c r="M1649" t="s">
        <v>296</v>
      </c>
      <c r="N1649">
        <v>2.9000000000000001E-2</v>
      </c>
      <c r="O1649" t="str">
        <f>IF(Transactions_RAW_cleaned[[#This Row],[Status]]="Completed", IFERROR(_xlfn.XLOOKUP(Transactions_RAW_cleaned[[#This Row],[CustomerID]], Customers_cleaned[CustomerID], Customers_cleaned[Segment]), "Customer Not Found"), "N/A")</f>
        <v>SMB</v>
      </c>
      <c r="P1649" s="5" t="str">
        <f>IF(Transactions_RAW_cleaned[[#This Row],[Status]]="Refunded", "Refund",
  IF(Transactions_RAW_cleaned[[#This Row],[Category]]="Payments", IF(Transactions_RAW_cleaned[[#This Row],[Amount]]&gt;500,"High Value","Standard"),
    IF(Transactions_RAW_cleaned[[#This Row],[Amount]]&gt;250,"High Value","Standard")))</f>
        <v>Standard</v>
      </c>
      <c r="Q1649" s="5" t="str">
        <f>IF(Transactions_RAW_cleaned[[#This Row],[Amount]] &gt; (_xlfn.XLOOKUP(Transactions_RAW_cleaned[[#This Row],[ServiceID]],Services_cleaned[ServiceID],Services_cleaned[TransactionFeePct]) * 10000), "Yes", "No")</f>
        <v>Yes</v>
      </c>
      <c r="R1649" s="5" t="str">
        <f>IF(COUNTIFS($C$2:Transactions_RAW_cleaned[[#This Row],[CustomerID]],Transactions_RAW_cleaned[[#This Row],[CustomerID]],$D$2:Transactions_RAW_cleaned[[#This Row],[ServiceID]],Transactions_RAW_cleaned[[#This Row],[ServiceID]])=1,"Yes","No")</f>
        <v>No</v>
      </c>
      <c r="S164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49" t="str">
        <f>"Q"&amp;ROUNDUP(MONTH(Transactions_RAW_cleaned[[#This Row],[TransactionDate]])/3,0)</f>
        <v>Q1</v>
      </c>
      <c r="U1649" t="str">
        <f>Transactions_RAW_cleaned[[#This Row],[Region ]]&amp;Transactions_RAW_cleaned[[#This Row],[Quarter ]]</f>
        <v>NAQ1</v>
      </c>
      <c r="V1649" s="5">
        <f>_xlfn.XLOOKUP(Transactions_RAW_cleaned[[#This Row],[RegionQuarterKey]], Quarterly_Targets_cleaned[RegionQuarterKey], Quarterly_Targets_cleaned[TargetRevenue])</f>
        <v>247000</v>
      </c>
    </row>
    <row r="1650" spans="1:22" x14ac:dyDescent="0.25">
      <c r="A1650" t="s">
        <v>1985</v>
      </c>
      <c r="B1650" s="1">
        <v>45541</v>
      </c>
      <c r="C1650" t="s">
        <v>163</v>
      </c>
      <c r="D1650" t="s">
        <v>294</v>
      </c>
      <c r="E1650">
        <v>916.86</v>
      </c>
      <c r="F1650" t="s">
        <v>324</v>
      </c>
      <c r="G1650" t="s">
        <v>327</v>
      </c>
      <c r="I1650" t="s">
        <v>17</v>
      </c>
      <c r="J1650" t="s">
        <v>102</v>
      </c>
      <c r="K1650" t="s">
        <v>18</v>
      </c>
      <c r="L1650" t="s">
        <v>295</v>
      </c>
      <c r="M1650" t="s">
        <v>296</v>
      </c>
      <c r="N1650">
        <v>2.9000000000000001E-2</v>
      </c>
      <c r="O1650" t="str">
        <f>IF(Transactions_RAW_cleaned[[#This Row],[Status]]="Completed", IFERROR(_xlfn.XLOOKUP(Transactions_RAW_cleaned[[#This Row],[CustomerID]], Customers_cleaned[CustomerID], Customers_cleaned[Segment]), "Customer Not Found"), "N/A")</f>
        <v>Enterprise</v>
      </c>
      <c r="P1650" s="5" t="str">
        <f>IF(Transactions_RAW_cleaned[[#This Row],[Status]]="Refunded", "Refund",
  IF(Transactions_RAW_cleaned[[#This Row],[Category]]="Payments", IF(Transactions_RAW_cleaned[[#This Row],[Amount]]&gt;500,"High Value","Standard"),
    IF(Transactions_RAW_cleaned[[#This Row],[Amount]]&gt;250,"High Value","Standard")))</f>
        <v>High Value</v>
      </c>
      <c r="Q1650" s="5" t="str">
        <f>IF(Transactions_RAW_cleaned[[#This Row],[Amount]] &gt; (_xlfn.XLOOKUP(Transactions_RAW_cleaned[[#This Row],[ServiceID]],Services_cleaned[ServiceID],Services_cleaned[TransactionFeePct]) * 10000), "Yes", "No")</f>
        <v>Yes</v>
      </c>
      <c r="R1650" s="5" t="str">
        <f>IF(COUNTIFS($C$2:Transactions_RAW_cleaned[[#This Row],[CustomerID]],Transactions_RAW_cleaned[[#This Row],[CustomerID]],$D$2:Transactions_RAW_cleaned[[#This Row],[ServiceID]],Transactions_RAW_cleaned[[#This Row],[ServiceID]])=1,"Yes","No")</f>
        <v>No</v>
      </c>
      <c r="S165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50" t="str">
        <f>"Q"&amp;ROUNDUP(MONTH(Transactions_RAW_cleaned[[#This Row],[TransactionDate]])/3,0)</f>
        <v>Q3</v>
      </c>
      <c r="U1650" t="str">
        <f>Transactions_RAW_cleaned[[#This Row],[Region ]]&amp;Transactions_RAW_cleaned[[#This Row],[Quarter ]]</f>
        <v>NAQ3</v>
      </c>
      <c r="V1650" s="5">
        <f>_xlfn.XLOOKUP(Transactions_RAW_cleaned[[#This Row],[RegionQuarterKey]], Quarterly_Targets_cleaned[RegionQuarterKey], Quarterly_Targets_cleaned[TargetRevenue])</f>
        <v>273000</v>
      </c>
    </row>
    <row r="1651" spans="1:22" x14ac:dyDescent="0.25">
      <c r="A1651" t="s">
        <v>1986</v>
      </c>
      <c r="B1651" s="1">
        <v>45384</v>
      </c>
      <c r="C1651" t="s">
        <v>179</v>
      </c>
      <c r="D1651" t="s">
        <v>294</v>
      </c>
      <c r="E1651">
        <v>106.76</v>
      </c>
      <c r="F1651" t="s">
        <v>324</v>
      </c>
      <c r="G1651" t="s">
        <v>2963</v>
      </c>
      <c r="I1651" t="s">
        <v>8</v>
      </c>
      <c r="J1651" t="s">
        <v>31</v>
      </c>
      <c r="K1651" t="s">
        <v>18</v>
      </c>
      <c r="L1651" t="s">
        <v>295</v>
      </c>
      <c r="M1651" t="s">
        <v>296</v>
      </c>
      <c r="N1651">
        <v>2.9000000000000001E-2</v>
      </c>
      <c r="O1651" t="str">
        <f>IF(Transactions_RAW_cleaned[[#This Row],[Status]]="Completed", IFERROR(_xlfn.XLOOKUP(Transactions_RAW_cleaned[[#This Row],[CustomerID]], Customers_cleaned[CustomerID], Customers_cleaned[Segment]), "Customer Not Found"), "N/A")</f>
        <v>SMB</v>
      </c>
      <c r="P1651" s="5" t="str">
        <f>IF(Transactions_RAW_cleaned[[#This Row],[Status]]="Refunded", "Refund",
  IF(Transactions_RAW_cleaned[[#This Row],[Category]]="Payments", IF(Transactions_RAW_cleaned[[#This Row],[Amount]]&gt;500,"High Value","Standard"),
    IF(Transactions_RAW_cleaned[[#This Row],[Amount]]&gt;250,"High Value","Standard")))</f>
        <v>Standard</v>
      </c>
      <c r="Q1651" s="5" t="str">
        <f>IF(Transactions_RAW_cleaned[[#This Row],[Amount]] &gt; (_xlfn.XLOOKUP(Transactions_RAW_cleaned[[#This Row],[ServiceID]],Services_cleaned[ServiceID],Services_cleaned[TransactionFeePct]) * 10000), "Yes", "No")</f>
        <v>No</v>
      </c>
      <c r="R1651" s="5" t="str">
        <f>IF(COUNTIFS($C$2:Transactions_RAW_cleaned[[#This Row],[CustomerID]],Transactions_RAW_cleaned[[#This Row],[CustomerID]],$D$2:Transactions_RAW_cleaned[[#This Row],[ServiceID]],Transactions_RAW_cleaned[[#This Row],[ServiceID]])=1,"Yes","No")</f>
        <v>No</v>
      </c>
      <c r="S165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651" t="str">
        <f>"Q"&amp;ROUNDUP(MONTH(Transactions_RAW_cleaned[[#This Row],[TransactionDate]])/3,0)</f>
        <v>Q2</v>
      </c>
      <c r="U1651" t="str">
        <f>Transactions_RAW_cleaned[[#This Row],[Region ]]&amp;Transactions_RAW_cleaned[[#This Row],[Quarter ]]</f>
        <v>EMEAQ2</v>
      </c>
      <c r="V1651" s="5">
        <f>_xlfn.XLOOKUP(Transactions_RAW_cleaned[[#This Row],[RegionQuarterKey]], Quarterly_Targets_cleaned[RegionQuarterKey], Quarterly_Targets_cleaned[TargetRevenue])</f>
        <v>140000</v>
      </c>
    </row>
    <row r="1652" spans="1:22" x14ac:dyDescent="0.25">
      <c r="A1652" t="s">
        <v>1987</v>
      </c>
      <c r="B1652" s="1">
        <v>45436</v>
      </c>
      <c r="C1652" t="s">
        <v>76</v>
      </c>
      <c r="D1652" t="s">
        <v>294</v>
      </c>
      <c r="E1652">
        <v>362.98</v>
      </c>
      <c r="F1652" t="s">
        <v>324</v>
      </c>
      <c r="G1652" t="s">
        <v>325</v>
      </c>
      <c r="I1652" t="s">
        <v>17</v>
      </c>
      <c r="J1652" t="s">
        <v>13</v>
      </c>
      <c r="K1652" t="s">
        <v>18</v>
      </c>
      <c r="L1652" t="s">
        <v>295</v>
      </c>
      <c r="M1652" t="s">
        <v>296</v>
      </c>
      <c r="N1652">
        <v>2.9000000000000001E-2</v>
      </c>
      <c r="O1652" t="str">
        <f>IF(Transactions_RAW_cleaned[[#This Row],[Status]]="Completed", IFERROR(_xlfn.XLOOKUP(Transactions_RAW_cleaned[[#This Row],[CustomerID]], Customers_cleaned[CustomerID], Customers_cleaned[Segment]), "Customer Not Found"), "N/A")</f>
        <v>Enterprise</v>
      </c>
      <c r="P1652" s="5" t="str">
        <f>IF(Transactions_RAW_cleaned[[#This Row],[Status]]="Refunded", "Refund",
  IF(Transactions_RAW_cleaned[[#This Row],[Category]]="Payments", IF(Transactions_RAW_cleaned[[#This Row],[Amount]]&gt;500,"High Value","Standard"),
    IF(Transactions_RAW_cleaned[[#This Row],[Amount]]&gt;250,"High Value","Standard")))</f>
        <v>Standard</v>
      </c>
      <c r="Q1652" s="5" t="str">
        <f>IF(Transactions_RAW_cleaned[[#This Row],[Amount]] &gt; (_xlfn.XLOOKUP(Transactions_RAW_cleaned[[#This Row],[ServiceID]],Services_cleaned[ServiceID],Services_cleaned[TransactionFeePct]) * 10000), "Yes", "No")</f>
        <v>Yes</v>
      </c>
      <c r="R1652" s="5" t="str">
        <f>IF(COUNTIFS($C$2:Transactions_RAW_cleaned[[#This Row],[CustomerID]],Transactions_RAW_cleaned[[#This Row],[CustomerID]],$D$2:Transactions_RAW_cleaned[[#This Row],[ServiceID]],Transactions_RAW_cleaned[[#This Row],[ServiceID]])=1,"Yes","No")</f>
        <v>No</v>
      </c>
      <c r="S165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52" t="str">
        <f>"Q"&amp;ROUNDUP(MONTH(Transactions_RAW_cleaned[[#This Row],[TransactionDate]])/3,0)</f>
        <v>Q2</v>
      </c>
      <c r="U1652" t="str">
        <f>Transactions_RAW_cleaned[[#This Row],[Region ]]&amp;Transactions_RAW_cleaned[[#This Row],[Quarter ]]</f>
        <v>NAQ2</v>
      </c>
      <c r="V1652" s="5">
        <f>_xlfn.XLOOKUP(Transactions_RAW_cleaned[[#This Row],[RegionQuarterKey]], Quarterly_Targets_cleaned[RegionQuarterKey], Quarterly_Targets_cleaned[TargetRevenue])</f>
        <v>260000</v>
      </c>
    </row>
    <row r="1653" spans="1:22" x14ac:dyDescent="0.25">
      <c r="A1653" t="s">
        <v>1988</v>
      </c>
      <c r="B1653" s="1">
        <v>45497</v>
      </c>
      <c r="C1653" t="s">
        <v>133</v>
      </c>
      <c r="D1653" t="s">
        <v>294</v>
      </c>
      <c r="E1653">
        <v>366.86</v>
      </c>
      <c r="F1653" t="s">
        <v>324</v>
      </c>
      <c r="G1653" t="s">
        <v>327</v>
      </c>
      <c r="H1653" t="s">
        <v>332</v>
      </c>
      <c r="I1653" t="s">
        <v>17</v>
      </c>
      <c r="J1653" t="s">
        <v>102</v>
      </c>
      <c r="K1653" t="s">
        <v>22</v>
      </c>
      <c r="L1653" t="s">
        <v>295</v>
      </c>
      <c r="M1653" t="s">
        <v>296</v>
      </c>
      <c r="N1653">
        <v>2.9000000000000001E-2</v>
      </c>
      <c r="O1653" t="str">
        <f>IF(Transactions_RAW_cleaned[[#This Row],[Status]]="Completed", IFERROR(_xlfn.XLOOKUP(Transactions_RAW_cleaned[[#This Row],[CustomerID]], Customers_cleaned[CustomerID], Customers_cleaned[Segment]), "Customer Not Found"), "N/A")</f>
        <v>Enterprise</v>
      </c>
      <c r="P1653" s="5" t="str">
        <f>IF(Transactions_RAW_cleaned[[#This Row],[Status]]="Refunded", "Refund",
  IF(Transactions_RAW_cleaned[[#This Row],[Category]]="Payments", IF(Transactions_RAW_cleaned[[#This Row],[Amount]]&gt;500,"High Value","Standard"),
    IF(Transactions_RAW_cleaned[[#This Row],[Amount]]&gt;250,"High Value","Standard")))</f>
        <v>Standard</v>
      </c>
      <c r="Q1653" s="5" t="str">
        <f>IF(Transactions_RAW_cleaned[[#This Row],[Amount]] &gt; (_xlfn.XLOOKUP(Transactions_RAW_cleaned[[#This Row],[ServiceID]],Services_cleaned[ServiceID],Services_cleaned[TransactionFeePct]) * 10000), "Yes", "No")</f>
        <v>Yes</v>
      </c>
      <c r="R1653" s="5" t="str">
        <f>IF(COUNTIFS($C$2:Transactions_RAW_cleaned[[#This Row],[CustomerID]],Transactions_RAW_cleaned[[#This Row],[CustomerID]],$D$2:Transactions_RAW_cleaned[[#This Row],[ServiceID]],Transactions_RAW_cleaned[[#This Row],[ServiceID]])=1,"Yes","No")</f>
        <v>No</v>
      </c>
      <c r="S165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53" t="str">
        <f>"Q"&amp;ROUNDUP(MONTH(Transactions_RAW_cleaned[[#This Row],[TransactionDate]])/3,0)</f>
        <v>Q3</v>
      </c>
      <c r="U1653" t="str">
        <f>Transactions_RAW_cleaned[[#This Row],[Region ]]&amp;Transactions_RAW_cleaned[[#This Row],[Quarter ]]</f>
        <v>NAQ3</v>
      </c>
      <c r="V1653" s="5">
        <f>_xlfn.XLOOKUP(Transactions_RAW_cleaned[[#This Row],[RegionQuarterKey]], Quarterly_Targets_cleaned[RegionQuarterKey], Quarterly_Targets_cleaned[TargetRevenue])</f>
        <v>273000</v>
      </c>
    </row>
    <row r="1654" spans="1:22" x14ac:dyDescent="0.25">
      <c r="A1654" t="s">
        <v>1989</v>
      </c>
      <c r="B1654" s="1">
        <v>45392</v>
      </c>
      <c r="C1654" t="s">
        <v>239</v>
      </c>
      <c r="D1654" t="s">
        <v>312</v>
      </c>
      <c r="E1654">
        <v>543.86</v>
      </c>
      <c r="F1654" t="s">
        <v>324</v>
      </c>
      <c r="G1654" t="s">
        <v>325</v>
      </c>
      <c r="I1654" t="s">
        <v>57</v>
      </c>
      <c r="J1654" t="s">
        <v>102</v>
      </c>
      <c r="K1654" t="s">
        <v>10</v>
      </c>
      <c r="L1654" t="s">
        <v>313</v>
      </c>
      <c r="M1654" t="s">
        <v>314</v>
      </c>
      <c r="N1654">
        <v>0</v>
      </c>
      <c r="O1654" t="str">
        <f>IF(Transactions_RAW_cleaned[[#This Row],[Status]]="Completed", IFERROR(_xlfn.XLOOKUP(Transactions_RAW_cleaned[[#This Row],[CustomerID]], Customers_cleaned[CustomerID], Customers_cleaned[Segment]), "Customer Not Found"), "N/A")</f>
        <v>Startup</v>
      </c>
      <c r="P1654" s="5" t="str">
        <f>IF(Transactions_RAW_cleaned[[#This Row],[Status]]="Refunded", "Refund",
  IF(Transactions_RAW_cleaned[[#This Row],[Category]]="Payments", IF(Transactions_RAW_cleaned[[#This Row],[Amount]]&gt;500,"High Value","Standard"),
    IF(Transactions_RAW_cleaned[[#This Row],[Amount]]&gt;250,"High Value","Standard")))</f>
        <v>High Value</v>
      </c>
      <c r="Q1654" s="5" t="str">
        <f>IF(Transactions_RAW_cleaned[[#This Row],[Amount]] &gt; (_xlfn.XLOOKUP(Transactions_RAW_cleaned[[#This Row],[ServiceID]],Services_cleaned[ServiceID],Services_cleaned[TransactionFeePct]) * 10000), "Yes", "No")</f>
        <v>Yes</v>
      </c>
      <c r="R1654" s="5" t="str">
        <f>IF(COUNTIFS($C$2:Transactions_RAW_cleaned[[#This Row],[CustomerID]],Transactions_RAW_cleaned[[#This Row],[CustomerID]],$D$2:Transactions_RAW_cleaned[[#This Row],[ServiceID]],Transactions_RAW_cleaned[[#This Row],[ServiceID]])=1,"Yes","No")</f>
        <v>Yes</v>
      </c>
      <c r="S165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54" t="str">
        <f>"Q"&amp;ROUNDUP(MONTH(Transactions_RAW_cleaned[[#This Row],[TransactionDate]])/3,0)</f>
        <v>Q2</v>
      </c>
      <c r="U1654" t="str">
        <f>Transactions_RAW_cleaned[[#This Row],[Region ]]&amp;Transactions_RAW_cleaned[[#This Row],[Quarter ]]</f>
        <v>NAQ2</v>
      </c>
      <c r="V1654" s="5">
        <f>_xlfn.XLOOKUP(Transactions_RAW_cleaned[[#This Row],[RegionQuarterKey]], Quarterly_Targets_cleaned[RegionQuarterKey], Quarterly_Targets_cleaned[TargetRevenue])</f>
        <v>260000</v>
      </c>
    </row>
    <row r="1655" spans="1:22" x14ac:dyDescent="0.25">
      <c r="A1655" t="s">
        <v>1990</v>
      </c>
      <c r="B1655" s="1">
        <v>45616</v>
      </c>
      <c r="C1655" t="s">
        <v>84</v>
      </c>
      <c r="D1655" t="s">
        <v>306</v>
      </c>
      <c r="E1655">
        <v>197.05</v>
      </c>
      <c r="F1655" t="s">
        <v>324</v>
      </c>
      <c r="G1655" t="s">
        <v>327</v>
      </c>
      <c r="H1655" t="s">
        <v>346</v>
      </c>
      <c r="I1655" t="s">
        <v>8</v>
      </c>
      <c r="J1655" t="s">
        <v>46</v>
      </c>
      <c r="K1655" t="s">
        <v>28</v>
      </c>
      <c r="L1655" t="s">
        <v>307</v>
      </c>
      <c r="M1655" t="s">
        <v>308</v>
      </c>
      <c r="N1655">
        <v>0</v>
      </c>
      <c r="O1655" t="str">
        <f>IF(Transactions_RAW_cleaned[[#This Row],[Status]]="Completed", IFERROR(_xlfn.XLOOKUP(Transactions_RAW_cleaned[[#This Row],[CustomerID]], Customers_cleaned[CustomerID], Customers_cleaned[Segment]), "Customer Not Found"), "N/A")</f>
        <v>SMB</v>
      </c>
      <c r="P1655" s="5" t="str">
        <f>IF(Transactions_RAW_cleaned[[#This Row],[Status]]="Refunded", "Refund",
  IF(Transactions_RAW_cleaned[[#This Row],[Category]]="Payments", IF(Transactions_RAW_cleaned[[#This Row],[Amount]]&gt;500,"High Value","Standard"),
    IF(Transactions_RAW_cleaned[[#This Row],[Amount]]&gt;250,"High Value","Standard")))</f>
        <v>Standard</v>
      </c>
      <c r="Q1655" s="5" t="str">
        <f>IF(Transactions_RAW_cleaned[[#This Row],[Amount]] &gt; (_xlfn.XLOOKUP(Transactions_RAW_cleaned[[#This Row],[ServiceID]],Services_cleaned[ServiceID],Services_cleaned[TransactionFeePct]) * 10000), "Yes", "No")</f>
        <v>Yes</v>
      </c>
      <c r="R1655" s="5" t="str">
        <f>IF(COUNTIFS($C$2:Transactions_RAW_cleaned[[#This Row],[CustomerID]],Transactions_RAW_cleaned[[#This Row],[CustomerID]],$D$2:Transactions_RAW_cleaned[[#This Row],[ServiceID]],Transactions_RAW_cleaned[[#This Row],[ServiceID]])=1,"Yes","No")</f>
        <v>Yes</v>
      </c>
      <c r="S165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55" t="str">
        <f>"Q"&amp;ROUNDUP(MONTH(Transactions_RAW_cleaned[[#This Row],[TransactionDate]])/3,0)</f>
        <v>Q4</v>
      </c>
      <c r="U1655" t="str">
        <f>Transactions_RAW_cleaned[[#This Row],[Region ]]&amp;Transactions_RAW_cleaned[[#This Row],[Quarter ]]</f>
        <v>APACQ4</v>
      </c>
      <c r="V1655" s="5">
        <f>_xlfn.XLOOKUP(Transactions_RAW_cleaned[[#This Row],[RegionQuarterKey]], Quarterly_Targets_cleaned[RegionQuarterKey], Quarterly_Targets_cleaned[TargetRevenue])</f>
        <v>126500</v>
      </c>
    </row>
    <row r="1656" spans="1:22" x14ac:dyDescent="0.25">
      <c r="A1656" t="s">
        <v>1991</v>
      </c>
      <c r="B1656" s="1">
        <v>45567</v>
      </c>
      <c r="C1656" t="s">
        <v>62</v>
      </c>
      <c r="D1656" t="s">
        <v>297</v>
      </c>
      <c r="E1656">
        <v>365.71</v>
      </c>
      <c r="F1656" t="s">
        <v>324</v>
      </c>
      <c r="G1656" t="s">
        <v>327</v>
      </c>
      <c r="I1656" t="s">
        <v>8</v>
      </c>
      <c r="J1656" t="s">
        <v>46</v>
      </c>
      <c r="K1656" t="s">
        <v>18</v>
      </c>
      <c r="L1656" t="s">
        <v>298</v>
      </c>
      <c r="M1656" t="s">
        <v>299</v>
      </c>
      <c r="N1656">
        <v>0</v>
      </c>
      <c r="O1656" t="str">
        <f>IF(Transactions_RAW_cleaned[[#This Row],[Status]]="Completed", IFERROR(_xlfn.XLOOKUP(Transactions_RAW_cleaned[[#This Row],[CustomerID]], Customers_cleaned[CustomerID], Customers_cleaned[Segment]), "Customer Not Found"), "N/A")</f>
        <v>SMB</v>
      </c>
      <c r="P1656" s="5" t="str">
        <f>IF(Transactions_RAW_cleaned[[#This Row],[Status]]="Refunded", "Refund",
  IF(Transactions_RAW_cleaned[[#This Row],[Category]]="Payments", IF(Transactions_RAW_cleaned[[#This Row],[Amount]]&gt;500,"High Value","Standard"),
    IF(Transactions_RAW_cleaned[[#This Row],[Amount]]&gt;250,"High Value","Standard")))</f>
        <v>High Value</v>
      </c>
      <c r="Q1656" s="5" t="str">
        <f>IF(Transactions_RAW_cleaned[[#This Row],[Amount]] &gt; (_xlfn.XLOOKUP(Transactions_RAW_cleaned[[#This Row],[ServiceID]],Services_cleaned[ServiceID],Services_cleaned[TransactionFeePct]) * 10000), "Yes", "No")</f>
        <v>Yes</v>
      </c>
      <c r="R1656" s="5" t="str">
        <f>IF(COUNTIFS($C$2:Transactions_RAW_cleaned[[#This Row],[CustomerID]],Transactions_RAW_cleaned[[#This Row],[CustomerID]],$D$2:Transactions_RAW_cleaned[[#This Row],[ServiceID]],Transactions_RAW_cleaned[[#This Row],[ServiceID]])=1,"Yes","No")</f>
        <v>Yes</v>
      </c>
      <c r="S165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56" t="str">
        <f>"Q"&amp;ROUNDUP(MONTH(Transactions_RAW_cleaned[[#This Row],[TransactionDate]])/3,0)</f>
        <v>Q4</v>
      </c>
      <c r="U1656" t="str">
        <f>Transactions_RAW_cleaned[[#This Row],[Region ]]&amp;Transactions_RAW_cleaned[[#This Row],[Quarter ]]</f>
        <v>APACQ4</v>
      </c>
      <c r="V1656" s="5">
        <f>_xlfn.XLOOKUP(Transactions_RAW_cleaned[[#This Row],[RegionQuarterKey]], Quarterly_Targets_cleaned[RegionQuarterKey], Quarterly_Targets_cleaned[TargetRevenue])</f>
        <v>126500</v>
      </c>
    </row>
    <row r="1657" spans="1:22" x14ac:dyDescent="0.25">
      <c r="A1657" t="s">
        <v>1992</v>
      </c>
      <c r="B1657" s="1">
        <v>45457</v>
      </c>
      <c r="C1657" t="s">
        <v>181</v>
      </c>
      <c r="D1657" t="s">
        <v>294</v>
      </c>
      <c r="E1657">
        <v>238.23</v>
      </c>
      <c r="F1657" t="s">
        <v>324</v>
      </c>
      <c r="G1657" t="s">
        <v>337</v>
      </c>
      <c r="I1657" t="s">
        <v>17</v>
      </c>
      <c r="J1657" t="s">
        <v>21</v>
      </c>
      <c r="K1657" t="s">
        <v>10</v>
      </c>
      <c r="L1657" t="s">
        <v>295</v>
      </c>
      <c r="M1657" t="s">
        <v>296</v>
      </c>
      <c r="N1657">
        <v>2.9000000000000001E-2</v>
      </c>
      <c r="O1657" t="str">
        <f>IF(Transactions_RAW_cleaned[[#This Row],[Status]]="Completed", IFERROR(_xlfn.XLOOKUP(Transactions_RAW_cleaned[[#This Row],[CustomerID]], Customers_cleaned[CustomerID], Customers_cleaned[Segment]), "Customer Not Found"), "N/A")</f>
        <v>Enterprise</v>
      </c>
      <c r="P1657" s="5" t="str">
        <f>IF(Transactions_RAW_cleaned[[#This Row],[Status]]="Refunded", "Refund",
  IF(Transactions_RAW_cleaned[[#This Row],[Category]]="Payments", IF(Transactions_RAW_cleaned[[#This Row],[Amount]]&gt;500,"High Value","Standard"),
    IF(Transactions_RAW_cleaned[[#This Row],[Amount]]&gt;250,"High Value","Standard")))</f>
        <v>Standard</v>
      </c>
      <c r="Q1657" s="5" t="str">
        <f>IF(Transactions_RAW_cleaned[[#This Row],[Amount]] &gt; (_xlfn.XLOOKUP(Transactions_RAW_cleaned[[#This Row],[ServiceID]],Services_cleaned[ServiceID],Services_cleaned[TransactionFeePct]) * 10000), "Yes", "No")</f>
        <v>No</v>
      </c>
      <c r="R1657" s="5" t="str">
        <f>IF(COUNTIFS($C$2:Transactions_RAW_cleaned[[#This Row],[CustomerID]],Transactions_RAW_cleaned[[#This Row],[CustomerID]],$D$2:Transactions_RAW_cleaned[[#This Row],[ServiceID]],Transactions_RAW_cleaned[[#This Row],[ServiceID]])=1,"Yes","No")</f>
        <v>No</v>
      </c>
      <c r="S165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57" t="str">
        <f>"Q"&amp;ROUNDUP(MONTH(Transactions_RAW_cleaned[[#This Row],[TransactionDate]])/3,0)</f>
        <v>Q2</v>
      </c>
      <c r="U1657" t="str">
        <f>Transactions_RAW_cleaned[[#This Row],[Region ]]&amp;Transactions_RAW_cleaned[[#This Row],[Quarter ]]</f>
        <v>APACQ2</v>
      </c>
      <c r="V1657" s="5">
        <f>_xlfn.XLOOKUP(Transactions_RAW_cleaned[[#This Row],[RegionQuarterKey]], Quarterly_Targets_cleaned[RegionQuarterKey], Quarterly_Targets_cleaned[TargetRevenue])</f>
        <v>110000</v>
      </c>
    </row>
    <row r="1658" spans="1:22" x14ac:dyDescent="0.25">
      <c r="A1658" t="s">
        <v>1993</v>
      </c>
      <c r="B1658" s="1">
        <v>45380</v>
      </c>
      <c r="C1658" t="s">
        <v>147</v>
      </c>
      <c r="D1658" t="s">
        <v>294</v>
      </c>
      <c r="E1658">
        <v>533.88</v>
      </c>
      <c r="F1658" t="s">
        <v>324</v>
      </c>
      <c r="G1658" t="s">
        <v>337</v>
      </c>
      <c r="H1658" t="s">
        <v>332</v>
      </c>
      <c r="I1658" t="s">
        <v>17</v>
      </c>
      <c r="J1658" t="s">
        <v>25</v>
      </c>
      <c r="K1658" t="s">
        <v>32</v>
      </c>
      <c r="L1658" t="s">
        <v>295</v>
      </c>
      <c r="M1658" t="s">
        <v>296</v>
      </c>
      <c r="N1658">
        <v>2.9000000000000001E-2</v>
      </c>
      <c r="O1658" t="str">
        <f>IF(Transactions_RAW_cleaned[[#This Row],[Status]]="Completed", IFERROR(_xlfn.XLOOKUP(Transactions_RAW_cleaned[[#This Row],[CustomerID]], Customers_cleaned[CustomerID], Customers_cleaned[Segment]), "Customer Not Found"), "N/A")</f>
        <v>Enterprise</v>
      </c>
      <c r="P1658" s="5" t="str">
        <f>IF(Transactions_RAW_cleaned[[#This Row],[Status]]="Refunded", "Refund",
  IF(Transactions_RAW_cleaned[[#This Row],[Category]]="Payments", IF(Transactions_RAW_cleaned[[#This Row],[Amount]]&gt;500,"High Value","Standard"),
    IF(Transactions_RAW_cleaned[[#This Row],[Amount]]&gt;250,"High Value","Standard")))</f>
        <v>High Value</v>
      </c>
      <c r="Q1658" s="5" t="str">
        <f>IF(Transactions_RAW_cleaned[[#This Row],[Amount]] &gt; (_xlfn.XLOOKUP(Transactions_RAW_cleaned[[#This Row],[ServiceID]],Services_cleaned[ServiceID],Services_cleaned[TransactionFeePct]) * 10000), "Yes", "No")</f>
        <v>Yes</v>
      </c>
      <c r="R1658" s="5" t="str">
        <f>IF(COUNTIFS($C$2:Transactions_RAW_cleaned[[#This Row],[CustomerID]],Transactions_RAW_cleaned[[#This Row],[CustomerID]],$D$2:Transactions_RAW_cleaned[[#This Row],[ServiceID]],Transactions_RAW_cleaned[[#This Row],[ServiceID]])=1,"Yes","No")</f>
        <v>No</v>
      </c>
      <c r="S165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58" t="str">
        <f>"Q"&amp;ROUNDUP(MONTH(Transactions_RAW_cleaned[[#This Row],[TransactionDate]])/3,0)</f>
        <v>Q1</v>
      </c>
      <c r="U1658" t="str">
        <f>Transactions_RAW_cleaned[[#This Row],[Region ]]&amp;Transactions_RAW_cleaned[[#This Row],[Quarter ]]</f>
        <v>APACQ1</v>
      </c>
      <c r="V1658" s="5">
        <f>_xlfn.XLOOKUP(Transactions_RAW_cleaned[[#This Row],[RegionQuarterKey]], Quarterly_Targets_cleaned[RegionQuarterKey], Quarterly_Targets_cleaned[TargetRevenue])</f>
        <v>104500</v>
      </c>
    </row>
    <row r="1659" spans="1:22" x14ac:dyDescent="0.25">
      <c r="A1659" t="s">
        <v>1994</v>
      </c>
      <c r="B1659" s="1">
        <v>45529</v>
      </c>
      <c r="C1659" t="s">
        <v>74</v>
      </c>
      <c r="D1659" t="s">
        <v>315</v>
      </c>
      <c r="E1659">
        <v>361.41</v>
      </c>
      <c r="F1659" t="s">
        <v>324</v>
      </c>
      <c r="G1659" t="s">
        <v>327</v>
      </c>
      <c r="I1659" t="s">
        <v>17</v>
      </c>
      <c r="J1659" t="s">
        <v>46</v>
      </c>
      <c r="K1659" t="s">
        <v>28</v>
      </c>
      <c r="L1659" t="s">
        <v>316</v>
      </c>
      <c r="M1659" t="s">
        <v>305</v>
      </c>
      <c r="N1659">
        <v>2.5000000000000001E-3</v>
      </c>
      <c r="O1659" t="str">
        <f>IF(Transactions_RAW_cleaned[[#This Row],[Status]]="Completed", IFERROR(_xlfn.XLOOKUP(Transactions_RAW_cleaned[[#This Row],[CustomerID]], Customers_cleaned[CustomerID], Customers_cleaned[Segment]), "Customer Not Found"), "N/A")</f>
        <v>Enterprise</v>
      </c>
      <c r="P1659" s="5" t="str">
        <f>IF(Transactions_RAW_cleaned[[#This Row],[Status]]="Refunded", "Refund",
  IF(Transactions_RAW_cleaned[[#This Row],[Category]]="Payments", IF(Transactions_RAW_cleaned[[#This Row],[Amount]]&gt;500,"High Value","Standard"),
    IF(Transactions_RAW_cleaned[[#This Row],[Amount]]&gt;250,"High Value","Standard")))</f>
        <v>High Value</v>
      </c>
      <c r="Q1659" s="5" t="str">
        <f>IF(Transactions_RAW_cleaned[[#This Row],[Amount]] &gt; (_xlfn.XLOOKUP(Transactions_RAW_cleaned[[#This Row],[ServiceID]],Services_cleaned[ServiceID],Services_cleaned[TransactionFeePct]) * 10000), "Yes", "No")</f>
        <v>Yes</v>
      </c>
      <c r="R1659" s="5" t="str">
        <f>IF(COUNTIFS($C$2:Transactions_RAW_cleaned[[#This Row],[CustomerID]],Transactions_RAW_cleaned[[#This Row],[CustomerID]],$D$2:Transactions_RAW_cleaned[[#This Row],[ServiceID]],Transactions_RAW_cleaned[[#This Row],[ServiceID]])=1,"Yes","No")</f>
        <v>No</v>
      </c>
      <c r="S165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59" t="str">
        <f>"Q"&amp;ROUNDUP(MONTH(Transactions_RAW_cleaned[[#This Row],[TransactionDate]])/3,0)</f>
        <v>Q3</v>
      </c>
      <c r="U1659" t="str">
        <f>Transactions_RAW_cleaned[[#This Row],[Region ]]&amp;Transactions_RAW_cleaned[[#This Row],[Quarter ]]</f>
        <v>APACQ3</v>
      </c>
      <c r="V1659" s="5">
        <f>_xlfn.XLOOKUP(Transactions_RAW_cleaned[[#This Row],[RegionQuarterKey]], Quarterly_Targets_cleaned[RegionQuarterKey], Quarterly_Targets_cleaned[TargetRevenue])</f>
        <v>115500</v>
      </c>
    </row>
    <row r="1660" spans="1:22" x14ac:dyDescent="0.25">
      <c r="A1660" t="s">
        <v>1995</v>
      </c>
      <c r="B1660" s="1">
        <v>45577</v>
      </c>
      <c r="C1660" t="s">
        <v>90</v>
      </c>
      <c r="D1660" t="s">
        <v>315</v>
      </c>
      <c r="E1660">
        <v>948.81</v>
      </c>
      <c r="F1660" t="s">
        <v>381</v>
      </c>
      <c r="G1660" t="s">
        <v>327</v>
      </c>
      <c r="I1660" t="s">
        <v>8</v>
      </c>
      <c r="J1660" t="s">
        <v>102</v>
      </c>
      <c r="K1660" t="s">
        <v>28</v>
      </c>
      <c r="L1660" t="s">
        <v>316</v>
      </c>
      <c r="M1660" t="s">
        <v>305</v>
      </c>
      <c r="N1660">
        <v>2.5000000000000001E-3</v>
      </c>
      <c r="O1660" t="str">
        <f>IF(Transactions_RAW_cleaned[[#This Row],[Status]]="Completed", IFERROR(_xlfn.XLOOKUP(Transactions_RAW_cleaned[[#This Row],[CustomerID]], Customers_cleaned[CustomerID], Customers_cleaned[Segment]), "Customer Not Found"), "N/A")</f>
        <v>N/A</v>
      </c>
      <c r="P1660" s="5" t="str">
        <f>IF(Transactions_RAW_cleaned[[#This Row],[Status]]="Refunded", "Refund",
  IF(Transactions_RAW_cleaned[[#This Row],[Category]]="Payments", IF(Transactions_RAW_cleaned[[#This Row],[Amount]]&gt;500,"High Value","Standard"),
    IF(Transactions_RAW_cleaned[[#This Row],[Amount]]&gt;250,"High Value","Standard")))</f>
        <v>High Value</v>
      </c>
      <c r="Q1660" s="5" t="str">
        <f>IF(Transactions_RAW_cleaned[[#This Row],[Amount]] &gt; (_xlfn.XLOOKUP(Transactions_RAW_cleaned[[#This Row],[ServiceID]],Services_cleaned[ServiceID],Services_cleaned[TransactionFeePct]) * 10000), "Yes", "No")</f>
        <v>Yes</v>
      </c>
      <c r="R1660" s="5" t="str">
        <f>IF(COUNTIFS($C$2:Transactions_RAW_cleaned[[#This Row],[CustomerID]],Transactions_RAW_cleaned[[#This Row],[CustomerID]],$D$2:Transactions_RAW_cleaned[[#This Row],[ServiceID]],Transactions_RAW_cleaned[[#This Row],[ServiceID]])=1,"Yes","No")</f>
        <v>Yes</v>
      </c>
      <c r="S166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60" t="str">
        <f>"Q"&amp;ROUNDUP(MONTH(Transactions_RAW_cleaned[[#This Row],[TransactionDate]])/3,0)</f>
        <v>Q4</v>
      </c>
      <c r="U1660" t="str">
        <f>Transactions_RAW_cleaned[[#This Row],[Region ]]&amp;Transactions_RAW_cleaned[[#This Row],[Quarter ]]</f>
        <v>NAQ4</v>
      </c>
      <c r="V1660" s="5">
        <f>_xlfn.XLOOKUP(Transactions_RAW_cleaned[[#This Row],[RegionQuarterKey]], Quarterly_Targets_cleaned[RegionQuarterKey], Quarterly_Targets_cleaned[TargetRevenue])</f>
        <v>299000</v>
      </c>
    </row>
    <row r="1661" spans="1:22" x14ac:dyDescent="0.25">
      <c r="A1661" t="s">
        <v>1996</v>
      </c>
      <c r="B1661" s="1">
        <v>45424</v>
      </c>
      <c r="C1661" t="s">
        <v>111</v>
      </c>
      <c r="D1661" t="s">
        <v>315</v>
      </c>
      <c r="E1661">
        <v>395.1</v>
      </c>
      <c r="F1661" t="s">
        <v>324</v>
      </c>
      <c r="G1661" t="s">
        <v>327</v>
      </c>
      <c r="H1661" t="s">
        <v>332</v>
      </c>
      <c r="I1661" t="s">
        <v>8</v>
      </c>
      <c r="J1661" t="s">
        <v>21</v>
      </c>
      <c r="K1661" t="s">
        <v>28</v>
      </c>
      <c r="L1661" t="s">
        <v>316</v>
      </c>
      <c r="M1661" t="s">
        <v>305</v>
      </c>
      <c r="N1661">
        <v>2.5000000000000001E-3</v>
      </c>
      <c r="O1661" t="str">
        <f>IF(Transactions_RAW_cleaned[[#This Row],[Status]]="Completed", IFERROR(_xlfn.XLOOKUP(Transactions_RAW_cleaned[[#This Row],[CustomerID]], Customers_cleaned[CustomerID], Customers_cleaned[Segment]), "Customer Not Found"), "N/A")</f>
        <v>SMB</v>
      </c>
      <c r="P1661" s="5" t="str">
        <f>IF(Transactions_RAW_cleaned[[#This Row],[Status]]="Refunded", "Refund",
  IF(Transactions_RAW_cleaned[[#This Row],[Category]]="Payments", IF(Transactions_RAW_cleaned[[#This Row],[Amount]]&gt;500,"High Value","Standard"),
    IF(Transactions_RAW_cleaned[[#This Row],[Amount]]&gt;250,"High Value","Standard")))</f>
        <v>High Value</v>
      </c>
      <c r="Q1661" s="5" t="str">
        <f>IF(Transactions_RAW_cleaned[[#This Row],[Amount]] &gt; (_xlfn.XLOOKUP(Transactions_RAW_cleaned[[#This Row],[ServiceID]],Services_cleaned[ServiceID],Services_cleaned[TransactionFeePct]) * 10000), "Yes", "No")</f>
        <v>Yes</v>
      </c>
      <c r="R1661" s="5" t="str">
        <f>IF(COUNTIFS($C$2:Transactions_RAW_cleaned[[#This Row],[CustomerID]],Transactions_RAW_cleaned[[#This Row],[CustomerID]],$D$2:Transactions_RAW_cleaned[[#This Row],[ServiceID]],Transactions_RAW_cleaned[[#This Row],[ServiceID]])=1,"Yes","No")</f>
        <v>Yes</v>
      </c>
      <c r="S166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61" t="str">
        <f>"Q"&amp;ROUNDUP(MONTH(Transactions_RAW_cleaned[[#This Row],[TransactionDate]])/3,0)</f>
        <v>Q2</v>
      </c>
      <c r="U1661" t="str">
        <f>Transactions_RAW_cleaned[[#This Row],[Region ]]&amp;Transactions_RAW_cleaned[[#This Row],[Quarter ]]</f>
        <v>APACQ2</v>
      </c>
      <c r="V1661" s="5">
        <f>_xlfn.XLOOKUP(Transactions_RAW_cleaned[[#This Row],[RegionQuarterKey]], Quarterly_Targets_cleaned[RegionQuarterKey], Quarterly_Targets_cleaned[TargetRevenue])</f>
        <v>110000</v>
      </c>
    </row>
    <row r="1662" spans="1:22" x14ac:dyDescent="0.25">
      <c r="A1662" t="s">
        <v>1997</v>
      </c>
      <c r="B1662" s="1">
        <v>45634</v>
      </c>
      <c r="C1662" t="s">
        <v>191</v>
      </c>
      <c r="D1662" t="s">
        <v>315</v>
      </c>
      <c r="E1662">
        <v>266.89999999999998</v>
      </c>
      <c r="F1662" t="s">
        <v>324</v>
      </c>
      <c r="G1662" t="s">
        <v>329</v>
      </c>
      <c r="H1662" t="s">
        <v>346</v>
      </c>
      <c r="I1662" t="s">
        <v>57</v>
      </c>
      <c r="J1662" t="s">
        <v>31</v>
      </c>
      <c r="K1662" t="s">
        <v>32</v>
      </c>
      <c r="L1662" t="s">
        <v>316</v>
      </c>
      <c r="M1662" t="s">
        <v>305</v>
      </c>
      <c r="N1662">
        <v>2.5000000000000001E-3</v>
      </c>
      <c r="O1662" t="str">
        <f>IF(Transactions_RAW_cleaned[[#This Row],[Status]]="Completed", IFERROR(_xlfn.XLOOKUP(Transactions_RAW_cleaned[[#This Row],[CustomerID]], Customers_cleaned[CustomerID], Customers_cleaned[Segment]), "Customer Not Found"), "N/A")</f>
        <v>Startup</v>
      </c>
      <c r="P1662" s="5" t="str">
        <f>IF(Transactions_RAW_cleaned[[#This Row],[Status]]="Refunded", "Refund",
  IF(Transactions_RAW_cleaned[[#This Row],[Category]]="Payments", IF(Transactions_RAW_cleaned[[#This Row],[Amount]]&gt;500,"High Value","Standard"),
    IF(Transactions_RAW_cleaned[[#This Row],[Amount]]&gt;250,"High Value","Standard")))</f>
        <v>High Value</v>
      </c>
      <c r="Q1662" s="5" t="str">
        <f>IF(Transactions_RAW_cleaned[[#This Row],[Amount]] &gt; (_xlfn.XLOOKUP(Transactions_RAW_cleaned[[#This Row],[ServiceID]],Services_cleaned[ServiceID],Services_cleaned[TransactionFeePct]) * 10000), "Yes", "No")</f>
        <v>Yes</v>
      </c>
      <c r="R1662" s="5" t="str">
        <f>IF(COUNTIFS($C$2:Transactions_RAW_cleaned[[#This Row],[CustomerID]],Transactions_RAW_cleaned[[#This Row],[CustomerID]],$D$2:Transactions_RAW_cleaned[[#This Row],[ServiceID]],Transactions_RAW_cleaned[[#This Row],[ServiceID]])=1,"Yes","No")</f>
        <v>No</v>
      </c>
      <c r="S166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662" t="str">
        <f>"Q"&amp;ROUNDUP(MONTH(Transactions_RAW_cleaned[[#This Row],[TransactionDate]])/3,0)</f>
        <v>Q4</v>
      </c>
      <c r="U1662" t="str">
        <f>Transactions_RAW_cleaned[[#This Row],[Region ]]&amp;Transactions_RAW_cleaned[[#This Row],[Quarter ]]</f>
        <v>EMEAQ4</v>
      </c>
      <c r="V1662" s="5">
        <f>_xlfn.XLOOKUP(Transactions_RAW_cleaned[[#This Row],[RegionQuarterKey]], Quarterly_Targets_cleaned[RegionQuarterKey], Quarterly_Targets_cleaned[TargetRevenue])</f>
        <v>161000</v>
      </c>
    </row>
    <row r="1663" spans="1:22" x14ac:dyDescent="0.25">
      <c r="A1663" t="s">
        <v>1998</v>
      </c>
      <c r="B1663" s="1">
        <v>45459</v>
      </c>
      <c r="C1663" t="s">
        <v>33</v>
      </c>
      <c r="D1663" t="s">
        <v>294</v>
      </c>
      <c r="E1663">
        <v>406.57</v>
      </c>
      <c r="F1663" t="s">
        <v>331</v>
      </c>
      <c r="G1663" t="s">
        <v>325</v>
      </c>
      <c r="I1663" t="s">
        <v>17</v>
      </c>
      <c r="J1663" t="s">
        <v>31</v>
      </c>
      <c r="K1663" t="s">
        <v>14</v>
      </c>
      <c r="L1663" t="s">
        <v>295</v>
      </c>
      <c r="M1663" t="s">
        <v>296</v>
      </c>
      <c r="N1663">
        <v>2.9000000000000001E-2</v>
      </c>
      <c r="O1663" t="str">
        <f>IF(Transactions_RAW_cleaned[[#This Row],[Status]]="Completed", IFERROR(_xlfn.XLOOKUP(Transactions_RAW_cleaned[[#This Row],[CustomerID]], Customers_cleaned[CustomerID], Customers_cleaned[Segment]), "Customer Not Found"), "N/A")</f>
        <v>N/A</v>
      </c>
      <c r="P1663" s="5" t="str">
        <f>IF(Transactions_RAW_cleaned[[#This Row],[Status]]="Refunded", "Refund",
  IF(Transactions_RAW_cleaned[[#This Row],[Category]]="Payments", IF(Transactions_RAW_cleaned[[#This Row],[Amount]]&gt;500,"High Value","Standard"),
    IF(Transactions_RAW_cleaned[[#This Row],[Amount]]&gt;250,"High Value","Standard")))</f>
        <v>Standard</v>
      </c>
      <c r="Q1663" s="5" t="str">
        <f>IF(Transactions_RAW_cleaned[[#This Row],[Amount]] &gt; (_xlfn.XLOOKUP(Transactions_RAW_cleaned[[#This Row],[ServiceID]],Services_cleaned[ServiceID],Services_cleaned[TransactionFeePct]) * 10000), "Yes", "No")</f>
        <v>Yes</v>
      </c>
      <c r="R1663" s="5" t="str">
        <f>IF(COUNTIFS($C$2:Transactions_RAW_cleaned[[#This Row],[CustomerID]],Transactions_RAW_cleaned[[#This Row],[CustomerID]],$D$2:Transactions_RAW_cleaned[[#This Row],[ServiceID]],Transactions_RAW_cleaned[[#This Row],[ServiceID]])=1,"Yes","No")</f>
        <v>No</v>
      </c>
      <c r="S166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663" t="str">
        <f>"Q"&amp;ROUNDUP(MONTH(Transactions_RAW_cleaned[[#This Row],[TransactionDate]])/3,0)</f>
        <v>Q2</v>
      </c>
      <c r="U1663" t="str">
        <f>Transactions_RAW_cleaned[[#This Row],[Region ]]&amp;Transactions_RAW_cleaned[[#This Row],[Quarter ]]</f>
        <v>EMEAQ2</v>
      </c>
      <c r="V1663" s="5">
        <f>_xlfn.XLOOKUP(Transactions_RAW_cleaned[[#This Row],[RegionQuarterKey]], Quarterly_Targets_cleaned[RegionQuarterKey], Quarterly_Targets_cleaned[TargetRevenue])</f>
        <v>140000</v>
      </c>
    </row>
    <row r="1664" spans="1:22" x14ac:dyDescent="0.25">
      <c r="A1664" t="s">
        <v>1999</v>
      </c>
      <c r="B1664" s="1">
        <v>45395</v>
      </c>
      <c r="C1664" t="s">
        <v>209</v>
      </c>
      <c r="D1664" t="s">
        <v>309</v>
      </c>
      <c r="E1664">
        <v>259.86</v>
      </c>
      <c r="F1664" t="s">
        <v>331</v>
      </c>
      <c r="G1664" t="s">
        <v>325</v>
      </c>
      <c r="H1664" t="s">
        <v>346</v>
      </c>
      <c r="I1664" t="s">
        <v>17</v>
      </c>
      <c r="J1664" t="s">
        <v>102</v>
      </c>
      <c r="K1664" t="s">
        <v>22</v>
      </c>
      <c r="L1664" t="s">
        <v>310</v>
      </c>
      <c r="M1664" t="s">
        <v>311</v>
      </c>
      <c r="N1664">
        <v>0</v>
      </c>
      <c r="O1664" t="str">
        <f>IF(Transactions_RAW_cleaned[[#This Row],[Status]]="Completed", IFERROR(_xlfn.XLOOKUP(Transactions_RAW_cleaned[[#This Row],[CustomerID]], Customers_cleaned[CustomerID], Customers_cleaned[Segment]), "Customer Not Found"), "N/A")</f>
        <v>N/A</v>
      </c>
      <c r="P1664" s="5" t="str">
        <f>IF(Transactions_RAW_cleaned[[#This Row],[Status]]="Refunded", "Refund",
  IF(Transactions_RAW_cleaned[[#This Row],[Category]]="Payments", IF(Transactions_RAW_cleaned[[#This Row],[Amount]]&gt;500,"High Value","Standard"),
    IF(Transactions_RAW_cleaned[[#This Row],[Amount]]&gt;250,"High Value","Standard")))</f>
        <v>High Value</v>
      </c>
      <c r="Q1664" s="5" t="str">
        <f>IF(Transactions_RAW_cleaned[[#This Row],[Amount]] &gt; (_xlfn.XLOOKUP(Transactions_RAW_cleaned[[#This Row],[ServiceID]],Services_cleaned[ServiceID],Services_cleaned[TransactionFeePct]) * 10000), "Yes", "No")</f>
        <v>Yes</v>
      </c>
      <c r="R1664" s="5" t="str">
        <f>IF(COUNTIFS($C$2:Transactions_RAW_cleaned[[#This Row],[CustomerID]],Transactions_RAW_cleaned[[#This Row],[CustomerID]],$D$2:Transactions_RAW_cleaned[[#This Row],[ServiceID]],Transactions_RAW_cleaned[[#This Row],[ServiceID]])=1,"Yes","No")</f>
        <v>No</v>
      </c>
      <c r="S166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64" t="str">
        <f>"Q"&amp;ROUNDUP(MONTH(Transactions_RAW_cleaned[[#This Row],[TransactionDate]])/3,0)</f>
        <v>Q2</v>
      </c>
      <c r="U1664" t="str">
        <f>Transactions_RAW_cleaned[[#This Row],[Region ]]&amp;Transactions_RAW_cleaned[[#This Row],[Quarter ]]</f>
        <v>NAQ2</v>
      </c>
      <c r="V1664" s="5">
        <f>_xlfn.XLOOKUP(Transactions_RAW_cleaned[[#This Row],[RegionQuarterKey]], Quarterly_Targets_cleaned[RegionQuarterKey], Quarterly_Targets_cleaned[TargetRevenue])</f>
        <v>260000</v>
      </c>
    </row>
    <row r="1665" spans="1:22" x14ac:dyDescent="0.25">
      <c r="A1665" t="s">
        <v>2000</v>
      </c>
      <c r="B1665" s="1">
        <v>45571</v>
      </c>
      <c r="C1665" t="s">
        <v>6</v>
      </c>
      <c r="D1665" t="s">
        <v>300</v>
      </c>
      <c r="E1665">
        <v>482.44</v>
      </c>
      <c r="F1665" t="s">
        <v>324</v>
      </c>
      <c r="G1665" t="s">
        <v>327</v>
      </c>
      <c r="H1665" t="s">
        <v>346</v>
      </c>
      <c r="I1665" t="s">
        <v>8</v>
      </c>
      <c r="J1665" t="s">
        <v>102</v>
      </c>
      <c r="K1665" t="s">
        <v>10</v>
      </c>
      <c r="L1665" t="s">
        <v>301</v>
      </c>
      <c r="M1665" t="s">
        <v>302</v>
      </c>
      <c r="N1665">
        <v>5.0000000000000001E-3</v>
      </c>
      <c r="O1665" t="str">
        <f>IF(Transactions_RAW_cleaned[[#This Row],[Status]]="Completed", IFERROR(_xlfn.XLOOKUP(Transactions_RAW_cleaned[[#This Row],[CustomerID]], Customers_cleaned[CustomerID], Customers_cleaned[Segment]), "Customer Not Found"), "N/A")</f>
        <v>SMB</v>
      </c>
      <c r="P1665" s="5" t="str">
        <f>IF(Transactions_RAW_cleaned[[#This Row],[Status]]="Refunded", "Refund",
  IF(Transactions_RAW_cleaned[[#This Row],[Category]]="Payments", IF(Transactions_RAW_cleaned[[#This Row],[Amount]]&gt;500,"High Value","Standard"),
    IF(Transactions_RAW_cleaned[[#This Row],[Amount]]&gt;250,"High Value","Standard")))</f>
        <v>High Value</v>
      </c>
      <c r="Q1665" s="5" t="str">
        <f>IF(Transactions_RAW_cleaned[[#This Row],[Amount]] &gt; (_xlfn.XLOOKUP(Transactions_RAW_cleaned[[#This Row],[ServiceID]],Services_cleaned[ServiceID],Services_cleaned[TransactionFeePct]) * 10000), "Yes", "No")</f>
        <v>Yes</v>
      </c>
      <c r="R1665" s="5" t="str">
        <f>IF(COUNTIFS($C$2:Transactions_RAW_cleaned[[#This Row],[CustomerID]],Transactions_RAW_cleaned[[#This Row],[CustomerID]],$D$2:Transactions_RAW_cleaned[[#This Row],[ServiceID]],Transactions_RAW_cleaned[[#This Row],[ServiceID]])=1,"Yes","No")</f>
        <v>No</v>
      </c>
      <c r="S166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65" t="str">
        <f>"Q"&amp;ROUNDUP(MONTH(Transactions_RAW_cleaned[[#This Row],[TransactionDate]])/3,0)</f>
        <v>Q4</v>
      </c>
      <c r="U1665" t="str">
        <f>Transactions_RAW_cleaned[[#This Row],[Region ]]&amp;Transactions_RAW_cleaned[[#This Row],[Quarter ]]</f>
        <v>NAQ4</v>
      </c>
      <c r="V1665" s="5">
        <f>_xlfn.XLOOKUP(Transactions_RAW_cleaned[[#This Row],[RegionQuarterKey]], Quarterly_Targets_cleaned[RegionQuarterKey], Quarterly_Targets_cleaned[TargetRevenue])</f>
        <v>299000</v>
      </c>
    </row>
    <row r="1666" spans="1:22" x14ac:dyDescent="0.25">
      <c r="A1666" t="s">
        <v>2001</v>
      </c>
      <c r="B1666" s="1">
        <v>45524</v>
      </c>
      <c r="C1666" t="s">
        <v>231</v>
      </c>
      <c r="D1666" t="s">
        <v>297</v>
      </c>
      <c r="E1666">
        <v>-186.25</v>
      </c>
      <c r="F1666" t="s">
        <v>349</v>
      </c>
      <c r="G1666" t="s">
        <v>327</v>
      </c>
      <c r="I1666" t="s">
        <v>17</v>
      </c>
      <c r="J1666" t="s">
        <v>102</v>
      </c>
      <c r="K1666" t="s">
        <v>22</v>
      </c>
      <c r="L1666" t="s">
        <v>298</v>
      </c>
      <c r="M1666" t="s">
        <v>299</v>
      </c>
      <c r="N1666">
        <v>0</v>
      </c>
      <c r="O1666" t="str">
        <f>IF(Transactions_RAW_cleaned[[#This Row],[Status]]="Completed", IFERROR(_xlfn.XLOOKUP(Transactions_RAW_cleaned[[#This Row],[CustomerID]], Customers_cleaned[CustomerID], Customers_cleaned[Segment]), "Customer Not Found"), "N/A")</f>
        <v>N/A</v>
      </c>
      <c r="P1666" s="5" t="str">
        <f>IF(Transactions_RAW_cleaned[[#This Row],[Status]]="Refunded", "Refund",
  IF(Transactions_RAW_cleaned[[#This Row],[Category]]="Payments", IF(Transactions_RAW_cleaned[[#This Row],[Amount]]&gt;500,"High Value","Standard"),
    IF(Transactions_RAW_cleaned[[#This Row],[Amount]]&gt;250,"High Value","Standard")))</f>
        <v>Refund</v>
      </c>
      <c r="Q1666" s="5" t="str">
        <f>IF(Transactions_RAW_cleaned[[#This Row],[Amount]] &gt; (_xlfn.XLOOKUP(Transactions_RAW_cleaned[[#This Row],[ServiceID]],Services_cleaned[ServiceID],Services_cleaned[TransactionFeePct]) * 10000), "Yes", "No")</f>
        <v>No</v>
      </c>
      <c r="R1666" s="5" t="str">
        <f>IF(COUNTIFS($C$2:Transactions_RAW_cleaned[[#This Row],[CustomerID]],Transactions_RAW_cleaned[[#This Row],[CustomerID]],$D$2:Transactions_RAW_cleaned[[#This Row],[ServiceID]],Transactions_RAW_cleaned[[#This Row],[ServiceID]])=1,"Yes","No")</f>
        <v>Yes</v>
      </c>
      <c r="S166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66" t="str">
        <f>"Q"&amp;ROUNDUP(MONTH(Transactions_RAW_cleaned[[#This Row],[TransactionDate]])/3,0)</f>
        <v>Q3</v>
      </c>
      <c r="U1666" t="str">
        <f>Transactions_RAW_cleaned[[#This Row],[Region ]]&amp;Transactions_RAW_cleaned[[#This Row],[Quarter ]]</f>
        <v>NAQ3</v>
      </c>
      <c r="V1666" s="5">
        <f>_xlfn.XLOOKUP(Transactions_RAW_cleaned[[#This Row],[RegionQuarterKey]], Quarterly_Targets_cleaned[RegionQuarterKey], Quarterly_Targets_cleaned[TargetRevenue])</f>
        <v>273000</v>
      </c>
    </row>
    <row r="1667" spans="1:22" x14ac:dyDescent="0.25">
      <c r="A1667" t="s">
        <v>2002</v>
      </c>
      <c r="B1667" s="1">
        <v>45501</v>
      </c>
      <c r="C1667" t="s">
        <v>257</v>
      </c>
      <c r="D1667" t="s">
        <v>303</v>
      </c>
      <c r="E1667">
        <v>300.95</v>
      </c>
      <c r="F1667" t="s">
        <v>324</v>
      </c>
      <c r="G1667" t="s">
        <v>329</v>
      </c>
      <c r="I1667" t="s">
        <v>57</v>
      </c>
      <c r="J1667" t="s">
        <v>13</v>
      </c>
      <c r="K1667" t="s">
        <v>22</v>
      </c>
      <c r="L1667" t="s">
        <v>304</v>
      </c>
      <c r="M1667" t="s">
        <v>305</v>
      </c>
      <c r="N1667">
        <v>1E-3</v>
      </c>
      <c r="O1667" t="str">
        <f>IF(Transactions_RAW_cleaned[[#This Row],[Status]]="Completed", IFERROR(_xlfn.XLOOKUP(Transactions_RAW_cleaned[[#This Row],[CustomerID]], Customers_cleaned[CustomerID], Customers_cleaned[Segment]), "Customer Not Found"), "N/A")</f>
        <v>Startup</v>
      </c>
      <c r="P1667" s="5" t="str">
        <f>IF(Transactions_RAW_cleaned[[#This Row],[Status]]="Refunded", "Refund",
  IF(Transactions_RAW_cleaned[[#This Row],[Category]]="Payments", IF(Transactions_RAW_cleaned[[#This Row],[Amount]]&gt;500,"High Value","Standard"),
    IF(Transactions_RAW_cleaned[[#This Row],[Amount]]&gt;250,"High Value","Standard")))</f>
        <v>High Value</v>
      </c>
      <c r="Q1667" s="5" t="str">
        <f>IF(Transactions_RAW_cleaned[[#This Row],[Amount]] &gt; (_xlfn.XLOOKUP(Transactions_RAW_cleaned[[#This Row],[ServiceID]],Services_cleaned[ServiceID],Services_cleaned[TransactionFeePct]) * 10000), "Yes", "No")</f>
        <v>Yes</v>
      </c>
      <c r="R1667" s="5" t="str">
        <f>IF(COUNTIFS($C$2:Transactions_RAW_cleaned[[#This Row],[CustomerID]],Transactions_RAW_cleaned[[#This Row],[CustomerID]],$D$2:Transactions_RAW_cleaned[[#This Row],[ServiceID]],Transactions_RAW_cleaned[[#This Row],[ServiceID]])=1,"Yes","No")</f>
        <v>Yes</v>
      </c>
      <c r="S166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67" t="str">
        <f>"Q"&amp;ROUNDUP(MONTH(Transactions_RAW_cleaned[[#This Row],[TransactionDate]])/3,0)</f>
        <v>Q3</v>
      </c>
      <c r="U1667" t="str">
        <f>Transactions_RAW_cleaned[[#This Row],[Region ]]&amp;Transactions_RAW_cleaned[[#This Row],[Quarter ]]</f>
        <v>NAQ3</v>
      </c>
      <c r="V1667" s="5">
        <f>_xlfn.XLOOKUP(Transactions_RAW_cleaned[[#This Row],[RegionQuarterKey]], Quarterly_Targets_cleaned[RegionQuarterKey], Quarterly_Targets_cleaned[TargetRevenue])</f>
        <v>273000</v>
      </c>
    </row>
    <row r="1668" spans="1:22" x14ac:dyDescent="0.25">
      <c r="A1668" t="s">
        <v>2003</v>
      </c>
      <c r="B1668" s="1">
        <v>45380</v>
      </c>
      <c r="C1668" t="s">
        <v>215</v>
      </c>
      <c r="D1668" t="s">
        <v>303</v>
      </c>
      <c r="E1668">
        <v>197.62</v>
      </c>
      <c r="F1668" t="s">
        <v>324</v>
      </c>
      <c r="G1668" t="s">
        <v>327</v>
      </c>
      <c r="I1668" t="s">
        <v>57</v>
      </c>
      <c r="J1668" t="s">
        <v>102</v>
      </c>
      <c r="K1668" t="s">
        <v>14</v>
      </c>
      <c r="L1668" t="s">
        <v>304</v>
      </c>
      <c r="M1668" t="s">
        <v>305</v>
      </c>
      <c r="N1668">
        <v>1E-3</v>
      </c>
      <c r="O1668" t="str">
        <f>IF(Transactions_RAW_cleaned[[#This Row],[Status]]="Completed", IFERROR(_xlfn.XLOOKUP(Transactions_RAW_cleaned[[#This Row],[CustomerID]], Customers_cleaned[CustomerID], Customers_cleaned[Segment]), "Customer Not Found"), "N/A")</f>
        <v>Startup</v>
      </c>
      <c r="P1668" s="5" t="str">
        <f>IF(Transactions_RAW_cleaned[[#This Row],[Status]]="Refunded", "Refund",
  IF(Transactions_RAW_cleaned[[#This Row],[Category]]="Payments", IF(Transactions_RAW_cleaned[[#This Row],[Amount]]&gt;500,"High Value","Standard"),
    IF(Transactions_RAW_cleaned[[#This Row],[Amount]]&gt;250,"High Value","Standard")))</f>
        <v>Standard</v>
      </c>
      <c r="Q1668" s="5" t="str">
        <f>IF(Transactions_RAW_cleaned[[#This Row],[Amount]] &gt; (_xlfn.XLOOKUP(Transactions_RAW_cleaned[[#This Row],[ServiceID]],Services_cleaned[ServiceID],Services_cleaned[TransactionFeePct]) * 10000), "Yes", "No")</f>
        <v>Yes</v>
      </c>
      <c r="R1668" s="5" t="str">
        <f>IF(COUNTIFS($C$2:Transactions_RAW_cleaned[[#This Row],[CustomerID]],Transactions_RAW_cleaned[[#This Row],[CustomerID]],$D$2:Transactions_RAW_cleaned[[#This Row],[ServiceID]],Transactions_RAW_cleaned[[#This Row],[ServiceID]])=1,"Yes","No")</f>
        <v>Yes</v>
      </c>
      <c r="S166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68" t="str">
        <f>"Q"&amp;ROUNDUP(MONTH(Transactions_RAW_cleaned[[#This Row],[TransactionDate]])/3,0)</f>
        <v>Q1</v>
      </c>
      <c r="U1668" t="str">
        <f>Transactions_RAW_cleaned[[#This Row],[Region ]]&amp;Transactions_RAW_cleaned[[#This Row],[Quarter ]]</f>
        <v>NAQ1</v>
      </c>
      <c r="V1668" s="5">
        <f>_xlfn.XLOOKUP(Transactions_RAW_cleaned[[#This Row],[RegionQuarterKey]], Quarterly_Targets_cleaned[RegionQuarterKey], Quarterly_Targets_cleaned[TargetRevenue])</f>
        <v>247000</v>
      </c>
    </row>
    <row r="1669" spans="1:22" x14ac:dyDescent="0.25">
      <c r="A1669" t="s">
        <v>2004</v>
      </c>
      <c r="B1669" s="1">
        <v>45390</v>
      </c>
      <c r="C1669" t="s">
        <v>205</v>
      </c>
      <c r="D1669" t="s">
        <v>312</v>
      </c>
      <c r="E1669">
        <v>812.31</v>
      </c>
      <c r="F1669" t="s">
        <v>324</v>
      </c>
      <c r="G1669" t="s">
        <v>337</v>
      </c>
      <c r="I1669" t="s">
        <v>8</v>
      </c>
      <c r="J1669" t="s">
        <v>21</v>
      </c>
      <c r="K1669" t="s">
        <v>14</v>
      </c>
      <c r="L1669" t="s">
        <v>313</v>
      </c>
      <c r="M1669" t="s">
        <v>314</v>
      </c>
      <c r="N1669">
        <v>0</v>
      </c>
      <c r="O1669" t="str">
        <f>IF(Transactions_RAW_cleaned[[#This Row],[Status]]="Completed", IFERROR(_xlfn.XLOOKUP(Transactions_RAW_cleaned[[#This Row],[CustomerID]], Customers_cleaned[CustomerID], Customers_cleaned[Segment]), "Customer Not Found"), "N/A")</f>
        <v>SMB</v>
      </c>
      <c r="P1669" s="5" t="str">
        <f>IF(Transactions_RAW_cleaned[[#This Row],[Status]]="Refunded", "Refund",
  IF(Transactions_RAW_cleaned[[#This Row],[Category]]="Payments", IF(Transactions_RAW_cleaned[[#This Row],[Amount]]&gt;500,"High Value","Standard"),
    IF(Transactions_RAW_cleaned[[#This Row],[Amount]]&gt;250,"High Value","Standard")))</f>
        <v>High Value</v>
      </c>
      <c r="Q1669" s="5" t="str">
        <f>IF(Transactions_RAW_cleaned[[#This Row],[Amount]] &gt; (_xlfn.XLOOKUP(Transactions_RAW_cleaned[[#This Row],[ServiceID]],Services_cleaned[ServiceID],Services_cleaned[TransactionFeePct]) * 10000), "Yes", "No")</f>
        <v>Yes</v>
      </c>
      <c r="R1669" s="5" t="str">
        <f>IF(COUNTIFS($C$2:Transactions_RAW_cleaned[[#This Row],[CustomerID]],Transactions_RAW_cleaned[[#This Row],[CustomerID]],$D$2:Transactions_RAW_cleaned[[#This Row],[ServiceID]],Transactions_RAW_cleaned[[#This Row],[ServiceID]])=1,"Yes","No")</f>
        <v>Yes</v>
      </c>
      <c r="S166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69" t="str">
        <f>"Q"&amp;ROUNDUP(MONTH(Transactions_RAW_cleaned[[#This Row],[TransactionDate]])/3,0)</f>
        <v>Q2</v>
      </c>
      <c r="U1669" t="str">
        <f>Transactions_RAW_cleaned[[#This Row],[Region ]]&amp;Transactions_RAW_cleaned[[#This Row],[Quarter ]]</f>
        <v>APACQ2</v>
      </c>
      <c r="V1669" s="5">
        <f>_xlfn.XLOOKUP(Transactions_RAW_cleaned[[#This Row],[RegionQuarterKey]], Quarterly_Targets_cleaned[RegionQuarterKey], Quarterly_Targets_cleaned[TargetRevenue])</f>
        <v>110000</v>
      </c>
    </row>
    <row r="1670" spans="1:22" x14ac:dyDescent="0.25">
      <c r="A1670" t="s">
        <v>2005</v>
      </c>
      <c r="B1670" s="1">
        <v>45469</v>
      </c>
      <c r="C1670" t="s">
        <v>189</v>
      </c>
      <c r="D1670" t="s">
        <v>303</v>
      </c>
      <c r="E1670">
        <v>444.12</v>
      </c>
      <c r="F1670" t="s">
        <v>324</v>
      </c>
      <c r="G1670" t="s">
        <v>329</v>
      </c>
      <c r="H1670" t="s">
        <v>334</v>
      </c>
      <c r="I1670" t="s">
        <v>17</v>
      </c>
      <c r="J1670" t="s">
        <v>102</v>
      </c>
      <c r="K1670" t="s">
        <v>14</v>
      </c>
      <c r="L1670" t="s">
        <v>304</v>
      </c>
      <c r="M1670" t="s">
        <v>305</v>
      </c>
      <c r="N1670">
        <v>1E-3</v>
      </c>
      <c r="O1670" t="str">
        <f>IF(Transactions_RAW_cleaned[[#This Row],[Status]]="Completed", IFERROR(_xlfn.XLOOKUP(Transactions_RAW_cleaned[[#This Row],[CustomerID]], Customers_cleaned[CustomerID], Customers_cleaned[Segment]), "Customer Not Found"), "N/A")</f>
        <v>Enterprise</v>
      </c>
      <c r="P1670" s="5" t="str">
        <f>IF(Transactions_RAW_cleaned[[#This Row],[Status]]="Refunded", "Refund",
  IF(Transactions_RAW_cleaned[[#This Row],[Category]]="Payments", IF(Transactions_RAW_cleaned[[#This Row],[Amount]]&gt;500,"High Value","Standard"),
    IF(Transactions_RAW_cleaned[[#This Row],[Amount]]&gt;250,"High Value","Standard")))</f>
        <v>High Value</v>
      </c>
      <c r="Q1670" s="5" t="str">
        <f>IF(Transactions_RAW_cleaned[[#This Row],[Amount]] &gt; (_xlfn.XLOOKUP(Transactions_RAW_cleaned[[#This Row],[ServiceID]],Services_cleaned[ServiceID],Services_cleaned[TransactionFeePct]) * 10000), "Yes", "No")</f>
        <v>Yes</v>
      </c>
      <c r="R1670" s="5" t="str">
        <f>IF(COUNTIFS($C$2:Transactions_RAW_cleaned[[#This Row],[CustomerID]],Transactions_RAW_cleaned[[#This Row],[CustomerID]],$D$2:Transactions_RAW_cleaned[[#This Row],[ServiceID]],Transactions_RAW_cleaned[[#This Row],[ServiceID]])=1,"Yes","No")</f>
        <v>No</v>
      </c>
      <c r="S167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70" t="str">
        <f>"Q"&amp;ROUNDUP(MONTH(Transactions_RAW_cleaned[[#This Row],[TransactionDate]])/3,0)</f>
        <v>Q2</v>
      </c>
      <c r="U1670" t="str">
        <f>Transactions_RAW_cleaned[[#This Row],[Region ]]&amp;Transactions_RAW_cleaned[[#This Row],[Quarter ]]</f>
        <v>NAQ2</v>
      </c>
      <c r="V1670" s="5">
        <f>_xlfn.XLOOKUP(Transactions_RAW_cleaned[[#This Row],[RegionQuarterKey]], Quarterly_Targets_cleaned[RegionQuarterKey], Quarterly_Targets_cleaned[TargetRevenue])</f>
        <v>260000</v>
      </c>
    </row>
    <row r="1671" spans="1:22" x14ac:dyDescent="0.25">
      <c r="A1671" t="s">
        <v>2006</v>
      </c>
      <c r="B1671" s="1">
        <v>45641</v>
      </c>
      <c r="C1671" t="s">
        <v>227</v>
      </c>
      <c r="D1671" t="s">
        <v>300</v>
      </c>
      <c r="E1671">
        <v>624.88</v>
      </c>
      <c r="F1671" t="s">
        <v>324</v>
      </c>
      <c r="G1671" t="s">
        <v>327</v>
      </c>
      <c r="H1671" t="s">
        <v>332</v>
      </c>
      <c r="I1671" t="s">
        <v>57</v>
      </c>
      <c r="J1671" t="s">
        <v>31</v>
      </c>
      <c r="K1671" t="s">
        <v>32</v>
      </c>
      <c r="L1671" t="s">
        <v>301</v>
      </c>
      <c r="M1671" t="s">
        <v>302</v>
      </c>
      <c r="N1671">
        <v>5.0000000000000001E-3</v>
      </c>
      <c r="O1671" t="str">
        <f>IF(Transactions_RAW_cleaned[[#This Row],[Status]]="Completed", IFERROR(_xlfn.XLOOKUP(Transactions_RAW_cleaned[[#This Row],[CustomerID]], Customers_cleaned[CustomerID], Customers_cleaned[Segment]), "Customer Not Found"), "N/A")</f>
        <v>Startup</v>
      </c>
      <c r="P1671" s="5" t="str">
        <f>IF(Transactions_RAW_cleaned[[#This Row],[Status]]="Refunded", "Refund",
  IF(Transactions_RAW_cleaned[[#This Row],[Category]]="Payments", IF(Transactions_RAW_cleaned[[#This Row],[Amount]]&gt;500,"High Value","Standard"),
    IF(Transactions_RAW_cleaned[[#This Row],[Amount]]&gt;250,"High Value","Standard")))</f>
        <v>High Value</v>
      </c>
      <c r="Q1671" s="5" t="str">
        <f>IF(Transactions_RAW_cleaned[[#This Row],[Amount]] &gt; (_xlfn.XLOOKUP(Transactions_RAW_cleaned[[#This Row],[ServiceID]],Services_cleaned[ServiceID],Services_cleaned[TransactionFeePct]) * 10000), "Yes", "No")</f>
        <v>Yes</v>
      </c>
      <c r="R1671" s="5" t="str">
        <f>IF(COUNTIFS($C$2:Transactions_RAW_cleaned[[#This Row],[CustomerID]],Transactions_RAW_cleaned[[#This Row],[CustomerID]],$D$2:Transactions_RAW_cleaned[[#This Row],[ServiceID]],Transactions_RAW_cleaned[[#This Row],[ServiceID]])=1,"Yes","No")</f>
        <v>No</v>
      </c>
      <c r="S167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671" t="str">
        <f>"Q"&amp;ROUNDUP(MONTH(Transactions_RAW_cleaned[[#This Row],[TransactionDate]])/3,0)</f>
        <v>Q4</v>
      </c>
      <c r="U1671" t="str">
        <f>Transactions_RAW_cleaned[[#This Row],[Region ]]&amp;Transactions_RAW_cleaned[[#This Row],[Quarter ]]</f>
        <v>EMEAQ4</v>
      </c>
      <c r="V1671" s="5">
        <f>_xlfn.XLOOKUP(Transactions_RAW_cleaned[[#This Row],[RegionQuarterKey]], Quarterly_Targets_cleaned[RegionQuarterKey], Quarterly_Targets_cleaned[TargetRevenue])</f>
        <v>161000</v>
      </c>
    </row>
    <row r="1672" spans="1:22" x14ac:dyDescent="0.25">
      <c r="A1672" t="s">
        <v>2007</v>
      </c>
      <c r="B1672" s="1">
        <v>45372</v>
      </c>
      <c r="C1672" t="s">
        <v>131</v>
      </c>
      <c r="D1672" t="s">
        <v>297</v>
      </c>
      <c r="E1672">
        <v>413.15</v>
      </c>
      <c r="F1672" t="s">
        <v>324</v>
      </c>
      <c r="G1672" t="s">
        <v>327</v>
      </c>
      <c r="H1672" t="s">
        <v>346</v>
      </c>
      <c r="I1672" t="s">
        <v>17</v>
      </c>
      <c r="J1672" t="s">
        <v>102</v>
      </c>
      <c r="K1672" t="s">
        <v>22</v>
      </c>
      <c r="L1672" t="s">
        <v>298</v>
      </c>
      <c r="M1672" t="s">
        <v>299</v>
      </c>
      <c r="N1672">
        <v>0</v>
      </c>
      <c r="O1672" t="str">
        <f>IF(Transactions_RAW_cleaned[[#This Row],[Status]]="Completed", IFERROR(_xlfn.XLOOKUP(Transactions_RAW_cleaned[[#This Row],[CustomerID]], Customers_cleaned[CustomerID], Customers_cleaned[Segment]), "Customer Not Found"), "N/A")</f>
        <v>Enterprise</v>
      </c>
      <c r="P1672" s="5" t="str">
        <f>IF(Transactions_RAW_cleaned[[#This Row],[Status]]="Refunded", "Refund",
  IF(Transactions_RAW_cleaned[[#This Row],[Category]]="Payments", IF(Transactions_RAW_cleaned[[#This Row],[Amount]]&gt;500,"High Value","Standard"),
    IF(Transactions_RAW_cleaned[[#This Row],[Amount]]&gt;250,"High Value","Standard")))</f>
        <v>High Value</v>
      </c>
      <c r="Q1672" s="5" t="str">
        <f>IF(Transactions_RAW_cleaned[[#This Row],[Amount]] &gt; (_xlfn.XLOOKUP(Transactions_RAW_cleaned[[#This Row],[ServiceID]],Services_cleaned[ServiceID],Services_cleaned[TransactionFeePct]) * 10000), "Yes", "No")</f>
        <v>Yes</v>
      </c>
      <c r="R1672" s="5" t="str">
        <f>IF(COUNTIFS($C$2:Transactions_RAW_cleaned[[#This Row],[CustomerID]],Transactions_RAW_cleaned[[#This Row],[CustomerID]],$D$2:Transactions_RAW_cleaned[[#This Row],[ServiceID]],Transactions_RAW_cleaned[[#This Row],[ServiceID]])=1,"Yes","No")</f>
        <v>No</v>
      </c>
      <c r="S167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72" t="str">
        <f>"Q"&amp;ROUNDUP(MONTH(Transactions_RAW_cleaned[[#This Row],[TransactionDate]])/3,0)</f>
        <v>Q1</v>
      </c>
      <c r="U1672" t="str">
        <f>Transactions_RAW_cleaned[[#This Row],[Region ]]&amp;Transactions_RAW_cleaned[[#This Row],[Quarter ]]</f>
        <v>NAQ1</v>
      </c>
      <c r="V1672" s="5">
        <f>_xlfn.XLOOKUP(Transactions_RAW_cleaned[[#This Row],[RegionQuarterKey]], Quarterly_Targets_cleaned[RegionQuarterKey], Quarterly_Targets_cleaned[TargetRevenue])</f>
        <v>247000</v>
      </c>
    </row>
    <row r="1673" spans="1:22" x14ac:dyDescent="0.25">
      <c r="A1673" t="s">
        <v>2008</v>
      </c>
      <c r="B1673" s="1">
        <v>45395</v>
      </c>
      <c r="C1673" t="s">
        <v>49</v>
      </c>
      <c r="D1673" t="s">
        <v>315</v>
      </c>
      <c r="E1673">
        <v>477.33</v>
      </c>
      <c r="F1673" t="s">
        <v>324</v>
      </c>
      <c r="G1673" t="s">
        <v>337</v>
      </c>
      <c r="H1673" t="s">
        <v>332</v>
      </c>
      <c r="I1673" t="s">
        <v>8</v>
      </c>
      <c r="J1673" t="s">
        <v>102</v>
      </c>
      <c r="K1673" t="s">
        <v>32</v>
      </c>
      <c r="L1673" t="s">
        <v>316</v>
      </c>
      <c r="M1673" t="s">
        <v>305</v>
      </c>
      <c r="N1673">
        <v>2.5000000000000001E-3</v>
      </c>
      <c r="O1673" t="str">
        <f>IF(Transactions_RAW_cleaned[[#This Row],[Status]]="Completed", IFERROR(_xlfn.XLOOKUP(Transactions_RAW_cleaned[[#This Row],[CustomerID]], Customers_cleaned[CustomerID], Customers_cleaned[Segment]), "Customer Not Found"), "N/A")</f>
        <v>SMB</v>
      </c>
      <c r="P1673" s="5" t="str">
        <f>IF(Transactions_RAW_cleaned[[#This Row],[Status]]="Refunded", "Refund",
  IF(Transactions_RAW_cleaned[[#This Row],[Category]]="Payments", IF(Transactions_RAW_cleaned[[#This Row],[Amount]]&gt;500,"High Value","Standard"),
    IF(Transactions_RAW_cleaned[[#This Row],[Amount]]&gt;250,"High Value","Standard")))</f>
        <v>High Value</v>
      </c>
      <c r="Q1673" s="5" t="str">
        <f>IF(Transactions_RAW_cleaned[[#This Row],[Amount]] &gt; (_xlfn.XLOOKUP(Transactions_RAW_cleaned[[#This Row],[ServiceID]],Services_cleaned[ServiceID],Services_cleaned[TransactionFeePct]) * 10000), "Yes", "No")</f>
        <v>Yes</v>
      </c>
      <c r="R1673" s="5" t="str">
        <f>IF(COUNTIFS($C$2:Transactions_RAW_cleaned[[#This Row],[CustomerID]],Transactions_RAW_cleaned[[#This Row],[CustomerID]],$D$2:Transactions_RAW_cleaned[[#This Row],[ServiceID]],Transactions_RAW_cleaned[[#This Row],[ServiceID]])=1,"Yes","No")</f>
        <v>Yes</v>
      </c>
      <c r="S167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73" t="str">
        <f>"Q"&amp;ROUNDUP(MONTH(Transactions_RAW_cleaned[[#This Row],[TransactionDate]])/3,0)</f>
        <v>Q2</v>
      </c>
      <c r="U1673" t="str">
        <f>Transactions_RAW_cleaned[[#This Row],[Region ]]&amp;Transactions_RAW_cleaned[[#This Row],[Quarter ]]</f>
        <v>NAQ2</v>
      </c>
      <c r="V1673" s="5">
        <f>_xlfn.XLOOKUP(Transactions_RAW_cleaned[[#This Row],[RegionQuarterKey]], Quarterly_Targets_cleaned[RegionQuarterKey], Quarterly_Targets_cleaned[TargetRevenue])</f>
        <v>260000</v>
      </c>
    </row>
    <row r="1674" spans="1:22" x14ac:dyDescent="0.25">
      <c r="A1674" t="s">
        <v>2009</v>
      </c>
      <c r="B1674" s="1">
        <v>45595</v>
      </c>
      <c r="C1674" t="s">
        <v>115</v>
      </c>
      <c r="D1674" t="s">
        <v>294</v>
      </c>
      <c r="E1674">
        <v>316.37</v>
      </c>
      <c r="F1674" t="s">
        <v>324</v>
      </c>
      <c r="G1674" t="s">
        <v>327</v>
      </c>
      <c r="H1674" t="s">
        <v>346</v>
      </c>
      <c r="I1674" t="s">
        <v>17</v>
      </c>
      <c r="J1674" t="s">
        <v>102</v>
      </c>
      <c r="K1674" t="s">
        <v>32</v>
      </c>
      <c r="L1674" t="s">
        <v>295</v>
      </c>
      <c r="M1674" t="s">
        <v>296</v>
      </c>
      <c r="N1674">
        <v>2.9000000000000001E-2</v>
      </c>
      <c r="O1674" t="str">
        <f>IF(Transactions_RAW_cleaned[[#This Row],[Status]]="Completed", IFERROR(_xlfn.XLOOKUP(Transactions_RAW_cleaned[[#This Row],[CustomerID]], Customers_cleaned[CustomerID], Customers_cleaned[Segment]), "Customer Not Found"), "N/A")</f>
        <v>Enterprise</v>
      </c>
      <c r="P1674" s="5" t="str">
        <f>IF(Transactions_RAW_cleaned[[#This Row],[Status]]="Refunded", "Refund",
  IF(Transactions_RAW_cleaned[[#This Row],[Category]]="Payments", IF(Transactions_RAW_cleaned[[#This Row],[Amount]]&gt;500,"High Value","Standard"),
    IF(Transactions_RAW_cleaned[[#This Row],[Amount]]&gt;250,"High Value","Standard")))</f>
        <v>Standard</v>
      </c>
      <c r="Q1674" s="5" t="str">
        <f>IF(Transactions_RAW_cleaned[[#This Row],[Amount]] &gt; (_xlfn.XLOOKUP(Transactions_RAW_cleaned[[#This Row],[ServiceID]],Services_cleaned[ServiceID],Services_cleaned[TransactionFeePct]) * 10000), "Yes", "No")</f>
        <v>Yes</v>
      </c>
      <c r="R1674" s="5" t="str">
        <f>IF(COUNTIFS($C$2:Transactions_RAW_cleaned[[#This Row],[CustomerID]],Transactions_RAW_cleaned[[#This Row],[CustomerID]],$D$2:Transactions_RAW_cleaned[[#This Row],[ServiceID]],Transactions_RAW_cleaned[[#This Row],[ServiceID]])=1,"Yes","No")</f>
        <v>No</v>
      </c>
      <c r="S167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74" t="str">
        <f>"Q"&amp;ROUNDUP(MONTH(Transactions_RAW_cleaned[[#This Row],[TransactionDate]])/3,0)</f>
        <v>Q4</v>
      </c>
      <c r="U1674" t="str">
        <f>Transactions_RAW_cleaned[[#This Row],[Region ]]&amp;Transactions_RAW_cleaned[[#This Row],[Quarter ]]</f>
        <v>NAQ4</v>
      </c>
      <c r="V1674" s="5">
        <f>_xlfn.XLOOKUP(Transactions_RAW_cleaned[[#This Row],[RegionQuarterKey]], Quarterly_Targets_cleaned[RegionQuarterKey], Quarterly_Targets_cleaned[TargetRevenue])</f>
        <v>299000</v>
      </c>
    </row>
    <row r="1675" spans="1:22" x14ac:dyDescent="0.25">
      <c r="A1675" t="s">
        <v>2010</v>
      </c>
      <c r="B1675" s="1">
        <v>45644</v>
      </c>
      <c r="C1675" t="s">
        <v>90</v>
      </c>
      <c r="D1675" t="s">
        <v>309</v>
      </c>
      <c r="E1675">
        <v>650.23</v>
      </c>
      <c r="F1675" t="s">
        <v>324</v>
      </c>
      <c r="G1675" t="s">
        <v>327</v>
      </c>
      <c r="H1675" t="s">
        <v>332</v>
      </c>
      <c r="I1675" t="s">
        <v>8</v>
      </c>
      <c r="J1675" t="s">
        <v>102</v>
      </c>
      <c r="K1675" t="s">
        <v>28</v>
      </c>
      <c r="L1675" t="s">
        <v>310</v>
      </c>
      <c r="M1675" t="s">
        <v>311</v>
      </c>
      <c r="N1675">
        <v>0</v>
      </c>
      <c r="O1675" t="str">
        <f>IF(Transactions_RAW_cleaned[[#This Row],[Status]]="Completed", IFERROR(_xlfn.XLOOKUP(Transactions_RAW_cleaned[[#This Row],[CustomerID]], Customers_cleaned[CustomerID], Customers_cleaned[Segment]), "Customer Not Found"), "N/A")</f>
        <v>SMB</v>
      </c>
      <c r="P1675" s="5" t="str">
        <f>IF(Transactions_RAW_cleaned[[#This Row],[Status]]="Refunded", "Refund",
  IF(Transactions_RAW_cleaned[[#This Row],[Category]]="Payments", IF(Transactions_RAW_cleaned[[#This Row],[Amount]]&gt;500,"High Value","Standard"),
    IF(Transactions_RAW_cleaned[[#This Row],[Amount]]&gt;250,"High Value","Standard")))</f>
        <v>High Value</v>
      </c>
      <c r="Q1675" s="5" t="str">
        <f>IF(Transactions_RAW_cleaned[[#This Row],[Amount]] &gt; (_xlfn.XLOOKUP(Transactions_RAW_cleaned[[#This Row],[ServiceID]],Services_cleaned[ServiceID],Services_cleaned[TransactionFeePct]) * 10000), "Yes", "No")</f>
        <v>Yes</v>
      </c>
      <c r="R1675" s="5" t="str">
        <f>IF(COUNTIFS($C$2:Transactions_RAW_cleaned[[#This Row],[CustomerID]],Transactions_RAW_cleaned[[#This Row],[CustomerID]],$D$2:Transactions_RAW_cleaned[[#This Row],[ServiceID]],Transactions_RAW_cleaned[[#This Row],[ServiceID]])=1,"Yes","No")</f>
        <v>No</v>
      </c>
      <c r="S167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75" t="str">
        <f>"Q"&amp;ROUNDUP(MONTH(Transactions_RAW_cleaned[[#This Row],[TransactionDate]])/3,0)</f>
        <v>Q4</v>
      </c>
      <c r="U1675" t="str">
        <f>Transactions_RAW_cleaned[[#This Row],[Region ]]&amp;Transactions_RAW_cleaned[[#This Row],[Quarter ]]</f>
        <v>NAQ4</v>
      </c>
      <c r="V1675" s="5">
        <f>_xlfn.XLOOKUP(Transactions_RAW_cleaned[[#This Row],[RegionQuarterKey]], Quarterly_Targets_cleaned[RegionQuarterKey], Quarterly_Targets_cleaned[TargetRevenue])</f>
        <v>299000</v>
      </c>
    </row>
    <row r="1676" spans="1:22" x14ac:dyDescent="0.25">
      <c r="A1676" t="s">
        <v>2011</v>
      </c>
      <c r="B1676" s="1">
        <v>45607</v>
      </c>
      <c r="C1676" t="s">
        <v>163</v>
      </c>
      <c r="D1676" t="s">
        <v>303</v>
      </c>
      <c r="E1676">
        <v>915.29</v>
      </c>
      <c r="F1676" t="s">
        <v>324</v>
      </c>
      <c r="G1676" t="s">
        <v>325</v>
      </c>
      <c r="I1676" t="s">
        <v>17</v>
      </c>
      <c r="J1676" t="s">
        <v>102</v>
      </c>
      <c r="K1676" t="s">
        <v>18</v>
      </c>
      <c r="L1676" t="s">
        <v>304</v>
      </c>
      <c r="M1676" t="s">
        <v>305</v>
      </c>
      <c r="N1676">
        <v>1E-3</v>
      </c>
      <c r="O1676" t="str">
        <f>IF(Transactions_RAW_cleaned[[#This Row],[Status]]="Completed", IFERROR(_xlfn.XLOOKUP(Transactions_RAW_cleaned[[#This Row],[CustomerID]], Customers_cleaned[CustomerID], Customers_cleaned[Segment]), "Customer Not Found"), "N/A")</f>
        <v>Enterprise</v>
      </c>
      <c r="P1676" s="5" t="str">
        <f>IF(Transactions_RAW_cleaned[[#This Row],[Status]]="Refunded", "Refund",
  IF(Transactions_RAW_cleaned[[#This Row],[Category]]="Payments", IF(Transactions_RAW_cleaned[[#This Row],[Amount]]&gt;500,"High Value","Standard"),
    IF(Transactions_RAW_cleaned[[#This Row],[Amount]]&gt;250,"High Value","Standard")))</f>
        <v>High Value</v>
      </c>
      <c r="Q1676" s="5" t="str">
        <f>IF(Transactions_RAW_cleaned[[#This Row],[Amount]] &gt; (_xlfn.XLOOKUP(Transactions_RAW_cleaned[[#This Row],[ServiceID]],Services_cleaned[ServiceID],Services_cleaned[TransactionFeePct]) * 10000), "Yes", "No")</f>
        <v>Yes</v>
      </c>
      <c r="R1676" s="5" t="str">
        <f>IF(COUNTIFS($C$2:Transactions_RAW_cleaned[[#This Row],[CustomerID]],Transactions_RAW_cleaned[[#This Row],[CustomerID]],$D$2:Transactions_RAW_cleaned[[#This Row],[ServiceID]],Transactions_RAW_cleaned[[#This Row],[ServiceID]])=1,"Yes","No")</f>
        <v>No</v>
      </c>
      <c r="S167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76" t="str">
        <f>"Q"&amp;ROUNDUP(MONTH(Transactions_RAW_cleaned[[#This Row],[TransactionDate]])/3,0)</f>
        <v>Q4</v>
      </c>
      <c r="U1676" t="str">
        <f>Transactions_RAW_cleaned[[#This Row],[Region ]]&amp;Transactions_RAW_cleaned[[#This Row],[Quarter ]]</f>
        <v>NAQ4</v>
      </c>
      <c r="V1676" s="5">
        <f>_xlfn.XLOOKUP(Transactions_RAW_cleaned[[#This Row],[RegionQuarterKey]], Quarterly_Targets_cleaned[RegionQuarterKey], Quarterly_Targets_cleaned[TargetRevenue])</f>
        <v>299000</v>
      </c>
    </row>
    <row r="1677" spans="1:22" x14ac:dyDescent="0.25">
      <c r="A1677" t="s">
        <v>2012</v>
      </c>
      <c r="B1677" s="1">
        <v>45463</v>
      </c>
      <c r="C1677" t="s">
        <v>119</v>
      </c>
      <c r="D1677" t="s">
        <v>309</v>
      </c>
      <c r="E1677">
        <v>302.62</v>
      </c>
      <c r="F1677" t="s">
        <v>381</v>
      </c>
      <c r="G1677" t="s">
        <v>325</v>
      </c>
      <c r="I1677" t="s">
        <v>57</v>
      </c>
      <c r="J1677" t="s">
        <v>102</v>
      </c>
      <c r="K1677" t="s">
        <v>18</v>
      </c>
      <c r="L1677" t="s">
        <v>310</v>
      </c>
      <c r="M1677" t="s">
        <v>311</v>
      </c>
      <c r="N1677">
        <v>0</v>
      </c>
      <c r="O1677" t="str">
        <f>IF(Transactions_RAW_cleaned[[#This Row],[Status]]="Completed", IFERROR(_xlfn.XLOOKUP(Transactions_RAW_cleaned[[#This Row],[CustomerID]], Customers_cleaned[CustomerID], Customers_cleaned[Segment]), "Customer Not Found"), "N/A")</f>
        <v>N/A</v>
      </c>
      <c r="P1677" s="5" t="str">
        <f>IF(Transactions_RAW_cleaned[[#This Row],[Status]]="Refunded", "Refund",
  IF(Transactions_RAW_cleaned[[#This Row],[Category]]="Payments", IF(Transactions_RAW_cleaned[[#This Row],[Amount]]&gt;500,"High Value","Standard"),
    IF(Transactions_RAW_cleaned[[#This Row],[Amount]]&gt;250,"High Value","Standard")))</f>
        <v>High Value</v>
      </c>
      <c r="Q1677" s="5" t="str">
        <f>IF(Transactions_RAW_cleaned[[#This Row],[Amount]] &gt; (_xlfn.XLOOKUP(Transactions_RAW_cleaned[[#This Row],[ServiceID]],Services_cleaned[ServiceID],Services_cleaned[TransactionFeePct]) * 10000), "Yes", "No")</f>
        <v>Yes</v>
      </c>
      <c r="R1677" s="5" t="str">
        <f>IF(COUNTIFS($C$2:Transactions_RAW_cleaned[[#This Row],[CustomerID]],Transactions_RAW_cleaned[[#This Row],[CustomerID]],$D$2:Transactions_RAW_cleaned[[#This Row],[ServiceID]],Transactions_RAW_cleaned[[#This Row],[ServiceID]])=1,"Yes","No")</f>
        <v>No</v>
      </c>
      <c r="S167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77" t="str">
        <f>"Q"&amp;ROUNDUP(MONTH(Transactions_RAW_cleaned[[#This Row],[TransactionDate]])/3,0)</f>
        <v>Q2</v>
      </c>
      <c r="U1677" t="str">
        <f>Transactions_RAW_cleaned[[#This Row],[Region ]]&amp;Transactions_RAW_cleaned[[#This Row],[Quarter ]]</f>
        <v>NAQ2</v>
      </c>
      <c r="V1677" s="5">
        <f>_xlfn.XLOOKUP(Transactions_RAW_cleaned[[#This Row],[RegionQuarterKey]], Quarterly_Targets_cleaned[RegionQuarterKey], Quarterly_Targets_cleaned[TargetRevenue])</f>
        <v>260000</v>
      </c>
    </row>
    <row r="1678" spans="1:22" x14ac:dyDescent="0.25">
      <c r="A1678" t="s">
        <v>2013</v>
      </c>
      <c r="B1678" s="1">
        <v>45369</v>
      </c>
      <c r="C1678" t="s">
        <v>119</v>
      </c>
      <c r="D1678" t="s">
        <v>297</v>
      </c>
      <c r="E1678">
        <v>450.3</v>
      </c>
      <c r="F1678" t="s">
        <v>324</v>
      </c>
      <c r="G1678" t="s">
        <v>2963</v>
      </c>
      <c r="I1678" t="s">
        <v>57</v>
      </c>
      <c r="J1678" t="s">
        <v>102</v>
      </c>
      <c r="K1678" t="s">
        <v>18</v>
      </c>
      <c r="L1678" t="s">
        <v>298</v>
      </c>
      <c r="M1678" t="s">
        <v>299</v>
      </c>
      <c r="N1678">
        <v>0</v>
      </c>
      <c r="O1678" t="str">
        <f>IF(Transactions_RAW_cleaned[[#This Row],[Status]]="Completed", IFERROR(_xlfn.XLOOKUP(Transactions_RAW_cleaned[[#This Row],[CustomerID]], Customers_cleaned[CustomerID], Customers_cleaned[Segment]), "Customer Not Found"), "N/A")</f>
        <v>Startup</v>
      </c>
      <c r="P1678" s="5" t="str">
        <f>IF(Transactions_RAW_cleaned[[#This Row],[Status]]="Refunded", "Refund",
  IF(Transactions_RAW_cleaned[[#This Row],[Category]]="Payments", IF(Transactions_RAW_cleaned[[#This Row],[Amount]]&gt;500,"High Value","Standard"),
    IF(Transactions_RAW_cleaned[[#This Row],[Amount]]&gt;250,"High Value","Standard")))</f>
        <v>High Value</v>
      </c>
      <c r="Q1678" s="5" t="str">
        <f>IF(Transactions_RAW_cleaned[[#This Row],[Amount]] &gt; (_xlfn.XLOOKUP(Transactions_RAW_cleaned[[#This Row],[ServiceID]],Services_cleaned[ServiceID],Services_cleaned[TransactionFeePct]) * 10000), "Yes", "No")</f>
        <v>Yes</v>
      </c>
      <c r="R1678" s="5" t="str">
        <f>IF(COUNTIFS($C$2:Transactions_RAW_cleaned[[#This Row],[CustomerID]],Transactions_RAW_cleaned[[#This Row],[CustomerID]],$D$2:Transactions_RAW_cleaned[[#This Row],[ServiceID]],Transactions_RAW_cleaned[[#This Row],[ServiceID]])=1,"Yes","No")</f>
        <v>No</v>
      </c>
      <c r="S167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78" t="str">
        <f>"Q"&amp;ROUNDUP(MONTH(Transactions_RAW_cleaned[[#This Row],[TransactionDate]])/3,0)</f>
        <v>Q1</v>
      </c>
      <c r="U1678" t="str">
        <f>Transactions_RAW_cleaned[[#This Row],[Region ]]&amp;Transactions_RAW_cleaned[[#This Row],[Quarter ]]</f>
        <v>NAQ1</v>
      </c>
      <c r="V1678" s="5">
        <f>_xlfn.XLOOKUP(Transactions_RAW_cleaned[[#This Row],[RegionQuarterKey]], Quarterly_Targets_cleaned[RegionQuarterKey], Quarterly_Targets_cleaned[TargetRevenue])</f>
        <v>247000</v>
      </c>
    </row>
    <row r="1679" spans="1:22" x14ac:dyDescent="0.25">
      <c r="A1679" t="s">
        <v>2014</v>
      </c>
      <c r="B1679" s="1">
        <v>45480</v>
      </c>
      <c r="C1679" t="s">
        <v>94</v>
      </c>
      <c r="D1679" t="s">
        <v>297</v>
      </c>
      <c r="E1679">
        <v>233.71</v>
      </c>
      <c r="F1679" t="s">
        <v>381</v>
      </c>
      <c r="G1679" t="s">
        <v>2963</v>
      </c>
      <c r="H1679" t="s">
        <v>332</v>
      </c>
      <c r="I1679" t="s">
        <v>8</v>
      </c>
      <c r="J1679" t="s">
        <v>21</v>
      </c>
      <c r="K1679" t="s">
        <v>14</v>
      </c>
      <c r="L1679" t="s">
        <v>298</v>
      </c>
      <c r="M1679" t="s">
        <v>299</v>
      </c>
      <c r="N1679">
        <v>0</v>
      </c>
      <c r="O1679" t="str">
        <f>IF(Transactions_RAW_cleaned[[#This Row],[Status]]="Completed", IFERROR(_xlfn.XLOOKUP(Transactions_RAW_cleaned[[#This Row],[CustomerID]], Customers_cleaned[CustomerID], Customers_cleaned[Segment]), "Customer Not Found"), "N/A")</f>
        <v>N/A</v>
      </c>
      <c r="P1679" s="5" t="str">
        <f>IF(Transactions_RAW_cleaned[[#This Row],[Status]]="Refunded", "Refund",
  IF(Transactions_RAW_cleaned[[#This Row],[Category]]="Payments", IF(Transactions_RAW_cleaned[[#This Row],[Amount]]&gt;500,"High Value","Standard"),
    IF(Transactions_RAW_cleaned[[#This Row],[Amount]]&gt;250,"High Value","Standard")))</f>
        <v>Standard</v>
      </c>
      <c r="Q1679" s="5" t="str">
        <f>IF(Transactions_RAW_cleaned[[#This Row],[Amount]] &gt; (_xlfn.XLOOKUP(Transactions_RAW_cleaned[[#This Row],[ServiceID]],Services_cleaned[ServiceID],Services_cleaned[TransactionFeePct]) * 10000), "Yes", "No")</f>
        <v>Yes</v>
      </c>
      <c r="R1679" s="5" t="str">
        <f>IF(COUNTIFS($C$2:Transactions_RAW_cleaned[[#This Row],[CustomerID]],Transactions_RAW_cleaned[[#This Row],[CustomerID]],$D$2:Transactions_RAW_cleaned[[#This Row],[ServiceID]],Transactions_RAW_cleaned[[#This Row],[ServiceID]])=1,"Yes","No")</f>
        <v>No</v>
      </c>
      <c r="S167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79" t="str">
        <f>"Q"&amp;ROUNDUP(MONTH(Transactions_RAW_cleaned[[#This Row],[TransactionDate]])/3,0)</f>
        <v>Q3</v>
      </c>
      <c r="U1679" t="str">
        <f>Transactions_RAW_cleaned[[#This Row],[Region ]]&amp;Transactions_RAW_cleaned[[#This Row],[Quarter ]]</f>
        <v>APACQ3</v>
      </c>
      <c r="V1679" s="5">
        <f>_xlfn.XLOOKUP(Transactions_RAW_cleaned[[#This Row],[RegionQuarterKey]], Quarterly_Targets_cleaned[RegionQuarterKey], Quarterly_Targets_cleaned[TargetRevenue])</f>
        <v>115500</v>
      </c>
    </row>
    <row r="1680" spans="1:22" x14ac:dyDescent="0.25">
      <c r="A1680" t="s">
        <v>2015</v>
      </c>
      <c r="B1680" s="1">
        <v>45436</v>
      </c>
      <c r="C1680" t="s">
        <v>197</v>
      </c>
      <c r="D1680" t="s">
        <v>306</v>
      </c>
      <c r="E1680">
        <v>896.59</v>
      </c>
      <c r="F1680" t="s">
        <v>324</v>
      </c>
      <c r="G1680" t="s">
        <v>337</v>
      </c>
      <c r="I1680" t="s">
        <v>8</v>
      </c>
      <c r="J1680" t="s">
        <v>46</v>
      </c>
      <c r="K1680" t="s">
        <v>14</v>
      </c>
      <c r="L1680" t="s">
        <v>307</v>
      </c>
      <c r="M1680" t="s">
        <v>308</v>
      </c>
      <c r="N1680">
        <v>0</v>
      </c>
      <c r="O1680" t="str">
        <f>IF(Transactions_RAW_cleaned[[#This Row],[Status]]="Completed", IFERROR(_xlfn.XLOOKUP(Transactions_RAW_cleaned[[#This Row],[CustomerID]], Customers_cleaned[CustomerID], Customers_cleaned[Segment]), "Customer Not Found"), "N/A")</f>
        <v>SMB</v>
      </c>
      <c r="P1680" s="5" t="str">
        <f>IF(Transactions_RAW_cleaned[[#This Row],[Status]]="Refunded", "Refund",
  IF(Transactions_RAW_cleaned[[#This Row],[Category]]="Payments", IF(Transactions_RAW_cleaned[[#This Row],[Amount]]&gt;500,"High Value","Standard"),
    IF(Transactions_RAW_cleaned[[#This Row],[Amount]]&gt;250,"High Value","Standard")))</f>
        <v>High Value</v>
      </c>
      <c r="Q1680" s="5" t="str">
        <f>IF(Transactions_RAW_cleaned[[#This Row],[Amount]] &gt; (_xlfn.XLOOKUP(Transactions_RAW_cleaned[[#This Row],[ServiceID]],Services_cleaned[ServiceID],Services_cleaned[TransactionFeePct]) * 10000), "Yes", "No")</f>
        <v>Yes</v>
      </c>
      <c r="R1680" s="5" t="str">
        <f>IF(COUNTIFS($C$2:Transactions_RAW_cleaned[[#This Row],[CustomerID]],Transactions_RAW_cleaned[[#This Row],[CustomerID]],$D$2:Transactions_RAW_cleaned[[#This Row],[ServiceID]],Transactions_RAW_cleaned[[#This Row],[ServiceID]])=1,"Yes","No")</f>
        <v>Yes</v>
      </c>
      <c r="S168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80" t="str">
        <f>"Q"&amp;ROUNDUP(MONTH(Transactions_RAW_cleaned[[#This Row],[TransactionDate]])/3,0)</f>
        <v>Q2</v>
      </c>
      <c r="U1680" t="str">
        <f>Transactions_RAW_cleaned[[#This Row],[Region ]]&amp;Transactions_RAW_cleaned[[#This Row],[Quarter ]]</f>
        <v>APACQ2</v>
      </c>
      <c r="V1680" s="5">
        <f>_xlfn.XLOOKUP(Transactions_RAW_cleaned[[#This Row],[RegionQuarterKey]], Quarterly_Targets_cleaned[RegionQuarterKey], Quarterly_Targets_cleaned[TargetRevenue])</f>
        <v>110000</v>
      </c>
    </row>
    <row r="1681" spans="1:22" x14ac:dyDescent="0.25">
      <c r="A1681" t="s">
        <v>2016</v>
      </c>
      <c r="B1681" s="1">
        <v>45551</v>
      </c>
      <c r="C1681" t="s">
        <v>257</v>
      </c>
      <c r="D1681" t="s">
        <v>300</v>
      </c>
      <c r="E1681">
        <v>330.25</v>
      </c>
      <c r="F1681" t="s">
        <v>381</v>
      </c>
      <c r="G1681" t="s">
        <v>329</v>
      </c>
      <c r="H1681" t="s">
        <v>334</v>
      </c>
      <c r="I1681" t="s">
        <v>57</v>
      </c>
      <c r="J1681" t="s">
        <v>13</v>
      </c>
      <c r="K1681" t="s">
        <v>22</v>
      </c>
      <c r="L1681" t="s">
        <v>301</v>
      </c>
      <c r="M1681" t="s">
        <v>302</v>
      </c>
      <c r="N1681">
        <v>5.0000000000000001E-3</v>
      </c>
      <c r="O1681" t="str">
        <f>IF(Transactions_RAW_cleaned[[#This Row],[Status]]="Completed", IFERROR(_xlfn.XLOOKUP(Transactions_RAW_cleaned[[#This Row],[CustomerID]], Customers_cleaned[CustomerID], Customers_cleaned[Segment]), "Customer Not Found"), "N/A")</f>
        <v>N/A</v>
      </c>
      <c r="P1681" s="5" t="str">
        <f>IF(Transactions_RAW_cleaned[[#This Row],[Status]]="Refunded", "Refund",
  IF(Transactions_RAW_cleaned[[#This Row],[Category]]="Payments", IF(Transactions_RAW_cleaned[[#This Row],[Amount]]&gt;500,"High Value","Standard"),
    IF(Transactions_RAW_cleaned[[#This Row],[Amount]]&gt;250,"High Value","Standard")))</f>
        <v>High Value</v>
      </c>
      <c r="Q1681" s="5" t="str">
        <f>IF(Transactions_RAW_cleaned[[#This Row],[Amount]] &gt; (_xlfn.XLOOKUP(Transactions_RAW_cleaned[[#This Row],[ServiceID]],Services_cleaned[ServiceID],Services_cleaned[TransactionFeePct]) * 10000), "Yes", "No")</f>
        <v>Yes</v>
      </c>
      <c r="R1681" s="5" t="str">
        <f>IF(COUNTIFS($C$2:Transactions_RAW_cleaned[[#This Row],[CustomerID]],Transactions_RAW_cleaned[[#This Row],[CustomerID]],$D$2:Transactions_RAW_cleaned[[#This Row],[ServiceID]],Transactions_RAW_cleaned[[#This Row],[ServiceID]])=1,"Yes","No")</f>
        <v>No</v>
      </c>
      <c r="S168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81" t="str">
        <f>"Q"&amp;ROUNDUP(MONTH(Transactions_RAW_cleaned[[#This Row],[TransactionDate]])/3,0)</f>
        <v>Q3</v>
      </c>
      <c r="U1681" t="str">
        <f>Transactions_RAW_cleaned[[#This Row],[Region ]]&amp;Transactions_RAW_cleaned[[#This Row],[Quarter ]]</f>
        <v>NAQ3</v>
      </c>
      <c r="V1681" s="5">
        <f>_xlfn.XLOOKUP(Transactions_RAW_cleaned[[#This Row],[RegionQuarterKey]], Quarterly_Targets_cleaned[RegionQuarterKey], Quarterly_Targets_cleaned[TargetRevenue])</f>
        <v>273000</v>
      </c>
    </row>
    <row r="1682" spans="1:22" x14ac:dyDescent="0.25">
      <c r="A1682" t="s">
        <v>2017</v>
      </c>
      <c r="B1682" s="1">
        <v>45296</v>
      </c>
      <c r="C1682" t="s">
        <v>157</v>
      </c>
      <c r="D1682" t="s">
        <v>303</v>
      </c>
      <c r="E1682">
        <v>557.36</v>
      </c>
      <c r="F1682" t="s">
        <v>324</v>
      </c>
      <c r="G1682" t="s">
        <v>327</v>
      </c>
      <c r="I1682" t="s">
        <v>8</v>
      </c>
      <c r="J1682" t="s">
        <v>102</v>
      </c>
      <c r="K1682" t="s">
        <v>14</v>
      </c>
      <c r="L1682" t="s">
        <v>304</v>
      </c>
      <c r="M1682" t="s">
        <v>305</v>
      </c>
      <c r="N1682">
        <v>1E-3</v>
      </c>
      <c r="O1682" t="str">
        <f>IF(Transactions_RAW_cleaned[[#This Row],[Status]]="Completed", IFERROR(_xlfn.XLOOKUP(Transactions_RAW_cleaned[[#This Row],[CustomerID]], Customers_cleaned[CustomerID], Customers_cleaned[Segment]), "Customer Not Found"), "N/A")</f>
        <v>SMB</v>
      </c>
      <c r="P1682" s="5" t="str">
        <f>IF(Transactions_RAW_cleaned[[#This Row],[Status]]="Refunded", "Refund",
  IF(Transactions_RAW_cleaned[[#This Row],[Category]]="Payments", IF(Transactions_RAW_cleaned[[#This Row],[Amount]]&gt;500,"High Value","Standard"),
    IF(Transactions_RAW_cleaned[[#This Row],[Amount]]&gt;250,"High Value","Standard")))</f>
        <v>High Value</v>
      </c>
      <c r="Q1682" s="5" t="str">
        <f>IF(Transactions_RAW_cleaned[[#This Row],[Amount]] &gt; (_xlfn.XLOOKUP(Transactions_RAW_cleaned[[#This Row],[ServiceID]],Services_cleaned[ServiceID],Services_cleaned[TransactionFeePct]) * 10000), "Yes", "No")</f>
        <v>Yes</v>
      </c>
      <c r="R1682" s="5" t="str">
        <f>IF(COUNTIFS($C$2:Transactions_RAW_cleaned[[#This Row],[CustomerID]],Transactions_RAW_cleaned[[#This Row],[CustomerID]],$D$2:Transactions_RAW_cleaned[[#This Row],[ServiceID]],Transactions_RAW_cleaned[[#This Row],[ServiceID]])=1,"Yes","No")</f>
        <v>Yes</v>
      </c>
      <c r="S168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82" t="str">
        <f>"Q"&amp;ROUNDUP(MONTH(Transactions_RAW_cleaned[[#This Row],[TransactionDate]])/3,0)</f>
        <v>Q1</v>
      </c>
      <c r="U1682" t="str">
        <f>Transactions_RAW_cleaned[[#This Row],[Region ]]&amp;Transactions_RAW_cleaned[[#This Row],[Quarter ]]</f>
        <v>NAQ1</v>
      </c>
      <c r="V1682" s="5">
        <f>_xlfn.XLOOKUP(Transactions_RAW_cleaned[[#This Row],[RegionQuarterKey]], Quarterly_Targets_cleaned[RegionQuarterKey], Quarterly_Targets_cleaned[TargetRevenue])</f>
        <v>247000</v>
      </c>
    </row>
    <row r="1683" spans="1:22" x14ac:dyDescent="0.25">
      <c r="A1683" t="s">
        <v>2018</v>
      </c>
      <c r="B1683" s="1">
        <v>45431</v>
      </c>
      <c r="C1683" t="s">
        <v>641</v>
      </c>
      <c r="D1683" t="s">
        <v>306</v>
      </c>
      <c r="E1683">
        <v>463.34</v>
      </c>
      <c r="F1683" t="s">
        <v>324</v>
      </c>
      <c r="G1683" t="s">
        <v>327</v>
      </c>
      <c r="H1683" t="s">
        <v>346</v>
      </c>
      <c r="I1683" t="s">
        <v>8</v>
      </c>
      <c r="J1683" t="s">
        <v>13</v>
      </c>
      <c r="K1683" t="s">
        <v>22</v>
      </c>
      <c r="L1683" t="s">
        <v>307</v>
      </c>
      <c r="M1683" t="s">
        <v>308</v>
      </c>
      <c r="N1683">
        <v>0</v>
      </c>
      <c r="O1683" t="str">
        <f>IF(Transactions_RAW_cleaned[[#This Row],[Status]]="Completed", IFERROR(_xlfn.XLOOKUP(Transactions_RAW_cleaned[[#This Row],[CustomerID]], Customers_cleaned[CustomerID], Customers_cleaned[Segment]), "Customer Not Found"), "N/A")</f>
        <v>SMB</v>
      </c>
      <c r="P1683" s="5" t="str">
        <f>IF(Transactions_RAW_cleaned[[#This Row],[Status]]="Refunded", "Refund",
  IF(Transactions_RAW_cleaned[[#This Row],[Category]]="Payments", IF(Transactions_RAW_cleaned[[#This Row],[Amount]]&gt;500,"High Value","Standard"),
    IF(Transactions_RAW_cleaned[[#This Row],[Amount]]&gt;250,"High Value","Standard")))</f>
        <v>High Value</v>
      </c>
      <c r="Q1683" s="5" t="str">
        <f>IF(Transactions_RAW_cleaned[[#This Row],[Amount]] &gt; (_xlfn.XLOOKUP(Transactions_RAW_cleaned[[#This Row],[ServiceID]],Services_cleaned[ServiceID],Services_cleaned[TransactionFeePct]) * 10000), "Yes", "No")</f>
        <v>Yes</v>
      </c>
      <c r="R1683" s="5" t="str">
        <f>IF(COUNTIFS($C$2:Transactions_RAW_cleaned[[#This Row],[CustomerID]],Transactions_RAW_cleaned[[#This Row],[CustomerID]],$D$2:Transactions_RAW_cleaned[[#This Row],[ServiceID]],Transactions_RAW_cleaned[[#This Row],[ServiceID]])=1,"Yes","No")</f>
        <v>No</v>
      </c>
      <c r="S168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83" t="str">
        <f>"Q"&amp;ROUNDUP(MONTH(Transactions_RAW_cleaned[[#This Row],[TransactionDate]])/3,0)</f>
        <v>Q2</v>
      </c>
      <c r="U1683" t="str">
        <f>Transactions_RAW_cleaned[[#This Row],[Region ]]&amp;Transactions_RAW_cleaned[[#This Row],[Quarter ]]</f>
        <v>NAQ2</v>
      </c>
      <c r="V1683" s="5">
        <f>_xlfn.XLOOKUP(Transactions_RAW_cleaned[[#This Row],[RegionQuarterKey]], Quarterly_Targets_cleaned[RegionQuarterKey], Quarterly_Targets_cleaned[TargetRevenue])</f>
        <v>260000</v>
      </c>
    </row>
    <row r="1684" spans="1:22" x14ac:dyDescent="0.25">
      <c r="A1684" t="s">
        <v>2019</v>
      </c>
      <c r="B1684" s="1">
        <v>45532</v>
      </c>
      <c r="C1684" t="s">
        <v>177</v>
      </c>
      <c r="D1684" t="s">
        <v>315</v>
      </c>
      <c r="E1684">
        <v>217.11</v>
      </c>
      <c r="F1684" t="s">
        <v>331</v>
      </c>
      <c r="G1684" t="s">
        <v>329</v>
      </c>
      <c r="H1684" t="s">
        <v>332</v>
      </c>
      <c r="I1684" t="s">
        <v>8</v>
      </c>
      <c r="J1684" t="s">
        <v>46</v>
      </c>
      <c r="K1684" t="s">
        <v>10</v>
      </c>
      <c r="L1684" t="s">
        <v>316</v>
      </c>
      <c r="M1684" t="s">
        <v>305</v>
      </c>
      <c r="N1684">
        <v>2.5000000000000001E-3</v>
      </c>
      <c r="O1684" t="str">
        <f>IF(Transactions_RAW_cleaned[[#This Row],[Status]]="Completed", IFERROR(_xlfn.XLOOKUP(Transactions_RAW_cleaned[[#This Row],[CustomerID]], Customers_cleaned[CustomerID], Customers_cleaned[Segment]), "Customer Not Found"), "N/A")</f>
        <v>N/A</v>
      </c>
      <c r="P1684" s="5" t="str">
        <f>IF(Transactions_RAW_cleaned[[#This Row],[Status]]="Refunded", "Refund",
  IF(Transactions_RAW_cleaned[[#This Row],[Category]]="Payments", IF(Transactions_RAW_cleaned[[#This Row],[Amount]]&gt;500,"High Value","Standard"),
    IF(Transactions_RAW_cleaned[[#This Row],[Amount]]&gt;250,"High Value","Standard")))</f>
        <v>Standard</v>
      </c>
      <c r="Q1684" s="5" t="str">
        <f>IF(Transactions_RAW_cleaned[[#This Row],[Amount]] &gt; (_xlfn.XLOOKUP(Transactions_RAW_cleaned[[#This Row],[ServiceID]],Services_cleaned[ServiceID],Services_cleaned[TransactionFeePct]) * 10000), "Yes", "No")</f>
        <v>Yes</v>
      </c>
      <c r="R1684" s="5" t="str">
        <f>IF(COUNTIFS($C$2:Transactions_RAW_cleaned[[#This Row],[CustomerID]],Transactions_RAW_cleaned[[#This Row],[CustomerID]],$D$2:Transactions_RAW_cleaned[[#This Row],[ServiceID]],Transactions_RAW_cleaned[[#This Row],[ServiceID]])=1,"Yes","No")</f>
        <v>No</v>
      </c>
      <c r="S168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84" t="str">
        <f>"Q"&amp;ROUNDUP(MONTH(Transactions_RAW_cleaned[[#This Row],[TransactionDate]])/3,0)</f>
        <v>Q3</v>
      </c>
      <c r="U1684" t="str">
        <f>Transactions_RAW_cleaned[[#This Row],[Region ]]&amp;Transactions_RAW_cleaned[[#This Row],[Quarter ]]</f>
        <v>APACQ3</v>
      </c>
      <c r="V1684" s="5">
        <f>_xlfn.XLOOKUP(Transactions_RAW_cleaned[[#This Row],[RegionQuarterKey]], Quarterly_Targets_cleaned[RegionQuarterKey], Quarterly_Targets_cleaned[TargetRevenue])</f>
        <v>115500</v>
      </c>
    </row>
    <row r="1685" spans="1:22" x14ac:dyDescent="0.25">
      <c r="A1685" t="s">
        <v>2020</v>
      </c>
      <c r="B1685" s="1">
        <v>45513</v>
      </c>
      <c r="C1685" t="s">
        <v>2021</v>
      </c>
      <c r="D1685" t="s">
        <v>309</v>
      </c>
      <c r="E1685">
        <v>181.65</v>
      </c>
      <c r="F1685" t="s">
        <v>324</v>
      </c>
      <c r="G1685" t="s">
        <v>329</v>
      </c>
      <c r="L1685" t="s">
        <v>310</v>
      </c>
      <c r="M1685" t="s">
        <v>311</v>
      </c>
      <c r="N1685">
        <v>0</v>
      </c>
      <c r="O1685" t="str">
        <f>IF(Transactions_RAW_cleaned[[#This Row],[Status]]="Completed", IFERROR(_xlfn.XLOOKUP(Transactions_RAW_cleaned[[#This Row],[CustomerID]], Customers_cleaned[CustomerID], Customers_cleaned[Segment]), "Customer Not Found"), "N/A")</f>
        <v>Customer Not Found</v>
      </c>
      <c r="P1685" s="5" t="str">
        <f>IF(Transactions_RAW_cleaned[[#This Row],[Status]]="Refunded", "Refund",
  IF(Transactions_RAW_cleaned[[#This Row],[Category]]="Payments", IF(Transactions_RAW_cleaned[[#This Row],[Amount]]&gt;500,"High Value","Standard"),
    IF(Transactions_RAW_cleaned[[#This Row],[Amount]]&gt;250,"High Value","Standard")))</f>
        <v>Standard</v>
      </c>
      <c r="Q1685" s="5" t="str">
        <f>IF(Transactions_RAW_cleaned[[#This Row],[Amount]] &gt; (_xlfn.XLOOKUP(Transactions_RAW_cleaned[[#This Row],[ServiceID]],Services_cleaned[ServiceID],Services_cleaned[TransactionFeePct]) * 10000), "Yes", "No")</f>
        <v>Yes</v>
      </c>
      <c r="R1685" s="5" t="str">
        <f>IF(COUNTIFS($C$2:Transactions_RAW_cleaned[[#This Row],[CustomerID]],Transactions_RAW_cleaned[[#This Row],[CustomerID]],$D$2:Transactions_RAW_cleaned[[#This Row],[ServiceID]],Transactions_RAW_cleaned[[#This Row],[ServiceID]])=1,"Yes","No")</f>
        <v>Yes</v>
      </c>
      <c r="S168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85" t="str">
        <f>"Q"&amp;ROUNDUP(MONTH(Transactions_RAW_cleaned[[#This Row],[TransactionDate]])/3,0)</f>
        <v>Q3</v>
      </c>
      <c r="U1685" t="str">
        <f>Transactions_RAW_cleaned[[#This Row],[Region ]]&amp;Transactions_RAW_cleaned[[#This Row],[Quarter ]]</f>
        <v>APACQ3</v>
      </c>
      <c r="V1685" s="5">
        <f>_xlfn.XLOOKUP(Transactions_RAW_cleaned[[#This Row],[RegionQuarterKey]], Quarterly_Targets_cleaned[RegionQuarterKey], Quarterly_Targets_cleaned[TargetRevenue])</f>
        <v>115500</v>
      </c>
    </row>
    <row r="1686" spans="1:22" x14ac:dyDescent="0.25">
      <c r="A1686" t="s">
        <v>2022</v>
      </c>
      <c r="B1686" s="1">
        <v>45367</v>
      </c>
      <c r="C1686" t="s">
        <v>40</v>
      </c>
      <c r="D1686" t="s">
        <v>312</v>
      </c>
      <c r="E1686">
        <v>534.55999999999995</v>
      </c>
      <c r="F1686" t="s">
        <v>324</v>
      </c>
      <c r="G1686" t="s">
        <v>325</v>
      </c>
      <c r="H1686" t="s">
        <v>346</v>
      </c>
      <c r="I1686" t="s">
        <v>17</v>
      </c>
      <c r="J1686" t="s">
        <v>102</v>
      </c>
      <c r="K1686" t="s">
        <v>14</v>
      </c>
      <c r="L1686" t="s">
        <v>313</v>
      </c>
      <c r="M1686" t="s">
        <v>314</v>
      </c>
      <c r="N1686">
        <v>0</v>
      </c>
      <c r="O1686" t="str">
        <f>IF(Transactions_RAW_cleaned[[#This Row],[Status]]="Completed", IFERROR(_xlfn.XLOOKUP(Transactions_RAW_cleaned[[#This Row],[CustomerID]], Customers_cleaned[CustomerID], Customers_cleaned[Segment]), "Customer Not Found"), "N/A")</f>
        <v>Enterprise</v>
      </c>
      <c r="P1686" s="5" t="str">
        <f>IF(Transactions_RAW_cleaned[[#This Row],[Status]]="Refunded", "Refund",
  IF(Transactions_RAW_cleaned[[#This Row],[Category]]="Payments", IF(Transactions_RAW_cleaned[[#This Row],[Amount]]&gt;500,"High Value","Standard"),
    IF(Transactions_RAW_cleaned[[#This Row],[Amount]]&gt;250,"High Value","Standard")))</f>
        <v>High Value</v>
      </c>
      <c r="Q1686" s="5" t="str">
        <f>IF(Transactions_RAW_cleaned[[#This Row],[Amount]] &gt; (_xlfn.XLOOKUP(Transactions_RAW_cleaned[[#This Row],[ServiceID]],Services_cleaned[ServiceID],Services_cleaned[TransactionFeePct]) * 10000), "Yes", "No")</f>
        <v>Yes</v>
      </c>
      <c r="R1686" s="5" t="str">
        <f>IF(COUNTIFS($C$2:Transactions_RAW_cleaned[[#This Row],[CustomerID]],Transactions_RAW_cleaned[[#This Row],[CustomerID]],$D$2:Transactions_RAW_cleaned[[#This Row],[ServiceID]],Transactions_RAW_cleaned[[#This Row],[ServiceID]])=1,"Yes","No")</f>
        <v>No</v>
      </c>
      <c r="S168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86" t="str">
        <f>"Q"&amp;ROUNDUP(MONTH(Transactions_RAW_cleaned[[#This Row],[TransactionDate]])/3,0)</f>
        <v>Q1</v>
      </c>
      <c r="U1686" t="str">
        <f>Transactions_RAW_cleaned[[#This Row],[Region ]]&amp;Transactions_RAW_cleaned[[#This Row],[Quarter ]]</f>
        <v>NAQ1</v>
      </c>
      <c r="V1686" s="5">
        <f>_xlfn.XLOOKUP(Transactions_RAW_cleaned[[#This Row],[RegionQuarterKey]], Quarterly_Targets_cleaned[RegionQuarterKey], Quarterly_Targets_cleaned[TargetRevenue])</f>
        <v>247000</v>
      </c>
    </row>
    <row r="1687" spans="1:22" x14ac:dyDescent="0.25">
      <c r="A1687" t="s">
        <v>2961</v>
      </c>
      <c r="B1687" s="1">
        <v>45551</v>
      </c>
      <c r="C1687" t="s">
        <v>249</v>
      </c>
      <c r="E1687">
        <v>157.22999999999999</v>
      </c>
      <c r="F1687" t="s">
        <v>324</v>
      </c>
      <c r="G1687" t="s">
        <v>337</v>
      </c>
      <c r="H1687" t="s">
        <v>334</v>
      </c>
      <c r="I1687" t="s">
        <v>57</v>
      </c>
      <c r="J1687" t="s">
        <v>21</v>
      </c>
      <c r="K1687" t="s">
        <v>14</v>
      </c>
      <c r="O1687" t="str">
        <f>IF(Transactions_RAW_cleaned[[#This Row],[Status]]="Completed", IFERROR(_xlfn.XLOOKUP(Transactions_RAW_cleaned[[#This Row],[CustomerID]], Customers_cleaned[CustomerID], Customers_cleaned[Segment]), "Customer Not Found"), "N/A")</f>
        <v>Startup</v>
      </c>
      <c r="P1687" s="5" t="str">
        <f>IF(Transactions_RAW_cleaned[[#This Row],[Status]]="Refunded", "Refund",
  IF(Transactions_RAW_cleaned[[#This Row],[Category]]="Payments", IF(Transactions_RAW_cleaned[[#This Row],[Amount]]&gt;500,"High Value","Standard"),
    IF(Transactions_RAW_cleaned[[#This Row],[Amount]]&gt;250,"High Value","Standard")))</f>
        <v>Standard</v>
      </c>
      <c r="Q1687" s="5" t="e">
        <f>IF(Transactions_RAW_cleaned[[#This Row],[Amount]] &gt; (_xlfn.XLOOKUP(Transactions_RAW_cleaned[[#This Row],[ServiceID]],Services_cleaned[ServiceID],Services_cleaned[TransactionFeePct]) * 10000), "Yes", "No")</f>
        <v>#N/A</v>
      </c>
      <c r="R1687" s="5" t="str">
        <f>IF(COUNTIFS($C$2:Transactions_RAW_cleaned[[#This Row],[CustomerID]],Transactions_RAW_cleaned[[#This Row],[CustomerID]],$D$2:Transactions_RAW_cleaned[[#This Row],[ServiceID]],Transactions_RAW_cleaned[[#This Row],[ServiceID]])=1,"Yes","No")</f>
        <v>No</v>
      </c>
      <c r="S168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87" t="str">
        <f>"Q"&amp;ROUNDUP(MONTH(Transactions_RAW_cleaned[[#This Row],[TransactionDate]])/3,0)</f>
        <v>Q3</v>
      </c>
      <c r="U1687" t="str">
        <f>Transactions_RAW_cleaned[[#This Row],[Region ]]&amp;Transactions_RAW_cleaned[[#This Row],[Quarter ]]</f>
        <v>APACQ3</v>
      </c>
      <c r="V1687" s="5">
        <f>_xlfn.XLOOKUP(Transactions_RAW_cleaned[[#This Row],[RegionQuarterKey]], Quarterly_Targets_cleaned[RegionQuarterKey], Quarterly_Targets_cleaned[TargetRevenue])</f>
        <v>115500</v>
      </c>
    </row>
    <row r="1688" spans="1:22" x14ac:dyDescent="0.25">
      <c r="A1688" t="s">
        <v>2023</v>
      </c>
      <c r="B1688" s="1">
        <v>45454</v>
      </c>
      <c r="C1688" t="s">
        <v>68</v>
      </c>
      <c r="D1688" t="s">
        <v>297</v>
      </c>
      <c r="E1688">
        <v>343.93</v>
      </c>
      <c r="F1688" t="s">
        <v>324</v>
      </c>
      <c r="G1688" t="s">
        <v>337</v>
      </c>
      <c r="I1688" t="s">
        <v>57</v>
      </c>
      <c r="J1688" t="s">
        <v>13</v>
      </c>
      <c r="K1688" t="s">
        <v>10</v>
      </c>
      <c r="L1688" t="s">
        <v>298</v>
      </c>
      <c r="M1688" t="s">
        <v>299</v>
      </c>
      <c r="N1688">
        <v>0</v>
      </c>
      <c r="O1688" t="str">
        <f>IF(Transactions_RAW_cleaned[[#This Row],[Status]]="Completed", IFERROR(_xlfn.XLOOKUP(Transactions_RAW_cleaned[[#This Row],[CustomerID]], Customers_cleaned[CustomerID], Customers_cleaned[Segment]), "Customer Not Found"), "N/A")</f>
        <v>Startup</v>
      </c>
      <c r="P1688" s="5" t="str">
        <f>IF(Transactions_RAW_cleaned[[#This Row],[Status]]="Refunded", "Refund",
  IF(Transactions_RAW_cleaned[[#This Row],[Category]]="Payments", IF(Transactions_RAW_cleaned[[#This Row],[Amount]]&gt;500,"High Value","Standard"),
    IF(Transactions_RAW_cleaned[[#This Row],[Amount]]&gt;250,"High Value","Standard")))</f>
        <v>High Value</v>
      </c>
      <c r="Q1688" s="5" t="str">
        <f>IF(Transactions_RAW_cleaned[[#This Row],[Amount]] &gt; (_xlfn.XLOOKUP(Transactions_RAW_cleaned[[#This Row],[ServiceID]],Services_cleaned[ServiceID],Services_cleaned[TransactionFeePct]) * 10000), "Yes", "No")</f>
        <v>Yes</v>
      </c>
      <c r="R1688" s="5" t="str">
        <f>IF(COUNTIFS($C$2:Transactions_RAW_cleaned[[#This Row],[CustomerID]],Transactions_RAW_cleaned[[#This Row],[CustomerID]],$D$2:Transactions_RAW_cleaned[[#This Row],[ServiceID]],Transactions_RAW_cleaned[[#This Row],[ServiceID]])=1,"Yes","No")</f>
        <v>No</v>
      </c>
      <c r="S168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88" t="str">
        <f>"Q"&amp;ROUNDUP(MONTH(Transactions_RAW_cleaned[[#This Row],[TransactionDate]])/3,0)</f>
        <v>Q2</v>
      </c>
      <c r="U1688" t="str">
        <f>Transactions_RAW_cleaned[[#This Row],[Region ]]&amp;Transactions_RAW_cleaned[[#This Row],[Quarter ]]</f>
        <v>NAQ2</v>
      </c>
      <c r="V1688" s="5">
        <f>_xlfn.XLOOKUP(Transactions_RAW_cleaned[[#This Row],[RegionQuarterKey]], Quarterly_Targets_cleaned[RegionQuarterKey], Quarterly_Targets_cleaned[TargetRevenue])</f>
        <v>260000</v>
      </c>
    </row>
    <row r="1689" spans="1:22" x14ac:dyDescent="0.25">
      <c r="A1689" t="s">
        <v>2024</v>
      </c>
      <c r="B1689" s="1">
        <v>45459</v>
      </c>
      <c r="C1689" t="s">
        <v>233</v>
      </c>
      <c r="D1689" t="s">
        <v>309</v>
      </c>
      <c r="E1689">
        <v>758.96</v>
      </c>
      <c r="F1689" t="s">
        <v>324</v>
      </c>
      <c r="G1689" t="s">
        <v>2963</v>
      </c>
      <c r="I1689" t="s">
        <v>8</v>
      </c>
      <c r="J1689" t="s">
        <v>13</v>
      </c>
      <c r="K1689" t="s">
        <v>14</v>
      </c>
      <c r="L1689" t="s">
        <v>310</v>
      </c>
      <c r="M1689" t="s">
        <v>311</v>
      </c>
      <c r="N1689">
        <v>0</v>
      </c>
      <c r="O1689" t="str">
        <f>IF(Transactions_RAW_cleaned[[#This Row],[Status]]="Completed", IFERROR(_xlfn.XLOOKUP(Transactions_RAW_cleaned[[#This Row],[CustomerID]], Customers_cleaned[CustomerID], Customers_cleaned[Segment]), "Customer Not Found"), "N/A")</f>
        <v>SMB</v>
      </c>
      <c r="P1689" s="5" t="str">
        <f>IF(Transactions_RAW_cleaned[[#This Row],[Status]]="Refunded", "Refund",
  IF(Transactions_RAW_cleaned[[#This Row],[Category]]="Payments", IF(Transactions_RAW_cleaned[[#This Row],[Amount]]&gt;500,"High Value","Standard"),
    IF(Transactions_RAW_cleaned[[#This Row],[Amount]]&gt;250,"High Value","Standard")))</f>
        <v>High Value</v>
      </c>
      <c r="Q1689" s="5" t="str">
        <f>IF(Transactions_RAW_cleaned[[#This Row],[Amount]] &gt; (_xlfn.XLOOKUP(Transactions_RAW_cleaned[[#This Row],[ServiceID]],Services_cleaned[ServiceID],Services_cleaned[TransactionFeePct]) * 10000), "Yes", "No")</f>
        <v>Yes</v>
      </c>
      <c r="R1689" s="5" t="str">
        <f>IF(COUNTIFS($C$2:Transactions_RAW_cleaned[[#This Row],[CustomerID]],Transactions_RAW_cleaned[[#This Row],[CustomerID]],$D$2:Transactions_RAW_cleaned[[#This Row],[ServiceID]],Transactions_RAW_cleaned[[#This Row],[ServiceID]])=1,"Yes","No")</f>
        <v>No</v>
      </c>
      <c r="S168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89" t="str">
        <f>"Q"&amp;ROUNDUP(MONTH(Transactions_RAW_cleaned[[#This Row],[TransactionDate]])/3,0)</f>
        <v>Q2</v>
      </c>
      <c r="U1689" t="str">
        <f>Transactions_RAW_cleaned[[#This Row],[Region ]]&amp;Transactions_RAW_cleaned[[#This Row],[Quarter ]]</f>
        <v>NAQ2</v>
      </c>
      <c r="V1689" s="5">
        <f>_xlfn.XLOOKUP(Transactions_RAW_cleaned[[#This Row],[RegionQuarterKey]], Quarterly_Targets_cleaned[RegionQuarterKey], Quarterly_Targets_cleaned[TargetRevenue])</f>
        <v>260000</v>
      </c>
    </row>
    <row r="1690" spans="1:22" x14ac:dyDescent="0.25">
      <c r="A1690" t="s">
        <v>2025</v>
      </c>
      <c r="B1690" s="1">
        <v>45409</v>
      </c>
      <c r="C1690" t="s">
        <v>44</v>
      </c>
      <c r="D1690" t="s">
        <v>300</v>
      </c>
      <c r="E1690">
        <v>389.92</v>
      </c>
      <c r="F1690" t="s">
        <v>324</v>
      </c>
      <c r="G1690" t="s">
        <v>337</v>
      </c>
      <c r="I1690" t="s">
        <v>8</v>
      </c>
      <c r="J1690" t="s">
        <v>46</v>
      </c>
      <c r="K1690" t="s">
        <v>32</v>
      </c>
      <c r="L1690" t="s">
        <v>301</v>
      </c>
      <c r="M1690" t="s">
        <v>302</v>
      </c>
      <c r="N1690">
        <v>5.0000000000000001E-3</v>
      </c>
      <c r="O1690" t="str">
        <f>IF(Transactions_RAW_cleaned[[#This Row],[Status]]="Completed", IFERROR(_xlfn.XLOOKUP(Transactions_RAW_cleaned[[#This Row],[CustomerID]], Customers_cleaned[CustomerID], Customers_cleaned[Segment]), "Customer Not Found"), "N/A")</f>
        <v>SMB</v>
      </c>
      <c r="P1690" s="5" t="str">
        <f>IF(Transactions_RAW_cleaned[[#This Row],[Status]]="Refunded", "Refund",
  IF(Transactions_RAW_cleaned[[#This Row],[Category]]="Payments", IF(Transactions_RAW_cleaned[[#This Row],[Amount]]&gt;500,"High Value","Standard"),
    IF(Transactions_RAW_cleaned[[#This Row],[Amount]]&gt;250,"High Value","Standard")))</f>
        <v>High Value</v>
      </c>
      <c r="Q1690" s="5" t="str">
        <f>IF(Transactions_RAW_cleaned[[#This Row],[Amount]] &gt; (_xlfn.XLOOKUP(Transactions_RAW_cleaned[[#This Row],[ServiceID]],Services_cleaned[ServiceID],Services_cleaned[TransactionFeePct]) * 10000), "Yes", "No")</f>
        <v>Yes</v>
      </c>
      <c r="R1690" s="5" t="str">
        <f>IF(COUNTIFS($C$2:Transactions_RAW_cleaned[[#This Row],[CustomerID]],Transactions_RAW_cleaned[[#This Row],[CustomerID]],$D$2:Transactions_RAW_cleaned[[#This Row],[ServiceID]],Transactions_RAW_cleaned[[#This Row],[ServiceID]])=1,"Yes","No")</f>
        <v>Yes</v>
      </c>
      <c r="S169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90" t="str">
        <f>"Q"&amp;ROUNDUP(MONTH(Transactions_RAW_cleaned[[#This Row],[TransactionDate]])/3,0)</f>
        <v>Q2</v>
      </c>
      <c r="U1690" t="str">
        <f>Transactions_RAW_cleaned[[#This Row],[Region ]]&amp;Transactions_RAW_cleaned[[#This Row],[Quarter ]]</f>
        <v>APACQ2</v>
      </c>
      <c r="V1690" s="5">
        <f>_xlfn.XLOOKUP(Transactions_RAW_cleaned[[#This Row],[RegionQuarterKey]], Quarterly_Targets_cleaned[RegionQuarterKey], Quarterly_Targets_cleaned[TargetRevenue])</f>
        <v>110000</v>
      </c>
    </row>
    <row r="1691" spans="1:22" x14ac:dyDescent="0.25">
      <c r="A1691" t="s">
        <v>2026</v>
      </c>
      <c r="B1691" s="1">
        <v>45405</v>
      </c>
      <c r="C1691" t="s">
        <v>229</v>
      </c>
      <c r="D1691" t="s">
        <v>294</v>
      </c>
      <c r="E1691">
        <v>567.57000000000005</v>
      </c>
      <c r="F1691" t="s">
        <v>324</v>
      </c>
      <c r="G1691" t="s">
        <v>327</v>
      </c>
      <c r="H1691" t="s">
        <v>332</v>
      </c>
      <c r="I1691" t="s">
        <v>17</v>
      </c>
      <c r="J1691" t="s">
        <v>102</v>
      </c>
      <c r="K1691" t="s">
        <v>18</v>
      </c>
      <c r="L1691" t="s">
        <v>295</v>
      </c>
      <c r="M1691" t="s">
        <v>296</v>
      </c>
      <c r="N1691">
        <v>2.9000000000000001E-2</v>
      </c>
      <c r="O1691" t="str">
        <f>IF(Transactions_RAW_cleaned[[#This Row],[Status]]="Completed", IFERROR(_xlfn.XLOOKUP(Transactions_RAW_cleaned[[#This Row],[CustomerID]], Customers_cleaned[CustomerID], Customers_cleaned[Segment]), "Customer Not Found"), "N/A")</f>
        <v>Enterprise</v>
      </c>
      <c r="P1691" s="5" t="str">
        <f>IF(Transactions_RAW_cleaned[[#This Row],[Status]]="Refunded", "Refund",
  IF(Transactions_RAW_cleaned[[#This Row],[Category]]="Payments", IF(Transactions_RAW_cleaned[[#This Row],[Amount]]&gt;500,"High Value","Standard"),
    IF(Transactions_RAW_cleaned[[#This Row],[Amount]]&gt;250,"High Value","Standard")))</f>
        <v>High Value</v>
      </c>
      <c r="Q1691" s="5" t="str">
        <f>IF(Transactions_RAW_cleaned[[#This Row],[Amount]] &gt; (_xlfn.XLOOKUP(Transactions_RAW_cleaned[[#This Row],[ServiceID]],Services_cleaned[ServiceID],Services_cleaned[TransactionFeePct]) * 10000), "Yes", "No")</f>
        <v>Yes</v>
      </c>
      <c r="R1691" s="5" t="str">
        <f>IF(COUNTIFS($C$2:Transactions_RAW_cleaned[[#This Row],[CustomerID]],Transactions_RAW_cleaned[[#This Row],[CustomerID]],$D$2:Transactions_RAW_cleaned[[#This Row],[ServiceID]],Transactions_RAW_cleaned[[#This Row],[ServiceID]])=1,"Yes","No")</f>
        <v>No</v>
      </c>
      <c r="S169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91" t="str">
        <f>"Q"&amp;ROUNDUP(MONTH(Transactions_RAW_cleaned[[#This Row],[TransactionDate]])/3,0)</f>
        <v>Q2</v>
      </c>
      <c r="U1691" t="str">
        <f>Transactions_RAW_cleaned[[#This Row],[Region ]]&amp;Transactions_RAW_cleaned[[#This Row],[Quarter ]]</f>
        <v>NAQ2</v>
      </c>
      <c r="V1691" s="5">
        <f>_xlfn.XLOOKUP(Transactions_RAW_cleaned[[#This Row],[RegionQuarterKey]], Quarterly_Targets_cleaned[RegionQuarterKey], Quarterly_Targets_cleaned[TargetRevenue])</f>
        <v>260000</v>
      </c>
    </row>
    <row r="1692" spans="1:22" x14ac:dyDescent="0.25">
      <c r="A1692" t="s">
        <v>2027</v>
      </c>
      <c r="B1692" s="1">
        <v>45486</v>
      </c>
      <c r="C1692" t="s">
        <v>121</v>
      </c>
      <c r="D1692" t="s">
        <v>297</v>
      </c>
      <c r="E1692">
        <v>469.29</v>
      </c>
      <c r="F1692" t="s">
        <v>324</v>
      </c>
      <c r="G1692" t="s">
        <v>327</v>
      </c>
      <c r="H1692" t="s">
        <v>334</v>
      </c>
      <c r="I1692" t="s">
        <v>8</v>
      </c>
      <c r="J1692" t="s">
        <v>37</v>
      </c>
      <c r="K1692" t="s">
        <v>14</v>
      </c>
      <c r="L1692" t="s">
        <v>298</v>
      </c>
      <c r="M1692" t="s">
        <v>299</v>
      </c>
      <c r="N1692">
        <v>0</v>
      </c>
      <c r="O1692" t="str">
        <f>IF(Transactions_RAW_cleaned[[#This Row],[Status]]="Completed", IFERROR(_xlfn.XLOOKUP(Transactions_RAW_cleaned[[#This Row],[CustomerID]], Customers_cleaned[CustomerID], Customers_cleaned[Segment]), "Customer Not Found"), "N/A")</f>
        <v>SMB</v>
      </c>
      <c r="P1692" s="5" t="str">
        <f>IF(Transactions_RAW_cleaned[[#This Row],[Status]]="Refunded", "Refund",
  IF(Transactions_RAW_cleaned[[#This Row],[Category]]="Payments", IF(Transactions_RAW_cleaned[[#This Row],[Amount]]&gt;500,"High Value","Standard"),
    IF(Transactions_RAW_cleaned[[#This Row],[Amount]]&gt;250,"High Value","Standard")))</f>
        <v>High Value</v>
      </c>
      <c r="Q1692" s="5" t="str">
        <f>IF(Transactions_RAW_cleaned[[#This Row],[Amount]] &gt; (_xlfn.XLOOKUP(Transactions_RAW_cleaned[[#This Row],[ServiceID]],Services_cleaned[ServiceID],Services_cleaned[TransactionFeePct]) * 10000), "Yes", "No")</f>
        <v>Yes</v>
      </c>
      <c r="R1692" s="5" t="str">
        <f>IF(COUNTIFS($C$2:Transactions_RAW_cleaned[[#This Row],[CustomerID]],Transactions_RAW_cleaned[[#This Row],[CustomerID]],$D$2:Transactions_RAW_cleaned[[#This Row],[ServiceID]],Transactions_RAW_cleaned[[#This Row],[ServiceID]])=1,"Yes","No")</f>
        <v>No</v>
      </c>
      <c r="S169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692" t="str">
        <f>"Q"&amp;ROUNDUP(MONTH(Transactions_RAW_cleaned[[#This Row],[TransactionDate]])/3,0)</f>
        <v>Q3</v>
      </c>
      <c r="U1692" t="str">
        <f>Transactions_RAW_cleaned[[#This Row],[Region ]]&amp;Transactions_RAW_cleaned[[#This Row],[Quarter ]]</f>
        <v>EMEAQ3</v>
      </c>
      <c r="V1692" s="5">
        <f>_xlfn.XLOOKUP(Transactions_RAW_cleaned[[#This Row],[RegionQuarterKey]], Quarterly_Targets_cleaned[RegionQuarterKey], Quarterly_Targets_cleaned[TargetRevenue])</f>
        <v>147000</v>
      </c>
    </row>
    <row r="1693" spans="1:22" x14ac:dyDescent="0.25">
      <c r="A1693" t="s">
        <v>2028</v>
      </c>
      <c r="B1693" s="1">
        <v>45566</v>
      </c>
      <c r="C1693" t="s">
        <v>233</v>
      </c>
      <c r="D1693" t="s">
        <v>300</v>
      </c>
      <c r="E1693">
        <v>430.2</v>
      </c>
      <c r="F1693" t="s">
        <v>324</v>
      </c>
      <c r="G1693" t="s">
        <v>329</v>
      </c>
      <c r="I1693" t="s">
        <v>8</v>
      </c>
      <c r="J1693" t="s">
        <v>13</v>
      </c>
      <c r="K1693" t="s">
        <v>14</v>
      </c>
      <c r="L1693" t="s">
        <v>301</v>
      </c>
      <c r="M1693" t="s">
        <v>302</v>
      </c>
      <c r="N1693">
        <v>5.0000000000000001E-3</v>
      </c>
      <c r="O1693" t="str">
        <f>IF(Transactions_RAW_cleaned[[#This Row],[Status]]="Completed", IFERROR(_xlfn.XLOOKUP(Transactions_RAW_cleaned[[#This Row],[CustomerID]], Customers_cleaned[CustomerID], Customers_cleaned[Segment]), "Customer Not Found"), "N/A")</f>
        <v>SMB</v>
      </c>
      <c r="P1693" s="5" t="str">
        <f>IF(Transactions_RAW_cleaned[[#This Row],[Status]]="Refunded", "Refund",
  IF(Transactions_RAW_cleaned[[#This Row],[Category]]="Payments", IF(Transactions_RAW_cleaned[[#This Row],[Amount]]&gt;500,"High Value","Standard"),
    IF(Transactions_RAW_cleaned[[#This Row],[Amount]]&gt;250,"High Value","Standard")))</f>
        <v>High Value</v>
      </c>
      <c r="Q1693" s="5" t="str">
        <f>IF(Transactions_RAW_cleaned[[#This Row],[Amount]] &gt; (_xlfn.XLOOKUP(Transactions_RAW_cleaned[[#This Row],[ServiceID]],Services_cleaned[ServiceID],Services_cleaned[TransactionFeePct]) * 10000), "Yes", "No")</f>
        <v>Yes</v>
      </c>
      <c r="R1693" s="5" t="str">
        <f>IF(COUNTIFS($C$2:Transactions_RAW_cleaned[[#This Row],[CustomerID]],Transactions_RAW_cleaned[[#This Row],[CustomerID]],$D$2:Transactions_RAW_cleaned[[#This Row],[ServiceID]],Transactions_RAW_cleaned[[#This Row],[ServiceID]])=1,"Yes","No")</f>
        <v>Yes</v>
      </c>
      <c r="S169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93" t="str">
        <f>"Q"&amp;ROUNDUP(MONTH(Transactions_RAW_cleaned[[#This Row],[TransactionDate]])/3,0)</f>
        <v>Q4</v>
      </c>
      <c r="U1693" t="str">
        <f>Transactions_RAW_cleaned[[#This Row],[Region ]]&amp;Transactions_RAW_cleaned[[#This Row],[Quarter ]]</f>
        <v>NAQ4</v>
      </c>
      <c r="V1693" s="5">
        <f>_xlfn.XLOOKUP(Transactions_RAW_cleaned[[#This Row],[RegionQuarterKey]], Quarterly_Targets_cleaned[RegionQuarterKey], Quarterly_Targets_cleaned[TargetRevenue])</f>
        <v>299000</v>
      </c>
    </row>
    <row r="1694" spans="1:22" x14ac:dyDescent="0.25">
      <c r="A1694" t="s">
        <v>2029</v>
      </c>
      <c r="B1694" s="1">
        <v>45640</v>
      </c>
      <c r="C1694" t="s">
        <v>127</v>
      </c>
      <c r="D1694" t="s">
        <v>300</v>
      </c>
      <c r="E1694">
        <v>-515.26</v>
      </c>
      <c r="F1694" t="s">
        <v>349</v>
      </c>
      <c r="G1694" t="s">
        <v>325</v>
      </c>
      <c r="H1694" t="s">
        <v>334</v>
      </c>
      <c r="I1694" t="s">
        <v>8</v>
      </c>
      <c r="J1694" t="s">
        <v>102</v>
      </c>
      <c r="K1694" t="s">
        <v>22</v>
      </c>
      <c r="L1694" t="s">
        <v>301</v>
      </c>
      <c r="M1694" t="s">
        <v>302</v>
      </c>
      <c r="N1694">
        <v>5.0000000000000001E-3</v>
      </c>
      <c r="O1694" t="str">
        <f>IF(Transactions_RAW_cleaned[[#This Row],[Status]]="Completed", IFERROR(_xlfn.XLOOKUP(Transactions_RAW_cleaned[[#This Row],[CustomerID]], Customers_cleaned[CustomerID], Customers_cleaned[Segment]), "Customer Not Found"), "N/A")</f>
        <v>N/A</v>
      </c>
      <c r="P1694" s="5" t="str">
        <f>IF(Transactions_RAW_cleaned[[#This Row],[Status]]="Refunded", "Refund",
  IF(Transactions_RAW_cleaned[[#This Row],[Category]]="Payments", IF(Transactions_RAW_cleaned[[#This Row],[Amount]]&gt;500,"High Value","Standard"),
    IF(Transactions_RAW_cleaned[[#This Row],[Amount]]&gt;250,"High Value","Standard")))</f>
        <v>Refund</v>
      </c>
      <c r="Q1694" s="5" t="str">
        <f>IF(Transactions_RAW_cleaned[[#This Row],[Amount]] &gt; (_xlfn.XLOOKUP(Transactions_RAW_cleaned[[#This Row],[ServiceID]],Services_cleaned[ServiceID],Services_cleaned[TransactionFeePct]) * 10000), "Yes", "No")</f>
        <v>No</v>
      </c>
      <c r="R1694" s="5" t="str">
        <f>IF(COUNTIFS($C$2:Transactions_RAW_cleaned[[#This Row],[CustomerID]],Transactions_RAW_cleaned[[#This Row],[CustomerID]],$D$2:Transactions_RAW_cleaned[[#This Row],[ServiceID]],Transactions_RAW_cleaned[[#This Row],[ServiceID]])=1,"Yes","No")</f>
        <v>No</v>
      </c>
      <c r="S169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94" t="str">
        <f>"Q"&amp;ROUNDUP(MONTH(Transactions_RAW_cleaned[[#This Row],[TransactionDate]])/3,0)</f>
        <v>Q4</v>
      </c>
      <c r="U1694" t="str">
        <f>Transactions_RAW_cleaned[[#This Row],[Region ]]&amp;Transactions_RAW_cleaned[[#This Row],[Quarter ]]</f>
        <v>NAQ4</v>
      </c>
      <c r="V1694" s="5">
        <f>_xlfn.XLOOKUP(Transactions_RAW_cleaned[[#This Row],[RegionQuarterKey]], Quarterly_Targets_cleaned[RegionQuarterKey], Quarterly_Targets_cleaned[TargetRevenue])</f>
        <v>299000</v>
      </c>
    </row>
    <row r="1695" spans="1:22" x14ac:dyDescent="0.25">
      <c r="A1695" t="s">
        <v>2030</v>
      </c>
      <c r="B1695" s="1">
        <v>45326</v>
      </c>
      <c r="C1695" t="s">
        <v>255</v>
      </c>
      <c r="D1695" t="s">
        <v>300</v>
      </c>
      <c r="E1695">
        <v>1199.55</v>
      </c>
      <c r="F1695" t="s">
        <v>324</v>
      </c>
      <c r="G1695" t="s">
        <v>329</v>
      </c>
      <c r="H1695" t="s">
        <v>346</v>
      </c>
      <c r="I1695" t="s">
        <v>17</v>
      </c>
      <c r="J1695" t="s">
        <v>21</v>
      </c>
      <c r="K1695" t="s">
        <v>28</v>
      </c>
      <c r="L1695" t="s">
        <v>301</v>
      </c>
      <c r="M1695" t="s">
        <v>302</v>
      </c>
      <c r="N1695">
        <v>5.0000000000000001E-3</v>
      </c>
      <c r="O1695" t="str">
        <f>IF(Transactions_RAW_cleaned[[#This Row],[Status]]="Completed", IFERROR(_xlfn.XLOOKUP(Transactions_RAW_cleaned[[#This Row],[CustomerID]], Customers_cleaned[CustomerID], Customers_cleaned[Segment]), "Customer Not Found"), "N/A")</f>
        <v>Enterprise</v>
      </c>
      <c r="P1695" s="5" t="str">
        <f>IF(Transactions_RAW_cleaned[[#This Row],[Status]]="Refunded", "Refund",
  IF(Transactions_RAW_cleaned[[#This Row],[Category]]="Payments", IF(Transactions_RAW_cleaned[[#This Row],[Amount]]&gt;500,"High Value","Standard"),
    IF(Transactions_RAW_cleaned[[#This Row],[Amount]]&gt;250,"High Value","Standard")))</f>
        <v>High Value</v>
      </c>
      <c r="Q1695" s="5" t="str">
        <f>IF(Transactions_RAW_cleaned[[#This Row],[Amount]] &gt; (_xlfn.XLOOKUP(Transactions_RAW_cleaned[[#This Row],[ServiceID]],Services_cleaned[ServiceID],Services_cleaned[TransactionFeePct]) * 10000), "Yes", "No")</f>
        <v>Yes</v>
      </c>
      <c r="R1695" s="5" t="str">
        <f>IF(COUNTIFS($C$2:Transactions_RAW_cleaned[[#This Row],[CustomerID]],Transactions_RAW_cleaned[[#This Row],[CustomerID]],$D$2:Transactions_RAW_cleaned[[#This Row],[ServiceID]],Transactions_RAW_cleaned[[#This Row],[ServiceID]])=1,"Yes","No")</f>
        <v>No</v>
      </c>
      <c r="S169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95" t="str">
        <f>"Q"&amp;ROUNDUP(MONTH(Transactions_RAW_cleaned[[#This Row],[TransactionDate]])/3,0)</f>
        <v>Q1</v>
      </c>
      <c r="U1695" t="str">
        <f>Transactions_RAW_cleaned[[#This Row],[Region ]]&amp;Transactions_RAW_cleaned[[#This Row],[Quarter ]]</f>
        <v>APACQ1</v>
      </c>
      <c r="V1695" s="5">
        <f>_xlfn.XLOOKUP(Transactions_RAW_cleaned[[#This Row],[RegionQuarterKey]], Quarterly_Targets_cleaned[RegionQuarterKey], Quarterly_Targets_cleaned[TargetRevenue])</f>
        <v>104500</v>
      </c>
    </row>
    <row r="1696" spans="1:22" x14ac:dyDescent="0.25">
      <c r="A1696" t="s">
        <v>2031</v>
      </c>
      <c r="B1696" s="1">
        <v>45376</v>
      </c>
      <c r="C1696" t="s">
        <v>223</v>
      </c>
      <c r="D1696" t="s">
        <v>315</v>
      </c>
      <c r="E1696">
        <v>571.53</v>
      </c>
      <c r="F1696" t="s">
        <v>324</v>
      </c>
      <c r="G1696" t="s">
        <v>325</v>
      </c>
      <c r="H1696" t="s">
        <v>334</v>
      </c>
      <c r="I1696" t="s">
        <v>8</v>
      </c>
      <c r="J1696" t="s">
        <v>102</v>
      </c>
      <c r="K1696" t="s">
        <v>28</v>
      </c>
      <c r="L1696" t="s">
        <v>316</v>
      </c>
      <c r="M1696" t="s">
        <v>305</v>
      </c>
      <c r="N1696">
        <v>2.5000000000000001E-3</v>
      </c>
      <c r="O1696" t="str">
        <f>IF(Transactions_RAW_cleaned[[#This Row],[Status]]="Completed", IFERROR(_xlfn.XLOOKUP(Transactions_RAW_cleaned[[#This Row],[CustomerID]], Customers_cleaned[CustomerID], Customers_cleaned[Segment]), "Customer Not Found"), "N/A")</f>
        <v>SMB</v>
      </c>
      <c r="P1696" s="5" t="str">
        <f>IF(Transactions_RAW_cleaned[[#This Row],[Status]]="Refunded", "Refund",
  IF(Transactions_RAW_cleaned[[#This Row],[Category]]="Payments", IF(Transactions_RAW_cleaned[[#This Row],[Amount]]&gt;500,"High Value","Standard"),
    IF(Transactions_RAW_cleaned[[#This Row],[Amount]]&gt;250,"High Value","Standard")))</f>
        <v>High Value</v>
      </c>
      <c r="Q1696" s="5" t="str">
        <f>IF(Transactions_RAW_cleaned[[#This Row],[Amount]] &gt; (_xlfn.XLOOKUP(Transactions_RAW_cleaned[[#This Row],[ServiceID]],Services_cleaned[ServiceID],Services_cleaned[TransactionFeePct]) * 10000), "Yes", "No")</f>
        <v>Yes</v>
      </c>
      <c r="R1696" s="5" t="str">
        <f>IF(COUNTIFS($C$2:Transactions_RAW_cleaned[[#This Row],[CustomerID]],Transactions_RAW_cleaned[[#This Row],[CustomerID]],$D$2:Transactions_RAW_cleaned[[#This Row],[ServiceID]],Transactions_RAW_cleaned[[#This Row],[ServiceID]])=1,"Yes","No")</f>
        <v>No</v>
      </c>
      <c r="S169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696" t="str">
        <f>"Q"&amp;ROUNDUP(MONTH(Transactions_RAW_cleaned[[#This Row],[TransactionDate]])/3,0)</f>
        <v>Q1</v>
      </c>
      <c r="U1696" t="str">
        <f>Transactions_RAW_cleaned[[#This Row],[Region ]]&amp;Transactions_RAW_cleaned[[#This Row],[Quarter ]]</f>
        <v>NAQ1</v>
      </c>
      <c r="V1696" s="5">
        <f>_xlfn.XLOOKUP(Transactions_RAW_cleaned[[#This Row],[RegionQuarterKey]], Quarterly_Targets_cleaned[RegionQuarterKey], Quarterly_Targets_cleaned[TargetRevenue])</f>
        <v>247000</v>
      </c>
    </row>
    <row r="1697" spans="1:22" x14ac:dyDescent="0.25">
      <c r="A1697" t="s">
        <v>2032</v>
      </c>
      <c r="B1697" s="1">
        <v>45458</v>
      </c>
      <c r="C1697" t="s">
        <v>35</v>
      </c>
      <c r="D1697" t="s">
        <v>309</v>
      </c>
      <c r="E1697">
        <v>75.680000000000007</v>
      </c>
      <c r="F1697" t="s">
        <v>324</v>
      </c>
      <c r="G1697" t="s">
        <v>327</v>
      </c>
      <c r="H1697" t="s">
        <v>334</v>
      </c>
      <c r="I1697" t="s">
        <v>8</v>
      </c>
      <c r="J1697" t="s">
        <v>37</v>
      </c>
      <c r="K1697" t="s">
        <v>28</v>
      </c>
      <c r="L1697" t="s">
        <v>310</v>
      </c>
      <c r="M1697" t="s">
        <v>311</v>
      </c>
      <c r="N1697">
        <v>0</v>
      </c>
      <c r="O1697" t="str">
        <f>IF(Transactions_RAW_cleaned[[#This Row],[Status]]="Completed", IFERROR(_xlfn.XLOOKUP(Transactions_RAW_cleaned[[#This Row],[CustomerID]], Customers_cleaned[CustomerID], Customers_cleaned[Segment]), "Customer Not Found"), "N/A")</f>
        <v>SMB</v>
      </c>
      <c r="P1697" s="5" t="str">
        <f>IF(Transactions_RAW_cleaned[[#This Row],[Status]]="Refunded", "Refund",
  IF(Transactions_RAW_cleaned[[#This Row],[Category]]="Payments", IF(Transactions_RAW_cleaned[[#This Row],[Amount]]&gt;500,"High Value","Standard"),
    IF(Transactions_RAW_cleaned[[#This Row],[Amount]]&gt;250,"High Value","Standard")))</f>
        <v>Standard</v>
      </c>
      <c r="Q1697" s="5" t="str">
        <f>IF(Transactions_RAW_cleaned[[#This Row],[Amount]] &gt; (_xlfn.XLOOKUP(Transactions_RAW_cleaned[[#This Row],[ServiceID]],Services_cleaned[ServiceID],Services_cleaned[TransactionFeePct]) * 10000), "Yes", "No")</f>
        <v>Yes</v>
      </c>
      <c r="R1697" s="5" t="str">
        <f>IF(COUNTIFS($C$2:Transactions_RAW_cleaned[[#This Row],[CustomerID]],Transactions_RAW_cleaned[[#This Row],[CustomerID]],$D$2:Transactions_RAW_cleaned[[#This Row],[ServiceID]],Transactions_RAW_cleaned[[#This Row],[ServiceID]])=1,"Yes","No")</f>
        <v>No</v>
      </c>
      <c r="S169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697" t="str">
        <f>"Q"&amp;ROUNDUP(MONTH(Transactions_RAW_cleaned[[#This Row],[TransactionDate]])/3,0)</f>
        <v>Q2</v>
      </c>
      <c r="U1697" t="str">
        <f>Transactions_RAW_cleaned[[#This Row],[Region ]]&amp;Transactions_RAW_cleaned[[#This Row],[Quarter ]]</f>
        <v>EMEAQ2</v>
      </c>
      <c r="V1697" s="5">
        <f>_xlfn.XLOOKUP(Transactions_RAW_cleaned[[#This Row],[RegionQuarterKey]], Quarterly_Targets_cleaned[RegionQuarterKey], Quarterly_Targets_cleaned[TargetRevenue])</f>
        <v>140000</v>
      </c>
    </row>
    <row r="1698" spans="1:22" x14ac:dyDescent="0.25">
      <c r="A1698" t="s">
        <v>2033</v>
      </c>
      <c r="B1698" s="1">
        <v>45381</v>
      </c>
      <c r="C1698" t="s">
        <v>82</v>
      </c>
      <c r="D1698" t="s">
        <v>294</v>
      </c>
      <c r="E1698">
        <v>350.14</v>
      </c>
      <c r="F1698" t="s">
        <v>324</v>
      </c>
      <c r="G1698" t="s">
        <v>327</v>
      </c>
      <c r="I1698" t="s">
        <v>57</v>
      </c>
      <c r="J1698" t="s">
        <v>46</v>
      </c>
      <c r="K1698" t="s">
        <v>10</v>
      </c>
      <c r="L1698" t="s">
        <v>295</v>
      </c>
      <c r="M1698" t="s">
        <v>296</v>
      </c>
      <c r="N1698">
        <v>2.9000000000000001E-2</v>
      </c>
      <c r="O1698" t="str">
        <f>IF(Transactions_RAW_cleaned[[#This Row],[Status]]="Completed", IFERROR(_xlfn.XLOOKUP(Transactions_RAW_cleaned[[#This Row],[CustomerID]], Customers_cleaned[CustomerID], Customers_cleaned[Segment]), "Customer Not Found"), "N/A")</f>
        <v>Startup</v>
      </c>
      <c r="P1698" s="5" t="str">
        <f>IF(Transactions_RAW_cleaned[[#This Row],[Status]]="Refunded", "Refund",
  IF(Transactions_RAW_cleaned[[#This Row],[Category]]="Payments", IF(Transactions_RAW_cleaned[[#This Row],[Amount]]&gt;500,"High Value","Standard"),
    IF(Transactions_RAW_cleaned[[#This Row],[Amount]]&gt;250,"High Value","Standard")))</f>
        <v>Standard</v>
      </c>
      <c r="Q1698" s="5" t="str">
        <f>IF(Transactions_RAW_cleaned[[#This Row],[Amount]] &gt; (_xlfn.XLOOKUP(Transactions_RAW_cleaned[[#This Row],[ServiceID]],Services_cleaned[ServiceID],Services_cleaned[TransactionFeePct]) * 10000), "Yes", "No")</f>
        <v>Yes</v>
      </c>
      <c r="R1698" s="5" t="str">
        <f>IF(COUNTIFS($C$2:Transactions_RAW_cleaned[[#This Row],[CustomerID]],Transactions_RAW_cleaned[[#This Row],[CustomerID]],$D$2:Transactions_RAW_cleaned[[#This Row],[ServiceID]],Transactions_RAW_cleaned[[#This Row],[ServiceID]])=1,"Yes","No")</f>
        <v>No</v>
      </c>
      <c r="S169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98" t="str">
        <f>"Q"&amp;ROUNDUP(MONTH(Transactions_RAW_cleaned[[#This Row],[TransactionDate]])/3,0)</f>
        <v>Q1</v>
      </c>
      <c r="U1698" t="str">
        <f>Transactions_RAW_cleaned[[#This Row],[Region ]]&amp;Transactions_RAW_cleaned[[#This Row],[Quarter ]]</f>
        <v>APACQ1</v>
      </c>
      <c r="V1698" s="5">
        <f>_xlfn.XLOOKUP(Transactions_RAW_cleaned[[#This Row],[RegionQuarterKey]], Quarterly_Targets_cleaned[RegionQuarterKey], Quarterly_Targets_cleaned[TargetRevenue])</f>
        <v>104500</v>
      </c>
    </row>
    <row r="1699" spans="1:22" x14ac:dyDescent="0.25">
      <c r="A1699" t="s">
        <v>2034</v>
      </c>
      <c r="B1699" s="1">
        <v>45615</v>
      </c>
      <c r="C1699" t="s">
        <v>396</v>
      </c>
      <c r="D1699" t="s">
        <v>297</v>
      </c>
      <c r="E1699">
        <v>-853.53</v>
      </c>
      <c r="F1699" t="s">
        <v>349</v>
      </c>
      <c r="G1699" t="s">
        <v>327</v>
      </c>
      <c r="I1699" t="s">
        <v>57</v>
      </c>
      <c r="J1699" t="s">
        <v>21</v>
      </c>
      <c r="K1699" t="s">
        <v>2964</v>
      </c>
      <c r="L1699" t="s">
        <v>298</v>
      </c>
      <c r="M1699" t="s">
        <v>299</v>
      </c>
      <c r="N1699">
        <v>0</v>
      </c>
      <c r="O1699" t="str">
        <f>IF(Transactions_RAW_cleaned[[#This Row],[Status]]="Completed", IFERROR(_xlfn.XLOOKUP(Transactions_RAW_cleaned[[#This Row],[CustomerID]], Customers_cleaned[CustomerID], Customers_cleaned[Segment]), "Customer Not Found"), "N/A")</f>
        <v>N/A</v>
      </c>
      <c r="P1699" s="5" t="str">
        <f>IF(Transactions_RAW_cleaned[[#This Row],[Status]]="Refunded", "Refund",
  IF(Transactions_RAW_cleaned[[#This Row],[Category]]="Payments", IF(Transactions_RAW_cleaned[[#This Row],[Amount]]&gt;500,"High Value","Standard"),
    IF(Transactions_RAW_cleaned[[#This Row],[Amount]]&gt;250,"High Value","Standard")))</f>
        <v>Refund</v>
      </c>
      <c r="Q1699" s="5" t="str">
        <f>IF(Transactions_RAW_cleaned[[#This Row],[Amount]] &gt; (_xlfn.XLOOKUP(Transactions_RAW_cleaned[[#This Row],[ServiceID]],Services_cleaned[ServiceID],Services_cleaned[TransactionFeePct]) * 10000), "Yes", "No")</f>
        <v>No</v>
      </c>
      <c r="R1699" s="5" t="str">
        <f>IF(COUNTIFS($C$2:Transactions_RAW_cleaned[[#This Row],[CustomerID]],Transactions_RAW_cleaned[[#This Row],[CustomerID]],$D$2:Transactions_RAW_cleaned[[#This Row],[ServiceID]],Transactions_RAW_cleaned[[#This Row],[ServiceID]])=1,"Yes","No")</f>
        <v>Yes</v>
      </c>
      <c r="S169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699" t="str">
        <f>"Q"&amp;ROUNDUP(MONTH(Transactions_RAW_cleaned[[#This Row],[TransactionDate]])/3,0)</f>
        <v>Q4</v>
      </c>
      <c r="U1699" t="str">
        <f>Transactions_RAW_cleaned[[#This Row],[Region ]]&amp;Transactions_RAW_cleaned[[#This Row],[Quarter ]]</f>
        <v>APACQ4</v>
      </c>
      <c r="V1699" s="5">
        <f>_xlfn.XLOOKUP(Transactions_RAW_cleaned[[#This Row],[RegionQuarterKey]], Quarterly_Targets_cleaned[RegionQuarterKey], Quarterly_Targets_cleaned[TargetRevenue])</f>
        <v>126500</v>
      </c>
    </row>
    <row r="1700" spans="1:22" x14ac:dyDescent="0.25">
      <c r="A1700" t="s">
        <v>2035</v>
      </c>
      <c r="B1700" s="1">
        <v>45393</v>
      </c>
      <c r="C1700" t="s">
        <v>161</v>
      </c>
      <c r="D1700" t="s">
        <v>300</v>
      </c>
      <c r="E1700">
        <v>123.55</v>
      </c>
      <c r="F1700" t="s">
        <v>324</v>
      </c>
      <c r="G1700" t="s">
        <v>325</v>
      </c>
      <c r="I1700" t="s">
        <v>8</v>
      </c>
      <c r="J1700" t="s">
        <v>21</v>
      </c>
      <c r="K1700" t="s">
        <v>22</v>
      </c>
      <c r="L1700" t="s">
        <v>301</v>
      </c>
      <c r="M1700" t="s">
        <v>302</v>
      </c>
      <c r="N1700">
        <v>5.0000000000000001E-3</v>
      </c>
      <c r="O1700" t="str">
        <f>IF(Transactions_RAW_cleaned[[#This Row],[Status]]="Completed", IFERROR(_xlfn.XLOOKUP(Transactions_RAW_cleaned[[#This Row],[CustomerID]], Customers_cleaned[CustomerID], Customers_cleaned[Segment]), "Customer Not Found"), "N/A")</f>
        <v>SMB</v>
      </c>
      <c r="P1700" s="5" t="str">
        <f>IF(Transactions_RAW_cleaned[[#This Row],[Status]]="Refunded", "Refund",
  IF(Transactions_RAW_cleaned[[#This Row],[Category]]="Payments", IF(Transactions_RAW_cleaned[[#This Row],[Amount]]&gt;500,"High Value","Standard"),
    IF(Transactions_RAW_cleaned[[#This Row],[Amount]]&gt;250,"High Value","Standard")))</f>
        <v>Standard</v>
      </c>
      <c r="Q1700" s="5" t="str">
        <f>IF(Transactions_RAW_cleaned[[#This Row],[Amount]] &gt; (_xlfn.XLOOKUP(Transactions_RAW_cleaned[[#This Row],[ServiceID]],Services_cleaned[ServiceID],Services_cleaned[TransactionFeePct]) * 10000), "Yes", "No")</f>
        <v>Yes</v>
      </c>
      <c r="R1700" s="5" t="str">
        <f>IF(COUNTIFS($C$2:Transactions_RAW_cleaned[[#This Row],[CustomerID]],Transactions_RAW_cleaned[[#This Row],[CustomerID]],$D$2:Transactions_RAW_cleaned[[#This Row],[ServiceID]],Transactions_RAW_cleaned[[#This Row],[ServiceID]])=1,"Yes","No")</f>
        <v>No</v>
      </c>
      <c r="S170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00" t="str">
        <f>"Q"&amp;ROUNDUP(MONTH(Transactions_RAW_cleaned[[#This Row],[TransactionDate]])/3,0)</f>
        <v>Q2</v>
      </c>
      <c r="U1700" t="str">
        <f>Transactions_RAW_cleaned[[#This Row],[Region ]]&amp;Transactions_RAW_cleaned[[#This Row],[Quarter ]]</f>
        <v>APACQ2</v>
      </c>
      <c r="V1700" s="5">
        <f>_xlfn.XLOOKUP(Transactions_RAW_cleaned[[#This Row],[RegionQuarterKey]], Quarterly_Targets_cleaned[RegionQuarterKey], Quarterly_Targets_cleaned[TargetRevenue])</f>
        <v>110000</v>
      </c>
    </row>
    <row r="1701" spans="1:22" x14ac:dyDescent="0.25">
      <c r="A1701" t="s">
        <v>2036</v>
      </c>
      <c r="B1701" s="1">
        <v>45316</v>
      </c>
      <c r="C1701" t="s">
        <v>72</v>
      </c>
      <c r="D1701" t="s">
        <v>294</v>
      </c>
      <c r="E1701">
        <v>513.49</v>
      </c>
      <c r="F1701" t="s">
        <v>381</v>
      </c>
      <c r="G1701" t="s">
        <v>2963</v>
      </c>
      <c r="H1701" t="s">
        <v>334</v>
      </c>
      <c r="I1701" t="s">
        <v>57</v>
      </c>
      <c r="J1701" t="s">
        <v>46</v>
      </c>
      <c r="K1701" t="s">
        <v>32</v>
      </c>
      <c r="L1701" t="s">
        <v>295</v>
      </c>
      <c r="M1701" t="s">
        <v>296</v>
      </c>
      <c r="N1701">
        <v>2.9000000000000001E-2</v>
      </c>
      <c r="O1701" t="str">
        <f>IF(Transactions_RAW_cleaned[[#This Row],[Status]]="Completed", IFERROR(_xlfn.XLOOKUP(Transactions_RAW_cleaned[[#This Row],[CustomerID]], Customers_cleaned[CustomerID], Customers_cleaned[Segment]), "Customer Not Found"), "N/A")</f>
        <v>N/A</v>
      </c>
      <c r="P1701" s="5" t="str">
        <f>IF(Transactions_RAW_cleaned[[#This Row],[Status]]="Refunded", "Refund",
  IF(Transactions_RAW_cleaned[[#This Row],[Category]]="Payments", IF(Transactions_RAW_cleaned[[#This Row],[Amount]]&gt;500,"High Value","Standard"),
    IF(Transactions_RAW_cleaned[[#This Row],[Amount]]&gt;250,"High Value","Standard")))</f>
        <v>High Value</v>
      </c>
      <c r="Q1701" s="5" t="str">
        <f>IF(Transactions_RAW_cleaned[[#This Row],[Amount]] &gt; (_xlfn.XLOOKUP(Transactions_RAW_cleaned[[#This Row],[ServiceID]],Services_cleaned[ServiceID],Services_cleaned[TransactionFeePct]) * 10000), "Yes", "No")</f>
        <v>Yes</v>
      </c>
      <c r="R1701" s="5" t="str">
        <f>IF(COUNTIFS($C$2:Transactions_RAW_cleaned[[#This Row],[CustomerID]],Transactions_RAW_cleaned[[#This Row],[CustomerID]],$D$2:Transactions_RAW_cleaned[[#This Row],[ServiceID]],Transactions_RAW_cleaned[[#This Row],[ServiceID]])=1,"Yes","No")</f>
        <v>No</v>
      </c>
      <c r="S170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01" t="str">
        <f>"Q"&amp;ROUNDUP(MONTH(Transactions_RAW_cleaned[[#This Row],[TransactionDate]])/3,0)</f>
        <v>Q1</v>
      </c>
      <c r="U1701" t="str">
        <f>Transactions_RAW_cleaned[[#This Row],[Region ]]&amp;Transactions_RAW_cleaned[[#This Row],[Quarter ]]</f>
        <v>APACQ1</v>
      </c>
      <c r="V1701" s="5">
        <f>_xlfn.XLOOKUP(Transactions_RAW_cleaned[[#This Row],[RegionQuarterKey]], Quarterly_Targets_cleaned[RegionQuarterKey], Quarterly_Targets_cleaned[TargetRevenue])</f>
        <v>104500</v>
      </c>
    </row>
    <row r="1702" spans="1:22" x14ac:dyDescent="0.25">
      <c r="A1702" t="s">
        <v>2037</v>
      </c>
      <c r="B1702" s="1">
        <v>45556</v>
      </c>
      <c r="C1702" t="s">
        <v>100</v>
      </c>
      <c r="D1702" t="s">
        <v>297</v>
      </c>
      <c r="E1702">
        <v>-661</v>
      </c>
      <c r="F1702" t="s">
        <v>349</v>
      </c>
      <c r="G1702" t="s">
        <v>337</v>
      </c>
      <c r="H1702" t="s">
        <v>334</v>
      </c>
      <c r="I1702" t="s">
        <v>8</v>
      </c>
      <c r="J1702" t="s">
        <v>102</v>
      </c>
      <c r="K1702" t="s">
        <v>22</v>
      </c>
      <c r="L1702" t="s">
        <v>298</v>
      </c>
      <c r="M1702" t="s">
        <v>299</v>
      </c>
      <c r="N1702">
        <v>0</v>
      </c>
      <c r="O1702" t="str">
        <f>IF(Transactions_RAW_cleaned[[#This Row],[Status]]="Completed", IFERROR(_xlfn.XLOOKUP(Transactions_RAW_cleaned[[#This Row],[CustomerID]], Customers_cleaned[CustomerID], Customers_cleaned[Segment]), "Customer Not Found"), "N/A")</f>
        <v>N/A</v>
      </c>
      <c r="P1702" s="5" t="str">
        <f>IF(Transactions_RAW_cleaned[[#This Row],[Status]]="Refunded", "Refund",
  IF(Transactions_RAW_cleaned[[#This Row],[Category]]="Payments", IF(Transactions_RAW_cleaned[[#This Row],[Amount]]&gt;500,"High Value","Standard"),
    IF(Transactions_RAW_cleaned[[#This Row],[Amount]]&gt;250,"High Value","Standard")))</f>
        <v>Refund</v>
      </c>
      <c r="Q1702" s="5" t="str">
        <f>IF(Transactions_RAW_cleaned[[#This Row],[Amount]] &gt; (_xlfn.XLOOKUP(Transactions_RAW_cleaned[[#This Row],[ServiceID]],Services_cleaned[ServiceID],Services_cleaned[TransactionFeePct]) * 10000), "Yes", "No")</f>
        <v>No</v>
      </c>
      <c r="R1702" s="5" t="str">
        <f>IF(COUNTIFS($C$2:Transactions_RAW_cleaned[[#This Row],[CustomerID]],Transactions_RAW_cleaned[[#This Row],[CustomerID]],$D$2:Transactions_RAW_cleaned[[#This Row],[ServiceID]],Transactions_RAW_cleaned[[#This Row],[ServiceID]])=1,"Yes","No")</f>
        <v>No</v>
      </c>
      <c r="S170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02" t="str">
        <f>"Q"&amp;ROUNDUP(MONTH(Transactions_RAW_cleaned[[#This Row],[TransactionDate]])/3,0)</f>
        <v>Q3</v>
      </c>
      <c r="U1702" t="str">
        <f>Transactions_RAW_cleaned[[#This Row],[Region ]]&amp;Transactions_RAW_cleaned[[#This Row],[Quarter ]]</f>
        <v>NAQ3</v>
      </c>
      <c r="V1702" s="5">
        <f>_xlfn.XLOOKUP(Transactions_RAW_cleaned[[#This Row],[RegionQuarterKey]], Quarterly_Targets_cleaned[RegionQuarterKey], Quarterly_Targets_cleaned[TargetRevenue])</f>
        <v>273000</v>
      </c>
    </row>
    <row r="1703" spans="1:22" x14ac:dyDescent="0.25">
      <c r="A1703" t="s">
        <v>2038</v>
      </c>
      <c r="B1703" s="1">
        <v>45456</v>
      </c>
      <c r="C1703" t="s">
        <v>60</v>
      </c>
      <c r="D1703" t="s">
        <v>306</v>
      </c>
      <c r="E1703">
        <v>254.91</v>
      </c>
      <c r="F1703" t="s">
        <v>324</v>
      </c>
      <c r="G1703" t="s">
        <v>2963</v>
      </c>
      <c r="I1703" t="s">
        <v>8</v>
      </c>
      <c r="J1703" t="s">
        <v>13</v>
      </c>
      <c r="K1703" t="s">
        <v>14</v>
      </c>
      <c r="L1703" t="s">
        <v>307</v>
      </c>
      <c r="M1703" t="s">
        <v>308</v>
      </c>
      <c r="N1703">
        <v>0</v>
      </c>
      <c r="O1703" t="str">
        <f>IF(Transactions_RAW_cleaned[[#This Row],[Status]]="Completed", IFERROR(_xlfn.XLOOKUP(Transactions_RAW_cleaned[[#This Row],[CustomerID]], Customers_cleaned[CustomerID], Customers_cleaned[Segment]), "Customer Not Found"), "N/A")</f>
        <v>SMB</v>
      </c>
      <c r="P1703" s="5" t="str">
        <f>IF(Transactions_RAW_cleaned[[#This Row],[Status]]="Refunded", "Refund",
  IF(Transactions_RAW_cleaned[[#This Row],[Category]]="Payments", IF(Transactions_RAW_cleaned[[#This Row],[Amount]]&gt;500,"High Value","Standard"),
    IF(Transactions_RAW_cleaned[[#This Row],[Amount]]&gt;250,"High Value","Standard")))</f>
        <v>High Value</v>
      </c>
      <c r="Q1703" s="5" t="str">
        <f>IF(Transactions_RAW_cleaned[[#This Row],[Amount]] &gt; (_xlfn.XLOOKUP(Transactions_RAW_cleaned[[#This Row],[ServiceID]],Services_cleaned[ServiceID],Services_cleaned[TransactionFeePct]) * 10000), "Yes", "No")</f>
        <v>Yes</v>
      </c>
      <c r="R1703" s="5" t="str">
        <f>IF(COUNTIFS($C$2:Transactions_RAW_cleaned[[#This Row],[CustomerID]],Transactions_RAW_cleaned[[#This Row],[CustomerID]],$D$2:Transactions_RAW_cleaned[[#This Row],[ServiceID]],Transactions_RAW_cleaned[[#This Row],[ServiceID]])=1,"Yes","No")</f>
        <v>No</v>
      </c>
      <c r="S170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03" t="str">
        <f>"Q"&amp;ROUNDUP(MONTH(Transactions_RAW_cleaned[[#This Row],[TransactionDate]])/3,0)</f>
        <v>Q2</v>
      </c>
      <c r="U1703" t="str">
        <f>Transactions_RAW_cleaned[[#This Row],[Region ]]&amp;Transactions_RAW_cleaned[[#This Row],[Quarter ]]</f>
        <v>NAQ2</v>
      </c>
      <c r="V1703" s="5">
        <f>_xlfn.XLOOKUP(Transactions_RAW_cleaned[[#This Row],[RegionQuarterKey]], Quarterly_Targets_cleaned[RegionQuarterKey], Quarterly_Targets_cleaned[TargetRevenue])</f>
        <v>260000</v>
      </c>
    </row>
    <row r="1704" spans="1:22" x14ac:dyDescent="0.25">
      <c r="A1704" t="s">
        <v>2039</v>
      </c>
      <c r="B1704" s="1">
        <v>45656</v>
      </c>
      <c r="C1704" t="s">
        <v>143</v>
      </c>
      <c r="D1704" t="s">
        <v>306</v>
      </c>
      <c r="E1704">
        <v>182.78</v>
      </c>
      <c r="F1704" t="s">
        <v>324</v>
      </c>
      <c r="G1704" t="s">
        <v>329</v>
      </c>
      <c r="I1704" t="s">
        <v>8</v>
      </c>
      <c r="J1704" t="s">
        <v>102</v>
      </c>
      <c r="K1704" t="s">
        <v>22</v>
      </c>
      <c r="L1704" t="s">
        <v>307</v>
      </c>
      <c r="M1704" t="s">
        <v>308</v>
      </c>
      <c r="N1704">
        <v>0</v>
      </c>
      <c r="O1704" t="str">
        <f>IF(Transactions_RAW_cleaned[[#This Row],[Status]]="Completed", IFERROR(_xlfn.XLOOKUP(Transactions_RAW_cleaned[[#This Row],[CustomerID]], Customers_cleaned[CustomerID], Customers_cleaned[Segment]), "Customer Not Found"), "N/A")</f>
        <v>SMB</v>
      </c>
      <c r="P1704" s="5" t="str">
        <f>IF(Transactions_RAW_cleaned[[#This Row],[Status]]="Refunded", "Refund",
  IF(Transactions_RAW_cleaned[[#This Row],[Category]]="Payments", IF(Transactions_RAW_cleaned[[#This Row],[Amount]]&gt;500,"High Value","Standard"),
    IF(Transactions_RAW_cleaned[[#This Row],[Amount]]&gt;250,"High Value","Standard")))</f>
        <v>Standard</v>
      </c>
      <c r="Q1704" s="5" t="str">
        <f>IF(Transactions_RAW_cleaned[[#This Row],[Amount]] &gt; (_xlfn.XLOOKUP(Transactions_RAW_cleaned[[#This Row],[ServiceID]],Services_cleaned[ServiceID],Services_cleaned[TransactionFeePct]) * 10000), "Yes", "No")</f>
        <v>Yes</v>
      </c>
      <c r="R1704" s="5" t="str">
        <f>IF(COUNTIFS($C$2:Transactions_RAW_cleaned[[#This Row],[CustomerID]],Transactions_RAW_cleaned[[#This Row],[CustomerID]],$D$2:Transactions_RAW_cleaned[[#This Row],[ServiceID]],Transactions_RAW_cleaned[[#This Row],[ServiceID]])=1,"Yes","No")</f>
        <v>No</v>
      </c>
      <c r="S170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04" t="str">
        <f>"Q"&amp;ROUNDUP(MONTH(Transactions_RAW_cleaned[[#This Row],[TransactionDate]])/3,0)</f>
        <v>Q4</v>
      </c>
      <c r="U1704" t="str">
        <f>Transactions_RAW_cleaned[[#This Row],[Region ]]&amp;Transactions_RAW_cleaned[[#This Row],[Quarter ]]</f>
        <v>NAQ4</v>
      </c>
      <c r="V1704" s="5">
        <f>_xlfn.XLOOKUP(Transactions_RAW_cleaned[[#This Row],[RegionQuarterKey]], Quarterly_Targets_cleaned[RegionQuarterKey], Quarterly_Targets_cleaned[TargetRevenue])</f>
        <v>299000</v>
      </c>
    </row>
    <row r="1705" spans="1:22" x14ac:dyDescent="0.25">
      <c r="A1705" t="s">
        <v>2040</v>
      </c>
      <c r="B1705" s="1">
        <v>45501</v>
      </c>
      <c r="C1705" t="s">
        <v>125</v>
      </c>
      <c r="D1705" t="s">
        <v>315</v>
      </c>
      <c r="E1705">
        <v>221.97</v>
      </c>
      <c r="F1705" t="s">
        <v>324</v>
      </c>
      <c r="G1705" t="s">
        <v>329</v>
      </c>
      <c r="I1705" t="s">
        <v>8</v>
      </c>
      <c r="J1705" t="s">
        <v>13</v>
      </c>
      <c r="K1705" t="s">
        <v>28</v>
      </c>
      <c r="L1705" t="s">
        <v>316</v>
      </c>
      <c r="M1705" t="s">
        <v>305</v>
      </c>
      <c r="N1705">
        <v>2.5000000000000001E-3</v>
      </c>
      <c r="O1705" t="str">
        <f>IF(Transactions_RAW_cleaned[[#This Row],[Status]]="Completed", IFERROR(_xlfn.XLOOKUP(Transactions_RAW_cleaned[[#This Row],[CustomerID]], Customers_cleaned[CustomerID], Customers_cleaned[Segment]), "Customer Not Found"), "N/A")</f>
        <v>SMB</v>
      </c>
      <c r="P1705" s="5" t="str">
        <f>IF(Transactions_RAW_cleaned[[#This Row],[Status]]="Refunded", "Refund",
  IF(Transactions_RAW_cleaned[[#This Row],[Category]]="Payments", IF(Transactions_RAW_cleaned[[#This Row],[Amount]]&gt;500,"High Value","Standard"),
    IF(Transactions_RAW_cleaned[[#This Row],[Amount]]&gt;250,"High Value","Standard")))</f>
        <v>Standard</v>
      </c>
      <c r="Q1705" s="5" t="str">
        <f>IF(Transactions_RAW_cleaned[[#This Row],[Amount]] &gt; (_xlfn.XLOOKUP(Transactions_RAW_cleaned[[#This Row],[ServiceID]],Services_cleaned[ServiceID],Services_cleaned[TransactionFeePct]) * 10000), "Yes", "No")</f>
        <v>Yes</v>
      </c>
      <c r="R1705" s="5" t="str">
        <f>IF(COUNTIFS($C$2:Transactions_RAW_cleaned[[#This Row],[CustomerID]],Transactions_RAW_cleaned[[#This Row],[CustomerID]],$D$2:Transactions_RAW_cleaned[[#This Row],[ServiceID]],Transactions_RAW_cleaned[[#This Row],[ServiceID]])=1,"Yes","No")</f>
        <v>No</v>
      </c>
      <c r="S170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05" t="str">
        <f>"Q"&amp;ROUNDUP(MONTH(Transactions_RAW_cleaned[[#This Row],[TransactionDate]])/3,0)</f>
        <v>Q3</v>
      </c>
      <c r="U1705" t="str">
        <f>Transactions_RAW_cleaned[[#This Row],[Region ]]&amp;Transactions_RAW_cleaned[[#This Row],[Quarter ]]</f>
        <v>NAQ3</v>
      </c>
      <c r="V1705" s="5">
        <f>_xlfn.XLOOKUP(Transactions_RAW_cleaned[[#This Row],[RegionQuarterKey]], Quarterly_Targets_cleaned[RegionQuarterKey], Quarterly_Targets_cleaned[TargetRevenue])</f>
        <v>273000</v>
      </c>
    </row>
    <row r="1706" spans="1:22" x14ac:dyDescent="0.25">
      <c r="A1706" t="s">
        <v>2041</v>
      </c>
      <c r="B1706" s="1">
        <v>45428</v>
      </c>
      <c r="C1706" t="s">
        <v>141</v>
      </c>
      <c r="D1706" t="s">
        <v>300</v>
      </c>
      <c r="E1706">
        <v>-667.3</v>
      </c>
      <c r="F1706" t="s">
        <v>349</v>
      </c>
      <c r="G1706" t="s">
        <v>329</v>
      </c>
      <c r="I1706" t="s">
        <v>57</v>
      </c>
      <c r="J1706" t="s">
        <v>25</v>
      </c>
      <c r="K1706" t="s">
        <v>10</v>
      </c>
      <c r="L1706" t="s">
        <v>301</v>
      </c>
      <c r="M1706" t="s">
        <v>302</v>
      </c>
      <c r="N1706">
        <v>5.0000000000000001E-3</v>
      </c>
      <c r="O1706" t="str">
        <f>IF(Transactions_RAW_cleaned[[#This Row],[Status]]="Completed", IFERROR(_xlfn.XLOOKUP(Transactions_RAW_cleaned[[#This Row],[CustomerID]], Customers_cleaned[CustomerID], Customers_cleaned[Segment]), "Customer Not Found"), "N/A")</f>
        <v>N/A</v>
      </c>
      <c r="P1706" s="5" t="str">
        <f>IF(Transactions_RAW_cleaned[[#This Row],[Status]]="Refunded", "Refund",
  IF(Transactions_RAW_cleaned[[#This Row],[Category]]="Payments", IF(Transactions_RAW_cleaned[[#This Row],[Amount]]&gt;500,"High Value","Standard"),
    IF(Transactions_RAW_cleaned[[#This Row],[Amount]]&gt;250,"High Value","Standard")))</f>
        <v>Refund</v>
      </c>
      <c r="Q1706" s="5" t="str">
        <f>IF(Transactions_RAW_cleaned[[#This Row],[Amount]] &gt; (_xlfn.XLOOKUP(Transactions_RAW_cleaned[[#This Row],[ServiceID]],Services_cleaned[ServiceID],Services_cleaned[TransactionFeePct]) * 10000), "Yes", "No")</f>
        <v>No</v>
      </c>
      <c r="R1706" s="5" t="str">
        <f>IF(COUNTIFS($C$2:Transactions_RAW_cleaned[[#This Row],[CustomerID]],Transactions_RAW_cleaned[[#This Row],[CustomerID]],$D$2:Transactions_RAW_cleaned[[#This Row],[ServiceID]],Transactions_RAW_cleaned[[#This Row],[ServiceID]])=1,"Yes","No")</f>
        <v>No</v>
      </c>
      <c r="S170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06" t="str">
        <f>"Q"&amp;ROUNDUP(MONTH(Transactions_RAW_cleaned[[#This Row],[TransactionDate]])/3,0)</f>
        <v>Q2</v>
      </c>
      <c r="U1706" t="str">
        <f>Transactions_RAW_cleaned[[#This Row],[Region ]]&amp;Transactions_RAW_cleaned[[#This Row],[Quarter ]]</f>
        <v>APACQ2</v>
      </c>
      <c r="V1706" s="5">
        <f>_xlfn.XLOOKUP(Transactions_RAW_cleaned[[#This Row],[RegionQuarterKey]], Quarterly_Targets_cleaned[RegionQuarterKey], Quarterly_Targets_cleaned[TargetRevenue])</f>
        <v>110000</v>
      </c>
    </row>
    <row r="1707" spans="1:22" x14ac:dyDescent="0.25">
      <c r="A1707" t="s">
        <v>2042</v>
      </c>
      <c r="B1707" s="1">
        <v>45483</v>
      </c>
      <c r="C1707" t="s">
        <v>38</v>
      </c>
      <c r="D1707" t="s">
        <v>300</v>
      </c>
      <c r="E1707">
        <v>-338.64</v>
      </c>
      <c r="F1707" t="s">
        <v>349</v>
      </c>
      <c r="G1707" t="s">
        <v>337</v>
      </c>
      <c r="H1707" t="s">
        <v>332</v>
      </c>
      <c r="I1707" t="s">
        <v>8</v>
      </c>
      <c r="J1707" t="s">
        <v>102</v>
      </c>
      <c r="K1707" t="s">
        <v>28</v>
      </c>
      <c r="L1707" t="s">
        <v>301</v>
      </c>
      <c r="M1707" t="s">
        <v>302</v>
      </c>
      <c r="N1707">
        <v>5.0000000000000001E-3</v>
      </c>
      <c r="O1707" t="str">
        <f>IF(Transactions_RAW_cleaned[[#This Row],[Status]]="Completed", IFERROR(_xlfn.XLOOKUP(Transactions_RAW_cleaned[[#This Row],[CustomerID]], Customers_cleaned[CustomerID], Customers_cleaned[Segment]), "Customer Not Found"), "N/A")</f>
        <v>N/A</v>
      </c>
      <c r="P1707" s="5" t="str">
        <f>IF(Transactions_RAW_cleaned[[#This Row],[Status]]="Refunded", "Refund",
  IF(Transactions_RAW_cleaned[[#This Row],[Category]]="Payments", IF(Transactions_RAW_cleaned[[#This Row],[Amount]]&gt;500,"High Value","Standard"),
    IF(Transactions_RAW_cleaned[[#This Row],[Amount]]&gt;250,"High Value","Standard")))</f>
        <v>Refund</v>
      </c>
      <c r="Q1707" s="5" t="str">
        <f>IF(Transactions_RAW_cleaned[[#This Row],[Amount]] &gt; (_xlfn.XLOOKUP(Transactions_RAW_cleaned[[#This Row],[ServiceID]],Services_cleaned[ServiceID],Services_cleaned[TransactionFeePct]) * 10000), "Yes", "No")</f>
        <v>No</v>
      </c>
      <c r="R1707" s="5" t="str">
        <f>IF(COUNTIFS($C$2:Transactions_RAW_cleaned[[#This Row],[CustomerID]],Transactions_RAW_cleaned[[#This Row],[CustomerID]],$D$2:Transactions_RAW_cleaned[[#This Row],[ServiceID]],Transactions_RAW_cleaned[[#This Row],[ServiceID]])=1,"Yes","No")</f>
        <v>No</v>
      </c>
      <c r="S170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07" t="str">
        <f>"Q"&amp;ROUNDUP(MONTH(Transactions_RAW_cleaned[[#This Row],[TransactionDate]])/3,0)</f>
        <v>Q3</v>
      </c>
      <c r="U1707" t="str">
        <f>Transactions_RAW_cleaned[[#This Row],[Region ]]&amp;Transactions_RAW_cleaned[[#This Row],[Quarter ]]</f>
        <v>NAQ3</v>
      </c>
      <c r="V1707" s="5">
        <f>_xlfn.XLOOKUP(Transactions_RAW_cleaned[[#This Row],[RegionQuarterKey]], Quarterly_Targets_cleaned[RegionQuarterKey], Quarterly_Targets_cleaned[TargetRevenue])</f>
        <v>273000</v>
      </c>
    </row>
    <row r="1708" spans="1:22" x14ac:dyDescent="0.25">
      <c r="A1708" t="s">
        <v>2043</v>
      </c>
      <c r="B1708" s="1">
        <v>45516</v>
      </c>
      <c r="C1708" t="s">
        <v>82</v>
      </c>
      <c r="D1708" t="s">
        <v>294</v>
      </c>
      <c r="E1708">
        <v>395.56</v>
      </c>
      <c r="F1708" t="s">
        <v>381</v>
      </c>
      <c r="G1708" t="s">
        <v>337</v>
      </c>
      <c r="H1708" t="s">
        <v>346</v>
      </c>
      <c r="I1708" t="s">
        <v>57</v>
      </c>
      <c r="J1708" t="s">
        <v>46</v>
      </c>
      <c r="K1708" t="s">
        <v>10</v>
      </c>
      <c r="L1708" t="s">
        <v>295</v>
      </c>
      <c r="M1708" t="s">
        <v>296</v>
      </c>
      <c r="N1708">
        <v>2.9000000000000001E-2</v>
      </c>
      <c r="O1708" t="str">
        <f>IF(Transactions_RAW_cleaned[[#This Row],[Status]]="Completed", IFERROR(_xlfn.XLOOKUP(Transactions_RAW_cleaned[[#This Row],[CustomerID]], Customers_cleaned[CustomerID], Customers_cleaned[Segment]), "Customer Not Found"), "N/A")</f>
        <v>N/A</v>
      </c>
      <c r="P1708" s="5" t="str">
        <f>IF(Transactions_RAW_cleaned[[#This Row],[Status]]="Refunded", "Refund",
  IF(Transactions_RAW_cleaned[[#This Row],[Category]]="Payments", IF(Transactions_RAW_cleaned[[#This Row],[Amount]]&gt;500,"High Value","Standard"),
    IF(Transactions_RAW_cleaned[[#This Row],[Amount]]&gt;250,"High Value","Standard")))</f>
        <v>Standard</v>
      </c>
      <c r="Q1708" s="5" t="str">
        <f>IF(Transactions_RAW_cleaned[[#This Row],[Amount]] &gt; (_xlfn.XLOOKUP(Transactions_RAW_cleaned[[#This Row],[ServiceID]],Services_cleaned[ServiceID],Services_cleaned[TransactionFeePct]) * 10000), "Yes", "No")</f>
        <v>Yes</v>
      </c>
      <c r="R1708" s="5" t="str">
        <f>IF(COUNTIFS($C$2:Transactions_RAW_cleaned[[#This Row],[CustomerID]],Transactions_RAW_cleaned[[#This Row],[CustomerID]],$D$2:Transactions_RAW_cleaned[[#This Row],[ServiceID]],Transactions_RAW_cleaned[[#This Row],[ServiceID]])=1,"Yes","No")</f>
        <v>No</v>
      </c>
      <c r="S170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08" t="str">
        <f>"Q"&amp;ROUNDUP(MONTH(Transactions_RAW_cleaned[[#This Row],[TransactionDate]])/3,0)</f>
        <v>Q3</v>
      </c>
      <c r="U1708" t="str">
        <f>Transactions_RAW_cleaned[[#This Row],[Region ]]&amp;Transactions_RAW_cleaned[[#This Row],[Quarter ]]</f>
        <v>APACQ3</v>
      </c>
      <c r="V1708" s="5">
        <f>_xlfn.XLOOKUP(Transactions_RAW_cleaned[[#This Row],[RegionQuarterKey]], Quarterly_Targets_cleaned[RegionQuarterKey], Quarterly_Targets_cleaned[TargetRevenue])</f>
        <v>115500</v>
      </c>
    </row>
    <row r="1709" spans="1:22" x14ac:dyDescent="0.25">
      <c r="A1709" t="s">
        <v>2044</v>
      </c>
      <c r="B1709" s="1">
        <v>45522</v>
      </c>
      <c r="C1709" t="s">
        <v>251</v>
      </c>
      <c r="D1709" t="s">
        <v>309</v>
      </c>
      <c r="E1709">
        <v>132.93</v>
      </c>
      <c r="F1709" t="s">
        <v>324</v>
      </c>
      <c r="G1709" t="s">
        <v>2963</v>
      </c>
      <c r="I1709" t="s">
        <v>17</v>
      </c>
      <c r="J1709" t="s">
        <v>46</v>
      </c>
      <c r="K1709" t="s">
        <v>14</v>
      </c>
      <c r="L1709" t="s">
        <v>310</v>
      </c>
      <c r="M1709" t="s">
        <v>311</v>
      </c>
      <c r="N1709">
        <v>0</v>
      </c>
      <c r="O1709" t="str">
        <f>IF(Transactions_RAW_cleaned[[#This Row],[Status]]="Completed", IFERROR(_xlfn.XLOOKUP(Transactions_RAW_cleaned[[#This Row],[CustomerID]], Customers_cleaned[CustomerID], Customers_cleaned[Segment]), "Customer Not Found"), "N/A")</f>
        <v>Enterprise</v>
      </c>
      <c r="P1709" s="5" t="str">
        <f>IF(Transactions_RAW_cleaned[[#This Row],[Status]]="Refunded", "Refund",
  IF(Transactions_RAW_cleaned[[#This Row],[Category]]="Payments", IF(Transactions_RAW_cleaned[[#This Row],[Amount]]&gt;500,"High Value","Standard"),
    IF(Transactions_RAW_cleaned[[#This Row],[Amount]]&gt;250,"High Value","Standard")))</f>
        <v>Standard</v>
      </c>
      <c r="Q1709" s="5" t="str">
        <f>IF(Transactions_RAW_cleaned[[#This Row],[Amount]] &gt; (_xlfn.XLOOKUP(Transactions_RAW_cleaned[[#This Row],[ServiceID]],Services_cleaned[ServiceID],Services_cleaned[TransactionFeePct]) * 10000), "Yes", "No")</f>
        <v>Yes</v>
      </c>
      <c r="R1709" s="5" t="str">
        <f>IF(COUNTIFS($C$2:Transactions_RAW_cleaned[[#This Row],[CustomerID]],Transactions_RAW_cleaned[[#This Row],[CustomerID]],$D$2:Transactions_RAW_cleaned[[#This Row],[ServiceID]],Transactions_RAW_cleaned[[#This Row],[ServiceID]])=1,"Yes","No")</f>
        <v>Yes</v>
      </c>
      <c r="S170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09" t="str">
        <f>"Q"&amp;ROUNDUP(MONTH(Transactions_RAW_cleaned[[#This Row],[TransactionDate]])/3,0)</f>
        <v>Q3</v>
      </c>
      <c r="U1709" t="str">
        <f>Transactions_RAW_cleaned[[#This Row],[Region ]]&amp;Transactions_RAW_cleaned[[#This Row],[Quarter ]]</f>
        <v>APACQ3</v>
      </c>
      <c r="V1709" s="5">
        <f>_xlfn.XLOOKUP(Transactions_RAW_cleaned[[#This Row],[RegionQuarterKey]], Quarterly_Targets_cleaned[RegionQuarterKey], Quarterly_Targets_cleaned[TargetRevenue])</f>
        <v>115500</v>
      </c>
    </row>
    <row r="1710" spans="1:22" x14ac:dyDescent="0.25">
      <c r="A1710" t="s">
        <v>2045</v>
      </c>
      <c r="B1710" s="1">
        <v>45580</v>
      </c>
      <c r="C1710" t="s">
        <v>165</v>
      </c>
      <c r="D1710" t="s">
        <v>300</v>
      </c>
      <c r="E1710">
        <v>218.97</v>
      </c>
      <c r="F1710" t="s">
        <v>324</v>
      </c>
      <c r="G1710" t="s">
        <v>325</v>
      </c>
      <c r="H1710" t="s">
        <v>334</v>
      </c>
      <c r="I1710" t="s">
        <v>8</v>
      </c>
      <c r="J1710" t="s">
        <v>31</v>
      </c>
      <c r="K1710" t="s">
        <v>32</v>
      </c>
      <c r="L1710" t="s">
        <v>301</v>
      </c>
      <c r="M1710" t="s">
        <v>302</v>
      </c>
      <c r="N1710">
        <v>5.0000000000000001E-3</v>
      </c>
      <c r="O1710" t="str">
        <f>IF(Transactions_RAW_cleaned[[#This Row],[Status]]="Completed", IFERROR(_xlfn.XLOOKUP(Transactions_RAW_cleaned[[#This Row],[CustomerID]], Customers_cleaned[CustomerID], Customers_cleaned[Segment]), "Customer Not Found"), "N/A")</f>
        <v>SMB</v>
      </c>
      <c r="P1710" s="5" t="str">
        <f>IF(Transactions_RAW_cleaned[[#This Row],[Status]]="Refunded", "Refund",
  IF(Transactions_RAW_cleaned[[#This Row],[Category]]="Payments", IF(Transactions_RAW_cleaned[[#This Row],[Amount]]&gt;500,"High Value","Standard"),
    IF(Transactions_RAW_cleaned[[#This Row],[Amount]]&gt;250,"High Value","Standard")))</f>
        <v>Standard</v>
      </c>
      <c r="Q1710" s="5" t="str">
        <f>IF(Transactions_RAW_cleaned[[#This Row],[Amount]] &gt; (_xlfn.XLOOKUP(Transactions_RAW_cleaned[[#This Row],[ServiceID]],Services_cleaned[ServiceID],Services_cleaned[TransactionFeePct]) * 10000), "Yes", "No")</f>
        <v>Yes</v>
      </c>
      <c r="R1710" s="5" t="str">
        <f>IF(COUNTIFS($C$2:Transactions_RAW_cleaned[[#This Row],[CustomerID]],Transactions_RAW_cleaned[[#This Row],[CustomerID]],$D$2:Transactions_RAW_cleaned[[#This Row],[ServiceID]],Transactions_RAW_cleaned[[#This Row],[ServiceID]])=1,"Yes","No")</f>
        <v>Yes</v>
      </c>
      <c r="S171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710" t="str">
        <f>"Q"&amp;ROUNDUP(MONTH(Transactions_RAW_cleaned[[#This Row],[TransactionDate]])/3,0)</f>
        <v>Q4</v>
      </c>
      <c r="U1710" t="str">
        <f>Transactions_RAW_cleaned[[#This Row],[Region ]]&amp;Transactions_RAW_cleaned[[#This Row],[Quarter ]]</f>
        <v>EMEAQ4</v>
      </c>
      <c r="V1710" s="5">
        <f>_xlfn.XLOOKUP(Transactions_RAW_cleaned[[#This Row],[RegionQuarterKey]], Quarterly_Targets_cleaned[RegionQuarterKey], Quarterly_Targets_cleaned[TargetRevenue])</f>
        <v>161000</v>
      </c>
    </row>
    <row r="1711" spans="1:22" x14ac:dyDescent="0.25">
      <c r="A1711" t="s">
        <v>2046</v>
      </c>
      <c r="B1711" s="1">
        <v>45335</v>
      </c>
      <c r="C1711" t="s">
        <v>209</v>
      </c>
      <c r="D1711" t="s">
        <v>300</v>
      </c>
      <c r="E1711">
        <v>322.89</v>
      </c>
      <c r="F1711" t="s">
        <v>324</v>
      </c>
      <c r="G1711" t="s">
        <v>327</v>
      </c>
      <c r="H1711" t="s">
        <v>346</v>
      </c>
      <c r="I1711" t="s">
        <v>17</v>
      </c>
      <c r="J1711" t="s">
        <v>102</v>
      </c>
      <c r="K1711" t="s">
        <v>22</v>
      </c>
      <c r="L1711" t="s">
        <v>301</v>
      </c>
      <c r="M1711" t="s">
        <v>302</v>
      </c>
      <c r="N1711">
        <v>5.0000000000000001E-3</v>
      </c>
      <c r="O1711" t="str">
        <f>IF(Transactions_RAW_cleaned[[#This Row],[Status]]="Completed", IFERROR(_xlfn.XLOOKUP(Transactions_RAW_cleaned[[#This Row],[CustomerID]], Customers_cleaned[CustomerID], Customers_cleaned[Segment]), "Customer Not Found"), "N/A")</f>
        <v>Enterprise</v>
      </c>
      <c r="P1711" s="5" t="str">
        <f>IF(Transactions_RAW_cleaned[[#This Row],[Status]]="Refunded", "Refund",
  IF(Transactions_RAW_cleaned[[#This Row],[Category]]="Payments", IF(Transactions_RAW_cleaned[[#This Row],[Amount]]&gt;500,"High Value","Standard"),
    IF(Transactions_RAW_cleaned[[#This Row],[Amount]]&gt;250,"High Value","Standard")))</f>
        <v>High Value</v>
      </c>
      <c r="Q1711" s="5" t="str">
        <f>IF(Transactions_RAW_cleaned[[#This Row],[Amount]] &gt; (_xlfn.XLOOKUP(Transactions_RAW_cleaned[[#This Row],[ServiceID]],Services_cleaned[ServiceID],Services_cleaned[TransactionFeePct]) * 10000), "Yes", "No")</f>
        <v>Yes</v>
      </c>
      <c r="R1711" s="5" t="str">
        <f>IF(COUNTIFS($C$2:Transactions_RAW_cleaned[[#This Row],[CustomerID]],Transactions_RAW_cleaned[[#This Row],[CustomerID]],$D$2:Transactions_RAW_cleaned[[#This Row],[ServiceID]],Transactions_RAW_cleaned[[#This Row],[ServiceID]])=1,"Yes","No")</f>
        <v>No</v>
      </c>
      <c r="S171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11" t="str">
        <f>"Q"&amp;ROUNDUP(MONTH(Transactions_RAW_cleaned[[#This Row],[TransactionDate]])/3,0)</f>
        <v>Q1</v>
      </c>
      <c r="U1711" t="str">
        <f>Transactions_RAW_cleaned[[#This Row],[Region ]]&amp;Transactions_RAW_cleaned[[#This Row],[Quarter ]]</f>
        <v>NAQ1</v>
      </c>
      <c r="V1711" s="5">
        <f>_xlfn.XLOOKUP(Transactions_RAW_cleaned[[#This Row],[RegionQuarterKey]], Quarterly_Targets_cleaned[RegionQuarterKey], Quarterly_Targets_cleaned[TargetRevenue])</f>
        <v>247000</v>
      </c>
    </row>
    <row r="1712" spans="1:22" x14ac:dyDescent="0.25">
      <c r="A1712" t="s">
        <v>2047</v>
      </c>
      <c r="B1712" s="1">
        <v>45431</v>
      </c>
      <c r="C1712" t="s">
        <v>235</v>
      </c>
      <c r="D1712" t="s">
        <v>315</v>
      </c>
      <c r="E1712">
        <v>-100.91</v>
      </c>
      <c r="F1712" t="s">
        <v>349</v>
      </c>
      <c r="G1712" t="s">
        <v>2963</v>
      </c>
      <c r="I1712" t="s">
        <v>57</v>
      </c>
      <c r="J1712" t="s">
        <v>21</v>
      </c>
      <c r="K1712" t="s">
        <v>22</v>
      </c>
      <c r="L1712" t="s">
        <v>316</v>
      </c>
      <c r="M1712" t="s">
        <v>305</v>
      </c>
      <c r="N1712">
        <v>2.5000000000000001E-3</v>
      </c>
      <c r="O1712" t="str">
        <f>IF(Transactions_RAW_cleaned[[#This Row],[Status]]="Completed", IFERROR(_xlfn.XLOOKUP(Transactions_RAW_cleaned[[#This Row],[CustomerID]], Customers_cleaned[CustomerID], Customers_cleaned[Segment]), "Customer Not Found"), "N/A")</f>
        <v>N/A</v>
      </c>
      <c r="P1712" s="5" t="str">
        <f>IF(Transactions_RAW_cleaned[[#This Row],[Status]]="Refunded", "Refund",
  IF(Transactions_RAW_cleaned[[#This Row],[Category]]="Payments", IF(Transactions_RAW_cleaned[[#This Row],[Amount]]&gt;500,"High Value","Standard"),
    IF(Transactions_RAW_cleaned[[#This Row],[Amount]]&gt;250,"High Value","Standard")))</f>
        <v>Refund</v>
      </c>
      <c r="Q1712" s="5" t="str">
        <f>IF(Transactions_RAW_cleaned[[#This Row],[Amount]] &gt; (_xlfn.XLOOKUP(Transactions_RAW_cleaned[[#This Row],[ServiceID]],Services_cleaned[ServiceID],Services_cleaned[TransactionFeePct]) * 10000), "Yes", "No")</f>
        <v>No</v>
      </c>
      <c r="R1712" s="5" t="str">
        <f>IF(COUNTIFS($C$2:Transactions_RAW_cleaned[[#This Row],[CustomerID]],Transactions_RAW_cleaned[[#This Row],[CustomerID]],$D$2:Transactions_RAW_cleaned[[#This Row],[ServiceID]],Transactions_RAW_cleaned[[#This Row],[ServiceID]])=1,"Yes","No")</f>
        <v>Yes</v>
      </c>
      <c r="S171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12" t="str">
        <f>"Q"&amp;ROUNDUP(MONTH(Transactions_RAW_cleaned[[#This Row],[TransactionDate]])/3,0)</f>
        <v>Q2</v>
      </c>
      <c r="U1712" t="str">
        <f>Transactions_RAW_cleaned[[#This Row],[Region ]]&amp;Transactions_RAW_cleaned[[#This Row],[Quarter ]]</f>
        <v>APACQ2</v>
      </c>
      <c r="V1712" s="5">
        <f>_xlfn.XLOOKUP(Transactions_RAW_cleaned[[#This Row],[RegionQuarterKey]], Quarterly_Targets_cleaned[RegionQuarterKey], Quarterly_Targets_cleaned[TargetRevenue])</f>
        <v>110000</v>
      </c>
    </row>
    <row r="1713" spans="1:22" x14ac:dyDescent="0.25">
      <c r="A1713" t="s">
        <v>2048</v>
      </c>
      <c r="B1713" s="1">
        <v>45649</v>
      </c>
      <c r="C1713" t="s">
        <v>167</v>
      </c>
      <c r="D1713" t="s">
        <v>309</v>
      </c>
      <c r="E1713">
        <v>553.71</v>
      </c>
      <c r="F1713" t="s">
        <v>324</v>
      </c>
      <c r="G1713" t="s">
        <v>325</v>
      </c>
      <c r="I1713" t="s">
        <v>17</v>
      </c>
      <c r="J1713" t="s">
        <v>13</v>
      </c>
      <c r="K1713" t="s">
        <v>10</v>
      </c>
      <c r="L1713" t="s">
        <v>310</v>
      </c>
      <c r="M1713" t="s">
        <v>311</v>
      </c>
      <c r="N1713">
        <v>0</v>
      </c>
      <c r="O1713" t="str">
        <f>IF(Transactions_RAW_cleaned[[#This Row],[Status]]="Completed", IFERROR(_xlfn.XLOOKUP(Transactions_RAW_cleaned[[#This Row],[CustomerID]], Customers_cleaned[CustomerID], Customers_cleaned[Segment]), "Customer Not Found"), "N/A")</f>
        <v>Enterprise</v>
      </c>
      <c r="P1713" s="5" t="str">
        <f>IF(Transactions_RAW_cleaned[[#This Row],[Status]]="Refunded", "Refund",
  IF(Transactions_RAW_cleaned[[#This Row],[Category]]="Payments", IF(Transactions_RAW_cleaned[[#This Row],[Amount]]&gt;500,"High Value","Standard"),
    IF(Transactions_RAW_cleaned[[#This Row],[Amount]]&gt;250,"High Value","Standard")))</f>
        <v>High Value</v>
      </c>
      <c r="Q1713" s="5" t="str">
        <f>IF(Transactions_RAW_cleaned[[#This Row],[Amount]] &gt; (_xlfn.XLOOKUP(Transactions_RAW_cleaned[[#This Row],[ServiceID]],Services_cleaned[ServiceID],Services_cleaned[TransactionFeePct]) * 10000), "Yes", "No")</f>
        <v>Yes</v>
      </c>
      <c r="R1713" s="5" t="str">
        <f>IF(COUNTIFS($C$2:Transactions_RAW_cleaned[[#This Row],[CustomerID]],Transactions_RAW_cleaned[[#This Row],[CustomerID]],$D$2:Transactions_RAW_cleaned[[#This Row],[ServiceID]],Transactions_RAW_cleaned[[#This Row],[ServiceID]])=1,"Yes","No")</f>
        <v>No</v>
      </c>
      <c r="S171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13" t="str">
        <f>"Q"&amp;ROUNDUP(MONTH(Transactions_RAW_cleaned[[#This Row],[TransactionDate]])/3,0)</f>
        <v>Q4</v>
      </c>
      <c r="U1713" t="str">
        <f>Transactions_RAW_cleaned[[#This Row],[Region ]]&amp;Transactions_RAW_cleaned[[#This Row],[Quarter ]]</f>
        <v>NAQ4</v>
      </c>
      <c r="V1713" s="5">
        <f>_xlfn.XLOOKUP(Transactions_RAW_cleaned[[#This Row],[RegionQuarterKey]], Quarterly_Targets_cleaned[RegionQuarterKey], Quarterly_Targets_cleaned[TargetRevenue])</f>
        <v>299000</v>
      </c>
    </row>
    <row r="1714" spans="1:22" x14ac:dyDescent="0.25">
      <c r="A1714" t="s">
        <v>2049</v>
      </c>
      <c r="B1714" s="1">
        <v>45374</v>
      </c>
      <c r="C1714" t="s">
        <v>247</v>
      </c>
      <c r="D1714" t="s">
        <v>309</v>
      </c>
      <c r="E1714">
        <v>573.61</v>
      </c>
      <c r="F1714" t="s">
        <v>324</v>
      </c>
      <c r="G1714" t="s">
        <v>337</v>
      </c>
      <c r="H1714" t="s">
        <v>332</v>
      </c>
      <c r="I1714" t="s">
        <v>17</v>
      </c>
      <c r="J1714" t="s">
        <v>13</v>
      </c>
      <c r="K1714" t="s">
        <v>28</v>
      </c>
      <c r="L1714" t="s">
        <v>310</v>
      </c>
      <c r="M1714" t="s">
        <v>311</v>
      </c>
      <c r="N1714">
        <v>0</v>
      </c>
      <c r="O1714" t="str">
        <f>IF(Transactions_RAW_cleaned[[#This Row],[Status]]="Completed", IFERROR(_xlfn.XLOOKUP(Transactions_RAW_cleaned[[#This Row],[CustomerID]], Customers_cleaned[CustomerID], Customers_cleaned[Segment]), "Customer Not Found"), "N/A")</f>
        <v>Enterprise</v>
      </c>
      <c r="P1714" s="5" t="str">
        <f>IF(Transactions_RAW_cleaned[[#This Row],[Status]]="Refunded", "Refund",
  IF(Transactions_RAW_cleaned[[#This Row],[Category]]="Payments", IF(Transactions_RAW_cleaned[[#This Row],[Amount]]&gt;500,"High Value","Standard"),
    IF(Transactions_RAW_cleaned[[#This Row],[Amount]]&gt;250,"High Value","Standard")))</f>
        <v>High Value</v>
      </c>
      <c r="Q1714" s="5" t="str">
        <f>IF(Transactions_RAW_cleaned[[#This Row],[Amount]] &gt; (_xlfn.XLOOKUP(Transactions_RAW_cleaned[[#This Row],[ServiceID]],Services_cleaned[ServiceID],Services_cleaned[TransactionFeePct]) * 10000), "Yes", "No")</f>
        <v>Yes</v>
      </c>
      <c r="R1714" s="5" t="str">
        <f>IF(COUNTIFS($C$2:Transactions_RAW_cleaned[[#This Row],[CustomerID]],Transactions_RAW_cleaned[[#This Row],[CustomerID]],$D$2:Transactions_RAW_cleaned[[#This Row],[ServiceID]],Transactions_RAW_cleaned[[#This Row],[ServiceID]])=1,"Yes","No")</f>
        <v>Yes</v>
      </c>
      <c r="S171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14" t="str">
        <f>"Q"&amp;ROUNDUP(MONTH(Transactions_RAW_cleaned[[#This Row],[TransactionDate]])/3,0)</f>
        <v>Q1</v>
      </c>
      <c r="U1714" t="str">
        <f>Transactions_RAW_cleaned[[#This Row],[Region ]]&amp;Transactions_RAW_cleaned[[#This Row],[Quarter ]]</f>
        <v>NAQ1</v>
      </c>
      <c r="V1714" s="5">
        <f>_xlfn.XLOOKUP(Transactions_RAW_cleaned[[#This Row],[RegionQuarterKey]], Quarterly_Targets_cleaned[RegionQuarterKey], Quarterly_Targets_cleaned[TargetRevenue])</f>
        <v>247000</v>
      </c>
    </row>
    <row r="1715" spans="1:22" x14ac:dyDescent="0.25">
      <c r="A1715" t="s">
        <v>2050</v>
      </c>
      <c r="B1715" s="1">
        <v>45337</v>
      </c>
      <c r="C1715" t="s">
        <v>163</v>
      </c>
      <c r="D1715" t="s">
        <v>294</v>
      </c>
      <c r="E1715">
        <v>402.11</v>
      </c>
      <c r="F1715" t="s">
        <v>324</v>
      </c>
      <c r="G1715" t="s">
        <v>337</v>
      </c>
      <c r="H1715" t="s">
        <v>332</v>
      </c>
      <c r="I1715" t="s">
        <v>17</v>
      </c>
      <c r="J1715" t="s">
        <v>102</v>
      </c>
      <c r="K1715" t="s">
        <v>18</v>
      </c>
      <c r="L1715" t="s">
        <v>295</v>
      </c>
      <c r="M1715" t="s">
        <v>296</v>
      </c>
      <c r="N1715">
        <v>2.9000000000000001E-2</v>
      </c>
      <c r="O1715" t="str">
        <f>IF(Transactions_RAW_cleaned[[#This Row],[Status]]="Completed", IFERROR(_xlfn.XLOOKUP(Transactions_RAW_cleaned[[#This Row],[CustomerID]], Customers_cleaned[CustomerID], Customers_cleaned[Segment]), "Customer Not Found"), "N/A")</f>
        <v>Enterprise</v>
      </c>
      <c r="P1715" s="5" t="str">
        <f>IF(Transactions_RAW_cleaned[[#This Row],[Status]]="Refunded", "Refund",
  IF(Transactions_RAW_cleaned[[#This Row],[Category]]="Payments", IF(Transactions_RAW_cleaned[[#This Row],[Amount]]&gt;500,"High Value","Standard"),
    IF(Transactions_RAW_cleaned[[#This Row],[Amount]]&gt;250,"High Value","Standard")))</f>
        <v>Standard</v>
      </c>
      <c r="Q1715" s="5" t="str">
        <f>IF(Transactions_RAW_cleaned[[#This Row],[Amount]] &gt; (_xlfn.XLOOKUP(Transactions_RAW_cleaned[[#This Row],[ServiceID]],Services_cleaned[ServiceID],Services_cleaned[TransactionFeePct]) * 10000), "Yes", "No")</f>
        <v>Yes</v>
      </c>
      <c r="R1715" s="5" t="str">
        <f>IF(COUNTIFS($C$2:Transactions_RAW_cleaned[[#This Row],[CustomerID]],Transactions_RAW_cleaned[[#This Row],[CustomerID]],$D$2:Transactions_RAW_cleaned[[#This Row],[ServiceID]],Transactions_RAW_cleaned[[#This Row],[ServiceID]])=1,"Yes","No")</f>
        <v>No</v>
      </c>
      <c r="S171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15" t="str">
        <f>"Q"&amp;ROUNDUP(MONTH(Transactions_RAW_cleaned[[#This Row],[TransactionDate]])/3,0)</f>
        <v>Q1</v>
      </c>
      <c r="U1715" t="str">
        <f>Transactions_RAW_cleaned[[#This Row],[Region ]]&amp;Transactions_RAW_cleaned[[#This Row],[Quarter ]]</f>
        <v>NAQ1</v>
      </c>
      <c r="V1715" s="5">
        <f>_xlfn.XLOOKUP(Transactions_RAW_cleaned[[#This Row],[RegionQuarterKey]], Quarterly_Targets_cleaned[RegionQuarterKey], Quarterly_Targets_cleaned[TargetRevenue])</f>
        <v>247000</v>
      </c>
    </row>
    <row r="1716" spans="1:22" x14ac:dyDescent="0.25">
      <c r="A1716" t="s">
        <v>2051</v>
      </c>
      <c r="B1716" s="1">
        <v>45646</v>
      </c>
      <c r="C1716" t="s">
        <v>155</v>
      </c>
      <c r="D1716" t="s">
        <v>294</v>
      </c>
      <c r="E1716">
        <v>875.82</v>
      </c>
      <c r="F1716" t="s">
        <v>324</v>
      </c>
      <c r="G1716" t="s">
        <v>325</v>
      </c>
      <c r="I1716" t="s">
        <v>8</v>
      </c>
      <c r="J1716" t="s">
        <v>46</v>
      </c>
      <c r="K1716" t="s">
        <v>22</v>
      </c>
      <c r="L1716" t="s">
        <v>295</v>
      </c>
      <c r="M1716" t="s">
        <v>296</v>
      </c>
      <c r="N1716">
        <v>2.9000000000000001E-2</v>
      </c>
      <c r="O1716" t="str">
        <f>IF(Transactions_RAW_cleaned[[#This Row],[Status]]="Completed", IFERROR(_xlfn.XLOOKUP(Transactions_RAW_cleaned[[#This Row],[CustomerID]], Customers_cleaned[CustomerID], Customers_cleaned[Segment]), "Customer Not Found"), "N/A")</f>
        <v>SMB</v>
      </c>
      <c r="P1716" s="5" t="str">
        <f>IF(Transactions_RAW_cleaned[[#This Row],[Status]]="Refunded", "Refund",
  IF(Transactions_RAW_cleaned[[#This Row],[Category]]="Payments", IF(Transactions_RAW_cleaned[[#This Row],[Amount]]&gt;500,"High Value","Standard"),
    IF(Transactions_RAW_cleaned[[#This Row],[Amount]]&gt;250,"High Value","Standard")))</f>
        <v>High Value</v>
      </c>
      <c r="Q1716" s="5" t="str">
        <f>IF(Transactions_RAW_cleaned[[#This Row],[Amount]] &gt; (_xlfn.XLOOKUP(Transactions_RAW_cleaned[[#This Row],[ServiceID]],Services_cleaned[ServiceID],Services_cleaned[TransactionFeePct]) * 10000), "Yes", "No")</f>
        <v>Yes</v>
      </c>
      <c r="R1716" s="5" t="str">
        <f>IF(COUNTIFS($C$2:Transactions_RAW_cleaned[[#This Row],[CustomerID]],Transactions_RAW_cleaned[[#This Row],[CustomerID]],$D$2:Transactions_RAW_cleaned[[#This Row],[ServiceID]],Transactions_RAW_cleaned[[#This Row],[ServiceID]])=1,"Yes","No")</f>
        <v>No</v>
      </c>
      <c r="S171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16" t="str">
        <f>"Q"&amp;ROUNDUP(MONTH(Transactions_RAW_cleaned[[#This Row],[TransactionDate]])/3,0)</f>
        <v>Q4</v>
      </c>
      <c r="U1716" t="str">
        <f>Transactions_RAW_cleaned[[#This Row],[Region ]]&amp;Transactions_RAW_cleaned[[#This Row],[Quarter ]]</f>
        <v>APACQ4</v>
      </c>
      <c r="V1716" s="5">
        <f>_xlfn.XLOOKUP(Transactions_RAW_cleaned[[#This Row],[RegionQuarterKey]], Quarterly_Targets_cleaned[RegionQuarterKey], Quarterly_Targets_cleaned[TargetRevenue])</f>
        <v>126500</v>
      </c>
    </row>
    <row r="1717" spans="1:22" x14ac:dyDescent="0.25">
      <c r="A1717" t="s">
        <v>2052</v>
      </c>
      <c r="B1717" s="1">
        <v>45299</v>
      </c>
      <c r="C1717" t="s">
        <v>94</v>
      </c>
      <c r="D1717" t="s">
        <v>312</v>
      </c>
      <c r="E1717">
        <v>250.37</v>
      </c>
      <c r="F1717" t="s">
        <v>324</v>
      </c>
      <c r="G1717" t="s">
        <v>327</v>
      </c>
      <c r="I1717" t="s">
        <v>8</v>
      </c>
      <c r="J1717" t="s">
        <v>21</v>
      </c>
      <c r="K1717" t="s">
        <v>14</v>
      </c>
      <c r="L1717" t="s">
        <v>313</v>
      </c>
      <c r="M1717" t="s">
        <v>314</v>
      </c>
      <c r="N1717">
        <v>0</v>
      </c>
      <c r="O1717" t="str">
        <f>IF(Transactions_RAW_cleaned[[#This Row],[Status]]="Completed", IFERROR(_xlfn.XLOOKUP(Transactions_RAW_cleaned[[#This Row],[CustomerID]], Customers_cleaned[CustomerID], Customers_cleaned[Segment]), "Customer Not Found"), "N/A")</f>
        <v>SMB</v>
      </c>
      <c r="P1717" s="5" t="str">
        <f>IF(Transactions_RAW_cleaned[[#This Row],[Status]]="Refunded", "Refund",
  IF(Transactions_RAW_cleaned[[#This Row],[Category]]="Payments", IF(Transactions_RAW_cleaned[[#This Row],[Amount]]&gt;500,"High Value","Standard"),
    IF(Transactions_RAW_cleaned[[#This Row],[Amount]]&gt;250,"High Value","Standard")))</f>
        <v>High Value</v>
      </c>
      <c r="Q1717" s="5" t="str">
        <f>IF(Transactions_RAW_cleaned[[#This Row],[Amount]] &gt; (_xlfn.XLOOKUP(Transactions_RAW_cleaned[[#This Row],[ServiceID]],Services_cleaned[ServiceID],Services_cleaned[TransactionFeePct]) * 10000), "Yes", "No")</f>
        <v>Yes</v>
      </c>
      <c r="R1717" s="5" t="str">
        <f>IF(COUNTIFS($C$2:Transactions_RAW_cleaned[[#This Row],[CustomerID]],Transactions_RAW_cleaned[[#This Row],[CustomerID]],$D$2:Transactions_RAW_cleaned[[#This Row],[ServiceID]],Transactions_RAW_cleaned[[#This Row],[ServiceID]])=1,"Yes","No")</f>
        <v>Yes</v>
      </c>
      <c r="S171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17" t="str">
        <f>"Q"&amp;ROUNDUP(MONTH(Transactions_RAW_cleaned[[#This Row],[TransactionDate]])/3,0)</f>
        <v>Q1</v>
      </c>
      <c r="U1717" t="str">
        <f>Transactions_RAW_cleaned[[#This Row],[Region ]]&amp;Transactions_RAW_cleaned[[#This Row],[Quarter ]]</f>
        <v>APACQ1</v>
      </c>
      <c r="V1717" s="5">
        <f>_xlfn.XLOOKUP(Transactions_RAW_cleaned[[#This Row],[RegionQuarterKey]], Quarterly_Targets_cleaned[RegionQuarterKey], Quarterly_Targets_cleaned[TargetRevenue])</f>
        <v>104500</v>
      </c>
    </row>
    <row r="1718" spans="1:22" x14ac:dyDescent="0.25">
      <c r="A1718" t="s">
        <v>2053</v>
      </c>
      <c r="B1718" s="1">
        <v>45354</v>
      </c>
      <c r="C1718" t="s">
        <v>66</v>
      </c>
      <c r="D1718" t="s">
        <v>294</v>
      </c>
      <c r="E1718">
        <v>232.01</v>
      </c>
      <c r="F1718" t="s">
        <v>324</v>
      </c>
      <c r="G1718" t="s">
        <v>337</v>
      </c>
      <c r="H1718" t="s">
        <v>334</v>
      </c>
      <c r="I1718" t="s">
        <v>8</v>
      </c>
      <c r="J1718" t="s">
        <v>46</v>
      </c>
      <c r="K1718" t="s">
        <v>10</v>
      </c>
      <c r="L1718" t="s">
        <v>295</v>
      </c>
      <c r="M1718" t="s">
        <v>296</v>
      </c>
      <c r="N1718">
        <v>2.9000000000000001E-2</v>
      </c>
      <c r="O1718" t="str">
        <f>IF(Transactions_RAW_cleaned[[#This Row],[Status]]="Completed", IFERROR(_xlfn.XLOOKUP(Transactions_RAW_cleaned[[#This Row],[CustomerID]], Customers_cleaned[CustomerID], Customers_cleaned[Segment]), "Customer Not Found"), "N/A")</f>
        <v>SMB</v>
      </c>
      <c r="P1718" s="5" t="str">
        <f>IF(Transactions_RAW_cleaned[[#This Row],[Status]]="Refunded", "Refund",
  IF(Transactions_RAW_cleaned[[#This Row],[Category]]="Payments", IF(Transactions_RAW_cleaned[[#This Row],[Amount]]&gt;500,"High Value","Standard"),
    IF(Transactions_RAW_cleaned[[#This Row],[Amount]]&gt;250,"High Value","Standard")))</f>
        <v>Standard</v>
      </c>
      <c r="Q1718" s="5" t="str">
        <f>IF(Transactions_RAW_cleaned[[#This Row],[Amount]] &gt; (_xlfn.XLOOKUP(Transactions_RAW_cleaned[[#This Row],[ServiceID]],Services_cleaned[ServiceID],Services_cleaned[TransactionFeePct]) * 10000), "Yes", "No")</f>
        <v>No</v>
      </c>
      <c r="R1718" s="5" t="str">
        <f>IF(COUNTIFS($C$2:Transactions_RAW_cleaned[[#This Row],[CustomerID]],Transactions_RAW_cleaned[[#This Row],[CustomerID]],$D$2:Transactions_RAW_cleaned[[#This Row],[ServiceID]],Transactions_RAW_cleaned[[#This Row],[ServiceID]])=1,"Yes","No")</f>
        <v>No</v>
      </c>
      <c r="S171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18" t="str">
        <f>"Q"&amp;ROUNDUP(MONTH(Transactions_RAW_cleaned[[#This Row],[TransactionDate]])/3,0)</f>
        <v>Q1</v>
      </c>
      <c r="U1718" t="str">
        <f>Transactions_RAW_cleaned[[#This Row],[Region ]]&amp;Transactions_RAW_cleaned[[#This Row],[Quarter ]]</f>
        <v>APACQ1</v>
      </c>
      <c r="V1718" s="5">
        <f>_xlfn.XLOOKUP(Transactions_RAW_cleaned[[#This Row],[RegionQuarterKey]], Quarterly_Targets_cleaned[RegionQuarterKey], Quarterly_Targets_cleaned[TargetRevenue])</f>
        <v>104500</v>
      </c>
    </row>
    <row r="1719" spans="1:22" x14ac:dyDescent="0.25">
      <c r="A1719" t="s">
        <v>2054</v>
      </c>
      <c r="B1719" s="1">
        <v>45473</v>
      </c>
      <c r="C1719" t="s">
        <v>111</v>
      </c>
      <c r="D1719" t="s">
        <v>300</v>
      </c>
      <c r="E1719">
        <v>218</v>
      </c>
      <c r="F1719" t="s">
        <v>324</v>
      </c>
      <c r="G1719" t="s">
        <v>325</v>
      </c>
      <c r="H1719" t="s">
        <v>334</v>
      </c>
      <c r="I1719" t="s">
        <v>8</v>
      </c>
      <c r="J1719" t="s">
        <v>21</v>
      </c>
      <c r="K1719" t="s">
        <v>28</v>
      </c>
      <c r="L1719" t="s">
        <v>301</v>
      </c>
      <c r="M1719" t="s">
        <v>302</v>
      </c>
      <c r="N1719">
        <v>5.0000000000000001E-3</v>
      </c>
      <c r="O1719" t="str">
        <f>IF(Transactions_RAW_cleaned[[#This Row],[Status]]="Completed", IFERROR(_xlfn.XLOOKUP(Transactions_RAW_cleaned[[#This Row],[CustomerID]], Customers_cleaned[CustomerID], Customers_cleaned[Segment]), "Customer Not Found"), "N/A")</f>
        <v>SMB</v>
      </c>
      <c r="P1719" s="5" t="str">
        <f>IF(Transactions_RAW_cleaned[[#This Row],[Status]]="Refunded", "Refund",
  IF(Transactions_RAW_cleaned[[#This Row],[Category]]="Payments", IF(Transactions_RAW_cleaned[[#This Row],[Amount]]&gt;500,"High Value","Standard"),
    IF(Transactions_RAW_cleaned[[#This Row],[Amount]]&gt;250,"High Value","Standard")))</f>
        <v>Standard</v>
      </c>
      <c r="Q1719" s="5" t="str">
        <f>IF(Transactions_RAW_cleaned[[#This Row],[Amount]] &gt; (_xlfn.XLOOKUP(Transactions_RAW_cleaned[[#This Row],[ServiceID]],Services_cleaned[ServiceID],Services_cleaned[TransactionFeePct]) * 10000), "Yes", "No")</f>
        <v>Yes</v>
      </c>
      <c r="R1719" s="5" t="str">
        <f>IF(COUNTIFS($C$2:Transactions_RAW_cleaned[[#This Row],[CustomerID]],Transactions_RAW_cleaned[[#This Row],[CustomerID]],$D$2:Transactions_RAW_cleaned[[#This Row],[ServiceID]],Transactions_RAW_cleaned[[#This Row],[ServiceID]])=1,"Yes","No")</f>
        <v>Yes</v>
      </c>
      <c r="S171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19" t="str">
        <f>"Q"&amp;ROUNDUP(MONTH(Transactions_RAW_cleaned[[#This Row],[TransactionDate]])/3,0)</f>
        <v>Q2</v>
      </c>
      <c r="U1719" t="str">
        <f>Transactions_RAW_cleaned[[#This Row],[Region ]]&amp;Transactions_RAW_cleaned[[#This Row],[Quarter ]]</f>
        <v>APACQ2</v>
      </c>
      <c r="V1719" s="5">
        <f>_xlfn.XLOOKUP(Transactions_RAW_cleaned[[#This Row],[RegionQuarterKey]], Quarterly_Targets_cleaned[RegionQuarterKey], Quarterly_Targets_cleaned[TargetRevenue])</f>
        <v>110000</v>
      </c>
    </row>
    <row r="1720" spans="1:22" x14ac:dyDescent="0.25">
      <c r="A1720" t="s">
        <v>2055</v>
      </c>
      <c r="B1720" s="1">
        <v>45625</v>
      </c>
      <c r="C1720" t="s">
        <v>207</v>
      </c>
      <c r="D1720" t="s">
        <v>306</v>
      </c>
      <c r="E1720">
        <v>813.77</v>
      </c>
      <c r="F1720" t="s">
        <v>324</v>
      </c>
      <c r="G1720" t="s">
        <v>325</v>
      </c>
      <c r="H1720" t="s">
        <v>346</v>
      </c>
      <c r="I1720" t="s">
        <v>8</v>
      </c>
      <c r="J1720" t="s">
        <v>102</v>
      </c>
      <c r="K1720" t="s">
        <v>28</v>
      </c>
      <c r="L1720" t="s">
        <v>307</v>
      </c>
      <c r="M1720" t="s">
        <v>308</v>
      </c>
      <c r="N1720">
        <v>0</v>
      </c>
      <c r="O1720" t="str">
        <f>IF(Transactions_RAW_cleaned[[#This Row],[Status]]="Completed", IFERROR(_xlfn.XLOOKUP(Transactions_RAW_cleaned[[#This Row],[CustomerID]], Customers_cleaned[CustomerID], Customers_cleaned[Segment]), "Customer Not Found"), "N/A")</f>
        <v>SMB</v>
      </c>
      <c r="P1720" s="5" t="str">
        <f>IF(Transactions_RAW_cleaned[[#This Row],[Status]]="Refunded", "Refund",
  IF(Transactions_RAW_cleaned[[#This Row],[Category]]="Payments", IF(Transactions_RAW_cleaned[[#This Row],[Amount]]&gt;500,"High Value","Standard"),
    IF(Transactions_RAW_cleaned[[#This Row],[Amount]]&gt;250,"High Value","Standard")))</f>
        <v>High Value</v>
      </c>
      <c r="Q1720" s="5" t="str">
        <f>IF(Transactions_RAW_cleaned[[#This Row],[Amount]] &gt; (_xlfn.XLOOKUP(Transactions_RAW_cleaned[[#This Row],[ServiceID]],Services_cleaned[ServiceID],Services_cleaned[TransactionFeePct]) * 10000), "Yes", "No")</f>
        <v>Yes</v>
      </c>
      <c r="R1720" s="5" t="str">
        <f>IF(COUNTIFS($C$2:Transactions_RAW_cleaned[[#This Row],[CustomerID]],Transactions_RAW_cleaned[[#This Row],[CustomerID]],$D$2:Transactions_RAW_cleaned[[#This Row],[ServiceID]],Transactions_RAW_cleaned[[#This Row],[ServiceID]])=1,"Yes","No")</f>
        <v>No</v>
      </c>
      <c r="S172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20" t="str">
        <f>"Q"&amp;ROUNDUP(MONTH(Transactions_RAW_cleaned[[#This Row],[TransactionDate]])/3,0)</f>
        <v>Q4</v>
      </c>
      <c r="U1720" t="str">
        <f>Transactions_RAW_cleaned[[#This Row],[Region ]]&amp;Transactions_RAW_cleaned[[#This Row],[Quarter ]]</f>
        <v>NAQ4</v>
      </c>
      <c r="V1720" s="5">
        <f>_xlfn.XLOOKUP(Transactions_RAW_cleaned[[#This Row],[RegionQuarterKey]], Quarterly_Targets_cleaned[RegionQuarterKey], Quarterly_Targets_cleaned[TargetRevenue])</f>
        <v>299000</v>
      </c>
    </row>
    <row r="1721" spans="1:22" x14ac:dyDescent="0.25">
      <c r="A1721" t="s">
        <v>2056</v>
      </c>
      <c r="B1721" s="1">
        <v>45445</v>
      </c>
      <c r="C1721" t="s">
        <v>131</v>
      </c>
      <c r="D1721" t="s">
        <v>303</v>
      </c>
      <c r="E1721">
        <v>259.99</v>
      </c>
      <c r="F1721" t="s">
        <v>324</v>
      </c>
      <c r="G1721" t="s">
        <v>337</v>
      </c>
      <c r="I1721" t="s">
        <v>17</v>
      </c>
      <c r="J1721" t="s">
        <v>102</v>
      </c>
      <c r="K1721" t="s">
        <v>22</v>
      </c>
      <c r="L1721" t="s">
        <v>304</v>
      </c>
      <c r="M1721" t="s">
        <v>305</v>
      </c>
      <c r="N1721">
        <v>1E-3</v>
      </c>
      <c r="O1721" t="str">
        <f>IF(Transactions_RAW_cleaned[[#This Row],[Status]]="Completed", IFERROR(_xlfn.XLOOKUP(Transactions_RAW_cleaned[[#This Row],[CustomerID]], Customers_cleaned[CustomerID], Customers_cleaned[Segment]), "Customer Not Found"), "N/A")</f>
        <v>Enterprise</v>
      </c>
      <c r="P1721" s="5" t="str">
        <f>IF(Transactions_RAW_cleaned[[#This Row],[Status]]="Refunded", "Refund",
  IF(Transactions_RAW_cleaned[[#This Row],[Category]]="Payments", IF(Transactions_RAW_cleaned[[#This Row],[Amount]]&gt;500,"High Value","Standard"),
    IF(Transactions_RAW_cleaned[[#This Row],[Amount]]&gt;250,"High Value","Standard")))</f>
        <v>High Value</v>
      </c>
      <c r="Q1721" s="5" t="str">
        <f>IF(Transactions_RAW_cleaned[[#This Row],[Amount]] &gt; (_xlfn.XLOOKUP(Transactions_RAW_cleaned[[#This Row],[ServiceID]],Services_cleaned[ServiceID],Services_cleaned[TransactionFeePct]) * 10000), "Yes", "No")</f>
        <v>Yes</v>
      </c>
      <c r="R1721" s="5" t="str">
        <f>IF(COUNTIFS($C$2:Transactions_RAW_cleaned[[#This Row],[CustomerID]],Transactions_RAW_cleaned[[#This Row],[CustomerID]],$D$2:Transactions_RAW_cleaned[[#This Row],[ServiceID]],Transactions_RAW_cleaned[[#This Row],[ServiceID]])=1,"Yes","No")</f>
        <v>Yes</v>
      </c>
      <c r="S172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21" t="str">
        <f>"Q"&amp;ROUNDUP(MONTH(Transactions_RAW_cleaned[[#This Row],[TransactionDate]])/3,0)</f>
        <v>Q2</v>
      </c>
      <c r="U1721" t="str">
        <f>Transactions_RAW_cleaned[[#This Row],[Region ]]&amp;Transactions_RAW_cleaned[[#This Row],[Quarter ]]</f>
        <v>NAQ2</v>
      </c>
      <c r="V1721" s="5">
        <f>_xlfn.XLOOKUP(Transactions_RAW_cleaned[[#This Row],[RegionQuarterKey]], Quarterly_Targets_cleaned[RegionQuarterKey], Quarterly_Targets_cleaned[TargetRevenue])</f>
        <v>260000</v>
      </c>
    </row>
    <row r="1722" spans="1:22" x14ac:dyDescent="0.25">
      <c r="A1722" t="s">
        <v>2057</v>
      </c>
      <c r="B1722" s="1">
        <v>45521</v>
      </c>
      <c r="C1722" t="s">
        <v>267</v>
      </c>
      <c r="D1722" t="s">
        <v>309</v>
      </c>
      <c r="E1722">
        <v>661.37</v>
      </c>
      <c r="F1722" t="s">
        <v>324</v>
      </c>
      <c r="G1722" t="s">
        <v>327</v>
      </c>
      <c r="I1722" t="s">
        <v>8</v>
      </c>
      <c r="J1722" t="s">
        <v>102</v>
      </c>
      <c r="K1722" t="s">
        <v>22</v>
      </c>
      <c r="L1722" t="s">
        <v>310</v>
      </c>
      <c r="M1722" t="s">
        <v>311</v>
      </c>
      <c r="N1722">
        <v>0</v>
      </c>
      <c r="O1722" t="str">
        <f>IF(Transactions_RAW_cleaned[[#This Row],[Status]]="Completed", IFERROR(_xlfn.XLOOKUP(Transactions_RAW_cleaned[[#This Row],[CustomerID]], Customers_cleaned[CustomerID], Customers_cleaned[Segment]), "Customer Not Found"), "N/A")</f>
        <v>SMB</v>
      </c>
      <c r="P1722" s="5" t="str">
        <f>IF(Transactions_RAW_cleaned[[#This Row],[Status]]="Refunded", "Refund",
  IF(Transactions_RAW_cleaned[[#This Row],[Category]]="Payments", IF(Transactions_RAW_cleaned[[#This Row],[Amount]]&gt;500,"High Value","Standard"),
    IF(Transactions_RAW_cleaned[[#This Row],[Amount]]&gt;250,"High Value","Standard")))</f>
        <v>High Value</v>
      </c>
      <c r="Q1722" s="5" t="str">
        <f>IF(Transactions_RAW_cleaned[[#This Row],[Amount]] &gt; (_xlfn.XLOOKUP(Transactions_RAW_cleaned[[#This Row],[ServiceID]],Services_cleaned[ServiceID],Services_cleaned[TransactionFeePct]) * 10000), "Yes", "No")</f>
        <v>Yes</v>
      </c>
      <c r="R1722" s="5" t="str">
        <f>IF(COUNTIFS($C$2:Transactions_RAW_cleaned[[#This Row],[CustomerID]],Transactions_RAW_cleaned[[#This Row],[CustomerID]],$D$2:Transactions_RAW_cleaned[[#This Row],[ServiceID]],Transactions_RAW_cleaned[[#This Row],[ServiceID]])=1,"Yes","No")</f>
        <v>No</v>
      </c>
      <c r="S172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22" t="str">
        <f>"Q"&amp;ROUNDUP(MONTH(Transactions_RAW_cleaned[[#This Row],[TransactionDate]])/3,0)</f>
        <v>Q3</v>
      </c>
      <c r="U1722" t="str">
        <f>Transactions_RAW_cleaned[[#This Row],[Region ]]&amp;Transactions_RAW_cleaned[[#This Row],[Quarter ]]</f>
        <v>NAQ3</v>
      </c>
      <c r="V1722" s="5">
        <f>_xlfn.XLOOKUP(Transactions_RAW_cleaned[[#This Row],[RegionQuarterKey]], Quarterly_Targets_cleaned[RegionQuarterKey], Quarterly_Targets_cleaned[TargetRevenue])</f>
        <v>273000</v>
      </c>
    </row>
    <row r="1723" spans="1:22" x14ac:dyDescent="0.25">
      <c r="A1723" t="s">
        <v>2058</v>
      </c>
      <c r="B1723" s="1">
        <v>45459</v>
      </c>
      <c r="C1723" t="s">
        <v>249</v>
      </c>
      <c r="D1723" t="s">
        <v>303</v>
      </c>
      <c r="E1723">
        <v>1018.56</v>
      </c>
      <c r="F1723" t="s">
        <v>324</v>
      </c>
      <c r="G1723" t="s">
        <v>337</v>
      </c>
      <c r="I1723" t="s">
        <v>57</v>
      </c>
      <c r="J1723" t="s">
        <v>21</v>
      </c>
      <c r="K1723" t="s">
        <v>14</v>
      </c>
      <c r="L1723" t="s">
        <v>304</v>
      </c>
      <c r="M1723" t="s">
        <v>305</v>
      </c>
      <c r="N1723">
        <v>1E-3</v>
      </c>
      <c r="O1723" t="str">
        <f>IF(Transactions_RAW_cleaned[[#This Row],[Status]]="Completed", IFERROR(_xlfn.XLOOKUP(Transactions_RAW_cleaned[[#This Row],[CustomerID]], Customers_cleaned[CustomerID], Customers_cleaned[Segment]), "Customer Not Found"), "N/A")</f>
        <v>Startup</v>
      </c>
      <c r="P1723" s="5" t="str">
        <f>IF(Transactions_RAW_cleaned[[#This Row],[Status]]="Refunded", "Refund",
  IF(Transactions_RAW_cleaned[[#This Row],[Category]]="Payments", IF(Transactions_RAW_cleaned[[#This Row],[Amount]]&gt;500,"High Value","Standard"),
    IF(Transactions_RAW_cleaned[[#This Row],[Amount]]&gt;250,"High Value","Standard")))</f>
        <v>High Value</v>
      </c>
      <c r="Q1723" s="5" t="str">
        <f>IF(Transactions_RAW_cleaned[[#This Row],[Amount]] &gt; (_xlfn.XLOOKUP(Transactions_RAW_cleaned[[#This Row],[ServiceID]],Services_cleaned[ServiceID],Services_cleaned[TransactionFeePct]) * 10000), "Yes", "No")</f>
        <v>Yes</v>
      </c>
      <c r="R1723" s="5" t="str">
        <f>IF(COUNTIFS($C$2:Transactions_RAW_cleaned[[#This Row],[CustomerID]],Transactions_RAW_cleaned[[#This Row],[CustomerID]],$D$2:Transactions_RAW_cleaned[[#This Row],[ServiceID]],Transactions_RAW_cleaned[[#This Row],[ServiceID]])=1,"Yes","No")</f>
        <v>No</v>
      </c>
      <c r="S172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23" t="str">
        <f>"Q"&amp;ROUNDUP(MONTH(Transactions_RAW_cleaned[[#This Row],[TransactionDate]])/3,0)</f>
        <v>Q2</v>
      </c>
      <c r="U1723" t="str">
        <f>Transactions_RAW_cleaned[[#This Row],[Region ]]&amp;Transactions_RAW_cleaned[[#This Row],[Quarter ]]</f>
        <v>APACQ2</v>
      </c>
      <c r="V1723" s="5">
        <f>_xlfn.XLOOKUP(Transactions_RAW_cleaned[[#This Row],[RegionQuarterKey]], Quarterly_Targets_cleaned[RegionQuarterKey], Quarterly_Targets_cleaned[TargetRevenue])</f>
        <v>110000</v>
      </c>
    </row>
    <row r="1724" spans="1:22" x14ac:dyDescent="0.25">
      <c r="A1724" t="s">
        <v>2059</v>
      </c>
      <c r="B1724" s="1">
        <v>45368</v>
      </c>
      <c r="C1724" t="s">
        <v>177</v>
      </c>
      <c r="D1724" t="s">
        <v>294</v>
      </c>
      <c r="E1724">
        <v>460.12</v>
      </c>
      <c r="F1724" t="s">
        <v>324</v>
      </c>
      <c r="G1724" t="s">
        <v>337</v>
      </c>
      <c r="H1724" t="s">
        <v>334</v>
      </c>
      <c r="I1724" t="s">
        <v>8</v>
      </c>
      <c r="J1724" t="s">
        <v>46</v>
      </c>
      <c r="K1724" t="s">
        <v>10</v>
      </c>
      <c r="L1724" t="s">
        <v>295</v>
      </c>
      <c r="M1724" t="s">
        <v>296</v>
      </c>
      <c r="N1724">
        <v>2.9000000000000001E-2</v>
      </c>
      <c r="O1724" t="str">
        <f>IF(Transactions_RAW_cleaned[[#This Row],[Status]]="Completed", IFERROR(_xlfn.XLOOKUP(Transactions_RAW_cleaned[[#This Row],[CustomerID]], Customers_cleaned[CustomerID], Customers_cleaned[Segment]), "Customer Not Found"), "N/A")</f>
        <v>SMB</v>
      </c>
      <c r="P1724" s="5" t="str">
        <f>IF(Transactions_RAW_cleaned[[#This Row],[Status]]="Refunded", "Refund",
  IF(Transactions_RAW_cleaned[[#This Row],[Category]]="Payments", IF(Transactions_RAW_cleaned[[#This Row],[Amount]]&gt;500,"High Value","Standard"),
    IF(Transactions_RAW_cleaned[[#This Row],[Amount]]&gt;250,"High Value","Standard")))</f>
        <v>Standard</v>
      </c>
      <c r="Q1724" s="5" t="str">
        <f>IF(Transactions_RAW_cleaned[[#This Row],[Amount]] &gt; (_xlfn.XLOOKUP(Transactions_RAW_cleaned[[#This Row],[ServiceID]],Services_cleaned[ServiceID],Services_cleaned[TransactionFeePct]) * 10000), "Yes", "No")</f>
        <v>Yes</v>
      </c>
      <c r="R1724" s="5" t="str">
        <f>IF(COUNTIFS($C$2:Transactions_RAW_cleaned[[#This Row],[CustomerID]],Transactions_RAW_cleaned[[#This Row],[CustomerID]],$D$2:Transactions_RAW_cleaned[[#This Row],[ServiceID]],Transactions_RAW_cleaned[[#This Row],[ServiceID]])=1,"Yes","No")</f>
        <v>No</v>
      </c>
      <c r="S172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24" t="str">
        <f>"Q"&amp;ROUNDUP(MONTH(Transactions_RAW_cleaned[[#This Row],[TransactionDate]])/3,0)</f>
        <v>Q1</v>
      </c>
      <c r="U1724" t="str">
        <f>Transactions_RAW_cleaned[[#This Row],[Region ]]&amp;Transactions_RAW_cleaned[[#This Row],[Quarter ]]</f>
        <v>APACQ1</v>
      </c>
      <c r="V1724" s="5">
        <f>_xlfn.XLOOKUP(Transactions_RAW_cleaned[[#This Row],[RegionQuarterKey]], Quarterly_Targets_cleaned[RegionQuarterKey], Quarterly_Targets_cleaned[TargetRevenue])</f>
        <v>104500</v>
      </c>
    </row>
    <row r="1725" spans="1:22" x14ac:dyDescent="0.25">
      <c r="A1725" t="s">
        <v>2060</v>
      </c>
      <c r="B1725" s="1">
        <v>45367</v>
      </c>
      <c r="C1725" t="s">
        <v>60</v>
      </c>
      <c r="D1725" t="s">
        <v>297</v>
      </c>
      <c r="E1725">
        <v>492.48</v>
      </c>
      <c r="F1725" t="s">
        <v>324</v>
      </c>
      <c r="G1725" t="s">
        <v>327</v>
      </c>
      <c r="H1725" t="s">
        <v>332</v>
      </c>
      <c r="I1725" t="s">
        <v>8</v>
      </c>
      <c r="J1725" t="s">
        <v>13</v>
      </c>
      <c r="K1725" t="s">
        <v>14</v>
      </c>
      <c r="L1725" t="s">
        <v>298</v>
      </c>
      <c r="M1725" t="s">
        <v>299</v>
      </c>
      <c r="N1725">
        <v>0</v>
      </c>
      <c r="O1725" t="str">
        <f>IF(Transactions_RAW_cleaned[[#This Row],[Status]]="Completed", IFERROR(_xlfn.XLOOKUP(Transactions_RAW_cleaned[[#This Row],[CustomerID]], Customers_cleaned[CustomerID], Customers_cleaned[Segment]), "Customer Not Found"), "N/A")</f>
        <v>SMB</v>
      </c>
      <c r="P1725" s="5" t="str">
        <f>IF(Transactions_RAW_cleaned[[#This Row],[Status]]="Refunded", "Refund",
  IF(Transactions_RAW_cleaned[[#This Row],[Category]]="Payments", IF(Transactions_RAW_cleaned[[#This Row],[Amount]]&gt;500,"High Value","Standard"),
    IF(Transactions_RAW_cleaned[[#This Row],[Amount]]&gt;250,"High Value","Standard")))</f>
        <v>High Value</v>
      </c>
      <c r="Q1725" s="5" t="str">
        <f>IF(Transactions_RAW_cleaned[[#This Row],[Amount]] &gt; (_xlfn.XLOOKUP(Transactions_RAW_cleaned[[#This Row],[ServiceID]],Services_cleaned[ServiceID],Services_cleaned[TransactionFeePct]) * 10000), "Yes", "No")</f>
        <v>Yes</v>
      </c>
      <c r="R1725" s="5" t="str">
        <f>IF(COUNTIFS($C$2:Transactions_RAW_cleaned[[#This Row],[CustomerID]],Transactions_RAW_cleaned[[#This Row],[CustomerID]],$D$2:Transactions_RAW_cleaned[[#This Row],[ServiceID]],Transactions_RAW_cleaned[[#This Row],[ServiceID]])=1,"Yes","No")</f>
        <v>No</v>
      </c>
      <c r="S172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25" t="str">
        <f>"Q"&amp;ROUNDUP(MONTH(Transactions_RAW_cleaned[[#This Row],[TransactionDate]])/3,0)</f>
        <v>Q1</v>
      </c>
      <c r="U1725" t="str">
        <f>Transactions_RAW_cleaned[[#This Row],[Region ]]&amp;Transactions_RAW_cleaned[[#This Row],[Quarter ]]</f>
        <v>NAQ1</v>
      </c>
      <c r="V1725" s="5">
        <f>_xlfn.XLOOKUP(Transactions_RAW_cleaned[[#This Row],[RegionQuarterKey]], Quarterly_Targets_cleaned[RegionQuarterKey], Quarterly_Targets_cleaned[TargetRevenue])</f>
        <v>247000</v>
      </c>
    </row>
    <row r="1726" spans="1:22" x14ac:dyDescent="0.25">
      <c r="A1726" t="s">
        <v>2061</v>
      </c>
      <c r="B1726" s="1">
        <v>45307</v>
      </c>
      <c r="C1726" t="s">
        <v>115</v>
      </c>
      <c r="D1726" t="s">
        <v>294</v>
      </c>
      <c r="E1726">
        <v>250.14</v>
      </c>
      <c r="F1726" t="s">
        <v>324</v>
      </c>
      <c r="G1726" t="s">
        <v>327</v>
      </c>
      <c r="H1726" t="s">
        <v>334</v>
      </c>
      <c r="I1726" t="s">
        <v>17</v>
      </c>
      <c r="J1726" t="s">
        <v>102</v>
      </c>
      <c r="K1726" t="s">
        <v>32</v>
      </c>
      <c r="L1726" t="s">
        <v>295</v>
      </c>
      <c r="M1726" t="s">
        <v>296</v>
      </c>
      <c r="N1726">
        <v>2.9000000000000001E-2</v>
      </c>
      <c r="O1726" t="str">
        <f>IF(Transactions_RAW_cleaned[[#This Row],[Status]]="Completed", IFERROR(_xlfn.XLOOKUP(Transactions_RAW_cleaned[[#This Row],[CustomerID]], Customers_cleaned[CustomerID], Customers_cleaned[Segment]), "Customer Not Found"), "N/A")</f>
        <v>Enterprise</v>
      </c>
      <c r="P1726" s="5" t="str">
        <f>IF(Transactions_RAW_cleaned[[#This Row],[Status]]="Refunded", "Refund",
  IF(Transactions_RAW_cleaned[[#This Row],[Category]]="Payments", IF(Transactions_RAW_cleaned[[#This Row],[Amount]]&gt;500,"High Value","Standard"),
    IF(Transactions_RAW_cleaned[[#This Row],[Amount]]&gt;250,"High Value","Standard")))</f>
        <v>Standard</v>
      </c>
      <c r="Q1726" s="5" t="str">
        <f>IF(Transactions_RAW_cleaned[[#This Row],[Amount]] &gt; (_xlfn.XLOOKUP(Transactions_RAW_cleaned[[#This Row],[ServiceID]],Services_cleaned[ServiceID],Services_cleaned[TransactionFeePct]) * 10000), "Yes", "No")</f>
        <v>No</v>
      </c>
      <c r="R1726" s="5" t="str">
        <f>IF(COUNTIFS($C$2:Transactions_RAW_cleaned[[#This Row],[CustomerID]],Transactions_RAW_cleaned[[#This Row],[CustomerID]],$D$2:Transactions_RAW_cleaned[[#This Row],[ServiceID]],Transactions_RAW_cleaned[[#This Row],[ServiceID]])=1,"Yes","No")</f>
        <v>No</v>
      </c>
      <c r="S172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26" t="str">
        <f>"Q"&amp;ROUNDUP(MONTH(Transactions_RAW_cleaned[[#This Row],[TransactionDate]])/3,0)</f>
        <v>Q1</v>
      </c>
      <c r="U1726" t="str">
        <f>Transactions_RAW_cleaned[[#This Row],[Region ]]&amp;Transactions_RAW_cleaned[[#This Row],[Quarter ]]</f>
        <v>NAQ1</v>
      </c>
      <c r="V1726" s="5">
        <f>_xlfn.XLOOKUP(Transactions_RAW_cleaned[[#This Row],[RegionQuarterKey]], Quarterly_Targets_cleaned[RegionQuarterKey], Quarterly_Targets_cleaned[TargetRevenue])</f>
        <v>247000</v>
      </c>
    </row>
    <row r="1727" spans="1:22" x14ac:dyDescent="0.25">
      <c r="A1727" t="s">
        <v>2062</v>
      </c>
      <c r="B1727" s="1">
        <v>45653</v>
      </c>
      <c r="C1727" t="s">
        <v>111</v>
      </c>
      <c r="D1727" t="s">
        <v>312</v>
      </c>
      <c r="E1727">
        <v>320.47000000000003</v>
      </c>
      <c r="F1727" t="s">
        <v>381</v>
      </c>
      <c r="G1727" t="s">
        <v>327</v>
      </c>
      <c r="H1727" t="s">
        <v>346</v>
      </c>
      <c r="I1727" t="s">
        <v>8</v>
      </c>
      <c r="J1727" t="s">
        <v>21</v>
      </c>
      <c r="K1727" t="s">
        <v>28</v>
      </c>
      <c r="L1727" t="s">
        <v>313</v>
      </c>
      <c r="M1727" t="s">
        <v>314</v>
      </c>
      <c r="N1727">
        <v>0</v>
      </c>
      <c r="O1727" t="str">
        <f>IF(Transactions_RAW_cleaned[[#This Row],[Status]]="Completed", IFERROR(_xlfn.XLOOKUP(Transactions_RAW_cleaned[[#This Row],[CustomerID]], Customers_cleaned[CustomerID], Customers_cleaned[Segment]), "Customer Not Found"), "N/A")</f>
        <v>N/A</v>
      </c>
      <c r="P1727" s="5" t="str">
        <f>IF(Transactions_RAW_cleaned[[#This Row],[Status]]="Refunded", "Refund",
  IF(Transactions_RAW_cleaned[[#This Row],[Category]]="Payments", IF(Transactions_RAW_cleaned[[#This Row],[Amount]]&gt;500,"High Value","Standard"),
    IF(Transactions_RAW_cleaned[[#This Row],[Amount]]&gt;250,"High Value","Standard")))</f>
        <v>High Value</v>
      </c>
      <c r="Q1727" s="5" t="str">
        <f>IF(Transactions_RAW_cleaned[[#This Row],[Amount]] &gt; (_xlfn.XLOOKUP(Transactions_RAW_cleaned[[#This Row],[ServiceID]],Services_cleaned[ServiceID],Services_cleaned[TransactionFeePct]) * 10000), "Yes", "No")</f>
        <v>Yes</v>
      </c>
      <c r="R1727" s="5" t="str">
        <f>IF(COUNTIFS($C$2:Transactions_RAW_cleaned[[#This Row],[CustomerID]],Transactions_RAW_cleaned[[#This Row],[CustomerID]],$D$2:Transactions_RAW_cleaned[[#This Row],[ServiceID]],Transactions_RAW_cleaned[[#This Row],[ServiceID]])=1,"Yes","No")</f>
        <v>No</v>
      </c>
      <c r="S172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27" t="str">
        <f>"Q"&amp;ROUNDUP(MONTH(Transactions_RAW_cleaned[[#This Row],[TransactionDate]])/3,0)</f>
        <v>Q4</v>
      </c>
      <c r="U1727" t="str">
        <f>Transactions_RAW_cleaned[[#This Row],[Region ]]&amp;Transactions_RAW_cleaned[[#This Row],[Quarter ]]</f>
        <v>APACQ4</v>
      </c>
      <c r="V1727" s="5">
        <f>_xlfn.XLOOKUP(Transactions_RAW_cleaned[[#This Row],[RegionQuarterKey]], Quarterly_Targets_cleaned[RegionQuarterKey], Quarterly_Targets_cleaned[TargetRevenue])</f>
        <v>126500</v>
      </c>
    </row>
    <row r="1728" spans="1:22" x14ac:dyDescent="0.25">
      <c r="A1728" t="s">
        <v>2063</v>
      </c>
      <c r="B1728" s="1">
        <v>45325</v>
      </c>
      <c r="C1728" t="s">
        <v>135</v>
      </c>
      <c r="D1728" t="s">
        <v>297</v>
      </c>
      <c r="E1728">
        <v>47.27</v>
      </c>
      <c r="F1728" t="s">
        <v>331</v>
      </c>
      <c r="G1728" t="s">
        <v>329</v>
      </c>
      <c r="H1728" t="s">
        <v>346</v>
      </c>
      <c r="I1728" t="s">
        <v>8</v>
      </c>
      <c r="J1728" t="s">
        <v>46</v>
      </c>
      <c r="K1728" t="s">
        <v>10</v>
      </c>
      <c r="L1728" t="s">
        <v>298</v>
      </c>
      <c r="M1728" t="s">
        <v>299</v>
      </c>
      <c r="N1728">
        <v>0</v>
      </c>
      <c r="O1728" t="str">
        <f>IF(Transactions_RAW_cleaned[[#This Row],[Status]]="Completed", IFERROR(_xlfn.XLOOKUP(Transactions_RAW_cleaned[[#This Row],[CustomerID]], Customers_cleaned[CustomerID], Customers_cleaned[Segment]), "Customer Not Found"), "N/A")</f>
        <v>N/A</v>
      </c>
      <c r="P1728" s="5" t="str">
        <f>IF(Transactions_RAW_cleaned[[#This Row],[Status]]="Refunded", "Refund",
  IF(Transactions_RAW_cleaned[[#This Row],[Category]]="Payments", IF(Transactions_RAW_cleaned[[#This Row],[Amount]]&gt;500,"High Value","Standard"),
    IF(Transactions_RAW_cleaned[[#This Row],[Amount]]&gt;250,"High Value","Standard")))</f>
        <v>Standard</v>
      </c>
      <c r="Q1728" s="5" t="str">
        <f>IF(Transactions_RAW_cleaned[[#This Row],[Amount]] &gt; (_xlfn.XLOOKUP(Transactions_RAW_cleaned[[#This Row],[ServiceID]],Services_cleaned[ServiceID],Services_cleaned[TransactionFeePct]) * 10000), "Yes", "No")</f>
        <v>Yes</v>
      </c>
      <c r="R1728" s="5" t="str">
        <f>IF(COUNTIFS($C$2:Transactions_RAW_cleaned[[#This Row],[CustomerID]],Transactions_RAW_cleaned[[#This Row],[CustomerID]],$D$2:Transactions_RAW_cleaned[[#This Row],[ServiceID]],Transactions_RAW_cleaned[[#This Row],[ServiceID]])=1,"Yes","No")</f>
        <v>No</v>
      </c>
      <c r="S172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28" t="str">
        <f>"Q"&amp;ROUNDUP(MONTH(Transactions_RAW_cleaned[[#This Row],[TransactionDate]])/3,0)</f>
        <v>Q1</v>
      </c>
      <c r="U1728" t="str">
        <f>Transactions_RAW_cleaned[[#This Row],[Region ]]&amp;Transactions_RAW_cleaned[[#This Row],[Quarter ]]</f>
        <v>APACQ1</v>
      </c>
      <c r="V1728" s="5">
        <f>_xlfn.XLOOKUP(Transactions_RAW_cleaned[[#This Row],[RegionQuarterKey]], Quarterly_Targets_cleaned[RegionQuarterKey], Quarterly_Targets_cleaned[TargetRevenue])</f>
        <v>104500</v>
      </c>
    </row>
    <row r="1729" spans="1:22" x14ac:dyDescent="0.25">
      <c r="A1729" t="s">
        <v>2064</v>
      </c>
      <c r="B1729" s="1">
        <v>45582</v>
      </c>
      <c r="C1729" t="s">
        <v>249</v>
      </c>
      <c r="D1729" t="s">
        <v>306</v>
      </c>
      <c r="E1729">
        <v>212.65</v>
      </c>
      <c r="F1729" t="s">
        <v>324</v>
      </c>
      <c r="G1729" t="s">
        <v>325</v>
      </c>
      <c r="H1729" t="s">
        <v>332</v>
      </c>
      <c r="I1729" t="s">
        <v>57</v>
      </c>
      <c r="J1729" t="s">
        <v>21</v>
      </c>
      <c r="K1729" t="s">
        <v>14</v>
      </c>
      <c r="L1729" t="s">
        <v>307</v>
      </c>
      <c r="M1729" t="s">
        <v>308</v>
      </c>
      <c r="N1729">
        <v>0</v>
      </c>
      <c r="O1729" t="str">
        <f>IF(Transactions_RAW_cleaned[[#This Row],[Status]]="Completed", IFERROR(_xlfn.XLOOKUP(Transactions_RAW_cleaned[[#This Row],[CustomerID]], Customers_cleaned[CustomerID], Customers_cleaned[Segment]), "Customer Not Found"), "N/A")</f>
        <v>Startup</v>
      </c>
      <c r="P1729" s="5" t="str">
        <f>IF(Transactions_RAW_cleaned[[#This Row],[Status]]="Refunded", "Refund",
  IF(Transactions_RAW_cleaned[[#This Row],[Category]]="Payments", IF(Transactions_RAW_cleaned[[#This Row],[Amount]]&gt;500,"High Value","Standard"),
    IF(Transactions_RAW_cleaned[[#This Row],[Amount]]&gt;250,"High Value","Standard")))</f>
        <v>Standard</v>
      </c>
      <c r="Q1729" s="5" t="str">
        <f>IF(Transactions_RAW_cleaned[[#This Row],[Amount]] &gt; (_xlfn.XLOOKUP(Transactions_RAW_cleaned[[#This Row],[ServiceID]],Services_cleaned[ServiceID],Services_cleaned[TransactionFeePct]) * 10000), "Yes", "No")</f>
        <v>Yes</v>
      </c>
      <c r="R1729" s="5" t="str">
        <f>IF(COUNTIFS($C$2:Transactions_RAW_cleaned[[#This Row],[CustomerID]],Transactions_RAW_cleaned[[#This Row],[CustomerID]],$D$2:Transactions_RAW_cleaned[[#This Row],[ServiceID]],Transactions_RAW_cleaned[[#This Row],[ServiceID]])=1,"Yes","No")</f>
        <v>No</v>
      </c>
      <c r="S172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29" t="str">
        <f>"Q"&amp;ROUNDUP(MONTH(Transactions_RAW_cleaned[[#This Row],[TransactionDate]])/3,0)</f>
        <v>Q4</v>
      </c>
      <c r="U1729" t="str">
        <f>Transactions_RAW_cleaned[[#This Row],[Region ]]&amp;Transactions_RAW_cleaned[[#This Row],[Quarter ]]</f>
        <v>APACQ4</v>
      </c>
      <c r="V1729" s="5">
        <f>_xlfn.XLOOKUP(Transactions_RAW_cleaned[[#This Row],[RegionQuarterKey]], Quarterly_Targets_cleaned[RegionQuarterKey], Quarterly_Targets_cleaned[TargetRevenue])</f>
        <v>126500</v>
      </c>
    </row>
    <row r="1730" spans="1:22" x14ac:dyDescent="0.25">
      <c r="A1730" t="s">
        <v>2065</v>
      </c>
      <c r="B1730" s="1">
        <v>45642</v>
      </c>
      <c r="C1730" t="s">
        <v>167</v>
      </c>
      <c r="D1730" t="s">
        <v>294</v>
      </c>
      <c r="E1730">
        <v>1041.47</v>
      </c>
      <c r="F1730" t="s">
        <v>324</v>
      </c>
      <c r="G1730" t="s">
        <v>337</v>
      </c>
      <c r="I1730" t="s">
        <v>17</v>
      </c>
      <c r="J1730" t="s">
        <v>13</v>
      </c>
      <c r="K1730" t="s">
        <v>10</v>
      </c>
      <c r="L1730" t="s">
        <v>295</v>
      </c>
      <c r="M1730" t="s">
        <v>296</v>
      </c>
      <c r="N1730">
        <v>2.9000000000000001E-2</v>
      </c>
      <c r="O1730" t="str">
        <f>IF(Transactions_RAW_cleaned[[#This Row],[Status]]="Completed", IFERROR(_xlfn.XLOOKUP(Transactions_RAW_cleaned[[#This Row],[CustomerID]], Customers_cleaned[CustomerID], Customers_cleaned[Segment]), "Customer Not Found"), "N/A")</f>
        <v>Enterprise</v>
      </c>
      <c r="P1730" s="5" t="str">
        <f>IF(Transactions_RAW_cleaned[[#This Row],[Status]]="Refunded", "Refund",
  IF(Transactions_RAW_cleaned[[#This Row],[Category]]="Payments", IF(Transactions_RAW_cleaned[[#This Row],[Amount]]&gt;500,"High Value","Standard"),
    IF(Transactions_RAW_cleaned[[#This Row],[Amount]]&gt;250,"High Value","Standard")))</f>
        <v>High Value</v>
      </c>
      <c r="Q1730" s="5" t="str">
        <f>IF(Transactions_RAW_cleaned[[#This Row],[Amount]] &gt; (_xlfn.XLOOKUP(Transactions_RAW_cleaned[[#This Row],[ServiceID]],Services_cleaned[ServiceID],Services_cleaned[TransactionFeePct]) * 10000), "Yes", "No")</f>
        <v>Yes</v>
      </c>
      <c r="R1730" s="5" t="str">
        <f>IF(COUNTIFS($C$2:Transactions_RAW_cleaned[[#This Row],[CustomerID]],Transactions_RAW_cleaned[[#This Row],[CustomerID]],$D$2:Transactions_RAW_cleaned[[#This Row],[ServiceID]],Transactions_RAW_cleaned[[#This Row],[ServiceID]])=1,"Yes","No")</f>
        <v>No</v>
      </c>
      <c r="S173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30" t="str">
        <f>"Q"&amp;ROUNDUP(MONTH(Transactions_RAW_cleaned[[#This Row],[TransactionDate]])/3,0)</f>
        <v>Q4</v>
      </c>
      <c r="U1730" t="str">
        <f>Transactions_RAW_cleaned[[#This Row],[Region ]]&amp;Transactions_RAW_cleaned[[#This Row],[Quarter ]]</f>
        <v>NAQ4</v>
      </c>
      <c r="V1730" s="5">
        <f>_xlfn.XLOOKUP(Transactions_RAW_cleaned[[#This Row],[RegionQuarterKey]], Quarterly_Targets_cleaned[RegionQuarterKey], Quarterly_Targets_cleaned[TargetRevenue])</f>
        <v>299000</v>
      </c>
    </row>
    <row r="1731" spans="1:22" x14ac:dyDescent="0.25">
      <c r="A1731" t="s">
        <v>2066</v>
      </c>
      <c r="B1731" s="1">
        <v>45418</v>
      </c>
      <c r="C1731" t="s">
        <v>189</v>
      </c>
      <c r="D1731" t="s">
        <v>312</v>
      </c>
      <c r="E1731">
        <v>523.69000000000005</v>
      </c>
      <c r="F1731" t="s">
        <v>324</v>
      </c>
      <c r="G1731" t="s">
        <v>327</v>
      </c>
      <c r="I1731" t="s">
        <v>17</v>
      </c>
      <c r="J1731" t="s">
        <v>102</v>
      </c>
      <c r="K1731" t="s">
        <v>14</v>
      </c>
      <c r="L1731" t="s">
        <v>313</v>
      </c>
      <c r="M1731" t="s">
        <v>314</v>
      </c>
      <c r="N1731">
        <v>0</v>
      </c>
      <c r="O1731" t="str">
        <f>IF(Transactions_RAW_cleaned[[#This Row],[Status]]="Completed", IFERROR(_xlfn.XLOOKUP(Transactions_RAW_cleaned[[#This Row],[CustomerID]], Customers_cleaned[CustomerID], Customers_cleaned[Segment]), "Customer Not Found"), "N/A")</f>
        <v>Enterprise</v>
      </c>
      <c r="P1731" s="5" t="str">
        <f>IF(Transactions_RAW_cleaned[[#This Row],[Status]]="Refunded", "Refund",
  IF(Transactions_RAW_cleaned[[#This Row],[Category]]="Payments", IF(Transactions_RAW_cleaned[[#This Row],[Amount]]&gt;500,"High Value","Standard"),
    IF(Transactions_RAW_cleaned[[#This Row],[Amount]]&gt;250,"High Value","Standard")))</f>
        <v>High Value</v>
      </c>
      <c r="Q1731" s="5" t="str">
        <f>IF(Transactions_RAW_cleaned[[#This Row],[Amount]] &gt; (_xlfn.XLOOKUP(Transactions_RAW_cleaned[[#This Row],[ServiceID]],Services_cleaned[ServiceID],Services_cleaned[TransactionFeePct]) * 10000), "Yes", "No")</f>
        <v>Yes</v>
      </c>
      <c r="R1731" s="5" t="str">
        <f>IF(COUNTIFS($C$2:Transactions_RAW_cleaned[[#This Row],[CustomerID]],Transactions_RAW_cleaned[[#This Row],[CustomerID]],$D$2:Transactions_RAW_cleaned[[#This Row],[ServiceID]],Transactions_RAW_cleaned[[#This Row],[ServiceID]])=1,"Yes","No")</f>
        <v>No</v>
      </c>
      <c r="S173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31" t="str">
        <f>"Q"&amp;ROUNDUP(MONTH(Transactions_RAW_cleaned[[#This Row],[TransactionDate]])/3,0)</f>
        <v>Q2</v>
      </c>
      <c r="U1731" t="str">
        <f>Transactions_RAW_cleaned[[#This Row],[Region ]]&amp;Transactions_RAW_cleaned[[#This Row],[Quarter ]]</f>
        <v>NAQ2</v>
      </c>
      <c r="V1731" s="5">
        <f>_xlfn.XLOOKUP(Transactions_RAW_cleaned[[#This Row],[RegionQuarterKey]], Quarterly_Targets_cleaned[RegionQuarterKey], Quarterly_Targets_cleaned[TargetRevenue])</f>
        <v>260000</v>
      </c>
    </row>
    <row r="1732" spans="1:22" x14ac:dyDescent="0.25">
      <c r="A1732" t="s">
        <v>2067</v>
      </c>
      <c r="B1732" s="1">
        <v>45645</v>
      </c>
      <c r="C1732" t="s">
        <v>165</v>
      </c>
      <c r="D1732" t="s">
        <v>309</v>
      </c>
      <c r="E1732">
        <v>869.93</v>
      </c>
      <c r="F1732" t="s">
        <v>324</v>
      </c>
      <c r="G1732" t="s">
        <v>337</v>
      </c>
      <c r="I1732" t="s">
        <v>8</v>
      </c>
      <c r="J1732" t="s">
        <v>31</v>
      </c>
      <c r="K1732" t="s">
        <v>32</v>
      </c>
      <c r="L1732" t="s">
        <v>310</v>
      </c>
      <c r="M1732" t="s">
        <v>311</v>
      </c>
      <c r="N1732">
        <v>0</v>
      </c>
      <c r="O1732" t="str">
        <f>IF(Transactions_RAW_cleaned[[#This Row],[Status]]="Completed", IFERROR(_xlfn.XLOOKUP(Transactions_RAW_cleaned[[#This Row],[CustomerID]], Customers_cleaned[CustomerID], Customers_cleaned[Segment]), "Customer Not Found"), "N/A")</f>
        <v>SMB</v>
      </c>
      <c r="P1732" s="5" t="str">
        <f>IF(Transactions_RAW_cleaned[[#This Row],[Status]]="Refunded", "Refund",
  IF(Transactions_RAW_cleaned[[#This Row],[Category]]="Payments", IF(Transactions_RAW_cleaned[[#This Row],[Amount]]&gt;500,"High Value","Standard"),
    IF(Transactions_RAW_cleaned[[#This Row],[Amount]]&gt;250,"High Value","Standard")))</f>
        <v>High Value</v>
      </c>
      <c r="Q1732" s="5" t="str">
        <f>IF(Transactions_RAW_cleaned[[#This Row],[Amount]] &gt; (_xlfn.XLOOKUP(Transactions_RAW_cleaned[[#This Row],[ServiceID]],Services_cleaned[ServiceID],Services_cleaned[TransactionFeePct]) * 10000), "Yes", "No")</f>
        <v>Yes</v>
      </c>
      <c r="R1732" s="5" t="str">
        <f>IF(COUNTIFS($C$2:Transactions_RAW_cleaned[[#This Row],[CustomerID]],Transactions_RAW_cleaned[[#This Row],[CustomerID]],$D$2:Transactions_RAW_cleaned[[#This Row],[ServiceID]],Transactions_RAW_cleaned[[#This Row],[ServiceID]])=1,"Yes","No")</f>
        <v>No</v>
      </c>
      <c r="S173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732" t="str">
        <f>"Q"&amp;ROUNDUP(MONTH(Transactions_RAW_cleaned[[#This Row],[TransactionDate]])/3,0)</f>
        <v>Q4</v>
      </c>
      <c r="U1732" t="str">
        <f>Transactions_RAW_cleaned[[#This Row],[Region ]]&amp;Transactions_RAW_cleaned[[#This Row],[Quarter ]]</f>
        <v>EMEAQ4</v>
      </c>
      <c r="V1732" s="5">
        <f>_xlfn.XLOOKUP(Transactions_RAW_cleaned[[#This Row],[RegionQuarterKey]], Quarterly_Targets_cleaned[RegionQuarterKey], Quarterly_Targets_cleaned[TargetRevenue])</f>
        <v>161000</v>
      </c>
    </row>
    <row r="1733" spans="1:22" x14ac:dyDescent="0.25">
      <c r="A1733" t="s">
        <v>2068</v>
      </c>
      <c r="B1733" s="1">
        <v>45433</v>
      </c>
      <c r="C1733" t="s">
        <v>199</v>
      </c>
      <c r="D1733" t="s">
        <v>294</v>
      </c>
      <c r="E1733">
        <v>603.91</v>
      </c>
      <c r="F1733" t="s">
        <v>324</v>
      </c>
      <c r="G1733" t="s">
        <v>329</v>
      </c>
      <c r="H1733" t="s">
        <v>334</v>
      </c>
      <c r="I1733" t="s">
        <v>8</v>
      </c>
      <c r="J1733" t="s">
        <v>13</v>
      </c>
      <c r="K1733" t="s">
        <v>32</v>
      </c>
      <c r="L1733" t="s">
        <v>295</v>
      </c>
      <c r="M1733" t="s">
        <v>296</v>
      </c>
      <c r="N1733">
        <v>2.9000000000000001E-2</v>
      </c>
      <c r="O1733" t="str">
        <f>IF(Transactions_RAW_cleaned[[#This Row],[Status]]="Completed", IFERROR(_xlfn.XLOOKUP(Transactions_RAW_cleaned[[#This Row],[CustomerID]], Customers_cleaned[CustomerID], Customers_cleaned[Segment]), "Customer Not Found"), "N/A")</f>
        <v>SMB</v>
      </c>
      <c r="P1733" s="5" t="str">
        <f>IF(Transactions_RAW_cleaned[[#This Row],[Status]]="Refunded", "Refund",
  IF(Transactions_RAW_cleaned[[#This Row],[Category]]="Payments", IF(Transactions_RAW_cleaned[[#This Row],[Amount]]&gt;500,"High Value","Standard"),
    IF(Transactions_RAW_cleaned[[#This Row],[Amount]]&gt;250,"High Value","Standard")))</f>
        <v>High Value</v>
      </c>
      <c r="Q1733" s="5" t="str">
        <f>IF(Transactions_RAW_cleaned[[#This Row],[Amount]] &gt; (_xlfn.XLOOKUP(Transactions_RAW_cleaned[[#This Row],[ServiceID]],Services_cleaned[ServiceID],Services_cleaned[TransactionFeePct]) * 10000), "Yes", "No")</f>
        <v>Yes</v>
      </c>
      <c r="R1733" s="5" t="str">
        <f>IF(COUNTIFS($C$2:Transactions_RAW_cleaned[[#This Row],[CustomerID]],Transactions_RAW_cleaned[[#This Row],[CustomerID]],$D$2:Transactions_RAW_cleaned[[#This Row],[ServiceID]],Transactions_RAW_cleaned[[#This Row],[ServiceID]])=1,"Yes","No")</f>
        <v>No</v>
      </c>
      <c r="S173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33" t="str">
        <f>"Q"&amp;ROUNDUP(MONTH(Transactions_RAW_cleaned[[#This Row],[TransactionDate]])/3,0)</f>
        <v>Q2</v>
      </c>
      <c r="U1733" t="str">
        <f>Transactions_RAW_cleaned[[#This Row],[Region ]]&amp;Transactions_RAW_cleaned[[#This Row],[Quarter ]]</f>
        <v>NAQ2</v>
      </c>
      <c r="V1733" s="5">
        <f>_xlfn.XLOOKUP(Transactions_RAW_cleaned[[#This Row],[RegionQuarterKey]], Quarterly_Targets_cleaned[RegionQuarterKey], Quarterly_Targets_cleaned[TargetRevenue])</f>
        <v>260000</v>
      </c>
    </row>
    <row r="1734" spans="1:22" x14ac:dyDescent="0.25">
      <c r="A1734" t="s">
        <v>2069</v>
      </c>
      <c r="B1734" s="1">
        <v>45387</v>
      </c>
      <c r="C1734" t="s">
        <v>221</v>
      </c>
      <c r="D1734" t="s">
        <v>309</v>
      </c>
      <c r="E1734">
        <v>61.89</v>
      </c>
      <c r="F1734" t="s">
        <v>331</v>
      </c>
      <c r="G1734" t="s">
        <v>337</v>
      </c>
      <c r="I1734" t="s">
        <v>8</v>
      </c>
      <c r="J1734" t="s">
        <v>102</v>
      </c>
      <c r="K1734" t="s">
        <v>14</v>
      </c>
      <c r="L1734" t="s">
        <v>310</v>
      </c>
      <c r="M1734" t="s">
        <v>311</v>
      </c>
      <c r="N1734">
        <v>0</v>
      </c>
      <c r="O1734" t="str">
        <f>IF(Transactions_RAW_cleaned[[#This Row],[Status]]="Completed", IFERROR(_xlfn.XLOOKUP(Transactions_RAW_cleaned[[#This Row],[CustomerID]], Customers_cleaned[CustomerID], Customers_cleaned[Segment]), "Customer Not Found"), "N/A")</f>
        <v>N/A</v>
      </c>
      <c r="P1734" s="5" t="str">
        <f>IF(Transactions_RAW_cleaned[[#This Row],[Status]]="Refunded", "Refund",
  IF(Transactions_RAW_cleaned[[#This Row],[Category]]="Payments", IF(Transactions_RAW_cleaned[[#This Row],[Amount]]&gt;500,"High Value","Standard"),
    IF(Transactions_RAW_cleaned[[#This Row],[Amount]]&gt;250,"High Value","Standard")))</f>
        <v>Standard</v>
      </c>
      <c r="Q1734" s="5" t="str">
        <f>IF(Transactions_RAW_cleaned[[#This Row],[Amount]] &gt; (_xlfn.XLOOKUP(Transactions_RAW_cleaned[[#This Row],[ServiceID]],Services_cleaned[ServiceID],Services_cleaned[TransactionFeePct]) * 10000), "Yes", "No")</f>
        <v>Yes</v>
      </c>
      <c r="R1734" s="5" t="str">
        <f>IF(COUNTIFS($C$2:Transactions_RAW_cleaned[[#This Row],[CustomerID]],Transactions_RAW_cleaned[[#This Row],[CustomerID]],$D$2:Transactions_RAW_cleaned[[#This Row],[ServiceID]],Transactions_RAW_cleaned[[#This Row],[ServiceID]])=1,"Yes","No")</f>
        <v>No</v>
      </c>
      <c r="S173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34" t="str">
        <f>"Q"&amp;ROUNDUP(MONTH(Transactions_RAW_cleaned[[#This Row],[TransactionDate]])/3,0)</f>
        <v>Q2</v>
      </c>
      <c r="U1734" t="str">
        <f>Transactions_RAW_cleaned[[#This Row],[Region ]]&amp;Transactions_RAW_cleaned[[#This Row],[Quarter ]]</f>
        <v>NAQ2</v>
      </c>
      <c r="V1734" s="5">
        <f>_xlfn.XLOOKUP(Transactions_RAW_cleaned[[#This Row],[RegionQuarterKey]], Quarterly_Targets_cleaned[RegionQuarterKey], Quarterly_Targets_cleaned[TargetRevenue])</f>
        <v>260000</v>
      </c>
    </row>
    <row r="1735" spans="1:22" x14ac:dyDescent="0.25">
      <c r="A1735" t="s">
        <v>2070</v>
      </c>
      <c r="B1735" s="1">
        <v>45493</v>
      </c>
      <c r="C1735" t="s">
        <v>213</v>
      </c>
      <c r="D1735" t="s">
        <v>306</v>
      </c>
      <c r="E1735">
        <v>268.3</v>
      </c>
      <c r="F1735" t="s">
        <v>324</v>
      </c>
      <c r="G1735" t="s">
        <v>327</v>
      </c>
      <c r="H1735" t="s">
        <v>332</v>
      </c>
      <c r="I1735" t="s">
        <v>17</v>
      </c>
      <c r="J1735" t="s">
        <v>25</v>
      </c>
      <c r="K1735" t="s">
        <v>14</v>
      </c>
      <c r="L1735" t="s">
        <v>307</v>
      </c>
      <c r="M1735" t="s">
        <v>308</v>
      </c>
      <c r="N1735">
        <v>0</v>
      </c>
      <c r="O1735" t="str">
        <f>IF(Transactions_RAW_cleaned[[#This Row],[Status]]="Completed", IFERROR(_xlfn.XLOOKUP(Transactions_RAW_cleaned[[#This Row],[CustomerID]], Customers_cleaned[CustomerID], Customers_cleaned[Segment]), "Customer Not Found"), "N/A")</f>
        <v>Enterprise</v>
      </c>
      <c r="P1735" s="5" t="str">
        <f>IF(Transactions_RAW_cleaned[[#This Row],[Status]]="Refunded", "Refund",
  IF(Transactions_RAW_cleaned[[#This Row],[Category]]="Payments", IF(Transactions_RAW_cleaned[[#This Row],[Amount]]&gt;500,"High Value","Standard"),
    IF(Transactions_RAW_cleaned[[#This Row],[Amount]]&gt;250,"High Value","Standard")))</f>
        <v>High Value</v>
      </c>
      <c r="Q1735" s="5" t="str">
        <f>IF(Transactions_RAW_cleaned[[#This Row],[Amount]] &gt; (_xlfn.XLOOKUP(Transactions_RAW_cleaned[[#This Row],[ServiceID]],Services_cleaned[ServiceID],Services_cleaned[TransactionFeePct]) * 10000), "Yes", "No")</f>
        <v>Yes</v>
      </c>
      <c r="R1735" s="5" t="str">
        <f>IF(COUNTIFS($C$2:Transactions_RAW_cleaned[[#This Row],[CustomerID]],Transactions_RAW_cleaned[[#This Row],[CustomerID]],$D$2:Transactions_RAW_cleaned[[#This Row],[ServiceID]],Transactions_RAW_cleaned[[#This Row],[ServiceID]])=1,"Yes","No")</f>
        <v>No</v>
      </c>
      <c r="S173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35" t="str">
        <f>"Q"&amp;ROUNDUP(MONTH(Transactions_RAW_cleaned[[#This Row],[TransactionDate]])/3,0)</f>
        <v>Q3</v>
      </c>
      <c r="U1735" t="str">
        <f>Transactions_RAW_cleaned[[#This Row],[Region ]]&amp;Transactions_RAW_cleaned[[#This Row],[Quarter ]]</f>
        <v>APACQ3</v>
      </c>
      <c r="V1735" s="5">
        <f>_xlfn.XLOOKUP(Transactions_RAW_cleaned[[#This Row],[RegionQuarterKey]], Quarterly_Targets_cleaned[RegionQuarterKey], Quarterly_Targets_cleaned[TargetRevenue])</f>
        <v>115500</v>
      </c>
    </row>
    <row r="1736" spans="1:22" x14ac:dyDescent="0.25">
      <c r="A1736" t="s">
        <v>2071</v>
      </c>
      <c r="B1736" s="1">
        <v>45411</v>
      </c>
      <c r="C1736" t="s">
        <v>38</v>
      </c>
      <c r="D1736" t="s">
        <v>294</v>
      </c>
      <c r="E1736">
        <v>232.43</v>
      </c>
      <c r="F1736" t="s">
        <v>324</v>
      </c>
      <c r="G1736" t="s">
        <v>327</v>
      </c>
      <c r="I1736" t="s">
        <v>8</v>
      </c>
      <c r="J1736" t="s">
        <v>102</v>
      </c>
      <c r="K1736" t="s">
        <v>28</v>
      </c>
      <c r="L1736" t="s">
        <v>295</v>
      </c>
      <c r="M1736" t="s">
        <v>296</v>
      </c>
      <c r="N1736">
        <v>2.9000000000000001E-2</v>
      </c>
      <c r="O1736" t="str">
        <f>IF(Transactions_RAW_cleaned[[#This Row],[Status]]="Completed", IFERROR(_xlfn.XLOOKUP(Transactions_RAW_cleaned[[#This Row],[CustomerID]], Customers_cleaned[CustomerID], Customers_cleaned[Segment]), "Customer Not Found"), "N/A")</f>
        <v>SMB</v>
      </c>
      <c r="P1736" s="5" t="str">
        <f>IF(Transactions_RAW_cleaned[[#This Row],[Status]]="Refunded", "Refund",
  IF(Transactions_RAW_cleaned[[#This Row],[Category]]="Payments", IF(Transactions_RAW_cleaned[[#This Row],[Amount]]&gt;500,"High Value","Standard"),
    IF(Transactions_RAW_cleaned[[#This Row],[Amount]]&gt;250,"High Value","Standard")))</f>
        <v>Standard</v>
      </c>
      <c r="Q1736" s="5" t="str">
        <f>IF(Transactions_RAW_cleaned[[#This Row],[Amount]] &gt; (_xlfn.XLOOKUP(Transactions_RAW_cleaned[[#This Row],[ServiceID]],Services_cleaned[ServiceID],Services_cleaned[TransactionFeePct]) * 10000), "Yes", "No")</f>
        <v>No</v>
      </c>
      <c r="R1736" s="5" t="str">
        <f>IF(COUNTIFS($C$2:Transactions_RAW_cleaned[[#This Row],[CustomerID]],Transactions_RAW_cleaned[[#This Row],[CustomerID]],$D$2:Transactions_RAW_cleaned[[#This Row],[ServiceID]],Transactions_RAW_cleaned[[#This Row],[ServiceID]])=1,"Yes","No")</f>
        <v>No</v>
      </c>
      <c r="S173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36" t="str">
        <f>"Q"&amp;ROUNDUP(MONTH(Transactions_RAW_cleaned[[#This Row],[TransactionDate]])/3,0)</f>
        <v>Q2</v>
      </c>
      <c r="U1736" t="str">
        <f>Transactions_RAW_cleaned[[#This Row],[Region ]]&amp;Transactions_RAW_cleaned[[#This Row],[Quarter ]]</f>
        <v>NAQ2</v>
      </c>
      <c r="V1736" s="5">
        <f>_xlfn.XLOOKUP(Transactions_RAW_cleaned[[#This Row],[RegionQuarterKey]], Quarterly_Targets_cleaned[RegionQuarterKey], Quarterly_Targets_cleaned[TargetRevenue])</f>
        <v>260000</v>
      </c>
    </row>
    <row r="1737" spans="1:22" x14ac:dyDescent="0.25">
      <c r="A1737" t="s">
        <v>2072</v>
      </c>
      <c r="B1737" s="1">
        <v>45419</v>
      </c>
      <c r="C1737" t="s">
        <v>11</v>
      </c>
      <c r="D1737" t="s">
        <v>303</v>
      </c>
      <c r="E1737">
        <v>496.83</v>
      </c>
      <c r="F1737" t="s">
        <v>324</v>
      </c>
      <c r="G1737" t="s">
        <v>327</v>
      </c>
      <c r="I1737" t="s">
        <v>8</v>
      </c>
      <c r="J1737" t="s">
        <v>13</v>
      </c>
      <c r="K1737" t="s">
        <v>14</v>
      </c>
      <c r="L1737" t="s">
        <v>304</v>
      </c>
      <c r="M1737" t="s">
        <v>305</v>
      </c>
      <c r="N1737">
        <v>1E-3</v>
      </c>
      <c r="O1737" t="str">
        <f>IF(Transactions_RAW_cleaned[[#This Row],[Status]]="Completed", IFERROR(_xlfn.XLOOKUP(Transactions_RAW_cleaned[[#This Row],[CustomerID]], Customers_cleaned[CustomerID], Customers_cleaned[Segment]), "Customer Not Found"), "N/A")</f>
        <v>SMB</v>
      </c>
      <c r="P1737" s="5" t="str">
        <f>IF(Transactions_RAW_cleaned[[#This Row],[Status]]="Refunded", "Refund",
  IF(Transactions_RAW_cleaned[[#This Row],[Category]]="Payments", IF(Transactions_RAW_cleaned[[#This Row],[Amount]]&gt;500,"High Value","Standard"),
    IF(Transactions_RAW_cleaned[[#This Row],[Amount]]&gt;250,"High Value","Standard")))</f>
        <v>High Value</v>
      </c>
      <c r="Q1737" s="5" t="str">
        <f>IF(Transactions_RAW_cleaned[[#This Row],[Amount]] &gt; (_xlfn.XLOOKUP(Transactions_RAW_cleaned[[#This Row],[ServiceID]],Services_cleaned[ServiceID],Services_cleaned[TransactionFeePct]) * 10000), "Yes", "No")</f>
        <v>Yes</v>
      </c>
      <c r="R1737" s="5" t="str">
        <f>IF(COUNTIFS($C$2:Transactions_RAW_cleaned[[#This Row],[CustomerID]],Transactions_RAW_cleaned[[#This Row],[CustomerID]],$D$2:Transactions_RAW_cleaned[[#This Row],[ServiceID]],Transactions_RAW_cleaned[[#This Row],[ServiceID]])=1,"Yes","No")</f>
        <v>No</v>
      </c>
      <c r="S173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37" t="str">
        <f>"Q"&amp;ROUNDUP(MONTH(Transactions_RAW_cleaned[[#This Row],[TransactionDate]])/3,0)</f>
        <v>Q2</v>
      </c>
      <c r="U1737" t="str">
        <f>Transactions_RAW_cleaned[[#This Row],[Region ]]&amp;Transactions_RAW_cleaned[[#This Row],[Quarter ]]</f>
        <v>NAQ2</v>
      </c>
      <c r="V1737" s="5">
        <f>_xlfn.XLOOKUP(Transactions_RAW_cleaned[[#This Row],[RegionQuarterKey]], Quarterly_Targets_cleaned[RegionQuarterKey], Quarterly_Targets_cleaned[TargetRevenue])</f>
        <v>260000</v>
      </c>
    </row>
    <row r="1738" spans="1:22" x14ac:dyDescent="0.25">
      <c r="A1738" t="s">
        <v>2073</v>
      </c>
      <c r="B1738" s="1">
        <v>45427</v>
      </c>
      <c r="C1738" t="s">
        <v>74</v>
      </c>
      <c r="D1738" t="s">
        <v>300</v>
      </c>
      <c r="E1738">
        <v>405.63</v>
      </c>
      <c r="F1738" t="s">
        <v>324</v>
      </c>
      <c r="G1738" t="s">
        <v>327</v>
      </c>
      <c r="H1738" t="s">
        <v>346</v>
      </c>
      <c r="I1738" t="s">
        <v>17</v>
      </c>
      <c r="J1738" t="s">
        <v>46</v>
      </c>
      <c r="K1738" t="s">
        <v>28</v>
      </c>
      <c r="L1738" t="s">
        <v>301</v>
      </c>
      <c r="M1738" t="s">
        <v>302</v>
      </c>
      <c r="N1738">
        <v>5.0000000000000001E-3</v>
      </c>
      <c r="O1738" t="str">
        <f>IF(Transactions_RAW_cleaned[[#This Row],[Status]]="Completed", IFERROR(_xlfn.XLOOKUP(Transactions_RAW_cleaned[[#This Row],[CustomerID]], Customers_cleaned[CustomerID], Customers_cleaned[Segment]), "Customer Not Found"), "N/A")</f>
        <v>Enterprise</v>
      </c>
      <c r="P1738" s="5" t="str">
        <f>IF(Transactions_RAW_cleaned[[#This Row],[Status]]="Refunded", "Refund",
  IF(Transactions_RAW_cleaned[[#This Row],[Category]]="Payments", IF(Transactions_RAW_cleaned[[#This Row],[Amount]]&gt;500,"High Value","Standard"),
    IF(Transactions_RAW_cleaned[[#This Row],[Amount]]&gt;250,"High Value","Standard")))</f>
        <v>High Value</v>
      </c>
      <c r="Q1738" s="5" t="str">
        <f>IF(Transactions_RAW_cleaned[[#This Row],[Amount]] &gt; (_xlfn.XLOOKUP(Transactions_RAW_cleaned[[#This Row],[ServiceID]],Services_cleaned[ServiceID],Services_cleaned[TransactionFeePct]) * 10000), "Yes", "No")</f>
        <v>Yes</v>
      </c>
      <c r="R1738" s="5" t="str">
        <f>IF(COUNTIFS($C$2:Transactions_RAW_cleaned[[#This Row],[CustomerID]],Transactions_RAW_cleaned[[#This Row],[CustomerID]],$D$2:Transactions_RAW_cleaned[[#This Row],[ServiceID]],Transactions_RAW_cleaned[[#This Row],[ServiceID]])=1,"Yes","No")</f>
        <v>No</v>
      </c>
      <c r="S173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38" t="str">
        <f>"Q"&amp;ROUNDUP(MONTH(Transactions_RAW_cleaned[[#This Row],[TransactionDate]])/3,0)</f>
        <v>Q2</v>
      </c>
      <c r="U1738" t="str">
        <f>Transactions_RAW_cleaned[[#This Row],[Region ]]&amp;Transactions_RAW_cleaned[[#This Row],[Quarter ]]</f>
        <v>APACQ2</v>
      </c>
      <c r="V1738" s="5">
        <f>_xlfn.XLOOKUP(Transactions_RAW_cleaned[[#This Row],[RegionQuarterKey]], Quarterly_Targets_cleaned[RegionQuarterKey], Quarterly_Targets_cleaned[TargetRevenue])</f>
        <v>110000</v>
      </c>
    </row>
    <row r="1739" spans="1:22" x14ac:dyDescent="0.25">
      <c r="A1739" t="s">
        <v>2074</v>
      </c>
      <c r="B1739" s="1">
        <v>45355</v>
      </c>
      <c r="C1739" t="s">
        <v>243</v>
      </c>
      <c r="D1739" t="s">
        <v>300</v>
      </c>
      <c r="E1739">
        <v>252.14</v>
      </c>
      <c r="F1739" t="s">
        <v>324</v>
      </c>
      <c r="G1739" t="s">
        <v>337</v>
      </c>
      <c r="H1739" t="s">
        <v>332</v>
      </c>
      <c r="I1739" t="s">
        <v>17</v>
      </c>
      <c r="J1739" t="s">
        <v>13</v>
      </c>
      <c r="K1739" t="s">
        <v>28</v>
      </c>
      <c r="L1739" t="s">
        <v>301</v>
      </c>
      <c r="M1739" t="s">
        <v>302</v>
      </c>
      <c r="N1739">
        <v>5.0000000000000001E-3</v>
      </c>
      <c r="O1739" t="str">
        <f>IF(Transactions_RAW_cleaned[[#This Row],[Status]]="Completed", IFERROR(_xlfn.XLOOKUP(Transactions_RAW_cleaned[[#This Row],[CustomerID]], Customers_cleaned[CustomerID], Customers_cleaned[Segment]), "Customer Not Found"), "N/A")</f>
        <v>Enterprise</v>
      </c>
      <c r="P1739" s="5" t="str">
        <f>IF(Transactions_RAW_cleaned[[#This Row],[Status]]="Refunded", "Refund",
  IF(Transactions_RAW_cleaned[[#This Row],[Category]]="Payments", IF(Transactions_RAW_cleaned[[#This Row],[Amount]]&gt;500,"High Value","Standard"),
    IF(Transactions_RAW_cleaned[[#This Row],[Amount]]&gt;250,"High Value","Standard")))</f>
        <v>High Value</v>
      </c>
      <c r="Q1739" s="5" t="str">
        <f>IF(Transactions_RAW_cleaned[[#This Row],[Amount]] &gt; (_xlfn.XLOOKUP(Transactions_RAW_cleaned[[#This Row],[ServiceID]],Services_cleaned[ServiceID],Services_cleaned[TransactionFeePct]) * 10000), "Yes", "No")</f>
        <v>Yes</v>
      </c>
      <c r="R1739" s="5" t="str">
        <f>IF(COUNTIFS($C$2:Transactions_RAW_cleaned[[#This Row],[CustomerID]],Transactions_RAW_cleaned[[#This Row],[CustomerID]],$D$2:Transactions_RAW_cleaned[[#This Row],[ServiceID]],Transactions_RAW_cleaned[[#This Row],[ServiceID]])=1,"Yes","No")</f>
        <v>No</v>
      </c>
      <c r="S173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39" t="str">
        <f>"Q"&amp;ROUNDUP(MONTH(Transactions_RAW_cleaned[[#This Row],[TransactionDate]])/3,0)</f>
        <v>Q1</v>
      </c>
      <c r="U1739" t="str">
        <f>Transactions_RAW_cleaned[[#This Row],[Region ]]&amp;Transactions_RAW_cleaned[[#This Row],[Quarter ]]</f>
        <v>NAQ1</v>
      </c>
      <c r="V1739" s="5">
        <f>_xlfn.XLOOKUP(Transactions_RAW_cleaned[[#This Row],[RegionQuarterKey]], Quarterly_Targets_cleaned[RegionQuarterKey], Quarterly_Targets_cleaned[TargetRevenue])</f>
        <v>247000</v>
      </c>
    </row>
    <row r="1740" spans="1:22" x14ac:dyDescent="0.25">
      <c r="A1740" t="s">
        <v>2075</v>
      </c>
      <c r="B1740" s="1">
        <v>45494</v>
      </c>
      <c r="C1740" t="s">
        <v>241</v>
      </c>
      <c r="D1740" t="s">
        <v>306</v>
      </c>
      <c r="E1740">
        <v>946.91</v>
      </c>
      <c r="F1740" t="s">
        <v>324</v>
      </c>
      <c r="G1740" t="s">
        <v>337</v>
      </c>
      <c r="H1740" t="s">
        <v>334</v>
      </c>
      <c r="I1740" t="s">
        <v>8</v>
      </c>
      <c r="J1740" t="s">
        <v>102</v>
      </c>
      <c r="K1740" t="s">
        <v>32</v>
      </c>
      <c r="L1740" t="s">
        <v>307</v>
      </c>
      <c r="M1740" t="s">
        <v>308</v>
      </c>
      <c r="N1740">
        <v>0</v>
      </c>
      <c r="O1740" t="str">
        <f>IF(Transactions_RAW_cleaned[[#This Row],[Status]]="Completed", IFERROR(_xlfn.XLOOKUP(Transactions_RAW_cleaned[[#This Row],[CustomerID]], Customers_cleaned[CustomerID], Customers_cleaned[Segment]), "Customer Not Found"), "N/A")</f>
        <v>SMB</v>
      </c>
      <c r="P1740" s="5" t="str">
        <f>IF(Transactions_RAW_cleaned[[#This Row],[Status]]="Refunded", "Refund",
  IF(Transactions_RAW_cleaned[[#This Row],[Category]]="Payments", IF(Transactions_RAW_cleaned[[#This Row],[Amount]]&gt;500,"High Value","Standard"),
    IF(Transactions_RAW_cleaned[[#This Row],[Amount]]&gt;250,"High Value","Standard")))</f>
        <v>High Value</v>
      </c>
      <c r="Q1740" s="5" t="str">
        <f>IF(Transactions_RAW_cleaned[[#This Row],[Amount]] &gt; (_xlfn.XLOOKUP(Transactions_RAW_cleaned[[#This Row],[ServiceID]],Services_cleaned[ServiceID],Services_cleaned[TransactionFeePct]) * 10000), "Yes", "No")</f>
        <v>Yes</v>
      </c>
      <c r="R1740" s="5" t="str">
        <f>IF(COUNTIFS($C$2:Transactions_RAW_cleaned[[#This Row],[CustomerID]],Transactions_RAW_cleaned[[#This Row],[CustomerID]],$D$2:Transactions_RAW_cleaned[[#This Row],[ServiceID]],Transactions_RAW_cleaned[[#This Row],[ServiceID]])=1,"Yes","No")</f>
        <v>No</v>
      </c>
      <c r="S174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40" t="str">
        <f>"Q"&amp;ROUNDUP(MONTH(Transactions_RAW_cleaned[[#This Row],[TransactionDate]])/3,0)</f>
        <v>Q3</v>
      </c>
      <c r="U1740" t="str">
        <f>Transactions_RAW_cleaned[[#This Row],[Region ]]&amp;Transactions_RAW_cleaned[[#This Row],[Quarter ]]</f>
        <v>NAQ3</v>
      </c>
      <c r="V1740" s="5">
        <f>_xlfn.XLOOKUP(Transactions_RAW_cleaned[[#This Row],[RegionQuarterKey]], Quarterly_Targets_cleaned[RegionQuarterKey], Quarterly_Targets_cleaned[TargetRevenue])</f>
        <v>273000</v>
      </c>
    </row>
    <row r="1741" spans="1:22" x14ac:dyDescent="0.25">
      <c r="A1741" t="s">
        <v>2076</v>
      </c>
      <c r="B1741" s="1">
        <v>45648</v>
      </c>
      <c r="C1741" t="s">
        <v>201</v>
      </c>
      <c r="D1741" t="s">
        <v>294</v>
      </c>
      <c r="E1741">
        <v>537.02</v>
      </c>
      <c r="F1741" t="s">
        <v>324</v>
      </c>
      <c r="G1741" t="s">
        <v>325</v>
      </c>
      <c r="I1741" t="s">
        <v>57</v>
      </c>
      <c r="J1741" t="s">
        <v>37</v>
      </c>
      <c r="K1741" t="s">
        <v>32</v>
      </c>
      <c r="L1741" t="s">
        <v>295</v>
      </c>
      <c r="M1741" t="s">
        <v>296</v>
      </c>
      <c r="N1741">
        <v>2.9000000000000001E-2</v>
      </c>
      <c r="O1741" t="str">
        <f>IF(Transactions_RAW_cleaned[[#This Row],[Status]]="Completed", IFERROR(_xlfn.XLOOKUP(Transactions_RAW_cleaned[[#This Row],[CustomerID]], Customers_cleaned[CustomerID], Customers_cleaned[Segment]), "Customer Not Found"), "N/A")</f>
        <v>Startup</v>
      </c>
      <c r="P1741" s="5" t="str">
        <f>IF(Transactions_RAW_cleaned[[#This Row],[Status]]="Refunded", "Refund",
  IF(Transactions_RAW_cleaned[[#This Row],[Category]]="Payments", IF(Transactions_RAW_cleaned[[#This Row],[Amount]]&gt;500,"High Value","Standard"),
    IF(Transactions_RAW_cleaned[[#This Row],[Amount]]&gt;250,"High Value","Standard")))</f>
        <v>High Value</v>
      </c>
      <c r="Q1741" s="5" t="str">
        <f>IF(Transactions_RAW_cleaned[[#This Row],[Amount]] &gt; (_xlfn.XLOOKUP(Transactions_RAW_cleaned[[#This Row],[ServiceID]],Services_cleaned[ServiceID],Services_cleaned[TransactionFeePct]) * 10000), "Yes", "No")</f>
        <v>Yes</v>
      </c>
      <c r="R1741" s="5" t="str">
        <f>IF(COUNTIFS($C$2:Transactions_RAW_cleaned[[#This Row],[CustomerID]],Transactions_RAW_cleaned[[#This Row],[CustomerID]],$D$2:Transactions_RAW_cleaned[[#This Row],[ServiceID]],Transactions_RAW_cleaned[[#This Row],[ServiceID]])=1,"Yes","No")</f>
        <v>No</v>
      </c>
      <c r="S174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741" t="str">
        <f>"Q"&amp;ROUNDUP(MONTH(Transactions_RAW_cleaned[[#This Row],[TransactionDate]])/3,0)</f>
        <v>Q4</v>
      </c>
      <c r="U1741" t="str">
        <f>Transactions_RAW_cleaned[[#This Row],[Region ]]&amp;Transactions_RAW_cleaned[[#This Row],[Quarter ]]</f>
        <v>EMEAQ4</v>
      </c>
      <c r="V1741" s="5">
        <f>_xlfn.XLOOKUP(Transactions_RAW_cleaned[[#This Row],[RegionQuarterKey]], Quarterly_Targets_cleaned[RegionQuarterKey], Quarterly_Targets_cleaned[TargetRevenue])</f>
        <v>161000</v>
      </c>
    </row>
    <row r="1742" spans="1:22" x14ac:dyDescent="0.25">
      <c r="A1742" t="s">
        <v>2077</v>
      </c>
      <c r="B1742" s="1">
        <v>45397</v>
      </c>
      <c r="C1742" t="s">
        <v>245</v>
      </c>
      <c r="D1742" t="s">
        <v>294</v>
      </c>
      <c r="E1742">
        <v>1265.77</v>
      </c>
      <c r="F1742" t="s">
        <v>324</v>
      </c>
      <c r="G1742" t="s">
        <v>337</v>
      </c>
      <c r="H1742" t="s">
        <v>346</v>
      </c>
      <c r="I1742" t="s">
        <v>8</v>
      </c>
      <c r="J1742" t="s">
        <v>31</v>
      </c>
      <c r="K1742" t="s">
        <v>14</v>
      </c>
      <c r="L1742" t="s">
        <v>295</v>
      </c>
      <c r="M1742" t="s">
        <v>296</v>
      </c>
      <c r="N1742">
        <v>2.9000000000000001E-2</v>
      </c>
      <c r="O1742" t="str">
        <f>IF(Transactions_RAW_cleaned[[#This Row],[Status]]="Completed", IFERROR(_xlfn.XLOOKUP(Transactions_RAW_cleaned[[#This Row],[CustomerID]], Customers_cleaned[CustomerID], Customers_cleaned[Segment]), "Customer Not Found"), "N/A")</f>
        <v>SMB</v>
      </c>
      <c r="P1742" s="5" t="str">
        <f>IF(Transactions_RAW_cleaned[[#This Row],[Status]]="Refunded", "Refund",
  IF(Transactions_RAW_cleaned[[#This Row],[Category]]="Payments", IF(Transactions_RAW_cleaned[[#This Row],[Amount]]&gt;500,"High Value","Standard"),
    IF(Transactions_RAW_cleaned[[#This Row],[Amount]]&gt;250,"High Value","Standard")))</f>
        <v>High Value</v>
      </c>
      <c r="Q1742" s="5" t="str">
        <f>IF(Transactions_RAW_cleaned[[#This Row],[Amount]] &gt; (_xlfn.XLOOKUP(Transactions_RAW_cleaned[[#This Row],[ServiceID]],Services_cleaned[ServiceID],Services_cleaned[TransactionFeePct]) * 10000), "Yes", "No")</f>
        <v>Yes</v>
      </c>
      <c r="R1742" s="5" t="str">
        <f>IF(COUNTIFS($C$2:Transactions_RAW_cleaned[[#This Row],[CustomerID]],Transactions_RAW_cleaned[[#This Row],[CustomerID]],$D$2:Transactions_RAW_cleaned[[#This Row],[ServiceID]],Transactions_RAW_cleaned[[#This Row],[ServiceID]])=1,"Yes","No")</f>
        <v>No</v>
      </c>
      <c r="S174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742" t="str">
        <f>"Q"&amp;ROUNDUP(MONTH(Transactions_RAW_cleaned[[#This Row],[TransactionDate]])/3,0)</f>
        <v>Q2</v>
      </c>
      <c r="U1742" t="str">
        <f>Transactions_RAW_cleaned[[#This Row],[Region ]]&amp;Transactions_RAW_cleaned[[#This Row],[Quarter ]]</f>
        <v>EMEAQ2</v>
      </c>
      <c r="V1742" s="5">
        <f>_xlfn.XLOOKUP(Transactions_RAW_cleaned[[#This Row],[RegionQuarterKey]], Quarterly_Targets_cleaned[RegionQuarterKey], Quarterly_Targets_cleaned[TargetRevenue])</f>
        <v>140000</v>
      </c>
    </row>
    <row r="1743" spans="1:22" x14ac:dyDescent="0.25">
      <c r="A1743" t="s">
        <v>2078</v>
      </c>
      <c r="B1743" s="1">
        <v>45569</v>
      </c>
      <c r="C1743" t="s">
        <v>173</v>
      </c>
      <c r="D1743" t="s">
        <v>309</v>
      </c>
      <c r="E1743">
        <v>308.01</v>
      </c>
      <c r="F1743" t="s">
        <v>324</v>
      </c>
      <c r="G1743" t="s">
        <v>325</v>
      </c>
      <c r="H1743" t="s">
        <v>334</v>
      </c>
      <c r="I1743" t="s">
        <v>8</v>
      </c>
      <c r="J1743" t="s">
        <v>46</v>
      </c>
      <c r="K1743" t="s">
        <v>32</v>
      </c>
      <c r="L1743" t="s">
        <v>310</v>
      </c>
      <c r="M1743" t="s">
        <v>311</v>
      </c>
      <c r="N1743">
        <v>0</v>
      </c>
      <c r="O1743" t="str">
        <f>IF(Transactions_RAW_cleaned[[#This Row],[Status]]="Completed", IFERROR(_xlfn.XLOOKUP(Transactions_RAW_cleaned[[#This Row],[CustomerID]], Customers_cleaned[CustomerID], Customers_cleaned[Segment]), "Customer Not Found"), "N/A")</f>
        <v>SMB</v>
      </c>
      <c r="P1743" s="5" t="str">
        <f>IF(Transactions_RAW_cleaned[[#This Row],[Status]]="Refunded", "Refund",
  IF(Transactions_RAW_cleaned[[#This Row],[Category]]="Payments", IF(Transactions_RAW_cleaned[[#This Row],[Amount]]&gt;500,"High Value","Standard"),
    IF(Transactions_RAW_cleaned[[#This Row],[Amount]]&gt;250,"High Value","Standard")))</f>
        <v>High Value</v>
      </c>
      <c r="Q1743" s="5" t="str">
        <f>IF(Transactions_RAW_cleaned[[#This Row],[Amount]] &gt; (_xlfn.XLOOKUP(Transactions_RAW_cleaned[[#This Row],[ServiceID]],Services_cleaned[ServiceID],Services_cleaned[TransactionFeePct]) * 10000), "Yes", "No")</f>
        <v>Yes</v>
      </c>
      <c r="R1743" s="5" t="str">
        <f>IF(COUNTIFS($C$2:Transactions_RAW_cleaned[[#This Row],[CustomerID]],Transactions_RAW_cleaned[[#This Row],[CustomerID]],$D$2:Transactions_RAW_cleaned[[#This Row],[ServiceID]],Transactions_RAW_cleaned[[#This Row],[ServiceID]])=1,"Yes","No")</f>
        <v>No</v>
      </c>
      <c r="S174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43" t="str">
        <f>"Q"&amp;ROUNDUP(MONTH(Transactions_RAW_cleaned[[#This Row],[TransactionDate]])/3,0)</f>
        <v>Q4</v>
      </c>
      <c r="U1743" t="str">
        <f>Transactions_RAW_cleaned[[#This Row],[Region ]]&amp;Transactions_RAW_cleaned[[#This Row],[Quarter ]]</f>
        <v>APACQ4</v>
      </c>
      <c r="V1743" s="5">
        <f>_xlfn.XLOOKUP(Transactions_RAW_cleaned[[#This Row],[RegionQuarterKey]], Quarterly_Targets_cleaned[RegionQuarterKey], Quarterly_Targets_cleaned[TargetRevenue])</f>
        <v>126500</v>
      </c>
    </row>
    <row r="1744" spans="1:22" x14ac:dyDescent="0.25">
      <c r="A1744" t="s">
        <v>2079</v>
      </c>
      <c r="B1744" s="1">
        <v>45506</v>
      </c>
      <c r="C1744" t="s">
        <v>199</v>
      </c>
      <c r="D1744" t="s">
        <v>297</v>
      </c>
      <c r="E1744">
        <v>800.73</v>
      </c>
      <c r="F1744" t="s">
        <v>324</v>
      </c>
      <c r="G1744" t="s">
        <v>337</v>
      </c>
      <c r="H1744" t="s">
        <v>334</v>
      </c>
      <c r="I1744" t="s">
        <v>8</v>
      </c>
      <c r="J1744" t="s">
        <v>13</v>
      </c>
      <c r="K1744" t="s">
        <v>32</v>
      </c>
      <c r="L1744" t="s">
        <v>298</v>
      </c>
      <c r="M1744" t="s">
        <v>299</v>
      </c>
      <c r="N1744">
        <v>0</v>
      </c>
      <c r="O1744" t="str">
        <f>IF(Transactions_RAW_cleaned[[#This Row],[Status]]="Completed", IFERROR(_xlfn.XLOOKUP(Transactions_RAW_cleaned[[#This Row],[CustomerID]], Customers_cleaned[CustomerID], Customers_cleaned[Segment]), "Customer Not Found"), "N/A")</f>
        <v>SMB</v>
      </c>
      <c r="P1744" s="5" t="str">
        <f>IF(Transactions_RAW_cleaned[[#This Row],[Status]]="Refunded", "Refund",
  IF(Transactions_RAW_cleaned[[#This Row],[Category]]="Payments", IF(Transactions_RAW_cleaned[[#This Row],[Amount]]&gt;500,"High Value","Standard"),
    IF(Transactions_RAW_cleaned[[#This Row],[Amount]]&gt;250,"High Value","Standard")))</f>
        <v>High Value</v>
      </c>
      <c r="Q1744" s="5" t="str">
        <f>IF(Transactions_RAW_cleaned[[#This Row],[Amount]] &gt; (_xlfn.XLOOKUP(Transactions_RAW_cleaned[[#This Row],[ServiceID]],Services_cleaned[ServiceID],Services_cleaned[TransactionFeePct]) * 10000), "Yes", "No")</f>
        <v>Yes</v>
      </c>
      <c r="R1744" s="5" t="str">
        <f>IF(COUNTIFS($C$2:Transactions_RAW_cleaned[[#This Row],[CustomerID]],Transactions_RAW_cleaned[[#This Row],[CustomerID]],$D$2:Transactions_RAW_cleaned[[#This Row],[ServiceID]],Transactions_RAW_cleaned[[#This Row],[ServiceID]])=1,"Yes","No")</f>
        <v>No</v>
      </c>
      <c r="S174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44" t="str">
        <f>"Q"&amp;ROUNDUP(MONTH(Transactions_RAW_cleaned[[#This Row],[TransactionDate]])/3,0)</f>
        <v>Q3</v>
      </c>
      <c r="U1744" t="str">
        <f>Transactions_RAW_cleaned[[#This Row],[Region ]]&amp;Transactions_RAW_cleaned[[#This Row],[Quarter ]]</f>
        <v>NAQ3</v>
      </c>
      <c r="V1744" s="5">
        <f>_xlfn.XLOOKUP(Transactions_RAW_cleaned[[#This Row],[RegionQuarterKey]], Quarterly_Targets_cleaned[RegionQuarterKey], Quarterly_Targets_cleaned[TargetRevenue])</f>
        <v>273000</v>
      </c>
    </row>
    <row r="1745" spans="1:22" x14ac:dyDescent="0.25">
      <c r="A1745" t="s">
        <v>2080</v>
      </c>
      <c r="B1745" s="1">
        <v>45298</v>
      </c>
      <c r="C1745" t="s">
        <v>205</v>
      </c>
      <c r="D1745" t="s">
        <v>294</v>
      </c>
      <c r="E1745">
        <v>156.84</v>
      </c>
      <c r="F1745" t="s">
        <v>324</v>
      </c>
      <c r="G1745" t="s">
        <v>329</v>
      </c>
      <c r="I1745" t="s">
        <v>8</v>
      </c>
      <c r="J1745" t="s">
        <v>21</v>
      </c>
      <c r="K1745" t="s">
        <v>14</v>
      </c>
      <c r="L1745" t="s">
        <v>295</v>
      </c>
      <c r="M1745" t="s">
        <v>296</v>
      </c>
      <c r="N1745">
        <v>2.9000000000000001E-2</v>
      </c>
      <c r="O1745" t="str">
        <f>IF(Transactions_RAW_cleaned[[#This Row],[Status]]="Completed", IFERROR(_xlfn.XLOOKUP(Transactions_RAW_cleaned[[#This Row],[CustomerID]], Customers_cleaned[CustomerID], Customers_cleaned[Segment]), "Customer Not Found"), "N/A")</f>
        <v>SMB</v>
      </c>
      <c r="P1745" s="5" t="str">
        <f>IF(Transactions_RAW_cleaned[[#This Row],[Status]]="Refunded", "Refund",
  IF(Transactions_RAW_cleaned[[#This Row],[Category]]="Payments", IF(Transactions_RAW_cleaned[[#This Row],[Amount]]&gt;500,"High Value","Standard"),
    IF(Transactions_RAW_cleaned[[#This Row],[Amount]]&gt;250,"High Value","Standard")))</f>
        <v>Standard</v>
      </c>
      <c r="Q1745" s="5" t="str">
        <f>IF(Transactions_RAW_cleaned[[#This Row],[Amount]] &gt; (_xlfn.XLOOKUP(Transactions_RAW_cleaned[[#This Row],[ServiceID]],Services_cleaned[ServiceID],Services_cleaned[TransactionFeePct]) * 10000), "Yes", "No")</f>
        <v>No</v>
      </c>
      <c r="R1745" s="5" t="str">
        <f>IF(COUNTIFS($C$2:Transactions_RAW_cleaned[[#This Row],[CustomerID]],Transactions_RAW_cleaned[[#This Row],[CustomerID]],$D$2:Transactions_RAW_cleaned[[#This Row],[ServiceID]],Transactions_RAW_cleaned[[#This Row],[ServiceID]])=1,"Yes","No")</f>
        <v>No</v>
      </c>
      <c r="S174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45" t="str">
        <f>"Q"&amp;ROUNDUP(MONTH(Transactions_RAW_cleaned[[#This Row],[TransactionDate]])/3,0)</f>
        <v>Q1</v>
      </c>
      <c r="U1745" t="str">
        <f>Transactions_RAW_cleaned[[#This Row],[Region ]]&amp;Transactions_RAW_cleaned[[#This Row],[Quarter ]]</f>
        <v>APACQ1</v>
      </c>
      <c r="V1745" s="5">
        <f>_xlfn.XLOOKUP(Transactions_RAW_cleaned[[#This Row],[RegionQuarterKey]], Quarterly_Targets_cleaned[RegionQuarterKey], Quarterly_Targets_cleaned[TargetRevenue])</f>
        <v>104500</v>
      </c>
    </row>
    <row r="1746" spans="1:22" x14ac:dyDescent="0.25">
      <c r="A1746" t="s">
        <v>2081</v>
      </c>
      <c r="B1746" s="1">
        <v>45477</v>
      </c>
      <c r="C1746" t="s">
        <v>94</v>
      </c>
      <c r="D1746" t="s">
        <v>312</v>
      </c>
      <c r="E1746">
        <v>168.15</v>
      </c>
      <c r="F1746" t="s">
        <v>381</v>
      </c>
      <c r="G1746" t="s">
        <v>327</v>
      </c>
      <c r="H1746" t="s">
        <v>332</v>
      </c>
      <c r="I1746" t="s">
        <v>8</v>
      </c>
      <c r="J1746" t="s">
        <v>21</v>
      </c>
      <c r="K1746" t="s">
        <v>14</v>
      </c>
      <c r="L1746" t="s">
        <v>313</v>
      </c>
      <c r="M1746" t="s">
        <v>314</v>
      </c>
      <c r="N1746">
        <v>0</v>
      </c>
      <c r="O1746" t="str">
        <f>IF(Transactions_RAW_cleaned[[#This Row],[Status]]="Completed", IFERROR(_xlfn.XLOOKUP(Transactions_RAW_cleaned[[#This Row],[CustomerID]], Customers_cleaned[CustomerID], Customers_cleaned[Segment]), "Customer Not Found"), "N/A")</f>
        <v>N/A</v>
      </c>
      <c r="P1746" s="5" t="str">
        <f>IF(Transactions_RAW_cleaned[[#This Row],[Status]]="Refunded", "Refund",
  IF(Transactions_RAW_cleaned[[#This Row],[Category]]="Payments", IF(Transactions_RAW_cleaned[[#This Row],[Amount]]&gt;500,"High Value","Standard"),
    IF(Transactions_RAW_cleaned[[#This Row],[Amount]]&gt;250,"High Value","Standard")))</f>
        <v>Standard</v>
      </c>
      <c r="Q1746" s="5" t="str">
        <f>IF(Transactions_RAW_cleaned[[#This Row],[Amount]] &gt; (_xlfn.XLOOKUP(Transactions_RAW_cleaned[[#This Row],[ServiceID]],Services_cleaned[ServiceID],Services_cleaned[TransactionFeePct]) * 10000), "Yes", "No")</f>
        <v>Yes</v>
      </c>
      <c r="R1746" s="5" t="str">
        <f>IF(COUNTIFS($C$2:Transactions_RAW_cleaned[[#This Row],[CustomerID]],Transactions_RAW_cleaned[[#This Row],[CustomerID]],$D$2:Transactions_RAW_cleaned[[#This Row],[ServiceID]],Transactions_RAW_cleaned[[#This Row],[ServiceID]])=1,"Yes","No")</f>
        <v>No</v>
      </c>
      <c r="S174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46" t="str">
        <f>"Q"&amp;ROUNDUP(MONTH(Transactions_RAW_cleaned[[#This Row],[TransactionDate]])/3,0)</f>
        <v>Q3</v>
      </c>
      <c r="U1746" t="str">
        <f>Transactions_RAW_cleaned[[#This Row],[Region ]]&amp;Transactions_RAW_cleaned[[#This Row],[Quarter ]]</f>
        <v>APACQ3</v>
      </c>
      <c r="V1746" s="5">
        <f>_xlfn.XLOOKUP(Transactions_RAW_cleaned[[#This Row],[RegionQuarterKey]], Quarterly_Targets_cleaned[RegionQuarterKey], Quarterly_Targets_cleaned[TargetRevenue])</f>
        <v>115500</v>
      </c>
    </row>
    <row r="1747" spans="1:22" x14ac:dyDescent="0.25">
      <c r="A1747" t="s">
        <v>2082</v>
      </c>
      <c r="B1747" s="1">
        <v>45537</v>
      </c>
      <c r="C1747" t="s">
        <v>62</v>
      </c>
      <c r="D1747" t="s">
        <v>294</v>
      </c>
      <c r="E1747">
        <v>172.14</v>
      </c>
      <c r="F1747" t="s">
        <v>324</v>
      </c>
      <c r="G1747" t="s">
        <v>337</v>
      </c>
      <c r="I1747" t="s">
        <v>8</v>
      </c>
      <c r="J1747" t="s">
        <v>46</v>
      </c>
      <c r="K1747" t="s">
        <v>18</v>
      </c>
      <c r="L1747" t="s">
        <v>295</v>
      </c>
      <c r="M1747" t="s">
        <v>296</v>
      </c>
      <c r="N1747">
        <v>2.9000000000000001E-2</v>
      </c>
      <c r="O1747" t="str">
        <f>IF(Transactions_RAW_cleaned[[#This Row],[Status]]="Completed", IFERROR(_xlfn.XLOOKUP(Transactions_RAW_cleaned[[#This Row],[CustomerID]], Customers_cleaned[CustomerID], Customers_cleaned[Segment]), "Customer Not Found"), "N/A")</f>
        <v>SMB</v>
      </c>
      <c r="P1747" s="5" t="str">
        <f>IF(Transactions_RAW_cleaned[[#This Row],[Status]]="Refunded", "Refund",
  IF(Transactions_RAW_cleaned[[#This Row],[Category]]="Payments", IF(Transactions_RAW_cleaned[[#This Row],[Amount]]&gt;500,"High Value","Standard"),
    IF(Transactions_RAW_cleaned[[#This Row],[Amount]]&gt;250,"High Value","Standard")))</f>
        <v>Standard</v>
      </c>
      <c r="Q1747" s="5" t="str">
        <f>IF(Transactions_RAW_cleaned[[#This Row],[Amount]] &gt; (_xlfn.XLOOKUP(Transactions_RAW_cleaned[[#This Row],[ServiceID]],Services_cleaned[ServiceID],Services_cleaned[TransactionFeePct]) * 10000), "Yes", "No")</f>
        <v>No</v>
      </c>
      <c r="R1747" s="5" t="str">
        <f>IF(COUNTIFS($C$2:Transactions_RAW_cleaned[[#This Row],[CustomerID]],Transactions_RAW_cleaned[[#This Row],[CustomerID]],$D$2:Transactions_RAW_cleaned[[#This Row],[ServiceID]],Transactions_RAW_cleaned[[#This Row],[ServiceID]])=1,"Yes","No")</f>
        <v>No</v>
      </c>
      <c r="S174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47" t="str">
        <f>"Q"&amp;ROUNDUP(MONTH(Transactions_RAW_cleaned[[#This Row],[TransactionDate]])/3,0)</f>
        <v>Q3</v>
      </c>
      <c r="U1747" t="str">
        <f>Transactions_RAW_cleaned[[#This Row],[Region ]]&amp;Transactions_RAW_cleaned[[#This Row],[Quarter ]]</f>
        <v>APACQ3</v>
      </c>
      <c r="V1747" s="5">
        <f>_xlfn.XLOOKUP(Transactions_RAW_cleaned[[#This Row],[RegionQuarterKey]], Quarterly_Targets_cleaned[RegionQuarterKey], Quarterly_Targets_cleaned[TargetRevenue])</f>
        <v>115500</v>
      </c>
    </row>
    <row r="1748" spans="1:22" x14ac:dyDescent="0.25">
      <c r="A1748" t="s">
        <v>2083</v>
      </c>
      <c r="B1748" s="1">
        <v>45511</v>
      </c>
      <c r="C1748" t="s">
        <v>227</v>
      </c>
      <c r="D1748" t="s">
        <v>294</v>
      </c>
      <c r="E1748">
        <v>983.38</v>
      </c>
      <c r="F1748" t="s">
        <v>324</v>
      </c>
      <c r="G1748" t="s">
        <v>337</v>
      </c>
      <c r="H1748" t="s">
        <v>346</v>
      </c>
      <c r="I1748" t="s">
        <v>57</v>
      </c>
      <c r="J1748" t="s">
        <v>31</v>
      </c>
      <c r="K1748" t="s">
        <v>32</v>
      </c>
      <c r="L1748" t="s">
        <v>295</v>
      </c>
      <c r="M1748" t="s">
        <v>296</v>
      </c>
      <c r="N1748">
        <v>2.9000000000000001E-2</v>
      </c>
      <c r="O1748" t="str">
        <f>IF(Transactions_RAW_cleaned[[#This Row],[Status]]="Completed", IFERROR(_xlfn.XLOOKUP(Transactions_RAW_cleaned[[#This Row],[CustomerID]], Customers_cleaned[CustomerID], Customers_cleaned[Segment]), "Customer Not Found"), "N/A")</f>
        <v>Startup</v>
      </c>
      <c r="P1748" s="5" t="str">
        <f>IF(Transactions_RAW_cleaned[[#This Row],[Status]]="Refunded", "Refund",
  IF(Transactions_RAW_cleaned[[#This Row],[Category]]="Payments", IF(Transactions_RAW_cleaned[[#This Row],[Amount]]&gt;500,"High Value","Standard"),
    IF(Transactions_RAW_cleaned[[#This Row],[Amount]]&gt;250,"High Value","Standard")))</f>
        <v>High Value</v>
      </c>
      <c r="Q1748" s="5" t="str">
        <f>IF(Transactions_RAW_cleaned[[#This Row],[Amount]] &gt; (_xlfn.XLOOKUP(Transactions_RAW_cleaned[[#This Row],[ServiceID]],Services_cleaned[ServiceID],Services_cleaned[TransactionFeePct]) * 10000), "Yes", "No")</f>
        <v>Yes</v>
      </c>
      <c r="R1748" s="5" t="str">
        <f>IF(COUNTIFS($C$2:Transactions_RAW_cleaned[[#This Row],[CustomerID]],Transactions_RAW_cleaned[[#This Row],[CustomerID]],$D$2:Transactions_RAW_cleaned[[#This Row],[ServiceID]],Transactions_RAW_cleaned[[#This Row],[ServiceID]])=1,"Yes","No")</f>
        <v>No</v>
      </c>
      <c r="S174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748" t="str">
        <f>"Q"&amp;ROUNDUP(MONTH(Transactions_RAW_cleaned[[#This Row],[TransactionDate]])/3,0)</f>
        <v>Q3</v>
      </c>
      <c r="U1748" t="str">
        <f>Transactions_RAW_cleaned[[#This Row],[Region ]]&amp;Transactions_RAW_cleaned[[#This Row],[Quarter ]]</f>
        <v>EMEAQ3</v>
      </c>
      <c r="V1748" s="5">
        <f>_xlfn.XLOOKUP(Transactions_RAW_cleaned[[#This Row],[RegionQuarterKey]], Quarterly_Targets_cleaned[RegionQuarterKey], Quarterly_Targets_cleaned[TargetRevenue])</f>
        <v>147000</v>
      </c>
    </row>
    <row r="1749" spans="1:22" x14ac:dyDescent="0.25">
      <c r="A1749" t="s">
        <v>2084</v>
      </c>
      <c r="B1749" s="1">
        <v>45607</v>
      </c>
      <c r="C1749" t="s">
        <v>111</v>
      </c>
      <c r="D1749" t="s">
        <v>300</v>
      </c>
      <c r="E1749">
        <v>522.19000000000005</v>
      </c>
      <c r="F1749" t="s">
        <v>324</v>
      </c>
      <c r="G1749" t="s">
        <v>329</v>
      </c>
      <c r="H1749" t="s">
        <v>332</v>
      </c>
      <c r="I1749" t="s">
        <v>8</v>
      </c>
      <c r="J1749" t="s">
        <v>21</v>
      </c>
      <c r="K1749" t="s">
        <v>28</v>
      </c>
      <c r="L1749" t="s">
        <v>301</v>
      </c>
      <c r="M1749" t="s">
        <v>302</v>
      </c>
      <c r="N1749">
        <v>5.0000000000000001E-3</v>
      </c>
      <c r="O1749" t="str">
        <f>IF(Transactions_RAW_cleaned[[#This Row],[Status]]="Completed", IFERROR(_xlfn.XLOOKUP(Transactions_RAW_cleaned[[#This Row],[CustomerID]], Customers_cleaned[CustomerID], Customers_cleaned[Segment]), "Customer Not Found"), "N/A")</f>
        <v>SMB</v>
      </c>
      <c r="P1749" s="5" t="str">
        <f>IF(Transactions_RAW_cleaned[[#This Row],[Status]]="Refunded", "Refund",
  IF(Transactions_RAW_cleaned[[#This Row],[Category]]="Payments", IF(Transactions_RAW_cleaned[[#This Row],[Amount]]&gt;500,"High Value","Standard"),
    IF(Transactions_RAW_cleaned[[#This Row],[Amount]]&gt;250,"High Value","Standard")))</f>
        <v>High Value</v>
      </c>
      <c r="Q1749" s="5" t="str">
        <f>IF(Transactions_RAW_cleaned[[#This Row],[Amount]] &gt; (_xlfn.XLOOKUP(Transactions_RAW_cleaned[[#This Row],[ServiceID]],Services_cleaned[ServiceID],Services_cleaned[TransactionFeePct]) * 10000), "Yes", "No")</f>
        <v>Yes</v>
      </c>
      <c r="R1749" s="5" t="str">
        <f>IF(COUNTIFS($C$2:Transactions_RAW_cleaned[[#This Row],[CustomerID]],Transactions_RAW_cleaned[[#This Row],[CustomerID]],$D$2:Transactions_RAW_cleaned[[#This Row],[ServiceID]],Transactions_RAW_cleaned[[#This Row],[ServiceID]])=1,"Yes","No")</f>
        <v>No</v>
      </c>
      <c r="S174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49" t="str">
        <f>"Q"&amp;ROUNDUP(MONTH(Transactions_RAW_cleaned[[#This Row],[TransactionDate]])/3,0)</f>
        <v>Q4</v>
      </c>
      <c r="U1749" t="str">
        <f>Transactions_RAW_cleaned[[#This Row],[Region ]]&amp;Transactions_RAW_cleaned[[#This Row],[Quarter ]]</f>
        <v>APACQ4</v>
      </c>
      <c r="V1749" s="5">
        <f>_xlfn.XLOOKUP(Transactions_RAW_cleaned[[#This Row],[RegionQuarterKey]], Quarterly_Targets_cleaned[RegionQuarterKey], Quarterly_Targets_cleaned[TargetRevenue])</f>
        <v>126500</v>
      </c>
    </row>
    <row r="1750" spans="1:22" x14ac:dyDescent="0.25">
      <c r="A1750" t="s">
        <v>2085</v>
      </c>
      <c r="B1750" s="1">
        <v>45419</v>
      </c>
      <c r="C1750" t="s">
        <v>163</v>
      </c>
      <c r="D1750" t="s">
        <v>306</v>
      </c>
      <c r="E1750">
        <v>-1578.03</v>
      </c>
      <c r="F1750" t="s">
        <v>349</v>
      </c>
      <c r="G1750" t="s">
        <v>325</v>
      </c>
      <c r="H1750" t="s">
        <v>346</v>
      </c>
      <c r="I1750" t="s">
        <v>17</v>
      </c>
      <c r="J1750" t="s">
        <v>102</v>
      </c>
      <c r="K1750" t="s">
        <v>18</v>
      </c>
      <c r="L1750" t="s">
        <v>307</v>
      </c>
      <c r="M1750" t="s">
        <v>308</v>
      </c>
      <c r="N1750">
        <v>0</v>
      </c>
      <c r="O1750" t="str">
        <f>IF(Transactions_RAW_cleaned[[#This Row],[Status]]="Completed", IFERROR(_xlfn.XLOOKUP(Transactions_RAW_cleaned[[#This Row],[CustomerID]], Customers_cleaned[CustomerID], Customers_cleaned[Segment]), "Customer Not Found"), "N/A")</f>
        <v>N/A</v>
      </c>
      <c r="P1750" s="5" t="str">
        <f>IF(Transactions_RAW_cleaned[[#This Row],[Status]]="Refunded", "Refund",
  IF(Transactions_RAW_cleaned[[#This Row],[Category]]="Payments", IF(Transactions_RAW_cleaned[[#This Row],[Amount]]&gt;500,"High Value","Standard"),
    IF(Transactions_RAW_cleaned[[#This Row],[Amount]]&gt;250,"High Value","Standard")))</f>
        <v>Refund</v>
      </c>
      <c r="Q1750" s="5" t="str">
        <f>IF(Transactions_RAW_cleaned[[#This Row],[Amount]] &gt; (_xlfn.XLOOKUP(Transactions_RAW_cleaned[[#This Row],[ServiceID]],Services_cleaned[ServiceID],Services_cleaned[TransactionFeePct]) * 10000), "Yes", "No")</f>
        <v>No</v>
      </c>
      <c r="R1750" s="5" t="str">
        <f>IF(COUNTIFS($C$2:Transactions_RAW_cleaned[[#This Row],[CustomerID]],Transactions_RAW_cleaned[[#This Row],[CustomerID]],$D$2:Transactions_RAW_cleaned[[#This Row],[ServiceID]],Transactions_RAW_cleaned[[#This Row],[ServiceID]])=1,"Yes","No")</f>
        <v>Yes</v>
      </c>
      <c r="S175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50" t="str">
        <f>"Q"&amp;ROUNDUP(MONTH(Transactions_RAW_cleaned[[#This Row],[TransactionDate]])/3,0)</f>
        <v>Q2</v>
      </c>
      <c r="U1750" t="str">
        <f>Transactions_RAW_cleaned[[#This Row],[Region ]]&amp;Transactions_RAW_cleaned[[#This Row],[Quarter ]]</f>
        <v>NAQ2</v>
      </c>
      <c r="V1750" s="5">
        <f>_xlfn.XLOOKUP(Transactions_RAW_cleaned[[#This Row],[RegionQuarterKey]], Quarterly_Targets_cleaned[RegionQuarterKey], Quarterly_Targets_cleaned[TargetRevenue])</f>
        <v>260000</v>
      </c>
    </row>
    <row r="1751" spans="1:22" x14ac:dyDescent="0.25">
      <c r="A1751" t="s">
        <v>2086</v>
      </c>
      <c r="B1751" s="1">
        <v>45555</v>
      </c>
      <c r="C1751" t="s">
        <v>68</v>
      </c>
      <c r="D1751" t="s">
        <v>306</v>
      </c>
      <c r="E1751">
        <v>733.96</v>
      </c>
      <c r="F1751" t="s">
        <v>324</v>
      </c>
      <c r="G1751" t="s">
        <v>327</v>
      </c>
      <c r="I1751" t="s">
        <v>57</v>
      </c>
      <c r="J1751" t="s">
        <v>13</v>
      </c>
      <c r="K1751" t="s">
        <v>10</v>
      </c>
      <c r="L1751" t="s">
        <v>307</v>
      </c>
      <c r="M1751" t="s">
        <v>308</v>
      </c>
      <c r="N1751">
        <v>0</v>
      </c>
      <c r="O1751" t="str">
        <f>IF(Transactions_RAW_cleaned[[#This Row],[Status]]="Completed", IFERROR(_xlfn.XLOOKUP(Transactions_RAW_cleaned[[#This Row],[CustomerID]], Customers_cleaned[CustomerID], Customers_cleaned[Segment]), "Customer Not Found"), "N/A")</f>
        <v>Startup</v>
      </c>
      <c r="P1751" s="5" t="str">
        <f>IF(Transactions_RAW_cleaned[[#This Row],[Status]]="Refunded", "Refund",
  IF(Transactions_RAW_cleaned[[#This Row],[Category]]="Payments", IF(Transactions_RAW_cleaned[[#This Row],[Amount]]&gt;500,"High Value","Standard"),
    IF(Transactions_RAW_cleaned[[#This Row],[Amount]]&gt;250,"High Value","Standard")))</f>
        <v>High Value</v>
      </c>
      <c r="Q1751" s="5" t="str">
        <f>IF(Transactions_RAW_cleaned[[#This Row],[Amount]] &gt; (_xlfn.XLOOKUP(Transactions_RAW_cleaned[[#This Row],[ServiceID]],Services_cleaned[ServiceID],Services_cleaned[TransactionFeePct]) * 10000), "Yes", "No")</f>
        <v>Yes</v>
      </c>
      <c r="R1751" s="5" t="str">
        <f>IF(COUNTIFS($C$2:Transactions_RAW_cleaned[[#This Row],[CustomerID]],Transactions_RAW_cleaned[[#This Row],[CustomerID]],$D$2:Transactions_RAW_cleaned[[#This Row],[ServiceID]],Transactions_RAW_cleaned[[#This Row],[ServiceID]])=1,"Yes","No")</f>
        <v>Yes</v>
      </c>
      <c r="S175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51" t="str">
        <f>"Q"&amp;ROUNDUP(MONTH(Transactions_RAW_cleaned[[#This Row],[TransactionDate]])/3,0)</f>
        <v>Q3</v>
      </c>
      <c r="U1751" t="str">
        <f>Transactions_RAW_cleaned[[#This Row],[Region ]]&amp;Transactions_RAW_cleaned[[#This Row],[Quarter ]]</f>
        <v>NAQ3</v>
      </c>
      <c r="V1751" s="5">
        <f>_xlfn.XLOOKUP(Transactions_RAW_cleaned[[#This Row],[RegionQuarterKey]], Quarterly_Targets_cleaned[RegionQuarterKey], Quarterly_Targets_cleaned[TargetRevenue])</f>
        <v>273000</v>
      </c>
    </row>
    <row r="1752" spans="1:22" x14ac:dyDescent="0.25">
      <c r="A1752" t="s">
        <v>2087</v>
      </c>
      <c r="B1752" s="1">
        <v>45541</v>
      </c>
      <c r="C1752" t="s">
        <v>64</v>
      </c>
      <c r="D1752" t="s">
        <v>306</v>
      </c>
      <c r="E1752">
        <v>468.2</v>
      </c>
      <c r="F1752" t="s">
        <v>324</v>
      </c>
      <c r="G1752" t="s">
        <v>327</v>
      </c>
      <c r="I1752" t="s">
        <v>8</v>
      </c>
      <c r="J1752" t="s">
        <v>37</v>
      </c>
      <c r="K1752" t="s">
        <v>28</v>
      </c>
      <c r="L1752" t="s">
        <v>307</v>
      </c>
      <c r="M1752" t="s">
        <v>308</v>
      </c>
      <c r="N1752">
        <v>0</v>
      </c>
      <c r="O1752" t="str">
        <f>IF(Transactions_RAW_cleaned[[#This Row],[Status]]="Completed", IFERROR(_xlfn.XLOOKUP(Transactions_RAW_cleaned[[#This Row],[CustomerID]], Customers_cleaned[CustomerID], Customers_cleaned[Segment]), "Customer Not Found"), "N/A")</f>
        <v>SMB</v>
      </c>
      <c r="P1752" s="5" t="str">
        <f>IF(Transactions_RAW_cleaned[[#This Row],[Status]]="Refunded", "Refund",
  IF(Transactions_RAW_cleaned[[#This Row],[Category]]="Payments", IF(Transactions_RAW_cleaned[[#This Row],[Amount]]&gt;500,"High Value","Standard"),
    IF(Transactions_RAW_cleaned[[#This Row],[Amount]]&gt;250,"High Value","Standard")))</f>
        <v>High Value</v>
      </c>
      <c r="Q1752" s="5" t="str">
        <f>IF(Transactions_RAW_cleaned[[#This Row],[Amount]] &gt; (_xlfn.XLOOKUP(Transactions_RAW_cleaned[[#This Row],[ServiceID]],Services_cleaned[ServiceID],Services_cleaned[TransactionFeePct]) * 10000), "Yes", "No")</f>
        <v>Yes</v>
      </c>
      <c r="R1752" s="5" t="str">
        <f>IF(COUNTIFS($C$2:Transactions_RAW_cleaned[[#This Row],[CustomerID]],Transactions_RAW_cleaned[[#This Row],[CustomerID]],$D$2:Transactions_RAW_cleaned[[#This Row],[ServiceID]],Transactions_RAW_cleaned[[#This Row],[ServiceID]])=1,"Yes","No")</f>
        <v>No</v>
      </c>
      <c r="S175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752" t="str">
        <f>"Q"&amp;ROUNDUP(MONTH(Transactions_RAW_cleaned[[#This Row],[TransactionDate]])/3,0)</f>
        <v>Q3</v>
      </c>
      <c r="U1752" t="str">
        <f>Transactions_RAW_cleaned[[#This Row],[Region ]]&amp;Transactions_RAW_cleaned[[#This Row],[Quarter ]]</f>
        <v>EMEAQ3</v>
      </c>
      <c r="V1752" s="5">
        <f>_xlfn.XLOOKUP(Transactions_RAW_cleaned[[#This Row],[RegionQuarterKey]], Quarterly_Targets_cleaned[RegionQuarterKey], Quarterly_Targets_cleaned[TargetRevenue])</f>
        <v>147000</v>
      </c>
    </row>
    <row r="1753" spans="1:22" x14ac:dyDescent="0.25">
      <c r="A1753" t="s">
        <v>2088</v>
      </c>
      <c r="B1753" s="1">
        <v>45624</v>
      </c>
      <c r="C1753" t="s">
        <v>141</v>
      </c>
      <c r="D1753" t="s">
        <v>306</v>
      </c>
      <c r="E1753">
        <v>273.7</v>
      </c>
      <c r="F1753" t="s">
        <v>324</v>
      </c>
      <c r="G1753" t="s">
        <v>325</v>
      </c>
      <c r="I1753" t="s">
        <v>57</v>
      </c>
      <c r="J1753" t="s">
        <v>25</v>
      </c>
      <c r="K1753" t="s">
        <v>10</v>
      </c>
      <c r="L1753" t="s">
        <v>307</v>
      </c>
      <c r="M1753" t="s">
        <v>308</v>
      </c>
      <c r="N1753">
        <v>0</v>
      </c>
      <c r="O1753" t="str">
        <f>IF(Transactions_RAW_cleaned[[#This Row],[Status]]="Completed", IFERROR(_xlfn.XLOOKUP(Transactions_RAW_cleaned[[#This Row],[CustomerID]], Customers_cleaned[CustomerID], Customers_cleaned[Segment]), "Customer Not Found"), "N/A")</f>
        <v>Startup</v>
      </c>
      <c r="P1753" s="5" t="str">
        <f>IF(Transactions_RAW_cleaned[[#This Row],[Status]]="Refunded", "Refund",
  IF(Transactions_RAW_cleaned[[#This Row],[Category]]="Payments", IF(Transactions_RAW_cleaned[[#This Row],[Amount]]&gt;500,"High Value","Standard"),
    IF(Transactions_RAW_cleaned[[#This Row],[Amount]]&gt;250,"High Value","Standard")))</f>
        <v>High Value</v>
      </c>
      <c r="Q1753" s="5" t="str">
        <f>IF(Transactions_RAW_cleaned[[#This Row],[Amount]] &gt; (_xlfn.XLOOKUP(Transactions_RAW_cleaned[[#This Row],[ServiceID]],Services_cleaned[ServiceID],Services_cleaned[TransactionFeePct]) * 10000), "Yes", "No")</f>
        <v>Yes</v>
      </c>
      <c r="R1753" s="5" t="str">
        <f>IF(COUNTIFS($C$2:Transactions_RAW_cleaned[[#This Row],[CustomerID]],Transactions_RAW_cleaned[[#This Row],[CustomerID]],$D$2:Transactions_RAW_cleaned[[#This Row],[ServiceID]],Transactions_RAW_cleaned[[#This Row],[ServiceID]])=1,"Yes","No")</f>
        <v>No</v>
      </c>
      <c r="S175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53" t="str">
        <f>"Q"&amp;ROUNDUP(MONTH(Transactions_RAW_cleaned[[#This Row],[TransactionDate]])/3,0)</f>
        <v>Q4</v>
      </c>
      <c r="U1753" t="str">
        <f>Transactions_RAW_cleaned[[#This Row],[Region ]]&amp;Transactions_RAW_cleaned[[#This Row],[Quarter ]]</f>
        <v>APACQ4</v>
      </c>
      <c r="V1753" s="5">
        <f>_xlfn.XLOOKUP(Transactions_RAW_cleaned[[#This Row],[RegionQuarterKey]], Quarterly_Targets_cleaned[RegionQuarterKey], Quarterly_Targets_cleaned[TargetRevenue])</f>
        <v>126500</v>
      </c>
    </row>
    <row r="1754" spans="1:22" x14ac:dyDescent="0.25">
      <c r="A1754" t="s">
        <v>2089</v>
      </c>
      <c r="B1754" s="1">
        <v>45517</v>
      </c>
      <c r="C1754" t="s">
        <v>70</v>
      </c>
      <c r="D1754" t="s">
        <v>300</v>
      </c>
      <c r="E1754">
        <v>182.96</v>
      </c>
      <c r="F1754" t="s">
        <v>324</v>
      </c>
      <c r="G1754" t="s">
        <v>337</v>
      </c>
      <c r="H1754" t="s">
        <v>332</v>
      </c>
      <c r="I1754" t="s">
        <v>8</v>
      </c>
      <c r="J1754" t="s">
        <v>37</v>
      </c>
      <c r="K1754" t="s">
        <v>28</v>
      </c>
      <c r="L1754" t="s">
        <v>301</v>
      </c>
      <c r="M1754" t="s">
        <v>302</v>
      </c>
      <c r="N1754">
        <v>5.0000000000000001E-3</v>
      </c>
      <c r="O1754" t="str">
        <f>IF(Transactions_RAW_cleaned[[#This Row],[Status]]="Completed", IFERROR(_xlfn.XLOOKUP(Transactions_RAW_cleaned[[#This Row],[CustomerID]], Customers_cleaned[CustomerID], Customers_cleaned[Segment]), "Customer Not Found"), "N/A")</f>
        <v>SMB</v>
      </c>
      <c r="P1754" s="5" t="str">
        <f>IF(Transactions_RAW_cleaned[[#This Row],[Status]]="Refunded", "Refund",
  IF(Transactions_RAW_cleaned[[#This Row],[Category]]="Payments", IF(Transactions_RAW_cleaned[[#This Row],[Amount]]&gt;500,"High Value","Standard"),
    IF(Transactions_RAW_cleaned[[#This Row],[Amount]]&gt;250,"High Value","Standard")))</f>
        <v>Standard</v>
      </c>
      <c r="Q1754" s="5" t="str">
        <f>IF(Transactions_RAW_cleaned[[#This Row],[Amount]] &gt; (_xlfn.XLOOKUP(Transactions_RAW_cleaned[[#This Row],[ServiceID]],Services_cleaned[ServiceID],Services_cleaned[TransactionFeePct]) * 10000), "Yes", "No")</f>
        <v>Yes</v>
      </c>
      <c r="R1754" s="5" t="str">
        <f>IF(COUNTIFS($C$2:Transactions_RAW_cleaned[[#This Row],[CustomerID]],Transactions_RAW_cleaned[[#This Row],[CustomerID]],$D$2:Transactions_RAW_cleaned[[#This Row],[ServiceID]],Transactions_RAW_cleaned[[#This Row],[ServiceID]])=1,"Yes","No")</f>
        <v>No</v>
      </c>
      <c r="S175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754" t="str">
        <f>"Q"&amp;ROUNDUP(MONTH(Transactions_RAW_cleaned[[#This Row],[TransactionDate]])/3,0)</f>
        <v>Q3</v>
      </c>
      <c r="U1754" t="str">
        <f>Transactions_RAW_cleaned[[#This Row],[Region ]]&amp;Transactions_RAW_cleaned[[#This Row],[Quarter ]]</f>
        <v>EMEAQ3</v>
      </c>
      <c r="V1754" s="5">
        <f>_xlfn.XLOOKUP(Transactions_RAW_cleaned[[#This Row],[RegionQuarterKey]], Quarterly_Targets_cleaned[RegionQuarterKey], Quarterly_Targets_cleaned[TargetRevenue])</f>
        <v>147000</v>
      </c>
    </row>
    <row r="1755" spans="1:22" x14ac:dyDescent="0.25">
      <c r="A1755" t="s">
        <v>2090</v>
      </c>
      <c r="B1755" s="1">
        <v>45496</v>
      </c>
      <c r="C1755" t="s">
        <v>211</v>
      </c>
      <c r="D1755" t="s">
        <v>297</v>
      </c>
      <c r="E1755">
        <v>227.91</v>
      </c>
      <c r="F1755" t="s">
        <v>324</v>
      </c>
      <c r="G1755" t="s">
        <v>327</v>
      </c>
      <c r="I1755" t="s">
        <v>8</v>
      </c>
      <c r="J1755" t="s">
        <v>31</v>
      </c>
      <c r="K1755" t="s">
        <v>22</v>
      </c>
      <c r="L1755" t="s">
        <v>298</v>
      </c>
      <c r="M1755" t="s">
        <v>299</v>
      </c>
      <c r="N1755">
        <v>0</v>
      </c>
      <c r="O1755" t="str">
        <f>IF(Transactions_RAW_cleaned[[#This Row],[Status]]="Completed", IFERROR(_xlfn.XLOOKUP(Transactions_RAW_cleaned[[#This Row],[CustomerID]], Customers_cleaned[CustomerID], Customers_cleaned[Segment]), "Customer Not Found"), "N/A")</f>
        <v>SMB</v>
      </c>
      <c r="P1755" s="5" t="str">
        <f>IF(Transactions_RAW_cleaned[[#This Row],[Status]]="Refunded", "Refund",
  IF(Transactions_RAW_cleaned[[#This Row],[Category]]="Payments", IF(Transactions_RAW_cleaned[[#This Row],[Amount]]&gt;500,"High Value","Standard"),
    IF(Transactions_RAW_cleaned[[#This Row],[Amount]]&gt;250,"High Value","Standard")))</f>
        <v>Standard</v>
      </c>
      <c r="Q1755" s="5" t="str">
        <f>IF(Transactions_RAW_cleaned[[#This Row],[Amount]] &gt; (_xlfn.XLOOKUP(Transactions_RAW_cleaned[[#This Row],[ServiceID]],Services_cleaned[ServiceID],Services_cleaned[TransactionFeePct]) * 10000), "Yes", "No")</f>
        <v>Yes</v>
      </c>
      <c r="R1755" s="5" t="str">
        <f>IF(COUNTIFS($C$2:Transactions_RAW_cleaned[[#This Row],[CustomerID]],Transactions_RAW_cleaned[[#This Row],[CustomerID]],$D$2:Transactions_RAW_cleaned[[#This Row],[ServiceID]],Transactions_RAW_cleaned[[#This Row],[ServiceID]])=1,"Yes","No")</f>
        <v>No</v>
      </c>
      <c r="S175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755" t="str">
        <f>"Q"&amp;ROUNDUP(MONTH(Transactions_RAW_cleaned[[#This Row],[TransactionDate]])/3,0)</f>
        <v>Q3</v>
      </c>
      <c r="U1755" t="str">
        <f>Transactions_RAW_cleaned[[#This Row],[Region ]]&amp;Transactions_RAW_cleaned[[#This Row],[Quarter ]]</f>
        <v>EMEAQ3</v>
      </c>
      <c r="V1755" s="5">
        <f>_xlfn.XLOOKUP(Transactions_RAW_cleaned[[#This Row],[RegionQuarterKey]], Quarterly_Targets_cleaned[RegionQuarterKey], Quarterly_Targets_cleaned[TargetRevenue])</f>
        <v>147000</v>
      </c>
    </row>
    <row r="1756" spans="1:22" x14ac:dyDescent="0.25">
      <c r="A1756" t="s">
        <v>2091</v>
      </c>
      <c r="B1756" s="1">
        <v>45376</v>
      </c>
      <c r="C1756" t="s">
        <v>115</v>
      </c>
      <c r="D1756" t="s">
        <v>294</v>
      </c>
      <c r="E1756">
        <v>-885.61</v>
      </c>
      <c r="F1756" t="s">
        <v>349</v>
      </c>
      <c r="G1756" t="s">
        <v>327</v>
      </c>
      <c r="I1756" t="s">
        <v>17</v>
      </c>
      <c r="J1756" t="s">
        <v>102</v>
      </c>
      <c r="K1756" t="s">
        <v>32</v>
      </c>
      <c r="L1756" t="s">
        <v>295</v>
      </c>
      <c r="M1756" t="s">
        <v>296</v>
      </c>
      <c r="N1756">
        <v>2.9000000000000001E-2</v>
      </c>
      <c r="O1756" t="str">
        <f>IF(Transactions_RAW_cleaned[[#This Row],[Status]]="Completed", IFERROR(_xlfn.XLOOKUP(Transactions_RAW_cleaned[[#This Row],[CustomerID]], Customers_cleaned[CustomerID], Customers_cleaned[Segment]), "Customer Not Found"), "N/A")</f>
        <v>N/A</v>
      </c>
      <c r="P1756" s="5" t="str">
        <f>IF(Transactions_RAW_cleaned[[#This Row],[Status]]="Refunded", "Refund",
  IF(Transactions_RAW_cleaned[[#This Row],[Category]]="Payments", IF(Transactions_RAW_cleaned[[#This Row],[Amount]]&gt;500,"High Value","Standard"),
    IF(Transactions_RAW_cleaned[[#This Row],[Amount]]&gt;250,"High Value","Standard")))</f>
        <v>Refund</v>
      </c>
      <c r="Q1756" s="5" t="str">
        <f>IF(Transactions_RAW_cleaned[[#This Row],[Amount]] &gt; (_xlfn.XLOOKUP(Transactions_RAW_cleaned[[#This Row],[ServiceID]],Services_cleaned[ServiceID],Services_cleaned[TransactionFeePct]) * 10000), "Yes", "No")</f>
        <v>No</v>
      </c>
      <c r="R1756" s="5" t="str">
        <f>IF(COUNTIFS($C$2:Transactions_RAW_cleaned[[#This Row],[CustomerID]],Transactions_RAW_cleaned[[#This Row],[CustomerID]],$D$2:Transactions_RAW_cleaned[[#This Row],[ServiceID]],Transactions_RAW_cleaned[[#This Row],[ServiceID]])=1,"Yes","No")</f>
        <v>No</v>
      </c>
      <c r="S175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56" t="str">
        <f>"Q"&amp;ROUNDUP(MONTH(Transactions_RAW_cleaned[[#This Row],[TransactionDate]])/3,0)</f>
        <v>Q1</v>
      </c>
      <c r="U1756" t="str">
        <f>Transactions_RAW_cleaned[[#This Row],[Region ]]&amp;Transactions_RAW_cleaned[[#This Row],[Quarter ]]</f>
        <v>NAQ1</v>
      </c>
      <c r="V1756" s="5">
        <f>_xlfn.XLOOKUP(Transactions_RAW_cleaned[[#This Row],[RegionQuarterKey]], Quarterly_Targets_cleaned[RegionQuarterKey], Quarterly_Targets_cleaned[TargetRevenue])</f>
        <v>247000</v>
      </c>
    </row>
    <row r="1757" spans="1:22" x14ac:dyDescent="0.25">
      <c r="A1757" t="s">
        <v>2092</v>
      </c>
      <c r="B1757" s="1">
        <v>45650</v>
      </c>
      <c r="C1757" t="s">
        <v>265</v>
      </c>
      <c r="D1757" t="s">
        <v>294</v>
      </c>
      <c r="E1757">
        <v>516.91</v>
      </c>
      <c r="F1757" t="s">
        <v>381</v>
      </c>
      <c r="G1757" t="s">
        <v>337</v>
      </c>
      <c r="H1757" t="s">
        <v>332</v>
      </c>
      <c r="I1757" t="s">
        <v>8</v>
      </c>
      <c r="J1757" t="s">
        <v>102</v>
      </c>
      <c r="K1757" t="s">
        <v>32</v>
      </c>
      <c r="L1757" t="s">
        <v>295</v>
      </c>
      <c r="M1757" t="s">
        <v>296</v>
      </c>
      <c r="N1757">
        <v>2.9000000000000001E-2</v>
      </c>
      <c r="O1757" t="str">
        <f>IF(Transactions_RAW_cleaned[[#This Row],[Status]]="Completed", IFERROR(_xlfn.XLOOKUP(Transactions_RAW_cleaned[[#This Row],[CustomerID]], Customers_cleaned[CustomerID], Customers_cleaned[Segment]), "Customer Not Found"), "N/A")</f>
        <v>N/A</v>
      </c>
      <c r="P1757" s="5" t="str">
        <f>IF(Transactions_RAW_cleaned[[#This Row],[Status]]="Refunded", "Refund",
  IF(Transactions_RAW_cleaned[[#This Row],[Category]]="Payments", IF(Transactions_RAW_cleaned[[#This Row],[Amount]]&gt;500,"High Value","Standard"),
    IF(Transactions_RAW_cleaned[[#This Row],[Amount]]&gt;250,"High Value","Standard")))</f>
        <v>High Value</v>
      </c>
      <c r="Q1757" s="5" t="str">
        <f>IF(Transactions_RAW_cleaned[[#This Row],[Amount]] &gt; (_xlfn.XLOOKUP(Transactions_RAW_cleaned[[#This Row],[ServiceID]],Services_cleaned[ServiceID],Services_cleaned[TransactionFeePct]) * 10000), "Yes", "No")</f>
        <v>Yes</v>
      </c>
      <c r="R1757" s="5" t="str">
        <f>IF(COUNTIFS($C$2:Transactions_RAW_cleaned[[#This Row],[CustomerID]],Transactions_RAW_cleaned[[#This Row],[CustomerID]],$D$2:Transactions_RAW_cleaned[[#This Row],[ServiceID]],Transactions_RAW_cleaned[[#This Row],[ServiceID]])=1,"Yes","No")</f>
        <v>No</v>
      </c>
      <c r="S175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57" t="str">
        <f>"Q"&amp;ROUNDUP(MONTH(Transactions_RAW_cleaned[[#This Row],[TransactionDate]])/3,0)</f>
        <v>Q4</v>
      </c>
      <c r="U1757" t="str">
        <f>Transactions_RAW_cleaned[[#This Row],[Region ]]&amp;Transactions_RAW_cleaned[[#This Row],[Quarter ]]</f>
        <v>NAQ4</v>
      </c>
      <c r="V1757" s="5">
        <f>_xlfn.XLOOKUP(Transactions_RAW_cleaned[[#This Row],[RegionQuarterKey]], Quarterly_Targets_cleaned[RegionQuarterKey], Quarterly_Targets_cleaned[TargetRevenue])</f>
        <v>299000</v>
      </c>
    </row>
    <row r="1758" spans="1:22" x14ac:dyDescent="0.25">
      <c r="A1758" t="s">
        <v>2093</v>
      </c>
      <c r="B1758" s="1">
        <v>45643</v>
      </c>
      <c r="C1758" t="s">
        <v>66</v>
      </c>
      <c r="D1758" t="s">
        <v>294</v>
      </c>
      <c r="E1758">
        <v>90.39</v>
      </c>
      <c r="F1758" t="s">
        <v>324</v>
      </c>
      <c r="G1758" t="s">
        <v>327</v>
      </c>
      <c r="I1758" t="s">
        <v>8</v>
      </c>
      <c r="J1758" t="s">
        <v>46</v>
      </c>
      <c r="K1758" t="s">
        <v>10</v>
      </c>
      <c r="L1758" t="s">
        <v>295</v>
      </c>
      <c r="M1758" t="s">
        <v>296</v>
      </c>
      <c r="N1758">
        <v>2.9000000000000001E-2</v>
      </c>
      <c r="O1758" t="str">
        <f>IF(Transactions_RAW_cleaned[[#This Row],[Status]]="Completed", IFERROR(_xlfn.XLOOKUP(Transactions_RAW_cleaned[[#This Row],[CustomerID]], Customers_cleaned[CustomerID], Customers_cleaned[Segment]), "Customer Not Found"), "N/A")</f>
        <v>SMB</v>
      </c>
      <c r="P1758" s="5" t="str">
        <f>IF(Transactions_RAW_cleaned[[#This Row],[Status]]="Refunded", "Refund",
  IF(Transactions_RAW_cleaned[[#This Row],[Category]]="Payments", IF(Transactions_RAW_cleaned[[#This Row],[Amount]]&gt;500,"High Value","Standard"),
    IF(Transactions_RAW_cleaned[[#This Row],[Amount]]&gt;250,"High Value","Standard")))</f>
        <v>Standard</v>
      </c>
      <c r="Q1758" s="5" t="str">
        <f>IF(Transactions_RAW_cleaned[[#This Row],[Amount]] &gt; (_xlfn.XLOOKUP(Transactions_RAW_cleaned[[#This Row],[ServiceID]],Services_cleaned[ServiceID],Services_cleaned[TransactionFeePct]) * 10000), "Yes", "No")</f>
        <v>No</v>
      </c>
      <c r="R1758" s="5" t="str">
        <f>IF(COUNTIFS($C$2:Transactions_RAW_cleaned[[#This Row],[CustomerID]],Transactions_RAW_cleaned[[#This Row],[CustomerID]],$D$2:Transactions_RAW_cleaned[[#This Row],[ServiceID]],Transactions_RAW_cleaned[[#This Row],[ServiceID]])=1,"Yes","No")</f>
        <v>No</v>
      </c>
      <c r="S175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58" t="str">
        <f>"Q"&amp;ROUNDUP(MONTH(Transactions_RAW_cleaned[[#This Row],[TransactionDate]])/3,0)</f>
        <v>Q4</v>
      </c>
      <c r="U1758" t="str">
        <f>Transactions_RAW_cleaned[[#This Row],[Region ]]&amp;Transactions_RAW_cleaned[[#This Row],[Quarter ]]</f>
        <v>APACQ4</v>
      </c>
      <c r="V1758" s="5">
        <f>_xlfn.XLOOKUP(Transactions_RAW_cleaned[[#This Row],[RegionQuarterKey]], Quarterly_Targets_cleaned[RegionQuarterKey], Quarterly_Targets_cleaned[TargetRevenue])</f>
        <v>126500</v>
      </c>
    </row>
    <row r="1759" spans="1:22" x14ac:dyDescent="0.25">
      <c r="A1759" t="s">
        <v>2094</v>
      </c>
      <c r="B1759" s="1">
        <v>45607</v>
      </c>
      <c r="C1759" t="s">
        <v>159</v>
      </c>
      <c r="D1759" t="s">
        <v>294</v>
      </c>
      <c r="E1759">
        <v>229.52</v>
      </c>
      <c r="F1759" t="s">
        <v>324</v>
      </c>
      <c r="G1759" t="s">
        <v>325</v>
      </c>
      <c r="H1759" t="s">
        <v>332</v>
      </c>
      <c r="I1759" t="s">
        <v>57</v>
      </c>
      <c r="J1759" t="s">
        <v>25</v>
      </c>
      <c r="K1759" t="s">
        <v>22</v>
      </c>
      <c r="L1759" t="s">
        <v>295</v>
      </c>
      <c r="M1759" t="s">
        <v>296</v>
      </c>
      <c r="N1759">
        <v>2.9000000000000001E-2</v>
      </c>
      <c r="O1759" t="str">
        <f>IF(Transactions_RAW_cleaned[[#This Row],[Status]]="Completed", IFERROR(_xlfn.XLOOKUP(Transactions_RAW_cleaned[[#This Row],[CustomerID]], Customers_cleaned[CustomerID], Customers_cleaned[Segment]), "Customer Not Found"), "N/A")</f>
        <v>Startup</v>
      </c>
      <c r="P1759" s="5" t="str">
        <f>IF(Transactions_RAW_cleaned[[#This Row],[Status]]="Refunded", "Refund",
  IF(Transactions_RAW_cleaned[[#This Row],[Category]]="Payments", IF(Transactions_RAW_cleaned[[#This Row],[Amount]]&gt;500,"High Value","Standard"),
    IF(Transactions_RAW_cleaned[[#This Row],[Amount]]&gt;250,"High Value","Standard")))</f>
        <v>Standard</v>
      </c>
      <c r="Q1759" s="5" t="str">
        <f>IF(Transactions_RAW_cleaned[[#This Row],[Amount]] &gt; (_xlfn.XLOOKUP(Transactions_RAW_cleaned[[#This Row],[ServiceID]],Services_cleaned[ServiceID],Services_cleaned[TransactionFeePct]) * 10000), "Yes", "No")</f>
        <v>No</v>
      </c>
      <c r="R1759" s="5" t="str">
        <f>IF(COUNTIFS($C$2:Transactions_RAW_cleaned[[#This Row],[CustomerID]],Transactions_RAW_cleaned[[#This Row],[CustomerID]],$D$2:Transactions_RAW_cleaned[[#This Row],[ServiceID]],Transactions_RAW_cleaned[[#This Row],[ServiceID]])=1,"Yes","No")</f>
        <v>No</v>
      </c>
      <c r="S175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59" t="str">
        <f>"Q"&amp;ROUNDUP(MONTH(Transactions_RAW_cleaned[[#This Row],[TransactionDate]])/3,0)</f>
        <v>Q4</v>
      </c>
      <c r="U1759" t="str">
        <f>Transactions_RAW_cleaned[[#This Row],[Region ]]&amp;Transactions_RAW_cleaned[[#This Row],[Quarter ]]</f>
        <v>APACQ4</v>
      </c>
      <c r="V1759" s="5">
        <f>_xlfn.XLOOKUP(Transactions_RAW_cleaned[[#This Row],[RegionQuarterKey]], Quarterly_Targets_cleaned[RegionQuarterKey], Quarterly_Targets_cleaned[TargetRevenue])</f>
        <v>126500</v>
      </c>
    </row>
    <row r="1760" spans="1:22" x14ac:dyDescent="0.25">
      <c r="A1760" t="s">
        <v>2095</v>
      </c>
      <c r="B1760" s="1">
        <v>45381</v>
      </c>
      <c r="C1760" t="s">
        <v>155</v>
      </c>
      <c r="D1760" t="s">
        <v>315</v>
      </c>
      <c r="E1760">
        <v>265.31</v>
      </c>
      <c r="F1760" t="s">
        <v>324</v>
      </c>
      <c r="G1760" t="s">
        <v>327</v>
      </c>
      <c r="I1760" t="s">
        <v>8</v>
      </c>
      <c r="J1760" t="s">
        <v>46</v>
      </c>
      <c r="K1760" t="s">
        <v>22</v>
      </c>
      <c r="L1760" t="s">
        <v>316</v>
      </c>
      <c r="M1760" t="s">
        <v>305</v>
      </c>
      <c r="N1760">
        <v>2.5000000000000001E-3</v>
      </c>
      <c r="O1760" t="str">
        <f>IF(Transactions_RAW_cleaned[[#This Row],[Status]]="Completed", IFERROR(_xlfn.XLOOKUP(Transactions_RAW_cleaned[[#This Row],[CustomerID]], Customers_cleaned[CustomerID], Customers_cleaned[Segment]), "Customer Not Found"), "N/A")</f>
        <v>SMB</v>
      </c>
      <c r="P1760" s="5" t="str">
        <f>IF(Transactions_RAW_cleaned[[#This Row],[Status]]="Refunded", "Refund",
  IF(Transactions_RAW_cleaned[[#This Row],[Category]]="Payments", IF(Transactions_RAW_cleaned[[#This Row],[Amount]]&gt;500,"High Value","Standard"),
    IF(Transactions_RAW_cleaned[[#This Row],[Amount]]&gt;250,"High Value","Standard")))</f>
        <v>High Value</v>
      </c>
      <c r="Q1760" s="5" t="str">
        <f>IF(Transactions_RAW_cleaned[[#This Row],[Amount]] &gt; (_xlfn.XLOOKUP(Transactions_RAW_cleaned[[#This Row],[ServiceID]],Services_cleaned[ServiceID],Services_cleaned[TransactionFeePct]) * 10000), "Yes", "No")</f>
        <v>Yes</v>
      </c>
      <c r="R1760" s="5" t="str">
        <f>IF(COUNTIFS($C$2:Transactions_RAW_cleaned[[#This Row],[CustomerID]],Transactions_RAW_cleaned[[#This Row],[CustomerID]],$D$2:Transactions_RAW_cleaned[[#This Row],[ServiceID]],Transactions_RAW_cleaned[[#This Row],[ServiceID]])=1,"Yes","No")</f>
        <v>Yes</v>
      </c>
      <c r="S176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60" t="str">
        <f>"Q"&amp;ROUNDUP(MONTH(Transactions_RAW_cleaned[[#This Row],[TransactionDate]])/3,0)</f>
        <v>Q1</v>
      </c>
      <c r="U1760" t="str">
        <f>Transactions_RAW_cleaned[[#This Row],[Region ]]&amp;Transactions_RAW_cleaned[[#This Row],[Quarter ]]</f>
        <v>APACQ1</v>
      </c>
      <c r="V1760" s="5">
        <f>_xlfn.XLOOKUP(Transactions_RAW_cleaned[[#This Row],[RegionQuarterKey]], Quarterly_Targets_cleaned[RegionQuarterKey], Quarterly_Targets_cleaned[TargetRevenue])</f>
        <v>104500</v>
      </c>
    </row>
    <row r="1761" spans="1:22" x14ac:dyDescent="0.25">
      <c r="A1761" t="s">
        <v>2096</v>
      </c>
      <c r="B1761" s="1">
        <v>45331</v>
      </c>
      <c r="C1761" t="s">
        <v>209</v>
      </c>
      <c r="D1761" t="s">
        <v>294</v>
      </c>
      <c r="E1761">
        <v>569.85</v>
      </c>
      <c r="F1761" t="s">
        <v>324</v>
      </c>
      <c r="G1761" t="s">
        <v>327</v>
      </c>
      <c r="H1761" t="s">
        <v>346</v>
      </c>
      <c r="I1761" t="s">
        <v>17</v>
      </c>
      <c r="J1761" t="s">
        <v>102</v>
      </c>
      <c r="K1761" t="s">
        <v>22</v>
      </c>
      <c r="L1761" t="s">
        <v>295</v>
      </c>
      <c r="M1761" t="s">
        <v>296</v>
      </c>
      <c r="N1761">
        <v>2.9000000000000001E-2</v>
      </c>
      <c r="O1761" t="str">
        <f>IF(Transactions_RAW_cleaned[[#This Row],[Status]]="Completed", IFERROR(_xlfn.XLOOKUP(Transactions_RAW_cleaned[[#This Row],[CustomerID]], Customers_cleaned[CustomerID], Customers_cleaned[Segment]), "Customer Not Found"), "N/A")</f>
        <v>Enterprise</v>
      </c>
      <c r="P1761" s="5" t="str">
        <f>IF(Transactions_RAW_cleaned[[#This Row],[Status]]="Refunded", "Refund",
  IF(Transactions_RAW_cleaned[[#This Row],[Category]]="Payments", IF(Transactions_RAW_cleaned[[#This Row],[Amount]]&gt;500,"High Value","Standard"),
    IF(Transactions_RAW_cleaned[[#This Row],[Amount]]&gt;250,"High Value","Standard")))</f>
        <v>High Value</v>
      </c>
      <c r="Q1761" s="5" t="str">
        <f>IF(Transactions_RAW_cleaned[[#This Row],[Amount]] &gt; (_xlfn.XLOOKUP(Transactions_RAW_cleaned[[#This Row],[ServiceID]],Services_cleaned[ServiceID],Services_cleaned[TransactionFeePct]) * 10000), "Yes", "No")</f>
        <v>Yes</v>
      </c>
      <c r="R1761" s="5" t="str">
        <f>IF(COUNTIFS($C$2:Transactions_RAW_cleaned[[#This Row],[CustomerID]],Transactions_RAW_cleaned[[#This Row],[CustomerID]],$D$2:Transactions_RAW_cleaned[[#This Row],[ServiceID]],Transactions_RAW_cleaned[[#This Row],[ServiceID]])=1,"Yes","No")</f>
        <v>No</v>
      </c>
      <c r="S176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61" t="str">
        <f>"Q"&amp;ROUNDUP(MONTH(Transactions_RAW_cleaned[[#This Row],[TransactionDate]])/3,0)</f>
        <v>Q1</v>
      </c>
      <c r="U1761" t="str">
        <f>Transactions_RAW_cleaned[[#This Row],[Region ]]&amp;Transactions_RAW_cleaned[[#This Row],[Quarter ]]</f>
        <v>NAQ1</v>
      </c>
      <c r="V1761" s="5">
        <f>_xlfn.XLOOKUP(Transactions_RAW_cleaned[[#This Row],[RegionQuarterKey]], Quarterly_Targets_cleaned[RegionQuarterKey], Quarterly_Targets_cleaned[TargetRevenue])</f>
        <v>247000</v>
      </c>
    </row>
    <row r="1762" spans="1:22" x14ac:dyDescent="0.25">
      <c r="A1762" t="s">
        <v>2097</v>
      </c>
      <c r="B1762" s="1">
        <v>45347</v>
      </c>
      <c r="C1762" t="s">
        <v>125</v>
      </c>
      <c r="D1762" t="s">
        <v>306</v>
      </c>
      <c r="E1762">
        <v>506.02</v>
      </c>
      <c r="F1762" t="s">
        <v>324</v>
      </c>
      <c r="G1762" t="s">
        <v>327</v>
      </c>
      <c r="I1762" t="s">
        <v>8</v>
      </c>
      <c r="J1762" t="s">
        <v>13</v>
      </c>
      <c r="K1762" t="s">
        <v>28</v>
      </c>
      <c r="L1762" t="s">
        <v>307</v>
      </c>
      <c r="M1762" t="s">
        <v>308</v>
      </c>
      <c r="N1762">
        <v>0</v>
      </c>
      <c r="O1762" t="str">
        <f>IF(Transactions_RAW_cleaned[[#This Row],[Status]]="Completed", IFERROR(_xlfn.XLOOKUP(Transactions_RAW_cleaned[[#This Row],[CustomerID]], Customers_cleaned[CustomerID], Customers_cleaned[Segment]), "Customer Not Found"), "N/A")</f>
        <v>SMB</v>
      </c>
      <c r="P1762" s="5" t="str">
        <f>IF(Transactions_RAW_cleaned[[#This Row],[Status]]="Refunded", "Refund",
  IF(Transactions_RAW_cleaned[[#This Row],[Category]]="Payments", IF(Transactions_RAW_cleaned[[#This Row],[Amount]]&gt;500,"High Value","Standard"),
    IF(Transactions_RAW_cleaned[[#This Row],[Amount]]&gt;250,"High Value","Standard")))</f>
        <v>High Value</v>
      </c>
      <c r="Q1762" s="5" t="str">
        <f>IF(Transactions_RAW_cleaned[[#This Row],[Amount]] &gt; (_xlfn.XLOOKUP(Transactions_RAW_cleaned[[#This Row],[ServiceID]],Services_cleaned[ServiceID],Services_cleaned[TransactionFeePct]) * 10000), "Yes", "No")</f>
        <v>Yes</v>
      </c>
      <c r="R1762" s="5" t="str">
        <f>IF(COUNTIFS($C$2:Transactions_RAW_cleaned[[#This Row],[CustomerID]],Transactions_RAW_cleaned[[#This Row],[CustomerID]],$D$2:Transactions_RAW_cleaned[[#This Row],[ServiceID]],Transactions_RAW_cleaned[[#This Row],[ServiceID]])=1,"Yes","No")</f>
        <v>No</v>
      </c>
      <c r="S176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62" t="str">
        <f>"Q"&amp;ROUNDUP(MONTH(Transactions_RAW_cleaned[[#This Row],[TransactionDate]])/3,0)</f>
        <v>Q1</v>
      </c>
      <c r="U1762" t="str">
        <f>Transactions_RAW_cleaned[[#This Row],[Region ]]&amp;Transactions_RAW_cleaned[[#This Row],[Quarter ]]</f>
        <v>NAQ1</v>
      </c>
      <c r="V1762" s="5">
        <f>_xlfn.XLOOKUP(Transactions_RAW_cleaned[[#This Row],[RegionQuarterKey]], Quarterly_Targets_cleaned[RegionQuarterKey], Quarterly_Targets_cleaned[TargetRevenue])</f>
        <v>247000</v>
      </c>
    </row>
    <row r="1763" spans="1:22" x14ac:dyDescent="0.25">
      <c r="A1763" t="s">
        <v>2098</v>
      </c>
      <c r="B1763" s="1">
        <v>45560</v>
      </c>
      <c r="C1763" t="s">
        <v>251</v>
      </c>
      <c r="D1763" t="s">
        <v>300</v>
      </c>
      <c r="E1763">
        <v>264.66000000000003</v>
      </c>
      <c r="F1763" t="s">
        <v>324</v>
      </c>
      <c r="G1763" t="s">
        <v>325</v>
      </c>
      <c r="I1763" t="s">
        <v>17</v>
      </c>
      <c r="J1763" t="s">
        <v>46</v>
      </c>
      <c r="K1763" t="s">
        <v>14</v>
      </c>
      <c r="L1763" t="s">
        <v>301</v>
      </c>
      <c r="M1763" t="s">
        <v>302</v>
      </c>
      <c r="N1763">
        <v>5.0000000000000001E-3</v>
      </c>
      <c r="O1763" t="str">
        <f>IF(Transactions_RAW_cleaned[[#This Row],[Status]]="Completed", IFERROR(_xlfn.XLOOKUP(Transactions_RAW_cleaned[[#This Row],[CustomerID]], Customers_cleaned[CustomerID], Customers_cleaned[Segment]), "Customer Not Found"), "N/A")</f>
        <v>Enterprise</v>
      </c>
      <c r="P1763" s="5" t="str">
        <f>IF(Transactions_RAW_cleaned[[#This Row],[Status]]="Refunded", "Refund",
  IF(Transactions_RAW_cleaned[[#This Row],[Category]]="Payments", IF(Transactions_RAW_cleaned[[#This Row],[Amount]]&gt;500,"High Value","Standard"),
    IF(Transactions_RAW_cleaned[[#This Row],[Amount]]&gt;250,"High Value","Standard")))</f>
        <v>High Value</v>
      </c>
      <c r="Q1763" s="5" t="str">
        <f>IF(Transactions_RAW_cleaned[[#This Row],[Amount]] &gt; (_xlfn.XLOOKUP(Transactions_RAW_cleaned[[#This Row],[ServiceID]],Services_cleaned[ServiceID],Services_cleaned[TransactionFeePct]) * 10000), "Yes", "No")</f>
        <v>Yes</v>
      </c>
      <c r="R1763" s="5" t="str">
        <f>IF(COUNTIFS($C$2:Transactions_RAW_cleaned[[#This Row],[CustomerID]],Transactions_RAW_cleaned[[#This Row],[CustomerID]],$D$2:Transactions_RAW_cleaned[[#This Row],[ServiceID]],Transactions_RAW_cleaned[[#This Row],[ServiceID]])=1,"Yes","No")</f>
        <v>No</v>
      </c>
      <c r="S176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63" t="str">
        <f>"Q"&amp;ROUNDUP(MONTH(Transactions_RAW_cleaned[[#This Row],[TransactionDate]])/3,0)</f>
        <v>Q3</v>
      </c>
      <c r="U1763" t="str">
        <f>Transactions_RAW_cleaned[[#This Row],[Region ]]&amp;Transactions_RAW_cleaned[[#This Row],[Quarter ]]</f>
        <v>APACQ3</v>
      </c>
      <c r="V1763" s="5">
        <f>_xlfn.XLOOKUP(Transactions_RAW_cleaned[[#This Row],[RegionQuarterKey]], Quarterly_Targets_cleaned[RegionQuarterKey], Quarterly_Targets_cleaned[TargetRevenue])</f>
        <v>115500</v>
      </c>
    </row>
    <row r="1764" spans="1:22" x14ac:dyDescent="0.25">
      <c r="A1764" t="s">
        <v>2099</v>
      </c>
      <c r="B1764" s="1">
        <v>45623</v>
      </c>
      <c r="C1764" t="s">
        <v>153</v>
      </c>
      <c r="D1764" t="s">
        <v>294</v>
      </c>
      <c r="E1764">
        <v>747.89</v>
      </c>
      <c r="F1764" t="s">
        <v>324</v>
      </c>
      <c r="G1764" t="s">
        <v>327</v>
      </c>
      <c r="H1764" t="s">
        <v>332</v>
      </c>
      <c r="I1764" t="s">
        <v>8</v>
      </c>
      <c r="J1764" t="s">
        <v>37</v>
      </c>
      <c r="K1764" t="s">
        <v>32</v>
      </c>
      <c r="L1764" t="s">
        <v>295</v>
      </c>
      <c r="M1764" t="s">
        <v>296</v>
      </c>
      <c r="N1764">
        <v>2.9000000000000001E-2</v>
      </c>
      <c r="O1764" t="str">
        <f>IF(Transactions_RAW_cleaned[[#This Row],[Status]]="Completed", IFERROR(_xlfn.XLOOKUP(Transactions_RAW_cleaned[[#This Row],[CustomerID]], Customers_cleaned[CustomerID], Customers_cleaned[Segment]), "Customer Not Found"), "N/A")</f>
        <v>SMB</v>
      </c>
      <c r="P1764" s="5" t="str">
        <f>IF(Transactions_RAW_cleaned[[#This Row],[Status]]="Refunded", "Refund",
  IF(Transactions_RAW_cleaned[[#This Row],[Category]]="Payments", IF(Transactions_RAW_cleaned[[#This Row],[Amount]]&gt;500,"High Value","Standard"),
    IF(Transactions_RAW_cleaned[[#This Row],[Amount]]&gt;250,"High Value","Standard")))</f>
        <v>High Value</v>
      </c>
      <c r="Q1764" s="5" t="str">
        <f>IF(Transactions_RAW_cleaned[[#This Row],[Amount]] &gt; (_xlfn.XLOOKUP(Transactions_RAW_cleaned[[#This Row],[ServiceID]],Services_cleaned[ServiceID],Services_cleaned[TransactionFeePct]) * 10000), "Yes", "No")</f>
        <v>Yes</v>
      </c>
      <c r="R1764" s="5" t="str">
        <f>IF(COUNTIFS($C$2:Transactions_RAW_cleaned[[#This Row],[CustomerID]],Transactions_RAW_cleaned[[#This Row],[CustomerID]],$D$2:Transactions_RAW_cleaned[[#This Row],[ServiceID]],Transactions_RAW_cleaned[[#This Row],[ServiceID]])=1,"Yes","No")</f>
        <v>No</v>
      </c>
      <c r="S176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764" t="str">
        <f>"Q"&amp;ROUNDUP(MONTH(Transactions_RAW_cleaned[[#This Row],[TransactionDate]])/3,0)</f>
        <v>Q4</v>
      </c>
      <c r="U1764" t="str">
        <f>Transactions_RAW_cleaned[[#This Row],[Region ]]&amp;Transactions_RAW_cleaned[[#This Row],[Quarter ]]</f>
        <v>EMEAQ4</v>
      </c>
      <c r="V1764" s="5">
        <f>_xlfn.XLOOKUP(Transactions_RAW_cleaned[[#This Row],[RegionQuarterKey]], Quarterly_Targets_cleaned[RegionQuarterKey], Quarterly_Targets_cleaned[TargetRevenue])</f>
        <v>161000</v>
      </c>
    </row>
    <row r="1765" spans="1:22" x14ac:dyDescent="0.25">
      <c r="A1765" t="s">
        <v>2100</v>
      </c>
      <c r="B1765" s="1">
        <v>45496</v>
      </c>
      <c r="C1765" t="s">
        <v>641</v>
      </c>
      <c r="D1765" t="s">
        <v>294</v>
      </c>
      <c r="E1765">
        <v>343.46</v>
      </c>
      <c r="F1765" t="s">
        <v>324</v>
      </c>
      <c r="G1765" t="s">
        <v>327</v>
      </c>
      <c r="I1765" t="s">
        <v>8</v>
      </c>
      <c r="J1765" t="s">
        <v>13</v>
      </c>
      <c r="K1765" t="s">
        <v>22</v>
      </c>
      <c r="L1765" t="s">
        <v>295</v>
      </c>
      <c r="M1765" t="s">
        <v>296</v>
      </c>
      <c r="N1765">
        <v>2.9000000000000001E-2</v>
      </c>
      <c r="O1765" t="str">
        <f>IF(Transactions_RAW_cleaned[[#This Row],[Status]]="Completed", IFERROR(_xlfn.XLOOKUP(Transactions_RAW_cleaned[[#This Row],[CustomerID]], Customers_cleaned[CustomerID], Customers_cleaned[Segment]), "Customer Not Found"), "N/A")</f>
        <v>SMB</v>
      </c>
      <c r="P1765" s="5" t="str">
        <f>IF(Transactions_RAW_cleaned[[#This Row],[Status]]="Refunded", "Refund",
  IF(Transactions_RAW_cleaned[[#This Row],[Category]]="Payments", IF(Transactions_RAW_cleaned[[#This Row],[Amount]]&gt;500,"High Value","Standard"),
    IF(Transactions_RAW_cleaned[[#This Row],[Amount]]&gt;250,"High Value","Standard")))</f>
        <v>Standard</v>
      </c>
      <c r="Q1765" s="5" t="str">
        <f>IF(Transactions_RAW_cleaned[[#This Row],[Amount]] &gt; (_xlfn.XLOOKUP(Transactions_RAW_cleaned[[#This Row],[ServiceID]],Services_cleaned[ServiceID],Services_cleaned[TransactionFeePct]) * 10000), "Yes", "No")</f>
        <v>Yes</v>
      </c>
      <c r="R1765" s="5" t="str">
        <f>IF(COUNTIFS($C$2:Transactions_RAW_cleaned[[#This Row],[CustomerID]],Transactions_RAW_cleaned[[#This Row],[CustomerID]],$D$2:Transactions_RAW_cleaned[[#This Row],[ServiceID]],Transactions_RAW_cleaned[[#This Row],[ServiceID]])=1,"Yes","No")</f>
        <v>No</v>
      </c>
      <c r="S176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65" t="str">
        <f>"Q"&amp;ROUNDUP(MONTH(Transactions_RAW_cleaned[[#This Row],[TransactionDate]])/3,0)</f>
        <v>Q3</v>
      </c>
      <c r="U1765" t="str">
        <f>Transactions_RAW_cleaned[[#This Row],[Region ]]&amp;Transactions_RAW_cleaned[[#This Row],[Quarter ]]</f>
        <v>NAQ3</v>
      </c>
      <c r="V1765" s="5">
        <f>_xlfn.XLOOKUP(Transactions_RAW_cleaned[[#This Row],[RegionQuarterKey]], Quarterly_Targets_cleaned[RegionQuarterKey], Quarterly_Targets_cleaned[TargetRevenue])</f>
        <v>273000</v>
      </c>
    </row>
    <row r="1766" spans="1:22" x14ac:dyDescent="0.25">
      <c r="A1766" t="s">
        <v>2101</v>
      </c>
      <c r="B1766" s="1">
        <v>45657</v>
      </c>
      <c r="C1766" t="s">
        <v>221</v>
      </c>
      <c r="D1766" t="s">
        <v>306</v>
      </c>
      <c r="E1766">
        <v>178.19</v>
      </c>
      <c r="F1766" t="s">
        <v>324</v>
      </c>
      <c r="G1766" t="s">
        <v>327</v>
      </c>
      <c r="I1766" t="s">
        <v>8</v>
      </c>
      <c r="J1766" t="s">
        <v>102</v>
      </c>
      <c r="K1766" t="s">
        <v>14</v>
      </c>
      <c r="L1766" t="s">
        <v>307</v>
      </c>
      <c r="M1766" t="s">
        <v>308</v>
      </c>
      <c r="N1766">
        <v>0</v>
      </c>
      <c r="O1766" t="str">
        <f>IF(Transactions_RAW_cleaned[[#This Row],[Status]]="Completed", IFERROR(_xlfn.XLOOKUP(Transactions_RAW_cleaned[[#This Row],[CustomerID]], Customers_cleaned[CustomerID], Customers_cleaned[Segment]), "Customer Not Found"), "N/A")</f>
        <v>SMB</v>
      </c>
      <c r="P1766" s="5" t="str">
        <f>IF(Transactions_RAW_cleaned[[#This Row],[Status]]="Refunded", "Refund",
  IF(Transactions_RAW_cleaned[[#This Row],[Category]]="Payments", IF(Transactions_RAW_cleaned[[#This Row],[Amount]]&gt;500,"High Value","Standard"),
    IF(Transactions_RAW_cleaned[[#This Row],[Amount]]&gt;250,"High Value","Standard")))</f>
        <v>Standard</v>
      </c>
      <c r="Q1766" s="5" t="str">
        <f>IF(Transactions_RAW_cleaned[[#This Row],[Amount]] &gt; (_xlfn.XLOOKUP(Transactions_RAW_cleaned[[#This Row],[ServiceID]],Services_cleaned[ServiceID],Services_cleaned[TransactionFeePct]) * 10000), "Yes", "No")</f>
        <v>Yes</v>
      </c>
      <c r="R1766" s="5" t="str">
        <f>IF(COUNTIFS($C$2:Transactions_RAW_cleaned[[#This Row],[CustomerID]],Transactions_RAW_cleaned[[#This Row],[CustomerID]],$D$2:Transactions_RAW_cleaned[[#This Row],[ServiceID]],Transactions_RAW_cleaned[[#This Row],[ServiceID]])=1,"Yes","No")</f>
        <v>No</v>
      </c>
      <c r="S176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66" t="str">
        <f>"Q"&amp;ROUNDUP(MONTH(Transactions_RAW_cleaned[[#This Row],[TransactionDate]])/3,0)</f>
        <v>Q4</v>
      </c>
      <c r="U1766" t="str">
        <f>Transactions_RAW_cleaned[[#This Row],[Region ]]&amp;Transactions_RAW_cleaned[[#This Row],[Quarter ]]</f>
        <v>NAQ4</v>
      </c>
      <c r="V1766" s="5">
        <f>_xlfn.XLOOKUP(Transactions_RAW_cleaned[[#This Row],[RegionQuarterKey]], Quarterly_Targets_cleaned[RegionQuarterKey], Quarterly_Targets_cleaned[TargetRevenue])</f>
        <v>299000</v>
      </c>
    </row>
    <row r="1767" spans="1:22" x14ac:dyDescent="0.25">
      <c r="A1767" t="s">
        <v>2102</v>
      </c>
      <c r="B1767" s="1">
        <v>45459</v>
      </c>
      <c r="C1767" t="s">
        <v>72</v>
      </c>
      <c r="D1767" t="s">
        <v>309</v>
      </c>
      <c r="E1767">
        <v>1290.8499999999999</v>
      </c>
      <c r="F1767" t="s">
        <v>324</v>
      </c>
      <c r="G1767" t="s">
        <v>327</v>
      </c>
      <c r="I1767" t="s">
        <v>57</v>
      </c>
      <c r="J1767" t="s">
        <v>46</v>
      </c>
      <c r="K1767" t="s">
        <v>32</v>
      </c>
      <c r="L1767" t="s">
        <v>310</v>
      </c>
      <c r="M1767" t="s">
        <v>311</v>
      </c>
      <c r="N1767">
        <v>0</v>
      </c>
      <c r="O1767" t="str">
        <f>IF(Transactions_RAW_cleaned[[#This Row],[Status]]="Completed", IFERROR(_xlfn.XLOOKUP(Transactions_RAW_cleaned[[#This Row],[CustomerID]], Customers_cleaned[CustomerID], Customers_cleaned[Segment]), "Customer Not Found"), "N/A")</f>
        <v>Startup</v>
      </c>
      <c r="P1767" s="5" t="str">
        <f>IF(Transactions_RAW_cleaned[[#This Row],[Status]]="Refunded", "Refund",
  IF(Transactions_RAW_cleaned[[#This Row],[Category]]="Payments", IF(Transactions_RAW_cleaned[[#This Row],[Amount]]&gt;500,"High Value","Standard"),
    IF(Transactions_RAW_cleaned[[#This Row],[Amount]]&gt;250,"High Value","Standard")))</f>
        <v>High Value</v>
      </c>
      <c r="Q1767" s="5" t="str">
        <f>IF(Transactions_RAW_cleaned[[#This Row],[Amount]] &gt; (_xlfn.XLOOKUP(Transactions_RAW_cleaned[[#This Row],[ServiceID]],Services_cleaned[ServiceID],Services_cleaned[TransactionFeePct]) * 10000), "Yes", "No")</f>
        <v>Yes</v>
      </c>
      <c r="R1767" s="5" t="str">
        <f>IF(COUNTIFS($C$2:Transactions_RAW_cleaned[[#This Row],[CustomerID]],Transactions_RAW_cleaned[[#This Row],[CustomerID]],$D$2:Transactions_RAW_cleaned[[#This Row],[ServiceID]],Transactions_RAW_cleaned[[#This Row],[ServiceID]])=1,"Yes","No")</f>
        <v>Yes</v>
      </c>
      <c r="S176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67" t="str">
        <f>"Q"&amp;ROUNDUP(MONTH(Transactions_RAW_cleaned[[#This Row],[TransactionDate]])/3,0)</f>
        <v>Q2</v>
      </c>
      <c r="U1767" t="str">
        <f>Transactions_RAW_cleaned[[#This Row],[Region ]]&amp;Transactions_RAW_cleaned[[#This Row],[Quarter ]]</f>
        <v>APACQ2</v>
      </c>
      <c r="V1767" s="5">
        <f>_xlfn.XLOOKUP(Transactions_RAW_cleaned[[#This Row],[RegionQuarterKey]], Quarterly_Targets_cleaned[RegionQuarterKey], Quarterly_Targets_cleaned[TargetRevenue])</f>
        <v>110000</v>
      </c>
    </row>
    <row r="1768" spans="1:22" x14ac:dyDescent="0.25">
      <c r="A1768" t="s">
        <v>2103</v>
      </c>
      <c r="B1768" s="1">
        <v>45334</v>
      </c>
      <c r="C1768" t="s">
        <v>175</v>
      </c>
      <c r="D1768" t="s">
        <v>297</v>
      </c>
      <c r="E1768">
        <v>401.72</v>
      </c>
      <c r="F1768" t="s">
        <v>324</v>
      </c>
      <c r="G1768" t="s">
        <v>329</v>
      </c>
      <c r="H1768" t="s">
        <v>334</v>
      </c>
      <c r="I1768" t="s">
        <v>8</v>
      </c>
      <c r="J1768" t="s">
        <v>31</v>
      </c>
      <c r="K1768" t="s">
        <v>32</v>
      </c>
      <c r="L1768" t="s">
        <v>298</v>
      </c>
      <c r="M1768" t="s">
        <v>299</v>
      </c>
      <c r="N1768">
        <v>0</v>
      </c>
      <c r="O1768" t="str">
        <f>IF(Transactions_RAW_cleaned[[#This Row],[Status]]="Completed", IFERROR(_xlfn.XLOOKUP(Transactions_RAW_cleaned[[#This Row],[CustomerID]], Customers_cleaned[CustomerID], Customers_cleaned[Segment]), "Customer Not Found"), "N/A")</f>
        <v>SMB</v>
      </c>
      <c r="P1768" s="5" t="str">
        <f>IF(Transactions_RAW_cleaned[[#This Row],[Status]]="Refunded", "Refund",
  IF(Transactions_RAW_cleaned[[#This Row],[Category]]="Payments", IF(Transactions_RAW_cleaned[[#This Row],[Amount]]&gt;500,"High Value","Standard"),
    IF(Transactions_RAW_cleaned[[#This Row],[Amount]]&gt;250,"High Value","Standard")))</f>
        <v>High Value</v>
      </c>
      <c r="Q1768" s="5" t="str">
        <f>IF(Transactions_RAW_cleaned[[#This Row],[Amount]] &gt; (_xlfn.XLOOKUP(Transactions_RAW_cleaned[[#This Row],[ServiceID]],Services_cleaned[ServiceID],Services_cleaned[TransactionFeePct]) * 10000), "Yes", "No")</f>
        <v>Yes</v>
      </c>
      <c r="R1768" s="5" t="str">
        <f>IF(COUNTIFS($C$2:Transactions_RAW_cleaned[[#This Row],[CustomerID]],Transactions_RAW_cleaned[[#This Row],[CustomerID]],$D$2:Transactions_RAW_cleaned[[#This Row],[ServiceID]],Transactions_RAW_cleaned[[#This Row],[ServiceID]])=1,"Yes","No")</f>
        <v>No</v>
      </c>
      <c r="S176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768" t="str">
        <f>"Q"&amp;ROUNDUP(MONTH(Transactions_RAW_cleaned[[#This Row],[TransactionDate]])/3,0)</f>
        <v>Q1</v>
      </c>
      <c r="U1768" t="str">
        <f>Transactions_RAW_cleaned[[#This Row],[Region ]]&amp;Transactions_RAW_cleaned[[#This Row],[Quarter ]]</f>
        <v>EMEAQ1</v>
      </c>
      <c r="V1768" s="5">
        <f>_xlfn.XLOOKUP(Transactions_RAW_cleaned[[#This Row],[RegionQuarterKey]], Quarterly_Targets_cleaned[RegionQuarterKey], Quarterly_Targets_cleaned[TargetRevenue])</f>
        <v>133000</v>
      </c>
    </row>
    <row r="1769" spans="1:22" x14ac:dyDescent="0.25">
      <c r="A1769" t="s">
        <v>2104</v>
      </c>
      <c r="B1769" s="1">
        <v>45645</v>
      </c>
      <c r="C1769" t="s">
        <v>269</v>
      </c>
      <c r="D1769" t="s">
        <v>294</v>
      </c>
      <c r="E1769">
        <v>-823.62</v>
      </c>
      <c r="F1769" t="s">
        <v>349</v>
      </c>
      <c r="G1769" t="s">
        <v>327</v>
      </c>
      <c r="H1769" t="s">
        <v>334</v>
      </c>
      <c r="I1769" t="s">
        <v>17</v>
      </c>
      <c r="J1769" t="s">
        <v>31</v>
      </c>
      <c r="K1769" t="s">
        <v>32</v>
      </c>
      <c r="L1769" t="s">
        <v>295</v>
      </c>
      <c r="M1769" t="s">
        <v>296</v>
      </c>
      <c r="N1769">
        <v>2.9000000000000001E-2</v>
      </c>
      <c r="O1769" t="str">
        <f>IF(Transactions_RAW_cleaned[[#This Row],[Status]]="Completed", IFERROR(_xlfn.XLOOKUP(Transactions_RAW_cleaned[[#This Row],[CustomerID]], Customers_cleaned[CustomerID], Customers_cleaned[Segment]), "Customer Not Found"), "N/A")</f>
        <v>N/A</v>
      </c>
      <c r="P1769" s="5" t="str">
        <f>IF(Transactions_RAW_cleaned[[#This Row],[Status]]="Refunded", "Refund",
  IF(Transactions_RAW_cleaned[[#This Row],[Category]]="Payments", IF(Transactions_RAW_cleaned[[#This Row],[Amount]]&gt;500,"High Value","Standard"),
    IF(Transactions_RAW_cleaned[[#This Row],[Amount]]&gt;250,"High Value","Standard")))</f>
        <v>Refund</v>
      </c>
      <c r="Q1769" s="5" t="str">
        <f>IF(Transactions_RAW_cleaned[[#This Row],[Amount]] &gt; (_xlfn.XLOOKUP(Transactions_RAW_cleaned[[#This Row],[ServiceID]],Services_cleaned[ServiceID],Services_cleaned[TransactionFeePct]) * 10000), "Yes", "No")</f>
        <v>No</v>
      </c>
      <c r="R1769" s="5" t="str">
        <f>IF(COUNTIFS($C$2:Transactions_RAW_cleaned[[#This Row],[CustomerID]],Transactions_RAW_cleaned[[#This Row],[CustomerID]],$D$2:Transactions_RAW_cleaned[[#This Row],[ServiceID]],Transactions_RAW_cleaned[[#This Row],[ServiceID]])=1,"Yes","No")</f>
        <v>No</v>
      </c>
      <c r="S176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769" t="str">
        <f>"Q"&amp;ROUNDUP(MONTH(Transactions_RAW_cleaned[[#This Row],[TransactionDate]])/3,0)</f>
        <v>Q4</v>
      </c>
      <c r="U1769" t="str">
        <f>Transactions_RAW_cleaned[[#This Row],[Region ]]&amp;Transactions_RAW_cleaned[[#This Row],[Quarter ]]</f>
        <v>EMEAQ4</v>
      </c>
      <c r="V1769" s="5">
        <f>_xlfn.XLOOKUP(Transactions_RAW_cleaned[[#This Row],[RegionQuarterKey]], Quarterly_Targets_cleaned[RegionQuarterKey], Quarterly_Targets_cleaned[TargetRevenue])</f>
        <v>161000</v>
      </c>
    </row>
    <row r="1770" spans="1:22" x14ac:dyDescent="0.25">
      <c r="A1770" t="s">
        <v>2105</v>
      </c>
      <c r="B1770" s="1">
        <v>45472</v>
      </c>
      <c r="C1770" t="s">
        <v>107</v>
      </c>
      <c r="D1770" t="s">
        <v>294</v>
      </c>
      <c r="E1770">
        <v>159.56</v>
      </c>
      <c r="F1770" t="s">
        <v>324</v>
      </c>
      <c r="G1770" t="s">
        <v>327</v>
      </c>
      <c r="H1770" t="s">
        <v>346</v>
      </c>
      <c r="I1770" t="s">
        <v>17</v>
      </c>
      <c r="J1770" t="s">
        <v>102</v>
      </c>
      <c r="K1770" t="s">
        <v>22</v>
      </c>
      <c r="L1770" t="s">
        <v>295</v>
      </c>
      <c r="M1770" t="s">
        <v>296</v>
      </c>
      <c r="N1770">
        <v>2.9000000000000001E-2</v>
      </c>
      <c r="O1770" t="str">
        <f>IF(Transactions_RAW_cleaned[[#This Row],[Status]]="Completed", IFERROR(_xlfn.XLOOKUP(Transactions_RAW_cleaned[[#This Row],[CustomerID]], Customers_cleaned[CustomerID], Customers_cleaned[Segment]), "Customer Not Found"), "N/A")</f>
        <v>Enterprise</v>
      </c>
      <c r="P1770" s="5" t="str">
        <f>IF(Transactions_RAW_cleaned[[#This Row],[Status]]="Refunded", "Refund",
  IF(Transactions_RAW_cleaned[[#This Row],[Category]]="Payments", IF(Transactions_RAW_cleaned[[#This Row],[Amount]]&gt;500,"High Value","Standard"),
    IF(Transactions_RAW_cleaned[[#This Row],[Amount]]&gt;250,"High Value","Standard")))</f>
        <v>Standard</v>
      </c>
      <c r="Q1770" s="5" t="str">
        <f>IF(Transactions_RAW_cleaned[[#This Row],[Amount]] &gt; (_xlfn.XLOOKUP(Transactions_RAW_cleaned[[#This Row],[ServiceID]],Services_cleaned[ServiceID],Services_cleaned[TransactionFeePct]) * 10000), "Yes", "No")</f>
        <v>No</v>
      </c>
      <c r="R1770" s="5" t="str">
        <f>IF(COUNTIFS($C$2:Transactions_RAW_cleaned[[#This Row],[CustomerID]],Transactions_RAW_cleaned[[#This Row],[CustomerID]],$D$2:Transactions_RAW_cleaned[[#This Row],[ServiceID]],Transactions_RAW_cleaned[[#This Row],[ServiceID]])=1,"Yes","No")</f>
        <v>No</v>
      </c>
      <c r="S177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70" t="str">
        <f>"Q"&amp;ROUNDUP(MONTH(Transactions_RAW_cleaned[[#This Row],[TransactionDate]])/3,0)</f>
        <v>Q2</v>
      </c>
      <c r="U1770" t="str">
        <f>Transactions_RAW_cleaned[[#This Row],[Region ]]&amp;Transactions_RAW_cleaned[[#This Row],[Quarter ]]</f>
        <v>NAQ2</v>
      </c>
      <c r="V1770" s="5">
        <f>_xlfn.XLOOKUP(Transactions_RAW_cleaned[[#This Row],[RegionQuarterKey]], Quarterly_Targets_cleaned[RegionQuarterKey], Quarterly_Targets_cleaned[TargetRevenue])</f>
        <v>260000</v>
      </c>
    </row>
    <row r="1771" spans="1:22" x14ac:dyDescent="0.25">
      <c r="A1771" t="s">
        <v>2106</v>
      </c>
      <c r="B1771" s="1">
        <v>45609</v>
      </c>
      <c r="C1771" t="s">
        <v>237</v>
      </c>
      <c r="D1771" t="s">
        <v>309</v>
      </c>
      <c r="E1771">
        <v>333.02</v>
      </c>
      <c r="F1771" t="s">
        <v>324</v>
      </c>
      <c r="G1771" t="s">
        <v>327</v>
      </c>
      <c r="I1771" t="s">
        <v>8</v>
      </c>
      <c r="J1771" t="s">
        <v>46</v>
      </c>
      <c r="K1771" t="s">
        <v>10</v>
      </c>
      <c r="L1771" t="s">
        <v>310</v>
      </c>
      <c r="M1771" t="s">
        <v>311</v>
      </c>
      <c r="N1771">
        <v>0</v>
      </c>
      <c r="O1771" t="str">
        <f>IF(Transactions_RAW_cleaned[[#This Row],[Status]]="Completed", IFERROR(_xlfn.XLOOKUP(Transactions_RAW_cleaned[[#This Row],[CustomerID]], Customers_cleaned[CustomerID], Customers_cleaned[Segment]), "Customer Not Found"), "N/A")</f>
        <v>SMB</v>
      </c>
      <c r="P1771" s="5" t="str">
        <f>IF(Transactions_RAW_cleaned[[#This Row],[Status]]="Refunded", "Refund",
  IF(Transactions_RAW_cleaned[[#This Row],[Category]]="Payments", IF(Transactions_RAW_cleaned[[#This Row],[Amount]]&gt;500,"High Value","Standard"),
    IF(Transactions_RAW_cleaned[[#This Row],[Amount]]&gt;250,"High Value","Standard")))</f>
        <v>High Value</v>
      </c>
      <c r="Q1771" s="5" t="str">
        <f>IF(Transactions_RAW_cleaned[[#This Row],[Amount]] &gt; (_xlfn.XLOOKUP(Transactions_RAW_cleaned[[#This Row],[ServiceID]],Services_cleaned[ServiceID],Services_cleaned[TransactionFeePct]) * 10000), "Yes", "No")</f>
        <v>Yes</v>
      </c>
      <c r="R1771" s="5" t="str">
        <f>IF(COUNTIFS($C$2:Transactions_RAW_cleaned[[#This Row],[CustomerID]],Transactions_RAW_cleaned[[#This Row],[CustomerID]],$D$2:Transactions_RAW_cleaned[[#This Row],[ServiceID]],Transactions_RAW_cleaned[[#This Row],[ServiceID]])=1,"Yes","No")</f>
        <v>No</v>
      </c>
      <c r="S177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71" t="str">
        <f>"Q"&amp;ROUNDUP(MONTH(Transactions_RAW_cleaned[[#This Row],[TransactionDate]])/3,0)</f>
        <v>Q4</v>
      </c>
      <c r="U1771" t="str">
        <f>Transactions_RAW_cleaned[[#This Row],[Region ]]&amp;Transactions_RAW_cleaned[[#This Row],[Quarter ]]</f>
        <v>APACQ4</v>
      </c>
      <c r="V1771" s="5">
        <f>_xlfn.XLOOKUP(Transactions_RAW_cleaned[[#This Row],[RegionQuarterKey]], Quarterly_Targets_cleaned[RegionQuarterKey], Quarterly_Targets_cleaned[TargetRevenue])</f>
        <v>126500</v>
      </c>
    </row>
    <row r="1772" spans="1:22" x14ac:dyDescent="0.25">
      <c r="A1772" t="s">
        <v>2107</v>
      </c>
      <c r="B1772" s="1">
        <v>45638</v>
      </c>
      <c r="C1772" t="s">
        <v>203</v>
      </c>
      <c r="D1772" t="s">
        <v>303</v>
      </c>
      <c r="E1772">
        <v>364.06</v>
      </c>
      <c r="F1772" t="s">
        <v>324</v>
      </c>
      <c r="G1772" t="s">
        <v>325</v>
      </c>
      <c r="H1772" t="s">
        <v>332</v>
      </c>
      <c r="I1772" t="s">
        <v>57</v>
      </c>
      <c r="J1772" t="s">
        <v>21</v>
      </c>
      <c r="K1772" t="s">
        <v>14</v>
      </c>
      <c r="L1772" t="s">
        <v>304</v>
      </c>
      <c r="M1772" t="s">
        <v>305</v>
      </c>
      <c r="N1772">
        <v>1E-3</v>
      </c>
      <c r="O1772" t="str">
        <f>IF(Transactions_RAW_cleaned[[#This Row],[Status]]="Completed", IFERROR(_xlfn.XLOOKUP(Transactions_RAW_cleaned[[#This Row],[CustomerID]], Customers_cleaned[CustomerID], Customers_cleaned[Segment]), "Customer Not Found"), "N/A")</f>
        <v>Startup</v>
      </c>
      <c r="P1772" s="5" t="str">
        <f>IF(Transactions_RAW_cleaned[[#This Row],[Status]]="Refunded", "Refund",
  IF(Transactions_RAW_cleaned[[#This Row],[Category]]="Payments", IF(Transactions_RAW_cleaned[[#This Row],[Amount]]&gt;500,"High Value","Standard"),
    IF(Transactions_RAW_cleaned[[#This Row],[Amount]]&gt;250,"High Value","Standard")))</f>
        <v>High Value</v>
      </c>
      <c r="Q1772" s="5" t="str">
        <f>IF(Transactions_RAW_cleaned[[#This Row],[Amount]] &gt; (_xlfn.XLOOKUP(Transactions_RAW_cleaned[[#This Row],[ServiceID]],Services_cleaned[ServiceID],Services_cleaned[TransactionFeePct]) * 10000), "Yes", "No")</f>
        <v>Yes</v>
      </c>
      <c r="R1772" s="5" t="str">
        <f>IF(COUNTIFS($C$2:Transactions_RAW_cleaned[[#This Row],[CustomerID]],Transactions_RAW_cleaned[[#This Row],[CustomerID]],$D$2:Transactions_RAW_cleaned[[#This Row],[ServiceID]],Transactions_RAW_cleaned[[#This Row],[ServiceID]])=1,"Yes","No")</f>
        <v>No</v>
      </c>
      <c r="S177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72" t="str">
        <f>"Q"&amp;ROUNDUP(MONTH(Transactions_RAW_cleaned[[#This Row],[TransactionDate]])/3,0)</f>
        <v>Q4</v>
      </c>
      <c r="U1772" t="str">
        <f>Transactions_RAW_cleaned[[#This Row],[Region ]]&amp;Transactions_RAW_cleaned[[#This Row],[Quarter ]]</f>
        <v>APACQ4</v>
      </c>
      <c r="V1772" s="5">
        <f>_xlfn.XLOOKUP(Transactions_RAW_cleaned[[#This Row],[RegionQuarterKey]], Quarterly_Targets_cleaned[RegionQuarterKey], Quarterly_Targets_cleaned[TargetRevenue])</f>
        <v>126500</v>
      </c>
    </row>
    <row r="1773" spans="1:22" x14ac:dyDescent="0.25">
      <c r="A1773" t="s">
        <v>2108</v>
      </c>
      <c r="B1773" s="1">
        <v>45562</v>
      </c>
      <c r="C1773" t="s">
        <v>205</v>
      </c>
      <c r="D1773" t="s">
        <v>312</v>
      </c>
      <c r="E1773">
        <v>490.73</v>
      </c>
      <c r="F1773" t="s">
        <v>324</v>
      </c>
      <c r="G1773" t="s">
        <v>2963</v>
      </c>
      <c r="I1773" t="s">
        <v>8</v>
      </c>
      <c r="J1773" t="s">
        <v>21</v>
      </c>
      <c r="K1773" t="s">
        <v>14</v>
      </c>
      <c r="L1773" t="s">
        <v>313</v>
      </c>
      <c r="M1773" t="s">
        <v>314</v>
      </c>
      <c r="N1773">
        <v>0</v>
      </c>
      <c r="O1773" t="str">
        <f>IF(Transactions_RAW_cleaned[[#This Row],[Status]]="Completed", IFERROR(_xlfn.XLOOKUP(Transactions_RAW_cleaned[[#This Row],[CustomerID]], Customers_cleaned[CustomerID], Customers_cleaned[Segment]), "Customer Not Found"), "N/A")</f>
        <v>SMB</v>
      </c>
      <c r="P1773" s="5" t="str">
        <f>IF(Transactions_RAW_cleaned[[#This Row],[Status]]="Refunded", "Refund",
  IF(Transactions_RAW_cleaned[[#This Row],[Category]]="Payments", IF(Transactions_RAW_cleaned[[#This Row],[Amount]]&gt;500,"High Value","Standard"),
    IF(Transactions_RAW_cleaned[[#This Row],[Amount]]&gt;250,"High Value","Standard")))</f>
        <v>High Value</v>
      </c>
      <c r="Q1773" s="5" t="str">
        <f>IF(Transactions_RAW_cleaned[[#This Row],[Amount]] &gt; (_xlfn.XLOOKUP(Transactions_RAW_cleaned[[#This Row],[ServiceID]],Services_cleaned[ServiceID],Services_cleaned[TransactionFeePct]) * 10000), "Yes", "No")</f>
        <v>Yes</v>
      </c>
      <c r="R1773" s="5" t="str">
        <f>IF(COUNTIFS($C$2:Transactions_RAW_cleaned[[#This Row],[CustomerID]],Transactions_RAW_cleaned[[#This Row],[CustomerID]],$D$2:Transactions_RAW_cleaned[[#This Row],[ServiceID]],Transactions_RAW_cleaned[[#This Row],[ServiceID]])=1,"Yes","No")</f>
        <v>No</v>
      </c>
      <c r="S177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73" t="str">
        <f>"Q"&amp;ROUNDUP(MONTH(Transactions_RAW_cleaned[[#This Row],[TransactionDate]])/3,0)</f>
        <v>Q3</v>
      </c>
      <c r="U1773" t="str">
        <f>Transactions_RAW_cleaned[[#This Row],[Region ]]&amp;Transactions_RAW_cleaned[[#This Row],[Quarter ]]</f>
        <v>APACQ3</v>
      </c>
      <c r="V1773" s="5">
        <f>_xlfn.XLOOKUP(Transactions_RAW_cleaned[[#This Row],[RegionQuarterKey]], Quarterly_Targets_cleaned[RegionQuarterKey], Quarterly_Targets_cleaned[TargetRevenue])</f>
        <v>115500</v>
      </c>
    </row>
    <row r="1774" spans="1:22" x14ac:dyDescent="0.25">
      <c r="A1774" t="s">
        <v>2109</v>
      </c>
      <c r="B1774" s="1">
        <v>45580</v>
      </c>
      <c r="C1774" t="s">
        <v>119</v>
      </c>
      <c r="D1774" t="s">
        <v>306</v>
      </c>
      <c r="E1774">
        <v>292.52999999999997</v>
      </c>
      <c r="F1774" t="s">
        <v>324</v>
      </c>
      <c r="G1774" t="s">
        <v>327</v>
      </c>
      <c r="H1774" t="s">
        <v>346</v>
      </c>
      <c r="I1774" t="s">
        <v>57</v>
      </c>
      <c r="J1774" t="s">
        <v>102</v>
      </c>
      <c r="K1774" t="s">
        <v>18</v>
      </c>
      <c r="L1774" t="s">
        <v>307</v>
      </c>
      <c r="M1774" t="s">
        <v>308</v>
      </c>
      <c r="N1774">
        <v>0</v>
      </c>
      <c r="O1774" t="str">
        <f>IF(Transactions_RAW_cleaned[[#This Row],[Status]]="Completed", IFERROR(_xlfn.XLOOKUP(Transactions_RAW_cleaned[[#This Row],[CustomerID]], Customers_cleaned[CustomerID], Customers_cleaned[Segment]), "Customer Not Found"), "N/A")</f>
        <v>Startup</v>
      </c>
      <c r="P1774" s="5" t="str">
        <f>IF(Transactions_RAW_cleaned[[#This Row],[Status]]="Refunded", "Refund",
  IF(Transactions_RAW_cleaned[[#This Row],[Category]]="Payments", IF(Transactions_RAW_cleaned[[#This Row],[Amount]]&gt;500,"High Value","Standard"),
    IF(Transactions_RAW_cleaned[[#This Row],[Amount]]&gt;250,"High Value","Standard")))</f>
        <v>High Value</v>
      </c>
      <c r="Q1774" s="5" t="str">
        <f>IF(Transactions_RAW_cleaned[[#This Row],[Amount]] &gt; (_xlfn.XLOOKUP(Transactions_RAW_cleaned[[#This Row],[ServiceID]],Services_cleaned[ServiceID],Services_cleaned[TransactionFeePct]) * 10000), "Yes", "No")</f>
        <v>Yes</v>
      </c>
      <c r="R1774" s="5" t="str">
        <f>IF(COUNTIFS($C$2:Transactions_RAW_cleaned[[#This Row],[CustomerID]],Transactions_RAW_cleaned[[#This Row],[CustomerID]],$D$2:Transactions_RAW_cleaned[[#This Row],[ServiceID]],Transactions_RAW_cleaned[[#This Row],[ServiceID]])=1,"Yes","No")</f>
        <v>No</v>
      </c>
      <c r="S177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74" t="str">
        <f>"Q"&amp;ROUNDUP(MONTH(Transactions_RAW_cleaned[[#This Row],[TransactionDate]])/3,0)</f>
        <v>Q4</v>
      </c>
      <c r="U1774" t="str">
        <f>Transactions_RAW_cleaned[[#This Row],[Region ]]&amp;Transactions_RAW_cleaned[[#This Row],[Quarter ]]</f>
        <v>NAQ4</v>
      </c>
      <c r="V1774" s="5">
        <f>_xlfn.XLOOKUP(Transactions_RAW_cleaned[[#This Row],[RegionQuarterKey]], Quarterly_Targets_cleaned[RegionQuarterKey], Quarterly_Targets_cleaned[TargetRevenue])</f>
        <v>299000</v>
      </c>
    </row>
    <row r="1775" spans="1:22" x14ac:dyDescent="0.25">
      <c r="A1775" t="s">
        <v>2110</v>
      </c>
      <c r="B1775" s="1">
        <v>45338</v>
      </c>
      <c r="C1775" t="s">
        <v>58</v>
      </c>
      <c r="D1775" t="s">
        <v>294</v>
      </c>
      <c r="E1775">
        <v>528.9</v>
      </c>
      <c r="F1775" t="s">
        <v>324</v>
      </c>
      <c r="G1775" t="s">
        <v>329</v>
      </c>
      <c r="I1775" t="s">
        <v>17</v>
      </c>
      <c r="J1775" t="s">
        <v>102</v>
      </c>
      <c r="K1775" t="s">
        <v>22</v>
      </c>
      <c r="L1775" t="s">
        <v>295</v>
      </c>
      <c r="M1775" t="s">
        <v>296</v>
      </c>
      <c r="N1775">
        <v>2.9000000000000001E-2</v>
      </c>
      <c r="O1775" t="str">
        <f>IF(Transactions_RAW_cleaned[[#This Row],[Status]]="Completed", IFERROR(_xlfn.XLOOKUP(Transactions_RAW_cleaned[[#This Row],[CustomerID]], Customers_cleaned[CustomerID], Customers_cleaned[Segment]), "Customer Not Found"), "N/A")</f>
        <v>Enterprise</v>
      </c>
      <c r="P1775" s="5" t="str">
        <f>IF(Transactions_RAW_cleaned[[#This Row],[Status]]="Refunded", "Refund",
  IF(Transactions_RAW_cleaned[[#This Row],[Category]]="Payments", IF(Transactions_RAW_cleaned[[#This Row],[Amount]]&gt;500,"High Value","Standard"),
    IF(Transactions_RAW_cleaned[[#This Row],[Amount]]&gt;250,"High Value","Standard")))</f>
        <v>High Value</v>
      </c>
      <c r="Q1775" s="5" t="str">
        <f>IF(Transactions_RAW_cleaned[[#This Row],[Amount]] &gt; (_xlfn.XLOOKUP(Transactions_RAW_cleaned[[#This Row],[ServiceID]],Services_cleaned[ServiceID],Services_cleaned[TransactionFeePct]) * 10000), "Yes", "No")</f>
        <v>Yes</v>
      </c>
      <c r="R1775" s="5" t="str">
        <f>IF(COUNTIFS($C$2:Transactions_RAW_cleaned[[#This Row],[CustomerID]],Transactions_RAW_cleaned[[#This Row],[CustomerID]],$D$2:Transactions_RAW_cleaned[[#This Row],[ServiceID]],Transactions_RAW_cleaned[[#This Row],[ServiceID]])=1,"Yes","No")</f>
        <v>No</v>
      </c>
      <c r="S177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75" t="str">
        <f>"Q"&amp;ROUNDUP(MONTH(Transactions_RAW_cleaned[[#This Row],[TransactionDate]])/3,0)</f>
        <v>Q1</v>
      </c>
      <c r="U1775" t="str">
        <f>Transactions_RAW_cleaned[[#This Row],[Region ]]&amp;Transactions_RAW_cleaned[[#This Row],[Quarter ]]</f>
        <v>NAQ1</v>
      </c>
      <c r="V1775" s="5">
        <f>_xlfn.XLOOKUP(Transactions_RAW_cleaned[[#This Row],[RegionQuarterKey]], Quarterly_Targets_cleaned[RegionQuarterKey], Quarterly_Targets_cleaned[TargetRevenue])</f>
        <v>247000</v>
      </c>
    </row>
    <row r="1776" spans="1:22" x14ac:dyDescent="0.25">
      <c r="A1776" t="s">
        <v>2111</v>
      </c>
      <c r="B1776" s="1">
        <v>45365</v>
      </c>
      <c r="C1776" t="s">
        <v>173</v>
      </c>
      <c r="D1776" t="s">
        <v>312</v>
      </c>
      <c r="E1776">
        <v>525.69000000000005</v>
      </c>
      <c r="F1776" t="s">
        <v>381</v>
      </c>
      <c r="G1776" t="s">
        <v>327</v>
      </c>
      <c r="H1776" t="s">
        <v>346</v>
      </c>
      <c r="I1776" t="s">
        <v>8</v>
      </c>
      <c r="J1776" t="s">
        <v>46</v>
      </c>
      <c r="K1776" t="s">
        <v>32</v>
      </c>
      <c r="L1776" t="s">
        <v>313</v>
      </c>
      <c r="M1776" t="s">
        <v>314</v>
      </c>
      <c r="N1776">
        <v>0</v>
      </c>
      <c r="O1776" t="str">
        <f>IF(Transactions_RAW_cleaned[[#This Row],[Status]]="Completed", IFERROR(_xlfn.XLOOKUP(Transactions_RAW_cleaned[[#This Row],[CustomerID]], Customers_cleaned[CustomerID], Customers_cleaned[Segment]), "Customer Not Found"), "N/A")</f>
        <v>N/A</v>
      </c>
      <c r="P1776" s="5" t="str">
        <f>IF(Transactions_RAW_cleaned[[#This Row],[Status]]="Refunded", "Refund",
  IF(Transactions_RAW_cleaned[[#This Row],[Category]]="Payments", IF(Transactions_RAW_cleaned[[#This Row],[Amount]]&gt;500,"High Value","Standard"),
    IF(Transactions_RAW_cleaned[[#This Row],[Amount]]&gt;250,"High Value","Standard")))</f>
        <v>High Value</v>
      </c>
      <c r="Q1776" s="5" t="str">
        <f>IF(Transactions_RAW_cleaned[[#This Row],[Amount]] &gt; (_xlfn.XLOOKUP(Transactions_RAW_cleaned[[#This Row],[ServiceID]],Services_cleaned[ServiceID],Services_cleaned[TransactionFeePct]) * 10000), "Yes", "No")</f>
        <v>Yes</v>
      </c>
      <c r="R1776" s="5" t="str">
        <f>IF(COUNTIFS($C$2:Transactions_RAW_cleaned[[#This Row],[CustomerID]],Transactions_RAW_cleaned[[#This Row],[CustomerID]],$D$2:Transactions_RAW_cleaned[[#This Row],[ServiceID]],Transactions_RAW_cleaned[[#This Row],[ServiceID]])=1,"Yes","No")</f>
        <v>No</v>
      </c>
      <c r="S177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76" t="str">
        <f>"Q"&amp;ROUNDUP(MONTH(Transactions_RAW_cleaned[[#This Row],[TransactionDate]])/3,0)</f>
        <v>Q1</v>
      </c>
      <c r="U1776" t="str">
        <f>Transactions_RAW_cleaned[[#This Row],[Region ]]&amp;Transactions_RAW_cleaned[[#This Row],[Quarter ]]</f>
        <v>APACQ1</v>
      </c>
      <c r="V1776" s="5">
        <f>_xlfn.XLOOKUP(Transactions_RAW_cleaned[[#This Row],[RegionQuarterKey]], Quarterly_Targets_cleaned[RegionQuarterKey], Quarterly_Targets_cleaned[TargetRevenue])</f>
        <v>104500</v>
      </c>
    </row>
    <row r="1777" spans="1:22" x14ac:dyDescent="0.25">
      <c r="A1777" t="s">
        <v>2112</v>
      </c>
      <c r="B1777" s="1">
        <v>45404</v>
      </c>
      <c r="C1777" t="s">
        <v>62</v>
      </c>
      <c r="D1777" t="s">
        <v>303</v>
      </c>
      <c r="E1777">
        <v>361.89</v>
      </c>
      <c r="F1777" t="s">
        <v>324</v>
      </c>
      <c r="G1777" t="s">
        <v>327</v>
      </c>
      <c r="I1777" t="s">
        <v>8</v>
      </c>
      <c r="J1777" t="s">
        <v>46</v>
      </c>
      <c r="K1777" t="s">
        <v>18</v>
      </c>
      <c r="L1777" t="s">
        <v>304</v>
      </c>
      <c r="M1777" t="s">
        <v>305</v>
      </c>
      <c r="N1777">
        <v>1E-3</v>
      </c>
      <c r="O1777" t="str">
        <f>IF(Transactions_RAW_cleaned[[#This Row],[Status]]="Completed", IFERROR(_xlfn.XLOOKUP(Transactions_RAW_cleaned[[#This Row],[CustomerID]], Customers_cleaned[CustomerID], Customers_cleaned[Segment]), "Customer Not Found"), "N/A")</f>
        <v>SMB</v>
      </c>
      <c r="P1777" s="5" t="str">
        <f>IF(Transactions_RAW_cleaned[[#This Row],[Status]]="Refunded", "Refund",
  IF(Transactions_RAW_cleaned[[#This Row],[Category]]="Payments", IF(Transactions_RAW_cleaned[[#This Row],[Amount]]&gt;500,"High Value","Standard"),
    IF(Transactions_RAW_cleaned[[#This Row],[Amount]]&gt;250,"High Value","Standard")))</f>
        <v>High Value</v>
      </c>
      <c r="Q1777" s="5" t="str">
        <f>IF(Transactions_RAW_cleaned[[#This Row],[Amount]] &gt; (_xlfn.XLOOKUP(Transactions_RAW_cleaned[[#This Row],[ServiceID]],Services_cleaned[ServiceID],Services_cleaned[TransactionFeePct]) * 10000), "Yes", "No")</f>
        <v>Yes</v>
      </c>
      <c r="R1777" s="5" t="str">
        <f>IF(COUNTIFS($C$2:Transactions_RAW_cleaned[[#This Row],[CustomerID]],Transactions_RAW_cleaned[[#This Row],[CustomerID]],$D$2:Transactions_RAW_cleaned[[#This Row],[ServiceID]],Transactions_RAW_cleaned[[#This Row],[ServiceID]])=1,"Yes","No")</f>
        <v>Yes</v>
      </c>
      <c r="S177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77" t="str">
        <f>"Q"&amp;ROUNDUP(MONTH(Transactions_RAW_cleaned[[#This Row],[TransactionDate]])/3,0)</f>
        <v>Q2</v>
      </c>
      <c r="U1777" t="str">
        <f>Transactions_RAW_cleaned[[#This Row],[Region ]]&amp;Transactions_RAW_cleaned[[#This Row],[Quarter ]]</f>
        <v>APACQ2</v>
      </c>
      <c r="V1777" s="5">
        <f>_xlfn.XLOOKUP(Transactions_RAW_cleaned[[#This Row],[RegionQuarterKey]], Quarterly_Targets_cleaned[RegionQuarterKey], Quarterly_Targets_cleaned[TargetRevenue])</f>
        <v>110000</v>
      </c>
    </row>
    <row r="1778" spans="1:22" x14ac:dyDescent="0.25">
      <c r="A1778" t="s">
        <v>2113</v>
      </c>
      <c r="B1778" s="1">
        <v>45520</v>
      </c>
      <c r="C1778" t="s">
        <v>179</v>
      </c>
      <c r="D1778" t="s">
        <v>303</v>
      </c>
      <c r="E1778">
        <v>315.87</v>
      </c>
      <c r="F1778" t="s">
        <v>324</v>
      </c>
      <c r="G1778" t="s">
        <v>325</v>
      </c>
      <c r="I1778" t="s">
        <v>8</v>
      </c>
      <c r="J1778" t="s">
        <v>31</v>
      </c>
      <c r="K1778" t="s">
        <v>18</v>
      </c>
      <c r="L1778" t="s">
        <v>304</v>
      </c>
      <c r="M1778" t="s">
        <v>305</v>
      </c>
      <c r="N1778">
        <v>1E-3</v>
      </c>
      <c r="O1778" t="str">
        <f>IF(Transactions_RAW_cleaned[[#This Row],[Status]]="Completed", IFERROR(_xlfn.XLOOKUP(Transactions_RAW_cleaned[[#This Row],[CustomerID]], Customers_cleaned[CustomerID], Customers_cleaned[Segment]), "Customer Not Found"), "N/A")</f>
        <v>SMB</v>
      </c>
      <c r="P1778" s="5" t="str">
        <f>IF(Transactions_RAW_cleaned[[#This Row],[Status]]="Refunded", "Refund",
  IF(Transactions_RAW_cleaned[[#This Row],[Category]]="Payments", IF(Transactions_RAW_cleaned[[#This Row],[Amount]]&gt;500,"High Value","Standard"),
    IF(Transactions_RAW_cleaned[[#This Row],[Amount]]&gt;250,"High Value","Standard")))</f>
        <v>High Value</v>
      </c>
      <c r="Q1778" s="5" t="str">
        <f>IF(Transactions_RAW_cleaned[[#This Row],[Amount]] &gt; (_xlfn.XLOOKUP(Transactions_RAW_cleaned[[#This Row],[ServiceID]],Services_cleaned[ServiceID],Services_cleaned[TransactionFeePct]) * 10000), "Yes", "No")</f>
        <v>Yes</v>
      </c>
      <c r="R1778" s="5" t="str">
        <f>IF(COUNTIFS($C$2:Transactions_RAW_cleaned[[#This Row],[CustomerID]],Transactions_RAW_cleaned[[#This Row],[CustomerID]],$D$2:Transactions_RAW_cleaned[[#This Row],[ServiceID]],Transactions_RAW_cleaned[[#This Row],[ServiceID]])=1,"Yes","No")</f>
        <v>No</v>
      </c>
      <c r="S177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778" t="str">
        <f>"Q"&amp;ROUNDUP(MONTH(Transactions_RAW_cleaned[[#This Row],[TransactionDate]])/3,0)</f>
        <v>Q3</v>
      </c>
      <c r="U1778" t="str">
        <f>Transactions_RAW_cleaned[[#This Row],[Region ]]&amp;Transactions_RAW_cleaned[[#This Row],[Quarter ]]</f>
        <v>EMEAQ3</v>
      </c>
      <c r="V1778" s="5">
        <f>_xlfn.XLOOKUP(Transactions_RAW_cleaned[[#This Row],[RegionQuarterKey]], Quarterly_Targets_cleaned[RegionQuarterKey], Quarterly_Targets_cleaned[TargetRevenue])</f>
        <v>147000</v>
      </c>
    </row>
    <row r="1779" spans="1:22" x14ac:dyDescent="0.25">
      <c r="A1779" t="s">
        <v>2114</v>
      </c>
      <c r="B1779" s="1">
        <v>45534</v>
      </c>
      <c r="C1779" t="s">
        <v>641</v>
      </c>
      <c r="D1779" t="s">
        <v>297</v>
      </c>
      <c r="E1779">
        <v>118.02</v>
      </c>
      <c r="F1779" t="s">
        <v>324</v>
      </c>
      <c r="G1779" t="s">
        <v>325</v>
      </c>
      <c r="H1779" t="s">
        <v>334</v>
      </c>
      <c r="I1779" t="s">
        <v>8</v>
      </c>
      <c r="J1779" t="s">
        <v>13</v>
      </c>
      <c r="K1779" t="s">
        <v>22</v>
      </c>
      <c r="L1779" t="s">
        <v>298</v>
      </c>
      <c r="M1779" t="s">
        <v>299</v>
      </c>
      <c r="N1779">
        <v>0</v>
      </c>
      <c r="O1779" t="str">
        <f>IF(Transactions_RAW_cleaned[[#This Row],[Status]]="Completed", IFERROR(_xlfn.XLOOKUP(Transactions_RAW_cleaned[[#This Row],[CustomerID]], Customers_cleaned[CustomerID], Customers_cleaned[Segment]), "Customer Not Found"), "N/A")</f>
        <v>SMB</v>
      </c>
      <c r="P1779" s="5" t="str">
        <f>IF(Transactions_RAW_cleaned[[#This Row],[Status]]="Refunded", "Refund",
  IF(Transactions_RAW_cleaned[[#This Row],[Category]]="Payments", IF(Transactions_RAW_cleaned[[#This Row],[Amount]]&gt;500,"High Value","Standard"),
    IF(Transactions_RAW_cleaned[[#This Row],[Amount]]&gt;250,"High Value","Standard")))</f>
        <v>Standard</v>
      </c>
      <c r="Q1779" s="5" t="str">
        <f>IF(Transactions_RAW_cleaned[[#This Row],[Amount]] &gt; (_xlfn.XLOOKUP(Transactions_RAW_cleaned[[#This Row],[ServiceID]],Services_cleaned[ServiceID],Services_cleaned[TransactionFeePct]) * 10000), "Yes", "No")</f>
        <v>Yes</v>
      </c>
      <c r="R1779" s="5" t="str">
        <f>IF(COUNTIFS($C$2:Transactions_RAW_cleaned[[#This Row],[CustomerID]],Transactions_RAW_cleaned[[#This Row],[CustomerID]],$D$2:Transactions_RAW_cleaned[[#This Row],[ServiceID]],Transactions_RAW_cleaned[[#This Row],[ServiceID]])=1,"Yes","No")</f>
        <v>Yes</v>
      </c>
      <c r="S177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79" t="str">
        <f>"Q"&amp;ROUNDUP(MONTH(Transactions_RAW_cleaned[[#This Row],[TransactionDate]])/3,0)</f>
        <v>Q3</v>
      </c>
      <c r="U1779" t="str">
        <f>Transactions_RAW_cleaned[[#This Row],[Region ]]&amp;Transactions_RAW_cleaned[[#This Row],[Quarter ]]</f>
        <v>NAQ3</v>
      </c>
      <c r="V1779" s="5">
        <f>_xlfn.XLOOKUP(Transactions_RAW_cleaned[[#This Row],[RegionQuarterKey]], Quarterly_Targets_cleaned[RegionQuarterKey], Quarterly_Targets_cleaned[TargetRevenue])</f>
        <v>273000</v>
      </c>
    </row>
    <row r="1780" spans="1:22" x14ac:dyDescent="0.25">
      <c r="A1780" t="s">
        <v>2115</v>
      </c>
      <c r="B1780" s="1">
        <v>45397</v>
      </c>
      <c r="C1780" t="s">
        <v>2116</v>
      </c>
      <c r="D1780" t="s">
        <v>300</v>
      </c>
      <c r="E1780">
        <v>701.8</v>
      </c>
      <c r="F1780" t="s">
        <v>324</v>
      </c>
      <c r="G1780" t="s">
        <v>325</v>
      </c>
      <c r="L1780" t="s">
        <v>301</v>
      </c>
      <c r="M1780" t="s">
        <v>302</v>
      </c>
      <c r="N1780">
        <v>5.0000000000000001E-3</v>
      </c>
      <c r="O1780" t="str">
        <f>IF(Transactions_RAW_cleaned[[#This Row],[Status]]="Completed", IFERROR(_xlfn.XLOOKUP(Transactions_RAW_cleaned[[#This Row],[CustomerID]], Customers_cleaned[CustomerID], Customers_cleaned[Segment]), "Customer Not Found"), "N/A")</f>
        <v>Customer Not Found</v>
      </c>
      <c r="P1780" s="5" t="str">
        <f>IF(Transactions_RAW_cleaned[[#This Row],[Status]]="Refunded", "Refund",
  IF(Transactions_RAW_cleaned[[#This Row],[Category]]="Payments", IF(Transactions_RAW_cleaned[[#This Row],[Amount]]&gt;500,"High Value","Standard"),
    IF(Transactions_RAW_cleaned[[#This Row],[Amount]]&gt;250,"High Value","Standard")))</f>
        <v>High Value</v>
      </c>
      <c r="Q1780" s="5" t="str">
        <f>IF(Transactions_RAW_cleaned[[#This Row],[Amount]] &gt; (_xlfn.XLOOKUP(Transactions_RAW_cleaned[[#This Row],[ServiceID]],Services_cleaned[ServiceID],Services_cleaned[TransactionFeePct]) * 10000), "Yes", "No")</f>
        <v>Yes</v>
      </c>
      <c r="R1780" s="5" t="str">
        <f>IF(COUNTIFS($C$2:Transactions_RAW_cleaned[[#This Row],[CustomerID]],Transactions_RAW_cleaned[[#This Row],[CustomerID]],$D$2:Transactions_RAW_cleaned[[#This Row],[ServiceID]],Transactions_RAW_cleaned[[#This Row],[ServiceID]])=1,"Yes","No")</f>
        <v>Yes</v>
      </c>
      <c r="S178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80" t="str">
        <f>"Q"&amp;ROUNDUP(MONTH(Transactions_RAW_cleaned[[#This Row],[TransactionDate]])/3,0)</f>
        <v>Q2</v>
      </c>
      <c r="U1780" t="str">
        <f>Transactions_RAW_cleaned[[#This Row],[Region ]]&amp;Transactions_RAW_cleaned[[#This Row],[Quarter ]]</f>
        <v>APACQ2</v>
      </c>
      <c r="V1780" s="5">
        <f>_xlfn.XLOOKUP(Transactions_RAW_cleaned[[#This Row],[RegionQuarterKey]], Quarterly_Targets_cleaned[RegionQuarterKey], Quarterly_Targets_cleaned[TargetRevenue])</f>
        <v>110000</v>
      </c>
    </row>
    <row r="1781" spans="1:22" x14ac:dyDescent="0.25">
      <c r="A1781" t="s">
        <v>2117</v>
      </c>
      <c r="B1781" s="1">
        <v>45422</v>
      </c>
      <c r="C1781" t="s">
        <v>70</v>
      </c>
      <c r="D1781" t="s">
        <v>300</v>
      </c>
      <c r="E1781">
        <v>482.95</v>
      </c>
      <c r="F1781" t="s">
        <v>324</v>
      </c>
      <c r="G1781" t="s">
        <v>337</v>
      </c>
      <c r="I1781" t="s">
        <v>8</v>
      </c>
      <c r="J1781" t="s">
        <v>37</v>
      </c>
      <c r="K1781" t="s">
        <v>28</v>
      </c>
      <c r="L1781" t="s">
        <v>301</v>
      </c>
      <c r="M1781" t="s">
        <v>302</v>
      </c>
      <c r="N1781">
        <v>5.0000000000000001E-3</v>
      </c>
      <c r="O1781" t="str">
        <f>IF(Transactions_RAW_cleaned[[#This Row],[Status]]="Completed", IFERROR(_xlfn.XLOOKUP(Transactions_RAW_cleaned[[#This Row],[CustomerID]], Customers_cleaned[CustomerID], Customers_cleaned[Segment]), "Customer Not Found"), "N/A")</f>
        <v>SMB</v>
      </c>
      <c r="P1781" s="5" t="str">
        <f>IF(Transactions_RAW_cleaned[[#This Row],[Status]]="Refunded", "Refund",
  IF(Transactions_RAW_cleaned[[#This Row],[Category]]="Payments", IF(Transactions_RAW_cleaned[[#This Row],[Amount]]&gt;500,"High Value","Standard"),
    IF(Transactions_RAW_cleaned[[#This Row],[Amount]]&gt;250,"High Value","Standard")))</f>
        <v>High Value</v>
      </c>
      <c r="Q1781" s="5" t="str">
        <f>IF(Transactions_RAW_cleaned[[#This Row],[Amount]] &gt; (_xlfn.XLOOKUP(Transactions_RAW_cleaned[[#This Row],[ServiceID]],Services_cleaned[ServiceID],Services_cleaned[TransactionFeePct]) * 10000), "Yes", "No")</f>
        <v>Yes</v>
      </c>
      <c r="R1781" s="5" t="str">
        <f>IF(COUNTIFS($C$2:Transactions_RAW_cleaned[[#This Row],[CustomerID]],Transactions_RAW_cleaned[[#This Row],[CustomerID]],$D$2:Transactions_RAW_cleaned[[#This Row],[ServiceID]],Transactions_RAW_cleaned[[#This Row],[ServiceID]])=1,"Yes","No")</f>
        <v>No</v>
      </c>
      <c r="S178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781" t="str">
        <f>"Q"&amp;ROUNDUP(MONTH(Transactions_RAW_cleaned[[#This Row],[TransactionDate]])/3,0)</f>
        <v>Q2</v>
      </c>
      <c r="U1781" t="str">
        <f>Transactions_RAW_cleaned[[#This Row],[Region ]]&amp;Transactions_RAW_cleaned[[#This Row],[Quarter ]]</f>
        <v>EMEAQ2</v>
      </c>
      <c r="V1781" s="5">
        <f>_xlfn.XLOOKUP(Transactions_RAW_cleaned[[#This Row],[RegionQuarterKey]], Quarterly_Targets_cleaned[RegionQuarterKey], Quarterly_Targets_cleaned[TargetRevenue])</f>
        <v>140000</v>
      </c>
    </row>
    <row r="1782" spans="1:22" x14ac:dyDescent="0.25">
      <c r="A1782" t="s">
        <v>2118</v>
      </c>
      <c r="B1782" s="1">
        <v>45490</v>
      </c>
      <c r="C1782" t="s">
        <v>269</v>
      </c>
      <c r="D1782" t="s">
        <v>300</v>
      </c>
      <c r="E1782">
        <v>428.77</v>
      </c>
      <c r="F1782" t="s">
        <v>324</v>
      </c>
      <c r="G1782" t="s">
        <v>327</v>
      </c>
      <c r="H1782" t="s">
        <v>346</v>
      </c>
      <c r="I1782" t="s">
        <v>17</v>
      </c>
      <c r="J1782" t="s">
        <v>31</v>
      </c>
      <c r="K1782" t="s">
        <v>32</v>
      </c>
      <c r="L1782" t="s">
        <v>301</v>
      </c>
      <c r="M1782" t="s">
        <v>302</v>
      </c>
      <c r="N1782">
        <v>5.0000000000000001E-3</v>
      </c>
      <c r="O1782" t="str">
        <f>IF(Transactions_RAW_cleaned[[#This Row],[Status]]="Completed", IFERROR(_xlfn.XLOOKUP(Transactions_RAW_cleaned[[#This Row],[CustomerID]], Customers_cleaned[CustomerID], Customers_cleaned[Segment]), "Customer Not Found"), "N/A")</f>
        <v>Enterprise</v>
      </c>
      <c r="P1782" s="5" t="str">
        <f>IF(Transactions_RAW_cleaned[[#This Row],[Status]]="Refunded", "Refund",
  IF(Transactions_RAW_cleaned[[#This Row],[Category]]="Payments", IF(Transactions_RAW_cleaned[[#This Row],[Amount]]&gt;500,"High Value","Standard"),
    IF(Transactions_RAW_cleaned[[#This Row],[Amount]]&gt;250,"High Value","Standard")))</f>
        <v>High Value</v>
      </c>
      <c r="Q1782" s="5" t="str">
        <f>IF(Transactions_RAW_cleaned[[#This Row],[Amount]] &gt; (_xlfn.XLOOKUP(Transactions_RAW_cleaned[[#This Row],[ServiceID]],Services_cleaned[ServiceID],Services_cleaned[TransactionFeePct]) * 10000), "Yes", "No")</f>
        <v>Yes</v>
      </c>
      <c r="R1782" s="5" t="str">
        <f>IF(COUNTIFS($C$2:Transactions_RAW_cleaned[[#This Row],[CustomerID]],Transactions_RAW_cleaned[[#This Row],[CustomerID]],$D$2:Transactions_RAW_cleaned[[#This Row],[ServiceID]],Transactions_RAW_cleaned[[#This Row],[ServiceID]])=1,"Yes","No")</f>
        <v>No</v>
      </c>
      <c r="S178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782" t="str">
        <f>"Q"&amp;ROUNDUP(MONTH(Transactions_RAW_cleaned[[#This Row],[TransactionDate]])/3,0)</f>
        <v>Q3</v>
      </c>
      <c r="U1782" t="str">
        <f>Transactions_RAW_cleaned[[#This Row],[Region ]]&amp;Transactions_RAW_cleaned[[#This Row],[Quarter ]]</f>
        <v>EMEAQ3</v>
      </c>
      <c r="V1782" s="5">
        <f>_xlfn.XLOOKUP(Transactions_RAW_cleaned[[#This Row],[RegionQuarterKey]], Quarterly_Targets_cleaned[RegionQuarterKey], Quarterly_Targets_cleaned[TargetRevenue])</f>
        <v>147000</v>
      </c>
    </row>
    <row r="1783" spans="1:22" x14ac:dyDescent="0.25">
      <c r="A1783" t="s">
        <v>2119</v>
      </c>
      <c r="B1783" s="1">
        <v>45338</v>
      </c>
      <c r="C1783" t="s">
        <v>23</v>
      </c>
      <c r="D1783" t="s">
        <v>315</v>
      </c>
      <c r="E1783">
        <v>531.32000000000005</v>
      </c>
      <c r="F1783" t="s">
        <v>324</v>
      </c>
      <c r="G1783" t="s">
        <v>2963</v>
      </c>
      <c r="H1783" t="s">
        <v>346</v>
      </c>
      <c r="I1783" t="s">
        <v>8</v>
      </c>
      <c r="J1783" t="s">
        <v>25</v>
      </c>
      <c r="K1783" t="s">
        <v>22</v>
      </c>
      <c r="L1783" t="s">
        <v>316</v>
      </c>
      <c r="M1783" t="s">
        <v>305</v>
      </c>
      <c r="N1783">
        <v>2.5000000000000001E-3</v>
      </c>
      <c r="O1783" t="str">
        <f>IF(Transactions_RAW_cleaned[[#This Row],[Status]]="Completed", IFERROR(_xlfn.XLOOKUP(Transactions_RAW_cleaned[[#This Row],[CustomerID]], Customers_cleaned[CustomerID], Customers_cleaned[Segment]), "Customer Not Found"), "N/A")</f>
        <v>SMB</v>
      </c>
      <c r="P1783" s="5" t="str">
        <f>IF(Transactions_RAW_cleaned[[#This Row],[Status]]="Refunded", "Refund",
  IF(Transactions_RAW_cleaned[[#This Row],[Category]]="Payments", IF(Transactions_RAW_cleaned[[#This Row],[Amount]]&gt;500,"High Value","Standard"),
    IF(Transactions_RAW_cleaned[[#This Row],[Amount]]&gt;250,"High Value","Standard")))</f>
        <v>High Value</v>
      </c>
      <c r="Q1783" s="5" t="str">
        <f>IF(Transactions_RAW_cleaned[[#This Row],[Amount]] &gt; (_xlfn.XLOOKUP(Transactions_RAW_cleaned[[#This Row],[ServiceID]],Services_cleaned[ServiceID],Services_cleaned[TransactionFeePct]) * 10000), "Yes", "No")</f>
        <v>Yes</v>
      </c>
      <c r="R1783" s="5" t="str">
        <f>IF(COUNTIFS($C$2:Transactions_RAW_cleaned[[#This Row],[CustomerID]],Transactions_RAW_cleaned[[#This Row],[CustomerID]],$D$2:Transactions_RAW_cleaned[[#This Row],[ServiceID]],Transactions_RAW_cleaned[[#This Row],[ServiceID]])=1,"Yes","No")</f>
        <v>No</v>
      </c>
      <c r="S178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83" t="str">
        <f>"Q"&amp;ROUNDUP(MONTH(Transactions_RAW_cleaned[[#This Row],[TransactionDate]])/3,0)</f>
        <v>Q1</v>
      </c>
      <c r="U1783" t="str">
        <f>Transactions_RAW_cleaned[[#This Row],[Region ]]&amp;Transactions_RAW_cleaned[[#This Row],[Quarter ]]</f>
        <v>APACQ1</v>
      </c>
      <c r="V1783" s="5">
        <f>_xlfn.XLOOKUP(Transactions_RAW_cleaned[[#This Row],[RegionQuarterKey]], Quarterly_Targets_cleaned[RegionQuarterKey], Quarterly_Targets_cleaned[TargetRevenue])</f>
        <v>104500</v>
      </c>
    </row>
    <row r="1784" spans="1:22" x14ac:dyDescent="0.25">
      <c r="A1784" t="s">
        <v>2120</v>
      </c>
      <c r="B1784" s="1">
        <v>45593</v>
      </c>
      <c r="C1784" t="s">
        <v>237</v>
      </c>
      <c r="D1784" t="s">
        <v>300</v>
      </c>
      <c r="E1784">
        <v>1000.49</v>
      </c>
      <c r="F1784" t="s">
        <v>324</v>
      </c>
      <c r="G1784" t="s">
        <v>2963</v>
      </c>
      <c r="I1784" t="s">
        <v>8</v>
      </c>
      <c r="J1784" t="s">
        <v>46</v>
      </c>
      <c r="K1784" t="s">
        <v>10</v>
      </c>
      <c r="L1784" t="s">
        <v>301</v>
      </c>
      <c r="M1784" t="s">
        <v>302</v>
      </c>
      <c r="N1784">
        <v>5.0000000000000001E-3</v>
      </c>
      <c r="O1784" t="str">
        <f>IF(Transactions_RAW_cleaned[[#This Row],[Status]]="Completed", IFERROR(_xlfn.XLOOKUP(Transactions_RAW_cleaned[[#This Row],[CustomerID]], Customers_cleaned[CustomerID], Customers_cleaned[Segment]), "Customer Not Found"), "N/A")</f>
        <v>SMB</v>
      </c>
      <c r="P1784" s="5" t="str">
        <f>IF(Transactions_RAW_cleaned[[#This Row],[Status]]="Refunded", "Refund",
  IF(Transactions_RAW_cleaned[[#This Row],[Category]]="Payments", IF(Transactions_RAW_cleaned[[#This Row],[Amount]]&gt;500,"High Value","Standard"),
    IF(Transactions_RAW_cleaned[[#This Row],[Amount]]&gt;250,"High Value","Standard")))</f>
        <v>High Value</v>
      </c>
      <c r="Q1784" s="5" t="str">
        <f>IF(Transactions_RAW_cleaned[[#This Row],[Amount]] &gt; (_xlfn.XLOOKUP(Transactions_RAW_cleaned[[#This Row],[ServiceID]],Services_cleaned[ServiceID],Services_cleaned[TransactionFeePct]) * 10000), "Yes", "No")</f>
        <v>Yes</v>
      </c>
      <c r="R1784" s="5" t="str">
        <f>IF(COUNTIFS($C$2:Transactions_RAW_cleaned[[#This Row],[CustomerID]],Transactions_RAW_cleaned[[#This Row],[CustomerID]],$D$2:Transactions_RAW_cleaned[[#This Row],[ServiceID]],Transactions_RAW_cleaned[[#This Row],[ServiceID]])=1,"Yes","No")</f>
        <v>No</v>
      </c>
      <c r="S178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84" t="str">
        <f>"Q"&amp;ROUNDUP(MONTH(Transactions_RAW_cleaned[[#This Row],[TransactionDate]])/3,0)</f>
        <v>Q4</v>
      </c>
      <c r="U1784" t="str">
        <f>Transactions_RAW_cleaned[[#This Row],[Region ]]&amp;Transactions_RAW_cleaned[[#This Row],[Quarter ]]</f>
        <v>APACQ4</v>
      </c>
      <c r="V1784" s="5">
        <f>_xlfn.XLOOKUP(Transactions_RAW_cleaned[[#This Row],[RegionQuarterKey]], Quarterly_Targets_cleaned[RegionQuarterKey], Quarterly_Targets_cleaned[TargetRevenue])</f>
        <v>126500</v>
      </c>
    </row>
    <row r="1785" spans="1:22" x14ac:dyDescent="0.25">
      <c r="A1785" t="s">
        <v>2121</v>
      </c>
      <c r="B1785" s="1">
        <v>45384</v>
      </c>
      <c r="C1785" t="s">
        <v>42</v>
      </c>
      <c r="D1785" t="s">
        <v>303</v>
      </c>
      <c r="E1785">
        <v>386.81</v>
      </c>
      <c r="F1785" t="s">
        <v>324</v>
      </c>
      <c r="G1785" t="s">
        <v>327</v>
      </c>
      <c r="I1785" t="s">
        <v>8</v>
      </c>
      <c r="J1785" t="s">
        <v>102</v>
      </c>
      <c r="K1785" t="s">
        <v>10</v>
      </c>
      <c r="L1785" t="s">
        <v>304</v>
      </c>
      <c r="M1785" t="s">
        <v>305</v>
      </c>
      <c r="N1785">
        <v>1E-3</v>
      </c>
      <c r="O1785" t="str">
        <f>IF(Transactions_RAW_cleaned[[#This Row],[Status]]="Completed", IFERROR(_xlfn.XLOOKUP(Transactions_RAW_cleaned[[#This Row],[CustomerID]], Customers_cleaned[CustomerID], Customers_cleaned[Segment]), "Customer Not Found"), "N/A")</f>
        <v>SMB</v>
      </c>
      <c r="P1785" s="5" t="str">
        <f>IF(Transactions_RAW_cleaned[[#This Row],[Status]]="Refunded", "Refund",
  IF(Transactions_RAW_cleaned[[#This Row],[Category]]="Payments", IF(Transactions_RAW_cleaned[[#This Row],[Amount]]&gt;500,"High Value","Standard"),
    IF(Transactions_RAW_cleaned[[#This Row],[Amount]]&gt;250,"High Value","Standard")))</f>
        <v>High Value</v>
      </c>
      <c r="Q1785" s="5" t="str">
        <f>IF(Transactions_RAW_cleaned[[#This Row],[Amount]] &gt; (_xlfn.XLOOKUP(Transactions_RAW_cleaned[[#This Row],[ServiceID]],Services_cleaned[ServiceID],Services_cleaned[TransactionFeePct]) * 10000), "Yes", "No")</f>
        <v>Yes</v>
      </c>
      <c r="R1785" s="5" t="str">
        <f>IF(COUNTIFS($C$2:Transactions_RAW_cleaned[[#This Row],[CustomerID]],Transactions_RAW_cleaned[[#This Row],[CustomerID]],$D$2:Transactions_RAW_cleaned[[#This Row],[ServiceID]],Transactions_RAW_cleaned[[#This Row],[ServiceID]])=1,"Yes","No")</f>
        <v>No</v>
      </c>
      <c r="S178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85" t="str">
        <f>"Q"&amp;ROUNDUP(MONTH(Transactions_RAW_cleaned[[#This Row],[TransactionDate]])/3,0)</f>
        <v>Q2</v>
      </c>
      <c r="U1785" t="str">
        <f>Transactions_RAW_cleaned[[#This Row],[Region ]]&amp;Transactions_RAW_cleaned[[#This Row],[Quarter ]]</f>
        <v>NAQ2</v>
      </c>
      <c r="V1785" s="5">
        <f>_xlfn.XLOOKUP(Transactions_RAW_cleaned[[#This Row],[RegionQuarterKey]], Quarterly_Targets_cleaned[RegionQuarterKey], Quarterly_Targets_cleaned[TargetRevenue])</f>
        <v>260000</v>
      </c>
    </row>
    <row r="1786" spans="1:22" x14ac:dyDescent="0.25">
      <c r="A1786" t="s">
        <v>2122</v>
      </c>
      <c r="B1786" s="1">
        <v>45587</v>
      </c>
      <c r="C1786" t="s">
        <v>51</v>
      </c>
      <c r="D1786" t="s">
        <v>294</v>
      </c>
      <c r="E1786">
        <v>108.39</v>
      </c>
      <c r="F1786" t="s">
        <v>324</v>
      </c>
      <c r="G1786" t="s">
        <v>327</v>
      </c>
      <c r="I1786" t="s">
        <v>8</v>
      </c>
      <c r="J1786" t="s">
        <v>31</v>
      </c>
      <c r="K1786" t="s">
        <v>14</v>
      </c>
      <c r="L1786" t="s">
        <v>295</v>
      </c>
      <c r="M1786" t="s">
        <v>296</v>
      </c>
      <c r="N1786">
        <v>2.9000000000000001E-2</v>
      </c>
      <c r="O1786" t="str">
        <f>IF(Transactions_RAW_cleaned[[#This Row],[Status]]="Completed", IFERROR(_xlfn.XLOOKUP(Transactions_RAW_cleaned[[#This Row],[CustomerID]], Customers_cleaned[CustomerID], Customers_cleaned[Segment]), "Customer Not Found"), "N/A")</f>
        <v>SMB</v>
      </c>
      <c r="P1786" s="5" t="str">
        <f>IF(Transactions_RAW_cleaned[[#This Row],[Status]]="Refunded", "Refund",
  IF(Transactions_RAW_cleaned[[#This Row],[Category]]="Payments", IF(Transactions_RAW_cleaned[[#This Row],[Amount]]&gt;500,"High Value","Standard"),
    IF(Transactions_RAW_cleaned[[#This Row],[Amount]]&gt;250,"High Value","Standard")))</f>
        <v>Standard</v>
      </c>
      <c r="Q1786" s="5" t="str">
        <f>IF(Transactions_RAW_cleaned[[#This Row],[Amount]] &gt; (_xlfn.XLOOKUP(Transactions_RAW_cleaned[[#This Row],[ServiceID]],Services_cleaned[ServiceID],Services_cleaned[TransactionFeePct]) * 10000), "Yes", "No")</f>
        <v>No</v>
      </c>
      <c r="R1786" s="5" t="str">
        <f>IF(COUNTIFS($C$2:Transactions_RAW_cleaned[[#This Row],[CustomerID]],Transactions_RAW_cleaned[[#This Row],[CustomerID]],$D$2:Transactions_RAW_cleaned[[#This Row],[ServiceID]],Transactions_RAW_cleaned[[#This Row],[ServiceID]])=1,"Yes","No")</f>
        <v>No</v>
      </c>
      <c r="S178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786" t="str">
        <f>"Q"&amp;ROUNDUP(MONTH(Transactions_RAW_cleaned[[#This Row],[TransactionDate]])/3,0)</f>
        <v>Q4</v>
      </c>
      <c r="U1786" t="str">
        <f>Transactions_RAW_cleaned[[#This Row],[Region ]]&amp;Transactions_RAW_cleaned[[#This Row],[Quarter ]]</f>
        <v>EMEAQ4</v>
      </c>
      <c r="V1786" s="5">
        <f>_xlfn.XLOOKUP(Transactions_RAW_cleaned[[#This Row],[RegionQuarterKey]], Quarterly_Targets_cleaned[RegionQuarterKey], Quarterly_Targets_cleaned[TargetRevenue])</f>
        <v>161000</v>
      </c>
    </row>
    <row r="1787" spans="1:22" x14ac:dyDescent="0.25">
      <c r="A1787" t="s">
        <v>2123</v>
      </c>
      <c r="B1787" s="1">
        <v>45387</v>
      </c>
      <c r="C1787" t="s">
        <v>135</v>
      </c>
      <c r="D1787" t="s">
        <v>297</v>
      </c>
      <c r="E1787">
        <v>120.19</v>
      </c>
      <c r="F1787" t="s">
        <v>324</v>
      </c>
      <c r="G1787" t="s">
        <v>337</v>
      </c>
      <c r="H1787" t="s">
        <v>332</v>
      </c>
      <c r="I1787" t="s">
        <v>8</v>
      </c>
      <c r="J1787" t="s">
        <v>46</v>
      </c>
      <c r="K1787" t="s">
        <v>10</v>
      </c>
      <c r="L1787" t="s">
        <v>298</v>
      </c>
      <c r="M1787" t="s">
        <v>299</v>
      </c>
      <c r="N1787">
        <v>0</v>
      </c>
      <c r="O1787" t="str">
        <f>IF(Transactions_RAW_cleaned[[#This Row],[Status]]="Completed", IFERROR(_xlfn.XLOOKUP(Transactions_RAW_cleaned[[#This Row],[CustomerID]], Customers_cleaned[CustomerID], Customers_cleaned[Segment]), "Customer Not Found"), "N/A")</f>
        <v>SMB</v>
      </c>
      <c r="P1787" s="5" t="str">
        <f>IF(Transactions_RAW_cleaned[[#This Row],[Status]]="Refunded", "Refund",
  IF(Transactions_RAW_cleaned[[#This Row],[Category]]="Payments", IF(Transactions_RAW_cleaned[[#This Row],[Amount]]&gt;500,"High Value","Standard"),
    IF(Transactions_RAW_cleaned[[#This Row],[Amount]]&gt;250,"High Value","Standard")))</f>
        <v>Standard</v>
      </c>
      <c r="Q1787" s="5" t="str">
        <f>IF(Transactions_RAW_cleaned[[#This Row],[Amount]] &gt; (_xlfn.XLOOKUP(Transactions_RAW_cleaned[[#This Row],[ServiceID]],Services_cleaned[ServiceID],Services_cleaned[TransactionFeePct]) * 10000), "Yes", "No")</f>
        <v>Yes</v>
      </c>
      <c r="R1787" s="5" t="str">
        <f>IF(COUNTIFS($C$2:Transactions_RAW_cleaned[[#This Row],[CustomerID]],Transactions_RAW_cleaned[[#This Row],[CustomerID]],$D$2:Transactions_RAW_cleaned[[#This Row],[ServiceID]],Transactions_RAW_cleaned[[#This Row],[ServiceID]])=1,"Yes","No")</f>
        <v>No</v>
      </c>
      <c r="S178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87" t="str">
        <f>"Q"&amp;ROUNDUP(MONTH(Transactions_RAW_cleaned[[#This Row],[TransactionDate]])/3,0)</f>
        <v>Q2</v>
      </c>
      <c r="U1787" t="str">
        <f>Transactions_RAW_cleaned[[#This Row],[Region ]]&amp;Transactions_RAW_cleaned[[#This Row],[Quarter ]]</f>
        <v>APACQ2</v>
      </c>
      <c r="V1787" s="5">
        <f>_xlfn.XLOOKUP(Transactions_RAW_cleaned[[#This Row],[RegionQuarterKey]], Quarterly_Targets_cleaned[RegionQuarterKey], Quarterly_Targets_cleaned[TargetRevenue])</f>
        <v>110000</v>
      </c>
    </row>
    <row r="1788" spans="1:22" x14ac:dyDescent="0.25">
      <c r="A1788" t="s">
        <v>2124</v>
      </c>
      <c r="B1788" s="1">
        <v>45634</v>
      </c>
      <c r="C1788" t="s">
        <v>82</v>
      </c>
      <c r="D1788" t="s">
        <v>315</v>
      </c>
      <c r="E1788">
        <v>-21.03</v>
      </c>
      <c r="F1788" t="s">
        <v>349</v>
      </c>
      <c r="G1788" t="s">
        <v>327</v>
      </c>
      <c r="H1788" t="s">
        <v>334</v>
      </c>
      <c r="I1788" t="s">
        <v>57</v>
      </c>
      <c r="J1788" t="s">
        <v>46</v>
      </c>
      <c r="K1788" t="s">
        <v>10</v>
      </c>
      <c r="L1788" t="s">
        <v>316</v>
      </c>
      <c r="M1788" t="s">
        <v>305</v>
      </c>
      <c r="N1788">
        <v>2.5000000000000001E-3</v>
      </c>
      <c r="O1788" t="str">
        <f>IF(Transactions_RAW_cleaned[[#This Row],[Status]]="Completed", IFERROR(_xlfn.XLOOKUP(Transactions_RAW_cleaned[[#This Row],[CustomerID]], Customers_cleaned[CustomerID], Customers_cleaned[Segment]), "Customer Not Found"), "N/A")</f>
        <v>N/A</v>
      </c>
      <c r="P1788" s="5" t="str">
        <f>IF(Transactions_RAW_cleaned[[#This Row],[Status]]="Refunded", "Refund",
  IF(Transactions_RAW_cleaned[[#This Row],[Category]]="Payments", IF(Transactions_RAW_cleaned[[#This Row],[Amount]]&gt;500,"High Value","Standard"),
    IF(Transactions_RAW_cleaned[[#This Row],[Amount]]&gt;250,"High Value","Standard")))</f>
        <v>Refund</v>
      </c>
      <c r="Q1788" s="5" t="str">
        <f>IF(Transactions_RAW_cleaned[[#This Row],[Amount]] &gt; (_xlfn.XLOOKUP(Transactions_RAW_cleaned[[#This Row],[ServiceID]],Services_cleaned[ServiceID],Services_cleaned[TransactionFeePct]) * 10000), "Yes", "No")</f>
        <v>No</v>
      </c>
      <c r="R1788" s="5" t="str">
        <f>IF(COUNTIFS($C$2:Transactions_RAW_cleaned[[#This Row],[CustomerID]],Transactions_RAW_cleaned[[#This Row],[CustomerID]],$D$2:Transactions_RAW_cleaned[[#This Row],[ServiceID]],Transactions_RAW_cleaned[[#This Row],[ServiceID]])=1,"Yes","No")</f>
        <v>Yes</v>
      </c>
      <c r="S178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88" t="str">
        <f>"Q"&amp;ROUNDUP(MONTH(Transactions_RAW_cleaned[[#This Row],[TransactionDate]])/3,0)</f>
        <v>Q4</v>
      </c>
      <c r="U1788" t="str">
        <f>Transactions_RAW_cleaned[[#This Row],[Region ]]&amp;Transactions_RAW_cleaned[[#This Row],[Quarter ]]</f>
        <v>APACQ4</v>
      </c>
      <c r="V1788" s="5">
        <f>_xlfn.XLOOKUP(Transactions_RAW_cleaned[[#This Row],[RegionQuarterKey]], Quarterly_Targets_cleaned[RegionQuarterKey], Quarterly_Targets_cleaned[TargetRevenue])</f>
        <v>126500</v>
      </c>
    </row>
    <row r="1789" spans="1:22" x14ac:dyDescent="0.25">
      <c r="A1789" t="s">
        <v>2125</v>
      </c>
      <c r="B1789" s="1">
        <v>45487</v>
      </c>
      <c r="C1789" t="s">
        <v>60</v>
      </c>
      <c r="D1789" t="s">
        <v>303</v>
      </c>
      <c r="E1789">
        <v>360.15</v>
      </c>
      <c r="F1789" t="s">
        <v>324</v>
      </c>
      <c r="G1789" t="s">
        <v>337</v>
      </c>
      <c r="I1789" t="s">
        <v>8</v>
      </c>
      <c r="J1789" t="s">
        <v>13</v>
      </c>
      <c r="K1789" t="s">
        <v>14</v>
      </c>
      <c r="L1789" t="s">
        <v>304</v>
      </c>
      <c r="M1789" t="s">
        <v>305</v>
      </c>
      <c r="N1789">
        <v>1E-3</v>
      </c>
      <c r="O1789" t="str">
        <f>IF(Transactions_RAW_cleaned[[#This Row],[Status]]="Completed", IFERROR(_xlfn.XLOOKUP(Transactions_RAW_cleaned[[#This Row],[CustomerID]], Customers_cleaned[CustomerID], Customers_cleaned[Segment]), "Customer Not Found"), "N/A")</f>
        <v>SMB</v>
      </c>
      <c r="P1789" s="5" t="str">
        <f>IF(Transactions_RAW_cleaned[[#This Row],[Status]]="Refunded", "Refund",
  IF(Transactions_RAW_cleaned[[#This Row],[Category]]="Payments", IF(Transactions_RAW_cleaned[[#This Row],[Amount]]&gt;500,"High Value","Standard"),
    IF(Transactions_RAW_cleaned[[#This Row],[Amount]]&gt;250,"High Value","Standard")))</f>
        <v>High Value</v>
      </c>
      <c r="Q1789" s="5" t="str">
        <f>IF(Transactions_RAW_cleaned[[#This Row],[Amount]] &gt; (_xlfn.XLOOKUP(Transactions_RAW_cleaned[[#This Row],[ServiceID]],Services_cleaned[ServiceID],Services_cleaned[TransactionFeePct]) * 10000), "Yes", "No")</f>
        <v>Yes</v>
      </c>
      <c r="R1789" s="5" t="str">
        <f>IF(COUNTIFS($C$2:Transactions_RAW_cleaned[[#This Row],[CustomerID]],Transactions_RAW_cleaned[[#This Row],[CustomerID]],$D$2:Transactions_RAW_cleaned[[#This Row],[ServiceID]],Transactions_RAW_cleaned[[#This Row],[ServiceID]])=1,"Yes","No")</f>
        <v>No</v>
      </c>
      <c r="S178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89" t="str">
        <f>"Q"&amp;ROUNDUP(MONTH(Transactions_RAW_cleaned[[#This Row],[TransactionDate]])/3,0)</f>
        <v>Q3</v>
      </c>
      <c r="U1789" t="str">
        <f>Transactions_RAW_cleaned[[#This Row],[Region ]]&amp;Transactions_RAW_cleaned[[#This Row],[Quarter ]]</f>
        <v>NAQ3</v>
      </c>
      <c r="V1789" s="5">
        <f>_xlfn.XLOOKUP(Transactions_RAW_cleaned[[#This Row],[RegionQuarterKey]], Quarterly_Targets_cleaned[RegionQuarterKey], Quarterly_Targets_cleaned[TargetRevenue])</f>
        <v>273000</v>
      </c>
    </row>
    <row r="1790" spans="1:22" x14ac:dyDescent="0.25">
      <c r="A1790" t="s">
        <v>2126</v>
      </c>
      <c r="B1790" s="1">
        <v>45416</v>
      </c>
      <c r="C1790" t="s">
        <v>253</v>
      </c>
      <c r="D1790" t="s">
        <v>309</v>
      </c>
      <c r="E1790">
        <v>230.55</v>
      </c>
      <c r="F1790" t="s">
        <v>381</v>
      </c>
      <c r="G1790" t="s">
        <v>327</v>
      </c>
      <c r="I1790" t="s">
        <v>8</v>
      </c>
      <c r="J1790" t="s">
        <v>102</v>
      </c>
      <c r="K1790" t="s">
        <v>28</v>
      </c>
      <c r="L1790" t="s">
        <v>310</v>
      </c>
      <c r="M1790" t="s">
        <v>311</v>
      </c>
      <c r="N1790">
        <v>0</v>
      </c>
      <c r="O1790" t="str">
        <f>IF(Transactions_RAW_cleaned[[#This Row],[Status]]="Completed", IFERROR(_xlfn.XLOOKUP(Transactions_RAW_cleaned[[#This Row],[CustomerID]], Customers_cleaned[CustomerID], Customers_cleaned[Segment]), "Customer Not Found"), "N/A")</f>
        <v>N/A</v>
      </c>
      <c r="P1790" s="5" t="str">
        <f>IF(Transactions_RAW_cleaned[[#This Row],[Status]]="Refunded", "Refund",
  IF(Transactions_RAW_cleaned[[#This Row],[Category]]="Payments", IF(Transactions_RAW_cleaned[[#This Row],[Amount]]&gt;500,"High Value","Standard"),
    IF(Transactions_RAW_cleaned[[#This Row],[Amount]]&gt;250,"High Value","Standard")))</f>
        <v>Standard</v>
      </c>
      <c r="Q1790" s="5" t="str">
        <f>IF(Transactions_RAW_cleaned[[#This Row],[Amount]] &gt; (_xlfn.XLOOKUP(Transactions_RAW_cleaned[[#This Row],[ServiceID]],Services_cleaned[ServiceID],Services_cleaned[TransactionFeePct]) * 10000), "Yes", "No")</f>
        <v>Yes</v>
      </c>
      <c r="R1790" s="5" t="str">
        <f>IF(COUNTIFS($C$2:Transactions_RAW_cleaned[[#This Row],[CustomerID]],Transactions_RAW_cleaned[[#This Row],[CustomerID]],$D$2:Transactions_RAW_cleaned[[#This Row],[ServiceID]],Transactions_RAW_cleaned[[#This Row],[ServiceID]])=1,"Yes","No")</f>
        <v>No</v>
      </c>
      <c r="S179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90" t="str">
        <f>"Q"&amp;ROUNDUP(MONTH(Transactions_RAW_cleaned[[#This Row],[TransactionDate]])/3,0)</f>
        <v>Q2</v>
      </c>
      <c r="U1790" t="str">
        <f>Transactions_RAW_cleaned[[#This Row],[Region ]]&amp;Transactions_RAW_cleaned[[#This Row],[Quarter ]]</f>
        <v>NAQ2</v>
      </c>
      <c r="V1790" s="5">
        <f>_xlfn.XLOOKUP(Transactions_RAW_cleaned[[#This Row],[RegionQuarterKey]], Quarterly_Targets_cleaned[RegionQuarterKey], Quarterly_Targets_cleaned[TargetRevenue])</f>
        <v>260000</v>
      </c>
    </row>
    <row r="1791" spans="1:22" x14ac:dyDescent="0.25">
      <c r="A1791" t="s">
        <v>2127</v>
      </c>
      <c r="B1791" s="1">
        <v>45315</v>
      </c>
      <c r="C1791" t="s">
        <v>229</v>
      </c>
      <c r="D1791" t="s">
        <v>294</v>
      </c>
      <c r="E1791">
        <v>146.57</v>
      </c>
      <c r="F1791" t="s">
        <v>381</v>
      </c>
      <c r="G1791" t="s">
        <v>325</v>
      </c>
      <c r="H1791" t="s">
        <v>332</v>
      </c>
      <c r="I1791" t="s">
        <v>17</v>
      </c>
      <c r="J1791" t="s">
        <v>102</v>
      </c>
      <c r="K1791" t="s">
        <v>18</v>
      </c>
      <c r="L1791" t="s">
        <v>295</v>
      </c>
      <c r="M1791" t="s">
        <v>296</v>
      </c>
      <c r="N1791">
        <v>2.9000000000000001E-2</v>
      </c>
      <c r="O1791" t="str">
        <f>IF(Transactions_RAW_cleaned[[#This Row],[Status]]="Completed", IFERROR(_xlfn.XLOOKUP(Transactions_RAW_cleaned[[#This Row],[CustomerID]], Customers_cleaned[CustomerID], Customers_cleaned[Segment]), "Customer Not Found"), "N/A")</f>
        <v>N/A</v>
      </c>
      <c r="P1791" s="5" t="str">
        <f>IF(Transactions_RAW_cleaned[[#This Row],[Status]]="Refunded", "Refund",
  IF(Transactions_RAW_cleaned[[#This Row],[Category]]="Payments", IF(Transactions_RAW_cleaned[[#This Row],[Amount]]&gt;500,"High Value","Standard"),
    IF(Transactions_RAW_cleaned[[#This Row],[Amount]]&gt;250,"High Value","Standard")))</f>
        <v>Standard</v>
      </c>
      <c r="Q1791" s="5" t="str">
        <f>IF(Transactions_RAW_cleaned[[#This Row],[Amount]] &gt; (_xlfn.XLOOKUP(Transactions_RAW_cleaned[[#This Row],[ServiceID]],Services_cleaned[ServiceID],Services_cleaned[TransactionFeePct]) * 10000), "Yes", "No")</f>
        <v>No</v>
      </c>
      <c r="R1791" s="5" t="str">
        <f>IF(COUNTIFS($C$2:Transactions_RAW_cleaned[[#This Row],[CustomerID]],Transactions_RAW_cleaned[[#This Row],[CustomerID]],$D$2:Transactions_RAW_cleaned[[#This Row],[ServiceID]],Transactions_RAW_cleaned[[#This Row],[ServiceID]])=1,"Yes","No")</f>
        <v>No</v>
      </c>
      <c r="S179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91" t="str">
        <f>"Q"&amp;ROUNDUP(MONTH(Transactions_RAW_cleaned[[#This Row],[TransactionDate]])/3,0)</f>
        <v>Q1</v>
      </c>
      <c r="U1791" t="str">
        <f>Transactions_RAW_cleaned[[#This Row],[Region ]]&amp;Transactions_RAW_cleaned[[#This Row],[Quarter ]]</f>
        <v>NAQ1</v>
      </c>
      <c r="V1791" s="5">
        <f>_xlfn.XLOOKUP(Transactions_RAW_cleaned[[#This Row],[RegionQuarterKey]], Quarterly_Targets_cleaned[RegionQuarterKey], Quarterly_Targets_cleaned[TargetRevenue])</f>
        <v>247000</v>
      </c>
    </row>
    <row r="1792" spans="1:22" x14ac:dyDescent="0.25">
      <c r="A1792" t="s">
        <v>2128</v>
      </c>
      <c r="B1792" s="1">
        <v>45560</v>
      </c>
      <c r="C1792" t="s">
        <v>92</v>
      </c>
      <c r="D1792" t="s">
        <v>303</v>
      </c>
      <c r="E1792">
        <v>67.819999999999993</v>
      </c>
      <c r="F1792" t="s">
        <v>381</v>
      </c>
      <c r="G1792" t="s">
        <v>2963</v>
      </c>
      <c r="I1792" t="s">
        <v>8</v>
      </c>
      <c r="J1792" t="s">
        <v>102</v>
      </c>
      <c r="K1792" t="s">
        <v>10</v>
      </c>
      <c r="L1792" t="s">
        <v>304</v>
      </c>
      <c r="M1792" t="s">
        <v>305</v>
      </c>
      <c r="N1792">
        <v>1E-3</v>
      </c>
      <c r="O1792" t="str">
        <f>IF(Transactions_RAW_cleaned[[#This Row],[Status]]="Completed", IFERROR(_xlfn.XLOOKUP(Transactions_RAW_cleaned[[#This Row],[CustomerID]], Customers_cleaned[CustomerID], Customers_cleaned[Segment]), "Customer Not Found"), "N/A")</f>
        <v>N/A</v>
      </c>
      <c r="P1792" s="5" t="str">
        <f>IF(Transactions_RAW_cleaned[[#This Row],[Status]]="Refunded", "Refund",
  IF(Transactions_RAW_cleaned[[#This Row],[Category]]="Payments", IF(Transactions_RAW_cleaned[[#This Row],[Amount]]&gt;500,"High Value","Standard"),
    IF(Transactions_RAW_cleaned[[#This Row],[Amount]]&gt;250,"High Value","Standard")))</f>
        <v>Standard</v>
      </c>
      <c r="Q1792" s="5" t="str">
        <f>IF(Transactions_RAW_cleaned[[#This Row],[Amount]] &gt; (_xlfn.XLOOKUP(Transactions_RAW_cleaned[[#This Row],[ServiceID]],Services_cleaned[ServiceID],Services_cleaned[TransactionFeePct]) * 10000), "Yes", "No")</f>
        <v>Yes</v>
      </c>
      <c r="R1792" s="5" t="str">
        <f>IF(COUNTIFS($C$2:Transactions_RAW_cleaned[[#This Row],[CustomerID]],Transactions_RAW_cleaned[[#This Row],[CustomerID]],$D$2:Transactions_RAW_cleaned[[#This Row],[ServiceID]],Transactions_RAW_cleaned[[#This Row],[ServiceID]])=1,"Yes","No")</f>
        <v>No</v>
      </c>
      <c r="S179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92" t="str">
        <f>"Q"&amp;ROUNDUP(MONTH(Transactions_RAW_cleaned[[#This Row],[TransactionDate]])/3,0)</f>
        <v>Q3</v>
      </c>
      <c r="U1792" t="str">
        <f>Transactions_RAW_cleaned[[#This Row],[Region ]]&amp;Transactions_RAW_cleaned[[#This Row],[Quarter ]]</f>
        <v>NAQ3</v>
      </c>
      <c r="V1792" s="5">
        <f>_xlfn.XLOOKUP(Transactions_RAW_cleaned[[#This Row],[RegionQuarterKey]], Quarterly_Targets_cleaned[RegionQuarterKey], Quarterly_Targets_cleaned[TargetRevenue])</f>
        <v>273000</v>
      </c>
    </row>
    <row r="1793" spans="1:22" x14ac:dyDescent="0.25">
      <c r="A1793" t="s">
        <v>2129</v>
      </c>
      <c r="B1793" s="1">
        <v>45385</v>
      </c>
      <c r="C1793" t="s">
        <v>125</v>
      </c>
      <c r="D1793" t="s">
        <v>294</v>
      </c>
      <c r="E1793">
        <v>825.03</v>
      </c>
      <c r="F1793" t="s">
        <v>324</v>
      </c>
      <c r="G1793" t="s">
        <v>337</v>
      </c>
      <c r="H1793" t="s">
        <v>334</v>
      </c>
      <c r="I1793" t="s">
        <v>8</v>
      </c>
      <c r="J1793" t="s">
        <v>13</v>
      </c>
      <c r="K1793" t="s">
        <v>28</v>
      </c>
      <c r="L1793" t="s">
        <v>295</v>
      </c>
      <c r="M1793" t="s">
        <v>296</v>
      </c>
      <c r="N1793">
        <v>2.9000000000000001E-2</v>
      </c>
      <c r="O1793" t="str">
        <f>IF(Transactions_RAW_cleaned[[#This Row],[Status]]="Completed", IFERROR(_xlfn.XLOOKUP(Transactions_RAW_cleaned[[#This Row],[CustomerID]], Customers_cleaned[CustomerID], Customers_cleaned[Segment]), "Customer Not Found"), "N/A")</f>
        <v>SMB</v>
      </c>
      <c r="P1793" s="5" t="str">
        <f>IF(Transactions_RAW_cleaned[[#This Row],[Status]]="Refunded", "Refund",
  IF(Transactions_RAW_cleaned[[#This Row],[Category]]="Payments", IF(Transactions_RAW_cleaned[[#This Row],[Amount]]&gt;500,"High Value","Standard"),
    IF(Transactions_RAW_cleaned[[#This Row],[Amount]]&gt;250,"High Value","Standard")))</f>
        <v>High Value</v>
      </c>
      <c r="Q1793" s="5" t="str">
        <f>IF(Transactions_RAW_cleaned[[#This Row],[Amount]] &gt; (_xlfn.XLOOKUP(Transactions_RAW_cleaned[[#This Row],[ServiceID]],Services_cleaned[ServiceID],Services_cleaned[TransactionFeePct]) * 10000), "Yes", "No")</f>
        <v>Yes</v>
      </c>
      <c r="R1793" s="5" t="str">
        <f>IF(COUNTIFS($C$2:Transactions_RAW_cleaned[[#This Row],[CustomerID]],Transactions_RAW_cleaned[[#This Row],[CustomerID]],$D$2:Transactions_RAW_cleaned[[#This Row],[ServiceID]],Transactions_RAW_cleaned[[#This Row],[ServiceID]])=1,"Yes","No")</f>
        <v>No</v>
      </c>
      <c r="S179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93" t="str">
        <f>"Q"&amp;ROUNDUP(MONTH(Transactions_RAW_cleaned[[#This Row],[TransactionDate]])/3,0)</f>
        <v>Q2</v>
      </c>
      <c r="U1793" t="str">
        <f>Transactions_RAW_cleaned[[#This Row],[Region ]]&amp;Transactions_RAW_cleaned[[#This Row],[Quarter ]]</f>
        <v>NAQ2</v>
      </c>
      <c r="V1793" s="5">
        <f>_xlfn.XLOOKUP(Transactions_RAW_cleaned[[#This Row],[RegionQuarterKey]], Quarterly_Targets_cleaned[RegionQuarterKey], Quarterly_Targets_cleaned[TargetRevenue])</f>
        <v>260000</v>
      </c>
    </row>
    <row r="1794" spans="1:22" x14ac:dyDescent="0.25">
      <c r="A1794" t="s">
        <v>2130</v>
      </c>
      <c r="B1794" s="1">
        <v>45319</v>
      </c>
      <c r="C1794" t="s">
        <v>239</v>
      </c>
      <c r="D1794" t="s">
        <v>300</v>
      </c>
      <c r="E1794">
        <v>295.89</v>
      </c>
      <c r="F1794" t="s">
        <v>324</v>
      </c>
      <c r="G1794" t="s">
        <v>325</v>
      </c>
      <c r="H1794" t="s">
        <v>334</v>
      </c>
      <c r="I1794" t="s">
        <v>57</v>
      </c>
      <c r="J1794" t="s">
        <v>102</v>
      </c>
      <c r="K1794" t="s">
        <v>10</v>
      </c>
      <c r="L1794" t="s">
        <v>301</v>
      </c>
      <c r="M1794" t="s">
        <v>302</v>
      </c>
      <c r="N1794">
        <v>5.0000000000000001E-3</v>
      </c>
      <c r="O1794" t="str">
        <f>IF(Transactions_RAW_cleaned[[#This Row],[Status]]="Completed", IFERROR(_xlfn.XLOOKUP(Transactions_RAW_cleaned[[#This Row],[CustomerID]], Customers_cleaned[CustomerID], Customers_cleaned[Segment]), "Customer Not Found"), "N/A")</f>
        <v>Startup</v>
      </c>
      <c r="P1794" s="5" t="str">
        <f>IF(Transactions_RAW_cleaned[[#This Row],[Status]]="Refunded", "Refund",
  IF(Transactions_RAW_cleaned[[#This Row],[Category]]="Payments", IF(Transactions_RAW_cleaned[[#This Row],[Amount]]&gt;500,"High Value","Standard"),
    IF(Transactions_RAW_cleaned[[#This Row],[Amount]]&gt;250,"High Value","Standard")))</f>
        <v>High Value</v>
      </c>
      <c r="Q1794" s="5" t="str">
        <f>IF(Transactions_RAW_cleaned[[#This Row],[Amount]] &gt; (_xlfn.XLOOKUP(Transactions_RAW_cleaned[[#This Row],[ServiceID]],Services_cleaned[ServiceID],Services_cleaned[TransactionFeePct]) * 10000), "Yes", "No")</f>
        <v>Yes</v>
      </c>
      <c r="R1794" s="5" t="str">
        <f>IF(COUNTIFS($C$2:Transactions_RAW_cleaned[[#This Row],[CustomerID]],Transactions_RAW_cleaned[[#This Row],[CustomerID]],$D$2:Transactions_RAW_cleaned[[#This Row],[ServiceID]],Transactions_RAW_cleaned[[#This Row],[ServiceID]])=1,"Yes","No")</f>
        <v>No</v>
      </c>
      <c r="S179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94" t="str">
        <f>"Q"&amp;ROUNDUP(MONTH(Transactions_RAW_cleaned[[#This Row],[TransactionDate]])/3,0)</f>
        <v>Q1</v>
      </c>
      <c r="U1794" t="str">
        <f>Transactions_RAW_cleaned[[#This Row],[Region ]]&amp;Transactions_RAW_cleaned[[#This Row],[Quarter ]]</f>
        <v>NAQ1</v>
      </c>
      <c r="V1794" s="5">
        <f>_xlfn.XLOOKUP(Transactions_RAW_cleaned[[#This Row],[RegionQuarterKey]], Quarterly_Targets_cleaned[RegionQuarterKey], Quarterly_Targets_cleaned[TargetRevenue])</f>
        <v>247000</v>
      </c>
    </row>
    <row r="1795" spans="1:22" x14ac:dyDescent="0.25">
      <c r="A1795" t="s">
        <v>2131</v>
      </c>
      <c r="B1795" s="1">
        <v>45437</v>
      </c>
      <c r="C1795" t="s">
        <v>197</v>
      </c>
      <c r="D1795" t="s">
        <v>300</v>
      </c>
      <c r="E1795">
        <v>470.73</v>
      </c>
      <c r="F1795" t="s">
        <v>331</v>
      </c>
      <c r="G1795" t="s">
        <v>337</v>
      </c>
      <c r="H1795" t="s">
        <v>346</v>
      </c>
      <c r="I1795" t="s">
        <v>8</v>
      </c>
      <c r="J1795" t="s">
        <v>46</v>
      </c>
      <c r="K1795" t="s">
        <v>14</v>
      </c>
      <c r="L1795" t="s">
        <v>301</v>
      </c>
      <c r="M1795" t="s">
        <v>302</v>
      </c>
      <c r="N1795">
        <v>5.0000000000000001E-3</v>
      </c>
      <c r="O1795" t="str">
        <f>IF(Transactions_RAW_cleaned[[#This Row],[Status]]="Completed", IFERROR(_xlfn.XLOOKUP(Transactions_RAW_cleaned[[#This Row],[CustomerID]], Customers_cleaned[CustomerID], Customers_cleaned[Segment]), "Customer Not Found"), "N/A")</f>
        <v>N/A</v>
      </c>
      <c r="P1795" s="5" t="str">
        <f>IF(Transactions_RAW_cleaned[[#This Row],[Status]]="Refunded", "Refund",
  IF(Transactions_RAW_cleaned[[#This Row],[Category]]="Payments", IF(Transactions_RAW_cleaned[[#This Row],[Amount]]&gt;500,"High Value","Standard"),
    IF(Transactions_RAW_cleaned[[#This Row],[Amount]]&gt;250,"High Value","Standard")))</f>
        <v>High Value</v>
      </c>
      <c r="Q1795" s="5" t="str">
        <f>IF(Transactions_RAW_cleaned[[#This Row],[Amount]] &gt; (_xlfn.XLOOKUP(Transactions_RAW_cleaned[[#This Row],[ServiceID]],Services_cleaned[ServiceID],Services_cleaned[TransactionFeePct]) * 10000), "Yes", "No")</f>
        <v>Yes</v>
      </c>
      <c r="R1795" s="5" t="str">
        <f>IF(COUNTIFS($C$2:Transactions_RAW_cleaned[[#This Row],[CustomerID]],Transactions_RAW_cleaned[[#This Row],[CustomerID]],$D$2:Transactions_RAW_cleaned[[#This Row],[ServiceID]],Transactions_RAW_cleaned[[#This Row],[ServiceID]])=1,"Yes","No")</f>
        <v>No</v>
      </c>
      <c r="S179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95" t="str">
        <f>"Q"&amp;ROUNDUP(MONTH(Transactions_RAW_cleaned[[#This Row],[TransactionDate]])/3,0)</f>
        <v>Q2</v>
      </c>
      <c r="U1795" t="str">
        <f>Transactions_RAW_cleaned[[#This Row],[Region ]]&amp;Transactions_RAW_cleaned[[#This Row],[Quarter ]]</f>
        <v>APACQ2</v>
      </c>
      <c r="V1795" s="5">
        <f>_xlfn.XLOOKUP(Transactions_RAW_cleaned[[#This Row],[RegionQuarterKey]], Quarterly_Targets_cleaned[RegionQuarterKey], Quarterly_Targets_cleaned[TargetRevenue])</f>
        <v>110000</v>
      </c>
    </row>
    <row r="1796" spans="1:22" x14ac:dyDescent="0.25">
      <c r="A1796" t="s">
        <v>2132</v>
      </c>
      <c r="B1796" s="1">
        <v>45333</v>
      </c>
      <c r="C1796" t="s">
        <v>23</v>
      </c>
      <c r="D1796" t="s">
        <v>312</v>
      </c>
      <c r="E1796">
        <v>422.67</v>
      </c>
      <c r="F1796" t="s">
        <v>324</v>
      </c>
      <c r="G1796" t="s">
        <v>325</v>
      </c>
      <c r="H1796" t="s">
        <v>334</v>
      </c>
      <c r="I1796" t="s">
        <v>8</v>
      </c>
      <c r="J1796" t="s">
        <v>25</v>
      </c>
      <c r="K1796" t="s">
        <v>22</v>
      </c>
      <c r="L1796" t="s">
        <v>313</v>
      </c>
      <c r="M1796" t="s">
        <v>314</v>
      </c>
      <c r="N1796">
        <v>0</v>
      </c>
      <c r="O1796" t="str">
        <f>IF(Transactions_RAW_cleaned[[#This Row],[Status]]="Completed", IFERROR(_xlfn.XLOOKUP(Transactions_RAW_cleaned[[#This Row],[CustomerID]], Customers_cleaned[CustomerID], Customers_cleaned[Segment]), "Customer Not Found"), "N/A")</f>
        <v>SMB</v>
      </c>
      <c r="P1796" s="5" t="str">
        <f>IF(Transactions_RAW_cleaned[[#This Row],[Status]]="Refunded", "Refund",
  IF(Transactions_RAW_cleaned[[#This Row],[Category]]="Payments", IF(Transactions_RAW_cleaned[[#This Row],[Amount]]&gt;500,"High Value","Standard"),
    IF(Transactions_RAW_cleaned[[#This Row],[Amount]]&gt;250,"High Value","Standard")))</f>
        <v>High Value</v>
      </c>
      <c r="Q1796" s="5" t="str">
        <f>IF(Transactions_RAW_cleaned[[#This Row],[Amount]] &gt; (_xlfn.XLOOKUP(Transactions_RAW_cleaned[[#This Row],[ServiceID]],Services_cleaned[ServiceID],Services_cleaned[TransactionFeePct]) * 10000), "Yes", "No")</f>
        <v>Yes</v>
      </c>
      <c r="R1796" s="5" t="str">
        <f>IF(COUNTIFS($C$2:Transactions_RAW_cleaned[[#This Row],[CustomerID]],Transactions_RAW_cleaned[[#This Row],[CustomerID]],$D$2:Transactions_RAW_cleaned[[#This Row],[ServiceID]],Transactions_RAW_cleaned[[#This Row],[ServiceID]])=1,"Yes","No")</f>
        <v>No</v>
      </c>
      <c r="S179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96" t="str">
        <f>"Q"&amp;ROUNDUP(MONTH(Transactions_RAW_cleaned[[#This Row],[TransactionDate]])/3,0)</f>
        <v>Q1</v>
      </c>
      <c r="U1796" t="str">
        <f>Transactions_RAW_cleaned[[#This Row],[Region ]]&amp;Transactions_RAW_cleaned[[#This Row],[Quarter ]]</f>
        <v>APACQ1</v>
      </c>
      <c r="V1796" s="5">
        <f>_xlfn.XLOOKUP(Transactions_RAW_cleaned[[#This Row],[RegionQuarterKey]], Quarterly_Targets_cleaned[RegionQuarterKey], Quarterly_Targets_cleaned[TargetRevenue])</f>
        <v>104500</v>
      </c>
    </row>
    <row r="1797" spans="1:22" x14ac:dyDescent="0.25">
      <c r="A1797" t="s">
        <v>2133</v>
      </c>
      <c r="B1797" s="1">
        <v>45352</v>
      </c>
      <c r="C1797" t="s">
        <v>199</v>
      </c>
      <c r="D1797" t="s">
        <v>294</v>
      </c>
      <c r="E1797">
        <v>347.74</v>
      </c>
      <c r="F1797" t="s">
        <v>324</v>
      </c>
      <c r="G1797" t="s">
        <v>337</v>
      </c>
      <c r="H1797" t="s">
        <v>346</v>
      </c>
      <c r="I1797" t="s">
        <v>8</v>
      </c>
      <c r="J1797" t="s">
        <v>13</v>
      </c>
      <c r="K1797" t="s">
        <v>32</v>
      </c>
      <c r="L1797" t="s">
        <v>295</v>
      </c>
      <c r="M1797" t="s">
        <v>296</v>
      </c>
      <c r="N1797">
        <v>2.9000000000000001E-2</v>
      </c>
      <c r="O1797" t="str">
        <f>IF(Transactions_RAW_cleaned[[#This Row],[Status]]="Completed", IFERROR(_xlfn.XLOOKUP(Transactions_RAW_cleaned[[#This Row],[CustomerID]], Customers_cleaned[CustomerID], Customers_cleaned[Segment]), "Customer Not Found"), "N/A")</f>
        <v>SMB</v>
      </c>
      <c r="P1797" s="5" t="str">
        <f>IF(Transactions_RAW_cleaned[[#This Row],[Status]]="Refunded", "Refund",
  IF(Transactions_RAW_cleaned[[#This Row],[Category]]="Payments", IF(Transactions_RAW_cleaned[[#This Row],[Amount]]&gt;500,"High Value","Standard"),
    IF(Transactions_RAW_cleaned[[#This Row],[Amount]]&gt;250,"High Value","Standard")))</f>
        <v>Standard</v>
      </c>
      <c r="Q1797" s="5" t="str">
        <f>IF(Transactions_RAW_cleaned[[#This Row],[Amount]] &gt; (_xlfn.XLOOKUP(Transactions_RAW_cleaned[[#This Row],[ServiceID]],Services_cleaned[ServiceID],Services_cleaned[TransactionFeePct]) * 10000), "Yes", "No")</f>
        <v>Yes</v>
      </c>
      <c r="R1797" s="5" t="str">
        <f>IF(COUNTIFS($C$2:Transactions_RAW_cleaned[[#This Row],[CustomerID]],Transactions_RAW_cleaned[[#This Row],[CustomerID]],$D$2:Transactions_RAW_cleaned[[#This Row],[ServiceID]],Transactions_RAW_cleaned[[#This Row],[ServiceID]])=1,"Yes","No")</f>
        <v>No</v>
      </c>
      <c r="S179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97" t="str">
        <f>"Q"&amp;ROUNDUP(MONTH(Transactions_RAW_cleaned[[#This Row],[TransactionDate]])/3,0)</f>
        <v>Q1</v>
      </c>
      <c r="U1797" t="str">
        <f>Transactions_RAW_cleaned[[#This Row],[Region ]]&amp;Transactions_RAW_cleaned[[#This Row],[Quarter ]]</f>
        <v>NAQ1</v>
      </c>
      <c r="V1797" s="5">
        <f>_xlfn.XLOOKUP(Transactions_RAW_cleaned[[#This Row],[RegionQuarterKey]], Quarterly_Targets_cleaned[RegionQuarterKey], Quarterly_Targets_cleaned[TargetRevenue])</f>
        <v>247000</v>
      </c>
    </row>
    <row r="1798" spans="1:22" x14ac:dyDescent="0.25">
      <c r="A1798" t="s">
        <v>2134</v>
      </c>
      <c r="B1798" s="1">
        <v>45613</v>
      </c>
      <c r="C1798" t="s">
        <v>113</v>
      </c>
      <c r="D1798" t="s">
        <v>312</v>
      </c>
      <c r="E1798">
        <v>333.46</v>
      </c>
      <c r="F1798" t="s">
        <v>324</v>
      </c>
      <c r="G1798" t="s">
        <v>327</v>
      </c>
      <c r="I1798" t="s">
        <v>57</v>
      </c>
      <c r="J1798" t="s">
        <v>46</v>
      </c>
      <c r="K1798" t="s">
        <v>10</v>
      </c>
      <c r="L1798" t="s">
        <v>313</v>
      </c>
      <c r="M1798" t="s">
        <v>314</v>
      </c>
      <c r="N1798">
        <v>0</v>
      </c>
      <c r="O1798" t="str">
        <f>IF(Transactions_RAW_cleaned[[#This Row],[Status]]="Completed", IFERROR(_xlfn.XLOOKUP(Transactions_RAW_cleaned[[#This Row],[CustomerID]], Customers_cleaned[CustomerID], Customers_cleaned[Segment]), "Customer Not Found"), "N/A")</f>
        <v>Startup</v>
      </c>
      <c r="P1798" s="5" t="str">
        <f>IF(Transactions_RAW_cleaned[[#This Row],[Status]]="Refunded", "Refund",
  IF(Transactions_RAW_cleaned[[#This Row],[Category]]="Payments", IF(Transactions_RAW_cleaned[[#This Row],[Amount]]&gt;500,"High Value","Standard"),
    IF(Transactions_RAW_cleaned[[#This Row],[Amount]]&gt;250,"High Value","Standard")))</f>
        <v>High Value</v>
      </c>
      <c r="Q1798" s="5" t="str">
        <f>IF(Transactions_RAW_cleaned[[#This Row],[Amount]] &gt; (_xlfn.XLOOKUP(Transactions_RAW_cleaned[[#This Row],[ServiceID]],Services_cleaned[ServiceID],Services_cleaned[TransactionFeePct]) * 10000), "Yes", "No")</f>
        <v>Yes</v>
      </c>
      <c r="R1798" s="5" t="str">
        <f>IF(COUNTIFS($C$2:Transactions_RAW_cleaned[[#This Row],[CustomerID]],Transactions_RAW_cleaned[[#This Row],[CustomerID]],$D$2:Transactions_RAW_cleaned[[#This Row],[ServiceID]],Transactions_RAW_cleaned[[#This Row],[ServiceID]])=1,"Yes","No")</f>
        <v>No</v>
      </c>
      <c r="S179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798" t="str">
        <f>"Q"&amp;ROUNDUP(MONTH(Transactions_RAW_cleaned[[#This Row],[TransactionDate]])/3,0)</f>
        <v>Q4</v>
      </c>
      <c r="U1798" t="str">
        <f>Transactions_RAW_cleaned[[#This Row],[Region ]]&amp;Transactions_RAW_cleaned[[#This Row],[Quarter ]]</f>
        <v>APACQ4</v>
      </c>
      <c r="V1798" s="5">
        <f>_xlfn.XLOOKUP(Transactions_RAW_cleaned[[#This Row],[RegionQuarterKey]], Quarterly_Targets_cleaned[RegionQuarterKey], Quarterly_Targets_cleaned[TargetRevenue])</f>
        <v>126500</v>
      </c>
    </row>
    <row r="1799" spans="1:22" x14ac:dyDescent="0.25">
      <c r="A1799" t="s">
        <v>2135</v>
      </c>
      <c r="B1799" s="1">
        <v>45382</v>
      </c>
      <c r="C1799" t="s">
        <v>169</v>
      </c>
      <c r="D1799" t="s">
        <v>306</v>
      </c>
      <c r="E1799">
        <v>444.73</v>
      </c>
      <c r="F1799" t="s">
        <v>324</v>
      </c>
      <c r="G1799" t="s">
        <v>329</v>
      </c>
      <c r="I1799" t="s">
        <v>8</v>
      </c>
      <c r="J1799" t="s">
        <v>13</v>
      </c>
      <c r="K1799" t="s">
        <v>32</v>
      </c>
      <c r="L1799" t="s">
        <v>307</v>
      </c>
      <c r="M1799" t="s">
        <v>308</v>
      </c>
      <c r="N1799">
        <v>0</v>
      </c>
      <c r="O1799" t="str">
        <f>IF(Transactions_RAW_cleaned[[#This Row],[Status]]="Completed", IFERROR(_xlfn.XLOOKUP(Transactions_RAW_cleaned[[#This Row],[CustomerID]], Customers_cleaned[CustomerID], Customers_cleaned[Segment]), "Customer Not Found"), "N/A")</f>
        <v>SMB</v>
      </c>
      <c r="P1799" s="5" t="str">
        <f>IF(Transactions_RAW_cleaned[[#This Row],[Status]]="Refunded", "Refund",
  IF(Transactions_RAW_cleaned[[#This Row],[Category]]="Payments", IF(Transactions_RAW_cleaned[[#This Row],[Amount]]&gt;500,"High Value","Standard"),
    IF(Transactions_RAW_cleaned[[#This Row],[Amount]]&gt;250,"High Value","Standard")))</f>
        <v>High Value</v>
      </c>
      <c r="Q1799" s="5" t="str">
        <f>IF(Transactions_RAW_cleaned[[#This Row],[Amount]] &gt; (_xlfn.XLOOKUP(Transactions_RAW_cleaned[[#This Row],[ServiceID]],Services_cleaned[ServiceID],Services_cleaned[TransactionFeePct]) * 10000), "Yes", "No")</f>
        <v>Yes</v>
      </c>
      <c r="R1799" s="5" t="str">
        <f>IF(COUNTIFS($C$2:Transactions_RAW_cleaned[[#This Row],[CustomerID]],Transactions_RAW_cleaned[[#This Row],[CustomerID]],$D$2:Transactions_RAW_cleaned[[#This Row],[ServiceID]],Transactions_RAW_cleaned[[#This Row],[ServiceID]])=1,"Yes","No")</f>
        <v>No</v>
      </c>
      <c r="S179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799" t="str">
        <f>"Q"&amp;ROUNDUP(MONTH(Transactions_RAW_cleaned[[#This Row],[TransactionDate]])/3,0)</f>
        <v>Q1</v>
      </c>
      <c r="U1799" t="str">
        <f>Transactions_RAW_cleaned[[#This Row],[Region ]]&amp;Transactions_RAW_cleaned[[#This Row],[Quarter ]]</f>
        <v>NAQ1</v>
      </c>
      <c r="V1799" s="5">
        <f>_xlfn.XLOOKUP(Transactions_RAW_cleaned[[#This Row],[RegionQuarterKey]], Quarterly_Targets_cleaned[RegionQuarterKey], Quarterly_Targets_cleaned[TargetRevenue])</f>
        <v>247000</v>
      </c>
    </row>
    <row r="1800" spans="1:22" x14ac:dyDescent="0.25">
      <c r="A1800" t="s">
        <v>2136</v>
      </c>
      <c r="B1800" s="1">
        <v>45440</v>
      </c>
      <c r="C1800" t="s">
        <v>11</v>
      </c>
      <c r="D1800" t="s">
        <v>312</v>
      </c>
      <c r="E1800">
        <v>357.77</v>
      </c>
      <c r="F1800" t="s">
        <v>324</v>
      </c>
      <c r="G1800" t="s">
        <v>329</v>
      </c>
      <c r="H1800" t="s">
        <v>346</v>
      </c>
      <c r="I1800" t="s">
        <v>8</v>
      </c>
      <c r="J1800" t="s">
        <v>13</v>
      </c>
      <c r="K1800" t="s">
        <v>14</v>
      </c>
      <c r="L1800" t="s">
        <v>313</v>
      </c>
      <c r="M1800" t="s">
        <v>314</v>
      </c>
      <c r="N1800">
        <v>0</v>
      </c>
      <c r="O1800" t="str">
        <f>IF(Transactions_RAW_cleaned[[#This Row],[Status]]="Completed", IFERROR(_xlfn.XLOOKUP(Transactions_RAW_cleaned[[#This Row],[CustomerID]], Customers_cleaned[CustomerID], Customers_cleaned[Segment]), "Customer Not Found"), "N/A")</f>
        <v>SMB</v>
      </c>
      <c r="P1800" s="5" t="str">
        <f>IF(Transactions_RAW_cleaned[[#This Row],[Status]]="Refunded", "Refund",
  IF(Transactions_RAW_cleaned[[#This Row],[Category]]="Payments", IF(Transactions_RAW_cleaned[[#This Row],[Amount]]&gt;500,"High Value","Standard"),
    IF(Transactions_RAW_cleaned[[#This Row],[Amount]]&gt;250,"High Value","Standard")))</f>
        <v>High Value</v>
      </c>
      <c r="Q1800" s="5" t="str">
        <f>IF(Transactions_RAW_cleaned[[#This Row],[Amount]] &gt; (_xlfn.XLOOKUP(Transactions_RAW_cleaned[[#This Row],[ServiceID]],Services_cleaned[ServiceID],Services_cleaned[TransactionFeePct]) * 10000), "Yes", "No")</f>
        <v>Yes</v>
      </c>
      <c r="R1800" s="5" t="str">
        <f>IF(COUNTIFS($C$2:Transactions_RAW_cleaned[[#This Row],[CustomerID]],Transactions_RAW_cleaned[[#This Row],[CustomerID]],$D$2:Transactions_RAW_cleaned[[#This Row],[ServiceID]],Transactions_RAW_cleaned[[#This Row],[ServiceID]])=1,"Yes","No")</f>
        <v>No</v>
      </c>
      <c r="S180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00" t="str">
        <f>"Q"&amp;ROUNDUP(MONTH(Transactions_RAW_cleaned[[#This Row],[TransactionDate]])/3,0)</f>
        <v>Q2</v>
      </c>
      <c r="U1800" t="str">
        <f>Transactions_RAW_cleaned[[#This Row],[Region ]]&amp;Transactions_RAW_cleaned[[#This Row],[Quarter ]]</f>
        <v>NAQ2</v>
      </c>
      <c r="V1800" s="5">
        <f>_xlfn.XLOOKUP(Transactions_RAW_cleaned[[#This Row],[RegionQuarterKey]], Quarterly_Targets_cleaned[RegionQuarterKey], Quarterly_Targets_cleaned[TargetRevenue])</f>
        <v>260000</v>
      </c>
    </row>
    <row r="1801" spans="1:22" x14ac:dyDescent="0.25">
      <c r="A1801" t="s">
        <v>2137</v>
      </c>
      <c r="B1801" s="1">
        <v>45516</v>
      </c>
      <c r="C1801" t="s">
        <v>23</v>
      </c>
      <c r="D1801" t="s">
        <v>312</v>
      </c>
      <c r="E1801">
        <v>1038.1600000000001</v>
      </c>
      <c r="F1801" t="s">
        <v>324</v>
      </c>
      <c r="G1801" t="s">
        <v>329</v>
      </c>
      <c r="I1801" t="s">
        <v>8</v>
      </c>
      <c r="J1801" t="s">
        <v>25</v>
      </c>
      <c r="K1801" t="s">
        <v>22</v>
      </c>
      <c r="L1801" t="s">
        <v>313</v>
      </c>
      <c r="M1801" t="s">
        <v>314</v>
      </c>
      <c r="N1801">
        <v>0</v>
      </c>
      <c r="O1801" t="str">
        <f>IF(Transactions_RAW_cleaned[[#This Row],[Status]]="Completed", IFERROR(_xlfn.XLOOKUP(Transactions_RAW_cleaned[[#This Row],[CustomerID]], Customers_cleaned[CustomerID], Customers_cleaned[Segment]), "Customer Not Found"), "N/A")</f>
        <v>SMB</v>
      </c>
      <c r="P1801" s="5" t="str">
        <f>IF(Transactions_RAW_cleaned[[#This Row],[Status]]="Refunded", "Refund",
  IF(Transactions_RAW_cleaned[[#This Row],[Category]]="Payments", IF(Transactions_RAW_cleaned[[#This Row],[Amount]]&gt;500,"High Value","Standard"),
    IF(Transactions_RAW_cleaned[[#This Row],[Amount]]&gt;250,"High Value","Standard")))</f>
        <v>High Value</v>
      </c>
      <c r="Q1801" s="5" t="str">
        <f>IF(Transactions_RAW_cleaned[[#This Row],[Amount]] &gt; (_xlfn.XLOOKUP(Transactions_RAW_cleaned[[#This Row],[ServiceID]],Services_cleaned[ServiceID],Services_cleaned[TransactionFeePct]) * 10000), "Yes", "No")</f>
        <v>Yes</v>
      </c>
      <c r="R1801" s="5" t="str">
        <f>IF(COUNTIFS($C$2:Transactions_RAW_cleaned[[#This Row],[CustomerID]],Transactions_RAW_cleaned[[#This Row],[CustomerID]],$D$2:Transactions_RAW_cleaned[[#This Row],[ServiceID]],Transactions_RAW_cleaned[[#This Row],[ServiceID]])=1,"Yes","No")</f>
        <v>No</v>
      </c>
      <c r="S180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01" t="str">
        <f>"Q"&amp;ROUNDUP(MONTH(Transactions_RAW_cleaned[[#This Row],[TransactionDate]])/3,0)</f>
        <v>Q3</v>
      </c>
      <c r="U1801" t="str">
        <f>Transactions_RAW_cleaned[[#This Row],[Region ]]&amp;Transactions_RAW_cleaned[[#This Row],[Quarter ]]</f>
        <v>APACQ3</v>
      </c>
      <c r="V1801" s="5">
        <f>_xlfn.XLOOKUP(Transactions_RAW_cleaned[[#This Row],[RegionQuarterKey]], Quarterly_Targets_cleaned[RegionQuarterKey], Quarterly_Targets_cleaned[TargetRevenue])</f>
        <v>115500</v>
      </c>
    </row>
    <row r="1802" spans="1:22" x14ac:dyDescent="0.25">
      <c r="A1802" t="s">
        <v>2138</v>
      </c>
      <c r="B1802" s="1">
        <v>45375</v>
      </c>
      <c r="C1802" t="s">
        <v>273</v>
      </c>
      <c r="D1802" t="s">
        <v>294</v>
      </c>
      <c r="E1802">
        <v>636.37</v>
      </c>
      <c r="F1802" t="s">
        <v>381</v>
      </c>
      <c r="G1802" t="s">
        <v>329</v>
      </c>
      <c r="H1802" t="s">
        <v>334</v>
      </c>
      <c r="I1802" t="s">
        <v>17</v>
      </c>
      <c r="J1802" t="s">
        <v>102</v>
      </c>
      <c r="K1802" t="s">
        <v>22</v>
      </c>
      <c r="L1802" t="s">
        <v>295</v>
      </c>
      <c r="M1802" t="s">
        <v>296</v>
      </c>
      <c r="N1802">
        <v>2.9000000000000001E-2</v>
      </c>
      <c r="O1802" t="str">
        <f>IF(Transactions_RAW_cleaned[[#This Row],[Status]]="Completed", IFERROR(_xlfn.XLOOKUP(Transactions_RAW_cleaned[[#This Row],[CustomerID]], Customers_cleaned[CustomerID], Customers_cleaned[Segment]), "Customer Not Found"), "N/A")</f>
        <v>N/A</v>
      </c>
      <c r="P1802" s="5" t="str">
        <f>IF(Transactions_RAW_cleaned[[#This Row],[Status]]="Refunded", "Refund",
  IF(Transactions_RAW_cleaned[[#This Row],[Category]]="Payments", IF(Transactions_RAW_cleaned[[#This Row],[Amount]]&gt;500,"High Value","Standard"),
    IF(Transactions_RAW_cleaned[[#This Row],[Amount]]&gt;250,"High Value","Standard")))</f>
        <v>High Value</v>
      </c>
      <c r="Q1802" s="5" t="str">
        <f>IF(Transactions_RAW_cleaned[[#This Row],[Amount]] &gt; (_xlfn.XLOOKUP(Transactions_RAW_cleaned[[#This Row],[ServiceID]],Services_cleaned[ServiceID],Services_cleaned[TransactionFeePct]) * 10000), "Yes", "No")</f>
        <v>Yes</v>
      </c>
      <c r="R1802" s="5" t="str">
        <f>IF(COUNTIFS($C$2:Transactions_RAW_cleaned[[#This Row],[CustomerID]],Transactions_RAW_cleaned[[#This Row],[CustomerID]],$D$2:Transactions_RAW_cleaned[[#This Row],[ServiceID]],Transactions_RAW_cleaned[[#This Row],[ServiceID]])=1,"Yes","No")</f>
        <v>No</v>
      </c>
      <c r="S180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02" t="str">
        <f>"Q"&amp;ROUNDUP(MONTH(Transactions_RAW_cleaned[[#This Row],[TransactionDate]])/3,0)</f>
        <v>Q1</v>
      </c>
      <c r="U1802" t="str">
        <f>Transactions_RAW_cleaned[[#This Row],[Region ]]&amp;Transactions_RAW_cleaned[[#This Row],[Quarter ]]</f>
        <v>NAQ1</v>
      </c>
      <c r="V1802" s="5">
        <f>_xlfn.XLOOKUP(Transactions_RAW_cleaned[[#This Row],[RegionQuarterKey]], Quarterly_Targets_cleaned[RegionQuarterKey], Quarterly_Targets_cleaned[TargetRevenue])</f>
        <v>247000</v>
      </c>
    </row>
    <row r="1803" spans="1:22" x14ac:dyDescent="0.25">
      <c r="A1803" t="s">
        <v>2139</v>
      </c>
      <c r="B1803" s="1">
        <v>45329</v>
      </c>
      <c r="C1803" t="s">
        <v>84</v>
      </c>
      <c r="D1803" t="s">
        <v>294</v>
      </c>
      <c r="E1803">
        <v>54.76</v>
      </c>
      <c r="F1803" t="s">
        <v>324</v>
      </c>
      <c r="G1803" t="s">
        <v>327</v>
      </c>
      <c r="I1803" t="s">
        <v>8</v>
      </c>
      <c r="J1803" t="s">
        <v>46</v>
      </c>
      <c r="K1803" t="s">
        <v>28</v>
      </c>
      <c r="L1803" t="s">
        <v>295</v>
      </c>
      <c r="M1803" t="s">
        <v>296</v>
      </c>
      <c r="N1803">
        <v>2.9000000000000001E-2</v>
      </c>
      <c r="O1803" t="str">
        <f>IF(Transactions_RAW_cleaned[[#This Row],[Status]]="Completed", IFERROR(_xlfn.XLOOKUP(Transactions_RAW_cleaned[[#This Row],[CustomerID]], Customers_cleaned[CustomerID], Customers_cleaned[Segment]), "Customer Not Found"), "N/A")</f>
        <v>SMB</v>
      </c>
      <c r="P1803" s="5" t="str">
        <f>IF(Transactions_RAW_cleaned[[#This Row],[Status]]="Refunded", "Refund",
  IF(Transactions_RAW_cleaned[[#This Row],[Category]]="Payments", IF(Transactions_RAW_cleaned[[#This Row],[Amount]]&gt;500,"High Value","Standard"),
    IF(Transactions_RAW_cleaned[[#This Row],[Amount]]&gt;250,"High Value","Standard")))</f>
        <v>Standard</v>
      </c>
      <c r="Q1803" s="5" t="str">
        <f>IF(Transactions_RAW_cleaned[[#This Row],[Amount]] &gt; (_xlfn.XLOOKUP(Transactions_RAW_cleaned[[#This Row],[ServiceID]],Services_cleaned[ServiceID],Services_cleaned[TransactionFeePct]) * 10000), "Yes", "No")</f>
        <v>No</v>
      </c>
      <c r="R1803" s="5" t="str">
        <f>IF(COUNTIFS($C$2:Transactions_RAW_cleaned[[#This Row],[CustomerID]],Transactions_RAW_cleaned[[#This Row],[CustomerID]],$D$2:Transactions_RAW_cleaned[[#This Row],[ServiceID]],Transactions_RAW_cleaned[[#This Row],[ServiceID]])=1,"Yes","No")</f>
        <v>No</v>
      </c>
      <c r="S180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03" t="str">
        <f>"Q"&amp;ROUNDUP(MONTH(Transactions_RAW_cleaned[[#This Row],[TransactionDate]])/3,0)</f>
        <v>Q1</v>
      </c>
      <c r="U1803" t="str">
        <f>Transactions_RAW_cleaned[[#This Row],[Region ]]&amp;Transactions_RAW_cleaned[[#This Row],[Quarter ]]</f>
        <v>APACQ1</v>
      </c>
      <c r="V1803" s="5">
        <f>_xlfn.XLOOKUP(Transactions_RAW_cleaned[[#This Row],[RegionQuarterKey]], Quarterly_Targets_cleaned[RegionQuarterKey], Quarterly_Targets_cleaned[TargetRevenue])</f>
        <v>104500</v>
      </c>
    </row>
    <row r="1804" spans="1:22" x14ac:dyDescent="0.25">
      <c r="A1804" t="s">
        <v>2140</v>
      </c>
      <c r="B1804" s="1">
        <v>45471</v>
      </c>
      <c r="C1804" t="s">
        <v>157</v>
      </c>
      <c r="D1804" t="s">
        <v>297</v>
      </c>
      <c r="E1804">
        <v>131.03</v>
      </c>
      <c r="F1804" t="s">
        <v>324</v>
      </c>
      <c r="G1804" t="s">
        <v>337</v>
      </c>
      <c r="I1804" t="s">
        <v>8</v>
      </c>
      <c r="J1804" t="s">
        <v>102</v>
      </c>
      <c r="K1804" t="s">
        <v>14</v>
      </c>
      <c r="L1804" t="s">
        <v>298</v>
      </c>
      <c r="M1804" t="s">
        <v>299</v>
      </c>
      <c r="N1804">
        <v>0</v>
      </c>
      <c r="O1804" t="str">
        <f>IF(Transactions_RAW_cleaned[[#This Row],[Status]]="Completed", IFERROR(_xlfn.XLOOKUP(Transactions_RAW_cleaned[[#This Row],[CustomerID]], Customers_cleaned[CustomerID], Customers_cleaned[Segment]), "Customer Not Found"), "N/A")</f>
        <v>SMB</v>
      </c>
      <c r="P1804" s="5" t="str">
        <f>IF(Transactions_RAW_cleaned[[#This Row],[Status]]="Refunded", "Refund",
  IF(Transactions_RAW_cleaned[[#This Row],[Category]]="Payments", IF(Transactions_RAW_cleaned[[#This Row],[Amount]]&gt;500,"High Value","Standard"),
    IF(Transactions_RAW_cleaned[[#This Row],[Amount]]&gt;250,"High Value","Standard")))</f>
        <v>Standard</v>
      </c>
      <c r="Q1804" s="5" t="str">
        <f>IF(Transactions_RAW_cleaned[[#This Row],[Amount]] &gt; (_xlfn.XLOOKUP(Transactions_RAW_cleaned[[#This Row],[ServiceID]],Services_cleaned[ServiceID],Services_cleaned[TransactionFeePct]) * 10000), "Yes", "No")</f>
        <v>Yes</v>
      </c>
      <c r="R1804" s="5" t="str">
        <f>IF(COUNTIFS($C$2:Transactions_RAW_cleaned[[#This Row],[CustomerID]],Transactions_RAW_cleaned[[#This Row],[CustomerID]],$D$2:Transactions_RAW_cleaned[[#This Row],[ServiceID]],Transactions_RAW_cleaned[[#This Row],[ServiceID]])=1,"Yes","No")</f>
        <v>No</v>
      </c>
      <c r="S180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04" t="str">
        <f>"Q"&amp;ROUNDUP(MONTH(Transactions_RAW_cleaned[[#This Row],[TransactionDate]])/3,0)</f>
        <v>Q2</v>
      </c>
      <c r="U1804" t="str">
        <f>Transactions_RAW_cleaned[[#This Row],[Region ]]&amp;Transactions_RAW_cleaned[[#This Row],[Quarter ]]</f>
        <v>NAQ2</v>
      </c>
      <c r="V1804" s="5">
        <f>_xlfn.XLOOKUP(Transactions_RAW_cleaned[[#This Row],[RegionQuarterKey]], Quarterly_Targets_cleaned[RegionQuarterKey], Quarterly_Targets_cleaned[TargetRevenue])</f>
        <v>260000</v>
      </c>
    </row>
    <row r="1805" spans="1:22" x14ac:dyDescent="0.25">
      <c r="A1805" t="s">
        <v>2141</v>
      </c>
      <c r="B1805" s="1">
        <v>45390</v>
      </c>
      <c r="C1805" t="s">
        <v>98</v>
      </c>
      <c r="D1805" t="s">
        <v>294</v>
      </c>
      <c r="E1805">
        <v>764.09</v>
      </c>
      <c r="F1805" t="s">
        <v>324</v>
      </c>
      <c r="G1805" t="s">
        <v>337</v>
      </c>
      <c r="H1805" t="s">
        <v>332</v>
      </c>
      <c r="I1805" t="s">
        <v>8</v>
      </c>
      <c r="J1805" t="s">
        <v>37</v>
      </c>
      <c r="K1805" t="s">
        <v>18</v>
      </c>
      <c r="L1805" t="s">
        <v>295</v>
      </c>
      <c r="M1805" t="s">
        <v>296</v>
      </c>
      <c r="N1805">
        <v>2.9000000000000001E-2</v>
      </c>
      <c r="O1805" t="str">
        <f>IF(Transactions_RAW_cleaned[[#This Row],[Status]]="Completed", IFERROR(_xlfn.XLOOKUP(Transactions_RAW_cleaned[[#This Row],[CustomerID]], Customers_cleaned[CustomerID], Customers_cleaned[Segment]), "Customer Not Found"), "N/A")</f>
        <v>SMB</v>
      </c>
      <c r="P1805" s="5" t="str">
        <f>IF(Transactions_RAW_cleaned[[#This Row],[Status]]="Refunded", "Refund",
  IF(Transactions_RAW_cleaned[[#This Row],[Category]]="Payments", IF(Transactions_RAW_cleaned[[#This Row],[Amount]]&gt;500,"High Value","Standard"),
    IF(Transactions_RAW_cleaned[[#This Row],[Amount]]&gt;250,"High Value","Standard")))</f>
        <v>High Value</v>
      </c>
      <c r="Q1805" s="5" t="str">
        <f>IF(Transactions_RAW_cleaned[[#This Row],[Amount]] &gt; (_xlfn.XLOOKUP(Transactions_RAW_cleaned[[#This Row],[ServiceID]],Services_cleaned[ServiceID],Services_cleaned[TransactionFeePct]) * 10000), "Yes", "No")</f>
        <v>Yes</v>
      </c>
      <c r="R1805" s="5" t="str">
        <f>IF(COUNTIFS($C$2:Transactions_RAW_cleaned[[#This Row],[CustomerID]],Transactions_RAW_cleaned[[#This Row],[CustomerID]],$D$2:Transactions_RAW_cleaned[[#This Row],[ServiceID]],Transactions_RAW_cleaned[[#This Row],[ServiceID]])=1,"Yes","No")</f>
        <v>No</v>
      </c>
      <c r="S180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805" t="str">
        <f>"Q"&amp;ROUNDUP(MONTH(Transactions_RAW_cleaned[[#This Row],[TransactionDate]])/3,0)</f>
        <v>Q2</v>
      </c>
      <c r="U1805" t="str">
        <f>Transactions_RAW_cleaned[[#This Row],[Region ]]&amp;Transactions_RAW_cleaned[[#This Row],[Quarter ]]</f>
        <v>EMEAQ2</v>
      </c>
      <c r="V1805" s="5">
        <f>_xlfn.XLOOKUP(Transactions_RAW_cleaned[[#This Row],[RegionQuarterKey]], Quarterly_Targets_cleaned[RegionQuarterKey], Quarterly_Targets_cleaned[TargetRevenue])</f>
        <v>140000</v>
      </c>
    </row>
    <row r="1806" spans="1:22" x14ac:dyDescent="0.25">
      <c r="A1806" t="s">
        <v>2142</v>
      </c>
      <c r="B1806" s="1">
        <v>45400</v>
      </c>
      <c r="C1806" t="s">
        <v>137</v>
      </c>
      <c r="D1806" t="s">
        <v>294</v>
      </c>
      <c r="E1806">
        <v>588.97</v>
      </c>
      <c r="F1806" t="s">
        <v>324</v>
      </c>
      <c r="G1806" t="s">
        <v>325</v>
      </c>
      <c r="I1806" t="s">
        <v>8</v>
      </c>
      <c r="J1806" t="s">
        <v>13</v>
      </c>
      <c r="K1806" t="s">
        <v>18</v>
      </c>
      <c r="L1806" t="s">
        <v>295</v>
      </c>
      <c r="M1806" t="s">
        <v>296</v>
      </c>
      <c r="N1806">
        <v>2.9000000000000001E-2</v>
      </c>
      <c r="O1806" t="str">
        <f>IF(Transactions_RAW_cleaned[[#This Row],[Status]]="Completed", IFERROR(_xlfn.XLOOKUP(Transactions_RAW_cleaned[[#This Row],[CustomerID]], Customers_cleaned[CustomerID], Customers_cleaned[Segment]), "Customer Not Found"), "N/A")</f>
        <v>SMB</v>
      </c>
      <c r="P1806" s="5" t="str">
        <f>IF(Transactions_RAW_cleaned[[#This Row],[Status]]="Refunded", "Refund",
  IF(Transactions_RAW_cleaned[[#This Row],[Category]]="Payments", IF(Transactions_RAW_cleaned[[#This Row],[Amount]]&gt;500,"High Value","Standard"),
    IF(Transactions_RAW_cleaned[[#This Row],[Amount]]&gt;250,"High Value","Standard")))</f>
        <v>High Value</v>
      </c>
      <c r="Q1806" s="5" t="str">
        <f>IF(Transactions_RAW_cleaned[[#This Row],[Amount]] &gt; (_xlfn.XLOOKUP(Transactions_RAW_cleaned[[#This Row],[ServiceID]],Services_cleaned[ServiceID],Services_cleaned[TransactionFeePct]) * 10000), "Yes", "No")</f>
        <v>Yes</v>
      </c>
      <c r="R1806" s="5" t="str">
        <f>IF(COUNTIFS($C$2:Transactions_RAW_cleaned[[#This Row],[CustomerID]],Transactions_RAW_cleaned[[#This Row],[CustomerID]],$D$2:Transactions_RAW_cleaned[[#This Row],[ServiceID]],Transactions_RAW_cleaned[[#This Row],[ServiceID]])=1,"Yes","No")</f>
        <v>No</v>
      </c>
      <c r="S180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06" t="str">
        <f>"Q"&amp;ROUNDUP(MONTH(Transactions_RAW_cleaned[[#This Row],[TransactionDate]])/3,0)</f>
        <v>Q2</v>
      </c>
      <c r="U1806" t="str">
        <f>Transactions_RAW_cleaned[[#This Row],[Region ]]&amp;Transactions_RAW_cleaned[[#This Row],[Quarter ]]</f>
        <v>NAQ2</v>
      </c>
      <c r="V1806" s="5">
        <f>_xlfn.XLOOKUP(Transactions_RAW_cleaned[[#This Row],[RegionQuarterKey]], Quarterly_Targets_cleaned[RegionQuarterKey], Quarterly_Targets_cleaned[TargetRevenue])</f>
        <v>260000</v>
      </c>
    </row>
    <row r="1807" spans="1:22" x14ac:dyDescent="0.25">
      <c r="A1807" t="s">
        <v>2143</v>
      </c>
      <c r="B1807" s="1">
        <v>45483</v>
      </c>
      <c r="C1807" t="s">
        <v>175</v>
      </c>
      <c r="D1807" t="s">
        <v>297</v>
      </c>
      <c r="E1807">
        <v>332.08</v>
      </c>
      <c r="F1807" t="s">
        <v>331</v>
      </c>
      <c r="G1807" t="s">
        <v>327</v>
      </c>
      <c r="I1807" t="s">
        <v>8</v>
      </c>
      <c r="J1807" t="s">
        <v>31</v>
      </c>
      <c r="K1807" t="s">
        <v>32</v>
      </c>
      <c r="L1807" t="s">
        <v>298</v>
      </c>
      <c r="M1807" t="s">
        <v>299</v>
      </c>
      <c r="N1807">
        <v>0</v>
      </c>
      <c r="O1807" t="str">
        <f>IF(Transactions_RAW_cleaned[[#This Row],[Status]]="Completed", IFERROR(_xlfn.XLOOKUP(Transactions_RAW_cleaned[[#This Row],[CustomerID]], Customers_cleaned[CustomerID], Customers_cleaned[Segment]), "Customer Not Found"), "N/A")</f>
        <v>N/A</v>
      </c>
      <c r="P1807" s="5" t="str">
        <f>IF(Transactions_RAW_cleaned[[#This Row],[Status]]="Refunded", "Refund",
  IF(Transactions_RAW_cleaned[[#This Row],[Category]]="Payments", IF(Transactions_RAW_cleaned[[#This Row],[Amount]]&gt;500,"High Value","Standard"),
    IF(Transactions_RAW_cleaned[[#This Row],[Amount]]&gt;250,"High Value","Standard")))</f>
        <v>High Value</v>
      </c>
      <c r="Q1807" s="5" t="str">
        <f>IF(Transactions_RAW_cleaned[[#This Row],[Amount]] &gt; (_xlfn.XLOOKUP(Transactions_RAW_cleaned[[#This Row],[ServiceID]],Services_cleaned[ServiceID],Services_cleaned[TransactionFeePct]) * 10000), "Yes", "No")</f>
        <v>Yes</v>
      </c>
      <c r="R1807" s="5" t="str">
        <f>IF(COUNTIFS($C$2:Transactions_RAW_cleaned[[#This Row],[CustomerID]],Transactions_RAW_cleaned[[#This Row],[CustomerID]],$D$2:Transactions_RAW_cleaned[[#This Row],[ServiceID]],Transactions_RAW_cleaned[[#This Row],[ServiceID]])=1,"Yes","No")</f>
        <v>No</v>
      </c>
      <c r="S180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807" t="str">
        <f>"Q"&amp;ROUNDUP(MONTH(Transactions_RAW_cleaned[[#This Row],[TransactionDate]])/3,0)</f>
        <v>Q3</v>
      </c>
      <c r="U1807" t="str">
        <f>Transactions_RAW_cleaned[[#This Row],[Region ]]&amp;Transactions_RAW_cleaned[[#This Row],[Quarter ]]</f>
        <v>EMEAQ3</v>
      </c>
      <c r="V1807" s="5">
        <f>_xlfn.XLOOKUP(Transactions_RAW_cleaned[[#This Row],[RegionQuarterKey]], Quarterly_Targets_cleaned[RegionQuarterKey], Quarterly_Targets_cleaned[TargetRevenue])</f>
        <v>147000</v>
      </c>
    </row>
    <row r="1808" spans="1:22" x14ac:dyDescent="0.25">
      <c r="A1808" t="s">
        <v>2144</v>
      </c>
      <c r="B1808" s="1">
        <v>45467</v>
      </c>
      <c r="C1808" t="s">
        <v>125</v>
      </c>
      <c r="D1808" t="s">
        <v>297</v>
      </c>
      <c r="E1808">
        <v>494.34</v>
      </c>
      <c r="F1808" t="s">
        <v>331</v>
      </c>
      <c r="G1808" t="s">
        <v>327</v>
      </c>
      <c r="I1808" t="s">
        <v>8</v>
      </c>
      <c r="J1808" t="s">
        <v>13</v>
      </c>
      <c r="K1808" t="s">
        <v>28</v>
      </c>
      <c r="L1808" t="s">
        <v>298</v>
      </c>
      <c r="M1808" t="s">
        <v>299</v>
      </c>
      <c r="N1808">
        <v>0</v>
      </c>
      <c r="O1808" t="str">
        <f>IF(Transactions_RAW_cleaned[[#This Row],[Status]]="Completed", IFERROR(_xlfn.XLOOKUP(Transactions_RAW_cleaned[[#This Row],[CustomerID]], Customers_cleaned[CustomerID], Customers_cleaned[Segment]), "Customer Not Found"), "N/A")</f>
        <v>N/A</v>
      </c>
      <c r="P1808" s="5" t="str">
        <f>IF(Transactions_RAW_cleaned[[#This Row],[Status]]="Refunded", "Refund",
  IF(Transactions_RAW_cleaned[[#This Row],[Category]]="Payments", IF(Transactions_RAW_cleaned[[#This Row],[Amount]]&gt;500,"High Value","Standard"),
    IF(Transactions_RAW_cleaned[[#This Row],[Amount]]&gt;250,"High Value","Standard")))</f>
        <v>High Value</v>
      </c>
      <c r="Q1808" s="5" t="str">
        <f>IF(Transactions_RAW_cleaned[[#This Row],[Amount]] &gt; (_xlfn.XLOOKUP(Transactions_RAW_cleaned[[#This Row],[ServiceID]],Services_cleaned[ServiceID],Services_cleaned[TransactionFeePct]) * 10000), "Yes", "No")</f>
        <v>Yes</v>
      </c>
      <c r="R1808" s="5" t="str">
        <f>IF(COUNTIFS($C$2:Transactions_RAW_cleaned[[#This Row],[CustomerID]],Transactions_RAW_cleaned[[#This Row],[CustomerID]],$D$2:Transactions_RAW_cleaned[[#This Row],[ServiceID]],Transactions_RAW_cleaned[[#This Row],[ServiceID]])=1,"Yes","No")</f>
        <v>No</v>
      </c>
      <c r="S180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08" t="str">
        <f>"Q"&amp;ROUNDUP(MONTH(Transactions_RAW_cleaned[[#This Row],[TransactionDate]])/3,0)</f>
        <v>Q2</v>
      </c>
      <c r="U1808" t="str">
        <f>Transactions_RAW_cleaned[[#This Row],[Region ]]&amp;Transactions_RAW_cleaned[[#This Row],[Quarter ]]</f>
        <v>NAQ2</v>
      </c>
      <c r="V1808" s="5">
        <f>_xlfn.XLOOKUP(Transactions_RAW_cleaned[[#This Row],[RegionQuarterKey]], Quarterly_Targets_cleaned[RegionQuarterKey], Quarterly_Targets_cleaned[TargetRevenue])</f>
        <v>260000</v>
      </c>
    </row>
    <row r="1809" spans="1:22" x14ac:dyDescent="0.25">
      <c r="A1809" t="s">
        <v>2145</v>
      </c>
      <c r="B1809" s="1">
        <v>45407</v>
      </c>
      <c r="C1809" t="s">
        <v>195</v>
      </c>
      <c r="D1809" t="s">
        <v>312</v>
      </c>
      <c r="E1809">
        <v>471.08</v>
      </c>
      <c r="F1809" t="s">
        <v>324</v>
      </c>
      <c r="G1809" t="s">
        <v>325</v>
      </c>
      <c r="H1809" t="s">
        <v>346</v>
      </c>
      <c r="I1809" t="s">
        <v>8</v>
      </c>
      <c r="J1809" t="s">
        <v>102</v>
      </c>
      <c r="K1809" t="s">
        <v>32</v>
      </c>
      <c r="L1809" t="s">
        <v>313</v>
      </c>
      <c r="M1809" t="s">
        <v>314</v>
      </c>
      <c r="N1809">
        <v>0</v>
      </c>
      <c r="O1809" t="str">
        <f>IF(Transactions_RAW_cleaned[[#This Row],[Status]]="Completed", IFERROR(_xlfn.XLOOKUP(Transactions_RAW_cleaned[[#This Row],[CustomerID]], Customers_cleaned[CustomerID], Customers_cleaned[Segment]), "Customer Not Found"), "N/A")</f>
        <v>SMB</v>
      </c>
      <c r="P1809" s="5" t="str">
        <f>IF(Transactions_RAW_cleaned[[#This Row],[Status]]="Refunded", "Refund",
  IF(Transactions_RAW_cleaned[[#This Row],[Category]]="Payments", IF(Transactions_RAW_cleaned[[#This Row],[Amount]]&gt;500,"High Value","Standard"),
    IF(Transactions_RAW_cleaned[[#This Row],[Amount]]&gt;250,"High Value","Standard")))</f>
        <v>High Value</v>
      </c>
      <c r="Q1809" s="5" t="str">
        <f>IF(Transactions_RAW_cleaned[[#This Row],[Amount]] &gt; (_xlfn.XLOOKUP(Transactions_RAW_cleaned[[#This Row],[ServiceID]],Services_cleaned[ServiceID],Services_cleaned[TransactionFeePct]) * 10000), "Yes", "No")</f>
        <v>Yes</v>
      </c>
      <c r="R1809" s="5" t="str">
        <f>IF(COUNTIFS($C$2:Transactions_RAW_cleaned[[#This Row],[CustomerID]],Transactions_RAW_cleaned[[#This Row],[CustomerID]],$D$2:Transactions_RAW_cleaned[[#This Row],[ServiceID]],Transactions_RAW_cleaned[[#This Row],[ServiceID]])=1,"Yes","No")</f>
        <v>No</v>
      </c>
      <c r="S180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09" t="str">
        <f>"Q"&amp;ROUNDUP(MONTH(Transactions_RAW_cleaned[[#This Row],[TransactionDate]])/3,0)</f>
        <v>Q2</v>
      </c>
      <c r="U1809" t="str">
        <f>Transactions_RAW_cleaned[[#This Row],[Region ]]&amp;Transactions_RAW_cleaned[[#This Row],[Quarter ]]</f>
        <v>NAQ2</v>
      </c>
      <c r="V1809" s="5">
        <f>_xlfn.XLOOKUP(Transactions_RAW_cleaned[[#This Row],[RegionQuarterKey]], Quarterly_Targets_cleaned[RegionQuarterKey], Quarterly_Targets_cleaned[TargetRevenue])</f>
        <v>260000</v>
      </c>
    </row>
    <row r="1810" spans="1:22" x14ac:dyDescent="0.25">
      <c r="A1810" t="s">
        <v>2146</v>
      </c>
      <c r="B1810" s="1">
        <v>45317</v>
      </c>
      <c r="C1810" t="s">
        <v>62</v>
      </c>
      <c r="D1810" t="s">
        <v>300</v>
      </c>
      <c r="E1810">
        <v>713.25</v>
      </c>
      <c r="F1810" t="s">
        <v>324</v>
      </c>
      <c r="G1810" t="s">
        <v>327</v>
      </c>
      <c r="H1810" t="s">
        <v>346</v>
      </c>
      <c r="I1810" t="s">
        <v>8</v>
      </c>
      <c r="J1810" t="s">
        <v>46</v>
      </c>
      <c r="K1810" t="s">
        <v>18</v>
      </c>
      <c r="L1810" t="s">
        <v>301</v>
      </c>
      <c r="M1810" t="s">
        <v>302</v>
      </c>
      <c r="N1810">
        <v>5.0000000000000001E-3</v>
      </c>
      <c r="O1810" t="str">
        <f>IF(Transactions_RAW_cleaned[[#This Row],[Status]]="Completed", IFERROR(_xlfn.XLOOKUP(Transactions_RAW_cleaned[[#This Row],[CustomerID]], Customers_cleaned[CustomerID], Customers_cleaned[Segment]), "Customer Not Found"), "N/A")</f>
        <v>SMB</v>
      </c>
      <c r="P1810" s="5" t="str">
        <f>IF(Transactions_RAW_cleaned[[#This Row],[Status]]="Refunded", "Refund",
  IF(Transactions_RAW_cleaned[[#This Row],[Category]]="Payments", IF(Transactions_RAW_cleaned[[#This Row],[Amount]]&gt;500,"High Value","Standard"),
    IF(Transactions_RAW_cleaned[[#This Row],[Amount]]&gt;250,"High Value","Standard")))</f>
        <v>High Value</v>
      </c>
      <c r="Q1810" s="5" t="str">
        <f>IF(Transactions_RAW_cleaned[[#This Row],[Amount]] &gt; (_xlfn.XLOOKUP(Transactions_RAW_cleaned[[#This Row],[ServiceID]],Services_cleaned[ServiceID],Services_cleaned[TransactionFeePct]) * 10000), "Yes", "No")</f>
        <v>Yes</v>
      </c>
      <c r="R1810" s="5" t="str">
        <f>IF(COUNTIFS($C$2:Transactions_RAW_cleaned[[#This Row],[CustomerID]],Transactions_RAW_cleaned[[#This Row],[CustomerID]],$D$2:Transactions_RAW_cleaned[[#This Row],[ServiceID]],Transactions_RAW_cleaned[[#This Row],[ServiceID]])=1,"Yes","No")</f>
        <v>No</v>
      </c>
      <c r="S181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10" t="str">
        <f>"Q"&amp;ROUNDUP(MONTH(Transactions_RAW_cleaned[[#This Row],[TransactionDate]])/3,0)</f>
        <v>Q1</v>
      </c>
      <c r="U1810" t="str">
        <f>Transactions_RAW_cleaned[[#This Row],[Region ]]&amp;Transactions_RAW_cleaned[[#This Row],[Quarter ]]</f>
        <v>APACQ1</v>
      </c>
      <c r="V1810" s="5">
        <f>_xlfn.XLOOKUP(Transactions_RAW_cleaned[[#This Row],[RegionQuarterKey]], Quarterly_Targets_cleaned[RegionQuarterKey], Quarterly_Targets_cleaned[TargetRevenue])</f>
        <v>104500</v>
      </c>
    </row>
    <row r="1811" spans="1:22" x14ac:dyDescent="0.25">
      <c r="A1811" t="s">
        <v>2147</v>
      </c>
      <c r="B1811" s="1">
        <v>45314</v>
      </c>
      <c r="C1811" t="s">
        <v>111</v>
      </c>
      <c r="D1811" t="s">
        <v>309</v>
      </c>
      <c r="E1811">
        <v>558.95000000000005</v>
      </c>
      <c r="F1811" t="s">
        <v>324</v>
      </c>
      <c r="G1811" t="s">
        <v>337</v>
      </c>
      <c r="H1811" t="s">
        <v>332</v>
      </c>
      <c r="I1811" t="s">
        <v>8</v>
      </c>
      <c r="J1811" t="s">
        <v>21</v>
      </c>
      <c r="K1811" t="s">
        <v>28</v>
      </c>
      <c r="L1811" t="s">
        <v>310</v>
      </c>
      <c r="M1811" t="s">
        <v>311</v>
      </c>
      <c r="N1811">
        <v>0</v>
      </c>
      <c r="O1811" t="str">
        <f>IF(Transactions_RAW_cleaned[[#This Row],[Status]]="Completed", IFERROR(_xlfn.XLOOKUP(Transactions_RAW_cleaned[[#This Row],[CustomerID]], Customers_cleaned[CustomerID], Customers_cleaned[Segment]), "Customer Not Found"), "N/A")</f>
        <v>SMB</v>
      </c>
      <c r="P1811" s="5" t="str">
        <f>IF(Transactions_RAW_cleaned[[#This Row],[Status]]="Refunded", "Refund",
  IF(Transactions_RAW_cleaned[[#This Row],[Category]]="Payments", IF(Transactions_RAW_cleaned[[#This Row],[Amount]]&gt;500,"High Value","Standard"),
    IF(Transactions_RAW_cleaned[[#This Row],[Amount]]&gt;250,"High Value","Standard")))</f>
        <v>High Value</v>
      </c>
      <c r="Q1811" s="5" t="str">
        <f>IF(Transactions_RAW_cleaned[[#This Row],[Amount]] &gt; (_xlfn.XLOOKUP(Transactions_RAW_cleaned[[#This Row],[ServiceID]],Services_cleaned[ServiceID],Services_cleaned[TransactionFeePct]) * 10000), "Yes", "No")</f>
        <v>Yes</v>
      </c>
      <c r="R1811" s="5" t="str">
        <f>IF(COUNTIFS($C$2:Transactions_RAW_cleaned[[#This Row],[CustomerID]],Transactions_RAW_cleaned[[#This Row],[CustomerID]],$D$2:Transactions_RAW_cleaned[[#This Row],[ServiceID]],Transactions_RAW_cleaned[[#This Row],[ServiceID]])=1,"Yes","No")</f>
        <v>No</v>
      </c>
      <c r="S181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11" t="str">
        <f>"Q"&amp;ROUNDUP(MONTH(Transactions_RAW_cleaned[[#This Row],[TransactionDate]])/3,0)</f>
        <v>Q1</v>
      </c>
      <c r="U1811" t="str">
        <f>Transactions_RAW_cleaned[[#This Row],[Region ]]&amp;Transactions_RAW_cleaned[[#This Row],[Quarter ]]</f>
        <v>APACQ1</v>
      </c>
      <c r="V1811" s="5">
        <f>_xlfn.XLOOKUP(Transactions_RAW_cleaned[[#This Row],[RegionQuarterKey]], Quarterly_Targets_cleaned[RegionQuarterKey], Quarterly_Targets_cleaned[TargetRevenue])</f>
        <v>104500</v>
      </c>
    </row>
    <row r="1812" spans="1:22" x14ac:dyDescent="0.25">
      <c r="A1812" t="s">
        <v>2148</v>
      </c>
      <c r="B1812" s="1">
        <v>45329</v>
      </c>
      <c r="C1812" t="s">
        <v>135</v>
      </c>
      <c r="D1812" t="s">
        <v>294</v>
      </c>
      <c r="E1812">
        <v>478.42</v>
      </c>
      <c r="F1812" t="s">
        <v>381</v>
      </c>
      <c r="G1812" t="s">
        <v>325</v>
      </c>
      <c r="I1812" t="s">
        <v>8</v>
      </c>
      <c r="J1812" t="s">
        <v>46</v>
      </c>
      <c r="K1812" t="s">
        <v>10</v>
      </c>
      <c r="L1812" t="s">
        <v>295</v>
      </c>
      <c r="M1812" t="s">
        <v>296</v>
      </c>
      <c r="N1812">
        <v>2.9000000000000001E-2</v>
      </c>
      <c r="O1812" t="str">
        <f>IF(Transactions_RAW_cleaned[[#This Row],[Status]]="Completed", IFERROR(_xlfn.XLOOKUP(Transactions_RAW_cleaned[[#This Row],[CustomerID]], Customers_cleaned[CustomerID], Customers_cleaned[Segment]), "Customer Not Found"), "N/A")</f>
        <v>N/A</v>
      </c>
      <c r="P1812" s="5" t="str">
        <f>IF(Transactions_RAW_cleaned[[#This Row],[Status]]="Refunded", "Refund",
  IF(Transactions_RAW_cleaned[[#This Row],[Category]]="Payments", IF(Transactions_RAW_cleaned[[#This Row],[Amount]]&gt;500,"High Value","Standard"),
    IF(Transactions_RAW_cleaned[[#This Row],[Amount]]&gt;250,"High Value","Standard")))</f>
        <v>Standard</v>
      </c>
      <c r="Q1812" s="5" t="str">
        <f>IF(Transactions_RAW_cleaned[[#This Row],[Amount]] &gt; (_xlfn.XLOOKUP(Transactions_RAW_cleaned[[#This Row],[ServiceID]],Services_cleaned[ServiceID],Services_cleaned[TransactionFeePct]) * 10000), "Yes", "No")</f>
        <v>Yes</v>
      </c>
      <c r="R1812" s="5" t="str">
        <f>IF(COUNTIFS($C$2:Transactions_RAW_cleaned[[#This Row],[CustomerID]],Transactions_RAW_cleaned[[#This Row],[CustomerID]],$D$2:Transactions_RAW_cleaned[[#This Row],[ServiceID]],Transactions_RAW_cleaned[[#This Row],[ServiceID]])=1,"Yes","No")</f>
        <v>No</v>
      </c>
      <c r="S181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12" t="str">
        <f>"Q"&amp;ROUNDUP(MONTH(Transactions_RAW_cleaned[[#This Row],[TransactionDate]])/3,0)</f>
        <v>Q1</v>
      </c>
      <c r="U1812" t="str">
        <f>Transactions_RAW_cleaned[[#This Row],[Region ]]&amp;Transactions_RAW_cleaned[[#This Row],[Quarter ]]</f>
        <v>APACQ1</v>
      </c>
      <c r="V1812" s="5">
        <f>_xlfn.XLOOKUP(Transactions_RAW_cleaned[[#This Row],[RegionQuarterKey]], Quarterly_Targets_cleaned[RegionQuarterKey], Quarterly_Targets_cleaned[TargetRevenue])</f>
        <v>104500</v>
      </c>
    </row>
    <row r="1813" spans="1:22" x14ac:dyDescent="0.25">
      <c r="A1813" t="s">
        <v>2149</v>
      </c>
      <c r="B1813" s="1">
        <v>45508</v>
      </c>
      <c r="C1813" t="s">
        <v>133</v>
      </c>
      <c r="D1813" t="s">
        <v>294</v>
      </c>
      <c r="E1813">
        <v>104.37</v>
      </c>
      <c r="F1813" t="s">
        <v>324</v>
      </c>
      <c r="G1813" t="s">
        <v>337</v>
      </c>
      <c r="H1813" t="s">
        <v>332</v>
      </c>
      <c r="I1813" t="s">
        <v>17</v>
      </c>
      <c r="J1813" t="s">
        <v>102</v>
      </c>
      <c r="K1813" t="s">
        <v>22</v>
      </c>
      <c r="L1813" t="s">
        <v>295</v>
      </c>
      <c r="M1813" t="s">
        <v>296</v>
      </c>
      <c r="N1813">
        <v>2.9000000000000001E-2</v>
      </c>
      <c r="O1813" t="str">
        <f>IF(Transactions_RAW_cleaned[[#This Row],[Status]]="Completed", IFERROR(_xlfn.XLOOKUP(Transactions_RAW_cleaned[[#This Row],[CustomerID]], Customers_cleaned[CustomerID], Customers_cleaned[Segment]), "Customer Not Found"), "N/A")</f>
        <v>Enterprise</v>
      </c>
      <c r="P1813" s="5" t="str">
        <f>IF(Transactions_RAW_cleaned[[#This Row],[Status]]="Refunded", "Refund",
  IF(Transactions_RAW_cleaned[[#This Row],[Category]]="Payments", IF(Transactions_RAW_cleaned[[#This Row],[Amount]]&gt;500,"High Value","Standard"),
    IF(Transactions_RAW_cleaned[[#This Row],[Amount]]&gt;250,"High Value","Standard")))</f>
        <v>Standard</v>
      </c>
      <c r="Q1813" s="5" t="str">
        <f>IF(Transactions_RAW_cleaned[[#This Row],[Amount]] &gt; (_xlfn.XLOOKUP(Transactions_RAW_cleaned[[#This Row],[ServiceID]],Services_cleaned[ServiceID],Services_cleaned[TransactionFeePct]) * 10000), "Yes", "No")</f>
        <v>No</v>
      </c>
      <c r="R1813" s="5" t="str">
        <f>IF(COUNTIFS($C$2:Transactions_RAW_cleaned[[#This Row],[CustomerID]],Transactions_RAW_cleaned[[#This Row],[CustomerID]],$D$2:Transactions_RAW_cleaned[[#This Row],[ServiceID]],Transactions_RAW_cleaned[[#This Row],[ServiceID]])=1,"Yes","No")</f>
        <v>No</v>
      </c>
      <c r="S181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13" t="str">
        <f>"Q"&amp;ROUNDUP(MONTH(Transactions_RAW_cleaned[[#This Row],[TransactionDate]])/3,0)</f>
        <v>Q3</v>
      </c>
      <c r="U1813" t="str">
        <f>Transactions_RAW_cleaned[[#This Row],[Region ]]&amp;Transactions_RAW_cleaned[[#This Row],[Quarter ]]</f>
        <v>NAQ3</v>
      </c>
      <c r="V1813" s="5">
        <f>_xlfn.XLOOKUP(Transactions_RAW_cleaned[[#This Row],[RegionQuarterKey]], Quarterly_Targets_cleaned[RegionQuarterKey], Quarterly_Targets_cleaned[TargetRevenue])</f>
        <v>273000</v>
      </c>
    </row>
    <row r="1814" spans="1:22" x14ac:dyDescent="0.25">
      <c r="A1814" t="s">
        <v>2150</v>
      </c>
      <c r="B1814" s="1">
        <v>45442</v>
      </c>
      <c r="C1814" t="s">
        <v>159</v>
      </c>
      <c r="D1814" t="s">
        <v>309</v>
      </c>
      <c r="E1814">
        <v>675.07</v>
      </c>
      <c r="F1814" t="s">
        <v>324</v>
      </c>
      <c r="G1814" t="s">
        <v>329</v>
      </c>
      <c r="H1814" t="s">
        <v>332</v>
      </c>
      <c r="I1814" t="s">
        <v>57</v>
      </c>
      <c r="J1814" t="s">
        <v>25</v>
      </c>
      <c r="K1814" t="s">
        <v>22</v>
      </c>
      <c r="L1814" t="s">
        <v>310</v>
      </c>
      <c r="M1814" t="s">
        <v>311</v>
      </c>
      <c r="N1814">
        <v>0</v>
      </c>
      <c r="O1814" t="str">
        <f>IF(Transactions_RAW_cleaned[[#This Row],[Status]]="Completed", IFERROR(_xlfn.XLOOKUP(Transactions_RAW_cleaned[[#This Row],[CustomerID]], Customers_cleaned[CustomerID], Customers_cleaned[Segment]), "Customer Not Found"), "N/A")</f>
        <v>Startup</v>
      </c>
      <c r="P1814" s="5" t="str">
        <f>IF(Transactions_RAW_cleaned[[#This Row],[Status]]="Refunded", "Refund",
  IF(Transactions_RAW_cleaned[[#This Row],[Category]]="Payments", IF(Transactions_RAW_cleaned[[#This Row],[Amount]]&gt;500,"High Value","Standard"),
    IF(Transactions_RAW_cleaned[[#This Row],[Amount]]&gt;250,"High Value","Standard")))</f>
        <v>High Value</v>
      </c>
      <c r="Q1814" s="5" t="str">
        <f>IF(Transactions_RAW_cleaned[[#This Row],[Amount]] &gt; (_xlfn.XLOOKUP(Transactions_RAW_cleaned[[#This Row],[ServiceID]],Services_cleaned[ServiceID],Services_cleaned[TransactionFeePct]) * 10000), "Yes", "No")</f>
        <v>Yes</v>
      </c>
      <c r="R1814" s="5" t="str">
        <f>IF(COUNTIFS($C$2:Transactions_RAW_cleaned[[#This Row],[CustomerID]],Transactions_RAW_cleaned[[#This Row],[CustomerID]],$D$2:Transactions_RAW_cleaned[[#This Row],[ServiceID]],Transactions_RAW_cleaned[[#This Row],[ServiceID]])=1,"Yes","No")</f>
        <v>No</v>
      </c>
      <c r="S181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14" t="str">
        <f>"Q"&amp;ROUNDUP(MONTH(Transactions_RAW_cleaned[[#This Row],[TransactionDate]])/3,0)</f>
        <v>Q2</v>
      </c>
      <c r="U1814" t="str">
        <f>Transactions_RAW_cleaned[[#This Row],[Region ]]&amp;Transactions_RAW_cleaned[[#This Row],[Quarter ]]</f>
        <v>APACQ2</v>
      </c>
      <c r="V1814" s="5">
        <f>_xlfn.XLOOKUP(Transactions_RAW_cleaned[[#This Row],[RegionQuarterKey]], Quarterly_Targets_cleaned[RegionQuarterKey], Quarterly_Targets_cleaned[TargetRevenue])</f>
        <v>110000</v>
      </c>
    </row>
    <row r="1815" spans="1:22" x14ac:dyDescent="0.25">
      <c r="A1815" t="s">
        <v>2151</v>
      </c>
      <c r="B1815" s="1">
        <v>45494</v>
      </c>
      <c r="C1815" t="s">
        <v>88</v>
      </c>
      <c r="D1815" t="s">
        <v>294</v>
      </c>
      <c r="E1815">
        <v>-458.15</v>
      </c>
      <c r="F1815" t="s">
        <v>349</v>
      </c>
      <c r="G1815" t="s">
        <v>337</v>
      </c>
      <c r="H1815" t="s">
        <v>346</v>
      </c>
      <c r="I1815" t="s">
        <v>8</v>
      </c>
      <c r="J1815" t="s">
        <v>102</v>
      </c>
      <c r="K1815" t="s">
        <v>18</v>
      </c>
      <c r="L1815" t="s">
        <v>295</v>
      </c>
      <c r="M1815" t="s">
        <v>296</v>
      </c>
      <c r="N1815">
        <v>2.9000000000000001E-2</v>
      </c>
      <c r="O1815" t="str">
        <f>IF(Transactions_RAW_cleaned[[#This Row],[Status]]="Completed", IFERROR(_xlfn.XLOOKUP(Transactions_RAW_cleaned[[#This Row],[CustomerID]], Customers_cleaned[CustomerID], Customers_cleaned[Segment]), "Customer Not Found"), "N/A")</f>
        <v>N/A</v>
      </c>
      <c r="P1815" s="5" t="str">
        <f>IF(Transactions_RAW_cleaned[[#This Row],[Status]]="Refunded", "Refund",
  IF(Transactions_RAW_cleaned[[#This Row],[Category]]="Payments", IF(Transactions_RAW_cleaned[[#This Row],[Amount]]&gt;500,"High Value","Standard"),
    IF(Transactions_RAW_cleaned[[#This Row],[Amount]]&gt;250,"High Value","Standard")))</f>
        <v>Refund</v>
      </c>
      <c r="Q1815" s="5" t="str">
        <f>IF(Transactions_RAW_cleaned[[#This Row],[Amount]] &gt; (_xlfn.XLOOKUP(Transactions_RAW_cleaned[[#This Row],[ServiceID]],Services_cleaned[ServiceID],Services_cleaned[TransactionFeePct]) * 10000), "Yes", "No")</f>
        <v>No</v>
      </c>
      <c r="R1815" s="5" t="str">
        <f>IF(COUNTIFS($C$2:Transactions_RAW_cleaned[[#This Row],[CustomerID]],Transactions_RAW_cleaned[[#This Row],[CustomerID]],$D$2:Transactions_RAW_cleaned[[#This Row],[ServiceID]],Transactions_RAW_cleaned[[#This Row],[ServiceID]])=1,"Yes","No")</f>
        <v>No</v>
      </c>
      <c r="S181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15" t="str">
        <f>"Q"&amp;ROUNDUP(MONTH(Transactions_RAW_cleaned[[#This Row],[TransactionDate]])/3,0)</f>
        <v>Q3</v>
      </c>
      <c r="U1815" t="str">
        <f>Transactions_RAW_cleaned[[#This Row],[Region ]]&amp;Transactions_RAW_cleaned[[#This Row],[Quarter ]]</f>
        <v>NAQ3</v>
      </c>
      <c r="V1815" s="5">
        <f>_xlfn.XLOOKUP(Transactions_RAW_cleaned[[#This Row],[RegionQuarterKey]], Quarterly_Targets_cleaned[RegionQuarterKey], Quarterly_Targets_cleaned[TargetRevenue])</f>
        <v>273000</v>
      </c>
    </row>
    <row r="1816" spans="1:22" x14ac:dyDescent="0.25">
      <c r="A1816" t="s">
        <v>2152</v>
      </c>
      <c r="B1816" s="1">
        <v>45481</v>
      </c>
      <c r="C1816" t="s">
        <v>249</v>
      </c>
      <c r="D1816" t="s">
        <v>312</v>
      </c>
      <c r="E1816">
        <v>255.29</v>
      </c>
      <c r="F1816" t="s">
        <v>324</v>
      </c>
      <c r="G1816" t="s">
        <v>325</v>
      </c>
      <c r="H1816" t="s">
        <v>346</v>
      </c>
      <c r="I1816" t="s">
        <v>57</v>
      </c>
      <c r="J1816" t="s">
        <v>21</v>
      </c>
      <c r="K1816" t="s">
        <v>14</v>
      </c>
      <c r="L1816" t="s">
        <v>313</v>
      </c>
      <c r="M1816" t="s">
        <v>314</v>
      </c>
      <c r="N1816">
        <v>0</v>
      </c>
      <c r="O1816" t="str">
        <f>IF(Transactions_RAW_cleaned[[#This Row],[Status]]="Completed", IFERROR(_xlfn.XLOOKUP(Transactions_RAW_cleaned[[#This Row],[CustomerID]], Customers_cleaned[CustomerID], Customers_cleaned[Segment]), "Customer Not Found"), "N/A")</f>
        <v>Startup</v>
      </c>
      <c r="P1816" s="5" t="str">
        <f>IF(Transactions_RAW_cleaned[[#This Row],[Status]]="Refunded", "Refund",
  IF(Transactions_RAW_cleaned[[#This Row],[Category]]="Payments", IF(Transactions_RAW_cleaned[[#This Row],[Amount]]&gt;500,"High Value","Standard"),
    IF(Transactions_RAW_cleaned[[#This Row],[Amount]]&gt;250,"High Value","Standard")))</f>
        <v>High Value</v>
      </c>
      <c r="Q1816" s="5" t="str">
        <f>IF(Transactions_RAW_cleaned[[#This Row],[Amount]] &gt; (_xlfn.XLOOKUP(Transactions_RAW_cleaned[[#This Row],[ServiceID]],Services_cleaned[ServiceID],Services_cleaned[TransactionFeePct]) * 10000), "Yes", "No")</f>
        <v>Yes</v>
      </c>
      <c r="R1816" s="5" t="str">
        <f>IF(COUNTIFS($C$2:Transactions_RAW_cleaned[[#This Row],[CustomerID]],Transactions_RAW_cleaned[[#This Row],[CustomerID]],$D$2:Transactions_RAW_cleaned[[#This Row],[ServiceID]],Transactions_RAW_cleaned[[#This Row],[ServiceID]])=1,"Yes","No")</f>
        <v>No</v>
      </c>
      <c r="S181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16" t="str">
        <f>"Q"&amp;ROUNDUP(MONTH(Transactions_RAW_cleaned[[#This Row],[TransactionDate]])/3,0)</f>
        <v>Q3</v>
      </c>
      <c r="U1816" t="str">
        <f>Transactions_RAW_cleaned[[#This Row],[Region ]]&amp;Transactions_RAW_cleaned[[#This Row],[Quarter ]]</f>
        <v>APACQ3</v>
      </c>
      <c r="V1816" s="5">
        <f>_xlfn.XLOOKUP(Transactions_RAW_cleaned[[#This Row],[RegionQuarterKey]], Quarterly_Targets_cleaned[RegionQuarterKey], Quarterly_Targets_cleaned[TargetRevenue])</f>
        <v>115500</v>
      </c>
    </row>
    <row r="1817" spans="1:22" x14ac:dyDescent="0.25">
      <c r="A1817" t="s">
        <v>2153</v>
      </c>
      <c r="B1817" s="1">
        <v>45351</v>
      </c>
      <c r="C1817" t="s">
        <v>187</v>
      </c>
      <c r="D1817" t="s">
        <v>294</v>
      </c>
      <c r="E1817">
        <v>333.53</v>
      </c>
      <c r="F1817" t="s">
        <v>324</v>
      </c>
      <c r="G1817" t="s">
        <v>327</v>
      </c>
      <c r="H1817" t="s">
        <v>334</v>
      </c>
      <c r="I1817" t="s">
        <v>57</v>
      </c>
      <c r="J1817" t="s">
        <v>21</v>
      </c>
      <c r="K1817" t="s">
        <v>28</v>
      </c>
      <c r="L1817" t="s">
        <v>295</v>
      </c>
      <c r="M1817" t="s">
        <v>296</v>
      </c>
      <c r="N1817">
        <v>2.9000000000000001E-2</v>
      </c>
      <c r="O1817" t="str">
        <f>IF(Transactions_RAW_cleaned[[#This Row],[Status]]="Completed", IFERROR(_xlfn.XLOOKUP(Transactions_RAW_cleaned[[#This Row],[CustomerID]], Customers_cleaned[CustomerID], Customers_cleaned[Segment]), "Customer Not Found"), "N/A")</f>
        <v>Startup</v>
      </c>
      <c r="P1817" s="5" t="str">
        <f>IF(Transactions_RAW_cleaned[[#This Row],[Status]]="Refunded", "Refund",
  IF(Transactions_RAW_cleaned[[#This Row],[Category]]="Payments", IF(Transactions_RAW_cleaned[[#This Row],[Amount]]&gt;500,"High Value","Standard"),
    IF(Transactions_RAW_cleaned[[#This Row],[Amount]]&gt;250,"High Value","Standard")))</f>
        <v>Standard</v>
      </c>
      <c r="Q1817" s="5" t="str">
        <f>IF(Transactions_RAW_cleaned[[#This Row],[Amount]] &gt; (_xlfn.XLOOKUP(Transactions_RAW_cleaned[[#This Row],[ServiceID]],Services_cleaned[ServiceID],Services_cleaned[TransactionFeePct]) * 10000), "Yes", "No")</f>
        <v>Yes</v>
      </c>
      <c r="R1817" s="5" t="str">
        <f>IF(COUNTIFS($C$2:Transactions_RAW_cleaned[[#This Row],[CustomerID]],Transactions_RAW_cleaned[[#This Row],[CustomerID]],$D$2:Transactions_RAW_cleaned[[#This Row],[ServiceID]],Transactions_RAW_cleaned[[#This Row],[ServiceID]])=1,"Yes","No")</f>
        <v>Yes</v>
      </c>
      <c r="S181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17" t="str">
        <f>"Q"&amp;ROUNDUP(MONTH(Transactions_RAW_cleaned[[#This Row],[TransactionDate]])/3,0)</f>
        <v>Q1</v>
      </c>
      <c r="U1817" t="str">
        <f>Transactions_RAW_cleaned[[#This Row],[Region ]]&amp;Transactions_RAW_cleaned[[#This Row],[Quarter ]]</f>
        <v>APACQ1</v>
      </c>
      <c r="V1817" s="5">
        <f>_xlfn.XLOOKUP(Transactions_RAW_cleaned[[#This Row],[RegionQuarterKey]], Quarterly_Targets_cleaned[RegionQuarterKey], Quarterly_Targets_cleaned[TargetRevenue])</f>
        <v>104500</v>
      </c>
    </row>
    <row r="1818" spans="1:22" x14ac:dyDescent="0.25">
      <c r="A1818" t="s">
        <v>2154</v>
      </c>
      <c r="B1818" s="1">
        <v>45642</v>
      </c>
      <c r="C1818" t="s">
        <v>181</v>
      </c>
      <c r="D1818" t="s">
        <v>306</v>
      </c>
      <c r="E1818">
        <v>185.94</v>
      </c>
      <c r="F1818" t="s">
        <v>324</v>
      </c>
      <c r="G1818" t="s">
        <v>327</v>
      </c>
      <c r="H1818" t="s">
        <v>334</v>
      </c>
      <c r="I1818" t="s">
        <v>17</v>
      </c>
      <c r="J1818" t="s">
        <v>21</v>
      </c>
      <c r="K1818" t="s">
        <v>10</v>
      </c>
      <c r="L1818" t="s">
        <v>307</v>
      </c>
      <c r="M1818" t="s">
        <v>308</v>
      </c>
      <c r="N1818">
        <v>0</v>
      </c>
      <c r="O1818" t="str">
        <f>IF(Transactions_RAW_cleaned[[#This Row],[Status]]="Completed", IFERROR(_xlfn.XLOOKUP(Transactions_RAW_cleaned[[#This Row],[CustomerID]], Customers_cleaned[CustomerID], Customers_cleaned[Segment]), "Customer Not Found"), "N/A")</f>
        <v>Enterprise</v>
      </c>
      <c r="P1818" s="5" t="str">
        <f>IF(Transactions_RAW_cleaned[[#This Row],[Status]]="Refunded", "Refund",
  IF(Transactions_RAW_cleaned[[#This Row],[Category]]="Payments", IF(Transactions_RAW_cleaned[[#This Row],[Amount]]&gt;500,"High Value","Standard"),
    IF(Transactions_RAW_cleaned[[#This Row],[Amount]]&gt;250,"High Value","Standard")))</f>
        <v>Standard</v>
      </c>
      <c r="Q1818" s="5" t="str">
        <f>IF(Transactions_RAW_cleaned[[#This Row],[Amount]] &gt; (_xlfn.XLOOKUP(Transactions_RAW_cleaned[[#This Row],[ServiceID]],Services_cleaned[ServiceID],Services_cleaned[TransactionFeePct]) * 10000), "Yes", "No")</f>
        <v>Yes</v>
      </c>
      <c r="R1818" s="5" t="str">
        <f>IF(COUNTIFS($C$2:Transactions_RAW_cleaned[[#This Row],[CustomerID]],Transactions_RAW_cleaned[[#This Row],[CustomerID]],$D$2:Transactions_RAW_cleaned[[#This Row],[ServiceID]],Transactions_RAW_cleaned[[#This Row],[ServiceID]])=1,"Yes","No")</f>
        <v>Yes</v>
      </c>
      <c r="S181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18" t="str">
        <f>"Q"&amp;ROUNDUP(MONTH(Transactions_RAW_cleaned[[#This Row],[TransactionDate]])/3,0)</f>
        <v>Q4</v>
      </c>
      <c r="U1818" t="str">
        <f>Transactions_RAW_cleaned[[#This Row],[Region ]]&amp;Transactions_RAW_cleaned[[#This Row],[Quarter ]]</f>
        <v>APACQ4</v>
      </c>
      <c r="V1818" s="5">
        <f>_xlfn.XLOOKUP(Transactions_RAW_cleaned[[#This Row],[RegionQuarterKey]], Quarterly_Targets_cleaned[RegionQuarterKey], Quarterly_Targets_cleaned[TargetRevenue])</f>
        <v>126500</v>
      </c>
    </row>
    <row r="1819" spans="1:22" x14ac:dyDescent="0.25">
      <c r="A1819" t="s">
        <v>2155</v>
      </c>
      <c r="B1819" s="1">
        <v>45460</v>
      </c>
      <c r="C1819" t="s">
        <v>141</v>
      </c>
      <c r="D1819" t="s">
        <v>312</v>
      </c>
      <c r="E1819">
        <v>624.77</v>
      </c>
      <c r="F1819" t="s">
        <v>324</v>
      </c>
      <c r="G1819" t="s">
        <v>325</v>
      </c>
      <c r="H1819" t="s">
        <v>346</v>
      </c>
      <c r="I1819" t="s">
        <v>57</v>
      </c>
      <c r="J1819" t="s">
        <v>25</v>
      </c>
      <c r="K1819" t="s">
        <v>10</v>
      </c>
      <c r="L1819" t="s">
        <v>313</v>
      </c>
      <c r="M1819" t="s">
        <v>314</v>
      </c>
      <c r="N1819">
        <v>0</v>
      </c>
      <c r="O1819" t="str">
        <f>IF(Transactions_RAW_cleaned[[#This Row],[Status]]="Completed", IFERROR(_xlfn.XLOOKUP(Transactions_RAW_cleaned[[#This Row],[CustomerID]], Customers_cleaned[CustomerID], Customers_cleaned[Segment]), "Customer Not Found"), "N/A")</f>
        <v>Startup</v>
      </c>
      <c r="P1819" s="5" t="str">
        <f>IF(Transactions_RAW_cleaned[[#This Row],[Status]]="Refunded", "Refund",
  IF(Transactions_RAW_cleaned[[#This Row],[Category]]="Payments", IF(Transactions_RAW_cleaned[[#This Row],[Amount]]&gt;500,"High Value","Standard"),
    IF(Transactions_RAW_cleaned[[#This Row],[Amount]]&gt;250,"High Value","Standard")))</f>
        <v>High Value</v>
      </c>
      <c r="Q1819" s="5" t="str">
        <f>IF(Transactions_RAW_cleaned[[#This Row],[Amount]] &gt; (_xlfn.XLOOKUP(Transactions_RAW_cleaned[[#This Row],[ServiceID]],Services_cleaned[ServiceID],Services_cleaned[TransactionFeePct]) * 10000), "Yes", "No")</f>
        <v>Yes</v>
      </c>
      <c r="R1819" s="5" t="str">
        <f>IF(COUNTIFS($C$2:Transactions_RAW_cleaned[[#This Row],[CustomerID]],Transactions_RAW_cleaned[[#This Row],[CustomerID]],$D$2:Transactions_RAW_cleaned[[#This Row],[ServiceID]],Transactions_RAW_cleaned[[#This Row],[ServiceID]])=1,"Yes","No")</f>
        <v>No</v>
      </c>
      <c r="S181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19" t="str">
        <f>"Q"&amp;ROUNDUP(MONTH(Transactions_RAW_cleaned[[#This Row],[TransactionDate]])/3,0)</f>
        <v>Q2</v>
      </c>
      <c r="U1819" t="str">
        <f>Transactions_RAW_cleaned[[#This Row],[Region ]]&amp;Transactions_RAW_cleaned[[#This Row],[Quarter ]]</f>
        <v>APACQ2</v>
      </c>
      <c r="V1819" s="5">
        <f>_xlfn.XLOOKUP(Transactions_RAW_cleaned[[#This Row],[RegionQuarterKey]], Quarterly_Targets_cleaned[RegionQuarterKey], Quarterly_Targets_cleaned[TargetRevenue])</f>
        <v>110000</v>
      </c>
    </row>
    <row r="1820" spans="1:22" x14ac:dyDescent="0.25">
      <c r="A1820" t="s">
        <v>2156</v>
      </c>
      <c r="B1820" s="1">
        <v>45536</v>
      </c>
      <c r="C1820" t="s">
        <v>44</v>
      </c>
      <c r="D1820" t="s">
        <v>294</v>
      </c>
      <c r="E1820">
        <v>536.96</v>
      </c>
      <c r="F1820" t="s">
        <v>324</v>
      </c>
      <c r="G1820" t="s">
        <v>327</v>
      </c>
      <c r="H1820" t="s">
        <v>332</v>
      </c>
      <c r="I1820" t="s">
        <v>8</v>
      </c>
      <c r="J1820" t="s">
        <v>46</v>
      </c>
      <c r="K1820" t="s">
        <v>32</v>
      </c>
      <c r="L1820" t="s">
        <v>295</v>
      </c>
      <c r="M1820" t="s">
        <v>296</v>
      </c>
      <c r="N1820">
        <v>2.9000000000000001E-2</v>
      </c>
      <c r="O1820" t="str">
        <f>IF(Transactions_RAW_cleaned[[#This Row],[Status]]="Completed", IFERROR(_xlfn.XLOOKUP(Transactions_RAW_cleaned[[#This Row],[CustomerID]], Customers_cleaned[CustomerID], Customers_cleaned[Segment]), "Customer Not Found"), "N/A")</f>
        <v>SMB</v>
      </c>
      <c r="P1820" s="5" t="str">
        <f>IF(Transactions_RAW_cleaned[[#This Row],[Status]]="Refunded", "Refund",
  IF(Transactions_RAW_cleaned[[#This Row],[Category]]="Payments", IF(Transactions_RAW_cleaned[[#This Row],[Amount]]&gt;500,"High Value","Standard"),
    IF(Transactions_RAW_cleaned[[#This Row],[Amount]]&gt;250,"High Value","Standard")))</f>
        <v>High Value</v>
      </c>
      <c r="Q1820" s="5" t="str">
        <f>IF(Transactions_RAW_cleaned[[#This Row],[Amount]] &gt; (_xlfn.XLOOKUP(Transactions_RAW_cleaned[[#This Row],[ServiceID]],Services_cleaned[ServiceID],Services_cleaned[TransactionFeePct]) * 10000), "Yes", "No")</f>
        <v>Yes</v>
      </c>
      <c r="R1820" s="5" t="str">
        <f>IF(COUNTIFS($C$2:Transactions_RAW_cleaned[[#This Row],[CustomerID]],Transactions_RAW_cleaned[[#This Row],[CustomerID]],$D$2:Transactions_RAW_cleaned[[#This Row],[ServiceID]],Transactions_RAW_cleaned[[#This Row],[ServiceID]])=1,"Yes","No")</f>
        <v>No</v>
      </c>
      <c r="S182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20" t="str">
        <f>"Q"&amp;ROUNDUP(MONTH(Transactions_RAW_cleaned[[#This Row],[TransactionDate]])/3,0)</f>
        <v>Q3</v>
      </c>
      <c r="U1820" t="str">
        <f>Transactions_RAW_cleaned[[#This Row],[Region ]]&amp;Transactions_RAW_cleaned[[#This Row],[Quarter ]]</f>
        <v>APACQ3</v>
      </c>
      <c r="V1820" s="5">
        <f>_xlfn.XLOOKUP(Transactions_RAW_cleaned[[#This Row],[RegionQuarterKey]], Quarterly_Targets_cleaned[RegionQuarterKey], Quarterly_Targets_cleaned[TargetRevenue])</f>
        <v>115500</v>
      </c>
    </row>
    <row r="1821" spans="1:22" x14ac:dyDescent="0.25">
      <c r="A1821" t="s">
        <v>2157</v>
      </c>
      <c r="B1821" s="1">
        <v>45332</v>
      </c>
      <c r="C1821" t="s">
        <v>127</v>
      </c>
      <c r="D1821" t="s">
        <v>306</v>
      </c>
      <c r="E1821">
        <v>444.43</v>
      </c>
      <c r="F1821" t="s">
        <v>324</v>
      </c>
      <c r="G1821" t="s">
        <v>327</v>
      </c>
      <c r="H1821" t="s">
        <v>334</v>
      </c>
      <c r="I1821" t="s">
        <v>8</v>
      </c>
      <c r="J1821" t="s">
        <v>102</v>
      </c>
      <c r="K1821" t="s">
        <v>22</v>
      </c>
      <c r="L1821" t="s">
        <v>307</v>
      </c>
      <c r="M1821" t="s">
        <v>308</v>
      </c>
      <c r="N1821">
        <v>0</v>
      </c>
      <c r="O1821" t="str">
        <f>IF(Transactions_RAW_cleaned[[#This Row],[Status]]="Completed", IFERROR(_xlfn.XLOOKUP(Transactions_RAW_cleaned[[#This Row],[CustomerID]], Customers_cleaned[CustomerID], Customers_cleaned[Segment]), "Customer Not Found"), "N/A")</f>
        <v>SMB</v>
      </c>
      <c r="P1821" s="5" t="str">
        <f>IF(Transactions_RAW_cleaned[[#This Row],[Status]]="Refunded", "Refund",
  IF(Transactions_RAW_cleaned[[#This Row],[Category]]="Payments", IF(Transactions_RAW_cleaned[[#This Row],[Amount]]&gt;500,"High Value","Standard"),
    IF(Transactions_RAW_cleaned[[#This Row],[Amount]]&gt;250,"High Value","Standard")))</f>
        <v>High Value</v>
      </c>
      <c r="Q1821" s="5" t="str">
        <f>IF(Transactions_RAW_cleaned[[#This Row],[Amount]] &gt; (_xlfn.XLOOKUP(Transactions_RAW_cleaned[[#This Row],[ServiceID]],Services_cleaned[ServiceID],Services_cleaned[TransactionFeePct]) * 10000), "Yes", "No")</f>
        <v>Yes</v>
      </c>
      <c r="R1821" s="5" t="str">
        <f>IF(COUNTIFS($C$2:Transactions_RAW_cleaned[[#This Row],[CustomerID]],Transactions_RAW_cleaned[[#This Row],[CustomerID]],$D$2:Transactions_RAW_cleaned[[#This Row],[ServiceID]],Transactions_RAW_cleaned[[#This Row],[ServiceID]])=1,"Yes","No")</f>
        <v>No</v>
      </c>
      <c r="S182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21" t="str">
        <f>"Q"&amp;ROUNDUP(MONTH(Transactions_RAW_cleaned[[#This Row],[TransactionDate]])/3,0)</f>
        <v>Q1</v>
      </c>
      <c r="U1821" t="str">
        <f>Transactions_RAW_cleaned[[#This Row],[Region ]]&amp;Transactions_RAW_cleaned[[#This Row],[Quarter ]]</f>
        <v>NAQ1</v>
      </c>
      <c r="V1821" s="5">
        <f>_xlfn.XLOOKUP(Transactions_RAW_cleaned[[#This Row],[RegionQuarterKey]], Quarterly_Targets_cleaned[RegionQuarterKey], Quarterly_Targets_cleaned[TargetRevenue])</f>
        <v>247000</v>
      </c>
    </row>
    <row r="1822" spans="1:22" x14ac:dyDescent="0.25">
      <c r="A1822" t="s">
        <v>2158</v>
      </c>
      <c r="B1822" s="1">
        <v>45558</v>
      </c>
      <c r="C1822" t="s">
        <v>185</v>
      </c>
      <c r="D1822" t="s">
        <v>312</v>
      </c>
      <c r="E1822">
        <v>690.46</v>
      </c>
      <c r="F1822" t="s">
        <v>324</v>
      </c>
      <c r="G1822" t="s">
        <v>337</v>
      </c>
      <c r="H1822" t="s">
        <v>332</v>
      </c>
      <c r="I1822" t="s">
        <v>17</v>
      </c>
      <c r="J1822" t="s">
        <v>13</v>
      </c>
      <c r="K1822" t="s">
        <v>32</v>
      </c>
      <c r="L1822" t="s">
        <v>313</v>
      </c>
      <c r="M1822" t="s">
        <v>314</v>
      </c>
      <c r="N1822">
        <v>0</v>
      </c>
      <c r="O1822" t="str">
        <f>IF(Transactions_RAW_cleaned[[#This Row],[Status]]="Completed", IFERROR(_xlfn.XLOOKUP(Transactions_RAW_cleaned[[#This Row],[CustomerID]], Customers_cleaned[CustomerID], Customers_cleaned[Segment]), "Customer Not Found"), "N/A")</f>
        <v>Enterprise</v>
      </c>
      <c r="P1822" s="5" t="str">
        <f>IF(Transactions_RAW_cleaned[[#This Row],[Status]]="Refunded", "Refund",
  IF(Transactions_RAW_cleaned[[#This Row],[Category]]="Payments", IF(Transactions_RAW_cleaned[[#This Row],[Amount]]&gt;500,"High Value","Standard"),
    IF(Transactions_RAW_cleaned[[#This Row],[Amount]]&gt;250,"High Value","Standard")))</f>
        <v>High Value</v>
      </c>
      <c r="Q1822" s="5" t="str">
        <f>IF(Transactions_RAW_cleaned[[#This Row],[Amount]] &gt; (_xlfn.XLOOKUP(Transactions_RAW_cleaned[[#This Row],[ServiceID]],Services_cleaned[ServiceID],Services_cleaned[TransactionFeePct]) * 10000), "Yes", "No")</f>
        <v>Yes</v>
      </c>
      <c r="R1822" s="5" t="str">
        <f>IF(COUNTIFS($C$2:Transactions_RAW_cleaned[[#This Row],[CustomerID]],Transactions_RAW_cleaned[[#This Row],[CustomerID]],$D$2:Transactions_RAW_cleaned[[#This Row],[ServiceID]],Transactions_RAW_cleaned[[#This Row],[ServiceID]])=1,"Yes","No")</f>
        <v>No</v>
      </c>
      <c r="S182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22" t="str">
        <f>"Q"&amp;ROUNDUP(MONTH(Transactions_RAW_cleaned[[#This Row],[TransactionDate]])/3,0)</f>
        <v>Q3</v>
      </c>
      <c r="U1822" t="str">
        <f>Transactions_RAW_cleaned[[#This Row],[Region ]]&amp;Transactions_RAW_cleaned[[#This Row],[Quarter ]]</f>
        <v>NAQ3</v>
      </c>
      <c r="V1822" s="5">
        <f>_xlfn.XLOOKUP(Transactions_RAW_cleaned[[#This Row],[RegionQuarterKey]], Quarterly_Targets_cleaned[RegionQuarterKey], Quarterly_Targets_cleaned[TargetRevenue])</f>
        <v>273000</v>
      </c>
    </row>
    <row r="1823" spans="1:22" x14ac:dyDescent="0.25">
      <c r="A1823" t="s">
        <v>2159</v>
      </c>
      <c r="B1823" s="1">
        <v>45294</v>
      </c>
      <c r="C1823" t="s">
        <v>125</v>
      </c>
      <c r="D1823" t="s">
        <v>294</v>
      </c>
      <c r="E1823">
        <v>375.89</v>
      </c>
      <c r="F1823" t="s">
        <v>324</v>
      </c>
      <c r="G1823" t="s">
        <v>337</v>
      </c>
      <c r="I1823" t="s">
        <v>8</v>
      </c>
      <c r="J1823" t="s">
        <v>13</v>
      </c>
      <c r="K1823" t="s">
        <v>28</v>
      </c>
      <c r="L1823" t="s">
        <v>295</v>
      </c>
      <c r="M1823" t="s">
        <v>296</v>
      </c>
      <c r="N1823">
        <v>2.9000000000000001E-2</v>
      </c>
      <c r="O1823" t="str">
        <f>IF(Transactions_RAW_cleaned[[#This Row],[Status]]="Completed", IFERROR(_xlfn.XLOOKUP(Transactions_RAW_cleaned[[#This Row],[CustomerID]], Customers_cleaned[CustomerID], Customers_cleaned[Segment]), "Customer Not Found"), "N/A")</f>
        <v>SMB</v>
      </c>
      <c r="P1823" s="5" t="str">
        <f>IF(Transactions_RAW_cleaned[[#This Row],[Status]]="Refunded", "Refund",
  IF(Transactions_RAW_cleaned[[#This Row],[Category]]="Payments", IF(Transactions_RAW_cleaned[[#This Row],[Amount]]&gt;500,"High Value","Standard"),
    IF(Transactions_RAW_cleaned[[#This Row],[Amount]]&gt;250,"High Value","Standard")))</f>
        <v>Standard</v>
      </c>
      <c r="Q1823" s="5" t="str">
        <f>IF(Transactions_RAW_cleaned[[#This Row],[Amount]] &gt; (_xlfn.XLOOKUP(Transactions_RAW_cleaned[[#This Row],[ServiceID]],Services_cleaned[ServiceID],Services_cleaned[TransactionFeePct]) * 10000), "Yes", "No")</f>
        <v>Yes</v>
      </c>
      <c r="R1823" s="5" t="str">
        <f>IF(COUNTIFS($C$2:Transactions_RAW_cleaned[[#This Row],[CustomerID]],Transactions_RAW_cleaned[[#This Row],[CustomerID]],$D$2:Transactions_RAW_cleaned[[#This Row],[ServiceID]],Transactions_RAW_cleaned[[#This Row],[ServiceID]])=1,"Yes","No")</f>
        <v>No</v>
      </c>
      <c r="S182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23" t="str">
        <f>"Q"&amp;ROUNDUP(MONTH(Transactions_RAW_cleaned[[#This Row],[TransactionDate]])/3,0)</f>
        <v>Q1</v>
      </c>
      <c r="U1823" t="str">
        <f>Transactions_RAW_cleaned[[#This Row],[Region ]]&amp;Transactions_RAW_cleaned[[#This Row],[Quarter ]]</f>
        <v>NAQ1</v>
      </c>
      <c r="V1823" s="5">
        <f>_xlfn.XLOOKUP(Transactions_RAW_cleaned[[#This Row],[RegionQuarterKey]], Quarterly_Targets_cleaned[RegionQuarterKey], Quarterly_Targets_cleaned[TargetRevenue])</f>
        <v>247000</v>
      </c>
    </row>
    <row r="1824" spans="1:22" x14ac:dyDescent="0.25">
      <c r="A1824" t="s">
        <v>2160</v>
      </c>
      <c r="B1824" s="1">
        <v>45549</v>
      </c>
      <c r="C1824" t="s">
        <v>187</v>
      </c>
      <c r="D1824" t="s">
        <v>294</v>
      </c>
      <c r="E1824">
        <v>945.53</v>
      </c>
      <c r="F1824" t="s">
        <v>324</v>
      </c>
      <c r="G1824" t="s">
        <v>325</v>
      </c>
      <c r="H1824" t="s">
        <v>346</v>
      </c>
      <c r="I1824" t="s">
        <v>57</v>
      </c>
      <c r="J1824" t="s">
        <v>21</v>
      </c>
      <c r="K1824" t="s">
        <v>28</v>
      </c>
      <c r="L1824" t="s">
        <v>295</v>
      </c>
      <c r="M1824" t="s">
        <v>296</v>
      </c>
      <c r="N1824">
        <v>2.9000000000000001E-2</v>
      </c>
      <c r="O1824" t="str">
        <f>IF(Transactions_RAW_cleaned[[#This Row],[Status]]="Completed", IFERROR(_xlfn.XLOOKUP(Transactions_RAW_cleaned[[#This Row],[CustomerID]], Customers_cleaned[CustomerID], Customers_cleaned[Segment]), "Customer Not Found"), "N/A")</f>
        <v>Startup</v>
      </c>
      <c r="P1824" s="5" t="str">
        <f>IF(Transactions_RAW_cleaned[[#This Row],[Status]]="Refunded", "Refund",
  IF(Transactions_RAW_cleaned[[#This Row],[Category]]="Payments", IF(Transactions_RAW_cleaned[[#This Row],[Amount]]&gt;500,"High Value","Standard"),
    IF(Transactions_RAW_cleaned[[#This Row],[Amount]]&gt;250,"High Value","Standard")))</f>
        <v>High Value</v>
      </c>
      <c r="Q1824" s="5" t="str">
        <f>IF(Transactions_RAW_cleaned[[#This Row],[Amount]] &gt; (_xlfn.XLOOKUP(Transactions_RAW_cleaned[[#This Row],[ServiceID]],Services_cleaned[ServiceID],Services_cleaned[TransactionFeePct]) * 10000), "Yes", "No")</f>
        <v>Yes</v>
      </c>
      <c r="R1824" s="5" t="str">
        <f>IF(COUNTIFS($C$2:Transactions_RAW_cleaned[[#This Row],[CustomerID]],Transactions_RAW_cleaned[[#This Row],[CustomerID]],$D$2:Transactions_RAW_cleaned[[#This Row],[ServiceID]],Transactions_RAW_cleaned[[#This Row],[ServiceID]])=1,"Yes","No")</f>
        <v>No</v>
      </c>
      <c r="S182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24" t="str">
        <f>"Q"&amp;ROUNDUP(MONTH(Transactions_RAW_cleaned[[#This Row],[TransactionDate]])/3,0)</f>
        <v>Q3</v>
      </c>
      <c r="U1824" t="str">
        <f>Transactions_RAW_cleaned[[#This Row],[Region ]]&amp;Transactions_RAW_cleaned[[#This Row],[Quarter ]]</f>
        <v>APACQ3</v>
      </c>
      <c r="V1824" s="5">
        <f>_xlfn.XLOOKUP(Transactions_RAW_cleaned[[#This Row],[RegionQuarterKey]], Quarterly_Targets_cleaned[RegionQuarterKey], Quarterly_Targets_cleaned[TargetRevenue])</f>
        <v>115500</v>
      </c>
    </row>
    <row r="1825" spans="1:22" x14ac:dyDescent="0.25">
      <c r="A1825" t="s">
        <v>2161</v>
      </c>
      <c r="B1825" s="1">
        <v>45626</v>
      </c>
      <c r="C1825" t="s">
        <v>26</v>
      </c>
      <c r="D1825" t="s">
        <v>309</v>
      </c>
      <c r="E1825">
        <v>599.11</v>
      </c>
      <c r="F1825" t="s">
        <v>324</v>
      </c>
      <c r="G1825" t="s">
        <v>325</v>
      </c>
      <c r="I1825" t="s">
        <v>8</v>
      </c>
      <c r="J1825" t="s">
        <v>102</v>
      </c>
      <c r="K1825" t="s">
        <v>28</v>
      </c>
      <c r="L1825" t="s">
        <v>310</v>
      </c>
      <c r="M1825" t="s">
        <v>311</v>
      </c>
      <c r="N1825">
        <v>0</v>
      </c>
      <c r="O1825" t="str">
        <f>IF(Transactions_RAW_cleaned[[#This Row],[Status]]="Completed", IFERROR(_xlfn.XLOOKUP(Transactions_RAW_cleaned[[#This Row],[CustomerID]], Customers_cleaned[CustomerID], Customers_cleaned[Segment]), "Customer Not Found"), "N/A")</f>
        <v>SMB</v>
      </c>
      <c r="P1825" s="5" t="str">
        <f>IF(Transactions_RAW_cleaned[[#This Row],[Status]]="Refunded", "Refund",
  IF(Transactions_RAW_cleaned[[#This Row],[Category]]="Payments", IF(Transactions_RAW_cleaned[[#This Row],[Amount]]&gt;500,"High Value","Standard"),
    IF(Transactions_RAW_cleaned[[#This Row],[Amount]]&gt;250,"High Value","Standard")))</f>
        <v>High Value</v>
      </c>
      <c r="Q1825" s="5" t="str">
        <f>IF(Transactions_RAW_cleaned[[#This Row],[Amount]] &gt; (_xlfn.XLOOKUP(Transactions_RAW_cleaned[[#This Row],[ServiceID]],Services_cleaned[ServiceID],Services_cleaned[TransactionFeePct]) * 10000), "Yes", "No")</f>
        <v>Yes</v>
      </c>
      <c r="R1825" s="5" t="str">
        <f>IF(COUNTIFS($C$2:Transactions_RAW_cleaned[[#This Row],[CustomerID]],Transactions_RAW_cleaned[[#This Row],[CustomerID]],$D$2:Transactions_RAW_cleaned[[#This Row],[ServiceID]],Transactions_RAW_cleaned[[#This Row],[ServiceID]])=1,"Yes","No")</f>
        <v>Yes</v>
      </c>
      <c r="S182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25" t="str">
        <f>"Q"&amp;ROUNDUP(MONTH(Transactions_RAW_cleaned[[#This Row],[TransactionDate]])/3,0)</f>
        <v>Q4</v>
      </c>
      <c r="U1825" t="str">
        <f>Transactions_RAW_cleaned[[#This Row],[Region ]]&amp;Transactions_RAW_cleaned[[#This Row],[Quarter ]]</f>
        <v>NAQ4</v>
      </c>
      <c r="V1825" s="5">
        <f>_xlfn.XLOOKUP(Transactions_RAW_cleaned[[#This Row],[RegionQuarterKey]], Quarterly_Targets_cleaned[RegionQuarterKey], Quarterly_Targets_cleaned[TargetRevenue])</f>
        <v>299000</v>
      </c>
    </row>
    <row r="1826" spans="1:22" x14ac:dyDescent="0.25">
      <c r="A1826" t="s">
        <v>2162</v>
      </c>
      <c r="B1826" s="1">
        <v>45519</v>
      </c>
      <c r="C1826" t="s">
        <v>171</v>
      </c>
      <c r="D1826" t="s">
        <v>306</v>
      </c>
      <c r="E1826">
        <v>662.39</v>
      </c>
      <c r="F1826" t="s">
        <v>324</v>
      </c>
      <c r="G1826" t="s">
        <v>327</v>
      </c>
      <c r="I1826" t="s">
        <v>17</v>
      </c>
      <c r="J1826" t="s">
        <v>31</v>
      </c>
      <c r="K1826" t="s">
        <v>32</v>
      </c>
      <c r="L1826" t="s">
        <v>307</v>
      </c>
      <c r="M1826" t="s">
        <v>308</v>
      </c>
      <c r="N1826">
        <v>0</v>
      </c>
      <c r="O1826" t="str">
        <f>IF(Transactions_RAW_cleaned[[#This Row],[Status]]="Completed", IFERROR(_xlfn.XLOOKUP(Transactions_RAW_cleaned[[#This Row],[CustomerID]], Customers_cleaned[CustomerID], Customers_cleaned[Segment]), "Customer Not Found"), "N/A")</f>
        <v>Enterprise</v>
      </c>
      <c r="P1826" s="5" t="str">
        <f>IF(Transactions_RAW_cleaned[[#This Row],[Status]]="Refunded", "Refund",
  IF(Transactions_RAW_cleaned[[#This Row],[Category]]="Payments", IF(Transactions_RAW_cleaned[[#This Row],[Amount]]&gt;500,"High Value","Standard"),
    IF(Transactions_RAW_cleaned[[#This Row],[Amount]]&gt;250,"High Value","Standard")))</f>
        <v>High Value</v>
      </c>
      <c r="Q1826" s="5" t="str">
        <f>IF(Transactions_RAW_cleaned[[#This Row],[Amount]] &gt; (_xlfn.XLOOKUP(Transactions_RAW_cleaned[[#This Row],[ServiceID]],Services_cleaned[ServiceID],Services_cleaned[TransactionFeePct]) * 10000), "Yes", "No")</f>
        <v>Yes</v>
      </c>
      <c r="R1826" s="5" t="str">
        <f>IF(COUNTIFS($C$2:Transactions_RAW_cleaned[[#This Row],[CustomerID]],Transactions_RAW_cleaned[[#This Row],[CustomerID]],$D$2:Transactions_RAW_cleaned[[#This Row],[ServiceID]],Transactions_RAW_cleaned[[#This Row],[ServiceID]])=1,"Yes","No")</f>
        <v>No</v>
      </c>
      <c r="S182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826" t="str">
        <f>"Q"&amp;ROUNDUP(MONTH(Transactions_RAW_cleaned[[#This Row],[TransactionDate]])/3,0)</f>
        <v>Q3</v>
      </c>
      <c r="U1826" t="str">
        <f>Transactions_RAW_cleaned[[#This Row],[Region ]]&amp;Transactions_RAW_cleaned[[#This Row],[Quarter ]]</f>
        <v>EMEAQ3</v>
      </c>
      <c r="V1826" s="5">
        <f>_xlfn.XLOOKUP(Transactions_RAW_cleaned[[#This Row],[RegionQuarterKey]], Quarterly_Targets_cleaned[RegionQuarterKey], Quarterly_Targets_cleaned[TargetRevenue])</f>
        <v>147000</v>
      </c>
    </row>
    <row r="1827" spans="1:22" x14ac:dyDescent="0.25">
      <c r="A1827" t="s">
        <v>2163</v>
      </c>
      <c r="B1827" s="1">
        <v>45447</v>
      </c>
      <c r="C1827" t="s">
        <v>129</v>
      </c>
      <c r="D1827" t="s">
        <v>312</v>
      </c>
      <c r="E1827">
        <v>66.87</v>
      </c>
      <c r="F1827" t="s">
        <v>324</v>
      </c>
      <c r="G1827" t="s">
        <v>327</v>
      </c>
      <c r="H1827" t="s">
        <v>332</v>
      </c>
      <c r="I1827" t="s">
        <v>8</v>
      </c>
      <c r="J1827" t="s">
        <v>21</v>
      </c>
      <c r="K1827" t="s">
        <v>18</v>
      </c>
      <c r="L1827" t="s">
        <v>313</v>
      </c>
      <c r="M1827" t="s">
        <v>314</v>
      </c>
      <c r="N1827">
        <v>0</v>
      </c>
      <c r="O1827" t="str">
        <f>IF(Transactions_RAW_cleaned[[#This Row],[Status]]="Completed", IFERROR(_xlfn.XLOOKUP(Transactions_RAW_cleaned[[#This Row],[CustomerID]], Customers_cleaned[CustomerID], Customers_cleaned[Segment]), "Customer Not Found"), "N/A")</f>
        <v>SMB</v>
      </c>
      <c r="P1827" s="5" t="str">
        <f>IF(Transactions_RAW_cleaned[[#This Row],[Status]]="Refunded", "Refund",
  IF(Transactions_RAW_cleaned[[#This Row],[Category]]="Payments", IF(Transactions_RAW_cleaned[[#This Row],[Amount]]&gt;500,"High Value","Standard"),
    IF(Transactions_RAW_cleaned[[#This Row],[Amount]]&gt;250,"High Value","Standard")))</f>
        <v>Standard</v>
      </c>
      <c r="Q1827" s="5" t="str">
        <f>IF(Transactions_RAW_cleaned[[#This Row],[Amount]] &gt; (_xlfn.XLOOKUP(Transactions_RAW_cleaned[[#This Row],[ServiceID]],Services_cleaned[ServiceID],Services_cleaned[TransactionFeePct]) * 10000), "Yes", "No")</f>
        <v>Yes</v>
      </c>
      <c r="R1827" s="5" t="str">
        <f>IF(COUNTIFS($C$2:Transactions_RAW_cleaned[[#This Row],[CustomerID]],Transactions_RAW_cleaned[[#This Row],[CustomerID]],$D$2:Transactions_RAW_cleaned[[#This Row],[ServiceID]],Transactions_RAW_cleaned[[#This Row],[ServiceID]])=1,"Yes","No")</f>
        <v>No</v>
      </c>
      <c r="S182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27" t="str">
        <f>"Q"&amp;ROUNDUP(MONTH(Transactions_RAW_cleaned[[#This Row],[TransactionDate]])/3,0)</f>
        <v>Q2</v>
      </c>
      <c r="U1827" t="str">
        <f>Transactions_RAW_cleaned[[#This Row],[Region ]]&amp;Transactions_RAW_cleaned[[#This Row],[Quarter ]]</f>
        <v>APACQ2</v>
      </c>
      <c r="V1827" s="5">
        <f>_xlfn.XLOOKUP(Transactions_RAW_cleaned[[#This Row],[RegionQuarterKey]], Quarterly_Targets_cleaned[RegionQuarterKey], Quarterly_Targets_cleaned[TargetRevenue])</f>
        <v>110000</v>
      </c>
    </row>
    <row r="1828" spans="1:22" x14ac:dyDescent="0.25">
      <c r="A1828" t="s">
        <v>2164</v>
      </c>
      <c r="B1828" s="1">
        <v>45634</v>
      </c>
      <c r="C1828" t="s">
        <v>19</v>
      </c>
      <c r="D1828" t="s">
        <v>309</v>
      </c>
      <c r="E1828">
        <v>441.51</v>
      </c>
      <c r="F1828" t="s">
        <v>324</v>
      </c>
      <c r="G1828" t="s">
        <v>327</v>
      </c>
      <c r="H1828" t="s">
        <v>334</v>
      </c>
      <c r="I1828" t="s">
        <v>8</v>
      </c>
      <c r="J1828" t="s">
        <v>21</v>
      </c>
      <c r="K1828" t="s">
        <v>22</v>
      </c>
      <c r="L1828" t="s">
        <v>310</v>
      </c>
      <c r="M1828" t="s">
        <v>311</v>
      </c>
      <c r="N1828">
        <v>0</v>
      </c>
      <c r="O1828" t="str">
        <f>IF(Transactions_RAW_cleaned[[#This Row],[Status]]="Completed", IFERROR(_xlfn.XLOOKUP(Transactions_RAW_cleaned[[#This Row],[CustomerID]], Customers_cleaned[CustomerID], Customers_cleaned[Segment]), "Customer Not Found"), "N/A")</f>
        <v>SMB</v>
      </c>
      <c r="P1828" s="5" t="str">
        <f>IF(Transactions_RAW_cleaned[[#This Row],[Status]]="Refunded", "Refund",
  IF(Transactions_RAW_cleaned[[#This Row],[Category]]="Payments", IF(Transactions_RAW_cleaned[[#This Row],[Amount]]&gt;500,"High Value","Standard"),
    IF(Transactions_RAW_cleaned[[#This Row],[Amount]]&gt;250,"High Value","Standard")))</f>
        <v>High Value</v>
      </c>
      <c r="Q1828" s="5" t="str">
        <f>IF(Transactions_RAW_cleaned[[#This Row],[Amount]] &gt; (_xlfn.XLOOKUP(Transactions_RAW_cleaned[[#This Row],[ServiceID]],Services_cleaned[ServiceID],Services_cleaned[TransactionFeePct]) * 10000), "Yes", "No")</f>
        <v>Yes</v>
      </c>
      <c r="R1828" s="5" t="str">
        <f>IF(COUNTIFS($C$2:Transactions_RAW_cleaned[[#This Row],[CustomerID]],Transactions_RAW_cleaned[[#This Row],[CustomerID]],$D$2:Transactions_RAW_cleaned[[#This Row],[ServiceID]],Transactions_RAW_cleaned[[#This Row],[ServiceID]])=1,"Yes","No")</f>
        <v>No</v>
      </c>
      <c r="S182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28" t="str">
        <f>"Q"&amp;ROUNDUP(MONTH(Transactions_RAW_cleaned[[#This Row],[TransactionDate]])/3,0)</f>
        <v>Q4</v>
      </c>
      <c r="U1828" t="str">
        <f>Transactions_RAW_cleaned[[#This Row],[Region ]]&amp;Transactions_RAW_cleaned[[#This Row],[Quarter ]]</f>
        <v>APACQ4</v>
      </c>
      <c r="V1828" s="5">
        <f>_xlfn.XLOOKUP(Transactions_RAW_cleaned[[#This Row],[RegionQuarterKey]], Quarterly_Targets_cleaned[RegionQuarterKey], Quarterly_Targets_cleaned[TargetRevenue])</f>
        <v>126500</v>
      </c>
    </row>
    <row r="1829" spans="1:22" x14ac:dyDescent="0.25">
      <c r="A1829" t="s">
        <v>2165</v>
      </c>
      <c r="B1829" s="1">
        <v>45504</v>
      </c>
      <c r="C1829" t="s">
        <v>245</v>
      </c>
      <c r="D1829" t="s">
        <v>309</v>
      </c>
      <c r="E1829">
        <v>1246.25</v>
      </c>
      <c r="F1829" t="s">
        <v>381</v>
      </c>
      <c r="G1829" t="s">
        <v>337</v>
      </c>
      <c r="H1829" t="s">
        <v>346</v>
      </c>
      <c r="I1829" t="s">
        <v>8</v>
      </c>
      <c r="J1829" t="s">
        <v>31</v>
      </c>
      <c r="K1829" t="s">
        <v>14</v>
      </c>
      <c r="L1829" t="s">
        <v>310</v>
      </c>
      <c r="M1829" t="s">
        <v>311</v>
      </c>
      <c r="N1829">
        <v>0</v>
      </c>
      <c r="O1829" t="str">
        <f>IF(Transactions_RAW_cleaned[[#This Row],[Status]]="Completed", IFERROR(_xlfn.XLOOKUP(Transactions_RAW_cleaned[[#This Row],[CustomerID]], Customers_cleaned[CustomerID], Customers_cleaned[Segment]), "Customer Not Found"), "N/A")</f>
        <v>N/A</v>
      </c>
      <c r="P1829" s="5" t="str">
        <f>IF(Transactions_RAW_cleaned[[#This Row],[Status]]="Refunded", "Refund",
  IF(Transactions_RAW_cleaned[[#This Row],[Category]]="Payments", IF(Transactions_RAW_cleaned[[#This Row],[Amount]]&gt;500,"High Value","Standard"),
    IF(Transactions_RAW_cleaned[[#This Row],[Amount]]&gt;250,"High Value","Standard")))</f>
        <v>High Value</v>
      </c>
      <c r="Q1829" s="5" t="str">
        <f>IF(Transactions_RAW_cleaned[[#This Row],[Amount]] &gt; (_xlfn.XLOOKUP(Transactions_RAW_cleaned[[#This Row],[ServiceID]],Services_cleaned[ServiceID],Services_cleaned[TransactionFeePct]) * 10000), "Yes", "No")</f>
        <v>Yes</v>
      </c>
      <c r="R1829" s="5" t="str">
        <f>IF(COUNTIFS($C$2:Transactions_RAW_cleaned[[#This Row],[CustomerID]],Transactions_RAW_cleaned[[#This Row],[CustomerID]],$D$2:Transactions_RAW_cleaned[[#This Row],[ServiceID]],Transactions_RAW_cleaned[[#This Row],[ServiceID]])=1,"Yes","No")</f>
        <v>No</v>
      </c>
      <c r="S182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829" t="str">
        <f>"Q"&amp;ROUNDUP(MONTH(Transactions_RAW_cleaned[[#This Row],[TransactionDate]])/3,0)</f>
        <v>Q3</v>
      </c>
      <c r="U1829" t="str">
        <f>Transactions_RAW_cleaned[[#This Row],[Region ]]&amp;Transactions_RAW_cleaned[[#This Row],[Quarter ]]</f>
        <v>EMEAQ3</v>
      </c>
      <c r="V1829" s="5">
        <f>_xlfn.XLOOKUP(Transactions_RAW_cleaned[[#This Row],[RegionQuarterKey]], Quarterly_Targets_cleaned[RegionQuarterKey], Quarterly_Targets_cleaned[TargetRevenue])</f>
        <v>147000</v>
      </c>
    </row>
    <row r="1830" spans="1:22" x14ac:dyDescent="0.25">
      <c r="A1830" t="s">
        <v>2166</v>
      </c>
      <c r="B1830" s="1">
        <v>45489</v>
      </c>
      <c r="C1830" t="s">
        <v>80</v>
      </c>
      <c r="D1830" t="s">
        <v>294</v>
      </c>
      <c r="E1830">
        <v>306.87</v>
      </c>
      <c r="F1830" t="s">
        <v>324</v>
      </c>
      <c r="G1830" t="s">
        <v>325</v>
      </c>
      <c r="H1830" t="s">
        <v>334</v>
      </c>
      <c r="I1830" t="s">
        <v>8</v>
      </c>
      <c r="J1830" t="s">
        <v>13</v>
      </c>
      <c r="K1830" t="s">
        <v>32</v>
      </c>
      <c r="L1830" t="s">
        <v>295</v>
      </c>
      <c r="M1830" t="s">
        <v>296</v>
      </c>
      <c r="N1830">
        <v>2.9000000000000001E-2</v>
      </c>
      <c r="O1830" t="str">
        <f>IF(Transactions_RAW_cleaned[[#This Row],[Status]]="Completed", IFERROR(_xlfn.XLOOKUP(Transactions_RAW_cleaned[[#This Row],[CustomerID]], Customers_cleaned[CustomerID], Customers_cleaned[Segment]), "Customer Not Found"), "N/A")</f>
        <v>SMB</v>
      </c>
      <c r="P1830" s="5" t="str">
        <f>IF(Transactions_RAW_cleaned[[#This Row],[Status]]="Refunded", "Refund",
  IF(Transactions_RAW_cleaned[[#This Row],[Category]]="Payments", IF(Transactions_RAW_cleaned[[#This Row],[Amount]]&gt;500,"High Value","Standard"),
    IF(Transactions_RAW_cleaned[[#This Row],[Amount]]&gt;250,"High Value","Standard")))</f>
        <v>Standard</v>
      </c>
      <c r="Q1830" s="5" t="str">
        <f>IF(Transactions_RAW_cleaned[[#This Row],[Amount]] &gt; (_xlfn.XLOOKUP(Transactions_RAW_cleaned[[#This Row],[ServiceID]],Services_cleaned[ServiceID],Services_cleaned[TransactionFeePct]) * 10000), "Yes", "No")</f>
        <v>Yes</v>
      </c>
      <c r="R1830" s="5" t="str">
        <f>IF(COUNTIFS($C$2:Transactions_RAW_cleaned[[#This Row],[CustomerID]],Transactions_RAW_cleaned[[#This Row],[CustomerID]],$D$2:Transactions_RAW_cleaned[[#This Row],[ServiceID]],Transactions_RAW_cleaned[[#This Row],[ServiceID]])=1,"Yes","No")</f>
        <v>No</v>
      </c>
      <c r="S183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30" t="str">
        <f>"Q"&amp;ROUNDUP(MONTH(Transactions_RAW_cleaned[[#This Row],[TransactionDate]])/3,0)</f>
        <v>Q3</v>
      </c>
      <c r="U1830" t="str">
        <f>Transactions_RAW_cleaned[[#This Row],[Region ]]&amp;Transactions_RAW_cleaned[[#This Row],[Quarter ]]</f>
        <v>NAQ3</v>
      </c>
      <c r="V1830" s="5">
        <f>_xlfn.XLOOKUP(Transactions_RAW_cleaned[[#This Row],[RegionQuarterKey]], Quarterly_Targets_cleaned[RegionQuarterKey], Quarterly_Targets_cleaned[TargetRevenue])</f>
        <v>273000</v>
      </c>
    </row>
    <row r="1831" spans="1:22" x14ac:dyDescent="0.25">
      <c r="A1831" t="s">
        <v>2167</v>
      </c>
      <c r="B1831" s="1">
        <v>45515</v>
      </c>
      <c r="C1831" t="s">
        <v>62</v>
      </c>
      <c r="D1831" t="s">
        <v>294</v>
      </c>
      <c r="E1831">
        <v>313.7</v>
      </c>
      <c r="F1831" t="s">
        <v>324</v>
      </c>
      <c r="G1831" t="s">
        <v>327</v>
      </c>
      <c r="I1831" t="s">
        <v>8</v>
      </c>
      <c r="J1831" t="s">
        <v>46</v>
      </c>
      <c r="K1831" t="s">
        <v>18</v>
      </c>
      <c r="L1831" t="s">
        <v>295</v>
      </c>
      <c r="M1831" t="s">
        <v>296</v>
      </c>
      <c r="N1831">
        <v>2.9000000000000001E-2</v>
      </c>
      <c r="O1831" t="str">
        <f>IF(Transactions_RAW_cleaned[[#This Row],[Status]]="Completed", IFERROR(_xlfn.XLOOKUP(Transactions_RAW_cleaned[[#This Row],[CustomerID]], Customers_cleaned[CustomerID], Customers_cleaned[Segment]), "Customer Not Found"), "N/A")</f>
        <v>SMB</v>
      </c>
      <c r="P1831" s="5" t="str">
        <f>IF(Transactions_RAW_cleaned[[#This Row],[Status]]="Refunded", "Refund",
  IF(Transactions_RAW_cleaned[[#This Row],[Category]]="Payments", IF(Transactions_RAW_cleaned[[#This Row],[Amount]]&gt;500,"High Value","Standard"),
    IF(Transactions_RAW_cleaned[[#This Row],[Amount]]&gt;250,"High Value","Standard")))</f>
        <v>Standard</v>
      </c>
      <c r="Q1831" s="5" t="str">
        <f>IF(Transactions_RAW_cleaned[[#This Row],[Amount]] &gt; (_xlfn.XLOOKUP(Transactions_RAW_cleaned[[#This Row],[ServiceID]],Services_cleaned[ServiceID],Services_cleaned[TransactionFeePct]) * 10000), "Yes", "No")</f>
        <v>Yes</v>
      </c>
      <c r="R1831" s="5" t="str">
        <f>IF(COUNTIFS($C$2:Transactions_RAW_cleaned[[#This Row],[CustomerID]],Transactions_RAW_cleaned[[#This Row],[CustomerID]],$D$2:Transactions_RAW_cleaned[[#This Row],[ServiceID]],Transactions_RAW_cleaned[[#This Row],[ServiceID]])=1,"Yes","No")</f>
        <v>No</v>
      </c>
      <c r="S183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31" t="str">
        <f>"Q"&amp;ROUNDUP(MONTH(Transactions_RAW_cleaned[[#This Row],[TransactionDate]])/3,0)</f>
        <v>Q3</v>
      </c>
      <c r="U1831" t="str">
        <f>Transactions_RAW_cleaned[[#This Row],[Region ]]&amp;Transactions_RAW_cleaned[[#This Row],[Quarter ]]</f>
        <v>APACQ3</v>
      </c>
      <c r="V1831" s="5">
        <f>_xlfn.XLOOKUP(Transactions_RAW_cleaned[[#This Row],[RegionQuarterKey]], Quarterly_Targets_cleaned[RegionQuarterKey], Quarterly_Targets_cleaned[TargetRevenue])</f>
        <v>115500</v>
      </c>
    </row>
    <row r="1832" spans="1:22" x14ac:dyDescent="0.25">
      <c r="A1832" t="s">
        <v>2168</v>
      </c>
      <c r="B1832" s="1">
        <v>45329</v>
      </c>
      <c r="C1832" t="s">
        <v>64</v>
      </c>
      <c r="D1832" t="s">
        <v>294</v>
      </c>
      <c r="E1832">
        <v>-745.77</v>
      </c>
      <c r="F1832" t="s">
        <v>349</v>
      </c>
      <c r="G1832" t="s">
        <v>337</v>
      </c>
      <c r="H1832" t="s">
        <v>346</v>
      </c>
      <c r="I1832" t="s">
        <v>8</v>
      </c>
      <c r="J1832" t="s">
        <v>37</v>
      </c>
      <c r="K1832" t="s">
        <v>28</v>
      </c>
      <c r="L1832" t="s">
        <v>295</v>
      </c>
      <c r="M1832" t="s">
        <v>296</v>
      </c>
      <c r="N1832">
        <v>2.9000000000000001E-2</v>
      </c>
      <c r="O1832" t="str">
        <f>IF(Transactions_RAW_cleaned[[#This Row],[Status]]="Completed", IFERROR(_xlfn.XLOOKUP(Transactions_RAW_cleaned[[#This Row],[CustomerID]], Customers_cleaned[CustomerID], Customers_cleaned[Segment]), "Customer Not Found"), "N/A")</f>
        <v>N/A</v>
      </c>
      <c r="P1832" s="5" t="str">
        <f>IF(Transactions_RAW_cleaned[[#This Row],[Status]]="Refunded", "Refund",
  IF(Transactions_RAW_cleaned[[#This Row],[Category]]="Payments", IF(Transactions_RAW_cleaned[[#This Row],[Amount]]&gt;500,"High Value","Standard"),
    IF(Transactions_RAW_cleaned[[#This Row],[Amount]]&gt;250,"High Value","Standard")))</f>
        <v>Refund</v>
      </c>
      <c r="Q1832" s="5" t="str">
        <f>IF(Transactions_RAW_cleaned[[#This Row],[Amount]] &gt; (_xlfn.XLOOKUP(Transactions_RAW_cleaned[[#This Row],[ServiceID]],Services_cleaned[ServiceID],Services_cleaned[TransactionFeePct]) * 10000), "Yes", "No")</f>
        <v>No</v>
      </c>
      <c r="R1832" s="5" t="str">
        <f>IF(COUNTIFS($C$2:Transactions_RAW_cleaned[[#This Row],[CustomerID]],Transactions_RAW_cleaned[[#This Row],[CustomerID]],$D$2:Transactions_RAW_cleaned[[#This Row],[ServiceID]],Transactions_RAW_cleaned[[#This Row],[ServiceID]])=1,"Yes","No")</f>
        <v>No</v>
      </c>
      <c r="S183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832" t="str">
        <f>"Q"&amp;ROUNDUP(MONTH(Transactions_RAW_cleaned[[#This Row],[TransactionDate]])/3,0)</f>
        <v>Q1</v>
      </c>
      <c r="U1832" t="str">
        <f>Transactions_RAW_cleaned[[#This Row],[Region ]]&amp;Transactions_RAW_cleaned[[#This Row],[Quarter ]]</f>
        <v>EMEAQ1</v>
      </c>
      <c r="V1832" s="5">
        <f>_xlfn.XLOOKUP(Transactions_RAW_cleaned[[#This Row],[RegionQuarterKey]], Quarterly_Targets_cleaned[RegionQuarterKey], Quarterly_Targets_cleaned[TargetRevenue])</f>
        <v>133000</v>
      </c>
    </row>
    <row r="1833" spans="1:22" x14ac:dyDescent="0.25">
      <c r="A1833" t="s">
        <v>2169</v>
      </c>
      <c r="B1833" s="1">
        <v>45336</v>
      </c>
      <c r="C1833" t="s">
        <v>267</v>
      </c>
      <c r="D1833" t="s">
        <v>309</v>
      </c>
      <c r="E1833">
        <v>1170.68</v>
      </c>
      <c r="F1833" t="s">
        <v>324</v>
      </c>
      <c r="G1833" t="s">
        <v>325</v>
      </c>
      <c r="H1833" t="s">
        <v>334</v>
      </c>
      <c r="I1833" t="s">
        <v>8</v>
      </c>
      <c r="J1833" t="s">
        <v>102</v>
      </c>
      <c r="K1833" t="s">
        <v>22</v>
      </c>
      <c r="L1833" t="s">
        <v>310</v>
      </c>
      <c r="M1833" t="s">
        <v>311</v>
      </c>
      <c r="N1833">
        <v>0</v>
      </c>
      <c r="O1833" t="str">
        <f>IF(Transactions_RAW_cleaned[[#This Row],[Status]]="Completed", IFERROR(_xlfn.XLOOKUP(Transactions_RAW_cleaned[[#This Row],[CustomerID]], Customers_cleaned[CustomerID], Customers_cleaned[Segment]), "Customer Not Found"), "N/A")</f>
        <v>SMB</v>
      </c>
      <c r="P1833" s="5" t="str">
        <f>IF(Transactions_RAW_cleaned[[#This Row],[Status]]="Refunded", "Refund",
  IF(Transactions_RAW_cleaned[[#This Row],[Category]]="Payments", IF(Transactions_RAW_cleaned[[#This Row],[Amount]]&gt;500,"High Value","Standard"),
    IF(Transactions_RAW_cleaned[[#This Row],[Amount]]&gt;250,"High Value","Standard")))</f>
        <v>High Value</v>
      </c>
      <c r="Q1833" s="5" t="str">
        <f>IF(Transactions_RAW_cleaned[[#This Row],[Amount]] &gt; (_xlfn.XLOOKUP(Transactions_RAW_cleaned[[#This Row],[ServiceID]],Services_cleaned[ServiceID],Services_cleaned[TransactionFeePct]) * 10000), "Yes", "No")</f>
        <v>Yes</v>
      </c>
      <c r="R1833" s="5" t="str">
        <f>IF(COUNTIFS($C$2:Transactions_RAW_cleaned[[#This Row],[CustomerID]],Transactions_RAW_cleaned[[#This Row],[CustomerID]],$D$2:Transactions_RAW_cleaned[[#This Row],[ServiceID]],Transactions_RAW_cleaned[[#This Row],[ServiceID]])=1,"Yes","No")</f>
        <v>No</v>
      </c>
      <c r="S183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33" t="str">
        <f>"Q"&amp;ROUNDUP(MONTH(Transactions_RAW_cleaned[[#This Row],[TransactionDate]])/3,0)</f>
        <v>Q1</v>
      </c>
      <c r="U1833" t="str">
        <f>Transactions_RAW_cleaned[[#This Row],[Region ]]&amp;Transactions_RAW_cleaned[[#This Row],[Quarter ]]</f>
        <v>NAQ1</v>
      </c>
      <c r="V1833" s="5">
        <f>_xlfn.XLOOKUP(Transactions_RAW_cleaned[[#This Row],[RegionQuarterKey]], Quarterly_Targets_cleaned[RegionQuarterKey], Quarterly_Targets_cleaned[TargetRevenue])</f>
        <v>247000</v>
      </c>
    </row>
    <row r="1834" spans="1:22" x14ac:dyDescent="0.25">
      <c r="A1834" t="s">
        <v>2170</v>
      </c>
      <c r="B1834" s="1">
        <v>45600</v>
      </c>
      <c r="C1834" t="s">
        <v>51</v>
      </c>
      <c r="D1834" t="s">
        <v>297</v>
      </c>
      <c r="E1834">
        <v>850.37</v>
      </c>
      <c r="F1834" t="s">
        <v>324</v>
      </c>
      <c r="G1834" t="s">
        <v>327</v>
      </c>
      <c r="H1834" t="s">
        <v>334</v>
      </c>
      <c r="I1834" t="s">
        <v>8</v>
      </c>
      <c r="J1834" t="s">
        <v>31</v>
      </c>
      <c r="K1834" t="s">
        <v>14</v>
      </c>
      <c r="L1834" t="s">
        <v>298</v>
      </c>
      <c r="M1834" t="s">
        <v>299</v>
      </c>
      <c r="N1834">
        <v>0</v>
      </c>
      <c r="O1834" t="str">
        <f>IF(Transactions_RAW_cleaned[[#This Row],[Status]]="Completed", IFERROR(_xlfn.XLOOKUP(Transactions_RAW_cleaned[[#This Row],[CustomerID]], Customers_cleaned[CustomerID], Customers_cleaned[Segment]), "Customer Not Found"), "N/A")</f>
        <v>SMB</v>
      </c>
      <c r="P1834" s="5" t="str">
        <f>IF(Transactions_RAW_cleaned[[#This Row],[Status]]="Refunded", "Refund",
  IF(Transactions_RAW_cleaned[[#This Row],[Category]]="Payments", IF(Transactions_RAW_cleaned[[#This Row],[Amount]]&gt;500,"High Value","Standard"),
    IF(Transactions_RAW_cleaned[[#This Row],[Amount]]&gt;250,"High Value","Standard")))</f>
        <v>High Value</v>
      </c>
      <c r="Q1834" s="5" t="str">
        <f>IF(Transactions_RAW_cleaned[[#This Row],[Amount]] &gt; (_xlfn.XLOOKUP(Transactions_RAW_cleaned[[#This Row],[ServiceID]],Services_cleaned[ServiceID],Services_cleaned[TransactionFeePct]) * 10000), "Yes", "No")</f>
        <v>Yes</v>
      </c>
      <c r="R1834" s="5" t="str">
        <f>IF(COUNTIFS($C$2:Transactions_RAW_cleaned[[#This Row],[CustomerID]],Transactions_RAW_cleaned[[#This Row],[CustomerID]],$D$2:Transactions_RAW_cleaned[[#This Row],[ServiceID]],Transactions_RAW_cleaned[[#This Row],[ServiceID]])=1,"Yes","No")</f>
        <v>No</v>
      </c>
      <c r="S183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834" t="str">
        <f>"Q"&amp;ROUNDUP(MONTH(Transactions_RAW_cleaned[[#This Row],[TransactionDate]])/3,0)</f>
        <v>Q4</v>
      </c>
      <c r="U1834" t="str">
        <f>Transactions_RAW_cleaned[[#This Row],[Region ]]&amp;Transactions_RAW_cleaned[[#This Row],[Quarter ]]</f>
        <v>EMEAQ4</v>
      </c>
      <c r="V1834" s="5">
        <f>_xlfn.XLOOKUP(Transactions_RAW_cleaned[[#This Row],[RegionQuarterKey]], Quarterly_Targets_cleaned[RegionQuarterKey], Quarterly_Targets_cleaned[TargetRevenue])</f>
        <v>161000</v>
      </c>
    </row>
    <row r="1835" spans="1:22" x14ac:dyDescent="0.25">
      <c r="A1835" t="s">
        <v>2171</v>
      </c>
      <c r="B1835" s="1">
        <v>45557</v>
      </c>
      <c r="C1835" t="s">
        <v>49</v>
      </c>
      <c r="D1835" t="s">
        <v>306</v>
      </c>
      <c r="E1835">
        <v>218.98</v>
      </c>
      <c r="F1835" t="s">
        <v>324</v>
      </c>
      <c r="G1835" t="s">
        <v>329</v>
      </c>
      <c r="H1835" t="s">
        <v>332</v>
      </c>
      <c r="I1835" t="s">
        <v>8</v>
      </c>
      <c r="J1835" t="s">
        <v>102</v>
      </c>
      <c r="K1835" t="s">
        <v>32</v>
      </c>
      <c r="L1835" t="s">
        <v>307</v>
      </c>
      <c r="M1835" t="s">
        <v>308</v>
      </c>
      <c r="N1835">
        <v>0</v>
      </c>
      <c r="O1835" t="str">
        <f>IF(Transactions_RAW_cleaned[[#This Row],[Status]]="Completed", IFERROR(_xlfn.XLOOKUP(Transactions_RAW_cleaned[[#This Row],[CustomerID]], Customers_cleaned[CustomerID], Customers_cleaned[Segment]), "Customer Not Found"), "N/A")</f>
        <v>SMB</v>
      </c>
      <c r="P1835" s="5" t="str">
        <f>IF(Transactions_RAW_cleaned[[#This Row],[Status]]="Refunded", "Refund",
  IF(Transactions_RAW_cleaned[[#This Row],[Category]]="Payments", IF(Transactions_RAW_cleaned[[#This Row],[Amount]]&gt;500,"High Value","Standard"),
    IF(Transactions_RAW_cleaned[[#This Row],[Amount]]&gt;250,"High Value","Standard")))</f>
        <v>Standard</v>
      </c>
      <c r="Q1835" s="5" t="str">
        <f>IF(Transactions_RAW_cleaned[[#This Row],[Amount]] &gt; (_xlfn.XLOOKUP(Transactions_RAW_cleaned[[#This Row],[ServiceID]],Services_cleaned[ServiceID],Services_cleaned[TransactionFeePct]) * 10000), "Yes", "No")</f>
        <v>Yes</v>
      </c>
      <c r="R1835" s="5" t="str">
        <f>IF(COUNTIFS($C$2:Transactions_RAW_cleaned[[#This Row],[CustomerID]],Transactions_RAW_cleaned[[#This Row],[CustomerID]],$D$2:Transactions_RAW_cleaned[[#This Row],[ServiceID]],Transactions_RAW_cleaned[[#This Row],[ServiceID]])=1,"Yes","No")</f>
        <v>Yes</v>
      </c>
      <c r="S183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35" t="str">
        <f>"Q"&amp;ROUNDUP(MONTH(Transactions_RAW_cleaned[[#This Row],[TransactionDate]])/3,0)</f>
        <v>Q3</v>
      </c>
      <c r="U1835" t="str">
        <f>Transactions_RAW_cleaned[[#This Row],[Region ]]&amp;Transactions_RAW_cleaned[[#This Row],[Quarter ]]</f>
        <v>NAQ3</v>
      </c>
      <c r="V1835" s="5">
        <f>_xlfn.XLOOKUP(Transactions_RAW_cleaned[[#This Row],[RegionQuarterKey]], Quarterly_Targets_cleaned[RegionQuarterKey], Quarterly_Targets_cleaned[TargetRevenue])</f>
        <v>273000</v>
      </c>
    </row>
    <row r="1836" spans="1:22" x14ac:dyDescent="0.25">
      <c r="A1836" t="s">
        <v>2172</v>
      </c>
      <c r="B1836" s="1">
        <v>45501</v>
      </c>
      <c r="C1836" t="s">
        <v>62</v>
      </c>
      <c r="D1836" t="s">
        <v>300</v>
      </c>
      <c r="E1836">
        <v>304.55</v>
      </c>
      <c r="F1836" t="s">
        <v>324</v>
      </c>
      <c r="G1836" t="s">
        <v>325</v>
      </c>
      <c r="H1836" t="s">
        <v>334</v>
      </c>
      <c r="I1836" t="s">
        <v>8</v>
      </c>
      <c r="J1836" t="s">
        <v>46</v>
      </c>
      <c r="K1836" t="s">
        <v>18</v>
      </c>
      <c r="L1836" t="s">
        <v>301</v>
      </c>
      <c r="M1836" t="s">
        <v>302</v>
      </c>
      <c r="N1836">
        <v>5.0000000000000001E-3</v>
      </c>
      <c r="O1836" t="str">
        <f>IF(Transactions_RAW_cleaned[[#This Row],[Status]]="Completed", IFERROR(_xlfn.XLOOKUP(Transactions_RAW_cleaned[[#This Row],[CustomerID]], Customers_cleaned[CustomerID], Customers_cleaned[Segment]), "Customer Not Found"), "N/A")</f>
        <v>SMB</v>
      </c>
      <c r="P1836" s="5" t="str">
        <f>IF(Transactions_RAW_cleaned[[#This Row],[Status]]="Refunded", "Refund",
  IF(Transactions_RAW_cleaned[[#This Row],[Category]]="Payments", IF(Transactions_RAW_cleaned[[#This Row],[Amount]]&gt;500,"High Value","Standard"),
    IF(Transactions_RAW_cleaned[[#This Row],[Amount]]&gt;250,"High Value","Standard")))</f>
        <v>High Value</v>
      </c>
      <c r="Q1836" s="5" t="str">
        <f>IF(Transactions_RAW_cleaned[[#This Row],[Amount]] &gt; (_xlfn.XLOOKUP(Transactions_RAW_cleaned[[#This Row],[ServiceID]],Services_cleaned[ServiceID],Services_cleaned[TransactionFeePct]) * 10000), "Yes", "No")</f>
        <v>Yes</v>
      </c>
      <c r="R1836" s="5" t="str">
        <f>IF(COUNTIFS($C$2:Transactions_RAW_cleaned[[#This Row],[CustomerID]],Transactions_RAW_cleaned[[#This Row],[CustomerID]],$D$2:Transactions_RAW_cleaned[[#This Row],[ServiceID]],Transactions_RAW_cleaned[[#This Row],[ServiceID]])=1,"Yes","No")</f>
        <v>No</v>
      </c>
      <c r="S183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36" t="str">
        <f>"Q"&amp;ROUNDUP(MONTH(Transactions_RAW_cleaned[[#This Row],[TransactionDate]])/3,0)</f>
        <v>Q3</v>
      </c>
      <c r="U1836" t="str">
        <f>Transactions_RAW_cleaned[[#This Row],[Region ]]&amp;Transactions_RAW_cleaned[[#This Row],[Quarter ]]</f>
        <v>APACQ3</v>
      </c>
      <c r="V1836" s="5">
        <f>_xlfn.XLOOKUP(Transactions_RAW_cleaned[[#This Row],[RegionQuarterKey]], Quarterly_Targets_cleaned[RegionQuarterKey], Quarterly_Targets_cleaned[TargetRevenue])</f>
        <v>115500</v>
      </c>
    </row>
    <row r="1837" spans="1:22" x14ac:dyDescent="0.25">
      <c r="A1837" t="s">
        <v>2173</v>
      </c>
      <c r="B1837" s="1">
        <v>45313</v>
      </c>
      <c r="C1837" t="s">
        <v>44</v>
      </c>
      <c r="D1837" t="s">
        <v>297</v>
      </c>
      <c r="E1837">
        <v>511.46</v>
      </c>
      <c r="F1837" t="s">
        <v>324</v>
      </c>
      <c r="G1837" t="s">
        <v>337</v>
      </c>
      <c r="I1837" t="s">
        <v>8</v>
      </c>
      <c r="J1837" t="s">
        <v>46</v>
      </c>
      <c r="K1837" t="s">
        <v>32</v>
      </c>
      <c r="L1837" t="s">
        <v>298</v>
      </c>
      <c r="M1837" t="s">
        <v>299</v>
      </c>
      <c r="N1837">
        <v>0</v>
      </c>
      <c r="O1837" t="str">
        <f>IF(Transactions_RAW_cleaned[[#This Row],[Status]]="Completed", IFERROR(_xlfn.XLOOKUP(Transactions_RAW_cleaned[[#This Row],[CustomerID]], Customers_cleaned[CustomerID], Customers_cleaned[Segment]), "Customer Not Found"), "N/A")</f>
        <v>SMB</v>
      </c>
      <c r="P1837" s="5" t="str">
        <f>IF(Transactions_RAW_cleaned[[#This Row],[Status]]="Refunded", "Refund",
  IF(Transactions_RAW_cleaned[[#This Row],[Category]]="Payments", IF(Transactions_RAW_cleaned[[#This Row],[Amount]]&gt;500,"High Value","Standard"),
    IF(Transactions_RAW_cleaned[[#This Row],[Amount]]&gt;250,"High Value","Standard")))</f>
        <v>High Value</v>
      </c>
      <c r="Q1837" s="5" t="str">
        <f>IF(Transactions_RAW_cleaned[[#This Row],[Amount]] &gt; (_xlfn.XLOOKUP(Transactions_RAW_cleaned[[#This Row],[ServiceID]],Services_cleaned[ServiceID],Services_cleaned[TransactionFeePct]) * 10000), "Yes", "No")</f>
        <v>Yes</v>
      </c>
      <c r="R1837" s="5" t="str">
        <f>IF(COUNTIFS($C$2:Transactions_RAW_cleaned[[#This Row],[CustomerID]],Transactions_RAW_cleaned[[#This Row],[CustomerID]],$D$2:Transactions_RAW_cleaned[[#This Row],[ServiceID]],Transactions_RAW_cleaned[[#This Row],[ServiceID]])=1,"Yes","No")</f>
        <v>No</v>
      </c>
      <c r="S183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37" t="str">
        <f>"Q"&amp;ROUNDUP(MONTH(Transactions_RAW_cleaned[[#This Row],[TransactionDate]])/3,0)</f>
        <v>Q1</v>
      </c>
      <c r="U1837" t="str">
        <f>Transactions_RAW_cleaned[[#This Row],[Region ]]&amp;Transactions_RAW_cleaned[[#This Row],[Quarter ]]</f>
        <v>APACQ1</v>
      </c>
      <c r="V1837" s="5">
        <f>_xlfn.XLOOKUP(Transactions_RAW_cleaned[[#This Row],[RegionQuarterKey]], Quarterly_Targets_cleaned[RegionQuarterKey], Quarterly_Targets_cleaned[TargetRevenue])</f>
        <v>104500</v>
      </c>
    </row>
    <row r="1838" spans="1:22" x14ac:dyDescent="0.25">
      <c r="A1838" t="s">
        <v>2174</v>
      </c>
      <c r="B1838" s="1">
        <v>45531</v>
      </c>
      <c r="C1838" t="s">
        <v>115</v>
      </c>
      <c r="D1838" t="s">
        <v>294</v>
      </c>
      <c r="E1838">
        <v>562.23</v>
      </c>
      <c r="F1838" t="s">
        <v>324</v>
      </c>
      <c r="G1838" t="s">
        <v>327</v>
      </c>
      <c r="I1838" t="s">
        <v>17</v>
      </c>
      <c r="J1838" t="s">
        <v>102</v>
      </c>
      <c r="K1838" t="s">
        <v>32</v>
      </c>
      <c r="L1838" t="s">
        <v>295</v>
      </c>
      <c r="M1838" t="s">
        <v>296</v>
      </c>
      <c r="N1838">
        <v>2.9000000000000001E-2</v>
      </c>
      <c r="O1838" t="str">
        <f>IF(Transactions_RAW_cleaned[[#This Row],[Status]]="Completed", IFERROR(_xlfn.XLOOKUP(Transactions_RAW_cleaned[[#This Row],[CustomerID]], Customers_cleaned[CustomerID], Customers_cleaned[Segment]), "Customer Not Found"), "N/A")</f>
        <v>Enterprise</v>
      </c>
      <c r="P1838" s="5" t="str">
        <f>IF(Transactions_RAW_cleaned[[#This Row],[Status]]="Refunded", "Refund",
  IF(Transactions_RAW_cleaned[[#This Row],[Category]]="Payments", IF(Transactions_RAW_cleaned[[#This Row],[Amount]]&gt;500,"High Value","Standard"),
    IF(Transactions_RAW_cleaned[[#This Row],[Amount]]&gt;250,"High Value","Standard")))</f>
        <v>High Value</v>
      </c>
      <c r="Q1838" s="5" t="str">
        <f>IF(Transactions_RAW_cleaned[[#This Row],[Amount]] &gt; (_xlfn.XLOOKUP(Transactions_RAW_cleaned[[#This Row],[ServiceID]],Services_cleaned[ServiceID],Services_cleaned[TransactionFeePct]) * 10000), "Yes", "No")</f>
        <v>Yes</v>
      </c>
      <c r="R1838" s="5" t="str">
        <f>IF(COUNTIFS($C$2:Transactions_RAW_cleaned[[#This Row],[CustomerID]],Transactions_RAW_cleaned[[#This Row],[CustomerID]],$D$2:Transactions_RAW_cleaned[[#This Row],[ServiceID]],Transactions_RAW_cleaned[[#This Row],[ServiceID]])=1,"Yes","No")</f>
        <v>No</v>
      </c>
      <c r="S183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38" t="str">
        <f>"Q"&amp;ROUNDUP(MONTH(Transactions_RAW_cleaned[[#This Row],[TransactionDate]])/3,0)</f>
        <v>Q3</v>
      </c>
      <c r="U1838" t="str">
        <f>Transactions_RAW_cleaned[[#This Row],[Region ]]&amp;Transactions_RAW_cleaned[[#This Row],[Quarter ]]</f>
        <v>NAQ3</v>
      </c>
      <c r="V1838" s="5">
        <f>_xlfn.XLOOKUP(Transactions_RAW_cleaned[[#This Row],[RegionQuarterKey]], Quarterly_Targets_cleaned[RegionQuarterKey], Quarterly_Targets_cleaned[TargetRevenue])</f>
        <v>273000</v>
      </c>
    </row>
    <row r="1839" spans="1:22" x14ac:dyDescent="0.25">
      <c r="A1839" t="s">
        <v>2175</v>
      </c>
      <c r="B1839" s="1">
        <v>45307</v>
      </c>
      <c r="C1839" t="s">
        <v>111</v>
      </c>
      <c r="D1839" t="s">
        <v>312</v>
      </c>
      <c r="E1839">
        <v>664.96</v>
      </c>
      <c r="F1839" t="s">
        <v>324</v>
      </c>
      <c r="G1839" t="s">
        <v>325</v>
      </c>
      <c r="I1839" t="s">
        <v>8</v>
      </c>
      <c r="J1839" t="s">
        <v>21</v>
      </c>
      <c r="K1839" t="s">
        <v>28</v>
      </c>
      <c r="L1839" t="s">
        <v>313</v>
      </c>
      <c r="M1839" t="s">
        <v>314</v>
      </c>
      <c r="N1839">
        <v>0</v>
      </c>
      <c r="O1839" t="str">
        <f>IF(Transactions_RAW_cleaned[[#This Row],[Status]]="Completed", IFERROR(_xlfn.XLOOKUP(Transactions_RAW_cleaned[[#This Row],[CustomerID]], Customers_cleaned[CustomerID], Customers_cleaned[Segment]), "Customer Not Found"), "N/A")</f>
        <v>SMB</v>
      </c>
      <c r="P1839" s="5" t="str">
        <f>IF(Transactions_RAW_cleaned[[#This Row],[Status]]="Refunded", "Refund",
  IF(Transactions_RAW_cleaned[[#This Row],[Category]]="Payments", IF(Transactions_RAW_cleaned[[#This Row],[Amount]]&gt;500,"High Value","Standard"),
    IF(Transactions_RAW_cleaned[[#This Row],[Amount]]&gt;250,"High Value","Standard")))</f>
        <v>High Value</v>
      </c>
      <c r="Q1839" s="5" t="str">
        <f>IF(Transactions_RAW_cleaned[[#This Row],[Amount]] &gt; (_xlfn.XLOOKUP(Transactions_RAW_cleaned[[#This Row],[ServiceID]],Services_cleaned[ServiceID],Services_cleaned[TransactionFeePct]) * 10000), "Yes", "No")</f>
        <v>Yes</v>
      </c>
      <c r="R1839" s="5" t="str">
        <f>IF(COUNTIFS($C$2:Transactions_RAW_cleaned[[#This Row],[CustomerID]],Transactions_RAW_cleaned[[#This Row],[CustomerID]],$D$2:Transactions_RAW_cleaned[[#This Row],[ServiceID]],Transactions_RAW_cleaned[[#This Row],[ServiceID]])=1,"Yes","No")</f>
        <v>No</v>
      </c>
      <c r="S183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39" t="str">
        <f>"Q"&amp;ROUNDUP(MONTH(Transactions_RAW_cleaned[[#This Row],[TransactionDate]])/3,0)</f>
        <v>Q1</v>
      </c>
      <c r="U1839" t="str">
        <f>Transactions_RAW_cleaned[[#This Row],[Region ]]&amp;Transactions_RAW_cleaned[[#This Row],[Quarter ]]</f>
        <v>APACQ1</v>
      </c>
      <c r="V1839" s="5">
        <f>_xlfn.XLOOKUP(Transactions_RAW_cleaned[[#This Row],[RegionQuarterKey]], Quarterly_Targets_cleaned[RegionQuarterKey], Quarterly_Targets_cleaned[TargetRevenue])</f>
        <v>104500</v>
      </c>
    </row>
    <row r="1840" spans="1:22" x14ac:dyDescent="0.25">
      <c r="A1840" t="s">
        <v>2176</v>
      </c>
      <c r="B1840" s="1">
        <v>45371</v>
      </c>
      <c r="C1840" t="s">
        <v>217</v>
      </c>
      <c r="D1840" t="s">
        <v>312</v>
      </c>
      <c r="E1840">
        <v>1013.97</v>
      </c>
      <c r="F1840" t="s">
        <v>324</v>
      </c>
      <c r="G1840" t="s">
        <v>329</v>
      </c>
      <c r="H1840" t="s">
        <v>332</v>
      </c>
      <c r="I1840" t="s">
        <v>17</v>
      </c>
      <c r="J1840" t="s">
        <v>102</v>
      </c>
      <c r="K1840" t="s">
        <v>14</v>
      </c>
      <c r="L1840" t="s">
        <v>313</v>
      </c>
      <c r="M1840" t="s">
        <v>314</v>
      </c>
      <c r="N1840">
        <v>0</v>
      </c>
      <c r="O1840" t="str">
        <f>IF(Transactions_RAW_cleaned[[#This Row],[Status]]="Completed", IFERROR(_xlfn.XLOOKUP(Transactions_RAW_cleaned[[#This Row],[CustomerID]], Customers_cleaned[CustomerID], Customers_cleaned[Segment]), "Customer Not Found"), "N/A")</f>
        <v>Enterprise</v>
      </c>
      <c r="P1840" s="5" t="str">
        <f>IF(Transactions_RAW_cleaned[[#This Row],[Status]]="Refunded", "Refund",
  IF(Transactions_RAW_cleaned[[#This Row],[Category]]="Payments", IF(Transactions_RAW_cleaned[[#This Row],[Amount]]&gt;500,"High Value","Standard"),
    IF(Transactions_RAW_cleaned[[#This Row],[Amount]]&gt;250,"High Value","Standard")))</f>
        <v>High Value</v>
      </c>
      <c r="Q1840" s="5" t="str">
        <f>IF(Transactions_RAW_cleaned[[#This Row],[Amount]] &gt; (_xlfn.XLOOKUP(Transactions_RAW_cleaned[[#This Row],[ServiceID]],Services_cleaned[ServiceID],Services_cleaned[TransactionFeePct]) * 10000), "Yes", "No")</f>
        <v>Yes</v>
      </c>
      <c r="R1840" s="5" t="str">
        <f>IF(COUNTIFS($C$2:Transactions_RAW_cleaned[[#This Row],[CustomerID]],Transactions_RAW_cleaned[[#This Row],[CustomerID]],$D$2:Transactions_RAW_cleaned[[#This Row],[ServiceID]],Transactions_RAW_cleaned[[#This Row],[ServiceID]])=1,"Yes","No")</f>
        <v>No</v>
      </c>
      <c r="S184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40" t="str">
        <f>"Q"&amp;ROUNDUP(MONTH(Transactions_RAW_cleaned[[#This Row],[TransactionDate]])/3,0)</f>
        <v>Q1</v>
      </c>
      <c r="U1840" t="str">
        <f>Transactions_RAW_cleaned[[#This Row],[Region ]]&amp;Transactions_RAW_cleaned[[#This Row],[Quarter ]]</f>
        <v>NAQ1</v>
      </c>
      <c r="V1840" s="5">
        <f>_xlfn.XLOOKUP(Transactions_RAW_cleaned[[#This Row],[RegionQuarterKey]], Quarterly_Targets_cleaned[RegionQuarterKey], Quarterly_Targets_cleaned[TargetRevenue])</f>
        <v>247000</v>
      </c>
    </row>
    <row r="1841" spans="1:22" x14ac:dyDescent="0.25">
      <c r="A1841" t="s">
        <v>2177</v>
      </c>
      <c r="B1841" s="1">
        <v>45316</v>
      </c>
      <c r="C1841" t="s">
        <v>107</v>
      </c>
      <c r="D1841" t="s">
        <v>294</v>
      </c>
      <c r="E1841">
        <v>299.82</v>
      </c>
      <c r="F1841" t="s">
        <v>324</v>
      </c>
      <c r="G1841" t="s">
        <v>325</v>
      </c>
      <c r="H1841" t="s">
        <v>334</v>
      </c>
      <c r="I1841" t="s">
        <v>17</v>
      </c>
      <c r="J1841" t="s">
        <v>102</v>
      </c>
      <c r="K1841" t="s">
        <v>22</v>
      </c>
      <c r="L1841" t="s">
        <v>295</v>
      </c>
      <c r="M1841" t="s">
        <v>296</v>
      </c>
      <c r="N1841">
        <v>2.9000000000000001E-2</v>
      </c>
      <c r="O1841" t="str">
        <f>IF(Transactions_RAW_cleaned[[#This Row],[Status]]="Completed", IFERROR(_xlfn.XLOOKUP(Transactions_RAW_cleaned[[#This Row],[CustomerID]], Customers_cleaned[CustomerID], Customers_cleaned[Segment]), "Customer Not Found"), "N/A")</f>
        <v>Enterprise</v>
      </c>
      <c r="P1841" s="5" t="str">
        <f>IF(Transactions_RAW_cleaned[[#This Row],[Status]]="Refunded", "Refund",
  IF(Transactions_RAW_cleaned[[#This Row],[Category]]="Payments", IF(Transactions_RAW_cleaned[[#This Row],[Amount]]&gt;500,"High Value","Standard"),
    IF(Transactions_RAW_cleaned[[#This Row],[Amount]]&gt;250,"High Value","Standard")))</f>
        <v>Standard</v>
      </c>
      <c r="Q1841" s="5" t="str">
        <f>IF(Transactions_RAW_cleaned[[#This Row],[Amount]] &gt; (_xlfn.XLOOKUP(Transactions_RAW_cleaned[[#This Row],[ServiceID]],Services_cleaned[ServiceID],Services_cleaned[TransactionFeePct]) * 10000), "Yes", "No")</f>
        <v>Yes</v>
      </c>
      <c r="R1841" s="5" t="str">
        <f>IF(COUNTIFS($C$2:Transactions_RAW_cleaned[[#This Row],[CustomerID]],Transactions_RAW_cleaned[[#This Row],[CustomerID]],$D$2:Transactions_RAW_cleaned[[#This Row],[ServiceID]],Transactions_RAW_cleaned[[#This Row],[ServiceID]])=1,"Yes","No")</f>
        <v>No</v>
      </c>
      <c r="S184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41" t="str">
        <f>"Q"&amp;ROUNDUP(MONTH(Transactions_RAW_cleaned[[#This Row],[TransactionDate]])/3,0)</f>
        <v>Q1</v>
      </c>
      <c r="U1841" t="str">
        <f>Transactions_RAW_cleaned[[#This Row],[Region ]]&amp;Transactions_RAW_cleaned[[#This Row],[Quarter ]]</f>
        <v>NAQ1</v>
      </c>
      <c r="V1841" s="5">
        <f>_xlfn.XLOOKUP(Transactions_RAW_cleaned[[#This Row],[RegionQuarterKey]], Quarterly_Targets_cleaned[RegionQuarterKey], Quarterly_Targets_cleaned[TargetRevenue])</f>
        <v>247000</v>
      </c>
    </row>
    <row r="1842" spans="1:22" x14ac:dyDescent="0.25">
      <c r="A1842" t="s">
        <v>2178</v>
      </c>
      <c r="B1842" s="1">
        <v>45319</v>
      </c>
      <c r="C1842" t="s">
        <v>237</v>
      </c>
      <c r="D1842" t="s">
        <v>297</v>
      </c>
      <c r="E1842">
        <v>411.53</v>
      </c>
      <c r="F1842" t="s">
        <v>324</v>
      </c>
      <c r="G1842" t="s">
        <v>327</v>
      </c>
      <c r="H1842" t="s">
        <v>346</v>
      </c>
      <c r="I1842" t="s">
        <v>8</v>
      </c>
      <c r="J1842" t="s">
        <v>46</v>
      </c>
      <c r="K1842" t="s">
        <v>10</v>
      </c>
      <c r="L1842" t="s">
        <v>298</v>
      </c>
      <c r="M1842" t="s">
        <v>299</v>
      </c>
      <c r="N1842">
        <v>0</v>
      </c>
      <c r="O1842" t="str">
        <f>IF(Transactions_RAW_cleaned[[#This Row],[Status]]="Completed", IFERROR(_xlfn.XLOOKUP(Transactions_RAW_cleaned[[#This Row],[CustomerID]], Customers_cleaned[CustomerID], Customers_cleaned[Segment]), "Customer Not Found"), "N/A")</f>
        <v>SMB</v>
      </c>
      <c r="P1842" s="5" t="str">
        <f>IF(Transactions_RAW_cleaned[[#This Row],[Status]]="Refunded", "Refund",
  IF(Transactions_RAW_cleaned[[#This Row],[Category]]="Payments", IF(Transactions_RAW_cleaned[[#This Row],[Amount]]&gt;500,"High Value","Standard"),
    IF(Transactions_RAW_cleaned[[#This Row],[Amount]]&gt;250,"High Value","Standard")))</f>
        <v>High Value</v>
      </c>
      <c r="Q1842" s="5" t="str">
        <f>IF(Transactions_RAW_cleaned[[#This Row],[Amount]] &gt; (_xlfn.XLOOKUP(Transactions_RAW_cleaned[[#This Row],[ServiceID]],Services_cleaned[ServiceID],Services_cleaned[TransactionFeePct]) * 10000), "Yes", "No")</f>
        <v>Yes</v>
      </c>
      <c r="R1842" s="5" t="str">
        <f>IF(COUNTIFS($C$2:Transactions_RAW_cleaned[[#This Row],[CustomerID]],Transactions_RAW_cleaned[[#This Row],[CustomerID]],$D$2:Transactions_RAW_cleaned[[#This Row],[ServiceID]],Transactions_RAW_cleaned[[#This Row],[ServiceID]])=1,"Yes","No")</f>
        <v>No</v>
      </c>
      <c r="S184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42" t="str">
        <f>"Q"&amp;ROUNDUP(MONTH(Transactions_RAW_cleaned[[#This Row],[TransactionDate]])/3,0)</f>
        <v>Q1</v>
      </c>
      <c r="U1842" t="str">
        <f>Transactions_RAW_cleaned[[#This Row],[Region ]]&amp;Transactions_RAW_cleaned[[#This Row],[Quarter ]]</f>
        <v>APACQ1</v>
      </c>
      <c r="V1842" s="5">
        <f>_xlfn.XLOOKUP(Transactions_RAW_cleaned[[#This Row],[RegionQuarterKey]], Quarterly_Targets_cleaned[RegionQuarterKey], Quarterly_Targets_cleaned[TargetRevenue])</f>
        <v>104500</v>
      </c>
    </row>
    <row r="1843" spans="1:22" x14ac:dyDescent="0.25">
      <c r="A1843" t="s">
        <v>2179</v>
      </c>
      <c r="B1843" s="1">
        <v>45455</v>
      </c>
      <c r="C1843" t="s">
        <v>229</v>
      </c>
      <c r="D1843" t="s">
        <v>309</v>
      </c>
      <c r="E1843">
        <v>352.33</v>
      </c>
      <c r="F1843" t="s">
        <v>324</v>
      </c>
      <c r="G1843" t="s">
        <v>325</v>
      </c>
      <c r="I1843" t="s">
        <v>17</v>
      </c>
      <c r="J1843" t="s">
        <v>102</v>
      </c>
      <c r="K1843" t="s">
        <v>18</v>
      </c>
      <c r="L1843" t="s">
        <v>310</v>
      </c>
      <c r="M1843" t="s">
        <v>311</v>
      </c>
      <c r="N1843">
        <v>0</v>
      </c>
      <c r="O1843" t="str">
        <f>IF(Transactions_RAW_cleaned[[#This Row],[Status]]="Completed", IFERROR(_xlfn.XLOOKUP(Transactions_RAW_cleaned[[#This Row],[CustomerID]], Customers_cleaned[CustomerID], Customers_cleaned[Segment]), "Customer Not Found"), "N/A")</f>
        <v>Enterprise</v>
      </c>
      <c r="P1843" s="5" t="str">
        <f>IF(Transactions_RAW_cleaned[[#This Row],[Status]]="Refunded", "Refund",
  IF(Transactions_RAW_cleaned[[#This Row],[Category]]="Payments", IF(Transactions_RAW_cleaned[[#This Row],[Amount]]&gt;500,"High Value","Standard"),
    IF(Transactions_RAW_cleaned[[#This Row],[Amount]]&gt;250,"High Value","Standard")))</f>
        <v>High Value</v>
      </c>
      <c r="Q1843" s="5" t="str">
        <f>IF(Transactions_RAW_cleaned[[#This Row],[Amount]] &gt; (_xlfn.XLOOKUP(Transactions_RAW_cleaned[[#This Row],[ServiceID]],Services_cleaned[ServiceID],Services_cleaned[TransactionFeePct]) * 10000), "Yes", "No")</f>
        <v>Yes</v>
      </c>
      <c r="R1843" s="5" t="str">
        <f>IF(COUNTIFS($C$2:Transactions_RAW_cleaned[[#This Row],[CustomerID]],Transactions_RAW_cleaned[[#This Row],[CustomerID]],$D$2:Transactions_RAW_cleaned[[#This Row],[ServiceID]],Transactions_RAW_cleaned[[#This Row],[ServiceID]])=1,"Yes","No")</f>
        <v>Yes</v>
      </c>
      <c r="S184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43" t="str">
        <f>"Q"&amp;ROUNDUP(MONTH(Transactions_RAW_cleaned[[#This Row],[TransactionDate]])/3,0)</f>
        <v>Q2</v>
      </c>
      <c r="U1843" t="str">
        <f>Transactions_RAW_cleaned[[#This Row],[Region ]]&amp;Transactions_RAW_cleaned[[#This Row],[Quarter ]]</f>
        <v>NAQ2</v>
      </c>
      <c r="V1843" s="5">
        <f>_xlfn.XLOOKUP(Transactions_RAW_cleaned[[#This Row],[RegionQuarterKey]], Quarterly_Targets_cleaned[RegionQuarterKey], Quarterly_Targets_cleaned[TargetRevenue])</f>
        <v>260000</v>
      </c>
    </row>
    <row r="1844" spans="1:22" x14ac:dyDescent="0.25">
      <c r="A1844" t="s">
        <v>2180</v>
      </c>
      <c r="B1844" s="1">
        <v>45406</v>
      </c>
      <c r="C1844" t="s">
        <v>74</v>
      </c>
      <c r="D1844" t="s">
        <v>294</v>
      </c>
      <c r="E1844">
        <v>1010.61</v>
      </c>
      <c r="F1844" t="s">
        <v>324</v>
      </c>
      <c r="G1844" t="s">
        <v>2963</v>
      </c>
      <c r="H1844" t="s">
        <v>346</v>
      </c>
      <c r="I1844" t="s">
        <v>17</v>
      </c>
      <c r="J1844" t="s">
        <v>46</v>
      </c>
      <c r="K1844" t="s">
        <v>28</v>
      </c>
      <c r="L1844" t="s">
        <v>295</v>
      </c>
      <c r="M1844" t="s">
        <v>296</v>
      </c>
      <c r="N1844">
        <v>2.9000000000000001E-2</v>
      </c>
      <c r="O1844" t="str">
        <f>IF(Transactions_RAW_cleaned[[#This Row],[Status]]="Completed", IFERROR(_xlfn.XLOOKUP(Transactions_RAW_cleaned[[#This Row],[CustomerID]], Customers_cleaned[CustomerID], Customers_cleaned[Segment]), "Customer Not Found"), "N/A")</f>
        <v>Enterprise</v>
      </c>
      <c r="P1844" s="5" t="str">
        <f>IF(Transactions_RAW_cleaned[[#This Row],[Status]]="Refunded", "Refund",
  IF(Transactions_RAW_cleaned[[#This Row],[Category]]="Payments", IF(Transactions_RAW_cleaned[[#This Row],[Amount]]&gt;500,"High Value","Standard"),
    IF(Transactions_RAW_cleaned[[#This Row],[Amount]]&gt;250,"High Value","Standard")))</f>
        <v>High Value</v>
      </c>
      <c r="Q1844" s="5" t="str">
        <f>IF(Transactions_RAW_cleaned[[#This Row],[Amount]] &gt; (_xlfn.XLOOKUP(Transactions_RAW_cleaned[[#This Row],[ServiceID]],Services_cleaned[ServiceID],Services_cleaned[TransactionFeePct]) * 10000), "Yes", "No")</f>
        <v>Yes</v>
      </c>
      <c r="R1844" s="5" t="str">
        <f>IF(COUNTIFS($C$2:Transactions_RAW_cleaned[[#This Row],[CustomerID]],Transactions_RAW_cleaned[[#This Row],[CustomerID]],$D$2:Transactions_RAW_cleaned[[#This Row],[ServiceID]],Transactions_RAW_cleaned[[#This Row],[ServiceID]])=1,"Yes","No")</f>
        <v>No</v>
      </c>
      <c r="S184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44" t="str">
        <f>"Q"&amp;ROUNDUP(MONTH(Transactions_RAW_cleaned[[#This Row],[TransactionDate]])/3,0)</f>
        <v>Q2</v>
      </c>
      <c r="U1844" t="str">
        <f>Transactions_RAW_cleaned[[#This Row],[Region ]]&amp;Transactions_RAW_cleaned[[#This Row],[Quarter ]]</f>
        <v>APACQ2</v>
      </c>
      <c r="V1844" s="5">
        <f>_xlfn.XLOOKUP(Transactions_RAW_cleaned[[#This Row],[RegionQuarterKey]], Quarterly_Targets_cleaned[RegionQuarterKey], Quarterly_Targets_cleaned[TargetRevenue])</f>
        <v>110000</v>
      </c>
    </row>
    <row r="1845" spans="1:22" x14ac:dyDescent="0.25">
      <c r="A1845" t="s">
        <v>2181</v>
      </c>
      <c r="B1845" s="1">
        <v>45316</v>
      </c>
      <c r="C1845" t="s">
        <v>245</v>
      </c>
      <c r="D1845" t="s">
        <v>300</v>
      </c>
      <c r="E1845">
        <v>249.4</v>
      </c>
      <c r="F1845" t="s">
        <v>324</v>
      </c>
      <c r="G1845" t="s">
        <v>337</v>
      </c>
      <c r="H1845" t="s">
        <v>346</v>
      </c>
      <c r="I1845" t="s">
        <v>8</v>
      </c>
      <c r="J1845" t="s">
        <v>31</v>
      </c>
      <c r="K1845" t="s">
        <v>14</v>
      </c>
      <c r="L1845" t="s">
        <v>301</v>
      </c>
      <c r="M1845" t="s">
        <v>302</v>
      </c>
      <c r="N1845">
        <v>5.0000000000000001E-3</v>
      </c>
      <c r="O1845" t="str">
        <f>IF(Transactions_RAW_cleaned[[#This Row],[Status]]="Completed", IFERROR(_xlfn.XLOOKUP(Transactions_RAW_cleaned[[#This Row],[CustomerID]], Customers_cleaned[CustomerID], Customers_cleaned[Segment]), "Customer Not Found"), "N/A")</f>
        <v>SMB</v>
      </c>
      <c r="P1845" s="5" t="str">
        <f>IF(Transactions_RAW_cleaned[[#This Row],[Status]]="Refunded", "Refund",
  IF(Transactions_RAW_cleaned[[#This Row],[Category]]="Payments", IF(Transactions_RAW_cleaned[[#This Row],[Amount]]&gt;500,"High Value","Standard"),
    IF(Transactions_RAW_cleaned[[#This Row],[Amount]]&gt;250,"High Value","Standard")))</f>
        <v>Standard</v>
      </c>
      <c r="Q1845" s="5" t="str">
        <f>IF(Transactions_RAW_cleaned[[#This Row],[Amount]] &gt; (_xlfn.XLOOKUP(Transactions_RAW_cleaned[[#This Row],[ServiceID]],Services_cleaned[ServiceID],Services_cleaned[TransactionFeePct]) * 10000), "Yes", "No")</f>
        <v>Yes</v>
      </c>
      <c r="R1845" s="5" t="str">
        <f>IF(COUNTIFS($C$2:Transactions_RAW_cleaned[[#This Row],[CustomerID]],Transactions_RAW_cleaned[[#This Row],[CustomerID]],$D$2:Transactions_RAW_cleaned[[#This Row],[ServiceID]],Transactions_RAW_cleaned[[#This Row],[ServiceID]])=1,"Yes","No")</f>
        <v>No</v>
      </c>
      <c r="S184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845" t="str">
        <f>"Q"&amp;ROUNDUP(MONTH(Transactions_RAW_cleaned[[#This Row],[TransactionDate]])/3,0)</f>
        <v>Q1</v>
      </c>
      <c r="U1845" t="str">
        <f>Transactions_RAW_cleaned[[#This Row],[Region ]]&amp;Transactions_RAW_cleaned[[#This Row],[Quarter ]]</f>
        <v>EMEAQ1</v>
      </c>
      <c r="V1845" s="5">
        <f>_xlfn.XLOOKUP(Transactions_RAW_cleaned[[#This Row],[RegionQuarterKey]], Quarterly_Targets_cleaned[RegionQuarterKey], Quarterly_Targets_cleaned[TargetRevenue])</f>
        <v>133000</v>
      </c>
    </row>
    <row r="1846" spans="1:22" x14ac:dyDescent="0.25">
      <c r="A1846" t="s">
        <v>2182</v>
      </c>
      <c r="B1846" s="1">
        <v>45655</v>
      </c>
      <c r="C1846" t="s">
        <v>100</v>
      </c>
      <c r="D1846" t="s">
        <v>294</v>
      </c>
      <c r="E1846">
        <v>330.05</v>
      </c>
      <c r="F1846" t="s">
        <v>324</v>
      </c>
      <c r="G1846" t="s">
        <v>337</v>
      </c>
      <c r="H1846" t="s">
        <v>332</v>
      </c>
      <c r="I1846" t="s">
        <v>8</v>
      </c>
      <c r="J1846" t="s">
        <v>102</v>
      </c>
      <c r="K1846" t="s">
        <v>22</v>
      </c>
      <c r="L1846" t="s">
        <v>295</v>
      </c>
      <c r="M1846" t="s">
        <v>296</v>
      </c>
      <c r="N1846">
        <v>2.9000000000000001E-2</v>
      </c>
      <c r="O1846" t="str">
        <f>IF(Transactions_RAW_cleaned[[#This Row],[Status]]="Completed", IFERROR(_xlfn.XLOOKUP(Transactions_RAW_cleaned[[#This Row],[CustomerID]], Customers_cleaned[CustomerID], Customers_cleaned[Segment]), "Customer Not Found"), "N/A")</f>
        <v>SMB</v>
      </c>
      <c r="P1846" s="5" t="str">
        <f>IF(Transactions_RAW_cleaned[[#This Row],[Status]]="Refunded", "Refund",
  IF(Transactions_RAW_cleaned[[#This Row],[Category]]="Payments", IF(Transactions_RAW_cleaned[[#This Row],[Amount]]&gt;500,"High Value","Standard"),
    IF(Transactions_RAW_cleaned[[#This Row],[Amount]]&gt;250,"High Value","Standard")))</f>
        <v>Standard</v>
      </c>
      <c r="Q1846" s="5" t="str">
        <f>IF(Transactions_RAW_cleaned[[#This Row],[Amount]] &gt; (_xlfn.XLOOKUP(Transactions_RAW_cleaned[[#This Row],[ServiceID]],Services_cleaned[ServiceID],Services_cleaned[TransactionFeePct]) * 10000), "Yes", "No")</f>
        <v>Yes</v>
      </c>
      <c r="R1846" s="5" t="str">
        <f>IF(COUNTIFS($C$2:Transactions_RAW_cleaned[[#This Row],[CustomerID]],Transactions_RAW_cleaned[[#This Row],[CustomerID]],$D$2:Transactions_RAW_cleaned[[#This Row],[ServiceID]],Transactions_RAW_cleaned[[#This Row],[ServiceID]])=1,"Yes","No")</f>
        <v>No</v>
      </c>
      <c r="S184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46" t="str">
        <f>"Q"&amp;ROUNDUP(MONTH(Transactions_RAW_cleaned[[#This Row],[TransactionDate]])/3,0)</f>
        <v>Q4</v>
      </c>
      <c r="U1846" t="str">
        <f>Transactions_RAW_cleaned[[#This Row],[Region ]]&amp;Transactions_RAW_cleaned[[#This Row],[Quarter ]]</f>
        <v>NAQ4</v>
      </c>
      <c r="V1846" s="5">
        <f>_xlfn.XLOOKUP(Transactions_RAW_cleaned[[#This Row],[RegionQuarterKey]], Quarterly_Targets_cleaned[RegionQuarterKey], Quarterly_Targets_cleaned[TargetRevenue])</f>
        <v>299000</v>
      </c>
    </row>
    <row r="1847" spans="1:22" x14ac:dyDescent="0.25">
      <c r="A1847" t="s">
        <v>2183</v>
      </c>
      <c r="B1847" s="1">
        <v>45635</v>
      </c>
      <c r="C1847" t="s">
        <v>191</v>
      </c>
      <c r="D1847" t="s">
        <v>300</v>
      </c>
      <c r="E1847">
        <v>564.5</v>
      </c>
      <c r="F1847" t="s">
        <v>331</v>
      </c>
      <c r="G1847" t="s">
        <v>327</v>
      </c>
      <c r="I1847" t="s">
        <v>57</v>
      </c>
      <c r="J1847" t="s">
        <v>31</v>
      </c>
      <c r="K1847" t="s">
        <v>32</v>
      </c>
      <c r="L1847" t="s">
        <v>301</v>
      </c>
      <c r="M1847" t="s">
        <v>302</v>
      </c>
      <c r="N1847">
        <v>5.0000000000000001E-3</v>
      </c>
      <c r="O1847" t="str">
        <f>IF(Transactions_RAW_cleaned[[#This Row],[Status]]="Completed", IFERROR(_xlfn.XLOOKUP(Transactions_RAW_cleaned[[#This Row],[CustomerID]], Customers_cleaned[CustomerID], Customers_cleaned[Segment]), "Customer Not Found"), "N/A")</f>
        <v>N/A</v>
      </c>
      <c r="P1847" s="5" t="str">
        <f>IF(Transactions_RAW_cleaned[[#This Row],[Status]]="Refunded", "Refund",
  IF(Transactions_RAW_cleaned[[#This Row],[Category]]="Payments", IF(Transactions_RAW_cleaned[[#This Row],[Amount]]&gt;500,"High Value","Standard"),
    IF(Transactions_RAW_cleaned[[#This Row],[Amount]]&gt;250,"High Value","Standard")))</f>
        <v>High Value</v>
      </c>
      <c r="Q1847" s="5" t="str">
        <f>IF(Transactions_RAW_cleaned[[#This Row],[Amount]] &gt; (_xlfn.XLOOKUP(Transactions_RAW_cleaned[[#This Row],[ServiceID]],Services_cleaned[ServiceID],Services_cleaned[TransactionFeePct]) * 10000), "Yes", "No")</f>
        <v>Yes</v>
      </c>
      <c r="R1847" s="5" t="str">
        <f>IF(COUNTIFS($C$2:Transactions_RAW_cleaned[[#This Row],[CustomerID]],Transactions_RAW_cleaned[[#This Row],[CustomerID]],$D$2:Transactions_RAW_cleaned[[#This Row],[ServiceID]],Transactions_RAW_cleaned[[#This Row],[ServiceID]])=1,"Yes","No")</f>
        <v>No</v>
      </c>
      <c r="S184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847" t="str">
        <f>"Q"&amp;ROUNDUP(MONTH(Transactions_RAW_cleaned[[#This Row],[TransactionDate]])/3,0)</f>
        <v>Q4</v>
      </c>
      <c r="U1847" t="str">
        <f>Transactions_RAW_cleaned[[#This Row],[Region ]]&amp;Transactions_RAW_cleaned[[#This Row],[Quarter ]]</f>
        <v>EMEAQ4</v>
      </c>
      <c r="V1847" s="5">
        <f>_xlfn.XLOOKUP(Transactions_RAW_cleaned[[#This Row],[RegionQuarterKey]], Quarterly_Targets_cleaned[RegionQuarterKey], Quarterly_Targets_cleaned[TargetRevenue])</f>
        <v>161000</v>
      </c>
    </row>
    <row r="1848" spans="1:22" x14ac:dyDescent="0.25">
      <c r="A1848" t="s">
        <v>2184</v>
      </c>
      <c r="B1848" s="1">
        <v>45319</v>
      </c>
      <c r="C1848" t="s">
        <v>641</v>
      </c>
      <c r="D1848" t="s">
        <v>297</v>
      </c>
      <c r="E1848">
        <v>154.33000000000001</v>
      </c>
      <c r="F1848" t="s">
        <v>324</v>
      </c>
      <c r="G1848" t="s">
        <v>325</v>
      </c>
      <c r="I1848" t="s">
        <v>8</v>
      </c>
      <c r="J1848" t="s">
        <v>13</v>
      </c>
      <c r="K1848" t="s">
        <v>22</v>
      </c>
      <c r="L1848" t="s">
        <v>298</v>
      </c>
      <c r="M1848" t="s">
        <v>299</v>
      </c>
      <c r="N1848">
        <v>0</v>
      </c>
      <c r="O1848" t="str">
        <f>IF(Transactions_RAW_cleaned[[#This Row],[Status]]="Completed", IFERROR(_xlfn.XLOOKUP(Transactions_RAW_cleaned[[#This Row],[CustomerID]], Customers_cleaned[CustomerID], Customers_cleaned[Segment]), "Customer Not Found"), "N/A")</f>
        <v>SMB</v>
      </c>
      <c r="P1848" s="5" t="str">
        <f>IF(Transactions_RAW_cleaned[[#This Row],[Status]]="Refunded", "Refund",
  IF(Transactions_RAW_cleaned[[#This Row],[Category]]="Payments", IF(Transactions_RAW_cleaned[[#This Row],[Amount]]&gt;500,"High Value","Standard"),
    IF(Transactions_RAW_cleaned[[#This Row],[Amount]]&gt;250,"High Value","Standard")))</f>
        <v>Standard</v>
      </c>
      <c r="Q1848" s="5" t="str">
        <f>IF(Transactions_RAW_cleaned[[#This Row],[Amount]] &gt; (_xlfn.XLOOKUP(Transactions_RAW_cleaned[[#This Row],[ServiceID]],Services_cleaned[ServiceID],Services_cleaned[TransactionFeePct]) * 10000), "Yes", "No")</f>
        <v>Yes</v>
      </c>
      <c r="R1848" s="5" t="str">
        <f>IF(COUNTIFS($C$2:Transactions_RAW_cleaned[[#This Row],[CustomerID]],Transactions_RAW_cleaned[[#This Row],[CustomerID]],$D$2:Transactions_RAW_cleaned[[#This Row],[ServiceID]],Transactions_RAW_cleaned[[#This Row],[ServiceID]])=1,"Yes","No")</f>
        <v>No</v>
      </c>
      <c r="S184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48" t="str">
        <f>"Q"&amp;ROUNDUP(MONTH(Transactions_RAW_cleaned[[#This Row],[TransactionDate]])/3,0)</f>
        <v>Q1</v>
      </c>
      <c r="U1848" t="str">
        <f>Transactions_RAW_cleaned[[#This Row],[Region ]]&amp;Transactions_RAW_cleaned[[#This Row],[Quarter ]]</f>
        <v>NAQ1</v>
      </c>
      <c r="V1848" s="5">
        <f>_xlfn.XLOOKUP(Transactions_RAW_cleaned[[#This Row],[RegionQuarterKey]], Quarterly_Targets_cleaned[RegionQuarterKey], Quarterly_Targets_cleaned[TargetRevenue])</f>
        <v>247000</v>
      </c>
    </row>
    <row r="1849" spans="1:22" x14ac:dyDescent="0.25">
      <c r="A1849" t="s">
        <v>2185</v>
      </c>
      <c r="B1849" s="1">
        <v>45531</v>
      </c>
      <c r="C1849" t="s">
        <v>271</v>
      </c>
      <c r="D1849" t="s">
        <v>300</v>
      </c>
      <c r="E1849">
        <v>489.77</v>
      </c>
      <c r="F1849" t="s">
        <v>324</v>
      </c>
      <c r="G1849" t="s">
        <v>327</v>
      </c>
      <c r="H1849" t="s">
        <v>334</v>
      </c>
      <c r="I1849" t="s">
        <v>8</v>
      </c>
      <c r="J1849" t="s">
        <v>102</v>
      </c>
      <c r="K1849" t="s">
        <v>28</v>
      </c>
      <c r="L1849" t="s">
        <v>301</v>
      </c>
      <c r="M1849" t="s">
        <v>302</v>
      </c>
      <c r="N1849">
        <v>5.0000000000000001E-3</v>
      </c>
      <c r="O1849" t="str">
        <f>IF(Transactions_RAW_cleaned[[#This Row],[Status]]="Completed", IFERROR(_xlfn.XLOOKUP(Transactions_RAW_cleaned[[#This Row],[CustomerID]], Customers_cleaned[CustomerID], Customers_cleaned[Segment]), "Customer Not Found"), "N/A")</f>
        <v>SMB</v>
      </c>
      <c r="P1849" s="5" t="str">
        <f>IF(Transactions_RAW_cleaned[[#This Row],[Status]]="Refunded", "Refund",
  IF(Transactions_RAW_cleaned[[#This Row],[Category]]="Payments", IF(Transactions_RAW_cleaned[[#This Row],[Amount]]&gt;500,"High Value","Standard"),
    IF(Transactions_RAW_cleaned[[#This Row],[Amount]]&gt;250,"High Value","Standard")))</f>
        <v>High Value</v>
      </c>
      <c r="Q1849" s="5" t="str">
        <f>IF(Transactions_RAW_cleaned[[#This Row],[Amount]] &gt; (_xlfn.XLOOKUP(Transactions_RAW_cleaned[[#This Row],[ServiceID]],Services_cleaned[ServiceID],Services_cleaned[TransactionFeePct]) * 10000), "Yes", "No")</f>
        <v>Yes</v>
      </c>
      <c r="R1849" s="5" t="str">
        <f>IF(COUNTIFS($C$2:Transactions_RAW_cleaned[[#This Row],[CustomerID]],Transactions_RAW_cleaned[[#This Row],[CustomerID]],$D$2:Transactions_RAW_cleaned[[#This Row],[ServiceID]],Transactions_RAW_cleaned[[#This Row],[ServiceID]])=1,"Yes","No")</f>
        <v>No</v>
      </c>
      <c r="S184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49" t="str">
        <f>"Q"&amp;ROUNDUP(MONTH(Transactions_RAW_cleaned[[#This Row],[TransactionDate]])/3,0)</f>
        <v>Q3</v>
      </c>
      <c r="U1849" t="str">
        <f>Transactions_RAW_cleaned[[#This Row],[Region ]]&amp;Transactions_RAW_cleaned[[#This Row],[Quarter ]]</f>
        <v>NAQ3</v>
      </c>
      <c r="V1849" s="5">
        <f>_xlfn.XLOOKUP(Transactions_RAW_cleaned[[#This Row],[RegionQuarterKey]], Quarterly_Targets_cleaned[RegionQuarterKey], Quarterly_Targets_cleaned[TargetRevenue])</f>
        <v>273000</v>
      </c>
    </row>
    <row r="1850" spans="1:22" x14ac:dyDescent="0.25">
      <c r="A1850" t="s">
        <v>2186</v>
      </c>
      <c r="B1850" s="1">
        <v>45623</v>
      </c>
      <c r="C1850" t="s">
        <v>26</v>
      </c>
      <c r="D1850" t="s">
        <v>315</v>
      </c>
      <c r="E1850">
        <v>128.01</v>
      </c>
      <c r="F1850" t="s">
        <v>324</v>
      </c>
      <c r="G1850" t="s">
        <v>325</v>
      </c>
      <c r="H1850" t="s">
        <v>346</v>
      </c>
      <c r="I1850" t="s">
        <v>8</v>
      </c>
      <c r="J1850" t="s">
        <v>102</v>
      </c>
      <c r="K1850" t="s">
        <v>28</v>
      </c>
      <c r="L1850" t="s">
        <v>316</v>
      </c>
      <c r="M1850" t="s">
        <v>305</v>
      </c>
      <c r="N1850">
        <v>2.5000000000000001E-3</v>
      </c>
      <c r="O1850" t="str">
        <f>IF(Transactions_RAW_cleaned[[#This Row],[Status]]="Completed", IFERROR(_xlfn.XLOOKUP(Transactions_RAW_cleaned[[#This Row],[CustomerID]], Customers_cleaned[CustomerID], Customers_cleaned[Segment]), "Customer Not Found"), "N/A")</f>
        <v>SMB</v>
      </c>
      <c r="P1850" s="5" t="str">
        <f>IF(Transactions_RAW_cleaned[[#This Row],[Status]]="Refunded", "Refund",
  IF(Transactions_RAW_cleaned[[#This Row],[Category]]="Payments", IF(Transactions_RAW_cleaned[[#This Row],[Amount]]&gt;500,"High Value","Standard"),
    IF(Transactions_RAW_cleaned[[#This Row],[Amount]]&gt;250,"High Value","Standard")))</f>
        <v>Standard</v>
      </c>
      <c r="Q1850" s="5" t="str">
        <f>IF(Transactions_RAW_cleaned[[#This Row],[Amount]] &gt; (_xlfn.XLOOKUP(Transactions_RAW_cleaned[[#This Row],[ServiceID]],Services_cleaned[ServiceID],Services_cleaned[TransactionFeePct]) * 10000), "Yes", "No")</f>
        <v>Yes</v>
      </c>
      <c r="R1850" s="5" t="str">
        <f>IF(COUNTIFS($C$2:Transactions_RAW_cleaned[[#This Row],[CustomerID]],Transactions_RAW_cleaned[[#This Row],[CustomerID]],$D$2:Transactions_RAW_cleaned[[#This Row],[ServiceID]],Transactions_RAW_cleaned[[#This Row],[ServiceID]])=1,"Yes","No")</f>
        <v>No</v>
      </c>
      <c r="S185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50" t="str">
        <f>"Q"&amp;ROUNDUP(MONTH(Transactions_RAW_cleaned[[#This Row],[TransactionDate]])/3,0)</f>
        <v>Q4</v>
      </c>
      <c r="U1850" t="str">
        <f>Transactions_RAW_cleaned[[#This Row],[Region ]]&amp;Transactions_RAW_cleaned[[#This Row],[Quarter ]]</f>
        <v>NAQ4</v>
      </c>
      <c r="V1850" s="5">
        <f>_xlfn.XLOOKUP(Transactions_RAW_cleaned[[#This Row],[RegionQuarterKey]], Quarterly_Targets_cleaned[RegionQuarterKey], Quarterly_Targets_cleaned[TargetRevenue])</f>
        <v>299000</v>
      </c>
    </row>
    <row r="1851" spans="1:22" x14ac:dyDescent="0.25">
      <c r="A1851" t="s">
        <v>2187</v>
      </c>
      <c r="B1851" s="1">
        <v>45590</v>
      </c>
      <c r="C1851" t="s">
        <v>62</v>
      </c>
      <c r="D1851" t="s">
        <v>297</v>
      </c>
      <c r="E1851">
        <v>368.49</v>
      </c>
      <c r="F1851" t="s">
        <v>324</v>
      </c>
      <c r="G1851" t="s">
        <v>325</v>
      </c>
      <c r="I1851" t="s">
        <v>8</v>
      </c>
      <c r="J1851" t="s">
        <v>46</v>
      </c>
      <c r="K1851" t="s">
        <v>18</v>
      </c>
      <c r="L1851" t="s">
        <v>298</v>
      </c>
      <c r="M1851" t="s">
        <v>299</v>
      </c>
      <c r="N1851">
        <v>0</v>
      </c>
      <c r="O1851" t="str">
        <f>IF(Transactions_RAW_cleaned[[#This Row],[Status]]="Completed", IFERROR(_xlfn.XLOOKUP(Transactions_RAW_cleaned[[#This Row],[CustomerID]], Customers_cleaned[CustomerID], Customers_cleaned[Segment]), "Customer Not Found"), "N/A")</f>
        <v>SMB</v>
      </c>
      <c r="P1851" s="5" t="str">
        <f>IF(Transactions_RAW_cleaned[[#This Row],[Status]]="Refunded", "Refund",
  IF(Transactions_RAW_cleaned[[#This Row],[Category]]="Payments", IF(Transactions_RAW_cleaned[[#This Row],[Amount]]&gt;500,"High Value","Standard"),
    IF(Transactions_RAW_cleaned[[#This Row],[Amount]]&gt;250,"High Value","Standard")))</f>
        <v>High Value</v>
      </c>
      <c r="Q1851" s="5" t="str">
        <f>IF(Transactions_RAW_cleaned[[#This Row],[Amount]] &gt; (_xlfn.XLOOKUP(Transactions_RAW_cleaned[[#This Row],[ServiceID]],Services_cleaned[ServiceID],Services_cleaned[TransactionFeePct]) * 10000), "Yes", "No")</f>
        <v>Yes</v>
      </c>
      <c r="R1851" s="5" t="str">
        <f>IF(COUNTIFS($C$2:Transactions_RAW_cleaned[[#This Row],[CustomerID]],Transactions_RAW_cleaned[[#This Row],[CustomerID]],$D$2:Transactions_RAW_cleaned[[#This Row],[ServiceID]],Transactions_RAW_cleaned[[#This Row],[ServiceID]])=1,"Yes","No")</f>
        <v>No</v>
      </c>
      <c r="S185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51" t="str">
        <f>"Q"&amp;ROUNDUP(MONTH(Transactions_RAW_cleaned[[#This Row],[TransactionDate]])/3,0)</f>
        <v>Q4</v>
      </c>
      <c r="U1851" t="str">
        <f>Transactions_RAW_cleaned[[#This Row],[Region ]]&amp;Transactions_RAW_cleaned[[#This Row],[Quarter ]]</f>
        <v>APACQ4</v>
      </c>
      <c r="V1851" s="5">
        <f>_xlfn.XLOOKUP(Transactions_RAW_cleaned[[#This Row],[RegionQuarterKey]], Quarterly_Targets_cleaned[RegionQuarterKey], Quarterly_Targets_cleaned[TargetRevenue])</f>
        <v>126500</v>
      </c>
    </row>
    <row r="1852" spans="1:22" x14ac:dyDescent="0.25">
      <c r="A1852" t="s">
        <v>2188</v>
      </c>
      <c r="B1852" s="1">
        <v>45526</v>
      </c>
      <c r="C1852" t="s">
        <v>26</v>
      </c>
      <c r="D1852" t="s">
        <v>297</v>
      </c>
      <c r="E1852">
        <v>435.3</v>
      </c>
      <c r="F1852" t="s">
        <v>324</v>
      </c>
      <c r="G1852" t="s">
        <v>329</v>
      </c>
      <c r="H1852" t="s">
        <v>346</v>
      </c>
      <c r="I1852" t="s">
        <v>8</v>
      </c>
      <c r="J1852" t="s">
        <v>102</v>
      </c>
      <c r="K1852" t="s">
        <v>28</v>
      </c>
      <c r="L1852" t="s">
        <v>298</v>
      </c>
      <c r="M1852" t="s">
        <v>299</v>
      </c>
      <c r="N1852">
        <v>0</v>
      </c>
      <c r="O1852" t="str">
        <f>IF(Transactions_RAW_cleaned[[#This Row],[Status]]="Completed", IFERROR(_xlfn.XLOOKUP(Transactions_RAW_cleaned[[#This Row],[CustomerID]], Customers_cleaned[CustomerID], Customers_cleaned[Segment]), "Customer Not Found"), "N/A")</f>
        <v>SMB</v>
      </c>
      <c r="P1852" s="5" t="str">
        <f>IF(Transactions_RAW_cleaned[[#This Row],[Status]]="Refunded", "Refund",
  IF(Transactions_RAW_cleaned[[#This Row],[Category]]="Payments", IF(Transactions_RAW_cleaned[[#This Row],[Amount]]&gt;500,"High Value","Standard"),
    IF(Transactions_RAW_cleaned[[#This Row],[Amount]]&gt;250,"High Value","Standard")))</f>
        <v>High Value</v>
      </c>
      <c r="Q1852" s="5" t="str">
        <f>IF(Transactions_RAW_cleaned[[#This Row],[Amount]] &gt; (_xlfn.XLOOKUP(Transactions_RAW_cleaned[[#This Row],[ServiceID]],Services_cleaned[ServiceID],Services_cleaned[TransactionFeePct]) * 10000), "Yes", "No")</f>
        <v>Yes</v>
      </c>
      <c r="R1852" s="5" t="str">
        <f>IF(COUNTIFS($C$2:Transactions_RAW_cleaned[[#This Row],[CustomerID]],Transactions_RAW_cleaned[[#This Row],[CustomerID]],$D$2:Transactions_RAW_cleaned[[#This Row],[ServiceID]],Transactions_RAW_cleaned[[#This Row],[ServiceID]])=1,"Yes","No")</f>
        <v>No</v>
      </c>
      <c r="S185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52" t="str">
        <f>"Q"&amp;ROUNDUP(MONTH(Transactions_RAW_cleaned[[#This Row],[TransactionDate]])/3,0)</f>
        <v>Q3</v>
      </c>
      <c r="U1852" t="str">
        <f>Transactions_RAW_cleaned[[#This Row],[Region ]]&amp;Transactions_RAW_cleaned[[#This Row],[Quarter ]]</f>
        <v>NAQ3</v>
      </c>
      <c r="V1852" s="5">
        <f>_xlfn.XLOOKUP(Transactions_RAW_cleaned[[#This Row],[RegionQuarterKey]], Quarterly_Targets_cleaned[RegionQuarterKey], Quarterly_Targets_cleaned[TargetRevenue])</f>
        <v>273000</v>
      </c>
    </row>
    <row r="1853" spans="1:22" x14ac:dyDescent="0.25">
      <c r="A1853" t="s">
        <v>2962</v>
      </c>
      <c r="B1853" s="1">
        <v>45547</v>
      </c>
      <c r="C1853" t="s">
        <v>199</v>
      </c>
      <c r="E1853">
        <v>263.85000000000002</v>
      </c>
      <c r="F1853" t="s">
        <v>324</v>
      </c>
      <c r="G1853" t="s">
        <v>325</v>
      </c>
      <c r="H1853" t="s">
        <v>334</v>
      </c>
      <c r="I1853" t="s">
        <v>8</v>
      </c>
      <c r="J1853" t="s">
        <v>13</v>
      </c>
      <c r="K1853" t="s">
        <v>32</v>
      </c>
      <c r="O1853" t="str">
        <f>IF(Transactions_RAW_cleaned[[#This Row],[Status]]="Completed", IFERROR(_xlfn.XLOOKUP(Transactions_RAW_cleaned[[#This Row],[CustomerID]], Customers_cleaned[CustomerID], Customers_cleaned[Segment]), "Customer Not Found"), "N/A")</f>
        <v>SMB</v>
      </c>
      <c r="P1853" s="5" t="str">
        <f>IF(Transactions_RAW_cleaned[[#This Row],[Status]]="Refunded", "Refund",
  IF(Transactions_RAW_cleaned[[#This Row],[Category]]="Payments", IF(Transactions_RAW_cleaned[[#This Row],[Amount]]&gt;500,"High Value","Standard"),
    IF(Transactions_RAW_cleaned[[#This Row],[Amount]]&gt;250,"High Value","Standard")))</f>
        <v>High Value</v>
      </c>
      <c r="Q1853" s="5" t="e">
        <f>IF(Transactions_RAW_cleaned[[#This Row],[Amount]] &gt; (_xlfn.XLOOKUP(Transactions_RAW_cleaned[[#This Row],[ServiceID]],Services_cleaned[ServiceID],Services_cleaned[TransactionFeePct]) * 10000), "Yes", "No")</f>
        <v>#N/A</v>
      </c>
      <c r="R1853" s="5" t="str">
        <f>IF(COUNTIFS($C$2:Transactions_RAW_cleaned[[#This Row],[CustomerID]],Transactions_RAW_cleaned[[#This Row],[CustomerID]],$D$2:Transactions_RAW_cleaned[[#This Row],[ServiceID]],Transactions_RAW_cleaned[[#This Row],[ServiceID]])=1,"Yes","No")</f>
        <v>No</v>
      </c>
      <c r="S185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53" t="str">
        <f>"Q"&amp;ROUNDUP(MONTH(Transactions_RAW_cleaned[[#This Row],[TransactionDate]])/3,0)</f>
        <v>Q3</v>
      </c>
      <c r="U1853" t="str">
        <f>Transactions_RAW_cleaned[[#This Row],[Region ]]&amp;Transactions_RAW_cleaned[[#This Row],[Quarter ]]</f>
        <v>NAQ3</v>
      </c>
      <c r="V1853" s="5">
        <f>_xlfn.XLOOKUP(Transactions_RAW_cleaned[[#This Row],[RegionQuarterKey]], Quarterly_Targets_cleaned[RegionQuarterKey], Quarterly_Targets_cleaned[TargetRevenue])</f>
        <v>273000</v>
      </c>
    </row>
    <row r="1854" spans="1:22" x14ac:dyDescent="0.25">
      <c r="A1854" t="s">
        <v>2189</v>
      </c>
      <c r="B1854" s="1">
        <v>45436</v>
      </c>
      <c r="C1854" t="s">
        <v>191</v>
      </c>
      <c r="D1854" t="s">
        <v>294</v>
      </c>
      <c r="E1854">
        <v>880.2</v>
      </c>
      <c r="F1854" t="s">
        <v>324</v>
      </c>
      <c r="G1854" t="s">
        <v>325</v>
      </c>
      <c r="H1854" t="s">
        <v>346</v>
      </c>
      <c r="I1854" t="s">
        <v>57</v>
      </c>
      <c r="J1854" t="s">
        <v>31</v>
      </c>
      <c r="K1854" t="s">
        <v>32</v>
      </c>
      <c r="L1854" t="s">
        <v>295</v>
      </c>
      <c r="M1854" t="s">
        <v>296</v>
      </c>
      <c r="N1854">
        <v>2.9000000000000001E-2</v>
      </c>
      <c r="O1854" t="str">
        <f>IF(Transactions_RAW_cleaned[[#This Row],[Status]]="Completed", IFERROR(_xlfn.XLOOKUP(Transactions_RAW_cleaned[[#This Row],[CustomerID]], Customers_cleaned[CustomerID], Customers_cleaned[Segment]), "Customer Not Found"), "N/A")</f>
        <v>Startup</v>
      </c>
      <c r="P1854" s="5" t="str">
        <f>IF(Transactions_RAW_cleaned[[#This Row],[Status]]="Refunded", "Refund",
  IF(Transactions_RAW_cleaned[[#This Row],[Category]]="Payments", IF(Transactions_RAW_cleaned[[#This Row],[Amount]]&gt;500,"High Value","Standard"),
    IF(Transactions_RAW_cleaned[[#This Row],[Amount]]&gt;250,"High Value","Standard")))</f>
        <v>High Value</v>
      </c>
      <c r="Q1854" s="5" t="str">
        <f>IF(Transactions_RAW_cleaned[[#This Row],[Amount]] &gt; (_xlfn.XLOOKUP(Transactions_RAW_cleaned[[#This Row],[ServiceID]],Services_cleaned[ServiceID],Services_cleaned[TransactionFeePct]) * 10000), "Yes", "No")</f>
        <v>Yes</v>
      </c>
      <c r="R1854" s="5" t="str">
        <f>IF(COUNTIFS($C$2:Transactions_RAW_cleaned[[#This Row],[CustomerID]],Transactions_RAW_cleaned[[#This Row],[CustomerID]],$D$2:Transactions_RAW_cleaned[[#This Row],[ServiceID]],Transactions_RAW_cleaned[[#This Row],[ServiceID]])=1,"Yes","No")</f>
        <v>No</v>
      </c>
      <c r="S185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854" t="str">
        <f>"Q"&amp;ROUNDUP(MONTH(Transactions_RAW_cleaned[[#This Row],[TransactionDate]])/3,0)</f>
        <v>Q2</v>
      </c>
      <c r="U1854" t="str">
        <f>Transactions_RAW_cleaned[[#This Row],[Region ]]&amp;Transactions_RAW_cleaned[[#This Row],[Quarter ]]</f>
        <v>EMEAQ2</v>
      </c>
      <c r="V1854" s="5">
        <f>_xlfn.XLOOKUP(Transactions_RAW_cleaned[[#This Row],[RegionQuarterKey]], Quarterly_Targets_cleaned[RegionQuarterKey], Quarterly_Targets_cleaned[TargetRevenue])</f>
        <v>140000</v>
      </c>
    </row>
    <row r="1855" spans="1:22" x14ac:dyDescent="0.25">
      <c r="A1855" t="s">
        <v>2190</v>
      </c>
      <c r="B1855" s="1">
        <v>45367</v>
      </c>
      <c r="C1855" t="s">
        <v>139</v>
      </c>
      <c r="D1855" t="s">
        <v>297</v>
      </c>
      <c r="E1855">
        <v>380.58</v>
      </c>
      <c r="F1855" t="s">
        <v>381</v>
      </c>
      <c r="G1855" t="s">
        <v>325</v>
      </c>
      <c r="I1855" t="s">
        <v>8</v>
      </c>
      <c r="J1855" t="s">
        <v>102</v>
      </c>
      <c r="K1855" t="s">
        <v>22</v>
      </c>
      <c r="L1855" t="s">
        <v>298</v>
      </c>
      <c r="M1855" t="s">
        <v>299</v>
      </c>
      <c r="N1855">
        <v>0</v>
      </c>
      <c r="O1855" t="str">
        <f>IF(Transactions_RAW_cleaned[[#This Row],[Status]]="Completed", IFERROR(_xlfn.XLOOKUP(Transactions_RAW_cleaned[[#This Row],[CustomerID]], Customers_cleaned[CustomerID], Customers_cleaned[Segment]), "Customer Not Found"), "N/A")</f>
        <v>N/A</v>
      </c>
      <c r="P1855" s="5" t="str">
        <f>IF(Transactions_RAW_cleaned[[#This Row],[Status]]="Refunded", "Refund",
  IF(Transactions_RAW_cleaned[[#This Row],[Category]]="Payments", IF(Transactions_RAW_cleaned[[#This Row],[Amount]]&gt;500,"High Value","Standard"),
    IF(Transactions_RAW_cleaned[[#This Row],[Amount]]&gt;250,"High Value","Standard")))</f>
        <v>High Value</v>
      </c>
      <c r="Q1855" s="5" t="str">
        <f>IF(Transactions_RAW_cleaned[[#This Row],[Amount]] &gt; (_xlfn.XLOOKUP(Transactions_RAW_cleaned[[#This Row],[ServiceID]],Services_cleaned[ServiceID],Services_cleaned[TransactionFeePct]) * 10000), "Yes", "No")</f>
        <v>Yes</v>
      </c>
      <c r="R1855" s="5" t="str">
        <f>IF(COUNTIFS($C$2:Transactions_RAW_cleaned[[#This Row],[CustomerID]],Transactions_RAW_cleaned[[#This Row],[CustomerID]],$D$2:Transactions_RAW_cleaned[[#This Row],[ServiceID]],Transactions_RAW_cleaned[[#This Row],[ServiceID]])=1,"Yes","No")</f>
        <v>Yes</v>
      </c>
      <c r="S185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55" t="str">
        <f>"Q"&amp;ROUNDUP(MONTH(Transactions_RAW_cleaned[[#This Row],[TransactionDate]])/3,0)</f>
        <v>Q1</v>
      </c>
      <c r="U1855" t="str">
        <f>Transactions_RAW_cleaned[[#This Row],[Region ]]&amp;Transactions_RAW_cleaned[[#This Row],[Quarter ]]</f>
        <v>NAQ1</v>
      </c>
      <c r="V1855" s="5">
        <f>_xlfn.XLOOKUP(Transactions_RAW_cleaned[[#This Row],[RegionQuarterKey]], Quarterly_Targets_cleaned[RegionQuarterKey], Quarterly_Targets_cleaned[TargetRevenue])</f>
        <v>247000</v>
      </c>
    </row>
    <row r="1856" spans="1:22" x14ac:dyDescent="0.25">
      <c r="A1856" t="s">
        <v>2191</v>
      </c>
      <c r="B1856" s="1">
        <v>45638</v>
      </c>
      <c r="C1856" t="s">
        <v>103</v>
      </c>
      <c r="D1856" t="s">
        <v>303</v>
      </c>
      <c r="E1856">
        <v>1167.48</v>
      </c>
      <c r="F1856" t="s">
        <v>331</v>
      </c>
      <c r="G1856" t="s">
        <v>325</v>
      </c>
      <c r="H1856" t="s">
        <v>332</v>
      </c>
      <c r="I1856" t="s">
        <v>8</v>
      </c>
      <c r="J1856" t="s">
        <v>102</v>
      </c>
      <c r="K1856" t="s">
        <v>28</v>
      </c>
      <c r="L1856" t="s">
        <v>304</v>
      </c>
      <c r="M1856" t="s">
        <v>305</v>
      </c>
      <c r="N1856">
        <v>1E-3</v>
      </c>
      <c r="O1856" t="str">
        <f>IF(Transactions_RAW_cleaned[[#This Row],[Status]]="Completed", IFERROR(_xlfn.XLOOKUP(Transactions_RAW_cleaned[[#This Row],[CustomerID]], Customers_cleaned[CustomerID], Customers_cleaned[Segment]), "Customer Not Found"), "N/A")</f>
        <v>N/A</v>
      </c>
      <c r="P1856" s="5" t="str">
        <f>IF(Transactions_RAW_cleaned[[#This Row],[Status]]="Refunded", "Refund",
  IF(Transactions_RAW_cleaned[[#This Row],[Category]]="Payments", IF(Transactions_RAW_cleaned[[#This Row],[Amount]]&gt;500,"High Value","Standard"),
    IF(Transactions_RAW_cleaned[[#This Row],[Amount]]&gt;250,"High Value","Standard")))</f>
        <v>High Value</v>
      </c>
      <c r="Q1856" s="5" t="str">
        <f>IF(Transactions_RAW_cleaned[[#This Row],[Amount]] &gt; (_xlfn.XLOOKUP(Transactions_RAW_cleaned[[#This Row],[ServiceID]],Services_cleaned[ServiceID],Services_cleaned[TransactionFeePct]) * 10000), "Yes", "No")</f>
        <v>Yes</v>
      </c>
      <c r="R1856" s="5" t="str">
        <f>IF(COUNTIFS($C$2:Transactions_RAW_cleaned[[#This Row],[CustomerID]],Transactions_RAW_cleaned[[#This Row],[CustomerID]],$D$2:Transactions_RAW_cleaned[[#This Row],[ServiceID]],Transactions_RAW_cleaned[[#This Row],[ServiceID]])=1,"Yes","No")</f>
        <v>No</v>
      </c>
      <c r="S185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56" t="str">
        <f>"Q"&amp;ROUNDUP(MONTH(Transactions_RAW_cleaned[[#This Row],[TransactionDate]])/3,0)</f>
        <v>Q4</v>
      </c>
      <c r="U1856" t="str">
        <f>Transactions_RAW_cleaned[[#This Row],[Region ]]&amp;Transactions_RAW_cleaned[[#This Row],[Quarter ]]</f>
        <v>NAQ4</v>
      </c>
      <c r="V1856" s="5">
        <f>_xlfn.XLOOKUP(Transactions_RAW_cleaned[[#This Row],[RegionQuarterKey]], Quarterly_Targets_cleaned[RegionQuarterKey], Quarterly_Targets_cleaned[TargetRevenue])</f>
        <v>299000</v>
      </c>
    </row>
    <row r="1857" spans="1:22" x14ac:dyDescent="0.25">
      <c r="A1857" t="s">
        <v>2192</v>
      </c>
      <c r="B1857" s="1">
        <v>45307</v>
      </c>
      <c r="C1857" t="s">
        <v>171</v>
      </c>
      <c r="D1857" t="s">
        <v>300</v>
      </c>
      <c r="E1857">
        <v>610.17999999999995</v>
      </c>
      <c r="F1857" t="s">
        <v>324</v>
      </c>
      <c r="G1857" t="s">
        <v>337</v>
      </c>
      <c r="I1857" t="s">
        <v>17</v>
      </c>
      <c r="J1857" t="s">
        <v>31</v>
      </c>
      <c r="K1857" t="s">
        <v>32</v>
      </c>
      <c r="L1857" t="s">
        <v>301</v>
      </c>
      <c r="M1857" t="s">
        <v>302</v>
      </c>
      <c r="N1857">
        <v>5.0000000000000001E-3</v>
      </c>
      <c r="O1857" t="str">
        <f>IF(Transactions_RAW_cleaned[[#This Row],[Status]]="Completed", IFERROR(_xlfn.XLOOKUP(Transactions_RAW_cleaned[[#This Row],[CustomerID]], Customers_cleaned[CustomerID], Customers_cleaned[Segment]), "Customer Not Found"), "N/A")</f>
        <v>Enterprise</v>
      </c>
      <c r="P1857" s="5" t="str">
        <f>IF(Transactions_RAW_cleaned[[#This Row],[Status]]="Refunded", "Refund",
  IF(Transactions_RAW_cleaned[[#This Row],[Category]]="Payments", IF(Transactions_RAW_cleaned[[#This Row],[Amount]]&gt;500,"High Value","Standard"),
    IF(Transactions_RAW_cleaned[[#This Row],[Amount]]&gt;250,"High Value","Standard")))</f>
        <v>High Value</v>
      </c>
      <c r="Q1857" s="5" t="str">
        <f>IF(Transactions_RAW_cleaned[[#This Row],[Amount]] &gt; (_xlfn.XLOOKUP(Transactions_RAW_cleaned[[#This Row],[ServiceID]],Services_cleaned[ServiceID],Services_cleaned[TransactionFeePct]) * 10000), "Yes", "No")</f>
        <v>Yes</v>
      </c>
      <c r="R1857" s="5" t="str">
        <f>IF(COUNTIFS($C$2:Transactions_RAW_cleaned[[#This Row],[CustomerID]],Transactions_RAW_cleaned[[#This Row],[CustomerID]],$D$2:Transactions_RAW_cleaned[[#This Row],[ServiceID]],Transactions_RAW_cleaned[[#This Row],[ServiceID]])=1,"Yes","No")</f>
        <v>No</v>
      </c>
      <c r="S185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857" t="str">
        <f>"Q"&amp;ROUNDUP(MONTH(Transactions_RAW_cleaned[[#This Row],[TransactionDate]])/3,0)</f>
        <v>Q1</v>
      </c>
      <c r="U1857" t="str">
        <f>Transactions_RAW_cleaned[[#This Row],[Region ]]&amp;Transactions_RAW_cleaned[[#This Row],[Quarter ]]</f>
        <v>EMEAQ1</v>
      </c>
      <c r="V1857" s="5">
        <f>_xlfn.XLOOKUP(Transactions_RAW_cleaned[[#This Row],[RegionQuarterKey]], Quarterly_Targets_cleaned[RegionQuarterKey], Quarterly_Targets_cleaned[TargetRevenue])</f>
        <v>133000</v>
      </c>
    </row>
    <row r="1858" spans="1:22" x14ac:dyDescent="0.25">
      <c r="A1858" t="s">
        <v>2193</v>
      </c>
      <c r="B1858" s="1">
        <v>45522</v>
      </c>
      <c r="C1858" t="s">
        <v>100</v>
      </c>
      <c r="D1858" t="s">
        <v>294</v>
      </c>
      <c r="E1858">
        <v>975.89</v>
      </c>
      <c r="F1858" t="s">
        <v>324</v>
      </c>
      <c r="G1858" t="s">
        <v>325</v>
      </c>
      <c r="I1858" t="s">
        <v>8</v>
      </c>
      <c r="J1858" t="s">
        <v>102</v>
      </c>
      <c r="K1858" t="s">
        <v>22</v>
      </c>
      <c r="L1858" t="s">
        <v>295</v>
      </c>
      <c r="M1858" t="s">
        <v>296</v>
      </c>
      <c r="N1858">
        <v>2.9000000000000001E-2</v>
      </c>
      <c r="O1858" t="str">
        <f>IF(Transactions_RAW_cleaned[[#This Row],[Status]]="Completed", IFERROR(_xlfn.XLOOKUP(Transactions_RAW_cleaned[[#This Row],[CustomerID]], Customers_cleaned[CustomerID], Customers_cleaned[Segment]), "Customer Not Found"), "N/A")</f>
        <v>SMB</v>
      </c>
      <c r="P1858" s="5" t="str">
        <f>IF(Transactions_RAW_cleaned[[#This Row],[Status]]="Refunded", "Refund",
  IF(Transactions_RAW_cleaned[[#This Row],[Category]]="Payments", IF(Transactions_RAW_cleaned[[#This Row],[Amount]]&gt;500,"High Value","Standard"),
    IF(Transactions_RAW_cleaned[[#This Row],[Amount]]&gt;250,"High Value","Standard")))</f>
        <v>High Value</v>
      </c>
      <c r="Q1858" s="5" t="str">
        <f>IF(Transactions_RAW_cleaned[[#This Row],[Amount]] &gt; (_xlfn.XLOOKUP(Transactions_RAW_cleaned[[#This Row],[ServiceID]],Services_cleaned[ServiceID],Services_cleaned[TransactionFeePct]) * 10000), "Yes", "No")</f>
        <v>Yes</v>
      </c>
      <c r="R1858" s="5" t="str">
        <f>IF(COUNTIFS($C$2:Transactions_RAW_cleaned[[#This Row],[CustomerID]],Transactions_RAW_cleaned[[#This Row],[CustomerID]],$D$2:Transactions_RAW_cleaned[[#This Row],[ServiceID]],Transactions_RAW_cleaned[[#This Row],[ServiceID]])=1,"Yes","No")</f>
        <v>No</v>
      </c>
      <c r="S185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58" t="str">
        <f>"Q"&amp;ROUNDUP(MONTH(Transactions_RAW_cleaned[[#This Row],[TransactionDate]])/3,0)</f>
        <v>Q3</v>
      </c>
      <c r="U1858" t="str">
        <f>Transactions_RAW_cleaned[[#This Row],[Region ]]&amp;Transactions_RAW_cleaned[[#This Row],[Quarter ]]</f>
        <v>NAQ3</v>
      </c>
      <c r="V1858" s="5">
        <f>_xlfn.XLOOKUP(Transactions_RAW_cleaned[[#This Row],[RegionQuarterKey]], Quarterly_Targets_cleaned[RegionQuarterKey], Quarterly_Targets_cleaned[TargetRevenue])</f>
        <v>273000</v>
      </c>
    </row>
    <row r="1859" spans="1:22" x14ac:dyDescent="0.25">
      <c r="A1859" t="s">
        <v>2194</v>
      </c>
      <c r="B1859" s="1">
        <v>45607</v>
      </c>
      <c r="C1859" t="s">
        <v>181</v>
      </c>
      <c r="D1859" t="s">
        <v>294</v>
      </c>
      <c r="E1859">
        <v>542.99</v>
      </c>
      <c r="F1859" t="s">
        <v>324</v>
      </c>
      <c r="G1859" t="s">
        <v>327</v>
      </c>
      <c r="H1859" t="s">
        <v>332</v>
      </c>
      <c r="I1859" t="s">
        <v>17</v>
      </c>
      <c r="J1859" t="s">
        <v>21</v>
      </c>
      <c r="K1859" t="s">
        <v>10</v>
      </c>
      <c r="L1859" t="s">
        <v>295</v>
      </c>
      <c r="M1859" t="s">
        <v>296</v>
      </c>
      <c r="N1859">
        <v>2.9000000000000001E-2</v>
      </c>
      <c r="O1859" t="str">
        <f>IF(Transactions_RAW_cleaned[[#This Row],[Status]]="Completed", IFERROR(_xlfn.XLOOKUP(Transactions_RAW_cleaned[[#This Row],[CustomerID]], Customers_cleaned[CustomerID], Customers_cleaned[Segment]), "Customer Not Found"), "N/A")</f>
        <v>Enterprise</v>
      </c>
      <c r="P1859" s="5" t="str">
        <f>IF(Transactions_RAW_cleaned[[#This Row],[Status]]="Refunded", "Refund",
  IF(Transactions_RAW_cleaned[[#This Row],[Category]]="Payments", IF(Transactions_RAW_cleaned[[#This Row],[Amount]]&gt;500,"High Value","Standard"),
    IF(Transactions_RAW_cleaned[[#This Row],[Amount]]&gt;250,"High Value","Standard")))</f>
        <v>High Value</v>
      </c>
      <c r="Q1859" s="5" t="str">
        <f>IF(Transactions_RAW_cleaned[[#This Row],[Amount]] &gt; (_xlfn.XLOOKUP(Transactions_RAW_cleaned[[#This Row],[ServiceID]],Services_cleaned[ServiceID],Services_cleaned[TransactionFeePct]) * 10000), "Yes", "No")</f>
        <v>Yes</v>
      </c>
      <c r="R1859" s="5" t="str">
        <f>IF(COUNTIFS($C$2:Transactions_RAW_cleaned[[#This Row],[CustomerID]],Transactions_RAW_cleaned[[#This Row],[CustomerID]],$D$2:Transactions_RAW_cleaned[[#This Row],[ServiceID]],Transactions_RAW_cleaned[[#This Row],[ServiceID]])=1,"Yes","No")</f>
        <v>No</v>
      </c>
      <c r="S185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59" t="str">
        <f>"Q"&amp;ROUNDUP(MONTH(Transactions_RAW_cleaned[[#This Row],[TransactionDate]])/3,0)</f>
        <v>Q4</v>
      </c>
      <c r="U1859" t="str">
        <f>Transactions_RAW_cleaned[[#This Row],[Region ]]&amp;Transactions_RAW_cleaned[[#This Row],[Quarter ]]</f>
        <v>APACQ4</v>
      </c>
      <c r="V1859" s="5">
        <f>_xlfn.XLOOKUP(Transactions_RAW_cleaned[[#This Row],[RegionQuarterKey]], Quarterly_Targets_cleaned[RegionQuarterKey], Quarterly_Targets_cleaned[TargetRevenue])</f>
        <v>126500</v>
      </c>
    </row>
    <row r="1860" spans="1:22" x14ac:dyDescent="0.25">
      <c r="A1860" t="s">
        <v>2195</v>
      </c>
      <c r="B1860" s="1">
        <v>45497</v>
      </c>
      <c r="C1860" t="s">
        <v>157</v>
      </c>
      <c r="D1860" t="s">
        <v>315</v>
      </c>
      <c r="E1860">
        <v>278.25</v>
      </c>
      <c r="F1860" t="s">
        <v>324</v>
      </c>
      <c r="G1860" t="s">
        <v>325</v>
      </c>
      <c r="I1860" t="s">
        <v>8</v>
      </c>
      <c r="J1860" t="s">
        <v>102</v>
      </c>
      <c r="K1860" t="s">
        <v>14</v>
      </c>
      <c r="L1860" t="s">
        <v>316</v>
      </c>
      <c r="M1860" t="s">
        <v>305</v>
      </c>
      <c r="N1860">
        <v>2.5000000000000001E-3</v>
      </c>
      <c r="O1860" t="str">
        <f>IF(Transactions_RAW_cleaned[[#This Row],[Status]]="Completed", IFERROR(_xlfn.XLOOKUP(Transactions_RAW_cleaned[[#This Row],[CustomerID]], Customers_cleaned[CustomerID], Customers_cleaned[Segment]), "Customer Not Found"), "N/A")</f>
        <v>SMB</v>
      </c>
      <c r="P1860" s="5" t="str">
        <f>IF(Transactions_RAW_cleaned[[#This Row],[Status]]="Refunded", "Refund",
  IF(Transactions_RAW_cleaned[[#This Row],[Category]]="Payments", IF(Transactions_RAW_cleaned[[#This Row],[Amount]]&gt;500,"High Value","Standard"),
    IF(Transactions_RAW_cleaned[[#This Row],[Amount]]&gt;250,"High Value","Standard")))</f>
        <v>High Value</v>
      </c>
      <c r="Q1860" s="5" t="str">
        <f>IF(Transactions_RAW_cleaned[[#This Row],[Amount]] &gt; (_xlfn.XLOOKUP(Transactions_RAW_cleaned[[#This Row],[ServiceID]],Services_cleaned[ServiceID],Services_cleaned[TransactionFeePct]) * 10000), "Yes", "No")</f>
        <v>Yes</v>
      </c>
      <c r="R1860" s="5" t="str">
        <f>IF(COUNTIFS($C$2:Transactions_RAW_cleaned[[#This Row],[CustomerID]],Transactions_RAW_cleaned[[#This Row],[CustomerID]],$D$2:Transactions_RAW_cleaned[[#This Row],[ServiceID]],Transactions_RAW_cleaned[[#This Row],[ServiceID]])=1,"Yes","No")</f>
        <v>Yes</v>
      </c>
      <c r="S186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60" t="str">
        <f>"Q"&amp;ROUNDUP(MONTH(Transactions_RAW_cleaned[[#This Row],[TransactionDate]])/3,0)</f>
        <v>Q3</v>
      </c>
      <c r="U1860" t="str">
        <f>Transactions_RAW_cleaned[[#This Row],[Region ]]&amp;Transactions_RAW_cleaned[[#This Row],[Quarter ]]</f>
        <v>NAQ3</v>
      </c>
      <c r="V1860" s="5">
        <f>_xlfn.XLOOKUP(Transactions_RAW_cleaned[[#This Row],[RegionQuarterKey]], Quarterly_Targets_cleaned[RegionQuarterKey], Quarterly_Targets_cleaned[TargetRevenue])</f>
        <v>273000</v>
      </c>
    </row>
    <row r="1861" spans="1:22" x14ac:dyDescent="0.25">
      <c r="A1861" t="s">
        <v>2196</v>
      </c>
      <c r="B1861" s="1">
        <v>45569</v>
      </c>
      <c r="C1861" t="s">
        <v>269</v>
      </c>
      <c r="D1861" t="s">
        <v>294</v>
      </c>
      <c r="E1861">
        <v>-253.76</v>
      </c>
      <c r="F1861" t="s">
        <v>349</v>
      </c>
      <c r="G1861" t="s">
        <v>327</v>
      </c>
      <c r="I1861" t="s">
        <v>17</v>
      </c>
      <c r="J1861" t="s">
        <v>31</v>
      </c>
      <c r="K1861" t="s">
        <v>32</v>
      </c>
      <c r="L1861" t="s">
        <v>295</v>
      </c>
      <c r="M1861" t="s">
        <v>296</v>
      </c>
      <c r="N1861">
        <v>2.9000000000000001E-2</v>
      </c>
      <c r="O1861" t="str">
        <f>IF(Transactions_RAW_cleaned[[#This Row],[Status]]="Completed", IFERROR(_xlfn.XLOOKUP(Transactions_RAW_cleaned[[#This Row],[CustomerID]], Customers_cleaned[CustomerID], Customers_cleaned[Segment]), "Customer Not Found"), "N/A")</f>
        <v>N/A</v>
      </c>
      <c r="P1861" s="5" t="str">
        <f>IF(Transactions_RAW_cleaned[[#This Row],[Status]]="Refunded", "Refund",
  IF(Transactions_RAW_cleaned[[#This Row],[Category]]="Payments", IF(Transactions_RAW_cleaned[[#This Row],[Amount]]&gt;500,"High Value","Standard"),
    IF(Transactions_RAW_cleaned[[#This Row],[Amount]]&gt;250,"High Value","Standard")))</f>
        <v>Refund</v>
      </c>
      <c r="Q1861" s="5" t="str">
        <f>IF(Transactions_RAW_cleaned[[#This Row],[Amount]] &gt; (_xlfn.XLOOKUP(Transactions_RAW_cleaned[[#This Row],[ServiceID]],Services_cleaned[ServiceID],Services_cleaned[TransactionFeePct]) * 10000), "Yes", "No")</f>
        <v>No</v>
      </c>
      <c r="R1861" s="5" t="str">
        <f>IF(COUNTIFS($C$2:Transactions_RAW_cleaned[[#This Row],[CustomerID]],Transactions_RAW_cleaned[[#This Row],[CustomerID]],$D$2:Transactions_RAW_cleaned[[#This Row],[ServiceID]],Transactions_RAW_cleaned[[#This Row],[ServiceID]])=1,"Yes","No")</f>
        <v>No</v>
      </c>
      <c r="S186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861" t="str">
        <f>"Q"&amp;ROUNDUP(MONTH(Transactions_RAW_cleaned[[#This Row],[TransactionDate]])/3,0)</f>
        <v>Q4</v>
      </c>
      <c r="U1861" t="str">
        <f>Transactions_RAW_cleaned[[#This Row],[Region ]]&amp;Transactions_RAW_cleaned[[#This Row],[Quarter ]]</f>
        <v>EMEAQ4</v>
      </c>
      <c r="V1861" s="5">
        <f>_xlfn.XLOOKUP(Transactions_RAW_cleaned[[#This Row],[RegionQuarterKey]], Quarterly_Targets_cleaned[RegionQuarterKey], Quarterly_Targets_cleaned[TargetRevenue])</f>
        <v>161000</v>
      </c>
    </row>
    <row r="1862" spans="1:22" x14ac:dyDescent="0.25">
      <c r="A1862" t="s">
        <v>2197</v>
      </c>
      <c r="B1862" s="1">
        <v>45376</v>
      </c>
      <c r="C1862" t="s">
        <v>225</v>
      </c>
      <c r="D1862" t="s">
        <v>309</v>
      </c>
      <c r="E1862">
        <v>401.67</v>
      </c>
      <c r="F1862" t="s">
        <v>324</v>
      </c>
      <c r="G1862" t="s">
        <v>327</v>
      </c>
      <c r="I1862" t="s">
        <v>8</v>
      </c>
      <c r="J1862" t="s">
        <v>21</v>
      </c>
      <c r="K1862" t="s">
        <v>28</v>
      </c>
      <c r="L1862" t="s">
        <v>310</v>
      </c>
      <c r="M1862" t="s">
        <v>311</v>
      </c>
      <c r="N1862">
        <v>0</v>
      </c>
      <c r="O1862" t="str">
        <f>IF(Transactions_RAW_cleaned[[#This Row],[Status]]="Completed", IFERROR(_xlfn.XLOOKUP(Transactions_RAW_cleaned[[#This Row],[CustomerID]], Customers_cleaned[CustomerID], Customers_cleaned[Segment]), "Customer Not Found"), "N/A")</f>
        <v>SMB</v>
      </c>
      <c r="P1862" s="5" t="str">
        <f>IF(Transactions_RAW_cleaned[[#This Row],[Status]]="Refunded", "Refund",
  IF(Transactions_RAW_cleaned[[#This Row],[Category]]="Payments", IF(Transactions_RAW_cleaned[[#This Row],[Amount]]&gt;500,"High Value","Standard"),
    IF(Transactions_RAW_cleaned[[#This Row],[Amount]]&gt;250,"High Value","Standard")))</f>
        <v>High Value</v>
      </c>
      <c r="Q1862" s="5" t="str">
        <f>IF(Transactions_RAW_cleaned[[#This Row],[Amount]] &gt; (_xlfn.XLOOKUP(Transactions_RAW_cleaned[[#This Row],[ServiceID]],Services_cleaned[ServiceID],Services_cleaned[TransactionFeePct]) * 10000), "Yes", "No")</f>
        <v>Yes</v>
      </c>
      <c r="R1862" s="5" t="str">
        <f>IF(COUNTIFS($C$2:Transactions_RAW_cleaned[[#This Row],[CustomerID]],Transactions_RAW_cleaned[[#This Row],[CustomerID]],$D$2:Transactions_RAW_cleaned[[#This Row],[ServiceID]],Transactions_RAW_cleaned[[#This Row],[ServiceID]])=1,"Yes","No")</f>
        <v>No</v>
      </c>
      <c r="S186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62" t="str">
        <f>"Q"&amp;ROUNDUP(MONTH(Transactions_RAW_cleaned[[#This Row],[TransactionDate]])/3,0)</f>
        <v>Q1</v>
      </c>
      <c r="U1862" t="str">
        <f>Transactions_RAW_cleaned[[#This Row],[Region ]]&amp;Transactions_RAW_cleaned[[#This Row],[Quarter ]]</f>
        <v>APACQ1</v>
      </c>
      <c r="V1862" s="5">
        <f>_xlfn.XLOOKUP(Transactions_RAW_cleaned[[#This Row],[RegionQuarterKey]], Quarterly_Targets_cleaned[RegionQuarterKey], Quarterly_Targets_cleaned[TargetRevenue])</f>
        <v>104500</v>
      </c>
    </row>
    <row r="1863" spans="1:22" x14ac:dyDescent="0.25">
      <c r="A1863" t="s">
        <v>2198</v>
      </c>
      <c r="B1863" s="1">
        <v>45562</v>
      </c>
      <c r="C1863" t="s">
        <v>253</v>
      </c>
      <c r="D1863" t="s">
        <v>309</v>
      </c>
      <c r="E1863">
        <v>55.84</v>
      </c>
      <c r="F1863" t="s">
        <v>324</v>
      </c>
      <c r="G1863" t="s">
        <v>327</v>
      </c>
      <c r="H1863" t="s">
        <v>334</v>
      </c>
      <c r="I1863" t="s">
        <v>8</v>
      </c>
      <c r="J1863" t="s">
        <v>102</v>
      </c>
      <c r="K1863" t="s">
        <v>28</v>
      </c>
      <c r="L1863" t="s">
        <v>310</v>
      </c>
      <c r="M1863" t="s">
        <v>311</v>
      </c>
      <c r="N1863">
        <v>0</v>
      </c>
      <c r="O1863" t="str">
        <f>IF(Transactions_RAW_cleaned[[#This Row],[Status]]="Completed", IFERROR(_xlfn.XLOOKUP(Transactions_RAW_cleaned[[#This Row],[CustomerID]], Customers_cleaned[CustomerID], Customers_cleaned[Segment]), "Customer Not Found"), "N/A")</f>
        <v>SMB</v>
      </c>
      <c r="P1863" s="5" t="str">
        <f>IF(Transactions_RAW_cleaned[[#This Row],[Status]]="Refunded", "Refund",
  IF(Transactions_RAW_cleaned[[#This Row],[Category]]="Payments", IF(Transactions_RAW_cleaned[[#This Row],[Amount]]&gt;500,"High Value","Standard"),
    IF(Transactions_RAW_cleaned[[#This Row],[Amount]]&gt;250,"High Value","Standard")))</f>
        <v>Standard</v>
      </c>
      <c r="Q1863" s="5" t="str">
        <f>IF(Transactions_RAW_cleaned[[#This Row],[Amount]] &gt; (_xlfn.XLOOKUP(Transactions_RAW_cleaned[[#This Row],[ServiceID]],Services_cleaned[ServiceID],Services_cleaned[TransactionFeePct]) * 10000), "Yes", "No")</f>
        <v>Yes</v>
      </c>
      <c r="R1863" s="5" t="str">
        <f>IF(COUNTIFS($C$2:Transactions_RAW_cleaned[[#This Row],[CustomerID]],Transactions_RAW_cleaned[[#This Row],[CustomerID]],$D$2:Transactions_RAW_cleaned[[#This Row],[ServiceID]],Transactions_RAW_cleaned[[#This Row],[ServiceID]])=1,"Yes","No")</f>
        <v>No</v>
      </c>
      <c r="S186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63" t="str">
        <f>"Q"&amp;ROUNDUP(MONTH(Transactions_RAW_cleaned[[#This Row],[TransactionDate]])/3,0)</f>
        <v>Q3</v>
      </c>
      <c r="U1863" t="str">
        <f>Transactions_RAW_cleaned[[#This Row],[Region ]]&amp;Transactions_RAW_cleaned[[#This Row],[Quarter ]]</f>
        <v>NAQ3</v>
      </c>
      <c r="V1863" s="5">
        <f>_xlfn.XLOOKUP(Transactions_RAW_cleaned[[#This Row],[RegionQuarterKey]], Quarterly_Targets_cleaned[RegionQuarterKey], Quarterly_Targets_cleaned[TargetRevenue])</f>
        <v>273000</v>
      </c>
    </row>
    <row r="1864" spans="1:22" x14ac:dyDescent="0.25">
      <c r="A1864" t="s">
        <v>2199</v>
      </c>
      <c r="B1864" s="1">
        <v>45416</v>
      </c>
      <c r="C1864" t="s">
        <v>251</v>
      </c>
      <c r="D1864" t="s">
        <v>315</v>
      </c>
      <c r="E1864">
        <v>910.38</v>
      </c>
      <c r="F1864" t="s">
        <v>324</v>
      </c>
      <c r="G1864" t="s">
        <v>327</v>
      </c>
      <c r="H1864" t="s">
        <v>346</v>
      </c>
      <c r="I1864" t="s">
        <v>17</v>
      </c>
      <c r="J1864" t="s">
        <v>46</v>
      </c>
      <c r="K1864" t="s">
        <v>14</v>
      </c>
      <c r="L1864" t="s">
        <v>316</v>
      </c>
      <c r="M1864" t="s">
        <v>305</v>
      </c>
      <c r="N1864">
        <v>2.5000000000000001E-3</v>
      </c>
      <c r="O1864" t="str">
        <f>IF(Transactions_RAW_cleaned[[#This Row],[Status]]="Completed", IFERROR(_xlfn.XLOOKUP(Transactions_RAW_cleaned[[#This Row],[CustomerID]], Customers_cleaned[CustomerID], Customers_cleaned[Segment]), "Customer Not Found"), "N/A")</f>
        <v>Enterprise</v>
      </c>
      <c r="P1864" s="5" t="str">
        <f>IF(Transactions_RAW_cleaned[[#This Row],[Status]]="Refunded", "Refund",
  IF(Transactions_RAW_cleaned[[#This Row],[Category]]="Payments", IF(Transactions_RAW_cleaned[[#This Row],[Amount]]&gt;500,"High Value","Standard"),
    IF(Transactions_RAW_cleaned[[#This Row],[Amount]]&gt;250,"High Value","Standard")))</f>
        <v>High Value</v>
      </c>
      <c r="Q1864" s="5" t="str">
        <f>IF(Transactions_RAW_cleaned[[#This Row],[Amount]] &gt; (_xlfn.XLOOKUP(Transactions_RAW_cleaned[[#This Row],[ServiceID]],Services_cleaned[ServiceID],Services_cleaned[TransactionFeePct]) * 10000), "Yes", "No")</f>
        <v>Yes</v>
      </c>
      <c r="R1864" s="5" t="str">
        <f>IF(COUNTIFS($C$2:Transactions_RAW_cleaned[[#This Row],[CustomerID]],Transactions_RAW_cleaned[[#This Row],[CustomerID]],$D$2:Transactions_RAW_cleaned[[#This Row],[ServiceID]],Transactions_RAW_cleaned[[#This Row],[ServiceID]])=1,"Yes","No")</f>
        <v>No</v>
      </c>
      <c r="S186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64" t="str">
        <f>"Q"&amp;ROUNDUP(MONTH(Transactions_RAW_cleaned[[#This Row],[TransactionDate]])/3,0)</f>
        <v>Q2</v>
      </c>
      <c r="U1864" t="str">
        <f>Transactions_RAW_cleaned[[#This Row],[Region ]]&amp;Transactions_RAW_cleaned[[#This Row],[Quarter ]]</f>
        <v>APACQ2</v>
      </c>
      <c r="V1864" s="5">
        <f>_xlfn.XLOOKUP(Transactions_RAW_cleaned[[#This Row],[RegionQuarterKey]], Quarterly_Targets_cleaned[RegionQuarterKey], Quarterly_Targets_cleaned[TargetRevenue])</f>
        <v>110000</v>
      </c>
    </row>
    <row r="1865" spans="1:22" x14ac:dyDescent="0.25">
      <c r="A1865" t="s">
        <v>2200</v>
      </c>
      <c r="B1865" s="1">
        <v>45358</v>
      </c>
      <c r="C1865" t="s">
        <v>53</v>
      </c>
      <c r="D1865" t="s">
        <v>294</v>
      </c>
      <c r="E1865">
        <v>197.75</v>
      </c>
      <c r="F1865" t="s">
        <v>324</v>
      </c>
      <c r="G1865" t="s">
        <v>325</v>
      </c>
      <c r="I1865" t="s">
        <v>17</v>
      </c>
      <c r="J1865" t="s">
        <v>21</v>
      </c>
      <c r="K1865" t="s">
        <v>28</v>
      </c>
      <c r="L1865" t="s">
        <v>295</v>
      </c>
      <c r="M1865" t="s">
        <v>296</v>
      </c>
      <c r="N1865">
        <v>2.9000000000000001E-2</v>
      </c>
      <c r="O1865" t="str">
        <f>IF(Transactions_RAW_cleaned[[#This Row],[Status]]="Completed", IFERROR(_xlfn.XLOOKUP(Transactions_RAW_cleaned[[#This Row],[CustomerID]], Customers_cleaned[CustomerID], Customers_cleaned[Segment]), "Customer Not Found"), "N/A")</f>
        <v>Enterprise</v>
      </c>
      <c r="P1865" s="5" t="str">
        <f>IF(Transactions_RAW_cleaned[[#This Row],[Status]]="Refunded", "Refund",
  IF(Transactions_RAW_cleaned[[#This Row],[Category]]="Payments", IF(Transactions_RAW_cleaned[[#This Row],[Amount]]&gt;500,"High Value","Standard"),
    IF(Transactions_RAW_cleaned[[#This Row],[Amount]]&gt;250,"High Value","Standard")))</f>
        <v>Standard</v>
      </c>
      <c r="Q1865" s="5" t="str">
        <f>IF(Transactions_RAW_cleaned[[#This Row],[Amount]] &gt; (_xlfn.XLOOKUP(Transactions_RAW_cleaned[[#This Row],[ServiceID]],Services_cleaned[ServiceID],Services_cleaned[TransactionFeePct]) * 10000), "Yes", "No")</f>
        <v>No</v>
      </c>
      <c r="R1865" s="5" t="str">
        <f>IF(COUNTIFS($C$2:Transactions_RAW_cleaned[[#This Row],[CustomerID]],Transactions_RAW_cleaned[[#This Row],[CustomerID]],$D$2:Transactions_RAW_cleaned[[#This Row],[ServiceID]],Transactions_RAW_cleaned[[#This Row],[ServiceID]])=1,"Yes","No")</f>
        <v>No</v>
      </c>
      <c r="S186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65" t="str">
        <f>"Q"&amp;ROUNDUP(MONTH(Transactions_RAW_cleaned[[#This Row],[TransactionDate]])/3,0)</f>
        <v>Q1</v>
      </c>
      <c r="U1865" t="str">
        <f>Transactions_RAW_cleaned[[#This Row],[Region ]]&amp;Transactions_RAW_cleaned[[#This Row],[Quarter ]]</f>
        <v>APACQ1</v>
      </c>
      <c r="V1865" s="5">
        <f>_xlfn.XLOOKUP(Transactions_RAW_cleaned[[#This Row],[RegionQuarterKey]], Quarterly_Targets_cleaned[RegionQuarterKey], Quarterly_Targets_cleaned[TargetRevenue])</f>
        <v>104500</v>
      </c>
    </row>
    <row r="1866" spans="1:22" x14ac:dyDescent="0.25">
      <c r="A1866" t="s">
        <v>2201</v>
      </c>
      <c r="B1866" s="1">
        <v>45335</v>
      </c>
      <c r="C1866" t="s">
        <v>641</v>
      </c>
      <c r="D1866" t="s">
        <v>306</v>
      </c>
      <c r="E1866">
        <v>784.89</v>
      </c>
      <c r="F1866" t="s">
        <v>324</v>
      </c>
      <c r="G1866" t="s">
        <v>337</v>
      </c>
      <c r="H1866" t="s">
        <v>332</v>
      </c>
      <c r="I1866" t="s">
        <v>8</v>
      </c>
      <c r="J1866" t="s">
        <v>13</v>
      </c>
      <c r="K1866" t="s">
        <v>22</v>
      </c>
      <c r="L1866" t="s">
        <v>307</v>
      </c>
      <c r="M1866" t="s">
        <v>308</v>
      </c>
      <c r="N1866">
        <v>0</v>
      </c>
      <c r="O1866" t="str">
        <f>IF(Transactions_RAW_cleaned[[#This Row],[Status]]="Completed", IFERROR(_xlfn.XLOOKUP(Transactions_RAW_cleaned[[#This Row],[CustomerID]], Customers_cleaned[CustomerID], Customers_cleaned[Segment]), "Customer Not Found"), "N/A")</f>
        <v>SMB</v>
      </c>
      <c r="P1866" s="5" t="str">
        <f>IF(Transactions_RAW_cleaned[[#This Row],[Status]]="Refunded", "Refund",
  IF(Transactions_RAW_cleaned[[#This Row],[Category]]="Payments", IF(Transactions_RAW_cleaned[[#This Row],[Amount]]&gt;500,"High Value","Standard"),
    IF(Transactions_RAW_cleaned[[#This Row],[Amount]]&gt;250,"High Value","Standard")))</f>
        <v>High Value</v>
      </c>
      <c r="Q1866" s="5" t="str">
        <f>IF(Transactions_RAW_cleaned[[#This Row],[Amount]] &gt; (_xlfn.XLOOKUP(Transactions_RAW_cleaned[[#This Row],[ServiceID]],Services_cleaned[ServiceID],Services_cleaned[TransactionFeePct]) * 10000), "Yes", "No")</f>
        <v>Yes</v>
      </c>
      <c r="R1866" s="5" t="str">
        <f>IF(COUNTIFS($C$2:Transactions_RAW_cleaned[[#This Row],[CustomerID]],Transactions_RAW_cleaned[[#This Row],[CustomerID]],$D$2:Transactions_RAW_cleaned[[#This Row],[ServiceID]],Transactions_RAW_cleaned[[#This Row],[ServiceID]])=1,"Yes","No")</f>
        <v>No</v>
      </c>
      <c r="S186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66" t="str">
        <f>"Q"&amp;ROUNDUP(MONTH(Transactions_RAW_cleaned[[#This Row],[TransactionDate]])/3,0)</f>
        <v>Q1</v>
      </c>
      <c r="U1866" t="str">
        <f>Transactions_RAW_cleaned[[#This Row],[Region ]]&amp;Transactions_RAW_cleaned[[#This Row],[Quarter ]]</f>
        <v>NAQ1</v>
      </c>
      <c r="V1866" s="5">
        <f>_xlfn.XLOOKUP(Transactions_RAW_cleaned[[#This Row],[RegionQuarterKey]], Quarterly_Targets_cleaned[RegionQuarterKey], Quarterly_Targets_cleaned[TargetRevenue])</f>
        <v>247000</v>
      </c>
    </row>
    <row r="1867" spans="1:22" x14ac:dyDescent="0.25">
      <c r="A1867" t="s">
        <v>2202</v>
      </c>
      <c r="B1867" s="1">
        <v>45578</v>
      </c>
      <c r="C1867" t="s">
        <v>35</v>
      </c>
      <c r="D1867" t="s">
        <v>309</v>
      </c>
      <c r="E1867">
        <v>627.70000000000005</v>
      </c>
      <c r="F1867" t="s">
        <v>324</v>
      </c>
      <c r="G1867" t="s">
        <v>327</v>
      </c>
      <c r="H1867" t="s">
        <v>346</v>
      </c>
      <c r="I1867" t="s">
        <v>8</v>
      </c>
      <c r="J1867" t="s">
        <v>37</v>
      </c>
      <c r="K1867" t="s">
        <v>28</v>
      </c>
      <c r="L1867" t="s">
        <v>310</v>
      </c>
      <c r="M1867" t="s">
        <v>311</v>
      </c>
      <c r="N1867">
        <v>0</v>
      </c>
      <c r="O1867" t="str">
        <f>IF(Transactions_RAW_cleaned[[#This Row],[Status]]="Completed", IFERROR(_xlfn.XLOOKUP(Transactions_RAW_cleaned[[#This Row],[CustomerID]], Customers_cleaned[CustomerID], Customers_cleaned[Segment]), "Customer Not Found"), "N/A")</f>
        <v>SMB</v>
      </c>
      <c r="P1867" s="5" t="str">
        <f>IF(Transactions_RAW_cleaned[[#This Row],[Status]]="Refunded", "Refund",
  IF(Transactions_RAW_cleaned[[#This Row],[Category]]="Payments", IF(Transactions_RAW_cleaned[[#This Row],[Amount]]&gt;500,"High Value","Standard"),
    IF(Transactions_RAW_cleaned[[#This Row],[Amount]]&gt;250,"High Value","Standard")))</f>
        <v>High Value</v>
      </c>
      <c r="Q1867" s="5" t="str">
        <f>IF(Transactions_RAW_cleaned[[#This Row],[Amount]] &gt; (_xlfn.XLOOKUP(Transactions_RAW_cleaned[[#This Row],[ServiceID]],Services_cleaned[ServiceID],Services_cleaned[TransactionFeePct]) * 10000), "Yes", "No")</f>
        <v>Yes</v>
      </c>
      <c r="R1867" s="5" t="str">
        <f>IF(COUNTIFS($C$2:Transactions_RAW_cleaned[[#This Row],[CustomerID]],Transactions_RAW_cleaned[[#This Row],[CustomerID]],$D$2:Transactions_RAW_cleaned[[#This Row],[ServiceID]],Transactions_RAW_cleaned[[#This Row],[ServiceID]])=1,"Yes","No")</f>
        <v>No</v>
      </c>
      <c r="S186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867" t="str">
        <f>"Q"&amp;ROUNDUP(MONTH(Transactions_RAW_cleaned[[#This Row],[TransactionDate]])/3,0)</f>
        <v>Q4</v>
      </c>
      <c r="U1867" t="str">
        <f>Transactions_RAW_cleaned[[#This Row],[Region ]]&amp;Transactions_RAW_cleaned[[#This Row],[Quarter ]]</f>
        <v>EMEAQ4</v>
      </c>
      <c r="V1867" s="5">
        <f>_xlfn.XLOOKUP(Transactions_RAW_cleaned[[#This Row],[RegionQuarterKey]], Quarterly_Targets_cleaned[RegionQuarterKey], Quarterly_Targets_cleaned[TargetRevenue])</f>
        <v>161000</v>
      </c>
    </row>
    <row r="1868" spans="1:22" x14ac:dyDescent="0.25">
      <c r="A1868" t="s">
        <v>2203</v>
      </c>
      <c r="B1868" s="1">
        <v>45605</v>
      </c>
      <c r="C1868" t="s">
        <v>191</v>
      </c>
      <c r="D1868" t="s">
        <v>300</v>
      </c>
      <c r="E1868">
        <v>535.85</v>
      </c>
      <c r="F1868" t="s">
        <v>324</v>
      </c>
      <c r="G1868" t="s">
        <v>325</v>
      </c>
      <c r="I1868" t="s">
        <v>57</v>
      </c>
      <c r="J1868" t="s">
        <v>31</v>
      </c>
      <c r="K1868" t="s">
        <v>32</v>
      </c>
      <c r="L1868" t="s">
        <v>301</v>
      </c>
      <c r="M1868" t="s">
        <v>302</v>
      </c>
      <c r="N1868">
        <v>5.0000000000000001E-3</v>
      </c>
      <c r="O1868" t="str">
        <f>IF(Transactions_RAW_cleaned[[#This Row],[Status]]="Completed", IFERROR(_xlfn.XLOOKUP(Transactions_RAW_cleaned[[#This Row],[CustomerID]], Customers_cleaned[CustomerID], Customers_cleaned[Segment]), "Customer Not Found"), "N/A")</f>
        <v>Startup</v>
      </c>
      <c r="P1868" s="5" t="str">
        <f>IF(Transactions_RAW_cleaned[[#This Row],[Status]]="Refunded", "Refund",
  IF(Transactions_RAW_cleaned[[#This Row],[Category]]="Payments", IF(Transactions_RAW_cleaned[[#This Row],[Amount]]&gt;500,"High Value","Standard"),
    IF(Transactions_RAW_cleaned[[#This Row],[Amount]]&gt;250,"High Value","Standard")))</f>
        <v>High Value</v>
      </c>
      <c r="Q1868" s="5" t="str">
        <f>IF(Transactions_RAW_cleaned[[#This Row],[Amount]] &gt; (_xlfn.XLOOKUP(Transactions_RAW_cleaned[[#This Row],[ServiceID]],Services_cleaned[ServiceID],Services_cleaned[TransactionFeePct]) * 10000), "Yes", "No")</f>
        <v>Yes</v>
      </c>
      <c r="R1868" s="5" t="str">
        <f>IF(COUNTIFS($C$2:Transactions_RAW_cleaned[[#This Row],[CustomerID]],Transactions_RAW_cleaned[[#This Row],[CustomerID]],$D$2:Transactions_RAW_cleaned[[#This Row],[ServiceID]],Transactions_RAW_cleaned[[#This Row],[ServiceID]])=1,"Yes","No")</f>
        <v>No</v>
      </c>
      <c r="S186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868" t="str">
        <f>"Q"&amp;ROUNDUP(MONTH(Transactions_RAW_cleaned[[#This Row],[TransactionDate]])/3,0)</f>
        <v>Q4</v>
      </c>
      <c r="U1868" t="str">
        <f>Transactions_RAW_cleaned[[#This Row],[Region ]]&amp;Transactions_RAW_cleaned[[#This Row],[Quarter ]]</f>
        <v>EMEAQ4</v>
      </c>
      <c r="V1868" s="5">
        <f>_xlfn.XLOOKUP(Transactions_RAW_cleaned[[#This Row],[RegionQuarterKey]], Quarterly_Targets_cleaned[RegionQuarterKey], Quarterly_Targets_cleaned[TargetRevenue])</f>
        <v>161000</v>
      </c>
    </row>
    <row r="1869" spans="1:22" x14ac:dyDescent="0.25">
      <c r="A1869" t="s">
        <v>2204</v>
      </c>
      <c r="B1869" s="1">
        <v>45470</v>
      </c>
      <c r="C1869" t="s">
        <v>76</v>
      </c>
      <c r="D1869" t="s">
        <v>315</v>
      </c>
      <c r="E1869">
        <v>493.57</v>
      </c>
      <c r="F1869" t="s">
        <v>324</v>
      </c>
      <c r="G1869" t="s">
        <v>337</v>
      </c>
      <c r="I1869" t="s">
        <v>17</v>
      </c>
      <c r="J1869" t="s">
        <v>13</v>
      </c>
      <c r="K1869" t="s">
        <v>18</v>
      </c>
      <c r="L1869" t="s">
        <v>316</v>
      </c>
      <c r="M1869" t="s">
        <v>305</v>
      </c>
      <c r="N1869">
        <v>2.5000000000000001E-3</v>
      </c>
      <c r="O1869" t="str">
        <f>IF(Transactions_RAW_cleaned[[#This Row],[Status]]="Completed", IFERROR(_xlfn.XLOOKUP(Transactions_RAW_cleaned[[#This Row],[CustomerID]], Customers_cleaned[CustomerID], Customers_cleaned[Segment]), "Customer Not Found"), "N/A")</f>
        <v>Enterprise</v>
      </c>
      <c r="P1869" s="5" t="str">
        <f>IF(Transactions_RAW_cleaned[[#This Row],[Status]]="Refunded", "Refund",
  IF(Transactions_RAW_cleaned[[#This Row],[Category]]="Payments", IF(Transactions_RAW_cleaned[[#This Row],[Amount]]&gt;500,"High Value","Standard"),
    IF(Transactions_RAW_cleaned[[#This Row],[Amount]]&gt;250,"High Value","Standard")))</f>
        <v>High Value</v>
      </c>
      <c r="Q1869" s="5" t="str">
        <f>IF(Transactions_RAW_cleaned[[#This Row],[Amount]] &gt; (_xlfn.XLOOKUP(Transactions_RAW_cleaned[[#This Row],[ServiceID]],Services_cleaned[ServiceID],Services_cleaned[TransactionFeePct]) * 10000), "Yes", "No")</f>
        <v>Yes</v>
      </c>
      <c r="R1869" s="5" t="str">
        <f>IF(COUNTIFS($C$2:Transactions_RAW_cleaned[[#This Row],[CustomerID]],Transactions_RAW_cleaned[[#This Row],[CustomerID]],$D$2:Transactions_RAW_cleaned[[#This Row],[ServiceID]],Transactions_RAW_cleaned[[#This Row],[ServiceID]])=1,"Yes","No")</f>
        <v>No</v>
      </c>
      <c r="S186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69" t="str">
        <f>"Q"&amp;ROUNDUP(MONTH(Transactions_RAW_cleaned[[#This Row],[TransactionDate]])/3,0)</f>
        <v>Q2</v>
      </c>
      <c r="U1869" t="str">
        <f>Transactions_RAW_cleaned[[#This Row],[Region ]]&amp;Transactions_RAW_cleaned[[#This Row],[Quarter ]]</f>
        <v>NAQ2</v>
      </c>
      <c r="V1869" s="5">
        <f>_xlfn.XLOOKUP(Transactions_RAW_cleaned[[#This Row],[RegionQuarterKey]], Quarterly_Targets_cleaned[RegionQuarterKey], Quarterly_Targets_cleaned[TargetRevenue])</f>
        <v>260000</v>
      </c>
    </row>
    <row r="1870" spans="1:22" x14ac:dyDescent="0.25">
      <c r="A1870" t="s">
        <v>2205</v>
      </c>
      <c r="B1870" s="1">
        <v>45577</v>
      </c>
      <c r="C1870" t="s">
        <v>58</v>
      </c>
      <c r="D1870" t="s">
        <v>303</v>
      </c>
      <c r="E1870">
        <v>463.39</v>
      </c>
      <c r="F1870" t="s">
        <v>381</v>
      </c>
      <c r="G1870" t="s">
        <v>337</v>
      </c>
      <c r="I1870" t="s">
        <v>17</v>
      </c>
      <c r="J1870" t="s">
        <v>102</v>
      </c>
      <c r="K1870" t="s">
        <v>22</v>
      </c>
      <c r="L1870" t="s">
        <v>304</v>
      </c>
      <c r="M1870" t="s">
        <v>305</v>
      </c>
      <c r="N1870">
        <v>1E-3</v>
      </c>
      <c r="O1870" t="str">
        <f>IF(Transactions_RAW_cleaned[[#This Row],[Status]]="Completed", IFERROR(_xlfn.XLOOKUP(Transactions_RAW_cleaned[[#This Row],[CustomerID]], Customers_cleaned[CustomerID], Customers_cleaned[Segment]), "Customer Not Found"), "N/A")</f>
        <v>N/A</v>
      </c>
      <c r="P1870" s="5" t="str">
        <f>IF(Transactions_RAW_cleaned[[#This Row],[Status]]="Refunded", "Refund",
  IF(Transactions_RAW_cleaned[[#This Row],[Category]]="Payments", IF(Transactions_RAW_cleaned[[#This Row],[Amount]]&gt;500,"High Value","Standard"),
    IF(Transactions_RAW_cleaned[[#This Row],[Amount]]&gt;250,"High Value","Standard")))</f>
        <v>High Value</v>
      </c>
      <c r="Q1870" s="5" t="str">
        <f>IF(Transactions_RAW_cleaned[[#This Row],[Amount]] &gt; (_xlfn.XLOOKUP(Transactions_RAW_cleaned[[#This Row],[ServiceID]],Services_cleaned[ServiceID],Services_cleaned[TransactionFeePct]) * 10000), "Yes", "No")</f>
        <v>Yes</v>
      </c>
      <c r="R1870" s="5" t="str">
        <f>IF(COUNTIFS($C$2:Transactions_RAW_cleaned[[#This Row],[CustomerID]],Transactions_RAW_cleaned[[#This Row],[CustomerID]],$D$2:Transactions_RAW_cleaned[[#This Row],[ServiceID]],Transactions_RAW_cleaned[[#This Row],[ServiceID]])=1,"Yes","No")</f>
        <v>No</v>
      </c>
      <c r="S187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70" t="str">
        <f>"Q"&amp;ROUNDUP(MONTH(Transactions_RAW_cleaned[[#This Row],[TransactionDate]])/3,0)</f>
        <v>Q4</v>
      </c>
      <c r="U1870" t="str">
        <f>Transactions_RAW_cleaned[[#This Row],[Region ]]&amp;Transactions_RAW_cleaned[[#This Row],[Quarter ]]</f>
        <v>NAQ4</v>
      </c>
      <c r="V1870" s="5">
        <f>_xlfn.XLOOKUP(Transactions_RAW_cleaned[[#This Row],[RegionQuarterKey]], Quarterly_Targets_cleaned[RegionQuarterKey], Quarterly_Targets_cleaned[TargetRevenue])</f>
        <v>299000</v>
      </c>
    </row>
    <row r="1871" spans="1:22" x14ac:dyDescent="0.25">
      <c r="A1871" t="s">
        <v>2206</v>
      </c>
      <c r="B1871" s="1">
        <v>45579</v>
      </c>
      <c r="C1871" t="s">
        <v>275</v>
      </c>
      <c r="D1871" t="s">
        <v>315</v>
      </c>
      <c r="E1871">
        <v>257.48</v>
      </c>
      <c r="F1871" t="s">
        <v>331</v>
      </c>
      <c r="G1871" t="s">
        <v>325</v>
      </c>
      <c r="H1871" t="s">
        <v>332</v>
      </c>
      <c r="I1871" t="s">
        <v>57</v>
      </c>
      <c r="J1871" t="s">
        <v>13</v>
      </c>
      <c r="K1871" t="s">
        <v>22</v>
      </c>
      <c r="L1871" t="s">
        <v>316</v>
      </c>
      <c r="M1871" t="s">
        <v>305</v>
      </c>
      <c r="N1871">
        <v>2.5000000000000001E-3</v>
      </c>
      <c r="O1871" t="str">
        <f>IF(Transactions_RAW_cleaned[[#This Row],[Status]]="Completed", IFERROR(_xlfn.XLOOKUP(Transactions_RAW_cleaned[[#This Row],[CustomerID]], Customers_cleaned[CustomerID], Customers_cleaned[Segment]), "Customer Not Found"), "N/A")</f>
        <v>N/A</v>
      </c>
      <c r="P1871" s="5" t="str">
        <f>IF(Transactions_RAW_cleaned[[#This Row],[Status]]="Refunded", "Refund",
  IF(Transactions_RAW_cleaned[[#This Row],[Category]]="Payments", IF(Transactions_RAW_cleaned[[#This Row],[Amount]]&gt;500,"High Value","Standard"),
    IF(Transactions_RAW_cleaned[[#This Row],[Amount]]&gt;250,"High Value","Standard")))</f>
        <v>High Value</v>
      </c>
      <c r="Q1871" s="5" t="str">
        <f>IF(Transactions_RAW_cleaned[[#This Row],[Amount]] &gt; (_xlfn.XLOOKUP(Transactions_RAW_cleaned[[#This Row],[ServiceID]],Services_cleaned[ServiceID],Services_cleaned[TransactionFeePct]) * 10000), "Yes", "No")</f>
        <v>Yes</v>
      </c>
      <c r="R1871" s="5" t="str">
        <f>IF(COUNTIFS($C$2:Transactions_RAW_cleaned[[#This Row],[CustomerID]],Transactions_RAW_cleaned[[#This Row],[CustomerID]],$D$2:Transactions_RAW_cleaned[[#This Row],[ServiceID]],Transactions_RAW_cleaned[[#This Row],[ServiceID]])=1,"Yes","No")</f>
        <v>Yes</v>
      </c>
      <c r="S187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71" t="str">
        <f>"Q"&amp;ROUNDUP(MONTH(Transactions_RAW_cleaned[[#This Row],[TransactionDate]])/3,0)</f>
        <v>Q4</v>
      </c>
      <c r="U1871" t="str">
        <f>Transactions_RAW_cleaned[[#This Row],[Region ]]&amp;Transactions_RAW_cleaned[[#This Row],[Quarter ]]</f>
        <v>NAQ4</v>
      </c>
      <c r="V1871" s="5">
        <f>_xlfn.XLOOKUP(Transactions_RAW_cleaned[[#This Row],[RegionQuarterKey]], Quarterly_Targets_cleaned[RegionQuarterKey], Quarterly_Targets_cleaned[TargetRevenue])</f>
        <v>299000</v>
      </c>
    </row>
    <row r="1872" spans="1:22" x14ac:dyDescent="0.25">
      <c r="A1872" t="s">
        <v>2207</v>
      </c>
      <c r="B1872" s="1">
        <v>45652</v>
      </c>
      <c r="C1872" t="s">
        <v>195</v>
      </c>
      <c r="D1872" t="s">
        <v>306</v>
      </c>
      <c r="E1872">
        <v>181.42</v>
      </c>
      <c r="F1872" t="s">
        <v>324</v>
      </c>
      <c r="G1872" t="s">
        <v>337</v>
      </c>
      <c r="H1872" t="s">
        <v>346</v>
      </c>
      <c r="I1872" t="s">
        <v>8</v>
      </c>
      <c r="J1872" t="s">
        <v>102</v>
      </c>
      <c r="K1872" t="s">
        <v>32</v>
      </c>
      <c r="L1872" t="s">
        <v>307</v>
      </c>
      <c r="M1872" t="s">
        <v>308</v>
      </c>
      <c r="N1872">
        <v>0</v>
      </c>
      <c r="O1872" t="str">
        <f>IF(Transactions_RAW_cleaned[[#This Row],[Status]]="Completed", IFERROR(_xlfn.XLOOKUP(Transactions_RAW_cleaned[[#This Row],[CustomerID]], Customers_cleaned[CustomerID], Customers_cleaned[Segment]), "Customer Not Found"), "N/A")</f>
        <v>SMB</v>
      </c>
      <c r="P1872" s="5" t="str">
        <f>IF(Transactions_RAW_cleaned[[#This Row],[Status]]="Refunded", "Refund",
  IF(Transactions_RAW_cleaned[[#This Row],[Category]]="Payments", IF(Transactions_RAW_cleaned[[#This Row],[Amount]]&gt;500,"High Value","Standard"),
    IF(Transactions_RAW_cleaned[[#This Row],[Amount]]&gt;250,"High Value","Standard")))</f>
        <v>Standard</v>
      </c>
      <c r="Q1872" s="5" t="str">
        <f>IF(Transactions_RAW_cleaned[[#This Row],[Amount]] &gt; (_xlfn.XLOOKUP(Transactions_RAW_cleaned[[#This Row],[ServiceID]],Services_cleaned[ServiceID],Services_cleaned[TransactionFeePct]) * 10000), "Yes", "No")</f>
        <v>Yes</v>
      </c>
      <c r="R1872" s="5" t="str">
        <f>IF(COUNTIFS($C$2:Transactions_RAW_cleaned[[#This Row],[CustomerID]],Transactions_RAW_cleaned[[#This Row],[CustomerID]],$D$2:Transactions_RAW_cleaned[[#This Row],[ServiceID]],Transactions_RAW_cleaned[[#This Row],[ServiceID]])=1,"Yes","No")</f>
        <v>No</v>
      </c>
      <c r="S187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72" t="str">
        <f>"Q"&amp;ROUNDUP(MONTH(Transactions_RAW_cleaned[[#This Row],[TransactionDate]])/3,0)</f>
        <v>Q4</v>
      </c>
      <c r="U1872" t="str">
        <f>Transactions_RAW_cleaned[[#This Row],[Region ]]&amp;Transactions_RAW_cleaned[[#This Row],[Quarter ]]</f>
        <v>NAQ4</v>
      </c>
      <c r="V1872" s="5">
        <f>_xlfn.XLOOKUP(Transactions_RAW_cleaned[[#This Row],[RegionQuarterKey]], Quarterly_Targets_cleaned[RegionQuarterKey], Quarterly_Targets_cleaned[TargetRevenue])</f>
        <v>299000</v>
      </c>
    </row>
    <row r="1873" spans="1:22" x14ac:dyDescent="0.25">
      <c r="A1873" t="s">
        <v>2208</v>
      </c>
      <c r="B1873" s="1">
        <v>45604</v>
      </c>
      <c r="C1873" t="s">
        <v>197</v>
      </c>
      <c r="D1873" t="s">
        <v>312</v>
      </c>
      <c r="E1873">
        <v>396.53</v>
      </c>
      <c r="F1873" t="s">
        <v>324</v>
      </c>
      <c r="G1873" t="s">
        <v>325</v>
      </c>
      <c r="I1873" t="s">
        <v>8</v>
      </c>
      <c r="J1873" t="s">
        <v>46</v>
      </c>
      <c r="K1873" t="s">
        <v>14</v>
      </c>
      <c r="L1873" t="s">
        <v>313</v>
      </c>
      <c r="M1873" t="s">
        <v>314</v>
      </c>
      <c r="N1873">
        <v>0</v>
      </c>
      <c r="O1873" t="str">
        <f>IF(Transactions_RAW_cleaned[[#This Row],[Status]]="Completed", IFERROR(_xlfn.XLOOKUP(Transactions_RAW_cleaned[[#This Row],[CustomerID]], Customers_cleaned[CustomerID], Customers_cleaned[Segment]), "Customer Not Found"), "N/A")</f>
        <v>SMB</v>
      </c>
      <c r="P1873" s="5" t="str">
        <f>IF(Transactions_RAW_cleaned[[#This Row],[Status]]="Refunded", "Refund",
  IF(Transactions_RAW_cleaned[[#This Row],[Category]]="Payments", IF(Transactions_RAW_cleaned[[#This Row],[Amount]]&gt;500,"High Value","Standard"),
    IF(Transactions_RAW_cleaned[[#This Row],[Amount]]&gt;250,"High Value","Standard")))</f>
        <v>High Value</v>
      </c>
      <c r="Q1873" s="5" t="str">
        <f>IF(Transactions_RAW_cleaned[[#This Row],[Amount]] &gt; (_xlfn.XLOOKUP(Transactions_RAW_cleaned[[#This Row],[ServiceID]],Services_cleaned[ServiceID],Services_cleaned[TransactionFeePct]) * 10000), "Yes", "No")</f>
        <v>Yes</v>
      </c>
      <c r="R1873" s="5" t="str">
        <f>IF(COUNTIFS($C$2:Transactions_RAW_cleaned[[#This Row],[CustomerID]],Transactions_RAW_cleaned[[#This Row],[CustomerID]],$D$2:Transactions_RAW_cleaned[[#This Row],[ServiceID]],Transactions_RAW_cleaned[[#This Row],[ServiceID]])=1,"Yes","No")</f>
        <v>No</v>
      </c>
      <c r="S187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73" t="str">
        <f>"Q"&amp;ROUNDUP(MONTH(Transactions_RAW_cleaned[[#This Row],[TransactionDate]])/3,0)</f>
        <v>Q4</v>
      </c>
      <c r="U1873" t="str">
        <f>Transactions_RAW_cleaned[[#This Row],[Region ]]&amp;Transactions_RAW_cleaned[[#This Row],[Quarter ]]</f>
        <v>APACQ4</v>
      </c>
      <c r="V1873" s="5">
        <f>_xlfn.XLOOKUP(Transactions_RAW_cleaned[[#This Row],[RegionQuarterKey]], Quarterly_Targets_cleaned[RegionQuarterKey], Quarterly_Targets_cleaned[TargetRevenue])</f>
        <v>126500</v>
      </c>
    </row>
    <row r="1874" spans="1:22" x14ac:dyDescent="0.25">
      <c r="A1874" t="s">
        <v>2209</v>
      </c>
      <c r="B1874" s="1">
        <v>45600</v>
      </c>
      <c r="C1874" t="s">
        <v>235</v>
      </c>
      <c r="D1874" t="s">
        <v>294</v>
      </c>
      <c r="E1874">
        <v>-637.91999999999996</v>
      </c>
      <c r="F1874" t="s">
        <v>349</v>
      </c>
      <c r="G1874" t="s">
        <v>325</v>
      </c>
      <c r="I1874" t="s">
        <v>57</v>
      </c>
      <c r="J1874" t="s">
        <v>21</v>
      </c>
      <c r="K1874" t="s">
        <v>22</v>
      </c>
      <c r="L1874" t="s">
        <v>295</v>
      </c>
      <c r="M1874" t="s">
        <v>296</v>
      </c>
      <c r="N1874">
        <v>2.9000000000000001E-2</v>
      </c>
      <c r="O1874" t="str">
        <f>IF(Transactions_RAW_cleaned[[#This Row],[Status]]="Completed", IFERROR(_xlfn.XLOOKUP(Transactions_RAW_cleaned[[#This Row],[CustomerID]], Customers_cleaned[CustomerID], Customers_cleaned[Segment]), "Customer Not Found"), "N/A")</f>
        <v>N/A</v>
      </c>
      <c r="P1874" s="5" t="str">
        <f>IF(Transactions_RAW_cleaned[[#This Row],[Status]]="Refunded", "Refund",
  IF(Transactions_RAW_cleaned[[#This Row],[Category]]="Payments", IF(Transactions_RAW_cleaned[[#This Row],[Amount]]&gt;500,"High Value","Standard"),
    IF(Transactions_RAW_cleaned[[#This Row],[Amount]]&gt;250,"High Value","Standard")))</f>
        <v>Refund</v>
      </c>
      <c r="Q1874" s="5" t="str">
        <f>IF(Transactions_RAW_cleaned[[#This Row],[Amount]] &gt; (_xlfn.XLOOKUP(Transactions_RAW_cleaned[[#This Row],[ServiceID]],Services_cleaned[ServiceID],Services_cleaned[TransactionFeePct]) * 10000), "Yes", "No")</f>
        <v>No</v>
      </c>
      <c r="R1874" s="5" t="str">
        <f>IF(COUNTIFS($C$2:Transactions_RAW_cleaned[[#This Row],[CustomerID]],Transactions_RAW_cleaned[[#This Row],[CustomerID]],$D$2:Transactions_RAW_cleaned[[#This Row],[ServiceID]],Transactions_RAW_cleaned[[#This Row],[ServiceID]])=1,"Yes","No")</f>
        <v>Yes</v>
      </c>
      <c r="S187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74" t="str">
        <f>"Q"&amp;ROUNDUP(MONTH(Transactions_RAW_cleaned[[#This Row],[TransactionDate]])/3,0)</f>
        <v>Q4</v>
      </c>
      <c r="U1874" t="str">
        <f>Transactions_RAW_cleaned[[#This Row],[Region ]]&amp;Transactions_RAW_cleaned[[#This Row],[Quarter ]]</f>
        <v>APACQ4</v>
      </c>
      <c r="V1874" s="5">
        <f>_xlfn.XLOOKUP(Transactions_RAW_cleaned[[#This Row],[RegionQuarterKey]], Quarterly_Targets_cleaned[RegionQuarterKey], Quarterly_Targets_cleaned[TargetRevenue])</f>
        <v>126500</v>
      </c>
    </row>
    <row r="1875" spans="1:22" x14ac:dyDescent="0.25">
      <c r="A1875" t="s">
        <v>2210</v>
      </c>
      <c r="B1875" s="1">
        <v>45333</v>
      </c>
      <c r="C1875" t="s">
        <v>265</v>
      </c>
      <c r="D1875" t="s">
        <v>300</v>
      </c>
      <c r="E1875">
        <v>96.54</v>
      </c>
      <c r="F1875" t="s">
        <v>331</v>
      </c>
      <c r="G1875" t="s">
        <v>325</v>
      </c>
      <c r="I1875" t="s">
        <v>8</v>
      </c>
      <c r="J1875" t="s">
        <v>102</v>
      </c>
      <c r="K1875" t="s">
        <v>32</v>
      </c>
      <c r="L1875" t="s">
        <v>301</v>
      </c>
      <c r="M1875" t="s">
        <v>302</v>
      </c>
      <c r="N1875">
        <v>5.0000000000000001E-3</v>
      </c>
      <c r="O1875" t="str">
        <f>IF(Transactions_RAW_cleaned[[#This Row],[Status]]="Completed", IFERROR(_xlfn.XLOOKUP(Transactions_RAW_cleaned[[#This Row],[CustomerID]], Customers_cleaned[CustomerID], Customers_cleaned[Segment]), "Customer Not Found"), "N/A")</f>
        <v>N/A</v>
      </c>
      <c r="P1875" s="5" t="str">
        <f>IF(Transactions_RAW_cleaned[[#This Row],[Status]]="Refunded", "Refund",
  IF(Transactions_RAW_cleaned[[#This Row],[Category]]="Payments", IF(Transactions_RAW_cleaned[[#This Row],[Amount]]&gt;500,"High Value","Standard"),
    IF(Transactions_RAW_cleaned[[#This Row],[Amount]]&gt;250,"High Value","Standard")))</f>
        <v>Standard</v>
      </c>
      <c r="Q1875" s="5" t="str">
        <f>IF(Transactions_RAW_cleaned[[#This Row],[Amount]] &gt; (_xlfn.XLOOKUP(Transactions_RAW_cleaned[[#This Row],[ServiceID]],Services_cleaned[ServiceID],Services_cleaned[TransactionFeePct]) * 10000), "Yes", "No")</f>
        <v>Yes</v>
      </c>
      <c r="R1875" s="5" t="str">
        <f>IF(COUNTIFS($C$2:Transactions_RAW_cleaned[[#This Row],[CustomerID]],Transactions_RAW_cleaned[[#This Row],[CustomerID]],$D$2:Transactions_RAW_cleaned[[#This Row],[ServiceID]],Transactions_RAW_cleaned[[#This Row],[ServiceID]])=1,"Yes","No")</f>
        <v>No</v>
      </c>
      <c r="S187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75" t="str">
        <f>"Q"&amp;ROUNDUP(MONTH(Transactions_RAW_cleaned[[#This Row],[TransactionDate]])/3,0)</f>
        <v>Q1</v>
      </c>
      <c r="U1875" t="str">
        <f>Transactions_RAW_cleaned[[#This Row],[Region ]]&amp;Transactions_RAW_cleaned[[#This Row],[Quarter ]]</f>
        <v>NAQ1</v>
      </c>
      <c r="V1875" s="5">
        <f>_xlfn.XLOOKUP(Transactions_RAW_cleaned[[#This Row],[RegionQuarterKey]], Quarterly_Targets_cleaned[RegionQuarterKey], Quarterly_Targets_cleaned[TargetRevenue])</f>
        <v>247000</v>
      </c>
    </row>
    <row r="1876" spans="1:22" x14ac:dyDescent="0.25">
      <c r="A1876" t="s">
        <v>2211</v>
      </c>
      <c r="B1876" s="1">
        <v>45407</v>
      </c>
      <c r="C1876" t="s">
        <v>133</v>
      </c>
      <c r="D1876" t="s">
        <v>294</v>
      </c>
      <c r="E1876">
        <v>220.71</v>
      </c>
      <c r="F1876" t="s">
        <v>324</v>
      </c>
      <c r="G1876" t="s">
        <v>325</v>
      </c>
      <c r="I1876" t="s">
        <v>17</v>
      </c>
      <c r="J1876" t="s">
        <v>102</v>
      </c>
      <c r="K1876" t="s">
        <v>22</v>
      </c>
      <c r="L1876" t="s">
        <v>295</v>
      </c>
      <c r="M1876" t="s">
        <v>296</v>
      </c>
      <c r="N1876">
        <v>2.9000000000000001E-2</v>
      </c>
      <c r="O1876" t="str">
        <f>IF(Transactions_RAW_cleaned[[#This Row],[Status]]="Completed", IFERROR(_xlfn.XLOOKUP(Transactions_RAW_cleaned[[#This Row],[CustomerID]], Customers_cleaned[CustomerID], Customers_cleaned[Segment]), "Customer Not Found"), "N/A")</f>
        <v>Enterprise</v>
      </c>
      <c r="P1876" s="5" t="str">
        <f>IF(Transactions_RAW_cleaned[[#This Row],[Status]]="Refunded", "Refund",
  IF(Transactions_RAW_cleaned[[#This Row],[Category]]="Payments", IF(Transactions_RAW_cleaned[[#This Row],[Amount]]&gt;500,"High Value","Standard"),
    IF(Transactions_RAW_cleaned[[#This Row],[Amount]]&gt;250,"High Value","Standard")))</f>
        <v>Standard</v>
      </c>
      <c r="Q1876" s="5" t="str">
        <f>IF(Transactions_RAW_cleaned[[#This Row],[Amount]] &gt; (_xlfn.XLOOKUP(Transactions_RAW_cleaned[[#This Row],[ServiceID]],Services_cleaned[ServiceID],Services_cleaned[TransactionFeePct]) * 10000), "Yes", "No")</f>
        <v>No</v>
      </c>
      <c r="R1876" s="5" t="str">
        <f>IF(COUNTIFS($C$2:Transactions_RAW_cleaned[[#This Row],[CustomerID]],Transactions_RAW_cleaned[[#This Row],[CustomerID]],$D$2:Transactions_RAW_cleaned[[#This Row],[ServiceID]],Transactions_RAW_cleaned[[#This Row],[ServiceID]])=1,"Yes","No")</f>
        <v>No</v>
      </c>
      <c r="S187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76" t="str">
        <f>"Q"&amp;ROUNDUP(MONTH(Transactions_RAW_cleaned[[#This Row],[TransactionDate]])/3,0)</f>
        <v>Q2</v>
      </c>
      <c r="U1876" t="str">
        <f>Transactions_RAW_cleaned[[#This Row],[Region ]]&amp;Transactions_RAW_cleaned[[#This Row],[Quarter ]]</f>
        <v>NAQ2</v>
      </c>
      <c r="V1876" s="5">
        <f>_xlfn.XLOOKUP(Transactions_RAW_cleaned[[#This Row],[RegionQuarterKey]], Quarterly_Targets_cleaned[RegionQuarterKey], Quarterly_Targets_cleaned[TargetRevenue])</f>
        <v>260000</v>
      </c>
    </row>
    <row r="1877" spans="1:22" x14ac:dyDescent="0.25">
      <c r="A1877" t="s">
        <v>2212</v>
      </c>
      <c r="B1877" s="1">
        <v>45571</v>
      </c>
      <c r="C1877" t="s">
        <v>123</v>
      </c>
      <c r="D1877" t="s">
        <v>303</v>
      </c>
      <c r="E1877">
        <v>709.61</v>
      </c>
      <c r="F1877" t="s">
        <v>324</v>
      </c>
      <c r="G1877" t="s">
        <v>325</v>
      </c>
      <c r="H1877" t="s">
        <v>334</v>
      </c>
      <c r="I1877" t="s">
        <v>8</v>
      </c>
      <c r="J1877" t="s">
        <v>13</v>
      </c>
      <c r="K1877" t="s">
        <v>32</v>
      </c>
      <c r="L1877" t="s">
        <v>304</v>
      </c>
      <c r="M1877" t="s">
        <v>305</v>
      </c>
      <c r="N1877">
        <v>1E-3</v>
      </c>
      <c r="O1877" t="str">
        <f>IF(Transactions_RAW_cleaned[[#This Row],[Status]]="Completed", IFERROR(_xlfn.XLOOKUP(Transactions_RAW_cleaned[[#This Row],[CustomerID]], Customers_cleaned[CustomerID], Customers_cleaned[Segment]), "Customer Not Found"), "N/A")</f>
        <v>SMB</v>
      </c>
      <c r="P1877" s="5" t="str">
        <f>IF(Transactions_RAW_cleaned[[#This Row],[Status]]="Refunded", "Refund",
  IF(Transactions_RAW_cleaned[[#This Row],[Category]]="Payments", IF(Transactions_RAW_cleaned[[#This Row],[Amount]]&gt;500,"High Value","Standard"),
    IF(Transactions_RAW_cleaned[[#This Row],[Amount]]&gt;250,"High Value","Standard")))</f>
        <v>High Value</v>
      </c>
      <c r="Q1877" s="5" t="str">
        <f>IF(Transactions_RAW_cleaned[[#This Row],[Amount]] &gt; (_xlfn.XLOOKUP(Transactions_RAW_cleaned[[#This Row],[ServiceID]],Services_cleaned[ServiceID],Services_cleaned[TransactionFeePct]) * 10000), "Yes", "No")</f>
        <v>Yes</v>
      </c>
      <c r="R1877" s="5" t="str">
        <f>IF(COUNTIFS($C$2:Transactions_RAW_cleaned[[#This Row],[CustomerID]],Transactions_RAW_cleaned[[#This Row],[CustomerID]],$D$2:Transactions_RAW_cleaned[[#This Row],[ServiceID]],Transactions_RAW_cleaned[[#This Row],[ServiceID]])=1,"Yes","No")</f>
        <v>No</v>
      </c>
      <c r="S187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77" t="str">
        <f>"Q"&amp;ROUNDUP(MONTH(Transactions_RAW_cleaned[[#This Row],[TransactionDate]])/3,0)</f>
        <v>Q4</v>
      </c>
      <c r="U1877" t="str">
        <f>Transactions_RAW_cleaned[[#This Row],[Region ]]&amp;Transactions_RAW_cleaned[[#This Row],[Quarter ]]</f>
        <v>NAQ4</v>
      </c>
      <c r="V1877" s="5">
        <f>_xlfn.XLOOKUP(Transactions_RAW_cleaned[[#This Row],[RegionQuarterKey]], Quarterly_Targets_cleaned[RegionQuarterKey], Quarterly_Targets_cleaned[TargetRevenue])</f>
        <v>299000</v>
      </c>
    </row>
    <row r="1878" spans="1:22" x14ac:dyDescent="0.25">
      <c r="A1878" t="s">
        <v>2213</v>
      </c>
      <c r="B1878" s="1">
        <v>45526</v>
      </c>
      <c r="C1878" t="s">
        <v>19</v>
      </c>
      <c r="D1878" t="s">
        <v>297</v>
      </c>
      <c r="E1878">
        <v>340.91</v>
      </c>
      <c r="F1878" t="s">
        <v>324</v>
      </c>
      <c r="G1878" t="s">
        <v>325</v>
      </c>
      <c r="H1878" t="s">
        <v>332</v>
      </c>
      <c r="I1878" t="s">
        <v>8</v>
      </c>
      <c r="J1878" t="s">
        <v>21</v>
      </c>
      <c r="K1878" t="s">
        <v>22</v>
      </c>
      <c r="L1878" t="s">
        <v>298</v>
      </c>
      <c r="M1878" t="s">
        <v>299</v>
      </c>
      <c r="N1878">
        <v>0</v>
      </c>
      <c r="O1878" t="str">
        <f>IF(Transactions_RAW_cleaned[[#This Row],[Status]]="Completed", IFERROR(_xlfn.XLOOKUP(Transactions_RAW_cleaned[[#This Row],[CustomerID]], Customers_cleaned[CustomerID], Customers_cleaned[Segment]), "Customer Not Found"), "N/A")</f>
        <v>SMB</v>
      </c>
      <c r="P1878" s="5" t="str">
        <f>IF(Transactions_RAW_cleaned[[#This Row],[Status]]="Refunded", "Refund",
  IF(Transactions_RAW_cleaned[[#This Row],[Category]]="Payments", IF(Transactions_RAW_cleaned[[#This Row],[Amount]]&gt;500,"High Value","Standard"),
    IF(Transactions_RAW_cleaned[[#This Row],[Amount]]&gt;250,"High Value","Standard")))</f>
        <v>High Value</v>
      </c>
      <c r="Q1878" s="5" t="str">
        <f>IF(Transactions_RAW_cleaned[[#This Row],[Amount]] &gt; (_xlfn.XLOOKUP(Transactions_RAW_cleaned[[#This Row],[ServiceID]],Services_cleaned[ServiceID],Services_cleaned[TransactionFeePct]) * 10000), "Yes", "No")</f>
        <v>Yes</v>
      </c>
      <c r="R1878" s="5" t="str">
        <f>IF(COUNTIFS($C$2:Transactions_RAW_cleaned[[#This Row],[CustomerID]],Transactions_RAW_cleaned[[#This Row],[CustomerID]],$D$2:Transactions_RAW_cleaned[[#This Row],[ServiceID]],Transactions_RAW_cleaned[[#This Row],[ServiceID]])=1,"Yes","No")</f>
        <v>No</v>
      </c>
      <c r="S187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78" t="str">
        <f>"Q"&amp;ROUNDUP(MONTH(Transactions_RAW_cleaned[[#This Row],[TransactionDate]])/3,0)</f>
        <v>Q3</v>
      </c>
      <c r="U1878" t="str">
        <f>Transactions_RAW_cleaned[[#This Row],[Region ]]&amp;Transactions_RAW_cleaned[[#This Row],[Quarter ]]</f>
        <v>APACQ3</v>
      </c>
      <c r="V1878" s="5">
        <f>_xlfn.XLOOKUP(Transactions_RAW_cleaned[[#This Row],[RegionQuarterKey]], Quarterly_Targets_cleaned[RegionQuarterKey], Quarterly_Targets_cleaned[TargetRevenue])</f>
        <v>115500</v>
      </c>
    </row>
    <row r="1879" spans="1:22" x14ac:dyDescent="0.25">
      <c r="A1879" t="s">
        <v>2214</v>
      </c>
      <c r="B1879" s="1">
        <v>45476</v>
      </c>
      <c r="C1879" t="s">
        <v>151</v>
      </c>
      <c r="D1879" t="s">
        <v>312</v>
      </c>
      <c r="E1879">
        <v>472.81</v>
      </c>
      <c r="F1879" t="s">
        <v>324</v>
      </c>
      <c r="G1879" t="s">
        <v>337</v>
      </c>
      <c r="I1879" t="s">
        <v>8</v>
      </c>
      <c r="J1879" t="s">
        <v>46</v>
      </c>
      <c r="K1879" t="s">
        <v>18</v>
      </c>
      <c r="L1879" t="s">
        <v>313</v>
      </c>
      <c r="M1879" t="s">
        <v>314</v>
      </c>
      <c r="N1879">
        <v>0</v>
      </c>
      <c r="O1879" t="str">
        <f>IF(Transactions_RAW_cleaned[[#This Row],[Status]]="Completed", IFERROR(_xlfn.XLOOKUP(Transactions_RAW_cleaned[[#This Row],[CustomerID]], Customers_cleaned[CustomerID], Customers_cleaned[Segment]), "Customer Not Found"), "N/A")</f>
        <v>SMB</v>
      </c>
      <c r="P1879" s="5" t="str">
        <f>IF(Transactions_RAW_cleaned[[#This Row],[Status]]="Refunded", "Refund",
  IF(Transactions_RAW_cleaned[[#This Row],[Category]]="Payments", IF(Transactions_RAW_cleaned[[#This Row],[Amount]]&gt;500,"High Value","Standard"),
    IF(Transactions_RAW_cleaned[[#This Row],[Amount]]&gt;250,"High Value","Standard")))</f>
        <v>High Value</v>
      </c>
      <c r="Q1879" s="5" t="str">
        <f>IF(Transactions_RAW_cleaned[[#This Row],[Amount]] &gt; (_xlfn.XLOOKUP(Transactions_RAW_cleaned[[#This Row],[ServiceID]],Services_cleaned[ServiceID],Services_cleaned[TransactionFeePct]) * 10000), "Yes", "No")</f>
        <v>Yes</v>
      </c>
      <c r="R1879" s="5" t="str">
        <f>IF(COUNTIFS($C$2:Transactions_RAW_cleaned[[#This Row],[CustomerID]],Transactions_RAW_cleaned[[#This Row],[CustomerID]],$D$2:Transactions_RAW_cleaned[[#This Row],[ServiceID]],Transactions_RAW_cleaned[[#This Row],[ServiceID]])=1,"Yes","No")</f>
        <v>No</v>
      </c>
      <c r="S187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79" t="str">
        <f>"Q"&amp;ROUNDUP(MONTH(Transactions_RAW_cleaned[[#This Row],[TransactionDate]])/3,0)</f>
        <v>Q3</v>
      </c>
      <c r="U1879" t="str">
        <f>Transactions_RAW_cleaned[[#This Row],[Region ]]&amp;Transactions_RAW_cleaned[[#This Row],[Quarter ]]</f>
        <v>APACQ3</v>
      </c>
      <c r="V1879" s="5">
        <f>_xlfn.XLOOKUP(Transactions_RAW_cleaned[[#This Row],[RegionQuarterKey]], Quarterly_Targets_cleaned[RegionQuarterKey], Quarterly_Targets_cleaned[TargetRevenue])</f>
        <v>115500</v>
      </c>
    </row>
    <row r="1880" spans="1:22" x14ac:dyDescent="0.25">
      <c r="A1880" t="s">
        <v>2215</v>
      </c>
      <c r="B1880" s="1">
        <v>45627</v>
      </c>
      <c r="C1880" t="s">
        <v>90</v>
      </c>
      <c r="D1880" t="s">
        <v>306</v>
      </c>
      <c r="E1880">
        <v>584.84</v>
      </c>
      <c r="F1880" t="s">
        <v>324</v>
      </c>
      <c r="G1880" t="s">
        <v>337</v>
      </c>
      <c r="H1880" t="s">
        <v>346</v>
      </c>
      <c r="I1880" t="s">
        <v>8</v>
      </c>
      <c r="J1880" t="s">
        <v>102</v>
      </c>
      <c r="K1880" t="s">
        <v>28</v>
      </c>
      <c r="L1880" t="s">
        <v>307</v>
      </c>
      <c r="M1880" t="s">
        <v>308</v>
      </c>
      <c r="N1880">
        <v>0</v>
      </c>
      <c r="O1880" t="str">
        <f>IF(Transactions_RAW_cleaned[[#This Row],[Status]]="Completed", IFERROR(_xlfn.XLOOKUP(Transactions_RAW_cleaned[[#This Row],[CustomerID]], Customers_cleaned[CustomerID], Customers_cleaned[Segment]), "Customer Not Found"), "N/A")</f>
        <v>SMB</v>
      </c>
      <c r="P1880" s="5" t="str">
        <f>IF(Transactions_RAW_cleaned[[#This Row],[Status]]="Refunded", "Refund",
  IF(Transactions_RAW_cleaned[[#This Row],[Category]]="Payments", IF(Transactions_RAW_cleaned[[#This Row],[Amount]]&gt;500,"High Value","Standard"),
    IF(Transactions_RAW_cleaned[[#This Row],[Amount]]&gt;250,"High Value","Standard")))</f>
        <v>High Value</v>
      </c>
      <c r="Q1880" s="5" t="str">
        <f>IF(Transactions_RAW_cleaned[[#This Row],[Amount]] &gt; (_xlfn.XLOOKUP(Transactions_RAW_cleaned[[#This Row],[ServiceID]],Services_cleaned[ServiceID],Services_cleaned[TransactionFeePct]) * 10000), "Yes", "No")</f>
        <v>Yes</v>
      </c>
      <c r="R1880" s="5" t="str">
        <f>IF(COUNTIFS($C$2:Transactions_RAW_cleaned[[#This Row],[CustomerID]],Transactions_RAW_cleaned[[#This Row],[CustomerID]],$D$2:Transactions_RAW_cleaned[[#This Row],[ServiceID]],Transactions_RAW_cleaned[[#This Row],[ServiceID]])=1,"Yes","No")</f>
        <v>Yes</v>
      </c>
      <c r="S188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80" t="str">
        <f>"Q"&amp;ROUNDUP(MONTH(Transactions_RAW_cleaned[[#This Row],[TransactionDate]])/3,0)</f>
        <v>Q4</v>
      </c>
      <c r="U1880" t="str">
        <f>Transactions_RAW_cleaned[[#This Row],[Region ]]&amp;Transactions_RAW_cleaned[[#This Row],[Quarter ]]</f>
        <v>NAQ4</v>
      </c>
      <c r="V1880" s="5">
        <f>_xlfn.XLOOKUP(Transactions_RAW_cleaned[[#This Row],[RegionQuarterKey]], Quarterly_Targets_cleaned[RegionQuarterKey], Quarterly_Targets_cleaned[TargetRevenue])</f>
        <v>299000</v>
      </c>
    </row>
    <row r="1881" spans="1:22" x14ac:dyDescent="0.25">
      <c r="A1881" t="s">
        <v>2216</v>
      </c>
      <c r="B1881" s="1">
        <v>45609</v>
      </c>
      <c r="C1881" t="s">
        <v>141</v>
      </c>
      <c r="D1881" t="s">
        <v>294</v>
      </c>
      <c r="E1881">
        <v>405.9</v>
      </c>
      <c r="F1881" t="s">
        <v>324</v>
      </c>
      <c r="G1881" t="s">
        <v>327</v>
      </c>
      <c r="I1881" t="s">
        <v>57</v>
      </c>
      <c r="J1881" t="s">
        <v>25</v>
      </c>
      <c r="K1881" t="s">
        <v>10</v>
      </c>
      <c r="L1881" t="s">
        <v>295</v>
      </c>
      <c r="M1881" t="s">
        <v>296</v>
      </c>
      <c r="N1881">
        <v>2.9000000000000001E-2</v>
      </c>
      <c r="O1881" t="str">
        <f>IF(Transactions_RAW_cleaned[[#This Row],[Status]]="Completed", IFERROR(_xlfn.XLOOKUP(Transactions_RAW_cleaned[[#This Row],[CustomerID]], Customers_cleaned[CustomerID], Customers_cleaned[Segment]), "Customer Not Found"), "N/A")</f>
        <v>Startup</v>
      </c>
      <c r="P1881" s="5" t="str">
        <f>IF(Transactions_RAW_cleaned[[#This Row],[Status]]="Refunded", "Refund",
  IF(Transactions_RAW_cleaned[[#This Row],[Category]]="Payments", IF(Transactions_RAW_cleaned[[#This Row],[Amount]]&gt;500,"High Value","Standard"),
    IF(Transactions_RAW_cleaned[[#This Row],[Amount]]&gt;250,"High Value","Standard")))</f>
        <v>Standard</v>
      </c>
      <c r="Q1881" s="5" t="str">
        <f>IF(Transactions_RAW_cleaned[[#This Row],[Amount]] &gt; (_xlfn.XLOOKUP(Transactions_RAW_cleaned[[#This Row],[ServiceID]],Services_cleaned[ServiceID],Services_cleaned[TransactionFeePct]) * 10000), "Yes", "No")</f>
        <v>Yes</v>
      </c>
      <c r="R1881" s="5" t="str">
        <f>IF(COUNTIFS($C$2:Transactions_RAW_cleaned[[#This Row],[CustomerID]],Transactions_RAW_cleaned[[#This Row],[CustomerID]],$D$2:Transactions_RAW_cleaned[[#This Row],[ServiceID]],Transactions_RAW_cleaned[[#This Row],[ServiceID]])=1,"Yes","No")</f>
        <v>No</v>
      </c>
      <c r="S188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81" t="str">
        <f>"Q"&amp;ROUNDUP(MONTH(Transactions_RAW_cleaned[[#This Row],[TransactionDate]])/3,0)</f>
        <v>Q4</v>
      </c>
      <c r="U1881" t="str">
        <f>Transactions_RAW_cleaned[[#This Row],[Region ]]&amp;Transactions_RAW_cleaned[[#This Row],[Quarter ]]</f>
        <v>APACQ4</v>
      </c>
      <c r="V1881" s="5">
        <f>_xlfn.XLOOKUP(Transactions_RAW_cleaned[[#This Row],[RegionQuarterKey]], Quarterly_Targets_cleaned[RegionQuarterKey], Quarterly_Targets_cleaned[TargetRevenue])</f>
        <v>126500</v>
      </c>
    </row>
    <row r="1882" spans="1:22" x14ac:dyDescent="0.25">
      <c r="A1882" t="s">
        <v>2217</v>
      </c>
      <c r="B1882" s="1">
        <v>45441</v>
      </c>
      <c r="C1882" t="s">
        <v>98</v>
      </c>
      <c r="D1882" t="s">
        <v>300</v>
      </c>
      <c r="E1882">
        <v>420.13</v>
      </c>
      <c r="F1882" t="s">
        <v>324</v>
      </c>
      <c r="G1882" t="s">
        <v>337</v>
      </c>
      <c r="H1882" t="s">
        <v>346</v>
      </c>
      <c r="I1882" t="s">
        <v>8</v>
      </c>
      <c r="J1882" t="s">
        <v>37</v>
      </c>
      <c r="K1882" t="s">
        <v>18</v>
      </c>
      <c r="L1882" t="s">
        <v>301</v>
      </c>
      <c r="M1882" t="s">
        <v>302</v>
      </c>
      <c r="N1882">
        <v>5.0000000000000001E-3</v>
      </c>
      <c r="O1882" t="str">
        <f>IF(Transactions_RAW_cleaned[[#This Row],[Status]]="Completed", IFERROR(_xlfn.XLOOKUP(Transactions_RAW_cleaned[[#This Row],[CustomerID]], Customers_cleaned[CustomerID], Customers_cleaned[Segment]), "Customer Not Found"), "N/A")</f>
        <v>SMB</v>
      </c>
      <c r="P1882" s="5" t="str">
        <f>IF(Transactions_RAW_cleaned[[#This Row],[Status]]="Refunded", "Refund",
  IF(Transactions_RAW_cleaned[[#This Row],[Category]]="Payments", IF(Transactions_RAW_cleaned[[#This Row],[Amount]]&gt;500,"High Value","Standard"),
    IF(Transactions_RAW_cleaned[[#This Row],[Amount]]&gt;250,"High Value","Standard")))</f>
        <v>High Value</v>
      </c>
      <c r="Q1882" s="5" t="str">
        <f>IF(Transactions_RAW_cleaned[[#This Row],[Amount]] &gt; (_xlfn.XLOOKUP(Transactions_RAW_cleaned[[#This Row],[ServiceID]],Services_cleaned[ServiceID],Services_cleaned[TransactionFeePct]) * 10000), "Yes", "No")</f>
        <v>Yes</v>
      </c>
      <c r="R1882" s="5" t="str">
        <f>IF(COUNTIFS($C$2:Transactions_RAW_cleaned[[#This Row],[CustomerID]],Transactions_RAW_cleaned[[#This Row],[CustomerID]],$D$2:Transactions_RAW_cleaned[[#This Row],[ServiceID]],Transactions_RAW_cleaned[[#This Row],[ServiceID]])=1,"Yes","No")</f>
        <v>No</v>
      </c>
      <c r="S188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882" t="str">
        <f>"Q"&amp;ROUNDUP(MONTH(Transactions_RAW_cleaned[[#This Row],[TransactionDate]])/3,0)</f>
        <v>Q2</v>
      </c>
      <c r="U1882" t="str">
        <f>Transactions_RAW_cleaned[[#This Row],[Region ]]&amp;Transactions_RAW_cleaned[[#This Row],[Quarter ]]</f>
        <v>EMEAQ2</v>
      </c>
      <c r="V1882" s="5">
        <f>_xlfn.XLOOKUP(Transactions_RAW_cleaned[[#This Row],[RegionQuarterKey]], Quarterly_Targets_cleaned[RegionQuarterKey], Quarterly_Targets_cleaned[TargetRevenue])</f>
        <v>140000</v>
      </c>
    </row>
    <row r="1883" spans="1:22" x14ac:dyDescent="0.25">
      <c r="A1883" t="s">
        <v>2218</v>
      </c>
      <c r="B1883" s="1">
        <v>45508</v>
      </c>
      <c r="C1883" t="s">
        <v>255</v>
      </c>
      <c r="D1883" t="s">
        <v>294</v>
      </c>
      <c r="E1883">
        <v>412.09</v>
      </c>
      <c r="F1883" t="s">
        <v>324</v>
      </c>
      <c r="G1883" t="s">
        <v>325</v>
      </c>
      <c r="H1883" t="s">
        <v>334</v>
      </c>
      <c r="I1883" t="s">
        <v>17</v>
      </c>
      <c r="J1883" t="s">
        <v>21</v>
      </c>
      <c r="K1883" t="s">
        <v>28</v>
      </c>
      <c r="L1883" t="s">
        <v>295</v>
      </c>
      <c r="M1883" t="s">
        <v>296</v>
      </c>
      <c r="N1883">
        <v>2.9000000000000001E-2</v>
      </c>
      <c r="O1883" t="str">
        <f>IF(Transactions_RAW_cleaned[[#This Row],[Status]]="Completed", IFERROR(_xlfn.XLOOKUP(Transactions_RAW_cleaned[[#This Row],[CustomerID]], Customers_cleaned[CustomerID], Customers_cleaned[Segment]), "Customer Not Found"), "N/A")</f>
        <v>Enterprise</v>
      </c>
      <c r="P1883" s="5" t="str">
        <f>IF(Transactions_RAW_cleaned[[#This Row],[Status]]="Refunded", "Refund",
  IF(Transactions_RAW_cleaned[[#This Row],[Category]]="Payments", IF(Transactions_RAW_cleaned[[#This Row],[Amount]]&gt;500,"High Value","Standard"),
    IF(Transactions_RAW_cleaned[[#This Row],[Amount]]&gt;250,"High Value","Standard")))</f>
        <v>Standard</v>
      </c>
      <c r="Q1883" s="5" t="str">
        <f>IF(Transactions_RAW_cleaned[[#This Row],[Amount]] &gt; (_xlfn.XLOOKUP(Transactions_RAW_cleaned[[#This Row],[ServiceID]],Services_cleaned[ServiceID],Services_cleaned[TransactionFeePct]) * 10000), "Yes", "No")</f>
        <v>Yes</v>
      </c>
      <c r="R1883" s="5" t="str">
        <f>IF(COUNTIFS($C$2:Transactions_RAW_cleaned[[#This Row],[CustomerID]],Transactions_RAW_cleaned[[#This Row],[CustomerID]],$D$2:Transactions_RAW_cleaned[[#This Row],[ServiceID]],Transactions_RAW_cleaned[[#This Row],[ServiceID]])=1,"Yes","No")</f>
        <v>No</v>
      </c>
      <c r="S188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83" t="str">
        <f>"Q"&amp;ROUNDUP(MONTH(Transactions_RAW_cleaned[[#This Row],[TransactionDate]])/3,0)</f>
        <v>Q3</v>
      </c>
      <c r="U1883" t="str">
        <f>Transactions_RAW_cleaned[[#This Row],[Region ]]&amp;Transactions_RAW_cleaned[[#This Row],[Quarter ]]</f>
        <v>APACQ3</v>
      </c>
      <c r="V1883" s="5">
        <f>_xlfn.XLOOKUP(Transactions_RAW_cleaned[[#This Row],[RegionQuarterKey]], Quarterly_Targets_cleaned[RegionQuarterKey], Quarterly_Targets_cleaned[TargetRevenue])</f>
        <v>115500</v>
      </c>
    </row>
    <row r="1884" spans="1:22" x14ac:dyDescent="0.25">
      <c r="A1884" t="s">
        <v>2219</v>
      </c>
      <c r="B1884" s="1">
        <v>45648</v>
      </c>
      <c r="C1884" t="s">
        <v>203</v>
      </c>
      <c r="D1884" t="s">
        <v>294</v>
      </c>
      <c r="E1884">
        <v>924.01</v>
      </c>
      <c r="F1884" t="s">
        <v>324</v>
      </c>
      <c r="G1884" t="s">
        <v>325</v>
      </c>
      <c r="I1884" t="s">
        <v>57</v>
      </c>
      <c r="J1884" t="s">
        <v>21</v>
      </c>
      <c r="K1884" t="s">
        <v>14</v>
      </c>
      <c r="L1884" t="s">
        <v>295</v>
      </c>
      <c r="M1884" t="s">
        <v>296</v>
      </c>
      <c r="N1884">
        <v>2.9000000000000001E-2</v>
      </c>
      <c r="O1884" t="str">
        <f>IF(Transactions_RAW_cleaned[[#This Row],[Status]]="Completed", IFERROR(_xlfn.XLOOKUP(Transactions_RAW_cleaned[[#This Row],[CustomerID]], Customers_cleaned[CustomerID], Customers_cleaned[Segment]), "Customer Not Found"), "N/A")</f>
        <v>Startup</v>
      </c>
      <c r="P1884" s="5" t="str">
        <f>IF(Transactions_RAW_cleaned[[#This Row],[Status]]="Refunded", "Refund",
  IF(Transactions_RAW_cleaned[[#This Row],[Category]]="Payments", IF(Transactions_RAW_cleaned[[#This Row],[Amount]]&gt;500,"High Value","Standard"),
    IF(Transactions_RAW_cleaned[[#This Row],[Amount]]&gt;250,"High Value","Standard")))</f>
        <v>High Value</v>
      </c>
      <c r="Q1884" s="5" t="str">
        <f>IF(Transactions_RAW_cleaned[[#This Row],[Amount]] &gt; (_xlfn.XLOOKUP(Transactions_RAW_cleaned[[#This Row],[ServiceID]],Services_cleaned[ServiceID],Services_cleaned[TransactionFeePct]) * 10000), "Yes", "No")</f>
        <v>Yes</v>
      </c>
      <c r="R1884" s="5" t="str">
        <f>IF(COUNTIFS($C$2:Transactions_RAW_cleaned[[#This Row],[CustomerID]],Transactions_RAW_cleaned[[#This Row],[CustomerID]],$D$2:Transactions_RAW_cleaned[[#This Row],[ServiceID]],Transactions_RAW_cleaned[[#This Row],[ServiceID]])=1,"Yes","No")</f>
        <v>No</v>
      </c>
      <c r="S188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84" t="str">
        <f>"Q"&amp;ROUNDUP(MONTH(Transactions_RAW_cleaned[[#This Row],[TransactionDate]])/3,0)</f>
        <v>Q4</v>
      </c>
      <c r="U1884" t="str">
        <f>Transactions_RAW_cleaned[[#This Row],[Region ]]&amp;Transactions_RAW_cleaned[[#This Row],[Quarter ]]</f>
        <v>APACQ4</v>
      </c>
      <c r="V1884" s="5">
        <f>_xlfn.XLOOKUP(Transactions_RAW_cleaned[[#This Row],[RegionQuarterKey]], Quarterly_Targets_cleaned[RegionQuarterKey], Quarterly_Targets_cleaned[TargetRevenue])</f>
        <v>126500</v>
      </c>
    </row>
    <row r="1885" spans="1:22" x14ac:dyDescent="0.25">
      <c r="A1885" t="s">
        <v>2220</v>
      </c>
      <c r="B1885" s="1">
        <v>45528</v>
      </c>
      <c r="C1885" t="s">
        <v>165</v>
      </c>
      <c r="D1885" t="s">
        <v>294</v>
      </c>
      <c r="E1885">
        <v>254.71</v>
      </c>
      <c r="F1885" t="s">
        <v>324</v>
      </c>
      <c r="G1885" t="s">
        <v>327</v>
      </c>
      <c r="H1885" t="s">
        <v>334</v>
      </c>
      <c r="I1885" t="s">
        <v>8</v>
      </c>
      <c r="J1885" t="s">
        <v>31</v>
      </c>
      <c r="K1885" t="s">
        <v>32</v>
      </c>
      <c r="L1885" t="s">
        <v>295</v>
      </c>
      <c r="M1885" t="s">
        <v>296</v>
      </c>
      <c r="N1885">
        <v>2.9000000000000001E-2</v>
      </c>
      <c r="O1885" t="str">
        <f>IF(Transactions_RAW_cleaned[[#This Row],[Status]]="Completed", IFERROR(_xlfn.XLOOKUP(Transactions_RAW_cleaned[[#This Row],[CustomerID]], Customers_cleaned[CustomerID], Customers_cleaned[Segment]), "Customer Not Found"), "N/A")</f>
        <v>SMB</v>
      </c>
      <c r="P1885" s="5" t="str">
        <f>IF(Transactions_RAW_cleaned[[#This Row],[Status]]="Refunded", "Refund",
  IF(Transactions_RAW_cleaned[[#This Row],[Category]]="Payments", IF(Transactions_RAW_cleaned[[#This Row],[Amount]]&gt;500,"High Value","Standard"),
    IF(Transactions_RAW_cleaned[[#This Row],[Amount]]&gt;250,"High Value","Standard")))</f>
        <v>Standard</v>
      </c>
      <c r="Q1885" s="5" t="str">
        <f>IF(Transactions_RAW_cleaned[[#This Row],[Amount]] &gt; (_xlfn.XLOOKUP(Transactions_RAW_cleaned[[#This Row],[ServiceID]],Services_cleaned[ServiceID],Services_cleaned[TransactionFeePct]) * 10000), "Yes", "No")</f>
        <v>No</v>
      </c>
      <c r="R1885" s="5" t="str">
        <f>IF(COUNTIFS($C$2:Transactions_RAW_cleaned[[#This Row],[CustomerID]],Transactions_RAW_cleaned[[#This Row],[CustomerID]],$D$2:Transactions_RAW_cleaned[[#This Row],[ServiceID]],Transactions_RAW_cleaned[[#This Row],[ServiceID]])=1,"Yes","No")</f>
        <v>No</v>
      </c>
      <c r="S188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885" t="str">
        <f>"Q"&amp;ROUNDUP(MONTH(Transactions_RAW_cleaned[[#This Row],[TransactionDate]])/3,0)</f>
        <v>Q3</v>
      </c>
      <c r="U1885" t="str">
        <f>Transactions_RAW_cleaned[[#This Row],[Region ]]&amp;Transactions_RAW_cleaned[[#This Row],[Quarter ]]</f>
        <v>EMEAQ3</v>
      </c>
      <c r="V1885" s="5">
        <f>_xlfn.XLOOKUP(Transactions_RAW_cleaned[[#This Row],[RegionQuarterKey]], Quarterly_Targets_cleaned[RegionQuarterKey], Quarterly_Targets_cleaned[TargetRevenue])</f>
        <v>147000</v>
      </c>
    </row>
    <row r="1886" spans="1:22" x14ac:dyDescent="0.25">
      <c r="A1886" t="s">
        <v>2221</v>
      </c>
      <c r="B1886" s="1">
        <v>45579</v>
      </c>
      <c r="C1886" t="s">
        <v>275</v>
      </c>
      <c r="D1886" t="s">
        <v>306</v>
      </c>
      <c r="E1886">
        <v>300.04000000000002</v>
      </c>
      <c r="F1886" t="s">
        <v>324</v>
      </c>
      <c r="G1886" t="s">
        <v>325</v>
      </c>
      <c r="H1886" t="s">
        <v>334</v>
      </c>
      <c r="I1886" t="s">
        <v>57</v>
      </c>
      <c r="J1886" t="s">
        <v>13</v>
      </c>
      <c r="K1886" t="s">
        <v>22</v>
      </c>
      <c r="L1886" t="s">
        <v>307</v>
      </c>
      <c r="M1886" t="s">
        <v>308</v>
      </c>
      <c r="N1886">
        <v>0</v>
      </c>
      <c r="O1886" t="str">
        <f>IF(Transactions_RAW_cleaned[[#This Row],[Status]]="Completed", IFERROR(_xlfn.XLOOKUP(Transactions_RAW_cleaned[[#This Row],[CustomerID]], Customers_cleaned[CustomerID], Customers_cleaned[Segment]), "Customer Not Found"), "N/A")</f>
        <v>Startup</v>
      </c>
      <c r="P1886" s="5" t="str">
        <f>IF(Transactions_RAW_cleaned[[#This Row],[Status]]="Refunded", "Refund",
  IF(Transactions_RAW_cleaned[[#This Row],[Category]]="Payments", IF(Transactions_RAW_cleaned[[#This Row],[Amount]]&gt;500,"High Value","Standard"),
    IF(Transactions_RAW_cleaned[[#This Row],[Amount]]&gt;250,"High Value","Standard")))</f>
        <v>High Value</v>
      </c>
      <c r="Q1886" s="5" t="str">
        <f>IF(Transactions_RAW_cleaned[[#This Row],[Amount]] &gt; (_xlfn.XLOOKUP(Transactions_RAW_cleaned[[#This Row],[ServiceID]],Services_cleaned[ServiceID],Services_cleaned[TransactionFeePct]) * 10000), "Yes", "No")</f>
        <v>Yes</v>
      </c>
      <c r="R1886" s="5" t="str">
        <f>IF(COUNTIFS($C$2:Transactions_RAW_cleaned[[#This Row],[CustomerID]],Transactions_RAW_cleaned[[#This Row],[CustomerID]],$D$2:Transactions_RAW_cleaned[[#This Row],[ServiceID]],Transactions_RAW_cleaned[[#This Row],[ServiceID]])=1,"Yes","No")</f>
        <v>Yes</v>
      </c>
      <c r="S188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86" t="str">
        <f>"Q"&amp;ROUNDUP(MONTH(Transactions_RAW_cleaned[[#This Row],[TransactionDate]])/3,0)</f>
        <v>Q4</v>
      </c>
      <c r="U1886" t="str">
        <f>Transactions_RAW_cleaned[[#This Row],[Region ]]&amp;Transactions_RAW_cleaned[[#This Row],[Quarter ]]</f>
        <v>NAQ4</v>
      </c>
      <c r="V1886" s="5">
        <f>_xlfn.XLOOKUP(Transactions_RAW_cleaned[[#This Row],[RegionQuarterKey]], Quarterly_Targets_cleaned[RegionQuarterKey], Quarterly_Targets_cleaned[TargetRevenue])</f>
        <v>299000</v>
      </c>
    </row>
    <row r="1887" spans="1:22" x14ac:dyDescent="0.25">
      <c r="A1887" t="s">
        <v>2222</v>
      </c>
      <c r="B1887" s="1">
        <v>45308</v>
      </c>
      <c r="C1887" t="s">
        <v>88</v>
      </c>
      <c r="D1887" t="s">
        <v>294</v>
      </c>
      <c r="E1887">
        <v>200.77</v>
      </c>
      <c r="F1887" t="s">
        <v>324</v>
      </c>
      <c r="G1887" t="s">
        <v>327</v>
      </c>
      <c r="H1887" t="s">
        <v>334</v>
      </c>
      <c r="I1887" t="s">
        <v>8</v>
      </c>
      <c r="J1887" t="s">
        <v>102</v>
      </c>
      <c r="K1887" t="s">
        <v>18</v>
      </c>
      <c r="L1887" t="s">
        <v>295</v>
      </c>
      <c r="M1887" t="s">
        <v>296</v>
      </c>
      <c r="N1887">
        <v>2.9000000000000001E-2</v>
      </c>
      <c r="O1887" t="str">
        <f>IF(Transactions_RAW_cleaned[[#This Row],[Status]]="Completed", IFERROR(_xlfn.XLOOKUP(Transactions_RAW_cleaned[[#This Row],[CustomerID]], Customers_cleaned[CustomerID], Customers_cleaned[Segment]), "Customer Not Found"), "N/A")</f>
        <v>SMB</v>
      </c>
      <c r="P1887" s="5" t="str">
        <f>IF(Transactions_RAW_cleaned[[#This Row],[Status]]="Refunded", "Refund",
  IF(Transactions_RAW_cleaned[[#This Row],[Category]]="Payments", IF(Transactions_RAW_cleaned[[#This Row],[Amount]]&gt;500,"High Value","Standard"),
    IF(Transactions_RAW_cleaned[[#This Row],[Amount]]&gt;250,"High Value","Standard")))</f>
        <v>Standard</v>
      </c>
      <c r="Q1887" s="5" t="str">
        <f>IF(Transactions_RAW_cleaned[[#This Row],[Amount]] &gt; (_xlfn.XLOOKUP(Transactions_RAW_cleaned[[#This Row],[ServiceID]],Services_cleaned[ServiceID],Services_cleaned[TransactionFeePct]) * 10000), "Yes", "No")</f>
        <v>No</v>
      </c>
      <c r="R1887" s="5" t="str">
        <f>IF(COUNTIFS($C$2:Transactions_RAW_cleaned[[#This Row],[CustomerID]],Transactions_RAW_cleaned[[#This Row],[CustomerID]],$D$2:Transactions_RAW_cleaned[[#This Row],[ServiceID]],Transactions_RAW_cleaned[[#This Row],[ServiceID]])=1,"Yes","No")</f>
        <v>No</v>
      </c>
      <c r="S188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87" t="str">
        <f>"Q"&amp;ROUNDUP(MONTH(Transactions_RAW_cleaned[[#This Row],[TransactionDate]])/3,0)</f>
        <v>Q1</v>
      </c>
      <c r="U1887" t="str">
        <f>Transactions_RAW_cleaned[[#This Row],[Region ]]&amp;Transactions_RAW_cleaned[[#This Row],[Quarter ]]</f>
        <v>NAQ1</v>
      </c>
      <c r="V1887" s="5">
        <f>_xlfn.XLOOKUP(Transactions_RAW_cleaned[[#This Row],[RegionQuarterKey]], Quarterly_Targets_cleaned[RegionQuarterKey], Quarterly_Targets_cleaned[TargetRevenue])</f>
        <v>247000</v>
      </c>
    </row>
    <row r="1888" spans="1:22" x14ac:dyDescent="0.25">
      <c r="A1888" t="s">
        <v>2223</v>
      </c>
      <c r="B1888" s="1">
        <v>45378</v>
      </c>
      <c r="C1888" t="s">
        <v>84</v>
      </c>
      <c r="D1888" t="s">
        <v>306</v>
      </c>
      <c r="E1888">
        <v>64.22</v>
      </c>
      <c r="F1888" t="s">
        <v>324</v>
      </c>
      <c r="G1888" t="s">
        <v>337</v>
      </c>
      <c r="H1888" t="s">
        <v>334</v>
      </c>
      <c r="I1888" t="s">
        <v>8</v>
      </c>
      <c r="J1888" t="s">
        <v>46</v>
      </c>
      <c r="K1888" t="s">
        <v>28</v>
      </c>
      <c r="L1888" t="s">
        <v>307</v>
      </c>
      <c r="M1888" t="s">
        <v>308</v>
      </c>
      <c r="N1888">
        <v>0</v>
      </c>
      <c r="O1888" t="str">
        <f>IF(Transactions_RAW_cleaned[[#This Row],[Status]]="Completed", IFERROR(_xlfn.XLOOKUP(Transactions_RAW_cleaned[[#This Row],[CustomerID]], Customers_cleaned[CustomerID], Customers_cleaned[Segment]), "Customer Not Found"), "N/A")</f>
        <v>SMB</v>
      </c>
      <c r="P1888" s="5" t="str">
        <f>IF(Transactions_RAW_cleaned[[#This Row],[Status]]="Refunded", "Refund",
  IF(Transactions_RAW_cleaned[[#This Row],[Category]]="Payments", IF(Transactions_RAW_cleaned[[#This Row],[Amount]]&gt;500,"High Value","Standard"),
    IF(Transactions_RAW_cleaned[[#This Row],[Amount]]&gt;250,"High Value","Standard")))</f>
        <v>Standard</v>
      </c>
      <c r="Q1888" s="5" t="str">
        <f>IF(Transactions_RAW_cleaned[[#This Row],[Amount]] &gt; (_xlfn.XLOOKUP(Transactions_RAW_cleaned[[#This Row],[ServiceID]],Services_cleaned[ServiceID],Services_cleaned[TransactionFeePct]) * 10000), "Yes", "No")</f>
        <v>Yes</v>
      </c>
      <c r="R1888" s="5" t="str">
        <f>IF(COUNTIFS($C$2:Transactions_RAW_cleaned[[#This Row],[CustomerID]],Transactions_RAW_cleaned[[#This Row],[CustomerID]],$D$2:Transactions_RAW_cleaned[[#This Row],[ServiceID]],Transactions_RAW_cleaned[[#This Row],[ServiceID]])=1,"Yes","No")</f>
        <v>No</v>
      </c>
      <c r="S188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88" t="str">
        <f>"Q"&amp;ROUNDUP(MONTH(Transactions_RAW_cleaned[[#This Row],[TransactionDate]])/3,0)</f>
        <v>Q1</v>
      </c>
      <c r="U1888" t="str">
        <f>Transactions_RAW_cleaned[[#This Row],[Region ]]&amp;Transactions_RAW_cleaned[[#This Row],[Quarter ]]</f>
        <v>APACQ1</v>
      </c>
      <c r="V1888" s="5">
        <f>_xlfn.XLOOKUP(Transactions_RAW_cleaned[[#This Row],[RegionQuarterKey]], Quarterly_Targets_cleaned[RegionQuarterKey], Quarterly_Targets_cleaned[TargetRevenue])</f>
        <v>104500</v>
      </c>
    </row>
    <row r="1889" spans="1:22" x14ac:dyDescent="0.25">
      <c r="A1889" t="s">
        <v>2224</v>
      </c>
      <c r="B1889" s="1">
        <v>45478</v>
      </c>
      <c r="C1889" t="s">
        <v>19</v>
      </c>
      <c r="D1889" t="s">
        <v>297</v>
      </c>
      <c r="E1889">
        <v>356.25</v>
      </c>
      <c r="F1889" t="s">
        <v>324</v>
      </c>
      <c r="G1889" t="s">
        <v>327</v>
      </c>
      <c r="I1889" t="s">
        <v>8</v>
      </c>
      <c r="J1889" t="s">
        <v>21</v>
      </c>
      <c r="K1889" t="s">
        <v>22</v>
      </c>
      <c r="L1889" t="s">
        <v>298</v>
      </c>
      <c r="M1889" t="s">
        <v>299</v>
      </c>
      <c r="N1889">
        <v>0</v>
      </c>
      <c r="O1889" t="str">
        <f>IF(Transactions_RAW_cleaned[[#This Row],[Status]]="Completed", IFERROR(_xlfn.XLOOKUP(Transactions_RAW_cleaned[[#This Row],[CustomerID]], Customers_cleaned[CustomerID], Customers_cleaned[Segment]), "Customer Not Found"), "N/A")</f>
        <v>SMB</v>
      </c>
      <c r="P1889" s="5" t="str">
        <f>IF(Transactions_RAW_cleaned[[#This Row],[Status]]="Refunded", "Refund",
  IF(Transactions_RAW_cleaned[[#This Row],[Category]]="Payments", IF(Transactions_RAW_cleaned[[#This Row],[Amount]]&gt;500,"High Value","Standard"),
    IF(Transactions_RAW_cleaned[[#This Row],[Amount]]&gt;250,"High Value","Standard")))</f>
        <v>High Value</v>
      </c>
      <c r="Q1889" s="5" t="str">
        <f>IF(Transactions_RAW_cleaned[[#This Row],[Amount]] &gt; (_xlfn.XLOOKUP(Transactions_RAW_cleaned[[#This Row],[ServiceID]],Services_cleaned[ServiceID],Services_cleaned[TransactionFeePct]) * 10000), "Yes", "No")</f>
        <v>Yes</v>
      </c>
      <c r="R1889" s="5" t="str">
        <f>IF(COUNTIFS($C$2:Transactions_RAW_cleaned[[#This Row],[CustomerID]],Transactions_RAW_cleaned[[#This Row],[CustomerID]],$D$2:Transactions_RAW_cleaned[[#This Row],[ServiceID]],Transactions_RAW_cleaned[[#This Row],[ServiceID]])=1,"Yes","No")</f>
        <v>No</v>
      </c>
      <c r="S188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89" t="str">
        <f>"Q"&amp;ROUNDUP(MONTH(Transactions_RAW_cleaned[[#This Row],[TransactionDate]])/3,0)</f>
        <v>Q3</v>
      </c>
      <c r="U1889" t="str">
        <f>Transactions_RAW_cleaned[[#This Row],[Region ]]&amp;Transactions_RAW_cleaned[[#This Row],[Quarter ]]</f>
        <v>APACQ3</v>
      </c>
      <c r="V1889" s="5">
        <f>_xlfn.XLOOKUP(Transactions_RAW_cleaned[[#This Row],[RegionQuarterKey]], Quarterly_Targets_cleaned[RegionQuarterKey], Quarterly_Targets_cleaned[TargetRevenue])</f>
        <v>115500</v>
      </c>
    </row>
    <row r="1890" spans="1:22" x14ac:dyDescent="0.25">
      <c r="A1890" t="s">
        <v>2225</v>
      </c>
      <c r="B1890" s="1">
        <v>45597</v>
      </c>
      <c r="C1890" t="s">
        <v>40</v>
      </c>
      <c r="D1890" t="s">
        <v>294</v>
      </c>
      <c r="E1890">
        <v>152.15</v>
      </c>
      <c r="F1890" t="s">
        <v>381</v>
      </c>
      <c r="G1890" t="s">
        <v>327</v>
      </c>
      <c r="H1890" t="s">
        <v>334</v>
      </c>
      <c r="I1890" t="s">
        <v>17</v>
      </c>
      <c r="J1890" t="s">
        <v>102</v>
      </c>
      <c r="K1890" t="s">
        <v>14</v>
      </c>
      <c r="L1890" t="s">
        <v>295</v>
      </c>
      <c r="M1890" t="s">
        <v>296</v>
      </c>
      <c r="N1890">
        <v>2.9000000000000001E-2</v>
      </c>
      <c r="O1890" t="str">
        <f>IF(Transactions_RAW_cleaned[[#This Row],[Status]]="Completed", IFERROR(_xlfn.XLOOKUP(Transactions_RAW_cleaned[[#This Row],[CustomerID]], Customers_cleaned[CustomerID], Customers_cleaned[Segment]), "Customer Not Found"), "N/A")</f>
        <v>N/A</v>
      </c>
      <c r="P1890" s="5" t="str">
        <f>IF(Transactions_RAW_cleaned[[#This Row],[Status]]="Refunded", "Refund",
  IF(Transactions_RAW_cleaned[[#This Row],[Category]]="Payments", IF(Transactions_RAW_cleaned[[#This Row],[Amount]]&gt;500,"High Value","Standard"),
    IF(Transactions_RAW_cleaned[[#This Row],[Amount]]&gt;250,"High Value","Standard")))</f>
        <v>Standard</v>
      </c>
      <c r="Q1890" s="5" t="str">
        <f>IF(Transactions_RAW_cleaned[[#This Row],[Amount]] &gt; (_xlfn.XLOOKUP(Transactions_RAW_cleaned[[#This Row],[ServiceID]],Services_cleaned[ServiceID],Services_cleaned[TransactionFeePct]) * 10000), "Yes", "No")</f>
        <v>No</v>
      </c>
      <c r="R1890" s="5" t="str">
        <f>IF(COUNTIFS($C$2:Transactions_RAW_cleaned[[#This Row],[CustomerID]],Transactions_RAW_cleaned[[#This Row],[CustomerID]],$D$2:Transactions_RAW_cleaned[[#This Row],[ServiceID]],Transactions_RAW_cleaned[[#This Row],[ServiceID]])=1,"Yes","No")</f>
        <v>No</v>
      </c>
      <c r="S189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90" t="str">
        <f>"Q"&amp;ROUNDUP(MONTH(Transactions_RAW_cleaned[[#This Row],[TransactionDate]])/3,0)</f>
        <v>Q4</v>
      </c>
      <c r="U1890" t="str">
        <f>Transactions_RAW_cleaned[[#This Row],[Region ]]&amp;Transactions_RAW_cleaned[[#This Row],[Quarter ]]</f>
        <v>NAQ4</v>
      </c>
      <c r="V1890" s="5">
        <f>_xlfn.XLOOKUP(Transactions_RAW_cleaned[[#This Row],[RegionQuarterKey]], Quarterly_Targets_cleaned[RegionQuarterKey], Quarterly_Targets_cleaned[TargetRevenue])</f>
        <v>299000</v>
      </c>
    </row>
    <row r="1891" spans="1:22" x14ac:dyDescent="0.25">
      <c r="A1891" t="s">
        <v>2226</v>
      </c>
      <c r="B1891" s="1">
        <v>45572</v>
      </c>
      <c r="C1891" t="s">
        <v>267</v>
      </c>
      <c r="D1891" t="s">
        <v>294</v>
      </c>
      <c r="E1891">
        <v>454.37</v>
      </c>
      <c r="F1891" t="s">
        <v>324</v>
      </c>
      <c r="G1891" t="s">
        <v>325</v>
      </c>
      <c r="I1891" t="s">
        <v>8</v>
      </c>
      <c r="J1891" t="s">
        <v>102</v>
      </c>
      <c r="K1891" t="s">
        <v>22</v>
      </c>
      <c r="L1891" t="s">
        <v>295</v>
      </c>
      <c r="M1891" t="s">
        <v>296</v>
      </c>
      <c r="N1891">
        <v>2.9000000000000001E-2</v>
      </c>
      <c r="O1891" t="str">
        <f>IF(Transactions_RAW_cleaned[[#This Row],[Status]]="Completed", IFERROR(_xlfn.XLOOKUP(Transactions_RAW_cleaned[[#This Row],[CustomerID]], Customers_cleaned[CustomerID], Customers_cleaned[Segment]), "Customer Not Found"), "N/A")</f>
        <v>SMB</v>
      </c>
      <c r="P1891" s="5" t="str">
        <f>IF(Transactions_RAW_cleaned[[#This Row],[Status]]="Refunded", "Refund",
  IF(Transactions_RAW_cleaned[[#This Row],[Category]]="Payments", IF(Transactions_RAW_cleaned[[#This Row],[Amount]]&gt;500,"High Value","Standard"),
    IF(Transactions_RAW_cleaned[[#This Row],[Amount]]&gt;250,"High Value","Standard")))</f>
        <v>Standard</v>
      </c>
      <c r="Q1891" s="5" t="str">
        <f>IF(Transactions_RAW_cleaned[[#This Row],[Amount]] &gt; (_xlfn.XLOOKUP(Transactions_RAW_cleaned[[#This Row],[ServiceID]],Services_cleaned[ServiceID],Services_cleaned[TransactionFeePct]) * 10000), "Yes", "No")</f>
        <v>Yes</v>
      </c>
      <c r="R1891" s="5" t="str">
        <f>IF(COUNTIFS($C$2:Transactions_RAW_cleaned[[#This Row],[CustomerID]],Transactions_RAW_cleaned[[#This Row],[CustomerID]],$D$2:Transactions_RAW_cleaned[[#This Row],[ServiceID]],Transactions_RAW_cleaned[[#This Row],[ServiceID]])=1,"Yes","No")</f>
        <v>No</v>
      </c>
      <c r="S189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91" t="str">
        <f>"Q"&amp;ROUNDUP(MONTH(Transactions_RAW_cleaned[[#This Row],[TransactionDate]])/3,0)</f>
        <v>Q4</v>
      </c>
      <c r="U1891" t="str">
        <f>Transactions_RAW_cleaned[[#This Row],[Region ]]&amp;Transactions_RAW_cleaned[[#This Row],[Quarter ]]</f>
        <v>NAQ4</v>
      </c>
      <c r="V1891" s="5">
        <f>_xlfn.XLOOKUP(Transactions_RAW_cleaned[[#This Row],[RegionQuarterKey]], Quarterly_Targets_cleaned[RegionQuarterKey], Quarterly_Targets_cleaned[TargetRevenue])</f>
        <v>299000</v>
      </c>
    </row>
    <row r="1892" spans="1:22" x14ac:dyDescent="0.25">
      <c r="A1892" t="s">
        <v>2227</v>
      </c>
      <c r="B1892" s="1">
        <v>45606</v>
      </c>
      <c r="C1892" t="s">
        <v>76</v>
      </c>
      <c r="D1892" t="s">
        <v>294</v>
      </c>
      <c r="E1892">
        <v>531.79999999999995</v>
      </c>
      <c r="F1892" t="s">
        <v>324</v>
      </c>
      <c r="G1892" t="s">
        <v>327</v>
      </c>
      <c r="H1892" t="s">
        <v>332</v>
      </c>
      <c r="I1892" t="s">
        <v>17</v>
      </c>
      <c r="J1892" t="s">
        <v>13</v>
      </c>
      <c r="K1892" t="s">
        <v>18</v>
      </c>
      <c r="L1892" t="s">
        <v>295</v>
      </c>
      <c r="M1892" t="s">
        <v>296</v>
      </c>
      <c r="N1892">
        <v>2.9000000000000001E-2</v>
      </c>
      <c r="O1892" t="str">
        <f>IF(Transactions_RAW_cleaned[[#This Row],[Status]]="Completed", IFERROR(_xlfn.XLOOKUP(Transactions_RAW_cleaned[[#This Row],[CustomerID]], Customers_cleaned[CustomerID], Customers_cleaned[Segment]), "Customer Not Found"), "N/A")</f>
        <v>Enterprise</v>
      </c>
      <c r="P1892" s="5" t="str">
        <f>IF(Transactions_RAW_cleaned[[#This Row],[Status]]="Refunded", "Refund",
  IF(Transactions_RAW_cleaned[[#This Row],[Category]]="Payments", IF(Transactions_RAW_cleaned[[#This Row],[Amount]]&gt;500,"High Value","Standard"),
    IF(Transactions_RAW_cleaned[[#This Row],[Amount]]&gt;250,"High Value","Standard")))</f>
        <v>High Value</v>
      </c>
      <c r="Q1892" s="5" t="str">
        <f>IF(Transactions_RAW_cleaned[[#This Row],[Amount]] &gt; (_xlfn.XLOOKUP(Transactions_RAW_cleaned[[#This Row],[ServiceID]],Services_cleaned[ServiceID],Services_cleaned[TransactionFeePct]) * 10000), "Yes", "No")</f>
        <v>Yes</v>
      </c>
      <c r="R1892" s="5" t="str">
        <f>IF(COUNTIFS($C$2:Transactions_RAW_cleaned[[#This Row],[CustomerID]],Transactions_RAW_cleaned[[#This Row],[CustomerID]],$D$2:Transactions_RAW_cleaned[[#This Row],[ServiceID]],Transactions_RAW_cleaned[[#This Row],[ServiceID]])=1,"Yes","No")</f>
        <v>No</v>
      </c>
      <c r="S189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92" t="str">
        <f>"Q"&amp;ROUNDUP(MONTH(Transactions_RAW_cleaned[[#This Row],[TransactionDate]])/3,0)</f>
        <v>Q4</v>
      </c>
      <c r="U1892" t="str">
        <f>Transactions_RAW_cleaned[[#This Row],[Region ]]&amp;Transactions_RAW_cleaned[[#This Row],[Quarter ]]</f>
        <v>NAQ4</v>
      </c>
      <c r="V1892" s="5">
        <f>_xlfn.XLOOKUP(Transactions_RAW_cleaned[[#This Row],[RegionQuarterKey]], Quarterly_Targets_cleaned[RegionQuarterKey], Quarterly_Targets_cleaned[TargetRevenue])</f>
        <v>299000</v>
      </c>
    </row>
    <row r="1893" spans="1:22" x14ac:dyDescent="0.25">
      <c r="A1893" t="s">
        <v>2228</v>
      </c>
      <c r="B1893" s="1">
        <v>45316</v>
      </c>
      <c r="C1893" t="s">
        <v>23</v>
      </c>
      <c r="D1893" t="s">
        <v>303</v>
      </c>
      <c r="E1893">
        <v>512.08000000000004</v>
      </c>
      <c r="F1893" t="s">
        <v>324</v>
      </c>
      <c r="G1893" t="s">
        <v>327</v>
      </c>
      <c r="I1893" t="s">
        <v>8</v>
      </c>
      <c r="J1893" t="s">
        <v>25</v>
      </c>
      <c r="K1893" t="s">
        <v>22</v>
      </c>
      <c r="L1893" t="s">
        <v>304</v>
      </c>
      <c r="M1893" t="s">
        <v>305</v>
      </c>
      <c r="N1893">
        <v>1E-3</v>
      </c>
      <c r="O1893" t="str">
        <f>IF(Transactions_RAW_cleaned[[#This Row],[Status]]="Completed", IFERROR(_xlfn.XLOOKUP(Transactions_RAW_cleaned[[#This Row],[CustomerID]], Customers_cleaned[CustomerID], Customers_cleaned[Segment]), "Customer Not Found"), "N/A")</f>
        <v>SMB</v>
      </c>
      <c r="P1893" s="5" t="str">
        <f>IF(Transactions_RAW_cleaned[[#This Row],[Status]]="Refunded", "Refund",
  IF(Transactions_RAW_cleaned[[#This Row],[Category]]="Payments", IF(Transactions_RAW_cleaned[[#This Row],[Amount]]&gt;500,"High Value","Standard"),
    IF(Transactions_RAW_cleaned[[#This Row],[Amount]]&gt;250,"High Value","Standard")))</f>
        <v>High Value</v>
      </c>
      <c r="Q1893" s="5" t="str">
        <f>IF(Transactions_RAW_cleaned[[#This Row],[Amount]] &gt; (_xlfn.XLOOKUP(Transactions_RAW_cleaned[[#This Row],[ServiceID]],Services_cleaned[ServiceID],Services_cleaned[TransactionFeePct]) * 10000), "Yes", "No")</f>
        <v>Yes</v>
      </c>
      <c r="R1893" s="5" t="str">
        <f>IF(COUNTIFS($C$2:Transactions_RAW_cleaned[[#This Row],[CustomerID]],Transactions_RAW_cleaned[[#This Row],[CustomerID]],$D$2:Transactions_RAW_cleaned[[#This Row],[ServiceID]],Transactions_RAW_cleaned[[#This Row],[ServiceID]])=1,"Yes","No")</f>
        <v>No</v>
      </c>
      <c r="S189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93" t="str">
        <f>"Q"&amp;ROUNDUP(MONTH(Transactions_RAW_cleaned[[#This Row],[TransactionDate]])/3,0)</f>
        <v>Q1</v>
      </c>
      <c r="U1893" t="str">
        <f>Transactions_RAW_cleaned[[#This Row],[Region ]]&amp;Transactions_RAW_cleaned[[#This Row],[Quarter ]]</f>
        <v>APACQ1</v>
      </c>
      <c r="V1893" s="5">
        <f>_xlfn.XLOOKUP(Transactions_RAW_cleaned[[#This Row],[RegionQuarterKey]], Quarterly_Targets_cleaned[RegionQuarterKey], Quarterly_Targets_cleaned[TargetRevenue])</f>
        <v>104500</v>
      </c>
    </row>
    <row r="1894" spans="1:22" x14ac:dyDescent="0.25">
      <c r="A1894" t="s">
        <v>2229</v>
      </c>
      <c r="B1894" s="1">
        <v>45559</v>
      </c>
      <c r="C1894" t="s">
        <v>396</v>
      </c>
      <c r="D1894" t="s">
        <v>294</v>
      </c>
      <c r="E1894">
        <v>609.17999999999995</v>
      </c>
      <c r="F1894" t="s">
        <v>381</v>
      </c>
      <c r="G1894" t="s">
        <v>327</v>
      </c>
      <c r="H1894" t="s">
        <v>346</v>
      </c>
      <c r="I1894" t="s">
        <v>57</v>
      </c>
      <c r="J1894" t="s">
        <v>21</v>
      </c>
      <c r="K1894" t="s">
        <v>2964</v>
      </c>
      <c r="L1894" t="s">
        <v>295</v>
      </c>
      <c r="M1894" t="s">
        <v>296</v>
      </c>
      <c r="N1894">
        <v>2.9000000000000001E-2</v>
      </c>
      <c r="O1894" t="str">
        <f>IF(Transactions_RAW_cleaned[[#This Row],[Status]]="Completed", IFERROR(_xlfn.XLOOKUP(Transactions_RAW_cleaned[[#This Row],[CustomerID]], Customers_cleaned[CustomerID], Customers_cleaned[Segment]), "Customer Not Found"), "N/A")</f>
        <v>N/A</v>
      </c>
      <c r="P1894" s="5" t="str">
        <f>IF(Transactions_RAW_cleaned[[#This Row],[Status]]="Refunded", "Refund",
  IF(Transactions_RAW_cleaned[[#This Row],[Category]]="Payments", IF(Transactions_RAW_cleaned[[#This Row],[Amount]]&gt;500,"High Value","Standard"),
    IF(Transactions_RAW_cleaned[[#This Row],[Amount]]&gt;250,"High Value","Standard")))</f>
        <v>High Value</v>
      </c>
      <c r="Q1894" s="5" t="str">
        <f>IF(Transactions_RAW_cleaned[[#This Row],[Amount]] &gt; (_xlfn.XLOOKUP(Transactions_RAW_cleaned[[#This Row],[ServiceID]],Services_cleaned[ServiceID],Services_cleaned[TransactionFeePct]) * 10000), "Yes", "No")</f>
        <v>Yes</v>
      </c>
      <c r="R1894" s="5" t="str">
        <f>IF(COUNTIFS($C$2:Transactions_RAW_cleaned[[#This Row],[CustomerID]],Transactions_RAW_cleaned[[#This Row],[CustomerID]],$D$2:Transactions_RAW_cleaned[[#This Row],[ServiceID]],Transactions_RAW_cleaned[[#This Row],[ServiceID]])=1,"Yes","No")</f>
        <v>No</v>
      </c>
      <c r="S189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94" t="str">
        <f>"Q"&amp;ROUNDUP(MONTH(Transactions_RAW_cleaned[[#This Row],[TransactionDate]])/3,0)</f>
        <v>Q3</v>
      </c>
      <c r="U1894" t="str">
        <f>Transactions_RAW_cleaned[[#This Row],[Region ]]&amp;Transactions_RAW_cleaned[[#This Row],[Quarter ]]</f>
        <v>APACQ3</v>
      </c>
      <c r="V1894" s="5">
        <f>_xlfn.XLOOKUP(Transactions_RAW_cleaned[[#This Row],[RegionQuarterKey]], Quarterly_Targets_cleaned[RegionQuarterKey], Quarterly_Targets_cleaned[TargetRevenue])</f>
        <v>115500</v>
      </c>
    </row>
    <row r="1895" spans="1:22" x14ac:dyDescent="0.25">
      <c r="A1895" t="s">
        <v>2230</v>
      </c>
      <c r="B1895" s="1">
        <v>45366</v>
      </c>
      <c r="C1895" t="s">
        <v>94</v>
      </c>
      <c r="D1895" t="s">
        <v>294</v>
      </c>
      <c r="E1895">
        <v>383.02</v>
      </c>
      <c r="F1895" t="s">
        <v>324</v>
      </c>
      <c r="G1895" t="s">
        <v>325</v>
      </c>
      <c r="H1895" t="s">
        <v>334</v>
      </c>
      <c r="I1895" t="s">
        <v>8</v>
      </c>
      <c r="J1895" t="s">
        <v>21</v>
      </c>
      <c r="K1895" t="s">
        <v>14</v>
      </c>
      <c r="L1895" t="s">
        <v>295</v>
      </c>
      <c r="M1895" t="s">
        <v>296</v>
      </c>
      <c r="N1895">
        <v>2.9000000000000001E-2</v>
      </c>
      <c r="O1895" t="str">
        <f>IF(Transactions_RAW_cleaned[[#This Row],[Status]]="Completed", IFERROR(_xlfn.XLOOKUP(Transactions_RAW_cleaned[[#This Row],[CustomerID]], Customers_cleaned[CustomerID], Customers_cleaned[Segment]), "Customer Not Found"), "N/A")</f>
        <v>SMB</v>
      </c>
      <c r="P1895" s="5" t="str">
        <f>IF(Transactions_RAW_cleaned[[#This Row],[Status]]="Refunded", "Refund",
  IF(Transactions_RAW_cleaned[[#This Row],[Category]]="Payments", IF(Transactions_RAW_cleaned[[#This Row],[Amount]]&gt;500,"High Value","Standard"),
    IF(Transactions_RAW_cleaned[[#This Row],[Amount]]&gt;250,"High Value","Standard")))</f>
        <v>Standard</v>
      </c>
      <c r="Q1895" s="5" t="str">
        <f>IF(Transactions_RAW_cleaned[[#This Row],[Amount]] &gt; (_xlfn.XLOOKUP(Transactions_RAW_cleaned[[#This Row],[ServiceID]],Services_cleaned[ServiceID],Services_cleaned[TransactionFeePct]) * 10000), "Yes", "No")</f>
        <v>Yes</v>
      </c>
      <c r="R1895" s="5" t="str">
        <f>IF(COUNTIFS($C$2:Transactions_RAW_cleaned[[#This Row],[CustomerID]],Transactions_RAW_cleaned[[#This Row],[CustomerID]],$D$2:Transactions_RAW_cleaned[[#This Row],[ServiceID]],Transactions_RAW_cleaned[[#This Row],[ServiceID]])=1,"Yes","No")</f>
        <v>No</v>
      </c>
      <c r="S189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895" t="str">
        <f>"Q"&amp;ROUNDUP(MONTH(Transactions_RAW_cleaned[[#This Row],[TransactionDate]])/3,0)</f>
        <v>Q1</v>
      </c>
      <c r="U1895" t="str">
        <f>Transactions_RAW_cleaned[[#This Row],[Region ]]&amp;Transactions_RAW_cleaned[[#This Row],[Quarter ]]</f>
        <v>APACQ1</v>
      </c>
      <c r="V1895" s="5">
        <f>_xlfn.XLOOKUP(Transactions_RAW_cleaned[[#This Row],[RegionQuarterKey]], Quarterly_Targets_cleaned[RegionQuarterKey], Quarterly_Targets_cleaned[TargetRevenue])</f>
        <v>104500</v>
      </c>
    </row>
    <row r="1896" spans="1:22" x14ac:dyDescent="0.25">
      <c r="A1896" t="s">
        <v>2231</v>
      </c>
      <c r="B1896" s="1">
        <v>45463</v>
      </c>
      <c r="C1896" t="s">
        <v>175</v>
      </c>
      <c r="D1896" t="s">
        <v>294</v>
      </c>
      <c r="E1896">
        <v>461</v>
      </c>
      <c r="F1896" t="s">
        <v>324</v>
      </c>
      <c r="G1896" t="s">
        <v>325</v>
      </c>
      <c r="H1896" t="s">
        <v>346</v>
      </c>
      <c r="I1896" t="s">
        <v>8</v>
      </c>
      <c r="J1896" t="s">
        <v>31</v>
      </c>
      <c r="K1896" t="s">
        <v>32</v>
      </c>
      <c r="L1896" t="s">
        <v>295</v>
      </c>
      <c r="M1896" t="s">
        <v>296</v>
      </c>
      <c r="N1896">
        <v>2.9000000000000001E-2</v>
      </c>
      <c r="O1896" t="str">
        <f>IF(Transactions_RAW_cleaned[[#This Row],[Status]]="Completed", IFERROR(_xlfn.XLOOKUP(Transactions_RAW_cleaned[[#This Row],[CustomerID]], Customers_cleaned[CustomerID], Customers_cleaned[Segment]), "Customer Not Found"), "N/A")</f>
        <v>SMB</v>
      </c>
      <c r="P1896" s="5" t="str">
        <f>IF(Transactions_RAW_cleaned[[#This Row],[Status]]="Refunded", "Refund",
  IF(Transactions_RAW_cleaned[[#This Row],[Category]]="Payments", IF(Transactions_RAW_cleaned[[#This Row],[Amount]]&gt;500,"High Value","Standard"),
    IF(Transactions_RAW_cleaned[[#This Row],[Amount]]&gt;250,"High Value","Standard")))</f>
        <v>Standard</v>
      </c>
      <c r="Q1896" s="5" t="str">
        <f>IF(Transactions_RAW_cleaned[[#This Row],[Amount]] &gt; (_xlfn.XLOOKUP(Transactions_RAW_cleaned[[#This Row],[ServiceID]],Services_cleaned[ServiceID],Services_cleaned[TransactionFeePct]) * 10000), "Yes", "No")</f>
        <v>Yes</v>
      </c>
      <c r="R1896" s="5" t="str">
        <f>IF(COUNTIFS($C$2:Transactions_RAW_cleaned[[#This Row],[CustomerID]],Transactions_RAW_cleaned[[#This Row],[CustomerID]],$D$2:Transactions_RAW_cleaned[[#This Row],[ServiceID]],Transactions_RAW_cleaned[[#This Row],[ServiceID]])=1,"Yes","No")</f>
        <v>No</v>
      </c>
      <c r="S189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896" t="str">
        <f>"Q"&amp;ROUNDUP(MONTH(Transactions_RAW_cleaned[[#This Row],[TransactionDate]])/3,0)</f>
        <v>Q2</v>
      </c>
      <c r="U1896" t="str">
        <f>Transactions_RAW_cleaned[[#This Row],[Region ]]&amp;Transactions_RAW_cleaned[[#This Row],[Quarter ]]</f>
        <v>EMEAQ2</v>
      </c>
      <c r="V1896" s="5">
        <f>_xlfn.XLOOKUP(Transactions_RAW_cleaned[[#This Row],[RegionQuarterKey]], Quarterly_Targets_cleaned[RegionQuarterKey], Quarterly_Targets_cleaned[TargetRevenue])</f>
        <v>140000</v>
      </c>
    </row>
    <row r="1897" spans="1:22" x14ac:dyDescent="0.25">
      <c r="A1897" t="s">
        <v>2232</v>
      </c>
      <c r="B1897" s="1">
        <v>45389</v>
      </c>
      <c r="C1897" t="s">
        <v>60</v>
      </c>
      <c r="D1897" t="s">
        <v>294</v>
      </c>
      <c r="E1897">
        <v>110.06</v>
      </c>
      <c r="F1897" t="s">
        <v>324</v>
      </c>
      <c r="G1897" t="s">
        <v>327</v>
      </c>
      <c r="H1897" t="s">
        <v>332</v>
      </c>
      <c r="I1897" t="s">
        <v>8</v>
      </c>
      <c r="J1897" t="s">
        <v>13</v>
      </c>
      <c r="K1897" t="s">
        <v>14</v>
      </c>
      <c r="L1897" t="s">
        <v>295</v>
      </c>
      <c r="M1897" t="s">
        <v>296</v>
      </c>
      <c r="N1897">
        <v>2.9000000000000001E-2</v>
      </c>
      <c r="O1897" t="str">
        <f>IF(Transactions_RAW_cleaned[[#This Row],[Status]]="Completed", IFERROR(_xlfn.XLOOKUP(Transactions_RAW_cleaned[[#This Row],[CustomerID]], Customers_cleaned[CustomerID], Customers_cleaned[Segment]), "Customer Not Found"), "N/A")</f>
        <v>SMB</v>
      </c>
      <c r="P1897" s="5" t="str">
        <f>IF(Transactions_RAW_cleaned[[#This Row],[Status]]="Refunded", "Refund",
  IF(Transactions_RAW_cleaned[[#This Row],[Category]]="Payments", IF(Transactions_RAW_cleaned[[#This Row],[Amount]]&gt;500,"High Value","Standard"),
    IF(Transactions_RAW_cleaned[[#This Row],[Amount]]&gt;250,"High Value","Standard")))</f>
        <v>Standard</v>
      </c>
      <c r="Q1897" s="5" t="str">
        <f>IF(Transactions_RAW_cleaned[[#This Row],[Amount]] &gt; (_xlfn.XLOOKUP(Transactions_RAW_cleaned[[#This Row],[ServiceID]],Services_cleaned[ServiceID],Services_cleaned[TransactionFeePct]) * 10000), "Yes", "No")</f>
        <v>No</v>
      </c>
      <c r="R1897" s="5" t="str">
        <f>IF(COUNTIFS($C$2:Transactions_RAW_cleaned[[#This Row],[CustomerID]],Transactions_RAW_cleaned[[#This Row],[CustomerID]],$D$2:Transactions_RAW_cleaned[[#This Row],[ServiceID]],Transactions_RAW_cleaned[[#This Row],[ServiceID]])=1,"Yes","No")</f>
        <v>No</v>
      </c>
      <c r="S189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97" t="str">
        <f>"Q"&amp;ROUNDUP(MONTH(Transactions_RAW_cleaned[[#This Row],[TransactionDate]])/3,0)</f>
        <v>Q2</v>
      </c>
      <c r="U1897" t="str">
        <f>Transactions_RAW_cleaned[[#This Row],[Region ]]&amp;Transactions_RAW_cleaned[[#This Row],[Quarter ]]</f>
        <v>NAQ2</v>
      </c>
      <c r="V1897" s="5">
        <f>_xlfn.XLOOKUP(Transactions_RAW_cleaned[[#This Row],[RegionQuarterKey]], Quarterly_Targets_cleaned[RegionQuarterKey], Quarterly_Targets_cleaned[TargetRevenue])</f>
        <v>260000</v>
      </c>
    </row>
    <row r="1898" spans="1:22" x14ac:dyDescent="0.25">
      <c r="A1898" t="s">
        <v>2233</v>
      </c>
      <c r="B1898" s="1">
        <v>45342</v>
      </c>
      <c r="C1898" t="s">
        <v>123</v>
      </c>
      <c r="D1898" t="s">
        <v>297</v>
      </c>
      <c r="E1898">
        <v>669.78</v>
      </c>
      <c r="F1898" t="s">
        <v>324</v>
      </c>
      <c r="G1898" t="s">
        <v>327</v>
      </c>
      <c r="I1898" t="s">
        <v>8</v>
      </c>
      <c r="J1898" t="s">
        <v>13</v>
      </c>
      <c r="K1898" t="s">
        <v>32</v>
      </c>
      <c r="L1898" t="s">
        <v>298</v>
      </c>
      <c r="M1898" t="s">
        <v>299</v>
      </c>
      <c r="N1898">
        <v>0</v>
      </c>
      <c r="O1898" t="str">
        <f>IF(Transactions_RAW_cleaned[[#This Row],[Status]]="Completed", IFERROR(_xlfn.XLOOKUP(Transactions_RAW_cleaned[[#This Row],[CustomerID]], Customers_cleaned[CustomerID], Customers_cleaned[Segment]), "Customer Not Found"), "N/A")</f>
        <v>SMB</v>
      </c>
      <c r="P1898" s="5" t="str">
        <f>IF(Transactions_RAW_cleaned[[#This Row],[Status]]="Refunded", "Refund",
  IF(Transactions_RAW_cleaned[[#This Row],[Category]]="Payments", IF(Transactions_RAW_cleaned[[#This Row],[Amount]]&gt;500,"High Value","Standard"),
    IF(Transactions_RAW_cleaned[[#This Row],[Amount]]&gt;250,"High Value","Standard")))</f>
        <v>High Value</v>
      </c>
      <c r="Q1898" s="5" t="str">
        <f>IF(Transactions_RAW_cleaned[[#This Row],[Amount]] &gt; (_xlfn.XLOOKUP(Transactions_RAW_cleaned[[#This Row],[ServiceID]],Services_cleaned[ServiceID],Services_cleaned[TransactionFeePct]) * 10000), "Yes", "No")</f>
        <v>Yes</v>
      </c>
      <c r="R1898" s="5" t="str">
        <f>IF(COUNTIFS($C$2:Transactions_RAW_cleaned[[#This Row],[CustomerID]],Transactions_RAW_cleaned[[#This Row],[CustomerID]],$D$2:Transactions_RAW_cleaned[[#This Row],[ServiceID]],Transactions_RAW_cleaned[[#This Row],[ServiceID]])=1,"Yes","No")</f>
        <v>Yes</v>
      </c>
      <c r="S189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98" t="str">
        <f>"Q"&amp;ROUNDUP(MONTH(Transactions_RAW_cleaned[[#This Row],[TransactionDate]])/3,0)</f>
        <v>Q1</v>
      </c>
      <c r="U1898" t="str">
        <f>Transactions_RAW_cleaned[[#This Row],[Region ]]&amp;Transactions_RAW_cleaned[[#This Row],[Quarter ]]</f>
        <v>NAQ1</v>
      </c>
      <c r="V1898" s="5">
        <f>_xlfn.XLOOKUP(Transactions_RAW_cleaned[[#This Row],[RegionQuarterKey]], Quarterly_Targets_cleaned[RegionQuarterKey], Quarterly_Targets_cleaned[TargetRevenue])</f>
        <v>247000</v>
      </c>
    </row>
    <row r="1899" spans="1:22" x14ac:dyDescent="0.25">
      <c r="A1899" t="s">
        <v>2234</v>
      </c>
      <c r="B1899" s="1">
        <v>45341</v>
      </c>
      <c r="C1899" t="s">
        <v>221</v>
      </c>
      <c r="D1899" t="s">
        <v>312</v>
      </c>
      <c r="E1899">
        <v>722.33</v>
      </c>
      <c r="F1899" t="s">
        <v>324</v>
      </c>
      <c r="G1899" t="s">
        <v>337</v>
      </c>
      <c r="H1899" t="s">
        <v>334</v>
      </c>
      <c r="I1899" t="s">
        <v>8</v>
      </c>
      <c r="J1899" t="s">
        <v>102</v>
      </c>
      <c r="K1899" t="s">
        <v>14</v>
      </c>
      <c r="L1899" t="s">
        <v>313</v>
      </c>
      <c r="M1899" t="s">
        <v>314</v>
      </c>
      <c r="N1899">
        <v>0</v>
      </c>
      <c r="O1899" t="str">
        <f>IF(Transactions_RAW_cleaned[[#This Row],[Status]]="Completed", IFERROR(_xlfn.XLOOKUP(Transactions_RAW_cleaned[[#This Row],[CustomerID]], Customers_cleaned[CustomerID], Customers_cleaned[Segment]), "Customer Not Found"), "N/A")</f>
        <v>SMB</v>
      </c>
      <c r="P1899" s="5" t="str">
        <f>IF(Transactions_RAW_cleaned[[#This Row],[Status]]="Refunded", "Refund",
  IF(Transactions_RAW_cleaned[[#This Row],[Category]]="Payments", IF(Transactions_RAW_cleaned[[#This Row],[Amount]]&gt;500,"High Value","Standard"),
    IF(Transactions_RAW_cleaned[[#This Row],[Amount]]&gt;250,"High Value","Standard")))</f>
        <v>High Value</v>
      </c>
      <c r="Q1899" s="5" t="str">
        <f>IF(Transactions_RAW_cleaned[[#This Row],[Amount]] &gt; (_xlfn.XLOOKUP(Transactions_RAW_cleaned[[#This Row],[ServiceID]],Services_cleaned[ServiceID],Services_cleaned[TransactionFeePct]) * 10000), "Yes", "No")</f>
        <v>Yes</v>
      </c>
      <c r="R1899" s="5" t="str">
        <f>IF(COUNTIFS($C$2:Transactions_RAW_cleaned[[#This Row],[CustomerID]],Transactions_RAW_cleaned[[#This Row],[CustomerID]],$D$2:Transactions_RAW_cleaned[[#This Row],[ServiceID]],Transactions_RAW_cleaned[[#This Row],[ServiceID]])=1,"Yes","No")</f>
        <v>Yes</v>
      </c>
      <c r="S189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899" t="str">
        <f>"Q"&amp;ROUNDUP(MONTH(Transactions_RAW_cleaned[[#This Row],[TransactionDate]])/3,0)</f>
        <v>Q1</v>
      </c>
      <c r="U1899" t="str">
        <f>Transactions_RAW_cleaned[[#This Row],[Region ]]&amp;Transactions_RAW_cleaned[[#This Row],[Quarter ]]</f>
        <v>NAQ1</v>
      </c>
      <c r="V1899" s="5">
        <f>_xlfn.XLOOKUP(Transactions_RAW_cleaned[[#This Row],[RegionQuarterKey]], Quarterly_Targets_cleaned[RegionQuarterKey], Quarterly_Targets_cleaned[TargetRevenue])</f>
        <v>247000</v>
      </c>
    </row>
    <row r="1900" spans="1:22" x14ac:dyDescent="0.25">
      <c r="A1900" t="s">
        <v>2235</v>
      </c>
      <c r="B1900" s="1">
        <v>45461</v>
      </c>
      <c r="C1900" t="s">
        <v>257</v>
      </c>
      <c r="D1900" t="s">
        <v>303</v>
      </c>
      <c r="E1900">
        <v>665.3</v>
      </c>
      <c r="F1900" t="s">
        <v>381</v>
      </c>
      <c r="G1900" t="s">
        <v>327</v>
      </c>
      <c r="I1900" t="s">
        <v>57</v>
      </c>
      <c r="J1900" t="s">
        <v>13</v>
      </c>
      <c r="K1900" t="s">
        <v>22</v>
      </c>
      <c r="L1900" t="s">
        <v>304</v>
      </c>
      <c r="M1900" t="s">
        <v>305</v>
      </c>
      <c r="N1900">
        <v>1E-3</v>
      </c>
      <c r="O1900" t="str">
        <f>IF(Transactions_RAW_cleaned[[#This Row],[Status]]="Completed", IFERROR(_xlfn.XLOOKUP(Transactions_RAW_cleaned[[#This Row],[CustomerID]], Customers_cleaned[CustomerID], Customers_cleaned[Segment]), "Customer Not Found"), "N/A")</f>
        <v>N/A</v>
      </c>
      <c r="P1900" s="5" t="str">
        <f>IF(Transactions_RAW_cleaned[[#This Row],[Status]]="Refunded", "Refund",
  IF(Transactions_RAW_cleaned[[#This Row],[Category]]="Payments", IF(Transactions_RAW_cleaned[[#This Row],[Amount]]&gt;500,"High Value","Standard"),
    IF(Transactions_RAW_cleaned[[#This Row],[Amount]]&gt;250,"High Value","Standard")))</f>
        <v>High Value</v>
      </c>
      <c r="Q1900" s="5" t="str">
        <f>IF(Transactions_RAW_cleaned[[#This Row],[Amount]] &gt; (_xlfn.XLOOKUP(Transactions_RAW_cleaned[[#This Row],[ServiceID]],Services_cleaned[ServiceID],Services_cleaned[TransactionFeePct]) * 10000), "Yes", "No")</f>
        <v>Yes</v>
      </c>
      <c r="R1900" s="5" t="str">
        <f>IF(COUNTIFS($C$2:Transactions_RAW_cleaned[[#This Row],[CustomerID]],Transactions_RAW_cleaned[[#This Row],[CustomerID]],$D$2:Transactions_RAW_cleaned[[#This Row],[ServiceID]],Transactions_RAW_cleaned[[#This Row],[ServiceID]])=1,"Yes","No")</f>
        <v>No</v>
      </c>
      <c r="S190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00" t="str">
        <f>"Q"&amp;ROUNDUP(MONTH(Transactions_RAW_cleaned[[#This Row],[TransactionDate]])/3,0)</f>
        <v>Q2</v>
      </c>
      <c r="U1900" t="str">
        <f>Transactions_RAW_cleaned[[#This Row],[Region ]]&amp;Transactions_RAW_cleaned[[#This Row],[Quarter ]]</f>
        <v>NAQ2</v>
      </c>
      <c r="V1900" s="5">
        <f>_xlfn.XLOOKUP(Transactions_RAW_cleaned[[#This Row],[RegionQuarterKey]], Quarterly_Targets_cleaned[RegionQuarterKey], Quarterly_Targets_cleaned[TargetRevenue])</f>
        <v>260000</v>
      </c>
    </row>
    <row r="1901" spans="1:22" x14ac:dyDescent="0.25">
      <c r="A1901" t="s">
        <v>2236</v>
      </c>
      <c r="B1901" s="1">
        <v>45532</v>
      </c>
      <c r="C1901" t="s">
        <v>269</v>
      </c>
      <c r="D1901" t="s">
        <v>315</v>
      </c>
      <c r="E1901">
        <v>178.49</v>
      </c>
      <c r="F1901" t="s">
        <v>324</v>
      </c>
      <c r="G1901" t="s">
        <v>329</v>
      </c>
      <c r="I1901" t="s">
        <v>17</v>
      </c>
      <c r="J1901" t="s">
        <v>31</v>
      </c>
      <c r="K1901" t="s">
        <v>32</v>
      </c>
      <c r="L1901" t="s">
        <v>316</v>
      </c>
      <c r="M1901" t="s">
        <v>305</v>
      </c>
      <c r="N1901">
        <v>2.5000000000000001E-3</v>
      </c>
      <c r="O1901" t="str">
        <f>IF(Transactions_RAW_cleaned[[#This Row],[Status]]="Completed", IFERROR(_xlfn.XLOOKUP(Transactions_RAW_cleaned[[#This Row],[CustomerID]], Customers_cleaned[CustomerID], Customers_cleaned[Segment]), "Customer Not Found"), "N/A")</f>
        <v>Enterprise</v>
      </c>
      <c r="P1901" s="5" t="str">
        <f>IF(Transactions_RAW_cleaned[[#This Row],[Status]]="Refunded", "Refund",
  IF(Transactions_RAW_cleaned[[#This Row],[Category]]="Payments", IF(Transactions_RAW_cleaned[[#This Row],[Amount]]&gt;500,"High Value","Standard"),
    IF(Transactions_RAW_cleaned[[#This Row],[Amount]]&gt;250,"High Value","Standard")))</f>
        <v>Standard</v>
      </c>
      <c r="Q1901" s="5" t="str">
        <f>IF(Transactions_RAW_cleaned[[#This Row],[Amount]] &gt; (_xlfn.XLOOKUP(Transactions_RAW_cleaned[[#This Row],[ServiceID]],Services_cleaned[ServiceID],Services_cleaned[TransactionFeePct]) * 10000), "Yes", "No")</f>
        <v>Yes</v>
      </c>
      <c r="R1901" s="5" t="str">
        <f>IF(COUNTIFS($C$2:Transactions_RAW_cleaned[[#This Row],[CustomerID]],Transactions_RAW_cleaned[[#This Row],[CustomerID]],$D$2:Transactions_RAW_cleaned[[#This Row],[ServiceID]],Transactions_RAW_cleaned[[#This Row],[ServiceID]])=1,"Yes","No")</f>
        <v>No</v>
      </c>
      <c r="S190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901" t="str">
        <f>"Q"&amp;ROUNDUP(MONTH(Transactions_RAW_cleaned[[#This Row],[TransactionDate]])/3,0)</f>
        <v>Q3</v>
      </c>
      <c r="U1901" t="str">
        <f>Transactions_RAW_cleaned[[#This Row],[Region ]]&amp;Transactions_RAW_cleaned[[#This Row],[Quarter ]]</f>
        <v>EMEAQ3</v>
      </c>
      <c r="V1901" s="5">
        <f>_xlfn.XLOOKUP(Transactions_RAW_cleaned[[#This Row],[RegionQuarterKey]], Quarterly_Targets_cleaned[RegionQuarterKey], Quarterly_Targets_cleaned[TargetRevenue])</f>
        <v>147000</v>
      </c>
    </row>
    <row r="1902" spans="1:22" x14ac:dyDescent="0.25">
      <c r="A1902" t="s">
        <v>2237</v>
      </c>
      <c r="B1902" s="1">
        <v>45580</v>
      </c>
      <c r="C1902" t="s">
        <v>217</v>
      </c>
      <c r="D1902" t="s">
        <v>312</v>
      </c>
      <c r="E1902">
        <v>1139.8699999999999</v>
      </c>
      <c r="F1902" t="s">
        <v>324</v>
      </c>
      <c r="G1902" t="s">
        <v>337</v>
      </c>
      <c r="H1902" t="s">
        <v>346</v>
      </c>
      <c r="I1902" t="s">
        <v>17</v>
      </c>
      <c r="J1902" t="s">
        <v>102</v>
      </c>
      <c r="K1902" t="s">
        <v>14</v>
      </c>
      <c r="L1902" t="s">
        <v>313</v>
      </c>
      <c r="M1902" t="s">
        <v>314</v>
      </c>
      <c r="N1902">
        <v>0</v>
      </c>
      <c r="O1902" t="str">
        <f>IF(Transactions_RAW_cleaned[[#This Row],[Status]]="Completed", IFERROR(_xlfn.XLOOKUP(Transactions_RAW_cleaned[[#This Row],[CustomerID]], Customers_cleaned[CustomerID], Customers_cleaned[Segment]), "Customer Not Found"), "N/A")</f>
        <v>Enterprise</v>
      </c>
      <c r="P1902" s="5" t="str">
        <f>IF(Transactions_RAW_cleaned[[#This Row],[Status]]="Refunded", "Refund",
  IF(Transactions_RAW_cleaned[[#This Row],[Category]]="Payments", IF(Transactions_RAW_cleaned[[#This Row],[Amount]]&gt;500,"High Value","Standard"),
    IF(Transactions_RAW_cleaned[[#This Row],[Amount]]&gt;250,"High Value","Standard")))</f>
        <v>High Value</v>
      </c>
      <c r="Q1902" s="5" t="str">
        <f>IF(Transactions_RAW_cleaned[[#This Row],[Amount]] &gt; (_xlfn.XLOOKUP(Transactions_RAW_cleaned[[#This Row],[ServiceID]],Services_cleaned[ServiceID],Services_cleaned[TransactionFeePct]) * 10000), "Yes", "No")</f>
        <v>Yes</v>
      </c>
      <c r="R1902" s="5" t="str">
        <f>IF(COUNTIFS($C$2:Transactions_RAW_cleaned[[#This Row],[CustomerID]],Transactions_RAW_cleaned[[#This Row],[CustomerID]],$D$2:Transactions_RAW_cleaned[[#This Row],[ServiceID]],Transactions_RAW_cleaned[[#This Row],[ServiceID]])=1,"Yes","No")</f>
        <v>No</v>
      </c>
      <c r="S190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02" t="str">
        <f>"Q"&amp;ROUNDUP(MONTH(Transactions_RAW_cleaned[[#This Row],[TransactionDate]])/3,0)</f>
        <v>Q4</v>
      </c>
      <c r="U1902" t="str">
        <f>Transactions_RAW_cleaned[[#This Row],[Region ]]&amp;Transactions_RAW_cleaned[[#This Row],[Quarter ]]</f>
        <v>NAQ4</v>
      </c>
      <c r="V1902" s="5">
        <f>_xlfn.XLOOKUP(Transactions_RAW_cleaned[[#This Row],[RegionQuarterKey]], Quarterly_Targets_cleaned[RegionQuarterKey], Quarterly_Targets_cleaned[TargetRevenue])</f>
        <v>299000</v>
      </c>
    </row>
    <row r="1903" spans="1:22" x14ac:dyDescent="0.25">
      <c r="A1903" t="s">
        <v>2238</v>
      </c>
      <c r="B1903" s="1">
        <v>45412</v>
      </c>
      <c r="C1903" t="s">
        <v>189</v>
      </c>
      <c r="D1903" t="s">
        <v>309</v>
      </c>
      <c r="E1903">
        <v>272.82</v>
      </c>
      <c r="F1903" t="s">
        <v>324</v>
      </c>
      <c r="G1903" t="s">
        <v>325</v>
      </c>
      <c r="H1903" t="s">
        <v>332</v>
      </c>
      <c r="I1903" t="s">
        <v>17</v>
      </c>
      <c r="J1903" t="s">
        <v>102</v>
      </c>
      <c r="K1903" t="s">
        <v>14</v>
      </c>
      <c r="L1903" t="s">
        <v>310</v>
      </c>
      <c r="M1903" t="s">
        <v>311</v>
      </c>
      <c r="N1903">
        <v>0</v>
      </c>
      <c r="O1903" t="str">
        <f>IF(Transactions_RAW_cleaned[[#This Row],[Status]]="Completed", IFERROR(_xlfn.XLOOKUP(Transactions_RAW_cleaned[[#This Row],[CustomerID]], Customers_cleaned[CustomerID], Customers_cleaned[Segment]), "Customer Not Found"), "N/A")</f>
        <v>Enterprise</v>
      </c>
      <c r="P1903" s="5" t="str">
        <f>IF(Transactions_RAW_cleaned[[#This Row],[Status]]="Refunded", "Refund",
  IF(Transactions_RAW_cleaned[[#This Row],[Category]]="Payments", IF(Transactions_RAW_cleaned[[#This Row],[Amount]]&gt;500,"High Value","Standard"),
    IF(Transactions_RAW_cleaned[[#This Row],[Amount]]&gt;250,"High Value","Standard")))</f>
        <v>High Value</v>
      </c>
      <c r="Q1903" s="5" t="str">
        <f>IF(Transactions_RAW_cleaned[[#This Row],[Amount]] &gt; (_xlfn.XLOOKUP(Transactions_RAW_cleaned[[#This Row],[ServiceID]],Services_cleaned[ServiceID],Services_cleaned[TransactionFeePct]) * 10000), "Yes", "No")</f>
        <v>Yes</v>
      </c>
      <c r="R1903" s="5" t="str">
        <f>IF(COUNTIFS($C$2:Transactions_RAW_cleaned[[#This Row],[CustomerID]],Transactions_RAW_cleaned[[#This Row],[CustomerID]],$D$2:Transactions_RAW_cleaned[[#This Row],[ServiceID]],Transactions_RAW_cleaned[[#This Row],[ServiceID]])=1,"Yes","No")</f>
        <v>Yes</v>
      </c>
      <c r="S190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03" t="str">
        <f>"Q"&amp;ROUNDUP(MONTH(Transactions_RAW_cleaned[[#This Row],[TransactionDate]])/3,0)</f>
        <v>Q2</v>
      </c>
      <c r="U1903" t="str">
        <f>Transactions_RAW_cleaned[[#This Row],[Region ]]&amp;Transactions_RAW_cleaned[[#This Row],[Quarter ]]</f>
        <v>NAQ2</v>
      </c>
      <c r="V1903" s="5">
        <f>_xlfn.XLOOKUP(Transactions_RAW_cleaned[[#This Row],[RegionQuarterKey]], Quarterly_Targets_cleaned[RegionQuarterKey], Quarterly_Targets_cleaned[TargetRevenue])</f>
        <v>260000</v>
      </c>
    </row>
    <row r="1904" spans="1:22" x14ac:dyDescent="0.25">
      <c r="A1904" t="s">
        <v>2239</v>
      </c>
      <c r="B1904" s="1">
        <v>45349</v>
      </c>
      <c r="C1904" t="s">
        <v>205</v>
      </c>
      <c r="D1904" t="s">
        <v>294</v>
      </c>
      <c r="E1904">
        <v>542.66999999999996</v>
      </c>
      <c r="F1904" t="s">
        <v>324</v>
      </c>
      <c r="G1904" t="s">
        <v>2963</v>
      </c>
      <c r="I1904" t="s">
        <v>8</v>
      </c>
      <c r="J1904" t="s">
        <v>21</v>
      </c>
      <c r="K1904" t="s">
        <v>14</v>
      </c>
      <c r="L1904" t="s">
        <v>295</v>
      </c>
      <c r="M1904" t="s">
        <v>296</v>
      </c>
      <c r="N1904">
        <v>2.9000000000000001E-2</v>
      </c>
      <c r="O1904" t="str">
        <f>IF(Transactions_RAW_cleaned[[#This Row],[Status]]="Completed", IFERROR(_xlfn.XLOOKUP(Transactions_RAW_cleaned[[#This Row],[CustomerID]], Customers_cleaned[CustomerID], Customers_cleaned[Segment]), "Customer Not Found"), "N/A")</f>
        <v>SMB</v>
      </c>
      <c r="P1904" s="5" t="str">
        <f>IF(Transactions_RAW_cleaned[[#This Row],[Status]]="Refunded", "Refund",
  IF(Transactions_RAW_cleaned[[#This Row],[Category]]="Payments", IF(Transactions_RAW_cleaned[[#This Row],[Amount]]&gt;500,"High Value","Standard"),
    IF(Transactions_RAW_cleaned[[#This Row],[Amount]]&gt;250,"High Value","Standard")))</f>
        <v>High Value</v>
      </c>
      <c r="Q1904" s="5" t="str">
        <f>IF(Transactions_RAW_cleaned[[#This Row],[Amount]] &gt; (_xlfn.XLOOKUP(Transactions_RAW_cleaned[[#This Row],[ServiceID]],Services_cleaned[ServiceID],Services_cleaned[TransactionFeePct]) * 10000), "Yes", "No")</f>
        <v>Yes</v>
      </c>
      <c r="R1904" s="5" t="str">
        <f>IF(COUNTIFS($C$2:Transactions_RAW_cleaned[[#This Row],[CustomerID]],Transactions_RAW_cleaned[[#This Row],[CustomerID]],$D$2:Transactions_RAW_cleaned[[#This Row],[ServiceID]],Transactions_RAW_cleaned[[#This Row],[ServiceID]])=1,"Yes","No")</f>
        <v>No</v>
      </c>
      <c r="S190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04" t="str">
        <f>"Q"&amp;ROUNDUP(MONTH(Transactions_RAW_cleaned[[#This Row],[TransactionDate]])/3,0)</f>
        <v>Q1</v>
      </c>
      <c r="U1904" t="str">
        <f>Transactions_RAW_cleaned[[#This Row],[Region ]]&amp;Transactions_RAW_cleaned[[#This Row],[Quarter ]]</f>
        <v>APACQ1</v>
      </c>
      <c r="V1904" s="5">
        <f>_xlfn.XLOOKUP(Transactions_RAW_cleaned[[#This Row],[RegionQuarterKey]], Quarterly_Targets_cleaned[RegionQuarterKey], Quarterly_Targets_cleaned[TargetRevenue])</f>
        <v>104500</v>
      </c>
    </row>
    <row r="1905" spans="1:22" x14ac:dyDescent="0.25">
      <c r="A1905" t="s">
        <v>2240</v>
      </c>
      <c r="B1905" s="1">
        <v>45462</v>
      </c>
      <c r="C1905" t="s">
        <v>90</v>
      </c>
      <c r="D1905" t="s">
        <v>294</v>
      </c>
      <c r="E1905">
        <v>464.77</v>
      </c>
      <c r="F1905" t="s">
        <v>381</v>
      </c>
      <c r="G1905" t="s">
        <v>325</v>
      </c>
      <c r="I1905" t="s">
        <v>8</v>
      </c>
      <c r="J1905" t="s">
        <v>102</v>
      </c>
      <c r="K1905" t="s">
        <v>28</v>
      </c>
      <c r="L1905" t="s">
        <v>295</v>
      </c>
      <c r="M1905" t="s">
        <v>296</v>
      </c>
      <c r="N1905">
        <v>2.9000000000000001E-2</v>
      </c>
      <c r="O1905" t="str">
        <f>IF(Transactions_RAW_cleaned[[#This Row],[Status]]="Completed", IFERROR(_xlfn.XLOOKUP(Transactions_RAW_cleaned[[#This Row],[CustomerID]], Customers_cleaned[CustomerID], Customers_cleaned[Segment]), "Customer Not Found"), "N/A")</f>
        <v>N/A</v>
      </c>
      <c r="P1905" s="5" t="str">
        <f>IF(Transactions_RAW_cleaned[[#This Row],[Status]]="Refunded", "Refund",
  IF(Transactions_RAW_cleaned[[#This Row],[Category]]="Payments", IF(Transactions_RAW_cleaned[[#This Row],[Amount]]&gt;500,"High Value","Standard"),
    IF(Transactions_RAW_cleaned[[#This Row],[Amount]]&gt;250,"High Value","Standard")))</f>
        <v>Standard</v>
      </c>
      <c r="Q1905" s="5" t="str">
        <f>IF(Transactions_RAW_cleaned[[#This Row],[Amount]] &gt; (_xlfn.XLOOKUP(Transactions_RAW_cleaned[[#This Row],[ServiceID]],Services_cleaned[ServiceID],Services_cleaned[TransactionFeePct]) * 10000), "Yes", "No")</f>
        <v>Yes</v>
      </c>
      <c r="R1905" s="5" t="str">
        <f>IF(COUNTIFS($C$2:Transactions_RAW_cleaned[[#This Row],[CustomerID]],Transactions_RAW_cleaned[[#This Row],[CustomerID]],$D$2:Transactions_RAW_cleaned[[#This Row],[ServiceID]],Transactions_RAW_cleaned[[#This Row],[ServiceID]])=1,"Yes","No")</f>
        <v>No</v>
      </c>
      <c r="S190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05" t="str">
        <f>"Q"&amp;ROUNDUP(MONTH(Transactions_RAW_cleaned[[#This Row],[TransactionDate]])/3,0)</f>
        <v>Q2</v>
      </c>
      <c r="U1905" t="str">
        <f>Transactions_RAW_cleaned[[#This Row],[Region ]]&amp;Transactions_RAW_cleaned[[#This Row],[Quarter ]]</f>
        <v>NAQ2</v>
      </c>
      <c r="V1905" s="5">
        <f>_xlfn.XLOOKUP(Transactions_RAW_cleaned[[#This Row],[RegionQuarterKey]], Quarterly_Targets_cleaned[RegionQuarterKey], Quarterly_Targets_cleaned[TargetRevenue])</f>
        <v>260000</v>
      </c>
    </row>
    <row r="1906" spans="1:22" x14ac:dyDescent="0.25">
      <c r="A1906" t="s">
        <v>2241</v>
      </c>
      <c r="B1906" s="1">
        <v>45653</v>
      </c>
      <c r="C1906" t="s">
        <v>58</v>
      </c>
      <c r="D1906" t="s">
        <v>294</v>
      </c>
      <c r="E1906">
        <v>200.48</v>
      </c>
      <c r="F1906" t="s">
        <v>324</v>
      </c>
      <c r="G1906" t="s">
        <v>329</v>
      </c>
      <c r="I1906" t="s">
        <v>17</v>
      </c>
      <c r="J1906" t="s">
        <v>102</v>
      </c>
      <c r="K1906" t="s">
        <v>22</v>
      </c>
      <c r="L1906" t="s">
        <v>295</v>
      </c>
      <c r="M1906" t="s">
        <v>296</v>
      </c>
      <c r="N1906">
        <v>2.9000000000000001E-2</v>
      </c>
      <c r="O1906" t="str">
        <f>IF(Transactions_RAW_cleaned[[#This Row],[Status]]="Completed", IFERROR(_xlfn.XLOOKUP(Transactions_RAW_cleaned[[#This Row],[CustomerID]], Customers_cleaned[CustomerID], Customers_cleaned[Segment]), "Customer Not Found"), "N/A")</f>
        <v>Enterprise</v>
      </c>
      <c r="P1906" s="5" t="str">
        <f>IF(Transactions_RAW_cleaned[[#This Row],[Status]]="Refunded", "Refund",
  IF(Transactions_RAW_cleaned[[#This Row],[Category]]="Payments", IF(Transactions_RAW_cleaned[[#This Row],[Amount]]&gt;500,"High Value","Standard"),
    IF(Transactions_RAW_cleaned[[#This Row],[Amount]]&gt;250,"High Value","Standard")))</f>
        <v>Standard</v>
      </c>
      <c r="Q1906" s="5" t="str">
        <f>IF(Transactions_RAW_cleaned[[#This Row],[Amount]] &gt; (_xlfn.XLOOKUP(Transactions_RAW_cleaned[[#This Row],[ServiceID]],Services_cleaned[ServiceID],Services_cleaned[TransactionFeePct]) * 10000), "Yes", "No")</f>
        <v>No</v>
      </c>
      <c r="R1906" s="5" t="str">
        <f>IF(COUNTIFS($C$2:Transactions_RAW_cleaned[[#This Row],[CustomerID]],Transactions_RAW_cleaned[[#This Row],[CustomerID]],$D$2:Transactions_RAW_cleaned[[#This Row],[ServiceID]],Transactions_RAW_cleaned[[#This Row],[ServiceID]])=1,"Yes","No")</f>
        <v>No</v>
      </c>
      <c r="S190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06" t="str">
        <f>"Q"&amp;ROUNDUP(MONTH(Transactions_RAW_cleaned[[#This Row],[TransactionDate]])/3,0)</f>
        <v>Q4</v>
      </c>
      <c r="U1906" t="str">
        <f>Transactions_RAW_cleaned[[#This Row],[Region ]]&amp;Transactions_RAW_cleaned[[#This Row],[Quarter ]]</f>
        <v>NAQ4</v>
      </c>
      <c r="V1906" s="5">
        <f>_xlfn.XLOOKUP(Transactions_RAW_cleaned[[#This Row],[RegionQuarterKey]], Quarterly_Targets_cleaned[RegionQuarterKey], Quarterly_Targets_cleaned[TargetRevenue])</f>
        <v>299000</v>
      </c>
    </row>
    <row r="1907" spans="1:22" x14ac:dyDescent="0.25">
      <c r="A1907" t="s">
        <v>2242</v>
      </c>
      <c r="B1907" s="1">
        <v>45335</v>
      </c>
      <c r="C1907" t="s">
        <v>255</v>
      </c>
      <c r="D1907" t="s">
        <v>297</v>
      </c>
      <c r="E1907">
        <v>1020.85</v>
      </c>
      <c r="F1907" t="s">
        <v>324</v>
      </c>
      <c r="G1907" t="s">
        <v>337</v>
      </c>
      <c r="H1907" t="s">
        <v>334</v>
      </c>
      <c r="I1907" t="s">
        <v>17</v>
      </c>
      <c r="J1907" t="s">
        <v>21</v>
      </c>
      <c r="K1907" t="s">
        <v>28</v>
      </c>
      <c r="L1907" t="s">
        <v>298</v>
      </c>
      <c r="M1907" t="s">
        <v>299</v>
      </c>
      <c r="N1907">
        <v>0</v>
      </c>
      <c r="O1907" t="str">
        <f>IF(Transactions_RAW_cleaned[[#This Row],[Status]]="Completed", IFERROR(_xlfn.XLOOKUP(Transactions_RAW_cleaned[[#This Row],[CustomerID]], Customers_cleaned[CustomerID], Customers_cleaned[Segment]), "Customer Not Found"), "N/A")</f>
        <v>Enterprise</v>
      </c>
      <c r="P1907" s="5" t="str">
        <f>IF(Transactions_RAW_cleaned[[#This Row],[Status]]="Refunded", "Refund",
  IF(Transactions_RAW_cleaned[[#This Row],[Category]]="Payments", IF(Transactions_RAW_cleaned[[#This Row],[Amount]]&gt;500,"High Value","Standard"),
    IF(Transactions_RAW_cleaned[[#This Row],[Amount]]&gt;250,"High Value","Standard")))</f>
        <v>High Value</v>
      </c>
      <c r="Q1907" s="5" t="str">
        <f>IF(Transactions_RAW_cleaned[[#This Row],[Amount]] &gt; (_xlfn.XLOOKUP(Transactions_RAW_cleaned[[#This Row],[ServiceID]],Services_cleaned[ServiceID],Services_cleaned[TransactionFeePct]) * 10000), "Yes", "No")</f>
        <v>Yes</v>
      </c>
      <c r="R1907" s="5" t="str">
        <f>IF(COUNTIFS($C$2:Transactions_RAW_cleaned[[#This Row],[CustomerID]],Transactions_RAW_cleaned[[#This Row],[CustomerID]],$D$2:Transactions_RAW_cleaned[[#This Row],[ServiceID]],Transactions_RAW_cleaned[[#This Row],[ServiceID]])=1,"Yes","No")</f>
        <v>No</v>
      </c>
      <c r="S190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07" t="str">
        <f>"Q"&amp;ROUNDUP(MONTH(Transactions_RAW_cleaned[[#This Row],[TransactionDate]])/3,0)</f>
        <v>Q1</v>
      </c>
      <c r="U1907" t="str">
        <f>Transactions_RAW_cleaned[[#This Row],[Region ]]&amp;Transactions_RAW_cleaned[[#This Row],[Quarter ]]</f>
        <v>APACQ1</v>
      </c>
      <c r="V1907" s="5">
        <f>_xlfn.XLOOKUP(Transactions_RAW_cleaned[[#This Row],[RegionQuarterKey]], Quarterly_Targets_cleaned[RegionQuarterKey], Quarterly_Targets_cleaned[TargetRevenue])</f>
        <v>104500</v>
      </c>
    </row>
    <row r="1908" spans="1:22" x14ac:dyDescent="0.25">
      <c r="A1908" t="s">
        <v>2243</v>
      </c>
      <c r="B1908" s="1">
        <v>45535</v>
      </c>
      <c r="C1908" t="s">
        <v>90</v>
      </c>
      <c r="D1908" t="s">
        <v>306</v>
      </c>
      <c r="E1908">
        <v>444.31</v>
      </c>
      <c r="F1908" t="s">
        <v>324</v>
      </c>
      <c r="G1908" t="s">
        <v>325</v>
      </c>
      <c r="H1908" t="s">
        <v>346</v>
      </c>
      <c r="I1908" t="s">
        <v>8</v>
      </c>
      <c r="J1908" t="s">
        <v>102</v>
      </c>
      <c r="K1908" t="s">
        <v>28</v>
      </c>
      <c r="L1908" t="s">
        <v>307</v>
      </c>
      <c r="M1908" t="s">
        <v>308</v>
      </c>
      <c r="N1908">
        <v>0</v>
      </c>
      <c r="O1908" t="str">
        <f>IF(Transactions_RAW_cleaned[[#This Row],[Status]]="Completed", IFERROR(_xlfn.XLOOKUP(Transactions_RAW_cleaned[[#This Row],[CustomerID]], Customers_cleaned[CustomerID], Customers_cleaned[Segment]), "Customer Not Found"), "N/A")</f>
        <v>SMB</v>
      </c>
      <c r="P1908" s="5" t="str">
        <f>IF(Transactions_RAW_cleaned[[#This Row],[Status]]="Refunded", "Refund",
  IF(Transactions_RAW_cleaned[[#This Row],[Category]]="Payments", IF(Transactions_RAW_cleaned[[#This Row],[Amount]]&gt;500,"High Value","Standard"),
    IF(Transactions_RAW_cleaned[[#This Row],[Amount]]&gt;250,"High Value","Standard")))</f>
        <v>High Value</v>
      </c>
      <c r="Q1908" s="5" t="str">
        <f>IF(Transactions_RAW_cleaned[[#This Row],[Amount]] &gt; (_xlfn.XLOOKUP(Transactions_RAW_cleaned[[#This Row],[ServiceID]],Services_cleaned[ServiceID],Services_cleaned[TransactionFeePct]) * 10000), "Yes", "No")</f>
        <v>Yes</v>
      </c>
      <c r="R1908" s="5" t="str">
        <f>IF(COUNTIFS($C$2:Transactions_RAW_cleaned[[#This Row],[CustomerID]],Transactions_RAW_cleaned[[#This Row],[CustomerID]],$D$2:Transactions_RAW_cleaned[[#This Row],[ServiceID]],Transactions_RAW_cleaned[[#This Row],[ServiceID]])=1,"Yes","No")</f>
        <v>No</v>
      </c>
      <c r="S190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08" t="str">
        <f>"Q"&amp;ROUNDUP(MONTH(Transactions_RAW_cleaned[[#This Row],[TransactionDate]])/3,0)</f>
        <v>Q3</v>
      </c>
      <c r="U1908" t="str">
        <f>Transactions_RAW_cleaned[[#This Row],[Region ]]&amp;Transactions_RAW_cleaned[[#This Row],[Quarter ]]</f>
        <v>NAQ3</v>
      </c>
      <c r="V1908" s="5">
        <f>_xlfn.XLOOKUP(Transactions_RAW_cleaned[[#This Row],[RegionQuarterKey]], Quarterly_Targets_cleaned[RegionQuarterKey], Quarterly_Targets_cleaned[TargetRevenue])</f>
        <v>273000</v>
      </c>
    </row>
    <row r="1909" spans="1:22" x14ac:dyDescent="0.25">
      <c r="A1909" t="s">
        <v>2244</v>
      </c>
      <c r="B1909" s="1">
        <v>45530</v>
      </c>
      <c r="C1909" t="s">
        <v>151</v>
      </c>
      <c r="D1909" t="s">
        <v>294</v>
      </c>
      <c r="E1909">
        <v>269.63</v>
      </c>
      <c r="F1909" t="s">
        <v>324</v>
      </c>
      <c r="G1909" t="s">
        <v>325</v>
      </c>
      <c r="I1909" t="s">
        <v>8</v>
      </c>
      <c r="J1909" t="s">
        <v>46</v>
      </c>
      <c r="K1909" t="s">
        <v>18</v>
      </c>
      <c r="L1909" t="s">
        <v>295</v>
      </c>
      <c r="M1909" t="s">
        <v>296</v>
      </c>
      <c r="N1909">
        <v>2.9000000000000001E-2</v>
      </c>
      <c r="O1909" t="str">
        <f>IF(Transactions_RAW_cleaned[[#This Row],[Status]]="Completed", IFERROR(_xlfn.XLOOKUP(Transactions_RAW_cleaned[[#This Row],[CustomerID]], Customers_cleaned[CustomerID], Customers_cleaned[Segment]), "Customer Not Found"), "N/A")</f>
        <v>SMB</v>
      </c>
      <c r="P1909" s="5" t="str">
        <f>IF(Transactions_RAW_cleaned[[#This Row],[Status]]="Refunded", "Refund",
  IF(Transactions_RAW_cleaned[[#This Row],[Category]]="Payments", IF(Transactions_RAW_cleaned[[#This Row],[Amount]]&gt;500,"High Value","Standard"),
    IF(Transactions_RAW_cleaned[[#This Row],[Amount]]&gt;250,"High Value","Standard")))</f>
        <v>Standard</v>
      </c>
      <c r="Q1909" s="5" t="str">
        <f>IF(Transactions_RAW_cleaned[[#This Row],[Amount]] &gt; (_xlfn.XLOOKUP(Transactions_RAW_cleaned[[#This Row],[ServiceID]],Services_cleaned[ServiceID],Services_cleaned[TransactionFeePct]) * 10000), "Yes", "No")</f>
        <v>No</v>
      </c>
      <c r="R1909" s="5" t="str">
        <f>IF(COUNTIFS($C$2:Transactions_RAW_cleaned[[#This Row],[CustomerID]],Transactions_RAW_cleaned[[#This Row],[CustomerID]],$D$2:Transactions_RAW_cleaned[[#This Row],[ServiceID]],Transactions_RAW_cleaned[[#This Row],[ServiceID]])=1,"Yes","No")</f>
        <v>No</v>
      </c>
      <c r="S190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09" t="str">
        <f>"Q"&amp;ROUNDUP(MONTH(Transactions_RAW_cleaned[[#This Row],[TransactionDate]])/3,0)</f>
        <v>Q3</v>
      </c>
      <c r="U1909" t="str">
        <f>Transactions_RAW_cleaned[[#This Row],[Region ]]&amp;Transactions_RAW_cleaned[[#This Row],[Quarter ]]</f>
        <v>APACQ3</v>
      </c>
      <c r="V1909" s="5">
        <f>_xlfn.XLOOKUP(Transactions_RAW_cleaned[[#This Row],[RegionQuarterKey]], Quarterly_Targets_cleaned[RegionQuarterKey], Quarterly_Targets_cleaned[TargetRevenue])</f>
        <v>115500</v>
      </c>
    </row>
    <row r="1910" spans="1:22" x14ac:dyDescent="0.25">
      <c r="A1910" t="s">
        <v>2245</v>
      </c>
      <c r="B1910" s="1">
        <v>45535</v>
      </c>
      <c r="C1910" t="s">
        <v>94</v>
      </c>
      <c r="D1910" t="s">
        <v>294</v>
      </c>
      <c r="E1910">
        <v>714.45</v>
      </c>
      <c r="F1910" t="s">
        <v>331</v>
      </c>
      <c r="G1910" t="s">
        <v>337</v>
      </c>
      <c r="I1910" t="s">
        <v>8</v>
      </c>
      <c r="J1910" t="s">
        <v>21</v>
      </c>
      <c r="K1910" t="s">
        <v>14</v>
      </c>
      <c r="L1910" t="s">
        <v>295</v>
      </c>
      <c r="M1910" t="s">
        <v>296</v>
      </c>
      <c r="N1910">
        <v>2.9000000000000001E-2</v>
      </c>
      <c r="O1910" t="str">
        <f>IF(Transactions_RAW_cleaned[[#This Row],[Status]]="Completed", IFERROR(_xlfn.XLOOKUP(Transactions_RAW_cleaned[[#This Row],[CustomerID]], Customers_cleaned[CustomerID], Customers_cleaned[Segment]), "Customer Not Found"), "N/A")</f>
        <v>N/A</v>
      </c>
      <c r="P1910" s="5" t="str">
        <f>IF(Transactions_RAW_cleaned[[#This Row],[Status]]="Refunded", "Refund",
  IF(Transactions_RAW_cleaned[[#This Row],[Category]]="Payments", IF(Transactions_RAW_cleaned[[#This Row],[Amount]]&gt;500,"High Value","Standard"),
    IF(Transactions_RAW_cleaned[[#This Row],[Amount]]&gt;250,"High Value","Standard")))</f>
        <v>High Value</v>
      </c>
      <c r="Q1910" s="5" t="str">
        <f>IF(Transactions_RAW_cleaned[[#This Row],[Amount]] &gt; (_xlfn.XLOOKUP(Transactions_RAW_cleaned[[#This Row],[ServiceID]],Services_cleaned[ServiceID],Services_cleaned[TransactionFeePct]) * 10000), "Yes", "No")</f>
        <v>Yes</v>
      </c>
      <c r="R1910" s="5" t="str">
        <f>IF(COUNTIFS($C$2:Transactions_RAW_cleaned[[#This Row],[CustomerID]],Transactions_RAW_cleaned[[#This Row],[CustomerID]],$D$2:Transactions_RAW_cleaned[[#This Row],[ServiceID]],Transactions_RAW_cleaned[[#This Row],[ServiceID]])=1,"Yes","No")</f>
        <v>No</v>
      </c>
      <c r="S191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10" t="str">
        <f>"Q"&amp;ROUNDUP(MONTH(Transactions_RAW_cleaned[[#This Row],[TransactionDate]])/3,0)</f>
        <v>Q3</v>
      </c>
      <c r="U1910" t="str">
        <f>Transactions_RAW_cleaned[[#This Row],[Region ]]&amp;Transactions_RAW_cleaned[[#This Row],[Quarter ]]</f>
        <v>APACQ3</v>
      </c>
      <c r="V1910" s="5">
        <f>_xlfn.XLOOKUP(Transactions_RAW_cleaned[[#This Row],[RegionQuarterKey]], Quarterly_Targets_cleaned[RegionQuarterKey], Quarterly_Targets_cleaned[TargetRevenue])</f>
        <v>115500</v>
      </c>
    </row>
    <row r="1911" spans="1:22" x14ac:dyDescent="0.25">
      <c r="A1911" t="s">
        <v>2246</v>
      </c>
      <c r="B1911" s="1">
        <v>45558</v>
      </c>
      <c r="C1911" t="s">
        <v>64</v>
      </c>
      <c r="D1911" t="s">
        <v>306</v>
      </c>
      <c r="E1911">
        <v>-960.49</v>
      </c>
      <c r="F1911" t="s">
        <v>349</v>
      </c>
      <c r="G1911" t="s">
        <v>327</v>
      </c>
      <c r="I1911" t="s">
        <v>8</v>
      </c>
      <c r="J1911" t="s">
        <v>37</v>
      </c>
      <c r="K1911" t="s">
        <v>28</v>
      </c>
      <c r="L1911" t="s">
        <v>307</v>
      </c>
      <c r="M1911" t="s">
        <v>308</v>
      </c>
      <c r="N1911">
        <v>0</v>
      </c>
      <c r="O1911" t="str">
        <f>IF(Transactions_RAW_cleaned[[#This Row],[Status]]="Completed", IFERROR(_xlfn.XLOOKUP(Transactions_RAW_cleaned[[#This Row],[CustomerID]], Customers_cleaned[CustomerID], Customers_cleaned[Segment]), "Customer Not Found"), "N/A")</f>
        <v>N/A</v>
      </c>
      <c r="P1911" s="5" t="str">
        <f>IF(Transactions_RAW_cleaned[[#This Row],[Status]]="Refunded", "Refund",
  IF(Transactions_RAW_cleaned[[#This Row],[Category]]="Payments", IF(Transactions_RAW_cleaned[[#This Row],[Amount]]&gt;500,"High Value","Standard"),
    IF(Transactions_RAW_cleaned[[#This Row],[Amount]]&gt;250,"High Value","Standard")))</f>
        <v>Refund</v>
      </c>
      <c r="Q1911" s="5" t="str">
        <f>IF(Transactions_RAW_cleaned[[#This Row],[Amount]] &gt; (_xlfn.XLOOKUP(Transactions_RAW_cleaned[[#This Row],[ServiceID]],Services_cleaned[ServiceID],Services_cleaned[TransactionFeePct]) * 10000), "Yes", "No")</f>
        <v>No</v>
      </c>
      <c r="R1911" s="5" t="str">
        <f>IF(COUNTIFS($C$2:Transactions_RAW_cleaned[[#This Row],[CustomerID]],Transactions_RAW_cleaned[[#This Row],[CustomerID]],$D$2:Transactions_RAW_cleaned[[#This Row],[ServiceID]],Transactions_RAW_cleaned[[#This Row],[ServiceID]])=1,"Yes","No")</f>
        <v>No</v>
      </c>
      <c r="S191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911" t="str">
        <f>"Q"&amp;ROUNDUP(MONTH(Transactions_RAW_cleaned[[#This Row],[TransactionDate]])/3,0)</f>
        <v>Q3</v>
      </c>
      <c r="U1911" t="str">
        <f>Transactions_RAW_cleaned[[#This Row],[Region ]]&amp;Transactions_RAW_cleaned[[#This Row],[Quarter ]]</f>
        <v>EMEAQ3</v>
      </c>
      <c r="V1911" s="5">
        <f>_xlfn.XLOOKUP(Transactions_RAW_cleaned[[#This Row],[RegionQuarterKey]], Quarterly_Targets_cleaned[RegionQuarterKey], Quarterly_Targets_cleaned[TargetRevenue])</f>
        <v>147000</v>
      </c>
    </row>
    <row r="1912" spans="1:22" x14ac:dyDescent="0.25">
      <c r="A1912" t="s">
        <v>2247</v>
      </c>
      <c r="B1912" s="1">
        <v>45316</v>
      </c>
      <c r="C1912" t="s">
        <v>109</v>
      </c>
      <c r="D1912" t="s">
        <v>306</v>
      </c>
      <c r="E1912">
        <v>357.7</v>
      </c>
      <c r="F1912" t="s">
        <v>324</v>
      </c>
      <c r="G1912" t="s">
        <v>327</v>
      </c>
      <c r="I1912" t="s">
        <v>8</v>
      </c>
      <c r="J1912" t="s">
        <v>102</v>
      </c>
      <c r="K1912" t="s">
        <v>18</v>
      </c>
      <c r="L1912" t="s">
        <v>307</v>
      </c>
      <c r="M1912" t="s">
        <v>308</v>
      </c>
      <c r="N1912">
        <v>0</v>
      </c>
      <c r="O1912" t="str">
        <f>IF(Transactions_RAW_cleaned[[#This Row],[Status]]="Completed", IFERROR(_xlfn.XLOOKUP(Transactions_RAW_cleaned[[#This Row],[CustomerID]], Customers_cleaned[CustomerID], Customers_cleaned[Segment]), "Customer Not Found"), "N/A")</f>
        <v>SMB</v>
      </c>
      <c r="P1912" s="5" t="str">
        <f>IF(Transactions_RAW_cleaned[[#This Row],[Status]]="Refunded", "Refund",
  IF(Transactions_RAW_cleaned[[#This Row],[Category]]="Payments", IF(Transactions_RAW_cleaned[[#This Row],[Amount]]&gt;500,"High Value","Standard"),
    IF(Transactions_RAW_cleaned[[#This Row],[Amount]]&gt;250,"High Value","Standard")))</f>
        <v>High Value</v>
      </c>
      <c r="Q1912" s="5" t="str">
        <f>IF(Transactions_RAW_cleaned[[#This Row],[Amount]] &gt; (_xlfn.XLOOKUP(Transactions_RAW_cleaned[[#This Row],[ServiceID]],Services_cleaned[ServiceID],Services_cleaned[TransactionFeePct]) * 10000), "Yes", "No")</f>
        <v>Yes</v>
      </c>
      <c r="R1912" s="5" t="str">
        <f>IF(COUNTIFS($C$2:Transactions_RAW_cleaned[[#This Row],[CustomerID]],Transactions_RAW_cleaned[[#This Row],[CustomerID]],$D$2:Transactions_RAW_cleaned[[#This Row],[ServiceID]],Transactions_RAW_cleaned[[#This Row],[ServiceID]])=1,"Yes","No")</f>
        <v>No</v>
      </c>
      <c r="S191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12" t="str">
        <f>"Q"&amp;ROUNDUP(MONTH(Transactions_RAW_cleaned[[#This Row],[TransactionDate]])/3,0)</f>
        <v>Q1</v>
      </c>
      <c r="U1912" t="str">
        <f>Transactions_RAW_cleaned[[#This Row],[Region ]]&amp;Transactions_RAW_cleaned[[#This Row],[Quarter ]]</f>
        <v>NAQ1</v>
      </c>
      <c r="V1912" s="5">
        <f>_xlfn.XLOOKUP(Transactions_RAW_cleaned[[#This Row],[RegionQuarterKey]], Quarterly_Targets_cleaned[RegionQuarterKey], Quarterly_Targets_cleaned[TargetRevenue])</f>
        <v>247000</v>
      </c>
    </row>
    <row r="1913" spans="1:22" x14ac:dyDescent="0.25">
      <c r="A1913" t="s">
        <v>2248</v>
      </c>
      <c r="B1913" s="1">
        <v>45657</v>
      </c>
      <c r="C1913" t="s">
        <v>72</v>
      </c>
      <c r="D1913" t="s">
        <v>303</v>
      </c>
      <c r="E1913">
        <v>465.22</v>
      </c>
      <c r="F1913" t="s">
        <v>324</v>
      </c>
      <c r="G1913" t="s">
        <v>327</v>
      </c>
      <c r="H1913" t="s">
        <v>332</v>
      </c>
      <c r="I1913" t="s">
        <v>57</v>
      </c>
      <c r="J1913" t="s">
        <v>46</v>
      </c>
      <c r="K1913" t="s">
        <v>32</v>
      </c>
      <c r="L1913" t="s">
        <v>304</v>
      </c>
      <c r="M1913" t="s">
        <v>305</v>
      </c>
      <c r="N1913">
        <v>1E-3</v>
      </c>
      <c r="O1913" t="str">
        <f>IF(Transactions_RAW_cleaned[[#This Row],[Status]]="Completed", IFERROR(_xlfn.XLOOKUP(Transactions_RAW_cleaned[[#This Row],[CustomerID]], Customers_cleaned[CustomerID], Customers_cleaned[Segment]), "Customer Not Found"), "N/A")</f>
        <v>Startup</v>
      </c>
      <c r="P1913" s="5" t="str">
        <f>IF(Transactions_RAW_cleaned[[#This Row],[Status]]="Refunded", "Refund",
  IF(Transactions_RAW_cleaned[[#This Row],[Category]]="Payments", IF(Transactions_RAW_cleaned[[#This Row],[Amount]]&gt;500,"High Value","Standard"),
    IF(Transactions_RAW_cleaned[[#This Row],[Amount]]&gt;250,"High Value","Standard")))</f>
        <v>High Value</v>
      </c>
      <c r="Q1913" s="5" t="str">
        <f>IF(Transactions_RAW_cleaned[[#This Row],[Amount]] &gt; (_xlfn.XLOOKUP(Transactions_RAW_cleaned[[#This Row],[ServiceID]],Services_cleaned[ServiceID],Services_cleaned[TransactionFeePct]) * 10000), "Yes", "No")</f>
        <v>Yes</v>
      </c>
      <c r="R1913" s="5" t="str">
        <f>IF(COUNTIFS($C$2:Transactions_RAW_cleaned[[#This Row],[CustomerID]],Transactions_RAW_cleaned[[#This Row],[CustomerID]],$D$2:Transactions_RAW_cleaned[[#This Row],[ServiceID]],Transactions_RAW_cleaned[[#This Row],[ServiceID]])=1,"Yes","No")</f>
        <v>Yes</v>
      </c>
      <c r="S191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13" t="str">
        <f>"Q"&amp;ROUNDUP(MONTH(Transactions_RAW_cleaned[[#This Row],[TransactionDate]])/3,0)</f>
        <v>Q4</v>
      </c>
      <c r="U1913" t="str">
        <f>Transactions_RAW_cleaned[[#This Row],[Region ]]&amp;Transactions_RAW_cleaned[[#This Row],[Quarter ]]</f>
        <v>APACQ4</v>
      </c>
      <c r="V1913" s="5">
        <f>_xlfn.XLOOKUP(Transactions_RAW_cleaned[[#This Row],[RegionQuarterKey]], Quarterly_Targets_cleaned[RegionQuarterKey], Quarterly_Targets_cleaned[TargetRevenue])</f>
        <v>126500</v>
      </c>
    </row>
    <row r="1914" spans="1:22" x14ac:dyDescent="0.25">
      <c r="A1914" t="s">
        <v>2249</v>
      </c>
      <c r="B1914" s="1">
        <v>45298</v>
      </c>
      <c r="C1914" t="s">
        <v>6</v>
      </c>
      <c r="D1914" t="s">
        <v>294</v>
      </c>
      <c r="E1914">
        <v>962.25</v>
      </c>
      <c r="F1914" t="s">
        <v>324</v>
      </c>
      <c r="G1914" t="s">
        <v>327</v>
      </c>
      <c r="I1914" t="s">
        <v>8</v>
      </c>
      <c r="J1914" t="s">
        <v>102</v>
      </c>
      <c r="K1914" t="s">
        <v>10</v>
      </c>
      <c r="L1914" t="s">
        <v>295</v>
      </c>
      <c r="M1914" t="s">
        <v>296</v>
      </c>
      <c r="N1914">
        <v>2.9000000000000001E-2</v>
      </c>
      <c r="O1914" t="str">
        <f>IF(Transactions_RAW_cleaned[[#This Row],[Status]]="Completed", IFERROR(_xlfn.XLOOKUP(Transactions_RAW_cleaned[[#This Row],[CustomerID]], Customers_cleaned[CustomerID], Customers_cleaned[Segment]), "Customer Not Found"), "N/A")</f>
        <v>SMB</v>
      </c>
      <c r="P1914" s="5" t="str">
        <f>IF(Transactions_RAW_cleaned[[#This Row],[Status]]="Refunded", "Refund",
  IF(Transactions_RAW_cleaned[[#This Row],[Category]]="Payments", IF(Transactions_RAW_cleaned[[#This Row],[Amount]]&gt;500,"High Value","Standard"),
    IF(Transactions_RAW_cleaned[[#This Row],[Amount]]&gt;250,"High Value","Standard")))</f>
        <v>High Value</v>
      </c>
      <c r="Q1914" s="5" t="str">
        <f>IF(Transactions_RAW_cleaned[[#This Row],[Amount]] &gt; (_xlfn.XLOOKUP(Transactions_RAW_cleaned[[#This Row],[ServiceID]],Services_cleaned[ServiceID],Services_cleaned[TransactionFeePct]) * 10000), "Yes", "No")</f>
        <v>Yes</v>
      </c>
      <c r="R1914" s="5" t="str">
        <f>IF(COUNTIFS($C$2:Transactions_RAW_cleaned[[#This Row],[CustomerID]],Transactions_RAW_cleaned[[#This Row],[CustomerID]],$D$2:Transactions_RAW_cleaned[[#This Row],[ServiceID]],Transactions_RAW_cleaned[[#This Row],[ServiceID]])=1,"Yes","No")</f>
        <v>No</v>
      </c>
      <c r="S191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14" t="str">
        <f>"Q"&amp;ROUNDUP(MONTH(Transactions_RAW_cleaned[[#This Row],[TransactionDate]])/3,0)</f>
        <v>Q1</v>
      </c>
      <c r="U1914" t="str">
        <f>Transactions_RAW_cleaned[[#This Row],[Region ]]&amp;Transactions_RAW_cleaned[[#This Row],[Quarter ]]</f>
        <v>NAQ1</v>
      </c>
      <c r="V1914" s="5">
        <f>_xlfn.XLOOKUP(Transactions_RAW_cleaned[[#This Row],[RegionQuarterKey]], Quarterly_Targets_cleaned[RegionQuarterKey], Quarterly_Targets_cleaned[TargetRevenue])</f>
        <v>247000</v>
      </c>
    </row>
    <row r="1915" spans="1:22" x14ac:dyDescent="0.25">
      <c r="A1915" t="s">
        <v>2250</v>
      </c>
      <c r="B1915" s="1">
        <v>45469</v>
      </c>
      <c r="C1915" t="s">
        <v>113</v>
      </c>
      <c r="D1915" t="s">
        <v>312</v>
      </c>
      <c r="E1915">
        <v>-914.61</v>
      </c>
      <c r="F1915" t="s">
        <v>349</v>
      </c>
      <c r="G1915" t="s">
        <v>329</v>
      </c>
      <c r="I1915" t="s">
        <v>57</v>
      </c>
      <c r="J1915" t="s">
        <v>46</v>
      </c>
      <c r="K1915" t="s">
        <v>10</v>
      </c>
      <c r="L1915" t="s">
        <v>313</v>
      </c>
      <c r="M1915" t="s">
        <v>314</v>
      </c>
      <c r="N1915">
        <v>0</v>
      </c>
      <c r="O1915" t="str">
        <f>IF(Transactions_RAW_cleaned[[#This Row],[Status]]="Completed", IFERROR(_xlfn.XLOOKUP(Transactions_RAW_cleaned[[#This Row],[CustomerID]], Customers_cleaned[CustomerID], Customers_cleaned[Segment]), "Customer Not Found"), "N/A")</f>
        <v>N/A</v>
      </c>
      <c r="P1915" s="5" t="str">
        <f>IF(Transactions_RAW_cleaned[[#This Row],[Status]]="Refunded", "Refund",
  IF(Transactions_RAW_cleaned[[#This Row],[Category]]="Payments", IF(Transactions_RAW_cleaned[[#This Row],[Amount]]&gt;500,"High Value","Standard"),
    IF(Transactions_RAW_cleaned[[#This Row],[Amount]]&gt;250,"High Value","Standard")))</f>
        <v>Refund</v>
      </c>
      <c r="Q1915" s="5" t="str">
        <f>IF(Transactions_RAW_cleaned[[#This Row],[Amount]] &gt; (_xlfn.XLOOKUP(Transactions_RAW_cleaned[[#This Row],[ServiceID]],Services_cleaned[ServiceID],Services_cleaned[TransactionFeePct]) * 10000), "Yes", "No")</f>
        <v>No</v>
      </c>
      <c r="R1915" s="5" t="str">
        <f>IF(COUNTIFS($C$2:Transactions_RAW_cleaned[[#This Row],[CustomerID]],Transactions_RAW_cleaned[[#This Row],[CustomerID]],$D$2:Transactions_RAW_cleaned[[#This Row],[ServiceID]],Transactions_RAW_cleaned[[#This Row],[ServiceID]])=1,"Yes","No")</f>
        <v>No</v>
      </c>
      <c r="S191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15" t="str">
        <f>"Q"&amp;ROUNDUP(MONTH(Transactions_RAW_cleaned[[#This Row],[TransactionDate]])/3,0)</f>
        <v>Q2</v>
      </c>
      <c r="U1915" t="str">
        <f>Transactions_RAW_cleaned[[#This Row],[Region ]]&amp;Transactions_RAW_cleaned[[#This Row],[Quarter ]]</f>
        <v>APACQ2</v>
      </c>
      <c r="V1915" s="5">
        <f>_xlfn.XLOOKUP(Transactions_RAW_cleaned[[#This Row],[RegionQuarterKey]], Quarterly_Targets_cleaned[RegionQuarterKey], Quarterly_Targets_cleaned[TargetRevenue])</f>
        <v>110000</v>
      </c>
    </row>
    <row r="1916" spans="1:22" x14ac:dyDescent="0.25">
      <c r="A1916" t="s">
        <v>2251</v>
      </c>
      <c r="B1916" s="1">
        <v>45481</v>
      </c>
      <c r="C1916" t="s">
        <v>35</v>
      </c>
      <c r="D1916" t="s">
        <v>306</v>
      </c>
      <c r="E1916">
        <v>463.64</v>
      </c>
      <c r="F1916" t="s">
        <v>324</v>
      </c>
      <c r="G1916" t="s">
        <v>325</v>
      </c>
      <c r="H1916" t="s">
        <v>346</v>
      </c>
      <c r="I1916" t="s">
        <v>8</v>
      </c>
      <c r="J1916" t="s">
        <v>37</v>
      </c>
      <c r="K1916" t="s">
        <v>28</v>
      </c>
      <c r="L1916" t="s">
        <v>307</v>
      </c>
      <c r="M1916" t="s">
        <v>308</v>
      </c>
      <c r="N1916">
        <v>0</v>
      </c>
      <c r="O1916" t="str">
        <f>IF(Transactions_RAW_cleaned[[#This Row],[Status]]="Completed", IFERROR(_xlfn.XLOOKUP(Transactions_RAW_cleaned[[#This Row],[CustomerID]], Customers_cleaned[CustomerID], Customers_cleaned[Segment]), "Customer Not Found"), "N/A")</f>
        <v>SMB</v>
      </c>
      <c r="P1916" s="5" t="str">
        <f>IF(Transactions_RAW_cleaned[[#This Row],[Status]]="Refunded", "Refund",
  IF(Transactions_RAW_cleaned[[#This Row],[Category]]="Payments", IF(Transactions_RAW_cleaned[[#This Row],[Amount]]&gt;500,"High Value","Standard"),
    IF(Transactions_RAW_cleaned[[#This Row],[Amount]]&gt;250,"High Value","Standard")))</f>
        <v>High Value</v>
      </c>
      <c r="Q1916" s="5" t="str">
        <f>IF(Transactions_RAW_cleaned[[#This Row],[Amount]] &gt; (_xlfn.XLOOKUP(Transactions_RAW_cleaned[[#This Row],[ServiceID]],Services_cleaned[ServiceID],Services_cleaned[TransactionFeePct]) * 10000), "Yes", "No")</f>
        <v>Yes</v>
      </c>
      <c r="R1916" s="5" t="str">
        <f>IF(COUNTIFS($C$2:Transactions_RAW_cleaned[[#This Row],[CustomerID]],Transactions_RAW_cleaned[[#This Row],[CustomerID]],$D$2:Transactions_RAW_cleaned[[#This Row],[ServiceID]],Transactions_RAW_cleaned[[#This Row],[ServiceID]])=1,"Yes","No")</f>
        <v>No</v>
      </c>
      <c r="S191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916" t="str">
        <f>"Q"&amp;ROUNDUP(MONTH(Transactions_RAW_cleaned[[#This Row],[TransactionDate]])/3,0)</f>
        <v>Q3</v>
      </c>
      <c r="U1916" t="str">
        <f>Transactions_RAW_cleaned[[#This Row],[Region ]]&amp;Transactions_RAW_cleaned[[#This Row],[Quarter ]]</f>
        <v>EMEAQ3</v>
      </c>
      <c r="V1916" s="5">
        <f>_xlfn.XLOOKUP(Transactions_RAW_cleaned[[#This Row],[RegionQuarterKey]], Quarterly_Targets_cleaned[RegionQuarterKey], Quarterly_Targets_cleaned[TargetRevenue])</f>
        <v>147000</v>
      </c>
    </row>
    <row r="1917" spans="1:22" x14ac:dyDescent="0.25">
      <c r="A1917" t="s">
        <v>2252</v>
      </c>
      <c r="B1917" s="1">
        <v>45626</v>
      </c>
      <c r="C1917" t="s">
        <v>257</v>
      </c>
      <c r="D1917" t="s">
        <v>312</v>
      </c>
      <c r="E1917">
        <v>300.73</v>
      </c>
      <c r="F1917" t="s">
        <v>331</v>
      </c>
      <c r="G1917" t="s">
        <v>325</v>
      </c>
      <c r="H1917" t="s">
        <v>332</v>
      </c>
      <c r="I1917" t="s">
        <v>57</v>
      </c>
      <c r="J1917" t="s">
        <v>13</v>
      </c>
      <c r="K1917" t="s">
        <v>22</v>
      </c>
      <c r="L1917" t="s">
        <v>313</v>
      </c>
      <c r="M1917" t="s">
        <v>314</v>
      </c>
      <c r="N1917">
        <v>0</v>
      </c>
      <c r="O1917" t="str">
        <f>IF(Transactions_RAW_cleaned[[#This Row],[Status]]="Completed", IFERROR(_xlfn.XLOOKUP(Transactions_RAW_cleaned[[#This Row],[CustomerID]], Customers_cleaned[CustomerID], Customers_cleaned[Segment]), "Customer Not Found"), "N/A")</f>
        <v>N/A</v>
      </c>
      <c r="P1917" s="5" t="str">
        <f>IF(Transactions_RAW_cleaned[[#This Row],[Status]]="Refunded", "Refund",
  IF(Transactions_RAW_cleaned[[#This Row],[Category]]="Payments", IF(Transactions_RAW_cleaned[[#This Row],[Amount]]&gt;500,"High Value","Standard"),
    IF(Transactions_RAW_cleaned[[#This Row],[Amount]]&gt;250,"High Value","Standard")))</f>
        <v>High Value</v>
      </c>
      <c r="Q1917" s="5" t="str">
        <f>IF(Transactions_RAW_cleaned[[#This Row],[Amount]] &gt; (_xlfn.XLOOKUP(Transactions_RAW_cleaned[[#This Row],[ServiceID]],Services_cleaned[ServiceID],Services_cleaned[TransactionFeePct]) * 10000), "Yes", "No")</f>
        <v>Yes</v>
      </c>
      <c r="R1917" s="5" t="str">
        <f>IF(COUNTIFS($C$2:Transactions_RAW_cleaned[[#This Row],[CustomerID]],Transactions_RAW_cleaned[[#This Row],[CustomerID]],$D$2:Transactions_RAW_cleaned[[#This Row],[ServiceID]],Transactions_RAW_cleaned[[#This Row],[ServiceID]])=1,"Yes","No")</f>
        <v>No</v>
      </c>
      <c r="S191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17" t="str">
        <f>"Q"&amp;ROUNDUP(MONTH(Transactions_RAW_cleaned[[#This Row],[TransactionDate]])/3,0)</f>
        <v>Q4</v>
      </c>
      <c r="U1917" t="str">
        <f>Transactions_RAW_cleaned[[#This Row],[Region ]]&amp;Transactions_RAW_cleaned[[#This Row],[Quarter ]]</f>
        <v>NAQ4</v>
      </c>
      <c r="V1917" s="5">
        <f>_xlfn.XLOOKUP(Transactions_RAW_cleaned[[#This Row],[RegionQuarterKey]], Quarterly_Targets_cleaned[RegionQuarterKey], Quarterly_Targets_cleaned[TargetRevenue])</f>
        <v>299000</v>
      </c>
    </row>
    <row r="1918" spans="1:22" x14ac:dyDescent="0.25">
      <c r="A1918" t="s">
        <v>2253</v>
      </c>
      <c r="B1918" s="1">
        <v>45366</v>
      </c>
      <c r="C1918" t="s">
        <v>257</v>
      </c>
      <c r="D1918" t="s">
        <v>297</v>
      </c>
      <c r="E1918">
        <v>511.63</v>
      </c>
      <c r="F1918" t="s">
        <v>381</v>
      </c>
      <c r="G1918" t="s">
        <v>325</v>
      </c>
      <c r="I1918" t="s">
        <v>57</v>
      </c>
      <c r="J1918" t="s">
        <v>13</v>
      </c>
      <c r="K1918" t="s">
        <v>22</v>
      </c>
      <c r="L1918" t="s">
        <v>298</v>
      </c>
      <c r="M1918" t="s">
        <v>299</v>
      </c>
      <c r="N1918">
        <v>0</v>
      </c>
      <c r="O1918" t="str">
        <f>IF(Transactions_RAW_cleaned[[#This Row],[Status]]="Completed", IFERROR(_xlfn.XLOOKUP(Transactions_RAW_cleaned[[#This Row],[CustomerID]], Customers_cleaned[CustomerID], Customers_cleaned[Segment]), "Customer Not Found"), "N/A")</f>
        <v>N/A</v>
      </c>
      <c r="P1918" s="5" t="str">
        <f>IF(Transactions_RAW_cleaned[[#This Row],[Status]]="Refunded", "Refund",
  IF(Transactions_RAW_cleaned[[#This Row],[Category]]="Payments", IF(Transactions_RAW_cleaned[[#This Row],[Amount]]&gt;500,"High Value","Standard"),
    IF(Transactions_RAW_cleaned[[#This Row],[Amount]]&gt;250,"High Value","Standard")))</f>
        <v>High Value</v>
      </c>
      <c r="Q1918" s="5" t="str">
        <f>IF(Transactions_RAW_cleaned[[#This Row],[Amount]] &gt; (_xlfn.XLOOKUP(Transactions_RAW_cleaned[[#This Row],[ServiceID]],Services_cleaned[ServiceID],Services_cleaned[TransactionFeePct]) * 10000), "Yes", "No")</f>
        <v>Yes</v>
      </c>
      <c r="R1918" s="5" t="str">
        <f>IF(COUNTIFS($C$2:Transactions_RAW_cleaned[[#This Row],[CustomerID]],Transactions_RAW_cleaned[[#This Row],[CustomerID]],$D$2:Transactions_RAW_cleaned[[#This Row],[ServiceID]],Transactions_RAW_cleaned[[#This Row],[ServiceID]])=1,"Yes","No")</f>
        <v>No</v>
      </c>
      <c r="S191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18" t="str">
        <f>"Q"&amp;ROUNDUP(MONTH(Transactions_RAW_cleaned[[#This Row],[TransactionDate]])/3,0)</f>
        <v>Q1</v>
      </c>
      <c r="U1918" t="str">
        <f>Transactions_RAW_cleaned[[#This Row],[Region ]]&amp;Transactions_RAW_cleaned[[#This Row],[Quarter ]]</f>
        <v>NAQ1</v>
      </c>
      <c r="V1918" s="5">
        <f>_xlfn.XLOOKUP(Transactions_RAW_cleaned[[#This Row],[RegionQuarterKey]], Quarterly_Targets_cleaned[RegionQuarterKey], Quarterly_Targets_cleaned[TargetRevenue])</f>
        <v>247000</v>
      </c>
    </row>
    <row r="1919" spans="1:22" x14ac:dyDescent="0.25">
      <c r="A1919" t="s">
        <v>2254</v>
      </c>
      <c r="B1919" s="1">
        <v>45371</v>
      </c>
      <c r="C1919" t="s">
        <v>19</v>
      </c>
      <c r="D1919" t="s">
        <v>294</v>
      </c>
      <c r="E1919">
        <v>852.43</v>
      </c>
      <c r="F1919" t="s">
        <v>324</v>
      </c>
      <c r="G1919" t="s">
        <v>327</v>
      </c>
      <c r="I1919" t="s">
        <v>8</v>
      </c>
      <c r="J1919" t="s">
        <v>21</v>
      </c>
      <c r="K1919" t="s">
        <v>22</v>
      </c>
      <c r="L1919" t="s">
        <v>295</v>
      </c>
      <c r="M1919" t="s">
        <v>296</v>
      </c>
      <c r="N1919">
        <v>2.9000000000000001E-2</v>
      </c>
      <c r="O1919" t="str">
        <f>IF(Transactions_RAW_cleaned[[#This Row],[Status]]="Completed", IFERROR(_xlfn.XLOOKUP(Transactions_RAW_cleaned[[#This Row],[CustomerID]], Customers_cleaned[CustomerID], Customers_cleaned[Segment]), "Customer Not Found"), "N/A")</f>
        <v>SMB</v>
      </c>
      <c r="P1919" s="5" t="str">
        <f>IF(Transactions_RAW_cleaned[[#This Row],[Status]]="Refunded", "Refund",
  IF(Transactions_RAW_cleaned[[#This Row],[Category]]="Payments", IF(Transactions_RAW_cleaned[[#This Row],[Amount]]&gt;500,"High Value","Standard"),
    IF(Transactions_RAW_cleaned[[#This Row],[Amount]]&gt;250,"High Value","Standard")))</f>
        <v>High Value</v>
      </c>
      <c r="Q1919" s="5" t="str">
        <f>IF(Transactions_RAW_cleaned[[#This Row],[Amount]] &gt; (_xlfn.XLOOKUP(Transactions_RAW_cleaned[[#This Row],[ServiceID]],Services_cleaned[ServiceID],Services_cleaned[TransactionFeePct]) * 10000), "Yes", "No")</f>
        <v>Yes</v>
      </c>
      <c r="R1919" s="5" t="str">
        <f>IF(COUNTIFS($C$2:Transactions_RAW_cleaned[[#This Row],[CustomerID]],Transactions_RAW_cleaned[[#This Row],[CustomerID]],$D$2:Transactions_RAW_cleaned[[#This Row],[ServiceID]],Transactions_RAW_cleaned[[#This Row],[ServiceID]])=1,"Yes","No")</f>
        <v>No</v>
      </c>
      <c r="S191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19" t="str">
        <f>"Q"&amp;ROUNDUP(MONTH(Transactions_RAW_cleaned[[#This Row],[TransactionDate]])/3,0)</f>
        <v>Q1</v>
      </c>
      <c r="U1919" t="str">
        <f>Transactions_RAW_cleaned[[#This Row],[Region ]]&amp;Transactions_RAW_cleaned[[#This Row],[Quarter ]]</f>
        <v>APACQ1</v>
      </c>
      <c r="V1919" s="5">
        <f>_xlfn.XLOOKUP(Transactions_RAW_cleaned[[#This Row],[RegionQuarterKey]], Quarterly_Targets_cleaned[RegionQuarterKey], Quarterly_Targets_cleaned[TargetRevenue])</f>
        <v>104500</v>
      </c>
    </row>
    <row r="1920" spans="1:22" x14ac:dyDescent="0.25">
      <c r="A1920" t="s">
        <v>2255</v>
      </c>
      <c r="B1920" s="1">
        <v>45308</v>
      </c>
      <c r="C1920" t="s">
        <v>26</v>
      </c>
      <c r="D1920" t="s">
        <v>303</v>
      </c>
      <c r="E1920">
        <v>249.72</v>
      </c>
      <c r="F1920" t="s">
        <v>331</v>
      </c>
      <c r="G1920" t="s">
        <v>2963</v>
      </c>
      <c r="I1920" t="s">
        <v>8</v>
      </c>
      <c r="J1920" t="s">
        <v>102</v>
      </c>
      <c r="K1920" t="s">
        <v>28</v>
      </c>
      <c r="L1920" t="s">
        <v>304</v>
      </c>
      <c r="M1920" t="s">
        <v>305</v>
      </c>
      <c r="N1920">
        <v>1E-3</v>
      </c>
      <c r="O1920" t="str">
        <f>IF(Transactions_RAW_cleaned[[#This Row],[Status]]="Completed", IFERROR(_xlfn.XLOOKUP(Transactions_RAW_cleaned[[#This Row],[CustomerID]], Customers_cleaned[CustomerID], Customers_cleaned[Segment]), "Customer Not Found"), "N/A")</f>
        <v>N/A</v>
      </c>
      <c r="P1920" s="5" t="str">
        <f>IF(Transactions_RAW_cleaned[[#This Row],[Status]]="Refunded", "Refund",
  IF(Transactions_RAW_cleaned[[#This Row],[Category]]="Payments", IF(Transactions_RAW_cleaned[[#This Row],[Amount]]&gt;500,"High Value","Standard"),
    IF(Transactions_RAW_cleaned[[#This Row],[Amount]]&gt;250,"High Value","Standard")))</f>
        <v>Standard</v>
      </c>
      <c r="Q1920" s="5" t="str">
        <f>IF(Transactions_RAW_cleaned[[#This Row],[Amount]] &gt; (_xlfn.XLOOKUP(Transactions_RAW_cleaned[[#This Row],[ServiceID]],Services_cleaned[ServiceID],Services_cleaned[TransactionFeePct]) * 10000), "Yes", "No")</f>
        <v>Yes</v>
      </c>
      <c r="R1920" s="5" t="str">
        <f>IF(COUNTIFS($C$2:Transactions_RAW_cleaned[[#This Row],[CustomerID]],Transactions_RAW_cleaned[[#This Row],[CustomerID]],$D$2:Transactions_RAW_cleaned[[#This Row],[ServiceID]],Transactions_RAW_cleaned[[#This Row],[ServiceID]])=1,"Yes","No")</f>
        <v>Yes</v>
      </c>
      <c r="S192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20" t="str">
        <f>"Q"&amp;ROUNDUP(MONTH(Transactions_RAW_cleaned[[#This Row],[TransactionDate]])/3,0)</f>
        <v>Q1</v>
      </c>
      <c r="U1920" t="str">
        <f>Transactions_RAW_cleaned[[#This Row],[Region ]]&amp;Transactions_RAW_cleaned[[#This Row],[Quarter ]]</f>
        <v>NAQ1</v>
      </c>
      <c r="V1920" s="5">
        <f>_xlfn.XLOOKUP(Transactions_RAW_cleaned[[#This Row],[RegionQuarterKey]], Quarterly_Targets_cleaned[RegionQuarterKey], Quarterly_Targets_cleaned[TargetRevenue])</f>
        <v>247000</v>
      </c>
    </row>
    <row r="1921" spans="1:22" x14ac:dyDescent="0.25">
      <c r="A1921" t="s">
        <v>2256</v>
      </c>
      <c r="B1921" s="1">
        <v>45648</v>
      </c>
      <c r="C1921" t="s">
        <v>253</v>
      </c>
      <c r="D1921" t="s">
        <v>303</v>
      </c>
      <c r="E1921">
        <v>259.61</v>
      </c>
      <c r="F1921" t="s">
        <v>324</v>
      </c>
      <c r="G1921" t="s">
        <v>337</v>
      </c>
      <c r="H1921" t="s">
        <v>334</v>
      </c>
      <c r="I1921" t="s">
        <v>8</v>
      </c>
      <c r="J1921" t="s">
        <v>102</v>
      </c>
      <c r="K1921" t="s">
        <v>28</v>
      </c>
      <c r="L1921" t="s">
        <v>304</v>
      </c>
      <c r="M1921" t="s">
        <v>305</v>
      </c>
      <c r="N1921">
        <v>1E-3</v>
      </c>
      <c r="O1921" t="str">
        <f>IF(Transactions_RAW_cleaned[[#This Row],[Status]]="Completed", IFERROR(_xlfn.XLOOKUP(Transactions_RAW_cleaned[[#This Row],[CustomerID]], Customers_cleaned[CustomerID], Customers_cleaned[Segment]), "Customer Not Found"), "N/A")</f>
        <v>SMB</v>
      </c>
      <c r="P1921" s="5" t="str">
        <f>IF(Transactions_RAW_cleaned[[#This Row],[Status]]="Refunded", "Refund",
  IF(Transactions_RAW_cleaned[[#This Row],[Category]]="Payments", IF(Transactions_RAW_cleaned[[#This Row],[Amount]]&gt;500,"High Value","Standard"),
    IF(Transactions_RAW_cleaned[[#This Row],[Amount]]&gt;250,"High Value","Standard")))</f>
        <v>High Value</v>
      </c>
      <c r="Q1921" s="5" t="str">
        <f>IF(Transactions_RAW_cleaned[[#This Row],[Amount]] &gt; (_xlfn.XLOOKUP(Transactions_RAW_cleaned[[#This Row],[ServiceID]],Services_cleaned[ServiceID],Services_cleaned[TransactionFeePct]) * 10000), "Yes", "No")</f>
        <v>Yes</v>
      </c>
      <c r="R1921" s="5" t="str">
        <f>IF(COUNTIFS($C$2:Transactions_RAW_cleaned[[#This Row],[CustomerID]],Transactions_RAW_cleaned[[#This Row],[CustomerID]],$D$2:Transactions_RAW_cleaned[[#This Row],[ServiceID]],Transactions_RAW_cleaned[[#This Row],[ServiceID]])=1,"Yes","No")</f>
        <v>No</v>
      </c>
      <c r="S192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21" t="str">
        <f>"Q"&amp;ROUNDUP(MONTH(Transactions_RAW_cleaned[[#This Row],[TransactionDate]])/3,0)</f>
        <v>Q4</v>
      </c>
      <c r="U1921" t="str">
        <f>Transactions_RAW_cleaned[[#This Row],[Region ]]&amp;Transactions_RAW_cleaned[[#This Row],[Quarter ]]</f>
        <v>NAQ4</v>
      </c>
      <c r="V1921" s="5">
        <f>_xlfn.XLOOKUP(Transactions_RAW_cleaned[[#This Row],[RegionQuarterKey]], Quarterly_Targets_cleaned[RegionQuarterKey], Quarterly_Targets_cleaned[TargetRevenue])</f>
        <v>299000</v>
      </c>
    </row>
    <row r="1922" spans="1:22" x14ac:dyDescent="0.25">
      <c r="A1922" t="s">
        <v>2257</v>
      </c>
      <c r="B1922" s="1">
        <v>45546</v>
      </c>
      <c r="C1922" t="s">
        <v>76</v>
      </c>
      <c r="D1922" t="s">
        <v>306</v>
      </c>
      <c r="E1922">
        <v>139.27000000000001</v>
      </c>
      <c r="F1922" t="s">
        <v>324</v>
      </c>
      <c r="G1922" t="s">
        <v>2963</v>
      </c>
      <c r="I1922" t="s">
        <v>17</v>
      </c>
      <c r="J1922" t="s">
        <v>13</v>
      </c>
      <c r="K1922" t="s">
        <v>18</v>
      </c>
      <c r="L1922" t="s">
        <v>307</v>
      </c>
      <c r="M1922" t="s">
        <v>308</v>
      </c>
      <c r="N1922">
        <v>0</v>
      </c>
      <c r="O1922" t="str">
        <f>IF(Transactions_RAW_cleaned[[#This Row],[Status]]="Completed", IFERROR(_xlfn.XLOOKUP(Transactions_RAW_cleaned[[#This Row],[CustomerID]], Customers_cleaned[CustomerID], Customers_cleaned[Segment]), "Customer Not Found"), "N/A")</f>
        <v>Enterprise</v>
      </c>
      <c r="P1922" s="5" t="str">
        <f>IF(Transactions_RAW_cleaned[[#This Row],[Status]]="Refunded", "Refund",
  IF(Transactions_RAW_cleaned[[#This Row],[Category]]="Payments", IF(Transactions_RAW_cleaned[[#This Row],[Amount]]&gt;500,"High Value","Standard"),
    IF(Transactions_RAW_cleaned[[#This Row],[Amount]]&gt;250,"High Value","Standard")))</f>
        <v>Standard</v>
      </c>
      <c r="Q1922" s="5" t="str">
        <f>IF(Transactions_RAW_cleaned[[#This Row],[Amount]] &gt; (_xlfn.XLOOKUP(Transactions_RAW_cleaned[[#This Row],[ServiceID]],Services_cleaned[ServiceID],Services_cleaned[TransactionFeePct]) * 10000), "Yes", "No")</f>
        <v>Yes</v>
      </c>
      <c r="R1922" s="5" t="str">
        <f>IF(COUNTIFS($C$2:Transactions_RAW_cleaned[[#This Row],[CustomerID]],Transactions_RAW_cleaned[[#This Row],[CustomerID]],$D$2:Transactions_RAW_cleaned[[#This Row],[ServiceID]],Transactions_RAW_cleaned[[#This Row],[ServiceID]])=1,"Yes","No")</f>
        <v>No</v>
      </c>
      <c r="S192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22" t="str">
        <f>"Q"&amp;ROUNDUP(MONTH(Transactions_RAW_cleaned[[#This Row],[TransactionDate]])/3,0)</f>
        <v>Q3</v>
      </c>
      <c r="U1922" t="str">
        <f>Transactions_RAW_cleaned[[#This Row],[Region ]]&amp;Transactions_RAW_cleaned[[#This Row],[Quarter ]]</f>
        <v>NAQ3</v>
      </c>
      <c r="V1922" s="5">
        <f>_xlfn.XLOOKUP(Transactions_RAW_cleaned[[#This Row],[RegionQuarterKey]], Quarterly_Targets_cleaned[RegionQuarterKey], Quarterly_Targets_cleaned[TargetRevenue])</f>
        <v>273000</v>
      </c>
    </row>
    <row r="1923" spans="1:22" x14ac:dyDescent="0.25">
      <c r="A1923" t="s">
        <v>2258</v>
      </c>
      <c r="B1923" s="1">
        <v>45599</v>
      </c>
      <c r="C1923" t="s">
        <v>44</v>
      </c>
      <c r="D1923" t="s">
        <v>315</v>
      </c>
      <c r="E1923">
        <v>416.29</v>
      </c>
      <c r="F1923" t="s">
        <v>324</v>
      </c>
      <c r="G1923" t="s">
        <v>327</v>
      </c>
      <c r="I1923" t="s">
        <v>8</v>
      </c>
      <c r="J1923" t="s">
        <v>46</v>
      </c>
      <c r="K1923" t="s">
        <v>32</v>
      </c>
      <c r="L1923" t="s">
        <v>316</v>
      </c>
      <c r="M1923" t="s">
        <v>305</v>
      </c>
      <c r="N1923">
        <v>2.5000000000000001E-3</v>
      </c>
      <c r="O1923" t="str">
        <f>IF(Transactions_RAW_cleaned[[#This Row],[Status]]="Completed", IFERROR(_xlfn.XLOOKUP(Transactions_RAW_cleaned[[#This Row],[CustomerID]], Customers_cleaned[CustomerID], Customers_cleaned[Segment]), "Customer Not Found"), "N/A")</f>
        <v>SMB</v>
      </c>
      <c r="P1923" s="5" t="str">
        <f>IF(Transactions_RAW_cleaned[[#This Row],[Status]]="Refunded", "Refund",
  IF(Transactions_RAW_cleaned[[#This Row],[Category]]="Payments", IF(Transactions_RAW_cleaned[[#This Row],[Amount]]&gt;500,"High Value","Standard"),
    IF(Transactions_RAW_cleaned[[#This Row],[Amount]]&gt;250,"High Value","Standard")))</f>
        <v>High Value</v>
      </c>
      <c r="Q1923" s="5" t="str">
        <f>IF(Transactions_RAW_cleaned[[#This Row],[Amount]] &gt; (_xlfn.XLOOKUP(Transactions_RAW_cleaned[[#This Row],[ServiceID]],Services_cleaned[ServiceID],Services_cleaned[TransactionFeePct]) * 10000), "Yes", "No")</f>
        <v>Yes</v>
      </c>
      <c r="R1923" s="5" t="str">
        <f>IF(COUNTIFS($C$2:Transactions_RAW_cleaned[[#This Row],[CustomerID]],Transactions_RAW_cleaned[[#This Row],[CustomerID]],$D$2:Transactions_RAW_cleaned[[#This Row],[ServiceID]],Transactions_RAW_cleaned[[#This Row],[ServiceID]])=1,"Yes","No")</f>
        <v>No</v>
      </c>
      <c r="S192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23" t="str">
        <f>"Q"&amp;ROUNDUP(MONTH(Transactions_RAW_cleaned[[#This Row],[TransactionDate]])/3,0)</f>
        <v>Q4</v>
      </c>
      <c r="U1923" t="str">
        <f>Transactions_RAW_cleaned[[#This Row],[Region ]]&amp;Transactions_RAW_cleaned[[#This Row],[Quarter ]]</f>
        <v>APACQ4</v>
      </c>
      <c r="V1923" s="5">
        <f>_xlfn.XLOOKUP(Transactions_RAW_cleaned[[#This Row],[RegionQuarterKey]], Quarterly_Targets_cleaned[RegionQuarterKey], Quarterly_Targets_cleaned[TargetRevenue])</f>
        <v>126500</v>
      </c>
    </row>
    <row r="1924" spans="1:22" x14ac:dyDescent="0.25">
      <c r="A1924" t="s">
        <v>2259</v>
      </c>
      <c r="B1924" s="1">
        <v>45595</v>
      </c>
      <c r="C1924" t="s">
        <v>109</v>
      </c>
      <c r="D1924" t="s">
        <v>294</v>
      </c>
      <c r="E1924">
        <v>1176.52</v>
      </c>
      <c r="F1924" t="s">
        <v>324</v>
      </c>
      <c r="G1924" t="s">
        <v>327</v>
      </c>
      <c r="H1924" t="s">
        <v>332</v>
      </c>
      <c r="I1924" t="s">
        <v>8</v>
      </c>
      <c r="J1924" t="s">
        <v>102</v>
      </c>
      <c r="K1924" t="s">
        <v>18</v>
      </c>
      <c r="L1924" t="s">
        <v>295</v>
      </c>
      <c r="M1924" t="s">
        <v>296</v>
      </c>
      <c r="N1924">
        <v>2.9000000000000001E-2</v>
      </c>
      <c r="O1924" t="str">
        <f>IF(Transactions_RAW_cleaned[[#This Row],[Status]]="Completed", IFERROR(_xlfn.XLOOKUP(Transactions_RAW_cleaned[[#This Row],[CustomerID]], Customers_cleaned[CustomerID], Customers_cleaned[Segment]), "Customer Not Found"), "N/A")</f>
        <v>SMB</v>
      </c>
      <c r="P1924" s="5" t="str">
        <f>IF(Transactions_RAW_cleaned[[#This Row],[Status]]="Refunded", "Refund",
  IF(Transactions_RAW_cleaned[[#This Row],[Category]]="Payments", IF(Transactions_RAW_cleaned[[#This Row],[Amount]]&gt;500,"High Value","Standard"),
    IF(Transactions_RAW_cleaned[[#This Row],[Amount]]&gt;250,"High Value","Standard")))</f>
        <v>High Value</v>
      </c>
      <c r="Q1924" s="5" t="str">
        <f>IF(Transactions_RAW_cleaned[[#This Row],[Amount]] &gt; (_xlfn.XLOOKUP(Transactions_RAW_cleaned[[#This Row],[ServiceID]],Services_cleaned[ServiceID],Services_cleaned[TransactionFeePct]) * 10000), "Yes", "No")</f>
        <v>Yes</v>
      </c>
      <c r="R1924" s="5" t="str">
        <f>IF(COUNTIFS($C$2:Transactions_RAW_cleaned[[#This Row],[CustomerID]],Transactions_RAW_cleaned[[#This Row],[CustomerID]],$D$2:Transactions_RAW_cleaned[[#This Row],[ServiceID]],Transactions_RAW_cleaned[[#This Row],[ServiceID]])=1,"Yes","No")</f>
        <v>No</v>
      </c>
      <c r="S192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24" t="str">
        <f>"Q"&amp;ROUNDUP(MONTH(Transactions_RAW_cleaned[[#This Row],[TransactionDate]])/3,0)</f>
        <v>Q4</v>
      </c>
      <c r="U1924" t="str">
        <f>Transactions_RAW_cleaned[[#This Row],[Region ]]&amp;Transactions_RAW_cleaned[[#This Row],[Quarter ]]</f>
        <v>NAQ4</v>
      </c>
      <c r="V1924" s="5">
        <f>_xlfn.XLOOKUP(Transactions_RAW_cleaned[[#This Row],[RegionQuarterKey]], Quarterly_Targets_cleaned[RegionQuarterKey], Quarterly_Targets_cleaned[TargetRevenue])</f>
        <v>299000</v>
      </c>
    </row>
    <row r="1925" spans="1:22" x14ac:dyDescent="0.25">
      <c r="A1925" t="s">
        <v>2260</v>
      </c>
      <c r="B1925" s="1">
        <v>45654</v>
      </c>
      <c r="C1925" t="s">
        <v>151</v>
      </c>
      <c r="D1925" t="s">
        <v>303</v>
      </c>
      <c r="E1925">
        <v>204.19</v>
      </c>
      <c r="F1925" t="s">
        <v>324</v>
      </c>
      <c r="G1925" t="s">
        <v>337</v>
      </c>
      <c r="I1925" t="s">
        <v>8</v>
      </c>
      <c r="J1925" t="s">
        <v>46</v>
      </c>
      <c r="K1925" t="s">
        <v>18</v>
      </c>
      <c r="L1925" t="s">
        <v>304</v>
      </c>
      <c r="M1925" t="s">
        <v>305</v>
      </c>
      <c r="N1925">
        <v>1E-3</v>
      </c>
      <c r="O1925" t="str">
        <f>IF(Transactions_RAW_cleaned[[#This Row],[Status]]="Completed", IFERROR(_xlfn.XLOOKUP(Transactions_RAW_cleaned[[#This Row],[CustomerID]], Customers_cleaned[CustomerID], Customers_cleaned[Segment]), "Customer Not Found"), "N/A")</f>
        <v>SMB</v>
      </c>
      <c r="P1925" s="5" t="str">
        <f>IF(Transactions_RAW_cleaned[[#This Row],[Status]]="Refunded", "Refund",
  IF(Transactions_RAW_cleaned[[#This Row],[Category]]="Payments", IF(Transactions_RAW_cleaned[[#This Row],[Amount]]&gt;500,"High Value","Standard"),
    IF(Transactions_RAW_cleaned[[#This Row],[Amount]]&gt;250,"High Value","Standard")))</f>
        <v>Standard</v>
      </c>
      <c r="Q1925" s="5" t="str">
        <f>IF(Transactions_RAW_cleaned[[#This Row],[Amount]] &gt; (_xlfn.XLOOKUP(Transactions_RAW_cleaned[[#This Row],[ServiceID]],Services_cleaned[ServiceID],Services_cleaned[TransactionFeePct]) * 10000), "Yes", "No")</f>
        <v>Yes</v>
      </c>
      <c r="R1925" s="5" t="str">
        <f>IF(COUNTIFS($C$2:Transactions_RAW_cleaned[[#This Row],[CustomerID]],Transactions_RAW_cleaned[[#This Row],[CustomerID]],$D$2:Transactions_RAW_cleaned[[#This Row],[ServiceID]],Transactions_RAW_cleaned[[#This Row],[ServiceID]])=1,"Yes","No")</f>
        <v>No</v>
      </c>
      <c r="S192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25" t="str">
        <f>"Q"&amp;ROUNDUP(MONTH(Transactions_RAW_cleaned[[#This Row],[TransactionDate]])/3,0)</f>
        <v>Q4</v>
      </c>
      <c r="U1925" t="str">
        <f>Transactions_RAW_cleaned[[#This Row],[Region ]]&amp;Transactions_RAW_cleaned[[#This Row],[Quarter ]]</f>
        <v>APACQ4</v>
      </c>
      <c r="V1925" s="5">
        <f>_xlfn.XLOOKUP(Transactions_RAW_cleaned[[#This Row],[RegionQuarterKey]], Quarterly_Targets_cleaned[RegionQuarterKey], Quarterly_Targets_cleaned[TargetRevenue])</f>
        <v>126500</v>
      </c>
    </row>
    <row r="1926" spans="1:22" x14ac:dyDescent="0.25">
      <c r="A1926" t="s">
        <v>2261</v>
      </c>
      <c r="B1926" s="1">
        <v>45305</v>
      </c>
      <c r="C1926" t="s">
        <v>263</v>
      </c>
      <c r="D1926" t="s">
        <v>294</v>
      </c>
      <c r="E1926">
        <v>242.55</v>
      </c>
      <c r="F1926" t="s">
        <v>324</v>
      </c>
      <c r="G1926" t="s">
        <v>2963</v>
      </c>
      <c r="H1926" t="s">
        <v>346</v>
      </c>
      <c r="I1926" t="s">
        <v>8</v>
      </c>
      <c r="J1926" t="s">
        <v>102</v>
      </c>
      <c r="K1926" t="s">
        <v>32</v>
      </c>
      <c r="L1926" t="s">
        <v>295</v>
      </c>
      <c r="M1926" t="s">
        <v>296</v>
      </c>
      <c r="N1926">
        <v>2.9000000000000001E-2</v>
      </c>
      <c r="O1926" t="str">
        <f>IF(Transactions_RAW_cleaned[[#This Row],[Status]]="Completed", IFERROR(_xlfn.XLOOKUP(Transactions_RAW_cleaned[[#This Row],[CustomerID]], Customers_cleaned[CustomerID], Customers_cleaned[Segment]), "Customer Not Found"), "N/A")</f>
        <v>SMB</v>
      </c>
      <c r="P1926" s="5" t="str">
        <f>IF(Transactions_RAW_cleaned[[#This Row],[Status]]="Refunded", "Refund",
  IF(Transactions_RAW_cleaned[[#This Row],[Category]]="Payments", IF(Transactions_RAW_cleaned[[#This Row],[Amount]]&gt;500,"High Value","Standard"),
    IF(Transactions_RAW_cleaned[[#This Row],[Amount]]&gt;250,"High Value","Standard")))</f>
        <v>Standard</v>
      </c>
      <c r="Q1926" s="5" t="str">
        <f>IF(Transactions_RAW_cleaned[[#This Row],[Amount]] &gt; (_xlfn.XLOOKUP(Transactions_RAW_cleaned[[#This Row],[ServiceID]],Services_cleaned[ServiceID],Services_cleaned[TransactionFeePct]) * 10000), "Yes", "No")</f>
        <v>No</v>
      </c>
      <c r="R1926" s="5" t="str">
        <f>IF(COUNTIFS($C$2:Transactions_RAW_cleaned[[#This Row],[CustomerID]],Transactions_RAW_cleaned[[#This Row],[CustomerID]],$D$2:Transactions_RAW_cleaned[[#This Row],[ServiceID]],Transactions_RAW_cleaned[[#This Row],[ServiceID]])=1,"Yes","No")</f>
        <v>No</v>
      </c>
      <c r="S192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26" t="str">
        <f>"Q"&amp;ROUNDUP(MONTH(Transactions_RAW_cleaned[[#This Row],[TransactionDate]])/3,0)</f>
        <v>Q1</v>
      </c>
      <c r="U1926" t="str">
        <f>Transactions_RAW_cleaned[[#This Row],[Region ]]&amp;Transactions_RAW_cleaned[[#This Row],[Quarter ]]</f>
        <v>NAQ1</v>
      </c>
      <c r="V1926" s="5">
        <f>_xlfn.XLOOKUP(Transactions_RAW_cleaned[[#This Row],[RegionQuarterKey]], Quarterly_Targets_cleaned[RegionQuarterKey], Quarterly_Targets_cleaned[TargetRevenue])</f>
        <v>247000</v>
      </c>
    </row>
    <row r="1927" spans="1:22" x14ac:dyDescent="0.25">
      <c r="A1927" t="s">
        <v>2262</v>
      </c>
      <c r="B1927" s="1">
        <v>45324</v>
      </c>
      <c r="C1927" t="s">
        <v>243</v>
      </c>
      <c r="D1927" t="s">
        <v>315</v>
      </c>
      <c r="E1927">
        <v>209.59</v>
      </c>
      <c r="F1927" t="s">
        <v>324</v>
      </c>
      <c r="G1927" t="s">
        <v>327</v>
      </c>
      <c r="H1927" t="s">
        <v>332</v>
      </c>
      <c r="I1927" t="s">
        <v>17</v>
      </c>
      <c r="J1927" t="s">
        <v>13</v>
      </c>
      <c r="K1927" t="s">
        <v>28</v>
      </c>
      <c r="L1927" t="s">
        <v>316</v>
      </c>
      <c r="M1927" t="s">
        <v>305</v>
      </c>
      <c r="N1927">
        <v>2.5000000000000001E-3</v>
      </c>
      <c r="O1927" t="str">
        <f>IF(Transactions_RAW_cleaned[[#This Row],[Status]]="Completed", IFERROR(_xlfn.XLOOKUP(Transactions_RAW_cleaned[[#This Row],[CustomerID]], Customers_cleaned[CustomerID], Customers_cleaned[Segment]), "Customer Not Found"), "N/A")</f>
        <v>Enterprise</v>
      </c>
      <c r="P1927" s="5" t="str">
        <f>IF(Transactions_RAW_cleaned[[#This Row],[Status]]="Refunded", "Refund",
  IF(Transactions_RAW_cleaned[[#This Row],[Category]]="Payments", IF(Transactions_RAW_cleaned[[#This Row],[Amount]]&gt;500,"High Value","Standard"),
    IF(Transactions_RAW_cleaned[[#This Row],[Amount]]&gt;250,"High Value","Standard")))</f>
        <v>Standard</v>
      </c>
      <c r="Q1927" s="5" t="str">
        <f>IF(Transactions_RAW_cleaned[[#This Row],[Amount]] &gt; (_xlfn.XLOOKUP(Transactions_RAW_cleaned[[#This Row],[ServiceID]],Services_cleaned[ServiceID],Services_cleaned[TransactionFeePct]) * 10000), "Yes", "No")</f>
        <v>Yes</v>
      </c>
      <c r="R1927" s="5" t="str">
        <f>IF(COUNTIFS($C$2:Transactions_RAW_cleaned[[#This Row],[CustomerID]],Transactions_RAW_cleaned[[#This Row],[CustomerID]],$D$2:Transactions_RAW_cleaned[[#This Row],[ServiceID]],Transactions_RAW_cleaned[[#This Row],[ServiceID]])=1,"Yes","No")</f>
        <v>No</v>
      </c>
      <c r="S192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27" t="str">
        <f>"Q"&amp;ROUNDUP(MONTH(Transactions_RAW_cleaned[[#This Row],[TransactionDate]])/3,0)</f>
        <v>Q1</v>
      </c>
      <c r="U1927" t="str">
        <f>Transactions_RAW_cleaned[[#This Row],[Region ]]&amp;Transactions_RAW_cleaned[[#This Row],[Quarter ]]</f>
        <v>NAQ1</v>
      </c>
      <c r="V1927" s="5">
        <f>_xlfn.XLOOKUP(Transactions_RAW_cleaned[[#This Row],[RegionQuarterKey]], Quarterly_Targets_cleaned[RegionQuarterKey], Quarterly_Targets_cleaned[TargetRevenue])</f>
        <v>247000</v>
      </c>
    </row>
    <row r="1928" spans="1:22" x14ac:dyDescent="0.25">
      <c r="A1928" t="s">
        <v>2263</v>
      </c>
      <c r="B1928" s="1">
        <v>45542</v>
      </c>
      <c r="C1928" t="s">
        <v>88</v>
      </c>
      <c r="D1928" t="s">
        <v>297</v>
      </c>
      <c r="E1928">
        <v>413.4</v>
      </c>
      <c r="F1928" t="s">
        <v>324</v>
      </c>
      <c r="G1928" t="s">
        <v>337</v>
      </c>
      <c r="H1928" t="s">
        <v>346</v>
      </c>
      <c r="I1928" t="s">
        <v>8</v>
      </c>
      <c r="J1928" t="s">
        <v>102</v>
      </c>
      <c r="K1928" t="s">
        <v>18</v>
      </c>
      <c r="L1928" t="s">
        <v>298</v>
      </c>
      <c r="M1928" t="s">
        <v>299</v>
      </c>
      <c r="N1928">
        <v>0</v>
      </c>
      <c r="O1928" t="str">
        <f>IF(Transactions_RAW_cleaned[[#This Row],[Status]]="Completed", IFERROR(_xlfn.XLOOKUP(Transactions_RAW_cleaned[[#This Row],[CustomerID]], Customers_cleaned[CustomerID], Customers_cleaned[Segment]), "Customer Not Found"), "N/A")</f>
        <v>SMB</v>
      </c>
      <c r="P1928" s="5" t="str">
        <f>IF(Transactions_RAW_cleaned[[#This Row],[Status]]="Refunded", "Refund",
  IF(Transactions_RAW_cleaned[[#This Row],[Category]]="Payments", IF(Transactions_RAW_cleaned[[#This Row],[Amount]]&gt;500,"High Value","Standard"),
    IF(Transactions_RAW_cleaned[[#This Row],[Amount]]&gt;250,"High Value","Standard")))</f>
        <v>High Value</v>
      </c>
      <c r="Q1928" s="5" t="str">
        <f>IF(Transactions_RAW_cleaned[[#This Row],[Amount]] &gt; (_xlfn.XLOOKUP(Transactions_RAW_cleaned[[#This Row],[ServiceID]],Services_cleaned[ServiceID],Services_cleaned[TransactionFeePct]) * 10000), "Yes", "No")</f>
        <v>Yes</v>
      </c>
      <c r="R1928" s="5" t="str">
        <f>IF(COUNTIFS($C$2:Transactions_RAW_cleaned[[#This Row],[CustomerID]],Transactions_RAW_cleaned[[#This Row],[CustomerID]],$D$2:Transactions_RAW_cleaned[[#This Row],[ServiceID]],Transactions_RAW_cleaned[[#This Row],[ServiceID]])=1,"Yes","No")</f>
        <v>No</v>
      </c>
      <c r="S192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28" t="str">
        <f>"Q"&amp;ROUNDUP(MONTH(Transactions_RAW_cleaned[[#This Row],[TransactionDate]])/3,0)</f>
        <v>Q3</v>
      </c>
      <c r="U1928" t="str">
        <f>Transactions_RAW_cleaned[[#This Row],[Region ]]&amp;Transactions_RAW_cleaned[[#This Row],[Quarter ]]</f>
        <v>NAQ3</v>
      </c>
      <c r="V1928" s="5">
        <f>_xlfn.XLOOKUP(Transactions_RAW_cleaned[[#This Row],[RegionQuarterKey]], Quarterly_Targets_cleaned[RegionQuarterKey], Quarterly_Targets_cleaned[TargetRevenue])</f>
        <v>273000</v>
      </c>
    </row>
    <row r="1929" spans="1:22" x14ac:dyDescent="0.25">
      <c r="A1929" t="s">
        <v>2264</v>
      </c>
      <c r="B1929" s="1">
        <v>45503</v>
      </c>
      <c r="C1929" t="s">
        <v>129</v>
      </c>
      <c r="D1929" t="s">
        <v>312</v>
      </c>
      <c r="E1929">
        <v>214.91</v>
      </c>
      <c r="F1929" t="s">
        <v>324</v>
      </c>
      <c r="G1929" t="s">
        <v>325</v>
      </c>
      <c r="H1929" t="s">
        <v>346</v>
      </c>
      <c r="I1929" t="s">
        <v>8</v>
      </c>
      <c r="J1929" t="s">
        <v>21</v>
      </c>
      <c r="K1929" t="s">
        <v>18</v>
      </c>
      <c r="L1929" t="s">
        <v>313</v>
      </c>
      <c r="M1929" t="s">
        <v>314</v>
      </c>
      <c r="N1929">
        <v>0</v>
      </c>
      <c r="O1929" t="str">
        <f>IF(Transactions_RAW_cleaned[[#This Row],[Status]]="Completed", IFERROR(_xlfn.XLOOKUP(Transactions_RAW_cleaned[[#This Row],[CustomerID]], Customers_cleaned[CustomerID], Customers_cleaned[Segment]), "Customer Not Found"), "N/A")</f>
        <v>SMB</v>
      </c>
      <c r="P1929" s="5" t="str">
        <f>IF(Transactions_RAW_cleaned[[#This Row],[Status]]="Refunded", "Refund",
  IF(Transactions_RAW_cleaned[[#This Row],[Category]]="Payments", IF(Transactions_RAW_cleaned[[#This Row],[Amount]]&gt;500,"High Value","Standard"),
    IF(Transactions_RAW_cleaned[[#This Row],[Amount]]&gt;250,"High Value","Standard")))</f>
        <v>Standard</v>
      </c>
      <c r="Q1929" s="5" t="str">
        <f>IF(Transactions_RAW_cleaned[[#This Row],[Amount]] &gt; (_xlfn.XLOOKUP(Transactions_RAW_cleaned[[#This Row],[ServiceID]],Services_cleaned[ServiceID],Services_cleaned[TransactionFeePct]) * 10000), "Yes", "No")</f>
        <v>Yes</v>
      </c>
      <c r="R1929" s="5" t="str">
        <f>IF(COUNTIFS($C$2:Transactions_RAW_cleaned[[#This Row],[CustomerID]],Transactions_RAW_cleaned[[#This Row],[CustomerID]],$D$2:Transactions_RAW_cleaned[[#This Row],[ServiceID]],Transactions_RAW_cleaned[[#This Row],[ServiceID]])=1,"Yes","No")</f>
        <v>No</v>
      </c>
      <c r="S192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29" t="str">
        <f>"Q"&amp;ROUNDUP(MONTH(Transactions_RAW_cleaned[[#This Row],[TransactionDate]])/3,0)</f>
        <v>Q3</v>
      </c>
      <c r="U1929" t="str">
        <f>Transactions_RAW_cleaned[[#This Row],[Region ]]&amp;Transactions_RAW_cleaned[[#This Row],[Quarter ]]</f>
        <v>APACQ3</v>
      </c>
      <c r="V1929" s="5">
        <f>_xlfn.XLOOKUP(Transactions_RAW_cleaned[[#This Row],[RegionQuarterKey]], Quarterly_Targets_cleaned[RegionQuarterKey], Quarterly_Targets_cleaned[TargetRevenue])</f>
        <v>115500</v>
      </c>
    </row>
    <row r="1930" spans="1:22" x14ac:dyDescent="0.25">
      <c r="A1930" t="s">
        <v>2265</v>
      </c>
      <c r="B1930" s="1">
        <v>45402</v>
      </c>
      <c r="C1930" t="s">
        <v>269</v>
      </c>
      <c r="D1930" t="s">
        <v>312</v>
      </c>
      <c r="E1930">
        <v>881.84</v>
      </c>
      <c r="F1930" t="s">
        <v>324</v>
      </c>
      <c r="G1930" t="s">
        <v>325</v>
      </c>
      <c r="H1930" t="s">
        <v>334</v>
      </c>
      <c r="I1930" t="s">
        <v>17</v>
      </c>
      <c r="J1930" t="s">
        <v>31</v>
      </c>
      <c r="K1930" t="s">
        <v>32</v>
      </c>
      <c r="L1930" t="s">
        <v>313</v>
      </c>
      <c r="M1930" t="s">
        <v>314</v>
      </c>
      <c r="N1930">
        <v>0</v>
      </c>
      <c r="O1930" t="str">
        <f>IF(Transactions_RAW_cleaned[[#This Row],[Status]]="Completed", IFERROR(_xlfn.XLOOKUP(Transactions_RAW_cleaned[[#This Row],[CustomerID]], Customers_cleaned[CustomerID], Customers_cleaned[Segment]), "Customer Not Found"), "N/A")</f>
        <v>Enterprise</v>
      </c>
      <c r="P1930" s="5" t="str">
        <f>IF(Transactions_RAW_cleaned[[#This Row],[Status]]="Refunded", "Refund",
  IF(Transactions_RAW_cleaned[[#This Row],[Category]]="Payments", IF(Transactions_RAW_cleaned[[#This Row],[Amount]]&gt;500,"High Value","Standard"),
    IF(Transactions_RAW_cleaned[[#This Row],[Amount]]&gt;250,"High Value","Standard")))</f>
        <v>High Value</v>
      </c>
      <c r="Q1930" s="5" t="str">
        <f>IF(Transactions_RAW_cleaned[[#This Row],[Amount]] &gt; (_xlfn.XLOOKUP(Transactions_RAW_cleaned[[#This Row],[ServiceID]],Services_cleaned[ServiceID],Services_cleaned[TransactionFeePct]) * 10000), "Yes", "No")</f>
        <v>Yes</v>
      </c>
      <c r="R1930" s="5" t="str">
        <f>IF(COUNTIFS($C$2:Transactions_RAW_cleaned[[#This Row],[CustomerID]],Transactions_RAW_cleaned[[#This Row],[CustomerID]],$D$2:Transactions_RAW_cleaned[[#This Row],[ServiceID]],Transactions_RAW_cleaned[[#This Row],[ServiceID]])=1,"Yes","No")</f>
        <v>No</v>
      </c>
      <c r="S193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930" t="str">
        <f>"Q"&amp;ROUNDUP(MONTH(Transactions_RAW_cleaned[[#This Row],[TransactionDate]])/3,0)</f>
        <v>Q2</v>
      </c>
      <c r="U1930" t="str">
        <f>Transactions_RAW_cleaned[[#This Row],[Region ]]&amp;Transactions_RAW_cleaned[[#This Row],[Quarter ]]</f>
        <v>EMEAQ2</v>
      </c>
      <c r="V1930" s="5">
        <f>_xlfn.XLOOKUP(Transactions_RAW_cleaned[[#This Row],[RegionQuarterKey]], Quarterly_Targets_cleaned[RegionQuarterKey], Quarterly_Targets_cleaned[TargetRevenue])</f>
        <v>140000</v>
      </c>
    </row>
    <row r="1931" spans="1:22" x14ac:dyDescent="0.25">
      <c r="A1931" t="s">
        <v>2266</v>
      </c>
      <c r="B1931" s="1">
        <v>45524</v>
      </c>
      <c r="C1931" t="s">
        <v>235</v>
      </c>
      <c r="D1931" t="s">
        <v>306</v>
      </c>
      <c r="E1931">
        <v>410.33</v>
      </c>
      <c r="F1931" t="s">
        <v>324</v>
      </c>
      <c r="G1931" t="s">
        <v>337</v>
      </c>
      <c r="H1931" t="s">
        <v>332</v>
      </c>
      <c r="I1931" t="s">
        <v>57</v>
      </c>
      <c r="J1931" t="s">
        <v>21</v>
      </c>
      <c r="K1931" t="s">
        <v>22</v>
      </c>
      <c r="L1931" t="s">
        <v>307</v>
      </c>
      <c r="M1931" t="s">
        <v>308</v>
      </c>
      <c r="N1931">
        <v>0</v>
      </c>
      <c r="O1931" t="str">
        <f>IF(Transactions_RAW_cleaned[[#This Row],[Status]]="Completed", IFERROR(_xlfn.XLOOKUP(Transactions_RAW_cleaned[[#This Row],[CustomerID]], Customers_cleaned[CustomerID], Customers_cleaned[Segment]), "Customer Not Found"), "N/A")</f>
        <v>Startup</v>
      </c>
      <c r="P1931" s="5" t="str">
        <f>IF(Transactions_RAW_cleaned[[#This Row],[Status]]="Refunded", "Refund",
  IF(Transactions_RAW_cleaned[[#This Row],[Category]]="Payments", IF(Transactions_RAW_cleaned[[#This Row],[Amount]]&gt;500,"High Value","Standard"),
    IF(Transactions_RAW_cleaned[[#This Row],[Amount]]&gt;250,"High Value","Standard")))</f>
        <v>High Value</v>
      </c>
      <c r="Q1931" s="5" t="str">
        <f>IF(Transactions_RAW_cleaned[[#This Row],[Amount]] &gt; (_xlfn.XLOOKUP(Transactions_RAW_cleaned[[#This Row],[ServiceID]],Services_cleaned[ServiceID],Services_cleaned[TransactionFeePct]) * 10000), "Yes", "No")</f>
        <v>Yes</v>
      </c>
      <c r="R1931" s="5" t="str">
        <f>IF(COUNTIFS($C$2:Transactions_RAW_cleaned[[#This Row],[CustomerID]],Transactions_RAW_cleaned[[#This Row],[CustomerID]],$D$2:Transactions_RAW_cleaned[[#This Row],[ServiceID]],Transactions_RAW_cleaned[[#This Row],[ServiceID]])=1,"Yes","No")</f>
        <v>No</v>
      </c>
      <c r="S193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31" t="str">
        <f>"Q"&amp;ROUNDUP(MONTH(Transactions_RAW_cleaned[[#This Row],[TransactionDate]])/3,0)</f>
        <v>Q3</v>
      </c>
      <c r="U1931" t="str">
        <f>Transactions_RAW_cleaned[[#This Row],[Region ]]&amp;Transactions_RAW_cleaned[[#This Row],[Quarter ]]</f>
        <v>APACQ3</v>
      </c>
      <c r="V1931" s="5">
        <f>_xlfn.XLOOKUP(Transactions_RAW_cleaned[[#This Row],[RegionQuarterKey]], Quarterly_Targets_cleaned[RegionQuarterKey], Quarterly_Targets_cleaned[TargetRevenue])</f>
        <v>115500</v>
      </c>
    </row>
    <row r="1932" spans="1:22" x14ac:dyDescent="0.25">
      <c r="A1932" t="s">
        <v>2267</v>
      </c>
      <c r="B1932" s="1">
        <v>45470</v>
      </c>
      <c r="C1932" t="s">
        <v>125</v>
      </c>
      <c r="D1932" t="s">
        <v>300</v>
      </c>
      <c r="E1932">
        <v>118.39</v>
      </c>
      <c r="F1932" t="s">
        <v>324</v>
      </c>
      <c r="G1932" t="s">
        <v>329</v>
      </c>
      <c r="I1932" t="s">
        <v>8</v>
      </c>
      <c r="J1932" t="s">
        <v>13</v>
      </c>
      <c r="K1932" t="s">
        <v>28</v>
      </c>
      <c r="L1932" t="s">
        <v>301</v>
      </c>
      <c r="M1932" t="s">
        <v>302</v>
      </c>
      <c r="N1932">
        <v>5.0000000000000001E-3</v>
      </c>
      <c r="O1932" t="str">
        <f>IF(Transactions_RAW_cleaned[[#This Row],[Status]]="Completed", IFERROR(_xlfn.XLOOKUP(Transactions_RAW_cleaned[[#This Row],[CustomerID]], Customers_cleaned[CustomerID], Customers_cleaned[Segment]), "Customer Not Found"), "N/A")</f>
        <v>SMB</v>
      </c>
      <c r="P1932" s="5" t="str">
        <f>IF(Transactions_RAW_cleaned[[#This Row],[Status]]="Refunded", "Refund",
  IF(Transactions_RAW_cleaned[[#This Row],[Category]]="Payments", IF(Transactions_RAW_cleaned[[#This Row],[Amount]]&gt;500,"High Value","Standard"),
    IF(Transactions_RAW_cleaned[[#This Row],[Amount]]&gt;250,"High Value","Standard")))</f>
        <v>Standard</v>
      </c>
      <c r="Q1932" s="5" t="str">
        <f>IF(Transactions_RAW_cleaned[[#This Row],[Amount]] &gt; (_xlfn.XLOOKUP(Transactions_RAW_cleaned[[#This Row],[ServiceID]],Services_cleaned[ServiceID],Services_cleaned[TransactionFeePct]) * 10000), "Yes", "No")</f>
        <v>Yes</v>
      </c>
      <c r="R1932" s="5" t="str">
        <f>IF(COUNTIFS($C$2:Transactions_RAW_cleaned[[#This Row],[CustomerID]],Transactions_RAW_cleaned[[#This Row],[CustomerID]],$D$2:Transactions_RAW_cleaned[[#This Row],[ServiceID]],Transactions_RAW_cleaned[[#This Row],[ServiceID]])=1,"Yes","No")</f>
        <v>No</v>
      </c>
      <c r="S193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32" t="str">
        <f>"Q"&amp;ROUNDUP(MONTH(Transactions_RAW_cleaned[[#This Row],[TransactionDate]])/3,0)</f>
        <v>Q2</v>
      </c>
      <c r="U1932" t="str">
        <f>Transactions_RAW_cleaned[[#This Row],[Region ]]&amp;Transactions_RAW_cleaned[[#This Row],[Quarter ]]</f>
        <v>NAQ2</v>
      </c>
      <c r="V1932" s="5">
        <f>_xlfn.XLOOKUP(Transactions_RAW_cleaned[[#This Row],[RegionQuarterKey]], Quarterly_Targets_cleaned[RegionQuarterKey], Quarterly_Targets_cleaned[TargetRevenue])</f>
        <v>260000</v>
      </c>
    </row>
    <row r="1933" spans="1:22" x14ac:dyDescent="0.25">
      <c r="A1933" t="s">
        <v>2268</v>
      </c>
      <c r="B1933" s="1">
        <v>45611</v>
      </c>
      <c r="C1933" t="s">
        <v>151</v>
      </c>
      <c r="D1933" t="s">
        <v>309</v>
      </c>
      <c r="E1933">
        <v>486.46</v>
      </c>
      <c r="F1933" t="s">
        <v>324</v>
      </c>
      <c r="G1933" t="s">
        <v>329</v>
      </c>
      <c r="H1933" t="s">
        <v>334</v>
      </c>
      <c r="I1933" t="s">
        <v>8</v>
      </c>
      <c r="J1933" t="s">
        <v>46</v>
      </c>
      <c r="K1933" t="s">
        <v>18</v>
      </c>
      <c r="L1933" t="s">
        <v>310</v>
      </c>
      <c r="M1933" t="s">
        <v>311</v>
      </c>
      <c r="N1933">
        <v>0</v>
      </c>
      <c r="O1933" t="str">
        <f>IF(Transactions_RAW_cleaned[[#This Row],[Status]]="Completed", IFERROR(_xlfn.XLOOKUP(Transactions_RAW_cleaned[[#This Row],[CustomerID]], Customers_cleaned[CustomerID], Customers_cleaned[Segment]), "Customer Not Found"), "N/A")</f>
        <v>SMB</v>
      </c>
      <c r="P1933" s="5" t="str">
        <f>IF(Transactions_RAW_cleaned[[#This Row],[Status]]="Refunded", "Refund",
  IF(Transactions_RAW_cleaned[[#This Row],[Category]]="Payments", IF(Transactions_RAW_cleaned[[#This Row],[Amount]]&gt;500,"High Value","Standard"),
    IF(Transactions_RAW_cleaned[[#This Row],[Amount]]&gt;250,"High Value","Standard")))</f>
        <v>High Value</v>
      </c>
      <c r="Q1933" s="5" t="str">
        <f>IF(Transactions_RAW_cleaned[[#This Row],[Amount]] &gt; (_xlfn.XLOOKUP(Transactions_RAW_cleaned[[#This Row],[ServiceID]],Services_cleaned[ServiceID],Services_cleaned[TransactionFeePct]) * 10000), "Yes", "No")</f>
        <v>Yes</v>
      </c>
      <c r="R1933" s="5" t="str">
        <f>IF(COUNTIFS($C$2:Transactions_RAW_cleaned[[#This Row],[CustomerID]],Transactions_RAW_cleaned[[#This Row],[CustomerID]],$D$2:Transactions_RAW_cleaned[[#This Row],[ServiceID]],Transactions_RAW_cleaned[[#This Row],[ServiceID]])=1,"Yes","No")</f>
        <v>Yes</v>
      </c>
      <c r="S193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33" t="str">
        <f>"Q"&amp;ROUNDUP(MONTH(Transactions_RAW_cleaned[[#This Row],[TransactionDate]])/3,0)</f>
        <v>Q4</v>
      </c>
      <c r="U1933" t="str">
        <f>Transactions_RAW_cleaned[[#This Row],[Region ]]&amp;Transactions_RAW_cleaned[[#This Row],[Quarter ]]</f>
        <v>APACQ4</v>
      </c>
      <c r="V1933" s="5">
        <f>_xlfn.XLOOKUP(Transactions_RAW_cleaned[[#This Row],[RegionQuarterKey]], Quarterly_Targets_cleaned[RegionQuarterKey], Quarterly_Targets_cleaned[TargetRevenue])</f>
        <v>126500</v>
      </c>
    </row>
    <row r="1934" spans="1:22" x14ac:dyDescent="0.25">
      <c r="A1934" t="s">
        <v>2269</v>
      </c>
      <c r="B1934" s="1">
        <v>45534</v>
      </c>
      <c r="C1934" t="s">
        <v>191</v>
      </c>
      <c r="D1934" t="s">
        <v>300</v>
      </c>
      <c r="E1934">
        <v>-214.26</v>
      </c>
      <c r="F1934" t="s">
        <v>349</v>
      </c>
      <c r="G1934" t="s">
        <v>327</v>
      </c>
      <c r="H1934" t="s">
        <v>332</v>
      </c>
      <c r="I1934" t="s">
        <v>57</v>
      </c>
      <c r="J1934" t="s">
        <v>31</v>
      </c>
      <c r="K1934" t="s">
        <v>32</v>
      </c>
      <c r="L1934" t="s">
        <v>301</v>
      </c>
      <c r="M1934" t="s">
        <v>302</v>
      </c>
      <c r="N1934">
        <v>5.0000000000000001E-3</v>
      </c>
      <c r="O1934" t="str">
        <f>IF(Transactions_RAW_cleaned[[#This Row],[Status]]="Completed", IFERROR(_xlfn.XLOOKUP(Transactions_RAW_cleaned[[#This Row],[CustomerID]], Customers_cleaned[CustomerID], Customers_cleaned[Segment]), "Customer Not Found"), "N/A")</f>
        <v>N/A</v>
      </c>
      <c r="P1934" s="5" t="str">
        <f>IF(Transactions_RAW_cleaned[[#This Row],[Status]]="Refunded", "Refund",
  IF(Transactions_RAW_cleaned[[#This Row],[Category]]="Payments", IF(Transactions_RAW_cleaned[[#This Row],[Amount]]&gt;500,"High Value","Standard"),
    IF(Transactions_RAW_cleaned[[#This Row],[Amount]]&gt;250,"High Value","Standard")))</f>
        <v>Refund</v>
      </c>
      <c r="Q1934" s="5" t="str">
        <f>IF(Transactions_RAW_cleaned[[#This Row],[Amount]] &gt; (_xlfn.XLOOKUP(Transactions_RAW_cleaned[[#This Row],[ServiceID]],Services_cleaned[ServiceID],Services_cleaned[TransactionFeePct]) * 10000), "Yes", "No")</f>
        <v>No</v>
      </c>
      <c r="R1934" s="5" t="str">
        <f>IF(COUNTIFS($C$2:Transactions_RAW_cleaned[[#This Row],[CustomerID]],Transactions_RAW_cleaned[[#This Row],[CustomerID]],$D$2:Transactions_RAW_cleaned[[#This Row],[ServiceID]],Transactions_RAW_cleaned[[#This Row],[ServiceID]])=1,"Yes","No")</f>
        <v>No</v>
      </c>
      <c r="S193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934" t="str">
        <f>"Q"&amp;ROUNDUP(MONTH(Transactions_RAW_cleaned[[#This Row],[TransactionDate]])/3,0)</f>
        <v>Q3</v>
      </c>
      <c r="U1934" t="str">
        <f>Transactions_RAW_cleaned[[#This Row],[Region ]]&amp;Transactions_RAW_cleaned[[#This Row],[Quarter ]]</f>
        <v>EMEAQ3</v>
      </c>
      <c r="V1934" s="5">
        <f>_xlfn.XLOOKUP(Transactions_RAW_cleaned[[#This Row],[RegionQuarterKey]], Quarterly_Targets_cleaned[RegionQuarterKey], Quarterly_Targets_cleaned[TargetRevenue])</f>
        <v>147000</v>
      </c>
    </row>
    <row r="1935" spans="1:22" x14ac:dyDescent="0.25">
      <c r="A1935" t="s">
        <v>2270</v>
      </c>
      <c r="B1935" s="1">
        <v>45431</v>
      </c>
      <c r="C1935" t="s">
        <v>185</v>
      </c>
      <c r="D1935" t="s">
        <v>294</v>
      </c>
      <c r="E1935">
        <v>848.22</v>
      </c>
      <c r="F1935" t="s">
        <v>381</v>
      </c>
      <c r="G1935" t="s">
        <v>325</v>
      </c>
      <c r="H1935" t="s">
        <v>332</v>
      </c>
      <c r="I1935" t="s">
        <v>17</v>
      </c>
      <c r="J1935" t="s">
        <v>13</v>
      </c>
      <c r="K1935" t="s">
        <v>32</v>
      </c>
      <c r="L1935" t="s">
        <v>295</v>
      </c>
      <c r="M1935" t="s">
        <v>296</v>
      </c>
      <c r="N1935">
        <v>2.9000000000000001E-2</v>
      </c>
      <c r="O1935" t="str">
        <f>IF(Transactions_RAW_cleaned[[#This Row],[Status]]="Completed", IFERROR(_xlfn.XLOOKUP(Transactions_RAW_cleaned[[#This Row],[CustomerID]], Customers_cleaned[CustomerID], Customers_cleaned[Segment]), "Customer Not Found"), "N/A")</f>
        <v>N/A</v>
      </c>
      <c r="P1935" s="5" t="str">
        <f>IF(Transactions_RAW_cleaned[[#This Row],[Status]]="Refunded", "Refund",
  IF(Transactions_RAW_cleaned[[#This Row],[Category]]="Payments", IF(Transactions_RAW_cleaned[[#This Row],[Amount]]&gt;500,"High Value","Standard"),
    IF(Transactions_RAW_cleaned[[#This Row],[Amount]]&gt;250,"High Value","Standard")))</f>
        <v>High Value</v>
      </c>
      <c r="Q1935" s="5" t="str">
        <f>IF(Transactions_RAW_cleaned[[#This Row],[Amount]] &gt; (_xlfn.XLOOKUP(Transactions_RAW_cleaned[[#This Row],[ServiceID]],Services_cleaned[ServiceID],Services_cleaned[TransactionFeePct]) * 10000), "Yes", "No")</f>
        <v>Yes</v>
      </c>
      <c r="R1935" s="5" t="str">
        <f>IF(COUNTIFS($C$2:Transactions_RAW_cleaned[[#This Row],[CustomerID]],Transactions_RAW_cleaned[[#This Row],[CustomerID]],$D$2:Transactions_RAW_cleaned[[#This Row],[ServiceID]],Transactions_RAW_cleaned[[#This Row],[ServiceID]])=1,"Yes","No")</f>
        <v>No</v>
      </c>
      <c r="S193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35" t="str">
        <f>"Q"&amp;ROUNDUP(MONTH(Transactions_RAW_cleaned[[#This Row],[TransactionDate]])/3,0)</f>
        <v>Q2</v>
      </c>
      <c r="U1935" t="str">
        <f>Transactions_RAW_cleaned[[#This Row],[Region ]]&amp;Transactions_RAW_cleaned[[#This Row],[Quarter ]]</f>
        <v>NAQ2</v>
      </c>
      <c r="V1935" s="5">
        <f>_xlfn.XLOOKUP(Transactions_RAW_cleaned[[#This Row],[RegionQuarterKey]], Quarterly_Targets_cleaned[RegionQuarterKey], Quarterly_Targets_cleaned[TargetRevenue])</f>
        <v>260000</v>
      </c>
    </row>
    <row r="1936" spans="1:22" x14ac:dyDescent="0.25">
      <c r="A1936" t="s">
        <v>2271</v>
      </c>
      <c r="B1936" s="1">
        <v>45442</v>
      </c>
      <c r="C1936" t="s">
        <v>15</v>
      </c>
      <c r="D1936" t="s">
        <v>294</v>
      </c>
      <c r="E1936">
        <v>607.64</v>
      </c>
      <c r="F1936" t="s">
        <v>324</v>
      </c>
      <c r="G1936" t="s">
        <v>325</v>
      </c>
      <c r="I1936" t="s">
        <v>17</v>
      </c>
      <c r="J1936" t="s">
        <v>102</v>
      </c>
      <c r="K1936" t="s">
        <v>18</v>
      </c>
      <c r="L1936" t="s">
        <v>295</v>
      </c>
      <c r="M1936" t="s">
        <v>296</v>
      </c>
      <c r="N1936">
        <v>2.9000000000000001E-2</v>
      </c>
      <c r="O1936" t="str">
        <f>IF(Transactions_RAW_cleaned[[#This Row],[Status]]="Completed", IFERROR(_xlfn.XLOOKUP(Transactions_RAW_cleaned[[#This Row],[CustomerID]], Customers_cleaned[CustomerID], Customers_cleaned[Segment]), "Customer Not Found"), "N/A")</f>
        <v>Enterprise</v>
      </c>
      <c r="P1936" s="5" t="str">
        <f>IF(Transactions_RAW_cleaned[[#This Row],[Status]]="Refunded", "Refund",
  IF(Transactions_RAW_cleaned[[#This Row],[Category]]="Payments", IF(Transactions_RAW_cleaned[[#This Row],[Amount]]&gt;500,"High Value","Standard"),
    IF(Transactions_RAW_cleaned[[#This Row],[Amount]]&gt;250,"High Value","Standard")))</f>
        <v>High Value</v>
      </c>
      <c r="Q1936" s="5" t="str">
        <f>IF(Transactions_RAW_cleaned[[#This Row],[Amount]] &gt; (_xlfn.XLOOKUP(Transactions_RAW_cleaned[[#This Row],[ServiceID]],Services_cleaned[ServiceID],Services_cleaned[TransactionFeePct]) * 10000), "Yes", "No")</f>
        <v>Yes</v>
      </c>
      <c r="R1936" s="5" t="str">
        <f>IF(COUNTIFS($C$2:Transactions_RAW_cleaned[[#This Row],[CustomerID]],Transactions_RAW_cleaned[[#This Row],[CustomerID]],$D$2:Transactions_RAW_cleaned[[#This Row],[ServiceID]],Transactions_RAW_cleaned[[#This Row],[ServiceID]])=1,"Yes","No")</f>
        <v>No</v>
      </c>
      <c r="S193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36" t="str">
        <f>"Q"&amp;ROUNDUP(MONTH(Transactions_RAW_cleaned[[#This Row],[TransactionDate]])/3,0)</f>
        <v>Q2</v>
      </c>
      <c r="U1936" t="str">
        <f>Transactions_RAW_cleaned[[#This Row],[Region ]]&amp;Transactions_RAW_cleaned[[#This Row],[Quarter ]]</f>
        <v>NAQ2</v>
      </c>
      <c r="V1936" s="5">
        <f>_xlfn.XLOOKUP(Transactions_RAW_cleaned[[#This Row],[RegionQuarterKey]], Quarterly_Targets_cleaned[RegionQuarterKey], Quarterly_Targets_cleaned[TargetRevenue])</f>
        <v>260000</v>
      </c>
    </row>
    <row r="1937" spans="1:22" x14ac:dyDescent="0.25">
      <c r="A1937" t="s">
        <v>2272</v>
      </c>
      <c r="B1937" s="1">
        <v>45563</v>
      </c>
      <c r="C1937" t="s">
        <v>195</v>
      </c>
      <c r="D1937" t="s">
        <v>294</v>
      </c>
      <c r="E1937">
        <v>169.49</v>
      </c>
      <c r="F1937" t="s">
        <v>324</v>
      </c>
      <c r="G1937" t="s">
        <v>327</v>
      </c>
      <c r="H1937" t="s">
        <v>334</v>
      </c>
      <c r="I1937" t="s">
        <v>8</v>
      </c>
      <c r="J1937" t="s">
        <v>102</v>
      </c>
      <c r="K1937" t="s">
        <v>32</v>
      </c>
      <c r="L1937" t="s">
        <v>295</v>
      </c>
      <c r="M1937" t="s">
        <v>296</v>
      </c>
      <c r="N1937">
        <v>2.9000000000000001E-2</v>
      </c>
      <c r="O1937" t="str">
        <f>IF(Transactions_RAW_cleaned[[#This Row],[Status]]="Completed", IFERROR(_xlfn.XLOOKUP(Transactions_RAW_cleaned[[#This Row],[CustomerID]], Customers_cleaned[CustomerID], Customers_cleaned[Segment]), "Customer Not Found"), "N/A")</f>
        <v>SMB</v>
      </c>
      <c r="P1937" s="5" t="str">
        <f>IF(Transactions_RAW_cleaned[[#This Row],[Status]]="Refunded", "Refund",
  IF(Transactions_RAW_cleaned[[#This Row],[Category]]="Payments", IF(Transactions_RAW_cleaned[[#This Row],[Amount]]&gt;500,"High Value","Standard"),
    IF(Transactions_RAW_cleaned[[#This Row],[Amount]]&gt;250,"High Value","Standard")))</f>
        <v>Standard</v>
      </c>
      <c r="Q1937" s="5" t="str">
        <f>IF(Transactions_RAW_cleaned[[#This Row],[Amount]] &gt; (_xlfn.XLOOKUP(Transactions_RAW_cleaned[[#This Row],[ServiceID]],Services_cleaned[ServiceID],Services_cleaned[TransactionFeePct]) * 10000), "Yes", "No")</f>
        <v>No</v>
      </c>
      <c r="R1937" s="5" t="str">
        <f>IF(COUNTIFS($C$2:Transactions_RAW_cleaned[[#This Row],[CustomerID]],Transactions_RAW_cleaned[[#This Row],[CustomerID]],$D$2:Transactions_RAW_cleaned[[#This Row],[ServiceID]],Transactions_RAW_cleaned[[#This Row],[ServiceID]])=1,"Yes","No")</f>
        <v>No</v>
      </c>
      <c r="S193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37" t="str">
        <f>"Q"&amp;ROUNDUP(MONTH(Transactions_RAW_cleaned[[#This Row],[TransactionDate]])/3,0)</f>
        <v>Q3</v>
      </c>
      <c r="U1937" t="str">
        <f>Transactions_RAW_cleaned[[#This Row],[Region ]]&amp;Transactions_RAW_cleaned[[#This Row],[Quarter ]]</f>
        <v>NAQ3</v>
      </c>
      <c r="V1937" s="5">
        <f>_xlfn.XLOOKUP(Transactions_RAW_cleaned[[#This Row],[RegionQuarterKey]], Quarterly_Targets_cleaned[RegionQuarterKey], Quarterly_Targets_cleaned[TargetRevenue])</f>
        <v>273000</v>
      </c>
    </row>
    <row r="1938" spans="1:22" x14ac:dyDescent="0.25">
      <c r="A1938" t="s">
        <v>2273</v>
      </c>
      <c r="B1938" s="1">
        <v>45518</v>
      </c>
      <c r="C1938" t="s">
        <v>243</v>
      </c>
      <c r="D1938" t="s">
        <v>306</v>
      </c>
      <c r="E1938">
        <v>709.89</v>
      </c>
      <c r="F1938" t="s">
        <v>324</v>
      </c>
      <c r="G1938" t="s">
        <v>337</v>
      </c>
      <c r="I1938" t="s">
        <v>17</v>
      </c>
      <c r="J1938" t="s">
        <v>13</v>
      </c>
      <c r="K1938" t="s">
        <v>28</v>
      </c>
      <c r="L1938" t="s">
        <v>307</v>
      </c>
      <c r="M1938" t="s">
        <v>308</v>
      </c>
      <c r="N1938">
        <v>0</v>
      </c>
      <c r="O1938" t="str">
        <f>IF(Transactions_RAW_cleaned[[#This Row],[Status]]="Completed", IFERROR(_xlfn.XLOOKUP(Transactions_RAW_cleaned[[#This Row],[CustomerID]], Customers_cleaned[CustomerID], Customers_cleaned[Segment]), "Customer Not Found"), "N/A")</f>
        <v>Enterprise</v>
      </c>
      <c r="P1938" s="5" t="str">
        <f>IF(Transactions_RAW_cleaned[[#This Row],[Status]]="Refunded", "Refund",
  IF(Transactions_RAW_cleaned[[#This Row],[Category]]="Payments", IF(Transactions_RAW_cleaned[[#This Row],[Amount]]&gt;500,"High Value","Standard"),
    IF(Transactions_RAW_cleaned[[#This Row],[Amount]]&gt;250,"High Value","Standard")))</f>
        <v>High Value</v>
      </c>
      <c r="Q1938" s="5" t="str">
        <f>IF(Transactions_RAW_cleaned[[#This Row],[Amount]] &gt; (_xlfn.XLOOKUP(Transactions_RAW_cleaned[[#This Row],[ServiceID]],Services_cleaned[ServiceID],Services_cleaned[TransactionFeePct]) * 10000), "Yes", "No")</f>
        <v>Yes</v>
      </c>
      <c r="R1938" s="5" t="str">
        <f>IF(COUNTIFS($C$2:Transactions_RAW_cleaned[[#This Row],[CustomerID]],Transactions_RAW_cleaned[[#This Row],[CustomerID]],$D$2:Transactions_RAW_cleaned[[#This Row],[ServiceID]],Transactions_RAW_cleaned[[#This Row],[ServiceID]])=1,"Yes","No")</f>
        <v>No</v>
      </c>
      <c r="S193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38" t="str">
        <f>"Q"&amp;ROUNDUP(MONTH(Transactions_RAW_cleaned[[#This Row],[TransactionDate]])/3,0)</f>
        <v>Q3</v>
      </c>
      <c r="U1938" t="str">
        <f>Transactions_RAW_cleaned[[#This Row],[Region ]]&amp;Transactions_RAW_cleaned[[#This Row],[Quarter ]]</f>
        <v>NAQ3</v>
      </c>
      <c r="V1938" s="5">
        <f>_xlfn.XLOOKUP(Transactions_RAW_cleaned[[#This Row],[RegionQuarterKey]], Quarterly_Targets_cleaned[RegionQuarterKey], Quarterly_Targets_cleaned[TargetRevenue])</f>
        <v>273000</v>
      </c>
    </row>
    <row r="1939" spans="1:22" x14ac:dyDescent="0.25">
      <c r="A1939" t="s">
        <v>2274</v>
      </c>
      <c r="B1939" s="1">
        <v>45590</v>
      </c>
      <c r="C1939" t="s">
        <v>247</v>
      </c>
      <c r="D1939" t="s">
        <v>303</v>
      </c>
      <c r="E1939">
        <v>495.74</v>
      </c>
      <c r="F1939" t="s">
        <v>324</v>
      </c>
      <c r="G1939" t="s">
        <v>325</v>
      </c>
      <c r="I1939" t="s">
        <v>17</v>
      </c>
      <c r="J1939" t="s">
        <v>13</v>
      </c>
      <c r="K1939" t="s">
        <v>28</v>
      </c>
      <c r="L1939" t="s">
        <v>304</v>
      </c>
      <c r="M1939" t="s">
        <v>305</v>
      </c>
      <c r="N1939">
        <v>1E-3</v>
      </c>
      <c r="O1939" t="str">
        <f>IF(Transactions_RAW_cleaned[[#This Row],[Status]]="Completed", IFERROR(_xlfn.XLOOKUP(Transactions_RAW_cleaned[[#This Row],[CustomerID]], Customers_cleaned[CustomerID], Customers_cleaned[Segment]), "Customer Not Found"), "N/A")</f>
        <v>Enterprise</v>
      </c>
      <c r="P1939" s="5" t="str">
        <f>IF(Transactions_RAW_cleaned[[#This Row],[Status]]="Refunded", "Refund",
  IF(Transactions_RAW_cleaned[[#This Row],[Category]]="Payments", IF(Transactions_RAW_cleaned[[#This Row],[Amount]]&gt;500,"High Value","Standard"),
    IF(Transactions_RAW_cleaned[[#This Row],[Amount]]&gt;250,"High Value","Standard")))</f>
        <v>High Value</v>
      </c>
      <c r="Q1939" s="5" t="str">
        <f>IF(Transactions_RAW_cleaned[[#This Row],[Amount]] &gt; (_xlfn.XLOOKUP(Transactions_RAW_cleaned[[#This Row],[ServiceID]],Services_cleaned[ServiceID],Services_cleaned[TransactionFeePct]) * 10000), "Yes", "No")</f>
        <v>Yes</v>
      </c>
      <c r="R1939" s="5" t="str">
        <f>IF(COUNTIFS($C$2:Transactions_RAW_cleaned[[#This Row],[CustomerID]],Transactions_RAW_cleaned[[#This Row],[CustomerID]],$D$2:Transactions_RAW_cleaned[[#This Row],[ServiceID]],Transactions_RAW_cleaned[[#This Row],[ServiceID]])=1,"Yes","No")</f>
        <v>No</v>
      </c>
      <c r="S193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39" t="str">
        <f>"Q"&amp;ROUNDUP(MONTH(Transactions_RAW_cleaned[[#This Row],[TransactionDate]])/3,0)</f>
        <v>Q4</v>
      </c>
      <c r="U1939" t="str">
        <f>Transactions_RAW_cleaned[[#This Row],[Region ]]&amp;Transactions_RAW_cleaned[[#This Row],[Quarter ]]</f>
        <v>NAQ4</v>
      </c>
      <c r="V1939" s="5">
        <f>_xlfn.XLOOKUP(Transactions_RAW_cleaned[[#This Row],[RegionQuarterKey]], Quarterly_Targets_cleaned[RegionQuarterKey], Quarterly_Targets_cleaned[TargetRevenue])</f>
        <v>299000</v>
      </c>
    </row>
    <row r="1940" spans="1:22" x14ac:dyDescent="0.25">
      <c r="A1940" t="s">
        <v>2275</v>
      </c>
      <c r="B1940" s="1">
        <v>45642</v>
      </c>
      <c r="C1940" t="s">
        <v>62</v>
      </c>
      <c r="D1940" t="s">
        <v>294</v>
      </c>
      <c r="E1940">
        <v>329.17</v>
      </c>
      <c r="F1940" t="s">
        <v>324</v>
      </c>
      <c r="G1940" t="s">
        <v>327</v>
      </c>
      <c r="H1940" t="s">
        <v>332</v>
      </c>
      <c r="I1940" t="s">
        <v>8</v>
      </c>
      <c r="J1940" t="s">
        <v>46</v>
      </c>
      <c r="K1940" t="s">
        <v>18</v>
      </c>
      <c r="L1940" t="s">
        <v>295</v>
      </c>
      <c r="M1940" t="s">
        <v>296</v>
      </c>
      <c r="N1940">
        <v>2.9000000000000001E-2</v>
      </c>
      <c r="O1940" t="str">
        <f>IF(Transactions_RAW_cleaned[[#This Row],[Status]]="Completed", IFERROR(_xlfn.XLOOKUP(Transactions_RAW_cleaned[[#This Row],[CustomerID]], Customers_cleaned[CustomerID], Customers_cleaned[Segment]), "Customer Not Found"), "N/A")</f>
        <v>SMB</v>
      </c>
      <c r="P1940" s="5" t="str">
        <f>IF(Transactions_RAW_cleaned[[#This Row],[Status]]="Refunded", "Refund",
  IF(Transactions_RAW_cleaned[[#This Row],[Category]]="Payments", IF(Transactions_RAW_cleaned[[#This Row],[Amount]]&gt;500,"High Value","Standard"),
    IF(Transactions_RAW_cleaned[[#This Row],[Amount]]&gt;250,"High Value","Standard")))</f>
        <v>Standard</v>
      </c>
      <c r="Q1940" s="5" t="str">
        <f>IF(Transactions_RAW_cleaned[[#This Row],[Amount]] &gt; (_xlfn.XLOOKUP(Transactions_RAW_cleaned[[#This Row],[ServiceID]],Services_cleaned[ServiceID],Services_cleaned[TransactionFeePct]) * 10000), "Yes", "No")</f>
        <v>Yes</v>
      </c>
      <c r="R1940" s="5" t="str">
        <f>IF(COUNTIFS($C$2:Transactions_RAW_cleaned[[#This Row],[CustomerID]],Transactions_RAW_cleaned[[#This Row],[CustomerID]],$D$2:Transactions_RAW_cleaned[[#This Row],[ServiceID]],Transactions_RAW_cleaned[[#This Row],[ServiceID]])=1,"Yes","No")</f>
        <v>No</v>
      </c>
      <c r="S194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40" t="str">
        <f>"Q"&amp;ROUNDUP(MONTH(Transactions_RAW_cleaned[[#This Row],[TransactionDate]])/3,0)</f>
        <v>Q4</v>
      </c>
      <c r="U1940" t="str">
        <f>Transactions_RAW_cleaned[[#This Row],[Region ]]&amp;Transactions_RAW_cleaned[[#This Row],[Quarter ]]</f>
        <v>APACQ4</v>
      </c>
      <c r="V1940" s="5">
        <f>_xlfn.XLOOKUP(Transactions_RAW_cleaned[[#This Row],[RegionQuarterKey]], Quarterly_Targets_cleaned[RegionQuarterKey], Quarterly_Targets_cleaned[TargetRevenue])</f>
        <v>126500</v>
      </c>
    </row>
    <row r="1941" spans="1:22" x14ac:dyDescent="0.25">
      <c r="A1941" t="s">
        <v>2276</v>
      </c>
      <c r="B1941" s="1">
        <v>45412</v>
      </c>
      <c r="C1941" t="s">
        <v>121</v>
      </c>
      <c r="D1941" t="s">
        <v>315</v>
      </c>
      <c r="E1941">
        <v>198.9</v>
      </c>
      <c r="F1941" t="s">
        <v>324</v>
      </c>
      <c r="G1941" t="s">
        <v>2963</v>
      </c>
      <c r="H1941" t="s">
        <v>346</v>
      </c>
      <c r="I1941" t="s">
        <v>8</v>
      </c>
      <c r="J1941" t="s">
        <v>37</v>
      </c>
      <c r="K1941" t="s">
        <v>14</v>
      </c>
      <c r="L1941" t="s">
        <v>316</v>
      </c>
      <c r="M1941" t="s">
        <v>305</v>
      </c>
      <c r="N1941">
        <v>2.5000000000000001E-3</v>
      </c>
      <c r="O1941" t="str">
        <f>IF(Transactions_RAW_cleaned[[#This Row],[Status]]="Completed", IFERROR(_xlfn.XLOOKUP(Transactions_RAW_cleaned[[#This Row],[CustomerID]], Customers_cleaned[CustomerID], Customers_cleaned[Segment]), "Customer Not Found"), "N/A")</f>
        <v>SMB</v>
      </c>
      <c r="P1941" s="5" t="str">
        <f>IF(Transactions_RAW_cleaned[[#This Row],[Status]]="Refunded", "Refund",
  IF(Transactions_RAW_cleaned[[#This Row],[Category]]="Payments", IF(Transactions_RAW_cleaned[[#This Row],[Amount]]&gt;500,"High Value","Standard"),
    IF(Transactions_RAW_cleaned[[#This Row],[Amount]]&gt;250,"High Value","Standard")))</f>
        <v>Standard</v>
      </c>
      <c r="Q1941" s="5" t="str">
        <f>IF(Transactions_RAW_cleaned[[#This Row],[Amount]] &gt; (_xlfn.XLOOKUP(Transactions_RAW_cleaned[[#This Row],[ServiceID]],Services_cleaned[ServiceID],Services_cleaned[TransactionFeePct]) * 10000), "Yes", "No")</f>
        <v>Yes</v>
      </c>
      <c r="R1941" s="5" t="str">
        <f>IF(COUNTIFS($C$2:Transactions_RAW_cleaned[[#This Row],[CustomerID]],Transactions_RAW_cleaned[[#This Row],[CustomerID]],$D$2:Transactions_RAW_cleaned[[#This Row],[ServiceID]],Transactions_RAW_cleaned[[#This Row],[ServiceID]])=1,"Yes","No")</f>
        <v>No</v>
      </c>
      <c r="S194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941" t="str">
        <f>"Q"&amp;ROUNDUP(MONTH(Transactions_RAW_cleaned[[#This Row],[TransactionDate]])/3,0)</f>
        <v>Q2</v>
      </c>
      <c r="U1941" t="str">
        <f>Transactions_RAW_cleaned[[#This Row],[Region ]]&amp;Transactions_RAW_cleaned[[#This Row],[Quarter ]]</f>
        <v>EMEAQ2</v>
      </c>
      <c r="V1941" s="5">
        <f>_xlfn.XLOOKUP(Transactions_RAW_cleaned[[#This Row],[RegionQuarterKey]], Quarterly_Targets_cleaned[RegionQuarterKey], Quarterly_Targets_cleaned[TargetRevenue])</f>
        <v>140000</v>
      </c>
    </row>
    <row r="1942" spans="1:22" x14ac:dyDescent="0.25">
      <c r="A1942" t="s">
        <v>2277</v>
      </c>
      <c r="B1942" s="1">
        <v>45604</v>
      </c>
      <c r="C1942" t="s">
        <v>245</v>
      </c>
      <c r="D1942" t="s">
        <v>294</v>
      </c>
      <c r="E1942">
        <v>951.32</v>
      </c>
      <c r="F1942" t="s">
        <v>324</v>
      </c>
      <c r="G1942" t="s">
        <v>329</v>
      </c>
      <c r="H1942" t="s">
        <v>332</v>
      </c>
      <c r="I1942" t="s">
        <v>8</v>
      </c>
      <c r="J1942" t="s">
        <v>31</v>
      </c>
      <c r="K1942" t="s">
        <v>14</v>
      </c>
      <c r="L1942" t="s">
        <v>295</v>
      </c>
      <c r="M1942" t="s">
        <v>296</v>
      </c>
      <c r="N1942">
        <v>2.9000000000000001E-2</v>
      </c>
      <c r="O1942" t="str">
        <f>IF(Transactions_RAW_cleaned[[#This Row],[Status]]="Completed", IFERROR(_xlfn.XLOOKUP(Transactions_RAW_cleaned[[#This Row],[CustomerID]], Customers_cleaned[CustomerID], Customers_cleaned[Segment]), "Customer Not Found"), "N/A")</f>
        <v>SMB</v>
      </c>
      <c r="P1942" s="5" t="str">
        <f>IF(Transactions_RAW_cleaned[[#This Row],[Status]]="Refunded", "Refund",
  IF(Transactions_RAW_cleaned[[#This Row],[Category]]="Payments", IF(Transactions_RAW_cleaned[[#This Row],[Amount]]&gt;500,"High Value","Standard"),
    IF(Transactions_RAW_cleaned[[#This Row],[Amount]]&gt;250,"High Value","Standard")))</f>
        <v>High Value</v>
      </c>
      <c r="Q1942" s="5" t="str">
        <f>IF(Transactions_RAW_cleaned[[#This Row],[Amount]] &gt; (_xlfn.XLOOKUP(Transactions_RAW_cleaned[[#This Row],[ServiceID]],Services_cleaned[ServiceID],Services_cleaned[TransactionFeePct]) * 10000), "Yes", "No")</f>
        <v>Yes</v>
      </c>
      <c r="R1942" s="5" t="str">
        <f>IF(COUNTIFS($C$2:Transactions_RAW_cleaned[[#This Row],[CustomerID]],Transactions_RAW_cleaned[[#This Row],[CustomerID]],$D$2:Transactions_RAW_cleaned[[#This Row],[ServiceID]],Transactions_RAW_cleaned[[#This Row],[ServiceID]])=1,"Yes","No")</f>
        <v>No</v>
      </c>
      <c r="S194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942" t="str">
        <f>"Q"&amp;ROUNDUP(MONTH(Transactions_RAW_cleaned[[#This Row],[TransactionDate]])/3,0)</f>
        <v>Q4</v>
      </c>
      <c r="U1942" t="str">
        <f>Transactions_RAW_cleaned[[#This Row],[Region ]]&amp;Transactions_RAW_cleaned[[#This Row],[Quarter ]]</f>
        <v>EMEAQ4</v>
      </c>
      <c r="V1942" s="5">
        <f>_xlfn.XLOOKUP(Transactions_RAW_cleaned[[#This Row],[RegionQuarterKey]], Quarterly_Targets_cleaned[RegionQuarterKey], Quarterly_Targets_cleaned[TargetRevenue])</f>
        <v>161000</v>
      </c>
    </row>
    <row r="1943" spans="1:22" x14ac:dyDescent="0.25">
      <c r="A1943" t="s">
        <v>2278</v>
      </c>
      <c r="B1943" s="1">
        <v>45458</v>
      </c>
      <c r="C1943" t="s">
        <v>42</v>
      </c>
      <c r="D1943" t="s">
        <v>315</v>
      </c>
      <c r="E1943">
        <v>380.63</v>
      </c>
      <c r="F1943" t="s">
        <v>324</v>
      </c>
      <c r="G1943" t="s">
        <v>327</v>
      </c>
      <c r="H1943" t="s">
        <v>334</v>
      </c>
      <c r="I1943" t="s">
        <v>8</v>
      </c>
      <c r="J1943" t="s">
        <v>102</v>
      </c>
      <c r="K1943" t="s">
        <v>10</v>
      </c>
      <c r="L1943" t="s">
        <v>316</v>
      </c>
      <c r="M1943" t="s">
        <v>305</v>
      </c>
      <c r="N1943">
        <v>2.5000000000000001E-3</v>
      </c>
      <c r="O1943" t="str">
        <f>IF(Transactions_RAW_cleaned[[#This Row],[Status]]="Completed", IFERROR(_xlfn.XLOOKUP(Transactions_RAW_cleaned[[#This Row],[CustomerID]], Customers_cleaned[CustomerID], Customers_cleaned[Segment]), "Customer Not Found"), "N/A")</f>
        <v>SMB</v>
      </c>
      <c r="P1943" s="5" t="str">
        <f>IF(Transactions_RAW_cleaned[[#This Row],[Status]]="Refunded", "Refund",
  IF(Transactions_RAW_cleaned[[#This Row],[Category]]="Payments", IF(Transactions_RAW_cleaned[[#This Row],[Amount]]&gt;500,"High Value","Standard"),
    IF(Transactions_RAW_cleaned[[#This Row],[Amount]]&gt;250,"High Value","Standard")))</f>
        <v>High Value</v>
      </c>
      <c r="Q1943" s="5" t="str">
        <f>IF(Transactions_RAW_cleaned[[#This Row],[Amount]] &gt; (_xlfn.XLOOKUP(Transactions_RAW_cleaned[[#This Row],[ServiceID]],Services_cleaned[ServiceID],Services_cleaned[TransactionFeePct]) * 10000), "Yes", "No")</f>
        <v>Yes</v>
      </c>
      <c r="R1943" s="5" t="str">
        <f>IF(COUNTIFS($C$2:Transactions_RAW_cleaned[[#This Row],[CustomerID]],Transactions_RAW_cleaned[[#This Row],[CustomerID]],$D$2:Transactions_RAW_cleaned[[#This Row],[ServiceID]],Transactions_RAW_cleaned[[#This Row],[ServiceID]])=1,"Yes","No")</f>
        <v>No</v>
      </c>
      <c r="S194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43" t="str">
        <f>"Q"&amp;ROUNDUP(MONTH(Transactions_RAW_cleaned[[#This Row],[TransactionDate]])/3,0)</f>
        <v>Q2</v>
      </c>
      <c r="U1943" t="str">
        <f>Transactions_RAW_cleaned[[#This Row],[Region ]]&amp;Transactions_RAW_cleaned[[#This Row],[Quarter ]]</f>
        <v>NAQ2</v>
      </c>
      <c r="V1943" s="5">
        <f>_xlfn.XLOOKUP(Transactions_RAW_cleaned[[#This Row],[RegionQuarterKey]], Quarterly_Targets_cleaned[RegionQuarterKey], Quarterly_Targets_cleaned[TargetRevenue])</f>
        <v>260000</v>
      </c>
    </row>
    <row r="1944" spans="1:22" x14ac:dyDescent="0.25">
      <c r="A1944" t="s">
        <v>2279</v>
      </c>
      <c r="B1944" s="1">
        <v>45417</v>
      </c>
      <c r="C1944" t="s">
        <v>125</v>
      </c>
      <c r="D1944" t="s">
        <v>300</v>
      </c>
      <c r="E1944">
        <v>328.14</v>
      </c>
      <c r="F1944" t="s">
        <v>324</v>
      </c>
      <c r="G1944" t="s">
        <v>337</v>
      </c>
      <c r="I1944" t="s">
        <v>8</v>
      </c>
      <c r="J1944" t="s">
        <v>13</v>
      </c>
      <c r="K1944" t="s">
        <v>28</v>
      </c>
      <c r="L1944" t="s">
        <v>301</v>
      </c>
      <c r="M1944" t="s">
        <v>302</v>
      </c>
      <c r="N1944">
        <v>5.0000000000000001E-3</v>
      </c>
      <c r="O1944" t="str">
        <f>IF(Transactions_RAW_cleaned[[#This Row],[Status]]="Completed", IFERROR(_xlfn.XLOOKUP(Transactions_RAW_cleaned[[#This Row],[CustomerID]], Customers_cleaned[CustomerID], Customers_cleaned[Segment]), "Customer Not Found"), "N/A")</f>
        <v>SMB</v>
      </c>
      <c r="P1944" s="5" t="str">
        <f>IF(Transactions_RAW_cleaned[[#This Row],[Status]]="Refunded", "Refund",
  IF(Transactions_RAW_cleaned[[#This Row],[Category]]="Payments", IF(Transactions_RAW_cleaned[[#This Row],[Amount]]&gt;500,"High Value","Standard"),
    IF(Transactions_RAW_cleaned[[#This Row],[Amount]]&gt;250,"High Value","Standard")))</f>
        <v>High Value</v>
      </c>
      <c r="Q1944" s="5" t="str">
        <f>IF(Transactions_RAW_cleaned[[#This Row],[Amount]] &gt; (_xlfn.XLOOKUP(Transactions_RAW_cleaned[[#This Row],[ServiceID]],Services_cleaned[ServiceID],Services_cleaned[TransactionFeePct]) * 10000), "Yes", "No")</f>
        <v>Yes</v>
      </c>
      <c r="R1944" s="5" t="str">
        <f>IF(COUNTIFS($C$2:Transactions_RAW_cleaned[[#This Row],[CustomerID]],Transactions_RAW_cleaned[[#This Row],[CustomerID]],$D$2:Transactions_RAW_cleaned[[#This Row],[ServiceID]],Transactions_RAW_cleaned[[#This Row],[ServiceID]])=1,"Yes","No")</f>
        <v>No</v>
      </c>
      <c r="S194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44" t="str">
        <f>"Q"&amp;ROUNDUP(MONTH(Transactions_RAW_cleaned[[#This Row],[TransactionDate]])/3,0)</f>
        <v>Q2</v>
      </c>
      <c r="U1944" t="str">
        <f>Transactions_RAW_cleaned[[#This Row],[Region ]]&amp;Transactions_RAW_cleaned[[#This Row],[Quarter ]]</f>
        <v>NAQ2</v>
      </c>
      <c r="V1944" s="5">
        <f>_xlfn.XLOOKUP(Transactions_RAW_cleaned[[#This Row],[RegionQuarterKey]], Quarterly_Targets_cleaned[RegionQuarterKey], Quarterly_Targets_cleaned[TargetRevenue])</f>
        <v>260000</v>
      </c>
    </row>
    <row r="1945" spans="1:22" x14ac:dyDescent="0.25">
      <c r="A1945" t="s">
        <v>2280</v>
      </c>
      <c r="B1945" s="1">
        <v>45517</v>
      </c>
      <c r="C1945" t="s">
        <v>247</v>
      </c>
      <c r="D1945" t="s">
        <v>294</v>
      </c>
      <c r="E1945">
        <v>1029.55</v>
      </c>
      <c r="F1945" t="s">
        <v>324</v>
      </c>
      <c r="G1945" t="s">
        <v>325</v>
      </c>
      <c r="I1945" t="s">
        <v>17</v>
      </c>
      <c r="J1945" t="s">
        <v>13</v>
      </c>
      <c r="K1945" t="s">
        <v>28</v>
      </c>
      <c r="L1945" t="s">
        <v>295</v>
      </c>
      <c r="M1945" t="s">
        <v>296</v>
      </c>
      <c r="N1945">
        <v>2.9000000000000001E-2</v>
      </c>
      <c r="O1945" t="str">
        <f>IF(Transactions_RAW_cleaned[[#This Row],[Status]]="Completed", IFERROR(_xlfn.XLOOKUP(Transactions_RAW_cleaned[[#This Row],[CustomerID]], Customers_cleaned[CustomerID], Customers_cleaned[Segment]), "Customer Not Found"), "N/A")</f>
        <v>Enterprise</v>
      </c>
      <c r="P1945" s="5" t="str">
        <f>IF(Transactions_RAW_cleaned[[#This Row],[Status]]="Refunded", "Refund",
  IF(Transactions_RAW_cleaned[[#This Row],[Category]]="Payments", IF(Transactions_RAW_cleaned[[#This Row],[Amount]]&gt;500,"High Value","Standard"),
    IF(Transactions_RAW_cleaned[[#This Row],[Amount]]&gt;250,"High Value","Standard")))</f>
        <v>High Value</v>
      </c>
      <c r="Q1945" s="5" t="str">
        <f>IF(Transactions_RAW_cleaned[[#This Row],[Amount]] &gt; (_xlfn.XLOOKUP(Transactions_RAW_cleaned[[#This Row],[ServiceID]],Services_cleaned[ServiceID],Services_cleaned[TransactionFeePct]) * 10000), "Yes", "No")</f>
        <v>Yes</v>
      </c>
      <c r="R1945" s="5" t="str">
        <f>IF(COUNTIFS($C$2:Transactions_RAW_cleaned[[#This Row],[CustomerID]],Transactions_RAW_cleaned[[#This Row],[CustomerID]],$D$2:Transactions_RAW_cleaned[[#This Row],[ServiceID]],Transactions_RAW_cleaned[[#This Row],[ServiceID]])=1,"Yes","No")</f>
        <v>No</v>
      </c>
      <c r="S194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45" t="str">
        <f>"Q"&amp;ROUNDUP(MONTH(Transactions_RAW_cleaned[[#This Row],[TransactionDate]])/3,0)</f>
        <v>Q3</v>
      </c>
      <c r="U1945" t="str">
        <f>Transactions_RAW_cleaned[[#This Row],[Region ]]&amp;Transactions_RAW_cleaned[[#This Row],[Quarter ]]</f>
        <v>NAQ3</v>
      </c>
      <c r="V1945" s="5">
        <f>_xlfn.XLOOKUP(Transactions_RAW_cleaned[[#This Row],[RegionQuarterKey]], Quarterly_Targets_cleaned[RegionQuarterKey], Quarterly_Targets_cleaned[TargetRevenue])</f>
        <v>273000</v>
      </c>
    </row>
    <row r="1946" spans="1:22" x14ac:dyDescent="0.25">
      <c r="A1946" t="s">
        <v>2281</v>
      </c>
      <c r="B1946" s="1">
        <v>45360</v>
      </c>
      <c r="C1946" t="s">
        <v>161</v>
      </c>
      <c r="D1946" t="s">
        <v>297</v>
      </c>
      <c r="E1946">
        <v>230.61</v>
      </c>
      <c r="F1946" t="s">
        <v>324</v>
      </c>
      <c r="G1946" t="s">
        <v>325</v>
      </c>
      <c r="H1946" t="s">
        <v>334</v>
      </c>
      <c r="I1946" t="s">
        <v>8</v>
      </c>
      <c r="J1946" t="s">
        <v>21</v>
      </c>
      <c r="K1946" t="s">
        <v>22</v>
      </c>
      <c r="L1946" t="s">
        <v>298</v>
      </c>
      <c r="M1946" t="s">
        <v>299</v>
      </c>
      <c r="N1946">
        <v>0</v>
      </c>
      <c r="O1946" t="str">
        <f>IF(Transactions_RAW_cleaned[[#This Row],[Status]]="Completed", IFERROR(_xlfn.XLOOKUP(Transactions_RAW_cleaned[[#This Row],[CustomerID]], Customers_cleaned[CustomerID], Customers_cleaned[Segment]), "Customer Not Found"), "N/A")</f>
        <v>SMB</v>
      </c>
      <c r="P1946" s="5" t="str">
        <f>IF(Transactions_RAW_cleaned[[#This Row],[Status]]="Refunded", "Refund",
  IF(Transactions_RAW_cleaned[[#This Row],[Category]]="Payments", IF(Transactions_RAW_cleaned[[#This Row],[Amount]]&gt;500,"High Value","Standard"),
    IF(Transactions_RAW_cleaned[[#This Row],[Amount]]&gt;250,"High Value","Standard")))</f>
        <v>Standard</v>
      </c>
      <c r="Q1946" s="5" t="str">
        <f>IF(Transactions_RAW_cleaned[[#This Row],[Amount]] &gt; (_xlfn.XLOOKUP(Transactions_RAW_cleaned[[#This Row],[ServiceID]],Services_cleaned[ServiceID],Services_cleaned[TransactionFeePct]) * 10000), "Yes", "No")</f>
        <v>Yes</v>
      </c>
      <c r="R1946" s="5" t="str">
        <f>IF(COUNTIFS($C$2:Transactions_RAW_cleaned[[#This Row],[CustomerID]],Transactions_RAW_cleaned[[#This Row],[CustomerID]],$D$2:Transactions_RAW_cleaned[[#This Row],[ServiceID]],Transactions_RAW_cleaned[[#This Row],[ServiceID]])=1,"Yes","No")</f>
        <v>No</v>
      </c>
      <c r="S194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46" t="str">
        <f>"Q"&amp;ROUNDUP(MONTH(Transactions_RAW_cleaned[[#This Row],[TransactionDate]])/3,0)</f>
        <v>Q1</v>
      </c>
      <c r="U1946" t="str">
        <f>Transactions_RAW_cleaned[[#This Row],[Region ]]&amp;Transactions_RAW_cleaned[[#This Row],[Quarter ]]</f>
        <v>APACQ1</v>
      </c>
      <c r="V1946" s="5">
        <f>_xlfn.XLOOKUP(Transactions_RAW_cleaned[[#This Row],[RegionQuarterKey]], Quarterly_Targets_cleaned[RegionQuarterKey], Quarterly_Targets_cleaned[TargetRevenue])</f>
        <v>104500</v>
      </c>
    </row>
    <row r="1947" spans="1:22" x14ac:dyDescent="0.25">
      <c r="A1947" t="s">
        <v>2282</v>
      </c>
      <c r="B1947" s="1">
        <v>45496</v>
      </c>
      <c r="C1947" t="s">
        <v>133</v>
      </c>
      <c r="D1947" t="s">
        <v>294</v>
      </c>
      <c r="E1947">
        <v>129.83000000000001</v>
      </c>
      <c r="F1947" t="s">
        <v>324</v>
      </c>
      <c r="G1947" t="s">
        <v>327</v>
      </c>
      <c r="H1947" t="s">
        <v>346</v>
      </c>
      <c r="I1947" t="s">
        <v>17</v>
      </c>
      <c r="J1947" t="s">
        <v>102</v>
      </c>
      <c r="K1947" t="s">
        <v>22</v>
      </c>
      <c r="L1947" t="s">
        <v>295</v>
      </c>
      <c r="M1947" t="s">
        <v>296</v>
      </c>
      <c r="N1947">
        <v>2.9000000000000001E-2</v>
      </c>
      <c r="O1947" t="str">
        <f>IF(Transactions_RAW_cleaned[[#This Row],[Status]]="Completed", IFERROR(_xlfn.XLOOKUP(Transactions_RAW_cleaned[[#This Row],[CustomerID]], Customers_cleaned[CustomerID], Customers_cleaned[Segment]), "Customer Not Found"), "N/A")</f>
        <v>Enterprise</v>
      </c>
      <c r="P1947" s="5" t="str">
        <f>IF(Transactions_RAW_cleaned[[#This Row],[Status]]="Refunded", "Refund",
  IF(Transactions_RAW_cleaned[[#This Row],[Category]]="Payments", IF(Transactions_RAW_cleaned[[#This Row],[Amount]]&gt;500,"High Value","Standard"),
    IF(Transactions_RAW_cleaned[[#This Row],[Amount]]&gt;250,"High Value","Standard")))</f>
        <v>Standard</v>
      </c>
      <c r="Q1947" s="5" t="str">
        <f>IF(Transactions_RAW_cleaned[[#This Row],[Amount]] &gt; (_xlfn.XLOOKUP(Transactions_RAW_cleaned[[#This Row],[ServiceID]],Services_cleaned[ServiceID],Services_cleaned[TransactionFeePct]) * 10000), "Yes", "No")</f>
        <v>No</v>
      </c>
      <c r="R1947" s="5" t="str">
        <f>IF(COUNTIFS($C$2:Transactions_RAW_cleaned[[#This Row],[CustomerID]],Transactions_RAW_cleaned[[#This Row],[CustomerID]],$D$2:Transactions_RAW_cleaned[[#This Row],[ServiceID]],Transactions_RAW_cleaned[[#This Row],[ServiceID]])=1,"Yes","No")</f>
        <v>No</v>
      </c>
      <c r="S194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47" t="str">
        <f>"Q"&amp;ROUNDUP(MONTH(Transactions_RAW_cleaned[[#This Row],[TransactionDate]])/3,0)</f>
        <v>Q3</v>
      </c>
      <c r="U1947" t="str">
        <f>Transactions_RAW_cleaned[[#This Row],[Region ]]&amp;Transactions_RAW_cleaned[[#This Row],[Quarter ]]</f>
        <v>NAQ3</v>
      </c>
      <c r="V1947" s="5">
        <f>_xlfn.XLOOKUP(Transactions_RAW_cleaned[[#This Row],[RegionQuarterKey]], Quarterly_Targets_cleaned[RegionQuarterKey], Quarterly_Targets_cleaned[TargetRevenue])</f>
        <v>273000</v>
      </c>
    </row>
    <row r="1948" spans="1:22" x14ac:dyDescent="0.25">
      <c r="A1948" t="s">
        <v>2283</v>
      </c>
      <c r="B1948" s="1">
        <v>45412</v>
      </c>
      <c r="C1948" t="s">
        <v>131</v>
      </c>
      <c r="D1948" t="s">
        <v>300</v>
      </c>
      <c r="E1948">
        <v>871</v>
      </c>
      <c r="F1948" t="s">
        <v>381</v>
      </c>
      <c r="G1948" t="s">
        <v>329</v>
      </c>
      <c r="H1948" t="s">
        <v>332</v>
      </c>
      <c r="I1948" t="s">
        <v>17</v>
      </c>
      <c r="J1948" t="s">
        <v>102</v>
      </c>
      <c r="K1948" t="s">
        <v>22</v>
      </c>
      <c r="L1948" t="s">
        <v>301</v>
      </c>
      <c r="M1948" t="s">
        <v>302</v>
      </c>
      <c r="N1948">
        <v>5.0000000000000001E-3</v>
      </c>
      <c r="O1948" t="str">
        <f>IF(Transactions_RAW_cleaned[[#This Row],[Status]]="Completed", IFERROR(_xlfn.XLOOKUP(Transactions_RAW_cleaned[[#This Row],[CustomerID]], Customers_cleaned[CustomerID], Customers_cleaned[Segment]), "Customer Not Found"), "N/A")</f>
        <v>N/A</v>
      </c>
      <c r="P1948" s="5" t="str">
        <f>IF(Transactions_RAW_cleaned[[#This Row],[Status]]="Refunded", "Refund",
  IF(Transactions_RAW_cleaned[[#This Row],[Category]]="Payments", IF(Transactions_RAW_cleaned[[#This Row],[Amount]]&gt;500,"High Value","Standard"),
    IF(Transactions_RAW_cleaned[[#This Row],[Amount]]&gt;250,"High Value","Standard")))</f>
        <v>High Value</v>
      </c>
      <c r="Q1948" s="5" t="str">
        <f>IF(Transactions_RAW_cleaned[[#This Row],[Amount]] &gt; (_xlfn.XLOOKUP(Transactions_RAW_cleaned[[#This Row],[ServiceID]],Services_cleaned[ServiceID],Services_cleaned[TransactionFeePct]) * 10000), "Yes", "No")</f>
        <v>Yes</v>
      </c>
      <c r="R1948" s="5" t="str">
        <f>IF(COUNTIFS($C$2:Transactions_RAW_cleaned[[#This Row],[CustomerID]],Transactions_RAW_cleaned[[#This Row],[CustomerID]],$D$2:Transactions_RAW_cleaned[[#This Row],[ServiceID]],Transactions_RAW_cleaned[[#This Row],[ServiceID]])=1,"Yes","No")</f>
        <v>Yes</v>
      </c>
      <c r="S194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48" t="str">
        <f>"Q"&amp;ROUNDUP(MONTH(Transactions_RAW_cleaned[[#This Row],[TransactionDate]])/3,0)</f>
        <v>Q2</v>
      </c>
      <c r="U1948" t="str">
        <f>Transactions_RAW_cleaned[[#This Row],[Region ]]&amp;Transactions_RAW_cleaned[[#This Row],[Quarter ]]</f>
        <v>NAQ2</v>
      </c>
      <c r="V1948" s="5">
        <f>_xlfn.XLOOKUP(Transactions_RAW_cleaned[[#This Row],[RegionQuarterKey]], Quarterly_Targets_cleaned[RegionQuarterKey], Quarterly_Targets_cleaned[TargetRevenue])</f>
        <v>260000</v>
      </c>
    </row>
    <row r="1949" spans="1:22" x14ac:dyDescent="0.25">
      <c r="A1949" t="s">
        <v>2284</v>
      </c>
      <c r="B1949" s="1">
        <v>45297</v>
      </c>
      <c r="C1949" t="s">
        <v>113</v>
      </c>
      <c r="D1949" t="s">
        <v>297</v>
      </c>
      <c r="E1949">
        <v>180.26</v>
      </c>
      <c r="F1949" t="s">
        <v>324</v>
      </c>
      <c r="G1949" t="s">
        <v>325</v>
      </c>
      <c r="I1949" t="s">
        <v>57</v>
      </c>
      <c r="J1949" t="s">
        <v>46</v>
      </c>
      <c r="K1949" t="s">
        <v>10</v>
      </c>
      <c r="L1949" t="s">
        <v>298</v>
      </c>
      <c r="M1949" t="s">
        <v>299</v>
      </c>
      <c r="N1949">
        <v>0</v>
      </c>
      <c r="O1949" t="str">
        <f>IF(Transactions_RAW_cleaned[[#This Row],[Status]]="Completed", IFERROR(_xlfn.XLOOKUP(Transactions_RAW_cleaned[[#This Row],[CustomerID]], Customers_cleaned[CustomerID], Customers_cleaned[Segment]), "Customer Not Found"), "N/A")</f>
        <v>Startup</v>
      </c>
      <c r="P1949" s="5" t="str">
        <f>IF(Transactions_RAW_cleaned[[#This Row],[Status]]="Refunded", "Refund",
  IF(Transactions_RAW_cleaned[[#This Row],[Category]]="Payments", IF(Transactions_RAW_cleaned[[#This Row],[Amount]]&gt;500,"High Value","Standard"),
    IF(Transactions_RAW_cleaned[[#This Row],[Amount]]&gt;250,"High Value","Standard")))</f>
        <v>Standard</v>
      </c>
      <c r="Q1949" s="5" t="str">
        <f>IF(Transactions_RAW_cleaned[[#This Row],[Amount]] &gt; (_xlfn.XLOOKUP(Transactions_RAW_cleaned[[#This Row],[ServiceID]],Services_cleaned[ServiceID],Services_cleaned[TransactionFeePct]) * 10000), "Yes", "No")</f>
        <v>Yes</v>
      </c>
      <c r="R1949" s="5" t="str">
        <f>IF(COUNTIFS($C$2:Transactions_RAW_cleaned[[#This Row],[CustomerID]],Transactions_RAW_cleaned[[#This Row],[CustomerID]],$D$2:Transactions_RAW_cleaned[[#This Row],[ServiceID]],Transactions_RAW_cleaned[[#This Row],[ServiceID]])=1,"Yes","No")</f>
        <v>No</v>
      </c>
      <c r="S194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49" t="str">
        <f>"Q"&amp;ROUNDUP(MONTH(Transactions_RAW_cleaned[[#This Row],[TransactionDate]])/3,0)</f>
        <v>Q1</v>
      </c>
      <c r="U1949" t="str">
        <f>Transactions_RAW_cleaned[[#This Row],[Region ]]&amp;Transactions_RAW_cleaned[[#This Row],[Quarter ]]</f>
        <v>APACQ1</v>
      </c>
      <c r="V1949" s="5">
        <f>_xlfn.XLOOKUP(Transactions_RAW_cleaned[[#This Row],[RegionQuarterKey]], Quarterly_Targets_cleaned[RegionQuarterKey], Quarterly_Targets_cleaned[TargetRevenue])</f>
        <v>104500</v>
      </c>
    </row>
    <row r="1950" spans="1:22" x14ac:dyDescent="0.25">
      <c r="A1950" t="s">
        <v>2285</v>
      </c>
      <c r="B1950" s="1">
        <v>45365</v>
      </c>
      <c r="C1950" t="s">
        <v>94</v>
      </c>
      <c r="D1950" t="s">
        <v>303</v>
      </c>
      <c r="E1950">
        <v>408.25</v>
      </c>
      <c r="F1950" t="s">
        <v>324</v>
      </c>
      <c r="G1950" t="s">
        <v>325</v>
      </c>
      <c r="I1950" t="s">
        <v>8</v>
      </c>
      <c r="J1950" t="s">
        <v>21</v>
      </c>
      <c r="K1950" t="s">
        <v>14</v>
      </c>
      <c r="L1950" t="s">
        <v>304</v>
      </c>
      <c r="M1950" t="s">
        <v>305</v>
      </c>
      <c r="N1950">
        <v>1E-3</v>
      </c>
      <c r="O1950" t="str">
        <f>IF(Transactions_RAW_cleaned[[#This Row],[Status]]="Completed", IFERROR(_xlfn.XLOOKUP(Transactions_RAW_cleaned[[#This Row],[CustomerID]], Customers_cleaned[CustomerID], Customers_cleaned[Segment]), "Customer Not Found"), "N/A")</f>
        <v>SMB</v>
      </c>
      <c r="P1950" s="5" t="str">
        <f>IF(Transactions_RAW_cleaned[[#This Row],[Status]]="Refunded", "Refund",
  IF(Transactions_RAW_cleaned[[#This Row],[Category]]="Payments", IF(Transactions_RAW_cleaned[[#This Row],[Amount]]&gt;500,"High Value","Standard"),
    IF(Transactions_RAW_cleaned[[#This Row],[Amount]]&gt;250,"High Value","Standard")))</f>
        <v>High Value</v>
      </c>
      <c r="Q1950" s="5" t="str">
        <f>IF(Transactions_RAW_cleaned[[#This Row],[Amount]] &gt; (_xlfn.XLOOKUP(Transactions_RAW_cleaned[[#This Row],[ServiceID]],Services_cleaned[ServiceID],Services_cleaned[TransactionFeePct]) * 10000), "Yes", "No")</f>
        <v>Yes</v>
      </c>
      <c r="R1950" s="5" t="str">
        <f>IF(COUNTIFS($C$2:Transactions_RAW_cleaned[[#This Row],[CustomerID]],Transactions_RAW_cleaned[[#This Row],[CustomerID]],$D$2:Transactions_RAW_cleaned[[#This Row],[ServiceID]],Transactions_RAW_cleaned[[#This Row],[ServiceID]])=1,"Yes","No")</f>
        <v>No</v>
      </c>
      <c r="S195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50" t="str">
        <f>"Q"&amp;ROUNDUP(MONTH(Transactions_RAW_cleaned[[#This Row],[TransactionDate]])/3,0)</f>
        <v>Q1</v>
      </c>
      <c r="U1950" t="str">
        <f>Transactions_RAW_cleaned[[#This Row],[Region ]]&amp;Transactions_RAW_cleaned[[#This Row],[Quarter ]]</f>
        <v>APACQ1</v>
      </c>
      <c r="V1950" s="5">
        <f>_xlfn.XLOOKUP(Transactions_RAW_cleaned[[#This Row],[RegionQuarterKey]], Quarterly_Targets_cleaned[RegionQuarterKey], Quarterly_Targets_cleaned[TargetRevenue])</f>
        <v>104500</v>
      </c>
    </row>
    <row r="1951" spans="1:22" x14ac:dyDescent="0.25">
      <c r="A1951" t="s">
        <v>2286</v>
      </c>
      <c r="B1951" s="1">
        <v>45561</v>
      </c>
      <c r="C1951" t="s">
        <v>217</v>
      </c>
      <c r="D1951" t="s">
        <v>306</v>
      </c>
      <c r="E1951">
        <v>912.73</v>
      </c>
      <c r="F1951" t="s">
        <v>324</v>
      </c>
      <c r="G1951" t="s">
        <v>325</v>
      </c>
      <c r="I1951" t="s">
        <v>17</v>
      </c>
      <c r="J1951" t="s">
        <v>102</v>
      </c>
      <c r="K1951" t="s">
        <v>14</v>
      </c>
      <c r="L1951" t="s">
        <v>307</v>
      </c>
      <c r="M1951" t="s">
        <v>308</v>
      </c>
      <c r="N1951">
        <v>0</v>
      </c>
      <c r="O1951" t="str">
        <f>IF(Transactions_RAW_cleaned[[#This Row],[Status]]="Completed", IFERROR(_xlfn.XLOOKUP(Transactions_RAW_cleaned[[#This Row],[CustomerID]], Customers_cleaned[CustomerID], Customers_cleaned[Segment]), "Customer Not Found"), "N/A")</f>
        <v>Enterprise</v>
      </c>
      <c r="P1951" s="5" t="str">
        <f>IF(Transactions_RAW_cleaned[[#This Row],[Status]]="Refunded", "Refund",
  IF(Transactions_RAW_cleaned[[#This Row],[Category]]="Payments", IF(Transactions_RAW_cleaned[[#This Row],[Amount]]&gt;500,"High Value","Standard"),
    IF(Transactions_RAW_cleaned[[#This Row],[Amount]]&gt;250,"High Value","Standard")))</f>
        <v>High Value</v>
      </c>
      <c r="Q1951" s="5" t="str">
        <f>IF(Transactions_RAW_cleaned[[#This Row],[Amount]] &gt; (_xlfn.XLOOKUP(Transactions_RAW_cleaned[[#This Row],[ServiceID]],Services_cleaned[ServiceID],Services_cleaned[TransactionFeePct]) * 10000), "Yes", "No")</f>
        <v>Yes</v>
      </c>
      <c r="R1951" s="5" t="str">
        <f>IF(COUNTIFS($C$2:Transactions_RAW_cleaned[[#This Row],[CustomerID]],Transactions_RAW_cleaned[[#This Row],[CustomerID]],$D$2:Transactions_RAW_cleaned[[#This Row],[ServiceID]],Transactions_RAW_cleaned[[#This Row],[ServiceID]])=1,"Yes","No")</f>
        <v>No</v>
      </c>
      <c r="S195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51" t="str">
        <f>"Q"&amp;ROUNDUP(MONTH(Transactions_RAW_cleaned[[#This Row],[TransactionDate]])/3,0)</f>
        <v>Q3</v>
      </c>
      <c r="U1951" t="str">
        <f>Transactions_RAW_cleaned[[#This Row],[Region ]]&amp;Transactions_RAW_cleaned[[#This Row],[Quarter ]]</f>
        <v>NAQ3</v>
      </c>
      <c r="V1951" s="5">
        <f>_xlfn.XLOOKUP(Transactions_RAW_cleaned[[#This Row],[RegionQuarterKey]], Quarterly_Targets_cleaned[RegionQuarterKey], Quarterly_Targets_cleaned[TargetRevenue])</f>
        <v>273000</v>
      </c>
    </row>
    <row r="1952" spans="1:22" x14ac:dyDescent="0.25">
      <c r="A1952" t="s">
        <v>2287</v>
      </c>
      <c r="B1952" s="1">
        <v>45653</v>
      </c>
      <c r="C1952" t="s">
        <v>271</v>
      </c>
      <c r="D1952" t="s">
        <v>312</v>
      </c>
      <c r="E1952">
        <v>173.18</v>
      </c>
      <c r="F1952" t="s">
        <v>324</v>
      </c>
      <c r="G1952" t="s">
        <v>2963</v>
      </c>
      <c r="H1952" t="s">
        <v>334</v>
      </c>
      <c r="I1952" t="s">
        <v>8</v>
      </c>
      <c r="J1952" t="s">
        <v>102</v>
      </c>
      <c r="K1952" t="s">
        <v>28</v>
      </c>
      <c r="L1952" t="s">
        <v>313</v>
      </c>
      <c r="M1952" t="s">
        <v>314</v>
      </c>
      <c r="N1952">
        <v>0</v>
      </c>
      <c r="O1952" t="str">
        <f>IF(Transactions_RAW_cleaned[[#This Row],[Status]]="Completed", IFERROR(_xlfn.XLOOKUP(Transactions_RAW_cleaned[[#This Row],[CustomerID]], Customers_cleaned[CustomerID], Customers_cleaned[Segment]), "Customer Not Found"), "N/A")</f>
        <v>SMB</v>
      </c>
      <c r="P1952" s="5" t="str">
        <f>IF(Transactions_RAW_cleaned[[#This Row],[Status]]="Refunded", "Refund",
  IF(Transactions_RAW_cleaned[[#This Row],[Category]]="Payments", IF(Transactions_RAW_cleaned[[#This Row],[Amount]]&gt;500,"High Value","Standard"),
    IF(Transactions_RAW_cleaned[[#This Row],[Amount]]&gt;250,"High Value","Standard")))</f>
        <v>Standard</v>
      </c>
      <c r="Q1952" s="5" t="str">
        <f>IF(Transactions_RAW_cleaned[[#This Row],[Amount]] &gt; (_xlfn.XLOOKUP(Transactions_RAW_cleaned[[#This Row],[ServiceID]],Services_cleaned[ServiceID],Services_cleaned[TransactionFeePct]) * 10000), "Yes", "No")</f>
        <v>Yes</v>
      </c>
      <c r="R1952" s="5" t="str">
        <f>IF(COUNTIFS($C$2:Transactions_RAW_cleaned[[#This Row],[CustomerID]],Transactions_RAW_cleaned[[#This Row],[CustomerID]],$D$2:Transactions_RAW_cleaned[[#This Row],[ServiceID]],Transactions_RAW_cleaned[[#This Row],[ServiceID]])=1,"Yes","No")</f>
        <v>Yes</v>
      </c>
      <c r="S195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52" t="str">
        <f>"Q"&amp;ROUNDUP(MONTH(Transactions_RAW_cleaned[[#This Row],[TransactionDate]])/3,0)</f>
        <v>Q4</v>
      </c>
      <c r="U1952" t="str">
        <f>Transactions_RAW_cleaned[[#This Row],[Region ]]&amp;Transactions_RAW_cleaned[[#This Row],[Quarter ]]</f>
        <v>NAQ4</v>
      </c>
      <c r="V1952" s="5">
        <f>_xlfn.XLOOKUP(Transactions_RAW_cleaned[[#This Row],[RegionQuarterKey]], Quarterly_Targets_cleaned[RegionQuarterKey], Quarterly_Targets_cleaned[TargetRevenue])</f>
        <v>299000</v>
      </c>
    </row>
    <row r="1953" spans="1:22" x14ac:dyDescent="0.25">
      <c r="A1953" t="s">
        <v>2288</v>
      </c>
      <c r="B1953" s="1">
        <v>45584</v>
      </c>
      <c r="C1953" t="s">
        <v>199</v>
      </c>
      <c r="D1953" t="s">
        <v>306</v>
      </c>
      <c r="E1953">
        <v>1012.68</v>
      </c>
      <c r="F1953" t="s">
        <v>324</v>
      </c>
      <c r="G1953" t="s">
        <v>2963</v>
      </c>
      <c r="I1953" t="s">
        <v>8</v>
      </c>
      <c r="J1953" t="s">
        <v>13</v>
      </c>
      <c r="K1953" t="s">
        <v>32</v>
      </c>
      <c r="L1953" t="s">
        <v>307</v>
      </c>
      <c r="M1953" t="s">
        <v>308</v>
      </c>
      <c r="N1953">
        <v>0</v>
      </c>
      <c r="O1953" t="str">
        <f>IF(Transactions_RAW_cleaned[[#This Row],[Status]]="Completed", IFERROR(_xlfn.XLOOKUP(Transactions_RAW_cleaned[[#This Row],[CustomerID]], Customers_cleaned[CustomerID], Customers_cleaned[Segment]), "Customer Not Found"), "N/A")</f>
        <v>SMB</v>
      </c>
      <c r="P1953" s="5" t="str">
        <f>IF(Transactions_RAW_cleaned[[#This Row],[Status]]="Refunded", "Refund",
  IF(Transactions_RAW_cleaned[[#This Row],[Category]]="Payments", IF(Transactions_RAW_cleaned[[#This Row],[Amount]]&gt;500,"High Value","Standard"),
    IF(Transactions_RAW_cleaned[[#This Row],[Amount]]&gt;250,"High Value","Standard")))</f>
        <v>High Value</v>
      </c>
      <c r="Q1953" s="5" t="str">
        <f>IF(Transactions_RAW_cleaned[[#This Row],[Amount]] &gt; (_xlfn.XLOOKUP(Transactions_RAW_cleaned[[#This Row],[ServiceID]],Services_cleaned[ServiceID],Services_cleaned[TransactionFeePct]) * 10000), "Yes", "No")</f>
        <v>Yes</v>
      </c>
      <c r="R1953" s="5" t="str">
        <f>IF(COUNTIFS($C$2:Transactions_RAW_cleaned[[#This Row],[CustomerID]],Transactions_RAW_cleaned[[#This Row],[CustomerID]],$D$2:Transactions_RAW_cleaned[[#This Row],[ServiceID]],Transactions_RAW_cleaned[[#This Row],[ServiceID]])=1,"Yes","No")</f>
        <v>Yes</v>
      </c>
      <c r="S195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53" t="str">
        <f>"Q"&amp;ROUNDUP(MONTH(Transactions_RAW_cleaned[[#This Row],[TransactionDate]])/3,0)</f>
        <v>Q4</v>
      </c>
      <c r="U1953" t="str">
        <f>Transactions_RAW_cleaned[[#This Row],[Region ]]&amp;Transactions_RAW_cleaned[[#This Row],[Quarter ]]</f>
        <v>NAQ4</v>
      </c>
      <c r="V1953" s="5">
        <f>_xlfn.XLOOKUP(Transactions_RAW_cleaned[[#This Row],[RegionQuarterKey]], Quarterly_Targets_cleaned[RegionQuarterKey], Quarterly_Targets_cleaned[TargetRevenue])</f>
        <v>299000</v>
      </c>
    </row>
    <row r="1954" spans="1:22" x14ac:dyDescent="0.25">
      <c r="A1954" t="s">
        <v>2289</v>
      </c>
      <c r="B1954" s="1">
        <v>45630</v>
      </c>
      <c r="C1954" t="s">
        <v>221</v>
      </c>
      <c r="D1954" t="s">
        <v>300</v>
      </c>
      <c r="E1954">
        <v>167.9</v>
      </c>
      <c r="F1954" t="s">
        <v>324</v>
      </c>
      <c r="G1954" t="s">
        <v>327</v>
      </c>
      <c r="I1954" t="s">
        <v>8</v>
      </c>
      <c r="J1954" t="s">
        <v>102</v>
      </c>
      <c r="K1954" t="s">
        <v>14</v>
      </c>
      <c r="L1954" t="s">
        <v>301</v>
      </c>
      <c r="M1954" t="s">
        <v>302</v>
      </c>
      <c r="N1954">
        <v>5.0000000000000001E-3</v>
      </c>
      <c r="O1954" t="str">
        <f>IF(Transactions_RAW_cleaned[[#This Row],[Status]]="Completed", IFERROR(_xlfn.XLOOKUP(Transactions_RAW_cleaned[[#This Row],[CustomerID]], Customers_cleaned[CustomerID], Customers_cleaned[Segment]), "Customer Not Found"), "N/A")</f>
        <v>SMB</v>
      </c>
      <c r="P1954" s="5" t="str">
        <f>IF(Transactions_RAW_cleaned[[#This Row],[Status]]="Refunded", "Refund",
  IF(Transactions_RAW_cleaned[[#This Row],[Category]]="Payments", IF(Transactions_RAW_cleaned[[#This Row],[Amount]]&gt;500,"High Value","Standard"),
    IF(Transactions_RAW_cleaned[[#This Row],[Amount]]&gt;250,"High Value","Standard")))</f>
        <v>Standard</v>
      </c>
      <c r="Q1954" s="5" t="str">
        <f>IF(Transactions_RAW_cleaned[[#This Row],[Amount]] &gt; (_xlfn.XLOOKUP(Transactions_RAW_cleaned[[#This Row],[ServiceID]],Services_cleaned[ServiceID],Services_cleaned[TransactionFeePct]) * 10000), "Yes", "No")</f>
        <v>Yes</v>
      </c>
      <c r="R1954" s="5" t="str">
        <f>IF(COUNTIFS($C$2:Transactions_RAW_cleaned[[#This Row],[CustomerID]],Transactions_RAW_cleaned[[#This Row],[CustomerID]],$D$2:Transactions_RAW_cleaned[[#This Row],[ServiceID]],Transactions_RAW_cleaned[[#This Row],[ServiceID]])=1,"Yes","No")</f>
        <v>No</v>
      </c>
      <c r="S195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54" t="str">
        <f>"Q"&amp;ROUNDUP(MONTH(Transactions_RAW_cleaned[[#This Row],[TransactionDate]])/3,0)</f>
        <v>Q4</v>
      </c>
      <c r="U1954" t="str">
        <f>Transactions_RAW_cleaned[[#This Row],[Region ]]&amp;Transactions_RAW_cleaned[[#This Row],[Quarter ]]</f>
        <v>NAQ4</v>
      </c>
      <c r="V1954" s="5">
        <f>_xlfn.XLOOKUP(Transactions_RAW_cleaned[[#This Row],[RegionQuarterKey]], Quarterly_Targets_cleaned[RegionQuarterKey], Quarterly_Targets_cleaned[TargetRevenue])</f>
        <v>299000</v>
      </c>
    </row>
    <row r="1955" spans="1:22" x14ac:dyDescent="0.25">
      <c r="A1955" t="s">
        <v>2290</v>
      </c>
      <c r="B1955" s="1">
        <v>45616</v>
      </c>
      <c r="C1955" t="s">
        <v>213</v>
      </c>
      <c r="D1955" t="s">
        <v>309</v>
      </c>
      <c r="E1955">
        <v>292.37</v>
      </c>
      <c r="F1955" t="s">
        <v>324</v>
      </c>
      <c r="G1955" t="s">
        <v>329</v>
      </c>
      <c r="I1955" t="s">
        <v>17</v>
      </c>
      <c r="J1955" t="s">
        <v>25</v>
      </c>
      <c r="K1955" t="s">
        <v>14</v>
      </c>
      <c r="L1955" t="s">
        <v>310</v>
      </c>
      <c r="M1955" t="s">
        <v>311</v>
      </c>
      <c r="N1955">
        <v>0</v>
      </c>
      <c r="O1955" t="str">
        <f>IF(Transactions_RAW_cleaned[[#This Row],[Status]]="Completed", IFERROR(_xlfn.XLOOKUP(Transactions_RAW_cleaned[[#This Row],[CustomerID]], Customers_cleaned[CustomerID], Customers_cleaned[Segment]), "Customer Not Found"), "N/A")</f>
        <v>Enterprise</v>
      </c>
      <c r="P1955" s="5" t="str">
        <f>IF(Transactions_RAW_cleaned[[#This Row],[Status]]="Refunded", "Refund",
  IF(Transactions_RAW_cleaned[[#This Row],[Category]]="Payments", IF(Transactions_RAW_cleaned[[#This Row],[Amount]]&gt;500,"High Value","Standard"),
    IF(Transactions_RAW_cleaned[[#This Row],[Amount]]&gt;250,"High Value","Standard")))</f>
        <v>High Value</v>
      </c>
      <c r="Q1955" s="5" t="str">
        <f>IF(Transactions_RAW_cleaned[[#This Row],[Amount]] &gt; (_xlfn.XLOOKUP(Transactions_RAW_cleaned[[#This Row],[ServiceID]],Services_cleaned[ServiceID],Services_cleaned[TransactionFeePct]) * 10000), "Yes", "No")</f>
        <v>Yes</v>
      </c>
      <c r="R1955" s="5" t="str">
        <f>IF(COUNTIFS($C$2:Transactions_RAW_cleaned[[#This Row],[CustomerID]],Transactions_RAW_cleaned[[#This Row],[CustomerID]],$D$2:Transactions_RAW_cleaned[[#This Row],[ServiceID]],Transactions_RAW_cleaned[[#This Row],[ServiceID]])=1,"Yes","No")</f>
        <v>Yes</v>
      </c>
      <c r="S195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55" t="str">
        <f>"Q"&amp;ROUNDUP(MONTH(Transactions_RAW_cleaned[[#This Row],[TransactionDate]])/3,0)</f>
        <v>Q4</v>
      </c>
      <c r="U1955" t="str">
        <f>Transactions_RAW_cleaned[[#This Row],[Region ]]&amp;Transactions_RAW_cleaned[[#This Row],[Quarter ]]</f>
        <v>APACQ4</v>
      </c>
      <c r="V1955" s="5">
        <f>_xlfn.XLOOKUP(Transactions_RAW_cleaned[[#This Row],[RegionQuarterKey]], Quarterly_Targets_cleaned[RegionQuarterKey], Quarterly_Targets_cleaned[TargetRevenue])</f>
        <v>126500</v>
      </c>
    </row>
    <row r="1956" spans="1:22" x14ac:dyDescent="0.25">
      <c r="A1956" t="s">
        <v>2291</v>
      </c>
      <c r="B1956" s="1">
        <v>45640</v>
      </c>
      <c r="C1956" t="s">
        <v>153</v>
      </c>
      <c r="D1956" t="s">
        <v>309</v>
      </c>
      <c r="E1956">
        <v>569.35</v>
      </c>
      <c r="F1956" t="s">
        <v>324</v>
      </c>
      <c r="G1956" t="s">
        <v>325</v>
      </c>
      <c r="I1956" t="s">
        <v>8</v>
      </c>
      <c r="J1956" t="s">
        <v>37</v>
      </c>
      <c r="K1956" t="s">
        <v>32</v>
      </c>
      <c r="L1956" t="s">
        <v>310</v>
      </c>
      <c r="M1956" t="s">
        <v>311</v>
      </c>
      <c r="N1956">
        <v>0</v>
      </c>
      <c r="O1956" t="str">
        <f>IF(Transactions_RAW_cleaned[[#This Row],[Status]]="Completed", IFERROR(_xlfn.XLOOKUP(Transactions_RAW_cleaned[[#This Row],[CustomerID]], Customers_cleaned[CustomerID], Customers_cleaned[Segment]), "Customer Not Found"), "N/A")</f>
        <v>SMB</v>
      </c>
      <c r="P1956" s="5" t="str">
        <f>IF(Transactions_RAW_cleaned[[#This Row],[Status]]="Refunded", "Refund",
  IF(Transactions_RAW_cleaned[[#This Row],[Category]]="Payments", IF(Transactions_RAW_cleaned[[#This Row],[Amount]]&gt;500,"High Value","Standard"),
    IF(Transactions_RAW_cleaned[[#This Row],[Amount]]&gt;250,"High Value","Standard")))</f>
        <v>High Value</v>
      </c>
      <c r="Q1956" s="5" t="str">
        <f>IF(Transactions_RAW_cleaned[[#This Row],[Amount]] &gt; (_xlfn.XLOOKUP(Transactions_RAW_cleaned[[#This Row],[ServiceID]],Services_cleaned[ServiceID],Services_cleaned[TransactionFeePct]) * 10000), "Yes", "No")</f>
        <v>Yes</v>
      </c>
      <c r="R1956" s="5" t="str">
        <f>IF(COUNTIFS($C$2:Transactions_RAW_cleaned[[#This Row],[CustomerID]],Transactions_RAW_cleaned[[#This Row],[CustomerID]],$D$2:Transactions_RAW_cleaned[[#This Row],[ServiceID]],Transactions_RAW_cleaned[[#This Row],[ServiceID]])=1,"Yes","No")</f>
        <v>No</v>
      </c>
      <c r="S195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956" t="str">
        <f>"Q"&amp;ROUNDUP(MONTH(Transactions_RAW_cleaned[[#This Row],[TransactionDate]])/3,0)</f>
        <v>Q4</v>
      </c>
      <c r="U1956" t="str">
        <f>Transactions_RAW_cleaned[[#This Row],[Region ]]&amp;Transactions_RAW_cleaned[[#This Row],[Quarter ]]</f>
        <v>EMEAQ4</v>
      </c>
      <c r="V1956" s="5">
        <f>_xlfn.XLOOKUP(Transactions_RAW_cleaned[[#This Row],[RegionQuarterKey]], Quarterly_Targets_cleaned[RegionQuarterKey], Quarterly_Targets_cleaned[TargetRevenue])</f>
        <v>161000</v>
      </c>
    </row>
    <row r="1957" spans="1:22" x14ac:dyDescent="0.25">
      <c r="A1957" t="s">
        <v>2292</v>
      </c>
      <c r="B1957" s="1">
        <v>45503</v>
      </c>
      <c r="C1957" t="s">
        <v>55</v>
      </c>
      <c r="D1957" t="s">
        <v>297</v>
      </c>
      <c r="E1957">
        <v>758.9</v>
      </c>
      <c r="F1957" t="s">
        <v>381</v>
      </c>
      <c r="G1957" t="s">
        <v>327</v>
      </c>
      <c r="H1957" t="s">
        <v>332</v>
      </c>
      <c r="I1957" t="s">
        <v>57</v>
      </c>
      <c r="J1957" t="s">
        <v>31</v>
      </c>
      <c r="K1957" t="s">
        <v>22</v>
      </c>
      <c r="L1957" t="s">
        <v>298</v>
      </c>
      <c r="M1957" t="s">
        <v>299</v>
      </c>
      <c r="N1957">
        <v>0</v>
      </c>
      <c r="O1957" t="str">
        <f>IF(Transactions_RAW_cleaned[[#This Row],[Status]]="Completed", IFERROR(_xlfn.XLOOKUP(Transactions_RAW_cleaned[[#This Row],[CustomerID]], Customers_cleaned[CustomerID], Customers_cleaned[Segment]), "Customer Not Found"), "N/A")</f>
        <v>N/A</v>
      </c>
      <c r="P1957" s="5" t="str">
        <f>IF(Transactions_RAW_cleaned[[#This Row],[Status]]="Refunded", "Refund",
  IF(Transactions_RAW_cleaned[[#This Row],[Category]]="Payments", IF(Transactions_RAW_cleaned[[#This Row],[Amount]]&gt;500,"High Value","Standard"),
    IF(Transactions_RAW_cleaned[[#This Row],[Amount]]&gt;250,"High Value","Standard")))</f>
        <v>High Value</v>
      </c>
      <c r="Q1957" s="5" t="str">
        <f>IF(Transactions_RAW_cleaned[[#This Row],[Amount]] &gt; (_xlfn.XLOOKUP(Transactions_RAW_cleaned[[#This Row],[ServiceID]],Services_cleaned[ServiceID],Services_cleaned[TransactionFeePct]) * 10000), "Yes", "No")</f>
        <v>Yes</v>
      </c>
      <c r="R1957" s="5" t="str">
        <f>IF(COUNTIFS($C$2:Transactions_RAW_cleaned[[#This Row],[CustomerID]],Transactions_RAW_cleaned[[#This Row],[CustomerID]],$D$2:Transactions_RAW_cleaned[[#This Row],[ServiceID]],Transactions_RAW_cleaned[[#This Row],[ServiceID]])=1,"Yes","No")</f>
        <v>No</v>
      </c>
      <c r="S195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957" t="str">
        <f>"Q"&amp;ROUNDUP(MONTH(Transactions_RAW_cleaned[[#This Row],[TransactionDate]])/3,0)</f>
        <v>Q3</v>
      </c>
      <c r="U1957" t="str">
        <f>Transactions_RAW_cleaned[[#This Row],[Region ]]&amp;Transactions_RAW_cleaned[[#This Row],[Quarter ]]</f>
        <v>EMEAQ3</v>
      </c>
      <c r="V1957" s="5">
        <f>_xlfn.XLOOKUP(Transactions_RAW_cleaned[[#This Row],[RegionQuarterKey]], Quarterly_Targets_cleaned[RegionQuarterKey], Quarterly_Targets_cleaned[TargetRevenue])</f>
        <v>147000</v>
      </c>
    </row>
    <row r="1958" spans="1:22" x14ac:dyDescent="0.25">
      <c r="A1958" t="s">
        <v>2293</v>
      </c>
      <c r="B1958" s="1">
        <v>45378</v>
      </c>
      <c r="C1958" t="s">
        <v>72</v>
      </c>
      <c r="D1958" t="s">
        <v>309</v>
      </c>
      <c r="E1958">
        <v>244.02</v>
      </c>
      <c r="F1958" t="s">
        <v>324</v>
      </c>
      <c r="G1958" t="s">
        <v>327</v>
      </c>
      <c r="H1958" t="s">
        <v>332</v>
      </c>
      <c r="I1958" t="s">
        <v>57</v>
      </c>
      <c r="J1958" t="s">
        <v>46</v>
      </c>
      <c r="K1958" t="s">
        <v>32</v>
      </c>
      <c r="L1958" t="s">
        <v>310</v>
      </c>
      <c r="M1958" t="s">
        <v>311</v>
      </c>
      <c r="N1958">
        <v>0</v>
      </c>
      <c r="O1958" t="str">
        <f>IF(Transactions_RAW_cleaned[[#This Row],[Status]]="Completed", IFERROR(_xlfn.XLOOKUP(Transactions_RAW_cleaned[[#This Row],[CustomerID]], Customers_cleaned[CustomerID], Customers_cleaned[Segment]), "Customer Not Found"), "N/A")</f>
        <v>Startup</v>
      </c>
      <c r="P1958" s="5" t="str">
        <f>IF(Transactions_RAW_cleaned[[#This Row],[Status]]="Refunded", "Refund",
  IF(Transactions_RAW_cleaned[[#This Row],[Category]]="Payments", IF(Transactions_RAW_cleaned[[#This Row],[Amount]]&gt;500,"High Value","Standard"),
    IF(Transactions_RAW_cleaned[[#This Row],[Amount]]&gt;250,"High Value","Standard")))</f>
        <v>Standard</v>
      </c>
      <c r="Q1958" s="5" t="str">
        <f>IF(Transactions_RAW_cleaned[[#This Row],[Amount]] &gt; (_xlfn.XLOOKUP(Transactions_RAW_cleaned[[#This Row],[ServiceID]],Services_cleaned[ServiceID],Services_cleaned[TransactionFeePct]) * 10000), "Yes", "No")</f>
        <v>Yes</v>
      </c>
      <c r="R1958" s="5" t="str">
        <f>IF(COUNTIFS($C$2:Transactions_RAW_cleaned[[#This Row],[CustomerID]],Transactions_RAW_cleaned[[#This Row],[CustomerID]],$D$2:Transactions_RAW_cleaned[[#This Row],[ServiceID]],Transactions_RAW_cleaned[[#This Row],[ServiceID]])=1,"Yes","No")</f>
        <v>No</v>
      </c>
      <c r="S195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58" t="str">
        <f>"Q"&amp;ROUNDUP(MONTH(Transactions_RAW_cleaned[[#This Row],[TransactionDate]])/3,0)</f>
        <v>Q1</v>
      </c>
      <c r="U1958" t="str">
        <f>Transactions_RAW_cleaned[[#This Row],[Region ]]&amp;Transactions_RAW_cleaned[[#This Row],[Quarter ]]</f>
        <v>APACQ1</v>
      </c>
      <c r="V1958" s="5">
        <f>_xlfn.XLOOKUP(Transactions_RAW_cleaned[[#This Row],[RegionQuarterKey]], Quarterly_Targets_cleaned[RegionQuarterKey], Quarterly_Targets_cleaned[TargetRevenue])</f>
        <v>104500</v>
      </c>
    </row>
    <row r="1959" spans="1:22" x14ac:dyDescent="0.25">
      <c r="A1959" t="s">
        <v>2294</v>
      </c>
      <c r="B1959" s="1">
        <v>45546</v>
      </c>
      <c r="C1959" t="s">
        <v>203</v>
      </c>
      <c r="D1959" t="s">
        <v>300</v>
      </c>
      <c r="E1959">
        <v>351.15</v>
      </c>
      <c r="F1959" t="s">
        <v>324</v>
      </c>
      <c r="G1959" t="s">
        <v>329</v>
      </c>
      <c r="I1959" t="s">
        <v>57</v>
      </c>
      <c r="J1959" t="s">
        <v>21</v>
      </c>
      <c r="K1959" t="s">
        <v>14</v>
      </c>
      <c r="L1959" t="s">
        <v>301</v>
      </c>
      <c r="M1959" t="s">
        <v>302</v>
      </c>
      <c r="N1959">
        <v>5.0000000000000001E-3</v>
      </c>
      <c r="O1959" t="str">
        <f>IF(Transactions_RAW_cleaned[[#This Row],[Status]]="Completed", IFERROR(_xlfn.XLOOKUP(Transactions_RAW_cleaned[[#This Row],[CustomerID]], Customers_cleaned[CustomerID], Customers_cleaned[Segment]), "Customer Not Found"), "N/A")</f>
        <v>Startup</v>
      </c>
      <c r="P1959" s="5" t="str">
        <f>IF(Transactions_RAW_cleaned[[#This Row],[Status]]="Refunded", "Refund",
  IF(Transactions_RAW_cleaned[[#This Row],[Category]]="Payments", IF(Transactions_RAW_cleaned[[#This Row],[Amount]]&gt;500,"High Value","Standard"),
    IF(Transactions_RAW_cleaned[[#This Row],[Amount]]&gt;250,"High Value","Standard")))</f>
        <v>High Value</v>
      </c>
      <c r="Q1959" s="5" t="str">
        <f>IF(Transactions_RAW_cleaned[[#This Row],[Amount]] &gt; (_xlfn.XLOOKUP(Transactions_RAW_cleaned[[#This Row],[ServiceID]],Services_cleaned[ServiceID],Services_cleaned[TransactionFeePct]) * 10000), "Yes", "No")</f>
        <v>Yes</v>
      </c>
      <c r="R1959" s="5" t="str">
        <f>IF(COUNTIFS($C$2:Transactions_RAW_cleaned[[#This Row],[CustomerID]],Transactions_RAW_cleaned[[#This Row],[CustomerID]],$D$2:Transactions_RAW_cleaned[[#This Row],[ServiceID]],Transactions_RAW_cleaned[[#This Row],[ServiceID]])=1,"Yes","No")</f>
        <v>No</v>
      </c>
      <c r="S195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59" t="str">
        <f>"Q"&amp;ROUNDUP(MONTH(Transactions_RAW_cleaned[[#This Row],[TransactionDate]])/3,0)</f>
        <v>Q3</v>
      </c>
      <c r="U1959" t="str">
        <f>Transactions_RAW_cleaned[[#This Row],[Region ]]&amp;Transactions_RAW_cleaned[[#This Row],[Quarter ]]</f>
        <v>APACQ3</v>
      </c>
      <c r="V1959" s="5">
        <f>_xlfn.XLOOKUP(Transactions_RAW_cleaned[[#This Row],[RegionQuarterKey]], Quarterly_Targets_cleaned[RegionQuarterKey], Quarterly_Targets_cleaned[TargetRevenue])</f>
        <v>115500</v>
      </c>
    </row>
    <row r="1960" spans="1:22" x14ac:dyDescent="0.25">
      <c r="A1960" t="s">
        <v>2295</v>
      </c>
      <c r="B1960" s="1">
        <v>45545</v>
      </c>
      <c r="C1960" t="s">
        <v>159</v>
      </c>
      <c r="D1960" t="s">
        <v>294</v>
      </c>
      <c r="E1960">
        <v>366.83</v>
      </c>
      <c r="F1960" t="s">
        <v>324</v>
      </c>
      <c r="G1960" t="s">
        <v>327</v>
      </c>
      <c r="I1960" t="s">
        <v>57</v>
      </c>
      <c r="J1960" t="s">
        <v>25</v>
      </c>
      <c r="K1960" t="s">
        <v>22</v>
      </c>
      <c r="L1960" t="s">
        <v>295</v>
      </c>
      <c r="M1960" t="s">
        <v>296</v>
      </c>
      <c r="N1960">
        <v>2.9000000000000001E-2</v>
      </c>
      <c r="O1960" t="str">
        <f>IF(Transactions_RAW_cleaned[[#This Row],[Status]]="Completed", IFERROR(_xlfn.XLOOKUP(Transactions_RAW_cleaned[[#This Row],[CustomerID]], Customers_cleaned[CustomerID], Customers_cleaned[Segment]), "Customer Not Found"), "N/A")</f>
        <v>Startup</v>
      </c>
      <c r="P1960" s="5" t="str">
        <f>IF(Transactions_RAW_cleaned[[#This Row],[Status]]="Refunded", "Refund",
  IF(Transactions_RAW_cleaned[[#This Row],[Category]]="Payments", IF(Transactions_RAW_cleaned[[#This Row],[Amount]]&gt;500,"High Value","Standard"),
    IF(Transactions_RAW_cleaned[[#This Row],[Amount]]&gt;250,"High Value","Standard")))</f>
        <v>Standard</v>
      </c>
      <c r="Q1960" s="5" t="str">
        <f>IF(Transactions_RAW_cleaned[[#This Row],[Amount]] &gt; (_xlfn.XLOOKUP(Transactions_RAW_cleaned[[#This Row],[ServiceID]],Services_cleaned[ServiceID],Services_cleaned[TransactionFeePct]) * 10000), "Yes", "No")</f>
        <v>Yes</v>
      </c>
      <c r="R1960" s="5" t="str">
        <f>IF(COUNTIFS($C$2:Transactions_RAW_cleaned[[#This Row],[CustomerID]],Transactions_RAW_cleaned[[#This Row],[CustomerID]],$D$2:Transactions_RAW_cleaned[[#This Row],[ServiceID]],Transactions_RAW_cleaned[[#This Row],[ServiceID]])=1,"Yes","No")</f>
        <v>No</v>
      </c>
      <c r="S196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60" t="str">
        <f>"Q"&amp;ROUNDUP(MONTH(Transactions_RAW_cleaned[[#This Row],[TransactionDate]])/3,0)</f>
        <v>Q3</v>
      </c>
      <c r="U1960" t="str">
        <f>Transactions_RAW_cleaned[[#This Row],[Region ]]&amp;Transactions_RAW_cleaned[[#This Row],[Quarter ]]</f>
        <v>APACQ3</v>
      </c>
      <c r="V1960" s="5">
        <f>_xlfn.XLOOKUP(Transactions_RAW_cleaned[[#This Row],[RegionQuarterKey]], Quarterly_Targets_cleaned[RegionQuarterKey], Quarterly_Targets_cleaned[TargetRevenue])</f>
        <v>115500</v>
      </c>
    </row>
    <row r="1961" spans="1:22" x14ac:dyDescent="0.25">
      <c r="A1961" t="s">
        <v>2296</v>
      </c>
      <c r="B1961" s="1">
        <v>45427</v>
      </c>
      <c r="C1961" t="s">
        <v>221</v>
      </c>
      <c r="D1961" t="s">
        <v>294</v>
      </c>
      <c r="E1961">
        <v>394.79</v>
      </c>
      <c r="F1961" t="s">
        <v>381</v>
      </c>
      <c r="G1961" t="s">
        <v>337</v>
      </c>
      <c r="I1961" t="s">
        <v>8</v>
      </c>
      <c r="J1961" t="s">
        <v>102</v>
      </c>
      <c r="K1961" t="s">
        <v>14</v>
      </c>
      <c r="L1961" t="s">
        <v>295</v>
      </c>
      <c r="M1961" t="s">
        <v>296</v>
      </c>
      <c r="N1961">
        <v>2.9000000000000001E-2</v>
      </c>
      <c r="O1961" t="str">
        <f>IF(Transactions_RAW_cleaned[[#This Row],[Status]]="Completed", IFERROR(_xlfn.XLOOKUP(Transactions_RAW_cleaned[[#This Row],[CustomerID]], Customers_cleaned[CustomerID], Customers_cleaned[Segment]), "Customer Not Found"), "N/A")</f>
        <v>N/A</v>
      </c>
      <c r="P1961" s="5" t="str">
        <f>IF(Transactions_RAW_cleaned[[#This Row],[Status]]="Refunded", "Refund",
  IF(Transactions_RAW_cleaned[[#This Row],[Category]]="Payments", IF(Transactions_RAW_cleaned[[#This Row],[Amount]]&gt;500,"High Value","Standard"),
    IF(Transactions_RAW_cleaned[[#This Row],[Amount]]&gt;250,"High Value","Standard")))</f>
        <v>Standard</v>
      </c>
      <c r="Q1961" s="5" t="str">
        <f>IF(Transactions_RAW_cleaned[[#This Row],[Amount]] &gt; (_xlfn.XLOOKUP(Transactions_RAW_cleaned[[#This Row],[ServiceID]],Services_cleaned[ServiceID],Services_cleaned[TransactionFeePct]) * 10000), "Yes", "No")</f>
        <v>Yes</v>
      </c>
      <c r="R1961" s="5" t="str">
        <f>IF(COUNTIFS($C$2:Transactions_RAW_cleaned[[#This Row],[CustomerID]],Transactions_RAW_cleaned[[#This Row],[CustomerID]],$D$2:Transactions_RAW_cleaned[[#This Row],[ServiceID]],Transactions_RAW_cleaned[[#This Row],[ServiceID]])=1,"Yes","No")</f>
        <v>No</v>
      </c>
      <c r="S196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61" t="str">
        <f>"Q"&amp;ROUNDUP(MONTH(Transactions_RAW_cleaned[[#This Row],[TransactionDate]])/3,0)</f>
        <v>Q2</v>
      </c>
      <c r="U1961" t="str">
        <f>Transactions_RAW_cleaned[[#This Row],[Region ]]&amp;Transactions_RAW_cleaned[[#This Row],[Quarter ]]</f>
        <v>NAQ2</v>
      </c>
      <c r="V1961" s="5">
        <f>_xlfn.XLOOKUP(Transactions_RAW_cleaned[[#This Row],[RegionQuarterKey]], Quarterly_Targets_cleaned[RegionQuarterKey], Quarterly_Targets_cleaned[TargetRevenue])</f>
        <v>260000</v>
      </c>
    </row>
    <row r="1962" spans="1:22" x14ac:dyDescent="0.25">
      <c r="A1962" t="s">
        <v>2297</v>
      </c>
      <c r="B1962" s="1">
        <v>45550</v>
      </c>
      <c r="C1962" t="s">
        <v>221</v>
      </c>
      <c r="D1962" t="s">
        <v>300</v>
      </c>
      <c r="E1962">
        <v>138.56</v>
      </c>
      <c r="F1962" t="s">
        <v>324</v>
      </c>
      <c r="G1962" t="s">
        <v>337</v>
      </c>
      <c r="I1962" t="s">
        <v>8</v>
      </c>
      <c r="J1962" t="s">
        <v>102</v>
      </c>
      <c r="K1962" t="s">
        <v>14</v>
      </c>
      <c r="L1962" t="s">
        <v>301</v>
      </c>
      <c r="M1962" t="s">
        <v>302</v>
      </c>
      <c r="N1962">
        <v>5.0000000000000001E-3</v>
      </c>
      <c r="O1962" t="str">
        <f>IF(Transactions_RAW_cleaned[[#This Row],[Status]]="Completed", IFERROR(_xlfn.XLOOKUP(Transactions_RAW_cleaned[[#This Row],[CustomerID]], Customers_cleaned[CustomerID], Customers_cleaned[Segment]), "Customer Not Found"), "N/A")</f>
        <v>SMB</v>
      </c>
      <c r="P1962" s="5" t="str">
        <f>IF(Transactions_RAW_cleaned[[#This Row],[Status]]="Refunded", "Refund",
  IF(Transactions_RAW_cleaned[[#This Row],[Category]]="Payments", IF(Transactions_RAW_cleaned[[#This Row],[Amount]]&gt;500,"High Value","Standard"),
    IF(Transactions_RAW_cleaned[[#This Row],[Amount]]&gt;250,"High Value","Standard")))</f>
        <v>Standard</v>
      </c>
      <c r="Q1962" s="5" t="str">
        <f>IF(Transactions_RAW_cleaned[[#This Row],[Amount]] &gt; (_xlfn.XLOOKUP(Transactions_RAW_cleaned[[#This Row],[ServiceID]],Services_cleaned[ServiceID],Services_cleaned[TransactionFeePct]) * 10000), "Yes", "No")</f>
        <v>Yes</v>
      </c>
      <c r="R1962" s="5" t="str">
        <f>IF(COUNTIFS($C$2:Transactions_RAW_cleaned[[#This Row],[CustomerID]],Transactions_RAW_cleaned[[#This Row],[CustomerID]],$D$2:Transactions_RAW_cleaned[[#This Row],[ServiceID]],Transactions_RAW_cleaned[[#This Row],[ServiceID]])=1,"Yes","No")</f>
        <v>No</v>
      </c>
      <c r="S196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62" t="str">
        <f>"Q"&amp;ROUNDUP(MONTH(Transactions_RAW_cleaned[[#This Row],[TransactionDate]])/3,0)</f>
        <v>Q3</v>
      </c>
      <c r="U1962" t="str">
        <f>Transactions_RAW_cleaned[[#This Row],[Region ]]&amp;Transactions_RAW_cleaned[[#This Row],[Quarter ]]</f>
        <v>NAQ3</v>
      </c>
      <c r="V1962" s="5">
        <f>_xlfn.XLOOKUP(Transactions_RAW_cleaned[[#This Row],[RegionQuarterKey]], Quarterly_Targets_cleaned[RegionQuarterKey], Quarterly_Targets_cleaned[TargetRevenue])</f>
        <v>273000</v>
      </c>
    </row>
    <row r="1963" spans="1:22" x14ac:dyDescent="0.25">
      <c r="A1963" t="s">
        <v>2298</v>
      </c>
      <c r="B1963" s="1">
        <v>45549</v>
      </c>
      <c r="C1963" t="s">
        <v>55</v>
      </c>
      <c r="D1963" t="s">
        <v>297</v>
      </c>
      <c r="E1963">
        <v>325.18</v>
      </c>
      <c r="F1963" t="s">
        <v>324</v>
      </c>
      <c r="G1963" t="s">
        <v>327</v>
      </c>
      <c r="I1963" t="s">
        <v>57</v>
      </c>
      <c r="J1963" t="s">
        <v>31</v>
      </c>
      <c r="K1963" t="s">
        <v>22</v>
      </c>
      <c r="L1963" t="s">
        <v>298</v>
      </c>
      <c r="M1963" t="s">
        <v>299</v>
      </c>
      <c r="N1963">
        <v>0</v>
      </c>
      <c r="O1963" t="str">
        <f>IF(Transactions_RAW_cleaned[[#This Row],[Status]]="Completed", IFERROR(_xlfn.XLOOKUP(Transactions_RAW_cleaned[[#This Row],[CustomerID]], Customers_cleaned[CustomerID], Customers_cleaned[Segment]), "Customer Not Found"), "N/A")</f>
        <v>Startup</v>
      </c>
      <c r="P1963" s="5" t="str">
        <f>IF(Transactions_RAW_cleaned[[#This Row],[Status]]="Refunded", "Refund",
  IF(Transactions_RAW_cleaned[[#This Row],[Category]]="Payments", IF(Transactions_RAW_cleaned[[#This Row],[Amount]]&gt;500,"High Value","Standard"),
    IF(Transactions_RAW_cleaned[[#This Row],[Amount]]&gt;250,"High Value","Standard")))</f>
        <v>High Value</v>
      </c>
      <c r="Q1963" s="5" t="str">
        <f>IF(Transactions_RAW_cleaned[[#This Row],[Amount]] &gt; (_xlfn.XLOOKUP(Transactions_RAW_cleaned[[#This Row],[ServiceID]],Services_cleaned[ServiceID],Services_cleaned[TransactionFeePct]) * 10000), "Yes", "No")</f>
        <v>Yes</v>
      </c>
      <c r="R1963" s="5" t="str">
        <f>IF(COUNTIFS($C$2:Transactions_RAW_cleaned[[#This Row],[CustomerID]],Transactions_RAW_cleaned[[#This Row],[CustomerID]],$D$2:Transactions_RAW_cleaned[[#This Row],[ServiceID]],Transactions_RAW_cleaned[[#This Row],[ServiceID]])=1,"Yes","No")</f>
        <v>No</v>
      </c>
      <c r="S196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963" t="str">
        <f>"Q"&amp;ROUNDUP(MONTH(Transactions_RAW_cleaned[[#This Row],[TransactionDate]])/3,0)</f>
        <v>Q3</v>
      </c>
      <c r="U1963" t="str">
        <f>Transactions_RAW_cleaned[[#This Row],[Region ]]&amp;Transactions_RAW_cleaned[[#This Row],[Quarter ]]</f>
        <v>EMEAQ3</v>
      </c>
      <c r="V1963" s="5">
        <f>_xlfn.XLOOKUP(Transactions_RAW_cleaned[[#This Row],[RegionQuarterKey]], Quarterly_Targets_cleaned[RegionQuarterKey], Quarterly_Targets_cleaned[TargetRevenue])</f>
        <v>147000</v>
      </c>
    </row>
    <row r="1964" spans="1:22" x14ac:dyDescent="0.25">
      <c r="A1964" t="s">
        <v>2299</v>
      </c>
      <c r="B1964" s="1">
        <v>45522</v>
      </c>
      <c r="C1964" t="s">
        <v>259</v>
      </c>
      <c r="D1964" t="s">
        <v>294</v>
      </c>
      <c r="E1964">
        <v>364.38</v>
      </c>
      <c r="F1964" t="s">
        <v>324</v>
      </c>
      <c r="G1964" t="s">
        <v>327</v>
      </c>
      <c r="H1964" t="s">
        <v>346</v>
      </c>
      <c r="I1964" t="s">
        <v>8</v>
      </c>
      <c r="J1964" t="s">
        <v>31</v>
      </c>
      <c r="K1964" t="s">
        <v>22</v>
      </c>
      <c r="L1964" t="s">
        <v>295</v>
      </c>
      <c r="M1964" t="s">
        <v>296</v>
      </c>
      <c r="N1964">
        <v>2.9000000000000001E-2</v>
      </c>
      <c r="O1964" t="str">
        <f>IF(Transactions_RAW_cleaned[[#This Row],[Status]]="Completed", IFERROR(_xlfn.XLOOKUP(Transactions_RAW_cleaned[[#This Row],[CustomerID]], Customers_cleaned[CustomerID], Customers_cleaned[Segment]), "Customer Not Found"), "N/A")</f>
        <v>SMB</v>
      </c>
      <c r="P1964" s="5" t="str">
        <f>IF(Transactions_RAW_cleaned[[#This Row],[Status]]="Refunded", "Refund",
  IF(Transactions_RAW_cleaned[[#This Row],[Category]]="Payments", IF(Transactions_RAW_cleaned[[#This Row],[Amount]]&gt;500,"High Value","Standard"),
    IF(Transactions_RAW_cleaned[[#This Row],[Amount]]&gt;250,"High Value","Standard")))</f>
        <v>Standard</v>
      </c>
      <c r="Q1964" s="5" t="str">
        <f>IF(Transactions_RAW_cleaned[[#This Row],[Amount]] &gt; (_xlfn.XLOOKUP(Transactions_RAW_cleaned[[#This Row],[ServiceID]],Services_cleaned[ServiceID],Services_cleaned[TransactionFeePct]) * 10000), "Yes", "No")</f>
        <v>Yes</v>
      </c>
      <c r="R1964" s="5" t="str">
        <f>IF(COUNTIFS($C$2:Transactions_RAW_cleaned[[#This Row],[CustomerID]],Transactions_RAW_cleaned[[#This Row],[CustomerID]],$D$2:Transactions_RAW_cleaned[[#This Row],[ServiceID]],Transactions_RAW_cleaned[[#This Row],[ServiceID]])=1,"Yes","No")</f>
        <v>No</v>
      </c>
      <c r="S196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964" t="str">
        <f>"Q"&amp;ROUNDUP(MONTH(Transactions_RAW_cleaned[[#This Row],[TransactionDate]])/3,0)</f>
        <v>Q3</v>
      </c>
      <c r="U1964" t="str">
        <f>Transactions_RAW_cleaned[[#This Row],[Region ]]&amp;Transactions_RAW_cleaned[[#This Row],[Quarter ]]</f>
        <v>EMEAQ3</v>
      </c>
      <c r="V1964" s="5">
        <f>_xlfn.XLOOKUP(Transactions_RAW_cleaned[[#This Row],[RegionQuarterKey]], Quarterly_Targets_cleaned[RegionQuarterKey], Quarterly_Targets_cleaned[TargetRevenue])</f>
        <v>147000</v>
      </c>
    </row>
    <row r="1965" spans="1:22" x14ac:dyDescent="0.25">
      <c r="A1965" t="s">
        <v>2300</v>
      </c>
      <c r="B1965" s="1">
        <v>45576</v>
      </c>
      <c r="C1965" t="s">
        <v>121</v>
      </c>
      <c r="D1965" t="s">
        <v>294</v>
      </c>
      <c r="E1965">
        <v>307.49</v>
      </c>
      <c r="F1965" t="s">
        <v>324</v>
      </c>
      <c r="G1965" t="s">
        <v>325</v>
      </c>
      <c r="I1965" t="s">
        <v>8</v>
      </c>
      <c r="J1965" t="s">
        <v>37</v>
      </c>
      <c r="K1965" t="s">
        <v>14</v>
      </c>
      <c r="L1965" t="s">
        <v>295</v>
      </c>
      <c r="M1965" t="s">
        <v>296</v>
      </c>
      <c r="N1965">
        <v>2.9000000000000001E-2</v>
      </c>
      <c r="O1965" t="str">
        <f>IF(Transactions_RAW_cleaned[[#This Row],[Status]]="Completed", IFERROR(_xlfn.XLOOKUP(Transactions_RAW_cleaned[[#This Row],[CustomerID]], Customers_cleaned[CustomerID], Customers_cleaned[Segment]), "Customer Not Found"), "N/A")</f>
        <v>SMB</v>
      </c>
      <c r="P1965" s="5" t="str">
        <f>IF(Transactions_RAW_cleaned[[#This Row],[Status]]="Refunded", "Refund",
  IF(Transactions_RAW_cleaned[[#This Row],[Category]]="Payments", IF(Transactions_RAW_cleaned[[#This Row],[Amount]]&gt;500,"High Value","Standard"),
    IF(Transactions_RAW_cleaned[[#This Row],[Amount]]&gt;250,"High Value","Standard")))</f>
        <v>Standard</v>
      </c>
      <c r="Q1965" s="5" t="str">
        <f>IF(Transactions_RAW_cleaned[[#This Row],[Amount]] &gt; (_xlfn.XLOOKUP(Transactions_RAW_cleaned[[#This Row],[ServiceID]],Services_cleaned[ServiceID],Services_cleaned[TransactionFeePct]) * 10000), "Yes", "No")</f>
        <v>Yes</v>
      </c>
      <c r="R1965" s="5" t="str">
        <f>IF(COUNTIFS($C$2:Transactions_RAW_cleaned[[#This Row],[CustomerID]],Transactions_RAW_cleaned[[#This Row],[CustomerID]],$D$2:Transactions_RAW_cleaned[[#This Row],[ServiceID]],Transactions_RAW_cleaned[[#This Row],[ServiceID]])=1,"Yes","No")</f>
        <v>No</v>
      </c>
      <c r="S196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965" t="str">
        <f>"Q"&amp;ROUNDUP(MONTH(Transactions_RAW_cleaned[[#This Row],[TransactionDate]])/3,0)</f>
        <v>Q4</v>
      </c>
      <c r="U1965" t="str">
        <f>Transactions_RAW_cleaned[[#This Row],[Region ]]&amp;Transactions_RAW_cleaned[[#This Row],[Quarter ]]</f>
        <v>EMEAQ4</v>
      </c>
      <c r="V1965" s="5">
        <f>_xlfn.XLOOKUP(Transactions_RAW_cleaned[[#This Row],[RegionQuarterKey]], Quarterly_Targets_cleaned[RegionQuarterKey], Quarterly_Targets_cleaned[TargetRevenue])</f>
        <v>161000</v>
      </c>
    </row>
    <row r="1966" spans="1:22" x14ac:dyDescent="0.25">
      <c r="A1966" t="s">
        <v>2301</v>
      </c>
      <c r="B1966" s="1">
        <v>45643</v>
      </c>
      <c r="C1966" t="s">
        <v>249</v>
      </c>
      <c r="D1966" t="s">
        <v>309</v>
      </c>
      <c r="E1966">
        <v>1090.01</v>
      </c>
      <c r="F1966" t="s">
        <v>381</v>
      </c>
      <c r="G1966" t="s">
        <v>337</v>
      </c>
      <c r="H1966" t="s">
        <v>346</v>
      </c>
      <c r="I1966" t="s">
        <v>57</v>
      </c>
      <c r="J1966" t="s">
        <v>21</v>
      </c>
      <c r="K1966" t="s">
        <v>14</v>
      </c>
      <c r="L1966" t="s">
        <v>310</v>
      </c>
      <c r="M1966" t="s">
        <v>311</v>
      </c>
      <c r="N1966">
        <v>0</v>
      </c>
      <c r="O1966" t="str">
        <f>IF(Transactions_RAW_cleaned[[#This Row],[Status]]="Completed", IFERROR(_xlfn.XLOOKUP(Transactions_RAW_cleaned[[#This Row],[CustomerID]], Customers_cleaned[CustomerID], Customers_cleaned[Segment]), "Customer Not Found"), "N/A")</f>
        <v>N/A</v>
      </c>
      <c r="P1966" s="5" t="str">
        <f>IF(Transactions_RAW_cleaned[[#This Row],[Status]]="Refunded", "Refund",
  IF(Transactions_RAW_cleaned[[#This Row],[Category]]="Payments", IF(Transactions_RAW_cleaned[[#This Row],[Amount]]&gt;500,"High Value","Standard"),
    IF(Transactions_RAW_cleaned[[#This Row],[Amount]]&gt;250,"High Value","Standard")))</f>
        <v>High Value</v>
      </c>
      <c r="Q1966" s="5" t="str">
        <f>IF(Transactions_RAW_cleaned[[#This Row],[Amount]] &gt; (_xlfn.XLOOKUP(Transactions_RAW_cleaned[[#This Row],[ServiceID]],Services_cleaned[ServiceID],Services_cleaned[TransactionFeePct]) * 10000), "Yes", "No")</f>
        <v>Yes</v>
      </c>
      <c r="R1966" s="5" t="str">
        <f>IF(COUNTIFS($C$2:Transactions_RAW_cleaned[[#This Row],[CustomerID]],Transactions_RAW_cleaned[[#This Row],[CustomerID]],$D$2:Transactions_RAW_cleaned[[#This Row],[ServiceID]],Transactions_RAW_cleaned[[#This Row],[ServiceID]])=1,"Yes","No")</f>
        <v>Yes</v>
      </c>
      <c r="S196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66" t="str">
        <f>"Q"&amp;ROUNDUP(MONTH(Transactions_RAW_cleaned[[#This Row],[TransactionDate]])/3,0)</f>
        <v>Q4</v>
      </c>
      <c r="U1966" t="str">
        <f>Transactions_RAW_cleaned[[#This Row],[Region ]]&amp;Transactions_RAW_cleaned[[#This Row],[Quarter ]]</f>
        <v>APACQ4</v>
      </c>
      <c r="V1966" s="5">
        <f>_xlfn.XLOOKUP(Transactions_RAW_cleaned[[#This Row],[RegionQuarterKey]], Quarterly_Targets_cleaned[RegionQuarterKey], Quarterly_Targets_cleaned[TargetRevenue])</f>
        <v>126500</v>
      </c>
    </row>
    <row r="1967" spans="1:22" x14ac:dyDescent="0.25">
      <c r="A1967" t="s">
        <v>2302</v>
      </c>
      <c r="B1967" s="1">
        <v>45402</v>
      </c>
      <c r="C1967" t="s">
        <v>88</v>
      </c>
      <c r="D1967" t="s">
        <v>315</v>
      </c>
      <c r="E1967">
        <v>1191.96</v>
      </c>
      <c r="F1967" t="s">
        <v>324</v>
      </c>
      <c r="G1967" t="s">
        <v>329</v>
      </c>
      <c r="I1967" t="s">
        <v>8</v>
      </c>
      <c r="J1967" t="s">
        <v>102</v>
      </c>
      <c r="K1967" t="s">
        <v>18</v>
      </c>
      <c r="L1967" t="s">
        <v>316</v>
      </c>
      <c r="M1967" t="s">
        <v>305</v>
      </c>
      <c r="N1967">
        <v>2.5000000000000001E-3</v>
      </c>
      <c r="O1967" t="str">
        <f>IF(Transactions_RAW_cleaned[[#This Row],[Status]]="Completed", IFERROR(_xlfn.XLOOKUP(Transactions_RAW_cleaned[[#This Row],[CustomerID]], Customers_cleaned[CustomerID], Customers_cleaned[Segment]), "Customer Not Found"), "N/A")</f>
        <v>SMB</v>
      </c>
      <c r="P1967" s="5" t="str">
        <f>IF(Transactions_RAW_cleaned[[#This Row],[Status]]="Refunded", "Refund",
  IF(Transactions_RAW_cleaned[[#This Row],[Category]]="Payments", IF(Transactions_RAW_cleaned[[#This Row],[Amount]]&gt;500,"High Value","Standard"),
    IF(Transactions_RAW_cleaned[[#This Row],[Amount]]&gt;250,"High Value","Standard")))</f>
        <v>High Value</v>
      </c>
      <c r="Q1967" s="5" t="str">
        <f>IF(Transactions_RAW_cleaned[[#This Row],[Amount]] &gt; (_xlfn.XLOOKUP(Transactions_RAW_cleaned[[#This Row],[ServiceID]],Services_cleaned[ServiceID],Services_cleaned[TransactionFeePct]) * 10000), "Yes", "No")</f>
        <v>Yes</v>
      </c>
      <c r="R1967" s="5" t="str">
        <f>IF(COUNTIFS($C$2:Transactions_RAW_cleaned[[#This Row],[CustomerID]],Transactions_RAW_cleaned[[#This Row],[CustomerID]],$D$2:Transactions_RAW_cleaned[[#This Row],[ServiceID]],Transactions_RAW_cleaned[[#This Row],[ServiceID]])=1,"Yes","No")</f>
        <v>No</v>
      </c>
      <c r="S196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67" t="str">
        <f>"Q"&amp;ROUNDUP(MONTH(Transactions_RAW_cleaned[[#This Row],[TransactionDate]])/3,0)</f>
        <v>Q2</v>
      </c>
      <c r="U1967" t="str">
        <f>Transactions_RAW_cleaned[[#This Row],[Region ]]&amp;Transactions_RAW_cleaned[[#This Row],[Quarter ]]</f>
        <v>NAQ2</v>
      </c>
      <c r="V1967" s="5">
        <f>_xlfn.XLOOKUP(Transactions_RAW_cleaned[[#This Row],[RegionQuarterKey]], Quarterly_Targets_cleaned[RegionQuarterKey], Quarterly_Targets_cleaned[TargetRevenue])</f>
        <v>260000</v>
      </c>
    </row>
    <row r="1968" spans="1:22" x14ac:dyDescent="0.25">
      <c r="A1968" t="s">
        <v>2303</v>
      </c>
      <c r="B1968" s="1">
        <v>45550</v>
      </c>
      <c r="C1968" t="s">
        <v>111</v>
      </c>
      <c r="D1968" t="s">
        <v>300</v>
      </c>
      <c r="E1968">
        <v>163.03</v>
      </c>
      <c r="F1968" t="s">
        <v>381</v>
      </c>
      <c r="G1968" t="s">
        <v>337</v>
      </c>
      <c r="H1968" t="s">
        <v>334</v>
      </c>
      <c r="I1968" t="s">
        <v>8</v>
      </c>
      <c r="J1968" t="s">
        <v>21</v>
      </c>
      <c r="K1968" t="s">
        <v>28</v>
      </c>
      <c r="L1968" t="s">
        <v>301</v>
      </c>
      <c r="M1968" t="s">
        <v>302</v>
      </c>
      <c r="N1968">
        <v>5.0000000000000001E-3</v>
      </c>
      <c r="O1968" t="str">
        <f>IF(Transactions_RAW_cleaned[[#This Row],[Status]]="Completed", IFERROR(_xlfn.XLOOKUP(Transactions_RAW_cleaned[[#This Row],[CustomerID]], Customers_cleaned[CustomerID], Customers_cleaned[Segment]), "Customer Not Found"), "N/A")</f>
        <v>N/A</v>
      </c>
      <c r="P1968" s="5" t="str">
        <f>IF(Transactions_RAW_cleaned[[#This Row],[Status]]="Refunded", "Refund",
  IF(Transactions_RAW_cleaned[[#This Row],[Category]]="Payments", IF(Transactions_RAW_cleaned[[#This Row],[Amount]]&gt;500,"High Value","Standard"),
    IF(Transactions_RAW_cleaned[[#This Row],[Amount]]&gt;250,"High Value","Standard")))</f>
        <v>Standard</v>
      </c>
      <c r="Q1968" s="5" t="str">
        <f>IF(Transactions_RAW_cleaned[[#This Row],[Amount]] &gt; (_xlfn.XLOOKUP(Transactions_RAW_cleaned[[#This Row],[ServiceID]],Services_cleaned[ServiceID],Services_cleaned[TransactionFeePct]) * 10000), "Yes", "No")</f>
        <v>Yes</v>
      </c>
      <c r="R1968" s="5" t="str">
        <f>IF(COUNTIFS($C$2:Transactions_RAW_cleaned[[#This Row],[CustomerID]],Transactions_RAW_cleaned[[#This Row],[CustomerID]],$D$2:Transactions_RAW_cleaned[[#This Row],[ServiceID]],Transactions_RAW_cleaned[[#This Row],[ServiceID]])=1,"Yes","No")</f>
        <v>No</v>
      </c>
      <c r="S196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68" t="str">
        <f>"Q"&amp;ROUNDUP(MONTH(Transactions_RAW_cleaned[[#This Row],[TransactionDate]])/3,0)</f>
        <v>Q3</v>
      </c>
      <c r="U1968" t="str">
        <f>Transactions_RAW_cleaned[[#This Row],[Region ]]&amp;Transactions_RAW_cleaned[[#This Row],[Quarter ]]</f>
        <v>APACQ3</v>
      </c>
      <c r="V1968" s="5">
        <f>_xlfn.XLOOKUP(Transactions_RAW_cleaned[[#This Row],[RegionQuarterKey]], Quarterly_Targets_cleaned[RegionQuarterKey], Quarterly_Targets_cleaned[TargetRevenue])</f>
        <v>115500</v>
      </c>
    </row>
    <row r="1969" spans="1:22" x14ac:dyDescent="0.25">
      <c r="A1969" t="s">
        <v>2304</v>
      </c>
      <c r="B1969" s="1">
        <v>45579</v>
      </c>
      <c r="C1969" t="s">
        <v>68</v>
      </c>
      <c r="D1969" t="s">
        <v>303</v>
      </c>
      <c r="E1969">
        <v>668.58</v>
      </c>
      <c r="F1969" t="s">
        <v>324</v>
      </c>
      <c r="G1969" t="s">
        <v>327</v>
      </c>
      <c r="H1969" t="s">
        <v>332</v>
      </c>
      <c r="I1969" t="s">
        <v>57</v>
      </c>
      <c r="J1969" t="s">
        <v>13</v>
      </c>
      <c r="K1969" t="s">
        <v>10</v>
      </c>
      <c r="L1969" t="s">
        <v>304</v>
      </c>
      <c r="M1969" t="s">
        <v>305</v>
      </c>
      <c r="N1969">
        <v>1E-3</v>
      </c>
      <c r="O1969" t="str">
        <f>IF(Transactions_RAW_cleaned[[#This Row],[Status]]="Completed", IFERROR(_xlfn.XLOOKUP(Transactions_RAW_cleaned[[#This Row],[CustomerID]], Customers_cleaned[CustomerID], Customers_cleaned[Segment]), "Customer Not Found"), "N/A")</f>
        <v>Startup</v>
      </c>
      <c r="P1969" s="5" t="str">
        <f>IF(Transactions_RAW_cleaned[[#This Row],[Status]]="Refunded", "Refund",
  IF(Transactions_RAW_cleaned[[#This Row],[Category]]="Payments", IF(Transactions_RAW_cleaned[[#This Row],[Amount]]&gt;500,"High Value","Standard"),
    IF(Transactions_RAW_cleaned[[#This Row],[Amount]]&gt;250,"High Value","Standard")))</f>
        <v>High Value</v>
      </c>
      <c r="Q1969" s="5" t="str">
        <f>IF(Transactions_RAW_cleaned[[#This Row],[Amount]] &gt; (_xlfn.XLOOKUP(Transactions_RAW_cleaned[[#This Row],[ServiceID]],Services_cleaned[ServiceID],Services_cleaned[TransactionFeePct]) * 10000), "Yes", "No")</f>
        <v>Yes</v>
      </c>
      <c r="R1969" s="5" t="str">
        <f>IF(COUNTIFS($C$2:Transactions_RAW_cleaned[[#This Row],[CustomerID]],Transactions_RAW_cleaned[[#This Row],[CustomerID]],$D$2:Transactions_RAW_cleaned[[#This Row],[ServiceID]],Transactions_RAW_cleaned[[#This Row],[ServiceID]])=1,"Yes","No")</f>
        <v>Yes</v>
      </c>
      <c r="S196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69" t="str">
        <f>"Q"&amp;ROUNDUP(MONTH(Transactions_RAW_cleaned[[#This Row],[TransactionDate]])/3,0)</f>
        <v>Q4</v>
      </c>
      <c r="U1969" t="str">
        <f>Transactions_RAW_cleaned[[#This Row],[Region ]]&amp;Transactions_RAW_cleaned[[#This Row],[Quarter ]]</f>
        <v>NAQ4</v>
      </c>
      <c r="V1969" s="5">
        <f>_xlfn.XLOOKUP(Transactions_RAW_cleaned[[#This Row],[RegionQuarterKey]], Quarterly_Targets_cleaned[RegionQuarterKey], Quarterly_Targets_cleaned[TargetRevenue])</f>
        <v>299000</v>
      </c>
    </row>
    <row r="1970" spans="1:22" x14ac:dyDescent="0.25">
      <c r="A1970" t="s">
        <v>2305</v>
      </c>
      <c r="B1970" s="1">
        <v>45293</v>
      </c>
      <c r="C1970" t="s">
        <v>111</v>
      </c>
      <c r="D1970" t="s">
        <v>297</v>
      </c>
      <c r="E1970">
        <v>399.12</v>
      </c>
      <c r="F1970" t="s">
        <v>324</v>
      </c>
      <c r="G1970" t="s">
        <v>327</v>
      </c>
      <c r="I1970" t="s">
        <v>8</v>
      </c>
      <c r="J1970" t="s">
        <v>21</v>
      </c>
      <c r="K1970" t="s">
        <v>28</v>
      </c>
      <c r="L1970" t="s">
        <v>298</v>
      </c>
      <c r="M1970" t="s">
        <v>299</v>
      </c>
      <c r="N1970">
        <v>0</v>
      </c>
      <c r="O1970" t="str">
        <f>IF(Transactions_RAW_cleaned[[#This Row],[Status]]="Completed", IFERROR(_xlfn.XLOOKUP(Transactions_RAW_cleaned[[#This Row],[CustomerID]], Customers_cleaned[CustomerID], Customers_cleaned[Segment]), "Customer Not Found"), "N/A")</f>
        <v>SMB</v>
      </c>
      <c r="P1970" s="5" t="str">
        <f>IF(Transactions_RAW_cleaned[[#This Row],[Status]]="Refunded", "Refund",
  IF(Transactions_RAW_cleaned[[#This Row],[Category]]="Payments", IF(Transactions_RAW_cleaned[[#This Row],[Amount]]&gt;500,"High Value","Standard"),
    IF(Transactions_RAW_cleaned[[#This Row],[Amount]]&gt;250,"High Value","Standard")))</f>
        <v>High Value</v>
      </c>
      <c r="Q1970" s="5" t="str">
        <f>IF(Transactions_RAW_cleaned[[#This Row],[Amount]] &gt; (_xlfn.XLOOKUP(Transactions_RAW_cleaned[[#This Row],[ServiceID]],Services_cleaned[ServiceID],Services_cleaned[TransactionFeePct]) * 10000), "Yes", "No")</f>
        <v>Yes</v>
      </c>
      <c r="R1970" s="5" t="str">
        <f>IF(COUNTIFS($C$2:Transactions_RAW_cleaned[[#This Row],[CustomerID]],Transactions_RAW_cleaned[[#This Row],[CustomerID]],$D$2:Transactions_RAW_cleaned[[#This Row],[ServiceID]],Transactions_RAW_cleaned[[#This Row],[ServiceID]])=1,"Yes","No")</f>
        <v>No</v>
      </c>
      <c r="S197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70" t="str">
        <f>"Q"&amp;ROUNDUP(MONTH(Transactions_RAW_cleaned[[#This Row],[TransactionDate]])/3,0)</f>
        <v>Q1</v>
      </c>
      <c r="U1970" t="str">
        <f>Transactions_RAW_cleaned[[#This Row],[Region ]]&amp;Transactions_RAW_cleaned[[#This Row],[Quarter ]]</f>
        <v>APACQ1</v>
      </c>
      <c r="V1970" s="5">
        <f>_xlfn.XLOOKUP(Transactions_RAW_cleaned[[#This Row],[RegionQuarterKey]], Quarterly_Targets_cleaned[RegionQuarterKey], Quarterly_Targets_cleaned[TargetRevenue])</f>
        <v>104500</v>
      </c>
    </row>
    <row r="1971" spans="1:22" x14ac:dyDescent="0.25">
      <c r="A1971" t="s">
        <v>2306</v>
      </c>
      <c r="B1971" s="1">
        <v>45640</v>
      </c>
      <c r="C1971" t="s">
        <v>92</v>
      </c>
      <c r="D1971" t="s">
        <v>303</v>
      </c>
      <c r="E1971">
        <v>241.76</v>
      </c>
      <c r="F1971" t="s">
        <v>324</v>
      </c>
      <c r="G1971" t="s">
        <v>337</v>
      </c>
      <c r="I1971" t="s">
        <v>8</v>
      </c>
      <c r="J1971" t="s">
        <v>102</v>
      </c>
      <c r="K1971" t="s">
        <v>10</v>
      </c>
      <c r="L1971" t="s">
        <v>304</v>
      </c>
      <c r="M1971" t="s">
        <v>305</v>
      </c>
      <c r="N1971">
        <v>1E-3</v>
      </c>
      <c r="O1971" t="str">
        <f>IF(Transactions_RAW_cleaned[[#This Row],[Status]]="Completed", IFERROR(_xlfn.XLOOKUP(Transactions_RAW_cleaned[[#This Row],[CustomerID]], Customers_cleaned[CustomerID], Customers_cleaned[Segment]), "Customer Not Found"), "N/A")</f>
        <v>SMB</v>
      </c>
      <c r="P1971" s="5" t="str">
        <f>IF(Transactions_RAW_cleaned[[#This Row],[Status]]="Refunded", "Refund",
  IF(Transactions_RAW_cleaned[[#This Row],[Category]]="Payments", IF(Transactions_RAW_cleaned[[#This Row],[Amount]]&gt;500,"High Value","Standard"),
    IF(Transactions_RAW_cleaned[[#This Row],[Amount]]&gt;250,"High Value","Standard")))</f>
        <v>Standard</v>
      </c>
      <c r="Q1971" s="5" t="str">
        <f>IF(Transactions_RAW_cleaned[[#This Row],[Amount]] &gt; (_xlfn.XLOOKUP(Transactions_RAW_cleaned[[#This Row],[ServiceID]],Services_cleaned[ServiceID],Services_cleaned[TransactionFeePct]) * 10000), "Yes", "No")</f>
        <v>Yes</v>
      </c>
      <c r="R1971" s="5" t="str">
        <f>IF(COUNTIFS($C$2:Transactions_RAW_cleaned[[#This Row],[CustomerID]],Transactions_RAW_cleaned[[#This Row],[CustomerID]],$D$2:Transactions_RAW_cleaned[[#This Row],[ServiceID]],Transactions_RAW_cleaned[[#This Row],[ServiceID]])=1,"Yes","No")</f>
        <v>No</v>
      </c>
      <c r="S197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71" t="str">
        <f>"Q"&amp;ROUNDUP(MONTH(Transactions_RAW_cleaned[[#This Row],[TransactionDate]])/3,0)</f>
        <v>Q4</v>
      </c>
      <c r="U1971" t="str">
        <f>Transactions_RAW_cleaned[[#This Row],[Region ]]&amp;Transactions_RAW_cleaned[[#This Row],[Quarter ]]</f>
        <v>NAQ4</v>
      </c>
      <c r="V1971" s="5">
        <f>_xlfn.XLOOKUP(Transactions_RAW_cleaned[[#This Row],[RegionQuarterKey]], Quarterly_Targets_cleaned[RegionQuarterKey], Quarterly_Targets_cleaned[TargetRevenue])</f>
        <v>299000</v>
      </c>
    </row>
    <row r="1972" spans="1:22" x14ac:dyDescent="0.25">
      <c r="A1972" t="s">
        <v>2307</v>
      </c>
      <c r="B1972" s="1">
        <v>45430</v>
      </c>
      <c r="C1972" t="s">
        <v>127</v>
      </c>
      <c r="D1972" t="s">
        <v>312</v>
      </c>
      <c r="E1972">
        <v>331.87</v>
      </c>
      <c r="F1972" t="s">
        <v>324</v>
      </c>
      <c r="G1972" t="s">
        <v>325</v>
      </c>
      <c r="H1972" t="s">
        <v>332</v>
      </c>
      <c r="I1972" t="s">
        <v>8</v>
      </c>
      <c r="J1972" t="s">
        <v>102</v>
      </c>
      <c r="K1972" t="s">
        <v>22</v>
      </c>
      <c r="L1972" t="s">
        <v>313</v>
      </c>
      <c r="M1972" t="s">
        <v>314</v>
      </c>
      <c r="N1972">
        <v>0</v>
      </c>
      <c r="O1972" t="str">
        <f>IF(Transactions_RAW_cleaned[[#This Row],[Status]]="Completed", IFERROR(_xlfn.XLOOKUP(Transactions_RAW_cleaned[[#This Row],[CustomerID]], Customers_cleaned[CustomerID], Customers_cleaned[Segment]), "Customer Not Found"), "N/A")</f>
        <v>SMB</v>
      </c>
      <c r="P1972" s="5" t="str">
        <f>IF(Transactions_RAW_cleaned[[#This Row],[Status]]="Refunded", "Refund",
  IF(Transactions_RAW_cleaned[[#This Row],[Category]]="Payments", IF(Transactions_RAW_cleaned[[#This Row],[Amount]]&gt;500,"High Value","Standard"),
    IF(Transactions_RAW_cleaned[[#This Row],[Amount]]&gt;250,"High Value","Standard")))</f>
        <v>High Value</v>
      </c>
      <c r="Q1972" s="5" t="str">
        <f>IF(Transactions_RAW_cleaned[[#This Row],[Amount]] &gt; (_xlfn.XLOOKUP(Transactions_RAW_cleaned[[#This Row],[ServiceID]],Services_cleaned[ServiceID],Services_cleaned[TransactionFeePct]) * 10000), "Yes", "No")</f>
        <v>Yes</v>
      </c>
      <c r="R1972" s="5" t="str">
        <f>IF(COUNTIFS($C$2:Transactions_RAW_cleaned[[#This Row],[CustomerID]],Transactions_RAW_cleaned[[#This Row],[CustomerID]],$D$2:Transactions_RAW_cleaned[[#This Row],[ServiceID]],Transactions_RAW_cleaned[[#This Row],[ServiceID]])=1,"Yes","No")</f>
        <v>No</v>
      </c>
      <c r="S197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72" t="str">
        <f>"Q"&amp;ROUNDUP(MONTH(Transactions_RAW_cleaned[[#This Row],[TransactionDate]])/3,0)</f>
        <v>Q2</v>
      </c>
      <c r="U1972" t="str">
        <f>Transactions_RAW_cleaned[[#This Row],[Region ]]&amp;Transactions_RAW_cleaned[[#This Row],[Quarter ]]</f>
        <v>NAQ2</v>
      </c>
      <c r="V1972" s="5">
        <f>_xlfn.XLOOKUP(Transactions_RAW_cleaned[[#This Row],[RegionQuarterKey]], Quarterly_Targets_cleaned[RegionQuarterKey], Quarterly_Targets_cleaned[TargetRevenue])</f>
        <v>260000</v>
      </c>
    </row>
    <row r="1973" spans="1:22" x14ac:dyDescent="0.25">
      <c r="A1973" t="s">
        <v>2308</v>
      </c>
      <c r="B1973" s="1">
        <v>45458</v>
      </c>
      <c r="C1973" t="s">
        <v>141</v>
      </c>
      <c r="D1973" t="s">
        <v>303</v>
      </c>
      <c r="E1973">
        <v>167.97</v>
      </c>
      <c r="F1973" t="s">
        <v>324</v>
      </c>
      <c r="G1973" t="s">
        <v>327</v>
      </c>
      <c r="H1973" t="s">
        <v>346</v>
      </c>
      <c r="I1973" t="s">
        <v>57</v>
      </c>
      <c r="J1973" t="s">
        <v>25</v>
      </c>
      <c r="K1973" t="s">
        <v>10</v>
      </c>
      <c r="L1973" t="s">
        <v>304</v>
      </c>
      <c r="M1973" t="s">
        <v>305</v>
      </c>
      <c r="N1973">
        <v>1E-3</v>
      </c>
      <c r="O1973" t="str">
        <f>IF(Transactions_RAW_cleaned[[#This Row],[Status]]="Completed", IFERROR(_xlfn.XLOOKUP(Transactions_RAW_cleaned[[#This Row],[CustomerID]], Customers_cleaned[CustomerID], Customers_cleaned[Segment]), "Customer Not Found"), "N/A")</f>
        <v>Startup</v>
      </c>
      <c r="P1973" s="5" t="str">
        <f>IF(Transactions_RAW_cleaned[[#This Row],[Status]]="Refunded", "Refund",
  IF(Transactions_RAW_cleaned[[#This Row],[Category]]="Payments", IF(Transactions_RAW_cleaned[[#This Row],[Amount]]&gt;500,"High Value","Standard"),
    IF(Transactions_RAW_cleaned[[#This Row],[Amount]]&gt;250,"High Value","Standard")))</f>
        <v>Standard</v>
      </c>
      <c r="Q1973" s="5" t="str">
        <f>IF(Transactions_RAW_cleaned[[#This Row],[Amount]] &gt; (_xlfn.XLOOKUP(Transactions_RAW_cleaned[[#This Row],[ServiceID]],Services_cleaned[ServiceID],Services_cleaned[TransactionFeePct]) * 10000), "Yes", "No")</f>
        <v>Yes</v>
      </c>
      <c r="R1973" s="5" t="str">
        <f>IF(COUNTIFS($C$2:Transactions_RAW_cleaned[[#This Row],[CustomerID]],Transactions_RAW_cleaned[[#This Row],[CustomerID]],$D$2:Transactions_RAW_cleaned[[#This Row],[ServiceID]],Transactions_RAW_cleaned[[#This Row],[ServiceID]])=1,"Yes","No")</f>
        <v>No</v>
      </c>
      <c r="S197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73" t="str">
        <f>"Q"&amp;ROUNDUP(MONTH(Transactions_RAW_cleaned[[#This Row],[TransactionDate]])/3,0)</f>
        <v>Q2</v>
      </c>
      <c r="U1973" t="str">
        <f>Transactions_RAW_cleaned[[#This Row],[Region ]]&amp;Transactions_RAW_cleaned[[#This Row],[Quarter ]]</f>
        <v>APACQ2</v>
      </c>
      <c r="V1973" s="5">
        <f>_xlfn.XLOOKUP(Transactions_RAW_cleaned[[#This Row],[RegionQuarterKey]], Quarterly_Targets_cleaned[RegionQuarterKey], Quarterly_Targets_cleaned[TargetRevenue])</f>
        <v>110000</v>
      </c>
    </row>
    <row r="1974" spans="1:22" x14ac:dyDescent="0.25">
      <c r="A1974" t="s">
        <v>2309</v>
      </c>
      <c r="B1974" s="1">
        <v>45324</v>
      </c>
      <c r="C1974" t="s">
        <v>221</v>
      </c>
      <c r="D1974" t="s">
        <v>294</v>
      </c>
      <c r="E1974">
        <v>423.23</v>
      </c>
      <c r="F1974" t="s">
        <v>331</v>
      </c>
      <c r="G1974" t="s">
        <v>325</v>
      </c>
      <c r="H1974" t="s">
        <v>346</v>
      </c>
      <c r="I1974" t="s">
        <v>8</v>
      </c>
      <c r="J1974" t="s">
        <v>102</v>
      </c>
      <c r="K1974" t="s">
        <v>14</v>
      </c>
      <c r="L1974" t="s">
        <v>295</v>
      </c>
      <c r="M1974" t="s">
        <v>296</v>
      </c>
      <c r="N1974">
        <v>2.9000000000000001E-2</v>
      </c>
      <c r="O1974" t="str">
        <f>IF(Transactions_RAW_cleaned[[#This Row],[Status]]="Completed", IFERROR(_xlfn.XLOOKUP(Transactions_RAW_cleaned[[#This Row],[CustomerID]], Customers_cleaned[CustomerID], Customers_cleaned[Segment]), "Customer Not Found"), "N/A")</f>
        <v>N/A</v>
      </c>
      <c r="P1974" s="5" t="str">
        <f>IF(Transactions_RAW_cleaned[[#This Row],[Status]]="Refunded", "Refund",
  IF(Transactions_RAW_cleaned[[#This Row],[Category]]="Payments", IF(Transactions_RAW_cleaned[[#This Row],[Amount]]&gt;500,"High Value","Standard"),
    IF(Transactions_RAW_cleaned[[#This Row],[Amount]]&gt;250,"High Value","Standard")))</f>
        <v>Standard</v>
      </c>
      <c r="Q1974" s="5" t="str">
        <f>IF(Transactions_RAW_cleaned[[#This Row],[Amount]] &gt; (_xlfn.XLOOKUP(Transactions_RAW_cleaned[[#This Row],[ServiceID]],Services_cleaned[ServiceID],Services_cleaned[TransactionFeePct]) * 10000), "Yes", "No")</f>
        <v>Yes</v>
      </c>
      <c r="R1974" s="5" t="str">
        <f>IF(COUNTIFS($C$2:Transactions_RAW_cleaned[[#This Row],[CustomerID]],Transactions_RAW_cleaned[[#This Row],[CustomerID]],$D$2:Transactions_RAW_cleaned[[#This Row],[ServiceID]],Transactions_RAW_cleaned[[#This Row],[ServiceID]])=1,"Yes","No")</f>
        <v>No</v>
      </c>
      <c r="S197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74" t="str">
        <f>"Q"&amp;ROUNDUP(MONTH(Transactions_RAW_cleaned[[#This Row],[TransactionDate]])/3,0)</f>
        <v>Q1</v>
      </c>
      <c r="U1974" t="str">
        <f>Transactions_RAW_cleaned[[#This Row],[Region ]]&amp;Transactions_RAW_cleaned[[#This Row],[Quarter ]]</f>
        <v>NAQ1</v>
      </c>
      <c r="V1974" s="5">
        <f>_xlfn.XLOOKUP(Transactions_RAW_cleaned[[#This Row],[RegionQuarterKey]], Quarterly_Targets_cleaned[RegionQuarterKey], Quarterly_Targets_cleaned[TargetRevenue])</f>
        <v>247000</v>
      </c>
    </row>
    <row r="1975" spans="1:22" x14ac:dyDescent="0.25">
      <c r="A1975" t="s">
        <v>2310</v>
      </c>
      <c r="B1975" s="1">
        <v>45410</v>
      </c>
      <c r="C1975" t="s">
        <v>105</v>
      </c>
      <c r="D1975" t="s">
        <v>300</v>
      </c>
      <c r="E1975">
        <v>179.88</v>
      </c>
      <c r="F1975" t="s">
        <v>331</v>
      </c>
      <c r="G1975" t="s">
        <v>327</v>
      </c>
      <c r="H1975" t="s">
        <v>334</v>
      </c>
      <c r="I1975" t="s">
        <v>57</v>
      </c>
      <c r="J1975" t="s">
        <v>102</v>
      </c>
      <c r="K1975" t="s">
        <v>32</v>
      </c>
      <c r="L1975" t="s">
        <v>301</v>
      </c>
      <c r="M1975" t="s">
        <v>302</v>
      </c>
      <c r="N1975">
        <v>5.0000000000000001E-3</v>
      </c>
      <c r="O1975" t="str">
        <f>IF(Transactions_RAW_cleaned[[#This Row],[Status]]="Completed", IFERROR(_xlfn.XLOOKUP(Transactions_RAW_cleaned[[#This Row],[CustomerID]], Customers_cleaned[CustomerID], Customers_cleaned[Segment]), "Customer Not Found"), "N/A")</f>
        <v>N/A</v>
      </c>
      <c r="P1975" s="5" t="str">
        <f>IF(Transactions_RAW_cleaned[[#This Row],[Status]]="Refunded", "Refund",
  IF(Transactions_RAW_cleaned[[#This Row],[Category]]="Payments", IF(Transactions_RAW_cleaned[[#This Row],[Amount]]&gt;500,"High Value","Standard"),
    IF(Transactions_RAW_cleaned[[#This Row],[Amount]]&gt;250,"High Value","Standard")))</f>
        <v>Standard</v>
      </c>
      <c r="Q1975" s="5" t="str">
        <f>IF(Transactions_RAW_cleaned[[#This Row],[Amount]] &gt; (_xlfn.XLOOKUP(Transactions_RAW_cleaned[[#This Row],[ServiceID]],Services_cleaned[ServiceID],Services_cleaned[TransactionFeePct]) * 10000), "Yes", "No")</f>
        <v>Yes</v>
      </c>
      <c r="R1975" s="5" t="str">
        <f>IF(COUNTIFS($C$2:Transactions_RAW_cleaned[[#This Row],[CustomerID]],Transactions_RAW_cleaned[[#This Row],[CustomerID]],$D$2:Transactions_RAW_cleaned[[#This Row],[ServiceID]],Transactions_RAW_cleaned[[#This Row],[ServiceID]])=1,"Yes","No")</f>
        <v>No</v>
      </c>
      <c r="S197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75" t="str">
        <f>"Q"&amp;ROUNDUP(MONTH(Transactions_RAW_cleaned[[#This Row],[TransactionDate]])/3,0)</f>
        <v>Q2</v>
      </c>
      <c r="U1975" t="str">
        <f>Transactions_RAW_cleaned[[#This Row],[Region ]]&amp;Transactions_RAW_cleaned[[#This Row],[Quarter ]]</f>
        <v>NAQ2</v>
      </c>
      <c r="V1975" s="5">
        <f>_xlfn.XLOOKUP(Transactions_RAW_cleaned[[#This Row],[RegionQuarterKey]], Quarterly_Targets_cleaned[RegionQuarterKey], Quarterly_Targets_cleaned[TargetRevenue])</f>
        <v>260000</v>
      </c>
    </row>
    <row r="1976" spans="1:22" x14ac:dyDescent="0.25">
      <c r="A1976" t="s">
        <v>2311</v>
      </c>
      <c r="B1976" s="1">
        <v>45655</v>
      </c>
      <c r="C1976" t="s">
        <v>213</v>
      </c>
      <c r="D1976" t="s">
        <v>300</v>
      </c>
      <c r="E1976">
        <v>900.42</v>
      </c>
      <c r="F1976" t="s">
        <v>324</v>
      </c>
      <c r="G1976" t="s">
        <v>337</v>
      </c>
      <c r="H1976" t="s">
        <v>332</v>
      </c>
      <c r="I1976" t="s">
        <v>17</v>
      </c>
      <c r="J1976" t="s">
        <v>25</v>
      </c>
      <c r="K1976" t="s">
        <v>14</v>
      </c>
      <c r="L1976" t="s">
        <v>301</v>
      </c>
      <c r="M1976" t="s">
        <v>302</v>
      </c>
      <c r="N1976">
        <v>5.0000000000000001E-3</v>
      </c>
      <c r="O1976" t="str">
        <f>IF(Transactions_RAW_cleaned[[#This Row],[Status]]="Completed", IFERROR(_xlfn.XLOOKUP(Transactions_RAW_cleaned[[#This Row],[CustomerID]], Customers_cleaned[CustomerID], Customers_cleaned[Segment]), "Customer Not Found"), "N/A")</f>
        <v>Enterprise</v>
      </c>
      <c r="P1976" s="5" t="str">
        <f>IF(Transactions_RAW_cleaned[[#This Row],[Status]]="Refunded", "Refund",
  IF(Transactions_RAW_cleaned[[#This Row],[Category]]="Payments", IF(Transactions_RAW_cleaned[[#This Row],[Amount]]&gt;500,"High Value","Standard"),
    IF(Transactions_RAW_cleaned[[#This Row],[Amount]]&gt;250,"High Value","Standard")))</f>
        <v>High Value</v>
      </c>
      <c r="Q1976" s="5" t="str">
        <f>IF(Transactions_RAW_cleaned[[#This Row],[Amount]] &gt; (_xlfn.XLOOKUP(Transactions_RAW_cleaned[[#This Row],[ServiceID]],Services_cleaned[ServiceID],Services_cleaned[TransactionFeePct]) * 10000), "Yes", "No")</f>
        <v>Yes</v>
      </c>
      <c r="R1976" s="5" t="str">
        <f>IF(COUNTIFS($C$2:Transactions_RAW_cleaned[[#This Row],[CustomerID]],Transactions_RAW_cleaned[[#This Row],[CustomerID]],$D$2:Transactions_RAW_cleaned[[#This Row],[ServiceID]],Transactions_RAW_cleaned[[#This Row],[ServiceID]])=1,"Yes","No")</f>
        <v>No</v>
      </c>
      <c r="S197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76" t="str">
        <f>"Q"&amp;ROUNDUP(MONTH(Transactions_RAW_cleaned[[#This Row],[TransactionDate]])/3,0)</f>
        <v>Q4</v>
      </c>
      <c r="U1976" t="str">
        <f>Transactions_RAW_cleaned[[#This Row],[Region ]]&amp;Transactions_RAW_cleaned[[#This Row],[Quarter ]]</f>
        <v>APACQ4</v>
      </c>
      <c r="V1976" s="5">
        <f>_xlfn.XLOOKUP(Transactions_RAW_cleaned[[#This Row],[RegionQuarterKey]], Quarterly_Targets_cleaned[RegionQuarterKey], Quarterly_Targets_cleaned[TargetRevenue])</f>
        <v>126500</v>
      </c>
    </row>
    <row r="1977" spans="1:22" x14ac:dyDescent="0.25">
      <c r="A1977" t="s">
        <v>2312</v>
      </c>
      <c r="B1977" s="1">
        <v>45506</v>
      </c>
      <c r="C1977" t="s">
        <v>161</v>
      </c>
      <c r="D1977" t="s">
        <v>303</v>
      </c>
      <c r="E1977">
        <v>329.17</v>
      </c>
      <c r="F1977" t="s">
        <v>324</v>
      </c>
      <c r="G1977" t="s">
        <v>327</v>
      </c>
      <c r="I1977" t="s">
        <v>8</v>
      </c>
      <c r="J1977" t="s">
        <v>21</v>
      </c>
      <c r="K1977" t="s">
        <v>22</v>
      </c>
      <c r="L1977" t="s">
        <v>304</v>
      </c>
      <c r="M1977" t="s">
        <v>305</v>
      </c>
      <c r="N1977">
        <v>1E-3</v>
      </c>
      <c r="O1977" t="str">
        <f>IF(Transactions_RAW_cleaned[[#This Row],[Status]]="Completed", IFERROR(_xlfn.XLOOKUP(Transactions_RAW_cleaned[[#This Row],[CustomerID]], Customers_cleaned[CustomerID], Customers_cleaned[Segment]), "Customer Not Found"), "N/A")</f>
        <v>SMB</v>
      </c>
      <c r="P1977" s="5" t="str">
        <f>IF(Transactions_RAW_cleaned[[#This Row],[Status]]="Refunded", "Refund",
  IF(Transactions_RAW_cleaned[[#This Row],[Category]]="Payments", IF(Transactions_RAW_cleaned[[#This Row],[Amount]]&gt;500,"High Value","Standard"),
    IF(Transactions_RAW_cleaned[[#This Row],[Amount]]&gt;250,"High Value","Standard")))</f>
        <v>High Value</v>
      </c>
      <c r="Q1977" s="5" t="str">
        <f>IF(Transactions_RAW_cleaned[[#This Row],[Amount]] &gt; (_xlfn.XLOOKUP(Transactions_RAW_cleaned[[#This Row],[ServiceID]],Services_cleaned[ServiceID],Services_cleaned[TransactionFeePct]) * 10000), "Yes", "No")</f>
        <v>Yes</v>
      </c>
      <c r="R1977" s="5" t="str">
        <f>IF(COUNTIFS($C$2:Transactions_RAW_cleaned[[#This Row],[CustomerID]],Transactions_RAW_cleaned[[#This Row],[CustomerID]],$D$2:Transactions_RAW_cleaned[[#This Row],[ServiceID]],Transactions_RAW_cleaned[[#This Row],[ServiceID]])=1,"Yes","No")</f>
        <v>Yes</v>
      </c>
      <c r="S197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77" t="str">
        <f>"Q"&amp;ROUNDUP(MONTH(Transactions_RAW_cleaned[[#This Row],[TransactionDate]])/3,0)</f>
        <v>Q3</v>
      </c>
      <c r="U1977" t="str">
        <f>Transactions_RAW_cleaned[[#This Row],[Region ]]&amp;Transactions_RAW_cleaned[[#This Row],[Quarter ]]</f>
        <v>APACQ3</v>
      </c>
      <c r="V1977" s="5">
        <f>_xlfn.XLOOKUP(Transactions_RAW_cleaned[[#This Row],[RegionQuarterKey]], Quarterly_Targets_cleaned[RegionQuarterKey], Quarterly_Targets_cleaned[TargetRevenue])</f>
        <v>115500</v>
      </c>
    </row>
    <row r="1978" spans="1:22" x14ac:dyDescent="0.25">
      <c r="A1978" t="s">
        <v>2313</v>
      </c>
      <c r="B1978" s="1">
        <v>45462</v>
      </c>
      <c r="C1978" t="s">
        <v>64</v>
      </c>
      <c r="D1978" t="s">
        <v>297</v>
      </c>
      <c r="E1978">
        <v>513.34</v>
      </c>
      <c r="F1978" t="s">
        <v>324</v>
      </c>
      <c r="G1978" t="s">
        <v>337</v>
      </c>
      <c r="I1978" t="s">
        <v>8</v>
      </c>
      <c r="J1978" t="s">
        <v>37</v>
      </c>
      <c r="K1978" t="s">
        <v>28</v>
      </c>
      <c r="L1978" t="s">
        <v>298</v>
      </c>
      <c r="M1978" t="s">
        <v>299</v>
      </c>
      <c r="N1978">
        <v>0</v>
      </c>
      <c r="O1978" t="str">
        <f>IF(Transactions_RAW_cleaned[[#This Row],[Status]]="Completed", IFERROR(_xlfn.XLOOKUP(Transactions_RAW_cleaned[[#This Row],[CustomerID]], Customers_cleaned[CustomerID], Customers_cleaned[Segment]), "Customer Not Found"), "N/A")</f>
        <v>SMB</v>
      </c>
      <c r="P1978" s="5" t="str">
        <f>IF(Transactions_RAW_cleaned[[#This Row],[Status]]="Refunded", "Refund",
  IF(Transactions_RAW_cleaned[[#This Row],[Category]]="Payments", IF(Transactions_RAW_cleaned[[#This Row],[Amount]]&gt;500,"High Value","Standard"),
    IF(Transactions_RAW_cleaned[[#This Row],[Amount]]&gt;250,"High Value","Standard")))</f>
        <v>High Value</v>
      </c>
      <c r="Q1978" s="5" t="str">
        <f>IF(Transactions_RAW_cleaned[[#This Row],[Amount]] &gt; (_xlfn.XLOOKUP(Transactions_RAW_cleaned[[#This Row],[ServiceID]],Services_cleaned[ServiceID],Services_cleaned[TransactionFeePct]) * 10000), "Yes", "No")</f>
        <v>Yes</v>
      </c>
      <c r="R1978" s="5" t="str">
        <f>IF(COUNTIFS($C$2:Transactions_RAW_cleaned[[#This Row],[CustomerID]],Transactions_RAW_cleaned[[#This Row],[CustomerID]],$D$2:Transactions_RAW_cleaned[[#This Row],[ServiceID]],Transactions_RAW_cleaned[[#This Row],[ServiceID]])=1,"Yes","No")</f>
        <v>No</v>
      </c>
      <c r="S197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978" t="str">
        <f>"Q"&amp;ROUNDUP(MONTH(Transactions_RAW_cleaned[[#This Row],[TransactionDate]])/3,0)</f>
        <v>Q2</v>
      </c>
      <c r="U1978" t="str">
        <f>Transactions_RAW_cleaned[[#This Row],[Region ]]&amp;Transactions_RAW_cleaned[[#This Row],[Quarter ]]</f>
        <v>EMEAQ2</v>
      </c>
      <c r="V1978" s="5">
        <f>_xlfn.XLOOKUP(Transactions_RAW_cleaned[[#This Row],[RegionQuarterKey]], Quarterly_Targets_cleaned[RegionQuarterKey], Quarterly_Targets_cleaned[TargetRevenue])</f>
        <v>140000</v>
      </c>
    </row>
    <row r="1979" spans="1:22" x14ac:dyDescent="0.25">
      <c r="A1979" t="s">
        <v>2314</v>
      </c>
      <c r="B1979" s="1">
        <v>45570</v>
      </c>
      <c r="C1979" t="s">
        <v>247</v>
      </c>
      <c r="D1979" t="s">
        <v>306</v>
      </c>
      <c r="E1979">
        <v>307.33</v>
      </c>
      <c r="F1979" t="s">
        <v>324</v>
      </c>
      <c r="G1979" t="s">
        <v>327</v>
      </c>
      <c r="I1979" t="s">
        <v>17</v>
      </c>
      <c r="J1979" t="s">
        <v>13</v>
      </c>
      <c r="K1979" t="s">
        <v>28</v>
      </c>
      <c r="L1979" t="s">
        <v>307</v>
      </c>
      <c r="M1979" t="s">
        <v>308</v>
      </c>
      <c r="N1979">
        <v>0</v>
      </c>
      <c r="O1979" t="str">
        <f>IF(Transactions_RAW_cleaned[[#This Row],[Status]]="Completed", IFERROR(_xlfn.XLOOKUP(Transactions_RAW_cleaned[[#This Row],[CustomerID]], Customers_cleaned[CustomerID], Customers_cleaned[Segment]), "Customer Not Found"), "N/A")</f>
        <v>Enterprise</v>
      </c>
      <c r="P1979" s="5" t="str">
        <f>IF(Transactions_RAW_cleaned[[#This Row],[Status]]="Refunded", "Refund",
  IF(Transactions_RAW_cleaned[[#This Row],[Category]]="Payments", IF(Transactions_RAW_cleaned[[#This Row],[Amount]]&gt;500,"High Value","Standard"),
    IF(Transactions_RAW_cleaned[[#This Row],[Amount]]&gt;250,"High Value","Standard")))</f>
        <v>High Value</v>
      </c>
      <c r="Q1979" s="5" t="str">
        <f>IF(Transactions_RAW_cleaned[[#This Row],[Amount]] &gt; (_xlfn.XLOOKUP(Transactions_RAW_cleaned[[#This Row],[ServiceID]],Services_cleaned[ServiceID],Services_cleaned[TransactionFeePct]) * 10000), "Yes", "No")</f>
        <v>Yes</v>
      </c>
      <c r="R1979" s="5" t="str">
        <f>IF(COUNTIFS($C$2:Transactions_RAW_cleaned[[#This Row],[CustomerID]],Transactions_RAW_cleaned[[#This Row],[CustomerID]],$D$2:Transactions_RAW_cleaned[[#This Row],[ServiceID]],Transactions_RAW_cleaned[[#This Row],[ServiceID]])=1,"Yes","No")</f>
        <v>Yes</v>
      </c>
      <c r="S197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79" t="str">
        <f>"Q"&amp;ROUNDUP(MONTH(Transactions_RAW_cleaned[[#This Row],[TransactionDate]])/3,0)</f>
        <v>Q4</v>
      </c>
      <c r="U1979" t="str">
        <f>Transactions_RAW_cleaned[[#This Row],[Region ]]&amp;Transactions_RAW_cleaned[[#This Row],[Quarter ]]</f>
        <v>NAQ4</v>
      </c>
      <c r="V1979" s="5">
        <f>_xlfn.XLOOKUP(Transactions_RAW_cleaned[[#This Row],[RegionQuarterKey]], Quarterly_Targets_cleaned[RegionQuarterKey], Quarterly_Targets_cleaned[TargetRevenue])</f>
        <v>299000</v>
      </c>
    </row>
    <row r="1980" spans="1:22" x14ac:dyDescent="0.25">
      <c r="A1980" t="s">
        <v>2315</v>
      </c>
      <c r="B1980" s="1">
        <v>45639</v>
      </c>
      <c r="C1980" t="s">
        <v>179</v>
      </c>
      <c r="D1980" t="s">
        <v>294</v>
      </c>
      <c r="E1980">
        <v>778.31</v>
      </c>
      <c r="F1980" t="s">
        <v>324</v>
      </c>
      <c r="G1980" t="s">
        <v>329</v>
      </c>
      <c r="I1980" t="s">
        <v>8</v>
      </c>
      <c r="J1980" t="s">
        <v>31</v>
      </c>
      <c r="K1980" t="s">
        <v>18</v>
      </c>
      <c r="L1980" t="s">
        <v>295</v>
      </c>
      <c r="M1980" t="s">
        <v>296</v>
      </c>
      <c r="N1980">
        <v>2.9000000000000001E-2</v>
      </c>
      <c r="O1980" t="str">
        <f>IF(Transactions_RAW_cleaned[[#This Row],[Status]]="Completed", IFERROR(_xlfn.XLOOKUP(Transactions_RAW_cleaned[[#This Row],[CustomerID]], Customers_cleaned[CustomerID], Customers_cleaned[Segment]), "Customer Not Found"), "N/A")</f>
        <v>SMB</v>
      </c>
      <c r="P1980" s="5" t="str">
        <f>IF(Transactions_RAW_cleaned[[#This Row],[Status]]="Refunded", "Refund",
  IF(Transactions_RAW_cleaned[[#This Row],[Category]]="Payments", IF(Transactions_RAW_cleaned[[#This Row],[Amount]]&gt;500,"High Value","Standard"),
    IF(Transactions_RAW_cleaned[[#This Row],[Amount]]&gt;250,"High Value","Standard")))</f>
        <v>High Value</v>
      </c>
      <c r="Q1980" s="5" t="str">
        <f>IF(Transactions_RAW_cleaned[[#This Row],[Amount]] &gt; (_xlfn.XLOOKUP(Transactions_RAW_cleaned[[#This Row],[ServiceID]],Services_cleaned[ServiceID],Services_cleaned[TransactionFeePct]) * 10000), "Yes", "No")</f>
        <v>Yes</v>
      </c>
      <c r="R1980" s="5" t="str">
        <f>IF(COUNTIFS($C$2:Transactions_RAW_cleaned[[#This Row],[CustomerID]],Transactions_RAW_cleaned[[#This Row],[CustomerID]],$D$2:Transactions_RAW_cleaned[[#This Row],[ServiceID]],Transactions_RAW_cleaned[[#This Row],[ServiceID]])=1,"Yes","No")</f>
        <v>No</v>
      </c>
      <c r="S198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980" t="str">
        <f>"Q"&amp;ROUNDUP(MONTH(Transactions_RAW_cleaned[[#This Row],[TransactionDate]])/3,0)</f>
        <v>Q4</v>
      </c>
      <c r="U1980" t="str">
        <f>Transactions_RAW_cleaned[[#This Row],[Region ]]&amp;Transactions_RAW_cleaned[[#This Row],[Quarter ]]</f>
        <v>EMEAQ4</v>
      </c>
      <c r="V1980" s="5">
        <f>_xlfn.XLOOKUP(Transactions_RAW_cleaned[[#This Row],[RegionQuarterKey]], Quarterly_Targets_cleaned[RegionQuarterKey], Quarterly_Targets_cleaned[TargetRevenue])</f>
        <v>161000</v>
      </c>
    </row>
    <row r="1981" spans="1:22" x14ac:dyDescent="0.25">
      <c r="A1981" t="s">
        <v>2316</v>
      </c>
      <c r="B1981" s="1">
        <v>45583</v>
      </c>
      <c r="C1981" t="s">
        <v>233</v>
      </c>
      <c r="D1981" t="s">
        <v>294</v>
      </c>
      <c r="E1981">
        <v>778.53</v>
      </c>
      <c r="F1981" t="s">
        <v>331</v>
      </c>
      <c r="G1981" t="s">
        <v>327</v>
      </c>
      <c r="I1981" t="s">
        <v>8</v>
      </c>
      <c r="J1981" t="s">
        <v>13</v>
      </c>
      <c r="K1981" t="s">
        <v>14</v>
      </c>
      <c r="L1981" t="s">
        <v>295</v>
      </c>
      <c r="M1981" t="s">
        <v>296</v>
      </c>
      <c r="N1981">
        <v>2.9000000000000001E-2</v>
      </c>
      <c r="O1981" t="str">
        <f>IF(Transactions_RAW_cleaned[[#This Row],[Status]]="Completed", IFERROR(_xlfn.XLOOKUP(Transactions_RAW_cleaned[[#This Row],[CustomerID]], Customers_cleaned[CustomerID], Customers_cleaned[Segment]), "Customer Not Found"), "N/A")</f>
        <v>N/A</v>
      </c>
      <c r="P1981" s="5" t="str">
        <f>IF(Transactions_RAW_cleaned[[#This Row],[Status]]="Refunded", "Refund",
  IF(Transactions_RAW_cleaned[[#This Row],[Category]]="Payments", IF(Transactions_RAW_cleaned[[#This Row],[Amount]]&gt;500,"High Value","Standard"),
    IF(Transactions_RAW_cleaned[[#This Row],[Amount]]&gt;250,"High Value","Standard")))</f>
        <v>High Value</v>
      </c>
      <c r="Q1981" s="5" t="str">
        <f>IF(Transactions_RAW_cleaned[[#This Row],[Amount]] &gt; (_xlfn.XLOOKUP(Transactions_RAW_cleaned[[#This Row],[ServiceID]],Services_cleaned[ServiceID],Services_cleaned[TransactionFeePct]) * 10000), "Yes", "No")</f>
        <v>Yes</v>
      </c>
      <c r="R1981" s="5" t="str">
        <f>IF(COUNTIFS($C$2:Transactions_RAW_cleaned[[#This Row],[CustomerID]],Transactions_RAW_cleaned[[#This Row],[CustomerID]],$D$2:Transactions_RAW_cleaned[[#This Row],[ServiceID]],Transactions_RAW_cleaned[[#This Row],[ServiceID]])=1,"Yes","No")</f>
        <v>No</v>
      </c>
      <c r="S198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81" t="str">
        <f>"Q"&amp;ROUNDUP(MONTH(Transactions_RAW_cleaned[[#This Row],[TransactionDate]])/3,0)</f>
        <v>Q4</v>
      </c>
      <c r="U1981" t="str">
        <f>Transactions_RAW_cleaned[[#This Row],[Region ]]&amp;Transactions_RAW_cleaned[[#This Row],[Quarter ]]</f>
        <v>NAQ4</v>
      </c>
      <c r="V1981" s="5">
        <f>_xlfn.XLOOKUP(Transactions_RAW_cleaned[[#This Row],[RegionQuarterKey]], Quarterly_Targets_cleaned[RegionQuarterKey], Quarterly_Targets_cleaned[TargetRevenue])</f>
        <v>299000</v>
      </c>
    </row>
    <row r="1982" spans="1:22" x14ac:dyDescent="0.25">
      <c r="A1982" t="s">
        <v>2317</v>
      </c>
      <c r="B1982" s="1">
        <v>45467</v>
      </c>
      <c r="C1982" t="s">
        <v>66</v>
      </c>
      <c r="D1982" t="s">
        <v>297</v>
      </c>
      <c r="E1982">
        <v>1024.1400000000001</v>
      </c>
      <c r="F1982" t="s">
        <v>324</v>
      </c>
      <c r="G1982" t="s">
        <v>2963</v>
      </c>
      <c r="I1982" t="s">
        <v>8</v>
      </c>
      <c r="J1982" t="s">
        <v>46</v>
      </c>
      <c r="K1982" t="s">
        <v>10</v>
      </c>
      <c r="L1982" t="s">
        <v>298</v>
      </c>
      <c r="M1982" t="s">
        <v>299</v>
      </c>
      <c r="N1982">
        <v>0</v>
      </c>
      <c r="O1982" t="str">
        <f>IF(Transactions_RAW_cleaned[[#This Row],[Status]]="Completed", IFERROR(_xlfn.XLOOKUP(Transactions_RAW_cleaned[[#This Row],[CustomerID]], Customers_cleaned[CustomerID], Customers_cleaned[Segment]), "Customer Not Found"), "N/A")</f>
        <v>SMB</v>
      </c>
      <c r="P1982" s="5" t="str">
        <f>IF(Transactions_RAW_cleaned[[#This Row],[Status]]="Refunded", "Refund",
  IF(Transactions_RAW_cleaned[[#This Row],[Category]]="Payments", IF(Transactions_RAW_cleaned[[#This Row],[Amount]]&gt;500,"High Value","Standard"),
    IF(Transactions_RAW_cleaned[[#This Row],[Amount]]&gt;250,"High Value","Standard")))</f>
        <v>High Value</v>
      </c>
      <c r="Q1982" s="5" t="str">
        <f>IF(Transactions_RAW_cleaned[[#This Row],[Amount]] &gt; (_xlfn.XLOOKUP(Transactions_RAW_cleaned[[#This Row],[ServiceID]],Services_cleaned[ServiceID],Services_cleaned[TransactionFeePct]) * 10000), "Yes", "No")</f>
        <v>Yes</v>
      </c>
      <c r="R1982" s="5" t="str">
        <f>IF(COUNTIFS($C$2:Transactions_RAW_cleaned[[#This Row],[CustomerID]],Transactions_RAW_cleaned[[#This Row],[CustomerID]],$D$2:Transactions_RAW_cleaned[[#This Row],[ServiceID]],Transactions_RAW_cleaned[[#This Row],[ServiceID]])=1,"Yes","No")</f>
        <v>No</v>
      </c>
      <c r="S198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82" t="str">
        <f>"Q"&amp;ROUNDUP(MONTH(Transactions_RAW_cleaned[[#This Row],[TransactionDate]])/3,0)</f>
        <v>Q2</v>
      </c>
      <c r="U1982" t="str">
        <f>Transactions_RAW_cleaned[[#This Row],[Region ]]&amp;Transactions_RAW_cleaned[[#This Row],[Quarter ]]</f>
        <v>APACQ2</v>
      </c>
      <c r="V1982" s="5">
        <f>_xlfn.XLOOKUP(Transactions_RAW_cleaned[[#This Row],[RegionQuarterKey]], Quarterly_Targets_cleaned[RegionQuarterKey], Quarterly_Targets_cleaned[TargetRevenue])</f>
        <v>110000</v>
      </c>
    </row>
    <row r="1983" spans="1:22" x14ac:dyDescent="0.25">
      <c r="A1983" t="s">
        <v>2318</v>
      </c>
      <c r="B1983" s="1">
        <v>45581</v>
      </c>
      <c r="C1983" t="s">
        <v>221</v>
      </c>
      <c r="D1983" t="s">
        <v>294</v>
      </c>
      <c r="E1983">
        <v>482.32</v>
      </c>
      <c r="F1983" t="s">
        <v>381</v>
      </c>
      <c r="G1983" t="s">
        <v>2963</v>
      </c>
      <c r="H1983" t="s">
        <v>332</v>
      </c>
      <c r="I1983" t="s">
        <v>8</v>
      </c>
      <c r="J1983" t="s">
        <v>102</v>
      </c>
      <c r="K1983" t="s">
        <v>14</v>
      </c>
      <c r="L1983" t="s">
        <v>295</v>
      </c>
      <c r="M1983" t="s">
        <v>296</v>
      </c>
      <c r="N1983">
        <v>2.9000000000000001E-2</v>
      </c>
      <c r="O1983" t="str">
        <f>IF(Transactions_RAW_cleaned[[#This Row],[Status]]="Completed", IFERROR(_xlfn.XLOOKUP(Transactions_RAW_cleaned[[#This Row],[CustomerID]], Customers_cleaned[CustomerID], Customers_cleaned[Segment]), "Customer Not Found"), "N/A")</f>
        <v>N/A</v>
      </c>
      <c r="P1983" s="5" t="str">
        <f>IF(Transactions_RAW_cleaned[[#This Row],[Status]]="Refunded", "Refund",
  IF(Transactions_RAW_cleaned[[#This Row],[Category]]="Payments", IF(Transactions_RAW_cleaned[[#This Row],[Amount]]&gt;500,"High Value","Standard"),
    IF(Transactions_RAW_cleaned[[#This Row],[Amount]]&gt;250,"High Value","Standard")))</f>
        <v>Standard</v>
      </c>
      <c r="Q1983" s="5" t="str">
        <f>IF(Transactions_RAW_cleaned[[#This Row],[Amount]] &gt; (_xlfn.XLOOKUP(Transactions_RAW_cleaned[[#This Row],[ServiceID]],Services_cleaned[ServiceID],Services_cleaned[TransactionFeePct]) * 10000), "Yes", "No")</f>
        <v>Yes</v>
      </c>
      <c r="R1983" s="5" t="str">
        <f>IF(COUNTIFS($C$2:Transactions_RAW_cleaned[[#This Row],[CustomerID]],Transactions_RAW_cleaned[[#This Row],[CustomerID]],$D$2:Transactions_RAW_cleaned[[#This Row],[ServiceID]],Transactions_RAW_cleaned[[#This Row],[ServiceID]])=1,"Yes","No")</f>
        <v>No</v>
      </c>
      <c r="S198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83" t="str">
        <f>"Q"&amp;ROUNDUP(MONTH(Transactions_RAW_cleaned[[#This Row],[TransactionDate]])/3,0)</f>
        <v>Q4</v>
      </c>
      <c r="U1983" t="str">
        <f>Transactions_RAW_cleaned[[#This Row],[Region ]]&amp;Transactions_RAW_cleaned[[#This Row],[Quarter ]]</f>
        <v>NAQ4</v>
      </c>
      <c r="V1983" s="5">
        <f>_xlfn.XLOOKUP(Transactions_RAW_cleaned[[#This Row],[RegionQuarterKey]], Quarterly_Targets_cleaned[RegionQuarterKey], Quarterly_Targets_cleaned[TargetRevenue])</f>
        <v>299000</v>
      </c>
    </row>
    <row r="1984" spans="1:22" x14ac:dyDescent="0.25">
      <c r="A1984" t="s">
        <v>2319</v>
      </c>
      <c r="B1984" s="1">
        <v>45303</v>
      </c>
      <c r="C1984" t="s">
        <v>42</v>
      </c>
      <c r="D1984" t="s">
        <v>300</v>
      </c>
      <c r="E1984">
        <v>199.4</v>
      </c>
      <c r="F1984" t="s">
        <v>324</v>
      </c>
      <c r="G1984" t="s">
        <v>325</v>
      </c>
      <c r="H1984" t="s">
        <v>332</v>
      </c>
      <c r="I1984" t="s">
        <v>8</v>
      </c>
      <c r="J1984" t="s">
        <v>102</v>
      </c>
      <c r="K1984" t="s">
        <v>10</v>
      </c>
      <c r="L1984" t="s">
        <v>301</v>
      </c>
      <c r="M1984" t="s">
        <v>302</v>
      </c>
      <c r="N1984">
        <v>5.0000000000000001E-3</v>
      </c>
      <c r="O1984" t="str">
        <f>IF(Transactions_RAW_cleaned[[#This Row],[Status]]="Completed", IFERROR(_xlfn.XLOOKUP(Transactions_RAW_cleaned[[#This Row],[CustomerID]], Customers_cleaned[CustomerID], Customers_cleaned[Segment]), "Customer Not Found"), "N/A")</f>
        <v>SMB</v>
      </c>
      <c r="P1984" s="5" t="str">
        <f>IF(Transactions_RAW_cleaned[[#This Row],[Status]]="Refunded", "Refund",
  IF(Transactions_RAW_cleaned[[#This Row],[Category]]="Payments", IF(Transactions_RAW_cleaned[[#This Row],[Amount]]&gt;500,"High Value","Standard"),
    IF(Transactions_RAW_cleaned[[#This Row],[Amount]]&gt;250,"High Value","Standard")))</f>
        <v>Standard</v>
      </c>
      <c r="Q1984" s="5" t="str">
        <f>IF(Transactions_RAW_cleaned[[#This Row],[Amount]] &gt; (_xlfn.XLOOKUP(Transactions_RAW_cleaned[[#This Row],[ServiceID]],Services_cleaned[ServiceID],Services_cleaned[TransactionFeePct]) * 10000), "Yes", "No")</f>
        <v>Yes</v>
      </c>
      <c r="R1984" s="5" t="str">
        <f>IF(COUNTIFS($C$2:Transactions_RAW_cleaned[[#This Row],[CustomerID]],Transactions_RAW_cleaned[[#This Row],[CustomerID]],$D$2:Transactions_RAW_cleaned[[#This Row],[ServiceID]],Transactions_RAW_cleaned[[#This Row],[ServiceID]])=1,"Yes","No")</f>
        <v>No</v>
      </c>
      <c r="S198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84" t="str">
        <f>"Q"&amp;ROUNDUP(MONTH(Transactions_RAW_cleaned[[#This Row],[TransactionDate]])/3,0)</f>
        <v>Q1</v>
      </c>
      <c r="U1984" t="str">
        <f>Transactions_RAW_cleaned[[#This Row],[Region ]]&amp;Transactions_RAW_cleaned[[#This Row],[Quarter ]]</f>
        <v>NAQ1</v>
      </c>
      <c r="V1984" s="5">
        <f>_xlfn.XLOOKUP(Transactions_RAW_cleaned[[#This Row],[RegionQuarterKey]], Quarterly_Targets_cleaned[RegionQuarterKey], Quarterly_Targets_cleaned[TargetRevenue])</f>
        <v>247000</v>
      </c>
    </row>
    <row r="1985" spans="1:22" x14ac:dyDescent="0.25">
      <c r="A1985" t="s">
        <v>2320</v>
      </c>
      <c r="B1985" s="1">
        <v>45391</v>
      </c>
      <c r="C1985" t="s">
        <v>243</v>
      </c>
      <c r="D1985" t="s">
        <v>297</v>
      </c>
      <c r="E1985">
        <v>35</v>
      </c>
      <c r="F1985" t="s">
        <v>381</v>
      </c>
      <c r="G1985" t="s">
        <v>325</v>
      </c>
      <c r="I1985" t="s">
        <v>17</v>
      </c>
      <c r="J1985" t="s">
        <v>13</v>
      </c>
      <c r="K1985" t="s">
        <v>28</v>
      </c>
      <c r="L1985" t="s">
        <v>298</v>
      </c>
      <c r="M1985" t="s">
        <v>299</v>
      </c>
      <c r="N1985">
        <v>0</v>
      </c>
      <c r="O1985" t="str">
        <f>IF(Transactions_RAW_cleaned[[#This Row],[Status]]="Completed", IFERROR(_xlfn.XLOOKUP(Transactions_RAW_cleaned[[#This Row],[CustomerID]], Customers_cleaned[CustomerID], Customers_cleaned[Segment]), "Customer Not Found"), "N/A")</f>
        <v>N/A</v>
      </c>
      <c r="P1985" s="5" t="str">
        <f>IF(Transactions_RAW_cleaned[[#This Row],[Status]]="Refunded", "Refund",
  IF(Transactions_RAW_cleaned[[#This Row],[Category]]="Payments", IF(Transactions_RAW_cleaned[[#This Row],[Amount]]&gt;500,"High Value","Standard"),
    IF(Transactions_RAW_cleaned[[#This Row],[Amount]]&gt;250,"High Value","Standard")))</f>
        <v>Standard</v>
      </c>
      <c r="Q1985" s="5" t="str">
        <f>IF(Transactions_RAW_cleaned[[#This Row],[Amount]] &gt; (_xlfn.XLOOKUP(Transactions_RAW_cleaned[[#This Row],[ServiceID]],Services_cleaned[ServiceID],Services_cleaned[TransactionFeePct]) * 10000), "Yes", "No")</f>
        <v>Yes</v>
      </c>
      <c r="R1985" s="5" t="str">
        <f>IF(COUNTIFS($C$2:Transactions_RAW_cleaned[[#This Row],[CustomerID]],Transactions_RAW_cleaned[[#This Row],[CustomerID]],$D$2:Transactions_RAW_cleaned[[#This Row],[ServiceID]],Transactions_RAW_cleaned[[#This Row],[ServiceID]])=1,"Yes","No")</f>
        <v>No</v>
      </c>
      <c r="S198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85" t="str">
        <f>"Q"&amp;ROUNDUP(MONTH(Transactions_RAW_cleaned[[#This Row],[TransactionDate]])/3,0)</f>
        <v>Q2</v>
      </c>
      <c r="U1985" t="str">
        <f>Transactions_RAW_cleaned[[#This Row],[Region ]]&amp;Transactions_RAW_cleaned[[#This Row],[Quarter ]]</f>
        <v>NAQ2</v>
      </c>
      <c r="V1985" s="5">
        <f>_xlfn.XLOOKUP(Transactions_RAW_cleaned[[#This Row],[RegionQuarterKey]], Quarterly_Targets_cleaned[RegionQuarterKey], Quarterly_Targets_cleaned[TargetRevenue])</f>
        <v>260000</v>
      </c>
    </row>
    <row r="1986" spans="1:22" x14ac:dyDescent="0.25">
      <c r="A1986" t="s">
        <v>2321</v>
      </c>
      <c r="B1986" s="1">
        <v>45429</v>
      </c>
      <c r="C1986" t="s">
        <v>209</v>
      </c>
      <c r="D1986" t="s">
        <v>294</v>
      </c>
      <c r="E1986">
        <v>420.03</v>
      </c>
      <c r="F1986" t="s">
        <v>381</v>
      </c>
      <c r="G1986" t="s">
        <v>327</v>
      </c>
      <c r="I1986" t="s">
        <v>17</v>
      </c>
      <c r="J1986" t="s">
        <v>102</v>
      </c>
      <c r="K1986" t="s">
        <v>22</v>
      </c>
      <c r="L1986" t="s">
        <v>295</v>
      </c>
      <c r="M1986" t="s">
        <v>296</v>
      </c>
      <c r="N1986">
        <v>2.9000000000000001E-2</v>
      </c>
      <c r="O1986" t="str">
        <f>IF(Transactions_RAW_cleaned[[#This Row],[Status]]="Completed", IFERROR(_xlfn.XLOOKUP(Transactions_RAW_cleaned[[#This Row],[CustomerID]], Customers_cleaned[CustomerID], Customers_cleaned[Segment]), "Customer Not Found"), "N/A")</f>
        <v>N/A</v>
      </c>
      <c r="P1986" s="5" t="str">
        <f>IF(Transactions_RAW_cleaned[[#This Row],[Status]]="Refunded", "Refund",
  IF(Transactions_RAW_cleaned[[#This Row],[Category]]="Payments", IF(Transactions_RAW_cleaned[[#This Row],[Amount]]&gt;500,"High Value","Standard"),
    IF(Transactions_RAW_cleaned[[#This Row],[Amount]]&gt;250,"High Value","Standard")))</f>
        <v>Standard</v>
      </c>
      <c r="Q1986" s="5" t="str">
        <f>IF(Transactions_RAW_cleaned[[#This Row],[Amount]] &gt; (_xlfn.XLOOKUP(Transactions_RAW_cleaned[[#This Row],[ServiceID]],Services_cleaned[ServiceID],Services_cleaned[TransactionFeePct]) * 10000), "Yes", "No")</f>
        <v>Yes</v>
      </c>
      <c r="R1986" s="5" t="str">
        <f>IF(COUNTIFS($C$2:Transactions_RAW_cleaned[[#This Row],[CustomerID]],Transactions_RAW_cleaned[[#This Row],[CustomerID]],$D$2:Transactions_RAW_cleaned[[#This Row],[ServiceID]],Transactions_RAW_cleaned[[#This Row],[ServiceID]])=1,"Yes","No")</f>
        <v>No</v>
      </c>
      <c r="S198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86" t="str">
        <f>"Q"&amp;ROUNDUP(MONTH(Transactions_RAW_cleaned[[#This Row],[TransactionDate]])/3,0)</f>
        <v>Q2</v>
      </c>
      <c r="U1986" t="str">
        <f>Transactions_RAW_cleaned[[#This Row],[Region ]]&amp;Transactions_RAW_cleaned[[#This Row],[Quarter ]]</f>
        <v>NAQ2</v>
      </c>
      <c r="V1986" s="5">
        <f>_xlfn.XLOOKUP(Transactions_RAW_cleaned[[#This Row],[RegionQuarterKey]], Quarterly_Targets_cleaned[RegionQuarterKey], Quarterly_Targets_cleaned[TargetRevenue])</f>
        <v>260000</v>
      </c>
    </row>
    <row r="1987" spans="1:22" x14ac:dyDescent="0.25">
      <c r="A1987" t="s">
        <v>2322</v>
      </c>
      <c r="B1987" s="1">
        <v>45376</v>
      </c>
      <c r="C1987" t="s">
        <v>223</v>
      </c>
      <c r="D1987" t="s">
        <v>294</v>
      </c>
      <c r="E1987">
        <v>398.65</v>
      </c>
      <c r="F1987" t="s">
        <v>324</v>
      </c>
      <c r="G1987" t="s">
        <v>325</v>
      </c>
      <c r="I1987" t="s">
        <v>8</v>
      </c>
      <c r="J1987" t="s">
        <v>102</v>
      </c>
      <c r="K1987" t="s">
        <v>28</v>
      </c>
      <c r="L1987" t="s">
        <v>295</v>
      </c>
      <c r="M1987" t="s">
        <v>296</v>
      </c>
      <c r="N1987">
        <v>2.9000000000000001E-2</v>
      </c>
      <c r="O1987" t="str">
        <f>IF(Transactions_RAW_cleaned[[#This Row],[Status]]="Completed", IFERROR(_xlfn.XLOOKUP(Transactions_RAW_cleaned[[#This Row],[CustomerID]], Customers_cleaned[CustomerID], Customers_cleaned[Segment]), "Customer Not Found"), "N/A")</f>
        <v>SMB</v>
      </c>
      <c r="P1987" s="5" t="str">
        <f>IF(Transactions_RAW_cleaned[[#This Row],[Status]]="Refunded", "Refund",
  IF(Transactions_RAW_cleaned[[#This Row],[Category]]="Payments", IF(Transactions_RAW_cleaned[[#This Row],[Amount]]&gt;500,"High Value","Standard"),
    IF(Transactions_RAW_cleaned[[#This Row],[Amount]]&gt;250,"High Value","Standard")))</f>
        <v>Standard</v>
      </c>
      <c r="Q1987" s="5" t="str">
        <f>IF(Transactions_RAW_cleaned[[#This Row],[Amount]] &gt; (_xlfn.XLOOKUP(Transactions_RAW_cleaned[[#This Row],[ServiceID]],Services_cleaned[ServiceID],Services_cleaned[TransactionFeePct]) * 10000), "Yes", "No")</f>
        <v>Yes</v>
      </c>
      <c r="R1987" s="5" t="str">
        <f>IF(COUNTIFS($C$2:Transactions_RAW_cleaned[[#This Row],[CustomerID]],Transactions_RAW_cleaned[[#This Row],[CustomerID]],$D$2:Transactions_RAW_cleaned[[#This Row],[ServiceID]],Transactions_RAW_cleaned[[#This Row],[ServiceID]])=1,"Yes","No")</f>
        <v>No</v>
      </c>
      <c r="S198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87" t="str">
        <f>"Q"&amp;ROUNDUP(MONTH(Transactions_RAW_cleaned[[#This Row],[TransactionDate]])/3,0)</f>
        <v>Q1</v>
      </c>
      <c r="U1987" t="str">
        <f>Transactions_RAW_cleaned[[#This Row],[Region ]]&amp;Transactions_RAW_cleaned[[#This Row],[Quarter ]]</f>
        <v>NAQ1</v>
      </c>
      <c r="V1987" s="5">
        <f>_xlfn.XLOOKUP(Transactions_RAW_cleaned[[#This Row],[RegionQuarterKey]], Quarterly_Targets_cleaned[RegionQuarterKey], Quarterly_Targets_cleaned[TargetRevenue])</f>
        <v>247000</v>
      </c>
    </row>
    <row r="1988" spans="1:22" x14ac:dyDescent="0.25">
      <c r="A1988" t="s">
        <v>2323</v>
      </c>
      <c r="B1988" s="1">
        <v>45316</v>
      </c>
      <c r="C1988" t="s">
        <v>167</v>
      </c>
      <c r="D1988" t="s">
        <v>306</v>
      </c>
      <c r="E1988">
        <v>615.63</v>
      </c>
      <c r="F1988" t="s">
        <v>331</v>
      </c>
      <c r="G1988" t="s">
        <v>2963</v>
      </c>
      <c r="H1988" t="s">
        <v>334</v>
      </c>
      <c r="I1988" t="s">
        <v>17</v>
      </c>
      <c r="J1988" t="s">
        <v>13</v>
      </c>
      <c r="K1988" t="s">
        <v>10</v>
      </c>
      <c r="L1988" t="s">
        <v>307</v>
      </c>
      <c r="M1988" t="s">
        <v>308</v>
      </c>
      <c r="N1988">
        <v>0</v>
      </c>
      <c r="O1988" t="str">
        <f>IF(Transactions_RAW_cleaned[[#This Row],[Status]]="Completed", IFERROR(_xlfn.XLOOKUP(Transactions_RAW_cleaned[[#This Row],[CustomerID]], Customers_cleaned[CustomerID], Customers_cleaned[Segment]), "Customer Not Found"), "N/A")</f>
        <v>N/A</v>
      </c>
      <c r="P1988" s="5" t="str">
        <f>IF(Transactions_RAW_cleaned[[#This Row],[Status]]="Refunded", "Refund",
  IF(Transactions_RAW_cleaned[[#This Row],[Category]]="Payments", IF(Transactions_RAW_cleaned[[#This Row],[Amount]]&gt;500,"High Value","Standard"),
    IF(Transactions_RAW_cleaned[[#This Row],[Amount]]&gt;250,"High Value","Standard")))</f>
        <v>High Value</v>
      </c>
      <c r="Q1988" s="5" t="str">
        <f>IF(Transactions_RAW_cleaned[[#This Row],[Amount]] &gt; (_xlfn.XLOOKUP(Transactions_RAW_cleaned[[#This Row],[ServiceID]],Services_cleaned[ServiceID],Services_cleaned[TransactionFeePct]) * 10000), "Yes", "No")</f>
        <v>Yes</v>
      </c>
      <c r="R1988" s="5" t="str">
        <f>IF(COUNTIFS($C$2:Transactions_RAW_cleaned[[#This Row],[CustomerID]],Transactions_RAW_cleaned[[#This Row],[CustomerID]],$D$2:Transactions_RAW_cleaned[[#This Row],[ServiceID]],Transactions_RAW_cleaned[[#This Row],[ServiceID]])=1,"Yes","No")</f>
        <v>No</v>
      </c>
      <c r="S198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88" t="str">
        <f>"Q"&amp;ROUNDUP(MONTH(Transactions_RAW_cleaned[[#This Row],[TransactionDate]])/3,0)</f>
        <v>Q1</v>
      </c>
      <c r="U1988" t="str">
        <f>Transactions_RAW_cleaned[[#This Row],[Region ]]&amp;Transactions_RAW_cleaned[[#This Row],[Quarter ]]</f>
        <v>NAQ1</v>
      </c>
      <c r="V1988" s="5">
        <f>_xlfn.XLOOKUP(Transactions_RAW_cleaned[[#This Row],[RegionQuarterKey]], Quarterly_Targets_cleaned[RegionQuarterKey], Quarterly_Targets_cleaned[TargetRevenue])</f>
        <v>247000</v>
      </c>
    </row>
    <row r="1989" spans="1:22" x14ac:dyDescent="0.25">
      <c r="A1989" t="s">
        <v>2324</v>
      </c>
      <c r="B1989" s="1">
        <v>45654</v>
      </c>
      <c r="C1989" t="s">
        <v>193</v>
      </c>
      <c r="D1989" t="s">
        <v>303</v>
      </c>
      <c r="E1989">
        <v>525.01</v>
      </c>
      <c r="F1989" t="s">
        <v>324</v>
      </c>
      <c r="G1989" t="s">
        <v>2963</v>
      </c>
      <c r="I1989" t="s">
        <v>8</v>
      </c>
      <c r="J1989" t="s">
        <v>102</v>
      </c>
      <c r="K1989" t="s">
        <v>18</v>
      </c>
      <c r="L1989" t="s">
        <v>304</v>
      </c>
      <c r="M1989" t="s">
        <v>305</v>
      </c>
      <c r="N1989">
        <v>1E-3</v>
      </c>
      <c r="O1989" t="str">
        <f>IF(Transactions_RAW_cleaned[[#This Row],[Status]]="Completed", IFERROR(_xlfn.XLOOKUP(Transactions_RAW_cleaned[[#This Row],[CustomerID]], Customers_cleaned[CustomerID], Customers_cleaned[Segment]), "Customer Not Found"), "N/A")</f>
        <v>SMB</v>
      </c>
      <c r="P1989" s="5" t="str">
        <f>IF(Transactions_RAW_cleaned[[#This Row],[Status]]="Refunded", "Refund",
  IF(Transactions_RAW_cleaned[[#This Row],[Category]]="Payments", IF(Transactions_RAW_cleaned[[#This Row],[Amount]]&gt;500,"High Value","Standard"),
    IF(Transactions_RAW_cleaned[[#This Row],[Amount]]&gt;250,"High Value","Standard")))</f>
        <v>High Value</v>
      </c>
      <c r="Q1989" s="5" t="str">
        <f>IF(Transactions_RAW_cleaned[[#This Row],[Amount]] &gt; (_xlfn.XLOOKUP(Transactions_RAW_cleaned[[#This Row],[ServiceID]],Services_cleaned[ServiceID],Services_cleaned[TransactionFeePct]) * 10000), "Yes", "No")</f>
        <v>Yes</v>
      </c>
      <c r="R1989" s="5" t="str">
        <f>IF(COUNTIFS($C$2:Transactions_RAW_cleaned[[#This Row],[CustomerID]],Transactions_RAW_cleaned[[#This Row],[CustomerID]],$D$2:Transactions_RAW_cleaned[[#This Row],[ServiceID]],Transactions_RAW_cleaned[[#This Row],[ServiceID]])=1,"Yes","No")</f>
        <v>Yes</v>
      </c>
      <c r="S198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89" t="str">
        <f>"Q"&amp;ROUNDUP(MONTH(Transactions_RAW_cleaned[[#This Row],[TransactionDate]])/3,0)</f>
        <v>Q4</v>
      </c>
      <c r="U1989" t="str">
        <f>Transactions_RAW_cleaned[[#This Row],[Region ]]&amp;Transactions_RAW_cleaned[[#This Row],[Quarter ]]</f>
        <v>NAQ4</v>
      </c>
      <c r="V1989" s="5">
        <f>_xlfn.XLOOKUP(Transactions_RAW_cleaned[[#This Row],[RegionQuarterKey]], Quarterly_Targets_cleaned[RegionQuarterKey], Quarterly_Targets_cleaned[TargetRevenue])</f>
        <v>299000</v>
      </c>
    </row>
    <row r="1990" spans="1:22" x14ac:dyDescent="0.25">
      <c r="A1990" t="s">
        <v>2325</v>
      </c>
      <c r="B1990" s="1">
        <v>45458</v>
      </c>
      <c r="C1990" t="s">
        <v>100</v>
      </c>
      <c r="D1990" t="s">
        <v>297</v>
      </c>
      <c r="E1990">
        <v>473.84</v>
      </c>
      <c r="F1990" t="s">
        <v>324</v>
      </c>
      <c r="G1990" t="s">
        <v>325</v>
      </c>
      <c r="I1990" t="s">
        <v>8</v>
      </c>
      <c r="J1990" t="s">
        <v>102</v>
      </c>
      <c r="K1990" t="s">
        <v>22</v>
      </c>
      <c r="L1990" t="s">
        <v>298</v>
      </c>
      <c r="M1990" t="s">
        <v>299</v>
      </c>
      <c r="N1990">
        <v>0</v>
      </c>
      <c r="O1990" t="str">
        <f>IF(Transactions_RAW_cleaned[[#This Row],[Status]]="Completed", IFERROR(_xlfn.XLOOKUP(Transactions_RAW_cleaned[[#This Row],[CustomerID]], Customers_cleaned[CustomerID], Customers_cleaned[Segment]), "Customer Not Found"), "N/A")</f>
        <v>SMB</v>
      </c>
      <c r="P1990" s="5" t="str">
        <f>IF(Transactions_RAW_cleaned[[#This Row],[Status]]="Refunded", "Refund",
  IF(Transactions_RAW_cleaned[[#This Row],[Category]]="Payments", IF(Transactions_RAW_cleaned[[#This Row],[Amount]]&gt;500,"High Value","Standard"),
    IF(Transactions_RAW_cleaned[[#This Row],[Amount]]&gt;250,"High Value","Standard")))</f>
        <v>High Value</v>
      </c>
      <c r="Q1990" s="5" t="str">
        <f>IF(Transactions_RAW_cleaned[[#This Row],[Amount]] &gt; (_xlfn.XLOOKUP(Transactions_RAW_cleaned[[#This Row],[ServiceID]],Services_cleaned[ServiceID],Services_cleaned[TransactionFeePct]) * 10000), "Yes", "No")</f>
        <v>Yes</v>
      </c>
      <c r="R1990" s="5" t="str">
        <f>IF(COUNTIFS($C$2:Transactions_RAW_cleaned[[#This Row],[CustomerID]],Transactions_RAW_cleaned[[#This Row],[CustomerID]],$D$2:Transactions_RAW_cleaned[[#This Row],[ServiceID]],Transactions_RAW_cleaned[[#This Row],[ServiceID]])=1,"Yes","No")</f>
        <v>No</v>
      </c>
      <c r="S199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90" t="str">
        <f>"Q"&amp;ROUNDUP(MONTH(Transactions_RAW_cleaned[[#This Row],[TransactionDate]])/3,0)</f>
        <v>Q2</v>
      </c>
      <c r="U1990" t="str">
        <f>Transactions_RAW_cleaned[[#This Row],[Region ]]&amp;Transactions_RAW_cleaned[[#This Row],[Quarter ]]</f>
        <v>NAQ2</v>
      </c>
      <c r="V1990" s="5">
        <f>_xlfn.XLOOKUP(Transactions_RAW_cleaned[[#This Row],[RegionQuarterKey]], Quarterly_Targets_cleaned[RegionQuarterKey], Quarterly_Targets_cleaned[TargetRevenue])</f>
        <v>260000</v>
      </c>
    </row>
    <row r="1991" spans="1:22" x14ac:dyDescent="0.25">
      <c r="A1991" t="s">
        <v>2326</v>
      </c>
      <c r="B1991" s="1">
        <v>45420</v>
      </c>
      <c r="C1991" t="s">
        <v>229</v>
      </c>
      <c r="D1991" t="s">
        <v>294</v>
      </c>
      <c r="E1991">
        <v>62.15</v>
      </c>
      <c r="F1991" t="s">
        <v>331</v>
      </c>
      <c r="G1991" t="s">
        <v>325</v>
      </c>
      <c r="I1991" t="s">
        <v>17</v>
      </c>
      <c r="J1991" t="s">
        <v>102</v>
      </c>
      <c r="K1991" t="s">
        <v>18</v>
      </c>
      <c r="L1991" t="s">
        <v>295</v>
      </c>
      <c r="M1991" t="s">
        <v>296</v>
      </c>
      <c r="N1991">
        <v>2.9000000000000001E-2</v>
      </c>
      <c r="O1991" t="str">
        <f>IF(Transactions_RAW_cleaned[[#This Row],[Status]]="Completed", IFERROR(_xlfn.XLOOKUP(Transactions_RAW_cleaned[[#This Row],[CustomerID]], Customers_cleaned[CustomerID], Customers_cleaned[Segment]), "Customer Not Found"), "N/A")</f>
        <v>N/A</v>
      </c>
      <c r="P1991" s="5" t="str">
        <f>IF(Transactions_RAW_cleaned[[#This Row],[Status]]="Refunded", "Refund",
  IF(Transactions_RAW_cleaned[[#This Row],[Category]]="Payments", IF(Transactions_RAW_cleaned[[#This Row],[Amount]]&gt;500,"High Value","Standard"),
    IF(Transactions_RAW_cleaned[[#This Row],[Amount]]&gt;250,"High Value","Standard")))</f>
        <v>Standard</v>
      </c>
      <c r="Q1991" s="5" t="str">
        <f>IF(Transactions_RAW_cleaned[[#This Row],[Amount]] &gt; (_xlfn.XLOOKUP(Transactions_RAW_cleaned[[#This Row],[ServiceID]],Services_cleaned[ServiceID],Services_cleaned[TransactionFeePct]) * 10000), "Yes", "No")</f>
        <v>No</v>
      </c>
      <c r="R1991" s="5" t="str">
        <f>IF(COUNTIFS($C$2:Transactions_RAW_cleaned[[#This Row],[CustomerID]],Transactions_RAW_cleaned[[#This Row],[CustomerID]],$D$2:Transactions_RAW_cleaned[[#This Row],[ServiceID]],Transactions_RAW_cleaned[[#This Row],[ServiceID]])=1,"Yes","No")</f>
        <v>No</v>
      </c>
      <c r="S199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91" t="str">
        <f>"Q"&amp;ROUNDUP(MONTH(Transactions_RAW_cleaned[[#This Row],[TransactionDate]])/3,0)</f>
        <v>Q2</v>
      </c>
      <c r="U1991" t="str">
        <f>Transactions_RAW_cleaned[[#This Row],[Region ]]&amp;Transactions_RAW_cleaned[[#This Row],[Quarter ]]</f>
        <v>NAQ2</v>
      </c>
      <c r="V1991" s="5">
        <f>_xlfn.XLOOKUP(Transactions_RAW_cleaned[[#This Row],[RegionQuarterKey]], Quarterly_Targets_cleaned[RegionQuarterKey], Quarterly_Targets_cleaned[TargetRevenue])</f>
        <v>260000</v>
      </c>
    </row>
    <row r="1992" spans="1:22" x14ac:dyDescent="0.25">
      <c r="A1992" t="s">
        <v>2327</v>
      </c>
      <c r="B1992" s="1">
        <v>45579</v>
      </c>
      <c r="C1992" t="s">
        <v>157</v>
      </c>
      <c r="D1992" t="s">
        <v>306</v>
      </c>
      <c r="E1992">
        <v>363.28</v>
      </c>
      <c r="F1992" t="s">
        <v>381</v>
      </c>
      <c r="G1992" t="s">
        <v>327</v>
      </c>
      <c r="H1992" t="s">
        <v>334</v>
      </c>
      <c r="I1992" t="s">
        <v>8</v>
      </c>
      <c r="J1992" t="s">
        <v>102</v>
      </c>
      <c r="K1992" t="s">
        <v>14</v>
      </c>
      <c r="L1992" t="s">
        <v>307</v>
      </c>
      <c r="M1992" t="s">
        <v>308</v>
      </c>
      <c r="N1992">
        <v>0</v>
      </c>
      <c r="O1992" t="str">
        <f>IF(Transactions_RAW_cleaned[[#This Row],[Status]]="Completed", IFERROR(_xlfn.XLOOKUP(Transactions_RAW_cleaned[[#This Row],[CustomerID]], Customers_cleaned[CustomerID], Customers_cleaned[Segment]), "Customer Not Found"), "N/A")</f>
        <v>N/A</v>
      </c>
      <c r="P1992" s="5" t="str">
        <f>IF(Transactions_RAW_cleaned[[#This Row],[Status]]="Refunded", "Refund",
  IF(Transactions_RAW_cleaned[[#This Row],[Category]]="Payments", IF(Transactions_RAW_cleaned[[#This Row],[Amount]]&gt;500,"High Value","Standard"),
    IF(Transactions_RAW_cleaned[[#This Row],[Amount]]&gt;250,"High Value","Standard")))</f>
        <v>High Value</v>
      </c>
      <c r="Q1992" s="5" t="str">
        <f>IF(Transactions_RAW_cleaned[[#This Row],[Amount]] &gt; (_xlfn.XLOOKUP(Transactions_RAW_cleaned[[#This Row],[ServiceID]],Services_cleaned[ServiceID],Services_cleaned[TransactionFeePct]) * 10000), "Yes", "No")</f>
        <v>Yes</v>
      </c>
      <c r="R1992" s="5" t="str">
        <f>IF(COUNTIFS($C$2:Transactions_RAW_cleaned[[#This Row],[CustomerID]],Transactions_RAW_cleaned[[#This Row],[CustomerID]],$D$2:Transactions_RAW_cleaned[[#This Row],[ServiceID]],Transactions_RAW_cleaned[[#This Row],[ServiceID]])=1,"Yes","No")</f>
        <v>Yes</v>
      </c>
      <c r="S199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92" t="str">
        <f>"Q"&amp;ROUNDUP(MONTH(Transactions_RAW_cleaned[[#This Row],[TransactionDate]])/3,0)</f>
        <v>Q4</v>
      </c>
      <c r="U1992" t="str">
        <f>Transactions_RAW_cleaned[[#This Row],[Region ]]&amp;Transactions_RAW_cleaned[[#This Row],[Quarter ]]</f>
        <v>NAQ4</v>
      </c>
      <c r="V1992" s="5">
        <f>_xlfn.XLOOKUP(Transactions_RAW_cleaned[[#This Row],[RegionQuarterKey]], Quarterly_Targets_cleaned[RegionQuarterKey], Quarterly_Targets_cleaned[TargetRevenue])</f>
        <v>299000</v>
      </c>
    </row>
    <row r="1993" spans="1:22" x14ac:dyDescent="0.25">
      <c r="A1993" t="s">
        <v>2328</v>
      </c>
      <c r="B1993" s="1">
        <v>45443</v>
      </c>
      <c r="C1993" t="s">
        <v>23</v>
      </c>
      <c r="D1993" t="s">
        <v>294</v>
      </c>
      <c r="E1993">
        <v>145.21</v>
      </c>
      <c r="F1993" t="s">
        <v>324</v>
      </c>
      <c r="G1993" t="s">
        <v>327</v>
      </c>
      <c r="H1993" t="s">
        <v>334</v>
      </c>
      <c r="I1993" t="s">
        <v>8</v>
      </c>
      <c r="J1993" t="s">
        <v>25</v>
      </c>
      <c r="K1993" t="s">
        <v>22</v>
      </c>
      <c r="L1993" t="s">
        <v>295</v>
      </c>
      <c r="M1993" t="s">
        <v>296</v>
      </c>
      <c r="N1993">
        <v>2.9000000000000001E-2</v>
      </c>
      <c r="O1993" t="str">
        <f>IF(Transactions_RAW_cleaned[[#This Row],[Status]]="Completed", IFERROR(_xlfn.XLOOKUP(Transactions_RAW_cleaned[[#This Row],[CustomerID]], Customers_cleaned[CustomerID], Customers_cleaned[Segment]), "Customer Not Found"), "N/A")</f>
        <v>SMB</v>
      </c>
      <c r="P1993" s="5" t="str">
        <f>IF(Transactions_RAW_cleaned[[#This Row],[Status]]="Refunded", "Refund",
  IF(Transactions_RAW_cleaned[[#This Row],[Category]]="Payments", IF(Transactions_RAW_cleaned[[#This Row],[Amount]]&gt;500,"High Value","Standard"),
    IF(Transactions_RAW_cleaned[[#This Row],[Amount]]&gt;250,"High Value","Standard")))</f>
        <v>Standard</v>
      </c>
      <c r="Q1993" s="5" t="str">
        <f>IF(Transactions_RAW_cleaned[[#This Row],[Amount]] &gt; (_xlfn.XLOOKUP(Transactions_RAW_cleaned[[#This Row],[ServiceID]],Services_cleaned[ServiceID],Services_cleaned[TransactionFeePct]) * 10000), "Yes", "No")</f>
        <v>No</v>
      </c>
      <c r="R1993" s="5" t="str">
        <f>IF(COUNTIFS($C$2:Transactions_RAW_cleaned[[#This Row],[CustomerID]],Transactions_RAW_cleaned[[#This Row],[CustomerID]],$D$2:Transactions_RAW_cleaned[[#This Row],[ServiceID]],Transactions_RAW_cleaned[[#This Row],[ServiceID]])=1,"Yes","No")</f>
        <v>No</v>
      </c>
      <c r="S199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93" t="str">
        <f>"Q"&amp;ROUNDUP(MONTH(Transactions_RAW_cleaned[[#This Row],[TransactionDate]])/3,0)</f>
        <v>Q2</v>
      </c>
      <c r="U1993" t="str">
        <f>Transactions_RAW_cleaned[[#This Row],[Region ]]&amp;Transactions_RAW_cleaned[[#This Row],[Quarter ]]</f>
        <v>APACQ2</v>
      </c>
      <c r="V1993" s="5">
        <f>_xlfn.XLOOKUP(Transactions_RAW_cleaned[[#This Row],[RegionQuarterKey]], Quarterly_Targets_cleaned[RegionQuarterKey], Quarterly_Targets_cleaned[TargetRevenue])</f>
        <v>110000</v>
      </c>
    </row>
    <row r="1994" spans="1:22" x14ac:dyDescent="0.25">
      <c r="A1994" t="s">
        <v>2329</v>
      </c>
      <c r="B1994" s="1">
        <v>45376</v>
      </c>
      <c r="C1994" t="s">
        <v>40</v>
      </c>
      <c r="D1994" t="s">
        <v>312</v>
      </c>
      <c r="E1994">
        <v>1013.57</v>
      </c>
      <c r="F1994" t="s">
        <v>324</v>
      </c>
      <c r="G1994" t="s">
        <v>325</v>
      </c>
      <c r="H1994" t="s">
        <v>332</v>
      </c>
      <c r="I1994" t="s">
        <v>17</v>
      </c>
      <c r="J1994" t="s">
        <v>102</v>
      </c>
      <c r="K1994" t="s">
        <v>14</v>
      </c>
      <c r="L1994" t="s">
        <v>313</v>
      </c>
      <c r="M1994" t="s">
        <v>314</v>
      </c>
      <c r="N1994">
        <v>0</v>
      </c>
      <c r="O1994" t="str">
        <f>IF(Transactions_RAW_cleaned[[#This Row],[Status]]="Completed", IFERROR(_xlfn.XLOOKUP(Transactions_RAW_cleaned[[#This Row],[CustomerID]], Customers_cleaned[CustomerID], Customers_cleaned[Segment]), "Customer Not Found"), "N/A")</f>
        <v>Enterprise</v>
      </c>
      <c r="P1994" s="5" t="str">
        <f>IF(Transactions_RAW_cleaned[[#This Row],[Status]]="Refunded", "Refund",
  IF(Transactions_RAW_cleaned[[#This Row],[Category]]="Payments", IF(Transactions_RAW_cleaned[[#This Row],[Amount]]&gt;500,"High Value","Standard"),
    IF(Transactions_RAW_cleaned[[#This Row],[Amount]]&gt;250,"High Value","Standard")))</f>
        <v>High Value</v>
      </c>
      <c r="Q1994" s="5" t="str">
        <f>IF(Transactions_RAW_cleaned[[#This Row],[Amount]] &gt; (_xlfn.XLOOKUP(Transactions_RAW_cleaned[[#This Row],[ServiceID]],Services_cleaned[ServiceID],Services_cleaned[TransactionFeePct]) * 10000), "Yes", "No")</f>
        <v>Yes</v>
      </c>
      <c r="R1994" s="5" t="str">
        <f>IF(COUNTIFS($C$2:Transactions_RAW_cleaned[[#This Row],[CustomerID]],Transactions_RAW_cleaned[[#This Row],[CustomerID]],$D$2:Transactions_RAW_cleaned[[#This Row],[ServiceID]],Transactions_RAW_cleaned[[#This Row],[ServiceID]])=1,"Yes","No")</f>
        <v>No</v>
      </c>
      <c r="S199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1994" t="str">
        <f>"Q"&amp;ROUNDUP(MONTH(Transactions_RAW_cleaned[[#This Row],[TransactionDate]])/3,0)</f>
        <v>Q1</v>
      </c>
      <c r="U1994" t="str">
        <f>Transactions_RAW_cleaned[[#This Row],[Region ]]&amp;Transactions_RAW_cleaned[[#This Row],[Quarter ]]</f>
        <v>NAQ1</v>
      </c>
      <c r="V1994" s="5">
        <f>_xlfn.XLOOKUP(Transactions_RAW_cleaned[[#This Row],[RegionQuarterKey]], Quarterly_Targets_cleaned[RegionQuarterKey], Quarterly_Targets_cleaned[TargetRevenue])</f>
        <v>247000</v>
      </c>
    </row>
    <row r="1995" spans="1:22" x14ac:dyDescent="0.25">
      <c r="A1995" t="s">
        <v>2330</v>
      </c>
      <c r="B1995" s="1">
        <v>45327</v>
      </c>
      <c r="C1995" t="s">
        <v>155</v>
      </c>
      <c r="D1995" t="s">
        <v>294</v>
      </c>
      <c r="E1995">
        <v>689.86</v>
      </c>
      <c r="F1995" t="s">
        <v>324</v>
      </c>
      <c r="G1995" t="s">
        <v>327</v>
      </c>
      <c r="I1995" t="s">
        <v>8</v>
      </c>
      <c r="J1995" t="s">
        <v>46</v>
      </c>
      <c r="K1995" t="s">
        <v>22</v>
      </c>
      <c r="L1995" t="s">
        <v>295</v>
      </c>
      <c r="M1995" t="s">
        <v>296</v>
      </c>
      <c r="N1995">
        <v>2.9000000000000001E-2</v>
      </c>
      <c r="O1995" t="str">
        <f>IF(Transactions_RAW_cleaned[[#This Row],[Status]]="Completed", IFERROR(_xlfn.XLOOKUP(Transactions_RAW_cleaned[[#This Row],[CustomerID]], Customers_cleaned[CustomerID], Customers_cleaned[Segment]), "Customer Not Found"), "N/A")</f>
        <v>SMB</v>
      </c>
      <c r="P1995" s="5" t="str">
        <f>IF(Transactions_RAW_cleaned[[#This Row],[Status]]="Refunded", "Refund",
  IF(Transactions_RAW_cleaned[[#This Row],[Category]]="Payments", IF(Transactions_RAW_cleaned[[#This Row],[Amount]]&gt;500,"High Value","Standard"),
    IF(Transactions_RAW_cleaned[[#This Row],[Amount]]&gt;250,"High Value","Standard")))</f>
        <v>High Value</v>
      </c>
      <c r="Q1995" s="5" t="str">
        <f>IF(Transactions_RAW_cleaned[[#This Row],[Amount]] &gt; (_xlfn.XLOOKUP(Transactions_RAW_cleaned[[#This Row],[ServiceID]],Services_cleaned[ServiceID],Services_cleaned[TransactionFeePct]) * 10000), "Yes", "No")</f>
        <v>Yes</v>
      </c>
      <c r="R1995" s="5" t="str">
        <f>IF(COUNTIFS($C$2:Transactions_RAW_cleaned[[#This Row],[CustomerID]],Transactions_RAW_cleaned[[#This Row],[CustomerID]],$D$2:Transactions_RAW_cleaned[[#This Row],[ServiceID]],Transactions_RAW_cleaned[[#This Row],[ServiceID]])=1,"Yes","No")</f>
        <v>No</v>
      </c>
      <c r="S199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95" t="str">
        <f>"Q"&amp;ROUNDUP(MONTH(Transactions_RAW_cleaned[[#This Row],[TransactionDate]])/3,0)</f>
        <v>Q1</v>
      </c>
      <c r="U1995" t="str">
        <f>Transactions_RAW_cleaned[[#This Row],[Region ]]&amp;Transactions_RAW_cleaned[[#This Row],[Quarter ]]</f>
        <v>APACQ1</v>
      </c>
      <c r="V1995" s="5">
        <f>_xlfn.XLOOKUP(Transactions_RAW_cleaned[[#This Row],[RegionQuarterKey]], Quarterly_Targets_cleaned[RegionQuarterKey], Quarterly_Targets_cleaned[TargetRevenue])</f>
        <v>104500</v>
      </c>
    </row>
    <row r="1996" spans="1:22" x14ac:dyDescent="0.25">
      <c r="A1996" t="s">
        <v>2331</v>
      </c>
      <c r="B1996" s="1">
        <v>45509</v>
      </c>
      <c r="C1996" t="s">
        <v>121</v>
      </c>
      <c r="D1996" t="s">
        <v>294</v>
      </c>
      <c r="E1996">
        <v>58.84</v>
      </c>
      <c r="F1996" t="s">
        <v>381</v>
      </c>
      <c r="G1996" t="s">
        <v>2963</v>
      </c>
      <c r="I1996" t="s">
        <v>8</v>
      </c>
      <c r="J1996" t="s">
        <v>37</v>
      </c>
      <c r="K1996" t="s">
        <v>14</v>
      </c>
      <c r="L1996" t="s">
        <v>295</v>
      </c>
      <c r="M1996" t="s">
        <v>296</v>
      </c>
      <c r="N1996">
        <v>2.9000000000000001E-2</v>
      </c>
      <c r="O1996" t="str">
        <f>IF(Transactions_RAW_cleaned[[#This Row],[Status]]="Completed", IFERROR(_xlfn.XLOOKUP(Transactions_RAW_cleaned[[#This Row],[CustomerID]], Customers_cleaned[CustomerID], Customers_cleaned[Segment]), "Customer Not Found"), "N/A")</f>
        <v>N/A</v>
      </c>
      <c r="P1996" s="5" t="str">
        <f>IF(Transactions_RAW_cleaned[[#This Row],[Status]]="Refunded", "Refund",
  IF(Transactions_RAW_cleaned[[#This Row],[Category]]="Payments", IF(Transactions_RAW_cleaned[[#This Row],[Amount]]&gt;500,"High Value","Standard"),
    IF(Transactions_RAW_cleaned[[#This Row],[Amount]]&gt;250,"High Value","Standard")))</f>
        <v>Standard</v>
      </c>
      <c r="Q1996" s="5" t="str">
        <f>IF(Transactions_RAW_cleaned[[#This Row],[Amount]] &gt; (_xlfn.XLOOKUP(Transactions_RAW_cleaned[[#This Row],[ServiceID]],Services_cleaned[ServiceID],Services_cleaned[TransactionFeePct]) * 10000), "Yes", "No")</f>
        <v>No</v>
      </c>
      <c r="R1996" s="5" t="str">
        <f>IF(COUNTIFS($C$2:Transactions_RAW_cleaned[[#This Row],[CustomerID]],Transactions_RAW_cleaned[[#This Row],[CustomerID]],$D$2:Transactions_RAW_cleaned[[#This Row],[ServiceID]],Transactions_RAW_cleaned[[#This Row],[ServiceID]])=1,"Yes","No")</f>
        <v>No</v>
      </c>
      <c r="S199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1996" t="str">
        <f>"Q"&amp;ROUNDUP(MONTH(Transactions_RAW_cleaned[[#This Row],[TransactionDate]])/3,0)</f>
        <v>Q3</v>
      </c>
      <c r="U1996" t="str">
        <f>Transactions_RAW_cleaned[[#This Row],[Region ]]&amp;Transactions_RAW_cleaned[[#This Row],[Quarter ]]</f>
        <v>EMEAQ3</v>
      </c>
      <c r="V1996" s="5">
        <f>_xlfn.XLOOKUP(Transactions_RAW_cleaned[[#This Row],[RegionQuarterKey]], Quarterly_Targets_cleaned[RegionQuarterKey], Quarterly_Targets_cleaned[TargetRevenue])</f>
        <v>147000</v>
      </c>
    </row>
    <row r="1997" spans="1:22" x14ac:dyDescent="0.25">
      <c r="A1997" t="s">
        <v>2332</v>
      </c>
      <c r="B1997" s="1">
        <v>45374</v>
      </c>
      <c r="C1997" t="s">
        <v>141</v>
      </c>
      <c r="D1997" t="s">
        <v>294</v>
      </c>
      <c r="E1997">
        <v>207.9</v>
      </c>
      <c r="F1997" t="s">
        <v>331</v>
      </c>
      <c r="G1997" t="s">
        <v>337</v>
      </c>
      <c r="H1997" t="s">
        <v>334</v>
      </c>
      <c r="I1997" t="s">
        <v>57</v>
      </c>
      <c r="J1997" t="s">
        <v>25</v>
      </c>
      <c r="K1997" t="s">
        <v>10</v>
      </c>
      <c r="L1997" t="s">
        <v>295</v>
      </c>
      <c r="M1997" t="s">
        <v>296</v>
      </c>
      <c r="N1997">
        <v>2.9000000000000001E-2</v>
      </c>
      <c r="O1997" t="str">
        <f>IF(Transactions_RAW_cleaned[[#This Row],[Status]]="Completed", IFERROR(_xlfn.XLOOKUP(Transactions_RAW_cleaned[[#This Row],[CustomerID]], Customers_cleaned[CustomerID], Customers_cleaned[Segment]), "Customer Not Found"), "N/A")</f>
        <v>N/A</v>
      </c>
      <c r="P1997" s="5" t="str">
        <f>IF(Transactions_RAW_cleaned[[#This Row],[Status]]="Refunded", "Refund",
  IF(Transactions_RAW_cleaned[[#This Row],[Category]]="Payments", IF(Transactions_RAW_cleaned[[#This Row],[Amount]]&gt;500,"High Value","Standard"),
    IF(Transactions_RAW_cleaned[[#This Row],[Amount]]&gt;250,"High Value","Standard")))</f>
        <v>Standard</v>
      </c>
      <c r="Q1997" s="5" t="str">
        <f>IF(Transactions_RAW_cleaned[[#This Row],[Amount]] &gt; (_xlfn.XLOOKUP(Transactions_RAW_cleaned[[#This Row],[ServiceID]],Services_cleaned[ServiceID],Services_cleaned[TransactionFeePct]) * 10000), "Yes", "No")</f>
        <v>No</v>
      </c>
      <c r="R1997" s="5" t="str">
        <f>IF(COUNTIFS($C$2:Transactions_RAW_cleaned[[#This Row],[CustomerID]],Transactions_RAW_cleaned[[#This Row],[CustomerID]],$D$2:Transactions_RAW_cleaned[[#This Row],[ServiceID]],Transactions_RAW_cleaned[[#This Row],[ServiceID]])=1,"Yes","No")</f>
        <v>No</v>
      </c>
      <c r="S199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97" t="str">
        <f>"Q"&amp;ROUNDUP(MONTH(Transactions_RAW_cleaned[[#This Row],[TransactionDate]])/3,0)</f>
        <v>Q1</v>
      </c>
      <c r="U1997" t="str">
        <f>Transactions_RAW_cleaned[[#This Row],[Region ]]&amp;Transactions_RAW_cleaned[[#This Row],[Quarter ]]</f>
        <v>APACQ1</v>
      </c>
      <c r="V1997" s="5">
        <f>_xlfn.XLOOKUP(Transactions_RAW_cleaned[[#This Row],[RegionQuarterKey]], Quarterly_Targets_cleaned[RegionQuarterKey], Quarterly_Targets_cleaned[TargetRevenue])</f>
        <v>104500</v>
      </c>
    </row>
    <row r="1998" spans="1:22" x14ac:dyDescent="0.25">
      <c r="A1998" t="s">
        <v>2333</v>
      </c>
      <c r="B1998" s="1">
        <v>45589</v>
      </c>
      <c r="C1998" t="s">
        <v>396</v>
      </c>
      <c r="D1998" t="s">
        <v>309</v>
      </c>
      <c r="E1998">
        <v>879.27</v>
      </c>
      <c r="F1998" t="s">
        <v>324</v>
      </c>
      <c r="G1998" t="s">
        <v>327</v>
      </c>
      <c r="H1998" t="s">
        <v>332</v>
      </c>
      <c r="I1998" t="s">
        <v>57</v>
      </c>
      <c r="J1998" t="s">
        <v>21</v>
      </c>
      <c r="K1998" t="s">
        <v>2964</v>
      </c>
      <c r="L1998" t="s">
        <v>310</v>
      </c>
      <c r="M1998" t="s">
        <v>311</v>
      </c>
      <c r="N1998">
        <v>0</v>
      </c>
      <c r="O1998" t="str">
        <f>IF(Transactions_RAW_cleaned[[#This Row],[Status]]="Completed", IFERROR(_xlfn.XLOOKUP(Transactions_RAW_cleaned[[#This Row],[CustomerID]], Customers_cleaned[CustomerID], Customers_cleaned[Segment]), "Customer Not Found"), "N/A")</f>
        <v>Startup</v>
      </c>
      <c r="P1998" s="5" t="str">
        <f>IF(Transactions_RAW_cleaned[[#This Row],[Status]]="Refunded", "Refund",
  IF(Transactions_RAW_cleaned[[#This Row],[Category]]="Payments", IF(Transactions_RAW_cleaned[[#This Row],[Amount]]&gt;500,"High Value","Standard"),
    IF(Transactions_RAW_cleaned[[#This Row],[Amount]]&gt;250,"High Value","Standard")))</f>
        <v>High Value</v>
      </c>
      <c r="Q1998" s="5" t="str">
        <f>IF(Transactions_RAW_cleaned[[#This Row],[Amount]] &gt; (_xlfn.XLOOKUP(Transactions_RAW_cleaned[[#This Row],[ServiceID]],Services_cleaned[ServiceID],Services_cleaned[TransactionFeePct]) * 10000), "Yes", "No")</f>
        <v>Yes</v>
      </c>
      <c r="R1998" s="5" t="str">
        <f>IF(COUNTIFS($C$2:Transactions_RAW_cleaned[[#This Row],[CustomerID]],Transactions_RAW_cleaned[[#This Row],[CustomerID]],$D$2:Transactions_RAW_cleaned[[#This Row],[ServiceID]],Transactions_RAW_cleaned[[#This Row],[ServiceID]])=1,"Yes","No")</f>
        <v>No</v>
      </c>
      <c r="S199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98" t="str">
        <f>"Q"&amp;ROUNDUP(MONTH(Transactions_RAW_cleaned[[#This Row],[TransactionDate]])/3,0)</f>
        <v>Q4</v>
      </c>
      <c r="U1998" t="str">
        <f>Transactions_RAW_cleaned[[#This Row],[Region ]]&amp;Transactions_RAW_cleaned[[#This Row],[Quarter ]]</f>
        <v>APACQ4</v>
      </c>
      <c r="V1998" s="5">
        <f>_xlfn.XLOOKUP(Transactions_RAW_cleaned[[#This Row],[RegionQuarterKey]], Quarterly_Targets_cleaned[RegionQuarterKey], Quarterly_Targets_cleaned[TargetRevenue])</f>
        <v>126500</v>
      </c>
    </row>
    <row r="1999" spans="1:22" x14ac:dyDescent="0.25">
      <c r="A1999" t="s">
        <v>2334</v>
      </c>
      <c r="B1999" s="1">
        <v>45474</v>
      </c>
      <c r="C1999" t="s">
        <v>237</v>
      </c>
      <c r="D1999" t="s">
        <v>297</v>
      </c>
      <c r="E1999">
        <v>469.35</v>
      </c>
      <c r="F1999" t="s">
        <v>324</v>
      </c>
      <c r="G1999" t="s">
        <v>325</v>
      </c>
      <c r="I1999" t="s">
        <v>8</v>
      </c>
      <c r="J1999" t="s">
        <v>46</v>
      </c>
      <c r="K1999" t="s">
        <v>10</v>
      </c>
      <c r="L1999" t="s">
        <v>298</v>
      </c>
      <c r="M1999" t="s">
        <v>299</v>
      </c>
      <c r="N1999">
        <v>0</v>
      </c>
      <c r="O1999" t="str">
        <f>IF(Transactions_RAW_cleaned[[#This Row],[Status]]="Completed", IFERROR(_xlfn.XLOOKUP(Transactions_RAW_cleaned[[#This Row],[CustomerID]], Customers_cleaned[CustomerID], Customers_cleaned[Segment]), "Customer Not Found"), "N/A")</f>
        <v>SMB</v>
      </c>
      <c r="P1999" s="5" t="str">
        <f>IF(Transactions_RAW_cleaned[[#This Row],[Status]]="Refunded", "Refund",
  IF(Transactions_RAW_cleaned[[#This Row],[Category]]="Payments", IF(Transactions_RAW_cleaned[[#This Row],[Amount]]&gt;500,"High Value","Standard"),
    IF(Transactions_RAW_cleaned[[#This Row],[Amount]]&gt;250,"High Value","Standard")))</f>
        <v>High Value</v>
      </c>
      <c r="Q1999" s="5" t="str">
        <f>IF(Transactions_RAW_cleaned[[#This Row],[Amount]] &gt; (_xlfn.XLOOKUP(Transactions_RAW_cleaned[[#This Row],[ServiceID]],Services_cleaned[ServiceID],Services_cleaned[TransactionFeePct]) * 10000), "Yes", "No")</f>
        <v>Yes</v>
      </c>
      <c r="R1999" s="5" t="str">
        <f>IF(COUNTIFS($C$2:Transactions_RAW_cleaned[[#This Row],[CustomerID]],Transactions_RAW_cleaned[[#This Row],[CustomerID]],$D$2:Transactions_RAW_cleaned[[#This Row],[ServiceID]],Transactions_RAW_cleaned[[#This Row],[ServiceID]])=1,"Yes","No")</f>
        <v>No</v>
      </c>
      <c r="S199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1999" t="str">
        <f>"Q"&amp;ROUNDUP(MONTH(Transactions_RAW_cleaned[[#This Row],[TransactionDate]])/3,0)</f>
        <v>Q3</v>
      </c>
      <c r="U1999" t="str">
        <f>Transactions_RAW_cleaned[[#This Row],[Region ]]&amp;Transactions_RAW_cleaned[[#This Row],[Quarter ]]</f>
        <v>APACQ3</v>
      </c>
      <c r="V1999" s="5">
        <f>_xlfn.XLOOKUP(Transactions_RAW_cleaned[[#This Row],[RegionQuarterKey]], Quarterly_Targets_cleaned[RegionQuarterKey], Quarterly_Targets_cleaned[TargetRevenue])</f>
        <v>115500</v>
      </c>
    </row>
    <row r="2000" spans="1:22" x14ac:dyDescent="0.25">
      <c r="A2000" t="s">
        <v>2335</v>
      </c>
      <c r="B2000" s="1">
        <v>45339</v>
      </c>
      <c r="C2000" t="s">
        <v>58</v>
      </c>
      <c r="D2000" t="s">
        <v>303</v>
      </c>
      <c r="E2000">
        <v>1305.47</v>
      </c>
      <c r="F2000" t="s">
        <v>324</v>
      </c>
      <c r="G2000" t="s">
        <v>329</v>
      </c>
      <c r="I2000" t="s">
        <v>17</v>
      </c>
      <c r="J2000" t="s">
        <v>102</v>
      </c>
      <c r="K2000" t="s">
        <v>22</v>
      </c>
      <c r="L2000" t="s">
        <v>304</v>
      </c>
      <c r="M2000" t="s">
        <v>305</v>
      </c>
      <c r="N2000">
        <v>1E-3</v>
      </c>
      <c r="O2000" t="str">
        <f>IF(Transactions_RAW_cleaned[[#This Row],[Status]]="Completed", IFERROR(_xlfn.XLOOKUP(Transactions_RAW_cleaned[[#This Row],[CustomerID]], Customers_cleaned[CustomerID], Customers_cleaned[Segment]), "Customer Not Found"), "N/A")</f>
        <v>Enterprise</v>
      </c>
      <c r="P2000" s="5" t="str">
        <f>IF(Transactions_RAW_cleaned[[#This Row],[Status]]="Refunded", "Refund",
  IF(Transactions_RAW_cleaned[[#This Row],[Category]]="Payments", IF(Transactions_RAW_cleaned[[#This Row],[Amount]]&gt;500,"High Value","Standard"),
    IF(Transactions_RAW_cleaned[[#This Row],[Amount]]&gt;250,"High Value","Standard")))</f>
        <v>High Value</v>
      </c>
      <c r="Q2000" s="5" t="str">
        <f>IF(Transactions_RAW_cleaned[[#This Row],[Amount]] &gt; (_xlfn.XLOOKUP(Transactions_RAW_cleaned[[#This Row],[ServiceID]],Services_cleaned[ServiceID],Services_cleaned[TransactionFeePct]) * 10000), "Yes", "No")</f>
        <v>Yes</v>
      </c>
      <c r="R2000" s="5" t="str">
        <f>IF(COUNTIFS($C$2:Transactions_RAW_cleaned[[#This Row],[CustomerID]],Transactions_RAW_cleaned[[#This Row],[CustomerID]],$D$2:Transactions_RAW_cleaned[[#This Row],[ServiceID]],Transactions_RAW_cleaned[[#This Row],[ServiceID]])=1,"Yes","No")</f>
        <v>No</v>
      </c>
      <c r="S200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00" t="str">
        <f>"Q"&amp;ROUNDUP(MONTH(Transactions_RAW_cleaned[[#This Row],[TransactionDate]])/3,0)</f>
        <v>Q1</v>
      </c>
      <c r="U2000" t="str">
        <f>Transactions_RAW_cleaned[[#This Row],[Region ]]&amp;Transactions_RAW_cleaned[[#This Row],[Quarter ]]</f>
        <v>NAQ1</v>
      </c>
      <c r="V2000" s="5">
        <f>_xlfn.XLOOKUP(Transactions_RAW_cleaned[[#This Row],[RegionQuarterKey]], Quarterly_Targets_cleaned[RegionQuarterKey], Quarterly_Targets_cleaned[TargetRevenue])</f>
        <v>247000</v>
      </c>
    </row>
    <row r="2001" spans="1:22" x14ac:dyDescent="0.25">
      <c r="A2001" t="s">
        <v>2336</v>
      </c>
      <c r="B2001" s="1">
        <v>45301</v>
      </c>
      <c r="C2001" t="s">
        <v>263</v>
      </c>
      <c r="D2001" t="s">
        <v>312</v>
      </c>
      <c r="E2001">
        <v>603.88</v>
      </c>
      <c r="F2001" t="s">
        <v>324</v>
      </c>
      <c r="G2001" t="s">
        <v>325</v>
      </c>
      <c r="H2001" t="s">
        <v>334</v>
      </c>
      <c r="I2001" t="s">
        <v>8</v>
      </c>
      <c r="J2001" t="s">
        <v>102</v>
      </c>
      <c r="K2001" t="s">
        <v>32</v>
      </c>
      <c r="L2001" t="s">
        <v>313</v>
      </c>
      <c r="M2001" t="s">
        <v>314</v>
      </c>
      <c r="N2001">
        <v>0</v>
      </c>
      <c r="O2001" t="str">
        <f>IF(Transactions_RAW_cleaned[[#This Row],[Status]]="Completed", IFERROR(_xlfn.XLOOKUP(Transactions_RAW_cleaned[[#This Row],[CustomerID]], Customers_cleaned[CustomerID], Customers_cleaned[Segment]), "Customer Not Found"), "N/A")</f>
        <v>SMB</v>
      </c>
      <c r="P2001" s="5" t="str">
        <f>IF(Transactions_RAW_cleaned[[#This Row],[Status]]="Refunded", "Refund",
  IF(Transactions_RAW_cleaned[[#This Row],[Category]]="Payments", IF(Transactions_RAW_cleaned[[#This Row],[Amount]]&gt;500,"High Value","Standard"),
    IF(Transactions_RAW_cleaned[[#This Row],[Amount]]&gt;250,"High Value","Standard")))</f>
        <v>High Value</v>
      </c>
      <c r="Q2001" s="5" t="str">
        <f>IF(Transactions_RAW_cleaned[[#This Row],[Amount]] &gt; (_xlfn.XLOOKUP(Transactions_RAW_cleaned[[#This Row],[ServiceID]],Services_cleaned[ServiceID],Services_cleaned[TransactionFeePct]) * 10000), "Yes", "No")</f>
        <v>Yes</v>
      </c>
      <c r="R2001" s="5" t="str">
        <f>IF(COUNTIFS($C$2:Transactions_RAW_cleaned[[#This Row],[CustomerID]],Transactions_RAW_cleaned[[#This Row],[CustomerID]],$D$2:Transactions_RAW_cleaned[[#This Row],[ServiceID]],Transactions_RAW_cleaned[[#This Row],[ServiceID]])=1,"Yes","No")</f>
        <v>Yes</v>
      </c>
      <c r="S200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01" t="str">
        <f>"Q"&amp;ROUNDUP(MONTH(Transactions_RAW_cleaned[[#This Row],[TransactionDate]])/3,0)</f>
        <v>Q1</v>
      </c>
      <c r="U2001" t="str">
        <f>Transactions_RAW_cleaned[[#This Row],[Region ]]&amp;Transactions_RAW_cleaned[[#This Row],[Quarter ]]</f>
        <v>NAQ1</v>
      </c>
      <c r="V2001" s="5">
        <f>_xlfn.XLOOKUP(Transactions_RAW_cleaned[[#This Row],[RegionQuarterKey]], Quarterly_Targets_cleaned[RegionQuarterKey], Quarterly_Targets_cleaned[TargetRevenue])</f>
        <v>247000</v>
      </c>
    </row>
    <row r="2002" spans="1:22" x14ac:dyDescent="0.25">
      <c r="A2002" t="s">
        <v>2337</v>
      </c>
      <c r="B2002" s="1">
        <v>45381</v>
      </c>
      <c r="C2002" t="s">
        <v>121</v>
      </c>
      <c r="D2002" t="s">
        <v>294</v>
      </c>
      <c r="E2002">
        <v>535.08000000000004</v>
      </c>
      <c r="F2002" t="s">
        <v>324</v>
      </c>
      <c r="G2002" t="s">
        <v>325</v>
      </c>
      <c r="H2002" t="s">
        <v>332</v>
      </c>
      <c r="I2002" t="s">
        <v>8</v>
      </c>
      <c r="J2002" t="s">
        <v>37</v>
      </c>
      <c r="K2002" t="s">
        <v>14</v>
      </c>
      <c r="L2002" t="s">
        <v>295</v>
      </c>
      <c r="M2002" t="s">
        <v>296</v>
      </c>
      <c r="N2002">
        <v>2.9000000000000001E-2</v>
      </c>
      <c r="O2002" t="str">
        <f>IF(Transactions_RAW_cleaned[[#This Row],[Status]]="Completed", IFERROR(_xlfn.XLOOKUP(Transactions_RAW_cleaned[[#This Row],[CustomerID]], Customers_cleaned[CustomerID], Customers_cleaned[Segment]), "Customer Not Found"), "N/A")</f>
        <v>SMB</v>
      </c>
      <c r="P2002" s="5" t="str">
        <f>IF(Transactions_RAW_cleaned[[#This Row],[Status]]="Refunded", "Refund",
  IF(Transactions_RAW_cleaned[[#This Row],[Category]]="Payments", IF(Transactions_RAW_cleaned[[#This Row],[Amount]]&gt;500,"High Value","Standard"),
    IF(Transactions_RAW_cleaned[[#This Row],[Amount]]&gt;250,"High Value","Standard")))</f>
        <v>High Value</v>
      </c>
      <c r="Q2002" s="5" t="str">
        <f>IF(Transactions_RAW_cleaned[[#This Row],[Amount]] &gt; (_xlfn.XLOOKUP(Transactions_RAW_cleaned[[#This Row],[ServiceID]],Services_cleaned[ServiceID],Services_cleaned[TransactionFeePct]) * 10000), "Yes", "No")</f>
        <v>Yes</v>
      </c>
      <c r="R2002" s="5" t="str">
        <f>IF(COUNTIFS($C$2:Transactions_RAW_cleaned[[#This Row],[CustomerID]],Transactions_RAW_cleaned[[#This Row],[CustomerID]],$D$2:Transactions_RAW_cleaned[[#This Row],[ServiceID]],Transactions_RAW_cleaned[[#This Row],[ServiceID]])=1,"Yes","No")</f>
        <v>No</v>
      </c>
      <c r="S200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002" t="str">
        <f>"Q"&amp;ROUNDUP(MONTH(Transactions_RAW_cleaned[[#This Row],[TransactionDate]])/3,0)</f>
        <v>Q1</v>
      </c>
      <c r="U2002" t="str">
        <f>Transactions_RAW_cleaned[[#This Row],[Region ]]&amp;Transactions_RAW_cleaned[[#This Row],[Quarter ]]</f>
        <v>EMEAQ1</v>
      </c>
      <c r="V2002" s="5">
        <f>_xlfn.XLOOKUP(Transactions_RAW_cleaned[[#This Row],[RegionQuarterKey]], Quarterly_Targets_cleaned[RegionQuarterKey], Quarterly_Targets_cleaned[TargetRevenue])</f>
        <v>133000</v>
      </c>
    </row>
    <row r="2003" spans="1:22" x14ac:dyDescent="0.25">
      <c r="A2003" t="s">
        <v>2338</v>
      </c>
      <c r="B2003" s="1">
        <v>45562</v>
      </c>
      <c r="C2003" t="s">
        <v>173</v>
      </c>
      <c r="D2003" t="s">
        <v>300</v>
      </c>
      <c r="E2003">
        <v>367.29</v>
      </c>
      <c r="F2003" t="s">
        <v>324</v>
      </c>
      <c r="G2003" t="s">
        <v>325</v>
      </c>
      <c r="H2003" t="s">
        <v>346</v>
      </c>
      <c r="I2003" t="s">
        <v>8</v>
      </c>
      <c r="J2003" t="s">
        <v>46</v>
      </c>
      <c r="K2003" t="s">
        <v>32</v>
      </c>
      <c r="L2003" t="s">
        <v>301</v>
      </c>
      <c r="M2003" t="s">
        <v>302</v>
      </c>
      <c r="N2003">
        <v>5.0000000000000001E-3</v>
      </c>
      <c r="O2003" t="str">
        <f>IF(Transactions_RAW_cleaned[[#This Row],[Status]]="Completed", IFERROR(_xlfn.XLOOKUP(Transactions_RAW_cleaned[[#This Row],[CustomerID]], Customers_cleaned[CustomerID], Customers_cleaned[Segment]), "Customer Not Found"), "N/A")</f>
        <v>SMB</v>
      </c>
      <c r="P2003" s="5" t="str">
        <f>IF(Transactions_RAW_cleaned[[#This Row],[Status]]="Refunded", "Refund",
  IF(Transactions_RAW_cleaned[[#This Row],[Category]]="Payments", IF(Transactions_RAW_cleaned[[#This Row],[Amount]]&gt;500,"High Value","Standard"),
    IF(Transactions_RAW_cleaned[[#This Row],[Amount]]&gt;250,"High Value","Standard")))</f>
        <v>High Value</v>
      </c>
      <c r="Q2003" s="5" t="str">
        <f>IF(Transactions_RAW_cleaned[[#This Row],[Amount]] &gt; (_xlfn.XLOOKUP(Transactions_RAW_cleaned[[#This Row],[ServiceID]],Services_cleaned[ServiceID],Services_cleaned[TransactionFeePct]) * 10000), "Yes", "No")</f>
        <v>Yes</v>
      </c>
      <c r="R2003" s="5" t="str">
        <f>IF(COUNTIFS($C$2:Transactions_RAW_cleaned[[#This Row],[CustomerID]],Transactions_RAW_cleaned[[#This Row],[CustomerID]],$D$2:Transactions_RAW_cleaned[[#This Row],[ServiceID]],Transactions_RAW_cleaned[[#This Row],[ServiceID]])=1,"Yes","No")</f>
        <v>No</v>
      </c>
      <c r="S200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03" t="str">
        <f>"Q"&amp;ROUNDUP(MONTH(Transactions_RAW_cleaned[[#This Row],[TransactionDate]])/3,0)</f>
        <v>Q3</v>
      </c>
      <c r="U2003" t="str">
        <f>Transactions_RAW_cleaned[[#This Row],[Region ]]&amp;Transactions_RAW_cleaned[[#This Row],[Quarter ]]</f>
        <v>APACQ3</v>
      </c>
      <c r="V2003" s="5">
        <f>_xlfn.XLOOKUP(Transactions_RAW_cleaned[[#This Row],[RegionQuarterKey]], Quarterly_Targets_cleaned[RegionQuarterKey], Quarterly_Targets_cleaned[TargetRevenue])</f>
        <v>115500</v>
      </c>
    </row>
    <row r="2004" spans="1:22" x14ac:dyDescent="0.25">
      <c r="A2004" t="s">
        <v>2339</v>
      </c>
      <c r="B2004" s="1">
        <v>45351</v>
      </c>
      <c r="C2004" t="s">
        <v>115</v>
      </c>
      <c r="D2004" t="s">
        <v>297</v>
      </c>
      <c r="E2004">
        <v>413.42</v>
      </c>
      <c r="F2004" t="s">
        <v>324</v>
      </c>
      <c r="G2004" t="s">
        <v>327</v>
      </c>
      <c r="H2004" t="s">
        <v>334</v>
      </c>
      <c r="I2004" t="s">
        <v>17</v>
      </c>
      <c r="J2004" t="s">
        <v>102</v>
      </c>
      <c r="K2004" t="s">
        <v>32</v>
      </c>
      <c r="L2004" t="s">
        <v>298</v>
      </c>
      <c r="M2004" t="s">
        <v>299</v>
      </c>
      <c r="N2004">
        <v>0</v>
      </c>
      <c r="O2004" t="str">
        <f>IF(Transactions_RAW_cleaned[[#This Row],[Status]]="Completed", IFERROR(_xlfn.XLOOKUP(Transactions_RAW_cleaned[[#This Row],[CustomerID]], Customers_cleaned[CustomerID], Customers_cleaned[Segment]), "Customer Not Found"), "N/A")</f>
        <v>Enterprise</v>
      </c>
      <c r="P2004" s="5" t="str">
        <f>IF(Transactions_RAW_cleaned[[#This Row],[Status]]="Refunded", "Refund",
  IF(Transactions_RAW_cleaned[[#This Row],[Category]]="Payments", IF(Transactions_RAW_cleaned[[#This Row],[Amount]]&gt;500,"High Value","Standard"),
    IF(Transactions_RAW_cleaned[[#This Row],[Amount]]&gt;250,"High Value","Standard")))</f>
        <v>High Value</v>
      </c>
      <c r="Q2004" s="5" t="str">
        <f>IF(Transactions_RAW_cleaned[[#This Row],[Amount]] &gt; (_xlfn.XLOOKUP(Transactions_RAW_cleaned[[#This Row],[ServiceID]],Services_cleaned[ServiceID],Services_cleaned[TransactionFeePct]) * 10000), "Yes", "No")</f>
        <v>Yes</v>
      </c>
      <c r="R2004" s="5" t="str">
        <f>IF(COUNTIFS($C$2:Transactions_RAW_cleaned[[#This Row],[CustomerID]],Transactions_RAW_cleaned[[#This Row],[CustomerID]],$D$2:Transactions_RAW_cleaned[[#This Row],[ServiceID]],Transactions_RAW_cleaned[[#This Row],[ServiceID]])=1,"Yes","No")</f>
        <v>No</v>
      </c>
      <c r="S200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04" t="str">
        <f>"Q"&amp;ROUNDUP(MONTH(Transactions_RAW_cleaned[[#This Row],[TransactionDate]])/3,0)</f>
        <v>Q1</v>
      </c>
      <c r="U2004" t="str">
        <f>Transactions_RAW_cleaned[[#This Row],[Region ]]&amp;Transactions_RAW_cleaned[[#This Row],[Quarter ]]</f>
        <v>NAQ1</v>
      </c>
      <c r="V2004" s="5">
        <f>_xlfn.XLOOKUP(Transactions_RAW_cleaned[[#This Row],[RegionQuarterKey]], Quarterly_Targets_cleaned[RegionQuarterKey], Quarterly_Targets_cleaned[TargetRevenue])</f>
        <v>247000</v>
      </c>
    </row>
    <row r="2005" spans="1:22" x14ac:dyDescent="0.25">
      <c r="A2005" t="s">
        <v>2340</v>
      </c>
      <c r="B2005" s="1">
        <v>45517</v>
      </c>
      <c r="C2005" t="s">
        <v>641</v>
      </c>
      <c r="D2005" t="s">
        <v>294</v>
      </c>
      <c r="E2005">
        <v>1515.72</v>
      </c>
      <c r="F2005" t="s">
        <v>324</v>
      </c>
      <c r="G2005" t="s">
        <v>337</v>
      </c>
      <c r="H2005" t="s">
        <v>346</v>
      </c>
      <c r="I2005" t="s">
        <v>8</v>
      </c>
      <c r="J2005" t="s">
        <v>13</v>
      </c>
      <c r="K2005" t="s">
        <v>22</v>
      </c>
      <c r="L2005" t="s">
        <v>295</v>
      </c>
      <c r="M2005" t="s">
        <v>296</v>
      </c>
      <c r="N2005">
        <v>2.9000000000000001E-2</v>
      </c>
      <c r="O2005" t="str">
        <f>IF(Transactions_RAW_cleaned[[#This Row],[Status]]="Completed", IFERROR(_xlfn.XLOOKUP(Transactions_RAW_cleaned[[#This Row],[CustomerID]], Customers_cleaned[CustomerID], Customers_cleaned[Segment]), "Customer Not Found"), "N/A")</f>
        <v>SMB</v>
      </c>
      <c r="P2005" s="5" t="str">
        <f>IF(Transactions_RAW_cleaned[[#This Row],[Status]]="Refunded", "Refund",
  IF(Transactions_RAW_cleaned[[#This Row],[Category]]="Payments", IF(Transactions_RAW_cleaned[[#This Row],[Amount]]&gt;500,"High Value","Standard"),
    IF(Transactions_RAW_cleaned[[#This Row],[Amount]]&gt;250,"High Value","Standard")))</f>
        <v>High Value</v>
      </c>
      <c r="Q2005" s="5" t="str">
        <f>IF(Transactions_RAW_cleaned[[#This Row],[Amount]] &gt; (_xlfn.XLOOKUP(Transactions_RAW_cleaned[[#This Row],[ServiceID]],Services_cleaned[ServiceID],Services_cleaned[TransactionFeePct]) * 10000), "Yes", "No")</f>
        <v>Yes</v>
      </c>
      <c r="R2005" s="5" t="str">
        <f>IF(COUNTIFS($C$2:Transactions_RAW_cleaned[[#This Row],[CustomerID]],Transactions_RAW_cleaned[[#This Row],[CustomerID]],$D$2:Transactions_RAW_cleaned[[#This Row],[ServiceID]],Transactions_RAW_cleaned[[#This Row],[ServiceID]])=1,"Yes","No")</f>
        <v>No</v>
      </c>
      <c r="S200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05" t="str">
        <f>"Q"&amp;ROUNDUP(MONTH(Transactions_RAW_cleaned[[#This Row],[TransactionDate]])/3,0)</f>
        <v>Q3</v>
      </c>
      <c r="U2005" t="str">
        <f>Transactions_RAW_cleaned[[#This Row],[Region ]]&amp;Transactions_RAW_cleaned[[#This Row],[Quarter ]]</f>
        <v>NAQ3</v>
      </c>
      <c r="V2005" s="5">
        <f>_xlfn.XLOOKUP(Transactions_RAW_cleaned[[#This Row],[RegionQuarterKey]], Quarterly_Targets_cleaned[RegionQuarterKey], Quarterly_Targets_cleaned[TargetRevenue])</f>
        <v>273000</v>
      </c>
    </row>
    <row r="2006" spans="1:22" x14ac:dyDescent="0.25">
      <c r="A2006" t="s">
        <v>2341</v>
      </c>
      <c r="B2006" s="1">
        <v>45608</v>
      </c>
      <c r="C2006" t="s">
        <v>107</v>
      </c>
      <c r="D2006" t="s">
        <v>294</v>
      </c>
      <c r="E2006">
        <v>213.47</v>
      </c>
      <c r="F2006" t="s">
        <v>324</v>
      </c>
      <c r="G2006" t="s">
        <v>325</v>
      </c>
      <c r="I2006" t="s">
        <v>17</v>
      </c>
      <c r="J2006" t="s">
        <v>102</v>
      </c>
      <c r="K2006" t="s">
        <v>22</v>
      </c>
      <c r="L2006" t="s">
        <v>295</v>
      </c>
      <c r="M2006" t="s">
        <v>296</v>
      </c>
      <c r="N2006">
        <v>2.9000000000000001E-2</v>
      </c>
      <c r="O2006" t="str">
        <f>IF(Transactions_RAW_cleaned[[#This Row],[Status]]="Completed", IFERROR(_xlfn.XLOOKUP(Transactions_RAW_cleaned[[#This Row],[CustomerID]], Customers_cleaned[CustomerID], Customers_cleaned[Segment]), "Customer Not Found"), "N/A")</f>
        <v>Enterprise</v>
      </c>
      <c r="P2006" s="5" t="str">
        <f>IF(Transactions_RAW_cleaned[[#This Row],[Status]]="Refunded", "Refund",
  IF(Transactions_RAW_cleaned[[#This Row],[Category]]="Payments", IF(Transactions_RAW_cleaned[[#This Row],[Amount]]&gt;500,"High Value","Standard"),
    IF(Transactions_RAW_cleaned[[#This Row],[Amount]]&gt;250,"High Value","Standard")))</f>
        <v>Standard</v>
      </c>
      <c r="Q2006" s="5" t="str">
        <f>IF(Transactions_RAW_cleaned[[#This Row],[Amount]] &gt; (_xlfn.XLOOKUP(Transactions_RAW_cleaned[[#This Row],[ServiceID]],Services_cleaned[ServiceID],Services_cleaned[TransactionFeePct]) * 10000), "Yes", "No")</f>
        <v>No</v>
      </c>
      <c r="R2006" s="5" t="str">
        <f>IF(COUNTIFS($C$2:Transactions_RAW_cleaned[[#This Row],[CustomerID]],Transactions_RAW_cleaned[[#This Row],[CustomerID]],$D$2:Transactions_RAW_cleaned[[#This Row],[ServiceID]],Transactions_RAW_cleaned[[#This Row],[ServiceID]])=1,"Yes","No")</f>
        <v>No</v>
      </c>
      <c r="S200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06" t="str">
        <f>"Q"&amp;ROUNDUP(MONTH(Transactions_RAW_cleaned[[#This Row],[TransactionDate]])/3,0)</f>
        <v>Q4</v>
      </c>
      <c r="U2006" t="str">
        <f>Transactions_RAW_cleaned[[#This Row],[Region ]]&amp;Transactions_RAW_cleaned[[#This Row],[Quarter ]]</f>
        <v>NAQ4</v>
      </c>
      <c r="V2006" s="5">
        <f>_xlfn.XLOOKUP(Transactions_RAW_cleaned[[#This Row],[RegionQuarterKey]], Quarterly_Targets_cleaned[RegionQuarterKey], Quarterly_Targets_cleaned[TargetRevenue])</f>
        <v>299000</v>
      </c>
    </row>
    <row r="2007" spans="1:22" x14ac:dyDescent="0.25">
      <c r="A2007" t="s">
        <v>2342</v>
      </c>
      <c r="B2007" s="1">
        <v>45568</v>
      </c>
      <c r="C2007" t="s">
        <v>173</v>
      </c>
      <c r="D2007" t="s">
        <v>300</v>
      </c>
      <c r="E2007">
        <v>183.31</v>
      </c>
      <c r="F2007" t="s">
        <v>324</v>
      </c>
      <c r="G2007" t="s">
        <v>325</v>
      </c>
      <c r="H2007" t="s">
        <v>332</v>
      </c>
      <c r="I2007" t="s">
        <v>8</v>
      </c>
      <c r="J2007" t="s">
        <v>46</v>
      </c>
      <c r="K2007" t="s">
        <v>32</v>
      </c>
      <c r="L2007" t="s">
        <v>301</v>
      </c>
      <c r="M2007" t="s">
        <v>302</v>
      </c>
      <c r="N2007">
        <v>5.0000000000000001E-3</v>
      </c>
      <c r="O2007" t="str">
        <f>IF(Transactions_RAW_cleaned[[#This Row],[Status]]="Completed", IFERROR(_xlfn.XLOOKUP(Transactions_RAW_cleaned[[#This Row],[CustomerID]], Customers_cleaned[CustomerID], Customers_cleaned[Segment]), "Customer Not Found"), "N/A")</f>
        <v>SMB</v>
      </c>
      <c r="P2007" s="5" t="str">
        <f>IF(Transactions_RAW_cleaned[[#This Row],[Status]]="Refunded", "Refund",
  IF(Transactions_RAW_cleaned[[#This Row],[Category]]="Payments", IF(Transactions_RAW_cleaned[[#This Row],[Amount]]&gt;500,"High Value","Standard"),
    IF(Transactions_RAW_cleaned[[#This Row],[Amount]]&gt;250,"High Value","Standard")))</f>
        <v>Standard</v>
      </c>
      <c r="Q2007" s="5" t="str">
        <f>IF(Transactions_RAW_cleaned[[#This Row],[Amount]] &gt; (_xlfn.XLOOKUP(Transactions_RAW_cleaned[[#This Row],[ServiceID]],Services_cleaned[ServiceID],Services_cleaned[TransactionFeePct]) * 10000), "Yes", "No")</f>
        <v>Yes</v>
      </c>
      <c r="R2007" s="5" t="str">
        <f>IF(COUNTIFS($C$2:Transactions_RAW_cleaned[[#This Row],[CustomerID]],Transactions_RAW_cleaned[[#This Row],[CustomerID]],$D$2:Transactions_RAW_cleaned[[#This Row],[ServiceID]],Transactions_RAW_cleaned[[#This Row],[ServiceID]])=1,"Yes","No")</f>
        <v>No</v>
      </c>
      <c r="S200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07" t="str">
        <f>"Q"&amp;ROUNDUP(MONTH(Transactions_RAW_cleaned[[#This Row],[TransactionDate]])/3,0)</f>
        <v>Q4</v>
      </c>
      <c r="U2007" t="str">
        <f>Transactions_RAW_cleaned[[#This Row],[Region ]]&amp;Transactions_RAW_cleaned[[#This Row],[Quarter ]]</f>
        <v>APACQ4</v>
      </c>
      <c r="V2007" s="5">
        <f>_xlfn.XLOOKUP(Transactions_RAW_cleaned[[#This Row],[RegionQuarterKey]], Quarterly_Targets_cleaned[RegionQuarterKey], Quarterly_Targets_cleaned[TargetRevenue])</f>
        <v>126500</v>
      </c>
    </row>
    <row r="2008" spans="1:22" x14ac:dyDescent="0.25">
      <c r="A2008" t="s">
        <v>2343</v>
      </c>
      <c r="B2008" s="1">
        <v>45367</v>
      </c>
      <c r="C2008" t="s">
        <v>257</v>
      </c>
      <c r="D2008" t="s">
        <v>309</v>
      </c>
      <c r="E2008">
        <v>299.83999999999997</v>
      </c>
      <c r="F2008" t="s">
        <v>324</v>
      </c>
      <c r="G2008" t="s">
        <v>325</v>
      </c>
      <c r="H2008" t="s">
        <v>346</v>
      </c>
      <c r="I2008" t="s">
        <v>57</v>
      </c>
      <c r="J2008" t="s">
        <v>13</v>
      </c>
      <c r="K2008" t="s">
        <v>22</v>
      </c>
      <c r="L2008" t="s">
        <v>310</v>
      </c>
      <c r="M2008" t="s">
        <v>311</v>
      </c>
      <c r="N2008">
        <v>0</v>
      </c>
      <c r="O2008" t="str">
        <f>IF(Transactions_RAW_cleaned[[#This Row],[Status]]="Completed", IFERROR(_xlfn.XLOOKUP(Transactions_RAW_cleaned[[#This Row],[CustomerID]], Customers_cleaned[CustomerID], Customers_cleaned[Segment]), "Customer Not Found"), "N/A")</f>
        <v>Startup</v>
      </c>
      <c r="P2008" s="5" t="str">
        <f>IF(Transactions_RAW_cleaned[[#This Row],[Status]]="Refunded", "Refund",
  IF(Transactions_RAW_cleaned[[#This Row],[Category]]="Payments", IF(Transactions_RAW_cleaned[[#This Row],[Amount]]&gt;500,"High Value","Standard"),
    IF(Transactions_RAW_cleaned[[#This Row],[Amount]]&gt;250,"High Value","Standard")))</f>
        <v>High Value</v>
      </c>
      <c r="Q2008" s="5" t="str">
        <f>IF(Transactions_RAW_cleaned[[#This Row],[Amount]] &gt; (_xlfn.XLOOKUP(Transactions_RAW_cleaned[[#This Row],[ServiceID]],Services_cleaned[ServiceID],Services_cleaned[TransactionFeePct]) * 10000), "Yes", "No")</f>
        <v>Yes</v>
      </c>
      <c r="R2008" s="5" t="str">
        <f>IF(COUNTIFS($C$2:Transactions_RAW_cleaned[[#This Row],[CustomerID]],Transactions_RAW_cleaned[[#This Row],[CustomerID]],$D$2:Transactions_RAW_cleaned[[#This Row],[ServiceID]],Transactions_RAW_cleaned[[#This Row],[ServiceID]])=1,"Yes","No")</f>
        <v>Yes</v>
      </c>
      <c r="S200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08" t="str">
        <f>"Q"&amp;ROUNDUP(MONTH(Transactions_RAW_cleaned[[#This Row],[TransactionDate]])/3,0)</f>
        <v>Q1</v>
      </c>
      <c r="U2008" t="str">
        <f>Transactions_RAW_cleaned[[#This Row],[Region ]]&amp;Transactions_RAW_cleaned[[#This Row],[Quarter ]]</f>
        <v>NAQ1</v>
      </c>
      <c r="V2008" s="5">
        <f>_xlfn.XLOOKUP(Transactions_RAW_cleaned[[#This Row],[RegionQuarterKey]], Quarterly_Targets_cleaned[RegionQuarterKey], Quarterly_Targets_cleaned[TargetRevenue])</f>
        <v>247000</v>
      </c>
    </row>
    <row r="2009" spans="1:22" x14ac:dyDescent="0.25">
      <c r="A2009" t="s">
        <v>2344</v>
      </c>
      <c r="B2009" s="1">
        <v>45432</v>
      </c>
      <c r="C2009" t="s">
        <v>396</v>
      </c>
      <c r="D2009" t="s">
        <v>294</v>
      </c>
      <c r="E2009">
        <v>1128.21</v>
      </c>
      <c r="F2009" t="s">
        <v>324</v>
      </c>
      <c r="G2009" t="s">
        <v>325</v>
      </c>
      <c r="H2009" t="s">
        <v>334</v>
      </c>
      <c r="I2009" t="s">
        <v>57</v>
      </c>
      <c r="J2009" t="s">
        <v>21</v>
      </c>
      <c r="K2009" t="s">
        <v>2964</v>
      </c>
      <c r="L2009" t="s">
        <v>295</v>
      </c>
      <c r="M2009" t="s">
        <v>296</v>
      </c>
      <c r="N2009">
        <v>2.9000000000000001E-2</v>
      </c>
      <c r="O2009" t="str">
        <f>IF(Transactions_RAW_cleaned[[#This Row],[Status]]="Completed", IFERROR(_xlfn.XLOOKUP(Transactions_RAW_cleaned[[#This Row],[CustomerID]], Customers_cleaned[CustomerID], Customers_cleaned[Segment]), "Customer Not Found"), "N/A")</f>
        <v>Startup</v>
      </c>
      <c r="P2009" s="5" t="str">
        <f>IF(Transactions_RAW_cleaned[[#This Row],[Status]]="Refunded", "Refund",
  IF(Transactions_RAW_cleaned[[#This Row],[Category]]="Payments", IF(Transactions_RAW_cleaned[[#This Row],[Amount]]&gt;500,"High Value","Standard"),
    IF(Transactions_RAW_cleaned[[#This Row],[Amount]]&gt;250,"High Value","Standard")))</f>
        <v>High Value</v>
      </c>
      <c r="Q2009" s="5" t="str">
        <f>IF(Transactions_RAW_cleaned[[#This Row],[Amount]] &gt; (_xlfn.XLOOKUP(Transactions_RAW_cleaned[[#This Row],[ServiceID]],Services_cleaned[ServiceID],Services_cleaned[TransactionFeePct]) * 10000), "Yes", "No")</f>
        <v>Yes</v>
      </c>
      <c r="R2009" s="5" t="str">
        <f>IF(COUNTIFS($C$2:Transactions_RAW_cleaned[[#This Row],[CustomerID]],Transactions_RAW_cleaned[[#This Row],[CustomerID]],$D$2:Transactions_RAW_cleaned[[#This Row],[ServiceID]],Transactions_RAW_cleaned[[#This Row],[ServiceID]])=1,"Yes","No")</f>
        <v>No</v>
      </c>
      <c r="S200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09" t="str">
        <f>"Q"&amp;ROUNDUP(MONTH(Transactions_RAW_cleaned[[#This Row],[TransactionDate]])/3,0)</f>
        <v>Q2</v>
      </c>
      <c r="U2009" t="str">
        <f>Transactions_RAW_cleaned[[#This Row],[Region ]]&amp;Transactions_RAW_cleaned[[#This Row],[Quarter ]]</f>
        <v>APACQ2</v>
      </c>
      <c r="V2009" s="5">
        <f>_xlfn.XLOOKUP(Transactions_RAW_cleaned[[#This Row],[RegionQuarterKey]], Quarterly_Targets_cleaned[RegionQuarterKey], Quarterly_Targets_cleaned[TargetRevenue])</f>
        <v>110000</v>
      </c>
    </row>
    <row r="2010" spans="1:22" x14ac:dyDescent="0.25">
      <c r="A2010" t="s">
        <v>2345</v>
      </c>
      <c r="B2010" s="1">
        <v>45434</v>
      </c>
      <c r="C2010" t="s">
        <v>133</v>
      </c>
      <c r="D2010" t="s">
        <v>309</v>
      </c>
      <c r="E2010">
        <v>369</v>
      </c>
      <c r="F2010" t="s">
        <v>324</v>
      </c>
      <c r="G2010" t="s">
        <v>337</v>
      </c>
      <c r="H2010" t="s">
        <v>334</v>
      </c>
      <c r="I2010" t="s">
        <v>17</v>
      </c>
      <c r="J2010" t="s">
        <v>102</v>
      </c>
      <c r="K2010" t="s">
        <v>22</v>
      </c>
      <c r="L2010" t="s">
        <v>310</v>
      </c>
      <c r="M2010" t="s">
        <v>311</v>
      </c>
      <c r="N2010">
        <v>0</v>
      </c>
      <c r="O2010" t="str">
        <f>IF(Transactions_RAW_cleaned[[#This Row],[Status]]="Completed", IFERROR(_xlfn.XLOOKUP(Transactions_RAW_cleaned[[#This Row],[CustomerID]], Customers_cleaned[CustomerID], Customers_cleaned[Segment]), "Customer Not Found"), "N/A")</f>
        <v>Enterprise</v>
      </c>
      <c r="P2010" s="5" t="str">
        <f>IF(Transactions_RAW_cleaned[[#This Row],[Status]]="Refunded", "Refund",
  IF(Transactions_RAW_cleaned[[#This Row],[Category]]="Payments", IF(Transactions_RAW_cleaned[[#This Row],[Amount]]&gt;500,"High Value","Standard"),
    IF(Transactions_RAW_cleaned[[#This Row],[Amount]]&gt;250,"High Value","Standard")))</f>
        <v>High Value</v>
      </c>
      <c r="Q2010" s="5" t="str">
        <f>IF(Transactions_RAW_cleaned[[#This Row],[Amount]] &gt; (_xlfn.XLOOKUP(Transactions_RAW_cleaned[[#This Row],[ServiceID]],Services_cleaned[ServiceID],Services_cleaned[TransactionFeePct]) * 10000), "Yes", "No")</f>
        <v>Yes</v>
      </c>
      <c r="R2010" s="5" t="str">
        <f>IF(COUNTIFS($C$2:Transactions_RAW_cleaned[[#This Row],[CustomerID]],Transactions_RAW_cleaned[[#This Row],[CustomerID]],$D$2:Transactions_RAW_cleaned[[#This Row],[ServiceID]],Transactions_RAW_cleaned[[#This Row],[ServiceID]])=1,"Yes","No")</f>
        <v>Yes</v>
      </c>
      <c r="S201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10" t="str">
        <f>"Q"&amp;ROUNDUP(MONTH(Transactions_RAW_cleaned[[#This Row],[TransactionDate]])/3,0)</f>
        <v>Q2</v>
      </c>
      <c r="U2010" t="str">
        <f>Transactions_RAW_cleaned[[#This Row],[Region ]]&amp;Transactions_RAW_cleaned[[#This Row],[Quarter ]]</f>
        <v>NAQ2</v>
      </c>
      <c r="V2010" s="5">
        <f>_xlfn.XLOOKUP(Transactions_RAW_cleaned[[#This Row],[RegionQuarterKey]], Quarterly_Targets_cleaned[RegionQuarterKey], Quarterly_Targets_cleaned[TargetRevenue])</f>
        <v>260000</v>
      </c>
    </row>
    <row r="2011" spans="1:22" x14ac:dyDescent="0.25">
      <c r="A2011" t="s">
        <v>2346</v>
      </c>
      <c r="B2011" s="1">
        <v>45573</v>
      </c>
      <c r="C2011" t="s">
        <v>249</v>
      </c>
      <c r="D2011" t="s">
        <v>300</v>
      </c>
      <c r="E2011">
        <v>58.66</v>
      </c>
      <c r="F2011" t="s">
        <v>324</v>
      </c>
      <c r="G2011" t="s">
        <v>337</v>
      </c>
      <c r="I2011" t="s">
        <v>57</v>
      </c>
      <c r="J2011" t="s">
        <v>21</v>
      </c>
      <c r="K2011" t="s">
        <v>14</v>
      </c>
      <c r="L2011" t="s">
        <v>301</v>
      </c>
      <c r="M2011" t="s">
        <v>302</v>
      </c>
      <c r="N2011">
        <v>5.0000000000000001E-3</v>
      </c>
      <c r="O2011" t="str">
        <f>IF(Transactions_RAW_cleaned[[#This Row],[Status]]="Completed", IFERROR(_xlfn.XLOOKUP(Transactions_RAW_cleaned[[#This Row],[CustomerID]], Customers_cleaned[CustomerID], Customers_cleaned[Segment]), "Customer Not Found"), "N/A")</f>
        <v>Startup</v>
      </c>
      <c r="P2011" s="5" t="str">
        <f>IF(Transactions_RAW_cleaned[[#This Row],[Status]]="Refunded", "Refund",
  IF(Transactions_RAW_cleaned[[#This Row],[Category]]="Payments", IF(Transactions_RAW_cleaned[[#This Row],[Amount]]&gt;500,"High Value","Standard"),
    IF(Transactions_RAW_cleaned[[#This Row],[Amount]]&gt;250,"High Value","Standard")))</f>
        <v>Standard</v>
      </c>
      <c r="Q2011" s="5" t="str">
        <f>IF(Transactions_RAW_cleaned[[#This Row],[Amount]] &gt; (_xlfn.XLOOKUP(Transactions_RAW_cleaned[[#This Row],[ServiceID]],Services_cleaned[ServiceID],Services_cleaned[TransactionFeePct]) * 10000), "Yes", "No")</f>
        <v>Yes</v>
      </c>
      <c r="R2011" s="5" t="str">
        <f>IF(COUNTIFS($C$2:Transactions_RAW_cleaned[[#This Row],[CustomerID]],Transactions_RAW_cleaned[[#This Row],[CustomerID]],$D$2:Transactions_RAW_cleaned[[#This Row],[ServiceID]],Transactions_RAW_cleaned[[#This Row],[ServiceID]])=1,"Yes","No")</f>
        <v>No</v>
      </c>
      <c r="S201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11" t="str">
        <f>"Q"&amp;ROUNDUP(MONTH(Transactions_RAW_cleaned[[#This Row],[TransactionDate]])/3,0)</f>
        <v>Q4</v>
      </c>
      <c r="U2011" t="str">
        <f>Transactions_RAW_cleaned[[#This Row],[Region ]]&amp;Transactions_RAW_cleaned[[#This Row],[Quarter ]]</f>
        <v>APACQ4</v>
      </c>
      <c r="V2011" s="5">
        <f>_xlfn.XLOOKUP(Transactions_RAW_cleaned[[#This Row],[RegionQuarterKey]], Quarterly_Targets_cleaned[RegionQuarterKey], Quarterly_Targets_cleaned[TargetRevenue])</f>
        <v>126500</v>
      </c>
    </row>
    <row r="2012" spans="1:22" x14ac:dyDescent="0.25">
      <c r="A2012" t="s">
        <v>2347</v>
      </c>
      <c r="B2012" s="1">
        <v>45408</v>
      </c>
      <c r="C2012" t="s">
        <v>183</v>
      </c>
      <c r="D2012" t="s">
        <v>309</v>
      </c>
      <c r="E2012">
        <v>246.86</v>
      </c>
      <c r="F2012" t="s">
        <v>324</v>
      </c>
      <c r="G2012" t="s">
        <v>327</v>
      </c>
      <c r="H2012" t="s">
        <v>332</v>
      </c>
      <c r="I2012" t="s">
        <v>8</v>
      </c>
      <c r="J2012" t="s">
        <v>13</v>
      </c>
      <c r="K2012" t="s">
        <v>10</v>
      </c>
      <c r="L2012" t="s">
        <v>310</v>
      </c>
      <c r="M2012" t="s">
        <v>311</v>
      </c>
      <c r="N2012">
        <v>0</v>
      </c>
      <c r="O2012" t="str">
        <f>IF(Transactions_RAW_cleaned[[#This Row],[Status]]="Completed", IFERROR(_xlfn.XLOOKUP(Transactions_RAW_cleaned[[#This Row],[CustomerID]], Customers_cleaned[CustomerID], Customers_cleaned[Segment]), "Customer Not Found"), "N/A")</f>
        <v>SMB</v>
      </c>
      <c r="P2012" s="5" t="str">
        <f>IF(Transactions_RAW_cleaned[[#This Row],[Status]]="Refunded", "Refund",
  IF(Transactions_RAW_cleaned[[#This Row],[Category]]="Payments", IF(Transactions_RAW_cleaned[[#This Row],[Amount]]&gt;500,"High Value","Standard"),
    IF(Transactions_RAW_cleaned[[#This Row],[Amount]]&gt;250,"High Value","Standard")))</f>
        <v>Standard</v>
      </c>
      <c r="Q2012" s="5" t="str">
        <f>IF(Transactions_RAW_cleaned[[#This Row],[Amount]] &gt; (_xlfn.XLOOKUP(Transactions_RAW_cleaned[[#This Row],[ServiceID]],Services_cleaned[ServiceID],Services_cleaned[TransactionFeePct]) * 10000), "Yes", "No")</f>
        <v>Yes</v>
      </c>
      <c r="R2012" s="5" t="str">
        <f>IF(COUNTIFS($C$2:Transactions_RAW_cleaned[[#This Row],[CustomerID]],Transactions_RAW_cleaned[[#This Row],[CustomerID]],$D$2:Transactions_RAW_cleaned[[#This Row],[ServiceID]],Transactions_RAW_cleaned[[#This Row],[ServiceID]])=1,"Yes","No")</f>
        <v>No</v>
      </c>
      <c r="S201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12" t="str">
        <f>"Q"&amp;ROUNDUP(MONTH(Transactions_RAW_cleaned[[#This Row],[TransactionDate]])/3,0)</f>
        <v>Q2</v>
      </c>
      <c r="U2012" t="str">
        <f>Transactions_RAW_cleaned[[#This Row],[Region ]]&amp;Transactions_RAW_cleaned[[#This Row],[Quarter ]]</f>
        <v>NAQ2</v>
      </c>
      <c r="V2012" s="5">
        <f>_xlfn.XLOOKUP(Transactions_RAW_cleaned[[#This Row],[RegionQuarterKey]], Quarterly_Targets_cleaned[RegionQuarterKey], Quarterly_Targets_cleaned[TargetRevenue])</f>
        <v>260000</v>
      </c>
    </row>
    <row r="2013" spans="1:22" x14ac:dyDescent="0.25">
      <c r="A2013" t="s">
        <v>2348</v>
      </c>
      <c r="B2013" s="1">
        <v>45554</v>
      </c>
      <c r="C2013" t="s">
        <v>153</v>
      </c>
      <c r="D2013" t="s">
        <v>294</v>
      </c>
      <c r="E2013">
        <v>514.84</v>
      </c>
      <c r="F2013" t="s">
        <v>324</v>
      </c>
      <c r="G2013" t="s">
        <v>325</v>
      </c>
      <c r="H2013" t="s">
        <v>332</v>
      </c>
      <c r="I2013" t="s">
        <v>8</v>
      </c>
      <c r="J2013" t="s">
        <v>37</v>
      </c>
      <c r="K2013" t="s">
        <v>32</v>
      </c>
      <c r="L2013" t="s">
        <v>295</v>
      </c>
      <c r="M2013" t="s">
        <v>296</v>
      </c>
      <c r="N2013">
        <v>2.9000000000000001E-2</v>
      </c>
      <c r="O2013" t="str">
        <f>IF(Transactions_RAW_cleaned[[#This Row],[Status]]="Completed", IFERROR(_xlfn.XLOOKUP(Transactions_RAW_cleaned[[#This Row],[CustomerID]], Customers_cleaned[CustomerID], Customers_cleaned[Segment]), "Customer Not Found"), "N/A")</f>
        <v>SMB</v>
      </c>
      <c r="P2013" s="5" t="str">
        <f>IF(Transactions_RAW_cleaned[[#This Row],[Status]]="Refunded", "Refund",
  IF(Transactions_RAW_cleaned[[#This Row],[Category]]="Payments", IF(Transactions_RAW_cleaned[[#This Row],[Amount]]&gt;500,"High Value","Standard"),
    IF(Transactions_RAW_cleaned[[#This Row],[Amount]]&gt;250,"High Value","Standard")))</f>
        <v>High Value</v>
      </c>
      <c r="Q2013" s="5" t="str">
        <f>IF(Transactions_RAW_cleaned[[#This Row],[Amount]] &gt; (_xlfn.XLOOKUP(Transactions_RAW_cleaned[[#This Row],[ServiceID]],Services_cleaned[ServiceID],Services_cleaned[TransactionFeePct]) * 10000), "Yes", "No")</f>
        <v>Yes</v>
      </c>
      <c r="R2013" s="5" t="str">
        <f>IF(COUNTIFS($C$2:Transactions_RAW_cleaned[[#This Row],[CustomerID]],Transactions_RAW_cleaned[[#This Row],[CustomerID]],$D$2:Transactions_RAW_cleaned[[#This Row],[ServiceID]],Transactions_RAW_cleaned[[#This Row],[ServiceID]])=1,"Yes","No")</f>
        <v>No</v>
      </c>
      <c r="S201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013" t="str">
        <f>"Q"&amp;ROUNDUP(MONTH(Transactions_RAW_cleaned[[#This Row],[TransactionDate]])/3,0)</f>
        <v>Q3</v>
      </c>
      <c r="U2013" t="str">
        <f>Transactions_RAW_cleaned[[#This Row],[Region ]]&amp;Transactions_RAW_cleaned[[#This Row],[Quarter ]]</f>
        <v>EMEAQ3</v>
      </c>
      <c r="V2013" s="5">
        <f>_xlfn.XLOOKUP(Transactions_RAW_cleaned[[#This Row],[RegionQuarterKey]], Quarterly_Targets_cleaned[RegionQuarterKey], Quarterly_Targets_cleaned[TargetRevenue])</f>
        <v>147000</v>
      </c>
    </row>
    <row r="2014" spans="1:22" x14ac:dyDescent="0.25">
      <c r="A2014" t="s">
        <v>2349</v>
      </c>
      <c r="B2014" s="1">
        <v>45501</v>
      </c>
      <c r="C2014" t="s">
        <v>181</v>
      </c>
      <c r="D2014" t="s">
        <v>306</v>
      </c>
      <c r="E2014">
        <v>183.47</v>
      </c>
      <c r="F2014" t="s">
        <v>324</v>
      </c>
      <c r="G2014" t="s">
        <v>337</v>
      </c>
      <c r="H2014" t="s">
        <v>346</v>
      </c>
      <c r="I2014" t="s">
        <v>17</v>
      </c>
      <c r="J2014" t="s">
        <v>21</v>
      </c>
      <c r="K2014" t="s">
        <v>10</v>
      </c>
      <c r="L2014" t="s">
        <v>307</v>
      </c>
      <c r="M2014" t="s">
        <v>308</v>
      </c>
      <c r="N2014">
        <v>0</v>
      </c>
      <c r="O2014" t="str">
        <f>IF(Transactions_RAW_cleaned[[#This Row],[Status]]="Completed", IFERROR(_xlfn.XLOOKUP(Transactions_RAW_cleaned[[#This Row],[CustomerID]], Customers_cleaned[CustomerID], Customers_cleaned[Segment]), "Customer Not Found"), "N/A")</f>
        <v>Enterprise</v>
      </c>
      <c r="P2014" s="5" t="str">
        <f>IF(Transactions_RAW_cleaned[[#This Row],[Status]]="Refunded", "Refund",
  IF(Transactions_RAW_cleaned[[#This Row],[Category]]="Payments", IF(Transactions_RAW_cleaned[[#This Row],[Amount]]&gt;500,"High Value","Standard"),
    IF(Transactions_RAW_cleaned[[#This Row],[Amount]]&gt;250,"High Value","Standard")))</f>
        <v>Standard</v>
      </c>
      <c r="Q2014" s="5" t="str">
        <f>IF(Transactions_RAW_cleaned[[#This Row],[Amount]] &gt; (_xlfn.XLOOKUP(Transactions_RAW_cleaned[[#This Row],[ServiceID]],Services_cleaned[ServiceID],Services_cleaned[TransactionFeePct]) * 10000), "Yes", "No")</f>
        <v>Yes</v>
      </c>
      <c r="R2014" s="5" t="str">
        <f>IF(COUNTIFS($C$2:Transactions_RAW_cleaned[[#This Row],[CustomerID]],Transactions_RAW_cleaned[[#This Row],[CustomerID]],$D$2:Transactions_RAW_cleaned[[#This Row],[ServiceID]],Transactions_RAW_cleaned[[#This Row],[ServiceID]])=1,"Yes","No")</f>
        <v>No</v>
      </c>
      <c r="S201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14" t="str">
        <f>"Q"&amp;ROUNDUP(MONTH(Transactions_RAW_cleaned[[#This Row],[TransactionDate]])/3,0)</f>
        <v>Q3</v>
      </c>
      <c r="U2014" t="str">
        <f>Transactions_RAW_cleaned[[#This Row],[Region ]]&amp;Transactions_RAW_cleaned[[#This Row],[Quarter ]]</f>
        <v>APACQ3</v>
      </c>
      <c r="V2014" s="5">
        <f>_xlfn.XLOOKUP(Transactions_RAW_cleaned[[#This Row],[RegionQuarterKey]], Quarterly_Targets_cleaned[RegionQuarterKey], Quarterly_Targets_cleaned[TargetRevenue])</f>
        <v>115500</v>
      </c>
    </row>
    <row r="2015" spans="1:22" x14ac:dyDescent="0.25">
      <c r="A2015" t="s">
        <v>2350</v>
      </c>
      <c r="B2015" s="1">
        <v>45297</v>
      </c>
      <c r="C2015" t="s">
        <v>193</v>
      </c>
      <c r="D2015" t="s">
        <v>300</v>
      </c>
      <c r="E2015">
        <v>282.02</v>
      </c>
      <c r="F2015" t="s">
        <v>324</v>
      </c>
      <c r="G2015" t="s">
        <v>327</v>
      </c>
      <c r="H2015" t="s">
        <v>334</v>
      </c>
      <c r="I2015" t="s">
        <v>8</v>
      </c>
      <c r="J2015" t="s">
        <v>102</v>
      </c>
      <c r="K2015" t="s">
        <v>18</v>
      </c>
      <c r="L2015" t="s">
        <v>301</v>
      </c>
      <c r="M2015" t="s">
        <v>302</v>
      </c>
      <c r="N2015">
        <v>5.0000000000000001E-3</v>
      </c>
      <c r="O2015" t="str">
        <f>IF(Transactions_RAW_cleaned[[#This Row],[Status]]="Completed", IFERROR(_xlfn.XLOOKUP(Transactions_RAW_cleaned[[#This Row],[CustomerID]], Customers_cleaned[CustomerID], Customers_cleaned[Segment]), "Customer Not Found"), "N/A")</f>
        <v>SMB</v>
      </c>
      <c r="P2015" s="5" t="str">
        <f>IF(Transactions_RAW_cleaned[[#This Row],[Status]]="Refunded", "Refund",
  IF(Transactions_RAW_cleaned[[#This Row],[Category]]="Payments", IF(Transactions_RAW_cleaned[[#This Row],[Amount]]&gt;500,"High Value","Standard"),
    IF(Transactions_RAW_cleaned[[#This Row],[Amount]]&gt;250,"High Value","Standard")))</f>
        <v>High Value</v>
      </c>
      <c r="Q2015" s="5" t="str">
        <f>IF(Transactions_RAW_cleaned[[#This Row],[Amount]] &gt; (_xlfn.XLOOKUP(Transactions_RAW_cleaned[[#This Row],[ServiceID]],Services_cleaned[ServiceID],Services_cleaned[TransactionFeePct]) * 10000), "Yes", "No")</f>
        <v>Yes</v>
      </c>
      <c r="R2015" s="5" t="str">
        <f>IF(COUNTIFS($C$2:Transactions_RAW_cleaned[[#This Row],[CustomerID]],Transactions_RAW_cleaned[[#This Row],[CustomerID]],$D$2:Transactions_RAW_cleaned[[#This Row],[ServiceID]],Transactions_RAW_cleaned[[#This Row],[ServiceID]])=1,"Yes","No")</f>
        <v>No</v>
      </c>
      <c r="S201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15" t="str">
        <f>"Q"&amp;ROUNDUP(MONTH(Transactions_RAW_cleaned[[#This Row],[TransactionDate]])/3,0)</f>
        <v>Q1</v>
      </c>
      <c r="U2015" t="str">
        <f>Transactions_RAW_cleaned[[#This Row],[Region ]]&amp;Transactions_RAW_cleaned[[#This Row],[Quarter ]]</f>
        <v>NAQ1</v>
      </c>
      <c r="V2015" s="5">
        <f>_xlfn.XLOOKUP(Transactions_RAW_cleaned[[#This Row],[RegionQuarterKey]], Quarterly_Targets_cleaned[RegionQuarterKey], Quarterly_Targets_cleaned[TargetRevenue])</f>
        <v>247000</v>
      </c>
    </row>
    <row r="2016" spans="1:22" x14ac:dyDescent="0.25">
      <c r="A2016" t="s">
        <v>2351</v>
      </c>
      <c r="B2016" s="1">
        <v>45346</v>
      </c>
      <c r="C2016" t="s">
        <v>203</v>
      </c>
      <c r="D2016" t="s">
        <v>294</v>
      </c>
      <c r="E2016">
        <v>370.61</v>
      </c>
      <c r="F2016" t="s">
        <v>324</v>
      </c>
      <c r="G2016" t="s">
        <v>327</v>
      </c>
      <c r="H2016" t="s">
        <v>346</v>
      </c>
      <c r="I2016" t="s">
        <v>57</v>
      </c>
      <c r="J2016" t="s">
        <v>21</v>
      </c>
      <c r="K2016" t="s">
        <v>14</v>
      </c>
      <c r="L2016" t="s">
        <v>295</v>
      </c>
      <c r="M2016" t="s">
        <v>296</v>
      </c>
      <c r="N2016">
        <v>2.9000000000000001E-2</v>
      </c>
      <c r="O2016" t="str">
        <f>IF(Transactions_RAW_cleaned[[#This Row],[Status]]="Completed", IFERROR(_xlfn.XLOOKUP(Transactions_RAW_cleaned[[#This Row],[CustomerID]], Customers_cleaned[CustomerID], Customers_cleaned[Segment]), "Customer Not Found"), "N/A")</f>
        <v>Startup</v>
      </c>
      <c r="P2016" s="5" t="str">
        <f>IF(Transactions_RAW_cleaned[[#This Row],[Status]]="Refunded", "Refund",
  IF(Transactions_RAW_cleaned[[#This Row],[Category]]="Payments", IF(Transactions_RAW_cleaned[[#This Row],[Amount]]&gt;500,"High Value","Standard"),
    IF(Transactions_RAW_cleaned[[#This Row],[Amount]]&gt;250,"High Value","Standard")))</f>
        <v>Standard</v>
      </c>
      <c r="Q2016" s="5" t="str">
        <f>IF(Transactions_RAW_cleaned[[#This Row],[Amount]] &gt; (_xlfn.XLOOKUP(Transactions_RAW_cleaned[[#This Row],[ServiceID]],Services_cleaned[ServiceID],Services_cleaned[TransactionFeePct]) * 10000), "Yes", "No")</f>
        <v>Yes</v>
      </c>
      <c r="R2016" s="5" t="str">
        <f>IF(COUNTIFS($C$2:Transactions_RAW_cleaned[[#This Row],[CustomerID]],Transactions_RAW_cleaned[[#This Row],[CustomerID]],$D$2:Transactions_RAW_cleaned[[#This Row],[ServiceID]],Transactions_RAW_cleaned[[#This Row],[ServiceID]])=1,"Yes","No")</f>
        <v>No</v>
      </c>
      <c r="S201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16" t="str">
        <f>"Q"&amp;ROUNDUP(MONTH(Transactions_RAW_cleaned[[#This Row],[TransactionDate]])/3,0)</f>
        <v>Q1</v>
      </c>
      <c r="U2016" t="str">
        <f>Transactions_RAW_cleaned[[#This Row],[Region ]]&amp;Transactions_RAW_cleaned[[#This Row],[Quarter ]]</f>
        <v>APACQ1</v>
      </c>
      <c r="V2016" s="5">
        <f>_xlfn.XLOOKUP(Transactions_RAW_cleaned[[#This Row],[RegionQuarterKey]], Quarterly_Targets_cleaned[RegionQuarterKey], Quarterly_Targets_cleaned[TargetRevenue])</f>
        <v>104500</v>
      </c>
    </row>
    <row r="2017" spans="1:22" x14ac:dyDescent="0.25">
      <c r="A2017" t="s">
        <v>2352</v>
      </c>
      <c r="B2017" s="1">
        <v>45547</v>
      </c>
      <c r="C2017" t="s">
        <v>227</v>
      </c>
      <c r="D2017" t="s">
        <v>294</v>
      </c>
      <c r="E2017">
        <v>320.68</v>
      </c>
      <c r="F2017" t="s">
        <v>324</v>
      </c>
      <c r="G2017" t="s">
        <v>325</v>
      </c>
      <c r="I2017" t="s">
        <v>57</v>
      </c>
      <c r="J2017" t="s">
        <v>31</v>
      </c>
      <c r="K2017" t="s">
        <v>32</v>
      </c>
      <c r="L2017" t="s">
        <v>295</v>
      </c>
      <c r="M2017" t="s">
        <v>296</v>
      </c>
      <c r="N2017">
        <v>2.9000000000000001E-2</v>
      </c>
      <c r="O2017" t="str">
        <f>IF(Transactions_RAW_cleaned[[#This Row],[Status]]="Completed", IFERROR(_xlfn.XLOOKUP(Transactions_RAW_cleaned[[#This Row],[CustomerID]], Customers_cleaned[CustomerID], Customers_cleaned[Segment]), "Customer Not Found"), "N/A")</f>
        <v>Startup</v>
      </c>
      <c r="P2017" s="5" t="str">
        <f>IF(Transactions_RAW_cleaned[[#This Row],[Status]]="Refunded", "Refund",
  IF(Transactions_RAW_cleaned[[#This Row],[Category]]="Payments", IF(Transactions_RAW_cleaned[[#This Row],[Amount]]&gt;500,"High Value","Standard"),
    IF(Transactions_RAW_cleaned[[#This Row],[Amount]]&gt;250,"High Value","Standard")))</f>
        <v>Standard</v>
      </c>
      <c r="Q2017" s="5" t="str">
        <f>IF(Transactions_RAW_cleaned[[#This Row],[Amount]] &gt; (_xlfn.XLOOKUP(Transactions_RAW_cleaned[[#This Row],[ServiceID]],Services_cleaned[ServiceID],Services_cleaned[TransactionFeePct]) * 10000), "Yes", "No")</f>
        <v>Yes</v>
      </c>
      <c r="R2017" s="5" t="str">
        <f>IF(COUNTIFS($C$2:Transactions_RAW_cleaned[[#This Row],[CustomerID]],Transactions_RAW_cleaned[[#This Row],[CustomerID]],$D$2:Transactions_RAW_cleaned[[#This Row],[ServiceID]],Transactions_RAW_cleaned[[#This Row],[ServiceID]])=1,"Yes","No")</f>
        <v>No</v>
      </c>
      <c r="S201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017" t="str">
        <f>"Q"&amp;ROUNDUP(MONTH(Transactions_RAW_cleaned[[#This Row],[TransactionDate]])/3,0)</f>
        <v>Q3</v>
      </c>
      <c r="U2017" t="str">
        <f>Transactions_RAW_cleaned[[#This Row],[Region ]]&amp;Transactions_RAW_cleaned[[#This Row],[Quarter ]]</f>
        <v>EMEAQ3</v>
      </c>
      <c r="V2017" s="5">
        <f>_xlfn.XLOOKUP(Transactions_RAW_cleaned[[#This Row],[RegionQuarterKey]], Quarterly_Targets_cleaned[RegionQuarterKey], Quarterly_Targets_cleaned[TargetRevenue])</f>
        <v>147000</v>
      </c>
    </row>
    <row r="2018" spans="1:22" x14ac:dyDescent="0.25">
      <c r="A2018" t="s">
        <v>2353</v>
      </c>
      <c r="B2018" s="1">
        <v>45381</v>
      </c>
      <c r="C2018" t="s">
        <v>157</v>
      </c>
      <c r="D2018" t="s">
        <v>303</v>
      </c>
      <c r="E2018">
        <v>70.989999999999995</v>
      </c>
      <c r="F2018" t="s">
        <v>324</v>
      </c>
      <c r="G2018" t="s">
        <v>337</v>
      </c>
      <c r="I2018" t="s">
        <v>8</v>
      </c>
      <c r="J2018" t="s">
        <v>102</v>
      </c>
      <c r="K2018" t="s">
        <v>14</v>
      </c>
      <c r="L2018" t="s">
        <v>304</v>
      </c>
      <c r="M2018" t="s">
        <v>305</v>
      </c>
      <c r="N2018">
        <v>1E-3</v>
      </c>
      <c r="O2018" t="str">
        <f>IF(Transactions_RAW_cleaned[[#This Row],[Status]]="Completed", IFERROR(_xlfn.XLOOKUP(Transactions_RAW_cleaned[[#This Row],[CustomerID]], Customers_cleaned[CustomerID], Customers_cleaned[Segment]), "Customer Not Found"), "N/A")</f>
        <v>SMB</v>
      </c>
      <c r="P2018" s="5" t="str">
        <f>IF(Transactions_RAW_cleaned[[#This Row],[Status]]="Refunded", "Refund",
  IF(Transactions_RAW_cleaned[[#This Row],[Category]]="Payments", IF(Transactions_RAW_cleaned[[#This Row],[Amount]]&gt;500,"High Value","Standard"),
    IF(Transactions_RAW_cleaned[[#This Row],[Amount]]&gt;250,"High Value","Standard")))</f>
        <v>Standard</v>
      </c>
      <c r="Q2018" s="5" t="str">
        <f>IF(Transactions_RAW_cleaned[[#This Row],[Amount]] &gt; (_xlfn.XLOOKUP(Transactions_RAW_cleaned[[#This Row],[ServiceID]],Services_cleaned[ServiceID],Services_cleaned[TransactionFeePct]) * 10000), "Yes", "No")</f>
        <v>Yes</v>
      </c>
      <c r="R2018" s="5" t="str">
        <f>IF(COUNTIFS($C$2:Transactions_RAW_cleaned[[#This Row],[CustomerID]],Transactions_RAW_cleaned[[#This Row],[CustomerID]],$D$2:Transactions_RAW_cleaned[[#This Row],[ServiceID]],Transactions_RAW_cleaned[[#This Row],[ServiceID]])=1,"Yes","No")</f>
        <v>No</v>
      </c>
      <c r="S201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18" t="str">
        <f>"Q"&amp;ROUNDUP(MONTH(Transactions_RAW_cleaned[[#This Row],[TransactionDate]])/3,0)</f>
        <v>Q1</v>
      </c>
      <c r="U2018" t="str">
        <f>Transactions_RAW_cleaned[[#This Row],[Region ]]&amp;Transactions_RAW_cleaned[[#This Row],[Quarter ]]</f>
        <v>NAQ1</v>
      </c>
      <c r="V2018" s="5">
        <f>_xlfn.XLOOKUP(Transactions_RAW_cleaned[[#This Row],[RegionQuarterKey]], Quarterly_Targets_cleaned[RegionQuarterKey], Quarterly_Targets_cleaned[TargetRevenue])</f>
        <v>247000</v>
      </c>
    </row>
    <row r="2019" spans="1:22" x14ac:dyDescent="0.25">
      <c r="A2019" t="s">
        <v>2354</v>
      </c>
      <c r="B2019" s="1">
        <v>45442</v>
      </c>
      <c r="C2019" t="s">
        <v>149</v>
      </c>
      <c r="D2019" t="s">
        <v>303</v>
      </c>
      <c r="E2019">
        <v>290.97000000000003</v>
      </c>
      <c r="F2019" t="s">
        <v>324</v>
      </c>
      <c r="G2019" t="s">
        <v>2963</v>
      </c>
      <c r="H2019" t="s">
        <v>332</v>
      </c>
      <c r="I2019" t="s">
        <v>8</v>
      </c>
      <c r="J2019" t="s">
        <v>13</v>
      </c>
      <c r="K2019" t="s">
        <v>22</v>
      </c>
      <c r="L2019" t="s">
        <v>304</v>
      </c>
      <c r="M2019" t="s">
        <v>305</v>
      </c>
      <c r="N2019">
        <v>1E-3</v>
      </c>
      <c r="O2019" t="str">
        <f>IF(Transactions_RAW_cleaned[[#This Row],[Status]]="Completed", IFERROR(_xlfn.XLOOKUP(Transactions_RAW_cleaned[[#This Row],[CustomerID]], Customers_cleaned[CustomerID], Customers_cleaned[Segment]), "Customer Not Found"), "N/A")</f>
        <v>SMB</v>
      </c>
      <c r="P2019" s="5" t="str">
        <f>IF(Transactions_RAW_cleaned[[#This Row],[Status]]="Refunded", "Refund",
  IF(Transactions_RAW_cleaned[[#This Row],[Category]]="Payments", IF(Transactions_RAW_cleaned[[#This Row],[Amount]]&gt;500,"High Value","Standard"),
    IF(Transactions_RAW_cleaned[[#This Row],[Amount]]&gt;250,"High Value","Standard")))</f>
        <v>High Value</v>
      </c>
      <c r="Q2019" s="5" t="str">
        <f>IF(Transactions_RAW_cleaned[[#This Row],[Amount]] &gt; (_xlfn.XLOOKUP(Transactions_RAW_cleaned[[#This Row],[ServiceID]],Services_cleaned[ServiceID],Services_cleaned[TransactionFeePct]) * 10000), "Yes", "No")</f>
        <v>Yes</v>
      </c>
      <c r="R2019" s="5" t="str">
        <f>IF(COUNTIFS($C$2:Transactions_RAW_cleaned[[#This Row],[CustomerID]],Transactions_RAW_cleaned[[#This Row],[CustomerID]],$D$2:Transactions_RAW_cleaned[[#This Row],[ServiceID]],Transactions_RAW_cleaned[[#This Row],[ServiceID]])=1,"Yes","No")</f>
        <v>Yes</v>
      </c>
      <c r="S201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19" t="str">
        <f>"Q"&amp;ROUNDUP(MONTH(Transactions_RAW_cleaned[[#This Row],[TransactionDate]])/3,0)</f>
        <v>Q2</v>
      </c>
      <c r="U2019" t="str">
        <f>Transactions_RAW_cleaned[[#This Row],[Region ]]&amp;Transactions_RAW_cleaned[[#This Row],[Quarter ]]</f>
        <v>NAQ2</v>
      </c>
      <c r="V2019" s="5">
        <f>_xlfn.XLOOKUP(Transactions_RAW_cleaned[[#This Row],[RegionQuarterKey]], Quarterly_Targets_cleaned[RegionQuarterKey], Quarterly_Targets_cleaned[TargetRevenue])</f>
        <v>260000</v>
      </c>
    </row>
    <row r="2020" spans="1:22" x14ac:dyDescent="0.25">
      <c r="A2020" t="s">
        <v>2355</v>
      </c>
      <c r="B2020" s="1">
        <v>45315</v>
      </c>
      <c r="C2020" t="s">
        <v>2356</v>
      </c>
      <c r="D2020" t="s">
        <v>303</v>
      </c>
      <c r="E2020">
        <v>569</v>
      </c>
      <c r="F2020" t="s">
        <v>324</v>
      </c>
      <c r="G2020" t="s">
        <v>327</v>
      </c>
      <c r="L2020" t="s">
        <v>304</v>
      </c>
      <c r="M2020" t="s">
        <v>305</v>
      </c>
      <c r="N2020">
        <v>1E-3</v>
      </c>
      <c r="O2020" t="str">
        <f>IF(Transactions_RAW_cleaned[[#This Row],[Status]]="Completed", IFERROR(_xlfn.XLOOKUP(Transactions_RAW_cleaned[[#This Row],[CustomerID]], Customers_cleaned[CustomerID], Customers_cleaned[Segment]), "Customer Not Found"), "N/A")</f>
        <v>Customer Not Found</v>
      </c>
      <c r="P2020" s="5" t="str">
        <f>IF(Transactions_RAW_cleaned[[#This Row],[Status]]="Refunded", "Refund",
  IF(Transactions_RAW_cleaned[[#This Row],[Category]]="Payments", IF(Transactions_RAW_cleaned[[#This Row],[Amount]]&gt;500,"High Value","Standard"),
    IF(Transactions_RAW_cleaned[[#This Row],[Amount]]&gt;250,"High Value","Standard")))</f>
        <v>High Value</v>
      </c>
      <c r="Q2020" s="5" t="str">
        <f>IF(Transactions_RAW_cleaned[[#This Row],[Amount]] &gt; (_xlfn.XLOOKUP(Transactions_RAW_cleaned[[#This Row],[ServiceID]],Services_cleaned[ServiceID],Services_cleaned[TransactionFeePct]) * 10000), "Yes", "No")</f>
        <v>Yes</v>
      </c>
      <c r="R2020" s="5" t="str">
        <f>IF(COUNTIFS($C$2:Transactions_RAW_cleaned[[#This Row],[CustomerID]],Transactions_RAW_cleaned[[#This Row],[CustomerID]],$D$2:Transactions_RAW_cleaned[[#This Row],[ServiceID]],Transactions_RAW_cleaned[[#This Row],[ServiceID]])=1,"Yes","No")</f>
        <v>Yes</v>
      </c>
      <c r="S202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20" t="str">
        <f>"Q"&amp;ROUNDUP(MONTH(Transactions_RAW_cleaned[[#This Row],[TransactionDate]])/3,0)</f>
        <v>Q1</v>
      </c>
      <c r="U2020" t="str">
        <f>Transactions_RAW_cleaned[[#This Row],[Region ]]&amp;Transactions_RAW_cleaned[[#This Row],[Quarter ]]</f>
        <v>APACQ1</v>
      </c>
      <c r="V2020" s="5">
        <f>_xlfn.XLOOKUP(Transactions_RAW_cleaned[[#This Row],[RegionQuarterKey]], Quarterly_Targets_cleaned[RegionQuarterKey], Quarterly_Targets_cleaned[TargetRevenue])</f>
        <v>104500</v>
      </c>
    </row>
    <row r="2021" spans="1:22" x14ac:dyDescent="0.25">
      <c r="A2021" t="s">
        <v>2357</v>
      </c>
      <c r="B2021" s="1">
        <v>45590</v>
      </c>
      <c r="C2021" t="s">
        <v>15</v>
      </c>
      <c r="D2021" t="s">
        <v>294</v>
      </c>
      <c r="E2021">
        <v>214.81</v>
      </c>
      <c r="F2021" t="s">
        <v>324</v>
      </c>
      <c r="G2021" t="s">
        <v>327</v>
      </c>
      <c r="H2021" t="s">
        <v>346</v>
      </c>
      <c r="I2021" t="s">
        <v>17</v>
      </c>
      <c r="J2021" t="s">
        <v>102</v>
      </c>
      <c r="K2021" t="s">
        <v>18</v>
      </c>
      <c r="L2021" t="s">
        <v>295</v>
      </c>
      <c r="M2021" t="s">
        <v>296</v>
      </c>
      <c r="N2021">
        <v>2.9000000000000001E-2</v>
      </c>
      <c r="O2021" t="str">
        <f>IF(Transactions_RAW_cleaned[[#This Row],[Status]]="Completed", IFERROR(_xlfn.XLOOKUP(Transactions_RAW_cleaned[[#This Row],[CustomerID]], Customers_cleaned[CustomerID], Customers_cleaned[Segment]), "Customer Not Found"), "N/A")</f>
        <v>Enterprise</v>
      </c>
      <c r="P2021" s="5" t="str">
        <f>IF(Transactions_RAW_cleaned[[#This Row],[Status]]="Refunded", "Refund",
  IF(Transactions_RAW_cleaned[[#This Row],[Category]]="Payments", IF(Transactions_RAW_cleaned[[#This Row],[Amount]]&gt;500,"High Value","Standard"),
    IF(Transactions_RAW_cleaned[[#This Row],[Amount]]&gt;250,"High Value","Standard")))</f>
        <v>Standard</v>
      </c>
      <c r="Q2021" s="5" t="str">
        <f>IF(Transactions_RAW_cleaned[[#This Row],[Amount]] &gt; (_xlfn.XLOOKUP(Transactions_RAW_cleaned[[#This Row],[ServiceID]],Services_cleaned[ServiceID],Services_cleaned[TransactionFeePct]) * 10000), "Yes", "No")</f>
        <v>No</v>
      </c>
      <c r="R2021" s="5" t="str">
        <f>IF(COUNTIFS($C$2:Transactions_RAW_cleaned[[#This Row],[CustomerID]],Transactions_RAW_cleaned[[#This Row],[CustomerID]],$D$2:Transactions_RAW_cleaned[[#This Row],[ServiceID]],Transactions_RAW_cleaned[[#This Row],[ServiceID]])=1,"Yes","No")</f>
        <v>No</v>
      </c>
      <c r="S202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21" t="str">
        <f>"Q"&amp;ROUNDUP(MONTH(Transactions_RAW_cleaned[[#This Row],[TransactionDate]])/3,0)</f>
        <v>Q4</v>
      </c>
      <c r="U2021" t="str">
        <f>Transactions_RAW_cleaned[[#This Row],[Region ]]&amp;Transactions_RAW_cleaned[[#This Row],[Quarter ]]</f>
        <v>NAQ4</v>
      </c>
      <c r="V2021" s="5">
        <f>_xlfn.XLOOKUP(Transactions_RAW_cleaned[[#This Row],[RegionQuarterKey]], Quarterly_Targets_cleaned[RegionQuarterKey], Quarterly_Targets_cleaned[TargetRevenue])</f>
        <v>299000</v>
      </c>
    </row>
    <row r="2022" spans="1:22" x14ac:dyDescent="0.25">
      <c r="A2022" t="s">
        <v>2358</v>
      </c>
      <c r="B2022" s="1">
        <v>45349</v>
      </c>
      <c r="C2022" t="s">
        <v>267</v>
      </c>
      <c r="D2022" t="s">
        <v>300</v>
      </c>
      <c r="E2022">
        <v>511.89</v>
      </c>
      <c r="F2022" t="s">
        <v>381</v>
      </c>
      <c r="G2022" t="s">
        <v>325</v>
      </c>
      <c r="I2022" t="s">
        <v>8</v>
      </c>
      <c r="J2022" t="s">
        <v>102</v>
      </c>
      <c r="K2022" t="s">
        <v>22</v>
      </c>
      <c r="L2022" t="s">
        <v>301</v>
      </c>
      <c r="M2022" t="s">
        <v>302</v>
      </c>
      <c r="N2022">
        <v>5.0000000000000001E-3</v>
      </c>
      <c r="O2022" t="str">
        <f>IF(Transactions_RAW_cleaned[[#This Row],[Status]]="Completed", IFERROR(_xlfn.XLOOKUP(Transactions_RAW_cleaned[[#This Row],[CustomerID]], Customers_cleaned[CustomerID], Customers_cleaned[Segment]), "Customer Not Found"), "N/A")</f>
        <v>N/A</v>
      </c>
      <c r="P2022" s="5" t="str">
        <f>IF(Transactions_RAW_cleaned[[#This Row],[Status]]="Refunded", "Refund",
  IF(Transactions_RAW_cleaned[[#This Row],[Category]]="Payments", IF(Transactions_RAW_cleaned[[#This Row],[Amount]]&gt;500,"High Value","Standard"),
    IF(Transactions_RAW_cleaned[[#This Row],[Amount]]&gt;250,"High Value","Standard")))</f>
        <v>High Value</v>
      </c>
      <c r="Q2022" s="5" t="str">
        <f>IF(Transactions_RAW_cleaned[[#This Row],[Amount]] &gt; (_xlfn.XLOOKUP(Transactions_RAW_cleaned[[#This Row],[ServiceID]],Services_cleaned[ServiceID],Services_cleaned[TransactionFeePct]) * 10000), "Yes", "No")</f>
        <v>Yes</v>
      </c>
      <c r="R2022" s="5" t="str">
        <f>IF(COUNTIFS($C$2:Transactions_RAW_cleaned[[#This Row],[CustomerID]],Transactions_RAW_cleaned[[#This Row],[CustomerID]],$D$2:Transactions_RAW_cleaned[[#This Row],[ServiceID]],Transactions_RAW_cleaned[[#This Row],[ServiceID]])=1,"Yes","No")</f>
        <v>Yes</v>
      </c>
      <c r="S202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22" t="str">
        <f>"Q"&amp;ROUNDUP(MONTH(Transactions_RAW_cleaned[[#This Row],[TransactionDate]])/3,0)</f>
        <v>Q1</v>
      </c>
      <c r="U2022" t="str">
        <f>Transactions_RAW_cleaned[[#This Row],[Region ]]&amp;Transactions_RAW_cleaned[[#This Row],[Quarter ]]</f>
        <v>NAQ1</v>
      </c>
      <c r="V2022" s="5">
        <f>_xlfn.XLOOKUP(Transactions_RAW_cleaned[[#This Row],[RegionQuarterKey]], Quarterly_Targets_cleaned[RegionQuarterKey], Quarterly_Targets_cleaned[TargetRevenue])</f>
        <v>247000</v>
      </c>
    </row>
    <row r="2023" spans="1:22" x14ac:dyDescent="0.25">
      <c r="A2023" t="s">
        <v>2359</v>
      </c>
      <c r="B2023" s="1">
        <v>45636</v>
      </c>
      <c r="C2023" t="s">
        <v>175</v>
      </c>
      <c r="D2023" t="s">
        <v>309</v>
      </c>
      <c r="E2023">
        <v>293.35000000000002</v>
      </c>
      <c r="F2023" t="s">
        <v>324</v>
      </c>
      <c r="G2023" t="s">
        <v>325</v>
      </c>
      <c r="H2023" t="s">
        <v>332</v>
      </c>
      <c r="I2023" t="s">
        <v>8</v>
      </c>
      <c r="J2023" t="s">
        <v>31</v>
      </c>
      <c r="K2023" t="s">
        <v>32</v>
      </c>
      <c r="L2023" t="s">
        <v>310</v>
      </c>
      <c r="M2023" t="s">
        <v>311</v>
      </c>
      <c r="N2023">
        <v>0</v>
      </c>
      <c r="O2023" t="str">
        <f>IF(Transactions_RAW_cleaned[[#This Row],[Status]]="Completed", IFERROR(_xlfn.XLOOKUP(Transactions_RAW_cleaned[[#This Row],[CustomerID]], Customers_cleaned[CustomerID], Customers_cleaned[Segment]), "Customer Not Found"), "N/A")</f>
        <v>SMB</v>
      </c>
      <c r="P2023" s="5" t="str">
        <f>IF(Transactions_RAW_cleaned[[#This Row],[Status]]="Refunded", "Refund",
  IF(Transactions_RAW_cleaned[[#This Row],[Category]]="Payments", IF(Transactions_RAW_cleaned[[#This Row],[Amount]]&gt;500,"High Value","Standard"),
    IF(Transactions_RAW_cleaned[[#This Row],[Amount]]&gt;250,"High Value","Standard")))</f>
        <v>High Value</v>
      </c>
      <c r="Q2023" s="5" t="str">
        <f>IF(Transactions_RAW_cleaned[[#This Row],[Amount]] &gt; (_xlfn.XLOOKUP(Transactions_RAW_cleaned[[#This Row],[ServiceID]],Services_cleaned[ServiceID],Services_cleaned[TransactionFeePct]) * 10000), "Yes", "No")</f>
        <v>Yes</v>
      </c>
      <c r="R2023" s="5" t="str">
        <f>IF(COUNTIFS($C$2:Transactions_RAW_cleaned[[#This Row],[CustomerID]],Transactions_RAW_cleaned[[#This Row],[CustomerID]],$D$2:Transactions_RAW_cleaned[[#This Row],[ServiceID]],Transactions_RAW_cleaned[[#This Row],[ServiceID]])=1,"Yes","No")</f>
        <v>No</v>
      </c>
      <c r="S202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023" t="str">
        <f>"Q"&amp;ROUNDUP(MONTH(Transactions_RAW_cleaned[[#This Row],[TransactionDate]])/3,0)</f>
        <v>Q4</v>
      </c>
      <c r="U2023" t="str">
        <f>Transactions_RAW_cleaned[[#This Row],[Region ]]&amp;Transactions_RAW_cleaned[[#This Row],[Quarter ]]</f>
        <v>EMEAQ4</v>
      </c>
      <c r="V2023" s="5">
        <f>_xlfn.XLOOKUP(Transactions_RAW_cleaned[[#This Row],[RegionQuarterKey]], Quarterly_Targets_cleaned[RegionQuarterKey], Quarterly_Targets_cleaned[TargetRevenue])</f>
        <v>161000</v>
      </c>
    </row>
    <row r="2024" spans="1:22" x14ac:dyDescent="0.25">
      <c r="A2024" t="s">
        <v>2360</v>
      </c>
      <c r="B2024" s="1">
        <v>45320</v>
      </c>
      <c r="C2024" t="s">
        <v>257</v>
      </c>
      <c r="D2024" t="s">
        <v>303</v>
      </c>
      <c r="E2024">
        <v>486.57</v>
      </c>
      <c r="F2024" t="s">
        <v>324</v>
      </c>
      <c r="G2024" t="s">
        <v>337</v>
      </c>
      <c r="I2024" t="s">
        <v>57</v>
      </c>
      <c r="J2024" t="s">
        <v>13</v>
      </c>
      <c r="K2024" t="s">
        <v>22</v>
      </c>
      <c r="L2024" t="s">
        <v>304</v>
      </c>
      <c r="M2024" t="s">
        <v>305</v>
      </c>
      <c r="N2024">
        <v>1E-3</v>
      </c>
      <c r="O2024" t="str">
        <f>IF(Transactions_RAW_cleaned[[#This Row],[Status]]="Completed", IFERROR(_xlfn.XLOOKUP(Transactions_RAW_cleaned[[#This Row],[CustomerID]], Customers_cleaned[CustomerID], Customers_cleaned[Segment]), "Customer Not Found"), "N/A")</f>
        <v>Startup</v>
      </c>
      <c r="P2024" s="5" t="str">
        <f>IF(Transactions_RAW_cleaned[[#This Row],[Status]]="Refunded", "Refund",
  IF(Transactions_RAW_cleaned[[#This Row],[Category]]="Payments", IF(Transactions_RAW_cleaned[[#This Row],[Amount]]&gt;500,"High Value","Standard"),
    IF(Transactions_RAW_cleaned[[#This Row],[Amount]]&gt;250,"High Value","Standard")))</f>
        <v>High Value</v>
      </c>
      <c r="Q2024" s="5" t="str">
        <f>IF(Transactions_RAW_cleaned[[#This Row],[Amount]] &gt; (_xlfn.XLOOKUP(Transactions_RAW_cleaned[[#This Row],[ServiceID]],Services_cleaned[ServiceID],Services_cleaned[TransactionFeePct]) * 10000), "Yes", "No")</f>
        <v>Yes</v>
      </c>
      <c r="R2024" s="5" t="str">
        <f>IF(COUNTIFS($C$2:Transactions_RAW_cleaned[[#This Row],[CustomerID]],Transactions_RAW_cleaned[[#This Row],[CustomerID]],$D$2:Transactions_RAW_cleaned[[#This Row],[ServiceID]],Transactions_RAW_cleaned[[#This Row],[ServiceID]])=1,"Yes","No")</f>
        <v>No</v>
      </c>
      <c r="S202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24" t="str">
        <f>"Q"&amp;ROUNDUP(MONTH(Transactions_RAW_cleaned[[#This Row],[TransactionDate]])/3,0)</f>
        <v>Q1</v>
      </c>
      <c r="U2024" t="str">
        <f>Transactions_RAW_cleaned[[#This Row],[Region ]]&amp;Transactions_RAW_cleaned[[#This Row],[Quarter ]]</f>
        <v>NAQ1</v>
      </c>
      <c r="V2024" s="5">
        <f>_xlfn.XLOOKUP(Transactions_RAW_cleaned[[#This Row],[RegionQuarterKey]], Quarterly_Targets_cleaned[RegionQuarterKey], Quarterly_Targets_cleaned[TargetRevenue])</f>
        <v>247000</v>
      </c>
    </row>
    <row r="2025" spans="1:22" x14ac:dyDescent="0.25">
      <c r="A2025" t="s">
        <v>2361</v>
      </c>
      <c r="B2025" s="1">
        <v>45406</v>
      </c>
      <c r="C2025" t="s">
        <v>185</v>
      </c>
      <c r="D2025" t="s">
        <v>297</v>
      </c>
      <c r="E2025">
        <v>260.43</v>
      </c>
      <c r="F2025" t="s">
        <v>324</v>
      </c>
      <c r="G2025" t="s">
        <v>325</v>
      </c>
      <c r="I2025" t="s">
        <v>17</v>
      </c>
      <c r="J2025" t="s">
        <v>13</v>
      </c>
      <c r="K2025" t="s">
        <v>32</v>
      </c>
      <c r="L2025" t="s">
        <v>298</v>
      </c>
      <c r="M2025" t="s">
        <v>299</v>
      </c>
      <c r="N2025">
        <v>0</v>
      </c>
      <c r="O2025" t="str">
        <f>IF(Transactions_RAW_cleaned[[#This Row],[Status]]="Completed", IFERROR(_xlfn.XLOOKUP(Transactions_RAW_cleaned[[#This Row],[CustomerID]], Customers_cleaned[CustomerID], Customers_cleaned[Segment]), "Customer Not Found"), "N/A")</f>
        <v>Enterprise</v>
      </c>
      <c r="P2025" s="5" t="str">
        <f>IF(Transactions_RAW_cleaned[[#This Row],[Status]]="Refunded", "Refund",
  IF(Transactions_RAW_cleaned[[#This Row],[Category]]="Payments", IF(Transactions_RAW_cleaned[[#This Row],[Amount]]&gt;500,"High Value","Standard"),
    IF(Transactions_RAW_cleaned[[#This Row],[Amount]]&gt;250,"High Value","Standard")))</f>
        <v>High Value</v>
      </c>
      <c r="Q2025" s="5" t="str">
        <f>IF(Transactions_RAW_cleaned[[#This Row],[Amount]] &gt; (_xlfn.XLOOKUP(Transactions_RAW_cleaned[[#This Row],[ServiceID]],Services_cleaned[ServiceID],Services_cleaned[TransactionFeePct]) * 10000), "Yes", "No")</f>
        <v>Yes</v>
      </c>
      <c r="R2025" s="5" t="str">
        <f>IF(COUNTIFS($C$2:Transactions_RAW_cleaned[[#This Row],[CustomerID]],Transactions_RAW_cleaned[[#This Row],[CustomerID]],$D$2:Transactions_RAW_cleaned[[#This Row],[ServiceID]],Transactions_RAW_cleaned[[#This Row],[ServiceID]])=1,"Yes","No")</f>
        <v>No</v>
      </c>
      <c r="S202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25" t="str">
        <f>"Q"&amp;ROUNDUP(MONTH(Transactions_RAW_cleaned[[#This Row],[TransactionDate]])/3,0)</f>
        <v>Q2</v>
      </c>
      <c r="U2025" t="str">
        <f>Transactions_RAW_cleaned[[#This Row],[Region ]]&amp;Transactions_RAW_cleaned[[#This Row],[Quarter ]]</f>
        <v>NAQ2</v>
      </c>
      <c r="V2025" s="5">
        <f>_xlfn.XLOOKUP(Transactions_RAW_cleaned[[#This Row],[RegionQuarterKey]], Quarterly_Targets_cleaned[RegionQuarterKey], Quarterly_Targets_cleaned[TargetRevenue])</f>
        <v>260000</v>
      </c>
    </row>
    <row r="2026" spans="1:22" x14ac:dyDescent="0.25">
      <c r="A2026" t="s">
        <v>2362</v>
      </c>
      <c r="B2026" s="1">
        <v>45453</v>
      </c>
      <c r="C2026" t="s">
        <v>29</v>
      </c>
      <c r="D2026" t="s">
        <v>309</v>
      </c>
      <c r="E2026">
        <v>242.74</v>
      </c>
      <c r="F2026" t="s">
        <v>381</v>
      </c>
      <c r="G2026" t="s">
        <v>337</v>
      </c>
      <c r="H2026" t="s">
        <v>334</v>
      </c>
      <c r="I2026" t="s">
        <v>8</v>
      </c>
      <c r="J2026" t="s">
        <v>31</v>
      </c>
      <c r="K2026" t="s">
        <v>32</v>
      </c>
      <c r="L2026" t="s">
        <v>310</v>
      </c>
      <c r="M2026" t="s">
        <v>311</v>
      </c>
      <c r="N2026">
        <v>0</v>
      </c>
      <c r="O2026" t="str">
        <f>IF(Transactions_RAW_cleaned[[#This Row],[Status]]="Completed", IFERROR(_xlfn.XLOOKUP(Transactions_RAW_cleaned[[#This Row],[CustomerID]], Customers_cleaned[CustomerID], Customers_cleaned[Segment]), "Customer Not Found"), "N/A")</f>
        <v>N/A</v>
      </c>
      <c r="P2026" s="5" t="str">
        <f>IF(Transactions_RAW_cleaned[[#This Row],[Status]]="Refunded", "Refund",
  IF(Transactions_RAW_cleaned[[#This Row],[Category]]="Payments", IF(Transactions_RAW_cleaned[[#This Row],[Amount]]&gt;500,"High Value","Standard"),
    IF(Transactions_RAW_cleaned[[#This Row],[Amount]]&gt;250,"High Value","Standard")))</f>
        <v>Standard</v>
      </c>
      <c r="Q2026" s="5" t="str">
        <f>IF(Transactions_RAW_cleaned[[#This Row],[Amount]] &gt; (_xlfn.XLOOKUP(Transactions_RAW_cleaned[[#This Row],[ServiceID]],Services_cleaned[ServiceID],Services_cleaned[TransactionFeePct]) * 10000), "Yes", "No")</f>
        <v>Yes</v>
      </c>
      <c r="R2026" s="5" t="str">
        <f>IF(COUNTIFS($C$2:Transactions_RAW_cleaned[[#This Row],[CustomerID]],Transactions_RAW_cleaned[[#This Row],[CustomerID]],$D$2:Transactions_RAW_cleaned[[#This Row],[ServiceID]],Transactions_RAW_cleaned[[#This Row],[ServiceID]])=1,"Yes","No")</f>
        <v>No</v>
      </c>
      <c r="S202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026" t="str">
        <f>"Q"&amp;ROUNDUP(MONTH(Transactions_RAW_cleaned[[#This Row],[TransactionDate]])/3,0)</f>
        <v>Q2</v>
      </c>
      <c r="U2026" t="str">
        <f>Transactions_RAW_cleaned[[#This Row],[Region ]]&amp;Transactions_RAW_cleaned[[#This Row],[Quarter ]]</f>
        <v>EMEAQ2</v>
      </c>
      <c r="V2026" s="5">
        <f>_xlfn.XLOOKUP(Transactions_RAW_cleaned[[#This Row],[RegionQuarterKey]], Quarterly_Targets_cleaned[RegionQuarterKey], Quarterly_Targets_cleaned[TargetRevenue])</f>
        <v>140000</v>
      </c>
    </row>
    <row r="2027" spans="1:22" x14ac:dyDescent="0.25">
      <c r="A2027" t="s">
        <v>2363</v>
      </c>
      <c r="B2027" s="1">
        <v>45477</v>
      </c>
      <c r="C2027" t="s">
        <v>277</v>
      </c>
      <c r="D2027" t="s">
        <v>294</v>
      </c>
      <c r="E2027">
        <v>705.78</v>
      </c>
      <c r="F2027" t="s">
        <v>324</v>
      </c>
      <c r="G2027" t="s">
        <v>327</v>
      </c>
      <c r="H2027" t="s">
        <v>346</v>
      </c>
      <c r="I2027" t="s">
        <v>8</v>
      </c>
      <c r="J2027" t="s">
        <v>31</v>
      </c>
      <c r="K2027" t="s">
        <v>22</v>
      </c>
      <c r="L2027" t="s">
        <v>295</v>
      </c>
      <c r="M2027" t="s">
        <v>296</v>
      </c>
      <c r="N2027">
        <v>2.9000000000000001E-2</v>
      </c>
      <c r="O2027" t="str">
        <f>IF(Transactions_RAW_cleaned[[#This Row],[Status]]="Completed", IFERROR(_xlfn.XLOOKUP(Transactions_RAW_cleaned[[#This Row],[CustomerID]], Customers_cleaned[CustomerID], Customers_cleaned[Segment]), "Customer Not Found"), "N/A")</f>
        <v>SMB</v>
      </c>
      <c r="P2027" s="5" t="str">
        <f>IF(Transactions_RAW_cleaned[[#This Row],[Status]]="Refunded", "Refund",
  IF(Transactions_RAW_cleaned[[#This Row],[Category]]="Payments", IF(Transactions_RAW_cleaned[[#This Row],[Amount]]&gt;500,"High Value","Standard"),
    IF(Transactions_RAW_cleaned[[#This Row],[Amount]]&gt;250,"High Value","Standard")))</f>
        <v>High Value</v>
      </c>
      <c r="Q2027" s="5" t="str">
        <f>IF(Transactions_RAW_cleaned[[#This Row],[Amount]] &gt; (_xlfn.XLOOKUP(Transactions_RAW_cleaned[[#This Row],[ServiceID]],Services_cleaned[ServiceID],Services_cleaned[TransactionFeePct]) * 10000), "Yes", "No")</f>
        <v>Yes</v>
      </c>
      <c r="R2027" s="5" t="str">
        <f>IF(COUNTIFS($C$2:Transactions_RAW_cleaned[[#This Row],[CustomerID]],Transactions_RAW_cleaned[[#This Row],[CustomerID]],$D$2:Transactions_RAW_cleaned[[#This Row],[ServiceID]],Transactions_RAW_cleaned[[#This Row],[ServiceID]])=1,"Yes","No")</f>
        <v>No</v>
      </c>
      <c r="S202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027" t="str">
        <f>"Q"&amp;ROUNDUP(MONTH(Transactions_RAW_cleaned[[#This Row],[TransactionDate]])/3,0)</f>
        <v>Q3</v>
      </c>
      <c r="U2027" t="str">
        <f>Transactions_RAW_cleaned[[#This Row],[Region ]]&amp;Transactions_RAW_cleaned[[#This Row],[Quarter ]]</f>
        <v>EMEAQ3</v>
      </c>
      <c r="V2027" s="5">
        <f>_xlfn.XLOOKUP(Transactions_RAW_cleaned[[#This Row],[RegionQuarterKey]], Quarterly_Targets_cleaned[RegionQuarterKey], Quarterly_Targets_cleaned[TargetRevenue])</f>
        <v>147000</v>
      </c>
    </row>
    <row r="2028" spans="1:22" x14ac:dyDescent="0.25">
      <c r="A2028" t="s">
        <v>2364</v>
      </c>
      <c r="B2028" s="1">
        <v>45411</v>
      </c>
      <c r="C2028" t="s">
        <v>209</v>
      </c>
      <c r="D2028" t="s">
        <v>294</v>
      </c>
      <c r="E2028">
        <v>313.68</v>
      </c>
      <c r="F2028" t="s">
        <v>324</v>
      </c>
      <c r="G2028" t="s">
        <v>337</v>
      </c>
      <c r="I2028" t="s">
        <v>17</v>
      </c>
      <c r="J2028" t="s">
        <v>102</v>
      </c>
      <c r="K2028" t="s">
        <v>22</v>
      </c>
      <c r="L2028" t="s">
        <v>295</v>
      </c>
      <c r="M2028" t="s">
        <v>296</v>
      </c>
      <c r="N2028">
        <v>2.9000000000000001E-2</v>
      </c>
      <c r="O2028" t="str">
        <f>IF(Transactions_RAW_cleaned[[#This Row],[Status]]="Completed", IFERROR(_xlfn.XLOOKUP(Transactions_RAW_cleaned[[#This Row],[CustomerID]], Customers_cleaned[CustomerID], Customers_cleaned[Segment]), "Customer Not Found"), "N/A")</f>
        <v>Enterprise</v>
      </c>
      <c r="P2028" s="5" t="str">
        <f>IF(Transactions_RAW_cleaned[[#This Row],[Status]]="Refunded", "Refund",
  IF(Transactions_RAW_cleaned[[#This Row],[Category]]="Payments", IF(Transactions_RAW_cleaned[[#This Row],[Amount]]&gt;500,"High Value","Standard"),
    IF(Transactions_RAW_cleaned[[#This Row],[Amount]]&gt;250,"High Value","Standard")))</f>
        <v>Standard</v>
      </c>
      <c r="Q2028" s="5" t="str">
        <f>IF(Transactions_RAW_cleaned[[#This Row],[Amount]] &gt; (_xlfn.XLOOKUP(Transactions_RAW_cleaned[[#This Row],[ServiceID]],Services_cleaned[ServiceID],Services_cleaned[TransactionFeePct]) * 10000), "Yes", "No")</f>
        <v>Yes</v>
      </c>
      <c r="R2028" s="5" t="str">
        <f>IF(COUNTIFS($C$2:Transactions_RAW_cleaned[[#This Row],[CustomerID]],Transactions_RAW_cleaned[[#This Row],[CustomerID]],$D$2:Transactions_RAW_cleaned[[#This Row],[ServiceID]],Transactions_RAW_cleaned[[#This Row],[ServiceID]])=1,"Yes","No")</f>
        <v>No</v>
      </c>
      <c r="S202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28" t="str">
        <f>"Q"&amp;ROUNDUP(MONTH(Transactions_RAW_cleaned[[#This Row],[TransactionDate]])/3,0)</f>
        <v>Q2</v>
      </c>
      <c r="U2028" t="str">
        <f>Transactions_RAW_cleaned[[#This Row],[Region ]]&amp;Transactions_RAW_cleaned[[#This Row],[Quarter ]]</f>
        <v>NAQ2</v>
      </c>
      <c r="V2028" s="5">
        <f>_xlfn.XLOOKUP(Transactions_RAW_cleaned[[#This Row],[RegionQuarterKey]], Quarterly_Targets_cleaned[RegionQuarterKey], Quarterly_Targets_cleaned[TargetRevenue])</f>
        <v>260000</v>
      </c>
    </row>
    <row r="2029" spans="1:22" x14ac:dyDescent="0.25">
      <c r="A2029" t="s">
        <v>2365</v>
      </c>
      <c r="B2029" s="1">
        <v>45443</v>
      </c>
      <c r="C2029" t="s">
        <v>109</v>
      </c>
      <c r="D2029" t="s">
        <v>309</v>
      </c>
      <c r="E2029">
        <v>590.54999999999995</v>
      </c>
      <c r="F2029" t="s">
        <v>324</v>
      </c>
      <c r="G2029" t="s">
        <v>325</v>
      </c>
      <c r="H2029" t="s">
        <v>346</v>
      </c>
      <c r="I2029" t="s">
        <v>8</v>
      </c>
      <c r="J2029" t="s">
        <v>102</v>
      </c>
      <c r="K2029" t="s">
        <v>18</v>
      </c>
      <c r="L2029" t="s">
        <v>310</v>
      </c>
      <c r="M2029" t="s">
        <v>311</v>
      </c>
      <c r="N2029">
        <v>0</v>
      </c>
      <c r="O2029" t="str">
        <f>IF(Transactions_RAW_cleaned[[#This Row],[Status]]="Completed", IFERROR(_xlfn.XLOOKUP(Transactions_RAW_cleaned[[#This Row],[CustomerID]], Customers_cleaned[CustomerID], Customers_cleaned[Segment]), "Customer Not Found"), "N/A")</f>
        <v>SMB</v>
      </c>
      <c r="P2029" s="5" t="str">
        <f>IF(Transactions_RAW_cleaned[[#This Row],[Status]]="Refunded", "Refund",
  IF(Transactions_RAW_cleaned[[#This Row],[Category]]="Payments", IF(Transactions_RAW_cleaned[[#This Row],[Amount]]&gt;500,"High Value","Standard"),
    IF(Transactions_RAW_cleaned[[#This Row],[Amount]]&gt;250,"High Value","Standard")))</f>
        <v>High Value</v>
      </c>
      <c r="Q2029" s="5" t="str">
        <f>IF(Transactions_RAW_cleaned[[#This Row],[Amount]] &gt; (_xlfn.XLOOKUP(Transactions_RAW_cleaned[[#This Row],[ServiceID]],Services_cleaned[ServiceID],Services_cleaned[TransactionFeePct]) * 10000), "Yes", "No")</f>
        <v>Yes</v>
      </c>
      <c r="R2029" s="5" t="str">
        <f>IF(COUNTIFS($C$2:Transactions_RAW_cleaned[[#This Row],[CustomerID]],Transactions_RAW_cleaned[[#This Row],[CustomerID]],$D$2:Transactions_RAW_cleaned[[#This Row],[ServiceID]],Transactions_RAW_cleaned[[#This Row],[ServiceID]])=1,"Yes","No")</f>
        <v>No</v>
      </c>
      <c r="S202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29" t="str">
        <f>"Q"&amp;ROUNDUP(MONTH(Transactions_RAW_cleaned[[#This Row],[TransactionDate]])/3,0)</f>
        <v>Q2</v>
      </c>
      <c r="U2029" t="str">
        <f>Transactions_RAW_cleaned[[#This Row],[Region ]]&amp;Transactions_RAW_cleaned[[#This Row],[Quarter ]]</f>
        <v>NAQ2</v>
      </c>
      <c r="V2029" s="5">
        <f>_xlfn.XLOOKUP(Transactions_RAW_cleaned[[#This Row],[RegionQuarterKey]], Quarterly_Targets_cleaned[RegionQuarterKey], Quarterly_Targets_cleaned[TargetRevenue])</f>
        <v>260000</v>
      </c>
    </row>
    <row r="2030" spans="1:22" x14ac:dyDescent="0.25">
      <c r="A2030" t="s">
        <v>2366</v>
      </c>
      <c r="B2030" s="1">
        <v>45515</v>
      </c>
      <c r="C2030" t="s">
        <v>195</v>
      </c>
      <c r="D2030" t="s">
        <v>300</v>
      </c>
      <c r="E2030">
        <v>222.08</v>
      </c>
      <c r="F2030" t="s">
        <v>324</v>
      </c>
      <c r="G2030" t="s">
        <v>325</v>
      </c>
      <c r="I2030" t="s">
        <v>8</v>
      </c>
      <c r="J2030" t="s">
        <v>102</v>
      </c>
      <c r="K2030" t="s">
        <v>32</v>
      </c>
      <c r="L2030" t="s">
        <v>301</v>
      </c>
      <c r="M2030" t="s">
        <v>302</v>
      </c>
      <c r="N2030">
        <v>5.0000000000000001E-3</v>
      </c>
      <c r="O2030" t="str">
        <f>IF(Transactions_RAW_cleaned[[#This Row],[Status]]="Completed", IFERROR(_xlfn.XLOOKUP(Transactions_RAW_cleaned[[#This Row],[CustomerID]], Customers_cleaned[CustomerID], Customers_cleaned[Segment]), "Customer Not Found"), "N/A")</f>
        <v>SMB</v>
      </c>
      <c r="P2030" s="5" t="str">
        <f>IF(Transactions_RAW_cleaned[[#This Row],[Status]]="Refunded", "Refund",
  IF(Transactions_RAW_cleaned[[#This Row],[Category]]="Payments", IF(Transactions_RAW_cleaned[[#This Row],[Amount]]&gt;500,"High Value","Standard"),
    IF(Transactions_RAW_cleaned[[#This Row],[Amount]]&gt;250,"High Value","Standard")))</f>
        <v>Standard</v>
      </c>
      <c r="Q2030" s="5" t="str">
        <f>IF(Transactions_RAW_cleaned[[#This Row],[Amount]] &gt; (_xlfn.XLOOKUP(Transactions_RAW_cleaned[[#This Row],[ServiceID]],Services_cleaned[ServiceID],Services_cleaned[TransactionFeePct]) * 10000), "Yes", "No")</f>
        <v>Yes</v>
      </c>
      <c r="R2030" s="5" t="str">
        <f>IF(COUNTIFS($C$2:Transactions_RAW_cleaned[[#This Row],[CustomerID]],Transactions_RAW_cleaned[[#This Row],[CustomerID]],$D$2:Transactions_RAW_cleaned[[#This Row],[ServiceID]],Transactions_RAW_cleaned[[#This Row],[ServiceID]])=1,"Yes","No")</f>
        <v>No</v>
      </c>
      <c r="S203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30" t="str">
        <f>"Q"&amp;ROUNDUP(MONTH(Transactions_RAW_cleaned[[#This Row],[TransactionDate]])/3,0)</f>
        <v>Q3</v>
      </c>
      <c r="U2030" t="str">
        <f>Transactions_RAW_cleaned[[#This Row],[Region ]]&amp;Transactions_RAW_cleaned[[#This Row],[Quarter ]]</f>
        <v>NAQ3</v>
      </c>
      <c r="V2030" s="5">
        <f>_xlfn.XLOOKUP(Transactions_RAW_cleaned[[#This Row],[RegionQuarterKey]], Quarterly_Targets_cleaned[RegionQuarterKey], Quarterly_Targets_cleaned[TargetRevenue])</f>
        <v>273000</v>
      </c>
    </row>
    <row r="2031" spans="1:22" x14ac:dyDescent="0.25">
      <c r="A2031" t="s">
        <v>2367</v>
      </c>
      <c r="B2031" s="1">
        <v>45416</v>
      </c>
      <c r="C2031" t="s">
        <v>641</v>
      </c>
      <c r="D2031" t="s">
        <v>312</v>
      </c>
      <c r="E2031">
        <v>814.75</v>
      </c>
      <c r="F2031" t="s">
        <v>381</v>
      </c>
      <c r="G2031" t="s">
        <v>329</v>
      </c>
      <c r="I2031" t="s">
        <v>8</v>
      </c>
      <c r="J2031" t="s">
        <v>13</v>
      </c>
      <c r="K2031" t="s">
        <v>22</v>
      </c>
      <c r="L2031" t="s">
        <v>313</v>
      </c>
      <c r="M2031" t="s">
        <v>314</v>
      </c>
      <c r="N2031">
        <v>0</v>
      </c>
      <c r="O2031" t="str">
        <f>IF(Transactions_RAW_cleaned[[#This Row],[Status]]="Completed", IFERROR(_xlfn.XLOOKUP(Transactions_RAW_cleaned[[#This Row],[CustomerID]], Customers_cleaned[CustomerID], Customers_cleaned[Segment]), "Customer Not Found"), "N/A")</f>
        <v>N/A</v>
      </c>
      <c r="P2031" s="5" t="str">
        <f>IF(Transactions_RAW_cleaned[[#This Row],[Status]]="Refunded", "Refund",
  IF(Transactions_RAW_cleaned[[#This Row],[Category]]="Payments", IF(Transactions_RAW_cleaned[[#This Row],[Amount]]&gt;500,"High Value","Standard"),
    IF(Transactions_RAW_cleaned[[#This Row],[Amount]]&gt;250,"High Value","Standard")))</f>
        <v>High Value</v>
      </c>
      <c r="Q2031" s="5" t="str">
        <f>IF(Transactions_RAW_cleaned[[#This Row],[Amount]] &gt; (_xlfn.XLOOKUP(Transactions_RAW_cleaned[[#This Row],[ServiceID]],Services_cleaned[ServiceID],Services_cleaned[TransactionFeePct]) * 10000), "Yes", "No")</f>
        <v>Yes</v>
      </c>
      <c r="R2031" s="5" t="str">
        <f>IF(COUNTIFS($C$2:Transactions_RAW_cleaned[[#This Row],[CustomerID]],Transactions_RAW_cleaned[[#This Row],[CustomerID]],$D$2:Transactions_RAW_cleaned[[#This Row],[ServiceID]],Transactions_RAW_cleaned[[#This Row],[ServiceID]])=1,"Yes","No")</f>
        <v>Yes</v>
      </c>
      <c r="S203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31" t="str">
        <f>"Q"&amp;ROUNDUP(MONTH(Transactions_RAW_cleaned[[#This Row],[TransactionDate]])/3,0)</f>
        <v>Q2</v>
      </c>
      <c r="U2031" t="str">
        <f>Transactions_RAW_cleaned[[#This Row],[Region ]]&amp;Transactions_RAW_cleaned[[#This Row],[Quarter ]]</f>
        <v>NAQ2</v>
      </c>
      <c r="V2031" s="5">
        <f>_xlfn.XLOOKUP(Transactions_RAW_cleaned[[#This Row],[RegionQuarterKey]], Quarterly_Targets_cleaned[RegionQuarterKey], Quarterly_Targets_cleaned[TargetRevenue])</f>
        <v>260000</v>
      </c>
    </row>
    <row r="2032" spans="1:22" x14ac:dyDescent="0.25">
      <c r="A2032" t="s">
        <v>2368</v>
      </c>
      <c r="B2032" s="1">
        <v>45442</v>
      </c>
      <c r="C2032" t="s">
        <v>149</v>
      </c>
      <c r="D2032" t="s">
        <v>294</v>
      </c>
      <c r="E2032">
        <v>370.29</v>
      </c>
      <c r="F2032" t="s">
        <v>331</v>
      </c>
      <c r="G2032" t="s">
        <v>329</v>
      </c>
      <c r="I2032" t="s">
        <v>8</v>
      </c>
      <c r="J2032" t="s">
        <v>13</v>
      </c>
      <c r="K2032" t="s">
        <v>22</v>
      </c>
      <c r="L2032" t="s">
        <v>295</v>
      </c>
      <c r="M2032" t="s">
        <v>296</v>
      </c>
      <c r="N2032">
        <v>2.9000000000000001E-2</v>
      </c>
      <c r="O2032" t="str">
        <f>IF(Transactions_RAW_cleaned[[#This Row],[Status]]="Completed", IFERROR(_xlfn.XLOOKUP(Transactions_RAW_cleaned[[#This Row],[CustomerID]], Customers_cleaned[CustomerID], Customers_cleaned[Segment]), "Customer Not Found"), "N/A")</f>
        <v>N/A</v>
      </c>
      <c r="P2032" s="5" t="str">
        <f>IF(Transactions_RAW_cleaned[[#This Row],[Status]]="Refunded", "Refund",
  IF(Transactions_RAW_cleaned[[#This Row],[Category]]="Payments", IF(Transactions_RAW_cleaned[[#This Row],[Amount]]&gt;500,"High Value","Standard"),
    IF(Transactions_RAW_cleaned[[#This Row],[Amount]]&gt;250,"High Value","Standard")))</f>
        <v>Standard</v>
      </c>
      <c r="Q2032" s="5" t="str">
        <f>IF(Transactions_RAW_cleaned[[#This Row],[Amount]] &gt; (_xlfn.XLOOKUP(Transactions_RAW_cleaned[[#This Row],[ServiceID]],Services_cleaned[ServiceID],Services_cleaned[TransactionFeePct]) * 10000), "Yes", "No")</f>
        <v>Yes</v>
      </c>
      <c r="R2032" s="5" t="str">
        <f>IF(COUNTIFS($C$2:Transactions_RAW_cleaned[[#This Row],[CustomerID]],Transactions_RAW_cleaned[[#This Row],[CustomerID]],$D$2:Transactions_RAW_cleaned[[#This Row],[ServiceID]],Transactions_RAW_cleaned[[#This Row],[ServiceID]])=1,"Yes","No")</f>
        <v>No</v>
      </c>
      <c r="S203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32" t="str">
        <f>"Q"&amp;ROUNDUP(MONTH(Transactions_RAW_cleaned[[#This Row],[TransactionDate]])/3,0)</f>
        <v>Q2</v>
      </c>
      <c r="U2032" t="str">
        <f>Transactions_RAW_cleaned[[#This Row],[Region ]]&amp;Transactions_RAW_cleaned[[#This Row],[Quarter ]]</f>
        <v>NAQ2</v>
      </c>
      <c r="V2032" s="5">
        <f>_xlfn.XLOOKUP(Transactions_RAW_cleaned[[#This Row],[RegionQuarterKey]], Quarterly_Targets_cleaned[RegionQuarterKey], Quarterly_Targets_cleaned[TargetRevenue])</f>
        <v>260000</v>
      </c>
    </row>
    <row r="2033" spans="1:22" x14ac:dyDescent="0.25">
      <c r="A2033" t="s">
        <v>2369</v>
      </c>
      <c r="B2033" s="1">
        <v>45448</v>
      </c>
      <c r="C2033" t="s">
        <v>40</v>
      </c>
      <c r="D2033" t="s">
        <v>297</v>
      </c>
      <c r="E2033">
        <v>457.99</v>
      </c>
      <c r="F2033" t="s">
        <v>324</v>
      </c>
      <c r="G2033" t="s">
        <v>325</v>
      </c>
      <c r="H2033" t="s">
        <v>332</v>
      </c>
      <c r="I2033" t="s">
        <v>17</v>
      </c>
      <c r="J2033" t="s">
        <v>102</v>
      </c>
      <c r="K2033" t="s">
        <v>14</v>
      </c>
      <c r="L2033" t="s">
        <v>298</v>
      </c>
      <c r="M2033" t="s">
        <v>299</v>
      </c>
      <c r="N2033">
        <v>0</v>
      </c>
      <c r="O2033" t="str">
        <f>IF(Transactions_RAW_cleaned[[#This Row],[Status]]="Completed", IFERROR(_xlfn.XLOOKUP(Transactions_RAW_cleaned[[#This Row],[CustomerID]], Customers_cleaned[CustomerID], Customers_cleaned[Segment]), "Customer Not Found"), "N/A")</f>
        <v>Enterprise</v>
      </c>
      <c r="P2033" s="5" t="str">
        <f>IF(Transactions_RAW_cleaned[[#This Row],[Status]]="Refunded", "Refund",
  IF(Transactions_RAW_cleaned[[#This Row],[Category]]="Payments", IF(Transactions_RAW_cleaned[[#This Row],[Amount]]&gt;500,"High Value","Standard"),
    IF(Transactions_RAW_cleaned[[#This Row],[Amount]]&gt;250,"High Value","Standard")))</f>
        <v>High Value</v>
      </c>
      <c r="Q2033" s="5" t="str">
        <f>IF(Transactions_RAW_cleaned[[#This Row],[Amount]] &gt; (_xlfn.XLOOKUP(Transactions_RAW_cleaned[[#This Row],[ServiceID]],Services_cleaned[ServiceID],Services_cleaned[TransactionFeePct]) * 10000), "Yes", "No")</f>
        <v>Yes</v>
      </c>
      <c r="R2033" s="5" t="str">
        <f>IF(COUNTIFS($C$2:Transactions_RAW_cleaned[[#This Row],[CustomerID]],Transactions_RAW_cleaned[[#This Row],[CustomerID]],$D$2:Transactions_RAW_cleaned[[#This Row],[ServiceID]],Transactions_RAW_cleaned[[#This Row],[ServiceID]])=1,"Yes","No")</f>
        <v>No</v>
      </c>
      <c r="S203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33" t="str">
        <f>"Q"&amp;ROUNDUP(MONTH(Transactions_RAW_cleaned[[#This Row],[TransactionDate]])/3,0)</f>
        <v>Q2</v>
      </c>
      <c r="U2033" t="str">
        <f>Transactions_RAW_cleaned[[#This Row],[Region ]]&amp;Transactions_RAW_cleaned[[#This Row],[Quarter ]]</f>
        <v>NAQ2</v>
      </c>
      <c r="V2033" s="5">
        <f>_xlfn.XLOOKUP(Transactions_RAW_cleaned[[#This Row],[RegionQuarterKey]], Quarterly_Targets_cleaned[RegionQuarterKey], Quarterly_Targets_cleaned[TargetRevenue])</f>
        <v>260000</v>
      </c>
    </row>
    <row r="2034" spans="1:22" x14ac:dyDescent="0.25">
      <c r="A2034" t="s">
        <v>2370</v>
      </c>
      <c r="B2034" s="1">
        <v>45432</v>
      </c>
      <c r="C2034" t="s">
        <v>271</v>
      </c>
      <c r="D2034" t="s">
        <v>297</v>
      </c>
      <c r="E2034">
        <v>295.85000000000002</v>
      </c>
      <c r="F2034" t="s">
        <v>324</v>
      </c>
      <c r="G2034" t="s">
        <v>325</v>
      </c>
      <c r="H2034" t="s">
        <v>346</v>
      </c>
      <c r="I2034" t="s">
        <v>8</v>
      </c>
      <c r="J2034" t="s">
        <v>102</v>
      </c>
      <c r="K2034" t="s">
        <v>28</v>
      </c>
      <c r="L2034" t="s">
        <v>298</v>
      </c>
      <c r="M2034" t="s">
        <v>299</v>
      </c>
      <c r="N2034">
        <v>0</v>
      </c>
      <c r="O2034" t="str">
        <f>IF(Transactions_RAW_cleaned[[#This Row],[Status]]="Completed", IFERROR(_xlfn.XLOOKUP(Transactions_RAW_cleaned[[#This Row],[CustomerID]], Customers_cleaned[CustomerID], Customers_cleaned[Segment]), "Customer Not Found"), "N/A")</f>
        <v>SMB</v>
      </c>
      <c r="P2034" s="5" t="str">
        <f>IF(Transactions_RAW_cleaned[[#This Row],[Status]]="Refunded", "Refund",
  IF(Transactions_RAW_cleaned[[#This Row],[Category]]="Payments", IF(Transactions_RAW_cleaned[[#This Row],[Amount]]&gt;500,"High Value","Standard"),
    IF(Transactions_RAW_cleaned[[#This Row],[Amount]]&gt;250,"High Value","Standard")))</f>
        <v>High Value</v>
      </c>
      <c r="Q2034" s="5" t="str">
        <f>IF(Transactions_RAW_cleaned[[#This Row],[Amount]] &gt; (_xlfn.XLOOKUP(Transactions_RAW_cleaned[[#This Row],[ServiceID]],Services_cleaned[ServiceID],Services_cleaned[TransactionFeePct]) * 10000), "Yes", "No")</f>
        <v>Yes</v>
      </c>
      <c r="R2034" s="5" t="str">
        <f>IF(COUNTIFS($C$2:Transactions_RAW_cleaned[[#This Row],[CustomerID]],Transactions_RAW_cleaned[[#This Row],[CustomerID]],$D$2:Transactions_RAW_cleaned[[#This Row],[ServiceID]],Transactions_RAW_cleaned[[#This Row],[ServiceID]])=1,"Yes","No")</f>
        <v>No</v>
      </c>
      <c r="S203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34" t="str">
        <f>"Q"&amp;ROUNDUP(MONTH(Transactions_RAW_cleaned[[#This Row],[TransactionDate]])/3,0)</f>
        <v>Q2</v>
      </c>
      <c r="U2034" t="str">
        <f>Transactions_RAW_cleaned[[#This Row],[Region ]]&amp;Transactions_RAW_cleaned[[#This Row],[Quarter ]]</f>
        <v>NAQ2</v>
      </c>
      <c r="V2034" s="5">
        <f>_xlfn.XLOOKUP(Transactions_RAW_cleaned[[#This Row],[RegionQuarterKey]], Quarterly_Targets_cleaned[RegionQuarterKey], Quarterly_Targets_cleaned[TargetRevenue])</f>
        <v>260000</v>
      </c>
    </row>
    <row r="2035" spans="1:22" x14ac:dyDescent="0.25">
      <c r="A2035" t="s">
        <v>2371</v>
      </c>
      <c r="B2035" s="1">
        <v>45473</v>
      </c>
      <c r="C2035" t="s">
        <v>215</v>
      </c>
      <c r="D2035" t="s">
        <v>306</v>
      </c>
      <c r="E2035">
        <v>207.94</v>
      </c>
      <c r="F2035" t="s">
        <v>324</v>
      </c>
      <c r="G2035" t="s">
        <v>327</v>
      </c>
      <c r="H2035" t="s">
        <v>332</v>
      </c>
      <c r="I2035" t="s">
        <v>57</v>
      </c>
      <c r="J2035" t="s">
        <v>102</v>
      </c>
      <c r="K2035" t="s">
        <v>14</v>
      </c>
      <c r="L2035" t="s">
        <v>307</v>
      </c>
      <c r="M2035" t="s">
        <v>308</v>
      </c>
      <c r="N2035">
        <v>0</v>
      </c>
      <c r="O2035" t="str">
        <f>IF(Transactions_RAW_cleaned[[#This Row],[Status]]="Completed", IFERROR(_xlfn.XLOOKUP(Transactions_RAW_cleaned[[#This Row],[CustomerID]], Customers_cleaned[CustomerID], Customers_cleaned[Segment]), "Customer Not Found"), "N/A")</f>
        <v>Startup</v>
      </c>
      <c r="P2035" s="5" t="str">
        <f>IF(Transactions_RAW_cleaned[[#This Row],[Status]]="Refunded", "Refund",
  IF(Transactions_RAW_cleaned[[#This Row],[Category]]="Payments", IF(Transactions_RAW_cleaned[[#This Row],[Amount]]&gt;500,"High Value","Standard"),
    IF(Transactions_RAW_cleaned[[#This Row],[Amount]]&gt;250,"High Value","Standard")))</f>
        <v>Standard</v>
      </c>
      <c r="Q2035" s="5" t="str">
        <f>IF(Transactions_RAW_cleaned[[#This Row],[Amount]] &gt; (_xlfn.XLOOKUP(Transactions_RAW_cleaned[[#This Row],[ServiceID]],Services_cleaned[ServiceID],Services_cleaned[TransactionFeePct]) * 10000), "Yes", "No")</f>
        <v>Yes</v>
      </c>
      <c r="R2035" s="5" t="str">
        <f>IF(COUNTIFS($C$2:Transactions_RAW_cleaned[[#This Row],[CustomerID]],Transactions_RAW_cleaned[[#This Row],[CustomerID]],$D$2:Transactions_RAW_cleaned[[#This Row],[ServiceID]],Transactions_RAW_cleaned[[#This Row],[ServiceID]])=1,"Yes","No")</f>
        <v>Yes</v>
      </c>
      <c r="S203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35" t="str">
        <f>"Q"&amp;ROUNDUP(MONTH(Transactions_RAW_cleaned[[#This Row],[TransactionDate]])/3,0)</f>
        <v>Q2</v>
      </c>
      <c r="U2035" t="str">
        <f>Transactions_RAW_cleaned[[#This Row],[Region ]]&amp;Transactions_RAW_cleaned[[#This Row],[Quarter ]]</f>
        <v>NAQ2</v>
      </c>
      <c r="V2035" s="5">
        <f>_xlfn.XLOOKUP(Transactions_RAW_cleaned[[#This Row],[RegionQuarterKey]], Quarterly_Targets_cleaned[RegionQuarterKey], Quarterly_Targets_cleaned[TargetRevenue])</f>
        <v>260000</v>
      </c>
    </row>
    <row r="2036" spans="1:22" x14ac:dyDescent="0.25">
      <c r="A2036" t="s">
        <v>2372</v>
      </c>
      <c r="B2036" s="1">
        <v>45632</v>
      </c>
      <c r="C2036" t="s">
        <v>47</v>
      </c>
      <c r="D2036" t="s">
        <v>315</v>
      </c>
      <c r="E2036">
        <v>-198.65</v>
      </c>
      <c r="F2036" t="s">
        <v>349</v>
      </c>
      <c r="G2036" t="s">
        <v>325</v>
      </c>
      <c r="H2036" t="s">
        <v>346</v>
      </c>
      <c r="I2036" t="s">
        <v>8</v>
      </c>
      <c r="J2036" t="s">
        <v>21</v>
      </c>
      <c r="K2036" t="s">
        <v>22</v>
      </c>
      <c r="L2036" t="s">
        <v>316</v>
      </c>
      <c r="M2036" t="s">
        <v>305</v>
      </c>
      <c r="N2036">
        <v>2.5000000000000001E-3</v>
      </c>
      <c r="O2036" t="str">
        <f>IF(Transactions_RAW_cleaned[[#This Row],[Status]]="Completed", IFERROR(_xlfn.XLOOKUP(Transactions_RAW_cleaned[[#This Row],[CustomerID]], Customers_cleaned[CustomerID], Customers_cleaned[Segment]), "Customer Not Found"), "N/A")</f>
        <v>N/A</v>
      </c>
      <c r="P2036" s="5" t="str">
        <f>IF(Transactions_RAW_cleaned[[#This Row],[Status]]="Refunded", "Refund",
  IF(Transactions_RAW_cleaned[[#This Row],[Category]]="Payments", IF(Transactions_RAW_cleaned[[#This Row],[Amount]]&gt;500,"High Value","Standard"),
    IF(Transactions_RAW_cleaned[[#This Row],[Amount]]&gt;250,"High Value","Standard")))</f>
        <v>Refund</v>
      </c>
      <c r="Q2036" s="5" t="str">
        <f>IF(Transactions_RAW_cleaned[[#This Row],[Amount]] &gt; (_xlfn.XLOOKUP(Transactions_RAW_cleaned[[#This Row],[ServiceID]],Services_cleaned[ServiceID],Services_cleaned[TransactionFeePct]) * 10000), "Yes", "No")</f>
        <v>No</v>
      </c>
      <c r="R2036" s="5" t="str">
        <f>IF(COUNTIFS($C$2:Transactions_RAW_cleaned[[#This Row],[CustomerID]],Transactions_RAW_cleaned[[#This Row],[CustomerID]],$D$2:Transactions_RAW_cleaned[[#This Row],[ServiceID]],Transactions_RAW_cleaned[[#This Row],[ServiceID]])=1,"Yes","No")</f>
        <v>Yes</v>
      </c>
      <c r="S203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36" t="str">
        <f>"Q"&amp;ROUNDUP(MONTH(Transactions_RAW_cleaned[[#This Row],[TransactionDate]])/3,0)</f>
        <v>Q4</v>
      </c>
      <c r="U2036" t="str">
        <f>Transactions_RAW_cleaned[[#This Row],[Region ]]&amp;Transactions_RAW_cleaned[[#This Row],[Quarter ]]</f>
        <v>APACQ4</v>
      </c>
      <c r="V2036" s="5">
        <f>_xlfn.XLOOKUP(Transactions_RAW_cleaned[[#This Row],[RegionQuarterKey]], Quarterly_Targets_cleaned[RegionQuarterKey], Quarterly_Targets_cleaned[TargetRevenue])</f>
        <v>126500</v>
      </c>
    </row>
    <row r="2037" spans="1:22" x14ac:dyDescent="0.25">
      <c r="A2037" t="s">
        <v>2373</v>
      </c>
      <c r="B2037" s="1">
        <v>45494</v>
      </c>
      <c r="C2037" t="s">
        <v>269</v>
      </c>
      <c r="D2037" t="s">
        <v>306</v>
      </c>
      <c r="E2037">
        <v>205.88</v>
      </c>
      <c r="F2037" t="s">
        <v>324</v>
      </c>
      <c r="G2037" t="s">
        <v>325</v>
      </c>
      <c r="I2037" t="s">
        <v>17</v>
      </c>
      <c r="J2037" t="s">
        <v>31</v>
      </c>
      <c r="K2037" t="s">
        <v>32</v>
      </c>
      <c r="L2037" t="s">
        <v>307</v>
      </c>
      <c r="M2037" t="s">
        <v>308</v>
      </c>
      <c r="N2037">
        <v>0</v>
      </c>
      <c r="O2037" t="str">
        <f>IF(Transactions_RAW_cleaned[[#This Row],[Status]]="Completed", IFERROR(_xlfn.XLOOKUP(Transactions_RAW_cleaned[[#This Row],[CustomerID]], Customers_cleaned[CustomerID], Customers_cleaned[Segment]), "Customer Not Found"), "N/A")</f>
        <v>Enterprise</v>
      </c>
      <c r="P2037" s="5" t="str">
        <f>IF(Transactions_RAW_cleaned[[#This Row],[Status]]="Refunded", "Refund",
  IF(Transactions_RAW_cleaned[[#This Row],[Category]]="Payments", IF(Transactions_RAW_cleaned[[#This Row],[Amount]]&gt;500,"High Value","Standard"),
    IF(Transactions_RAW_cleaned[[#This Row],[Amount]]&gt;250,"High Value","Standard")))</f>
        <v>Standard</v>
      </c>
      <c r="Q2037" s="5" t="str">
        <f>IF(Transactions_RAW_cleaned[[#This Row],[Amount]] &gt; (_xlfn.XLOOKUP(Transactions_RAW_cleaned[[#This Row],[ServiceID]],Services_cleaned[ServiceID],Services_cleaned[TransactionFeePct]) * 10000), "Yes", "No")</f>
        <v>Yes</v>
      </c>
      <c r="R2037" s="5" t="str">
        <f>IF(COUNTIFS($C$2:Transactions_RAW_cleaned[[#This Row],[CustomerID]],Transactions_RAW_cleaned[[#This Row],[CustomerID]],$D$2:Transactions_RAW_cleaned[[#This Row],[ServiceID]],Transactions_RAW_cleaned[[#This Row],[ServiceID]])=1,"Yes","No")</f>
        <v>No</v>
      </c>
      <c r="S203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037" t="str">
        <f>"Q"&amp;ROUNDUP(MONTH(Transactions_RAW_cleaned[[#This Row],[TransactionDate]])/3,0)</f>
        <v>Q3</v>
      </c>
      <c r="U2037" t="str">
        <f>Transactions_RAW_cleaned[[#This Row],[Region ]]&amp;Transactions_RAW_cleaned[[#This Row],[Quarter ]]</f>
        <v>EMEAQ3</v>
      </c>
      <c r="V2037" s="5">
        <f>_xlfn.XLOOKUP(Transactions_RAW_cleaned[[#This Row],[RegionQuarterKey]], Quarterly_Targets_cleaned[RegionQuarterKey], Quarterly_Targets_cleaned[TargetRevenue])</f>
        <v>147000</v>
      </c>
    </row>
    <row r="2038" spans="1:22" x14ac:dyDescent="0.25">
      <c r="A2038" t="s">
        <v>2374</v>
      </c>
      <c r="B2038" s="1">
        <v>45462</v>
      </c>
      <c r="C2038" t="s">
        <v>68</v>
      </c>
      <c r="D2038" t="s">
        <v>315</v>
      </c>
      <c r="E2038">
        <v>924.78</v>
      </c>
      <c r="F2038" t="s">
        <v>324</v>
      </c>
      <c r="G2038" t="s">
        <v>327</v>
      </c>
      <c r="H2038" t="s">
        <v>332</v>
      </c>
      <c r="I2038" t="s">
        <v>57</v>
      </c>
      <c r="J2038" t="s">
        <v>13</v>
      </c>
      <c r="K2038" t="s">
        <v>10</v>
      </c>
      <c r="L2038" t="s">
        <v>316</v>
      </c>
      <c r="M2038" t="s">
        <v>305</v>
      </c>
      <c r="N2038">
        <v>2.5000000000000001E-3</v>
      </c>
      <c r="O2038" t="str">
        <f>IF(Transactions_RAW_cleaned[[#This Row],[Status]]="Completed", IFERROR(_xlfn.XLOOKUP(Transactions_RAW_cleaned[[#This Row],[CustomerID]], Customers_cleaned[CustomerID], Customers_cleaned[Segment]), "Customer Not Found"), "N/A")</f>
        <v>Startup</v>
      </c>
      <c r="P2038" s="5" t="str">
        <f>IF(Transactions_RAW_cleaned[[#This Row],[Status]]="Refunded", "Refund",
  IF(Transactions_RAW_cleaned[[#This Row],[Category]]="Payments", IF(Transactions_RAW_cleaned[[#This Row],[Amount]]&gt;500,"High Value","Standard"),
    IF(Transactions_RAW_cleaned[[#This Row],[Amount]]&gt;250,"High Value","Standard")))</f>
        <v>High Value</v>
      </c>
      <c r="Q2038" s="5" t="str">
        <f>IF(Transactions_RAW_cleaned[[#This Row],[Amount]] &gt; (_xlfn.XLOOKUP(Transactions_RAW_cleaned[[#This Row],[ServiceID]],Services_cleaned[ServiceID],Services_cleaned[TransactionFeePct]) * 10000), "Yes", "No")</f>
        <v>Yes</v>
      </c>
      <c r="R2038" s="5" t="str">
        <f>IF(COUNTIFS($C$2:Transactions_RAW_cleaned[[#This Row],[CustomerID]],Transactions_RAW_cleaned[[#This Row],[CustomerID]],$D$2:Transactions_RAW_cleaned[[#This Row],[ServiceID]],Transactions_RAW_cleaned[[#This Row],[ServiceID]])=1,"Yes","No")</f>
        <v>Yes</v>
      </c>
      <c r="S203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38" t="str">
        <f>"Q"&amp;ROUNDUP(MONTH(Transactions_RAW_cleaned[[#This Row],[TransactionDate]])/3,0)</f>
        <v>Q2</v>
      </c>
      <c r="U2038" t="str">
        <f>Transactions_RAW_cleaned[[#This Row],[Region ]]&amp;Transactions_RAW_cleaned[[#This Row],[Quarter ]]</f>
        <v>NAQ2</v>
      </c>
      <c r="V2038" s="5">
        <f>_xlfn.XLOOKUP(Transactions_RAW_cleaned[[#This Row],[RegionQuarterKey]], Quarterly_Targets_cleaned[RegionQuarterKey], Quarterly_Targets_cleaned[TargetRevenue])</f>
        <v>260000</v>
      </c>
    </row>
    <row r="2039" spans="1:22" x14ac:dyDescent="0.25">
      <c r="A2039" t="s">
        <v>2375</v>
      </c>
      <c r="B2039" s="1">
        <v>45633</v>
      </c>
      <c r="C2039" t="s">
        <v>6</v>
      </c>
      <c r="D2039" t="s">
        <v>312</v>
      </c>
      <c r="E2039">
        <v>211.92</v>
      </c>
      <c r="F2039" t="s">
        <v>324</v>
      </c>
      <c r="G2039" t="s">
        <v>327</v>
      </c>
      <c r="H2039" t="s">
        <v>332</v>
      </c>
      <c r="I2039" t="s">
        <v>8</v>
      </c>
      <c r="J2039" t="s">
        <v>102</v>
      </c>
      <c r="K2039" t="s">
        <v>10</v>
      </c>
      <c r="L2039" t="s">
        <v>313</v>
      </c>
      <c r="M2039" t="s">
        <v>314</v>
      </c>
      <c r="N2039">
        <v>0</v>
      </c>
      <c r="O2039" t="str">
        <f>IF(Transactions_RAW_cleaned[[#This Row],[Status]]="Completed", IFERROR(_xlfn.XLOOKUP(Transactions_RAW_cleaned[[#This Row],[CustomerID]], Customers_cleaned[CustomerID], Customers_cleaned[Segment]), "Customer Not Found"), "N/A")</f>
        <v>SMB</v>
      </c>
      <c r="P2039" s="5" t="str">
        <f>IF(Transactions_RAW_cleaned[[#This Row],[Status]]="Refunded", "Refund",
  IF(Transactions_RAW_cleaned[[#This Row],[Category]]="Payments", IF(Transactions_RAW_cleaned[[#This Row],[Amount]]&gt;500,"High Value","Standard"),
    IF(Transactions_RAW_cleaned[[#This Row],[Amount]]&gt;250,"High Value","Standard")))</f>
        <v>Standard</v>
      </c>
      <c r="Q2039" s="5" t="str">
        <f>IF(Transactions_RAW_cleaned[[#This Row],[Amount]] &gt; (_xlfn.XLOOKUP(Transactions_RAW_cleaned[[#This Row],[ServiceID]],Services_cleaned[ServiceID],Services_cleaned[TransactionFeePct]) * 10000), "Yes", "No")</f>
        <v>Yes</v>
      </c>
      <c r="R2039" s="5" t="str">
        <f>IF(COUNTIFS($C$2:Transactions_RAW_cleaned[[#This Row],[CustomerID]],Transactions_RAW_cleaned[[#This Row],[CustomerID]],$D$2:Transactions_RAW_cleaned[[#This Row],[ServiceID]],Transactions_RAW_cleaned[[#This Row],[ServiceID]])=1,"Yes","No")</f>
        <v>No</v>
      </c>
      <c r="S203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39" t="str">
        <f>"Q"&amp;ROUNDUP(MONTH(Transactions_RAW_cleaned[[#This Row],[TransactionDate]])/3,0)</f>
        <v>Q4</v>
      </c>
      <c r="U2039" t="str">
        <f>Transactions_RAW_cleaned[[#This Row],[Region ]]&amp;Transactions_RAW_cleaned[[#This Row],[Quarter ]]</f>
        <v>NAQ4</v>
      </c>
      <c r="V2039" s="5">
        <f>_xlfn.XLOOKUP(Transactions_RAW_cleaned[[#This Row],[RegionQuarterKey]], Quarterly_Targets_cleaned[RegionQuarterKey], Quarterly_Targets_cleaned[TargetRevenue])</f>
        <v>299000</v>
      </c>
    </row>
    <row r="2040" spans="1:22" x14ac:dyDescent="0.25">
      <c r="A2040" t="s">
        <v>2376</v>
      </c>
      <c r="B2040" s="1">
        <v>45457</v>
      </c>
      <c r="C2040" t="s">
        <v>44</v>
      </c>
      <c r="D2040" t="s">
        <v>312</v>
      </c>
      <c r="E2040">
        <v>717.91</v>
      </c>
      <c r="F2040" t="s">
        <v>324</v>
      </c>
      <c r="G2040" t="s">
        <v>325</v>
      </c>
      <c r="H2040" t="s">
        <v>334</v>
      </c>
      <c r="I2040" t="s">
        <v>8</v>
      </c>
      <c r="J2040" t="s">
        <v>46</v>
      </c>
      <c r="K2040" t="s">
        <v>32</v>
      </c>
      <c r="L2040" t="s">
        <v>313</v>
      </c>
      <c r="M2040" t="s">
        <v>314</v>
      </c>
      <c r="N2040">
        <v>0</v>
      </c>
      <c r="O2040" t="str">
        <f>IF(Transactions_RAW_cleaned[[#This Row],[Status]]="Completed", IFERROR(_xlfn.XLOOKUP(Transactions_RAW_cleaned[[#This Row],[CustomerID]], Customers_cleaned[CustomerID], Customers_cleaned[Segment]), "Customer Not Found"), "N/A")</f>
        <v>SMB</v>
      </c>
      <c r="P2040" s="5" t="str">
        <f>IF(Transactions_RAW_cleaned[[#This Row],[Status]]="Refunded", "Refund",
  IF(Transactions_RAW_cleaned[[#This Row],[Category]]="Payments", IF(Transactions_RAW_cleaned[[#This Row],[Amount]]&gt;500,"High Value","Standard"),
    IF(Transactions_RAW_cleaned[[#This Row],[Amount]]&gt;250,"High Value","Standard")))</f>
        <v>High Value</v>
      </c>
      <c r="Q2040" s="5" t="str">
        <f>IF(Transactions_RAW_cleaned[[#This Row],[Amount]] &gt; (_xlfn.XLOOKUP(Transactions_RAW_cleaned[[#This Row],[ServiceID]],Services_cleaned[ServiceID],Services_cleaned[TransactionFeePct]) * 10000), "Yes", "No")</f>
        <v>Yes</v>
      </c>
      <c r="R2040" s="5" t="str">
        <f>IF(COUNTIFS($C$2:Transactions_RAW_cleaned[[#This Row],[CustomerID]],Transactions_RAW_cleaned[[#This Row],[CustomerID]],$D$2:Transactions_RAW_cleaned[[#This Row],[ServiceID]],Transactions_RAW_cleaned[[#This Row],[ServiceID]])=1,"Yes","No")</f>
        <v>No</v>
      </c>
      <c r="S204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40" t="str">
        <f>"Q"&amp;ROUNDUP(MONTH(Transactions_RAW_cleaned[[#This Row],[TransactionDate]])/3,0)</f>
        <v>Q2</v>
      </c>
      <c r="U2040" t="str">
        <f>Transactions_RAW_cleaned[[#This Row],[Region ]]&amp;Transactions_RAW_cleaned[[#This Row],[Quarter ]]</f>
        <v>APACQ2</v>
      </c>
      <c r="V2040" s="5">
        <f>_xlfn.XLOOKUP(Transactions_RAW_cleaned[[#This Row],[RegionQuarterKey]], Quarterly_Targets_cleaned[RegionQuarterKey], Quarterly_Targets_cleaned[TargetRevenue])</f>
        <v>110000</v>
      </c>
    </row>
    <row r="2041" spans="1:22" x14ac:dyDescent="0.25">
      <c r="A2041" t="s">
        <v>2377</v>
      </c>
      <c r="B2041" s="1">
        <v>45510</v>
      </c>
      <c r="C2041" t="s">
        <v>231</v>
      </c>
      <c r="D2041" t="s">
        <v>294</v>
      </c>
      <c r="E2041">
        <v>210.72</v>
      </c>
      <c r="F2041" t="s">
        <v>331</v>
      </c>
      <c r="G2041" t="s">
        <v>327</v>
      </c>
      <c r="I2041" t="s">
        <v>17</v>
      </c>
      <c r="J2041" t="s">
        <v>102</v>
      </c>
      <c r="K2041" t="s">
        <v>22</v>
      </c>
      <c r="L2041" t="s">
        <v>295</v>
      </c>
      <c r="M2041" t="s">
        <v>296</v>
      </c>
      <c r="N2041">
        <v>2.9000000000000001E-2</v>
      </c>
      <c r="O2041" t="str">
        <f>IF(Transactions_RAW_cleaned[[#This Row],[Status]]="Completed", IFERROR(_xlfn.XLOOKUP(Transactions_RAW_cleaned[[#This Row],[CustomerID]], Customers_cleaned[CustomerID], Customers_cleaned[Segment]), "Customer Not Found"), "N/A")</f>
        <v>N/A</v>
      </c>
      <c r="P2041" s="5" t="str">
        <f>IF(Transactions_RAW_cleaned[[#This Row],[Status]]="Refunded", "Refund",
  IF(Transactions_RAW_cleaned[[#This Row],[Category]]="Payments", IF(Transactions_RAW_cleaned[[#This Row],[Amount]]&gt;500,"High Value","Standard"),
    IF(Transactions_RAW_cleaned[[#This Row],[Amount]]&gt;250,"High Value","Standard")))</f>
        <v>Standard</v>
      </c>
      <c r="Q2041" s="5" t="str">
        <f>IF(Transactions_RAW_cleaned[[#This Row],[Amount]] &gt; (_xlfn.XLOOKUP(Transactions_RAW_cleaned[[#This Row],[ServiceID]],Services_cleaned[ServiceID],Services_cleaned[TransactionFeePct]) * 10000), "Yes", "No")</f>
        <v>No</v>
      </c>
      <c r="R2041" s="5" t="str">
        <f>IF(COUNTIFS($C$2:Transactions_RAW_cleaned[[#This Row],[CustomerID]],Transactions_RAW_cleaned[[#This Row],[CustomerID]],$D$2:Transactions_RAW_cleaned[[#This Row],[ServiceID]],Transactions_RAW_cleaned[[#This Row],[ServiceID]])=1,"Yes","No")</f>
        <v>No</v>
      </c>
      <c r="S204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41" t="str">
        <f>"Q"&amp;ROUNDUP(MONTH(Transactions_RAW_cleaned[[#This Row],[TransactionDate]])/3,0)</f>
        <v>Q3</v>
      </c>
      <c r="U2041" t="str">
        <f>Transactions_RAW_cleaned[[#This Row],[Region ]]&amp;Transactions_RAW_cleaned[[#This Row],[Quarter ]]</f>
        <v>NAQ3</v>
      </c>
      <c r="V2041" s="5">
        <f>_xlfn.XLOOKUP(Transactions_RAW_cleaned[[#This Row],[RegionQuarterKey]], Quarterly_Targets_cleaned[RegionQuarterKey], Quarterly_Targets_cleaned[TargetRevenue])</f>
        <v>273000</v>
      </c>
    </row>
    <row r="2042" spans="1:22" x14ac:dyDescent="0.25">
      <c r="A2042" t="s">
        <v>2378</v>
      </c>
      <c r="B2042" s="1">
        <v>45549</v>
      </c>
      <c r="C2042" t="s">
        <v>165</v>
      </c>
      <c r="D2042" t="s">
        <v>309</v>
      </c>
      <c r="E2042">
        <v>310.74</v>
      </c>
      <c r="F2042" t="s">
        <v>324</v>
      </c>
      <c r="G2042" t="s">
        <v>337</v>
      </c>
      <c r="H2042" t="s">
        <v>332</v>
      </c>
      <c r="I2042" t="s">
        <v>8</v>
      </c>
      <c r="J2042" t="s">
        <v>31</v>
      </c>
      <c r="K2042" t="s">
        <v>32</v>
      </c>
      <c r="L2042" t="s">
        <v>310</v>
      </c>
      <c r="M2042" t="s">
        <v>311</v>
      </c>
      <c r="N2042">
        <v>0</v>
      </c>
      <c r="O2042" t="str">
        <f>IF(Transactions_RAW_cleaned[[#This Row],[Status]]="Completed", IFERROR(_xlfn.XLOOKUP(Transactions_RAW_cleaned[[#This Row],[CustomerID]], Customers_cleaned[CustomerID], Customers_cleaned[Segment]), "Customer Not Found"), "N/A")</f>
        <v>SMB</v>
      </c>
      <c r="P2042" s="5" t="str">
        <f>IF(Transactions_RAW_cleaned[[#This Row],[Status]]="Refunded", "Refund",
  IF(Transactions_RAW_cleaned[[#This Row],[Category]]="Payments", IF(Transactions_RAW_cleaned[[#This Row],[Amount]]&gt;500,"High Value","Standard"),
    IF(Transactions_RAW_cleaned[[#This Row],[Amount]]&gt;250,"High Value","Standard")))</f>
        <v>High Value</v>
      </c>
      <c r="Q2042" s="5" t="str">
        <f>IF(Transactions_RAW_cleaned[[#This Row],[Amount]] &gt; (_xlfn.XLOOKUP(Transactions_RAW_cleaned[[#This Row],[ServiceID]],Services_cleaned[ServiceID],Services_cleaned[TransactionFeePct]) * 10000), "Yes", "No")</f>
        <v>Yes</v>
      </c>
      <c r="R2042" s="5" t="str">
        <f>IF(COUNTIFS($C$2:Transactions_RAW_cleaned[[#This Row],[CustomerID]],Transactions_RAW_cleaned[[#This Row],[CustomerID]],$D$2:Transactions_RAW_cleaned[[#This Row],[ServiceID]],Transactions_RAW_cleaned[[#This Row],[ServiceID]])=1,"Yes","No")</f>
        <v>No</v>
      </c>
      <c r="S204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042" t="str">
        <f>"Q"&amp;ROUNDUP(MONTH(Transactions_RAW_cleaned[[#This Row],[TransactionDate]])/3,0)</f>
        <v>Q3</v>
      </c>
      <c r="U2042" t="str">
        <f>Transactions_RAW_cleaned[[#This Row],[Region ]]&amp;Transactions_RAW_cleaned[[#This Row],[Quarter ]]</f>
        <v>EMEAQ3</v>
      </c>
      <c r="V2042" s="5">
        <f>_xlfn.XLOOKUP(Transactions_RAW_cleaned[[#This Row],[RegionQuarterKey]], Quarterly_Targets_cleaned[RegionQuarterKey], Quarterly_Targets_cleaned[TargetRevenue])</f>
        <v>147000</v>
      </c>
    </row>
    <row r="2043" spans="1:22" x14ac:dyDescent="0.25">
      <c r="A2043" t="s">
        <v>2379</v>
      </c>
      <c r="B2043" s="1">
        <v>45478</v>
      </c>
      <c r="C2043" t="s">
        <v>235</v>
      </c>
      <c r="D2043" t="s">
        <v>297</v>
      </c>
      <c r="E2043">
        <v>681.87</v>
      </c>
      <c r="F2043" t="s">
        <v>381</v>
      </c>
      <c r="G2043" t="s">
        <v>325</v>
      </c>
      <c r="H2043" t="s">
        <v>334</v>
      </c>
      <c r="I2043" t="s">
        <v>57</v>
      </c>
      <c r="J2043" t="s">
        <v>21</v>
      </c>
      <c r="K2043" t="s">
        <v>22</v>
      </c>
      <c r="L2043" t="s">
        <v>298</v>
      </c>
      <c r="M2043" t="s">
        <v>299</v>
      </c>
      <c r="N2043">
        <v>0</v>
      </c>
      <c r="O2043" t="str">
        <f>IF(Transactions_RAW_cleaned[[#This Row],[Status]]="Completed", IFERROR(_xlfn.XLOOKUP(Transactions_RAW_cleaned[[#This Row],[CustomerID]], Customers_cleaned[CustomerID], Customers_cleaned[Segment]), "Customer Not Found"), "N/A")</f>
        <v>N/A</v>
      </c>
      <c r="P2043" s="5" t="str">
        <f>IF(Transactions_RAW_cleaned[[#This Row],[Status]]="Refunded", "Refund",
  IF(Transactions_RAW_cleaned[[#This Row],[Category]]="Payments", IF(Transactions_RAW_cleaned[[#This Row],[Amount]]&gt;500,"High Value","Standard"),
    IF(Transactions_RAW_cleaned[[#This Row],[Amount]]&gt;250,"High Value","Standard")))</f>
        <v>High Value</v>
      </c>
      <c r="Q2043" s="5" t="str">
        <f>IF(Transactions_RAW_cleaned[[#This Row],[Amount]] &gt; (_xlfn.XLOOKUP(Transactions_RAW_cleaned[[#This Row],[ServiceID]],Services_cleaned[ServiceID],Services_cleaned[TransactionFeePct]) * 10000), "Yes", "No")</f>
        <v>Yes</v>
      </c>
      <c r="R2043" s="5" t="str">
        <f>IF(COUNTIFS($C$2:Transactions_RAW_cleaned[[#This Row],[CustomerID]],Transactions_RAW_cleaned[[#This Row],[CustomerID]],$D$2:Transactions_RAW_cleaned[[#This Row],[ServiceID]],Transactions_RAW_cleaned[[#This Row],[ServiceID]])=1,"Yes","No")</f>
        <v>No</v>
      </c>
      <c r="S204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43" t="str">
        <f>"Q"&amp;ROUNDUP(MONTH(Transactions_RAW_cleaned[[#This Row],[TransactionDate]])/3,0)</f>
        <v>Q3</v>
      </c>
      <c r="U2043" t="str">
        <f>Transactions_RAW_cleaned[[#This Row],[Region ]]&amp;Transactions_RAW_cleaned[[#This Row],[Quarter ]]</f>
        <v>APACQ3</v>
      </c>
      <c r="V2043" s="5">
        <f>_xlfn.XLOOKUP(Transactions_RAW_cleaned[[#This Row],[RegionQuarterKey]], Quarterly_Targets_cleaned[RegionQuarterKey], Quarterly_Targets_cleaned[TargetRevenue])</f>
        <v>115500</v>
      </c>
    </row>
    <row r="2044" spans="1:22" x14ac:dyDescent="0.25">
      <c r="A2044" t="s">
        <v>2380</v>
      </c>
      <c r="B2044" s="1">
        <v>45520</v>
      </c>
      <c r="C2044" t="s">
        <v>261</v>
      </c>
      <c r="D2044" t="s">
        <v>294</v>
      </c>
      <c r="E2044">
        <v>605.67999999999995</v>
      </c>
      <c r="F2044" t="s">
        <v>324</v>
      </c>
      <c r="G2044" t="s">
        <v>337</v>
      </c>
      <c r="H2044" t="s">
        <v>334</v>
      </c>
      <c r="I2044" t="s">
        <v>8</v>
      </c>
      <c r="J2044" t="s">
        <v>31</v>
      </c>
      <c r="K2044" t="s">
        <v>18</v>
      </c>
      <c r="L2044" t="s">
        <v>295</v>
      </c>
      <c r="M2044" t="s">
        <v>296</v>
      </c>
      <c r="N2044">
        <v>2.9000000000000001E-2</v>
      </c>
      <c r="O2044" t="str">
        <f>IF(Transactions_RAW_cleaned[[#This Row],[Status]]="Completed", IFERROR(_xlfn.XLOOKUP(Transactions_RAW_cleaned[[#This Row],[CustomerID]], Customers_cleaned[CustomerID], Customers_cleaned[Segment]), "Customer Not Found"), "N/A")</f>
        <v>SMB</v>
      </c>
      <c r="P2044" s="5" t="str">
        <f>IF(Transactions_RAW_cleaned[[#This Row],[Status]]="Refunded", "Refund",
  IF(Transactions_RAW_cleaned[[#This Row],[Category]]="Payments", IF(Transactions_RAW_cleaned[[#This Row],[Amount]]&gt;500,"High Value","Standard"),
    IF(Transactions_RAW_cleaned[[#This Row],[Amount]]&gt;250,"High Value","Standard")))</f>
        <v>High Value</v>
      </c>
      <c r="Q2044" s="5" t="str">
        <f>IF(Transactions_RAW_cleaned[[#This Row],[Amount]] &gt; (_xlfn.XLOOKUP(Transactions_RAW_cleaned[[#This Row],[ServiceID]],Services_cleaned[ServiceID],Services_cleaned[TransactionFeePct]) * 10000), "Yes", "No")</f>
        <v>Yes</v>
      </c>
      <c r="R2044" s="5" t="str">
        <f>IF(COUNTIFS($C$2:Transactions_RAW_cleaned[[#This Row],[CustomerID]],Transactions_RAW_cleaned[[#This Row],[CustomerID]],$D$2:Transactions_RAW_cleaned[[#This Row],[ServiceID]],Transactions_RAW_cleaned[[#This Row],[ServiceID]])=1,"Yes","No")</f>
        <v>No</v>
      </c>
      <c r="S204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044" t="str">
        <f>"Q"&amp;ROUNDUP(MONTH(Transactions_RAW_cleaned[[#This Row],[TransactionDate]])/3,0)</f>
        <v>Q3</v>
      </c>
      <c r="U2044" t="str">
        <f>Transactions_RAW_cleaned[[#This Row],[Region ]]&amp;Transactions_RAW_cleaned[[#This Row],[Quarter ]]</f>
        <v>EMEAQ3</v>
      </c>
      <c r="V2044" s="5">
        <f>_xlfn.XLOOKUP(Transactions_RAW_cleaned[[#This Row],[RegionQuarterKey]], Quarterly_Targets_cleaned[RegionQuarterKey], Quarterly_Targets_cleaned[TargetRevenue])</f>
        <v>147000</v>
      </c>
    </row>
    <row r="2045" spans="1:22" x14ac:dyDescent="0.25">
      <c r="A2045" t="s">
        <v>2381</v>
      </c>
      <c r="B2045" s="1">
        <v>45309</v>
      </c>
      <c r="C2045" t="s">
        <v>159</v>
      </c>
      <c r="D2045" t="s">
        <v>309</v>
      </c>
      <c r="E2045">
        <v>397.59</v>
      </c>
      <c r="F2045" t="s">
        <v>324</v>
      </c>
      <c r="G2045" t="s">
        <v>327</v>
      </c>
      <c r="H2045" t="s">
        <v>332</v>
      </c>
      <c r="I2045" t="s">
        <v>57</v>
      </c>
      <c r="J2045" t="s">
        <v>25</v>
      </c>
      <c r="K2045" t="s">
        <v>22</v>
      </c>
      <c r="L2045" t="s">
        <v>310</v>
      </c>
      <c r="M2045" t="s">
        <v>311</v>
      </c>
      <c r="N2045">
        <v>0</v>
      </c>
      <c r="O2045" t="str">
        <f>IF(Transactions_RAW_cleaned[[#This Row],[Status]]="Completed", IFERROR(_xlfn.XLOOKUP(Transactions_RAW_cleaned[[#This Row],[CustomerID]], Customers_cleaned[CustomerID], Customers_cleaned[Segment]), "Customer Not Found"), "N/A")</f>
        <v>Startup</v>
      </c>
      <c r="P2045" s="5" t="str">
        <f>IF(Transactions_RAW_cleaned[[#This Row],[Status]]="Refunded", "Refund",
  IF(Transactions_RAW_cleaned[[#This Row],[Category]]="Payments", IF(Transactions_RAW_cleaned[[#This Row],[Amount]]&gt;500,"High Value","Standard"),
    IF(Transactions_RAW_cleaned[[#This Row],[Amount]]&gt;250,"High Value","Standard")))</f>
        <v>High Value</v>
      </c>
      <c r="Q2045" s="5" t="str">
        <f>IF(Transactions_RAW_cleaned[[#This Row],[Amount]] &gt; (_xlfn.XLOOKUP(Transactions_RAW_cleaned[[#This Row],[ServiceID]],Services_cleaned[ServiceID],Services_cleaned[TransactionFeePct]) * 10000), "Yes", "No")</f>
        <v>Yes</v>
      </c>
      <c r="R2045" s="5" t="str">
        <f>IF(COUNTIFS($C$2:Transactions_RAW_cleaned[[#This Row],[CustomerID]],Transactions_RAW_cleaned[[#This Row],[CustomerID]],$D$2:Transactions_RAW_cleaned[[#This Row],[ServiceID]],Transactions_RAW_cleaned[[#This Row],[ServiceID]])=1,"Yes","No")</f>
        <v>No</v>
      </c>
      <c r="S204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45" t="str">
        <f>"Q"&amp;ROUNDUP(MONTH(Transactions_RAW_cleaned[[#This Row],[TransactionDate]])/3,0)</f>
        <v>Q1</v>
      </c>
      <c r="U2045" t="str">
        <f>Transactions_RAW_cleaned[[#This Row],[Region ]]&amp;Transactions_RAW_cleaned[[#This Row],[Quarter ]]</f>
        <v>APACQ1</v>
      </c>
      <c r="V2045" s="5">
        <f>_xlfn.XLOOKUP(Transactions_RAW_cleaned[[#This Row],[RegionQuarterKey]], Quarterly_Targets_cleaned[RegionQuarterKey], Quarterly_Targets_cleaned[TargetRevenue])</f>
        <v>104500</v>
      </c>
    </row>
    <row r="2046" spans="1:22" x14ac:dyDescent="0.25">
      <c r="A2046" t="s">
        <v>2382</v>
      </c>
      <c r="B2046" s="1">
        <v>45385</v>
      </c>
      <c r="C2046" t="s">
        <v>70</v>
      </c>
      <c r="D2046" t="s">
        <v>315</v>
      </c>
      <c r="E2046">
        <v>72.989999999999995</v>
      </c>
      <c r="F2046" t="s">
        <v>324</v>
      </c>
      <c r="G2046" t="s">
        <v>327</v>
      </c>
      <c r="I2046" t="s">
        <v>8</v>
      </c>
      <c r="J2046" t="s">
        <v>37</v>
      </c>
      <c r="K2046" t="s">
        <v>28</v>
      </c>
      <c r="L2046" t="s">
        <v>316</v>
      </c>
      <c r="M2046" t="s">
        <v>305</v>
      </c>
      <c r="N2046">
        <v>2.5000000000000001E-3</v>
      </c>
      <c r="O2046" t="str">
        <f>IF(Transactions_RAW_cleaned[[#This Row],[Status]]="Completed", IFERROR(_xlfn.XLOOKUP(Transactions_RAW_cleaned[[#This Row],[CustomerID]], Customers_cleaned[CustomerID], Customers_cleaned[Segment]), "Customer Not Found"), "N/A")</f>
        <v>SMB</v>
      </c>
      <c r="P2046" s="5" t="str">
        <f>IF(Transactions_RAW_cleaned[[#This Row],[Status]]="Refunded", "Refund",
  IF(Transactions_RAW_cleaned[[#This Row],[Category]]="Payments", IF(Transactions_RAW_cleaned[[#This Row],[Amount]]&gt;500,"High Value","Standard"),
    IF(Transactions_RAW_cleaned[[#This Row],[Amount]]&gt;250,"High Value","Standard")))</f>
        <v>Standard</v>
      </c>
      <c r="Q2046" s="5" t="str">
        <f>IF(Transactions_RAW_cleaned[[#This Row],[Amount]] &gt; (_xlfn.XLOOKUP(Transactions_RAW_cleaned[[#This Row],[ServiceID]],Services_cleaned[ServiceID],Services_cleaned[TransactionFeePct]) * 10000), "Yes", "No")</f>
        <v>Yes</v>
      </c>
      <c r="R2046" s="5" t="str">
        <f>IF(COUNTIFS($C$2:Transactions_RAW_cleaned[[#This Row],[CustomerID]],Transactions_RAW_cleaned[[#This Row],[CustomerID]],$D$2:Transactions_RAW_cleaned[[#This Row],[ServiceID]],Transactions_RAW_cleaned[[#This Row],[ServiceID]])=1,"Yes","No")</f>
        <v>No</v>
      </c>
      <c r="S204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046" t="str">
        <f>"Q"&amp;ROUNDUP(MONTH(Transactions_RAW_cleaned[[#This Row],[TransactionDate]])/3,0)</f>
        <v>Q2</v>
      </c>
      <c r="U2046" t="str">
        <f>Transactions_RAW_cleaned[[#This Row],[Region ]]&amp;Transactions_RAW_cleaned[[#This Row],[Quarter ]]</f>
        <v>EMEAQ2</v>
      </c>
      <c r="V2046" s="5">
        <f>_xlfn.XLOOKUP(Transactions_RAW_cleaned[[#This Row],[RegionQuarterKey]], Quarterly_Targets_cleaned[RegionQuarterKey], Quarterly_Targets_cleaned[TargetRevenue])</f>
        <v>140000</v>
      </c>
    </row>
    <row r="2047" spans="1:22" x14ac:dyDescent="0.25">
      <c r="A2047" t="s">
        <v>2383</v>
      </c>
      <c r="B2047" s="1">
        <v>45336</v>
      </c>
      <c r="C2047" t="s">
        <v>66</v>
      </c>
      <c r="D2047" t="s">
        <v>294</v>
      </c>
      <c r="E2047">
        <v>442.45</v>
      </c>
      <c r="F2047" t="s">
        <v>324</v>
      </c>
      <c r="G2047" t="s">
        <v>2963</v>
      </c>
      <c r="I2047" t="s">
        <v>8</v>
      </c>
      <c r="J2047" t="s">
        <v>46</v>
      </c>
      <c r="K2047" t="s">
        <v>10</v>
      </c>
      <c r="L2047" t="s">
        <v>295</v>
      </c>
      <c r="M2047" t="s">
        <v>296</v>
      </c>
      <c r="N2047">
        <v>2.9000000000000001E-2</v>
      </c>
      <c r="O2047" t="str">
        <f>IF(Transactions_RAW_cleaned[[#This Row],[Status]]="Completed", IFERROR(_xlfn.XLOOKUP(Transactions_RAW_cleaned[[#This Row],[CustomerID]], Customers_cleaned[CustomerID], Customers_cleaned[Segment]), "Customer Not Found"), "N/A")</f>
        <v>SMB</v>
      </c>
      <c r="P2047" s="5" t="str">
        <f>IF(Transactions_RAW_cleaned[[#This Row],[Status]]="Refunded", "Refund",
  IF(Transactions_RAW_cleaned[[#This Row],[Category]]="Payments", IF(Transactions_RAW_cleaned[[#This Row],[Amount]]&gt;500,"High Value","Standard"),
    IF(Transactions_RAW_cleaned[[#This Row],[Amount]]&gt;250,"High Value","Standard")))</f>
        <v>Standard</v>
      </c>
      <c r="Q2047" s="5" t="str">
        <f>IF(Transactions_RAW_cleaned[[#This Row],[Amount]] &gt; (_xlfn.XLOOKUP(Transactions_RAW_cleaned[[#This Row],[ServiceID]],Services_cleaned[ServiceID],Services_cleaned[TransactionFeePct]) * 10000), "Yes", "No")</f>
        <v>Yes</v>
      </c>
      <c r="R2047" s="5" t="str">
        <f>IF(COUNTIFS($C$2:Transactions_RAW_cleaned[[#This Row],[CustomerID]],Transactions_RAW_cleaned[[#This Row],[CustomerID]],$D$2:Transactions_RAW_cleaned[[#This Row],[ServiceID]],Transactions_RAW_cleaned[[#This Row],[ServiceID]])=1,"Yes","No")</f>
        <v>No</v>
      </c>
      <c r="S204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47" t="str">
        <f>"Q"&amp;ROUNDUP(MONTH(Transactions_RAW_cleaned[[#This Row],[TransactionDate]])/3,0)</f>
        <v>Q1</v>
      </c>
      <c r="U2047" t="str">
        <f>Transactions_RAW_cleaned[[#This Row],[Region ]]&amp;Transactions_RAW_cleaned[[#This Row],[Quarter ]]</f>
        <v>APACQ1</v>
      </c>
      <c r="V2047" s="5">
        <f>_xlfn.XLOOKUP(Transactions_RAW_cleaned[[#This Row],[RegionQuarterKey]], Quarterly_Targets_cleaned[RegionQuarterKey], Quarterly_Targets_cleaned[TargetRevenue])</f>
        <v>104500</v>
      </c>
    </row>
    <row r="2048" spans="1:22" x14ac:dyDescent="0.25">
      <c r="A2048" t="s">
        <v>2384</v>
      </c>
      <c r="B2048" s="1">
        <v>45584</v>
      </c>
      <c r="C2048" t="s">
        <v>68</v>
      </c>
      <c r="D2048" t="s">
        <v>294</v>
      </c>
      <c r="E2048">
        <v>121.51</v>
      </c>
      <c r="F2048" t="s">
        <v>324</v>
      </c>
      <c r="G2048" t="s">
        <v>325</v>
      </c>
      <c r="I2048" t="s">
        <v>57</v>
      </c>
      <c r="J2048" t="s">
        <v>13</v>
      </c>
      <c r="K2048" t="s">
        <v>10</v>
      </c>
      <c r="L2048" t="s">
        <v>295</v>
      </c>
      <c r="M2048" t="s">
        <v>296</v>
      </c>
      <c r="N2048">
        <v>2.9000000000000001E-2</v>
      </c>
      <c r="O2048" t="str">
        <f>IF(Transactions_RAW_cleaned[[#This Row],[Status]]="Completed", IFERROR(_xlfn.XLOOKUP(Transactions_RAW_cleaned[[#This Row],[CustomerID]], Customers_cleaned[CustomerID], Customers_cleaned[Segment]), "Customer Not Found"), "N/A")</f>
        <v>Startup</v>
      </c>
      <c r="P2048" s="5" t="str">
        <f>IF(Transactions_RAW_cleaned[[#This Row],[Status]]="Refunded", "Refund",
  IF(Transactions_RAW_cleaned[[#This Row],[Category]]="Payments", IF(Transactions_RAW_cleaned[[#This Row],[Amount]]&gt;500,"High Value","Standard"),
    IF(Transactions_RAW_cleaned[[#This Row],[Amount]]&gt;250,"High Value","Standard")))</f>
        <v>Standard</v>
      </c>
      <c r="Q2048" s="5" t="str">
        <f>IF(Transactions_RAW_cleaned[[#This Row],[Amount]] &gt; (_xlfn.XLOOKUP(Transactions_RAW_cleaned[[#This Row],[ServiceID]],Services_cleaned[ServiceID],Services_cleaned[TransactionFeePct]) * 10000), "Yes", "No")</f>
        <v>No</v>
      </c>
      <c r="R2048" s="5" t="str">
        <f>IF(COUNTIFS($C$2:Transactions_RAW_cleaned[[#This Row],[CustomerID]],Transactions_RAW_cleaned[[#This Row],[CustomerID]],$D$2:Transactions_RAW_cleaned[[#This Row],[ServiceID]],Transactions_RAW_cleaned[[#This Row],[ServiceID]])=1,"Yes","No")</f>
        <v>No</v>
      </c>
      <c r="S204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48" t="str">
        <f>"Q"&amp;ROUNDUP(MONTH(Transactions_RAW_cleaned[[#This Row],[TransactionDate]])/3,0)</f>
        <v>Q4</v>
      </c>
      <c r="U2048" t="str">
        <f>Transactions_RAW_cleaned[[#This Row],[Region ]]&amp;Transactions_RAW_cleaned[[#This Row],[Quarter ]]</f>
        <v>NAQ4</v>
      </c>
      <c r="V2048" s="5">
        <f>_xlfn.XLOOKUP(Transactions_RAW_cleaned[[#This Row],[RegionQuarterKey]], Quarterly_Targets_cleaned[RegionQuarterKey], Quarterly_Targets_cleaned[TargetRevenue])</f>
        <v>299000</v>
      </c>
    </row>
    <row r="2049" spans="1:22" x14ac:dyDescent="0.25">
      <c r="A2049" t="s">
        <v>2385</v>
      </c>
      <c r="B2049" s="1">
        <v>45498</v>
      </c>
      <c r="C2049" t="s">
        <v>2386</v>
      </c>
      <c r="D2049" t="s">
        <v>300</v>
      </c>
      <c r="E2049">
        <v>833.67</v>
      </c>
      <c r="F2049" t="s">
        <v>324</v>
      </c>
      <c r="G2049" t="s">
        <v>2963</v>
      </c>
      <c r="L2049" t="s">
        <v>301</v>
      </c>
      <c r="M2049" t="s">
        <v>302</v>
      </c>
      <c r="N2049">
        <v>5.0000000000000001E-3</v>
      </c>
      <c r="O2049" t="str">
        <f>IF(Transactions_RAW_cleaned[[#This Row],[Status]]="Completed", IFERROR(_xlfn.XLOOKUP(Transactions_RAW_cleaned[[#This Row],[CustomerID]], Customers_cleaned[CustomerID], Customers_cleaned[Segment]), "Customer Not Found"), "N/A")</f>
        <v>Customer Not Found</v>
      </c>
      <c r="P2049" s="5" t="str">
        <f>IF(Transactions_RAW_cleaned[[#This Row],[Status]]="Refunded", "Refund",
  IF(Transactions_RAW_cleaned[[#This Row],[Category]]="Payments", IF(Transactions_RAW_cleaned[[#This Row],[Amount]]&gt;500,"High Value","Standard"),
    IF(Transactions_RAW_cleaned[[#This Row],[Amount]]&gt;250,"High Value","Standard")))</f>
        <v>High Value</v>
      </c>
      <c r="Q2049" s="5" t="str">
        <f>IF(Transactions_RAW_cleaned[[#This Row],[Amount]] &gt; (_xlfn.XLOOKUP(Transactions_RAW_cleaned[[#This Row],[ServiceID]],Services_cleaned[ServiceID],Services_cleaned[TransactionFeePct]) * 10000), "Yes", "No")</f>
        <v>Yes</v>
      </c>
      <c r="R2049" s="5" t="str">
        <f>IF(COUNTIFS($C$2:Transactions_RAW_cleaned[[#This Row],[CustomerID]],Transactions_RAW_cleaned[[#This Row],[CustomerID]],$D$2:Transactions_RAW_cleaned[[#This Row],[ServiceID]],Transactions_RAW_cleaned[[#This Row],[ServiceID]])=1,"Yes","No")</f>
        <v>Yes</v>
      </c>
      <c r="S204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49" t="str">
        <f>"Q"&amp;ROUNDUP(MONTH(Transactions_RAW_cleaned[[#This Row],[TransactionDate]])/3,0)</f>
        <v>Q3</v>
      </c>
      <c r="U2049" t="str">
        <f>Transactions_RAW_cleaned[[#This Row],[Region ]]&amp;Transactions_RAW_cleaned[[#This Row],[Quarter ]]</f>
        <v>APACQ3</v>
      </c>
      <c r="V2049" s="5">
        <f>_xlfn.XLOOKUP(Transactions_RAW_cleaned[[#This Row],[RegionQuarterKey]], Quarterly_Targets_cleaned[RegionQuarterKey], Quarterly_Targets_cleaned[TargetRevenue])</f>
        <v>115500</v>
      </c>
    </row>
    <row r="2050" spans="1:22" x14ac:dyDescent="0.25">
      <c r="A2050" t="s">
        <v>2387</v>
      </c>
      <c r="B2050" s="1">
        <v>45484</v>
      </c>
      <c r="C2050" t="s">
        <v>109</v>
      </c>
      <c r="D2050" t="s">
        <v>306</v>
      </c>
      <c r="E2050">
        <v>369.74</v>
      </c>
      <c r="F2050" t="s">
        <v>324</v>
      </c>
      <c r="G2050" t="s">
        <v>329</v>
      </c>
      <c r="I2050" t="s">
        <v>8</v>
      </c>
      <c r="J2050" t="s">
        <v>102</v>
      </c>
      <c r="K2050" t="s">
        <v>18</v>
      </c>
      <c r="L2050" t="s">
        <v>307</v>
      </c>
      <c r="M2050" t="s">
        <v>308</v>
      </c>
      <c r="N2050">
        <v>0</v>
      </c>
      <c r="O2050" t="str">
        <f>IF(Transactions_RAW_cleaned[[#This Row],[Status]]="Completed", IFERROR(_xlfn.XLOOKUP(Transactions_RAW_cleaned[[#This Row],[CustomerID]], Customers_cleaned[CustomerID], Customers_cleaned[Segment]), "Customer Not Found"), "N/A")</f>
        <v>SMB</v>
      </c>
      <c r="P2050" s="5" t="str">
        <f>IF(Transactions_RAW_cleaned[[#This Row],[Status]]="Refunded", "Refund",
  IF(Transactions_RAW_cleaned[[#This Row],[Category]]="Payments", IF(Transactions_RAW_cleaned[[#This Row],[Amount]]&gt;500,"High Value","Standard"),
    IF(Transactions_RAW_cleaned[[#This Row],[Amount]]&gt;250,"High Value","Standard")))</f>
        <v>High Value</v>
      </c>
      <c r="Q2050" s="5" t="str">
        <f>IF(Transactions_RAW_cleaned[[#This Row],[Amount]] &gt; (_xlfn.XLOOKUP(Transactions_RAW_cleaned[[#This Row],[ServiceID]],Services_cleaned[ServiceID],Services_cleaned[TransactionFeePct]) * 10000), "Yes", "No")</f>
        <v>Yes</v>
      </c>
      <c r="R2050" s="5" t="str">
        <f>IF(COUNTIFS($C$2:Transactions_RAW_cleaned[[#This Row],[CustomerID]],Transactions_RAW_cleaned[[#This Row],[CustomerID]],$D$2:Transactions_RAW_cleaned[[#This Row],[ServiceID]],Transactions_RAW_cleaned[[#This Row],[ServiceID]])=1,"Yes","No")</f>
        <v>No</v>
      </c>
      <c r="S205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50" t="str">
        <f>"Q"&amp;ROUNDUP(MONTH(Transactions_RAW_cleaned[[#This Row],[TransactionDate]])/3,0)</f>
        <v>Q3</v>
      </c>
      <c r="U2050" t="str">
        <f>Transactions_RAW_cleaned[[#This Row],[Region ]]&amp;Transactions_RAW_cleaned[[#This Row],[Quarter ]]</f>
        <v>NAQ3</v>
      </c>
      <c r="V2050" s="5">
        <f>_xlfn.XLOOKUP(Transactions_RAW_cleaned[[#This Row],[RegionQuarterKey]], Quarterly_Targets_cleaned[RegionQuarterKey], Quarterly_Targets_cleaned[TargetRevenue])</f>
        <v>273000</v>
      </c>
    </row>
    <row r="2051" spans="1:22" x14ac:dyDescent="0.25">
      <c r="A2051" t="s">
        <v>2388</v>
      </c>
      <c r="B2051" s="1">
        <v>45347</v>
      </c>
      <c r="C2051" t="s">
        <v>175</v>
      </c>
      <c r="D2051" t="s">
        <v>300</v>
      </c>
      <c r="E2051">
        <v>381.39</v>
      </c>
      <c r="F2051" t="s">
        <v>324</v>
      </c>
      <c r="G2051" t="s">
        <v>337</v>
      </c>
      <c r="I2051" t="s">
        <v>8</v>
      </c>
      <c r="J2051" t="s">
        <v>31</v>
      </c>
      <c r="K2051" t="s">
        <v>32</v>
      </c>
      <c r="L2051" t="s">
        <v>301</v>
      </c>
      <c r="M2051" t="s">
        <v>302</v>
      </c>
      <c r="N2051">
        <v>5.0000000000000001E-3</v>
      </c>
      <c r="O2051" t="str">
        <f>IF(Transactions_RAW_cleaned[[#This Row],[Status]]="Completed", IFERROR(_xlfn.XLOOKUP(Transactions_RAW_cleaned[[#This Row],[CustomerID]], Customers_cleaned[CustomerID], Customers_cleaned[Segment]), "Customer Not Found"), "N/A")</f>
        <v>SMB</v>
      </c>
      <c r="P2051" s="5" t="str">
        <f>IF(Transactions_RAW_cleaned[[#This Row],[Status]]="Refunded", "Refund",
  IF(Transactions_RAW_cleaned[[#This Row],[Category]]="Payments", IF(Transactions_RAW_cleaned[[#This Row],[Amount]]&gt;500,"High Value","Standard"),
    IF(Transactions_RAW_cleaned[[#This Row],[Amount]]&gt;250,"High Value","Standard")))</f>
        <v>High Value</v>
      </c>
      <c r="Q2051" s="5" t="str">
        <f>IF(Transactions_RAW_cleaned[[#This Row],[Amount]] &gt; (_xlfn.XLOOKUP(Transactions_RAW_cleaned[[#This Row],[ServiceID]],Services_cleaned[ServiceID],Services_cleaned[TransactionFeePct]) * 10000), "Yes", "No")</f>
        <v>Yes</v>
      </c>
      <c r="R2051" s="5" t="str">
        <f>IF(COUNTIFS($C$2:Transactions_RAW_cleaned[[#This Row],[CustomerID]],Transactions_RAW_cleaned[[#This Row],[CustomerID]],$D$2:Transactions_RAW_cleaned[[#This Row],[ServiceID]],Transactions_RAW_cleaned[[#This Row],[ServiceID]])=1,"Yes","No")</f>
        <v>Yes</v>
      </c>
      <c r="S205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051" t="str">
        <f>"Q"&amp;ROUNDUP(MONTH(Transactions_RAW_cleaned[[#This Row],[TransactionDate]])/3,0)</f>
        <v>Q1</v>
      </c>
      <c r="U2051" t="str">
        <f>Transactions_RAW_cleaned[[#This Row],[Region ]]&amp;Transactions_RAW_cleaned[[#This Row],[Quarter ]]</f>
        <v>EMEAQ1</v>
      </c>
      <c r="V2051" s="5">
        <f>_xlfn.XLOOKUP(Transactions_RAW_cleaned[[#This Row],[RegionQuarterKey]], Quarterly_Targets_cleaned[RegionQuarterKey], Quarterly_Targets_cleaned[TargetRevenue])</f>
        <v>133000</v>
      </c>
    </row>
    <row r="2052" spans="1:22" x14ac:dyDescent="0.25">
      <c r="A2052" t="s">
        <v>2389</v>
      </c>
      <c r="B2052" s="1">
        <v>45441</v>
      </c>
      <c r="C2052" t="s">
        <v>47</v>
      </c>
      <c r="D2052" t="s">
        <v>315</v>
      </c>
      <c r="E2052">
        <v>1053.93</v>
      </c>
      <c r="F2052" t="s">
        <v>324</v>
      </c>
      <c r="G2052" t="s">
        <v>325</v>
      </c>
      <c r="I2052" t="s">
        <v>8</v>
      </c>
      <c r="J2052" t="s">
        <v>21</v>
      </c>
      <c r="K2052" t="s">
        <v>22</v>
      </c>
      <c r="L2052" t="s">
        <v>316</v>
      </c>
      <c r="M2052" t="s">
        <v>305</v>
      </c>
      <c r="N2052">
        <v>2.5000000000000001E-3</v>
      </c>
      <c r="O2052" t="str">
        <f>IF(Transactions_RAW_cleaned[[#This Row],[Status]]="Completed", IFERROR(_xlfn.XLOOKUP(Transactions_RAW_cleaned[[#This Row],[CustomerID]], Customers_cleaned[CustomerID], Customers_cleaned[Segment]), "Customer Not Found"), "N/A")</f>
        <v>SMB</v>
      </c>
      <c r="P2052" s="5" t="str">
        <f>IF(Transactions_RAW_cleaned[[#This Row],[Status]]="Refunded", "Refund",
  IF(Transactions_RAW_cleaned[[#This Row],[Category]]="Payments", IF(Transactions_RAW_cleaned[[#This Row],[Amount]]&gt;500,"High Value","Standard"),
    IF(Transactions_RAW_cleaned[[#This Row],[Amount]]&gt;250,"High Value","Standard")))</f>
        <v>High Value</v>
      </c>
      <c r="Q2052" s="5" t="str">
        <f>IF(Transactions_RAW_cleaned[[#This Row],[Amount]] &gt; (_xlfn.XLOOKUP(Transactions_RAW_cleaned[[#This Row],[ServiceID]],Services_cleaned[ServiceID],Services_cleaned[TransactionFeePct]) * 10000), "Yes", "No")</f>
        <v>Yes</v>
      </c>
      <c r="R2052" s="5" t="str">
        <f>IF(COUNTIFS($C$2:Transactions_RAW_cleaned[[#This Row],[CustomerID]],Transactions_RAW_cleaned[[#This Row],[CustomerID]],$D$2:Transactions_RAW_cleaned[[#This Row],[ServiceID]],Transactions_RAW_cleaned[[#This Row],[ServiceID]])=1,"Yes","No")</f>
        <v>No</v>
      </c>
      <c r="S205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52" t="str">
        <f>"Q"&amp;ROUNDUP(MONTH(Transactions_RAW_cleaned[[#This Row],[TransactionDate]])/3,0)</f>
        <v>Q2</v>
      </c>
      <c r="U2052" t="str">
        <f>Transactions_RAW_cleaned[[#This Row],[Region ]]&amp;Transactions_RAW_cleaned[[#This Row],[Quarter ]]</f>
        <v>APACQ2</v>
      </c>
      <c r="V2052" s="5">
        <f>_xlfn.XLOOKUP(Transactions_RAW_cleaned[[#This Row],[RegionQuarterKey]], Quarterly_Targets_cleaned[RegionQuarterKey], Quarterly_Targets_cleaned[TargetRevenue])</f>
        <v>110000</v>
      </c>
    </row>
    <row r="2053" spans="1:22" x14ac:dyDescent="0.25">
      <c r="A2053" t="s">
        <v>2390</v>
      </c>
      <c r="B2053" s="1">
        <v>45464</v>
      </c>
      <c r="C2053" t="s">
        <v>119</v>
      </c>
      <c r="D2053" t="s">
        <v>300</v>
      </c>
      <c r="E2053">
        <v>789.47</v>
      </c>
      <c r="F2053" t="s">
        <v>324</v>
      </c>
      <c r="G2053" t="s">
        <v>325</v>
      </c>
      <c r="H2053" t="s">
        <v>334</v>
      </c>
      <c r="I2053" t="s">
        <v>57</v>
      </c>
      <c r="J2053" t="s">
        <v>102</v>
      </c>
      <c r="K2053" t="s">
        <v>18</v>
      </c>
      <c r="L2053" t="s">
        <v>301</v>
      </c>
      <c r="M2053" t="s">
        <v>302</v>
      </c>
      <c r="N2053">
        <v>5.0000000000000001E-3</v>
      </c>
      <c r="O2053" t="str">
        <f>IF(Transactions_RAW_cleaned[[#This Row],[Status]]="Completed", IFERROR(_xlfn.XLOOKUP(Transactions_RAW_cleaned[[#This Row],[CustomerID]], Customers_cleaned[CustomerID], Customers_cleaned[Segment]), "Customer Not Found"), "N/A")</f>
        <v>Startup</v>
      </c>
      <c r="P2053" s="5" t="str">
        <f>IF(Transactions_RAW_cleaned[[#This Row],[Status]]="Refunded", "Refund",
  IF(Transactions_RAW_cleaned[[#This Row],[Category]]="Payments", IF(Transactions_RAW_cleaned[[#This Row],[Amount]]&gt;500,"High Value","Standard"),
    IF(Transactions_RAW_cleaned[[#This Row],[Amount]]&gt;250,"High Value","Standard")))</f>
        <v>High Value</v>
      </c>
      <c r="Q2053" s="5" t="str">
        <f>IF(Transactions_RAW_cleaned[[#This Row],[Amount]] &gt; (_xlfn.XLOOKUP(Transactions_RAW_cleaned[[#This Row],[ServiceID]],Services_cleaned[ServiceID],Services_cleaned[TransactionFeePct]) * 10000), "Yes", "No")</f>
        <v>Yes</v>
      </c>
      <c r="R2053" s="5" t="str">
        <f>IF(COUNTIFS($C$2:Transactions_RAW_cleaned[[#This Row],[CustomerID]],Transactions_RAW_cleaned[[#This Row],[CustomerID]],$D$2:Transactions_RAW_cleaned[[#This Row],[ServiceID]],Transactions_RAW_cleaned[[#This Row],[ServiceID]])=1,"Yes","No")</f>
        <v>No</v>
      </c>
      <c r="S205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53" t="str">
        <f>"Q"&amp;ROUNDUP(MONTH(Transactions_RAW_cleaned[[#This Row],[TransactionDate]])/3,0)</f>
        <v>Q2</v>
      </c>
      <c r="U2053" t="str">
        <f>Transactions_RAW_cleaned[[#This Row],[Region ]]&amp;Transactions_RAW_cleaned[[#This Row],[Quarter ]]</f>
        <v>NAQ2</v>
      </c>
      <c r="V2053" s="5">
        <f>_xlfn.XLOOKUP(Transactions_RAW_cleaned[[#This Row],[RegionQuarterKey]], Quarterly_Targets_cleaned[RegionQuarterKey], Quarterly_Targets_cleaned[TargetRevenue])</f>
        <v>260000</v>
      </c>
    </row>
    <row r="2054" spans="1:22" x14ac:dyDescent="0.25">
      <c r="A2054" t="s">
        <v>2391</v>
      </c>
      <c r="B2054" s="1">
        <v>45324</v>
      </c>
      <c r="C2054" t="s">
        <v>107</v>
      </c>
      <c r="D2054" t="s">
        <v>312</v>
      </c>
      <c r="E2054">
        <v>256.89</v>
      </c>
      <c r="F2054" t="s">
        <v>381</v>
      </c>
      <c r="G2054" t="s">
        <v>327</v>
      </c>
      <c r="H2054" t="s">
        <v>332</v>
      </c>
      <c r="I2054" t="s">
        <v>17</v>
      </c>
      <c r="J2054" t="s">
        <v>102</v>
      </c>
      <c r="K2054" t="s">
        <v>22</v>
      </c>
      <c r="L2054" t="s">
        <v>313</v>
      </c>
      <c r="M2054" t="s">
        <v>314</v>
      </c>
      <c r="N2054">
        <v>0</v>
      </c>
      <c r="O2054" t="str">
        <f>IF(Transactions_RAW_cleaned[[#This Row],[Status]]="Completed", IFERROR(_xlfn.XLOOKUP(Transactions_RAW_cleaned[[#This Row],[CustomerID]], Customers_cleaned[CustomerID], Customers_cleaned[Segment]), "Customer Not Found"), "N/A")</f>
        <v>N/A</v>
      </c>
      <c r="P2054" s="5" t="str">
        <f>IF(Transactions_RAW_cleaned[[#This Row],[Status]]="Refunded", "Refund",
  IF(Transactions_RAW_cleaned[[#This Row],[Category]]="Payments", IF(Transactions_RAW_cleaned[[#This Row],[Amount]]&gt;500,"High Value","Standard"),
    IF(Transactions_RAW_cleaned[[#This Row],[Amount]]&gt;250,"High Value","Standard")))</f>
        <v>High Value</v>
      </c>
      <c r="Q2054" s="5" t="str">
        <f>IF(Transactions_RAW_cleaned[[#This Row],[Amount]] &gt; (_xlfn.XLOOKUP(Transactions_RAW_cleaned[[#This Row],[ServiceID]],Services_cleaned[ServiceID],Services_cleaned[TransactionFeePct]) * 10000), "Yes", "No")</f>
        <v>Yes</v>
      </c>
      <c r="R2054" s="5" t="str">
        <f>IF(COUNTIFS($C$2:Transactions_RAW_cleaned[[#This Row],[CustomerID]],Transactions_RAW_cleaned[[#This Row],[CustomerID]],$D$2:Transactions_RAW_cleaned[[#This Row],[ServiceID]],Transactions_RAW_cleaned[[#This Row],[ServiceID]])=1,"Yes","No")</f>
        <v>No</v>
      </c>
      <c r="S205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54" t="str">
        <f>"Q"&amp;ROUNDUP(MONTH(Transactions_RAW_cleaned[[#This Row],[TransactionDate]])/3,0)</f>
        <v>Q1</v>
      </c>
      <c r="U2054" t="str">
        <f>Transactions_RAW_cleaned[[#This Row],[Region ]]&amp;Transactions_RAW_cleaned[[#This Row],[Quarter ]]</f>
        <v>NAQ1</v>
      </c>
      <c r="V2054" s="5">
        <f>_xlfn.XLOOKUP(Transactions_RAW_cleaned[[#This Row],[RegionQuarterKey]], Quarterly_Targets_cleaned[RegionQuarterKey], Quarterly_Targets_cleaned[TargetRevenue])</f>
        <v>247000</v>
      </c>
    </row>
    <row r="2055" spans="1:22" x14ac:dyDescent="0.25">
      <c r="A2055" t="s">
        <v>2392</v>
      </c>
      <c r="B2055" s="1">
        <v>45447</v>
      </c>
      <c r="C2055" t="s">
        <v>155</v>
      </c>
      <c r="D2055" t="s">
        <v>300</v>
      </c>
      <c r="E2055">
        <v>110.23</v>
      </c>
      <c r="F2055" t="s">
        <v>324</v>
      </c>
      <c r="G2055" t="s">
        <v>329</v>
      </c>
      <c r="H2055" t="s">
        <v>334</v>
      </c>
      <c r="I2055" t="s">
        <v>8</v>
      </c>
      <c r="J2055" t="s">
        <v>46</v>
      </c>
      <c r="K2055" t="s">
        <v>22</v>
      </c>
      <c r="L2055" t="s">
        <v>301</v>
      </c>
      <c r="M2055" t="s">
        <v>302</v>
      </c>
      <c r="N2055">
        <v>5.0000000000000001E-3</v>
      </c>
      <c r="O2055" t="str">
        <f>IF(Transactions_RAW_cleaned[[#This Row],[Status]]="Completed", IFERROR(_xlfn.XLOOKUP(Transactions_RAW_cleaned[[#This Row],[CustomerID]], Customers_cleaned[CustomerID], Customers_cleaned[Segment]), "Customer Not Found"), "N/A")</f>
        <v>SMB</v>
      </c>
      <c r="P2055" s="5" t="str">
        <f>IF(Transactions_RAW_cleaned[[#This Row],[Status]]="Refunded", "Refund",
  IF(Transactions_RAW_cleaned[[#This Row],[Category]]="Payments", IF(Transactions_RAW_cleaned[[#This Row],[Amount]]&gt;500,"High Value","Standard"),
    IF(Transactions_RAW_cleaned[[#This Row],[Amount]]&gt;250,"High Value","Standard")))</f>
        <v>Standard</v>
      </c>
      <c r="Q2055" s="5" t="str">
        <f>IF(Transactions_RAW_cleaned[[#This Row],[Amount]] &gt; (_xlfn.XLOOKUP(Transactions_RAW_cleaned[[#This Row],[ServiceID]],Services_cleaned[ServiceID],Services_cleaned[TransactionFeePct]) * 10000), "Yes", "No")</f>
        <v>Yes</v>
      </c>
      <c r="R2055" s="5" t="str">
        <f>IF(COUNTIFS($C$2:Transactions_RAW_cleaned[[#This Row],[CustomerID]],Transactions_RAW_cleaned[[#This Row],[CustomerID]],$D$2:Transactions_RAW_cleaned[[#This Row],[ServiceID]],Transactions_RAW_cleaned[[#This Row],[ServiceID]])=1,"Yes","No")</f>
        <v>Yes</v>
      </c>
      <c r="S205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55" t="str">
        <f>"Q"&amp;ROUNDUP(MONTH(Transactions_RAW_cleaned[[#This Row],[TransactionDate]])/3,0)</f>
        <v>Q2</v>
      </c>
      <c r="U2055" t="str">
        <f>Transactions_RAW_cleaned[[#This Row],[Region ]]&amp;Transactions_RAW_cleaned[[#This Row],[Quarter ]]</f>
        <v>APACQ2</v>
      </c>
      <c r="V2055" s="5">
        <f>_xlfn.XLOOKUP(Transactions_RAW_cleaned[[#This Row],[RegionQuarterKey]], Quarterly_Targets_cleaned[RegionQuarterKey], Quarterly_Targets_cleaned[TargetRevenue])</f>
        <v>110000</v>
      </c>
    </row>
    <row r="2056" spans="1:22" x14ac:dyDescent="0.25">
      <c r="A2056" t="s">
        <v>2393</v>
      </c>
      <c r="B2056" s="1">
        <v>45498</v>
      </c>
      <c r="C2056" t="s">
        <v>173</v>
      </c>
      <c r="D2056" t="s">
        <v>294</v>
      </c>
      <c r="E2056">
        <v>332.29</v>
      </c>
      <c r="F2056" t="s">
        <v>324</v>
      </c>
      <c r="G2056" t="s">
        <v>337</v>
      </c>
      <c r="H2056" t="s">
        <v>346</v>
      </c>
      <c r="I2056" t="s">
        <v>8</v>
      </c>
      <c r="J2056" t="s">
        <v>46</v>
      </c>
      <c r="K2056" t="s">
        <v>32</v>
      </c>
      <c r="L2056" t="s">
        <v>295</v>
      </c>
      <c r="M2056" t="s">
        <v>296</v>
      </c>
      <c r="N2056">
        <v>2.9000000000000001E-2</v>
      </c>
      <c r="O2056" t="str">
        <f>IF(Transactions_RAW_cleaned[[#This Row],[Status]]="Completed", IFERROR(_xlfn.XLOOKUP(Transactions_RAW_cleaned[[#This Row],[CustomerID]], Customers_cleaned[CustomerID], Customers_cleaned[Segment]), "Customer Not Found"), "N/A")</f>
        <v>SMB</v>
      </c>
      <c r="P2056" s="5" t="str">
        <f>IF(Transactions_RAW_cleaned[[#This Row],[Status]]="Refunded", "Refund",
  IF(Transactions_RAW_cleaned[[#This Row],[Category]]="Payments", IF(Transactions_RAW_cleaned[[#This Row],[Amount]]&gt;500,"High Value","Standard"),
    IF(Transactions_RAW_cleaned[[#This Row],[Amount]]&gt;250,"High Value","Standard")))</f>
        <v>Standard</v>
      </c>
      <c r="Q2056" s="5" t="str">
        <f>IF(Transactions_RAW_cleaned[[#This Row],[Amount]] &gt; (_xlfn.XLOOKUP(Transactions_RAW_cleaned[[#This Row],[ServiceID]],Services_cleaned[ServiceID],Services_cleaned[TransactionFeePct]) * 10000), "Yes", "No")</f>
        <v>Yes</v>
      </c>
      <c r="R2056" s="5" t="str">
        <f>IF(COUNTIFS($C$2:Transactions_RAW_cleaned[[#This Row],[CustomerID]],Transactions_RAW_cleaned[[#This Row],[CustomerID]],$D$2:Transactions_RAW_cleaned[[#This Row],[ServiceID]],Transactions_RAW_cleaned[[#This Row],[ServiceID]])=1,"Yes","No")</f>
        <v>No</v>
      </c>
      <c r="S205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56" t="str">
        <f>"Q"&amp;ROUNDUP(MONTH(Transactions_RAW_cleaned[[#This Row],[TransactionDate]])/3,0)</f>
        <v>Q3</v>
      </c>
      <c r="U2056" t="str">
        <f>Transactions_RAW_cleaned[[#This Row],[Region ]]&amp;Transactions_RAW_cleaned[[#This Row],[Quarter ]]</f>
        <v>APACQ3</v>
      </c>
      <c r="V2056" s="5">
        <f>_xlfn.XLOOKUP(Transactions_RAW_cleaned[[#This Row],[RegionQuarterKey]], Quarterly_Targets_cleaned[RegionQuarterKey], Quarterly_Targets_cleaned[TargetRevenue])</f>
        <v>115500</v>
      </c>
    </row>
    <row r="2057" spans="1:22" x14ac:dyDescent="0.25">
      <c r="A2057" t="s">
        <v>2394</v>
      </c>
      <c r="B2057" s="1">
        <v>45339</v>
      </c>
      <c r="C2057" t="s">
        <v>6</v>
      </c>
      <c r="D2057" t="s">
        <v>294</v>
      </c>
      <c r="E2057">
        <v>468.77</v>
      </c>
      <c r="F2057" t="s">
        <v>324</v>
      </c>
      <c r="G2057" t="s">
        <v>327</v>
      </c>
      <c r="I2057" t="s">
        <v>8</v>
      </c>
      <c r="J2057" t="s">
        <v>102</v>
      </c>
      <c r="K2057" t="s">
        <v>10</v>
      </c>
      <c r="L2057" t="s">
        <v>295</v>
      </c>
      <c r="M2057" t="s">
        <v>296</v>
      </c>
      <c r="N2057">
        <v>2.9000000000000001E-2</v>
      </c>
      <c r="O2057" t="str">
        <f>IF(Transactions_RAW_cleaned[[#This Row],[Status]]="Completed", IFERROR(_xlfn.XLOOKUP(Transactions_RAW_cleaned[[#This Row],[CustomerID]], Customers_cleaned[CustomerID], Customers_cleaned[Segment]), "Customer Not Found"), "N/A")</f>
        <v>SMB</v>
      </c>
      <c r="P2057" s="5" t="str">
        <f>IF(Transactions_RAW_cleaned[[#This Row],[Status]]="Refunded", "Refund",
  IF(Transactions_RAW_cleaned[[#This Row],[Category]]="Payments", IF(Transactions_RAW_cleaned[[#This Row],[Amount]]&gt;500,"High Value","Standard"),
    IF(Transactions_RAW_cleaned[[#This Row],[Amount]]&gt;250,"High Value","Standard")))</f>
        <v>Standard</v>
      </c>
      <c r="Q2057" s="5" t="str">
        <f>IF(Transactions_RAW_cleaned[[#This Row],[Amount]] &gt; (_xlfn.XLOOKUP(Transactions_RAW_cleaned[[#This Row],[ServiceID]],Services_cleaned[ServiceID],Services_cleaned[TransactionFeePct]) * 10000), "Yes", "No")</f>
        <v>Yes</v>
      </c>
      <c r="R2057" s="5" t="str">
        <f>IF(COUNTIFS($C$2:Transactions_RAW_cleaned[[#This Row],[CustomerID]],Transactions_RAW_cleaned[[#This Row],[CustomerID]],$D$2:Transactions_RAW_cleaned[[#This Row],[ServiceID]],Transactions_RAW_cleaned[[#This Row],[ServiceID]])=1,"Yes","No")</f>
        <v>No</v>
      </c>
      <c r="S205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57" t="str">
        <f>"Q"&amp;ROUNDUP(MONTH(Transactions_RAW_cleaned[[#This Row],[TransactionDate]])/3,0)</f>
        <v>Q1</v>
      </c>
      <c r="U2057" t="str">
        <f>Transactions_RAW_cleaned[[#This Row],[Region ]]&amp;Transactions_RAW_cleaned[[#This Row],[Quarter ]]</f>
        <v>NAQ1</v>
      </c>
      <c r="V2057" s="5">
        <f>_xlfn.XLOOKUP(Transactions_RAW_cleaned[[#This Row],[RegionQuarterKey]], Quarterly_Targets_cleaned[RegionQuarterKey], Quarterly_Targets_cleaned[TargetRevenue])</f>
        <v>247000</v>
      </c>
    </row>
    <row r="2058" spans="1:22" x14ac:dyDescent="0.25">
      <c r="A2058" t="s">
        <v>2395</v>
      </c>
      <c r="B2058" s="1">
        <v>45561</v>
      </c>
      <c r="C2058" t="s">
        <v>143</v>
      </c>
      <c r="D2058" t="s">
        <v>294</v>
      </c>
      <c r="E2058">
        <v>209.01</v>
      </c>
      <c r="F2058" t="s">
        <v>324</v>
      </c>
      <c r="G2058" t="s">
        <v>337</v>
      </c>
      <c r="I2058" t="s">
        <v>8</v>
      </c>
      <c r="J2058" t="s">
        <v>102</v>
      </c>
      <c r="K2058" t="s">
        <v>22</v>
      </c>
      <c r="L2058" t="s">
        <v>295</v>
      </c>
      <c r="M2058" t="s">
        <v>296</v>
      </c>
      <c r="N2058">
        <v>2.9000000000000001E-2</v>
      </c>
      <c r="O2058" t="str">
        <f>IF(Transactions_RAW_cleaned[[#This Row],[Status]]="Completed", IFERROR(_xlfn.XLOOKUP(Transactions_RAW_cleaned[[#This Row],[CustomerID]], Customers_cleaned[CustomerID], Customers_cleaned[Segment]), "Customer Not Found"), "N/A")</f>
        <v>SMB</v>
      </c>
      <c r="P2058" s="5" t="str">
        <f>IF(Transactions_RAW_cleaned[[#This Row],[Status]]="Refunded", "Refund",
  IF(Transactions_RAW_cleaned[[#This Row],[Category]]="Payments", IF(Transactions_RAW_cleaned[[#This Row],[Amount]]&gt;500,"High Value","Standard"),
    IF(Transactions_RAW_cleaned[[#This Row],[Amount]]&gt;250,"High Value","Standard")))</f>
        <v>Standard</v>
      </c>
      <c r="Q2058" s="5" t="str">
        <f>IF(Transactions_RAW_cleaned[[#This Row],[Amount]] &gt; (_xlfn.XLOOKUP(Transactions_RAW_cleaned[[#This Row],[ServiceID]],Services_cleaned[ServiceID],Services_cleaned[TransactionFeePct]) * 10000), "Yes", "No")</f>
        <v>No</v>
      </c>
      <c r="R2058" s="5" t="str">
        <f>IF(COUNTIFS($C$2:Transactions_RAW_cleaned[[#This Row],[CustomerID]],Transactions_RAW_cleaned[[#This Row],[CustomerID]],$D$2:Transactions_RAW_cleaned[[#This Row],[ServiceID]],Transactions_RAW_cleaned[[#This Row],[ServiceID]])=1,"Yes","No")</f>
        <v>No</v>
      </c>
      <c r="S205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58" t="str">
        <f>"Q"&amp;ROUNDUP(MONTH(Transactions_RAW_cleaned[[#This Row],[TransactionDate]])/3,0)</f>
        <v>Q3</v>
      </c>
      <c r="U2058" t="str">
        <f>Transactions_RAW_cleaned[[#This Row],[Region ]]&amp;Transactions_RAW_cleaned[[#This Row],[Quarter ]]</f>
        <v>NAQ3</v>
      </c>
      <c r="V2058" s="5">
        <f>_xlfn.XLOOKUP(Transactions_RAW_cleaned[[#This Row],[RegionQuarterKey]], Quarterly_Targets_cleaned[RegionQuarterKey], Quarterly_Targets_cleaned[TargetRevenue])</f>
        <v>273000</v>
      </c>
    </row>
    <row r="2059" spans="1:22" x14ac:dyDescent="0.25">
      <c r="A2059" t="s">
        <v>2396</v>
      </c>
      <c r="B2059" s="1">
        <v>45562</v>
      </c>
      <c r="C2059" t="s">
        <v>193</v>
      </c>
      <c r="D2059" t="s">
        <v>306</v>
      </c>
      <c r="E2059">
        <v>870.64</v>
      </c>
      <c r="F2059" t="s">
        <v>324</v>
      </c>
      <c r="G2059" t="s">
        <v>325</v>
      </c>
      <c r="H2059" t="s">
        <v>332</v>
      </c>
      <c r="I2059" t="s">
        <v>8</v>
      </c>
      <c r="J2059" t="s">
        <v>102</v>
      </c>
      <c r="K2059" t="s">
        <v>18</v>
      </c>
      <c r="L2059" t="s">
        <v>307</v>
      </c>
      <c r="M2059" t="s">
        <v>308</v>
      </c>
      <c r="N2059">
        <v>0</v>
      </c>
      <c r="O2059" t="str">
        <f>IF(Transactions_RAW_cleaned[[#This Row],[Status]]="Completed", IFERROR(_xlfn.XLOOKUP(Transactions_RAW_cleaned[[#This Row],[CustomerID]], Customers_cleaned[CustomerID], Customers_cleaned[Segment]), "Customer Not Found"), "N/A")</f>
        <v>SMB</v>
      </c>
      <c r="P2059" s="5" t="str">
        <f>IF(Transactions_RAW_cleaned[[#This Row],[Status]]="Refunded", "Refund",
  IF(Transactions_RAW_cleaned[[#This Row],[Category]]="Payments", IF(Transactions_RAW_cleaned[[#This Row],[Amount]]&gt;500,"High Value","Standard"),
    IF(Transactions_RAW_cleaned[[#This Row],[Amount]]&gt;250,"High Value","Standard")))</f>
        <v>High Value</v>
      </c>
      <c r="Q2059" s="5" t="str">
        <f>IF(Transactions_RAW_cleaned[[#This Row],[Amount]] &gt; (_xlfn.XLOOKUP(Transactions_RAW_cleaned[[#This Row],[ServiceID]],Services_cleaned[ServiceID],Services_cleaned[TransactionFeePct]) * 10000), "Yes", "No")</f>
        <v>Yes</v>
      </c>
      <c r="R2059" s="5" t="str">
        <f>IF(COUNTIFS($C$2:Transactions_RAW_cleaned[[#This Row],[CustomerID]],Transactions_RAW_cleaned[[#This Row],[CustomerID]],$D$2:Transactions_RAW_cleaned[[#This Row],[ServiceID]],Transactions_RAW_cleaned[[#This Row],[ServiceID]])=1,"Yes","No")</f>
        <v>No</v>
      </c>
      <c r="S205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59" t="str">
        <f>"Q"&amp;ROUNDUP(MONTH(Transactions_RAW_cleaned[[#This Row],[TransactionDate]])/3,0)</f>
        <v>Q3</v>
      </c>
      <c r="U2059" t="str">
        <f>Transactions_RAW_cleaned[[#This Row],[Region ]]&amp;Transactions_RAW_cleaned[[#This Row],[Quarter ]]</f>
        <v>NAQ3</v>
      </c>
      <c r="V2059" s="5">
        <f>_xlfn.XLOOKUP(Transactions_RAW_cleaned[[#This Row],[RegionQuarterKey]], Quarterly_Targets_cleaned[RegionQuarterKey], Quarterly_Targets_cleaned[TargetRevenue])</f>
        <v>273000</v>
      </c>
    </row>
    <row r="2060" spans="1:22" x14ac:dyDescent="0.25">
      <c r="A2060" t="s">
        <v>2397</v>
      </c>
      <c r="B2060" s="1">
        <v>45371</v>
      </c>
      <c r="C2060" t="s">
        <v>237</v>
      </c>
      <c r="D2060" t="s">
        <v>294</v>
      </c>
      <c r="E2060">
        <v>-275.02999999999997</v>
      </c>
      <c r="F2060" t="s">
        <v>349</v>
      </c>
      <c r="G2060" t="s">
        <v>327</v>
      </c>
      <c r="I2060" t="s">
        <v>8</v>
      </c>
      <c r="J2060" t="s">
        <v>46</v>
      </c>
      <c r="K2060" t="s">
        <v>10</v>
      </c>
      <c r="L2060" t="s">
        <v>295</v>
      </c>
      <c r="M2060" t="s">
        <v>296</v>
      </c>
      <c r="N2060">
        <v>2.9000000000000001E-2</v>
      </c>
      <c r="O2060" t="str">
        <f>IF(Transactions_RAW_cleaned[[#This Row],[Status]]="Completed", IFERROR(_xlfn.XLOOKUP(Transactions_RAW_cleaned[[#This Row],[CustomerID]], Customers_cleaned[CustomerID], Customers_cleaned[Segment]), "Customer Not Found"), "N/A")</f>
        <v>N/A</v>
      </c>
      <c r="P2060" s="5" t="str">
        <f>IF(Transactions_RAW_cleaned[[#This Row],[Status]]="Refunded", "Refund",
  IF(Transactions_RAW_cleaned[[#This Row],[Category]]="Payments", IF(Transactions_RAW_cleaned[[#This Row],[Amount]]&gt;500,"High Value","Standard"),
    IF(Transactions_RAW_cleaned[[#This Row],[Amount]]&gt;250,"High Value","Standard")))</f>
        <v>Refund</v>
      </c>
      <c r="Q2060" s="5" t="str">
        <f>IF(Transactions_RAW_cleaned[[#This Row],[Amount]] &gt; (_xlfn.XLOOKUP(Transactions_RAW_cleaned[[#This Row],[ServiceID]],Services_cleaned[ServiceID],Services_cleaned[TransactionFeePct]) * 10000), "Yes", "No")</f>
        <v>No</v>
      </c>
      <c r="R2060" s="5" t="str">
        <f>IF(COUNTIFS($C$2:Transactions_RAW_cleaned[[#This Row],[CustomerID]],Transactions_RAW_cleaned[[#This Row],[CustomerID]],$D$2:Transactions_RAW_cleaned[[#This Row],[ServiceID]],Transactions_RAW_cleaned[[#This Row],[ServiceID]])=1,"Yes","No")</f>
        <v>No</v>
      </c>
      <c r="S206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60" t="str">
        <f>"Q"&amp;ROUNDUP(MONTH(Transactions_RAW_cleaned[[#This Row],[TransactionDate]])/3,0)</f>
        <v>Q1</v>
      </c>
      <c r="U2060" t="str">
        <f>Transactions_RAW_cleaned[[#This Row],[Region ]]&amp;Transactions_RAW_cleaned[[#This Row],[Quarter ]]</f>
        <v>APACQ1</v>
      </c>
      <c r="V2060" s="5">
        <f>_xlfn.XLOOKUP(Transactions_RAW_cleaned[[#This Row],[RegionQuarterKey]], Quarterly_Targets_cleaned[RegionQuarterKey], Quarterly_Targets_cleaned[TargetRevenue])</f>
        <v>104500</v>
      </c>
    </row>
    <row r="2061" spans="1:22" x14ac:dyDescent="0.25">
      <c r="A2061" t="s">
        <v>2398</v>
      </c>
      <c r="B2061" s="1">
        <v>45372</v>
      </c>
      <c r="C2061" t="s">
        <v>201</v>
      </c>
      <c r="D2061" t="s">
        <v>294</v>
      </c>
      <c r="E2061">
        <v>-313.95999999999998</v>
      </c>
      <c r="F2061" t="s">
        <v>349</v>
      </c>
      <c r="G2061" t="s">
        <v>327</v>
      </c>
      <c r="H2061" t="s">
        <v>332</v>
      </c>
      <c r="I2061" t="s">
        <v>57</v>
      </c>
      <c r="J2061" t="s">
        <v>37</v>
      </c>
      <c r="K2061" t="s">
        <v>32</v>
      </c>
      <c r="L2061" t="s">
        <v>295</v>
      </c>
      <c r="M2061" t="s">
        <v>296</v>
      </c>
      <c r="N2061">
        <v>2.9000000000000001E-2</v>
      </c>
      <c r="O2061" t="str">
        <f>IF(Transactions_RAW_cleaned[[#This Row],[Status]]="Completed", IFERROR(_xlfn.XLOOKUP(Transactions_RAW_cleaned[[#This Row],[CustomerID]], Customers_cleaned[CustomerID], Customers_cleaned[Segment]), "Customer Not Found"), "N/A")</f>
        <v>N/A</v>
      </c>
      <c r="P2061" s="5" t="str">
        <f>IF(Transactions_RAW_cleaned[[#This Row],[Status]]="Refunded", "Refund",
  IF(Transactions_RAW_cleaned[[#This Row],[Category]]="Payments", IF(Transactions_RAW_cleaned[[#This Row],[Amount]]&gt;500,"High Value","Standard"),
    IF(Transactions_RAW_cleaned[[#This Row],[Amount]]&gt;250,"High Value","Standard")))</f>
        <v>Refund</v>
      </c>
      <c r="Q2061" s="5" t="str">
        <f>IF(Transactions_RAW_cleaned[[#This Row],[Amount]] &gt; (_xlfn.XLOOKUP(Transactions_RAW_cleaned[[#This Row],[ServiceID]],Services_cleaned[ServiceID],Services_cleaned[TransactionFeePct]) * 10000), "Yes", "No")</f>
        <v>No</v>
      </c>
      <c r="R2061" s="5" t="str">
        <f>IF(COUNTIFS($C$2:Transactions_RAW_cleaned[[#This Row],[CustomerID]],Transactions_RAW_cleaned[[#This Row],[CustomerID]],$D$2:Transactions_RAW_cleaned[[#This Row],[ServiceID]],Transactions_RAW_cleaned[[#This Row],[ServiceID]])=1,"Yes","No")</f>
        <v>No</v>
      </c>
      <c r="S206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061" t="str">
        <f>"Q"&amp;ROUNDUP(MONTH(Transactions_RAW_cleaned[[#This Row],[TransactionDate]])/3,0)</f>
        <v>Q1</v>
      </c>
      <c r="U2061" t="str">
        <f>Transactions_RAW_cleaned[[#This Row],[Region ]]&amp;Transactions_RAW_cleaned[[#This Row],[Quarter ]]</f>
        <v>EMEAQ1</v>
      </c>
      <c r="V2061" s="5">
        <f>_xlfn.XLOOKUP(Transactions_RAW_cleaned[[#This Row],[RegionQuarterKey]], Quarterly_Targets_cleaned[RegionQuarterKey], Quarterly_Targets_cleaned[TargetRevenue])</f>
        <v>133000</v>
      </c>
    </row>
    <row r="2062" spans="1:22" x14ac:dyDescent="0.25">
      <c r="A2062" t="s">
        <v>2399</v>
      </c>
      <c r="B2062" s="1">
        <v>45373</v>
      </c>
      <c r="C2062" t="s">
        <v>125</v>
      </c>
      <c r="D2062" t="s">
        <v>300</v>
      </c>
      <c r="E2062">
        <v>543.08000000000004</v>
      </c>
      <c r="F2062" t="s">
        <v>324</v>
      </c>
      <c r="G2062" t="s">
        <v>327</v>
      </c>
      <c r="I2062" t="s">
        <v>8</v>
      </c>
      <c r="J2062" t="s">
        <v>13</v>
      </c>
      <c r="K2062" t="s">
        <v>28</v>
      </c>
      <c r="L2062" t="s">
        <v>301</v>
      </c>
      <c r="M2062" t="s">
        <v>302</v>
      </c>
      <c r="N2062">
        <v>5.0000000000000001E-3</v>
      </c>
      <c r="O2062" t="str">
        <f>IF(Transactions_RAW_cleaned[[#This Row],[Status]]="Completed", IFERROR(_xlfn.XLOOKUP(Transactions_RAW_cleaned[[#This Row],[CustomerID]], Customers_cleaned[CustomerID], Customers_cleaned[Segment]), "Customer Not Found"), "N/A")</f>
        <v>SMB</v>
      </c>
      <c r="P2062" s="5" t="str">
        <f>IF(Transactions_RAW_cleaned[[#This Row],[Status]]="Refunded", "Refund",
  IF(Transactions_RAW_cleaned[[#This Row],[Category]]="Payments", IF(Transactions_RAW_cleaned[[#This Row],[Amount]]&gt;500,"High Value","Standard"),
    IF(Transactions_RAW_cleaned[[#This Row],[Amount]]&gt;250,"High Value","Standard")))</f>
        <v>High Value</v>
      </c>
      <c r="Q2062" s="5" t="str">
        <f>IF(Transactions_RAW_cleaned[[#This Row],[Amount]] &gt; (_xlfn.XLOOKUP(Transactions_RAW_cleaned[[#This Row],[ServiceID]],Services_cleaned[ServiceID],Services_cleaned[TransactionFeePct]) * 10000), "Yes", "No")</f>
        <v>Yes</v>
      </c>
      <c r="R2062" s="5" t="str">
        <f>IF(COUNTIFS($C$2:Transactions_RAW_cleaned[[#This Row],[CustomerID]],Transactions_RAW_cleaned[[#This Row],[CustomerID]],$D$2:Transactions_RAW_cleaned[[#This Row],[ServiceID]],Transactions_RAW_cleaned[[#This Row],[ServiceID]])=1,"Yes","No")</f>
        <v>No</v>
      </c>
      <c r="S206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62" t="str">
        <f>"Q"&amp;ROUNDUP(MONTH(Transactions_RAW_cleaned[[#This Row],[TransactionDate]])/3,0)</f>
        <v>Q1</v>
      </c>
      <c r="U2062" t="str">
        <f>Transactions_RAW_cleaned[[#This Row],[Region ]]&amp;Transactions_RAW_cleaned[[#This Row],[Quarter ]]</f>
        <v>NAQ1</v>
      </c>
      <c r="V2062" s="5">
        <f>_xlfn.XLOOKUP(Transactions_RAW_cleaned[[#This Row],[RegionQuarterKey]], Quarterly_Targets_cleaned[RegionQuarterKey], Quarterly_Targets_cleaned[TargetRevenue])</f>
        <v>247000</v>
      </c>
    </row>
    <row r="2063" spans="1:22" x14ac:dyDescent="0.25">
      <c r="A2063" t="s">
        <v>2400</v>
      </c>
      <c r="B2063" s="1">
        <v>45593</v>
      </c>
      <c r="C2063" t="s">
        <v>203</v>
      </c>
      <c r="D2063" t="s">
        <v>309</v>
      </c>
      <c r="E2063">
        <v>542.62</v>
      </c>
      <c r="F2063" t="s">
        <v>324</v>
      </c>
      <c r="G2063" t="s">
        <v>329</v>
      </c>
      <c r="I2063" t="s">
        <v>57</v>
      </c>
      <c r="J2063" t="s">
        <v>21</v>
      </c>
      <c r="K2063" t="s">
        <v>14</v>
      </c>
      <c r="L2063" t="s">
        <v>310</v>
      </c>
      <c r="M2063" t="s">
        <v>311</v>
      </c>
      <c r="N2063">
        <v>0</v>
      </c>
      <c r="O2063" t="str">
        <f>IF(Transactions_RAW_cleaned[[#This Row],[Status]]="Completed", IFERROR(_xlfn.XLOOKUP(Transactions_RAW_cleaned[[#This Row],[CustomerID]], Customers_cleaned[CustomerID], Customers_cleaned[Segment]), "Customer Not Found"), "N/A")</f>
        <v>Startup</v>
      </c>
      <c r="P2063" s="5" t="str">
        <f>IF(Transactions_RAW_cleaned[[#This Row],[Status]]="Refunded", "Refund",
  IF(Transactions_RAW_cleaned[[#This Row],[Category]]="Payments", IF(Transactions_RAW_cleaned[[#This Row],[Amount]]&gt;500,"High Value","Standard"),
    IF(Transactions_RAW_cleaned[[#This Row],[Amount]]&gt;250,"High Value","Standard")))</f>
        <v>High Value</v>
      </c>
      <c r="Q2063" s="5" t="str">
        <f>IF(Transactions_RAW_cleaned[[#This Row],[Amount]] &gt; (_xlfn.XLOOKUP(Transactions_RAW_cleaned[[#This Row],[ServiceID]],Services_cleaned[ServiceID],Services_cleaned[TransactionFeePct]) * 10000), "Yes", "No")</f>
        <v>Yes</v>
      </c>
      <c r="R2063" s="5" t="str">
        <f>IF(COUNTIFS($C$2:Transactions_RAW_cleaned[[#This Row],[CustomerID]],Transactions_RAW_cleaned[[#This Row],[CustomerID]],$D$2:Transactions_RAW_cleaned[[#This Row],[ServiceID]],Transactions_RAW_cleaned[[#This Row],[ServiceID]])=1,"Yes","No")</f>
        <v>No</v>
      </c>
      <c r="S206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63" t="str">
        <f>"Q"&amp;ROUNDUP(MONTH(Transactions_RAW_cleaned[[#This Row],[TransactionDate]])/3,0)</f>
        <v>Q4</v>
      </c>
      <c r="U2063" t="str">
        <f>Transactions_RAW_cleaned[[#This Row],[Region ]]&amp;Transactions_RAW_cleaned[[#This Row],[Quarter ]]</f>
        <v>APACQ4</v>
      </c>
      <c r="V2063" s="5">
        <f>_xlfn.XLOOKUP(Transactions_RAW_cleaned[[#This Row],[RegionQuarterKey]], Quarterly_Targets_cleaned[RegionQuarterKey], Quarterly_Targets_cleaned[TargetRevenue])</f>
        <v>126500</v>
      </c>
    </row>
    <row r="2064" spans="1:22" x14ac:dyDescent="0.25">
      <c r="A2064" t="s">
        <v>2401</v>
      </c>
      <c r="B2064" s="1">
        <v>45503</v>
      </c>
      <c r="C2064" t="s">
        <v>235</v>
      </c>
      <c r="D2064" t="s">
        <v>300</v>
      </c>
      <c r="E2064">
        <v>456.63</v>
      </c>
      <c r="F2064" t="s">
        <v>324</v>
      </c>
      <c r="G2064" t="s">
        <v>325</v>
      </c>
      <c r="H2064" t="s">
        <v>334</v>
      </c>
      <c r="I2064" t="s">
        <v>57</v>
      </c>
      <c r="J2064" t="s">
        <v>21</v>
      </c>
      <c r="K2064" t="s">
        <v>22</v>
      </c>
      <c r="L2064" t="s">
        <v>301</v>
      </c>
      <c r="M2064" t="s">
        <v>302</v>
      </c>
      <c r="N2064">
        <v>5.0000000000000001E-3</v>
      </c>
      <c r="O2064" t="str">
        <f>IF(Transactions_RAW_cleaned[[#This Row],[Status]]="Completed", IFERROR(_xlfn.XLOOKUP(Transactions_RAW_cleaned[[#This Row],[CustomerID]], Customers_cleaned[CustomerID], Customers_cleaned[Segment]), "Customer Not Found"), "N/A")</f>
        <v>Startup</v>
      </c>
      <c r="P2064" s="5" t="str">
        <f>IF(Transactions_RAW_cleaned[[#This Row],[Status]]="Refunded", "Refund",
  IF(Transactions_RAW_cleaned[[#This Row],[Category]]="Payments", IF(Transactions_RAW_cleaned[[#This Row],[Amount]]&gt;500,"High Value","Standard"),
    IF(Transactions_RAW_cleaned[[#This Row],[Amount]]&gt;250,"High Value","Standard")))</f>
        <v>High Value</v>
      </c>
      <c r="Q2064" s="5" t="str">
        <f>IF(Transactions_RAW_cleaned[[#This Row],[Amount]] &gt; (_xlfn.XLOOKUP(Transactions_RAW_cleaned[[#This Row],[ServiceID]],Services_cleaned[ServiceID],Services_cleaned[TransactionFeePct]) * 10000), "Yes", "No")</f>
        <v>Yes</v>
      </c>
      <c r="R2064" s="5" t="str">
        <f>IF(COUNTIFS($C$2:Transactions_RAW_cleaned[[#This Row],[CustomerID]],Transactions_RAW_cleaned[[#This Row],[CustomerID]],$D$2:Transactions_RAW_cleaned[[#This Row],[ServiceID]],Transactions_RAW_cleaned[[#This Row],[ServiceID]])=1,"Yes","No")</f>
        <v>No</v>
      </c>
      <c r="S206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64" t="str">
        <f>"Q"&amp;ROUNDUP(MONTH(Transactions_RAW_cleaned[[#This Row],[TransactionDate]])/3,0)</f>
        <v>Q3</v>
      </c>
      <c r="U2064" t="str">
        <f>Transactions_RAW_cleaned[[#This Row],[Region ]]&amp;Transactions_RAW_cleaned[[#This Row],[Quarter ]]</f>
        <v>APACQ3</v>
      </c>
      <c r="V2064" s="5">
        <f>_xlfn.XLOOKUP(Transactions_RAW_cleaned[[#This Row],[RegionQuarterKey]], Quarterly_Targets_cleaned[RegionQuarterKey], Quarterly_Targets_cleaned[TargetRevenue])</f>
        <v>115500</v>
      </c>
    </row>
    <row r="2065" spans="1:22" x14ac:dyDescent="0.25">
      <c r="A2065" t="s">
        <v>2402</v>
      </c>
      <c r="B2065" s="1">
        <v>45317</v>
      </c>
      <c r="C2065" t="s">
        <v>213</v>
      </c>
      <c r="D2065" t="s">
        <v>300</v>
      </c>
      <c r="E2065">
        <v>370.73</v>
      </c>
      <c r="F2065" t="s">
        <v>324</v>
      </c>
      <c r="G2065" t="s">
        <v>327</v>
      </c>
      <c r="I2065" t="s">
        <v>17</v>
      </c>
      <c r="J2065" t="s">
        <v>25</v>
      </c>
      <c r="K2065" t="s">
        <v>14</v>
      </c>
      <c r="L2065" t="s">
        <v>301</v>
      </c>
      <c r="M2065" t="s">
        <v>302</v>
      </c>
      <c r="N2065">
        <v>5.0000000000000001E-3</v>
      </c>
      <c r="O2065" t="str">
        <f>IF(Transactions_RAW_cleaned[[#This Row],[Status]]="Completed", IFERROR(_xlfn.XLOOKUP(Transactions_RAW_cleaned[[#This Row],[CustomerID]], Customers_cleaned[CustomerID], Customers_cleaned[Segment]), "Customer Not Found"), "N/A")</f>
        <v>Enterprise</v>
      </c>
      <c r="P2065" s="5" t="str">
        <f>IF(Transactions_RAW_cleaned[[#This Row],[Status]]="Refunded", "Refund",
  IF(Transactions_RAW_cleaned[[#This Row],[Category]]="Payments", IF(Transactions_RAW_cleaned[[#This Row],[Amount]]&gt;500,"High Value","Standard"),
    IF(Transactions_RAW_cleaned[[#This Row],[Amount]]&gt;250,"High Value","Standard")))</f>
        <v>High Value</v>
      </c>
      <c r="Q2065" s="5" t="str">
        <f>IF(Transactions_RAW_cleaned[[#This Row],[Amount]] &gt; (_xlfn.XLOOKUP(Transactions_RAW_cleaned[[#This Row],[ServiceID]],Services_cleaned[ServiceID],Services_cleaned[TransactionFeePct]) * 10000), "Yes", "No")</f>
        <v>Yes</v>
      </c>
      <c r="R2065" s="5" t="str">
        <f>IF(COUNTIFS($C$2:Transactions_RAW_cleaned[[#This Row],[CustomerID]],Transactions_RAW_cleaned[[#This Row],[CustomerID]],$D$2:Transactions_RAW_cleaned[[#This Row],[ServiceID]],Transactions_RAW_cleaned[[#This Row],[ServiceID]])=1,"Yes","No")</f>
        <v>No</v>
      </c>
      <c r="S206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65" t="str">
        <f>"Q"&amp;ROUNDUP(MONTH(Transactions_RAW_cleaned[[#This Row],[TransactionDate]])/3,0)</f>
        <v>Q1</v>
      </c>
      <c r="U2065" t="str">
        <f>Transactions_RAW_cleaned[[#This Row],[Region ]]&amp;Transactions_RAW_cleaned[[#This Row],[Quarter ]]</f>
        <v>APACQ1</v>
      </c>
      <c r="V2065" s="5">
        <f>_xlfn.XLOOKUP(Transactions_RAW_cleaned[[#This Row],[RegionQuarterKey]], Quarterly_Targets_cleaned[RegionQuarterKey], Quarterly_Targets_cleaned[TargetRevenue])</f>
        <v>104500</v>
      </c>
    </row>
    <row r="2066" spans="1:22" x14ac:dyDescent="0.25">
      <c r="A2066" t="s">
        <v>2403</v>
      </c>
      <c r="B2066" s="1">
        <v>45479</v>
      </c>
      <c r="C2066" t="s">
        <v>171</v>
      </c>
      <c r="D2066" t="s">
        <v>294</v>
      </c>
      <c r="E2066">
        <v>231.09</v>
      </c>
      <c r="F2066" t="s">
        <v>324</v>
      </c>
      <c r="G2066" t="s">
        <v>327</v>
      </c>
      <c r="I2066" t="s">
        <v>17</v>
      </c>
      <c r="J2066" t="s">
        <v>31</v>
      </c>
      <c r="K2066" t="s">
        <v>32</v>
      </c>
      <c r="L2066" t="s">
        <v>295</v>
      </c>
      <c r="M2066" t="s">
        <v>296</v>
      </c>
      <c r="N2066">
        <v>2.9000000000000001E-2</v>
      </c>
      <c r="O2066" t="str">
        <f>IF(Transactions_RAW_cleaned[[#This Row],[Status]]="Completed", IFERROR(_xlfn.XLOOKUP(Transactions_RAW_cleaned[[#This Row],[CustomerID]], Customers_cleaned[CustomerID], Customers_cleaned[Segment]), "Customer Not Found"), "N/A")</f>
        <v>Enterprise</v>
      </c>
      <c r="P2066" s="5" t="str">
        <f>IF(Transactions_RAW_cleaned[[#This Row],[Status]]="Refunded", "Refund",
  IF(Transactions_RAW_cleaned[[#This Row],[Category]]="Payments", IF(Transactions_RAW_cleaned[[#This Row],[Amount]]&gt;500,"High Value","Standard"),
    IF(Transactions_RAW_cleaned[[#This Row],[Amount]]&gt;250,"High Value","Standard")))</f>
        <v>Standard</v>
      </c>
      <c r="Q2066" s="5" t="str">
        <f>IF(Transactions_RAW_cleaned[[#This Row],[Amount]] &gt; (_xlfn.XLOOKUP(Transactions_RAW_cleaned[[#This Row],[ServiceID]],Services_cleaned[ServiceID],Services_cleaned[TransactionFeePct]) * 10000), "Yes", "No")</f>
        <v>No</v>
      </c>
      <c r="R2066" s="5" t="str">
        <f>IF(COUNTIFS($C$2:Transactions_RAW_cleaned[[#This Row],[CustomerID]],Transactions_RAW_cleaned[[#This Row],[CustomerID]],$D$2:Transactions_RAW_cleaned[[#This Row],[ServiceID]],Transactions_RAW_cleaned[[#This Row],[ServiceID]])=1,"Yes","No")</f>
        <v>No</v>
      </c>
      <c r="S206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066" t="str">
        <f>"Q"&amp;ROUNDUP(MONTH(Transactions_RAW_cleaned[[#This Row],[TransactionDate]])/3,0)</f>
        <v>Q3</v>
      </c>
      <c r="U2066" t="str">
        <f>Transactions_RAW_cleaned[[#This Row],[Region ]]&amp;Transactions_RAW_cleaned[[#This Row],[Quarter ]]</f>
        <v>EMEAQ3</v>
      </c>
      <c r="V2066" s="5">
        <f>_xlfn.XLOOKUP(Transactions_RAW_cleaned[[#This Row],[RegionQuarterKey]], Quarterly_Targets_cleaned[RegionQuarterKey], Quarterly_Targets_cleaned[TargetRevenue])</f>
        <v>147000</v>
      </c>
    </row>
    <row r="2067" spans="1:22" x14ac:dyDescent="0.25">
      <c r="A2067" t="s">
        <v>2404</v>
      </c>
      <c r="B2067" s="1">
        <v>45337</v>
      </c>
      <c r="C2067" t="s">
        <v>135</v>
      </c>
      <c r="D2067" t="s">
        <v>300</v>
      </c>
      <c r="E2067">
        <v>-345.6</v>
      </c>
      <c r="F2067" t="s">
        <v>349</v>
      </c>
      <c r="G2067" t="s">
        <v>327</v>
      </c>
      <c r="I2067" t="s">
        <v>8</v>
      </c>
      <c r="J2067" t="s">
        <v>46</v>
      </c>
      <c r="K2067" t="s">
        <v>10</v>
      </c>
      <c r="L2067" t="s">
        <v>301</v>
      </c>
      <c r="M2067" t="s">
        <v>302</v>
      </c>
      <c r="N2067">
        <v>5.0000000000000001E-3</v>
      </c>
      <c r="O2067" t="str">
        <f>IF(Transactions_RAW_cleaned[[#This Row],[Status]]="Completed", IFERROR(_xlfn.XLOOKUP(Transactions_RAW_cleaned[[#This Row],[CustomerID]], Customers_cleaned[CustomerID], Customers_cleaned[Segment]), "Customer Not Found"), "N/A")</f>
        <v>N/A</v>
      </c>
      <c r="P2067" s="5" t="str">
        <f>IF(Transactions_RAW_cleaned[[#This Row],[Status]]="Refunded", "Refund",
  IF(Transactions_RAW_cleaned[[#This Row],[Category]]="Payments", IF(Transactions_RAW_cleaned[[#This Row],[Amount]]&gt;500,"High Value","Standard"),
    IF(Transactions_RAW_cleaned[[#This Row],[Amount]]&gt;250,"High Value","Standard")))</f>
        <v>Refund</v>
      </c>
      <c r="Q2067" s="5" t="str">
        <f>IF(Transactions_RAW_cleaned[[#This Row],[Amount]] &gt; (_xlfn.XLOOKUP(Transactions_RAW_cleaned[[#This Row],[ServiceID]],Services_cleaned[ServiceID],Services_cleaned[TransactionFeePct]) * 10000), "Yes", "No")</f>
        <v>No</v>
      </c>
      <c r="R2067" s="5" t="str">
        <f>IF(COUNTIFS($C$2:Transactions_RAW_cleaned[[#This Row],[CustomerID]],Transactions_RAW_cleaned[[#This Row],[CustomerID]],$D$2:Transactions_RAW_cleaned[[#This Row],[ServiceID]],Transactions_RAW_cleaned[[#This Row],[ServiceID]])=1,"Yes","No")</f>
        <v>No</v>
      </c>
      <c r="S206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67" t="str">
        <f>"Q"&amp;ROUNDUP(MONTH(Transactions_RAW_cleaned[[#This Row],[TransactionDate]])/3,0)</f>
        <v>Q1</v>
      </c>
      <c r="U2067" t="str">
        <f>Transactions_RAW_cleaned[[#This Row],[Region ]]&amp;Transactions_RAW_cleaned[[#This Row],[Quarter ]]</f>
        <v>APACQ1</v>
      </c>
      <c r="V2067" s="5">
        <f>_xlfn.XLOOKUP(Transactions_RAW_cleaned[[#This Row],[RegionQuarterKey]], Quarterly_Targets_cleaned[RegionQuarterKey], Quarterly_Targets_cleaned[TargetRevenue])</f>
        <v>104500</v>
      </c>
    </row>
    <row r="2068" spans="1:22" x14ac:dyDescent="0.25">
      <c r="A2068" t="s">
        <v>2405</v>
      </c>
      <c r="B2068" s="1">
        <v>45527</v>
      </c>
      <c r="C2068" t="s">
        <v>245</v>
      </c>
      <c r="D2068" t="s">
        <v>294</v>
      </c>
      <c r="E2068">
        <v>306.02</v>
      </c>
      <c r="F2068" t="s">
        <v>324</v>
      </c>
      <c r="G2068" t="s">
        <v>327</v>
      </c>
      <c r="I2068" t="s">
        <v>8</v>
      </c>
      <c r="J2068" t="s">
        <v>31</v>
      </c>
      <c r="K2068" t="s">
        <v>14</v>
      </c>
      <c r="L2068" t="s">
        <v>295</v>
      </c>
      <c r="M2068" t="s">
        <v>296</v>
      </c>
      <c r="N2068">
        <v>2.9000000000000001E-2</v>
      </c>
      <c r="O2068" t="str">
        <f>IF(Transactions_RAW_cleaned[[#This Row],[Status]]="Completed", IFERROR(_xlfn.XLOOKUP(Transactions_RAW_cleaned[[#This Row],[CustomerID]], Customers_cleaned[CustomerID], Customers_cleaned[Segment]), "Customer Not Found"), "N/A")</f>
        <v>SMB</v>
      </c>
      <c r="P2068" s="5" t="str">
        <f>IF(Transactions_RAW_cleaned[[#This Row],[Status]]="Refunded", "Refund",
  IF(Transactions_RAW_cleaned[[#This Row],[Category]]="Payments", IF(Transactions_RAW_cleaned[[#This Row],[Amount]]&gt;500,"High Value","Standard"),
    IF(Transactions_RAW_cleaned[[#This Row],[Amount]]&gt;250,"High Value","Standard")))</f>
        <v>Standard</v>
      </c>
      <c r="Q2068" s="5" t="str">
        <f>IF(Transactions_RAW_cleaned[[#This Row],[Amount]] &gt; (_xlfn.XLOOKUP(Transactions_RAW_cleaned[[#This Row],[ServiceID]],Services_cleaned[ServiceID],Services_cleaned[TransactionFeePct]) * 10000), "Yes", "No")</f>
        <v>Yes</v>
      </c>
      <c r="R2068" s="5" t="str">
        <f>IF(COUNTIFS($C$2:Transactions_RAW_cleaned[[#This Row],[CustomerID]],Transactions_RAW_cleaned[[#This Row],[CustomerID]],$D$2:Transactions_RAW_cleaned[[#This Row],[ServiceID]],Transactions_RAW_cleaned[[#This Row],[ServiceID]])=1,"Yes","No")</f>
        <v>No</v>
      </c>
      <c r="S206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068" t="str">
        <f>"Q"&amp;ROUNDUP(MONTH(Transactions_RAW_cleaned[[#This Row],[TransactionDate]])/3,0)</f>
        <v>Q3</v>
      </c>
      <c r="U2068" t="str">
        <f>Transactions_RAW_cleaned[[#This Row],[Region ]]&amp;Transactions_RAW_cleaned[[#This Row],[Quarter ]]</f>
        <v>EMEAQ3</v>
      </c>
      <c r="V2068" s="5">
        <f>_xlfn.XLOOKUP(Transactions_RAW_cleaned[[#This Row],[RegionQuarterKey]], Quarterly_Targets_cleaned[RegionQuarterKey], Quarterly_Targets_cleaned[TargetRevenue])</f>
        <v>147000</v>
      </c>
    </row>
    <row r="2069" spans="1:22" x14ac:dyDescent="0.25">
      <c r="A2069" t="s">
        <v>2406</v>
      </c>
      <c r="B2069" s="1">
        <v>45646</v>
      </c>
      <c r="C2069" t="s">
        <v>277</v>
      </c>
      <c r="D2069" t="s">
        <v>315</v>
      </c>
      <c r="E2069">
        <v>258.89999999999998</v>
      </c>
      <c r="F2069" t="s">
        <v>324</v>
      </c>
      <c r="G2069" t="s">
        <v>2963</v>
      </c>
      <c r="H2069" t="s">
        <v>334</v>
      </c>
      <c r="I2069" t="s">
        <v>8</v>
      </c>
      <c r="J2069" t="s">
        <v>31</v>
      </c>
      <c r="K2069" t="s">
        <v>22</v>
      </c>
      <c r="L2069" t="s">
        <v>316</v>
      </c>
      <c r="M2069" t="s">
        <v>305</v>
      </c>
      <c r="N2069">
        <v>2.5000000000000001E-3</v>
      </c>
      <c r="O2069" t="str">
        <f>IF(Transactions_RAW_cleaned[[#This Row],[Status]]="Completed", IFERROR(_xlfn.XLOOKUP(Transactions_RAW_cleaned[[#This Row],[CustomerID]], Customers_cleaned[CustomerID], Customers_cleaned[Segment]), "Customer Not Found"), "N/A")</f>
        <v>SMB</v>
      </c>
      <c r="P2069" s="5" t="str">
        <f>IF(Transactions_RAW_cleaned[[#This Row],[Status]]="Refunded", "Refund",
  IF(Transactions_RAW_cleaned[[#This Row],[Category]]="Payments", IF(Transactions_RAW_cleaned[[#This Row],[Amount]]&gt;500,"High Value","Standard"),
    IF(Transactions_RAW_cleaned[[#This Row],[Amount]]&gt;250,"High Value","Standard")))</f>
        <v>High Value</v>
      </c>
      <c r="Q2069" s="5" t="str">
        <f>IF(Transactions_RAW_cleaned[[#This Row],[Amount]] &gt; (_xlfn.XLOOKUP(Transactions_RAW_cleaned[[#This Row],[ServiceID]],Services_cleaned[ServiceID],Services_cleaned[TransactionFeePct]) * 10000), "Yes", "No")</f>
        <v>Yes</v>
      </c>
      <c r="R2069" s="5" t="str">
        <f>IF(COUNTIFS($C$2:Transactions_RAW_cleaned[[#This Row],[CustomerID]],Transactions_RAW_cleaned[[#This Row],[CustomerID]],$D$2:Transactions_RAW_cleaned[[#This Row],[ServiceID]],Transactions_RAW_cleaned[[#This Row],[ServiceID]])=1,"Yes","No")</f>
        <v>Yes</v>
      </c>
      <c r="S206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069" t="str">
        <f>"Q"&amp;ROUNDUP(MONTH(Transactions_RAW_cleaned[[#This Row],[TransactionDate]])/3,0)</f>
        <v>Q4</v>
      </c>
      <c r="U2069" t="str">
        <f>Transactions_RAW_cleaned[[#This Row],[Region ]]&amp;Transactions_RAW_cleaned[[#This Row],[Quarter ]]</f>
        <v>EMEAQ4</v>
      </c>
      <c r="V2069" s="5">
        <f>_xlfn.XLOOKUP(Transactions_RAW_cleaned[[#This Row],[RegionQuarterKey]], Quarterly_Targets_cleaned[RegionQuarterKey], Quarterly_Targets_cleaned[TargetRevenue])</f>
        <v>161000</v>
      </c>
    </row>
    <row r="2070" spans="1:22" x14ac:dyDescent="0.25">
      <c r="A2070" t="s">
        <v>2407</v>
      </c>
      <c r="B2070" s="1">
        <v>45515</v>
      </c>
      <c r="C2070" t="s">
        <v>100</v>
      </c>
      <c r="D2070" t="s">
        <v>306</v>
      </c>
      <c r="E2070">
        <v>334.33</v>
      </c>
      <c r="F2070" t="s">
        <v>381</v>
      </c>
      <c r="G2070" t="s">
        <v>327</v>
      </c>
      <c r="I2070" t="s">
        <v>8</v>
      </c>
      <c r="J2070" t="s">
        <v>102</v>
      </c>
      <c r="K2070" t="s">
        <v>22</v>
      </c>
      <c r="L2070" t="s">
        <v>307</v>
      </c>
      <c r="M2070" t="s">
        <v>308</v>
      </c>
      <c r="N2070">
        <v>0</v>
      </c>
      <c r="O2070" t="str">
        <f>IF(Transactions_RAW_cleaned[[#This Row],[Status]]="Completed", IFERROR(_xlfn.XLOOKUP(Transactions_RAW_cleaned[[#This Row],[CustomerID]], Customers_cleaned[CustomerID], Customers_cleaned[Segment]), "Customer Not Found"), "N/A")</f>
        <v>N/A</v>
      </c>
      <c r="P2070" s="5" t="str">
        <f>IF(Transactions_RAW_cleaned[[#This Row],[Status]]="Refunded", "Refund",
  IF(Transactions_RAW_cleaned[[#This Row],[Category]]="Payments", IF(Transactions_RAW_cleaned[[#This Row],[Amount]]&gt;500,"High Value","Standard"),
    IF(Transactions_RAW_cleaned[[#This Row],[Amount]]&gt;250,"High Value","Standard")))</f>
        <v>High Value</v>
      </c>
      <c r="Q2070" s="5" t="str">
        <f>IF(Transactions_RAW_cleaned[[#This Row],[Amount]] &gt; (_xlfn.XLOOKUP(Transactions_RAW_cleaned[[#This Row],[ServiceID]],Services_cleaned[ServiceID],Services_cleaned[TransactionFeePct]) * 10000), "Yes", "No")</f>
        <v>Yes</v>
      </c>
      <c r="R2070" s="5" t="str">
        <f>IF(COUNTIFS($C$2:Transactions_RAW_cleaned[[#This Row],[CustomerID]],Transactions_RAW_cleaned[[#This Row],[CustomerID]],$D$2:Transactions_RAW_cleaned[[#This Row],[ServiceID]],Transactions_RAW_cleaned[[#This Row],[ServiceID]])=1,"Yes","No")</f>
        <v>Yes</v>
      </c>
      <c r="S207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70" t="str">
        <f>"Q"&amp;ROUNDUP(MONTH(Transactions_RAW_cleaned[[#This Row],[TransactionDate]])/3,0)</f>
        <v>Q3</v>
      </c>
      <c r="U2070" t="str">
        <f>Transactions_RAW_cleaned[[#This Row],[Region ]]&amp;Transactions_RAW_cleaned[[#This Row],[Quarter ]]</f>
        <v>NAQ3</v>
      </c>
      <c r="V2070" s="5">
        <f>_xlfn.XLOOKUP(Transactions_RAW_cleaned[[#This Row],[RegionQuarterKey]], Quarterly_Targets_cleaned[RegionQuarterKey], Quarterly_Targets_cleaned[TargetRevenue])</f>
        <v>273000</v>
      </c>
    </row>
    <row r="2071" spans="1:22" x14ac:dyDescent="0.25">
      <c r="A2071" t="s">
        <v>2408</v>
      </c>
      <c r="B2071" s="1">
        <v>45318</v>
      </c>
      <c r="C2071" t="s">
        <v>233</v>
      </c>
      <c r="D2071" t="s">
        <v>294</v>
      </c>
      <c r="E2071">
        <v>-345.01</v>
      </c>
      <c r="F2071" t="s">
        <v>349</v>
      </c>
      <c r="G2071" t="s">
        <v>327</v>
      </c>
      <c r="I2071" t="s">
        <v>8</v>
      </c>
      <c r="J2071" t="s">
        <v>13</v>
      </c>
      <c r="K2071" t="s">
        <v>14</v>
      </c>
      <c r="L2071" t="s">
        <v>295</v>
      </c>
      <c r="M2071" t="s">
        <v>296</v>
      </c>
      <c r="N2071">
        <v>2.9000000000000001E-2</v>
      </c>
      <c r="O2071" t="str">
        <f>IF(Transactions_RAW_cleaned[[#This Row],[Status]]="Completed", IFERROR(_xlfn.XLOOKUP(Transactions_RAW_cleaned[[#This Row],[CustomerID]], Customers_cleaned[CustomerID], Customers_cleaned[Segment]), "Customer Not Found"), "N/A")</f>
        <v>N/A</v>
      </c>
      <c r="P2071" s="5" t="str">
        <f>IF(Transactions_RAW_cleaned[[#This Row],[Status]]="Refunded", "Refund",
  IF(Transactions_RAW_cleaned[[#This Row],[Category]]="Payments", IF(Transactions_RAW_cleaned[[#This Row],[Amount]]&gt;500,"High Value","Standard"),
    IF(Transactions_RAW_cleaned[[#This Row],[Amount]]&gt;250,"High Value","Standard")))</f>
        <v>Refund</v>
      </c>
      <c r="Q2071" s="5" t="str">
        <f>IF(Transactions_RAW_cleaned[[#This Row],[Amount]] &gt; (_xlfn.XLOOKUP(Transactions_RAW_cleaned[[#This Row],[ServiceID]],Services_cleaned[ServiceID],Services_cleaned[TransactionFeePct]) * 10000), "Yes", "No")</f>
        <v>No</v>
      </c>
      <c r="R2071" s="5" t="str">
        <f>IF(COUNTIFS($C$2:Transactions_RAW_cleaned[[#This Row],[CustomerID]],Transactions_RAW_cleaned[[#This Row],[CustomerID]],$D$2:Transactions_RAW_cleaned[[#This Row],[ServiceID]],Transactions_RAW_cleaned[[#This Row],[ServiceID]])=1,"Yes","No")</f>
        <v>No</v>
      </c>
      <c r="S207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71" t="str">
        <f>"Q"&amp;ROUNDUP(MONTH(Transactions_RAW_cleaned[[#This Row],[TransactionDate]])/3,0)</f>
        <v>Q1</v>
      </c>
      <c r="U2071" t="str">
        <f>Transactions_RAW_cleaned[[#This Row],[Region ]]&amp;Transactions_RAW_cleaned[[#This Row],[Quarter ]]</f>
        <v>NAQ1</v>
      </c>
      <c r="V2071" s="5">
        <f>_xlfn.XLOOKUP(Transactions_RAW_cleaned[[#This Row],[RegionQuarterKey]], Quarterly_Targets_cleaned[RegionQuarterKey], Quarterly_Targets_cleaned[TargetRevenue])</f>
        <v>247000</v>
      </c>
    </row>
    <row r="2072" spans="1:22" x14ac:dyDescent="0.25">
      <c r="A2072" t="s">
        <v>2409</v>
      </c>
      <c r="B2072" s="1">
        <v>45348</v>
      </c>
      <c r="C2072" t="s">
        <v>78</v>
      </c>
      <c r="D2072" t="s">
        <v>297</v>
      </c>
      <c r="E2072">
        <v>122.35</v>
      </c>
      <c r="F2072" t="s">
        <v>324</v>
      </c>
      <c r="G2072" t="s">
        <v>327</v>
      </c>
      <c r="H2072" t="s">
        <v>334</v>
      </c>
      <c r="I2072" t="s">
        <v>17</v>
      </c>
      <c r="J2072" t="s">
        <v>21</v>
      </c>
      <c r="K2072" t="s">
        <v>22</v>
      </c>
      <c r="L2072" t="s">
        <v>298</v>
      </c>
      <c r="M2072" t="s">
        <v>299</v>
      </c>
      <c r="N2072">
        <v>0</v>
      </c>
      <c r="O2072" t="str">
        <f>IF(Transactions_RAW_cleaned[[#This Row],[Status]]="Completed", IFERROR(_xlfn.XLOOKUP(Transactions_RAW_cleaned[[#This Row],[CustomerID]], Customers_cleaned[CustomerID], Customers_cleaned[Segment]), "Customer Not Found"), "N/A")</f>
        <v>Enterprise</v>
      </c>
      <c r="P2072" s="5" t="str">
        <f>IF(Transactions_RAW_cleaned[[#This Row],[Status]]="Refunded", "Refund",
  IF(Transactions_RAW_cleaned[[#This Row],[Category]]="Payments", IF(Transactions_RAW_cleaned[[#This Row],[Amount]]&gt;500,"High Value","Standard"),
    IF(Transactions_RAW_cleaned[[#This Row],[Amount]]&gt;250,"High Value","Standard")))</f>
        <v>Standard</v>
      </c>
      <c r="Q2072" s="5" t="str">
        <f>IF(Transactions_RAW_cleaned[[#This Row],[Amount]] &gt; (_xlfn.XLOOKUP(Transactions_RAW_cleaned[[#This Row],[ServiceID]],Services_cleaned[ServiceID],Services_cleaned[TransactionFeePct]) * 10000), "Yes", "No")</f>
        <v>Yes</v>
      </c>
      <c r="R2072" s="5" t="str">
        <f>IF(COUNTIFS($C$2:Transactions_RAW_cleaned[[#This Row],[CustomerID]],Transactions_RAW_cleaned[[#This Row],[CustomerID]],$D$2:Transactions_RAW_cleaned[[#This Row],[ServiceID]],Transactions_RAW_cleaned[[#This Row],[ServiceID]])=1,"Yes","No")</f>
        <v>No</v>
      </c>
      <c r="S207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72" t="str">
        <f>"Q"&amp;ROUNDUP(MONTH(Transactions_RAW_cleaned[[#This Row],[TransactionDate]])/3,0)</f>
        <v>Q1</v>
      </c>
      <c r="U2072" t="str">
        <f>Transactions_RAW_cleaned[[#This Row],[Region ]]&amp;Transactions_RAW_cleaned[[#This Row],[Quarter ]]</f>
        <v>APACQ1</v>
      </c>
      <c r="V2072" s="5">
        <f>_xlfn.XLOOKUP(Transactions_RAW_cleaned[[#This Row],[RegionQuarterKey]], Quarterly_Targets_cleaned[RegionQuarterKey], Quarterly_Targets_cleaned[TargetRevenue])</f>
        <v>104500</v>
      </c>
    </row>
    <row r="2073" spans="1:22" x14ac:dyDescent="0.25">
      <c r="A2073" t="s">
        <v>2410</v>
      </c>
      <c r="B2073" s="1">
        <v>45540</v>
      </c>
      <c r="C2073" t="s">
        <v>100</v>
      </c>
      <c r="D2073" t="s">
        <v>303</v>
      </c>
      <c r="E2073">
        <v>603.85</v>
      </c>
      <c r="F2073" t="s">
        <v>324</v>
      </c>
      <c r="G2073" t="s">
        <v>337</v>
      </c>
      <c r="I2073" t="s">
        <v>8</v>
      </c>
      <c r="J2073" t="s">
        <v>102</v>
      </c>
      <c r="K2073" t="s">
        <v>22</v>
      </c>
      <c r="L2073" t="s">
        <v>304</v>
      </c>
      <c r="M2073" t="s">
        <v>305</v>
      </c>
      <c r="N2073">
        <v>1E-3</v>
      </c>
      <c r="O2073" t="str">
        <f>IF(Transactions_RAW_cleaned[[#This Row],[Status]]="Completed", IFERROR(_xlfn.XLOOKUP(Transactions_RAW_cleaned[[#This Row],[CustomerID]], Customers_cleaned[CustomerID], Customers_cleaned[Segment]), "Customer Not Found"), "N/A")</f>
        <v>SMB</v>
      </c>
      <c r="P2073" s="5" t="str">
        <f>IF(Transactions_RAW_cleaned[[#This Row],[Status]]="Refunded", "Refund",
  IF(Transactions_RAW_cleaned[[#This Row],[Category]]="Payments", IF(Transactions_RAW_cleaned[[#This Row],[Amount]]&gt;500,"High Value","Standard"),
    IF(Transactions_RAW_cleaned[[#This Row],[Amount]]&gt;250,"High Value","Standard")))</f>
        <v>High Value</v>
      </c>
      <c r="Q2073" s="5" t="str">
        <f>IF(Transactions_RAW_cleaned[[#This Row],[Amount]] &gt; (_xlfn.XLOOKUP(Transactions_RAW_cleaned[[#This Row],[ServiceID]],Services_cleaned[ServiceID],Services_cleaned[TransactionFeePct]) * 10000), "Yes", "No")</f>
        <v>Yes</v>
      </c>
      <c r="R2073" s="5" t="str">
        <f>IF(COUNTIFS($C$2:Transactions_RAW_cleaned[[#This Row],[CustomerID]],Transactions_RAW_cleaned[[#This Row],[CustomerID]],$D$2:Transactions_RAW_cleaned[[#This Row],[ServiceID]],Transactions_RAW_cleaned[[#This Row],[ServiceID]])=1,"Yes","No")</f>
        <v>No</v>
      </c>
      <c r="S207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73" t="str">
        <f>"Q"&amp;ROUNDUP(MONTH(Transactions_RAW_cleaned[[#This Row],[TransactionDate]])/3,0)</f>
        <v>Q3</v>
      </c>
      <c r="U2073" t="str">
        <f>Transactions_RAW_cleaned[[#This Row],[Region ]]&amp;Transactions_RAW_cleaned[[#This Row],[Quarter ]]</f>
        <v>NAQ3</v>
      </c>
      <c r="V2073" s="5">
        <f>_xlfn.XLOOKUP(Transactions_RAW_cleaned[[#This Row],[RegionQuarterKey]], Quarterly_Targets_cleaned[RegionQuarterKey], Quarterly_Targets_cleaned[TargetRevenue])</f>
        <v>273000</v>
      </c>
    </row>
    <row r="2074" spans="1:22" x14ac:dyDescent="0.25">
      <c r="A2074" t="s">
        <v>2411</v>
      </c>
      <c r="B2074" s="1">
        <v>45440</v>
      </c>
      <c r="C2074" t="s">
        <v>171</v>
      </c>
      <c r="D2074" t="s">
        <v>300</v>
      </c>
      <c r="E2074">
        <v>-371.33</v>
      </c>
      <c r="F2074" t="s">
        <v>349</v>
      </c>
      <c r="G2074" t="s">
        <v>2963</v>
      </c>
      <c r="H2074" t="s">
        <v>334</v>
      </c>
      <c r="I2074" t="s">
        <v>17</v>
      </c>
      <c r="J2074" t="s">
        <v>31</v>
      </c>
      <c r="K2074" t="s">
        <v>32</v>
      </c>
      <c r="L2074" t="s">
        <v>301</v>
      </c>
      <c r="M2074" t="s">
        <v>302</v>
      </c>
      <c r="N2074">
        <v>5.0000000000000001E-3</v>
      </c>
      <c r="O2074" t="str">
        <f>IF(Transactions_RAW_cleaned[[#This Row],[Status]]="Completed", IFERROR(_xlfn.XLOOKUP(Transactions_RAW_cleaned[[#This Row],[CustomerID]], Customers_cleaned[CustomerID], Customers_cleaned[Segment]), "Customer Not Found"), "N/A")</f>
        <v>N/A</v>
      </c>
      <c r="P2074" s="5" t="str">
        <f>IF(Transactions_RAW_cleaned[[#This Row],[Status]]="Refunded", "Refund",
  IF(Transactions_RAW_cleaned[[#This Row],[Category]]="Payments", IF(Transactions_RAW_cleaned[[#This Row],[Amount]]&gt;500,"High Value","Standard"),
    IF(Transactions_RAW_cleaned[[#This Row],[Amount]]&gt;250,"High Value","Standard")))</f>
        <v>Refund</v>
      </c>
      <c r="Q2074" s="5" t="str">
        <f>IF(Transactions_RAW_cleaned[[#This Row],[Amount]] &gt; (_xlfn.XLOOKUP(Transactions_RAW_cleaned[[#This Row],[ServiceID]],Services_cleaned[ServiceID],Services_cleaned[TransactionFeePct]) * 10000), "Yes", "No")</f>
        <v>No</v>
      </c>
      <c r="R2074" s="5" t="str">
        <f>IF(COUNTIFS($C$2:Transactions_RAW_cleaned[[#This Row],[CustomerID]],Transactions_RAW_cleaned[[#This Row],[CustomerID]],$D$2:Transactions_RAW_cleaned[[#This Row],[ServiceID]],Transactions_RAW_cleaned[[#This Row],[ServiceID]])=1,"Yes","No")</f>
        <v>No</v>
      </c>
      <c r="S207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074" t="str">
        <f>"Q"&amp;ROUNDUP(MONTH(Transactions_RAW_cleaned[[#This Row],[TransactionDate]])/3,0)</f>
        <v>Q2</v>
      </c>
      <c r="U2074" t="str">
        <f>Transactions_RAW_cleaned[[#This Row],[Region ]]&amp;Transactions_RAW_cleaned[[#This Row],[Quarter ]]</f>
        <v>EMEAQ2</v>
      </c>
      <c r="V2074" s="5">
        <f>_xlfn.XLOOKUP(Transactions_RAW_cleaned[[#This Row],[RegionQuarterKey]], Quarterly_Targets_cleaned[RegionQuarterKey], Quarterly_Targets_cleaned[TargetRevenue])</f>
        <v>140000</v>
      </c>
    </row>
    <row r="2075" spans="1:22" x14ac:dyDescent="0.25">
      <c r="A2075" t="s">
        <v>2412</v>
      </c>
      <c r="B2075" s="1">
        <v>45452</v>
      </c>
      <c r="C2075" t="s">
        <v>181</v>
      </c>
      <c r="D2075" t="s">
        <v>300</v>
      </c>
      <c r="E2075">
        <v>505.22</v>
      </c>
      <c r="F2075" t="s">
        <v>324</v>
      </c>
      <c r="G2075" t="s">
        <v>337</v>
      </c>
      <c r="H2075" t="s">
        <v>334</v>
      </c>
      <c r="I2075" t="s">
        <v>17</v>
      </c>
      <c r="J2075" t="s">
        <v>21</v>
      </c>
      <c r="K2075" t="s">
        <v>10</v>
      </c>
      <c r="L2075" t="s">
        <v>301</v>
      </c>
      <c r="M2075" t="s">
        <v>302</v>
      </c>
      <c r="N2075">
        <v>5.0000000000000001E-3</v>
      </c>
      <c r="O2075" t="str">
        <f>IF(Transactions_RAW_cleaned[[#This Row],[Status]]="Completed", IFERROR(_xlfn.XLOOKUP(Transactions_RAW_cleaned[[#This Row],[CustomerID]], Customers_cleaned[CustomerID], Customers_cleaned[Segment]), "Customer Not Found"), "N/A")</f>
        <v>Enterprise</v>
      </c>
      <c r="P2075" s="5" t="str">
        <f>IF(Transactions_RAW_cleaned[[#This Row],[Status]]="Refunded", "Refund",
  IF(Transactions_RAW_cleaned[[#This Row],[Category]]="Payments", IF(Transactions_RAW_cleaned[[#This Row],[Amount]]&gt;500,"High Value","Standard"),
    IF(Transactions_RAW_cleaned[[#This Row],[Amount]]&gt;250,"High Value","Standard")))</f>
        <v>High Value</v>
      </c>
      <c r="Q2075" s="5" t="str">
        <f>IF(Transactions_RAW_cleaned[[#This Row],[Amount]] &gt; (_xlfn.XLOOKUP(Transactions_RAW_cleaned[[#This Row],[ServiceID]],Services_cleaned[ServiceID],Services_cleaned[TransactionFeePct]) * 10000), "Yes", "No")</f>
        <v>Yes</v>
      </c>
      <c r="R2075" s="5" t="str">
        <f>IF(COUNTIFS($C$2:Transactions_RAW_cleaned[[#This Row],[CustomerID]],Transactions_RAW_cleaned[[#This Row],[CustomerID]],$D$2:Transactions_RAW_cleaned[[#This Row],[ServiceID]],Transactions_RAW_cleaned[[#This Row],[ServiceID]])=1,"Yes","No")</f>
        <v>No</v>
      </c>
      <c r="S207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75" t="str">
        <f>"Q"&amp;ROUNDUP(MONTH(Transactions_RAW_cleaned[[#This Row],[TransactionDate]])/3,0)</f>
        <v>Q2</v>
      </c>
      <c r="U2075" t="str">
        <f>Transactions_RAW_cleaned[[#This Row],[Region ]]&amp;Transactions_RAW_cleaned[[#This Row],[Quarter ]]</f>
        <v>APACQ2</v>
      </c>
      <c r="V2075" s="5">
        <f>_xlfn.XLOOKUP(Transactions_RAW_cleaned[[#This Row],[RegionQuarterKey]], Quarterly_Targets_cleaned[RegionQuarterKey], Quarterly_Targets_cleaned[TargetRevenue])</f>
        <v>110000</v>
      </c>
    </row>
    <row r="2076" spans="1:22" x14ac:dyDescent="0.25">
      <c r="A2076" t="s">
        <v>2413</v>
      </c>
      <c r="B2076" s="1">
        <v>45636</v>
      </c>
      <c r="C2076" t="s">
        <v>23</v>
      </c>
      <c r="D2076" t="s">
        <v>297</v>
      </c>
      <c r="E2076">
        <v>286.97000000000003</v>
      </c>
      <c r="F2076" t="s">
        <v>381</v>
      </c>
      <c r="G2076" t="s">
        <v>329</v>
      </c>
      <c r="H2076" t="s">
        <v>332</v>
      </c>
      <c r="I2076" t="s">
        <v>8</v>
      </c>
      <c r="J2076" t="s">
        <v>25</v>
      </c>
      <c r="K2076" t="s">
        <v>22</v>
      </c>
      <c r="L2076" t="s">
        <v>298</v>
      </c>
      <c r="M2076" t="s">
        <v>299</v>
      </c>
      <c r="N2076">
        <v>0</v>
      </c>
      <c r="O2076" t="str">
        <f>IF(Transactions_RAW_cleaned[[#This Row],[Status]]="Completed", IFERROR(_xlfn.XLOOKUP(Transactions_RAW_cleaned[[#This Row],[CustomerID]], Customers_cleaned[CustomerID], Customers_cleaned[Segment]), "Customer Not Found"), "N/A")</f>
        <v>N/A</v>
      </c>
      <c r="P2076" s="5" t="str">
        <f>IF(Transactions_RAW_cleaned[[#This Row],[Status]]="Refunded", "Refund",
  IF(Transactions_RAW_cleaned[[#This Row],[Category]]="Payments", IF(Transactions_RAW_cleaned[[#This Row],[Amount]]&gt;500,"High Value","Standard"),
    IF(Transactions_RAW_cleaned[[#This Row],[Amount]]&gt;250,"High Value","Standard")))</f>
        <v>High Value</v>
      </c>
      <c r="Q2076" s="5" t="str">
        <f>IF(Transactions_RAW_cleaned[[#This Row],[Amount]] &gt; (_xlfn.XLOOKUP(Transactions_RAW_cleaned[[#This Row],[ServiceID]],Services_cleaned[ServiceID],Services_cleaned[TransactionFeePct]) * 10000), "Yes", "No")</f>
        <v>Yes</v>
      </c>
      <c r="R2076" s="5" t="str">
        <f>IF(COUNTIFS($C$2:Transactions_RAW_cleaned[[#This Row],[CustomerID]],Transactions_RAW_cleaned[[#This Row],[CustomerID]],$D$2:Transactions_RAW_cleaned[[#This Row],[ServiceID]],Transactions_RAW_cleaned[[#This Row],[ServiceID]])=1,"Yes","No")</f>
        <v>No</v>
      </c>
      <c r="S207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76" t="str">
        <f>"Q"&amp;ROUNDUP(MONTH(Transactions_RAW_cleaned[[#This Row],[TransactionDate]])/3,0)</f>
        <v>Q4</v>
      </c>
      <c r="U2076" t="str">
        <f>Transactions_RAW_cleaned[[#This Row],[Region ]]&amp;Transactions_RAW_cleaned[[#This Row],[Quarter ]]</f>
        <v>APACQ4</v>
      </c>
      <c r="V2076" s="5">
        <f>_xlfn.XLOOKUP(Transactions_RAW_cleaned[[#This Row],[RegionQuarterKey]], Quarterly_Targets_cleaned[RegionQuarterKey], Quarterly_Targets_cleaned[TargetRevenue])</f>
        <v>126500</v>
      </c>
    </row>
    <row r="2077" spans="1:22" x14ac:dyDescent="0.25">
      <c r="A2077" t="s">
        <v>2414</v>
      </c>
      <c r="B2077" s="1">
        <v>45512</v>
      </c>
      <c r="C2077" t="s">
        <v>187</v>
      </c>
      <c r="D2077" t="s">
        <v>315</v>
      </c>
      <c r="E2077">
        <v>270.51</v>
      </c>
      <c r="F2077" t="s">
        <v>324</v>
      </c>
      <c r="G2077" t="s">
        <v>325</v>
      </c>
      <c r="H2077" t="s">
        <v>334</v>
      </c>
      <c r="I2077" t="s">
        <v>57</v>
      </c>
      <c r="J2077" t="s">
        <v>21</v>
      </c>
      <c r="K2077" t="s">
        <v>28</v>
      </c>
      <c r="L2077" t="s">
        <v>316</v>
      </c>
      <c r="M2077" t="s">
        <v>305</v>
      </c>
      <c r="N2077">
        <v>2.5000000000000001E-3</v>
      </c>
      <c r="O2077" t="str">
        <f>IF(Transactions_RAW_cleaned[[#This Row],[Status]]="Completed", IFERROR(_xlfn.XLOOKUP(Transactions_RAW_cleaned[[#This Row],[CustomerID]], Customers_cleaned[CustomerID], Customers_cleaned[Segment]), "Customer Not Found"), "N/A")</f>
        <v>Startup</v>
      </c>
      <c r="P2077" s="5" t="str">
        <f>IF(Transactions_RAW_cleaned[[#This Row],[Status]]="Refunded", "Refund",
  IF(Transactions_RAW_cleaned[[#This Row],[Category]]="Payments", IF(Transactions_RAW_cleaned[[#This Row],[Amount]]&gt;500,"High Value","Standard"),
    IF(Transactions_RAW_cleaned[[#This Row],[Amount]]&gt;250,"High Value","Standard")))</f>
        <v>High Value</v>
      </c>
      <c r="Q2077" s="5" t="str">
        <f>IF(Transactions_RAW_cleaned[[#This Row],[Amount]] &gt; (_xlfn.XLOOKUP(Transactions_RAW_cleaned[[#This Row],[ServiceID]],Services_cleaned[ServiceID],Services_cleaned[TransactionFeePct]) * 10000), "Yes", "No")</f>
        <v>Yes</v>
      </c>
      <c r="R2077" s="5" t="str">
        <f>IF(COUNTIFS($C$2:Transactions_RAW_cleaned[[#This Row],[CustomerID]],Transactions_RAW_cleaned[[#This Row],[CustomerID]],$D$2:Transactions_RAW_cleaned[[#This Row],[ServiceID]],Transactions_RAW_cleaned[[#This Row],[ServiceID]])=1,"Yes","No")</f>
        <v>Yes</v>
      </c>
      <c r="S207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77" t="str">
        <f>"Q"&amp;ROUNDUP(MONTH(Transactions_RAW_cleaned[[#This Row],[TransactionDate]])/3,0)</f>
        <v>Q3</v>
      </c>
      <c r="U2077" t="str">
        <f>Transactions_RAW_cleaned[[#This Row],[Region ]]&amp;Transactions_RAW_cleaned[[#This Row],[Quarter ]]</f>
        <v>APACQ3</v>
      </c>
      <c r="V2077" s="5">
        <f>_xlfn.XLOOKUP(Transactions_RAW_cleaned[[#This Row],[RegionQuarterKey]], Quarterly_Targets_cleaned[RegionQuarterKey], Quarterly_Targets_cleaned[TargetRevenue])</f>
        <v>115500</v>
      </c>
    </row>
    <row r="2078" spans="1:22" x14ac:dyDescent="0.25">
      <c r="A2078" t="s">
        <v>2415</v>
      </c>
      <c r="B2078" s="1">
        <v>45551</v>
      </c>
      <c r="C2078" t="s">
        <v>249</v>
      </c>
      <c r="D2078" t="s">
        <v>303</v>
      </c>
      <c r="E2078">
        <v>633.86</v>
      </c>
      <c r="F2078" t="s">
        <v>324</v>
      </c>
      <c r="G2078" t="s">
        <v>337</v>
      </c>
      <c r="H2078" t="s">
        <v>334</v>
      </c>
      <c r="I2078" t="s">
        <v>57</v>
      </c>
      <c r="J2078" t="s">
        <v>21</v>
      </c>
      <c r="K2078" t="s">
        <v>14</v>
      </c>
      <c r="L2078" t="s">
        <v>304</v>
      </c>
      <c r="M2078" t="s">
        <v>305</v>
      </c>
      <c r="N2078">
        <v>1E-3</v>
      </c>
      <c r="O2078" t="str">
        <f>IF(Transactions_RAW_cleaned[[#This Row],[Status]]="Completed", IFERROR(_xlfn.XLOOKUP(Transactions_RAW_cleaned[[#This Row],[CustomerID]], Customers_cleaned[CustomerID], Customers_cleaned[Segment]), "Customer Not Found"), "N/A")</f>
        <v>Startup</v>
      </c>
      <c r="P2078" s="5" t="str">
        <f>IF(Transactions_RAW_cleaned[[#This Row],[Status]]="Refunded", "Refund",
  IF(Transactions_RAW_cleaned[[#This Row],[Category]]="Payments", IF(Transactions_RAW_cleaned[[#This Row],[Amount]]&gt;500,"High Value","Standard"),
    IF(Transactions_RAW_cleaned[[#This Row],[Amount]]&gt;250,"High Value","Standard")))</f>
        <v>High Value</v>
      </c>
      <c r="Q2078" s="5" t="str">
        <f>IF(Transactions_RAW_cleaned[[#This Row],[Amount]] &gt; (_xlfn.XLOOKUP(Transactions_RAW_cleaned[[#This Row],[ServiceID]],Services_cleaned[ServiceID],Services_cleaned[TransactionFeePct]) * 10000), "Yes", "No")</f>
        <v>Yes</v>
      </c>
      <c r="R2078" s="5" t="str">
        <f>IF(COUNTIFS($C$2:Transactions_RAW_cleaned[[#This Row],[CustomerID]],Transactions_RAW_cleaned[[#This Row],[CustomerID]],$D$2:Transactions_RAW_cleaned[[#This Row],[ServiceID]],Transactions_RAW_cleaned[[#This Row],[ServiceID]])=1,"Yes","No")</f>
        <v>No</v>
      </c>
      <c r="S207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78" t="str">
        <f>"Q"&amp;ROUNDUP(MONTH(Transactions_RAW_cleaned[[#This Row],[TransactionDate]])/3,0)</f>
        <v>Q3</v>
      </c>
      <c r="U2078" t="str">
        <f>Transactions_RAW_cleaned[[#This Row],[Region ]]&amp;Transactions_RAW_cleaned[[#This Row],[Quarter ]]</f>
        <v>APACQ3</v>
      </c>
      <c r="V2078" s="5">
        <f>_xlfn.XLOOKUP(Transactions_RAW_cleaned[[#This Row],[RegionQuarterKey]], Quarterly_Targets_cleaned[RegionQuarterKey], Quarterly_Targets_cleaned[TargetRevenue])</f>
        <v>115500</v>
      </c>
    </row>
    <row r="2079" spans="1:22" x14ac:dyDescent="0.25">
      <c r="A2079" t="s">
        <v>2416</v>
      </c>
      <c r="B2079" s="1">
        <v>45521</v>
      </c>
      <c r="C2079" t="s">
        <v>11</v>
      </c>
      <c r="D2079" t="s">
        <v>309</v>
      </c>
      <c r="E2079">
        <v>429.29</v>
      </c>
      <c r="F2079" t="s">
        <v>381</v>
      </c>
      <c r="G2079" t="s">
        <v>325</v>
      </c>
      <c r="H2079" t="s">
        <v>334</v>
      </c>
      <c r="I2079" t="s">
        <v>8</v>
      </c>
      <c r="J2079" t="s">
        <v>13</v>
      </c>
      <c r="K2079" t="s">
        <v>14</v>
      </c>
      <c r="L2079" t="s">
        <v>310</v>
      </c>
      <c r="M2079" t="s">
        <v>311</v>
      </c>
      <c r="N2079">
        <v>0</v>
      </c>
      <c r="O2079" t="str">
        <f>IF(Transactions_RAW_cleaned[[#This Row],[Status]]="Completed", IFERROR(_xlfn.XLOOKUP(Transactions_RAW_cleaned[[#This Row],[CustomerID]], Customers_cleaned[CustomerID], Customers_cleaned[Segment]), "Customer Not Found"), "N/A")</f>
        <v>N/A</v>
      </c>
      <c r="P2079" s="5" t="str">
        <f>IF(Transactions_RAW_cleaned[[#This Row],[Status]]="Refunded", "Refund",
  IF(Transactions_RAW_cleaned[[#This Row],[Category]]="Payments", IF(Transactions_RAW_cleaned[[#This Row],[Amount]]&gt;500,"High Value","Standard"),
    IF(Transactions_RAW_cleaned[[#This Row],[Amount]]&gt;250,"High Value","Standard")))</f>
        <v>High Value</v>
      </c>
      <c r="Q2079" s="5" t="str">
        <f>IF(Transactions_RAW_cleaned[[#This Row],[Amount]] &gt; (_xlfn.XLOOKUP(Transactions_RAW_cleaned[[#This Row],[ServiceID]],Services_cleaned[ServiceID],Services_cleaned[TransactionFeePct]) * 10000), "Yes", "No")</f>
        <v>Yes</v>
      </c>
      <c r="R2079" s="5" t="str">
        <f>IF(COUNTIFS($C$2:Transactions_RAW_cleaned[[#This Row],[CustomerID]],Transactions_RAW_cleaned[[#This Row],[CustomerID]],$D$2:Transactions_RAW_cleaned[[#This Row],[ServiceID]],Transactions_RAW_cleaned[[#This Row],[ServiceID]])=1,"Yes","No")</f>
        <v>No</v>
      </c>
      <c r="S207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79" t="str">
        <f>"Q"&amp;ROUNDUP(MONTH(Transactions_RAW_cleaned[[#This Row],[TransactionDate]])/3,0)</f>
        <v>Q3</v>
      </c>
      <c r="U2079" t="str">
        <f>Transactions_RAW_cleaned[[#This Row],[Region ]]&amp;Transactions_RAW_cleaned[[#This Row],[Quarter ]]</f>
        <v>NAQ3</v>
      </c>
      <c r="V2079" s="5">
        <f>_xlfn.XLOOKUP(Transactions_RAW_cleaned[[#This Row],[RegionQuarterKey]], Quarterly_Targets_cleaned[RegionQuarterKey], Quarterly_Targets_cleaned[TargetRevenue])</f>
        <v>273000</v>
      </c>
    </row>
    <row r="2080" spans="1:22" x14ac:dyDescent="0.25">
      <c r="A2080" t="s">
        <v>2417</v>
      </c>
      <c r="B2080" s="1">
        <v>45518</v>
      </c>
      <c r="C2080" t="s">
        <v>213</v>
      </c>
      <c r="D2080" t="s">
        <v>300</v>
      </c>
      <c r="E2080">
        <v>331.19</v>
      </c>
      <c r="F2080" t="s">
        <v>324</v>
      </c>
      <c r="G2080" t="s">
        <v>327</v>
      </c>
      <c r="H2080" t="s">
        <v>332</v>
      </c>
      <c r="I2080" t="s">
        <v>17</v>
      </c>
      <c r="J2080" t="s">
        <v>25</v>
      </c>
      <c r="K2080" t="s">
        <v>14</v>
      </c>
      <c r="L2080" t="s">
        <v>301</v>
      </c>
      <c r="M2080" t="s">
        <v>302</v>
      </c>
      <c r="N2080">
        <v>5.0000000000000001E-3</v>
      </c>
      <c r="O2080" t="str">
        <f>IF(Transactions_RAW_cleaned[[#This Row],[Status]]="Completed", IFERROR(_xlfn.XLOOKUP(Transactions_RAW_cleaned[[#This Row],[CustomerID]], Customers_cleaned[CustomerID], Customers_cleaned[Segment]), "Customer Not Found"), "N/A")</f>
        <v>Enterprise</v>
      </c>
      <c r="P2080" s="5" t="str">
        <f>IF(Transactions_RAW_cleaned[[#This Row],[Status]]="Refunded", "Refund",
  IF(Transactions_RAW_cleaned[[#This Row],[Category]]="Payments", IF(Transactions_RAW_cleaned[[#This Row],[Amount]]&gt;500,"High Value","Standard"),
    IF(Transactions_RAW_cleaned[[#This Row],[Amount]]&gt;250,"High Value","Standard")))</f>
        <v>High Value</v>
      </c>
      <c r="Q2080" s="5" t="str">
        <f>IF(Transactions_RAW_cleaned[[#This Row],[Amount]] &gt; (_xlfn.XLOOKUP(Transactions_RAW_cleaned[[#This Row],[ServiceID]],Services_cleaned[ServiceID],Services_cleaned[TransactionFeePct]) * 10000), "Yes", "No")</f>
        <v>Yes</v>
      </c>
      <c r="R2080" s="5" t="str">
        <f>IF(COUNTIFS($C$2:Transactions_RAW_cleaned[[#This Row],[CustomerID]],Transactions_RAW_cleaned[[#This Row],[CustomerID]],$D$2:Transactions_RAW_cleaned[[#This Row],[ServiceID]],Transactions_RAW_cleaned[[#This Row],[ServiceID]])=1,"Yes","No")</f>
        <v>No</v>
      </c>
      <c r="S208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80" t="str">
        <f>"Q"&amp;ROUNDUP(MONTH(Transactions_RAW_cleaned[[#This Row],[TransactionDate]])/3,0)</f>
        <v>Q3</v>
      </c>
      <c r="U2080" t="str">
        <f>Transactions_RAW_cleaned[[#This Row],[Region ]]&amp;Transactions_RAW_cleaned[[#This Row],[Quarter ]]</f>
        <v>APACQ3</v>
      </c>
      <c r="V2080" s="5">
        <f>_xlfn.XLOOKUP(Transactions_RAW_cleaned[[#This Row],[RegionQuarterKey]], Quarterly_Targets_cleaned[RegionQuarterKey], Quarterly_Targets_cleaned[TargetRevenue])</f>
        <v>115500</v>
      </c>
    </row>
    <row r="2081" spans="1:22" x14ac:dyDescent="0.25">
      <c r="A2081" t="s">
        <v>2418</v>
      </c>
      <c r="B2081" s="1">
        <v>45526</v>
      </c>
      <c r="C2081" t="s">
        <v>84</v>
      </c>
      <c r="D2081" t="s">
        <v>300</v>
      </c>
      <c r="E2081">
        <v>551.77</v>
      </c>
      <c r="F2081" t="s">
        <v>324</v>
      </c>
      <c r="G2081" t="s">
        <v>337</v>
      </c>
      <c r="I2081" t="s">
        <v>8</v>
      </c>
      <c r="J2081" t="s">
        <v>46</v>
      </c>
      <c r="K2081" t="s">
        <v>28</v>
      </c>
      <c r="L2081" t="s">
        <v>301</v>
      </c>
      <c r="M2081" t="s">
        <v>302</v>
      </c>
      <c r="N2081">
        <v>5.0000000000000001E-3</v>
      </c>
      <c r="O2081" t="str">
        <f>IF(Transactions_RAW_cleaned[[#This Row],[Status]]="Completed", IFERROR(_xlfn.XLOOKUP(Transactions_RAW_cleaned[[#This Row],[CustomerID]], Customers_cleaned[CustomerID], Customers_cleaned[Segment]), "Customer Not Found"), "N/A")</f>
        <v>SMB</v>
      </c>
      <c r="P2081" s="5" t="str">
        <f>IF(Transactions_RAW_cleaned[[#This Row],[Status]]="Refunded", "Refund",
  IF(Transactions_RAW_cleaned[[#This Row],[Category]]="Payments", IF(Transactions_RAW_cleaned[[#This Row],[Amount]]&gt;500,"High Value","Standard"),
    IF(Transactions_RAW_cleaned[[#This Row],[Amount]]&gt;250,"High Value","Standard")))</f>
        <v>High Value</v>
      </c>
      <c r="Q2081" s="5" t="str">
        <f>IF(Transactions_RAW_cleaned[[#This Row],[Amount]] &gt; (_xlfn.XLOOKUP(Transactions_RAW_cleaned[[#This Row],[ServiceID]],Services_cleaned[ServiceID],Services_cleaned[TransactionFeePct]) * 10000), "Yes", "No")</f>
        <v>Yes</v>
      </c>
      <c r="R2081" s="5" t="str">
        <f>IF(COUNTIFS($C$2:Transactions_RAW_cleaned[[#This Row],[CustomerID]],Transactions_RAW_cleaned[[#This Row],[CustomerID]],$D$2:Transactions_RAW_cleaned[[#This Row],[ServiceID]],Transactions_RAW_cleaned[[#This Row],[ServiceID]])=1,"Yes","No")</f>
        <v>Yes</v>
      </c>
      <c r="S208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81" t="str">
        <f>"Q"&amp;ROUNDUP(MONTH(Transactions_RAW_cleaned[[#This Row],[TransactionDate]])/3,0)</f>
        <v>Q3</v>
      </c>
      <c r="U2081" t="str">
        <f>Transactions_RAW_cleaned[[#This Row],[Region ]]&amp;Transactions_RAW_cleaned[[#This Row],[Quarter ]]</f>
        <v>APACQ3</v>
      </c>
      <c r="V2081" s="5">
        <f>_xlfn.XLOOKUP(Transactions_RAW_cleaned[[#This Row],[RegionQuarterKey]], Quarterly_Targets_cleaned[RegionQuarterKey], Quarterly_Targets_cleaned[TargetRevenue])</f>
        <v>115500</v>
      </c>
    </row>
    <row r="2082" spans="1:22" x14ac:dyDescent="0.25">
      <c r="A2082" t="s">
        <v>2419</v>
      </c>
      <c r="B2082" s="1">
        <v>45639</v>
      </c>
      <c r="C2082" t="s">
        <v>217</v>
      </c>
      <c r="D2082" t="s">
        <v>315</v>
      </c>
      <c r="E2082">
        <v>233.37</v>
      </c>
      <c r="F2082" t="s">
        <v>324</v>
      </c>
      <c r="G2082" t="s">
        <v>327</v>
      </c>
      <c r="H2082" t="s">
        <v>346</v>
      </c>
      <c r="I2082" t="s">
        <v>17</v>
      </c>
      <c r="J2082" t="s">
        <v>102</v>
      </c>
      <c r="K2082" t="s">
        <v>14</v>
      </c>
      <c r="L2082" t="s">
        <v>316</v>
      </c>
      <c r="M2082" t="s">
        <v>305</v>
      </c>
      <c r="N2082">
        <v>2.5000000000000001E-3</v>
      </c>
      <c r="O2082" t="str">
        <f>IF(Transactions_RAW_cleaned[[#This Row],[Status]]="Completed", IFERROR(_xlfn.XLOOKUP(Transactions_RAW_cleaned[[#This Row],[CustomerID]], Customers_cleaned[CustomerID], Customers_cleaned[Segment]), "Customer Not Found"), "N/A")</f>
        <v>Enterprise</v>
      </c>
      <c r="P2082" s="5" t="str">
        <f>IF(Transactions_RAW_cleaned[[#This Row],[Status]]="Refunded", "Refund",
  IF(Transactions_RAW_cleaned[[#This Row],[Category]]="Payments", IF(Transactions_RAW_cleaned[[#This Row],[Amount]]&gt;500,"High Value","Standard"),
    IF(Transactions_RAW_cleaned[[#This Row],[Amount]]&gt;250,"High Value","Standard")))</f>
        <v>Standard</v>
      </c>
      <c r="Q2082" s="5" t="str">
        <f>IF(Transactions_RAW_cleaned[[#This Row],[Amount]] &gt; (_xlfn.XLOOKUP(Transactions_RAW_cleaned[[#This Row],[ServiceID]],Services_cleaned[ServiceID],Services_cleaned[TransactionFeePct]) * 10000), "Yes", "No")</f>
        <v>Yes</v>
      </c>
      <c r="R2082" s="5" t="str">
        <f>IF(COUNTIFS($C$2:Transactions_RAW_cleaned[[#This Row],[CustomerID]],Transactions_RAW_cleaned[[#This Row],[CustomerID]],$D$2:Transactions_RAW_cleaned[[#This Row],[ServiceID]],Transactions_RAW_cleaned[[#This Row],[ServiceID]])=1,"Yes","No")</f>
        <v>No</v>
      </c>
      <c r="S208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82" t="str">
        <f>"Q"&amp;ROUNDUP(MONTH(Transactions_RAW_cleaned[[#This Row],[TransactionDate]])/3,0)</f>
        <v>Q4</v>
      </c>
      <c r="U2082" t="str">
        <f>Transactions_RAW_cleaned[[#This Row],[Region ]]&amp;Transactions_RAW_cleaned[[#This Row],[Quarter ]]</f>
        <v>NAQ4</v>
      </c>
      <c r="V2082" s="5">
        <f>_xlfn.XLOOKUP(Transactions_RAW_cleaned[[#This Row],[RegionQuarterKey]], Quarterly_Targets_cleaned[RegionQuarterKey], Quarterly_Targets_cleaned[TargetRevenue])</f>
        <v>299000</v>
      </c>
    </row>
    <row r="2083" spans="1:22" x14ac:dyDescent="0.25">
      <c r="A2083" t="s">
        <v>2420</v>
      </c>
      <c r="B2083" s="1">
        <v>45554</v>
      </c>
      <c r="C2083" t="s">
        <v>103</v>
      </c>
      <c r="D2083" t="s">
        <v>294</v>
      </c>
      <c r="E2083">
        <v>146.33000000000001</v>
      </c>
      <c r="F2083" t="s">
        <v>324</v>
      </c>
      <c r="G2083" t="s">
        <v>337</v>
      </c>
      <c r="I2083" t="s">
        <v>8</v>
      </c>
      <c r="J2083" t="s">
        <v>102</v>
      </c>
      <c r="K2083" t="s">
        <v>28</v>
      </c>
      <c r="L2083" t="s">
        <v>295</v>
      </c>
      <c r="M2083" t="s">
        <v>296</v>
      </c>
      <c r="N2083">
        <v>2.9000000000000001E-2</v>
      </c>
      <c r="O2083" t="str">
        <f>IF(Transactions_RAW_cleaned[[#This Row],[Status]]="Completed", IFERROR(_xlfn.XLOOKUP(Transactions_RAW_cleaned[[#This Row],[CustomerID]], Customers_cleaned[CustomerID], Customers_cleaned[Segment]), "Customer Not Found"), "N/A")</f>
        <v>SMB</v>
      </c>
      <c r="P2083" s="5" t="str">
        <f>IF(Transactions_RAW_cleaned[[#This Row],[Status]]="Refunded", "Refund",
  IF(Transactions_RAW_cleaned[[#This Row],[Category]]="Payments", IF(Transactions_RAW_cleaned[[#This Row],[Amount]]&gt;500,"High Value","Standard"),
    IF(Transactions_RAW_cleaned[[#This Row],[Amount]]&gt;250,"High Value","Standard")))</f>
        <v>Standard</v>
      </c>
      <c r="Q2083" s="5" t="str">
        <f>IF(Transactions_RAW_cleaned[[#This Row],[Amount]] &gt; (_xlfn.XLOOKUP(Transactions_RAW_cleaned[[#This Row],[ServiceID]],Services_cleaned[ServiceID],Services_cleaned[TransactionFeePct]) * 10000), "Yes", "No")</f>
        <v>No</v>
      </c>
      <c r="R2083" s="5" t="str">
        <f>IF(COUNTIFS($C$2:Transactions_RAW_cleaned[[#This Row],[CustomerID]],Transactions_RAW_cleaned[[#This Row],[CustomerID]],$D$2:Transactions_RAW_cleaned[[#This Row],[ServiceID]],Transactions_RAW_cleaned[[#This Row],[ServiceID]])=1,"Yes","No")</f>
        <v>No</v>
      </c>
      <c r="S208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83" t="str">
        <f>"Q"&amp;ROUNDUP(MONTH(Transactions_RAW_cleaned[[#This Row],[TransactionDate]])/3,0)</f>
        <v>Q3</v>
      </c>
      <c r="U2083" t="str">
        <f>Transactions_RAW_cleaned[[#This Row],[Region ]]&amp;Transactions_RAW_cleaned[[#This Row],[Quarter ]]</f>
        <v>NAQ3</v>
      </c>
      <c r="V2083" s="5">
        <f>_xlfn.XLOOKUP(Transactions_RAW_cleaned[[#This Row],[RegionQuarterKey]], Quarterly_Targets_cleaned[RegionQuarterKey], Quarterly_Targets_cleaned[TargetRevenue])</f>
        <v>273000</v>
      </c>
    </row>
    <row r="2084" spans="1:22" x14ac:dyDescent="0.25">
      <c r="A2084" t="s">
        <v>2421</v>
      </c>
      <c r="B2084" s="1">
        <v>45474</v>
      </c>
      <c r="C2084" t="s">
        <v>38</v>
      </c>
      <c r="D2084" t="s">
        <v>303</v>
      </c>
      <c r="E2084">
        <v>105.03</v>
      </c>
      <c r="F2084" t="s">
        <v>324</v>
      </c>
      <c r="G2084" t="s">
        <v>327</v>
      </c>
      <c r="I2084" t="s">
        <v>8</v>
      </c>
      <c r="J2084" t="s">
        <v>102</v>
      </c>
      <c r="K2084" t="s">
        <v>28</v>
      </c>
      <c r="L2084" t="s">
        <v>304</v>
      </c>
      <c r="M2084" t="s">
        <v>305</v>
      </c>
      <c r="N2084">
        <v>1E-3</v>
      </c>
      <c r="O2084" t="str">
        <f>IF(Transactions_RAW_cleaned[[#This Row],[Status]]="Completed", IFERROR(_xlfn.XLOOKUP(Transactions_RAW_cleaned[[#This Row],[CustomerID]], Customers_cleaned[CustomerID], Customers_cleaned[Segment]), "Customer Not Found"), "N/A")</f>
        <v>SMB</v>
      </c>
      <c r="P2084" s="5" t="str">
        <f>IF(Transactions_RAW_cleaned[[#This Row],[Status]]="Refunded", "Refund",
  IF(Transactions_RAW_cleaned[[#This Row],[Category]]="Payments", IF(Transactions_RAW_cleaned[[#This Row],[Amount]]&gt;500,"High Value","Standard"),
    IF(Transactions_RAW_cleaned[[#This Row],[Amount]]&gt;250,"High Value","Standard")))</f>
        <v>Standard</v>
      </c>
      <c r="Q2084" s="5" t="str">
        <f>IF(Transactions_RAW_cleaned[[#This Row],[Amount]] &gt; (_xlfn.XLOOKUP(Transactions_RAW_cleaned[[#This Row],[ServiceID]],Services_cleaned[ServiceID],Services_cleaned[TransactionFeePct]) * 10000), "Yes", "No")</f>
        <v>Yes</v>
      </c>
      <c r="R2084" s="5" t="str">
        <f>IF(COUNTIFS($C$2:Transactions_RAW_cleaned[[#This Row],[CustomerID]],Transactions_RAW_cleaned[[#This Row],[CustomerID]],$D$2:Transactions_RAW_cleaned[[#This Row],[ServiceID]],Transactions_RAW_cleaned[[#This Row],[ServiceID]])=1,"Yes","No")</f>
        <v>No</v>
      </c>
      <c r="S208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84" t="str">
        <f>"Q"&amp;ROUNDUP(MONTH(Transactions_RAW_cleaned[[#This Row],[TransactionDate]])/3,0)</f>
        <v>Q3</v>
      </c>
      <c r="U2084" t="str">
        <f>Transactions_RAW_cleaned[[#This Row],[Region ]]&amp;Transactions_RAW_cleaned[[#This Row],[Quarter ]]</f>
        <v>NAQ3</v>
      </c>
      <c r="V2084" s="5">
        <f>_xlfn.XLOOKUP(Transactions_RAW_cleaned[[#This Row],[RegionQuarterKey]], Quarterly_Targets_cleaned[RegionQuarterKey], Quarterly_Targets_cleaned[TargetRevenue])</f>
        <v>273000</v>
      </c>
    </row>
    <row r="2085" spans="1:22" x14ac:dyDescent="0.25">
      <c r="A2085" t="s">
        <v>2422</v>
      </c>
      <c r="B2085" s="1">
        <v>45577</v>
      </c>
      <c r="C2085" t="s">
        <v>35</v>
      </c>
      <c r="D2085" t="s">
        <v>294</v>
      </c>
      <c r="E2085">
        <v>487.92</v>
      </c>
      <c r="F2085" t="s">
        <v>324</v>
      </c>
      <c r="G2085" t="s">
        <v>325</v>
      </c>
      <c r="H2085" t="s">
        <v>334</v>
      </c>
      <c r="I2085" t="s">
        <v>8</v>
      </c>
      <c r="J2085" t="s">
        <v>37</v>
      </c>
      <c r="K2085" t="s">
        <v>28</v>
      </c>
      <c r="L2085" t="s">
        <v>295</v>
      </c>
      <c r="M2085" t="s">
        <v>296</v>
      </c>
      <c r="N2085">
        <v>2.9000000000000001E-2</v>
      </c>
      <c r="O2085" t="str">
        <f>IF(Transactions_RAW_cleaned[[#This Row],[Status]]="Completed", IFERROR(_xlfn.XLOOKUP(Transactions_RAW_cleaned[[#This Row],[CustomerID]], Customers_cleaned[CustomerID], Customers_cleaned[Segment]), "Customer Not Found"), "N/A")</f>
        <v>SMB</v>
      </c>
      <c r="P2085" s="5" t="str">
        <f>IF(Transactions_RAW_cleaned[[#This Row],[Status]]="Refunded", "Refund",
  IF(Transactions_RAW_cleaned[[#This Row],[Category]]="Payments", IF(Transactions_RAW_cleaned[[#This Row],[Amount]]&gt;500,"High Value","Standard"),
    IF(Transactions_RAW_cleaned[[#This Row],[Amount]]&gt;250,"High Value","Standard")))</f>
        <v>Standard</v>
      </c>
      <c r="Q2085" s="5" t="str">
        <f>IF(Transactions_RAW_cleaned[[#This Row],[Amount]] &gt; (_xlfn.XLOOKUP(Transactions_RAW_cleaned[[#This Row],[ServiceID]],Services_cleaned[ServiceID],Services_cleaned[TransactionFeePct]) * 10000), "Yes", "No")</f>
        <v>Yes</v>
      </c>
      <c r="R2085" s="5" t="str">
        <f>IF(COUNTIFS($C$2:Transactions_RAW_cleaned[[#This Row],[CustomerID]],Transactions_RAW_cleaned[[#This Row],[CustomerID]],$D$2:Transactions_RAW_cleaned[[#This Row],[ServiceID]],Transactions_RAW_cleaned[[#This Row],[ServiceID]])=1,"Yes","No")</f>
        <v>No</v>
      </c>
      <c r="S208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085" t="str">
        <f>"Q"&amp;ROUNDUP(MONTH(Transactions_RAW_cleaned[[#This Row],[TransactionDate]])/3,0)</f>
        <v>Q4</v>
      </c>
      <c r="U2085" t="str">
        <f>Transactions_RAW_cleaned[[#This Row],[Region ]]&amp;Transactions_RAW_cleaned[[#This Row],[Quarter ]]</f>
        <v>EMEAQ4</v>
      </c>
      <c r="V2085" s="5">
        <f>_xlfn.XLOOKUP(Transactions_RAW_cleaned[[#This Row],[RegionQuarterKey]], Quarterly_Targets_cleaned[RegionQuarterKey], Quarterly_Targets_cleaned[TargetRevenue])</f>
        <v>161000</v>
      </c>
    </row>
    <row r="2086" spans="1:22" x14ac:dyDescent="0.25">
      <c r="A2086" t="s">
        <v>2423</v>
      </c>
      <c r="B2086" s="1">
        <v>45372</v>
      </c>
      <c r="C2086" t="s">
        <v>121</v>
      </c>
      <c r="D2086" t="s">
        <v>294</v>
      </c>
      <c r="E2086">
        <v>-496.49</v>
      </c>
      <c r="F2086" t="s">
        <v>349</v>
      </c>
      <c r="G2086" t="s">
        <v>327</v>
      </c>
      <c r="I2086" t="s">
        <v>8</v>
      </c>
      <c r="J2086" t="s">
        <v>37</v>
      </c>
      <c r="K2086" t="s">
        <v>14</v>
      </c>
      <c r="L2086" t="s">
        <v>295</v>
      </c>
      <c r="M2086" t="s">
        <v>296</v>
      </c>
      <c r="N2086">
        <v>2.9000000000000001E-2</v>
      </c>
      <c r="O2086" t="str">
        <f>IF(Transactions_RAW_cleaned[[#This Row],[Status]]="Completed", IFERROR(_xlfn.XLOOKUP(Transactions_RAW_cleaned[[#This Row],[CustomerID]], Customers_cleaned[CustomerID], Customers_cleaned[Segment]), "Customer Not Found"), "N/A")</f>
        <v>N/A</v>
      </c>
      <c r="P2086" s="5" t="str">
        <f>IF(Transactions_RAW_cleaned[[#This Row],[Status]]="Refunded", "Refund",
  IF(Transactions_RAW_cleaned[[#This Row],[Category]]="Payments", IF(Transactions_RAW_cleaned[[#This Row],[Amount]]&gt;500,"High Value","Standard"),
    IF(Transactions_RAW_cleaned[[#This Row],[Amount]]&gt;250,"High Value","Standard")))</f>
        <v>Refund</v>
      </c>
      <c r="Q2086" s="5" t="str">
        <f>IF(Transactions_RAW_cleaned[[#This Row],[Amount]] &gt; (_xlfn.XLOOKUP(Transactions_RAW_cleaned[[#This Row],[ServiceID]],Services_cleaned[ServiceID],Services_cleaned[TransactionFeePct]) * 10000), "Yes", "No")</f>
        <v>No</v>
      </c>
      <c r="R2086" s="5" t="str">
        <f>IF(COUNTIFS($C$2:Transactions_RAW_cleaned[[#This Row],[CustomerID]],Transactions_RAW_cleaned[[#This Row],[CustomerID]],$D$2:Transactions_RAW_cleaned[[#This Row],[ServiceID]],Transactions_RAW_cleaned[[#This Row],[ServiceID]])=1,"Yes","No")</f>
        <v>No</v>
      </c>
      <c r="S208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086" t="str">
        <f>"Q"&amp;ROUNDUP(MONTH(Transactions_RAW_cleaned[[#This Row],[TransactionDate]])/3,0)</f>
        <v>Q1</v>
      </c>
      <c r="U2086" t="str">
        <f>Transactions_RAW_cleaned[[#This Row],[Region ]]&amp;Transactions_RAW_cleaned[[#This Row],[Quarter ]]</f>
        <v>EMEAQ1</v>
      </c>
      <c r="V2086" s="5">
        <f>_xlfn.XLOOKUP(Transactions_RAW_cleaned[[#This Row],[RegionQuarterKey]], Quarterly_Targets_cleaned[RegionQuarterKey], Quarterly_Targets_cleaned[TargetRevenue])</f>
        <v>133000</v>
      </c>
    </row>
    <row r="2087" spans="1:22" x14ac:dyDescent="0.25">
      <c r="A2087" t="s">
        <v>2424</v>
      </c>
      <c r="B2087" s="1">
        <v>45581</v>
      </c>
      <c r="C2087" t="s">
        <v>107</v>
      </c>
      <c r="D2087" t="s">
        <v>306</v>
      </c>
      <c r="E2087">
        <v>248.83</v>
      </c>
      <c r="F2087" t="s">
        <v>324</v>
      </c>
      <c r="G2087" t="s">
        <v>327</v>
      </c>
      <c r="H2087" t="s">
        <v>332</v>
      </c>
      <c r="I2087" t="s">
        <v>17</v>
      </c>
      <c r="J2087" t="s">
        <v>102</v>
      </c>
      <c r="K2087" t="s">
        <v>22</v>
      </c>
      <c r="L2087" t="s">
        <v>307</v>
      </c>
      <c r="M2087" t="s">
        <v>308</v>
      </c>
      <c r="N2087">
        <v>0</v>
      </c>
      <c r="O2087" t="str">
        <f>IF(Transactions_RAW_cleaned[[#This Row],[Status]]="Completed", IFERROR(_xlfn.XLOOKUP(Transactions_RAW_cleaned[[#This Row],[CustomerID]], Customers_cleaned[CustomerID], Customers_cleaned[Segment]), "Customer Not Found"), "N/A")</f>
        <v>Enterprise</v>
      </c>
      <c r="P2087" s="5" t="str">
        <f>IF(Transactions_RAW_cleaned[[#This Row],[Status]]="Refunded", "Refund",
  IF(Transactions_RAW_cleaned[[#This Row],[Category]]="Payments", IF(Transactions_RAW_cleaned[[#This Row],[Amount]]&gt;500,"High Value","Standard"),
    IF(Transactions_RAW_cleaned[[#This Row],[Amount]]&gt;250,"High Value","Standard")))</f>
        <v>Standard</v>
      </c>
      <c r="Q2087" s="5" t="str">
        <f>IF(Transactions_RAW_cleaned[[#This Row],[Amount]] &gt; (_xlfn.XLOOKUP(Transactions_RAW_cleaned[[#This Row],[ServiceID]],Services_cleaned[ServiceID],Services_cleaned[TransactionFeePct]) * 10000), "Yes", "No")</f>
        <v>Yes</v>
      </c>
      <c r="R2087" s="5" t="str">
        <f>IF(COUNTIFS($C$2:Transactions_RAW_cleaned[[#This Row],[CustomerID]],Transactions_RAW_cleaned[[#This Row],[CustomerID]],$D$2:Transactions_RAW_cleaned[[#This Row],[ServiceID]],Transactions_RAW_cleaned[[#This Row],[ServiceID]])=1,"Yes","No")</f>
        <v>No</v>
      </c>
      <c r="S208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87" t="str">
        <f>"Q"&amp;ROUNDUP(MONTH(Transactions_RAW_cleaned[[#This Row],[TransactionDate]])/3,0)</f>
        <v>Q4</v>
      </c>
      <c r="U2087" t="str">
        <f>Transactions_RAW_cleaned[[#This Row],[Region ]]&amp;Transactions_RAW_cleaned[[#This Row],[Quarter ]]</f>
        <v>NAQ4</v>
      </c>
      <c r="V2087" s="5">
        <f>_xlfn.XLOOKUP(Transactions_RAW_cleaned[[#This Row],[RegionQuarterKey]], Quarterly_Targets_cleaned[RegionQuarterKey], Quarterly_Targets_cleaned[TargetRevenue])</f>
        <v>299000</v>
      </c>
    </row>
    <row r="2088" spans="1:22" x14ac:dyDescent="0.25">
      <c r="A2088" t="s">
        <v>2425</v>
      </c>
      <c r="B2088" s="1">
        <v>45513</v>
      </c>
      <c r="C2088" t="s">
        <v>271</v>
      </c>
      <c r="D2088" t="s">
        <v>312</v>
      </c>
      <c r="E2088">
        <v>356.19</v>
      </c>
      <c r="F2088" t="s">
        <v>324</v>
      </c>
      <c r="G2088" t="s">
        <v>337</v>
      </c>
      <c r="I2088" t="s">
        <v>8</v>
      </c>
      <c r="J2088" t="s">
        <v>102</v>
      </c>
      <c r="K2088" t="s">
        <v>28</v>
      </c>
      <c r="L2088" t="s">
        <v>313</v>
      </c>
      <c r="M2088" t="s">
        <v>314</v>
      </c>
      <c r="N2088">
        <v>0</v>
      </c>
      <c r="O2088" t="str">
        <f>IF(Transactions_RAW_cleaned[[#This Row],[Status]]="Completed", IFERROR(_xlfn.XLOOKUP(Transactions_RAW_cleaned[[#This Row],[CustomerID]], Customers_cleaned[CustomerID], Customers_cleaned[Segment]), "Customer Not Found"), "N/A")</f>
        <v>SMB</v>
      </c>
      <c r="P2088" s="5" t="str">
        <f>IF(Transactions_RAW_cleaned[[#This Row],[Status]]="Refunded", "Refund",
  IF(Transactions_RAW_cleaned[[#This Row],[Category]]="Payments", IF(Transactions_RAW_cleaned[[#This Row],[Amount]]&gt;500,"High Value","Standard"),
    IF(Transactions_RAW_cleaned[[#This Row],[Amount]]&gt;250,"High Value","Standard")))</f>
        <v>High Value</v>
      </c>
      <c r="Q2088" s="5" t="str">
        <f>IF(Transactions_RAW_cleaned[[#This Row],[Amount]] &gt; (_xlfn.XLOOKUP(Transactions_RAW_cleaned[[#This Row],[ServiceID]],Services_cleaned[ServiceID],Services_cleaned[TransactionFeePct]) * 10000), "Yes", "No")</f>
        <v>Yes</v>
      </c>
      <c r="R2088" s="5" t="str">
        <f>IF(COUNTIFS($C$2:Transactions_RAW_cleaned[[#This Row],[CustomerID]],Transactions_RAW_cleaned[[#This Row],[CustomerID]],$D$2:Transactions_RAW_cleaned[[#This Row],[ServiceID]],Transactions_RAW_cleaned[[#This Row],[ServiceID]])=1,"Yes","No")</f>
        <v>No</v>
      </c>
      <c r="S208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88" t="str">
        <f>"Q"&amp;ROUNDUP(MONTH(Transactions_RAW_cleaned[[#This Row],[TransactionDate]])/3,0)</f>
        <v>Q3</v>
      </c>
      <c r="U2088" t="str">
        <f>Transactions_RAW_cleaned[[#This Row],[Region ]]&amp;Transactions_RAW_cleaned[[#This Row],[Quarter ]]</f>
        <v>NAQ3</v>
      </c>
      <c r="V2088" s="5">
        <f>_xlfn.XLOOKUP(Transactions_RAW_cleaned[[#This Row],[RegionQuarterKey]], Quarterly_Targets_cleaned[RegionQuarterKey], Quarterly_Targets_cleaned[TargetRevenue])</f>
        <v>273000</v>
      </c>
    </row>
    <row r="2089" spans="1:22" x14ac:dyDescent="0.25">
      <c r="A2089" t="s">
        <v>2426</v>
      </c>
      <c r="B2089" s="1">
        <v>45510</v>
      </c>
      <c r="C2089" t="s">
        <v>209</v>
      </c>
      <c r="D2089" t="s">
        <v>294</v>
      </c>
      <c r="E2089">
        <v>403.34</v>
      </c>
      <c r="F2089" t="s">
        <v>381</v>
      </c>
      <c r="G2089" t="s">
        <v>327</v>
      </c>
      <c r="I2089" t="s">
        <v>17</v>
      </c>
      <c r="J2089" t="s">
        <v>102</v>
      </c>
      <c r="K2089" t="s">
        <v>22</v>
      </c>
      <c r="L2089" t="s">
        <v>295</v>
      </c>
      <c r="M2089" t="s">
        <v>296</v>
      </c>
      <c r="N2089">
        <v>2.9000000000000001E-2</v>
      </c>
      <c r="O2089" t="str">
        <f>IF(Transactions_RAW_cleaned[[#This Row],[Status]]="Completed", IFERROR(_xlfn.XLOOKUP(Transactions_RAW_cleaned[[#This Row],[CustomerID]], Customers_cleaned[CustomerID], Customers_cleaned[Segment]), "Customer Not Found"), "N/A")</f>
        <v>N/A</v>
      </c>
      <c r="P2089" s="5" t="str">
        <f>IF(Transactions_RAW_cleaned[[#This Row],[Status]]="Refunded", "Refund",
  IF(Transactions_RAW_cleaned[[#This Row],[Category]]="Payments", IF(Transactions_RAW_cleaned[[#This Row],[Amount]]&gt;500,"High Value","Standard"),
    IF(Transactions_RAW_cleaned[[#This Row],[Amount]]&gt;250,"High Value","Standard")))</f>
        <v>Standard</v>
      </c>
      <c r="Q2089" s="5" t="str">
        <f>IF(Transactions_RAW_cleaned[[#This Row],[Amount]] &gt; (_xlfn.XLOOKUP(Transactions_RAW_cleaned[[#This Row],[ServiceID]],Services_cleaned[ServiceID],Services_cleaned[TransactionFeePct]) * 10000), "Yes", "No")</f>
        <v>Yes</v>
      </c>
      <c r="R2089" s="5" t="str">
        <f>IF(COUNTIFS($C$2:Transactions_RAW_cleaned[[#This Row],[CustomerID]],Transactions_RAW_cleaned[[#This Row],[CustomerID]],$D$2:Transactions_RAW_cleaned[[#This Row],[ServiceID]],Transactions_RAW_cleaned[[#This Row],[ServiceID]])=1,"Yes","No")</f>
        <v>No</v>
      </c>
      <c r="S208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89" t="str">
        <f>"Q"&amp;ROUNDUP(MONTH(Transactions_RAW_cleaned[[#This Row],[TransactionDate]])/3,0)</f>
        <v>Q3</v>
      </c>
      <c r="U2089" t="str">
        <f>Transactions_RAW_cleaned[[#This Row],[Region ]]&amp;Transactions_RAW_cleaned[[#This Row],[Quarter ]]</f>
        <v>NAQ3</v>
      </c>
      <c r="V2089" s="5">
        <f>_xlfn.XLOOKUP(Transactions_RAW_cleaned[[#This Row],[RegionQuarterKey]], Quarterly_Targets_cleaned[RegionQuarterKey], Quarterly_Targets_cleaned[TargetRevenue])</f>
        <v>273000</v>
      </c>
    </row>
    <row r="2090" spans="1:22" x14ac:dyDescent="0.25">
      <c r="A2090" t="s">
        <v>2427</v>
      </c>
      <c r="B2090" s="1">
        <v>45431</v>
      </c>
      <c r="C2090" t="s">
        <v>157</v>
      </c>
      <c r="D2090" t="s">
        <v>294</v>
      </c>
      <c r="E2090">
        <v>231.99</v>
      </c>
      <c r="F2090" t="s">
        <v>324</v>
      </c>
      <c r="G2090" t="s">
        <v>327</v>
      </c>
      <c r="I2090" t="s">
        <v>8</v>
      </c>
      <c r="J2090" t="s">
        <v>102</v>
      </c>
      <c r="K2090" t="s">
        <v>14</v>
      </c>
      <c r="L2090" t="s">
        <v>295</v>
      </c>
      <c r="M2090" t="s">
        <v>296</v>
      </c>
      <c r="N2090">
        <v>2.9000000000000001E-2</v>
      </c>
      <c r="O2090" t="str">
        <f>IF(Transactions_RAW_cleaned[[#This Row],[Status]]="Completed", IFERROR(_xlfn.XLOOKUP(Transactions_RAW_cleaned[[#This Row],[CustomerID]], Customers_cleaned[CustomerID], Customers_cleaned[Segment]), "Customer Not Found"), "N/A")</f>
        <v>SMB</v>
      </c>
      <c r="P2090" s="5" t="str">
        <f>IF(Transactions_RAW_cleaned[[#This Row],[Status]]="Refunded", "Refund",
  IF(Transactions_RAW_cleaned[[#This Row],[Category]]="Payments", IF(Transactions_RAW_cleaned[[#This Row],[Amount]]&gt;500,"High Value","Standard"),
    IF(Transactions_RAW_cleaned[[#This Row],[Amount]]&gt;250,"High Value","Standard")))</f>
        <v>Standard</v>
      </c>
      <c r="Q2090" s="5" t="str">
        <f>IF(Transactions_RAW_cleaned[[#This Row],[Amount]] &gt; (_xlfn.XLOOKUP(Transactions_RAW_cleaned[[#This Row],[ServiceID]],Services_cleaned[ServiceID],Services_cleaned[TransactionFeePct]) * 10000), "Yes", "No")</f>
        <v>No</v>
      </c>
      <c r="R2090" s="5" t="str">
        <f>IF(COUNTIFS($C$2:Transactions_RAW_cleaned[[#This Row],[CustomerID]],Transactions_RAW_cleaned[[#This Row],[CustomerID]],$D$2:Transactions_RAW_cleaned[[#This Row],[ServiceID]],Transactions_RAW_cleaned[[#This Row],[ServiceID]])=1,"Yes","No")</f>
        <v>No</v>
      </c>
      <c r="S209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90" t="str">
        <f>"Q"&amp;ROUNDUP(MONTH(Transactions_RAW_cleaned[[#This Row],[TransactionDate]])/3,0)</f>
        <v>Q2</v>
      </c>
      <c r="U2090" t="str">
        <f>Transactions_RAW_cleaned[[#This Row],[Region ]]&amp;Transactions_RAW_cleaned[[#This Row],[Quarter ]]</f>
        <v>NAQ2</v>
      </c>
      <c r="V2090" s="5">
        <f>_xlfn.XLOOKUP(Transactions_RAW_cleaned[[#This Row],[RegionQuarterKey]], Quarterly_Targets_cleaned[RegionQuarterKey], Quarterly_Targets_cleaned[TargetRevenue])</f>
        <v>260000</v>
      </c>
    </row>
    <row r="2091" spans="1:22" x14ac:dyDescent="0.25">
      <c r="A2091" t="s">
        <v>2428</v>
      </c>
      <c r="B2091" s="1">
        <v>45364</v>
      </c>
      <c r="C2091" t="s">
        <v>76</v>
      </c>
      <c r="D2091" t="s">
        <v>312</v>
      </c>
      <c r="E2091">
        <v>265.95999999999998</v>
      </c>
      <c r="F2091" t="s">
        <v>324</v>
      </c>
      <c r="G2091" t="s">
        <v>337</v>
      </c>
      <c r="H2091" t="s">
        <v>346</v>
      </c>
      <c r="I2091" t="s">
        <v>17</v>
      </c>
      <c r="J2091" t="s">
        <v>13</v>
      </c>
      <c r="K2091" t="s">
        <v>18</v>
      </c>
      <c r="L2091" t="s">
        <v>313</v>
      </c>
      <c r="M2091" t="s">
        <v>314</v>
      </c>
      <c r="N2091">
        <v>0</v>
      </c>
      <c r="O2091" t="str">
        <f>IF(Transactions_RAW_cleaned[[#This Row],[Status]]="Completed", IFERROR(_xlfn.XLOOKUP(Transactions_RAW_cleaned[[#This Row],[CustomerID]], Customers_cleaned[CustomerID], Customers_cleaned[Segment]), "Customer Not Found"), "N/A")</f>
        <v>Enterprise</v>
      </c>
      <c r="P2091" s="5" t="str">
        <f>IF(Transactions_RAW_cleaned[[#This Row],[Status]]="Refunded", "Refund",
  IF(Transactions_RAW_cleaned[[#This Row],[Category]]="Payments", IF(Transactions_RAW_cleaned[[#This Row],[Amount]]&gt;500,"High Value","Standard"),
    IF(Transactions_RAW_cleaned[[#This Row],[Amount]]&gt;250,"High Value","Standard")))</f>
        <v>High Value</v>
      </c>
      <c r="Q2091" s="5" t="str">
        <f>IF(Transactions_RAW_cleaned[[#This Row],[Amount]] &gt; (_xlfn.XLOOKUP(Transactions_RAW_cleaned[[#This Row],[ServiceID]],Services_cleaned[ServiceID],Services_cleaned[TransactionFeePct]) * 10000), "Yes", "No")</f>
        <v>Yes</v>
      </c>
      <c r="R2091" s="5" t="str">
        <f>IF(COUNTIFS($C$2:Transactions_RAW_cleaned[[#This Row],[CustomerID]],Transactions_RAW_cleaned[[#This Row],[CustomerID]],$D$2:Transactions_RAW_cleaned[[#This Row],[ServiceID]],Transactions_RAW_cleaned[[#This Row],[ServiceID]])=1,"Yes","No")</f>
        <v>No</v>
      </c>
      <c r="S209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91" t="str">
        <f>"Q"&amp;ROUNDUP(MONTH(Transactions_RAW_cleaned[[#This Row],[TransactionDate]])/3,0)</f>
        <v>Q1</v>
      </c>
      <c r="U2091" t="str">
        <f>Transactions_RAW_cleaned[[#This Row],[Region ]]&amp;Transactions_RAW_cleaned[[#This Row],[Quarter ]]</f>
        <v>NAQ1</v>
      </c>
      <c r="V2091" s="5">
        <f>_xlfn.XLOOKUP(Transactions_RAW_cleaned[[#This Row],[RegionQuarterKey]], Quarterly_Targets_cleaned[RegionQuarterKey], Quarterly_Targets_cleaned[TargetRevenue])</f>
        <v>247000</v>
      </c>
    </row>
    <row r="2092" spans="1:22" x14ac:dyDescent="0.25">
      <c r="A2092" t="s">
        <v>2429</v>
      </c>
      <c r="B2092" s="1">
        <v>45463</v>
      </c>
      <c r="C2092" t="s">
        <v>111</v>
      </c>
      <c r="D2092" t="s">
        <v>300</v>
      </c>
      <c r="E2092">
        <v>346.96</v>
      </c>
      <c r="F2092" t="s">
        <v>324</v>
      </c>
      <c r="G2092" t="s">
        <v>325</v>
      </c>
      <c r="H2092" t="s">
        <v>334</v>
      </c>
      <c r="I2092" t="s">
        <v>8</v>
      </c>
      <c r="J2092" t="s">
        <v>21</v>
      </c>
      <c r="K2092" t="s">
        <v>28</v>
      </c>
      <c r="L2092" t="s">
        <v>301</v>
      </c>
      <c r="M2092" t="s">
        <v>302</v>
      </c>
      <c r="N2092">
        <v>5.0000000000000001E-3</v>
      </c>
      <c r="O2092" t="str">
        <f>IF(Transactions_RAW_cleaned[[#This Row],[Status]]="Completed", IFERROR(_xlfn.XLOOKUP(Transactions_RAW_cleaned[[#This Row],[CustomerID]], Customers_cleaned[CustomerID], Customers_cleaned[Segment]), "Customer Not Found"), "N/A")</f>
        <v>SMB</v>
      </c>
      <c r="P2092" s="5" t="str">
        <f>IF(Transactions_RAW_cleaned[[#This Row],[Status]]="Refunded", "Refund",
  IF(Transactions_RAW_cleaned[[#This Row],[Category]]="Payments", IF(Transactions_RAW_cleaned[[#This Row],[Amount]]&gt;500,"High Value","Standard"),
    IF(Transactions_RAW_cleaned[[#This Row],[Amount]]&gt;250,"High Value","Standard")))</f>
        <v>High Value</v>
      </c>
      <c r="Q2092" s="5" t="str">
        <f>IF(Transactions_RAW_cleaned[[#This Row],[Amount]] &gt; (_xlfn.XLOOKUP(Transactions_RAW_cleaned[[#This Row],[ServiceID]],Services_cleaned[ServiceID],Services_cleaned[TransactionFeePct]) * 10000), "Yes", "No")</f>
        <v>Yes</v>
      </c>
      <c r="R2092" s="5" t="str">
        <f>IF(COUNTIFS($C$2:Transactions_RAW_cleaned[[#This Row],[CustomerID]],Transactions_RAW_cleaned[[#This Row],[CustomerID]],$D$2:Transactions_RAW_cleaned[[#This Row],[ServiceID]],Transactions_RAW_cleaned[[#This Row],[ServiceID]])=1,"Yes","No")</f>
        <v>No</v>
      </c>
      <c r="S209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92" t="str">
        <f>"Q"&amp;ROUNDUP(MONTH(Transactions_RAW_cleaned[[#This Row],[TransactionDate]])/3,0)</f>
        <v>Q2</v>
      </c>
      <c r="U2092" t="str">
        <f>Transactions_RAW_cleaned[[#This Row],[Region ]]&amp;Transactions_RAW_cleaned[[#This Row],[Quarter ]]</f>
        <v>APACQ2</v>
      </c>
      <c r="V2092" s="5">
        <f>_xlfn.XLOOKUP(Transactions_RAW_cleaned[[#This Row],[RegionQuarterKey]], Quarterly_Targets_cleaned[RegionQuarterKey], Quarterly_Targets_cleaned[TargetRevenue])</f>
        <v>110000</v>
      </c>
    </row>
    <row r="2093" spans="1:22" x14ac:dyDescent="0.25">
      <c r="A2093" t="s">
        <v>2430</v>
      </c>
      <c r="B2093" s="1">
        <v>45382</v>
      </c>
      <c r="C2093" t="s">
        <v>253</v>
      </c>
      <c r="D2093" t="s">
        <v>300</v>
      </c>
      <c r="E2093">
        <v>436.41</v>
      </c>
      <c r="F2093" t="s">
        <v>324</v>
      </c>
      <c r="G2093" t="s">
        <v>327</v>
      </c>
      <c r="I2093" t="s">
        <v>8</v>
      </c>
      <c r="J2093" t="s">
        <v>102</v>
      </c>
      <c r="K2093" t="s">
        <v>28</v>
      </c>
      <c r="L2093" t="s">
        <v>301</v>
      </c>
      <c r="M2093" t="s">
        <v>302</v>
      </c>
      <c r="N2093">
        <v>5.0000000000000001E-3</v>
      </c>
      <c r="O2093" t="str">
        <f>IF(Transactions_RAW_cleaned[[#This Row],[Status]]="Completed", IFERROR(_xlfn.XLOOKUP(Transactions_RAW_cleaned[[#This Row],[CustomerID]], Customers_cleaned[CustomerID], Customers_cleaned[Segment]), "Customer Not Found"), "N/A")</f>
        <v>SMB</v>
      </c>
      <c r="P2093" s="5" t="str">
        <f>IF(Transactions_RAW_cleaned[[#This Row],[Status]]="Refunded", "Refund",
  IF(Transactions_RAW_cleaned[[#This Row],[Category]]="Payments", IF(Transactions_RAW_cleaned[[#This Row],[Amount]]&gt;500,"High Value","Standard"),
    IF(Transactions_RAW_cleaned[[#This Row],[Amount]]&gt;250,"High Value","Standard")))</f>
        <v>High Value</v>
      </c>
      <c r="Q2093" s="5" t="str">
        <f>IF(Transactions_RAW_cleaned[[#This Row],[Amount]] &gt; (_xlfn.XLOOKUP(Transactions_RAW_cleaned[[#This Row],[ServiceID]],Services_cleaned[ServiceID],Services_cleaned[TransactionFeePct]) * 10000), "Yes", "No")</f>
        <v>Yes</v>
      </c>
      <c r="R2093" s="5" t="str">
        <f>IF(COUNTIFS($C$2:Transactions_RAW_cleaned[[#This Row],[CustomerID]],Transactions_RAW_cleaned[[#This Row],[CustomerID]],$D$2:Transactions_RAW_cleaned[[#This Row],[ServiceID]],Transactions_RAW_cleaned[[#This Row],[ServiceID]])=1,"Yes","No")</f>
        <v>No</v>
      </c>
      <c r="S209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93" t="str">
        <f>"Q"&amp;ROUNDUP(MONTH(Transactions_RAW_cleaned[[#This Row],[TransactionDate]])/3,0)</f>
        <v>Q1</v>
      </c>
      <c r="U2093" t="str">
        <f>Transactions_RAW_cleaned[[#This Row],[Region ]]&amp;Transactions_RAW_cleaned[[#This Row],[Quarter ]]</f>
        <v>NAQ1</v>
      </c>
      <c r="V2093" s="5">
        <f>_xlfn.XLOOKUP(Transactions_RAW_cleaned[[#This Row],[RegionQuarterKey]], Quarterly_Targets_cleaned[RegionQuarterKey], Quarterly_Targets_cleaned[TargetRevenue])</f>
        <v>247000</v>
      </c>
    </row>
    <row r="2094" spans="1:22" x14ac:dyDescent="0.25">
      <c r="A2094" t="s">
        <v>2431</v>
      </c>
      <c r="B2094" s="1">
        <v>45296</v>
      </c>
      <c r="C2094" t="s">
        <v>90</v>
      </c>
      <c r="D2094" t="s">
        <v>315</v>
      </c>
      <c r="E2094">
        <v>203.34</v>
      </c>
      <c r="F2094" t="s">
        <v>324</v>
      </c>
      <c r="G2094" t="s">
        <v>325</v>
      </c>
      <c r="H2094" t="s">
        <v>332</v>
      </c>
      <c r="I2094" t="s">
        <v>8</v>
      </c>
      <c r="J2094" t="s">
        <v>102</v>
      </c>
      <c r="K2094" t="s">
        <v>28</v>
      </c>
      <c r="L2094" t="s">
        <v>316</v>
      </c>
      <c r="M2094" t="s">
        <v>305</v>
      </c>
      <c r="N2094">
        <v>2.5000000000000001E-3</v>
      </c>
      <c r="O2094" t="str">
        <f>IF(Transactions_RAW_cleaned[[#This Row],[Status]]="Completed", IFERROR(_xlfn.XLOOKUP(Transactions_RAW_cleaned[[#This Row],[CustomerID]], Customers_cleaned[CustomerID], Customers_cleaned[Segment]), "Customer Not Found"), "N/A")</f>
        <v>SMB</v>
      </c>
      <c r="P2094" s="5" t="str">
        <f>IF(Transactions_RAW_cleaned[[#This Row],[Status]]="Refunded", "Refund",
  IF(Transactions_RAW_cleaned[[#This Row],[Category]]="Payments", IF(Transactions_RAW_cleaned[[#This Row],[Amount]]&gt;500,"High Value","Standard"),
    IF(Transactions_RAW_cleaned[[#This Row],[Amount]]&gt;250,"High Value","Standard")))</f>
        <v>Standard</v>
      </c>
      <c r="Q2094" s="5" t="str">
        <f>IF(Transactions_RAW_cleaned[[#This Row],[Amount]] &gt; (_xlfn.XLOOKUP(Transactions_RAW_cleaned[[#This Row],[ServiceID]],Services_cleaned[ServiceID],Services_cleaned[TransactionFeePct]) * 10000), "Yes", "No")</f>
        <v>Yes</v>
      </c>
      <c r="R2094" s="5" t="str">
        <f>IF(COUNTIFS($C$2:Transactions_RAW_cleaned[[#This Row],[CustomerID]],Transactions_RAW_cleaned[[#This Row],[CustomerID]],$D$2:Transactions_RAW_cleaned[[#This Row],[ServiceID]],Transactions_RAW_cleaned[[#This Row],[ServiceID]])=1,"Yes","No")</f>
        <v>No</v>
      </c>
      <c r="S209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94" t="str">
        <f>"Q"&amp;ROUNDUP(MONTH(Transactions_RAW_cleaned[[#This Row],[TransactionDate]])/3,0)</f>
        <v>Q1</v>
      </c>
      <c r="U2094" t="str">
        <f>Transactions_RAW_cleaned[[#This Row],[Region ]]&amp;Transactions_RAW_cleaned[[#This Row],[Quarter ]]</f>
        <v>NAQ1</v>
      </c>
      <c r="V2094" s="5">
        <f>_xlfn.XLOOKUP(Transactions_RAW_cleaned[[#This Row],[RegionQuarterKey]], Quarterly_Targets_cleaned[RegionQuarterKey], Quarterly_Targets_cleaned[TargetRevenue])</f>
        <v>247000</v>
      </c>
    </row>
    <row r="2095" spans="1:22" x14ac:dyDescent="0.25">
      <c r="A2095" t="s">
        <v>2432</v>
      </c>
      <c r="B2095" s="1">
        <v>45375</v>
      </c>
      <c r="C2095" t="s">
        <v>396</v>
      </c>
      <c r="D2095" t="s">
        <v>300</v>
      </c>
      <c r="E2095">
        <v>998.26</v>
      </c>
      <c r="F2095" t="s">
        <v>324</v>
      </c>
      <c r="G2095" t="s">
        <v>327</v>
      </c>
      <c r="I2095" t="s">
        <v>57</v>
      </c>
      <c r="J2095" t="s">
        <v>21</v>
      </c>
      <c r="K2095" t="s">
        <v>2964</v>
      </c>
      <c r="L2095" t="s">
        <v>301</v>
      </c>
      <c r="M2095" t="s">
        <v>302</v>
      </c>
      <c r="N2095">
        <v>5.0000000000000001E-3</v>
      </c>
      <c r="O2095" t="str">
        <f>IF(Transactions_RAW_cleaned[[#This Row],[Status]]="Completed", IFERROR(_xlfn.XLOOKUP(Transactions_RAW_cleaned[[#This Row],[CustomerID]], Customers_cleaned[CustomerID], Customers_cleaned[Segment]), "Customer Not Found"), "N/A")</f>
        <v>Startup</v>
      </c>
      <c r="P2095" s="5" t="str">
        <f>IF(Transactions_RAW_cleaned[[#This Row],[Status]]="Refunded", "Refund",
  IF(Transactions_RAW_cleaned[[#This Row],[Category]]="Payments", IF(Transactions_RAW_cleaned[[#This Row],[Amount]]&gt;500,"High Value","Standard"),
    IF(Transactions_RAW_cleaned[[#This Row],[Amount]]&gt;250,"High Value","Standard")))</f>
        <v>High Value</v>
      </c>
      <c r="Q2095" s="5" t="str">
        <f>IF(Transactions_RAW_cleaned[[#This Row],[Amount]] &gt; (_xlfn.XLOOKUP(Transactions_RAW_cleaned[[#This Row],[ServiceID]],Services_cleaned[ServiceID],Services_cleaned[TransactionFeePct]) * 10000), "Yes", "No")</f>
        <v>Yes</v>
      </c>
      <c r="R2095" s="5" t="str">
        <f>IF(COUNTIFS($C$2:Transactions_RAW_cleaned[[#This Row],[CustomerID]],Transactions_RAW_cleaned[[#This Row],[CustomerID]],$D$2:Transactions_RAW_cleaned[[#This Row],[ServiceID]],Transactions_RAW_cleaned[[#This Row],[ServiceID]])=1,"Yes","No")</f>
        <v>No</v>
      </c>
      <c r="S209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95" t="str">
        <f>"Q"&amp;ROUNDUP(MONTH(Transactions_RAW_cleaned[[#This Row],[TransactionDate]])/3,0)</f>
        <v>Q1</v>
      </c>
      <c r="U2095" t="str">
        <f>Transactions_RAW_cleaned[[#This Row],[Region ]]&amp;Transactions_RAW_cleaned[[#This Row],[Quarter ]]</f>
        <v>APACQ1</v>
      </c>
      <c r="V2095" s="5">
        <f>_xlfn.XLOOKUP(Transactions_RAW_cleaned[[#This Row],[RegionQuarterKey]], Quarterly_Targets_cleaned[RegionQuarterKey], Quarterly_Targets_cleaned[TargetRevenue])</f>
        <v>104500</v>
      </c>
    </row>
    <row r="2096" spans="1:22" x14ac:dyDescent="0.25">
      <c r="A2096" t="s">
        <v>2433</v>
      </c>
      <c r="B2096" s="1">
        <v>45606</v>
      </c>
      <c r="C2096" t="s">
        <v>68</v>
      </c>
      <c r="D2096" t="s">
        <v>294</v>
      </c>
      <c r="E2096">
        <v>784.87</v>
      </c>
      <c r="F2096" t="s">
        <v>324</v>
      </c>
      <c r="G2096" t="s">
        <v>327</v>
      </c>
      <c r="I2096" t="s">
        <v>57</v>
      </c>
      <c r="J2096" t="s">
        <v>13</v>
      </c>
      <c r="K2096" t="s">
        <v>10</v>
      </c>
      <c r="L2096" t="s">
        <v>295</v>
      </c>
      <c r="M2096" t="s">
        <v>296</v>
      </c>
      <c r="N2096">
        <v>2.9000000000000001E-2</v>
      </c>
      <c r="O2096" t="str">
        <f>IF(Transactions_RAW_cleaned[[#This Row],[Status]]="Completed", IFERROR(_xlfn.XLOOKUP(Transactions_RAW_cleaned[[#This Row],[CustomerID]], Customers_cleaned[CustomerID], Customers_cleaned[Segment]), "Customer Not Found"), "N/A")</f>
        <v>Startup</v>
      </c>
      <c r="P2096" s="5" t="str">
        <f>IF(Transactions_RAW_cleaned[[#This Row],[Status]]="Refunded", "Refund",
  IF(Transactions_RAW_cleaned[[#This Row],[Category]]="Payments", IF(Transactions_RAW_cleaned[[#This Row],[Amount]]&gt;500,"High Value","Standard"),
    IF(Transactions_RAW_cleaned[[#This Row],[Amount]]&gt;250,"High Value","Standard")))</f>
        <v>High Value</v>
      </c>
      <c r="Q2096" s="5" t="str">
        <f>IF(Transactions_RAW_cleaned[[#This Row],[Amount]] &gt; (_xlfn.XLOOKUP(Transactions_RAW_cleaned[[#This Row],[ServiceID]],Services_cleaned[ServiceID],Services_cleaned[TransactionFeePct]) * 10000), "Yes", "No")</f>
        <v>Yes</v>
      </c>
      <c r="R2096" s="5" t="str">
        <f>IF(COUNTIFS($C$2:Transactions_RAW_cleaned[[#This Row],[CustomerID]],Transactions_RAW_cleaned[[#This Row],[CustomerID]],$D$2:Transactions_RAW_cleaned[[#This Row],[ServiceID]],Transactions_RAW_cleaned[[#This Row],[ServiceID]])=1,"Yes","No")</f>
        <v>No</v>
      </c>
      <c r="S209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96" t="str">
        <f>"Q"&amp;ROUNDUP(MONTH(Transactions_RAW_cleaned[[#This Row],[TransactionDate]])/3,0)</f>
        <v>Q4</v>
      </c>
      <c r="U2096" t="str">
        <f>Transactions_RAW_cleaned[[#This Row],[Region ]]&amp;Transactions_RAW_cleaned[[#This Row],[Quarter ]]</f>
        <v>NAQ4</v>
      </c>
      <c r="V2096" s="5">
        <f>_xlfn.XLOOKUP(Transactions_RAW_cleaned[[#This Row],[RegionQuarterKey]], Quarterly_Targets_cleaned[RegionQuarterKey], Quarterly_Targets_cleaned[TargetRevenue])</f>
        <v>299000</v>
      </c>
    </row>
    <row r="2097" spans="1:22" x14ac:dyDescent="0.25">
      <c r="A2097" t="s">
        <v>2434</v>
      </c>
      <c r="B2097" s="1">
        <v>45391</v>
      </c>
      <c r="C2097" t="s">
        <v>127</v>
      </c>
      <c r="D2097" t="s">
        <v>294</v>
      </c>
      <c r="E2097">
        <v>973.34</v>
      </c>
      <c r="F2097" t="s">
        <v>324</v>
      </c>
      <c r="G2097" t="s">
        <v>337</v>
      </c>
      <c r="H2097" t="s">
        <v>346</v>
      </c>
      <c r="I2097" t="s">
        <v>8</v>
      </c>
      <c r="J2097" t="s">
        <v>102</v>
      </c>
      <c r="K2097" t="s">
        <v>22</v>
      </c>
      <c r="L2097" t="s">
        <v>295</v>
      </c>
      <c r="M2097" t="s">
        <v>296</v>
      </c>
      <c r="N2097">
        <v>2.9000000000000001E-2</v>
      </c>
      <c r="O2097" t="str">
        <f>IF(Transactions_RAW_cleaned[[#This Row],[Status]]="Completed", IFERROR(_xlfn.XLOOKUP(Transactions_RAW_cleaned[[#This Row],[CustomerID]], Customers_cleaned[CustomerID], Customers_cleaned[Segment]), "Customer Not Found"), "N/A")</f>
        <v>SMB</v>
      </c>
      <c r="P2097" s="5" t="str">
        <f>IF(Transactions_RAW_cleaned[[#This Row],[Status]]="Refunded", "Refund",
  IF(Transactions_RAW_cleaned[[#This Row],[Category]]="Payments", IF(Transactions_RAW_cleaned[[#This Row],[Amount]]&gt;500,"High Value","Standard"),
    IF(Transactions_RAW_cleaned[[#This Row],[Amount]]&gt;250,"High Value","Standard")))</f>
        <v>High Value</v>
      </c>
      <c r="Q2097" s="5" t="str">
        <f>IF(Transactions_RAW_cleaned[[#This Row],[Amount]] &gt; (_xlfn.XLOOKUP(Transactions_RAW_cleaned[[#This Row],[ServiceID]],Services_cleaned[ServiceID],Services_cleaned[TransactionFeePct]) * 10000), "Yes", "No")</f>
        <v>Yes</v>
      </c>
      <c r="R2097" s="5" t="str">
        <f>IF(COUNTIFS($C$2:Transactions_RAW_cleaned[[#This Row],[CustomerID]],Transactions_RAW_cleaned[[#This Row],[CustomerID]],$D$2:Transactions_RAW_cleaned[[#This Row],[ServiceID]],Transactions_RAW_cleaned[[#This Row],[ServiceID]])=1,"Yes","No")</f>
        <v>Yes</v>
      </c>
      <c r="S209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97" t="str">
        <f>"Q"&amp;ROUNDUP(MONTH(Transactions_RAW_cleaned[[#This Row],[TransactionDate]])/3,0)</f>
        <v>Q2</v>
      </c>
      <c r="U2097" t="str">
        <f>Transactions_RAW_cleaned[[#This Row],[Region ]]&amp;Transactions_RAW_cleaned[[#This Row],[Quarter ]]</f>
        <v>NAQ2</v>
      </c>
      <c r="V2097" s="5">
        <f>_xlfn.XLOOKUP(Transactions_RAW_cleaned[[#This Row],[RegionQuarterKey]], Quarterly_Targets_cleaned[RegionQuarterKey], Quarterly_Targets_cleaned[TargetRevenue])</f>
        <v>260000</v>
      </c>
    </row>
    <row r="2098" spans="1:22" x14ac:dyDescent="0.25">
      <c r="A2098" t="s">
        <v>2435</v>
      </c>
      <c r="B2098" s="1">
        <v>45635</v>
      </c>
      <c r="C2098" t="s">
        <v>173</v>
      </c>
      <c r="D2098" t="s">
        <v>303</v>
      </c>
      <c r="E2098">
        <v>219.03</v>
      </c>
      <c r="F2098" t="s">
        <v>324</v>
      </c>
      <c r="G2098" t="s">
        <v>327</v>
      </c>
      <c r="I2098" t="s">
        <v>8</v>
      </c>
      <c r="J2098" t="s">
        <v>46</v>
      </c>
      <c r="K2098" t="s">
        <v>32</v>
      </c>
      <c r="L2098" t="s">
        <v>304</v>
      </c>
      <c r="M2098" t="s">
        <v>305</v>
      </c>
      <c r="N2098">
        <v>1E-3</v>
      </c>
      <c r="O2098" t="str">
        <f>IF(Transactions_RAW_cleaned[[#This Row],[Status]]="Completed", IFERROR(_xlfn.XLOOKUP(Transactions_RAW_cleaned[[#This Row],[CustomerID]], Customers_cleaned[CustomerID], Customers_cleaned[Segment]), "Customer Not Found"), "N/A")</f>
        <v>SMB</v>
      </c>
      <c r="P2098" s="5" t="str">
        <f>IF(Transactions_RAW_cleaned[[#This Row],[Status]]="Refunded", "Refund",
  IF(Transactions_RAW_cleaned[[#This Row],[Category]]="Payments", IF(Transactions_RAW_cleaned[[#This Row],[Amount]]&gt;500,"High Value","Standard"),
    IF(Transactions_RAW_cleaned[[#This Row],[Amount]]&gt;250,"High Value","Standard")))</f>
        <v>Standard</v>
      </c>
      <c r="Q2098" s="5" t="str">
        <f>IF(Transactions_RAW_cleaned[[#This Row],[Amount]] &gt; (_xlfn.XLOOKUP(Transactions_RAW_cleaned[[#This Row],[ServiceID]],Services_cleaned[ServiceID],Services_cleaned[TransactionFeePct]) * 10000), "Yes", "No")</f>
        <v>Yes</v>
      </c>
      <c r="R2098" s="5" t="str">
        <f>IF(COUNTIFS($C$2:Transactions_RAW_cleaned[[#This Row],[CustomerID]],Transactions_RAW_cleaned[[#This Row],[CustomerID]],$D$2:Transactions_RAW_cleaned[[#This Row],[ServiceID]],Transactions_RAW_cleaned[[#This Row],[ServiceID]])=1,"Yes","No")</f>
        <v>Yes</v>
      </c>
      <c r="S209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098" t="str">
        <f>"Q"&amp;ROUNDUP(MONTH(Transactions_RAW_cleaned[[#This Row],[TransactionDate]])/3,0)</f>
        <v>Q4</v>
      </c>
      <c r="U2098" t="str">
        <f>Transactions_RAW_cleaned[[#This Row],[Region ]]&amp;Transactions_RAW_cleaned[[#This Row],[Quarter ]]</f>
        <v>APACQ4</v>
      </c>
      <c r="V2098" s="5">
        <f>_xlfn.XLOOKUP(Transactions_RAW_cleaned[[#This Row],[RegionQuarterKey]], Quarterly_Targets_cleaned[RegionQuarterKey], Quarterly_Targets_cleaned[TargetRevenue])</f>
        <v>126500</v>
      </c>
    </row>
    <row r="2099" spans="1:22" x14ac:dyDescent="0.25">
      <c r="A2099" t="s">
        <v>2436</v>
      </c>
      <c r="B2099" s="1">
        <v>45326</v>
      </c>
      <c r="C2099" t="s">
        <v>49</v>
      </c>
      <c r="D2099" t="s">
        <v>309</v>
      </c>
      <c r="E2099">
        <v>866.48</v>
      </c>
      <c r="F2099" t="s">
        <v>324</v>
      </c>
      <c r="G2099" t="s">
        <v>325</v>
      </c>
      <c r="I2099" t="s">
        <v>8</v>
      </c>
      <c r="J2099" t="s">
        <v>102</v>
      </c>
      <c r="K2099" t="s">
        <v>32</v>
      </c>
      <c r="L2099" t="s">
        <v>310</v>
      </c>
      <c r="M2099" t="s">
        <v>311</v>
      </c>
      <c r="N2099">
        <v>0</v>
      </c>
      <c r="O2099" t="str">
        <f>IF(Transactions_RAW_cleaned[[#This Row],[Status]]="Completed", IFERROR(_xlfn.XLOOKUP(Transactions_RAW_cleaned[[#This Row],[CustomerID]], Customers_cleaned[CustomerID], Customers_cleaned[Segment]), "Customer Not Found"), "N/A")</f>
        <v>SMB</v>
      </c>
      <c r="P2099" s="5" t="str">
        <f>IF(Transactions_RAW_cleaned[[#This Row],[Status]]="Refunded", "Refund",
  IF(Transactions_RAW_cleaned[[#This Row],[Category]]="Payments", IF(Transactions_RAW_cleaned[[#This Row],[Amount]]&gt;500,"High Value","Standard"),
    IF(Transactions_RAW_cleaned[[#This Row],[Amount]]&gt;250,"High Value","Standard")))</f>
        <v>High Value</v>
      </c>
      <c r="Q2099" s="5" t="str">
        <f>IF(Transactions_RAW_cleaned[[#This Row],[Amount]] &gt; (_xlfn.XLOOKUP(Transactions_RAW_cleaned[[#This Row],[ServiceID]],Services_cleaned[ServiceID],Services_cleaned[TransactionFeePct]) * 10000), "Yes", "No")</f>
        <v>Yes</v>
      </c>
      <c r="R2099" s="5" t="str">
        <f>IF(COUNTIFS($C$2:Transactions_RAW_cleaned[[#This Row],[CustomerID]],Transactions_RAW_cleaned[[#This Row],[CustomerID]],$D$2:Transactions_RAW_cleaned[[#This Row],[ServiceID]],Transactions_RAW_cleaned[[#This Row],[ServiceID]])=1,"Yes","No")</f>
        <v>Yes</v>
      </c>
      <c r="S209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099" t="str">
        <f>"Q"&amp;ROUNDUP(MONTH(Transactions_RAW_cleaned[[#This Row],[TransactionDate]])/3,0)</f>
        <v>Q1</v>
      </c>
      <c r="U2099" t="str">
        <f>Transactions_RAW_cleaned[[#This Row],[Region ]]&amp;Transactions_RAW_cleaned[[#This Row],[Quarter ]]</f>
        <v>NAQ1</v>
      </c>
      <c r="V2099" s="5">
        <f>_xlfn.XLOOKUP(Transactions_RAW_cleaned[[#This Row],[RegionQuarterKey]], Quarterly_Targets_cleaned[RegionQuarterKey], Quarterly_Targets_cleaned[TargetRevenue])</f>
        <v>247000</v>
      </c>
    </row>
    <row r="2100" spans="1:22" x14ac:dyDescent="0.25">
      <c r="A2100" t="s">
        <v>2437</v>
      </c>
      <c r="B2100" s="1">
        <v>45419</v>
      </c>
      <c r="C2100" t="s">
        <v>207</v>
      </c>
      <c r="D2100" t="s">
        <v>306</v>
      </c>
      <c r="E2100">
        <v>796.78</v>
      </c>
      <c r="F2100" t="s">
        <v>324</v>
      </c>
      <c r="G2100" t="s">
        <v>327</v>
      </c>
      <c r="H2100" t="s">
        <v>346</v>
      </c>
      <c r="I2100" t="s">
        <v>8</v>
      </c>
      <c r="J2100" t="s">
        <v>102</v>
      </c>
      <c r="K2100" t="s">
        <v>28</v>
      </c>
      <c r="L2100" t="s">
        <v>307</v>
      </c>
      <c r="M2100" t="s">
        <v>308</v>
      </c>
      <c r="N2100">
        <v>0</v>
      </c>
      <c r="O2100" t="str">
        <f>IF(Transactions_RAW_cleaned[[#This Row],[Status]]="Completed", IFERROR(_xlfn.XLOOKUP(Transactions_RAW_cleaned[[#This Row],[CustomerID]], Customers_cleaned[CustomerID], Customers_cleaned[Segment]), "Customer Not Found"), "N/A")</f>
        <v>SMB</v>
      </c>
      <c r="P2100" s="5" t="str">
        <f>IF(Transactions_RAW_cleaned[[#This Row],[Status]]="Refunded", "Refund",
  IF(Transactions_RAW_cleaned[[#This Row],[Category]]="Payments", IF(Transactions_RAW_cleaned[[#This Row],[Amount]]&gt;500,"High Value","Standard"),
    IF(Transactions_RAW_cleaned[[#This Row],[Amount]]&gt;250,"High Value","Standard")))</f>
        <v>High Value</v>
      </c>
      <c r="Q2100" s="5" t="str">
        <f>IF(Transactions_RAW_cleaned[[#This Row],[Amount]] &gt; (_xlfn.XLOOKUP(Transactions_RAW_cleaned[[#This Row],[ServiceID]],Services_cleaned[ServiceID],Services_cleaned[TransactionFeePct]) * 10000), "Yes", "No")</f>
        <v>Yes</v>
      </c>
      <c r="R2100" s="5" t="str">
        <f>IF(COUNTIFS($C$2:Transactions_RAW_cleaned[[#This Row],[CustomerID]],Transactions_RAW_cleaned[[#This Row],[CustomerID]],$D$2:Transactions_RAW_cleaned[[#This Row],[ServiceID]],Transactions_RAW_cleaned[[#This Row],[ServiceID]])=1,"Yes","No")</f>
        <v>No</v>
      </c>
      <c r="S210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00" t="str">
        <f>"Q"&amp;ROUNDUP(MONTH(Transactions_RAW_cleaned[[#This Row],[TransactionDate]])/3,0)</f>
        <v>Q2</v>
      </c>
      <c r="U2100" t="str">
        <f>Transactions_RAW_cleaned[[#This Row],[Region ]]&amp;Transactions_RAW_cleaned[[#This Row],[Quarter ]]</f>
        <v>NAQ2</v>
      </c>
      <c r="V2100" s="5">
        <f>_xlfn.XLOOKUP(Transactions_RAW_cleaned[[#This Row],[RegionQuarterKey]], Quarterly_Targets_cleaned[RegionQuarterKey], Quarterly_Targets_cleaned[TargetRevenue])</f>
        <v>260000</v>
      </c>
    </row>
    <row r="2101" spans="1:22" x14ac:dyDescent="0.25">
      <c r="A2101" t="s">
        <v>2438</v>
      </c>
      <c r="B2101" s="1">
        <v>45504</v>
      </c>
      <c r="C2101" t="s">
        <v>47</v>
      </c>
      <c r="D2101" t="s">
        <v>297</v>
      </c>
      <c r="E2101">
        <v>169.62</v>
      </c>
      <c r="F2101" t="s">
        <v>324</v>
      </c>
      <c r="G2101" t="s">
        <v>325</v>
      </c>
      <c r="I2101" t="s">
        <v>8</v>
      </c>
      <c r="J2101" t="s">
        <v>21</v>
      </c>
      <c r="K2101" t="s">
        <v>22</v>
      </c>
      <c r="L2101" t="s">
        <v>298</v>
      </c>
      <c r="M2101" t="s">
        <v>299</v>
      </c>
      <c r="N2101">
        <v>0</v>
      </c>
      <c r="O2101" t="str">
        <f>IF(Transactions_RAW_cleaned[[#This Row],[Status]]="Completed", IFERROR(_xlfn.XLOOKUP(Transactions_RAW_cleaned[[#This Row],[CustomerID]], Customers_cleaned[CustomerID], Customers_cleaned[Segment]), "Customer Not Found"), "N/A")</f>
        <v>SMB</v>
      </c>
      <c r="P2101" s="5" t="str">
        <f>IF(Transactions_RAW_cleaned[[#This Row],[Status]]="Refunded", "Refund",
  IF(Transactions_RAW_cleaned[[#This Row],[Category]]="Payments", IF(Transactions_RAW_cleaned[[#This Row],[Amount]]&gt;500,"High Value","Standard"),
    IF(Transactions_RAW_cleaned[[#This Row],[Amount]]&gt;250,"High Value","Standard")))</f>
        <v>Standard</v>
      </c>
      <c r="Q2101" s="5" t="str">
        <f>IF(Transactions_RAW_cleaned[[#This Row],[Amount]] &gt; (_xlfn.XLOOKUP(Transactions_RAW_cleaned[[#This Row],[ServiceID]],Services_cleaned[ServiceID],Services_cleaned[TransactionFeePct]) * 10000), "Yes", "No")</f>
        <v>Yes</v>
      </c>
      <c r="R2101" s="5" t="str">
        <f>IF(COUNTIFS($C$2:Transactions_RAW_cleaned[[#This Row],[CustomerID]],Transactions_RAW_cleaned[[#This Row],[CustomerID]],$D$2:Transactions_RAW_cleaned[[#This Row],[ServiceID]],Transactions_RAW_cleaned[[#This Row],[ServiceID]])=1,"Yes","No")</f>
        <v>No</v>
      </c>
      <c r="S210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01" t="str">
        <f>"Q"&amp;ROUNDUP(MONTH(Transactions_RAW_cleaned[[#This Row],[TransactionDate]])/3,0)</f>
        <v>Q3</v>
      </c>
      <c r="U2101" t="str">
        <f>Transactions_RAW_cleaned[[#This Row],[Region ]]&amp;Transactions_RAW_cleaned[[#This Row],[Quarter ]]</f>
        <v>APACQ3</v>
      </c>
      <c r="V2101" s="5">
        <f>_xlfn.XLOOKUP(Transactions_RAW_cleaned[[#This Row],[RegionQuarterKey]], Quarterly_Targets_cleaned[RegionQuarterKey], Quarterly_Targets_cleaned[TargetRevenue])</f>
        <v>115500</v>
      </c>
    </row>
    <row r="2102" spans="1:22" x14ac:dyDescent="0.25">
      <c r="A2102" t="s">
        <v>2439</v>
      </c>
      <c r="B2102" s="1">
        <v>45544</v>
      </c>
      <c r="C2102" t="s">
        <v>113</v>
      </c>
      <c r="D2102" t="s">
        <v>306</v>
      </c>
      <c r="E2102">
        <v>373.11</v>
      </c>
      <c r="F2102" t="s">
        <v>324</v>
      </c>
      <c r="G2102" t="s">
        <v>327</v>
      </c>
      <c r="H2102" t="s">
        <v>334</v>
      </c>
      <c r="I2102" t="s">
        <v>57</v>
      </c>
      <c r="J2102" t="s">
        <v>46</v>
      </c>
      <c r="K2102" t="s">
        <v>10</v>
      </c>
      <c r="L2102" t="s">
        <v>307</v>
      </c>
      <c r="M2102" t="s">
        <v>308</v>
      </c>
      <c r="N2102">
        <v>0</v>
      </c>
      <c r="O2102" t="str">
        <f>IF(Transactions_RAW_cleaned[[#This Row],[Status]]="Completed", IFERROR(_xlfn.XLOOKUP(Transactions_RAW_cleaned[[#This Row],[CustomerID]], Customers_cleaned[CustomerID], Customers_cleaned[Segment]), "Customer Not Found"), "N/A")</f>
        <v>Startup</v>
      </c>
      <c r="P2102" s="5" t="str">
        <f>IF(Transactions_RAW_cleaned[[#This Row],[Status]]="Refunded", "Refund",
  IF(Transactions_RAW_cleaned[[#This Row],[Category]]="Payments", IF(Transactions_RAW_cleaned[[#This Row],[Amount]]&gt;500,"High Value","Standard"),
    IF(Transactions_RAW_cleaned[[#This Row],[Amount]]&gt;250,"High Value","Standard")))</f>
        <v>High Value</v>
      </c>
      <c r="Q2102" s="5" t="str">
        <f>IF(Transactions_RAW_cleaned[[#This Row],[Amount]] &gt; (_xlfn.XLOOKUP(Transactions_RAW_cleaned[[#This Row],[ServiceID]],Services_cleaned[ServiceID],Services_cleaned[TransactionFeePct]) * 10000), "Yes", "No")</f>
        <v>Yes</v>
      </c>
      <c r="R2102" s="5" t="str">
        <f>IF(COUNTIFS($C$2:Transactions_RAW_cleaned[[#This Row],[CustomerID]],Transactions_RAW_cleaned[[#This Row],[CustomerID]],$D$2:Transactions_RAW_cleaned[[#This Row],[ServiceID]],Transactions_RAW_cleaned[[#This Row],[ServiceID]])=1,"Yes","No")</f>
        <v>No</v>
      </c>
      <c r="S210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02" t="str">
        <f>"Q"&amp;ROUNDUP(MONTH(Transactions_RAW_cleaned[[#This Row],[TransactionDate]])/3,0)</f>
        <v>Q3</v>
      </c>
      <c r="U2102" t="str">
        <f>Transactions_RAW_cleaned[[#This Row],[Region ]]&amp;Transactions_RAW_cleaned[[#This Row],[Quarter ]]</f>
        <v>APACQ3</v>
      </c>
      <c r="V2102" s="5">
        <f>_xlfn.XLOOKUP(Transactions_RAW_cleaned[[#This Row],[RegionQuarterKey]], Quarterly_Targets_cleaned[RegionQuarterKey], Quarterly_Targets_cleaned[TargetRevenue])</f>
        <v>115500</v>
      </c>
    </row>
    <row r="2103" spans="1:22" x14ac:dyDescent="0.25">
      <c r="A2103" t="s">
        <v>2440</v>
      </c>
      <c r="B2103" s="1">
        <v>45329</v>
      </c>
      <c r="C2103" t="s">
        <v>181</v>
      </c>
      <c r="D2103" t="s">
        <v>294</v>
      </c>
      <c r="E2103">
        <v>826.15</v>
      </c>
      <c r="F2103" t="s">
        <v>324</v>
      </c>
      <c r="G2103" t="s">
        <v>327</v>
      </c>
      <c r="H2103" t="s">
        <v>346</v>
      </c>
      <c r="I2103" t="s">
        <v>17</v>
      </c>
      <c r="J2103" t="s">
        <v>21</v>
      </c>
      <c r="K2103" t="s">
        <v>10</v>
      </c>
      <c r="L2103" t="s">
        <v>295</v>
      </c>
      <c r="M2103" t="s">
        <v>296</v>
      </c>
      <c r="N2103">
        <v>2.9000000000000001E-2</v>
      </c>
      <c r="O2103" t="str">
        <f>IF(Transactions_RAW_cleaned[[#This Row],[Status]]="Completed", IFERROR(_xlfn.XLOOKUP(Transactions_RAW_cleaned[[#This Row],[CustomerID]], Customers_cleaned[CustomerID], Customers_cleaned[Segment]), "Customer Not Found"), "N/A")</f>
        <v>Enterprise</v>
      </c>
      <c r="P2103" s="5" t="str">
        <f>IF(Transactions_RAW_cleaned[[#This Row],[Status]]="Refunded", "Refund",
  IF(Transactions_RAW_cleaned[[#This Row],[Category]]="Payments", IF(Transactions_RAW_cleaned[[#This Row],[Amount]]&gt;500,"High Value","Standard"),
    IF(Transactions_RAW_cleaned[[#This Row],[Amount]]&gt;250,"High Value","Standard")))</f>
        <v>High Value</v>
      </c>
      <c r="Q2103" s="5" t="str">
        <f>IF(Transactions_RAW_cleaned[[#This Row],[Amount]] &gt; (_xlfn.XLOOKUP(Transactions_RAW_cleaned[[#This Row],[ServiceID]],Services_cleaned[ServiceID],Services_cleaned[TransactionFeePct]) * 10000), "Yes", "No")</f>
        <v>Yes</v>
      </c>
      <c r="R2103" s="5" t="str">
        <f>IF(COUNTIFS($C$2:Transactions_RAW_cleaned[[#This Row],[CustomerID]],Transactions_RAW_cleaned[[#This Row],[CustomerID]],$D$2:Transactions_RAW_cleaned[[#This Row],[ServiceID]],Transactions_RAW_cleaned[[#This Row],[ServiceID]])=1,"Yes","No")</f>
        <v>No</v>
      </c>
      <c r="S210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03" t="str">
        <f>"Q"&amp;ROUNDUP(MONTH(Transactions_RAW_cleaned[[#This Row],[TransactionDate]])/3,0)</f>
        <v>Q1</v>
      </c>
      <c r="U2103" t="str">
        <f>Transactions_RAW_cleaned[[#This Row],[Region ]]&amp;Transactions_RAW_cleaned[[#This Row],[Quarter ]]</f>
        <v>APACQ1</v>
      </c>
      <c r="V2103" s="5">
        <f>_xlfn.XLOOKUP(Transactions_RAW_cleaned[[#This Row],[RegionQuarterKey]], Quarterly_Targets_cleaned[RegionQuarterKey], Quarterly_Targets_cleaned[TargetRevenue])</f>
        <v>104500</v>
      </c>
    </row>
    <row r="2104" spans="1:22" x14ac:dyDescent="0.25">
      <c r="A2104" t="s">
        <v>2441</v>
      </c>
      <c r="B2104" s="1">
        <v>45296</v>
      </c>
      <c r="C2104" t="s">
        <v>121</v>
      </c>
      <c r="D2104" t="s">
        <v>306</v>
      </c>
      <c r="E2104">
        <v>317.68</v>
      </c>
      <c r="F2104" t="s">
        <v>324</v>
      </c>
      <c r="G2104" t="s">
        <v>325</v>
      </c>
      <c r="I2104" t="s">
        <v>8</v>
      </c>
      <c r="J2104" t="s">
        <v>37</v>
      </c>
      <c r="K2104" t="s">
        <v>14</v>
      </c>
      <c r="L2104" t="s">
        <v>307</v>
      </c>
      <c r="M2104" t="s">
        <v>308</v>
      </c>
      <c r="N2104">
        <v>0</v>
      </c>
      <c r="O2104" t="str">
        <f>IF(Transactions_RAW_cleaned[[#This Row],[Status]]="Completed", IFERROR(_xlfn.XLOOKUP(Transactions_RAW_cleaned[[#This Row],[CustomerID]], Customers_cleaned[CustomerID], Customers_cleaned[Segment]), "Customer Not Found"), "N/A")</f>
        <v>SMB</v>
      </c>
      <c r="P2104" s="5" t="str">
        <f>IF(Transactions_RAW_cleaned[[#This Row],[Status]]="Refunded", "Refund",
  IF(Transactions_RAW_cleaned[[#This Row],[Category]]="Payments", IF(Transactions_RAW_cleaned[[#This Row],[Amount]]&gt;500,"High Value","Standard"),
    IF(Transactions_RAW_cleaned[[#This Row],[Amount]]&gt;250,"High Value","Standard")))</f>
        <v>High Value</v>
      </c>
      <c r="Q2104" s="5" t="str">
        <f>IF(Transactions_RAW_cleaned[[#This Row],[Amount]] &gt; (_xlfn.XLOOKUP(Transactions_RAW_cleaned[[#This Row],[ServiceID]],Services_cleaned[ServiceID],Services_cleaned[TransactionFeePct]) * 10000), "Yes", "No")</f>
        <v>Yes</v>
      </c>
      <c r="R2104" s="5" t="str">
        <f>IF(COUNTIFS($C$2:Transactions_RAW_cleaned[[#This Row],[CustomerID]],Transactions_RAW_cleaned[[#This Row],[CustomerID]],$D$2:Transactions_RAW_cleaned[[#This Row],[ServiceID]],Transactions_RAW_cleaned[[#This Row],[ServiceID]])=1,"Yes","No")</f>
        <v>Yes</v>
      </c>
      <c r="S210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104" t="str">
        <f>"Q"&amp;ROUNDUP(MONTH(Transactions_RAW_cleaned[[#This Row],[TransactionDate]])/3,0)</f>
        <v>Q1</v>
      </c>
      <c r="U2104" t="str">
        <f>Transactions_RAW_cleaned[[#This Row],[Region ]]&amp;Transactions_RAW_cleaned[[#This Row],[Quarter ]]</f>
        <v>EMEAQ1</v>
      </c>
      <c r="V2104" s="5">
        <f>_xlfn.XLOOKUP(Transactions_RAW_cleaned[[#This Row],[RegionQuarterKey]], Quarterly_Targets_cleaned[RegionQuarterKey], Quarterly_Targets_cleaned[TargetRevenue])</f>
        <v>133000</v>
      </c>
    </row>
    <row r="2105" spans="1:22" x14ac:dyDescent="0.25">
      <c r="A2105" t="s">
        <v>2442</v>
      </c>
      <c r="B2105" s="1">
        <v>45310</v>
      </c>
      <c r="C2105" t="s">
        <v>239</v>
      </c>
      <c r="D2105" t="s">
        <v>309</v>
      </c>
      <c r="E2105">
        <v>998.9</v>
      </c>
      <c r="F2105" t="s">
        <v>324</v>
      </c>
      <c r="G2105" t="s">
        <v>329</v>
      </c>
      <c r="H2105" t="s">
        <v>332</v>
      </c>
      <c r="I2105" t="s">
        <v>57</v>
      </c>
      <c r="J2105" t="s">
        <v>102</v>
      </c>
      <c r="K2105" t="s">
        <v>10</v>
      </c>
      <c r="L2105" t="s">
        <v>310</v>
      </c>
      <c r="M2105" t="s">
        <v>311</v>
      </c>
      <c r="N2105">
        <v>0</v>
      </c>
      <c r="O2105" t="str">
        <f>IF(Transactions_RAW_cleaned[[#This Row],[Status]]="Completed", IFERROR(_xlfn.XLOOKUP(Transactions_RAW_cleaned[[#This Row],[CustomerID]], Customers_cleaned[CustomerID], Customers_cleaned[Segment]), "Customer Not Found"), "N/A")</f>
        <v>Startup</v>
      </c>
      <c r="P2105" s="5" t="str">
        <f>IF(Transactions_RAW_cleaned[[#This Row],[Status]]="Refunded", "Refund",
  IF(Transactions_RAW_cleaned[[#This Row],[Category]]="Payments", IF(Transactions_RAW_cleaned[[#This Row],[Amount]]&gt;500,"High Value","Standard"),
    IF(Transactions_RAW_cleaned[[#This Row],[Amount]]&gt;250,"High Value","Standard")))</f>
        <v>High Value</v>
      </c>
      <c r="Q2105" s="5" t="str">
        <f>IF(Transactions_RAW_cleaned[[#This Row],[Amount]] &gt; (_xlfn.XLOOKUP(Transactions_RAW_cleaned[[#This Row],[ServiceID]],Services_cleaned[ServiceID],Services_cleaned[TransactionFeePct]) * 10000), "Yes", "No")</f>
        <v>Yes</v>
      </c>
      <c r="R2105" s="5" t="str">
        <f>IF(COUNTIFS($C$2:Transactions_RAW_cleaned[[#This Row],[CustomerID]],Transactions_RAW_cleaned[[#This Row],[CustomerID]],$D$2:Transactions_RAW_cleaned[[#This Row],[ServiceID]],Transactions_RAW_cleaned[[#This Row],[ServiceID]])=1,"Yes","No")</f>
        <v>Yes</v>
      </c>
      <c r="S210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05" t="str">
        <f>"Q"&amp;ROUNDUP(MONTH(Transactions_RAW_cleaned[[#This Row],[TransactionDate]])/3,0)</f>
        <v>Q1</v>
      </c>
      <c r="U2105" t="str">
        <f>Transactions_RAW_cleaned[[#This Row],[Region ]]&amp;Transactions_RAW_cleaned[[#This Row],[Quarter ]]</f>
        <v>NAQ1</v>
      </c>
      <c r="V2105" s="5">
        <f>_xlfn.XLOOKUP(Transactions_RAW_cleaned[[#This Row],[RegionQuarterKey]], Quarterly_Targets_cleaned[RegionQuarterKey], Quarterly_Targets_cleaned[TargetRevenue])</f>
        <v>247000</v>
      </c>
    </row>
    <row r="2106" spans="1:22" x14ac:dyDescent="0.25">
      <c r="A2106" t="s">
        <v>2443</v>
      </c>
      <c r="B2106" s="1">
        <v>45334</v>
      </c>
      <c r="C2106" t="s">
        <v>191</v>
      </c>
      <c r="D2106" t="s">
        <v>297</v>
      </c>
      <c r="E2106">
        <v>-245.2</v>
      </c>
      <c r="F2106" t="s">
        <v>349</v>
      </c>
      <c r="G2106" t="s">
        <v>327</v>
      </c>
      <c r="H2106" t="s">
        <v>346</v>
      </c>
      <c r="I2106" t="s">
        <v>57</v>
      </c>
      <c r="J2106" t="s">
        <v>31</v>
      </c>
      <c r="K2106" t="s">
        <v>32</v>
      </c>
      <c r="L2106" t="s">
        <v>298</v>
      </c>
      <c r="M2106" t="s">
        <v>299</v>
      </c>
      <c r="N2106">
        <v>0</v>
      </c>
      <c r="O2106" t="str">
        <f>IF(Transactions_RAW_cleaned[[#This Row],[Status]]="Completed", IFERROR(_xlfn.XLOOKUP(Transactions_RAW_cleaned[[#This Row],[CustomerID]], Customers_cleaned[CustomerID], Customers_cleaned[Segment]), "Customer Not Found"), "N/A")</f>
        <v>N/A</v>
      </c>
      <c r="P2106" s="5" t="str">
        <f>IF(Transactions_RAW_cleaned[[#This Row],[Status]]="Refunded", "Refund",
  IF(Transactions_RAW_cleaned[[#This Row],[Category]]="Payments", IF(Transactions_RAW_cleaned[[#This Row],[Amount]]&gt;500,"High Value","Standard"),
    IF(Transactions_RAW_cleaned[[#This Row],[Amount]]&gt;250,"High Value","Standard")))</f>
        <v>Refund</v>
      </c>
      <c r="Q2106" s="5" t="str">
        <f>IF(Transactions_RAW_cleaned[[#This Row],[Amount]] &gt; (_xlfn.XLOOKUP(Transactions_RAW_cleaned[[#This Row],[ServiceID]],Services_cleaned[ServiceID],Services_cleaned[TransactionFeePct]) * 10000), "Yes", "No")</f>
        <v>No</v>
      </c>
      <c r="R2106" s="5" t="str">
        <f>IF(COUNTIFS($C$2:Transactions_RAW_cleaned[[#This Row],[CustomerID]],Transactions_RAW_cleaned[[#This Row],[CustomerID]],$D$2:Transactions_RAW_cleaned[[#This Row],[ServiceID]],Transactions_RAW_cleaned[[#This Row],[ServiceID]])=1,"Yes","No")</f>
        <v>Yes</v>
      </c>
      <c r="S210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106" t="str">
        <f>"Q"&amp;ROUNDUP(MONTH(Transactions_RAW_cleaned[[#This Row],[TransactionDate]])/3,0)</f>
        <v>Q1</v>
      </c>
      <c r="U2106" t="str">
        <f>Transactions_RAW_cleaned[[#This Row],[Region ]]&amp;Transactions_RAW_cleaned[[#This Row],[Quarter ]]</f>
        <v>EMEAQ1</v>
      </c>
      <c r="V2106" s="5">
        <f>_xlfn.XLOOKUP(Transactions_RAW_cleaned[[#This Row],[RegionQuarterKey]], Quarterly_Targets_cleaned[RegionQuarterKey], Quarterly_Targets_cleaned[TargetRevenue])</f>
        <v>133000</v>
      </c>
    </row>
    <row r="2107" spans="1:22" x14ac:dyDescent="0.25">
      <c r="A2107" t="s">
        <v>2444</v>
      </c>
      <c r="B2107" s="1">
        <v>45585</v>
      </c>
      <c r="C2107" t="s">
        <v>135</v>
      </c>
      <c r="D2107" t="s">
        <v>294</v>
      </c>
      <c r="E2107">
        <v>-222.8</v>
      </c>
      <c r="F2107" t="s">
        <v>349</v>
      </c>
      <c r="G2107" t="s">
        <v>329</v>
      </c>
      <c r="I2107" t="s">
        <v>8</v>
      </c>
      <c r="J2107" t="s">
        <v>46</v>
      </c>
      <c r="K2107" t="s">
        <v>10</v>
      </c>
      <c r="L2107" t="s">
        <v>295</v>
      </c>
      <c r="M2107" t="s">
        <v>296</v>
      </c>
      <c r="N2107">
        <v>2.9000000000000001E-2</v>
      </c>
      <c r="O2107" t="str">
        <f>IF(Transactions_RAW_cleaned[[#This Row],[Status]]="Completed", IFERROR(_xlfn.XLOOKUP(Transactions_RAW_cleaned[[#This Row],[CustomerID]], Customers_cleaned[CustomerID], Customers_cleaned[Segment]), "Customer Not Found"), "N/A")</f>
        <v>N/A</v>
      </c>
      <c r="P2107" s="5" t="str">
        <f>IF(Transactions_RAW_cleaned[[#This Row],[Status]]="Refunded", "Refund",
  IF(Transactions_RAW_cleaned[[#This Row],[Category]]="Payments", IF(Transactions_RAW_cleaned[[#This Row],[Amount]]&gt;500,"High Value","Standard"),
    IF(Transactions_RAW_cleaned[[#This Row],[Amount]]&gt;250,"High Value","Standard")))</f>
        <v>Refund</v>
      </c>
      <c r="Q2107" s="5" t="str">
        <f>IF(Transactions_RAW_cleaned[[#This Row],[Amount]] &gt; (_xlfn.XLOOKUP(Transactions_RAW_cleaned[[#This Row],[ServiceID]],Services_cleaned[ServiceID],Services_cleaned[TransactionFeePct]) * 10000), "Yes", "No")</f>
        <v>No</v>
      </c>
      <c r="R2107" s="5" t="str">
        <f>IF(COUNTIFS($C$2:Transactions_RAW_cleaned[[#This Row],[CustomerID]],Transactions_RAW_cleaned[[#This Row],[CustomerID]],$D$2:Transactions_RAW_cleaned[[#This Row],[ServiceID]],Transactions_RAW_cleaned[[#This Row],[ServiceID]])=1,"Yes","No")</f>
        <v>No</v>
      </c>
      <c r="S210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07" t="str">
        <f>"Q"&amp;ROUNDUP(MONTH(Transactions_RAW_cleaned[[#This Row],[TransactionDate]])/3,0)</f>
        <v>Q4</v>
      </c>
      <c r="U2107" t="str">
        <f>Transactions_RAW_cleaned[[#This Row],[Region ]]&amp;Transactions_RAW_cleaned[[#This Row],[Quarter ]]</f>
        <v>APACQ4</v>
      </c>
      <c r="V2107" s="5">
        <f>_xlfn.XLOOKUP(Transactions_RAW_cleaned[[#This Row],[RegionQuarterKey]], Quarterly_Targets_cleaned[RegionQuarterKey], Quarterly_Targets_cleaned[TargetRevenue])</f>
        <v>126500</v>
      </c>
    </row>
    <row r="2108" spans="1:22" x14ac:dyDescent="0.25">
      <c r="A2108" t="s">
        <v>2445</v>
      </c>
      <c r="B2108" s="1">
        <v>45404</v>
      </c>
      <c r="C2108" t="s">
        <v>15</v>
      </c>
      <c r="D2108" t="s">
        <v>294</v>
      </c>
      <c r="E2108">
        <v>184.45</v>
      </c>
      <c r="F2108" t="s">
        <v>324</v>
      </c>
      <c r="G2108" t="s">
        <v>327</v>
      </c>
      <c r="H2108" t="s">
        <v>334</v>
      </c>
      <c r="I2108" t="s">
        <v>17</v>
      </c>
      <c r="J2108" t="s">
        <v>102</v>
      </c>
      <c r="K2108" t="s">
        <v>18</v>
      </c>
      <c r="L2108" t="s">
        <v>295</v>
      </c>
      <c r="M2108" t="s">
        <v>296</v>
      </c>
      <c r="N2108">
        <v>2.9000000000000001E-2</v>
      </c>
      <c r="O2108" t="str">
        <f>IF(Transactions_RAW_cleaned[[#This Row],[Status]]="Completed", IFERROR(_xlfn.XLOOKUP(Transactions_RAW_cleaned[[#This Row],[CustomerID]], Customers_cleaned[CustomerID], Customers_cleaned[Segment]), "Customer Not Found"), "N/A")</f>
        <v>Enterprise</v>
      </c>
      <c r="P2108" s="5" t="str">
        <f>IF(Transactions_RAW_cleaned[[#This Row],[Status]]="Refunded", "Refund",
  IF(Transactions_RAW_cleaned[[#This Row],[Category]]="Payments", IF(Transactions_RAW_cleaned[[#This Row],[Amount]]&gt;500,"High Value","Standard"),
    IF(Transactions_RAW_cleaned[[#This Row],[Amount]]&gt;250,"High Value","Standard")))</f>
        <v>Standard</v>
      </c>
      <c r="Q2108" s="5" t="str">
        <f>IF(Transactions_RAW_cleaned[[#This Row],[Amount]] &gt; (_xlfn.XLOOKUP(Transactions_RAW_cleaned[[#This Row],[ServiceID]],Services_cleaned[ServiceID],Services_cleaned[TransactionFeePct]) * 10000), "Yes", "No")</f>
        <v>No</v>
      </c>
      <c r="R2108" s="5" t="str">
        <f>IF(COUNTIFS($C$2:Transactions_RAW_cleaned[[#This Row],[CustomerID]],Transactions_RAW_cleaned[[#This Row],[CustomerID]],$D$2:Transactions_RAW_cleaned[[#This Row],[ServiceID]],Transactions_RAW_cleaned[[#This Row],[ServiceID]])=1,"Yes","No")</f>
        <v>No</v>
      </c>
      <c r="S210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08" t="str">
        <f>"Q"&amp;ROUNDUP(MONTH(Transactions_RAW_cleaned[[#This Row],[TransactionDate]])/3,0)</f>
        <v>Q2</v>
      </c>
      <c r="U2108" t="str">
        <f>Transactions_RAW_cleaned[[#This Row],[Region ]]&amp;Transactions_RAW_cleaned[[#This Row],[Quarter ]]</f>
        <v>NAQ2</v>
      </c>
      <c r="V2108" s="5">
        <f>_xlfn.XLOOKUP(Transactions_RAW_cleaned[[#This Row],[RegionQuarterKey]], Quarterly_Targets_cleaned[RegionQuarterKey], Quarterly_Targets_cleaned[TargetRevenue])</f>
        <v>260000</v>
      </c>
    </row>
    <row r="2109" spans="1:22" x14ac:dyDescent="0.25">
      <c r="A2109" t="s">
        <v>2446</v>
      </c>
      <c r="B2109" s="1">
        <v>45357</v>
      </c>
      <c r="C2109" t="s">
        <v>109</v>
      </c>
      <c r="D2109" t="s">
        <v>306</v>
      </c>
      <c r="E2109">
        <v>193.14</v>
      </c>
      <c r="F2109" t="s">
        <v>324</v>
      </c>
      <c r="G2109" t="s">
        <v>327</v>
      </c>
      <c r="I2109" t="s">
        <v>8</v>
      </c>
      <c r="J2109" t="s">
        <v>102</v>
      </c>
      <c r="K2109" t="s">
        <v>18</v>
      </c>
      <c r="L2109" t="s">
        <v>307</v>
      </c>
      <c r="M2109" t="s">
        <v>308</v>
      </c>
      <c r="N2109">
        <v>0</v>
      </c>
      <c r="O2109" t="str">
        <f>IF(Transactions_RAW_cleaned[[#This Row],[Status]]="Completed", IFERROR(_xlfn.XLOOKUP(Transactions_RAW_cleaned[[#This Row],[CustomerID]], Customers_cleaned[CustomerID], Customers_cleaned[Segment]), "Customer Not Found"), "N/A")</f>
        <v>SMB</v>
      </c>
      <c r="P2109" s="5" t="str">
        <f>IF(Transactions_RAW_cleaned[[#This Row],[Status]]="Refunded", "Refund",
  IF(Transactions_RAW_cleaned[[#This Row],[Category]]="Payments", IF(Transactions_RAW_cleaned[[#This Row],[Amount]]&gt;500,"High Value","Standard"),
    IF(Transactions_RAW_cleaned[[#This Row],[Amount]]&gt;250,"High Value","Standard")))</f>
        <v>Standard</v>
      </c>
      <c r="Q2109" s="5" t="str">
        <f>IF(Transactions_RAW_cleaned[[#This Row],[Amount]] &gt; (_xlfn.XLOOKUP(Transactions_RAW_cleaned[[#This Row],[ServiceID]],Services_cleaned[ServiceID],Services_cleaned[TransactionFeePct]) * 10000), "Yes", "No")</f>
        <v>Yes</v>
      </c>
      <c r="R2109" s="5" t="str">
        <f>IF(COUNTIFS($C$2:Transactions_RAW_cleaned[[#This Row],[CustomerID]],Transactions_RAW_cleaned[[#This Row],[CustomerID]],$D$2:Transactions_RAW_cleaned[[#This Row],[ServiceID]],Transactions_RAW_cleaned[[#This Row],[ServiceID]])=1,"Yes","No")</f>
        <v>No</v>
      </c>
      <c r="S210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09" t="str">
        <f>"Q"&amp;ROUNDUP(MONTH(Transactions_RAW_cleaned[[#This Row],[TransactionDate]])/3,0)</f>
        <v>Q1</v>
      </c>
      <c r="U2109" t="str">
        <f>Transactions_RAW_cleaned[[#This Row],[Region ]]&amp;Transactions_RAW_cleaned[[#This Row],[Quarter ]]</f>
        <v>NAQ1</v>
      </c>
      <c r="V2109" s="5">
        <f>_xlfn.XLOOKUP(Transactions_RAW_cleaned[[#This Row],[RegionQuarterKey]], Quarterly_Targets_cleaned[RegionQuarterKey], Quarterly_Targets_cleaned[TargetRevenue])</f>
        <v>247000</v>
      </c>
    </row>
    <row r="2110" spans="1:22" x14ac:dyDescent="0.25">
      <c r="A2110" t="s">
        <v>2447</v>
      </c>
      <c r="B2110" s="1">
        <v>45429</v>
      </c>
      <c r="C2110" t="s">
        <v>263</v>
      </c>
      <c r="D2110" t="s">
        <v>300</v>
      </c>
      <c r="E2110">
        <v>122.55</v>
      </c>
      <c r="F2110" t="s">
        <v>324</v>
      </c>
      <c r="G2110" t="s">
        <v>2963</v>
      </c>
      <c r="H2110" t="s">
        <v>334</v>
      </c>
      <c r="I2110" t="s">
        <v>8</v>
      </c>
      <c r="J2110" t="s">
        <v>102</v>
      </c>
      <c r="K2110" t="s">
        <v>32</v>
      </c>
      <c r="L2110" t="s">
        <v>301</v>
      </c>
      <c r="M2110" t="s">
        <v>302</v>
      </c>
      <c r="N2110">
        <v>5.0000000000000001E-3</v>
      </c>
      <c r="O2110" t="str">
        <f>IF(Transactions_RAW_cleaned[[#This Row],[Status]]="Completed", IFERROR(_xlfn.XLOOKUP(Transactions_RAW_cleaned[[#This Row],[CustomerID]], Customers_cleaned[CustomerID], Customers_cleaned[Segment]), "Customer Not Found"), "N/A")</f>
        <v>SMB</v>
      </c>
      <c r="P2110" s="5" t="str">
        <f>IF(Transactions_RAW_cleaned[[#This Row],[Status]]="Refunded", "Refund",
  IF(Transactions_RAW_cleaned[[#This Row],[Category]]="Payments", IF(Transactions_RAW_cleaned[[#This Row],[Amount]]&gt;500,"High Value","Standard"),
    IF(Transactions_RAW_cleaned[[#This Row],[Amount]]&gt;250,"High Value","Standard")))</f>
        <v>Standard</v>
      </c>
      <c r="Q2110" s="5" t="str">
        <f>IF(Transactions_RAW_cleaned[[#This Row],[Amount]] &gt; (_xlfn.XLOOKUP(Transactions_RAW_cleaned[[#This Row],[ServiceID]],Services_cleaned[ServiceID],Services_cleaned[TransactionFeePct]) * 10000), "Yes", "No")</f>
        <v>Yes</v>
      </c>
      <c r="R2110" s="5" t="str">
        <f>IF(COUNTIFS($C$2:Transactions_RAW_cleaned[[#This Row],[CustomerID]],Transactions_RAW_cleaned[[#This Row],[CustomerID]],$D$2:Transactions_RAW_cleaned[[#This Row],[ServiceID]],Transactions_RAW_cleaned[[#This Row],[ServiceID]])=1,"Yes","No")</f>
        <v>Yes</v>
      </c>
      <c r="S211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10" t="str">
        <f>"Q"&amp;ROUNDUP(MONTH(Transactions_RAW_cleaned[[#This Row],[TransactionDate]])/3,0)</f>
        <v>Q2</v>
      </c>
      <c r="U2110" t="str">
        <f>Transactions_RAW_cleaned[[#This Row],[Region ]]&amp;Transactions_RAW_cleaned[[#This Row],[Quarter ]]</f>
        <v>NAQ2</v>
      </c>
      <c r="V2110" s="5">
        <f>_xlfn.XLOOKUP(Transactions_RAW_cleaned[[#This Row],[RegionQuarterKey]], Quarterly_Targets_cleaned[RegionQuarterKey], Quarterly_Targets_cleaned[TargetRevenue])</f>
        <v>260000</v>
      </c>
    </row>
    <row r="2111" spans="1:22" x14ac:dyDescent="0.25">
      <c r="A2111" t="s">
        <v>2448</v>
      </c>
      <c r="B2111" s="1">
        <v>45632</v>
      </c>
      <c r="C2111" t="s">
        <v>259</v>
      </c>
      <c r="D2111" t="s">
        <v>309</v>
      </c>
      <c r="E2111">
        <v>142.24</v>
      </c>
      <c r="F2111" t="s">
        <v>381</v>
      </c>
      <c r="G2111" t="s">
        <v>329</v>
      </c>
      <c r="H2111" t="s">
        <v>332</v>
      </c>
      <c r="I2111" t="s">
        <v>8</v>
      </c>
      <c r="J2111" t="s">
        <v>31</v>
      </c>
      <c r="K2111" t="s">
        <v>22</v>
      </c>
      <c r="L2111" t="s">
        <v>310</v>
      </c>
      <c r="M2111" t="s">
        <v>311</v>
      </c>
      <c r="N2111">
        <v>0</v>
      </c>
      <c r="O2111" t="str">
        <f>IF(Transactions_RAW_cleaned[[#This Row],[Status]]="Completed", IFERROR(_xlfn.XLOOKUP(Transactions_RAW_cleaned[[#This Row],[CustomerID]], Customers_cleaned[CustomerID], Customers_cleaned[Segment]), "Customer Not Found"), "N/A")</f>
        <v>N/A</v>
      </c>
      <c r="P2111" s="5" t="str">
        <f>IF(Transactions_RAW_cleaned[[#This Row],[Status]]="Refunded", "Refund",
  IF(Transactions_RAW_cleaned[[#This Row],[Category]]="Payments", IF(Transactions_RAW_cleaned[[#This Row],[Amount]]&gt;500,"High Value","Standard"),
    IF(Transactions_RAW_cleaned[[#This Row],[Amount]]&gt;250,"High Value","Standard")))</f>
        <v>Standard</v>
      </c>
      <c r="Q2111" s="5" t="str">
        <f>IF(Transactions_RAW_cleaned[[#This Row],[Amount]] &gt; (_xlfn.XLOOKUP(Transactions_RAW_cleaned[[#This Row],[ServiceID]],Services_cleaned[ServiceID],Services_cleaned[TransactionFeePct]) * 10000), "Yes", "No")</f>
        <v>Yes</v>
      </c>
      <c r="R2111" s="5" t="str">
        <f>IF(COUNTIFS($C$2:Transactions_RAW_cleaned[[#This Row],[CustomerID]],Transactions_RAW_cleaned[[#This Row],[CustomerID]],$D$2:Transactions_RAW_cleaned[[#This Row],[ServiceID]],Transactions_RAW_cleaned[[#This Row],[ServiceID]])=1,"Yes","No")</f>
        <v>No</v>
      </c>
      <c r="S211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111" t="str">
        <f>"Q"&amp;ROUNDUP(MONTH(Transactions_RAW_cleaned[[#This Row],[TransactionDate]])/3,0)</f>
        <v>Q4</v>
      </c>
      <c r="U2111" t="str">
        <f>Transactions_RAW_cleaned[[#This Row],[Region ]]&amp;Transactions_RAW_cleaned[[#This Row],[Quarter ]]</f>
        <v>EMEAQ4</v>
      </c>
      <c r="V2111" s="5">
        <f>_xlfn.XLOOKUP(Transactions_RAW_cleaned[[#This Row],[RegionQuarterKey]], Quarterly_Targets_cleaned[RegionQuarterKey], Quarterly_Targets_cleaned[TargetRevenue])</f>
        <v>161000</v>
      </c>
    </row>
    <row r="2112" spans="1:22" x14ac:dyDescent="0.25">
      <c r="A2112" t="s">
        <v>2449</v>
      </c>
      <c r="B2112" s="1">
        <v>45639</v>
      </c>
      <c r="C2112" t="s">
        <v>173</v>
      </c>
      <c r="D2112" t="s">
        <v>303</v>
      </c>
      <c r="E2112">
        <v>283.27</v>
      </c>
      <c r="F2112" t="s">
        <v>324</v>
      </c>
      <c r="G2112" t="s">
        <v>325</v>
      </c>
      <c r="H2112" t="s">
        <v>334</v>
      </c>
      <c r="I2112" t="s">
        <v>8</v>
      </c>
      <c r="J2112" t="s">
        <v>46</v>
      </c>
      <c r="K2112" t="s">
        <v>32</v>
      </c>
      <c r="L2112" t="s">
        <v>304</v>
      </c>
      <c r="M2112" t="s">
        <v>305</v>
      </c>
      <c r="N2112">
        <v>1E-3</v>
      </c>
      <c r="O2112" t="str">
        <f>IF(Transactions_RAW_cleaned[[#This Row],[Status]]="Completed", IFERROR(_xlfn.XLOOKUP(Transactions_RAW_cleaned[[#This Row],[CustomerID]], Customers_cleaned[CustomerID], Customers_cleaned[Segment]), "Customer Not Found"), "N/A")</f>
        <v>SMB</v>
      </c>
      <c r="P2112" s="5" t="str">
        <f>IF(Transactions_RAW_cleaned[[#This Row],[Status]]="Refunded", "Refund",
  IF(Transactions_RAW_cleaned[[#This Row],[Category]]="Payments", IF(Transactions_RAW_cleaned[[#This Row],[Amount]]&gt;500,"High Value","Standard"),
    IF(Transactions_RAW_cleaned[[#This Row],[Amount]]&gt;250,"High Value","Standard")))</f>
        <v>High Value</v>
      </c>
      <c r="Q2112" s="5" t="str">
        <f>IF(Transactions_RAW_cleaned[[#This Row],[Amount]] &gt; (_xlfn.XLOOKUP(Transactions_RAW_cleaned[[#This Row],[ServiceID]],Services_cleaned[ServiceID],Services_cleaned[TransactionFeePct]) * 10000), "Yes", "No")</f>
        <v>Yes</v>
      </c>
      <c r="R2112" s="5" t="str">
        <f>IF(COUNTIFS($C$2:Transactions_RAW_cleaned[[#This Row],[CustomerID]],Transactions_RAW_cleaned[[#This Row],[CustomerID]],$D$2:Transactions_RAW_cleaned[[#This Row],[ServiceID]],Transactions_RAW_cleaned[[#This Row],[ServiceID]])=1,"Yes","No")</f>
        <v>No</v>
      </c>
      <c r="S211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12" t="str">
        <f>"Q"&amp;ROUNDUP(MONTH(Transactions_RAW_cleaned[[#This Row],[TransactionDate]])/3,0)</f>
        <v>Q4</v>
      </c>
      <c r="U2112" t="str">
        <f>Transactions_RAW_cleaned[[#This Row],[Region ]]&amp;Transactions_RAW_cleaned[[#This Row],[Quarter ]]</f>
        <v>APACQ4</v>
      </c>
      <c r="V2112" s="5">
        <f>_xlfn.XLOOKUP(Transactions_RAW_cleaned[[#This Row],[RegionQuarterKey]], Quarterly_Targets_cleaned[RegionQuarterKey], Quarterly_Targets_cleaned[TargetRevenue])</f>
        <v>126500</v>
      </c>
    </row>
    <row r="2113" spans="1:22" x14ac:dyDescent="0.25">
      <c r="A2113" t="s">
        <v>2450</v>
      </c>
      <c r="B2113" s="1">
        <v>45332</v>
      </c>
      <c r="C2113" t="s">
        <v>90</v>
      </c>
      <c r="D2113" t="s">
        <v>312</v>
      </c>
      <c r="E2113">
        <v>1204.7</v>
      </c>
      <c r="F2113" t="s">
        <v>324</v>
      </c>
      <c r="G2113" t="s">
        <v>329</v>
      </c>
      <c r="H2113" t="s">
        <v>346</v>
      </c>
      <c r="I2113" t="s">
        <v>8</v>
      </c>
      <c r="J2113" t="s">
        <v>102</v>
      </c>
      <c r="K2113" t="s">
        <v>28</v>
      </c>
      <c r="L2113" t="s">
        <v>313</v>
      </c>
      <c r="M2113" t="s">
        <v>314</v>
      </c>
      <c r="N2113">
        <v>0</v>
      </c>
      <c r="O2113" t="str">
        <f>IF(Transactions_RAW_cleaned[[#This Row],[Status]]="Completed", IFERROR(_xlfn.XLOOKUP(Transactions_RAW_cleaned[[#This Row],[CustomerID]], Customers_cleaned[CustomerID], Customers_cleaned[Segment]), "Customer Not Found"), "N/A")</f>
        <v>SMB</v>
      </c>
      <c r="P2113" s="5" t="str">
        <f>IF(Transactions_RAW_cleaned[[#This Row],[Status]]="Refunded", "Refund",
  IF(Transactions_RAW_cleaned[[#This Row],[Category]]="Payments", IF(Transactions_RAW_cleaned[[#This Row],[Amount]]&gt;500,"High Value","Standard"),
    IF(Transactions_RAW_cleaned[[#This Row],[Amount]]&gt;250,"High Value","Standard")))</f>
        <v>High Value</v>
      </c>
      <c r="Q2113" s="5" t="str">
        <f>IF(Transactions_RAW_cleaned[[#This Row],[Amount]] &gt; (_xlfn.XLOOKUP(Transactions_RAW_cleaned[[#This Row],[ServiceID]],Services_cleaned[ServiceID],Services_cleaned[TransactionFeePct]) * 10000), "Yes", "No")</f>
        <v>Yes</v>
      </c>
      <c r="R2113" s="5" t="str">
        <f>IF(COUNTIFS($C$2:Transactions_RAW_cleaned[[#This Row],[CustomerID]],Transactions_RAW_cleaned[[#This Row],[CustomerID]],$D$2:Transactions_RAW_cleaned[[#This Row],[ServiceID]],Transactions_RAW_cleaned[[#This Row],[ServiceID]])=1,"Yes","No")</f>
        <v>No</v>
      </c>
      <c r="S211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13" t="str">
        <f>"Q"&amp;ROUNDUP(MONTH(Transactions_RAW_cleaned[[#This Row],[TransactionDate]])/3,0)</f>
        <v>Q1</v>
      </c>
      <c r="U2113" t="str">
        <f>Transactions_RAW_cleaned[[#This Row],[Region ]]&amp;Transactions_RAW_cleaned[[#This Row],[Quarter ]]</f>
        <v>NAQ1</v>
      </c>
      <c r="V2113" s="5">
        <f>_xlfn.XLOOKUP(Transactions_RAW_cleaned[[#This Row],[RegionQuarterKey]], Quarterly_Targets_cleaned[RegionQuarterKey], Quarterly_Targets_cleaned[TargetRevenue])</f>
        <v>247000</v>
      </c>
    </row>
    <row r="2114" spans="1:22" x14ac:dyDescent="0.25">
      <c r="A2114" t="s">
        <v>2451</v>
      </c>
      <c r="B2114" s="1">
        <v>45492</v>
      </c>
      <c r="C2114" t="s">
        <v>277</v>
      </c>
      <c r="D2114" t="s">
        <v>294</v>
      </c>
      <c r="E2114">
        <v>252.88</v>
      </c>
      <c r="F2114" t="s">
        <v>324</v>
      </c>
      <c r="G2114" t="s">
        <v>337</v>
      </c>
      <c r="H2114" t="s">
        <v>346</v>
      </c>
      <c r="I2114" t="s">
        <v>8</v>
      </c>
      <c r="J2114" t="s">
        <v>31</v>
      </c>
      <c r="K2114" t="s">
        <v>22</v>
      </c>
      <c r="L2114" t="s">
        <v>295</v>
      </c>
      <c r="M2114" t="s">
        <v>296</v>
      </c>
      <c r="N2114">
        <v>2.9000000000000001E-2</v>
      </c>
      <c r="O2114" t="str">
        <f>IF(Transactions_RAW_cleaned[[#This Row],[Status]]="Completed", IFERROR(_xlfn.XLOOKUP(Transactions_RAW_cleaned[[#This Row],[CustomerID]], Customers_cleaned[CustomerID], Customers_cleaned[Segment]), "Customer Not Found"), "N/A")</f>
        <v>SMB</v>
      </c>
      <c r="P2114" s="5" t="str">
        <f>IF(Transactions_RAW_cleaned[[#This Row],[Status]]="Refunded", "Refund",
  IF(Transactions_RAW_cleaned[[#This Row],[Category]]="Payments", IF(Transactions_RAW_cleaned[[#This Row],[Amount]]&gt;500,"High Value","Standard"),
    IF(Transactions_RAW_cleaned[[#This Row],[Amount]]&gt;250,"High Value","Standard")))</f>
        <v>Standard</v>
      </c>
      <c r="Q2114" s="5" t="str">
        <f>IF(Transactions_RAW_cleaned[[#This Row],[Amount]] &gt; (_xlfn.XLOOKUP(Transactions_RAW_cleaned[[#This Row],[ServiceID]],Services_cleaned[ServiceID],Services_cleaned[TransactionFeePct]) * 10000), "Yes", "No")</f>
        <v>No</v>
      </c>
      <c r="R2114" s="5" t="str">
        <f>IF(COUNTIFS($C$2:Transactions_RAW_cleaned[[#This Row],[CustomerID]],Transactions_RAW_cleaned[[#This Row],[CustomerID]],$D$2:Transactions_RAW_cleaned[[#This Row],[ServiceID]],Transactions_RAW_cleaned[[#This Row],[ServiceID]])=1,"Yes","No")</f>
        <v>No</v>
      </c>
      <c r="S211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114" t="str">
        <f>"Q"&amp;ROUNDUP(MONTH(Transactions_RAW_cleaned[[#This Row],[TransactionDate]])/3,0)</f>
        <v>Q3</v>
      </c>
      <c r="U2114" t="str">
        <f>Transactions_RAW_cleaned[[#This Row],[Region ]]&amp;Transactions_RAW_cleaned[[#This Row],[Quarter ]]</f>
        <v>EMEAQ3</v>
      </c>
      <c r="V2114" s="5">
        <f>_xlfn.XLOOKUP(Transactions_RAW_cleaned[[#This Row],[RegionQuarterKey]], Quarterly_Targets_cleaned[RegionQuarterKey], Quarterly_Targets_cleaned[TargetRevenue])</f>
        <v>147000</v>
      </c>
    </row>
    <row r="2115" spans="1:22" x14ac:dyDescent="0.25">
      <c r="A2115" t="s">
        <v>2452</v>
      </c>
      <c r="B2115" s="1">
        <v>45332</v>
      </c>
      <c r="C2115" t="s">
        <v>253</v>
      </c>
      <c r="D2115" t="s">
        <v>294</v>
      </c>
      <c r="E2115">
        <v>1024.6199999999999</v>
      </c>
      <c r="F2115" t="s">
        <v>324</v>
      </c>
      <c r="G2115" t="s">
        <v>327</v>
      </c>
      <c r="H2115" t="s">
        <v>332</v>
      </c>
      <c r="I2115" t="s">
        <v>8</v>
      </c>
      <c r="J2115" t="s">
        <v>102</v>
      </c>
      <c r="K2115" t="s">
        <v>28</v>
      </c>
      <c r="L2115" t="s">
        <v>295</v>
      </c>
      <c r="M2115" t="s">
        <v>296</v>
      </c>
      <c r="N2115">
        <v>2.9000000000000001E-2</v>
      </c>
      <c r="O2115" t="str">
        <f>IF(Transactions_RAW_cleaned[[#This Row],[Status]]="Completed", IFERROR(_xlfn.XLOOKUP(Transactions_RAW_cleaned[[#This Row],[CustomerID]], Customers_cleaned[CustomerID], Customers_cleaned[Segment]), "Customer Not Found"), "N/A")</f>
        <v>SMB</v>
      </c>
      <c r="P2115" s="5" t="str">
        <f>IF(Transactions_RAW_cleaned[[#This Row],[Status]]="Refunded", "Refund",
  IF(Transactions_RAW_cleaned[[#This Row],[Category]]="Payments", IF(Transactions_RAW_cleaned[[#This Row],[Amount]]&gt;500,"High Value","Standard"),
    IF(Transactions_RAW_cleaned[[#This Row],[Amount]]&gt;250,"High Value","Standard")))</f>
        <v>High Value</v>
      </c>
      <c r="Q2115" s="5" t="str">
        <f>IF(Transactions_RAW_cleaned[[#This Row],[Amount]] &gt; (_xlfn.XLOOKUP(Transactions_RAW_cleaned[[#This Row],[ServiceID]],Services_cleaned[ServiceID],Services_cleaned[TransactionFeePct]) * 10000), "Yes", "No")</f>
        <v>Yes</v>
      </c>
      <c r="R2115" s="5" t="str">
        <f>IF(COUNTIFS($C$2:Transactions_RAW_cleaned[[#This Row],[CustomerID]],Transactions_RAW_cleaned[[#This Row],[CustomerID]],$D$2:Transactions_RAW_cleaned[[#This Row],[ServiceID]],Transactions_RAW_cleaned[[#This Row],[ServiceID]])=1,"Yes","No")</f>
        <v>No</v>
      </c>
      <c r="S211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15" t="str">
        <f>"Q"&amp;ROUNDUP(MONTH(Transactions_RAW_cleaned[[#This Row],[TransactionDate]])/3,0)</f>
        <v>Q1</v>
      </c>
      <c r="U2115" t="str">
        <f>Transactions_RAW_cleaned[[#This Row],[Region ]]&amp;Transactions_RAW_cleaned[[#This Row],[Quarter ]]</f>
        <v>NAQ1</v>
      </c>
      <c r="V2115" s="5">
        <f>_xlfn.XLOOKUP(Transactions_RAW_cleaned[[#This Row],[RegionQuarterKey]], Quarterly_Targets_cleaned[RegionQuarterKey], Quarterly_Targets_cleaned[TargetRevenue])</f>
        <v>247000</v>
      </c>
    </row>
    <row r="2116" spans="1:22" x14ac:dyDescent="0.25">
      <c r="A2116" t="s">
        <v>2453</v>
      </c>
      <c r="B2116" s="1">
        <v>45339</v>
      </c>
      <c r="C2116" t="s">
        <v>217</v>
      </c>
      <c r="D2116" t="s">
        <v>300</v>
      </c>
      <c r="E2116">
        <v>334.89</v>
      </c>
      <c r="F2116" t="s">
        <v>324</v>
      </c>
      <c r="G2116" t="s">
        <v>327</v>
      </c>
      <c r="I2116" t="s">
        <v>17</v>
      </c>
      <c r="J2116" t="s">
        <v>102</v>
      </c>
      <c r="K2116" t="s">
        <v>14</v>
      </c>
      <c r="L2116" t="s">
        <v>301</v>
      </c>
      <c r="M2116" t="s">
        <v>302</v>
      </c>
      <c r="N2116">
        <v>5.0000000000000001E-3</v>
      </c>
      <c r="O2116" t="str">
        <f>IF(Transactions_RAW_cleaned[[#This Row],[Status]]="Completed", IFERROR(_xlfn.XLOOKUP(Transactions_RAW_cleaned[[#This Row],[CustomerID]], Customers_cleaned[CustomerID], Customers_cleaned[Segment]), "Customer Not Found"), "N/A")</f>
        <v>Enterprise</v>
      </c>
      <c r="P2116" s="5" t="str">
        <f>IF(Transactions_RAW_cleaned[[#This Row],[Status]]="Refunded", "Refund",
  IF(Transactions_RAW_cleaned[[#This Row],[Category]]="Payments", IF(Transactions_RAW_cleaned[[#This Row],[Amount]]&gt;500,"High Value","Standard"),
    IF(Transactions_RAW_cleaned[[#This Row],[Amount]]&gt;250,"High Value","Standard")))</f>
        <v>High Value</v>
      </c>
      <c r="Q2116" s="5" t="str">
        <f>IF(Transactions_RAW_cleaned[[#This Row],[Amount]] &gt; (_xlfn.XLOOKUP(Transactions_RAW_cleaned[[#This Row],[ServiceID]],Services_cleaned[ServiceID],Services_cleaned[TransactionFeePct]) * 10000), "Yes", "No")</f>
        <v>Yes</v>
      </c>
      <c r="R2116" s="5" t="str">
        <f>IF(COUNTIFS($C$2:Transactions_RAW_cleaned[[#This Row],[CustomerID]],Transactions_RAW_cleaned[[#This Row],[CustomerID]],$D$2:Transactions_RAW_cleaned[[#This Row],[ServiceID]],Transactions_RAW_cleaned[[#This Row],[ServiceID]])=1,"Yes","No")</f>
        <v>No</v>
      </c>
      <c r="S211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16" t="str">
        <f>"Q"&amp;ROUNDUP(MONTH(Transactions_RAW_cleaned[[#This Row],[TransactionDate]])/3,0)</f>
        <v>Q1</v>
      </c>
      <c r="U2116" t="str">
        <f>Transactions_RAW_cleaned[[#This Row],[Region ]]&amp;Transactions_RAW_cleaned[[#This Row],[Quarter ]]</f>
        <v>NAQ1</v>
      </c>
      <c r="V2116" s="5">
        <f>_xlfn.XLOOKUP(Transactions_RAW_cleaned[[#This Row],[RegionQuarterKey]], Quarterly_Targets_cleaned[RegionQuarterKey], Quarterly_Targets_cleaned[TargetRevenue])</f>
        <v>247000</v>
      </c>
    </row>
    <row r="2117" spans="1:22" x14ac:dyDescent="0.25">
      <c r="A2117" t="s">
        <v>2454</v>
      </c>
      <c r="B2117" s="1">
        <v>45520</v>
      </c>
      <c r="C2117" t="s">
        <v>167</v>
      </c>
      <c r="D2117" t="s">
        <v>297</v>
      </c>
      <c r="E2117">
        <v>332.51</v>
      </c>
      <c r="F2117" t="s">
        <v>324</v>
      </c>
      <c r="G2117" t="s">
        <v>325</v>
      </c>
      <c r="H2117" t="s">
        <v>346</v>
      </c>
      <c r="I2117" t="s">
        <v>17</v>
      </c>
      <c r="J2117" t="s">
        <v>13</v>
      </c>
      <c r="K2117" t="s">
        <v>10</v>
      </c>
      <c r="L2117" t="s">
        <v>298</v>
      </c>
      <c r="M2117" t="s">
        <v>299</v>
      </c>
      <c r="N2117">
        <v>0</v>
      </c>
      <c r="O2117" t="str">
        <f>IF(Transactions_RAW_cleaned[[#This Row],[Status]]="Completed", IFERROR(_xlfn.XLOOKUP(Transactions_RAW_cleaned[[#This Row],[CustomerID]], Customers_cleaned[CustomerID], Customers_cleaned[Segment]), "Customer Not Found"), "N/A")</f>
        <v>Enterprise</v>
      </c>
      <c r="P2117" s="5" t="str">
        <f>IF(Transactions_RAW_cleaned[[#This Row],[Status]]="Refunded", "Refund",
  IF(Transactions_RAW_cleaned[[#This Row],[Category]]="Payments", IF(Transactions_RAW_cleaned[[#This Row],[Amount]]&gt;500,"High Value","Standard"),
    IF(Transactions_RAW_cleaned[[#This Row],[Amount]]&gt;250,"High Value","Standard")))</f>
        <v>High Value</v>
      </c>
      <c r="Q2117" s="5" t="str">
        <f>IF(Transactions_RAW_cleaned[[#This Row],[Amount]] &gt; (_xlfn.XLOOKUP(Transactions_RAW_cleaned[[#This Row],[ServiceID]],Services_cleaned[ServiceID],Services_cleaned[TransactionFeePct]) * 10000), "Yes", "No")</f>
        <v>Yes</v>
      </c>
      <c r="R2117" s="5" t="str">
        <f>IF(COUNTIFS($C$2:Transactions_RAW_cleaned[[#This Row],[CustomerID]],Transactions_RAW_cleaned[[#This Row],[CustomerID]],$D$2:Transactions_RAW_cleaned[[#This Row],[ServiceID]],Transactions_RAW_cleaned[[#This Row],[ServiceID]])=1,"Yes","No")</f>
        <v>No</v>
      </c>
      <c r="S211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17" t="str">
        <f>"Q"&amp;ROUNDUP(MONTH(Transactions_RAW_cleaned[[#This Row],[TransactionDate]])/3,0)</f>
        <v>Q3</v>
      </c>
      <c r="U2117" t="str">
        <f>Transactions_RAW_cleaned[[#This Row],[Region ]]&amp;Transactions_RAW_cleaned[[#This Row],[Quarter ]]</f>
        <v>NAQ3</v>
      </c>
      <c r="V2117" s="5">
        <f>_xlfn.XLOOKUP(Transactions_RAW_cleaned[[#This Row],[RegionQuarterKey]], Quarterly_Targets_cleaned[RegionQuarterKey], Quarterly_Targets_cleaned[TargetRevenue])</f>
        <v>273000</v>
      </c>
    </row>
    <row r="2118" spans="1:22" x14ac:dyDescent="0.25">
      <c r="A2118" t="s">
        <v>2455</v>
      </c>
      <c r="B2118" s="1">
        <v>45640</v>
      </c>
      <c r="C2118" t="s">
        <v>143</v>
      </c>
      <c r="D2118" t="s">
        <v>294</v>
      </c>
      <c r="E2118">
        <v>65.52</v>
      </c>
      <c r="F2118" t="s">
        <v>324</v>
      </c>
      <c r="G2118" t="s">
        <v>337</v>
      </c>
      <c r="I2118" t="s">
        <v>8</v>
      </c>
      <c r="J2118" t="s">
        <v>102</v>
      </c>
      <c r="K2118" t="s">
        <v>22</v>
      </c>
      <c r="L2118" t="s">
        <v>295</v>
      </c>
      <c r="M2118" t="s">
        <v>296</v>
      </c>
      <c r="N2118">
        <v>2.9000000000000001E-2</v>
      </c>
      <c r="O2118" t="str">
        <f>IF(Transactions_RAW_cleaned[[#This Row],[Status]]="Completed", IFERROR(_xlfn.XLOOKUP(Transactions_RAW_cleaned[[#This Row],[CustomerID]], Customers_cleaned[CustomerID], Customers_cleaned[Segment]), "Customer Not Found"), "N/A")</f>
        <v>SMB</v>
      </c>
      <c r="P2118" s="5" t="str">
        <f>IF(Transactions_RAW_cleaned[[#This Row],[Status]]="Refunded", "Refund",
  IF(Transactions_RAW_cleaned[[#This Row],[Category]]="Payments", IF(Transactions_RAW_cleaned[[#This Row],[Amount]]&gt;500,"High Value","Standard"),
    IF(Transactions_RAW_cleaned[[#This Row],[Amount]]&gt;250,"High Value","Standard")))</f>
        <v>Standard</v>
      </c>
      <c r="Q2118" s="5" t="str">
        <f>IF(Transactions_RAW_cleaned[[#This Row],[Amount]] &gt; (_xlfn.XLOOKUP(Transactions_RAW_cleaned[[#This Row],[ServiceID]],Services_cleaned[ServiceID],Services_cleaned[TransactionFeePct]) * 10000), "Yes", "No")</f>
        <v>No</v>
      </c>
      <c r="R2118" s="5" t="str">
        <f>IF(COUNTIFS($C$2:Transactions_RAW_cleaned[[#This Row],[CustomerID]],Transactions_RAW_cleaned[[#This Row],[CustomerID]],$D$2:Transactions_RAW_cleaned[[#This Row],[ServiceID]],Transactions_RAW_cleaned[[#This Row],[ServiceID]])=1,"Yes","No")</f>
        <v>No</v>
      </c>
      <c r="S211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18" t="str">
        <f>"Q"&amp;ROUNDUP(MONTH(Transactions_RAW_cleaned[[#This Row],[TransactionDate]])/3,0)</f>
        <v>Q4</v>
      </c>
      <c r="U2118" t="str">
        <f>Transactions_RAW_cleaned[[#This Row],[Region ]]&amp;Transactions_RAW_cleaned[[#This Row],[Quarter ]]</f>
        <v>NAQ4</v>
      </c>
      <c r="V2118" s="5">
        <f>_xlfn.XLOOKUP(Transactions_RAW_cleaned[[#This Row],[RegionQuarterKey]], Quarterly_Targets_cleaned[RegionQuarterKey], Quarterly_Targets_cleaned[TargetRevenue])</f>
        <v>299000</v>
      </c>
    </row>
    <row r="2119" spans="1:22" x14ac:dyDescent="0.25">
      <c r="A2119" t="s">
        <v>2456</v>
      </c>
      <c r="B2119" s="1">
        <v>45363</v>
      </c>
      <c r="C2119" t="s">
        <v>11</v>
      </c>
      <c r="D2119" t="s">
        <v>300</v>
      </c>
      <c r="E2119">
        <v>614.16</v>
      </c>
      <c r="F2119" t="s">
        <v>324</v>
      </c>
      <c r="G2119" t="s">
        <v>327</v>
      </c>
      <c r="I2119" t="s">
        <v>8</v>
      </c>
      <c r="J2119" t="s">
        <v>13</v>
      </c>
      <c r="K2119" t="s">
        <v>14</v>
      </c>
      <c r="L2119" t="s">
        <v>301</v>
      </c>
      <c r="M2119" t="s">
        <v>302</v>
      </c>
      <c r="N2119">
        <v>5.0000000000000001E-3</v>
      </c>
      <c r="O2119" t="str">
        <f>IF(Transactions_RAW_cleaned[[#This Row],[Status]]="Completed", IFERROR(_xlfn.XLOOKUP(Transactions_RAW_cleaned[[#This Row],[CustomerID]], Customers_cleaned[CustomerID], Customers_cleaned[Segment]), "Customer Not Found"), "N/A")</f>
        <v>SMB</v>
      </c>
      <c r="P2119" s="5" t="str">
        <f>IF(Transactions_RAW_cleaned[[#This Row],[Status]]="Refunded", "Refund",
  IF(Transactions_RAW_cleaned[[#This Row],[Category]]="Payments", IF(Transactions_RAW_cleaned[[#This Row],[Amount]]&gt;500,"High Value","Standard"),
    IF(Transactions_RAW_cleaned[[#This Row],[Amount]]&gt;250,"High Value","Standard")))</f>
        <v>High Value</v>
      </c>
      <c r="Q2119" s="5" t="str">
        <f>IF(Transactions_RAW_cleaned[[#This Row],[Amount]] &gt; (_xlfn.XLOOKUP(Transactions_RAW_cleaned[[#This Row],[ServiceID]],Services_cleaned[ServiceID],Services_cleaned[TransactionFeePct]) * 10000), "Yes", "No")</f>
        <v>Yes</v>
      </c>
      <c r="R2119" s="5" t="str">
        <f>IF(COUNTIFS($C$2:Transactions_RAW_cleaned[[#This Row],[CustomerID]],Transactions_RAW_cleaned[[#This Row],[CustomerID]],$D$2:Transactions_RAW_cleaned[[#This Row],[ServiceID]],Transactions_RAW_cleaned[[#This Row],[ServiceID]])=1,"Yes","No")</f>
        <v>No</v>
      </c>
      <c r="S211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19" t="str">
        <f>"Q"&amp;ROUNDUP(MONTH(Transactions_RAW_cleaned[[#This Row],[TransactionDate]])/3,0)</f>
        <v>Q1</v>
      </c>
      <c r="U2119" t="str">
        <f>Transactions_RAW_cleaned[[#This Row],[Region ]]&amp;Transactions_RAW_cleaned[[#This Row],[Quarter ]]</f>
        <v>NAQ1</v>
      </c>
      <c r="V2119" s="5">
        <f>_xlfn.XLOOKUP(Transactions_RAW_cleaned[[#This Row],[RegionQuarterKey]], Quarterly_Targets_cleaned[RegionQuarterKey], Quarterly_Targets_cleaned[TargetRevenue])</f>
        <v>247000</v>
      </c>
    </row>
    <row r="2120" spans="1:22" x14ac:dyDescent="0.25">
      <c r="A2120" t="s">
        <v>2457</v>
      </c>
      <c r="B2120" s="1">
        <v>45380</v>
      </c>
      <c r="C2120" t="s">
        <v>60</v>
      </c>
      <c r="D2120" t="s">
        <v>315</v>
      </c>
      <c r="E2120">
        <v>261.08</v>
      </c>
      <c r="F2120" t="s">
        <v>331</v>
      </c>
      <c r="G2120" t="s">
        <v>327</v>
      </c>
      <c r="I2120" t="s">
        <v>8</v>
      </c>
      <c r="J2120" t="s">
        <v>13</v>
      </c>
      <c r="K2120" t="s">
        <v>14</v>
      </c>
      <c r="L2120" t="s">
        <v>316</v>
      </c>
      <c r="M2120" t="s">
        <v>305</v>
      </c>
      <c r="N2120">
        <v>2.5000000000000001E-3</v>
      </c>
      <c r="O2120" t="str">
        <f>IF(Transactions_RAW_cleaned[[#This Row],[Status]]="Completed", IFERROR(_xlfn.XLOOKUP(Transactions_RAW_cleaned[[#This Row],[CustomerID]], Customers_cleaned[CustomerID], Customers_cleaned[Segment]), "Customer Not Found"), "N/A")</f>
        <v>N/A</v>
      </c>
      <c r="P2120" s="5" t="str">
        <f>IF(Transactions_RAW_cleaned[[#This Row],[Status]]="Refunded", "Refund",
  IF(Transactions_RAW_cleaned[[#This Row],[Category]]="Payments", IF(Transactions_RAW_cleaned[[#This Row],[Amount]]&gt;500,"High Value","Standard"),
    IF(Transactions_RAW_cleaned[[#This Row],[Amount]]&gt;250,"High Value","Standard")))</f>
        <v>High Value</v>
      </c>
      <c r="Q2120" s="5" t="str">
        <f>IF(Transactions_RAW_cleaned[[#This Row],[Amount]] &gt; (_xlfn.XLOOKUP(Transactions_RAW_cleaned[[#This Row],[ServiceID]],Services_cleaned[ServiceID],Services_cleaned[TransactionFeePct]) * 10000), "Yes", "No")</f>
        <v>Yes</v>
      </c>
      <c r="R2120" s="5" t="str">
        <f>IF(COUNTIFS($C$2:Transactions_RAW_cleaned[[#This Row],[CustomerID]],Transactions_RAW_cleaned[[#This Row],[CustomerID]],$D$2:Transactions_RAW_cleaned[[#This Row],[ServiceID]],Transactions_RAW_cleaned[[#This Row],[ServiceID]])=1,"Yes","No")</f>
        <v>Yes</v>
      </c>
      <c r="S212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20" t="str">
        <f>"Q"&amp;ROUNDUP(MONTH(Transactions_RAW_cleaned[[#This Row],[TransactionDate]])/3,0)</f>
        <v>Q1</v>
      </c>
      <c r="U2120" t="str">
        <f>Transactions_RAW_cleaned[[#This Row],[Region ]]&amp;Transactions_RAW_cleaned[[#This Row],[Quarter ]]</f>
        <v>NAQ1</v>
      </c>
      <c r="V2120" s="5">
        <f>_xlfn.XLOOKUP(Transactions_RAW_cleaned[[#This Row],[RegionQuarterKey]], Quarterly_Targets_cleaned[RegionQuarterKey], Quarterly_Targets_cleaned[TargetRevenue])</f>
        <v>247000</v>
      </c>
    </row>
    <row r="2121" spans="1:22" x14ac:dyDescent="0.25">
      <c r="A2121" t="s">
        <v>2458</v>
      </c>
      <c r="B2121" s="1">
        <v>45339</v>
      </c>
      <c r="C2121" t="s">
        <v>203</v>
      </c>
      <c r="D2121" t="s">
        <v>315</v>
      </c>
      <c r="E2121">
        <v>496.06</v>
      </c>
      <c r="F2121" t="s">
        <v>324</v>
      </c>
      <c r="G2121" t="s">
        <v>337</v>
      </c>
      <c r="I2121" t="s">
        <v>57</v>
      </c>
      <c r="J2121" t="s">
        <v>21</v>
      </c>
      <c r="K2121" t="s">
        <v>14</v>
      </c>
      <c r="L2121" t="s">
        <v>316</v>
      </c>
      <c r="M2121" t="s">
        <v>305</v>
      </c>
      <c r="N2121">
        <v>2.5000000000000001E-3</v>
      </c>
      <c r="O2121" t="str">
        <f>IF(Transactions_RAW_cleaned[[#This Row],[Status]]="Completed", IFERROR(_xlfn.XLOOKUP(Transactions_RAW_cleaned[[#This Row],[CustomerID]], Customers_cleaned[CustomerID], Customers_cleaned[Segment]), "Customer Not Found"), "N/A")</f>
        <v>Startup</v>
      </c>
      <c r="P2121" s="5" t="str">
        <f>IF(Transactions_RAW_cleaned[[#This Row],[Status]]="Refunded", "Refund",
  IF(Transactions_RAW_cleaned[[#This Row],[Category]]="Payments", IF(Transactions_RAW_cleaned[[#This Row],[Amount]]&gt;500,"High Value","Standard"),
    IF(Transactions_RAW_cleaned[[#This Row],[Amount]]&gt;250,"High Value","Standard")))</f>
        <v>High Value</v>
      </c>
      <c r="Q2121" s="5" t="str">
        <f>IF(Transactions_RAW_cleaned[[#This Row],[Amount]] &gt; (_xlfn.XLOOKUP(Transactions_RAW_cleaned[[#This Row],[ServiceID]],Services_cleaned[ServiceID],Services_cleaned[TransactionFeePct]) * 10000), "Yes", "No")</f>
        <v>Yes</v>
      </c>
      <c r="R2121" s="5" t="str">
        <f>IF(COUNTIFS($C$2:Transactions_RAW_cleaned[[#This Row],[CustomerID]],Transactions_RAW_cleaned[[#This Row],[CustomerID]],$D$2:Transactions_RAW_cleaned[[#This Row],[ServiceID]],Transactions_RAW_cleaned[[#This Row],[ServiceID]])=1,"Yes","No")</f>
        <v>No</v>
      </c>
      <c r="S212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21" t="str">
        <f>"Q"&amp;ROUNDUP(MONTH(Transactions_RAW_cleaned[[#This Row],[TransactionDate]])/3,0)</f>
        <v>Q1</v>
      </c>
      <c r="U2121" t="str">
        <f>Transactions_RAW_cleaned[[#This Row],[Region ]]&amp;Transactions_RAW_cleaned[[#This Row],[Quarter ]]</f>
        <v>APACQ1</v>
      </c>
      <c r="V2121" s="5">
        <f>_xlfn.XLOOKUP(Transactions_RAW_cleaned[[#This Row],[RegionQuarterKey]], Quarterly_Targets_cleaned[RegionQuarterKey], Quarterly_Targets_cleaned[TargetRevenue])</f>
        <v>104500</v>
      </c>
    </row>
    <row r="2122" spans="1:22" x14ac:dyDescent="0.25">
      <c r="A2122" t="s">
        <v>2459</v>
      </c>
      <c r="B2122" s="1">
        <v>45636</v>
      </c>
      <c r="C2122" t="s">
        <v>143</v>
      </c>
      <c r="D2122" t="s">
        <v>297</v>
      </c>
      <c r="E2122">
        <v>271.33999999999997</v>
      </c>
      <c r="F2122" t="s">
        <v>324</v>
      </c>
      <c r="G2122" t="s">
        <v>337</v>
      </c>
      <c r="H2122" t="s">
        <v>334</v>
      </c>
      <c r="I2122" t="s">
        <v>8</v>
      </c>
      <c r="J2122" t="s">
        <v>102</v>
      </c>
      <c r="K2122" t="s">
        <v>22</v>
      </c>
      <c r="L2122" t="s">
        <v>298</v>
      </c>
      <c r="M2122" t="s">
        <v>299</v>
      </c>
      <c r="N2122">
        <v>0</v>
      </c>
      <c r="O2122" t="str">
        <f>IF(Transactions_RAW_cleaned[[#This Row],[Status]]="Completed", IFERROR(_xlfn.XLOOKUP(Transactions_RAW_cleaned[[#This Row],[CustomerID]], Customers_cleaned[CustomerID], Customers_cleaned[Segment]), "Customer Not Found"), "N/A")</f>
        <v>SMB</v>
      </c>
      <c r="P2122" s="5" t="str">
        <f>IF(Transactions_RAW_cleaned[[#This Row],[Status]]="Refunded", "Refund",
  IF(Transactions_RAW_cleaned[[#This Row],[Category]]="Payments", IF(Transactions_RAW_cleaned[[#This Row],[Amount]]&gt;500,"High Value","Standard"),
    IF(Transactions_RAW_cleaned[[#This Row],[Amount]]&gt;250,"High Value","Standard")))</f>
        <v>High Value</v>
      </c>
      <c r="Q2122" s="5" t="str">
        <f>IF(Transactions_RAW_cleaned[[#This Row],[Amount]] &gt; (_xlfn.XLOOKUP(Transactions_RAW_cleaned[[#This Row],[ServiceID]],Services_cleaned[ServiceID],Services_cleaned[TransactionFeePct]) * 10000), "Yes", "No")</f>
        <v>Yes</v>
      </c>
      <c r="R2122" s="5" t="str">
        <f>IF(COUNTIFS($C$2:Transactions_RAW_cleaned[[#This Row],[CustomerID]],Transactions_RAW_cleaned[[#This Row],[CustomerID]],$D$2:Transactions_RAW_cleaned[[#This Row],[ServiceID]],Transactions_RAW_cleaned[[#This Row],[ServiceID]])=1,"Yes","No")</f>
        <v>No</v>
      </c>
      <c r="S212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22" t="str">
        <f>"Q"&amp;ROUNDUP(MONTH(Transactions_RAW_cleaned[[#This Row],[TransactionDate]])/3,0)</f>
        <v>Q4</v>
      </c>
      <c r="U2122" t="str">
        <f>Transactions_RAW_cleaned[[#This Row],[Region ]]&amp;Transactions_RAW_cleaned[[#This Row],[Quarter ]]</f>
        <v>NAQ4</v>
      </c>
      <c r="V2122" s="5">
        <f>_xlfn.XLOOKUP(Transactions_RAW_cleaned[[#This Row],[RegionQuarterKey]], Quarterly_Targets_cleaned[RegionQuarterKey], Quarterly_Targets_cleaned[TargetRevenue])</f>
        <v>299000</v>
      </c>
    </row>
    <row r="2123" spans="1:22" x14ac:dyDescent="0.25">
      <c r="A2123" t="s">
        <v>2460</v>
      </c>
      <c r="B2123" s="1">
        <v>45482</v>
      </c>
      <c r="C2123" t="s">
        <v>66</v>
      </c>
      <c r="D2123" t="s">
        <v>297</v>
      </c>
      <c r="E2123">
        <v>333.21</v>
      </c>
      <c r="F2123" t="s">
        <v>324</v>
      </c>
      <c r="G2123" t="s">
        <v>329</v>
      </c>
      <c r="H2123" t="s">
        <v>332</v>
      </c>
      <c r="I2123" t="s">
        <v>8</v>
      </c>
      <c r="J2123" t="s">
        <v>46</v>
      </c>
      <c r="K2123" t="s">
        <v>10</v>
      </c>
      <c r="L2123" t="s">
        <v>298</v>
      </c>
      <c r="M2123" t="s">
        <v>299</v>
      </c>
      <c r="N2123">
        <v>0</v>
      </c>
      <c r="O2123" t="str">
        <f>IF(Transactions_RAW_cleaned[[#This Row],[Status]]="Completed", IFERROR(_xlfn.XLOOKUP(Transactions_RAW_cleaned[[#This Row],[CustomerID]], Customers_cleaned[CustomerID], Customers_cleaned[Segment]), "Customer Not Found"), "N/A")</f>
        <v>SMB</v>
      </c>
      <c r="P2123" s="5" t="str">
        <f>IF(Transactions_RAW_cleaned[[#This Row],[Status]]="Refunded", "Refund",
  IF(Transactions_RAW_cleaned[[#This Row],[Category]]="Payments", IF(Transactions_RAW_cleaned[[#This Row],[Amount]]&gt;500,"High Value","Standard"),
    IF(Transactions_RAW_cleaned[[#This Row],[Amount]]&gt;250,"High Value","Standard")))</f>
        <v>High Value</v>
      </c>
      <c r="Q2123" s="5" t="str">
        <f>IF(Transactions_RAW_cleaned[[#This Row],[Amount]] &gt; (_xlfn.XLOOKUP(Transactions_RAW_cleaned[[#This Row],[ServiceID]],Services_cleaned[ServiceID],Services_cleaned[TransactionFeePct]) * 10000), "Yes", "No")</f>
        <v>Yes</v>
      </c>
      <c r="R2123" s="5" t="str">
        <f>IF(COUNTIFS($C$2:Transactions_RAW_cleaned[[#This Row],[CustomerID]],Transactions_RAW_cleaned[[#This Row],[CustomerID]],$D$2:Transactions_RAW_cleaned[[#This Row],[ServiceID]],Transactions_RAW_cleaned[[#This Row],[ServiceID]])=1,"Yes","No")</f>
        <v>No</v>
      </c>
      <c r="S212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23" t="str">
        <f>"Q"&amp;ROUNDUP(MONTH(Transactions_RAW_cleaned[[#This Row],[TransactionDate]])/3,0)</f>
        <v>Q3</v>
      </c>
      <c r="U2123" t="str">
        <f>Transactions_RAW_cleaned[[#This Row],[Region ]]&amp;Transactions_RAW_cleaned[[#This Row],[Quarter ]]</f>
        <v>APACQ3</v>
      </c>
      <c r="V2123" s="5">
        <f>_xlfn.XLOOKUP(Transactions_RAW_cleaned[[#This Row],[RegionQuarterKey]], Quarterly_Targets_cleaned[RegionQuarterKey], Quarterly_Targets_cleaned[TargetRevenue])</f>
        <v>115500</v>
      </c>
    </row>
    <row r="2124" spans="1:22" x14ac:dyDescent="0.25">
      <c r="A2124" t="s">
        <v>2461</v>
      </c>
      <c r="B2124" s="1">
        <v>45647</v>
      </c>
      <c r="C2124" t="s">
        <v>251</v>
      </c>
      <c r="D2124" t="s">
        <v>303</v>
      </c>
      <c r="E2124">
        <v>143.66</v>
      </c>
      <c r="F2124" t="s">
        <v>324</v>
      </c>
      <c r="G2124" t="s">
        <v>337</v>
      </c>
      <c r="I2124" t="s">
        <v>17</v>
      </c>
      <c r="J2124" t="s">
        <v>46</v>
      </c>
      <c r="K2124" t="s">
        <v>14</v>
      </c>
      <c r="L2124" t="s">
        <v>304</v>
      </c>
      <c r="M2124" t="s">
        <v>305</v>
      </c>
      <c r="N2124">
        <v>1E-3</v>
      </c>
      <c r="O2124" t="str">
        <f>IF(Transactions_RAW_cleaned[[#This Row],[Status]]="Completed", IFERROR(_xlfn.XLOOKUP(Transactions_RAW_cleaned[[#This Row],[CustomerID]], Customers_cleaned[CustomerID], Customers_cleaned[Segment]), "Customer Not Found"), "N/A")</f>
        <v>Enterprise</v>
      </c>
      <c r="P2124" s="5" t="str">
        <f>IF(Transactions_RAW_cleaned[[#This Row],[Status]]="Refunded", "Refund",
  IF(Transactions_RAW_cleaned[[#This Row],[Category]]="Payments", IF(Transactions_RAW_cleaned[[#This Row],[Amount]]&gt;500,"High Value","Standard"),
    IF(Transactions_RAW_cleaned[[#This Row],[Amount]]&gt;250,"High Value","Standard")))</f>
        <v>Standard</v>
      </c>
      <c r="Q2124" s="5" t="str">
        <f>IF(Transactions_RAW_cleaned[[#This Row],[Amount]] &gt; (_xlfn.XLOOKUP(Transactions_RAW_cleaned[[#This Row],[ServiceID]],Services_cleaned[ServiceID],Services_cleaned[TransactionFeePct]) * 10000), "Yes", "No")</f>
        <v>Yes</v>
      </c>
      <c r="R2124" s="5" t="str">
        <f>IF(COUNTIFS($C$2:Transactions_RAW_cleaned[[#This Row],[CustomerID]],Transactions_RAW_cleaned[[#This Row],[CustomerID]],$D$2:Transactions_RAW_cleaned[[#This Row],[ServiceID]],Transactions_RAW_cleaned[[#This Row],[ServiceID]])=1,"Yes","No")</f>
        <v>No</v>
      </c>
      <c r="S212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24" t="str">
        <f>"Q"&amp;ROUNDUP(MONTH(Transactions_RAW_cleaned[[#This Row],[TransactionDate]])/3,0)</f>
        <v>Q4</v>
      </c>
      <c r="U2124" t="str">
        <f>Transactions_RAW_cleaned[[#This Row],[Region ]]&amp;Transactions_RAW_cleaned[[#This Row],[Quarter ]]</f>
        <v>APACQ4</v>
      </c>
      <c r="V2124" s="5">
        <f>_xlfn.XLOOKUP(Transactions_RAW_cleaned[[#This Row],[RegionQuarterKey]], Quarterly_Targets_cleaned[RegionQuarterKey], Quarterly_Targets_cleaned[TargetRevenue])</f>
        <v>126500</v>
      </c>
    </row>
    <row r="2125" spans="1:22" x14ac:dyDescent="0.25">
      <c r="A2125" t="s">
        <v>2462</v>
      </c>
      <c r="B2125" s="1">
        <v>45608</v>
      </c>
      <c r="C2125" t="s">
        <v>105</v>
      </c>
      <c r="D2125" t="s">
        <v>303</v>
      </c>
      <c r="E2125">
        <v>555.12</v>
      </c>
      <c r="F2125" t="s">
        <v>324</v>
      </c>
      <c r="G2125" t="s">
        <v>329</v>
      </c>
      <c r="H2125" t="s">
        <v>332</v>
      </c>
      <c r="I2125" t="s">
        <v>57</v>
      </c>
      <c r="J2125" t="s">
        <v>102</v>
      </c>
      <c r="K2125" t="s">
        <v>32</v>
      </c>
      <c r="L2125" t="s">
        <v>304</v>
      </c>
      <c r="M2125" t="s">
        <v>305</v>
      </c>
      <c r="N2125">
        <v>1E-3</v>
      </c>
      <c r="O2125" t="str">
        <f>IF(Transactions_RAW_cleaned[[#This Row],[Status]]="Completed", IFERROR(_xlfn.XLOOKUP(Transactions_RAW_cleaned[[#This Row],[CustomerID]], Customers_cleaned[CustomerID], Customers_cleaned[Segment]), "Customer Not Found"), "N/A")</f>
        <v>Startup</v>
      </c>
      <c r="P2125" s="5" t="str">
        <f>IF(Transactions_RAW_cleaned[[#This Row],[Status]]="Refunded", "Refund",
  IF(Transactions_RAW_cleaned[[#This Row],[Category]]="Payments", IF(Transactions_RAW_cleaned[[#This Row],[Amount]]&gt;500,"High Value","Standard"),
    IF(Transactions_RAW_cleaned[[#This Row],[Amount]]&gt;250,"High Value","Standard")))</f>
        <v>High Value</v>
      </c>
      <c r="Q2125" s="5" t="str">
        <f>IF(Transactions_RAW_cleaned[[#This Row],[Amount]] &gt; (_xlfn.XLOOKUP(Transactions_RAW_cleaned[[#This Row],[ServiceID]],Services_cleaned[ServiceID],Services_cleaned[TransactionFeePct]) * 10000), "Yes", "No")</f>
        <v>Yes</v>
      </c>
      <c r="R2125" s="5" t="str">
        <f>IF(COUNTIFS($C$2:Transactions_RAW_cleaned[[#This Row],[CustomerID]],Transactions_RAW_cleaned[[#This Row],[CustomerID]],$D$2:Transactions_RAW_cleaned[[#This Row],[ServiceID]],Transactions_RAW_cleaned[[#This Row],[ServiceID]])=1,"Yes","No")</f>
        <v>No</v>
      </c>
      <c r="S212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25" t="str">
        <f>"Q"&amp;ROUNDUP(MONTH(Transactions_RAW_cleaned[[#This Row],[TransactionDate]])/3,0)</f>
        <v>Q4</v>
      </c>
      <c r="U2125" t="str">
        <f>Transactions_RAW_cleaned[[#This Row],[Region ]]&amp;Transactions_RAW_cleaned[[#This Row],[Quarter ]]</f>
        <v>NAQ4</v>
      </c>
      <c r="V2125" s="5">
        <f>_xlfn.XLOOKUP(Transactions_RAW_cleaned[[#This Row],[RegionQuarterKey]], Quarterly_Targets_cleaned[RegionQuarterKey], Quarterly_Targets_cleaned[TargetRevenue])</f>
        <v>299000</v>
      </c>
    </row>
    <row r="2126" spans="1:22" x14ac:dyDescent="0.25">
      <c r="A2126" t="s">
        <v>2463</v>
      </c>
      <c r="B2126" s="1">
        <v>45492</v>
      </c>
      <c r="C2126" t="s">
        <v>269</v>
      </c>
      <c r="D2126" t="s">
        <v>309</v>
      </c>
      <c r="E2126">
        <v>180.17</v>
      </c>
      <c r="F2126" t="s">
        <v>324</v>
      </c>
      <c r="G2126" t="s">
        <v>325</v>
      </c>
      <c r="I2126" t="s">
        <v>17</v>
      </c>
      <c r="J2126" t="s">
        <v>31</v>
      </c>
      <c r="K2126" t="s">
        <v>32</v>
      </c>
      <c r="L2126" t="s">
        <v>310</v>
      </c>
      <c r="M2126" t="s">
        <v>311</v>
      </c>
      <c r="N2126">
        <v>0</v>
      </c>
      <c r="O2126" t="str">
        <f>IF(Transactions_RAW_cleaned[[#This Row],[Status]]="Completed", IFERROR(_xlfn.XLOOKUP(Transactions_RAW_cleaned[[#This Row],[CustomerID]], Customers_cleaned[CustomerID], Customers_cleaned[Segment]), "Customer Not Found"), "N/A")</f>
        <v>Enterprise</v>
      </c>
      <c r="P2126" s="5" t="str">
        <f>IF(Transactions_RAW_cleaned[[#This Row],[Status]]="Refunded", "Refund",
  IF(Transactions_RAW_cleaned[[#This Row],[Category]]="Payments", IF(Transactions_RAW_cleaned[[#This Row],[Amount]]&gt;500,"High Value","Standard"),
    IF(Transactions_RAW_cleaned[[#This Row],[Amount]]&gt;250,"High Value","Standard")))</f>
        <v>Standard</v>
      </c>
      <c r="Q2126" s="5" t="str">
        <f>IF(Transactions_RAW_cleaned[[#This Row],[Amount]] &gt; (_xlfn.XLOOKUP(Transactions_RAW_cleaned[[#This Row],[ServiceID]],Services_cleaned[ServiceID],Services_cleaned[TransactionFeePct]) * 10000), "Yes", "No")</f>
        <v>Yes</v>
      </c>
      <c r="R2126" s="5" t="str">
        <f>IF(COUNTIFS($C$2:Transactions_RAW_cleaned[[#This Row],[CustomerID]],Transactions_RAW_cleaned[[#This Row],[CustomerID]],$D$2:Transactions_RAW_cleaned[[#This Row],[ServiceID]],Transactions_RAW_cleaned[[#This Row],[ServiceID]])=1,"Yes","No")</f>
        <v>No</v>
      </c>
      <c r="S212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126" t="str">
        <f>"Q"&amp;ROUNDUP(MONTH(Transactions_RAW_cleaned[[#This Row],[TransactionDate]])/3,0)</f>
        <v>Q3</v>
      </c>
      <c r="U2126" t="str">
        <f>Transactions_RAW_cleaned[[#This Row],[Region ]]&amp;Transactions_RAW_cleaned[[#This Row],[Quarter ]]</f>
        <v>EMEAQ3</v>
      </c>
      <c r="V2126" s="5">
        <f>_xlfn.XLOOKUP(Transactions_RAW_cleaned[[#This Row],[RegionQuarterKey]], Quarterly_Targets_cleaned[RegionQuarterKey], Quarterly_Targets_cleaned[TargetRevenue])</f>
        <v>147000</v>
      </c>
    </row>
    <row r="2127" spans="1:22" x14ac:dyDescent="0.25">
      <c r="A2127" t="s">
        <v>2464</v>
      </c>
      <c r="B2127" s="1">
        <v>45415</v>
      </c>
      <c r="C2127" t="s">
        <v>123</v>
      </c>
      <c r="D2127" t="s">
        <v>294</v>
      </c>
      <c r="E2127">
        <v>444.23</v>
      </c>
      <c r="F2127" t="s">
        <v>331</v>
      </c>
      <c r="G2127" t="s">
        <v>325</v>
      </c>
      <c r="I2127" t="s">
        <v>8</v>
      </c>
      <c r="J2127" t="s">
        <v>13</v>
      </c>
      <c r="K2127" t="s">
        <v>32</v>
      </c>
      <c r="L2127" t="s">
        <v>295</v>
      </c>
      <c r="M2127" t="s">
        <v>296</v>
      </c>
      <c r="N2127">
        <v>2.9000000000000001E-2</v>
      </c>
      <c r="O2127" t="str">
        <f>IF(Transactions_RAW_cleaned[[#This Row],[Status]]="Completed", IFERROR(_xlfn.XLOOKUP(Transactions_RAW_cleaned[[#This Row],[CustomerID]], Customers_cleaned[CustomerID], Customers_cleaned[Segment]), "Customer Not Found"), "N/A")</f>
        <v>N/A</v>
      </c>
      <c r="P2127" s="5" t="str">
        <f>IF(Transactions_RAW_cleaned[[#This Row],[Status]]="Refunded", "Refund",
  IF(Transactions_RAW_cleaned[[#This Row],[Category]]="Payments", IF(Transactions_RAW_cleaned[[#This Row],[Amount]]&gt;500,"High Value","Standard"),
    IF(Transactions_RAW_cleaned[[#This Row],[Amount]]&gt;250,"High Value","Standard")))</f>
        <v>Standard</v>
      </c>
      <c r="Q2127" s="5" t="str">
        <f>IF(Transactions_RAW_cleaned[[#This Row],[Amount]] &gt; (_xlfn.XLOOKUP(Transactions_RAW_cleaned[[#This Row],[ServiceID]],Services_cleaned[ServiceID],Services_cleaned[TransactionFeePct]) * 10000), "Yes", "No")</f>
        <v>Yes</v>
      </c>
      <c r="R2127" s="5" t="str">
        <f>IF(COUNTIFS($C$2:Transactions_RAW_cleaned[[#This Row],[CustomerID]],Transactions_RAW_cleaned[[#This Row],[CustomerID]],$D$2:Transactions_RAW_cleaned[[#This Row],[ServiceID]],Transactions_RAW_cleaned[[#This Row],[ServiceID]])=1,"Yes","No")</f>
        <v>No</v>
      </c>
      <c r="S212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27" t="str">
        <f>"Q"&amp;ROUNDUP(MONTH(Transactions_RAW_cleaned[[#This Row],[TransactionDate]])/3,0)</f>
        <v>Q2</v>
      </c>
      <c r="U2127" t="str">
        <f>Transactions_RAW_cleaned[[#This Row],[Region ]]&amp;Transactions_RAW_cleaned[[#This Row],[Quarter ]]</f>
        <v>NAQ2</v>
      </c>
      <c r="V2127" s="5">
        <f>_xlfn.XLOOKUP(Transactions_RAW_cleaned[[#This Row],[RegionQuarterKey]], Quarterly_Targets_cleaned[RegionQuarterKey], Quarterly_Targets_cleaned[TargetRevenue])</f>
        <v>260000</v>
      </c>
    </row>
    <row r="2128" spans="1:22" x14ac:dyDescent="0.25">
      <c r="A2128" t="s">
        <v>2465</v>
      </c>
      <c r="B2128" s="1">
        <v>45316</v>
      </c>
      <c r="C2128" t="s">
        <v>117</v>
      </c>
      <c r="D2128" t="s">
        <v>294</v>
      </c>
      <c r="E2128">
        <v>529.5</v>
      </c>
      <c r="F2128" t="s">
        <v>381</v>
      </c>
      <c r="G2128" t="s">
        <v>325</v>
      </c>
      <c r="I2128" t="s">
        <v>8</v>
      </c>
      <c r="J2128" t="s">
        <v>102</v>
      </c>
      <c r="K2128" t="s">
        <v>14</v>
      </c>
      <c r="L2128" t="s">
        <v>295</v>
      </c>
      <c r="M2128" t="s">
        <v>296</v>
      </c>
      <c r="N2128">
        <v>2.9000000000000001E-2</v>
      </c>
      <c r="O2128" t="str">
        <f>IF(Transactions_RAW_cleaned[[#This Row],[Status]]="Completed", IFERROR(_xlfn.XLOOKUP(Transactions_RAW_cleaned[[#This Row],[CustomerID]], Customers_cleaned[CustomerID], Customers_cleaned[Segment]), "Customer Not Found"), "N/A")</f>
        <v>N/A</v>
      </c>
      <c r="P2128" s="5" t="str">
        <f>IF(Transactions_RAW_cleaned[[#This Row],[Status]]="Refunded", "Refund",
  IF(Transactions_RAW_cleaned[[#This Row],[Category]]="Payments", IF(Transactions_RAW_cleaned[[#This Row],[Amount]]&gt;500,"High Value","Standard"),
    IF(Transactions_RAW_cleaned[[#This Row],[Amount]]&gt;250,"High Value","Standard")))</f>
        <v>High Value</v>
      </c>
      <c r="Q2128" s="5" t="str">
        <f>IF(Transactions_RAW_cleaned[[#This Row],[Amount]] &gt; (_xlfn.XLOOKUP(Transactions_RAW_cleaned[[#This Row],[ServiceID]],Services_cleaned[ServiceID],Services_cleaned[TransactionFeePct]) * 10000), "Yes", "No")</f>
        <v>Yes</v>
      </c>
      <c r="R2128" s="5" t="str">
        <f>IF(COUNTIFS($C$2:Transactions_RAW_cleaned[[#This Row],[CustomerID]],Transactions_RAW_cleaned[[#This Row],[CustomerID]],$D$2:Transactions_RAW_cleaned[[#This Row],[ServiceID]],Transactions_RAW_cleaned[[#This Row],[ServiceID]])=1,"Yes","No")</f>
        <v>No</v>
      </c>
      <c r="S212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28" t="str">
        <f>"Q"&amp;ROUNDUP(MONTH(Transactions_RAW_cleaned[[#This Row],[TransactionDate]])/3,0)</f>
        <v>Q1</v>
      </c>
      <c r="U2128" t="str">
        <f>Transactions_RAW_cleaned[[#This Row],[Region ]]&amp;Transactions_RAW_cleaned[[#This Row],[Quarter ]]</f>
        <v>NAQ1</v>
      </c>
      <c r="V2128" s="5">
        <f>_xlfn.XLOOKUP(Transactions_RAW_cleaned[[#This Row],[RegionQuarterKey]], Quarterly_Targets_cleaned[RegionQuarterKey], Quarterly_Targets_cleaned[TargetRevenue])</f>
        <v>247000</v>
      </c>
    </row>
    <row r="2129" spans="1:22" x14ac:dyDescent="0.25">
      <c r="A2129" t="s">
        <v>2466</v>
      </c>
      <c r="B2129" s="1">
        <v>45400</v>
      </c>
      <c r="C2129" t="s">
        <v>64</v>
      </c>
      <c r="D2129" t="s">
        <v>294</v>
      </c>
      <c r="E2129">
        <v>208.67</v>
      </c>
      <c r="F2129" t="s">
        <v>331</v>
      </c>
      <c r="G2129" t="s">
        <v>327</v>
      </c>
      <c r="H2129" t="s">
        <v>332</v>
      </c>
      <c r="I2129" t="s">
        <v>8</v>
      </c>
      <c r="J2129" t="s">
        <v>37</v>
      </c>
      <c r="K2129" t="s">
        <v>28</v>
      </c>
      <c r="L2129" t="s">
        <v>295</v>
      </c>
      <c r="M2129" t="s">
        <v>296</v>
      </c>
      <c r="N2129">
        <v>2.9000000000000001E-2</v>
      </c>
      <c r="O2129" t="str">
        <f>IF(Transactions_RAW_cleaned[[#This Row],[Status]]="Completed", IFERROR(_xlfn.XLOOKUP(Transactions_RAW_cleaned[[#This Row],[CustomerID]], Customers_cleaned[CustomerID], Customers_cleaned[Segment]), "Customer Not Found"), "N/A")</f>
        <v>N/A</v>
      </c>
      <c r="P2129" s="5" t="str">
        <f>IF(Transactions_RAW_cleaned[[#This Row],[Status]]="Refunded", "Refund",
  IF(Transactions_RAW_cleaned[[#This Row],[Category]]="Payments", IF(Transactions_RAW_cleaned[[#This Row],[Amount]]&gt;500,"High Value","Standard"),
    IF(Transactions_RAW_cleaned[[#This Row],[Amount]]&gt;250,"High Value","Standard")))</f>
        <v>Standard</v>
      </c>
      <c r="Q2129" s="5" t="str">
        <f>IF(Transactions_RAW_cleaned[[#This Row],[Amount]] &gt; (_xlfn.XLOOKUP(Transactions_RAW_cleaned[[#This Row],[ServiceID]],Services_cleaned[ServiceID],Services_cleaned[TransactionFeePct]) * 10000), "Yes", "No")</f>
        <v>No</v>
      </c>
      <c r="R2129" s="5" t="str">
        <f>IF(COUNTIFS($C$2:Transactions_RAW_cleaned[[#This Row],[CustomerID]],Transactions_RAW_cleaned[[#This Row],[CustomerID]],$D$2:Transactions_RAW_cleaned[[#This Row],[ServiceID]],Transactions_RAW_cleaned[[#This Row],[ServiceID]])=1,"Yes","No")</f>
        <v>No</v>
      </c>
      <c r="S212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129" t="str">
        <f>"Q"&amp;ROUNDUP(MONTH(Transactions_RAW_cleaned[[#This Row],[TransactionDate]])/3,0)</f>
        <v>Q2</v>
      </c>
      <c r="U2129" t="str">
        <f>Transactions_RAW_cleaned[[#This Row],[Region ]]&amp;Transactions_RAW_cleaned[[#This Row],[Quarter ]]</f>
        <v>EMEAQ2</v>
      </c>
      <c r="V2129" s="5">
        <f>_xlfn.XLOOKUP(Transactions_RAW_cleaned[[#This Row],[RegionQuarterKey]], Quarterly_Targets_cleaned[RegionQuarterKey], Quarterly_Targets_cleaned[TargetRevenue])</f>
        <v>140000</v>
      </c>
    </row>
    <row r="2130" spans="1:22" x14ac:dyDescent="0.25">
      <c r="A2130" t="s">
        <v>2467</v>
      </c>
      <c r="B2130" s="1">
        <v>45523</v>
      </c>
      <c r="C2130" t="s">
        <v>55</v>
      </c>
      <c r="D2130" t="s">
        <v>297</v>
      </c>
      <c r="E2130">
        <v>341.22</v>
      </c>
      <c r="F2130" t="s">
        <v>324</v>
      </c>
      <c r="G2130" t="s">
        <v>325</v>
      </c>
      <c r="H2130" t="s">
        <v>334</v>
      </c>
      <c r="I2130" t="s">
        <v>57</v>
      </c>
      <c r="J2130" t="s">
        <v>31</v>
      </c>
      <c r="K2130" t="s">
        <v>22</v>
      </c>
      <c r="L2130" t="s">
        <v>298</v>
      </c>
      <c r="M2130" t="s">
        <v>299</v>
      </c>
      <c r="N2130">
        <v>0</v>
      </c>
      <c r="O2130" t="str">
        <f>IF(Transactions_RAW_cleaned[[#This Row],[Status]]="Completed", IFERROR(_xlfn.XLOOKUP(Transactions_RAW_cleaned[[#This Row],[CustomerID]], Customers_cleaned[CustomerID], Customers_cleaned[Segment]), "Customer Not Found"), "N/A")</f>
        <v>Startup</v>
      </c>
      <c r="P2130" s="5" t="str">
        <f>IF(Transactions_RAW_cleaned[[#This Row],[Status]]="Refunded", "Refund",
  IF(Transactions_RAW_cleaned[[#This Row],[Category]]="Payments", IF(Transactions_RAW_cleaned[[#This Row],[Amount]]&gt;500,"High Value","Standard"),
    IF(Transactions_RAW_cleaned[[#This Row],[Amount]]&gt;250,"High Value","Standard")))</f>
        <v>High Value</v>
      </c>
      <c r="Q2130" s="5" t="str">
        <f>IF(Transactions_RAW_cleaned[[#This Row],[Amount]] &gt; (_xlfn.XLOOKUP(Transactions_RAW_cleaned[[#This Row],[ServiceID]],Services_cleaned[ServiceID],Services_cleaned[TransactionFeePct]) * 10000), "Yes", "No")</f>
        <v>Yes</v>
      </c>
      <c r="R2130" s="5" t="str">
        <f>IF(COUNTIFS($C$2:Transactions_RAW_cleaned[[#This Row],[CustomerID]],Transactions_RAW_cleaned[[#This Row],[CustomerID]],$D$2:Transactions_RAW_cleaned[[#This Row],[ServiceID]],Transactions_RAW_cleaned[[#This Row],[ServiceID]])=1,"Yes","No")</f>
        <v>No</v>
      </c>
      <c r="S213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130" t="str">
        <f>"Q"&amp;ROUNDUP(MONTH(Transactions_RAW_cleaned[[#This Row],[TransactionDate]])/3,0)</f>
        <v>Q3</v>
      </c>
      <c r="U2130" t="str">
        <f>Transactions_RAW_cleaned[[#This Row],[Region ]]&amp;Transactions_RAW_cleaned[[#This Row],[Quarter ]]</f>
        <v>EMEAQ3</v>
      </c>
      <c r="V2130" s="5">
        <f>_xlfn.XLOOKUP(Transactions_RAW_cleaned[[#This Row],[RegionQuarterKey]], Quarterly_Targets_cleaned[RegionQuarterKey], Quarterly_Targets_cleaned[TargetRevenue])</f>
        <v>147000</v>
      </c>
    </row>
    <row r="2131" spans="1:22" x14ac:dyDescent="0.25">
      <c r="A2131" t="s">
        <v>2468</v>
      </c>
      <c r="B2131" s="1">
        <v>45352</v>
      </c>
      <c r="C2131" t="s">
        <v>257</v>
      </c>
      <c r="D2131" t="s">
        <v>303</v>
      </c>
      <c r="E2131">
        <v>1289.79</v>
      </c>
      <c r="F2131" t="s">
        <v>324</v>
      </c>
      <c r="G2131" t="s">
        <v>327</v>
      </c>
      <c r="H2131" t="s">
        <v>346</v>
      </c>
      <c r="I2131" t="s">
        <v>57</v>
      </c>
      <c r="J2131" t="s">
        <v>13</v>
      </c>
      <c r="K2131" t="s">
        <v>22</v>
      </c>
      <c r="L2131" t="s">
        <v>304</v>
      </c>
      <c r="M2131" t="s">
        <v>305</v>
      </c>
      <c r="N2131">
        <v>1E-3</v>
      </c>
      <c r="O2131" t="str">
        <f>IF(Transactions_RAW_cleaned[[#This Row],[Status]]="Completed", IFERROR(_xlfn.XLOOKUP(Transactions_RAW_cleaned[[#This Row],[CustomerID]], Customers_cleaned[CustomerID], Customers_cleaned[Segment]), "Customer Not Found"), "N/A")</f>
        <v>Startup</v>
      </c>
      <c r="P2131" s="5" t="str">
        <f>IF(Transactions_RAW_cleaned[[#This Row],[Status]]="Refunded", "Refund",
  IF(Transactions_RAW_cleaned[[#This Row],[Category]]="Payments", IF(Transactions_RAW_cleaned[[#This Row],[Amount]]&gt;500,"High Value","Standard"),
    IF(Transactions_RAW_cleaned[[#This Row],[Amount]]&gt;250,"High Value","Standard")))</f>
        <v>High Value</v>
      </c>
      <c r="Q2131" s="5" t="str">
        <f>IF(Transactions_RAW_cleaned[[#This Row],[Amount]] &gt; (_xlfn.XLOOKUP(Transactions_RAW_cleaned[[#This Row],[ServiceID]],Services_cleaned[ServiceID],Services_cleaned[TransactionFeePct]) * 10000), "Yes", "No")</f>
        <v>Yes</v>
      </c>
      <c r="R2131" s="5" t="str">
        <f>IF(COUNTIFS($C$2:Transactions_RAW_cleaned[[#This Row],[CustomerID]],Transactions_RAW_cleaned[[#This Row],[CustomerID]],$D$2:Transactions_RAW_cleaned[[#This Row],[ServiceID]],Transactions_RAW_cleaned[[#This Row],[ServiceID]])=1,"Yes","No")</f>
        <v>No</v>
      </c>
      <c r="S213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31" t="str">
        <f>"Q"&amp;ROUNDUP(MONTH(Transactions_RAW_cleaned[[#This Row],[TransactionDate]])/3,0)</f>
        <v>Q1</v>
      </c>
      <c r="U2131" t="str">
        <f>Transactions_RAW_cleaned[[#This Row],[Region ]]&amp;Transactions_RAW_cleaned[[#This Row],[Quarter ]]</f>
        <v>NAQ1</v>
      </c>
      <c r="V2131" s="5">
        <f>_xlfn.XLOOKUP(Transactions_RAW_cleaned[[#This Row],[RegionQuarterKey]], Quarterly_Targets_cleaned[RegionQuarterKey], Quarterly_Targets_cleaned[TargetRevenue])</f>
        <v>247000</v>
      </c>
    </row>
    <row r="2132" spans="1:22" x14ac:dyDescent="0.25">
      <c r="A2132" t="s">
        <v>2469</v>
      </c>
      <c r="B2132" s="1">
        <v>45389</v>
      </c>
      <c r="C2132" t="s">
        <v>135</v>
      </c>
      <c r="D2132" t="s">
        <v>315</v>
      </c>
      <c r="E2132">
        <v>269.39</v>
      </c>
      <c r="F2132" t="s">
        <v>324</v>
      </c>
      <c r="G2132" t="s">
        <v>325</v>
      </c>
      <c r="H2132" t="s">
        <v>346</v>
      </c>
      <c r="I2132" t="s">
        <v>8</v>
      </c>
      <c r="J2132" t="s">
        <v>46</v>
      </c>
      <c r="K2132" t="s">
        <v>10</v>
      </c>
      <c r="L2132" t="s">
        <v>316</v>
      </c>
      <c r="M2132" t="s">
        <v>305</v>
      </c>
      <c r="N2132">
        <v>2.5000000000000001E-3</v>
      </c>
      <c r="O2132" t="str">
        <f>IF(Transactions_RAW_cleaned[[#This Row],[Status]]="Completed", IFERROR(_xlfn.XLOOKUP(Transactions_RAW_cleaned[[#This Row],[CustomerID]], Customers_cleaned[CustomerID], Customers_cleaned[Segment]), "Customer Not Found"), "N/A")</f>
        <v>SMB</v>
      </c>
      <c r="P2132" s="5" t="str">
        <f>IF(Transactions_RAW_cleaned[[#This Row],[Status]]="Refunded", "Refund",
  IF(Transactions_RAW_cleaned[[#This Row],[Category]]="Payments", IF(Transactions_RAW_cleaned[[#This Row],[Amount]]&gt;500,"High Value","Standard"),
    IF(Transactions_RAW_cleaned[[#This Row],[Amount]]&gt;250,"High Value","Standard")))</f>
        <v>High Value</v>
      </c>
      <c r="Q2132" s="5" t="str">
        <f>IF(Transactions_RAW_cleaned[[#This Row],[Amount]] &gt; (_xlfn.XLOOKUP(Transactions_RAW_cleaned[[#This Row],[ServiceID]],Services_cleaned[ServiceID],Services_cleaned[TransactionFeePct]) * 10000), "Yes", "No")</f>
        <v>Yes</v>
      </c>
      <c r="R2132" s="5" t="str">
        <f>IF(COUNTIFS($C$2:Transactions_RAW_cleaned[[#This Row],[CustomerID]],Transactions_RAW_cleaned[[#This Row],[CustomerID]],$D$2:Transactions_RAW_cleaned[[#This Row],[ServiceID]],Transactions_RAW_cleaned[[#This Row],[ServiceID]])=1,"Yes","No")</f>
        <v>Yes</v>
      </c>
      <c r="S213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32" t="str">
        <f>"Q"&amp;ROUNDUP(MONTH(Transactions_RAW_cleaned[[#This Row],[TransactionDate]])/3,0)</f>
        <v>Q2</v>
      </c>
      <c r="U2132" t="str">
        <f>Transactions_RAW_cleaned[[#This Row],[Region ]]&amp;Transactions_RAW_cleaned[[#This Row],[Quarter ]]</f>
        <v>APACQ2</v>
      </c>
      <c r="V2132" s="5">
        <f>_xlfn.XLOOKUP(Transactions_RAW_cleaned[[#This Row],[RegionQuarterKey]], Quarterly_Targets_cleaned[RegionQuarterKey], Quarterly_Targets_cleaned[TargetRevenue])</f>
        <v>110000</v>
      </c>
    </row>
    <row r="2133" spans="1:22" x14ac:dyDescent="0.25">
      <c r="A2133" t="s">
        <v>2470</v>
      </c>
      <c r="B2133" s="1">
        <v>45434</v>
      </c>
      <c r="C2133" t="s">
        <v>237</v>
      </c>
      <c r="D2133" t="s">
        <v>315</v>
      </c>
      <c r="E2133">
        <v>192.28</v>
      </c>
      <c r="F2133" t="s">
        <v>324</v>
      </c>
      <c r="G2133" t="s">
        <v>325</v>
      </c>
      <c r="H2133" t="s">
        <v>346</v>
      </c>
      <c r="I2133" t="s">
        <v>8</v>
      </c>
      <c r="J2133" t="s">
        <v>46</v>
      </c>
      <c r="K2133" t="s">
        <v>10</v>
      </c>
      <c r="L2133" t="s">
        <v>316</v>
      </c>
      <c r="M2133" t="s">
        <v>305</v>
      </c>
      <c r="N2133">
        <v>2.5000000000000001E-3</v>
      </c>
      <c r="O2133" t="str">
        <f>IF(Transactions_RAW_cleaned[[#This Row],[Status]]="Completed", IFERROR(_xlfn.XLOOKUP(Transactions_RAW_cleaned[[#This Row],[CustomerID]], Customers_cleaned[CustomerID], Customers_cleaned[Segment]), "Customer Not Found"), "N/A")</f>
        <v>SMB</v>
      </c>
      <c r="P2133" s="5" t="str">
        <f>IF(Transactions_RAW_cleaned[[#This Row],[Status]]="Refunded", "Refund",
  IF(Transactions_RAW_cleaned[[#This Row],[Category]]="Payments", IF(Transactions_RAW_cleaned[[#This Row],[Amount]]&gt;500,"High Value","Standard"),
    IF(Transactions_RAW_cleaned[[#This Row],[Amount]]&gt;250,"High Value","Standard")))</f>
        <v>Standard</v>
      </c>
      <c r="Q2133" s="5" t="str">
        <f>IF(Transactions_RAW_cleaned[[#This Row],[Amount]] &gt; (_xlfn.XLOOKUP(Transactions_RAW_cleaned[[#This Row],[ServiceID]],Services_cleaned[ServiceID],Services_cleaned[TransactionFeePct]) * 10000), "Yes", "No")</f>
        <v>Yes</v>
      </c>
      <c r="R2133" s="5" t="str">
        <f>IF(COUNTIFS($C$2:Transactions_RAW_cleaned[[#This Row],[CustomerID]],Transactions_RAW_cleaned[[#This Row],[CustomerID]],$D$2:Transactions_RAW_cleaned[[#This Row],[ServiceID]],Transactions_RAW_cleaned[[#This Row],[ServiceID]])=1,"Yes","No")</f>
        <v>Yes</v>
      </c>
      <c r="S213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33" t="str">
        <f>"Q"&amp;ROUNDUP(MONTH(Transactions_RAW_cleaned[[#This Row],[TransactionDate]])/3,0)</f>
        <v>Q2</v>
      </c>
      <c r="U2133" t="str">
        <f>Transactions_RAW_cleaned[[#This Row],[Region ]]&amp;Transactions_RAW_cleaned[[#This Row],[Quarter ]]</f>
        <v>APACQ2</v>
      </c>
      <c r="V2133" s="5">
        <f>_xlfn.XLOOKUP(Transactions_RAW_cleaned[[#This Row],[RegionQuarterKey]], Quarterly_Targets_cleaned[RegionQuarterKey], Quarterly_Targets_cleaned[TargetRevenue])</f>
        <v>110000</v>
      </c>
    </row>
    <row r="2134" spans="1:22" x14ac:dyDescent="0.25">
      <c r="A2134" t="s">
        <v>2471</v>
      </c>
      <c r="B2134" s="1">
        <v>45565</v>
      </c>
      <c r="C2134" t="s">
        <v>169</v>
      </c>
      <c r="D2134" t="s">
        <v>309</v>
      </c>
      <c r="E2134">
        <v>433.31</v>
      </c>
      <c r="F2134" t="s">
        <v>324</v>
      </c>
      <c r="G2134" t="s">
        <v>325</v>
      </c>
      <c r="H2134" t="s">
        <v>332</v>
      </c>
      <c r="I2134" t="s">
        <v>8</v>
      </c>
      <c r="J2134" t="s">
        <v>13</v>
      </c>
      <c r="K2134" t="s">
        <v>32</v>
      </c>
      <c r="L2134" t="s">
        <v>310</v>
      </c>
      <c r="M2134" t="s">
        <v>311</v>
      </c>
      <c r="N2134">
        <v>0</v>
      </c>
      <c r="O2134" t="str">
        <f>IF(Transactions_RAW_cleaned[[#This Row],[Status]]="Completed", IFERROR(_xlfn.XLOOKUP(Transactions_RAW_cleaned[[#This Row],[CustomerID]], Customers_cleaned[CustomerID], Customers_cleaned[Segment]), "Customer Not Found"), "N/A")</f>
        <v>SMB</v>
      </c>
      <c r="P2134" s="5" t="str">
        <f>IF(Transactions_RAW_cleaned[[#This Row],[Status]]="Refunded", "Refund",
  IF(Transactions_RAW_cleaned[[#This Row],[Category]]="Payments", IF(Transactions_RAW_cleaned[[#This Row],[Amount]]&gt;500,"High Value","Standard"),
    IF(Transactions_RAW_cleaned[[#This Row],[Amount]]&gt;250,"High Value","Standard")))</f>
        <v>High Value</v>
      </c>
      <c r="Q2134" s="5" t="str">
        <f>IF(Transactions_RAW_cleaned[[#This Row],[Amount]] &gt; (_xlfn.XLOOKUP(Transactions_RAW_cleaned[[#This Row],[ServiceID]],Services_cleaned[ServiceID],Services_cleaned[TransactionFeePct]) * 10000), "Yes", "No")</f>
        <v>Yes</v>
      </c>
      <c r="R2134" s="5" t="str">
        <f>IF(COUNTIFS($C$2:Transactions_RAW_cleaned[[#This Row],[CustomerID]],Transactions_RAW_cleaned[[#This Row],[CustomerID]],$D$2:Transactions_RAW_cleaned[[#This Row],[ServiceID]],Transactions_RAW_cleaned[[#This Row],[ServiceID]])=1,"Yes","No")</f>
        <v>Yes</v>
      </c>
      <c r="S213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34" t="str">
        <f>"Q"&amp;ROUNDUP(MONTH(Transactions_RAW_cleaned[[#This Row],[TransactionDate]])/3,0)</f>
        <v>Q3</v>
      </c>
      <c r="U2134" t="str">
        <f>Transactions_RAW_cleaned[[#This Row],[Region ]]&amp;Transactions_RAW_cleaned[[#This Row],[Quarter ]]</f>
        <v>NAQ3</v>
      </c>
      <c r="V2134" s="5">
        <f>_xlfn.XLOOKUP(Transactions_RAW_cleaned[[#This Row],[RegionQuarterKey]], Quarterly_Targets_cleaned[RegionQuarterKey], Quarterly_Targets_cleaned[TargetRevenue])</f>
        <v>273000</v>
      </c>
    </row>
    <row r="2135" spans="1:22" x14ac:dyDescent="0.25">
      <c r="A2135" t="s">
        <v>2472</v>
      </c>
      <c r="B2135" s="1">
        <v>45576</v>
      </c>
      <c r="C2135" t="s">
        <v>119</v>
      </c>
      <c r="D2135" t="s">
        <v>312</v>
      </c>
      <c r="E2135">
        <v>527.13</v>
      </c>
      <c r="F2135" t="s">
        <v>324</v>
      </c>
      <c r="G2135" t="s">
        <v>337</v>
      </c>
      <c r="H2135" t="s">
        <v>346</v>
      </c>
      <c r="I2135" t="s">
        <v>57</v>
      </c>
      <c r="J2135" t="s">
        <v>102</v>
      </c>
      <c r="K2135" t="s">
        <v>18</v>
      </c>
      <c r="L2135" t="s">
        <v>313</v>
      </c>
      <c r="M2135" t="s">
        <v>314</v>
      </c>
      <c r="N2135">
        <v>0</v>
      </c>
      <c r="O2135" t="str">
        <f>IF(Transactions_RAW_cleaned[[#This Row],[Status]]="Completed", IFERROR(_xlfn.XLOOKUP(Transactions_RAW_cleaned[[#This Row],[CustomerID]], Customers_cleaned[CustomerID], Customers_cleaned[Segment]), "Customer Not Found"), "N/A")</f>
        <v>Startup</v>
      </c>
      <c r="P2135" s="5" t="str">
        <f>IF(Transactions_RAW_cleaned[[#This Row],[Status]]="Refunded", "Refund",
  IF(Transactions_RAW_cleaned[[#This Row],[Category]]="Payments", IF(Transactions_RAW_cleaned[[#This Row],[Amount]]&gt;500,"High Value","Standard"),
    IF(Transactions_RAW_cleaned[[#This Row],[Amount]]&gt;250,"High Value","Standard")))</f>
        <v>High Value</v>
      </c>
      <c r="Q2135" s="5" t="str">
        <f>IF(Transactions_RAW_cleaned[[#This Row],[Amount]] &gt; (_xlfn.XLOOKUP(Transactions_RAW_cleaned[[#This Row],[ServiceID]],Services_cleaned[ServiceID],Services_cleaned[TransactionFeePct]) * 10000), "Yes", "No")</f>
        <v>Yes</v>
      </c>
      <c r="R2135" s="5" t="str">
        <f>IF(COUNTIFS($C$2:Transactions_RAW_cleaned[[#This Row],[CustomerID]],Transactions_RAW_cleaned[[#This Row],[CustomerID]],$D$2:Transactions_RAW_cleaned[[#This Row],[ServiceID]],Transactions_RAW_cleaned[[#This Row],[ServiceID]])=1,"Yes","No")</f>
        <v>Yes</v>
      </c>
      <c r="S213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35" t="str">
        <f>"Q"&amp;ROUNDUP(MONTH(Transactions_RAW_cleaned[[#This Row],[TransactionDate]])/3,0)</f>
        <v>Q4</v>
      </c>
      <c r="U2135" t="str">
        <f>Transactions_RAW_cleaned[[#This Row],[Region ]]&amp;Transactions_RAW_cleaned[[#This Row],[Quarter ]]</f>
        <v>NAQ4</v>
      </c>
      <c r="V2135" s="5">
        <f>_xlfn.XLOOKUP(Transactions_RAW_cleaned[[#This Row],[RegionQuarterKey]], Quarterly_Targets_cleaned[RegionQuarterKey], Quarterly_Targets_cleaned[TargetRevenue])</f>
        <v>299000</v>
      </c>
    </row>
    <row r="2136" spans="1:22" x14ac:dyDescent="0.25">
      <c r="A2136" t="s">
        <v>2473</v>
      </c>
      <c r="B2136" s="1">
        <v>45299</v>
      </c>
      <c r="C2136" t="s">
        <v>189</v>
      </c>
      <c r="D2136" t="s">
        <v>297</v>
      </c>
      <c r="E2136">
        <v>979.22</v>
      </c>
      <c r="F2136" t="s">
        <v>324</v>
      </c>
      <c r="G2136" t="s">
        <v>329</v>
      </c>
      <c r="H2136" t="s">
        <v>334</v>
      </c>
      <c r="I2136" t="s">
        <v>17</v>
      </c>
      <c r="J2136" t="s">
        <v>102</v>
      </c>
      <c r="K2136" t="s">
        <v>14</v>
      </c>
      <c r="L2136" t="s">
        <v>298</v>
      </c>
      <c r="M2136" t="s">
        <v>299</v>
      </c>
      <c r="N2136">
        <v>0</v>
      </c>
      <c r="O2136" t="str">
        <f>IF(Transactions_RAW_cleaned[[#This Row],[Status]]="Completed", IFERROR(_xlfn.XLOOKUP(Transactions_RAW_cleaned[[#This Row],[CustomerID]], Customers_cleaned[CustomerID], Customers_cleaned[Segment]), "Customer Not Found"), "N/A")</f>
        <v>Enterprise</v>
      </c>
      <c r="P2136" s="5" t="str">
        <f>IF(Transactions_RAW_cleaned[[#This Row],[Status]]="Refunded", "Refund",
  IF(Transactions_RAW_cleaned[[#This Row],[Category]]="Payments", IF(Transactions_RAW_cleaned[[#This Row],[Amount]]&gt;500,"High Value","Standard"),
    IF(Transactions_RAW_cleaned[[#This Row],[Amount]]&gt;250,"High Value","Standard")))</f>
        <v>High Value</v>
      </c>
      <c r="Q2136" s="5" t="str">
        <f>IF(Transactions_RAW_cleaned[[#This Row],[Amount]] &gt; (_xlfn.XLOOKUP(Transactions_RAW_cleaned[[#This Row],[ServiceID]],Services_cleaned[ServiceID],Services_cleaned[TransactionFeePct]) * 10000), "Yes", "No")</f>
        <v>Yes</v>
      </c>
      <c r="R2136" s="5" t="str">
        <f>IF(COUNTIFS($C$2:Transactions_RAW_cleaned[[#This Row],[CustomerID]],Transactions_RAW_cleaned[[#This Row],[CustomerID]],$D$2:Transactions_RAW_cleaned[[#This Row],[ServiceID]],Transactions_RAW_cleaned[[#This Row],[ServiceID]])=1,"Yes","No")</f>
        <v>No</v>
      </c>
      <c r="S213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36" t="str">
        <f>"Q"&amp;ROUNDUP(MONTH(Transactions_RAW_cleaned[[#This Row],[TransactionDate]])/3,0)</f>
        <v>Q1</v>
      </c>
      <c r="U2136" t="str">
        <f>Transactions_RAW_cleaned[[#This Row],[Region ]]&amp;Transactions_RAW_cleaned[[#This Row],[Quarter ]]</f>
        <v>NAQ1</v>
      </c>
      <c r="V2136" s="5">
        <f>_xlfn.XLOOKUP(Transactions_RAW_cleaned[[#This Row],[RegionQuarterKey]], Quarterly_Targets_cleaned[RegionQuarterKey], Quarterly_Targets_cleaned[TargetRevenue])</f>
        <v>247000</v>
      </c>
    </row>
    <row r="2137" spans="1:22" x14ac:dyDescent="0.25">
      <c r="A2137" t="s">
        <v>2474</v>
      </c>
      <c r="B2137" s="1">
        <v>45582</v>
      </c>
      <c r="C2137" t="s">
        <v>117</v>
      </c>
      <c r="D2137" t="s">
        <v>306</v>
      </c>
      <c r="E2137">
        <v>399.09</v>
      </c>
      <c r="F2137" t="s">
        <v>324</v>
      </c>
      <c r="G2137" t="s">
        <v>327</v>
      </c>
      <c r="H2137" t="s">
        <v>346</v>
      </c>
      <c r="I2137" t="s">
        <v>8</v>
      </c>
      <c r="J2137" t="s">
        <v>102</v>
      </c>
      <c r="K2137" t="s">
        <v>14</v>
      </c>
      <c r="L2137" t="s">
        <v>307</v>
      </c>
      <c r="M2137" t="s">
        <v>308</v>
      </c>
      <c r="N2137">
        <v>0</v>
      </c>
      <c r="O2137" t="str">
        <f>IF(Transactions_RAW_cleaned[[#This Row],[Status]]="Completed", IFERROR(_xlfn.XLOOKUP(Transactions_RAW_cleaned[[#This Row],[CustomerID]], Customers_cleaned[CustomerID], Customers_cleaned[Segment]), "Customer Not Found"), "N/A")</f>
        <v>SMB</v>
      </c>
      <c r="P2137" s="5" t="str">
        <f>IF(Transactions_RAW_cleaned[[#This Row],[Status]]="Refunded", "Refund",
  IF(Transactions_RAW_cleaned[[#This Row],[Category]]="Payments", IF(Transactions_RAW_cleaned[[#This Row],[Amount]]&gt;500,"High Value","Standard"),
    IF(Transactions_RAW_cleaned[[#This Row],[Amount]]&gt;250,"High Value","Standard")))</f>
        <v>High Value</v>
      </c>
      <c r="Q2137" s="5" t="str">
        <f>IF(Transactions_RAW_cleaned[[#This Row],[Amount]] &gt; (_xlfn.XLOOKUP(Transactions_RAW_cleaned[[#This Row],[ServiceID]],Services_cleaned[ServiceID],Services_cleaned[TransactionFeePct]) * 10000), "Yes", "No")</f>
        <v>Yes</v>
      </c>
      <c r="R2137" s="5" t="str">
        <f>IF(COUNTIFS($C$2:Transactions_RAW_cleaned[[#This Row],[CustomerID]],Transactions_RAW_cleaned[[#This Row],[CustomerID]],$D$2:Transactions_RAW_cleaned[[#This Row],[ServiceID]],Transactions_RAW_cleaned[[#This Row],[ServiceID]])=1,"Yes","No")</f>
        <v>No</v>
      </c>
      <c r="S213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37" t="str">
        <f>"Q"&amp;ROUNDUP(MONTH(Transactions_RAW_cleaned[[#This Row],[TransactionDate]])/3,0)</f>
        <v>Q4</v>
      </c>
      <c r="U2137" t="str">
        <f>Transactions_RAW_cleaned[[#This Row],[Region ]]&amp;Transactions_RAW_cleaned[[#This Row],[Quarter ]]</f>
        <v>NAQ4</v>
      </c>
      <c r="V2137" s="5">
        <f>_xlfn.XLOOKUP(Transactions_RAW_cleaned[[#This Row],[RegionQuarterKey]], Quarterly_Targets_cleaned[RegionQuarterKey], Quarterly_Targets_cleaned[TargetRevenue])</f>
        <v>299000</v>
      </c>
    </row>
    <row r="2138" spans="1:22" x14ac:dyDescent="0.25">
      <c r="A2138" t="s">
        <v>2475</v>
      </c>
      <c r="B2138" s="1">
        <v>45323</v>
      </c>
      <c r="C2138" t="s">
        <v>80</v>
      </c>
      <c r="D2138" t="s">
        <v>294</v>
      </c>
      <c r="E2138">
        <v>205.77</v>
      </c>
      <c r="F2138" t="s">
        <v>324</v>
      </c>
      <c r="G2138" t="s">
        <v>337</v>
      </c>
      <c r="I2138" t="s">
        <v>8</v>
      </c>
      <c r="J2138" t="s">
        <v>13</v>
      </c>
      <c r="K2138" t="s">
        <v>32</v>
      </c>
      <c r="L2138" t="s">
        <v>295</v>
      </c>
      <c r="M2138" t="s">
        <v>296</v>
      </c>
      <c r="N2138">
        <v>2.9000000000000001E-2</v>
      </c>
      <c r="O2138" t="str">
        <f>IF(Transactions_RAW_cleaned[[#This Row],[Status]]="Completed", IFERROR(_xlfn.XLOOKUP(Transactions_RAW_cleaned[[#This Row],[CustomerID]], Customers_cleaned[CustomerID], Customers_cleaned[Segment]), "Customer Not Found"), "N/A")</f>
        <v>SMB</v>
      </c>
      <c r="P2138" s="5" t="str">
        <f>IF(Transactions_RAW_cleaned[[#This Row],[Status]]="Refunded", "Refund",
  IF(Transactions_RAW_cleaned[[#This Row],[Category]]="Payments", IF(Transactions_RAW_cleaned[[#This Row],[Amount]]&gt;500,"High Value","Standard"),
    IF(Transactions_RAW_cleaned[[#This Row],[Amount]]&gt;250,"High Value","Standard")))</f>
        <v>Standard</v>
      </c>
      <c r="Q2138" s="5" t="str">
        <f>IF(Transactions_RAW_cleaned[[#This Row],[Amount]] &gt; (_xlfn.XLOOKUP(Transactions_RAW_cleaned[[#This Row],[ServiceID]],Services_cleaned[ServiceID],Services_cleaned[TransactionFeePct]) * 10000), "Yes", "No")</f>
        <v>No</v>
      </c>
      <c r="R2138" s="5" t="str">
        <f>IF(COUNTIFS($C$2:Transactions_RAW_cleaned[[#This Row],[CustomerID]],Transactions_RAW_cleaned[[#This Row],[CustomerID]],$D$2:Transactions_RAW_cleaned[[#This Row],[ServiceID]],Transactions_RAW_cleaned[[#This Row],[ServiceID]])=1,"Yes","No")</f>
        <v>No</v>
      </c>
      <c r="S213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38" t="str">
        <f>"Q"&amp;ROUNDUP(MONTH(Transactions_RAW_cleaned[[#This Row],[TransactionDate]])/3,0)</f>
        <v>Q1</v>
      </c>
      <c r="U2138" t="str">
        <f>Transactions_RAW_cleaned[[#This Row],[Region ]]&amp;Transactions_RAW_cleaned[[#This Row],[Quarter ]]</f>
        <v>NAQ1</v>
      </c>
      <c r="V2138" s="5">
        <f>_xlfn.XLOOKUP(Transactions_RAW_cleaned[[#This Row],[RegionQuarterKey]], Quarterly_Targets_cleaned[RegionQuarterKey], Quarterly_Targets_cleaned[TargetRevenue])</f>
        <v>247000</v>
      </c>
    </row>
    <row r="2139" spans="1:22" x14ac:dyDescent="0.25">
      <c r="A2139" t="s">
        <v>2476</v>
      </c>
      <c r="B2139" s="1">
        <v>45457</v>
      </c>
      <c r="C2139" t="s">
        <v>157</v>
      </c>
      <c r="D2139" t="s">
        <v>309</v>
      </c>
      <c r="E2139">
        <v>161.75</v>
      </c>
      <c r="F2139" t="s">
        <v>324</v>
      </c>
      <c r="G2139" t="s">
        <v>325</v>
      </c>
      <c r="H2139" t="s">
        <v>346</v>
      </c>
      <c r="I2139" t="s">
        <v>8</v>
      </c>
      <c r="J2139" t="s">
        <v>102</v>
      </c>
      <c r="K2139" t="s">
        <v>14</v>
      </c>
      <c r="L2139" t="s">
        <v>310</v>
      </c>
      <c r="M2139" t="s">
        <v>311</v>
      </c>
      <c r="N2139">
        <v>0</v>
      </c>
      <c r="O2139" t="str">
        <f>IF(Transactions_RAW_cleaned[[#This Row],[Status]]="Completed", IFERROR(_xlfn.XLOOKUP(Transactions_RAW_cleaned[[#This Row],[CustomerID]], Customers_cleaned[CustomerID], Customers_cleaned[Segment]), "Customer Not Found"), "N/A")</f>
        <v>SMB</v>
      </c>
      <c r="P2139" s="5" t="str">
        <f>IF(Transactions_RAW_cleaned[[#This Row],[Status]]="Refunded", "Refund",
  IF(Transactions_RAW_cleaned[[#This Row],[Category]]="Payments", IF(Transactions_RAW_cleaned[[#This Row],[Amount]]&gt;500,"High Value","Standard"),
    IF(Transactions_RAW_cleaned[[#This Row],[Amount]]&gt;250,"High Value","Standard")))</f>
        <v>Standard</v>
      </c>
      <c r="Q2139" s="5" t="str">
        <f>IF(Transactions_RAW_cleaned[[#This Row],[Amount]] &gt; (_xlfn.XLOOKUP(Transactions_RAW_cleaned[[#This Row],[ServiceID]],Services_cleaned[ServiceID],Services_cleaned[TransactionFeePct]) * 10000), "Yes", "No")</f>
        <v>Yes</v>
      </c>
      <c r="R2139" s="5" t="str">
        <f>IF(COUNTIFS($C$2:Transactions_RAW_cleaned[[#This Row],[CustomerID]],Transactions_RAW_cleaned[[#This Row],[CustomerID]],$D$2:Transactions_RAW_cleaned[[#This Row],[ServiceID]],Transactions_RAW_cleaned[[#This Row],[ServiceID]])=1,"Yes","No")</f>
        <v>No</v>
      </c>
      <c r="S213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39" t="str">
        <f>"Q"&amp;ROUNDUP(MONTH(Transactions_RAW_cleaned[[#This Row],[TransactionDate]])/3,0)</f>
        <v>Q2</v>
      </c>
      <c r="U2139" t="str">
        <f>Transactions_RAW_cleaned[[#This Row],[Region ]]&amp;Transactions_RAW_cleaned[[#This Row],[Quarter ]]</f>
        <v>NAQ2</v>
      </c>
      <c r="V2139" s="5">
        <f>_xlfn.XLOOKUP(Transactions_RAW_cleaned[[#This Row],[RegionQuarterKey]], Quarterly_Targets_cleaned[RegionQuarterKey], Quarterly_Targets_cleaned[TargetRevenue])</f>
        <v>260000</v>
      </c>
    </row>
    <row r="2140" spans="1:22" x14ac:dyDescent="0.25">
      <c r="A2140" t="s">
        <v>2477</v>
      </c>
      <c r="B2140" s="1">
        <v>45568</v>
      </c>
      <c r="C2140" t="s">
        <v>187</v>
      </c>
      <c r="D2140" t="s">
        <v>294</v>
      </c>
      <c r="E2140">
        <v>553.66</v>
      </c>
      <c r="F2140" t="s">
        <v>324</v>
      </c>
      <c r="G2140" t="s">
        <v>337</v>
      </c>
      <c r="I2140" t="s">
        <v>57</v>
      </c>
      <c r="J2140" t="s">
        <v>21</v>
      </c>
      <c r="K2140" t="s">
        <v>28</v>
      </c>
      <c r="L2140" t="s">
        <v>295</v>
      </c>
      <c r="M2140" t="s">
        <v>296</v>
      </c>
      <c r="N2140">
        <v>2.9000000000000001E-2</v>
      </c>
      <c r="O2140" t="str">
        <f>IF(Transactions_RAW_cleaned[[#This Row],[Status]]="Completed", IFERROR(_xlfn.XLOOKUP(Transactions_RAW_cleaned[[#This Row],[CustomerID]], Customers_cleaned[CustomerID], Customers_cleaned[Segment]), "Customer Not Found"), "N/A")</f>
        <v>Startup</v>
      </c>
      <c r="P2140" s="5" t="str">
        <f>IF(Transactions_RAW_cleaned[[#This Row],[Status]]="Refunded", "Refund",
  IF(Transactions_RAW_cleaned[[#This Row],[Category]]="Payments", IF(Transactions_RAW_cleaned[[#This Row],[Amount]]&gt;500,"High Value","Standard"),
    IF(Transactions_RAW_cleaned[[#This Row],[Amount]]&gt;250,"High Value","Standard")))</f>
        <v>High Value</v>
      </c>
      <c r="Q2140" s="5" t="str">
        <f>IF(Transactions_RAW_cleaned[[#This Row],[Amount]] &gt; (_xlfn.XLOOKUP(Transactions_RAW_cleaned[[#This Row],[ServiceID]],Services_cleaned[ServiceID],Services_cleaned[TransactionFeePct]) * 10000), "Yes", "No")</f>
        <v>Yes</v>
      </c>
      <c r="R2140" s="5" t="str">
        <f>IF(COUNTIFS($C$2:Transactions_RAW_cleaned[[#This Row],[CustomerID]],Transactions_RAW_cleaned[[#This Row],[CustomerID]],$D$2:Transactions_RAW_cleaned[[#This Row],[ServiceID]],Transactions_RAW_cleaned[[#This Row],[ServiceID]])=1,"Yes","No")</f>
        <v>No</v>
      </c>
      <c r="S214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40" t="str">
        <f>"Q"&amp;ROUNDUP(MONTH(Transactions_RAW_cleaned[[#This Row],[TransactionDate]])/3,0)</f>
        <v>Q4</v>
      </c>
      <c r="U2140" t="str">
        <f>Transactions_RAW_cleaned[[#This Row],[Region ]]&amp;Transactions_RAW_cleaned[[#This Row],[Quarter ]]</f>
        <v>APACQ4</v>
      </c>
      <c r="V2140" s="5">
        <f>_xlfn.XLOOKUP(Transactions_RAW_cleaned[[#This Row],[RegionQuarterKey]], Quarterly_Targets_cleaned[RegionQuarterKey], Quarterly_Targets_cleaned[TargetRevenue])</f>
        <v>126500</v>
      </c>
    </row>
    <row r="2141" spans="1:22" x14ac:dyDescent="0.25">
      <c r="A2141" t="s">
        <v>2478</v>
      </c>
      <c r="B2141" s="1">
        <v>45294</v>
      </c>
      <c r="C2141" t="s">
        <v>181</v>
      </c>
      <c r="D2141" t="s">
        <v>294</v>
      </c>
      <c r="E2141">
        <v>182.45</v>
      </c>
      <c r="F2141" t="s">
        <v>324</v>
      </c>
      <c r="G2141" t="s">
        <v>327</v>
      </c>
      <c r="H2141" t="s">
        <v>334</v>
      </c>
      <c r="I2141" t="s">
        <v>17</v>
      </c>
      <c r="J2141" t="s">
        <v>21</v>
      </c>
      <c r="K2141" t="s">
        <v>10</v>
      </c>
      <c r="L2141" t="s">
        <v>295</v>
      </c>
      <c r="M2141" t="s">
        <v>296</v>
      </c>
      <c r="N2141">
        <v>2.9000000000000001E-2</v>
      </c>
      <c r="O2141" t="str">
        <f>IF(Transactions_RAW_cleaned[[#This Row],[Status]]="Completed", IFERROR(_xlfn.XLOOKUP(Transactions_RAW_cleaned[[#This Row],[CustomerID]], Customers_cleaned[CustomerID], Customers_cleaned[Segment]), "Customer Not Found"), "N/A")</f>
        <v>Enterprise</v>
      </c>
      <c r="P2141" s="5" t="str">
        <f>IF(Transactions_RAW_cleaned[[#This Row],[Status]]="Refunded", "Refund",
  IF(Transactions_RAW_cleaned[[#This Row],[Category]]="Payments", IF(Transactions_RAW_cleaned[[#This Row],[Amount]]&gt;500,"High Value","Standard"),
    IF(Transactions_RAW_cleaned[[#This Row],[Amount]]&gt;250,"High Value","Standard")))</f>
        <v>Standard</v>
      </c>
      <c r="Q2141" s="5" t="str">
        <f>IF(Transactions_RAW_cleaned[[#This Row],[Amount]] &gt; (_xlfn.XLOOKUP(Transactions_RAW_cleaned[[#This Row],[ServiceID]],Services_cleaned[ServiceID],Services_cleaned[TransactionFeePct]) * 10000), "Yes", "No")</f>
        <v>No</v>
      </c>
      <c r="R2141" s="5" t="str">
        <f>IF(COUNTIFS($C$2:Transactions_RAW_cleaned[[#This Row],[CustomerID]],Transactions_RAW_cleaned[[#This Row],[CustomerID]],$D$2:Transactions_RAW_cleaned[[#This Row],[ServiceID]],Transactions_RAW_cleaned[[#This Row],[ServiceID]])=1,"Yes","No")</f>
        <v>No</v>
      </c>
      <c r="S214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41" t="str">
        <f>"Q"&amp;ROUNDUP(MONTH(Transactions_RAW_cleaned[[#This Row],[TransactionDate]])/3,0)</f>
        <v>Q1</v>
      </c>
      <c r="U2141" t="str">
        <f>Transactions_RAW_cleaned[[#This Row],[Region ]]&amp;Transactions_RAW_cleaned[[#This Row],[Quarter ]]</f>
        <v>APACQ1</v>
      </c>
      <c r="V2141" s="5">
        <f>_xlfn.XLOOKUP(Transactions_RAW_cleaned[[#This Row],[RegionQuarterKey]], Quarterly_Targets_cleaned[RegionQuarterKey], Quarterly_Targets_cleaned[TargetRevenue])</f>
        <v>104500</v>
      </c>
    </row>
    <row r="2142" spans="1:22" x14ac:dyDescent="0.25">
      <c r="A2142" t="s">
        <v>2479</v>
      </c>
      <c r="B2142" s="1">
        <v>45444</v>
      </c>
      <c r="C2142" t="s">
        <v>60</v>
      </c>
      <c r="D2142" t="s">
        <v>315</v>
      </c>
      <c r="E2142">
        <v>182.91</v>
      </c>
      <c r="F2142" t="s">
        <v>381</v>
      </c>
      <c r="G2142" t="s">
        <v>325</v>
      </c>
      <c r="H2142" t="s">
        <v>334</v>
      </c>
      <c r="I2142" t="s">
        <v>8</v>
      </c>
      <c r="J2142" t="s">
        <v>13</v>
      </c>
      <c r="K2142" t="s">
        <v>14</v>
      </c>
      <c r="L2142" t="s">
        <v>316</v>
      </c>
      <c r="M2142" t="s">
        <v>305</v>
      </c>
      <c r="N2142">
        <v>2.5000000000000001E-3</v>
      </c>
      <c r="O2142" t="str">
        <f>IF(Transactions_RAW_cleaned[[#This Row],[Status]]="Completed", IFERROR(_xlfn.XLOOKUP(Transactions_RAW_cleaned[[#This Row],[CustomerID]], Customers_cleaned[CustomerID], Customers_cleaned[Segment]), "Customer Not Found"), "N/A")</f>
        <v>N/A</v>
      </c>
      <c r="P2142" s="5" t="str">
        <f>IF(Transactions_RAW_cleaned[[#This Row],[Status]]="Refunded", "Refund",
  IF(Transactions_RAW_cleaned[[#This Row],[Category]]="Payments", IF(Transactions_RAW_cleaned[[#This Row],[Amount]]&gt;500,"High Value","Standard"),
    IF(Transactions_RAW_cleaned[[#This Row],[Amount]]&gt;250,"High Value","Standard")))</f>
        <v>Standard</v>
      </c>
      <c r="Q2142" s="5" t="str">
        <f>IF(Transactions_RAW_cleaned[[#This Row],[Amount]] &gt; (_xlfn.XLOOKUP(Transactions_RAW_cleaned[[#This Row],[ServiceID]],Services_cleaned[ServiceID],Services_cleaned[TransactionFeePct]) * 10000), "Yes", "No")</f>
        <v>Yes</v>
      </c>
      <c r="R2142" s="5" t="str">
        <f>IF(COUNTIFS($C$2:Transactions_RAW_cleaned[[#This Row],[CustomerID]],Transactions_RAW_cleaned[[#This Row],[CustomerID]],$D$2:Transactions_RAW_cleaned[[#This Row],[ServiceID]],Transactions_RAW_cleaned[[#This Row],[ServiceID]])=1,"Yes","No")</f>
        <v>No</v>
      </c>
      <c r="S214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42" t="str">
        <f>"Q"&amp;ROUNDUP(MONTH(Transactions_RAW_cleaned[[#This Row],[TransactionDate]])/3,0)</f>
        <v>Q2</v>
      </c>
      <c r="U2142" t="str">
        <f>Transactions_RAW_cleaned[[#This Row],[Region ]]&amp;Transactions_RAW_cleaned[[#This Row],[Quarter ]]</f>
        <v>NAQ2</v>
      </c>
      <c r="V2142" s="5">
        <f>_xlfn.XLOOKUP(Transactions_RAW_cleaned[[#This Row],[RegionQuarterKey]], Quarterly_Targets_cleaned[RegionQuarterKey], Quarterly_Targets_cleaned[TargetRevenue])</f>
        <v>260000</v>
      </c>
    </row>
    <row r="2143" spans="1:22" x14ac:dyDescent="0.25">
      <c r="A2143" t="s">
        <v>2480</v>
      </c>
      <c r="B2143" s="1">
        <v>45379</v>
      </c>
      <c r="C2143" t="s">
        <v>165</v>
      </c>
      <c r="D2143" t="s">
        <v>303</v>
      </c>
      <c r="E2143">
        <v>177.17</v>
      </c>
      <c r="F2143" t="s">
        <v>324</v>
      </c>
      <c r="G2143" t="s">
        <v>327</v>
      </c>
      <c r="H2143" t="s">
        <v>346</v>
      </c>
      <c r="I2143" t="s">
        <v>8</v>
      </c>
      <c r="J2143" t="s">
        <v>31</v>
      </c>
      <c r="K2143" t="s">
        <v>32</v>
      </c>
      <c r="L2143" t="s">
        <v>304</v>
      </c>
      <c r="M2143" t="s">
        <v>305</v>
      </c>
      <c r="N2143">
        <v>1E-3</v>
      </c>
      <c r="O2143" t="str">
        <f>IF(Transactions_RAW_cleaned[[#This Row],[Status]]="Completed", IFERROR(_xlfn.XLOOKUP(Transactions_RAW_cleaned[[#This Row],[CustomerID]], Customers_cleaned[CustomerID], Customers_cleaned[Segment]), "Customer Not Found"), "N/A")</f>
        <v>SMB</v>
      </c>
      <c r="P2143" s="5" t="str">
        <f>IF(Transactions_RAW_cleaned[[#This Row],[Status]]="Refunded", "Refund",
  IF(Transactions_RAW_cleaned[[#This Row],[Category]]="Payments", IF(Transactions_RAW_cleaned[[#This Row],[Amount]]&gt;500,"High Value","Standard"),
    IF(Transactions_RAW_cleaned[[#This Row],[Amount]]&gt;250,"High Value","Standard")))</f>
        <v>Standard</v>
      </c>
      <c r="Q2143" s="5" t="str">
        <f>IF(Transactions_RAW_cleaned[[#This Row],[Amount]] &gt; (_xlfn.XLOOKUP(Transactions_RAW_cleaned[[#This Row],[ServiceID]],Services_cleaned[ServiceID],Services_cleaned[TransactionFeePct]) * 10000), "Yes", "No")</f>
        <v>Yes</v>
      </c>
      <c r="R2143" s="5" t="str">
        <f>IF(COUNTIFS($C$2:Transactions_RAW_cleaned[[#This Row],[CustomerID]],Transactions_RAW_cleaned[[#This Row],[CustomerID]],$D$2:Transactions_RAW_cleaned[[#This Row],[ServiceID]],Transactions_RAW_cleaned[[#This Row],[ServiceID]])=1,"Yes","No")</f>
        <v>Yes</v>
      </c>
      <c r="S214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143" t="str">
        <f>"Q"&amp;ROUNDUP(MONTH(Transactions_RAW_cleaned[[#This Row],[TransactionDate]])/3,0)</f>
        <v>Q1</v>
      </c>
      <c r="U2143" t="str">
        <f>Transactions_RAW_cleaned[[#This Row],[Region ]]&amp;Transactions_RAW_cleaned[[#This Row],[Quarter ]]</f>
        <v>EMEAQ1</v>
      </c>
      <c r="V2143" s="5">
        <f>_xlfn.XLOOKUP(Transactions_RAW_cleaned[[#This Row],[RegionQuarterKey]], Quarterly_Targets_cleaned[RegionQuarterKey], Quarterly_Targets_cleaned[TargetRevenue])</f>
        <v>133000</v>
      </c>
    </row>
    <row r="2144" spans="1:22" x14ac:dyDescent="0.25">
      <c r="A2144" t="s">
        <v>2481</v>
      </c>
      <c r="B2144" s="1">
        <v>45414</v>
      </c>
      <c r="C2144" t="s">
        <v>53</v>
      </c>
      <c r="D2144" t="s">
        <v>306</v>
      </c>
      <c r="E2144">
        <v>452.48</v>
      </c>
      <c r="F2144" t="s">
        <v>381</v>
      </c>
      <c r="G2144" t="s">
        <v>327</v>
      </c>
      <c r="I2144" t="s">
        <v>17</v>
      </c>
      <c r="J2144" t="s">
        <v>21</v>
      </c>
      <c r="K2144" t="s">
        <v>28</v>
      </c>
      <c r="L2144" t="s">
        <v>307</v>
      </c>
      <c r="M2144" t="s">
        <v>308</v>
      </c>
      <c r="N2144">
        <v>0</v>
      </c>
      <c r="O2144" t="str">
        <f>IF(Transactions_RAW_cleaned[[#This Row],[Status]]="Completed", IFERROR(_xlfn.XLOOKUP(Transactions_RAW_cleaned[[#This Row],[CustomerID]], Customers_cleaned[CustomerID], Customers_cleaned[Segment]), "Customer Not Found"), "N/A")</f>
        <v>N/A</v>
      </c>
      <c r="P2144" s="5" t="str">
        <f>IF(Transactions_RAW_cleaned[[#This Row],[Status]]="Refunded", "Refund",
  IF(Transactions_RAW_cleaned[[#This Row],[Category]]="Payments", IF(Transactions_RAW_cleaned[[#This Row],[Amount]]&gt;500,"High Value","Standard"),
    IF(Transactions_RAW_cleaned[[#This Row],[Amount]]&gt;250,"High Value","Standard")))</f>
        <v>High Value</v>
      </c>
      <c r="Q2144" s="5" t="str">
        <f>IF(Transactions_RAW_cleaned[[#This Row],[Amount]] &gt; (_xlfn.XLOOKUP(Transactions_RAW_cleaned[[#This Row],[ServiceID]],Services_cleaned[ServiceID],Services_cleaned[TransactionFeePct]) * 10000), "Yes", "No")</f>
        <v>Yes</v>
      </c>
      <c r="R2144" s="5" t="str">
        <f>IF(COUNTIFS($C$2:Transactions_RAW_cleaned[[#This Row],[CustomerID]],Transactions_RAW_cleaned[[#This Row],[CustomerID]],$D$2:Transactions_RAW_cleaned[[#This Row],[ServiceID]],Transactions_RAW_cleaned[[#This Row],[ServiceID]])=1,"Yes","No")</f>
        <v>Yes</v>
      </c>
      <c r="S214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44" t="str">
        <f>"Q"&amp;ROUNDUP(MONTH(Transactions_RAW_cleaned[[#This Row],[TransactionDate]])/3,0)</f>
        <v>Q2</v>
      </c>
      <c r="U2144" t="str">
        <f>Transactions_RAW_cleaned[[#This Row],[Region ]]&amp;Transactions_RAW_cleaned[[#This Row],[Quarter ]]</f>
        <v>APACQ2</v>
      </c>
      <c r="V2144" s="5">
        <f>_xlfn.XLOOKUP(Transactions_RAW_cleaned[[#This Row],[RegionQuarterKey]], Quarterly_Targets_cleaned[RegionQuarterKey], Quarterly_Targets_cleaned[TargetRevenue])</f>
        <v>110000</v>
      </c>
    </row>
    <row r="2145" spans="1:22" x14ac:dyDescent="0.25">
      <c r="A2145" t="s">
        <v>2482</v>
      </c>
      <c r="B2145" s="1">
        <v>45515</v>
      </c>
      <c r="C2145" t="s">
        <v>173</v>
      </c>
      <c r="D2145" t="s">
        <v>297</v>
      </c>
      <c r="E2145">
        <v>164.59</v>
      </c>
      <c r="F2145" t="s">
        <v>324</v>
      </c>
      <c r="G2145" t="s">
        <v>2963</v>
      </c>
      <c r="I2145" t="s">
        <v>8</v>
      </c>
      <c r="J2145" t="s">
        <v>46</v>
      </c>
      <c r="K2145" t="s">
        <v>32</v>
      </c>
      <c r="L2145" t="s">
        <v>298</v>
      </c>
      <c r="M2145" t="s">
        <v>299</v>
      </c>
      <c r="N2145">
        <v>0</v>
      </c>
      <c r="O2145" t="str">
        <f>IF(Transactions_RAW_cleaned[[#This Row],[Status]]="Completed", IFERROR(_xlfn.XLOOKUP(Transactions_RAW_cleaned[[#This Row],[CustomerID]], Customers_cleaned[CustomerID], Customers_cleaned[Segment]), "Customer Not Found"), "N/A")</f>
        <v>SMB</v>
      </c>
      <c r="P2145" s="5" t="str">
        <f>IF(Transactions_RAW_cleaned[[#This Row],[Status]]="Refunded", "Refund",
  IF(Transactions_RAW_cleaned[[#This Row],[Category]]="Payments", IF(Transactions_RAW_cleaned[[#This Row],[Amount]]&gt;500,"High Value","Standard"),
    IF(Transactions_RAW_cleaned[[#This Row],[Amount]]&gt;250,"High Value","Standard")))</f>
        <v>Standard</v>
      </c>
      <c r="Q2145" s="5" t="str">
        <f>IF(Transactions_RAW_cleaned[[#This Row],[Amount]] &gt; (_xlfn.XLOOKUP(Transactions_RAW_cleaned[[#This Row],[ServiceID]],Services_cleaned[ServiceID],Services_cleaned[TransactionFeePct]) * 10000), "Yes", "No")</f>
        <v>Yes</v>
      </c>
      <c r="R2145" s="5" t="str">
        <f>IF(COUNTIFS($C$2:Transactions_RAW_cleaned[[#This Row],[CustomerID]],Transactions_RAW_cleaned[[#This Row],[CustomerID]],$D$2:Transactions_RAW_cleaned[[#This Row],[ServiceID]],Transactions_RAW_cleaned[[#This Row],[ServiceID]])=1,"Yes","No")</f>
        <v>Yes</v>
      </c>
      <c r="S214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45" t="str">
        <f>"Q"&amp;ROUNDUP(MONTH(Transactions_RAW_cleaned[[#This Row],[TransactionDate]])/3,0)</f>
        <v>Q3</v>
      </c>
      <c r="U2145" t="str">
        <f>Transactions_RAW_cleaned[[#This Row],[Region ]]&amp;Transactions_RAW_cleaned[[#This Row],[Quarter ]]</f>
        <v>APACQ3</v>
      </c>
      <c r="V2145" s="5">
        <f>_xlfn.XLOOKUP(Transactions_RAW_cleaned[[#This Row],[RegionQuarterKey]], Quarterly_Targets_cleaned[RegionQuarterKey], Quarterly_Targets_cleaned[TargetRevenue])</f>
        <v>115500</v>
      </c>
    </row>
    <row r="2146" spans="1:22" x14ac:dyDescent="0.25">
      <c r="A2146" t="s">
        <v>2483</v>
      </c>
      <c r="B2146" s="1">
        <v>45548</v>
      </c>
      <c r="C2146" t="s">
        <v>100</v>
      </c>
      <c r="D2146" t="s">
        <v>294</v>
      </c>
      <c r="E2146">
        <v>448.17</v>
      </c>
      <c r="F2146" t="s">
        <v>324</v>
      </c>
      <c r="G2146" t="s">
        <v>337</v>
      </c>
      <c r="I2146" t="s">
        <v>8</v>
      </c>
      <c r="J2146" t="s">
        <v>102</v>
      </c>
      <c r="K2146" t="s">
        <v>22</v>
      </c>
      <c r="L2146" t="s">
        <v>295</v>
      </c>
      <c r="M2146" t="s">
        <v>296</v>
      </c>
      <c r="N2146">
        <v>2.9000000000000001E-2</v>
      </c>
      <c r="O2146" t="str">
        <f>IF(Transactions_RAW_cleaned[[#This Row],[Status]]="Completed", IFERROR(_xlfn.XLOOKUP(Transactions_RAW_cleaned[[#This Row],[CustomerID]], Customers_cleaned[CustomerID], Customers_cleaned[Segment]), "Customer Not Found"), "N/A")</f>
        <v>SMB</v>
      </c>
      <c r="P2146" s="5" t="str">
        <f>IF(Transactions_RAW_cleaned[[#This Row],[Status]]="Refunded", "Refund",
  IF(Transactions_RAW_cleaned[[#This Row],[Category]]="Payments", IF(Transactions_RAW_cleaned[[#This Row],[Amount]]&gt;500,"High Value","Standard"),
    IF(Transactions_RAW_cleaned[[#This Row],[Amount]]&gt;250,"High Value","Standard")))</f>
        <v>Standard</v>
      </c>
      <c r="Q2146" s="5" t="str">
        <f>IF(Transactions_RAW_cleaned[[#This Row],[Amount]] &gt; (_xlfn.XLOOKUP(Transactions_RAW_cleaned[[#This Row],[ServiceID]],Services_cleaned[ServiceID],Services_cleaned[TransactionFeePct]) * 10000), "Yes", "No")</f>
        <v>Yes</v>
      </c>
      <c r="R2146" s="5" t="str">
        <f>IF(COUNTIFS($C$2:Transactions_RAW_cleaned[[#This Row],[CustomerID]],Transactions_RAW_cleaned[[#This Row],[CustomerID]],$D$2:Transactions_RAW_cleaned[[#This Row],[ServiceID]],Transactions_RAW_cleaned[[#This Row],[ServiceID]])=1,"Yes","No")</f>
        <v>No</v>
      </c>
      <c r="S214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46" t="str">
        <f>"Q"&amp;ROUNDUP(MONTH(Transactions_RAW_cleaned[[#This Row],[TransactionDate]])/3,0)</f>
        <v>Q3</v>
      </c>
      <c r="U2146" t="str">
        <f>Transactions_RAW_cleaned[[#This Row],[Region ]]&amp;Transactions_RAW_cleaned[[#This Row],[Quarter ]]</f>
        <v>NAQ3</v>
      </c>
      <c r="V2146" s="5">
        <f>_xlfn.XLOOKUP(Transactions_RAW_cleaned[[#This Row],[RegionQuarterKey]], Quarterly_Targets_cleaned[RegionQuarterKey], Quarterly_Targets_cleaned[TargetRevenue])</f>
        <v>273000</v>
      </c>
    </row>
    <row r="2147" spans="1:22" x14ac:dyDescent="0.25">
      <c r="A2147" t="s">
        <v>2484</v>
      </c>
      <c r="B2147" s="1">
        <v>45392</v>
      </c>
      <c r="C2147" t="s">
        <v>119</v>
      </c>
      <c r="D2147" t="s">
        <v>294</v>
      </c>
      <c r="E2147">
        <v>587.59</v>
      </c>
      <c r="F2147" t="s">
        <v>331</v>
      </c>
      <c r="G2147" t="s">
        <v>2963</v>
      </c>
      <c r="I2147" t="s">
        <v>57</v>
      </c>
      <c r="J2147" t="s">
        <v>102</v>
      </c>
      <c r="K2147" t="s">
        <v>18</v>
      </c>
      <c r="L2147" t="s">
        <v>295</v>
      </c>
      <c r="M2147" t="s">
        <v>296</v>
      </c>
      <c r="N2147">
        <v>2.9000000000000001E-2</v>
      </c>
      <c r="O2147" t="str">
        <f>IF(Transactions_RAW_cleaned[[#This Row],[Status]]="Completed", IFERROR(_xlfn.XLOOKUP(Transactions_RAW_cleaned[[#This Row],[CustomerID]], Customers_cleaned[CustomerID], Customers_cleaned[Segment]), "Customer Not Found"), "N/A")</f>
        <v>N/A</v>
      </c>
      <c r="P2147" s="5" t="str">
        <f>IF(Transactions_RAW_cleaned[[#This Row],[Status]]="Refunded", "Refund",
  IF(Transactions_RAW_cleaned[[#This Row],[Category]]="Payments", IF(Transactions_RAW_cleaned[[#This Row],[Amount]]&gt;500,"High Value","Standard"),
    IF(Transactions_RAW_cleaned[[#This Row],[Amount]]&gt;250,"High Value","Standard")))</f>
        <v>High Value</v>
      </c>
      <c r="Q2147" s="5" t="str">
        <f>IF(Transactions_RAW_cleaned[[#This Row],[Amount]] &gt; (_xlfn.XLOOKUP(Transactions_RAW_cleaned[[#This Row],[ServiceID]],Services_cleaned[ServiceID],Services_cleaned[TransactionFeePct]) * 10000), "Yes", "No")</f>
        <v>Yes</v>
      </c>
      <c r="R2147" s="5" t="str">
        <f>IF(COUNTIFS($C$2:Transactions_RAW_cleaned[[#This Row],[CustomerID]],Transactions_RAW_cleaned[[#This Row],[CustomerID]],$D$2:Transactions_RAW_cleaned[[#This Row],[ServiceID]],Transactions_RAW_cleaned[[#This Row],[ServiceID]])=1,"Yes","No")</f>
        <v>No</v>
      </c>
      <c r="S214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47" t="str">
        <f>"Q"&amp;ROUNDUP(MONTH(Transactions_RAW_cleaned[[#This Row],[TransactionDate]])/3,0)</f>
        <v>Q2</v>
      </c>
      <c r="U2147" t="str">
        <f>Transactions_RAW_cleaned[[#This Row],[Region ]]&amp;Transactions_RAW_cleaned[[#This Row],[Quarter ]]</f>
        <v>NAQ2</v>
      </c>
      <c r="V2147" s="5">
        <f>_xlfn.XLOOKUP(Transactions_RAW_cleaned[[#This Row],[RegionQuarterKey]], Quarterly_Targets_cleaned[RegionQuarterKey], Quarterly_Targets_cleaned[TargetRevenue])</f>
        <v>260000</v>
      </c>
    </row>
    <row r="2148" spans="1:22" x14ac:dyDescent="0.25">
      <c r="A2148" t="s">
        <v>2485</v>
      </c>
      <c r="B2148" s="1">
        <v>45432</v>
      </c>
      <c r="C2148" t="s">
        <v>90</v>
      </c>
      <c r="D2148" t="s">
        <v>315</v>
      </c>
      <c r="E2148">
        <v>538.26</v>
      </c>
      <c r="F2148" t="s">
        <v>324</v>
      </c>
      <c r="G2148" t="s">
        <v>325</v>
      </c>
      <c r="H2148" t="s">
        <v>334</v>
      </c>
      <c r="I2148" t="s">
        <v>8</v>
      </c>
      <c r="J2148" t="s">
        <v>102</v>
      </c>
      <c r="K2148" t="s">
        <v>28</v>
      </c>
      <c r="L2148" t="s">
        <v>316</v>
      </c>
      <c r="M2148" t="s">
        <v>305</v>
      </c>
      <c r="N2148">
        <v>2.5000000000000001E-3</v>
      </c>
      <c r="O2148" t="str">
        <f>IF(Transactions_RAW_cleaned[[#This Row],[Status]]="Completed", IFERROR(_xlfn.XLOOKUP(Transactions_RAW_cleaned[[#This Row],[CustomerID]], Customers_cleaned[CustomerID], Customers_cleaned[Segment]), "Customer Not Found"), "N/A")</f>
        <v>SMB</v>
      </c>
      <c r="P2148" s="5" t="str">
        <f>IF(Transactions_RAW_cleaned[[#This Row],[Status]]="Refunded", "Refund",
  IF(Transactions_RAW_cleaned[[#This Row],[Category]]="Payments", IF(Transactions_RAW_cleaned[[#This Row],[Amount]]&gt;500,"High Value","Standard"),
    IF(Transactions_RAW_cleaned[[#This Row],[Amount]]&gt;250,"High Value","Standard")))</f>
        <v>High Value</v>
      </c>
      <c r="Q2148" s="5" t="str">
        <f>IF(Transactions_RAW_cleaned[[#This Row],[Amount]] &gt; (_xlfn.XLOOKUP(Transactions_RAW_cleaned[[#This Row],[ServiceID]],Services_cleaned[ServiceID],Services_cleaned[TransactionFeePct]) * 10000), "Yes", "No")</f>
        <v>Yes</v>
      </c>
      <c r="R2148" s="5" t="str">
        <f>IF(COUNTIFS($C$2:Transactions_RAW_cleaned[[#This Row],[CustomerID]],Transactions_RAW_cleaned[[#This Row],[CustomerID]],$D$2:Transactions_RAW_cleaned[[#This Row],[ServiceID]],Transactions_RAW_cleaned[[#This Row],[ServiceID]])=1,"Yes","No")</f>
        <v>No</v>
      </c>
      <c r="S214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48" t="str">
        <f>"Q"&amp;ROUNDUP(MONTH(Transactions_RAW_cleaned[[#This Row],[TransactionDate]])/3,0)</f>
        <v>Q2</v>
      </c>
      <c r="U2148" t="str">
        <f>Transactions_RAW_cleaned[[#This Row],[Region ]]&amp;Transactions_RAW_cleaned[[#This Row],[Quarter ]]</f>
        <v>NAQ2</v>
      </c>
      <c r="V2148" s="5">
        <f>_xlfn.XLOOKUP(Transactions_RAW_cleaned[[#This Row],[RegionQuarterKey]], Quarterly_Targets_cleaned[RegionQuarterKey], Quarterly_Targets_cleaned[TargetRevenue])</f>
        <v>260000</v>
      </c>
    </row>
    <row r="2149" spans="1:22" x14ac:dyDescent="0.25">
      <c r="A2149" t="s">
        <v>2486</v>
      </c>
      <c r="B2149" s="1">
        <v>45646</v>
      </c>
      <c r="C2149" t="s">
        <v>26</v>
      </c>
      <c r="D2149" t="s">
        <v>315</v>
      </c>
      <c r="E2149">
        <v>613.19000000000005</v>
      </c>
      <c r="F2149" t="s">
        <v>324</v>
      </c>
      <c r="G2149" t="s">
        <v>329</v>
      </c>
      <c r="H2149" t="s">
        <v>346</v>
      </c>
      <c r="I2149" t="s">
        <v>8</v>
      </c>
      <c r="J2149" t="s">
        <v>102</v>
      </c>
      <c r="K2149" t="s">
        <v>28</v>
      </c>
      <c r="L2149" t="s">
        <v>316</v>
      </c>
      <c r="M2149" t="s">
        <v>305</v>
      </c>
      <c r="N2149">
        <v>2.5000000000000001E-3</v>
      </c>
      <c r="O2149" t="str">
        <f>IF(Transactions_RAW_cleaned[[#This Row],[Status]]="Completed", IFERROR(_xlfn.XLOOKUP(Transactions_RAW_cleaned[[#This Row],[CustomerID]], Customers_cleaned[CustomerID], Customers_cleaned[Segment]), "Customer Not Found"), "N/A")</f>
        <v>SMB</v>
      </c>
      <c r="P2149" s="5" t="str">
        <f>IF(Transactions_RAW_cleaned[[#This Row],[Status]]="Refunded", "Refund",
  IF(Transactions_RAW_cleaned[[#This Row],[Category]]="Payments", IF(Transactions_RAW_cleaned[[#This Row],[Amount]]&gt;500,"High Value","Standard"),
    IF(Transactions_RAW_cleaned[[#This Row],[Amount]]&gt;250,"High Value","Standard")))</f>
        <v>High Value</v>
      </c>
      <c r="Q2149" s="5" t="str">
        <f>IF(Transactions_RAW_cleaned[[#This Row],[Amount]] &gt; (_xlfn.XLOOKUP(Transactions_RAW_cleaned[[#This Row],[ServiceID]],Services_cleaned[ServiceID],Services_cleaned[TransactionFeePct]) * 10000), "Yes", "No")</f>
        <v>Yes</v>
      </c>
      <c r="R2149" s="5" t="str">
        <f>IF(COUNTIFS($C$2:Transactions_RAW_cleaned[[#This Row],[CustomerID]],Transactions_RAW_cleaned[[#This Row],[CustomerID]],$D$2:Transactions_RAW_cleaned[[#This Row],[ServiceID]],Transactions_RAW_cleaned[[#This Row],[ServiceID]])=1,"Yes","No")</f>
        <v>No</v>
      </c>
      <c r="S214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49" t="str">
        <f>"Q"&amp;ROUNDUP(MONTH(Transactions_RAW_cleaned[[#This Row],[TransactionDate]])/3,0)</f>
        <v>Q4</v>
      </c>
      <c r="U2149" t="str">
        <f>Transactions_RAW_cleaned[[#This Row],[Region ]]&amp;Transactions_RAW_cleaned[[#This Row],[Quarter ]]</f>
        <v>NAQ4</v>
      </c>
      <c r="V2149" s="5">
        <f>_xlfn.XLOOKUP(Transactions_RAW_cleaned[[#This Row],[RegionQuarterKey]], Quarterly_Targets_cleaned[RegionQuarterKey], Quarterly_Targets_cleaned[TargetRevenue])</f>
        <v>299000</v>
      </c>
    </row>
    <row r="2150" spans="1:22" x14ac:dyDescent="0.25">
      <c r="A2150" t="s">
        <v>2487</v>
      </c>
      <c r="B2150" s="1">
        <v>45560</v>
      </c>
      <c r="C2150" t="s">
        <v>267</v>
      </c>
      <c r="D2150" t="s">
        <v>306</v>
      </c>
      <c r="E2150">
        <v>296.86</v>
      </c>
      <c r="F2150" t="s">
        <v>324</v>
      </c>
      <c r="G2150" t="s">
        <v>327</v>
      </c>
      <c r="H2150" t="s">
        <v>334</v>
      </c>
      <c r="I2150" t="s">
        <v>8</v>
      </c>
      <c r="J2150" t="s">
        <v>102</v>
      </c>
      <c r="K2150" t="s">
        <v>22</v>
      </c>
      <c r="L2150" t="s">
        <v>307</v>
      </c>
      <c r="M2150" t="s">
        <v>308</v>
      </c>
      <c r="N2150">
        <v>0</v>
      </c>
      <c r="O2150" t="str">
        <f>IF(Transactions_RAW_cleaned[[#This Row],[Status]]="Completed", IFERROR(_xlfn.XLOOKUP(Transactions_RAW_cleaned[[#This Row],[CustomerID]], Customers_cleaned[CustomerID], Customers_cleaned[Segment]), "Customer Not Found"), "N/A")</f>
        <v>SMB</v>
      </c>
      <c r="P2150" s="5" t="str">
        <f>IF(Transactions_RAW_cleaned[[#This Row],[Status]]="Refunded", "Refund",
  IF(Transactions_RAW_cleaned[[#This Row],[Category]]="Payments", IF(Transactions_RAW_cleaned[[#This Row],[Amount]]&gt;500,"High Value","Standard"),
    IF(Transactions_RAW_cleaned[[#This Row],[Amount]]&gt;250,"High Value","Standard")))</f>
        <v>High Value</v>
      </c>
      <c r="Q2150" s="5" t="str">
        <f>IF(Transactions_RAW_cleaned[[#This Row],[Amount]] &gt; (_xlfn.XLOOKUP(Transactions_RAW_cleaned[[#This Row],[ServiceID]],Services_cleaned[ServiceID],Services_cleaned[TransactionFeePct]) * 10000), "Yes", "No")</f>
        <v>Yes</v>
      </c>
      <c r="R2150" s="5" t="str">
        <f>IF(COUNTIFS($C$2:Transactions_RAW_cleaned[[#This Row],[CustomerID]],Transactions_RAW_cleaned[[#This Row],[CustomerID]],$D$2:Transactions_RAW_cleaned[[#This Row],[ServiceID]],Transactions_RAW_cleaned[[#This Row],[ServiceID]])=1,"Yes","No")</f>
        <v>Yes</v>
      </c>
      <c r="S215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50" t="str">
        <f>"Q"&amp;ROUNDUP(MONTH(Transactions_RAW_cleaned[[#This Row],[TransactionDate]])/3,0)</f>
        <v>Q3</v>
      </c>
      <c r="U2150" t="str">
        <f>Transactions_RAW_cleaned[[#This Row],[Region ]]&amp;Transactions_RAW_cleaned[[#This Row],[Quarter ]]</f>
        <v>NAQ3</v>
      </c>
      <c r="V2150" s="5">
        <f>_xlfn.XLOOKUP(Transactions_RAW_cleaned[[#This Row],[RegionQuarterKey]], Quarterly_Targets_cleaned[RegionQuarterKey], Quarterly_Targets_cleaned[TargetRevenue])</f>
        <v>273000</v>
      </c>
    </row>
    <row r="2151" spans="1:22" x14ac:dyDescent="0.25">
      <c r="A2151" t="s">
        <v>2488</v>
      </c>
      <c r="B2151" s="1">
        <v>45436</v>
      </c>
      <c r="C2151" t="s">
        <v>199</v>
      </c>
      <c r="D2151" t="s">
        <v>294</v>
      </c>
      <c r="E2151">
        <v>432.16</v>
      </c>
      <c r="F2151" t="s">
        <v>324</v>
      </c>
      <c r="G2151" t="s">
        <v>329</v>
      </c>
      <c r="H2151" t="s">
        <v>346</v>
      </c>
      <c r="I2151" t="s">
        <v>8</v>
      </c>
      <c r="J2151" t="s">
        <v>13</v>
      </c>
      <c r="K2151" t="s">
        <v>32</v>
      </c>
      <c r="L2151" t="s">
        <v>295</v>
      </c>
      <c r="M2151" t="s">
        <v>296</v>
      </c>
      <c r="N2151">
        <v>2.9000000000000001E-2</v>
      </c>
      <c r="O2151" t="str">
        <f>IF(Transactions_RAW_cleaned[[#This Row],[Status]]="Completed", IFERROR(_xlfn.XLOOKUP(Transactions_RAW_cleaned[[#This Row],[CustomerID]], Customers_cleaned[CustomerID], Customers_cleaned[Segment]), "Customer Not Found"), "N/A")</f>
        <v>SMB</v>
      </c>
      <c r="P2151" s="5" t="str">
        <f>IF(Transactions_RAW_cleaned[[#This Row],[Status]]="Refunded", "Refund",
  IF(Transactions_RAW_cleaned[[#This Row],[Category]]="Payments", IF(Transactions_RAW_cleaned[[#This Row],[Amount]]&gt;500,"High Value","Standard"),
    IF(Transactions_RAW_cleaned[[#This Row],[Amount]]&gt;250,"High Value","Standard")))</f>
        <v>Standard</v>
      </c>
      <c r="Q2151" s="5" t="str">
        <f>IF(Transactions_RAW_cleaned[[#This Row],[Amount]] &gt; (_xlfn.XLOOKUP(Transactions_RAW_cleaned[[#This Row],[ServiceID]],Services_cleaned[ServiceID],Services_cleaned[TransactionFeePct]) * 10000), "Yes", "No")</f>
        <v>Yes</v>
      </c>
      <c r="R2151" s="5" t="str">
        <f>IF(COUNTIFS($C$2:Transactions_RAW_cleaned[[#This Row],[CustomerID]],Transactions_RAW_cleaned[[#This Row],[CustomerID]],$D$2:Transactions_RAW_cleaned[[#This Row],[ServiceID]],Transactions_RAW_cleaned[[#This Row],[ServiceID]])=1,"Yes","No")</f>
        <v>No</v>
      </c>
      <c r="S215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51" t="str">
        <f>"Q"&amp;ROUNDUP(MONTH(Transactions_RAW_cleaned[[#This Row],[TransactionDate]])/3,0)</f>
        <v>Q2</v>
      </c>
      <c r="U2151" t="str">
        <f>Transactions_RAW_cleaned[[#This Row],[Region ]]&amp;Transactions_RAW_cleaned[[#This Row],[Quarter ]]</f>
        <v>NAQ2</v>
      </c>
      <c r="V2151" s="5">
        <f>_xlfn.XLOOKUP(Transactions_RAW_cleaned[[#This Row],[RegionQuarterKey]], Quarterly_Targets_cleaned[RegionQuarterKey], Quarterly_Targets_cleaned[TargetRevenue])</f>
        <v>260000</v>
      </c>
    </row>
    <row r="2152" spans="1:22" x14ac:dyDescent="0.25">
      <c r="A2152" t="s">
        <v>2489</v>
      </c>
      <c r="B2152" s="1">
        <v>45476</v>
      </c>
      <c r="C2152" t="s">
        <v>98</v>
      </c>
      <c r="D2152" t="s">
        <v>300</v>
      </c>
      <c r="E2152">
        <v>728.04</v>
      </c>
      <c r="F2152" t="s">
        <v>324</v>
      </c>
      <c r="G2152" t="s">
        <v>329</v>
      </c>
      <c r="H2152" t="s">
        <v>346</v>
      </c>
      <c r="I2152" t="s">
        <v>8</v>
      </c>
      <c r="J2152" t="s">
        <v>37</v>
      </c>
      <c r="K2152" t="s">
        <v>18</v>
      </c>
      <c r="L2152" t="s">
        <v>301</v>
      </c>
      <c r="M2152" t="s">
        <v>302</v>
      </c>
      <c r="N2152">
        <v>5.0000000000000001E-3</v>
      </c>
      <c r="O2152" t="str">
        <f>IF(Transactions_RAW_cleaned[[#This Row],[Status]]="Completed", IFERROR(_xlfn.XLOOKUP(Transactions_RAW_cleaned[[#This Row],[CustomerID]], Customers_cleaned[CustomerID], Customers_cleaned[Segment]), "Customer Not Found"), "N/A")</f>
        <v>SMB</v>
      </c>
      <c r="P2152" s="5" t="str">
        <f>IF(Transactions_RAW_cleaned[[#This Row],[Status]]="Refunded", "Refund",
  IF(Transactions_RAW_cleaned[[#This Row],[Category]]="Payments", IF(Transactions_RAW_cleaned[[#This Row],[Amount]]&gt;500,"High Value","Standard"),
    IF(Transactions_RAW_cleaned[[#This Row],[Amount]]&gt;250,"High Value","Standard")))</f>
        <v>High Value</v>
      </c>
      <c r="Q2152" s="5" t="str">
        <f>IF(Transactions_RAW_cleaned[[#This Row],[Amount]] &gt; (_xlfn.XLOOKUP(Transactions_RAW_cleaned[[#This Row],[ServiceID]],Services_cleaned[ServiceID],Services_cleaned[TransactionFeePct]) * 10000), "Yes", "No")</f>
        <v>Yes</v>
      </c>
      <c r="R2152" s="5" t="str">
        <f>IF(COUNTIFS($C$2:Transactions_RAW_cleaned[[#This Row],[CustomerID]],Transactions_RAW_cleaned[[#This Row],[CustomerID]],$D$2:Transactions_RAW_cleaned[[#This Row],[ServiceID]],Transactions_RAW_cleaned[[#This Row],[ServiceID]])=1,"Yes","No")</f>
        <v>No</v>
      </c>
      <c r="S215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152" t="str">
        <f>"Q"&amp;ROUNDUP(MONTH(Transactions_RAW_cleaned[[#This Row],[TransactionDate]])/3,0)</f>
        <v>Q3</v>
      </c>
      <c r="U2152" t="str">
        <f>Transactions_RAW_cleaned[[#This Row],[Region ]]&amp;Transactions_RAW_cleaned[[#This Row],[Quarter ]]</f>
        <v>EMEAQ3</v>
      </c>
      <c r="V2152" s="5">
        <f>_xlfn.XLOOKUP(Transactions_RAW_cleaned[[#This Row],[RegionQuarterKey]], Quarterly_Targets_cleaned[RegionQuarterKey], Quarterly_Targets_cleaned[TargetRevenue])</f>
        <v>147000</v>
      </c>
    </row>
    <row r="2153" spans="1:22" x14ac:dyDescent="0.25">
      <c r="A2153" t="s">
        <v>2490</v>
      </c>
      <c r="B2153" s="1">
        <v>45303</v>
      </c>
      <c r="C2153" t="s">
        <v>129</v>
      </c>
      <c r="D2153" t="s">
        <v>312</v>
      </c>
      <c r="E2153">
        <v>915.72</v>
      </c>
      <c r="F2153" t="s">
        <v>324</v>
      </c>
      <c r="G2153" t="s">
        <v>337</v>
      </c>
      <c r="H2153" t="s">
        <v>332</v>
      </c>
      <c r="I2153" t="s">
        <v>8</v>
      </c>
      <c r="J2153" t="s">
        <v>21</v>
      </c>
      <c r="K2153" t="s">
        <v>18</v>
      </c>
      <c r="L2153" t="s">
        <v>313</v>
      </c>
      <c r="M2153" t="s">
        <v>314</v>
      </c>
      <c r="N2153">
        <v>0</v>
      </c>
      <c r="O2153" t="str">
        <f>IF(Transactions_RAW_cleaned[[#This Row],[Status]]="Completed", IFERROR(_xlfn.XLOOKUP(Transactions_RAW_cleaned[[#This Row],[CustomerID]], Customers_cleaned[CustomerID], Customers_cleaned[Segment]), "Customer Not Found"), "N/A")</f>
        <v>SMB</v>
      </c>
      <c r="P2153" s="5" t="str">
        <f>IF(Transactions_RAW_cleaned[[#This Row],[Status]]="Refunded", "Refund",
  IF(Transactions_RAW_cleaned[[#This Row],[Category]]="Payments", IF(Transactions_RAW_cleaned[[#This Row],[Amount]]&gt;500,"High Value","Standard"),
    IF(Transactions_RAW_cleaned[[#This Row],[Amount]]&gt;250,"High Value","Standard")))</f>
        <v>High Value</v>
      </c>
      <c r="Q2153" s="5" t="str">
        <f>IF(Transactions_RAW_cleaned[[#This Row],[Amount]] &gt; (_xlfn.XLOOKUP(Transactions_RAW_cleaned[[#This Row],[ServiceID]],Services_cleaned[ServiceID],Services_cleaned[TransactionFeePct]) * 10000), "Yes", "No")</f>
        <v>Yes</v>
      </c>
      <c r="R2153" s="5" t="str">
        <f>IF(COUNTIFS($C$2:Transactions_RAW_cleaned[[#This Row],[CustomerID]],Transactions_RAW_cleaned[[#This Row],[CustomerID]],$D$2:Transactions_RAW_cleaned[[#This Row],[ServiceID]],Transactions_RAW_cleaned[[#This Row],[ServiceID]])=1,"Yes","No")</f>
        <v>No</v>
      </c>
      <c r="S215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53" t="str">
        <f>"Q"&amp;ROUNDUP(MONTH(Transactions_RAW_cleaned[[#This Row],[TransactionDate]])/3,0)</f>
        <v>Q1</v>
      </c>
      <c r="U2153" t="str">
        <f>Transactions_RAW_cleaned[[#This Row],[Region ]]&amp;Transactions_RAW_cleaned[[#This Row],[Quarter ]]</f>
        <v>APACQ1</v>
      </c>
      <c r="V2153" s="5">
        <f>_xlfn.XLOOKUP(Transactions_RAW_cleaned[[#This Row],[RegionQuarterKey]], Quarterly_Targets_cleaned[RegionQuarterKey], Quarterly_Targets_cleaned[TargetRevenue])</f>
        <v>104500</v>
      </c>
    </row>
    <row r="2154" spans="1:22" x14ac:dyDescent="0.25">
      <c r="A2154" t="s">
        <v>2491</v>
      </c>
      <c r="B2154" s="1">
        <v>45616</v>
      </c>
      <c r="C2154" t="s">
        <v>153</v>
      </c>
      <c r="D2154" t="s">
        <v>294</v>
      </c>
      <c r="E2154">
        <v>343.26</v>
      </c>
      <c r="F2154" t="s">
        <v>381</v>
      </c>
      <c r="G2154" t="s">
        <v>329</v>
      </c>
      <c r="I2154" t="s">
        <v>8</v>
      </c>
      <c r="J2154" t="s">
        <v>37</v>
      </c>
      <c r="K2154" t="s">
        <v>32</v>
      </c>
      <c r="L2154" t="s">
        <v>295</v>
      </c>
      <c r="M2154" t="s">
        <v>296</v>
      </c>
      <c r="N2154">
        <v>2.9000000000000001E-2</v>
      </c>
      <c r="O2154" t="str">
        <f>IF(Transactions_RAW_cleaned[[#This Row],[Status]]="Completed", IFERROR(_xlfn.XLOOKUP(Transactions_RAW_cleaned[[#This Row],[CustomerID]], Customers_cleaned[CustomerID], Customers_cleaned[Segment]), "Customer Not Found"), "N/A")</f>
        <v>N/A</v>
      </c>
      <c r="P2154" s="5" t="str">
        <f>IF(Transactions_RAW_cleaned[[#This Row],[Status]]="Refunded", "Refund",
  IF(Transactions_RAW_cleaned[[#This Row],[Category]]="Payments", IF(Transactions_RAW_cleaned[[#This Row],[Amount]]&gt;500,"High Value","Standard"),
    IF(Transactions_RAW_cleaned[[#This Row],[Amount]]&gt;250,"High Value","Standard")))</f>
        <v>Standard</v>
      </c>
      <c r="Q2154" s="5" t="str">
        <f>IF(Transactions_RAW_cleaned[[#This Row],[Amount]] &gt; (_xlfn.XLOOKUP(Transactions_RAW_cleaned[[#This Row],[ServiceID]],Services_cleaned[ServiceID],Services_cleaned[TransactionFeePct]) * 10000), "Yes", "No")</f>
        <v>Yes</v>
      </c>
      <c r="R2154" s="5" t="str">
        <f>IF(COUNTIFS($C$2:Transactions_RAW_cleaned[[#This Row],[CustomerID]],Transactions_RAW_cleaned[[#This Row],[CustomerID]],$D$2:Transactions_RAW_cleaned[[#This Row],[ServiceID]],Transactions_RAW_cleaned[[#This Row],[ServiceID]])=1,"Yes","No")</f>
        <v>No</v>
      </c>
      <c r="S215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154" t="str">
        <f>"Q"&amp;ROUNDUP(MONTH(Transactions_RAW_cleaned[[#This Row],[TransactionDate]])/3,0)</f>
        <v>Q4</v>
      </c>
      <c r="U2154" t="str">
        <f>Transactions_RAW_cleaned[[#This Row],[Region ]]&amp;Transactions_RAW_cleaned[[#This Row],[Quarter ]]</f>
        <v>EMEAQ4</v>
      </c>
      <c r="V2154" s="5">
        <f>_xlfn.XLOOKUP(Transactions_RAW_cleaned[[#This Row],[RegionQuarterKey]], Quarterly_Targets_cleaned[RegionQuarterKey], Quarterly_Targets_cleaned[TargetRevenue])</f>
        <v>161000</v>
      </c>
    </row>
    <row r="2155" spans="1:22" x14ac:dyDescent="0.25">
      <c r="A2155" t="s">
        <v>2492</v>
      </c>
      <c r="B2155" s="1">
        <v>45445</v>
      </c>
      <c r="C2155" t="s">
        <v>139</v>
      </c>
      <c r="D2155" t="s">
        <v>294</v>
      </c>
      <c r="E2155">
        <v>401.64</v>
      </c>
      <c r="F2155" t="s">
        <v>324</v>
      </c>
      <c r="G2155" t="s">
        <v>325</v>
      </c>
      <c r="I2155" t="s">
        <v>8</v>
      </c>
      <c r="J2155" t="s">
        <v>102</v>
      </c>
      <c r="K2155" t="s">
        <v>22</v>
      </c>
      <c r="L2155" t="s">
        <v>295</v>
      </c>
      <c r="M2155" t="s">
        <v>296</v>
      </c>
      <c r="N2155">
        <v>2.9000000000000001E-2</v>
      </c>
      <c r="O2155" t="str">
        <f>IF(Transactions_RAW_cleaned[[#This Row],[Status]]="Completed", IFERROR(_xlfn.XLOOKUP(Transactions_RAW_cleaned[[#This Row],[CustomerID]], Customers_cleaned[CustomerID], Customers_cleaned[Segment]), "Customer Not Found"), "N/A")</f>
        <v>SMB</v>
      </c>
      <c r="P2155" s="5" t="str">
        <f>IF(Transactions_RAW_cleaned[[#This Row],[Status]]="Refunded", "Refund",
  IF(Transactions_RAW_cleaned[[#This Row],[Category]]="Payments", IF(Transactions_RAW_cleaned[[#This Row],[Amount]]&gt;500,"High Value","Standard"),
    IF(Transactions_RAW_cleaned[[#This Row],[Amount]]&gt;250,"High Value","Standard")))</f>
        <v>Standard</v>
      </c>
      <c r="Q2155" s="5" t="str">
        <f>IF(Transactions_RAW_cleaned[[#This Row],[Amount]] &gt; (_xlfn.XLOOKUP(Transactions_RAW_cleaned[[#This Row],[ServiceID]],Services_cleaned[ServiceID],Services_cleaned[TransactionFeePct]) * 10000), "Yes", "No")</f>
        <v>Yes</v>
      </c>
      <c r="R2155" s="5" t="str">
        <f>IF(COUNTIFS($C$2:Transactions_RAW_cleaned[[#This Row],[CustomerID]],Transactions_RAW_cleaned[[#This Row],[CustomerID]],$D$2:Transactions_RAW_cleaned[[#This Row],[ServiceID]],Transactions_RAW_cleaned[[#This Row],[ServiceID]])=1,"Yes","No")</f>
        <v>No</v>
      </c>
      <c r="S215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55" t="str">
        <f>"Q"&amp;ROUNDUP(MONTH(Transactions_RAW_cleaned[[#This Row],[TransactionDate]])/3,0)</f>
        <v>Q2</v>
      </c>
      <c r="U2155" t="str">
        <f>Transactions_RAW_cleaned[[#This Row],[Region ]]&amp;Transactions_RAW_cleaned[[#This Row],[Quarter ]]</f>
        <v>NAQ2</v>
      </c>
      <c r="V2155" s="5">
        <f>_xlfn.XLOOKUP(Transactions_RAW_cleaned[[#This Row],[RegionQuarterKey]], Quarterly_Targets_cleaned[RegionQuarterKey], Quarterly_Targets_cleaned[TargetRevenue])</f>
        <v>260000</v>
      </c>
    </row>
    <row r="2156" spans="1:22" x14ac:dyDescent="0.25">
      <c r="A2156" t="s">
        <v>2493</v>
      </c>
      <c r="B2156" s="1">
        <v>45335</v>
      </c>
      <c r="C2156" t="s">
        <v>105</v>
      </c>
      <c r="D2156" t="s">
        <v>303</v>
      </c>
      <c r="E2156">
        <v>436.36</v>
      </c>
      <c r="F2156" t="s">
        <v>324</v>
      </c>
      <c r="G2156" t="s">
        <v>327</v>
      </c>
      <c r="I2156" t="s">
        <v>57</v>
      </c>
      <c r="J2156" t="s">
        <v>102</v>
      </c>
      <c r="K2156" t="s">
        <v>32</v>
      </c>
      <c r="L2156" t="s">
        <v>304</v>
      </c>
      <c r="M2156" t="s">
        <v>305</v>
      </c>
      <c r="N2156">
        <v>1E-3</v>
      </c>
      <c r="O2156" t="str">
        <f>IF(Transactions_RAW_cleaned[[#This Row],[Status]]="Completed", IFERROR(_xlfn.XLOOKUP(Transactions_RAW_cleaned[[#This Row],[CustomerID]], Customers_cleaned[CustomerID], Customers_cleaned[Segment]), "Customer Not Found"), "N/A")</f>
        <v>Startup</v>
      </c>
      <c r="P2156" s="5" t="str">
        <f>IF(Transactions_RAW_cleaned[[#This Row],[Status]]="Refunded", "Refund",
  IF(Transactions_RAW_cleaned[[#This Row],[Category]]="Payments", IF(Transactions_RAW_cleaned[[#This Row],[Amount]]&gt;500,"High Value","Standard"),
    IF(Transactions_RAW_cleaned[[#This Row],[Amount]]&gt;250,"High Value","Standard")))</f>
        <v>High Value</v>
      </c>
      <c r="Q2156" s="5" t="str">
        <f>IF(Transactions_RAW_cleaned[[#This Row],[Amount]] &gt; (_xlfn.XLOOKUP(Transactions_RAW_cleaned[[#This Row],[ServiceID]],Services_cleaned[ServiceID],Services_cleaned[TransactionFeePct]) * 10000), "Yes", "No")</f>
        <v>Yes</v>
      </c>
      <c r="R2156" s="5" t="str">
        <f>IF(COUNTIFS($C$2:Transactions_RAW_cleaned[[#This Row],[CustomerID]],Transactions_RAW_cleaned[[#This Row],[CustomerID]],$D$2:Transactions_RAW_cleaned[[#This Row],[ServiceID]],Transactions_RAW_cleaned[[#This Row],[ServiceID]])=1,"Yes","No")</f>
        <v>No</v>
      </c>
      <c r="S215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56" t="str">
        <f>"Q"&amp;ROUNDUP(MONTH(Transactions_RAW_cleaned[[#This Row],[TransactionDate]])/3,0)</f>
        <v>Q1</v>
      </c>
      <c r="U2156" t="str">
        <f>Transactions_RAW_cleaned[[#This Row],[Region ]]&amp;Transactions_RAW_cleaned[[#This Row],[Quarter ]]</f>
        <v>NAQ1</v>
      </c>
      <c r="V2156" s="5">
        <f>_xlfn.XLOOKUP(Transactions_RAW_cleaned[[#This Row],[RegionQuarterKey]], Quarterly_Targets_cleaned[RegionQuarterKey], Quarterly_Targets_cleaned[TargetRevenue])</f>
        <v>247000</v>
      </c>
    </row>
    <row r="2157" spans="1:22" x14ac:dyDescent="0.25">
      <c r="A2157" t="s">
        <v>2494</v>
      </c>
      <c r="B2157" s="1">
        <v>45403</v>
      </c>
      <c r="C2157" t="s">
        <v>223</v>
      </c>
      <c r="D2157" t="s">
        <v>303</v>
      </c>
      <c r="E2157">
        <v>320</v>
      </c>
      <c r="F2157" t="s">
        <v>324</v>
      </c>
      <c r="G2157" t="s">
        <v>337</v>
      </c>
      <c r="I2157" t="s">
        <v>8</v>
      </c>
      <c r="J2157" t="s">
        <v>102</v>
      </c>
      <c r="K2157" t="s">
        <v>28</v>
      </c>
      <c r="L2157" t="s">
        <v>304</v>
      </c>
      <c r="M2157" t="s">
        <v>305</v>
      </c>
      <c r="N2157">
        <v>1E-3</v>
      </c>
      <c r="O2157" t="str">
        <f>IF(Transactions_RAW_cleaned[[#This Row],[Status]]="Completed", IFERROR(_xlfn.XLOOKUP(Transactions_RAW_cleaned[[#This Row],[CustomerID]], Customers_cleaned[CustomerID], Customers_cleaned[Segment]), "Customer Not Found"), "N/A")</f>
        <v>SMB</v>
      </c>
      <c r="P2157" s="5" t="str">
        <f>IF(Transactions_RAW_cleaned[[#This Row],[Status]]="Refunded", "Refund",
  IF(Transactions_RAW_cleaned[[#This Row],[Category]]="Payments", IF(Transactions_RAW_cleaned[[#This Row],[Amount]]&gt;500,"High Value","Standard"),
    IF(Transactions_RAW_cleaned[[#This Row],[Amount]]&gt;250,"High Value","Standard")))</f>
        <v>High Value</v>
      </c>
      <c r="Q2157" s="5" t="str">
        <f>IF(Transactions_RAW_cleaned[[#This Row],[Amount]] &gt; (_xlfn.XLOOKUP(Transactions_RAW_cleaned[[#This Row],[ServiceID]],Services_cleaned[ServiceID],Services_cleaned[TransactionFeePct]) * 10000), "Yes", "No")</f>
        <v>Yes</v>
      </c>
      <c r="R2157" s="5" t="str">
        <f>IF(COUNTIFS($C$2:Transactions_RAW_cleaned[[#This Row],[CustomerID]],Transactions_RAW_cleaned[[#This Row],[CustomerID]],$D$2:Transactions_RAW_cleaned[[#This Row],[ServiceID]],Transactions_RAW_cleaned[[#This Row],[ServiceID]])=1,"Yes","No")</f>
        <v>No</v>
      </c>
      <c r="S215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57" t="str">
        <f>"Q"&amp;ROUNDUP(MONTH(Transactions_RAW_cleaned[[#This Row],[TransactionDate]])/3,0)</f>
        <v>Q2</v>
      </c>
      <c r="U2157" t="str">
        <f>Transactions_RAW_cleaned[[#This Row],[Region ]]&amp;Transactions_RAW_cleaned[[#This Row],[Quarter ]]</f>
        <v>NAQ2</v>
      </c>
      <c r="V2157" s="5">
        <f>_xlfn.XLOOKUP(Transactions_RAW_cleaned[[#This Row],[RegionQuarterKey]], Quarterly_Targets_cleaned[RegionQuarterKey], Quarterly_Targets_cleaned[TargetRevenue])</f>
        <v>260000</v>
      </c>
    </row>
    <row r="2158" spans="1:22" x14ac:dyDescent="0.25">
      <c r="A2158" t="s">
        <v>2495</v>
      </c>
      <c r="B2158" s="1">
        <v>45630</v>
      </c>
      <c r="C2158" t="s">
        <v>47</v>
      </c>
      <c r="D2158" t="s">
        <v>312</v>
      </c>
      <c r="E2158">
        <v>608.58000000000004</v>
      </c>
      <c r="F2158" t="s">
        <v>324</v>
      </c>
      <c r="G2158" t="s">
        <v>337</v>
      </c>
      <c r="H2158" t="s">
        <v>334</v>
      </c>
      <c r="I2158" t="s">
        <v>8</v>
      </c>
      <c r="J2158" t="s">
        <v>21</v>
      </c>
      <c r="K2158" t="s">
        <v>22</v>
      </c>
      <c r="L2158" t="s">
        <v>313</v>
      </c>
      <c r="M2158" t="s">
        <v>314</v>
      </c>
      <c r="N2158">
        <v>0</v>
      </c>
      <c r="O2158" t="str">
        <f>IF(Transactions_RAW_cleaned[[#This Row],[Status]]="Completed", IFERROR(_xlfn.XLOOKUP(Transactions_RAW_cleaned[[#This Row],[CustomerID]], Customers_cleaned[CustomerID], Customers_cleaned[Segment]), "Customer Not Found"), "N/A")</f>
        <v>SMB</v>
      </c>
      <c r="P2158" s="5" t="str">
        <f>IF(Transactions_RAW_cleaned[[#This Row],[Status]]="Refunded", "Refund",
  IF(Transactions_RAW_cleaned[[#This Row],[Category]]="Payments", IF(Transactions_RAW_cleaned[[#This Row],[Amount]]&gt;500,"High Value","Standard"),
    IF(Transactions_RAW_cleaned[[#This Row],[Amount]]&gt;250,"High Value","Standard")))</f>
        <v>High Value</v>
      </c>
      <c r="Q2158" s="5" t="str">
        <f>IF(Transactions_RAW_cleaned[[#This Row],[Amount]] &gt; (_xlfn.XLOOKUP(Transactions_RAW_cleaned[[#This Row],[ServiceID]],Services_cleaned[ServiceID],Services_cleaned[TransactionFeePct]) * 10000), "Yes", "No")</f>
        <v>Yes</v>
      </c>
      <c r="R2158" s="5" t="str">
        <f>IF(COUNTIFS($C$2:Transactions_RAW_cleaned[[#This Row],[CustomerID]],Transactions_RAW_cleaned[[#This Row],[CustomerID]],$D$2:Transactions_RAW_cleaned[[#This Row],[ServiceID]],Transactions_RAW_cleaned[[#This Row],[ServiceID]])=1,"Yes","No")</f>
        <v>No</v>
      </c>
      <c r="S215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58" t="str">
        <f>"Q"&amp;ROUNDUP(MONTH(Transactions_RAW_cleaned[[#This Row],[TransactionDate]])/3,0)</f>
        <v>Q4</v>
      </c>
      <c r="U2158" t="str">
        <f>Transactions_RAW_cleaned[[#This Row],[Region ]]&amp;Transactions_RAW_cleaned[[#This Row],[Quarter ]]</f>
        <v>APACQ4</v>
      </c>
      <c r="V2158" s="5">
        <f>_xlfn.XLOOKUP(Transactions_RAW_cleaned[[#This Row],[RegionQuarterKey]], Quarterly_Targets_cleaned[RegionQuarterKey], Quarterly_Targets_cleaned[TargetRevenue])</f>
        <v>126500</v>
      </c>
    </row>
    <row r="2159" spans="1:22" x14ac:dyDescent="0.25">
      <c r="A2159" t="s">
        <v>2496</v>
      </c>
      <c r="B2159" s="1">
        <v>45591</v>
      </c>
      <c r="C2159" t="s">
        <v>49</v>
      </c>
      <c r="D2159" t="s">
        <v>294</v>
      </c>
      <c r="E2159">
        <v>545.01</v>
      </c>
      <c r="F2159" t="s">
        <v>324</v>
      </c>
      <c r="G2159" t="s">
        <v>325</v>
      </c>
      <c r="I2159" t="s">
        <v>8</v>
      </c>
      <c r="J2159" t="s">
        <v>102</v>
      </c>
      <c r="K2159" t="s">
        <v>32</v>
      </c>
      <c r="L2159" t="s">
        <v>295</v>
      </c>
      <c r="M2159" t="s">
        <v>296</v>
      </c>
      <c r="N2159">
        <v>2.9000000000000001E-2</v>
      </c>
      <c r="O2159" t="str">
        <f>IF(Transactions_RAW_cleaned[[#This Row],[Status]]="Completed", IFERROR(_xlfn.XLOOKUP(Transactions_RAW_cleaned[[#This Row],[CustomerID]], Customers_cleaned[CustomerID], Customers_cleaned[Segment]), "Customer Not Found"), "N/A")</f>
        <v>SMB</v>
      </c>
      <c r="P2159" s="5" t="str">
        <f>IF(Transactions_RAW_cleaned[[#This Row],[Status]]="Refunded", "Refund",
  IF(Transactions_RAW_cleaned[[#This Row],[Category]]="Payments", IF(Transactions_RAW_cleaned[[#This Row],[Amount]]&gt;500,"High Value","Standard"),
    IF(Transactions_RAW_cleaned[[#This Row],[Amount]]&gt;250,"High Value","Standard")))</f>
        <v>High Value</v>
      </c>
      <c r="Q2159" s="5" t="str">
        <f>IF(Transactions_RAW_cleaned[[#This Row],[Amount]] &gt; (_xlfn.XLOOKUP(Transactions_RAW_cleaned[[#This Row],[ServiceID]],Services_cleaned[ServiceID],Services_cleaned[TransactionFeePct]) * 10000), "Yes", "No")</f>
        <v>Yes</v>
      </c>
      <c r="R2159" s="5" t="str">
        <f>IF(COUNTIFS($C$2:Transactions_RAW_cleaned[[#This Row],[CustomerID]],Transactions_RAW_cleaned[[#This Row],[CustomerID]],$D$2:Transactions_RAW_cleaned[[#This Row],[ServiceID]],Transactions_RAW_cleaned[[#This Row],[ServiceID]])=1,"Yes","No")</f>
        <v>No</v>
      </c>
      <c r="S215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59" t="str">
        <f>"Q"&amp;ROUNDUP(MONTH(Transactions_RAW_cleaned[[#This Row],[TransactionDate]])/3,0)</f>
        <v>Q4</v>
      </c>
      <c r="U2159" t="str">
        <f>Transactions_RAW_cleaned[[#This Row],[Region ]]&amp;Transactions_RAW_cleaned[[#This Row],[Quarter ]]</f>
        <v>NAQ4</v>
      </c>
      <c r="V2159" s="5">
        <f>_xlfn.XLOOKUP(Transactions_RAW_cleaned[[#This Row],[RegionQuarterKey]], Quarterly_Targets_cleaned[RegionQuarterKey], Quarterly_Targets_cleaned[TargetRevenue])</f>
        <v>299000</v>
      </c>
    </row>
    <row r="2160" spans="1:22" x14ac:dyDescent="0.25">
      <c r="A2160" t="s">
        <v>2497</v>
      </c>
      <c r="B2160" s="1">
        <v>45520</v>
      </c>
      <c r="C2160" t="s">
        <v>70</v>
      </c>
      <c r="D2160" t="s">
        <v>303</v>
      </c>
      <c r="E2160">
        <v>1002.1</v>
      </c>
      <c r="F2160" t="s">
        <v>324</v>
      </c>
      <c r="G2160" t="s">
        <v>325</v>
      </c>
      <c r="H2160" t="s">
        <v>334</v>
      </c>
      <c r="I2160" t="s">
        <v>8</v>
      </c>
      <c r="J2160" t="s">
        <v>37</v>
      </c>
      <c r="K2160" t="s">
        <v>28</v>
      </c>
      <c r="L2160" t="s">
        <v>304</v>
      </c>
      <c r="M2160" t="s">
        <v>305</v>
      </c>
      <c r="N2160">
        <v>1E-3</v>
      </c>
      <c r="O2160" t="str">
        <f>IF(Transactions_RAW_cleaned[[#This Row],[Status]]="Completed", IFERROR(_xlfn.XLOOKUP(Transactions_RAW_cleaned[[#This Row],[CustomerID]], Customers_cleaned[CustomerID], Customers_cleaned[Segment]), "Customer Not Found"), "N/A")</f>
        <v>SMB</v>
      </c>
      <c r="P2160" s="5" t="str">
        <f>IF(Transactions_RAW_cleaned[[#This Row],[Status]]="Refunded", "Refund",
  IF(Transactions_RAW_cleaned[[#This Row],[Category]]="Payments", IF(Transactions_RAW_cleaned[[#This Row],[Amount]]&gt;500,"High Value","Standard"),
    IF(Transactions_RAW_cleaned[[#This Row],[Amount]]&gt;250,"High Value","Standard")))</f>
        <v>High Value</v>
      </c>
      <c r="Q2160" s="5" t="str">
        <f>IF(Transactions_RAW_cleaned[[#This Row],[Amount]] &gt; (_xlfn.XLOOKUP(Transactions_RAW_cleaned[[#This Row],[ServiceID]],Services_cleaned[ServiceID],Services_cleaned[TransactionFeePct]) * 10000), "Yes", "No")</f>
        <v>Yes</v>
      </c>
      <c r="R2160" s="5" t="str">
        <f>IF(COUNTIFS($C$2:Transactions_RAW_cleaned[[#This Row],[CustomerID]],Transactions_RAW_cleaned[[#This Row],[CustomerID]],$D$2:Transactions_RAW_cleaned[[#This Row],[ServiceID]],Transactions_RAW_cleaned[[#This Row],[ServiceID]])=1,"Yes","No")</f>
        <v>Yes</v>
      </c>
      <c r="S216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160" t="str">
        <f>"Q"&amp;ROUNDUP(MONTH(Transactions_RAW_cleaned[[#This Row],[TransactionDate]])/3,0)</f>
        <v>Q3</v>
      </c>
      <c r="U2160" t="str">
        <f>Transactions_RAW_cleaned[[#This Row],[Region ]]&amp;Transactions_RAW_cleaned[[#This Row],[Quarter ]]</f>
        <v>EMEAQ3</v>
      </c>
      <c r="V2160" s="5">
        <f>_xlfn.XLOOKUP(Transactions_RAW_cleaned[[#This Row],[RegionQuarterKey]], Quarterly_Targets_cleaned[RegionQuarterKey], Quarterly_Targets_cleaned[TargetRevenue])</f>
        <v>147000</v>
      </c>
    </row>
    <row r="2161" spans="1:22" x14ac:dyDescent="0.25">
      <c r="A2161" t="s">
        <v>2498</v>
      </c>
      <c r="B2161" s="1">
        <v>45484</v>
      </c>
      <c r="C2161" t="s">
        <v>243</v>
      </c>
      <c r="D2161" t="s">
        <v>300</v>
      </c>
      <c r="E2161">
        <v>224.06</v>
      </c>
      <c r="F2161" t="s">
        <v>331</v>
      </c>
      <c r="G2161" t="s">
        <v>325</v>
      </c>
      <c r="H2161" t="s">
        <v>332</v>
      </c>
      <c r="I2161" t="s">
        <v>17</v>
      </c>
      <c r="J2161" t="s">
        <v>13</v>
      </c>
      <c r="K2161" t="s">
        <v>28</v>
      </c>
      <c r="L2161" t="s">
        <v>301</v>
      </c>
      <c r="M2161" t="s">
        <v>302</v>
      </c>
      <c r="N2161">
        <v>5.0000000000000001E-3</v>
      </c>
      <c r="O2161" t="str">
        <f>IF(Transactions_RAW_cleaned[[#This Row],[Status]]="Completed", IFERROR(_xlfn.XLOOKUP(Transactions_RAW_cleaned[[#This Row],[CustomerID]], Customers_cleaned[CustomerID], Customers_cleaned[Segment]), "Customer Not Found"), "N/A")</f>
        <v>N/A</v>
      </c>
      <c r="P2161" s="5" t="str">
        <f>IF(Transactions_RAW_cleaned[[#This Row],[Status]]="Refunded", "Refund",
  IF(Transactions_RAW_cleaned[[#This Row],[Category]]="Payments", IF(Transactions_RAW_cleaned[[#This Row],[Amount]]&gt;500,"High Value","Standard"),
    IF(Transactions_RAW_cleaned[[#This Row],[Amount]]&gt;250,"High Value","Standard")))</f>
        <v>Standard</v>
      </c>
      <c r="Q2161" s="5" t="str">
        <f>IF(Transactions_RAW_cleaned[[#This Row],[Amount]] &gt; (_xlfn.XLOOKUP(Transactions_RAW_cleaned[[#This Row],[ServiceID]],Services_cleaned[ServiceID],Services_cleaned[TransactionFeePct]) * 10000), "Yes", "No")</f>
        <v>Yes</v>
      </c>
      <c r="R2161" s="5" t="str">
        <f>IF(COUNTIFS($C$2:Transactions_RAW_cleaned[[#This Row],[CustomerID]],Transactions_RAW_cleaned[[#This Row],[CustomerID]],$D$2:Transactions_RAW_cleaned[[#This Row],[ServiceID]],Transactions_RAW_cleaned[[#This Row],[ServiceID]])=1,"Yes","No")</f>
        <v>No</v>
      </c>
      <c r="S216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61" t="str">
        <f>"Q"&amp;ROUNDUP(MONTH(Transactions_RAW_cleaned[[#This Row],[TransactionDate]])/3,0)</f>
        <v>Q3</v>
      </c>
      <c r="U2161" t="str">
        <f>Transactions_RAW_cleaned[[#This Row],[Region ]]&amp;Transactions_RAW_cleaned[[#This Row],[Quarter ]]</f>
        <v>NAQ3</v>
      </c>
      <c r="V2161" s="5">
        <f>_xlfn.XLOOKUP(Transactions_RAW_cleaned[[#This Row],[RegionQuarterKey]], Quarterly_Targets_cleaned[RegionQuarterKey], Quarterly_Targets_cleaned[TargetRevenue])</f>
        <v>273000</v>
      </c>
    </row>
    <row r="2162" spans="1:22" x14ac:dyDescent="0.25">
      <c r="A2162" t="s">
        <v>2499</v>
      </c>
      <c r="B2162" s="1">
        <v>45411</v>
      </c>
      <c r="C2162" t="s">
        <v>251</v>
      </c>
      <c r="D2162" t="s">
        <v>294</v>
      </c>
      <c r="E2162">
        <v>630.72</v>
      </c>
      <c r="F2162" t="s">
        <v>331</v>
      </c>
      <c r="G2162" t="s">
        <v>327</v>
      </c>
      <c r="H2162" t="s">
        <v>334</v>
      </c>
      <c r="I2162" t="s">
        <v>17</v>
      </c>
      <c r="J2162" t="s">
        <v>46</v>
      </c>
      <c r="K2162" t="s">
        <v>14</v>
      </c>
      <c r="L2162" t="s">
        <v>295</v>
      </c>
      <c r="M2162" t="s">
        <v>296</v>
      </c>
      <c r="N2162">
        <v>2.9000000000000001E-2</v>
      </c>
      <c r="O2162" t="str">
        <f>IF(Transactions_RAW_cleaned[[#This Row],[Status]]="Completed", IFERROR(_xlfn.XLOOKUP(Transactions_RAW_cleaned[[#This Row],[CustomerID]], Customers_cleaned[CustomerID], Customers_cleaned[Segment]), "Customer Not Found"), "N/A")</f>
        <v>N/A</v>
      </c>
      <c r="P2162" s="5" t="str">
        <f>IF(Transactions_RAW_cleaned[[#This Row],[Status]]="Refunded", "Refund",
  IF(Transactions_RAW_cleaned[[#This Row],[Category]]="Payments", IF(Transactions_RAW_cleaned[[#This Row],[Amount]]&gt;500,"High Value","Standard"),
    IF(Transactions_RAW_cleaned[[#This Row],[Amount]]&gt;250,"High Value","Standard")))</f>
        <v>High Value</v>
      </c>
      <c r="Q2162" s="5" t="str">
        <f>IF(Transactions_RAW_cleaned[[#This Row],[Amount]] &gt; (_xlfn.XLOOKUP(Transactions_RAW_cleaned[[#This Row],[ServiceID]],Services_cleaned[ServiceID],Services_cleaned[TransactionFeePct]) * 10000), "Yes", "No")</f>
        <v>Yes</v>
      </c>
      <c r="R2162" s="5" t="str">
        <f>IF(COUNTIFS($C$2:Transactions_RAW_cleaned[[#This Row],[CustomerID]],Transactions_RAW_cleaned[[#This Row],[CustomerID]],$D$2:Transactions_RAW_cleaned[[#This Row],[ServiceID]],Transactions_RAW_cleaned[[#This Row],[ServiceID]])=1,"Yes","No")</f>
        <v>No</v>
      </c>
      <c r="S216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62" t="str">
        <f>"Q"&amp;ROUNDUP(MONTH(Transactions_RAW_cleaned[[#This Row],[TransactionDate]])/3,0)</f>
        <v>Q2</v>
      </c>
      <c r="U2162" t="str">
        <f>Transactions_RAW_cleaned[[#This Row],[Region ]]&amp;Transactions_RAW_cleaned[[#This Row],[Quarter ]]</f>
        <v>APACQ2</v>
      </c>
      <c r="V2162" s="5">
        <f>_xlfn.XLOOKUP(Transactions_RAW_cleaned[[#This Row],[RegionQuarterKey]], Quarterly_Targets_cleaned[RegionQuarterKey], Quarterly_Targets_cleaned[TargetRevenue])</f>
        <v>110000</v>
      </c>
    </row>
    <row r="2163" spans="1:22" x14ac:dyDescent="0.25">
      <c r="A2163" t="s">
        <v>2500</v>
      </c>
      <c r="B2163" s="1">
        <v>45517</v>
      </c>
      <c r="C2163" t="s">
        <v>76</v>
      </c>
      <c r="D2163" t="s">
        <v>294</v>
      </c>
      <c r="E2163">
        <v>589.29999999999995</v>
      </c>
      <c r="F2163" t="s">
        <v>324</v>
      </c>
      <c r="G2163" t="s">
        <v>329</v>
      </c>
      <c r="H2163" t="s">
        <v>346</v>
      </c>
      <c r="I2163" t="s">
        <v>17</v>
      </c>
      <c r="J2163" t="s">
        <v>13</v>
      </c>
      <c r="K2163" t="s">
        <v>18</v>
      </c>
      <c r="L2163" t="s">
        <v>295</v>
      </c>
      <c r="M2163" t="s">
        <v>296</v>
      </c>
      <c r="N2163">
        <v>2.9000000000000001E-2</v>
      </c>
      <c r="O2163" t="str">
        <f>IF(Transactions_RAW_cleaned[[#This Row],[Status]]="Completed", IFERROR(_xlfn.XLOOKUP(Transactions_RAW_cleaned[[#This Row],[CustomerID]], Customers_cleaned[CustomerID], Customers_cleaned[Segment]), "Customer Not Found"), "N/A")</f>
        <v>Enterprise</v>
      </c>
      <c r="P2163" s="5" t="str">
        <f>IF(Transactions_RAW_cleaned[[#This Row],[Status]]="Refunded", "Refund",
  IF(Transactions_RAW_cleaned[[#This Row],[Category]]="Payments", IF(Transactions_RAW_cleaned[[#This Row],[Amount]]&gt;500,"High Value","Standard"),
    IF(Transactions_RAW_cleaned[[#This Row],[Amount]]&gt;250,"High Value","Standard")))</f>
        <v>High Value</v>
      </c>
      <c r="Q2163" s="5" t="str">
        <f>IF(Transactions_RAW_cleaned[[#This Row],[Amount]] &gt; (_xlfn.XLOOKUP(Transactions_RAW_cleaned[[#This Row],[ServiceID]],Services_cleaned[ServiceID],Services_cleaned[TransactionFeePct]) * 10000), "Yes", "No")</f>
        <v>Yes</v>
      </c>
      <c r="R2163" s="5" t="str">
        <f>IF(COUNTIFS($C$2:Transactions_RAW_cleaned[[#This Row],[CustomerID]],Transactions_RAW_cleaned[[#This Row],[CustomerID]],$D$2:Transactions_RAW_cleaned[[#This Row],[ServiceID]],Transactions_RAW_cleaned[[#This Row],[ServiceID]])=1,"Yes","No")</f>
        <v>No</v>
      </c>
      <c r="S216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63" t="str">
        <f>"Q"&amp;ROUNDUP(MONTH(Transactions_RAW_cleaned[[#This Row],[TransactionDate]])/3,0)</f>
        <v>Q3</v>
      </c>
      <c r="U2163" t="str">
        <f>Transactions_RAW_cleaned[[#This Row],[Region ]]&amp;Transactions_RAW_cleaned[[#This Row],[Quarter ]]</f>
        <v>NAQ3</v>
      </c>
      <c r="V2163" s="5">
        <f>_xlfn.XLOOKUP(Transactions_RAW_cleaned[[#This Row],[RegionQuarterKey]], Quarterly_Targets_cleaned[RegionQuarterKey], Quarterly_Targets_cleaned[TargetRevenue])</f>
        <v>273000</v>
      </c>
    </row>
    <row r="2164" spans="1:22" x14ac:dyDescent="0.25">
      <c r="A2164" t="s">
        <v>2501</v>
      </c>
      <c r="B2164" s="1">
        <v>45533</v>
      </c>
      <c r="C2164" t="s">
        <v>33</v>
      </c>
      <c r="D2164" t="s">
        <v>312</v>
      </c>
      <c r="E2164">
        <v>-953.7</v>
      </c>
      <c r="F2164" t="s">
        <v>349</v>
      </c>
      <c r="G2164" t="s">
        <v>327</v>
      </c>
      <c r="H2164" t="s">
        <v>346</v>
      </c>
      <c r="I2164" t="s">
        <v>17</v>
      </c>
      <c r="J2164" t="s">
        <v>31</v>
      </c>
      <c r="K2164" t="s">
        <v>14</v>
      </c>
      <c r="L2164" t="s">
        <v>313</v>
      </c>
      <c r="M2164" t="s">
        <v>314</v>
      </c>
      <c r="N2164">
        <v>0</v>
      </c>
      <c r="O2164" t="str">
        <f>IF(Transactions_RAW_cleaned[[#This Row],[Status]]="Completed", IFERROR(_xlfn.XLOOKUP(Transactions_RAW_cleaned[[#This Row],[CustomerID]], Customers_cleaned[CustomerID], Customers_cleaned[Segment]), "Customer Not Found"), "N/A")</f>
        <v>N/A</v>
      </c>
      <c r="P2164" s="5" t="str">
        <f>IF(Transactions_RAW_cleaned[[#This Row],[Status]]="Refunded", "Refund",
  IF(Transactions_RAW_cleaned[[#This Row],[Category]]="Payments", IF(Transactions_RAW_cleaned[[#This Row],[Amount]]&gt;500,"High Value","Standard"),
    IF(Transactions_RAW_cleaned[[#This Row],[Amount]]&gt;250,"High Value","Standard")))</f>
        <v>Refund</v>
      </c>
      <c r="Q2164" s="5" t="str">
        <f>IF(Transactions_RAW_cleaned[[#This Row],[Amount]] &gt; (_xlfn.XLOOKUP(Transactions_RAW_cleaned[[#This Row],[ServiceID]],Services_cleaned[ServiceID],Services_cleaned[TransactionFeePct]) * 10000), "Yes", "No")</f>
        <v>No</v>
      </c>
      <c r="R2164" s="5" t="str">
        <f>IF(COUNTIFS($C$2:Transactions_RAW_cleaned[[#This Row],[CustomerID]],Transactions_RAW_cleaned[[#This Row],[CustomerID]],$D$2:Transactions_RAW_cleaned[[#This Row],[ServiceID]],Transactions_RAW_cleaned[[#This Row],[ServiceID]])=1,"Yes","No")</f>
        <v>Yes</v>
      </c>
      <c r="S216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164" t="str">
        <f>"Q"&amp;ROUNDUP(MONTH(Transactions_RAW_cleaned[[#This Row],[TransactionDate]])/3,0)</f>
        <v>Q3</v>
      </c>
      <c r="U2164" t="str">
        <f>Transactions_RAW_cleaned[[#This Row],[Region ]]&amp;Transactions_RAW_cleaned[[#This Row],[Quarter ]]</f>
        <v>EMEAQ3</v>
      </c>
      <c r="V2164" s="5">
        <f>_xlfn.XLOOKUP(Transactions_RAW_cleaned[[#This Row],[RegionQuarterKey]], Quarterly_Targets_cleaned[RegionQuarterKey], Quarterly_Targets_cleaned[TargetRevenue])</f>
        <v>147000</v>
      </c>
    </row>
    <row r="2165" spans="1:22" x14ac:dyDescent="0.25">
      <c r="A2165" t="s">
        <v>2502</v>
      </c>
      <c r="B2165" s="1">
        <v>45535</v>
      </c>
      <c r="C2165" t="s">
        <v>179</v>
      </c>
      <c r="D2165" t="s">
        <v>303</v>
      </c>
      <c r="E2165">
        <v>473.97</v>
      </c>
      <c r="F2165" t="s">
        <v>381</v>
      </c>
      <c r="G2165" t="s">
        <v>327</v>
      </c>
      <c r="I2165" t="s">
        <v>8</v>
      </c>
      <c r="J2165" t="s">
        <v>31</v>
      </c>
      <c r="K2165" t="s">
        <v>18</v>
      </c>
      <c r="L2165" t="s">
        <v>304</v>
      </c>
      <c r="M2165" t="s">
        <v>305</v>
      </c>
      <c r="N2165">
        <v>1E-3</v>
      </c>
      <c r="O2165" t="str">
        <f>IF(Transactions_RAW_cleaned[[#This Row],[Status]]="Completed", IFERROR(_xlfn.XLOOKUP(Transactions_RAW_cleaned[[#This Row],[CustomerID]], Customers_cleaned[CustomerID], Customers_cleaned[Segment]), "Customer Not Found"), "N/A")</f>
        <v>N/A</v>
      </c>
      <c r="P2165" s="5" t="str">
        <f>IF(Transactions_RAW_cleaned[[#This Row],[Status]]="Refunded", "Refund",
  IF(Transactions_RAW_cleaned[[#This Row],[Category]]="Payments", IF(Transactions_RAW_cleaned[[#This Row],[Amount]]&gt;500,"High Value","Standard"),
    IF(Transactions_RAW_cleaned[[#This Row],[Amount]]&gt;250,"High Value","Standard")))</f>
        <v>High Value</v>
      </c>
      <c r="Q2165" s="5" t="str">
        <f>IF(Transactions_RAW_cleaned[[#This Row],[Amount]] &gt; (_xlfn.XLOOKUP(Transactions_RAW_cleaned[[#This Row],[ServiceID]],Services_cleaned[ServiceID],Services_cleaned[TransactionFeePct]) * 10000), "Yes", "No")</f>
        <v>Yes</v>
      </c>
      <c r="R2165" s="5" t="str">
        <f>IF(COUNTIFS($C$2:Transactions_RAW_cleaned[[#This Row],[CustomerID]],Transactions_RAW_cleaned[[#This Row],[CustomerID]],$D$2:Transactions_RAW_cleaned[[#This Row],[ServiceID]],Transactions_RAW_cleaned[[#This Row],[ServiceID]])=1,"Yes","No")</f>
        <v>No</v>
      </c>
      <c r="S216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165" t="str">
        <f>"Q"&amp;ROUNDUP(MONTH(Transactions_RAW_cleaned[[#This Row],[TransactionDate]])/3,0)</f>
        <v>Q3</v>
      </c>
      <c r="U2165" t="str">
        <f>Transactions_RAW_cleaned[[#This Row],[Region ]]&amp;Transactions_RAW_cleaned[[#This Row],[Quarter ]]</f>
        <v>EMEAQ3</v>
      </c>
      <c r="V2165" s="5">
        <f>_xlfn.XLOOKUP(Transactions_RAW_cleaned[[#This Row],[RegionQuarterKey]], Quarterly_Targets_cleaned[RegionQuarterKey], Quarterly_Targets_cleaned[TargetRevenue])</f>
        <v>147000</v>
      </c>
    </row>
    <row r="2166" spans="1:22" x14ac:dyDescent="0.25">
      <c r="A2166" t="s">
        <v>2503</v>
      </c>
      <c r="B2166" s="1">
        <v>45648</v>
      </c>
      <c r="C2166" t="s">
        <v>229</v>
      </c>
      <c r="D2166" t="s">
        <v>300</v>
      </c>
      <c r="E2166">
        <v>300.99</v>
      </c>
      <c r="F2166" t="s">
        <v>324</v>
      </c>
      <c r="G2166" t="s">
        <v>327</v>
      </c>
      <c r="H2166" t="s">
        <v>334</v>
      </c>
      <c r="I2166" t="s">
        <v>17</v>
      </c>
      <c r="J2166" t="s">
        <v>102</v>
      </c>
      <c r="K2166" t="s">
        <v>18</v>
      </c>
      <c r="L2166" t="s">
        <v>301</v>
      </c>
      <c r="M2166" t="s">
        <v>302</v>
      </c>
      <c r="N2166">
        <v>5.0000000000000001E-3</v>
      </c>
      <c r="O2166" t="str">
        <f>IF(Transactions_RAW_cleaned[[#This Row],[Status]]="Completed", IFERROR(_xlfn.XLOOKUP(Transactions_RAW_cleaned[[#This Row],[CustomerID]], Customers_cleaned[CustomerID], Customers_cleaned[Segment]), "Customer Not Found"), "N/A")</f>
        <v>Enterprise</v>
      </c>
      <c r="P2166" s="5" t="str">
        <f>IF(Transactions_RAW_cleaned[[#This Row],[Status]]="Refunded", "Refund",
  IF(Transactions_RAW_cleaned[[#This Row],[Category]]="Payments", IF(Transactions_RAW_cleaned[[#This Row],[Amount]]&gt;500,"High Value","Standard"),
    IF(Transactions_RAW_cleaned[[#This Row],[Amount]]&gt;250,"High Value","Standard")))</f>
        <v>High Value</v>
      </c>
      <c r="Q2166" s="5" t="str">
        <f>IF(Transactions_RAW_cleaned[[#This Row],[Amount]] &gt; (_xlfn.XLOOKUP(Transactions_RAW_cleaned[[#This Row],[ServiceID]],Services_cleaned[ServiceID],Services_cleaned[TransactionFeePct]) * 10000), "Yes", "No")</f>
        <v>Yes</v>
      </c>
      <c r="R2166" s="5" t="str">
        <f>IF(COUNTIFS($C$2:Transactions_RAW_cleaned[[#This Row],[CustomerID]],Transactions_RAW_cleaned[[#This Row],[CustomerID]],$D$2:Transactions_RAW_cleaned[[#This Row],[ServiceID]],Transactions_RAW_cleaned[[#This Row],[ServiceID]])=1,"Yes","No")</f>
        <v>No</v>
      </c>
      <c r="S216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66" t="str">
        <f>"Q"&amp;ROUNDUP(MONTH(Transactions_RAW_cleaned[[#This Row],[TransactionDate]])/3,0)</f>
        <v>Q4</v>
      </c>
      <c r="U2166" t="str">
        <f>Transactions_RAW_cleaned[[#This Row],[Region ]]&amp;Transactions_RAW_cleaned[[#This Row],[Quarter ]]</f>
        <v>NAQ4</v>
      </c>
      <c r="V2166" s="5">
        <f>_xlfn.XLOOKUP(Transactions_RAW_cleaned[[#This Row],[RegionQuarterKey]], Quarterly_Targets_cleaned[RegionQuarterKey], Quarterly_Targets_cleaned[TargetRevenue])</f>
        <v>299000</v>
      </c>
    </row>
    <row r="2167" spans="1:22" x14ac:dyDescent="0.25">
      <c r="A2167" t="s">
        <v>2504</v>
      </c>
      <c r="B2167" s="1">
        <v>45300</v>
      </c>
      <c r="C2167" t="s">
        <v>201</v>
      </c>
      <c r="D2167" t="s">
        <v>306</v>
      </c>
      <c r="E2167">
        <v>198.47</v>
      </c>
      <c r="F2167" t="s">
        <v>331</v>
      </c>
      <c r="G2167" t="s">
        <v>327</v>
      </c>
      <c r="I2167" t="s">
        <v>57</v>
      </c>
      <c r="J2167" t="s">
        <v>37</v>
      </c>
      <c r="K2167" t="s">
        <v>32</v>
      </c>
      <c r="L2167" t="s">
        <v>307</v>
      </c>
      <c r="M2167" t="s">
        <v>308</v>
      </c>
      <c r="N2167">
        <v>0</v>
      </c>
      <c r="O2167" t="str">
        <f>IF(Transactions_RAW_cleaned[[#This Row],[Status]]="Completed", IFERROR(_xlfn.XLOOKUP(Transactions_RAW_cleaned[[#This Row],[CustomerID]], Customers_cleaned[CustomerID], Customers_cleaned[Segment]), "Customer Not Found"), "N/A")</f>
        <v>N/A</v>
      </c>
      <c r="P2167" s="5" t="str">
        <f>IF(Transactions_RAW_cleaned[[#This Row],[Status]]="Refunded", "Refund",
  IF(Transactions_RAW_cleaned[[#This Row],[Category]]="Payments", IF(Transactions_RAW_cleaned[[#This Row],[Amount]]&gt;500,"High Value","Standard"),
    IF(Transactions_RAW_cleaned[[#This Row],[Amount]]&gt;250,"High Value","Standard")))</f>
        <v>Standard</v>
      </c>
      <c r="Q2167" s="5" t="str">
        <f>IF(Transactions_RAW_cleaned[[#This Row],[Amount]] &gt; (_xlfn.XLOOKUP(Transactions_RAW_cleaned[[#This Row],[ServiceID]],Services_cleaned[ServiceID],Services_cleaned[TransactionFeePct]) * 10000), "Yes", "No")</f>
        <v>Yes</v>
      </c>
      <c r="R2167" s="5" t="str">
        <f>IF(COUNTIFS($C$2:Transactions_RAW_cleaned[[#This Row],[CustomerID]],Transactions_RAW_cleaned[[#This Row],[CustomerID]],$D$2:Transactions_RAW_cleaned[[#This Row],[ServiceID]],Transactions_RAW_cleaned[[#This Row],[ServiceID]])=1,"Yes","No")</f>
        <v>Yes</v>
      </c>
      <c r="S216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167" t="str">
        <f>"Q"&amp;ROUNDUP(MONTH(Transactions_RAW_cleaned[[#This Row],[TransactionDate]])/3,0)</f>
        <v>Q1</v>
      </c>
      <c r="U2167" t="str">
        <f>Transactions_RAW_cleaned[[#This Row],[Region ]]&amp;Transactions_RAW_cleaned[[#This Row],[Quarter ]]</f>
        <v>EMEAQ1</v>
      </c>
      <c r="V2167" s="5">
        <f>_xlfn.XLOOKUP(Transactions_RAW_cleaned[[#This Row],[RegionQuarterKey]], Quarterly_Targets_cleaned[RegionQuarterKey], Quarterly_Targets_cleaned[TargetRevenue])</f>
        <v>133000</v>
      </c>
    </row>
    <row r="2168" spans="1:22" x14ac:dyDescent="0.25">
      <c r="A2168" t="s">
        <v>2505</v>
      </c>
      <c r="B2168" s="1">
        <v>45293</v>
      </c>
      <c r="C2168" t="s">
        <v>255</v>
      </c>
      <c r="D2168" t="s">
        <v>294</v>
      </c>
      <c r="E2168">
        <v>246.98</v>
      </c>
      <c r="F2168" t="s">
        <v>324</v>
      </c>
      <c r="G2168" t="s">
        <v>327</v>
      </c>
      <c r="H2168" t="s">
        <v>334</v>
      </c>
      <c r="I2168" t="s">
        <v>17</v>
      </c>
      <c r="J2168" t="s">
        <v>21</v>
      </c>
      <c r="K2168" t="s">
        <v>28</v>
      </c>
      <c r="L2168" t="s">
        <v>295</v>
      </c>
      <c r="M2168" t="s">
        <v>296</v>
      </c>
      <c r="N2168">
        <v>2.9000000000000001E-2</v>
      </c>
      <c r="O2168" t="str">
        <f>IF(Transactions_RAW_cleaned[[#This Row],[Status]]="Completed", IFERROR(_xlfn.XLOOKUP(Transactions_RAW_cleaned[[#This Row],[CustomerID]], Customers_cleaned[CustomerID], Customers_cleaned[Segment]), "Customer Not Found"), "N/A")</f>
        <v>Enterprise</v>
      </c>
      <c r="P2168" s="5" t="str">
        <f>IF(Transactions_RAW_cleaned[[#This Row],[Status]]="Refunded", "Refund",
  IF(Transactions_RAW_cleaned[[#This Row],[Category]]="Payments", IF(Transactions_RAW_cleaned[[#This Row],[Amount]]&gt;500,"High Value","Standard"),
    IF(Transactions_RAW_cleaned[[#This Row],[Amount]]&gt;250,"High Value","Standard")))</f>
        <v>Standard</v>
      </c>
      <c r="Q2168" s="5" t="str">
        <f>IF(Transactions_RAW_cleaned[[#This Row],[Amount]] &gt; (_xlfn.XLOOKUP(Transactions_RAW_cleaned[[#This Row],[ServiceID]],Services_cleaned[ServiceID],Services_cleaned[TransactionFeePct]) * 10000), "Yes", "No")</f>
        <v>No</v>
      </c>
      <c r="R2168" s="5" t="str">
        <f>IF(COUNTIFS($C$2:Transactions_RAW_cleaned[[#This Row],[CustomerID]],Transactions_RAW_cleaned[[#This Row],[CustomerID]],$D$2:Transactions_RAW_cleaned[[#This Row],[ServiceID]],Transactions_RAW_cleaned[[#This Row],[ServiceID]])=1,"Yes","No")</f>
        <v>No</v>
      </c>
      <c r="S216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68" t="str">
        <f>"Q"&amp;ROUNDUP(MONTH(Transactions_RAW_cleaned[[#This Row],[TransactionDate]])/3,0)</f>
        <v>Q1</v>
      </c>
      <c r="U2168" t="str">
        <f>Transactions_RAW_cleaned[[#This Row],[Region ]]&amp;Transactions_RAW_cleaned[[#This Row],[Quarter ]]</f>
        <v>APACQ1</v>
      </c>
      <c r="V2168" s="5">
        <f>_xlfn.XLOOKUP(Transactions_RAW_cleaned[[#This Row],[RegionQuarterKey]], Quarterly_Targets_cleaned[RegionQuarterKey], Quarterly_Targets_cleaned[TargetRevenue])</f>
        <v>104500</v>
      </c>
    </row>
    <row r="2169" spans="1:22" x14ac:dyDescent="0.25">
      <c r="A2169" t="s">
        <v>2506</v>
      </c>
      <c r="B2169" s="1">
        <v>45365</v>
      </c>
      <c r="C2169" t="s">
        <v>86</v>
      </c>
      <c r="D2169" t="s">
        <v>309</v>
      </c>
      <c r="E2169">
        <v>118.2</v>
      </c>
      <c r="F2169" t="s">
        <v>324</v>
      </c>
      <c r="G2169" t="s">
        <v>325</v>
      </c>
      <c r="H2169" t="s">
        <v>346</v>
      </c>
      <c r="I2169" t="s">
        <v>8</v>
      </c>
      <c r="J2169" t="s">
        <v>102</v>
      </c>
      <c r="K2169" t="s">
        <v>18</v>
      </c>
      <c r="L2169" t="s">
        <v>310</v>
      </c>
      <c r="M2169" t="s">
        <v>311</v>
      </c>
      <c r="N2169">
        <v>0</v>
      </c>
      <c r="O2169" t="str">
        <f>IF(Transactions_RAW_cleaned[[#This Row],[Status]]="Completed", IFERROR(_xlfn.XLOOKUP(Transactions_RAW_cleaned[[#This Row],[CustomerID]], Customers_cleaned[CustomerID], Customers_cleaned[Segment]), "Customer Not Found"), "N/A")</f>
        <v>SMB</v>
      </c>
      <c r="P2169" s="5" t="str">
        <f>IF(Transactions_RAW_cleaned[[#This Row],[Status]]="Refunded", "Refund",
  IF(Transactions_RAW_cleaned[[#This Row],[Category]]="Payments", IF(Transactions_RAW_cleaned[[#This Row],[Amount]]&gt;500,"High Value","Standard"),
    IF(Transactions_RAW_cleaned[[#This Row],[Amount]]&gt;250,"High Value","Standard")))</f>
        <v>Standard</v>
      </c>
      <c r="Q2169" s="5" t="str">
        <f>IF(Transactions_RAW_cleaned[[#This Row],[Amount]] &gt; (_xlfn.XLOOKUP(Transactions_RAW_cleaned[[#This Row],[ServiceID]],Services_cleaned[ServiceID],Services_cleaned[TransactionFeePct]) * 10000), "Yes", "No")</f>
        <v>Yes</v>
      </c>
      <c r="R2169" s="5" t="str">
        <f>IF(COUNTIFS($C$2:Transactions_RAW_cleaned[[#This Row],[CustomerID]],Transactions_RAW_cleaned[[#This Row],[CustomerID]],$D$2:Transactions_RAW_cleaned[[#This Row],[ServiceID]],Transactions_RAW_cleaned[[#This Row],[ServiceID]])=1,"Yes","No")</f>
        <v>No</v>
      </c>
      <c r="S216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69" t="str">
        <f>"Q"&amp;ROUNDUP(MONTH(Transactions_RAW_cleaned[[#This Row],[TransactionDate]])/3,0)</f>
        <v>Q1</v>
      </c>
      <c r="U2169" t="str">
        <f>Transactions_RAW_cleaned[[#This Row],[Region ]]&amp;Transactions_RAW_cleaned[[#This Row],[Quarter ]]</f>
        <v>NAQ1</v>
      </c>
      <c r="V2169" s="5">
        <f>_xlfn.XLOOKUP(Transactions_RAW_cleaned[[#This Row],[RegionQuarterKey]], Quarterly_Targets_cleaned[RegionQuarterKey], Quarterly_Targets_cleaned[TargetRevenue])</f>
        <v>247000</v>
      </c>
    </row>
    <row r="2170" spans="1:22" x14ac:dyDescent="0.25">
      <c r="A2170" t="s">
        <v>2507</v>
      </c>
      <c r="B2170" s="1">
        <v>45485</v>
      </c>
      <c r="C2170" t="s">
        <v>58</v>
      </c>
      <c r="D2170" t="s">
        <v>303</v>
      </c>
      <c r="E2170">
        <v>884.7</v>
      </c>
      <c r="F2170" t="s">
        <v>324</v>
      </c>
      <c r="G2170" t="s">
        <v>325</v>
      </c>
      <c r="I2170" t="s">
        <v>17</v>
      </c>
      <c r="J2170" t="s">
        <v>102</v>
      </c>
      <c r="K2170" t="s">
        <v>22</v>
      </c>
      <c r="L2170" t="s">
        <v>304</v>
      </c>
      <c r="M2170" t="s">
        <v>305</v>
      </c>
      <c r="N2170">
        <v>1E-3</v>
      </c>
      <c r="O2170" t="str">
        <f>IF(Transactions_RAW_cleaned[[#This Row],[Status]]="Completed", IFERROR(_xlfn.XLOOKUP(Transactions_RAW_cleaned[[#This Row],[CustomerID]], Customers_cleaned[CustomerID], Customers_cleaned[Segment]), "Customer Not Found"), "N/A")</f>
        <v>Enterprise</v>
      </c>
      <c r="P2170" s="5" t="str">
        <f>IF(Transactions_RAW_cleaned[[#This Row],[Status]]="Refunded", "Refund",
  IF(Transactions_RAW_cleaned[[#This Row],[Category]]="Payments", IF(Transactions_RAW_cleaned[[#This Row],[Amount]]&gt;500,"High Value","Standard"),
    IF(Transactions_RAW_cleaned[[#This Row],[Amount]]&gt;250,"High Value","Standard")))</f>
        <v>High Value</v>
      </c>
      <c r="Q2170" s="5" t="str">
        <f>IF(Transactions_RAW_cleaned[[#This Row],[Amount]] &gt; (_xlfn.XLOOKUP(Transactions_RAW_cleaned[[#This Row],[ServiceID]],Services_cleaned[ServiceID],Services_cleaned[TransactionFeePct]) * 10000), "Yes", "No")</f>
        <v>Yes</v>
      </c>
      <c r="R2170" s="5" t="str">
        <f>IF(COUNTIFS($C$2:Transactions_RAW_cleaned[[#This Row],[CustomerID]],Transactions_RAW_cleaned[[#This Row],[CustomerID]],$D$2:Transactions_RAW_cleaned[[#This Row],[ServiceID]],Transactions_RAW_cleaned[[#This Row],[ServiceID]])=1,"Yes","No")</f>
        <v>No</v>
      </c>
      <c r="S217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70" t="str">
        <f>"Q"&amp;ROUNDUP(MONTH(Transactions_RAW_cleaned[[#This Row],[TransactionDate]])/3,0)</f>
        <v>Q3</v>
      </c>
      <c r="U2170" t="str">
        <f>Transactions_RAW_cleaned[[#This Row],[Region ]]&amp;Transactions_RAW_cleaned[[#This Row],[Quarter ]]</f>
        <v>NAQ3</v>
      </c>
      <c r="V2170" s="5">
        <f>_xlfn.XLOOKUP(Transactions_RAW_cleaned[[#This Row],[RegionQuarterKey]], Quarterly_Targets_cleaned[RegionQuarterKey], Quarterly_Targets_cleaned[TargetRevenue])</f>
        <v>273000</v>
      </c>
    </row>
    <row r="2171" spans="1:22" x14ac:dyDescent="0.25">
      <c r="A2171" t="s">
        <v>2508</v>
      </c>
      <c r="B2171" s="1">
        <v>45603</v>
      </c>
      <c r="C2171" t="s">
        <v>197</v>
      </c>
      <c r="D2171" t="s">
        <v>315</v>
      </c>
      <c r="E2171">
        <v>503.48</v>
      </c>
      <c r="F2171" t="s">
        <v>324</v>
      </c>
      <c r="G2171" t="s">
        <v>337</v>
      </c>
      <c r="I2171" t="s">
        <v>8</v>
      </c>
      <c r="J2171" t="s">
        <v>46</v>
      </c>
      <c r="K2171" t="s">
        <v>14</v>
      </c>
      <c r="L2171" t="s">
        <v>316</v>
      </c>
      <c r="M2171" t="s">
        <v>305</v>
      </c>
      <c r="N2171">
        <v>2.5000000000000001E-3</v>
      </c>
      <c r="O2171" t="str">
        <f>IF(Transactions_RAW_cleaned[[#This Row],[Status]]="Completed", IFERROR(_xlfn.XLOOKUP(Transactions_RAW_cleaned[[#This Row],[CustomerID]], Customers_cleaned[CustomerID], Customers_cleaned[Segment]), "Customer Not Found"), "N/A")</f>
        <v>SMB</v>
      </c>
      <c r="P2171" s="5" t="str">
        <f>IF(Transactions_RAW_cleaned[[#This Row],[Status]]="Refunded", "Refund",
  IF(Transactions_RAW_cleaned[[#This Row],[Category]]="Payments", IF(Transactions_RAW_cleaned[[#This Row],[Amount]]&gt;500,"High Value","Standard"),
    IF(Transactions_RAW_cleaned[[#This Row],[Amount]]&gt;250,"High Value","Standard")))</f>
        <v>High Value</v>
      </c>
      <c r="Q2171" s="5" t="str">
        <f>IF(Transactions_RAW_cleaned[[#This Row],[Amount]] &gt; (_xlfn.XLOOKUP(Transactions_RAW_cleaned[[#This Row],[ServiceID]],Services_cleaned[ServiceID],Services_cleaned[TransactionFeePct]) * 10000), "Yes", "No")</f>
        <v>Yes</v>
      </c>
      <c r="R2171" s="5" t="str">
        <f>IF(COUNTIFS($C$2:Transactions_RAW_cleaned[[#This Row],[CustomerID]],Transactions_RAW_cleaned[[#This Row],[CustomerID]],$D$2:Transactions_RAW_cleaned[[#This Row],[ServiceID]],Transactions_RAW_cleaned[[#This Row],[ServiceID]])=1,"Yes","No")</f>
        <v>No</v>
      </c>
      <c r="S217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71" t="str">
        <f>"Q"&amp;ROUNDUP(MONTH(Transactions_RAW_cleaned[[#This Row],[TransactionDate]])/3,0)</f>
        <v>Q4</v>
      </c>
      <c r="U2171" t="str">
        <f>Transactions_RAW_cleaned[[#This Row],[Region ]]&amp;Transactions_RAW_cleaned[[#This Row],[Quarter ]]</f>
        <v>APACQ4</v>
      </c>
      <c r="V2171" s="5">
        <f>_xlfn.XLOOKUP(Transactions_RAW_cleaned[[#This Row],[RegionQuarterKey]], Quarterly_Targets_cleaned[RegionQuarterKey], Quarterly_Targets_cleaned[TargetRevenue])</f>
        <v>126500</v>
      </c>
    </row>
    <row r="2172" spans="1:22" x14ac:dyDescent="0.25">
      <c r="A2172" t="s">
        <v>2509</v>
      </c>
      <c r="B2172" s="1">
        <v>45416</v>
      </c>
      <c r="C2172" t="s">
        <v>179</v>
      </c>
      <c r="D2172" t="s">
        <v>297</v>
      </c>
      <c r="E2172">
        <v>631.23</v>
      </c>
      <c r="F2172" t="s">
        <v>324</v>
      </c>
      <c r="G2172" t="s">
        <v>325</v>
      </c>
      <c r="H2172" t="s">
        <v>332</v>
      </c>
      <c r="I2172" t="s">
        <v>8</v>
      </c>
      <c r="J2172" t="s">
        <v>31</v>
      </c>
      <c r="K2172" t="s">
        <v>18</v>
      </c>
      <c r="L2172" t="s">
        <v>298</v>
      </c>
      <c r="M2172" t="s">
        <v>299</v>
      </c>
      <c r="N2172">
        <v>0</v>
      </c>
      <c r="O2172" t="str">
        <f>IF(Transactions_RAW_cleaned[[#This Row],[Status]]="Completed", IFERROR(_xlfn.XLOOKUP(Transactions_RAW_cleaned[[#This Row],[CustomerID]], Customers_cleaned[CustomerID], Customers_cleaned[Segment]), "Customer Not Found"), "N/A")</f>
        <v>SMB</v>
      </c>
      <c r="P2172" s="5" t="str">
        <f>IF(Transactions_RAW_cleaned[[#This Row],[Status]]="Refunded", "Refund",
  IF(Transactions_RAW_cleaned[[#This Row],[Category]]="Payments", IF(Transactions_RAW_cleaned[[#This Row],[Amount]]&gt;500,"High Value","Standard"),
    IF(Transactions_RAW_cleaned[[#This Row],[Amount]]&gt;250,"High Value","Standard")))</f>
        <v>High Value</v>
      </c>
      <c r="Q2172" s="5" t="str">
        <f>IF(Transactions_RAW_cleaned[[#This Row],[Amount]] &gt; (_xlfn.XLOOKUP(Transactions_RAW_cleaned[[#This Row],[ServiceID]],Services_cleaned[ServiceID],Services_cleaned[TransactionFeePct]) * 10000), "Yes", "No")</f>
        <v>Yes</v>
      </c>
      <c r="R2172" s="5" t="str">
        <f>IF(COUNTIFS($C$2:Transactions_RAW_cleaned[[#This Row],[CustomerID]],Transactions_RAW_cleaned[[#This Row],[CustomerID]],$D$2:Transactions_RAW_cleaned[[#This Row],[ServiceID]],Transactions_RAW_cleaned[[#This Row],[ServiceID]])=1,"Yes","No")</f>
        <v>No</v>
      </c>
      <c r="S217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172" t="str">
        <f>"Q"&amp;ROUNDUP(MONTH(Transactions_RAW_cleaned[[#This Row],[TransactionDate]])/3,0)</f>
        <v>Q2</v>
      </c>
      <c r="U2172" t="str">
        <f>Transactions_RAW_cleaned[[#This Row],[Region ]]&amp;Transactions_RAW_cleaned[[#This Row],[Quarter ]]</f>
        <v>EMEAQ2</v>
      </c>
      <c r="V2172" s="5">
        <f>_xlfn.XLOOKUP(Transactions_RAW_cleaned[[#This Row],[RegionQuarterKey]], Quarterly_Targets_cleaned[RegionQuarterKey], Quarterly_Targets_cleaned[TargetRevenue])</f>
        <v>140000</v>
      </c>
    </row>
    <row r="2173" spans="1:22" x14ac:dyDescent="0.25">
      <c r="A2173" t="s">
        <v>2510</v>
      </c>
      <c r="B2173" s="1">
        <v>45579</v>
      </c>
      <c r="C2173" t="s">
        <v>49</v>
      </c>
      <c r="D2173" t="s">
        <v>303</v>
      </c>
      <c r="E2173">
        <v>483.75</v>
      </c>
      <c r="F2173" t="s">
        <v>324</v>
      </c>
      <c r="G2173" t="s">
        <v>327</v>
      </c>
      <c r="H2173" t="s">
        <v>334</v>
      </c>
      <c r="I2173" t="s">
        <v>8</v>
      </c>
      <c r="J2173" t="s">
        <v>102</v>
      </c>
      <c r="K2173" t="s">
        <v>32</v>
      </c>
      <c r="L2173" t="s">
        <v>304</v>
      </c>
      <c r="M2173" t="s">
        <v>305</v>
      </c>
      <c r="N2173">
        <v>1E-3</v>
      </c>
      <c r="O2173" t="str">
        <f>IF(Transactions_RAW_cleaned[[#This Row],[Status]]="Completed", IFERROR(_xlfn.XLOOKUP(Transactions_RAW_cleaned[[#This Row],[CustomerID]], Customers_cleaned[CustomerID], Customers_cleaned[Segment]), "Customer Not Found"), "N/A")</f>
        <v>SMB</v>
      </c>
      <c r="P2173" s="5" t="str">
        <f>IF(Transactions_RAW_cleaned[[#This Row],[Status]]="Refunded", "Refund",
  IF(Transactions_RAW_cleaned[[#This Row],[Category]]="Payments", IF(Transactions_RAW_cleaned[[#This Row],[Amount]]&gt;500,"High Value","Standard"),
    IF(Transactions_RAW_cleaned[[#This Row],[Amount]]&gt;250,"High Value","Standard")))</f>
        <v>High Value</v>
      </c>
      <c r="Q2173" s="5" t="str">
        <f>IF(Transactions_RAW_cleaned[[#This Row],[Amount]] &gt; (_xlfn.XLOOKUP(Transactions_RAW_cleaned[[#This Row],[ServiceID]],Services_cleaned[ServiceID],Services_cleaned[TransactionFeePct]) * 10000), "Yes", "No")</f>
        <v>Yes</v>
      </c>
      <c r="R2173" s="5" t="str">
        <f>IF(COUNTIFS($C$2:Transactions_RAW_cleaned[[#This Row],[CustomerID]],Transactions_RAW_cleaned[[#This Row],[CustomerID]],$D$2:Transactions_RAW_cleaned[[#This Row],[ServiceID]],Transactions_RAW_cleaned[[#This Row],[ServiceID]])=1,"Yes","No")</f>
        <v>No</v>
      </c>
      <c r="S217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73" t="str">
        <f>"Q"&amp;ROUNDUP(MONTH(Transactions_RAW_cleaned[[#This Row],[TransactionDate]])/3,0)</f>
        <v>Q4</v>
      </c>
      <c r="U2173" t="str">
        <f>Transactions_RAW_cleaned[[#This Row],[Region ]]&amp;Transactions_RAW_cleaned[[#This Row],[Quarter ]]</f>
        <v>NAQ4</v>
      </c>
      <c r="V2173" s="5">
        <f>_xlfn.XLOOKUP(Transactions_RAW_cleaned[[#This Row],[RegionQuarterKey]], Quarterly_Targets_cleaned[RegionQuarterKey], Quarterly_Targets_cleaned[TargetRevenue])</f>
        <v>299000</v>
      </c>
    </row>
    <row r="2174" spans="1:22" x14ac:dyDescent="0.25">
      <c r="A2174" t="s">
        <v>2511</v>
      </c>
      <c r="B2174" s="1">
        <v>45385</v>
      </c>
      <c r="C2174" t="s">
        <v>263</v>
      </c>
      <c r="D2174" t="s">
        <v>306</v>
      </c>
      <c r="E2174">
        <v>571.96</v>
      </c>
      <c r="F2174" t="s">
        <v>324</v>
      </c>
      <c r="G2174" t="s">
        <v>337</v>
      </c>
      <c r="H2174" t="s">
        <v>332</v>
      </c>
      <c r="I2174" t="s">
        <v>8</v>
      </c>
      <c r="J2174" t="s">
        <v>102</v>
      </c>
      <c r="K2174" t="s">
        <v>32</v>
      </c>
      <c r="L2174" t="s">
        <v>307</v>
      </c>
      <c r="M2174" t="s">
        <v>308</v>
      </c>
      <c r="N2174">
        <v>0</v>
      </c>
      <c r="O2174" t="str">
        <f>IF(Transactions_RAW_cleaned[[#This Row],[Status]]="Completed", IFERROR(_xlfn.XLOOKUP(Transactions_RAW_cleaned[[#This Row],[CustomerID]], Customers_cleaned[CustomerID], Customers_cleaned[Segment]), "Customer Not Found"), "N/A")</f>
        <v>SMB</v>
      </c>
      <c r="P2174" s="5" t="str">
        <f>IF(Transactions_RAW_cleaned[[#This Row],[Status]]="Refunded", "Refund",
  IF(Transactions_RAW_cleaned[[#This Row],[Category]]="Payments", IF(Transactions_RAW_cleaned[[#This Row],[Amount]]&gt;500,"High Value","Standard"),
    IF(Transactions_RAW_cleaned[[#This Row],[Amount]]&gt;250,"High Value","Standard")))</f>
        <v>High Value</v>
      </c>
      <c r="Q2174" s="5" t="str">
        <f>IF(Transactions_RAW_cleaned[[#This Row],[Amount]] &gt; (_xlfn.XLOOKUP(Transactions_RAW_cleaned[[#This Row],[ServiceID]],Services_cleaned[ServiceID],Services_cleaned[TransactionFeePct]) * 10000), "Yes", "No")</f>
        <v>Yes</v>
      </c>
      <c r="R2174" s="5" t="str">
        <f>IF(COUNTIFS($C$2:Transactions_RAW_cleaned[[#This Row],[CustomerID]],Transactions_RAW_cleaned[[#This Row],[CustomerID]],$D$2:Transactions_RAW_cleaned[[#This Row],[ServiceID]],Transactions_RAW_cleaned[[#This Row],[ServiceID]])=1,"Yes","No")</f>
        <v>Yes</v>
      </c>
      <c r="S217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74" t="str">
        <f>"Q"&amp;ROUNDUP(MONTH(Transactions_RAW_cleaned[[#This Row],[TransactionDate]])/3,0)</f>
        <v>Q2</v>
      </c>
      <c r="U2174" t="str">
        <f>Transactions_RAW_cleaned[[#This Row],[Region ]]&amp;Transactions_RAW_cleaned[[#This Row],[Quarter ]]</f>
        <v>NAQ2</v>
      </c>
      <c r="V2174" s="5">
        <f>_xlfn.XLOOKUP(Transactions_RAW_cleaned[[#This Row],[RegionQuarterKey]], Quarterly_Targets_cleaned[RegionQuarterKey], Quarterly_Targets_cleaned[TargetRevenue])</f>
        <v>260000</v>
      </c>
    </row>
    <row r="2175" spans="1:22" x14ac:dyDescent="0.25">
      <c r="A2175" t="s">
        <v>2512</v>
      </c>
      <c r="B2175" s="1">
        <v>45447</v>
      </c>
      <c r="C2175" t="s">
        <v>64</v>
      </c>
      <c r="D2175" t="s">
        <v>294</v>
      </c>
      <c r="E2175">
        <v>354.17</v>
      </c>
      <c r="F2175" t="s">
        <v>324</v>
      </c>
      <c r="G2175" t="s">
        <v>2963</v>
      </c>
      <c r="I2175" t="s">
        <v>8</v>
      </c>
      <c r="J2175" t="s">
        <v>37</v>
      </c>
      <c r="K2175" t="s">
        <v>28</v>
      </c>
      <c r="L2175" t="s">
        <v>295</v>
      </c>
      <c r="M2175" t="s">
        <v>296</v>
      </c>
      <c r="N2175">
        <v>2.9000000000000001E-2</v>
      </c>
      <c r="O2175" t="str">
        <f>IF(Transactions_RAW_cleaned[[#This Row],[Status]]="Completed", IFERROR(_xlfn.XLOOKUP(Transactions_RAW_cleaned[[#This Row],[CustomerID]], Customers_cleaned[CustomerID], Customers_cleaned[Segment]), "Customer Not Found"), "N/A")</f>
        <v>SMB</v>
      </c>
      <c r="P2175" s="5" t="str">
        <f>IF(Transactions_RAW_cleaned[[#This Row],[Status]]="Refunded", "Refund",
  IF(Transactions_RAW_cleaned[[#This Row],[Category]]="Payments", IF(Transactions_RAW_cleaned[[#This Row],[Amount]]&gt;500,"High Value","Standard"),
    IF(Transactions_RAW_cleaned[[#This Row],[Amount]]&gt;250,"High Value","Standard")))</f>
        <v>Standard</v>
      </c>
      <c r="Q2175" s="5" t="str">
        <f>IF(Transactions_RAW_cleaned[[#This Row],[Amount]] &gt; (_xlfn.XLOOKUP(Transactions_RAW_cleaned[[#This Row],[ServiceID]],Services_cleaned[ServiceID],Services_cleaned[TransactionFeePct]) * 10000), "Yes", "No")</f>
        <v>Yes</v>
      </c>
      <c r="R2175" s="5" t="str">
        <f>IF(COUNTIFS($C$2:Transactions_RAW_cleaned[[#This Row],[CustomerID]],Transactions_RAW_cleaned[[#This Row],[CustomerID]],$D$2:Transactions_RAW_cleaned[[#This Row],[ServiceID]],Transactions_RAW_cleaned[[#This Row],[ServiceID]])=1,"Yes","No")</f>
        <v>No</v>
      </c>
      <c r="S217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175" t="str">
        <f>"Q"&amp;ROUNDUP(MONTH(Transactions_RAW_cleaned[[#This Row],[TransactionDate]])/3,0)</f>
        <v>Q2</v>
      </c>
      <c r="U2175" t="str">
        <f>Transactions_RAW_cleaned[[#This Row],[Region ]]&amp;Transactions_RAW_cleaned[[#This Row],[Quarter ]]</f>
        <v>EMEAQ2</v>
      </c>
      <c r="V2175" s="5">
        <f>_xlfn.XLOOKUP(Transactions_RAW_cleaned[[#This Row],[RegionQuarterKey]], Quarterly_Targets_cleaned[RegionQuarterKey], Quarterly_Targets_cleaned[TargetRevenue])</f>
        <v>140000</v>
      </c>
    </row>
    <row r="2176" spans="1:22" x14ac:dyDescent="0.25">
      <c r="A2176" t="s">
        <v>2513</v>
      </c>
      <c r="B2176" s="1">
        <v>45594</v>
      </c>
      <c r="C2176" t="s">
        <v>82</v>
      </c>
      <c r="D2176" t="s">
        <v>297</v>
      </c>
      <c r="E2176">
        <v>436.62</v>
      </c>
      <c r="F2176" t="s">
        <v>331</v>
      </c>
      <c r="G2176" t="s">
        <v>327</v>
      </c>
      <c r="I2176" t="s">
        <v>57</v>
      </c>
      <c r="J2176" t="s">
        <v>46</v>
      </c>
      <c r="K2176" t="s">
        <v>10</v>
      </c>
      <c r="L2176" t="s">
        <v>298</v>
      </c>
      <c r="M2176" t="s">
        <v>299</v>
      </c>
      <c r="N2176">
        <v>0</v>
      </c>
      <c r="O2176" t="str">
        <f>IF(Transactions_RAW_cleaned[[#This Row],[Status]]="Completed", IFERROR(_xlfn.XLOOKUP(Transactions_RAW_cleaned[[#This Row],[CustomerID]], Customers_cleaned[CustomerID], Customers_cleaned[Segment]), "Customer Not Found"), "N/A")</f>
        <v>N/A</v>
      </c>
      <c r="P2176" s="5" t="str">
        <f>IF(Transactions_RAW_cleaned[[#This Row],[Status]]="Refunded", "Refund",
  IF(Transactions_RAW_cleaned[[#This Row],[Category]]="Payments", IF(Transactions_RAW_cleaned[[#This Row],[Amount]]&gt;500,"High Value","Standard"),
    IF(Transactions_RAW_cleaned[[#This Row],[Amount]]&gt;250,"High Value","Standard")))</f>
        <v>High Value</v>
      </c>
      <c r="Q2176" s="5" t="str">
        <f>IF(Transactions_RAW_cleaned[[#This Row],[Amount]] &gt; (_xlfn.XLOOKUP(Transactions_RAW_cleaned[[#This Row],[ServiceID]],Services_cleaned[ServiceID],Services_cleaned[TransactionFeePct]) * 10000), "Yes", "No")</f>
        <v>Yes</v>
      </c>
      <c r="R2176" s="5" t="str">
        <f>IF(COUNTIFS($C$2:Transactions_RAW_cleaned[[#This Row],[CustomerID]],Transactions_RAW_cleaned[[#This Row],[CustomerID]],$D$2:Transactions_RAW_cleaned[[#This Row],[ServiceID]],Transactions_RAW_cleaned[[#This Row],[ServiceID]])=1,"Yes","No")</f>
        <v>No</v>
      </c>
      <c r="S217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76" t="str">
        <f>"Q"&amp;ROUNDUP(MONTH(Transactions_RAW_cleaned[[#This Row],[TransactionDate]])/3,0)</f>
        <v>Q4</v>
      </c>
      <c r="U2176" t="str">
        <f>Transactions_RAW_cleaned[[#This Row],[Region ]]&amp;Transactions_RAW_cleaned[[#This Row],[Quarter ]]</f>
        <v>APACQ4</v>
      </c>
      <c r="V2176" s="5">
        <f>_xlfn.XLOOKUP(Transactions_RAW_cleaned[[#This Row],[RegionQuarterKey]], Quarterly_Targets_cleaned[RegionQuarterKey], Quarterly_Targets_cleaned[TargetRevenue])</f>
        <v>126500</v>
      </c>
    </row>
    <row r="2177" spans="1:22" x14ac:dyDescent="0.25">
      <c r="A2177" t="s">
        <v>2514</v>
      </c>
      <c r="B2177" s="1">
        <v>45436</v>
      </c>
      <c r="C2177" t="s">
        <v>103</v>
      </c>
      <c r="D2177" t="s">
        <v>303</v>
      </c>
      <c r="E2177">
        <v>383.41</v>
      </c>
      <c r="F2177" t="s">
        <v>324</v>
      </c>
      <c r="G2177" t="s">
        <v>327</v>
      </c>
      <c r="I2177" t="s">
        <v>8</v>
      </c>
      <c r="J2177" t="s">
        <v>102</v>
      </c>
      <c r="K2177" t="s">
        <v>28</v>
      </c>
      <c r="L2177" t="s">
        <v>304</v>
      </c>
      <c r="M2177" t="s">
        <v>305</v>
      </c>
      <c r="N2177">
        <v>1E-3</v>
      </c>
      <c r="O2177" t="str">
        <f>IF(Transactions_RAW_cleaned[[#This Row],[Status]]="Completed", IFERROR(_xlfn.XLOOKUP(Transactions_RAW_cleaned[[#This Row],[CustomerID]], Customers_cleaned[CustomerID], Customers_cleaned[Segment]), "Customer Not Found"), "N/A")</f>
        <v>SMB</v>
      </c>
      <c r="P2177" s="5" t="str">
        <f>IF(Transactions_RAW_cleaned[[#This Row],[Status]]="Refunded", "Refund",
  IF(Transactions_RAW_cleaned[[#This Row],[Category]]="Payments", IF(Transactions_RAW_cleaned[[#This Row],[Amount]]&gt;500,"High Value","Standard"),
    IF(Transactions_RAW_cleaned[[#This Row],[Amount]]&gt;250,"High Value","Standard")))</f>
        <v>High Value</v>
      </c>
      <c r="Q2177" s="5" t="str">
        <f>IF(Transactions_RAW_cleaned[[#This Row],[Amount]] &gt; (_xlfn.XLOOKUP(Transactions_RAW_cleaned[[#This Row],[ServiceID]],Services_cleaned[ServiceID],Services_cleaned[TransactionFeePct]) * 10000), "Yes", "No")</f>
        <v>Yes</v>
      </c>
      <c r="R2177" s="5" t="str">
        <f>IF(COUNTIFS($C$2:Transactions_RAW_cleaned[[#This Row],[CustomerID]],Transactions_RAW_cleaned[[#This Row],[CustomerID]],$D$2:Transactions_RAW_cleaned[[#This Row],[ServiceID]],Transactions_RAW_cleaned[[#This Row],[ServiceID]])=1,"Yes","No")</f>
        <v>No</v>
      </c>
      <c r="S217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77" t="str">
        <f>"Q"&amp;ROUNDUP(MONTH(Transactions_RAW_cleaned[[#This Row],[TransactionDate]])/3,0)</f>
        <v>Q2</v>
      </c>
      <c r="U2177" t="str">
        <f>Transactions_RAW_cleaned[[#This Row],[Region ]]&amp;Transactions_RAW_cleaned[[#This Row],[Quarter ]]</f>
        <v>NAQ2</v>
      </c>
      <c r="V2177" s="5">
        <f>_xlfn.XLOOKUP(Transactions_RAW_cleaned[[#This Row],[RegionQuarterKey]], Quarterly_Targets_cleaned[RegionQuarterKey], Quarterly_Targets_cleaned[TargetRevenue])</f>
        <v>260000</v>
      </c>
    </row>
    <row r="2178" spans="1:22" x14ac:dyDescent="0.25">
      <c r="A2178" t="s">
        <v>2515</v>
      </c>
      <c r="B2178" s="1">
        <v>45514</v>
      </c>
      <c r="C2178" t="s">
        <v>147</v>
      </c>
      <c r="D2178" t="s">
        <v>294</v>
      </c>
      <c r="E2178">
        <v>536.08000000000004</v>
      </c>
      <c r="F2178" t="s">
        <v>324</v>
      </c>
      <c r="G2178" t="s">
        <v>327</v>
      </c>
      <c r="I2178" t="s">
        <v>17</v>
      </c>
      <c r="J2178" t="s">
        <v>25</v>
      </c>
      <c r="K2178" t="s">
        <v>32</v>
      </c>
      <c r="L2178" t="s">
        <v>295</v>
      </c>
      <c r="M2178" t="s">
        <v>296</v>
      </c>
      <c r="N2178">
        <v>2.9000000000000001E-2</v>
      </c>
      <c r="O2178" t="str">
        <f>IF(Transactions_RAW_cleaned[[#This Row],[Status]]="Completed", IFERROR(_xlfn.XLOOKUP(Transactions_RAW_cleaned[[#This Row],[CustomerID]], Customers_cleaned[CustomerID], Customers_cleaned[Segment]), "Customer Not Found"), "N/A")</f>
        <v>Enterprise</v>
      </c>
      <c r="P2178" s="5" t="str">
        <f>IF(Transactions_RAW_cleaned[[#This Row],[Status]]="Refunded", "Refund",
  IF(Transactions_RAW_cleaned[[#This Row],[Category]]="Payments", IF(Transactions_RAW_cleaned[[#This Row],[Amount]]&gt;500,"High Value","Standard"),
    IF(Transactions_RAW_cleaned[[#This Row],[Amount]]&gt;250,"High Value","Standard")))</f>
        <v>High Value</v>
      </c>
      <c r="Q2178" s="5" t="str">
        <f>IF(Transactions_RAW_cleaned[[#This Row],[Amount]] &gt; (_xlfn.XLOOKUP(Transactions_RAW_cleaned[[#This Row],[ServiceID]],Services_cleaned[ServiceID],Services_cleaned[TransactionFeePct]) * 10000), "Yes", "No")</f>
        <v>Yes</v>
      </c>
      <c r="R2178" s="5" t="str">
        <f>IF(COUNTIFS($C$2:Transactions_RAW_cleaned[[#This Row],[CustomerID]],Transactions_RAW_cleaned[[#This Row],[CustomerID]],$D$2:Transactions_RAW_cleaned[[#This Row],[ServiceID]],Transactions_RAW_cleaned[[#This Row],[ServiceID]])=1,"Yes","No")</f>
        <v>No</v>
      </c>
      <c r="S217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78" t="str">
        <f>"Q"&amp;ROUNDUP(MONTH(Transactions_RAW_cleaned[[#This Row],[TransactionDate]])/3,0)</f>
        <v>Q3</v>
      </c>
      <c r="U2178" t="str">
        <f>Transactions_RAW_cleaned[[#This Row],[Region ]]&amp;Transactions_RAW_cleaned[[#This Row],[Quarter ]]</f>
        <v>APACQ3</v>
      </c>
      <c r="V2178" s="5">
        <f>_xlfn.XLOOKUP(Transactions_RAW_cleaned[[#This Row],[RegionQuarterKey]], Quarterly_Targets_cleaned[RegionQuarterKey], Quarterly_Targets_cleaned[TargetRevenue])</f>
        <v>115500</v>
      </c>
    </row>
    <row r="2179" spans="1:22" x14ac:dyDescent="0.25">
      <c r="A2179" t="s">
        <v>2516</v>
      </c>
      <c r="B2179" s="1">
        <v>45621</v>
      </c>
      <c r="C2179" t="s">
        <v>51</v>
      </c>
      <c r="D2179" t="s">
        <v>309</v>
      </c>
      <c r="E2179">
        <v>444.82</v>
      </c>
      <c r="F2179" t="s">
        <v>324</v>
      </c>
      <c r="G2179" t="s">
        <v>337</v>
      </c>
      <c r="H2179" t="s">
        <v>346</v>
      </c>
      <c r="I2179" t="s">
        <v>8</v>
      </c>
      <c r="J2179" t="s">
        <v>31</v>
      </c>
      <c r="K2179" t="s">
        <v>14</v>
      </c>
      <c r="L2179" t="s">
        <v>310</v>
      </c>
      <c r="M2179" t="s">
        <v>311</v>
      </c>
      <c r="N2179">
        <v>0</v>
      </c>
      <c r="O2179" t="str">
        <f>IF(Transactions_RAW_cleaned[[#This Row],[Status]]="Completed", IFERROR(_xlfn.XLOOKUP(Transactions_RAW_cleaned[[#This Row],[CustomerID]], Customers_cleaned[CustomerID], Customers_cleaned[Segment]), "Customer Not Found"), "N/A")</f>
        <v>SMB</v>
      </c>
      <c r="P2179" s="5" t="str">
        <f>IF(Transactions_RAW_cleaned[[#This Row],[Status]]="Refunded", "Refund",
  IF(Transactions_RAW_cleaned[[#This Row],[Category]]="Payments", IF(Transactions_RAW_cleaned[[#This Row],[Amount]]&gt;500,"High Value","Standard"),
    IF(Transactions_RAW_cleaned[[#This Row],[Amount]]&gt;250,"High Value","Standard")))</f>
        <v>High Value</v>
      </c>
      <c r="Q2179" s="5" t="str">
        <f>IF(Transactions_RAW_cleaned[[#This Row],[Amount]] &gt; (_xlfn.XLOOKUP(Transactions_RAW_cleaned[[#This Row],[ServiceID]],Services_cleaned[ServiceID],Services_cleaned[TransactionFeePct]) * 10000), "Yes", "No")</f>
        <v>Yes</v>
      </c>
      <c r="R2179" s="5" t="str">
        <f>IF(COUNTIFS($C$2:Transactions_RAW_cleaned[[#This Row],[CustomerID]],Transactions_RAW_cleaned[[#This Row],[CustomerID]],$D$2:Transactions_RAW_cleaned[[#This Row],[ServiceID]],Transactions_RAW_cleaned[[#This Row],[ServiceID]])=1,"Yes","No")</f>
        <v>Yes</v>
      </c>
      <c r="S217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179" t="str">
        <f>"Q"&amp;ROUNDUP(MONTH(Transactions_RAW_cleaned[[#This Row],[TransactionDate]])/3,0)</f>
        <v>Q4</v>
      </c>
      <c r="U2179" t="str">
        <f>Transactions_RAW_cleaned[[#This Row],[Region ]]&amp;Transactions_RAW_cleaned[[#This Row],[Quarter ]]</f>
        <v>EMEAQ4</v>
      </c>
      <c r="V2179" s="5">
        <f>_xlfn.XLOOKUP(Transactions_RAW_cleaned[[#This Row],[RegionQuarterKey]], Quarterly_Targets_cleaned[RegionQuarterKey], Quarterly_Targets_cleaned[TargetRevenue])</f>
        <v>161000</v>
      </c>
    </row>
    <row r="2180" spans="1:22" x14ac:dyDescent="0.25">
      <c r="A2180" t="s">
        <v>2517</v>
      </c>
      <c r="B2180" s="1">
        <v>45401</v>
      </c>
      <c r="C2180" t="s">
        <v>265</v>
      </c>
      <c r="D2180" t="s">
        <v>294</v>
      </c>
      <c r="E2180">
        <v>383.97</v>
      </c>
      <c r="F2180" t="s">
        <v>324</v>
      </c>
      <c r="G2180" t="s">
        <v>327</v>
      </c>
      <c r="I2180" t="s">
        <v>8</v>
      </c>
      <c r="J2180" t="s">
        <v>102</v>
      </c>
      <c r="K2180" t="s">
        <v>32</v>
      </c>
      <c r="L2180" t="s">
        <v>295</v>
      </c>
      <c r="M2180" t="s">
        <v>296</v>
      </c>
      <c r="N2180">
        <v>2.9000000000000001E-2</v>
      </c>
      <c r="O2180" t="str">
        <f>IF(Transactions_RAW_cleaned[[#This Row],[Status]]="Completed", IFERROR(_xlfn.XLOOKUP(Transactions_RAW_cleaned[[#This Row],[CustomerID]], Customers_cleaned[CustomerID], Customers_cleaned[Segment]), "Customer Not Found"), "N/A")</f>
        <v>SMB</v>
      </c>
      <c r="P2180" s="5" t="str">
        <f>IF(Transactions_RAW_cleaned[[#This Row],[Status]]="Refunded", "Refund",
  IF(Transactions_RAW_cleaned[[#This Row],[Category]]="Payments", IF(Transactions_RAW_cleaned[[#This Row],[Amount]]&gt;500,"High Value","Standard"),
    IF(Transactions_RAW_cleaned[[#This Row],[Amount]]&gt;250,"High Value","Standard")))</f>
        <v>Standard</v>
      </c>
      <c r="Q2180" s="5" t="str">
        <f>IF(Transactions_RAW_cleaned[[#This Row],[Amount]] &gt; (_xlfn.XLOOKUP(Transactions_RAW_cleaned[[#This Row],[ServiceID]],Services_cleaned[ServiceID],Services_cleaned[TransactionFeePct]) * 10000), "Yes", "No")</f>
        <v>Yes</v>
      </c>
      <c r="R2180" s="5" t="str">
        <f>IF(COUNTIFS($C$2:Transactions_RAW_cleaned[[#This Row],[CustomerID]],Transactions_RAW_cleaned[[#This Row],[CustomerID]],$D$2:Transactions_RAW_cleaned[[#This Row],[ServiceID]],Transactions_RAW_cleaned[[#This Row],[ServiceID]])=1,"Yes","No")</f>
        <v>No</v>
      </c>
      <c r="S218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80" t="str">
        <f>"Q"&amp;ROUNDUP(MONTH(Transactions_RAW_cleaned[[#This Row],[TransactionDate]])/3,0)</f>
        <v>Q2</v>
      </c>
      <c r="U2180" t="str">
        <f>Transactions_RAW_cleaned[[#This Row],[Region ]]&amp;Transactions_RAW_cleaned[[#This Row],[Quarter ]]</f>
        <v>NAQ2</v>
      </c>
      <c r="V2180" s="5">
        <f>_xlfn.XLOOKUP(Transactions_RAW_cleaned[[#This Row],[RegionQuarterKey]], Quarterly_Targets_cleaned[RegionQuarterKey], Quarterly_Targets_cleaned[TargetRevenue])</f>
        <v>260000</v>
      </c>
    </row>
    <row r="2181" spans="1:22" x14ac:dyDescent="0.25">
      <c r="A2181" t="s">
        <v>2518</v>
      </c>
      <c r="B2181" s="1">
        <v>45599</v>
      </c>
      <c r="C2181" t="s">
        <v>199</v>
      </c>
      <c r="D2181" t="s">
        <v>312</v>
      </c>
      <c r="E2181">
        <v>-153.88999999999999</v>
      </c>
      <c r="F2181" t="s">
        <v>349</v>
      </c>
      <c r="G2181" t="s">
        <v>327</v>
      </c>
      <c r="H2181" t="s">
        <v>332</v>
      </c>
      <c r="I2181" t="s">
        <v>8</v>
      </c>
      <c r="J2181" t="s">
        <v>13</v>
      </c>
      <c r="K2181" t="s">
        <v>32</v>
      </c>
      <c r="L2181" t="s">
        <v>313</v>
      </c>
      <c r="M2181" t="s">
        <v>314</v>
      </c>
      <c r="N2181">
        <v>0</v>
      </c>
      <c r="O2181" t="str">
        <f>IF(Transactions_RAW_cleaned[[#This Row],[Status]]="Completed", IFERROR(_xlfn.XLOOKUP(Transactions_RAW_cleaned[[#This Row],[CustomerID]], Customers_cleaned[CustomerID], Customers_cleaned[Segment]), "Customer Not Found"), "N/A")</f>
        <v>N/A</v>
      </c>
      <c r="P2181" s="5" t="str">
        <f>IF(Transactions_RAW_cleaned[[#This Row],[Status]]="Refunded", "Refund",
  IF(Transactions_RAW_cleaned[[#This Row],[Category]]="Payments", IF(Transactions_RAW_cleaned[[#This Row],[Amount]]&gt;500,"High Value","Standard"),
    IF(Transactions_RAW_cleaned[[#This Row],[Amount]]&gt;250,"High Value","Standard")))</f>
        <v>Refund</v>
      </c>
      <c r="Q2181" s="5" t="str">
        <f>IF(Transactions_RAW_cleaned[[#This Row],[Amount]] &gt; (_xlfn.XLOOKUP(Transactions_RAW_cleaned[[#This Row],[ServiceID]],Services_cleaned[ServiceID],Services_cleaned[TransactionFeePct]) * 10000), "Yes", "No")</f>
        <v>No</v>
      </c>
      <c r="R2181" s="5" t="str">
        <f>IF(COUNTIFS($C$2:Transactions_RAW_cleaned[[#This Row],[CustomerID]],Transactions_RAW_cleaned[[#This Row],[CustomerID]],$D$2:Transactions_RAW_cleaned[[#This Row],[ServiceID]],Transactions_RAW_cleaned[[#This Row],[ServiceID]])=1,"Yes","No")</f>
        <v>No</v>
      </c>
      <c r="S218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81" t="str">
        <f>"Q"&amp;ROUNDUP(MONTH(Transactions_RAW_cleaned[[#This Row],[TransactionDate]])/3,0)</f>
        <v>Q4</v>
      </c>
      <c r="U2181" t="str">
        <f>Transactions_RAW_cleaned[[#This Row],[Region ]]&amp;Transactions_RAW_cleaned[[#This Row],[Quarter ]]</f>
        <v>NAQ4</v>
      </c>
      <c r="V2181" s="5">
        <f>_xlfn.XLOOKUP(Transactions_RAW_cleaned[[#This Row],[RegionQuarterKey]], Quarterly_Targets_cleaned[RegionQuarterKey], Quarterly_Targets_cleaned[TargetRevenue])</f>
        <v>299000</v>
      </c>
    </row>
    <row r="2182" spans="1:22" x14ac:dyDescent="0.25">
      <c r="A2182" t="s">
        <v>2519</v>
      </c>
      <c r="B2182" s="1">
        <v>45434</v>
      </c>
      <c r="C2182" t="s">
        <v>235</v>
      </c>
      <c r="D2182" t="s">
        <v>306</v>
      </c>
      <c r="E2182">
        <v>133.99</v>
      </c>
      <c r="F2182" t="s">
        <v>324</v>
      </c>
      <c r="G2182" t="s">
        <v>327</v>
      </c>
      <c r="H2182" t="s">
        <v>334</v>
      </c>
      <c r="I2182" t="s">
        <v>57</v>
      </c>
      <c r="J2182" t="s">
        <v>21</v>
      </c>
      <c r="K2182" t="s">
        <v>22</v>
      </c>
      <c r="L2182" t="s">
        <v>307</v>
      </c>
      <c r="M2182" t="s">
        <v>308</v>
      </c>
      <c r="N2182">
        <v>0</v>
      </c>
      <c r="O2182" t="str">
        <f>IF(Transactions_RAW_cleaned[[#This Row],[Status]]="Completed", IFERROR(_xlfn.XLOOKUP(Transactions_RAW_cleaned[[#This Row],[CustomerID]], Customers_cleaned[CustomerID], Customers_cleaned[Segment]), "Customer Not Found"), "N/A")</f>
        <v>Startup</v>
      </c>
      <c r="P2182" s="5" t="str">
        <f>IF(Transactions_RAW_cleaned[[#This Row],[Status]]="Refunded", "Refund",
  IF(Transactions_RAW_cleaned[[#This Row],[Category]]="Payments", IF(Transactions_RAW_cleaned[[#This Row],[Amount]]&gt;500,"High Value","Standard"),
    IF(Transactions_RAW_cleaned[[#This Row],[Amount]]&gt;250,"High Value","Standard")))</f>
        <v>Standard</v>
      </c>
      <c r="Q2182" s="5" t="str">
        <f>IF(Transactions_RAW_cleaned[[#This Row],[Amount]] &gt; (_xlfn.XLOOKUP(Transactions_RAW_cleaned[[#This Row],[ServiceID]],Services_cleaned[ServiceID],Services_cleaned[TransactionFeePct]) * 10000), "Yes", "No")</f>
        <v>Yes</v>
      </c>
      <c r="R2182" s="5" t="str">
        <f>IF(COUNTIFS($C$2:Transactions_RAW_cleaned[[#This Row],[CustomerID]],Transactions_RAW_cleaned[[#This Row],[CustomerID]],$D$2:Transactions_RAW_cleaned[[#This Row],[ServiceID]],Transactions_RAW_cleaned[[#This Row],[ServiceID]])=1,"Yes","No")</f>
        <v>No</v>
      </c>
      <c r="S218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82" t="str">
        <f>"Q"&amp;ROUNDUP(MONTH(Transactions_RAW_cleaned[[#This Row],[TransactionDate]])/3,0)</f>
        <v>Q2</v>
      </c>
      <c r="U2182" t="str">
        <f>Transactions_RAW_cleaned[[#This Row],[Region ]]&amp;Transactions_RAW_cleaned[[#This Row],[Quarter ]]</f>
        <v>APACQ2</v>
      </c>
      <c r="V2182" s="5">
        <f>_xlfn.XLOOKUP(Transactions_RAW_cleaned[[#This Row],[RegionQuarterKey]], Quarterly_Targets_cleaned[RegionQuarterKey], Quarterly_Targets_cleaned[TargetRevenue])</f>
        <v>110000</v>
      </c>
    </row>
    <row r="2183" spans="1:22" x14ac:dyDescent="0.25">
      <c r="A2183" t="s">
        <v>2520</v>
      </c>
      <c r="B2183" s="1">
        <v>45334</v>
      </c>
      <c r="C2183" t="s">
        <v>183</v>
      </c>
      <c r="D2183" t="s">
        <v>294</v>
      </c>
      <c r="E2183">
        <v>376.09</v>
      </c>
      <c r="F2183" t="s">
        <v>324</v>
      </c>
      <c r="G2183" t="s">
        <v>327</v>
      </c>
      <c r="H2183" t="s">
        <v>332</v>
      </c>
      <c r="I2183" t="s">
        <v>8</v>
      </c>
      <c r="J2183" t="s">
        <v>13</v>
      </c>
      <c r="K2183" t="s">
        <v>10</v>
      </c>
      <c r="L2183" t="s">
        <v>295</v>
      </c>
      <c r="M2183" t="s">
        <v>296</v>
      </c>
      <c r="N2183">
        <v>2.9000000000000001E-2</v>
      </c>
      <c r="O2183" t="str">
        <f>IF(Transactions_RAW_cleaned[[#This Row],[Status]]="Completed", IFERROR(_xlfn.XLOOKUP(Transactions_RAW_cleaned[[#This Row],[CustomerID]], Customers_cleaned[CustomerID], Customers_cleaned[Segment]), "Customer Not Found"), "N/A")</f>
        <v>SMB</v>
      </c>
      <c r="P2183" s="5" t="str">
        <f>IF(Transactions_RAW_cleaned[[#This Row],[Status]]="Refunded", "Refund",
  IF(Transactions_RAW_cleaned[[#This Row],[Category]]="Payments", IF(Transactions_RAW_cleaned[[#This Row],[Amount]]&gt;500,"High Value","Standard"),
    IF(Transactions_RAW_cleaned[[#This Row],[Amount]]&gt;250,"High Value","Standard")))</f>
        <v>Standard</v>
      </c>
      <c r="Q2183" s="5" t="str">
        <f>IF(Transactions_RAW_cleaned[[#This Row],[Amount]] &gt; (_xlfn.XLOOKUP(Transactions_RAW_cleaned[[#This Row],[ServiceID]],Services_cleaned[ServiceID],Services_cleaned[TransactionFeePct]) * 10000), "Yes", "No")</f>
        <v>Yes</v>
      </c>
      <c r="R2183" s="5" t="str">
        <f>IF(COUNTIFS($C$2:Transactions_RAW_cleaned[[#This Row],[CustomerID]],Transactions_RAW_cleaned[[#This Row],[CustomerID]],$D$2:Transactions_RAW_cleaned[[#This Row],[ServiceID]],Transactions_RAW_cleaned[[#This Row],[ServiceID]])=1,"Yes","No")</f>
        <v>No</v>
      </c>
      <c r="S218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83" t="str">
        <f>"Q"&amp;ROUNDUP(MONTH(Transactions_RAW_cleaned[[#This Row],[TransactionDate]])/3,0)</f>
        <v>Q1</v>
      </c>
      <c r="U2183" t="str">
        <f>Transactions_RAW_cleaned[[#This Row],[Region ]]&amp;Transactions_RAW_cleaned[[#This Row],[Quarter ]]</f>
        <v>NAQ1</v>
      </c>
      <c r="V2183" s="5">
        <f>_xlfn.XLOOKUP(Transactions_RAW_cleaned[[#This Row],[RegionQuarterKey]], Quarterly_Targets_cleaned[RegionQuarterKey], Quarterly_Targets_cleaned[TargetRevenue])</f>
        <v>247000</v>
      </c>
    </row>
    <row r="2184" spans="1:22" x14ac:dyDescent="0.25">
      <c r="A2184" t="s">
        <v>2521</v>
      </c>
      <c r="B2184" s="1">
        <v>45386</v>
      </c>
      <c r="C2184" t="s">
        <v>117</v>
      </c>
      <c r="D2184" t="s">
        <v>294</v>
      </c>
      <c r="E2184">
        <v>485.5</v>
      </c>
      <c r="F2184" t="s">
        <v>324</v>
      </c>
      <c r="G2184" t="s">
        <v>327</v>
      </c>
      <c r="H2184" t="s">
        <v>332</v>
      </c>
      <c r="I2184" t="s">
        <v>8</v>
      </c>
      <c r="J2184" t="s">
        <v>102</v>
      </c>
      <c r="K2184" t="s">
        <v>14</v>
      </c>
      <c r="L2184" t="s">
        <v>295</v>
      </c>
      <c r="M2184" t="s">
        <v>296</v>
      </c>
      <c r="N2184">
        <v>2.9000000000000001E-2</v>
      </c>
      <c r="O2184" t="str">
        <f>IF(Transactions_RAW_cleaned[[#This Row],[Status]]="Completed", IFERROR(_xlfn.XLOOKUP(Transactions_RAW_cleaned[[#This Row],[CustomerID]], Customers_cleaned[CustomerID], Customers_cleaned[Segment]), "Customer Not Found"), "N/A")</f>
        <v>SMB</v>
      </c>
      <c r="P2184" s="5" t="str">
        <f>IF(Transactions_RAW_cleaned[[#This Row],[Status]]="Refunded", "Refund",
  IF(Transactions_RAW_cleaned[[#This Row],[Category]]="Payments", IF(Transactions_RAW_cleaned[[#This Row],[Amount]]&gt;500,"High Value","Standard"),
    IF(Transactions_RAW_cleaned[[#This Row],[Amount]]&gt;250,"High Value","Standard")))</f>
        <v>Standard</v>
      </c>
      <c r="Q2184" s="5" t="str">
        <f>IF(Transactions_RAW_cleaned[[#This Row],[Amount]] &gt; (_xlfn.XLOOKUP(Transactions_RAW_cleaned[[#This Row],[ServiceID]],Services_cleaned[ServiceID],Services_cleaned[TransactionFeePct]) * 10000), "Yes", "No")</f>
        <v>Yes</v>
      </c>
      <c r="R2184" s="5" t="str">
        <f>IF(COUNTIFS($C$2:Transactions_RAW_cleaned[[#This Row],[CustomerID]],Transactions_RAW_cleaned[[#This Row],[CustomerID]],$D$2:Transactions_RAW_cleaned[[#This Row],[ServiceID]],Transactions_RAW_cleaned[[#This Row],[ServiceID]])=1,"Yes","No")</f>
        <v>No</v>
      </c>
      <c r="S218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84" t="str">
        <f>"Q"&amp;ROUNDUP(MONTH(Transactions_RAW_cleaned[[#This Row],[TransactionDate]])/3,0)</f>
        <v>Q2</v>
      </c>
      <c r="U2184" t="str">
        <f>Transactions_RAW_cleaned[[#This Row],[Region ]]&amp;Transactions_RAW_cleaned[[#This Row],[Quarter ]]</f>
        <v>NAQ2</v>
      </c>
      <c r="V2184" s="5">
        <f>_xlfn.XLOOKUP(Transactions_RAW_cleaned[[#This Row],[RegionQuarterKey]], Quarterly_Targets_cleaned[RegionQuarterKey], Quarterly_Targets_cleaned[TargetRevenue])</f>
        <v>260000</v>
      </c>
    </row>
    <row r="2185" spans="1:22" x14ac:dyDescent="0.25">
      <c r="A2185" t="s">
        <v>2522</v>
      </c>
      <c r="B2185" s="1">
        <v>45566</v>
      </c>
      <c r="C2185" t="s">
        <v>113</v>
      </c>
      <c r="D2185" t="s">
        <v>300</v>
      </c>
      <c r="E2185">
        <v>256.33999999999997</v>
      </c>
      <c r="F2185" t="s">
        <v>324</v>
      </c>
      <c r="G2185" t="s">
        <v>327</v>
      </c>
      <c r="I2185" t="s">
        <v>57</v>
      </c>
      <c r="J2185" t="s">
        <v>46</v>
      </c>
      <c r="K2185" t="s">
        <v>10</v>
      </c>
      <c r="L2185" t="s">
        <v>301</v>
      </c>
      <c r="M2185" t="s">
        <v>302</v>
      </c>
      <c r="N2185">
        <v>5.0000000000000001E-3</v>
      </c>
      <c r="O2185" t="str">
        <f>IF(Transactions_RAW_cleaned[[#This Row],[Status]]="Completed", IFERROR(_xlfn.XLOOKUP(Transactions_RAW_cleaned[[#This Row],[CustomerID]], Customers_cleaned[CustomerID], Customers_cleaned[Segment]), "Customer Not Found"), "N/A")</f>
        <v>Startup</v>
      </c>
      <c r="P2185" s="5" t="str">
        <f>IF(Transactions_RAW_cleaned[[#This Row],[Status]]="Refunded", "Refund",
  IF(Transactions_RAW_cleaned[[#This Row],[Category]]="Payments", IF(Transactions_RAW_cleaned[[#This Row],[Amount]]&gt;500,"High Value","Standard"),
    IF(Transactions_RAW_cleaned[[#This Row],[Amount]]&gt;250,"High Value","Standard")))</f>
        <v>High Value</v>
      </c>
      <c r="Q2185" s="5" t="str">
        <f>IF(Transactions_RAW_cleaned[[#This Row],[Amount]] &gt; (_xlfn.XLOOKUP(Transactions_RAW_cleaned[[#This Row],[ServiceID]],Services_cleaned[ServiceID],Services_cleaned[TransactionFeePct]) * 10000), "Yes", "No")</f>
        <v>Yes</v>
      </c>
      <c r="R2185" s="5" t="str">
        <f>IF(COUNTIFS($C$2:Transactions_RAW_cleaned[[#This Row],[CustomerID]],Transactions_RAW_cleaned[[#This Row],[CustomerID]],$D$2:Transactions_RAW_cleaned[[#This Row],[ServiceID]],Transactions_RAW_cleaned[[#This Row],[ServiceID]])=1,"Yes","No")</f>
        <v>No</v>
      </c>
      <c r="S218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85" t="str">
        <f>"Q"&amp;ROUNDUP(MONTH(Transactions_RAW_cleaned[[#This Row],[TransactionDate]])/3,0)</f>
        <v>Q4</v>
      </c>
      <c r="U2185" t="str">
        <f>Transactions_RAW_cleaned[[#This Row],[Region ]]&amp;Transactions_RAW_cleaned[[#This Row],[Quarter ]]</f>
        <v>APACQ4</v>
      </c>
      <c r="V2185" s="5">
        <f>_xlfn.XLOOKUP(Transactions_RAW_cleaned[[#This Row],[RegionQuarterKey]], Quarterly_Targets_cleaned[RegionQuarterKey], Quarterly_Targets_cleaned[TargetRevenue])</f>
        <v>126500</v>
      </c>
    </row>
    <row r="2186" spans="1:22" x14ac:dyDescent="0.25">
      <c r="A2186" t="s">
        <v>2523</v>
      </c>
      <c r="B2186" s="1">
        <v>45600</v>
      </c>
      <c r="C2186" t="s">
        <v>139</v>
      </c>
      <c r="D2186" t="s">
        <v>294</v>
      </c>
      <c r="E2186">
        <v>-353.98</v>
      </c>
      <c r="F2186" t="s">
        <v>349</v>
      </c>
      <c r="G2186" t="s">
        <v>327</v>
      </c>
      <c r="H2186" t="s">
        <v>346</v>
      </c>
      <c r="I2186" t="s">
        <v>8</v>
      </c>
      <c r="J2186" t="s">
        <v>102</v>
      </c>
      <c r="K2186" t="s">
        <v>22</v>
      </c>
      <c r="L2186" t="s">
        <v>295</v>
      </c>
      <c r="M2186" t="s">
        <v>296</v>
      </c>
      <c r="N2186">
        <v>2.9000000000000001E-2</v>
      </c>
      <c r="O2186" t="str">
        <f>IF(Transactions_RAW_cleaned[[#This Row],[Status]]="Completed", IFERROR(_xlfn.XLOOKUP(Transactions_RAW_cleaned[[#This Row],[CustomerID]], Customers_cleaned[CustomerID], Customers_cleaned[Segment]), "Customer Not Found"), "N/A")</f>
        <v>N/A</v>
      </c>
      <c r="P2186" s="5" t="str">
        <f>IF(Transactions_RAW_cleaned[[#This Row],[Status]]="Refunded", "Refund",
  IF(Transactions_RAW_cleaned[[#This Row],[Category]]="Payments", IF(Transactions_RAW_cleaned[[#This Row],[Amount]]&gt;500,"High Value","Standard"),
    IF(Transactions_RAW_cleaned[[#This Row],[Amount]]&gt;250,"High Value","Standard")))</f>
        <v>Refund</v>
      </c>
      <c r="Q2186" s="5" t="str">
        <f>IF(Transactions_RAW_cleaned[[#This Row],[Amount]] &gt; (_xlfn.XLOOKUP(Transactions_RAW_cleaned[[#This Row],[ServiceID]],Services_cleaned[ServiceID],Services_cleaned[TransactionFeePct]) * 10000), "Yes", "No")</f>
        <v>No</v>
      </c>
      <c r="R2186" s="5" t="str">
        <f>IF(COUNTIFS($C$2:Transactions_RAW_cleaned[[#This Row],[CustomerID]],Transactions_RAW_cleaned[[#This Row],[CustomerID]],$D$2:Transactions_RAW_cleaned[[#This Row],[ServiceID]],Transactions_RAW_cleaned[[#This Row],[ServiceID]])=1,"Yes","No")</f>
        <v>No</v>
      </c>
      <c r="S218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86" t="str">
        <f>"Q"&amp;ROUNDUP(MONTH(Transactions_RAW_cleaned[[#This Row],[TransactionDate]])/3,0)</f>
        <v>Q4</v>
      </c>
      <c r="U2186" t="str">
        <f>Transactions_RAW_cleaned[[#This Row],[Region ]]&amp;Transactions_RAW_cleaned[[#This Row],[Quarter ]]</f>
        <v>NAQ4</v>
      </c>
      <c r="V2186" s="5">
        <f>_xlfn.XLOOKUP(Transactions_RAW_cleaned[[#This Row],[RegionQuarterKey]], Quarterly_Targets_cleaned[RegionQuarterKey], Quarterly_Targets_cleaned[TargetRevenue])</f>
        <v>299000</v>
      </c>
    </row>
    <row r="2187" spans="1:22" x14ac:dyDescent="0.25">
      <c r="A2187" t="s">
        <v>2524</v>
      </c>
      <c r="B2187" s="1">
        <v>45646</v>
      </c>
      <c r="C2187" t="s">
        <v>187</v>
      </c>
      <c r="D2187" t="s">
        <v>294</v>
      </c>
      <c r="E2187">
        <v>236.59</v>
      </c>
      <c r="F2187" t="s">
        <v>324</v>
      </c>
      <c r="G2187" t="s">
        <v>327</v>
      </c>
      <c r="I2187" t="s">
        <v>57</v>
      </c>
      <c r="J2187" t="s">
        <v>21</v>
      </c>
      <c r="K2187" t="s">
        <v>28</v>
      </c>
      <c r="L2187" t="s">
        <v>295</v>
      </c>
      <c r="M2187" t="s">
        <v>296</v>
      </c>
      <c r="N2187">
        <v>2.9000000000000001E-2</v>
      </c>
      <c r="O2187" t="str">
        <f>IF(Transactions_RAW_cleaned[[#This Row],[Status]]="Completed", IFERROR(_xlfn.XLOOKUP(Transactions_RAW_cleaned[[#This Row],[CustomerID]], Customers_cleaned[CustomerID], Customers_cleaned[Segment]), "Customer Not Found"), "N/A")</f>
        <v>Startup</v>
      </c>
      <c r="P2187" s="5" t="str">
        <f>IF(Transactions_RAW_cleaned[[#This Row],[Status]]="Refunded", "Refund",
  IF(Transactions_RAW_cleaned[[#This Row],[Category]]="Payments", IF(Transactions_RAW_cleaned[[#This Row],[Amount]]&gt;500,"High Value","Standard"),
    IF(Transactions_RAW_cleaned[[#This Row],[Amount]]&gt;250,"High Value","Standard")))</f>
        <v>Standard</v>
      </c>
      <c r="Q2187" s="5" t="str">
        <f>IF(Transactions_RAW_cleaned[[#This Row],[Amount]] &gt; (_xlfn.XLOOKUP(Transactions_RAW_cleaned[[#This Row],[ServiceID]],Services_cleaned[ServiceID],Services_cleaned[TransactionFeePct]) * 10000), "Yes", "No")</f>
        <v>No</v>
      </c>
      <c r="R2187" s="5" t="str">
        <f>IF(COUNTIFS($C$2:Transactions_RAW_cleaned[[#This Row],[CustomerID]],Transactions_RAW_cleaned[[#This Row],[CustomerID]],$D$2:Transactions_RAW_cleaned[[#This Row],[ServiceID]],Transactions_RAW_cleaned[[#This Row],[ServiceID]])=1,"Yes","No")</f>
        <v>No</v>
      </c>
      <c r="S218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87" t="str">
        <f>"Q"&amp;ROUNDUP(MONTH(Transactions_RAW_cleaned[[#This Row],[TransactionDate]])/3,0)</f>
        <v>Q4</v>
      </c>
      <c r="U2187" t="str">
        <f>Transactions_RAW_cleaned[[#This Row],[Region ]]&amp;Transactions_RAW_cleaned[[#This Row],[Quarter ]]</f>
        <v>APACQ4</v>
      </c>
      <c r="V2187" s="5">
        <f>_xlfn.XLOOKUP(Transactions_RAW_cleaned[[#This Row],[RegionQuarterKey]], Quarterly_Targets_cleaned[RegionQuarterKey], Quarterly_Targets_cleaned[TargetRevenue])</f>
        <v>126500</v>
      </c>
    </row>
    <row r="2188" spans="1:22" x14ac:dyDescent="0.25">
      <c r="A2188" t="s">
        <v>2525</v>
      </c>
      <c r="B2188" s="1">
        <v>45635</v>
      </c>
      <c r="C2188" t="s">
        <v>44</v>
      </c>
      <c r="D2188" t="s">
        <v>306</v>
      </c>
      <c r="E2188">
        <v>316.95999999999998</v>
      </c>
      <c r="F2188" t="s">
        <v>324</v>
      </c>
      <c r="G2188" t="s">
        <v>327</v>
      </c>
      <c r="H2188" t="s">
        <v>334</v>
      </c>
      <c r="I2188" t="s">
        <v>8</v>
      </c>
      <c r="J2188" t="s">
        <v>46</v>
      </c>
      <c r="K2188" t="s">
        <v>32</v>
      </c>
      <c r="L2188" t="s">
        <v>307</v>
      </c>
      <c r="M2188" t="s">
        <v>308</v>
      </c>
      <c r="N2188">
        <v>0</v>
      </c>
      <c r="O2188" t="str">
        <f>IF(Transactions_RAW_cleaned[[#This Row],[Status]]="Completed", IFERROR(_xlfn.XLOOKUP(Transactions_RAW_cleaned[[#This Row],[CustomerID]], Customers_cleaned[CustomerID], Customers_cleaned[Segment]), "Customer Not Found"), "N/A")</f>
        <v>SMB</v>
      </c>
      <c r="P2188" s="5" t="str">
        <f>IF(Transactions_RAW_cleaned[[#This Row],[Status]]="Refunded", "Refund",
  IF(Transactions_RAW_cleaned[[#This Row],[Category]]="Payments", IF(Transactions_RAW_cleaned[[#This Row],[Amount]]&gt;500,"High Value","Standard"),
    IF(Transactions_RAW_cleaned[[#This Row],[Amount]]&gt;250,"High Value","Standard")))</f>
        <v>High Value</v>
      </c>
      <c r="Q2188" s="5" t="str">
        <f>IF(Transactions_RAW_cleaned[[#This Row],[Amount]] &gt; (_xlfn.XLOOKUP(Transactions_RAW_cleaned[[#This Row],[ServiceID]],Services_cleaned[ServiceID],Services_cleaned[TransactionFeePct]) * 10000), "Yes", "No")</f>
        <v>Yes</v>
      </c>
      <c r="R2188" s="5" t="str">
        <f>IF(COUNTIFS($C$2:Transactions_RAW_cleaned[[#This Row],[CustomerID]],Transactions_RAW_cleaned[[#This Row],[CustomerID]],$D$2:Transactions_RAW_cleaned[[#This Row],[ServiceID]],Transactions_RAW_cleaned[[#This Row],[ServiceID]])=1,"Yes","No")</f>
        <v>No</v>
      </c>
      <c r="S218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88" t="str">
        <f>"Q"&amp;ROUNDUP(MONTH(Transactions_RAW_cleaned[[#This Row],[TransactionDate]])/3,0)</f>
        <v>Q4</v>
      </c>
      <c r="U2188" t="str">
        <f>Transactions_RAW_cleaned[[#This Row],[Region ]]&amp;Transactions_RAW_cleaned[[#This Row],[Quarter ]]</f>
        <v>APACQ4</v>
      </c>
      <c r="V2188" s="5">
        <f>_xlfn.XLOOKUP(Transactions_RAW_cleaned[[#This Row],[RegionQuarterKey]], Quarterly_Targets_cleaned[RegionQuarterKey], Quarterly_Targets_cleaned[TargetRevenue])</f>
        <v>126500</v>
      </c>
    </row>
    <row r="2189" spans="1:22" x14ac:dyDescent="0.25">
      <c r="A2189" t="s">
        <v>2526</v>
      </c>
      <c r="B2189" s="1">
        <v>45596</v>
      </c>
      <c r="C2189" t="s">
        <v>100</v>
      </c>
      <c r="D2189" t="s">
        <v>309</v>
      </c>
      <c r="E2189">
        <v>203.57</v>
      </c>
      <c r="F2189" t="s">
        <v>324</v>
      </c>
      <c r="G2189" t="s">
        <v>2963</v>
      </c>
      <c r="H2189" t="s">
        <v>346</v>
      </c>
      <c r="I2189" t="s">
        <v>8</v>
      </c>
      <c r="J2189" t="s">
        <v>102</v>
      </c>
      <c r="K2189" t="s">
        <v>22</v>
      </c>
      <c r="L2189" t="s">
        <v>310</v>
      </c>
      <c r="M2189" t="s">
        <v>311</v>
      </c>
      <c r="N2189">
        <v>0</v>
      </c>
      <c r="O2189" t="str">
        <f>IF(Transactions_RAW_cleaned[[#This Row],[Status]]="Completed", IFERROR(_xlfn.XLOOKUP(Transactions_RAW_cleaned[[#This Row],[CustomerID]], Customers_cleaned[CustomerID], Customers_cleaned[Segment]), "Customer Not Found"), "N/A")</f>
        <v>SMB</v>
      </c>
      <c r="P2189" s="5" t="str">
        <f>IF(Transactions_RAW_cleaned[[#This Row],[Status]]="Refunded", "Refund",
  IF(Transactions_RAW_cleaned[[#This Row],[Category]]="Payments", IF(Transactions_RAW_cleaned[[#This Row],[Amount]]&gt;500,"High Value","Standard"),
    IF(Transactions_RAW_cleaned[[#This Row],[Amount]]&gt;250,"High Value","Standard")))</f>
        <v>Standard</v>
      </c>
      <c r="Q2189" s="5" t="str">
        <f>IF(Transactions_RAW_cleaned[[#This Row],[Amount]] &gt; (_xlfn.XLOOKUP(Transactions_RAW_cleaned[[#This Row],[ServiceID]],Services_cleaned[ServiceID],Services_cleaned[TransactionFeePct]) * 10000), "Yes", "No")</f>
        <v>Yes</v>
      </c>
      <c r="R2189" s="5" t="str">
        <f>IF(COUNTIFS($C$2:Transactions_RAW_cleaned[[#This Row],[CustomerID]],Transactions_RAW_cleaned[[#This Row],[CustomerID]],$D$2:Transactions_RAW_cleaned[[#This Row],[ServiceID]],Transactions_RAW_cleaned[[#This Row],[ServiceID]])=1,"Yes","No")</f>
        <v>No</v>
      </c>
      <c r="S218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89" t="str">
        <f>"Q"&amp;ROUNDUP(MONTH(Transactions_RAW_cleaned[[#This Row],[TransactionDate]])/3,0)</f>
        <v>Q4</v>
      </c>
      <c r="U2189" t="str">
        <f>Transactions_RAW_cleaned[[#This Row],[Region ]]&amp;Transactions_RAW_cleaned[[#This Row],[Quarter ]]</f>
        <v>NAQ4</v>
      </c>
      <c r="V2189" s="5">
        <f>_xlfn.XLOOKUP(Transactions_RAW_cleaned[[#This Row],[RegionQuarterKey]], Quarterly_Targets_cleaned[RegionQuarterKey], Quarterly_Targets_cleaned[TargetRevenue])</f>
        <v>299000</v>
      </c>
    </row>
    <row r="2190" spans="1:22" x14ac:dyDescent="0.25">
      <c r="A2190" t="s">
        <v>2527</v>
      </c>
      <c r="B2190" s="1">
        <v>45409</v>
      </c>
      <c r="C2190" t="s">
        <v>167</v>
      </c>
      <c r="D2190" t="s">
        <v>309</v>
      </c>
      <c r="E2190">
        <v>296.61</v>
      </c>
      <c r="F2190" t="s">
        <v>324</v>
      </c>
      <c r="G2190" t="s">
        <v>327</v>
      </c>
      <c r="H2190" t="s">
        <v>332</v>
      </c>
      <c r="I2190" t="s">
        <v>17</v>
      </c>
      <c r="J2190" t="s">
        <v>13</v>
      </c>
      <c r="K2190" t="s">
        <v>10</v>
      </c>
      <c r="L2190" t="s">
        <v>310</v>
      </c>
      <c r="M2190" t="s">
        <v>311</v>
      </c>
      <c r="N2190">
        <v>0</v>
      </c>
      <c r="O2190" t="str">
        <f>IF(Transactions_RAW_cleaned[[#This Row],[Status]]="Completed", IFERROR(_xlfn.XLOOKUP(Transactions_RAW_cleaned[[#This Row],[CustomerID]], Customers_cleaned[CustomerID], Customers_cleaned[Segment]), "Customer Not Found"), "N/A")</f>
        <v>Enterprise</v>
      </c>
      <c r="P2190" s="5" t="str">
        <f>IF(Transactions_RAW_cleaned[[#This Row],[Status]]="Refunded", "Refund",
  IF(Transactions_RAW_cleaned[[#This Row],[Category]]="Payments", IF(Transactions_RAW_cleaned[[#This Row],[Amount]]&gt;500,"High Value","Standard"),
    IF(Transactions_RAW_cleaned[[#This Row],[Amount]]&gt;250,"High Value","Standard")))</f>
        <v>High Value</v>
      </c>
      <c r="Q2190" s="5" t="str">
        <f>IF(Transactions_RAW_cleaned[[#This Row],[Amount]] &gt; (_xlfn.XLOOKUP(Transactions_RAW_cleaned[[#This Row],[ServiceID]],Services_cleaned[ServiceID],Services_cleaned[TransactionFeePct]) * 10000), "Yes", "No")</f>
        <v>Yes</v>
      </c>
      <c r="R2190" s="5" t="str">
        <f>IF(COUNTIFS($C$2:Transactions_RAW_cleaned[[#This Row],[CustomerID]],Transactions_RAW_cleaned[[#This Row],[CustomerID]],$D$2:Transactions_RAW_cleaned[[#This Row],[ServiceID]],Transactions_RAW_cleaned[[#This Row],[ServiceID]])=1,"Yes","No")</f>
        <v>No</v>
      </c>
      <c r="S219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90" t="str">
        <f>"Q"&amp;ROUNDUP(MONTH(Transactions_RAW_cleaned[[#This Row],[TransactionDate]])/3,0)</f>
        <v>Q2</v>
      </c>
      <c r="U2190" t="str">
        <f>Transactions_RAW_cleaned[[#This Row],[Region ]]&amp;Transactions_RAW_cleaned[[#This Row],[Quarter ]]</f>
        <v>NAQ2</v>
      </c>
      <c r="V2190" s="5">
        <f>_xlfn.XLOOKUP(Transactions_RAW_cleaned[[#This Row],[RegionQuarterKey]], Quarterly_Targets_cleaned[RegionQuarterKey], Quarterly_Targets_cleaned[TargetRevenue])</f>
        <v>260000</v>
      </c>
    </row>
    <row r="2191" spans="1:22" x14ac:dyDescent="0.25">
      <c r="A2191" t="s">
        <v>2528</v>
      </c>
      <c r="B2191" s="1">
        <v>45329</v>
      </c>
      <c r="C2191" t="s">
        <v>183</v>
      </c>
      <c r="D2191" t="s">
        <v>294</v>
      </c>
      <c r="E2191">
        <v>890.67</v>
      </c>
      <c r="F2191" t="s">
        <v>324</v>
      </c>
      <c r="G2191" t="s">
        <v>327</v>
      </c>
      <c r="I2191" t="s">
        <v>8</v>
      </c>
      <c r="J2191" t="s">
        <v>13</v>
      </c>
      <c r="K2191" t="s">
        <v>10</v>
      </c>
      <c r="L2191" t="s">
        <v>295</v>
      </c>
      <c r="M2191" t="s">
        <v>296</v>
      </c>
      <c r="N2191">
        <v>2.9000000000000001E-2</v>
      </c>
      <c r="O2191" t="str">
        <f>IF(Transactions_RAW_cleaned[[#This Row],[Status]]="Completed", IFERROR(_xlfn.XLOOKUP(Transactions_RAW_cleaned[[#This Row],[CustomerID]], Customers_cleaned[CustomerID], Customers_cleaned[Segment]), "Customer Not Found"), "N/A")</f>
        <v>SMB</v>
      </c>
      <c r="P2191" s="5" t="str">
        <f>IF(Transactions_RAW_cleaned[[#This Row],[Status]]="Refunded", "Refund",
  IF(Transactions_RAW_cleaned[[#This Row],[Category]]="Payments", IF(Transactions_RAW_cleaned[[#This Row],[Amount]]&gt;500,"High Value","Standard"),
    IF(Transactions_RAW_cleaned[[#This Row],[Amount]]&gt;250,"High Value","Standard")))</f>
        <v>High Value</v>
      </c>
      <c r="Q2191" s="5" t="str">
        <f>IF(Transactions_RAW_cleaned[[#This Row],[Amount]] &gt; (_xlfn.XLOOKUP(Transactions_RAW_cleaned[[#This Row],[ServiceID]],Services_cleaned[ServiceID],Services_cleaned[TransactionFeePct]) * 10000), "Yes", "No")</f>
        <v>Yes</v>
      </c>
      <c r="R2191" s="5" t="str">
        <f>IF(COUNTIFS($C$2:Transactions_RAW_cleaned[[#This Row],[CustomerID]],Transactions_RAW_cleaned[[#This Row],[CustomerID]],$D$2:Transactions_RAW_cleaned[[#This Row],[ServiceID]],Transactions_RAW_cleaned[[#This Row],[ServiceID]])=1,"Yes","No")</f>
        <v>No</v>
      </c>
      <c r="S219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91" t="str">
        <f>"Q"&amp;ROUNDUP(MONTH(Transactions_RAW_cleaned[[#This Row],[TransactionDate]])/3,0)</f>
        <v>Q1</v>
      </c>
      <c r="U2191" t="str">
        <f>Transactions_RAW_cleaned[[#This Row],[Region ]]&amp;Transactions_RAW_cleaned[[#This Row],[Quarter ]]</f>
        <v>NAQ1</v>
      </c>
      <c r="V2191" s="5">
        <f>_xlfn.XLOOKUP(Transactions_RAW_cleaned[[#This Row],[RegionQuarterKey]], Quarterly_Targets_cleaned[RegionQuarterKey], Quarterly_Targets_cleaned[TargetRevenue])</f>
        <v>247000</v>
      </c>
    </row>
    <row r="2192" spans="1:22" x14ac:dyDescent="0.25">
      <c r="A2192" t="s">
        <v>2529</v>
      </c>
      <c r="B2192" s="1">
        <v>45563</v>
      </c>
      <c r="C2192" t="s">
        <v>64</v>
      </c>
      <c r="D2192" t="s">
        <v>297</v>
      </c>
      <c r="E2192">
        <v>280.45</v>
      </c>
      <c r="F2192" t="s">
        <v>331</v>
      </c>
      <c r="G2192" t="s">
        <v>325</v>
      </c>
      <c r="H2192" t="s">
        <v>332</v>
      </c>
      <c r="I2192" t="s">
        <v>8</v>
      </c>
      <c r="J2192" t="s">
        <v>37</v>
      </c>
      <c r="K2192" t="s">
        <v>28</v>
      </c>
      <c r="L2192" t="s">
        <v>298</v>
      </c>
      <c r="M2192" t="s">
        <v>299</v>
      </c>
      <c r="N2192">
        <v>0</v>
      </c>
      <c r="O2192" t="str">
        <f>IF(Transactions_RAW_cleaned[[#This Row],[Status]]="Completed", IFERROR(_xlfn.XLOOKUP(Transactions_RAW_cleaned[[#This Row],[CustomerID]], Customers_cleaned[CustomerID], Customers_cleaned[Segment]), "Customer Not Found"), "N/A")</f>
        <v>N/A</v>
      </c>
      <c r="P2192" s="5" t="str">
        <f>IF(Transactions_RAW_cleaned[[#This Row],[Status]]="Refunded", "Refund",
  IF(Transactions_RAW_cleaned[[#This Row],[Category]]="Payments", IF(Transactions_RAW_cleaned[[#This Row],[Amount]]&gt;500,"High Value","Standard"),
    IF(Transactions_RAW_cleaned[[#This Row],[Amount]]&gt;250,"High Value","Standard")))</f>
        <v>High Value</v>
      </c>
      <c r="Q2192" s="5" t="str">
        <f>IF(Transactions_RAW_cleaned[[#This Row],[Amount]] &gt; (_xlfn.XLOOKUP(Transactions_RAW_cleaned[[#This Row],[ServiceID]],Services_cleaned[ServiceID],Services_cleaned[TransactionFeePct]) * 10000), "Yes", "No")</f>
        <v>Yes</v>
      </c>
      <c r="R2192" s="5" t="str">
        <f>IF(COUNTIFS($C$2:Transactions_RAW_cleaned[[#This Row],[CustomerID]],Transactions_RAW_cleaned[[#This Row],[CustomerID]],$D$2:Transactions_RAW_cleaned[[#This Row],[ServiceID]],Transactions_RAW_cleaned[[#This Row],[ServiceID]])=1,"Yes","No")</f>
        <v>No</v>
      </c>
      <c r="S219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192" t="str">
        <f>"Q"&amp;ROUNDUP(MONTH(Transactions_RAW_cleaned[[#This Row],[TransactionDate]])/3,0)</f>
        <v>Q3</v>
      </c>
      <c r="U2192" t="str">
        <f>Transactions_RAW_cleaned[[#This Row],[Region ]]&amp;Transactions_RAW_cleaned[[#This Row],[Quarter ]]</f>
        <v>EMEAQ3</v>
      </c>
      <c r="V2192" s="5">
        <f>_xlfn.XLOOKUP(Transactions_RAW_cleaned[[#This Row],[RegionQuarterKey]], Quarterly_Targets_cleaned[RegionQuarterKey], Quarterly_Targets_cleaned[TargetRevenue])</f>
        <v>147000</v>
      </c>
    </row>
    <row r="2193" spans="1:22" x14ac:dyDescent="0.25">
      <c r="A2193" t="s">
        <v>2530</v>
      </c>
      <c r="B2193" s="1">
        <v>45620</v>
      </c>
      <c r="C2193" t="s">
        <v>88</v>
      </c>
      <c r="D2193" t="s">
        <v>294</v>
      </c>
      <c r="E2193">
        <v>1088.22</v>
      </c>
      <c r="F2193" t="s">
        <v>381</v>
      </c>
      <c r="G2193" t="s">
        <v>337</v>
      </c>
      <c r="H2193" t="s">
        <v>334</v>
      </c>
      <c r="I2193" t="s">
        <v>8</v>
      </c>
      <c r="J2193" t="s">
        <v>102</v>
      </c>
      <c r="K2193" t="s">
        <v>18</v>
      </c>
      <c r="L2193" t="s">
        <v>295</v>
      </c>
      <c r="M2193" t="s">
        <v>296</v>
      </c>
      <c r="N2193">
        <v>2.9000000000000001E-2</v>
      </c>
      <c r="O2193" t="str">
        <f>IF(Transactions_RAW_cleaned[[#This Row],[Status]]="Completed", IFERROR(_xlfn.XLOOKUP(Transactions_RAW_cleaned[[#This Row],[CustomerID]], Customers_cleaned[CustomerID], Customers_cleaned[Segment]), "Customer Not Found"), "N/A")</f>
        <v>N/A</v>
      </c>
      <c r="P2193" s="5" t="str">
        <f>IF(Transactions_RAW_cleaned[[#This Row],[Status]]="Refunded", "Refund",
  IF(Transactions_RAW_cleaned[[#This Row],[Category]]="Payments", IF(Transactions_RAW_cleaned[[#This Row],[Amount]]&gt;500,"High Value","Standard"),
    IF(Transactions_RAW_cleaned[[#This Row],[Amount]]&gt;250,"High Value","Standard")))</f>
        <v>High Value</v>
      </c>
      <c r="Q2193" s="5" t="str">
        <f>IF(Transactions_RAW_cleaned[[#This Row],[Amount]] &gt; (_xlfn.XLOOKUP(Transactions_RAW_cleaned[[#This Row],[ServiceID]],Services_cleaned[ServiceID],Services_cleaned[TransactionFeePct]) * 10000), "Yes", "No")</f>
        <v>Yes</v>
      </c>
      <c r="R2193" s="5" t="str">
        <f>IF(COUNTIFS($C$2:Transactions_RAW_cleaned[[#This Row],[CustomerID]],Transactions_RAW_cleaned[[#This Row],[CustomerID]],$D$2:Transactions_RAW_cleaned[[#This Row],[ServiceID]],Transactions_RAW_cleaned[[#This Row],[ServiceID]])=1,"Yes","No")</f>
        <v>No</v>
      </c>
      <c r="S219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93" t="str">
        <f>"Q"&amp;ROUNDUP(MONTH(Transactions_RAW_cleaned[[#This Row],[TransactionDate]])/3,0)</f>
        <v>Q4</v>
      </c>
      <c r="U2193" t="str">
        <f>Transactions_RAW_cleaned[[#This Row],[Region ]]&amp;Transactions_RAW_cleaned[[#This Row],[Quarter ]]</f>
        <v>NAQ4</v>
      </c>
      <c r="V2193" s="5">
        <f>_xlfn.XLOOKUP(Transactions_RAW_cleaned[[#This Row],[RegionQuarterKey]], Quarterly_Targets_cleaned[RegionQuarterKey], Quarterly_Targets_cleaned[TargetRevenue])</f>
        <v>299000</v>
      </c>
    </row>
    <row r="2194" spans="1:22" x14ac:dyDescent="0.25">
      <c r="A2194" t="s">
        <v>2531</v>
      </c>
      <c r="B2194" s="1">
        <v>45606</v>
      </c>
      <c r="C2194" t="s">
        <v>111</v>
      </c>
      <c r="D2194" t="s">
        <v>300</v>
      </c>
      <c r="E2194">
        <v>819.25</v>
      </c>
      <c r="F2194" t="s">
        <v>324</v>
      </c>
      <c r="G2194" t="s">
        <v>337</v>
      </c>
      <c r="I2194" t="s">
        <v>8</v>
      </c>
      <c r="J2194" t="s">
        <v>21</v>
      </c>
      <c r="K2194" t="s">
        <v>28</v>
      </c>
      <c r="L2194" t="s">
        <v>301</v>
      </c>
      <c r="M2194" t="s">
        <v>302</v>
      </c>
      <c r="N2194">
        <v>5.0000000000000001E-3</v>
      </c>
      <c r="O2194" t="str">
        <f>IF(Transactions_RAW_cleaned[[#This Row],[Status]]="Completed", IFERROR(_xlfn.XLOOKUP(Transactions_RAW_cleaned[[#This Row],[CustomerID]], Customers_cleaned[CustomerID], Customers_cleaned[Segment]), "Customer Not Found"), "N/A")</f>
        <v>SMB</v>
      </c>
      <c r="P2194" s="5" t="str">
        <f>IF(Transactions_RAW_cleaned[[#This Row],[Status]]="Refunded", "Refund",
  IF(Transactions_RAW_cleaned[[#This Row],[Category]]="Payments", IF(Transactions_RAW_cleaned[[#This Row],[Amount]]&gt;500,"High Value","Standard"),
    IF(Transactions_RAW_cleaned[[#This Row],[Amount]]&gt;250,"High Value","Standard")))</f>
        <v>High Value</v>
      </c>
      <c r="Q2194" s="5" t="str">
        <f>IF(Transactions_RAW_cleaned[[#This Row],[Amount]] &gt; (_xlfn.XLOOKUP(Transactions_RAW_cleaned[[#This Row],[ServiceID]],Services_cleaned[ServiceID],Services_cleaned[TransactionFeePct]) * 10000), "Yes", "No")</f>
        <v>Yes</v>
      </c>
      <c r="R2194" s="5" t="str">
        <f>IF(COUNTIFS($C$2:Transactions_RAW_cleaned[[#This Row],[CustomerID]],Transactions_RAW_cleaned[[#This Row],[CustomerID]],$D$2:Transactions_RAW_cleaned[[#This Row],[ServiceID]],Transactions_RAW_cleaned[[#This Row],[ServiceID]])=1,"Yes","No")</f>
        <v>No</v>
      </c>
      <c r="S219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94" t="str">
        <f>"Q"&amp;ROUNDUP(MONTH(Transactions_RAW_cleaned[[#This Row],[TransactionDate]])/3,0)</f>
        <v>Q4</v>
      </c>
      <c r="U2194" t="str">
        <f>Transactions_RAW_cleaned[[#This Row],[Region ]]&amp;Transactions_RAW_cleaned[[#This Row],[Quarter ]]</f>
        <v>APACQ4</v>
      </c>
      <c r="V2194" s="5">
        <f>_xlfn.XLOOKUP(Transactions_RAW_cleaned[[#This Row],[RegionQuarterKey]], Quarterly_Targets_cleaned[RegionQuarterKey], Quarterly_Targets_cleaned[TargetRevenue])</f>
        <v>126500</v>
      </c>
    </row>
    <row r="2195" spans="1:22" x14ac:dyDescent="0.25">
      <c r="A2195" t="s">
        <v>2532</v>
      </c>
      <c r="B2195" s="1">
        <v>45637</v>
      </c>
      <c r="C2195" t="s">
        <v>139</v>
      </c>
      <c r="D2195" t="s">
        <v>303</v>
      </c>
      <c r="E2195">
        <v>505.6</v>
      </c>
      <c r="F2195" t="s">
        <v>324</v>
      </c>
      <c r="G2195" t="s">
        <v>325</v>
      </c>
      <c r="I2195" t="s">
        <v>8</v>
      </c>
      <c r="J2195" t="s">
        <v>102</v>
      </c>
      <c r="K2195" t="s">
        <v>22</v>
      </c>
      <c r="L2195" t="s">
        <v>304</v>
      </c>
      <c r="M2195" t="s">
        <v>305</v>
      </c>
      <c r="N2195">
        <v>1E-3</v>
      </c>
      <c r="O2195" t="str">
        <f>IF(Transactions_RAW_cleaned[[#This Row],[Status]]="Completed", IFERROR(_xlfn.XLOOKUP(Transactions_RAW_cleaned[[#This Row],[CustomerID]], Customers_cleaned[CustomerID], Customers_cleaned[Segment]), "Customer Not Found"), "N/A")</f>
        <v>SMB</v>
      </c>
      <c r="P2195" s="5" t="str">
        <f>IF(Transactions_RAW_cleaned[[#This Row],[Status]]="Refunded", "Refund",
  IF(Transactions_RAW_cleaned[[#This Row],[Category]]="Payments", IF(Transactions_RAW_cleaned[[#This Row],[Amount]]&gt;500,"High Value","Standard"),
    IF(Transactions_RAW_cleaned[[#This Row],[Amount]]&gt;250,"High Value","Standard")))</f>
        <v>High Value</v>
      </c>
      <c r="Q2195" s="5" t="str">
        <f>IF(Transactions_RAW_cleaned[[#This Row],[Amount]] &gt; (_xlfn.XLOOKUP(Transactions_RAW_cleaned[[#This Row],[ServiceID]],Services_cleaned[ServiceID],Services_cleaned[TransactionFeePct]) * 10000), "Yes", "No")</f>
        <v>Yes</v>
      </c>
      <c r="R2195" s="5" t="str">
        <f>IF(COUNTIFS($C$2:Transactions_RAW_cleaned[[#This Row],[CustomerID]],Transactions_RAW_cleaned[[#This Row],[CustomerID]],$D$2:Transactions_RAW_cleaned[[#This Row],[ServiceID]],Transactions_RAW_cleaned[[#This Row],[ServiceID]])=1,"Yes","No")</f>
        <v>Yes</v>
      </c>
      <c r="S219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95" t="str">
        <f>"Q"&amp;ROUNDUP(MONTH(Transactions_RAW_cleaned[[#This Row],[TransactionDate]])/3,0)</f>
        <v>Q4</v>
      </c>
      <c r="U2195" t="str">
        <f>Transactions_RAW_cleaned[[#This Row],[Region ]]&amp;Transactions_RAW_cleaned[[#This Row],[Quarter ]]</f>
        <v>NAQ4</v>
      </c>
      <c r="V2195" s="5">
        <f>_xlfn.XLOOKUP(Transactions_RAW_cleaned[[#This Row],[RegionQuarterKey]], Quarterly_Targets_cleaned[RegionQuarterKey], Quarterly_Targets_cleaned[TargetRevenue])</f>
        <v>299000</v>
      </c>
    </row>
    <row r="2196" spans="1:22" x14ac:dyDescent="0.25">
      <c r="A2196" t="s">
        <v>2533</v>
      </c>
      <c r="B2196" s="1">
        <v>45338</v>
      </c>
      <c r="C2196" t="s">
        <v>187</v>
      </c>
      <c r="D2196" t="s">
        <v>294</v>
      </c>
      <c r="E2196">
        <v>151.4</v>
      </c>
      <c r="F2196" t="s">
        <v>324</v>
      </c>
      <c r="G2196" t="s">
        <v>327</v>
      </c>
      <c r="H2196" t="s">
        <v>334</v>
      </c>
      <c r="I2196" t="s">
        <v>57</v>
      </c>
      <c r="J2196" t="s">
        <v>21</v>
      </c>
      <c r="K2196" t="s">
        <v>28</v>
      </c>
      <c r="L2196" t="s">
        <v>295</v>
      </c>
      <c r="M2196" t="s">
        <v>296</v>
      </c>
      <c r="N2196">
        <v>2.9000000000000001E-2</v>
      </c>
      <c r="O2196" t="str">
        <f>IF(Transactions_RAW_cleaned[[#This Row],[Status]]="Completed", IFERROR(_xlfn.XLOOKUP(Transactions_RAW_cleaned[[#This Row],[CustomerID]], Customers_cleaned[CustomerID], Customers_cleaned[Segment]), "Customer Not Found"), "N/A")</f>
        <v>Startup</v>
      </c>
      <c r="P2196" s="5" t="str">
        <f>IF(Transactions_RAW_cleaned[[#This Row],[Status]]="Refunded", "Refund",
  IF(Transactions_RAW_cleaned[[#This Row],[Category]]="Payments", IF(Transactions_RAW_cleaned[[#This Row],[Amount]]&gt;500,"High Value","Standard"),
    IF(Transactions_RAW_cleaned[[#This Row],[Amount]]&gt;250,"High Value","Standard")))</f>
        <v>Standard</v>
      </c>
      <c r="Q2196" s="5" t="str">
        <f>IF(Transactions_RAW_cleaned[[#This Row],[Amount]] &gt; (_xlfn.XLOOKUP(Transactions_RAW_cleaned[[#This Row],[ServiceID]],Services_cleaned[ServiceID],Services_cleaned[TransactionFeePct]) * 10000), "Yes", "No")</f>
        <v>No</v>
      </c>
      <c r="R2196" s="5" t="str">
        <f>IF(COUNTIFS($C$2:Transactions_RAW_cleaned[[#This Row],[CustomerID]],Transactions_RAW_cleaned[[#This Row],[CustomerID]],$D$2:Transactions_RAW_cleaned[[#This Row],[ServiceID]],Transactions_RAW_cleaned[[#This Row],[ServiceID]])=1,"Yes","No")</f>
        <v>No</v>
      </c>
      <c r="S219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196" t="str">
        <f>"Q"&amp;ROUNDUP(MONTH(Transactions_RAW_cleaned[[#This Row],[TransactionDate]])/3,0)</f>
        <v>Q1</v>
      </c>
      <c r="U2196" t="str">
        <f>Transactions_RAW_cleaned[[#This Row],[Region ]]&amp;Transactions_RAW_cleaned[[#This Row],[Quarter ]]</f>
        <v>APACQ1</v>
      </c>
      <c r="V2196" s="5">
        <f>_xlfn.XLOOKUP(Transactions_RAW_cleaned[[#This Row],[RegionQuarterKey]], Quarterly_Targets_cleaned[RegionQuarterKey], Quarterly_Targets_cleaned[TargetRevenue])</f>
        <v>104500</v>
      </c>
    </row>
    <row r="2197" spans="1:22" x14ac:dyDescent="0.25">
      <c r="A2197" t="s">
        <v>2534</v>
      </c>
      <c r="B2197" s="1">
        <v>45325</v>
      </c>
      <c r="C2197" t="s">
        <v>127</v>
      </c>
      <c r="D2197" t="s">
        <v>300</v>
      </c>
      <c r="E2197">
        <v>335.53</v>
      </c>
      <c r="F2197" t="s">
        <v>324</v>
      </c>
      <c r="G2197" t="s">
        <v>327</v>
      </c>
      <c r="I2197" t="s">
        <v>8</v>
      </c>
      <c r="J2197" t="s">
        <v>102</v>
      </c>
      <c r="K2197" t="s">
        <v>22</v>
      </c>
      <c r="L2197" t="s">
        <v>301</v>
      </c>
      <c r="M2197" t="s">
        <v>302</v>
      </c>
      <c r="N2197">
        <v>5.0000000000000001E-3</v>
      </c>
      <c r="O2197" t="str">
        <f>IF(Transactions_RAW_cleaned[[#This Row],[Status]]="Completed", IFERROR(_xlfn.XLOOKUP(Transactions_RAW_cleaned[[#This Row],[CustomerID]], Customers_cleaned[CustomerID], Customers_cleaned[Segment]), "Customer Not Found"), "N/A")</f>
        <v>SMB</v>
      </c>
      <c r="P2197" s="5" t="str">
        <f>IF(Transactions_RAW_cleaned[[#This Row],[Status]]="Refunded", "Refund",
  IF(Transactions_RAW_cleaned[[#This Row],[Category]]="Payments", IF(Transactions_RAW_cleaned[[#This Row],[Amount]]&gt;500,"High Value","Standard"),
    IF(Transactions_RAW_cleaned[[#This Row],[Amount]]&gt;250,"High Value","Standard")))</f>
        <v>High Value</v>
      </c>
      <c r="Q2197" s="5" t="str">
        <f>IF(Transactions_RAW_cleaned[[#This Row],[Amount]] &gt; (_xlfn.XLOOKUP(Transactions_RAW_cleaned[[#This Row],[ServiceID]],Services_cleaned[ServiceID],Services_cleaned[TransactionFeePct]) * 10000), "Yes", "No")</f>
        <v>Yes</v>
      </c>
      <c r="R2197" s="5" t="str">
        <f>IF(COUNTIFS($C$2:Transactions_RAW_cleaned[[#This Row],[CustomerID]],Transactions_RAW_cleaned[[#This Row],[CustomerID]],$D$2:Transactions_RAW_cleaned[[#This Row],[ServiceID]],Transactions_RAW_cleaned[[#This Row],[ServiceID]])=1,"Yes","No")</f>
        <v>No</v>
      </c>
      <c r="S219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97" t="str">
        <f>"Q"&amp;ROUNDUP(MONTH(Transactions_RAW_cleaned[[#This Row],[TransactionDate]])/3,0)</f>
        <v>Q1</v>
      </c>
      <c r="U2197" t="str">
        <f>Transactions_RAW_cleaned[[#This Row],[Region ]]&amp;Transactions_RAW_cleaned[[#This Row],[Quarter ]]</f>
        <v>NAQ1</v>
      </c>
      <c r="V2197" s="5">
        <f>_xlfn.XLOOKUP(Transactions_RAW_cleaned[[#This Row],[RegionQuarterKey]], Quarterly_Targets_cleaned[RegionQuarterKey], Quarterly_Targets_cleaned[TargetRevenue])</f>
        <v>247000</v>
      </c>
    </row>
    <row r="2198" spans="1:22" x14ac:dyDescent="0.25">
      <c r="A2198" t="s">
        <v>2535</v>
      </c>
      <c r="B2198" s="1">
        <v>45604</v>
      </c>
      <c r="C2198" t="s">
        <v>139</v>
      </c>
      <c r="D2198" t="s">
        <v>312</v>
      </c>
      <c r="E2198">
        <v>529.11</v>
      </c>
      <c r="F2198" t="s">
        <v>324</v>
      </c>
      <c r="G2198" t="s">
        <v>327</v>
      </c>
      <c r="I2198" t="s">
        <v>8</v>
      </c>
      <c r="J2198" t="s">
        <v>102</v>
      </c>
      <c r="K2198" t="s">
        <v>22</v>
      </c>
      <c r="L2198" t="s">
        <v>313</v>
      </c>
      <c r="M2198" t="s">
        <v>314</v>
      </c>
      <c r="N2198">
        <v>0</v>
      </c>
      <c r="O2198" t="str">
        <f>IF(Transactions_RAW_cleaned[[#This Row],[Status]]="Completed", IFERROR(_xlfn.XLOOKUP(Transactions_RAW_cleaned[[#This Row],[CustomerID]], Customers_cleaned[CustomerID], Customers_cleaned[Segment]), "Customer Not Found"), "N/A")</f>
        <v>SMB</v>
      </c>
      <c r="P2198" s="5" t="str">
        <f>IF(Transactions_RAW_cleaned[[#This Row],[Status]]="Refunded", "Refund",
  IF(Transactions_RAW_cleaned[[#This Row],[Category]]="Payments", IF(Transactions_RAW_cleaned[[#This Row],[Amount]]&gt;500,"High Value","Standard"),
    IF(Transactions_RAW_cleaned[[#This Row],[Amount]]&gt;250,"High Value","Standard")))</f>
        <v>High Value</v>
      </c>
      <c r="Q2198" s="5" t="str">
        <f>IF(Transactions_RAW_cleaned[[#This Row],[Amount]] &gt; (_xlfn.XLOOKUP(Transactions_RAW_cleaned[[#This Row],[ServiceID]],Services_cleaned[ServiceID],Services_cleaned[TransactionFeePct]) * 10000), "Yes", "No")</f>
        <v>Yes</v>
      </c>
      <c r="R2198" s="5" t="str">
        <f>IF(COUNTIFS($C$2:Transactions_RAW_cleaned[[#This Row],[CustomerID]],Transactions_RAW_cleaned[[#This Row],[CustomerID]],$D$2:Transactions_RAW_cleaned[[#This Row],[ServiceID]],Transactions_RAW_cleaned[[#This Row],[ServiceID]])=1,"Yes","No")</f>
        <v>No</v>
      </c>
      <c r="S219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98" t="str">
        <f>"Q"&amp;ROUNDUP(MONTH(Transactions_RAW_cleaned[[#This Row],[TransactionDate]])/3,0)</f>
        <v>Q4</v>
      </c>
      <c r="U2198" t="str">
        <f>Transactions_RAW_cleaned[[#This Row],[Region ]]&amp;Transactions_RAW_cleaned[[#This Row],[Quarter ]]</f>
        <v>NAQ4</v>
      </c>
      <c r="V2198" s="5">
        <f>_xlfn.XLOOKUP(Transactions_RAW_cleaned[[#This Row],[RegionQuarterKey]], Quarterly_Targets_cleaned[RegionQuarterKey], Quarterly_Targets_cleaned[TargetRevenue])</f>
        <v>299000</v>
      </c>
    </row>
    <row r="2199" spans="1:22" x14ac:dyDescent="0.25">
      <c r="A2199" t="s">
        <v>2536</v>
      </c>
      <c r="B2199" s="1">
        <v>45404</v>
      </c>
      <c r="C2199" t="s">
        <v>125</v>
      </c>
      <c r="D2199" t="s">
        <v>294</v>
      </c>
      <c r="E2199">
        <v>857.29</v>
      </c>
      <c r="F2199" t="s">
        <v>324</v>
      </c>
      <c r="G2199" t="s">
        <v>325</v>
      </c>
      <c r="H2199" t="s">
        <v>346</v>
      </c>
      <c r="I2199" t="s">
        <v>8</v>
      </c>
      <c r="J2199" t="s">
        <v>13</v>
      </c>
      <c r="K2199" t="s">
        <v>28</v>
      </c>
      <c r="L2199" t="s">
        <v>295</v>
      </c>
      <c r="M2199" t="s">
        <v>296</v>
      </c>
      <c r="N2199">
        <v>2.9000000000000001E-2</v>
      </c>
      <c r="O2199" t="str">
        <f>IF(Transactions_RAW_cleaned[[#This Row],[Status]]="Completed", IFERROR(_xlfn.XLOOKUP(Transactions_RAW_cleaned[[#This Row],[CustomerID]], Customers_cleaned[CustomerID], Customers_cleaned[Segment]), "Customer Not Found"), "N/A")</f>
        <v>SMB</v>
      </c>
      <c r="P2199" s="5" t="str">
        <f>IF(Transactions_RAW_cleaned[[#This Row],[Status]]="Refunded", "Refund",
  IF(Transactions_RAW_cleaned[[#This Row],[Category]]="Payments", IF(Transactions_RAW_cleaned[[#This Row],[Amount]]&gt;500,"High Value","Standard"),
    IF(Transactions_RAW_cleaned[[#This Row],[Amount]]&gt;250,"High Value","Standard")))</f>
        <v>High Value</v>
      </c>
      <c r="Q2199" s="5" t="str">
        <f>IF(Transactions_RAW_cleaned[[#This Row],[Amount]] &gt; (_xlfn.XLOOKUP(Transactions_RAW_cleaned[[#This Row],[ServiceID]],Services_cleaned[ServiceID],Services_cleaned[TransactionFeePct]) * 10000), "Yes", "No")</f>
        <v>Yes</v>
      </c>
      <c r="R2199" s="5" t="str">
        <f>IF(COUNTIFS($C$2:Transactions_RAW_cleaned[[#This Row],[CustomerID]],Transactions_RAW_cleaned[[#This Row],[CustomerID]],$D$2:Transactions_RAW_cleaned[[#This Row],[ServiceID]],Transactions_RAW_cleaned[[#This Row],[ServiceID]])=1,"Yes","No")</f>
        <v>No</v>
      </c>
      <c r="S219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199" t="str">
        <f>"Q"&amp;ROUNDUP(MONTH(Transactions_RAW_cleaned[[#This Row],[TransactionDate]])/3,0)</f>
        <v>Q2</v>
      </c>
      <c r="U2199" t="str">
        <f>Transactions_RAW_cleaned[[#This Row],[Region ]]&amp;Transactions_RAW_cleaned[[#This Row],[Quarter ]]</f>
        <v>NAQ2</v>
      </c>
      <c r="V2199" s="5">
        <f>_xlfn.XLOOKUP(Transactions_RAW_cleaned[[#This Row],[RegionQuarterKey]], Quarterly_Targets_cleaned[RegionQuarterKey], Quarterly_Targets_cleaned[TargetRevenue])</f>
        <v>260000</v>
      </c>
    </row>
    <row r="2200" spans="1:22" x14ac:dyDescent="0.25">
      <c r="A2200" t="s">
        <v>2537</v>
      </c>
      <c r="B2200" s="1">
        <v>45340</v>
      </c>
      <c r="C2200" t="s">
        <v>66</v>
      </c>
      <c r="D2200" t="s">
        <v>300</v>
      </c>
      <c r="E2200">
        <v>504.43</v>
      </c>
      <c r="F2200" t="s">
        <v>324</v>
      </c>
      <c r="G2200" t="s">
        <v>327</v>
      </c>
      <c r="H2200" t="s">
        <v>332</v>
      </c>
      <c r="I2200" t="s">
        <v>8</v>
      </c>
      <c r="J2200" t="s">
        <v>46</v>
      </c>
      <c r="K2200" t="s">
        <v>10</v>
      </c>
      <c r="L2200" t="s">
        <v>301</v>
      </c>
      <c r="M2200" t="s">
        <v>302</v>
      </c>
      <c r="N2200">
        <v>5.0000000000000001E-3</v>
      </c>
      <c r="O2200" t="str">
        <f>IF(Transactions_RAW_cleaned[[#This Row],[Status]]="Completed", IFERROR(_xlfn.XLOOKUP(Transactions_RAW_cleaned[[#This Row],[CustomerID]], Customers_cleaned[CustomerID], Customers_cleaned[Segment]), "Customer Not Found"), "N/A")</f>
        <v>SMB</v>
      </c>
      <c r="P2200" s="5" t="str">
        <f>IF(Transactions_RAW_cleaned[[#This Row],[Status]]="Refunded", "Refund",
  IF(Transactions_RAW_cleaned[[#This Row],[Category]]="Payments", IF(Transactions_RAW_cleaned[[#This Row],[Amount]]&gt;500,"High Value","Standard"),
    IF(Transactions_RAW_cleaned[[#This Row],[Amount]]&gt;250,"High Value","Standard")))</f>
        <v>High Value</v>
      </c>
      <c r="Q2200" s="5" t="str">
        <f>IF(Transactions_RAW_cleaned[[#This Row],[Amount]] &gt; (_xlfn.XLOOKUP(Transactions_RAW_cleaned[[#This Row],[ServiceID]],Services_cleaned[ServiceID],Services_cleaned[TransactionFeePct]) * 10000), "Yes", "No")</f>
        <v>Yes</v>
      </c>
      <c r="R2200" s="5" t="str">
        <f>IF(COUNTIFS($C$2:Transactions_RAW_cleaned[[#This Row],[CustomerID]],Transactions_RAW_cleaned[[#This Row],[CustomerID]],$D$2:Transactions_RAW_cleaned[[#This Row],[ServiceID]],Transactions_RAW_cleaned[[#This Row],[ServiceID]])=1,"Yes","No")</f>
        <v>Yes</v>
      </c>
      <c r="S220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00" t="str">
        <f>"Q"&amp;ROUNDUP(MONTH(Transactions_RAW_cleaned[[#This Row],[TransactionDate]])/3,0)</f>
        <v>Q1</v>
      </c>
      <c r="U2200" t="str">
        <f>Transactions_RAW_cleaned[[#This Row],[Region ]]&amp;Transactions_RAW_cleaned[[#This Row],[Quarter ]]</f>
        <v>APACQ1</v>
      </c>
      <c r="V2200" s="5">
        <f>_xlfn.XLOOKUP(Transactions_RAW_cleaned[[#This Row],[RegionQuarterKey]], Quarterly_Targets_cleaned[RegionQuarterKey], Quarterly_Targets_cleaned[TargetRevenue])</f>
        <v>104500</v>
      </c>
    </row>
    <row r="2201" spans="1:22" x14ac:dyDescent="0.25">
      <c r="A2201" t="s">
        <v>2538</v>
      </c>
      <c r="B2201" s="1">
        <v>45451</v>
      </c>
      <c r="C2201" t="s">
        <v>143</v>
      </c>
      <c r="D2201" t="s">
        <v>306</v>
      </c>
      <c r="E2201">
        <v>262.81</v>
      </c>
      <c r="F2201" t="s">
        <v>324</v>
      </c>
      <c r="G2201" t="s">
        <v>325</v>
      </c>
      <c r="I2201" t="s">
        <v>8</v>
      </c>
      <c r="J2201" t="s">
        <v>102</v>
      </c>
      <c r="K2201" t="s">
        <v>22</v>
      </c>
      <c r="L2201" t="s">
        <v>307</v>
      </c>
      <c r="M2201" t="s">
        <v>308</v>
      </c>
      <c r="N2201">
        <v>0</v>
      </c>
      <c r="O2201" t="str">
        <f>IF(Transactions_RAW_cleaned[[#This Row],[Status]]="Completed", IFERROR(_xlfn.XLOOKUP(Transactions_RAW_cleaned[[#This Row],[CustomerID]], Customers_cleaned[CustomerID], Customers_cleaned[Segment]), "Customer Not Found"), "N/A")</f>
        <v>SMB</v>
      </c>
      <c r="P2201" s="5" t="str">
        <f>IF(Transactions_RAW_cleaned[[#This Row],[Status]]="Refunded", "Refund",
  IF(Transactions_RAW_cleaned[[#This Row],[Category]]="Payments", IF(Transactions_RAW_cleaned[[#This Row],[Amount]]&gt;500,"High Value","Standard"),
    IF(Transactions_RAW_cleaned[[#This Row],[Amount]]&gt;250,"High Value","Standard")))</f>
        <v>High Value</v>
      </c>
      <c r="Q2201" s="5" t="str">
        <f>IF(Transactions_RAW_cleaned[[#This Row],[Amount]] &gt; (_xlfn.XLOOKUP(Transactions_RAW_cleaned[[#This Row],[ServiceID]],Services_cleaned[ServiceID],Services_cleaned[TransactionFeePct]) * 10000), "Yes", "No")</f>
        <v>Yes</v>
      </c>
      <c r="R2201" s="5" t="str">
        <f>IF(COUNTIFS($C$2:Transactions_RAW_cleaned[[#This Row],[CustomerID]],Transactions_RAW_cleaned[[#This Row],[CustomerID]],$D$2:Transactions_RAW_cleaned[[#This Row],[ServiceID]],Transactions_RAW_cleaned[[#This Row],[ServiceID]])=1,"Yes","No")</f>
        <v>No</v>
      </c>
      <c r="S220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01" t="str">
        <f>"Q"&amp;ROUNDUP(MONTH(Transactions_RAW_cleaned[[#This Row],[TransactionDate]])/3,0)</f>
        <v>Q2</v>
      </c>
      <c r="U2201" t="str">
        <f>Transactions_RAW_cleaned[[#This Row],[Region ]]&amp;Transactions_RAW_cleaned[[#This Row],[Quarter ]]</f>
        <v>NAQ2</v>
      </c>
      <c r="V2201" s="5">
        <f>_xlfn.XLOOKUP(Transactions_RAW_cleaned[[#This Row],[RegionQuarterKey]], Quarterly_Targets_cleaned[RegionQuarterKey], Quarterly_Targets_cleaned[TargetRevenue])</f>
        <v>260000</v>
      </c>
    </row>
    <row r="2202" spans="1:22" x14ac:dyDescent="0.25">
      <c r="A2202" t="s">
        <v>2539</v>
      </c>
      <c r="B2202" s="1">
        <v>45365</v>
      </c>
      <c r="C2202" t="s">
        <v>251</v>
      </c>
      <c r="D2202" t="s">
        <v>294</v>
      </c>
      <c r="E2202">
        <v>147.72</v>
      </c>
      <c r="F2202" t="s">
        <v>324</v>
      </c>
      <c r="G2202" t="s">
        <v>325</v>
      </c>
      <c r="H2202" t="s">
        <v>346</v>
      </c>
      <c r="I2202" t="s">
        <v>17</v>
      </c>
      <c r="J2202" t="s">
        <v>46</v>
      </c>
      <c r="K2202" t="s">
        <v>14</v>
      </c>
      <c r="L2202" t="s">
        <v>295</v>
      </c>
      <c r="M2202" t="s">
        <v>296</v>
      </c>
      <c r="N2202">
        <v>2.9000000000000001E-2</v>
      </c>
      <c r="O2202" t="str">
        <f>IF(Transactions_RAW_cleaned[[#This Row],[Status]]="Completed", IFERROR(_xlfn.XLOOKUP(Transactions_RAW_cleaned[[#This Row],[CustomerID]], Customers_cleaned[CustomerID], Customers_cleaned[Segment]), "Customer Not Found"), "N/A")</f>
        <v>Enterprise</v>
      </c>
      <c r="P2202" s="5" t="str">
        <f>IF(Transactions_RAW_cleaned[[#This Row],[Status]]="Refunded", "Refund",
  IF(Transactions_RAW_cleaned[[#This Row],[Category]]="Payments", IF(Transactions_RAW_cleaned[[#This Row],[Amount]]&gt;500,"High Value","Standard"),
    IF(Transactions_RAW_cleaned[[#This Row],[Amount]]&gt;250,"High Value","Standard")))</f>
        <v>Standard</v>
      </c>
      <c r="Q2202" s="5" t="str">
        <f>IF(Transactions_RAW_cleaned[[#This Row],[Amount]] &gt; (_xlfn.XLOOKUP(Transactions_RAW_cleaned[[#This Row],[ServiceID]],Services_cleaned[ServiceID],Services_cleaned[TransactionFeePct]) * 10000), "Yes", "No")</f>
        <v>No</v>
      </c>
      <c r="R2202" s="5" t="str">
        <f>IF(COUNTIFS($C$2:Transactions_RAW_cleaned[[#This Row],[CustomerID]],Transactions_RAW_cleaned[[#This Row],[CustomerID]],$D$2:Transactions_RAW_cleaned[[#This Row],[ServiceID]],Transactions_RAW_cleaned[[#This Row],[ServiceID]])=1,"Yes","No")</f>
        <v>No</v>
      </c>
      <c r="S220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02" t="str">
        <f>"Q"&amp;ROUNDUP(MONTH(Transactions_RAW_cleaned[[#This Row],[TransactionDate]])/3,0)</f>
        <v>Q1</v>
      </c>
      <c r="U2202" t="str">
        <f>Transactions_RAW_cleaned[[#This Row],[Region ]]&amp;Transactions_RAW_cleaned[[#This Row],[Quarter ]]</f>
        <v>APACQ1</v>
      </c>
      <c r="V2202" s="5">
        <f>_xlfn.XLOOKUP(Transactions_RAW_cleaned[[#This Row],[RegionQuarterKey]], Quarterly_Targets_cleaned[RegionQuarterKey], Quarterly_Targets_cleaned[TargetRevenue])</f>
        <v>104500</v>
      </c>
    </row>
    <row r="2203" spans="1:22" x14ac:dyDescent="0.25">
      <c r="A2203" t="s">
        <v>2540</v>
      </c>
      <c r="B2203" s="1">
        <v>45332</v>
      </c>
      <c r="C2203" t="s">
        <v>74</v>
      </c>
      <c r="D2203" t="s">
        <v>294</v>
      </c>
      <c r="E2203">
        <v>183.97</v>
      </c>
      <c r="F2203" t="s">
        <v>324</v>
      </c>
      <c r="G2203" t="s">
        <v>327</v>
      </c>
      <c r="H2203" t="s">
        <v>332</v>
      </c>
      <c r="I2203" t="s">
        <v>17</v>
      </c>
      <c r="J2203" t="s">
        <v>46</v>
      </c>
      <c r="K2203" t="s">
        <v>28</v>
      </c>
      <c r="L2203" t="s">
        <v>295</v>
      </c>
      <c r="M2203" t="s">
        <v>296</v>
      </c>
      <c r="N2203">
        <v>2.9000000000000001E-2</v>
      </c>
      <c r="O2203" t="str">
        <f>IF(Transactions_RAW_cleaned[[#This Row],[Status]]="Completed", IFERROR(_xlfn.XLOOKUP(Transactions_RAW_cleaned[[#This Row],[CustomerID]], Customers_cleaned[CustomerID], Customers_cleaned[Segment]), "Customer Not Found"), "N/A")</f>
        <v>Enterprise</v>
      </c>
      <c r="P2203" s="5" t="str">
        <f>IF(Transactions_RAW_cleaned[[#This Row],[Status]]="Refunded", "Refund",
  IF(Transactions_RAW_cleaned[[#This Row],[Category]]="Payments", IF(Transactions_RAW_cleaned[[#This Row],[Amount]]&gt;500,"High Value","Standard"),
    IF(Transactions_RAW_cleaned[[#This Row],[Amount]]&gt;250,"High Value","Standard")))</f>
        <v>Standard</v>
      </c>
      <c r="Q2203" s="5" t="str">
        <f>IF(Transactions_RAW_cleaned[[#This Row],[Amount]] &gt; (_xlfn.XLOOKUP(Transactions_RAW_cleaned[[#This Row],[ServiceID]],Services_cleaned[ServiceID],Services_cleaned[TransactionFeePct]) * 10000), "Yes", "No")</f>
        <v>No</v>
      </c>
      <c r="R2203" s="5" t="str">
        <f>IF(COUNTIFS($C$2:Transactions_RAW_cleaned[[#This Row],[CustomerID]],Transactions_RAW_cleaned[[#This Row],[CustomerID]],$D$2:Transactions_RAW_cleaned[[#This Row],[ServiceID]],Transactions_RAW_cleaned[[#This Row],[ServiceID]])=1,"Yes","No")</f>
        <v>No</v>
      </c>
      <c r="S220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03" t="str">
        <f>"Q"&amp;ROUNDUP(MONTH(Transactions_RAW_cleaned[[#This Row],[TransactionDate]])/3,0)</f>
        <v>Q1</v>
      </c>
      <c r="U2203" t="str">
        <f>Transactions_RAW_cleaned[[#This Row],[Region ]]&amp;Transactions_RAW_cleaned[[#This Row],[Quarter ]]</f>
        <v>APACQ1</v>
      </c>
      <c r="V2203" s="5">
        <f>_xlfn.XLOOKUP(Transactions_RAW_cleaned[[#This Row],[RegionQuarterKey]], Quarterly_Targets_cleaned[RegionQuarterKey], Quarterly_Targets_cleaned[TargetRevenue])</f>
        <v>104500</v>
      </c>
    </row>
    <row r="2204" spans="1:22" x14ac:dyDescent="0.25">
      <c r="A2204" t="s">
        <v>2541</v>
      </c>
      <c r="B2204" s="1">
        <v>45627</v>
      </c>
      <c r="C2204" t="s">
        <v>51</v>
      </c>
      <c r="D2204" t="s">
        <v>309</v>
      </c>
      <c r="E2204">
        <v>105.33</v>
      </c>
      <c r="F2204" t="s">
        <v>324</v>
      </c>
      <c r="G2204" t="s">
        <v>329</v>
      </c>
      <c r="H2204" t="s">
        <v>332</v>
      </c>
      <c r="I2204" t="s">
        <v>8</v>
      </c>
      <c r="J2204" t="s">
        <v>31</v>
      </c>
      <c r="K2204" t="s">
        <v>14</v>
      </c>
      <c r="L2204" t="s">
        <v>310</v>
      </c>
      <c r="M2204" t="s">
        <v>311</v>
      </c>
      <c r="N2204">
        <v>0</v>
      </c>
      <c r="O2204" t="str">
        <f>IF(Transactions_RAW_cleaned[[#This Row],[Status]]="Completed", IFERROR(_xlfn.XLOOKUP(Transactions_RAW_cleaned[[#This Row],[CustomerID]], Customers_cleaned[CustomerID], Customers_cleaned[Segment]), "Customer Not Found"), "N/A")</f>
        <v>SMB</v>
      </c>
      <c r="P2204" s="5" t="str">
        <f>IF(Transactions_RAW_cleaned[[#This Row],[Status]]="Refunded", "Refund",
  IF(Transactions_RAW_cleaned[[#This Row],[Category]]="Payments", IF(Transactions_RAW_cleaned[[#This Row],[Amount]]&gt;500,"High Value","Standard"),
    IF(Transactions_RAW_cleaned[[#This Row],[Amount]]&gt;250,"High Value","Standard")))</f>
        <v>Standard</v>
      </c>
      <c r="Q2204" s="5" t="str">
        <f>IF(Transactions_RAW_cleaned[[#This Row],[Amount]] &gt; (_xlfn.XLOOKUP(Transactions_RAW_cleaned[[#This Row],[ServiceID]],Services_cleaned[ServiceID],Services_cleaned[TransactionFeePct]) * 10000), "Yes", "No")</f>
        <v>Yes</v>
      </c>
      <c r="R2204" s="5" t="str">
        <f>IF(COUNTIFS($C$2:Transactions_RAW_cleaned[[#This Row],[CustomerID]],Transactions_RAW_cleaned[[#This Row],[CustomerID]],$D$2:Transactions_RAW_cleaned[[#This Row],[ServiceID]],Transactions_RAW_cleaned[[#This Row],[ServiceID]])=1,"Yes","No")</f>
        <v>No</v>
      </c>
      <c r="S220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204" t="str">
        <f>"Q"&amp;ROUNDUP(MONTH(Transactions_RAW_cleaned[[#This Row],[TransactionDate]])/3,0)</f>
        <v>Q4</v>
      </c>
      <c r="U2204" t="str">
        <f>Transactions_RAW_cleaned[[#This Row],[Region ]]&amp;Transactions_RAW_cleaned[[#This Row],[Quarter ]]</f>
        <v>EMEAQ4</v>
      </c>
      <c r="V2204" s="5">
        <f>_xlfn.XLOOKUP(Transactions_RAW_cleaned[[#This Row],[RegionQuarterKey]], Quarterly_Targets_cleaned[RegionQuarterKey], Quarterly_Targets_cleaned[TargetRevenue])</f>
        <v>161000</v>
      </c>
    </row>
    <row r="2205" spans="1:22" x14ac:dyDescent="0.25">
      <c r="A2205" t="s">
        <v>2542</v>
      </c>
      <c r="B2205" s="1">
        <v>45408</v>
      </c>
      <c r="C2205" t="s">
        <v>203</v>
      </c>
      <c r="D2205" t="s">
        <v>303</v>
      </c>
      <c r="E2205">
        <v>58.05</v>
      </c>
      <c r="F2205" t="s">
        <v>324</v>
      </c>
      <c r="G2205" t="s">
        <v>325</v>
      </c>
      <c r="H2205" t="s">
        <v>334</v>
      </c>
      <c r="I2205" t="s">
        <v>57</v>
      </c>
      <c r="J2205" t="s">
        <v>21</v>
      </c>
      <c r="K2205" t="s">
        <v>14</v>
      </c>
      <c r="L2205" t="s">
        <v>304</v>
      </c>
      <c r="M2205" t="s">
        <v>305</v>
      </c>
      <c r="N2205">
        <v>1E-3</v>
      </c>
      <c r="O2205" t="str">
        <f>IF(Transactions_RAW_cleaned[[#This Row],[Status]]="Completed", IFERROR(_xlfn.XLOOKUP(Transactions_RAW_cleaned[[#This Row],[CustomerID]], Customers_cleaned[CustomerID], Customers_cleaned[Segment]), "Customer Not Found"), "N/A")</f>
        <v>Startup</v>
      </c>
      <c r="P2205" s="5" t="str">
        <f>IF(Transactions_RAW_cleaned[[#This Row],[Status]]="Refunded", "Refund",
  IF(Transactions_RAW_cleaned[[#This Row],[Category]]="Payments", IF(Transactions_RAW_cleaned[[#This Row],[Amount]]&gt;500,"High Value","Standard"),
    IF(Transactions_RAW_cleaned[[#This Row],[Amount]]&gt;250,"High Value","Standard")))</f>
        <v>Standard</v>
      </c>
      <c r="Q2205" s="5" t="str">
        <f>IF(Transactions_RAW_cleaned[[#This Row],[Amount]] &gt; (_xlfn.XLOOKUP(Transactions_RAW_cleaned[[#This Row],[ServiceID]],Services_cleaned[ServiceID],Services_cleaned[TransactionFeePct]) * 10000), "Yes", "No")</f>
        <v>Yes</v>
      </c>
      <c r="R2205" s="5" t="str">
        <f>IF(COUNTIFS($C$2:Transactions_RAW_cleaned[[#This Row],[CustomerID]],Transactions_RAW_cleaned[[#This Row],[CustomerID]],$D$2:Transactions_RAW_cleaned[[#This Row],[ServiceID]],Transactions_RAW_cleaned[[#This Row],[ServiceID]])=1,"Yes","No")</f>
        <v>No</v>
      </c>
      <c r="S220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05" t="str">
        <f>"Q"&amp;ROUNDUP(MONTH(Transactions_RAW_cleaned[[#This Row],[TransactionDate]])/3,0)</f>
        <v>Q2</v>
      </c>
      <c r="U2205" t="str">
        <f>Transactions_RAW_cleaned[[#This Row],[Region ]]&amp;Transactions_RAW_cleaned[[#This Row],[Quarter ]]</f>
        <v>APACQ2</v>
      </c>
      <c r="V2205" s="5">
        <f>_xlfn.XLOOKUP(Transactions_RAW_cleaned[[#This Row],[RegionQuarterKey]], Quarterly_Targets_cleaned[RegionQuarterKey], Quarterly_Targets_cleaned[TargetRevenue])</f>
        <v>110000</v>
      </c>
    </row>
    <row r="2206" spans="1:22" x14ac:dyDescent="0.25">
      <c r="A2206" t="s">
        <v>2543</v>
      </c>
      <c r="B2206" s="1">
        <v>45623</v>
      </c>
      <c r="C2206" t="s">
        <v>151</v>
      </c>
      <c r="D2206" t="s">
        <v>294</v>
      </c>
      <c r="E2206">
        <v>408.79</v>
      </c>
      <c r="F2206" t="s">
        <v>324</v>
      </c>
      <c r="G2206" t="s">
        <v>327</v>
      </c>
      <c r="H2206" t="s">
        <v>332</v>
      </c>
      <c r="I2206" t="s">
        <v>8</v>
      </c>
      <c r="J2206" t="s">
        <v>46</v>
      </c>
      <c r="K2206" t="s">
        <v>18</v>
      </c>
      <c r="L2206" t="s">
        <v>295</v>
      </c>
      <c r="M2206" t="s">
        <v>296</v>
      </c>
      <c r="N2206">
        <v>2.9000000000000001E-2</v>
      </c>
      <c r="O2206" t="str">
        <f>IF(Transactions_RAW_cleaned[[#This Row],[Status]]="Completed", IFERROR(_xlfn.XLOOKUP(Transactions_RAW_cleaned[[#This Row],[CustomerID]], Customers_cleaned[CustomerID], Customers_cleaned[Segment]), "Customer Not Found"), "N/A")</f>
        <v>SMB</v>
      </c>
      <c r="P2206" s="5" t="str">
        <f>IF(Transactions_RAW_cleaned[[#This Row],[Status]]="Refunded", "Refund",
  IF(Transactions_RAW_cleaned[[#This Row],[Category]]="Payments", IF(Transactions_RAW_cleaned[[#This Row],[Amount]]&gt;500,"High Value","Standard"),
    IF(Transactions_RAW_cleaned[[#This Row],[Amount]]&gt;250,"High Value","Standard")))</f>
        <v>Standard</v>
      </c>
      <c r="Q2206" s="5" t="str">
        <f>IF(Transactions_RAW_cleaned[[#This Row],[Amount]] &gt; (_xlfn.XLOOKUP(Transactions_RAW_cleaned[[#This Row],[ServiceID]],Services_cleaned[ServiceID],Services_cleaned[TransactionFeePct]) * 10000), "Yes", "No")</f>
        <v>Yes</v>
      </c>
      <c r="R2206" s="5" t="str">
        <f>IF(COUNTIFS($C$2:Transactions_RAW_cleaned[[#This Row],[CustomerID]],Transactions_RAW_cleaned[[#This Row],[CustomerID]],$D$2:Transactions_RAW_cleaned[[#This Row],[ServiceID]],Transactions_RAW_cleaned[[#This Row],[ServiceID]])=1,"Yes","No")</f>
        <v>No</v>
      </c>
      <c r="S220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06" t="str">
        <f>"Q"&amp;ROUNDUP(MONTH(Transactions_RAW_cleaned[[#This Row],[TransactionDate]])/3,0)</f>
        <v>Q4</v>
      </c>
      <c r="U2206" t="str">
        <f>Transactions_RAW_cleaned[[#This Row],[Region ]]&amp;Transactions_RAW_cleaned[[#This Row],[Quarter ]]</f>
        <v>APACQ4</v>
      </c>
      <c r="V2206" s="5">
        <f>_xlfn.XLOOKUP(Transactions_RAW_cleaned[[#This Row],[RegionQuarterKey]], Quarterly_Targets_cleaned[RegionQuarterKey], Quarterly_Targets_cleaned[TargetRevenue])</f>
        <v>126500</v>
      </c>
    </row>
    <row r="2207" spans="1:22" x14ac:dyDescent="0.25">
      <c r="A2207" t="s">
        <v>2544</v>
      </c>
      <c r="B2207" s="1">
        <v>45508</v>
      </c>
      <c r="C2207" t="s">
        <v>117</v>
      </c>
      <c r="D2207" t="s">
        <v>294</v>
      </c>
      <c r="E2207">
        <v>362.26</v>
      </c>
      <c r="F2207" t="s">
        <v>324</v>
      </c>
      <c r="G2207" t="s">
        <v>337</v>
      </c>
      <c r="H2207" t="s">
        <v>334</v>
      </c>
      <c r="I2207" t="s">
        <v>8</v>
      </c>
      <c r="J2207" t="s">
        <v>102</v>
      </c>
      <c r="K2207" t="s">
        <v>14</v>
      </c>
      <c r="L2207" t="s">
        <v>295</v>
      </c>
      <c r="M2207" t="s">
        <v>296</v>
      </c>
      <c r="N2207">
        <v>2.9000000000000001E-2</v>
      </c>
      <c r="O2207" t="str">
        <f>IF(Transactions_RAW_cleaned[[#This Row],[Status]]="Completed", IFERROR(_xlfn.XLOOKUP(Transactions_RAW_cleaned[[#This Row],[CustomerID]], Customers_cleaned[CustomerID], Customers_cleaned[Segment]), "Customer Not Found"), "N/A")</f>
        <v>SMB</v>
      </c>
      <c r="P2207" s="5" t="str">
        <f>IF(Transactions_RAW_cleaned[[#This Row],[Status]]="Refunded", "Refund",
  IF(Transactions_RAW_cleaned[[#This Row],[Category]]="Payments", IF(Transactions_RAW_cleaned[[#This Row],[Amount]]&gt;500,"High Value","Standard"),
    IF(Transactions_RAW_cleaned[[#This Row],[Amount]]&gt;250,"High Value","Standard")))</f>
        <v>Standard</v>
      </c>
      <c r="Q2207" s="5" t="str">
        <f>IF(Transactions_RAW_cleaned[[#This Row],[Amount]] &gt; (_xlfn.XLOOKUP(Transactions_RAW_cleaned[[#This Row],[ServiceID]],Services_cleaned[ServiceID],Services_cleaned[TransactionFeePct]) * 10000), "Yes", "No")</f>
        <v>Yes</v>
      </c>
      <c r="R2207" s="5" t="str">
        <f>IF(COUNTIFS($C$2:Transactions_RAW_cleaned[[#This Row],[CustomerID]],Transactions_RAW_cleaned[[#This Row],[CustomerID]],$D$2:Transactions_RAW_cleaned[[#This Row],[ServiceID]],Transactions_RAW_cleaned[[#This Row],[ServiceID]])=1,"Yes","No")</f>
        <v>No</v>
      </c>
      <c r="S220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07" t="str">
        <f>"Q"&amp;ROUNDUP(MONTH(Transactions_RAW_cleaned[[#This Row],[TransactionDate]])/3,0)</f>
        <v>Q3</v>
      </c>
      <c r="U2207" t="str">
        <f>Transactions_RAW_cleaned[[#This Row],[Region ]]&amp;Transactions_RAW_cleaned[[#This Row],[Quarter ]]</f>
        <v>NAQ3</v>
      </c>
      <c r="V2207" s="5">
        <f>_xlfn.XLOOKUP(Transactions_RAW_cleaned[[#This Row],[RegionQuarterKey]], Quarterly_Targets_cleaned[RegionQuarterKey], Quarterly_Targets_cleaned[TargetRevenue])</f>
        <v>273000</v>
      </c>
    </row>
    <row r="2208" spans="1:22" x14ac:dyDescent="0.25">
      <c r="A2208" t="s">
        <v>2545</v>
      </c>
      <c r="B2208" s="1">
        <v>45453</v>
      </c>
      <c r="C2208" t="s">
        <v>23</v>
      </c>
      <c r="D2208" t="s">
        <v>300</v>
      </c>
      <c r="E2208">
        <v>345.46</v>
      </c>
      <c r="F2208" t="s">
        <v>324</v>
      </c>
      <c r="G2208" t="s">
        <v>327</v>
      </c>
      <c r="H2208" t="s">
        <v>346</v>
      </c>
      <c r="I2208" t="s">
        <v>8</v>
      </c>
      <c r="J2208" t="s">
        <v>25</v>
      </c>
      <c r="K2208" t="s">
        <v>22</v>
      </c>
      <c r="L2208" t="s">
        <v>301</v>
      </c>
      <c r="M2208" t="s">
        <v>302</v>
      </c>
      <c r="N2208">
        <v>5.0000000000000001E-3</v>
      </c>
      <c r="O2208" t="str">
        <f>IF(Transactions_RAW_cleaned[[#This Row],[Status]]="Completed", IFERROR(_xlfn.XLOOKUP(Transactions_RAW_cleaned[[#This Row],[CustomerID]], Customers_cleaned[CustomerID], Customers_cleaned[Segment]), "Customer Not Found"), "N/A")</f>
        <v>SMB</v>
      </c>
      <c r="P2208" s="5" t="str">
        <f>IF(Transactions_RAW_cleaned[[#This Row],[Status]]="Refunded", "Refund",
  IF(Transactions_RAW_cleaned[[#This Row],[Category]]="Payments", IF(Transactions_RAW_cleaned[[#This Row],[Amount]]&gt;500,"High Value","Standard"),
    IF(Transactions_RAW_cleaned[[#This Row],[Amount]]&gt;250,"High Value","Standard")))</f>
        <v>High Value</v>
      </c>
      <c r="Q2208" s="5" t="str">
        <f>IF(Transactions_RAW_cleaned[[#This Row],[Amount]] &gt; (_xlfn.XLOOKUP(Transactions_RAW_cleaned[[#This Row],[ServiceID]],Services_cleaned[ServiceID],Services_cleaned[TransactionFeePct]) * 10000), "Yes", "No")</f>
        <v>Yes</v>
      </c>
      <c r="R2208" s="5" t="str">
        <f>IF(COUNTIFS($C$2:Transactions_RAW_cleaned[[#This Row],[CustomerID]],Transactions_RAW_cleaned[[#This Row],[CustomerID]],$D$2:Transactions_RAW_cleaned[[#This Row],[ServiceID]],Transactions_RAW_cleaned[[#This Row],[ServiceID]])=1,"Yes","No")</f>
        <v>Yes</v>
      </c>
      <c r="S220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08" t="str">
        <f>"Q"&amp;ROUNDUP(MONTH(Transactions_RAW_cleaned[[#This Row],[TransactionDate]])/3,0)</f>
        <v>Q2</v>
      </c>
      <c r="U2208" t="str">
        <f>Transactions_RAW_cleaned[[#This Row],[Region ]]&amp;Transactions_RAW_cleaned[[#This Row],[Quarter ]]</f>
        <v>APACQ2</v>
      </c>
      <c r="V2208" s="5">
        <f>_xlfn.XLOOKUP(Transactions_RAW_cleaned[[#This Row],[RegionQuarterKey]], Quarterly_Targets_cleaned[RegionQuarterKey], Quarterly_Targets_cleaned[TargetRevenue])</f>
        <v>110000</v>
      </c>
    </row>
    <row r="2209" spans="1:22" x14ac:dyDescent="0.25">
      <c r="A2209" t="s">
        <v>2546</v>
      </c>
      <c r="B2209" s="1">
        <v>45534</v>
      </c>
      <c r="C2209" t="s">
        <v>26</v>
      </c>
      <c r="D2209" t="s">
        <v>315</v>
      </c>
      <c r="E2209">
        <v>747.99</v>
      </c>
      <c r="F2209" t="s">
        <v>324</v>
      </c>
      <c r="G2209" t="s">
        <v>327</v>
      </c>
      <c r="H2209" t="s">
        <v>346</v>
      </c>
      <c r="I2209" t="s">
        <v>8</v>
      </c>
      <c r="J2209" t="s">
        <v>102</v>
      </c>
      <c r="K2209" t="s">
        <v>28</v>
      </c>
      <c r="L2209" t="s">
        <v>316</v>
      </c>
      <c r="M2209" t="s">
        <v>305</v>
      </c>
      <c r="N2209">
        <v>2.5000000000000001E-3</v>
      </c>
      <c r="O2209" t="str">
        <f>IF(Transactions_RAW_cleaned[[#This Row],[Status]]="Completed", IFERROR(_xlfn.XLOOKUP(Transactions_RAW_cleaned[[#This Row],[CustomerID]], Customers_cleaned[CustomerID], Customers_cleaned[Segment]), "Customer Not Found"), "N/A")</f>
        <v>SMB</v>
      </c>
      <c r="P2209" s="5" t="str">
        <f>IF(Transactions_RAW_cleaned[[#This Row],[Status]]="Refunded", "Refund",
  IF(Transactions_RAW_cleaned[[#This Row],[Category]]="Payments", IF(Transactions_RAW_cleaned[[#This Row],[Amount]]&gt;500,"High Value","Standard"),
    IF(Transactions_RAW_cleaned[[#This Row],[Amount]]&gt;250,"High Value","Standard")))</f>
        <v>High Value</v>
      </c>
      <c r="Q2209" s="5" t="str">
        <f>IF(Transactions_RAW_cleaned[[#This Row],[Amount]] &gt; (_xlfn.XLOOKUP(Transactions_RAW_cleaned[[#This Row],[ServiceID]],Services_cleaned[ServiceID],Services_cleaned[TransactionFeePct]) * 10000), "Yes", "No")</f>
        <v>Yes</v>
      </c>
      <c r="R2209" s="5" t="str">
        <f>IF(COUNTIFS($C$2:Transactions_RAW_cleaned[[#This Row],[CustomerID]],Transactions_RAW_cleaned[[#This Row],[CustomerID]],$D$2:Transactions_RAW_cleaned[[#This Row],[ServiceID]],Transactions_RAW_cleaned[[#This Row],[ServiceID]])=1,"Yes","No")</f>
        <v>No</v>
      </c>
      <c r="S220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09" t="str">
        <f>"Q"&amp;ROUNDUP(MONTH(Transactions_RAW_cleaned[[#This Row],[TransactionDate]])/3,0)</f>
        <v>Q3</v>
      </c>
      <c r="U2209" t="str">
        <f>Transactions_RAW_cleaned[[#This Row],[Region ]]&amp;Transactions_RAW_cleaned[[#This Row],[Quarter ]]</f>
        <v>NAQ3</v>
      </c>
      <c r="V2209" s="5">
        <f>_xlfn.XLOOKUP(Transactions_RAW_cleaned[[#This Row],[RegionQuarterKey]], Quarterly_Targets_cleaned[RegionQuarterKey], Quarterly_Targets_cleaned[TargetRevenue])</f>
        <v>273000</v>
      </c>
    </row>
    <row r="2210" spans="1:22" x14ac:dyDescent="0.25">
      <c r="A2210" t="s">
        <v>2547</v>
      </c>
      <c r="B2210" s="1">
        <v>45408</v>
      </c>
      <c r="C2210" t="s">
        <v>181</v>
      </c>
      <c r="D2210" t="s">
        <v>294</v>
      </c>
      <c r="E2210">
        <v>384.13</v>
      </c>
      <c r="F2210" t="s">
        <v>324</v>
      </c>
      <c r="G2210" t="s">
        <v>327</v>
      </c>
      <c r="I2210" t="s">
        <v>17</v>
      </c>
      <c r="J2210" t="s">
        <v>21</v>
      </c>
      <c r="K2210" t="s">
        <v>10</v>
      </c>
      <c r="L2210" t="s">
        <v>295</v>
      </c>
      <c r="M2210" t="s">
        <v>296</v>
      </c>
      <c r="N2210">
        <v>2.9000000000000001E-2</v>
      </c>
      <c r="O2210" t="str">
        <f>IF(Transactions_RAW_cleaned[[#This Row],[Status]]="Completed", IFERROR(_xlfn.XLOOKUP(Transactions_RAW_cleaned[[#This Row],[CustomerID]], Customers_cleaned[CustomerID], Customers_cleaned[Segment]), "Customer Not Found"), "N/A")</f>
        <v>Enterprise</v>
      </c>
      <c r="P2210" s="5" t="str">
        <f>IF(Transactions_RAW_cleaned[[#This Row],[Status]]="Refunded", "Refund",
  IF(Transactions_RAW_cleaned[[#This Row],[Category]]="Payments", IF(Transactions_RAW_cleaned[[#This Row],[Amount]]&gt;500,"High Value","Standard"),
    IF(Transactions_RAW_cleaned[[#This Row],[Amount]]&gt;250,"High Value","Standard")))</f>
        <v>Standard</v>
      </c>
      <c r="Q2210" s="5" t="str">
        <f>IF(Transactions_RAW_cleaned[[#This Row],[Amount]] &gt; (_xlfn.XLOOKUP(Transactions_RAW_cleaned[[#This Row],[ServiceID]],Services_cleaned[ServiceID],Services_cleaned[TransactionFeePct]) * 10000), "Yes", "No")</f>
        <v>Yes</v>
      </c>
      <c r="R2210" s="5" t="str">
        <f>IF(COUNTIFS($C$2:Transactions_RAW_cleaned[[#This Row],[CustomerID]],Transactions_RAW_cleaned[[#This Row],[CustomerID]],$D$2:Transactions_RAW_cleaned[[#This Row],[ServiceID]],Transactions_RAW_cleaned[[#This Row],[ServiceID]])=1,"Yes","No")</f>
        <v>No</v>
      </c>
      <c r="S221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10" t="str">
        <f>"Q"&amp;ROUNDUP(MONTH(Transactions_RAW_cleaned[[#This Row],[TransactionDate]])/3,0)</f>
        <v>Q2</v>
      </c>
      <c r="U2210" t="str">
        <f>Transactions_RAW_cleaned[[#This Row],[Region ]]&amp;Transactions_RAW_cleaned[[#This Row],[Quarter ]]</f>
        <v>APACQ2</v>
      </c>
      <c r="V2210" s="5">
        <f>_xlfn.XLOOKUP(Transactions_RAW_cleaned[[#This Row],[RegionQuarterKey]], Quarterly_Targets_cleaned[RegionQuarterKey], Quarterly_Targets_cleaned[TargetRevenue])</f>
        <v>110000</v>
      </c>
    </row>
    <row r="2211" spans="1:22" x14ac:dyDescent="0.25">
      <c r="A2211" t="s">
        <v>2548</v>
      </c>
      <c r="B2211" s="1">
        <v>45433</v>
      </c>
      <c r="C2211" t="s">
        <v>191</v>
      </c>
      <c r="D2211" t="s">
        <v>315</v>
      </c>
      <c r="E2211">
        <v>329.45</v>
      </c>
      <c r="F2211" t="s">
        <v>324</v>
      </c>
      <c r="G2211" t="s">
        <v>325</v>
      </c>
      <c r="H2211" t="s">
        <v>332</v>
      </c>
      <c r="I2211" t="s">
        <v>57</v>
      </c>
      <c r="J2211" t="s">
        <v>31</v>
      </c>
      <c r="K2211" t="s">
        <v>32</v>
      </c>
      <c r="L2211" t="s">
        <v>316</v>
      </c>
      <c r="M2211" t="s">
        <v>305</v>
      </c>
      <c r="N2211">
        <v>2.5000000000000001E-3</v>
      </c>
      <c r="O2211" t="str">
        <f>IF(Transactions_RAW_cleaned[[#This Row],[Status]]="Completed", IFERROR(_xlfn.XLOOKUP(Transactions_RAW_cleaned[[#This Row],[CustomerID]], Customers_cleaned[CustomerID], Customers_cleaned[Segment]), "Customer Not Found"), "N/A")</f>
        <v>Startup</v>
      </c>
      <c r="P2211" s="5" t="str">
        <f>IF(Transactions_RAW_cleaned[[#This Row],[Status]]="Refunded", "Refund",
  IF(Transactions_RAW_cleaned[[#This Row],[Category]]="Payments", IF(Transactions_RAW_cleaned[[#This Row],[Amount]]&gt;500,"High Value","Standard"),
    IF(Transactions_RAW_cleaned[[#This Row],[Amount]]&gt;250,"High Value","Standard")))</f>
        <v>High Value</v>
      </c>
      <c r="Q2211" s="5" t="str">
        <f>IF(Transactions_RAW_cleaned[[#This Row],[Amount]] &gt; (_xlfn.XLOOKUP(Transactions_RAW_cleaned[[#This Row],[ServiceID]],Services_cleaned[ServiceID],Services_cleaned[TransactionFeePct]) * 10000), "Yes", "No")</f>
        <v>Yes</v>
      </c>
      <c r="R2211" s="5" t="str">
        <f>IF(COUNTIFS($C$2:Transactions_RAW_cleaned[[#This Row],[CustomerID]],Transactions_RAW_cleaned[[#This Row],[CustomerID]],$D$2:Transactions_RAW_cleaned[[#This Row],[ServiceID]],Transactions_RAW_cleaned[[#This Row],[ServiceID]])=1,"Yes","No")</f>
        <v>No</v>
      </c>
      <c r="S221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211" t="str">
        <f>"Q"&amp;ROUNDUP(MONTH(Transactions_RAW_cleaned[[#This Row],[TransactionDate]])/3,0)</f>
        <v>Q2</v>
      </c>
      <c r="U2211" t="str">
        <f>Transactions_RAW_cleaned[[#This Row],[Region ]]&amp;Transactions_RAW_cleaned[[#This Row],[Quarter ]]</f>
        <v>EMEAQ2</v>
      </c>
      <c r="V2211" s="5">
        <f>_xlfn.XLOOKUP(Transactions_RAW_cleaned[[#This Row],[RegionQuarterKey]], Quarterly_Targets_cleaned[RegionQuarterKey], Quarterly_Targets_cleaned[TargetRevenue])</f>
        <v>140000</v>
      </c>
    </row>
    <row r="2212" spans="1:22" x14ac:dyDescent="0.25">
      <c r="A2212" t="s">
        <v>2549</v>
      </c>
      <c r="B2212" s="1">
        <v>45310</v>
      </c>
      <c r="C2212" t="s">
        <v>96</v>
      </c>
      <c r="D2212" t="s">
        <v>300</v>
      </c>
      <c r="E2212">
        <v>651.04999999999995</v>
      </c>
      <c r="F2212" t="s">
        <v>324</v>
      </c>
      <c r="G2212" t="s">
        <v>327</v>
      </c>
      <c r="I2212" t="s">
        <v>17</v>
      </c>
      <c r="J2212" t="s">
        <v>31</v>
      </c>
      <c r="K2212" t="s">
        <v>14</v>
      </c>
      <c r="L2212" t="s">
        <v>301</v>
      </c>
      <c r="M2212" t="s">
        <v>302</v>
      </c>
      <c r="N2212">
        <v>5.0000000000000001E-3</v>
      </c>
      <c r="O2212" t="str">
        <f>IF(Transactions_RAW_cleaned[[#This Row],[Status]]="Completed", IFERROR(_xlfn.XLOOKUP(Transactions_RAW_cleaned[[#This Row],[CustomerID]], Customers_cleaned[CustomerID], Customers_cleaned[Segment]), "Customer Not Found"), "N/A")</f>
        <v>Enterprise</v>
      </c>
      <c r="P2212" s="5" t="str">
        <f>IF(Transactions_RAW_cleaned[[#This Row],[Status]]="Refunded", "Refund",
  IF(Transactions_RAW_cleaned[[#This Row],[Category]]="Payments", IF(Transactions_RAW_cleaned[[#This Row],[Amount]]&gt;500,"High Value","Standard"),
    IF(Transactions_RAW_cleaned[[#This Row],[Amount]]&gt;250,"High Value","Standard")))</f>
        <v>High Value</v>
      </c>
      <c r="Q2212" s="5" t="str">
        <f>IF(Transactions_RAW_cleaned[[#This Row],[Amount]] &gt; (_xlfn.XLOOKUP(Transactions_RAW_cleaned[[#This Row],[ServiceID]],Services_cleaned[ServiceID],Services_cleaned[TransactionFeePct]) * 10000), "Yes", "No")</f>
        <v>Yes</v>
      </c>
      <c r="R2212" s="5" t="str">
        <f>IF(COUNTIFS($C$2:Transactions_RAW_cleaned[[#This Row],[CustomerID]],Transactions_RAW_cleaned[[#This Row],[CustomerID]],$D$2:Transactions_RAW_cleaned[[#This Row],[ServiceID]],Transactions_RAW_cleaned[[#This Row],[ServiceID]])=1,"Yes","No")</f>
        <v>No</v>
      </c>
      <c r="S221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212" t="str">
        <f>"Q"&amp;ROUNDUP(MONTH(Transactions_RAW_cleaned[[#This Row],[TransactionDate]])/3,0)</f>
        <v>Q1</v>
      </c>
      <c r="U2212" t="str">
        <f>Transactions_RAW_cleaned[[#This Row],[Region ]]&amp;Transactions_RAW_cleaned[[#This Row],[Quarter ]]</f>
        <v>EMEAQ1</v>
      </c>
      <c r="V2212" s="5">
        <f>_xlfn.XLOOKUP(Transactions_RAW_cleaned[[#This Row],[RegionQuarterKey]], Quarterly_Targets_cleaned[RegionQuarterKey], Quarterly_Targets_cleaned[TargetRevenue])</f>
        <v>133000</v>
      </c>
    </row>
    <row r="2213" spans="1:22" x14ac:dyDescent="0.25">
      <c r="A2213" t="s">
        <v>2550</v>
      </c>
      <c r="B2213" s="1">
        <v>45368</v>
      </c>
      <c r="C2213" t="s">
        <v>191</v>
      </c>
      <c r="D2213" t="s">
        <v>303</v>
      </c>
      <c r="E2213">
        <v>673.89</v>
      </c>
      <c r="F2213" t="s">
        <v>324</v>
      </c>
      <c r="G2213" t="s">
        <v>325</v>
      </c>
      <c r="I2213" t="s">
        <v>57</v>
      </c>
      <c r="J2213" t="s">
        <v>31</v>
      </c>
      <c r="K2213" t="s">
        <v>32</v>
      </c>
      <c r="L2213" t="s">
        <v>304</v>
      </c>
      <c r="M2213" t="s">
        <v>305</v>
      </c>
      <c r="N2213">
        <v>1E-3</v>
      </c>
      <c r="O2213" t="str">
        <f>IF(Transactions_RAW_cleaned[[#This Row],[Status]]="Completed", IFERROR(_xlfn.XLOOKUP(Transactions_RAW_cleaned[[#This Row],[CustomerID]], Customers_cleaned[CustomerID], Customers_cleaned[Segment]), "Customer Not Found"), "N/A")</f>
        <v>Startup</v>
      </c>
      <c r="P2213" s="5" t="str">
        <f>IF(Transactions_RAW_cleaned[[#This Row],[Status]]="Refunded", "Refund",
  IF(Transactions_RAW_cleaned[[#This Row],[Category]]="Payments", IF(Transactions_RAW_cleaned[[#This Row],[Amount]]&gt;500,"High Value","Standard"),
    IF(Transactions_RAW_cleaned[[#This Row],[Amount]]&gt;250,"High Value","Standard")))</f>
        <v>High Value</v>
      </c>
      <c r="Q2213" s="5" t="str">
        <f>IF(Transactions_RAW_cleaned[[#This Row],[Amount]] &gt; (_xlfn.XLOOKUP(Transactions_RAW_cleaned[[#This Row],[ServiceID]],Services_cleaned[ServiceID],Services_cleaned[TransactionFeePct]) * 10000), "Yes", "No")</f>
        <v>Yes</v>
      </c>
      <c r="R2213" s="5" t="str">
        <f>IF(COUNTIFS($C$2:Transactions_RAW_cleaned[[#This Row],[CustomerID]],Transactions_RAW_cleaned[[#This Row],[CustomerID]],$D$2:Transactions_RAW_cleaned[[#This Row],[ServiceID]],Transactions_RAW_cleaned[[#This Row],[ServiceID]])=1,"Yes","No")</f>
        <v>Yes</v>
      </c>
      <c r="S221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213" t="str">
        <f>"Q"&amp;ROUNDUP(MONTH(Transactions_RAW_cleaned[[#This Row],[TransactionDate]])/3,0)</f>
        <v>Q1</v>
      </c>
      <c r="U2213" t="str">
        <f>Transactions_RAW_cleaned[[#This Row],[Region ]]&amp;Transactions_RAW_cleaned[[#This Row],[Quarter ]]</f>
        <v>EMEAQ1</v>
      </c>
      <c r="V2213" s="5">
        <f>_xlfn.XLOOKUP(Transactions_RAW_cleaned[[#This Row],[RegionQuarterKey]], Quarterly_Targets_cleaned[RegionQuarterKey], Quarterly_Targets_cleaned[TargetRevenue])</f>
        <v>133000</v>
      </c>
    </row>
    <row r="2214" spans="1:22" x14ac:dyDescent="0.25">
      <c r="A2214" t="s">
        <v>2551</v>
      </c>
      <c r="B2214" s="1">
        <v>45393</v>
      </c>
      <c r="C2214" t="s">
        <v>35</v>
      </c>
      <c r="D2214" t="s">
        <v>294</v>
      </c>
      <c r="E2214">
        <v>264.11</v>
      </c>
      <c r="F2214" t="s">
        <v>324</v>
      </c>
      <c r="G2214" t="s">
        <v>327</v>
      </c>
      <c r="I2214" t="s">
        <v>8</v>
      </c>
      <c r="J2214" t="s">
        <v>37</v>
      </c>
      <c r="K2214" t="s">
        <v>28</v>
      </c>
      <c r="L2214" t="s">
        <v>295</v>
      </c>
      <c r="M2214" t="s">
        <v>296</v>
      </c>
      <c r="N2214">
        <v>2.9000000000000001E-2</v>
      </c>
      <c r="O2214" t="str">
        <f>IF(Transactions_RAW_cleaned[[#This Row],[Status]]="Completed", IFERROR(_xlfn.XLOOKUP(Transactions_RAW_cleaned[[#This Row],[CustomerID]], Customers_cleaned[CustomerID], Customers_cleaned[Segment]), "Customer Not Found"), "N/A")</f>
        <v>SMB</v>
      </c>
      <c r="P2214" s="5" t="str">
        <f>IF(Transactions_RAW_cleaned[[#This Row],[Status]]="Refunded", "Refund",
  IF(Transactions_RAW_cleaned[[#This Row],[Category]]="Payments", IF(Transactions_RAW_cleaned[[#This Row],[Amount]]&gt;500,"High Value","Standard"),
    IF(Transactions_RAW_cleaned[[#This Row],[Amount]]&gt;250,"High Value","Standard")))</f>
        <v>Standard</v>
      </c>
      <c r="Q2214" s="5" t="str">
        <f>IF(Transactions_RAW_cleaned[[#This Row],[Amount]] &gt; (_xlfn.XLOOKUP(Transactions_RAW_cleaned[[#This Row],[ServiceID]],Services_cleaned[ServiceID],Services_cleaned[TransactionFeePct]) * 10000), "Yes", "No")</f>
        <v>No</v>
      </c>
      <c r="R2214" s="5" t="str">
        <f>IF(COUNTIFS($C$2:Transactions_RAW_cleaned[[#This Row],[CustomerID]],Transactions_RAW_cleaned[[#This Row],[CustomerID]],$D$2:Transactions_RAW_cleaned[[#This Row],[ServiceID]],Transactions_RAW_cleaned[[#This Row],[ServiceID]])=1,"Yes","No")</f>
        <v>No</v>
      </c>
      <c r="S221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214" t="str">
        <f>"Q"&amp;ROUNDUP(MONTH(Transactions_RAW_cleaned[[#This Row],[TransactionDate]])/3,0)</f>
        <v>Q2</v>
      </c>
      <c r="U2214" t="str">
        <f>Transactions_RAW_cleaned[[#This Row],[Region ]]&amp;Transactions_RAW_cleaned[[#This Row],[Quarter ]]</f>
        <v>EMEAQ2</v>
      </c>
      <c r="V2214" s="5">
        <f>_xlfn.XLOOKUP(Transactions_RAW_cleaned[[#This Row],[RegionQuarterKey]], Quarterly_Targets_cleaned[RegionQuarterKey], Quarterly_Targets_cleaned[TargetRevenue])</f>
        <v>140000</v>
      </c>
    </row>
    <row r="2215" spans="1:22" x14ac:dyDescent="0.25">
      <c r="A2215" t="s">
        <v>2552</v>
      </c>
      <c r="B2215" s="1">
        <v>45551</v>
      </c>
      <c r="C2215" t="s">
        <v>72</v>
      </c>
      <c r="D2215" t="s">
        <v>294</v>
      </c>
      <c r="E2215">
        <v>100.31</v>
      </c>
      <c r="F2215" t="s">
        <v>324</v>
      </c>
      <c r="G2215" t="s">
        <v>327</v>
      </c>
      <c r="I2215" t="s">
        <v>57</v>
      </c>
      <c r="J2215" t="s">
        <v>46</v>
      </c>
      <c r="K2215" t="s">
        <v>32</v>
      </c>
      <c r="L2215" t="s">
        <v>295</v>
      </c>
      <c r="M2215" t="s">
        <v>296</v>
      </c>
      <c r="N2215">
        <v>2.9000000000000001E-2</v>
      </c>
      <c r="O2215" t="str">
        <f>IF(Transactions_RAW_cleaned[[#This Row],[Status]]="Completed", IFERROR(_xlfn.XLOOKUP(Transactions_RAW_cleaned[[#This Row],[CustomerID]], Customers_cleaned[CustomerID], Customers_cleaned[Segment]), "Customer Not Found"), "N/A")</f>
        <v>Startup</v>
      </c>
      <c r="P2215" s="5" t="str">
        <f>IF(Transactions_RAW_cleaned[[#This Row],[Status]]="Refunded", "Refund",
  IF(Transactions_RAW_cleaned[[#This Row],[Category]]="Payments", IF(Transactions_RAW_cleaned[[#This Row],[Amount]]&gt;500,"High Value","Standard"),
    IF(Transactions_RAW_cleaned[[#This Row],[Amount]]&gt;250,"High Value","Standard")))</f>
        <v>Standard</v>
      </c>
      <c r="Q2215" s="5" t="str">
        <f>IF(Transactions_RAW_cleaned[[#This Row],[Amount]] &gt; (_xlfn.XLOOKUP(Transactions_RAW_cleaned[[#This Row],[ServiceID]],Services_cleaned[ServiceID],Services_cleaned[TransactionFeePct]) * 10000), "Yes", "No")</f>
        <v>No</v>
      </c>
      <c r="R2215" s="5" t="str">
        <f>IF(COUNTIFS($C$2:Transactions_RAW_cleaned[[#This Row],[CustomerID]],Transactions_RAW_cleaned[[#This Row],[CustomerID]],$D$2:Transactions_RAW_cleaned[[#This Row],[ServiceID]],Transactions_RAW_cleaned[[#This Row],[ServiceID]])=1,"Yes","No")</f>
        <v>No</v>
      </c>
      <c r="S221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15" t="str">
        <f>"Q"&amp;ROUNDUP(MONTH(Transactions_RAW_cleaned[[#This Row],[TransactionDate]])/3,0)</f>
        <v>Q3</v>
      </c>
      <c r="U2215" t="str">
        <f>Transactions_RAW_cleaned[[#This Row],[Region ]]&amp;Transactions_RAW_cleaned[[#This Row],[Quarter ]]</f>
        <v>APACQ3</v>
      </c>
      <c r="V2215" s="5">
        <f>_xlfn.XLOOKUP(Transactions_RAW_cleaned[[#This Row],[RegionQuarterKey]], Quarterly_Targets_cleaned[RegionQuarterKey], Quarterly_Targets_cleaned[TargetRevenue])</f>
        <v>115500</v>
      </c>
    </row>
    <row r="2216" spans="1:22" x14ac:dyDescent="0.25">
      <c r="A2216" t="s">
        <v>2553</v>
      </c>
      <c r="B2216" s="1">
        <v>45567</v>
      </c>
      <c r="C2216" t="s">
        <v>123</v>
      </c>
      <c r="D2216" t="s">
        <v>306</v>
      </c>
      <c r="E2216">
        <v>557.21</v>
      </c>
      <c r="F2216" t="s">
        <v>324</v>
      </c>
      <c r="G2216" t="s">
        <v>327</v>
      </c>
      <c r="H2216" t="s">
        <v>332</v>
      </c>
      <c r="I2216" t="s">
        <v>8</v>
      </c>
      <c r="J2216" t="s">
        <v>13</v>
      </c>
      <c r="K2216" t="s">
        <v>32</v>
      </c>
      <c r="L2216" t="s">
        <v>307</v>
      </c>
      <c r="M2216" t="s">
        <v>308</v>
      </c>
      <c r="N2216">
        <v>0</v>
      </c>
      <c r="O2216" t="str">
        <f>IF(Transactions_RAW_cleaned[[#This Row],[Status]]="Completed", IFERROR(_xlfn.XLOOKUP(Transactions_RAW_cleaned[[#This Row],[CustomerID]], Customers_cleaned[CustomerID], Customers_cleaned[Segment]), "Customer Not Found"), "N/A")</f>
        <v>SMB</v>
      </c>
      <c r="P2216" s="5" t="str">
        <f>IF(Transactions_RAW_cleaned[[#This Row],[Status]]="Refunded", "Refund",
  IF(Transactions_RAW_cleaned[[#This Row],[Category]]="Payments", IF(Transactions_RAW_cleaned[[#This Row],[Amount]]&gt;500,"High Value","Standard"),
    IF(Transactions_RAW_cleaned[[#This Row],[Amount]]&gt;250,"High Value","Standard")))</f>
        <v>High Value</v>
      </c>
      <c r="Q2216" s="5" t="str">
        <f>IF(Transactions_RAW_cleaned[[#This Row],[Amount]] &gt; (_xlfn.XLOOKUP(Transactions_RAW_cleaned[[#This Row],[ServiceID]],Services_cleaned[ServiceID],Services_cleaned[TransactionFeePct]) * 10000), "Yes", "No")</f>
        <v>Yes</v>
      </c>
      <c r="R2216" s="5" t="str">
        <f>IF(COUNTIFS($C$2:Transactions_RAW_cleaned[[#This Row],[CustomerID]],Transactions_RAW_cleaned[[#This Row],[CustomerID]],$D$2:Transactions_RAW_cleaned[[#This Row],[ServiceID]],Transactions_RAW_cleaned[[#This Row],[ServiceID]])=1,"Yes","No")</f>
        <v>Yes</v>
      </c>
      <c r="S221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16" t="str">
        <f>"Q"&amp;ROUNDUP(MONTH(Transactions_RAW_cleaned[[#This Row],[TransactionDate]])/3,0)</f>
        <v>Q4</v>
      </c>
      <c r="U2216" t="str">
        <f>Transactions_RAW_cleaned[[#This Row],[Region ]]&amp;Transactions_RAW_cleaned[[#This Row],[Quarter ]]</f>
        <v>NAQ4</v>
      </c>
      <c r="V2216" s="5">
        <f>_xlfn.XLOOKUP(Transactions_RAW_cleaned[[#This Row],[RegionQuarterKey]], Quarterly_Targets_cleaned[RegionQuarterKey], Quarterly_Targets_cleaned[TargetRevenue])</f>
        <v>299000</v>
      </c>
    </row>
    <row r="2217" spans="1:22" x14ac:dyDescent="0.25">
      <c r="A2217" t="s">
        <v>2554</v>
      </c>
      <c r="B2217" s="1">
        <v>45406</v>
      </c>
      <c r="C2217" t="s">
        <v>163</v>
      </c>
      <c r="D2217" t="s">
        <v>294</v>
      </c>
      <c r="E2217">
        <v>280.51</v>
      </c>
      <c r="F2217" t="s">
        <v>324</v>
      </c>
      <c r="G2217" t="s">
        <v>337</v>
      </c>
      <c r="I2217" t="s">
        <v>17</v>
      </c>
      <c r="J2217" t="s">
        <v>102</v>
      </c>
      <c r="K2217" t="s">
        <v>18</v>
      </c>
      <c r="L2217" t="s">
        <v>295</v>
      </c>
      <c r="M2217" t="s">
        <v>296</v>
      </c>
      <c r="N2217">
        <v>2.9000000000000001E-2</v>
      </c>
      <c r="O2217" t="str">
        <f>IF(Transactions_RAW_cleaned[[#This Row],[Status]]="Completed", IFERROR(_xlfn.XLOOKUP(Transactions_RAW_cleaned[[#This Row],[CustomerID]], Customers_cleaned[CustomerID], Customers_cleaned[Segment]), "Customer Not Found"), "N/A")</f>
        <v>Enterprise</v>
      </c>
      <c r="P2217" s="5" t="str">
        <f>IF(Transactions_RAW_cleaned[[#This Row],[Status]]="Refunded", "Refund",
  IF(Transactions_RAW_cleaned[[#This Row],[Category]]="Payments", IF(Transactions_RAW_cleaned[[#This Row],[Amount]]&gt;500,"High Value","Standard"),
    IF(Transactions_RAW_cleaned[[#This Row],[Amount]]&gt;250,"High Value","Standard")))</f>
        <v>Standard</v>
      </c>
      <c r="Q2217" s="5" t="str">
        <f>IF(Transactions_RAW_cleaned[[#This Row],[Amount]] &gt; (_xlfn.XLOOKUP(Transactions_RAW_cleaned[[#This Row],[ServiceID]],Services_cleaned[ServiceID],Services_cleaned[TransactionFeePct]) * 10000), "Yes", "No")</f>
        <v>No</v>
      </c>
      <c r="R2217" s="5" t="str">
        <f>IF(COUNTIFS($C$2:Transactions_RAW_cleaned[[#This Row],[CustomerID]],Transactions_RAW_cleaned[[#This Row],[CustomerID]],$D$2:Transactions_RAW_cleaned[[#This Row],[ServiceID]],Transactions_RAW_cleaned[[#This Row],[ServiceID]])=1,"Yes","No")</f>
        <v>No</v>
      </c>
      <c r="S221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17" t="str">
        <f>"Q"&amp;ROUNDUP(MONTH(Transactions_RAW_cleaned[[#This Row],[TransactionDate]])/3,0)</f>
        <v>Q2</v>
      </c>
      <c r="U2217" t="str">
        <f>Transactions_RAW_cleaned[[#This Row],[Region ]]&amp;Transactions_RAW_cleaned[[#This Row],[Quarter ]]</f>
        <v>NAQ2</v>
      </c>
      <c r="V2217" s="5">
        <f>_xlfn.XLOOKUP(Transactions_RAW_cleaned[[#This Row],[RegionQuarterKey]], Quarterly_Targets_cleaned[RegionQuarterKey], Quarterly_Targets_cleaned[TargetRevenue])</f>
        <v>260000</v>
      </c>
    </row>
    <row r="2218" spans="1:22" x14ac:dyDescent="0.25">
      <c r="A2218" t="s">
        <v>2555</v>
      </c>
      <c r="B2218" s="1">
        <v>45300</v>
      </c>
      <c r="C2218" t="s">
        <v>265</v>
      </c>
      <c r="D2218" t="s">
        <v>306</v>
      </c>
      <c r="E2218">
        <v>680.21</v>
      </c>
      <c r="F2218" t="s">
        <v>324</v>
      </c>
      <c r="G2218" t="s">
        <v>325</v>
      </c>
      <c r="H2218" t="s">
        <v>332</v>
      </c>
      <c r="I2218" t="s">
        <v>8</v>
      </c>
      <c r="J2218" t="s">
        <v>102</v>
      </c>
      <c r="K2218" t="s">
        <v>32</v>
      </c>
      <c r="L2218" t="s">
        <v>307</v>
      </c>
      <c r="M2218" t="s">
        <v>308</v>
      </c>
      <c r="N2218">
        <v>0</v>
      </c>
      <c r="O2218" t="str">
        <f>IF(Transactions_RAW_cleaned[[#This Row],[Status]]="Completed", IFERROR(_xlfn.XLOOKUP(Transactions_RAW_cleaned[[#This Row],[CustomerID]], Customers_cleaned[CustomerID], Customers_cleaned[Segment]), "Customer Not Found"), "N/A")</f>
        <v>SMB</v>
      </c>
      <c r="P2218" s="5" t="str">
        <f>IF(Transactions_RAW_cleaned[[#This Row],[Status]]="Refunded", "Refund",
  IF(Transactions_RAW_cleaned[[#This Row],[Category]]="Payments", IF(Transactions_RAW_cleaned[[#This Row],[Amount]]&gt;500,"High Value","Standard"),
    IF(Transactions_RAW_cleaned[[#This Row],[Amount]]&gt;250,"High Value","Standard")))</f>
        <v>High Value</v>
      </c>
      <c r="Q2218" s="5" t="str">
        <f>IF(Transactions_RAW_cleaned[[#This Row],[Amount]] &gt; (_xlfn.XLOOKUP(Transactions_RAW_cleaned[[#This Row],[ServiceID]],Services_cleaned[ServiceID],Services_cleaned[TransactionFeePct]) * 10000), "Yes", "No")</f>
        <v>Yes</v>
      </c>
      <c r="R2218" s="5" t="str">
        <f>IF(COUNTIFS($C$2:Transactions_RAW_cleaned[[#This Row],[CustomerID]],Transactions_RAW_cleaned[[#This Row],[CustomerID]],$D$2:Transactions_RAW_cleaned[[#This Row],[ServiceID]],Transactions_RAW_cleaned[[#This Row],[ServiceID]])=1,"Yes","No")</f>
        <v>No</v>
      </c>
      <c r="S221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18" t="str">
        <f>"Q"&amp;ROUNDUP(MONTH(Transactions_RAW_cleaned[[#This Row],[TransactionDate]])/3,0)</f>
        <v>Q1</v>
      </c>
      <c r="U2218" t="str">
        <f>Transactions_RAW_cleaned[[#This Row],[Region ]]&amp;Transactions_RAW_cleaned[[#This Row],[Quarter ]]</f>
        <v>NAQ1</v>
      </c>
      <c r="V2218" s="5">
        <f>_xlfn.XLOOKUP(Transactions_RAW_cleaned[[#This Row],[RegionQuarterKey]], Quarterly_Targets_cleaned[RegionQuarterKey], Quarterly_Targets_cleaned[TargetRevenue])</f>
        <v>247000</v>
      </c>
    </row>
    <row r="2219" spans="1:22" x14ac:dyDescent="0.25">
      <c r="A2219" t="s">
        <v>2556</v>
      </c>
      <c r="B2219" s="1">
        <v>45551</v>
      </c>
      <c r="C2219" t="s">
        <v>277</v>
      </c>
      <c r="D2219" t="s">
        <v>309</v>
      </c>
      <c r="E2219">
        <v>236.15</v>
      </c>
      <c r="F2219" t="s">
        <v>324</v>
      </c>
      <c r="G2219" t="s">
        <v>327</v>
      </c>
      <c r="H2219" t="s">
        <v>334</v>
      </c>
      <c r="I2219" t="s">
        <v>8</v>
      </c>
      <c r="J2219" t="s">
        <v>31</v>
      </c>
      <c r="K2219" t="s">
        <v>22</v>
      </c>
      <c r="L2219" t="s">
        <v>310</v>
      </c>
      <c r="M2219" t="s">
        <v>311</v>
      </c>
      <c r="N2219">
        <v>0</v>
      </c>
      <c r="O2219" t="str">
        <f>IF(Transactions_RAW_cleaned[[#This Row],[Status]]="Completed", IFERROR(_xlfn.XLOOKUP(Transactions_RAW_cleaned[[#This Row],[CustomerID]], Customers_cleaned[CustomerID], Customers_cleaned[Segment]), "Customer Not Found"), "N/A")</f>
        <v>SMB</v>
      </c>
      <c r="P2219" s="5" t="str">
        <f>IF(Transactions_RAW_cleaned[[#This Row],[Status]]="Refunded", "Refund",
  IF(Transactions_RAW_cleaned[[#This Row],[Category]]="Payments", IF(Transactions_RAW_cleaned[[#This Row],[Amount]]&gt;500,"High Value","Standard"),
    IF(Transactions_RAW_cleaned[[#This Row],[Amount]]&gt;250,"High Value","Standard")))</f>
        <v>Standard</v>
      </c>
      <c r="Q2219" s="5" t="str">
        <f>IF(Transactions_RAW_cleaned[[#This Row],[Amount]] &gt; (_xlfn.XLOOKUP(Transactions_RAW_cleaned[[#This Row],[ServiceID]],Services_cleaned[ServiceID],Services_cleaned[TransactionFeePct]) * 10000), "Yes", "No")</f>
        <v>Yes</v>
      </c>
      <c r="R2219" s="5" t="str">
        <f>IF(COUNTIFS($C$2:Transactions_RAW_cleaned[[#This Row],[CustomerID]],Transactions_RAW_cleaned[[#This Row],[CustomerID]],$D$2:Transactions_RAW_cleaned[[#This Row],[ServiceID]],Transactions_RAW_cleaned[[#This Row],[ServiceID]])=1,"Yes","No")</f>
        <v>Yes</v>
      </c>
      <c r="S221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219" t="str">
        <f>"Q"&amp;ROUNDUP(MONTH(Transactions_RAW_cleaned[[#This Row],[TransactionDate]])/3,0)</f>
        <v>Q3</v>
      </c>
      <c r="U2219" t="str">
        <f>Transactions_RAW_cleaned[[#This Row],[Region ]]&amp;Transactions_RAW_cleaned[[#This Row],[Quarter ]]</f>
        <v>EMEAQ3</v>
      </c>
      <c r="V2219" s="5">
        <f>_xlfn.XLOOKUP(Transactions_RAW_cleaned[[#This Row],[RegionQuarterKey]], Quarterly_Targets_cleaned[RegionQuarterKey], Quarterly_Targets_cleaned[TargetRevenue])</f>
        <v>147000</v>
      </c>
    </row>
    <row r="2220" spans="1:22" x14ac:dyDescent="0.25">
      <c r="A2220" t="s">
        <v>2557</v>
      </c>
      <c r="B2220" s="1">
        <v>45338</v>
      </c>
      <c r="C2220" t="s">
        <v>157</v>
      </c>
      <c r="D2220" t="s">
        <v>309</v>
      </c>
      <c r="E2220">
        <v>105.16</v>
      </c>
      <c r="F2220" t="s">
        <v>324</v>
      </c>
      <c r="G2220" t="s">
        <v>327</v>
      </c>
      <c r="I2220" t="s">
        <v>8</v>
      </c>
      <c r="J2220" t="s">
        <v>102</v>
      </c>
      <c r="K2220" t="s">
        <v>14</v>
      </c>
      <c r="L2220" t="s">
        <v>310</v>
      </c>
      <c r="M2220" t="s">
        <v>311</v>
      </c>
      <c r="N2220">
        <v>0</v>
      </c>
      <c r="O2220" t="str">
        <f>IF(Transactions_RAW_cleaned[[#This Row],[Status]]="Completed", IFERROR(_xlfn.XLOOKUP(Transactions_RAW_cleaned[[#This Row],[CustomerID]], Customers_cleaned[CustomerID], Customers_cleaned[Segment]), "Customer Not Found"), "N/A")</f>
        <v>SMB</v>
      </c>
      <c r="P2220" s="5" t="str">
        <f>IF(Transactions_RAW_cleaned[[#This Row],[Status]]="Refunded", "Refund",
  IF(Transactions_RAW_cleaned[[#This Row],[Category]]="Payments", IF(Transactions_RAW_cleaned[[#This Row],[Amount]]&gt;500,"High Value","Standard"),
    IF(Transactions_RAW_cleaned[[#This Row],[Amount]]&gt;250,"High Value","Standard")))</f>
        <v>Standard</v>
      </c>
      <c r="Q2220" s="5" t="str">
        <f>IF(Transactions_RAW_cleaned[[#This Row],[Amount]] &gt; (_xlfn.XLOOKUP(Transactions_RAW_cleaned[[#This Row],[ServiceID]],Services_cleaned[ServiceID],Services_cleaned[TransactionFeePct]) * 10000), "Yes", "No")</f>
        <v>Yes</v>
      </c>
      <c r="R2220" s="5" t="str">
        <f>IF(COUNTIFS($C$2:Transactions_RAW_cleaned[[#This Row],[CustomerID]],Transactions_RAW_cleaned[[#This Row],[CustomerID]],$D$2:Transactions_RAW_cleaned[[#This Row],[ServiceID]],Transactions_RAW_cleaned[[#This Row],[ServiceID]])=1,"Yes","No")</f>
        <v>No</v>
      </c>
      <c r="S222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20" t="str">
        <f>"Q"&amp;ROUNDUP(MONTH(Transactions_RAW_cleaned[[#This Row],[TransactionDate]])/3,0)</f>
        <v>Q1</v>
      </c>
      <c r="U2220" t="str">
        <f>Transactions_RAW_cleaned[[#This Row],[Region ]]&amp;Transactions_RAW_cleaned[[#This Row],[Quarter ]]</f>
        <v>NAQ1</v>
      </c>
      <c r="V2220" s="5">
        <f>_xlfn.XLOOKUP(Transactions_RAW_cleaned[[#This Row],[RegionQuarterKey]], Quarterly_Targets_cleaned[RegionQuarterKey], Quarterly_Targets_cleaned[TargetRevenue])</f>
        <v>247000</v>
      </c>
    </row>
    <row r="2221" spans="1:22" x14ac:dyDescent="0.25">
      <c r="A2221" t="s">
        <v>2558</v>
      </c>
      <c r="B2221" s="1">
        <v>45613</v>
      </c>
      <c r="C2221" t="s">
        <v>90</v>
      </c>
      <c r="D2221" t="s">
        <v>303</v>
      </c>
      <c r="E2221">
        <v>236.74</v>
      </c>
      <c r="F2221" t="s">
        <v>324</v>
      </c>
      <c r="G2221" t="s">
        <v>327</v>
      </c>
      <c r="H2221" t="s">
        <v>332</v>
      </c>
      <c r="I2221" t="s">
        <v>8</v>
      </c>
      <c r="J2221" t="s">
        <v>102</v>
      </c>
      <c r="K2221" t="s">
        <v>28</v>
      </c>
      <c r="L2221" t="s">
        <v>304</v>
      </c>
      <c r="M2221" t="s">
        <v>305</v>
      </c>
      <c r="N2221">
        <v>1E-3</v>
      </c>
      <c r="O2221" t="str">
        <f>IF(Transactions_RAW_cleaned[[#This Row],[Status]]="Completed", IFERROR(_xlfn.XLOOKUP(Transactions_RAW_cleaned[[#This Row],[CustomerID]], Customers_cleaned[CustomerID], Customers_cleaned[Segment]), "Customer Not Found"), "N/A")</f>
        <v>SMB</v>
      </c>
      <c r="P2221" s="5" t="str">
        <f>IF(Transactions_RAW_cleaned[[#This Row],[Status]]="Refunded", "Refund",
  IF(Transactions_RAW_cleaned[[#This Row],[Category]]="Payments", IF(Transactions_RAW_cleaned[[#This Row],[Amount]]&gt;500,"High Value","Standard"),
    IF(Transactions_RAW_cleaned[[#This Row],[Amount]]&gt;250,"High Value","Standard")))</f>
        <v>Standard</v>
      </c>
      <c r="Q2221" s="5" t="str">
        <f>IF(Transactions_RAW_cleaned[[#This Row],[Amount]] &gt; (_xlfn.XLOOKUP(Transactions_RAW_cleaned[[#This Row],[ServiceID]],Services_cleaned[ServiceID],Services_cleaned[TransactionFeePct]) * 10000), "Yes", "No")</f>
        <v>Yes</v>
      </c>
      <c r="R2221" s="5" t="str">
        <f>IF(COUNTIFS($C$2:Transactions_RAW_cleaned[[#This Row],[CustomerID]],Transactions_RAW_cleaned[[#This Row],[CustomerID]],$D$2:Transactions_RAW_cleaned[[#This Row],[ServiceID]],Transactions_RAW_cleaned[[#This Row],[ServiceID]])=1,"Yes","No")</f>
        <v>No</v>
      </c>
      <c r="S222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21" t="str">
        <f>"Q"&amp;ROUNDUP(MONTH(Transactions_RAW_cleaned[[#This Row],[TransactionDate]])/3,0)</f>
        <v>Q4</v>
      </c>
      <c r="U2221" t="str">
        <f>Transactions_RAW_cleaned[[#This Row],[Region ]]&amp;Transactions_RAW_cleaned[[#This Row],[Quarter ]]</f>
        <v>NAQ4</v>
      </c>
      <c r="V2221" s="5">
        <f>_xlfn.XLOOKUP(Transactions_RAW_cleaned[[#This Row],[RegionQuarterKey]], Quarterly_Targets_cleaned[RegionQuarterKey], Quarterly_Targets_cleaned[TargetRevenue])</f>
        <v>299000</v>
      </c>
    </row>
    <row r="2222" spans="1:22" x14ac:dyDescent="0.25">
      <c r="A2222" t="s">
        <v>2559</v>
      </c>
      <c r="B2222" s="1">
        <v>45348</v>
      </c>
      <c r="C2222" t="s">
        <v>251</v>
      </c>
      <c r="D2222" t="s">
        <v>294</v>
      </c>
      <c r="E2222">
        <v>1104.9100000000001</v>
      </c>
      <c r="F2222" t="s">
        <v>324</v>
      </c>
      <c r="G2222" t="s">
        <v>327</v>
      </c>
      <c r="I2222" t="s">
        <v>17</v>
      </c>
      <c r="J2222" t="s">
        <v>46</v>
      </c>
      <c r="K2222" t="s">
        <v>14</v>
      </c>
      <c r="L2222" t="s">
        <v>295</v>
      </c>
      <c r="M2222" t="s">
        <v>296</v>
      </c>
      <c r="N2222">
        <v>2.9000000000000001E-2</v>
      </c>
      <c r="O2222" t="str">
        <f>IF(Transactions_RAW_cleaned[[#This Row],[Status]]="Completed", IFERROR(_xlfn.XLOOKUP(Transactions_RAW_cleaned[[#This Row],[CustomerID]], Customers_cleaned[CustomerID], Customers_cleaned[Segment]), "Customer Not Found"), "N/A")</f>
        <v>Enterprise</v>
      </c>
      <c r="P2222" s="5" t="str">
        <f>IF(Transactions_RAW_cleaned[[#This Row],[Status]]="Refunded", "Refund",
  IF(Transactions_RAW_cleaned[[#This Row],[Category]]="Payments", IF(Transactions_RAW_cleaned[[#This Row],[Amount]]&gt;500,"High Value","Standard"),
    IF(Transactions_RAW_cleaned[[#This Row],[Amount]]&gt;250,"High Value","Standard")))</f>
        <v>High Value</v>
      </c>
      <c r="Q2222" s="5" t="str">
        <f>IF(Transactions_RAW_cleaned[[#This Row],[Amount]] &gt; (_xlfn.XLOOKUP(Transactions_RAW_cleaned[[#This Row],[ServiceID]],Services_cleaned[ServiceID],Services_cleaned[TransactionFeePct]) * 10000), "Yes", "No")</f>
        <v>Yes</v>
      </c>
      <c r="R2222" s="5" t="str">
        <f>IF(COUNTIFS($C$2:Transactions_RAW_cleaned[[#This Row],[CustomerID]],Transactions_RAW_cleaned[[#This Row],[CustomerID]],$D$2:Transactions_RAW_cleaned[[#This Row],[ServiceID]],Transactions_RAW_cleaned[[#This Row],[ServiceID]])=1,"Yes","No")</f>
        <v>No</v>
      </c>
      <c r="S222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22" t="str">
        <f>"Q"&amp;ROUNDUP(MONTH(Transactions_RAW_cleaned[[#This Row],[TransactionDate]])/3,0)</f>
        <v>Q1</v>
      </c>
      <c r="U2222" t="str">
        <f>Transactions_RAW_cleaned[[#This Row],[Region ]]&amp;Transactions_RAW_cleaned[[#This Row],[Quarter ]]</f>
        <v>APACQ1</v>
      </c>
      <c r="V2222" s="5">
        <f>_xlfn.XLOOKUP(Transactions_RAW_cleaned[[#This Row],[RegionQuarterKey]], Quarterly_Targets_cleaned[RegionQuarterKey], Quarterly_Targets_cleaned[TargetRevenue])</f>
        <v>104500</v>
      </c>
    </row>
    <row r="2223" spans="1:22" x14ac:dyDescent="0.25">
      <c r="A2223" t="s">
        <v>2560</v>
      </c>
      <c r="B2223" s="1">
        <v>45447</v>
      </c>
      <c r="C2223" t="s">
        <v>42</v>
      </c>
      <c r="D2223" t="s">
        <v>294</v>
      </c>
      <c r="E2223">
        <v>391.7</v>
      </c>
      <c r="F2223" t="s">
        <v>324</v>
      </c>
      <c r="G2223" t="s">
        <v>327</v>
      </c>
      <c r="H2223" t="s">
        <v>346</v>
      </c>
      <c r="I2223" t="s">
        <v>8</v>
      </c>
      <c r="J2223" t="s">
        <v>102</v>
      </c>
      <c r="K2223" t="s">
        <v>10</v>
      </c>
      <c r="L2223" t="s">
        <v>295</v>
      </c>
      <c r="M2223" t="s">
        <v>296</v>
      </c>
      <c r="N2223">
        <v>2.9000000000000001E-2</v>
      </c>
      <c r="O2223" t="str">
        <f>IF(Transactions_RAW_cleaned[[#This Row],[Status]]="Completed", IFERROR(_xlfn.XLOOKUP(Transactions_RAW_cleaned[[#This Row],[CustomerID]], Customers_cleaned[CustomerID], Customers_cleaned[Segment]), "Customer Not Found"), "N/A")</f>
        <v>SMB</v>
      </c>
      <c r="P2223" s="5" t="str">
        <f>IF(Transactions_RAW_cleaned[[#This Row],[Status]]="Refunded", "Refund",
  IF(Transactions_RAW_cleaned[[#This Row],[Category]]="Payments", IF(Transactions_RAW_cleaned[[#This Row],[Amount]]&gt;500,"High Value","Standard"),
    IF(Transactions_RAW_cleaned[[#This Row],[Amount]]&gt;250,"High Value","Standard")))</f>
        <v>Standard</v>
      </c>
      <c r="Q2223" s="5" t="str">
        <f>IF(Transactions_RAW_cleaned[[#This Row],[Amount]] &gt; (_xlfn.XLOOKUP(Transactions_RAW_cleaned[[#This Row],[ServiceID]],Services_cleaned[ServiceID],Services_cleaned[TransactionFeePct]) * 10000), "Yes", "No")</f>
        <v>Yes</v>
      </c>
      <c r="R2223" s="5" t="str">
        <f>IF(COUNTIFS($C$2:Transactions_RAW_cleaned[[#This Row],[CustomerID]],Transactions_RAW_cleaned[[#This Row],[CustomerID]],$D$2:Transactions_RAW_cleaned[[#This Row],[ServiceID]],Transactions_RAW_cleaned[[#This Row],[ServiceID]])=1,"Yes","No")</f>
        <v>No</v>
      </c>
      <c r="S222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23" t="str">
        <f>"Q"&amp;ROUNDUP(MONTH(Transactions_RAW_cleaned[[#This Row],[TransactionDate]])/3,0)</f>
        <v>Q2</v>
      </c>
      <c r="U2223" t="str">
        <f>Transactions_RAW_cleaned[[#This Row],[Region ]]&amp;Transactions_RAW_cleaned[[#This Row],[Quarter ]]</f>
        <v>NAQ2</v>
      </c>
      <c r="V2223" s="5">
        <f>_xlfn.XLOOKUP(Transactions_RAW_cleaned[[#This Row],[RegionQuarterKey]], Quarterly_Targets_cleaned[RegionQuarterKey], Quarterly_Targets_cleaned[TargetRevenue])</f>
        <v>260000</v>
      </c>
    </row>
    <row r="2224" spans="1:22" x14ac:dyDescent="0.25">
      <c r="A2224" t="s">
        <v>2561</v>
      </c>
      <c r="B2224" s="1">
        <v>45361</v>
      </c>
      <c r="C2224" t="s">
        <v>269</v>
      </c>
      <c r="D2224" t="s">
        <v>294</v>
      </c>
      <c r="E2224">
        <v>393.46</v>
      </c>
      <c r="F2224" t="s">
        <v>381</v>
      </c>
      <c r="G2224" t="s">
        <v>337</v>
      </c>
      <c r="H2224" t="s">
        <v>346</v>
      </c>
      <c r="I2224" t="s">
        <v>17</v>
      </c>
      <c r="J2224" t="s">
        <v>31</v>
      </c>
      <c r="K2224" t="s">
        <v>32</v>
      </c>
      <c r="L2224" t="s">
        <v>295</v>
      </c>
      <c r="M2224" t="s">
        <v>296</v>
      </c>
      <c r="N2224">
        <v>2.9000000000000001E-2</v>
      </c>
      <c r="O2224" t="str">
        <f>IF(Transactions_RAW_cleaned[[#This Row],[Status]]="Completed", IFERROR(_xlfn.XLOOKUP(Transactions_RAW_cleaned[[#This Row],[CustomerID]], Customers_cleaned[CustomerID], Customers_cleaned[Segment]), "Customer Not Found"), "N/A")</f>
        <v>N/A</v>
      </c>
      <c r="P2224" s="5" t="str">
        <f>IF(Transactions_RAW_cleaned[[#This Row],[Status]]="Refunded", "Refund",
  IF(Transactions_RAW_cleaned[[#This Row],[Category]]="Payments", IF(Transactions_RAW_cleaned[[#This Row],[Amount]]&gt;500,"High Value","Standard"),
    IF(Transactions_RAW_cleaned[[#This Row],[Amount]]&gt;250,"High Value","Standard")))</f>
        <v>Standard</v>
      </c>
      <c r="Q2224" s="5" t="str">
        <f>IF(Transactions_RAW_cleaned[[#This Row],[Amount]] &gt; (_xlfn.XLOOKUP(Transactions_RAW_cleaned[[#This Row],[ServiceID]],Services_cleaned[ServiceID],Services_cleaned[TransactionFeePct]) * 10000), "Yes", "No")</f>
        <v>Yes</v>
      </c>
      <c r="R2224" s="5" t="str">
        <f>IF(COUNTIFS($C$2:Transactions_RAW_cleaned[[#This Row],[CustomerID]],Transactions_RAW_cleaned[[#This Row],[CustomerID]],$D$2:Transactions_RAW_cleaned[[#This Row],[ServiceID]],Transactions_RAW_cleaned[[#This Row],[ServiceID]])=1,"Yes","No")</f>
        <v>No</v>
      </c>
      <c r="S222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224" t="str">
        <f>"Q"&amp;ROUNDUP(MONTH(Transactions_RAW_cleaned[[#This Row],[TransactionDate]])/3,0)</f>
        <v>Q1</v>
      </c>
      <c r="U2224" t="str">
        <f>Transactions_RAW_cleaned[[#This Row],[Region ]]&amp;Transactions_RAW_cleaned[[#This Row],[Quarter ]]</f>
        <v>EMEAQ1</v>
      </c>
      <c r="V2224" s="5">
        <f>_xlfn.XLOOKUP(Transactions_RAW_cleaned[[#This Row],[RegionQuarterKey]], Quarterly_Targets_cleaned[RegionQuarterKey], Quarterly_Targets_cleaned[TargetRevenue])</f>
        <v>133000</v>
      </c>
    </row>
    <row r="2225" spans="1:22" x14ac:dyDescent="0.25">
      <c r="A2225" t="s">
        <v>2562</v>
      </c>
      <c r="B2225" s="1">
        <v>45500</v>
      </c>
      <c r="C2225" t="s">
        <v>271</v>
      </c>
      <c r="D2225" t="s">
        <v>306</v>
      </c>
      <c r="E2225">
        <v>858.7</v>
      </c>
      <c r="F2225" t="s">
        <v>324</v>
      </c>
      <c r="G2225" t="s">
        <v>327</v>
      </c>
      <c r="I2225" t="s">
        <v>8</v>
      </c>
      <c r="J2225" t="s">
        <v>102</v>
      </c>
      <c r="K2225" t="s">
        <v>28</v>
      </c>
      <c r="L2225" t="s">
        <v>307</v>
      </c>
      <c r="M2225" t="s">
        <v>308</v>
      </c>
      <c r="N2225">
        <v>0</v>
      </c>
      <c r="O2225" t="str">
        <f>IF(Transactions_RAW_cleaned[[#This Row],[Status]]="Completed", IFERROR(_xlfn.XLOOKUP(Transactions_RAW_cleaned[[#This Row],[CustomerID]], Customers_cleaned[CustomerID], Customers_cleaned[Segment]), "Customer Not Found"), "N/A")</f>
        <v>SMB</v>
      </c>
      <c r="P2225" s="5" t="str">
        <f>IF(Transactions_RAW_cleaned[[#This Row],[Status]]="Refunded", "Refund",
  IF(Transactions_RAW_cleaned[[#This Row],[Category]]="Payments", IF(Transactions_RAW_cleaned[[#This Row],[Amount]]&gt;500,"High Value","Standard"),
    IF(Transactions_RAW_cleaned[[#This Row],[Amount]]&gt;250,"High Value","Standard")))</f>
        <v>High Value</v>
      </c>
      <c r="Q2225" s="5" t="str">
        <f>IF(Transactions_RAW_cleaned[[#This Row],[Amount]] &gt; (_xlfn.XLOOKUP(Transactions_RAW_cleaned[[#This Row],[ServiceID]],Services_cleaned[ServiceID],Services_cleaned[TransactionFeePct]) * 10000), "Yes", "No")</f>
        <v>Yes</v>
      </c>
      <c r="R2225" s="5" t="str">
        <f>IF(COUNTIFS($C$2:Transactions_RAW_cleaned[[#This Row],[CustomerID]],Transactions_RAW_cleaned[[#This Row],[CustomerID]],$D$2:Transactions_RAW_cleaned[[#This Row],[ServiceID]],Transactions_RAW_cleaned[[#This Row],[ServiceID]])=1,"Yes","No")</f>
        <v>Yes</v>
      </c>
      <c r="S222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25" t="str">
        <f>"Q"&amp;ROUNDUP(MONTH(Transactions_RAW_cleaned[[#This Row],[TransactionDate]])/3,0)</f>
        <v>Q3</v>
      </c>
      <c r="U2225" t="str">
        <f>Transactions_RAW_cleaned[[#This Row],[Region ]]&amp;Transactions_RAW_cleaned[[#This Row],[Quarter ]]</f>
        <v>NAQ3</v>
      </c>
      <c r="V2225" s="5">
        <f>_xlfn.XLOOKUP(Transactions_RAW_cleaned[[#This Row],[RegionQuarterKey]], Quarterly_Targets_cleaned[RegionQuarterKey], Quarterly_Targets_cleaned[TargetRevenue])</f>
        <v>273000</v>
      </c>
    </row>
    <row r="2226" spans="1:22" x14ac:dyDescent="0.25">
      <c r="A2226" t="s">
        <v>2563</v>
      </c>
      <c r="B2226" s="1">
        <v>45435</v>
      </c>
      <c r="C2226" t="s">
        <v>227</v>
      </c>
      <c r="D2226" t="s">
        <v>294</v>
      </c>
      <c r="E2226">
        <v>471.61</v>
      </c>
      <c r="F2226" t="s">
        <v>324</v>
      </c>
      <c r="G2226" t="s">
        <v>337</v>
      </c>
      <c r="I2226" t="s">
        <v>57</v>
      </c>
      <c r="J2226" t="s">
        <v>31</v>
      </c>
      <c r="K2226" t="s">
        <v>32</v>
      </c>
      <c r="L2226" t="s">
        <v>295</v>
      </c>
      <c r="M2226" t="s">
        <v>296</v>
      </c>
      <c r="N2226">
        <v>2.9000000000000001E-2</v>
      </c>
      <c r="O2226" t="str">
        <f>IF(Transactions_RAW_cleaned[[#This Row],[Status]]="Completed", IFERROR(_xlfn.XLOOKUP(Transactions_RAW_cleaned[[#This Row],[CustomerID]], Customers_cleaned[CustomerID], Customers_cleaned[Segment]), "Customer Not Found"), "N/A")</f>
        <v>Startup</v>
      </c>
      <c r="P2226" s="5" t="str">
        <f>IF(Transactions_RAW_cleaned[[#This Row],[Status]]="Refunded", "Refund",
  IF(Transactions_RAW_cleaned[[#This Row],[Category]]="Payments", IF(Transactions_RAW_cleaned[[#This Row],[Amount]]&gt;500,"High Value","Standard"),
    IF(Transactions_RAW_cleaned[[#This Row],[Amount]]&gt;250,"High Value","Standard")))</f>
        <v>Standard</v>
      </c>
      <c r="Q2226" s="5" t="str">
        <f>IF(Transactions_RAW_cleaned[[#This Row],[Amount]] &gt; (_xlfn.XLOOKUP(Transactions_RAW_cleaned[[#This Row],[ServiceID]],Services_cleaned[ServiceID],Services_cleaned[TransactionFeePct]) * 10000), "Yes", "No")</f>
        <v>Yes</v>
      </c>
      <c r="R2226" s="5" t="str">
        <f>IF(COUNTIFS($C$2:Transactions_RAW_cleaned[[#This Row],[CustomerID]],Transactions_RAW_cleaned[[#This Row],[CustomerID]],$D$2:Transactions_RAW_cleaned[[#This Row],[ServiceID]],Transactions_RAW_cleaned[[#This Row],[ServiceID]])=1,"Yes","No")</f>
        <v>No</v>
      </c>
      <c r="S222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226" t="str">
        <f>"Q"&amp;ROUNDUP(MONTH(Transactions_RAW_cleaned[[#This Row],[TransactionDate]])/3,0)</f>
        <v>Q2</v>
      </c>
      <c r="U2226" t="str">
        <f>Transactions_RAW_cleaned[[#This Row],[Region ]]&amp;Transactions_RAW_cleaned[[#This Row],[Quarter ]]</f>
        <v>EMEAQ2</v>
      </c>
      <c r="V2226" s="5">
        <f>_xlfn.XLOOKUP(Transactions_RAW_cleaned[[#This Row],[RegionQuarterKey]], Quarterly_Targets_cleaned[RegionQuarterKey], Quarterly_Targets_cleaned[TargetRevenue])</f>
        <v>140000</v>
      </c>
    </row>
    <row r="2227" spans="1:22" x14ac:dyDescent="0.25">
      <c r="A2227" t="s">
        <v>2564</v>
      </c>
      <c r="B2227" s="1">
        <v>45521</v>
      </c>
      <c r="C2227" t="s">
        <v>64</v>
      </c>
      <c r="D2227" t="s">
        <v>309</v>
      </c>
      <c r="E2227">
        <v>555.72</v>
      </c>
      <c r="F2227" t="s">
        <v>324</v>
      </c>
      <c r="G2227" t="s">
        <v>337</v>
      </c>
      <c r="I2227" t="s">
        <v>8</v>
      </c>
      <c r="J2227" t="s">
        <v>37</v>
      </c>
      <c r="K2227" t="s">
        <v>28</v>
      </c>
      <c r="L2227" t="s">
        <v>310</v>
      </c>
      <c r="M2227" t="s">
        <v>311</v>
      </c>
      <c r="N2227">
        <v>0</v>
      </c>
      <c r="O2227" t="str">
        <f>IF(Transactions_RAW_cleaned[[#This Row],[Status]]="Completed", IFERROR(_xlfn.XLOOKUP(Transactions_RAW_cleaned[[#This Row],[CustomerID]], Customers_cleaned[CustomerID], Customers_cleaned[Segment]), "Customer Not Found"), "N/A")</f>
        <v>SMB</v>
      </c>
      <c r="P2227" s="5" t="str">
        <f>IF(Transactions_RAW_cleaned[[#This Row],[Status]]="Refunded", "Refund",
  IF(Transactions_RAW_cleaned[[#This Row],[Category]]="Payments", IF(Transactions_RAW_cleaned[[#This Row],[Amount]]&gt;500,"High Value","Standard"),
    IF(Transactions_RAW_cleaned[[#This Row],[Amount]]&gt;250,"High Value","Standard")))</f>
        <v>High Value</v>
      </c>
      <c r="Q2227" s="5" t="str">
        <f>IF(Transactions_RAW_cleaned[[#This Row],[Amount]] &gt; (_xlfn.XLOOKUP(Transactions_RAW_cleaned[[#This Row],[ServiceID]],Services_cleaned[ServiceID],Services_cleaned[TransactionFeePct]) * 10000), "Yes", "No")</f>
        <v>Yes</v>
      </c>
      <c r="R2227" s="5" t="str">
        <f>IF(COUNTIFS($C$2:Transactions_RAW_cleaned[[#This Row],[CustomerID]],Transactions_RAW_cleaned[[#This Row],[CustomerID]],$D$2:Transactions_RAW_cleaned[[#This Row],[ServiceID]],Transactions_RAW_cleaned[[#This Row],[ServiceID]])=1,"Yes","No")</f>
        <v>Yes</v>
      </c>
      <c r="S222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227" t="str">
        <f>"Q"&amp;ROUNDUP(MONTH(Transactions_RAW_cleaned[[#This Row],[TransactionDate]])/3,0)</f>
        <v>Q3</v>
      </c>
      <c r="U2227" t="str">
        <f>Transactions_RAW_cleaned[[#This Row],[Region ]]&amp;Transactions_RAW_cleaned[[#This Row],[Quarter ]]</f>
        <v>EMEAQ3</v>
      </c>
      <c r="V2227" s="5">
        <f>_xlfn.XLOOKUP(Transactions_RAW_cleaned[[#This Row],[RegionQuarterKey]], Quarterly_Targets_cleaned[RegionQuarterKey], Quarterly_Targets_cleaned[TargetRevenue])</f>
        <v>147000</v>
      </c>
    </row>
    <row r="2228" spans="1:22" x14ac:dyDescent="0.25">
      <c r="A2228" t="s">
        <v>2565</v>
      </c>
      <c r="B2228" s="1">
        <v>45514</v>
      </c>
      <c r="C2228" t="s">
        <v>239</v>
      </c>
      <c r="D2228" t="s">
        <v>309</v>
      </c>
      <c r="E2228">
        <v>490.91</v>
      </c>
      <c r="F2228" t="s">
        <v>324</v>
      </c>
      <c r="G2228" t="s">
        <v>329</v>
      </c>
      <c r="I2228" t="s">
        <v>57</v>
      </c>
      <c r="J2228" t="s">
        <v>102</v>
      </c>
      <c r="K2228" t="s">
        <v>10</v>
      </c>
      <c r="L2228" t="s">
        <v>310</v>
      </c>
      <c r="M2228" t="s">
        <v>311</v>
      </c>
      <c r="N2228">
        <v>0</v>
      </c>
      <c r="O2228" t="str">
        <f>IF(Transactions_RAW_cleaned[[#This Row],[Status]]="Completed", IFERROR(_xlfn.XLOOKUP(Transactions_RAW_cleaned[[#This Row],[CustomerID]], Customers_cleaned[CustomerID], Customers_cleaned[Segment]), "Customer Not Found"), "N/A")</f>
        <v>Startup</v>
      </c>
      <c r="P2228" s="5" t="str">
        <f>IF(Transactions_RAW_cleaned[[#This Row],[Status]]="Refunded", "Refund",
  IF(Transactions_RAW_cleaned[[#This Row],[Category]]="Payments", IF(Transactions_RAW_cleaned[[#This Row],[Amount]]&gt;500,"High Value","Standard"),
    IF(Transactions_RAW_cleaned[[#This Row],[Amount]]&gt;250,"High Value","Standard")))</f>
        <v>High Value</v>
      </c>
      <c r="Q2228" s="5" t="str">
        <f>IF(Transactions_RAW_cleaned[[#This Row],[Amount]] &gt; (_xlfn.XLOOKUP(Transactions_RAW_cleaned[[#This Row],[ServiceID]],Services_cleaned[ServiceID],Services_cleaned[TransactionFeePct]) * 10000), "Yes", "No")</f>
        <v>Yes</v>
      </c>
      <c r="R2228" s="5" t="str">
        <f>IF(COUNTIFS($C$2:Transactions_RAW_cleaned[[#This Row],[CustomerID]],Transactions_RAW_cleaned[[#This Row],[CustomerID]],$D$2:Transactions_RAW_cleaned[[#This Row],[ServiceID]],Transactions_RAW_cleaned[[#This Row],[ServiceID]])=1,"Yes","No")</f>
        <v>No</v>
      </c>
      <c r="S222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28" t="str">
        <f>"Q"&amp;ROUNDUP(MONTH(Transactions_RAW_cleaned[[#This Row],[TransactionDate]])/3,0)</f>
        <v>Q3</v>
      </c>
      <c r="U2228" t="str">
        <f>Transactions_RAW_cleaned[[#This Row],[Region ]]&amp;Transactions_RAW_cleaned[[#This Row],[Quarter ]]</f>
        <v>NAQ3</v>
      </c>
      <c r="V2228" s="5">
        <f>_xlfn.XLOOKUP(Transactions_RAW_cleaned[[#This Row],[RegionQuarterKey]], Quarterly_Targets_cleaned[RegionQuarterKey], Quarterly_Targets_cleaned[TargetRevenue])</f>
        <v>273000</v>
      </c>
    </row>
    <row r="2229" spans="1:22" x14ac:dyDescent="0.25">
      <c r="A2229" t="s">
        <v>2566</v>
      </c>
      <c r="B2229" s="1">
        <v>45315</v>
      </c>
      <c r="C2229" t="s">
        <v>123</v>
      </c>
      <c r="D2229" t="s">
        <v>315</v>
      </c>
      <c r="E2229">
        <v>800.23</v>
      </c>
      <c r="F2229" t="s">
        <v>324</v>
      </c>
      <c r="G2229" t="s">
        <v>327</v>
      </c>
      <c r="I2229" t="s">
        <v>8</v>
      </c>
      <c r="J2229" t="s">
        <v>13</v>
      </c>
      <c r="K2229" t="s">
        <v>32</v>
      </c>
      <c r="L2229" t="s">
        <v>316</v>
      </c>
      <c r="M2229" t="s">
        <v>305</v>
      </c>
      <c r="N2229">
        <v>2.5000000000000001E-3</v>
      </c>
      <c r="O2229" t="str">
        <f>IF(Transactions_RAW_cleaned[[#This Row],[Status]]="Completed", IFERROR(_xlfn.XLOOKUP(Transactions_RAW_cleaned[[#This Row],[CustomerID]], Customers_cleaned[CustomerID], Customers_cleaned[Segment]), "Customer Not Found"), "N/A")</f>
        <v>SMB</v>
      </c>
      <c r="P2229" s="5" t="str">
        <f>IF(Transactions_RAW_cleaned[[#This Row],[Status]]="Refunded", "Refund",
  IF(Transactions_RAW_cleaned[[#This Row],[Category]]="Payments", IF(Transactions_RAW_cleaned[[#This Row],[Amount]]&gt;500,"High Value","Standard"),
    IF(Transactions_RAW_cleaned[[#This Row],[Amount]]&gt;250,"High Value","Standard")))</f>
        <v>High Value</v>
      </c>
      <c r="Q2229" s="5" t="str">
        <f>IF(Transactions_RAW_cleaned[[#This Row],[Amount]] &gt; (_xlfn.XLOOKUP(Transactions_RAW_cleaned[[#This Row],[ServiceID]],Services_cleaned[ServiceID],Services_cleaned[TransactionFeePct]) * 10000), "Yes", "No")</f>
        <v>Yes</v>
      </c>
      <c r="R2229" s="5" t="str">
        <f>IF(COUNTIFS($C$2:Transactions_RAW_cleaned[[#This Row],[CustomerID]],Transactions_RAW_cleaned[[#This Row],[CustomerID]],$D$2:Transactions_RAW_cleaned[[#This Row],[ServiceID]],Transactions_RAW_cleaned[[#This Row],[ServiceID]])=1,"Yes","No")</f>
        <v>No</v>
      </c>
      <c r="S222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29" t="str">
        <f>"Q"&amp;ROUNDUP(MONTH(Transactions_RAW_cleaned[[#This Row],[TransactionDate]])/3,0)</f>
        <v>Q1</v>
      </c>
      <c r="U2229" t="str">
        <f>Transactions_RAW_cleaned[[#This Row],[Region ]]&amp;Transactions_RAW_cleaned[[#This Row],[Quarter ]]</f>
        <v>NAQ1</v>
      </c>
      <c r="V2229" s="5">
        <f>_xlfn.XLOOKUP(Transactions_RAW_cleaned[[#This Row],[RegionQuarterKey]], Quarterly_Targets_cleaned[RegionQuarterKey], Quarterly_Targets_cleaned[TargetRevenue])</f>
        <v>247000</v>
      </c>
    </row>
    <row r="2230" spans="1:22" x14ac:dyDescent="0.25">
      <c r="A2230" t="s">
        <v>2567</v>
      </c>
      <c r="B2230" s="1">
        <v>45492</v>
      </c>
      <c r="C2230" t="s">
        <v>119</v>
      </c>
      <c r="D2230" t="s">
        <v>309</v>
      </c>
      <c r="E2230">
        <v>57.21</v>
      </c>
      <c r="F2230" t="s">
        <v>381</v>
      </c>
      <c r="G2230" t="s">
        <v>325</v>
      </c>
      <c r="I2230" t="s">
        <v>57</v>
      </c>
      <c r="J2230" t="s">
        <v>102</v>
      </c>
      <c r="K2230" t="s">
        <v>18</v>
      </c>
      <c r="L2230" t="s">
        <v>310</v>
      </c>
      <c r="M2230" t="s">
        <v>311</v>
      </c>
      <c r="N2230">
        <v>0</v>
      </c>
      <c r="O2230" t="str">
        <f>IF(Transactions_RAW_cleaned[[#This Row],[Status]]="Completed", IFERROR(_xlfn.XLOOKUP(Transactions_RAW_cleaned[[#This Row],[CustomerID]], Customers_cleaned[CustomerID], Customers_cleaned[Segment]), "Customer Not Found"), "N/A")</f>
        <v>N/A</v>
      </c>
      <c r="P2230" s="5" t="str">
        <f>IF(Transactions_RAW_cleaned[[#This Row],[Status]]="Refunded", "Refund",
  IF(Transactions_RAW_cleaned[[#This Row],[Category]]="Payments", IF(Transactions_RAW_cleaned[[#This Row],[Amount]]&gt;500,"High Value","Standard"),
    IF(Transactions_RAW_cleaned[[#This Row],[Amount]]&gt;250,"High Value","Standard")))</f>
        <v>Standard</v>
      </c>
      <c r="Q2230" s="5" t="str">
        <f>IF(Transactions_RAW_cleaned[[#This Row],[Amount]] &gt; (_xlfn.XLOOKUP(Transactions_RAW_cleaned[[#This Row],[ServiceID]],Services_cleaned[ServiceID],Services_cleaned[TransactionFeePct]) * 10000), "Yes", "No")</f>
        <v>Yes</v>
      </c>
      <c r="R2230" s="5" t="str">
        <f>IF(COUNTIFS($C$2:Transactions_RAW_cleaned[[#This Row],[CustomerID]],Transactions_RAW_cleaned[[#This Row],[CustomerID]],$D$2:Transactions_RAW_cleaned[[#This Row],[ServiceID]],Transactions_RAW_cleaned[[#This Row],[ServiceID]])=1,"Yes","No")</f>
        <v>No</v>
      </c>
      <c r="S223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30" t="str">
        <f>"Q"&amp;ROUNDUP(MONTH(Transactions_RAW_cleaned[[#This Row],[TransactionDate]])/3,0)</f>
        <v>Q3</v>
      </c>
      <c r="U2230" t="str">
        <f>Transactions_RAW_cleaned[[#This Row],[Region ]]&amp;Transactions_RAW_cleaned[[#This Row],[Quarter ]]</f>
        <v>NAQ3</v>
      </c>
      <c r="V2230" s="5">
        <f>_xlfn.XLOOKUP(Transactions_RAW_cleaned[[#This Row],[RegionQuarterKey]], Quarterly_Targets_cleaned[RegionQuarterKey], Quarterly_Targets_cleaned[TargetRevenue])</f>
        <v>273000</v>
      </c>
    </row>
    <row r="2231" spans="1:22" x14ac:dyDescent="0.25">
      <c r="A2231" t="s">
        <v>2568</v>
      </c>
      <c r="B2231" s="1">
        <v>45477</v>
      </c>
      <c r="C2231" t="s">
        <v>53</v>
      </c>
      <c r="D2231" t="s">
        <v>303</v>
      </c>
      <c r="E2231">
        <v>668.93</v>
      </c>
      <c r="F2231" t="s">
        <v>324</v>
      </c>
      <c r="G2231" t="s">
        <v>337</v>
      </c>
      <c r="H2231" t="s">
        <v>334</v>
      </c>
      <c r="I2231" t="s">
        <v>17</v>
      </c>
      <c r="J2231" t="s">
        <v>21</v>
      </c>
      <c r="K2231" t="s">
        <v>28</v>
      </c>
      <c r="L2231" t="s">
        <v>304</v>
      </c>
      <c r="M2231" t="s">
        <v>305</v>
      </c>
      <c r="N2231">
        <v>1E-3</v>
      </c>
      <c r="O2231" t="str">
        <f>IF(Transactions_RAW_cleaned[[#This Row],[Status]]="Completed", IFERROR(_xlfn.XLOOKUP(Transactions_RAW_cleaned[[#This Row],[CustomerID]], Customers_cleaned[CustomerID], Customers_cleaned[Segment]), "Customer Not Found"), "N/A")</f>
        <v>Enterprise</v>
      </c>
      <c r="P2231" s="5" t="str">
        <f>IF(Transactions_RAW_cleaned[[#This Row],[Status]]="Refunded", "Refund",
  IF(Transactions_RAW_cleaned[[#This Row],[Category]]="Payments", IF(Transactions_RAW_cleaned[[#This Row],[Amount]]&gt;500,"High Value","Standard"),
    IF(Transactions_RAW_cleaned[[#This Row],[Amount]]&gt;250,"High Value","Standard")))</f>
        <v>High Value</v>
      </c>
      <c r="Q2231" s="5" t="str">
        <f>IF(Transactions_RAW_cleaned[[#This Row],[Amount]] &gt; (_xlfn.XLOOKUP(Transactions_RAW_cleaned[[#This Row],[ServiceID]],Services_cleaned[ServiceID],Services_cleaned[TransactionFeePct]) * 10000), "Yes", "No")</f>
        <v>Yes</v>
      </c>
      <c r="R2231" s="5" t="str">
        <f>IF(COUNTIFS($C$2:Transactions_RAW_cleaned[[#This Row],[CustomerID]],Transactions_RAW_cleaned[[#This Row],[CustomerID]],$D$2:Transactions_RAW_cleaned[[#This Row],[ServiceID]],Transactions_RAW_cleaned[[#This Row],[ServiceID]])=1,"Yes","No")</f>
        <v>No</v>
      </c>
      <c r="S223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31" t="str">
        <f>"Q"&amp;ROUNDUP(MONTH(Transactions_RAW_cleaned[[#This Row],[TransactionDate]])/3,0)</f>
        <v>Q3</v>
      </c>
      <c r="U2231" t="str">
        <f>Transactions_RAW_cleaned[[#This Row],[Region ]]&amp;Transactions_RAW_cleaned[[#This Row],[Quarter ]]</f>
        <v>APACQ3</v>
      </c>
      <c r="V2231" s="5">
        <f>_xlfn.XLOOKUP(Transactions_RAW_cleaned[[#This Row],[RegionQuarterKey]], Quarterly_Targets_cleaned[RegionQuarterKey], Quarterly_Targets_cleaned[TargetRevenue])</f>
        <v>115500</v>
      </c>
    </row>
    <row r="2232" spans="1:22" x14ac:dyDescent="0.25">
      <c r="A2232" t="s">
        <v>2569</v>
      </c>
      <c r="B2232" s="1">
        <v>45474</v>
      </c>
      <c r="C2232" t="s">
        <v>92</v>
      </c>
      <c r="D2232" t="s">
        <v>294</v>
      </c>
      <c r="E2232">
        <v>81.64</v>
      </c>
      <c r="F2232" t="s">
        <v>324</v>
      </c>
      <c r="G2232" t="s">
        <v>327</v>
      </c>
      <c r="I2232" t="s">
        <v>8</v>
      </c>
      <c r="J2232" t="s">
        <v>102</v>
      </c>
      <c r="K2232" t="s">
        <v>10</v>
      </c>
      <c r="L2232" t="s">
        <v>295</v>
      </c>
      <c r="M2232" t="s">
        <v>296</v>
      </c>
      <c r="N2232">
        <v>2.9000000000000001E-2</v>
      </c>
      <c r="O2232" t="str">
        <f>IF(Transactions_RAW_cleaned[[#This Row],[Status]]="Completed", IFERROR(_xlfn.XLOOKUP(Transactions_RAW_cleaned[[#This Row],[CustomerID]], Customers_cleaned[CustomerID], Customers_cleaned[Segment]), "Customer Not Found"), "N/A")</f>
        <v>SMB</v>
      </c>
      <c r="P2232" s="5" t="str">
        <f>IF(Transactions_RAW_cleaned[[#This Row],[Status]]="Refunded", "Refund",
  IF(Transactions_RAW_cleaned[[#This Row],[Category]]="Payments", IF(Transactions_RAW_cleaned[[#This Row],[Amount]]&gt;500,"High Value","Standard"),
    IF(Transactions_RAW_cleaned[[#This Row],[Amount]]&gt;250,"High Value","Standard")))</f>
        <v>Standard</v>
      </c>
      <c r="Q2232" s="5" t="str">
        <f>IF(Transactions_RAW_cleaned[[#This Row],[Amount]] &gt; (_xlfn.XLOOKUP(Transactions_RAW_cleaned[[#This Row],[ServiceID]],Services_cleaned[ServiceID],Services_cleaned[TransactionFeePct]) * 10000), "Yes", "No")</f>
        <v>No</v>
      </c>
      <c r="R2232" s="5" t="str">
        <f>IF(COUNTIFS($C$2:Transactions_RAW_cleaned[[#This Row],[CustomerID]],Transactions_RAW_cleaned[[#This Row],[CustomerID]],$D$2:Transactions_RAW_cleaned[[#This Row],[ServiceID]],Transactions_RAW_cleaned[[#This Row],[ServiceID]])=1,"Yes","No")</f>
        <v>No</v>
      </c>
      <c r="S223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32" t="str">
        <f>"Q"&amp;ROUNDUP(MONTH(Transactions_RAW_cleaned[[#This Row],[TransactionDate]])/3,0)</f>
        <v>Q3</v>
      </c>
      <c r="U2232" t="str">
        <f>Transactions_RAW_cleaned[[#This Row],[Region ]]&amp;Transactions_RAW_cleaned[[#This Row],[Quarter ]]</f>
        <v>NAQ3</v>
      </c>
      <c r="V2232" s="5">
        <f>_xlfn.XLOOKUP(Transactions_RAW_cleaned[[#This Row],[RegionQuarterKey]], Quarterly_Targets_cleaned[RegionQuarterKey], Quarterly_Targets_cleaned[TargetRevenue])</f>
        <v>273000</v>
      </c>
    </row>
    <row r="2233" spans="1:22" x14ac:dyDescent="0.25">
      <c r="A2233" t="s">
        <v>2570</v>
      </c>
      <c r="B2233" s="1">
        <v>45652</v>
      </c>
      <c r="C2233" t="s">
        <v>74</v>
      </c>
      <c r="D2233" t="s">
        <v>315</v>
      </c>
      <c r="E2233">
        <v>1067.48</v>
      </c>
      <c r="F2233" t="s">
        <v>324</v>
      </c>
      <c r="G2233" t="s">
        <v>327</v>
      </c>
      <c r="H2233" t="s">
        <v>346</v>
      </c>
      <c r="I2233" t="s">
        <v>17</v>
      </c>
      <c r="J2233" t="s">
        <v>46</v>
      </c>
      <c r="K2233" t="s">
        <v>28</v>
      </c>
      <c r="L2233" t="s">
        <v>316</v>
      </c>
      <c r="M2233" t="s">
        <v>305</v>
      </c>
      <c r="N2233">
        <v>2.5000000000000001E-3</v>
      </c>
      <c r="O2233" t="str">
        <f>IF(Transactions_RAW_cleaned[[#This Row],[Status]]="Completed", IFERROR(_xlfn.XLOOKUP(Transactions_RAW_cleaned[[#This Row],[CustomerID]], Customers_cleaned[CustomerID], Customers_cleaned[Segment]), "Customer Not Found"), "N/A")</f>
        <v>Enterprise</v>
      </c>
      <c r="P2233" s="5" t="str">
        <f>IF(Transactions_RAW_cleaned[[#This Row],[Status]]="Refunded", "Refund",
  IF(Transactions_RAW_cleaned[[#This Row],[Category]]="Payments", IF(Transactions_RAW_cleaned[[#This Row],[Amount]]&gt;500,"High Value","Standard"),
    IF(Transactions_RAW_cleaned[[#This Row],[Amount]]&gt;250,"High Value","Standard")))</f>
        <v>High Value</v>
      </c>
      <c r="Q2233" s="5" t="str">
        <f>IF(Transactions_RAW_cleaned[[#This Row],[Amount]] &gt; (_xlfn.XLOOKUP(Transactions_RAW_cleaned[[#This Row],[ServiceID]],Services_cleaned[ServiceID],Services_cleaned[TransactionFeePct]) * 10000), "Yes", "No")</f>
        <v>Yes</v>
      </c>
      <c r="R2233" s="5" t="str">
        <f>IF(COUNTIFS($C$2:Transactions_RAW_cleaned[[#This Row],[CustomerID]],Transactions_RAW_cleaned[[#This Row],[CustomerID]],$D$2:Transactions_RAW_cleaned[[#This Row],[ServiceID]],Transactions_RAW_cleaned[[#This Row],[ServiceID]])=1,"Yes","No")</f>
        <v>No</v>
      </c>
      <c r="S223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33" t="str">
        <f>"Q"&amp;ROUNDUP(MONTH(Transactions_RAW_cleaned[[#This Row],[TransactionDate]])/3,0)</f>
        <v>Q4</v>
      </c>
      <c r="U2233" t="str">
        <f>Transactions_RAW_cleaned[[#This Row],[Region ]]&amp;Transactions_RAW_cleaned[[#This Row],[Quarter ]]</f>
        <v>APACQ4</v>
      </c>
      <c r="V2233" s="5">
        <f>_xlfn.XLOOKUP(Transactions_RAW_cleaned[[#This Row],[RegionQuarterKey]], Quarterly_Targets_cleaned[RegionQuarterKey], Quarterly_Targets_cleaned[TargetRevenue])</f>
        <v>126500</v>
      </c>
    </row>
    <row r="2234" spans="1:22" x14ac:dyDescent="0.25">
      <c r="A2234" t="s">
        <v>2571</v>
      </c>
      <c r="B2234" s="1">
        <v>45452</v>
      </c>
      <c r="C2234" t="s">
        <v>396</v>
      </c>
      <c r="D2234" t="s">
        <v>306</v>
      </c>
      <c r="E2234">
        <v>430.73</v>
      </c>
      <c r="F2234" t="s">
        <v>331</v>
      </c>
      <c r="G2234" t="s">
        <v>325</v>
      </c>
      <c r="H2234" t="s">
        <v>332</v>
      </c>
      <c r="I2234" t="s">
        <v>57</v>
      </c>
      <c r="J2234" t="s">
        <v>21</v>
      </c>
      <c r="K2234" t="s">
        <v>2964</v>
      </c>
      <c r="L2234" t="s">
        <v>307</v>
      </c>
      <c r="M2234" t="s">
        <v>308</v>
      </c>
      <c r="N2234">
        <v>0</v>
      </c>
      <c r="O2234" t="str">
        <f>IF(Transactions_RAW_cleaned[[#This Row],[Status]]="Completed", IFERROR(_xlfn.XLOOKUP(Transactions_RAW_cleaned[[#This Row],[CustomerID]], Customers_cleaned[CustomerID], Customers_cleaned[Segment]), "Customer Not Found"), "N/A")</f>
        <v>N/A</v>
      </c>
      <c r="P2234" s="5" t="str">
        <f>IF(Transactions_RAW_cleaned[[#This Row],[Status]]="Refunded", "Refund",
  IF(Transactions_RAW_cleaned[[#This Row],[Category]]="Payments", IF(Transactions_RAW_cleaned[[#This Row],[Amount]]&gt;500,"High Value","Standard"),
    IF(Transactions_RAW_cleaned[[#This Row],[Amount]]&gt;250,"High Value","Standard")))</f>
        <v>High Value</v>
      </c>
      <c r="Q2234" s="5" t="str">
        <f>IF(Transactions_RAW_cleaned[[#This Row],[Amount]] &gt; (_xlfn.XLOOKUP(Transactions_RAW_cleaned[[#This Row],[ServiceID]],Services_cleaned[ServiceID],Services_cleaned[TransactionFeePct]) * 10000), "Yes", "No")</f>
        <v>Yes</v>
      </c>
      <c r="R2234" s="5" t="str">
        <f>IF(COUNTIFS($C$2:Transactions_RAW_cleaned[[#This Row],[CustomerID]],Transactions_RAW_cleaned[[#This Row],[CustomerID]],$D$2:Transactions_RAW_cleaned[[#This Row],[ServiceID]],Transactions_RAW_cleaned[[#This Row],[ServiceID]])=1,"Yes","No")</f>
        <v>No</v>
      </c>
      <c r="S223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34" t="str">
        <f>"Q"&amp;ROUNDUP(MONTH(Transactions_RAW_cleaned[[#This Row],[TransactionDate]])/3,0)</f>
        <v>Q2</v>
      </c>
      <c r="U2234" t="str">
        <f>Transactions_RAW_cleaned[[#This Row],[Region ]]&amp;Transactions_RAW_cleaned[[#This Row],[Quarter ]]</f>
        <v>APACQ2</v>
      </c>
      <c r="V2234" s="5">
        <f>_xlfn.XLOOKUP(Transactions_RAW_cleaned[[#This Row],[RegionQuarterKey]], Quarterly_Targets_cleaned[RegionQuarterKey], Quarterly_Targets_cleaned[TargetRevenue])</f>
        <v>110000</v>
      </c>
    </row>
    <row r="2235" spans="1:22" x14ac:dyDescent="0.25">
      <c r="A2235" t="s">
        <v>2572</v>
      </c>
      <c r="B2235" s="1">
        <v>45563</v>
      </c>
      <c r="C2235" t="s">
        <v>141</v>
      </c>
      <c r="D2235" t="s">
        <v>294</v>
      </c>
      <c r="E2235">
        <v>-275.48</v>
      </c>
      <c r="F2235" t="s">
        <v>349</v>
      </c>
      <c r="G2235" t="s">
        <v>337</v>
      </c>
      <c r="H2235" t="s">
        <v>332</v>
      </c>
      <c r="I2235" t="s">
        <v>57</v>
      </c>
      <c r="J2235" t="s">
        <v>25</v>
      </c>
      <c r="K2235" t="s">
        <v>10</v>
      </c>
      <c r="L2235" t="s">
        <v>295</v>
      </c>
      <c r="M2235" t="s">
        <v>296</v>
      </c>
      <c r="N2235">
        <v>2.9000000000000001E-2</v>
      </c>
      <c r="O2235" t="str">
        <f>IF(Transactions_RAW_cleaned[[#This Row],[Status]]="Completed", IFERROR(_xlfn.XLOOKUP(Transactions_RAW_cleaned[[#This Row],[CustomerID]], Customers_cleaned[CustomerID], Customers_cleaned[Segment]), "Customer Not Found"), "N/A")</f>
        <v>N/A</v>
      </c>
      <c r="P2235" s="5" t="str">
        <f>IF(Transactions_RAW_cleaned[[#This Row],[Status]]="Refunded", "Refund",
  IF(Transactions_RAW_cleaned[[#This Row],[Category]]="Payments", IF(Transactions_RAW_cleaned[[#This Row],[Amount]]&gt;500,"High Value","Standard"),
    IF(Transactions_RAW_cleaned[[#This Row],[Amount]]&gt;250,"High Value","Standard")))</f>
        <v>Refund</v>
      </c>
      <c r="Q2235" s="5" t="str">
        <f>IF(Transactions_RAW_cleaned[[#This Row],[Amount]] &gt; (_xlfn.XLOOKUP(Transactions_RAW_cleaned[[#This Row],[ServiceID]],Services_cleaned[ServiceID],Services_cleaned[TransactionFeePct]) * 10000), "Yes", "No")</f>
        <v>No</v>
      </c>
      <c r="R2235" s="5" t="str">
        <f>IF(COUNTIFS($C$2:Transactions_RAW_cleaned[[#This Row],[CustomerID]],Transactions_RAW_cleaned[[#This Row],[CustomerID]],$D$2:Transactions_RAW_cleaned[[#This Row],[ServiceID]],Transactions_RAW_cleaned[[#This Row],[ServiceID]])=1,"Yes","No")</f>
        <v>No</v>
      </c>
      <c r="S223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35" t="str">
        <f>"Q"&amp;ROUNDUP(MONTH(Transactions_RAW_cleaned[[#This Row],[TransactionDate]])/3,0)</f>
        <v>Q3</v>
      </c>
      <c r="U2235" t="str">
        <f>Transactions_RAW_cleaned[[#This Row],[Region ]]&amp;Transactions_RAW_cleaned[[#This Row],[Quarter ]]</f>
        <v>APACQ3</v>
      </c>
      <c r="V2235" s="5">
        <f>_xlfn.XLOOKUP(Transactions_RAW_cleaned[[#This Row],[RegionQuarterKey]], Quarterly_Targets_cleaned[RegionQuarterKey], Quarterly_Targets_cleaned[TargetRevenue])</f>
        <v>115500</v>
      </c>
    </row>
    <row r="2236" spans="1:22" x14ac:dyDescent="0.25">
      <c r="A2236" t="s">
        <v>2573</v>
      </c>
      <c r="B2236" s="1">
        <v>45383</v>
      </c>
      <c r="C2236" t="s">
        <v>241</v>
      </c>
      <c r="D2236" t="s">
        <v>306</v>
      </c>
      <c r="E2236">
        <v>441.02</v>
      </c>
      <c r="F2236" t="s">
        <v>324</v>
      </c>
      <c r="G2236" t="s">
        <v>327</v>
      </c>
      <c r="H2236" t="s">
        <v>334</v>
      </c>
      <c r="I2236" t="s">
        <v>8</v>
      </c>
      <c r="J2236" t="s">
        <v>102</v>
      </c>
      <c r="K2236" t="s">
        <v>32</v>
      </c>
      <c r="L2236" t="s">
        <v>307</v>
      </c>
      <c r="M2236" t="s">
        <v>308</v>
      </c>
      <c r="N2236">
        <v>0</v>
      </c>
      <c r="O2236" t="str">
        <f>IF(Transactions_RAW_cleaned[[#This Row],[Status]]="Completed", IFERROR(_xlfn.XLOOKUP(Transactions_RAW_cleaned[[#This Row],[CustomerID]], Customers_cleaned[CustomerID], Customers_cleaned[Segment]), "Customer Not Found"), "N/A")</f>
        <v>SMB</v>
      </c>
      <c r="P2236" s="5" t="str">
        <f>IF(Transactions_RAW_cleaned[[#This Row],[Status]]="Refunded", "Refund",
  IF(Transactions_RAW_cleaned[[#This Row],[Category]]="Payments", IF(Transactions_RAW_cleaned[[#This Row],[Amount]]&gt;500,"High Value","Standard"),
    IF(Transactions_RAW_cleaned[[#This Row],[Amount]]&gt;250,"High Value","Standard")))</f>
        <v>High Value</v>
      </c>
      <c r="Q2236" s="5" t="str">
        <f>IF(Transactions_RAW_cleaned[[#This Row],[Amount]] &gt; (_xlfn.XLOOKUP(Transactions_RAW_cleaned[[#This Row],[ServiceID]],Services_cleaned[ServiceID],Services_cleaned[TransactionFeePct]) * 10000), "Yes", "No")</f>
        <v>Yes</v>
      </c>
      <c r="R2236" s="5" t="str">
        <f>IF(COUNTIFS($C$2:Transactions_RAW_cleaned[[#This Row],[CustomerID]],Transactions_RAW_cleaned[[#This Row],[CustomerID]],$D$2:Transactions_RAW_cleaned[[#This Row],[ServiceID]],Transactions_RAW_cleaned[[#This Row],[ServiceID]])=1,"Yes","No")</f>
        <v>No</v>
      </c>
      <c r="S223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36" t="str">
        <f>"Q"&amp;ROUNDUP(MONTH(Transactions_RAW_cleaned[[#This Row],[TransactionDate]])/3,0)</f>
        <v>Q2</v>
      </c>
      <c r="U2236" t="str">
        <f>Transactions_RAW_cleaned[[#This Row],[Region ]]&amp;Transactions_RAW_cleaned[[#This Row],[Quarter ]]</f>
        <v>NAQ2</v>
      </c>
      <c r="V2236" s="5">
        <f>_xlfn.XLOOKUP(Transactions_RAW_cleaned[[#This Row],[RegionQuarterKey]], Quarterly_Targets_cleaned[RegionQuarterKey], Quarterly_Targets_cleaned[TargetRevenue])</f>
        <v>260000</v>
      </c>
    </row>
    <row r="2237" spans="1:22" x14ac:dyDescent="0.25">
      <c r="A2237" t="s">
        <v>2574</v>
      </c>
      <c r="B2237" s="1">
        <v>45503</v>
      </c>
      <c r="C2237" t="s">
        <v>197</v>
      </c>
      <c r="D2237" t="s">
        <v>315</v>
      </c>
      <c r="E2237">
        <v>209.15</v>
      </c>
      <c r="F2237" t="s">
        <v>324</v>
      </c>
      <c r="G2237" t="s">
        <v>2963</v>
      </c>
      <c r="I2237" t="s">
        <v>8</v>
      </c>
      <c r="J2237" t="s">
        <v>46</v>
      </c>
      <c r="K2237" t="s">
        <v>14</v>
      </c>
      <c r="L2237" t="s">
        <v>316</v>
      </c>
      <c r="M2237" t="s">
        <v>305</v>
      </c>
      <c r="N2237">
        <v>2.5000000000000001E-3</v>
      </c>
      <c r="O2237" t="str">
        <f>IF(Transactions_RAW_cleaned[[#This Row],[Status]]="Completed", IFERROR(_xlfn.XLOOKUP(Transactions_RAW_cleaned[[#This Row],[CustomerID]], Customers_cleaned[CustomerID], Customers_cleaned[Segment]), "Customer Not Found"), "N/A")</f>
        <v>SMB</v>
      </c>
      <c r="P2237" s="5" t="str">
        <f>IF(Transactions_RAW_cleaned[[#This Row],[Status]]="Refunded", "Refund",
  IF(Transactions_RAW_cleaned[[#This Row],[Category]]="Payments", IF(Transactions_RAW_cleaned[[#This Row],[Amount]]&gt;500,"High Value","Standard"),
    IF(Transactions_RAW_cleaned[[#This Row],[Amount]]&gt;250,"High Value","Standard")))</f>
        <v>Standard</v>
      </c>
      <c r="Q2237" s="5" t="str">
        <f>IF(Transactions_RAW_cleaned[[#This Row],[Amount]] &gt; (_xlfn.XLOOKUP(Transactions_RAW_cleaned[[#This Row],[ServiceID]],Services_cleaned[ServiceID],Services_cleaned[TransactionFeePct]) * 10000), "Yes", "No")</f>
        <v>Yes</v>
      </c>
      <c r="R2237" s="5" t="str">
        <f>IF(COUNTIFS($C$2:Transactions_RAW_cleaned[[#This Row],[CustomerID]],Transactions_RAW_cleaned[[#This Row],[CustomerID]],$D$2:Transactions_RAW_cleaned[[#This Row],[ServiceID]],Transactions_RAW_cleaned[[#This Row],[ServiceID]])=1,"Yes","No")</f>
        <v>No</v>
      </c>
      <c r="S223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37" t="str">
        <f>"Q"&amp;ROUNDUP(MONTH(Transactions_RAW_cleaned[[#This Row],[TransactionDate]])/3,0)</f>
        <v>Q3</v>
      </c>
      <c r="U2237" t="str">
        <f>Transactions_RAW_cleaned[[#This Row],[Region ]]&amp;Transactions_RAW_cleaned[[#This Row],[Quarter ]]</f>
        <v>APACQ3</v>
      </c>
      <c r="V2237" s="5">
        <f>_xlfn.XLOOKUP(Transactions_RAW_cleaned[[#This Row],[RegionQuarterKey]], Quarterly_Targets_cleaned[RegionQuarterKey], Quarterly_Targets_cleaned[TargetRevenue])</f>
        <v>115500</v>
      </c>
    </row>
    <row r="2238" spans="1:22" x14ac:dyDescent="0.25">
      <c r="A2238" t="s">
        <v>2575</v>
      </c>
      <c r="B2238" s="1">
        <v>45600</v>
      </c>
      <c r="C2238" t="s">
        <v>253</v>
      </c>
      <c r="D2238" t="s">
        <v>315</v>
      </c>
      <c r="E2238">
        <v>104.96</v>
      </c>
      <c r="F2238" t="s">
        <v>324</v>
      </c>
      <c r="G2238" t="s">
        <v>327</v>
      </c>
      <c r="H2238" t="s">
        <v>332</v>
      </c>
      <c r="I2238" t="s">
        <v>8</v>
      </c>
      <c r="J2238" t="s">
        <v>102</v>
      </c>
      <c r="K2238" t="s">
        <v>28</v>
      </c>
      <c r="L2238" t="s">
        <v>316</v>
      </c>
      <c r="M2238" t="s">
        <v>305</v>
      </c>
      <c r="N2238">
        <v>2.5000000000000001E-3</v>
      </c>
      <c r="O2238" t="str">
        <f>IF(Transactions_RAW_cleaned[[#This Row],[Status]]="Completed", IFERROR(_xlfn.XLOOKUP(Transactions_RAW_cleaned[[#This Row],[CustomerID]], Customers_cleaned[CustomerID], Customers_cleaned[Segment]), "Customer Not Found"), "N/A")</f>
        <v>SMB</v>
      </c>
      <c r="P2238" s="5" t="str">
        <f>IF(Transactions_RAW_cleaned[[#This Row],[Status]]="Refunded", "Refund",
  IF(Transactions_RAW_cleaned[[#This Row],[Category]]="Payments", IF(Transactions_RAW_cleaned[[#This Row],[Amount]]&gt;500,"High Value","Standard"),
    IF(Transactions_RAW_cleaned[[#This Row],[Amount]]&gt;250,"High Value","Standard")))</f>
        <v>Standard</v>
      </c>
      <c r="Q2238" s="5" t="str">
        <f>IF(Transactions_RAW_cleaned[[#This Row],[Amount]] &gt; (_xlfn.XLOOKUP(Transactions_RAW_cleaned[[#This Row],[ServiceID]],Services_cleaned[ServiceID],Services_cleaned[TransactionFeePct]) * 10000), "Yes", "No")</f>
        <v>Yes</v>
      </c>
      <c r="R2238" s="5" t="str">
        <f>IF(COUNTIFS($C$2:Transactions_RAW_cleaned[[#This Row],[CustomerID]],Transactions_RAW_cleaned[[#This Row],[CustomerID]],$D$2:Transactions_RAW_cleaned[[#This Row],[ServiceID]],Transactions_RAW_cleaned[[#This Row],[ServiceID]])=1,"Yes","No")</f>
        <v>Yes</v>
      </c>
      <c r="S223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38" t="str">
        <f>"Q"&amp;ROUNDUP(MONTH(Transactions_RAW_cleaned[[#This Row],[TransactionDate]])/3,0)</f>
        <v>Q4</v>
      </c>
      <c r="U2238" t="str">
        <f>Transactions_RAW_cleaned[[#This Row],[Region ]]&amp;Transactions_RAW_cleaned[[#This Row],[Quarter ]]</f>
        <v>NAQ4</v>
      </c>
      <c r="V2238" s="5">
        <f>_xlfn.XLOOKUP(Transactions_RAW_cleaned[[#This Row],[RegionQuarterKey]], Quarterly_Targets_cleaned[RegionQuarterKey], Quarterly_Targets_cleaned[TargetRevenue])</f>
        <v>299000</v>
      </c>
    </row>
    <row r="2239" spans="1:22" x14ac:dyDescent="0.25">
      <c r="A2239" t="s">
        <v>2576</v>
      </c>
      <c r="B2239" s="1">
        <v>45646</v>
      </c>
      <c r="C2239" t="s">
        <v>263</v>
      </c>
      <c r="D2239" t="s">
        <v>294</v>
      </c>
      <c r="E2239">
        <v>575.82000000000005</v>
      </c>
      <c r="F2239" t="s">
        <v>324</v>
      </c>
      <c r="G2239" t="s">
        <v>329</v>
      </c>
      <c r="I2239" t="s">
        <v>8</v>
      </c>
      <c r="J2239" t="s">
        <v>102</v>
      </c>
      <c r="K2239" t="s">
        <v>32</v>
      </c>
      <c r="L2239" t="s">
        <v>295</v>
      </c>
      <c r="M2239" t="s">
        <v>296</v>
      </c>
      <c r="N2239">
        <v>2.9000000000000001E-2</v>
      </c>
      <c r="O2239" t="str">
        <f>IF(Transactions_RAW_cleaned[[#This Row],[Status]]="Completed", IFERROR(_xlfn.XLOOKUP(Transactions_RAW_cleaned[[#This Row],[CustomerID]], Customers_cleaned[CustomerID], Customers_cleaned[Segment]), "Customer Not Found"), "N/A")</f>
        <v>SMB</v>
      </c>
      <c r="P2239" s="5" t="str">
        <f>IF(Transactions_RAW_cleaned[[#This Row],[Status]]="Refunded", "Refund",
  IF(Transactions_RAW_cleaned[[#This Row],[Category]]="Payments", IF(Transactions_RAW_cleaned[[#This Row],[Amount]]&gt;500,"High Value","Standard"),
    IF(Transactions_RAW_cleaned[[#This Row],[Amount]]&gt;250,"High Value","Standard")))</f>
        <v>High Value</v>
      </c>
      <c r="Q2239" s="5" t="str">
        <f>IF(Transactions_RAW_cleaned[[#This Row],[Amount]] &gt; (_xlfn.XLOOKUP(Transactions_RAW_cleaned[[#This Row],[ServiceID]],Services_cleaned[ServiceID],Services_cleaned[TransactionFeePct]) * 10000), "Yes", "No")</f>
        <v>Yes</v>
      </c>
      <c r="R2239" s="5" t="str">
        <f>IF(COUNTIFS($C$2:Transactions_RAW_cleaned[[#This Row],[CustomerID]],Transactions_RAW_cleaned[[#This Row],[CustomerID]],$D$2:Transactions_RAW_cleaned[[#This Row],[ServiceID]],Transactions_RAW_cleaned[[#This Row],[ServiceID]])=1,"Yes","No")</f>
        <v>No</v>
      </c>
      <c r="S223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39" t="str">
        <f>"Q"&amp;ROUNDUP(MONTH(Transactions_RAW_cleaned[[#This Row],[TransactionDate]])/3,0)</f>
        <v>Q4</v>
      </c>
      <c r="U2239" t="str">
        <f>Transactions_RAW_cleaned[[#This Row],[Region ]]&amp;Transactions_RAW_cleaned[[#This Row],[Quarter ]]</f>
        <v>NAQ4</v>
      </c>
      <c r="V2239" s="5">
        <f>_xlfn.XLOOKUP(Transactions_RAW_cleaned[[#This Row],[RegionQuarterKey]], Quarterly_Targets_cleaned[RegionQuarterKey], Quarterly_Targets_cleaned[TargetRevenue])</f>
        <v>299000</v>
      </c>
    </row>
    <row r="2240" spans="1:22" x14ac:dyDescent="0.25">
      <c r="A2240" t="s">
        <v>2577</v>
      </c>
      <c r="B2240" s="1">
        <v>45342</v>
      </c>
      <c r="C2240" t="s">
        <v>217</v>
      </c>
      <c r="D2240" t="s">
        <v>312</v>
      </c>
      <c r="E2240">
        <v>305.51</v>
      </c>
      <c r="F2240" t="s">
        <v>324</v>
      </c>
      <c r="G2240" t="s">
        <v>337</v>
      </c>
      <c r="H2240" t="s">
        <v>334</v>
      </c>
      <c r="I2240" t="s">
        <v>17</v>
      </c>
      <c r="J2240" t="s">
        <v>102</v>
      </c>
      <c r="K2240" t="s">
        <v>14</v>
      </c>
      <c r="L2240" t="s">
        <v>313</v>
      </c>
      <c r="M2240" t="s">
        <v>314</v>
      </c>
      <c r="N2240">
        <v>0</v>
      </c>
      <c r="O2240" t="str">
        <f>IF(Transactions_RAW_cleaned[[#This Row],[Status]]="Completed", IFERROR(_xlfn.XLOOKUP(Transactions_RAW_cleaned[[#This Row],[CustomerID]], Customers_cleaned[CustomerID], Customers_cleaned[Segment]), "Customer Not Found"), "N/A")</f>
        <v>Enterprise</v>
      </c>
      <c r="P2240" s="5" t="str">
        <f>IF(Transactions_RAW_cleaned[[#This Row],[Status]]="Refunded", "Refund",
  IF(Transactions_RAW_cleaned[[#This Row],[Category]]="Payments", IF(Transactions_RAW_cleaned[[#This Row],[Amount]]&gt;500,"High Value","Standard"),
    IF(Transactions_RAW_cleaned[[#This Row],[Amount]]&gt;250,"High Value","Standard")))</f>
        <v>High Value</v>
      </c>
      <c r="Q2240" s="5" t="str">
        <f>IF(Transactions_RAW_cleaned[[#This Row],[Amount]] &gt; (_xlfn.XLOOKUP(Transactions_RAW_cleaned[[#This Row],[ServiceID]],Services_cleaned[ServiceID],Services_cleaned[TransactionFeePct]) * 10000), "Yes", "No")</f>
        <v>Yes</v>
      </c>
      <c r="R2240" s="5" t="str">
        <f>IF(COUNTIFS($C$2:Transactions_RAW_cleaned[[#This Row],[CustomerID]],Transactions_RAW_cleaned[[#This Row],[CustomerID]],$D$2:Transactions_RAW_cleaned[[#This Row],[ServiceID]],Transactions_RAW_cleaned[[#This Row],[ServiceID]])=1,"Yes","No")</f>
        <v>No</v>
      </c>
      <c r="S224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40" t="str">
        <f>"Q"&amp;ROUNDUP(MONTH(Transactions_RAW_cleaned[[#This Row],[TransactionDate]])/3,0)</f>
        <v>Q1</v>
      </c>
      <c r="U2240" t="str">
        <f>Transactions_RAW_cleaned[[#This Row],[Region ]]&amp;Transactions_RAW_cleaned[[#This Row],[Quarter ]]</f>
        <v>NAQ1</v>
      </c>
      <c r="V2240" s="5">
        <f>_xlfn.XLOOKUP(Transactions_RAW_cleaned[[#This Row],[RegionQuarterKey]], Quarterly_Targets_cleaned[RegionQuarterKey], Quarterly_Targets_cleaned[TargetRevenue])</f>
        <v>247000</v>
      </c>
    </row>
    <row r="2241" spans="1:22" x14ac:dyDescent="0.25">
      <c r="A2241" t="s">
        <v>2578</v>
      </c>
      <c r="B2241" s="1">
        <v>45632</v>
      </c>
      <c r="C2241" t="s">
        <v>199</v>
      </c>
      <c r="D2241" t="s">
        <v>294</v>
      </c>
      <c r="E2241">
        <v>774.9</v>
      </c>
      <c r="F2241" t="s">
        <v>381</v>
      </c>
      <c r="G2241" t="s">
        <v>327</v>
      </c>
      <c r="I2241" t="s">
        <v>8</v>
      </c>
      <c r="J2241" t="s">
        <v>13</v>
      </c>
      <c r="K2241" t="s">
        <v>32</v>
      </c>
      <c r="L2241" t="s">
        <v>295</v>
      </c>
      <c r="M2241" t="s">
        <v>296</v>
      </c>
      <c r="N2241">
        <v>2.9000000000000001E-2</v>
      </c>
      <c r="O2241" t="str">
        <f>IF(Transactions_RAW_cleaned[[#This Row],[Status]]="Completed", IFERROR(_xlfn.XLOOKUP(Transactions_RAW_cleaned[[#This Row],[CustomerID]], Customers_cleaned[CustomerID], Customers_cleaned[Segment]), "Customer Not Found"), "N/A")</f>
        <v>N/A</v>
      </c>
      <c r="P2241" s="5" t="str">
        <f>IF(Transactions_RAW_cleaned[[#This Row],[Status]]="Refunded", "Refund",
  IF(Transactions_RAW_cleaned[[#This Row],[Category]]="Payments", IF(Transactions_RAW_cleaned[[#This Row],[Amount]]&gt;500,"High Value","Standard"),
    IF(Transactions_RAW_cleaned[[#This Row],[Amount]]&gt;250,"High Value","Standard")))</f>
        <v>High Value</v>
      </c>
      <c r="Q2241" s="5" t="str">
        <f>IF(Transactions_RAW_cleaned[[#This Row],[Amount]] &gt; (_xlfn.XLOOKUP(Transactions_RAW_cleaned[[#This Row],[ServiceID]],Services_cleaned[ServiceID],Services_cleaned[TransactionFeePct]) * 10000), "Yes", "No")</f>
        <v>Yes</v>
      </c>
      <c r="R2241" s="5" t="str">
        <f>IF(COUNTIFS($C$2:Transactions_RAW_cleaned[[#This Row],[CustomerID]],Transactions_RAW_cleaned[[#This Row],[CustomerID]],$D$2:Transactions_RAW_cleaned[[#This Row],[ServiceID]],Transactions_RAW_cleaned[[#This Row],[ServiceID]])=1,"Yes","No")</f>
        <v>No</v>
      </c>
      <c r="S224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41" t="str">
        <f>"Q"&amp;ROUNDUP(MONTH(Transactions_RAW_cleaned[[#This Row],[TransactionDate]])/3,0)</f>
        <v>Q4</v>
      </c>
      <c r="U2241" t="str">
        <f>Transactions_RAW_cleaned[[#This Row],[Region ]]&amp;Transactions_RAW_cleaned[[#This Row],[Quarter ]]</f>
        <v>NAQ4</v>
      </c>
      <c r="V2241" s="5">
        <f>_xlfn.XLOOKUP(Transactions_RAW_cleaned[[#This Row],[RegionQuarterKey]], Quarterly_Targets_cleaned[RegionQuarterKey], Quarterly_Targets_cleaned[TargetRevenue])</f>
        <v>299000</v>
      </c>
    </row>
    <row r="2242" spans="1:22" x14ac:dyDescent="0.25">
      <c r="A2242" t="s">
        <v>2579</v>
      </c>
      <c r="B2242" s="1">
        <v>45464</v>
      </c>
      <c r="C2242" t="s">
        <v>217</v>
      </c>
      <c r="D2242" t="s">
        <v>300</v>
      </c>
      <c r="E2242">
        <v>502.61</v>
      </c>
      <c r="F2242" t="s">
        <v>324</v>
      </c>
      <c r="G2242" t="s">
        <v>329</v>
      </c>
      <c r="I2242" t="s">
        <v>17</v>
      </c>
      <c r="J2242" t="s">
        <v>102</v>
      </c>
      <c r="K2242" t="s">
        <v>14</v>
      </c>
      <c r="L2242" t="s">
        <v>301</v>
      </c>
      <c r="M2242" t="s">
        <v>302</v>
      </c>
      <c r="N2242">
        <v>5.0000000000000001E-3</v>
      </c>
      <c r="O2242" t="str">
        <f>IF(Transactions_RAW_cleaned[[#This Row],[Status]]="Completed", IFERROR(_xlfn.XLOOKUP(Transactions_RAW_cleaned[[#This Row],[CustomerID]], Customers_cleaned[CustomerID], Customers_cleaned[Segment]), "Customer Not Found"), "N/A")</f>
        <v>Enterprise</v>
      </c>
      <c r="P2242" s="5" t="str">
        <f>IF(Transactions_RAW_cleaned[[#This Row],[Status]]="Refunded", "Refund",
  IF(Transactions_RAW_cleaned[[#This Row],[Category]]="Payments", IF(Transactions_RAW_cleaned[[#This Row],[Amount]]&gt;500,"High Value","Standard"),
    IF(Transactions_RAW_cleaned[[#This Row],[Amount]]&gt;250,"High Value","Standard")))</f>
        <v>High Value</v>
      </c>
      <c r="Q2242" s="5" t="str">
        <f>IF(Transactions_RAW_cleaned[[#This Row],[Amount]] &gt; (_xlfn.XLOOKUP(Transactions_RAW_cleaned[[#This Row],[ServiceID]],Services_cleaned[ServiceID],Services_cleaned[TransactionFeePct]) * 10000), "Yes", "No")</f>
        <v>Yes</v>
      </c>
      <c r="R2242" s="5" t="str">
        <f>IF(COUNTIFS($C$2:Transactions_RAW_cleaned[[#This Row],[CustomerID]],Transactions_RAW_cleaned[[#This Row],[CustomerID]],$D$2:Transactions_RAW_cleaned[[#This Row],[ServiceID]],Transactions_RAW_cleaned[[#This Row],[ServiceID]])=1,"Yes","No")</f>
        <v>No</v>
      </c>
      <c r="S224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42" t="str">
        <f>"Q"&amp;ROUNDUP(MONTH(Transactions_RAW_cleaned[[#This Row],[TransactionDate]])/3,0)</f>
        <v>Q2</v>
      </c>
      <c r="U2242" t="str">
        <f>Transactions_RAW_cleaned[[#This Row],[Region ]]&amp;Transactions_RAW_cleaned[[#This Row],[Quarter ]]</f>
        <v>NAQ2</v>
      </c>
      <c r="V2242" s="5">
        <f>_xlfn.XLOOKUP(Transactions_RAW_cleaned[[#This Row],[RegionQuarterKey]], Quarterly_Targets_cleaned[RegionQuarterKey], Quarterly_Targets_cleaned[TargetRevenue])</f>
        <v>260000</v>
      </c>
    </row>
    <row r="2243" spans="1:22" x14ac:dyDescent="0.25">
      <c r="A2243" t="s">
        <v>2580</v>
      </c>
      <c r="B2243" s="1">
        <v>45479</v>
      </c>
      <c r="C2243" t="s">
        <v>211</v>
      </c>
      <c r="D2243" t="s">
        <v>315</v>
      </c>
      <c r="E2243">
        <v>663.87</v>
      </c>
      <c r="F2243" t="s">
        <v>324</v>
      </c>
      <c r="G2243" t="s">
        <v>327</v>
      </c>
      <c r="H2243" t="s">
        <v>346</v>
      </c>
      <c r="I2243" t="s">
        <v>8</v>
      </c>
      <c r="J2243" t="s">
        <v>31</v>
      </c>
      <c r="K2243" t="s">
        <v>22</v>
      </c>
      <c r="L2243" t="s">
        <v>316</v>
      </c>
      <c r="M2243" t="s">
        <v>305</v>
      </c>
      <c r="N2243">
        <v>2.5000000000000001E-3</v>
      </c>
      <c r="O2243" t="str">
        <f>IF(Transactions_RAW_cleaned[[#This Row],[Status]]="Completed", IFERROR(_xlfn.XLOOKUP(Transactions_RAW_cleaned[[#This Row],[CustomerID]], Customers_cleaned[CustomerID], Customers_cleaned[Segment]), "Customer Not Found"), "N/A")</f>
        <v>SMB</v>
      </c>
      <c r="P2243" s="5" t="str">
        <f>IF(Transactions_RAW_cleaned[[#This Row],[Status]]="Refunded", "Refund",
  IF(Transactions_RAW_cleaned[[#This Row],[Category]]="Payments", IF(Transactions_RAW_cleaned[[#This Row],[Amount]]&gt;500,"High Value","Standard"),
    IF(Transactions_RAW_cleaned[[#This Row],[Amount]]&gt;250,"High Value","Standard")))</f>
        <v>High Value</v>
      </c>
      <c r="Q2243" s="5" t="str">
        <f>IF(Transactions_RAW_cleaned[[#This Row],[Amount]] &gt; (_xlfn.XLOOKUP(Transactions_RAW_cleaned[[#This Row],[ServiceID]],Services_cleaned[ServiceID],Services_cleaned[TransactionFeePct]) * 10000), "Yes", "No")</f>
        <v>Yes</v>
      </c>
      <c r="R2243" s="5" t="str">
        <f>IF(COUNTIFS($C$2:Transactions_RAW_cleaned[[#This Row],[CustomerID]],Transactions_RAW_cleaned[[#This Row],[CustomerID]],$D$2:Transactions_RAW_cleaned[[#This Row],[ServiceID]],Transactions_RAW_cleaned[[#This Row],[ServiceID]])=1,"Yes","No")</f>
        <v>No</v>
      </c>
      <c r="S224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243" t="str">
        <f>"Q"&amp;ROUNDUP(MONTH(Transactions_RAW_cleaned[[#This Row],[TransactionDate]])/3,0)</f>
        <v>Q3</v>
      </c>
      <c r="U2243" t="str">
        <f>Transactions_RAW_cleaned[[#This Row],[Region ]]&amp;Transactions_RAW_cleaned[[#This Row],[Quarter ]]</f>
        <v>EMEAQ3</v>
      </c>
      <c r="V2243" s="5">
        <f>_xlfn.XLOOKUP(Transactions_RAW_cleaned[[#This Row],[RegionQuarterKey]], Quarterly_Targets_cleaned[RegionQuarterKey], Quarterly_Targets_cleaned[TargetRevenue])</f>
        <v>147000</v>
      </c>
    </row>
    <row r="2244" spans="1:22" x14ac:dyDescent="0.25">
      <c r="A2244" t="s">
        <v>2581</v>
      </c>
      <c r="B2244" s="1">
        <v>45603</v>
      </c>
      <c r="C2244" t="s">
        <v>133</v>
      </c>
      <c r="D2244" t="s">
        <v>297</v>
      </c>
      <c r="E2244">
        <v>248.18</v>
      </c>
      <c r="F2244" t="s">
        <v>381</v>
      </c>
      <c r="G2244" t="s">
        <v>325</v>
      </c>
      <c r="H2244" t="s">
        <v>332</v>
      </c>
      <c r="I2244" t="s">
        <v>17</v>
      </c>
      <c r="J2244" t="s">
        <v>102</v>
      </c>
      <c r="K2244" t="s">
        <v>22</v>
      </c>
      <c r="L2244" t="s">
        <v>298</v>
      </c>
      <c r="M2244" t="s">
        <v>299</v>
      </c>
      <c r="N2244">
        <v>0</v>
      </c>
      <c r="O2244" t="str">
        <f>IF(Transactions_RAW_cleaned[[#This Row],[Status]]="Completed", IFERROR(_xlfn.XLOOKUP(Transactions_RAW_cleaned[[#This Row],[CustomerID]], Customers_cleaned[CustomerID], Customers_cleaned[Segment]), "Customer Not Found"), "N/A")</f>
        <v>N/A</v>
      </c>
      <c r="P2244" s="5" t="str">
        <f>IF(Transactions_RAW_cleaned[[#This Row],[Status]]="Refunded", "Refund",
  IF(Transactions_RAW_cleaned[[#This Row],[Category]]="Payments", IF(Transactions_RAW_cleaned[[#This Row],[Amount]]&gt;500,"High Value","Standard"),
    IF(Transactions_RAW_cleaned[[#This Row],[Amount]]&gt;250,"High Value","Standard")))</f>
        <v>Standard</v>
      </c>
      <c r="Q2244" s="5" t="str">
        <f>IF(Transactions_RAW_cleaned[[#This Row],[Amount]] &gt; (_xlfn.XLOOKUP(Transactions_RAW_cleaned[[#This Row],[ServiceID]],Services_cleaned[ServiceID],Services_cleaned[TransactionFeePct]) * 10000), "Yes", "No")</f>
        <v>Yes</v>
      </c>
      <c r="R2244" s="5" t="str">
        <f>IF(COUNTIFS($C$2:Transactions_RAW_cleaned[[#This Row],[CustomerID]],Transactions_RAW_cleaned[[#This Row],[CustomerID]],$D$2:Transactions_RAW_cleaned[[#This Row],[ServiceID]],Transactions_RAW_cleaned[[#This Row],[ServiceID]])=1,"Yes","No")</f>
        <v>No</v>
      </c>
      <c r="S224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44" t="str">
        <f>"Q"&amp;ROUNDUP(MONTH(Transactions_RAW_cleaned[[#This Row],[TransactionDate]])/3,0)</f>
        <v>Q4</v>
      </c>
      <c r="U2244" t="str">
        <f>Transactions_RAW_cleaned[[#This Row],[Region ]]&amp;Transactions_RAW_cleaned[[#This Row],[Quarter ]]</f>
        <v>NAQ4</v>
      </c>
      <c r="V2244" s="5">
        <f>_xlfn.XLOOKUP(Transactions_RAW_cleaned[[#This Row],[RegionQuarterKey]], Quarterly_Targets_cleaned[RegionQuarterKey], Quarterly_Targets_cleaned[TargetRevenue])</f>
        <v>299000</v>
      </c>
    </row>
    <row r="2245" spans="1:22" x14ac:dyDescent="0.25">
      <c r="A2245" t="s">
        <v>2582</v>
      </c>
      <c r="B2245" s="1">
        <v>45325</v>
      </c>
      <c r="C2245" t="s">
        <v>78</v>
      </c>
      <c r="D2245" t="s">
        <v>306</v>
      </c>
      <c r="E2245">
        <v>308.64</v>
      </c>
      <c r="F2245" t="s">
        <v>324</v>
      </c>
      <c r="G2245" t="s">
        <v>325</v>
      </c>
      <c r="H2245" t="s">
        <v>346</v>
      </c>
      <c r="I2245" t="s">
        <v>17</v>
      </c>
      <c r="J2245" t="s">
        <v>21</v>
      </c>
      <c r="K2245" t="s">
        <v>22</v>
      </c>
      <c r="L2245" t="s">
        <v>307</v>
      </c>
      <c r="M2245" t="s">
        <v>308</v>
      </c>
      <c r="N2245">
        <v>0</v>
      </c>
      <c r="O2245" t="str">
        <f>IF(Transactions_RAW_cleaned[[#This Row],[Status]]="Completed", IFERROR(_xlfn.XLOOKUP(Transactions_RAW_cleaned[[#This Row],[CustomerID]], Customers_cleaned[CustomerID], Customers_cleaned[Segment]), "Customer Not Found"), "N/A")</f>
        <v>Enterprise</v>
      </c>
      <c r="P2245" s="5" t="str">
        <f>IF(Transactions_RAW_cleaned[[#This Row],[Status]]="Refunded", "Refund",
  IF(Transactions_RAW_cleaned[[#This Row],[Category]]="Payments", IF(Transactions_RAW_cleaned[[#This Row],[Amount]]&gt;500,"High Value","Standard"),
    IF(Transactions_RAW_cleaned[[#This Row],[Amount]]&gt;250,"High Value","Standard")))</f>
        <v>High Value</v>
      </c>
      <c r="Q2245" s="5" t="str">
        <f>IF(Transactions_RAW_cleaned[[#This Row],[Amount]] &gt; (_xlfn.XLOOKUP(Transactions_RAW_cleaned[[#This Row],[ServiceID]],Services_cleaned[ServiceID],Services_cleaned[TransactionFeePct]) * 10000), "Yes", "No")</f>
        <v>Yes</v>
      </c>
      <c r="R2245" s="5" t="str">
        <f>IF(COUNTIFS($C$2:Transactions_RAW_cleaned[[#This Row],[CustomerID]],Transactions_RAW_cleaned[[#This Row],[CustomerID]],$D$2:Transactions_RAW_cleaned[[#This Row],[ServiceID]],Transactions_RAW_cleaned[[#This Row],[ServiceID]])=1,"Yes","No")</f>
        <v>Yes</v>
      </c>
      <c r="S224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45" t="str">
        <f>"Q"&amp;ROUNDUP(MONTH(Transactions_RAW_cleaned[[#This Row],[TransactionDate]])/3,0)</f>
        <v>Q1</v>
      </c>
      <c r="U2245" t="str">
        <f>Transactions_RAW_cleaned[[#This Row],[Region ]]&amp;Transactions_RAW_cleaned[[#This Row],[Quarter ]]</f>
        <v>APACQ1</v>
      </c>
      <c r="V2245" s="5">
        <f>_xlfn.XLOOKUP(Transactions_RAW_cleaned[[#This Row],[RegionQuarterKey]], Quarterly_Targets_cleaned[RegionQuarterKey], Quarterly_Targets_cleaned[TargetRevenue])</f>
        <v>104500</v>
      </c>
    </row>
    <row r="2246" spans="1:22" x14ac:dyDescent="0.25">
      <c r="A2246" t="s">
        <v>2583</v>
      </c>
      <c r="B2246" s="1">
        <v>45655</v>
      </c>
      <c r="C2246" t="s">
        <v>181</v>
      </c>
      <c r="D2246" t="s">
        <v>306</v>
      </c>
      <c r="E2246">
        <v>441.05</v>
      </c>
      <c r="F2246" t="s">
        <v>324</v>
      </c>
      <c r="G2246" t="s">
        <v>325</v>
      </c>
      <c r="H2246" t="s">
        <v>346</v>
      </c>
      <c r="I2246" t="s">
        <v>17</v>
      </c>
      <c r="J2246" t="s">
        <v>21</v>
      </c>
      <c r="K2246" t="s">
        <v>10</v>
      </c>
      <c r="L2246" t="s">
        <v>307</v>
      </c>
      <c r="M2246" t="s">
        <v>308</v>
      </c>
      <c r="N2246">
        <v>0</v>
      </c>
      <c r="O2246" t="str">
        <f>IF(Transactions_RAW_cleaned[[#This Row],[Status]]="Completed", IFERROR(_xlfn.XLOOKUP(Transactions_RAW_cleaned[[#This Row],[CustomerID]], Customers_cleaned[CustomerID], Customers_cleaned[Segment]), "Customer Not Found"), "N/A")</f>
        <v>Enterprise</v>
      </c>
      <c r="P2246" s="5" t="str">
        <f>IF(Transactions_RAW_cleaned[[#This Row],[Status]]="Refunded", "Refund",
  IF(Transactions_RAW_cleaned[[#This Row],[Category]]="Payments", IF(Transactions_RAW_cleaned[[#This Row],[Amount]]&gt;500,"High Value","Standard"),
    IF(Transactions_RAW_cleaned[[#This Row],[Amount]]&gt;250,"High Value","Standard")))</f>
        <v>High Value</v>
      </c>
      <c r="Q2246" s="5" t="str">
        <f>IF(Transactions_RAW_cleaned[[#This Row],[Amount]] &gt; (_xlfn.XLOOKUP(Transactions_RAW_cleaned[[#This Row],[ServiceID]],Services_cleaned[ServiceID],Services_cleaned[TransactionFeePct]) * 10000), "Yes", "No")</f>
        <v>Yes</v>
      </c>
      <c r="R2246" s="5" t="str">
        <f>IF(COUNTIFS($C$2:Transactions_RAW_cleaned[[#This Row],[CustomerID]],Transactions_RAW_cleaned[[#This Row],[CustomerID]],$D$2:Transactions_RAW_cleaned[[#This Row],[ServiceID]],Transactions_RAW_cleaned[[#This Row],[ServiceID]])=1,"Yes","No")</f>
        <v>No</v>
      </c>
      <c r="S224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46" t="str">
        <f>"Q"&amp;ROUNDUP(MONTH(Transactions_RAW_cleaned[[#This Row],[TransactionDate]])/3,0)</f>
        <v>Q4</v>
      </c>
      <c r="U2246" t="str">
        <f>Transactions_RAW_cleaned[[#This Row],[Region ]]&amp;Transactions_RAW_cleaned[[#This Row],[Quarter ]]</f>
        <v>APACQ4</v>
      </c>
      <c r="V2246" s="5">
        <f>_xlfn.XLOOKUP(Transactions_RAW_cleaned[[#This Row],[RegionQuarterKey]], Quarterly_Targets_cleaned[RegionQuarterKey], Quarterly_Targets_cleaned[TargetRevenue])</f>
        <v>126500</v>
      </c>
    </row>
    <row r="2247" spans="1:22" x14ac:dyDescent="0.25">
      <c r="A2247" t="s">
        <v>2584</v>
      </c>
      <c r="B2247" s="1">
        <v>45445</v>
      </c>
      <c r="C2247" t="s">
        <v>15</v>
      </c>
      <c r="D2247" t="s">
        <v>306</v>
      </c>
      <c r="E2247">
        <v>495.74</v>
      </c>
      <c r="F2247" t="s">
        <v>324</v>
      </c>
      <c r="G2247" t="s">
        <v>327</v>
      </c>
      <c r="H2247" t="s">
        <v>332</v>
      </c>
      <c r="I2247" t="s">
        <v>17</v>
      </c>
      <c r="J2247" t="s">
        <v>102</v>
      </c>
      <c r="K2247" t="s">
        <v>18</v>
      </c>
      <c r="L2247" t="s">
        <v>307</v>
      </c>
      <c r="M2247" t="s">
        <v>308</v>
      </c>
      <c r="N2247">
        <v>0</v>
      </c>
      <c r="O2247" t="str">
        <f>IF(Transactions_RAW_cleaned[[#This Row],[Status]]="Completed", IFERROR(_xlfn.XLOOKUP(Transactions_RAW_cleaned[[#This Row],[CustomerID]], Customers_cleaned[CustomerID], Customers_cleaned[Segment]), "Customer Not Found"), "N/A")</f>
        <v>Enterprise</v>
      </c>
      <c r="P2247" s="5" t="str">
        <f>IF(Transactions_RAW_cleaned[[#This Row],[Status]]="Refunded", "Refund",
  IF(Transactions_RAW_cleaned[[#This Row],[Category]]="Payments", IF(Transactions_RAW_cleaned[[#This Row],[Amount]]&gt;500,"High Value","Standard"),
    IF(Transactions_RAW_cleaned[[#This Row],[Amount]]&gt;250,"High Value","Standard")))</f>
        <v>High Value</v>
      </c>
      <c r="Q2247" s="5" t="str">
        <f>IF(Transactions_RAW_cleaned[[#This Row],[Amount]] &gt; (_xlfn.XLOOKUP(Transactions_RAW_cleaned[[#This Row],[ServiceID]],Services_cleaned[ServiceID],Services_cleaned[TransactionFeePct]) * 10000), "Yes", "No")</f>
        <v>Yes</v>
      </c>
      <c r="R2247" s="5" t="str">
        <f>IF(COUNTIFS($C$2:Transactions_RAW_cleaned[[#This Row],[CustomerID]],Transactions_RAW_cleaned[[#This Row],[CustomerID]],$D$2:Transactions_RAW_cleaned[[#This Row],[ServiceID]],Transactions_RAW_cleaned[[#This Row],[ServiceID]])=1,"Yes","No")</f>
        <v>No</v>
      </c>
      <c r="S224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47" t="str">
        <f>"Q"&amp;ROUNDUP(MONTH(Transactions_RAW_cleaned[[#This Row],[TransactionDate]])/3,0)</f>
        <v>Q2</v>
      </c>
      <c r="U2247" t="str">
        <f>Transactions_RAW_cleaned[[#This Row],[Region ]]&amp;Transactions_RAW_cleaned[[#This Row],[Quarter ]]</f>
        <v>NAQ2</v>
      </c>
      <c r="V2247" s="5">
        <f>_xlfn.XLOOKUP(Transactions_RAW_cleaned[[#This Row],[RegionQuarterKey]], Quarterly_Targets_cleaned[RegionQuarterKey], Quarterly_Targets_cleaned[TargetRevenue])</f>
        <v>260000</v>
      </c>
    </row>
    <row r="2248" spans="1:22" x14ac:dyDescent="0.25">
      <c r="A2248" t="s">
        <v>2585</v>
      </c>
      <c r="B2248" s="1">
        <v>45657</v>
      </c>
      <c r="C2248" t="s">
        <v>42</v>
      </c>
      <c r="D2248" t="s">
        <v>294</v>
      </c>
      <c r="E2248">
        <v>741.14</v>
      </c>
      <c r="F2248" t="s">
        <v>324</v>
      </c>
      <c r="G2248" t="s">
        <v>327</v>
      </c>
      <c r="H2248" t="s">
        <v>332</v>
      </c>
      <c r="I2248" t="s">
        <v>8</v>
      </c>
      <c r="J2248" t="s">
        <v>102</v>
      </c>
      <c r="K2248" t="s">
        <v>10</v>
      </c>
      <c r="L2248" t="s">
        <v>295</v>
      </c>
      <c r="M2248" t="s">
        <v>296</v>
      </c>
      <c r="N2248">
        <v>2.9000000000000001E-2</v>
      </c>
      <c r="O2248" t="str">
        <f>IF(Transactions_RAW_cleaned[[#This Row],[Status]]="Completed", IFERROR(_xlfn.XLOOKUP(Transactions_RAW_cleaned[[#This Row],[CustomerID]], Customers_cleaned[CustomerID], Customers_cleaned[Segment]), "Customer Not Found"), "N/A")</f>
        <v>SMB</v>
      </c>
      <c r="P2248" s="5" t="str">
        <f>IF(Transactions_RAW_cleaned[[#This Row],[Status]]="Refunded", "Refund",
  IF(Transactions_RAW_cleaned[[#This Row],[Category]]="Payments", IF(Transactions_RAW_cleaned[[#This Row],[Amount]]&gt;500,"High Value","Standard"),
    IF(Transactions_RAW_cleaned[[#This Row],[Amount]]&gt;250,"High Value","Standard")))</f>
        <v>High Value</v>
      </c>
      <c r="Q2248" s="5" t="str">
        <f>IF(Transactions_RAW_cleaned[[#This Row],[Amount]] &gt; (_xlfn.XLOOKUP(Transactions_RAW_cleaned[[#This Row],[ServiceID]],Services_cleaned[ServiceID],Services_cleaned[TransactionFeePct]) * 10000), "Yes", "No")</f>
        <v>Yes</v>
      </c>
      <c r="R2248" s="5" t="str">
        <f>IF(COUNTIFS($C$2:Transactions_RAW_cleaned[[#This Row],[CustomerID]],Transactions_RAW_cleaned[[#This Row],[CustomerID]],$D$2:Transactions_RAW_cleaned[[#This Row],[ServiceID]],Transactions_RAW_cleaned[[#This Row],[ServiceID]])=1,"Yes","No")</f>
        <v>No</v>
      </c>
      <c r="S224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48" t="str">
        <f>"Q"&amp;ROUNDUP(MONTH(Transactions_RAW_cleaned[[#This Row],[TransactionDate]])/3,0)</f>
        <v>Q4</v>
      </c>
      <c r="U2248" t="str">
        <f>Transactions_RAW_cleaned[[#This Row],[Region ]]&amp;Transactions_RAW_cleaned[[#This Row],[Quarter ]]</f>
        <v>NAQ4</v>
      </c>
      <c r="V2248" s="5">
        <f>_xlfn.XLOOKUP(Transactions_RAW_cleaned[[#This Row],[RegionQuarterKey]], Quarterly_Targets_cleaned[RegionQuarterKey], Quarterly_Targets_cleaned[TargetRevenue])</f>
        <v>299000</v>
      </c>
    </row>
    <row r="2249" spans="1:22" x14ac:dyDescent="0.25">
      <c r="A2249" t="s">
        <v>2586</v>
      </c>
      <c r="B2249" s="1">
        <v>45414</v>
      </c>
      <c r="C2249" t="s">
        <v>241</v>
      </c>
      <c r="D2249" t="s">
        <v>306</v>
      </c>
      <c r="E2249">
        <v>579.4</v>
      </c>
      <c r="F2249" t="s">
        <v>324</v>
      </c>
      <c r="G2249" t="s">
        <v>327</v>
      </c>
      <c r="H2249" t="s">
        <v>346</v>
      </c>
      <c r="I2249" t="s">
        <v>8</v>
      </c>
      <c r="J2249" t="s">
        <v>102</v>
      </c>
      <c r="K2249" t="s">
        <v>32</v>
      </c>
      <c r="L2249" t="s">
        <v>307</v>
      </c>
      <c r="M2249" t="s">
        <v>308</v>
      </c>
      <c r="N2249">
        <v>0</v>
      </c>
      <c r="O2249" t="str">
        <f>IF(Transactions_RAW_cleaned[[#This Row],[Status]]="Completed", IFERROR(_xlfn.XLOOKUP(Transactions_RAW_cleaned[[#This Row],[CustomerID]], Customers_cleaned[CustomerID], Customers_cleaned[Segment]), "Customer Not Found"), "N/A")</f>
        <v>SMB</v>
      </c>
      <c r="P2249" s="5" t="str">
        <f>IF(Transactions_RAW_cleaned[[#This Row],[Status]]="Refunded", "Refund",
  IF(Transactions_RAW_cleaned[[#This Row],[Category]]="Payments", IF(Transactions_RAW_cleaned[[#This Row],[Amount]]&gt;500,"High Value","Standard"),
    IF(Transactions_RAW_cleaned[[#This Row],[Amount]]&gt;250,"High Value","Standard")))</f>
        <v>High Value</v>
      </c>
      <c r="Q2249" s="5" t="str">
        <f>IF(Transactions_RAW_cleaned[[#This Row],[Amount]] &gt; (_xlfn.XLOOKUP(Transactions_RAW_cleaned[[#This Row],[ServiceID]],Services_cleaned[ServiceID],Services_cleaned[TransactionFeePct]) * 10000), "Yes", "No")</f>
        <v>Yes</v>
      </c>
      <c r="R2249" s="5" t="str">
        <f>IF(COUNTIFS($C$2:Transactions_RAW_cleaned[[#This Row],[CustomerID]],Transactions_RAW_cleaned[[#This Row],[CustomerID]],$D$2:Transactions_RAW_cleaned[[#This Row],[ServiceID]],Transactions_RAW_cleaned[[#This Row],[ServiceID]])=1,"Yes","No")</f>
        <v>No</v>
      </c>
      <c r="S224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49" t="str">
        <f>"Q"&amp;ROUNDUP(MONTH(Transactions_RAW_cleaned[[#This Row],[TransactionDate]])/3,0)</f>
        <v>Q2</v>
      </c>
      <c r="U2249" t="str">
        <f>Transactions_RAW_cleaned[[#This Row],[Region ]]&amp;Transactions_RAW_cleaned[[#This Row],[Quarter ]]</f>
        <v>NAQ2</v>
      </c>
      <c r="V2249" s="5">
        <f>_xlfn.XLOOKUP(Transactions_RAW_cleaned[[#This Row],[RegionQuarterKey]], Quarterly_Targets_cleaned[RegionQuarterKey], Quarterly_Targets_cleaned[TargetRevenue])</f>
        <v>260000</v>
      </c>
    </row>
    <row r="2250" spans="1:22" x14ac:dyDescent="0.25">
      <c r="A2250" t="s">
        <v>2587</v>
      </c>
      <c r="B2250" s="1">
        <v>45399</v>
      </c>
      <c r="C2250" t="s">
        <v>189</v>
      </c>
      <c r="D2250" t="s">
        <v>294</v>
      </c>
      <c r="E2250">
        <v>879.47</v>
      </c>
      <c r="F2250" t="s">
        <v>381</v>
      </c>
      <c r="G2250" t="s">
        <v>325</v>
      </c>
      <c r="H2250" t="s">
        <v>334</v>
      </c>
      <c r="I2250" t="s">
        <v>17</v>
      </c>
      <c r="J2250" t="s">
        <v>102</v>
      </c>
      <c r="K2250" t="s">
        <v>14</v>
      </c>
      <c r="L2250" t="s">
        <v>295</v>
      </c>
      <c r="M2250" t="s">
        <v>296</v>
      </c>
      <c r="N2250">
        <v>2.9000000000000001E-2</v>
      </c>
      <c r="O2250" t="str">
        <f>IF(Transactions_RAW_cleaned[[#This Row],[Status]]="Completed", IFERROR(_xlfn.XLOOKUP(Transactions_RAW_cleaned[[#This Row],[CustomerID]], Customers_cleaned[CustomerID], Customers_cleaned[Segment]), "Customer Not Found"), "N/A")</f>
        <v>N/A</v>
      </c>
      <c r="P2250" s="5" t="str">
        <f>IF(Transactions_RAW_cleaned[[#This Row],[Status]]="Refunded", "Refund",
  IF(Transactions_RAW_cleaned[[#This Row],[Category]]="Payments", IF(Transactions_RAW_cleaned[[#This Row],[Amount]]&gt;500,"High Value","Standard"),
    IF(Transactions_RAW_cleaned[[#This Row],[Amount]]&gt;250,"High Value","Standard")))</f>
        <v>High Value</v>
      </c>
      <c r="Q2250" s="5" t="str">
        <f>IF(Transactions_RAW_cleaned[[#This Row],[Amount]] &gt; (_xlfn.XLOOKUP(Transactions_RAW_cleaned[[#This Row],[ServiceID]],Services_cleaned[ServiceID],Services_cleaned[TransactionFeePct]) * 10000), "Yes", "No")</f>
        <v>Yes</v>
      </c>
      <c r="R2250" s="5" t="str">
        <f>IF(COUNTIFS($C$2:Transactions_RAW_cleaned[[#This Row],[CustomerID]],Transactions_RAW_cleaned[[#This Row],[CustomerID]],$D$2:Transactions_RAW_cleaned[[#This Row],[ServiceID]],Transactions_RAW_cleaned[[#This Row],[ServiceID]])=1,"Yes","No")</f>
        <v>No</v>
      </c>
      <c r="S225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50" t="str">
        <f>"Q"&amp;ROUNDUP(MONTH(Transactions_RAW_cleaned[[#This Row],[TransactionDate]])/3,0)</f>
        <v>Q2</v>
      </c>
      <c r="U2250" t="str">
        <f>Transactions_RAW_cleaned[[#This Row],[Region ]]&amp;Transactions_RAW_cleaned[[#This Row],[Quarter ]]</f>
        <v>NAQ2</v>
      </c>
      <c r="V2250" s="5">
        <f>_xlfn.XLOOKUP(Transactions_RAW_cleaned[[#This Row],[RegionQuarterKey]], Quarterly_Targets_cleaned[RegionQuarterKey], Quarterly_Targets_cleaned[TargetRevenue])</f>
        <v>260000</v>
      </c>
    </row>
    <row r="2251" spans="1:22" x14ac:dyDescent="0.25">
      <c r="A2251" t="s">
        <v>2588</v>
      </c>
      <c r="B2251" s="1">
        <v>45513</v>
      </c>
      <c r="C2251" t="s">
        <v>396</v>
      </c>
      <c r="D2251" t="s">
        <v>294</v>
      </c>
      <c r="E2251">
        <v>436.24</v>
      </c>
      <c r="F2251" t="s">
        <v>381</v>
      </c>
      <c r="G2251" t="s">
        <v>325</v>
      </c>
      <c r="H2251" t="s">
        <v>334</v>
      </c>
      <c r="I2251" t="s">
        <v>57</v>
      </c>
      <c r="J2251" t="s">
        <v>21</v>
      </c>
      <c r="K2251" t="s">
        <v>2964</v>
      </c>
      <c r="L2251" t="s">
        <v>295</v>
      </c>
      <c r="M2251" t="s">
        <v>296</v>
      </c>
      <c r="N2251">
        <v>2.9000000000000001E-2</v>
      </c>
      <c r="O2251" t="str">
        <f>IF(Transactions_RAW_cleaned[[#This Row],[Status]]="Completed", IFERROR(_xlfn.XLOOKUP(Transactions_RAW_cleaned[[#This Row],[CustomerID]], Customers_cleaned[CustomerID], Customers_cleaned[Segment]), "Customer Not Found"), "N/A")</f>
        <v>N/A</v>
      </c>
      <c r="P2251" s="5" t="str">
        <f>IF(Transactions_RAW_cleaned[[#This Row],[Status]]="Refunded", "Refund",
  IF(Transactions_RAW_cleaned[[#This Row],[Category]]="Payments", IF(Transactions_RAW_cleaned[[#This Row],[Amount]]&gt;500,"High Value","Standard"),
    IF(Transactions_RAW_cleaned[[#This Row],[Amount]]&gt;250,"High Value","Standard")))</f>
        <v>Standard</v>
      </c>
      <c r="Q2251" s="5" t="str">
        <f>IF(Transactions_RAW_cleaned[[#This Row],[Amount]] &gt; (_xlfn.XLOOKUP(Transactions_RAW_cleaned[[#This Row],[ServiceID]],Services_cleaned[ServiceID],Services_cleaned[TransactionFeePct]) * 10000), "Yes", "No")</f>
        <v>Yes</v>
      </c>
      <c r="R2251" s="5" t="str">
        <f>IF(COUNTIFS($C$2:Transactions_RAW_cleaned[[#This Row],[CustomerID]],Transactions_RAW_cleaned[[#This Row],[CustomerID]],$D$2:Transactions_RAW_cleaned[[#This Row],[ServiceID]],Transactions_RAW_cleaned[[#This Row],[ServiceID]])=1,"Yes","No")</f>
        <v>No</v>
      </c>
      <c r="S225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51" t="str">
        <f>"Q"&amp;ROUNDUP(MONTH(Transactions_RAW_cleaned[[#This Row],[TransactionDate]])/3,0)</f>
        <v>Q3</v>
      </c>
      <c r="U2251" t="str">
        <f>Transactions_RAW_cleaned[[#This Row],[Region ]]&amp;Transactions_RAW_cleaned[[#This Row],[Quarter ]]</f>
        <v>APACQ3</v>
      </c>
      <c r="V2251" s="5">
        <f>_xlfn.XLOOKUP(Transactions_RAW_cleaned[[#This Row],[RegionQuarterKey]], Quarterly_Targets_cleaned[RegionQuarterKey], Quarterly_Targets_cleaned[TargetRevenue])</f>
        <v>115500</v>
      </c>
    </row>
    <row r="2252" spans="1:22" x14ac:dyDescent="0.25">
      <c r="A2252" t="s">
        <v>2589</v>
      </c>
      <c r="B2252" s="1">
        <v>45417</v>
      </c>
      <c r="C2252" t="s">
        <v>84</v>
      </c>
      <c r="D2252" t="s">
        <v>315</v>
      </c>
      <c r="E2252">
        <v>817.75</v>
      </c>
      <c r="F2252" t="s">
        <v>324</v>
      </c>
      <c r="G2252" t="s">
        <v>327</v>
      </c>
      <c r="I2252" t="s">
        <v>8</v>
      </c>
      <c r="J2252" t="s">
        <v>46</v>
      </c>
      <c r="K2252" t="s">
        <v>28</v>
      </c>
      <c r="L2252" t="s">
        <v>316</v>
      </c>
      <c r="M2252" t="s">
        <v>305</v>
      </c>
      <c r="N2252">
        <v>2.5000000000000001E-3</v>
      </c>
      <c r="O2252" t="str">
        <f>IF(Transactions_RAW_cleaned[[#This Row],[Status]]="Completed", IFERROR(_xlfn.XLOOKUP(Transactions_RAW_cleaned[[#This Row],[CustomerID]], Customers_cleaned[CustomerID], Customers_cleaned[Segment]), "Customer Not Found"), "N/A")</f>
        <v>SMB</v>
      </c>
      <c r="P2252" s="5" t="str">
        <f>IF(Transactions_RAW_cleaned[[#This Row],[Status]]="Refunded", "Refund",
  IF(Transactions_RAW_cleaned[[#This Row],[Category]]="Payments", IF(Transactions_RAW_cleaned[[#This Row],[Amount]]&gt;500,"High Value","Standard"),
    IF(Transactions_RAW_cleaned[[#This Row],[Amount]]&gt;250,"High Value","Standard")))</f>
        <v>High Value</v>
      </c>
      <c r="Q2252" s="5" t="str">
        <f>IF(Transactions_RAW_cleaned[[#This Row],[Amount]] &gt; (_xlfn.XLOOKUP(Transactions_RAW_cleaned[[#This Row],[ServiceID]],Services_cleaned[ServiceID],Services_cleaned[TransactionFeePct]) * 10000), "Yes", "No")</f>
        <v>Yes</v>
      </c>
      <c r="R2252" s="5" t="str">
        <f>IF(COUNTIFS($C$2:Transactions_RAW_cleaned[[#This Row],[CustomerID]],Transactions_RAW_cleaned[[#This Row],[CustomerID]],$D$2:Transactions_RAW_cleaned[[#This Row],[ServiceID]],Transactions_RAW_cleaned[[#This Row],[ServiceID]])=1,"Yes","No")</f>
        <v>Yes</v>
      </c>
      <c r="S225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52" t="str">
        <f>"Q"&amp;ROUNDUP(MONTH(Transactions_RAW_cleaned[[#This Row],[TransactionDate]])/3,0)</f>
        <v>Q2</v>
      </c>
      <c r="U2252" t="str">
        <f>Transactions_RAW_cleaned[[#This Row],[Region ]]&amp;Transactions_RAW_cleaned[[#This Row],[Quarter ]]</f>
        <v>APACQ2</v>
      </c>
      <c r="V2252" s="5">
        <f>_xlfn.XLOOKUP(Transactions_RAW_cleaned[[#This Row],[RegionQuarterKey]], Quarterly_Targets_cleaned[RegionQuarterKey], Quarterly_Targets_cleaned[TargetRevenue])</f>
        <v>110000</v>
      </c>
    </row>
    <row r="2253" spans="1:22" x14ac:dyDescent="0.25">
      <c r="A2253" t="s">
        <v>2590</v>
      </c>
      <c r="B2253" s="1">
        <v>45653</v>
      </c>
      <c r="C2253" t="s">
        <v>175</v>
      </c>
      <c r="D2253" t="s">
        <v>294</v>
      </c>
      <c r="E2253">
        <v>238.48</v>
      </c>
      <c r="F2253" t="s">
        <v>381</v>
      </c>
      <c r="G2253" t="s">
        <v>337</v>
      </c>
      <c r="I2253" t="s">
        <v>8</v>
      </c>
      <c r="J2253" t="s">
        <v>31</v>
      </c>
      <c r="K2253" t="s">
        <v>32</v>
      </c>
      <c r="L2253" t="s">
        <v>295</v>
      </c>
      <c r="M2253" t="s">
        <v>296</v>
      </c>
      <c r="N2253">
        <v>2.9000000000000001E-2</v>
      </c>
      <c r="O2253" t="str">
        <f>IF(Transactions_RAW_cleaned[[#This Row],[Status]]="Completed", IFERROR(_xlfn.XLOOKUP(Transactions_RAW_cleaned[[#This Row],[CustomerID]], Customers_cleaned[CustomerID], Customers_cleaned[Segment]), "Customer Not Found"), "N/A")</f>
        <v>N/A</v>
      </c>
      <c r="P2253" s="5" t="str">
        <f>IF(Transactions_RAW_cleaned[[#This Row],[Status]]="Refunded", "Refund",
  IF(Transactions_RAW_cleaned[[#This Row],[Category]]="Payments", IF(Transactions_RAW_cleaned[[#This Row],[Amount]]&gt;500,"High Value","Standard"),
    IF(Transactions_RAW_cleaned[[#This Row],[Amount]]&gt;250,"High Value","Standard")))</f>
        <v>Standard</v>
      </c>
      <c r="Q2253" s="5" t="str">
        <f>IF(Transactions_RAW_cleaned[[#This Row],[Amount]] &gt; (_xlfn.XLOOKUP(Transactions_RAW_cleaned[[#This Row],[ServiceID]],Services_cleaned[ServiceID],Services_cleaned[TransactionFeePct]) * 10000), "Yes", "No")</f>
        <v>No</v>
      </c>
      <c r="R2253" s="5" t="str">
        <f>IF(COUNTIFS($C$2:Transactions_RAW_cleaned[[#This Row],[CustomerID]],Transactions_RAW_cleaned[[#This Row],[CustomerID]],$D$2:Transactions_RAW_cleaned[[#This Row],[ServiceID]],Transactions_RAW_cleaned[[#This Row],[ServiceID]])=1,"Yes","No")</f>
        <v>No</v>
      </c>
      <c r="S225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253" t="str">
        <f>"Q"&amp;ROUNDUP(MONTH(Transactions_RAW_cleaned[[#This Row],[TransactionDate]])/3,0)</f>
        <v>Q4</v>
      </c>
      <c r="U2253" t="str">
        <f>Transactions_RAW_cleaned[[#This Row],[Region ]]&amp;Transactions_RAW_cleaned[[#This Row],[Quarter ]]</f>
        <v>EMEAQ4</v>
      </c>
      <c r="V2253" s="5">
        <f>_xlfn.XLOOKUP(Transactions_RAW_cleaned[[#This Row],[RegionQuarterKey]], Quarterly_Targets_cleaned[RegionQuarterKey], Quarterly_Targets_cleaned[TargetRevenue])</f>
        <v>161000</v>
      </c>
    </row>
    <row r="2254" spans="1:22" x14ac:dyDescent="0.25">
      <c r="A2254" t="s">
        <v>2591</v>
      </c>
      <c r="B2254" s="1">
        <v>45468</v>
      </c>
      <c r="C2254" t="s">
        <v>271</v>
      </c>
      <c r="D2254" t="s">
        <v>300</v>
      </c>
      <c r="E2254">
        <v>251.09</v>
      </c>
      <c r="F2254" t="s">
        <v>324</v>
      </c>
      <c r="G2254" t="s">
        <v>327</v>
      </c>
      <c r="H2254" t="s">
        <v>334</v>
      </c>
      <c r="I2254" t="s">
        <v>8</v>
      </c>
      <c r="J2254" t="s">
        <v>102</v>
      </c>
      <c r="K2254" t="s">
        <v>28</v>
      </c>
      <c r="L2254" t="s">
        <v>301</v>
      </c>
      <c r="M2254" t="s">
        <v>302</v>
      </c>
      <c r="N2254">
        <v>5.0000000000000001E-3</v>
      </c>
      <c r="O2254" t="str">
        <f>IF(Transactions_RAW_cleaned[[#This Row],[Status]]="Completed", IFERROR(_xlfn.XLOOKUP(Transactions_RAW_cleaned[[#This Row],[CustomerID]], Customers_cleaned[CustomerID], Customers_cleaned[Segment]), "Customer Not Found"), "N/A")</f>
        <v>SMB</v>
      </c>
      <c r="P2254" s="5" t="str">
        <f>IF(Transactions_RAW_cleaned[[#This Row],[Status]]="Refunded", "Refund",
  IF(Transactions_RAW_cleaned[[#This Row],[Category]]="Payments", IF(Transactions_RAW_cleaned[[#This Row],[Amount]]&gt;500,"High Value","Standard"),
    IF(Transactions_RAW_cleaned[[#This Row],[Amount]]&gt;250,"High Value","Standard")))</f>
        <v>High Value</v>
      </c>
      <c r="Q2254" s="5" t="str">
        <f>IF(Transactions_RAW_cleaned[[#This Row],[Amount]] &gt; (_xlfn.XLOOKUP(Transactions_RAW_cleaned[[#This Row],[ServiceID]],Services_cleaned[ServiceID],Services_cleaned[TransactionFeePct]) * 10000), "Yes", "No")</f>
        <v>Yes</v>
      </c>
      <c r="R2254" s="5" t="str">
        <f>IF(COUNTIFS($C$2:Transactions_RAW_cleaned[[#This Row],[CustomerID]],Transactions_RAW_cleaned[[#This Row],[CustomerID]],$D$2:Transactions_RAW_cleaned[[#This Row],[ServiceID]],Transactions_RAW_cleaned[[#This Row],[ServiceID]])=1,"Yes","No")</f>
        <v>No</v>
      </c>
      <c r="S225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54" t="str">
        <f>"Q"&amp;ROUNDUP(MONTH(Transactions_RAW_cleaned[[#This Row],[TransactionDate]])/3,0)</f>
        <v>Q2</v>
      </c>
      <c r="U2254" t="str">
        <f>Transactions_RAW_cleaned[[#This Row],[Region ]]&amp;Transactions_RAW_cleaned[[#This Row],[Quarter ]]</f>
        <v>NAQ2</v>
      </c>
      <c r="V2254" s="5">
        <f>_xlfn.XLOOKUP(Transactions_RAW_cleaned[[#This Row],[RegionQuarterKey]], Quarterly_Targets_cleaned[RegionQuarterKey], Quarterly_Targets_cleaned[TargetRevenue])</f>
        <v>260000</v>
      </c>
    </row>
    <row r="2255" spans="1:22" x14ac:dyDescent="0.25">
      <c r="A2255" t="s">
        <v>2592</v>
      </c>
      <c r="B2255" s="1">
        <v>45406</v>
      </c>
      <c r="C2255" t="s">
        <v>49</v>
      </c>
      <c r="D2255" t="s">
        <v>300</v>
      </c>
      <c r="E2255">
        <v>175.41</v>
      </c>
      <c r="F2255" t="s">
        <v>324</v>
      </c>
      <c r="G2255" t="s">
        <v>337</v>
      </c>
      <c r="H2255" t="s">
        <v>346</v>
      </c>
      <c r="I2255" t="s">
        <v>8</v>
      </c>
      <c r="J2255" t="s">
        <v>102</v>
      </c>
      <c r="K2255" t="s">
        <v>32</v>
      </c>
      <c r="L2255" t="s">
        <v>301</v>
      </c>
      <c r="M2255" t="s">
        <v>302</v>
      </c>
      <c r="N2255">
        <v>5.0000000000000001E-3</v>
      </c>
      <c r="O2255" t="str">
        <f>IF(Transactions_RAW_cleaned[[#This Row],[Status]]="Completed", IFERROR(_xlfn.XLOOKUP(Transactions_RAW_cleaned[[#This Row],[CustomerID]], Customers_cleaned[CustomerID], Customers_cleaned[Segment]), "Customer Not Found"), "N/A")</f>
        <v>SMB</v>
      </c>
      <c r="P2255" s="5" t="str">
        <f>IF(Transactions_RAW_cleaned[[#This Row],[Status]]="Refunded", "Refund",
  IF(Transactions_RAW_cleaned[[#This Row],[Category]]="Payments", IF(Transactions_RAW_cleaned[[#This Row],[Amount]]&gt;500,"High Value","Standard"),
    IF(Transactions_RAW_cleaned[[#This Row],[Amount]]&gt;250,"High Value","Standard")))</f>
        <v>Standard</v>
      </c>
      <c r="Q2255" s="5" t="str">
        <f>IF(Transactions_RAW_cleaned[[#This Row],[Amount]] &gt; (_xlfn.XLOOKUP(Transactions_RAW_cleaned[[#This Row],[ServiceID]],Services_cleaned[ServiceID],Services_cleaned[TransactionFeePct]) * 10000), "Yes", "No")</f>
        <v>Yes</v>
      </c>
      <c r="R2255" s="5" t="str">
        <f>IF(COUNTIFS($C$2:Transactions_RAW_cleaned[[#This Row],[CustomerID]],Transactions_RAW_cleaned[[#This Row],[CustomerID]],$D$2:Transactions_RAW_cleaned[[#This Row],[ServiceID]],Transactions_RAW_cleaned[[#This Row],[ServiceID]])=1,"Yes","No")</f>
        <v>No</v>
      </c>
      <c r="S225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55" t="str">
        <f>"Q"&amp;ROUNDUP(MONTH(Transactions_RAW_cleaned[[#This Row],[TransactionDate]])/3,0)</f>
        <v>Q2</v>
      </c>
      <c r="U2255" t="str">
        <f>Transactions_RAW_cleaned[[#This Row],[Region ]]&amp;Transactions_RAW_cleaned[[#This Row],[Quarter ]]</f>
        <v>NAQ2</v>
      </c>
      <c r="V2255" s="5">
        <f>_xlfn.XLOOKUP(Transactions_RAW_cleaned[[#This Row],[RegionQuarterKey]], Quarterly_Targets_cleaned[RegionQuarterKey], Quarterly_Targets_cleaned[TargetRevenue])</f>
        <v>260000</v>
      </c>
    </row>
    <row r="2256" spans="1:22" x14ac:dyDescent="0.25">
      <c r="A2256" t="s">
        <v>2593</v>
      </c>
      <c r="B2256" s="1">
        <v>45315</v>
      </c>
      <c r="C2256" t="s">
        <v>641</v>
      </c>
      <c r="D2256" t="s">
        <v>294</v>
      </c>
      <c r="E2256">
        <v>340.27</v>
      </c>
      <c r="F2256" t="s">
        <v>324</v>
      </c>
      <c r="G2256" t="s">
        <v>337</v>
      </c>
      <c r="H2256" t="s">
        <v>346</v>
      </c>
      <c r="I2256" t="s">
        <v>8</v>
      </c>
      <c r="J2256" t="s">
        <v>13</v>
      </c>
      <c r="K2256" t="s">
        <v>22</v>
      </c>
      <c r="L2256" t="s">
        <v>295</v>
      </c>
      <c r="M2256" t="s">
        <v>296</v>
      </c>
      <c r="N2256">
        <v>2.9000000000000001E-2</v>
      </c>
      <c r="O2256" t="str">
        <f>IF(Transactions_RAW_cleaned[[#This Row],[Status]]="Completed", IFERROR(_xlfn.XLOOKUP(Transactions_RAW_cleaned[[#This Row],[CustomerID]], Customers_cleaned[CustomerID], Customers_cleaned[Segment]), "Customer Not Found"), "N/A")</f>
        <v>SMB</v>
      </c>
      <c r="P2256" s="5" t="str">
        <f>IF(Transactions_RAW_cleaned[[#This Row],[Status]]="Refunded", "Refund",
  IF(Transactions_RAW_cleaned[[#This Row],[Category]]="Payments", IF(Transactions_RAW_cleaned[[#This Row],[Amount]]&gt;500,"High Value","Standard"),
    IF(Transactions_RAW_cleaned[[#This Row],[Amount]]&gt;250,"High Value","Standard")))</f>
        <v>Standard</v>
      </c>
      <c r="Q2256" s="5" t="str">
        <f>IF(Transactions_RAW_cleaned[[#This Row],[Amount]] &gt; (_xlfn.XLOOKUP(Transactions_RAW_cleaned[[#This Row],[ServiceID]],Services_cleaned[ServiceID],Services_cleaned[TransactionFeePct]) * 10000), "Yes", "No")</f>
        <v>Yes</v>
      </c>
      <c r="R2256" s="5" t="str">
        <f>IF(COUNTIFS($C$2:Transactions_RAW_cleaned[[#This Row],[CustomerID]],Transactions_RAW_cleaned[[#This Row],[CustomerID]],$D$2:Transactions_RAW_cleaned[[#This Row],[ServiceID]],Transactions_RAW_cleaned[[#This Row],[ServiceID]])=1,"Yes","No")</f>
        <v>No</v>
      </c>
      <c r="S225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56" t="str">
        <f>"Q"&amp;ROUNDUP(MONTH(Transactions_RAW_cleaned[[#This Row],[TransactionDate]])/3,0)</f>
        <v>Q1</v>
      </c>
      <c r="U2256" t="str">
        <f>Transactions_RAW_cleaned[[#This Row],[Region ]]&amp;Transactions_RAW_cleaned[[#This Row],[Quarter ]]</f>
        <v>NAQ1</v>
      </c>
      <c r="V2256" s="5">
        <f>_xlfn.XLOOKUP(Transactions_RAW_cleaned[[#This Row],[RegionQuarterKey]], Quarterly_Targets_cleaned[RegionQuarterKey], Quarterly_Targets_cleaned[TargetRevenue])</f>
        <v>247000</v>
      </c>
    </row>
    <row r="2257" spans="1:22" x14ac:dyDescent="0.25">
      <c r="A2257" t="s">
        <v>2594</v>
      </c>
      <c r="B2257" s="1">
        <v>45539</v>
      </c>
      <c r="C2257" t="s">
        <v>125</v>
      </c>
      <c r="D2257" t="s">
        <v>294</v>
      </c>
      <c r="E2257">
        <v>990.4</v>
      </c>
      <c r="F2257" t="s">
        <v>324</v>
      </c>
      <c r="G2257" t="s">
        <v>327</v>
      </c>
      <c r="H2257" t="s">
        <v>334</v>
      </c>
      <c r="I2257" t="s">
        <v>8</v>
      </c>
      <c r="J2257" t="s">
        <v>13</v>
      </c>
      <c r="K2257" t="s">
        <v>28</v>
      </c>
      <c r="L2257" t="s">
        <v>295</v>
      </c>
      <c r="M2257" t="s">
        <v>296</v>
      </c>
      <c r="N2257">
        <v>2.9000000000000001E-2</v>
      </c>
      <c r="O2257" t="str">
        <f>IF(Transactions_RAW_cleaned[[#This Row],[Status]]="Completed", IFERROR(_xlfn.XLOOKUP(Transactions_RAW_cleaned[[#This Row],[CustomerID]], Customers_cleaned[CustomerID], Customers_cleaned[Segment]), "Customer Not Found"), "N/A")</f>
        <v>SMB</v>
      </c>
      <c r="P2257" s="5" t="str">
        <f>IF(Transactions_RAW_cleaned[[#This Row],[Status]]="Refunded", "Refund",
  IF(Transactions_RAW_cleaned[[#This Row],[Category]]="Payments", IF(Transactions_RAW_cleaned[[#This Row],[Amount]]&gt;500,"High Value","Standard"),
    IF(Transactions_RAW_cleaned[[#This Row],[Amount]]&gt;250,"High Value","Standard")))</f>
        <v>High Value</v>
      </c>
      <c r="Q2257" s="5" t="str">
        <f>IF(Transactions_RAW_cleaned[[#This Row],[Amount]] &gt; (_xlfn.XLOOKUP(Transactions_RAW_cleaned[[#This Row],[ServiceID]],Services_cleaned[ServiceID],Services_cleaned[TransactionFeePct]) * 10000), "Yes", "No")</f>
        <v>Yes</v>
      </c>
      <c r="R2257" s="5" t="str">
        <f>IF(COUNTIFS($C$2:Transactions_RAW_cleaned[[#This Row],[CustomerID]],Transactions_RAW_cleaned[[#This Row],[CustomerID]],$D$2:Transactions_RAW_cleaned[[#This Row],[ServiceID]],Transactions_RAW_cleaned[[#This Row],[ServiceID]])=1,"Yes","No")</f>
        <v>No</v>
      </c>
      <c r="S225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57" t="str">
        <f>"Q"&amp;ROUNDUP(MONTH(Transactions_RAW_cleaned[[#This Row],[TransactionDate]])/3,0)</f>
        <v>Q3</v>
      </c>
      <c r="U2257" t="str">
        <f>Transactions_RAW_cleaned[[#This Row],[Region ]]&amp;Transactions_RAW_cleaned[[#This Row],[Quarter ]]</f>
        <v>NAQ3</v>
      </c>
      <c r="V2257" s="5">
        <f>_xlfn.XLOOKUP(Transactions_RAW_cleaned[[#This Row],[RegionQuarterKey]], Quarterly_Targets_cleaned[RegionQuarterKey], Quarterly_Targets_cleaned[TargetRevenue])</f>
        <v>273000</v>
      </c>
    </row>
    <row r="2258" spans="1:22" x14ac:dyDescent="0.25">
      <c r="A2258" t="s">
        <v>2595</v>
      </c>
      <c r="B2258" s="1">
        <v>45331</v>
      </c>
      <c r="C2258" t="s">
        <v>82</v>
      </c>
      <c r="D2258" t="s">
        <v>306</v>
      </c>
      <c r="E2258">
        <v>873</v>
      </c>
      <c r="F2258" t="s">
        <v>324</v>
      </c>
      <c r="G2258" t="s">
        <v>327</v>
      </c>
      <c r="H2258" t="s">
        <v>334</v>
      </c>
      <c r="I2258" t="s">
        <v>57</v>
      </c>
      <c r="J2258" t="s">
        <v>46</v>
      </c>
      <c r="K2258" t="s">
        <v>10</v>
      </c>
      <c r="L2258" t="s">
        <v>307</v>
      </c>
      <c r="M2258" t="s">
        <v>308</v>
      </c>
      <c r="N2258">
        <v>0</v>
      </c>
      <c r="O2258" t="str">
        <f>IF(Transactions_RAW_cleaned[[#This Row],[Status]]="Completed", IFERROR(_xlfn.XLOOKUP(Transactions_RAW_cleaned[[#This Row],[CustomerID]], Customers_cleaned[CustomerID], Customers_cleaned[Segment]), "Customer Not Found"), "N/A")</f>
        <v>Startup</v>
      </c>
      <c r="P2258" s="5" t="str">
        <f>IF(Transactions_RAW_cleaned[[#This Row],[Status]]="Refunded", "Refund",
  IF(Transactions_RAW_cleaned[[#This Row],[Category]]="Payments", IF(Transactions_RAW_cleaned[[#This Row],[Amount]]&gt;500,"High Value","Standard"),
    IF(Transactions_RAW_cleaned[[#This Row],[Amount]]&gt;250,"High Value","Standard")))</f>
        <v>High Value</v>
      </c>
      <c r="Q2258" s="5" t="str">
        <f>IF(Transactions_RAW_cleaned[[#This Row],[Amount]] &gt; (_xlfn.XLOOKUP(Transactions_RAW_cleaned[[#This Row],[ServiceID]],Services_cleaned[ServiceID],Services_cleaned[TransactionFeePct]) * 10000), "Yes", "No")</f>
        <v>Yes</v>
      </c>
      <c r="R2258" s="5" t="str">
        <f>IF(COUNTIFS($C$2:Transactions_RAW_cleaned[[#This Row],[CustomerID]],Transactions_RAW_cleaned[[#This Row],[CustomerID]],$D$2:Transactions_RAW_cleaned[[#This Row],[ServiceID]],Transactions_RAW_cleaned[[#This Row],[ServiceID]])=1,"Yes","No")</f>
        <v>No</v>
      </c>
      <c r="S225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58" t="str">
        <f>"Q"&amp;ROUNDUP(MONTH(Transactions_RAW_cleaned[[#This Row],[TransactionDate]])/3,0)</f>
        <v>Q1</v>
      </c>
      <c r="U2258" t="str">
        <f>Transactions_RAW_cleaned[[#This Row],[Region ]]&amp;Transactions_RAW_cleaned[[#This Row],[Quarter ]]</f>
        <v>APACQ1</v>
      </c>
      <c r="V2258" s="5">
        <f>_xlfn.XLOOKUP(Transactions_RAW_cleaned[[#This Row],[RegionQuarterKey]], Quarterly_Targets_cleaned[RegionQuarterKey], Quarterly_Targets_cleaned[TargetRevenue])</f>
        <v>104500</v>
      </c>
    </row>
    <row r="2259" spans="1:22" x14ac:dyDescent="0.25">
      <c r="A2259" t="s">
        <v>2596</v>
      </c>
      <c r="B2259" s="1">
        <v>45610</v>
      </c>
      <c r="C2259" t="s">
        <v>70</v>
      </c>
      <c r="D2259" t="s">
        <v>294</v>
      </c>
      <c r="E2259">
        <v>445.04</v>
      </c>
      <c r="F2259" t="s">
        <v>324</v>
      </c>
      <c r="G2259" t="s">
        <v>327</v>
      </c>
      <c r="H2259" t="s">
        <v>346</v>
      </c>
      <c r="I2259" t="s">
        <v>8</v>
      </c>
      <c r="J2259" t="s">
        <v>37</v>
      </c>
      <c r="K2259" t="s">
        <v>28</v>
      </c>
      <c r="L2259" t="s">
        <v>295</v>
      </c>
      <c r="M2259" t="s">
        <v>296</v>
      </c>
      <c r="N2259">
        <v>2.9000000000000001E-2</v>
      </c>
      <c r="O2259" t="str">
        <f>IF(Transactions_RAW_cleaned[[#This Row],[Status]]="Completed", IFERROR(_xlfn.XLOOKUP(Transactions_RAW_cleaned[[#This Row],[CustomerID]], Customers_cleaned[CustomerID], Customers_cleaned[Segment]), "Customer Not Found"), "N/A")</f>
        <v>SMB</v>
      </c>
      <c r="P2259" s="5" t="str">
        <f>IF(Transactions_RAW_cleaned[[#This Row],[Status]]="Refunded", "Refund",
  IF(Transactions_RAW_cleaned[[#This Row],[Category]]="Payments", IF(Transactions_RAW_cleaned[[#This Row],[Amount]]&gt;500,"High Value","Standard"),
    IF(Transactions_RAW_cleaned[[#This Row],[Amount]]&gt;250,"High Value","Standard")))</f>
        <v>Standard</v>
      </c>
      <c r="Q2259" s="5" t="str">
        <f>IF(Transactions_RAW_cleaned[[#This Row],[Amount]] &gt; (_xlfn.XLOOKUP(Transactions_RAW_cleaned[[#This Row],[ServiceID]],Services_cleaned[ServiceID],Services_cleaned[TransactionFeePct]) * 10000), "Yes", "No")</f>
        <v>Yes</v>
      </c>
      <c r="R2259" s="5" t="str">
        <f>IF(COUNTIFS($C$2:Transactions_RAW_cleaned[[#This Row],[CustomerID]],Transactions_RAW_cleaned[[#This Row],[CustomerID]],$D$2:Transactions_RAW_cleaned[[#This Row],[ServiceID]],Transactions_RAW_cleaned[[#This Row],[ServiceID]])=1,"Yes","No")</f>
        <v>No</v>
      </c>
      <c r="S225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259" t="str">
        <f>"Q"&amp;ROUNDUP(MONTH(Transactions_RAW_cleaned[[#This Row],[TransactionDate]])/3,0)</f>
        <v>Q4</v>
      </c>
      <c r="U2259" t="str">
        <f>Transactions_RAW_cleaned[[#This Row],[Region ]]&amp;Transactions_RAW_cleaned[[#This Row],[Quarter ]]</f>
        <v>EMEAQ4</v>
      </c>
      <c r="V2259" s="5">
        <f>_xlfn.XLOOKUP(Transactions_RAW_cleaned[[#This Row],[RegionQuarterKey]], Quarterly_Targets_cleaned[RegionQuarterKey], Quarterly_Targets_cleaned[TargetRevenue])</f>
        <v>161000</v>
      </c>
    </row>
    <row r="2260" spans="1:22" x14ac:dyDescent="0.25">
      <c r="A2260" t="s">
        <v>2597</v>
      </c>
      <c r="B2260" s="1">
        <v>45562</v>
      </c>
      <c r="C2260" t="s">
        <v>235</v>
      </c>
      <c r="D2260" t="s">
        <v>315</v>
      </c>
      <c r="E2260">
        <v>361.2</v>
      </c>
      <c r="F2260" t="s">
        <v>324</v>
      </c>
      <c r="G2260" t="s">
        <v>337</v>
      </c>
      <c r="H2260" t="s">
        <v>334</v>
      </c>
      <c r="I2260" t="s">
        <v>57</v>
      </c>
      <c r="J2260" t="s">
        <v>21</v>
      </c>
      <c r="K2260" t="s">
        <v>22</v>
      </c>
      <c r="L2260" t="s">
        <v>316</v>
      </c>
      <c r="M2260" t="s">
        <v>305</v>
      </c>
      <c r="N2260">
        <v>2.5000000000000001E-3</v>
      </c>
      <c r="O2260" t="str">
        <f>IF(Transactions_RAW_cleaned[[#This Row],[Status]]="Completed", IFERROR(_xlfn.XLOOKUP(Transactions_RAW_cleaned[[#This Row],[CustomerID]], Customers_cleaned[CustomerID], Customers_cleaned[Segment]), "Customer Not Found"), "N/A")</f>
        <v>Startup</v>
      </c>
      <c r="P2260" s="5" t="str">
        <f>IF(Transactions_RAW_cleaned[[#This Row],[Status]]="Refunded", "Refund",
  IF(Transactions_RAW_cleaned[[#This Row],[Category]]="Payments", IF(Transactions_RAW_cleaned[[#This Row],[Amount]]&gt;500,"High Value","Standard"),
    IF(Transactions_RAW_cleaned[[#This Row],[Amount]]&gt;250,"High Value","Standard")))</f>
        <v>High Value</v>
      </c>
      <c r="Q2260" s="5" t="str">
        <f>IF(Transactions_RAW_cleaned[[#This Row],[Amount]] &gt; (_xlfn.XLOOKUP(Transactions_RAW_cleaned[[#This Row],[ServiceID]],Services_cleaned[ServiceID],Services_cleaned[TransactionFeePct]) * 10000), "Yes", "No")</f>
        <v>Yes</v>
      </c>
      <c r="R2260" s="5" t="str">
        <f>IF(COUNTIFS($C$2:Transactions_RAW_cleaned[[#This Row],[CustomerID]],Transactions_RAW_cleaned[[#This Row],[CustomerID]],$D$2:Transactions_RAW_cleaned[[#This Row],[ServiceID]],Transactions_RAW_cleaned[[#This Row],[ServiceID]])=1,"Yes","No")</f>
        <v>No</v>
      </c>
      <c r="S226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60" t="str">
        <f>"Q"&amp;ROUNDUP(MONTH(Transactions_RAW_cleaned[[#This Row],[TransactionDate]])/3,0)</f>
        <v>Q3</v>
      </c>
      <c r="U2260" t="str">
        <f>Transactions_RAW_cleaned[[#This Row],[Region ]]&amp;Transactions_RAW_cleaned[[#This Row],[Quarter ]]</f>
        <v>APACQ3</v>
      </c>
      <c r="V2260" s="5">
        <f>_xlfn.XLOOKUP(Transactions_RAW_cleaned[[#This Row],[RegionQuarterKey]], Quarterly_Targets_cleaned[RegionQuarterKey], Quarterly_Targets_cleaned[TargetRevenue])</f>
        <v>115500</v>
      </c>
    </row>
    <row r="2261" spans="1:22" x14ac:dyDescent="0.25">
      <c r="A2261" t="s">
        <v>2598</v>
      </c>
      <c r="B2261" s="1">
        <v>45533</v>
      </c>
      <c r="C2261" t="s">
        <v>163</v>
      </c>
      <c r="D2261" t="s">
        <v>294</v>
      </c>
      <c r="E2261">
        <v>362.32</v>
      </c>
      <c r="F2261" t="s">
        <v>324</v>
      </c>
      <c r="G2261" t="s">
        <v>2963</v>
      </c>
      <c r="I2261" t="s">
        <v>17</v>
      </c>
      <c r="J2261" t="s">
        <v>102</v>
      </c>
      <c r="K2261" t="s">
        <v>18</v>
      </c>
      <c r="L2261" t="s">
        <v>295</v>
      </c>
      <c r="M2261" t="s">
        <v>296</v>
      </c>
      <c r="N2261">
        <v>2.9000000000000001E-2</v>
      </c>
      <c r="O2261" t="str">
        <f>IF(Transactions_RAW_cleaned[[#This Row],[Status]]="Completed", IFERROR(_xlfn.XLOOKUP(Transactions_RAW_cleaned[[#This Row],[CustomerID]], Customers_cleaned[CustomerID], Customers_cleaned[Segment]), "Customer Not Found"), "N/A")</f>
        <v>Enterprise</v>
      </c>
      <c r="P2261" s="5" t="str">
        <f>IF(Transactions_RAW_cleaned[[#This Row],[Status]]="Refunded", "Refund",
  IF(Transactions_RAW_cleaned[[#This Row],[Category]]="Payments", IF(Transactions_RAW_cleaned[[#This Row],[Amount]]&gt;500,"High Value","Standard"),
    IF(Transactions_RAW_cleaned[[#This Row],[Amount]]&gt;250,"High Value","Standard")))</f>
        <v>Standard</v>
      </c>
      <c r="Q2261" s="5" t="str">
        <f>IF(Transactions_RAW_cleaned[[#This Row],[Amount]] &gt; (_xlfn.XLOOKUP(Transactions_RAW_cleaned[[#This Row],[ServiceID]],Services_cleaned[ServiceID],Services_cleaned[TransactionFeePct]) * 10000), "Yes", "No")</f>
        <v>Yes</v>
      </c>
      <c r="R2261" s="5" t="str">
        <f>IF(COUNTIFS($C$2:Transactions_RAW_cleaned[[#This Row],[CustomerID]],Transactions_RAW_cleaned[[#This Row],[CustomerID]],$D$2:Transactions_RAW_cleaned[[#This Row],[ServiceID]],Transactions_RAW_cleaned[[#This Row],[ServiceID]])=1,"Yes","No")</f>
        <v>No</v>
      </c>
      <c r="S226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61" t="str">
        <f>"Q"&amp;ROUNDUP(MONTH(Transactions_RAW_cleaned[[#This Row],[TransactionDate]])/3,0)</f>
        <v>Q3</v>
      </c>
      <c r="U2261" t="str">
        <f>Transactions_RAW_cleaned[[#This Row],[Region ]]&amp;Transactions_RAW_cleaned[[#This Row],[Quarter ]]</f>
        <v>NAQ3</v>
      </c>
      <c r="V2261" s="5">
        <f>_xlfn.XLOOKUP(Transactions_RAW_cleaned[[#This Row],[RegionQuarterKey]], Quarterly_Targets_cleaned[RegionQuarterKey], Quarterly_Targets_cleaned[TargetRevenue])</f>
        <v>273000</v>
      </c>
    </row>
    <row r="2262" spans="1:22" x14ac:dyDescent="0.25">
      <c r="A2262" t="s">
        <v>2599</v>
      </c>
      <c r="B2262" s="1">
        <v>45476</v>
      </c>
      <c r="C2262" t="s">
        <v>76</v>
      </c>
      <c r="D2262" t="s">
        <v>294</v>
      </c>
      <c r="E2262">
        <v>747.08</v>
      </c>
      <c r="F2262" t="s">
        <v>324</v>
      </c>
      <c r="G2262" t="s">
        <v>329</v>
      </c>
      <c r="H2262" t="s">
        <v>334</v>
      </c>
      <c r="I2262" t="s">
        <v>17</v>
      </c>
      <c r="J2262" t="s">
        <v>13</v>
      </c>
      <c r="K2262" t="s">
        <v>18</v>
      </c>
      <c r="L2262" t="s">
        <v>295</v>
      </c>
      <c r="M2262" t="s">
        <v>296</v>
      </c>
      <c r="N2262">
        <v>2.9000000000000001E-2</v>
      </c>
      <c r="O2262" t="str">
        <f>IF(Transactions_RAW_cleaned[[#This Row],[Status]]="Completed", IFERROR(_xlfn.XLOOKUP(Transactions_RAW_cleaned[[#This Row],[CustomerID]], Customers_cleaned[CustomerID], Customers_cleaned[Segment]), "Customer Not Found"), "N/A")</f>
        <v>Enterprise</v>
      </c>
      <c r="P2262" s="5" t="str">
        <f>IF(Transactions_RAW_cleaned[[#This Row],[Status]]="Refunded", "Refund",
  IF(Transactions_RAW_cleaned[[#This Row],[Category]]="Payments", IF(Transactions_RAW_cleaned[[#This Row],[Amount]]&gt;500,"High Value","Standard"),
    IF(Transactions_RAW_cleaned[[#This Row],[Amount]]&gt;250,"High Value","Standard")))</f>
        <v>High Value</v>
      </c>
      <c r="Q2262" s="5" t="str">
        <f>IF(Transactions_RAW_cleaned[[#This Row],[Amount]] &gt; (_xlfn.XLOOKUP(Transactions_RAW_cleaned[[#This Row],[ServiceID]],Services_cleaned[ServiceID],Services_cleaned[TransactionFeePct]) * 10000), "Yes", "No")</f>
        <v>Yes</v>
      </c>
      <c r="R2262" s="5" t="str">
        <f>IF(COUNTIFS($C$2:Transactions_RAW_cleaned[[#This Row],[CustomerID]],Transactions_RAW_cleaned[[#This Row],[CustomerID]],$D$2:Transactions_RAW_cleaned[[#This Row],[ServiceID]],Transactions_RAW_cleaned[[#This Row],[ServiceID]])=1,"Yes","No")</f>
        <v>No</v>
      </c>
      <c r="S226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62" t="str">
        <f>"Q"&amp;ROUNDUP(MONTH(Transactions_RAW_cleaned[[#This Row],[TransactionDate]])/3,0)</f>
        <v>Q3</v>
      </c>
      <c r="U2262" t="str">
        <f>Transactions_RAW_cleaned[[#This Row],[Region ]]&amp;Transactions_RAW_cleaned[[#This Row],[Quarter ]]</f>
        <v>NAQ3</v>
      </c>
      <c r="V2262" s="5">
        <f>_xlfn.XLOOKUP(Transactions_RAW_cleaned[[#This Row],[RegionQuarterKey]], Quarterly_Targets_cleaned[RegionQuarterKey], Quarterly_Targets_cleaned[TargetRevenue])</f>
        <v>273000</v>
      </c>
    </row>
    <row r="2263" spans="1:22" x14ac:dyDescent="0.25">
      <c r="A2263" t="s">
        <v>2600</v>
      </c>
      <c r="B2263" s="1">
        <v>45304</v>
      </c>
      <c r="C2263" t="s">
        <v>35</v>
      </c>
      <c r="D2263" t="s">
        <v>312</v>
      </c>
      <c r="E2263">
        <v>576.96</v>
      </c>
      <c r="F2263" t="s">
        <v>324</v>
      </c>
      <c r="G2263" t="s">
        <v>325</v>
      </c>
      <c r="H2263" t="s">
        <v>332</v>
      </c>
      <c r="I2263" t="s">
        <v>8</v>
      </c>
      <c r="J2263" t="s">
        <v>37</v>
      </c>
      <c r="K2263" t="s">
        <v>28</v>
      </c>
      <c r="L2263" t="s">
        <v>313</v>
      </c>
      <c r="M2263" t="s">
        <v>314</v>
      </c>
      <c r="N2263">
        <v>0</v>
      </c>
      <c r="O2263" t="str">
        <f>IF(Transactions_RAW_cleaned[[#This Row],[Status]]="Completed", IFERROR(_xlfn.XLOOKUP(Transactions_RAW_cleaned[[#This Row],[CustomerID]], Customers_cleaned[CustomerID], Customers_cleaned[Segment]), "Customer Not Found"), "N/A")</f>
        <v>SMB</v>
      </c>
      <c r="P2263" s="5" t="str">
        <f>IF(Transactions_RAW_cleaned[[#This Row],[Status]]="Refunded", "Refund",
  IF(Transactions_RAW_cleaned[[#This Row],[Category]]="Payments", IF(Transactions_RAW_cleaned[[#This Row],[Amount]]&gt;500,"High Value","Standard"),
    IF(Transactions_RAW_cleaned[[#This Row],[Amount]]&gt;250,"High Value","Standard")))</f>
        <v>High Value</v>
      </c>
      <c r="Q2263" s="5" t="str">
        <f>IF(Transactions_RAW_cleaned[[#This Row],[Amount]] &gt; (_xlfn.XLOOKUP(Transactions_RAW_cleaned[[#This Row],[ServiceID]],Services_cleaned[ServiceID],Services_cleaned[TransactionFeePct]) * 10000), "Yes", "No")</f>
        <v>Yes</v>
      </c>
      <c r="R2263" s="5" t="str">
        <f>IF(COUNTIFS($C$2:Transactions_RAW_cleaned[[#This Row],[CustomerID]],Transactions_RAW_cleaned[[#This Row],[CustomerID]],$D$2:Transactions_RAW_cleaned[[#This Row],[ServiceID]],Transactions_RAW_cleaned[[#This Row],[ServiceID]])=1,"Yes","No")</f>
        <v>No</v>
      </c>
      <c r="S226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263" t="str">
        <f>"Q"&amp;ROUNDUP(MONTH(Transactions_RAW_cleaned[[#This Row],[TransactionDate]])/3,0)</f>
        <v>Q1</v>
      </c>
      <c r="U2263" t="str">
        <f>Transactions_RAW_cleaned[[#This Row],[Region ]]&amp;Transactions_RAW_cleaned[[#This Row],[Quarter ]]</f>
        <v>EMEAQ1</v>
      </c>
      <c r="V2263" s="5">
        <f>_xlfn.XLOOKUP(Transactions_RAW_cleaned[[#This Row],[RegionQuarterKey]], Quarterly_Targets_cleaned[RegionQuarterKey], Quarterly_Targets_cleaned[TargetRevenue])</f>
        <v>133000</v>
      </c>
    </row>
    <row r="2264" spans="1:22" x14ac:dyDescent="0.25">
      <c r="A2264" t="s">
        <v>2601</v>
      </c>
      <c r="B2264" s="1">
        <v>45346</v>
      </c>
      <c r="C2264" t="s">
        <v>76</v>
      </c>
      <c r="D2264" t="s">
        <v>294</v>
      </c>
      <c r="E2264">
        <v>179.17</v>
      </c>
      <c r="F2264" t="s">
        <v>324</v>
      </c>
      <c r="G2264" t="s">
        <v>325</v>
      </c>
      <c r="H2264" t="s">
        <v>332</v>
      </c>
      <c r="I2264" t="s">
        <v>17</v>
      </c>
      <c r="J2264" t="s">
        <v>13</v>
      </c>
      <c r="K2264" t="s">
        <v>18</v>
      </c>
      <c r="L2264" t="s">
        <v>295</v>
      </c>
      <c r="M2264" t="s">
        <v>296</v>
      </c>
      <c r="N2264">
        <v>2.9000000000000001E-2</v>
      </c>
      <c r="O2264" t="str">
        <f>IF(Transactions_RAW_cleaned[[#This Row],[Status]]="Completed", IFERROR(_xlfn.XLOOKUP(Transactions_RAW_cleaned[[#This Row],[CustomerID]], Customers_cleaned[CustomerID], Customers_cleaned[Segment]), "Customer Not Found"), "N/A")</f>
        <v>Enterprise</v>
      </c>
      <c r="P2264" s="5" t="str">
        <f>IF(Transactions_RAW_cleaned[[#This Row],[Status]]="Refunded", "Refund",
  IF(Transactions_RAW_cleaned[[#This Row],[Category]]="Payments", IF(Transactions_RAW_cleaned[[#This Row],[Amount]]&gt;500,"High Value","Standard"),
    IF(Transactions_RAW_cleaned[[#This Row],[Amount]]&gt;250,"High Value","Standard")))</f>
        <v>Standard</v>
      </c>
      <c r="Q2264" s="5" t="str">
        <f>IF(Transactions_RAW_cleaned[[#This Row],[Amount]] &gt; (_xlfn.XLOOKUP(Transactions_RAW_cleaned[[#This Row],[ServiceID]],Services_cleaned[ServiceID],Services_cleaned[TransactionFeePct]) * 10000), "Yes", "No")</f>
        <v>No</v>
      </c>
      <c r="R2264" s="5" t="str">
        <f>IF(COUNTIFS($C$2:Transactions_RAW_cleaned[[#This Row],[CustomerID]],Transactions_RAW_cleaned[[#This Row],[CustomerID]],$D$2:Transactions_RAW_cleaned[[#This Row],[ServiceID]],Transactions_RAW_cleaned[[#This Row],[ServiceID]])=1,"Yes","No")</f>
        <v>No</v>
      </c>
      <c r="S226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64" t="str">
        <f>"Q"&amp;ROUNDUP(MONTH(Transactions_RAW_cleaned[[#This Row],[TransactionDate]])/3,0)</f>
        <v>Q1</v>
      </c>
      <c r="U2264" t="str">
        <f>Transactions_RAW_cleaned[[#This Row],[Region ]]&amp;Transactions_RAW_cleaned[[#This Row],[Quarter ]]</f>
        <v>NAQ1</v>
      </c>
      <c r="V2264" s="5">
        <f>_xlfn.XLOOKUP(Transactions_RAW_cleaned[[#This Row],[RegionQuarterKey]], Quarterly_Targets_cleaned[RegionQuarterKey], Quarterly_Targets_cleaned[TargetRevenue])</f>
        <v>247000</v>
      </c>
    </row>
    <row r="2265" spans="1:22" x14ac:dyDescent="0.25">
      <c r="A2265" t="s">
        <v>2602</v>
      </c>
      <c r="B2265" s="1">
        <v>45453</v>
      </c>
      <c r="C2265" t="s">
        <v>247</v>
      </c>
      <c r="D2265" t="s">
        <v>297</v>
      </c>
      <c r="E2265">
        <v>-397.17</v>
      </c>
      <c r="F2265" t="s">
        <v>349</v>
      </c>
      <c r="G2265" t="s">
        <v>325</v>
      </c>
      <c r="H2265" t="s">
        <v>332</v>
      </c>
      <c r="I2265" t="s">
        <v>17</v>
      </c>
      <c r="J2265" t="s">
        <v>13</v>
      </c>
      <c r="K2265" t="s">
        <v>28</v>
      </c>
      <c r="L2265" t="s">
        <v>298</v>
      </c>
      <c r="M2265" t="s">
        <v>299</v>
      </c>
      <c r="N2265">
        <v>0</v>
      </c>
      <c r="O2265" t="str">
        <f>IF(Transactions_RAW_cleaned[[#This Row],[Status]]="Completed", IFERROR(_xlfn.XLOOKUP(Transactions_RAW_cleaned[[#This Row],[CustomerID]], Customers_cleaned[CustomerID], Customers_cleaned[Segment]), "Customer Not Found"), "N/A")</f>
        <v>N/A</v>
      </c>
      <c r="P2265" s="5" t="str">
        <f>IF(Transactions_RAW_cleaned[[#This Row],[Status]]="Refunded", "Refund",
  IF(Transactions_RAW_cleaned[[#This Row],[Category]]="Payments", IF(Transactions_RAW_cleaned[[#This Row],[Amount]]&gt;500,"High Value","Standard"),
    IF(Transactions_RAW_cleaned[[#This Row],[Amount]]&gt;250,"High Value","Standard")))</f>
        <v>Refund</v>
      </c>
      <c r="Q2265" s="5" t="str">
        <f>IF(Transactions_RAW_cleaned[[#This Row],[Amount]] &gt; (_xlfn.XLOOKUP(Transactions_RAW_cleaned[[#This Row],[ServiceID]],Services_cleaned[ServiceID],Services_cleaned[TransactionFeePct]) * 10000), "Yes", "No")</f>
        <v>No</v>
      </c>
      <c r="R2265" s="5" t="str">
        <f>IF(COUNTIFS($C$2:Transactions_RAW_cleaned[[#This Row],[CustomerID]],Transactions_RAW_cleaned[[#This Row],[CustomerID]],$D$2:Transactions_RAW_cleaned[[#This Row],[ServiceID]],Transactions_RAW_cleaned[[#This Row],[ServiceID]])=1,"Yes","No")</f>
        <v>No</v>
      </c>
      <c r="S226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65" t="str">
        <f>"Q"&amp;ROUNDUP(MONTH(Transactions_RAW_cleaned[[#This Row],[TransactionDate]])/3,0)</f>
        <v>Q2</v>
      </c>
      <c r="U2265" t="str">
        <f>Transactions_RAW_cleaned[[#This Row],[Region ]]&amp;Transactions_RAW_cleaned[[#This Row],[Quarter ]]</f>
        <v>NAQ2</v>
      </c>
      <c r="V2265" s="5">
        <f>_xlfn.XLOOKUP(Transactions_RAW_cleaned[[#This Row],[RegionQuarterKey]], Quarterly_Targets_cleaned[RegionQuarterKey], Quarterly_Targets_cleaned[TargetRevenue])</f>
        <v>260000</v>
      </c>
    </row>
    <row r="2266" spans="1:22" x14ac:dyDescent="0.25">
      <c r="A2266" t="s">
        <v>2603</v>
      </c>
      <c r="B2266" s="1">
        <v>45601</v>
      </c>
      <c r="C2266" t="s">
        <v>239</v>
      </c>
      <c r="D2266" t="s">
        <v>306</v>
      </c>
      <c r="E2266">
        <v>457.69</v>
      </c>
      <c r="F2266" t="s">
        <v>324</v>
      </c>
      <c r="G2266" t="s">
        <v>2963</v>
      </c>
      <c r="H2266" t="s">
        <v>332</v>
      </c>
      <c r="I2266" t="s">
        <v>57</v>
      </c>
      <c r="J2266" t="s">
        <v>102</v>
      </c>
      <c r="K2266" t="s">
        <v>10</v>
      </c>
      <c r="L2266" t="s">
        <v>307</v>
      </c>
      <c r="M2266" t="s">
        <v>308</v>
      </c>
      <c r="N2266">
        <v>0</v>
      </c>
      <c r="O2266" t="str">
        <f>IF(Transactions_RAW_cleaned[[#This Row],[Status]]="Completed", IFERROR(_xlfn.XLOOKUP(Transactions_RAW_cleaned[[#This Row],[CustomerID]], Customers_cleaned[CustomerID], Customers_cleaned[Segment]), "Customer Not Found"), "N/A")</f>
        <v>Startup</v>
      </c>
      <c r="P2266" s="5" t="str">
        <f>IF(Transactions_RAW_cleaned[[#This Row],[Status]]="Refunded", "Refund",
  IF(Transactions_RAW_cleaned[[#This Row],[Category]]="Payments", IF(Transactions_RAW_cleaned[[#This Row],[Amount]]&gt;500,"High Value","Standard"),
    IF(Transactions_RAW_cleaned[[#This Row],[Amount]]&gt;250,"High Value","Standard")))</f>
        <v>High Value</v>
      </c>
      <c r="Q2266" s="5" t="str">
        <f>IF(Transactions_RAW_cleaned[[#This Row],[Amount]] &gt; (_xlfn.XLOOKUP(Transactions_RAW_cleaned[[#This Row],[ServiceID]],Services_cleaned[ServiceID],Services_cleaned[TransactionFeePct]) * 10000), "Yes", "No")</f>
        <v>Yes</v>
      </c>
      <c r="R2266" s="5" t="str">
        <f>IF(COUNTIFS($C$2:Transactions_RAW_cleaned[[#This Row],[CustomerID]],Transactions_RAW_cleaned[[#This Row],[CustomerID]],$D$2:Transactions_RAW_cleaned[[#This Row],[ServiceID]],Transactions_RAW_cleaned[[#This Row],[ServiceID]])=1,"Yes","No")</f>
        <v>No</v>
      </c>
      <c r="S226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66" t="str">
        <f>"Q"&amp;ROUNDUP(MONTH(Transactions_RAW_cleaned[[#This Row],[TransactionDate]])/3,0)</f>
        <v>Q4</v>
      </c>
      <c r="U2266" t="str">
        <f>Transactions_RAW_cleaned[[#This Row],[Region ]]&amp;Transactions_RAW_cleaned[[#This Row],[Quarter ]]</f>
        <v>NAQ4</v>
      </c>
      <c r="V2266" s="5">
        <f>_xlfn.XLOOKUP(Transactions_RAW_cleaned[[#This Row],[RegionQuarterKey]], Quarterly_Targets_cleaned[RegionQuarterKey], Quarterly_Targets_cleaned[TargetRevenue])</f>
        <v>299000</v>
      </c>
    </row>
    <row r="2267" spans="1:22" x14ac:dyDescent="0.25">
      <c r="A2267" t="s">
        <v>2604</v>
      </c>
      <c r="B2267" s="1">
        <v>45342</v>
      </c>
      <c r="C2267" t="s">
        <v>247</v>
      </c>
      <c r="D2267" t="s">
        <v>297</v>
      </c>
      <c r="E2267">
        <v>369.64</v>
      </c>
      <c r="F2267" t="s">
        <v>324</v>
      </c>
      <c r="G2267" t="s">
        <v>327</v>
      </c>
      <c r="H2267" t="s">
        <v>334</v>
      </c>
      <c r="I2267" t="s">
        <v>17</v>
      </c>
      <c r="J2267" t="s">
        <v>13</v>
      </c>
      <c r="K2267" t="s">
        <v>28</v>
      </c>
      <c r="L2267" t="s">
        <v>298</v>
      </c>
      <c r="M2267" t="s">
        <v>299</v>
      </c>
      <c r="N2267">
        <v>0</v>
      </c>
      <c r="O2267" t="str">
        <f>IF(Transactions_RAW_cleaned[[#This Row],[Status]]="Completed", IFERROR(_xlfn.XLOOKUP(Transactions_RAW_cleaned[[#This Row],[CustomerID]], Customers_cleaned[CustomerID], Customers_cleaned[Segment]), "Customer Not Found"), "N/A")</f>
        <v>Enterprise</v>
      </c>
      <c r="P2267" s="5" t="str">
        <f>IF(Transactions_RAW_cleaned[[#This Row],[Status]]="Refunded", "Refund",
  IF(Transactions_RAW_cleaned[[#This Row],[Category]]="Payments", IF(Transactions_RAW_cleaned[[#This Row],[Amount]]&gt;500,"High Value","Standard"),
    IF(Transactions_RAW_cleaned[[#This Row],[Amount]]&gt;250,"High Value","Standard")))</f>
        <v>High Value</v>
      </c>
      <c r="Q2267" s="5" t="str">
        <f>IF(Transactions_RAW_cleaned[[#This Row],[Amount]] &gt; (_xlfn.XLOOKUP(Transactions_RAW_cleaned[[#This Row],[ServiceID]],Services_cleaned[ServiceID],Services_cleaned[TransactionFeePct]) * 10000), "Yes", "No")</f>
        <v>Yes</v>
      </c>
      <c r="R2267" s="5" t="str">
        <f>IF(COUNTIFS($C$2:Transactions_RAW_cleaned[[#This Row],[CustomerID]],Transactions_RAW_cleaned[[#This Row],[CustomerID]],$D$2:Transactions_RAW_cleaned[[#This Row],[ServiceID]],Transactions_RAW_cleaned[[#This Row],[ServiceID]])=1,"Yes","No")</f>
        <v>No</v>
      </c>
      <c r="S226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67" t="str">
        <f>"Q"&amp;ROUNDUP(MONTH(Transactions_RAW_cleaned[[#This Row],[TransactionDate]])/3,0)</f>
        <v>Q1</v>
      </c>
      <c r="U2267" t="str">
        <f>Transactions_RAW_cleaned[[#This Row],[Region ]]&amp;Transactions_RAW_cleaned[[#This Row],[Quarter ]]</f>
        <v>NAQ1</v>
      </c>
      <c r="V2267" s="5">
        <f>_xlfn.XLOOKUP(Transactions_RAW_cleaned[[#This Row],[RegionQuarterKey]], Quarterly_Targets_cleaned[RegionQuarterKey], Quarterly_Targets_cleaned[TargetRevenue])</f>
        <v>247000</v>
      </c>
    </row>
    <row r="2268" spans="1:22" x14ac:dyDescent="0.25">
      <c r="A2268" t="s">
        <v>2605</v>
      </c>
      <c r="B2268" s="1">
        <v>45532</v>
      </c>
      <c r="C2268" t="s">
        <v>227</v>
      </c>
      <c r="D2268" t="s">
        <v>312</v>
      </c>
      <c r="E2268">
        <v>279.44</v>
      </c>
      <c r="F2268" t="s">
        <v>381</v>
      </c>
      <c r="G2268" t="s">
        <v>327</v>
      </c>
      <c r="I2268" t="s">
        <v>57</v>
      </c>
      <c r="J2268" t="s">
        <v>31</v>
      </c>
      <c r="K2268" t="s">
        <v>32</v>
      </c>
      <c r="L2268" t="s">
        <v>313</v>
      </c>
      <c r="M2268" t="s">
        <v>314</v>
      </c>
      <c r="N2268">
        <v>0</v>
      </c>
      <c r="O2268" t="str">
        <f>IF(Transactions_RAW_cleaned[[#This Row],[Status]]="Completed", IFERROR(_xlfn.XLOOKUP(Transactions_RAW_cleaned[[#This Row],[CustomerID]], Customers_cleaned[CustomerID], Customers_cleaned[Segment]), "Customer Not Found"), "N/A")</f>
        <v>N/A</v>
      </c>
      <c r="P2268" s="5" t="str">
        <f>IF(Transactions_RAW_cleaned[[#This Row],[Status]]="Refunded", "Refund",
  IF(Transactions_RAW_cleaned[[#This Row],[Category]]="Payments", IF(Transactions_RAW_cleaned[[#This Row],[Amount]]&gt;500,"High Value","Standard"),
    IF(Transactions_RAW_cleaned[[#This Row],[Amount]]&gt;250,"High Value","Standard")))</f>
        <v>High Value</v>
      </c>
      <c r="Q2268" s="5" t="str">
        <f>IF(Transactions_RAW_cleaned[[#This Row],[Amount]] &gt; (_xlfn.XLOOKUP(Transactions_RAW_cleaned[[#This Row],[ServiceID]],Services_cleaned[ServiceID],Services_cleaned[TransactionFeePct]) * 10000), "Yes", "No")</f>
        <v>Yes</v>
      </c>
      <c r="R2268" s="5" t="str">
        <f>IF(COUNTIFS($C$2:Transactions_RAW_cleaned[[#This Row],[CustomerID]],Transactions_RAW_cleaned[[#This Row],[CustomerID]],$D$2:Transactions_RAW_cleaned[[#This Row],[ServiceID]],Transactions_RAW_cleaned[[#This Row],[ServiceID]])=1,"Yes","No")</f>
        <v>No</v>
      </c>
      <c r="S226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268" t="str">
        <f>"Q"&amp;ROUNDUP(MONTH(Transactions_RAW_cleaned[[#This Row],[TransactionDate]])/3,0)</f>
        <v>Q3</v>
      </c>
      <c r="U2268" t="str">
        <f>Transactions_RAW_cleaned[[#This Row],[Region ]]&amp;Transactions_RAW_cleaned[[#This Row],[Quarter ]]</f>
        <v>EMEAQ3</v>
      </c>
      <c r="V2268" s="5">
        <f>_xlfn.XLOOKUP(Transactions_RAW_cleaned[[#This Row],[RegionQuarterKey]], Quarterly_Targets_cleaned[RegionQuarterKey], Quarterly_Targets_cleaned[TargetRevenue])</f>
        <v>147000</v>
      </c>
    </row>
    <row r="2269" spans="1:22" x14ac:dyDescent="0.25">
      <c r="A2269" t="s">
        <v>2606</v>
      </c>
      <c r="B2269" s="1">
        <v>45336</v>
      </c>
      <c r="C2269" t="s">
        <v>137</v>
      </c>
      <c r="D2269" t="s">
        <v>300</v>
      </c>
      <c r="E2269">
        <v>486.79</v>
      </c>
      <c r="F2269" t="s">
        <v>324</v>
      </c>
      <c r="G2269" t="s">
        <v>327</v>
      </c>
      <c r="I2269" t="s">
        <v>8</v>
      </c>
      <c r="J2269" t="s">
        <v>13</v>
      </c>
      <c r="K2269" t="s">
        <v>18</v>
      </c>
      <c r="L2269" t="s">
        <v>301</v>
      </c>
      <c r="M2269" t="s">
        <v>302</v>
      </c>
      <c r="N2269">
        <v>5.0000000000000001E-3</v>
      </c>
      <c r="O2269" t="str">
        <f>IF(Transactions_RAW_cleaned[[#This Row],[Status]]="Completed", IFERROR(_xlfn.XLOOKUP(Transactions_RAW_cleaned[[#This Row],[CustomerID]], Customers_cleaned[CustomerID], Customers_cleaned[Segment]), "Customer Not Found"), "N/A")</f>
        <v>SMB</v>
      </c>
      <c r="P2269" s="5" t="str">
        <f>IF(Transactions_RAW_cleaned[[#This Row],[Status]]="Refunded", "Refund",
  IF(Transactions_RAW_cleaned[[#This Row],[Category]]="Payments", IF(Transactions_RAW_cleaned[[#This Row],[Amount]]&gt;500,"High Value","Standard"),
    IF(Transactions_RAW_cleaned[[#This Row],[Amount]]&gt;250,"High Value","Standard")))</f>
        <v>High Value</v>
      </c>
      <c r="Q2269" s="5" t="str">
        <f>IF(Transactions_RAW_cleaned[[#This Row],[Amount]] &gt; (_xlfn.XLOOKUP(Transactions_RAW_cleaned[[#This Row],[ServiceID]],Services_cleaned[ServiceID],Services_cleaned[TransactionFeePct]) * 10000), "Yes", "No")</f>
        <v>Yes</v>
      </c>
      <c r="R2269" s="5" t="str">
        <f>IF(COUNTIFS($C$2:Transactions_RAW_cleaned[[#This Row],[CustomerID]],Transactions_RAW_cleaned[[#This Row],[CustomerID]],$D$2:Transactions_RAW_cleaned[[#This Row],[ServiceID]],Transactions_RAW_cleaned[[#This Row],[ServiceID]])=1,"Yes","No")</f>
        <v>Yes</v>
      </c>
      <c r="S226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69" t="str">
        <f>"Q"&amp;ROUNDUP(MONTH(Transactions_RAW_cleaned[[#This Row],[TransactionDate]])/3,0)</f>
        <v>Q1</v>
      </c>
      <c r="U2269" t="str">
        <f>Transactions_RAW_cleaned[[#This Row],[Region ]]&amp;Transactions_RAW_cleaned[[#This Row],[Quarter ]]</f>
        <v>NAQ1</v>
      </c>
      <c r="V2269" s="5">
        <f>_xlfn.XLOOKUP(Transactions_RAW_cleaned[[#This Row],[RegionQuarterKey]], Quarterly_Targets_cleaned[RegionQuarterKey], Quarterly_Targets_cleaned[TargetRevenue])</f>
        <v>247000</v>
      </c>
    </row>
    <row r="2270" spans="1:22" x14ac:dyDescent="0.25">
      <c r="A2270" t="s">
        <v>2607</v>
      </c>
      <c r="B2270" s="1">
        <v>45316</v>
      </c>
      <c r="C2270" t="s">
        <v>86</v>
      </c>
      <c r="D2270" t="s">
        <v>294</v>
      </c>
      <c r="E2270">
        <v>225.78</v>
      </c>
      <c r="F2270" t="s">
        <v>381</v>
      </c>
      <c r="G2270" t="s">
        <v>337</v>
      </c>
      <c r="H2270" t="s">
        <v>334</v>
      </c>
      <c r="I2270" t="s">
        <v>8</v>
      </c>
      <c r="J2270" t="s">
        <v>102</v>
      </c>
      <c r="K2270" t="s">
        <v>18</v>
      </c>
      <c r="L2270" t="s">
        <v>295</v>
      </c>
      <c r="M2270" t="s">
        <v>296</v>
      </c>
      <c r="N2270">
        <v>2.9000000000000001E-2</v>
      </c>
      <c r="O2270" t="str">
        <f>IF(Transactions_RAW_cleaned[[#This Row],[Status]]="Completed", IFERROR(_xlfn.XLOOKUP(Transactions_RAW_cleaned[[#This Row],[CustomerID]], Customers_cleaned[CustomerID], Customers_cleaned[Segment]), "Customer Not Found"), "N/A")</f>
        <v>N/A</v>
      </c>
      <c r="P2270" s="5" t="str">
        <f>IF(Transactions_RAW_cleaned[[#This Row],[Status]]="Refunded", "Refund",
  IF(Transactions_RAW_cleaned[[#This Row],[Category]]="Payments", IF(Transactions_RAW_cleaned[[#This Row],[Amount]]&gt;500,"High Value","Standard"),
    IF(Transactions_RAW_cleaned[[#This Row],[Amount]]&gt;250,"High Value","Standard")))</f>
        <v>Standard</v>
      </c>
      <c r="Q2270" s="5" t="str">
        <f>IF(Transactions_RAW_cleaned[[#This Row],[Amount]] &gt; (_xlfn.XLOOKUP(Transactions_RAW_cleaned[[#This Row],[ServiceID]],Services_cleaned[ServiceID],Services_cleaned[TransactionFeePct]) * 10000), "Yes", "No")</f>
        <v>No</v>
      </c>
      <c r="R2270" s="5" t="str">
        <f>IF(COUNTIFS($C$2:Transactions_RAW_cleaned[[#This Row],[CustomerID]],Transactions_RAW_cleaned[[#This Row],[CustomerID]],$D$2:Transactions_RAW_cleaned[[#This Row],[ServiceID]],Transactions_RAW_cleaned[[#This Row],[ServiceID]])=1,"Yes","No")</f>
        <v>No</v>
      </c>
      <c r="S227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70" t="str">
        <f>"Q"&amp;ROUNDUP(MONTH(Transactions_RAW_cleaned[[#This Row],[TransactionDate]])/3,0)</f>
        <v>Q1</v>
      </c>
      <c r="U2270" t="str">
        <f>Transactions_RAW_cleaned[[#This Row],[Region ]]&amp;Transactions_RAW_cleaned[[#This Row],[Quarter ]]</f>
        <v>NAQ1</v>
      </c>
      <c r="V2270" s="5">
        <f>_xlfn.XLOOKUP(Transactions_RAW_cleaned[[#This Row],[RegionQuarterKey]], Quarterly_Targets_cleaned[RegionQuarterKey], Quarterly_Targets_cleaned[TargetRevenue])</f>
        <v>247000</v>
      </c>
    </row>
    <row r="2271" spans="1:22" x14ac:dyDescent="0.25">
      <c r="A2271" t="s">
        <v>2608</v>
      </c>
      <c r="B2271" s="1">
        <v>45403</v>
      </c>
      <c r="C2271" t="s">
        <v>139</v>
      </c>
      <c r="D2271" t="s">
        <v>315</v>
      </c>
      <c r="E2271">
        <v>264.57</v>
      </c>
      <c r="F2271" t="s">
        <v>324</v>
      </c>
      <c r="G2271" t="s">
        <v>337</v>
      </c>
      <c r="H2271" t="s">
        <v>346</v>
      </c>
      <c r="I2271" t="s">
        <v>8</v>
      </c>
      <c r="J2271" t="s">
        <v>102</v>
      </c>
      <c r="K2271" t="s">
        <v>22</v>
      </c>
      <c r="L2271" t="s">
        <v>316</v>
      </c>
      <c r="M2271" t="s">
        <v>305</v>
      </c>
      <c r="N2271">
        <v>2.5000000000000001E-3</v>
      </c>
      <c r="O2271" t="str">
        <f>IF(Transactions_RAW_cleaned[[#This Row],[Status]]="Completed", IFERROR(_xlfn.XLOOKUP(Transactions_RAW_cleaned[[#This Row],[CustomerID]], Customers_cleaned[CustomerID], Customers_cleaned[Segment]), "Customer Not Found"), "N/A")</f>
        <v>SMB</v>
      </c>
      <c r="P2271" s="5" t="str">
        <f>IF(Transactions_RAW_cleaned[[#This Row],[Status]]="Refunded", "Refund",
  IF(Transactions_RAW_cleaned[[#This Row],[Category]]="Payments", IF(Transactions_RAW_cleaned[[#This Row],[Amount]]&gt;500,"High Value","Standard"),
    IF(Transactions_RAW_cleaned[[#This Row],[Amount]]&gt;250,"High Value","Standard")))</f>
        <v>High Value</v>
      </c>
      <c r="Q2271" s="5" t="str">
        <f>IF(Transactions_RAW_cleaned[[#This Row],[Amount]] &gt; (_xlfn.XLOOKUP(Transactions_RAW_cleaned[[#This Row],[ServiceID]],Services_cleaned[ServiceID],Services_cleaned[TransactionFeePct]) * 10000), "Yes", "No")</f>
        <v>Yes</v>
      </c>
      <c r="R2271" s="5" t="str">
        <f>IF(COUNTIFS($C$2:Transactions_RAW_cleaned[[#This Row],[CustomerID]],Transactions_RAW_cleaned[[#This Row],[CustomerID]],$D$2:Transactions_RAW_cleaned[[#This Row],[ServiceID]],Transactions_RAW_cleaned[[#This Row],[ServiceID]])=1,"Yes","No")</f>
        <v>No</v>
      </c>
      <c r="S227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71" t="str">
        <f>"Q"&amp;ROUNDUP(MONTH(Transactions_RAW_cleaned[[#This Row],[TransactionDate]])/3,0)</f>
        <v>Q2</v>
      </c>
      <c r="U2271" t="str">
        <f>Transactions_RAW_cleaned[[#This Row],[Region ]]&amp;Transactions_RAW_cleaned[[#This Row],[Quarter ]]</f>
        <v>NAQ2</v>
      </c>
      <c r="V2271" s="5">
        <f>_xlfn.XLOOKUP(Transactions_RAW_cleaned[[#This Row],[RegionQuarterKey]], Quarterly_Targets_cleaned[RegionQuarterKey], Quarterly_Targets_cleaned[TargetRevenue])</f>
        <v>260000</v>
      </c>
    </row>
    <row r="2272" spans="1:22" x14ac:dyDescent="0.25">
      <c r="A2272" t="s">
        <v>2609</v>
      </c>
      <c r="B2272" s="1">
        <v>45334</v>
      </c>
      <c r="C2272" t="s">
        <v>47</v>
      </c>
      <c r="D2272" t="s">
        <v>312</v>
      </c>
      <c r="E2272">
        <v>423.31</v>
      </c>
      <c r="F2272" t="s">
        <v>324</v>
      </c>
      <c r="G2272" t="s">
        <v>325</v>
      </c>
      <c r="H2272" t="s">
        <v>346</v>
      </c>
      <c r="I2272" t="s">
        <v>8</v>
      </c>
      <c r="J2272" t="s">
        <v>21</v>
      </c>
      <c r="K2272" t="s">
        <v>22</v>
      </c>
      <c r="L2272" t="s">
        <v>313</v>
      </c>
      <c r="M2272" t="s">
        <v>314</v>
      </c>
      <c r="N2272">
        <v>0</v>
      </c>
      <c r="O2272" t="str">
        <f>IF(Transactions_RAW_cleaned[[#This Row],[Status]]="Completed", IFERROR(_xlfn.XLOOKUP(Transactions_RAW_cleaned[[#This Row],[CustomerID]], Customers_cleaned[CustomerID], Customers_cleaned[Segment]), "Customer Not Found"), "N/A")</f>
        <v>SMB</v>
      </c>
      <c r="P2272" s="5" t="str">
        <f>IF(Transactions_RAW_cleaned[[#This Row],[Status]]="Refunded", "Refund",
  IF(Transactions_RAW_cleaned[[#This Row],[Category]]="Payments", IF(Transactions_RAW_cleaned[[#This Row],[Amount]]&gt;500,"High Value","Standard"),
    IF(Transactions_RAW_cleaned[[#This Row],[Amount]]&gt;250,"High Value","Standard")))</f>
        <v>High Value</v>
      </c>
      <c r="Q2272" s="5" t="str">
        <f>IF(Transactions_RAW_cleaned[[#This Row],[Amount]] &gt; (_xlfn.XLOOKUP(Transactions_RAW_cleaned[[#This Row],[ServiceID]],Services_cleaned[ServiceID],Services_cleaned[TransactionFeePct]) * 10000), "Yes", "No")</f>
        <v>Yes</v>
      </c>
      <c r="R2272" s="5" t="str">
        <f>IF(COUNTIFS($C$2:Transactions_RAW_cleaned[[#This Row],[CustomerID]],Transactions_RAW_cleaned[[#This Row],[CustomerID]],$D$2:Transactions_RAW_cleaned[[#This Row],[ServiceID]],Transactions_RAW_cleaned[[#This Row],[ServiceID]])=1,"Yes","No")</f>
        <v>No</v>
      </c>
      <c r="S227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72" t="str">
        <f>"Q"&amp;ROUNDUP(MONTH(Transactions_RAW_cleaned[[#This Row],[TransactionDate]])/3,0)</f>
        <v>Q1</v>
      </c>
      <c r="U2272" t="str">
        <f>Transactions_RAW_cleaned[[#This Row],[Region ]]&amp;Transactions_RAW_cleaned[[#This Row],[Quarter ]]</f>
        <v>APACQ1</v>
      </c>
      <c r="V2272" s="5">
        <f>_xlfn.XLOOKUP(Transactions_RAW_cleaned[[#This Row],[RegionQuarterKey]], Quarterly_Targets_cleaned[RegionQuarterKey], Quarterly_Targets_cleaned[TargetRevenue])</f>
        <v>104500</v>
      </c>
    </row>
    <row r="2273" spans="1:22" x14ac:dyDescent="0.25">
      <c r="A2273" t="s">
        <v>2610</v>
      </c>
      <c r="B2273" s="1">
        <v>45586</v>
      </c>
      <c r="C2273" t="s">
        <v>135</v>
      </c>
      <c r="D2273" t="s">
        <v>300</v>
      </c>
      <c r="E2273">
        <v>614.12</v>
      </c>
      <c r="F2273" t="s">
        <v>381</v>
      </c>
      <c r="G2273" t="s">
        <v>327</v>
      </c>
      <c r="H2273" t="s">
        <v>332</v>
      </c>
      <c r="I2273" t="s">
        <v>8</v>
      </c>
      <c r="J2273" t="s">
        <v>46</v>
      </c>
      <c r="K2273" t="s">
        <v>10</v>
      </c>
      <c r="L2273" t="s">
        <v>301</v>
      </c>
      <c r="M2273" t="s">
        <v>302</v>
      </c>
      <c r="N2273">
        <v>5.0000000000000001E-3</v>
      </c>
      <c r="O2273" t="str">
        <f>IF(Transactions_RAW_cleaned[[#This Row],[Status]]="Completed", IFERROR(_xlfn.XLOOKUP(Transactions_RAW_cleaned[[#This Row],[CustomerID]], Customers_cleaned[CustomerID], Customers_cleaned[Segment]), "Customer Not Found"), "N/A")</f>
        <v>N/A</v>
      </c>
      <c r="P2273" s="5" t="str">
        <f>IF(Transactions_RAW_cleaned[[#This Row],[Status]]="Refunded", "Refund",
  IF(Transactions_RAW_cleaned[[#This Row],[Category]]="Payments", IF(Transactions_RAW_cleaned[[#This Row],[Amount]]&gt;500,"High Value","Standard"),
    IF(Transactions_RAW_cleaned[[#This Row],[Amount]]&gt;250,"High Value","Standard")))</f>
        <v>High Value</v>
      </c>
      <c r="Q2273" s="5" t="str">
        <f>IF(Transactions_RAW_cleaned[[#This Row],[Amount]] &gt; (_xlfn.XLOOKUP(Transactions_RAW_cleaned[[#This Row],[ServiceID]],Services_cleaned[ServiceID],Services_cleaned[TransactionFeePct]) * 10000), "Yes", "No")</f>
        <v>Yes</v>
      </c>
      <c r="R2273" s="5" t="str">
        <f>IF(COUNTIFS($C$2:Transactions_RAW_cleaned[[#This Row],[CustomerID]],Transactions_RAW_cleaned[[#This Row],[CustomerID]],$D$2:Transactions_RAW_cleaned[[#This Row],[ServiceID]],Transactions_RAW_cleaned[[#This Row],[ServiceID]])=1,"Yes","No")</f>
        <v>No</v>
      </c>
      <c r="S227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73" t="str">
        <f>"Q"&amp;ROUNDUP(MONTH(Transactions_RAW_cleaned[[#This Row],[TransactionDate]])/3,0)</f>
        <v>Q4</v>
      </c>
      <c r="U2273" t="str">
        <f>Transactions_RAW_cleaned[[#This Row],[Region ]]&amp;Transactions_RAW_cleaned[[#This Row],[Quarter ]]</f>
        <v>APACQ4</v>
      </c>
      <c r="V2273" s="5">
        <f>_xlfn.XLOOKUP(Transactions_RAW_cleaned[[#This Row],[RegionQuarterKey]], Quarterly_Targets_cleaned[RegionQuarterKey], Quarterly_Targets_cleaned[TargetRevenue])</f>
        <v>126500</v>
      </c>
    </row>
    <row r="2274" spans="1:22" x14ac:dyDescent="0.25">
      <c r="A2274" t="s">
        <v>2611</v>
      </c>
      <c r="B2274" s="1">
        <v>45439</v>
      </c>
      <c r="C2274" t="s">
        <v>72</v>
      </c>
      <c r="D2274" t="s">
        <v>297</v>
      </c>
      <c r="E2274">
        <v>334.84</v>
      </c>
      <c r="F2274" t="s">
        <v>324</v>
      </c>
      <c r="G2274" t="s">
        <v>325</v>
      </c>
      <c r="I2274" t="s">
        <v>57</v>
      </c>
      <c r="J2274" t="s">
        <v>46</v>
      </c>
      <c r="K2274" t="s">
        <v>32</v>
      </c>
      <c r="L2274" t="s">
        <v>298</v>
      </c>
      <c r="M2274" t="s">
        <v>299</v>
      </c>
      <c r="N2274">
        <v>0</v>
      </c>
      <c r="O2274" t="str">
        <f>IF(Transactions_RAW_cleaned[[#This Row],[Status]]="Completed", IFERROR(_xlfn.XLOOKUP(Transactions_RAW_cleaned[[#This Row],[CustomerID]], Customers_cleaned[CustomerID], Customers_cleaned[Segment]), "Customer Not Found"), "N/A")</f>
        <v>Startup</v>
      </c>
      <c r="P2274" s="5" t="str">
        <f>IF(Transactions_RAW_cleaned[[#This Row],[Status]]="Refunded", "Refund",
  IF(Transactions_RAW_cleaned[[#This Row],[Category]]="Payments", IF(Transactions_RAW_cleaned[[#This Row],[Amount]]&gt;500,"High Value","Standard"),
    IF(Transactions_RAW_cleaned[[#This Row],[Amount]]&gt;250,"High Value","Standard")))</f>
        <v>High Value</v>
      </c>
      <c r="Q2274" s="5" t="str">
        <f>IF(Transactions_RAW_cleaned[[#This Row],[Amount]] &gt; (_xlfn.XLOOKUP(Transactions_RAW_cleaned[[#This Row],[ServiceID]],Services_cleaned[ServiceID],Services_cleaned[TransactionFeePct]) * 10000), "Yes", "No")</f>
        <v>Yes</v>
      </c>
      <c r="R2274" s="5" t="str">
        <f>IF(COUNTIFS($C$2:Transactions_RAW_cleaned[[#This Row],[CustomerID]],Transactions_RAW_cleaned[[#This Row],[CustomerID]],$D$2:Transactions_RAW_cleaned[[#This Row],[ServiceID]],Transactions_RAW_cleaned[[#This Row],[ServiceID]])=1,"Yes","No")</f>
        <v>No</v>
      </c>
      <c r="S227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74" t="str">
        <f>"Q"&amp;ROUNDUP(MONTH(Transactions_RAW_cleaned[[#This Row],[TransactionDate]])/3,0)</f>
        <v>Q2</v>
      </c>
      <c r="U2274" t="str">
        <f>Transactions_RAW_cleaned[[#This Row],[Region ]]&amp;Transactions_RAW_cleaned[[#This Row],[Quarter ]]</f>
        <v>APACQ2</v>
      </c>
      <c r="V2274" s="5">
        <f>_xlfn.XLOOKUP(Transactions_RAW_cleaned[[#This Row],[RegionQuarterKey]], Quarterly_Targets_cleaned[RegionQuarterKey], Quarterly_Targets_cleaned[TargetRevenue])</f>
        <v>110000</v>
      </c>
    </row>
    <row r="2275" spans="1:22" x14ac:dyDescent="0.25">
      <c r="A2275" t="s">
        <v>2612</v>
      </c>
      <c r="B2275" s="1">
        <v>45566</v>
      </c>
      <c r="C2275" t="s">
        <v>133</v>
      </c>
      <c r="D2275" t="s">
        <v>294</v>
      </c>
      <c r="E2275">
        <v>176.17</v>
      </c>
      <c r="F2275" t="s">
        <v>381</v>
      </c>
      <c r="G2275" t="s">
        <v>337</v>
      </c>
      <c r="H2275" t="s">
        <v>346</v>
      </c>
      <c r="I2275" t="s">
        <v>17</v>
      </c>
      <c r="J2275" t="s">
        <v>102</v>
      </c>
      <c r="K2275" t="s">
        <v>22</v>
      </c>
      <c r="L2275" t="s">
        <v>295</v>
      </c>
      <c r="M2275" t="s">
        <v>296</v>
      </c>
      <c r="N2275">
        <v>2.9000000000000001E-2</v>
      </c>
      <c r="O2275" t="str">
        <f>IF(Transactions_RAW_cleaned[[#This Row],[Status]]="Completed", IFERROR(_xlfn.XLOOKUP(Transactions_RAW_cleaned[[#This Row],[CustomerID]], Customers_cleaned[CustomerID], Customers_cleaned[Segment]), "Customer Not Found"), "N/A")</f>
        <v>N/A</v>
      </c>
      <c r="P2275" s="5" t="str">
        <f>IF(Transactions_RAW_cleaned[[#This Row],[Status]]="Refunded", "Refund",
  IF(Transactions_RAW_cleaned[[#This Row],[Category]]="Payments", IF(Transactions_RAW_cleaned[[#This Row],[Amount]]&gt;500,"High Value","Standard"),
    IF(Transactions_RAW_cleaned[[#This Row],[Amount]]&gt;250,"High Value","Standard")))</f>
        <v>Standard</v>
      </c>
      <c r="Q2275" s="5" t="str">
        <f>IF(Transactions_RAW_cleaned[[#This Row],[Amount]] &gt; (_xlfn.XLOOKUP(Transactions_RAW_cleaned[[#This Row],[ServiceID]],Services_cleaned[ServiceID],Services_cleaned[TransactionFeePct]) * 10000), "Yes", "No")</f>
        <v>No</v>
      </c>
      <c r="R2275" s="5" t="str">
        <f>IF(COUNTIFS($C$2:Transactions_RAW_cleaned[[#This Row],[CustomerID]],Transactions_RAW_cleaned[[#This Row],[CustomerID]],$D$2:Transactions_RAW_cleaned[[#This Row],[ServiceID]],Transactions_RAW_cleaned[[#This Row],[ServiceID]])=1,"Yes","No")</f>
        <v>No</v>
      </c>
      <c r="S227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75" t="str">
        <f>"Q"&amp;ROUNDUP(MONTH(Transactions_RAW_cleaned[[#This Row],[TransactionDate]])/3,0)</f>
        <v>Q4</v>
      </c>
      <c r="U2275" t="str">
        <f>Transactions_RAW_cleaned[[#This Row],[Region ]]&amp;Transactions_RAW_cleaned[[#This Row],[Quarter ]]</f>
        <v>NAQ4</v>
      </c>
      <c r="V2275" s="5">
        <f>_xlfn.XLOOKUP(Transactions_RAW_cleaned[[#This Row],[RegionQuarterKey]], Quarterly_Targets_cleaned[RegionQuarterKey], Quarterly_Targets_cleaned[TargetRevenue])</f>
        <v>299000</v>
      </c>
    </row>
    <row r="2276" spans="1:22" x14ac:dyDescent="0.25">
      <c r="A2276" t="s">
        <v>2613</v>
      </c>
      <c r="B2276" s="1">
        <v>45352</v>
      </c>
      <c r="C2276" t="s">
        <v>40</v>
      </c>
      <c r="D2276" t="s">
        <v>300</v>
      </c>
      <c r="E2276">
        <v>525.1</v>
      </c>
      <c r="F2276" t="s">
        <v>324</v>
      </c>
      <c r="G2276" t="s">
        <v>327</v>
      </c>
      <c r="I2276" t="s">
        <v>17</v>
      </c>
      <c r="J2276" t="s">
        <v>102</v>
      </c>
      <c r="K2276" t="s">
        <v>14</v>
      </c>
      <c r="L2276" t="s">
        <v>301</v>
      </c>
      <c r="M2276" t="s">
        <v>302</v>
      </c>
      <c r="N2276">
        <v>5.0000000000000001E-3</v>
      </c>
      <c r="O2276" t="str">
        <f>IF(Transactions_RAW_cleaned[[#This Row],[Status]]="Completed", IFERROR(_xlfn.XLOOKUP(Transactions_RAW_cleaned[[#This Row],[CustomerID]], Customers_cleaned[CustomerID], Customers_cleaned[Segment]), "Customer Not Found"), "N/A")</f>
        <v>Enterprise</v>
      </c>
      <c r="P2276" s="5" t="str">
        <f>IF(Transactions_RAW_cleaned[[#This Row],[Status]]="Refunded", "Refund",
  IF(Transactions_RAW_cleaned[[#This Row],[Category]]="Payments", IF(Transactions_RAW_cleaned[[#This Row],[Amount]]&gt;500,"High Value","Standard"),
    IF(Transactions_RAW_cleaned[[#This Row],[Amount]]&gt;250,"High Value","Standard")))</f>
        <v>High Value</v>
      </c>
      <c r="Q2276" s="5" t="str">
        <f>IF(Transactions_RAW_cleaned[[#This Row],[Amount]] &gt; (_xlfn.XLOOKUP(Transactions_RAW_cleaned[[#This Row],[ServiceID]],Services_cleaned[ServiceID],Services_cleaned[TransactionFeePct]) * 10000), "Yes", "No")</f>
        <v>Yes</v>
      </c>
      <c r="R2276" s="5" t="str">
        <f>IF(COUNTIFS($C$2:Transactions_RAW_cleaned[[#This Row],[CustomerID]],Transactions_RAW_cleaned[[#This Row],[CustomerID]],$D$2:Transactions_RAW_cleaned[[#This Row],[ServiceID]],Transactions_RAW_cleaned[[#This Row],[ServiceID]])=1,"Yes","No")</f>
        <v>No</v>
      </c>
      <c r="S227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76" t="str">
        <f>"Q"&amp;ROUNDUP(MONTH(Transactions_RAW_cleaned[[#This Row],[TransactionDate]])/3,0)</f>
        <v>Q1</v>
      </c>
      <c r="U2276" t="str">
        <f>Transactions_RAW_cleaned[[#This Row],[Region ]]&amp;Transactions_RAW_cleaned[[#This Row],[Quarter ]]</f>
        <v>NAQ1</v>
      </c>
      <c r="V2276" s="5">
        <f>_xlfn.XLOOKUP(Transactions_RAW_cleaned[[#This Row],[RegionQuarterKey]], Quarterly_Targets_cleaned[RegionQuarterKey], Quarterly_Targets_cleaned[TargetRevenue])</f>
        <v>247000</v>
      </c>
    </row>
    <row r="2277" spans="1:22" x14ac:dyDescent="0.25">
      <c r="A2277" t="s">
        <v>2614</v>
      </c>
      <c r="B2277" s="1">
        <v>45360</v>
      </c>
      <c r="C2277" t="s">
        <v>249</v>
      </c>
      <c r="D2277" t="s">
        <v>294</v>
      </c>
      <c r="E2277">
        <v>410.89</v>
      </c>
      <c r="F2277" t="s">
        <v>324</v>
      </c>
      <c r="G2277" t="s">
        <v>329</v>
      </c>
      <c r="I2277" t="s">
        <v>57</v>
      </c>
      <c r="J2277" t="s">
        <v>21</v>
      </c>
      <c r="K2277" t="s">
        <v>14</v>
      </c>
      <c r="L2277" t="s">
        <v>295</v>
      </c>
      <c r="M2277" t="s">
        <v>296</v>
      </c>
      <c r="N2277">
        <v>2.9000000000000001E-2</v>
      </c>
      <c r="O2277" t="str">
        <f>IF(Transactions_RAW_cleaned[[#This Row],[Status]]="Completed", IFERROR(_xlfn.XLOOKUP(Transactions_RAW_cleaned[[#This Row],[CustomerID]], Customers_cleaned[CustomerID], Customers_cleaned[Segment]), "Customer Not Found"), "N/A")</f>
        <v>Startup</v>
      </c>
      <c r="P2277" s="5" t="str">
        <f>IF(Transactions_RAW_cleaned[[#This Row],[Status]]="Refunded", "Refund",
  IF(Transactions_RAW_cleaned[[#This Row],[Category]]="Payments", IF(Transactions_RAW_cleaned[[#This Row],[Amount]]&gt;500,"High Value","Standard"),
    IF(Transactions_RAW_cleaned[[#This Row],[Amount]]&gt;250,"High Value","Standard")))</f>
        <v>Standard</v>
      </c>
      <c r="Q2277" s="5" t="str">
        <f>IF(Transactions_RAW_cleaned[[#This Row],[Amount]] &gt; (_xlfn.XLOOKUP(Transactions_RAW_cleaned[[#This Row],[ServiceID]],Services_cleaned[ServiceID],Services_cleaned[TransactionFeePct]) * 10000), "Yes", "No")</f>
        <v>Yes</v>
      </c>
      <c r="R2277" s="5" t="str">
        <f>IF(COUNTIFS($C$2:Transactions_RAW_cleaned[[#This Row],[CustomerID]],Transactions_RAW_cleaned[[#This Row],[CustomerID]],$D$2:Transactions_RAW_cleaned[[#This Row],[ServiceID]],Transactions_RAW_cleaned[[#This Row],[ServiceID]])=1,"Yes","No")</f>
        <v>No</v>
      </c>
      <c r="S227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77" t="str">
        <f>"Q"&amp;ROUNDUP(MONTH(Transactions_RAW_cleaned[[#This Row],[TransactionDate]])/3,0)</f>
        <v>Q1</v>
      </c>
      <c r="U2277" t="str">
        <f>Transactions_RAW_cleaned[[#This Row],[Region ]]&amp;Transactions_RAW_cleaned[[#This Row],[Quarter ]]</f>
        <v>APACQ1</v>
      </c>
      <c r="V2277" s="5">
        <f>_xlfn.XLOOKUP(Transactions_RAW_cleaned[[#This Row],[RegionQuarterKey]], Quarterly_Targets_cleaned[RegionQuarterKey], Quarterly_Targets_cleaned[TargetRevenue])</f>
        <v>104500</v>
      </c>
    </row>
    <row r="2278" spans="1:22" x14ac:dyDescent="0.25">
      <c r="A2278" t="s">
        <v>2615</v>
      </c>
      <c r="B2278" s="1">
        <v>45483</v>
      </c>
      <c r="C2278" t="s">
        <v>205</v>
      </c>
      <c r="D2278" t="s">
        <v>315</v>
      </c>
      <c r="E2278">
        <v>360.99</v>
      </c>
      <c r="F2278" t="s">
        <v>324</v>
      </c>
      <c r="G2278" t="s">
        <v>327</v>
      </c>
      <c r="I2278" t="s">
        <v>8</v>
      </c>
      <c r="J2278" t="s">
        <v>21</v>
      </c>
      <c r="K2278" t="s">
        <v>14</v>
      </c>
      <c r="L2278" t="s">
        <v>316</v>
      </c>
      <c r="M2278" t="s">
        <v>305</v>
      </c>
      <c r="N2278">
        <v>2.5000000000000001E-3</v>
      </c>
      <c r="O2278" t="str">
        <f>IF(Transactions_RAW_cleaned[[#This Row],[Status]]="Completed", IFERROR(_xlfn.XLOOKUP(Transactions_RAW_cleaned[[#This Row],[CustomerID]], Customers_cleaned[CustomerID], Customers_cleaned[Segment]), "Customer Not Found"), "N/A")</f>
        <v>SMB</v>
      </c>
      <c r="P2278" s="5" t="str">
        <f>IF(Transactions_RAW_cleaned[[#This Row],[Status]]="Refunded", "Refund",
  IF(Transactions_RAW_cleaned[[#This Row],[Category]]="Payments", IF(Transactions_RAW_cleaned[[#This Row],[Amount]]&gt;500,"High Value","Standard"),
    IF(Transactions_RAW_cleaned[[#This Row],[Amount]]&gt;250,"High Value","Standard")))</f>
        <v>High Value</v>
      </c>
      <c r="Q2278" s="5" t="str">
        <f>IF(Transactions_RAW_cleaned[[#This Row],[Amount]] &gt; (_xlfn.XLOOKUP(Transactions_RAW_cleaned[[#This Row],[ServiceID]],Services_cleaned[ServiceID],Services_cleaned[TransactionFeePct]) * 10000), "Yes", "No")</f>
        <v>Yes</v>
      </c>
      <c r="R2278" s="5" t="str">
        <f>IF(COUNTIFS($C$2:Transactions_RAW_cleaned[[#This Row],[CustomerID]],Transactions_RAW_cleaned[[#This Row],[CustomerID]],$D$2:Transactions_RAW_cleaned[[#This Row],[ServiceID]],Transactions_RAW_cleaned[[#This Row],[ServiceID]])=1,"Yes","No")</f>
        <v>No</v>
      </c>
      <c r="S227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78" t="str">
        <f>"Q"&amp;ROUNDUP(MONTH(Transactions_RAW_cleaned[[#This Row],[TransactionDate]])/3,0)</f>
        <v>Q3</v>
      </c>
      <c r="U2278" t="str">
        <f>Transactions_RAW_cleaned[[#This Row],[Region ]]&amp;Transactions_RAW_cleaned[[#This Row],[Quarter ]]</f>
        <v>APACQ3</v>
      </c>
      <c r="V2278" s="5">
        <f>_xlfn.XLOOKUP(Transactions_RAW_cleaned[[#This Row],[RegionQuarterKey]], Quarterly_Targets_cleaned[RegionQuarterKey], Quarterly_Targets_cleaned[TargetRevenue])</f>
        <v>115500</v>
      </c>
    </row>
    <row r="2279" spans="1:22" x14ac:dyDescent="0.25">
      <c r="A2279" t="s">
        <v>2616</v>
      </c>
      <c r="B2279" s="1">
        <v>45618</v>
      </c>
      <c r="C2279" t="s">
        <v>173</v>
      </c>
      <c r="D2279" t="s">
        <v>294</v>
      </c>
      <c r="E2279">
        <v>79.13</v>
      </c>
      <c r="F2279" t="s">
        <v>324</v>
      </c>
      <c r="G2279" t="s">
        <v>327</v>
      </c>
      <c r="H2279" t="s">
        <v>332</v>
      </c>
      <c r="I2279" t="s">
        <v>8</v>
      </c>
      <c r="J2279" t="s">
        <v>46</v>
      </c>
      <c r="K2279" t="s">
        <v>32</v>
      </c>
      <c r="L2279" t="s">
        <v>295</v>
      </c>
      <c r="M2279" t="s">
        <v>296</v>
      </c>
      <c r="N2279">
        <v>2.9000000000000001E-2</v>
      </c>
      <c r="O2279" t="str">
        <f>IF(Transactions_RAW_cleaned[[#This Row],[Status]]="Completed", IFERROR(_xlfn.XLOOKUP(Transactions_RAW_cleaned[[#This Row],[CustomerID]], Customers_cleaned[CustomerID], Customers_cleaned[Segment]), "Customer Not Found"), "N/A")</f>
        <v>SMB</v>
      </c>
      <c r="P2279" s="5" t="str">
        <f>IF(Transactions_RAW_cleaned[[#This Row],[Status]]="Refunded", "Refund",
  IF(Transactions_RAW_cleaned[[#This Row],[Category]]="Payments", IF(Transactions_RAW_cleaned[[#This Row],[Amount]]&gt;500,"High Value","Standard"),
    IF(Transactions_RAW_cleaned[[#This Row],[Amount]]&gt;250,"High Value","Standard")))</f>
        <v>Standard</v>
      </c>
      <c r="Q2279" s="5" t="str">
        <f>IF(Transactions_RAW_cleaned[[#This Row],[Amount]] &gt; (_xlfn.XLOOKUP(Transactions_RAW_cleaned[[#This Row],[ServiceID]],Services_cleaned[ServiceID],Services_cleaned[TransactionFeePct]) * 10000), "Yes", "No")</f>
        <v>No</v>
      </c>
      <c r="R2279" s="5" t="str">
        <f>IF(COUNTIFS($C$2:Transactions_RAW_cleaned[[#This Row],[CustomerID]],Transactions_RAW_cleaned[[#This Row],[CustomerID]],$D$2:Transactions_RAW_cleaned[[#This Row],[ServiceID]],Transactions_RAW_cleaned[[#This Row],[ServiceID]])=1,"Yes","No")</f>
        <v>No</v>
      </c>
      <c r="S227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79" t="str">
        <f>"Q"&amp;ROUNDUP(MONTH(Transactions_RAW_cleaned[[#This Row],[TransactionDate]])/3,0)</f>
        <v>Q4</v>
      </c>
      <c r="U2279" t="str">
        <f>Transactions_RAW_cleaned[[#This Row],[Region ]]&amp;Transactions_RAW_cleaned[[#This Row],[Quarter ]]</f>
        <v>APACQ4</v>
      </c>
      <c r="V2279" s="5">
        <f>_xlfn.XLOOKUP(Transactions_RAW_cleaned[[#This Row],[RegionQuarterKey]], Quarterly_Targets_cleaned[RegionQuarterKey], Quarterly_Targets_cleaned[TargetRevenue])</f>
        <v>126500</v>
      </c>
    </row>
    <row r="2280" spans="1:22" x14ac:dyDescent="0.25">
      <c r="A2280" t="s">
        <v>2617</v>
      </c>
      <c r="B2280" s="1">
        <v>45585</v>
      </c>
      <c r="C2280" t="s">
        <v>82</v>
      </c>
      <c r="D2280" t="s">
        <v>300</v>
      </c>
      <c r="E2280">
        <v>390.81</v>
      </c>
      <c r="F2280" t="s">
        <v>324</v>
      </c>
      <c r="G2280" t="s">
        <v>2963</v>
      </c>
      <c r="H2280" t="s">
        <v>334</v>
      </c>
      <c r="I2280" t="s">
        <v>57</v>
      </c>
      <c r="J2280" t="s">
        <v>46</v>
      </c>
      <c r="K2280" t="s">
        <v>10</v>
      </c>
      <c r="L2280" t="s">
        <v>301</v>
      </c>
      <c r="M2280" t="s">
        <v>302</v>
      </c>
      <c r="N2280">
        <v>5.0000000000000001E-3</v>
      </c>
      <c r="O2280" t="str">
        <f>IF(Transactions_RAW_cleaned[[#This Row],[Status]]="Completed", IFERROR(_xlfn.XLOOKUP(Transactions_RAW_cleaned[[#This Row],[CustomerID]], Customers_cleaned[CustomerID], Customers_cleaned[Segment]), "Customer Not Found"), "N/A")</f>
        <v>Startup</v>
      </c>
      <c r="P2280" s="5" t="str">
        <f>IF(Transactions_RAW_cleaned[[#This Row],[Status]]="Refunded", "Refund",
  IF(Transactions_RAW_cleaned[[#This Row],[Category]]="Payments", IF(Transactions_RAW_cleaned[[#This Row],[Amount]]&gt;500,"High Value","Standard"),
    IF(Transactions_RAW_cleaned[[#This Row],[Amount]]&gt;250,"High Value","Standard")))</f>
        <v>High Value</v>
      </c>
      <c r="Q2280" s="5" t="str">
        <f>IF(Transactions_RAW_cleaned[[#This Row],[Amount]] &gt; (_xlfn.XLOOKUP(Transactions_RAW_cleaned[[#This Row],[ServiceID]],Services_cleaned[ServiceID],Services_cleaned[TransactionFeePct]) * 10000), "Yes", "No")</f>
        <v>Yes</v>
      </c>
      <c r="R2280" s="5" t="str">
        <f>IF(COUNTIFS($C$2:Transactions_RAW_cleaned[[#This Row],[CustomerID]],Transactions_RAW_cleaned[[#This Row],[CustomerID]],$D$2:Transactions_RAW_cleaned[[#This Row],[ServiceID]],Transactions_RAW_cleaned[[#This Row],[ServiceID]])=1,"Yes","No")</f>
        <v>No</v>
      </c>
      <c r="S228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80" t="str">
        <f>"Q"&amp;ROUNDUP(MONTH(Transactions_RAW_cleaned[[#This Row],[TransactionDate]])/3,0)</f>
        <v>Q4</v>
      </c>
      <c r="U2280" t="str">
        <f>Transactions_RAW_cleaned[[#This Row],[Region ]]&amp;Transactions_RAW_cleaned[[#This Row],[Quarter ]]</f>
        <v>APACQ4</v>
      </c>
      <c r="V2280" s="5">
        <f>_xlfn.XLOOKUP(Transactions_RAW_cleaned[[#This Row],[RegionQuarterKey]], Quarterly_Targets_cleaned[RegionQuarterKey], Quarterly_Targets_cleaned[TargetRevenue])</f>
        <v>126500</v>
      </c>
    </row>
    <row r="2281" spans="1:22" x14ac:dyDescent="0.25">
      <c r="A2281" t="s">
        <v>2618</v>
      </c>
      <c r="B2281" s="1">
        <v>45640</v>
      </c>
      <c r="C2281" t="s">
        <v>183</v>
      </c>
      <c r="D2281" t="s">
        <v>309</v>
      </c>
      <c r="E2281">
        <v>73.58</v>
      </c>
      <c r="F2281" t="s">
        <v>324</v>
      </c>
      <c r="G2281" t="s">
        <v>325</v>
      </c>
      <c r="I2281" t="s">
        <v>8</v>
      </c>
      <c r="J2281" t="s">
        <v>13</v>
      </c>
      <c r="K2281" t="s">
        <v>10</v>
      </c>
      <c r="L2281" t="s">
        <v>310</v>
      </c>
      <c r="M2281" t="s">
        <v>311</v>
      </c>
      <c r="N2281">
        <v>0</v>
      </c>
      <c r="O2281" t="str">
        <f>IF(Transactions_RAW_cleaned[[#This Row],[Status]]="Completed", IFERROR(_xlfn.XLOOKUP(Transactions_RAW_cleaned[[#This Row],[CustomerID]], Customers_cleaned[CustomerID], Customers_cleaned[Segment]), "Customer Not Found"), "N/A")</f>
        <v>SMB</v>
      </c>
      <c r="P2281" s="5" t="str">
        <f>IF(Transactions_RAW_cleaned[[#This Row],[Status]]="Refunded", "Refund",
  IF(Transactions_RAW_cleaned[[#This Row],[Category]]="Payments", IF(Transactions_RAW_cleaned[[#This Row],[Amount]]&gt;500,"High Value","Standard"),
    IF(Transactions_RAW_cleaned[[#This Row],[Amount]]&gt;250,"High Value","Standard")))</f>
        <v>Standard</v>
      </c>
      <c r="Q2281" s="5" t="str">
        <f>IF(Transactions_RAW_cleaned[[#This Row],[Amount]] &gt; (_xlfn.XLOOKUP(Transactions_RAW_cleaned[[#This Row],[ServiceID]],Services_cleaned[ServiceID],Services_cleaned[TransactionFeePct]) * 10000), "Yes", "No")</f>
        <v>Yes</v>
      </c>
      <c r="R2281" s="5" t="str">
        <f>IF(COUNTIFS($C$2:Transactions_RAW_cleaned[[#This Row],[CustomerID]],Transactions_RAW_cleaned[[#This Row],[CustomerID]],$D$2:Transactions_RAW_cleaned[[#This Row],[ServiceID]],Transactions_RAW_cleaned[[#This Row],[ServiceID]])=1,"Yes","No")</f>
        <v>No</v>
      </c>
      <c r="S228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81" t="str">
        <f>"Q"&amp;ROUNDUP(MONTH(Transactions_RAW_cleaned[[#This Row],[TransactionDate]])/3,0)</f>
        <v>Q4</v>
      </c>
      <c r="U2281" t="str">
        <f>Transactions_RAW_cleaned[[#This Row],[Region ]]&amp;Transactions_RAW_cleaned[[#This Row],[Quarter ]]</f>
        <v>NAQ4</v>
      </c>
      <c r="V2281" s="5">
        <f>_xlfn.XLOOKUP(Transactions_RAW_cleaned[[#This Row],[RegionQuarterKey]], Quarterly_Targets_cleaned[RegionQuarterKey], Quarterly_Targets_cleaned[TargetRevenue])</f>
        <v>299000</v>
      </c>
    </row>
    <row r="2282" spans="1:22" x14ac:dyDescent="0.25">
      <c r="A2282" t="s">
        <v>2619</v>
      </c>
      <c r="B2282" s="1">
        <v>45556</v>
      </c>
      <c r="C2282" t="s">
        <v>64</v>
      </c>
      <c r="D2282" t="s">
        <v>297</v>
      </c>
      <c r="E2282">
        <v>442.66</v>
      </c>
      <c r="F2282" t="s">
        <v>324</v>
      </c>
      <c r="G2282" t="s">
        <v>327</v>
      </c>
      <c r="I2282" t="s">
        <v>8</v>
      </c>
      <c r="J2282" t="s">
        <v>37</v>
      </c>
      <c r="K2282" t="s">
        <v>28</v>
      </c>
      <c r="L2282" t="s">
        <v>298</v>
      </c>
      <c r="M2282" t="s">
        <v>299</v>
      </c>
      <c r="N2282">
        <v>0</v>
      </c>
      <c r="O2282" t="str">
        <f>IF(Transactions_RAW_cleaned[[#This Row],[Status]]="Completed", IFERROR(_xlfn.XLOOKUP(Transactions_RAW_cleaned[[#This Row],[CustomerID]], Customers_cleaned[CustomerID], Customers_cleaned[Segment]), "Customer Not Found"), "N/A")</f>
        <v>SMB</v>
      </c>
      <c r="P2282" s="5" t="str">
        <f>IF(Transactions_RAW_cleaned[[#This Row],[Status]]="Refunded", "Refund",
  IF(Transactions_RAW_cleaned[[#This Row],[Category]]="Payments", IF(Transactions_RAW_cleaned[[#This Row],[Amount]]&gt;500,"High Value","Standard"),
    IF(Transactions_RAW_cleaned[[#This Row],[Amount]]&gt;250,"High Value","Standard")))</f>
        <v>High Value</v>
      </c>
      <c r="Q2282" s="5" t="str">
        <f>IF(Transactions_RAW_cleaned[[#This Row],[Amount]] &gt; (_xlfn.XLOOKUP(Transactions_RAW_cleaned[[#This Row],[ServiceID]],Services_cleaned[ServiceID],Services_cleaned[TransactionFeePct]) * 10000), "Yes", "No")</f>
        <v>Yes</v>
      </c>
      <c r="R2282" s="5" t="str">
        <f>IF(COUNTIFS($C$2:Transactions_RAW_cleaned[[#This Row],[CustomerID]],Transactions_RAW_cleaned[[#This Row],[CustomerID]],$D$2:Transactions_RAW_cleaned[[#This Row],[ServiceID]],Transactions_RAW_cleaned[[#This Row],[ServiceID]])=1,"Yes","No")</f>
        <v>No</v>
      </c>
      <c r="S228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282" t="str">
        <f>"Q"&amp;ROUNDUP(MONTH(Transactions_RAW_cleaned[[#This Row],[TransactionDate]])/3,0)</f>
        <v>Q3</v>
      </c>
      <c r="U2282" t="str">
        <f>Transactions_RAW_cleaned[[#This Row],[Region ]]&amp;Transactions_RAW_cleaned[[#This Row],[Quarter ]]</f>
        <v>EMEAQ3</v>
      </c>
      <c r="V2282" s="5">
        <f>_xlfn.XLOOKUP(Transactions_RAW_cleaned[[#This Row],[RegionQuarterKey]], Quarterly_Targets_cleaned[RegionQuarterKey], Quarterly_Targets_cleaned[TargetRevenue])</f>
        <v>147000</v>
      </c>
    </row>
    <row r="2283" spans="1:22" x14ac:dyDescent="0.25">
      <c r="A2283" t="s">
        <v>2620</v>
      </c>
      <c r="B2283" s="1">
        <v>45506</v>
      </c>
      <c r="C2283" t="s">
        <v>92</v>
      </c>
      <c r="D2283" t="s">
        <v>300</v>
      </c>
      <c r="E2283">
        <v>318.41000000000003</v>
      </c>
      <c r="F2283" t="s">
        <v>324</v>
      </c>
      <c r="G2283" t="s">
        <v>327</v>
      </c>
      <c r="H2283" t="s">
        <v>346</v>
      </c>
      <c r="I2283" t="s">
        <v>8</v>
      </c>
      <c r="J2283" t="s">
        <v>102</v>
      </c>
      <c r="K2283" t="s">
        <v>10</v>
      </c>
      <c r="L2283" t="s">
        <v>301</v>
      </c>
      <c r="M2283" t="s">
        <v>302</v>
      </c>
      <c r="N2283">
        <v>5.0000000000000001E-3</v>
      </c>
      <c r="O2283" t="str">
        <f>IF(Transactions_RAW_cleaned[[#This Row],[Status]]="Completed", IFERROR(_xlfn.XLOOKUP(Transactions_RAW_cleaned[[#This Row],[CustomerID]], Customers_cleaned[CustomerID], Customers_cleaned[Segment]), "Customer Not Found"), "N/A")</f>
        <v>SMB</v>
      </c>
      <c r="P2283" s="5" t="str">
        <f>IF(Transactions_RAW_cleaned[[#This Row],[Status]]="Refunded", "Refund",
  IF(Transactions_RAW_cleaned[[#This Row],[Category]]="Payments", IF(Transactions_RAW_cleaned[[#This Row],[Amount]]&gt;500,"High Value","Standard"),
    IF(Transactions_RAW_cleaned[[#This Row],[Amount]]&gt;250,"High Value","Standard")))</f>
        <v>High Value</v>
      </c>
      <c r="Q2283" s="5" t="str">
        <f>IF(Transactions_RAW_cleaned[[#This Row],[Amount]] &gt; (_xlfn.XLOOKUP(Transactions_RAW_cleaned[[#This Row],[ServiceID]],Services_cleaned[ServiceID],Services_cleaned[TransactionFeePct]) * 10000), "Yes", "No")</f>
        <v>Yes</v>
      </c>
      <c r="R2283" s="5" t="str">
        <f>IF(COUNTIFS($C$2:Transactions_RAW_cleaned[[#This Row],[CustomerID]],Transactions_RAW_cleaned[[#This Row],[CustomerID]],$D$2:Transactions_RAW_cleaned[[#This Row],[ServiceID]],Transactions_RAW_cleaned[[#This Row],[ServiceID]])=1,"Yes","No")</f>
        <v>Yes</v>
      </c>
      <c r="S228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83" t="str">
        <f>"Q"&amp;ROUNDUP(MONTH(Transactions_RAW_cleaned[[#This Row],[TransactionDate]])/3,0)</f>
        <v>Q3</v>
      </c>
      <c r="U2283" t="str">
        <f>Transactions_RAW_cleaned[[#This Row],[Region ]]&amp;Transactions_RAW_cleaned[[#This Row],[Quarter ]]</f>
        <v>NAQ3</v>
      </c>
      <c r="V2283" s="5">
        <f>_xlfn.XLOOKUP(Transactions_RAW_cleaned[[#This Row],[RegionQuarterKey]], Quarterly_Targets_cleaned[RegionQuarterKey], Quarterly_Targets_cleaned[TargetRevenue])</f>
        <v>273000</v>
      </c>
    </row>
    <row r="2284" spans="1:22" x14ac:dyDescent="0.25">
      <c r="A2284" t="s">
        <v>2621</v>
      </c>
      <c r="B2284" s="1">
        <v>45422</v>
      </c>
      <c r="C2284" t="s">
        <v>40</v>
      </c>
      <c r="D2284" t="s">
        <v>297</v>
      </c>
      <c r="E2284">
        <v>383.79</v>
      </c>
      <c r="F2284" t="s">
        <v>324</v>
      </c>
      <c r="G2284" t="s">
        <v>327</v>
      </c>
      <c r="H2284" t="s">
        <v>334</v>
      </c>
      <c r="I2284" t="s">
        <v>17</v>
      </c>
      <c r="J2284" t="s">
        <v>102</v>
      </c>
      <c r="K2284" t="s">
        <v>14</v>
      </c>
      <c r="L2284" t="s">
        <v>298</v>
      </c>
      <c r="M2284" t="s">
        <v>299</v>
      </c>
      <c r="N2284">
        <v>0</v>
      </c>
      <c r="O2284" t="str">
        <f>IF(Transactions_RAW_cleaned[[#This Row],[Status]]="Completed", IFERROR(_xlfn.XLOOKUP(Transactions_RAW_cleaned[[#This Row],[CustomerID]], Customers_cleaned[CustomerID], Customers_cleaned[Segment]), "Customer Not Found"), "N/A")</f>
        <v>Enterprise</v>
      </c>
      <c r="P2284" s="5" t="str">
        <f>IF(Transactions_RAW_cleaned[[#This Row],[Status]]="Refunded", "Refund",
  IF(Transactions_RAW_cleaned[[#This Row],[Category]]="Payments", IF(Transactions_RAW_cleaned[[#This Row],[Amount]]&gt;500,"High Value","Standard"),
    IF(Transactions_RAW_cleaned[[#This Row],[Amount]]&gt;250,"High Value","Standard")))</f>
        <v>High Value</v>
      </c>
      <c r="Q2284" s="5" t="str">
        <f>IF(Transactions_RAW_cleaned[[#This Row],[Amount]] &gt; (_xlfn.XLOOKUP(Transactions_RAW_cleaned[[#This Row],[ServiceID]],Services_cleaned[ServiceID],Services_cleaned[TransactionFeePct]) * 10000), "Yes", "No")</f>
        <v>Yes</v>
      </c>
      <c r="R2284" s="5" t="str">
        <f>IF(COUNTIFS($C$2:Transactions_RAW_cleaned[[#This Row],[CustomerID]],Transactions_RAW_cleaned[[#This Row],[CustomerID]],$D$2:Transactions_RAW_cleaned[[#This Row],[ServiceID]],Transactions_RAW_cleaned[[#This Row],[ServiceID]])=1,"Yes","No")</f>
        <v>No</v>
      </c>
      <c r="S228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84" t="str">
        <f>"Q"&amp;ROUNDUP(MONTH(Transactions_RAW_cleaned[[#This Row],[TransactionDate]])/3,0)</f>
        <v>Q2</v>
      </c>
      <c r="U2284" t="str">
        <f>Transactions_RAW_cleaned[[#This Row],[Region ]]&amp;Transactions_RAW_cleaned[[#This Row],[Quarter ]]</f>
        <v>NAQ2</v>
      </c>
      <c r="V2284" s="5">
        <f>_xlfn.XLOOKUP(Transactions_RAW_cleaned[[#This Row],[RegionQuarterKey]], Quarterly_Targets_cleaned[RegionQuarterKey], Quarterly_Targets_cleaned[TargetRevenue])</f>
        <v>260000</v>
      </c>
    </row>
    <row r="2285" spans="1:22" x14ac:dyDescent="0.25">
      <c r="A2285" t="s">
        <v>2622</v>
      </c>
      <c r="B2285" s="1">
        <v>45650</v>
      </c>
      <c r="C2285" t="s">
        <v>261</v>
      </c>
      <c r="D2285" t="s">
        <v>315</v>
      </c>
      <c r="E2285">
        <v>225.95</v>
      </c>
      <c r="F2285" t="s">
        <v>331</v>
      </c>
      <c r="G2285" t="s">
        <v>325</v>
      </c>
      <c r="I2285" t="s">
        <v>8</v>
      </c>
      <c r="J2285" t="s">
        <v>31</v>
      </c>
      <c r="K2285" t="s">
        <v>18</v>
      </c>
      <c r="L2285" t="s">
        <v>316</v>
      </c>
      <c r="M2285" t="s">
        <v>305</v>
      </c>
      <c r="N2285">
        <v>2.5000000000000001E-3</v>
      </c>
      <c r="O2285" t="str">
        <f>IF(Transactions_RAW_cleaned[[#This Row],[Status]]="Completed", IFERROR(_xlfn.XLOOKUP(Transactions_RAW_cleaned[[#This Row],[CustomerID]], Customers_cleaned[CustomerID], Customers_cleaned[Segment]), "Customer Not Found"), "N/A")</f>
        <v>N/A</v>
      </c>
      <c r="P2285" s="5" t="str">
        <f>IF(Transactions_RAW_cleaned[[#This Row],[Status]]="Refunded", "Refund",
  IF(Transactions_RAW_cleaned[[#This Row],[Category]]="Payments", IF(Transactions_RAW_cleaned[[#This Row],[Amount]]&gt;500,"High Value","Standard"),
    IF(Transactions_RAW_cleaned[[#This Row],[Amount]]&gt;250,"High Value","Standard")))</f>
        <v>Standard</v>
      </c>
      <c r="Q2285" s="5" t="str">
        <f>IF(Transactions_RAW_cleaned[[#This Row],[Amount]] &gt; (_xlfn.XLOOKUP(Transactions_RAW_cleaned[[#This Row],[ServiceID]],Services_cleaned[ServiceID],Services_cleaned[TransactionFeePct]) * 10000), "Yes", "No")</f>
        <v>Yes</v>
      </c>
      <c r="R2285" s="5" t="str">
        <f>IF(COUNTIFS($C$2:Transactions_RAW_cleaned[[#This Row],[CustomerID]],Transactions_RAW_cleaned[[#This Row],[CustomerID]],$D$2:Transactions_RAW_cleaned[[#This Row],[ServiceID]],Transactions_RAW_cleaned[[#This Row],[ServiceID]])=1,"Yes","No")</f>
        <v>No</v>
      </c>
      <c r="S228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285" t="str">
        <f>"Q"&amp;ROUNDUP(MONTH(Transactions_RAW_cleaned[[#This Row],[TransactionDate]])/3,0)</f>
        <v>Q4</v>
      </c>
      <c r="U2285" t="str">
        <f>Transactions_RAW_cleaned[[#This Row],[Region ]]&amp;Transactions_RAW_cleaned[[#This Row],[Quarter ]]</f>
        <v>EMEAQ4</v>
      </c>
      <c r="V2285" s="5">
        <f>_xlfn.XLOOKUP(Transactions_RAW_cleaned[[#This Row],[RegionQuarterKey]], Quarterly_Targets_cleaned[RegionQuarterKey], Quarterly_Targets_cleaned[TargetRevenue])</f>
        <v>161000</v>
      </c>
    </row>
    <row r="2286" spans="1:22" x14ac:dyDescent="0.25">
      <c r="A2286" t="s">
        <v>2623</v>
      </c>
      <c r="B2286" s="1">
        <v>45312</v>
      </c>
      <c r="C2286" t="s">
        <v>135</v>
      </c>
      <c r="D2286" t="s">
        <v>300</v>
      </c>
      <c r="E2286">
        <v>145.4</v>
      </c>
      <c r="F2286" t="s">
        <v>324</v>
      </c>
      <c r="G2286" t="s">
        <v>2963</v>
      </c>
      <c r="I2286" t="s">
        <v>8</v>
      </c>
      <c r="J2286" t="s">
        <v>46</v>
      </c>
      <c r="K2286" t="s">
        <v>10</v>
      </c>
      <c r="L2286" t="s">
        <v>301</v>
      </c>
      <c r="M2286" t="s">
        <v>302</v>
      </c>
      <c r="N2286">
        <v>5.0000000000000001E-3</v>
      </c>
      <c r="O2286" t="str">
        <f>IF(Transactions_RAW_cleaned[[#This Row],[Status]]="Completed", IFERROR(_xlfn.XLOOKUP(Transactions_RAW_cleaned[[#This Row],[CustomerID]], Customers_cleaned[CustomerID], Customers_cleaned[Segment]), "Customer Not Found"), "N/A")</f>
        <v>SMB</v>
      </c>
      <c r="P2286" s="5" t="str">
        <f>IF(Transactions_RAW_cleaned[[#This Row],[Status]]="Refunded", "Refund",
  IF(Transactions_RAW_cleaned[[#This Row],[Category]]="Payments", IF(Transactions_RAW_cleaned[[#This Row],[Amount]]&gt;500,"High Value","Standard"),
    IF(Transactions_RAW_cleaned[[#This Row],[Amount]]&gt;250,"High Value","Standard")))</f>
        <v>Standard</v>
      </c>
      <c r="Q2286" s="5" t="str">
        <f>IF(Transactions_RAW_cleaned[[#This Row],[Amount]] &gt; (_xlfn.XLOOKUP(Transactions_RAW_cleaned[[#This Row],[ServiceID]],Services_cleaned[ServiceID],Services_cleaned[TransactionFeePct]) * 10000), "Yes", "No")</f>
        <v>Yes</v>
      </c>
      <c r="R2286" s="5" t="str">
        <f>IF(COUNTIFS($C$2:Transactions_RAW_cleaned[[#This Row],[CustomerID]],Transactions_RAW_cleaned[[#This Row],[CustomerID]],$D$2:Transactions_RAW_cleaned[[#This Row],[ServiceID]],Transactions_RAW_cleaned[[#This Row],[ServiceID]])=1,"Yes","No")</f>
        <v>No</v>
      </c>
      <c r="S228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86" t="str">
        <f>"Q"&amp;ROUNDUP(MONTH(Transactions_RAW_cleaned[[#This Row],[TransactionDate]])/3,0)</f>
        <v>Q1</v>
      </c>
      <c r="U2286" t="str">
        <f>Transactions_RAW_cleaned[[#This Row],[Region ]]&amp;Transactions_RAW_cleaned[[#This Row],[Quarter ]]</f>
        <v>APACQ1</v>
      </c>
      <c r="V2286" s="5">
        <f>_xlfn.XLOOKUP(Transactions_RAW_cleaned[[#This Row],[RegionQuarterKey]], Quarterly_Targets_cleaned[RegionQuarterKey], Quarterly_Targets_cleaned[TargetRevenue])</f>
        <v>104500</v>
      </c>
    </row>
    <row r="2287" spans="1:22" x14ac:dyDescent="0.25">
      <c r="A2287" t="s">
        <v>2624</v>
      </c>
      <c r="B2287" s="1">
        <v>45419</v>
      </c>
      <c r="C2287" t="s">
        <v>68</v>
      </c>
      <c r="D2287" t="s">
        <v>300</v>
      </c>
      <c r="E2287">
        <v>582.83000000000004</v>
      </c>
      <c r="F2287" t="s">
        <v>324</v>
      </c>
      <c r="G2287" t="s">
        <v>327</v>
      </c>
      <c r="I2287" t="s">
        <v>57</v>
      </c>
      <c r="J2287" t="s">
        <v>13</v>
      </c>
      <c r="K2287" t="s">
        <v>10</v>
      </c>
      <c r="L2287" t="s">
        <v>301</v>
      </c>
      <c r="M2287" t="s">
        <v>302</v>
      </c>
      <c r="N2287">
        <v>5.0000000000000001E-3</v>
      </c>
      <c r="O2287" t="str">
        <f>IF(Transactions_RAW_cleaned[[#This Row],[Status]]="Completed", IFERROR(_xlfn.XLOOKUP(Transactions_RAW_cleaned[[#This Row],[CustomerID]], Customers_cleaned[CustomerID], Customers_cleaned[Segment]), "Customer Not Found"), "N/A")</f>
        <v>Startup</v>
      </c>
      <c r="P2287" s="5" t="str">
        <f>IF(Transactions_RAW_cleaned[[#This Row],[Status]]="Refunded", "Refund",
  IF(Transactions_RAW_cleaned[[#This Row],[Category]]="Payments", IF(Transactions_RAW_cleaned[[#This Row],[Amount]]&gt;500,"High Value","Standard"),
    IF(Transactions_RAW_cleaned[[#This Row],[Amount]]&gt;250,"High Value","Standard")))</f>
        <v>High Value</v>
      </c>
      <c r="Q2287" s="5" t="str">
        <f>IF(Transactions_RAW_cleaned[[#This Row],[Amount]] &gt; (_xlfn.XLOOKUP(Transactions_RAW_cleaned[[#This Row],[ServiceID]],Services_cleaned[ServiceID],Services_cleaned[TransactionFeePct]) * 10000), "Yes", "No")</f>
        <v>Yes</v>
      </c>
      <c r="R2287" s="5" t="str">
        <f>IF(COUNTIFS($C$2:Transactions_RAW_cleaned[[#This Row],[CustomerID]],Transactions_RAW_cleaned[[#This Row],[CustomerID]],$D$2:Transactions_RAW_cleaned[[#This Row],[ServiceID]],Transactions_RAW_cleaned[[#This Row],[ServiceID]])=1,"Yes","No")</f>
        <v>No</v>
      </c>
      <c r="S228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87" t="str">
        <f>"Q"&amp;ROUNDUP(MONTH(Transactions_RAW_cleaned[[#This Row],[TransactionDate]])/3,0)</f>
        <v>Q2</v>
      </c>
      <c r="U2287" t="str">
        <f>Transactions_RAW_cleaned[[#This Row],[Region ]]&amp;Transactions_RAW_cleaned[[#This Row],[Quarter ]]</f>
        <v>NAQ2</v>
      </c>
      <c r="V2287" s="5">
        <f>_xlfn.XLOOKUP(Transactions_RAW_cleaned[[#This Row],[RegionQuarterKey]], Quarterly_Targets_cleaned[RegionQuarterKey], Quarterly_Targets_cleaned[TargetRevenue])</f>
        <v>260000</v>
      </c>
    </row>
    <row r="2288" spans="1:22" x14ac:dyDescent="0.25">
      <c r="A2288" t="s">
        <v>2625</v>
      </c>
      <c r="B2288" s="1">
        <v>45302</v>
      </c>
      <c r="C2288" t="s">
        <v>113</v>
      </c>
      <c r="D2288" t="s">
        <v>306</v>
      </c>
      <c r="E2288">
        <v>495.63</v>
      </c>
      <c r="F2288" t="s">
        <v>324</v>
      </c>
      <c r="G2288" t="s">
        <v>337</v>
      </c>
      <c r="H2288" t="s">
        <v>334</v>
      </c>
      <c r="I2288" t="s">
        <v>57</v>
      </c>
      <c r="J2288" t="s">
        <v>46</v>
      </c>
      <c r="K2288" t="s">
        <v>10</v>
      </c>
      <c r="L2288" t="s">
        <v>307</v>
      </c>
      <c r="M2288" t="s">
        <v>308</v>
      </c>
      <c r="N2288">
        <v>0</v>
      </c>
      <c r="O2288" t="str">
        <f>IF(Transactions_RAW_cleaned[[#This Row],[Status]]="Completed", IFERROR(_xlfn.XLOOKUP(Transactions_RAW_cleaned[[#This Row],[CustomerID]], Customers_cleaned[CustomerID], Customers_cleaned[Segment]), "Customer Not Found"), "N/A")</f>
        <v>Startup</v>
      </c>
      <c r="P2288" s="5" t="str">
        <f>IF(Transactions_RAW_cleaned[[#This Row],[Status]]="Refunded", "Refund",
  IF(Transactions_RAW_cleaned[[#This Row],[Category]]="Payments", IF(Transactions_RAW_cleaned[[#This Row],[Amount]]&gt;500,"High Value","Standard"),
    IF(Transactions_RAW_cleaned[[#This Row],[Amount]]&gt;250,"High Value","Standard")))</f>
        <v>High Value</v>
      </c>
      <c r="Q2288" s="5" t="str">
        <f>IF(Transactions_RAW_cleaned[[#This Row],[Amount]] &gt; (_xlfn.XLOOKUP(Transactions_RAW_cleaned[[#This Row],[ServiceID]],Services_cleaned[ServiceID],Services_cleaned[TransactionFeePct]) * 10000), "Yes", "No")</f>
        <v>Yes</v>
      </c>
      <c r="R2288" s="5" t="str">
        <f>IF(COUNTIFS($C$2:Transactions_RAW_cleaned[[#This Row],[CustomerID]],Transactions_RAW_cleaned[[#This Row],[CustomerID]],$D$2:Transactions_RAW_cleaned[[#This Row],[ServiceID]],Transactions_RAW_cleaned[[#This Row],[ServiceID]])=1,"Yes","No")</f>
        <v>No</v>
      </c>
      <c r="S228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88" t="str">
        <f>"Q"&amp;ROUNDUP(MONTH(Transactions_RAW_cleaned[[#This Row],[TransactionDate]])/3,0)</f>
        <v>Q1</v>
      </c>
      <c r="U2288" t="str">
        <f>Transactions_RAW_cleaned[[#This Row],[Region ]]&amp;Transactions_RAW_cleaned[[#This Row],[Quarter ]]</f>
        <v>APACQ1</v>
      </c>
      <c r="V2288" s="5">
        <f>_xlfn.XLOOKUP(Transactions_RAW_cleaned[[#This Row],[RegionQuarterKey]], Quarterly_Targets_cleaned[RegionQuarterKey], Quarterly_Targets_cleaned[TargetRevenue])</f>
        <v>104500</v>
      </c>
    </row>
    <row r="2289" spans="1:22" x14ac:dyDescent="0.25">
      <c r="A2289" t="s">
        <v>2626</v>
      </c>
      <c r="B2289" s="1">
        <v>45577</v>
      </c>
      <c r="C2289" t="s">
        <v>107</v>
      </c>
      <c r="D2289" t="s">
        <v>312</v>
      </c>
      <c r="E2289">
        <v>241.53</v>
      </c>
      <c r="F2289" t="s">
        <v>324</v>
      </c>
      <c r="G2289" t="s">
        <v>325</v>
      </c>
      <c r="I2289" t="s">
        <v>17</v>
      </c>
      <c r="J2289" t="s">
        <v>102</v>
      </c>
      <c r="K2289" t="s">
        <v>22</v>
      </c>
      <c r="L2289" t="s">
        <v>313</v>
      </c>
      <c r="M2289" t="s">
        <v>314</v>
      </c>
      <c r="N2289">
        <v>0</v>
      </c>
      <c r="O2289" t="str">
        <f>IF(Transactions_RAW_cleaned[[#This Row],[Status]]="Completed", IFERROR(_xlfn.XLOOKUP(Transactions_RAW_cleaned[[#This Row],[CustomerID]], Customers_cleaned[CustomerID], Customers_cleaned[Segment]), "Customer Not Found"), "N/A")</f>
        <v>Enterprise</v>
      </c>
      <c r="P2289" s="5" t="str">
        <f>IF(Transactions_RAW_cleaned[[#This Row],[Status]]="Refunded", "Refund",
  IF(Transactions_RAW_cleaned[[#This Row],[Category]]="Payments", IF(Transactions_RAW_cleaned[[#This Row],[Amount]]&gt;500,"High Value","Standard"),
    IF(Transactions_RAW_cleaned[[#This Row],[Amount]]&gt;250,"High Value","Standard")))</f>
        <v>Standard</v>
      </c>
      <c r="Q2289" s="5" t="str">
        <f>IF(Transactions_RAW_cleaned[[#This Row],[Amount]] &gt; (_xlfn.XLOOKUP(Transactions_RAW_cleaned[[#This Row],[ServiceID]],Services_cleaned[ServiceID],Services_cleaned[TransactionFeePct]) * 10000), "Yes", "No")</f>
        <v>Yes</v>
      </c>
      <c r="R2289" s="5" t="str">
        <f>IF(COUNTIFS($C$2:Transactions_RAW_cleaned[[#This Row],[CustomerID]],Transactions_RAW_cleaned[[#This Row],[CustomerID]],$D$2:Transactions_RAW_cleaned[[#This Row],[ServiceID]],Transactions_RAW_cleaned[[#This Row],[ServiceID]])=1,"Yes","No")</f>
        <v>No</v>
      </c>
      <c r="S228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89" t="str">
        <f>"Q"&amp;ROUNDUP(MONTH(Transactions_RAW_cleaned[[#This Row],[TransactionDate]])/3,0)</f>
        <v>Q4</v>
      </c>
      <c r="U2289" t="str">
        <f>Transactions_RAW_cleaned[[#This Row],[Region ]]&amp;Transactions_RAW_cleaned[[#This Row],[Quarter ]]</f>
        <v>NAQ4</v>
      </c>
      <c r="V2289" s="5">
        <f>_xlfn.XLOOKUP(Transactions_RAW_cleaned[[#This Row],[RegionQuarterKey]], Quarterly_Targets_cleaned[RegionQuarterKey], Quarterly_Targets_cleaned[TargetRevenue])</f>
        <v>299000</v>
      </c>
    </row>
    <row r="2290" spans="1:22" x14ac:dyDescent="0.25">
      <c r="A2290" t="s">
        <v>2627</v>
      </c>
      <c r="B2290" s="1">
        <v>45441</v>
      </c>
      <c r="C2290" t="s">
        <v>127</v>
      </c>
      <c r="D2290" t="s">
        <v>300</v>
      </c>
      <c r="E2290">
        <v>352.32</v>
      </c>
      <c r="F2290" t="s">
        <v>381</v>
      </c>
      <c r="G2290" t="s">
        <v>337</v>
      </c>
      <c r="H2290" t="s">
        <v>346</v>
      </c>
      <c r="I2290" t="s">
        <v>8</v>
      </c>
      <c r="J2290" t="s">
        <v>102</v>
      </c>
      <c r="K2290" t="s">
        <v>22</v>
      </c>
      <c r="L2290" t="s">
        <v>301</v>
      </c>
      <c r="M2290" t="s">
        <v>302</v>
      </c>
      <c r="N2290">
        <v>5.0000000000000001E-3</v>
      </c>
      <c r="O2290" t="str">
        <f>IF(Transactions_RAW_cleaned[[#This Row],[Status]]="Completed", IFERROR(_xlfn.XLOOKUP(Transactions_RAW_cleaned[[#This Row],[CustomerID]], Customers_cleaned[CustomerID], Customers_cleaned[Segment]), "Customer Not Found"), "N/A")</f>
        <v>N/A</v>
      </c>
      <c r="P2290" s="5" t="str">
        <f>IF(Transactions_RAW_cleaned[[#This Row],[Status]]="Refunded", "Refund",
  IF(Transactions_RAW_cleaned[[#This Row],[Category]]="Payments", IF(Transactions_RAW_cleaned[[#This Row],[Amount]]&gt;500,"High Value","Standard"),
    IF(Transactions_RAW_cleaned[[#This Row],[Amount]]&gt;250,"High Value","Standard")))</f>
        <v>High Value</v>
      </c>
      <c r="Q2290" s="5" t="str">
        <f>IF(Transactions_RAW_cleaned[[#This Row],[Amount]] &gt; (_xlfn.XLOOKUP(Transactions_RAW_cleaned[[#This Row],[ServiceID]],Services_cleaned[ServiceID],Services_cleaned[TransactionFeePct]) * 10000), "Yes", "No")</f>
        <v>Yes</v>
      </c>
      <c r="R2290" s="5" t="str">
        <f>IF(COUNTIFS($C$2:Transactions_RAW_cleaned[[#This Row],[CustomerID]],Transactions_RAW_cleaned[[#This Row],[CustomerID]],$D$2:Transactions_RAW_cleaned[[#This Row],[ServiceID]],Transactions_RAW_cleaned[[#This Row],[ServiceID]])=1,"Yes","No")</f>
        <v>No</v>
      </c>
      <c r="S229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90" t="str">
        <f>"Q"&amp;ROUNDUP(MONTH(Transactions_RAW_cleaned[[#This Row],[TransactionDate]])/3,0)</f>
        <v>Q2</v>
      </c>
      <c r="U2290" t="str">
        <f>Transactions_RAW_cleaned[[#This Row],[Region ]]&amp;Transactions_RAW_cleaned[[#This Row],[Quarter ]]</f>
        <v>NAQ2</v>
      </c>
      <c r="V2290" s="5">
        <f>_xlfn.XLOOKUP(Transactions_RAW_cleaned[[#This Row],[RegionQuarterKey]], Quarterly_Targets_cleaned[RegionQuarterKey], Quarterly_Targets_cleaned[TargetRevenue])</f>
        <v>260000</v>
      </c>
    </row>
    <row r="2291" spans="1:22" x14ac:dyDescent="0.25">
      <c r="A2291" t="s">
        <v>2628</v>
      </c>
      <c r="B2291" s="1">
        <v>45481</v>
      </c>
      <c r="C2291" t="s">
        <v>11</v>
      </c>
      <c r="D2291" t="s">
        <v>303</v>
      </c>
      <c r="E2291">
        <v>261.56</v>
      </c>
      <c r="F2291" t="s">
        <v>324</v>
      </c>
      <c r="G2291" t="s">
        <v>327</v>
      </c>
      <c r="I2291" t="s">
        <v>8</v>
      </c>
      <c r="J2291" t="s">
        <v>13</v>
      </c>
      <c r="K2291" t="s">
        <v>14</v>
      </c>
      <c r="L2291" t="s">
        <v>304</v>
      </c>
      <c r="M2291" t="s">
        <v>305</v>
      </c>
      <c r="N2291">
        <v>1E-3</v>
      </c>
      <c r="O2291" t="str">
        <f>IF(Transactions_RAW_cleaned[[#This Row],[Status]]="Completed", IFERROR(_xlfn.XLOOKUP(Transactions_RAW_cleaned[[#This Row],[CustomerID]], Customers_cleaned[CustomerID], Customers_cleaned[Segment]), "Customer Not Found"), "N/A")</f>
        <v>SMB</v>
      </c>
      <c r="P2291" s="5" t="str">
        <f>IF(Transactions_RAW_cleaned[[#This Row],[Status]]="Refunded", "Refund",
  IF(Transactions_RAW_cleaned[[#This Row],[Category]]="Payments", IF(Transactions_RAW_cleaned[[#This Row],[Amount]]&gt;500,"High Value","Standard"),
    IF(Transactions_RAW_cleaned[[#This Row],[Amount]]&gt;250,"High Value","Standard")))</f>
        <v>High Value</v>
      </c>
      <c r="Q2291" s="5" t="str">
        <f>IF(Transactions_RAW_cleaned[[#This Row],[Amount]] &gt; (_xlfn.XLOOKUP(Transactions_RAW_cleaned[[#This Row],[ServiceID]],Services_cleaned[ServiceID],Services_cleaned[TransactionFeePct]) * 10000), "Yes", "No")</f>
        <v>Yes</v>
      </c>
      <c r="R2291" s="5" t="str">
        <f>IF(COUNTIFS($C$2:Transactions_RAW_cleaned[[#This Row],[CustomerID]],Transactions_RAW_cleaned[[#This Row],[CustomerID]],$D$2:Transactions_RAW_cleaned[[#This Row],[ServiceID]],Transactions_RAW_cleaned[[#This Row],[ServiceID]])=1,"Yes","No")</f>
        <v>No</v>
      </c>
      <c r="S229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91" t="str">
        <f>"Q"&amp;ROUNDUP(MONTH(Transactions_RAW_cleaned[[#This Row],[TransactionDate]])/3,0)</f>
        <v>Q3</v>
      </c>
      <c r="U2291" t="str">
        <f>Transactions_RAW_cleaned[[#This Row],[Region ]]&amp;Transactions_RAW_cleaned[[#This Row],[Quarter ]]</f>
        <v>NAQ3</v>
      </c>
      <c r="V2291" s="5">
        <f>_xlfn.XLOOKUP(Transactions_RAW_cleaned[[#This Row],[RegionQuarterKey]], Quarterly_Targets_cleaned[RegionQuarterKey], Quarterly_Targets_cleaned[TargetRevenue])</f>
        <v>273000</v>
      </c>
    </row>
    <row r="2292" spans="1:22" x14ac:dyDescent="0.25">
      <c r="A2292" t="s">
        <v>2629</v>
      </c>
      <c r="B2292" s="1">
        <v>45532</v>
      </c>
      <c r="C2292" t="s">
        <v>129</v>
      </c>
      <c r="D2292" t="s">
        <v>297</v>
      </c>
      <c r="E2292">
        <v>178.32</v>
      </c>
      <c r="F2292" t="s">
        <v>324</v>
      </c>
      <c r="G2292" t="s">
        <v>327</v>
      </c>
      <c r="H2292" t="s">
        <v>332</v>
      </c>
      <c r="I2292" t="s">
        <v>8</v>
      </c>
      <c r="J2292" t="s">
        <v>21</v>
      </c>
      <c r="K2292" t="s">
        <v>18</v>
      </c>
      <c r="L2292" t="s">
        <v>298</v>
      </c>
      <c r="M2292" t="s">
        <v>299</v>
      </c>
      <c r="N2292">
        <v>0</v>
      </c>
      <c r="O2292" t="str">
        <f>IF(Transactions_RAW_cleaned[[#This Row],[Status]]="Completed", IFERROR(_xlfn.XLOOKUP(Transactions_RAW_cleaned[[#This Row],[CustomerID]], Customers_cleaned[CustomerID], Customers_cleaned[Segment]), "Customer Not Found"), "N/A")</f>
        <v>SMB</v>
      </c>
      <c r="P2292" s="5" t="str">
        <f>IF(Transactions_RAW_cleaned[[#This Row],[Status]]="Refunded", "Refund",
  IF(Transactions_RAW_cleaned[[#This Row],[Category]]="Payments", IF(Transactions_RAW_cleaned[[#This Row],[Amount]]&gt;500,"High Value","Standard"),
    IF(Transactions_RAW_cleaned[[#This Row],[Amount]]&gt;250,"High Value","Standard")))</f>
        <v>Standard</v>
      </c>
      <c r="Q2292" s="5" t="str">
        <f>IF(Transactions_RAW_cleaned[[#This Row],[Amount]] &gt; (_xlfn.XLOOKUP(Transactions_RAW_cleaned[[#This Row],[ServiceID]],Services_cleaned[ServiceID],Services_cleaned[TransactionFeePct]) * 10000), "Yes", "No")</f>
        <v>Yes</v>
      </c>
      <c r="R2292" s="5" t="str">
        <f>IF(COUNTIFS($C$2:Transactions_RAW_cleaned[[#This Row],[CustomerID]],Transactions_RAW_cleaned[[#This Row],[CustomerID]],$D$2:Transactions_RAW_cleaned[[#This Row],[ServiceID]],Transactions_RAW_cleaned[[#This Row],[ServiceID]])=1,"Yes","No")</f>
        <v>No</v>
      </c>
      <c r="S229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92" t="str">
        <f>"Q"&amp;ROUNDUP(MONTH(Transactions_RAW_cleaned[[#This Row],[TransactionDate]])/3,0)</f>
        <v>Q3</v>
      </c>
      <c r="U2292" t="str">
        <f>Transactions_RAW_cleaned[[#This Row],[Region ]]&amp;Transactions_RAW_cleaned[[#This Row],[Quarter ]]</f>
        <v>APACQ3</v>
      </c>
      <c r="V2292" s="5">
        <f>_xlfn.XLOOKUP(Transactions_RAW_cleaned[[#This Row],[RegionQuarterKey]], Quarterly_Targets_cleaned[RegionQuarterKey], Quarterly_Targets_cleaned[TargetRevenue])</f>
        <v>115500</v>
      </c>
    </row>
    <row r="2293" spans="1:22" x14ac:dyDescent="0.25">
      <c r="A2293" t="s">
        <v>2630</v>
      </c>
      <c r="B2293" s="1">
        <v>45316</v>
      </c>
      <c r="C2293" t="s">
        <v>40</v>
      </c>
      <c r="D2293" t="s">
        <v>300</v>
      </c>
      <c r="E2293">
        <v>266.64999999999998</v>
      </c>
      <c r="F2293" t="s">
        <v>324</v>
      </c>
      <c r="G2293" t="s">
        <v>327</v>
      </c>
      <c r="H2293" t="s">
        <v>332</v>
      </c>
      <c r="I2293" t="s">
        <v>17</v>
      </c>
      <c r="J2293" t="s">
        <v>102</v>
      </c>
      <c r="K2293" t="s">
        <v>14</v>
      </c>
      <c r="L2293" t="s">
        <v>301</v>
      </c>
      <c r="M2293" t="s">
        <v>302</v>
      </c>
      <c r="N2293">
        <v>5.0000000000000001E-3</v>
      </c>
      <c r="O2293" t="str">
        <f>IF(Transactions_RAW_cleaned[[#This Row],[Status]]="Completed", IFERROR(_xlfn.XLOOKUP(Transactions_RAW_cleaned[[#This Row],[CustomerID]], Customers_cleaned[CustomerID], Customers_cleaned[Segment]), "Customer Not Found"), "N/A")</f>
        <v>Enterprise</v>
      </c>
      <c r="P2293" s="5" t="str">
        <f>IF(Transactions_RAW_cleaned[[#This Row],[Status]]="Refunded", "Refund",
  IF(Transactions_RAW_cleaned[[#This Row],[Category]]="Payments", IF(Transactions_RAW_cleaned[[#This Row],[Amount]]&gt;500,"High Value","Standard"),
    IF(Transactions_RAW_cleaned[[#This Row],[Amount]]&gt;250,"High Value","Standard")))</f>
        <v>High Value</v>
      </c>
      <c r="Q2293" s="5" t="str">
        <f>IF(Transactions_RAW_cleaned[[#This Row],[Amount]] &gt; (_xlfn.XLOOKUP(Transactions_RAW_cleaned[[#This Row],[ServiceID]],Services_cleaned[ServiceID],Services_cleaned[TransactionFeePct]) * 10000), "Yes", "No")</f>
        <v>Yes</v>
      </c>
      <c r="R2293" s="5" t="str">
        <f>IF(COUNTIFS($C$2:Transactions_RAW_cleaned[[#This Row],[CustomerID]],Transactions_RAW_cleaned[[#This Row],[CustomerID]],$D$2:Transactions_RAW_cleaned[[#This Row],[ServiceID]],Transactions_RAW_cleaned[[#This Row],[ServiceID]])=1,"Yes","No")</f>
        <v>No</v>
      </c>
      <c r="S229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93" t="str">
        <f>"Q"&amp;ROUNDUP(MONTH(Transactions_RAW_cleaned[[#This Row],[TransactionDate]])/3,0)</f>
        <v>Q1</v>
      </c>
      <c r="U2293" t="str">
        <f>Transactions_RAW_cleaned[[#This Row],[Region ]]&amp;Transactions_RAW_cleaned[[#This Row],[Quarter ]]</f>
        <v>NAQ1</v>
      </c>
      <c r="V2293" s="5">
        <f>_xlfn.XLOOKUP(Transactions_RAW_cleaned[[#This Row],[RegionQuarterKey]], Quarterly_Targets_cleaned[RegionQuarterKey], Quarterly_Targets_cleaned[TargetRevenue])</f>
        <v>247000</v>
      </c>
    </row>
    <row r="2294" spans="1:22" x14ac:dyDescent="0.25">
      <c r="A2294" t="s">
        <v>2631</v>
      </c>
      <c r="B2294" s="1">
        <v>45582</v>
      </c>
      <c r="C2294" t="s">
        <v>245</v>
      </c>
      <c r="D2294" t="s">
        <v>300</v>
      </c>
      <c r="E2294">
        <v>304.73</v>
      </c>
      <c r="F2294" t="s">
        <v>324</v>
      </c>
      <c r="G2294" t="s">
        <v>325</v>
      </c>
      <c r="I2294" t="s">
        <v>8</v>
      </c>
      <c r="J2294" t="s">
        <v>31</v>
      </c>
      <c r="K2294" t="s">
        <v>14</v>
      </c>
      <c r="L2294" t="s">
        <v>301</v>
      </c>
      <c r="M2294" t="s">
        <v>302</v>
      </c>
      <c r="N2294">
        <v>5.0000000000000001E-3</v>
      </c>
      <c r="O2294" t="str">
        <f>IF(Transactions_RAW_cleaned[[#This Row],[Status]]="Completed", IFERROR(_xlfn.XLOOKUP(Transactions_RAW_cleaned[[#This Row],[CustomerID]], Customers_cleaned[CustomerID], Customers_cleaned[Segment]), "Customer Not Found"), "N/A")</f>
        <v>SMB</v>
      </c>
      <c r="P2294" s="5" t="str">
        <f>IF(Transactions_RAW_cleaned[[#This Row],[Status]]="Refunded", "Refund",
  IF(Transactions_RAW_cleaned[[#This Row],[Category]]="Payments", IF(Transactions_RAW_cleaned[[#This Row],[Amount]]&gt;500,"High Value","Standard"),
    IF(Transactions_RAW_cleaned[[#This Row],[Amount]]&gt;250,"High Value","Standard")))</f>
        <v>High Value</v>
      </c>
      <c r="Q2294" s="5" t="str">
        <f>IF(Transactions_RAW_cleaned[[#This Row],[Amount]] &gt; (_xlfn.XLOOKUP(Transactions_RAW_cleaned[[#This Row],[ServiceID]],Services_cleaned[ServiceID],Services_cleaned[TransactionFeePct]) * 10000), "Yes", "No")</f>
        <v>Yes</v>
      </c>
      <c r="R2294" s="5" t="str">
        <f>IF(COUNTIFS($C$2:Transactions_RAW_cleaned[[#This Row],[CustomerID]],Transactions_RAW_cleaned[[#This Row],[CustomerID]],$D$2:Transactions_RAW_cleaned[[#This Row],[ServiceID]],Transactions_RAW_cleaned[[#This Row],[ServiceID]])=1,"Yes","No")</f>
        <v>No</v>
      </c>
      <c r="S229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294" t="str">
        <f>"Q"&amp;ROUNDUP(MONTH(Transactions_RAW_cleaned[[#This Row],[TransactionDate]])/3,0)</f>
        <v>Q4</v>
      </c>
      <c r="U2294" t="str">
        <f>Transactions_RAW_cleaned[[#This Row],[Region ]]&amp;Transactions_RAW_cleaned[[#This Row],[Quarter ]]</f>
        <v>EMEAQ4</v>
      </c>
      <c r="V2294" s="5">
        <f>_xlfn.XLOOKUP(Transactions_RAW_cleaned[[#This Row],[RegionQuarterKey]], Quarterly_Targets_cleaned[RegionQuarterKey], Quarterly_Targets_cleaned[TargetRevenue])</f>
        <v>161000</v>
      </c>
    </row>
    <row r="2295" spans="1:22" x14ac:dyDescent="0.25">
      <c r="A2295" t="s">
        <v>2632</v>
      </c>
      <c r="B2295" s="1">
        <v>45547</v>
      </c>
      <c r="C2295" t="s">
        <v>253</v>
      </c>
      <c r="D2295" t="s">
        <v>315</v>
      </c>
      <c r="E2295">
        <v>679.15</v>
      </c>
      <c r="F2295" t="s">
        <v>381</v>
      </c>
      <c r="G2295" t="s">
        <v>2963</v>
      </c>
      <c r="H2295" t="s">
        <v>346</v>
      </c>
      <c r="I2295" t="s">
        <v>8</v>
      </c>
      <c r="J2295" t="s">
        <v>102</v>
      </c>
      <c r="K2295" t="s">
        <v>28</v>
      </c>
      <c r="L2295" t="s">
        <v>316</v>
      </c>
      <c r="M2295" t="s">
        <v>305</v>
      </c>
      <c r="N2295">
        <v>2.5000000000000001E-3</v>
      </c>
      <c r="O2295" t="str">
        <f>IF(Transactions_RAW_cleaned[[#This Row],[Status]]="Completed", IFERROR(_xlfn.XLOOKUP(Transactions_RAW_cleaned[[#This Row],[CustomerID]], Customers_cleaned[CustomerID], Customers_cleaned[Segment]), "Customer Not Found"), "N/A")</f>
        <v>N/A</v>
      </c>
      <c r="P2295" s="5" t="str">
        <f>IF(Transactions_RAW_cleaned[[#This Row],[Status]]="Refunded", "Refund",
  IF(Transactions_RAW_cleaned[[#This Row],[Category]]="Payments", IF(Transactions_RAW_cleaned[[#This Row],[Amount]]&gt;500,"High Value","Standard"),
    IF(Transactions_RAW_cleaned[[#This Row],[Amount]]&gt;250,"High Value","Standard")))</f>
        <v>High Value</v>
      </c>
      <c r="Q2295" s="5" t="str">
        <f>IF(Transactions_RAW_cleaned[[#This Row],[Amount]] &gt; (_xlfn.XLOOKUP(Transactions_RAW_cleaned[[#This Row],[ServiceID]],Services_cleaned[ServiceID],Services_cleaned[TransactionFeePct]) * 10000), "Yes", "No")</f>
        <v>Yes</v>
      </c>
      <c r="R2295" s="5" t="str">
        <f>IF(COUNTIFS($C$2:Transactions_RAW_cleaned[[#This Row],[CustomerID]],Transactions_RAW_cleaned[[#This Row],[CustomerID]],$D$2:Transactions_RAW_cleaned[[#This Row],[ServiceID]],Transactions_RAW_cleaned[[#This Row],[ServiceID]])=1,"Yes","No")</f>
        <v>No</v>
      </c>
      <c r="S229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95" t="str">
        <f>"Q"&amp;ROUNDUP(MONTH(Transactions_RAW_cleaned[[#This Row],[TransactionDate]])/3,0)</f>
        <v>Q3</v>
      </c>
      <c r="U2295" t="str">
        <f>Transactions_RAW_cleaned[[#This Row],[Region ]]&amp;Transactions_RAW_cleaned[[#This Row],[Quarter ]]</f>
        <v>NAQ3</v>
      </c>
      <c r="V2295" s="5">
        <f>_xlfn.XLOOKUP(Transactions_RAW_cleaned[[#This Row],[RegionQuarterKey]], Quarterly_Targets_cleaned[RegionQuarterKey], Quarterly_Targets_cleaned[TargetRevenue])</f>
        <v>273000</v>
      </c>
    </row>
    <row r="2296" spans="1:22" x14ac:dyDescent="0.25">
      <c r="A2296" t="s">
        <v>2633</v>
      </c>
      <c r="B2296" s="1">
        <v>45543</v>
      </c>
      <c r="C2296" t="s">
        <v>161</v>
      </c>
      <c r="D2296" t="s">
        <v>312</v>
      </c>
      <c r="E2296">
        <v>1279.17</v>
      </c>
      <c r="F2296" t="s">
        <v>324</v>
      </c>
      <c r="G2296" t="s">
        <v>337</v>
      </c>
      <c r="H2296" t="s">
        <v>334</v>
      </c>
      <c r="I2296" t="s">
        <v>8</v>
      </c>
      <c r="J2296" t="s">
        <v>21</v>
      </c>
      <c r="K2296" t="s">
        <v>22</v>
      </c>
      <c r="L2296" t="s">
        <v>313</v>
      </c>
      <c r="M2296" t="s">
        <v>314</v>
      </c>
      <c r="N2296">
        <v>0</v>
      </c>
      <c r="O2296" t="str">
        <f>IF(Transactions_RAW_cleaned[[#This Row],[Status]]="Completed", IFERROR(_xlfn.XLOOKUP(Transactions_RAW_cleaned[[#This Row],[CustomerID]], Customers_cleaned[CustomerID], Customers_cleaned[Segment]), "Customer Not Found"), "N/A")</f>
        <v>SMB</v>
      </c>
      <c r="P2296" s="5" t="str">
        <f>IF(Transactions_RAW_cleaned[[#This Row],[Status]]="Refunded", "Refund",
  IF(Transactions_RAW_cleaned[[#This Row],[Category]]="Payments", IF(Transactions_RAW_cleaned[[#This Row],[Amount]]&gt;500,"High Value","Standard"),
    IF(Transactions_RAW_cleaned[[#This Row],[Amount]]&gt;250,"High Value","Standard")))</f>
        <v>High Value</v>
      </c>
      <c r="Q2296" s="5" t="str">
        <f>IF(Transactions_RAW_cleaned[[#This Row],[Amount]] &gt; (_xlfn.XLOOKUP(Transactions_RAW_cleaned[[#This Row],[ServiceID]],Services_cleaned[ServiceID],Services_cleaned[TransactionFeePct]) * 10000), "Yes", "No")</f>
        <v>Yes</v>
      </c>
      <c r="R2296" s="5" t="str">
        <f>IF(COUNTIFS($C$2:Transactions_RAW_cleaned[[#This Row],[CustomerID]],Transactions_RAW_cleaned[[#This Row],[CustomerID]],$D$2:Transactions_RAW_cleaned[[#This Row],[ServiceID]],Transactions_RAW_cleaned[[#This Row],[ServiceID]])=1,"Yes","No")</f>
        <v>No</v>
      </c>
      <c r="S229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296" t="str">
        <f>"Q"&amp;ROUNDUP(MONTH(Transactions_RAW_cleaned[[#This Row],[TransactionDate]])/3,0)</f>
        <v>Q3</v>
      </c>
      <c r="U2296" t="str">
        <f>Transactions_RAW_cleaned[[#This Row],[Region ]]&amp;Transactions_RAW_cleaned[[#This Row],[Quarter ]]</f>
        <v>APACQ3</v>
      </c>
      <c r="V2296" s="5">
        <f>_xlfn.XLOOKUP(Transactions_RAW_cleaned[[#This Row],[RegionQuarterKey]], Quarterly_Targets_cleaned[RegionQuarterKey], Quarterly_Targets_cleaned[TargetRevenue])</f>
        <v>115500</v>
      </c>
    </row>
    <row r="2297" spans="1:22" x14ac:dyDescent="0.25">
      <c r="A2297" t="s">
        <v>2634</v>
      </c>
      <c r="B2297" s="1">
        <v>45524</v>
      </c>
      <c r="C2297" t="s">
        <v>277</v>
      </c>
      <c r="D2297" t="s">
        <v>297</v>
      </c>
      <c r="E2297">
        <v>196.5</v>
      </c>
      <c r="F2297" t="s">
        <v>324</v>
      </c>
      <c r="G2297" t="s">
        <v>337</v>
      </c>
      <c r="H2297" t="s">
        <v>334</v>
      </c>
      <c r="I2297" t="s">
        <v>8</v>
      </c>
      <c r="J2297" t="s">
        <v>31</v>
      </c>
      <c r="K2297" t="s">
        <v>22</v>
      </c>
      <c r="L2297" t="s">
        <v>298</v>
      </c>
      <c r="M2297" t="s">
        <v>299</v>
      </c>
      <c r="N2297">
        <v>0</v>
      </c>
      <c r="O2297" t="str">
        <f>IF(Transactions_RAW_cleaned[[#This Row],[Status]]="Completed", IFERROR(_xlfn.XLOOKUP(Transactions_RAW_cleaned[[#This Row],[CustomerID]], Customers_cleaned[CustomerID], Customers_cleaned[Segment]), "Customer Not Found"), "N/A")</f>
        <v>SMB</v>
      </c>
      <c r="P2297" s="5" t="str">
        <f>IF(Transactions_RAW_cleaned[[#This Row],[Status]]="Refunded", "Refund",
  IF(Transactions_RAW_cleaned[[#This Row],[Category]]="Payments", IF(Transactions_RAW_cleaned[[#This Row],[Amount]]&gt;500,"High Value","Standard"),
    IF(Transactions_RAW_cleaned[[#This Row],[Amount]]&gt;250,"High Value","Standard")))</f>
        <v>Standard</v>
      </c>
      <c r="Q2297" s="5" t="str">
        <f>IF(Transactions_RAW_cleaned[[#This Row],[Amount]] &gt; (_xlfn.XLOOKUP(Transactions_RAW_cleaned[[#This Row],[ServiceID]],Services_cleaned[ServiceID],Services_cleaned[TransactionFeePct]) * 10000), "Yes", "No")</f>
        <v>Yes</v>
      </c>
      <c r="R2297" s="5" t="str">
        <f>IF(COUNTIFS($C$2:Transactions_RAW_cleaned[[#This Row],[CustomerID]],Transactions_RAW_cleaned[[#This Row],[CustomerID]],$D$2:Transactions_RAW_cleaned[[#This Row],[ServiceID]],Transactions_RAW_cleaned[[#This Row],[ServiceID]])=1,"Yes","No")</f>
        <v>No</v>
      </c>
      <c r="S229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297" t="str">
        <f>"Q"&amp;ROUNDUP(MONTH(Transactions_RAW_cleaned[[#This Row],[TransactionDate]])/3,0)</f>
        <v>Q3</v>
      </c>
      <c r="U2297" t="str">
        <f>Transactions_RAW_cleaned[[#This Row],[Region ]]&amp;Transactions_RAW_cleaned[[#This Row],[Quarter ]]</f>
        <v>EMEAQ3</v>
      </c>
      <c r="V2297" s="5">
        <f>_xlfn.XLOOKUP(Transactions_RAW_cleaned[[#This Row],[RegionQuarterKey]], Quarterly_Targets_cleaned[RegionQuarterKey], Quarterly_Targets_cleaned[TargetRevenue])</f>
        <v>147000</v>
      </c>
    </row>
    <row r="2298" spans="1:22" x14ac:dyDescent="0.25">
      <c r="A2298" t="s">
        <v>2635</v>
      </c>
      <c r="B2298" s="1">
        <v>45490</v>
      </c>
      <c r="C2298" t="s">
        <v>209</v>
      </c>
      <c r="D2298" t="s">
        <v>294</v>
      </c>
      <c r="E2298">
        <v>214.42</v>
      </c>
      <c r="F2298" t="s">
        <v>324</v>
      </c>
      <c r="G2298" t="s">
        <v>325</v>
      </c>
      <c r="I2298" t="s">
        <v>17</v>
      </c>
      <c r="J2298" t="s">
        <v>102</v>
      </c>
      <c r="K2298" t="s">
        <v>22</v>
      </c>
      <c r="L2298" t="s">
        <v>295</v>
      </c>
      <c r="M2298" t="s">
        <v>296</v>
      </c>
      <c r="N2298">
        <v>2.9000000000000001E-2</v>
      </c>
      <c r="O2298" t="str">
        <f>IF(Transactions_RAW_cleaned[[#This Row],[Status]]="Completed", IFERROR(_xlfn.XLOOKUP(Transactions_RAW_cleaned[[#This Row],[CustomerID]], Customers_cleaned[CustomerID], Customers_cleaned[Segment]), "Customer Not Found"), "N/A")</f>
        <v>Enterprise</v>
      </c>
      <c r="P2298" s="5" t="str">
        <f>IF(Transactions_RAW_cleaned[[#This Row],[Status]]="Refunded", "Refund",
  IF(Transactions_RAW_cleaned[[#This Row],[Category]]="Payments", IF(Transactions_RAW_cleaned[[#This Row],[Amount]]&gt;500,"High Value","Standard"),
    IF(Transactions_RAW_cleaned[[#This Row],[Amount]]&gt;250,"High Value","Standard")))</f>
        <v>Standard</v>
      </c>
      <c r="Q2298" s="5" t="str">
        <f>IF(Transactions_RAW_cleaned[[#This Row],[Amount]] &gt; (_xlfn.XLOOKUP(Transactions_RAW_cleaned[[#This Row],[ServiceID]],Services_cleaned[ServiceID],Services_cleaned[TransactionFeePct]) * 10000), "Yes", "No")</f>
        <v>No</v>
      </c>
      <c r="R2298" s="5" t="str">
        <f>IF(COUNTIFS($C$2:Transactions_RAW_cleaned[[#This Row],[CustomerID]],Transactions_RAW_cleaned[[#This Row],[CustomerID]],$D$2:Transactions_RAW_cleaned[[#This Row],[ServiceID]],Transactions_RAW_cleaned[[#This Row],[ServiceID]])=1,"Yes","No")</f>
        <v>No</v>
      </c>
      <c r="S229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298" t="str">
        <f>"Q"&amp;ROUNDUP(MONTH(Transactions_RAW_cleaned[[#This Row],[TransactionDate]])/3,0)</f>
        <v>Q3</v>
      </c>
      <c r="U2298" t="str">
        <f>Transactions_RAW_cleaned[[#This Row],[Region ]]&amp;Transactions_RAW_cleaned[[#This Row],[Quarter ]]</f>
        <v>NAQ3</v>
      </c>
      <c r="V2298" s="5">
        <f>_xlfn.XLOOKUP(Transactions_RAW_cleaned[[#This Row],[RegionQuarterKey]], Quarterly_Targets_cleaned[RegionQuarterKey], Quarterly_Targets_cleaned[TargetRevenue])</f>
        <v>273000</v>
      </c>
    </row>
    <row r="2299" spans="1:22" x14ac:dyDescent="0.25">
      <c r="A2299" t="s">
        <v>2636</v>
      </c>
      <c r="B2299" s="1">
        <v>45599</v>
      </c>
      <c r="C2299" t="s">
        <v>175</v>
      </c>
      <c r="D2299" t="s">
        <v>300</v>
      </c>
      <c r="E2299">
        <v>173.93</v>
      </c>
      <c r="F2299" t="s">
        <v>381</v>
      </c>
      <c r="G2299" t="s">
        <v>325</v>
      </c>
      <c r="I2299" t="s">
        <v>8</v>
      </c>
      <c r="J2299" t="s">
        <v>31</v>
      </c>
      <c r="K2299" t="s">
        <v>32</v>
      </c>
      <c r="L2299" t="s">
        <v>301</v>
      </c>
      <c r="M2299" t="s">
        <v>302</v>
      </c>
      <c r="N2299">
        <v>5.0000000000000001E-3</v>
      </c>
      <c r="O2299" t="str">
        <f>IF(Transactions_RAW_cleaned[[#This Row],[Status]]="Completed", IFERROR(_xlfn.XLOOKUP(Transactions_RAW_cleaned[[#This Row],[CustomerID]], Customers_cleaned[CustomerID], Customers_cleaned[Segment]), "Customer Not Found"), "N/A")</f>
        <v>N/A</v>
      </c>
      <c r="P2299" s="5" t="str">
        <f>IF(Transactions_RAW_cleaned[[#This Row],[Status]]="Refunded", "Refund",
  IF(Transactions_RAW_cleaned[[#This Row],[Category]]="Payments", IF(Transactions_RAW_cleaned[[#This Row],[Amount]]&gt;500,"High Value","Standard"),
    IF(Transactions_RAW_cleaned[[#This Row],[Amount]]&gt;250,"High Value","Standard")))</f>
        <v>Standard</v>
      </c>
      <c r="Q2299" s="5" t="str">
        <f>IF(Transactions_RAW_cleaned[[#This Row],[Amount]] &gt; (_xlfn.XLOOKUP(Transactions_RAW_cleaned[[#This Row],[ServiceID]],Services_cleaned[ServiceID],Services_cleaned[TransactionFeePct]) * 10000), "Yes", "No")</f>
        <v>Yes</v>
      </c>
      <c r="R2299" s="5" t="str">
        <f>IF(COUNTIFS($C$2:Transactions_RAW_cleaned[[#This Row],[CustomerID]],Transactions_RAW_cleaned[[#This Row],[CustomerID]],$D$2:Transactions_RAW_cleaned[[#This Row],[ServiceID]],Transactions_RAW_cleaned[[#This Row],[ServiceID]])=1,"Yes","No")</f>
        <v>No</v>
      </c>
      <c r="S229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299" t="str">
        <f>"Q"&amp;ROUNDUP(MONTH(Transactions_RAW_cleaned[[#This Row],[TransactionDate]])/3,0)</f>
        <v>Q4</v>
      </c>
      <c r="U2299" t="str">
        <f>Transactions_RAW_cleaned[[#This Row],[Region ]]&amp;Transactions_RAW_cleaned[[#This Row],[Quarter ]]</f>
        <v>EMEAQ4</v>
      </c>
      <c r="V2299" s="5">
        <f>_xlfn.XLOOKUP(Transactions_RAW_cleaned[[#This Row],[RegionQuarterKey]], Quarterly_Targets_cleaned[RegionQuarterKey], Quarterly_Targets_cleaned[TargetRevenue])</f>
        <v>161000</v>
      </c>
    </row>
    <row r="2300" spans="1:22" x14ac:dyDescent="0.25">
      <c r="A2300" t="s">
        <v>2637</v>
      </c>
      <c r="B2300" s="1">
        <v>45465</v>
      </c>
      <c r="C2300" t="s">
        <v>66</v>
      </c>
      <c r="D2300" t="s">
        <v>306</v>
      </c>
      <c r="E2300">
        <v>379.61</v>
      </c>
      <c r="F2300" t="s">
        <v>331</v>
      </c>
      <c r="G2300" t="s">
        <v>327</v>
      </c>
      <c r="I2300" t="s">
        <v>8</v>
      </c>
      <c r="J2300" t="s">
        <v>46</v>
      </c>
      <c r="K2300" t="s">
        <v>10</v>
      </c>
      <c r="L2300" t="s">
        <v>307</v>
      </c>
      <c r="M2300" t="s">
        <v>308</v>
      </c>
      <c r="N2300">
        <v>0</v>
      </c>
      <c r="O2300" t="str">
        <f>IF(Transactions_RAW_cleaned[[#This Row],[Status]]="Completed", IFERROR(_xlfn.XLOOKUP(Transactions_RAW_cleaned[[#This Row],[CustomerID]], Customers_cleaned[CustomerID], Customers_cleaned[Segment]), "Customer Not Found"), "N/A")</f>
        <v>N/A</v>
      </c>
      <c r="P2300" s="5" t="str">
        <f>IF(Transactions_RAW_cleaned[[#This Row],[Status]]="Refunded", "Refund",
  IF(Transactions_RAW_cleaned[[#This Row],[Category]]="Payments", IF(Transactions_RAW_cleaned[[#This Row],[Amount]]&gt;500,"High Value","Standard"),
    IF(Transactions_RAW_cleaned[[#This Row],[Amount]]&gt;250,"High Value","Standard")))</f>
        <v>High Value</v>
      </c>
      <c r="Q2300" s="5" t="str">
        <f>IF(Transactions_RAW_cleaned[[#This Row],[Amount]] &gt; (_xlfn.XLOOKUP(Transactions_RAW_cleaned[[#This Row],[ServiceID]],Services_cleaned[ServiceID],Services_cleaned[TransactionFeePct]) * 10000), "Yes", "No")</f>
        <v>Yes</v>
      </c>
      <c r="R2300" s="5" t="str">
        <f>IF(COUNTIFS($C$2:Transactions_RAW_cleaned[[#This Row],[CustomerID]],Transactions_RAW_cleaned[[#This Row],[CustomerID]],$D$2:Transactions_RAW_cleaned[[#This Row],[ServiceID]],Transactions_RAW_cleaned[[#This Row],[ServiceID]])=1,"Yes","No")</f>
        <v>No</v>
      </c>
      <c r="S230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00" t="str">
        <f>"Q"&amp;ROUNDUP(MONTH(Transactions_RAW_cleaned[[#This Row],[TransactionDate]])/3,0)</f>
        <v>Q2</v>
      </c>
      <c r="U2300" t="str">
        <f>Transactions_RAW_cleaned[[#This Row],[Region ]]&amp;Transactions_RAW_cleaned[[#This Row],[Quarter ]]</f>
        <v>APACQ2</v>
      </c>
      <c r="V2300" s="5">
        <f>_xlfn.XLOOKUP(Transactions_RAW_cleaned[[#This Row],[RegionQuarterKey]], Quarterly_Targets_cleaned[RegionQuarterKey], Quarterly_Targets_cleaned[TargetRevenue])</f>
        <v>110000</v>
      </c>
    </row>
    <row r="2301" spans="1:22" x14ac:dyDescent="0.25">
      <c r="A2301" t="s">
        <v>2638</v>
      </c>
      <c r="B2301" s="1">
        <v>45445</v>
      </c>
      <c r="C2301" t="s">
        <v>265</v>
      </c>
      <c r="D2301" t="s">
        <v>306</v>
      </c>
      <c r="E2301">
        <v>573.09</v>
      </c>
      <c r="F2301" t="s">
        <v>324</v>
      </c>
      <c r="G2301" t="s">
        <v>325</v>
      </c>
      <c r="H2301" t="s">
        <v>332</v>
      </c>
      <c r="I2301" t="s">
        <v>8</v>
      </c>
      <c r="J2301" t="s">
        <v>102</v>
      </c>
      <c r="K2301" t="s">
        <v>32</v>
      </c>
      <c r="L2301" t="s">
        <v>307</v>
      </c>
      <c r="M2301" t="s">
        <v>308</v>
      </c>
      <c r="N2301">
        <v>0</v>
      </c>
      <c r="O2301" t="str">
        <f>IF(Transactions_RAW_cleaned[[#This Row],[Status]]="Completed", IFERROR(_xlfn.XLOOKUP(Transactions_RAW_cleaned[[#This Row],[CustomerID]], Customers_cleaned[CustomerID], Customers_cleaned[Segment]), "Customer Not Found"), "N/A")</f>
        <v>SMB</v>
      </c>
      <c r="P2301" s="5" t="str">
        <f>IF(Transactions_RAW_cleaned[[#This Row],[Status]]="Refunded", "Refund",
  IF(Transactions_RAW_cleaned[[#This Row],[Category]]="Payments", IF(Transactions_RAW_cleaned[[#This Row],[Amount]]&gt;500,"High Value","Standard"),
    IF(Transactions_RAW_cleaned[[#This Row],[Amount]]&gt;250,"High Value","Standard")))</f>
        <v>High Value</v>
      </c>
      <c r="Q2301" s="5" t="str">
        <f>IF(Transactions_RAW_cleaned[[#This Row],[Amount]] &gt; (_xlfn.XLOOKUP(Transactions_RAW_cleaned[[#This Row],[ServiceID]],Services_cleaned[ServiceID],Services_cleaned[TransactionFeePct]) * 10000), "Yes", "No")</f>
        <v>Yes</v>
      </c>
      <c r="R2301" s="5" t="str">
        <f>IF(COUNTIFS($C$2:Transactions_RAW_cleaned[[#This Row],[CustomerID]],Transactions_RAW_cleaned[[#This Row],[CustomerID]],$D$2:Transactions_RAW_cleaned[[#This Row],[ServiceID]],Transactions_RAW_cleaned[[#This Row],[ServiceID]])=1,"Yes","No")</f>
        <v>No</v>
      </c>
      <c r="S230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01" t="str">
        <f>"Q"&amp;ROUNDUP(MONTH(Transactions_RAW_cleaned[[#This Row],[TransactionDate]])/3,0)</f>
        <v>Q2</v>
      </c>
      <c r="U2301" t="str">
        <f>Transactions_RAW_cleaned[[#This Row],[Region ]]&amp;Transactions_RAW_cleaned[[#This Row],[Quarter ]]</f>
        <v>NAQ2</v>
      </c>
      <c r="V2301" s="5">
        <f>_xlfn.XLOOKUP(Transactions_RAW_cleaned[[#This Row],[RegionQuarterKey]], Quarterly_Targets_cleaned[RegionQuarterKey], Quarterly_Targets_cleaned[TargetRevenue])</f>
        <v>260000</v>
      </c>
    </row>
    <row r="2302" spans="1:22" x14ac:dyDescent="0.25">
      <c r="A2302" t="s">
        <v>2639</v>
      </c>
      <c r="B2302" s="1">
        <v>45578</v>
      </c>
      <c r="C2302" t="s">
        <v>179</v>
      </c>
      <c r="D2302" t="s">
        <v>294</v>
      </c>
      <c r="E2302">
        <v>-464.44</v>
      </c>
      <c r="F2302" t="s">
        <v>349</v>
      </c>
      <c r="G2302" t="s">
        <v>329</v>
      </c>
      <c r="I2302" t="s">
        <v>8</v>
      </c>
      <c r="J2302" t="s">
        <v>31</v>
      </c>
      <c r="K2302" t="s">
        <v>18</v>
      </c>
      <c r="L2302" t="s">
        <v>295</v>
      </c>
      <c r="M2302" t="s">
        <v>296</v>
      </c>
      <c r="N2302">
        <v>2.9000000000000001E-2</v>
      </c>
      <c r="O2302" t="str">
        <f>IF(Transactions_RAW_cleaned[[#This Row],[Status]]="Completed", IFERROR(_xlfn.XLOOKUP(Transactions_RAW_cleaned[[#This Row],[CustomerID]], Customers_cleaned[CustomerID], Customers_cleaned[Segment]), "Customer Not Found"), "N/A")</f>
        <v>N/A</v>
      </c>
      <c r="P2302" s="5" t="str">
        <f>IF(Transactions_RAW_cleaned[[#This Row],[Status]]="Refunded", "Refund",
  IF(Transactions_RAW_cleaned[[#This Row],[Category]]="Payments", IF(Transactions_RAW_cleaned[[#This Row],[Amount]]&gt;500,"High Value","Standard"),
    IF(Transactions_RAW_cleaned[[#This Row],[Amount]]&gt;250,"High Value","Standard")))</f>
        <v>Refund</v>
      </c>
      <c r="Q2302" s="5" t="str">
        <f>IF(Transactions_RAW_cleaned[[#This Row],[Amount]] &gt; (_xlfn.XLOOKUP(Transactions_RAW_cleaned[[#This Row],[ServiceID]],Services_cleaned[ServiceID],Services_cleaned[TransactionFeePct]) * 10000), "Yes", "No")</f>
        <v>No</v>
      </c>
      <c r="R2302" s="5" t="str">
        <f>IF(COUNTIFS($C$2:Transactions_RAW_cleaned[[#This Row],[CustomerID]],Transactions_RAW_cleaned[[#This Row],[CustomerID]],$D$2:Transactions_RAW_cleaned[[#This Row],[ServiceID]],Transactions_RAW_cleaned[[#This Row],[ServiceID]])=1,"Yes","No")</f>
        <v>No</v>
      </c>
      <c r="S230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02" t="str">
        <f>"Q"&amp;ROUNDUP(MONTH(Transactions_RAW_cleaned[[#This Row],[TransactionDate]])/3,0)</f>
        <v>Q4</v>
      </c>
      <c r="U2302" t="str">
        <f>Transactions_RAW_cleaned[[#This Row],[Region ]]&amp;Transactions_RAW_cleaned[[#This Row],[Quarter ]]</f>
        <v>EMEAQ4</v>
      </c>
      <c r="V2302" s="5">
        <f>_xlfn.XLOOKUP(Transactions_RAW_cleaned[[#This Row],[RegionQuarterKey]], Quarterly_Targets_cleaned[RegionQuarterKey], Quarterly_Targets_cleaned[TargetRevenue])</f>
        <v>161000</v>
      </c>
    </row>
    <row r="2303" spans="1:22" x14ac:dyDescent="0.25">
      <c r="A2303" t="s">
        <v>2640</v>
      </c>
      <c r="B2303" s="1">
        <v>45588</v>
      </c>
      <c r="C2303" t="s">
        <v>6</v>
      </c>
      <c r="D2303" t="s">
        <v>309</v>
      </c>
      <c r="E2303">
        <v>831.19</v>
      </c>
      <c r="F2303" t="s">
        <v>324</v>
      </c>
      <c r="G2303" t="s">
        <v>329</v>
      </c>
      <c r="H2303" t="s">
        <v>332</v>
      </c>
      <c r="I2303" t="s">
        <v>8</v>
      </c>
      <c r="J2303" t="s">
        <v>102</v>
      </c>
      <c r="K2303" t="s">
        <v>10</v>
      </c>
      <c r="L2303" t="s">
        <v>310</v>
      </c>
      <c r="M2303" t="s">
        <v>311</v>
      </c>
      <c r="N2303">
        <v>0</v>
      </c>
      <c r="O2303" t="str">
        <f>IF(Transactions_RAW_cleaned[[#This Row],[Status]]="Completed", IFERROR(_xlfn.XLOOKUP(Transactions_RAW_cleaned[[#This Row],[CustomerID]], Customers_cleaned[CustomerID], Customers_cleaned[Segment]), "Customer Not Found"), "N/A")</f>
        <v>SMB</v>
      </c>
      <c r="P2303" s="5" t="str">
        <f>IF(Transactions_RAW_cleaned[[#This Row],[Status]]="Refunded", "Refund",
  IF(Transactions_RAW_cleaned[[#This Row],[Category]]="Payments", IF(Transactions_RAW_cleaned[[#This Row],[Amount]]&gt;500,"High Value","Standard"),
    IF(Transactions_RAW_cleaned[[#This Row],[Amount]]&gt;250,"High Value","Standard")))</f>
        <v>High Value</v>
      </c>
      <c r="Q2303" s="5" t="str">
        <f>IF(Transactions_RAW_cleaned[[#This Row],[Amount]] &gt; (_xlfn.XLOOKUP(Transactions_RAW_cleaned[[#This Row],[ServiceID]],Services_cleaned[ServiceID],Services_cleaned[TransactionFeePct]) * 10000), "Yes", "No")</f>
        <v>Yes</v>
      </c>
      <c r="R2303" s="5" t="str">
        <f>IF(COUNTIFS($C$2:Transactions_RAW_cleaned[[#This Row],[CustomerID]],Transactions_RAW_cleaned[[#This Row],[CustomerID]],$D$2:Transactions_RAW_cleaned[[#This Row],[ServiceID]],Transactions_RAW_cleaned[[#This Row],[ServiceID]])=1,"Yes","No")</f>
        <v>No</v>
      </c>
      <c r="S230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03" t="str">
        <f>"Q"&amp;ROUNDUP(MONTH(Transactions_RAW_cleaned[[#This Row],[TransactionDate]])/3,0)</f>
        <v>Q4</v>
      </c>
      <c r="U2303" t="str">
        <f>Transactions_RAW_cleaned[[#This Row],[Region ]]&amp;Transactions_RAW_cleaned[[#This Row],[Quarter ]]</f>
        <v>NAQ4</v>
      </c>
      <c r="V2303" s="5">
        <f>_xlfn.XLOOKUP(Transactions_RAW_cleaned[[#This Row],[RegionQuarterKey]], Quarterly_Targets_cleaned[RegionQuarterKey], Quarterly_Targets_cleaned[TargetRevenue])</f>
        <v>299000</v>
      </c>
    </row>
    <row r="2304" spans="1:22" x14ac:dyDescent="0.25">
      <c r="A2304" t="s">
        <v>2641</v>
      </c>
      <c r="B2304" s="1">
        <v>45603</v>
      </c>
      <c r="C2304" t="s">
        <v>74</v>
      </c>
      <c r="D2304" t="s">
        <v>300</v>
      </c>
      <c r="E2304">
        <v>288.75</v>
      </c>
      <c r="F2304" t="s">
        <v>324</v>
      </c>
      <c r="G2304" t="s">
        <v>327</v>
      </c>
      <c r="I2304" t="s">
        <v>17</v>
      </c>
      <c r="J2304" t="s">
        <v>46</v>
      </c>
      <c r="K2304" t="s">
        <v>28</v>
      </c>
      <c r="L2304" t="s">
        <v>301</v>
      </c>
      <c r="M2304" t="s">
        <v>302</v>
      </c>
      <c r="N2304">
        <v>5.0000000000000001E-3</v>
      </c>
      <c r="O2304" t="str">
        <f>IF(Transactions_RAW_cleaned[[#This Row],[Status]]="Completed", IFERROR(_xlfn.XLOOKUP(Transactions_RAW_cleaned[[#This Row],[CustomerID]], Customers_cleaned[CustomerID], Customers_cleaned[Segment]), "Customer Not Found"), "N/A")</f>
        <v>Enterprise</v>
      </c>
      <c r="P2304" s="5" t="str">
        <f>IF(Transactions_RAW_cleaned[[#This Row],[Status]]="Refunded", "Refund",
  IF(Transactions_RAW_cleaned[[#This Row],[Category]]="Payments", IF(Transactions_RAW_cleaned[[#This Row],[Amount]]&gt;500,"High Value","Standard"),
    IF(Transactions_RAW_cleaned[[#This Row],[Amount]]&gt;250,"High Value","Standard")))</f>
        <v>High Value</v>
      </c>
      <c r="Q2304" s="5" t="str">
        <f>IF(Transactions_RAW_cleaned[[#This Row],[Amount]] &gt; (_xlfn.XLOOKUP(Transactions_RAW_cleaned[[#This Row],[ServiceID]],Services_cleaned[ServiceID],Services_cleaned[TransactionFeePct]) * 10000), "Yes", "No")</f>
        <v>Yes</v>
      </c>
      <c r="R2304" s="5" t="str">
        <f>IF(COUNTIFS($C$2:Transactions_RAW_cleaned[[#This Row],[CustomerID]],Transactions_RAW_cleaned[[#This Row],[CustomerID]],$D$2:Transactions_RAW_cleaned[[#This Row],[ServiceID]],Transactions_RAW_cleaned[[#This Row],[ServiceID]])=1,"Yes","No")</f>
        <v>No</v>
      </c>
      <c r="S230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04" t="str">
        <f>"Q"&amp;ROUNDUP(MONTH(Transactions_RAW_cleaned[[#This Row],[TransactionDate]])/3,0)</f>
        <v>Q4</v>
      </c>
      <c r="U2304" t="str">
        <f>Transactions_RAW_cleaned[[#This Row],[Region ]]&amp;Transactions_RAW_cleaned[[#This Row],[Quarter ]]</f>
        <v>APACQ4</v>
      </c>
      <c r="V2304" s="5">
        <f>_xlfn.XLOOKUP(Transactions_RAW_cleaned[[#This Row],[RegionQuarterKey]], Quarterly_Targets_cleaned[RegionQuarterKey], Quarterly_Targets_cleaned[TargetRevenue])</f>
        <v>126500</v>
      </c>
    </row>
    <row r="2305" spans="1:22" x14ac:dyDescent="0.25">
      <c r="A2305" t="s">
        <v>2642</v>
      </c>
      <c r="B2305" s="1">
        <v>45479</v>
      </c>
      <c r="C2305" t="s">
        <v>189</v>
      </c>
      <c r="D2305" t="s">
        <v>294</v>
      </c>
      <c r="E2305">
        <v>570.01</v>
      </c>
      <c r="F2305" t="s">
        <v>324</v>
      </c>
      <c r="G2305" t="s">
        <v>327</v>
      </c>
      <c r="I2305" t="s">
        <v>17</v>
      </c>
      <c r="J2305" t="s">
        <v>102</v>
      </c>
      <c r="K2305" t="s">
        <v>14</v>
      </c>
      <c r="L2305" t="s">
        <v>295</v>
      </c>
      <c r="M2305" t="s">
        <v>296</v>
      </c>
      <c r="N2305">
        <v>2.9000000000000001E-2</v>
      </c>
      <c r="O2305" t="str">
        <f>IF(Transactions_RAW_cleaned[[#This Row],[Status]]="Completed", IFERROR(_xlfn.XLOOKUP(Transactions_RAW_cleaned[[#This Row],[CustomerID]], Customers_cleaned[CustomerID], Customers_cleaned[Segment]), "Customer Not Found"), "N/A")</f>
        <v>Enterprise</v>
      </c>
      <c r="P2305" s="5" t="str">
        <f>IF(Transactions_RAW_cleaned[[#This Row],[Status]]="Refunded", "Refund",
  IF(Transactions_RAW_cleaned[[#This Row],[Category]]="Payments", IF(Transactions_RAW_cleaned[[#This Row],[Amount]]&gt;500,"High Value","Standard"),
    IF(Transactions_RAW_cleaned[[#This Row],[Amount]]&gt;250,"High Value","Standard")))</f>
        <v>High Value</v>
      </c>
      <c r="Q2305" s="5" t="str">
        <f>IF(Transactions_RAW_cleaned[[#This Row],[Amount]] &gt; (_xlfn.XLOOKUP(Transactions_RAW_cleaned[[#This Row],[ServiceID]],Services_cleaned[ServiceID],Services_cleaned[TransactionFeePct]) * 10000), "Yes", "No")</f>
        <v>Yes</v>
      </c>
      <c r="R2305" s="5" t="str">
        <f>IF(COUNTIFS($C$2:Transactions_RAW_cleaned[[#This Row],[CustomerID]],Transactions_RAW_cleaned[[#This Row],[CustomerID]],$D$2:Transactions_RAW_cleaned[[#This Row],[ServiceID]],Transactions_RAW_cleaned[[#This Row],[ServiceID]])=1,"Yes","No")</f>
        <v>No</v>
      </c>
      <c r="S230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05" t="str">
        <f>"Q"&amp;ROUNDUP(MONTH(Transactions_RAW_cleaned[[#This Row],[TransactionDate]])/3,0)</f>
        <v>Q3</v>
      </c>
      <c r="U2305" t="str">
        <f>Transactions_RAW_cleaned[[#This Row],[Region ]]&amp;Transactions_RAW_cleaned[[#This Row],[Quarter ]]</f>
        <v>NAQ3</v>
      </c>
      <c r="V2305" s="5">
        <f>_xlfn.XLOOKUP(Transactions_RAW_cleaned[[#This Row],[RegionQuarterKey]], Quarterly_Targets_cleaned[RegionQuarterKey], Quarterly_Targets_cleaned[TargetRevenue])</f>
        <v>273000</v>
      </c>
    </row>
    <row r="2306" spans="1:22" x14ac:dyDescent="0.25">
      <c r="A2306" t="s">
        <v>2643</v>
      </c>
      <c r="B2306" s="1">
        <v>45504</v>
      </c>
      <c r="C2306" t="s">
        <v>72</v>
      </c>
      <c r="D2306" t="s">
        <v>300</v>
      </c>
      <c r="E2306">
        <v>699.86</v>
      </c>
      <c r="F2306" t="s">
        <v>324</v>
      </c>
      <c r="G2306" t="s">
        <v>325</v>
      </c>
      <c r="H2306" t="s">
        <v>346</v>
      </c>
      <c r="I2306" t="s">
        <v>57</v>
      </c>
      <c r="J2306" t="s">
        <v>46</v>
      </c>
      <c r="K2306" t="s">
        <v>32</v>
      </c>
      <c r="L2306" t="s">
        <v>301</v>
      </c>
      <c r="M2306" t="s">
        <v>302</v>
      </c>
      <c r="N2306">
        <v>5.0000000000000001E-3</v>
      </c>
      <c r="O2306" t="str">
        <f>IF(Transactions_RAW_cleaned[[#This Row],[Status]]="Completed", IFERROR(_xlfn.XLOOKUP(Transactions_RAW_cleaned[[#This Row],[CustomerID]], Customers_cleaned[CustomerID], Customers_cleaned[Segment]), "Customer Not Found"), "N/A")</f>
        <v>Startup</v>
      </c>
      <c r="P2306" s="5" t="str">
        <f>IF(Transactions_RAW_cleaned[[#This Row],[Status]]="Refunded", "Refund",
  IF(Transactions_RAW_cleaned[[#This Row],[Category]]="Payments", IF(Transactions_RAW_cleaned[[#This Row],[Amount]]&gt;500,"High Value","Standard"),
    IF(Transactions_RAW_cleaned[[#This Row],[Amount]]&gt;250,"High Value","Standard")))</f>
        <v>High Value</v>
      </c>
      <c r="Q2306" s="5" t="str">
        <f>IF(Transactions_RAW_cleaned[[#This Row],[Amount]] &gt; (_xlfn.XLOOKUP(Transactions_RAW_cleaned[[#This Row],[ServiceID]],Services_cleaned[ServiceID],Services_cleaned[TransactionFeePct]) * 10000), "Yes", "No")</f>
        <v>Yes</v>
      </c>
      <c r="R2306" s="5" t="str">
        <f>IF(COUNTIFS($C$2:Transactions_RAW_cleaned[[#This Row],[CustomerID]],Transactions_RAW_cleaned[[#This Row],[CustomerID]],$D$2:Transactions_RAW_cleaned[[#This Row],[ServiceID]],Transactions_RAW_cleaned[[#This Row],[ServiceID]])=1,"Yes","No")</f>
        <v>No</v>
      </c>
      <c r="S230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06" t="str">
        <f>"Q"&amp;ROUNDUP(MONTH(Transactions_RAW_cleaned[[#This Row],[TransactionDate]])/3,0)</f>
        <v>Q3</v>
      </c>
      <c r="U2306" t="str">
        <f>Transactions_RAW_cleaned[[#This Row],[Region ]]&amp;Transactions_RAW_cleaned[[#This Row],[Quarter ]]</f>
        <v>APACQ3</v>
      </c>
      <c r="V2306" s="5">
        <f>_xlfn.XLOOKUP(Transactions_RAW_cleaned[[#This Row],[RegionQuarterKey]], Quarterly_Targets_cleaned[RegionQuarterKey], Quarterly_Targets_cleaned[TargetRevenue])</f>
        <v>115500</v>
      </c>
    </row>
    <row r="2307" spans="1:22" x14ac:dyDescent="0.25">
      <c r="A2307" t="s">
        <v>2644</v>
      </c>
      <c r="B2307" s="1">
        <v>45593</v>
      </c>
      <c r="C2307" t="s">
        <v>96</v>
      </c>
      <c r="D2307" t="s">
        <v>294</v>
      </c>
      <c r="E2307">
        <v>124.42</v>
      </c>
      <c r="F2307" t="s">
        <v>324</v>
      </c>
      <c r="G2307" t="s">
        <v>325</v>
      </c>
      <c r="I2307" t="s">
        <v>17</v>
      </c>
      <c r="J2307" t="s">
        <v>31</v>
      </c>
      <c r="K2307" t="s">
        <v>14</v>
      </c>
      <c r="L2307" t="s">
        <v>295</v>
      </c>
      <c r="M2307" t="s">
        <v>296</v>
      </c>
      <c r="N2307">
        <v>2.9000000000000001E-2</v>
      </c>
      <c r="O2307" t="str">
        <f>IF(Transactions_RAW_cleaned[[#This Row],[Status]]="Completed", IFERROR(_xlfn.XLOOKUP(Transactions_RAW_cleaned[[#This Row],[CustomerID]], Customers_cleaned[CustomerID], Customers_cleaned[Segment]), "Customer Not Found"), "N/A")</f>
        <v>Enterprise</v>
      </c>
      <c r="P2307" s="5" t="str">
        <f>IF(Transactions_RAW_cleaned[[#This Row],[Status]]="Refunded", "Refund",
  IF(Transactions_RAW_cleaned[[#This Row],[Category]]="Payments", IF(Transactions_RAW_cleaned[[#This Row],[Amount]]&gt;500,"High Value","Standard"),
    IF(Transactions_RAW_cleaned[[#This Row],[Amount]]&gt;250,"High Value","Standard")))</f>
        <v>Standard</v>
      </c>
      <c r="Q2307" s="5" t="str">
        <f>IF(Transactions_RAW_cleaned[[#This Row],[Amount]] &gt; (_xlfn.XLOOKUP(Transactions_RAW_cleaned[[#This Row],[ServiceID]],Services_cleaned[ServiceID],Services_cleaned[TransactionFeePct]) * 10000), "Yes", "No")</f>
        <v>No</v>
      </c>
      <c r="R2307" s="5" t="str">
        <f>IF(COUNTIFS($C$2:Transactions_RAW_cleaned[[#This Row],[CustomerID]],Transactions_RAW_cleaned[[#This Row],[CustomerID]],$D$2:Transactions_RAW_cleaned[[#This Row],[ServiceID]],Transactions_RAW_cleaned[[#This Row],[ServiceID]])=1,"Yes","No")</f>
        <v>No</v>
      </c>
      <c r="S230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07" t="str">
        <f>"Q"&amp;ROUNDUP(MONTH(Transactions_RAW_cleaned[[#This Row],[TransactionDate]])/3,0)</f>
        <v>Q4</v>
      </c>
      <c r="U2307" t="str">
        <f>Transactions_RAW_cleaned[[#This Row],[Region ]]&amp;Transactions_RAW_cleaned[[#This Row],[Quarter ]]</f>
        <v>EMEAQ4</v>
      </c>
      <c r="V2307" s="5">
        <f>_xlfn.XLOOKUP(Transactions_RAW_cleaned[[#This Row],[RegionQuarterKey]], Quarterly_Targets_cleaned[RegionQuarterKey], Quarterly_Targets_cleaned[TargetRevenue])</f>
        <v>161000</v>
      </c>
    </row>
    <row r="2308" spans="1:22" x14ac:dyDescent="0.25">
      <c r="A2308" t="s">
        <v>2645</v>
      </c>
      <c r="B2308" s="1">
        <v>45572</v>
      </c>
      <c r="C2308" t="s">
        <v>269</v>
      </c>
      <c r="D2308" t="s">
        <v>294</v>
      </c>
      <c r="E2308">
        <v>262.44</v>
      </c>
      <c r="F2308" t="s">
        <v>324</v>
      </c>
      <c r="G2308" t="s">
        <v>327</v>
      </c>
      <c r="H2308" t="s">
        <v>332</v>
      </c>
      <c r="I2308" t="s">
        <v>17</v>
      </c>
      <c r="J2308" t="s">
        <v>31</v>
      </c>
      <c r="K2308" t="s">
        <v>32</v>
      </c>
      <c r="L2308" t="s">
        <v>295</v>
      </c>
      <c r="M2308" t="s">
        <v>296</v>
      </c>
      <c r="N2308">
        <v>2.9000000000000001E-2</v>
      </c>
      <c r="O2308" t="str">
        <f>IF(Transactions_RAW_cleaned[[#This Row],[Status]]="Completed", IFERROR(_xlfn.XLOOKUP(Transactions_RAW_cleaned[[#This Row],[CustomerID]], Customers_cleaned[CustomerID], Customers_cleaned[Segment]), "Customer Not Found"), "N/A")</f>
        <v>Enterprise</v>
      </c>
      <c r="P2308" s="5" t="str">
        <f>IF(Transactions_RAW_cleaned[[#This Row],[Status]]="Refunded", "Refund",
  IF(Transactions_RAW_cleaned[[#This Row],[Category]]="Payments", IF(Transactions_RAW_cleaned[[#This Row],[Amount]]&gt;500,"High Value","Standard"),
    IF(Transactions_RAW_cleaned[[#This Row],[Amount]]&gt;250,"High Value","Standard")))</f>
        <v>Standard</v>
      </c>
      <c r="Q2308" s="5" t="str">
        <f>IF(Transactions_RAW_cleaned[[#This Row],[Amount]] &gt; (_xlfn.XLOOKUP(Transactions_RAW_cleaned[[#This Row],[ServiceID]],Services_cleaned[ServiceID],Services_cleaned[TransactionFeePct]) * 10000), "Yes", "No")</f>
        <v>No</v>
      </c>
      <c r="R2308" s="5" t="str">
        <f>IF(COUNTIFS($C$2:Transactions_RAW_cleaned[[#This Row],[CustomerID]],Transactions_RAW_cleaned[[#This Row],[CustomerID]],$D$2:Transactions_RAW_cleaned[[#This Row],[ServiceID]],Transactions_RAW_cleaned[[#This Row],[ServiceID]])=1,"Yes","No")</f>
        <v>No</v>
      </c>
      <c r="S230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08" t="str">
        <f>"Q"&amp;ROUNDUP(MONTH(Transactions_RAW_cleaned[[#This Row],[TransactionDate]])/3,0)</f>
        <v>Q4</v>
      </c>
      <c r="U2308" t="str">
        <f>Transactions_RAW_cleaned[[#This Row],[Region ]]&amp;Transactions_RAW_cleaned[[#This Row],[Quarter ]]</f>
        <v>EMEAQ4</v>
      </c>
      <c r="V2308" s="5">
        <f>_xlfn.XLOOKUP(Transactions_RAW_cleaned[[#This Row],[RegionQuarterKey]], Quarterly_Targets_cleaned[RegionQuarterKey], Quarterly_Targets_cleaned[TargetRevenue])</f>
        <v>161000</v>
      </c>
    </row>
    <row r="2309" spans="1:22" x14ac:dyDescent="0.25">
      <c r="A2309" t="s">
        <v>2646</v>
      </c>
      <c r="B2309" s="1">
        <v>45643</v>
      </c>
      <c r="C2309" t="s">
        <v>247</v>
      </c>
      <c r="D2309" t="s">
        <v>315</v>
      </c>
      <c r="E2309">
        <v>157.13</v>
      </c>
      <c r="F2309" t="s">
        <v>324</v>
      </c>
      <c r="G2309" t="s">
        <v>329</v>
      </c>
      <c r="H2309" t="s">
        <v>332</v>
      </c>
      <c r="I2309" t="s">
        <v>17</v>
      </c>
      <c r="J2309" t="s">
        <v>13</v>
      </c>
      <c r="K2309" t="s">
        <v>28</v>
      </c>
      <c r="L2309" t="s">
        <v>316</v>
      </c>
      <c r="M2309" t="s">
        <v>305</v>
      </c>
      <c r="N2309">
        <v>2.5000000000000001E-3</v>
      </c>
      <c r="O2309" t="str">
        <f>IF(Transactions_RAW_cleaned[[#This Row],[Status]]="Completed", IFERROR(_xlfn.XLOOKUP(Transactions_RAW_cleaned[[#This Row],[CustomerID]], Customers_cleaned[CustomerID], Customers_cleaned[Segment]), "Customer Not Found"), "N/A")</f>
        <v>Enterprise</v>
      </c>
      <c r="P2309" s="5" t="str">
        <f>IF(Transactions_RAW_cleaned[[#This Row],[Status]]="Refunded", "Refund",
  IF(Transactions_RAW_cleaned[[#This Row],[Category]]="Payments", IF(Transactions_RAW_cleaned[[#This Row],[Amount]]&gt;500,"High Value","Standard"),
    IF(Transactions_RAW_cleaned[[#This Row],[Amount]]&gt;250,"High Value","Standard")))</f>
        <v>Standard</v>
      </c>
      <c r="Q2309" s="5" t="str">
        <f>IF(Transactions_RAW_cleaned[[#This Row],[Amount]] &gt; (_xlfn.XLOOKUP(Transactions_RAW_cleaned[[#This Row],[ServiceID]],Services_cleaned[ServiceID],Services_cleaned[TransactionFeePct]) * 10000), "Yes", "No")</f>
        <v>Yes</v>
      </c>
      <c r="R2309" s="5" t="str">
        <f>IF(COUNTIFS($C$2:Transactions_RAW_cleaned[[#This Row],[CustomerID]],Transactions_RAW_cleaned[[#This Row],[CustomerID]],$D$2:Transactions_RAW_cleaned[[#This Row],[ServiceID]],Transactions_RAW_cleaned[[#This Row],[ServiceID]])=1,"Yes","No")</f>
        <v>No</v>
      </c>
      <c r="S230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09" t="str">
        <f>"Q"&amp;ROUNDUP(MONTH(Transactions_RAW_cleaned[[#This Row],[TransactionDate]])/3,0)</f>
        <v>Q4</v>
      </c>
      <c r="U2309" t="str">
        <f>Transactions_RAW_cleaned[[#This Row],[Region ]]&amp;Transactions_RAW_cleaned[[#This Row],[Quarter ]]</f>
        <v>NAQ4</v>
      </c>
      <c r="V2309" s="5">
        <f>_xlfn.XLOOKUP(Transactions_RAW_cleaned[[#This Row],[RegionQuarterKey]], Quarterly_Targets_cleaned[RegionQuarterKey], Quarterly_Targets_cleaned[TargetRevenue])</f>
        <v>299000</v>
      </c>
    </row>
    <row r="2310" spans="1:22" x14ac:dyDescent="0.25">
      <c r="A2310" t="s">
        <v>2647</v>
      </c>
      <c r="B2310" s="1">
        <v>45579</v>
      </c>
      <c r="C2310" t="s">
        <v>225</v>
      </c>
      <c r="D2310" t="s">
        <v>315</v>
      </c>
      <c r="E2310">
        <v>776.79</v>
      </c>
      <c r="F2310" t="s">
        <v>324</v>
      </c>
      <c r="G2310" t="s">
        <v>325</v>
      </c>
      <c r="I2310" t="s">
        <v>8</v>
      </c>
      <c r="J2310" t="s">
        <v>21</v>
      </c>
      <c r="K2310" t="s">
        <v>28</v>
      </c>
      <c r="L2310" t="s">
        <v>316</v>
      </c>
      <c r="M2310" t="s">
        <v>305</v>
      </c>
      <c r="N2310">
        <v>2.5000000000000001E-3</v>
      </c>
      <c r="O2310" t="str">
        <f>IF(Transactions_RAW_cleaned[[#This Row],[Status]]="Completed", IFERROR(_xlfn.XLOOKUP(Transactions_RAW_cleaned[[#This Row],[CustomerID]], Customers_cleaned[CustomerID], Customers_cleaned[Segment]), "Customer Not Found"), "N/A")</f>
        <v>SMB</v>
      </c>
      <c r="P2310" s="5" t="str">
        <f>IF(Transactions_RAW_cleaned[[#This Row],[Status]]="Refunded", "Refund",
  IF(Transactions_RAW_cleaned[[#This Row],[Category]]="Payments", IF(Transactions_RAW_cleaned[[#This Row],[Amount]]&gt;500,"High Value","Standard"),
    IF(Transactions_RAW_cleaned[[#This Row],[Amount]]&gt;250,"High Value","Standard")))</f>
        <v>High Value</v>
      </c>
      <c r="Q2310" s="5" t="str">
        <f>IF(Transactions_RAW_cleaned[[#This Row],[Amount]] &gt; (_xlfn.XLOOKUP(Transactions_RAW_cleaned[[#This Row],[ServiceID]],Services_cleaned[ServiceID],Services_cleaned[TransactionFeePct]) * 10000), "Yes", "No")</f>
        <v>Yes</v>
      </c>
      <c r="R2310" s="5" t="str">
        <f>IF(COUNTIFS($C$2:Transactions_RAW_cleaned[[#This Row],[CustomerID]],Transactions_RAW_cleaned[[#This Row],[CustomerID]],$D$2:Transactions_RAW_cleaned[[#This Row],[ServiceID]],Transactions_RAW_cleaned[[#This Row],[ServiceID]])=1,"Yes","No")</f>
        <v>No</v>
      </c>
      <c r="S231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10" t="str">
        <f>"Q"&amp;ROUNDUP(MONTH(Transactions_RAW_cleaned[[#This Row],[TransactionDate]])/3,0)</f>
        <v>Q4</v>
      </c>
      <c r="U2310" t="str">
        <f>Transactions_RAW_cleaned[[#This Row],[Region ]]&amp;Transactions_RAW_cleaned[[#This Row],[Quarter ]]</f>
        <v>APACQ4</v>
      </c>
      <c r="V2310" s="5">
        <f>_xlfn.XLOOKUP(Transactions_RAW_cleaned[[#This Row],[RegionQuarterKey]], Quarterly_Targets_cleaned[RegionQuarterKey], Quarterly_Targets_cleaned[TargetRevenue])</f>
        <v>126500</v>
      </c>
    </row>
    <row r="2311" spans="1:22" x14ac:dyDescent="0.25">
      <c r="A2311" t="s">
        <v>2648</v>
      </c>
      <c r="B2311" s="1">
        <v>45520</v>
      </c>
      <c r="C2311" t="s">
        <v>269</v>
      </c>
      <c r="D2311" t="s">
        <v>300</v>
      </c>
      <c r="E2311">
        <v>205.63</v>
      </c>
      <c r="F2311" t="s">
        <v>331</v>
      </c>
      <c r="G2311" t="s">
        <v>325</v>
      </c>
      <c r="I2311" t="s">
        <v>17</v>
      </c>
      <c r="J2311" t="s">
        <v>31</v>
      </c>
      <c r="K2311" t="s">
        <v>32</v>
      </c>
      <c r="L2311" t="s">
        <v>301</v>
      </c>
      <c r="M2311" t="s">
        <v>302</v>
      </c>
      <c r="N2311">
        <v>5.0000000000000001E-3</v>
      </c>
      <c r="O2311" t="str">
        <f>IF(Transactions_RAW_cleaned[[#This Row],[Status]]="Completed", IFERROR(_xlfn.XLOOKUP(Transactions_RAW_cleaned[[#This Row],[CustomerID]], Customers_cleaned[CustomerID], Customers_cleaned[Segment]), "Customer Not Found"), "N/A")</f>
        <v>N/A</v>
      </c>
      <c r="P2311" s="5" t="str">
        <f>IF(Transactions_RAW_cleaned[[#This Row],[Status]]="Refunded", "Refund",
  IF(Transactions_RAW_cleaned[[#This Row],[Category]]="Payments", IF(Transactions_RAW_cleaned[[#This Row],[Amount]]&gt;500,"High Value","Standard"),
    IF(Transactions_RAW_cleaned[[#This Row],[Amount]]&gt;250,"High Value","Standard")))</f>
        <v>Standard</v>
      </c>
      <c r="Q2311" s="5" t="str">
        <f>IF(Transactions_RAW_cleaned[[#This Row],[Amount]] &gt; (_xlfn.XLOOKUP(Transactions_RAW_cleaned[[#This Row],[ServiceID]],Services_cleaned[ServiceID],Services_cleaned[TransactionFeePct]) * 10000), "Yes", "No")</f>
        <v>Yes</v>
      </c>
      <c r="R2311" s="5" t="str">
        <f>IF(COUNTIFS($C$2:Transactions_RAW_cleaned[[#This Row],[CustomerID]],Transactions_RAW_cleaned[[#This Row],[CustomerID]],$D$2:Transactions_RAW_cleaned[[#This Row],[ServiceID]],Transactions_RAW_cleaned[[#This Row],[ServiceID]])=1,"Yes","No")</f>
        <v>No</v>
      </c>
      <c r="S231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11" t="str">
        <f>"Q"&amp;ROUNDUP(MONTH(Transactions_RAW_cleaned[[#This Row],[TransactionDate]])/3,0)</f>
        <v>Q3</v>
      </c>
      <c r="U2311" t="str">
        <f>Transactions_RAW_cleaned[[#This Row],[Region ]]&amp;Transactions_RAW_cleaned[[#This Row],[Quarter ]]</f>
        <v>EMEAQ3</v>
      </c>
      <c r="V2311" s="5">
        <f>_xlfn.XLOOKUP(Transactions_RAW_cleaned[[#This Row],[RegionQuarterKey]], Quarterly_Targets_cleaned[RegionQuarterKey], Quarterly_Targets_cleaned[TargetRevenue])</f>
        <v>147000</v>
      </c>
    </row>
    <row r="2312" spans="1:22" x14ac:dyDescent="0.25">
      <c r="A2312" t="s">
        <v>2649</v>
      </c>
      <c r="B2312" s="1">
        <v>45412</v>
      </c>
      <c r="C2312" t="s">
        <v>47</v>
      </c>
      <c r="D2312" t="s">
        <v>297</v>
      </c>
      <c r="E2312">
        <v>127.62</v>
      </c>
      <c r="F2312" t="s">
        <v>324</v>
      </c>
      <c r="G2312" t="s">
        <v>325</v>
      </c>
      <c r="I2312" t="s">
        <v>8</v>
      </c>
      <c r="J2312" t="s">
        <v>21</v>
      </c>
      <c r="K2312" t="s">
        <v>22</v>
      </c>
      <c r="L2312" t="s">
        <v>298</v>
      </c>
      <c r="M2312" t="s">
        <v>299</v>
      </c>
      <c r="N2312">
        <v>0</v>
      </c>
      <c r="O2312" t="str">
        <f>IF(Transactions_RAW_cleaned[[#This Row],[Status]]="Completed", IFERROR(_xlfn.XLOOKUP(Transactions_RAW_cleaned[[#This Row],[CustomerID]], Customers_cleaned[CustomerID], Customers_cleaned[Segment]), "Customer Not Found"), "N/A")</f>
        <v>SMB</v>
      </c>
      <c r="P2312" s="5" t="str">
        <f>IF(Transactions_RAW_cleaned[[#This Row],[Status]]="Refunded", "Refund",
  IF(Transactions_RAW_cleaned[[#This Row],[Category]]="Payments", IF(Transactions_RAW_cleaned[[#This Row],[Amount]]&gt;500,"High Value","Standard"),
    IF(Transactions_RAW_cleaned[[#This Row],[Amount]]&gt;250,"High Value","Standard")))</f>
        <v>Standard</v>
      </c>
      <c r="Q2312" s="5" t="str">
        <f>IF(Transactions_RAW_cleaned[[#This Row],[Amount]] &gt; (_xlfn.XLOOKUP(Transactions_RAW_cleaned[[#This Row],[ServiceID]],Services_cleaned[ServiceID],Services_cleaned[TransactionFeePct]) * 10000), "Yes", "No")</f>
        <v>Yes</v>
      </c>
      <c r="R2312" s="5" t="str">
        <f>IF(COUNTIFS($C$2:Transactions_RAW_cleaned[[#This Row],[CustomerID]],Transactions_RAW_cleaned[[#This Row],[CustomerID]],$D$2:Transactions_RAW_cleaned[[#This Row],[ServiceID]],Transactions_RAW_cleaned[[#This Row],[ServiceID]])=1,"Yes","No")</f>
        <v>No</v>
      </c>
      <c r="S231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12" t="str">
        <f>"Q"&amp;ROUNDUP(MONTH(Transactions_RAW_cleaned[[#This Row],[TransactionDate]])/3,0)</f>
        <v>Q2</v>
      </c>
      <c r="U2312" t="str">
        <f>Transactions_RAW_cleaned[[#This Row],[Region ]]&amp;Transactions_RAW_cleaned[[#This Row],[Quarter ]]</f>
        <v>APACQ2</v>
      </c>
      <c r="V2312" s="5">
        <f>_xlfn.XLOOKUP(Transactions_RAW_cleaned[[#This Row],[RegionQuarterKey]], Quarterly_Targets_cleaned[RegionQuarterKey], Quarterly_Targets_cleaned[TargetRevenue])</f>
        <v>110000</v>
      </c>
    </row>
    <row r="2313" spans="1:22" x14ac:dyDescent="0.25">
      <c r="A2313" t="s">
        <v>2650</v>
      </c>
      <c r="B2313" s="1">
        <v>45550</v>
      </c>
      <c r="C2313" t="s">
        <v>117</v>
      </c>
      <c r="D2313" t="s">
        <v>306</v>
      </c>
      <c r="E2313">
        <v>968.19</v>
      </c>
      <c r="F2313" t="s">
        <v>381</v>
      </c>
      <c r="G2313" t="s">
        <v>337</v>
      </c>
      <c r="H2313" t="s">
        <v>334</v>
      </c>
      <c r="I2313" t="s">
        <v>8</v>
      </c>
      <c r="J2313" t="s">
        <v>102</v>
      </c>
      <c r="K2313" t="s">
        <v>14</v>
      </c>
      <c r="L2313" t="s">
        <v>307</v>
      </c>
      <c r="M2313" t="s">
        <v>308</v>
      </c>
      <c r="N2313">
        <v>0</v>
      </c>
      <c r="O2313" t="str">
        <f>IF(Transactions_RAW_cleaned[[#This Row],[Status]]="Completed", IFERROR(_xlfn.XLOOKUP(Transactions_RAW_cleaned[[#This Row],[CustomerID]], Customers_cleaned[CustomerID], Customers_cleaned[Segment]), "Customer Not Found"), "N/A")</f>
        <v>N/A</v>
      </c>
      <c r="P2313" s="5" t="str">
        <f>IF(Transactions_RAW_cleaned[[#This Row],[Status]]="Refunded", "Refund",
  IF(Transactions_RAW_cleaned[[#This Row],[Category]]="Payments", IF(Transactions_RAW_cleaned[[#This Row],[Amount]]&gt;500,"High Value","Standard"),
    IF(Transactions_RAW_cleaned[[#This Row],[Amount]]&gt;250,"High Value","Standard")))</f>
        <v>High Value</v>
      </c>
      <c r="Q2313" s="5" t="str">
        <f>IF(Transactions_RAW_cleaned[[#This Row],[Amount]] &gt; (_xlfn.XLOOKUP(Transactions_RAW_cleaned[[#This Row],[ServiceID]],Services_cleaned[ServiceID],Services_cleaned[TransactionFeePct]) * 10000), "Yes", "No")</f>
        <v>Yes</v>
      </c>
      <c r="R2313" s="5" t="str">
        <f>IF(COUNTIFS($C$2:Transactions_RAW_cleaned[[#This Row],[CustomerID]],Transactions_RAW_cleaned[[#This Row],[CustomerID]],$D$2:Transactions_RAW_cleaned[[#This Row],[ServiceID]],Transactions_RAW_cleaned[[#This Row],[ServiceID]])=1,"Yes","No")</f>
        <v>No</v>
      </c>
      <c r="S231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13" t="str">
        <f>"Q"&amp;ROUNDUP(MONTH(Transactions_RAW_cleaned[[#This Row],[TransactionDate]])/3,0)</f>
        <v>Q3</v>
      </c>
      <c r="U2313" t="str">
        <f>Transactions_RAW_cleaned[[#This Row],[Region ]]&amp;Transactions_RAW_cleaned[[#This Row],[Quarter ]]</f>
        <v>NAQ3</v>
      </c>
      <c r="V2313" s="5">
        <f>_xlfn.XLOOKUP(Transactions_RAW_cleaned[[#This Row],[RegionQuarterKey]], Quarterly_Targets_cleaned[RegionQuarterKey], Quarterly_Targets_cleaned[TargetRevenue])</f>
        <v>273000</v>
      </c>
    </row>
    <row r="2314" spans="1:22" x14ac:dyDescent="0.25">
      <c r="A2314" t="s">
        <v>2651</v>
      </c>
      <c r="B2314" s="1">
        <v>45478</v>
      </c>
      <c r="C2314" t="s">
        <v>237</v>
      </c>
      <c r="D2314" t="s">
        <v>309</v>
      </c>
      <c r="E2314">
        <v>847.35</v>
      </c>
      <c r="F2314" t="s">
        <v>331</v>
      </c>
      <c r="G2314" t="s">
        <v>337</v>
      </c>
      <c r="I2314" t="s">
        <v>8</v>
      </c>
      <c r="J2314" t="s">
        <v>46</v>
      </c>
      <c r="K2314" t="s">
        <v>10</v>
      </c>
      <c r="L2314" t="s">
        <v>310</v>
      </c>
      <c r="M2314" t="s">
        <v>311</v>
      </c>
      <c r="N2314">
        <v>0</v>
      </c>
      <c r="O2314" t="str">
        <f>IF(Transactions_RAW_cleaned[[#This Row],[Status]]="Completed", IFERROR(_xlfn.XLOOKUP(Transactions_RAW_cleaned[[#This Row],[CustomerID]], Customers_cleaned[CustomerID], Customers_cleaned[Segment]), "Customer Not Found"), "N/A")</f>
        <v>N/A</v>
      </c>
      <c r="P2314" s="5" t="str">
        <f>IF(Transactions_RAW_cleaned[[#This Row],[Status]]="Refunded", "Refund",
  IF(Transactions_RAW_cleaned[[#This Row],[Category]]="Payments", IF(Transactions_RAW_cleaned[[#This Row],[Amount]]&gt;500,"High Value","Standard"),
    IF(Transactions_RAW_cleaned[[#This Row],[Amount]]&gt;250,"High Value","Standard")))</f>
        <v>High Value</v>
      </c>
      <c r="Q2314" s="5" t="str">
        <f>IF(Transactions_RAW_cleaned[[#This Row],[Amount]] &gt; (_xlfn.XLOOKUP(Transactions_RAW_cleaned[[#This Row],[ServiceID]],Services_cleaned[ServiceID],Services_cleaned[TransactionFeePct]) * 10000), "Yes", "No")</f>
        <v>Yes</v>
      </c>
      <c r="R2314" s="5" t="str">
        <f>IF(COUNTIFS($C$2:Transactions_RAW_cleaned[[#This Row],[CustomerID]],Transactions_RAW_cleaned[[#This Row],[CustomerID]],$D$2:Transactions_RAW_cleaned[[#This Row],[ServiceID]],Transactions_RAW_cleaned[[#This Row],[ServiceID]])=1,"Yes","No")</f>
        <v>No</v>
      </c>
      <c r="S231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14" t="str">
        <f>"Q"&amp;ROUNDUP(MONTH(Transactions_RAW_cleaned[[#This Row],[TransactionDate]])/3,0)</f>
        <v>Q3</v>
      </c>
      <c r="U2314" t="str">
        <f>Transactions_RAW_cleaned[[#This Row],[Region ]]&amp;Transactions_RAW_cleaned[[#This Row],[Quarter ]]</f>
        <v>APACQ3</v>
      </c>
      <c r="V2314" s="5">
        <f>_xlfn.XLOOKUP(Transactions_RAW_cleaned[[#This Row],[RegionQuarterKey]], Quarterly_Targets_cleaned[RegionQuarterKey], Quarterly_Targets_cleaned[TargetRevenue])</f>
        <v>115500</v>
      </c>
    </row>
    <row r="2315" spans="1:22" x14ac:dyDescent="0.25">
      <c r="A2315" t="s">
        <v>2652</v>
      </c>
      <c r="B2315" s="1">
        <v>45443</v>
      </c>
      <c r="C2315" t="s">
        <v>113</v>
      </c>
      <c r="D2315" t="s">
        <v>294</v>
      </c>
      <c r="E2315">
        <v>32.19</v>
      </c>
      <c r="F2315" t="s">
        <v>324</v>
      </c>
      <c r="G2315" t="s">
        <v>337</v>
      </c>
      <c r="I2315" t="s">
        <v>57</v>
      </c>
      <c r="J2315" t="s">
        <v>46</v>
      </c>
      <c r="K2315" t="s">
        <v>10</v>
      </c>
      <c r="L2315" t="s">
        <v>295</v>
      </c>
      <c r="M2315" t="s">
        <v>296</v>
      </c>
      <c r="N2315">
        <v>2.9000000000000001E-2</v>
      </c>
      <c r="O2315" t="str">
        <f>IF(Transactions_RAW_cleaned[[#This Row],[Status]]="Completed", IFERROR(_xlfn.XLOOKUP(Transactions_RAW_cleaned[[#This Row],[CustomerID]], Customers_cleaned[CustomerID], Customers_cleaned[Segment]), "Customer Not Found"), "N/A")</f>
        <v>Startup</v>
      </c>
      <c r="P2315" s="5" t="str">
        <f>IF(Transactions_RAW_cleaned[[#This Row],[Status]]="Refunded", "Refund",
  IF(Transactions_RAW_cleaned[[#This Row],[Category]]="Payments", IF(Transactions_RAW_cleaned[[#This Row],[Amount]]&gt;500,"High Value","Standard"),
    IF(Transactions_RAW_cleaned[[#This Row],[Amount]]&gt;250,"High Value","Standard")))</f>
        <v>Standard</v>
      </c>
      <c r="Q2315" s="5" t="str">
        <f>IF(Transactions_RAW_cleaned[[#This Row],[Amount]] &gt; (_xlfn.XLOOKUP(Transactions_RAW_cleaned[[#This Row],[ServiceID]],Services_cleaned[ServiceID],Services_cleaned[TransactionFeePct]) * 10000), "Yes", "No")</f>
        <v>No</v>
      </c>
      <c r="R2315" s="5" t="str">
        <f>IF(COUNTIFS($C$2:Transactions_RAW_cleaned[[#This Row],[CustomerID]],Transactions_RAW_cleaned[[#This Row],[CustomerID]],$D$2:Transactions_RAW_cleaned[[#This Row],[ServiceID]],Transactions_RAW_cleaned[[#This Row],[ServiceID]])=1,"Yes","No")</f>
        <v>No</v>
      </c>
      <c r="S231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15" t="str">
        <f>"Q"&amp;ROUNDUP(MONTH(Transactions_RAW_cleaned[[#This Row],[TransactionDate]])/3,0)</f>
        <v>Q2</v>
      </c>
      <c r="U2315" t="str">
        <f>Transactions_RAW_cleaned[[#This Row],[Region ]]&amp;Transactions_RAW_cleaned[[#This Row],[Quarter ]]</f>
        <v>APACQ2</v>
      </c>
      <c r="V2315" s="5">
        <f>_xlfn.XLOOKUP(Transactions_RAW_cleaned[[#This Row],[RegionQuarterKey]], Quarterly_Targets_cleaned[RegionQuarterKey], Quarterly_Targets_cleaned[TargetRevenue])</f>
        <v>110000</v>
      </c>
    </row>
    <row r="2316" spans="1:22" x14ac:dyDescent="0.25">
      <c r="A2316" t="s">
        <v>2653</v>
      </c>
      <c r="B2316" s="1">
        <v>45305</v>
      </c>
      <c r="C2316" t="s">
        <v>237</v>
      </c>
      <c r="D2316" t="s">
        <v>315</v>
      </c>
      <c r="E2316">
        <v>627.1</v>
      </c>
      <c r="F2316" t="s">
        <v>324</v>
      </c>
      <c r="G2316" t="s">
        <v>337</v>
      </c>
      <c r="I2316" t="s">
        <v>8</v>
      </c>
      <c r="J2316" t="s">
        <v>46</v>
      </c>
      <c r="K2316" t="s">
        <v>10</v>
      </c>
      <c r="L2316" t="s">
        <v>316</v>
      </c>
      <c r="M2316" t="s">
        <v>305</v>
      </c>
      <c r="N2316">
        <v>2.5000000000000001E-3</v>
      </c>
      <c r="O2316" t="str">
        <f>IF(Transactions_RAW_cleaned[[#This Row],[Status]]="Completed", IFERROR(_xlfn.XLOOKUP(Transactions_RAW_cleaned[[#This Row],[CustomerID]], Customers_cleaned[CustomerID], Customers_cleaned[Segment]), "Customer Not Found"), "N/A")</f>
        <v>SMB</v>
      </c>
      <c r="P2316" s="5" t="str">
        <f>IF(Transactions_RAW_cleaned[[#This Row],[Status]]="Refunded", "Refund",
  IF(Transactions_RAW_cleaned[[#This Row],[Category]]="Payments", IF(Transactions_RAW_cleaned[[#This Row],[Amount]]&gt;500,"High Value","Standard"),
    IF(Transactions_RAW_cleaned[[#This Row],[Amount]]&gt;250,"High Value","Standard")))</f>
        <v>High Value</v>
      </c>
      <c r="Q2316" s="5" t="str">
        <f>IF(Transactions_RAW_cleaned[[#This Row],[Amount]] &gt; (_xlfn.XLOOKUP(Transactions_RAW_cleaned[[#This Row],[ServiceID]],Services_cleaned[ServiceID],Services_cleaned[TransactionFeePct]) * 10000), "Yes", "No")</f>
        <v>Yes</v>
      </c>
      <c r="R2316" s="5" t="str">
        <f>IF(COUNTIFS($C$2:Transactions_RAW_cleaned[[#This Row],[CustomerID]],Transactions_RAW_cleaned[[#This Row],[CustomerID]],$D$2:Transactions_RAW_cleaned[[#This Row],[ServiceID]],Transactions_RAW_cleaned[[#This Row],[ServiceID]])=1,"Yes","No")</f>
        <v>No</v>
      </c>
      <c r="S231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16" t="str">
        <f>"Q"&amp;ROUNDUP(MONTH(Transactions_RAW_cleaned[[#This Row],[TransactionDate]])/3,0)</f>
        <v>Q1</v>
      </c>
      <c r="U2316" t="str">
        <f>Transactions_RAW_cleaned[[#This Row],[Region ]]&amp;Transactions_RAW_cleaned[[#This Row],[Quarter ]]</f>
        <v>APACQ1</v>
      </c>
      <c r="V2316" s="5">
        <f>_xlfn.XLOOKUP(Transactions_RAW_cleaned[[#This Row],[RegionQuarterKey]], Quarterly_Targets_cleaned[RegionQuarterKey], Quarterly_Targets_cleaned[TargetRevenue])</f>
        <v>104500</v>
      </c>
    </row>
    <row r="2317" spans="1:22" x14ac:dyDescent="0.25">
      <c r="A2317" t="s">
        <v>2654</v>
      </c>
      <c r="B2317" s="1">
        <v>45548</v>
      </c>
      <c r="C2317" t="s">
        <v>117</v>
      </c>
      <c r="D2317" t="s">
        <v>294</v>
      </c>
      <c r="E2317">
        <v>251.21</v>
      </c>
      <c r="F2317" t="s">
        <v>324</v>
      </c>
      <c r="G2317" t="s">
        <v>327</v>
      </c>
      <c r="H2317" t="s">
        <v>346</v>
      </c>
      <c r="I2317" t="s">
        <v>8</v>
      </c>
      <c r="J2317" t="s">
        <v>102</v>
      </c>
      <c r="K2317" t="s">
        <v>14</v>
      </c>
      <c r="L2317" t="s">
        <v>295</v>
      </c>
      <c r="M2317" t="s">
        <v>296</v>
      </c>
      <c r="N2317">
        <v>2.9000000000000001E-2</v>
      </c>
      <c r="O2317" t="str">
        <f>IF(Transactions_RAW_cleaned[[#This Row],[Status]]="Completed", IFERROR(_xlfn.XLOOKUP(Transactions_RAW_cleaned[[#This Row],[CustomerID]], Customers_cleaned[CustomerID], Customers_cleaned[Segment]), "Customer Not Found"), "N/A")</f>
        <v>SMB</v>
      </c>
      <c r="P2317" s="5" t="str">
        <f>IF(Transactions_RAW_cleaned[[#This Row],[Status]]="Refunded", "Refund",
  IF(Transactions_RAW_cleaned[[#This Row],[Category]]="Payments", IF(Transactions_RAW_cleaned[[#This Row],[Amount]]&gt;500,"High Value","Standard"),
    IF(Transactions_RAW_cleaned[[#This Row],[Amount]]&gt;250,"High Value","Standard")))</f>
        <v>Standard</v>
      </c>
      <c r="Q2317" s="5" t="str">
        <f>IF(Transactions_RAW_cleaned[[#This Row],[Amount]] &gt; (_xlfn.XLOOKUP(Transactions_RAW_cleaned[[#This Row],[ServiceID]],Services_cleaned[ServiceID],Services_cleaned[TransactionFeePct]) * 10000), "Yes", "No")</f>
        <v>No</v>
      </c>
      <c r="R2317" s="5" t="str">
        <f>IF(COUNTIFS($C$2:Transactions_RAW_cleaned[[#This Row],[CustomerID]],Transactions_RAW_cleaned[[#This Row],[CustomerID]],$D$2:Transactions_RAW_cleaned[[#This Row],[ServiceID]],Transactions_RAW_cleaned[[#This Row],[ServiceID]])=1,"Yes","No")</f>
        <v>No</v>
      </c>
      <c r="S231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17" t="str">
        <f>"Q"&amp;ROUNDUP(MONTH(Transactions_RAW_cleaned[[#This Row],[TransactionDate]])/3,0)</f>
        <v>Q3</v>
      </c>
      <c r="U2317" t="str">
        <f>Transactions_RAW_cleaned[[#This Row],[Region ]]&amp;Transactions_RAW_cleaned[[#This Row],[Quarter ]]</f>
        <v>NAQ3</v>
      </c>
      <c r="V2317" s="5">
        <f>_xlfn.XLOOKUP(Transactions_RAW_cleaned[[#This Row],[RegionQuarterKey]], Quarterly_Targets_cleaned[RegionQuarterKey], Quarterly_Targets_cleaned[TargetRevenue])</f>
        <v>273000</v>
      </c>
    </row>
    <row r="2318" spans="1:22" x14ac:dyDescent="0.25">
      <c r="A2318" t="s">
        <v>2655</v>
      </c>
      <c r="B2318" s="1">
        <v>45347</v>
      </c>
      <c r="C2318" t="s">
        <v>165</v>
      </c>
      <c r="D2318" t="s">
        <v>294</v>
      </c>
      <c r="E2318">
        <v>98.19</v>
      </c>
      <c r="F2318" t="s">
        <v>324</v>
      </c>
      <c r="G2318" t="s">
        <v>325</v>
      </c>
      <c r="I2318" t="s">
        <v>8</v>
      </c>
      <c r="J2318" t="s">
        <v>31</v>
      </c>
      <c r="K2318" t="s">
        <v>32</v>
      </c>
      <c r="L2318" t="s">
        <v>295</v>
      </c>
      <c r="M2318" t="s">
        <v>296</v>
      </c>
      <c r="N2318">
        <v>2.9000000000000001E-2</v>
      </c>
      <c r="O2318" t="str">
        <f>IF(Transactions_RAW_cleaned[[#This Row],[Status]]="Completed", IFERROR(_xlfn.XLOOKUP(Transactions_RAW_cleaned[[#This Row],[CustomerID]], Customers_cleaned[CustomerID], Customers_cleaned[Segment]), "Customer Not Found"), "N/A")</f>
        <v>SMB</v>
      </c>
      <c r="P2318" s="5" t="str">
        <f>IF(Transactions_RAW_cleaned[[#This Row],[Status]]="Refunded", "Refund",
  IF(Transactions_RAW_cleaned[[#This Row],[Category]]="Payments", IF(Transactions_RAW_cleaned[[#This Row],[Amount]]&gt;500,"High Value","Standard"),
    IF(Transactions_RAW_cleaned[[#This Row],[Amount]]&gt;250,"High Value","Standard")))</f>
        <v>Standard</v>
      </c>
      <c r="Q2318" s="5" t="str">
        <f>IF(Transactions_RAW_cleaned[[#This Row],[Amount]] &gt; (_xlfn.XLOOKUP(Transactions_RAW_cleaned[[#This Row],[ServiceID]],Services_cleaned[ServiceID],Services_cleaned[TransactionFeePct]) * 10000), "Yes", "No")</f>
        <v>No</v>
      </c>
      <c r="R2318" s="5" t="str">
        <f>IF(COUNTIFS($C$2:Transactions_RAW_cleaned[[#This Row],[CustomerID]],Transactions_RAW_cleaned[[#This Row],[CustomerID]],$D$2:Transactions_RAW_cleaned[[#This Row],[ServiceID]],Transactions_RAW_cleaned[[#This Row],[ServiceID]])=1,"Yes","No")</f>
        <v>No</v>
      </c>
      <c r="S231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18" t="str">
        <f>"Q"&amp;ROUNDUP(MONTH(Transactions_RAW_cleaned[[#This Row],[TransactionDate]])/3,0)</f>
        <v>Q1</v>
      </c>
      <c r="U2318" t="str">
        <f>Transactions_RAW_cleaned[[#This Row],[Region ]]&amp;Transactions_RAW_cleaned[[#This Row],[Quarter ]]</f>
        <v>EMEAQ1</v>
      </c>
      <c r="V2318" s="5">
        <f>_xlfn.XLOOKUP(Transactions_RAW_cleaned[[#This Row],[RegionQuarterKey]], Quarterly_Targets_cleaned[RegionQuarterKey], Quarterly_Targets_cleaned[TargetRevenue])</f>
        <v>133000</v>
      </c>
    </row>
    <row r="2319" spans="1:22" x14ac:dyDescent="0.25">
      <c r="A2319" t="s">
        <v>2656</v>
      </c>
      <c r="B2319" s="1">
        <v>45560</v>
      </c>
      <c r="C2319" t="s">
        <v>107</v>
      </c>
      <c r="D2319" t="s">
        <v>294</v>
      </c>
      <c r="E2319">
        <v>211.4</v>
      </c>
      <c r="F2319" t="s">
        <v>381</v>
      </c>
      <c r="G2319" t="s">
        <v>337</v>
      </c>
      <c r="H2319" t="s">
        <v>334</v>
      </c>
      <c r="I2319" t="s">
        <v>17</v>
      </c>
      <c r="J2319" t="s">
        <v>102</v>
      </c>
      <c r="K2319" t="s">
        <v>22</v>
      </c>
      <c r="L2319" t="s">
        <v>295</v>
      </c>
      <c r="M2319" t="s">
        <v>296</v>
      </c>
      <c r="N2319">
        <v>2.9000000000000001E-2</v>
      </c>
      <c r="O2319" t="str">
        <f>IF(Transactions_RAW_cleaned[[#This Row],[Status]]="Completed", IFERROR(_xlfn.XLOOKUP(Transactions_RAW_cleaned[[#This Row],[CustomerID]], Customers_cleaned[CustomerID], Customers_cleaned[Segment]), "Customer Not Found"), "N/A")</f>
        <v>N/A</v>
      </c>
      <c r="P2319" s="5" t="str">
        <f>IF(Transactions_RAW_cleaned[[#This Row],[Status]]="Refunded", "Refund",
  IF(Transactions_RAW_cleaned[[#This Row],[Category]]="Payments", IF(Transactions_RAW_cleaned[[#This Row],[Amount]]&gt;500,"High Value","Standard"),
    IF(Transactions_RAW_cleaned[[#This Row],[Amount]]&gt;250,"High Value","Standard")))</f>
        <v>Standard</v>
      </c>
      <c r="Q2319" s="5" t="str">
        <f>IF(Transactions_RAW_cleaned[[#This Row],[Amount]] &gt; (_xlfn.XLOOKUP(Transactions_RAW_cleaned[[#This Row],[ServiceID]],Services_cleaned[ServiceID],Services_cleaned[TransactionFeePct]) * 10000), "Yes", "No")</f>
        <v>No</v>
      </c>
      <c r="R2319" s="5" t="str">
        <f>IF(COUNTIFS($C$2:Transactions_RAW_cleaned[[#This Row],[CustomerID]],Transactions_RAW_cleaned[[#This Row],[CustomerID]],$D$2:Transactions_RAW_cleaned[[#This Row],[ServiceID]],Transactions_RAW_cleaned[[#This Row],[ServiceID]])=1,"Yes","No")</f>
        <v>No</v>
      </c>
      <c r="S231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19" t="str">
        <f>"Q"&amp;ROUNDUP(MONTH(Transactions_RAW_cleaned[[#This Row],[TransactionDate]])/3,0)</f>
        <v>Q3</v>
      </c>
      <c r="U2319" t="str">
        <f>Transactions_RAW_cleaned[[#This Row],[Region ]]&amp;Transactions_RAW_cleaned[[#This Row],[Quarter ]]</f>
        <v>NAQ3</v>
      </c>
      <c r="V2319" s="5">
        <f>_xlfn.XLOOKUP(Transactions_RAW_cleaned[[#This Row],[RegionQuarterKey]], Quarterly_Targets_cleaned[RegionQuarterKey], Quarterly_Targets_cleaned[TargetRevenue])</f>
        <v>273000</v>
      </c>
    </row>
    <row r="2320" spans="1:22" x14ac:dyDescent="0.25">
      <c r="A2320" t="s">
        <v>2657</v>
      </c>
      <c r="B2320" s="1">
        <v>45614</v>
      </c>
      <c r="C2320" t="s">
        <v>64</v>
      </c>
      <c r="D2320" t="s">
        <v>294</v>
      </c>
      <c r="E2320">
        <v>73.03</v>
      </c>
      <c r="F2320" t="s">
        <v>324</v>
      </c>
      <c r="G2320" t="s">
        <v>325</v>
      </c>
      <c r="H2320" t="s">
        <v>334</v>
      </c>
      <c r="I2320" t="s">
        <v>8</v>
      </c>
      <c r="J2320" t="s">
        <v>37</v>
      </c>
      <c r="K2320" t="s">
        <v>28</v>
      </c>
      <c r="L2320" t="s">
        <v>295</v>
      </c>
      <c r="M2320" t="s">
        <v>296</v>
      </c>
      <c r="N2320">
        <v>2.9000000000000001E-2</v>
      </c>
      <c r="O2320" t="str">
        <f>IF(Transactions_RAW_cleaned[[#This Row],[Status]]="Completed", IFERROR(_xlfn.XLOOKUP(Transactions_RAW_cleaned[[#This Row],[CustomerID]], Customers_cleaned[CustomerID], Customers_cleaned[Segment]), "Customer Not Found"), "N/A")</f>
        <v>SMB</v>
      </c>
      <c r="P2320" s="5" t="str">
        <f>IF(Transactions_RAW_cleaned[[#This Row],[Status]]="Refunded", "Refund",
  IF(Transactions_RAW_cleaned[[#This Row],[Category]]="Payments", IF(Transactions_RAW_cleaned[[#This Row],[Amount]]&gt;500,"High Value","Standard"),
    IF(Transactions_RAW_cleaned[[#This Row],[Amount]]&gt;250,"High Value","Standard")))</f>
        <v>Standard</v>
      </c>
      <c r="Q2320" s="5" t="str">
        <f>IF(Transactions_RAW_cleaned[[#This Row],[Amount]] &gt; (_xlfn.XLOOKUP(Transactions_RAW_cleaned[[#This Row],[ServiceID]],Services_cleaned[ServiceID],Services_cleaned[TransactionFeePct]) * 10000), "Yes", "No")</f>
        <v>No</v>
      </c>
      <c r="R2320" s="5" t="str">
        <f>IF(COUNTIFS($C$2:Transactions_RAW_cleaned[[#This Row],[CustomerID]],Transactions_RAW_cleaned[[#This Row],[CustomerID]],$D$2:Transactions_RAW_cleaned[[#This Row],[ServiceID]],Transactions_RAW_cleaned[[#This Row],[ServiceID]])=1,"Yes","No")</f>
        <v>No</v>
      </c>
      <c r="S232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20" t="str">
        <f>"Q"&amp;ROUNDUP(MONTH(Transactions_RAW_cleaned[[#This Row],[TransactionDate]])/3,0)</f>
        <v>Q4</v>
      </c>
      <c r="U2320" t="str">
        <f>Transactions_RAW_cleaned[[#This Row],[Region ]]&amp;Transactions_RAW_cleaned[[#This Row],[Quarter ]]</f>
        <v>EMEAQ4</v>
      </c>
      <c r="V2320" s="5">
        <f>_xlfn.XLOOKUP(Transactions_RAW_cleaned[[#This Row],[RegionQuarterKey]], Quarterly_Targets_cleaned[RegionQuarterKey], Quarterly_Targets_cleaned[TargetRevenue])</f>
        <v>161000</v>
      </c>
    </row>
    <row r="2321" spans="1:22" x14ac:dyDescent="0.25">
      <c r="A2321" t="s">
        <v>2658</v>
      </c>
      <c r="B2321" s="1">
        <v>45517</v>
      </c>
      <c r="C2321" t="s">
        <v>275</v>
      </c>
      <c r="D2321" t="s">
        <v>297</v>
      </c>
      <c r="E2321">
        <v>634.92999999999995</v>
      </c>
      <c r="F2321" t="s">
        <v>324</v>
      </c>
      <c r="G2321" t="s">
        <v>325</v>
      </c>
      <c r="I2321" t="s">
        <v>57</v>
      </c>
      <c r="J2321" t="s">
        <v>13</v>
      </c>
      <c r="K2321" t="s">
        <v>22</v>
      </c>
      <c r="L2321" t="s">
        <v>298</v>
      </c>
      <c r="M2321" t="s">
        <v>299</v>
      </c>
      <c r="N2321">
        <v>0</v>
      </c>
      <c r="O2321" t="str">
        <f>IF(Transactions_RAW_cleaned[[#This Row],[Status]]="Completed", IFERROR(_xlfn.XLOOKUP(Transactions_RAW_cleaned[[#This Row],[CustomerID]], Customers_cleaned[CustomerID], Customers_cleaned[Segment]), "Customer Not Found"), "N/A")</f>
        <v>Startup</v>
      </c>
      <c r="P2321" s="5" t="str">
        <f>IF(Transactions_RAW_cleaned[[#This Row],[Status]]="Refunded", "Refund",
  IF(Transactions_RAW_cleaned[[#This Row],[Category]]="Payments", IF(Transactions_RAW_cleaned[[#This Row],[Amount]]&gt;500,"High Value","Standard"),
    IF(Transactions_RAW_cleaned[[#This Row],[Amount]]&gt;250,"High Value","Standard")))</f>
        <v>High Value</v>
      </c>
      <c r="Q2321" s="5" t="str">
        <f>IF(Transactions_RAW_cleaned[[#This Row],[Amount]] &gt; (_xlfn.XLOOKUP(Transactions_RAW_cleaned[[#This Row],[ServiceID]],Services_cleaned[ServiceID],Services_cleaned[TransactionFeePct]) * 10000), "Yes", "No")</f>
        <v>Yes</v>
      </c>
      <c r="R2321" s="5" t="str">
        <f>IF(COUNTIFS($C$2:Transactions_RAW_cleaned[[#This Row],[CustomerID]],Transactions_RAW_cleaned[[#This Row],[CustomerID]],$D$2:Transactions_RAW_cleaned[[#This Row],[ServiceID]],Transactions_RAW_cleaned[[#This Row],[ServiceID]])=1,"Yes","No")</f>
        <v>No</v>
      </c>
      <c r="S232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21" t="str">
        <f>"Q"&amp;ROUNDUP(MONTH(Transactions_RAW_cleaned[[#This Row],[TransactionDate]])/3,0)</f>
        <v>Q3</v>
      </c>
      <c r="U2321" t="str">
        <f>Transactions_RAW_cleaned[[#This Row],[Region ]]&amp;Transactions_RAW_cleaned[[#This Row],[Quarter ]]</f>
        <v>NAQ3</v>
      </c>
      <c r="V2321" s="5">
        <f>_xlfn.XLOOKUP(Transactions_RAW_cleaned[[#This Row],[RegionQuarterKey]], Quarterly_Targets_cleaned[RegionQuarterKey], Quarterly_Targets_cleaned[TargetRevenue])</f>
        <v>273000</v>
      </c>
    </row>
    <row r="2322" spans="1:22" x14ac:dyDescent="0.25">
      <c r="A2322" t="s">
        <v>2659</v>
      </c>
      <c r="B2322" s="1">
        <v>45418</v>
      </c>
      <c r="C2322" t="s">
        <v>209</v>
      </c>
      <c r="D2322" t="s">
        <v>300</v>
      </c>
      <c r="E2322">
        <v>239.59</v>
      </c>
      <c r="F2322" t="s">
        <v>324</v>
      </c>
      <c r="G2322" t="s">
        <v>337</v>
      </c>
      <c r="I2322" t="s">
        <v>17</v>
      </c>
      <c r="J2322" t="s">
        <v>102</v>
      </c>
      <c r="K2322" t="s">
        <v>22</v>
      </c>
      <c r="L2322" t="s">
        <v>301</v>
      </c>
      <c r="M2322" t="s">
        <v>302</v>
      </c>
      <c r="N2322">
        <v>5.0000000000000001E-3</v>
      </c>
      <c r="O2322" t="str">
        <f>IF(Transactions_RAW_cleaned[[#This Row],[Status]]="Completed", IFERROR(_xlfn.XLOOKUP(Transactions_RAW_cleaned[[#This Row],[CustomerID]], Customers_cleaned[CustomerID], Customers_cleaned[Segment]), "Customer Not Found"), "N/A")</f>
        <v>Enterprise</v>
      </c>
      <c r="P2322" s="5" t="str">
        <f>IF(Transactions_RAW_cleaned[[#This Row],[Status]]="Refunded", "Refund",
  IF(Transactions_RAW_cleaned[[#This Row],[Category]]="Payments", IF(Transactions_RAW_cleaned[[#This Row],[Amount]]&gt;500,"High Value","Standard"),
    IF(Transactions_RAW_cleaned[[#This Row],[Amount]]&gt;250,"High Value","Standard")))</f>
        <v>Standard</v>
      </c>
      <c r="Q2322" s="5" t="str">
        <f>IF(Transactions_RAW_cleaned[[#This Row],[Amount]] &gt; (_xlfn.XLOOKUP(Transactions_RAW_cleaned[[#This Row],[ServiceID]],Services_cleaned[ServiceID],Services_cleaned[TransactionFeePct]) * 10000), "Yes", "No")</f>
        <v>Yes</v>
      </c>
      <c r="R2322" s="5" t="str">
        <f>IF(COUNTIFS($C$2:Transactions_RAW_cleaned[[#This Row],[CustomerID]],Transactions_RAW_cleaned[[#This Row],[CustomerID]],$D$2:Transactions_RAW_cleaned[[#This Row],[ServiceID]],Transactions_RAW_cleaned[[#This Row],[ServiceID]])=1,"Yes","No")</f>
        <v>No</v>
      </c>
      <c r="S232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22" t="str">
        <f>"Q"&amp;ROUNDUP(MONTH(Transactions_RAW_cleaned[[#This Row],[TransactionDate]])/3,0)</f>
        <v>Q2</v>
      </c>
      <c r="U2322" t="str">
        <f>Transactions_RAW_cleaned[[#This Row],[Region ]]&amp;Transactions_RAW_cleaned[[#This Row],[Quarter ]]</f>
        <v>NAQ2</v>
      </c>
      <c r="V2322" s="5">
        <f>_xlfn.XLOOKUP(Transactions_RAW_cleaned[[#This Row],[RegionQuarterKey]], Quarterly_Targets_cleaned[RegionQuarterKey], Quarterly_Targets_cleaned[TargetRevenue])</f>
        <v>260000</v>
      </c>
    </row>
    <row r="2323" spans="1:22" x14ac:dyDescent="0.25">
      <c r="A2323" t="s">
        <v>2660</v>
      </c>
      <c r="B2323" s="1">
        <v>45655</v>
      </c>
      <c r="C2323" t="s">
        <v>179</v>
      </c>
      <c r="D2323" t="s">
        <v>294</v>
      </c>
      <c r="E2323">
        <v>428.02</v>
      </c>
      <c r="F2323" t="s">
        <v>324</v>
      </c>
      <c r="G2323" t="s">
        <v>327</v>
      </c>
      <c r="I2323" t="s">
        <v>8</v>
      </c>
      <c r="J2323" t="s">
        <v>31</v>
      </c>
      <c r="K2323" t="s">
        <v>18</v>
      </c>
      <c r="L2323" t="s">
        <v>295</v>
      </c>
      <c r="M2323" t="s">
        <v>296</v>
      </c>
      <c r="N2323">
        <v>2.9000000000000001E-2</v>
      </c>
      <c r="O2323" t="str">
        <f>IF(Transactions_RAW_cleaned[[#This Row],[Status]]="Completed", IFERROR(_xlfn.XLOOKUP(Transactions_RAW_cleaned[[#This Row],[CustomerID]], Customers_cleaned[CustomerID], Customers_cleaned[Segment]), "Customer Not Found"), "N/A")</f>
        <v>SMB</v>
      </c>
      <c r="P2323" s="5" t="str">
        <f>IF(Transactions_RAW_cleaned[[#This Row],[Status]]="Refunded", "Refund",
  IF(Transactions_RAW_cleaned[[#This Row],[Category]]="Payments", IF(Transactions_RAW_cleaned[[#This Row],[Amount]]&gt;500,"High Value","Standard"),
    IF(Transactions_RAW_cleaned[[#This Row],[Amount]]&gt;250,"High Value","Standard")))</f>
        <v>Standard</v>
      </c>
      <c r="Q2323" s="5" t="str">
        <f>IF(Transactions_RAW_cleaned[[#This Row],[Amount]] &gt; (_xlfn.XLOOKUP(Transactions_RAW_cleaned[[#This Row],[ServiceID]],Services_cleaned[ServiceID],Services_cleaned[TransactionFeePct]) * 10000), "Yes", "No")</f>
        <v>Yes</v>
      </c>
      <c r="R2323" s="5" t="str">
        <f>IF(COUNTIFS($C$2:Transactions_RAW_cleaned[[#This Row],[CustomerID]],Transactions_RAW_cleaned[[#This Row],[CustomerID]],$D$2:Transactions_RAW_cleaned[[#This Row],[ServiceID]],Transactions_RAW_cleaned[[#This Row],[ServiceID]])=1,"Yes","No")</f>
        <v>No</v>
      </c>
      <c r="S232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23" t="str">
        <f>"Q"&amp;ROUNDUP(MONTH(Transactions_RAW_cleaned[[#This Row],[TransactionDate]])/3,0)</f>
        <v>Q4</v>
      </c>
      <c r="U2323" t="str">
        <f>Transactions_RAW_cleaned[[#This Row],[Region ]]&amp;Transactions_RAW_cleaned[[#This Row],[Quarter ]]</f>
        <v>EMEAQ4</v>
      </c>
      <c r="V2323" s="5">
        <f>_xlfn.XLOOKUP(Transactions_RAW_cleaned[[#This Row],[RegionQuarterKey]], Quarterly_Targets_cleaned[RegionQuarterKey], Quarterly_Targets_cleaned[TargetRevenue])</f>
        <v>161000</v>
      </c>
    </row>
    <row r="2324" spans="1:22" x14ac:dyDescent="0.25">
      <c r="A2324" t="s">
        <v>2661</v>
      </c>
      <c r="B2324" s="1">
        <v>45603</v>
      </c>
      <c r="C2324" t="s">
        <v>247</v>
      </c>
      <c r="D2324" t="s">
        <v>294</v>
      </c>
      <c r="E2324">
        <v>82.84</v>
      </c>
      <c r="F2324" t="s">
        <v>324</v>
      </c>
      <c r="G2324" t="s">
        <v>327</v>
      </c>
      <c r="H2324" t="s">
        <v>346</v>
      </c>
      <c r="I2324" t="s">
        <v>17</v>
      </c>
      <c r="J2324" t="s">
        <v>13</v>
      </c>
      <c r="K2324" t="s">
        <v>28</v>
      </c>
      <c r="L2324" t="s">
        <v>295</v>
      </c>
      <c r="M2324" t="s">
        <v>296</v>
      </c>
      <c r="N2324">
        <v>2.9000000000000001E-2</v>
      </c>
      <c r="O2324" t="str">
        <f>IF(Transactions_RAW_cleaned[[#This Row],[Status]]="Completed", IFERROR(_xlfn.XLOOKUP(Transactions_RAW_cleaned[[#This Row],[CustomerID]], Customers_cleaned[CustomerID], Customers_cleaned[Segment]), "Customer Not Found"), "N/A")</f>
        <v>Enterprise</v>
      </c>
      <c r="P2324" s="5" t="str">
        <f>IF(Transactions_RAW_cleaned[[#This Row],[Status]]="Refunded", "Refund",
  IF(Transactions_RAW_cleaned[[#This Row],[Category]]="Payments", IF(Transactions_RAW_cleaned[[#This Row],[Amount]]&gt;500,"High Value","Standard"),
    IF(Transactions_RAW_cleaned[[#This Row],[Amount]]&gt;250,"High Value","Standard")))</f>
        <v>Standard</v>
      </c>
      <c r="Q2324" s="5" t="str">
        <f>IF(Transactions_RAW_cleaned[[#This Row],[Amount]] &gt; (_xlfn.XLOOKUP(Transactions_RAW_cleaned[[#This Row],[ServiceID]],Services_cleaned[ServiceID],Services_cleaned[TransactionFeePct]) * 10000), "Yes", "No")</f>
        <v>No</v>
      </c>
      <c r="R2324" s="5" t="str">
        <f>IF(COUNTIFS($C$2:Transactions_RAW_cleaned[[#This Row],[CustomerID]],Transactions_RAW_cleaned[[#This Row],[CustomerID]],$D$2:Transactions_RAW_cleaned[[#This Row],[ServiceID]],Transactions_RAW_cleaned[[#This Row],[ServiceID]])=1,"Yes","No")</f>
        <v>No</v>
      </c>
      <c r="S232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24" t="str">
        <f>"Q"&amp;ROUNDUP(MONTH(Transactions_RAW_cleaned[[#This Row],[TransactionDate]])/3,0)</f>
        <v>Q4</v>
      </c>
      <c r="U2324" t="str">
        <f>Transactions_RAW_cleaned[[#This Row],[Region ]]&amp;Transactions_RAW_cleaned[[#This Row],[Quarter ]]</f>
        <v>NAQ4</v>
      </c>
      <c r="V2324" s="5">
        <f>_xlfn.XLOOKUP(Transactions_RAW_cleaned[[#This Row],[RegionQuarterKey]], Quarterly_Targets_cleaned[RegionQuarterKey], Quarterly_Targets_cleaned[TargetRevenue])</f>
        <v>299000</v>
      </c>
    </row>
    <row r="2325" spans="1:22" x14ac:dyDescent="0.25">
      <c r="A2325" t="s">
        <v>2662</v>
      </c>
      <c r="B2325" s="1">
        <v>45471</v>
      </c>
      <c r="C2325" t="s">
        <v>51</v>
      </c>
      <c r="D2325" t="s">
        <v>300</v>
      </c>
      <c r="E2325">
        <v>364.31</v>
      </c>
      <c r="F2325" t="s">
        <v>324</v>
      </c>
      <c r="G2325" t="s">
        <v>325</v>
      </c>
      <c r="I2325" t="s">
        <v>8</v>
      </c>
      <c r="J2325" t="s">
        <v>31</v>
      </c>
      <c r="K2325" t="s">
        <v>14</v>
      </c>
      <c r="L2325" t="s">
        <v>301</v>
      </c>
      <c r="M2325" t="s">
        <v>302</v>
      </c>
      <c r="N2325">
        <v>5.0000000000000001E-3</v>
      </c>
      <c r="O2325" t="str">
        <f>IF(Transactions_RAW_cleaned[[#This Row],[Status]]="Completed", IFERROR(_xlfn.XLOOKUP(Transactions_RAW_cleaned[[#This Row],[CustomerID]], Customers_cleaned[CustomerID], Customers_cleaned[Segment]), "Customer Not Found"), "N/A")</f>
        <v>SMB</v>
      </c>
      <c r="P2325" s="5" t="str">
        <f>IF(Transactions_RAW_cleaned[[#This Row],[Status]]="Refunded", "Refund",
  IF(Transactions_RAW_cleaned[[#This Row],[Category]]="Payments", IF(Transactions_RAW_cleaned[[#This Row],[Amount]]&gt;500,"High Value","Standard"),
    IF(Transactions_RAW_cleaned[[#This Row],[Amount]]&gt;250,"High Value","Standard")))</f>
        <v>High Value</v>
      </c>
      <c r="Q2325" s="5" t="str">
        <f>IF(Transactions_RAW_cleaned[[#This Row],[Amount]] &gt; (_xlfn.XLOOKUP(Transactions_RAW_cleaned[[#This Row],[ServiceID]],Services_cleaned[ServiceID],Services_cleaned[TransactionFeePct]) * 10000), "Yes", "No")</f>
        <v>Yes</v>
      </c>
      <c r="R2325" s="5" t="str">
        <f>IF(COUNTIFS($C$2:Transactions_RAW_cleaned[[#This Row],[CustomerID]],Transactions_RAW_cleaned[[#This Row],[CustomerID]],$D$2:Transactions_RAW_cleaned[[#This Row],[ServiceID]],Transactions_RAW_cleaned[[#This Row],[ServiceID]])=1,"Yes","No")</f>
        <v>Yes</v>
      </c>
      <c r="S232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25" t="str">
        <f>"Q"&amp;ROUNDUP(MONTH(Transactions_RAW_cleaned[[#This Row],[TransactionDate]])/3,0)</f>
        <v>Q2</v>
      </c>
      <c r="U2325" t="str">
        <f>Transactions_RAW_cleaned[[#This Row],[Region ]]&amp;Transactions_RAW_cleaned[[#This Row],[Quarter ]]</f>
        <v>EMEAQ2</v>
      </c>
      <c r="V2325" s="5">
        <f>_xlfn.XLOOKUP(Transactions_RAW_cleaned[[#This Row],[RegionQuarterKey]], Quarterly_Targets_cleaned[RegionQuarterKey], Quarterly_Targets_cleaned[TargetRevenue])</f>
        <v>140000</v>
      </c>
    </row>
    <row r="2326" spans="1:22" x14ac:dyDescent="0.25">
      <c r="A2326" t="s">
        <v>2663</v>
      </c>
      <c r="B2326" s="1">
        <v>45629</v>
      </c>
      <c r="C2326" t="s">
        <v>159</v>
      </c>
      <c r="D2326" t="s">
        <v>306</v>
      </c>
      <c r="E2326">
        <v>797.47</v>
      </c>
      <c r="F2326" t="s">
        <v>324</v>
      </c>
      <c r="G2326" t="s">
        <v>325</v>
      </c>
      <c r="H2326" t="s">
        <v>334</v>
      </c>
      <c r="I2326" t="s">
        <v>57</v>
      </c>
      <c r="J2326" t="s">
        <v>25</v>
      </c>
      <c r="K2326" t="s">
        <v>22</v>
      </c>
      <c r="L2326" t="s">
        <v>307</v>
      </c>
      <c r="M2326" t="s">
        <v>308</v>
      </c>
      <c r="N2326">
        <v>0</v>
      </c>
      <c r="O2326" t="str">
        <f>IF(Transactions_RAW_cleaned[[#This Row],[Status]]="Completed", IFERROR(_xlfn.XLOOKUP(Transactions_RAW_cleaned[[#This Row],[CustomerID]], Customers_cleaned[CustomerID], Customers_cleaned[Segment]), "Customer Not Found"), "N/A")</f>
        <v>Startup</v>
      </c>
      <c r="P2326" s="5" t="str">
        <f>IF(Transactions_RAW_cleaned[[#This Row],[Status]]="Refunded", "Refund",
  IF(Transactions_RAW_cleaned[[#This Row],[Category]]="Payments", IF(Transactions_RAW_cleaned[[#This Row],[Amount]]&gt;500,"High Value","Standard"),
    IF(Transactions_RAW_cleaned[[#This Row],[Amount]]&gt;250,"High Value","Standard")))</f>
        <v>High Value</v>
      </c>
      <c r="Q2326" s="5" t="str">
        <f>IF(Transactions_RAW_cleaned[[#This Row],[Amount]] &gt; (_xlfn.XLOOKUP(Transactions_RAW_cleaned[[#This Row],[ServiceID]],Services_cleaned[ServiceID],Services_cleaned[TransactionFeePct]) * 10000), "Yes", "No")</f>
        <v>Yes</v>
      </c>
      <c r="R2326" s="5" t="str">
        <f>IF(COUNTIFS($C$2:Transactions_RAW_cleaned[[#This Row],[CustomerID]],Transactions_RAW_cleaned[[#This Row],[CustomerID]],$D$2:Transactions_RAW_cleaned[[#This Row],[ServiceID]],Transactions_RAW_cleaned[[#This Row],[ServiceID]])=1,"Yes","No")</f>
        <v>No</v>
      </c>
      <c r="S232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26" t="str">
        <f>"Q"&amp;ROUNDUP(MONTH(Transactions_RAW_cleaned[[#This Row],[TransactionDate]])/3,0)</f>
        <v>Q4</v>
      </c>
      <c r="U2326" t="str">
        <f>Transactions_RAW_cleaned[[#This Row],[Region ]]&amp;Transactions_RAW_cleaned[[#This Row],[Quarter ]]</f>
        <v>APACQ4</v>
      </c>
      <c r="V2326" s="5">
        <f>_xlfn.XLOOKUP(Transactions_RAW_cleaned[[#This Row],[RegionQuarterKey]], Quarterly_Targets_cleaned[RegionQuarterKey], Quarterly_Targets_cleaned[TargetRevenue])</f>
        <v>126500</v>
      </c>
    </row>
    <row r="2327" spans="1:22" x14ac:dyDescent="0.25">
      <c r="A2327" t="s">
        <v>2664</v>
      </c>
      <c r="B2327" s="1">
        <v>45582</v>
      </c>
      <c r="C2327" t="s">
        <v>113</v>
      </c>
      <c r="D2327" t="s">
        <v>306</v>
      </c>
      <c r="E2327">
        <v>323.01</v>
      </c>
      <c r="F2327" t="s">
        <v>381</v>
      </c>
      <c r="G2327" t="s">
        <v>337</v>
      </c>
      <c r="H2327" t="s">
        <v>332</v>
      </c>
      <c r="I2327" t="s">
        <v>57</v>
      </c>
      <c r="J2327" t="s">
        <v>46</v>
      </c>
      <c r="K2327" t="s">
        <v>10</v>
      </c>
      <c r="L2327" t="s">
        <v>307</v>
      </c>
      <c r="M2327" t="s">
        <v>308</v>
      </c>
      <c r="N2327">
        <v>0</v>
      </c>
      <c r="O2327" t="str">
        <f>IF(Transactions_RAW_cleaned[[#This Row],[Status]]="Completed", IFERROR(_xlfn.XLOOKUP(Transactions_RAW_cleaned[[#This Row],[CustomerID]], Customers_cleaned[CustomerID], Customers_cleaned[Segment]), "Customer Not Found"), "N/A")</f>
        <v>N/A</v>
      </c>
      <c r="P2327" s="5" t="str">
        <f>IF(Transactions_RAW_cleaned[[#This Row],[Status]]="Refunded", "Refund",
  IF(Transactions_RAW_cleaned[[#This Row],[Category]]="Payments", IF(Transactions_RAW_cleaned[[#This Row],[Amount]]&gt;500,"High Value","Standard"),
    IF(Transactions_RAW_cleaned[[#This Row],[Amount]]&gt;250,"High Value","Standard")))</f>
        <v>High Value</v>
      </c>
      <c r="Q2327" s="5" t="str">
        <f>IF(Transactions_RAW_cleaned[[#This Row],[Amount]] &gt; (_xlfn.XLOOKUP(Transactions_RAW_cleaned[[#This Row],[ServiceID]],Services_cleaned[ServiceID],Services_cleaned[TransactionFeePct]) * 10000), "Yes", "No")</f>
        <v>Yes</v>
      </c>
      <c r="R2327" s="5" t="str">
        <f>IF(COUNTIFS($C$2:Transactions_RAW_cleaned[[#This Row],[CustomerID]],Transactions_RAW_cleaned[[#This Row],[CustomerID]],$D$2:Transactions_RAW_cleaned[[#This Row],[ServiceID]],Transactions_RAW_cleaned[[#This Row],[ServiceID]])=1,"Yes","No")</f>
        <v>No</v>
      </c>
      <c r="S232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27" t="str">
        <f>"Q"&amp;ROUNDUP(MONTH(Transactions_RAW_cleaned[[#This Row],[TransactionDate]])/3,0)</f>
        <v>Q4</v>
      </c>
      <c r="U2327" t="str">
        <f>Transactions_RAW_cleaned[[#This Row],[Region ]]&amp;Transactions_RAW_cleaned[[#This Row],[Quarter ]]</f>
        <v>APACQ4</v>
      </c>
      <c r="V2327" s="5">
        <f>_xlfn.XLOOKUP(Transactions_RAW_cleaned[[#This Row],[RegionQuarterKey]], Quarterly_Targets_cleaned[RegionQuarterKey], Quarterly_Targets_cleaned[TargetRevenue])</f>
        <v>126500</v>
      </c>
    </row>
    <row r="2328" spans="1:22" x14ac:dyDescent="0.25">
      <c r="A2328" t="s">
        <v>2665</v>
      </c>
      <c r="B2328" s="1">
        <v>45557</v>
      </c>
      <c r="C2328" t="s">
        <v>51</v>
      </c>
      <c r="D2328" t="s">
        <v>306</v>
      </c>
      <c r="E2328">
        <v>611.91</v>
      </c>
      <c r="F2328" t="s">
        <v>324</v>
      </c>
      <c r="G2328" t="s">
        <v>2963</v>
      </c>
      <c r="H2328" t="s">
        <v>332</v>
      </c>
      <c r="I2328" t="s">
        <v>8</v>
      </c>
      <c r="J2328" t="s">
        <v>31</v>
      </c>
      <c r="K2328" t="s">
        <v>14</v>
      </c>
      <c r="L2328" t="s">
        <v>307</v>
      </c>
      <c r="M2328" t="s">
        <v>308</v>
      </c>
      <c r="N2328">
        <v>0</v>
      </c>
      <c r="O2328" t="str">
        <f>IF(Transactions_RAW_cleaned[[#This Row],[Status]]="Completed", IFERROR(_xlfn.XLOOKUP(Transactions_RAW_cleaned[[#This Row],[CustomerID]], Customers_cleaned[CustomerID], Customers_cleaned[Segment]), "Customer Not Found"), "N/A")</f>
        <v>SMB</v>
      </c>
      <c r="P2328" s="5" t="str">
        <f>IF(Transactions_RAW_cleaned[[#This Row],[Status]]="Refunded", "Refund",
  IF(Transactions_RAW_cleaned[[#This Row],[Category]]="Payments", IF(Transactions_RAW_cleaned[[#This Row],[Amount]]&gt;500,"High Value","Standard"),
    IF(Transactions_RAW_cleaned[[#This Row],[Amount]]&gt;250,"High Value","Standard")))</f>
        <v>High Value</v>
      </c>
      <c r="Q2328" s="5" t="str">
        <f>IF(Transactions_RAW_cleaned[[#This Row],[Amount]] &gt; (_xlfn.XLOOKUP(Transactions_RAW_cleaned[[#This Row],[ServiceID]],Services_cleaned[ServiceID],Services_cleaned[TransactionFeePct]) * 10000), "Yes", "No")</f>
        <v>Yes</v>
      </c>
      <c r="R2328" s="5" t="str">
        <f>IF(COUNTIFS($C$2:Transactions_RAW_cleaned[[#This Row],[CustomerID]],Transactions_RAW_cleaned[[#This Row],[CustomerID]],$D$2:Transactions_RAW_cleaned[[#This Row],[ServiceID]],Transactions_RAW_cleaned[[#This Row],[ServiceID]])=1,"Yes","No")</f>
        <v>Yes</v>
      </c>
      <c r="S232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28" t="str">
        <f>"Q"&amp;ROUNDUP(MONTH(Transactions_RAW_cleaned[[#This Row],[TransactionDate]])/3,0)</f>
        <v>Q3</v>
      </c>
      <c r="U2328" t="str">
        <f>Transactions_RAW_cleaned[[#This Row],[Region ]]&amp;Transactions_RAW_cleaned[[#This Row],[Quarter ]]</f>
        <v>EMEAQ3</v>
      </c>
      <c r="V2328" s="5">
        <f>_xlfn.XLOOKUP(Transactions_RAW_cleaned[[#This Row],[RegionQuarterKey]], Quarterly_Targets_cleaned[RegionQuarterKey], Quarterly_Targets_cleaned[TargetRevenue])</f>
        <v>147000</v>
      </c>
    </row>
    <row r="2329" spans="1:22" x14ac:dyDescent="0.25">
      <c r="A2329" t="s">
        <v>2666</v>
      </c>
      <c r="B2329" s="1">
        <v>45585</v>
      </c>
      <c r="C2329" t="s">
        <v>396</v>
      </c>
      <c r="D2329" t="s">
        <v>300</v>
      </c>
      <c r="E2329">
        <v>182.17</v>
      </c>
      <c r="F2329" t="s">
        <v>324</v>
      </c>
      <c r="G2329" t="s">
        <v>329</v>
      </c>
      <c r="H2329" t="s">
        <v>332</v>
      </c>
      <c r="I2329" t="s">
        <v>57</v>
      </c>
      <c r="J2329" t="s">
        <v>21</v>
      </c>
      <c r="K2329" t="s">
        <v>2964</v>
      </c>
      <c r="L2329" t="s">
        <v>301</v>
      </c>
      <c r="M2329" t="s">
        <v>302</v>
      </c>
      <c r="N2329">
        <v>5.0000000000000001E-3</v>
      </c>
      <c r="O2329" t="str">
        <f>IF(Transactions_RAW_cleaned[[#This Row],[Status]]="Completed", IFERROR(_xlfn.XLOOKUP(Transactions_RAW_cleaned[[#This Row],[CustomerID]], Customers_cleaned[CustomerID], Customers_cleaned[Segment]), "Customer Not Found"), "N/A")</f>
        <v>Startup</v>
      </c>
      <c r="P2329" s="5" t="str">
        <f>IF(Transactions_RAW_cleaned[[#This Row],[Status]]="Refunded", "Refund",
  IF(Transactions_RAW_cleaned[[#This Row],[Category]]="Payments", IF(Transactions_RAW_cleaned[[#This Row],[Amount]]&gt;500,"High Value","Standard"),
    IF(Transactions_RAW_cleaned[[#This Row],[Amount]]&gt;250,"High Value","Standard")))</f>
        <v>Standard</v>
      </c>
      <c r="Q2329" s="5" t="str">
        <f>IF(Transactions_RAW_cleaned[[#This Row],[Amount]] &gt; (_xlfn.XLOOKUP(Transactions_RAW_cleaned[[#This Row],[ServiceID]],Services_cleaned[ServiceID],Services_cleaned[TransactionFeePct]) * 10000), "Yes", "No")</f>
        <v>Yes</v>
      </c>
      <c r="R2329" s="5" t="str">
        <f>IF(COUNTIFS($C$2:Transactions_RAW_cleaned[[#This Row],[CustomerID]],Transactions_RAW_cleaned[[#This Row],[CustomerID]],$D$2:Transactions_RAW_cleaned[[#This Row],[ServiceID]],Transactions_RAW_cleaned[[#This Row],[ServiceID]])=1,"Yes","No")</f>
        <v>No</v>
      </c>
      <c r="S232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29" t="str">
        <f>"Q"&amp;ROUNDUP(MONTH(Transactions_RAW_cleaned[[#This Row],[TransactionDate]])/3,0)</f>
        <v>Q4</v>
      </c>
      <c r="U2329" t="str">
        <f>Transactions_RAW_cleaned[[#This Row],[Region ]]&amp;Transactions_RAW_cleaned[[#This Row],[Quarter ]]</f>
        <v>APACQ4</v>
      </c>
      <c r="V2329" s="5">
        <f>_xlfn.XLOOKUP(Transactions_RAW_cleaned[[#This Row],[RegionQuarterKey]], Quarterly_Targets_cleaned[RegionQuarterKey], Quarterly_Targets_cleaned[TargetRevenue])</f>
        <v>126500</v>
      </c>
    </row>
    <row r="2330" spans="1:22" x14ac:dyDescent="0.25">
      <c r="A2330" t="s">
        <v>2667</v>
      </c>
      <c r="B2330" s="1">
        <v>45503</v>
      </c>
      <c r="C2330" t="s">
        <v>203</v>
      </c>
      <c r="D2330" t="s">
        <v>294</v>
      </c>
      <c r="E2330">
        <v>-317.12</v>
      </c>
      <c r="F2330" t="s">
        <v>349</v>
      </c>
      <c r="G2330" t="s">
        <v>327</v>
      </c>
      <c r="H2330" t="s">
        <v>332</v>
      </c>
      <c r="I2330" t="s">
        <v>57</v>
      </c>
      <c r="J2330" t="s">
        <v>21</v>
      </c>
      <c r="K2330" t="s">
        <v>14</v>
      </c>
      <c r="L2330" t="s">
        <v>295</v>
      </c>
      <c r="M2330" t="s">
        <v>296</v>
      </c>
      <c r="N2330">
        <v>2.9000000000000001E-2</v>
      </c>
      <c r="O2330" t="str">
        <f>IF(Transactions_RAW_cleaned[[#This Row],[Status]]="Completed", IFERROR(_xlfn.XLOOKUP(Transactions_RAW_cleaned[[#This Row],[CustomerID]], Customers_cleaned[CustomerID], Customers_cleaned[Segment]), "Customer Not Found"), "N/A")</f>
        <v>N/A</v>
      </c>
      <c r="P2330" s="5" t="str">
        <f>IF(Transactions_RAW_cleaned[[#This Row],[Status]]="Refunded", "Refund",
  IF(Transactions_RAW_cleaned[[#This Row],[Category]]="Payments", IF(Transactions_RAW_cleaned[[#This Row],[Amount]]&gt;500,"High Value","Standard"),
    IF(Transactions_RAW_cleaned[[#This Row],[Amount]]&gt;250,"High Value","Standard")))</f>
        <v>Refund</v>
      </c>
      <c r="Q2330" s="5" t="str">
        <f>IF(Transactions_RAW_cleaned[[#This Row],[Amount]] &gt; (_xlfn.XLOOKUP(Transactions_RAW_cleaned[[#This Row],[ServiceID]],Services_cleaned[ServiceID],Services_cleaned[TransactionFeePct]) * 10000), "Yes", "No")</f>
        <v>No</v>
      </c>
      <c r="R2330" s="5" t="str">
        <f>IF(COUNTIFS($C$2:Transactions_RAW_cleaned[[#This Row],[CustomerID]],Transactions_RAW_cleaned[[#This Row],[CustomerID]],$D$2:Transactions_RAW_cleaned[[#This Row],[ServiceID]],Transactions_RAW_cleaned[[#This Row],[ServiceID]])=1,"Yes","No")</f>
        <v>No</v>
      </c>
      <c r="S233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30" t="str">
        <f>"Q"&amp;ROUNDUP(MONTH(Transactions_RAW_cleaned[[#This Row],[TransactionDate]])/3,0)</f>
        <v>Q3</v>
      </c>
      <c r="U2330" t="str">
        <f>Transactions_RAW_cleaned[[#This Row],[Region ]]&amp;Transactions_RAW_cleaned[[#This Row],[Quarter ]]</f>
        <v>APACQ3</v>
      </c>
      <c r="V2330" s="5">
        <f>_xlfn.XLOOKUP(Transactions_RAW_cleaned[[#This Row],[RegionQuarterKey]], Quarterly_Targets_cleaned[RegionQuarterKey], Quarterly_Targets_cleaned[TargetRevenue])</f>
        <v>115500</v>
      </c>
    </row>
    <row r="2331" spans="1:22" x14ac:dyDescent="0.25">
      <c r="A2331" t="s">
        <v>2668</v>
      </c>
      <c r="B2331" s="1">
        <v>45524</v>
      </c>
      <c r="C2331" t="s">
        <v>225</v>
      </c>
      <c r="D2331" t="s">
        <v>294</v>
      </c>
      <c r="E2331">
        <v>653.16999999999996</v>
      </c>
      <c r="F2331" t="s">
        <v>324</v>
      </c>
      <c r="G2331" t="s">
        <v>327</v>
      </c>
      <c r="I2331" t="s">
        <v>8</v>
      </c>
      <c r="J2331" t="s">
        <v>21</v>
      </c>
      <c r="K2331" t="s">
        <v>28</v>
      </c>
      <c r="L2331" t="s">
        <v>295</v>
      </c>
      <c r="M2331" t="s">
        <v>296</v>
      </c>
      <c r="N2331">
        <v>2.9000000000000001E-2</v>
      </c>
      <c r="O2331" t="str">
        <f>IF(Transactions_RAW_cleaned[[#This Row],[Status]]="Completed", IFERROR(_xlfn.XLOOKUP(Transactions_RAW_cleaned[[#This Row],[CustomerID]], Customers_cleaned[CustomerID], Customers_cleaned[Segment]), "Customer Not Found"), "N/A")</f>
        <v>SMB</v>
      </c>
      <c r="P2331" s="5" t="str">
        <f>IF(Transactions_RAW_cleaned[[#This Row],[Status]]="Refunded", "Refund",
  IF(Transactions_RAW_cleaned[[#This Row],[Category]]="Payments", IF(Transactions_RAW_cleaned[[#This Row],[Amount]]&gt;500,"High Value","Standard"),
    IF(Transactions_RAW_cleaned[[#This Row],[Amount]]&gt;250,"High Value","Standard")))</f>
        <v>High Value</v>
      </c>
      <c r="Q2331" s="5" t="str">
        <f>IF(Transactions_RAW_cleaned[[#This Row],[Amount]] &gt; (_xlfn.XLOOKUP(Transactions_RAW_cleaned[[#This Row],[ServiceID]],Services_cleaned[ServiceID],Services_cleaned[TransactionFeePct]) * 10000), "Yes", "No")</f>
        <v>Yes</v>
      </c>
      <c r="R2331" s="5" t="str">
        <f>IF(COUNTIFS($C$2:Transactions_RAW_cleaned[[#This Row],[CustomerID]],Transactions_RAW_cleaned[[#This Row],[CustomerID]],$D$2:Transactions_RAW_cleaned[[#This Row],[ServiceID]],Transactions_RAW_cleaned[[#This Row],[ServiceID]])=1,"Yes","No")</f>
        <v>No</v>
      </c>
      <c r="S233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31" t="str">
        <f>"Q"&amp;ROUNDUP(MONTH(Transactions_RAW_cleaned[[#This Row],[TransactionDate]])/3,0)</f>
        <v>Q3</v>
      </c>
      <c r="U2331" t="str">
        <f>Transactions_RAW_cleaned[[#This Row],[Region ]]&amp;Transactions_RAW_cleaned[[#This Row],[Quarter ]]</f>
        <v>APACQ3</v>
      </c>
      <c r="V2331" s="5">
        <f>_xlfn.XLOOKUP(Transactions_RAW_cleaned[[#This Row],[RegionQuarterKey]], Quarterly_Targets_cleaned[RegionQuarterKey], Quarterly_Targets_cleaned[TargetRevenue])</f>
        <v>115500</v>
      </c>
    </row>
    <row r="2332" spans="1:22" x14ac:dyDescent="0.25">
      <c r="A2332" t="s">
        <v>2669</v>
      </c>
      <c r="B2332" s="1">
        <v>45333</v>
      </c>
      <c r="C2332" t="s">
        <v>267</v>
      </c>
      <c r="D2332" t="s">
        <v>312</v>
      </c>
      <c r="E2332">
        <v>1219.82</v>
      </c>
      <c r="F2332" t="s">
        <v>324</v>
      </c>
      <c r="G2332" t="s">
        <v>325</v>
      </c>
      <c r="H2332" t="s">
        <v>334</v>
      </c>
      <c r="I2332" t="s">
        <v>8</v>
      </c>
      <c r="J2332" t="s">
        <v>102</v>
      </c>
      <c r="K2332" t="s">
        <v>22</v>
      </c>
      <c r="L2332" t="s">
        <v>313</v>
      </c>
      <c r="M2332" t="s">
        <v>314</v>
      </c>
      <c r="N2332">
        <v>0</v>
      </c>
      <c r="O2332" t="str">
        <f>IF(Transactions_RAW_cleaned[[#This Row],[Status]]="Completed", IFERROR(_xlfn.XLOOKUP(Transactions_RAW_cleaned[[#This Row],[CustomerID]], Customers_cleaned[CustomerID], Customers_cleaned[Segment]), "Customer Not Found"), "N/A")</f>
        <v>SMB</v>
      </c>
      <c r="P2332" s="5" t="str">
        <f>IF(Transactions_RAW_cleaned[[#This Row],[Status]]="Refunded", "Refund",
  IF(Transactions_RAW_cleaned[[#This Row],[Category]]="Payments", IF(Transactions_RAW_cleaned[[#This Row],[Amount]]&gt;500,"High Value","Standard"),
    IF(Transactions_RAW_cleaned[[#This Row],[Amount]]&gt;250,"High Value","Standard")))</f>
        <v>High Value</v>
      </c>
      <c r="Q2332" s="5" t="str">
        <f>IF(Transactions_RAW_cleaned[[#This Row],[Amount]] &gt; (_xlfn.XLOOKUP(Transactions_RAW_cleaned[[#This Row],[ServiceID]],Services_cleaned[ServiceID],Services_cleaned[TransactionFeePct]) * 10000), "Yes", "No")</f>
        <v>Yes</v>
      </c>
      <c r="R2332" s="5" t="str">
        <f>IF(COUNTIFS($C$2:Transactions_RAW_cleaned[[#This Row],[CustomerID]],Transactions_RAW_cleaned[[#This Row],[CustomerID]],$D$2:Transactions_RAW_cleaned[[#This Row],[ServiceID]],Transactions_RAW_cleaned[[#This Row],[ServiceID]])=1,"Yes","No")</f>
        <v>Yes</v>
      </c>
      <c r="S233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32" t="str">
        <f>"Q"&amp;ROUNDUP(MONTH(Transactions_RAW_cleaned[[#This Row],[TransactionDate]])/3,0)</f>
        <v>Q1</v>
      </c>
      <c r="U2332" t="str">
        <f>Transactions_RAW_cleaned[[#This Row],[Region ]]&amp;Transactions_RAW_cleaned[[#This Row],[Quarter ]]</f>
        <v>NAQ1</v>
      </c>
      <c r="V2332" s="5">
        <f>_xlfn.XLOOKUP(Transactions_RAW_cleaned[[#This Row],[RegionQuarterKey]], Quarterly_Targets_cleaned[RegionQuarterKey], Quarterly_Targets_cleaned[TargetRevenue])</f>
        <v>247000</v>
      </c>
    </row>
    <row r="2333" spans="1:22" x14ac:dyDescent="0.25">
      <c r="A2333" t="s">
        <v>2670</v>
      </c>
      <c r="B2333" s="1">
        <v>45293</v>
      </c>
      <c r="C2333" t="s">
        <v>277</v>
      </c>
      <c r="D2333" t="s">
        <v>294</v>
      </c>
      <c r="E2333">
        <v>317.70999999999998</v>
      </c>
      <c r="F2333" t="s">
        <v>324</v>
      </c>
      <c r="G2333" t="s">
        <v>327</v>
      </c>
      <c r="H2333" t="s">
        <v>334</v>
      </c>
      <c r="I2333" t="s">
        <v>8</v>
      </c>
      <c r="J2333" t="s">
        <v>31</v>
      </c>
      <c r="K2333" t="s">
        <v>22</v>
      </c>
      <c r="L2333" t="s">
        <v>295</v>
      </c>
      <c r="M2333" t="s">
        <v>296</v>
      </c>
      <c r="N2333">
        <v>2.9000000000000001E-2</v>
      </c>
      <c r="O2333" t="str">
        <f>IF(Transactions_RAW_cleaned[[#This Row],[Status]]="Completed", IFERROR(_xlfn.XLOOKUP(Transactions_RAW_cleaned[[#This Row],[CustomerID]], Customers_cleaned[CustomerID], Customers_cleaned[Segment]), "Customer Not Found"), "N/A")</f>
        <v>SMB</v>
      </c>
      <c r="P2333" s="5" t="str">
        <f>IF(Transactions_RAW_cleaned[[#This Row],[Status]]="Refunded", "Refund",
  IF(Transactions_RAW_cleaned[[#This Row],[Category]]="Payments", IF(Transactions_RAW_cleaned[[#This Row],[Amount]]&gt;500,"High Value","Standard"),
    IF(Transactions_RAW_cleaned[[#This Row],[Amount]]&gt;250,"High Value","Standard")))</f>
        <v>Standard</v>
      </c>
      <c r="Q2333" s="5" t="str">
        <f>IF(Transactions_RAW_cleaned[[#This Row],[Amount]] &gt; (_xlfn.XLOOKUP(Transactions_RAW_cleaned[[#This Row],[ServiceID]],Services_cleaned[ServiceID],Services_cleaned[TransactionFeePct]) * 10000), "Yes", "No")</f>
        <v>Yes</v>
      </c>
      <c r="R2333" s="5" t="str">
        <f>IF(COUNTIFS($C$2:Transactions_RAW_cleaned[[#This Row],[CustomerID]],Transactions_RAW_cleaned[[#This Row],[CustomerID]],$D$2:Transactions_RAW_cleaned[[#This Row],[ServiceID]],Transactions_RAW_cleaned[[#This Row],[ServiceID]])=1,"Yes","No")</f>
        <v>No</v>
      </c>
      <c r="S233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33" t="str">
        <f>"Q"&amp;ROUNDUP(MONTH(Transactions_RAW_cleaned[[#This Row],[TransactionDate]])/3,0)</f>
        <v>Q1</v>
      </c>
      <c r="U2333" t="str">
        <f>Transactions_RAW_cleaned[[#This Row],[Region ]]&amp;Transactions_RAW_cleaned[[#This Row],[Quarter ]]</f>
        <v>EMEAQ1</v>
      </c>
      <c r="V2333" s="5">
        <f>_xlfn.XLOOKUP(Transactions_RAW_cleaned[[#This Row],[RegionQuarterKey]], Quarterly_Targets_cleaned[RegionQuarterKey], Quarterly_Targets_cleaned[TargetRevenue])</f>
        <v>133000</v>
      </c>
    </row>
    <row r="2334" spans="1:22" x14ac:dyDescent="0.25">
      <c r="A2334" t="s">
        <v>2671</v>
      </c>
      <c r="B2334" s="1">
        <v>45567</v>
      </c>
      <c r="C2334" t="s">
        <v>247</v>
      </c>
      <c r="D2334" t="s">
        <v>294</v>
      </c>
      <c r="E2334">
        <v>460.82</v>
      </c>
      <c r="F2334" t="s">
        <v>324</v>
      </c>
      <c r="G2334" t="s">
        <v>2963</v>
      </c>
      <c r="H2334" t="s">
        <v>334</v>
      </c>
      <c r="I2334" t="s">
        <v>17</v>
      </c>
      <c r="J2334" t="s">
        <v>13</v>
      </c>
      <c r="K2334" t="s">
        <v>28</v>
      </c>
      <c r="L2334" t="s">
        <v>295</v>
      </c>
      <c r="M2334" t="s">
        <v>296</v>
      </c>
      <c r="N2334">
        <v>2.9000000000000001E-2</v>
      </c>
      <c r="O2334" t="str">
        <f>IF(Transactions_RAW_cleaned[[#This Row],[Status]]="Completed", IFERROR(_xlfn.XLOOKUP(Transactions_RAW_cleaned[[#This Row],[CustomerID]], Customers_cleaned[CustomerID], Customers_cleaned[Segment]), "Customer Not Found"), "N/A")</f>
        <v>Enterprise</v>
      </c>
      <c r="P2334" s="5" t="str">
        <f>IF(Transactions_RAW_cleaned[[#This Row],[Status]]="Refunded", "Refund",
  IF(Transactions_RAW_cleaned[[#This Row],[Category]]="Payments", IF(Transactions_RAW_cleaned[[#This Row],[Amount]]&gt;500,"High Value","Standard"),
    IF(Transactions_RAW_cleaned[[#This Row],[Amount]]&gt;250,"High Value","Standard")))</f>
        <v>Standard</v>
      </c>
      <c r="Q2334" s="5" t="str">
        <f>IF(Transactions_RAW_cleaned[[#This Row],[Amount]] &gt; (_xlfn.XLOOKUP(Transactions_RAW_cleaned[[#This Row],[ServiceID]],Services_cleaned[ServiceID],Services_cleaned[TransactionFeePct]) * 10000), "Yes", "No")</f>
        <v>Yes</v>
      </c>
      <c r="R2334" s="5" t="str">
        <f>IF(COUNTIFS($C$2:Transactions_RAW_cleaned[[#This Row],[CustomerID]],Transactions_RAW_cleaned[[#This Row],[CustomerID]],$D$2:Transactions_RAW_cleaned[[#This Row],[ServiceID]],Transactions_RAW_cleaned[[#This Row],[ServiceID]])=1,"Yes","No")</f>
        <v>No</v>
      </c>
      <c r="S233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34" t="str">
        <f>"Q"&amp;ROUNDUP(MONTH(Transactions_RAW_cleaned[[#This Row],[TransactionDate]])/3,0)</f>
        <v>Q4</v>
      </c>
      <c r="U2334" t="str">
        <f>Transactions_RAW_cleaned[[#This Row],[Region ]]&amp;Transactions_RAW_cleaned[[#This Row],[Quarter ]]</f>
        <v>NAQ4</v>
      </c>
      <c r="V2334" s="5">
        <f>_xlfn.XLOOKUP(Transactions_RAW_cleaned[[#This Row],[RegionQuarterKey]], Quarterly_Targets_cleaned[RegionQuarterKey], Quarterly_Targets_cleaned[TargetRevenue])</f>
        <v>299000</v>
      </c>
    </row>
    <row r="2335" spans="1:22" x14ac:dyDescent="0.25">
      <c r="A2335" t="s">
        <v>2672</v>
      </c>
      <c r="B2335" s="1">
        <v>45634</v>
      </c>
      <c r="C2335" t="s">
        <v>55</v>
      </c>
      <c r="D2335" t="s">
        <v>297</v>
      </c>
      <c r="E2335">
        <v>242.01</v>
      </c>
      <c r="F2335" t="s">
        <v>324</v>
      </c>
      <c r="G2335" t="s">
        <v>325</v>
      </c>
      <c r="H2335" t="s">
        <v>332</v>
      </c>
      <c r="I2335" t="s">
        <v>57</v>
      </c>
      <c r="J2335" t="s">
        <v>31</v>
      </c>
      <c r="K2335" t="s">
        <v>22</v>
      </c>
      <c r="L2335" t="s">
        <v>298</v>
      </c>
      <c r="M2335" t="s">
        <v>299</v>
      </c>
      <c r="N2335">
        <v>0</v>
      </c>
      <c r="O2335" t="str">
        <f>IF(Transactions_RAW_cleaned[[#This Row],[Status]]="Completed", IFERROR(_xlfn.XLOOKUP(Transactions_RAW_cleaned[[#This Row],[CustomerID]], Customers_cleaned[CustomerID], Customers_cleaned[Segment]), "Customer Not Found"), "N/A")</f>
        <v>Startup</v>
      </c>
      <c r="P2335" s="5" t="str">
        <f>IF(Transactions_RAW_cleaned[[#This Row],[Status]]="Refunded", "Refund",
  IF(Transactions_RAW_cleaned[[#This Row],[Category]]="Payments", IF(Transactions_RAW_cleaned[[#This Row],[Amount]]&gt;500,"High Value","Standard"),
    IF(Transactions_RAW_cleaned[[#This Row],[Amount]]&gt;250,"High Value","Standard")))</f>
        <v>Standard</v>
      </c>
      <c r="Q2335" s="5" t="str">
        <f>IF(Transactions_RAW_cleaned[[#This Row],[Amount]] &gt; (_xlfn.XLOOKUP(Transactions_RAW_cleaned[[#This Row],[ServiceID]],Services_cleaned[ServiceID],Services_cleaned[TransactionFeePct]) * 10000), "Yes", "No")</f>
        <v>Yes</v>
      </c>
      <c r="R2335" s="5" t="str">
        <f>IF(COUNTIFS($C$2:Transactions_RAW_cleaned[[#This Row],[CustomerID]],Transactions_RAW_cleaned[[#This Row],[CustomerID]],$D$2:Transactions_RAW_cleaned[[#This Row],[ServiceID]],Transactions_RAW_cleaned[[#This Row],[ServiceID]])=1,"Yes","No")</f>
        <v>No</v>
      </c>
      <c r="S233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35" t="str">
        <f>"Q"&amp;ROUNDUP(MONTH(Transactions_RAW_cleaned[[#This Row],[TransactionDate]])/3,0)</f>
        <v>Q4</v>
      </c>
      <c r="U2335" t="str">
        <f>Transactions_RAW_cleaned[[#This Row],[Region ]]&amp;Transactions_RAW_cleaned[[#This Row],[Quarter ]]</f>
        <v>EMEAQ4</v>
      </c>
      <c r="V2335" s="5">
        <f>_xlfn.XLOOKUP(Transactions_RAW_cleaned[[#This Row],[RegionQuarterKey]], Quarterly_Targets_cleaned[RegionQuarterKey], Quarterly_Targets_cleaned[TargetRevenue])</f>
        <v>161000</v>
      </c>
    </row>
    <row r="2336" spans="1:22" x14ac:dyDescent="0.25">
      <c r="A2336" t="s">
        <v>2673</v>
      </c>
      <c r="B2336" s="1">
        <v>45328</v>
      </c>
      <c r="C2336" t="s">
        <v>84</v>
      </c>
      <c r="D2336" t="s">
        <v>294</v>
      </c>
      <c r="E2336">
        <v>236.84</v>
      </c>
      <c r="F2336" t="s">
        <v>324</v>
      </c>
      <c r="G2336" t="s">
        <v>337</v>
      </c>
      <c r="H2336" t="s">
        <v>334</v>
      </c>
      <c r="I2336" t="s">
        <v>8</v>
      </c>
      <c r="J2336" t="s">
        <v>46</v>
      </c>
      <c r="K2336" t="s">
        <v>28</v>
      </c>
      <c r="L2336" t="s">
        <v>295</v>
      </c>
      <c r="M2336" t="s">
        <v>296</v>
      </c>
      <c r="N2336">
        <v>2.9000000000000001E-2</v>
      </c>
      <c r="O2336" t="str">
        <f>IF(Transactions_RAW_cleaned[[#This Row],[Status]]="Completed", IFERROR(_xlfn.XLOOKUP(Transactions_RAW_cleaned[[#This Row],[CustomerID]], Customers_cleaned[CustomerID], Customers_cleaned[Segment]), "Customer Not Found"), "N/A")</f>
        <v>SMB</v>
      </c>
      <c r="P2336" s="5" t="str">
        <f>IF(Transactions_RAW_cleaned[[#This Row],[Status]]="Refunded", "Refund",
  IF(Transactions_RAW_cleaned[[#This Row],[Category]]="Payments", IF(Transactions_RAW_cleaned[[#This Row],[Amount]]&gt;500,"High Value","Standard"),
    IF(Transactions_RAW_cleaned[[#This Row],[Amount]]&gt;250,"High Value","Standard")))</f>
        <v>Standard</v>
      </c>
      <c r="Q2336" s="5" t="str">
        <f>IF(Transactions_RAW_cleaned[[#This Row],[Amount]] &gt; (_xlfn.XLOOKUP(Transactions_RAW_cleaned[[#This Row],[ServiceID]],Services_cleaned[ServiceID],Services_cleaned[TransactionFeePct]) * 10000), "Yes", "No")</f>
        <v>No</v>
      </c>
      <c r="R2336" s="5" t="str">
        <f>IF(COUNTIFS($C$2:Transactions_RAW_cleaned[[#This Row],[CustomerID]],Transactions_RAW_cleaned[[#This Row],[CustomerID]],$D$2:Transactions_RAW_cleaned[[#This Row],[ServiceID]],Transactions_RAW_cleaned[[#This Row],[ServiceID]])=1,"Yes","No")</f>
        <v>No</v>
      </c>
      <c r="S233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36" t="str">
        <f>"Q"&amp;ROUNDUP(MONTH(Transactions_RAW_cleaned[[#This Row],[TransactionDate]])/3,0)</f>
        <v>Q1</v>
      </c>
      <c r="U2336" t="str">
        <f>Transactions_RAW_cleaned[[#This Row],[Region ]]&amp;Transactions_RAW_cleaned[[#This Row],[Quarter ]]</f>
        <v>APACQ1</v>
      </c>
      <c r="V2336" s="5">
        <f>_xlfn.XLOOKUP(Transactions_RAW_cleaned[[#This Row],[RegionQuarterKey]], Quarterly_Targets_cleaned[RegionQuarterKey], Quarterly_Targets_cleaned[TargetRevenue])</f>
        <v>104500</v>
      </c>
    </row>
    <row r="2337" spans="1:22" x14ac:dyDescent="0.25">
      <c r="A2337" t="s">
        <v>2674</v>
      </c>
      <c r="B2337" s="1">
        <v>45378</v>
      </c>
      <c r="C2337" t="s">
        <v>133</v>
      </c>
      <c r="D2337" t="s">
        <v>297</v>
      </c>
      <c r="E2337">
        <v>70.52</v>
      </c>
      <c r="F2337" t="s">
        <v>324</v>
      </c>
      <c r="G2337" t="s">
        <v>327</v>
      </c>
      <c r="I2337" t="s">
        <v>17</v>
      </c>
      <c r="J2337" t="s">
        <v>102</v>
      </c>
      <c r="K2337" t="s">
        <v>22</v>
      </c>
      <c r="L2337" t="s">
        <v>298</v>
      </c>
      <c r="M2337" t="s">
        <v>299</v>
      </c>
      <c r="N2337">
        <v>0</v>
      </c>
      <c r="O2337" t="str">
        <f>IF(Transactions_RAW_cleaned[[#This Row],[Status]]="Completed", IFERROR(_xlfn.XLOOKUP(Transactions_RAW_cleaned[[#This Row],[CustomerID]], Customers_cleaned[CustomerID], Customers_cleaned[Segment]), "Customer Not Found"), "N/A")</f>
        <v>Enterprise</v>
      </c>
      <c r="P2337" s="5" t="str">
        <f>IF(Transactions_RAW_cleaned[[#This Row],[Status]]="Refunded", "Refund",
  IF(Transactions_RAW_cleaned[[#This Row],[Category]]="Payments", IF(Transactions_RAW_cleaned[[#This Row],[Amount]]&gt;500,"High Value","Standard"),
    IF(Transactions_RAW_cleaned[[#This Row],[Amount]]&gt;250,"High Value","Standard")))</f>
        <v>Standard</v>
      </c>
      <c r="Q2337" s="5" t="str">
        <f>IF(Transactions_RAW_cleaned[[#This Row],[Amount]] &gt; (_xlfn.XLOOKUP(Transactions_RAW_cleaned[[#This Row],[ServiceID]],Services_cleaned[ServiceID],Services_cleaned[TransactionFeePct]) * 10000), "Yes", "No")</f>
        <v>Yes</v>
      </c>
      <c r="R2337" s="5" t="str">
        <f>IF(COUNTIFS($C$2:Transactions_RAW_cleaned[[#This Row],[CustomerID]],Transactions_RAW_cleaned[[#This Row],[CustomerID]],$D$2:Transactions_RAW_cleaned[[#This Row],[ServiceID]],Transactions_RAW_cleaned[[#This Row],[ServiceID]])=1,"Yes","No")</f>
        <v>No</v>
      </c>
      <c r="S233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37" t="str">
        <f>"Q"&amp;ROUNDUP(MONTH(Transactions_RAW_cleaned[[#This Row],[TransactionDate]])/3,0)</f>
        <v>Q1</v>
      </c>
      <c r="U2337" t="str">
        <f>Transactions_RAW_cleaned[[#This Row],[Region ]]&amp;Transactions_RAW_cleaned[[#This Row],[Quarter ]]</f>
        <v>NAQ1</v>
      </c>
      <c r="V2337" s="5">
        <f>_xlfn.XLOOKUP(Transactions_RAW_cleaned[[#This Row],[RegionQuarterKey]], Quarterly_Targets_cleaned[RegionQuarterKey], Quarterly_Targets_cleaned[TargetRevenue])</f>
        <v>247000</v>
      </c>
    </row>
    <row r="2338" spans="1:22" x14ac:dyDescent="0.25">
      <c r="A2338" t="s">
        <v>2675</v>
      </c>
      <c r="B2338" s="1">
        <v>45383</v>
      </c>
      <c r="C2338" t="s">
        <v>76</v>
      </c>
      <c r="D2338" t="s">
        <v>303</v>
      </c>
      <c r="E2338">
        <v>489.56</v>
      </c>
      <c r="F2338" t="s">
        <v>381</v>
      </c>
      <c r="G2338" t="s">
        <v>2963</v>
      </c>
      <c r="H2338" t="s">
        <v>346</v>
      </c>
      <c r="I2338" t="s">
        <v>17</v>
      </c>
      <c r="J2338" t="s">
        <v>13</v>
      </c>
      <c r="K2338" t="s">
        <v>18</v>
      </c>
      <c r="L2338" t="s">
        <v>304</v>
      </c>
      <c r="M2338" t="s">
        <v>305</v>
      </c>
      <c r="N2338">
        <v>1E-3</v>
      </c>
      <c r="O2338" t="str">
        <f>IF(Transactions_RAW_cleaned[[#This Row],[Status]]="Completed", IFERROR(_xlfn.XLOOKUP(Transactions_RAW_cleaned[[#This Row],[CustomerID]], Customers_cleaned[CustomerID], Customers_cleaned[Segment]), "Customer Not Found"), "N/A")</f>
        <v>N/A</v>
      </c>
      <c r="P2338" s="5" t="str">
        <f>IF(Transactions_RAW_cleaned[[#This Row],[Status]]="Refunded", "Refund",
  IF(Transactions_RAW_cleaned[[#This Row],[Category]]="Payments", IF(Transactions_RAW_cleaned[[#This Row],[Amount]]&gt;500,"High Value","Standard"),
    IF(Transactions_RAW_cleaned[[#This Row],[Amount]]&gt;250,"High Value","Standard")))</f>
        <v>High Value</v>
      </c>
      <c r="Q2338" s="5" t="str">
        <f>IF(Transactions_RAW_cleaned[[#This Row],[Amount]] &gt; (_xlfn.XLOOKUP(Transactions_RAW_cleaned[[#This Row],[ServiceID]],Services_cleaned[ServiceID],Services_cleaned[TransactionFeePct]) * 10000), "Yes", "No")</f>
        <v>Yes</v>
      </c>
      <c r="R2338" s="5" t="str">
        <f>IF(COUNTIFS($C$2:Transactions_RAW_cleaned[[#This Row],[CustomerID]],Transactions_RAW_cleaned[[#This Row],[CustomerID]],$D$2:Transactions_RAW_cleaned[[#This Row],[ServiceID]],Transactions_RAW_cleaned[[#This Row],[ServiceID]])=1,"Yes","No")</f>
        <v>No</v>
      </c>
      <c r="S233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38" t="str">
        <f>"Q"&amp;ROUNDUP(MONTH(Transactions_RAW_cleaned[[#This Row],[TransactionDate]])/3,0)</f>
        <v>Q2</v>
      </c>
      <c r="U2338" t="str">
        <f>Transactions_RAW_cleaned[[#This Row],[Region ]]&amp;Transactions_RAW_cleaned[[#This Row],[Quarter ]]</f>
        <v>NAQ2</v>
      </c>
      <c r="V2338" s="5">
        <f>_xlfn.XLOOKUP(Transactions_RAW_cleaned[[#This Row],[RegionQuarterKey]], Quarterly_Targets_cleaned[RegionQuarterKey], Quarterly_Targets_cleaned[TargetRevenue])</f>
        <v>260000</v>
      </c>
    </row>
    <row r="2339" spans="1:22" x14ac:dyDescent="0.25">
      <c r="A2339" t="s">
        <v>2676</v>
      </c>
      <c r="B2339" s="1">
        <v>45649</v>
      </c>
      <c r="C2339" t="s">
        <v>207</v>
      </c>
      <c r="D2339" t="s">
        <v>312</v>
      </c>
      <c r="E2339">
        <v>313.60000000000002</v>
      </c>
      <c r="F2339" t="s">
        <v>324</v>
      </c>
      <c r="G2339" t="s">
        <v>337</v>
      </c>
      <c r="H2339" t="s">
        <v>346</v>
      </c>
      <c r="I2339" t="s">
        <v>8</v>
      </c>
      <c r="J2339" t="s">
        <v>102</v>
      </c>
      <c r="K2339" t="s">
        <v>28</v>
      </c>
      <c r="L2339" t="s">
        <v>313</v>
      </c>
      <c r="M2339" t="s">
        <v>314</v>
      </c>
      <c r="N2339">
        <v>0</v>
      </c>
      <c r="O2339" t="str">
        <f>IF(Transactions_RAW_cleaned[[#This Row],[Status]]="Completed", IFERROR(_xlfn.XLOOKUP(Transactions_RAW_cleaned[[#This Row],[CustomerID]], Customers_cleaned[CustomerID], Customers_cleaned[Segment]), "Customer Not Found"), "N/A")</f>
        <v>SMB</v>
      </c>
      <c r="P2339" s="5" t="str">
        <f>IF(Transactions_RAW_cleaned[[#This Row],[Status]]="Refunded", "Refund",
  IF(Transactions_RAW_cleaned[[#This Row],[Category]]="Payments", IF(Transactions_RAW_cleaned[[#This Row],[Amount]]&gt;500,"High Value","Standard"),
    IF(Transactions_RAW_cleaned[[#This Row],[Amount]]&gt;250,"High Value","Standard")))</f>
        <v>High Value</v>
      </c>
      <c r="Q2339" s="5" t="str">
        <f>IF(Transactions_RAW_cleaned[[#This Row],[Amount]] &gt; (_xlfn.XLOOKUP(Transactions_RAW_cleaned[[#This Row],[ServiceID]],Services_cleaned[ServiceID],Services_cleaned[TransactionFeePct]) * 10000), "Yes", "No")</f>
        <v>Yes</v>
      </c>
      <c r="R2339" s="5" t="str">
        <f>IF(COUNTIFS($C$2:Transactions_RAW_cleaned[[#This Row],[CustomerID]],Transactions_RAW_cleaned[[#This Row],[CustomerID]],$D$2:Transactions_RAW_cleaned[[#This Row],[ServiceID]],Transactions_RAW_cleaned[[#This Row],[ServiceID]])=1,"Yes","No")</f>
        <v>Yes</v>
      </c>
      <c r="S233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39" t="str">
        <f>"Q"&amp;ROUNDUP(MONTH(Transactions_RAW_cleaned[[#This Row],[TransactionDate]])/3,0)</f>
        <v>Q4</v>
      </c>
      <c r="U2339" t="str">
        <f>Transactions_RAW_cleaned[[#This Row],[Region ]]&amp;Transactions_RAW_cleaned[[#This Row],[Quarter ]]</f>
        <v>NAQ4</v>
      </c>
      <c r="V2339" s="5">
        <f>_xlfn.XLOOKUP(Transactions_RAW_cleaned[[#This Row],[RegionQuarterKey]], Quarterly_Targets_cleaned[RegionQuarterKey], Quarterly_Targets_cleaned[TargetRevenue])</f>
        <v>299000</v>
      </c>
    </row>
    <row r="2340" spans="1:22" x14ac:dyDescent="0.25">
      <c r="A2340" t="s">
        <v>2677</v>
      </c>
      <c r="B2340" s="1">
        <v>45535</v>
      </c>
      <c r="C2340" t="s">
        <v>129</v>
      </c>
      <c r="D2340" t="s">
        <v>306</v>
      </c>
      <c r="E2340">
        <v>609.63</v>
      </c>
      <c r="F2340" t="s">
        <v>324</v>
      </c>
      <c r="G2340" t="s">
        <v>337</v>
      </c>
      <c r="I2340" t="s">
        <v>8</v>
      </c>
      <c r="J2340" t="s">
        <v>21</v>
      </c>
      <c r="K2340" t="s">
        <v>18</v>
      </c>
      <c r="L2340" t="s">
        <v>307</v>
      </c>
      <c r="M2340" t="s">
        <v>308</v>
      </c>
      <c r="N2340">
        <v>0</v>
      </c>
      <c r="O2340" t="str">
        <f>IF(Transactions_RAW_cleaned[[#This Row],[Status]]="Completed", IFERROR(_xlfn.XLOOKUP(Transactions_RAW_cleaned[[#This Row],[CustomerID]], Customers_cleaned[CustomerID], Customers_cleaned[Segment]), "Customer Not Found"), "N/A")</f>
        <v>SMB</v>
      </c>
      <c r="P2340" s="5" t="str">
        <f>IF(Transactions_RAW_cleaned[[#This Row],[Status]]="Refunded", "Refund",
  IF(Transactions_RAW_cleaned[[#This Row],[Category]]="Payments", IF(Transactions_RAW_cleaned[[#This Row],[Amount]]&gt;500,"High Value","Standard"),
    IF(Transactions_RAW_cleaned[[#This Row],[Amount]]&gt;250,"High Value","Standard")))</f>
        <v>High Value</v>
      </c>
      <c r="Q2340" s="5" t="str">
        <f>IF(Transactions_RAW_cleaned[[#This Row],[Amount]] &gt; (_xlfn.XLOOKUP(Transactions_RAW_cleaned[[#This Row],[ServiceID]],Services_cleaned[ServiceID],Services_cleaned[TransactionFeePct]) * 10000), "Yes", "No")</f>
        <v>Yes</v>
      </c>
      <c r="R2340" s="5" t="str">
        <f>IF(COUNTIFS($C$2:Transactions_RAW_cleaned[[#This Row],[CustomerID]],Transactions_RAW_cleaned[[#This Row],[CustomerID]],$D$2:Transactions_RAW_cleaned[[#This Row],[ServiceID]],Transactions_RAW_cleaned[[#This Row],[ServiceID]])=1,"Yes","No")</f>
        <v>Yes</v>
      </c>
      <c r="S234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40" t="str">
        <f>"Q"&amp;ROUNDUP(MONTH(Transactions_RAW_cleaned[[#This Row],[TransactionDate]])/3,0)</f>
        <v>Q3</v>
      </c>
      <c r="U2340" t="str">
        <f>Transactions_RAW_cleaned[[#This Row],[Region ]]&amp;Transactions_RAW_cleaned[[#This Row],[Quarter ]]</f>
        <v>APACQ3</v>
      </c>
      <c r="V2340" s="5">
        <f>_xlfn.XLOOKUP(Transactions_RAW_cleaned[[#This Row],[RegionQuarterKey]], Quarterly_Targets_cleaned[RegionQuarterKey], Quarterly_Targets_cleaned[TargetRevenue])</f>
        <v>115500</v>
      </c>
    </row>
    <row r="2341" spans="1:22" x14ac:dyDescent="0.25">
      <c r="A2341" t="s">
        <v>2678</v>
      </c>
      <c r="B2341" s="1">
        <v>45307</v>
      </c>
      <c r="C2341" t="s">
        <v>249</v>
      </c>
      <c r="D2341" t="s">
        <v>312</v>
      </c>
      <c r="E2341">
        <v>504.19</v>
      </c>
      <c r="F2341" t="s">
        <v>324</v>
      </c>
      <c r="G2341" t="s">
        <v>325</v>
      </c>
      <c r="H2341" t="s">
        <v>334</v>
      </c>
      <c r="I2341" t="s">
        <v>57</v>
      </c>
      <c r="J2341" t="s">
        <v>21</v>
      </c>
      <c r="K2341" t="s">
        <v>14</v>
      </c>
      <c r="L2341" t="s">
        <v>313</v>
      </c>
      <c r="M2341" t="s">
        <v>314</v>
      </c>
      <c r="N2341">
        <v>0</v>
      </c>
      <c r="O2341" t="str">
        <f>IF(Transactions_RAW_cleaned[[#This Row],[Status]]="Completed", IFERROR(_xlfn.XLOOKUP(Transactions_RAW_cleaned[[#This Row],[CustomerID]], Customers_cleaned[CustomerID], Customers_cleaned[Segment]), "Customer Not Found"), "N/A")</f>
        <v>Startup</v>
      </c>
      <c r="P2341" s="5" t="str">
        <f>IF(Transactions_RAW_cleaned[[#This Row],[Status]]="Refunded", "Refund",
  IF(Transactions_RAW_cleaned[[#This Row],[Category]]="Payments", IF(Transactions_RAW_cleaned[[#This Row],[Amount]]&gt;500,"High Value","Standard"),
    IF(Transactions_RAW_cleaned[[#This Row],[Amount]]&gt;250,"High Value","Standard")))</f>
        <v>High Value</v>
      </c>
      <c r="Q2341" s="5" t="str">
        <f>IF(Transactions_RAW_cleaned[[#This Row],[Amount]] &gt; (_xlfn.XLOOKUP(Transactions_RAW_cleaned[[#This Row],[ServiceID]],Services_cleaned[ServiceID],Services_cleaned[TransactionFeePct]) * 10000), "Yes", "No")</f>
        <v>Yes</v>
      </c>
      <c r="R2341" s="5" t="str">
        <f>IF(COUNTIFS($C$2:Transactions_RAW_cleaned[[#This Row],[CustomerID]],Transactions_RAW_cleaned[[#This Row],[CustomerID]],$D$2:Transactions_RAW_cleaned[[#This Row],[ServiceID]],Transactions_RAW_cleaned[[#This Row],[ServiceID]])=1,"Yes","No")</f>
        <v>No</v>
      </c>
      <c r="S234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41" t="str">
        <f>"Q"&amp;ROUNDUP(MONTH(Transactions_RAW_cleaned[[#This Row],[TransactionDate]])/3,0)</f>
        <v>Q1</v>
      </c>
      <c r="U2341" t="str">
        <f>Transactions_RAW_cleaned[[#This Row],[Region ]]&amp;Transactions_RAW_cleaned[[#This Row],[Quarter ]]</f>
        <v>APACQ1</v>
      </c>
      <c r="V2341" s="5">
        <f>_xlfn.XLOOKUP(Transactions_RAW_cleaned[[#This Row],[RegionQuarterKey]], Quarterly_Targets_cleaned[RegionQuarterKey], Quarterly_Targets_cleaned[TargetRevenue])</f>
        <v>104500</v>
      </c>
    </row>
    <row r="2342" spans="1:22" x14ac:dyDescent="0.25">
      <c r="A2342" t="s">
        <v>2679</v>
      </c>
      <c r="B2342" s="1">
        <v>45445</v>
      </c>
      <c r="C2342" t="s">
        <v>68</v>
      </c>
      <c r="D2342" t="s">
        <v>303</v>
      </c>
      <c r="E2342">
        <v>179.86</v>
      </c>
      <c r="F2342" t="s">
        <v>324</v>
      </c>
      <c r="G2342" t="s">
        <v>327</v>
      </c>
      <c r="I2342" t="s">
        <v>57</v>
      </c>
      <c r="J2342" t="s">
        <v>13</v>
      </c>
      <c r="K2342" t="s">
        <v>10</v>
      </c>
      <c r="L2342" t="s">
        <v>304</v>
      </c>
      <c r="M2342" t="s">
        <v>305</v>
      </c>
      <c r="N2342">
        <v>1E-3</v>
      </c>
      <c r="O2342" t="str">
        <f>IF(Transactions_RAW_cleaned[[#This Row],[Status]]="Completed", IFERROR(_xlfn.XLOOKUP(Transactions_RAW_cleaned[[#This Row],[CustomerID]], Customers_cleaned[CustomerID], Customers_cleaned[Segment]), "Customer Not Found"), "N/A")</f>
        <v>Startup</v>
      </c>
      <c r="P2342" s="5" t="str">
        <f>IF(Transactions_RAW_cleaned[[#This Row],[Status]]="Refunded", "Refund",
  IF(Transactions_RAW_cleaned[[#This Row],[Category]]="Payments", IF(Transactions_RAW_cleaned[[#This Row],[Amount]]&gt;500,"High Value","Standard"),
    IF(Transactions_RAW_cleaned[[#This Row],[Amount]]&gt;250,"High Value","Standard")))</f>
        <v>Standard</v>
      </c>
      <c r="Q2342" s="5" t="str">
        <f>IF(Transactions_RAW_cleaned[[#This Row],[Amount]] &gt; (_xlfn.XLOOKUP(Transactions_RAW_cleaned[[#This Row],[ServiceID]],Services_cleaned[ServiceID],Services_cleaned[TransactionFeePct]) * 10000), "Yes", "No")</f>
        <v>Yes</v>
      </c>
      <c r="R2342" s="5" t="str">
        <f>IF(COUNTIFS($C$2:Transactions_RAW_cleaned[[#This Row],[CustomerID]],Transactions_RAW_cleaned[[#This Row],[CustomerID]],$D$2:Transactions_RAW_cleaned[[#This Row],[ServiceID]],Transactions_RAW_cleaned[[#This Row],[ServiceID]])=1,"Yes","No")</f>
        <v>No</v>
      </c>
      <c r="S234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42" t="str">
        <f>"Q"&amp;ROUNDUP(MONTH(Transactions_RAW_cleaned[[#This Row],[TransactionDate]])/3,0)</f>
        <v>Q2</v>
      </c>
      <c r="U2342" t="str">
        <f>Transactions_RAW_cleaned[[#This Row],[Region ]]&amp;Transactions_RAW_cleaned[[#This Row],[Quarter ]]</f>
        <v>NAQ2</v>
      </c>
      <c r="V2342" s="5">
        <f>_xlfn.XLOOKUP(Transactions_RAW_cleaned[[#This Row],[RegionQuarterKey]], Quarterly_Targets_cleaned[RegionQuarterKey], Quarterly_Targets_cleaned[TargetRevenue])</f>
        <v>260000</v>
      </c>
    </row>
    <row r="2343" spans="1:22" x14ac:dyDescent="0.25">
      <c r="A2343" t="s">
        <v>2680</v>
      </c>
      <c r="B2343" s="1">
        <v>45305</v>
      </c>
      <c r="C2343" t="s">
        <v>119</v>
      </c>
      <c r="D2343" t="s">
        <v>294</v>
      </c>
      <c r="E2343">
        <v>57.25</v>
      </c>
      <c r="F2343" t="s">
        <v>324</v>
      </c>
      <c r="G2343" t="s">
        <v>327</v>
      </c>
      <c r="I2343" t="s">
        <v>57</v>
      </c>
      <c r="J2343" t="s">
        <v>102</v>
      </c>
      <c r="K2343" t="s">
        <v>18</v>
      </c>
      <c r="L2343" t="s">
        <v>295</v>
      </c>
      <c r="M2343" t="s">
        <v>296</v>
      </c>
      <c r="N2343">
        <v>2.9000000000000001E-2</v>
      </c>
      <c r="O2343" t="str">
        <f>IF(Transactions_RAW_cleaned[[#This Row],[Status]]="Completed", IFERROR(_xlfn.XLOOKUP(Transactions_RAW_cleaned[[#This Row],[CustomerID]], Customers_cleaned[CustomerID], Customers_cleaned[Segment]), "Customer Not Found"), "N/A")</f>
        <v>Startup</v>
      </c>
      <c r="P2343" s="5" t="str">
        <f>IF(Transactions_RAW_cleaned[[#This Row],[Status]]="Refunded", "Refund",
  IF(Transactions_RAW_cleaned[[#This Row],[Category]]="Payments", IF(Transactions_RAW_cleaned[[#This Row],[Amount]]&gt;500,"High Value","Standard"),
    IF(Transactions_RAW_cleaned[[#This Row],[Amount]]&gt;250,"High Value","Standard")))</f>
        <v>Standard</v>
      </c>
      <c r="Q2343" s="5" t="str">
        <f>IF(Transactions_RAW_cleaned[[#This Row],[Amount]] &gt; (_xlfn.XLOOKUP(Transactions_RAW_cleaned[[#This Row],[ServiceID]],Services_cleaned[ServiceID],Services_cleaned[TransactionFeePct]) * 10000), "Yes", "No")</f>
        <v>No</v>
      </c>
      <c r="R2343" s="5" t="str">
        <f>IF(COUNTIFS($C$2:Transactions_RAW_cleaned[[#This Row],[CustomerID]],Transactions_RAW_cleaned[[#This Row],[CustomerID]],$D$2:Transactions_RAW_cleaned[[#This Row],[ServiceID]],Transactions_RAW_cleaned[[#This Row],[ServiceID]])=1,"Yes","No")</f>
        <v>No</v>
      </c>
      <c r="S234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43" t="str">
        <f>"Q"&amp;ROUNDUP(MONTH(Transactions_RAW_cleaned[[#This Row],[TransactionDate]])/3,0)</f>
        <v>Q1</v>
      </c>
      <c r="U2343" t="str">
        <f>Transactions_RAW_cleaned[[#This Row],[Region ]]&amp;Transactions_RAW_cleaned[[#This Row],[Quarter ]]</f>
        <v>NAQ1</v>
      </c>
      <c r="V2343" s="5">
        <f>_xlfn.XLOOKUP(Transactions_RAW_cleaned[[#This Row],[RegionQuarterKey]], Quarterly_Targets_cleaned[RegionQuarterKey], Quarterly_Targets_cleaned[TargetRevenue])</f>
        <v>247000</v>
      </c>
    </row>
    <row r="2344" spans="1:22" x14ac:dyDescent="0.25">
      <c r="A2344" t="s">
        <v>2681</v>
      </c>
      <c r="B2344" s="1">
        <v>45559</v>
      </c>
      <c r="C2344" t="s">
        <v>235</v>
      </c>
      <c r="D2344" t="s">
        <v>309</v>
      </c>
      <c r="E2344">
        <v>468.98</v>
      </c>
      <c r="F2344" t="s">
        <v>324</v>
      </c>
      <c r="G2344" t="s">
        <v>325</v>
      </c>
      <c r="I2344" t="s">
        <v>57</v>
      </c>
      <c r="J2344" t="s">
        <v>21</v>
      </c>
      <c r="K2344" t="s">
        <v>22</v>
      </c>
      <c r="L2344" t="s">
        <v>310</v>
      </c>
      <c r="M2344" t="s">
        <v>311</v>
      </c>
      <c r="N2344">
        <v>0</v>
      </c>
      <c r="O2344" t="str">
        <f>IF(Transactions_RAW_cleaned[[#This Row],[Status]]="Completed", IFERROR(_xlfn.XLOOKUP(Transactions_RAW_cleaned[[#This Row],[CustomerID]], Customers_cleaned[CustomerID], Customers_cleaned[Segment]), "Customer Not Found"), "N/A")</f>
        <v>Startup</v>
      </c>
      <c r="P2344" s="5" t="str">
        <f>IF(Transactions_RAW_cleaned[[#This Row],[Status]]="Refunded", "Refund",
  IF(Transactions_RAW_cleaned[[#This Row],[Category]]="Payments", IF(Transactions_RAW_cleaned[[#This Row],[Amount]]&gt;500,"High Value","Standard"),
    IF(Transactions_RAW_cleaned[[#This Row],[Amount]]&gt;250,"High Value","Standard")))</f>
        <v>High Value</v>
      </c>
      <c r="Q2344" s="5" t="str">
        <f>IF(Transactions_RAW_cleaned[[#This Row],[Amount]] &gt; (_xlfn.XLOOKUP(Transactions_RAW_cleaned[[#This Row],[ServiceID]],Services_cleaned[ServiceID],Services_cleaned[TransactionFeePct]) * 10000), "Yes", "No")</f>
        <v>Yes</v>
      </c>
      <c r="R2344" s="5" t="str">
        <f>IF(COUNTIFS($C$2:Transactions_RAW_cleaned[[#This Row],[CustomerID]],Transactions_RAW_cleaned[[#This Row],[CustomerID]],$D$2:Transactions_RAW_cleaned[[#This Row],[ServiceID]],Transactions_RAW_cleaned[[#This Row],[ServiceID]])=1,"Yes","No")</f>
        <v>No</v>
      </c>
      <c r="S234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44" t="str">
        <f>"Q"&amp;ROUNDUP(MONTH(Transactions_RAW_cleaned[[#This Row],[TransactionDate]])/3,0)</f>
        <v>Q3</v>
      </c>
      <c r="U2344" t="str">
        <f>Transactions_RAW_cleaned[[#This Row],[Region ]]&amp;Transactions_RAW_cleaned[[#This Row],[Quarter ]]</f>
        <v>APACQ3</v>
      </c>
      <c r="V2344" s="5">
        <f>_xlfn.XLOOKUP(Transactions_RAW_cleaned[[#This Row],[RegionQuarterKey]], Quarterly_Targets_cleaned[RegionQuarterKey], Quarterly_Targets_cleaned[TargetRevenue])</f>
        <v>115500</v>
      </c>
    </row>
    <row r="2345" spans="1:22" x14ac:dyDescent="0.25">
      <c r="A2345" t="s">
        <v>2682</v>
      </c>
      <c r="B2345" s="1">
        <v>45449</v>
      </c>
      <c r="C2345" t="s">
        <v>265</v>
      </c>
      <c r="D2345" t="s">
        <v>294</v>
      </c>
      <c r="E2345">
        <v>105.87</v>
      </c>
      <c r="F2345" t="s">
        <v>324</v>
      </c>
      <c r="G2345" t="s">
        <v>327</v>
      </c>
      <c r="I2345" t="s">
        <v>8</v>
      </c>
      <c r="J2345" t="s">
        <v>102</v>
      </c>
      <c r="K2345" t="s">
        <v>32</v>
      </c>
      <c r="L2345" t="s">
        <v>295</v>
      </c>
      <c r="M2345" t="s">
        <v>296</v>
      </c>
      <c r="N2345">
        <v>2.9000000000000001E-2</v>
      </c>
      <c r="O2345" t="str">
        <f>IF(Transactions_RAW_cleaned[[#This Row],[Status]]="Completed", IFERROR(_xlfn.XLOOKUP(Transactions_RAW_cleaned[[#This Row],[CustomerID]], Customers_cleaned[CustomerID], Customers_cleaned[Segment]), "Customer Not Found"), "N/A")</f>
        <v>SMB</v>
      </c>
      <c r="P2345" s="5" t="str">
        <f>IF(Transactions_RAW_cleaned[[#This Row],[Status]]="Refunded", "Refund",
  IF(Transactions_RAW_cleaned[[#This Row],[Category]]="Payments", IF(Transactions_RAW_cleaned[[#This Row],[Amount]]&gt;500,"High Value","Standard"),
    IF(Transactions_RAW_cleaned[[#This Row],[Amount]]&gt;250,"High Value","Standard")))</f>
        <v>Standard</v>
      </c>
      <c r="Q2345" s="5" t="str">
        <f>IF(Transactions_RAW_cleaned[[#This Row],[Amount]] &gt; (_xlfn.XLOOKUP(Transactions_RAW_cleaned[[#This Row],[ServiceID]],Services_cleaned[ServiceID],Services_cleaned[TransactionFeePct]) * 10000), "Yes", "No")</f>
        <v>No</v>
      </c>
      <c r="R2345" s="5" t="str">
        <f>IF(COUNTIFS($C$2:Transactions_RAW_cleaned[[#This Row],[CustomerID]],Transactions_RAW_cleaned[[#This Row],[CustomerID]],$D$2:Transactions_RAW_cleaned[[#This Row],[ServiceID]],Transactions_RAW_cleaned[[#This Row],[ServiceID]])=1,"Yes","No")</f>
        <v>No</v>
      </c>
      <c r="S234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45" t="str">
        <f>"Q"&amp;ROUNDUP(MONTH(Transactions_RAW_cleaned[[#This Row],[TransactionDate]])/3,0)</f>
        <v>Q2</v>
      </c>
      <c r="U2345" t="str">
        <f>Transactions_RAW_cleaned[[#This Row],[Region ]]&amp;Transactions_RAW_cleaned[[#This Row],[Quarter ]]</f>
        <v>NAQ2</v>
      </c>
      <c r="V2345" s="5">
        <f>_xlfn.XLOOKUP(Transactions_RAW_cleaned[[#This Row],[RegionQuarterKey]], Quarterly_Targets_cleaned[RegionQuarterKey], Quarterly_Targets_cleaned[TargetRevenue])</f>
        <v>260000</v>
      </c>
    </row>
    <row r="2346" spans="1:22" x14ac:dyDescent="0.25">
      <c r="A2346" t="s">
        <v>2683</v>
      </c>
      <c r="B2346" s="1">
        <v>45340</v>
      </c>
      <c r="C2346" t="s">
        <v>173</v>
      </c>
      <c r="D2346" t="s">
        <v>303</v>
      </c>
      <c r="E2346">
        <v>-489.26</v>
      </c>
      <c r="F2346" t="s">
        <v>349</v>
      </c>
      <c r="G2346" t="s">
        <v>327</v>
      </c>
      <c r="H2346" t="s">
        <v>332</v>
      </c>
      <c r="I2346" t="s">
        <v>8</v>
      </c>
      <c r="J2346" t="s">
        <v>46</v>
      </c>
      <c r="K2346" t="s">
        <v>32</v>
      </c>
      <c r="L2346" t="s">
        <v>304</v>
      </c>
      <c r="M2346" t="s">
        <v>305</v>
      </c>
      <c r="N2346">
        <v>1E-3</v>
      </c>
      <c r="O2346" t="str">
        <f>IF(Transactions_RAW_cleaned[[#This Row],[Status]]="Completed", IFERROR(_xlfn.XLOOKUP(Transactions_RAW_cleaned[[#This Row],[CustomerID]], Customers_cleaned[CustomerID], Customers_cleaned[Segment]), "Customer Not Found"), "N/A")</f>
        <v>N/A</v>
      </c>
      <c r="P2346" s="5" t="str">
        <f>IF(Transactions_RAW_cleaned[[#This Row],[Status]]="Refunded", "Refund",
  IF(Transactions_RAW_cleaned[[#This Row],[Category]]="Payments", IF(Transactions_RAW_cleaned[[#This Row],[Amount]]&gt;500,"High Value","Standard"),
    IF(Transactions_RAW_cleaned[[#This Row],[Amount]]&gt;250,"High Value","Standard")))</f>
        <v>Refund</v>
      </c>
      <c r="Q2346" s="5" t="str">
        <f>IF(Transactions_RAW_cleaned[[#This Row],[Amount]] &gt; (_xlfn.XLOOKUP(Transactions_RAW_cleaned[[#This Row],[ServiceID]],Services_cleaned[ServiceID],Services_cleaned[TransactionFeePct]) * 10000), "Yes", "No")</f>
        <v>No</v>
      </c>
      <c r="R2346" s="5" t="str">
        <f>IF(COUNTIFS($C$2:Transactions_RAW_cleaned[[#This Row],[CustomerID]],Transactions_RAW_cleaned[[#This Row],[CustomerID]],$D$2:Transactions_RAW_cleaned[[#This Row],[ServiceID]],Transactions_RAW_cleaned[[#This Row],[ServiceID]])=1,"Yes","No")</f>
        <v>No</v>
      </c>
      <c r="S234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46" t="str">
        <f>"Q"&amp;ROUNDUP(MONTH(Transactions_RAW_cleaned[[#This Row],[TransactionDate]])/3,0)</f>
        <v>Q1</v>
      </c>
      <c r="U2346" t="str">
        <f>Transactions_RAW_cleaned[[#This Row],[Region ]]&amp;Transactions_RAW_cleaned[[#This Row],[Quarter ]]</f>
        <v>APACQ1</v>
      </c>
      <c r="V2346" s="5">
        <f>_xlfn.XLOOKUP(Transactions_RAW_cleaned[[#This Row],[RegionQuarterKey]], Quarterly_Targets_cleaned[RegionQuarterKey], Quarterly_Targets_cleaned[TargetRevenue])</f>
        <v>104500</v>
      </c>
    </row>
    <row r="2347" spans="1:22" x14ac:dyDescent="0.25">
      <c r="A2347" t="s">
        <v>2684</v>
      </c>
      <c r="B2347" s="1">
        <v>45475</v>
      </c>
      <c r="C2347" t="s">
        <v>269</v>
      </c>
      <c r="D2347" t="s">
        <v>309</v>
      </c>
      <c r="E2347">
        <v>262.02</v>
      </c>
      <c r="F2347" t="s">
        <v>324</v>
      </c>
      <c r="G2347" t="s">
        <v>325</v>
      </c>
      <c r="I2347" t="s">
        <v>17</v>
      </c>
      <c r="J2347" t="s">
        <v>31</v>
      </c>
      <c r="K2347" t="s">
        <v>32</v>
      </c>
      <c r="L2347" t="s">
        <v>310</v>
      </c>
      <c r="M2347" t="s">
        <v>311</v>
      </c>
      <c r="N2347">
        <v>0</v>
      </c>
      <c r="O2347" t="str">
        <f>IF(Transactions_RAW_cleaned[[#This Row],[Status]]="Completed", IFERROR(_xlfn.XLOOKUP(Transactions_RAW_cleaned[[#This Row],[CustomerID]], Customers_cleaned[CustomerID], Customers_cleaned[Segment]), "Customer Not Found"), "N/A")</f>
        <v>Enterprise</v>
      </c>
      <c r="P2347" s="5" t="str">
        <f>IF(Transactions_RAW_cleaned[[#This Row],[Status]]="Refunded", "Refund",
  IF(Transactions_RAW_cleaned[[#This Row],[Category]]="Payments", IF(Transactions_RAW_cleaned[[#This Row],[Amount]]&gt;500,"High Value","Standard"),
    IF(Transactions_RAW_cleaned[[#This Row],[Amount]]&gt;250,"High Value","Standard")))</f>
        <v>High Value</v>
      </c>
      <c r="Q2347" s="5" t="str">
        <f>IF(Transactions_RAW_cleaned[[#This Row],[Amount]] &gt; (_xlfn.XLOOKUP(Transactions_RAW_cleaned[[#This Row],[ServiceID]],Services_cleaned[ServiceID],Services_cleaned[TransactionFeePct]) * 10000), "Yes", "No")</f>
        <v>Yes</v>
      </c>
      <c r="R2347" s="5" t="str">
        <f>IF(COUNTIFS($C$2:Transactions_RAW_cleaned[[#This Row],[CustomerID]],Transactions_RAW_cleaned[[#This Row],[CustomerID]],$D$2:Transactions_RAW_cleaned[[#This Row],[ServiceID]],Transactions_RAW_cleaned[[#This Row],[ServiceID]])=1,"Yes","No")</f>
        <v>No</v>
      </c>
      <c r="S234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47" t="str">
        <f>"Q"&amp;ROUNDUP(MONTH(Transactions_RAW_cleaned[[#This Row],[TransactionDate]])/3,0)</f>
        <v>Q3</v>
      </c>
      <c r="U2347" t="str">
        <f>Transactions_RAW_cleaned[[#This Row],[Region ]]&amp;Transactions_RAW_cleaned[[#This Row],[Quarter ]]</f>
        <v>EMEAQ3</v>
      </c>
      <c r="V2347" s="5">
        <f>_xlfn.XLOOKUP(Transactions_RAW_cleaned[[#This Row],[RegionQuarterKey]], Quarterly_Targets_cleaned[RegionQuarterKey], Quarterly_Targets_cleaned[TargetRevenue])</f>
        <v>147000</v>
      </c>
    </row>
    <row r="2348" spans="1:22" x14ac:dyDescent="0.25">
      <c r="A2348" t="s">
        <v>2685</v>
      </c>
      <c r="B2348" s="1">
        <v>45607</v>
      </c>
      <c r="C2348" t="s">
        <v>6</v>
      </c>
      <c r="D2348" t="s">
        <v>294</v>
      </c>
      <c r="E2348">
        <v>371.87</v>
      </c>
      <c r="F2348" t="s">
        <v>324</v>
      </c>
      <c r="G2348" t="s">
        <v>325</v>
      </c>
      <c r="I2348" t="s">
        <v>8</v>
      </c>
      <c r="J2348" t="s">
        <v>102</v>
      </c>
      <c r="K2348" t="s">
        <v>10</v>
      </c>
      <c r="L2348" t="s">
        <v>295</v>
      </c>
      <c r="M2348" t="s">
        <v>296</v>
      </c>
      <c r="N2348">
        <v>2.9000000000000001E-2</v>
      </c>
      <c r="O2348" t="str">
        <f>IF(Transactions_RAW_cleaned[[#This Row],[Status]]="Completed", IFERROR(_xlfn.XLOOKUP(Transactions_RAW_cleaned[[#This Row],[CustomerID]], Customers_cleaned[CustomerID], Customers_cleaned[Segment]), "Customer Not Found"), "N/A")</f>
        <v>SMB</v>
      </c>
      <c r="P2348" s="5" t="str">
        <f>IF(Transactions_RAW_cleaned[[#This Row],[Status]]="Refunded", "Refund",
  IF(Transactions_RAW_cleaned[[#This Row],[Category]]="Payments", IF(Transactions_RAW_cleaned[[#This Row],[Amount]]&gt;500,"High Value","Standard"),
    IF(Transactions_RAW_cleaned[[#This Row],[Amount]]&gt;250,"High Value","Standard")))</f>
        <v>Standard</v>
      </c>
      <c r="Q2348" s="5" t="str">
        <f>IF(Transactions_RAW_cleaned[[#This Row],[Amount]] &gt; (_xlfn.XLOOKUP(Transactions_RAW_cleaned[[#This Row],[ServiceID]],Services_cleaned[ServiceID],Services_cleaned[TransactionFeePct]) * 10000), "Yes", "No")</f>
        <v>Yes</v>
      </c>
      <c r="R2348" s="5" t="str">
        <f>IF(COUNTIFS($C$2:Transactions_RAW_cleaned[[#This Row],[CustomerID]],Transactions_RAW_cleaned[[#This Row],[CustomerID]],$D$2:Transactions_RAW_cleaned[[#This Row],[ServiceID]],Transactions_RAW_cleaned[[#This Row],[ServiceID]])=1,"Yes","No")</f>
        <v>No</v>
      </c>
      <c r="S234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48" t="str">
        <f>"Q"&amp;ROUNDUP(MONTH(Transactions_RAW_cleaned[[#This Row],[TransactionDate]])/3,0)</f>
        <v>Q4</v>
      </c>
      <c r="U2348" t="str">
        <f>Transactions_RAW_cleaned[[#This Row],[Region ]]&amp;Transactions_RAW_cleaned[[#This Row],[Quarter ]]</f>
        <v>NAQ4</v>
      </c>
      <c r="V2348" s="5">
        <f>_xlfn.XLOOKUP(Transactions_RAW_cleaned[[#This Row],[RegionQuarterKey]], Quarterly_Targets_cleaned[RegionQuarterKey], Quarterly_Targets_cleaned[TargetRevenue])</f>
        <v>299000</v>
      </c>
    </row>
    <row r="2349" spans="1:22" x14ac:dyDescent="0.25">
      <c r="A2349" t="s">
        <v>2686</v>
      </c>
      <c r="B2349" s="1">
        <v>45654</v>
      </c>
      <c r="C2349" t="s">
        <v>109</v>
      </c>
      <c r="D2349" t="s">
        <v>294</v>
      </c>
      <c r="E2349">
        <v>422.75</v>
      </c>
      <c r="F2349" t="s">
        <v>324</v>
      </c>
      <c r="G2349" t="s">
        <v>327</v>
      </c>
      <c r="I2349" t="s">
        <v>8</v>
      </c>
      <c r="J2349" t="s">
        <v>102</v>
      </c>
      <c r="K2349" t="s">
        <v>18</v>
      </c>
      <c r="L2349" t="s">
        <v>295</v>
      </c>
      <c r="M2349" t="s">
        <v>296</v>
      </c>
      <c r="N2349">
        <v>2.9000000000000001E-2</v>
      </c>
      <c r="O2349" t="str">
        <f>IF(Transactions_RAW_cleaned[[#This Row],[Status]]="Completed", IFERROR(_xlfn.XLOOKUP(Transactions_RAW_cleaned[[#This Row],[CustomerID]], Customers_cleaned[CustomerID], Customers_cleaned[Segment]), "Customer Not Found"), "N/A")</f>
        <v>SMB</v>
      </c>
      <c r="P2349" s="5" t="str">
        <f>IF(Transactions_RAW_cleaned[[#This Row],[Status]]="Refunded", "Refund",
  IF(Transactions_RAW_cleaned[[#This Row],[Category]]="Payments", IF(Transactions_RAW_cleaned[[#This Row],[Amount]]&gt;500,"High Value","Standard"),
    IF(Transactions_RAW_cleaned[[#This Row],[Amount]]&gt;250,"High Value","Standard")))</f>
        <v>Standard</v>
      </c>
      <c r="Q2349" s="5" t="str">
        <f>IF(Transactions_RAW_cleaned[[#This Row],[Amount]] &gt; (_xlfn.XLOOKUP(Transactions_RAW_cleaned[[#This Row],[ServiceID]],Services_cleaned[ServiceID],Services_cleaned[TransactionFeePct]) * 10000), "Yes", "No")</f>
        <v>Yes</v>
      </c>
      <c r="R2349" s="5" t="str">
        <f>IF(COUNTIFS($C$2:Transactions_RAW_cleaned[[#This Row],[CustomerID]],Transactions_RAW_cleaned[[#This Row],[CustomerID]],$D$2:Transactions_RAW_cleaned[[#This Row],[ServiceID]],Transactions_RAW_cleaned[[#This Row],[ServiceID]])=1,"Yes","No")</f>
        <v>No</v>
      </c>
      <c r="S234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49" t="str">
        <f>"Q"&amp;ROUNDUP(MONTH(Transactions_RAW_cleaned[[#This Row],[TransactionDate]])/3,0)</f>
        <v>Q4</v>
      </c>
      <c r="U2349" t="str">
        <f>Transactions_RAW_cleaned[[#This Row],[Region ]]&amp;Transactions_RAW_cleaned[[#This Row],[Quarter ]]</f>
        <v>NAQ4</v>
      </c>
      <c r="V2349" s="5">
        <f>_xlfn.XLOOKUP(Transactions_RAW_cleaned[[#This Row],[RegionQuarterKey]], Quarterly_Targets_cleaned[RegionQuarterKey], Quarterly_Targets_cleaned[TargetRevenue])</f>
        <v>299000</v>
      </c>
    </row>
    <row r="2350" spans="1:22" x14ac:dyDescent="0.25">
      <c r="A2350" t="s">
        <v>2687</v>
      </c>
      <c r="B2350" s="1">
        <v>45296</v>
      </c>
      <c r="C2350" t="s">
        <v>115</v>
      </c>
      <c r="D2350" t="s">
        <v>294</v>
      </c>
      <c r="E2350">
        <v>359.87</v>
      </c>
      <c r="F2350" t="s">
        <v>324</v>
      </c>
      <c r="G2350" t="s">
        <v>325</v>
      </c>
      <c r="I2350" t="s">
        <v>17</v>
      </c>
      <c r="J2350" t="s">
        <v>102</v>
      </c>
      <c r="K2350" t="s">
        <v>32</v>
      </c>
      <c r="L2350" t="s">
        <v>295</v>
      </c>
      <c r="M2350" t="s">
        <v>296</v>
      </c>
      <c r="N2350">
        <v>2.9000000000000001E-2</v>
      </c>
      <c r="O2350" t="str">
        <f>IF(Transactions_RAW_cleaned[[#This Row],[Status]]="Completed", IFERROR(_xlfn.XLOOKUP(Transactions_RAW_cleaned[[#This Row],[CustomerID]], Customers_cleaned[CustomerID], Customers_cleaned[Segment]), "Customer Not Found"), "N/A")</f>
        <v>Enterprise</v>
      </c>
      <c r="P2350" s="5" t="str">
        <f>IF(Transactions_RAW_cleaned[[#This Row],[Status]]="Refunded", "Refund",
  IF(Transactions_RAW_cleaned[[#This Row],[Category]]="Payments", IF(Transactions_RAW_cleaned[[#This Row],[Amount]]&gt;500,"High Value","Standard"),
    IF(Transactions_RAW_cleaned[[#This Row],[Amount]]&gt;250,"High Value","Standard")))</f>
        <v>Standard</v>
      </c>
      <c r="Q2350" s="5" t="str">
        <f>IF(Transactions_RAW_cleaned[[#This Row],[Amount]] &gt; (_xlfn.XLOOKUP(Transactions_RAW_cleaned[[#This Row],[ServiceID]],Services_cleaned[ServiceID],Services_cleaned[TransactionFeePct]) * 10000), "Yes", "No")</f>
        <v>Yes</v>
      </c>
      <c r="R2350" s="5" t="str">
        <f>IF(COUNTIFS($C$2:Transactions_RAW_cleaned[[#This Row],[CustomerID]],Transactions_RAW_cleaned[[#This Row],[CustomerID]],$D$2:Transactions_RAW_cleaned[[#This Row],[ServiceID]],Transactions_RAW_cleaned[[#This Row],[ServiceID]])=1,"Yes","No")</f>
        <v>No</v>
      </c>
      <c r="S235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50" t="str">
        <f>"Q"&amp;ROUNDUP(MONTH(Transactions_RAW_cleaned[[#This Row],[TransactionDate]])/3,0)</f>
        <v>Q1</v>
      </c>
      <c r="U2350" t="str">
        <f>Transactions_RAW_cleaned[[#This Row],[Region ]]&amp;Transactions_RAW_cleaned[[#This Row],[Quarter ]]</f>
        <v>NAQ1</v>
      </c>
      <c r="V2350" s="5">
        <f>_xlfn.XLOOKUP(Transactions_RAW_cleaned[[#This Row],[RegionQuarterKey]], Quarterly_Targets_cleaned[RegionQuarterKey], Quarterly_Targets_cleaned[TargetRevenue])</f>
        <v>247000</v>
      </c>
    </row>
    <row r="2351" spans="1:22" x14ac:dyDescent="0.25">
      <c r="A2351" t="s">
        <v>2688</v>
      </c>
      <c r="B2351" s="1">
        <v>45570</v>
      </c>
      <c r="C2351" t="s">
        <v>203</v>
      </c>
      <c r="D2351" t="s">
        <v>294</v>
      </c>
      <c r="E2351">
        <v>268.29000000000002</v>
      </c>
      <c r="F2351" t="s">
        <v>324</v>
      </c>
      <c r="G2351" t="s">
        <v>327</v>
      </c>
      <c r="H2351" t="s">
        <v>332</v>
      </c>
      <c r="I2351" t="s">
        <v>57</v>
      </c>
      <c r="J2351" t="s">
        <v>21</v>
      </c>
      <c r="K2351" t="s">
        <v>14</v>
      </c>
      <c r="L2351" t="s">
        <v>295</v>
      </c>
      <c r="M2351" t="s">
        <v>296</v>
      </c>
      <c r="N2351">
        <v>2.9000000000000001E-2</v>
      </c>
      <c r="O2351" t="str">
        <f>IF(Transactions_RAW_cleaned[[#This Row],[Status]]="Completed", IFERROR(_xlfn.XLOOKUP(Transactions_RAW_cleaned[[#This Row],[CustomerID]], Customers_cleaned[CustomerID], Customers_cleaned[Segment]), "Customer Not Found"), "N/A")</f>
        <v>Startup</v>
      </c>
      <c r="P2351" s="5" t="str">
        <f>IF(Transactions_RAW_cleaned[[#This Row],[Status]]="Refunded", "Refund",
  IF(Transactions_RAW_cleaned[[#This Row],[Category]]="Payments", IF(Transactions_RAW_cleaned[[#This Row],[Amount]]&gt;500,"High Value","Standard"),
    IF(Transactions_RAW_cleaned[[#This Row],[Amount]]&gt;250,"High Value","Standard")))</f>
        <v>Standard</v>
      </c>
      <c r="Q2351" s="5" t="str">
        <f>IF(Transactions_RAW_cleaned[[#This Row],[Amount]] &gt; (_xlfn.XLOOKUP(Transactions_RAW_cleaned[[#This Row],[ServiceID]],Services_cleaned[ServiceID],Services_cleaned[TransactionFeePct]) * 10000), "Yes", "No")</f>
        <v>No</v>
      </c>
      <c r="R2351" s="5" t="str">
        <f>IF(COUNTIFS($C$2:Transactions_RAW_cleaned[[#This Row],[CustomerID]],Transactions_RAW_cleaned[[#This Row],[CustomerID]],$D$2:Transactions_RAW_cleaned[[#This Row],[ServiceID]],Transactions_RAW_cleaned[[#This Row],[ServiceID]])=1,"Yes","No")</f>
        <v>No</v>
      </c>
      <c r="S235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51" t="str">
        <f>"Q"&amp;ROUNDUP(MONTH(Transactions_RAW_cleaned[[#This Row],[TransactionDate]])/3,0)</f>
        <v>Q4</v>
      </c>
      <c r="U2351" t="str">
        <f>Transactions_RAW_cleaned[[#This Row],[Region ]]&amp;Transactions_RAW_cleaned[[#This Row],[Quarter ]]</f>
        <v>APACQ4</v>
      </c>
      <c r="V2351" s="5">
        <f>_xlfn.XLOOKUP(Transactions_RAW_cleaned[[#This Row],[RegionQuarterKey]], Quarterly_Targets_cleaned[RegionQuarterKey], Quarterly_Targets_cleaned[TargetRevenue])</f>
        <v>126500</v>
      </c>
    </row>
    <row r="2352" spans="1:22" x14ac:dyDescent="0.25">
      <c r="A2352" t="s">
        <v>2689</v>
      </c>
      <c r="B2352" s="1">
        <v>45418</v>
      </c>
      <c r="C2352" t="s">
        <v>223</v>
      </c>
      <c r="D2352" t="s">
        <v>303</v>
      </c>
      <c r="E2352">
        <v>121.98</v>
      </c>
      <c r="F2352" t="s">
        <v>324</v>
      </c>
      <c r="G2352" t="s">
        <v>337</v>
      </c>
      <c r="H2352" t="s">
        <v>346</v>
      </c>
      <c r="I2352" t="s">
        <v>8</v>
      </c>
      <c r="J2352" t="s">
        <v>102</v>
      </c>
      <c r="K2352" t="s">
        <v>28</v>
      </c>
      <c r="L2352" t="s">
        <v>304</v>
      </c>
      <c r="M2352" t="s">
        <v>305</v>
      </c>
      <c r="N2352">
        <v>1E-3</v>
      </c>
      <c r="O2352" t="str">
        <f>IF(Transactions_RAW_cleaned[[#This Row],[Status]]="Completed", IFERROR(_xlfn.XLOOKUP(Transactions_RAW_cleaned[[#This Row],[CustomerID]], Customers_cleaned[CustomerID], Customers_cleaned[Segment]), "Customer Not Found"), "N/A")</f>
        <v>SMB</v>
      </c>
      <c r="P2352" s="5" t="str">
        <f>IF(Transactions_RAW_cleaned[[#This Row],[Status]]="Refunded", "Refund",
  IF(Transactions_RAW_cleaned[[#This Row],[Category]]="Payments", IF(Transactions_RAW_cleaned[[#This Row],[Amount]]&gt;500,"High Value","Standard"),
    IF(Transactions_RAW_cleaned[[#This Row],[Amount]]&gt;250,"High Value","Standard")))</f>
        <v>Standard</v>
      </c>
      <c r="Q2352" s="5" t="str">
        <f>IF(Transactions_RAW_cleaned[[#This Row],[Amount]] &gt; (_xlfn.XLOOKUP(Transactions_RAW_cleaned[[#This Row],[ServiceID]],Services_cleaned[ServiceID],Services_cleaned[TransactionFeePct]) * 10000), "Yes", "No")</f>
        <v>Yes</v>
      </c>
      <c r="R2352" s="5" t="str">
        <f>IF(COUNTIFS($C$2:Transactions_RAW_cleaned[[#This Row],[CustomerID]],Transactions_RAW_cleaned[[#This Row],[CustomerID]],$D$2:Transactions_RAW_cleaned[[#This Row],[ServiceID]],Transactions_RAW_cleaned[[#This Row],[ServiceID]])=1,"Yes","No")</f>
        <v>No</v>
      </c>
      <c r="S235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52" t="str">
        <f>"Q"&amp;ROUNDUP(MONTH(Transactions_RAW_cleaned[[#This Row],[TransactionDate]])/3,0)</f>
        <v>Q2</v>
      </c>
      <c r="U2352" t="str">
        <f>Transactions_RAW_cleaned[[#This Row],[Region ]]&amp;Transactions_RAW_cleaned[[#This Row],[Quarter ]]</f>
        <v>NAQ2</v>
      </c>
      <c r="V2352" s="5">
        <f>_xlfn.XLOOKUP(Transactions_RAW_cleaned[[#This Row],[RegionQuarterKey]], Quarterly_Targets_cleaned[RegionQuarterKey], Quarterly_Targets_cleaned[TargetRevenue])</f>
        <v>260000</v>
      </c>
    </row>
    <row r="2353" spans="1:22" x14ac:dyDescent="0.25">
      <c r="A2353" t="s">
        <v>2690</v>
      </c>
      <c r="B2353" s="1">
        <v>45497</v>
      </c>
      <c r="C2353" t="s">
        <v>38</v>
      </c>
      <c r="D2353" t="s">
        <v>306</v>
      </c>
      <c r="E2353">
        <v>1034.27</v>
      </c>
      <c r="F2353" t="s">
        <v>324</v>
      </c>
      <c r="G2353" t="s">
        <v>329</v>
      </c>
      <c r="H2353" t="s">
        <v>332</v>
      </c>
      <c r="I2353" t="s">
        <v>8</v>
      </c>
      <c r="J2353" t="s">
        <v>102</v>
      </c>
      <c r="K2353" t="s">
        <v>28</v>
      </c>
      <c r="L2353" t="s">
        <v>307</v>
      </c>
      <c r="M2353" t="s">
        <v>308</v>
      </c>
      <c r="N2353">
        <v>0</v>
      </c>
      <c r="O2353" t="str">
        <f>IF(Transactions_RAW_cleaned[[#This Row],[Status]]="Completed", IFERROR(_xlfn.XLOOKUP(Transactions_RAW_cleaned[[#This Row],[CustomerID]], Customers_cleaned[CustomerID], Customers_cleaned[Segment]), "Customer Not Found"), "N/A")</f>
        <v>SMB</v>
      </c>
      <c r="P2353" s="5" t="str">
        <f>IF(Transactions_RAW_cleaned[[#This Row],[Status]]="Refunded", "Refund",
  IF(Transactions_RAW_cleaned[[#This Row],[Category]]="Payments", IF(Transactions_RAW_cleaned[[#This Row],[Amount]]&gt;500,"High Value","Standard"),
    IF(Transactions_RAW_cleaned[[#This Row],[Amount]]&gt;250,"High Value","Standard")))</f>
        <v>High Value</v>
      </c>
      <c r="Q2353" s="5" t="str">
        <f>IF(Transactions_RAW_cleaned[[#This Row],[Amount]] &gt; (_xlfn.XLOOKUP(Transactions_RAW_cleaned[[#This Row],[ServiceID]],Services_cleaned[ServiceID],Services_cleaned[TransactionFeePct]) * 10000), "Yes", "No")</f>
        <v>Yes</v>
      </c>
      <c r="R2353" s="5" t="str">
        <f>IF(COUNTIFS($C$2:Transactions_RAW_cleaned[[#This Row],[CustomerID]],Transactions_RAW_cleaned[[#This Row],[CustomerID]],$D$2:Transactions_RAW_cleaned[[#This Row],[ServiceID]],Transactions_RAW_cleaned[[#This Row],[ServiceID]])=1,"Yes","No")</f>
        <v>No</v>
      </c>
      <c r="S235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53" t="str">
        <f>"Q"&amp;ROUNDUP(MONTH(Transactions_RAW_cleaned[[#This Row],[TransactionDate]])/3,0)</f>
        <v>Q3</v>
      </c>
      <c r="U2353" t="str">
        <f>Transactions_RAW_cleaned[[#This Row],[Region ]]&amp;Transactions_RAW_cleaned[[#This Row],[Quarter ]]</f>
        <v>NAQ3</v>
      </c>
      <c r="V2353" s="5">
        <f>_xlfn.XLOOKUP(Transactions_RAW_cleaned[[#This Row],[RegionQuarterKey]], Quarterly_Targets_cleaned[RegionQuarterKey], Quarterly_Targets_cleaned[TargetRevenue])</f>
        <v>273000</v>
      </c>
    </row>
    <row r="2354" spans="1:22" x14ac:dyDescent="0.25">
      <c r="A2354" t="s">
        <v>2691</v>
      </c>
      <c r="B2354" s="1">
        <v>45628</v>
      </c>
      <c r="C2354" t="s">
        <v>177</v>
      </c>
      <c r="D2354" t="s">
        <v>312</v>
      </c>
      <c r="E2354">
        <v>137.87</v>
      </c>
      <c r="F2354" t="s">
        <v>324</v>
      </c>
      <c r="G2354" t="s">
        <v>325</v>
      </c>
      <c r="H2354" t="s">
        <v>346</v>
      </c>
      <c r="I2354" t="s">
        <v>8</v>
      </c>
      <c r="J2354" t="s">
        <v>46</v>
      </c>
      <c r="K2354" t="s">
        <v>10</v>
      </c>
      <c r="L2354" t="s">
        <v>313</v>
      </c>
      <c r="M2354" t="s">
        <v>314</v>
      </c>
      <c r="N2354">
        <v>0</v>
      </c>
      <c r="O2354" t="str">
        <f>IF(Transactions_RAW_cleaned[[#This Row],[Status]]="Completed", IFERROR(_xlfn.XLOOKUP(Transactions_RAW_cleaned[[#This Row],[CustomerID]], Customers_cleaned[CustomerID], Customers_cleaned[Segment]), "Customer Not Found"), "N/A")</f>
        <v>SMB</v>
      </c>
      <c r="P2354" s="5" t="str">
        <f>IF(Transactions_RAW_cleaned[[#This Row],[Status]]="Refunded", "Refund",
  IF(Transactions_RAW_cleaned[[#This Row],[Category]]="Payments", IF(Transactions_RAW_cleaned[[#This Row],[Amount]]&gt;500,"High Value","Standard"),
    IF(Transactions_RAW_cleaned[[#This Row],[Amount]]&gt;250,"High Value","Standard")))</f>
        <v>Standard</v>
      </c>
      <c r="Q2354" s="5" t="str">
        <f>IF(Transactions_RAW_cleaned[[#This Row],[Amount]] &gt; (_xlfn.XLOOKUP(Transactions_RAW_cleaned[[#This Row],[ServiceID]],Services_cleaned[ServiceID],Services_cleaned[TransactionFeePct]) * 10000), "Yes", "No")</f>
        <v>Yes</v>
      </c>
      <c r="R2354" s="5" t="str">
        <f>IF(COUNTIFS($C$2:Transactions_RAW_cleaned[[#This Row],[CustomerID]],Transactions_RAW_cleaned[[#This Row],[CustomerID]],$D$2:Transactions_RAW_cleaned[[#This Row],[ServiceID]],Transactions_RAW_cleaned[[#This Row],[ServiceID]])=1,"Yes","No")</f>
        <v>No</v>
      </c>
      <c r="S235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54" t="str">
        <f>"Q"&amp;ROUNDUP(MONTH(Transactions_RAW_cleaned[[#This Row],[TransactionDate]])/3,0)</f>
        <v>Q4</v>
      </c>
      <c r="U2354" t="str">
        <f>Transactions_RAW_cleaned[[#This Row],[Region ]]&amp;Transactions_RAW_cleaned[[#This Row],[Quarter ]]</f>
        <v>APACQ4</v>
      </c>
      <c r="V2354" s="5">
        <f>_xlfn.XLOOKUP(Transactions_RAW_cleaned[[#This Row],[RegionQuarterKey]], Quarterly_Targets_cleaned[RegionQuarterKey], Quarterly_Targets_cleaned[TargetRevenue])</f>
        <v>126500</v>
      </c>
    </row>
    <row r="2355" spans="1:22" x14ac:dyDescent="0.25">
      <c r="A2355" t="s">
        <v>2692</v>
      </c>
      <c r="B2355" s="1">
        <v>45493</v>
      </c>
      <c r="C2355" t="s">
        <v>139</v>
      </c>
      <c r="D2355" t="s">
        <v>294</v>
      </c>
      <c r="E2355">
        <v>-236.3</v>
      </c>
      <c r="F2355" t="s">
        <v>349</v>
      </c>
      <c r="G2355" t="s">
        <v>325</v>
      </c>
      <c r="I2355" t="s">
        <v>8</v>
      </c>
      <c r="J2355" t="s">
        <v>102</v>
      </c>
      <c r="K2355" t="s">
        <v>22</v>
      </c>
      <c r="L2355" t="s">
        <v>295</v>
      </c>
      <c r="M2355" t="s">
        <v>296</v>
      </c>
      <c r="N2355">
        <v>2.9000000000000001E-2</v>
      </c>
      <c r="O2355" t="str">
        <f>IF(Transactions_RAW_cleaned[[#This Row],[Status]]="Completed", IFERROR(_xlfn.XLOOKUP(Transactions_RAW_cleaned[[#This Row],[CustomerID]], Customers_cleaned[CustomerID], Customers_cleaned[Segment]), "Customer Not Found"), "N/A")</f>
        <v>N/A</v>
      </c>
      <c r="P2355" s="5" t="str">
        <f>IF(Transactions_RAW_cleaned[[#This Row],[Status]]="Refunded", "Refund",
  IF(Transactions_RAW_cleaned[[#This Row],[Category]]="Payments", IF(Transactions_RAW_cleaned[[#This Row],[Amount]]&gt;500,"High Value","Standard"),
    IF(Transactions_RAW_cleaned[[#This Row],[Amount]]&gt;250,"High Value","Standard")))</f>
        <v>Refund</v>
      </c>
      <c r="Q2355" s="5" t="str">
        <f>IF(Transactions_RAW_cleaned[[#This Row],[Amount]] &gt; (_xlfn.XLOOKUP(Transactions_RAW_cleaned[[#This Row],[ServiceID]],Services_cleaned[ServiceID],Services_cleaned[TransactionFeePct]) * 10000), "Yes", "No")</f>
        <v>No</v>
      </c>
      <c r="R2355" s="5" t="str">
        <f>IF(COUNTIFS($C$2:Transactions_RAW_cleaned[[#This Row],[CustomerID]],Transactions_RAW_cleaned[[#This Row],[CustomerID]],$D$2:Transactions_RAW_cleaned[[#This Row],[ServiceID]],Transactions_RAW_cleaned[[#This Row],[ServiceID]])=1,"Yes","No")</f>
        <v>No</v>
      </c>
      <c r="S235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55" t="str">
        <f>"Q"&amp;ROUNDUP(MONTH(Transactions_RAW_cleaned[[#This Row],[TransactionDate]])/3,0)</f>
        <v>Q3</v>
      </c>
      <c r="U2355" t="str">
        <f>Transactions_RAW_cleaned[[#This Row],[Region ]]&amp;Transactions_RAW_cleaned[[#This Row],[Quarter ]]</f>
        <v>NAQ3</v>
      </c>
      <c r="V2355" s="5">
        <f>_xlfn.XLOOKUP(Transactions_RAW_cleaned[[#This Row],[RegionQuarterKey]], Quarterly_Targets_cleaned[RegionQuarterKey], Quarterly_Targets_cleaned[TargetRevenue])</f>
        <v>273000</v>
      </c>
    </row>
    <row r="2356" spans="1:22" x14ac:dyDescent="0.25">
      <c r="A2356" t="s">
        <v>2693</v>
      </c>
      <c r="B2356" s="1">
        <v>45415</v>
      </c>
      <c r="C2356" t="s">
        <v>167</v>
      </c>
      <c r="D2356" t="s">
        <v>306</v>
      </c>
      <c r="E2356">
        <v>-1284.9000000000001</v>
      </c>
      <c r="F2356" t="s">
        <v>349</v>
      </c>
      <c r="G2356" t="s">
        <v>325</v>
      </c>
      <c r="I2356" t="s">
        <v>17</v>
      </c>
      <c r="J2356" t="s">
        <v>13</v>
      </c>
      <c r="K2356" t="s">
        <v>10</v>
      </c>
      <c r="L2356" t="s">
        <v>307</v>
      </c>
      <c r="M2356" t="s">
        <v>308</v>
      </c>
      <c r="N2356">
        <v>0</v>
      </c>
      <c r="O2356" t="str">
        <f>IF(Transactions_RAW_cleaned[[#This Row],[Status]]="Completed", IFERROR(_xlfn.XLOOKUP(Transactions_RAW_cleaned[[#This Row],[CustomerID]], Customers_cleaned[CustomerID], Customers_cleaned[Segment]), "Customer Not Found"), "N/A")</f>
        <v>N/A</v>
      </c>
      <c r="P2356" s="5" t="str">
        <f>IF(Transactions_RAW_cleaned[[#This Row],[Status]]="Refunded", "Refund",
  IF(Transactions_RAW_cleaned[[#This Row],[Category]]="Payments", IF(Transactions_RAW_cleaned[[#This Row],[Amount]]&gt;500,"High Value","Standard"),
    IF(Transactions_RAW_cleaned[[#This Row],[Amount]]&gt;250,"High Value","Standard")))</f>
        <v>Refund</v>
      </c>
      <c r="Q2356" s="5" t="str">
        <f>IF(Transactions_RAW_cleaned[[#This Row],[Amount]] &gt; (_xlfn.XLOOKUP(Transactions_RAW_cleaned[[#This Row],[ServiceID]],Services_cleaned[ServiceID],Services_cleaned[TransactionFeePct]) * 10000), "Yes", "No")</f>
        <v>No</v>
      </c>
      <c r="R2356" s="5" t="str">
        <f>IF(COUNTIFS($C$2:Transactions_RAW_cleaned[[#This Row],[CustomerID]],Transactions_RAW_cleaned[[#This Row],[CustomerID]],$D$2:Transactions_RAW_cleaned[[#This Row],[ServiceID]],Transactions_RAW_cleaned[[#This Row],[ServiceID]])=1,"Yes","No")</f>
        <v>No</v>
      </c>
      <c r="S235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56" t="str">
        <f>"Q"&amp;ROUNDUP(MONTH(Transactions_RAW_cleaned[[#This Row],[TransactionDate]])/3,0)</f>
        <v>Q2</v>
      </c>
      <c r="U2356" t="str">
        <f>Transactions_RAW_cleaned[[#This Row],[Region ]]&amp;Transactions_RAW_cleaned[[#This Row],[Quarter ]]</f>
        <v>NAQ2</v>
      </c>
      <c r="V2356" s="5">
        <f>_xlfn.XLOOKUP(Transactions_RAW_cleaned[[#This Row],[RegionQuarterKey]], Quarterly_Targets_cleaned[RegionQuarterKey], Quarterly_Targets_cleaned[TargetRevenue])</f>
        <v>260000</v>
      </c>
    </row>
    <row r="2357" spans="1:22" x14ac:dyDescent="0.25">
      <c r="A2357" t="s">
        <v>2694</v>
      </c>
      <c r="B2357" s="1">
        <v>45343</v>
      </c>
      <c r="C2357" t="s">
        <v>72</v>
      </c>
      <c r="D2357" t="s">
        <v>312</v>
      </c>
      <c r="E2357">
        <v>-363.23</v>
      </c>
      <c r="F2357" t="s">
        <v>349</v>
      </c>
      <c r="G2357" t="s">
        <v>327</v>
      </c>
      <c r="H2357" t="s">
        <v>332</v>
      </c>
      <c r="I2357" t="s">
        <v>57</v>
      </c>
      <c r="J2357" t="s">
        <v>46</v>
      </c>
      <c r="K2357" t="s">
        <v>32</v>
      </c>
      <c r="L2357" t="s">
        <v>313</v>
      </c>
      <c r="M2357" t="s">
        <v>314</v>
      </c>
      <c r="N2357">
        <v>0</v>
      </c>
      <c r="O2357" t="str">
        <f>IF(Transactions_RAW_cleaned[[#This Row],[Status]]="Completed", IFERROR(_xlfn.XLOOKUP(Transactions_RAW_cleaned[[#This Row],[CustomerID]], Customers_cleaned[CustomerID], Customers_cleaned[Segment]), "Customer Not Found"), "N/A")</f>
        <v>N/A</v>
      </c>
      <c r="P2357" s="5" t="str">
        <f>IF(Transactions_RAW_cleaned[[#This Row],[Status]]="Refunded", "Refund",
  IF(Transactions_RAW_cleaned[[#This Row],[Category]]="Payments", IF(Transactions_RAW_cleaned[[#This Row],[Amount]]&gt;500,"High Value","Standard"),
    IF(Transactions_RAW_cleaned[[#This Row],[Amount]]&gt;250,"High Value","Standard")))</f>
        <v>Refund</v>
      </c>
      <c r="Q2357" s="5" t="str">
        <f>IF(Transactions_RAW_cleaned[[#This Row],[Amount]] &gt; (_xlfn.XLOOKUP(Transactions_RAW_cleaned[[#This Row],[ServiceID]],Services_cleaned[ServiceID],Services_cleaned[TransactionFeePct]) * 10000), "Yes", "No")</f>
        <v>No</v>
      </c>
      <c r="R2357" s="5" t="str">
        <f>IF(COUNTIFS($C$2:Transactions_RAW_cleaned[[#This Row],[CustomerID]],Transactions_RAW_cleaned[[#This Row],[CustomerID]],$D$2:Transactions_RAW_cleaned[[#This Row],[ServiceID]],Transactions_RAW_cleaned[[#This Row],[ServiceID]])=1,"Yes","No")</f>
        <v>No</v>
      </c>
      <c r="S235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57" t="str">
        <f>"Q"&amp;ROUNDUP(MONTH(Transactions_RAW_cleaned[[#This Row],[TransactionDate]])/3,0)</f>
        <v>Q1</v>
      </c>
      <c r="U2357" t="str">
        <f>Transactions_RAW_cleaned[[#This Row],[Region ]]&amp;Transactions_RAW_cleaned[[#This Row],[Quarter ]]</f>
        <v>APACQ1</v>
      </c>
      <c r="V2357" s="5">
        <f>_xlfn.XLOOKUP(Transactions_RAW_cleaned[[#This Row],[RegionQuarterKey]], Quarterly_Targets_cleaned[RegionQuarterKey], Quarterly_Targets_cleaned[TargetRevenue])</f>
        <v>104500</v>
      </c>
    </row>
    <row r="2358" spans="1:22" x14ac:dyDescent="0.25">
      <c r="A2358" t="s">
        <v>2695</v>
      </c>
      <c r="B2358" s="1">
        <v>45364</v>
      </c>
      <c r="C2358" t="s">
        <v>49</v>
      </c>
      <c r="D2358" t="s">
        <v>315</v>
      </c>
      <c r="E2358">
        <v>84.97</v>
      </c>
      <c r="F2358" t="s">
        <v>324</v>
      </c>
      <c r="G2358" t="s">
        <v>337</v>
      </c>
      <c r="H2358" t="s">
        <v>332</v>
      </c>
      <c r="I2358" t="s">
        <v>8</v>
      </c>
      <c r="J2358" t="s">
        <v>102</v>
      </c>
      <c r="K2358" t="s">
        <v>32</v>
      </c>
      <c r="L2358" t="s">
        <v>316</v>
      </c>
      <c r="M2358" t="s">
        <v>305</v>
      </c>
      <c r="N2358">
        <v>2.5000000000000001E-3</v>
      </c>
      <c r="O2358" t="str">
        <f>IF(Transactions_RAW_cleaned[[#This Row],[Status]]="Completed", IFERROR(_xlfn.XLOOKUP(Transactions_RAW_cleaned[[#This Row],[CustomerID]], Customers_cleaned[CustomerID], Customers_cleaned[Segment]), "Customer Not Found"), "N/A")</f>
        <v>SMB</v>
      </c>
      <c r="P2358" s="5" t="str">
        <f>IF(Transactions_RAW_cleaned[[#This Row],[Status]]="Refunded", "Refund",
  IF(Transactions_RAW_cleaned[[#This Row],[Category]]="Payments", IF(Transactions_RAW_cleaned[[#This Row],[Amount]]&gt;500,"High Value","Standard"),
    IF(Transactions_RAW_cleaned[[#This Row],[Amount]]&gt;250,"High Value","Standard")))</f>
        <v>Standard</v>
      </c>
      <c r="Q2358" s="5" t="str">
        <f>IF(Transactions_RAW_cleaned[[#This Row],[Amount]] &gt; (_xlfn.XLOOKUP(Transactions_RAW_cleaned[[#This Row],[ServiceID]],Services_cleaned[ServiceID],Services_cleaned[TransactionFeePct]) * 10000), "Yes", "No")</f>
        <v>Yes</v>
      </c>
      <c r="R2358" s="5" t="str">
        <f>IF(COUNTIFS($C$2:Transactions_RAW_cleaned[[#This Row],[CustomerID]],Transactions_RAW_cleaned[[#This Row],[CustomerID]],$D$2:Transactions_RAW_cleaned[[#This Row],[ServiceID]],Transactions_RAW_cleaned[[#This Row],[ServiceID]])=1,"Yes","No")</f>
        <v>No</v>
      </c>
      <c r="S235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58" t="str">
        <f>"Q"&amp;ROUNDUP(MONTH(Transactions_RAW_cleaned[[#This Row],[TransactionDate]])/3,0)</f>
        <v>Q1</v>
      </c>
      <c r="U2358" t="str">
        <f>Transactions_RAW_cleaned[[#This Row],[Region ]]&amp;Transactions_RAW_cleaned[[#This Row],[Quarter ]]</f>
        <v>NAQ1</v>
      </c>
      <c r="V2358" s="5">
        <f>_xlfn.XLOOKUP(Transactions_RAW_cleaned[[#This Row],[RegionQuarterKey]], Quarterly_Targets_cleaned[RegionQuarterKey], Quarterly_Targets_cleaned[TargetRevenue])</f>
        <v>247000</v>
      </c>
    </row>
    <row r="2359" spans="1:22" x14ac:dyDescent="0.25">
      <c r="A2359" t="s">
        <v>2696</v>
      </c>
      <c r="B2359" s="1">
        <v>45396</v>
      </c>
      <c r="C2359" t="s">
        <v>60</v>
      </c>
      <c r="D2359" t="s">
        <v>300</v>
      </c>
      <c r="E2359">
        <v>323.3</v>
      </c>
      <c r="F2359" t="s">
        <v>381</v>
      </c>
      <c r="G2359" t="s">
        <v>325</v>
      </c>
      <c r="I2359" t="s">
        <v>8</v>
      </c>
      <c r="J2359" t="s">
        <v>13</v>
      </c>
      <c r="K2359" t="s">
        <v>14</v>
      </c>
      <c r="L2359" t="s">
        <v>301</v>
      </c>
      <c r="M2359" t="s">
        <v>302</v>
      </c>
      <c r="N2359">
        <v>5.0000000000000001E-3</v>
      </c>
      <c r="O2359" t="str">
        <f>IF(Transactions_RAW_cleaned[[#This Row],[Status]]="Completed", IFERROR(_xlfn.XLOOKUP(Transactions_RAW_cleaned[[#This Row],[CustomerID]], Customers_cleaned[CustomerID], Customers_cleaned[Segment]), "Customer Not Found"), "N/A")</f>
        <v>N/A</v>
      </c>
      <c r="P2359" s="5" t="str">
        <f>IF(Transactions_RAW_cleaned[[#This Row],[Status]]="Refunded", "Refund",
  IF(Transactions_RAW_cleaned[[#This Row],[Category]]="Payments", IF(Transactions_RAW_cleaned[[#This Row],[Amount]]&gt;500,"High Value","Standard"),
    IF(Transactions_RAW_cleaned[[#This Row],[Amount]]&gt;250,"High Value","Standard")))</f>
        <v>High Value</v>
      </c>
      <c r="Q2359" s="5" t="str">
        <f>IF(Transactions_RAW_cleaned[[#This Row],[Amount]] &gt; (_xlfn.XLOOKUP(Transactions_RAW_cleaned[[#This Row],[ServiceID]],Services_cleaned[ServiceID],Services_cleaned[TransactionFeePct]) * 10000), "Yes", "No")</f>
        <v>Yes</v>
      </c>
      <c r="R2359" s="5" t="str">
        <f>IF(COUNTIFS($C$2:Transactions_RAW_cleaned[[#This Row],[CustomerID]],Transactions_RAW_cleaned[[#This Row],[CustomerID]],$D$2:Transactions_RAW_cleaned[[#This Row],[ServiceID]],Transactions_RAW_cleaned[[#This Row],[ServiceID]])=1,"Yes","No")</f>
        <v>Yes</v>
      </c>
      <c r="S235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59" t="str">
        <f>"Q"&amp;ROUNDUP(MONTH(Transactions_RAW_cleaned[[#This Row],[TransactionDate]])/3,0)</f>
        <v>Q2</v>
      </c>
      <c r="U2359" t="str">
        <f>Transactions_RAW_cleaned[[#This Row],[Region ]]&amp;Transactions_RAW_cleaned[[#This Row],[Quarter ]]</f>
        <v>NAQ2</v>
      </c>
      <c r="V2359" s="5">
        <f>_xlfn.XLOOKUP(Transactions_RAW_cleaned[[#This Row],[RegionQuarterKey]], Quarterly_Targets_cleaned[RegionQuarterKey], Quarterly_Targets_cleaned[TargetRevenue])</f>
        <v>260000</v>
      </c>
    </row>
    <row r="2360" spans="1:22" x14ac:dyDescent="0.25">
      <c r="A2360" t="s">
        <v>2697</v>
      </c>
      <c r="B2360" s="1">
        <v>45655</v>
      </c>
      <c r="C2360" t="s">
        <v>175</v>
      </c>
      <c r="D2360" t="s">
        <v>306</v>
      </c>
      <c r="E2360">
        <v>239.46</v>
      </c>
      <c r="F2360" t="s">
        <v>324</v>
      </c>
      <c r="G2360" t="s">
        <v>327</v>
      </c>
      <c r="I2360" t="s">
        <v>8</v>
      </c>
      <c r="J2360" t="s">
        <v>31</v>
      </c>
      <c r="K2360" t="s">
        <v>32</v>
      </c>
      <c r="L2360" t="s">
        <v>307</v>
      </c>
      <c r="M2360" t="s">
        <v>308</v>
      </c>
      <c r="N2360">
        <v>0</v>
      </c>
      <c r="O2360" t="str">
        <f>IF(Transactions_RAW_cleaned[[#This Row],[Status]]="Completed", IFERROR(_xlfn.XLOOKUP(Transactions_RAW_cleaned[[#This Row],[CustomerID]], Customers_cleaned[CustomerID], Customers_cleaned[Segment]), "Customer Not Found"), "N/A")</f>
        <v>SMB</v>
      </c>
      <c r="P2360" s="5" t="str">
        <f>IF(Transactions_RAW_cleaned[[#This Row],[Status]]="Refunded", "Refund",
  IF(Transactions_RAW_cleaned[[#This Row],[Category]]="Payments", IF(Transactions_RAW_cleaned[[#This Row],[Amount]]&gt;500,"High Value","Standard"),
    IF(Transactions_RAW_cleaned[[#This Row],[Amount]]&gt;250,"High Value","Standard")))</f>
        <v>Standard</v>
      </c>
      <c r="Q2360" s="5" t="str">
        <f>IF(Transactions_RAW_cleaned[[#This Row],[Amount]] &gt; (_xlfn.XLOOKUP(Transactions_RAW_cleaned[[#This Row],[ServiceID]],Services_cleaned[ServiceID],Services_cleaned[TransactionFeePct]) * 10000), "Yes", "No")</f>
        <v>Yes</v>
      </c>
      <c r="R2360" s="5" t="str">
        <f>IF(COUNTIFS($C$2:Transactions_RAW_cleaned[[#This Row],[CustomerID]],Transactions_RAW_cleaned[[#This Row],[CustomerID]],$D$2:Transactions_RAW_cleaned[[#This Row],[ServiceID]],Transactions_RAW_cleaned[[#This Row],[ServiceID]])=1,"Yes","No")</f>
        <v>No</v>
      </c>
      <c r="S236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60" t="str">
        <f>"Q"&amp;ROUNDUP(MONTH(Transactions_RAW_cleaned[[#This Row],[TransactionDate]])/3,0)</f>
        <v>Q4</v>
      </c>
      <c r="U2360" t="str">
        <f>Transactions_RAW_cleaned[[#This Row],[Region ]]&amp;Transactions_RAW_cleaned[[#This Row],[Quarter ]]</f>
        <v>EMEAQ4</v>
      </c>
      <c r="V2360" s="5">
        <f>_xlfn.XLOOKUP(Transactions_RAW_cleaned[[#This Row],[RegionQuarterKey]], Quarterly_Targets_cleaned[RegionQuarterKey], Quarterly_Targets_cleaned[TargetRevenue])</f>
        <v>161000</v>
      </c>
    </row>
    <row r="2361" spans="1:22" x14ac:dyDescent="0.25">
      <c r="A2361" t="s">
        <v>2698</v>
      </c>
      <c r="B2361" s="1">
        <v>45625</v>
      </c>
      <c r="C2361" t="s">
        <v>241</v>
      </c>
      <c r="D2361" t="s">
        <v>300</v>
      </c>
      <c r="E2361">
        <v>66.569999999999993</v>
      </c>
      <c r="F2361" t="s">
        <v>324</v>
      </c>
      <c r="G2361" t="s">
        <v>337</v>
      </c>
      <c r="I2361" t="s">
        <v>8</v>
      </c>
      <c r="J2361" t="s">
        <v>102</v>
      </c>
      <c r="K2361" t="s">
        <v>32</v>
      </c>
      <c r="L2361" t="s">
        <v>301</v>
      </c>
      <c r="M2361" t="s">
        <v>302</v>
      </c>
      <c r="N2361">
        <v>5.0000000000000001E-3</v>
      </c>
      <c r="O2361" t="str">
        <f>IF(Transactions_RAW_cleaned[[#This Row],[Status]]="Completed", IFERROR(_xlfn.XLOOKUP(Transactions_RAW_cleaned[[#This Row],[CustomerID]], Customers_cleaned[CustomerID], Customers_cleaned[Segment]), "Customer Not Found"), "N/A")</f>
        <v>SMB</v>
      </c>
      <c r="P2361" s="5" t="str">
        <f>IF(Transactions_RAW_cleaned[[#This Row],[Status]]="Refunded", "Refund",
  IF(Transactions_RAW_cleaned[[#This Row],[Category]]="Payments", IF(Transactions_RAW_cleaned[[#This Row],[Amount]]&gt;500,"High Value","Standard"),
    IF(Transactions_RAW_cleaned[[#This Row],[Amount]]&gt;250,"High Value","Standard")))</f>
        <v>Standard</v>
      </c>
      <c r="Q2361" s="5" t="str">
        <f>IF(Transactions_RAW_cleaned[[#This Row],[Amount]] &gt; (_xlfn.XLOOKUP(Transactions_RAW_cleaned[[#This Row],[ServiceID]],Services_cleaned[ServiceID],Services_cleaned[TransactionFeePct]) * 10000), "Yes", "No")</f>
        <v>Yes</v>
      </c>
      <c r="R2361" s="5" t="str">
        <f>IF(COUNTIFS($C$2:Transactions_RAW_cleaned[[#This Row],[CustomerID]],Transactions_RAW_cleaned[[#This Row],[CustomerID]],$D$2:Transactions_RAW_cleaned[[#This Row],[ServiceID]],Transactions_RAW_cleaned[[#This Row],[ServiceID]])=1,"Yes","No")</f>
        <v>Yes</v>
      </c>
      <c r="S236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61" t="str">
        <f>"Q"&amp;ROUNDUP(MONTH(Transactions_RAW_cleaned[[#This Row],[TransactionDate]])/3,0)</f>
        <v>Q4</v>
      </c>
      <c r="U2361" t="str">
        <f>Transactions_RAW_cleaned[[#This Row],[Region ]]&amp;Transactions_RAW_cleaned[[#This Row],[Quarter ]]</f>
        <v>NAQ4</v>
      </c>
      <c r="V2361" s="5">
        <f>_xlfn.XLOOKUP(Transactions_RAW_cleaned[[#This Row],[RegionQuarterKey]], Quarterly_Targets_cleaned[RegionQuarterKey], Quarterly_Targets_cleaned[TargetRevenue])</f>
        <v>299000</v>
      </c>
    </row>
    <row r="2362" spans="1:22" x14ac:dyDescent="0.25">
      <c r="A2362" t="s">
        <v>2699</v>
      </c>
      <c r="B2362" s="1">
        <v>45346</v>
      </c>
      <c r="C2362" t="s">
        <v>243</v>
      </c>
      <c r="D2362" t="s">
        <v>312</v>
      </c>
      <c r="E2362">
        <v>606</v>
      </c>
      <c r="F2362" t="s">
        <v>324</v>
      </c>
      <c r="G2362" t="s">
        <v>329</v>
      </c>
      <c r="H2362" t="s">
        <v>334</v>
      </c>
      <c r="I2362" t="s">
        <v>17</v>
      </c>
      <c r="J2362" t="s">
        <v>13</v>
      </c>
      <c r="K2362" t="s">
        <v>28</v>
      </c>
      <c r="L2362" t="s">
        <v>313</v>
      </c>
      <c r="M2362" t="s">
        <v>314</v>
      </c>
      <c r="N2362">
        <v>0</v>
      </c>
      <c r="O2362" t="str">
        <f>IF(Transactions_RAW_cleaned[[#This Row],[Status]]="Completed", IFERROR(_xlfn.XLOOKUP(Transactions_RAW_cleaned[[#This Row],[CustomerID]], Customers_cleaned[CustomerID], Customers_cleaned[Segment]), "Customer Not Found"), "N/A")</f>
        <v>Enterprise</v>
      </c>
      <c r="P2362" s="5" t="str">
        <f>IF(Transactions_RAW_cleaned[[#This Row],[Status]]="Refunded", "Refund",
  IF(Transactions_RAW_cleaned[[#This Row],[Category]]="Payments", IF(Transactions_RAW_cleaned[[#This Row],[Amount]]&gt;500,"High Value","Standard"),
    IF(Transactions_RAW_cleaned[[#This Row],[Amount]]&gt;250,"High Value","Standard")))</f>
        <v>High Value</v>
      </c>
      <c r="Q2362" s="5" t="str">
        <f>IF(Transactions_RAW_cleaned[[#This Row],[Amount]] &gt; (_xlfn.XLOOKUP(Transactions_RAW_cleaned[[#This Row],[ServiceID]],Services_cleaned[ServiceID],Services_cleaned[TransactionFeePct]) * 10000), "Yes", "No")</f>
        <v>Yes</v>
      </c>
      <c r="R2362" s="5" t="str">
        <f>IF(COUNTIFS($C$2:Transactions_RAW_cleaned[[#This Row],[CustomerID]],Transactions_RAW_cleaned[[#This Row],[CustomerID]],$D$2:Transactions_RAW_cleaned[[#This Row],[ServiceID]],Transactions_RAW_cleaned[[#This Row],[ServiceID]])=1,"Yes","No")</f>
        <v>No</v>
      </c>
      <c r="S236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62" t="str">
        <f>"Q"&amp;ROUNDUP(MONTH(Transactions_RAW_cleaned[[#This Row],[TransactionDate]])/3,0)</f>
        <v>Q1</v>
      </c>
      <c r="U2362" t="str">
        <f>Transactions_RAW_cleaned[[#This Row],[Region ]]&amp;Transactions_RAW_cleaned[[#This Row],[Quarter ]]</f>
        <v>NAQ1</v>
      </c>
      <c r="V2362" s="5">
        <f>_xlfn.XLOOKUP(Transactions_RAW_cleaned[[#This Row],[RegionQuarterKey]], Quarterly_Targets_cleaned[RegionQuarterKey], Quarterly_Targets_cleaned[TargetRevenue])</f>
        <v>247000</v>
      </c>
    </row>
    <row r="2363" spans="1:22" x14ac:dyDescent="0.25">
      <c r="A2363" t="s">
        <v>2700</v>
      </c>
      <c r="B2363" s="1">
        <v>45615</v>
      </c>
      <c r="C2363" t="s">
        <v>68</v>
      </c>
      <c r="D2363" t="s">
        <v>303</v>
      </c>
      <c r="E2363">
        <v>358.62</v>
      </c>
      <c r="F2363" t="s">
        <v>324</v>
      </c>
      <c r="G2363" t="s">
        <v>2963</v>
      </c>
      <c r="H2363" t="s">
        <v>334</v>
      </c>
      <c r="I2363" t="s">
        <v>57</v>
      </c>
      <c r="J2363" t="s">
        <v>13</v>
      </c>
      <c r="K2363" t="s">
        <v>10</v>
      </c>
      <c r="L2363" t="s">
        <v>304</v>
      </c>
      <c r="M2363" t="s">
        <v>305</v>
      </c>
      <c r="N2363">
        <v>1E-3</v>
      </c>
      <c r="O2363" t="str">
        <f>IF(Transactions_RAW_cleaned[[#This Row],[Status]]="Completed", IFERROR(_xlfn.XLOOKUP(Transactions_RAW_cleaned[[#This Row],[CustomerID]], Customers_cleaned[CustomerID], Customers_cleaned[Segment]), "Customer Not Found"), "N/A")</f>
        <v>Startup</v>
      </c>
      <c r="P2363" s="5" t="str">
        <f>IF(Transactions_RAW_cleaned[[#This Row],[Status]]="Refunded", "Refund",
  IF(Transactions_RAW_cleaned[[#This Row],[Category]]="Payments", IF(Transactions_RAW_cleaned[[#This Row],[Amount]]&gt;500,"High Value","Standard"),
    IF(Transactions_RAW_cleaned[[#This Row],[Amount]]&gt;250,"High Value","Standard")))</f>
        <v>High Value</v>
      </c>
      <c r="Q2363" s="5" t="str">
        <f>IF(Transactions_RAW_cleaned[[#This Row],[Amount]] &gt; (_xlfn.XLOOKUP(Transactions_RAW_cleaned[[#This Row],[ServiceID]],Services_cleaned[ServiceID],Services_cleaned[TransactionFeePct]) * 10000), "Yes", "No")</f>
        <v>Yes</v>
      </c>
      <c r="R2363" s="5" t="str">
        <f>IF(COUNTIFS($C$2:Transactions_RAW_cleaned[[#This Row],[CustomerID]],Transactions_RAW_cleaned[[#This Row],[CustomerID]],$D$2:Transactions_RAW_cleaned[[#This Row],[ServiceID]],Transactions_RAW_cleaned[[#This Row],[ServiceID]])=1,"Yes","No")</f>
        <v>No</v>
      </c>
      <c r="S236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63" t="str">
        <f>"Q"&amp;ROUNDUP(MONTH(Transactions_RAW_cleaned[[#This Row],[TransactionDate]])/3,0)</f>
        <v>Q4</v>
      </c>
      <c r="U2363" t="str">
        <f>Transactions_RAW_cleaned[[#This Row],[Region ]]&amp;Transactions_RAW_cleaned[[#This Row],[Quarter ]]</f>
        <v>NAQ4</v>
      </c>
      <c r="V2363" s="5">
        <f>_xlfn.XLOOKUP(Transactions_RAW_cleaned[[#This Row],[RegionQuarterKey]], Quarterly_Targets_cleaned[RegionQuarterKey], Quarterly_Targets_cleaned[TargetRevenue])</f>
        <v>299000</v>
      </c>
    </row>
    <row r="2364" spans="1:22" x14ac:dyDescent="0.25">
      <c r="A2364" t="s">
        <v>2701</v>
      </c>
      <c r="B2364" s="1">
        <v>45657</v>
      </c>
      <c r="C2364" t="s">
        <v>38</v>
      </c>
      <c r="D2364" t="s">
        <v>300</v>
      </c>
      <c r="E2364">
        <v>421.46</v>
      </c>
      <c r="F2364" t="s">
        <v>324</v>
      </c>
      <c r="G2364" t="s">
        <v>327</v>
      </c>
      <c r="H2364" t="s">
        <v>346</v>
      </c>
      <c r="I2364" t="s">
        <v>8</v>
      </c>
      <c r="J2364" t="s">
        <v>102</v>
      </c>
      <c r="K2364" t="s">
        <v>28</v>
      </c>
      <c r="L2364" t="s">
        <v>301</v>
      </c>
      <c r="M2364" t="s">
        <v>302</v>
      </c>
      <c r="N2364">
        <v>5.0000000000000001E-3</v>
      </c>
      <c r="O2364" t="str">
        <f>IF(Transactions_RAW_cleaned[[#This Row],[Status]]="Completed", IFERROR(_xlfn.XLOOKUP(Transactions_RAW_cleaned[[#This Row],[CustomerID]], Customers_cleaned[CustomerID], Customers_cleaned[Segment]), "Customer Not Found"), "N/A")</f>
        <v>SMB</v>
      </c>
      <c r="P2364" s="5" t="str">
        <f>IF(Transactions_RAW_cleaned[[#This Row],[Status]]="Refunded", "Refund",
  IF(Transactions_RAW_cleaned[[#This Row],[Category]]="Payments", IF(Transactions_RAW_cleaned[[#This Row],[Amount]]&gt;500,"High Value","Standard"),
    IF(Transactions_RAW_cleaned[[#This Row],[Amount]]&gt;250,"High Value","Standard")))</f>
        <v>High Value</v>
      </c>
      <c r="Q2364" s="5" t="str">
        <f>IF(Transactions_RAW_cleaned[[#This Row],[Amount]] &gt; (_xlfn.XLOOKUP(Transactions_RAW_cleaned[[#This Row],[ServiceID]],Services_cleaned[ServiceID],Services_cleaned[TransactionFeePct]) * 10000), "Yes", "No")</f>
        <v>Yes</v>
      </c>
      <c r="R2364" s="5" t="str">
        <f>IF(COUNTIFS($C$2:Transactions_RAW_cleaned[[#This Row],[CustomerID]],Transactions_RAW_cleaned[[#This Row],[CustomerID]],$D$2:Transactions_RAW_cleaned[[#This Row],[ServiceID]],Transactions_RAW_cleaned[[#This Row],[ServiceID]])=1,"Yes","No")</f>
        <v>No</v>
      </c>
      <c r="S236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64" t="str">
        <f>"Q"&amp;ROUNDUP(MONTH(Transactions_RAW_cleaned[[#This Row],[TransactionDate]])/3,0)</f>
        <v>Q4</v>
      </c>
      <c r="U2364" t="str">
        <f>Transactions_RAW_cleaned[[#This Row],[Region ]]&amp;Transactions_RAW_cleaned[[#This Row],[Quarter ]]</f>
        <v>NAQ4</v>
      </c>
      <c r="V2364" s="5">
        <f>_xlfn.XLOOKUP(Transactions_RAW_cleaned[[#This Row],[RegionQuarterKey]], Quarterly_Targets_cleaned[RegionQuarterKey], Quarterly_Targets_cleaned[TargetRevenue])</f>
        <v>299000</v>
      </c>
    </row>
    <row r="2365" spans="1:22" x14ac:dyDescent="0.25">
      <c r="A2365" t="s">
        <v>2702</v>
      </c>
      <c r="B2365" s="1">
        <v>45543</v>
      </c>
      <c r="C2365" t="s">
        <v>167</v>
      </c>
      <c r="D2365" t="s">
        <v>297</v>
      </c>
      <c r="E2365">
        <v>1148.7</v>
      </c>
      <c r="F2365" t="s">
        <v>331</v>
      </c>
      <c r="G2365" t="s">
        <v>325</v>
      </c>
      <c r="I2365" t="s">
        <v>17</v>
      </c>
      <c r="J2365" t="s">
        <v>13</v>
      </c>
      <c r="K2365" t="s">
        <v>10</v>
      </c>
      <c r="L2365" t="s">
        <v>298</v>
      </c>
      <c r="M2365" t="s">
        <v>299</v>
      </c>
      <c r="N2365">
        <v>0</v>
      </c>
      <c r="O2365" t="str">
        <f>IF(Transactions_RAW_cleaned[[#This Row],[Status]]="Completed", IFERROR(_xlfn.XLOOKUP(Transactions_RAW_cleaned[[#This Row],[CustomerID]], Customers_cleaned[CustomerID], Customers_cleaned[Segment]), "Customer Not Found"), "N/A")</f>
        <v>N/A</v>
      </c>
      <c r="P2365" s="5" t="str">
        <f>IF(Transactions_RAW_cleaned[[#This Row],[Status]]="Refunded", "Refund",
  IF(Transactions_RAW_cleaned[[#This Row],[Category]]="Payments", IF(Transactions_RAW_cleaned[[#This Row],[Amount]]&gt;500,"High Value","Standard"),
    IF(Transactions_RAW_cleaned[[#This Row],[Amount]]&gt;250,"High Value","Standard")))</f>
        <v>High Value</v>
      </c>
      <c r="Q2365" s="5" t="str">
        <f>IF(Transactions_RAW_cleaned[[#This Row],[Amount]] &gt; (_xlfn.XLOOKUP(Transactions_RAW_cleaned[[#This Row],[ServiceID]],Services_cleaned[ServiceID],Services_cleaned[TransactionFeePct]) * 10000), "Yes", "No")</f>
        <v>Yes</v>
      </c>
      <c r="R2365" s="5" t="str">
        <f>IF(COUNTIFS($C$2:Transactions_RAW_cleaned[[#This Row],[CustomerID]],Transactions_RAW_cleaned[[#This Row],[CustomerID]],$D$2:Transactions_RAW_cleaned[[#This Row],[ServiceID]],Transactions_RAW_cleaned[[#This Row],[ServiceID]])=1,"Yes","No")</f>
        <v>No</v>
      </c>
      <c r="S236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65" t="str">
        <f>"Q"&amp;ROUNDUP(MONTH(Transactions_RAW_cleaned[[#This Row],[TransactionDate]])/3,0)</f>
        <v>Q3</v>
      </c>
      <c r="U2365" t="str">
        <f>Transactions_RAW_cleaned[[#This Row],[Region ]]&amp;Transactions_RAW_cleaned[[#This Row],[Quarter ]]</f>
        <v>NAQ3</v>
      </c>
      <c r="V2365" s="5">
        <f>_xlfn.XLOOKUP(Transactions_RAW_cleaned[[#This Row],[RegionQuarterKey]], Quarterly_Targets_cleaned[RegionQuarterKey], Quarterly_Targets_cleaned[TargetRevenue])</f>
        <v>273000</v>
      </c>
    </row>
    <row r="2366" spans="1:22" x14ac:dyDescent="0.25">
      <c r="A2366" t="s">
        <v>2703</v>
      </c>
      <c r="B2366" s="1">
        <v>45335</v>
      </c>
      <c r="C2366" t="s">
        <v>80</v>
      </c>
      <c r="D2366" t="s">
        <v>315</v>
      </c>
      <c r="E2366">
        <v>151.49</v>
      </c>
      <c r="F2366" t="s">
        <v>324</v>
      </c>
      <c r="G2366" t="s">
        <v>327</v>
      </c>
      <c r="H2366" t="s">
        <v>346</v>
      </c>
      <c r="I2366" t="s">
        <v>8</v>
      </c>
      <c r="J2366" t="s">
        <v>13</v>
      </c>
      <c r="K2366" t="s">
        <v>32</v>
      </c>
      <c r="L2366" t="s">
        <v>316</v>
      </c>
      <c r="M2366" t="s">
        <v>305</v>
      </c>
      <c r="N2366">
        <v>2.5000000000000001E-3</v>
      </c>
      <c r="O2366" t="str">
        <f>IF(Transactions_RAW_cleaned[[#This Row],[Status]]="Completed", IFERROR(_xlfn.XLOOKUP(Transactions_RAW_cleaned[[#This Row],[CustomerID]], Customers_cleaned[CustomerID], Customers_cleaned[Segment]), "Customer Not Found"), "N/A")</f>
        <v>SMB</v>
      </c>
      <c r="P2366" s="5" t="str">
        <f>IF(Transactions_RAW_cleaned[[#This Row],[Status]]="Refunded", "Refund",
  IF(Transactions_RAW_cleaned[[#This Row],[Category]]="Payments", IF(Transactions_RAW_cleaned[[#This Row],[Amount]]&gt;500,"High Value","Standard"),
    IF(Transactions_RAW_cleaned[[#This Row],[Amount]]&gt;250,"High Value","Standard")))</f>
        <v>Standard</v>
      </c>
      <c r="Q2366" s="5" t="str">
        <f>IF(Transactions_RAW_cleaned[[#This Row],[Amount]] &gt; (_xlfn.XLOOKUP(Transactions_RAW_cleaned[[#This Row],[ServiceID]],Services_cleaned[ServiceID],Services_cleaned[TransactionFeePct]) * 10000), "Yes", "No")</f>
        <v>Yes</v>
      </c>
      <c r="R2366" s="5" t="str">
        <f>IF(COUNTIFS($C$2:Transactions_RAW_cleaned[[#This Row],[CustomerID]],Transactions_RAW_cleaned[[#This Row],[CustomerID]],$D$2:Transactions_RAW_cleaned[[#This Row],[ServiceID]],Transactions_RAW_cleaned[[#This Row],[ServiceID]])=1,"Yes","No")</f>
        <v>No</v>
      </c>
      <c r="S236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66" t="str">
        <f>"Q"&amp;ROUNDUP(MONTH(Transactions_RAW_cleaned[[#This Row],[TransactionDate]])/3,0)</f>
        <v>Q1</v>
      </c>
      <c r="U2366" t="str">
        <f>Transactions_RAW_cleaned[[#This Row],[Region ]]&amp;Transactions_RAW_cleaned[[#This Row],[Quarter ]]</f>
        <v>NAQ1</v>
      </c>
      <c r="V2366" s="5">
        <f>_xlfn.XLOOKUP(Transactions_RAW_cleaned[[#This Row],[RegionQuarterKey]], Quarterly_Targets_cleaned[RegionQuarterKey], Quarterly_Targets_cleaned[TargetRevenue])</f>
        <v>247000</v>
      </c>
    </row>
    <row r="2367" spans="1:22" x14ac:dyDescent="0.25">
      <c r="A2367" t="s">
        <v>2704</v>
      </c>
      <c r="B2367" s="1">
        <v>45424</v>
      </c>
      <c r="C2367" t="s">
        <v>185</v>
      </c>
      <c r="D2367" t="s">
        <v>294</v>
      </c>
      <c r="E2367">
        <v>817.15</v>
      </c>
      <c r="F2367" t="s">
        <v>324</v>
      </c>
      <c r="G2367" t="s">
        <v>2963</v>
      </c>
      <c r="I2367" t="s">
        <v>17</v>
      </c>
      <c r="J2367" t="s">
        <v>13</v>
      </c>
      <c r="K2367" t="s">
        <v>32</v>
      </c>
      <c r="L2367" t="s">
        <v>295</v>
      </c>
      <c r="M2367" t="s">
        <v>296</v>
      </c>
      <c r="N2367">
        <v>2.9000000000000001E-2</v>
      </c>
      <c r="O2367" t="str">
        <f>IF(Transactions_RAW_cleaned[[#This Row],[Status]]="Completed", IFERROR(_xlfn.XLOOKUP(Transactions_RAW_cleaned[[#This Row],[CustomerID]], Customers_cleaned[CustomerID], Customers_cleaned[Segment]), "Customer Not Found"), "N/A")</f>
        <v>Enterprise</v>
      </c>
      <c r="P2367" s="5" t="str">
        <f>IF(Transactions_RAW_cleaned[[#This Row],[Status]]="Refunded", "Refund",
  IF(Transactions_RAW_cleaned[[#This Row],[Category]]="Payments", IF(Transactions_RAW_cleaned[[#This Row],[Amount]]&gt;500,"High Value","Standard"),
    IF(Transactions_RAW_cleaned[[#This Row],[Amount]]&gt;250,"High Value","Standard")))</f>
        <v>High Value</v>
      </c>
      <c r="Q2367" s="5" t="str">
        <f>IF(Transactions_RAW_cleaned[[#This Row],[Amount]] &gt; (_xlfn.XLOOKUP(Transactions_RAW_cleaned[[#This Row],[ServiceID]],Services_cleaned[ServiceID],Services_cleaned[TransactionFeePct]) * 10000), "Yes", "No")</f>
        <v>Yes</v>
      </c>
      <c r="R2367" s="5" t="str">
        <f>IF(COUNTIFS($C$2:Transactions_RAW_cleaned[[#This Row],[CustomerID]],Transactions_RAW_cleaned[[#This Row],[CustomerID]],$D$2:Transactions_RAW_cleaned[[#This Row],[ServiceID]],Transactions_RAW_cleaned[[#This Row],[ServiceID]])=1,"Yes","No")</f>
        <v>No</v>
      </c>
      <c r="S236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67" t="str">
        <f>"Q"&amp;ROUNDUP(MONTH(Transactions_RAW_cleaned[[#This Row],[TransactionDate]])/3,0)</f>
        <v>Q2</v>
      </c>
      <c r="U2367" t="str">
        <f>Transactions_RAW_cleaned[[#This Row],[Region ]]&amp;Transactions_RAW_cleaned[[#This Row],[Quarter ]]</f>
        <v>NAQ2</v>
      </c>
      <c r="V2367" s="5">
        <f>_xlfn.XLOOKUP(Transactions_RAW_cleaned[[#This Row],[RegionQuarterKey]], Quarterly_Targets_cleaned[RegionQuarterKey], Quarterly_Targets_cleaned[TargetRevenue])</f>
        <v>260000</v>
      </c>
    </row>
    <row r="2368" spans="1:22" x14ac:dyDescent="0.25">
      <c r="A2368" t="s">
        <v>2705</v>
      </c>
      <c r="B2368" s="1">
        <v>45629</v>
      </c>
      <c r="C2368" t="s">
        <v>105</v>
      </c>
      <c r="D2368" t="s">
        <v>300</v>
      </c>
      <c r="E2368">
        <v>1252.78</v>
      </c>
      <c r="F2368" t="s">
        <v>324</v>
      </c>
      <c r="G2368" t="s">
        <v>327</v>
      </c>
      <c r="I2368" t="s">
        <v>57</v>
      </c>
      <c r="J2368" t="s">
        <v>102</v>
      </c>
      <c r="K2368" t="s">
        <v>32</v>
      </c>
      <c r="L2368" t="s">
        <v>301</v>
      </c>
      <c r="M2368" t="s">
        <v>302</v>
      </c>
      <c r="N2368">
        <v>5.0000000000000001E-3</v>
      </c>
      <c r="O2368" t="str">
        <f>IF(Transactions_RAW_cleaned[[#This Row],[Status]]="Completed", IFERROR(_xlfn.XLOOKUP(Transactions_RAW_cleaned[[#This Row],[CustomerID]], Customers_cleaned[CustomerID], Customers_cleaned[Segment]), "Customer Not Found"), "N/A")</f>
        <v>Startup</v>
      </c>
      <c r="P2368" s="5" t="str">
        <f>IF(Transactions_RAW_cleaned[[#This Row],[Status]]="Refunded", "Refund",
  IF(Transactions_RAW_cleaned[[#This Row],[Category]]="Payments", IF(Transactions_RAW_cleaned[[#This Row],[Amount]]&gt;500,"High Value","Standard"),
    IF(Transactions_RAW_cleaned[[#This Row],[Amount]]&gt;250,"High Value","Standard")))</f>
        <v>High Value</v>
      </c>
      <c r="Q2368" s="5" t="str">
        <f>IF(Transactions_RAW_cleaned[[#This Row],[Amount]] &gt; (_xlfn.XLOOKUP(Transactions_RAW_cleaned[[#This Row],[ServiceID]],Services_cleaned[ServiceID],Services_cleaned[TransactionFeePct]) * 10000), "Yes", "No")</f>
        <v>Yes</v>
      </c>
      <c r="R2368" s="5" t="str">
        <f>IF(COUNTIFS($C$2:Transactions_RAW_cleaned[[#This Row],[CustomerID]],Transactions_RAW_cleaned[[#This Row],[CustomerID]],$D$2:Transactions_RAW_cleaned[[#This Row],[ServiceID]],Transactions_RAW_cleaned[[#This Row],[ServiceID]])=1,"Yes","No")</f>
        <v>No</v>
      </c>
      <c r="S236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68" t="str">
        <f>"Q"&amp;ROUNDUP(MONTH(Transactions_RAW_cleaned[[#This Row],[TransactionDate]])/3,0)</f>
        <v>Q4</v>
      </c>
      <c r="U2368" t="str">
        <f>Transactions_RAW_cleaned[[#This Row],[Region ]]&amp;Transactions_RAW_cleaned[[#This Row],[Quarter ]]</f>
        <v>NAQ4</v>
      </c>
      <c r="V2368" s="5">
        <f>_xlfn.XLOOKUP(Transactions_RAW_cleaned[[#This Row],[RegionQuarterKey]], Quarterly_Targets_cleaned[RegionQuarterKey], Quarterly_Targets_cleaned[TargetRevenue])</f>
        <v>299000</v>
      </c>
    </row>
    <row r="2369" spans="1:22" x14ac:dyDescent="0.25">
      <c r="A2369" t="s">
        <v>2706</v>
      </c>
      <c r="B2369" s="1">
        <v>45477</v>
      </c>
      <c r="C2369" t="s">
        <v>641</v>
      </c>
      <c r="D2369" t="s">
        <v>309</v>
      </c>
      <c r="E2369">
        <v>193.92</v>
      </c>
      <c r="F2369" t="s">
        <v>324</v>
      </c>
      <c r="G2369" t="s">
        <v>2963</v>
      </c>
      <c r="I2369" t="s">
        <v>8</v>
      </c>
      <c r="J2369" t="s">
        <v>13</v>
      </c>
      <c r="K2369" t="s">
        <v>22</v>
      </c>
      <c r="L2369" t="s">
        <v>310</v>
      </c>
      <c r="M2369" t="s">
        <v>311</v>
      </c>
      <c r="N2369">
        <v>0</v>
      </c>
      <c r="O2369" t="str">
        <f>IF(Transactions_RAW_cleaned[[#This Row],[Status]]="Completed", IFERROR(_xlfn.XLOOKUP(Transactions_RAW_cleaned[[#This Row],[CustomerID]], Customers_cleaned[CustomerID], Customers_cleaned[Segment]), "Customer Not Found"), "N/A")</f>
        <v>SMB</v>
      </c>
      <c r="P2369" s="5" t="str">
        <f>IF(Transactions_RAW_cleaned[[#This Row],[Status]]="Refunded", "Refund",
  IF(Transactions_RAW_cleaned[[#This Row],[Category]]="Payments", IF(Transactions_RAW_cleaned[[#This Row],[Amount]]&gt;500,"High Value","Standard"),
    IF(Transactions_RAW_cleaned[[#This Row],[Amount]]&gt;250,"High Value","Standard")))</f>
        <v>Standard</v>
      </c>
      <c r="Q2369" s="5" t="str">
        <f>IF(Transactions_RAW_cleaned[[#This Row],[Amount]] &gt; (_xlfn.XLOOKUP(Transactions_RAW_cleaned[[#This Row],[ServiceID]],Services_cleaned[ServiceID],Services_cleaned[TransactionFeePct]) * 10000), "Yes", "No")</f>
        <v>Yes</v>
      </c>
      <c r="R2369" s="5" t="str">
        <f>IF(COUNTIFS($C$2:Transactions_RAW_cleaned[[#This Row],[CustomerID]],Transactions_RAW_cleaned[[#This Row],[CustomerID]],$D$2:Transactions_RAW_cleaned[[#This Row],[ServiceID]],Transactions_RAW_cleaned[[#This Row],[ServiceID]])=1,"Yes","No")</f>
        <v>Yes</v>
      </c>
      <c r="S236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69" t="str">
        <f>"Q"&amp;ROUNDUP(MONTH(Transactions_RAW_cleaned[[#This Row],[TransactionDate]])/3,0)</f>
        <v>Q3</v>
      </c>
      <c r="U2369" t="str">
        <f>Transactions_RAW_cleaned[[#This Row],[Region ]]&amp;Transactions_RAW_cleaned[[#This Row],[Quarter ]]</f>
        <v>NAQ3</v>
      </c>
      <c r="V2369" s="5">
        <f>_xlfn.XLOOKUP(Transactions_RAW_cleaned[[#This Row],[RegionQuarterKey]], Quarterly_Targets_cleaned[RegionQuarterKey], Quarterly_Targets_cleaned[TargetRevenue])</f>
        <v>273000</v>
      </c>
    </row>
    <row r="2370" spans="1:22" x14ac:dyDescent="0.25">
      <c r="A2370" t="s">
        <v>2707</v>
      </c>
      <c r="B2370" s="1">
        <v>45563</v>
      </c>
      <c r="C2370" t="s">
        <v>191</v>
      </c>
      <c r="D2370" t="s">
        <v>306</v>
      </c>
      <c r="E2370">
        <v>477.31</v>
      </c>
      <c r="F2370" t="s">
        <v>324</v>
      </c>
      <c r="G2370" t="s">
        <v>327</v>
      </c>
      <c r="I2370" t="s">
        <v>57</v>
      </c>
      <c r="J2370" t="s">
        <v>31</v>
      </c>
      <c r="K2370" t="s">
        <v>32</v>
      </c>
      <c r="L2370" t="s">
        <v>307</v>
      </c>
      <c r="M2370" t="s">
        <v>308</v>
      </c>
      <c r="N2370">
        <v>0</v>
      </c>
      <c r="O2370" t="str">
        <f>IF(Transactions_RAW_cleaned[[#This Row],[Status]]="Completed", IFERROR(_xlfn.XLOOKUP(Transactions_RAW_cleaned[[#This Row],[CustomerID]], Customers_cleaned[CustomerID], Customers_cleaned[Segment]), "Customer Not Found"), "N/A")</f>
        <v>Startup</v>
      </c>
      <c r="P2370" s="5" t="str">
        <f>IF(Transactions_RAW_cleaned[[#This Row],[Status]]="Refunded", "Refund",
  IF(Transactions_RAW_cleaned[[#This Row],[Category]]="Payments", IF(Transactions_RAW_cleaned[[#This Row],[Amount]]&gt;500,"High Value","Standard"),
    IF(Transactions_RAW_cleaned[[#This Row],[Amount]]&gt;250,"High Value","Standard")))</f>
        <v>High Value</v>
      </c>
      <c r="Q2370" s="5" t="str">
        <f>IF(Transactions_RAW_cleaned[[#This Row],[Amount]] &gt; (_xlfn.XLOOKUP(Transactions_RAW_cleaned[[#This Row],[ServiceID]],Services_cleaned[ServiceID],Services_cleaned[TransactionFeePct]) * 10000), "Yes", "No")</f>
        <v>Yes</v>
      </c>
      <c r="R2370" s="5" t="str">
        <f>IF(COUNTIFS($C$2:Transactions_RAW_cleaned[[#This Row],[CustomerID]],Transactions_RAW_cleaned[[#This Row],[CustomerID]],$D$2:Transactions_RAW_cleaned[[#This Row],[ServiceID]],Transactions_RAW_cleaned[[#This Row],[ServiceID]])=1,"Yes","No")</f>
        <v>No</v>
      </c>
      <c r="S237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70" t="str">
        <f>"Q"&amp;ROUNDUP(MONTH(Transactions_RAW_cleaned[[#This Row],[TransactionDate]])/3,0)</f>
        <v>Q3</v>
      </c>
      <c r="U2370" t="str">
        <f>Transactions_RAW_cleaned[[#This Row],[Region ]]&amp;Transactions_RAW_cleaned[[#This Row],[Quarter ]]</f>
        <v>EMEAQ3</v>
      </c>
      <c r="V2370" s="5">
        <f>_xlfn.XLOOKUP(Transactions_RAW_cleaned[[#This Row],[RegionQuarterKey]], Quarterly_Targets_cleaned[RegionQuarterKey], Quarterly_Targets_cleaned[TargetRevenue])</f>
        <v>147000</v>
      </c>
    </row>
    <row r="2371" spans="1:22" x14ac:dyDescent="0.25">
      <c r="A2371" t="s">
        <v>2708</v>
      </c>
      <c r="B2371" s="1">
        <v>45340</v>
      </c>
      <c r="C2371" t="s">
        <v>23</v>
      </c>
      <c r="D2371" t="s">
        <v>294</v>
      </c>
      <c r="E2371">
        <v>253.14</v>
      </c>
      <c r="F2371" t="s">
        <v>381</v>
      </c>
      <c r="G2371" t="s">
        <v>327</v>
      </c>
      <c r="I2371" t="s">
        <v>8</v>
      </c>
      <c r="J2371" t="s">
        <v>25</v>
      </c>
      <c r="K2371" t="s">
        <v>22</v>
      </c>
      <c r="L2371" t="s">
        <v>295</v>
      </c>
      <c r="M2371" t="s">
        <v>296</v>
      </c>
      <c r="N2371">
        <v>2.9000000000000001E-2</v>
      </c>
      <c r="O2371" t="str">
        <f>IF(Transactions_RAW_cleaned[[#This Row],[Status]]="Completed", IFERROR(_xlfn.XLOOKUP(Transactions_RAW_cleaned[[#This Row],[CustomerID]], Customers_cleaned[CustomerID], Customers_cleaned[Segment]), "Customer Not Found"), "N/A")</f>
        <v>N/A</v>
      </c>
      <c r="P2371" s="5" t="str">
        <f>IF(Transactions_RAW_cleaned[[#This Row],[Status]]="Refunded", "Refund",
  IF(Transactions_RAW_cleaned[[#This Row],[Category]]="Payments", IF(Transactions_RAW_cleaned[[#This Row],[Amount]]&gt;500,"High Value","Standard"),
    IF(Transactions_RAW_cleaned[[#This Row],[Amount]]&gt;250,"High Value","Standard")))</f>
        <v>Standard</v>
      </c>
      <c r="Q2371" s="5" t="str">
        <f>IF(Transactions_RAW_cleaned[[#This Row],[Amount]] &gt; (_xlfn.XLOOKUP(Transactions_RAW_cleaned[[#This Row],[ServiceID]],Services_cleaned[ServiceID],Services_cleaned[TransactionFeePct]) * 10000), "Yes", "No")</f>
        <v>No</v>
      </c>
      <c r="R2371" s="5" t="str">
        <f>IF(COUNTIFS($C$2:Transactions_RAW_cleaned[[#This Row],[CustomerID]],Transactions_RAW_cleaned[[#This Row],[CustomerID]],$D$2:Transactions_RAW_cleaned[[#This Row],[ServiceID]],Transactions_RAW_cleaned[[#This Row],[ServiceID]])=1,"Yes","No")</f>
        <v>No</v>
      </c>
      <c r="S237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71" t="str">
        <f>"Q"&amp;ROUNDUP(MONTH(Transactions_RAW_cleaned[[#This Row],[TransactionDate]])/3,0)</f>
        <v>Q1</v>
      </c>
      <c r="U2371" t="str">
        <f>Transactions_RAW_cleaned[[#This Row],[Region ]]&amp;Transactions_RAW_cleaned[[#This Row],[Quarter ]]</f>
        <v>APACQ1</v>
      </c>
      <c r="V2371" s="5">
        <f>_xlfn.XLOOKUP(Transactions_RAW_cleaned[[#This Row],[RegionQuarterKey]], Quarterly_Targets_cleaned[RegionQuarterKey], Quarterly_Targets_cleaned[TargetRevenue])</f>
        <v>104500</v>
      </c>
    </row>
    <row r="2372" spans="1:22" x14ac:dyDescent="0.25">
      <c r="A2372" t="s">
        <v>2709</v>
      </c>
      <c r="B2372" s="1">
        <v>45490</v>
      </c>
      <c r="C2372" t="s">
        <v>51</v>
      </c>
      <c r="D2372" t="s">
        <v>294</v>
      </c>
      <c r="E2372">
        <v>818.69</v>
      </c>
      <c r="F2372" t="s">
        <v>324</v>
      </c>
      <c r="G2372" t="s">
        <v>327</v>
      </c>
      <c r="H2372" t="s">
        <v>346</v>
      </c>
      <c r="I2372" t="s">
        <v>8</v>
      </c>
      <c r="J2372" t="s">
        <v>31</v>
      </c>
      <c r="K2372" t="s">
        <v>14</v>
      </c>
      <c r="L2372" t="s">
        <v>295</v>
      </c>
      <c r="M2372" t="s">
        <v>296</v>
      </c>
      <c r="N2372">
        <v>2.9000000000000001E-2</v>
      </c>
      <c r="O2372" t="str">
        <f>IF(Transactions_RAW_cleaned[[#This Row],[Status]]="Completed", IFERROR(_xlfn.XLOOKUP(Transactions_RAW_cleaned[[#This Row],[CustomerID]], Customers_cleaned[CustomerID], Customers_cleaned[Segment]), "Customer Not Found"), "N/A")</f>
        <v>SMB</v>
      </c>
      <c r="P2372" s="5" t="str">
        <f>IF(Transactions_RAW_cleaned[[#This Row],[Status]]="Refunded", "Refund",
  IF(Transactions_RAW_cleaned[[#This Row],[Category]]="Payments", IF(Transactions_RAW_cleaned[[#This Row],[Amount]]&gt;500,"High Value","Standard"),
    IF(Transactions_RAW_cleaned[[#This Row],[Amount]]&gt;250,"High Value","Standard")))</f>
        <v>High Value</v>
      </c>
      <c r="Q2372" s="5" t="str">
        <f>IF(Transactions_RAW_cleaned[[#This Row],[Amount]] &gt; (_xlfn.XLOOKUP(Transactions_RAW_cleaned[[#This Row],[ServiceID]],Services_cleaned[ServiceID],Services_cleaned[TransactionFeePct]) * 10000), "Yes", "No")</f>
        <v>Yes</v>
      </c>
      <c r="R2372" s="5" t="str">
        <f>IF(COUNTIFS($C$2:Transactions_RAW_cleaned[[#This Row],[CustomerID]],Transactions_RAW_cleaned[[#This Row],[CustomerID]],$D$2:Transactions_RAW_cleaned[[#This Row],[ServiceID]],Transactions_RAW_cleaned[[#This Row],[ServiceID]])=1,"Yes","No")</f>
        <v>No</v>
      </c>
      <c r="S237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72" t="str">
        <f>"Q"&amp;ROUNDUP(MONTH(Transactions_RAW_cleaned[[#This Row],[TransactionDate]])/3,0)</f>
        <v>Q3</v>
      </c>
      <c r="U2372" t="str">
        <f>Transactions_RAW_cleaned[[#This Row],[Region ]]&amp;Transactions_RAW_cleaned[[#This Row],[Quarter ]]</f>
        <v>EMEAQ3</v>
      </c>
      <c r="V2372" s="5">
        <f>_xlfn.XLOOKUP(Transactions_RAW_cleaned[[#This Row],[RegionQuarterKey]], Quarterly_Targets_cleaned[RegionQuarterKey], Quarterly_Targets_cleaned[TargetRevenue])</f>
        <v>147000</v>
      </c>
    </row>
    <row r="2373" spans="1:22" x14ac:dyDescent="0.25">
      <c r="A2373" t="s">
        <v>2710</v>
      </c>
      <c r="B2373" s="1">
        <v>45475</v>
      </c>
      <c r="C2373" t="s">
        <v>139</v>
      </c>
      <c r="D2373" t="s">
        <v>306</v>
      </c>
      <c r="E2373">
        <v>344.97</v>
      </c>
      <c r="F2373" t="s">
        <v>324</v>
      </c>
      <c r="G2373" t="s">
        <v>325</v>
      </c>
      <c r="H2373" t="s">
        <v>332</v>
      </c>
      <c r="I2373" t="s">
        <v>8</v>
      </c>
      <c r="J2373" t="s">
        <v>102</v>
      </c>
      <c r="K2373" t="s">
        <v>22</v>
      </c>
      <c r="L2373" t="s">
        <v>307</v>
      </c>
      <c r="M2373" t="s">
        <v>308</v>
      </c>
      <c r="N2373">
        <v>0</v>
      </c>
      <c r="O2373" t="str">
        <f>IF(Transactions_RAW_cleaned[[#This Row],[Status]]="Completed", IFERROR(_xlfn.XLOOKUP(Transactions_RAW_cleaned[[#This Row],[CustomerID]], Customers_cleaned[CustomerID], Customers_cleaned[Segment]), "Customer Not Found"), "N/A")</f>
        <v>SMB</v>
      </c>
      <c r="P2373" s="5" t="str">
        <f>IF(Transactions_RAW_cleaned[[#This Row],[Status]]="Refunded", "Refund",
  IF(Transactions_RAW_cleaned[[#This Row],[Category]]="Payments", IF(Transactions_RAW_cleaned[[#This Row],[Amount]]&gt;500,"High Value","Standard"),
    IF(Transactions_RAW_cleaned[[#This Row],[Amount]]&gt;250,"High Value","Standard")))</f>
        <v>High Value</v>
      </c>
      <c r="Q2373" s="5" t="str">
        <f>IF(Transactions_RAW_cleaned[[#This Row],[Amount]] &gt; (_xlfn.XLOOKUP(Transactions_RAW_cleaned[[#This Row],[ServiceID]],Services_cleaned[ServiceID],Services_cleaned[TransactionFeePct]) * 10000), "Yes", "No")</f>
        <v>Yes</v>
      </c>
      <c r="R2373" s="5" t="str">
        <f>IF(COUNTIFS($C$2:Transactions_RAW_cleaned[[#This Row],[CustomerID]],Transactions_RAW_cleaned[[#This Row],[CustomerID]],$D$2:Transactions_RAW_cleaned[[#This Row],[ServiceID]],Transactions_RAW_cleaned[[#This Row],[ServiceID]])=1,"Yes","No")</f>
        <v>Yes</v>
      </c>
      <c r="S237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73" t="str">
        <f>"Q"&amp;ROUNDUP(MONTH(Transactions_RAW_cleaned[[#This Row],[TransactionDate]])/3,0)</f>
        <v>Q3</v>
      </c>
      <c r="U2373" t="str">
        <f>Transactions_RAW_cleaned[[#This Row],[Region ]]&amp;Transactions_RAW_cleaned[[#This Row],[Quarter ]]</f>
        <v>NAQ3</v>
      </c>
      <c r="V2373" s="5">
        <f>_xlfn.XLOOKUP(Transactions_RAW_cleaned[[#This Row],[RegionQuarterKey]], Quarterly_Targets_cleaned[RegionQuarterKey], Quarterly_Targets_cleaned[TargetRevenue])</f>
        <v>273000</v>
      </c>
    </row>
    <row r="2374" spans="1:22" x14ac:dyDescent="0.25">
      <c r="A2374" t="s">
        <v>2711</v>
      </c>
      <c r="B2374" s="1">
        <v>45595</v>
      </c>
      <c r="C2374" t="s">
        <v>129</v>
      </c>
      <c r="D2374" t="s">
        <v>309</v>
      </c>
      <c r="E2374">
        <v>517.4</v>
      </c>
      <c r="F2374" t="s">
        <v>324</v>
      </c>
      <c r="G2374" t="s">
        <v>325</v>
      </c>
      <c r="H2374" t="s">
        <v>346</v>
      </c>
      <c r="I2374" t="s">
        <v>8</v>
      </c>
      <c r="J2374" t="s">
        <v>21</v>
      </c>
      <c r="K2374" t="s">
        <v>18</v>
      </c>
      <c r="L2374" t="s">
        <v>310</v>
      </c>
      <c r="M2374" t="s">
        <v>311</v>
      </c>
      <c r="N2374">
        <v>0</v>
      </c>
      <c r="O2374" t="str">
        <f>IF(Transactions_RAW_cleaned[[#This Row],[Status]]="Completed", IFERROR(_xlfn.XLOOKUP(Transactions_RAW_cleaned[[#This Row],[CustomerID]], Customers_cleaned[CustomerID], Customers_cleaned[Segment]), "Customer Not Found"), "N/A")</f>
        <v>SMB</v>
      </c>
      <c r="P2374" s="5" t="str">
        <f>IF(Transactions_RAW_cleaned[[#This Row],[Status]]="Refunded", "Refund",
  IF(Transactions_RAW_cleaned[[#This Row],[Category]]="Payments", IF(Transactions_RAW_cleaned[[#This Row],[Amount]]&gt;500,"High Value","Standard"),
    IF(Transactions_RAW_cleaned[[#This Row],[Amount]]&gt;250,"High Value","Standard")))</f>
        <v>High Value</v>
      </c>
      <c r="Q2374" s="5" t="str">
        <f>IF(Transactions_RAW_cleaned[[#This Row],[Amount]] &gt; (_xlfn.XLOOKUP(Transactions_RAW_cleaned[[#This Row],[ServiceID]],Services_cleaned[ServiceID],Services_cleaned[TransactionFeePct]) * 10000), "Yes", "No")</f>
        <v>Yes</v>
      </c>
      <c r="R2374" s="5" t="str">
        <f>IF(COUNTIFS($C$2:Transactions_RAW_cleaned[[#This Row],[CustomerID]],Transactions_RAW_cleaned[[#This Row],[CustomerID]],$D$2:Transactions_RAW_cleaned[[#This Row],[ServiceID]],Transactions_RAW_cleaned[[#This Row],[ServiceID]])=1,"Yes","No")</f>
        <v>No</v>
      </c>
      <c r="S237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74" t="str">
        <f>"Q"&amp;ROUNDUP(MONTH(Transactions_RAW_cleaned[[#This Row],[TransactionDate]])/3,0)</f>
        <v>Q4</v>
      </c>
      <c r="U2374" t="str">
        <f>Transactions_RAW_cleaned[[#This Row],[Region ]]&amp;Transactions_RAW_cleaned[[#This Row],[Quarter ]]</f>
        <v>APACQ4</v>
      </c>
      <c r="V2374" s="5">
        <f>_xlfn.XLOOKUP(Transactions_RAW_cleaned[[#This Row],[RegionQuarterKey]], Quarterly_Targets_cleaned[RegionQuarterKey], Quarterly_Targets_cleaned[TargetRevenue])</f>
        <v>126500</v>
      </c>
    </row>
    <row r="2375" spans="1:22" x14ac:dyDescent="0.25">
      <c r="A2375" t="s">
        <v>2712</v>
      </c>
      <c r="B2375" s="1">
        <v>45542</v>
      </c>
      <c r="C2375" t="s">
        <v>107</v>
      </c>
      <c r="D2375" t="s">
        <v>294</v>
      </c>
      <c r="E2375">
        <v>101.03</v>
      </c>
      <c r="F2375" t="s">
        <v>324</v>
      </c>
      <c r="G2375" t="s">
        <v>327</v>
      </c>
      <c r="H2375" t="s">
        <v>346</v>
      </c>
      <c r="I2375" t="s">
        <v>17</v>
      </c>
      <c r="J2375" t="s">
        <v>102</v>
      </c>
      <c r="K2375" t="s">
        <v>22</v>
      </c>
      <c r="L2375" t="s">
        <v>295</v>
      </c>
      <c r="M2375" t="s">
        <v>296</v>
      </c>
      <c r="N2375">
        <v>2.9000000000000001E-2</v>
      </c>
      <c r="O2375" t="str">
        <f>IF(Transactions_RAW_cleaned[[#This Row],[Status]]="Completed", IFERROR(_xlfn.XLOOKUP(Transactions_RAW_cleaned[[#This Row],[CustomerID]], Customers_cleaned[CustomerID], Customers_cleaned[Segment]), "Customer Not Found"), "N/A")</f>
        <v>Enterprise</v>
      </c>
      <c r="P2375" s="5" t="str">
        <f>IF(Transactions_RAW_cleaned[[#This Row],[Status]]="Refunded", "Refund",
  IF(Transactions_RAW_cleaned[[#This Row],[Category]]="Payments", IF(Transactions_RAW_cleaned[[#This Row],[Amount]]&gt;500,"High Value","Standard"),
    IF(Transactions_RAW_cleaned[[#This Row],[Amount]]&gt;250,"High Value","Standard")))</f>
        <v>Standard</v>
      </c>
      <c r="Q2375" s="5" t="str">
        <f>IF(Transactions_RAW_cleaned[[#This Row],[Amount]] &gt; (_xlfn.XLOOKUP(Transactions_RAW_cleaned[[#This Row],[ServiceID]],Services_cleaned[ServiceID],Services_cleaned[TransactionFeePct]) * 10000), "Yes", "No")</f>
        <v>No</v>
      </c>
      <c r="R2375" s="5" t="str">
        <f>IF(COUNTIFS($C$2:Transactions_RAW_cleaned[[#This Row],[CustomerID]],Transactions_RAW_cleaned[[#This Row],[CustomerID]],$D$2:Transactions_RAW_cleaned[[#This Row],[ServiceID]],Transactions_RAW_cleaned[[#This Row],[ServiceID]])=1,"Yes","No")</f>
        <v>No</v>
      </c>
      <c r="S237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75" t="str">
        <f>"Q"&amp;ROUNDUP(MONTH(Transactions_RAW_cleaned[[#This Row],[TransactionDate]])/3,0)</f>
        <v>Q3</v>
      </c>
      <c r="U2375" t="str">
        <f>Transactions_RAW_cleaned[[#This Row],[Region ]]&amp;Transactions_RAW_cleaned[[#This Row],[Quarter ]]</f>
        <v>NAQ3</v>
      </c>
      <c r="V2375" s="5">
        <f>_xlfn.XLOOKUP(Transactions_RAW_cleaned[[#This Row],[RegionQuarterKey]], Quarterly_Targets_cleaned[RegionQuarterKey], Quarterly_Targets_cleaned[TargetRevenue])</f>
        <v>273000</v>
      </c>
    </row>
    <row r="2376" spans="1:22" x14ac:dyDescent="0.25">
      <c r="A2376" t="s">
        <v>2713</v>
      </c>
      <c r="B2376" s="1">
        <v>45474</v>
      </c>
      <c r="C2376" t="s">
        <v>53</v>
      </c>
      <c r="D2376" t="s">
        <v>303</v>
      </c>
      <c r="E2376">
        <v>171.92</v>
      </c>
      <c r="F2376" t="s">
        <v>324</v>
      </c>
      <c r="G2376" t="s">
        <v>337</v>
      </c>
      <c r="H2376" t="s">
        <v>334</v>
      </c>
      <c r="I2376" t="s">
        <v>17</v>
      </c>
      <c r="J2376" t="s">
        <v>21</v>
      </c>
      <c r="K2376" t="s">
        <v>28</v>
      </c>
      <c r="L2376" t="s">
        <v>304</v>
      </c>
      <c r="M2376" t="s">
        <v>305</v>
      </c>
      <c r="N2376">
        <v>1E-3</v>
      </c>
      <c r="O2376" t="str">
        <f>IF(Transactions_RAW_cleaned[[#This Row],[Status]]="Completed", IFERROR(_xlfn.XLOOKUP(Transactions_RAW_cleaned[[#This Row],[CustomerID]], Customers_cleaned[CustomerID], Customers_cleaned[Segment]), "Customer Not Found"), "N/A")</f>
        <v>Enterprise</v>
      </c>
      <c r="P2376" s="5" t="str">
        <f>IF(Transactions_RAW_cleaned[[#This Row],[Status]]="Refunded", "Refund",
  IF(Transactions_RAW_cleaned[[#This Row],[Category]]="Payments", IF(Transactions_RAW_cleaned[[#This Row],[Amount]]&gt;500,"High Value","Standard"),
    IF(Transactions_RAW_cleaned[[#This Row],[Amount]]&gt;250,"High Value","Standard")))</f>
        <v>Standard</v>
      </c>
      <c r="Q2376" s="5" t="str">
        <f>IF(Transactions_RAW_cleaned[[#This Row],[Amount]] &gt; (_xlfn.XLOOKUP(Transactions_RAW_cleaned[[#This Row],[ServiceID]],Services_cleaned[ServiceID],Services_cleaned[TransactionFeePct]) * 10000), "Yes", "No")</f>
        <v>Yes</v>
      </c>
      <c r="R2376" s="5" t="str">
        <f>IF(COUNTIFS($C$2:Transactions_RAW_cleaned[[#This Row],[CustomerID]],Transactions_RAW_cleaned[[#This Row],[CustomerID]],$D$2:Transactions_RAW_cleaned[[#This Row],[ServiceID]],Transactions_RAW_cleaned[[#This Row],[ServiceID]])=1,"Yes","No")</f>
        <v>No</v>
      </c>
      <c r="S237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76" t="str">
        <f>"Q"&amp;ROUNDUP(MONTH(Transactions_RAW_cleaned[[#This Row],[TransactionDate]])/3,0)</f>
        <v>Q3</v>
      </c>
      <c r="U2376" t="str">
        <f>Transactions_RAW_cleaned[[#This Row],[Region ]]&amp;Transactions_RAW_cleaned[[#This Row],[Quarter ]]</f>
        <v>APACQ3</v>
      </c>
      <c r="V2376" s="5">
        <f>_xlfn.XLOOKUP(Transactions_RAW_cleaned[[#This Row],[RegionQuarterKey]], Quarterly_Targets_cleaned[RegionQuarterKey], Quarterly_Targets_cleaned[TargetRevenue])</f>
        <v>115500</v>
      </c>
    </row>
    <row r="2377" spans="1:22" x14ac:dyDescent="0.25">
      <c r="A2377" t="s">
        <v>2714</v>
      </c>
      <c r="B2377" s="1">
        <v>45510</v>
      </c>
      <c r="C2377" t="s">
        <v>109</v>
      </c>
      <c r="D2377" t="s">
        <v>303</v>
      </c>
      <c r="E2377">
        <v>119.86</v>
      </c>
      <c r="F2377" t="s">
        <v>324</v>
      </c>
      <c r="G2377" t="s">
        <v>327</v>
      </c>
      <c r="H2377" t="s">
        <v>334</v>
      </c>
      <c r="I2377" t="s">
        <v>8</v>
      </c>
      <c r="J2377" t="s">
        <v>102</v>
      </c>
      <c r="K2377" t="s">
        <v>18</v>
      </c>
      <c r="L2377" t="s">
        <v>304</v>
      </c>
      <c r="M2377" t="s">
        <v>305</v>
      </c>
      <c r="N2377">
        <v>1E-3</v>
      </c>
      <c r="O2377" t="str">
        <f>IF(Transactions_RAW_cleaned[[#This Row],[Status]]="Completed", IFERROR(_xlfn.XLOOKUP(Transactions_RAW_cleaned[[#This Row],[CustomerID]], Customers_cleaned[CustomerID], Customers_cleaned[Segment]), "Customer Not Found"), "N/A")</f>
        <v>SMB</v>
      </c>
      <c r="P2377" s="5" t="str">
        <f>IF(Transactions_RAW_cleaned[[#This Row],[Status]]="Refunded", "Refund",
  IF(Transactions_RAW_cleaned[[#This Row],[Category]]="Payments", IF(Transactions_RAW_cleaned[[#This Row],[Amount]]&gt;500,"High Value","Standard"),
    IF(Transactions_RAW_cleaned[[#This Row],[Amount]]&gt;250,"High Value","Standard")))</f>
        <v>Standard</v>
      </c>
      <c r="Q2377" s="5" t="str">
        <f>IF(Transactions_RAW_cleaned[[#This Row],[Amount]] &gt; (_xlfn.XLOOKUP(Transactions_RAW_cleaned[[#This Row],[ServiceID]],Services_cleaned[ServiceID],Services_cleaned[TransactionFeePct]) * 10000), "Yes", "No")</f>
        <v>Yes</v>
      </c>
      <c r="R2377" s="5" t="str">
        <f>IF(COUNTIFS($C$2:Transactions_RAW_cleaned[[#This Row],[CustomerID]],Transactions_RAW_cleaned[[#This Row],[CustomerID]],$D$2:Transactions_RAW_cleaned[[#This Row],[ServiceID]],Transactions_RAW_cleaned[[#This Row],[ServiceID]])=1,"Yes","No")</f>
        <v>Yes</v>
      </c>
      <c r="S237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77" t="str">
        <f>"Q"&amp;ROUNDUP(MONTH(Transactions_RAW_cleaned[[#This Row],[TransactionDate]])/3,0)</f>
        <v>Q3</v>
      </c>
      <c r="U2377" t="str">
        <f>Transactions_RAW_cleaned[[#This Row],[Region ]]&amp;Transactions_RAW_cleaned[[#This Row],[Quarter ]]</f>
        <v>NAQ3</v>
      </c>
      <c r="V2377" s="5">
        <f>_xlfn.XLOOKUP(Transactions_RAW_cleaned[[#This Row],[RegionQuarterKey]], Quarterly_Targets_cleaned[RegionQuarterKey], Quarterly_Targets_cleaned[TargetRevenue])</f>
        <v>273000</v>
      </c>
    </row>
    <row r="2378" spans="1:22" x14ac:dyDescent="0.25">
      <c r="A2378" t="s">
        <v>2715</v>
      </c>
      <c r="B2378" s="1">
        <v>45482</v>
      </c>
      <c r="C2378" t="s">
        <v>261</v>
      </c>
      <c r="D2378" t="s">
        <v>315</v>
      </c>
      <c r="E2378">
        <v>274.64999999999998</v>
      </c>
      <c r="F2378" t="s">
        <v>324</v>
      </c>
      <c r="G2378" t="s">
        <v>327</v>
      </c>
      <c r="I2378" t="s">
        <v>8</v>
      </c>
      <c r="J2378" t="s">
        <v>31</v>
      </c>
      <c r="K2378" t="s">
        <v>18</v>
      </c>
      <c r="L2378" t="s">
        <v>316</v>
      </c>
      <c r="M2378" t="s">
        <v>305</v>
      </c>
      <c r="N2378">
        <v>2.5000000000000001E-3</v>
      </c>
      <c r="O2378" t="str">
        <f>IF(Transactions_RAW_cleaned[[#This Row],[Status]]="Completed", IFERROR(_xlfn.XLOOKUP(Transactions_RAW_cleaned[[#This Row],[CustomerID]], Customers_cleaned[CustomerID], Customers_cleaned[Segment]), "Customer Not Found"), "N/A")</f>
        <v>SMB</v>
      </c>
      <c r="P2378" s="5" t="str">
        <f>IF(Transactions_RAW_cleaned[[#This Row],[Status]]="Refunded", "Refund",
  IF(Transactions_RAW_cleaned[[#This Row],[Category]]="Payments", IF(Transactions_RAW_cleaned[[#This Row],[Amount]]&gt;500,"High Value","Standard"),
    IF(Transactions_RAW_cleaned[[#This Row],[Amount]]&gt;250,"High Value","Standard")))</f>
        <v>High Value</v>
      </c>
      <c r="Q2378" s="5" t="str">
        <f>IF(Transactions_RAW_cleaned[[#This Row],[Amount]] &gt; (_xlfn.XLOOKUP(Transactions_RAW_cleaned[[#This Row],[ServiceID]],Services_cleaned[ServiceID],Services_cleaned[TransactionFeePct]) * 10000), "Yes", "No")</f>
        <v>Yes</v>
      </c>
      <c r="R2378" s="5" t="str">
        <f>IF(COUNTIFS($C$2:Transactions_RAW_cleaned[[#This Row],[CustomerID]],Transactions_RAW_cleaned[[#This Row],[CustomerID]],$D$2:Transactions_RAW_cleaned[[#This Row],[ServiceID]],Transactions_RAW_cleaned[[#This Row],[ServiceID]])=1,"Yes","No")</f>
        <v>No</v>
      </c>
      <c r="S237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78" t="str">
        <f>"Q"&amp;ROUNDUP(MONTH(Transactions_RAW_cleaned[[#This Row],[TransactionDate]])/3,0)</f>
        <v>Q3</v>
      </c>
      <c r="U2378" t="str">
        <f>Transactions_RAW_cleaned[[#This Row],[Region ]]&amp;Transactions_RAW_cleaned[[#This Row],[Quarter ]]</f>
        <v>EMEAQ3</v>
      </c>
      <c r="V2378" s="5">
        <f>_xlfn.XLOOKUP(Transactions_RAW_cleaned[[#This Row],[RegionQuarterKey]], Quarterly_Targets_cleaned[RegionQuarterKey], Quarterly_Targets_cleaned[TargetRevenue])</f>
        <v>147000</v>
      </c>
    </row>
    <row r="2379" spans="1:22" x14ac:dyDescent="0.25">
      <c r="A2379" t="s">
        <v>2716</v>
      </c>
      <c r="B2379" s="1">
        <v>45494</v>
      </c>
      <c r="C2379" t="s">
        <v>213</v>
      </c>
      <c r="D2379" t="s">
        <v>312</v>
      </c>
      <c r="E2379">
        <v>277.85000000000002</v>
      </c>
      <c r="F2379" t="s">
        <v>381</v>
      </c>
      <c r="G2379" t="s">
        <v>337</v>
      </c>
      <c r="I2379" t="s">
        <v>17</v>
      </c>
      <c r="J2379" t="s">
        <v>25</v>
      </c>
      <c r="K2379" t="s">
        <v>14</v>
      </c>
      <c r="L2379" t="s">
        <v>313</v>
      </c>
      <c r="M2379" t="s">
        <v>314</v>
      </c>
      <c r="N2379">
        <v>0</v>
      </c>
      <c r="O2379" t="str">
        <f>IF(Transactions_RAW_cleaned[[#This Row],[Status]]="Completed", IFERROR(_xlfn.XLOOKUP(Transactions_RAW_cleaned[[#This Row],[CustomerID]], Customers_cleaned[CustomerID], Customers_cleaned[Segment]), "Customer Not Found"), "N/A")</f>
        <v>N/A</v>
      </c>
      <c r="P2379" s="5" t="str">
        <f>IF(Transactions_RAW_cleaned[[#This Row],[Status]]="Refunded", "Refund",
  IF(Transactions_RAW_cleaned[[#This Row],[Category]]="Payments", IF(Transactions_RAW_cleaned[[#This Row],[Amount]]&gt;500,"High Value","Standard"),
    IF(Transactions_RAW_cleaned[[#This Row],[Amount]]&gt;250,"High Value","Standard")))</f>
        <v>High Value</v>
      </c>
      <c r="Q2379" s="5" t="str">
        <f>IF(Transactions_RAW_cleaned[[#This Row],[Amount]] &gt; (_xlfn.XLOOKUP(Transactions_RAW_cleaned[[#This Row],[ServiceID]],Services_cleaned[ServiceID],Services_cleaned[TransactionFeePct]) * 10000), "Yes", "No")</f>
        <v>Yes</v>
      </c>
      <c r="R2379" s="5" t="str">
        <f>IF(COUNTIFS($C$2:Transactions_RAW_cleaned[[#This Row],[CustomerID]],Transactions_RAW_cleaned[[#This Row],[CustomerID]],$D$2:Transactions_RAW_cleaned[[#This Row],[ServiceID]],Transactions_RAW_cleaned[[#This Row],[ServiceID]])=1,"Yes","No")</f>
        <v>Yes</v>
      </c>
      <c r="S237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79" t="str">
        <f>"Q"&amp;ROUNDUP(MONTH(Transactions_RAW_cleaned[[#This Row],[TransactionDate]])/3,0)</f>
        <v>Q3</v>
      </c>
      <c r="U2379" t="str">
        <f>Transactions_RAW_cleaned[[#This Row],[Region ]]&amp;Transactions_RAW_cleaned[[#This Row],[Quarter ]]</f>
        <v>APACQ3</v>
      </c>
      <c r="V2379" s="5">
        <f>_xlfn.XLOOKUP(Transactions_RAW_cleaned[[#This Row],[RegionQuarterKey]], Quarterly_Targets_cleaned[RegionQuarterKey], Quarterly_Targets_cleaned[TargetRevenue])</f>
        <v>115500</v>
      </c>
    </row>
    <row r="2380" spans="1:22" x14ac:dyDescent="0.25">
      <c r="A2380" t="s">
        <v>2717</v>
      </c>
      <c r="B2380" s="1">
        <v>45529</v>
      </c>
      <c r="C2380" t="s">
        <v>223</v>
      </c>
      <c r="D2380" t="s">
        <v>300</v>
      </c>
      <c r="E2380">
        <v>696.92</v>
      </c>
      <c r="F2380" t="s">
        <v>324</v>
      </c>
      <c r="G2380" t="s">
        <v>325</v>
      </c>
      <c r="H2380" t="s">
        <v>346</v>
      </c>
      <c r="I2380" t="s">
        <v>8</v>
      </c>
      <c r="J2380" t="s">
        <v>102</v>
      </c>
      <c r="K2380" t="s">
        <v>28</v>
      </c>
      <c r="L2380" t="s">
        <v>301</v>
      </c>
      <c r="M2380" t="s">
        <v>302</v>
      </c>
      <c r="N2380">
        <v>5.0000000000000001E-3</v>
      </c>
      <c r="O2380" t="str">
        <f>IF(Transactions_RAW_cleaned[[#This Row],[Status]]="Completed", IFERROR(_xlfn.XLOOKUP(Transactions_RAW_cleaned[[#This Row],[CustomerID]], Customers_cleaned[CustomerID], Customers_cleaned[Segment]), "Customer Not Found"), "N/A")</f>
        <v>SMB</v>
      </c>
      <c r="P2380" s="5" t="str">
        <f>IF(Transactions_RAW_cleaned[[#This Row],[Status]]="Refunded", "Refund",
  IF(Transactions_RAW_cleaned[[#This Row],[Category]]="Payments", IF(Transactions_RAW_cleaned[[#This Row],[Amount]]&gt;500,"High Value","Standard"),
    IF(Transactions_RAW_cleaned[[#This Row],[Amount]]&gt;250,"High Value","Standard")))</f>
        <v>High Value</v>
      </c>
      <c r="Q2380" s="5" t="str">
        <f>IF(Transactions_RAW_cleaned[[#This Row],[Amount]] &gt; (_xlfn.XLOOKUP(Transactions_RAW_cleaned[[#This Row],[ServiceID]],Services_cleaned[ServiceID],Services_cleaned[TransactionFeePct]) * 10000), "Yes", "No")</f>
        <v>Yes</v>
      </c>
      <c r="R2380" s="5" t="str">
        <f>IF(COUNTIFS($C$2:Transactions_RAW_cleaned[[#This Row],[CustomerID]],Transactions_RAW_cleaned[[#This Row],[CustomerID]],$D$2:Transactions_RAW_cleaned[[#This Row],[ServiceID]],Transactions_RAW_cleaned[[#This Row],[ServiceID]])=1,"Yes","No")</f>
        <v>No</v>
      </c>
      <c r="S238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80" t="str">
        <f>"Q"&amp;ROUNDUP(MONTH(Transactions_RAW_cleaned[[#This Row],[TransactionDate]])/3,0)</f>
        <v>Q3</v>
      </c>
      <c r="U2380" t="str">
        <f>Transactions_RAW_cleaned[[#This Row],[Region ]]&amp;Transactions_RAW_cleaned[[#This Row],[Quarter ]]</f>
        <v>NAQ3</v>
      </c>
      <c r="V2380" s="5">
        <f>_xlfn.XLOOKUP(Transactions_RAW_cleaned[[#This Row],[RegionQuarterKey]], Quarterly_Targets_cleaned[RegionQuarterKey], Quarterly_Targets_cleaned[TargetRevenue])</f>
        <v>273000</v>
      </c>
    </row>
    <row r="2381" spans="1:22" x14ac:dyDescent="0.25">
      <c r="A2381" t="s">
        <v>2718</v>
      </c>
      <c r="B2381" s="1">
        <v>45648</v>
      </c>
      <c r="C2381" t="s">
        <v>165</v>
      </c>
      <c r="D2381" t="s">
        <v>294</v>
      </c>
      <c r="E2381">
        <v>244.33</v>
      </c>
      <c r="F2381" t="s">
        <v>324</v>
      </c>
      <c r="G2381" t="s">
        <v>329</v>
      </c>
      <c r="I2381" t="s">
        <v>8</v>
      </c>
      <c r="J2381" t="s">
        <v>31</v>
      </c>
      <c r="K2381" t="s">
        <v>32</v>
      </c>
      <c r="L2381" t="s">
        <v>295</v>
      </c>
      <c r="M2381" t="s">
        <v>296</v>
      </c>
      <c r="N2381">
        <v>2.9000000000000001E-2</v>
      </c>
      <c r="O2381" t="str">
        <f>IF(Transactions_RAW_cleaned[[#This Row],[Status]]="Completed", IFERROR(_xlfn.XLOOKUP(Transactions_RAW_cleaned[[#This Row],[CustomerID]], Customers_cleaned[CustomerID], Customers_cleaned[Segment]), "Customer Not Found"), "N/A")</f>
        <v>SMB</v>
      </c>
      <c r="P2381" s="5" t="str">
        <f>IF(Transactions_RAW_cleaned[[#This Row],[Status]]="Refunded", "Refund",
  IF(Transactions_RAW_cleaned[[#This Row],[Category]]="Payments", IF(Transactions_RAW_cleaned[[#This Row],[Amount]]&gt;500,"High Value","Standard"),
    IF(Transactions_RAW_cleaned[[#This Row],[Amount]]&gt;250,"High Value","Standard")))</f>
        <v>Standard</v>
      </c>
      <c r="Q2381" s="5" t="str">
        <f>IF(Transactions_RAW_cleaned[[#This Row],[Amount]] &gt; (_xlfn.XLOOKUP(Transactions_RAW_cleaned[[#This Row],[ServiceID]],Services_cleaned[ServiceID],Services_cleaned[TransactionFeePct]) * 10000), "Yes", "No")</f>
        <v>No</v>
      </c>
      <c r="R2381" s="5" t="str">
        <f>IF(COUNTIFS($C$2:Transactions_RAW_cleaned[[#This Row],[CustomerID]],Transactions_RAW_cleaned[[#This Row],[CustomerID]],$D$2:Transactions_RAW_cleaned[[#This Row],[ServiceID]],Transactions_RAW_cleaned[[#This Row],[ServiceID]])=1,"Yes","No")</f>
        <v>No</v>
      </c>
      <c r="S238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81" t="str">
        <f>"Q"&amp;ROUNDUP(MONTH(Transactions_RAW_cleaned[[#This Row],[TransactionDate]])/3,0)</f>
        <v>Q4</v>
      </c>
      <c r="U2381" t="str">
        <f>Transactions_RAW_cleaned[[#This Row],[Region ]]&amp;Transactions_RAW_cleaned[[#This Row],[Quarter ]]</f>
        <v>EMEAQ4</v>
      </c>
      <c r="V2381" s="5">
        <f>_xlfn.XLOOKUP(Transactions_RAW_cleaned[[#This Row],[RegionQuarterKey]], Quarterly_Targets_cleaned[RegionQuarterKey], Quarterly_Targets_cleaned[TargetRevenue])</f>
        <v>161000</v>
      </c>
    </row>
    <row r="2382" spans="1:22" x14ac:dyDescent="0.25">
      <c r="A2382" t="s">
        <v>2719</v>
      </c>
      <c r="B2382" s="1">
        <v>45416</v>
      </c>
      <c r="C2382" t="s">
        <v>163</v>
      </c>
      <c r="D2382" t="s">
        <v>306</v>
      </c>
      <c r="E2382">
        <v>429.93</v>
      </c>
      <c r="F2382" t="s">
        <v>331</v>
      </c>
      <c r="G2382" t="s">
        <v>325</v>
      </c>
      <c r="H2382" t="s">
        <v>332</v>
      </c>
      <c r="I2382" t="s">
        <v>17</v>
      </c>
      <c r="J2382" t="s">
        <v>102</v>
      </c>
      <c r="K2382" t="s">
        <v>18</v>
      </c>
      <c r="L2382" t="s">
        <v>307</v>
      </c>
      <c r="M2382" t="s">
        <v>308</v>
      </c>
      <c r="N2382">
        <v>0</v>
      </c>
      <c r="O2382" t="str">
        <f>IF(Transactions_RAW_cleaned[[#This Row],[Status]]="Completed", IFERROR(_xlfn.XLOOKUP(Transactions_RAW_cleaned[[#This Row],[CustomerID]], Customers_cleaned[CustomerID], Customers_cleaned[Segment]), "Customer Not Found"), "N/A")</f>
        <v>N/A</v>
      </c>
      <c r="P2382" s="5" t="str">
        <f>IF(Transactions_RAW_cleaned[[#This Row],[Status]]="Refunded", "Refund",
  IF(Transactions_RAW_cleaned[[#This Row],[Category]]="Payments", IF(Transactions_RAW_cleaned[[#This Row],[Amount]]&gt;500,"High Value","Standard"),
    IF(Transactions_RAW_cleaned[[#This Row],[Amount]]&gt;250,"High Value","Standard")))</f>
        <v>High Value</v>
      </c>
      <c r="Q2382" s="5" t="str">
        <f>IF(Transactions_RAW_cleaned[[#This Row],[Amount]] &gt; (_xlfn.XLOOKUP(Transactions_RAW_cleaned[[#This Row],[ServiceID]],Services_cleaned[ServiceID],Services_cleaned[TransactionFeePct]) * 10000), "Yes", "No")</f>
        <v>Yes</v>
      </c>
      <c r="R2382" s="5" t="str">
        <f>IF(COUNTIFS($C$2:Transactions_RAW_cleaned[[#This Row],[CustomerID]],Transactions_RAW_cleaned[[#This Row],[CustomerID]],$D$2:Transactions_RAW_cleaned[[#This Row],[ServiceID]],Transactions_RAW_cleaned[[#This Row],[ServiceID]])=1,"Yes","No")</f>
        <v>No</v>
      </c>
      <c r="S238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82" t="str">
        <f>"Q"&amp;ROUNDUP(MONTH(Transactions_RAW_cleaned[[#This Row],[TransactionDate]])/3,0)</f>
        <v>Q2</v>
      </c>
      <c r="U2382" t="str">
        <f>Transactions_RAW_cleaned[[#This Row],[Region ]]&amp;Transactions_RAW_cleaned[[#This Row],[Quarter ]]</f>
        <v>NAQ2</v>
      </c>
      <c r="V2382" s="5">
        <f>_xlfn.XLOOKUP(Transactions_RAW_cleaned[[#This Row],[RegionQuarterKey]], Quarterly_Targets_cleaned[RegionQuarterKey], Quarterly_Targets_cleaned[TargetRevenue])</f>
        <v>260000</v>
      </c>
    </row>
    <row r="2383" spans="1:22" x14ac:dyDescent="0.25">
      <c r="A2383" t="s">
        <v>2720</v>
      </c>
      <c r="B2383" s="1">
        <v>45602</v>
      </c>
      <c r="C2383" t="s">
        <v>100</v>
      </c>
      <c r="D2383" t="s">
        <v>315</v>
      </c>
      <c r="E2383">
        <v>1001.82</v>
      </c>
      <c r="F2383" t="s">
        <v>324</v>
      </c>
      <c r="G2383" t="s">
        <v>325</v>
      </c>
      <c r="I2383" t="s">
        <v>8</v>
      </c>
      <c r="J2383" t="s">
        <v>102</v>
      </c>
      <c r="K2383" t="s">
        <v>22</v>
      </c>
      <c r="L2383" t="s">
        <v>316</v>
      </c>
      <c r="M2383" t="s">
        <v>305</v>
      </c>
      <c r="N2383">
        <v>2.5000000000000001E-3</v>
      </c>
      <c r="O2383" t="str">
        <f>IF(Transactions_RAW_cleaned[[#This Row],[Status]]="Completed", IFERROR(_xlfn.XLOOKUP(Transactions_RAW_cleaned[[#This Row],[CustomerID]], Customers_cleaned[CustomerID], Customers_cleaned[Segment]), "Customer Not Found"), "N/A")</f>
        <v>SMB</v>
      </c>
      <c r="P2383" s="5" t="str">
        <f>IF(Transactions_RAW_cleaned[[#This Row],[Status]]="Refunded", "Refund",
  IF(Transactions_RAW_cleaned[[#This Row],[Category]]="Payments", IF(Transactions_RAW_cleaned[[#This Row],[Amount]]&gt;500,"High Value","Standard"),
    IF(Transactions_RAW_cleaned[[#This Row],[Amount]]&gt;250,"High Value","Standard")))</f>
        <v>High Value</v>
      </c>
      <c r="Q2383" s="5" t="str">
        <f>IF(Transactions_RAW_cleaned[[#This Row],[Amount]] &gt; (_xlfn.XLOOKUP(Transactions_RAW_cleaned[[#This Row],[ServiceID]],Services_cleaned[ServiceID],Services_cleaned[TransactionFeePct]) * 10000), "Yes", "No")</f>
        <v>Yes</v>
      </c>
      <c r="R2383" s="5" t="str">
        <f>IF(COUNTIFS($C$2:Transactions_RAW_cleaned[[#This Row],[CustomerID]],Transactions_RAW_cleaned[[#This Row],[CustomerID]],$D$2:Transactions_RAW_cleaned[[#This Row],[ServiceID]],Transactions_RAW_cleaned[[#This Row],[ServiceID]])=1,"Yes","No")</f>
        <v>No</v>
      </c>
      <c r="S238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83" t="str">
        <f>"Q"&amp;ROUNDUP(MONTH(Transactions_RAW_cleaned[[#This Row],[TransactionDate]])/3,0)</f>
        <v>Q4</v>
      </c>
      <c r="U2383" t="str">
        <f>Transactions_RAW_cleaned[[#This Row],[Region ]]&amp;Transactions_RAW_cleaned[[#This Row],[Quarter ]]</f>
        <v>NAQ4</v>
      </c>
      <c r="V2383" s="5">
        <f>_xlfn.XLOOKUP(Transactions_RAW_cleaned[[#This Row],[RegionQuarterKey]], Quarterly_Targets_cleaned[RegionQuarterKey], Quarterly_Targets_cleaned[TargetRevenue])</f>
        <v>299000</v>
      </c>
    </row>
    <row r="2384" spans="1:22" x14ac:dyDescent="0.25">
      <c r="A2384" t="s">
        <v>2721</v>
      </c>
      <c r="B2384" s="1">
        <v>45403</v>
      </c>
      <c r="C2384" t="s">
        <v>263</v>
      </c>
      <c r="D2384" t="s">
        <v>315</v>
      </c>
      <c r="E2384">
        <v>276.69</v>
      </c>
      <c r="F2384" t="s">
        <v>324</v>
      </c>
      <c r="G2384" t="s">
        <v>337</v>
      </c>
      <c r="H2384" t="s">
        <v>334</v>
      </c>
      <c r="I2384" t="s">
        <v>8</v>
      </c>
      <c r="J2384" t="s">
        <v>102</v>
      </c>
      <c r="K2384" t="s">
        <v>32</v>
      </c>
      <c r="L2384" t="s">
        <v>316</v>
      </c>
      <c r="M2384" t="s">
        <v>305</v>
      </c>
      <c r="N2384">
        <v>2.5000000000000001E-3</v>
      </c>
      <c r="O2384" t="str">
        <f>IF(Transactions_RAW_cleaned[[#This Row],[Status]]="Completed", IFERROR(_xlfn.XLOOKUP(Transactions_RAW_cleaned[[#This Row],[CustomerID]], Customers_cleaned[CustomerID], Customers_cleaned[Segment]), "Customer Not Found"), "N/A")</f>
        <v>SMB</v>
      </c>
      <c r="P2384" s="5" t="str">
        <f>IF(Transactions_RAW_cleaned[[#This Row],[Status]]="Refunded", "Refund",
  IF(Transactions_RAW_cleaned[[#This Row],[Category]]="Payments", IF(Transactions_RAW_cleaned[[#This Row],[Amount]]&gt;500,"High Value","Standard"),
    IF(Transactions_RAW_cleaned[[#This Row],[Amount]]&gt;250,"High Value","Standard")))</f>
        <v>High Value</v>
      </c>
      <c r="Q2384" s="5" t="str">
        <f>IF(Transactions_RAW_cleaned[[#This Row],[Amount]] &gt; (_xlfn.XLOOKUP(Transactions_RAW_cleaned[[#This Row],[ServiceID]],Services_cleaned[ServiceID],Services_cleaned[TransactionFeePct]) * 10000), "Yes", "No")</f>
        <v>Yes</v>
      </c>
      <c r="R2384" s="5" t="str">
        <f>IF(COUNTIFS($C$2:Transactions_RAW_cleaned[[#This Row],[CustomerID]],Transactions_RAW_cleaned[[#This Row],[CustomerID]],$D$2:Transactions_RAW_cleaned[[#This Row],[ServiceID]],Transactions_RAW_cleaned[[#This Row],[ServiceID]])=1,"Yes","No")</f>
        <v>No</v>
      </c>
      <c r="S238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84" t="str">
        <f>"Q"&amp;ROUNDUP(MONTH(Transactions_RAW_cleaned[[#This Row],[TransactionDate]])/3,0)</f>
        <v>Q2</v>
      </c>
      <c r="U2384" t="str">
        <f>Transactions_RAW_cleaned[[#This Row],[Region ]]&amp;Transactions_RAW_cleaned[[#This Row],[Quarter ]]</f>
        <v>NAQ2</v>
      </c>
      <c r="V2384" s="5">
        <f>_xlfn.XLOOKUP(Transactions_RAW_cleaned[[#This Row],[RegionQuarterKey]], Quarterly_Targets_cleaned[RegionQuarterKey], Quarterly_Targets_cleaned[TargetRevenue])</f>
        <v>260000</v>
      </c>
    </row>
    <row r="2385" spans="1:22" x14ac:dyDescent="0.25">
      <c r="A2385" t="s">
        <v>2722</v>
      </c>
      <c r="B2385" s="1">
        <v>45449</v>
      </c>
      <c r="C2385" t="s">
        <v>153</v>
      </c>
      <c r="D2385" t="s">
        <v>300</v>
      </c>
      <c r="E2385">
        <v>206.23</v>
      </c>
      <c r="F2385" t="s">
        <v>324</v>
      </c>
      <c r="G2385" t="s">
        <v>327</v>
      </c>
      <c r="I2385" t="s">
        <v>8</v>
      </c>
      <c r="J2385" t="s">
        <v>37</v>
      </c>
      <c r="K2385" t="s">
        <v>32</v>
      </c>
      <c r="L2385" t="s">
        <v>301</v>
      </c>
      <c r="M2385" t="s">
        <v>302</v>
      </c>
      <c r="N2385">
        <v>5.0000000000000001E-3</v>
      </c>
      <c r="O2385" t="str">
        <f>IF(Transactions_RAW_cleaned[[#This Row],[Status]]="Completed", IFERROR(_xlfn.XLOOKUP(Transactions_RAW_cleaned[[#This Row],[CustomerID]], Customers_cleaned[CustomerID], Customers_cleaned[Segment]), "Customer Not Found"), "N/A")</f>
        <v>SMB</v>
      </c>
      <c r="P2385" s="5" t="str">
        <f>IF(Transactions_RAW_cleaned[[#This Row],[Status]]="Refunded", "Refund",
  IF(Transactions_RAW_cleaned[[#This Row],[Category]]="Payments", IF(Transactions_RAW_cleaned[[#This Row],[Amount]]&gt;500,"High Value","Standard"),
    IF(Transactions_RAW_cleaned[[#This Row],[Amount]]&gt;250,"High Value","Standard")))</f>
        <v>Standard</v>
      </c>
      <c r="Q2385" s="5" t="str">
        <f>IF(Transactions_RAW_cleaned[[#This Row],[Amount]] &gt; (_xlfn.XLOOKUP(Transactions_RAW_cleaned[[#This Row],[ServiceID]],Services_cleaned[ServiceID],Services_cleaned[TransactionFeePct]) * 10000), "Yes", "No")</f>
        <v>Yes</v>
      </c>
      <c r="R2385" s="5" t="str">
        <f>IF(COUNTIFS($C$2:Transactions_RAW_cleaned[[#This Row],[CustomerID]],Transactions_RAW_cleaned[[#This Row],[CustomerID]],$D$2:Transactions_RAW_cleaned[[#This Row],[ServiceID]],Transactions_RAW_cleaned[[#This Row],[ServiceID]])=1,"Yes","No")</f>
        <v>No</v>
      </c>
      <c r="S238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85" t="str">
        <f>"Q"&amp;ROUNDUP(MONTH(Transactions_RAW_cleaned[[#This Row],[TransactionDate]])/3,0)</f>
        <v>Q2</v>
      </c>
      <c r="U2385" t="str">
        <f>Transactions_RAW_cleaned[[#This Row],[Region ]]&amp;Transactions_RAW_cleaned[[#This Row],[Quarter ]]</f>
        <v>EMEAQ2</v>
      </c>
      <c r="V2385" s="5">
        <f>_xlfn.XLOOKUP(Transactions_RAW_cleaned[[#This Row],[RegionQuarterKey]], Quarterly_Targets_cleaned[RegionQuarterKey], Quarterly_Targets_cleaned[TargetRevenue])</f>
        <v>140000</v>
      </c>
    </row>
    <row r="2386" spans="1:22" x14ac:dyDescent="0.25">
      <c r="A2386" t="s">
        <v>2723</v>
      </c>
      <c r="B2386" s="1">
        <v>45354</v>
      </c>
      <c r="C2386" t="s">
        <v>275</v>
      </c>
      <c r="D2386" t="s">
        <v>300</v>
      </c>
      <c r="E2386">
        <v>530.54</v>
      </c>
      <c r="F2386" t="s">
        <v>324</v>
      </c>
      <c r="G2386" t="s">
        <v>337</v>
      </c>
      <c r="I2386" t="s">
        <v>57</v>
      </c>
      <c r="J2386" t="s">
        <v>13</v>
      </c>
      <c r="K2386" t="s">
        <v>22</v>
      </c>
      <c r="L2386" t="s">
        <v>301</v>
      </c>
      <c r="M2386" t="s">
        <v>302</v>
      </c>
      <c r="N2386">
        <v>5.0000000000000001E-3</v>
      </c>
      <c r="O2386" t="str">
        <f>IF(Transactions_RAW_cleaned[[#This Row],[Status]]="Completed", IFERROR(_xlfn.XLOOKUP(Transactions_RAW_cleaned[[#This Row],[CustomerID]], Customers_cleaned[CustomerID], Customers_cleaned[Segment]), "Customer Not Found"), "N/A")</f>
        <v>Startup</v>
      </c>
      <c r="P2386" s="5" t="str">
        <f>IF(Transactions_RAW_cleaned[[#This Row],[Status]]="Refunded", "Refund",
  IF(Transactions_RAW_cleaned[[#This Row],[Category]]="Payments", IF(Transactions_RAW_cleaned[[#This Row],[Amount]]&gt;500,"High Value","Standard"),
    IF(Transactions_RAW_cleaned[[#This Row],[Amount]]&gt;250,"High Value","Standard")))</f>
        <v>High Value</v>
      </c>
      <c r="Q2386" s="5" t="str">
        <f>IF(Transactions_RAW_cleaned[[#This Row],[Amount]] &gt; (_xlfn.XLOOKUP(Transactions_RAW_cleaned[[#This Row],[ServiceID]],Services_cleaned[ServiceID],Services_cleaned[TransactionFeePct]) * 10000), "Yes", "No")</f>
        <v>Yes</v>
      </c>
      <c r="R2386" s="5" t="str">
        <f>IF(COUNTIFS($C$2:Transactions_RAW_cleaned[[#This Row],[CustomerID]],Transactions_RAW_cleaned[[#This Row],[CustomerID]],$D$2:Transactions_RAW_cleaned[[#This Row],[ServiceID]],Transactions_RAW_cleaned[[#This Row],[ServiceID]])=1,"Yes","No")</f>
        <v>No</v>
      </c>
      <c r="S238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86" t="str">
        <f>"Q"&amp;ROUNDUP(MONTH(Transactions_RAW_cleaned[[#This Row],[TransactionDate]])/3,0)</f>
        <v>Q1</v>
      </c>
      <c r="U2386" t="str">
        <f>Transactions_RAW_cleaned[[#This Row],[Region ]]&amp;Transactions_RAW_cleaned[[#This Row],[Quarter ]]</f>
        <v>NAQ1</v>
      </c>
      <c r="V2386" s="5">
        <f>_xlfn.XLOOKUP(Transactions_RAW_cleaned[[#This Row],[RegionQuarterKey]], Quarterly_Targets_cleaned[RegionQuarterKey], Quarterly_Targets_cleaned[TargetRevenue])</f>
        <v>247000</v>
      </c>
    </row>
    <row r="2387" spans="1:22" x14ac:dyDescent="0.25">
      <c r="A2387" t="s">
        <v>2724</v>
      </c>
      <c r="B2387" s="1">
        <v>45349</v>
      </c>
      <c r="C2387" t="s">
        <v>117</v>
      </c>
      <c r="D2387" t="s">
        <v>315</v>
      </c>
      <c r="E2387">
        <v>176.68</v>
      </c>
      <c r="F2387" t="s">
        <v>324</v>
      </c>
      <c r="G2387" t="s">
        <v>327</v>
      </c>
      <c r="I2387" t="s">
        <v>8</v>
      </c>
      <c r="J2387" t="s">
        <v>102</v>
      </c>
      <c r="K2387" t="s">
        <v>14</v>
      </c>
      <c r="L2387" t="s">
        <v>316</v>
      </c>
      <c r="M2387" t="s">
        <v>305</v>
      </c>
      <c r="N2387">
        <v>2.5000000000000001E-3</v>
      </c>
      <c r="O2387" t="str">
        <f>IF(Transactions_RAW_cleaned[[#This Row],[Status]]="Completed", IFERROR(_xlfn.XLOOKUP(Transactions_RAW_cleaned[[#This Row],[CustomerID]], Customers_cleaned[CustomerID], Customers_cleaned[Segment]), "Customer Not Found"), "N/A")</f>
        <v>SMB</v>
      </c>
      <c r="P2387" s="5" t="str">
        <f>IF(Transactions_RAW_cleaned[[#This Row],[Status]]="Refunded", "Refund",
  IF(Transactions_RAW_cleaned[[#This Row],[Category]]="Payments", IF(Transactions_RAW_cleaned[[#This Row],[Amount]]&gt;500,"High Value","Standard"),
    IF(Transactions_RAW_cleaned[[#This Row],[Amount]]&gt;250,"High Value","Standard")))</f>
        <v>Standard</v>
      </c>
      <c r="Q2387" s="5" t="str">
        <f>IF(Transactions_RAW_cleaned[[#This Row],[Amount]] &gt; (_xlfn.XLOOKUP(Transactions_RAW_cleaned[[#This Row],[ServiceID]],Services_cleaned[ServiceID],Services_cleaned[TransactionFeePct]) * 10000), "Yes", "No")</f>
        <v>Yes</v>
      </c>
      <c r="R2387" s="5" t="str">
        <f>IF(COUNTIFS($C$2:Transactions_RAW_cleaned[[#This Row],[CustomerID]],Transactions_RAW_cleaned[[#This Row],[CustomerID]],$D$2:Transactions_RAW_cleaned[[#This Row],[ServiceID]],Transactions_RAW_cleaned[[#This Row],[ServiceID]])=1,"Yes","No")</f>
        <v>Yes</v>
      </c>
      <c r="S238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87" t="str">
        <f>"Q"&amp;ROUNDUP(MONTH(Transactions_RAW_cleaned[[#This Row],[TransactionDate]])/3,0)</f>
        <v>Q1</v>
      </c>
      <c r="U2387" t="str">
        <f>Transactions_RAW_cleaned[[#This Row],[Region ]]&amp;Transactions_RAW_cleaned[[#This Row],[Quarter ]]</f>
        <v>NAQ1</v>
      </c>
      <c r="V2387" s="5">
        <f>_xlfn.XLOOKUP(Transactions_RAW_cleaned[[#This Row],[RegionQuarterKey]], Quarterly_Targets_cleaned[RegionQuarterKey], Quarterly_Targets_cleaned[TargetRevenue])</f>
        <v>247000</v>
      </c>
    </row>
    <row r="2388" spans="1:22" x14ac:dyDescent="0.25">
      <c r="A2388" t="s">
        <v>2725</v>
      </c>
      <c r="B2388" s="1">
        <v>45553</v>
      </c>
      <c r="C2388" t="s">
        <v>225</v>
      </c>
      <c r="D2388" t="s">
        <v>315</v>
      </c>
      <c r="E2388">
        <v>1006.88</v>
      </c>
      <c r="F2388" t="s">
        <v>324</v>
      </c>
      <c r="G2388" t="s">
        <v>325</v>
      </c>
      <c r="I2388" t="s">
        <v>8</v>
      </c>
      <c r="J2388" t="s">
        <v>21</v>
      </c>
      <c r="K2388" t="s">
        <v>28</v>
      </c>
      <c r="L2388" t="s">
        <v>316</v>
      </c>
      <c r="M2388" t="s">
        <v>305</v>
      </c>
      <c r="N2388">
        <v>2.5000000000000001E-3</v>
      </c>
      <c r="O2388" t="str">
        <f>IF(Transactions_RAW_cleaned[[#This Row],[Status]]="Completed", IFERROR(_xlfn.XLOOKUP(Transactions_RAW_cleaned[[#This Row],[CustomerID]], Customers_cleaned[CustomerID], Customers_cleaned[Segment]), "Customer Not Found"), "N/A")</f>
        <v>SMB</v>
      </c>
      <c r="P2388" s="5" t="str">
        <f>IF(Transactions_RAW_cleaned[[#This Row],[Status]]="Refunded", "Refund",
  IF(Transactions_RAW_cleaned[[#This Row],[Category]]="Payments", IF(Transactions_RAW_cleaned[[#This Row],[Amount]]&gt;500,"High Value","Standard"),
    IF(Transactions_RAW_cleaned[[#This Row],[Amount]]&gt;250,"High Value","Standard")))</f>
        <v>High Value</v>
      </c>
      <c r="Q2388" s="5" t="str">
        <f>IF(Transactions_RAW_cleaned[[#This Row],[Amount]] &gt; (_xlfn.XLOOKUP(Transactions_RAW_cleaned[[#This Row],[ServiceID]],Services_cleaned[ServiceID],Services_cleaned[TransactionFeePct]) * 10000), "Yes", "No")</f>
        <v>Yes</v>
      </c>
      <c r="R2388" s="5" t="str">
        <f>IF(COUNTIFS($C$2:Transactions_RAW_cleaned[[#This Row],[CustomerID]],Transactions_RAW_cleaned[[#This Row],[CustomerID]],$D$2:Transactions_RAW_cleaned[[#This Row],[ServiceID]],Transactions_RAW_cleaned[[#This Row],[ServiceID]])=1,"Yes","No")</f>
        <v>No</v>
      </c>
      <c r="S238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88" t="str">
        <f>"Q"&amp;ROUNDUP(MONTH(Transactions_RAW_cleaned[[#This Row],[TransactionDate]])/3,0)</f>
        <v>Q3</v>
      </c>
      <c r="U2388" t="str">
        <f>Transactions_RAW_cleaned[[#This Row],[Region ]]&amp;Transactions_RAW_cleaned[[#This Row],[Quarter ]]</f>
        <v>APACQ3</v>
      </c>
      <c r="V2388" s="5">
        <f>_xlfn.XLOOKUP(Transactions_RAW_cleaned[[#This Row],[RegionQuarterKey]], Quarterly_Targets_cleaned[RegionQuarterKey], Quarterly_Targets_cleaned[TargetRevenue])</f>
        <v>115500</v>
      </c>
    </row>
    <row r="2389" spans="1:22" x14ac:dyDescent="0.25">
      <c r="A2389" t="s">
        <v>2726</v>
      </c>
      <c r="B2389" s="1">
        <v>45373</v>
      </c>
      <c r="C2389" t="s">
        <v>187</v>
      </c>
      <c r="D2389" t="s">
        <v>312</v>
      </c>
      <c r="E2389">
        <v>236.61</v>
      </c>
      <c r="F2389" t="s">
        <v>324</v>
      </c>
      <c r="G2389" t="s">
        <v>325</v>
      </c>
      <c r="H2389" t="s">
        <v>334</v>
      </c>
      <c r="I2389" t="s">
        <v>57</v>
      </c>
      <c r="J2389" t="s">
        <v>21</v>
      </c>
      <c r="K2389" t="s">
        <v>28</v>
      </c>
      <c r="L2389" t="s">
        <v>313</v>
      </c>
      <c r="M2389" t="s">
        <v>314</v>
      </c>
      <c r="N2389">
        <v>0</v>
      </c>
      <c r="O2389" t="str">
        <f>IF(Transactions_RAW_cleaned[[#This Row],[Status]]="Completed", IFERROR(_xlfn.XLOOKUP(Transactions_RAW_cleaned[[#This Row],[CustomerID]], Customers_cleaned[CustomerID], Customers_cleaned[Segment]), "Customer Not Found"), "N/A")</f>
        <v>Startup</v>
      </c>
      <c r="P2389" s="5" t="str">
        <f>IF(Transactions_RAW_cleaned[[#This Row],[Status]]="Refunded", "Refund",
  IF(Transactions_RAW_cleaned[[#This Row],[Category]]="Payments", IF(Transactions_RAW_cleaned[[#This Row],[Amount]]&gt;500,"High Value","Standard"),
    IF(Transactions_RAW_cleaned[[#This Row],[Amount]]&gt;250,"High Value","Standard")))</f>
        <v>Standard</v>
      </c>
      <c r="Q2389" s="5" t="str">
        <f>IF(Transactions_RAW_cleaned[[#This Row],[Amount]] &gt; (_xlfn.XLOOKUP(Transactions_RAW_cleaned[[#This Row],[ServiceID]],Services_cleaned[ServiceID],Services_cleaned[TransactionFeePct]) * 10000), "Yes", "No")</f>
        <v>Yes</v>
      </c>
      <c r="R2389" s="5" t="str">
        <f>IF(COUNTIFS($C$2:Transactions_RAW_cleaned[[#This Row],[CustomerID]],Transactions_RAW_cleaned[[#This Row],[CustomerID]],$D$2:Transactions_RAW_cleaned[[#This Row],[ServiceID]],Transactions_RAW_cleaned[[#This Row],[ServiceID]])=1,"Yes","No")</f>
        <v>No</v>
      </c>
      <c r="S238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89" t="str">
        <f>"Q"&amp;ROUNDUP(MONTH(Transactions_RAW_cleaned[[#This Row],[TransactionDate]])/3,0)</f>
        <v>Q1</v>
      </c>
      <c r="U2389" t="str">
        <f>Transactions_RAW_cleaned[[#This Row],[Region ]]&amp;Transactions_RAW_cleaned[[#This Row],[Quarter ]]</f>
        <v>APACQ1</v>
      </c>
      <c r="V2389" s="5">
        <f>_xlfn.XLOOKUP(Transactions_RAW_cleaned[[#This Row],[RegionQuarterKey]], Quarterly_Targets_cleaned[RegionQuarterKey], Quarterly_Targets_cleaned[TargetRevenue])</f>
        <v>104500</v>
      </c>
    </row>
    <row r="2390" spans="1:22" x14ac:dyDescent="0.25">
      <c r="A2390" t="s">
        <v>2727</v>
      </c>
      <c r="B2390" s="1">
        <v>45416</v>
      </c>
      <c r="C2390" t="s">
        <v>269</v>
      </c>
      <c r="D2390" t="s">
        <v>315</v>
      </c>
      <c r="E2390">
        <v>197.3</v>
      </c>
      <c r="F2390" t="s">
        <v>324</v>
      </c>
      <c r="G2390" t="s">
        <v>337</v>
      </c>
      <c r="I2390" t="s">
        <v>17</v>
      </c>
      <c r="J2390" t="s">
        <v>31</v>
      </c>
      <c r="K2390" t="s">
        <v>32</v>
      </c>
      <c r="L2390" t="s">
        <v>316</v>
      </c>
      <c r="M2390" t="s">
        <v>305</v>
      </c>
      <c r="N2390">
        <v>2.5000000000000001E-3</v>
      </c>
      <c r="O2390" t="str">
        <f>IF(Transactions_RAW_cleaned[[#This Row],[Status]]="Completed", IFERROR(_xlfn.XLOOKUP(Transactions_RAW_cleaned[[#This Row],[CustomerID]], Customers_cleaned[CustomerID], Customers_cleaned[Segment]), "Customer Not Found"), "N/A")</f>
        <v>Enterprise</v>
      </c>
      <c r="P2390" s="5" t="str">
        <f>IF(Transactions_RAW_cleaned[[#This Row],[Status]]="Refunded", "Refund",
  IF(Transactions_RAW_cleaned[[#This Row],[Category]]="Payments", IF(Transactions_RAW_cleaned[[#This Row],[Amount]]&gt;500,"High Value","Standard"),
    IF(Transactions_RAW_cleaned[[#This Row],[Amount]]&gt;250,"High Value","Standard")))</f>
        <v>Standard</v>
      </c>
      <c r="Q2390" s="5" t="str">
        <f>IF(Transactions_RAW_cleaned[[#This Row],[Amount]] &gt; (_xlfn.XLOOKUP(Transactions_RAW_cleaned[[#This Row],[ServiceID]],Services_cleaned[ServiceID],Services_cleaned[TransactionFeePct]) * 10000), "Yes", "No")</f>
        <v>Yes</v>
      </c>
      <c r="R2390" s="5" t="str">
        <f>IF(COUNTIFS($C$2:Transactions_RAW_cleaned[[#This Row],[CustomerID]],Transactions_RAW_cleaned[[#This Row],[CustomerID]],$D$2:Transactions_RAW_cleaned[[#This Row],[ServiceID]],Transactions_RAW_cleaned[[#This Row],[ServiceID]])=1,"Yes","No")</f>
        <v>No</v>
      </c>
      <c r="S239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90" t="str">
        <f>"Q"&amp;ROUNDUP(MONTH(Transactions_RAW_cleaned[[#This Row],[TransactionDate]])/3,0)</f>
        <v>Q2</v>
      </c>
      <c r="U2390" t="str">
        <f>Transactions_RAW_cleaned[[#This Row],[Region ]]&amp;Transactions_RAW_cleaned[[#This Row],[Quarter ]]</f>
        <v>EMEAQ2</v>
      </c>
      <c r="V2390" s="5">
        <f>_xlfn.XLOOKUP(Transactions_RAW_cleaned[[#This Row],[RegionQuarterKey]], Quarterly_Targets_cleaned[RegionQuarterKey], Quarterly_Targets_cleaned[TargetRevenue])</f>
        <v>140000</v>
      </c>
    </row>
    <row r="2391" spans="1:22" x14ac:dyDescent="0.25">
      <c r="A2391" t="s">
        <v>2728</v>
      </c>
      <c r="B2391" s="1">
        <v>45365</v>
      </c>
      <c r="C2391" t="s">
        <v>100</v>
      </c>
      <c r="D2391" t="s">
        <v>315</v>
      </c>
      <c r="E2391">
        <v>328.53</v>
      </c>
      <c r="F2391" t="s">
        <v>381</v>
      </c>
      <c r="G2391" t="s">
        <v>327</v>
      </c>
      <c r="I2391" t="s">
        <v>8</v>
      </c>
      <c r="J2391" t="s">
        <v>102</v>
      </c>
      <c r="K2391" t="s">
        <v>22</v>
      </c>
      <c r="L2391" t="s">
        <v>316</v>
      </c>
      <c r="M2391" t="s">
        <v>305</v>
      </c>
      <c r="N2391">
        <v>2.5000000000000001E-3</v>
      </c>
      <c r="O2391" t="str">
        <f>IF(Transactions_RAW_cleaned[[#This Row],[Status]]="Completed", IFERROR(_xlfn.XLOOKUP(Transactions_RAW_cleaned[[#This Row],[CustomerID]], Customers_cleaned[CustomerID], Customers_cleaned[Segment]), "Customer Not Found"), "N/A")</f>
        <v>N/A</v>
      </c>
      <c r="P2391" s="5" t="str">
        <f>IF(Transactions_RAW_cleaned[[#This Row],[Status]]="Refunded", "Refund",
  IF(Transactions_RAW_cleaned[[#This Row],[Category]]="Payments", IF(Transactions_RAW_cleaned[[#This Row],[Amount]]&gt;500,"High Value","Standard"),
    IF(Transactions_RAW_cleaned[[#This Row],[Amount]]&gt;250,"High Value","Standard")))</f>
        <v>High Value</v>
      </c>
      <c r="Q2391" s="5" t="str">
        <f>IF(Transactions_RAW_cleaned[[#This Row],[Amount]] &gt; (_xlfn.XLOOKUP(Transactions_RAW_cleaned[[#This Row],[ServiceID]],Services_cleaned[ServiceID],Services_cleaned[TransactionFeePct]) * 10000), "Yes", "No")</f>
        <v>Yes</v>
      </c>
      <c r="R2391" s="5" t="str">
        <f>IF(COUNTIFS($C$2:Transactions_RAW_cleaned[[#This Row],[CustomerID]],Transactions_RAW_cleaned[[#This Row],[CustomerID]],$D$2:Transactions_RAW_cleaned[[#This Row],[ServiceID]],Transactions_RAW_cleaned[[#This Row],[ServiceID]])=1,"Yes","No")</f>
        <v>No</v>
      </c>
      <c r="S239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91" t="str">
        <f>"Q"&amp;ROUNDUP(MONTH(Transactions_RAW_cleaned[[#This Row],[TransactionDate]])/3,0)</f>
        <v>Q1</v>
      </c>
      <c r="U2391" t="str">
        <f>Transactions_RAW_cleaned[[#This Row],[Region ]]&amp;Transactions_RAW_cleaned[[#This Row],[Quarter ]]</f>
        <v>NAQ1</v>
      </c>
      <c r="V2391" s="5">
        <f>_xlfn.XLOOKUP(Transactions_RAW_cleaned[[#This Row],[RegionQuarterKey]], Quarterly_Targets_cleaned[RegionQuarterKey], Quarterly_Targets_cleaned[TargetRevenue])</f>
        <v>247000</v>
      </c>
    </row>
    <row r="2392" spans="1:22" x14ac:dyDescent="0.25">
      <c r="A2392" t="s">
        <v>2729</v>
      </c>
      <c r="B2392" s="1">
        <v>45547</v>
      </c>
      <c r="C2392" t="s">
        <v>247</v>
      </c>
      <c r="D2392" t="s">
        <v>294</v>
      </c>
      <c r="E2392">
        <v>205.39</v>
      </c>
      <c r="F2392" t="s">
        <v>324</v>
      </c>
      <c r="G2392" t="s">
        <v>327</v>
      </c>
      <c r="H2392" t="s">
        <v>334</v>
      </c>
      <c r="I2392" t="s">
        <v>17</v>
      </c>
      <c r="J2392" t="s">
        <v>13</v>
      </c>
      <c r="K2392" t="s">
        <v>28</v>
      </c>
      <c r="L2392" t="s">
        <v>295</v>
      </c>
      <c r="M2392" t="s">
        <v>296</v>
      </c>
      <c r="N2392">
        <v>2.9000000000000001E-2</v>
      </c>
      <c r="O2392" t="str">
        <f>IF(Transactions_RAW_cleaned[[#This Row],[Status]]="Completed", IFERROR(_xlfn.XLOOKUP(Transactions_RAW_cleaned[[#This Row],[CustomerID]], Customers_cleaned[CustomerID], Customers_cleaned[Segment]), "Customer Not Found"), "N/A")</f>
        <v>Enterprise</v>
      </c>
      <c r="P2392" s="5" t="str">
        <f>IF(Transactions_RAW_cleaned[[#This Row],[Status]]="Refunded", "Refund",
  IF(Transactions_RAW_cleaned[[#This Row],[Category]]="Payments", IF(Transactions_RAW_cleaned[[#This Row],[Amount]]&gt;500,"High Value","Standard"),
    IF(Transactions_RAW_cleaned[[#This Row],[Amount]]&gt;250,"High Value","Standard")))</f>
        <v>Standard</v>
      </c>
      <c r="Q2392" s="5" t="str">
        <f>IF(Transactions_RAW_cleaned[[#This Row],[Amount]] &gt; (_xlfn.XLOOKUP(Transactions_RAW_cleaned[[#This Row],[ServiceID]],Services_cleaned[ServiceID],Services_cleaned[TransactionFeePct]) * 10000), "Yes", "No")</f>
        <v>No</v>
      </c>
      <c r="R2392" s="5" t="str">
        <f>IF(COUNTIFS($C$2:Transactions_RAW_cleaned[[#This Row],[CustomerID]],Transactions_RAW_cleaned[[#This Row],[CustomerID]],$D$2:Transactions_RAW_cleaned[[#This Row],[ServiceID]],Transactions_RAW_cleaned[[#This Row],[ServiceID]])=1,"Yes","No")</f>
        <v>No</v>
      </c>
      <c r="S239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92" t="str">
        <f>"Q"&amp;ROUNDUP(MONTH(Transactions_RAW_cleaned[[#This Row],[TransactionDate]])/3,0)</f>
        <v>Q3</v>
      </c>
      <c r="U2392" t="str">
        <f>Transactions_RAW_cleaned[[#This Row],[Region ]]&amp;Transactions_RAW_cleaned[[#This Row],[Quarter ]]</f>
        <v>NAQ3</v>
      </c>
      <c r="V2392" s="5">
        <f>_xlfn.XLOOKUP(Transactions_RAW_cleaned[[#This Row],[RegionQuarterKey]], Quarterly_Targets_cleaned[RegionQuarterKey], Quarterly_Targets_cleaned[TargetRevenue])</f>
        <v>273000</v>
      </c>
    </row>
    <row r="2393" spans="1:22" x14ac:dyDescent="0.25">
      <c r="A2393" t="s">
        <v>2730</v>
      </c>
      <c r="B2393" s="1">
        <v>45633</v>
      </c>
      <c r="C2393" t="s">
        <v>173</v>
      </c>
      <c r="D2393" t="s">
        <v>312</v>
      </c>
      <c r="E2393">
        <v>580.70000000000005</v>
      </c>
      <c r="F2393" t="s">
        <v>324</v>
      </c>
      <c r="G2393" t="s">
        <v>325</v>
      </c>
      <c r="H2393" t="s">
        <v>332</v>
      </c>
      <c r="I2393" t="s">
        <v>8</v>
      </c>
      <c r="J2393" t="s">
        <v>46</v>
      </c>
      <c r="K2393" t="s">
        <v>32</v>
      </c>
      <c r="L2393" t="s">
        <v>313</v>
      </c>
      <c r="M2393" t="s">
        <v>314</v>
      </c>
      <c r="N2393">
        <v>0</v>
      </c>
      <c r="O2393" t="str">
        <f>IF(Transactions_RAW_cleaned[[#This Row],[Status]]="Completed", IFERROR(_xlfn.XLOOKUP(Transactions_RAW_cleaned[[#This Row],[CustomerID]], Customers_cleaned[CustomerID], Customers_cleaned[Segment]), "Customer Not Found"), "N/A")</f>
        <v>SMB</v>
      </c>
      <c r="P2393" s="5" t="str">
        <f>IF(Transactions_RAW_cleaned[[#This Row],[Status]]="Refunded", "Refund",
  IF(Transactions_RAW_cleaned[[#This Row],[Category]]="Payments", IF(Transactions_RAW_cleaned[[#This Row],[Amount]]&gt;500,"High Value","Standard"),
    IF(Transactions_RAW_cleaned[[#This Row],[Amount]]&gt;250,"High Value","Standard")))</f>
        <v>High Value</v>
      </c>
      <c r="Q2393" s="5" t="str">
        <f>IF(Transactions_RAW_cleaned[[#This Row],[Amount]] &gt; (_xlfn.XLOOKUP(Transactions_RAW_cleaned[[#This Row],[ServiceID]],Services_cleaned[ServiceID],Services_cleaned[TransactionFeePct]) * 10000), "Yes", "No")</f>
        <v>Yes</v>
      </c>
      <c r="R2393" s="5" t="str">
        <f>IF(COUNTIFS($C$2:Transactions_RAW_cleaned[[#This Row],[CustomerID]],Transactions_RAW_cleaned[[#This Row],[CustomerID]],$D$2:Transactions_RAW_cleaned[[#This Row],[ServiceID]],Transactions_RAW_cleaned[[#This Row],[ServiceID]])=1,"Yes","No")</f>
        <v>No</v>
      </c>
      <c r="S239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93" t="str">
        <f>"Q"&amp;ROUNDUP(MONTH(Transactions_RAW_cleaned[[#This Row],[TransactionDate]])/3,0)</f>
        <v>Q4</v>
      </c>
      <c r="U2393" t="str">
        <f>Transactions_RAW_cleaned[[#This Row],[Region ]]&amp;Transactions_RAW_cleaned[[#This Row],[Quarter ]]</f>
        <v>APACQ4</v>
      </c>
      <c r="V2393" s="5">
        <f>_xlfn.XLOOKUP(Transactions_RAW_cleaned[[#This Row],[RegionQuarterKey]], Quarterly_Targets_cleaned[RegionQuarterKey], Quarterly_Targets_cleaned[TargetRevenue])</f>
        <v>126500</v>
      </c>
    </row>
    <row r="2394" spans="1:22" x14ac:dyDescent="0.25">
      <c r="A2394" t="s">
        <v>2731</v>
      </c>
      <c r="B2394" s="1">
        <v>45559</v>
      </c>
      <c r="C2394" t="s">
        <v>169</v>
      </c>
      <c r="D2394" t="s">
        <v>294</v>
      </c>
      <c r="E2394">
        <v>496.54</v>
      </c>
      <c r="F2394" t="s">
        <v>324</v>
      </c>
      <c r="G2394" t="s">
        <v>2963</v>
      </c>
      <c r="I2394" t="s">
        <v>8</v>
      </c>
      <c r="J2394" t="s">
        <v>13</v>
      </c>
      <c r="K2394" t="s">
        <v>32</v>
      </c>
      <c r="L2394" t="s">
        <v>295</v>
      </c>
      <c r="M2394" t="s">
        <v>296</v>
      </c>
      <c r="N2394">
        <v>2.9000000000000001E-2</v>
      </c>
      <c r="O2394" t="str">
        <f>IF(Transactions_RAW_cleaned[[#This Row],[Status]]="Completed", IFERROR(_xlfn.XLOOKUP(Transactions_RAW_cleaned[[#This Row],[CustomerID]], Customers_cleaned[CustomerID], Customers_cleaned[Segment]), "Customer Not Found"), "N/A")</f>
        <v>SMB</v>
      </c>
      <c r="P2394" s="5" t="str">
        <f>IF(Transactions_RAW_cleaned[[#This Row],[Status]]="Refunded", "Refund",
  IF(Transactions_RAW_cleaned[[#This Row],[Category]]="Payments", IF(Transactions_RAW_cleaned[[#This Row],[Amount]]&gt;500,"High Value","Standard"),
    IF(Transactions_RAW_cleaned[[#This Row],[Amount]]&gt;250,"High Value","Standard")))</f>
        <v>Standard</v>
      </c>
      <c r="Q2394" s="5" t="str">
        <f>IF(Transactions_RAW_cleaned[[#This Row],[Amount]] &gt; (_xlfn.XLOOKUP(Transactions_RAW_cleaned[[#This Row],[ServiceID]],Services_cleaned[ServiceID],Services_cleaned[TransactionFeePct]) * 10000), "Yes", "No")</f>
        <v>Yes</v>
      </c>
      <c r="R2394" s="5" t="str">
        <f>IF(COUNTIFS($C$2:Transactions_RAW_cleaned[[#This Row],[CustomerID]],Transactions_RAW_cleaned[[#This Row],[CustomerID]],$D$2:Transactions_RAW_cleaned[[#This Row],[ServiceID]],Transactions_RAW_cleaned[[#This Row],[ServiceID]])=1,"Yes","No")</f>
        <v>No</v>
      </c>
      <c r="S239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94" t="str">
        <f>"Q"&amp;ROUNDUP(MONTH(Transactions_RAW_cleaned[[#This Row],[TransactionDate]])/3,0)</f>
        <v>Q3</v>
      </c>
      <c r="U2394" t="str">
        <f>Transactions_RAW_cleaned[[#This Row],[Region ]]&amp;Transactions_RAW_cleaned[[#This Row],[Quarter ]]</f>
        <v>NAQ3</v>
      </c>
      <c r="V2394" s="5">
        <f>_xlfn.XLOOKUP(Transactions_RAW_cleaned[[#This Row],[RegionQuarterKey]], Quarterly_Targets_cleaned[RegionQuarterKey], Quarterly_Targets_cleaned[TargetRevenue])</f>
        <v>273000</v>
      </c>
    </row>
    <row r="2395" spans="1:22" x14ac:dyDescent="0.25">
      <c r="A2395" t="s">
        <v>2732</v>
      </c>
      <c r="B2395" s="1">
        <v>45353</v>
      </c>
      <c r="C2395" t="s">
        <v>251</v>
      </c>
      <c r="D2395" t="s">
        <v>294</v>
      </c>
      <c r="E2395">
        <v>444.65</v>
      </c>
      <c r="F2395" t="s">
        <v>324</v>
      </c>
      <c r="G2395" t="s">
        <v>329</v>
      </c>
      <c r="H2395" t="s">
        <v>346</v>
      </c>
      <c r="I2395" t="s">
        <v>17</v>
      </c>
      <c r="J2395" t="s">
        <v>46</v>
      </c>
      <c r="K2395" t="s">
        <v>14</v>
      </c>
      <c r="L2395" t="s">
        <v>295</v>
      </c>
      <c r="M2395" t="s">
        <v>296</v>
      </c>
      <c r="N2395">
        <v>2.9000000000000001E-2</v>
      </c>
      <c r="O2395" t="str">
        <f>IF(Transactions_RAW_cleaned[[#This Row],[Status]]="Completed", IFERROR(_xlfn.XLOOKUP(Transactions_RAW_cleaned[[#This Row],[CustomerID]], Customers_cleaned[CustomerID], Customers_cleaned[Segment]), "Customer Not Found"), "N/A")</f>
        <v>Enterprise</v>
      </c>
      <c r="P2395" s="5" t="str">
        <f>IF(Transactions_RAW_cleaned[[#This Row],[Status]]="Refunded", "Refund",
  IF(Transactions_RAW_cleaned[[#This Row],[Category]]="Payments", IF(Transactions_RAW_cleaned[[#This Row],[Amount]]&gt;500,"High Value","Standard"),
    IF(Transactions_RAW_cleaned[[#This Row],[Amount]]&gt;250,"High Value","Standard")))</f>
        <v>Standard</v>
      </c>
      <c r="Q2395" s="5" t="str">
        <f>IF(Transactions_RAW_cleaned[[#This Row],[Amount]] &gt; (_xlfn.XLOOKUP(Transactions_RAW_cleaned[[#This Row],[ServiceID]],Services_cleaned[ServiceID],Services_cleaned[TransactionFeePct]) * 10000), "Yes", "No")</f>
        <v>Yes</v>
      </c>
      <c r="R2395" s="5" t="str">
        <f>IF(COUNTIFS($C$2:Transactions_RAW_cleaned[[#This Row],[CustomerID]],Transactions_RAW_cleaned[[#This Row],[CustomerID]],$D$2:Transactions_RAW_cleaned[[#This Row],[ServiceID]],Transactions_RAW_cleaned[[#This Row],[ServiceID]])=1,"Yes","No")</f>
        <v>No</v>
      </c>
      <c r="S239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95" t="str">
        <f>"Q"&amp;ROUNDUP(MONTH(Transactions_RAW_cleaned[[#This Row],[TransactionDate]])/3,0)</f>
        <v>Q1</v>
      </c>
      <c r="U2395" t="str">
        <f>Transactions_RAW_cleaned[[#This Row],[Region ]]&amp;Transactions_RAW_cleaned[[#This Row],[Quarter ]]</f>
        <v>APACQ1</v>
      </c>
      <c r="V2395" s="5">
        <f>_xlfn.XLOOKUP(Transactions_RAW_cleaned[[#This Row],[RegionQuarterKey]], Quarterly_Targets_cleaned[RegionQuarterKey], Quarterly_Targets_cleaned[TargetRevenue])</f>
        <v>104500</v>
      </c>
    </row>
    <row r="2396" spans="1:22" x14ac:dyDescent="0.25">
      <c r="A2396" t="s">
        <v>2733</v>
      </c>
      <c r="B2396" s="1">
        <v>45354</v>
      </c>
      <c r="C2396" t="s">
        <v>161</v>
      </c>
      <c r="D2396" t="s">
        <v>294</v>
      </c>
      <c r="E2396">
        <v>-493.88</v>
      </c>
      <c r="F2396" t="s">
        <v>349</v>
      </c>
      <c r="G2396" t="s">
        <v>325</v>
      </c>
      <c r="I2396" t="s">
        <v>8</v>
      </c>
      <c r="J2396" t="s">
        <v>21</v>
      </c>
      <c r="K2396" t="s">
        <v>22</v>
      </c>
      <c r="L2396" t="s">
        <v>295</v>
      </c>
      <c r="M2396" t="s">
        <v>296</v>
      </c>
      <c r="N2396">
        <v>2.9000000000000001E-2</v>
      </c>
      <c r="O2396" t="str">
        <f>IF(Transactions_RAW_cleaned[[#This Row],[Status]]="Completed", IFERROR(_xlfn.XLOOKUP(Transactions_RAW_cleaned[[#This Row],[CustomerID]], Customers_cleaned[CustomerID], Customers_cleaned[Segment]), "Customer Not Found"), "N/A")</f>
        <v>N/A</v>
      </c>
      <c r="P2396" s="5" t="str">
        <f>IF(Transactions_RAW_cleaned[[#This Row],[Status]]="Refunded", "Refund",
  IF(Transactions_RAW_cleaned[[#This Row],[Category]]="Payments", IF(Transactions_RAW_cleaned[[#This Row],[Amount]]&gt;500,"High Value","Standard"),
    IF(Transactions_RAW_cleaned[[#This Row],[Amount]]&gt;250,"High Value","Standard")))</f>
        <v>Refund</v>
      </c>
      <c r="Q2396" s="5" t="str">
        <f>IF(Transactions_RAW_cleaned[[#This Row],[Amount]] &gt; (_xlfn.XLOOKUP(Transactions_RAW_cleaned[[#This Row],[ServiceID]],Services_cleaned[ServiceID],Services_cleaned[TransactionFeePct]) * 10000), "Yes", "No")</f>
        <v>No</v>
      </c>
      <c r="R2396" s="5" t="str">
        <f>IF(COUNTIFS($C$2:Transactions_RAW_cleaned[[#This Row],[CustomerID]],Transactions_RAW_cleaned[[#This Row],[CustomerID]],$D$2:Transactions_RAW_cleaned[[#This Row],[ServiceID]],Transactions_RAW_cleaned[[#This Row],[ServiceID]])=1,"Yes","No")</f>
        <v>No</v>
      </c>
      <c r="S239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96" t="str">
        <f>"Q"&amp;ROUNDUP(MONTH(Transactions_RAW_cleaned[[#This Row],[TransactionDate]])/3,0)</f>
        <v>Q1</v>
      </c>
      <c r="U2396" t="str">
        <f>Transactions_RAW_cleaned[[#This Row],[Region ]]&amp;Transactions_RAW_cleaned[[#This Row],[Quarter ]]</f>
        <v>APACQ1</v>
      </c>
      <c r="V2396" s="5">
        <f>_xlfn.XLOOKUP(Transactions_RAW_cleaned[[#This Row],[RegionQuarterKey]], Quarterly_Targets_cleaned[RegionQuarterKey], Quarterly_Targets_cleaned[TargetRevenue])</f>
        <v>104500</v>
      </c>
    </row>
    <row r="2397" spans="1:22" x14ac:dyDescent="0.25">
      <c r="A2397" t="s">
        <v>2734</v>
      </c>
      <c r="B2397" s="1">
        <v>45502</v>
      </c>
      <c r="C2397" t="s">
        <v>225</v>
      </c>
      <c r="D2397" t="s">
        <v>315</v>
      </c>
      <c r="E2397">
        <v>158.1</v>
      </c>
      <c r="F2397" t="s">
        <v>331</v>
      </c>
      <c r="G2397" t="s">
        <v>325</v>
      </c>
      <c r="I2397" t="s">
        <v>8</v>
      </c>
      <c r="J2397" t="s">
        <v>21</v>
      </c>
      <c r="K2397" t="s">
        <v>28</v>
      </c>
      <c r="L2397" t="s">
        <v>316</v>
      </c>
      <c r="M2397" t="s">
        <v>305</v>
      </c>
      <c r="N2397">
        <v>2.5000000000000001E-3</v>
      </c>
      <c r="O2397" t="str">
        <f>IF(Transactions_RAW_cleaned[[#This Row],[Status]]="Completed", IFERROR(_xlfn.XLOOKUP(Transactions_RAW_cleaned[[#This Row],[CustomerID]], Customers_cleaned[CustomerID], Customers_cleaned[Segment]), "Customer Not Found"), "N/A")</f>
        <v>N/A</v>
      </c>
      <c r="P2397" s="5" t="str">
        <f>IF(Transactions_RAW_cleaned[[#This Row],[Status]]="Refunded", "Refund",
  IF(Transactions_RAW_cleaned[[#This Row],[Category]]="Payments", IF(Transactions_RAW_cleaned[[#This Row],[Amount]]&gt;500,"High Value","Standard"),
    IF(Transactions_RAW_cleaned[[#This Row],[Amount]]&gt;250,"High Value","Standard")))</f>
        <v>Standard</v>
      </c>
      <c r="Q2397" s="5" t="str">
        <f>IF(Transactions_RAW_cleaned[[#This Row],[Amount]] &gt; (_xlfn.XLOOKUP(Transactions_RAW_cleaned[[#This Row],[ServiceID]],Services_cleaned[ServiceID],Services_cleaned[TransactionFeePct]) * 10000), "Yes", "No")</f>
        <v>Yes</v>
      </c>
      <c r="R2397" s="5" t="str">
        <f>IF(COUNTIFS($C$2:Transactions_RAW_cleaned[[#This Row],[CustomerID]],Transactions_RAW_cleaned[[#This Row],[CustomerID]],$D$2:Transactions_RAW_cleaned[[#This Row],[ServiceID]],Transactions_RAW_cleaned[[#This Row],[ServiceID]])=1,"Yes","No")</f>
        <v>No</v>
      </c>
      <c r="S239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397" t="str">
        <f>"Q"&amp;ROUNDUP(MONTH(Transactions_RAW_cleaned[[#This Row],[TransactionDate]])/3,0)</f>
        <v>Q3</v>
      </c>
      <c r="U2397" t="str">
        <f>Transactions_RAW_cleaned[[#This Row],[Region ]]&amp;Transactions_RAW_cleaned[[#This Row],[Quarter ]]</f>
        <v>APACQ3</v>
      </c>
      <c r="V2397" s="5">
        <f>_xlfn.XLOOKUP(Transactions_RAW_cleaned[[#This Row],[RegionQuarterKey]], Quarterly_Targets_cleaned[RegionQuarterKey], Quarterly_Targets_cleaned[TargetRevenue])</f>
        <v>115500</v>
      </c>
    </row>
    <row r="2398" spans="1:22" x14ac:dyDescent="0.25">
      <c r="A2398" t="s">
        <v>2735</v>
      </c>
      <c r="B2398" s="1">
        <v>45343</v>
      </c>
      <c r="C2398" t="s">
        <v>127</v>
      </c>
      <c r="D2398" t="s">
        <v>297</v>
      </c>
      <c r="E2398">
        <v>712.61</v>
      </c>
      <c r="F2398" t="s">
        <v>324</v>
      </c>
      <c r="G2398" t="s">
        <v>325</v>
      </c>
      <c r="H2398" t="s">
        <v>332</v>
      </c>
      <c r="I2398" t="s">
        <v>8</v>
      </c>
      <c r="J2398" t="s">
        <v>102</v>
      </c>
      <c r="K2398" t="s">
        <v>22</v>
      </c>
      <c r="L2398" t="s">
        <v>298</v>
      </c>
      <c r="M2398" t="s">
        <v>299</v>
      </c>
      <c r="N2398">
        <v>0</v>
      </c>
      <c r="O2398" t="str">
        <f>IF(Transactions_RAW_cleaned[[#This Row],[Status]]="Completed", IFERROR(_xlfn.XLOOKUP(Transactions_RAW_cleaned[[#This Row],[CustomerID]], Customers_cleaned[CustomerID], Customers_cleaned[Segment]), "Customer Not Found"), "N/A")</f>
        <v>SMB</v>
      </c>
      <c r="P2398" s="5" t="str">
        <f>IF(Transactions_RAW_cleaned[[#This Row],[Status]]="Refunded", "Refund",
  IF(Transactions_RAW_cleaned[[#This Row],[Category]]="Payments", IF(Transactions_RAW_cleaned[[#This Row],[Amount]]&gt;500,"High Value","Standard"),
    IF(Transactions_RAW_cleaned[[#This Row],[Amount]]&gt;250,"High Value","Standard")))</f>
        <v>High Value</v>
      </c>
      <c r="Q2398" s="5" t="str">
        <f>IF(Transactions_RAW_cleaned[[#This Row],[Amount]] &gt; (_xlfn.XLOOKUP(Transactions_RAW_cleaned[[#This Row],[ServiceID]],Services_cleaned[ServiceID],Services_cleaned[TransactionFeePct]) * 10000), "Yes", "No")</f>
        <v>Yes</v>
      </c>
      <c r="R2398" s="5" t="str">
        <f>IF(COUNTIFS($C$2:Transactions_RAW_cleaned[[#This Row],[CustomerID]],Transactions_RAW_cleaned[[#This Row],[CustomerID]],$D$2:Transactions_RAW_cleaned[[#This Row],[ServiceID]],Transactions_RAW_cleaned[[#This Row],[ServiceID]])=1,"Yes","No")</f>
        <v>No</v>
      </c>
      <c r="S239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398" t="str">
        <f>"Q"&amp;ROUNDUP(MONTH(Transactions_RAW_cleaned[[#This Row],[TransactionDate]])/3,0)</f>
        <v>Q1</v>
      </c>
      <c r="U2398" t="str">
        <f>Transactions_RAW_cleaned[[#This Row],[Region ]]&amp;Transactions_RAW_cleaned[[#This Row],[Quarter ]]</f>
        <v>NAQ1</v>
      </c>
      <c r="V2398" s="5">
        <f>_xlfn.XLOOKUP(Transactions_RAW_cleaned[[#This Row],[RegionQuarterKey]], Quarterly_Targets_cleaned[RegionQuarterKey], Quarterly_Targets_cleaned[TargetRevenue])</f>
        <v>247000</v>
      </c>
    </row>
    <row r="2399" spans="1:22" x14ac:dyDescent="0.25">
      <c r="A2399" t="s">
        <v>2736</v>
      </c>
      <c r="B2399" s="1">
        <v>45365</v>
      </c>
      <c r="C2399" t="s">
        <v>171</v>
      </c>
      <c r="D2399" t="s">
        <v>315</v>
      </c>
      <c r="E2399">
        <v>375.79</v>
      </c>
      <c r="F2399" t="s">
        <v>324</v>
      </c>
      <c r="G2399" t="s">
        <v>2963</v>
      </c>
      <c r="H2399" t="s">
        <v>334</v>
      </c>
      <c r="I2399" t="s">
        <v>17</v>
      </c>
      <c r="J2399" t="s">
        <v>31</v>
      </c>
      <c r="K2399" t="s">
        <v>32</v>
      </c>
      <c r="L2399" t="s">
        <v>316</v>
      </c>
      <c r="M2399" t="s">
        <v>305</v>
      </c>
      <c r="N2399">
        <v>2.5000000000000001E-3</v>
      </c>
      <c r="O2399" t="str">
        <f>IF(Transactions_RAW_cleaned[[#This Row],[Status]]="Completed", IFERROR(_xlfn.XLOOKUP(Transactions_RAW_cleaned[[#This Row],[CustomerID]], Customers_cleaned[CustomerID], Customers_cleaned[Segment]), "Customer Not Found"), "N/A")</f>
        <v>Enterprise</v>
      </c>
      <c r="P2399" s="5" t="str">
        <f>IF(Transactions_RAW_cleaned[[#This Row],[Status]]="Refunded", "Refund",
  IF(Transactions_RAW_cleaned[[#This Row],[Category]]="Payments", IF(Transactions_RAW_cleaned[[#This Row],[Amount]]&gt;500,"High Value","Standard"),
    IF(Transactions_RAW_cleaned[[#This Row],[Amount]]&gt;250,"High Value","Standard")))</f>
        <v>High Value</v>
      </c>
      <c r="Q2399" s="5" t="str">
        <f>IF(Transactions_RAW_cleaned[[#This Row],[Amount]] &gt; (_xlfn.XLOOKUP(Transactions_RAW_cleaned[[#This Row],[ServiceID]],Services_cleaned[ServiceID],Services_cleaned[TransactionFeePct]) * 10000), "Yes", "No")</f>
        <v>Yes</v>
      </c>
      <c r="R2399" s="5" t="str">
        <f>IF(COUNTIFS($C$2:Transactions_RAW_cleaned[[#This Row],[CustomerID]],Transactions_RAW_cleaned[[#This Row],[CustomerID]],$D$2:Transactions_RAW_cleaned[[#This Row],[ServiceID]],Transactions_RAW_cleaned[[#This Row],[ServiceID]])=1,"Yes","No")</f>
        <v>Yes</v>
      </c>
      <c r="S239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399" t="str">
        <f>"Q"&amp;ROUNDUP(MONTH(Transactions_RAW_cleaned[[#This Row],[TransactionDate]])/3,0)</f>
        <v>Q1</v>
      </c>
      <c r="U2399" t="str">
        <f>Transactions_RAW_cleaned[[#This Row],[Region ]]&amp;Transactions_RAW_cleaned[[#This Row],[Quarter ]]</f>
        <v>EMEAQ1</v>
      </c>
      <c r="V2399" s="5">
        <f>_xlfn.XLOOKUP(Transactions_RAW_cleaned[[#This Row],[RegionQuarterKey]], Quarterly_Targets_cleaned[RegionQuarterKey], Quarterly_Targets_cleaned[TargetRevenue])</f>
        <v>133000</v>
      </c>
    </row>
    <row r="2400" spans="1:22" x14ac:dyDescent="0.25">
      <c r="A2400" t="s">
        <v>2737</v>
      </c>
      <c r="B2400" s="1">
        <v>45627</v>
      </c>
      <c r="C2400" t="s">
        <v>259</v>
      </c>
      <c r="D2400" t="s">
        <v>312</v>
      </c>
      <c r="E2400">
        <v>636.63</v>
      </c>
      <c r="F2400" t="s">
        <v>324</v>
      </c>
      <c r="G2400" t="s">
        <v>325</v>
      </c>
      <c r="I2400" t="s">
        <v>8</v>
      </c>
      <c r="J2400" t="s">
        <v>31</v>
      </c>
      <c r="K2400" t="s">
        <v>22</v>
      </c>
      <c r="L2400" t="s">
        <v>313</v>
      </c>
      <c r="M2400" t="s">
        <v>314</v>
      </c>
      <c r="N2400">
        <v>0</v>
      </c>
      <c r="O2400" t="str">
        <f>IF(Transactions_RAW_cleaned[[#This Row],[Status]]="Completed", IFERROR(_xlfn.XLOOKUP(Transactions_RAW_cleaned[[#This Row],[CustomerID]], Customers_cleaned[CustomerID], Customers_cleaned[Segment]), "Customer Not Found"), "N/A")</f>
        <v>SMB</v>
      </c>
      <c r="P2400" s="5" t="str">
        <f>IF(Transactions_RAW_cleaned[[#This Row],[Status]]="Refunded", "Refund",
  IF(Transactions_RAW_cleaned[[#This Row],[Category]]="Payments", IF(Transactions_RAW_cleaned[[#This Row],[Amount]]&gt;500,"High Value","Standard"),
    IF(Transactions_RAW_cleaned[[#This Row],[Amount]]&gt;250,"High Value","Standard")))</f>
        <v>High Value</v>
      </c>
      <c r="Q2400" s="5" t="str">
        <f>IF(Transactions_RAW_cleaned[[#This Row],[Amount]] &gt; (_xlfn.XLOOKUP(Transactions_RAW_cleaned[[#This Row],[ServiceID]],Services_cleaned[ServiceID],Services_cleaned[TransactionFeePct]) * 10000), "Yes", "No")</f>
        <v>Yes</v>
      </c>
      <c r="R2400" s="5" t="str">
        <f>IF(COUNTIFS($C$2:Transactions_RAW_cleaned[[#This Row],[CustomerID]],Transactions_RAW_cleaned[[#This Row],[CustomerID]],$D$2:Transactions_RAW_cleaned[[#This Row],[ServiceID]],Transactions_RAW_cleaned[[#This Row],[ServiceID]])=1,"Yes","No")</f>
        <v>No</v>
      </c>
      <c r="S240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00" t="str">
        <f>"Q"&amp;ROUNDUP(MONTH(Transactions_RAW_cleaned[[#This Row],[TransactionDate]])/3,0)</f>
        <v>Q4</v>
      </c>
      <c r="U2400" t="str">
        <f>Transactions_RAW_cleaned[[#This Row],[Region ]]&amp;Transactions_RAW_cleaned[[#This Row],[Quarter ]]</f>
        <v>EMEAQ4</v>
      </c>
      <c r="V2400" s="5">
        <f>_xlfn.XLOOKUP(Transactions_RAW_cleaned[[#This Row],[RegionQuarterKey]], Quarterly_Targets_cleaned[RegionQuarterKey], Quarterly_Targets_cleaned[TargetRevenue])</f>
        <v>161000</v>
      </c>
    </row>
    <row r="2401" spans="1:22" x14ac:dyDescent="0.25">
      <c r="A2401" t="s">
        <v>2738</v>
      </c>
      <c r="B2401" s="1">
        <v>45549</v>
      </c>
      <c r="C2401" t="s">
        <v>70</v>
      </c>
      <c r="D2401" t="s">
        <v>303</v>
      </c>
      <c r="E2401">
        <v>364.46</v>
      </c>
      <c r="F2401" t="s">
        <v>324</v>
      </c>
      <c r="G2401" t="s">
        <v>325</v>
      </c>
      <c r="H2401" t="s">
        <v>346</v>
      </c>
      <c r="I2401" t="s">
        <v>8</v>
      </c>
      <c r="J2401" t="s">
        <v>37</v>
      </c>
      <c r="K2401" t="s">
        <v>28</v>
      </c>
      <c r="L2401" t="s">
        <v>304</v>
      </c>
      <c r="M2401" t="s">
        <v>305</v>
      </c>
      <c r="N2401">
        <v>1E-3</v>
      </c>
      <c r="O2401" t="str">
        <f>IF(Transactions_RAW_cleaned[[#This Row],[Status]]="Completed", IFERROR(_xlfn.XLOOKUP(Transactions_RAW_cleaned[[#This Row],[CustomerID]], Customers_cleaned[CustomerID], Customers_cleaned[Segment]), "Customer Not Found"), "N/A")</f>
        <v>SMB</v>
      </c>
      <c r="P2401" s="5" t="str">
        <f>IF(Transactions_RAW_cleaned[[#This Row],[Status]]="Refunded", "Refund",
  IF(Transactions_RAW_cleaned[[#This Row],[Category]]="Payments", IF(Transactions_RAW_cleaned[[#This Row],[Amount]]&gt;500,"High Value","Standard"),
    IF(Transactions_RAW_cleaned[[#This Row],[Amount]]&gt;250,"High Value","Standard")))</f>
        <v>High Value</v>
      </c>
      <c r="Q2401" s="5" t="str">
        <f>IF(Transactions_RAW_cleaned[[#This Row],[Amount]] &gt; (_xlfn.XLOOKUP(Transactions_RAW_cleaned[[#This Row],[ServiceID]],Services_cleaned[ServiceID],Services_cleaned[TransactionFeePct]) * 10000), "Yes", "No")</f>
        <v>Yes</v>
      </c>
      <c r="R2401" s="5" t="str">
        <f>IF(COUNTIFS($C$2:Transactions_RAW_cleaned[[#This Row],[CustomerID]],Transactions_RAW_cleaned[[#This Row],[CustomerID]],$D$2:Transactions_RAW_cleaned[[#This Row],[ServiceID]],Transactions_RAW_cleaned[[#This Row],[ServiceID]])=1,"Yes","No")</f>
        <v>No</v>
      </c>
      <c r="S240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01" t="str">
        <f>"Q"&amp;ROUNDUP(MONTH(Transactions_RAW_cleaned[[#This Row],[TransactionDate]])/3,0)</f>
        <v>Q3</v>
      </c>
      <c r="U2401" t="str">
        <f>Transactions_RAW_cleaned[[#This Row],[Region ]]&amp;Transactions_RAW_cleaned[[#This Row],[Quarter ]]</f>
        <v>EMEAQ3</v>
      </c>
      <c r="V2401" s="5">
        <f>_xlfn.XLOOKUP(Transactions_RAW_cleaned[[#This Row],[RegionQuarterKey]], Quarterly_Targets_cleaned[RegionQuarterKey], Quarterly_Targets_cleaned[TargetRevenue])</f>
        <v>147000</v>
      </c>
    </row>
    <row r="2402" spans="1:22" x14ac:dyDescent="0.25">
      <c r="A2402" t="s">
        <v>2739</v>
      </c>
      <c r="B2402" s="1">
        <v>45471</v>
      </c>
      <c r="C2402" t="s">
        <v>261</v>
      </c>
      <c r="D2402" t="s">
        <v>303</v>
      </c>
      <c r="E2402">
        <v>626.33000000000004</v>
      </c>
      <c r="F2402" t="s">
        <v>324</v>
      </c>
      <c r="G2402" t="s">
        <v>325</v>
      </c>
      <c r="H2402" t="s">
        <v>334</v>
      </c>
      <c r="I2402" t="s">
        <v>8</v>
      </c>
      <c r="J2402" t="s">
        <v>31</v>
      </c>
      <c r="K2402" t="s">
        <v>18</v>
      </c>
      <c r="L2402" t="s">
        <v>304</v>
      </c>
      <c r="M2402" t="s">
        <v>305</v>
      </c>
      <c r="N2402">
        <v>1E-3</v>
      </c>
      <c r="O2402" t="str">
        <f>IF(Transactions_RAW_cleaned[[#This Row],[Status]]="Completed", IFERROR(_xlfn.XLOOKUP(Transactions_RAW_cleaned[[#This Row],[CustomerID]], Customers_cleaned[CustomerID], Customers_cleaned[Segment]), "Customer Not Found"), "N/A")</f>
        <v>SMB</v>
      </c>
      <c r="P2402" s="5" t="str">
        <f>IF(Transactions_RAW_cleaned[[#This Row],[Status]]="Refunded", "Refund",
  IF(Transactions_RAW_cleaned[[#This Row],[Category]]="Payments", IF(Transactions_RAW_cleaned[[#This Row],[Amount]]&gt;500,"High Value","Standard"),
    IF(Transactions_RAW_cleaned[[#This Row],[Amount]]&gt;250,"High Value","Standard")))</f>
        <v>High Value</v>
      </c>
      <c r="Q2402" s="5" t="str">
        <f>IF(Transactions_RAW_cleaned[[#This Row],[Amount]] &gt; (_xlfn.XLOOKUP(Transactions_RAW_cleaned[[#This Row],[ServiceID]],Services_cleaned[ServiceID],Services_cleaned[TransactionFeePct]) * 10000), "Yes", "No")</f>
        <v>Yes</v>
      </c>
      <c r="R2402" s="5" t="str">
        <f>IF(COUNTIFS($C$2:Transactions_RAW_cleaned[[#This Row],[CustomerID]],Transactions_RAW_cleaned[[#This Row],[CustomerID]],$D$2:Transactions_RAW_cleaned[[#This Row],[ServiceID]],Transactions_RAW_cleaned[[#This Row],[ServiceID]])=1,"Yes","No")</f>
        <v>No</v>
      </c>
      <c r="S240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02" t="str">
        <f>"Q"&amp;ROUNDUP(MONTH(Transactions_RAW_cleaned[[#This Row],[TransactionDate]])/3,0)</f>
        <v>Q2</v>
      </c>
      <c r="U2402" t="str">
        <f>Transactions_RAW_cleaned[[#This Row],[Region ]]&amp;Transactions_RAW_cleaned[[#This Row],[Quarter ]]</f>
        <v>EMEAQ2</v>
      </c>
      <c r="V2402" s="5">
        <f>_xlfn.XLOOKUP(Transactions_RAW_cleaned[[#This Row],[RegionQuarterKey]], Quarterly_Targets_cleaned[RegionQuarterKey], Quarterly_Targets_cleaned[TargetRevenue])</f>
        <v>140000</v>
      </c>
    </row>
    <row r="2403" spans="1:22" x14ac:dyDescent="0.25">
      <c r="A2403" t="s">
        <v>2740</v>
      </c>
      <c r="B2403" s="1">
        <v>45533</v>
      </c>
      <c r="C2403" t="s">
        <v>53</v>
      </c>
      <c r="D2403" t="s">
        <v>315</v>
      </c>
      <c r="E2403">
        <v>230.94</v>
      </c>
      <c r="F2403" t="s">
        <v>324</v>
      </c>
      <c r="G2403" t="s">
        <v>337</v>
      </c>
      <c r="H2403" t="s">
        <v>334</v>
      </c>
      <c r="I2403" t="s">
        <v>17</v>
      </c>
      <c r="J2403" t="s">
        <v>21</v>
      </c>
      <c r="K2403" t="s">
        <v>28</v>
      </c>
      <c r="L2403" t="s">
        <v>316</v>
      </c>
      <c r="M2403" t="s">
        <v>305</v>
      </c>
      <c r="N2403">
        <v>2.5000000000000001E-3</v>
      </c>
      <c r="O2403" t="str">
        <f>IF(Transactions_RAW_cleaned[[#This Row],[Status]]="Completed", IFERROR(_xlfn.XLOOKUP(Transactions_RAW_cleaned[[#This Row],[CustomerID]], Customers_cleaned[CustomerID], Customers_cleaned[Segment]), "Customer Not Found"), "N/A")</f>
        <v>Enterprise</v>
      </c>
      <c r="P2403" s="5" t="str">
        <f>IF(Transactions_RAW_cleaned[[#This Row],[Status]]="Refunded", "Refund",
  IF(Transactions_RAW_cleaned[[#This Row],[Category]]="Payments", IF(Transactions_RAW_cleaned[[#This Row],[Amount]]&gt;500,"High Value","Standard"),
    IF(Transactions_RAW_cleaned[[#This Row],[Amount]]&gt;250,"High Value","Standard")))</f>
        <v>Standard</v>
      </c>
      <c r="Q2403" s="5" t="str">
        <f>IF(Transactions_RAW_cleaned[[#This Row],[Amount]] &gt; (_xlfn.XLOOKUP(Transactions_RAW_cleaned[[#This Row],[ServiceID]],Services_cleaned[ServiceID],Services_cleaned[TransactionFeePct]) * 10000), "Yes", "No")</f>
        <v>Yes</v>
      </c>
      <c r="R2403" s="5" t="str">
        <f>IF(COUNTIFS($C$2:Transactions_RAW_cleaned[[#This Row],[CustomerID]],Transactions_RAW_cleaned[[#This Row],[CustomerID]],$D$2:Transactions_RAW_cleaned[[#This Row],[ServiceID]],Transactions_RAW_cleaned[[#This Row],[ServiceID]])=1,"Yes","No")</f>
        <v>No</v>
      </c>
      <c r="S240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03" t="str">
        <f>"Q"&amp;ROUNDUP(MONTH(Transactions_RAW_cleaned[[#This Row],[TransactionDate]])/3,0)</f>
        <v>Q3</v>
      </c>
      <c r="U2403" t="str">
        <f>Transactions_RAW_cleaned[[#This Row],[Region ]]&amp;Transactions_RAW_cleaned[[#This Row],[Quarter ]]</f>
        <v>APACQ3</v>
      </c>
      <c r="V2403" s="5">
        <f>_xlfn.XLOOKUP(Transactions_RAW_cleaned[[#This Row],[RegionQuarterKey]], Quarterly_Targets_cleaned[RegionQuarterKey], Quarterly_Targets_cleaned[TargetRevenue])</f>
        <v>115500</v>
      </c>
    </row>
    <row r="2404" spans="1:22" x14ac:dyDescent="0.25">
      <c r="A2404" t="s">
        <v>2741</v>
      </c>
      <c r="B2404" s="1">
        <v>45313</v>
      </c>
      <c r="C2404" t="s">
        <v>11</v>
      </c>
      <c r="D2404" t="s">
        <v>306</v>
      </c>
      <c r="E2404">
        <v>105.21</v>
      </c>
      <c r="F2404" t="s">
        <v>324</v>
      </c>
      <c r="G2404" t="s">
        <v>325</v>
      </c>
      <c r="H2404" t="s">
        <v>332</v>
      </c>
      <c r="I2404" t="s">
        <v>8</v>
      </c>
      <c r="J2404" t="s">
        <v>13</v>
      </c>
      <c r="K2404" t="s">
        <v>14</v>
      </c>
      <c r="L2404" t="s">
        <v>307</v>
      </c>
      <c r="M2404" t="s">
        <v>308</v>
      </c>
      <c r="N2404">
        <v>0</v>
      </c>
      <c r="O2404" t="str">
        <f>IF(Transactions_RAW_cleaned[[#This Row],[Status]]="Completed", IFERROR(_xlfn.XLOOKUP(Transactions_RAW_cleaned[[#This Row],[CustomerID]], Customers_cleaned[CustomerID], Customers_cleaned[Segment]), "Customer Not Found"), "N/A")</f>
        <v>SMB</v>
      </c>
      <c r="P2404" s="5" t="str">
        <f>IF(Transactions_RAW_cleaned[[#This Row],[Status]]="Refunded", "Refund",
  IF(Transactions_RAW_cleaned[[#This Row],[Category]]="Payments", IF(Transactions_RAW_cleaned[[#This Row],[Amount]]&gt;500,"High Value","Standard"),
    IF(Transactions_RAW_cleaned[[#This Row],[Amount]]&gt;250,"High Value","Standard")))</f>
        <v>Standard</v>
      </c>
      <c r="Q2404" s="5" t="str">
        <f>IF(Transactions_RAW_cleaned[[#This Row],[Amount]] &gt; (_xlfn.XLOOKUP(Transactions_RAW_cleaned[[#This Row],[ServiceID]],Services_cleaned[ServiceID],Services_cleaned[TransactionFeePct]) * 10000), "Yes", "No")</f>
        <v>Yes</v>
      </c>
      <c r="R2404" s="5" t="str">
        <f>IF(COUNTIFS($C$2:Transactions_RAW_cleaned[[#This Row],[CustomerID]],Transactions_RAW_cleaned[[#This Row],[CustomerID]],$D$2:Transactions_RAW_cleaned[[#This Row],[ServiceID]],Transactions_RAW_cleaned[[#This Row],[ServiceID]])=1,"Yes","No")</f>
        <v>No</v>
      </c>
      <c r="S240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04" t="str">
        <f>"Q"&amp;ROUNDUP(MONTH(Transactions_RAW_cleaned[[#This Row],[TransactionDate]])/3,0)</f>
        <v>Q1</v>
      </c>
      <c r="U2404" t="str">
        <f>Transactions_RAW_cleaned[[#This Row],[Region ]]&amp;Transactions_RAW_cleaned[[#This Row],[Quarter ]]</f>
        <v>NAQ1</v>
      </c>
      <c r="V2404" s="5">
        <f>_xlfn.XLOOKUP(Transactions_RAW_cleaned[[#This Row],[RegionQuarterKey]], Quarterly_Targets_cleaned[RegionQuarterKey], Quarterly_Targets_cleaned[TargetRevenue])</f>
        <v>247000</v>
      </c>
    </row>
    <row r="2405" spans="1:22" x14ac:dyDescent="0.25">
      <c r="A2405" t="s">
        <v>2742</v>
      </c>
      <c r="B2405" s="1">
        <v>45563</v>
      </c>
      <c r="C2405" t="s">
        <v>82</v>
      </c>
      <c r="D2405" t="s">
        <v>300</v>
      </c>
      <c r="E2405">
        <v>343.6</v>
      </c>
      <c r="F2405" t="s">
        <v>381</v>
      </c>
      <c r="G2405" t="s">
        <v>325</v>
      </c>
      <c r="I2405" t="s">
        <v>57</v>
      </c>
      <c r="J2405" t="s">
        <v>46</v>
      </c>
      <c r="K2405" t="s">
        <v>10</v>
      </c>
      <c r="L2405" t="s">
        <v>301</v>
      </c>
      <c r="M2405" t="s">
        <v>302</v>
      </c>
      <c r="N2405">
        <v>5.0000000000000001E-3</v>
      </c>
      <c r="O2405" t="str">
        <f>IF(Transactions_RAW_cleaned[[#This Row],[Status]]="Completed", IFERROR(_xlfn.XLOOKUP(Transactions_RAW_cleaned[[#This Row],[CustomerID]], Customers_cleaned[CustomerID], Customers_cleaned[Segment]), "Customer Not Found"), "N/A")</f>
        <v>N/A</v>
      </c>
      <c r="P2405" s="5" t="str">
        <f>IF(Transactions_RAW_cleaned[[#This Row],[Status]]="Refunded", "Refund",
  IF(Transactions_RAW_cleaned[[#This Row],[Category]]="Payments", IF(Transactions_RAW_cleaned[[#This Row],[Amount]]&gt;500,"High Value","Standard"),
    IF(Transactions_RAW_cleaned[[#This Row],[Amount]]&gt;250,"High Value","Standard")))</f>
        <v>High Value</v>
      </c>
      <c r="Q2405" s="5" t="str">
        <f>IF(Transactions_RAW_cleaned[[#This Row],[Amount]] &gt; (_xlfn.XLOOKUP(Transactions_RAW_cleaned[[#This Row],[ServiceID]],Services_cleaned[ServiceID],Services_cleaned[TransactionFeePct]) * 10000), "Yes", "No")</f>
        <v>Yes</v>
      </c>
      <c r="R2405" s="5" t="str">
        <f>IF(COUNTIFS($C$2:Transactions_RAW_cleaned[[#This Row],[CustomerID]],Transactions_RAW_cleaned[[#This Row],[CustomerID]],$D$2:Transactions_RAW_cleaned[[#This Row],[ServiceID]],Transactions_RAW_cleaned[[#This Row],[ServiceID]])=1,"Yes","No")</f>
        <v>No</v>
      </c>
      <c r="S240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05" t="str">
        <f>"Q"&amp;ROUNDUP(MONTH(Transactions_RAW_cleaned[[#This Row],[TransactionDate]])/3,0)</f>
        <v>Q3</v>
      </c>
      <c r="U2405" t="str">
        <f>Transactions_RAW_cleaned[[#This Row],[Region ]]&amp;Transactions_RAW_cleaned[[#This Row],[Quarter ]]</f>
        <v>APACQ3</v>
      </c>
      <c r="V2405" s="5">
        <f>_xlfn.XLOOKUP(Transactions_RAW_cleaned[[#This Row],[RegionQuarterKey]], Quarterly_Targets_cleaned[RegionQuarterKey], Quarterly_Targets_cleaned[TargetRevenue])</f>
        <v>115500</v>
      </c>
    </row>
    <row r="2406" spans="1:22" x14ac:dyDescent="0.25">
      <c r="A2406" t="s">
        <v>2743</v>
      </c>
      <c r="B2406" s="1">
        <v>45424</v>
      </c>
      <c r="C2406" t="s">
        <v>94</v>
      </c>
      <c r="D2406" t="s">
        <v>312</v>
      </c>
      <c r="E2406">
        <v>341.71</v>
      </c>
      <c r="F2406" t="s">
        <v>324</v>
      </c>
      <c r="G2406" t="s">
        <v>337</v>
      </c>
      <c r="I2406" t="s">
        <v>8</v>
      </c>
      <c r="J2406" t="s">
        <v>21</v>
      </c>
      <c r="K2406" t="s">
        <v>14</v>
      </c>
      <c r="L2406" t="s">
        <v>313</v>
      </c>
      <c r="M2406" t="s">
        <v>314</v>
      </c>
      <c r="N2406">
        <v>0</v>
      </c>
      <c r="O2406" t="str">
        <f>IF(Transactions_RAW_cleaned[[#This Row],[Status]]="Completed", IFERROR(_xlfn.XLOOKUP(Transactions_RAW_cleaned[[#This Row],[CustomerID]], Customers_cleaned[CustomerID], Customers_cleaned[Segment]), "Customer Not Found"), "N/A")</f>
        <v>SMB</v>
      </c>
      <c r="P2406" s="5" t="str">
        <f>IF(Transactions_RAW_cleaned[[#This Row],[Status]]="Refunded", "Refund",
  IF(Transactions_RAW_cleaned[[#This Row],[Category]]="Payments", IF(Transactions_RAW_cleaned[[#This Row],[Amount]]&gt;500,"High Value","Standard"),
    IF(Transactions_RAW_cleaned[[#This Row],[Amount]]&gt;250,"High Value","Standard")))</f>
        <v>High Value</v>
      </c>
      <c r="Q2406" s="5" t="str">
        <f>IF(Transactions_RAW_cleaned[[#This Row],[Amount]] &gt; (_xlfn.XLOOKUP(Transactions_RAW_cleaned[[#This Row],[ServiceID]],Services_cleaned[ServiceID],Services_cleaned[TransactionFeePct]) * 10000), "Yes", "No")</f>
        <v>Yes</v>
      </c>
      <c r="R2406" s="5" t="str">
        <f>IF(COUNTIFS($C$2:Transactions_RAW_cleaned[[#This Row],[CustomerID]],Transactions_RAW_cleaned[[#This Row],[CustomerID]],$D$2:Transactions_RAW_cleaned[[#This Row],[ServiceID]],Transactions_RAW_cleaned[[#This Row],[ServiceID]])=1,"Yes","No")</f>
        <v>No</v>
      </c>
      <c r="S240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06" t="str">
        <f>"Q"&amp;ROUNDUP(MONTH(Transactions_RAW_cleaned[[#This Row],[TransactionDate]])/3,0)</f>
        <v>Q2</v>
      </c>
      <c r="U2406" t="str">
        <f>Transactions_RAW_cleaned[[#This Row],[Region ]]&amp;Transactions_RAW_cleaned[[#This Row],[Quarter ]]</f>
        <v>APACQ2</v>
      </c>
      <c r="V2406" s="5">
        <f>_xlfn.XLOOKUP(Transactions_RAW_cleaned[[#This Row],[RegionQuarterKey]], Quarterly_Targets_cleaned[RegionQuarterKey], Quarterly_Targets_cleaned[TargetRevenue])</f>
        <v>110000</v>
      </c>
    </row>
    <row r="2407" spans="1:22" x14ac:dyDescent="0.25">
      <c r="A2407" t="s">
        <v>2744</v>
      </c>
      <c r="B2407" s="1">
        <v>45395</v>
      </c>
      <c r="C2407" t="s">
        <v>159</v>
      </c>
      <c r="D2407" t="s">
        <v>294</v>
      </c>
      <c r="E2407">
        <v>1000.21</v>
      </c>
      <c r="F2407" t="s">
        <v>324</v>
      </c>
      <c r="G2407" t="s">
        <v>325</v>
      </c>
      <c r="I2407" t="s">
        <v>57</v>
      </c>
      <c r="J2407" t="s">
        <v>25</v>
      </c>
      <c r="K2407" t="s">
        <v>22</v>
      </c>
      <c r="L2407" t="s">
        <v>295</v>
      </c>
      <c r="M2407" t="s">
        <v>296</v>
      </c>
      <c r="N2407">
        <v>2.9000000000000001E-2</v>
      </c>
      <c r="O2407" t="str">
        <f>IF(Transactions_RAW_cleaned[[#This Row],[Status]]="Completed", IFERROR(_xlfn.XLOOKUP(Transactions_RAW_cleaned[[#This Row],[CustomerID]], Customers_cleaned[CustomerID], Customers_cleaned[Segment]), "Customer Not Found"), "N/A")</f>
        <v>Startup</v>
      </c>
      <c r="P2407" s="5" t="str">
        <f>IF(Transactions_RAW_cleaned[[#This Row],[Status]]="Refunded", "Refund",
  IF(Transactions_RAW_cleaned[[#This Row],[Category]]="Payments", IF(Transactions_RAW_cleaned[[#This Row],[Amount]]&gt;500,"High Value","Standard"),
    IF(Transactions_RAW_cleaned[[#This Row],[Amount]]&gt;250,"High Value","Standard")))</f>
        <v>High Value</v>
      </c>
      <c r="Q2407" s="5" t="str">
        <f>IF(Transactions_RAW_cleaned[[#This Row],[Amount]] &gt; (_xlfn.XLOOKUP(Transactions_RAW_cleaned[[#This Row],[ServiceID]],Services_cleaned[ServiceID],Services_cleaned[TransactionFeePct]) * 10000), "Yes", "No")</f>
        <v>Yes</v>
      </c>
      <c r="R2407" s="5" t="str">
        <f>IF(COUNTIFS($C$2:Transactions_RAW_cleaned[[#This Row],[CustomerID]],Transactions_RAW_cleaned[[#This Row],[CustomerID]],$D$2:Transactions_RAW_cleaned[[#This Row],[ServiceID]],Transactions_RAW_cleaned[[#This Row],[ServiceID]])=1,"Yes","No")</f>
        <v>No</v>
      </c>
      <c r="S240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07" t="str">
        <f>"Q"&amp;ROUNDUP(MONTH(Transactions_RAW_cleaned[[#This Row],[TransactionDate]])/3,0)</f>
        <v>Q2</v>
      </c>
      <c r="U2407" t="str">
        <f>Transactions_RAW_cleaned[[#This Row],[Region ]]&amp;Transactions_RAW_cleaned[[#This Row],[Quarter ]]</f>
        <v>APACQ2</v>
      </c>
      <c r="V2407" s="5">
        <f>_xlfn.XLOOKUP(Transactions_RAW_cleaned[[#This Row],[RegionQuarterKey]], Quarterly_Targets_cleaned[RegionQuarterKey], Quarterly_Targets_cleaned[TargetRevenue])</f>
        <v>110000</v>
      </c>
    </row>
    <row r="2408" spans="1:22" x14ac:dyDescent="0.25">
      <c r="A2408" t="s">
        <v>2745</v>
      </c>
      <c r="B2408" s="1">
        <v>45499</v>
      </c>
      <c r="C2408" t="s">
        <v>173</v>
      </c>
      <c r="D2408" t="s">
        <v>312</v>
      </c>
      <c r="E2408">
        <v>151.44999999999999</v>
      </c>
      <c r="F2408" t="s">
        <v>324</v>
      </c>
      <c r="G2408" t="s">
        <v>327</v>
      </c>
      <c r="I2408" t="s">
        <v>8</v>
      </c>
      <c r="J2408" t="s">
        <v>46</v>
      </c>
      <c r="K2408" t="s">
        <v>32</v>
      </c>
      <c r="L2408" t="s">
        <v>313</v>
      </c>
      <c r="M2408" t="s">
        <v>314</v>
      </c>
      <c r="N2408">
        <v>0</v>
      </c>
      <c r="O2408" t="str">
        <f>IF(Transactions_RAW_cleaned[[#This Row],[Status]]="Completed", IFERROR(_xlfn.XLOOKUP(Transactions_RAW_cleaned[[#This Row],[CustomerID]], Customers_cleaned[CustomerID], Customers_cleaned[Segment]), "Customer Not Found"), "N/A")</f>
        <v>SMB</v>
      </c>
      <c r="P2408" s="5" t="str">
        <f>IF(Transactions_RAW_cleaned[[#This Row],[Status]]="Refunded", "Refund",
  IF(Transactions_RAW_cleaned[[#This Row],[Category]]="Payments", IF(Transactions_RAW_cleaned[[#This Row],[Amount]]&gt;500,"High Value","Standard"),
    IF(Transactions_RAW_cleaned[[#This Row],[Amount]]&gt;250,"High Value","Standard")))</f>
        <v>Standard</v>
      </c>
      <c r="Q2408" s="5" t="str">
        <f>IF(Transactions_RAW_cleaned[[#This Row],[Amount]] &gt; (_xlfn.XLOOKUP(Transactions_RAW_cleaned[[#This Row],[ServiceID]],Services_cleaned[ServiceID],Services_cleaned[TransactionFeePct]) * 10000), "Yes", "No")</f>
        <v>Yes</v>
      </c>
      <c r="R2408" s="5" t="str">
        <f>IF(COUNTIFS($C$2:Transactions_RAW_cleaned[[#This Row],[CustomerID]],Transactions_RAW_cleaned[[#This Row],[CustomerID]],$D$2:Transactions_RAW_cleaned[[#This Row],[ServiceID]],Transactions_RAW_cleaned[[#This Row],[ServiceID]])=1,"Yes","No")</f>
        <v>No</v>
      </c>
      <c r="S240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08" t="str">
        <f>"Q"&amp;ROUNDUP(MONTH(Transactions_RAW_cleaned[[#This Row],[TransactionDate]])/3,0)</f>
        <v>Q3</v>
      </c>
      <c r="U2408" t="str">
        <f>Transactions_RAW_cleaned[[#This Row],[Region ]]&amp;Transactions_RAW_cleaned[[#This Row],[Quarter ]]</f>
        <v>APACQ3</v>
      </c>
      <c r="V2408" s="5">
        <f>_xlfn.XLOOKUP(Transactions_RAW_cleaned[[#This Row],[RegionQuarterKey]], Quarterly_Targets_cleaned[RegionQuarterKey], Quarterly_Targets_cleaned[TargetRevenue])</f>
        <v>115500</v>
      </c>
    </row>
    <row r="2409" spans="1:22" x14ac:dyDescent="0.25">
      <c r="A2409" t="s">
        <v>2746</v>
      </c>
      <c r="B2409" s="1">
        <v>45442</v>
      </c>
      <c r="C2409" t="s">
        <v>167</v>
      </c>
      <c r="D2409" t="s">
        <v>294</v>
      </c>
      <c r="E2409">
        <v>295.16000000000003</v>
      </c>
      <c r="F2409" t="s">
        <v>324</v>
      </c>
      <c r="G2409" t="s">
        <v>325</v>
      </c>
      <c r="H2409" t="s">
        <v>332</v>
      </c>
      <c r="I2409" t="s">
        <v>17</v>
      </c>
      <c r="J2409" t="s">
        <v>13</v>
      </c>
      <c r="K2409" t="s">
        <v>10</v>
      </c>
      <c r="L2409" t="s">
        <v>295</v>
      </c>
      <c r="M2409" t="s">
        <v>296</v>
      </c>
      <c r="N2409">
        <v>2.9000000000000001E-2</v>
      </c>
      <c r="O2409" t="str">
        <f>IF(Transactions_RAW_cleaned[[#This Row],[Status]]="Completed", IFERROR(_xlfn.XLOOKUP(Transactions_RAW_cleaned[[#This Row],[CustomerID]], Customers_cleaned[CustomerID], Customers_cleaned[Segment]), "Customer Not Found"), "N/A")</f>
        <v>Enterprise</v>
      </c>
      <c r="P2409" s="5" t="str">
        <f>IF(Transactions_RAW_cleaned[[#This Row],[Status]]="Refunded", "Refund",
  IF(Transactions_RAW_cleaned[[#This Row],[Category]]="Payments", IF(Transactions_RAW_cleaned[[#This Row],[Amount]]&gt;500,"High Value","Standard"),
    IF(Transactions_RAW_cleaned[[#This Row],[Amount]]&gt;250,"High Value","Standard")))</f>
        <v>Standard</v>
      </c>
      <c r="Q2409" s="5" t="str">
        <f>IF(Transactions_RAW_cleaned[[#This Row],[Amount]] &gt; (_xlfn.XLOOKUP(Transactions_RAW_cleaned[[#This Row],[ServiceID]],Services_cleaned[ServiceID],Services_cleaned[TransactionFeePct]) * 10000), "Yes", "No")</f>
        <v>Yes</v>
      </c>
      <c r="R2409" s="5" t="str">
        <f>IF(COUNTIFS($C$2:Transactions_RAW_cleaned[[#This Row],[CustomerID]],Transactions_RAW_cleaned[[#This Row],[CustomerID]],$D$2:Transactions_RAW_cleaned[[#This Row],[ServiceID]],Transactions_RAW_cleaned[[#This Row],[ServiceID]])=1,"Yes","No")</f>
        <v>No</v>
      </c>
      <c r="S240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09" t="str">
        <f>"Q"&amp;ROUNDUP(MONTH(Transactions_RAW_cleaned[[#This Row],[TransactionDate]])/3,0)</f>
        <v>Q2</v>
      </c>
      <c r="U2409" t="str">
        <f>Transactions_RAW_cleaned[[#This Row],[Region ]]&amp;Transactions_RAW_cleaned[[#This Row],[Quarter ]]</f>
        <v>NAQ2</v>
      </c>
      <c r="V2409" s="5">
        <f>_xlfn.XLOOKUP(Transactions_RAW_cleaned[[#This Row],[RegionQuarterKey]], Quarterly_Targets_cleaned[RegionQuarterKey], Quarterly_Targets_cleaned[TargetRevenue])</f>
        <v>260000</v>
      </c>
    </row>
    <row r="2410" spans="1:22" x14ac:dyDescent="0.25">
      <c r="A2410" t="s">
        <v>2747</v>
      </c>
      <c r="B2410" s="1">
        <v>45534</v>
      </c>
      <c r="C2410" t="s">
        <v>247</v>
      </c>
      <c r="D2410" t="s">
        <v>309</v>
      </c>
      <c r="E2410">
        <v>157.6</v>
      </c>
      <c r="F2410" t="s">
        <v>331</v>
      </c>
      <c r="G2410" t="s">
        <v>325</v>
      </c>
      <c r="H2410" t="s">
        <v>334</v>
      </c>
      <c r="I2410" t="s">
        <v>17</v>
      </c>
      <c r="J2410" t="s">
        <v>13</v>
      </c>
      <c r="K2410" t="s">
        <v>28</v>
      </c>
      <c r="L2410" t="s">
        <v>310</v>
      </c>
      <c r="M2410" t="s">
        <v>311</v>
      </c>
      <c r="N2410">
        <v>0</v>
      </c>
      <c r="O2410" t="str">
        <f>IF(Transactions_RAW_cleaned[[#This Row],[Status]]="Completed", IFERROR(_xlfn.XLOOKUP(Transactions_RAW_cleaned[[#This Row],[CustomerID]], Customers_cleaned[CustomerID], Customers_cleaned[Segment]), "Customer Not Found"), "N/A")</f>
        <v>N/A</v>
      </c>
      <c r="P2410" s="5" t="str">
        <f>IF(Transactions_RAW_cleaned[[#This Row],[Status]]="Refunded", "Refund",
  IF(Transactions_RAW_cleaned[[#This Row],[Category]]="Payments", IF(Transactions_RAW_cleaned[[#This Row],[Amount]]&gt;500,"High Value","Standard"),
    IF(Transactions_RAW_cleaned[[#This Row],[Amount]]&gt;250,"High Value","Standard")))</f>
        <v>Standard</v>
      </c>
      <c r="Q2410" s="5" t="str">
        <f>IF(Transactions_RAW_cleaned[[#This Row],[Amount]] &gt; (_xlfn.XLOOKUP(Transactions_RAW_cleaned[[#This Row],[ServiceID]],Services_cleaned[ServiceID],Services_cleaned[TransactionFeePct]) * 10000), "Yes", "No")</f>
        <v>Yes</v>
      </c>
      <c r="R2410" s="5" t="str">
        <f>IF(COUNTIFS($C$2:Transactions_RAW_cleaned[[#This Row],[CustomerID]],Transactions_RAW_cleaned[[#This Row],[CustomerID]],$D$2:Transactions_RAW_cleaned[[#This Row],[ServiceID]],Transactions_RAW_cleaned[[#This Row],[ServiceID]])=1,"Yes","No")</f>
        <v>No</v>
      </c>
      <c r="S241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10" t="str">
        <f>"Q"&amp;ROUNDUP(MONTH(Transactions_RAW_cleaned[[#This Row],[TransactionDate]])/3,0)</f>
        <v>Q3</v>
      </c>
      <c r="U2410" t="str">
        <f>Transactions_RAW_cleaned[[#This Row],[Region ]]&amp;Transactions_RAW_cleaned[[#This Row],[Quarter ]]</f>
        <v>NAQ3</v>
      </c>
      <c r="V2410" s="5">
        <f>_xlfn.XLOOKUP(Transactions_RAW_cleaned[[#This Row],[RegionQuarterKey]], Quarterly_Targets_cleaned[RegionQuarterKey], Quarterly_Targets_cleaned[TargetRevenue])</f>
        <v>273000</v>
      </c>
    </row>
    <row r="2411" spans="1:22" x14ac:dyDescent="0.25">
      <c r="A2411" t="s">
        <v>2748</v>
      </c>
      <c r="B2411" s="1">
        <v>45591</v>
      </c>
      <c r="C2411" t="s">
        <v>98</v>
      </c>
      <c r="D2411" t="s">
        <v>300</v>
      </c>
      <c r="E2411">
        <v>230.14</v>
      </c>
      <c r="F2411" t="s">
        <v>381</v>
      </c>
      <c r="G2411" t="s">
        <v>325</v>
      </c>
      <c r="H2411" t="s">
        <v>346</v>
      </c>
      <c r="I2411" t="s">
        <v>8</v>
      </c>
      <c r="J2411" t="s">
        <v>37</v>
      </c>
      <c r="K2411" t="s">
        <v>18</v>
      </c>
      <c r="L2411" t="s">
        <v>301</v>
      </c>
      <c r="M2411" t="s">
        <v>302</v>
      </c>
      <c r="N2411">
        <v>5.0000000000000001E-3</v>
      </c>
      <c r="O2411" t="str">
        <f>IF(Transactions_RAW_cleaned[[#This Row],[Status]]="Completed", IFERROR(_xlfn.XLOOKUP(Transactions_RAW_cleaned[[#This Row],[CustomerID]], Customers_cleaned[CustomerID], Customers_cleaned[Segment]), "Customer Not Found"), "N/A")</f>
        <v>N/A</v>
      </c>
      <c r="P2411" s="5" t="str">
        <f>IF(Transactions_RAW_cleaned[[#This Row],[Status]]="Refunded", "Refund",
  IF(Transactions_RAW_cleaned[[#This Row],[Category]]="Payments", IF(Transactions_RAW_cleaned[[#This Row],[Amount]]&gt;500,"High Value","Standard"),
    IF(Transactions_RAW_cleaned[[#This Row],[Amount]]&gt;250,"High Value","Standard")))</f>
        <v>Standard</v>
      </c>
      <c r="Q2411" s="5" t="str">
        <f>IF(Transactions_RAW_cleaned[[#This Row],[Amount]] &gt; (_xlfn.XLOOKUP(Transactions_RAW_cleaned[[#This Row],[ServiceID]],Services_cleaned[ServiceID],Services_cleaned[TransactionFeePct]) * 10000), "Yes", "No")</f>
        <v>Yes</v>
      </c>
      <c r="R2411" s="5" t="str">
        <f>IF(COUNTIFS($C$2:Transactions_RAW_cleaned[[#This Row],[CustomerID]],Transactions_RAW_cleaned[[#This Row],[CustomerID]],$D$2:Transactions_RAW_cleaned[[#This Row],[ServiceID]],Transactions_RAW_cleaned[[#This Row],[ServiceID]])=1,"Yes","No")</f>
        <v>No</v>
      </c>
      <c r="S241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11" t="str">
        <f>"Q"&amp;ROUNDUP(MONTH(Transactions_RAW_cleaned[[#This Row],[TransactionDate]])/3,0)</f>
        <v>Q4</v>
      </c>
      <c r="U2411" t="str">
        <f>Transactions_RAW_cleaned[[#This Row],[Region ]]&amp;Transactions_RAW_cleaned[[#This Row],[Quarter ]]</f>
        <v>EMEAQ4</v>
      </c>
      <c r="V2411" s="5">
        <f>_xlfn.XLOOKUP(Transactions_RAW_cleaned[[#This Row],[RegionQuarterKey]], Quarterly_Targets_cleaned[RegionQuarterKey], Quarterly_Targets_cleaned[TargetRevenue])</f>
        <v>161000</v>
      </c>
    </row>
    <row r="2412" spans="1:22" x14ac:dyDescent="0.25">
      <c r="A2412" t="s">
        <v>2749</v>
      </c>
      <c r="B2412" s="1">
        <v>45608</v>
      </c>
      <c r="C2412" t="s">
        <v>213</v>
      </c>
      <c r="D2412" t="s">
        <v>294</v>
      </c>
      <c r="E2412">
        <v>395.59</v>
      </c>
      <c r="F2412" t="s">
        <v>324</v>
      </c>
      <c r="G2412" t="s">
        <v>325</v>
      </c>
      <c r="I2412" t="s">
        <v>17</v>
      </c>
      <c r="J2412" t="s">
        <v>25</v>
      </c>
      <c r="K2412" t="s">
        <v>14</v>
      </c>
      <c r="L2412" t="s">
        <v>295</v>
      </c>
      <c r="M2412" t="s">
        <v>296</v>
      </c>
      <c r="N2412">
        <v>2.9000000000000001E-2</v>
      </c>
      <c r="O2412" t="str">
        <f>IF(Transactions_RAW_cleaned[[#This Row],[Status]]="Completed", IFERROR(_xlfn.XLOOKUP(Transactions_RAW_cleaned[[#This Row],[CustomerID]], Customers_cleaned[CustomerID], Customers_cleaned[Segment]), "Customer Not Found"), "N/A")</f>
        <v>Enterprise</v>
      </c>
      <c r="P2412" s="5" t="str">
        <f>IF(Transactions_RAW_cleaned[[#This Row],[Status]]="Refunded", "Refund",
  IF(Transactions_RAW_cleaned[[#This Row],[Category]]="Payments", IF(Transactions_RAW_cleaned[[#This Row],[Amount]]&gt;500,"High Value","Standard"),
    IF(Transactions_RAW_cleaned[[#This Row],[Amount]]&gt;250,"High Value","Standard")))</f>
        <v>Standard</v>
      </c>
      <c r="Q2412" s="5" t="str">
        <f>IF(Transactions_RAW_cleaned[[#This Row],[Amount]] &gt; (_xlfn.XLOOKUP(Transactions_RAW_cleaned[[#This Row],[ServiceID]],Services_cleaned[ServiceID],Services_cleaned[TransactionFeePct]) * 10000), "Yes", "No")</f>
        <v>Yes</v>
      </c>
      <c r="R2412" s="5" t="str">
        <f>IF(COUNTIFS($C$2:Transactions_RAW_cleaned[[#This Row],[CustomerID]],Transactions_RAW_cleaned[[#This Row],[CustomerID]],$D$2:Transactions_RAW_cleaned[[#This Row],[ServiceID]],Transactions_RAW_cleaned[[#This Row],[ServiceID]])=1,"Yes","No")</f>
        <v>No</v>
      </c>
      <c r="S241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12" t="str">
        <f>"Q"&amp;ROUNDUP(MONTH(Transactions_RAW_cleaned[[#This Row],[TransactionDate]])/3,0)</f>
        <v>Q4</v>
      </c>
      <c r="U2412" t="str">
        <f>Transactions_RAW_cleaned[[#This Row],[Region ]]&amp;Transactions_RAW_cleaned[[#This Row],[Quarter ]]</f>
        <v>APACQ4</v>
      </c>
      <c r="V2412" s="5">
        <f>_xlfn.XLOOKUP(Transactions_RAW_cleaned[[#This Row],[RegionQuarterKey]], Quarterly_Targets_cleaned[RegionQuarterKey], Quarterly_Targets_cleaned[TargetRevenue])</f>
        <v>126500</v>
      </c>
    </row>
    <row r="2413" spans="1:22" x14ac:dyDescent="0.25">
      <c r="A2413" t="s">
        <v>2750</v>
      </c>
      <c r="B2413" s="1">
        <v>45586</v>
      </c>
      <c r="C2413" t="s">
        <v>135</v>
      </c>
      <c r="D2413" t="s">
        <v>303</v>
      </c>
      <c r="E2413">
        <v>363.29</v>
      </c>
      <c r="F2413" t="s">
        <v>324</v>
      </c>
      <c r="G2413" t="s">
        <v>327</v>
      </c>
      <c r="I2413" t="s">
        <v>8</v>
      </c>
      <c r="J2413" t="s">
        <v>46</v>
      </c>
      <c r="K2413" t="s">
        <v>10</v>
      </c>
      <c r="L2413" t="s">
        <v>304</v>
      </c>
      <c r="M2413" t="s">
        <v>305</v>
      </c>
      <c r="N2413">
        <v>1E-3</v>
      </c>
      <c r="O2413" t="str">
        <f>IF(Transactions_RAW_cleaned[[#This Row],[Status]]="Completed", IFERROR(_xlfn.XLOOKUP(Transactions_RAW_cleaned[[#This Row],[CustomerID]], Customers_cleaned[CustomerID], Customers_cleaned[Segment]), "Customer Not Found"), "N/A")</f>
        <v>SMB</v>
      </c>
      <c r="P2413" s="5" t="str">
        <f>IF(Transactions_RAW_cleaned[[#This Row],[Status]]="Refunded", "Refund",
  IF(Transactions_RAW_cleaned[[#This Row],[Category]]="Payments", IF(Transactions_RAW_cleaned[[#This Row],[Amount]]&gt;500,"High Value","Standard"),
    IF(Transactions_RAW_cleaned[[#This Row],[Amount]]&gt;250,"High Value","Standard")))</f>
        <v>High Value</v>
      </c>
      <c r="Q2413" s="5" t="str">
        <f>IF(Transactions_RAW_cleaned[[#This Row],[Amount]] &gt; (_xlfn.XLOOKUP(Transactions_RAW_cleaned[[#This Row],[ServiceID]],Services_cleaned[ServiceID],Services_cleaned[TransactionFeePct]) * 10000), "Yes", "No")</f>
        <v>Yes</v>
      </c>
      <c r="R2413" s="5" t="str">
        <f>IF(COUNTIFS($C$2:Transactions_RAW_cleaned[[#This Row],[CustomerID]],Transactions_RAW_cleaned[[#This Row],[CustomerID]],$D$2:Transactions_RAW_cleaned[[#This Row],[ServiceID]],Transactions_RAW_cleaned[[#This Row],[ServiceID]])=1,"Yes","No")</f>
        <v>No</v>
      </c>
      <c r="S241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13" t="str">
        <f>"Q"&amp;ROUNDUP(MONTH(Transactions_RAW_cleaned[[#This Row],[TransactionDate]])/3,0)</f>
        <v>Q4</v>
      </c>
      <c r="U2413" t="str">
        <f>Transactions_RAW_cleaned[[#This Row],[Region ]]&amp;Transactions_RAW_cleaned[[#This Row],[Quarter ]]</f>
        <v>APACQ4</v>
      </c>
      <c r="V2413" s="5">
        <f>_xlfn.XLOOKUP(Transactions_RAW_cleaned[[#This Row],[RegionQuarterKey]], Quarterly_Targets_cleaned[RegionQuarterKey], Quarterly_Targets_cleaned[TargetRevenue])</f>
        <v>126500</v>
      </c>
    </row>
    <row r="2414" spans="1:22" x14ac:dyDescent="0.25">
      <c r="A2414" t="s">
        <v>2751</v>
      </c>
      <c r="B2414" s="1">
        <v>45494</v>
      </c>
      <c r="C2414" t="s">
        <v>223</v>
      </c>
      <c r="D2414" t="s">
        <v>297</v>
      </c>
      <c r="E2414">
        <v>421.05</v>
      </c>
      <c r="F2414" t="s">
        <v>324</v>
      </c>
      <c r="G2414" t="s">
        <v>325</v>
      </c>
      <c r="H2414" t="s">
        <v>334</v>
      </c>
      <c r="I2414" t="s">
        <v>8</v>
      </c>
      <c r="J2414" t="s">
        <v>102</v>
      </c>
      <c r="K2414" t="s">
        <v>28</v>
      </c>
      <c r="L2414" t="s">
        <v>298</v>
      </c>
      <c r="M2414" t="s">
        <v>299</v>
      </c>
      <c r="N2414">
        <v>0</v>
      </c>
      <c r="O2414" t="str">
        <f>IF(Transactions_RAW_cleaned[[#This Row],[Status]]="Completed", IFERROR(_xlfn.XLOOKUP(Transactions_RAW_cleaned[[#This Row],[CustomerID]], Customers_cleaned[CustomerID], Customers_cleaned[Segment]), "Customer Not Found"), "N/A")</f>
        <v>SMB</v>
      </c>
      <c r="P2414" s="5" t="str">
        <f>IF(Transactions_RAW_cleaned[[#This Row],[Status]]="Refunded", "Refund",
  IF(Transactions_RAW_cleaned[[#This Row],[Category]]="Payments", IF(Transactions_RAW_cleaned[[#This Row],[Amount]]&gt;500,"High Value","Standard"),
    IF(Transactions_RAW_cleaned[[#This Row],[Amount]]&gt;250,"High Value","Standard")))</f>
        <v>High Value</v>
      </c>
      <c r="Q2414" s="5" t="str">
        <f>IF(Transactions_RAW_cleaned[[#This Row],[Amount]] &gt; (_xlfn.XLOOKUP(Transactions_RAW_cleaned[[#This Row],[ServiceID]],Services_cleaned[ServiceID],Services_cleaned[TransactionFeePct]) * 10000), "Yes", "No")</f>
        <v>Yes</v>
      </c>
      <c r="R2414" s="5" t="str">
        <f>IF(COUNTIFS($C$2:Transactions_RAW_cleaned[[#This Row],[CustomerID]],Transactions_RAW_cleaned[[#This Row],[CustomerID]],$D$2:Transactions_RAW_cleaned[[#This Row],[ServiceID]],Transactions_RAW_cleaned[[#This Row],[ServiceID]])=1,"Yes","No")</f>
        <v>No</v>
      </c>
      <c r="S241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14" t="str">
        <f>"Q"&amp;ROUNDUP(MONTH(Transactions_RAW_cleaned[[#This Row],[TransactionDate]])/3,0)</f>
        <v>Q3</v>
      </c>
      <c r="U2414" t="str">
        <f>Transactions_RAW_cleaned[[#This Row],[Region ]]&amp;Transactions_RAW_cleaned[[#This Row],[Quarter ]]</f>
        <v>NAQ3</v>
      </c>
      <c r="V2414" s="5">
        <f>_xlfn.XLOOKUP(Transactions_RAW_cleaned[[#This Row],[RegionQuarterKey]], Quarterly_Targets_cleaned[RegionQuarterKey], Quarterly_Targets_cleaned[TargetRevenue])</f>
        <v>273000</v>
      </c>
    </row>
    <row r="2415" spans="1:22" x14ac:dyDescent="0.25">
      <c r="A2415" t="s">
        <v>2752</v>
      </c>
      <c r="B2415" s="1">
        <v>45328</v>
      </c>
      <c r="C2415" t="s">
        <v>44</v>
      </c>
      <c r="D2415" t="s">
        <v>294</v>
      </c>
      <c r="E2415">
        <v>37.64</v>
      </c>
      <c r="F2415" t="s">
        <v>324</v>
      </c>
      <c r="G2415" t="s">
        <v>329</v>
      </c>
      <c r="H2415" t="s">
        <v>332</v>
      </c>
      <c r="I2415" t="s">
        <v>8</v>
      </c>
      <c r="J2415" t="s">
        <v>46</v>
      </c>
      <c r="K2415" t="s">
        <v>32</v>
      </c>
      <c r="L2415" t="s">
        <v>295</v>
      </c>
      <c r="M2415" t="s">
        <v>296</v>
      </c>
      <c r="N2415">
        <v>2.9000000000000001E-2</v>
      </c>
      <c r="O2415" t="str">
        <f>IF(Transactions_RAW_cleaned[[#This Row],[Status]]="Completed", IFERROR(_xlfn.XLOOKUP(Transactions_RAW_cleaned[[#This Row],[CustomerID]], Customers_cleaned[CustomerID], Customers_cleaned[Segment]), "Customer Not Found"), "N/A")</f>
        <v>SMB</v>
      </c>
      <c r="P2415" s="5" t="str">
        <f>IF(Transactions_RAW_cleaned[[#This Row],[Status]]="Refunded", "Refund",
  IF(Transactions_RAW_cleaned[[#This Row],[Category]]="Payments", IF(Transactions_RAW_cleaned[[#This Row],[Amount]]&gt;500,"High Value","Standard"),
    IF(Transactions_RAW_cleaned[[#This Row],[Amount]]&gt;250,"High Value","Standard")))</f>
        <v>Standard</v>
      </c>
      <c r="Q2415" s="5" t="str">
        <f>IF(Transactions_RAW_cleaned[[#This Row],[Amount]] &gt; (_xlfn.XLOOKUP(Transactions_RAW_cleaned[[#This Row],[ServiceID]],Services_cleaned[ServiceID],Services_cleaned[TransactionFeePct]) * 10000), "Yes", "No")</f>
        <v>No</v>
      </c>
      <c r="R2415" s="5" t="str">
        <f>IF(COUNTIFS($C$2:Transactions_RAW_cleaned[[#This Row],[CustomerID]],Transactions_RAW_cleaned[[#This Row],[CustomerID]],$D$2:Transactions_RAW_cleaned[[#This Row],[ServiceID]],Transactions_RAW_cleaned[[#This Row],[ServiceID]])=1,"Yes","No")</f>
        <v>No</v>
      </c>
      <c r="S241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15" t="str">
        <f>"Q"&amp;ROUNDUP(MONTH(Transactions_RAW_cleaned[[#This Row],[TransactionDate]])/3,0)</f>
        <v>Q1</v>
      </c>
      <c r="U2415" t="str">
        <f>Transactions_RAW_cleaned[[#This Row],[Region ]]&amp;Transactions_RAW_cleaned[[#This Row],[Quarter ]]</f>
        <v>APACQ1</v>
      </c>
      <c r="V2415" s="5">
        <f>_xlfn.XLOOKUP(Transactions_RAW_cleaned[[#This Row],[RegionQuarterKey]], Quarterly_Targets_cleaned[RegionQuarterKey], Quarterly_Targets_cleaned[TargetRevenue])</f>
        <v>104500</v>
      </c>
    </row>
    <row r="2416" spans="1:22" x14ac:dyDescent="0.25">
      <c r="A2416" t="s">
        <v>2753</v>
      </c>
      <c r="B2416" s="1">
        <v>45348</v>
      </c>
      <c r="C2416" t="s">
        <v>47</v>
      </c>
      <c r="D2416" t="s">
        <v>300</v>
      </c>
      <c r="E2416">
        <v>72.680000000000007</v>
      </c>
      <c r="F2416" t="s">
        <v>324</v>
      </c>
      <c r="G2416" t="s">
        <v>2963</v>
      </c>
      <c r="H2416" t="s">
        <v>334</v>
      </c>
      <c r="I2416" t="s">
        <v>8</v>
      </c>
      <c r="J2416" t="s">
        <v>21</v>
      </c>
      <c r="K2416" t="s">
        <v>22</v>
      </c>
      <c r="L2416" t="s">
        <v>301</v>
      </c>
      <c r="M2416" t="s">
        <v>302</v>
      </c>
      <c r="N2416">
        <v>5.0000000000000001E-3</v>
      </c>
      <c r="O2416" t="str">
        <f>IF(Transactions_RAW_cleaned[[#This Row],[Status]]="Completed", IFERROR(_xlfn.XLOOKUP(Transactions_RAW_cleaned[[#This Row],[CustomerID]], Customers_cleaned[CustomerID], Customers_cleaned[Segment]), "Customer Not Found"), "N/A")</f>
        <v>SMB</v>
      </c>
      <c r="P2416" s="5" t="str">
        <f>IF(Transactions_RAW_cleaned[[#This Row],[Status]]="Refunded", "Refund",
  IF(Transactions_RAW_cleaned[[#This Row],[Category]]="Payments", IF(Transactions_RAW_cleaned[[#This Row],[Amount]]&gt;500,"High Value","Standard"),
    IF(Transactions_RAW_cleaned[[#This Row],[Amount]]&gt;250,"High Value","Standard")))</f>
        <v>Standard</v>
      </c>
      <c r="Q2416" s="5" t="str">
        <f>IF(Transactions_RAW_cleaned[[#This Row],[Amount]] &gt; (_xlfn.XLOOKUP(Transactions_RAW_cleaned[[#This Row],[ServiceID]],Services_cleaned[ServiceID],Services_cleaned[TransactionFeePct]) * 10000), "Yes", "No")</f>
        <v>Yes</v>
      </c>
      <c r="R2416" s="5" t="str">
        <f>IF(COUNTIFS($C$2:Transactions_RAW_cleaned[[#This Row],[CustomerID]],Transactions_RAW_cleaned[[#This Row],[CustomerID]],$D$2:Transactions_RAW_cleaned[[#This Row],[ServiceID]],Transactions_RAW_cleaned[[#This Row],[ServiceID]])=1,"Yes","No")</f>
        <v>No</v>
      </c>
      <c r="S241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16" t="str">
        <f>"Q"&amp;ROUNDUP(MONTH(Transactions_RAW_cleaned[[#This Row],[TransactionDate]])/3,0)</f>
        <v>Q1</v>
      </c>
      <c r="U2416" t="str">
        <f>Transactions_RAW_cleaned[[#This Row],[Region ]]&amp;Transactions_RAW_cleaned[[#This Row],[Quarter ]]</f>
        <v>APACQ1</v>
      </c>
      <c r="V2416" s="5">
        <f>_xlfn.XLOOKUP(Transactions_RAW_cleaned[[#This Row],[RegionQuarterKey]], Quarterly_Targets_cleaned[RegionQuarterKey], Quarterly_Targets_cleaned[TargetRevenue])</f>
        <v>104500</v>
      </c>
    </row>
    <row r="2417" spans="1:22" x14ac:dyDescent="0.25">
      <c r="A2417" t="s">
        <v>2754</v>
      </c>
      <c r="B2417" s="1">
        <v>45519</v>
      </c>
      <c r="C2417" t="s">
        <v>127</v>
      </c>
      <c r="D2417" t="s">
        <v>294</v>
      </c>
      <c r="E2417">
        <v>799.22</v>
      </c>
      <c r="F2417" t="s">
        <v>324</v>
      </c>
      <c r="G2417" t="s">
        <v>327</v>
      </c>
      <c r="H2417" t="s">
        <v>332</v>
      </c>
      <c r="I2417" t="s">
        <v>8</v>
      </c>
      <c r="J2417" t="s">
        <v>102</v>
      </c>
      <c r="K2417" t="s">
        <v>22</v>
      </c>
      <c r="L2417" t="s">
        <v>295</v>
      </c>
      <c r="M2417" t="s">
        <v>296</v>
      </c>
      <c r="N2417">
        <v>2.9000000000000001E-2</v>
      </c>
      <c r="O2417" t="str">
        <f>IF(Transactions_RAW_cleaned[[#This Row],[Status]]="Completed", IFERROR(_xlfn.XLOOKUP(Transactions_RAW_cleaned[[#This Row],[CustomerID]], Customers_cleaned[CustomerID], Customers_cleaned[Segment]), "Customer Not Found"), "N/A")</f>
        <v>SMB</v>
      </c>
      <c r="P2417" s="5" t="str">
        <f>IF(Transactions_RAW_cleaned[[#This Row],[Status]]="Refunded", "Refund",
  IF(Transactions_RAW_cleaned[[#This Row],[Category]]="Payments", IF(Transactions_RAW_cleaned[[#This Row],[Amount]]&gt;500,"High Value","Standard"),
    IF(Transactions_RAW_cleaned[[#This Row],[Amount]]&gt;250,"High Value","Standard")))</f>
        <v>High Value</v>
      </c>
      <c r="Q2417" s="5" t="str">
        <f>IF(Transactions_RAW_cleaned[[#This Row],[Amount]] &gt; (_xlfn.XLOOKUP(Transactions_RAW_cleaned[[#This Row],[ServiceID]],Services_cleaned[ServiceID],Services_cleaned[TransactionFeePct]) * 10000), "Yes", "No")</f>
        <v>Yes</v>
      </c>
      <c r="R2417" s="5" t="str">
        <f>IF(COUNTIFS($C$2:Transactions_RAW_cleaned[[#This Row],[CustomerID]],Transactions_RAW_cleaned[[#This Row],[CustomerID]],$D$2:Transactions_RAW_cleaned[[#This Row],[ServiceID]],Transactions_RAW_cleaned[[#This Row],[ServiceID]])=1,"Yes","No")</f>
        <v>No</v>
      </c>
      <c r="S241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17" t="str">
        <f>"Q"&amp;ROUNDUP(MONTH(Transactions_RAW_cleaned[[#This Row],[TransactionDate]])/3,0)</f>
        <v>Q3</v>
      </c>
      <c r="U2417" t="str">
        <f>Transactions_RAW_cleaned[[#This Row],[Region ]]&amp;Transactions_RAW_cleaned[[#This Row],[Quarter ]]</f>
        <v>NAQ3</v>
      </c>
      <c r="V2417" s="5">
        <f>_xlfn.XLOOKUP(Transactions_RAW_cleaned[[#This Row],[RegionQuarterKey]], Quarterly_Targets_cleaned[RegionQuarterKey], Quarterly_Targets_cleaned[TargetRevenue])</f>
        <v>273000</v>
      </c>
    </row>
    <row r="2418" spans="1:22" x14ac:dyDescent="0.25">
      <c r="A2418" t="s">
        <v>2755</v>
      </c>
      <c r="B2418" s="1">
        <v>45507</v>
      </c>
      <c r="C2418" t="s">
        <v>161</v>
      </c>
      <c r="D2418" t="s">
        <v>294</v>
      </c>
      <c r="E2418">
        <v>182.98</v>
      </c>
      <c r="F2418" t="s">
        <v>324</v>
      </c>
      <c r="G2418" t="s">
        <v>325</v>
      </c>
      <c r="H2418" t="s">
        <v>346</v>
      </c>
      <c r="I2418" t="s">
        <v>8</v>
      </c>
      <c r="J2418" t="s">
        <v>21</v>
      </c>
      <c r="K2418" t="s">
        <v>22</v>
      </c>
      <c r="L2418" t="s">
        <v>295</v>
      </c>
      <c r="M2418" t="s">
        <v>296</v>
      </c>
      <c r="N2418">
        <v>2.9000000000000001E-2</v>
      </c>
      <c r="O2418" t="str">
        <f>IF(Transactions_RAW_cleaned[[#This Row],[Status]]="Completed", IFERROR(_xlfn.XLOOKUP(Transactions_RAW_cleaned[[#This Row],[CustomerID]], Customers_cleaned[CustomerID], Customers_cleaned[Segment]), "Customer Not Found"), "N/A")</f>
        <v>SMB</v>
      </c>
      <c r="P2418" s="5" t="str">
        <f>IF(Transactions_RAW_cleaned[[#This Row],[Status]]="Refunded", "Refund",
  IF(Transactions_RAW_cleaned[[#This Row],[Category]]="Payments", IF(Transactions_RAW_cleaned[[#This Row],[Amount]]&gt;500,"High Value","Standard"),
    IF(Transactions_RAW_cleaned[[#This Row],[Amount]]&gt;250,"High Value","Standard")))</f>
        <v>Standard</v>
      </c>
      <c r="Q2418" s="5" t="str">
        <f>IF(Transactions_RAW_cleaned[[#This Row],[Amount]] &gt; (_xlfn.XLOOKUP(Transactions_RAW_cleaned[[#This Row],[ServiceID]],Services_cleaned[ServiceID],Services_cleaned[TransactionFeePct]) * 10000), "Yes", "No")</f>
        <v>No</v>
      </c>
      <c r="R2418" s="5" t="str">
        <f>IF(COUNTIFS($C$2:Transactions_RAW_cleaned[[#This Row],[CustomerID]],Transactions_RAW_cleaned[[#This Row],[CustomerID]],$D$2:Transactions_RAW_cleaned[[#This Row],[ServiceID]],Transactions_RAW_cleaned[[#This Row],[ServiceID]])=1,"Yes","No")</f>
        <v>No</v>
      </c>
      <c r="S241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18" t="str">
        <f>"Q"&amp;ROUNDUP(MONTH(Transactions_RAW_cleaned[[#This Row],[TransactionDate]])/3,0)</f>
        <v>Q3</v>
      </c>
      <c r="U2418" t="str">
        <f>Transactions_RAW_cleaned[[#This Row],[Region ]]&amp;Transactions_RAW_cleaned[[#This Row],[Quarter ]]</f>
        <v>APACQ3</v>
      </c>
      <c r="V2418" s="5">
        <f>_xlfn.XLOOKUP(Transactions_RAW_cleaned[[#This Row],[RegionQuarterKey]], Quarterly_Targets_cleaned[RegionQuarterKey], Quarterly_Targets_cleaned[TargetRevenue])</f>
        <v>115500</v>
      </c>
    </row>
    <row r="2419" spans="1:22" x14ac:dyDescent="0.25">
      <c r="A2419" t="s">
        <v>2756</v>
      </c>
      <c r="B2419" s="1">
        <v>45483</v>
      </c>
      <c r="C2419" t="s">
        <v>129</v>
      </c>
      <c r="D2419" t="s">
        <v>294</v>
      </c>
      <c r="E2419">
        <v>365.5</v>
      </c>
      <c r="F2419" t="s">
        <v>324</v>
      </c>
      <c r="G2419" t="s">
        <v>325</v>
      </c>
      <c r="I2419" t="s">
        <v>8</v>
      </c>
      <c r="J2419" t="s">
        <v>21</v>
      </c>
      <c r="K2419" t="s">
        <v>18</v>
      </c>
      <c r="L2419" t="s">
        <v>295</v>
      </c>
      <c r="M2419" t="s">
        <v>296</v>
      </c>
      <c r="N2419">
        <v>2.9000000000000001E-2</v>
      </c>
      <c r="O2419" t="str">
        <f>IF(Transactions_RAW_cleaned[[#This Row],[Status]]="Completed", IFERROR(_xlfn.XLOOKUP(Transactions_RAW_cleaned[[#This Row],[CustomerID]], Customers_cleaned[CustomerID], Customers_cleaned[Segment]), "Customer Not Found"), "N/A")</f>
        <v>SMB</v>
      </c>
      <c r="P2419" s="5" t="str">
        <f>IF(Transactions_RAW_cleaned[[#This Row],[Status]]="Refunded", "Refund",
  IF(Transactions_RAW_cleaned[[#This Row],[Category]]="Payments", IF(Transactions_RAW_cleaned[[#This Row],[Amount]]&gt;500,"High Value","Standard"),
    IF(Transactions_RAW_cleaned[[#This Row],[Amount]]&gt;250,"High Value","Standard")))</f>
        <v>Standard</v>
      </c>
      <c r="Q2419" s="5" t="str">
        <f>IF(Transactions_RAW_cleaned[[#This Row],[Amount]] &gt; (_xlfn.XLOOKUP(Transactions_RAW_cleaned[[#This Row],[ServiceID]],Services_cleaned[ServiceID],Services_cleaned[TransactionFeePct]) * 10000), "Yes", "No")</f>
        <v>Yes</v>
      </c>
      <c r="R2419" s="5" t="str">
        <f>IF(COUNTIFS($C$2:Transactions_RAW_cleaned[[#This Row],[CustomerID]],Transactions_RAW_cleaned[[#This Row],[CustomerID]],$D$2:Transactions_RAW_cleaned[[#This Row],[ServiceID]],Transactions_RAW_cleaned[[#This Row],[ServiceID]])=1,"Yes","No")</f>
        <v>No</v>
      </c>
      <c r="S241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19" t="str">
        <f>"Q"&amp;ROUNDUP(MONTH(Transactions_RAW_cleaned[[#This Row],[TransactionDate]])/3,0)</f>
        <v>Q3</v>
      </c>
      <c r="U2419" t="str">
        <f>Transactions_RAW_cleaned[[#This Row],[Region ]]&amp;Transactions_RAW_cleaned[[#This Row],[Quarter ]]</f>
        <v>APACQ3</v>
      </c>
      <c r="V2419" s="5">
        <f>_xlfn.XLOOKUP(Transactions_RAW_cleaned[[#This Row],[RegionQuarterKey]], Quarterly_Targets_cleaned[RegionQuarterKey], Quarterly_Targets_cleaned[TargetRevenue])</f>
        <v>115500</v>
      </c>
    </row>
    <row r="2420" spans="1:22" x14ac:dyDescent="0.25">
      <c r="A2420" t="s">
        <v>2757</v>
      </c>
      <c r="B2420" s="1">
        <v>45462</v>
      </c>
      <c r="C2420" t="s">
        <v>55</v>
      </c>
      <c r="D2420" t="s">
        <v>294</v>
      </c>
      <c r="E2420">
        <v>538.94000000000005</v>
      </c>
      <c r="F2420" t="s">
        <v>324</v>
      </c>
      <c r="G2420" t="s">
        <v>327</v>
      </c>
      <c r="H2420" t="s">
        <v>332</v>
      </c>
      <c r="I2420" t="s">
        <v>57</v>
      </c>
      <c r="J2420" t="s">
        <v>31</v>
      </c>
      <c r="K2420" t="s">
        <v>22</v>
      </c>
      <c r="L2420" t="s">
        <v>295</v>
      </c>
      <c r="M2420" t="s">
        <v>296</v>
      </c>
      <c r="N2420">
        <v>2.9000000000000001E-2</v>
      </c>
      <c r="O2420" t="str">
        <f>IF(Transactions_RAW_cleaned[[#This Row],[Status]]="Completed", IFERROR(_xlfn.XLOOKUP(Transactions_RAW_cleaned[[#This Row],[CustomerID]], Customers_cleaned[CustomerID], Customers_cleaned[Segment]), "Customer Not Found"), "N/A")</f>
        <v>Startup</v>
      </c>
      <c r="P2420" s="5" t="str">
        <f>IF(Transactions_RAW_cleaned[[#This Row],[Status]]="Refunded", "Refund",
  IF(Transactions_RAW_cleaned[[#This Row],[Category]]="Payments", IF(Transactions_RAW_cleaned[[#This Row],[Amount]]&gt;500,"High Value","Standard"),
    IF(Transactions_RAW_cleaned[[#This Row],[Amount]]&gt;250,"High Value","Standard")))</f>
        <v>High Value</v>
      </c>
      <c r="Q2420" s="5" t="str">
        <f>IF(Transactions_RAW_cleaned[[#This Row],[Amount]] &gt; (_xlfn.XLOOKUP(Transactions_RAW_cleaned[[#This Row],[ServiceID]],Services_cleaned[ServiceID],Services_cleaned[TransactionFeePct]) * 10000), "Yes", "No")</f>
        <v>Yes</v>
      </c>
      <c r="R2420" s="5" t="str">
        <f>IF(COUNTIFS($C$2:Transactions_RAW_cleaned[[#This Row],[CustomerID]],Transactions_RAW_cleaned[[#This Row],[CustomerID]],$D$2:Transactions_RAW_cleaned[[#This Row],[ServiceID]],Transactions_RAW_cleaned[[#This Row],[ServiceID]])=1,"Yes","No")</f>
        <v>No</v>
      </c>
      <c r="S242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20" t="str">
        <f>"Q"&amp;ROUNDUP(MONTH(Transactions_RAW_cleaned[[#This Row],[TransactionDate]])/3,0)</f>
        <v>Q2</v>
      </c>
      <c r="U2420" t="str">
        <f>Transactions_RAW_cleaned[[#This Row],[Region ]]&amp;Transactions_RAW_cleaned[[#This Row],[Quarter ]]</f>
        <v>EMEAQ2</v>
      </c>
      <c r="V2420" s="5">
        <f>_xlfn.XLOOKUP(Transactions_RAW_cleaned[[#This Row],[RegionQuarterKey]], Quarterly_Targets_cleaned[RegionQuarterKey], Quarterly_Targets_cleaned[TargetRevenue])</f>
        <v>140000</v>
      </c>
    </row>
    <row r="2421" spans="1:22" x14ac:dyDescent="0.25">
      <c r="A2421" t="s">
        <v>2758</v>
      </c>
      <c r="B2421" s="1">
        <v>45379</v>
      </c>
      <c r="C2421" t="s">
        <v>167</v>
      </c>
      <c r="D2421" t="s">
        <v>306</v>
      </c>
      <c r="E2421">
        <v>35.78</v>
      </c>
      <c r="F2421" t="s">
        <v>324</v>
      </c>
      <c r="G2421" t="s">
        <v>325</v>
      </c>
      <c r="H2421" t="s">
        <v>346</v>
      </c>
      <c r="I2421" t="s">
        <v>17</v>
      </c>
      <c r="J2421" t="s">
        <v>13</v>
      </c>
      <c r="K2421" t="s">
        <v>10</v>
      </c>
      <c r="L2421" t="s">
        <v>307</v>
      </c>
      <c r="M2421" t="s">
        <v>308</v>
      </c>
      <c r="N2421">
        <v>0</v>
      </c>
      <c r="O2421" t="str">
        <f>IF(Transactions_RAW_cleaned[[#This Row],[Status]]="Completed", IFERROR(_xlfn.XLOOKUP(Transactions_RAW_cleaned[[#This Row],[CustomerID]], Customers_cleaned[CustomerID], Customers_cleaned[Segment]), "Customer Not Found"), "N/A")</f>
        <v>Enterprise</v>
      </c>
      <c r="P2421" s="5" t="str">
        <f>IF(Transactions_RAW_cleaned[[#This Row],[Status]]="Refunded", "Refund",
  IF(Transactions_RAW_cleaned[[#This Row],[Category]]="Payments", IF(Transactions_RAW_cleaned[[#This Row],[Amount]]&gt;500,"High Value","Standard"),
    IF(Transactions_RAW_cleaned[[#This Row],[Amount]]&gt;250,"High Value","Standard")))</f>
        <v>Standard</v>
      </c>
      <c r="Q2421" s="5" t="str">
        <f>IF(Transactions_RAW_cleaned[[#This Row],[Amount]] &gt; (_xlfn.XLOOKUP(Transactions_RAW_cleaned[[#This Row],[ServiceID]],Services_cleaned[ServiceID],Services_cleaned[TransactionFeePct]) * 10000), "Yes", "No")</f>
        <v>Yes</v>
      </c>
      <c r="R2421" s="5" t="str">
        <f>IF(COUNTIFS($C$2:Transactions_RAW_cleaned[[#This Row],[CustomerID]],Transactions_RAW_cleaned[[#This Row],[CustomerID]],$D$2:Transactions_RAW_cleaned[[#This Row],[ServiceID]],Transactions_RAW_cleaned[[#This Row],[ServiceID]])=1,"Yes","No")</f>
        <v>No</v>
      </c>
      <c r="S242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21" t="str">
        <f>"Q"&amp;ROUNDUP(MONTH(Transactions_RAW_cleaned[[#This Row],[TransactionDate]])/3,0)</f>
        <v>Q1</v>
      </c>
      <c r="U2421" t="str">
        <f>Transactions_RAW_cleaned[[#This Row],[Region ]]&amp;Transactions_RAW_cleaned[[#This Row],[Quarter ]]</f>
        <v>NAQ1</v>
      </c>
      <c r="V2421" s="5">
        <f>_xlfn.XLOOKUP(Transactions_RAW_cleaned[[#This Row],[RegionQuarterKey]], Quarterly_Targets_cleaned[RegionQuarterKey], Quarterly_Targets_cleaned[TargetRevenue])</f>
        <v>247000</v>
      </c>
    </row>
    <row r="2422" spans="1:22" x14ac:dyDescent="0.25">
      <c r="A2422" t="s">
        <v>2759</v>
      </c>
      <c r="B2422" s="1">
        <v>45618</v>
      </c>
      <c r="C2422" t="s">
        <v>211</v>
      </c>
      <c r="D2422" t="s">
        <v>294</v>
      </c>
      <c r="E2422">
        <v>625.92999999999995</v>
      </c>
      <c r="F2422" t="s">
        <v>324</v>
      </c>
      <c r="G2422" t="s">
        <v>325</v>
      </c>
      <c r="H2422" t="s">
        <v>346</v>
      </c>
      <c r="I2422" t="s">
        <v>8</v>
      </c>
      <c r="J2422" t="s">
        <v>31</v>
      </c>
      <c r="K2422" t="s">
        <v>22</v>
      </c>
      <c r="L2422" t="s">
        <v>295</v>
      </c>
      <c r="M2422" t="s">
        <v>296</v>
      </c>
      <c r="N2422">
        <v>2.9000000000000001E-2</v>
      </c>
      <c r="O2422" t="str">
        <f>IF(Transactions_RAW_cleaned[[#This Row],[Status]]="Completed", IFERROR(_xlfn.XLOOKUP(Transactions_RAW_cleaned[[#This Row],[CustomerID]], Customers_cleaned[CustomerID], Customers_cleaned[Segment]), "Customer Not Found"), "N/A")</f>
        <v>SMB</v>
      </c>
      <c r="P2422" s="5" t="str">
        <f>IF(Transactions_RAW_cleaned[[#This Row],[Status]]="Refunded", "Refund",
  IF(Transactions_RAW_cleaned[[#This Row],[Category]]="Payments", IF(Transactions_RAW_cleaned[[#This Row],[Amount]]&gt;500,"High Value","Standard"),
    IF(Transactions_RAW_cleaned[[#This Row],[Amount]]&gt;250,"High Value","Standard")))</f>
        <v>High Value</v>
      </c>
      <c r="Q2422" s="5" t="str">
        <f>IF(Transactions_RAW_cleaned[[#This Row],[Amount]] &gt; (_xlfn.XLOOKUP(Transactions_RAW_cleaned[[#This Row],[ServiceID]],Services_cleaned[ServiceID],Services_cleaned[TransactionFeePct]) * 10000), "Yes", "No")</f>
        <v>Yes</v>
      </c>
      <c r="R2422" s="5" t="str">
        <f>IF(COUNTIFS($C$2:Transactions_RAW_cleaned[[#This Row],[CustomerID]],Transactions_RAW_cleaned[[#This Row],[CustomerID]],$D$2:Transactions_RAW_cleaned[[#This Row],[ServiceID]],Transactions_RAW_cleaned[[#This Row],[ServiceID]])=1,"Yes","No")</f>
        <v>No</v>
      </c>
      <c r="S242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22" t="str">
        <f>"Q"&amp;ROUNDUP(MONTH(Transactions_RAW_cleaned[[#This Row],[TransactionDate]])/3,0)</f>
        <v>Q4</v>
      </c>
      <c r="U2422" t="str">
        <f>Transactions_RAW_cleaned[[#This Row],[Region ]]&amp;Transactions_RAW_cleaned[[#This Row],[Quarter ]]</f>
        <v>EMEAQ4</v>
      </c>
      <c r="V2422" s="5">
        <f>_xlfn.XLOOKUP(Transactions_RAW_cleaned[[#This Row],[RegionQuarterKey]], Quarterly_Targets_cleaned[RegionQuarterKey], Quarterly_Targets_cleaned[TargetRevenue])</f>
        <v>161000</v>
      </c>
    </row>
    <row r="2423" spans="1:22" x14ac:dyDescent="0.25">
      <c r="A2423" t="s">
        <v>2760</v>
      </c>
      <c r="B2423" s="1">
        <v>45575</v>
      </c>
      <c r="C2423" t="s">
        <v>189</v>
      </c>
      <c r="D2423" t="s">
        <v>300</v>
      </c>
      <c r="E2423">
        <v>471.61</v>
      </c>
      <c r="F2423" t="s">
        <v>324</v>
      </c>
      <c r="G2423" t="s">
        <v>325</v>
      </c>
      <c r="H2423" t="s">
        <v>346</v>
      </c>
      <c r="I2423" t="s">
        <v>17</v>
      </c>
      <c r="J2423" t="s">
        <v>102</v>
      </c>
      <c r="K2423" t="s">
        <v>14</v>
      </c>
      <c r="L2423" t="s">
        <v>301</v>
      </c>
      <c r="M2423" t="s">
        <v>302</v>
      </c>
      <c r="N2423">
        <v>5.0000000000000001E-3</v>
      </c>
      <c r="O2423" t="str">
        <f>IF(Transactions_RAW_cleaned[[#This Row],[Status]]="Completed", IFERROR(_xlfn.XLOOKUP(Transactions_RAW_cleaned[[#This Row],[CustomerID]], Customers_cleaned[CustomerID], Customers_cleaned[Segment]), "Customer Not Found"), "N/A")</f>
        <v>Enterprise</v>
      </c>
      <c r="P2423" s="5" t="str">
        <f>IF(Transactions_RAW_cleaned[[#This Row],[Status]]="Refunded", "Refund",
  IF(Transactions_RAW_cleaned[[#This Row],[Category]]="Payments", IF(Transactions_RAW_cleaned[[#This Row],[Amount]]&gt;500,"High Value","Standard"),
    IF(Transactions_RAW_cleaned[[#This Row],[Amount]]&gt;250,"High Value","Standard")))</f>
        <v>High Value</v>
      </c>
      <c r="Q2423" s="5" t="str">
        <f>IF(Transactions_RAW_cleaned[[#This Row],[Amount]] &gt; (_xlfn.XLOOKUP(Transactions_RAW_cleaned[[#This Row],[ServiceID]],Services_cleaned[ServiceID],Services_cleaned[TransactionFeePct]) * 10000), "Yes", "No")</f>
        <v>Yes</v>
      </c>
      <c r="R2423" s="5" t="str">
        <f>IF(COUNTIFS($C$2:Transactions_RAW_cleaned[[#This Row],[CustomerID]],Transactions_RAW_cleaned[[#This Row],[CustomerID]],$D$2:Transactions_RAW_cleaned[[#This Row],[ServiceID]],Transactions_RAW_cleaned[[#This Row],[ServiceID]])=1,"Yes","No")</f>
        <v>No</v>
      </c>
      <c r="S242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23" t="str">
        <f>"Q"&amp;ROUNDUP(MONTH(Transactions_RAW_cleaned[[#This Row],[TransactionDate]])/3,0)</f>
        <v>Q4</v>
      </c>
      <c r="U2423" t="str">
        <f>Transactions_RAW_cleaned[[#This Row],[Region ]]&amp;Transactions_RAW_cleaned[[#This Row],[Quarter ]]</f>
        <v>NAQ4</v>
      </c>
      <c r="V2423" s="5">
        <f>_xlfn.XLOOKUP(Transactions_RAW_cleaned[[#This Row],[RegionQuarterKey]], Quarterly_Targets_cleaned[RegionQuarterKey], Quarterly_Targets_cleaned[TargetRevenue])</f>
        <v>299000</v>
      </c>
    </row>
    <row r="2424" spans="1:22" x14ac:dyDescent="0.25">
      <c r="A2424" t="s">
        <v>2761</v>
      </c>
      <c r="B2424" s="1">
        <v>45334</v>
      </c>
      <c r="C2424" t="s">
        <v>169</v>
      </c>
      <c r="D2424" t="s">
        <v>294</v>
      </c>
      <c r="E2424">
        <v>153.59</v>
      </c>
      <c r="F2424" t="s">
        <v>324</v>
      </c>
      <c r="G2424" t="s">
        <v>325</v>
      </c>
      <c r="H2424" t="s">
        <v>332</v>
      </c>
      <c r="I2424" t="s">
        <v>8</v>
      </c>
      <c r="J2424" t="s">
        <v>13</v>
      </c>
      <c r="K2424" t="s">
        <v>32</v>
      </c>
      <c r="L2424" t="s">
        <v>295</v>
      </c>
      <c r="M2424" t="s">
        <v>296</v>
      </c>
      <c r="N2424">
        <v>2.9000000000000001E-2</v>
      </c>
      <c r="O2424" t="str">
        <f>IF(Transactions_RAW_cleaned[[#This Row],[Status]]="Completed", IFERROR(_xlfn.XLOOKUP(Transactions_RAW_cleaned[[#This Row],[CustomerID]], Customers_cleaned[CustomerID], Customers_cleaned[Segment]), "Customer Not Found"), "N/A")</f>
        <v>SMB</v>
      </c>
      <c r="P2424" s="5" t="str">
        <f>IF(Transactions_RAW_cleaned[[#This Row],[Status]]="Refunded", "Refund",
  IF(Transactions_RAW_cleaned[[#This Row],[Category]]="Payments", IF(Transactions_RAW_cleaned[[#This Row],[Amount]]&gt;500,"High Value","Standard"),
    IF(Transactions_RAW_cleaned[[#This Row],[Amount]]&gt;250,"High Value","Standard")))</f>
        <v>Standard</v>
      </c>
      <c r="Q2424" s="5" t="str">
        <f>IF(Transactions_RAW_cleaned[[#This Row],[Amount]] &gt; (_xlfn.XLOOKUP(Transactions_RAW_cleaned[[#This Row],[ServiceID]],Services_cleaned[ServiceID],Services_cleaned[TransactionFeePct]) * 10000), "Yes", "No")</f>
        <v>No</v>
      </c>
      <c r="R2424" s="5" t="str">
        <f>IF(COUNTIFS($C$2:Transactions_RAW_cleaned[[#This Row],[CustomerID]],Transactions_RAW_cleaned[[#This Row],[CustomerID]],$D$2:Transactions_RAW_cleaned[[#This Row],[ServiceID]],Transactions_RAW_cleaned[[#This Row],[ServiceID]])=1,"Yes","No")</f>
        <v>No</v>
      </c>
      <c r="S242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24" t="str">
        <f>"Q"&amp;ROUNDUP(MONTH(Transactions_RAW_cleaned[[#This Row],[TransactionDate]])/3,0)</f>
        <v>Q1</v>
      </c>
      <c r="U2424" t="str">
        <f>Transactions_RAW_cleaned[[#This Row],[Region ]]&amp;Transactions_RAW_cleaned[[#This Row],[Quarter ]]</f>
        <v>NAQ1</v>
      </c>
      <c r="V2424" s="5">
        <f>_xlfn.XLOOKUP(Transactions_RAW_cleaned[[#This Row],[RegionQuarterKey]], Quarterly_Targets_cleaned[RegionQuarterKey], Quarterly_Targets_cleaned[TargetRevenue])</f>
        <v>247000</v>
      </c>
    </row>
    <row r="2425" spans="1:22" x14ac:dyDescent="0.25">
      <c r="A2425" t="s">
        <v>2762</v>
      </c>
      <c r="B2425" s="1">
        <v>45345</v>
      </c>
      <c r="C2425" t="s">
        <v>133</v>
      </c>
      <c r="D2425" t="s">
        <v>297</v>
      </c>
      <c r="E2425">
        <v>396.45</v>
      </c>
      <c r="F2425" t="s">
        <v>381</v>
      </c>
      <c r="G2425" t="s">
        <v>327</v>
      </c>
      <c r="I2425" t="s">
        <v>17</v>
      </c>
      <c r="J2425" t="s">
        <v>102</v>
      </c>
      <c r="K2425" t="s">
        <v>22</v>
      </c>
      <c r="L2425" t="s">
        <v>298</v>
      </c>
      <c r="M2425" t="s">
        <v>299</v>
      </c>
      <c r="N2425">
        <v>0</v>
      </c>
      <c r="O2425" t="str">
        <f>IF(Transactions_RAW_cleaned[[#This Row],[Status]]="Completed", IFERROR(_xlfn.XLOOKUP(Transactions_RAW_cleaned[[#This Row],[CustomerID]], Customers_cleaned[CustomerID], Customers_cleaned[Segment]), "Customer Not Found"), "N/A")</f>
        <v>N/A</v>
      </c>
      <c r="P2425" s="5" t="str">
        <f>IF(Transactions_RAW_cleaned[[#This Row],[Status]]="Refunded", "Refund",
  IF(Transactions_RAW_cleaned[[#This Row],[Category]]="Payments", IF(Transactions_RAW_cleaned[[#This Row],[Amount]]&gt;500,"High Value","Standard"),
    IF(Transactions_RAW_cleaned[[#This Row],[Amount]]&gt;250,"High Value","Standard")))</f>
        <v>High Value</v>
      </c>
      <c r="Q2425" s="5" t="str">
        <f>IF(Transactions_RAW_cleaned[[#This Row],[Amount]] &gt; (_xlfn.XLOOKUP(Transactions_RAW_cleaned[[#This Row],[ServiceID]],Services_cleaned[ServiceID],Services_cleaned[TransactionFeePct]) * 10000), "Yes", "No")</f>
        <v>Yes</v>
      </c>
      <c r="R2425" s="5" t="str">
        <f>IF(COUNTIFS($C$2:Transactions_RAW_cleaned[[#This Row],[CustomerID]],Transactions_RAW_cleaned[[#This Row],[CustomerID]],$D$2:Transactions_RAW_cleaned[[#This Row],[ServiceID]],Transactions_RAW_cleaned[[#This Row],[ServiceID]])=1,"Yes","No")</f>
        <v>No</v>
      </c>
      <c r="S242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25" t="str">
        <f>"Q"&amp;ROUNDUP(MONTH(Transactions_RAW_cleaned[[#This Row],[TransactionDate]])/3,0)</f>
        <v>Q1</v>
      </c>
      <c r="U2425" t="str">
        <f>Transactions_RAW_cleaned[[#This Row],[Region ]]&amp;Transactions_RAW_cleaned[[#This Row],[Quarter ]]</f>
        <v>NAQ1</v>
      </c>
      <c r="V2425" s="5">
        <f>_xlfn.XLOOKUP(Transactions_RAW_cleaned[[#This Row],[RegionQuarterKey]], Quarterly_Targets_cleaned[RegionQuarterKey], Quarterly_Targets_cleaned[TargetRevenue])</f>
        <v>247000</v>
      </c>
    </row>
    <row r="2426" spans="1:22" x14ac:dyDescent="0.25">
      <c r="A2426" t="s">
        <v>2763</v>
      </c>
      <c r="B2426" s="1">
        <v>45406</v>
      </c>
      <c r="C2426" t="s">
        <v>42</v>
      </c>
      <c r="D2426" t="s">
        <v>312</v>
      </c>
      <c r="E2426">
        <v>221.89</v>
      </c>
      <c r="F2426" t="s">
        <v>324</v>
      </c>
      <c r="G2426" t="s">
        <v>327</v>
      </c>
      <c r="I2426" t="s">
        <v>8</v>
      </c>
      <c r="J2426" t="s">
        <v>102</v>
      </c>
      <c r="K2426" t="s">
        <v>10</v>
      </c>
      <c r="L2426" t="s">
        <v>313</v>
      </c>
      <c r="M2426" t="s">
        <v>314</v>
      </c>
      <c r="N2426">
        <v>0</v>
      </c>
      <c r="O2426" t="str">
        <f>IF(Transactions_RAW_cleaned[[#This Row],[Status]]="Completed", IFERROR(_xlfn.XLOOKUP(Transactions_RAW_cleaned[[#This Row],[CustomerID]], Customers_cleaned[CustomerID], Customers_cleaned[Segment]), "Customer Not Found"), "N/A")</f>
        <v>SMB</v>
      </c>
      <c r="P2426" s="5" t="str">
        <f>IF(Transactions_RAW_cleaned[[#This Row],[Status]]="Refunded", "Refund",
  IF(Transactions_RAW_cleaned[[#This Row],[Category]]="Payments", IF(Transactions_RAW_cleaned[[#This Row],[Amount]]&gt;500,"High Value","Standard"),
    IF(Transactions_RAW_cleaned[[#This Row],[Amount]]&gt;250,"High Value","Standard")))</f>
        <v>Standard</v>
      </c>
      <c r="Q2426" s="5" t="str">
        <f>IF(Transactions_RAW_cleaned[[#This Row],[Amount]] &gt; (_xlfn.XLOOKUP(Transactions_RAW_cleaned[[#This Row],[ServiceID]],Services_cleaned[ServiceID],Services_cleaned[TransactionFeePct]) * 10000), "Yes", "No")</f>
        <v>Yes</v>
      </c>
      <c r="R2426" s="5" t="str">
        <f>IF(COUNTIFS($C$2:Transactions_RAW_cleaned[[#This Row],[CustomerID]],Transactions_RAW_cleaned[[#This Row],[CustomerID]],$D$2:Transactions_RAW_cleaned[[#This Row],[ServiceID]],Transactions_RAW_cleaned[[#This Row],[ServiceID]])=1,"Yes","No")</f>
        <v>No</v>
      </c>
      <c r="S242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26" t="str">
        <f>"Q"&amp;ROUNDUP(MONTH(Transactions_RAW_cleaned[[#This Row],[TransactionDate]])/3,0)</f>
        <v>Q2</v>
      </c>
      <c r="U2426" t="str">
        <f>Transactions_RAW_cleaned[[#This Row],[Region ]]&amp;Transactions_RAW_cleaned[[#This Row],[Quarter ]]</f>
        <v>NAQ2</v>
      </c>
      <c r="V2426" s="5">
        <f>_xlfn.XLOOKUP(Transactions_RAW_cleaned[[#This Row],[RegionQuarterKey]], Quarterly_Targets_cleaned[RegionQuarterKey], Quarterly_Targets_cleaned[TargetRevenue])</f>
        <v>260000</v>
      </c>
    </row>
    <row r="2427" spans="1:22" x14ac:dyDescent="0.25">
      <c r="A2427" t="s">
        <v>2764</v>
      </c>
      <c r="B2427" s="1">
        <v>45624</v>
      </c>
      <c r="C2427" t="s">
        <v>263</v>
      </c>
      <c r="D2427" t="s">
        <v>309</v>
      </c>
      <c r="E2427">
        <v>653.61</v>
      </c>
      <c r="F2427" t="s">
        <v>331</v>
      </c>
      <c r="G2427" t="s">
        <v>325</v>
      </c>
      <c r="H2427" t="s">
        <v>334</v>
      </c>
      <c r="I2427" t="s">
        <v>8</v>
      </c>
      <c r="J2427" t="s">
        <v>102</v>
      </c>
      <c r="K2427" t="s">
        <v>32</v>
      </c>
      <c r="L2427" t="s">
        <v>310</v>
      </c>
      <c r="M2427" t="s">
        <v>311</v>
      </c>
      <c r="N2427">
        <v>0</v>
      </c>
      <c r="O2427" t="str">
        <f>IF(Transactions_RAW_cleaned[[#This Row],[Status]]="Completed", IFERROR(_xlfn.XLOOKUP(Transactions_RAW_cleaned[[#This Row],[CustomerID]], Customers_cleaned[CustomerID], Customers_cleaned[Segment]), "Customer Not Found"), "N/A")</f>
        <v>N/A</v>
      </c>
      <c r="P2427" s="5" t="str">
        <f>IF(Transactions_RAW_cleaned[[#This Row],[Status]]="Refunded", "Refund",
  IF(Transactions_RAW_cleaned[[#This Row],[Category]]="Payments", IF(Transactions_RAW_cleaned[[#This Row],[Amount]]&gt;500,"High Value","Standard"),
    IF(Transactions_RAW_cleaned[[#This Row],[Amount]]&gt;250,"High Value","Standard")))</f>
        <v>High Value</v>
      </c>
      <c r="Q2427" s="5" t="str">
        <f>IF(Transactions_RAW_cleaned[[#This Row],[Amount]] &gt; (_xlfn.XLOOKUP(Transactions_RAW_cleaned[[#This Row],[ServiceID]],Services_cleaned[ServiceID],Services_cleaned[TransactionFeePct]) * 10000), "Yes", "No")</f>
        <v>Yes</v>
      </c>
      <c r="R2427" s="5" t="str">
        <f>IF(COUNTIFS($C$2:Transactions_RAW_cleaned[[#This Row],[CustomerID]],Transactions_RAW_cleaned[[#This Row],[CustomerID]],$D$2:Transactions_RAW_cleaned[[#This Row],[ServiceID]],Transactions_RAW_cleaned[[#This Row],[ServiceID]])=1,"Yes","No")</f>
        <v>No</v>
      </c>
      <c r="S242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27" t="str">
        <f>"Q"&amp;ROUNDUP(MONTH(Transactions_RAW_cleaned[[#This Row],[TransactionDate]])/3,0)</f>
        <v>Q4</v>
      </c>
      <c r="U2427" t="str">
        <f>Transactions_RAW_cleaned[[#This Row],[Region ]]&amp;Transactions_RAW_cleaned[[#This Row],[Quarter ]]</f>
        <v>NAQ4</v>
      </c>
      <c r="V2427" s="5">
        <f>_xlfn.XLOOKUP(Transactions_RAW_cleaned[[#This Row],[RegionQuarterKey]], Quarterly_Targets_cleaned[RegionQuarterKey], Quarterly_Targets_cleaned[TargetRevenue])</f>
        <v>299000</v>
      </c>
    </row>
    <row r="2428" spans="1:22" x14ac:dyDescent="0.25">
      <c r="A2428" t="s">
        <v>2765</v>
      </c>
      <c r="B2428" s="1">
        <v>45461</v>
      </c>
      <c r="C2428" t="s">
        <v>44</v>
      </c>
      <c r="D2428" t="s">
        <v>294</v>
      </c>
      <c r="E2428">
        <v>599.19000000000005</v>
      </c>
      <c r="F2428" t="s">
        <v>324</v>
      </c>
      <c r="G2428" t="s">
        <v>337</v>
      </c>
      <c r="I2428" t="s">
        <v>8</v>
      </c>
      <c r="J2428" t="s">
        <v>46</v>
      </c>
      <c r="K2428" t="s">
        <v>32</v>
      </c>
      <c r="L2428" t="s">
        <v>295</v>
      </c>
      <c r="M2428" t="s">
        <v>296</v>
      </c>
      <c r="N2428">
        <v>2.9000000000000001E-2</v>
      </c>
      <c r="O2428" t="str">
        <f>IF(Transactions_RAW_cleaned[[#This Row],[Status]]="Completed", IFERROR(_xlfn.XLOOKUP(Transactions_RAW_cleaned[[#This Row],[CustomerID]], Customers_cleaned[CustomerID], Customers_cleaned[Segment]), "Customer Not Found"), "N/A")</f>
        <v>SMB</v>
      </c>
      <c r="P2428" s="5" t="str">
        <f>IF(Transactions_RAW_cleaned[[#This Row],[Status]]="Refunded", "Refund",
  IF(Transactions_RAW_cleaned[[#This Row],[Category]]="Payments", IF(Transactions_RAW_cleaned[[#This Row],[Amount]]&gt;500,"High Value","Standard"),
    IF(Transactions_RAW_cleaned[[#This Row],[Amount]]&gt;250,"High Value","Standard")))</f>
        <v>High Value</v>
      </c>
      <c r="Q2428" s="5" t="str">
        <f>IF(Transactions_RAW_cleaned[[#This Row],[Amount]] &gt; (_xlfn.XLOOKUP(Transactions_RAW_cleaned[[#This Row],[ServiceID]],Services_cleaned[ServiceID],Services_cleaned[TransactionFeePct]) * 10000), "Yes", "No")</f>
        <v>Yes</v>
      </c>
      <c r="R2428" s="5" t="str">
        <f>IF(COUNTIFS($C$2:Transactions_RAW_cleaned[[#This Row],[CustomerID]],Transactions_RAW_cleaned[[#This Row],[CustomerID]],$D$2:Transactions_RAW_cleaned[[#This Row],[ServiceID]],Transactions_RAW_cleaned[[#This Row],[ServiceID]])=1,"Yes","No")</f>
        <v>No</v>
      </c>
      <c r="S242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28" t="str">
        <f>"Q"&amp;ROUNDUP(MONTH(Transactions_RAW_cleaned[[#This Row],[TransactionDate]])/3,0)</f>
        <v>Q2</v>
      </c>
      <c r="U2428" t="str">
        <f>Transactions_RAW_cleaned[[#This Row],[Region ]]&amp;Transactions_RAW_cleaned[[#This Row],[Quarter ]]</f>
        <v>APACQ2</v>
      </c>
      <c r="V2428" s="5">
        <f>_xlfn.XLOOKUP(Transactions_RAW_cleaned[[#This Row],[RegionQuarterKey]], Quarterly_Targets_cleaned[RegionQuarterKey], Quarterly_Targets_cleaned[TargetRevenue])</f>
        <v>110000</v>
      </c>
    </row>
    <row r="2429" spans="1:22" x14ac:dyDescent="0.25">
      <c r="A2429" t="s">
        <v>2766</v>
      </c>
      <c r="B2429" s="1">
        <v>45623</v>
      </c>
      <c r="C2429" t="s">
        <v>159</v>
      </c>
      <c r="D2429" t="s">
        <v>294</v>
      </c>
      <c r="E2429">
        <v>793.68</v>
      </c>
      <c r="F2429" t="s">
        <v>381</v>
      </c>
      <c r="G2429" t="s">
        <v>337</v>
      </c>
      <c r="H2429" t="s">
        <v>332</v>
      </c>
      <c r="I2429" t="s">
        <v>57</v>
      </c>
      <c r="J2429" t="s">
        <v>25</v>
      </c>
      <c r="K2429" t="s">
        <v>22</v>
      </c>
      <c r="L2429" t="s">
        <v>295</v>
      </c>
      <c r="M2429" t="s">
        <v>296</v>
      </c>
      <c r="N2429">
        <v>2.9000000000000001E-2</v>
      </c>
      <c r="O2429" t="str">
        <f>IF(Transactions_RAW_cleaned[[#This Row],[Status]]="Completed", IFERROR(_xlfn.XLOOKUP(Transactions_RAW_cleaned[[#This Row],[CustomerID]], Customers_cleaned[CustomerID], Customers_cleaned[Segment]), "Customer Not Found"), "N/A")</f>
        <v>N/A</v>
      </c>
      <c r="P2429" s="5" t="str">
        <f>IF(Transactions_RAW_cleaned[[#This Row],[Status]]="Refunded", "Refund",
  IF(Transactions_RAW_cleaned[[#This Row],[Category]]="Payments", IF(Transactions_RAW_cleaned[[#This Row],[Amount]]&gt;500,"High Value","Standard"),
    IF(Transactions_RAW_cleaned[[#This Row],[Amount]]&gt;250,"High Value","Standard")))</f>
        <v>High Value</v>
      </c>
      <c r="Q2429" s="5" t="str">
        <f>IF(Transactions_RAW_cleaned[[#This Row],[Amount]] &gt; (_xlfn.XLOOKUP(Transactions_RAW_cleaned[[#This Row],[ServiceID]],Services_cleaned[ServiceID],Services_cleaned[TransactionFeePct]) * 10000), "Yes", "No")</f>
        <v>Yes</v>
      </c>
      <c r="R2429" s="5" t="str">
        <f>IF(COUNTIFS($C$2:Transactions_RAW_cleaned[[#This Row],[CustomerID]],Transactions_RAW_cleaned[[#This Row],[CustomerID]],$D$2:Transactions_RAW_cleaned[[#This Row],[ServiceID]],Transactions_RAW_cleaned[[#This Row],[ServiceID]])=1,"Yes","No")</f>
        <v>No</v>
      </c>
      <c r="S242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29" t="str">
        <f>"Q"&amp;ROUNDUP(MONTH(Transactions_RAW_cleaned[[#This Row],[TransactionDate]])/3,0)</f>
        <v>Q4</v>
      </c>
      <c r="U2429" t="str">
        <f>Transactions_RAW_cleaned[[#This Row],[Region ]]&amp;Transactions_RAW_cleaned[[#This Row],[Quarter ]]</f>
        <v>APACQ4</v>
      </c>
      <c r="V2429" s="5">
        <f>_xlfn.XLOOKUP(Transactions_RAW_cleaned[[#This Row],[RegionQuarterKey]], Quarterly_Targets_cleaned[RegionQuarterKey], Quarterly_Targets_cleaned[TargetRevenue])</f>
        <v>126500</v>
      </c>
    </row>
    <row r="2430" spans="1:22" x14ac:dyDescent="0.25">
      <c r="A2430" t="s">
        <v>2767</v>
      </c>
      <c r="B2430" s="1">
        <v>45562</v>
      </c>
      <c r="C2430" t="s">
        <v>103</v>
      </c>
      <c r="D2430" t="s">
        <v>300</v>
      </c>
      <c r="E2430">
        <v>490.72</v>
      </c>
      <c r="F2430" t="s">
        <v>381</v>
      </c>
      <c r="G2430" t="s">
        <v>327</v>
      </c>
      <c r="H2430" t="s">
        <v>334</v>
      </c>
      <c r="I2430" t="s">
        <v>8</v>
      </c>
      <c r="J2430" t="s">
        <v>102</v>
      </c>
      <c r="K2430" t="s">
        <v>28</v>
      </c>
      <c r="L2430" t="s">
        <v>301</v>
      </c>
      <c r="M2430" t="s">
        <v>302</v>
      </c>
      <c r="N2430">
        <v>5.0000000000000001E-3</v>
      </c>
      <c r="O2430" t="str">
        <f>IF(Transactions_RAW_cleaned[[#This Row],[Status]]="Completed", IFERROR(_xlfn.XLOOKUP(Transactions_RAW_cleaned[[#This Row],[CustomerID]], Customers_cleaned[CustomerID], Customers_cleaned[Segment]), "Customer Not Found"), "N/A")</f>
        <v>N/A</v>
      </c>
      <c r="P2430" s="5" t="str">
        <f>IF(Transactions_RAW_cleaned[[#This Row],[Status]]="Refunded", "Refund",
  IF(Transactions_RAW_cleaned[[#This Row],[Category]]="Payments", IF(Transactions_RAW_cleaned[[#This Row],[Amount]]&gt;500,"High Value","Standard"),
    IF(Transactions_RAW_cleaned[[#This Row],[Amount]]&gt;250,"High Value","Standard")))</f>
        <v>High Value</v>
      </c>
      <c r="Q2430" s="5" t="str">
        <f>IF(Transactions_RAW_cleaned[[#This Row],[Amount]] &gt; (_xlfn.XLOOKUP(Transactions_RAW_cleaned[[#This Row],[ServiceID]],Services_cleaned[ServiceID],Services_cleaned[TransactionFeePct]) * 10000), "Yes", "No")</f>
        <v>Yes</v>
      </c>
      <c r="R2430" s="5" t="str">
        <f>IF(COUNTIFS($C$2:Transactions_RAW_cleaned[[#This Row],[CustomerID]],Transactions_RAW_cleaned[[#This Row],[CustomerID]],$D$2:Transactions_RAW_cleaned[[#This Row],[ServiceID]],Transactions_RAW_cleaned[[#This Row],[ServiceID]])=1,"Yes","No")</f>
        <v>Yes</v>
      </c>
      <c r="S243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30" t="str">
        <f>"Q"&amp;ROUNDUP(MONTH(Transactions_RAW_cleaned[[#This Row],[TransactionDate]])/3,0)</f>
        <v>Q3</v>
      </c>
      <c r="U2430" t="str">
        <f>Transactions_RAW_cleaned[[#This Row],[Region ]]&amp;Transactions_RAW_cleaned[[#This Row],[Quarter ]]</f>
        <v>NAQ3</v>
      </c>
      <c r="V2430" s="5">
        <f>_xlfn.XLOOKUP(Transactions_RAW_cleaned[[#This Row],[RegionQuarterKey]], Quarterly_Targets_cleaned[RegionQuarterKey], Quarterly_Targets_cleaned[TargetRevenue])</f>
        <v>273000</v>
      </c>
    </row>
    <row r="2431" spans="1:22" x14ac:dyDescent="0.25">
      <c r="A2431" t="s">
        <v>2768</v>
      </c>
      <c r="B2431" s="1">
        <v>45332</v>
      </c>
      <c r="C2431" t="s">
        <v>165</v>
      </c>
      <c r="D2431" t="s">
        <v>312</v>
      </c>
      <c r="E2431">
        <v>831.51</v>
      </c>
      <c r="F2431" t="s">
        <v>324</v>
      </c>
      <c r="G2431" t="s">
        <v>337</v>
      </c>
      <c r="H2431" t="s">
        <v>346</v>
      </c>
      <c r="I2431" t="s">
        <v>8</v>
      </c>
      <c r="J2431" t="s">
        <v>31</v>
      </c>
      <c r="K2431" t="s">
        <v>32</v>
      </c>
      <c r="L2431" t="s">
        <v>313</v>
      </c>
      <c r="M2431" t="s">
        <v>314</v>
      </c>
      <c r="N2431">
        <v>0</v>
      </c>
      <c r="O2431" t="str">
        <f>IF(Transactions_RAW_cleaned[[#This Row],[Status]]="Completed", IFERROR(_xlfn.XLOOKUP(Transactions_RAW_cleaned[[#This Row],[CustomerID]], Customers_cleaned[CustomerID], Customers_cleaned[Segment]), "Customer Not Found"), "N/A")</f>
        <v>SMB</v>
      </c>
      <c r="P2431" s="5" t="str">
        <f>IF(Transactions_RAW_cleaned[[#This Row],[Status]]="Refunded", "Refund",
  IF(Transactions_RAW_cleaned[[#This Row],[Category]]="Payments", IF(Transactions_RAW_cleaned[[#This Row],[Amount]]&gt;500,"High Value","Standard"),
    IF(Transactions_RAW_cleaned[[#This Row],[Amount]]&gt;250,"High Value","Standard")))</f>
        <v>High Value</v>
      </c>
      <c r="Q2431" s="5" t="str">
        <f>IF(Transactions_RAW_cleaned[[#This Row],[Amount]] &gt; (_xlfn.XLOOKUP(Transactions_RAW_cleaned[[#This Row],[ServiceID]],Services_cleaned[ServiceID],Services_cleaned[TransactionFeePct]) * 10000), "Yes", "No")</f>
        <v>Yes</v>
      </c>
      <c r="R2431" s="5" t="str">
        <f>IF(COUNTIFS($C$2:Transactions_RAW_cleaned[[#This Row],[CustomerID]],Transactions_RAW_cleaned[[#This Row],[CustomerID]],$D$2:Transactions_RAW_cleaned[[#This Row],[ServiceID]],Transactions_RAW_cleaned[[#This Row],[ServiceID]])=1,"Yes","No")</f>
        <v>Yes</v>
      </c>
      <c r="S243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31" t="str">
        <f>"Q"&amp;ROUNDUP(MONTH(Transactions_RAW_cleaned[[#This Row],[TransactionDate]])/3,0)</f>
        <v>Q1</v>
      </c>
      <c r="U2431" t="str">
        <f>Transactions_RAW_cleaned[[#This Row],[Region ]]&amp;Transactions_RAW_cleaned[[#This Row],[Quarter ]]</f>
        <v>EMEAQ1</v>
      </c>
      <c r="V2431" s="5">
        <f>_xlfn.XLOOKUP(Transactions_RAW_cleaned[[#This Row],[RegionQuarterKey]], Quarterly_Targets_cleaned[RegionQuarterKey], Quarterly_Targets_cleaned[TargetRevenue])</f>
        <v>133000</v>
      </c>
    </row>
    <row r="2432" spans="1:22" x14ac:dyDescent="0.25">
      <c r="A2432" t="s">
        <v>2769</v>
      </c>
      <c r="B2432" s="1">
        <v>45498</v>
      </c>
      <c r="C2432" t="s">
        <v>113</v>
      </c>
      <c r="D2432" t="s">
        <v>300</v>
      </c>
      <c r="E2432">
        <v>561.75</v>
      </c>
      <c r="F2432" t="s">
        <v>324</v>
      </c>
      <c r="G2432" t="s">
        <v>329</v>
      </c>
      <c r="I2432" t="s">
        <v>57</v>
      </c>
      <c r="J2432" t="s">
        <v>46</v>
      </c>
      <c r="K2432" t="s">
        <v>10</v>
      </c>
      <c r="L2432" t="s">
        <v>301</v>
      </c>
      <c r="M2432" t="s">
        <v>302</v>
      </c>
      <c r="N2432">
        <v>5.0000000000000001E-3</v>
      </c>
      <c r="O2432" t="str">
        <f>IF(Transactions_RAW_cleaned[[#This Row],[Status]]="Completed", IFERROR(_xlfn.XLOOKUP(Transactions_RAW_cleaned[[#This Row],[CustomerID]], Customers_cleaned[CustomerID], Customers_cleaned[Segment]), "Customer Not Found"), "N/A")</f>
        <v>Startup</v>
      </c>
      <c r="P2432" s="5" t="str">
        <f>IF(Transactions_RAW_cleaned[[#This Row],[Status]]="Refunded", "Refund",
  IF(Transactions_RAW_cleaned[[#This Row],[Category]]="Payments", IF(Transactions_RAW_cleaned[[#This Row],[Amount]]&gt;500,"High Value","Standard"),
    IF(Transactions_RAW_cleaned[[#This Row],[Amount]]&gt;250,"High Value","Standard")))</f>
        <v>High Value</v>
      </c>
      <c r="Q2432" s="5" t="str">
        <f>IF(Transactions_RAW_cleaned[[#This Row],[Amount]] &gt; (_xlfn.XLOOKUP(Transactions_RAW_cleaned[[#This Row],[ServiceID]],Services_cleaned[ServiceID],Services_cleaned[TransactionFeePct]) * 10000), "Yes", "No")</f>
        <v>Yes</v>
      </c>
      <c r="R2432" s="5" t="str">
        <f>IF(COUNTIFS($C$2:Transactions_RAW_cleaned[[#This Row],[CustomerID]],Transactions_RAW_cleaned[[#This Row],[CustomerID]],$D$2:Transactions_RAW_cleaned[[#This Row],[ServiceID]],Transactions_RAW_cleaned[[#This Row],[ServiceID]])=1,"Yes","No")</f>
        <v>No</v>
      </c>
      <c r="S243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32" t="str">
        <f>"Q"&amp;ROUNDUP(MONTH(Transactions_RAW_cleaned[[#This Row],[TransactionDate]])/3,0)</f>
        <v>Q3</v>
      </c>
      <c r="U2432" t="str">
        <f>Transactions_RAW_cleaned[[#This Row],[Region ]]&amp;Transactions_RAW_cleaned[[#This Row],[Quarter ]]</f>
        <v>APACQ3</v>
      </c>
      <c r="V2432" s="5">
        <f>_xlfn.XLOOKUP(Transactions_RAW_cleaned[[#This Row],[RegionQuarterKey]], Quarterly_Targets_cleaned[RegionQuarterKey], Quarterly_Targets_cleaned[TargetRevenue])</f>
        <v>115500</v>
      </c>
    </row>
    <row r="2433" spans="1:22" x14ac:dyDescent="0.25">
      <c r="A2433" t="s">
        <v>2770</v>
      </c>
      <c r="B2433" s="1">
        <v>45417</v>
      </c>
      <c r="C2433" t="s">
        <v>47</v>
      </c>
      <c r="D2433" t="s">
        <v>309</v>
      </c>
      <c r="E2433">
        <v>222.77</v>
      </c>
      <c r="F2433" t="s">
        <v>324</v>
      </c>
      <c r="G2433" t="s">
        <v>325</v>
      </c>
      <c r="I2433" t="s">
        <v>8</v>
      </c>
      <c r="J2433" t="s">
        <v>21</v>
      </c>
      <c r="K2433" t="s">
        <v>22</v>
      </c>
      <c r="L2433" t="s">
        <v>310</v>
      </c>
      <c r="M2433" t="s">
        <v>311</v>
      </c>
      <c r="N2433">
        <v>0</v>
      </c>
      <c r="O2433" t="str">
        <f>IF(Transactions_RAW_cleaned[[#This Row],[Status]]="Completed", IFERROR(_xlfn.XLOOKUP(Transactions_RAW_cleaned[[#This Row],[CustomerID]], Customers_cleaned[CustomerID], Customers_cleaned[Segment]), "Customer Not Found"), "N/A")</f>
        <v>SMB</v>
      </c>
      <c r="P2433" s="5" t="str">
        <f>IF(Transactions_RAW_cleaned[[#This Row],[Status]]="Refunded", "Refund",
  IF(Transactions_RAW_cleaned[[#This Row],[Category]]="Payments", IF(Transactions_RAW_cleaned[[#This Row],[Amount]]&gt;500,"High Value","Standard"),
    IF(Transactions_RAW_cleaned[[#This Row],[Amount]]&gt;250,"High Value","Standard")))</f>
        <v>Standard</v>
      </c>
      <c r="Q2433" s="5" t="str">
        <f>IF(Transactions_RAW_cleaned[[#This Row],[Amount]] &gt; (_xlfn.XLOOKUP(Transactions_RAW_cleaned[[#This Row],[ServiceID]],Services_cleaned[ServiceID],Services_cleaned[TransactionFeePct]) * 10000), "Yes", "No")</f>
        <v>Yes</v>
      </c>
      <c r="R2433" s="5" t="str">
        <f>IF(COUNTIFS($C$2:Transactions_RAW_cleaned[[#This Row],[CustomerID]],Transactions_RAW_cleaned[[#This Row],[CustomerID]],$D$2:Transactions_RAW_cleaned[[#This Row],[ServiceID]],Transactions_RAW_cleaned[[#This Row],[ServiceID]])=1,"Yes","No")</f>
        <v>Yes</v>
      </c>
      <c r="S243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33" t="str">
        <f>"Q"&amp;ROUNDUP(MONTH(Transactions_RAW_cleaned[[#This Row],[TransactionDate]])/3,0)</f>
        <v>Q2</v>
      </c>
      <c r="U2433" t="str">
        <f>Transactions_RAW_cleaned[[#This Row],[Region ]]&amp;Transactions_RAW_cleaned[[#This Row],[Quarter ]]</f>
        <v>APACQ2</v>
      </c>
      <c r="V2433" s="5">
        <f>_xlfn.XLOOKUP(Transactions_RAW_cleaned[[#This Row],[RegionQuarterKey]], Quarterly_Targets_cleaned[RegionQuarterKey], Quarterly_Targets_cleaned[TargetRevenue])</f>
        <v>110000</v>
      </c>
    </row>
    <row r="2434" spans="1:22" x14ac:dyDescent="0.25">
      <c r="A2434" t="s">
        <v>2771</v>
      </c>
      <c r="B2434" s="1">
        <v>45403</v>
      </c>
      <c r="C2434" t="s">
        <v>221</v>
      </c>
      <c r="D2434" t="s">
        <v>294</v>
      </c>
      <c r="E2434">
        <v>634.37</v>
      </c>
      <c r="F2434" t="s">
        <v>324</v>
      </c>
      <c r="G2434" t="s">
        <v>325</v>
      </c>
      <c r="I2434" t="s">
        <v>8</v>
      </c>
      <c r="J2434" t="s">
        <v>102</v>
      </c>
      <c r="K2434" t="s">
        <v>14</v>
      </c>
      <c r="L2434" t="s">
        <v>295</v>
      </c>
      <c r="M2434" t="s">
        <v>296</v>
      </c>
      <c r="N2434">
        <v>2.9000000000000001E-2</v>
      </c>
      <c r="O2434" t="str">
        <f>IF(Transactions_RAW_cleaned[[#This Row],[Status]]="Completed", IFERROR(_xlfn.XLOOKUP(Transactions_RAW_cleaned[[#This Row],[CustomerID]], Customers_cleaned[CustomerID], Customers_cleaned[Segment]), "Customer Not Found"), "N/A")</f>
        <v>SMB</v>
      </c>
      <c r="P2434" s="5" t="str">
        <f>IF(Transactions_RAW_cleaned[[#This Row],[Status]]="Refunded", "Refund",
  IF(Transactions_RAW_cleaned[[#This Row],[Category]]="Payments", IF(Transactions_RAW_cleaned[[#This Row],[Amount]]&gt;500,"High Value","Standard"),
    IF(Transactions_RAW_cleaned[[#This Row],[Amount]]&gt;250,"High Value","Standard")))</f>
        <v>High Value</v>
      </c>
      <c r="Q2434" s="5" t="str">
        <f>IF(Transactions_RAW_cleaned[[#This Row],[Amount]] &gt; (_xlfn.XLOOKUP(Transactions_RAW_cleaned[[#This Row],[ServiceID]],Services_cleaned[ServiceID],Services_cleaned[TransactionFeePct]) * 10000), "Yes", "No")</f>
        <v>Yes</v>
      </c>
      <c r="R2434" s="5" t="str">
        <f>IF(COUNTIFS($C$2:Transactions_RAW_cleaned[[#This Row],[CustomerID]],Transactions_RAW_cleaned[[#This Row],[CustomerID]],$D$2:Transactions_RAW_cleaned[[#This Row],[ServiceID]],Transactions_RAW_cleaned[[#This Row],[ServiceID]])=1,"Yes","No")</f>
        <v>No</v>
      </c>
      <c r="S243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34" t="str">
        <f>"Q"&amp;ROUNDUP(MONTH(Transactions_RAW_cleaned[[#This Row],[TransactionDate]])/3,0)</f>
        <v>Q2</v>
      </c>
      <c r="U2434" t="str">
        <f>Transactions_RAW_cleaned[[#This Row],[Region ]]&amp;Transactions_RAW_cleaned[[#This Row],[Quarter ]]</f>
        <v>NAQ2</v>
      </c>
      <c r="V2434" s="5">
        <f>_xlfn.XLOOKUP(Transactions_RAW_cleaned[[#This Row],[RegionQuarterKey]], Quarterly_Targets_cleaned[RegionQuarterKey], Quarterly_Targets_cleaned[TargetRevenue])</f>
        <v>260000</v>
      </c>
    </row>
    <row r="2435" spans="1:22" x14ac:dyDescent="0.25">
      <c r="A2435" t="s">
        <v>2772</v>
      </c>
      <c r="B2435" s="1">
        <v>45428</v>
      </c>
      <c r="C2435" t="s">
        <v>47</v>
      </c>
      <c r="D2435" t="s">
        <v>309</v>
      </c>
      <c r="E2435">
        <v>465.12</v>
      </c>
      <c r="F2435" t="s">
        <v>324</v>
      </c>
      <c r="G2435" t="s">
        <v>337</v>
      </c>
      <c r="I2435" t="s">
        <v>8</v>
      </c>
      <c r="J2435" t="s">
        <v>21</v>
      </c>
      <c r="K2435" t="s">
        <v>22</v>
      </c>
      <c r="L2435" t="s">
        <v>310</v>
      </c>
      <c r="M2435" t="s">
        <v>311</v>
      </c>
      <c r="N2435">
        <v>0</v>
      </c>
      <c r="O2435" t="str">
        <f>IF(Transactions_RAW_cleaned[[#This Row],[Status]]="Completed", IFERROR(_xlfn.XLOOKUP(Transactions_RAW_cleaned[[#This Row],[CustomerID]], Customers_cleaned[CustomerID], Customers_cleaned[Segment]), "Customer Not Found"), "N/A")</f>
        <v>SMB</v>
      </c>
      <c r="P2435" s="5" t="str">
        <f>IF(Transactions_RAW_cleaned[[#This Row],[Status]]="Refunded", "Refund",
  IF(Transactions_RAW_cleaned[[#This Row],[Category]]="Payments", IF(Transactions_RAW_cleaned[[#This Row],[Amount]]&gt;500,"High Value","Standard"),
    IF(Transactions_RAW_cleaned[[#This Row],[Amount]]&gt;250,"High Value","Standard")))</f>
        <v>High Value</v>
      </c>
      <c r="Q2435" s="5" t="str">
        <f>IF(Transactions_RAW_cleaned[[#This Row],[Amount]] &gt; (_xlfn.XLOOKUP(Transactions_RAW_cleaned[[#This Row],[ServiceID]],Services_cleaned[ServiceID],Services_cleaned[TransactionFeePct]) * 10000), "Yes", "No")</f>
        <v>Yes</v>
      </c>
      <c r="R2435" s="5" t="str">
        <f>IF(COUNTIFS($C$2:Transactions_RAW_cleaned[[#This Row],[CustomerID]],Transactions_RAW_cleaned[[#This Row],[CustomerID]],$D$2:Transactions_RAW_cleaned[[#This Row],[ServiceID]],Transactions_RAW_cleaned[[#This Row],[ServiceID]])=1,"Yes","No")</f>
        <v>No</v>
      </c>
      <c r="S243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35" t="str">
        <f>"Q"&amp;ROUNDUP(MONTH(Transactions_RAW_cleaned[[#This Row],[TransactionDate]])/3,0)</f>
        <v>Q2</v>
      </c>
      <c r="U2435" t="str">
        <f>Transactions_RAW_cleaned[[#This Row],[Region ]]&amp;Transactions_RAW_cleaned[[#This Row],[Quarter ]]</f>
        <v>APACQ2</v>
      </c>
      <c r="V2435" s="5">
        <f>_xlfn.XLOOKUP(Transactions_RAW_cleaned[[#This Row],[RegionQuarterKey]], Quarterly_Targets_cleaned[RegionQuarterKey], Quarterly_Targets_cleaned[TargetRevenue])</f>
        <v>110000</v>
      </c>
    </row>
    <row r="2436" spans="1:22" x14ac:dyDescent="0.25">
      <c r="A2436" t="s">
        <v>2773</v>
      </c>
      <c r="B2436" s="1">
        <v>45655</v>
      </c>
      <c r="C2436" t="s">
        <v>103</v>
      </c>
      <c r="D2436" t="s">
        <v>297</v>
      </c>
      <c r="E2436">
        <v>333.74</v>
      </c>
      <c r="F2436" t="s">
        <v>324</v>
      </c>
      <c r="G2436" t="s">
        <v>327</v>
      </c>
      <c r="I2436" t="s">
        <v>8</v>
      </c>
      <c r="J2436" t="s">
        <v>102</v>
      </c>
      <c r="K2436" t="s">
        <v>28</v>
      </c>
      <c r="L2436" t="s">
        <v>298</v>
      </c>
      <c r="M2436" t="s">
        <v>299</v>
      </c>
      <c r="N2436">
        <v>0</v>
      </c>
      <c r="O2436" t="str">
        <f>IF(Transactions_RAW_cleaned[[#This Row],[Status]]="Completed", IFERROR(_xlfn.XLOOKUP(Transactions_RAW_cleaned[[#This Row],[CustomerID]], Customers_cleaned[CustomerID], Customers_cleaned[Segment]), "Customer Not Found"), "N/A")</f>
        <v>SMB</v>
      </c>
      <c r="P2436" s="5" t="str">
        <f>IF(Transactions_RAW_cleaned[[#This Row],[Status]]="Refunded", "Refund",
  IF(Transactions_RAW_cleaned[[#This Row],[Category]]="Payments", IF(Transactions_RAW_cleaned[[#This Row],[Amount]]&gt;500,"High Value","Standard"),
    IF(Transactions_RAW_cleaned[[#This Row],[Amount]]&gt;250,"High Value","Standard")))</f>
        <v>High Value</v>
      </c>
      <c r="Q2436" s="5" t="str">
        <f>IF(Transactions_RAW_cleaned[[#This Row],[Amount]] &gt; (_xlfn.XLOOKUP(Transactions_RAW_cleaned[[#This Row],[ServiceID]],Services_cleaned[ServiceID],Services_cleaned[TransactionFeePct]) * 10000), "Yes", "No")</f>
        <v>Yes</v>
      </c>
      <c r="R2436" s="5" t="str">
        <f>IF(COUNTIFS($C$2:Transactions_RAW_cleaned[[#This Row],[CustomerID]],Transactions_RAW_cleaned[[#This Row],[CustomerID]],$D$2:Transactions_RAW_cleaned[[#This Row],[ServiceID]],Transactions_RAW_cleaned[[#This Row],[ServiceID]])=1,"Yes","No")</f>
        <v>No</v>
      </c>
      <c r="S243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36" t="str">
        <f>"Q"&amp;ROUNDUP(MONTH(Transactions_RAW_cleaned[[#This Row],[TransactionDate]])/3,0)</f>
        <v>Q4</v>
      </c>
      <c r="U2436" t="str">
        <f>Transactions_RAW_cleaned[[#This Row],[Region ]]&amp;Transactions_RAW_cleaned[[#This Row],[Quarter ]]</f>
        <v>NAQ4</v>
      </c>
      <c r="V2436" s="5">
        <f>_xlfn.XLOOKUP(Transactions_RAW_cleaned[[#This Row],[RegionQuarterKey]], Quarterly_Targets_cleaned[RegionQuarterKey], Quarterly_Targets_cleaned[TargetRevenue])</f>
        <v>299000</v>
      </c>
    </row>
    <row r="2437" spans="1:22" x14ac:dyDescent="0.25">
      <c r="A2437" t="s">
        <v>2774</v>
      </c>
      <c r="B2437" s="1">
        <v>45397</v>
      </c>
      <c r="C2437" t="s">
        <v>396</v>
      </c>
      <c r="D2437" t="s">
        <v>297</v>
      </c>
      <c r="E2437">
        <v>275.77</v>
      </c>
      <c r="F2437" t="s">
        <v>324</v>
      </c>
      <c r="G2437" t="s">
        <v>329</v>
      </c>
      <c r="H2437" t="s">
        <v>332</v>
      </c>
      <c r="I2437" t="s">
        <v>57</v>
      </c>
      <c r="J2437" t="s">
        <v>21</v>
      </c>
      <c r="K2437" t="s">
        <v>2964</v>
      </c>
      <c r="L2437" t="s">
        <v>298</v>
      </c>
      <c r="M2437" t="s">
        <v>299</v>
      </c>
      <c r="N2437">
        <v>0</v>
      </c>
      <c r="O2437" t="str">
        <f>IF(Transactions_RAW_cleaned[[#This Row],[Status]]="Completed", IFERROR(_xlfn.XLOOKUP(Transactions_RAW_cleaned[[#This Row],[CustomerID]], Customers_cleaned[CustomerID], Customers_cleaned[Segment]), "Customer Not Found"), "N/A")</f>
        <v>Startup</v>
      </c>
      <c r="P2437" s="5" t="str">
        <f>IF(Transactions_RAW_cleaned[[#This Row],[Status]]="Refunded", "Refund",
  IF(Transactions_RAW_cleaned[[#This Row],[Category]]="Payments", IF(Transactions_RAW_cleaned[[#This Row],[Amount]]&gt;500,"High Value","Standard"),
    IF(Transactions_RAW_cleaned[[#This Row],[Amount]]&gt;250,"High Value","Standard")))</f>
        <v>High Value</v>
      </c>
      <c r="Q2437" s="5" t="str">
        <f>IF(Transactions_RAW_cleaned[[#This Row],[Amount]] &gt; (_xlfn.XLOOKUP(Transactions_RAW_cleaned[[#This Row],[ServiceID]],Services_cleaned[ServiceID],Services_cleaned[TransactionFeePct]) * 10000), "Yes", "No")</f>
        <v>Yes</v>
      </c>
      <c r="R2437" s="5" t="str">
        <f>IF(COUNTIFS($C$2:Transactions_RAW_cleaned[[#This Row],[CustomerID]],Transactions_RAW_cleaned[[#This Row],[CustomerID]],$D$2:Transactions_RAW_cleaned[[#This Row],[ServiceID]],Transactions_RAW_cleaned[[#This Row],[ServiceID]])=1,"Yes","No")</f>
        <v>No</v>
      </c>
      <c r="S243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37" t="str">
        <f>"Q"&amp;ROUNDUP(MONTH(Transactions_RAW_cleaned[[#This Row],[TransactionDate]])/3,0)</f>
        <v>Q2</v>
      </c>
      <c r="U2437" t="str">
        <f>Transactions_RAW_cleaned[[#This Row],[Region ]]&amp;Transactions_RAW_cleaned[[#This Row],[Quarter ]]</f>
        <v>APACQ2</v>
      </c>
      <c r="V2437" s="5">
        <f>_xlfn.XLOOKUP(Transactions_RAW_cleaned[[#This Row],[RegionQuarterKey]], Quarterly_Targets_cleaned[RegionQuarterKey], Quarterly_Targets_cleaned[TargetRevenue])</f>
        <v>110000</v>
      </c>
    </row>
    <row r="2438" spans="1:22" x14ac:dyDescent="0.25">
      <c r="A2438" t="s">
        <v>2775</v>
      </c>
      <c r="B2438" s="1">
        <v>45352</v>
      </c>
      <c r="C2438" t="s">
        <v>96</v>
      </c>
      <c r="D2438" t="s">
        <v>294</v>
      </c>
      <c r="E2438">
        <v>376.85</v>
      </c>
      <c r="F2438" t="s">
        <v>324</v>
      </c>
      <c r="G2438" t="s">
        <v>325</v>
      </c>
      <c r="H2438" t="s">
        <v>332</v>
      </c>
      <c r="I2438" t="s">
        <v>17</v>
      </c>
      <c r="J2438" t="s">
        <v>31</v>
      </c>
      <c r="K2438" t="s">
        <v>14</v>
      </c>
      <c r="L2438" t="s">
        <v>295</v>
      </c>
      <c r="M2438" t="s">
        <v>296</v>
      </c>
      <c r="N2438">
        <v>2.9000000000000001E-2</v>
      </c>
      <c r="O2438" t="str">
        <f>IF(Transactions_RAW_cleaned[[#This Row],[Status]]="Completed", IFERROR(_xlfn.XLOOKUP(Transactions_RAW_cleaned[[#This Row],[CustomerID]], Customers_cleaned[CustomerID], Customers_cleaned[Segment]), "Customer Not Found"), "N/A")</f>
        <v>Enterprise</v>
      </c>
      <c r="P2438" s="5" t="str">
        <f>IF(Transactions_RAW_cleaned[[#This Row],[Status]]="Refunded", "Refund",
  IF(Transactions_RAW_cleaned[[#This Row],[Category]]="Payments", IF(Transactions_RAW_cleaned[[#This Row],[Amount]]&gt;500,"High Value","Standard"),
    IF(Transactions_RAW_cleaned[[#This Row],[Amount]]&gt;250,"High Value","Standard")))</f>
        <v>Standard</v>
      </c>
      <c r="Q2438" s="5" t="str">
        <f>IF(Transactions_RAW_cleaned[[#This Row],[Amount]] &gt; (_xlfn.XLOOKUP(Transactions_RAW_cleaned[[#This Row],[ServiceID]],Services_cleaned[ServiceID],Services_cleaned[TransactionFeePct]) * 10000), "Yes", "No")</f>
        <v>Yes</v>
      </c>
      <c r="R2438" s="5" t="str">
        <f>IF(COUNTIFS($C$2:Transactions_RAW_cleaned[[#This Row],[CustomerID]],Transactions_RAW_cleaned[[#This Row],[CustomerID]],$D$2:Transactions_RAW_cleaned[[#This Row],[ServiceID]],Transactions_RAW_cleaned[[#This Row],[ServiceID]])=1,"Yes","No")</f>
        <v>No</v>
      </c>
      <c r="S243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38" t="str">
        <f>"Q"&amp;ROUNDUP(MONTH(Transactions_RAW_cleaned[[#This Row],[TransactionDate]])/3,0)</f>
        <v>Q1</v>
      </c>
      <c r="U2438" t="str">
        <f>Transactions_RAW_cleaned[[#This Row],[Region ]]&amp;Transactions_RAW_cleaned[[#This Row],[Quarter ]]</f>
        <v>EMEAQ1</v>
      </c>
      <c r="V2438" s="5">
        <f>_xlfn.XLOOKUP(Transactions_RAW_cleaned[[#This Row],[RegionQuarterKey]], Quarterly_Targets_cleaned[RegionQuarterKey], Quarterly_Targets_cleaned[TargetRevenue])</f>
        <v>133000</v>
      </c>
    </row>
    <row r="2439" spans="1:22" x14ac:dyDescent="0.25">
      <c r="A2439" t="s">
        <v>2776</v>
      </c>
      <c r="B2439" s="1">
        <v>45620</v>
      </c>
      <c r="C2439" t="s">
        <v>33</v>
      </c>
      <c r="D2439" t="s">
        <v>309</v>
      </c>
      <c r="E2439">
        <v>510.23</v>
      </c>
      <c r="F2439" t="s">
        <v>324</v>
      </c>
      <c r="G2439" t="s">
        <v>337</v>
      </c>
      <c r="I2439" t="s">
        <v>17</v>
      </c>
      <c r="J2439" t="s">
        <v>31</v>
      </c>
      <c r="K2439" t="s">
        <v>14</v>
      </c>
      <c r="L2439" t="s">
        <v>310</v>
      </c>
      <c r="M2439" t="s">
        <v>311</v>
      </c>
      <c r="N2439">
        <v>0</v>
      </c>
      <c r="O2439" t="str">
        <f>IF(Transactions_RAW_cleaned[[#This Row],[Status]]="Completed", IFERROR(_xlfn.XLOOKUP(Transactions_RAW_cleaned[[#This Row],[CustomerID]], Customers_cleaned[CustomerID], Customers_cleaned[Segment]), "Customer Not Found"), "N/A")</f>
        <v>Enterprise</v>
      </c>
      <c r="P2439" s="5" t="str">
        <f>IF(Transactions_RAW_cleaned[[#This Row],[Status]]="Refunded", "Refund",
  IF(Transactions_RAW_cleaned[[#This Row],[Category]]="Payments", IF(Transactions_RAW_cleaned[[#This Row],[Amount]]&gt;500,"High Value","Standard"),
    IF(Transactions_RAW_cleaned[[#This Row],[Amount]]&gt;250,"High Value","Standard")))</f>
        <v>High Value</v>
      </c>
      <c r="Q2439" s="5" t="str">
        <f>IF(Transactions_RAW_cleaned[[#This Row],[Amount]] &gt; (_xlfn.XLOOKUP(Transactions_RAW_cleaned[[#This Row],[ServiceID]],Services_cleaned[ServiceID],Services_cleaned[TransactionFeePct]) * 10000), "Yes", "No")</f>
        <v>Yes</v>
      </c>
      <c r="R2439" s="5" t="str">
        <f>IF(COUNTIFS($C$2:Transactions_RAW_cleaned[[#This Row],[CustomerID]],Transactions_RAW_cleaned[[#This Row],[CustomerID]],$D$2:Transactions_RAW_cleaned[[#This Row],[ServiceID]],Transactions_RAW_cleaned[[#This Row],[ServiceID]])=1,"Yes","No")</f>
        <v>No</v>
      </c>
      <c r="S243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39" t="str">
        <f>"Q"&amp;ROUNDUP(MONTH(Transactions_RAW_cleaned[[#This Row],[TransactionDate]])/3,0)</f>
        <v>Q4</v>
      </c>
      <c r="U2439" t="str">
        <f>Transactions_RAW_cleaned[[#This Row],[Region ]]&amp;Transactions_RAW_cleaned[[#This Row],[Quarter ]]</f>
        <v>EMEAQ4</v>
      </c>
      <c r="V2439" s="5">
        <f>_xlfn.XLOOKUP(Transactions_RAW_cleaned[[#This Row],[RegionQuarterKey]], Quarterly_Targets_cleaned[RegionQuarterKey], Quarterly_Targets_cleaned[TargetRevenue])</f>
        <v>161000</v>
      </c>
    </row>
    <row r="2440" spans="1:22" x14ac:dyDescent="0.25">
      <c r="A2440" t="s">
        <v>2777</v>
      </c>
      <c r="B2440" s="1">
        <v>45538</v>
      </c>
      <c r="C2440" t="s">
        <v>177</v>
      </c>
      <c r="D2440" t="s">
        <v>312</v>
      </c>
      <c r="E2440">
        <v>1072.47</v>
      </c>
      <c r="F2440" t="s">
        <v>324</v>
      </c>
      <c r="G2440" t="s">
        <v>327</v>
      </c>
      <c r="I2440" t="s">
        <v>8</v>
      </c>
      <c r="J2440" t="s">
        <v>46</v>
      </c>
      <c r="K2440" t="s">
        <v>10</v>
      </c>
      <c r="L2440" t="s">
        <v>313</v>
      </c>
      <c r="M2440" t="s">
        <v>314</v>
      </c>
      <c r="N2440">
        <v>0</v>
      </c>
      <c r="O2440" t="str">
        <f>IF(Transactions_RAW_cleaned[[#This Row],[Status]]="Completed", IFERROR(_xlfn.XLOOKUP(Transactions_RAW_cleaned[[#This Row],[CustomerID]], Customers_cleaned[CustomerID], Customers_cleaned[Segment]), "Customer Not Found"), "N/A")</f>
        <v>SMB</v>
      </c>
      <c r="P2440" s="5" t="str">
        <f>IF(Transactions_RAW_cleaned[[#This Row],[Status]]="Refunded", "Refund",
  IF(Transactions_RAW_cleaned[[#This Row],[Category]]="Payments", IF(Transactions_RAW_cleaned[[#This Row],[Amount]]&gt;500,"High Value","Standard"),
    IF(Transactions_RAW_cleaned[[#This Row],[Amount]]&gt;250,"High Value","Standard")))</f>
        <v>High Value</v>
      </c>
      <c r="Q2440" s="5" t="str">
        <f>IF(Transactions_RAW_cleaned[[#This Row],[Amount]] &gt; (_xlfn.XLOOKUP(Transactions_RAW_cleaned[[#This Row],[ServiceID]],Services_cleaned[ServiceID],Services_cleaned[TransactionFeePct]) * 10000), "Yes", "No")</f>
        <v>Yes</v>
      </c>
      <c r="R2440" s="5" t="str">
        <f>IF(COUNTIFS($C$2:Transactions_RAW_cleaned[[#This Row],[CustomerID]],Transactions_RAW_cleaned[[#This Row],[CustomerID]],$D$2:Transactions_RAW_cleaned[[#This Row],[ServiceID]],Transactions_RAW_cleaned[[#This Row],[ServiceID]])=1,"Yes","No")</f>
        <v>No</v>
      </c>
      <c r="S244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40" t="str">
        <f>"Q"&amp;ROUNDUP(MONTH(Transactions_RAW_cleaned[[#This Row],[TransactionDate]])/3,0)</f>
        <v>Q3</v>
      </c>
      <c r="U2440" t="str">
        <f>Transactions_RAW_cleaned[[#This Row],[Region ]]&amp;Transactions_RAW_cleaned[[#This Row],[Quarter ]]</f>
        <v>APACQ3</v>
      </c>
      <c r="V2440" s="5">
        <f>_xlfn.XLOOKUP(Transactions_RAW_cleaned[[#This Row],[RegionQuarterKey]], Quarterly_Targets_cleaned[RegionQuarterKey], Quarterly_Targets_cleaned[TargetRevenue])</f>
        <v>115500</v>
      </c>
    </row>
    <row r="2441" spans="1:22" x14ac:dyDescent="0.25">
      <c r="A2441" t="s">
        <v>2778</v>
      </c>
      <c r="B2441" s="1">
        <v>45450</v>
      </c>
      <c r="C2441" t="s">
        <v>64</v>
      </c>
      <c r="D2441" t="s">
        <v>294</v>
      </c>
      <c r="E2441">
        <v>814.65</v>
      </c>
      <c r="F2441" t="s">
        <v>324</v>
      </c>
      <c r="G2441" t="s">
        <v>327</v>
      </c>
      <c r="I2441" t="s">
        <v>8</v>
      </c>
      <c r="J2441" t="s">
        <v>37</v>
      </c>
      <c r="K2441" t="s">
        <v>28</v>
      </c>
      <c r="L2441" t="s">
        <v>295</v>
      </c>
      <c r="M2441" t="s">
        <v>296</v>
      </c>
      <c r="N2441">
        <v>2.9000000000000001E-2</v>
      </c>
      <c r="O2441" t="str">
        <f>IF(Transactions_RAW_cleaned[[#This Row],[Status]]="Completed", IFERROR(_xlfn.XLOOKUP(Transactions_RAW_cleaned[[#This Row],[CustomerID]], Customers_cleaned[CustomerID], Customers_cleaned[Segment]), "Customer Not Found"), "N/A")</f>
        <v>SMB</v>
      </c>
      <c r="P2441" s="5" t="str">
        <f>IF(Transactions_RAW_cleaned[[#This Row],[Status]]="Refunded", "Refund",
  IF(Transactions_RAW_cleaned[[#This Row],[Category]]="Payments", IF(Transactions_RAW_cleaned[[#This Row],[Amount]]&gt;500,"High Value","Standard"),
    IF(Transactions_RAW_cleaned[[#This Row],[Amount]]&gt;250,"High Value","Standard")))</f>
        <v>High Value</v>
      </c>
      <c r="Q2441" s="5" t="str">
        <f>IF(Transactions_RAW_cleaned[[#This Row],[Amount]] &gt; (_xlfn.XLOOKUP(Transactions_RAW_cleaned[[#This Row],[ServiceID]],Services_cleaned[ServiceID],Services_cleaned[TransactionFeePct]) * 10000), "Yes", "No")</f>
        <v>Yes</v>
      </c>
      <c r="R2441" s="5" t="str">
        <f>IF(COUNTIFS($C$2:Transactions_RAW_cleaned[[#This Row],[CustomerID]],Transactions_RAW_cleaned[[#This Row],[CustomerID]],$D$2:Transactions_RAW_cleaned[[#This Row],[ServiceID]],Transactions_RAW_cleaned[[#This Row],[ServiceID]])=1,"Yes","No")</f>
        <v>No</v>
      </c>
      <c r="S244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41" t="str">
        <f>"Q"&amp;ROUNDUP(MONTH(Transactions_RAW_cleaned[[#This Row],[TransactionDate]])/3,0)</f>
        <v>Q2</v>
      </c>
      <c r="U2441" t="str">
        <f>Transactions_RAW_cleaned[[#This Row],[Region ]]&amp;Transactions_RAW_cleaned[[#This Row],[Quarter ]]</f>
        <v>EMEAQ2</v>
      </c>
      <c r="V2441" s="5">
        <f>_xlfn.XLOOKUP(Transactions_RAW_cleaned[[#This Row],[RegionQuarterKey]], Quarterly_Targets_cleaned[RegionQuarterKey], Quarterly_Targets_cleaned[TargetRevenue])</f>
        <v>140000</v>
      </c>
    </row>
    <row r="2442" spans="1:22" x14ac:dyDescent="0.25">
      <c r="A2442" t="s">
        <v>2779</v>
      </c>
      <c r="B2442" s="1">
        <v>45645</v>
      </c>
      <c r="C2442" t="s">
        <v>641</v>
      </c>
      <c r="D2442" t="s">
        <v>297</v>
      </c>
      <c r="E2442">
        <v>249.38</v>
      </c>
      <c r="F2442" t="s">
        <v>324</v>
      </c>
      <c r="G2442" t="s">
        <v>325</v>
      </c>
      <c r="H2442" t="s">
        <v>334</v>
      </c>
      <c r="I2442" t="s">
        <v>8</v>
      </c>
      <c r="J2442" t="s">
        <v>13</v>
      </c>
      <c r="K2442" t="s">
        <v>22</v>
      </c>
      <c r="L2442" t="s">
        <v>298</v>
      </c>
      <c r="M2442" t="s">
        <v>299</v>
      </c>
      <c r="N2442">
        <v>0</v>
      </c>
      <c r="O2442" t="str">
        <f>IF(Transactions_RAW_cleaned[[#This Row],[Status]]="Completed", IFERROR(_xlfn.XLOOKUP(Transactions_RAW_cleaned[[#This Row],[CustomerID]], Customers_cleaned[CustomerID], Customers_cleaned[Segment]), "Customer Not Found"), "N/A")</f>
        <v>SMB</v>
      </c>
      <c r="P2442" s="5" t="str">
        <f>IF(Transactions_RAW_cleaned[[#This Row],[Status]]="Refunded", "Refund",
  IF(Transactions_RAW_cleaned[[#This Row],[Category]]="Payments", IF(Transactions_RAW_cleaned[[#This Row],[Amount]]&gt;500,"High Value","Standard"),
    IF(Transactions_RAW_cleaned[[#This Row],[Amount]]&gt;250,"High Value","Standard")))</f>
        <v>Standard</v>
      </c>
      <c r="Q2442" s="5" t="str">
        <f>IF(Transactions_RAW_cleaned[[#This Row],[Amount]] &gt; (_xlfn.XLOOKUP(Transactions_RAW_cleaned[[#This Row],[ServiceID]],Services_cleaned[ServiceID],Services_cleaned[TransactionFeePct]) * 10000), "Yes", "No")</f>
        <v>Yes</v>
      </c>
      <c r="R2442" s="5" t="str">
        <f>IF(COUNTIFS($C$2:Transactions_RAW_cleaned[[#This Row],[CustomerID]],Transactions_RAW_cleaned[[#This Row],[CustomerID]],$D$2:Transactions_RAW_cleaned[[#This Row],[ServiceID]],Transactions_RAW_cleaned[[#This Row],[ServiceID]])=1,"Yes","No")</f>
        <v>No</v>
      </c>
      <c r="S244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42" t="str">
        <f>"Q"&amp;ROUNDUP(MONTH(Transactions_RAW_cleaned[[#This Row],[TransactionDate]])/3,0)</f>
        <v>Q4</v>
      </c>
      <c r="U2442" t="str">
        <f>Transactions_RAW_cleaned[[#This Row],[Region ]]&amp;Transactions_RAW_cleaned[[#This Row],[Quarter ]]</f>
        <v>NAQ4</v>
      </c>
      <c r="V2442" s="5">
        <f>_xlfn.XLOOKUP(Transactions_RAW_cleaned[[#This Row],[RegionQuarterKey]], Quarterly_Targets_cleaned[RegionQuarterKey], Quarterly_Targets_cleaned[TargetRevenue])</f>
        <v>299000</v>
      </c>
    </row>
    <row r="2443" spans="1:22" x14ac:dyDescent="0.25">
      <c r="A2443" t="s">
        <v>2780</v>
      </c>
      <c r="B2443" s="1">
        <v>45470</v>
      </c>
      <c r="C2443" t="s">
        <v>269</v>
      </c>
      <c r="D2443" t="s">
        <v>297</v>
      </c>
      <c r="E2443">
        <v>74.98</v>
      </c>
      <c r="F2443" t="s">
        <v>324</v>
      </c>
      <c r="G2443" t="s">
        <v>329</v>
      </c>
      <c r="I2443" t="s">
        <v>17</v>
      </c>
      <c r="J2443" t="s">
        <v>31</v>
      </c>
      <c r="K2443" t="s">
        <v>32</v>
      </c>
      <c r="L2443" t="s">
        <v>298</v>
      </c>
      <c r="M2443" t="s">
        <v>299</v>
      </c>
      <c r="N2443">
        <v>0</v>
      </c>
      <c r="O2443" t="str">
        <f>IF(Transactions_RAW_cleaned[[#This Row],[Status]]="Completed", IFERROR(_xlfn.XLOOKUP(Transactions_RAW_cleaned[[#This Row],[CustomerID]], Customers_cleaned[CustomerID], Customers_cleaned[Segment]), "Customer Not Found"), "N/A")</f>
        <v>Enterprise</v>
      </c>
      <c r="P2443" s="5" t="str">
        <f>IF(Transactions_RAW_cleaned[[#This Row],[Status]]="Refunded", "Refund",
  IF(Transactions_RAW_cleaned[[#This Row],[Category]]="Payments", IF(Transactions_RAW_cleaned[[#This Row],[Amount]]&gt;500,"High Value","Standard"),
    IF(Transactions_RAW_cleaned[[#This Row],[Amount]]&gt;250,"High Value","Standard")))</f>
        <v>Standard</v>
      </c>
      <c r="Q2443" s="5" t="str">
        <f>IF(Transactions_RAW_cleaned[[#This Row],[Amount]] &gt; (_xlfn.XLOOKUP(Transactions_RAW_cleaned[[#This Row],[ServiceID]],Services_cleaned[ServiceID],Services_cleaned[TransactionFeePct]) * 10000), "Yes", "No")</f>
        <v>Yes</v>
      </c>
      <c r="R2443" s="5" t="str">
        <f>IF(COUNTIFS($C$2:Transactions_RAW_cleaned[[#This Row],[CustomerID]],Transactions_RAW_cleaned[[#This Row],[CustomerID]],$D$2:Transactions_RAW_cleaned[[#This Row],[ServiceID]],Transactions_RAW_cleaned[[#This Row],[ServiceID]])=1,"Yes","No")</f>
        <v>No</v>
      </c>
      <c r="S244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43" t="str">
        <f>"Q"&amp;ROUNDUP(MONTH(Transactions_RAW_cleaned[[#This Row],[TransactionDate]])/3,0)</f>
        <v>Q2</v>
      </c>
      <c r="U2443" t="str">
        <f>Transactions_RAW_cleaned[[#This Row],[Region ]]&amp;Transactions_RAW_cleaned[[#This Row],[Quarter ]]</f>
        <v>EMEAQ2</v>
      </c>
      <c r="V2443" s="5">
        <f>_xlfn.XLOOKUP(Transactions_RAW_cleaned[[#This Row],[RegionQuarterKey]], Quarterly_Targets_cleaned[RegionQuarterKey], Quarterly_Targets_cleaned[TargetRevenue])</f>
        <v>140000</v>
      </c>
    </row>
    <row r="2444" spans="1:22" x14ac:dyDescent="0.25">
      <c r="A2444" t="s">
        <v>2781</v>
      </c>
      <c r="B2444" s="1">
        <v>45645</v>
      </c>
      <c r="C2444" t="s">
        <v>40</v>
      </c>
      <c r="D2444" t="s">
        <v>303</v>
      </c>
      <c r="E2444">
        <v>740.87</v>
      </c>
      <c r="F2444" t="s">
        <v>324</v>
      </c>
      <c r="G2444" t="s">
        <v>327</v>
      </c>
      <c r="I2444" t="s">
        <v>17</v>
      </c>
      <c r="J2444" t="s">
        <v>102</v>
      </c>
      <c r="K2444" t="s">
        <v>14</v>
      </c>
      <c r="L2444" t="s">
        <v>304</v>
      </c>
      <c r="M2444" t="s">
        <v>305</v>
      </c>
      <c r="N2444">
        <v>1E-3</v>
      </c>
      <c r="O2444" t="str">
        <f>IF(Transactions_RAW_cleaned[[#This Row],[Status]]="Completed", IFERROR(_xlfn.XLOOKUP(Transactions_RAW_cleaned[[#This Row],[CustomerID]], Customers_cleaned[CustomerID], Customers_cleaned[Segment]), "Customer Not Found"), "N/A")</f>
        <v>Enterprise</v>
      </c>
      <c r="P2444" s="5" t="str">
        <f>IF(Transactions_RAW_cleaned[[#This Row],[Status]]="Refunded", "Refund",
  IF(Transactions_RAW_cleaned[[#This Row],[Category]]="Payments", IF(Transactions_RAW_cleaned[[#This Row],[Amount]]&gt;500,"High Value","Standard"),
    IF(Transactions_RAW_cleaned[[#This Row],[Amount]]&gt;250,"High Value","Standard")))</f>
        <v>High Value</v>
      </c>
      <c r="Q2444" s="5" t="str">
        <f>IF(Transactions_RAW_cleaned[[#This Row],[Amount]] &gt; (_xlfn.XLOOKUP(Transactions_RAW_cleaned[[#This Row],[ServiceID]],Services_cleaned[ServiceID],Services_cleaned[TransactionFeePct]) * 10000), "Yes", "No")</f>
        <v>Yes</v>
      </c>
      <c r="R2444" s="5" t="str">
        <f>IF(COUNTIFS($C$2:Transactions_RAW_cleaned[[#This Row],[CustomerID]],Transactions_RAW_cleaned[[#This Row],[CustomerID]],$D$2:Transactions_RAW_cleaned[[#This Row],[ServiceID]],Transactions_RAW_cleaned[[#This Row],[ServiceID]])=1,"Yes","No")</f>
        <v>No</v>
      </c>
      <c r="S244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44" t="str">
        <f>"Q"&amp;ROUNDUP(MONTH(Transactions_RAW_cleaned[[#This Row],[TransactionDate]])/3,0)</f>
        <v>Q4</v>
      </c>
      <c r="U2444" t="str">
        <f>Transactions_RAW_cleaned[[#This Row],[Region ]]&amp;Transactions_RAW_cleaned[[#This Row],[Quarter ]]</f>
        <v>NAQ4</v>
      </c>
      <c r="V2444" s="5">
        <f>_xlfn.XLOOKUP(Transactions_RAW_cleaned[[#This Row],[RegionQuarterKey]], Quarterly_Targets_cleaned[RegionQuarterKey], Quarterly_Targets_cleaned[TargetRevenue])</f>
        <v>299000</v>
      </c>
    </row>
    <row r="2445" spans="1:22" x14ac:dyDescent="0.25">
      <c r="A2445" t="s">
        <v>2782</v>
      </c>
      <c r="B2445" s="1">
        <v>45455</v>
      </c>
      <c r="C2445" t="s">
        <v>19</v>
      </c>
      <c r="D2445" t="s">
        <v>306</v>
      </c>
      <c r="E2445">
        <v>599.41999999999996</v>
      </c>
      <c r="F2445" t="s">
        <v>331</v>
      </c>
      <c r="G2445" t="s">
        <v>325</v>
      </c>
      <c r="I2445" t="s">
        <v>8</v>
      </c>
      <c r="J2445" t="s">
        <v>21</v>
      </c>
      <c r="K2445" t="s">
        <v>22</v>
      </c>
      <c r="L2445" t="s">
        <v>307</v>
      </c>
      <c r="M2445" t="s">
        <v>308</v>
      </c>
      <c r="N2445">
        <v>0</v>
      </c>
      <c r="O2445" t="str">
        <f>IF(Transactions_RAW_cleaned[[#This Row],[Status]]="Completed", IFERROR(_xlfn.XLOOKUP(Transactions_RAW_cleaned[[#This Row],[CustomerID]], Customers_cleaned[CustomerID], Customers_cleaned[Segment]), "Customer Not Found"), "N/A")</f>
        <v>N/A</v>
      </c>
      <c r="P2445" s="5" t="str">
        <f>IF(Transactions_RAW_cleaned[[#This Row],[Status]]="Refunded", "Refund",
  IF(Transactions_RAW_cleaned[[#This Row],[Category]]="Payments", IF(Transactions_RAW_cleaned[[#This Row],[Amount]]&gt;500,"High Value","Standard"),
    IF(Transactions_RAW_cleaned[[#This Row],[Amount]]&gt;250,"High Value","Standard")))</f>
        <v>High Value</v>
      </c>
      <c r="Q2445" s="5" t="str">
        <f>IF(Transactions_RAW_cleaned[[#This Row],[Amount]] &gt; (_xlfn.XLOOKUP(Transactions_RAW_cleaned[[#This Row],[ServiceID]],Services_cleaned[ServiceID],Services_cleaned[TransactionFeePct]) * 10000), "Yes", "No")</f>
        <v>Yes</v>
      </c>
      <c r="R2445" s="5" t="str">
        <f>IF(COUNTIFS($C$2:Transactions_RAW_cleaned[[#This Row],[CustomerID]],Transactions_RAW_cleaned[[#This Row],[CustomerID]],$D$2:Transactions_RAW_cleaned[[#This Row],[ServiceID]],Transactions_RAW_cleaned[[#This Row],[ServiceID]])=1,"Yes","No")</f>
        <v>Yes</v>
      </c>
      <c r="S244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45" t="str">
        <f>"Q"&amp;ROUNDUP(MONTH(Transactions_RAW_cleaned[[#This Row],[TransactionDate]])/3,0)</f>
        <v>Q2</v>
      </c>
      <c r="U2445" t="str">
        <f>Transactions_RAW_cleaned[[#This Row],[Region ]]&amp;Transactions_RAW_cleaned[[#This Row],[Quarter ]]</f>
        <v>APACQ2</v>
      </c>
      <c r="V2445" s="5">
        <f>_xlfn.XLOOKUP(Transactions_RAW_cleaned[[#This Row],[RegionQuarterKey]], Quarterly_Targets_cleaned[RegionQuarterKey], Quarterly_Targets_cleaned[TargetRevenue])</f>
        <v>110000</v>
      </c>
    </row>
    <row r="2446" spans="1:22" x14ac:dyDescent="0.25">
      <c r="A2446" t="s">
        <v>2783</v>
      </c>
      <c r="B2446" s="1">
        <v>45653</v>
      </c>
      <c r="C2446" t="s">
        <v>82</v>
      </c>
      <c r="D2446" t="s">
        <v>294</v>
      </c>
      <c r="E2446">
        <v>343.52</v>
      </c>
      <c r="F2446" t="s">
        <v>324</v>
      </c>
      <c r="G2446" t="s">
        <v>325</v>
      </c>
      <c r="I2446" t="s">
        <v>57</v>
      </c>
      <c r="J2446" t="s">
        <v>46</v>
      </c>
      <c r="K2446" t="s">
        <v>10</v>
      </c>
      <c r="L2446" t="s">
        <v>295</v>
      </c>
      <c r="M2446" t="s">
        <v>296</v>
      </c>
      <c r="N2446">
        <v>2.9000000000000001E-2</v>
      </c>
      <c r="O2446" t="str">
        <f>IF(Transactions_RAW_cleaned[[#This Row],[Status]]="Completed", IFERROR(_xlfn.XLOOKUP(Transactions_RAW_cleaned[[#This Row],[CustomerID]], Customers_cleaned[CustomerID], Customers_cleaned[Segment]), "Customer Not Found"), "N/A")</f>
        <v>Startup</v>
      </c>
      <c r="P2446" s="5" t="str">
        <f>IF(Transactions_RAW_cleaned[[#This Row],[Status]]="Refunded", "Refund",
  IF(Transactions_RAW_cleaned[[#This Row],[Category]]="Payments", IF(Transactions_RAW_cleaned[[#This Row],[Amount]]&gt;500,"High Value","Standard"),
    IF(Transactions_RAW_cleaned[[#This Row],[Amount]]&gt;250,"High Value","Standard")))</f>
        <v>Standard</v>
      </c>
      <c r="Q2446" s="5" t="str">
        <f>IF(Transactions_RAW_cleaned[[#This Row],[Amount]] &gt; (_xlfn.XLOOKUP(Transactions_RAW_cleaned[[#This Row],[ServiceID]],Services_cleaned[ServiceID],Services_cleaned[TransactionFeePct]) * 10000), "Yes", "No")</f>
        <v>Yes</v>
      </c>
      <c r="R2446" s="5" t="str">
        <f>IF(COUNTIFS($C$2:Transactions_RAW_cleaned[[#This Row],[CustomerID]],Transactions_RAW_cleaned[[#This Row],[CustomerID]],$D$2:Transactions_RAW_cleaned[[#This Row],[ServiceID]],Transactions_RAW_cleaned[[#This Row],[ServiceID]])=1,"Yes","No")</f>
        <v>No</v>
      </c>
      <c r="S244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46" t="str">
        <f>"Q"&amp;ROUNDUP(MONTH(Transactions_RAW_cleaned[[#This Row],[TransactionDate]])/3,0)</f>
        <v>Q4</v>
      </c>
      <c r="U2446" t="str">
        <f>Transactions_RAW_cleaned[[#This Row],[Region ]]&amp;Transactions_RAW_cleaned[[#This Row],[Quarter ]]</f>
        <v>APACQ4</v>
      </c>
      <c r="V2446" s="5">
        <f>_xlfn.XLOOKUP(Transactions_RAW_cleaned[[#This Row],[RegionQuarterKey]], Quarterly_Targets_cleaned[RegionQuarterKey], Quarterly_Targets_cleaned[TargetRevenue])</f>
        <v>126500</v>
      </c>
    </row>
    <row r="2447" spans="1:22" x14ac:dyDescent="0.25">
      <c r="A2447" t="s">
        <v>2784</v>
      </c>
      <c r="B2447" s="1">
        <v>45469</v>
      </c>
      <c r="C2447" t="s">
        <v>171</v>
      </c>
      <c r="D2447" t="s">
        <v>294</v>
      </c>
      <c r="E2447">
        <v>158.02000000000001</v>
      </c>
      <c r="F2447" t="s">
        <v>324</v>
      </c>
      <c r="G2447" t="s">
        <v>2963</v>
      </c>
      <c r="I2447" t="s">
        <v>17</v>
      </c>
      <c r="J2447" t="s">
        <v>31</v>
      </c>
      <c r="K2447" t="s">
        <v>32</v>
      </c>
      <c r="L2447" t="s">
        <v>295</v>
      </c>
      <c r="M2447" t="s">
        <v>296</v>
      </c>
      <c r="N2447">
        <v>2.9000000000000001E-2</v>
      </c>
      <c r="O2447" t="str">
        <f>IF(Transactions_RAW_cleaned[[#This Row],[Status]]="Completed", IFERROR(_xlfn.XLOOKUP(Transactions_RAW_cleaned[[#This Row],[CustomerID]], Customers_cleaned[CustomerID], Customers_cleaned[Segment]), "Customer Not Found"), "N/A")</f>
        <v>Enterprise</v>
      </c>
      <c r="P2447" s="5" t="str">
        <f>IF(Transactions_RAW_cleaned[[#This Row],[Status]]="Refunded", "Refund",
  IF(Transactions_RAW_cleaned[[#This Row],[Category]]="Payments", IF(Transactions_RAW_cleaned[[#This Row],[Amount]]&gt;500,"High Value","Standard"),
    IF(Transactions_RAW_cleaned[[#This Row],[Amount]]&gt;250,"High Value","Standard")))</f>
        <v>Standard</v>
      </c>
      <c r="Q2447" s="5" t="str">
        <f>IF(Transactions_RAW_cleaned[[#This Row],[Amount]] &gt; (_xlfn.XLOOKUP(Transactions_RAW_cleaned[[#This Row],[ServiceID]],Services_cleaned[ServiceID],Services_cleaned[TransactionFeePct]) * 10000), "Yes", "No")</f>
        <v>No</v>
      </c>
      <c r="R2447" s="5" t="str">
        <f>IF(COUNTIFS($C$2:Transactions_RAW_cleaned[[#This Row],[CustomerID]],Transactions_RAW_cleaned[[#This Row],[CustomerID]],$D$2:Transactions_RAW_cleaned[[#This Row],[ServiceID]],Transactions_RAW_cleaned[[#This Row],[ServiceID]])=1,"Yes","No")</f>
        <v>No</v>
      </c>
      <c r="S244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47" t="str">
        <f>"Q"&amp;ROUNDUP(MONTH(Transactions_RAW_cleaned[[#This Row],[TransactionDate]])/3,0)</f>
        <v>Q2</v>
      </c>
      <c r="U2447" t="str">
        <f>Transactions_RAW_cleaned[[#This Row],[Region ]]&amp;Transactions_RAW_cleaned[[#This Row],[Quarter ]]</f>
        <v>EMEAQ2</v>
      </c>
      <c r="V2447" s="5">
        <f>_xlfn.XLOOKUP(Transactions_RAW_cleaned[[#This Row],[RegionQuarterKey]], Quarterly_Targets_cleaned[RegionQuarterKey], Quarterly_Targets_cleaned[TargetRevenue])</f>
        <v>140000</v>
      </c>
    </row>
    <row r="2448" spans="1:22" x14ac:dyDescent="0.25">
      <c r="A2448" t="s">
        <v>2785</v>
      </c>
      <c r="B2448" s="1">
        <v>45538</v>
      </c>
      <c r="C2448" t="s">
        <v>247</v>
      </c>
      <c r="D2448" t="s">
        <v>315</v>
      </c>
      <c r="E2448">
        <v>178.02</v>
      </c>
      <c r="F2448" t="s">
        <v>324</v>
      </c>
      <c r="G2448" t="s">
        <v>325</v>
      </c>
      <c r="H2448" t="s">
        <v>334</v>
      </c>
      <c r="I2448" t="s">
        <v>17</v>
      </c>
      <c r="J2448" t="s">
        <v>13</v>
      </c>
      <c r="K2448" t="s">
        <v>28</v>
      </c>
      <c r="L2448" t="s">
        <v>316</v>
      </c>
      <c r="M2448" t="s">
        <v>305</v>
      </c>
      <c r="N2448">
        <v>2.5000000000000001E-3</v>
      </c>
      <c r="O2448" t="str">
        <f>IF(Transactions_RAW_cleaned[[#This Row],[Status]]="Completed", IFERROR(_xlfn.XLOOKUP(Transactions_RAW_cleaned[[#This Row],[CustomerID]], Customers_cleaned[CustomerID], Customers_cleaned[Segment]), "Customer Not Found"), "N/A")</f>
        <v>Enterprise</v>
      </c>
      <c r="P2448" s="5" t="str">
        <f>IF(Transactions_RAW_cleaned[[#This Row],[Status]]="Refunded", "Refund",
  IF(Transactions_RAW_cleaned[[#This Row],[Category]]="Payments", IF(Transactions_RAW_cleaned[[#This Row],[Amount]]&gt;500,"High Value","Standard"),
    IF(Transactions_RAW_cleaned[[#This Row],[Amount]]&gt;250,"High Value","Standard")))</f>
        <v>Standard</v>
      </c>
      <c r="Q2448" s="5" t="str">
        <f>IF(Transactions_RAW_cleaned[[#This Row],[Amount]] &gt; (_xlfn.XLOOKUP(Transactions_RAW_cleaned[[#This Row],[ServiceID]],Services_cleaned[ServiceID],Services_cleaned[TransactionFeePct]) * 10000), "Yes", "No")</f>
        <v>Yes</v>
      </c>
      <c r="R2448" s="5" t="str">
        <f>IF(COUNTIFS($C$2:Transactions_RAW_cleaned[[#This Row],[CustomerID]],Transactions_RAW_cleaned[[#This Row],[CustomerID]],$D$2:Transactions_RAW_cleaned[[#This Row],[ServiceID]],Transactions_RAW_cleaned[[#This Row],[ServiceID]])=1,"Yes","No")</f>
        <v>No</v>
      </c>
      <c r="S244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48" t="str">
        <f>"Q"&amp;ROUNDUP(MONTH(Transactions_RAW_cleaned[[#This Row],[TransactionDate]])/3,0)</f>
        <v>Q3</v>
      </c>
      <c r="U2448" t="str">
        <f>Transactions_RAW_cleaned[[#This Row],[Region ]]&amp;Transactions_RAW_cleaned[[#This Row],[Quarter ]]</f>
        <v>NAQ3</v>
      </c>
      <c r="V2448" s="5">
        <f>_xlfn.XLOOKUP(Transactions_RAW_cleaned[[#This Row],[RegionQuarterKey]], Quarterly_Targets_cleaned[RegionQuarterKey], Quarterly_Targets_cleaned[TargetRevenue])</f>
        <v>273000</v>
      </c>
    </row>
    <row r="2449" spans="1:22" x14ac:dyDescent="0.25">
      <c r="A2449" t="s">
        <v>2786</v>
      </c>
      <c r="B2449" s="1">
        <v>45586</v>
      </c>
      <c r="C2449" t="s">
        <v>82</v>
      </c>
      <c r="D2449" t="s">
        <v>294</v>
      </c>
      <c r="E2449">
        <v>751.86</v>
      </c>
      <c r="F2449" t="s">
        <v>324</v>
      </c>
      <c r="G2449" t="s">
        <v>327</v>
      </c>
      <c r="I2449" t="s">
        <v>57</v>
      </c>
      <c r="J2449" t="s">
        <v>46</v>
      </c>
      <c r="K2449" t="s">
        <v>10</v>
      </c>
      <c r="L2449" t="s">
        <v>295</v>
      </c>
      <c r="M2449" t="s">
        <v>296</v>
      </c>
      <c r="N2449">
        <v>2.9000000000000001E-2</v>
      </c>
      <c r="O2449" t="str">
        <f>IF(Transactions_RAW_cleaned[[#This Row],[Status]]="Completed", IFERROR(_xlfn.XLOOKUP(Transactions_RAW_cleaned[[#This Row],[CustomerID]], Customers_cleaned[CustomerID], Customers_cleaned[Segment]), "Customer Not Found"), "N/A")</f>
        <v>Startup</v>
      </c>
      <c r="P2449" s="5" t="str">
        <f>IF(Transactions_RAW_cleaned[[#This Row],[Status]]="Refunded", "Refund",
  IF(Transactions_RAW_cleaned[[#This Row],[Category]]="Payments", IF(Transactions_RAW_cleaned[[#This Row],[Amount]]&gt;500,"High Value","Standard"),
    IF(Transactions_RAW_cleaned[[#This Row],[Amount]]&gt;250,"High Value","Standard")))</f>
        <v>High Value</v>
      </c>
      <c r="Q2449" s="5" t="str">
        <f>IF(Transactions_RAW_cleaned[[#This Row],[Amount]] &gt; (_xlfn.XLOOKUP(Transactions_RAW_cleaned[[#This Row],[ServiceID]],Services_cleaned[ServiceID],Services_cleaned[TransactionFeePct]) * 10000), "Yes", "No")</f>
        <v>Yes</v>
      </c>
      <c r="R2449" s="5" t="str">
        <f>IF(COUNTIFS($C$2:Transactions_RAW_cleaned[[#This Row],[CustomerID]],Transactions_RAW_cleaned[[#This Row],[CustomerID]],$D$2:Transactions_RAW_cleaned[[#This Row],[ServiceID]],Transactions_RAW_cleaned[[#This Row],[ServiceID]])=1,"Yes","No")</f>
        <v>No</v>
      </c>
      <c r="S244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49" t="str">
        <f>"Q"&amp;ROUNDUP(MONTH(Transactions_RAW_cleaned[[#This Row],[TransactionDate]])/3,0)</f>
        <v>Q4</v>
      </c>
      <c r="U2449" t="str">
        <f>Transactions_RAW_cleaned[[#This Row],[Region ]]&amp;Transactions_RAW_cleaned[[#This Row],[Quarter ]]</f>
        <v>APACQ4</v>
      </c>
      <c r="V2449" s="5">
        <f>_xlfn.XLOOKUP(Transactions_RAW_cleaned[[#This Row],[RegionQuarterKey]], Quarterly_Targets_cleaned[RegionQuarterKey], Quarterly_Targets_cleaned[TargetRevenue])</f>
        <v>126500</v>
      </c>
    </row>
    <row r="2450" spans="1:22" x14ac:dyDescent="0.25">
      <c r="A2450" t="s">
        <v>2787</v>
      </c>
      <c r="B2450" s="1">
        <v>45632</v>
      </c>
      <c r="C2450" t="s">
        <v>117</v>
      </c>
      <c r="D2450" t="s">
        <v>303</v>
      </c>
      <c r="E2450">
        <v>352.85</v>
      </c>
      <c r="F2450" t="s">
        <v>324</v>
      </c>
      <c r="G2450" t="s">
        <v>327</v>
      </c>
      <c r="I2450" t="s">
        <v>8</v>
      </c>
      <c r="J2450" t="s">
        <v>102</v>
      </c>
      <c r="K2450" t="s">
        <v>14</v>
      </c>
      <c r="L2450" t="s">
        <v>304</v>
      </c>
      <c r="M2450" t="s">
        <v>305</v>
      </c>
      <c r="N2450">
        <v>1E-3</v>
      </c>
      <c r="O2450" t="str">
        <f>IF(Transactions_RAW_cleaned[[#This Row],[Status]]="Completed", IFERROR(_xlfn.XLOOKUP(Transactions_RAW_cleaned[[#This Row],[CustomerID]], Customers_cleaned[CustomerID], Customers_cleaned[Segment]), "Customer Not Found"), "N/A")</f>
        <v>SMB</v>
      </c>
      <c r="P2450" s="5" t="str">
        <f>IF(Transactions_RAW_cleaned[[#This Row],[Status]]="Refunded", "Refund",
  IF(Transactions_RAW_cleaned[[#This Row],[Category]]="Payments", IF(Transactions_RAW_cleaned[[#This Row],[Amount]]&gt;500,"High Value","Standard"),
    IF(Transactions_RAW_cleaned[[#This Row],[Amount]]&gt;250,"High Value","Standard")))</f>
        <v>High Value</v>
      </c>
      <c r="Q2450" s="5" t="str">
        <f>IF(Transactions_RAW_cleaned[[#This Row],[Amount]] &gt; (_xlfn.XLOOKUP(Transactions_RAW_cleaned[[#This Row],[ServiceID]],Services_cleaned[ServiceID],Services_cleaned[TransactionFeePct]) * 10000), "Yes", "No")</f>
        <v>Yes</v>
      </c>
      <c r="R2450" s="5" t="str">
        <f>IF(COUNTIFS($C$2:Transactions_RAW_cleaned[[#This Row],[CustomerID]],Transactions_RAW_cleaned[[#This Row],[CustomerID]],$D$2:Transactions_RAW_cleaned[[#This Row],[ServiceID]],Transactions_RAW_cleaned[[#This Row],[ServiceID]])=1,"Yes","No")</f>
        <v>No</v>
      </c>
      <c r="S245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50" t="str">
        <f>"Q"&amp;ROUNDUP(MONTH(Transactions_RAW_cleaned[[#This Row],[TransactionDate]])/3,0)</f>
        <v>Q4</v>
      </c>
      <c r="U2450" t="str">
        <f>Transactions_RAW_cleaned[[#This Row],[Region ]]&amp;Transactions_RAW_cleaned[[#This Row],[Quarter ]]</f>
        <v>NAQ4</v>
      </c>
      <c r="V2450" s="5">
        <f>_xlfn.XLOOKUP(Transactions_RAW_cleaned[[#This Row],[RegionQuarterKey]], Quarterly_Targets_cleaned[RegionQuarterKey], Quarterly_Targets_cleaned[TargetRevenue])</f>
        <v>299000</v>
      </c>
    </row>
    <row r="2451" spans="1:22" x14ac:dyDescent="0.25">
      <c r="A2451" t="s">
        <v>2788</v>
      </c>
      <c r="B2451" s="1">
        <v>45617</v>
      </c>
      <c r="C2451" t="s">
        <v>23</v>
      </c>
      <c r="D2451" t="s">
        <v>309</v>
      </c>
      <c r="E2451">
        <v>-240.3</v>
      </c>
      <c r="F2451" t="s">
        <v>349</v>
      </c>
      <c r="G2451" t="s">
        <v>327</v>
      </c>
      <c r="I2451" t="s">
        <v>8</v>
      </c>
      <c r="J2451" t="s">
        <v>25</v>
      </c>
      <c r="K2451" t="s">
        <v>22</v>
      </c>
      <c r="L2451" t="s">
        <v>310</v>
      </c>
      <c r="M2451" t="s">
        <v>311</v>
      </c>
      <c r="N2451">
        <v>0</v>
      </c>
      <c r="O2451" t="str">
        <f>IF(Transactions_RAW_cleaned[[#This Row],[Status]]="Completed", IFERROR(_xlfn.XLOOKUP(Transactions_RAW_cleaned[[#This Row],[CustomerID]], Customers_cleaned[CustomerID], Customers_cleaned[Segment]), "Customer Not Found"), "N/A")</f>
        <v>N/A</v>
      </c>
      <c r="P2451" s="5" t="str">
        <f>IF(Transactions_RAW_cleaned[[#This Row],[Status]]="Refunded", "Refund",
  IF(Transactions_RAW_cleaned[[#This Row],[Category]]="Payments", IF(Transactions_RAW_cleaned[[#This Row],[Amount]]&gt;500,"High Value","Standard"),
    IF(Transactions_RAW_cleaned[[#This Row],[Amount]]&gt;250,"High Value","Standard")))</f>
        <v>Refund</v>
      </c>
      <c r="Q2451" s="5" t="str">
        <f>IF(Transactions_RAW_cleaned[[#This Row],[Amount]] &gt; (_xlfn.XLOOKUP(Transactions_RAW_cleaned[[#This Row],[ServiceID]],Services_cleaned[ServiceID],Services_cleaned[TransactionFeePct]) * 10000), "Yes", "No")</f>
        <v>No</v>
      </c>
      <c r="R2451" s="5" t="str">
        <f>IF(COUNTIFS($C$2:Transactions_RAW_cleaned[[#This Row],[CustomerID]],Transactions_RAW_cleaned[[#This Row],[CustomerID]],$D$2:Transactions_RAW_cleaned[[#This Row],[ServiceID]],Transactions_RAW_cleaned[[#This Row],[ServiceID]])=1,"Yes","No")</f>
        <v>Yes</v>
      </c>
      <c r="S245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51" t="str">
        <f>"Q"&amp;ROUNDUP(MONTH(Transactions_RAW_cleaned[[#This Row],[TransactionDate]])/3,0)</f>
        <v>Q4</v>
      </c>
      <c r="U2451" t="str">
        <f>Transactions_RAW_cleaned[[#This Row],[Region ]]&amp;Transactions_RAW_cleaned[[#This Row],[Quarter ]]</f>
        <v>APACQ4</v>
      </c>
      <c r="V2451" s="5">
        <f>_xlfn.XLOOKUP(Transactions_RAW_cleaned[[#This Row],[RegionQuarterKey]], Quarterly_Targets_cleaned[RegionQuarterKey], Quarterly_Targets_cleaned[TargetRevenue])</f>
        <v>126500</v>
      </c>
    </row>
    <row r="2452" spans="1:22" x14ac:dyDescent="0.25">
      <c r="A2452" t="s">
        <v>2789</v>
      </c>
      <c r="B2452" s="1">
        <v>45563</v>
      </c>
      <c r="C2452" t="s">
        <v>58</v>
      </c>
      <c r="D2452" t="s">
        <v>303</v>
      </c>
      <c r="E2452">
        <v>369.93</v>
      </c>
      <c r="F2452" t="s">
        <v>324</v>
      </c>
      <c r="G2452" t="s">
        <v>325</v>
      </c>
      <c r="I2452" t="s">
        <v>17</v>
      </c>
      <c r="J2452" t="s">
        <v>102</v>
      </c>
      <c r="K2452" t="s">
        <v>22</v>
      </c>
      <c r="L2452" t="s">
        <v>304</v>
      </c>
      <c r="M2452" t="s">
        <v>305</v>
      </c>
      <c r="N2452">
        <v>1E-3</v>
      </c>
      <c r="O2452" t="str">
        <f>IF(Transactions_RAW_cleaned[[#This Row],[Status]]="Completed", IFERROR(_xlfn.XLOOKUP(Transactions_RAW_cleaned[[#This Row],[CustomerID]], Customers_cleaned[CustomerID], Customers_cleaned[Segment]), "Customer Not Found"), "N/A")</f>
        <v>Enterprise</v>
      </c>
      <c r="P2452" s="5" t="str">
        <f>IF(Transactions_RAW_cleaned[[#This Row],[Status]]="Refunded", "Refund",
  IF(Transactions_RAW_cleaned[[#This Row],[Category]]="Payments", IF(Transactions_RAW_cleaned[[#This Row],[Amount]]&gt;500,"High Value","Standard"),
    IF(Transactions_RAW_cleaned[[#This Row],[Amount]]&gt;250,"High Value","Standard")))</f>
        <v>High Value</v>
      </c>
      <c r="Q2452" s="5" t="str">
        <f>IF(Transactions_RAW_cleaned[[#This Row],[Amount]] &gt; (_xlfn.XLOOKUP(Transactions_RAW_cleaned[[#This Row],[ServiceID]],Services_cleaned[ServiceID],Services_cleaned[TransactionFeePct]) * 10000), "Yes", "No")</f>
        <v>Yes</v>
      </c>
      <c r="R2452" s="5" t="str">
        <f>IF(COUNTIFS($C$2:Transactions_RAW_cleaned[[#This Row],[CustomerID]],Transactions_RAW_cleaned[[#This Row],[CustomerID]],$D$2:Transactions_RAW_cleaned[[#This Row],[ServiceID]],Transactions_RAW_cleaned[[#This Row],[ServiceID]])=1,"Yes","No")</f>
        <v>No</v>
      </c>
      <c r="S245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52" t="str">
        <f>"Q"&amp;ROUNDUP(MONTH(Transactions_RAW_cleaned[[#This Row],[TransactionDate]])/3,0)</f>
        <v>Q3</v>
      </c>
      <c r="U2452" t="str">
        <f>Transactions_RAW_cleaned[[#This Row],[Region ]]&amp;Transactions_RAW_cleaned[[#This Row],[Quarter ]]</f>
        <v>NAQ3</v>
      </c>
      <c r="V2452" s="5">
        <f>_xlfn.XLOOKUP(Transactions_RAW_cleaned[[#This Row],[RegionQuarterKey]], Quarterly_Targets_cleaned[RegionQuarterKey], Quarterly_Targets_cleaned[TargetRevenue])</f>
        <v>273000</v>
      </c>
    </row>
    <row r="2453" spans="1:22" x14ac:dyDescent="0.25">
      <c r="A2453" t="s">
        <v>2790</v>
      </c>
      <c r="B2453" s="1">
        <v>45515</v>
      </c>
      <c r="C2453" t="s">
        <v>109</v>
      </c>
      <c r="D2453" t="s">
        <v>309</v>
      </c>
      <c r="E2453">
        <v>562.73</v>
      </c>
      <c r="F2453" t="s">
        <v>324</v>
      </c>
      <c r="G2453" t="s">
        <v>2963</v>
      </c>
      <c r="H2453" t="s">
        <v>334</v>
      </c>
      <c r="I2453" t="s">
        <v>8</v>
      </c>
      <c r="J2453" t="s">
        <v>102</v>
      </c>
      <c r="K2453" t="s">
        <v>18</v>
      </c>
      <c r="L2453" t="s">
        <v>310</v>
      </c>
      <c r="M2453" t="s">
        <v>311</v>
      </c>
      <c r="N2453">
        <v>0</v>
      </c>
      <c r="O2453" t="str">
        <f>IF(Transactions_RAW_cleaned[[#This Row],[Status]]="Completed", IFERROR(_xlfn.XLOOKUP(Transactions_RAW_cleaned[[#This Row],[CustomerID]], Customers_cleaned[CustomerID], Customers_cleaned[Segment]), "Customer Not Found"), "N/A")</f>
        <v>SMB</v>
      </c>
      <c r="P2453" s="5" t="str">
        <f>IF(Transactions_RAW_cleaned[[#This Row],[Status]]="Refunded", "Refund",
  IF(Transactions_RAW_cleaned[[#This Row],[Category]]="Payments", IF(Transactions_RAW_cleaned[[#This Row],[Amount]]&gt;500,"High Value","Standard"),
    IF(Transactions_RAW_cleaned[[#This Row],[Amount]]&gt;250,"High Value","Standard")))</f>
        <v>High Value</v>
      </c>
      <c r="Q2453" s="5" t="str">
        <f>IF(Transactions_RAW_cleaned[[#This Row],[Amount]] &gt; (_xlfn.XLOOKUP(Transactions_RAW_cleaned[[#This Row],[ServiceID]],Services_cleaned[ServiceID],Services_cleaned[TransactionFeePct]) * 10000), "Yes", "No")</f>
        <v>Yes</v>
      </c>
      <c r="R2453" s="5" t="str">
        <f>IF(COUNTIFS($C$2:Transactions_RAW_cleaned[[#This Row],[CustomerID]],Transactions_RAW_cleaned[[#This Row],[CustomerID]],$D$2:Transactions_RAW_cleaned[[#This Row],[ServiceID]],Transactions_RAW_cleaned[[#This Row],[ServiceID]])=1,"Yes","No")</f>
        <v>No</v>
      </c>
      <c r="S245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53" t="str">
        <f>"Q"&amp;ROUNDUP(MONTH(Transactions_RAW_cleaned[[#This Row],[TransactionDate]])/3,0)</f>
        <v>Q3</v>
      </c>
      <c r="U2453" t="str">
        <f>Transactions_RAW_cleaned[[#This Row],[Region ]]&amp;Transactions_RAW_cleaned[[#This Row],[Quarter ]]</f>
        <v>NAQ3</v>
      </c>
      <c r="V2453" s="5">
        <f>_xlfn.XLOOKUP(Transactions_RAW_cleaned[[#This Row],[RegionQuarterKey]], Quarterly_Targets_cleaned[RegionQuarterKey], Quarterly_Targets_cleaned[TargetRevenue])</f>
        <v>273000</v>
      </c>
    </row>
    <row r="2454" spans="1:22" x14ac:dyDescent="0.25">
      <c r="A2454" t="s">
        <v>2791</v>
      </c>
      <c r="B2454" s="1">
        <v>45472</v>
      </c>
      <c r="C2454" t="s">
        <v>29</v>
      </c>
      <c r="D2454" t="s">
        <v>306</v>
      </c>
      <c r="E2454">
        <v>17.989999999999998</v>
      </c>
      <c r="F2454" t="s">
        <v>324</v>
      </c>
      <c r="G2454" t="s">
        <v>337</v>
      </c>
      <c r="H2454" t="s">
        <v>332</v>
      </c>
      <c r="I2454" t="s">
        <v>8</v>
      </c>
      <c r="J2454" t="s">
        <v>31</v>
      </c>
      <c r="K2454" t="s">
        <v>32</v>
      </c>
      <c r="L2454" t="s">
        <v>307</v>
      </c>
      <c r="M2454" t="s">
        <v>308</v>
      </c>
      <c r="N2454">
        <v>0</v>
      </c>
      <c r="O2454" t="str">
        <f>IF(Transactions_RAW_cleaned[[#This Row],[Status]]="Completed", IFERROR(_xlfn.XLOOKUP(Transactions_RAW_cleaned[[#This Row],[CustomerID]], Customers_cleaned[CustomerID], Customers_cleaned[Segment]), "Customer Not Found"), "N/A")</f>
        <v>SMB</v>
      </c>
      <c r="P2454" s="5" t="str">
        <f>IF(Transactions_RAW_cleaned[[#This Row],[Status]]="Refunded", "Refund",
  IF(Transactions_RAW_cleaned[[#This Row],[Category]]="Payments", IF(Transactions_RAW_cleaned[[#This Row],[Amount]]&gt;500,"High Value","Standard"),
    IF(Transactions_RAW_cleaned[[#This Row],[Amount]]&gt;250,"High Value","Standard")))</f>
        <v>Standard</v>
      </c>
      <c r="Q2454" s="5" t="str">
        <f>IF(Transactions_RAW_cleaned[[#This Row],[Amount]] &gt; (_xlfn.XLOOKUP(Transactions_RAW_cleaned[[#This Row],[ServiceID]],Services_cleaned[ServiceID],Services_cleaned[TransactionFeePct]) * 10000), "Yes", "No")</f>
        <v>Yes</v>
      </c>
      <c r="R2454" s="5" t="str">
        <f>IF(COUNTIFS($C$2:Transactions_RAW_cleaned[[#This Row],[CustomerID]],Transactions_RAW_cleaned[[#This Row],[CustomerID]],$D$2:Transactions_RAW_cleaned[[#This Row],[ServiceID]],Transactions_RAW_cleaned[[#This Row],[ServiceID]])=1,"Yes","No")</f>
        <v>No</v>
      </c>
      <c r="S245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54" t="str">
        <f>"Q"&amp;ROUNDUP(MONTH(Transactions_RAW_cleaned[[#This Row],[TransactionDate]])/3,0)</f>
        <v>Q2</v>
      </c>
      <c r="U2454" t="str">
        <f>Transactions_RAW_cleaned[[#This Row],[Region ]]&amp;Transactions_RAW_cleaned[[#This Row],[Quarter ]]</f>
        <v>EMEAQ2</v>
      </c>
      <c r="V2454" s="5">
        <f>_xlfn.XLOOKUP(Transactions_RAW_cleaned[[#This Row],[RegionQuarterKey]], Quarterly_Targets_cleaned[RegionQuarterKey], Quarterly_Targets_cleaned[TargetRevenue])</f>
        <v>140000</v>
      </c>
    </row>
    <row r="2455" spans="1:22" x14ac:dyDescent="0.25">
      <c r="A2455" t="s">
        <v>2792</v>
      </c>
      <c r="B2455" s="1">
        <v>45389</v>
      </c>
      <c r="C2455" t="s">
        <v>145</v>
      </c>
      <c r="D2455" t="s">
        <v>306</v>
      </c>
      <c r="E2455">
        <v>376.1</v>
      </c>
      <c r="F2455" t="s">
        <v>381</v>
      </c>
      <c r="G2455" t="s">
        <v>327</v>
      </c>
      <c r="H2455" t="s">
        <v>346</v>
      </c>
      <c r="I2455" t="s">
        <v>8</v>
      </c>
      <c r="J2455" t="s">
        <v>13</v>
      </c>
      <c r="K2455" t="s">
        <v>32</v>
      </c>
      <c r="L2455" t="s">
        <v>307</v>
      </c>
      <c r="M2455" t="s">
        <v>308</v>
      </c>
      <c r="N2455">
        <v>0</v>
      </c>
      <c r="O2455" t="str">
        <f>IF(Transactions_RAW_cleaned[[#This Row],[Status]]="Completed", IFERROR(_xlfn.XLOOKUP(Transactions_RAW_cleaned[[#This Row],[CustomerID]], Customers_cleaned[CustomerID], Customers_cleaned[Segment]), "Customer Not Found"), "N/A")</f>
        <v>N/A</v>
      </c>
      <c r="P2455" s="5" t="str">
        <f>IF(Transactions_RAW_cleaned[[#This Row],[Status]]="Refunded", "Refund",
  IF(Transactions_RAW_cleaned[[#This Row],[Category]]="Payments", IF(Transactions_RAW_cleaned[[#This Row],[Amount]]&gt;500,"High Value","Standard"),
    IF(Transactions_RAW_cleaned[[#This Row],[Amount]]&gt;250,"High Value","Standard")))</f>
        <v>High Value</v>
      </c>
      <c r="Q2455" s="5" t="str">
        <f>IF(Transactions_RAW_cleaned[[#This Row],[Amount]] &gt; (_xlfn.XLOOKUP(Transactions_RAW_cleaned[[#This Row],[ServiceID]],Services_cleaned[ServiceID],Services_cleaned[TransactionFeePct]) * 10000), "Yes", "No")</f>
        <v>Yes</v>
      </c>
      <c r="R2455" s="5" t="str">
        <f>IF(COUNTIFS($C$2:Transactions_RAW_cleaned[[#This Row],[CustomerID]],Transactions_RAW_cleaned[[#This Row],[CustomerID]],$D$2:Transactions_RAW_cleaned[[#This Row],[ServiceID]],Transactions_RAW_cleaned[[#This Row],[ServiceID]])=1,"Yes","No")</f>
        <v>No</v>
      </c>
      <c r="S245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55" t="str">
        <f>"Q"&amp;ROUNDUP(MONTH(Transactions_RAW_cleaned[[#This Row],[TransactionDate]])/3,0)</f>
        <v>Q2</v>
      </c>
      <c r="U2455" t="str">
        <f>Transactions_RAW_cleaned[[#This Row],[Region ]]&amp;Transactions_RAW_cleaned[[#This Row],[Quarter ]]</f>
        <v>NAQ2</v>
      </c>
      <c r="V2455" s="5">
        <f>_xlfn.XLOOKUP(Transactions_RAW_cleaned[[#This Row],[RegionQuarterKey]], Quarterly_Targets_cleaned[RegionQuarterKey], Quarterly_Targets_cleaned[TargetRevenue])</f>
        <v>260000</v>
      </c>
    </row>
    <row r="2456" spans="1:22" x14ac:dyDescent="0.25">
      <c r="A2456" t="s">
        <v>2793</v>
      </c>
      <c r="B2456" s="1">
        <v>45321</v>
      </c>
      <c r="C2456" t="s">
        <v>183</v>
      </c>
      <c r="D2456" t="s">
        <v>297</v>
      </c>
      <c r="E2456">
        <v>104.87</v>
      </c>
      <c r="F2456" t="s">
        <v>324</v>
      </c>
      <c r="G2456" t="s">
        <v>337</v>
      </c>
      <c r="H2456" t="s">
        <v>346</v>
      </c>
      <c r="I2456" t="s">
        <v>8</v>
      </c>
      <c r="J2456" t="s">
        <v>13</v>
      </c>
      <c r="K2456" t="s">
        <v>10</v>
      </c>
      <c r="L2456" t="s">
        <v>298</v>
      </c>
      <c r="M2456" t="s">
        <v>299</v>
      </c>
      <c r="N2456">
        <v>0</v>
      </c>
      <c r="O2456" t="str">
        <f>IF(Transactions_RAW_cleaned[[#This Row],[Status]]="Completed", IFERROR(_xlfn.XLOOKUP(Transactions_RAW_cleaned[[#This Row],[CustomerID]], Customers_cleaned[CustomerID], Customers_cleaned[Segment]), "Customer Not Found"), "N/A")</f>
        <v>SMB</v>
      </c>
      <c r="P2456" s="5" t="str">
        <f>IF(Transactions_RAW_cleaned[[#This Row],[Status]]="Refunded", "Refund",
  IF(Transactions_RAW_cleaned[[#This Row],[Category]]="Payments", IF(Transactions_RAW_cleaned[[#This Row],[Amount]]&gt;500,"High Value","Standard"),
    IF(Transactions_RAW_cleaned[[#This Row],[Amount]]&gt;250,"High Value","Standard")))</f>
        <v>Standard</v>
      </c>
      <c r="Q2456" s="5" t="str">
        <f>IF(Transactions_RAW_cleaned[[#This Row],[Amount]] &gt; (_xlfn.XLOOKUP(Transactions_RAW_cleaned[[#This Row],[ServiceID]],Services_cleaned[ServiceID],Services_cleaned[TransactionFeePct]) * 10000), "Yes", "No")</f>
        <v>Yes</v>
      </c>
      <c r="R2456" s="5" t="str">
        <f>IF(COUNTIFS($C$2:Transactions_RAW_cleaned[[#This Row],[CustomerID]],Transactions_RAW_cleaned[[#This Row],[CustomerID]],$D$2:Transactions_RAW_cleaned[[#This Row],[ServiceID]],Transactions_RAW_cleaned[[#This Row],[ServiceID]])=1,"Yes","No")</f>
        <v>No</v>
      </c>
      <c r="S245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56" t="str">
        <f>"Q"&amp;ROUNDUP(MONTH(Transactions_RAW_cleaned[[#This Row],[TransactionDate]])/3,0)</f>
        <v>Q1</v>
      </c>
      <c r="U2456" t="str">
        <f>Transactions_RAW_cleaned[[#This Row],[Region ]]&amp;Transactions_RAW_cleaned[[#This Row],[Quarter ]]</f>
        <v>NAQ1</v>
      </c>
      <c r="V2456" s="5">
        <f>_xlfn.XLOOKUP(Transactions_RAW_cleaned[[#This Row],[RegionQuarterKey]], Quarterly_Targets_cleaned[RegionQuarterKey], Quarterly_Targets_cleaned[TargetRevenue])</f>
        <v>247000</v>
      </c>
    </row>
    <row r="2457" spans="1:22" x14ac:dyDescent="0.25">
      <c r="A2457" t="s">
        <v>2794</v>
      </c>
      <c r="B2457" s="1">
        <v>45451</v>
      </c>
      <c r="C2457" t="s">
        <v>271</v>
      </c>
      <c r="D2457" t="s">
        <v>294</v>
      </c>
      <c r="E2457">
        <v>209.1</v>
      </c>
      <c r="F2457" t="s">
        <v>324</v>
      </c>
      <c r="G2457" t="s">
        <v>325</v>
      </c>
      <c r="H2457" t="s">
        <v>334</v>
      </c>
      <c r="I2457" t="s">
        <v>8</v>
      </c>
      <c r="J2457" t="s">
        <v>102</v>
      </c>
      <c r="K2457" t="s">
        <v>28</v>
      </c>
      <c r="L2457" t="s">
        <v>295</v>
      </c>
      <c r="M2457" t="s">
        <v>296</v>
      </c>
      <c r="N2457">
        <v>2.9000000000000001E-2</v>
      </c>
      <c r="O2457" t="str">
        <f>IF(Transactions_RAW_cleaned[[#This Row],[Status]]="Completed", IFERROR(_xlfn.XLOOKUP(Transactions_RAW_cleaned[[#This Row],[CustomerID]], Customers_cleaned[CustomerID], Customers_cleaned[Segment]), "Customer Not Found"), "N/A")</f>
        <v>SMB</v>
      </c>
      <c r="P2457" s="5" t="str">
        <f>IF(Transactions_RAW_cleaned[[#This Row],[Status]]="Refunded", "Refund",
  IF(Transactions_RAW_cleaned[[#This Row],[Category]]="Payments", IF(Transactions_RAW_cleaned[[#This Row],[Amount]]&gt;500,"High Value","Standard"),
    IF(Transactions_RAW_cleaned[[#This Row],[Amount]]&gt;250,"High Value","Standard")))</f>
        <v>Standard</v>
      </c>
      <c r="Q2457" s="5" t="str">
        <f>IF(Transactions_RAW_cleaned[[#This Row],[Amount]] &gt; (_xlfn.XLOOKUP(Transactions_RAW_cleaned[[#This Row],[ServiceID]],Services_cleaned[ServiceID],Services_cleaned[TransactionFeePct]) * 10000), "Yes", "No")</f>
        <v>No</v>
      </c>
      <c r="R2457" s="5" t="str">
        <f>IF(COUNTIFS($C$2:Transactions_RAW_cleaned[[#This Row],[CustomerID]],Transactions_RAW_cleaned[[#This Row],[CustomerID]],$D$2:Transactions_RAW_cleaned[[#This Row],[ServiceID]],Transactions_RAW_cleaned[[#This Row],[ServiceID]])=1,"Yes","No")</f>
        <v>No</v>
      </c>
      <c r="S245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57" t="str">
        <f>"Q"&amp;ROUNDUP(MONTH(Transactions_RAW_cleaned[[#This Row],[TransactionDate]])/3,0)</f>
        <v>Q2</v>
      </c>
      <c r="U2457" t="str">
        <f>Transactions_RAW_cleaned[[#This Row],[Region ]]&amp;Transactions_RAW_cleaned[[#This Row],[Quarter ]]</f>
        <v>NAQ2</v>
      </c>
      <c r="V2457" s="5">
        <f>_xlfn.XLOOKUP(Transactions_RAW_cleaned[[#This Row],[RegionQuarterKey]], Quarterly_Targets_cleaned[RegionQuarterKey], Quarterly_Targets_cleaned[TargetRevenue])</f>
        <v>260000</v>
      </c>
    </row>
    <row r="2458" spans="1:22" x14ac:dyDescent="0.25">
      <c r="A2458" t="s">
        <v>2795</v>
      </c>
      <c r="B2458" s="1">
        <v>45558</v>
      </c>
      <c r="C2458" t="s">
        <v>257</v>
      </c>
      <c r="D2458" t="s">
        <v>315</v>
      </c>
      <c r="E2458">
        <v>503.92</v>
      </c>
      <c r="F2458" t="s">
        <v>324</v>
      </c>
      <c r="G2458" t="s">
        <v>329</v>
      </c>
      <c r="H2458" t="s">
        <v>334</v>
      </c>
      <c r="I2458" t="s">
        <v>57</v>
      </c>
      <c r="J2458" t="s">
        <v>13</v>
      </c>
      <c r="K2458" t="s">
        <v>22</v>
      </c>
      <c r="L2458" t="s">
        <v>316</v>
      </c>
      <c r="M2458" t="s">
        <v>305</v>
      </c>
      <c r="N2458">
        <v>2.5000000000000001E-3</v>
      </c>
      <c r="O2458" t="str">
        <f>IF(Transactions_RAW_cleaned[[#This Row],[Status]]="Completed", IFERROR(_xlfn.XLOOKUP(Transactions_RAW_cleaned[[#This Row],[CustomerID]], Customers_cleaned[CustomerID], Customers_cleaned[Segment]), "Customer Not Found"), "N/A")</f>
        <v>Startup</v>
      </c>
      <c r="P2458" s="5" t="str">
        <f>IF(Transactions_RAW_cleaned[[#This Row],[Status]]="Refunded", "Refund",
  IF(Transactions_RAW_cleaned[[#This Row],[Category]]="Payments", IF(Transactions_RAW_cleaned[[#This Row],[Amount]]&gt;500,"High Value","Standard"),
    IF(Transactions_RAW_cleaned[[#This Row],[Amount]]&gt;250,"High Value","Standard")))</f>
        <v>High Value</v>
      </c>
      <c r="Q2458" s="5" t="str">
        <f>IF(Transactions_RAW_cleaned[[#This Row],[Amount]] &gt; (_xlfn.XLOOKUP(Transactions_RAW_cleaned[[#This Row],[ServiceID]],Services_cleaned[ServiceID],Services_cleaned[TransactionFeePct]) * 10000), "Yes", "No")</f>
        <v>Yes</v>
      </c>
      <c r="R2458" s="5" t="str">
        <f>IF(COUNTIFS($C$2:Transactions_RAW_cleaned[[#This Row],[CustomerID]],Transactions_RAW_cleaned[[#This Row],[CustomerID]],$D$2:Transactions_RAW_cleaned[[#This Row],[ServiceID]],Transactions_RAW_cleaned[[#This Row],[ServiceID]])=1,"Yes","No")</f>
        <v>No</v>
      </c>
      <c r="S245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58" t="str">
        <f>"Q"&amp;ROUNDUP(MONTH(Transactions_RAW_cleaned[[#This Row],[TransactionDate]])/3,0)</f>
        <v>Q3</v>
      </c>
      <c r="U2458" t="str">
        <f>Transactions_RAW_cleaned[[#This Row],[Region ]]&amp;Transactions_RAW_cleaned[[#This Row],[Quarter ]]</f>
        <v>NAQ3</v>
      </c>
      <c r="V2458" s="5">
        <f>_xlfn.XLOOKUP(Transactions_RAW_cleaned[[#This Row],[RegionQuarterKey]], Quarterly_Targets_cleaned[RegionQuarterKey], Quarterly_Targets_cleaned[TargetRevenue])</f>
        <v>273000</v>
      </c>
    </row>
    <row r="2459" spans="1:22" x14ac:dyDescent="0.25">
      <c r="A2459" t="s">
        <v>2796</v>
      </c>
      <c r="B2459" s="1">
        <v>45303</v>
      </c>
      <c r="C2459" t="s">
        <v>115</v>
      </c>
      <c r="D2459" t="s">
        <v>294</v>
      </c>
      <c r="E2459">
        <v>307.52</v>
      </c>
      <c r="F2459" t="s">
        <v>324</v>
      </c>
      <c r="G2459" t="s">
        <v>327</v>
      </c>
      <c r="I2459" t="s">
        <v>17</v>
      </c>
      <c r="J2459" t="s">
        <v>102</v>
      </c>
      <c r="K2459" t="s">
        <v>32</v>
      </c>
      <c r="L2459" t="s">
        <v>295</v>
      </c>
      <c r="M2459" t="s">
        <v>296</v>
      </c>
      <c r="N2459">
        <v>2.9000000000000001E-2</v>
      </c>
      <c r="O2459" t="str">
        <f>IF(Transactions_RAW_cleaned[[#This Row],[Status]]="Completed", IFERROR(_xlfn.XLOOKUP(Transactions_RAW_cleaned[[#This Row],[CustomerID]], Customers_cleaned[CustomerID], Customers_cleaned[Segment]), "Customer Not Found"), "N/A")</f>
        <v>Enterprise</v>
      </c>
      <c r="P2459" s="5" t="str">
        <f>IF(Transactions_RAW_cleaned[[#This Row],[Status]]="Refunded", "Refund",
  IF(Transactions_RAW_cleaned[[#This Row],[Category]]="Payments", IF(Transactions_RAW_cleaned[[#This Row],[Amount]]&gt;500,"High Value","Standard"),
    IF(Transactions_RAW_cleaned[[#This Row],[Amount]]&gt;250,"High Value","Standard")))</f>
        <v>Standard</v>
      </c>
      <c r="Q2459" s="5" t="str">
        <f>IF(Transactions_RAW_cleaned[[#This Row],[Amount]] &gt; (_xlfn.XLOOKUP(Transactions_RAW_cleaned[[#This Row],[ServiceID]],Services_cleaned[ServiceID],Services_cleaned[TransactionFeePct]) * 10000), "Yes", "No")</f>
        <v>Yes</v>
      </c>
      <c r="R2459" s="5" t="str">
        <f>IF(COUNTIFS($C$2:Transactions_RAW_cleaned[[#This Row],[CustomerID]],Transactions_RAW_cleaned[[#This Row],[CustomerID]],$D$2:Transactions_RAW_cleaned[[#This Row],[ServiceID]],Transactions_RAW_cleaned[[#This Row],[ServiceID]])=1,"Yes","No")</f>
        <v>No</v>
      </c>
      <c r="S245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59" t="str">
        <f>"Q"&amp;ROUNDUP(MONTH(Transactions_RAW_cleaned[[#This Row],[TransactionDate]])/3,0)</f>
        <v>Q1</v>
      </c>
      <c r="U2459" t="str">
        <f>Transactions_RAW_cleaned[[#This Row],[Region ]]&amp;Transactions_RAW_cleaned[[#This Row],[Quarter ]]</f>
        <v>NAQ1</v>
      </c>
      <c r="V2459" s="5">
        <f>_xlfn.XLOOKUP(Transactions_RAW_cleaned[[#This Row],[RegionQuarterKey]], Quarterly_Targets_cleaned[RegionQuarterKey], Quarterly_Targets_cleaned[TargetRevenue])</f>
        <v>247000</v>
      </c>
    </row>
    <row r="2460" spans="1:22" x14ac:dyDescent="0.25">
      <c r="A2460" t="s">
        <v>2797</v>
      </c>
      <c r="B2460" s="1">
        <v>45474</v>
      </c>
      <c r="C2460" t="s">
        <v>201</v>
      </c>
      <c r="D2460" t="s">
        <v>312</v>
      </c>
      <c r="E2460">
        <v>392.75</v>
      </c>
      <c r="F2460" t="s">
        <v>324</v>
      </c>
      <c r="G2460" t="s">
        <v>337</v>
      </c>
      <c r="H2460" t="s">
        <v>332</v>
      </c>
      <c r="I2460" t="s">
        <v>57</v>
      </c>
      <c r="J2460" t="s">
        <v>37</v>
      </c>
      <c r="K2460" t="s">
        <v>32</v>
      </c>
      <c r="L2460" t="s">
        <v>313</v>
      </c>
      <c r="M2460" t="s">
        <v>314</v>
      </c>
      <c r="N2460">
        <v>0</v>
      </c>
      <c r="O2460" t="str">
        <f>IF(Transactions_RAW_cleaned[[#This Row],[Status]]="Completed", IFERROR(_xlfn.XLOOKUP(Transactions_RAW_cleaned[[#This Row],[CustomerID]], Customers_cleaned[CustomerID], Customers_cleaned[Segment]), "Customer Not Found"), "N/A")</f>
        <v>Startup</v>
      </c>
      <c r="P2460" s="5" t="str">
        <f>IF(Transactions_RAW_cleaned[[#This Row],[Status]]="Refunded", "Refund",
  IF(Transactions_RAW_cleaned[[#This Row],[Category]]="Payments", IF(Transactions_RAW_cleaned[[#This Row],[Amount]]&gt;500,"High Value","Standard"),
    IF(Transactions_RAW_cleaned[[#This Row],[Amount]]&gt;250,"High Value","Standard")))</f>
        <v>High Value</v>
      </c>
      <c r="Q2460" s="5" t="str">
        <f>IF(Transactions_RAW_cleaned[[#This Row],[Amount]] &gt; (_xlfn.XLOOKUP(Transactions_RAW_cleaned[[#This Row],[ServiceID]],Services_cleaned[ServiceID],Services_cleaned[TransactionFeePct]) * 10000), "Yes", "No")</f>
        <v>Yes</v>
      </c>
      <c r="R2460" s="5" t="str">
        <f>IF(COUNTIFS($C$2:Transactions_RAW_cleaned[[#This Row],[CustomerID]],Transactions_RAW_cleaned[[#This Row],[CustomerID]],$D$2:Transactions_RAW_cleaned[[#This Row],[ServiceID]],Transactions_RAW_cleaned[[#This Row],[ServiceID]])=1,"Yes","No")</f>
        <v>No</v>
      </c>
      <c r="S246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60" t="str">
        <f>"Q"&amp;ROUNDUP(MONTH(Transactions_RAW_cleaned[[#This Row],[TransactionDate]])/3,0)</f>
        <v>Q3</v>
      </c>
      <c r="U2460" t="str">
        <f>Transactions_RAW_cleaned[[#This Row],[Region ]]&amp;Transactions_RAW_cleaned[[#This Row],[Quarter ]]</f>
        <v>EMEAQ3</v>
      </c>
      <c r="V2460" s="5">
        <f>_xlfn.XLOOKUP(Transactions_RAW_cleaned[[#This Row],[RegionQuarterKey]], Quarterly_Targets_cleaned[RegionQuarterKey], Quarterly_Targets_cleaned[TargetRevenue])</f>
        <v>147000</v>
      </c>
    </row>
    <row r="2461" spans="1:22" x14ac:dyDescent="0.25">
      <c r="A2461" t="s">
        <v>2798</v>
      </c>
      <c r="B2461" s="1">
        <v>45532</v>
      </c>
      <c r="C2461" t="s">
        <v>219</v>
      </c>
      <c r="D2461" t="s">
        <v>294</v>
      </c>
      <c r="E2461">
        <v>655.29999999999995</v>
      </c>
      <c r="F2461" t="s">
        <v>324</v>
      </c>
      <c r="G2461" t="s">
        <v>325</v>
      </c>
      <c r="H2461" t="s">
        <v>346</v>
      </c>
      <c r="I2461" t="s">
        <v>17</v>
      </c>
      <c r="J2461" t="s">
        <v>31</v>
      </c>
      <c r="K2461" t="s">
        <v>32</v>
      </c>
      <c r="L2461" t="s">
        <v>295</v>
      </c>
      <c r="M2461" t="s">
        <v>296</v>
      </c>
      <c r="N2461">
        <v>2.9000000000000001E-2</v>
      </c>
      <c r="O2461" t="str">
        <f>IF(Transactions_RAW_cleaned[[#This Row],[Status]]="Completed", IFERROR(_xlfn.XLOOKUP(Transactions_RAW_cleaned[[#This Row],[CustomerID]], Customers_cleaned[CustomerID], Customers_cleaned[Segment]), "Customer Not Found"), "N/A")</f>
        <v>Enterprise</v>
      </c>
      <c r="P2461" s="5" t="str">
        <f>IF(Transactions_RAW_cleaned[[#This Row],[Status]]="Refunded", "Refund",
  IF(Transactions_RAW_cleaned[[#This Row],[Category]]="Payments", IF(Transactions_RAW_cleaned[[#This Row],[Amount]]&gt;500,"High Value","Standard"),
    IF(Transactions_RAW_cleaned[[#This Row],[Amount]]&gt;250,"High Value","Standard")))</f>
        <v>High Value</v>
      </c>
      <c r="Q2461" s="5" t="str">
        <f>IF(Transactions_RAW_cleaned[[#This Row],[Amount]] &gt; (_xlfn.XLOOKUP(Transactions_RAW_cleaned[[#This Row],[ServiceID]],Services_cleaned[ServiceID],Services_cleaned[TransactionFeePct]) * 10000), "Yes", "No")</f>
        <v>Yes</v>
      </c>
      <c r="R2461" s="5" t="str">
        <f>IF(COUNTIFS($C$2:Transactions_RAW_cleaned[[#This Row],[CustomerID]],Transactions_RAW_cleaned[[#This Row],[CustomerID]],$D$2:Transactions_RAW_cleaned[[#This Row],[ServiceID]],Transactions_RAW_cleaned[[#This Row],[ServiceID]])=1,"Yes","No")</f>
        <v>No</v>
      </c>
      <c r="S246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61" t="str">
        <f>"Q"&amp;ROUNDUP(MONTH(Transactions_RAW_cleaned[[#This Row],[TransactionDate]])/3,0)</f>
        <v>Q3</v>
      </c>
      <c r="U2461" t="str">
        <f>Transactions_RAW_cleaned[[#This Row],[Region ]]&amp;Transactions_RAW_cleaned[[#This Row],[Quarter ]]</f>
        <v>EMEAQ3</v>
      </c>
      <c r="V2461" s="5">
        <f>_xlfn.XLOOKUP(Transactions_RAW_cleaned[[#This Row],[RegionQuarterKey]], Quarterly_Targets_cleaned[RegionQuarterKey], Quarterly_Targets_cleaned[TargetRevenue])</f>
        <v>147000</v>
      </c>
    </row>
    <row r="2462" spans="1:22" x14ac:dyDescent="0.25">
      <c r="A2462" t="s">
        <v>2799</v>
      </c>
      <c r="B2462" s="1">
        <v>45572</v>
      </c>
      <c r="C2462" t="s">
        <v>171</v>
      </c>
      <c r="D2462" t="s">
        <v>294</v>
      </c>
      <c r="E2462">
        <v>669.33</v>
      </c>
      <c r="F2462" t="s">
        <v>324</v>
      </c>
      <c r="G2462" t="s">
        <v>337</v>
      </c>
      <c r="I2462" t="s">
        <v>17</v>
      </c>
      <c r="J2462" t="s">
        <v>31</v>
      </c>
      <c r="K2462" t="s">
        <v>32</v>
      </c>
      <c r="L2462" t="s">
        <v>295</v>
      </c>
      <c r="M2462" t="s">
        <v>296</v>
      </c>
      <c r="N2462">
        <v>2.9000000000000001E-2</v>
      </c>
      <c r="O2462" t="str">
        <f>IF(Transactions_RAW_cleaned[[#This Row],[Status]]="Completed", IFERROR(_xlfn.XLOOKUP(Transactions_RAW_cleaned[[#This Row],[CustomerID]], Customers_cleaned[CustomerID], Customers_cleaned[Segment]), "Customer Not Found"), "N/A")</f>
        <v>Enterprise</v>
      </c>
      <c r="P2462" s="5" t="str">
        <f>IF(Transactions_RAW_cleaned[[#This Row],[Status]]="Refunded", "Refund",
  IF(Transactions_RAW_cleaned[[#This Row],[Category]]="Payments", IF(Transactions_RAW_cleaned[[#This Row],[Amount]]&gt;500,"High Value","Standard"),
    IF(Transactions_RAW_cleaned[[#This Row],[Amount]]&gt;250,"High Value","Standard")))</f>
        <v>High Value</v>
      </c>
      <c r="Q2462" s="5" t="str">
        <f>IF(Transactions_RAW_cleaned[[#This Row],[Amount]] &gt; (_xlfn.XLOOKUP(Transactions_RAW_cleaned[[#This Row],[ServiceID]],Services_cleaned[ServiceID],Services_cleaned[TransactionFeePct]) * 10000), "Yes", "No")</f>
        <v>Yes</v>
      </c>
      <c r="R2462" s="5" t="str">
        <f>IF(COUNTIFS($C$2:Transactions_RAW_cleaned[[#This Row],[CustomerID]],Transactions_RAW_cleaned[[#This Row],[CustomerID]],$D$2:Transactions_RAW_cleaned[[#This Row],[ServiceID]],Transactions_RAW_cleaned[[#This Row],[ServiceID]])=1,"Yes","No")</f>
        <v>No</v>
      </c>
      <c r="S246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62" t="str">
        <f>"Q"&amp;ROUNDUP(MONTH(Transactions_RAW_cleaned[[#This Row],[TransactionDate]])/3,0)</f>
        <v>Q4</v>
      </c>
      <c r="U2462" t="str">
        <f>Transactions_RAW_cleaned[[#This Row],[Region ]]&amp;Transactions_RAW_cleaned[[#This Row],[Quarter ]]</f>
        <v>EMEAQ4</v>
      </c>
      <c r="V2462" s="5">
        <f>_xlfn.XLOOKUP(Transactions_RAW_cleaned[[#This Row],[RegionQuarterKey]], Quarterly_Targets_cleaned[RegionQuarterKey], Quarterly_Targets_cleaned[TargetRevenue])</f>
        <v>161000</v>
      </c>
    </row>
    <row r="2463" spans="1:22" x14ac:dyDescent="0.25">
      <c r="A2463" t="s">
        <v>2800</v>
      </c>
      <c r="B2463" s="1">
        <v>45634</v>
      </c>
      <c r="C2463" t="s">
        <v>131</v>
      </c>
      <c r="D2463" t="s">
        <v>315</v>
      </c>
      <c r="E2463">
        <v>130.77000000000001</v>
      </c>
      <c r="F2463" t="s">
        <v>381</v>
      </c>
      <c r="G2463" t="s">
        <v>337</v>
      </c>
      <c r="H2463" t="s">
        <v>332</v>
      </c>
      <c r="I2463" t="s">
        <v>17</v>
      </c>
      <c r="J2463" t="s">
        <v>102</v>
      </c>
      <c r="K2463" t="s">
        <v>22</v>
      </c>
      <c r="L2463" t="s">
        <v>316</v>
      </c>
      <c r="M2463" t="s">
        <v>305</v>
      </c>
      <c r="N2463">
        <v>2.5000000000000001E-3</v>
      </c>
      <c r="O2463" t="str">
        <f>IF(Transactions_RAW_cleaned[[#This Row],[Status]]="Completed", IFERROR(_xlfn.XLOOKUP(Transactions_RAW_cleaned[[#This Row],[CustomerID]], Customers_cleaned[CustomerID], Customers_cleaned[Segment]), "Customer Not Found"), "N/A")</f>
        <v>N/A</v>
      </c>
      <c r="P2463" s="5" t="str">
        <f>IF(Transactions_RAW_cleaned[[#This Row],[Status]]="Refunded", "Refund",
  IF(Transactions_RAW_cleaned[[#This Row],[Category]]="Payments", IF(Transactions_RAW_cleaned[[#This Row],[Amount]]&gt;500,"High Value","Standard"),
    IF(Transactions_RAW_cleaned[[#This Row],[Amount]]&gt;250,"High Value","Standard")))</f>
        <v>Standard</v>
      </c>
      <c r="Q2463" s="5" t="str">
        <f>IF(Transactions_RAW_cleaned[[#This Row],[Amount]] &gt; (_xlfn.XLOOKUP(Transactions_RAW_cleaned[[#This Row],[ServiceID]],Services_cleaned[ServiceID],Services_cleaned[TransactionFeePct]) * 10000), "Yes", "No")</f>
        <v>Yes</v>
      </c>
      <c r="R2463" s="5" t="str">
        <f>IF(COUNTIFS($C$2:Transactions_RAW_cleaned[[#This Row],[CustomerID]],Transactions_RAW_cleaned[[#This Row],[CustomerID]],$D$2:Transactions_RAW_cleaned[[#This Row],[ServiceID]],Transactions_RAW_cleaned[[#This Row],[ServiceID]])=1,"Yes","No")</f>
        <v>No</v>
      </c>
      <c r="S246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63" t="str">
        <f>"Q"&amp;ROUNDUP(MONTH(Transactions_RAW_cleaned[[#This Row],[TransactionDate]])/3,0)</f>
        <v>Q4</v>
      </c>
      <c r="U2463" t="str">
        <f>Transactions_RAW_cleaned[[#This Row],[Region ]]&amp;Transactions_RAW_cleaned[[#This Row],[Quarter ]]</f>
        <v>NAQ4</v>
      </c>
      <c r="V2463" s="5">
        <f>_xlfn.XLOOKUP(Transactions_RAW_cleaned[[#This Row],[RegionQuarterKey]], Quarterly_Targets_cleaned[RegionQuarterKey], Quarterly_Targets_cleaned[TargetRevenue])</f>
        <v>299000</v>
      </c>
    </row>
    <row r="2464" spans="1:22" x14ac:dyDescent="0.25">
      <c r="A2464" t="s">
        <v>2801</v>
      </c>
      <c r="B2464" s="1">
        <v>45340</v>
      </c>
      <c r="C2464" t="s">
        <v>167</v>
      </c>
      <c r="D2464" t="s">
        <v>306</v>
      </c>
      <c r="E2464">
        <v>247.55</v>
      </c>
      <c r="F2464" t="s">
        <v>324</v>
      </c>
      <c r="G2464" t="s">
        <v>327</v>
      </c>
      <c r="H2464" t="s">
        <v>334</v>
      </c>
      <c r="I2464" t="s">
        <v>17</v>
      </c>
      <c r="J2464" t="s">
        <v>13</v>
      </c>
      <c r="K2464" t="s">
        <v>10</v>
      </c>
      <c r="L2464" t="s">
        <v>307</v>
      </c>
      <c r="M2464" t="s">
        <v>308</v>
      </c>
      <c r="N2464">
        <v>0</v>
      </c>
      <c r="O2464" t="str">
        <f>IF(Transactions_RAW_cleaned[[#This Row],[Status]]="Completed", IFERROR(_xlfn.XLOOKUP(Transactions_RAW_cleaned[[#This Row],[CustomerID]], Customers_cleaned[CustomerID], Customers_cleaned[Segment]), "Customer Not Found"), "N/A")</f>
        <v>Enterprise</v>
      </c>
      <c r="P2464" s="5" t="str">
        <f>IF(Transactions_RAW_cleaned[[#This Row],[Status]]="Refunded", "Refund",
  IF(Transactions_RAW_cleaned[[#This Row],[Category]]="Payments", IF(Transactions_RAW_cleaned[[#This Row],[Amount]]&gt;500,"High Value","Standard"),
    IF(Transactions_RAW_cleaned[[#This Row],[Amount]]&gt;250,"High Value","Standard")))</f>
        <v>Standard</v>
      </c>
      <c r="Q2464" s="5" t="str">
        <f>IF(Transactions_RAW_cleaned[[#This Row],[Amount]] &gt; (_xlfn.XLOOKUP(Transactions_RAW_cleaned[[#This Row],[ServiceID]],Services_cleaned[ServiceID],Services_cleaned[TransactionFeePct]) * 10000), "Yes", "No")</f>
        <v>Yes</v>
      </c>
      <c r="R2464" s="5" t="str">
        <f>IF(COUNTIFS($C$2:Transactions_RAW_cleaned[[#This Row],[CustomerID]],Transactions_RAW_cleaned[[#This Row],[CustomerID]],$D$2:Transactions_RAW_cleaned[[#This Row],[ServiceID]],Transactions_RAW_cleaned[[#This Row],[ServiceID]])=1,"Yes","No")</f>
        <v>No</v>
      </c>
      <c r="S246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64" t="str">
        <f>"Q"&amp;ROUNDUP(MONTH(Transactions_RAW_cleaned[[#This Row],[TransactionDate]])/3,0)</f>
        <v>Q1</v>
      </c>
      <c r="U2464" t="str">
        <f>Transactions_RAW_cleaned[[#This Row],[Region ]]&amp;Transactions_RAW_cleaned[[#This Row],[Quarter ]]</f>
        <v>NAQ1</v>
      </c>
      <c r="V2464" s="5">
        <f>_xlfn.XLOOKUP(Transactions_RAW_cleaned[[#This Row],[RegionQuarterKey]], Quarterly_Targets_cleaned[RegionQuarterKey], Quarterly_Targets_cleaned[TargetRevenue])</f>
        <v>247000</v>
      </c>
    </row>
    <row r="2465" spans="1:22" x14ac:dyDescent="0.25">
      <c r="A2465" t="s">
        <v>2802</v>
      </c>
      <c r="B2465" s="1">
        <v>45437</v>
      </c>
      <c r="C2465" t="s">
        <v>135</v>
      </c>
      <c r="D2465" t="s">
        <v>315</v>
      </c>
      <c r="E2465">
        <v>512.11</v>
      </c>
      <c r="F2465" t="s">
        <v>324</v>
      </c>
      <c r="G2465" t="s">
        <v>337</v>
      </c>
      <c r="I2465" t="s">
        <v>8</v>
      </c>
      <c r="J2465" t="s">
        <v>46</v>
      </c>
      <c r="K2465" t="s">
        <v>10</v>
      </c>
      <c r="L2465" t="s">
        <v>316</v>
      </c>
      <c r="M2465" t="s">
        <v>305</v>
      </c>
      <c r="N2465">
        <v>2.5000000000000001E-3</v>
      </c>
      <c r="O2465" t="str">
        <f>IF(Transactions_RAW_cleaned[[#This Row],[Status]]="Completed", IFERROR(_xlfn.XLOOKUP(Transactions_RAW_cleaned[[#This Row],[CustomerID]], Customers_cleaned[CustomerID], Customers_cleaned[Segment]), "Customer Not Found"), "N/A")</f>
        <v>SMB</v>
      </c>
      <c r="P2465" s="5" t="str">
        <f>IF(Transactions_RAW_cleaned[[#This Row],[Status]]="Refunded", "Refund",
  IF(Transactions_RAW_cleaned[[#This Row],[Category]]="Payments", IF(Transactions_RAW_cleaned[[#This Row],[Amount]]&gt;500,"High Value","Standard"),
    IF(Transactions_RAW_cleaned[[#This Row],[Amount]]&gt;250,"High Value","Standard")))</f>
        <v>High Value</v>
      </c>
      <c r="Q2465" s="5" t="str">
        <f>IF(Transactions_RAW_cleaned[[#This Row],[Amount]] &gt; (_xlfn.XLOOKUP(Transactions_RAW_cleaned[[#This Row],[ServiceID]],Services_cleaned[ServiceID],Services_cleaned[TransactionFeePct]) * 10000), "Yes", "No")</f>
        <v>Yes</v>
      </c>
      <c r="R2465" s="5" t="str">
        <f>IF(COUNTIFS($C$2:Transactions_RAW_cleaned[[#This Row],[CustomerID]],Transactions_RAW_cleaned[[#This Row],[CustomerID]],$D$2:Transactions_RAW_cleaned[[#This Row],[ServiceID]],Transactions_RAW_cleaned[[#This Row],[ServiceID]])=1,"Yes","No")</f>
        <v>No</v>
      </c>
      <c r="S246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65" t="str">
        <f>"Q"&amp;ROUNDUP(MONTH(Transactions_RAW_cleaned[[#This Row],[TransactionDate]])/3,0)</f>
        <v>Q2</v>
      </c>
      <c r="U2465" t="str">
        <f>Transactions_RAW_cleaned[[#This Row],[Region ]]&amp;Transactions_RAW_cleaned[[#This Row],[Quarter ]]</f>
        <v>APACQ2</v>
      </c>
      <c r="V2465" s="5">
        <f>_xlfn.XLOOKUP(Transactions_RAW_cleaned[[#This Row],[RegionQuarterKey]], Quarterly_Targets_cleaned[RegionQuarterKey], Quarterly_Targets_cleaned[TargetRevenue])</f>
        <v>110000</v>
      </c>
    </row>
    <row r="2466" spans="1:22" x14ac:dyDescent="0.25">
      <c r="A2466" t="s">
        <v>2803</v>
      </c>
      <c r="B2466" s="1">
        <v>45325</v>
      </c>
      <c r="C2466" t="s">
        <v>6</v>
      </c>
      <c r="D2466" t="s">
        <v>315</v>
      </c>
      <c r="E2466">
        <v>601.28</v>
      </c>
      <c r="F2466" t="s">
        <v>324</v>
      </c>
      <c r="G2466" t="s">
        <v>337</v>
      </c>
      <c r="I2466" t="s">
        <v>8</v>
      </c>
      <c r="J2466" t="s">
        <v>102</v>
      </c>
      <c r="K2466" t="s">
        <v>10</v>
      </c>
      <c r="L2466" t="s">
        <v>316</v>
      </c>
      <c r="M2466" t="s">
        <v>305</v>
      </c>
      <c r="N2466">
        <v>2.5000000000000001E-3</v>
      </c>
      <c r="O2466" t="str">
        <f>IF(Transactions_RAW_cleaned[[#This Row],[Status]]="Completed", IFERROR(_xlfn.XLOOKUP(Transactions_RAW_cleaned[[#This Row],[CustomerID]], Customers_cleaned[CustomerID], Customers_cleaned[Segment]), "Customer Not Found"), "N/A")</f>
        <v>SMB</v>
      </c>
      <c r="P2466" s="5" t="str">
        <f>IF(Transactions_RAW_cleaned[[#This Row],[Status]]="Refunded", "Refund",
  IF(Transactions_RAW_cleaned[[#This Row],[Category]]="Payments", IF(Transactions_RAW_cleaned[[#This Row],[Amount]]&gt;500,"High Value","Standard"),
    IF(Transactions_RAW_cleaned[[#This Row],[Amount]]&gt;250,"High Value","Standard")))</f>
        <v>High Value</v>
      </c>
      <c r="Q2466" s="5" t="str">
        <f>IF(Transactions_RAW_cleaned[[#This Row],[Amount]] &gt; (_xlfn.XLOOKUP(Transactions_RAW_cleaned[[#This Row],[ServiceID]],Services_cleaned[ServiceID],Services_cleaned[TransactionFeePct]) * 10000), "Yes", "No")</f>
        <v>Yes</v>
      </c>
      <c r="R2466" s="5" t="str">
        <f>IF(COUNTIFS($C$2:Transactions_RAW_cleaned[[#This Row],[CustomerID]],Transactions_RAW_cleaned[[#This Row],[CustomerID]],$D$2:Transactions_RAW_cleaned[[#This Row],[ServiceID]],Transactions_RAW_cleaned[[#This Row],[ServiceID]])=1,"Yes","No")</f>
        <v>No</v>
      </c>
      <c r="S246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66" t="str">
        <f>"Q"&amp;ROUNDUP(MONTH(Transactions_RAW_cleaned[[#This Row],[TransactionDate]])/3,0)</f>
        <v>Q1</v>
      </c>
      <c r="U2466" t="str">
        <f>Transactions_RAW_cleaned[[#This Row],[Region ]]&amp;Transactions_RAW_cleaned[[#This Row],[Quarter ]]</f>
        <v>NAQ1</v>
      </c>
      <c r="V2466" s="5">
        <f>_xlfn.XLOOKUP(Transactions_RAW_cleaned[[#This Row],[RegionQuarterKey]], Quarterly_Targets_cleaned[RegionQuarterKey], Quarterly_Targets_cleaned[TargetRevenue])</f>
        <v>247000</v>
      </c>
    </row>
    <row r="2467" spans="1:22" x14ac:dyDescent="0.25">
      <c r="A2467" t="s">
        <v>2804</v>
      </c>
      <c r="B2467" s="1">
        <v>45295</v>
      </c>
      <c r="C2467" t="s">
        <v>221</v>
      </c>
      <c r="D2467" t="s">
        <v>306</v>
      </c>
      <c r="E2467">
        <v>-322.49</v>
      </c>
      <c r="F2467" t="s">
        <v>349</v>
      </c>
      <c r="G2467" t="s">
        <v>325</v>
      </c>
      <c r="I2467" t="s">
        <v>8</v>
      </c>
      <c r="J2467" t="s">
        <v>102</v>
      </c>
      <c r="K2467" t="s">
        <v>14</v>
      </c>
      <c r="L2467" t="s">
        <v>307</v>
      </c>
      <c r="M2467" t="s">
        <v>308</v>
      </c>
      <c r="N2467">
        <v>0</v>
      </c>
      <c r="O2467" t="str">
        <f>IF(Transactions_RAW_cleaned[[#This Row],[Status]]="Completed", IFERROR(_xlfn.XLOOKUP(Transactions_RAW_cleaned[[#This Row],[CustomerID]], Customers_cleaned[CustomerID], Customers_cleaned[Segment]), "Customer Not Found"), "N/A")</f>
        <v>N/A</v>
      </c>
      <c r="P2467" s="5" t="str">
        <f>IF(Transactions_RAW_cleaned[[#This Row],[Status]]="Refunded", "Refund",
  IF(Transactions_RAW_cleaned[[#This Row],[Category]]="Payments", IF(Transactions_RAW_cleaned[[#This Row],[Amount]]&gt;500,"High Value","Standard"),
    IF(Transactions_RAW_cleaned[[#This Row],[Amount]]&gt;250,"High Value","Standard")))</f>
        <v>Refund</v>
      </c>
      <c r="Q2467" s="5" t="str">
        <f>IF(Transactions_RAW_cleaned[[#This Row],[Amount]] &gt; (_xlfn.XLOOKUP(Transactions_RAW_cleaned[[#This Row],[ServiceID]],Services_cleaned[ServiceID],Services_cleaned[TransactionFeePct]) * 10000), "Yes", "No")</f>
        <v>No</v>
      </c>
      <c r="R2467" s="5" t="str">
        <f>IF(COUNTIFS($C$2:Transactions_RAW_cleaned[[#This Row],[CustomerID]],Transactions_RAW_cleaned[[#This Row],[CustomerID]],$D$2:Transactions_RAW_cleaned[[#This Row],[ServiceID]],Transactions_RAW_cleaned[[#This Row],[ServiceID]])=1,"Yes","No")</f>
        <v>No</v>
      </c>
      <c r="S246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67" t="str">
        <f>"Q"&amp;ROUNDUP(MONTH(Transactions_RAW_cleaned[[#This Row],[TransactionDate]])/3,0)</f>
        <v>Q1</v>
      </c>
      <c r="U2467" t="str">
        <f>Transactions_RAW_cleaned[[#This Row],[Region ]]&amp;Transactions_RAW_cleaned[[#This Row],[Quarter ]]</f>
        <v>NAQ1</v>
      </c>
      <c r="V2467" s="5">
        <f>_xlfn.XLOOKUP(Transactions_RAW_cleaned[[#This Row],[RegionQuarterKey]], Quarterly_Targets_cleaned[RegionQuarterKey], Quarterly_Targets_cleaned[TargetRevenue])</f>
        <v>247000</v>
      </c>
    </row>
    <row r="2468" spans="1:22" x14ac:dyDescent="0.25">
      <c r="A2468" t="s">
        <v>2805</v>
      </c>
      <c r="B2468" s="1">
        <v>45507</v>
      </c>
      <c r="C2468" t="s">
        <v>155</v>
      </c>
      <c r="D2468" t="s">
        <v>294</v>
      </c>
      <c r="E2468">
        <v>413.52</v>
      </c>
      <c r="F2468" t="s">
        <v>324</v>
      </c>
      <c r="G2468" t="s">
        <v>327</v>
      </c>
      <c r="I2468" t="s">
        <v>8</v>
      </c>
      <c r="J2468" t="s">
        <v>46</v>
      </c>
      <c r="K2468" t="s">
        <v>22</v>
      </c>
      <c r="L2468" t="s">
        <v>295</v>
      </c>
      <c r="M2468" t="s">
        <v>296</v>
      </c>
      <c r="N2468">
        <v>2.9000000000000001E-2</v>
      </c>
      <c r="O2468" t="str">
        <f>IF(Transactions_RAW_cleaned[[#This Row],[Status]]="Completed", IFERROR(_xlfn.XLOOKUP(Transactions_RAW_cleaned[[#This Row],[CustomerID]], Customers_cleaned[CustomerID], Customers_cleaned[Segment]), "Customer Not Found"), "N/A")</f>
        <v>SMB</v>
      </c>
      <c r="P2468" s="5" t="str">
        <f>IF(Transactions_RAW_cleaned[[#This Row],[Status]]="Refunded", "Refund",
  IF(Transactions_RAW_cleaned[[#This Row],[Category]]="Payments", IF(Transactions_RAW_cleaned[[#This Row],[Amount]]&gt;500,"High Value","Standard"),
    IF(Transactions_RAW_cleaned[[#This Row],[Amount]]&gt;250,"High Value","Standard")))</f>
        <v>Standard</v>
      </c>
      <c r="Q2468" s="5" t="str">
        <f>IF(Transactions_RAW_cleaned[[#This Row],[Amount]] &gt; (_xlfn.XLOOKUP(Transactions_RAW_cleaned[[#This Row],[ServiceID]],Services_cleaned[ServiceID],Services_cleaned[TransactionFeePct]) * 10000), "Yes", "No")</f>
        <v>Yes</v>
      </c>
      <c r="R2468" s="5" t="str">
        <f>IF(COUNTIFS($C$2:Transactions_RAW_cleaned[[#This Row],[CustomerID]],Transactions_RAW_cleaned[[#This Row],[CustomerID]],$D$2:Transactions_RAW_cleaned[[#This Row],[ServiceID]],Transactions_RAW_cleaned[[#This Row],[ServiceID]])=1,"Yes","No")</f>
        <v>No</v>
      </c>
      <c r="S246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68" t="str">
        <f>"Q"&amp;ROUNDUP(MONTH(Transactions_RAW_cleaned[[#This Row],[TransactionDate]])/3,0)</f>
        <v>Q3</v>
      </c>
      <c r="U2468" t="str">
        <f>Transactions_RAW_cleaned[[#This Row],[Region ]]&amp;Transactions_RAW_cleaned[[#This Row],[Quarter ]]</f>
        <v>APACQ3</v>
      </c>
      <c r="V2468" s="5">
        <f>_xlfn.XLOOKUP(Transactions_RAW_cleaned[[#This Row],[RegionQuarterKey]], Quarterly_Targets_cleaned[RegionQuarterKey], Quarterly_Targets_cleaned[TargetRevenue])</f>
        <v>115500</v>
      </c>
    </row>
    <row r="2469" spans="1:22" x14ac:dyDescent="0.25">
      <c r="A2469" t="s">
        <v>2806</v>
      </c>
      <c r="B2469" s="1">
        <v>45615</v>
      </c>
      <c r="C2469" t="s">
        <v>78</v>
      </c>
      <c r="D2469" t="s">
        <v>300</v>
      </c>
      <c r="E2469">
        <v>529.03</v>
      </c>
      <c r="F2469" t="s">
        <v>324</v>
      </c>
      <c r="G2469" t="s">
        <v>327</v>
      </c>
      <c r="I2469" t="s">
        <v>17</v>
      </c>
      <c r="J2469" t="s">
        <v>21</v>
      </c>
      <c r="K2469" t="s">
        <v>22</v>
      </c>
      <c r="L2469" t="s">
        <v>301</v>
      </c>
      <c r="M2469" t="s">
        <v>302</v>
      </c>
      <c r="N2469">
        <v>5.0000000000000001E-3</v>
      </c>
      <c r="O2469" t="str">
        <f>IF(Transactions_RAW_cleaned[[#This Row],[Status]]="Completed", IFERROR(_xlfn.XLOOKUP(Transactions_RAW_cleaned[[#This Row],[CustomerID]], Customers_cleaned[CustomerID], Customers_cleaned[Segment]), "Customer Not Found"), "N/A")</f>
        <v>Enterprise</v>
      </c>
      <c r="P2469" s="5" t="str">
        <f>IF(Transactions_RAW_cleaned[[#This Row],[Status]]="Refunded", "Refund",
  IF(Transactions_RAW_cleaned[[#This Row],[Category]]="Payments", IF(Transactions_RAW_cleaned[[#This Row],[Amount]]&gt;500,"High Value","Standard"),
    IF(Transactions_RAW_cleaned[[#This Row],[Amount]]&gt;250,"High Value","Standard")))</f>
        <v>High Value</v>
      </c>
      <c r="Q2469" s="5" t="str">
        <f>IF(Transactions_RAW_cleaned[[#This Row],[Amount]] &gt; (_xlfn.XLOOKUP(Transactions_RAW_cleaned[[#This Row],[ServiceID]],Services_cleaned[ServiceID],Services_cleaned[TransactionFeePct]) * 10000), "Yes", "No")</f>
        <v>Yes</v>
      </c>
      <c r="R2469" s="5" t="str">
        <f>IF(COUNTIFS($C$2:Transactions_RAW_cleaned[[#This Row],[CustomerID]],Transactions_RAW_cleaned[[#This Row],[CustomerID]],$D$2:Transactions_RAW_cleaned[[#This Row],[ServiceID]],Transactions_RAW_cleaned[[#This Row],[ServiceID]])=1,"Yes","No")</f>
        <v>No</v>
      </c>
      <c r="S246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69" t="str">
        <f>"Q"&amp;ROUNDUP(MONTH(Transactions_RAW_cleaned[[#This Row],[TransactionDate]])/3,0)</f>
        <v>Q4</v>
      </c>
      <c r="U2469" t="str">
        <f>Transactions_RAW_cleaned[[#This Row],[Region ]]&amp;Transactions_RAW_cleaned[[#This Row],[Quarter ]]</f>
        <v>APACQ4</v>
      </c>
      <c r="V2469" s="5">
        <f>_xlfn.XLOOKUP(Transactions_RAW_cleaned[[#This Row],[RegionQuarterKey]], Quarterly_Targets_cleaned[RegionQuarterKey], Quarterly_Targets_cleaned[TargetRevenue])</f>
        <v>126500</v>
      </c>
    </row>
    <row r="2470" spans="1:22" x14ac:dyDescent="0.25">
      <c r="A2470" t="s">
        <v>2807</v>
      </c>
      <c r="B2470" s="1">
        <v>45567</v>
      </c>
      <c r="C2470" t="s">
        <v>58</v>
      </c>
      <c r="D2470" t="s">
        <v>300</v>
      </c>
      <c r="E2470">
        <v>568.63</v>
      </c>
      <c r="F2470" t="s">
        <v>324</v>
      </c>
      <c r="G2470" t="s">
        <v>337</v>
      </c>
      <c r="I2470" t="s">
        <v>17</v>
      </c>
      <c r="J2470" t="s">
        <v>102</v>
      </c>
      <c r="K2470" t="s">
        <v>22</v>
      </c>
      <c r="L2470" t="s">
        <v>301</v>
      </c>
      <c r="M2470" t="s">
        <v>302</v>
      </c>
      <c r="N2470">
        <v>5.0000000000000001E-3</v>
      </c>
      <c r="O2470" t="str">
        <f>IF(Transactions_RAW_cleaned[[#This Row],[Status]]="Completed", IFERROR(_xlfn.XLOOKUP(Transactions_RAW_cleaned[[#This Row],[CustomerID]], Customers_cleaned[CustomerID], Customers_cleaned[Segment]), "Customer Not Found"), "N/A")</f>
        <v>Enterprise</v>
      </c>
      <c r="P2470" s="5" t="str">
        <f>IF(Transactions_RAW_cleaned[[#This Row],[Status]]="Refunded", "Refund",
  IF(Transactions_RAW_cleaned[[#This Row],[Category]]="Payments", IF(Transactions_RAW_cleaned[[#This Row],[Amount]]&gt;500,"High Value","Standard"),
    IF(Transactions_RAW_cleaned[[#This Row],[Amount]]&gt;250,"High Value","Standard")))</f>
        <v>High Value</v>
      </c>
      <c r="Q2470" s="5" t="str">
        <f>IF(Transactions_RAW_cleaned[[#This Row],[Amount]] &gt; (_xlfn.XLOOKUP(Transactions_RAW_cleaned[[#This Row],[ServiceID]],Services_cleaned[ServiceID],Services_cleaned[TransactionFeePct]) * 10000), "Yes", "No")</f>
        <v>Yes</v>
      </c>
      <c r="R2470" s="5" t="str">
        <f>IF(COUNTIFS($C$2:Transactions_RAW_cleaned[[#This Row],[CustomerID]],Transactions_RAW_cleaned[[#This Row],[CustomerID]],$D$2:Transactions_RAW_cleaned[[#This Row],[ServiceID]],Transactions_RAW_cleaned[[#This Row],[ServiceID]])=1,"Yes","No")</f>
        <v>No</v>
      </c>
      <c r="S247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70" t="str">
        <f>"Q"&amp;ROUNDUP(MONTH(Transactions_RAW_cleaned[[#This Row],[TransactionDate]])/3,0)</f>
        <v>Q4</v>
      </c>
      <c r="U2470" t="str">
        <f>Transactions_RAW_cleaned[[#This Row],[Region ]]&amp;Transactions_RAW_cleaned[[#This Row],[Quarter ]]</f>
        <v>NAQ4</v>
      </c>
      <c r="V2470" s="5">
        <f>_xlfn.XLOOKUP(Transactions_RAW_cleaned[[#This Row],[RegionQuarterKey]], Quarterly_Targets_cleaned[RegionQuarterKey], Quarterly_Targets_cleaned[TargetRevenue])</f>
        <v>299000</v>
      </c>
    </row>
    <row r="2471" spans="1:22" x14ac:dyDescent="0.25">
      <c r="A2471" t="s">
        <v>2808</v>
      </c>
      <c r="B2471" s="1">
        <v>45533</v>
      </c>
      <c r="C2471" t="s">
        <v>26</v>
      </c>
      <c r="D2471" t="s">
        <v>309</v>
      </c>
      <c r="E2471">
        <v>680.56</v>
      </c>
      <c r="F2471" t="s">
        <v>324</v>
      </c>
      <c r="G2471" t="s">
        <v>325</v>
      </c>
      <c r="I2471" t="s">
        <v>8</v>
      </c>
      <c r="J2471" t="s">
        <v>102</v>
      </c>
      <c r="K2471" t="s">
        <v>28</v>
      </c>
      <c r="L2471" t="s">
        <v>310</v>
      </c>
      <c r="M2471" t="s">
        <v>311</v>
      </c>
      <c r="N2471">
        <v>0</v>
      </c>
      <c r="O2471" t="str">
        <f>IF(Transactions_RAW_cleaned[[#This Row],[Status]]="Completed", IFERROR(_xlfn.XLOOKUP(Transactions_RAW_cleaned[[#This Row],[CustomerID]], Customers_cleaned[CustomerID], Customers_cleaned[Segment]), "Customer Not Found"), "N/A")</f>
        <v>SMB</v>
      </c>
      <c r="P2471" s="5" t="str">
        <f>IF(Transactions_RAW_cleaned[[#This Row],[Status]]="Refunded", "Refund",
  IF(Transactions_RAW_cleaned[[#This Row],[Category]]="Payments", IF(Transactions_RAW_cleaned[[#This Row],[Amount]]&gt;500,"High Value","Standard"),
    IF(Transactions_RAW_cleaned[[#This Row],[Amount]]&gt;250,"High Value","Standard")))</f>
        <v>High Value</v>
      </c>
      <c r="Q2471" s="5" t="str">
        <f>IF(Transactions_RAW_cleaned[[#This Row],[Amount]] &gt; (_xlfn.XLOOKUP(Transactions_RAW_cleaned[[#This Row],[ServiceID]],Services_cleaned[ServiceID],Services_cleaned[TransactionFeePct]) * 10000), "Yes", "No")</f>
        <v>Yes</v>
      </c>
      <c r="R2471" s="5" t="str">
        <f>IF(COUNTIFS($C$2:Transactions_RAW_cleaned[[#This Row],[CustomerID]],Transactions_RAW_cleaned[[#This Row],[CustomerID]],$D$2:Transactions_RAW_cleaned[[#This Row],[ServiceID]],Transactions_RAW_cleaned[[#This Row],[ServiceID]])=1,"Yes","No")</f>
        <v>No</v>
      </c>
      <c r="S247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71" t="str">
        <f>"Q"&amp;ROUNDUP(MONTH(Transactions_RAW_cleaned[[#This Row],[TransactionDate]])/3,0)</f>
        <v>Q3</v>
      </c>
      <c r="U2471" t="str">
        <f>Transactions_RAW_cleaned[[#This Row],[Region ]]&amp;Transactions_RAW_cleaned[[#This Row],[Quarter ]]</f>
        <v>NAQ3</v>
      </c>
      <c r="V2471" s="5">
        <f>_xlfn.XLOOKUP(Transactions_RAW_cleaned[[#This Row],[RegionQuarterKey]], Quarterly_Targets_cleaned[RegionQuarterKey], Quarterly_Targets_cleaned[TargetRevenue])</f>
        <v>273000</v>
      </c>
    </row>
    <row r="2472" spans="1:22" x14ac:dyDescent="0.25">
      <c r="A2472" t="s">
        <v>2809</v>
      </c>
      <c r="B2472" s="1">
        <v>45653</v>
      </c>
      <c r="C2472" t="s">
        <v>139</v>
      </c>
      <c r="D2472" t="s">
        <v>297</v>
      </c>
      <c r="E2472">
        <v>334.34</v>
      </c>
      <c r="F2472" t="s">
        <v>324</v>
      </c>
      <c r="G2472" t="s">
        <v>327</v>
      </c>
      <c r="H2472" t="s">
        <v>346</v>
      </c>
      <c r="I2472" t="s">
        <v>8</v>
      </c>
      <c r="J2472" t="s">
        <v>102</v>
      </c>
      <c r="K2472" t="s">
        <v>22</v>
      </c>
      <c r="L2472" t="s">
        <v>298</v>
      </c>
      <c r="M2472" t="s">
        <v>299</v>
      </c>
      <c r="N2472">
        <v>0</v>
      </c>
      <c r="O2472" t="str">
        <f>IF(Transactions_RAW_cleaned[[#This Row],[Status]]="Completed", IFERROR(_xlfn.XLOOKUP(Transactions_RAW_cleaned[[#This Row],[CustomerID]], Customers_cleaned[CustomerID], Customers_cleaned[Segment]), "Customer Not Found"), "N/A")</f>
        <v>SMB</v>
      </c>
      <c r="P2472" s="5" t="str">
        <f>IF(Transactions_RAW_cleaned[[#This Row],[Status]]="Refunded", "Refund",
  IF(Transactions_RAW_cleaned[[#This Row],[Category]]="Payments", IF(Transactions_RAW_cleaned[[#This Row],[Amount]]&gt;500,"High Value","Standard"),
    IF(Transactions_RAW_cleaned[[#This Row],[Amount]]&gt;250,"High Value","Standard")))</f>
        <v>High Value</v>
      </c>
      <c r="Q2472" s="5" t="str">
        <f>IF(Transactions_RAW_cleaned[[#This Row],[Amount]] &gt; (_xlfn.XLOOKUP(Transactions_RAW_cleaned[[#This Row],[ServiceID]],Services_cleaned[ServiceID],Services_cleaned[TransactionFeePct]) * 10000), "Yes", "No")</f>
        <v>Yes</v>
      </c>
      <c r="R2472" s="5" t="str">
        <f>IF(COUNTIFS($C$2:Transactions_RAW_cleaned[[#This Row],[CustomerID]],Transactions_RAW_cleaned[[#This Row],[CustomerID]],$D$2:Transactions_RAW_cleaned[[#This Row],[ServiceID]],Transactions_RAW_cleaned[[#This Row],[ServiceID]])=1,"Yes","No")</f>
        <v>No</v>
      </c>
      <c r="S247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72" t="str">
        <f>"Q"&amp;ROUNDUP(MONTH(Transactions_RAW_cleaned[[#This Row],[TransactionDate]])/3,0)</f>
        <v>Q4</v>
      </c>
      <c r="U2472" t="str">
        <f>Transactions_RAW_cleaned[[#This Row],[Region ]]&amp;Transactions_RAW_cleaned[[#This Row],[Quarter ]]</f>
        <v>NAQ4</v>
      </c>
      <c r="V2472" s="5">
        <f>_xlfn.XLOOKUP(Transactions_RAW_cleaned[[#This Row],[RegionQuarterKey]], Quarterly_Targets_cleaned[RegionQuarterKey], Quarterly_Targets_cleaned[TargetRevenue])</f>
        <v>299000</v>
      </c>
    </row>
    <row r="2473" spans="1:22" x14ac:dyDescent="0.25">
      <c r="A2473" t="s">
        <v>2810</v>
      </c>
      <c r="B2473" s="1">
        <v>45515</v>
      </c>
      <c r="C2473" t="s">
        <v>229</v>
      </c>
      <c r="D2473" t="s">
        <v>294</v>
      </c>
      <c r="E2473">
        <v>539.88</v>
      </c>
      <c r="F2473" t="s">
        <v>324</v>
      </c>
      <c r="G2473" t="s">
        <v>337</v>
      </c>
      <c r="I2473" t="s">
        <v>17</v>
      </c>
      <c r="J2473" t="s">
        <v>102</v>
      </c>
      <c r="K2473" t="s">
        <v>18</v>
      </c>
      <c r="L2473" t="s">
        <v>295</v>
      </c>
      <c r="M2473" t="s">
        <v>296</v>
      </c>
      <c r="N2473">
        <v>2.9000000000000001E-2</v>
      </c>
      <c r="O2473" t="str">
        <f>IF(Transactions_RAW_cleaned[[#This Row],[Status]]="Completed", IFERROR(_xlfn.XLOOKUP(Transactions_RAW_cleaned[[#This Row],[CustomerID]], Customers_cleaned[CustomerID], Customers_cleaned[Segment]), "Customer Not Found"), "N/A")</f>
        <v>Enterprise</v>
      </c>
      <c r="P2473" s="5" t="str">
        <f>IF(Transactions_RAW_cleaned[[#This Row],[Status]]="Refunded", "Refund",
  IF(Transactions_RAW_cleaned[[#This Row],[Category]]="Payments", IF(Transactions_RAW_cleaned[[#This Row],[Amount]]&gt;500,"High Value","Standard"),
    IF(Transactions_RAW_cleaned[[#This Row],[Amount]]&gt;250,"High Value","Standard")))</f>
        <v>High Value</v>
      </c>
      <c r="Q2473" s="5" t="str">
        <f>IF(Transactions_RAW_cleaned[[#This Row],[Amount]] &gt; (_xlfn.XLOOKUP(Transactions_RAW_cleaned[[#This Row],[ServiceID]],Services_cleaned[ServiceID],Services_cleaned[TransactionFeePct]) * 10000), "Yes", "No")</f>
        <v>Yes</v>
      </c>
      <c r="R2473" s="5" t="str">
        <f>IF(COUNTIFS($C$2:Transactions_RAW_cleaned[[#This Row],[CustomerID]],Transactions_RAW_cleaned[[#This Row],[CustomerID]],$D$2:Transactions_RAW_cleaned[[#This Row],[ServiceID]],Transactions_RAW_cleaned[[#This Row],[ServiceID]])=1,"Yes","No")</f>
        <v>No</v>
      </c>
      <c r="S247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73" t="str">
        <f>"Q"&amp;ROUNDUP(MONTH(Transactions_RAW_cleaned[[#This Row],[TransactionDate]])/3,0)</f>
        <v>Q3</v>
      </c>
      <c r="U2473" t="str">
        <f>Transactions_RAW_cleaned[[#This Row],[Region ]]&amp;Transactions_RAW_cleaned[[#This Row],[Quarter ]]</f>
        <v>NAQ3</v>
      </c>
      <c r="V2473" s="5">
        <f>_xlfn.XLOOKUP(Transactions_RAW_cleaned[[#This Row],[RegionQuarterKey]], Quarterly_Targets_cleaned[RegionQuarterKey], Quarterly_Targets_cleaned[TargetRevenue])</f>
        <v>273000</v>
      </c>
    </row>
    <row r="2474" spans="1:22" x14ac:dyDescent="0.25">
      <c r="A2474" t="s">
        <v>2811</v>
      </c>
      <c r="B2474" s="1">
        <v>45327</v>
      </c>
      <c r="C2474" t="s">
        <v>157</v>
      </c>
      <c r="D2474" t="s">
        <v>297</v>
      </c>
      <c r="E2474">
        <v>370.61</v>
      </c>
      <c r="F2474" t="s">
        <v>324</v>
      </c>
      <c r="G2474" t="s">
        <v>327</v>
      </c>
      <c r="H2474" t="s">
        <v>332</v>
      </c>
      <c r="I2474" t="s">
        <v>8</v>
      </c>
      <c r="J2474" t="s">
        <v>102</v>
      </c>
      <c r="K2474" t="s">
        <v>14</v>
      </c>
      <c r="L2474" t="s">
        <v>298</v>
      </c>
      <c r="M2474" t="s">
        <v>299</v>
      </c>
      <c r="N2474">
        <v>0</v>
      </c>
      <c r="O2474" t="str">
        <f>IF(Transactions_RAW_cleaned[[#This Row],[Status]]="Completed", IFERROR(_xlfn.XLOOKUP(Transactions_RAW_cleaned[[#This Row],[CustomerID]], Customers_cleaned[CustomerID], Customers_cleaned[Segment]), "Customer Not Found"), "N/A")</f>
        <v>SMB</v>
      </c>
      <c r="P2474" s="5" t="str">
        <f>IF(Transactions_RAW_cleaned[[#This Row],[Status]]="Refunded", "Refund",
  IF(Transactions_RAW_cleaned[[#This Row],[Category]]="Payments", IF(Transactions_RAW_cleaned[[#This Row],[Amount]]&gt;500,"High Value","Standard"),
    IF(Transactions_RAW_cleaned[[#This Row],[Amount]]&gt;250,"High Value","Standard")))</f>
        <v>High Value</v>
      </c>
      <c r="Q2474" s="5" t="str">
        <f>IF(Transactions_RAW_cleaned[[#This Row],[Amount]] &gt; (_xlfn.XLOOKUP(Transactions_RAW_cleaned[[#This Row],[ServiceID]],Services_cleaned[ServiceID],Services_cleaned[TransactionFeePct]) * 10000), "Yes", "No")</f>
        <v>Yes</v>
      </c>
      <c r="R2474" s="5" t="str">
        <f>IF(COUNTIFS($C$2:Transactions_RAW_cleaned[[#This Row],[CustomerID]],Transactions_RAW_cleaned[[#This Row],[CustomerID]],$D$2:Transactions_RAW_cleaned[[#This Row],[ServiceID]],Transactions_RAW_cleaned[[#This Row],[ServiceID]])=1,"Yes","No")</f>
        <v>No</v>
      </c>
      <c r="S247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74" t="str">
        <f>"Q"&amp;ROUNDUP(MONTH(Transactions_RAW_cleaned[[#This Row],[TransactionDate]])/3,0)</f>
        <v>Q1</v>
      </c>
      <c r="U2474" t="str">
        <f>Transactions_RAW_cleaned[[#This Row],[Region ]]&amp;Transactions_RAW_cleaned[[#This Row],[Quarter ]]</f>
        <v>NAQ1</v>
      </c>
      <c r="V2474" s="5">
        <f>_xlfn.XLOOKUP(Transactions_RAW_cleaned[[#This Row],[RegionQuarterKey]], Quarterly_Targets_cleaned[RegionQuarterKey], Quarterly_Targets_cleaned[TargetRevenue])</f>
        <v>247000</v>
      </c>
    </row>
    <row r="2475" spans="1:22" x14ac:dyDescent="0.25">
      <c r="A2475" t="s">
        <v>2812</v>
      </c>
      <c r="B2475" s="1">
        <v>45631</v>
      </c>
      <c r="C2475" t="s">
        <v>64</v>
      </c>
      <c r="D2475" t="s">
        <v>309</v>
      </c>
      <c r="E2475">
        <v>490.39</v>
      </c>
      <c r="F2475" t="s">
        <v>324</v>
      </c>
      <c r="G2475" t="s">
        <v>329</v>
      </c>
      <c r="H2475" t="s">
        <v>332</v>
      </c>
      <c r="I2475" t="s">
        <v>8</v>
      </c>
      <c r="J2475" t="s">
        <v>37</v>
      </c>
      <c r="K2475" t="s">
        <v>28</v>
      </c>
      <c r="L2475" t="s">
        <v>310</v>
      </c>
      <c r="M2475" t="s">
        <v>311</v>
      </c>
      <c r="N2475">
        <v>0</v>
      </c>
      <c r="O2475" t="str">
        <f>IF(Transactions_RAW_cleaned[[#This Row],[Status]]="Completed", IFERROR(_xlfn.XLOOKUP(Transactions_RAW_cleaned[[#This Row],[CustomerID]], Customers_cleaned[CustomerID], Customers_cleaned[Segment]), "Customer Not Found"), "N/A")</f>
        <v>SMB</v>
      </c>
      <c r="P2475" s="5" t="str">
        <f>IF(Transactions_RAW_cleaned[[#This Row],[Status]]="Refunded", "Refund",
  IF(Transactions_RAW_cleaned[[#This Row],[Category]]="Payments", IF(Transactions_RAW_cleaned[[#This Row],[Amount]]&gt;500,"High Value","Standard"),
    IF(Transactions_RAW_cleaned[[#This Row],[Amount]]&gt;250,"High Value","Standard")))</f>
        <v>High Value</v>
      </c>
      <c r="Q2475" s="5" t="str">
        <f>IF(Transactions_RAW_cleaned[[#This Row],[Amount]] &gt; (_xlfn.XLOOKUP(Transactions_RAW_cleaned[[#This Row],[ServiceID]],Services_cleaned[ServiceID],Services_cleaned[TransactionFeePct]) * 10000), "Yes", "No")</f>
        <v>Yes</v>
      </c>
      <c r="R2475" s="5" t="str">
        <f>IF(COUNTIFS($C$2:Transactions_RAW_cleaned[[#This Row],[CustomerID]],Transactions_RAW_cleaned[[#This Row],[CustomerID]],$D$2:Transactions_RAW_cleaned[[#This Row],[ServiceID]],Transactions_RAW_cleaned[[#This Row],[ServiceID]])=1,"Yes","No")</f>
        <v>No</v>
      </c>
      <c r="S247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75" t="str">
        <f>"Q"&amp;ROUNDUP(MONTH(Transactions_RAW_cleaned[[#This Row],[TransactionDate]])/3,0)</f>
        <v>Q4</v>
      </c>
      <c r="U2475" t="str">
        <f>Transactions_RAW_cleaned[[#This Row],[Region ]]&amp;Transactions_RAW_cleaned[[#This Row],[Quarter ]]</f>
        <v>EMEAQ4</v>
      </c>
      <c r="V2475" s="5">
        <f>_xlfn.XLOOKUP(Transactions_RAW_cleaned[[#This Row],[RegionQuarterKey]], Quarterly_Targets_cleaned[RegionQuarterKey], Quarterly_Targets_cleaned[TargetRevenue])</f>
        <v>161000</v>
      </c>
    </row>
    <row r="2476" spans="1:22" x14ac:dyDescent="0.25">
      <c r="A2476" t="s">
        <v>2813</v>
      </c>
      <c r="B2476" s="1">
        <v>45377</v>
      </c>
      <c r="C2476" t="s">
        <v>169</v>
      </c>
      <c r="D2476" t="s">
        <v>306</v>
      </c>
      <c r="E2476">
        <v>250.52</v>
      </c>
      <c r="F2476" t="s">
        <v>324</v>
      </c>
      <c r="G2476" t="s">
        <v>327</v>
      </c>
      <c r="H2476" t="s">
        <v>332</v>
      </c>
      <c r="I2476" t="s">
        <v>8</v>
      </c>
      <c r="J2476" t="s">
        <v>13</v>
      </c>
      <c r="K2476" t="s">
        <v>32</v>
      </c>
      <c r="L2476" t="s">
        <v>307</v>
      </c>
      <c r="M2476" t="s">
        <v>308</v>
      </c>
      <c r="N2476">
        <v>0</v>
      </c>
      <c r="O2476" t="str">
        <f>IF(Transactions_RAW_cleaned[[#This Row],[Status]]="Completed", IFERROR(_xlfn.XLOOKUP(Transactions_RAW_cleaned[[#This Row],[CustomerID]], Customers_cleaned[CustomerID], Customers_cleaned[Segment]), "Customer Not Found"), "N/A")</f>
        <v>SMB</v>
      </c>
      <c r="P2476" s="5" t="str">
        <f>IF(Transactions_RAW_cleaned[[#This Row],[Status]]="Refunded", "Refund",
  IF(Transactions_RAW_cleaned[[#This Row],[Category]]="Payments", IF(Transactions_RAW_cleaned[[#This Row],[Amount]]&gt;500,"High Value","Standard"),
    IF(Transactions_RAW_cleaned[[#This Row],[Amount]]&gt;250,"High Value","Standard")))</f>
        <v>High Value</v>
      </c>
      <c r="Q2476" s="5" t="str">
        <f>IF(Transactions_RAW_cleaned[[#This Row],[Amount]] &gt; (_xlfn.XLOOKUP(Transactions_RAW_cleaned[[#This Row],[ServiceID]],Services_cleaned[ServiceID],Services_cleaned[TransactionFeePct]) * 10000), "Yes", "No")</f>
        <v>Yes</v>
      </c>
      <c r="R2476" s="5" t="str">
        <f>IF(COUNTIFS($C$2:Transactions_RAW_cleaned[[#This Row],[CustomerID]],Transactions_RAW_cleaned[[#This Row],[CustomerID]],$D$2:Transactions_RAW_cleaned[[#This Row],[ServiceID]],Transactions_RAW_cleaned[[#This Row],[ServiceID]])=1,"Yes","No")</f>
        <v>No</v>
      </c>
      <c r="S247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76" t="str">
        <f>"Q"&amp;ROUNDUP(MONTH(Transactions_RAW_cleaned[[#This Row],[TransactionDate]])/3,0)</f>
        <v>Q1</v>
      </c>
      <c r="U2476" t="str">
        <f>Transactions_RAW_cleaned[[#This Row],[Region ]]&amp;Transactions_RAW_cleaned[[#This Row],[Quarter ]]</f>
        <v>NAQ1</v>
      </c>
      <c r="V2476" s="5">
        <f>_xlfn.XLOOKUP(Transactions_RAW_cleaned[[#This Row],[RegionQuarterKey]], Quarterly_Targets_cleaned[RegionQuarterKey], Quarterly_Targets_cleaned[TargetRevenue])</f>
        <v>247000</v>
      </c>
    </row>
    <row r="2477" spans="1:22" x14ac:dyDescent="0.25">
      <c r="A2477" t="s">
        <v>2814</v>
      </c>
      <c r="B2477" s="1">
        <v>45549</v>
      </c>
      <c r="C2477" t="s">
        <v>177</v>
      </c>
      <c r="D2477" t="s">
        <v>303</v>
      </c>
      <c r="E2477">
        <v>293.41000000000003</v>
      </c>
      <c r="F2477" t="s">
        <v>324</v>
      </c>
      <c r="G2477" t="s">
        <v>325</v>
      </c>
      <c r="I2477" t="s">
        <v>8</v>
      </c>
      <c r="J2477" t="s">
        <v>46</v>
      </c>
      <c r="K2477" t="s">
        <v>10</v>
      </c>
      <c r="L2477" t="s">
        <v>304</v>
      </c>
      <c r="M2477" t="s">
        <v>305</v>
      </c>
      <c r="N2477">
        <v>1E-3</v>
      </c>
      <c r="O2477" t="str">
        <f>IF(Transactions_RAW_cleaned[[#This Row],[Status]]="Completed", IFERROR(_xlfn.XLOOKUP(Transactions_RAW_cleaned[[#This Row],[CustomerID]], Customers_cleaned[CustomerID], Customers_cleaned[Segment]), "Customer Not Found"), "N/A")</f>
        <v>SMB</v>
      </c>
      <c r="P2477" s="5" t="str">
        <f>IF(Transactions_RAW_cleaned[[#This Row],[Status]]="Refunded", "Refund",
  IF(Transactions_RAW_cleaned[[#This Row],[Category]]="Payments", IF(Transactions_RAW_cleaned[[#This Row],[Amount]]&gt;500,"High Value","Standard"),
    IF(Transactions_RAW_cleaned[[#This Row],[Amount]]&gt;250,"High Value","Standard")))</f>
        <v>High Value</v>
      </c>
      <c r="Q2477" s="5" t="str">
        <f>IF(Transactions_RAW_cleaned[[#This Row],[Amount]] &gt; (_xlfn.XLOOKUP(Transactions_RAW_cleaned[[#This Row],[ServiceID]],Services_cleaned[ServiceID],Services_cleaned[TransactionFeePct]) * 10000), "Yes", "No")</f>
        <v>Yes</v>
      </c>
      <c r="R2477" s="5" t="str">
        <f>IF(COUNTIFS($C$2:Transactions_RAW_cleaned[[#This Row],[CustomerID]],Transactions_RAW_cleaned[[#This Row],[CustomerID]],$D$2:Transactions_RAW_cleaned[[#This Row],[ServiceID]],Transactions_RAW_cleaned[[#This Row],[ServiceID]])=1,"Yes","No")</f>
        <v>No</v>
      </c>
      <c r="S247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77" t="str">
        <f>"Q"&amp;ROUNDUP(MONTH(Transactions_RAW_cleaned[[#This Row],[TransactionDate]])/3,0)</f>
        <v>Q3</v>
      </c>
      <c r="U2477" t="str">
        <f>Transactions_RAW_cleaned[[#This Row],[Region ]]&amp;Transactions_RAW_cleaned[[#This Row],[Quarter ]]</f>
        <v>APACQ3</v>
      </c>
      <c r="V2477" s="5">
        <f>_xlfn.XLOOKUP(Transactions_RAW_cleaned[[#This Row],[RegionQuarterKey]], Quarterly_Targets_cleaned[RegionQuarterKey], Quarterly_Targets_cleaned[TargetRevenue])</f>
        <v>115500</v>
      </c>
    </row>
    <row r="2478" spans="1:22" x14ac:dyDescent="0.25">
      <c r="A2478" t="s">
        <v>2815</v>
      </c>
      <c r="B2478" s="1">
        <v>45420</v>
      </c>
      <c r="C2478" t="s">
        <v>80</v>
      </c>
      <c r="D2478" t="s">
        <v>294</v>
      </c>
      <c r="E2478">
        <v>358.38</v>
      </c>
      <c r="F2478" t="s">
        <v>381</v>
      </c>
      <c r="G2478" t="s">
        <v>327</v>
      </c>
      <c r="I2478" t="s">
        <v>8</v>
      </c>
      <c r="J2478" t="s">
        <v>13</v>
      </c>
      <c r="K2478" t="s">
        <v>32</v>
      </c>
      <c r="L2478" t="s">
        <v>295</v>
      </c>
      <c r="M2478" t="s">
        <v>296</v>
      </c>
      <c r="N2478">
        <v>2.9000000000000001E-2</v>
      </c>
      <c r="O2478" t="str">
        <f>IF(Transactions_RAW_cleaned[[#This Row],[Status]]="Completed", IFERROR(_xlfn.XLOOKUP(Transactions_RAW_cleaned[[#This Row],[CustomerID]], Customers_cleaned[CustomerID], Customers_cleaned[Segment]), "Customer Not Found"), "N/A")</f>
        <v>N/A</v>
      </c>
      <c r="P2478" s="5" t="str">
        <f>IF(Transactions_RAW_cleaned[[#This Row],[Status]]="Refunded", "Refund",
  IF(Transactions_RAW_cleaned[[#This Row],[Category]]="Payments", IF(Transactions_RAW_cleaned[[#This Row],[Amount]]&gt;500,"High Value","Standard"),
    IF(Transactions_RAW_cleaned[[#This Row],[Amount]]&gt;250,"High Value","Standard")))</f>
        <v>Standard</v>
      </c>
      <c r="Q2478" s="5" t="str">
        <f>IF(Transactions_RAW_cleaned[[#This Row],[Amount]] &gt; (_xlfn.XLOOKUP(Transactions_RAW_cleaned[[#This Row],[ServiceID]],Services_cleaned[ServiceID],Services_cleaned[TransactionFeePct]) * 10000), "Yes", "No")</f>
        <v>Yes</v>
      </c>
      <c r="R2478" s="5" t="str">
        <f>IF(COUNTIFS($C$2:Transactions_RAW_cleaned[[#This Row],[CustomerID]],Transactions_RAW_cleaned[[#This Row],[CustomerID]],$D$2:Transactions_RAW_cleaned[[#This Row],[ServiceID]],Transactions_RAW_cleaned[[#This Row],[ServiceID]])=1,"Yes","No")</f>
        <v>No</v>
      </c>
      <c r="S247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78" t="str">
        <f>"Q"&amp;ROUNDUP(MONTH(Transactions_RAW_cleaned[[#This Row],[TransactionDate]])/3,0)</f>
        <v>Q2</v>
      </c>
      <c r="U2478" t="str">
        <f>Transactions_RAW_cleaned[[#This Row],[Region ]]&amp;Transactions_RAW_cleaned[[#This Row],[Quarter ]]</f>
        <v>NAQ2</v>
      </c>
      <c r="V2478" s="5">
        <f>_xlfn.XLOOKUP(Transactions_RAW_cleaned[[#This Row],[RegionQuarterKey]], Quarterly_Targets_cleaned[RegionQuarterKey], Quarterly_Targets_cleaned[TargetRevenue])</f>
        <v>260000</v>
      </c>
    </row>
    <row r="2479" spans="1:22" x14ac:dyDescent="0.25">
      <c r="A2479" t="s">
        <v>2816</v>
      </c>
      <c r="B2479" s="1">
        <v>45438</v>
      </c>
      <c r="C2479" t="s">
        <v>221</v>
      </c>
      <c r="D2479" t="s">
        <v>294</v>
      </c>
      <c r="E2479">
        <v>192.44</v>
      </c>
      <c r="F2479" t="s">
        <v>324</v>
      </c>
      <c r="G2479" t="s">
        <v>325</v>
      </c>
      <c r="I2479" t="s">
        <v>8</v>
      </c>
      <c r="J2479" t="s">
        <v>102</v>
      </c>
      <c r="K2479" t="s">
        <v>14</v>
      </c>
      <c r="L2479" t="s">
        <v>295</v>
      </c>
      <c r="M2479" t="s">
        <v>296</v>
      </c>
      <c r="N2479">
        <v>2.9000000000000001E-2</v>
      </c>
      <c r="O2479" t="str">
        <f>IF(Transactions_RAW_cleaned[[#This Row],[Status]]="Completed", IFERROR(_xlfn.XLOOKUP(Transactions_RAW_cleaned[[#This Row],[CustomerID]], Customers_cleaned[CustomerID], Customers_cleaned[Segment]), "Customer Not Found"), "N/A")</f>
        <v>SMB</v>
      </c>
      <c r="P2479" s="5" t="str">
        <f>IF(Transactions_RAW_cleaned[[#This Row],[Status]]="Refunded", "Refund",
  IF(Transactions_RAW_cleaned[[#This Row],[Category]]="Payments", IF(Transactions_RAW_cleaned[[#This Row],[Amount]]&gt;500,"High Value","Standard"),
    IF(Transactions_RAW_cleaned[[#This Row],[Amount]]&gt;250,"High Value","Standard")))</f>
        <v>Standard</v>
      </c>
      <c r="Q2479" s="5" t="str">
        <f>IF(Transactions_RAW_cleaned[[#This Row],[Amount]] &gt; (_xlfn.XLOOKUP(Transactions_RAW_cleaned[[#This Row],[ServiceID]],Services_cleaned[ServiceID],Services_cleaned[TransactionFeePct]) * 10000), "Yes", "No")</f>
        <v>No</v>
      </c>
      <c r="R2479" s="5" t="str">
        <f>IF(COUNTIFS($C$2:Transactions_RAW_cleaned[[#This Row],[CustomerID]],Transactions_RAW_cleaned[[#This Row],[CustomerID]],$D$2:Transactions_RAW_cleaned[[#This Row],[ServiceID]],Transactions_RAW_cleaned[[#This Row],[ServiceID]])=1,"Yes","No")</f>
        <v>No</v>
      </c>
      <c r="S247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79" t="str">
        <f>"Q"&amp;ROUNDUP(MONTH(Transactions_RAW_cleaned[[#This Row],[TransactionDate]])/3,0)</f>
        <v>Q2</v>
      </c>
      <c r="U2479" t="str">
        <f>Transactions_RAW_cleaned[[#This Row],[Region ]]&amp;Transactions_RAW_cleaned[[#This Row],[Quarter ]]</f>
        <v>NAQ2</v>
      </c>
      <c r="V2479" s="5">
        <f>_xlfn.XLOOKUP(Transactions_RAW_cleaned[[#This Row],[RegionQuarterKey]], Quarterly_Targets_cleaned[RegionQuarterKey], Quarterly_Targets_cleaned[TargetRevenue])</f>
        <v>260000</v>
      </c>
    </row>
    <row r="2480" spans="1:22" x14ac:dyDescent="0.25">
      <c r="A2480" t="s">
        <v>2817</v>
      </c>
      <c r="B2480" s="1">
        <v>45389</v>
      </c>
      <c r="C2480" t="s">
        <v>129</v>
      </c>
      <c r="D2480" t="s">
        <v>303</v>
      </c>
      <c r="E2480">
        <v>341.78</v>
      </c>
      <c r="F2480" t="s">
        <v>324</v>
      </c>
      <c r="G2480" t="s">
        <v>329</v>
      </c>
      <c r="I2480" t="s">
        <v>8</v>
      </c>
      <c r="J2480" t="s">
        <v>21</v>
      </c>
      <c r="K2480" t="s">
        <v>18</v>
      </c>
      <c r="L2480" t="s">
        <v>304</v>
      </c>
      <c r="M2480" t="s">
        <v>305</v>
      </c>
      <c r="N2480">
        <v>1E-3</v>
      </c>
      <c r="O2480" t="str">
        <f>IF(Transactions_RAW_cleaned[[#This Row],[Status]]="Completed", IFERROR(_xlfn.XLOOKUP(Transactions_RAW_cleaned[[#This Row],[CustomerID]], Customers_cleaned[CustomerID], Customers_cleaned[Segment]), "Customer Not Found"), "N/A")</f>
        <v>SMB</v>
      </c>
      <c r="P2480" s="5" t="str">
        <f>IF(Transactions_RAW_cleaned[[#This Row],[Status]]="Refunded", "Refund",
  IF(Transactions_RAW_cleaned[[#This Row],[Category]]="Payments", IF(Transactions_RAW_cleaned[[#This Row],[Amount]]&gt;500,"High Value","Standard"),
    IF(Transactions_RAW_cleaned[[#This Row],[Amount]]&gt;250,"High Value","Standard")))</f>
        <v>High Value</v>
      </c>
      <c r="Q2480" s="5" t="str">
        <f>IF(Transactions_RAW_cleaned[[#This Row],[Amount]] &gt; (_xlfn.XLOOKUP(Transactions_RAW_cleaned[[#This Row],[ServiceID]],Services_cleaned[ServiceID],Services_cleaned[TransactionFeePct]) * 10000), "Yes", "No")</f>
        <v>Yes</v>
      </c>
      <c r="R2480" s="5" t="str">
        <f>IF(COUNTIFS($C$2:Transactions_RAW_cleaned[[#This Row],[CustomerID]],Transactions_RAW_cleaned[[#This Row],[CustomerID]],$D$2:Transactions_RAW_cleaned[[#This Row],[ServiceID]],Transactions_RAW_cleaned[[#This Row],[ServiceID]])=1,"Yes","No")</f>
        <v>No</v>
      </c>
      <c r="S248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80" t="str">
        <f>"Q"&amp;ROUNDUP(MONTH(Transactions_RAW_cleaned[[#This Row],[TransactionDate]])/3,0)</f>
        <v>Q2</v>
      </c>
      <c r="U2480" t="str">
        <f>Transactions_RAW_cleaned[[#This Row],[Region ]]&amp;Transactions_RAW_cleaned[[#This Row],[Quarter ]]</f>
        <v>APACQ2</v>
      </c>
      <c r="V2480" s="5">
        <f>_xlfn.XLOOKUP(Transactions_RAW_cleaned[[#This Row],[RegionQuarterKey]], Quarterly_Targets_cleaned[RegionQuarterKey], Quarterly_Targets_cleaned[TargetRevenue])</f>
        <v>110000</v>
      </c>
    </row>
    <row r="2481" spans="1:22" x14ac:dyDescent="0.25">
      <c r="A2481" t="s">
        <v>2818</v>
      </c>
      <c r="B2481" s="1">
        <v>45494</v>
      </c>
      <c r="C2481" t="s">
        <v>269</v>
      </c>
      <c r="D2481" t="s">
        <v>315</v>
      </c>
      <c r="E2481">
        <v>532.77</v>
      </c>
      <c r="F2481" t="s">
        <v>324</v>
      </c>
      <c r="G2481" t="s">
        <v>337</v>
      </c>
      <c r="I2481" t="s">
        <v>17</v>
      </c>
      <c r="J2481" t="s">
        <v>31</v>
      </c>
      <c r="K2481" t="s">
        <v>32</v>
      </c>
      <c r="L2481" t="s">
        <v>316</v>
      </c>
      <c r="M2481" t="s">
        <v>305</v>
      </c>
      <c r="N2481">
        <v>2.5000000000000001E-3</v>
      </c>
      <c r="O2481" t="str">
        <f>IF(Transactions_RAW_cleaned[[#This Row],[Status]]="Completed", IFERROR(_xlfn.XLOOKUP(Transactions_RAW_cleaned[[#This Row],[CustomerID]], Customers_cleaned[CustomerID], Customers_cleaned[Segment]), "Customer Not Found"), "N/A")</f>
        <v>Enterprise</v>
      </c>
      <c r="P2481" s="5" t="str">
        <f>IF(Transactions_RAW_cleaned[[#This Row],[Status]]="Refunded", "Refund",
  IF(Transactions_RAW_cleaned[[#This Row],[Category]]="Payments", IF(Transactions_RAW_cleaned[[#This Row],[Amount]]&gt;500,"High Value","Standard"),
    IF(Transactions_RAW_cleaned[[#This Row],[Amount]]&gt;250,"High Value","Standard")))</f>
        <v>High Value</v>
      </c>
      <c r="Q2481" s="5" t="str">
        <f>IF(Transactions_RAW_cleaned[[#This Row],[Amount]] &gt; (_xlfn.XLOOKUP(Transactions_RAW_cleaned[[#This Row],[ServiceID]],Services_cleaned[ServiceID],Services_cleaned[TransactionFeePct]) * 10000), "Yes", "No")</f>
        <v>Yes</v>
      </c>
      <c r="R2481" s="5" t="str">
        <f>IF(COUNTIFS($C$2:Transactions_RAW_cleaned[[#This Row],[CustomerID]],Transactions_RAW_cleaned[[#This Row],[CustomerID]],$D$2:Transactions_RAW_cleaned[[#This Row],[ServiceID]],Transactions_RAW_cleaned[[#This Row],[ServiceID]])=1,"Yes","No")</f>
        <v>No</v>
      </c>
      <c r="S248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81" t="str">
        <f>"Q"&amp;ROUNDUP(MONTH(Transactions_RAW_cleaned[[#This Row],[TransactionDate]])/3,0)</f>
        <v>Q3</v>
      </c>
      <c r="U2481" t="str">
        <f>Transactions_RAW_cleaned[[#This Row],[Region ]]&amp;Transactions_RAW_cleaned[[#This Row],[Quarter ]]</f>
        <v>EMEAQ3</v>
      </c>
      <c r="V2481" s="5">
        <f>_xlfn.XLOOKUP(Transactions_RAW_cleaned[[#This Row],[RegionQuarterKey]], Quarterly_Targets_cleaned[RegionQuarterKey], Quarterly_Targets_cleaned[TargetRevenue])</f>
        <v>147000</v>
      </c>
    </row>
    <row r="2482" spans="1:22" x14ac:dyDescent="0.25">
      <c r="A2482" t="s">
        <v>2819</v>
      </c>
      <c r="B2482" s="1">
        <v>45343</v>
      </c>
      <c r="C2482" t="s">
        <v>70</v>
      </c>
      <c r="D2482" t="s">
        <v>309</v>
      </c>
      <c r="E2482">
        <v>182.33</v>
      </c>
      <c r="F2482" t="s">
        <v>324</v>
      </c>
      <c r="G2482" t="s">
        <v>327</v>
      </c>
      <c r="H2482" t="s">
        <v>334</v>
      </c>
      <c r="I2482" t="s">
        <v>8</v>
      </c>
      <c r="J2482" t="s">
        <v>37</v>
      </c>
      <c r="K2482" t="s">
        <v>28</v>
      </c>
      <c r="L2482" t="s">
        <v>310</v>
      </c>
      <c r="M2482" t="s">
        <v>311</v>
      </c>
      <c r="N2482">
        <v>0</v>
      </c>
      <c r="O2482" t="str">
        <f>IF(Transactions_RAW_cleaned[[#This Row],[Status]]="Completed", IFERROR(_xlfn.XLOOKUP(Transactions_RAW_cleaned[[#This Row],[CustomerID]], Customers_cleaned[CustomerID], Customers_cleaned[Segment]), "Customer Not Found"), "N/A")</f>
        <v>SMB</v>
      </c>
      <c r="P2482" s="5" t="str">
        <f>IF(Transactions_RAW_cleaned[[#This Row],[Status]]="Refunded", "Refund",
  IF(Transactions_RAW_cleaned[[#This Row],[Category]]="Payments", IF(Transactions_RAW_cleaned[[#This Row],[Amount]]&gt;500,"High Value","Standard"),
    IF(Transactions_RAW_cleaned[[#This Row],[Amount]]&gt;250,"High Value","Standard")))</f>
        <v>Standard</v>
      </c>
      <c r="Q2482" s="5" t="str">
        <f>IF(Transactions_RAW_cleaned[[#This Row],[Amount]] &gt; (_xlfn.XLOOKUP(Transactions_RAW_cleaned[[#This Row],[ServiceID]],Services_cleaned[ServiceID],Services_cleaned[TransactionFeePct]) * 10000), "Yes", "No")</f>
        <v>Yes</v>
      </c>
      <c r="R2482" s="5" t="str">
        <f>IF(COUNTIFS($C$2:Transactions_RAW_cleaned[[#This Row],[CustomerID]],Transactions_RAW_cleaned[[#This Row],[CustomerID]],$D$2:Transactions_RAW_cleaned[[#This Row],[ServiceID]],Transactions_RAW_cleaned[[#This Row],[ServiceID]])=1,"Yes","No")</f>
        <v>No</v>
      </c>
      <c r="S248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82" t="str">
        <f>"Q"&amp;ROUNDUP(MONTH(Transactions_RAW_cleaned[[#This Row],[TransactionDate]])/3,0)</f>
        <v>Q1</v>
      </c>
      <c r="U2482" t="str">
        <f>Transactions_RAW_cleaned[[#This Row],[Region ]]&amp;Transactions_RAW_cleaned[[#This Row],[Quarter ]]</f>
        <v>EMEAQ1</v>
      </c>
      <c r="V2482" s="5">
        <f>_xlfn.XLOOKUP(Transactions_RAW_cleaned[[#This Row],[RegionQuarterKey]], Quarterly_Targets_cleaned[RegionQuarterKey], Quarterly_Targets_cleaned[TargetRevenue])</f>
        <v>133000</v>
      </c>
    </row>
    <row r="2483" spans="1:22" x14ac:dyDescent="0.25">
      <c r="A2483" t="s">
        <v>2820</v>
      </c>
      <c r="B2483" s="1">
        <v>45583</v>
      </c>
      <c r="C2483" t="s">
        <v>161</v>
      </c>
      <c r="D2483" t="s">
        <v>294</v>
      </c>
      <c r="E2483">
        <v>363.78</v>
      </c>
      <c r="F2483" t="s">
        <v>324</v>
      </c>
      <c r="G2483" t="s">
        <v>337</v>
      </c>
      <c r="H2483" t="s">
        <v>332</v>
      </c>
      <c r="I2483" t="s">
        <v>8</v>
      </c>
      <c r="J2483" t="s">
        <v>21</v>
      </c>
      <c r="K2483" t="s">
        <v>22</v>
      </c>
      <c r="L2483" t="s">
        <v>295</v>
      </c>
      <c r="M2483" t="s">
        <v>296</v>
      </c>
      <c r="N2483">
        <v>2.9000000000000001E-2</v>
      </c>
      <c r="O2483" t="str">
        <f>IF(Transactions_RAW_cleaned[[#This Row],[Status]]="Completed", IFERROR(_xlfn.XLOOKUP(Transactions_RAW_cleaned[[#This Row],[CustomerID]], Customers_cleaned[CustomerID], Customers_cleaned[Segment]), "Customer Not Found"), "N/A")</f>
        <v>SMB</v>
      </c>
      <c r="P2483" s="5" t="str">
        <f>IF(Transactions_RAW_cleaned[[#This Row],[Status]]="Refunded", "Refund",
  IF(Transactions_RAW_cleaned[[#This Row],[Category]]="Payments", IF(Transactions_RAW_cleaned[[#This Row],[Amount]]&gt;500,"High Value","Standard"),
    IF(Transactions_RAW_cleaned[[#This Row],[Amount]]&gt;250,"High Value","Standard")))</f>
        <v>Standard</v>
      </c>
      <c r="Q2483" s="5" t="str">
        <f>IF(Transactions_RAW_cleaned[[#This Row],[Amount]] &gt; (_xlfn.XLOOKUP(Transactions_RAW_cleaned[[#This Row],[ServiceID]],Services_cleaned[ServiceID],Services_cleaned[TransactionFeePct]) * 10000), "Yes", "No")</f>
        <v>Yes</v>
      </c>
      <c r="R2483" s="5" t="str">
        <f>IF(COUNTIFS($C$2:Transactions_RAW_cleaned[[#This Row],[CustomerID]],Transactions_RAW_cleaned[[#This Row],[CustomerID]],$D$2:Transactions_RAW_cleaned[[#This Row],[ServiceID]],Transactions_RAW_cleaned[[#This Row],[ServiceID]])=1,"Yes","No")</f>
        <v>No</v>
      </c>
      <c r="S248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83" t="str">
        <f>"Q"&amp;ROUNDUP(MONTH(Transactions_RAW_cleaned[[#This Row],[TransactionDate]])/3,0)</f>
        <v>Q4</v>
      </c>
      <c r="U2483" t="str">
        <f>Transactions_RAW_cleaned[[#This Row],[Region ]]&amp;Transactions_RAW_cleaned[[#This Row],[Quarter ]]</f>
        <v>APACQ4</v>
      </c>
      <c r="V2483" s="5">
        <f>_xlfn.XLOOKUP(Transactions_RAW_cleaned[[#This Row],[RegionQuarterKey]], Quarterly_Targets_cleaned[RegionQuarterKey], Quarterly_Targets_cleaned[TargetRevenue])</f>
        <v>126500</v>
      </c>
    </row>
    <row r="2484" spans="1:22" x14ac:dyDescent="0.25">
      <c r="A2484" t="s">
        <v>2821</v>
      </c>
      <c r="B2484" s="1">
        <v>45639</v>
      </c>
      <c r="C2484" t="s">
        <v>123</v>
      </c>
      <c r="D2484" t="s">
        <v>300</v>
      </c>
      <c r="E2484">
        <v>1050.1300000000001</v>
      </c>
      <c r="F2484" t="s">
        <v>324</v>
      </c>
      <c r="G2484" t="s">
        <v>329</v>
      </c>
      <c r="H2484" t="s">
        <v>332</v>
      </c>
      <c r="I2484" t="s">
        <v>8</v>
      </c>
      <c r="J2484" t="s">
        <v>13</v>
      </c>
      <c r="K2484" t="s">
        <v>32</v>
      </c>
      <c r="L2484" t="s">
        <v>301</v>
      </c>
      <c r="M2484" t="s">
        <v>302</v>
      </c>
      <c r="N2484">
        <v>5.0000000000000001E-3</v>
      </c>
      <c r="O2484" t="str">
        <f>IF(Transactions_RAW_cleaned[[#This Row],[Status]]="Completed", IFERROR(_xlfn.XLOOKUP(Transactions_RAW_cleaned[[#This Row],[CustomerID]], Customers_cleaned[CustomerID], Customers_cleaned[Segment]), "Customer Not Found"), "N/A")</f>
        <v>SMB</v>
      </c>
      <c r="P2484" s="5" t="str">
        <f>IF(Transactions_RAW_cleaned[[#This Row],[Status]]="Refunded", "Refund",
  IF(Transactions_RAW_cleaned[[#This Row],[Category]]="Payments", IF(Transactions_RAW_cleaned[[#This Row],[Amount]]&gt;500,"High Value","Standard"),
    IF(Transactions_RAW_cleaned[[#This Row],[Amount]]&gt;250,"High Value","Standard")))</f>
        <v>High Value</v>
      </c>
      <c r="Q2484" s="5" t="str">
        <f>IF(Transactions_RAW_cleaned[[#This Row],[Amount]] &gt; (_xlfn.XLOOKUP(Transactions_RAW_cleaned[[#This Row],[ServiceID]],Services_cleaned[ServiceID],Services_cleaned[TransactionFeePct]) * 10000), "Yes", "No")</f>
        <v>Yes</v>
      </c>
      <c r="R2484" s="5" t="str">
        <f>IF(COUNTIFS($C$2:Transactions_RAW_cleaned[[#This Row],[CustomerID]],Transactions_RAW_cleaned[[#This Row],[CustomerID]],$D$2:Transactions_RAW_cleaned[[#This Row],[ServiceID]],Transactions_RAW_cleaned[[#This Row],[ServiceID]])=1,"Yes","No")</f>
        <v>No</v>
      </c>
      <c r="S248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84" t="str">
        <f>"Q"&amp;ROUNDUP(MONTH(Transactions_RAW_cleaned[[#This Row],[TransactionDate]])/3,0)</f>
        <v>Q4</v>
      </c>
      <c r="U2484" t="str">
        <f>Transactions_RAW_cleaned[[#This Row],[Region ]]&amp;Transactions_RAW_cleaned[[#This Row],[Quarter ]]</f>
        <v>NAQ4</v>
      </c>
      <c r="V2484" s="5">
        <f>_xlfn.XLOOKUP(Transactions_RAW_cleaned[[#This Row],[RegionQuarterKey]], Quarterly_Targets_cleaned[RegionQuarterKey], Quarterly_Targets_cleaned[TargetRevenue])</f>
        <v>299000</v>
      </c>
    </row>
    <row r="2485" spans="1:22" x14ac:dyDescent="0.25">
      <c r="A2485" t="s">
        <v>2822</v>
      </c>
      <c r="B2485" s="1">
        <v>45610</v>
      </c>
      <c r="C2485" t="s">
        <v>193</v>
      </c>
      <c r="D2485" t="s">
        <v>306</v>
      </c>
      <c r="E2485">
        <v>270.08999999999997</v>
      </c>
      <c r="F2485" t="s">
        <v>324</v>
      </c>
      <c r="G2485" t="s">
        <v>329</v>
      </c>
      <c r="H2485" t="s">
        <v>334</v>
      </c>
      <c r="I2485" t="s">
        <v>8</v>
      </c>
      <c r="J2485" t="s">
        <v>102</v>
      </c>
      <c r="K2485" t="s">
        <v>18</v>
      </c>
      <c r="L2485" t="s">
        <v>307</v>
      </c>
      <c r="M2485" t="s">
        <v>308</v>
      </c>
      <c r="N2485">
        <v>0</v>
      </c>
      <c r="O2485" t="str">
        <f>IF(Transactions_RAW_cleaned[[#This Row],[Status]]="Completed", IFERROR(_xlfn.XLOOKUP(Transactions_RAW_cleaned[[#This Row],[CustomerID]], Customers_cleaned[CustomerID], Customers_cleaned[Segment]), "Customer Not Found"), "N/A")</f>
        <v>SMB</v>
      </c>
      <c r="P2485" s="5" t="str">
        <f>IF(Transactions_RAW_cleaned[[#This Row],[Status]]="Refunded", "Refund",
  IF(Transactions_RAW_cleaned[[#This Row],[Category]]="Payments", IF(Transactions_RAW_cleaned[[#This Row],[Amount]]&gt;500,"High Value","Standard"),
    IF(Transactions_RAW_cleaned[[#This Row],[Amount]]&gt;250,"High Value","Standard")))</f>
        <v>High Value</v>
      </c>
      <c r="Q2485" s="5" t="str">
        <f>IF(Transactions_RAW_cleaned[[#This Row],[Amount]] &gt; (_xlfn.XLOOKUP(Transactions_RAW_cleaned[[#This Row],[ServiceID]],Services_cleaned[ServiceID],Services_cleaned[TransactionFeePct]) * 10000), "Yes", "No")</f>
        <v>Yes</v>
      </c>
      <c r="R2485" s="5" t="str">
        <f>IF(COUNTIFS($C$2:Transactions_RAW_cleaned[[#This Row],[CustomerID]],Transactions_RAW_cleaned[[#This Row],[CustomerID]],$D$2:Transactions_RAW_cleaned[[#This Row],[ServiceID]],Transactions_RAW_cleaned[[#This Row],[ServiceID]])=1,"Yes","No")</f>
        <v>No</v>
      </c>
      <c r="S248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85" t="str">
        <f>"Q"&amp;ROUNDUP(MONTH(Transactions_RAW_cleaned[[#This Row],[TransactionDate]])/3,0)</f>
        <v>Q4</v>
      </c>
      <c r="U2485" t="str">
        <f>Transactions_RAW_cleaned[[#This Row],[Region ]]&amp;Transactions_RAW_cleaned[[#This Row],[Quarter ]]</f>
        <v>NAQ4</v>
      </c>
      <c r="V2485" s="5">
        <f>_xlfn.XLOOKUP(Transactions_RAW_cleaned[[#This Row],[RegionQuarterKey]], Quarterly_Targets_cleaned[RegionQuarterKey], Quarterly_Targets_cleaned[TargetRevenue])</f>
        <v>299000</v>
      </c>
    </row>
    <row r="2486" spans="1:22" x14ac:dyDescent="0.25">
      <c r="A2486" t="s">
        <v>2823</v>
      </c>
      <c r="B2486" s="1">
        <v>45398</v>
      </c>
      <c r="C2486" t="s">
        <v>211</v>
      </c>
      <c r="D2486" t="s">
        <v>294</v>
      </c>
      <c r="E2486">
        <v>89.99</v>
      </c>
      <c r="F2486" t="s">
        <v>324</v>
      </c>
      <c r="G2486" t="s">
        <v>327</v>
      </c>
      <c r="I2486" t="s">
        <v>8</v>
      </c>
      <c r="J2486" t="s">
        <v>31</v>
      </c>
      <c r="K2486" t="s">
        <v>22</v>
      </c>
      <c r="L2486" t="s">
        <v>295</v>
      </c>
      <c r="M2486" t="s">
        <v>296</v>
      </c>
      <c r="N2486">
        <v>2.9000000000000001E-2</v>
      </c>
      <c r="O2486" t="str">
        <f>IF(Transactions_RAW_cleaned[[#This Row],[Status]]="Completed", IFERROR(_xlfn.XLOOKUP(Transactions_RAW_cleaned[[#This Row],[CustomerID]], Customers_cleaned[CustomerID], Customers_cleaned[Segment]), "Customer Not Found"), "N/A")</f>
        <v>SMB</v>
      </c>
      <c r="P2486" s="5" t="str">
        <f>IF(Transactions_RAW_cleaned[[#This Row],[Status]]="Refunded", "Refund",
  IF(Transactions_RAW_cleaned[[#This Row],[Category]]="Payments", IF(Transactions_RAW_cleaned[[#This Row],[Amount]]&gt;500,"High Value","Standard"),
    IF(Transactions_RAW_cleaned[[#This Row],[Amount]]&gt;250,"High Value","Standard")))</f>
        <v>Standard</v>
      </c>
      <c r="Q2486" s="5" t="str">
        <f>IF(Transactions_RAW_cleaned[[#This Row],[Amount]] &gt; (_xlfn.XLOOKUP(Transactions_RAW_cleaned[[#This Row],[ServiceID]],Services_cleaned[ServiceID],Services_cleaned[TransactionFeePct]) * 10000), "Yes", "No")</f>
        <v>No</v>
      </c>
      <c r="R2486" s="5" t="str">
        <f>IF(COUNTIFS($C$2:Transactions_RAW_cleaned[[#This Row],[CustomerID]],Transactions_RAW_cleaned[[#This Row],[CustomerID]],$D$2:Transactions_RAW_cleaned[[#This Row],[ServiceID]],Transactions_RAW_cleaned[[#This Row],[ServiceID]])=1,"Yes","No")</f>
        <v>No</v>
      </c>
      <c r="S248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86" t="str">
        <f>"Q"&amp;ROUNDUP(MONTH(Transactions_RAW_cleaned[[#This Row],[TransactionDate]])/3,0)</f>
        <v>Q2</v>
      </c>
      <c r="U2486" t="str">
        <f>Transactions_RAW_cleaned[[#This Row],[Region ]]&amp;Transactions_RAW_cleaned[[#This Row],[Quarter ]]</f>
        <v>EMEAQ2</v>
      </c>
      <c r="V2486" s="5">
        <f>_xlfn.XLOOKUP(Transactions_RAW_cleaned[[#This Row],[RegionQuarterKey]], Quarterly_Targets_cleaned[RegionQuarterKey], Quarterly_Targets_cleaned[TargetRevenue])</f>
        <v>140000</v>
      </c>
    </row>
    <row r="2487" spans="1:22" x14ac:dyDescent="0.25">
      <c r="A2487" t="s">
        <v>2824</v>
      </c>
      <c r="B2487" s="1">
        <v>45657</v>
      </c>
      <c r="C2487" t="s">
        <v>47</v>
      </c>
      <c r="D2487" t="s">
        <v>315</v>
      </c>
      <c r="E2487">
        <v>336.14</v>
      </c>
      <c r="F2487" t="s">
        <v>381</v>
      </c>
      <c r="G2487" t="s">
        <v>2963</v>
      </c>
      <c r="H2487" t="s">
        <v>346</v>
      </c>
      <c r="I2487" t="s">
        <v>8</v>
      </c>
      <c r="J2487" t="s">
        <v>21</v>
      </c>
      <c r="K2487" t="s">
        <v>22</v>
      </c>
      <c r="L2487" t="s">
        <v>316</v>
      </c>
      <c r="M2487" t="s">
        <v>305</v>
      </c>
      <c r="N2487">
        <v>2.5000000000000001E-3</v>
      </c>
      <c r="O2487" t="str">
        <f>IF(Transactions_RAW_cleaned[[#This Row],[Status]]="Completed", IFERROR(_xlfn.XLOOKUP(Transactions_RAW_cleaned[[#This Row],[CustomerID]], Customers_cleaned[CustomerID], Customers_cleaned[Segment]), "Customer Not Found"), "N/A")</f>
        <v>N/A</v>
      </c>
      <c r="P2487" s="5" t="str">
        <f>IF(Transactions_RAW_cleaned[[#This Row],[Status]]="Refunded", "Refund",
  IF(Transactions_RAW_cleaned[[#This Row],[Category]]="Payments", IF(Transactions_RAW_cleaned[[#This Row],[Amount]]&gt;500,"High Value","Standard"),
    IF(Transactions_RAW_cleaned[[#This Row],[Amount]]&gt;250,"High Value","Standard")))</f>
        <v>High Value</v>
      </c>
      <c r="Q2487" s="5" t="str">
        <f>IF(Transactions_RAW_cleaned[[#This Row],[Amount]] &gt; (_xlfn.XLOOKUP(Transactions_RAW_cleaned[[#This Row],[ServiceID]],Services_cleaned[ServiceID],Services_cleaned[TransactionFeePct]) * 10000), "Yes", "No")</f>
        <v>Yes</v>
      </c>
      <c r="R2487" s="5" t="str">
        <f>IF(COUNTIFS($C$2:Transactions_RAW_cleaned[[#This Row],[CustomerID]],Transactions_RAW_cleaned[[#This Row],[CustomerID]],$D$2:Transactions_RAW_cleaned[[#This Row],[ServiceID]],Transactions_RAW_cleaned[[#This Row],[ServiceID]])=1,"Yes","No")</f>
        <v>No</v>
      </c>
      <c r="S248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87" t="str">
        <f>"Q"&amp;ROUNDUP(MONTH(Transactions_RAW_cleaned[[#This Row],[TransactionDate]])/3,0)</f>
        <v>Q4</v>
      </c>
      <c r="U2487" t="str">
        <f>Transactions_RAW_cleaned[[#This Row],[Region ]]&amp;Transactions_RAW_cleaned[[#This Row],[Quarter ]]</f>
        <v>APACQ4</v>
      </c>
      <c r="V2487" s="5">
        <f>_xlfn.XLOOKUP(Transactions_RAW_cleaned[[#This Row],[RegionQuarterKey]], Quarterly_Targets_cleaned[RegionQuarterKey], Quarterly_Targets_cleaned[TargetRevenue])</f>
        <v>126500</v>
      </c>
    </row>
    <row r="2488" spans="1:22" x14ac:dyDescent="0.25">
      <c r="A2488" t="s">
        <v>2825</v>
      </c>
      <c r="B2488" s="1">
        <v>45620</v>
      </c>
      <c r="C2488" t="s">
        <v>253</v>
      </c>
      <c r="D2488" t="s">
        <v>297</v>
      </c>
      <c r="E2488">
        <v>360.01</v>
      </c>
      <c r="F2488" t="s">
        <v>324</v>
      </c>
      <c r="G2488" t="s">
        <v>325</v>
      </c>
      <c r="I2488" t="s">
        <v>8</v>
      </c>
      <c r="J2488" t="s">
        <v>102</v>
      </c>
      <c r="K2488" t="s">
        <v>28</v>
      </c>
      <c r="L2488" t="s">
        <v>298</v>
      </c>
      <c r="M2488" t="s">
        <v>299</v>
      </c>
      <c r="N2488">
        <v>0</v>
      </c>
      <c r="O2488" t="str">
        <f>IF(Transactions_RAW_cleaned[[#This Row],[Status]]="Completed", IFERROR(_xlfn.XLOOKUP(Transactions_RAW_cleaned[[#This Row],[CustomerID]], Customers_cleaned[CustomerID], Customers_cleaned[Segment]), "Customer Not Found"), "N/A")</f>
        <v>SMB</v>
      </c>
      <c r="P2488" s="5" t="str">
        <f>IF(Transactions_RAW_cleaned[[#This Row],[Status]]="Refunded", "Refund",
  IF(Transactions_RAW_cleaned[[#This Row],[Category]]="Payments", IF(Transactions_RAW_cleaned[[#This Row],[Amount]]&gt;500,"High Value","Standard"),
    IF(Transactions_RAW_cleaned[[#This Row],[Amount]]&gt;250,"High Value","Standard")))</f>
        <v>High Value</v>
      </c>
      <c r="Q2488" s="5" t="str">
        <f>IF(Transactions_RAW_cleaned[[#This Row],[Amount]] &gt; (_xlfn.XLOOKUP(Transactions_RAW_cleaned[[#This Row],[ServiceID]],Services_cleaned[ServiceID],Services_cleaned[TransactionFeePct]) * 10000), "Yes", "No")</f>
        <v>Yes</v>
      </c>
      <c r="R2488" s="5" t="str">
        <f>IF(COUNTIFS($C$2:Transactions_RAW_cleaned[[#This Row],[CustomerID]],Transactions_RAW_cleaned[[#This Row],[CustomerID]],$D$2:Transactions_RAW_cleaned[[#This Row],[ServiceID]],Transactions_RAW_cleaned[[#This Row],[ServiceID]])=1,"Yes","No")</f>
        <v>No</v>
      </c>
      <c r="S248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88" t="str">
        <f>"Q"&amp;ROUNDUP(MONTH(Transactions_RAW_cleaned[[#This Row],[TransactionDate]])/3,0)</f>
        <v>Q4</v>
      </c>
      <c r="U2488" t="str">
        <f>Transactions_RAW_cleaned[[#This Row],[Region ]]&amp;Transactions_RAW_cleaned[[#This Row],[Quarter ]]</f>
        <v>NAQ4</v>
      </c>
      <c r="V2488" s="5">
        <f>_xlfn.XLOOKUP(Transactions_RAW_cleaned[[#This Row],[RegionQuarterKey]], Quarterly_Targets_cleaned[RegionQuarterKey], Quarterly_Targets_cleaned[TargetRevenue])</f>
        <v>299000</v>
      </c>
    </row>
    <row r="2489" spans="1:22" x14ac:dyDescent="0.25">
      <c r="A2489" t="s">
        <v>2826</v>
      </c>
      <c r="B2489" s="1">
        <v>45618</v>
      </c>
      <c r="C2489" t="s">
        <v>201</v>
      </c>
      <c r="D2489" t="s">
        <v>294</v>
      </c>
      <c r="E2489">
        <v>402.32</v>
      </c>
      <c r="F2489" t="s">
        <v>324</v>
      </c>
      <c r="G2489" t="s">
        <v>337</v>
      </c>
      <c r="I2489" t="s">
        <v>57</v>
      </c>
      <c r="J2489" t="s">
        <v>37</v>
      </c>
      <c r="K2489" t="s">
        <v>32</v>
      </c>
      <c r="L2489" t="s">
        <v>295</v>
      </c>
      <c r="M2489" t="s">
        <v>296</v>
      </c>
      <c r="N2489">
        <v>2.9000000000000001E-2</v>
      </c>
      <c r="O2489" t="str">
        <f>IF(Transactions_RAW_cleaned[[#This Row],[Status]]="Completed", IFERROR(_xlfn.XLOOKUP(Transactions_RAW_cleaned[[#This Row],[CustomerID]], Customers_cleaned[CustomerID], Customers_cleaned[Segment]), "Customer Not Found"), "N/A")</f>
        <v>Startup</v>
      </c>
      <c r="P2489" s="5" t="str">
        <f>IF(Transactions_RAW_cleaned[[#This Row],[Status]]="Refunded", "Refund",
  IF(Transactions_RAW_cleaned[[#This Row],[Category]]="Payments", IF(Transactions_RAW_cleaned[[#This Row],[Amount]]&gt;500,"High Value","Standard"),
    IF(Transactions_RAW_cleaned[[#This Row],[Amount]]&gt;250,"High Value","Standard")))</f>
        <v>Standard</v>
      </c>
      <c r="Q2489" s="5" t="str">
        <f>IF(Transactions_RAW_cleaned[[#This Row],[Amount]] &gt; (_xlfn.XLOOKUP(Transactions_RAW_cleaned[[#This Row],[ServiceID]],Services_cleaned[ServiceID],Services_cleaned[TransactionFeePct]) * 10000), "Yes", "No")</f>
        <v>Yes</v>
      </c>
      <c r="R2489" s="5" t="str">
        <f>IF(COUNTIFS($C$2:Transactions_RAW_cleaned[[#This Row],[CustomerID]],Transactions_RAW_cleaned[[#This Row],[CustomerID]],$D$2:Transactions_RAW_cleaned[[#This Row],[ServiceID]],Transactions_RAW_cleaned[[#This Row],[ServiceID]])=1,"Yes","No")</f>
        <v>No</v>
      </c>
      <c r="S248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89" t="str">
        <f>"Q"&amp;ROUNDUP(MONTH(Transactions_RAW_cleaned[[#This Row],[TransactionDate]])/3,0)</f>
        <v>Q4</v>
      </c>
      <c r="U2489" t="str">
        <f>Transactions_RAW_cleaned[[#This Row],[Region ]]&amp;Transactions_RAW_cleaned[[#This Row],[Quarter ]]</f>
        <v>EMEAQ4</v>
      </c>
      <c r="V2489" s="5">
        <f>_xlfn.XLOOKUP(Transactions_RAW_cleaned[[#This Row],[RegionQuarterKey]], Quarterly_Targets_cleaned[RegionQuarterKey], Quarterly_Targets_cleaned[TargetRevenue])</f>
        <v>161000</v>
      </c>
    </row>
    <row r="2490" spans="1:22" x14ac:dyDescent="0.25">
      <c r="A2490" t="s">
        <v>2827</v>
      </c>
      <c r="B2490" s="1">
        <v>45485</v>
      </c>
      <c r="C2490" t="s">
        <v>2828</v>
      </c>
      <c r="D2490" t="s">
        <v>294</v>
      </c>
      <c r="E2490">
        <v>250</v>
      </c>
      <c r="F2490" t="s">
        <v>324</v>
      </c>
      <c r="G2490" t="s">
        <v>2963</v>
      </c>
      <c r="L2490" t="s">
        <v>295</v>
      </c>
      <c r="M2490" t="s">
        <v>296</v>
      </c>
      <c r="N2490">
        <v>2.9000000000000001E-2</v>
      </c>
      <c r="O2490" t="str">
        <f>IF(Transactions_RAW_cleaned[[#This Row],[Status]]="Completed", IFERROR(_xlfn.XLOOKUP(Transactions_RAW_cleaned[[#This Row],[CustomerID]], Customers_cleaned[CustomerID], Customers_cleaned[Segment]), "Customer Not Found"), "N/A")</f>
        <v>Customer Not Found</v>
      </c>
      <c r="P2490" s="5" t="str">
        <f>IF(Transactions_RAW_cleaned[[#This Row],[Status]]="Refunded", "Refund",
  IF(Transactions_RAW_cleaned[[#This Row],[Category]]="Payments", IF(Transactions_RAW_cleaned[[#This Row],[Amount]]&gt;500,"High Value","Standard"),
    IF(Transactions_RAW_cleaned[[#This Row],[Amount]]&gt;250,"High Value","Standard")))</f>
        <v>Standard</v>
      </c>
      <c r="Q2490" s="5" t="str">
        <f>IF(Transactions_RAW_cleaned[[#This Row],[Amount]] &gt; (_xlfn.XLOOKUP(Transactions_RAW_cleaned[[#This Row],[ServiceID]],Services_cleaned[ServiceID],Services_cleaned[TransactionFeePct]) * 10000), "Yes", "No")</f>
        <v>No</v>
      </c>
      <c r="R2490" s="5" t="str">
        <f>IF(COUNTIFS($C$2:Transactions_RAW_cleaned[[#This Row],[CustomerID]],Transactions_RAW_cleaned[[#This Row],[CustomerID]],$D$2:Transactions_RAW_cleaned[[#This Row],[ServiceID]],Transactions_RAW_cleaned[[#This Row],[ServiceID]])=1,"Yes","No")</f>
        <v>Yes</v>
      </c>
      <c r="S249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90" t="str">
        <f>"Q"&amp;ROUNDUP(MONTH(Transactions_RAW_cleaned[[#This Row],[TransactionDate]])/3,0)</f>
        <v>Q3</v>
      </c>
      <c r="U2490" t="str">
        <f>Transactions_RAW_cleaned[[#This Row],[Region ]]&amp;Transactions_RAW_cleaned[[#This Row],[Quarter ]]</f>
        <v>APACQ3</v>
      </c>
      <c r="V2490" s="5">
        <f>_xlfn.XLOOKUP(Transactions_RAW_cleaned[[#This Row],[RegionQuarterKey]], Quarterly_Targets_cleaned[RegionQuarterKey], Quarterly_Targets_cleaned[TargetRevenue])</f>
        <v>115500</v>
      </c>
    </row>
    <row r="2491" spans="1:22" x14ac:dyDescent="0.25">
      <c r="A2491" t="s">
        <v>2829</v>
      </c>
      <c r="B2491" s="1">
        <v>45521</v>
      </c>
      <c r="C2491" t="s">
        <v>211</v>
      </c>
      <c r="D2491" t="s">
        <v>306</v>
      </c>
      <c r="E2491">
        <v>250.17</v>
      </c>
      <c r="F2491" t="s">
        <v>324</v>
      </c>
      <c r="G2491" t="s">
        <v>325</v>
      </c>
      <c r="H2491" t="s">
        <v>346</v>
      </c>
      <c r="I2491" t="s">
        <v>8</v>
      </c>
      <c r="J2491" t="s">
        <v>31</v>
      </c>
      <c r="K2491" t="s">
        <v>22</v>
      </c>
      <c r="L2491" t="s">
        <v>307</v>
      </c>
      <c r="M2491" t="s">
        <v>308</v>
      </c>
      <c r="N2491">
        <v>0</v>
      </c>
      <c r="O2491" t="str">
        <f>IF(Transactions_RAW_cleaned[[#This Row],[Status]]="Completed", IFERROR(_xlfn.XLOOKUP(Transactions_RAW_cleaned[[#This Row],[CustomerID]], Customers_cleaned[CustomerID], Customers_cleaned[Segment]), "Customer Not Found"), "N/A")</f>
        <v>SMB</v>
      </c>
      <c r="P2491" s="5" t="str">
        <f>IF(Transactions_RAW_cleaned[[#This Row],[Status]]="Refunded", "Refund",
  IF(Transactions_RAW_cleaned[[#This Row],[Category]]="Payments", IF(Transactions_RAW_cleaned[[#This Row],[Amount]]&gt;500,"High Value","Standard"),
    IF(Transactions_RAW_cleaned[[#This Row],[Amount]]&gt;250,"High Value","Standard")))</f>
        <v>High Value</v>
      </c>
      <c r="Q2491" s="5" t="str">
        <f>IF(Transactions_RAW_cleaned[[#This Row],[Amount]] &gt; (_xlfn.XLOOKUP(Transactions_RAW_cleaned[[#This Row],[ServiceID]],Services_cleaned[ServiceID],Services_cleaned[TransactionFeePct]) * 10000), "Yes", "No")</f>
        <v>Yes</v>
      </c>
      <c r="R2491" s="5" t="str">
        <f>IF(COUNTIFS($C$2:Transactions_RAW_cleaned[[#This Row],[CustomerID]],Transactions_RAW_cleaned[[#This Row],[CustomerID]],$D$2:Transactions_RAW_cleaned[[#This Row],[ServiceID]],Transactions_RAW_cleaned[[#This Row],[ServiceID]])=1,"Yes","No")</f>
        <v>No</v>
      </c>
      <c r="S249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91" t="str">
        <f>"Q"&amp;ROUNDUP(MONTH(Transactions_RAW_cleaned[[#This Row],[TransactionDate]])/3,0)</f>
        <v>Q3</v>
      </c>
      <c r="U2491" t="str">
        <f>Transactions_RAW_cleaned[[#This Row],[Region ]]&amp;Transactions_RAW_cleaned[[#This Row],[Quarter ]]</f>
        <v>EMEAQ3</v>
      </c>
      <c r="V2491" s="5">
        <f>_xlfn.XLOOKUP(Transactions_RAW_cleaned[[#This Row],[RegionQuarterKey]], Quarterly_Targets_cleaned[RegionQuarterKey], Quarterly_Targets_cleaned[TargetRevenue])</f>
        <v>147000</v>
      </c>
    </row>
    <row r="2492" spans="1:22" x14ac:dyDescent="0.25">
      <c r="A2492" t="s">
        <v>2830</v>
      </c>
      <c r="B2492" s="1">
        <v>45328</v>
      </c>
      <c r="C2492" t="s">
        <v>2831</v>
      </c>
      <c r="D2492" t="s">
        <v>306</v>
      </c>
      <c r="E2492">
        <v>541.38</v>
      </c>
      <c r="F2492" t="s">
        <v>324</v>
      </c>
      <c r="G2492" t="s">
        <v>325</v>
      </c>
      <c r="L2492" t="s">
        <v>307</v>
      </c>
      <c r="M2492" t="s">
        <v>308</v>
      </c>
      <c r="N2492">
        <v>0</v>
      </c>
      <c r="O2492" t="str">
        <f>IF(Transactions_RAW_cleaned[[#This Row],[Status]]="Completed", IFERROR(_xlfn.XLOOKUP(Transactions_RAW_cleaned[[#This Row],[CustomerID]], Customers_cleaned[CustomerID], Customers_cleaned[Segment]), "Customer Not Found"), "N/A")</f>
        <v>Customer Not Found</v>
      </c>
      <c r="P2492" s="5" t="str">
        <f>IF(Transactions_RAW_cleaned[[#This Row],[Status]]="Refunded", "Refund",
  IF(Transactions_RAW_cleaned[[#This Row],[Category]]="Payments", IF(Transactions_RAW_cleaned[[#This Row],[Amount]]&gt;500,"High Value","Standard"),
    IF(Transactions_RAW_cleaned[[#This Row],[Amount]]&gt;250,"High Value","Standard")))</f>
        <v>High Value</v>
      </c>
      <c r="Q2492" s="5" t="str">
        <f>IF(Transactions_RAW_cleaned[[#This Row],[Amount]] &gt; (_xlfn.XLOOKUP(Transactions_RAW_cleaned[[#This Row],[ServiceID]],Services_cleaned[ServiceID],Services_cleaned[TransactionFeePct]) * 10000), "Yes", "No")</f>
        <v>Yes</v>
      </c>
      <c r="R2492" s="5" t="str">
        <f>IF(COUNTIFS($C$2:Transactions_RAW_cleaned[[#This Row],[CustomerID]],Transactions_RAW_cleaned[[#This Row],[CustomerID]],$D$2:Transactions_RAW_cleaned[[#This Row],[ServiceID]],Transactions_RAW_cleaned[[#This Row],[ServiceID]])=1,"Yes","No")</f>
        <v>Yes</v>
      </c>
      <c r="S249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92" t="str">
        <f>"Q"&amp;ROUNDUP(MONTH(Transactions_RAW_cleaned[[#This Row],[TransactionDate]])/3,0)</f>
        <v>Q1</v>
      </c>
      <c r="U2492" t="str">
        <f>Transactions_RAW_cleaned[[#This Row],[Region ]]&amp;Transactions_RAW_cleaned[[#This Row],[Quarter ]]</f>
        <v>APACQ1</v>
      </c>
      <c r="V2492" s="5">
        <f>_xlfn.XLOOKUP(Transactions_RAW_cleaned[[#This Row],[RegionQuarterKey]], Quarterly_Targets_cleaned[RegionQuarterKey], Quarterly_Targets_cleaned[TargetRevenue])</f>
        <v>104500</v>
      </c>
    </row>
    <row r="2493" spans="1:22" x14ac:dyDescent="0.25">
      <c r="A2493" t="s">
        <v>2832</v>
      </c>
      <c r="B2493" s="1">
        <v>45656</v>
      </c>
      <c r="C2493" t="s">
        <v>165</v>
      </c>
      <c r="D2493" t="s">
        <v>297</v>
      </c>
      <c r="E2493">
        <v>671.2</v>
      </c>
      <c r="F2493" t="s">
        <v>324</v>
      </c>
      <c r="G2493" t="s">
        <v>327</v>
      </c>
      <c r="H2493" t="s">
        <v>332</v>
      </c>
      <c r="I2493" t="s">
        <v>8</v>
      </c>
      <c r="J2493" t="s">
        <v>31</v>
      </c>
      <c r="K2493" t="s">
        <v>32</v>
      </c>
      <c r="L2493" t="s">
        <v>298</v>
      </c>
      <c r="M2493" t="s">
        <v>299</v>
      </c>
      <c r="N2493">
        <v>0</v>
      </c>
      <c r="O2493" t="str">
        <f>IF(Transactions_RAW_cleaned[[#This Row],[Status]]="Completed", IFERROR(_xlfn.XLOOKUP(Transactions_RAW_cleaned[[#This Row],[CustomerID]], Customers_cleaned[CustomerID], Customers_cleaned[Segment]), "Customer Not Found"), "N/A")</f>
        <v>SMB</v>
      </c>
      <c r="P2493" s="5" t="str">
        <f>IF(Transactions_RAW_cleaned[[#This Row],[Status]]="Refunded", "Refund",
  IF(Transactions_RAW_cleaned[[#This Row],[Category]]="Payments", IF(Transactions_RAW_cleaned[[#This Row],[Amount]]&gt;500,"High Value","Standard"),
    IF(Transactions_RAW_cleaned[[#This Row],[Amount]]&gt;250,"High Value","Standard")))</f>
        <v>High Value</v>
      </c>
      <c r="Q2493" s="5" t="str">
        <f>IF(Transactions_RAW_cleaned[[#This Row],[Amount]] &gt; (_xlfn.XLOOKUP(Transactions_RAW_cleaned[[#This Row],[ServiceID]],Services_cleaned[ServiceID],Services_cleaned[TransactionFeePct]) * 10000), "Yes", "No")</f>
        <v>Yes</v>
      </c>
      <c r="R2493" s="5" t="str">
        <f>IF(COUNTIFS($C$2:Transactions_RAW_cleaned[[#This Row],[CustomerID]],Transactions_RAW_cleaned[[#This Row],[CustomerID]],$D$2:Transactions_RAW_cleaned[[#This Row],[ServiceID]],Transactions_RAW_cleaned[[#This Row],[ServiceID]])=1,"Yes","No")</f>
        <v>No</v>
      </c>
      <c r="S249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93" t="str">
        <f>"Q"&amp;ROUNDUP(MONTH(Transactions_RAW_cleaned[[#This Row],[TransactionDate]])/3,0)</f>
        <v>Q4</v>
      </c>
      <c r="U2493" t="str">
        <f>Transactions_RAW_cleaned[[#This Row],[Region ]]&amp;Transactions_RAW_cleaned[[#This Row],[Quarter ]]</f>
        <v>EMEAQ4</v>
      </c>
      <c r="V2493" s="5">
        <f>_xlfn.XLOOKUP(Transactions_RAW_cleaned[[#This Row],[RegionQuarterKey]], Quarterly_Targets_cleaned[RegionQuarterKey], Quarterly_Targets_cleaned[TargetRevenue])</f>
        <v>161000</v>
      </c>
    </row>
    <row r="2494" spans="1:22" x14ac:dyDescent="0.25">
      <c r="A2494" t="s">
        <v>2833</v>
      </c>
      <c r="B2494" s="1">
        <v>45436</v>
      </c>
      <c r="C2494" t="s">
        <v>29</v>
      </c>
      <c r="D2494" t="s">
        <v>297</v>
      </c>
      <c r="E2494">
        <v>-595.98</v>
      </c>
      <c r="F2494" t="s">
        <v>349</v>
      </c>
      <c r="G2494" t="s">
        <v>329</v>
      </c>
      <c r="H2494" t="s">
        <v>332</v>
      </c>
      <c r="I2494" t="s">
        <v>8</v>
      </c>
      <c r="J2494" t="s">
        <v>31</v>
      </c>
      <c r="K2494" t="s">
        <v>32</v>
      </c>
      <c r="L2494" t="s">
        <v>298</v>
      </c>
      <c r="M2494" t="s">
        <v>299</v>
      </c>
      <c r="N2494">
        <v>0</v>
      </c>
      <c r="O2494" t="str">
        <f>IF(Transactions_RAW_cleaned[[#This Row],[Status]]="Completed", IFERROR(_xlfn.XLOOKUP(Transactions_RAW_cleaned[[#This Row],[CustomerID]], Customers_cleaned[CustomerID], Customers_cleaned[Segment]), "Customer Not Found"), "N/A")</f>
        <v>N/A</v>
      </c>
      <c r="P2494" s="5" t="str">
        <f>IF(Transactions_RAW_cleaned[[#This Row],[Status]]="Refunded", "Refund",
  IF(Transactions_RAW_cleaned[[#This Row],[Category]]="Payments", IF(Transactions_RAW_cleaned[[#This Row],[Amount]]&gt;500,"High Value","Standard"),
    IF(Transactions_RAW_cleaned[[#This Row],[Amount]]&gt;250,"High Value","Standard")))</f>
        <v>Refund</v>
      </c>
      <c r="Q2494" s="5" t="str">
        <f>IF(Transactions_RAW_cleaned[[#This Row],[Amount]] &gt; (_xlfn.XLOOKUP(Transactions_RAW_cleaned[[#This Row],[ServiceID]],Services_cleaned[ServiceID],Services_cleaned[TransactionFeePct]) * 10000), "Yes", "No")</f>
        <v>No</v>
      </c>
      <c r="R2494" s="5" t="str">
        <f>IF(COUNTIFS($C$2:Transactions_RAW_cleaned[[#This Row],[CustomerID]],Transactions_RAW_cleaned[[#This Row],[CustomerID]],$D$2:Transactions_RAW_cleaned[[#This Row],[ServiceID]],Transactions_RAW_cleaned[[#This Row],[ServiceID]])=1,"Yes","No")</f>
        <v>No</v>
      </c>
      <c r="S249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494" t="str">
        <f>"Q"&amp;ROUNDUP(MONTH(Transactions_RAW_cleaned[[#This Row],[TransactionDate]])/3,0)</f>
        <v>Q2</v>
      </c>
      <c r="U2494" t="str">
        <f>Transactions_RAW_cleaned[[#This Row],[Region ]]&amp;Transactions_RAW_cleaned[[#This Row],[Quarter ]]</f>
        <v>EMEAQ2</v>
      </c>
      <c r="V2494" s="5">
        <f>_xlfn.XLOOKUP(Transactions_RAW_cleaned[[#This Row],[RegionQuarterKey]], Quarterly_Targets_cleaned[RegionQuarterKey], Quarterly_Targets_cleaned[TargetRevenue])</f>
        <v>140000</v>
      </c>
    </row>
    <row r="2495" spans="1:22" x14ac:dyDescent="0.25">
      <c r="A2495" t="s">
        <v>2834</v>
      </c>
      <c r="B2495" s="1">
        <v>45503</v>
      </c>
      <c r="C2495" t="s">
        <v>19</v>
      </c>
      <c r="D2495" t="s">
        <v>315</v>
      </c>
      <c r="E2495">
        <v>381.29</v>
      </c>
      <c r="F2495" t="s">
        <v>324</v>
      </c>
      <c r="G2495" t="s">
        <v>325</v>
      </c>
      <c r="I2495" t="s">
        <v>8</v>
      </c>
      <c r="J2495" t="s">
        <v>21</v>
      </c>
      <c r="K2495" t="s">
        <v>22</v>
      </c>
      <c r="L2495" t="s">
        <v>316</v>
      </c>
      <c r="M2495" t="s">
        <v>305</v>
      </c>
      <c r="N2495">
        <v>2.5000000000000001E-3</v>
      </c>
      <c r="O2495" t="str">
        <f>IF(Transactions_RAW_cleaned[[#This Row],[Status]]="Completed", IFERROR(_xlfn.XLOOKUP(Transactions_RAW_cleaned[[#This Row],[CustomerID]], Customers_cleaned[CustomerID], Customers_cleaned[Segment]), "Customer Not Found"), "N/A")</f>
        <v>SMB</v>
      </c>
      <c r="P2495" s="5" t="str">
        <f>IF(Transactions_RAW_cleaned[[#This Row],[Status]]="Refunded", "Refund",
  IF(Transactions_RAW_cleaned[[#This Row],[Category]]="Payments", IF(Transactions_RAW_cleaned[[#This Row],[Amount]]&gt;500,"High Value","Standard"),
    IF(Transactions_RAW_cleaned[[#This Row],[Amount]]&gt;250,"High Value","Standard")))</f>
        <v>High Value</v>
      </c>
      <c r="Q2495" s="5" t="str">
        <f>IF(Transactions_RAW_cleaned[[#This Row],[Amount]] &gt; (_xlfn.XLOOKUP(Transactions_RAW_cleaned[[#This Row],[ServiceID]],Services_cleaned[ServiceID],Services_cleaned[TransactionFeePct]) * 10000), "Yes", "No")</f>
        <v>Yes</v>
      </c>
      <c r="R2495" s="5" t="str">
        <f>IF(COUNTIFS($C$2:Transactions_RAW_cleaned[[#This Row],[CustomerID]],Transactions_RAW_cleaned[[#This Row],[CustomerID]],$D$2:Transactions_RAW_cleaned[[#This Row],[ServiceID]],Transactions_RAW_cleaned[[#This Row],[ServiceID]])=1,"Yes","No")</f>
        <v>No</v>
      </c>
      <c r="S249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95" t="str">
        <f>"Q"&amp;ROUNDUP(MONTH(Transactions_RAW_cleaned[[#This Row],[TransactionDate]])/3,0)</f>
        <v>Q3</v>
      </c>
      <c r="U2495" t="str">
        <f>Transactions_RAW_cleaned[[#This Row],[Region ]]&amp;Transactions_RAW_cleaned[[#This Row],[Quarter ]]</f>
        <v>APACQ3</v>
      </c>
      <c r="V2495" s="5">
        <f>_xlfn.XLOOKUP(Transactions_RAW_cleaned[[#This Row],[RegionQuarterKey]], Quarterly_Targets_cleaned[RegionQuarterKey], Quarterly_Targets_cleaned[TargetRevenue])</f>
        <v>115500</v>
      </c>
    </row>
    <row r="2496" spans="1:22" x14ac:dyDescent="0.25">
      <c r="A2496" t="s">
        <v>2835</v>
      </c>
      <c r="B2496" s="1">
        <v>45393</v>
      </c>
      <c r="C2496" t="s">
        <v>177</v>
      </c>
      <c r="D2496" t="s">
        <v>297</v>
      </c>
      <c r="E2496">
        <v>139.63</v>
      </c>
      <c r="F2496" t="s">
        <v>324</v>
      </c>
      <c r="G2496" t="s">
        <v>327</v>
      </c>
      <c r="H2496" t="s">
        <v>346</v>
      </c>
      <c r="I2496" t="s">
        <v>8</v>
      </c>
      <c r="J2496" t="s">
        <v>46</v>
      </c>
      <c r="K2496" t="s">
        <v>10</v>
      </c>
      <c r="L2496" t="s">
        <v>298</v>
      </c>
      <c r="M2496" t="s">
        <v>299</v>
      </c>
      <c r="N2496">
        <v>0</v>
      </c>
      <c r="O2496" t="str">
        <f>IF(Transactions_RAW_cleaned[[#This Row],[Status]]="Completed", IFERROR(_xlfn.XLOOKUP(Transactions_RAW_cleaned[[#This Row],[CustomerID]], Customers_cleaned[CustomerID], Customers_cleaned[Segment]), "Customer Not Found"), "N/A")</f>
        <v>SMB</v>
      </c>
      <c r="P2496" s="5" t="str">
        <f>IF(Transactions_RAW_cleaned[[#This Row],[Status]]="Refunded", "Refund",
  IF(Transactions_RAW_cleaned[[#This Row],[Category]]="Payments", IF(Transactions_RAW_cleaned[[#This Row],[Amount]]&gt;500,"High Value","Standard"),
    IF(Transactions_RAW_cleaned[[#This Row],[Amount]]&gt;250,"High Value","Standard")))</f>
        <v>Standard</v>
      </c>
      <c r="Q2496" s="5" t="str">
        <f>IF(Transactions_RAW_cleaned[[#This Row],[Amount]] &gt; (_xlfn.XLOOKUP(Transactions_RAW_cleaned[[#This Row],[ServiceID]],Services_cleaned[ServiceID],Services_cleaned[TransactionFeePct]) * 10000), "Yes", "No")</f>
        <v>Yes</v>
      </c>
      <c r="R2496" s="5" t="str">
        <f>IF(COUNTIFS($C$2:Transactions_RAW_cleaned[[#This Row],[CustomerID]],Transactions_RAW_cleaned[[#This Row],[CustomerID]],$D$2:Transactions_RAW_cleaned[[#This Row],[ServiceID]],Transactions_RAW_cleaned[[#This Row],[ServiceID]])=1,"Yes","No")</f>
        <v>Yes</v>
      </c>
      <c r="S249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496" t="str">
        <f>"Q"&amp;ROUNDUP(MONTH(Transactions_RAW_cleaned[[#This Row],[TransactionDate]])/3,0)</f>
        <v>Q2</v>
      </c>
      <c r="U2496" t="str">
        <f>Transactions_RAW_cleaned[[#This Row],[Region ]]&amp;Transactions_RAW_cleaned[[#This Row],[Quarter ]]</f>
        <v>APACQ2</v>
      </c>
      <c r="V2496" s="5">
        <f>_xlfn.XLOOKUP(Transactions_RAW_cleaned[[#This Row],[RegionQuarterKey]], Quarterly_Targets_cleaned[RegionQuarterKey], Quarterly_Targets_cleaned[TargetRevenue])</f>
        <v>110000</v>
      </c>
    </row>
    <row r="2497" spans="1:22" x14ac:dyDescent="0.25">
      <c r="A2497" t="s">
        <v>2836</v>
      </c>
      <c r="B2497" s="1">
        <v>45596</v>
      </c>
      <c r="C2497" t="s">
        <v>117</v>
      </c>
      <c r="D2497" t="s">
        <v>297</v>
      </c>
      <c r="E2497">
        <v>500.35</v>
      </c>
      <c r="F2497" t="s">
        <v>324</v>
      </c>
      <c r="G2497" t="s">
        <v>325</v>
      </c>
      <c r="I2497" t="s">
        <v>8</v>
      </c>
      <c r="J2497" t="s">
        <v>102</v>
      </c>
      <c r="K2497" t="s">
        <v>14</v>
      </c>
      <c r="L2497" t="s">
        <v>298</v>
      </c>
      <c r="M2497" t="s">
        <v>299</v>
      </c>
      <c r="N2497">
        <v>0</v>
      </c>
      <c r="O2497" t="str">
        <f>IF(Transactions_RAW_cleaned[[#This Row],[Status]]="Completed", IFERROR(_xlfn.XLOOKUP(Transactions_RAW_cleaned[[#This Row],[CustomerID]], Customers_cleaned[CustomerID], Customers_cleaned[Segment]), "Customer Not Found"), "N/A")</f>
        <v>SMB</v>
      </c>
      <c r="P2497" s="5" t="str">
        <f>IF(Transactions_RAW_cleaned[[#This Row],[Status]]="Refunded", "Refund",
  IF(Transactions_RAW_cleaned[[#This Row],[Category]]="Payments", IF(Transactions_RAW_cleaned[[#This Row],[Amount]]&gt;500,"High Value","Standard"),
    IF(Transactions_RAW_cleaned[[#This Row],[Amount]]&gt;250,"High Value","Standard")))</f>
        <v>High Value</v>
      </c>
      <c r="Q2497" s="5" t="str">
        <f>IF(Transactions_RAW_cleaned[[#This Row],[Amount]] &gt; (_xlfn.XLOOKUP(Transactions_RAW_cleaned[[#This Row],[ServiceID]],Services_cleaned[ServiceID],Services_cleaned[TransactionFeePct]) * 10000), "Yes", "No")</f>
        <v>Yes</v>
      </c>
      <c r="R2497" s="5" t="str">
        <f>IF(COUNTIFS($C$2:Transactions_RAW_cleaned[[#This Row],[CustomerID]],Transactions_RAW_cleaned[[#This Row],[CustomerID]],$D$2:Transactions_RAW_cleaned[[#This Row],[ServiceID]],Transactions_RAW_cleaned[[#This Row],[ServiceID]])=1,"Yes","No")</f>
        <v>No</v>
      </c>
      <c r="S249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97" t="str">
        <f>"Q"&amp;ROUNDUP(MONTH(Transactions_RAW_cleaned[[#This Row],[TransactionDate]])/3,0)</f>
        <v>Q4</v>
      </c>
      <c r="U2497" t="str">
        <f>Transactions_RAW_cleaned[[#This Row],[Region ]]&amp;Transactions_RAW_cleaned[[#This Row],[Quarter ]]</f>
        <v>NAQ4</v>
      </c>
      <c r="V2497" s="5">
        <f>_xlfn.XLOOKUP(Transactions_RAW_cleaned[[#This Row],[RegionQuarterKey]], Quarterly_Targets_cleaned[RegionQuarterKey], Quarterly_Targets_cleaned[TargetRevenue])</f>
        <v>299000</v>
      </c>
    </row>
    <row r="2498" spans="1:22" x14ac:dyDescent="0.25">
      <c r="A2498" t="s">
        <v>2837</v>
      </c>
      <c r="B2498" s="1">
        <v>45559</v>
      </c>
      <c r="C2498" t="s">
        <v>641</v>
      </c>
      <c r="D2498" t="s">
        <v>312</v>
      </c>
      <c r="E2498">
        <v>210.9</v>
      </c>
      <c r="F2498" t="s">
        <v>324</v>
      </c>
      <c r="G2498" t="s">
        <v>337</v>
      </c>
      <c r="H2498" t="s">
        <v>346</v>
      </c>
      <c r="I2498" t="s">
        <v>8</v>
      </c>
      <c r="J2498" t="s">
        <v>13</v>
      </c>
      <c r="K2498" t="s">
        <v>22</v>
      </c>
      <c r="L2498" t="s">
        <v>313</v>
      </c>
      <c r="M2498" t="s">
        <v>314</v>
      </c>
      <c r="N2498">
        <v>0</v>
      </c>
      <c r="O2498" t="str">
        <f>IF(Transactions_RAW_cleaned[[#This Row],[Status]]="Completed", IFERROR(_xlfn.XLOOKUP(Transactions_RAW_cleaned[[#This Row],[CustomerID]], Customers_cleaned[CustomerID], Customers_cleaned[Segment]), "Customer Not Found"), "N/A")</f>
        <v>SMB</v>
      </c>
      <c r="P2498" s="5" t="str">
        <f>IF(Transactions_RAW_cleaned[[#This Row],[Status]]="Refunded", "Refund",
  IF(Transactions_RAW_cleaned[[#This Row],[Category]]="Payments", IF(Transactions_RAW_cleaned[[#This Row],[Amount]]&gt;500,"High Value","Standard"),
    IF(Transactions_RAW_cleaned[[#This Row],[Amount]]&gt;250,"High Value","Standard")))</f>
        <v>Standard</v>
      </c>
      <c r="Q2498" s="5" t="str">
        <f>IF(Transactions_RAW_cleaned[[#This Row],[Amount]] &gt; (_xlfn.XLOOKUP(Transactions_RAW_cleaned[[#This Row],[ServiceID]],Services_cleaned[ServiceID],Services_cleaned[TransactionFeePct]) * 10000), "Yes", "No")</f>
        <v>Yes</v>
      </c>
      <c r="R2498" s="5" t="str">
        <f>IF(COUNTIFS($C$2:Transactions_RAW_cleaned[[#This Row],[CustomerID]],Transactions_RAW_cleaned[[#This Row],[CustomerID]],$D$2:Transactions_RAW_cleaned[[#This Row],[ServiceID]],Transactions_RAW_cleaned[[#This Row],[ServiceID]])=1,"Yes","No")</f>
        <v>No</v>
      </c>
      <c r="S249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98" t="str">
        <f>"Q"&amp;ROUNDUP(MONTH(Transactions_RAW_cleaned[[#This Row],[TransactionDate]])/3,0)</f>
        <v>Q3</v>
      </c>
      <c r="U2498" t="str">
        <f>Transactions_RAW_cleaned[[#This Row],[Region ]]&amp;Transactions_RAW_cleaned[[#This Row],[Quarter ]]</f>
        <v>NAQ3</v>
      </c>
      <c r="V2498" s="5">
        <f>_xlfn.XLOOKUP(Transactions_RAW_cleaned[[#This Row],[RegionQuarterKey]], Quarterly_Targets_cleaned[RegionQuarterKey], Quarterly_Targets_cleaned[TargetRevenue])</f>
        <v>273000</v>
      </c>
    </row>
    <row r="2499" spans="1:22" x14ac:dyDescent="0.25">
      <c r="A2499" t="s">
        <v>2838</v>
      </c>
      <c r="B2499" s="1">
        <v>45325</v>
      </c>
      <c r="C2499" t="s">
        <v>209</v>
      </c>
      <c r="D2499" t="s">
        <v>294</v>
      </c>
      <c r="E2499">
        <v>915.67</v>
      </c>
      <c r="F2499" t="s">
        <v>331</v>
      </c>
      <c r="G2499" t="s">
        <v>327</v>
      </c>
      <c r="I2499" t="s">
        <v>17</v>
      </c>
      <c r="J2499" t="s">
        <v>102</v>
      </c>
      <c r="K2499" t="s">
        <v>22</v>
      </c>
      <c r="L2499" t="s">
        <v>295</v>
      </c>
      <c r="M2499" t="s">
        <v>296</v>
      </c>
      <c r="N2499">
        <v>2.9000000000000001E-2</v>
      </c>
      <c r="O2499" t="str">
        <f>IF(Transactions_RAW_cleaned[[#This Row],[Status]]="Completed", IFERROR(_xlfn.XLOOKUP(Transactions_RAW_cleaned[[#This Row],[CustomerID]], Customers_cleaned[CustomerID], Customers_cleaned[Segment]), "Customer Not Found"), "N/A")</f>
        <v>N/A</v>
      </c>
      <c r="P2499" s="5" t="str">
        <f>IF(Transactions_RAW_cleaned[[#This Row],[Status]]="Refunded", "Refund",
  IF(Transactions_RAW_cleaned[[#This Row],[Category]]="Payments", IF(Transactions_RAW_cleaned[[#This Row],[Amount]]&gt;500,"High Value","Standard"),
    IF(Transactions_RAW_cleaned[[#This Row],[Amount]]&gt;250,"High Value","Standard")))</f>
        <v>High Value</v>
      </c>
      <c r="Q2499" s="5" t="str">
        <f>IF(Transactions_RAW_cleaned[[#This Row],[Amount]] &gt; (_xlfn.XLOOKUP(Transactions_RAW_cleaned[[#This Row],[ServiceID]],Services_cleaned[ServiceID],Services_cleaned[TransactionFeePct]) * 10000), "Yes", "No")</f>
        <v>Yes</v>
      </c>
      <c r="R2499" s="5" t="str">
        <f>IF(COUNTIFS($C$2:Transactions_RAW_cleaned[[#This Row],[CustomerID]],Transactions_RAW_cleaned[[#This Row],[CustomerID]],$D$2:Transactions_RAW_cleaned[[#This Row],[ServiceID]],Transactions_RAW_cleaned[[#This Row],[ServiceID]])=1,"Yes","No")</f>
        <v>No</v>
      </c>
      <c r="S249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499" t="str">
        <f>"Q"&amp;ROUNDUP(MONTH(Transactions_RAW_cleaned[[#This Row],[TransactionDate]])/3,0)</f>
        <v>Q1</v>
      </c>
      <c r="U2499" t="str">
        <f>Transactions_RAW_cleaned[[#This Row],[Region ]]&amp;Transactions_RAW_cleaned[[#This Row],[Quarter ]]</f>
        <v>NAQ1</v>
      </c>
      <c r="V2499" s="5">
        <f>_xlfn.XLOOKUP(Transactions_RAW_cleaned[[#This Row],[RegionQuarterKey]], Quarterly_Targets_cleaned[RegionQuarterKey], Quarterly_Targets_cleaned[TargetRevenue])</f>
        <v>247000</v>
      </c>
    </row>
    <row r="2500" spans="1:22" x14ac:dyDescent="0.25">
      <c r="A2500" t="s">
        <v>2839</v>
      </c>
      <c r="B2500" s="1">
        <v>45485</v>
      </c>
      <c r="C2500" t="s">
        <v>44</v>
      </c>
      <c r="D2500" t="s">
        <v>297</v>
      </c>
      <c r="E2500">
        <v>653.64</v>
      </c>
      <c r="F2500" t="s">
        <v>324</v>
      </c>
      <c r="G2500" t="s">
        <v>327</v>
      </c>
      <c r="I2500" t="s">
        <v>8</v>
      </c>
      <c r="J2500" t="s">
        <v>46</v>
      </c>
      <c r="K2500" t="s">
        <v>32</v>
      </c>
      <c r="L2500" t="s">
        <v>298</v>
      </c>
      <c r="M2500" t="s">
        <v>299</v>
      </c>
      <c r="N2500">
        <v>0</v>
      </c>
      <c r="O2500" t="str">
        <f>IF(Transactions_RAW_cleaned[[#This Row],[Status]]="Completed", IFERROR(_xlfn.XLOOKUP(Transactions_RAW_cleaned[[#This Row],[CustomerID]], Customers_cleaned[CustomerID], Customers_cleaned[Segment]), "Customer Not Found"), "N/A")</f>
        <v>SMB</v>
      </c>
      <c r="P2500" s="5" t="str">
        <f>IF(Transactions_RAW_cleaned[[#This Row],[Status]]="Refunded", "Refund",
  IF(Transactions_RAW_cleaned[[#This Row],[Category]]="Payments", IF(Transactions_RAW_cleaned[[#This Row],[Amount]]&gt;500,"High Value","Standard"),
    IF(Transactions_RAW_cleaned[[#This Row],[Amount]]&gt;250,"High Value","Standard")))</f>
        <v>High Value</v>
      </c>
      <c r="Q2500" s="5" t="str">
        <f>IF(Transactions_RAW_cleaned[[#This Row],[Amount]] &gt; (_xlfn.XLOOKUP(Transactions_RAW_cleaned[[#This Row],[ServiceID]],Services_cleaned[ServiceID],Services_cleaned[TransactionFeePct]) * 10000), "Yes", "No")</f>
        <v>Yes</v>
      </c>
      <c r="R2500" s="5" t="str">
        <f>IF(COUNTIFS($C$2:Transactions_RAW_cleaned[[#This Row],[CustomerID]],Transactions_RAW_cleaned[[#This Row],[CustomerID]],$D$2:Transactions_RAW_cleaned[[#This Row],[ServiceID]],Transactions_RAW_cleaned[[#This Row],[ServiceID]])=1,"Yes","No")</f>
        <v>No</v>
      </c>
      <c r="S250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00" t="str">
        <f>"Q"&amp;ROUNDUP(MONTH(Transactions_RAW_cleaned[[#This Row],[TransactionDate]])/3,0)</f>
        <v>Q3</v>
      </c>
      <c r="U2500" t="str">
        <f>Transactions_RAW_cleaned[[#This Row],[Region ]]&amp;Transactions_RAW_cleaned[[#This Row],[Quarter ]]</f>
        <v>APACQ3</v>
      </c>
      <c r="V2500" s="5">
        <f>_xlfn.XLOOKUP(Transactions_RAW_cleaned[[#This Row],[RegionQuarterKey]], Quarterly_Targets_cleaned[RegionQuarterKey], Quarterly_Targets_cleaned[TargetRevenue])</f>
        <v>115500</v>
      </c>
    </row>
    <row r="2501" spans="1:22" x14ac:dyDescent="0.25">
      <c r="A2501" t="s">
        <v>2840</v>
      </c>
      <c r="B2501" s="1">
        <v>45427</v>
      </c>
      <c r="C2501" t="s">
        <v>103</v>
      </c>
      <c r="D2501" t="s">
        <v>312</v>
      </c>
      <c r="E2501">
        <v>165.53</v>
      </c>
      <c r="F2501" t="s">
        <v>324</v>
      </c>
      <c r="G2501" t="s">
        <v>325</v>
      </c>
      <c r="I2501" t="s">
        <v>8</v>
      </c>
      <c r="J2501" t="s">
        <v>102</v>
      </c>
      <c r="K2501" t="s">
        <v>28</v>
      </c>
      <c r="L2501" t="s">
        <v>313</v>
      </c>
      <c r="M2501" t="s">
        <v>314</v>
      </c>
      <c r="N2501">
        <v>0</v>
      </c>
      <c r="O2501" t="str">
        <f>IF(Transactions_RAW_cleaned[[#This Row],[Status]]="Completed", IFERROR(_xlfn.XLOOKUP(Transactions_RAW_cleaned[[#This Row],[CustomerID]], Customers_cleaned[CustomerID], Customers_cleaned[Segment]), "Customer Not Found"), "N/A")</f>
        <v>SMB</v>
      </c>
      <c r="P2501" s="5" t="str">
        <f>IF(Transactions_RAW_cleaned[[#This Row],[Status]]="Refunded", "Refund",
  IF(Transactions_RAW_cleaned[[#This Row],[Category]]="Payments", IF(Transactions_RAW_cleaned[[#This Row],[Amount]]&gt;500,"High Value","Standard"),
    IF(Transactions_RAW_cleaned[[#This Row],[Amount]]&gt;250,"High Value","Standard")))</f>
        <v>Standard</v>
      </c>
      <c r="Q2501" s="5" t="str">
        <f>IF(Transactions_RAW_cleaned[[#This Row],[Amount]] &gt; (_xlfn.XLOOKUP(Transactions_RAW_cleaned[[#This Row],[ServiceID]],Services_cleaned[ServiceID],Services_cleaned[TransactionFeePct]) * 10000), "Yes", "No")</f>
        <v>Yes</v>
      </c>
      <c r="R2501" s="5" t="str">
        <f>IF(COUNTIFS($C$2:Transactions_RAW_cleaned[[#This Row],[CustomerID]],Transactions_RAW_cleaned[[#This Row],[CustomerID]],$D$2:Transactions_RAW_cleaned[[#This Row],[ServiceID]],Transactions_RAW_cleaned[[#This Row],[ServiceID]])=1,"Yes","No")</f>
        <v>Yes</v>
      </c>
      <c r="S250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01" t="str">
        <f>"Q"&amp;ROUNDUP(MONTH(Transactions_RAW_cleaned[[#This Row],[TransactionDate]])/3,0)</f>
        <v>Q2</v>
      </c>
      <c r="U2501" t="str">
        <f>Transactions_RAW_cleaned[[#This Row],[Region ]]&amp;Transactions_RAW_cleaned[[#This Row],[Quarter ]]</f>
        <v>NAQ2</v>
      </c>
      <c r="V2501" s="5">
        <f>_xlfn.XLOOKUP(Transactions_RAW_cleaned[[#This Row],[RegionQuarterKey]], Quarterly_Targets_cleaned[RegionQuarterKey], Quarterly_Targets_cleaned[TargetRevenue])</f>
        <v>260000</v>
      </c>
    </row>
    <row r="2502" spans="1:22" x14ac:dyDescent="0.25">
      <c r="A2502" t="s">
        <v>2841</v>
      </c>
      <c r="B2502" s="1">
        <v>45437</v>
      </c>
      <c r="C2502" t="s">
        <v>197</v>
      </c>
      <c r="D2502" t="s">
        <v>294</v>
      </c>
      <c r="E2502">
        <v>320.16000000000003</v>
      </c>
      <c r="F2502" t="s">
        <v>324</v>
      </c>
      <c r="G2502" t="s">
        <v>327</v>
      </c>
      <c r="I2502" t="s">
        <v>8</v>
      </c>
      <c r="J2502" t="s">
        <v>46</v>
      </c>
      <c r="K2502" t="s">
        <v>14</v>
      </c>
      <c r="L2502" t="s">
        <v>295</v>
      </c>
      <c r="M2502" t="s">
        <v>296</v>
      </c>
      <c r="N2502">
        <v>2.9000000000000001E-2</v>
      </c>
      <c r="O2502" t="str">
        <f>IF(Transactions_RAW_cleaned[[#This Row],[Status]]="Completed", IFERROR(_xlfn.XLOOKUP(Transactions_RAW_cleaned[[#This Row],[CustomerID]], Customers_cleaned[CustomerID], Customers_cleaned[Segment]), "Customer Not Found"), "N/A")</f>
        <v>SMB</v>
      </c>
      <c r="P2502" s="5" t="str">
        <f>IF(Transactions_RAW_cleaned[[#This Row],[Status]]="Refunded", "Refund",
  IF(Transactions_RAW_cleaned[[#This Row],[Category]]="Payments", IF(Transactions_RAW_cleaned[[#This Row],[Amount]]&gt;500,"High Value","Standard"),
    IF(Transactions_RAW_cleaned[[#This Row],[Amount]]&gt;250,"High Value","Standard")))</f>
        <v>Standard</v>
      </c>
      <c r="Q2502" s="5" t="str">
        <f>IF(Transactions_RAW_cleaned[[#This Row],[Amount]] &gt; (_xlfn.XLOOKUP(Transactions_RAW_cleaned[[#This Row],[ServiceID]],Services_cleaned[ServiceID],Services_cleaned[TransactionFeePct]) * 10000), "Yes", "No")</f>
        <v>Yes</v>
      </c>
      <c r="R2502" s="5" t="str">
        <f>IF(COUNTIFS($C$2:Transactions_RAW_cleaned[[#This Row],[CustomerID]],Transactions_RAW_cleaned[[#This Row],[CustomerID]],$D$2:Transactions_RAW_cleaned[[#This Row],[ServiceID]],Transactions_RAW_cleaned[[#This Row],[ServiceID]])=1,"Yes","No")</f>
        <v>No</v>
      </c>
      <c r="S250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02" t="str">
        <f>"Q"&amp;ROUNDUP(MONTH(Transactions_RAW_cleaned[[#This Row],[TransactionDate]])/3,0)</f>
        <v>Q2</v>
      </c>
      <c r="U2502" t="str">
        <f>Transactions_RAW_cleaned[[#This Row],[Region ]]&amp;Transactions_RAW_cleaned[[#This Row],[Quarter ]]</f>
        <v>APACQ2</v>
      </c>
      <c r="V2502" s="5">
        <f>_xlfn.XLOOKUP(Transactions_RAW_cleaned[[#This Row],[RegionQuarterKey]], Quarterly_Targets_cleaned[RegionQuarterKey], Quarterly_Targets_cleaned[TargetRevenue])</f>
        <v>110000</v>
      </c>
    </row>
    <row r="2503" spans="1:22" x14ac:dyDescent="0.25">
      <c r="A2503" t="s">
        <v>2842</v>
      </c>
      <c r="B2503" s="1">
        <v>45348</v>
      </c>
      <c r="C2503" t="s">
        <v>211</v>
      </c>
      <c r="D2503" t="s">
        <v>300</v>
      </c>
      <c r="E2503">
        <v>779.26</v>
      </c>
      <c r="F2503" t="s">
        <v>324</v>
      </c>
      <c r="G2503" t="s">
        <v>327</v>
      </c>
      <c r="I2503" t="s">
        <v>8</v>
      </c>
      <c r="J2503" t="s">
        <v>31</v>
      </c>
      <c r="K2503" t="s">
        <v>22</v>
      </c>
      <c r="L2503" t="s">
        <v>301</v>
      </c>
      <c r="M2503" t="s">
        <v>302</v>
      </c>
      <c r="N2503">
        <v>5.0000000000000001E-3</v>
      </c>
      <c r="O2503" t="str">
        <f>IF(Transactions_RAW_cleaned[[#This Row],[Status]]="Completed", IFERROR(_xlfn.XLOOKUP(Transactions_RAW_cleaned[[#This Row],[CustomerID]], Customers_cleaned[CustomerID], Customers_cleaned[Segment]), "Customer Not Found"), "N/A")</f>
        <v>SMB</v>
      </c>
      <c r="P2503" s="5" t="str">
        <f>IF(Transactions_RAW_cleaned[[#This Row],[Status]]="Refunded", "Refund",
  IF(Transactions_RAW_cleaned[[#This Row],[Category]]="Payments", IF(Transactions_RAW_cleaned[[#This Row],[Amount]]&gt;500,"High Value","Standard"),
    IF(Transactions_RAW_cleaned[[#This Row],[Amount]]&gt;250,"High Value","Standard")))</f>
        <v>High Value</v>
      </c>
      <c r="Q2503" s="5" t="str">
        <f>IF(Transactions_RAW_cleaned[[#This Row],[Amount]] &gt; (_xlfn.XLOOKUP(Transactions_RAW_cleaned[[#This Row],[ServiceID]],Services_cleaned[ServiceID],Services_cleaned[TransactionFeePct]) * 10000), "Yes", "No")</f>
        <v>Yes</v>
      </c>
      <c r="R2503" s="5" t="str">
        <f>IF(COUNTIFS($C$2:Transactions_RAW_cleaned[[#This Row],[CustomerID]],Transactions_RAW_cleaned[[#This Row],[CustomerID]],$D$2:Transactions_RAW_cleaned[[#This Row],[ServiceID]],Transactions_RAW_cleaned[[#This Row],[ServiceID]])=1,"Yes","No")</f>
        <v>Yes</v>
      </c>
      <c r="S250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03" t="str">
        <f>"Q"&amp;ROUNDUP(MONTH(Transactions_RAW_cleaned[[#This Row],[TransactionDate]])/3,0)</f>
        <v>Q1</v>
      </c>
      <c r="U2503" t="str">
        <f>Transactions_RAW_cleaned[[#This Row],[Region ]]&amp;Transactions_RAW_cleaned[[#This Row],[Quarter ]]</f>
        <v>EMEAQ1</v>
      </c>
      <c r="V2503" s="5">
        <f>_xlfn.XLOOKUP(Transactions_RAW_cleaned[[#This Row],[RegionQuarterKey]], Quarterly_Targets_cleaned[RegionQuarterKey], Quarterly_Targets_cleaned[TargetRevenue])</f>
        <v>133000</v>
      </c>
    </row>
    <row r="2504" spans="1:22" x14ac:dyDescent="0.25">
      <c r="A2504" t="s">
        <v>2843</v>
      </c>
      <c r="B2504" s="1">
        <v>45301</v>
      </c>
      <c r="C2504" t="s">
        <v>235</v>
      </c>
      <c r="D2504" t="s">
        <v>300</v>
      </c>
      <c r="E2504">
        <v>106.53</v>
      </c>
      <c r="F2504" t="s">
        <v>324</v>
      </c>
      <c r="G2504" t="s">
        <v>325</v>
      </c>
      <c r="H2504" t="s">
        <v>346</v>
      </c>
      <c r="I2504" t="s">
        <v>57</v>
      </c>
      <c r="J2504" t="s">
        <v>21</v>
      </c>
      <c r="K2504" t="s">
        <v>22</v>
      </c>
      <c r="L2504" t="s">
        <v>301</v>
      </c>
      <c r="M2504" t="s">
        <v>302</v>
      </c>
      <c r="N2504">
        <v>5.0000000000000001E-3</v>
      </c>
      <c r="O2504" t="str">
        <f>IF(Transactions_RAW_cleaned[[#This Row],[Status]]="Completed", IFERROR(_xlfn.XLOOKUP(Transactions_RAW_cleaned[[#This Row],[CustomerID]], Customers_cleaned[CustomerID], Customers_cleaned[Segment]), "Customer Not Found"), "N/A")</f>
        <v>Startup</v>
      </c>
      <c r="P2504" s="5" t="str">
        <f>IF(Transactions_RAW_cleaned[[#This Row],[Status]]="Refunded", "Refund",
  IF(Transactions_RAW_cleaned[[#This Row],[Category]]="Payments", IF(Transactions_RAW_cleaned[[#This Row],[Amount]]&gt;500,"High Value","Standard"),
    IF(Transactions_RAW_cleaned[[#This Row],[Amount]]&gt;250,"High Value","Standard")))</f>
        <v>Standard</v>
      </c>
      <c r="Q2504" s="5" t="str">
        <f>IF(Transactions_RAW_cleaned[[#This Row],[Amount]] &gt; (_xlfn.XLOOKUP(Transactions_RAW_cleaned[[#This Row],[ServiceID]],Services_cleaned[ServiceID],Services_cleaned[TransactionFeePct]) * 10000), "Yes", "No")</f>
        <v>Yes</v>
      </c>
      <c r="R2504" s="5" t="str">
        <f>IF(COUNTIFS($C$2:Transactions_RAW_cleaned[[#This Row],[CustomerID]],Transactions_RAW_cleaned[[#This Row],[CustomerID]],$D$2:Transactions_RAW_cleaned[[#This Row],[ServiceID]],Transactions_RAW_cleaned[[#This Row],[ServiceID]])=1,"Yes","No")</f>
        <v>No</v>
      </c>
      <c r="S250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04" t="str">
        <f>"Q"&amp;ROUNDUP(MONTH(Transactions_RAW_cleaned[[#This Row],[TransactionDate]])/3,0)</f>
        <v>Q1</v>
      </c>
      <c r="U2504" t="str">
        <f>Transactions_RAW_cleaned[[#This Row],[Region ]]&amp;Transactions_RAW_cleaned[[#This Row],[Quarter ]]</f>
        <v>APACQ1</v>
      </c>
      <c r="V2504" s="5">
        <f>_xlfn.XLOOKUP(Transactions_RAW_cleaned[[#This Row],[RegionQuarterKey]], Quarterly_Targets_cleaned[RegionQuarterKey], Quarterly_Targets_cleaned[TargetRevenue])</f>
        <v>104500</v>
      </c>
    </row>
    <row r="2505" spans="1:22" x14ac:dyDescent="0.25">
      <c r="A2505" t="s">
        <v>2844</v>
      </c>
      <c r="B2505" s="1">
        <v>45404</v>
      </c>
      <c r="C2505" t="s">
        <v>243</v>
      </c>
      <c r="D2505" t="s">
        <v>297</v>
      </c>
      <c r="E2505">
        <v>175.5</v>
      </c>
      <c r="F2505" t="s">
        <v>381</v>
      </c>
      <c r="G2505" t="s">
        <v>337</v>
      </c>
      <c r="I2505" t="s">
        <v>17</v>
      </c>
      <c r="J2505" t="s">
        <v>13</v>
      </c>
      <c r="K2505" t="s">
        <v>28</v>
      </c>
      <c r="L2505" t="s">
        <v>298</v>
      </c>
      <c r="M2505" t="s">
        <v>299</v>
      </c>
      <c r="N2505">
        <v>0</v>
      </c>
      <c r="O2505" t="str">
        <f>IF(Transactions_RAW_cleaned[[#This Row],[Status]]="Completed", IFERROR(_xlfn.XLOOKUP(Transactions_RAW_cleaned[[#This Row],[CustomerID]], Customers_cleaned[CustomerID], Customers_cleaned[Segment]), "Customer Not Found"), "N/A")</f>
        <v>N/A</v>
      </c>
      <c r="P2505" s="5" t="str">
        <f>IF(Transactions_RAW_cleaned[[#This Row],[Status]]="Refunded", "Refund",
  IF(Transactions_RAW_cleaned[[#This Row],[Category]]="Payments", IF(Transactions_RAW_cleaned[[#This Row],[Amount]]&gt;500,"High Value","Standard"),
    IF(Transactions_RAW_cleaned[[#This Row],[Amount]]&gt;250,"High Value","Standard")))</f>
        <v>Standard</v>
      </c>
      <c r="Q2505" s="5" t="str">
        <f>IF(Transactions_RAW_cleaned[[#This Row],[Amount]] &gt; (_xlfn.XLOOKUP(Transactions_RAW_cleaned[[#This Row],[ServiceID]],Services_cleaned[ServiceID],Services_cleaned[TransactionFeePct]) * 10000), "Yes", "No")</f>
        <v>Yes</v>
      </c>
      <c r="R2505" s="5" t="str">
        <f>IF(COUNTIFS($C$2:Transactions_RAW_cleaned[[#This Row],[CustomerID]],Transactions_RAW_cleaned[[#This Row],[CustomerID]],$D$2:Transactions_RAW_cleaned[[#This Row],[ServiceID]],Transactions_RAW_cleaned[[#This Row],[ServiceID]])=1,"Yes","No")</f>
        <v>No</v>
      </c>
      <c r="S250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05" t="str">
        <f>"Q"&amp;ROUNDUP(MONTH(Transactions_RAW_cleaned[[#This Row],[TransactionDate]])/3,0)</f>
        <v>Q2</v>
      </c>
      <c r="U2505" t="str">
        <f>Transactions_RAW_cleaned[[#This Row],[Region ]]&amp;Transactions_RAW_cleaned[[#This Row],[Quarter ]]</f>
        <v>NAQ2</v>
      </c>
      <c r="V2505" s="5">
        <f>_xlfn.XLOOKUP(Transactions_RAW_cleaned[[#This Row],[RegionQuarterKey]], Quarterly_Targets_cleaned[RegionQuarterKey], Quarterly_Targets_cleaned[TargetRevenue])</f>
        <v>260000</v>
      </c>
    </row>
    <row r="2506" spans="1:22" x14ac:dyDescent="0.25">
      <c r="A2506" t="s">
        <v>2845</v>
      </c>
      <c r="B2506" s="1">
        <v>45470</v>
      </c>
      <c r="C2506" t="s">
        <v>131</v>
      </c>
      <c r="D2506" t="s">
        <v>294</v>
      </c>
      <c r="E2506">
        <v>454.99</v>
      </c>
      <c r="F2506" t="s">
        <v>381</v>
      </c>
      <c r="G2506" t="s">
        <v>325</v>
      </c>
      <c r="H2506" t="s">
        <v>346</v>
      </c>
      <c r="I2506" t="s">
        <v>17</v>
      </c>
      <c r="J2506" t="s">
        <v>102</v>
      </c>
      <c r="K2506" t="s">
        <v>22</v>
      </c>
      <c r="L2506" t="s">
        <v>295</v>
      </c>
      <c r="M2506" t="s">
        <v>296</v>
      </c>
      <c r="N2506">
        <v>2.9000000000000001E-2</v>
      </c>
      <c r="O2506" t="str">
        <f>IF(Transactions_RAW_cleaned[[#This Row],[Status]]="Completed", IFERROR(_xlfn.XLOOKUP(Transactions_RAW_cleaned[[#This Row],[CustomerID]], Customers_cleaned[CustomerID], Customers_cleaned[Segment]), "Customer Not Found"), "N/A")</f>
        <v>N/A</v>
      </c>
      <c r="P2506" s="5" t="str">
        <f>IF(Transactions_RAW_cleaned[[#This Row],[Status]]="Refunded", "Refund",
  IF(Transactions_RAW_cleaned[[#This Row],[Category]]="Payments", IF(Transactions_RAW_cleaned[[#This Row],[Amount]]&gt;500,"High Value","Standard"),
    IF(Transactions_RAW_cleaned[[#This Row],[Amount]]&gt;250,"High Value","Standard")))</f>
        <v>Standard</v>
      </c>
      <c r="Q2506" s="5" t="str">
        <f>IF(Transactions_RAW_cleaned[[#This Row],[Amount]] &gt; (_xlfn.XLOOKUP(Transactions_RAW_cleaned[[#This Row],[ServiceID]],Services_cleaned[ServiceID],Services_cleaned[TransactionFeePct]) * 10000), "Yes", "No")</f>
        <v>Yes</v>
      </c>
      <c r="R2506" s="5" t="str">
        <f>IF(COUNTIFS($C$2:Transactions_RAW_cleaned[[#This Row],[CustomerID]],Transactions_RAW_cleaned[[#This Row],[CustomerID]],$D$2:Transactions_RAW_cleaned[[#This Row],[ServiceID]],Transactions_RAW_cleaned[[#This Row],[ServiceID]])=1,"Yes","No")</f>
        <v>No</v>
      </c>
      <c r="S250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06" t="str">
        <f>"Q"&amp;ROUNDUP(MONTH(Transactions_RAW_cleaned[[#This Row],[TransactionDate]])/3,0)</f>
        <v>Q2</v>
      </c>
      <c r="U2506" t="str">
        <f>Transactions_RAW_cleaned[[#This Row],[Region ]]&amp;Transactions_RAW_cleaned[[#This Row],[Quarter ]]</f>
        <v>NAQ2</v>
      </c>
      <c r="V2506" s="5">
        <f>_xlfn.XLOOKUP(Transactions_RAW_cleaned[[#This Row],[RegionQuarterKey]], Quarterly_Targets_cleaned[RegionQuarterKey], Quarterly_Targets_cleaned[TargetRevenue])</f>
        <v>260000</v>
      </c>
    </row>
    <row r="2507" spans="1:22" x14ac:dyDescent="0.25">
      <c r="A2507" t="s">
        <v>2846</v>
      </c>
      <c r="B2507" s="1">
        <v>45614</v>
      </c>
      <c r="C2507" t="s">
        <v>163</v>
      </c>
      <c r="D2507" t="s">
        <v>294</v>
      </c>
      <c r="E2507">
        <v>71.319999999999993</v>
      </c>
      <c r="F2507" t="s">
        <v>324</v>
      </c>
      <c r="G2507" t="s">
        <v>327</v>
      </c>
      <c r="H2507" t="s">
        <v>346</v>
      </c>
      <c r="I2507" t="s">
        <v>17</v>
      </c>
      <c r="J2507" t="s">
        <v>102</v>
      </c>
      <c r="K2507" t="s">
        <v>18</v>
      </c>
      <c r="L2507" t="s">
        <v>295</v>
      </c>
      <c r="M2507" t="s">
        <v>296</v>
      </c>
      <c r="N2507">
        <v>2.9000000000000001E-2</v>
      </c>
      <c r="O2507" t="str">
        <f>IF(Transactions_RAW_cleaned[[#This Row],[Status]]="Completed", IFERROR(_xlfn.XLOOKUP(Transactions_RAW_cleaned[[#This Row],[CustomerID]], Customers_cleaned[CustomerID], Customers_cleaned[Segment]), "Customer Not Found"), "N/A")</f>
        <v>Enterprise</v>
      </c>
      <c r="P2507" s="5" t="str">
        <f>IF(Transactions_RAW_cleaned[[#This Row],[Status]]="Refunded", "Refund",
  IF(Transactions_RAW_cleaned[[#This Row],[Category]]="Payments", IF(Transactions_RAW_cleaned[[#This Row],[Amount]]&gt;500,"High Value","Standard"),
    IF(Transactions_RAW_cleaned[[#This Row],[Amount]]&gt;250,"High Value","Standard")))</f>
        <v>Standard</v>
      </c>
      <c r="Q2507" s="5" t="str">
        <f>IF(Transactions_RAW_cleaned[[#This Row],[Amount]] &gt; (_xlfn.XLOOKUP(Transactions_RAW_cleaned[[#This Row],[ServiceID]],Services_cleaned[ServiceID],Services_cleaned[TransactionFeePct]) * 10000), "Yes", "No")</f>
        <v>No</v>
      </c>
      <c r="R2507" s="5" t="str">
        <f>IF(COUNTIFS($C$2:Transactions_RAW_cleaned[[#This Row],[CustomerID]],Transactions_RAW_cleaned[[#This Row],[CustomerID]],$D$2:Transactions_RAW_cleaned[[#This Row],[ServiceID]],Transactions_RAW_cleaned[[#This Row],[ServiceID]])=1,"Yes","No")</f>
        <v>No</v>
      </c>
      <c r="S250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07" t="str">
        <f>"Q"&amp;ROUNDUP(MONTH(Transactions_RAW_cleaned[[#This Row],[TransactionDate]])/3,0)</f>
        <v>Q4</v>
      </c>
      <c r="U2507" t="str">
        <f>Transactions_RAW_cleaned[[#This Row],[Region ]]&amp;Transactions_RAW_cleaned[[#This Row],[Quarter ]]</f>
        <v>NAQ4</v>
      </c>
      <c r="V2507" s="5">
        <f>_xlfn.XLOOKUP(Transactions_RAW_cleaned[[#This Row],[RegionQuarterKey]], Quarterly_Targets_cleaned[RegionQuarterKey], Quarterly_Targets_cleaned[TargetRevenue])</f>
        <v>299000</v>
      </c>
    </row>
    <row r="2508" spans="1:22" x14ac:dyDescent="0.25">
      <c r="A2508" t="s">
        <v>2847</v>
      </c>
      <c r="B2508" s="1">
        <v>45630</v>
      </c>
      <c r="C2508" t="s">
        <v>165</v>
      </c>
      <c r="D2508" t="s">
        <v>303</v>
      </c>
      <c r="E2508">
        <v>621.64</v>
      </c>
      <c r="F2508" t="s">
        <v>324</v>
      </c>
      <c r="G2508" t="s">
        <v>337</v>
      </c>
      <c r="H2508" t="s">
        <v>346</v>
      </c>
      <c r="I2508" t="s">
        <v>8</v>
      </c>
      <c r="J2508" t="s">
        <v>31</v>
      </c>
      <c r="K2508" t="s">
        <v>32</v>
      </c>
      <c r="L2508" t="s">
        <v>304</v>
      </c>
      <c r="M2508" t="s">
        <v>305</v>
      </c>
      <c r="N2508">
        <v>1E-3</v>
      </c>
      <c r="O2508" t="str">
        <f>IF(Transactions_RAW_cleaned[[#This Row],[Status]]="Completed", IFERROR(_xlfn.XLOOKUP(Transactions_RAW_cleaned[[#This Row],[CustomerID]], Customers_cleaned[CustomerID], Customers_cleaned[Segment]), "Customer Not Found"), "N/A")</f>
        <v>SMB</v>
      </c>
      <c r="P2508" s="5" t="str">
        <f>IF(Transactions_RAW_cleaned[[#This Row],[Status]]="Refunded", "Refund",
  IF(Transactions_RAW_cleaned[[#This Row],[Category]]="Payments", IF(Transactions_RAW_cleaned[[#This Row],[Amount]]&gt;500,"High Value","Standard"),
    IF(Transactions_RAW_cleaned[[#This Row],[Amount]]&gt;250,"High Value","Standard")))</f>
        <v>High Value</v>
      </c>
      <c r="Q2508" s="5" t="str">
        <f>IF(Transactions_RAW_cleaned[[#This Row],[Amount]] &gt; (_xlfn.XLOOKUP(Transactions_RAW_cleaned[[#This Row],[ServiceID]],Services_cleaned[ServiceID],Services_cleaned[TransactionFeePct]) * 10000), "Yes", "No")</f>
        <v>Yes</v>
      </c>
      <c r="R2508" s="5" t="str">
        <f>IF(COUNTIFS($C$2:Transactions_RAW_cleaned[[#This Row],[CustomerID]],Transactions_RAW_cleaned[[#This Row],[CustomerID]],$D$2:Transactions_RAW_cleaned[[#This Row],[ServiceID]],Transactions_RAW_cleaned[[#This Row],[ServiceID]])=1,"Yes","No")</f>
        <v>No</v>
      </c>
      <c r="S250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08" t="str">
        <f>"Q"&amp;ROUNDUP(MONTH(Transactions_RAW_cleaned[[#This Row],[TransactionDate]])/3,0)</f>
        <v>Q4</v>
      </c>
      <c r="U2508" t="str">
        <f>Transactions_RAW_cleaned[[#This Row],[Region ]]&amp;Transactions_RAW_cleaned[[#This Row],[Quarter ]]</f>
        <v>EMEAQ4</v>
      </c>
      <c r="V2508" s="5">
        <f>_xlfn.XLOOKUP(Transactions_RAW_cleaned[[#This Row],[RegionQuarterKey]], Quarterly_Targets_cleaned[RegionQuarterKey], Quarterly_Targets_cleaned[TargetRevenue])</f>
        <v>161000</v>
      </c>
    </row>
    <row r="2509" spans="1:22" x14ac:dyDescent="0.25">
      <c r="A2509" t="s">
        <v>2848</v>
      </c>
      <c r="B2509" s="1">
        <v>45354</v>
      </c>
      <c r="C2509" t="s">
        <v>70</v>
      </c>
      <c r="D2509" t="s">
        <v>312</v>
      </c>
      <c r="E2509">
        <v>250.03</v>
      </c>
      <c r="F2509" t="s">
        <v>324</v>
      </c>
      <c r="G2509" t="s">
        <v>337</v>
      </c>
      <c r="I2509" t="s">
        <v>8</v>
      </c>
      <c r="J2509" t="s">
        <v>37</v>
      </c>
      <c r="K2509" t="s">
        <v>28</v>
      </c>
      <c r="L2509" t="s">
        <v>313</v>
      </c>
      <c r="M2509" t="s">
        <v>314</v>
      </c>
      <c r="N2509">
        <v>0</v>
      </c>
      <c r="O2509" t="str">
        <f>IF(Transactions_RAW_cleaned[[#This Row],[Status]]="Completed", IFERROR(_xlfn.XLOOKUP(Transactions_RAW_cleaned[[#This Row],[CustomerID]], Customers_cleaned[CustomerID], Customers_cleaned[Segment]), "Customer Not Found"), "N/A")</f>
        <v>SMB</v>
      </c>
      <c r="P2509" s="5" t="str">
        <f>IF(Transactions_RAW_cleaned[[#This Row],[Status]]="Refunded", "Refund",
  IF(Transactions_RAW_cleaned[[#This Row],[Category]]="Payments", IF(Transactions_RAW_cleaned[[#This Row],[Amount]]&gt;500,"High Value","Standard"),
    IF(Transactions_RAW_cleaned[[#This Row],[Amount]]&gt;250,"High Value","Standard")))</f>
        <v>High Value</v>
      </c>
      <c r="Q2509" s="5" t="str">
        <f>IF(Transactions_RAW_cleaned[[#This Row],[Amount]] &gt; (_xlfn.XLOOKUP(Transactions_RAW_cleaned[[#This Row],[ServiceID]],Services_cleaned[ServiceID],Services_cleaned[TransactionFeePct]) * 10000), "Yes", "No")</f>
        <v>Yes</v>
      </c>
      <c r="R2509" s="5" t="str">
        <f>IF(COUNTIFS($C$2:Transactions_RAW_cleaned[[#This Row],[CustomerID]],Transactions_RAW_cleaned[[#This Row],[CustomerID]],$D$2:Transactions_RAW_cleaned[[#This Row],[ServiceID]],Transactions_RAW_cleaned[[#This Row],[ServiceID]])=1,"Yes","No")</f>
        <v>No</v>
      </c>
      <c r="S250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09" t="str">
        <f>"Q"&amp;ROUNDUP(MONTH(Transactions_RAW_cleaned[[#This Row],[TransactionDate]])/3,0)</f>
        <v>Q1</v>
      </c>
      <c r="U2509" t="str">
        <f>Transactions_RAW_cleaned[[#This Row],[Region ]]&amp;Transactions_RAW_cleaned[[#This Row],[Quarter ]]</f>
        <v>EMEAQ1</v>
      </c>
      <c r="V2509" s="5">
        <f>_xlfn.XLOOKUP(Transactions_RAW_cleaned[[#This Row],[RegionQuarterKey]], Quarterly_Targets_cleaned[RegionQuarterKey], Quarterly_Targets_cleaned[TargetRevenue])</f>
        <v>133000</v>
      </c>
    </row>
    <row r="2510" spans="1:22" x14ac:dyDescent="0.25">
      <c r="A2510" t="s">
        <v>2849</v>
      </c>
      <c r="B2510" s="1">
        <v>45463</v>
      </c>
      <c r="C2510" t="s">
        <v>233</v>
      </c>
      <c r="D2510" t="s">
        <v>294</v>
      </c>
      <c r="E2510">
        <v>449.29</v>
      </c>
      <c r="F2510" t="s">
        <v>331</v>
      </c>
      <c r="G2510" t="s">
        <v>325</v>
      </c>
      <c r="H2510" t="s">
        <v>334</v>
      </c>
      <c r="I2510" t="s">
        <v>8</v>
      </c>
      <c r="J2510" t="s">
        <v>13</v>
      </c>
      <c r="K2510" t="s">
        <v>14</v>
      </c>
      <c r="L2510" t="s">
        <v>295</v>
      </c>
      <c r="M2510" t="s">
        <v>296</v>
      </c>
      <c r="N2510">
        <v>2.9000000000000001E-2</v>
      </c>
      <c r="O2510" t="str">
        <f>IF(Transactions_RAW_cleaned[[#This Row],[Status]]="Completed", IFERROR(_xlfn.XLOOKUP(Transactions_RAW_cleaned[[#This Row],[CustomerID]], Customers_cleaned[CustomerID], Customers_cleaned[Segment]), "Customer Not Found"), "N/A")</f>
        <v>N/A</v>
      </c>
      <c r="P2510" s="5" t="str">
        <f>IF(Transactions_RAW_cleaned[[#This Row],[Status]]="Refunded", "Refund",
  IF(Transactions_RAW_cleaned[[#This Row],[Category]]="Payments", IF(Transactions_RAW_cleaned[[#This Row],[Amount]]&gt;500,"High Value","Standard"),
    IF(Transactions_RAW_cleaned[[#This Row],[Amount]]&gt;250,"High Value","Standard")))</f>
        <v>Standard</v>
      </c>
      <c r="Q2510" s="5" t="str">
        <f>IF(Transactions_RAW_cleaned[[#This Row],[Amount]] &gt; (_xlfn.XLOOKUP(Transactions_RAW_cleaned[[#This Row],[ServiceID]],Services_cleaned[ServiceID],Services_cleaned[TransactionFeePct]) * 10000), "Yes", "No")</f>
        <v>Yes</v>
      </c>
      <c r="R2510" s="5" t="str">
        <f>IF(COUNTIFS($C$2:Transactions_RAW_cleaned[[#This Row],[CustomerID]],Transactions_RAW_cleaned[[#This Row],[CustomerID]],$D$2:Transactions_RAW_cleaned[[#This Row],[ServiceID]],Transactions_RAW_cleaned[[#This Row],[ServiceID]])=1,"Yes","No")</f>
        <v>No</v>
      </c>
      <c r="S251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10" t="str">
        <f>"Q"&amp;ROUNDUP(MONTH(Transactions_RAW_cleaned[[#This Row],[TransactionDate]])/3,0)</f>
        <v>Q2</v>
      </c>
      <c r="U2510" t="str">
        <f>Transactions_RAW_cleaned[[#This Row],[Region ]]&amp;Transactions_RAW_cleaned[[#This Row],[Quarter ]]</f>
        <v>NAQ2</v>
      </c>
      <c r="V2510" s="5">
        <f>_xlfn.XLOOKUP(Transactions_RAW_cleaned[[#This Row],[RegionQuarterKey]], Quarterly_Targets_cleaned[RegionQuarterKey], Quarterly_Targets_cleaned[TargetRevenue])</f>
        <v>260000</v>
      </c>
    </row>
    <row r="2511" spans="1:22" x14ac:dyDescent="0.25">
      <c r="A2511" t="s">
        <v>2850</v>
      </c>
      <c r="B2511" s="1">
        <v>45406</v>
      </c>
      <c r="C2511" t="s">
        <v>211</v>
      </c>
      <c r="D2511" t="s">
        <v>315</v>
      </c>
      <c r="E2511">
        <v>833.22</v>
      </c>
      <c r="F2511" t="s">
        <v>324</v>
      </c>
      <c r="G2511" t="s">
        <v>337</v>
      </c>
      <c r="H2511" t="s">
        <v>346</v>
      </c>
      <c r="I2511" t="s">
        <v>8</v>
      </c>
      <c r="J2511" t="s">
        <v>31</v>
      </c>
      <c r="K2511" t="s">
        <v>22</v>
      </c>
      <c r="L2511" t="s">
        <v>316</v>
      </c>
      <c r="M2511" t="s">
        <v>305</v>
      </c>
      <c r="N2511">
        <v>2.5000000000000001E-3</v>
      </c>
      <c r="O2511" t="str">
        <f>IF(Transactions_RAW_cleaned[[#This Row],[Status]]="Completed", IFERROR(_xlfn.XLOOKUP(Transactions_RAW_cleaned[[#This Row],[CustomerID]], Customers_cleaned[CustomerID], Customers_cleaned[Segment]), "Customer Not Found"), "N/A")</f>
        <v>SMB</v>
      </c>
      <c r="P2511" s="5" t="str">
        <f>IF(Transactions_RAW_cleaned[[#This Row],[Status]]="Refunded", "Refund",
  IF(Transactions_RAW_cleaned[[#This Row],[Category]]="Payments", IF(Transactions_RAW_cleaned[[#This Row],[Amount]]&gt;500,"High Value","Standard"),
    IF(Transactions_RAW_cleaned[[#This Row],[Amount]]&gt;250,"High Value","Standard")))</f>
        <v>High Value</v>
      </c>
      <c r="Q2511" s="5" t="str">
        <f>IF(Transactions_RAW_cleaned[[#This Row],[Amount]] &gt; (_xlfn.XLOOKUP(Transactions_RAW_cleaned[[#This Row],[ServiceID]],Services_cleaned[ServiceID],Services_cleaned[TransactionFeePct]) * 10000), "Yes", "No")</f>
        <v>Yes</v>
      </c>
      <c r="R2511" s="5" t="str">
        <f>IF(COUNTIFS($C$2:Transactions_RAW_cleaned[[#This Row],[CustomerID]],Transactions_RAW_cleaned[[#This Row],[CustomerID]],$D$2:Transactions_RAW_cleaned[[#This Row],[ServiceID]],Transactions_RAW_cleaned[[#This Row],[ServiceID]])=1,"Yes","No")</f>
        <v>No</v>
      </c>
      <c r="S251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11" t="str">
        <f>"Q"&amp;ROUNDUP(MONTH(Transactions_RAW_cleaned[[#This Row],[TransactionDate]])/3,0)</f>
        <v>Q2</v>
      </c>
      <c r="U2511" t="str">
        <f>Transactions_RAW_cleaned[[#This Row],[Region ]]&amp;Transactions_RAW_cleaned[[#This Row],[Quarter ]]</f>
        <v>EMEAQ2</v>
      </c>
      <c r="V2511" s="5">
        <f>_xlfn.XLOOKUP(Transactions_RAW_cleaned[[#This Row],[RegionQuarterKey]], Quarterly_Targets_cleaned[RegionQuarterKey], Quarterly_Targets_cleaned[TargetRevenue])</f>
        <v>140000</v>
      </c>
    </row>
    <row r="2512" spans="1:22" x14ac:dyDescent="0.25">
      <c r="A2512" t="s">
        <v>2851</v>
      </c>
      <c r="B2512" s="1">
        <v>45598</v>
      </c>
      <c r="C2512" t="s">
        <v>94</v>
      </c>
      <c r="D2512" t="s">
        <v>297</v>
      </c>
      <c r="E2512">
        <v>251.52</v>
      </c>
      <c r="F2512" t="s">
        <v>324</v>
      </c>
      <c r="G2512" t="s">
        <v>337</v>
      </c>
      <c r="I2512" t="s">
        <v>8</v>
      </c>
      <c r="J2512" t="s">
        <v>21</v>
      </c>
      <c r="K2512" t="s">
        <v>14</v>
      </c>
      <c r="L2512" t="s">
        <v>298</v>
      </c>
      <c r="M2512" t="s">
        <v>299</v>
      </c>
      <c r="N2512">
        <v>0</v>
      </c>
      <c r="O2512" t="str">
        <f>IF(Transactions_RAW_cleaned[[#This Row],[Status]]="Completed", IFERROR(_xlfn.XLOOKUP(Transactions_RAW_cleaned[[#This Row],[CustomerID]], Customers_cleaned[CustomerID], Customers_cleaned[Segment]), "Customer Not Found"), "N/A")</f>
        <v>SMB</v>
      </c>
      <c r="P2512" s="5" t="str">
        <f>IF(Transactions_RAW_cleaned[[#This Row],[Status]]="Refunded", "Refund",
  IF(Transactions_RAW_cleaned[[#This Row],[Category]]="Payments", IF(Transactions_RAW_cleaned[[#This Row],[Amount]]&gt;500,"High Value","Standard"),
    IF(Transactions_RAW_cleaned[[#This Row],[Amount]]&gt;250,"High Value","Standard")))</f>
        <v>High Value</v>
      </c>
      <c r="Q2512" s="5" t="str">
        <f>IF(Transactions_RAW_cleaned[[#This Row],[Amount]] &gt; (_xlfn.XLOOKUP(Transactions_RAW_cleaned[[#This Row],[ServiceID]],Services_cleaned[ServiceID],Services_cleaned[TransactionFeePct]) * 10000), "Yes", "No")</f>
        <v>Yes</v>
      </c>
      <c r="R2512" s="5" t="str">
        <f>IF(COUNTIFS($C$2:Transactions_RAW_cleaned[[#This Row],[CustomerID]],Transactions_RAW_cleaned[[#This Row],[CustomerID]],$D$2:Transactions_RAW_cleaned[[#This Row],[ServiceID]],Transactions_RAW_cleaned[[#This Row],[ServiceID]])=1,"Yes","No")</f>
        <v>No</v>
      </c>
      <c r="S251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12" t="str">
        <f>"Q"&amp;ROUNDUP(MONTH(Transactions_RAW_cleaned[[#This Row],[TransactionDate]])/3,0)</f>
        <v>Q4</v>
      </c>
      <c r="U2512" t="str">
        <f>Transactions_RAW_cleaned[[#This Row],[Region ]]&amp;Transactions_RAW_cleaned[[#This Row],[Quarter ]]</f>
        <v>APACQ4</v>
      </c>
      <c r="V2512" s="5">
        <f>_xlfn.XLOOKUP(Transactions_RAW_cleaned[[#This Row],[RegionQuarterKey]], Quarterly_Targets_cleaned[RegionQuarterKey], Quarterly_Targets_cleaned[TargetRevenue])</f>
        <v>126500</v>
      </c>
    </row>
    <row r="2513" spans="1:22" x14ac:dyDescent="0.25">
      <c r="A2513" t="s">
        <v>2852</v>
      </c>
      <c r="B2513" s="1">
        <v>45502</v>
      </c>
      <c r="C2513" t="s">
        <v>173</v>
      </c>
      <c r="D2513" t="s">
        <v>312</v>
      </c>
      <c r="E2513">
        <v>132.57</v>
      </c>
      <c r="F2513" t="s">
        <v>324</v>
      </c>
      <c r="G2513" t="s">
        <v>325</v>
      </c>
      <c r="I2513" t="s">
        <v>8</v>
      </c>
      <c r="J2513" t="s">
        <v>46</v>
      </c>
      <c r="K2513" t="s">
        <v>32</v>
      </c>
      <c r="L2513" t="s">
        <v>313</v>
      </c>
      <c r="M2513" t="s">
        <v>314</v>
      </c>
      <c r="N2513">
        <v>0</v>
      </c>
      <c r="O2513" t="str">
        <f>IF(Transactions_RAW_cleaned[[#This Row],[Status]]="Completed", IFERROR(_xlfn.XLOOKUP(Transactions_RAW_cleaned[[#This Row],[CustomerID]], Customers_cleaned[CustomerID], Customers_cleaned[Segment]), "Customer Not Found"), "N/A")</f>
        <v>SMB</v>
      </c>
      <c r="P2513" s="5" t="str">
        <f>IF(Transactions_RAW_cleaned[[#This Row],[Status]]="Refunded", "Refund",
  IF(Transactions_RAW_cleaned[[#This Row],[Category]]="Payments", IF(Transactions_RAW_cleaned[[#This Row],[Amount]]&gt;500,"High Value","Standard"),
    IF(Transactions_RAW_cleaned[[#This Row],[Amount]]&gt;250,"High Value","Standard")))</f>
        <v>Standard</v>
      </c>
      <c r="Q2513" s="5" t="str">
        <f>IF(Transactions_RAW_cleaned[[#This Row],[Amount]] &gt; (_xlfn.XLOOKUP(Transactions_RAW_cleaned[[#This Row],[ServiceID]],Services_cleaned[ServiceID],Services_cleaned[TransactionFeePct]) * 10000), "Yes", "No")</f>
        <v>Yes</v>
      </c>
      <c r="R2513" s="5" t="str">
        <f>IF(COUNTIFS($C$2:Transactions_RAW_cleaned[[#This Row],[CustomerID]],Transactions_RAW_cleaned[[#This Row],[CustomerID]],$D$2:Transactions_RAW_cleaned[[#This Row],[ServiceID]],Transactions_RAW_cleaned[[#This Row],[ServiceID]])=1,"Yes","No")</f>
        <v>No</v>
      </c>
      <c r="S251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13" t="str">
        <f>"Q"&amp;ROUNDUP(MONTH(Transactions_RAW_cleaned[[#This Row],[TransactionDate]])/3,0)</f>
        <v>Q3</v>
      </c>
      <c r="U2513" t="str">
        <f>Transactions_RAW_cleaned[[#This Row],[Region ]]&amp;Transactions_RAW_cleaned[[#This Row],[Quarter ]]</f>
        <v>APACQ3</v>
      </c>
      <c r="V2513" s="5">
        <f>_xlfn.XLOOKUP(Transactions_RAW_cleaned[[#This Row],[RegionQuarterKey]], Quarterly_Targets_cleaned[RegionQuarterKey], Quarterly_Targets_cleaned[TargetRevenue])</f>
        <v>115500</v>
      </c>
    </row>
    <row r="2514" spans="1:22" x14ac:dyDescent="0.25">
      <c r="A2514" t="s">
        <v>2853</v>
      </c>
      <c r="B2514" s="1">
        <v>45294</v>
      </c>
      <c r="C2514" t="s">
        <v>60</v>
      </c>
      <c r="D2514" t="s">
        <v>300</v>
      </c>
      <c r="E2514">
        <v>373.24</v>
      </c>
      <c r="F2514" t="s">
        <v>324</v>
      </c>
      <c r="G2514" t="s">
        <v>327</v>
      </c>
      <c r="I2514" t="s">
        <v>8</v>
      </c>
      <c r="J2514" t="s">
        <v>13</v>
      </c>
      <c r="K2514" t="s">
        <v>14</v>
      </c>
      <c r="L2514" t="s">
        <v>301</v>
      </c>
      <c r="M2514" t="s">
        <v>302</v>
      </c>
      <c r="N2514">
        <v>5.0000000000000001E-3</v>
      </c>
      <c r="O2514" t="str">
        <f>IF(Transactions_RAW_cleaned[[#This Row],[Status]]="Completed", IFERROR(_xlfn.XLOOKUP(Transactions_RAW_cleaned[[#This Row],[CustomerID]], Customers_cleaned[CustomerID], Customers_cleaned[Segment]), "Customer Not Found"), "N/A")</f>
        <v>SMB</v>
      </c>
      <c r="P2514" s="5" t="str">
        <f>IF(Transactions_RAW_cleaned[[#This Row],[Status]]="Refunded", "Refund",
  IF(Transactions_RAW_cleaned[[#This Row],[Category]]="Payments", IF(Transactions_RAW_cleaned[[#This Row],[Amount]]&gt;500,"High Value","Standard"),
    IF(Transactions_RAW_cleaned[[#This Row],[Amount]]&gt;250,"High Value","Standard")))</f>
        <v>High Value</v>
      </c>
      <c r="Q2514" s="5" t="str">
        <f>IF(Transactions_RAW_cleaned[[#This Row],[Amount]] &gt; (_xlfn.XLOOKUP(Transactions_RAW_cleaned[[#This Row],[ServiceID]],Services_cleaned[ServiceID],Services_cleaned[TransactionFeePct]) * 10000), "Yes", "No")</f>
        <v>Yes</v>
      </c>
      <c r="R2514" s="5" t="str">
        <f>IF(COUNTIFS($C$2:Transactions_RAW_cleaned[[#This Row],[CustomerID]],Transactions_RAW_cleaned[[#This Row],[CustomerID]],$D$2:Transactions_RAW_cleaned[[#This Row],[ServiceID]],Transactions_RAW_cleaned[[#This Row],[ServiceID]])=1,"Yes","No")</f>
        <v>No</v>
      </c>
      <c r="S251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14" t="str">
        <f>"Q"&amp;ROUNDUP(MONTH(Transactions_RAW_cleaned[[#This Row],[TransactionDate]])/3,0)</f>
        <v>Q1</v>
      </c>
      <c r="U2514" t="str">
        <f>Transactions_RAW_cleaned[[#This Row],[Region ]]&amp;Transactions_RAW_cleaned[[#This Row],[Quarter ]]</f>
        <v>NAQ1</v>
      </c>
      <c r="V2514" s="5">
        <f>_xlfn.XLOOKUP(Transactions_RAW_cleaned[[#This Row],[RegionQuarterKey]], Quarterly_Targets_cleaned[RegionQuarterKey], Quarterly_Targets_cleaned[TargetRevenue])</f>
        <v>247000</v>
      </c>
    </row>
    <row r="2515" spans="1:22" x14ac:dyDescent="0.25">
      <c r="A2515" t="s">
        <v>2854</v>
      </c>
      <c r="B2515" s="1">
        <v>45429</v>
      </c>
      <c r="C2515" t="s">
        <v>84</v>
      </c>
      <c r="D2515" t="s">
        <v>309</v>
      </c>
      <c r="E2515">
        <v>542.79999999999995</v>
      </c>
      <c r="F2515" t="s">
        <v>324</v>
      </c>
      <c r="G2515" t="s">
        <v>337</v>
      </c>
      <c r="I2515" t="s">
        <v>8</v>
      </c>
      <c r="J2515" t="s">
        <v>46</v>
      </c>
      <c r="K2515" t="s">
        <v>28</v>
      </c>
      <c r="L2515" t="s">
        <v>310</v>
      </c>
      <c r="M2515" t="s">
        <v>311</v>
      </c>
      <c r="N2515">
        <v>0</v>
      </c>
      <c r="O2515" t="str">
        <f>IF(Transactions_RAW_cleaned[[#This Row],[Status]]="Completed", IFERROR(_xlfn.XLOOKUP(Transactions_RAW_cleaned[[#This Row],[CustomerID]], Customers_cleaned[CustomerID], Customers_cleaned[Segment]), "Customer Not Found"), "N/A")</f>
        <v>SMB</v>
      </c>
      <c r="P2515" s="5" t="str">
        <f>IF(Transactions_RAW_cleaned[[#This Row],[Status]]="Refunded", "Refund",
  IF(Transactions_RAW_cleaned[[#This Row],[Category]]="Payments", IF(Transactions_RAW_cleaned[[#This Row],[Amount]]&gt;500,"High Value","Standard"),
    IF(Transactions_RAW_cleaned[[#This Row],[Amount]]&gt;250,"High Value","Standard")))</f>
        <v>High Value</v>
      </c>
      <c r="Q2515" s="5" t="str">
        <f>IF(Transactions_RAW_cleaned[[#This Row],[Amount]] &gt; (_xlfn.XLOOKUP(Transactions_RAW_cleaned[[#This Row],[ServiceID]],Services_cleaned[ServiceID],Services_cleaned[TransactionFeePct]) * 10000), "Yes", "No")</f>
        <v>Yes</v>
      </c>
      <c r="R2515" s="5" t="str">
        <f>IF(COUNTIFS($C$2:Transactions_RAW_cleaned[[#This Row],[CustomerID]],Transactions_RAW_cleaned[[#This Row],[CustomerID]],$D$2:Transactions_RAW_cleaned[[#This Row],[ServiceID]],Transactions_RAW_cleaned[[#This Row],[ServiceID]])=1,"Yes","No")</f>
        <v>No</v>
      </c>
      <c r="S251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15" t="str">
        <f>"Q"&amp;ROUNDUP(MONTH(Transactions_RAW_cleaned[[#This Row],[TransactionDate]])/3,0)</f>
        <v>Q2</v>
      </c>
      <c r="U2515" t="str">
        <f>Transactions_RAW_cleaned[[#This Row],[Region ]]&amp;Transactions_RAW_cleaned[[#This Row],[Quarter ]]</f>
        <v>APACQ2</v>
      </c>
      <c r="V2515" s="5">
        <f>_xlfn.XLOOKUP(Transactions_RAW_cleaned[[#This Row],[RegionQuarterKey]], Quarterly_Targets_cleaned[RegionQuarterKey], Quarterly_Targets_cleaned[TargetRevenue])</f>
        <v>110000</v>
      </c>
    </row>
    <row r="2516" spans="1:22" x14ac:dyDescent="0.25">
      <c r="A2516" t="s">
        <v>2855</v>
      </c>
      <c r="B2516" s="1">
        <v>45560</v>
      </c>
      <c r="C2516" t="s">
        <v>269</v>
      </c>
      <c r="D2516" t="s">
        <v>300</v>
      </c>
      <c r="E2516">
        <v>137.52000000000001</v>
      </c>
      <c r="F2516" t="s">
        <v>324</v>
      </c>
      <c r="G2516" t="s">
        <v>327</v>
      </c>
      <c r="H2516" t="s">
        <v>346</v>
      </c>
      <c r="I2516" t="s">
        <v>17</v>
      </c>
      <c r="J2516" t="s">
        <v>31</v>
      </c>
      <c r="K2516" t="s">
        <v>32</v>
      </c>
      <c r="L2516" t="s">
        <v>301</v>
      </c>
      <c r="M2516" t="s">
        <v>302</v>
      </c>
      <c r="N2516">
        <v>5.0000000000000001E-3</v>
      </c>
      <c r="O2516" t="str">
        <f>IF(Transactions_RAW_cleaned[[#This Row],[Status]]="Completed", IFERROR(_xlfn.XLOOKUP(Transactions_RAW_cleaned[[#This Row],[CustomerID]], Customers_cleaned[CustomerID], Customers_cleaned[Segment]), "Customer Not Found"), "N/A")</f>
        <v>Enterprise</v>
      </c>
      <c r="P2516" s="5" t="str">
        <f>IF(Transactions_RAW_cleaned[[#This Row],[Status]]="Refunded", "Refund",
  IF(Transactions_RAW_cleaned[[#This Row],[Category]]="Payments", IF(Transactions_RAW_cleaned[[#This Row],[Amount]]&gt;500,"High Value","Standard"),
    IF(Transactions_RAW_cleaned[[#This Row],[Amount]]&gt;250,"High Value","Standard")))</f>
        <v>Standard</v>
      </c>
      <c r="Q2516" s="5" t="str">
        <f>IF(Transactions_RAW_cleaned[[#This Row],[Amount]] &gt; (_xlfn.XLOOKUP(Transactions_RAW_cleaned[[#This Row],[ServiceID]],Services_cleaned[ServiceID],Services_cleaned[TransactionFeePct]) * 10000), "Yes", "No")</f>
        <v>Yes</v>
      </c>
      <c r="R2516" s="5" t="str">
        <f>IF(COUNTIFS($C$2:Transactions_RAW_cleaned[[#This Row],[CustomerID]],Transactions_RAW_cleaned[[#This Row],[CustomerID]],$D$2:Transactions_RAW_cleaned[[#This Row],[ServiceID]],Transactions_RAW_cleaned[[#This Row],[ServiceID]])=1,"Yes","No")</f>
        <v>No</v>
      </c>
      <c r="S251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16" t="str">
        <f>"Q"&amp;ROUNDUP(MONTH(Transactions_RAW_cleaned[[#This Row],[TransactionDate]])/3,0)</f>
        <v>Q3</v>
      </c>
      <c r="U2516" t="str">
        <f>Transactions_RAW_cleaned[[#This Row],[Region ]]&amp;Transactions_RAW_cleaned[[#This Row],[Quarter ]]</f>
        <v>EMEAQ3</v>
      </c>
      <c r="V2516" s="5">
        <f>_xlfn.XLOOKUP(Transactions_RAW_cleaned[[#This Row],[RegionQuarterKey]], Quarterly_Targets_cleaned[RegionQuarterKey], Quarterly_Targets_cleaned[TargetRevenue])</f>
        <v>147000</v>
      </c>
    </row>
    <row r="2517" spans="1:22" x14ac:dyDescent="0.25">
      <c r="A2517" t="s">
        <v>2856</v>
      </c>
      <c r="B2517" s="1">
        <v>45564</v>
      </c>
      <c r="C2517" t="s">
        <v>119</v>
      </c>
      <c r="D2517" t="s">
        <v>294</v>
      </c>
      <c r="E2517">
        <v>118.4</v>
      </c>
      <c r="F2517" t="s">
        <v>324</v>
      </c>
      <c r="G2517" t="s">
        <v>325</v>
      </c>
      <c r="I2517" t="s">
        <v>57</v>
      </c>
      <c r="J2517" t="s">
        <v>102</v>
      </c>
      <c r="K2517" t="s">
        <v>18</v>
      </c>
      <c r="L2517" t="s">
        <v>295</v>
      </c>
      <c r="M2517" t="s">
        <v>296</v>
      </c>
      <c r="N2517">
        <v>2.9000000000000001E-2</v>
      </c>
      <c r="O2517" t="str">
        <f>IF(Transactions_RAW_cleaned[[#This Row],[Status]]="Completed", IFERROR(_xlfn.XLOOKUP(Transactions_RAW_cleaned[[#This Row],[CustomerID]], Customers_cleaned[CustomerID], Customers_cleaned[Segment]), "Customer Not Found"), "N/A")</f>
        <v>Startup</v>
      </c>
      <c r="P2517" s="5" t="str">
        <f>IF(Transactions_RAW_cleaned[[#This Row],[Status]]="Refunded", "Refund",
  IF(Transactions_RAW_cleaned[[#This Row],[Category]]="Payments", IF(Transactions_RAW_cleaned[[#This Row],[Amount]]&gt;500,"High Value","Standard"),
    IF(Transactions_RAW_cleaned[[#This Row],[Amount]]&gt;250,"High Value","Standard")))</f>
        <v>Standard</v>
      </c>
      <c r="Q2517" s="5" t="str">
        <f>IF(Transactions_RAW_cleaned[[#This Row],[Amount]] &gt; (_xlfn.XLOOKUP(Transactions_RAW_cleaned[[#This Row],[ServiceID]],Services_cleaned[ServiceID],Services_cleaned[TransactionFeePct]) * 10000), "Yes", "No")</f>
        <v>No</v>
      </c>
      <c r="R2517" s="5" t="str">
        <f>IF(COUNTIFS($C$2:Transactions_RAW_cleaned[[#This Row],[CustomerID]],Transactions_RAW_cleaned[[#This Row],[CustomerID]],$D$2:Transactions_RAW_cleaned[[#This Row],[ServiceID]],Transactions_RAW_cleaned[[#This Row],[ServiceID]])=1,"Yes","No")</f>
        <v>No</v>
      </c>
      <c r="S251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17" t="str">
        <f>"Q"&amp;ROUNDUP(MONTH(Transactions_RAW_cleaned[[#This Row],[TransactionDate]])/3,0)</f>
        <v>Q3</v>
      </c>
      <c r="U2517" t="str">
        <f>Transactions_RAW_cleaned[[#This Row],[Region ]]&amp;Transactions_RAW_cleaned[[#This Row],[Quarter ]]</f>
        <v>NAQ3</v>
      </c>
      <c r="V2517" s="5">
        <f>_xlfn.XLOOKUP(Transactions_RAW_cleaned[[#This Row],[RegionQuarterKey]], Quarterly_Targets_cleaned[RegionQuarterKey], Quarterly_Targets_cleaned[TargetRevenue])</f>
        <v>273000</v>
      </c>
    </row>
    <row r="2518" spans="1:22" x14ac:dyDescent="0.25">
      <c r="A2518" t="s">
        <v>2857</v>
      </c>
      <c r="B2518" s="1">
        <v>45415</v>
      </c>
      <c r="C2518" t="s">
        <v>155</v>
      </c>
      <c r="D2518" t="s">
        <v>306</v>
      </c>
      <c r="E2518">
        <v>403.72</v>
      </c>
      <c r="F2518" t="s">
        <v>324</v>
      </c>
      <c r="G2518" t="s">
        <v>325</v>
      </c>
      <c r="H2518" t="s">
        <v>332</v>
      </c>
      <c r="I2518" t="s">
        <v>8</v>
      </c>
      <c r="J2518" t="s">
        <v>46</v>
      </c>
      <c r="K2518" t="s">
        <v>22</v>
      </c>
      <c r="L2518" t="s">
        <v>307</v>
      </c>
      <c r="M2518" t="s">
        <v>308</v>
      </c>
      <c r="N2518">
        <v>0</v>
      </c>
      <c r="O2518" t="str">
        <f>IF(Transactions_RAW_cleaned[[#This Row],[Status]]="Completed", IFERROR(_xlfn.XLOOKUP(Transactions_RAW_cleaned[[#This Row],[CustomerID]], Customers_cleaned[CustomerID], Customers_cleaned[Segment]), "Customer Not Found"), "N/A")</f>
        <v>SMB</v>
      </c>
      <c r="P2518" s="5" t="str">
        <f>IF(Transactions_RAW_cleaned[[#This Row],[Status]]="Refunded", "Refund",
  IF(Transactions_RAW_cleaned[[#This Row],[Category]]="Payments", IF(Transactions_RAW_cleaned[[#This Row],[Amount]]&gt;500,"High Value","Standard"),
    IF(Transactions_RAW_cleaned[[#This Row],[Amount]]&gt;250,"High Value","Standard")))</f>
        <v>High Value</v>
      </c>
      <c r="Q2518" s="5" t="str">
        <f>IF(Transactions_RAW_cleaned[[#This Row],[Amount]] &gt; (_xlfn.XLOOKUP(Transactions_RAW_cleaned[[#This Row],[ServiceID]],Services_cleaned[ServiceID],Services_cleaned[TransactionFeePct]) * 10000), "Yes", "No")</f>
        <v>Yes</v>
      </c>
      <c r="R2518" s="5" t="str">
        <f>IF(COUNTIFS($C$2:Transactions_RAW_cleaned[[#This Row],[CustomerID]],Transactions_RAW_cleaned[[#This Row],[CustomerID]],$D$2:Transactions_RAW_cleaned[[#This Row],[ServiceID]],Transactions_RAW_cleaned[[#This Row],[ServiceID]])=1,"Yes","No")</f>
        <v>Yes</v>
      </c>
      <c r="S251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18" t="str">
        <f>"Q"&amp;ROUNDUP(MONTH(Transactions_RAW_cleaned[[#This Row],[TransactionDate]])/3,0)</f>
        <v>Q2</v>
      </c>
      <c r="U2518" t="str">
        <f>Transactions_RAW_cleaned[[#This Row],[Region ]]&amp;Transactions_RAW_cleaned[[#This Row],[Quarter ]]</f>
        <v>APACQ2</v>
      </c>
      <c r="V2518" s="5">
        <f>_xlfn.XLOOKUP(Transactions_RAW_cleaned[[#This Row],[RegionQuarterKey]], Quarterly_Targets_cleaned[RegionQuarterKey], Quarterly_Targets_cleaned[TargetRevenue])</f>
        <v>110000</v>
      </c>
    </row>
    <row r="2519" spans="1:22" x14ac:dyDescent="0.25">
      <c r="A2519" t="s">
        <v>2858</v>
      </c>
      <c r="B2519" s="1">
        <v>45485</v>
      </c>
      <c r="C2519" t="s">
        <v>11</v>
      </c>
      <c r="D2519" t="s">
        <v>294</v>
      </c>
      <c r="E2519">
        <v>389.11</v>
      </c>
      <c r="F2519" t="s">
        <v>324</v>
      </c>
      <c r="G2519" t="s">
        <v>327</v>
      </c>
      <c r="I2519" t="s">
        <v>8</v>
      </c>
      <c r="J2519" t="s">
        <v>13</v>
      </c>
      <c r="K2519" t="s">
        <v>14</v>
      </c>
      <c r="L2519" t="s">
        <v>295</v>
      </c>
      <c r="M2519" t="s">
        <v>296</v>
      </c>
      <c r="N2519">
        <v>2.9000000000000001E-2</v>
      </c>
      <c r="O2519" t="str">
        <f>IF(Transactions_RAW_cleaned[[#This Row],[Status]]="Completed", IFERROR(_xlfn.XLOOKUP(Transactions_RAW_cleaned[[#This Row],[CustomerID]], Customers_cleaned[CustomerID], Customers_cleaned[Segment]), "Customer Not Found"), "N/A")</f>
        <v>SMB</v>
      </c>
      <c r="P2519" s="5" t="str">
        <f>IF(Transactions_RAW_cleaned[[#This Row],[Status]]="Refunded", "Refund",
  IF(Transactions_RAW_cleaned[[#This Row],[Category]]="Payments", IF(Transactions_RAW_cleaned[[#This Row],[Amount]]&gt;500,"High Value","Standard"),
    IF(Transactions_RAW_cleaned[[#This Row],[Amount]]&gt;250,"High Value","Standard")))</f>
        <v>Standard</v>
      </c>
      <c r="Q2519" s="5" t="str">
        <f>IF(Transactions_RAW_cleaned[[#This Row],[Amount]] &gt; (_xlfn.XLOOKUP(Transactions_RAW_cleaned[[#This Row],[ServiceID]],Services_cleaned[ServiceID],Services_cleaned[TransactionFeePct]) * 10000), "Yes", "No")</f>
        <v>Yes</v>
      </c>
      <c r="R2519" s="5" t="str">
        <f>IF(COUNTIFS($C$2:Transactions_RAW_cleaned[[#This Row],[CustomerID]],Transactions_RAW_cleaned[[#This Row],[CustomerID]],$D$2:Transactions_RAW_cleaned[[#This Row],[ServiceID]],Transactions_RAW_cleaned[[#This Row],[ServiceID]])=1,"Yes","No")</f>
        <v>No</v>
      </c>
      <c r="S251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19" t="str">
        <f>"Q"&amp;ROUNDUP(MONTH(Transactions_RAW_cleaned[[#This Row],[TransactionDate]])/3,0)</f>
        <v>Q3</v>
      </c>
      <c r="U2519" t="str">
        <f>Transactions_RAW_cleaned[[#This Row],[Region ]]&amp;Transactions_RAW_cleaned[[#This Row],[Quarter ]]</f>
        <v>NAQ3</v>
      </c>
      <c r="V2519" s="5">
        <f>_xlfn.XLOOKUP(Transactions_RAW_cleaned[[#This Row],[RegionQuarterKey]], Quarterly_Targets_cleaned[RegionQuarterKey], Quarterly_Targets_cleaned[TargetRevenue])</f>
        <v>273000</v>
      </c>
    </row>
    <row r="2520" spans="1:22" x14ac:dyDescent="0.25">
      <c r="A2520" t="s">
        <v>2859</v>
      </c>
      <c r="B2520" s="1">
        <v>45387</v>
      </c>
      <c r="C2520" t="s">
        <v>253</v>
      </c>
      <c r="D2520" t="s">
        <v>294</v>
      </c>
      <c r="E2520">
        <v>731.29</v>
      </c>
      <c r="F2520" t="s">
        <v>324</v>
      </c>
      <c r="G2520" t="s">
        <v>2963</v>
      </c>
      <c r="H2520" t="s">
        <v>332</v>
      </c>
      <c r="I2520" t="s">
        <v>8</v>
      </c>
      <c r="J2520" t="s">
        <v>102</v>
      </c>
      <c r="K2520" t="s">
        <v>28</v>
      </c>
      <c r="L2520" t="s">
        <v>295</v>
      </c>
      <c r="M2520" t="s">
        <v>296</v>
      </c>
      <c r="N2520">
        <v>2.9000000000000001E-2</v>
      </c>
      <c r="O2520" t="str">
        <f>IF(Transactions_RAW_cleaned[[#This Row],[Status]]="Completed", IFERROR(_xlfn.XLOOKUP(Transactions_RAW_cleaned[[#This Row],[CustomerID]], Customers_cleaned[CustomerID], Customers_cleaned[Segment]), "Customer Not Found"), "N/A")</f>
        <v>SMB</v>
      </c>
      <c r="P2520" s="5" t="str">
        <f>IF(Transactions_RAW_cleaned[[#This Row],[Status]]="Refunded", "Refund",
  IF(Transactions_RAW_cleaned[[#This Row],[Category]]="Payments", IF(Transactions_RAW_cleaned[[#This Row],[Amount]]&gt;500,"High Value","Standard"),
    IF(Transactions_RAW_cleaned[[#This Row],[Amount]]&gt;250,"High Value","Standard")))</f>
        <v>High Value</v>
      </c>
      <c r="Q2520" s="5" t="str">
        <f>IF(Transactions_RAW_cleaned[[#This Row],[Amount]] &gt; (_xlfn.XLOOKUP(Transactions_RAW_cleaned[[#This Row],[ServiceID]],Services_cleaned[ServiceID],Services_cleaned[TransactionFeePct]) * 10000), "Yes", "No")</f>
        <v>Yes</v>
      </c>
      <c r="R2520" s="5" t="str">
        <f>IF(COUNTIFS($C$2:Transactions_RAW_cleaned[[#This Row],[CustomerID]],Transactions_RAW_cleaned[[#This Row],[CustomerID]],$D$2:Transactions_RAW_cleaned[[#This Row],[ServiceID]],Transactions_RAW_cleaned[[#This Row],[ServiceID]])=1,"Yes","No")</f>
        <v>No</v>
      </c>
      <c r="S252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20" t="str">
        <f>"Q"&amp;ROUNDUP(MONTH(Transactions_RAW_cleaned[[#This Row],[TransactionDate]])/3,0)</f>
        <v>Q2</v>
      </c>
      <c r="U2520" t="str">
        <f>Transactions_RAW_cleaned[[#This Row],[Region ]]&amp;Transactions_RAW_cleaned[[#This Row],[Quarter ]]</f>
        <v>NAQ2</v>
      </c>
      <c r="V2520" s="5">
        <f>_xlfn.XLOOKUP(Transactions_RAW_cleaned[[#This Row],[RegionQuarterKey]], Quarterly_Targets_cleaned[RegionQuarterKey], Quarterly_Targets_cleaned[TargetRevenue])</f>
        <v>260000</v>
      </c>
    </row>
    <row r="2521" spans="1:22" x14ac:dyDescent="0.25">
      <c r="A2521" t="s">
        <v>2860</v>
      </c>
      <c r="B2521" s="1">
        <v>45472</v>
      </c>
      <c r="C2521" t="s">
        <v>189</v>
      </c>
      <c r="D2521" t="s">
        <v>294</v>
      </c>
      <c r="E2521">
        <v>472.92</v>
      </c>
      <c r="F2521" t="s">
        <v>324</v>
      </c>
      <c r="G2521" t="s">
        <v>325</v>
      </c>
      <c r="H2521" t="s">
        <v>334</v>
      </c>
      <c r="I2521" t="s">
        <v>17</v>
      </c>
      <c r="J2521" t="s">
        <v>102</v>
      </c>
      <c r="K2521" t="s">
        <v>14</v>
      </c>
      <c r="L2521" t="s">
        <v>295</v>
      </c>
      <c r="M2521" t="s">
        <v>296</v>
      </c>
      <c r="N2521">
        <v>2.9000000000000001E-2</v>
      </c>
      <c r="O2521" t="str">
        <f>IF(Transactions_RAW_cleaned[[#This Row],[Status]]="Completed", IFERROR(_xlfn.XLOOKUP(Transactions_RAW_cleaned[[#This Row],[CustomerID]], Customers_cleaned[CustomerID], Customers_cleaned[Segment]), "Customer Not Found"), "N/A")</f>
        <v>Enterprise</v>
      </c>
      <c r="P2521" s="5" t="str">
        <f>IF(Transactions_RAW_cleaned[[#This Row],[Status]]="Refunded", "Refund",
  IF(Transactions_RAW_cleaned[[#This Row],[Category]]="Payments", IF(Transactions_RAW_cleaned[[#This Row],[Amount]]&gt;500,"High Value","Standard"),
    IF(Transactions_RAW_cleaned[[#This Row],[Amount]]&gt;250,"High Value","Standard")))</f>
        <v>Standard</v>
      </c>
      <c r="Q2521" s="5" t="str">
        <f>IF(Transactions_RAW_cleaned[[#This Row],[Amount]] &gt; (_xlfn.XLOOKUP(Transactions_RAW_cleaned[[#This Row],[ServiceID]],Services_cleaned[ServiceID],Services_cleaned[TransactionFeePct]) * 10000), "Yes", "No")</f>
        <v>Yes</v>
      </c>
      <c r="R2521" s="5" t="str">
        <f>IF(COUNTIFS($C$2:Transactions_RAW_cleaned[[#This Row],[CustomerID]],Transactions_RAW_cleaned[[#This Row],[CustomerID]],$D$2:Transactions_RAW_cleaned[[#This Row],[ServiceID]],Transactions_RAW_cleaned[[#This Row],[ServiceID]])=1,"Yes","No")</f>
        <v>No</v>
      </c>
      <c r="S252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21" t="str">
        <f>"Q"&amp;ROUNDUP(MONTH(Transactions_RAW_cleaned[[#This Row],[TransactionDate]])/3,0)</f>
        <v>Q2</v>
      </c>
      <c r="U2521" t="str">
        <f>Transactions_RAW_cleaned[[#This Row],[Region ]]&amp;Transactions_RAW_cleaned[[#This Row],[Quarter ]]</f>
        <v>NAQ2</v>
      </c>
      <c r="V2521" s="5">
        <f>_xlfn.XLOOKUP(Transactions_RAW_cleaned[[#This Row],[RegionQuarterKey]], Quarterly_Targets_cleaned[RegionQuarterKey], Quarterly_Targets_cleaned[TargetRevenue])</f>
        <v>260000</v>
      </c>
    </row>
    <row r="2522" spans="1:22" x14ac:dyDescent="0.25">
      <c r="A2522" t="s">
        <v>2861</v>
      </c>
      <c r="B2522" s="1">
        <v>45487</v>
      </c>
      <c r="C2522" t="s">
        <v>96</v>
      </c>
      <c r="D2522" t="s">
        <v>294</v>
      </c>
      <c r="E2522">
        <v>233.8</v>
      </c>
      <c r="F2522" t="s">
        <v>324</v>
      </c>
      <c r="G2522" t="s">
        <v>325</v>
      </c>
      <c r="I2522" t="s">
        <v>17</v>
      </c>
      <c r="J2522" t="s">
        <v>31</v>
      </c>
      <c r="K2522" t="s">
        <v>14</v>
      </c>
      <c r="L2522" t="s">
        <v>295</v>
      </c>
      <c r="M2522" t="s">
        <v>296</v>
      </c>
      <c r="N2522">
        <v>2.9000000000000001E-2</v>
      </c>
      <c r="O2522" t="str">
        <f>IF(Transactions_RAW_cleaned[[#This Row],[Status]]="Completed", IFERROR(_xlfn.XLOOKUP(Transactions_RAW_cleaned[[#This Row],[CustomerID]], Customers_cleaned[CustomerID], Customers_cleaned[Segment]), "Customer Not Found"), "N/A")</f>
        <v>Enterprise</v>
      </c>
      <c r="P2522" s="5" t="str">
        <f>IF(Transactions_RAW_cleaned[[#This Row],[Status]]="Refunded", "Refund",
  IF(Transactions_RAW_cleaned[[#This Row],[Category]]="Payments", IF(Transactions_RAW_cleaned[[#This Row],[Amount]]&gt;500,"High Value","Standard"),
    IF(Transactions_RAW_cleaned[[#This Row],[Amount]]&gt;250,"High Value","Standard")))</f>
        <v>Standard</v>
      </c>
      <c r="Q2522" s="5" t="str">
        <f>IF(Transactions_RAW_cleaned[[#This Row],[Amount]] &gt; (_xlfn.XLOOKUP(Transactions_RAW_cleaned[[#This Row],[ServiceID]],Services_cleaned[ServiceID],Services_cleaned[TransactionFeePct]) * 10000), "Yes", "No")</f>
        <v>No</v>
      </c>
      <c r="R2522" s="5" t="str">
        <f>IF(COUNTIFS($C$2:Transactions_RAW_cleaned[[#This Row],[CustomerID]],Transactions_RAW_cleaned[[#This Row],[CustomerID]],$D$2:Transactions_RAW_cleaned[[#This Row],[ServiceID]],Transactions_RAW_cleaned[[#This Row],[ServiceID]])=1,"Yes","No")</f>
        <v>No</v>
      </c>
      <c r="S252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22" t="str">
        <f>"Q"&amp;ROUNDUP(MONTH(Transactions_RAW_cleaned[[#This Row],[TransactionDate]])/3,0)</f>
        <v>Q3</v>
      </c>
      <c r="U2522" t="str">
        <f>Transactions_RAW_cleaned[[#This Row],[Region ]]&amp;Transactions_RAW_cleaned[[#This Row],[Quarter ]]</f>
        <v>EMEAQ3</v>
      </c>
      <c r="V2522" s="5">
        <f>_xlfn.XLOOKUP(Transactions_RAW_cleaned[[#This Row],[RegionQuarterKey]], Quarterly_Targets_cleaned[RegionQuarterKey], Quarterly_Targets_cleaned[TargetRevenue])</f>
        <v>147000</v>
      </c>
    </row>
    <row r="2523" spans="1:22" x14ac:dyDescent="0.25">
      <c r="A2523" t="s">
        <v>2862</v>
      </c>
      <c r="B2523" s="1">
        <v>45373</v>
      </c>
      <c r="C2523" t="s">
        <v>233</v>
      </c>
      <c r="D2523" t="s">
        <v>294</v>
      </c>
      <c r="E2523">
        <v>144.29</v>
      </c>
      <c r="F2523" t="s">
        <v>381</v>
      </c>
      <c r="G2523" t="s">
        <v>329</v>
      </c>
      <c r="I2523" t="s">
        <v>8</v>
      </c>
      <c r="J2523" t="s">
        <v>13</v>
      </c>
      <c r="K2523" t="s">
        <v>14</v>
      </c>
      <c r="L2523" t="s">
        <v>295</v>
      </c>
      <c r="M2523" t="s">
        <v>296</v>
      </c>
      <c r="N2523">
        <v>2.9000000000000001E-2</v>
      </c>
      <c r="O2523" t="str">
        <f>IF(Transactions_RAW_cleaned[[#This Row],[Status]]="Completed", IFERROR(_xlfn.XLOOKUP(Transactions_RAW_cleaned[[#This Row],[CustomerID]], Customers_cleaned[CustomerID], Customers_cleaned[Segment]), "Customer Not Found"), "N/A")</f>
        <v>N/A</v>
      </c>
      <c r="P2523" s="5" t="str">
        <f>IF(Transactions_RAW_cleaned[[#This Row],[Status]]="Refunded", "Refund",
  IF(Transactions_RAW_cleaned[[#This Row],[Category]]="Payments", IF(Transactions_RAW_cleaned[[#This Row],[Amount]]&gt;500,"High Value","Standard"),
    IF(Transactions_RAW_cleaned[[#This Row],[Amount]]&gt;250,"High Value","Standard")))</f>
        <v>Standard</v>
      </c>
      <c r="Q2523" s="5" t="str">
        <f>IF(Transactions_RAW_cleaned[[#This Row],[Amount]] &gt; (_xlfn.XLOOKUP(Transactions_RAW_cleaned[[#This Row],[ServiceID]],Services_cleaned[ServiceID],Services_cleaned[TransactionFeePct]) * 10000), "Yes", "No")</f>
        <v>No</v>
      </c>
      <c r="R2523" s="5" t="str">
        <f>IF(COUNTIFS($C$2:Transactions_RAW_cleaned[[#This Row],[CustomerID]],Transactions_RAW_cleaned[[#This Row],[CustomerID]],$D$2:Transactions_RAW_cleaned[[#This Row],[ServiceID]],Transactions_RAW_cleaned[[#This Row],[ServiceID]])=1,"Yes","No")</f>
        <v>No</v>
      </c>
      <c r="S252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23" t="str">
        <f>"Q"&amp;ROUNDUP(MONTH(Transactions_RAW_cleaned[[#This Row],[TransactionDate]])/3,0)</f>
        <v>Q1</v>
      </c>
      <c r="U2523" t="str">
        <f>Transactions_RAW_cleaned[[#This Row],[Region ]]&amp;Transactions_RAW_cleaned[[#This Row],[Quarter ]]</f>
        <v>NAQ1</v>
      </c>
      <c r="V2523" s="5">
        <f>_xlfn.XLOOKUP(Transactions_RAW_cleaned[[#This Row],[RegionQuarterKey]], Quarterly_Targets_cleaned[RegionQuarterKey], Quarterly_Targets_cleaned[TargetRevenue])</f>
        <v>247000</v>
      </c>
    </row>
    <row r="2524" spans="1:22" x14ac:dyDescent="0.25">
      <c r="A2524" t="s">
        <v>2863</v>
      </c>
      <c r="B2524" s="1">
        <v>45373</v>
      </c>
      <c r="C2524" t="s">
        <v>53</v>
      </c>
      <c r="D2524" t="s">
        <v>309</v>
      </c>
      <c r="E2524">
        <v>357.61</v>
      </c>
      <c r="F2524" t="s">
        <v>324</v>
      </c>
      <c r="G2524" t="s">
        <v>325</v>
      </c>
      <c r="I2524" t="s">
        <v>17</v>
      </c>
      <c r="J2524" t="s">
        <v>21</v>
      </c>
      <c r="K2524" t="s">
        <v>28</v>
      </c>
      <c r="L2524" t="s">
        <v>310</v>
      </c>
      <c r="M2524" t="s">
        <v>311</v>
      </c>
      <c r="N2524">
        <v>0</v>
      </c>
      <c r="O2524" t="str">
        <f>IF(Transactions_RAW_cleaned[[#This Row],[Status]]="Completed", IFERROR(_xlfn.XLOOKUP(Transactions_RAW_cleaned[[#This Row],[CustomerID]], Customers_cleaned[CustomerID], Customers_cleaned[Segment]), "Customer Not Found"), "N/A")</f>
        <v>Enterprise</v>
      </c>
      <c r="P2524" s="5" t="str">
        <f>IF(Transactions_RAW_cleaned[[#This Row],[Status]]="Refunded", "Refund",
  IF(Transactions_RAW_cleaned[[#This Row],[Category]]="Payments", IF(Transactions_RAW_cleaned[[#This Row],[Amount]]&gt;500,"High Value","Standard"),
    IF(Transactions_RAW_cleaned[[#This Row],[Amount]]&gt;250,"High Value","Standard")))</f>
        <v>High Value</v>
      </c>
      <c r="Q2524" s="5" t="str">
        <f>IF(Transactions_RAW_cleaned[[#This Row],[Amount]] &gt; (_xlfn.XLOOKUP(Transactions_RAW_cleaned[[#This Row],[ServiceID]],Services_cleaned[ServiceID],Services_cleaned[TransactionFeePct]) * 10000), "Yes", "No")</f>
        <v>Yes</v>
      </c>
      <c r="R2524" s="5" t="str">
        <f>IF(COUNTIFS($C$2:Transactions_RAW_cleaned[[#This Row],[CustomerID]],Transactions_RAW_cleaned[[#This Row],[CustomerID]],$D$2:Transactions_RAW_cleaned[[#This Row],[ServiceID]],Transactions_RAW_cleaned[[#This Row],[ServiceID]])=1,"Yes","No")</f>
        <v>Yes</v>
      </c>
      <c r="S252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24" t="str">
        <f>"Q"&amp;ROUNDUP(MONTH(Transactions_RAW_cleaned[[#This Row],[TransactionDate]])/3,0)</f>
        <v>Q1</v>
      </c>
      <c r="U2524" t="str">
        <f>Transactions_RAW_cleaned[[#This Row],[Region ]]&amp;Transactions_RAW_cleaned[[#This Row],[Quarter ]]</f>
        <v>APACQ1</v>
      </c>
      <c r="V2524" s="5">
        <f>_xlfn.XLOOKUP(Transactions_RAW_cleaned[[#This Row],[RegionQuarterKey]], Quarterly_Targets_cleaned[RegionQuarterKey], Quarterly_Targets_cleaned[TargetRevenue])</f>
        <v>104500</v>
      </c>
    </row>
    <row r="2525" spans="1:22" x14ac:dyDescent="0.25">
      <c r="A2525" t="s">
        <v>2864</v>
      </c>
      <c r="B2525" s="1">
        <v>45549</v>
      </c>
      <c r="C2525" t="s">
        <v>70</v>
      </c>
      <c r="D2525" t="s">
        <v>294</v>
      </c>
      <c r="E2525">
        <v>333.97</v>
      </c>
      <c r="F2525" t="s">
        <v>381</v>
      </c>
      <c r="G2525" t="s">
        <v>337</v>
      </c>
      <c r="H2525" t="s">
        <v>334</v>
      </c>
      <c r="I2525" t="s">
        <v>8</v>
      </c>
      <c r="J2525" t="s">
        <v>37</v>
      </c>
      <c r="K2525" t="s">
        <v>28</v>
      </c>
      <c r="L2525" t="s">
        <v>295</v>
      </c>
      <c r="M2525" t="s">
        <v>296</v>
      </c>
      <c r="N2525">
        <v>2.9000000000000001E-2</v>
      </c>
      <c r="O2525" t="str">
        <f>IF(Transactions_RAW_cleaned[[#This Row],[Status]]="Completed", IFERROR(_xlfn.XLOOKUP(Transactions_RAW_cleaned[[#This Row],[CustomerID]], Customers_cleaned[CustomerID], Customers_cleaned[Segment]), "Customer Not Found"), "N/A")</f>
        <v>N/A</v>
      </c>
      <c r="P2525" s="5" t="str">
        <f>IF(Transactions_RAW_cleaned[[#This Row],[Status]]="Refunded", "Refund",
  IF(Transactions_RAW_cleaned[[#This Row],[Category]]="Payments", IF(Transactions_RAW_cleaned[[#This Row],[Amount]]&gt;500,"High Value","Standard"),
    IF(Transactions_RAW_cleaned[[#This Row],[Amount]]&gt;250,"High Value","Standard")))</f>
        <v>Standard</v>
      </c>
      <c r="Q2525" s="5" t="str">
        <f>IF(Transactions_RAW_cleaned[[#This Row],[Amount]] &gt; (_xlfn.XLOOKUP(Transactions_RAW_cleaned[[#This Row],[ServiceID]],Services_cleaned[ServiceID],Services_cleaned[TransactionFeePct]) * 10000), "Yes", "No")</f>
        <v>Yes</v>
      </c>
      <c r="R2525" s="5" t="str">
        <f>IF(COUNTIFS($C$2:Transactions_RAW_cleaned[[#This Row],[CustomerID]],Transactions_RAW_cleaned[[#This Row],[CustomerID]],$D$2:Transactions_RAW_cleaned[[#This Row],[ServiceID]],Transactions_RAW_cleaned[[#This Row],[ServiceID]])=1,"Yes","No")</f>
        <v>No</v>
      </c>
      <c r="S252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25" t="str">
        <f>"Q"&amp;ROUNDUP(MONTH(Transactions_RAW_cleaned[[#This Row],[TransactionDate]])/3,0)</f>
        <v>Q3</v>
      </c>
      <c r="U2525" t="str">
        <f>Transactions_RAW_cleaned[[#This Row],[Region ]]&amp;Transactions_RAW_cleaned[[#This Row],[Quarter ]]</f>
        <v>EMEAQ3</v>
      </c>
      <c r="V2525" s="5">
        <f>_xlfn.XLOOKUP(Transactions_RAW_cleaned[[#This Row],[RegionQuarterKey]], Quarterly_Targets_cleaned[RegionQuarterKey], Quarterly_Targets_cleaned[TargetRevenue])</f>
        <v>147000</v>
      </c>
    </row>
    <row r="2526" spans="1:22" x14ac:dyDescent="0.25">
      <c r="A2526" t="s">
        <v>2865</v>
      </c>
      <c r="B2526" s="1">
        <v>45609</v>
      </c>
      <c r="C2526" t="s">
        <v>255</v>
      </c>
      <c r="D2526" t="s">
        <v>309</v>
      </c>
      <c r="E2526">
        <v>301.08</v>
      </c>
      <c r="F2526" t="s">
        <v>324</v>
      </c>
      <c r="G2526" t="s">
        <v>337</v>
      </c>
      <c r="I2526" t="s">
        <v>17</v>
      </c>
      <c r="J2526" t="s">
        <v>21</v>
      </c>
      <c r="K2526" t="s">
        <v>28</v>
      </c>
      <c r="L2526" t="s">
        <v>310</v>
      </c>
      <c r="M2526" t="s">
        <v>311</v>
      </c>
      <c r="N2526">
        <v>0</v>
      </c>
      <c r="O2526" t="str">
        <f>IF(Transactions_RAW_cleaned[[#This Row],[Status]]="Completed", IFERROR(_xlfn.XLOOKUP(Transactions_RAW_cleaned[[#This Row],[CustomerID]], Customers_cleaned[CustomerID], Customers_cleaned[Segment]), "Customer Not Found"), "N/A")</f>
        <v>Enterprise</v>
      </c>
      <c r="P2526" s="5" t="str">
        <f>IF(Transactions_RAW_cleaned[[#This Row],[Status]]="Refunded", "Refund",
  IF(Transactions_RAW_cleaned[[#This Row],[Category]]="Payments", IF(Transactions_RAW_cleaned[[#This Row],[Amount]]&gt;500,"High Value","Standard"),
    IF(Transactions_RAW_cleaned[[#This Row],[Amount]]&gt;250,"High Value","Standard")))</f>
        <v>High Value</v>
      </c>
      <c r="Q2526" s="5" t="str">
        <f>IF(Transactions_RAW_cleaned[[#This Row],[Amount]] &gt; (_xlfn.XLOOKUP(Transactions_RAW_cleaned[[#This Row],[ServiceID]],Services_cleaned[ServiceID],Services_cleaned[TransactionFeePct]) * 10000), "Yes", "No")</f>
        <v>Yes</v>
      </c>
      <c r="R2526" s="5" t="str">
        <f>IF(COUNTIFS($C$2:Transactions_RAW_cleaned[[#This Row],[CustomerID]],Transactions_RAW_cleaned[[#This Row],[CustomerID]],$D$2:Transactions_RAW_cleaned[[#This Row],[ServiceID]],Transactions_RAW_cleaned[[#This Row],[ServiceID]])=1,"Yes","No")</f>
        <v>No</v>
      </c>
      <c r="S252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26" t="str">
        <f>"Q"&amp;ROUNDUP(MONTH(Transactions_RAW_cleaned[[#This Row],[TransactionDate]])/3,0)</f>
        <v>Q4</v>
      </c>
      <c r="U2526" t="str">
        <f>Transactions_RAW_cleaned[[#This Row],[Region ]]&amp;Transactions_RAW_cleaned[[#This Row],[Quarter ]]</f>
        <v>APACQ4</v>
      </c>
      <c r="V2526" s="5">
        <f>_xlfn.XLOOKUP(Transactions_RAW_cleaned[[#This Row],[RegionQuarterKey]], Quarterly_Targets_cleaned[RegionQuarterKey], Quarterly_Targets_cleaned[TargetRevenue])</f>
        <v>126500</v>
      </c>
    </row>
    <row r="2527" spans="1:22" x14ac:dyDescent="0.25">
      <c r="A2527" t="s">
        <v>2866</v>
      </c>
      <c r="B2527" s="1">
        <v>45546</v>
      </c>
      <c r="C2527" t="s">
        <v>157</v>
      </c>
      <c r="D2527" t="s">
        <v>294</v>
      </c>
      <c r="E2527">
        <v>125.66</v>
      </c>
      <c r="F2527" t="s">
        <v>324</v>
      </c>
      <c r="G2527" t="s">
        <v>325</v>
      </c>
      <c r="I2527" t="s">
        <v>8</v>
      </c>
      <c r="J2527" t="s">
        <v>102</v>
      </c>
      <c r="K2527" t="s">
        <v>14</v>
      </c>
      <c r="L2527" t="s">
        <v>295</v>
      </c>
      <c r="M2527" t="s">
        <v>296</v>
      </c>
      <c r="N2527">
        <v>2.9000000000000001E-2</v>
      </c>
      <c r="O2527" t="str">
        <f>IF(Transactions_RAW_cleaned[[#This Row],[Status]]="Completed", IFERROR(_xlfn.XLOOKUP(Transactions_RAW_cleaned[[#This Row],[CustomerID]], Customers_cleaned[CustomerID], Customers_cleaned[Segment]), "Customer Not Found"), "N/A")</f>
        <v>SMB</v>
      </c>
      <c r="P2527" s="5" t="str">
        <f>IF(Transactions_RAW_cleaned[[#This Row],[Status]]="Refunded", "Refund",
  IF(Transactions_RAW_cleaned[[#This Row],[Category]]="Payments", IF(Transactions_RAW_cleaned[[#This Row],[Amount]]&gt;500,"High Value","Standard"),
    IF(Transactions_RAW_cleaned[[#This Row],[Amount]]&gt;250,"High Value","Standard")))</f>
        <v>Standard</v>
      </c>
      <c r="Q2527" s="5" t="str">
        <f>IF(Transactions_RAW_cleaned[[#This Row],[Amount]] &gt; (_xlfn.XLOOKUP(Transactions_RAW_cleaned[[#This Row],[ServiceID]],Services_cleaned[ServiceID],Services_cleaned[TransactionFeePct]) * 10000), "Yes", "No")</f>
        <v>No</v>
      </c>
      <c r="R2527" s="5" t="str">
        <f>IF(COUNTIFS($C$2:Transactions_RAW_cleaned[[#This Row],[CustomerID]],Transactions_RAW_cleaned[[#This Row],[CustomerID]],$D$2:Transactions_RAW_cleaned[[#This Row],[ServiceID]],Transactions_RAW_cleaned[[#This Row],[ServiceID]])=1,"Yes","No")</f>
        <v>No</v>
      </c>
      <c r="S252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27" t="str">
        <f>"Q"&amp;ROUNDUP(MONTH(Transactions_RAW_cleaned[[#This Row],[TransactionDate]])/3,0)</f>
        <v>Q3</v>
      </c>
      <c r="U2527" t="str">
        <f>Transactions_RAW_cleaned[[#This Row],[Region ]]&amp;Transactions_RAW_cleaned[[#This Row],[Quarter ]]</f>
        <v>NAQ3</v>
      </c>
      <c r="V2527" s="5">
        <f>_xlfn.XLOOKUP(Transactions_RAW_cleaned[[#This Row],[RegionQuarterKey]], Quarterly_Targets_cleaned[RegionQuarterKey], Quarterly_Targets_cleaned[TargetRevenue])</f>
        <v>273000</v>
      </c>
    </row>
    <row r="2528" spans="1:22" x14ac:dyDescent="0.25">
      <c r="A2528" t="s">
        <v>2867</v>
      </c>
      <c r="B2528" s="1">
        <v>45294</v>
      </c>
      <c r="C2528" t="s">
        <v>151</v>
      </c>
      <c r="D2528" t="s">
        <v>297</v>
      </c>
      <c r="E2528">
        <v>288.05</v>
      </c>
      <c r="F2528" t="s">
        <v>324</v>
      </c>
      <c r="G2528" t="s">
        <v>2963</v>
      </c>
      <c r="H2528" t="s">
        <v>346</v>
      </c>
      <c r="I2528" t="s">
        <v>8</v>
      </c>
      <c r="J2528" t="s">
        <v>46</v>
      </c>
      <c r="K2528" t="s">
        <v>18</v>
      </c>
      <c r="L2528" t="s">
        <v>298</v>
      </c>
      <c r="M2528" t="s">
        <v>299</v>
      </c>
      <c r="N2528">
        <v>0</v>
      </c>
      <c r="O2528" t="str">
        <f>IF(Transactions_RAW_cleaned[[#This Row],[Status]]="Completed", IFERROR(_xlfn.XLOOKUP(Transactions_RAW_cleaned[[#This Row],[CustomerID]], Customers_cleaned[CustomerID], Customers_cleaned[Segment]), "Customer Not Found"), "N/A")</f>
        <v>SMB</v>
      </c>
      <c r="P2528" s="5" t="str">
        <f>IF(Transactions_RAW_cleaned[[#This Row],[Status]]="Refunded", "Refund",
  IF(Transactions_RAW_cleaned[[#This Row],[Category]]="Payments", IF(Transactions_RAW_cleaned[[#This Row],[Amount]]&gt;500,"High Value","Standard"),
    IF(Transactions_RAW_cleaned[[#This Row],[Amount]]&gt;250,"High Value","Standard")))</f>
        <v>High Value</v>
      </c>
      <c r="Q2528" s="5" t="str">
        <f>IF(Transactions_RAW_cleaned[[#This Row],[Amount]] &gt; (_xlfn.XLOOKUP(Transactions_RAW_cleaned[[#This Row],[ServiceID]],Services_cleaned[ServiceID],Services_cleaned[TransactionFeePct]) * 10000), "Yes", "No")</f>
        <v>Yes</v>
      </c>
      <c r="R2528" s="5" t="str">
        <f>IF(COUNTIFS($C$2:Transactions_RAW_cleaned[[#This Row],[CustomerID]],Transactions_RAW_cleaned[[#This Row],[CustomerID]],$D$2:Transactions_RAW_cleaned[[#This Row],[ServiceID]],Transactions_RAW_cleaned[[#This Row],[ServiceID]])=1,"Yes","No")</f>
        <v>No</v>
      </c>
      <c r="S252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28" t="str">
        <f>"Q"&amp;ROUNDUP(MONTH(Transactions_RAW_cleaned[[#This Row],[TransactionDate]])/3,0)</f>
        <v>Q1</v>
      </c>
      <c r="U2528" t="str">
        <f>Transactions_RAW_cleaned[[#This Row],[Region ]]&amp;Transactions_RAW_cleaned[[#This Row],[Quarter ]]</f>
        <v>APACQ1</v>
      </c>
      <c r="V2528" s="5">
        <f>_xlfn.XLOOKUP(Transactions_RAW_cleaned[[#This Row],[RegionQuarterKey]], Quarterly_Targets_cleaned[RegionQuarterKey], Quarterly_Targets_cleaned[TargetRevenue])</f>
        <v>104500</v>
      </c>
    </row>
    <row r="2529" spans="1:22" x14ac:dyDescent="0.25">
      <c r="A2529" t="s">
        <v>2868</v>
      </c>
      <c r="B2529" s="1">
        <v>45416</v>
      </c>
      <c r="C2529" t="s">
        <v>211</v>
      </c>
      <c r="D2529" t="s">
        <v>303</v>
      </c>
      <c r="E2529">
        <v>437.05</v>
      </c>
      <c r="F2529" t="s">
        <v>324</v>
      </c>
      <c r="G2529" t="s">
        <v>327</v>
      </c>
      <c r="H2529" t="s">
        <v>346</v>
      </c>
      <c r="I2529" t="s">
        <v>8</v>
      </c>
      <c r="J2529" t="s">
        <v>31</v>
      </c>
      <c r="K2529" t="s">
        <v>22</v>
      </c>
      <c r="L2529" t="s">
        <v>304</v>
      </c>
      <c r="M2529" t="s">
        <v>305</v>
      </c>
      <c r="N2529">
        <v>1E-3</v>
      </c>
      <c r="O2529" t="str">
        <f>IF(Transactions_RAW_cleaned[[#This Row],[Status]]="Completed", IFERROR(_xlfn.XLOOKUP(Transactions_RAW_cleaned[[#This Row],[CustomerID]], Customers_cleaned[CustomerID], Customers_cleaned[Segment]), "Customer Not Found"), "N/A")</f>
        <v>SMB</v>
      </c>
      <c r="P2529" s="5" t="str">
        <f>IF(Transactions_RAW_cleaned[[#This Row],[Status]]="Refunded", "Refund",
  IF(Transactions_RAW_cleaned[[#This Row],[Category]]="Payments", IF(Transactions_RAW_cleaned[[#This Row],[Amount]]&gt;500,"High Value","Standard"),
    IF(Transactions_RAW_cleaned[[#This Row],[Amount]]&gt;250,"High Value","Standard")))</f>
        <v>High Value</v>
      </c>
      <c r="Q2529" s="5" t="str">
        <f>IF(Transactions_RAW_cleaned[[#This Row],[Amount]] &gt; (_xlfn.XLOOKUP(Transactions_RAW_cleaned[[#This Row],[ServiceID]],Services_cleaned[ServiceID],Services_cleaned[TransactionFeePct]) * 10000), "Yes", "No")</f>
        <v>Yes</v>
      </c>
      <c r="R2529" s="5" t="str">
        <f>IF(COUNTIFS($C$2:Transactions_RAW_cleaned[[#This Row],[CustomerID]],Transactions_RAW_cleaned[[#This Row],[CustomerID]],$D$2:Transactions_RAW_cleaned[[#This Row],[ServiceID]],Transactions_RAW_cleaned[[#This Row],[ServiceID]])=1,"Yes","No")</f>
        <v>No</v>
      </c>
      <c r="S252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29" t="str">
        <f>"Q"&amp;ROUNDUP(MONTH(Transactions_RAW_cleaned[[#This Row],[TransactionDate]])/3,0)</f>
        <v>Q2</v>
      </c>
      <c r="U2529" t="str">
        <f>Transactions_RAW_cleaned[[#This Row],[Region ]]&amp;Transactions_RAW_cleaned[[#This Row],[Quarter ]]</f>
        <v>EMEAQ2</v>
      </c>
      <c r="V2529" s="5">
        <f>_xlfn.XLOOKUP(Transactions_RAW_cleaned[[#This Row],[RegionQuarterKey]], Quarterly_Targets_cleaned[RegionQuarterKey], Quarterly_Targets_cleaned[TargetRevenue])</f>
        <v>140000</v>
      </c>
    </row>
    <row r="2530" spans="1:22" x14ac:dyDescent="0.25">
      <c r="A2530" t="s">
        <v>2869</v>
      </c>
      <c r="B2530" s="1">
        <v>45573</v>
      </c>
      <c r="C2530" t="s">
        <v>229</v>
      </c>
      <c r="D2530" t="s">
        <v>294</v>
      </c>
      <c r="E2530">
        <v>409.27</v>
      </c>
      <c r="F2530" t="s">
        <v>324</v>
      </c>
      <c r="G2530" t="s">
        <v>327</v>
      </c>
      <c r="H2530" t="s">
        <v>332</v>
      </c>
      <c r="I2530" t="s">
        <v>17</v>
      </c>
      <c r="J2530" t="s">
        <v>102</v>
      </c>
      <c r="K2530" t="s">
        <v>18</v>
      </c>
      <c r="L2530" t="s">
        <v>295</v>
      </c>
      <c r="M2530" t="s">
        <v>296</v>
      </c>
      <c r="N2530">
        <v>2.9000000000000001E-2</v>
      </c>
      <c r="O2530" t="str">
        <f>IF(Transactions_RAW_cleaned[[#This Row],[Status]]="Completed", IFERROR(_xlfn.XLOOKUP(Transactions_RAW_cleaned[[#This Row],[CustomerID]], Customers_cleaned[CustomerID], Customers_cleaned[Segment]), "Customer Not Found"), "N/A")</f>
        <v>Enterprise</v>
      </c>
      <c r="P2530" s="5" t="str">
        <f>IF(Transactions_RAW_cleaned[[#This Row],[Status]]="Refunded", "Refund",
  IF(Transactions_RAW_cleaned[[#This Row],[Category]]="Payments", IF(Transactions_RAW_cleaned[[#This Row],[Amount]]&gt;500,"High Value","Standard"),
    IF(Transactions_RAW_cleaned[[#This Row],[Amount]]&gt;250,"High Value","Standard")))</f>
        <v>Standard</v>
      </c>
      <c r="Q2530" s="5" t="str">
        <f>IF(Transactions_RAW_cleaned[[#This Row],[Amount]] &gt; (_xlfn.XLOOKUP(Transactions_RAW_cleaned[[#This Row],[ServiceID]],Services_cleaned[ServiceID],Services_cleaned[TransactionFeePct]) * 10000), "Yes", "No")</f>
        <v>Yes</v>
      </c>
      <c r="R2530" s="5" t="str">
        <f>IF(COUNTIFS($C$2:Transactions_RAW_cleaned[[#This Row],[CustomerID]],Transactions_RAW_cleaned[[#This Row],[CustomerID]],$D$2:Transactions_RAW_cleaned[[#This Row],[ServiceID]],Transactions_RAW_cleaned[[#This Row],[ServiceID]])=1,"Yes","No")</f>
        <v>No</v>
      </c>
      <c r="S253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30" t="str">
        <f>"Q"&amp;ROUNDUP(MONTH(Transactions_RAW_cleaned[[#This Row],[TransactionDate]])/3,0)</f>
        <v>Q4</v>
      </c>
      <c r="U2530" t="str">
        <f>Transactions_RAW_cleaned[[#This Row],[Region ]]&amp;Transactions_RAW_cleaned[[#This Row],[Quarter ]]</f>
        <v>NAQ4</v>
      </c>
      <c r="V2530" s="5">
        <f>_xlfn.XLOOKUP(Transactions_RAW_cleaned[[#This Row],[RegionQuarterKey]], Quarterly_Targets_cleaned[RegionQuarterKey], Quarterly_Targets_cleaned[TargetRevenue])</f>
        <v>299000</v>
      </c>
    </row>
    <row r="2531" spans="1:22" x14ac:dyDescent="0.25">
      <c r="A2531" t="s">
        <v>2870</v>
      </c>
      <c r="B2531" s="1">
        <v>45572</v>
      </c>
      <c r="C2531" t="s">
        <v>29</v>
      </c>
      <c r="D2531" t="s">
        <v>294</v>
      </c>
      <c r="E2531">
        <v>762.49</v>
      </c>
      <c r="F2531" t="s">
        <v>324</v>
      </c>
      <c r="G2531" t="s">
        <v>329</v>
      </c>
      <c r="I2531" t="s">
        <v>8</v>
      </c>
      <c r="J2531" t="s">
        <v>31</v>
      </c>
      <c r="K2531" t="s">
        <v>32</v>
      </c>
      <c r="L2531" t="s">
        <v>295</v>
      </c>
      <c r="M2531" t="s">
        <v>296</v>
      </c>
      <c r="N2531">
        <v>2.9000000000000001E-2</v>
      </c>
      <c r="O2531" t="str">
        <f>IF(Transactions_RAW_cleaned[[#This Row],[Status]]="Completed", IFERROR(_xlfn.XLOOKUP(Transactions_RAW_cleaned[[#This Row],[CustomerID]], Customers_cleaned[CustomerID], Customers_cleaned[Segment]), "Customer Not Found"), "N/A")</f>
        <v>SMB</v>
      </c>
      <c r="P2531" s="5" t="str">
        <f>IF(Transactions_RAW_cleaned[[#This Row],[Status]]="Refunded", "Refund",
  IF(Transactions_RAW_cleaned[[#This Row],[Category]]="Payments", IF(Transactions_RAW_cleaned[[#This Row],[Amount]]&gt;500,"High Value","Standard"),
    IF(Transactions_RAW_cleaned[[#This Row],[Amount]]&gt;250,"High Value","Standard")))</f>
        <v>High Value</v>
      </c>
      <c r="Q2531" s="5" t="str">
        <f>IF(Transactions_RAW_cleaned[[#This Row],[Amount]] &gt; (_xlfn.XLOOKUP(Transactions_RAW_cleaned[[#This Row],[ServiceID]],Services_cleaned[ServiceID],Services_cleaned[TransactionFeePct]) * 10000), "Yes", "No")</f>
        <v>Yes</v>
      </c>
      <c r="R2531" s="5" t="str">
        <f>IF(COUNTIFS($C$2:Transactions_RAW_cleaned[[#This Row],[CustomerID]],Transactions_RAW_cleaned[[#This Row],[CustomerID]],$D$2:Transactions_RAW_cleaned[[#This Row],[ServiceID]],Transactions_RAW_cleaned[[#This Row],[ServiceID]])=1,"Yes","No")</f>
        <v>No</v>
      </c>
      <c r="S253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31" t="str">
        <f>"Q"&amp;ROUNDUP(MONTH(Transactions_RAW_cleaned[[#This Row],[TransactionDate]])/3,0)</f>
        <v>Q4</v>
      </c>
      <c r="U2531" t="str">
        <f>Transactions_RAW_cleaned[[#This Row],[Region ]]&amp;Transactions_RAW_cleaned[[#This Row],[Quarter ]]</f>
        <v>EMEAQ4</v>
      </c>
      <c r="V2531" s="5">
        <f>_xlfn.XLOOKUP(Transactions_RAW_cleaned[[#This Row],[RegionQuarterKey]], Quarterly_Targets_cleaned[RegionQuarterKey], Quarterly_Targets_cleaned[TargetRevenue])</f>
        <v>161000</v>
      </c>
    </row>
    <row r="2532" spans="1:22" x14ac:dyDescent="0.25">
      <c r="A2532" t="s">
        <v>2871</v>
      </c>
      <c r="B2532" s="1">
        <v>45345</v>
      </c>
      <c r="C2532" t="s">
        <v>229</v>
      </c>
      <c r="D2532" t="s">
        <v>294</v>
      </c>
      <c r="E2532">
        <v>-458.02</v>
      </c>
      <c r="F2532" t="s">
        <v>349</v>
      </c>
      <c r="G2532" t="s">
        <v>337</v>
      </c>
      <c r="I2532" t="s">
        <v>17</v>
      </c>
      <c r="J2532" t="s">
        <v>102</v>
      </c>
      <c r="K2532" t="s">
        <v>18</v>
      </c>
      <c r="L2532" t="s">
        <v>295</v>
      </c>
      <c r="M2532" t="s">
        <v>296</v>
      </c>
      <c r="N2532">
        <v>2.9000000000000001E-2</v>
      </c>
      <c r="O2532" t="str">
        <f>IF(Transactions_RAW_cleaned[[#This Row],[Status]]="Completed", IFERROR(_xlfn.XLOOKUP(Transactions_RAW_cleaned[[#This Row],[CustomerID]], Customers_cleaned[CustomerID], Customers_cleaned[Segment]), "Customer Not Found"), "N/A")</f>
        <v>N/A</v>
      </c>
      <c r="P2532" s="5" t="str">
        <f>IF(Transactions_RAW_cleaned[[#This Row],[Status]]="Refunded", "Refund",
  IF(Transactions_RAW_cleaned[[#This Row],[Category]]="Payments", IF(Transactions_RAW_cleaned[[#This Row],[Amount]]&gt;500,"High Value","Standard"),
    IF(Transactions_RAW_cleaned[[#This Row],[Amount]]&gt;250,"High Value","Standard")))</f>
        <v>Refund</v>
      </c>
      <c r="Q2532" s="5" t="str">
        <f>IF(Transactions_RAW_cleaned[[#This Row],[Amount]] &gt; (_xlfn.XLOOKUP(Transactions_RAW_cleaned[[#This Row],[ServiceID]],Services_cleaned[ServiceID],Services_cleaned[TransactionFeePct]) * 10000), "Yes", "No")</f>
        <v>No</v>
      </c>
      <c r="R2532" s="5" t="str">
        <f>IF(COUNTIFS($C$2:Transactions_RAW_cleaned[[#This Row],[CustomerID]],Transactions_RAW_cleaned[[#This Row],[CustomerID]],$D$2:Transactions_RAW_cleaned[[#This Row],[ServiceID]],Transactions_RAW_cleaned[[#This Row],[ServiceID]])=1,"Yes","No")</f>
        <v>No</v>
      </c>
      <c r="S253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32" t="str">
        <f>"Q"&amp;ROUNDUP(MONTH(Transactions_RAW_cleaned[[#This Row],[TransactionDate]])/3,0)</f>
        <v>Q1</v>
      </c>
      <c r="U2532" t="str">
        <f>Transactions_RAW_cleaned[[#This Row],[Region ]]&amp;Transactions_RAW_cleaned[[#This Row],[Quarter ]]</f>
        <v>NAQ1</v>
      </c>
      <c r="V2532" s="5">
        <f>_xlfn.XLOOKUP(Transactions_RAW_cleaned[[#This Row],[RegionQuarterKey]], Quarterly_Targets_cleaned[RegionQuarterKey], Quarterly_Targets_cleaned[TargetRevenue])</f>
        <v>247000</v>
      </c>
    </row>
    <row r="2533" spans="1:22" x14ac:dyDescent="0.25">
      <c r="A2533" t="s">
        <v>2872</v>
      </c>
      <c r="B2533" s="1">
        <v>45569</v>
      </c>
      <c r="C2533" t="s">
        <v>121</v>
      </c>
      <c r="D2533" t="s">
        <v>294</v>
      </c>
      <c r="E2533">
        <v>578.30999999999995</v>
      </c>
      <c r="F2533" t="s">
        <v>324</v>
      </c>
      <c r="G2533" t="s">
        <v>325</v>
      </c>
      <c r="I2533" t="s">
        <v>8</v>
      </c>
      <c r="J2533" t="s">
        <v>37</v>
      </c>
      <c r="K2533" t="s">
        <v>14</v>
      </c>
      <c r="L2533" t="s">
        <v>295</v>
      </c>
      <c r="M2533" t="s">
        <v>296</v>
      </c>
      <c r="N2533">
        <v>2.9000000000000001E-2</v>
      </c>
      <c r="O2533" t="str">
        <f>IF(Transactions_RAW_cleaned[[#This Row],[Status]]="Completed", IFERROR(_xlfn.XLOOKUP(Transactions_RAW_cleaned[[#This Row],[CustomerID]], Customers_cleaned[CustomerID], Customers_cleaned[Segment]), "Customer Not Found"), "N/A")</f>
        <v>SMB</v>
      </c>
      <c r="P2533" s="5" t="str">
        <f>IF(Transactions_RAW_cleaned[[#This Row],[Status]]="Refunded", "Refund",
  IF(Transactions_RAW_cleaned[[#This Row],[Category]]="Payments", IF(Transactions_RAW_cleaned[[#This Row],[Amount]]&gt;500,"High Value","Standard"),
    IF(Transactions_RAW_cleaned[[#This Row],[Amount]]&gt;250,"High Value","Standard")))</f>
        <v>High Value</v>
      </c>
      <c r="Q2533" s="5" t="str">
        <f>IF(Transactions_RAW_cleaned[[#This Row],[Amount]] &gt; (_xlfn.XLOOKUP(Transactions_RAW_cleaned[[#This Row],[ServiceID]],Services_cleaned[ServiceID],Services_cleaned[TransactionFeePct]) * 10000), "Yes", "No")</f>
        <v>Yes</v>
      </c>
      <c r="R2533" s="5" t="str">
        <f>IF(COUNTIFS($C$2:Transactions_RAW_cleaned[[#This Row],[CustomerID]],Transactions_RAW_cleaned[[#This Row],[CustomerID]],$D$2:Transactions_RAW_cleaned[[#This Row],[ServiceID]],Transactions_RAW_cleaned[[#This Row],[ServiceID]])=1,"Yes","No")</f>
        <v>No</v>
      </c>
      <c r="S253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33" t="str">
        <f>"Q"&amp;ROUNDUP(MONTH(Transactions_RAW_cleaned[[#This Row],[TransactionDate]])/3,0)</f>
        <v>Q4</v>
      </c>
      <c r="U2533" t="str">
        <f>Transactions_RAW_cleaned[[#This Row],[Region ]]&amp;Transactions_RAW_cleaned[[#This Row],[Quarter ]]</f>
        <v>EMEAQ4</v>
      </c>
      <c r="V2533" s="5">
        <f>_xlfn.XLOOKUP(Transactions_RAW_cleaned[[#This Row],[RegionQuarterKey]], Quarterly_Targets_cleaned[RegionQuarterKey], Quarterly_Targets_cleaned[TargetRevenue])</f>
        <v>161000</v>
      </c>
    </row>
    <row r="2534" spans="1:22" x14ac:dyDescent="0.25">
      <c r="A2534" t="s">
        <v>2873</v>
      </c>
      <c r="B2534" s="1">
        <v>45374</v>
      </c>
      <c r="C2534" t="s">
        <v>263</v>
      </c>
      <c r="D2534" t="s">
        <v>294</v>
      </c>
      <c r="E2534">
        <v>266.88</v>
      </c>
      <c r="F2534" t="s">
        <v>324</v>
      </c>
      <c r="G2534" t="s">
        <v>325</v>
      </c>
      <c r="I2534" t="s">
        <v>8</v>
      </c>
      <c r="J2534" t="s">
        <v>102</v>
      </c>
      <c r="K2534" t="s">
        <v>32</v>
      </c>
      <c r="L2534" t="s">
        <v>295</v>
      </c>
      <c r="M2534" t="s">
        <v>296</v>
      </c>
      <c r="N2534">
        <v>2.9000000000000001E-2</v>
      </c>
      <c r="O2534" t="str">
        <f>IF(Transactions_RAW_cleaned[[#This Row],[Status]]="Completed", IFERROR(_xlfn.XLOOKUP(Transactions_RAW_cleaned[[#This Row],[CustomerID]], Customers_cleaned[CustomerID], Customers_cleaned[Segment]), "Customer Not Found"), "N/A")</f>
        <v>SMB</v>
      </c>
      <c r="P2534" s="5" t="str">
        <f>IF(Transactions_RAW_cleaned[[#This Row],[Status]]="Refunded", "Refund",
  IF(Transactions_RAW_cleaned[[#This Row],[Category]]="Payments", IF(Transactions_RAW_cleaned[[#This Row],[Amount]]&gt;500,"High Value","Standard"),
    IF(Transactions_RAW_cleaned[[#This Row],[Amount]]&gt;250,"High Value","Standard")))</f>
        <v>Standard</v>
      </c>
      <c r="Q2534" s="5" t="str">
        <f>IF(Transactions_RAW_cleaned[[#This Row],[Amount]] &gt; (_xlfn.XLOOKUP(Transactions_RAW_cleaned[[#This Row],[ServiceID]],Services_cleaned[ServiceID],Services_cleaned[TransactionFeePct]) * 10000), "Yes", "No")</f>
        <v>No</v>
      </c>
      <c r="R2534" s="5" t="str">
        <f>IF(COUNTIFS($C$2:Transactions_RAW_cleaned[[#This Row],[CustomerID]],Transactions_RAW_cleaned[[#This Row],[CustomerID]],$D$2:Transactions_RAW_cleaned[[#This Row],[ServiceID]],Transactions_RAW_cleaned[[#This Row],[ServiceID]])=1,"Yes","No")</f>
        <v>No</v>
      </c>
      <c r="S253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34" t="str">
        <f>"Q"&amp;ROUNDUP(MONTH(Transactions_RAW_cleaned[[#This Row],[TransactionDate]])/3,0)</f>
        <v>Q1</v>
      </c>
      <c r="U2534" t="str">
        <f>Transactions_RAW_cleaned[[#This Row],[Region ]]&amp;Transactions_RAW_cleaned[[#This Row],[Quarter ]]</f>
        <v>NAQ1</v>
      </c>
      <c r="V2534" s="5">
        <f>_xlfn.XLOOKUP(Transactions_RAW_cleaned[[#This Row],[RegionQuarterKey]], Quarterly_Targets_cleaned[RegionQuarterKey], Quarterly_Targets_cleaned[TargetRevenue])</f>
        <v>247000</v>
      </c>
    </row>
    <row r="2535" spans="1:22" x14ac:dyDescent="0.25">
      <c r="A2535" t="s">
        <v>2874</v>
      </c>
      <c r="B2535" s="1">
        <v>45360</v>
      </c>
      <c r="C2535" t="s">
        <v>121</v>
      </c>
      <c r="D2535" t="s">
        <v>300</v>
      </c>
      <c r="E2535">
        <v>294.27999999999997</v>
      </c>
      <c r="F2535" t="s">
        <v>324</v>
      </c>
      <c r="G2535" t="s">
        <v>325</v>
      </c>
      <c r="H2535" t="s">
        <v>346</v>
      </c>
      <c r="I2535" t="s">
        <v>8</v>
      </c>
      <c r="J2535" t="s">
        <v>37</v>
      </c>
      <c r="K2535" t="s">
        <v>14</v>
      </c>
      <c r="L2535" t="s">
        <v>301</v>
      </c>
      <c r="M2535" t="s">
        <v>302</v>
      </c>
      <c r="N2535">
        <v>5.0000000000000001E-3</v>
      </c>
      <c r="O2535" t="str">
        <f>IF(Transactions_RAW_cleaned[[#This Row],[Status]]="Completed", IFERROR(_xlfn.XLOOKUP(Transactions_RAW_cleaned[[#This Row],[CustomerID]], Customers_cleaned[CustomerID], Customers_cleaned[Segment]), "Customer Not Found"), "N/A")</f>
        <v>SMB</v>
      </c>
      <c r="P2535" s="5" t="str">
        <f>IF(Transactions_RAW_cleaned[[#This Row],[Status]]="Refunded", "Refund",
  IF(Transactions_RAW_cleaned[[#This Row],[Category]]="Payments", IF(Transactions_RAW_cleaned[[#This Row],[Amount]]&gt;500,"High Value","Standard"),
    IF(Transactions_RAW_cleaned[[#This Row],[Amount]]&gt;250,"High Value","Standard")))</f>
        <v>High Value</v>
      </c>
      <c r="Q2535" s="5" t="str">
        <f>IF(Transactions_RAW_cleaned[[#This Row],[Amount]] &gt; (_xlfn.XLOOKUP(Transactions_RAW_cleaned[[#This Row],[ServiceID]],Services_cleaned[ServiceID],Services_cleaned[TransactionFeePct]) * 10000), "Yes", "No")</f>
        <v>Yes</v>
      </c>
      <c r="R2535" s="5" t="str">
        <f>IF(COUNTIFS($C$2:Transactions_RAW_cleaned[[#This Row],[CustomerID]],Transactions_RAW_cleaned[[#This Row],[CustomerID]],$D$2:Transactions_RAW_cleaned[[#This Row],[ServiceID]],Transactions_RAW_cleaned[[#This Row],[ServiceID]])=1,"Yes","No")</f>
        <v>No</v>
      </c>
      <c r="S253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35" t="str">
        <f>"Q"&amp;ROUNDUP(MONTH(Transactions_RAW_cleaned[[#This Row],[TransactionDate]])/3,0)</f>
        <v>Q1</v>
      </c>
      <c r="U2535" t="str">
        <f>Transactions_RAW_cleaned[[#This Row],[Region ]]&amp;Transactions_RAW_cleaned[[#This Row],[Quarter ]]</f>
        <v>EMEAQ1</v>
      </c>
      <c r="V2535" s="5">
        <f>_xlfn.XLOOKUP(Transactions_RAW_cleaned[[#This Row],[RegionQuarterKey]], Quarterly_Targets_cleaned[RegionQuarterKey], Quarterly_Targets_cleaned[TargetRevenue])</f>
        <v>133000</v>
      </c>
    </row>
    <row r="2536" spans="1:22" x14ac:dyDescent="0.25">
      <c r="A2536" t="s">
        <v>2875</v>
      </c>
      <c r="B2536" s="1">
        <v>45382</v>
      </c>
      <c r="C2536" t="s">
        <v>267</v>
      </c>
      <c r="D2536" t="s">
        <v>297</v>
      </c>
      <c r="E2536">
        <v>910.2</v>
      </c>
      <c r="F2536" t="s">
        <v>324</v>
      </c>
      <c r="G2536" t="s">
        <v>327</v>
      </c>
      <c r="I2536" t="s">
        <v>8</v>
      </c>
      <c r="J2536" t="s">
        <v>102</v>
      </c>
      <c r="K2536" t="s">
        <v>22</v>
      </c>
      <c r="L2536" t="s">
        <v>298</v>
      </c>
      <c r="M2536" t="s">
        <v>299</v>
      </c>
      <c r="N2536">
        <v>0</v>
      </c>
      <c r="O2536" t="str">
        <f>IF(Transactions_RAW_cleaned[[#This Row],[Status]]="Completed", IFERROR(_xlfn.XLOOKUP(Transactions_RAW_cleaned[[#This Row],[CustomerID]], Customers_cleaned[CustomerID], Customers_cleaned[Segment]), "Customer Not Found"), "N/A")</f>
        <v>SMB</v>
      </c>
      <c r="P2536" s="5" t="str">
        <f>IF(Transactions_RAW_cleaned[[#This Row],[Status]]="Refunded", "Refund",
  IF(Transactions_RAW_cleaned[[#This Row],[Category]]="Payments", IF(Transactions_RAW_cleaned[[#This Row],[Amount]]&gt;500,"High Value","Standard"),
    IF(Transactions_RAW_cleaned[[#This Row],[Amount]]&gt;250,"High Value","Standard")))</f>
        <v>High Value</v>
      </c>
      <c r="Q2536" s="5" t="str">
        <f>IF(Transactions_RAW_cleaned[[#This Row],[Amount]] &gt; (_xlfn.XLOOKUP(Transactions_RAW_cleaned[[#This Row],[ServiceID]],Services_cleaned[ServiceID],Services_cleaned[TransactionFeePct]) * 10000), "Yes", "No")</f>
        <v>Yes</v>
      </c>
      <c r="R2536" s="5" t="str">
        <f>IF(COUNTIFS($C$2:Transactions_RAW_cleaned[[#This Row],[CustomerID]],Transactions_RAW_cleaned[[#This Row],[CustomerID]],$D$2:Transactions_RAW_cleaned[[#This Row],[ServiceID]],Transactions_RAW_cleaned[[#This Row],[ServiceID]])=1,"Yes","No")</f>
        <v>No</v>
      </c>
      <c r="S253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36" t="str">
        <f>"Q"&amp;ROUNDUP(MONTH(Transactions_RAW_cleaned[[#This Row],[TransactionDate]])/3,0)</f>
        <v>Q1</v>
      </c>
      <c r="U2536" t="str">
        <f>Transactions_RAW_cleaned[[#This Row],[Region ]]&amp;Transactions_RAW_cleaned[[#This Row],[Quarter ]]</f>
        <v>NAQ1</v>
      </c>
      <c r="V2536" s="5">
        <f>_xlfn.XLOOKUP(Transactions_RAW_cleaned[[#This Row],[RegionQuarterKey]], Quarterly_Targets_cleaned[RegionQuarterKey], Quarterly_Targets_cleaned[TargetRevenue])</f>
        <v>247000</v>
      </c>
    </row>
    <row r="2537" spans="1:22" x14ac:dyDescent="0.25">
      <c r="A2537" t="s">
        <v>2876</v>
      </c>
      <c r="B2537" s="1">
        <v>45346</v>
      </c>
      <c r="C2537" t="s">
        <v>38</v>
      </c>
      <c r="D2537" t="s">
        <v>294</v>
      </c>
      <c r="E2537">
        <v>334.2</v>
      </c>
      <c r="F2537" t="s">
        <v>324</v>
      </c>
      <c r="G2537" t="s">
        <v>2963</v>
      </c>
      <c r="H2537" t="s">
        <v>332</v>
      </c>
      <c r="I2537" t="s">
        <v>8</v>
      </c>
      <c r="J2537" t="s">
        <v>102</v>
      </c>
      <c r="K2537" t="s">
        <v>28</v>
      </c>
      <c r="L2537" t="s">
        <v>295</v>
      </c>
      <c r="M2537" t="s">
        <v>296</v>
      </c>
      <c r="N2537">
        <v>2.9000000000000001E-2</v>
      </c>
      <c r="O2537" t="str">
        <f>IF(Transactions_RAW_cleaned[[#This Row],[Status]]="Completed", IFERROR(_xlfn.XLOOKUP(Transactions_RAW_cleaned[[#This Row],[CustomerID]], Customers_cleaned[CustomerID], Customers_cleaned[Segment]), "Customer Not Found"), "N/A")</f>
        <v>SMB</v>
      </c>
      <c r="P2537" s="5" t="str">
        <f>IF(Transactions_RAW_cleaned[[#This Row],[Status]]="Refunded", "Refund",
  IF(Transactions_RAW_cleaned[[#This Row],[Category]]="Payments", IF(Transactions_RAW_cleaned[[#This Row],[Amount]]&gt;500,"High Value","Standard"),
    IF(Transactions_RAW_cleaned[[#This Row],[Amount]]&gt;250,"High Value","Standard")))</f>
        <v>Standard</v>
      </c>
      <c r="Q2537" s="5" t="str">
        <f>IF(Transactions_RAW_cleaned[[#This Row],[Amount]] &gt; (_xlfn.XLOOKUP(Transactions_RAW_cleaned[[#This Row],[ServiceID]],Services_cleaned[ServiceID],Services_cleaned[TransactionFeePct]) * 10000), "Yes", "No")</f>
        <v>Yes</v>
      </c>
      <c r="R2537" s="5" t="str">
        <f>IF(COUNTIFS($C$2:Transactions_RAW_cleaned[[#This Row],[CustomerID]],Transactions_RAW_cleaned[[#This Row],[CustomerID]],$D$2:Transactions_RAW_cleaned[[#This Row],[ServiceID]],Transactions_RAW_cleaned[[#This Row],[ServiceID]])=1,"Yes","No")</f>
        <v>No</v>
      </c>
      <c r="S253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37" t="str">
        <f>"Q"&amp;ROUNDUP(MONTH(Transactions_RAW_cleaned[[#This Row],[TransactionDate]])/3,0)</f>
        <v>Q1</v>
      </c>
      <c r="U2537" t="str">
        <f>Transactions_RAW_cleaned[[#This Row],[Region ]]&amp;Transactions_RAW_cleaned[[#This Row],[Quarter ]]</f>
        <v>NAQ1</v>
      </c>
      <c r="V2537" s="5">
        <f>_xlfn.XLOOKUP(Transactions_RAW_cleaned[[#This Row],[RegionQuarterKey]], Quarterly_Targets_cleaned[RegionQuarterKey], Quarterly_Targets_cleaned[TargetRevenue])</f>
        <v>247000</v>
      </c>
    </row>
    <row r="2538" spans="1:22" x14ac:dyDescent="0.25">
      <c r="A2538" t="s">
        <v>2877</v>
      </c>
      <c r="B2538" s="1">
        <v>45387</v>
      </c>
      <c r="C2538" t="s">
        <v>257</v>
      </c>
      <c r="D2538" t="s">
        <v>294</v>
      </c>
      <c r="E2538">
        <v>-130.19999999999999</v>
      </c>
      <c r="F2538" t="s">
        <v>349</v>
      </c>
      <c r="G2538" t="s">
        <v>329</v>
      </c>
      <c r="H2538" t="s">
        <v>346</v>
      </c>
      <c r="I2538" t="s">
        <v>57</v>
      </c>
      <c r="J2538" t="s">
        <v>13</v>
      </c>
      <c r="K2538" t="s">
        <v>22</v>
      </c>
      <c r="L2538" t="s">
        <v>295</v>
      </c>
      <c r="M2538" t="s">
        <v>296</v>
      </c>
      <c r="N2538">
        <v>2.9000000000000001E-2</v>
      </c>
      <c r="O2538" t="str">
        <f>IF(Transactions_RAW_cleaned[[#This Row],[Status]]="Completed", IFERROR(_xlfn.XLOOKUP(Transactions_RAW_cleaned[[#This Row],[CustomerID]], Customers_cleaned[CustomerID], Customers_cleaned[Segment]), "Customer Not Found"), "N/A")</f>
        <v>N/A</v>
      </c>
      <c r="P2538" s="5" t="str">
        <f>IF(Transactions_RAW_cleaned[[#This Row],[Status]]="Refunded", "Refund",
  IF(Transactions_RAW_cleaned[[#This Row],[Category]]="Payments", IF(Transactions_RAW_cleaned[[#This Row],[Amount]]&gt;500,"High Value","Standard"),
    IF(Transactions_RAW_cleaned[[#This Row],[Amount]]&gt;250,"High Value","Standard")))</f>
        <v>Refund</v>
      </c>
      <c r="Q2538" s="5" t="str">
        <f>IF(Transactions_RAW_cleaned[[#This Row],[Amount]] &gt; (_xlfn.XLOOKUP(Transactions_RAW_cleaned[[#This Row],[ServiceID]],Services_cleaned[ServiceID],Services_cleaned[TransactionFeePct]) * 10000), "Yes", "No")</f>
        <v>No</v>
      </c>
      <c r="R2538" s="5" t="str">
        <f>IF(COUNTIFS($C$2:Transactions_RAW_cleaned[[#This Row],[CustomerID]],Transactions_RAW_cleaned[[#This Row],[CustomerID]],$D$2:Transactions_RAW_cleaned[[#This Row],[ServiceID]],Transactions_RAW_cleaned[[#This Row],[ServiceID]])=1,"Yes","No")</f>
        <v>No</v>
      </c>
      <c r="S253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38" t="str">
        <f>"Q"&amp;ROUNDUP(MONTH(Transactions_RAW_cleaned[[#This Row],[TransactionDate]])/3,0)</f>
        <v>Q2</v>
      </c>
      <c r="U2538" t="str">
        <f>Transactions_RAW_cleaned[[#This Row],[Region ]]&amp;Transactions_RAW_cleaned[[#This Row],[Quarter ]]</f>
        <v>NAQ2</v>
      </c>
      <c r="V2538" s="5">
        <f>_xlfn.XLOOKUP(Transactions_RAW_cleaned[[#This Row],[RegionQuarterKey]], Quarterly_Targets_cleaned[RegionQuarterKey], Quarterly_Targets_cleaned[TargetRevenue])</f>
        <v>260000</v>
      </c>
    </row>
    <row r="2539" spans="1:22" x14ac:dyDescent="0.25">
      <c r="A2539" t="s">
        <v>2878</v>
      </c>
      <c r="B2539" s="1">
        <v>45609</v>
      </c>
      <c r="C2539" t="s">
        <v>143</v>
      </c>
      <c r="D2539" t="s">
        <v>315</v>
      </c>
      <c r="E2539">
        <v>331.93</v>
      </c>
      <c r="F2539" t="s">
        <v>381</v>
      </c>
      <c r="G2539" t="s">
        <v>325</v>
      </c>
      <c r="I2539" t="s">
        <v>8</v>
      </c>
      <c r="J2539" t="s">
        <v>102</v>
      </c>
      <c r="K2539" t="s">
        <v>22</v>
      </c>
      <c r="L2539" t="s">
        <v>316</v>
      </c>
      <c r="M2539" t="s">
        <v>305</v>
      </c>
      <c r="N2539">
        <v>2.5000000000000001E-3</v>
      </c>
      <c r="O2539" t="str">
        <f>IF(Transactions_RAW_cleaned[[#This Row],[Status]]="Completed", IFERROR(_xlfn.XLOOKUP(Transactions_RAW_cleaned[[#This Row],[CustomerID]], Customers_cleaned[CustomerID], Customers_cleaned[Segment]), "Customer Not Found"), "N/A")</f>
        <v>N/A</v>
      </c>
      <c r="P2539" s="5" t="str">
        <f>IF(Transactions_RAW_cleaned[[#This Row],[Status]]="Refunded", "Refund",
  IF(Transactions_RAW_cleaned[[#This Row],[Category]]="Payments", IF(Transactions_RAW_cleaned[[#This Row],[Amount]]&gt;500,"High Value","Standard"),
    IF(Transactions_RAW_cleaned[[#This Row],[Amount]]&gt;250,"High Value","Standard")))</f>
        <v>High Value</v>
      </c>
      <c r="Q2539" s="5" t="str">
        <f>IF(Transactions_RAW_cleaned[[#This Row],[Amount]] &gt; (_xlfn.XLOOKUP(Transactions_RAW_cleaned[[#This Row],[ServiceID]],Services_cleaned[ServiceID],Services_cleaned[TransactionFeePct]) * 10000), "Yes", "No")</f>
        <v>Yes</v>
      </c>
      <c r="R2539" s="5" t="str">
        <f>IF(COUNTIFS($C$2:Transactions_RAW_cleaned[[#This Row],[CustomerID]],Transactions_RAW_cleaned[[#This Row],[CustomerID]],$D$2:Transactions_RAW_cleaned[[#This Row],[ServiceID]],Transactions_RAW_cleaned[[#This Row],[ServiceID]])=1,"Yes","No")</f>
        <v>No</v>
      </c>
      <c r="S253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39" t="str">
        <f>"Q"&amp;ROUNDUP(MONTH(Transactions_RAW_cleaned[[#This Row],[TransactionDate]])/3,0)</f>
        <v>Q4</v>
      </c>
      <c r="U2539" t="str">
        <f>Transactions_RAW_cleaned[[#This Row],[Region ]]&amp;Transactions_RAW_cleaned[[#This Row],[Quarter ]]</f>
        <v>NAQ4</v>
      </c>
      <c r="V2539" s="5">
        <f>_xlfn.XLOOKUP(Transactions_RAW_cleaned[[#This Row],[RegionQuarterKey]], Quarterly_Targets_cleaned[RegionQuarterKey], Quarterly_Targets_cleaned[TargetRevenue])</f>
        <v>299000</v>
      </c>
    </row>
    <row r="2540" spans="1:22" x14ac:dyDescent="0.25">
      <c r="A2540" t="s">
        <v>2879</v>
      </c>
      <c r="B2540" s="1">
        <v>45297</v>
      </c>
      <c r="C2540" t="s">
        <v>47</v>
      </c>
      <c r="D2540" t="s">
        <v>303</v>
      </c>
      <c r="E2540">
        <v>620.33000000000004</v>
      </c>
      <c r="F2540" t="s">
        <v>381</v>
      </c>
      <c r="G2540" t="s">
        <v>2963</v>
      </c>
      <c r="I2540" t="s">
        <v>8</v>
      </c>
      <c r="J2540" t="s">
        <v>21</v>
      </c>
      <c r="K2540" t="s">
        <v>22</v>
      </c>
      <c r="L2540" t="s">
        <v>304</v>
      </c>
      <c r="M2540" t="s">
        <v>305</v>
      </c>
      <c r="N2540">
        <v>1E-3</v>
      </c>
      <c r="O2540" t="str">
        <f>IF(Transactions_RAW_cleaned[[#This Row],[Status]]="Completed", IFERROR(_xlfn.XLOOKUP(Transactions_RAW_cleaned[[#This Row],[CustomerID]], Customers_cleaned[CustomerID], Customers_cleaned[Segment]), "Customer Not Found"), "N/A")</f>
        <v>N/A</v>
      </c>
      <c r="P2540" s="5" t="str">
        <f>IF(Transactions_RAW_cleaned[[#This Row],[Status]]="Refunded", "Refund",
  IF(Transactions_RAW_cleaned[[#This Row],[Category]]="Payments", IF(Transactions_RAW_cleaned[[#This Row],[Amount]]&gt;500,"High Value","Standard"),
    IF(Transactions_RAW_cleaned[[#This Row],[Amount]]&gt;250,"High Value","Standard")))</f>
        <v>High Value</v>
      </c>
      <c r="Q2540" s="5" t="str">
        <f>IF(Transactions_RAW_cleaned[[#This Row],[Amount]] &gt; (_xlfn.XLOOKUP(Transactions_RAW_cleaned[[#This Row],[ServiceID]],Services_cleaned[ServiceID],Services_cleaned[TransactionFeePct]) * 10000), "Yes", "No")</f>
        <v>Yes</v>
      </c>
      <c r="R2540" s="5" t="str">
        <f>IF(COUNTIFS($C$2:Transactions_RAW_cleaned[[#This Row],[CustomerID]],Transactions_RAW_cleaned[[#This Row],[CustomerID]],$D$2:Transactions_RAW_cleaned[[#This Row],[ServiceID]],Transactions_RAW_cleaned[[#This Row],[ServiceID]])=1,"Yes","No")</f>
        <v>No</v>
      </c>
      <c r="S254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40" t="str">
        <f>"Q"&amp;ROUNDUP(MONTH(Transactions_RAW_cleaned[[#This Row],[TransactionDate]])/3,0)</f>
        <v>Q1</v>
      </c>
      <c r="U2540" t="str">
        <f>Transactions_RAW_cleaned[[#This Row],[Region ]]&amp;Transactions_RAW_cleaned[[#This Row],[Quarter ]]</f>
        <v>APACQ1</v>
      </c>
      <c r="V2540" s="5">
        <f>_xlfn.XLOOKUP(Transactions_RAW_cleaned[[#This Row],[RegionQuarterKey]], Quarterly_Targets_cleaned[RegionQuarterKey], Quarterly_Targets_cleaned[TargetRevenue])</f>
        <v>104500</v>
      </c>
    </row>
    <row r="2541" spans="1:22" x14ac:dyDescent="0.25">
      <c r="A2541" t="s">
        <v>2880</v>
      </c>
      <c r="B2541" s="1">
        <v>45307</v>
      </c>
      <c r="C2541" t="s">
        <v>185</v>
      </c>
      <c r="D2541" t="s">
        <v>309</v>
      </c>
      <c r="E2541">
        <v>86.56</v>
      </c>
      <c r="F2541" t="s">
        <v>324</v>
      </c>
      <c r="G2541" t="s">
        <v>325</v>
      </c>
      <c r="H2541" t="s">
        <v>332</v>
      </c>
      <c r="I2541" t="s">
        <v>17</v>
      </c>
      <c r="J2541" t="s">
        <v>13</v>
      </c>
      <c r="K2541" t="s">
        <v>32</v>
      </c>
      <c r="L2541" t="s">
        <v>310</v>
      </c>
      <c r="M2541" t="s">
        <v>311</v>
      </c>
      <c r="N2541">
        <v>0</v>
      </c>
      <c r="O2541" t="str">
        <f>IF(Transactions_RAW_cleaned[[#This Row],[Status]]="Completed", IFERROR(_xlfn.XLOOKUP(Transactions_RAW_cleaned[[#This Row],[CustomerID]], Customers_cleaned[CustomerID], Customers_cleaned[Segment]), "Customer Not Found"), "N/A")</f>
        <v>Enterprise</v>
      </c>
      <c r="P2541" s="5" t="str">
        <f>IF(Transactions_RAW_cleaned[[#This Row],[Status]]="Refunded", "Refund",
  IF(Transactions_RAW_cleaned[[#This Row],[Category]]="Payments", IF(Transactions_RAW_cleaned[[#This Row],[Amount]]&gt;500,"High Value","Standard"),
    IF(Transactions_RAW_cleaned[[#This Row],[Amount]]&gt;250,"High Value","Standard")))</f>
        <v>Standard</v>
      </c>
      <c r="Q2541" s="5" t="str">
        <f>IF(Transactions_RAW_cleaned[[#This Row],[Amount]] &gt; (_xlfn.XLOOKUP(Transactions_RAW_cleaned[[#This Row],[ServiceID]],Services_cleaned[ServiceID],Services_cleaned[TransactionFeePct]) * 10000), "Yes", "No")</f>
        <v>Yes</v>
      </c>
      <c r="R2541" s="5" t="str">
        <f>IF(COUNTIFS($C$2:Transactions_RAW_cleaned[[#This Row],[CustomerID]],Transactions_RAW_cleaned[[#This Row],[CustomerID]],$D$2:Transactions_RAW_cleaned[[#This Row],[ServiceID]],Transactions_RAW_cleaned[[#This Row],[ServiceID]])=1,"Yes","No")</f>
        <v>No</v>
      </c>
      <c r="S254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41" t="str">
        <f>"Q"&amp;ROUNDUP(MONTH(Transactions_RAW_cleaned[[#This Row],[TransactionDate]])/3,0)</f>
        <v>Q1</v>
      </c>
      <c r="U2541" t="str">
        <f>Transactions_RAW_cleaned[[#This Row],[Region ]]&amp;Transactions_RAW_cleaned[[#This Row],[Quarter ]]</f>
        <v>NAQ1</v>
      </c>
      <c r="V2541" s="5">
        <f>_xlfn.XLOOKUP(Transactions_RAW_cleaned[[#This Row],[RegionQuarterKey]], Quarterly_Targets_cleaned[RegionQuarterKey], Quarterly_Targets_cleaned[TargetRevenue])</f>
        <v>247000</v>
      </c>
    </row>
    <row r="2542" spans="1:22" x14ac:dyDescent="0.25">
      <c r="A2542" t="s">
        <v>2881</v>
      </c>
      <c r="B2542" s="1">
        <v>45364</v>
      </c>
      <c r="C2542" t="s">
        <v>123</v>
      </c>
      <c r="D2542" t="s">
        <v>294</v>
      </c>
      <c r="E2542">
        <v>710.68</v>
      </c>
      <c r="F2542" t="s">
        <v>324</v>
      </c>
      <c r="G2542" t="s">
        <v>327</v>
      </c>
      <c r="H2542" t="s">
        <v>346</v>
      </c>
      <c r="I2542" t="s">
        <v>8</v>
      </c>
      <c r="J2542" t="s">
        <v>13</v>
      </c>
      <c r="K2542" t="s">
        <v>32</v>
      </c>
      <c r="L2542" t="s">
        <v>295</v>
      </c>
      <c r="M2542" t="s">
        <v>296</v>
      </c>
      <c r="N2542">
        <v>2.9000000000000001E-2</v>
      </c>
      <c r="O2542" t="str">
        <f>IF(Transactions_RAW_cleaned[[#This Row],[Status]]="Completed", IFERROR(_xlfn.XLOOKUP(Transactions_RAW_cleaned[[#This Row],[CustomerID]], Customers_cleaned[CustomerID], Customers_cleaned[Segment]), "Customer Not Found"), "N/A")</f>
        <v>SMB</v>
      </c>
      <c r="P2542" s="5" t="str">
        <f>IF(Transactions_RAW_cleaned[[#This Row],[Status]]="Refunded", "Refund",
  IF(Transactions_RAW_cleaned[[#This Row],[Category]]="Payments", IF(Transactions_RAW_cleaned[[#This Row],[Amount]]&gt;500,"High Value","Standard"),
    IF(Transactions_RAW_cleaned[[#This Row],[Amount]]&gt;250,"High Value","Standard")))</f>
        <v>High Value</v>
      </c>
      <c r="Q2542" s="5" t="str">
        <f>IF(Transactions_RAW_cleaned[[#This Row],[Amount]] &gt; (_xlfn.XLOOKUP(Transactions_RAW_cleaned[[#This Row],[ServiceID]],Services_cleaned[ServiceID],Services_cleaned[TransactionFeePct]) * 10000), "Yes", "No")</f>
        <v>Yes</v>
      </c>
      <c r="R2542" s="5" t="str">
        <f>IF(COUNTIFS($C$2:Transactions_RAW_cleaned[[#This Row],[CustomerID]],Transactions_RAW_cleaned[[#This Row],[CustomerID]],$D$2:Transactions_RAW_cleaned[[#This Row],[ServiceID]],Transactions_RAW_cleaned[[#This Row],[ServiceID]])=1,"Yes","No")</f>
        <v>No</v>
      </c>
      <c r="S254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42" t="str">
        <f>"Q"&amp;ROUNDUP(MONTH(Transactions_RAW_cleaned[[#This Row],[TransactionDate]])/3,0)</f>
        <v>Q1</v>
      </c>
      <c r="U2542" t="str">
        <f>Transactions_RAW_cleaned[[#This Row],[Region ]]&amp;Transactions_RAW_cleaned[[#This Row],[Quarter ]]</f>
        <v>NAQ1</v>
      </c>
      <c r="V2542" s="5">
        <f>_xlfn.XLOOKUP(Transactions_RAW_cleaned[[#This Row],[RegionQuarterKey]], Quarterly_Targets_cleaned[RegionQuarterKey], Quarterly_Targets_cleaned[TargetRevenue])</f>
        <v>247000</v>
      </c>
    </row>
    <row r="2543" spans="1:22" x14ac:dyDescent="0.25">
      <c r="A2543" t="s">
        <v>2882</v>
      </c>
      <c r="B2543" s="1">
        <v>45498</v>
      </c>
      <c r="C2543" t="s">
        <v>219</v>
      </c>
      <c r="D2543" t="s">
        <v>306</v>
      </c>
      <c r="E2543">
        <v>-493.21</v>
      </c>
      <c r="F2543" t="s">
        <v>349</v>
      </c>
      <c r="G2543" t="s">
        <v>325</v>
      </c>
      <c r="H2543" t="s">
        <v>332</v>
      </c>
      <c r="I2543" t="s">
        <v>17</v>
      </c>
      <c r="J2543" t="s">
        <v>31</v>
      </c>
      <c r="K2543" t="s">
        <v>32</v>
      </c>
      <c r="L2543" t="s">
        <v>307</v>
      </c>
      <c r="M2543" t="s">
        <v>308</v>
      </c>
      <c r="N2543">
        <v>0</v>
      </c>
      <c r="O2543" t="str">
        <f>IF(Transactions_RAW_cleaned[[#This Row],[Status]]="Completed", IFERROR(_xlfn.XLOOKUP(Transactions_RAW_cleaned[[#This Row],[CustomerID]], Customers_cleaned[CustomerID], Customers_cleaned[Segment]), "Customer Not Found"), "N/A")</f>
        <v>N/A</v>
      </c>
      <c r="P2543" s="5" t="str">
        <f>IF(Transactions_RAW_cleaned[[#This Row],[Status]]="Refunded", "Refund",
  IF(Transactions_RAW_cleaned[[#This Row],[Category]]="Payments", IF(Transactions_RAW_cleaned[[#This Row],[Amount]]&gt;500,"High Value","Standard"),
    IF(Transactions_RAW_cleaned[[#This Row],[Amount]]&gt;250,"High Value","Standard")))</f>
        <v>Refund</v>
      </c>
      <c r="Q2543" s="5" t="str">
        <f>IF(Transactions_RAW_cleaned[[#This Row],[Amount]] &gt; (_xlfn.XLOOKUP(Transactions_RAW_cleaned[[#This Row],[ServiceID]],Services_cleaned[ServiceID],Services_cleaned[TransactionFeePct]) * 10000), "Yes", "No")</f>
        <v>No</v>
      </c>
      <c r="R2543" s="5" t="str">
        <f>IF(COUNTIFS($C$2:Transactions_RAW_cleaned[[#This Row],[CustomerID]],Transactions_RAW_cleaned[[#This Row],[CustomerID]],$D$2:Transactions_RAW_cleaned[[#This Row],[ServiceID]],Transactions_RAW_cleaned[[#This Row],[ServiceID]])=1,"Yes","No")</f>
        <v>No</v>
      </c>
      <c r="S254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43" t="str">
        <f>"Q"&amp;ROUNDUP(MONTH(Transactions_RAW_cleaned[[#This Row],[TransactionDate]])/3,0)</f>
        <v>Q3</v>
      </c>
      <c r="U2543" t="str">
        <f>Transactions_RAW_cleaned[[#This Row],[Region ]]&amp;Transactions_RAW_cleaned[[#This Row],[Quarter ]]</f>
        <v>EMEAQ3</v>
      </c>
      <c r="V2543" s="5">
        <f>_xlfn.XLOOKUP(Transactions_RAW_cleaned[[#This Row],[RegionQuarterKey]], Quarterly_Targets_cleaned[RegionQuarterKey], Quarterly_Targets_cleaned[TargetRevenue])</f>
        <v>147000</v>
      </c>
    </row>
    <row r="2544" spans="1:22" x14ac:dyDescent="0.25">
      <c r="A2544" t="s">
        <v>2883</v>
      </c>
      <c r="B2544" s="1">
        <v>45515</v>
      </c>
      <c r="C2544" t="s">
        <v>163</v>
      </c>
      <c r="D2544" t="s">
        <v>306</v>
      </c>
      <c r="E2544">
        <v>100.3</v>
      </c>
      <c r="F2544" t="s">
        <v>324</v>
      </c>
      <c r="G2544" t="s">
        <v>337</v>
      </c>
      <c r="H2544" t="s">
        <v>334</v>
      </c>
      <c r="I2544" t="s">
        <v>17</v>
      </c>
      <c r="J2544" t="s">
        <v>102</v>
      </c>
      <c r="K2544" t="s">
        <v>18</v>
      </c>
      <c r="L2544" t="s">
        <v>307</v>
      </c>
      <c r="M2544" t="s">
        <v>308</v>
      </c>
      <c r="N2544">
        <v>0</v>
      </c>
      <c r="O2544" t="str">
        <f>IF(Transactions_RAW_cleaned[[#This Row],[Status]]="Completed", IFERROR(_xlfn.XLOOKUP(Transactions_RAW_cleaned[[#This Row],[CustomerID]], Customers_cleaned[CustomerID], Customers_cleaned[Segment]), "Customer Not Found"), "N/A")</f>
        <v>Enterprise</v>
      </c>
      <c r="P2544" s="5" t="str">
        <f>IF(Transactions_RAW_cleaned[[#This Row],[Status]]="Refunded", "Refund",
  IF(Transactions_RAW_cleaned[[#This Row],[Category]]="Payments", IF(Transactions_RAW_cleaned[[#This Row],[Amount]]&gt;500,"High Value","Standard"),
    IF(Transactions_RAW_cleaned[[#This Row],[Amount]]&gt;250,"High Value","Standard")))</f>
        <v>Standard</v>
      </c>
      <c r="Q2544" s="5" t="str">
        <f>IF(Transactions_RAW_cleaned[[#This Row],[Amount]] &gt; (_xlfn.XLOOKUP(Transactions_RAW_cleaned[[#This Row],[ServiceID]],Services_cleaned[ServiceID],Services_cleaned[TransactionFeePct]) * 10000), "Yes", "No")</f>
        <v>Yes</v>
      </c>
      <c r="R2544" s="5" t="str">
        <f>IF(COUNTIFS($C$2:Transactions_RAW_cleaned[[#This Row],[CustomerID]],Transactions_RAW_cleaned[[#This Row],[CustomerID]],$D$2:Transactions_RAW_cleaned[[#This Row],[ServiceID]],Transactions_RAW_cleaned[[#This Row],[ServiceID]])=1,"Yes","No")</f>
        <v>No</v>
      </c>
      <c r="S254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44" t="str">
        <f>"Q"&amp;ROUNDUP(MONTH(Transactions_RAW_cleaned[[#This Row],[TransactionDate]])/3,0)</f>
        <v>Q3</v>
      </c>
      <c r="U2544" t="str">
        <f>Transactions_RAW_cleaned[[#This Row],[Region ]]&amp;Transactions_RAW_cleaned[[#This Row],[Quarter ]]</f>
        <v>NAQ3</v>
      </c>
      <c r="V2544" s="5">
        <f>_xlfn.XLOOKUP(Transactions_RAW_cleaned[[#This Row],[RegionQuarterKey]], Quarterly_Targets_cleaned[RegionQuarterKey], Quarterly_Targets_cleaned[TargetRevenue])</f>
        <v>273000</v>
      </c>
    </row>
    <row r="2545" spans="1:22" x14ac:dyDescent="0.25">
      <c r="A2545" t="s">
        <v>2884</v>
      </c>
      <c r="B2545" s="1">
        <v>45483</v>
      </c>
      <c r="C2545" t="s">
        <v>251</v>
      </c>
      <c r="D2545" t="s">
        <v>294</v>
      </c>
      <c r="E2545">
        <v>589.62</v>
      </c>
      <c r="F2545" t="s">
        <v>324</v>
      </c>
      <c r="G2545" t="s">
        <v>327</v>
      </c>
      <c r="I2545" t="s">
        <v>17</v>
      </c>
      <c r="J2545" t="s">
        <v>46</v>
      </c>
      <c r="K2545" t="s">
        <v>14</v>
      </c>
      <c r="L2545" t="s">
        <v>295</v>
      </c>
      <c r="M2545" t="s">
        <v>296</v>
      </c>
      <c r="N2545">
        <v>2.9000000000000001E-2</v>
      </c>
      <c r="O2545" t="str">
        <f>IF(Transactions_RAW_cleaned[[#This Row],[Status]]="Completed", IFERROR(_xlfn.XLOOKUP(Transactions_RAW_cleaned[[#This Row],[CustomerID]], Customers_cleaned[CustomerID], Customers_cleaned[Segment]), "Customer Not Found"), "N/A")</f>
        <v>Enterprise</v>
      </c>
      <c r="P2545" s="5" t="str">
        <f>IF(Transactions_RAW_cleaned[[#This Row],[Status]]="Refunded", "Refund",
  IF(Transactions_RAW_cleaned[[#This Row],[Category]]="Payments", IF(Transactions_RAW_cleaned[[#This Row],[Amount]]&gt;500,"High Value","Standard"),
    IF(Transactions_RAW_cleaned[[#This Row],[Amount]]&gt;250,"High Value","Standard")))</f>
        <v>High Value</v>
      </c>
      <c r="Q2545" s="5" t="str">
        <f>IF(Transactions_RAW_cleaned[[#This Row],[Amount]] &gt; (_xlfn.XLOOKUP(Transactions_RAW_cleaned[[#This Row],[ServiceID]],Services_cleaned[ServiceID],Services_cleaned[TransactionFeePct]) * 10000), "Yes", "No")</f>
        <v>Yes</v>
      </c>
      <c r="R2545" s="5" t="str">
        <f>IF(COUNTIFS($C$2:Transactions_RAW_cleaned[[#This Row],[CustomerID]],Transactions_RAW_cleaned[[#This Row],[CustomerID]],$D$2:Transactions_RAW_cleaned[[#This Row],[ServiceID]],Transactions_RAW_cleaned[[#This Row],[ServiceID]])=1,"Yes","No")</f>
        <v>No</v>
      </c>
      <c r="S254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45" t="str">
        <f>"Q"&amp;ROUNDUP(MONTH(Transactions_RAW_cleaned[[#This Row],[TransactionDate]])/3,0)</f>
        <v>Q3</v>
      </c>
      <c r="U2545" t="str">
        <f>Transactions_RAW_cleaned[[#This Row],[Region ]]&amp;Transactions_RAW_cleaned[[#This Row],[Quarter ]]</f>
        <v>APACQ3</v>
      </c>
      <c r="V2545" s="5">
        <f>_xlfn.XLOOKUP(Transactions_RAW_cleaned[[#This Row],[RegionQuarterKey]], Quarterly_Targets_cleaned[RegionQuarterKey], Quarterly_Targets_cleaned[TargetRevenue])</f>
        <v>115500</v>
      </c>
    </row>
    <row r="2546" spans="1:22" x14ac:dyDescent="0.25">
      <c r="A2546" t="s">
        <v>2885</v>
      </c>
      <c r="B2546" s="1">
        <v>45427</v>
      </c>
      <c r="C2546" t="s">
        <v>173</v>
      </c>
      <c r="D2546" t="s">
        <v>297</v>
      </c>
      <c r="E2546">
        <v>1006.18</v>
      </c>
      <c r="F2546" t="s">
        <v>324</v>
      </c>
      <c r="G2546" t="s">
        <v>325</v>
      </c>
      <c r="I2546" t="s">
        <v>8</v>
      </c>
      <c r="J2546" t="s">
        <v>46</v>
      </c>
      <c r="K2546" t="s">
        <v>32</v>
      </c>
      <c r="L2546" t="s">
        <v>298</v>
      </c>
      <c r="M2546" t="s">
        <v>299</v>
      </c>
      <c r="N2546">
        <v>0</v>
      </c>
      <c r="O2546" t="str">
        <f>IF(Transactions_RAW_cleaned[[#This Row],[Status]]="Completed", IFERROR(_xlfn.XLOOKUP(Transactions_RAW_cleaned[[#This Row],[CustomerID]], Customers_cleaned[CustomerID], Customers_cleaned[Segment]), "Customer Not Found"), "N/A")</f>
        <v>SMB</v>
      </c>
      <c r="P2546" s="5" t="str">
        <f>IF(Transactions_RAW_cleaned[[#This Row],[Status]]="Refunded", "Refund",
  IF(Transactions_RAW_cleaned[[#This Row],[Category]]="Payments", IF(Transactions_RAW_cleaned[[#This Row],[Amount]]&gt;500,"High Value","Standard"),
    IF(Transactions_RAW_cleaned[[#This Row],[Amount]]&gt;250,"High Value","Standard")))</f>
        <v>High Value</v>
      </c>
      <c r="Q2546" s="5" t="str">
        <f>IF(Transactions_RAW_cleaned[[#This Row],[Amount]] &gt; (_xlfn.XLOOKUP(Transactions_RAW_cleaned[[#This Row],[ServiceID]],Services_cleaned[ServiceID],Services_cleaned[TransactionFeePct]) * 10000), "Yes", "No")</f>
        <v>Yes</v>
      </c>
      <c r="R2546" s="5" t="str">
        <f>IF(COUNTIFS($C$2:Transactions_RAW_cleaned[[#This Row],[CustomerID]],Transactions_RAW_cleaned[[#This Row],[CustomerID]],$D$2:Transactions_RAW_cleaned[[#This Row],[ServiceID]],Transactions_RAW_cleaned[[#This Row],[ServiceID]])=1,"Yes","No")</f>
        <v>No</v>
      </c>
      <c r="S254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46" t="str">
        <f>"Q"&amp;ROUNDUP(MONTH(Transactions_RAW_cleaned[[#This Row],[TransactionDate]])/3,0)</f>
        <v>Q2</v>
      </c>
      <c r="U2546" t="str">
        <f>Transactions_RAW_cleaned[[#This Row],[Region ]]&amp;Transactions_RAW_cleaned[[#This Row],[Quarter ]]</f>
        <v>APACQ2</v>
      </c>
      <c r="V2546" s="5">
        <f>_xlfn.XLOOKUP(Transactions_RAW_cleaned[[#This Row],[RegionQuarterKey]], Quarterly_Targets_cleaned[RegionQuarterKey], Quarterly_Targets_cleaned[TargetRevenue])</f>
        <v>110000</v>
      </c>
    </row>
    <row r="2547" spans="1:22" x14ac:dyDescent="0.25">
      <c r="A2547" t="s">
        <v>2886</v>
      </c>
      <c r="B2547" s="1">
        <v>45593</v>
      </c>
      <c r="C2547" t="s">
        <v>189</v>
      </c>
      <c r="D2547" t="s">
        <v>294</v>
      </c>
      <c r="E2547">
        <v>1048.67</v>
      </c>
      <c r="F2547" t="s">
        <v>324</v>
      </c>
      <c r="G2547" t="s">
        <v>327</v>
      </c>
      <c r="H2547" t="s">
        <v>346</v>
      </c>
      <c r="I2547" t="s">
        <v>17</v>
      </c>
      <c r="J2547" t="s">
        <v>102</v>
      </c>
      <c r="K2547" t="s">
        <v>14</v>
      </c>
      <c r="L2547" t="s">
        <v>295</v>
      </c>
      <c r="M2547" t="s">
        <v>296</v>
      </c>
      <c r="N2547">
        <v>2.9000000000000001E-2</v>
      </c>
      <c r="O2547" t="str">
        <f>IF(Transactions_RAW_cleaned[[#This Row],[Status]]="Completed", IFERROR(_xlfn.XLOOKUP(Transactions_RAW_cleaned[[#This Row],[CustomerID]], Customers_cleaned[CustomerID], Customers_cleaned[Segment]), "Customer Not Found"), "N/A")</f>
        <v>Enterprise</v>
      </c>
      <c r="P2547" s="5" t="str">
        <f>IF(Transactions_RAW_cleaned[[#This Row],[Status]]="Refunded", "Refund",
  IF(Transactions_RAW_cleaned[[#This Row],[Category]]="Payments", IF(Transactions_RAW_cleaned[[#This Row],[Amount]]&gt;500,"High Value","Standard"),
    IF(Transactions_RAW_cleaned[[#This Row],[Amount]]&gt;250,"High Value","Standard")))</f>
        <v>High Value</v>
      </c>
      <c r="Q2547" s="5" t="str">
        <f>IF(Transactions_RAW_cleaned[[#This Row],[Amount]] &gt; (_xlfn.XLOOKUP(Transactions_RAW_cleaned[[#This Row],[ServiceID]],Services_cleaned[ServiceID],Services_cleaned[TransactionFeePct]) * 10000), "Yes", "No")</f>
        <v>Yes</v>
      </c>
      <c r="R2547" s="5" t="str">
        <f>IF(COUNTIFS($C$2:Transactions_RAW_cleaned[[#This Row],[CustomerID]],Transactions_RAW_cleaned[[#This Row],[CustomerID]],$D$2:Transactions_RAW_cleaned[[#This Row],[ServiceID]],Transactions_RAW_cleaned[[#This Row],[ServiceID]])=1,"Yes","No")</f>
        <v>No</v>
      </c>
      <c r="S254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47" t="str">
        <f>"Q"&amp;ROUNDUP(MONTH(Transactions_RAW_cleaned[[#This Row],[TransactionDate]])/3,0)</f>
        <v>Q4</v>
      </c>
      <c r="U2547" t="str">
        <f>Transactions_RAW_cleaned[[#This Row],[Region ]]&amp;Transactions_RAW_cleaned[[#This Row],[Quarter ]]</f>
        <v>NAQ4</v>
      </c>
      <c r="V2547" s="5">
        <f>_xlfn.XLOOKUP(Transactions_RAW_cleaned[[#This Row],[RegionQuarterKey]], Quarterly_Targets_cleaned[RegionQuarterKey], Quarterly_Targets_cleaned[TargetRevenue])</f>
        <v>299000</v>
      </c>
    </row>
    <row r="2548" spans="1:22" x14ac:dyDescent="0.25">
      <c r="A2548" t="s">
        <v>2887</v>
      </c>
      <c r="B2548" s="1">
        <v>45554</v>
      </c>
      <c r="C2548" t="s">
        <v>193</v>
      </c>
      <c r="D2548" t="s">
        <v>315</v>
      </c>
      <c r="E2548">
        <v>-89.71</v>
      </c>
      <c r="F2548" t="s">
        <v>349</v>
      </c>
      <c r="G2548" t="s">
        <v>337</v>
      </c>
      <c r="H2548" t="s">
        <v>332</v>
      </c>
      <c r="I2548" t="s">
        <v>8</v>
      </c>
      <c r="J2548" t="s">
        <v>102</v>
      </c>
      <c r="K2548" t="s">
        <v>18</v>
      </c>
      <c r="L2548" t="s">
        <v>316</v>
      </c>
      <c r="M2548" t="s">
        <v>305</v>
      </c>
      <c r="N2548">
        <v>2.5000000000000001E-3</v>
      </c>
      <c r="O2548" t="str">
        <f>IF(Transactions_RAW_cleaned[[#This Row],[Status]]="Completed", IFERROR(_xlfn.XLOOKUP(Transactions_RAW_cleaned[[#This Row],[CustomerID]], Customers_cleaned[CustomerID], Customers_cleaned[Segment]), "Customer Not Found"), "N/A")</f>
        <v>N/A</v>
      </c>
      <c r="P2548" s="5" t="str">
        <f>IF(Transactions_RAW_cleaned[[#This Row],[Status]]="Refunded", "Refund",
  IF(Transactions_RAW_cleaned[[#This Row],[Category]]="Payments", IF(Transactions_RAW_cleaned[[#This Row],[Amount]]&gt;500,"High Value","Standard"),
    IF(Transactions_RAW_cleaned[[#This Row],[Amount]]&gt;250,"High Value","Standard")))</f>
        <v>Refund</v>
      </c>
      <c r="Q2548" s="5" t="str">
        <f>IF(Transactions_RAW_cleaned[[#This Row],[Amount]] &gt; (_xlfn.XLOOKUP(Transactions_RAW_cleaned[[#This Row],[ServiceID]],Services_cleaned[ServiceID],Services_cleaned[TransactionFeePct]) * 10000), "Yes", "No")</f>
        <v>No</v>
      </c>
      <c r="R2548" s="5" t="str">
        <f>IF(COUNTIFS($C$2:Transactions_RAW_cleaned[[#This Row],[CustomerID]],Transactions_RAW_cleaned[[#This Row],[CustomerID]],$D$2:Transactions_RAW_cleaned[[#This Row],[ServiceID]],Transactions_RAW_cleaned[[#This Row],[ServiceID]])=1,"Yes","No")</f>
        <v>No</v>
      </c>
      <c r="S254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48" t="str">
        <f>"Q"&amp;ROUNDUP(MONTH(Transactions_RAW_cleaned[[#This Row],[TransactionDate]])/3,0)</f>
        <v>Q3</v>
      </c>
      <c r="U2548" t="str">
        <f>Transactions_RAW_cleaned[[#This Row],[Region ]]&amp;Transactions_RAW_cleaned[[#This Row],[Quarter ]]</f>
        <v>NAQ3</v>
      </c>
      <c r="V2548" s="5">
        <f>_xlfn.XLOOKUP(Transactions_RAW_cleaned[[#This Row],[RegionQuarterKey]], Quarterly_Targets_cleaned[RegionQuarterKey], Quarterly_Targets_cleaned[TargetRevenue])</f>
        <v>273000</v>
      </c>
    </row>
    <row r="2549" spans="1:22" x14ac:dyDescent="0.25">
      <c r="A2549" t="s">
        <v>2888</v>
      </c>
      <c r="B2549" s="1">
        <v>45358</v>
      </c>
      <c r="C2549" t="s">
        <v>145</v>
      </c>
      <c r="D2549" t="s">
        <v>312</v>
      </c>
      <c r="E2549">
        <v>254.32</v>
      </c>
      <c r="F2549" t="s">
        <v>324</v>
      </c>
      <c r="G2549" t="s">
        <v>327</v>
      </c>
      <c r="I2549" t="s">
        <v>8</v>
      </c>
      <c r="J2549" t="s">
        <v>13</v>
      </c>
      <c r="K2549" t="s">
        <v>32</v>
      </c>
      <c r="L2549" t="s">
        <v>313</v>
      </c>
      <c r="M2549" t="s">
        <v>314</v>
      </c>
      <c r="N2549">
        <v>0</v>
      </c>
      <c r="O2549" t="str">
        <f>IF(Transactions_RAW_cleaned[[#This Row],[Status]]="Completed", IFERROR(_xlfn.XLOOKUP(Transactions_RAW_cleaned[[#This Row],[CustomerID]], Customers_cleaned[CustomerID], Customers_cleaned[Segment]), "Customer Not Found"), "N/A")</f>
        <v>SMB</v>
      </c>
      <c r="P2549" s="5" t="str">
        <f>IF(Transactions_RAW_cleaned[[#This Row],[Status]]="Refunded", "Refund",
  IF(Transactions_RAW_cleaned[[#This Row],[Category]]="Payments", IF(Transactions_RAW_cleaned[[#This Row],[Amount]]&gt;500,"High Value","Standard"),
    IF(Transactions_RAW_cleaned[[#This Row],[Amount]]&gt;250,"High Value","Standard")))</f>
        <v>High Value</v>
      </c>
      <c r="Q2549" s="5" t="str">
        <f>IF(Transactions_RAW_cleaned[[#This Row],[Amount]] &gt; (_xlfn.XLOOKUP(Transactions_RAW_cleaned[[#This Row],[ServiceID]],Services_cleaned[ServiceID],Services_cleaned[TransactionFeePct]) * 10000), "Yes", "No")</f>
        <v>Yes</v>
      </c>
      <c r="R2549" s="5" t="str">
        <f>IF(COUNTIFS($C$2:Transactions_RAW_cleaned[[#This Row],[CustomerID]],Transactions_RAW_cleaned[[#This Row],[CustomerID]],$D$2:Transactions_RAW_cleaned[[#This Row],[ServiceID]],Transactions_RAW_cleaned[[#This Row],[ServiceID]])=1,"Yes","No")</f>
        <v>No</v>
      </c>
      <c r="S254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49" t="str">
        <f>"Q"&amp;ROUNDUP(MONTH(Transactions_RAW_cleaned[[#This Row],[TransactionDate]])/3,0)</f>
        <v>Q1</v>
      </c>
      <c r="U2549" t="str">
        <f>Transactions_RAW_cleaned[[#This Row],[Region ]]&amp;Transactions_RAW_cleaned[[#This Row],[Quarter ]]</f>
        <v>NAQ1</v>
      </c>
      <c r="V2549" s="5">
        <f>_xlfn.XLOOKUP(Transactions_RAW_cleaned[[#This Row],[RegionQuarterKey]], Quarterly_Targets_cleaned[RegionQuarterKey], Quarterly_Targets_cleaned[TargetRevenue])</f>
        <v>247000</v>
      </c>
    </row>
    <row r="2550" spans="1:22" x14ac:dyDescent="0.25">
      <c r="A2550" t="s">
        <v>2889</v>
      </c>
      <c r="B2550" s="1">
        <v>45655</v>
      </c>
      <c r="C2550" t="s">
        <v>181</v>
      </c>
      <c r="D2550" t="s">
        <v>306</v>
      </c>
      <c r="E2550">
        <v>915.79</v>
      </c>
      <c r="F2550" t="s">
        <v>324</v>
      </c>
      <c r="G2550" t="s">
        <v>337</v>
      </c>
      <c r="I2550" t="s">
        <v>17</v>
      </c>
      <c r="J2550" t="s">
        <v>21</v>
      </c>
      <c r="K2550" t="s">
        <v>10</v>
      </c>
      <c r="L2550" t="s">
        <v>307</v>
      </c>
      <c r="M2550" t="s">
        <v>308</v>
      </c>
      <c r="N2550">
        <v>0</v>
      </c>
      <c r="O2550" t="str">
        <f>IF(Transactions_RAW_cleaned[[#This Row],[Status]]="Completed", IFERROR(_xlfn.XLOOKUP(Transactions_RAW_cleaned[[#This Row],[CustomerID]], Customers_cleaned[CustomerID], Customers_cleaned[Segment]), "Customer Not Found"), "N/A")</f>
        <v>Enterprise</v>
      </c>
      <c r="P2550" s="5" t="str">
        <f>IF(Transactions_RAW_cleaned[[#This Row],[Status]]="Refunded", "Refund",
  IF(Transactions_RAW_cleaned[[#This Row],[Category]]="Payments", IF(Transactions_RAW_cleaned[[#This Row],[Amount]]&gt;500,"High Value","Standard"),
    IF(Transactions_RAW_cleaned[[#This Row],[Amount]]&gt;250,"High Value","Standard")))</f>
        <v>High Value</v>
      </c>
      <c r="Q2550" s="5" t="str">
        <f>IF(Transactions_RAW_cleaned[[#This Row],[Amount]] &gt; (_xlfn.XLOOKUP(Transactions_RAW_cleaned[[#This Row],[ServiceID]],Services_cleaned[ServiceID],Services_cleaned[TransactionFeePct]) * 10000), "Yes", "No")</f>
        <v>Yes</v>
      </c>
      <c r="R2550" s="5" t="str">
        <f>IF(COUNTIFS($C$2:Transactions_RAW_cleaned[[#This Row],[CustomerID]],Transactions_RAW_cleaned[[#This Row],[CustomerID]],$D$2:Transactions_RAW_cleaned[[#This Row],[ServiceID]],Transactions_RAW_cleaned[[#This Row],[ServiceID]])=1,"Yes","No")</f>
        <v>No</v>
      </c>
      <c r="S255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50" t="str">
        <f>"Q"&amp;ROUNDUP(MONTH(Transactions_RAW_cleaned[[#This Row],[TransactionDate]])/3,0)</f>
        <v>Q4</v>
      </c>
      <c r="U2550" t="str">
        <f>Transactions_RAW_cleaned[[#This Row],[Region ]]&amp;Transactions_RAW_cleaned[[#This Row],[Quarter ]]</f>
        <v>APACQ4</v>
      </c>
      <c r="V2550" s="5">
        <f>_xlfn.XLOOKUP(Transactions_RAW_cleaned[[#This Row],[RegionQuarterKey]], Quarterly_Targets_cleaned[RegionQuarterKey], Quarterly_Targets_cleaned[TargetRevenue])</f>
        <v>126500</v>
      </c>
    </row>
    <row r="2551" spans="1:22" x14ac:dyDescent="0.25">
      <c r="A2551" t="s">
        <v>2890</v>
      </c>
      <c r="B2551" s="1">
        <v>45631</v>
      </c>
      <c r="C2551" t="s">
        <v>113</v>
      </c>
      <c r="D2551" t="s">
        <v>297</v>
      </c>
      <c r="E2551">
        <v>267.04000000000002</v>
      </c>
      <c r="F2551" t="s">
        <v>331</v>
      </c>
      <c r="G2551" t="s">
        <v>337</v>
      </c>
      <c r="I2551" t="s">
        <v>57</v>
      </c>
      <c r="J2551" t="s">
        <v>46</v>
      </c>
      <c r="K2551" t="s">
        <v>10</v>
      </c>
      <c r="L2551" t="s">
        <v>298</v>
      </c>
      <c r="M2551" t="s">
        <v>299</v>
      </c>
      <c r="N2551">
        <v>0</v>
      </c>
      <c r="O2551" t="str">
        <f>IF(Transactions_RAW_cleaned[[#This Row],[Status]]="Completed", IFERROR(_xlfn.XLOOKUP(Transactions_RAW_cleaned[[#This Row],[CustomerID]], Customers_cleaned[CustomerID], Customers_cleaned[Segment]), "Customer Not Found"), "N/A")</f>
        <v>N/A</v>
      </c>
      <c r="P2551" s="5" t="str">
        <f>IF(Transactions_RAW_cleaned[[#This Row],[Status]]="Refunded", "Refund",
  IF(Transactions_RAW_cleaned[[#This Row],[Category]]="Payments", IF(Transactions_RAW_cleaned[[#This Row],[Amount]]&gt;500,"High Value","Standard"),
    IF(Transactions_RAW_cleaned[[#This Row],[Amount]]&gt;250,"High Value","Standard")))</f>
        <v>High Value</v>
      </c>
      <c r="Q2551" s="5" t="str">
        <f>IF(Transactions_RAW_cleaned[[#This Row],[Amount]] &gt; (_xlfn.XLOOKUP(Transactions_RAW_cleaned[[#This Row],[ServiceID]],Services_cleaned[ServiceID],Services_cleaned[TransactionFeePct]) * 10000), "Yes", "No")</f>
        <v>Yes</v>
      </c>
      <c r="R2551" s="5" t="str">
        <f>IF(COUNTIFS($C$2:Transactions_RAW_cleaned[[#This Row],[CustomerID]],Transactions_RAW_cleaned[[#This Row],[CustomerID]],$D$2:Transactions_RAW_cleaned[[#This Row],[ServiceID]],Transactions_RAW_cleaned[[#This Row],[ServiceID]])=1,"Yes","No")</f>
        <v>No</v>
      </c>
      <c r="S2551"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51" t="str">
        <f>"Q"&amp;ROUNDUP(MONTH(Transactions_RAW_cleaned[[#This Row],[TransactionDate]])/3,0)</f>
        <v>Q4</v>
      </c>
      <c r="U2551" t="str">
        <f>Transactions_RAW_cleaned[[#This Row],[Region ]]&amp;Transactions_RAW_cleaned[[#This Row],[Quarter ]]</f>
        <v>APACQ4</v>
      </c>
      <c r="V2551" s="5">
        <f>_xlfn.XLOOKUP(Transactions_RAW_cleaned[[#This Row],[RegionQuarterKey]], Quarterly_Targets_cleaned[RegionQuarterKey], Quarterly_Targets_cleaned[TargetRevenue])</f>
        <v>126500</v>
      </c>
    </row>
    <row r="2552" spans="1:22" x14ac:dyDescent="0.25">
      <c r="A2552" t="s">
        <v>2891</v>
      </c>
      <c r="B2552" s="1">
        <v>45438</v>
      </c>
      <c r="C2552" t="s">
        <v>267</v>
      </c>
      <c r="D2552" t="s">
        <v>294</v>
      </c>
      <c r="E2552">
        <v>421.28</v>
      </c>
      <c r="F2552" t="s">
        <v>324</v>
      </c>
      <c r="G2552" t="s">
        <v>337</v>
      </c>
      <c r="I2552" t="s">
        <v>8</v>
      </c>
      <c r="J2552" t="s">
        <v>102</v>
      </c>
      <c r="K2552" t="s">
        <v>22</v>
      </c>
      <c r="L2552" t="s">
        <v>295</v>
      </c>
      <c r="M2552" t="s">
        <v>296</v>
      </c>
      <c r="N2552">
        <v>2.9000000000000001E-2</v>
      </c>
      <c r="O2552" t="str">
        <f>IF(Transactions_RAW_cleaned[[#This Row],[Status]]="Completed", IFERROR(_xlfn.XLOOKUP(Transactions_RAW_cleaned[[#This Row],[CustomerID]], Customers_cleaned[CustomerID], Customers_cleaned[Segment]), "Customer Not Found"), "N/A")</f>
        <v>SMB</v>
      </c>
      <c r="P2552" s="5" t="str">
        <f>IF(Transactions_RAW_cleaned[[#This Row],[Status]]="Refunded", "Refund",
  IF(Transactions_RAW_cleaned[[#This Row],[Category]]="Payments", IF(Transactions_RAW_cleaned[[#This Row],[Amount]]&gt;500,"High Value","Standard"),
    IF(Transactions_RAW_cleaned[[#This Row],[Amount]]&gt;250,"High Value","Standard")))</f>
        <v>Standard</v>
      </c>
      <c r="Q2552" s="5" t="str">
        <f>IF(Transactions_RAW_cleaned[[#This Row],[Amount]] &gt; (_xlfn.XLOOKUP(Transactions_RAW_cleaned[[#This Row],[ServiceID]],Services_cleaned[ServiceID],Services_cleaned[TransactionFeePct]) * 10000), "Yes", "No")</f>
        <v>Yes</v>
      </c>
      <c r="R2552" s="5" t="str">
        <f>IF(COUNTIFS($C$2:Transactions_RAW_cleaned[[#This Row],[CustomerID]],Transactions_RAW_cleaned[[#This Row],[CustomerID]],$D$2:Transactions_RAW_cleaned[[#This Row],[ServiceID]],Transactions_RAW_cleaned[[#This Row],[ServiceID]])=1,"Yes","No")</f>
        <v>No</v>
      </c>
      <c r="S255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52" t="str">
        <f>"Q"&amp;ROUNDUP(MONTH(Transactions_RAW_cleaned[[#This Row],[TransactionDate]])/3,0)</f>
        <v>Q2</v>
      </c>
      <c r="U2552" t="str">
        <f>Transactions_RAW_cleaned[[#This Row],[Region ]]&amp;Transactions_RAW_cleaned[[#This Row],[Quarter ]]</f>
        <v>NAQ2</v>
      </c>
      <c r="V2552" s="5">
        <f>_xlfn.XLOOKUP(Transactions_RAW_cleaned[[#This Row],[RegionQuarterKey]], Quarterly_Targets_cleaned[RegionQuarterKey], Quarterly_Targets_cleaned[TargetRevenue])</f>
        <v>260000</v>
      </c>
    </row>
    <row r="2553" spans="1:22" x14ac:dyDescent="0.25">
      <c r="A2553" t="s">
        <v>2892</v>
      </c>
      <c r="B2553" s="1">
        <v>45300</v>
      </c>
      <c r="C2553" t="s">
        <v>167</v>
      </c>
      <c r="D2553" t="s">
        <v>309</v>
      </c>
      <c r="E2553">
        <v>-364.96</v>
      </c>
      <c r="F2553" t="s">
        <v>349</v>
      </c>
      <c r="G2553" t="s">
        <v>337</v>
      </c>
      <c r="I2553" t="s">
        <v>17</v>
      </c>
      <c r="J2553" t="s">
        <v>13</v>
      </c>
      <c r="K2553" t="s">
        <v>10</v>
      </c>
      <c r="L2553" t="s">
        <v>310</v>
      </c>
      <c r="M2553" t="s">
        <v>311</v>
      </c>
      <c r="N2553">
        <v>0</v>
      </c>
      <c r="O2553" t="str">
        <f>IF(Transactions_RAW_cleaned[[#This Row],[Status]]="Completed", IFERROR(_xlfn.XLOOKUP(Transactions_RAW_cleaned[[#This Row],[CustomerID]], Customers_cleaned[CustomerID], Customers_cleaned[Segment]), "Customer Not Found"), "N/A")</f>
        <v>N/A</v>
      </c>
      <c r="P2553" s="5" t="str">
        <f>IF(Transactions_RAW_cleaned[[#This Row],[Status]]="Refunded", "Refund",
  IF(Transactions_RAW_cleaned[[#This Row],[Category]]="Payments", IF(Transactions_RAW_cleaned[[#This Row],[Amount]]&gt;500,"High Value","Standard"),
    IF(Transactions_RAW_cleaned[[#This Row],[Amount]]&gt;250,"High Value","Standard")))</f>
        <v>Refund</v>
      </c>
      <c r="Q2553" s="5" t="str">
        <f>IF(Transactions_RAW_cleaned[[#This Row],[Amount]] &gt; (_xlfn.XLOOKUP(Transactions_RAW_cleaned[[#This Row],[ServiceID]],Services_cleaned[ServiceID],Services_cleaned[TransactionFeePct]) * 10000), "Yes", "No")</f>
        <v>No</v>
      </c>
      <c r="R2553" s="5" t="str">
        <f>IF(COUNTIFS($C$2:Transactions_RAW_cleaned[[#This Row],[CustomerID]],Transactions_RAW_cleaned[[#This Row],[CustomerID]],$D$2:Transactions_RAW_cleaned[[#This Row],[ServiceID]],Transactions_RAW_cleaned[[#This Row],[ServiceID]])=1,"Yes","No")</f>
        <v>No</v>
      </c>
      <c r="S255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53" t="str">
        <f>"Q"&amp;ROUNDUP(MONTH(Transactions_RAW_cleaned[[#This Row],[TransactionDate]])/3,0)</f>
        <v>Q1</v>
      </c>
      <c r="U2553" t="str">
        <f>Transactions_RAW_cleaned[[#This Row],[Region ]]&amp;Transactions_RAW_cleaned[[#This Row],[Quarter ]]</f>
        <v>NAQ1</v>
      </c>
      <c r="V2553" s="5">
        <f>_xlfn.XLOOKUP(Transactions_RAW_cleaned[[#This Row],[RegionQuarterKey]], Quarterly_Targets_cleaned[RegionQuarterKey], Quarterly_Targets_cleaned[TargetRevenue])</f>
        <v>247000</v>
      </c>
    </row>
    <row r="2554" spans="1:22" x14ac:dyDescent="0.25">
      <c r="A2554" t="s">
        <v>2893</v>
      </c>
      <c r="B2554" s="1">
        <v>45612</v>
      </c>
      <c r="C2554" t="s">
        <v>55</v>
      </c>
      <c r="D2554" t="s">
        <v>309</v>
      </c>
      <c r="E2554">
        <v>809.99</v>
      </c>
      <c r="F2554" t="s">
        <v>324</v>
      </c>
      <c r="G2554" t="s">
        <v>327</v>
      </c>
      <c r="H2554" t="s">
        <v>334</v>
      </c>
      <c r="I2554" t="s">
        <v>57</v>
      </c>
      <c r="J2554" t="s">
        <v>31</v>
      </c>
      <c r="K2554" t="s">
        <v>22</v>
      </c>
      <c r="L2554" t="s">
        <v>310</v>
      </c>
      <c r="M2554" t="s">
        <v>311</v>
      </c>
      <c r="N2554">
        <v>0</v>
      </c>
      <c r="O2554" t="str">
        <f>IF(Transactions_RAW_cleaned[[#This Row],[Status]]="Completed", IFERROR(_xlfn.XLOOKUP(Transactions_RAW_cleaned[[#This Row],[CustomerID]], Customers_cleaned[CustomerID], Customers_cleaned[Segment]), "Customer Not Found"), "N/A")</f>
        <v>Startup</v>
      </c>
      <c r="P2554" s="5" t="str">
        <f>IF(Transactions_RAW_cleaned[[#This Row],[Status]]="Refunded", "Refund",
  IF(Transactions_RAW_cleaned[[#This Row],[Category]]="Payments", IF(Transactions_RAW_cleaned[[#This Row],[Amount]]&gt;500,"High Value","Standard"),
    IF(Transactions_RAW_cleaned[[#This Row],[Amount]]&gt;250,"High Value","Standard")))</f>
        <v>High Value</v>
      </c>
      <c r="Q2554" s="5" t="str">
        <f>IF(Transactions_RAW_cleaned[[#This Row],[Amount]] &gt; (_xlfn.XLOOKUP(Transactions_RAW_cleaned[[#This Row],[ServiceID]],Services_cleaned[ServiceID],Services_cleaned[TransactionFeePct]) * 10000), "Yes", "No")</f>
        <v>Yes</v>
      </c>
      <c r="R2554" s="5" t="str">
        <f>IF(COUNTIFS($C$2:Transactions_RAW_cleaned[[#This Row],[CustomerID]],Transactions_RAW_cleaned[[#This Row],[CustomerID]],$D$2:Transactions_RAW_cleaned[[#This Row],[ServiceID]],Transactions_RAW_cleaned[[#This Row],[ServiceID]])=1,"Yes","No")</f>
        <v>No</v>
      </c>
      <c r="S255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54" t="str">
        <f>"Q"&amp;ROUNDUP(MONTH(Transactions_RAW_cleaned[[#This Row],[TransactionDate]])/3,0)</f>
        <v>Q4</v>
      </c>
      <c r="U2554" t="str">
        <f>Transactions_RAW_cleaned[[#This Row],[Region ]]&amp;Transactions_RAW_cleaned[[#This Row],[Quarter ]]</f>
        <v>EMEAQ4</v>
      </c>
      <c r="V2554" s="5">
        <f>_xlfn.XLOOKUP(Transactions_RAW_cleaned[[#This Row],[RegionQuarterKey]], Quarterly_Targets_cleaned[RegionQuarterKey], Quarterly_Targets_cleaned[TargetRevenue])</f>
        <v>161000</v>
      </c>
    </row>
    <row r="2555" spans="1:22" x14ac:dyDescent="0.25">
      <c r="A2555" t="s">
        <v>2894</v>
      </c>
      <c r="B2555" s="1">
        <v>45305</v>
      </c>
      <c r="C2555" t="s">
        <v>205</v>
      </c>
      <c r="D2555" t="s">
        <v>300</v>
      </c>
      <c r="E2555">
        <v>-646.9</v>
      </c>
      <c r="F2555" t="s">
        <v>349</v>
      </c>
      <c r="G2555" t="s">
        <v>325</v>
      </c>
      <c r="H2555" t="s">
        <v>346</v>
      </c>
      <c r="I2555" t="s">
        <v>8</v>
      </c>
      <c r="J2555" t="s">
        <v>21</v>
      </c>
      <c r="K2555" t="s">
        <v>14</v>
      </c>
      <c r="L2555" t="s">
        <v>301</v>
      </c>
      <c r="M2555" t="s">
        <v>302</v>
      </c>
      <c r="N2555">
        <v>5.0000000000000001E-3</v>
      </c>
      <c r="O2555" t="str">
        <f>IF(Transactions_RAW_cleaned[[#This Row],[Status]]="Completed", IFERROR(_xlfn.XLOOKUP(Transactions_RAW_cleaned[[#This Row],[CustomerID]], Customers_cleaned[CustomerID], Customers_cleaned[Segment]), "Customer Not Found"), "N/A")</f>
        <v>N/A</v>
      </c>
      <c r="P2555" s="5" t="str">
        <f>IF(Transactions_RAW_cleaned[[#This Row],[Status]]="Refunded", "Refund",
  IF(Transactions_RAW_cleaned[[#This Row],[Category]]="Payments", IF(Transactions_RAW_cleaned[[#This Row],[Amount]]&gt;500,"High Value","Standard"),
    IF(Transactions_RAW_cleaned[[#This Row],[Amount]]&gt;250,"High Value","Standard")))</f>
        <v>Refund</v>
      </c>
      <c r="Q2555" s="5" t="str">
        <f>IF(Transactions_RAW_cleaned[[#This Row],[Amount]] &gt; (_xlfn.XLOOKUP(Transactions_RAW_cleaned[[#This Row],[ServiceID]],Services_cleaned[ServiceID],Services_cleaned[TransactionFeePct]) * 10000), "Yes", "No")</f>
        <v>No</v>
      </c>
      <c r="R2555" s="5" t="str">
        <f>IF(COUNTIFS($C$2:Transactions_RAW_cleaned[[#This Row],[CustomerID]],Transactions_RAW_cleaned[[#This Row],[CustomerID]],$D$2:Transactions_RAW_cleaned[[#This Row],[ServiceID]],Transactions_RAW_cleaned[[#This Row],[ServiceID]])=1,"Yes","No")</f>
        <v>No</v>
      </c>
      <c r="S255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55" t="str">
        <f>"Q"&amp;ROUNDUP(MONTH(Transactions_RAW_cleaned[[#This Row],[TransactionDate]])/3,0)</f>
        <v>Q1</v>
      </c>
      <c r="U2555" t="str">
        <f>Transactions_RAW_cleaned[[#This Row],[Region ]]&amp;Transactions_RAW_cleaned[[#This Row],[Quarter ]]</f>
        <v>APACQ1</v>
      </c>
      <c r="V2555" s="5">
        <f>_xlfn.XLOOKUP(Transactions_RAW_cleaned[[#This Row],[RegionQuarterKey]], Quarterly_Targets_cleaned[RegionQuarterKey], Quarterly_Targets_cleaned[TargetRevenue])</f>
        <v>104500</v>
      </c>
    </row>
    <row r="2556" spans="1:22" x14ac:dyDescent="0.25">
      <c r="A2556" t="s">
        <v>2895</v>
      </c>
      <c r="B2556" s="1">
        <v>45292</v>
      </c>
      <c r="C2556" t="s">
        <v>201</v>
      </c>
      <c r="D2556" t="s">
        <v>312</v>
      </c>
      <c r="E2556">
        <v>919.85</v>
      </c>
      <c r="F2556" t="s">
        <v>331</v>
      </c>
      <c r="G2556" t="s">
        <v>325</v>
      </c>
      <c r="I2556" t="s">
        <v>57</v>
      </c>
      <c r="J2556" t="s">
        <v>37</v>
      </c>
      <c r="K2556" t="s">
        <v>32</v>
      </c>
      <c r="L2556" t="s">
        <v>313</v>
      </c>
      <c r="M2556" t="s">
        <v>314</v>
      </c>
      <c r="N2556">
        <v>0</v>
      </c>
      <c r="O2556" t="str">
        <f>IF(Transactions_RAW_cleaned[[#This Row],[Status]]="Completed", IFERROR(_xlfn.XLOOKUP(Transactions_RAW_cleaned[[#This Row],[CustomerID]], Customers_cleaned[CustomerID], Customers_cleaned[Segment]), "Customer Not Found"), "N/A")</f>
        <v>N/A</v>
      </c>
      <c r="P2556" s="5" t="str">
        <f>IF(Transactions_RAW_cleaned[[#This Row],[Status]]="Refunded", "Refund",
  IF(Transactions_RAW_cleaned[[#This Row],[Category]]="Payments", IF(Transactions_RAW_cleaned[[#This Row],[Amount]]&gt;500,"High Value","Standard"),
    IF(Transactions_RAW_cleaned[[#This Row],[Amount]]&gt;250,"High Value","Standard")))</f>
        <v>High Value</v>
      </c>
      <c r="Q2556" s="5" t="str">
        <f>IF(Transactions_RAW_cleaned[[#This Row],[Amount]] &gt; (_xlfn.XLOOKUP(Transactions_RAW_cleaned[[#This Row],[ServiceID]],Services_cleaned[ServiceID],Services_cleaned[TransactionFeePct]) * 10000), "Yes", "No")</f>
        <v>Yes</v>
      </c>
      <c r="R2556" s="5" t="str">
        <f>IF(COUNTIFS($C$2:Transactions_RAW_cleaned[[#This Row],[CustomerID]],Transactions_RAW_cleaned[[#This Row],[CustomerID]],$D$2:Transactions_RAW_cleaned[[#This Row],[ServiceID]],Transactions_RAW_cleaned[[#This Row],[ServiceID]])=1,"Yes","No")</f>
        <v>No</v>
      </c>
      <c r="S2556"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56" t="str">
        <f>"Q"&amp;ROUNDUP(MONTH(Transactions_RAW_cleaned[[#This Row],[TransactionDate]])/3,0)</f>
        <v>Q1</v>
      </c>
      <c r="U2556" t="str">
        <f>Transactions_RAW_cleaned[[#This Row],[Region ]]&amp;Transactions_RAW_cleaned[[#This Row],[Quarter ]]</f>
        <v>EMEAQ1</v>
      </c>
      <c r="V2556" s="5">
        <f>_xlfn.XLOOKUP(Transactions_RAW_cleaned[[#This Row],[RegionQuarterKey]], Quarterly_Targets_cleaned[RegionQuarterKey], Quarterly_Targets_cleaned[TargetRevenue])</f>
        <v>133000</v>
      </c>
    </row>
    <row r="2557" spans="1:22" x14ac:dyDescent="0.25">
      <c r="A2557" t="s">
        <v>2896</v>
      </c>
      <c r="B2557" s="1">
        <v>45598</v>
      </c>
      <c r="C2557" t="s">
        <v>257</v>
      </c>
      <c r="D2557" t="s">
        <v>294</v>
      </c>
      <c r="E2557">
        <v>295.85000000000002</v>
      </c>
      <c r="F2557" t="s">
        <v>324</v>
      </c>
      <c r="G2557" t="s">
        <v>337</v>
      </c>
      <c r="H2557" t="s">
        <v>346</v>
      </c>
      <c r="I2557" t="s">
        <v>57</v>
      </c>
      <c r="J2557" t="s">
        <v>13</v>
      </c>
      <c r="K2557" t="s">
        <v>22</v>
      </c>
      <c r="L2557" t="s">
        <v>295</v>
      </c>
      <c r="M2557" t="s">
        <v>296</v>
      </c>
      <c r="N2557">
        <v>2.9000000000000001E-2</v>
      </c>
      <c r="O2557" t="str">
        <f>IF(Transactions_RAW_cleaned[[#This Row],[Status]]="Completed", IFERROR(_xlfn.XLOOKUP(Transactions_RAW_cleaned[[#This Row],[CustomerID]], Customers_cleaned[CustomerID], Customers_cleaned[Segment]), "Customer Not Found"), "N/A")</f>
        <v>Startup</v>
      </c>
      <c r="P2557" s="5" t="str">
        <f>IF(Transactions_RAW_cleaned[[#This Row],[Status]]="Refunded", "Refund",
  IF(Transactions_RAW_cleaned[[#This Row],[Category]]="Payments", IF(Transactions_RAW_cleaned[[#This Row],[Amount]]&gt;500,"High Value","Standard"),
    IF(Transactions_RAW_cleaned[[#This Row],[Amount]]&gt;250,"High Value","Standard")))</f>
        <v>Standard</v>
      </c>
      <c r="Q2557" s="5" t="str">
        <f>IF(Transactions_RAW_cleaned[[#This Row],[Amount]] &gt; (_xlfn.XLOOKUP(Transactions_RAW_cleaned[[#This Row],[ServiceID]],Services_cleaned[ServiceID],Services_cleaned[TransactionFeePct]) * 10000), "Yes", "No")</f>
        <v>Yes</v>
      </c>
      <c r="R2557" s="5" t="str">
        <f>IF(COUNTIFS($C$2:Transactions_RAW_cleaned[[#This Row],[CustomerID]],Transactions_RAW_cleaned[[#This Row],[CustomerID]],$D$2:Transactions_RAW_cleaned[[#This Row],[ServiceID]],Transactions_RAW_cleaned[[#This Row],[ServiceID]])=1,"Yes","No")</f>
        <v>No</v>
      </c>
      <c r="S255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57" t="str">
        <f>"Q"&amp;ROUNDUP(MONTH(Transactions_RAW_cleaned[[#This Row],[TransactionDate]])/3,0)</f>
        <v>Q4</v>
      </c>
      <c r="U2557" t="str">
        <f>Transactions_RAW_cleaned[[#This Row],[Region ]]&amp;Transactions_RAW_cleaned[[#This Row],[Quarter ]]</f>
        <v>NAQ4</v>
      </c>
      <c r="V2557" s="5">
        <f>_xlfn.XLOOKUP(Transactions_RAW_cleaned[[#This Row],[RegionQuarterKey]], Quarterly_Targets_cleaned[RegionQuarterKey], Quarterly_Targets_cleaned[TargetRevenue])</f>
        <v>299000</v>
      </c>
    </row>
    <row r="2558" spans="1:22" x14ac:dyDescent="0.25">
      <c r="A2558" t="s">
        <v>2897</v>
      </c>
      <c r="B2558" s="1">
        <v>45653</v>
      </c>
      <c r="C2558" t="s">
        <v>38</v>
      </c>
      <c r="D2558" t="s">
        <v>300</v>
      </c>
      <c r="E2558">
        <v>152.12</v>
      </c>
      <c r="F2558" t="s">
        <v>381</v>
      </c>
      <c r="G2558" t="s">
        <v>337</v>
      </c>
      <c r="H2558" t="s">
        <v>334</v>
      </c>
      <c r="I2558" t="s">
        <v>8</v>
      </c>
      <c r="J2558" t="s">
        <v>102</v>
      </c>
      <c r="K2558" t="s">
        <v>28</v>
      </c>
      <c r="L2558" t="s">
        <v>301</v>
      </c>
      <c r="M2558" t="s">
        <v>302</v>
      </c>
      <c r="N2558">
        <v>5.0000000000000001E-3</v>
      </c>
      <c r="O2558" t="str">
        <f>IF(Transactions_RAW_cleaned[[#This Row],[Status]]="Completed", IFERROR(_xlfn.XLOOKUP(Transactions_RAW_cleaned[[#This Row],[CustomerID]], Customers_cleaned[CustomerID], Customers_cleaned[Segment]), "Customer Not Found"), "N/A")</f>
        <v>N/A</v>
      </c>
      <c r="P2558" s="5" t="str">
        <f>IF(Transactions_RAW_cleaned[[#This Row],[Status]]="Refunded", "Refund",
  IF(Transactions_RAW_cleaned[[#This Row],[Category]]="Payments", IF(Transactions_RAW_cleaned[[#This Row],[Amount]]&gt;500,"High Value","Standard"),
    IF(Transactions_RAW_cleaned[[#This Row],[Amount]]&gt;250,"High Value","Standard")))</f>
        <v>Standard</v>
      </c>
      <c r="Q2558" s="5" t="str">
        <f>IF(Transactions_RAW_cleaned[[#This Row],[Amount]] &gt; (_xlfn.XLOOKUP(Transactions_RAW_cleaned[[#This Row],[ServiceID]],Services_cleaned[ServiceID],Services_cleaned[TransactionFeePct]) * 10000), "Yes", "No")</f>
        <v>Yes</v>
      </c>
      <c r="R2558" s="5" t="str">
        <f>IF(COUNTIFS($C$2:Transactions_RAW_cleaned[[#This Row],[CustomerID]],Transactions_RAW_cleaned[[#This Row],[CustomerID]],$D$2:Transactions_RAW_cleaned[[#This Row],[ServiceID]],Transactions_RAW_cleaned[[#This Row],[ServiceID]])=1,"Yes","No")</f>
        <v>No</v>
      </c>
      <c r="S255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58" t="str">
        <f>"Q"&amp;ROUNDUP(MONTH(Transactions_RAW_cleaned[[#This Row],[TransactionDate]])/3,0)</f>
        <v>Q4</v>
      </c>
      <c r="U2558" t="str">
        <f>Transactions_RAW_cleaned[[#This Row],[Region ]]&amp;Transactions_RAW_cleaned[[#This Row],[Quarter ]]</f>
        <v>NAQ4</v>
      </c>
      <c r="V2558" s="5">
        <f>_xlfn.XLOOKUP(Transactions_RAW_cleaned[[#This Row],[RegionQuarterKey]], Quarterly_Targets_cleaned[RegionQuarterKey], Quarterly_Targets_cleaned[TargetRevenue])</f>
        <v>299000</v>
      </c>
    </row>
    <row r="2559" spans="1:22" x14ac:dyDescent="0.25">
      <c r="A2559" t="s">
        <v>2898</v>
      </c>
      <c r="B2559" s="1">
        <v>45445</v>
      </c>
      <c r="C2559" t="s">
        <v>62</v>
      </c>
      <c r="D2559" t="s">
        <v>309</v>
      </c>
      <c r="E2559">
        <v>382.76</v>
      </c>
      <c r="F2559" t="s">
        <v>324</v>
      </c>
      <c r="G2559" t="s">
        <v>329</v>
      </c>
      <c r="I2559" t="s">
        <v>8</v>
      </c>
      <c r="J2559" t="s">
        <v>46</v>
      </c>
      <c r="K2559" t="s">
        <v>18</v>
      </c>
      <c r="L2559" t="s">
        <v>310</v>
      </c>
      <c r="M2559" t="s">
        <v>311</v>
      </c>
      <c r="N2559">
        <v>0</v>
      </c>
      <c r="O2559" t="str">
        <f>IF(Transactions_RAW_cleaned[[#This Row],[Status]]="Completed", IFERROR(_xlfn.XLOOKUP(Transactions_RAW_cleaned[[#This Row],[CustomerID]], Customers_cleaned[CustomerID], Customers_cleaned[Segment]), "Customer Not Found"), "N/A")</f>
        <v>SMB</v>
      </c>
      <c r="P2559" s="5" t="str">
        <f>IF(Transactions_RAW_cleaned[[#This Row],[Status]]="Refunded", "Refund",
  IF(Transactions_RAW_cleaned[[#This Row],[Category]]="Payments", IF(Transactions_RAW_cleaned[[#This Row],[Amount]]&gt;500,"High Value","Standard"),
    IF(Transactions_RAW_cleaned[[#This Row],[Amount]]&gt;250,"High Value","Standard")))</f>
        <v>High Value</v>
      </c>
      <c r="Q2559" s="5" t="str">
        <f>IF(Transactions_RAW_cleaned[[#This Row],[Amount]] &gt; (_xlfn.XLOOKUP(Transactions_RAW_cleaned[[#This Row],[ServiceID]],Services_cleaned[ServiceID],Services_cleaned[TransactionFeePct]) * 10000), "Yes", "No")</f>
        <v>Yes</v>
      </c>
      <c r="R2559" s="5" t="str">
        <f>IF(COUNTIFS($C$2:Transactions_RAW_cleaned[[#This Row],[CustomerID]],Transactions_RAW_cleaned[[#This Row],[CustomerID]],$D$2:Transactions_RAW_cleaned[[#This Row],[ServiceID]],Transactions_RAW_cleaned[[#This Row],[ServiceID]])=1,"Yes","No")</f>
        <v>Yes</v>
      </c>
      <c r="S2559"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59" t="str">
        <f>"Q"&amp;ROUNDUP(MONTH(Transactions_RAW_cleaned[[#This Row],[TransactionDate]])/3,0)</f>
        <v>Q2</v>
      </c>
      <c r="U2559" t="str">
        <f>Transactions_RAW_cleaned[[#This Row],[Region ]]&amp;Transactions_RAW_cleaned[[#This Row],[Quarter ]]</f>
        <v>APACQ2</v>
      </c>
      <c r="V2559" s="5">
        <f>_xlfn.XLOOKUP(Transactions_RAW_cleaned[[#This Row],[RegionQuarterKey]], Quarterly_Targets_cleaned[RegionQuarterKey], Quarterly_Targets_cleaned[TargetRevenue])</f>
        <v>110000</v>
      </c>
    </row>
    <row r="2560" spans="1:22" x14ac:dyDescent="0.25">
      <c r="A2560" t="s">
        <v>2899</v>
      </c>
      <c r="B2560" s="1">
        <v>45488</v>
      </c>
      <c r="C2560" t="s">
        <v>109</v>
      </c>
      <c r="D2560" t="s">
        <v>306</v>
      </c>
      <c r="E2560">
        <v>543.37</v>
      </c>
      <c r="F2560" t="s">
        <v>324</v>
      </c>
      <c r="G2560" t="s">
        <v>325</v>
      </c>
      <c r="H2560" t="s">
        <v>332</v>
      </c>
      <c r="I2560" t="s">
        <v>8</v>
      </c>
      <c r="J2560" t="s">
        <v>102</v>
      </c>
      <c r="K2560" t="s">
        <v>18</v>
      </c>
      <c r="L2560" t="s">
        <v>307</v>
      </c>
      <c r="M2560" t="s">
        <v>308</v>
      </c>
      <c r="N2560">
        <v>0</v>
      </c>
      <c r="O2560" t="str">
        <f>IF(Transactions_RAW_cleaned[[#This Row],[Status]]="Completed", IFERROR(_xlfn.XLOOKUP(Transactions_RAW_cleaned[[#This Row],[CustomerID]], Customers_cleaned[CustomerID], Customers_cleaned[Segment]), "Customer Not Found"), "N/A")</f>
        <v>SMB</v>
      </c>
      <c r="P2560" s="5" t="str">
        <f>IF(Transactions_RAW_cleaned[[#This Row],[Status]]="Refunded", "Refund",
  IF(Transactions_RAW_cleaned[[#This Row],[Category]]="Payments", IF(Transactions_RAW_cleaned[[#This Row],[Amount]]&gt;500,"High Value","Standard"),
    IF(Transactions_RAW_cleaned[[#This Row],[Amount]]&gt;250,"High Value","Standard")))</f>
        <v>High Value</v>
      </c>
      <c r="Q2560" s="5" t="str">
        <f>IF(Transactions_RAW_cleaned[[#This Row],[Amount]] &gt; (_xlfn.XLOOKUP(Transactions_RAW_cleaned[[#This Row],[ServiceID]],Services_cleaned[ServiceID],Services_cleaned[TransactionFeePct]) * 10000), "Yes", "No")</f>
        <v>Yes</v>
      </c>
      <c r="R2560" s="5" t="str">
        <f>IF(COUNTIFS($C$2:Transactions_RAW_cleaned[[#This Row],[CustomerID]],Transactions_RAW_cleaned[[#This Row],[CustomerID]],$D$2:Transactions_RAW_cleaned[[#This Row],[ServiceID]],Transactions_RAW_cleaned[[#This Row],[ServiceID]])=1,"Yes","No")</f>
        <v>No</v>
      </c>
      <c r="S256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60" t="str">
        <f>"Q"&amp;ROUNDUP(MONTH(Transactions_RAW_cleaned[[#This Row],[TransactionDate]])/3,0)</f>
        <v>Q3</v>
      </c>
      <c r="U2560" t="str">
        <f>Transactions_RAW_cleaned[[#This Row],[Region ]]&amp;Transactions_RAW_cleaned[[#This Row],[Quarter ]]</f>
        <v>NAQ3</v>
      </c>
      <c r="V2560" s="5">
        <f>_xlfn.XLOOKUP(Transactions_RAW_cleaned[[#This Row],[RegionQuarterKey]], Quarterly_Targets_cleaned[RegionQuarterKey], Quarterly_Targets_cleaned[TargetRevenue])</f>
        <v>273000</v>
      </c>
    </row>
    <row r="2561" spans="1:22" x14ac:dyDescent="0.25">
      <c r="A2561" t="s">
        <v>2900</v>
      </c>
      <c r="B2561" s="1">
        <v>45300</v>
      </c>
      <c r="C2561" t="s">
        <v>76</v>
      </c>
      <c r="D2561" t="s">
        <v>315</v>
      </c>
      <c r="E2561">
        <v>767.29</v>
      </c>
      <c r="F2561" t="s">
        <v>324</v>
      </c>
      <c r="G2561" t="s">
        <v>327</v>
      </c>
      <c r="I2561" t="s">
        <v>17</v>
      </c>
      <c r="J2561" t="s">
        <v>13</v>
      </c>
      <c r="K2561" t="s">
        <v>18</v>
      </c>
      <c r="L2561" t="s">
        <v>316</v>
      </c>
      <c r="M2561" t="s">
        <v>305</v>
      </c>
      <c r="N2561">
        <v>2.5000000000000001E-3</v>
      </c>
      <c r="O2561" t="str">
        <f>IF(Transactions_RAW_cleaned[[#This Row],[Status]]="Completed", IFERROR(_xlfn.XLOOKUP(Transactions_RAW_cleaned[[#This Row],[CustomerID]], Customers_cleaned[CustomerID], Customers_cleaned[Segment]), "Customer Not Found"), "N/A")</f>
        <v>Enterprise</v>
      </c>
      <c r="P2561" s="5" t="str">
        <f>IF(Transactions_RAW_cleaned[[#This Row],[Status]]="Refunded", "Refund",
  IF(Transactions_RAW_cleaned[[#This Row],[Category]]="Payments", IF(Transactions_RAW_cleaned[[#This Row],[Amount]]&gt;500,"High Value","Standard"),
    IF(Transactions_RAW_cleaned[[#This Row],[Amount]]&gt;250,"High Value","Standard")))</f>
        <v>High Value</v>
      </c>
      <c r="Q2561" s="5" t="str">
        <f>IF(Transactions_RAW_cleaned[[#This Row],[Amount]] &gt; (_xlfn.XLOOKUP(Transactions_RAW_cleaned[[#This Row],[ServiceID]],Services_cleaned[ServiceID],Services_cleaned[TransactionFeePct]) * 10000), "Yes", "No")</f>
        <v>Yes</v>
      </c>
      <c r="R2561" s="5" t="str">
        <f>IF(COUNTIFS($C$2:Transactions_RAW_cleaned[[#This Row],[CustomerID]],Transactions_RAW_cleaned[[#This Row],[CustomerID]],$D$2:Transactions_RAW_cleaned[[#This Row],[ServiceID]],Transactions_RAW_cleaned[[#This Row],[ServiceID]])=1,"Yes","No")</f>
        <v>No</v>
      </c>
      <c r="S256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61" t="str">
        <f>"Q"&amp;ROUNDUP(MONTH(Transactions_RAW_cleaned[[#This Row],[TransactionDate]])/3,0)</f>
        <v>Q1</v>
      </c>
      <c r="U2561" t="str">
        <f>Transactions_RAW_cleaned[[#This Row],[Region ]]&amp;Transactions_RAW_cleaned[[#This Row],[Quarter ]]</f>
        <v>NAQ1</v>
      </c>
      <c r="V2561" s="5">
        <f>_xlfn.XLOOKUP(Transactions_RAW_cleaned[[#This Row],[RegionQuarterKey]], Quarterly_Targets_cleaned[RegionQuarterKey], Quarterly_Targets_cleaned[TargetRevenue])</f>
        <v>247000</v>
      </c>
    </row>
    <row r="2562" spans="1:22" x14ac:dyDescent="0.25">
      <c r="A2562" t="s">
        <v>2901</v>
      </c>
      <c r="B2562" s="1">
        <v>45570</v>
      </c>
      <c r="C2562" t="s">
        <v>277</v>
      </c>
      <c r="D2562" t="s">
        <v>294</v>
      </c>
      <c r="E2562">
        <v>408.26</v>
      </c>
      <c r="F2562" t="s">
        <v>324</v>
      </c>
      <c r="G2562" t="s">
        <v>329</v>
      </c>
      <c r="I2562" t="s">
        <v>8</v>
      </c>
      <c r="J2562" t="s">
        <v>31</v>
      </c>
      <c r="K2562" t="s">
        <v>22</v>
      </c>
      <c r="L2562" t="s">
        <v>295</v>
      </c>
      <c r="M2562" t="s">
        <v>296</v>
      </c>
      <c r="N2562">
        <v>2.9000000000000001E-2</v>
      </c>
      <c r="O2562" t="str">
        <f>IF(Transactions_RAW_cleaned[[#This Row],[Status]]="Completed", IFERROR(_xlfn.XLOOKUP(Transactions_RAW_cleaned[[#This Row],[CustomerID]], Customers_cleaned[CustomerID], Customers_cleaned[Segment]), "Customer Not Found"), "N/A")</f>
        <v>SMB</v>
      </c>
      <c r="P2562" s="5" t="str">
        <f>IF(Transactions_RAW_cleaned[[#This Row],[Status]]="Refunded", "Refund",
  IF(Transactions_RAW_cleaned[[#This Row],[Category]]="Payments", IF(Transactions_RAW_cleaned[[#This Row],[Amount]]&gt;500,"High Value","Standard"),
    IF(Transactions_RAW_cleaned[[#This Row],[Amount]]&gt;250,"High Value","Standard")))</f>
        <v>Standard</v>
      </c>
      <c r="Q2562" s="5" t="str">
        <f>IF(Transactions_RAW_cleaned[[#This Row],[Amount]] &gt; (_xlfn.XLOOKUP(Transactions_RAW_cleaned[[#This Row],[ServiceID]],Services_cleaned[ServiceID],Services_cleaned[TransactionFeePct]) * 10000), "Yes", "No")</f>
        <v>Yes</v>
      </c>
      <c r="R2562" s="5" t="str">
        <f>IF(COUNTIFS($C$2:Transactions_RAW_cleaned[[#This Row],[CustomerID]],Transactions_RAW_cleaned[[#This Row],[CustomerID]],$D$2:Transactions_RAW_cleaned[[#This Row],[ServiceID]],Transactions_RAW_cleaned[[#This Row],[ServiceID]])=1,"Yes","No")</f>
        <v>No</v>
      </c>
      <c r="S256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62" t="str">
        <f>"Q"&amp;ROUNDUP(MONTH(Transactions_RAW_cleaned[[#This Row],[TransactionDate]])/3,0)</f>
        <v>Q4</v>
      </c>
      <c r="U2562" t="str">
        <f>Transactions_RAW_cleaned[[#This Row],[Region ]]&amp;Transactions_RAW_cleaned[[#This Row],[Quarter ]]</f>
        <v>EMEAQ4</v>
      </c>
      <c r="V2562" s="5">
        <f>_xlfn.XLOOKUP(Transactions_RAW_cleaned[[#This Row],[RegionQuarterKey]], Quarterly_Targets_cleaned[RegionQuarterKey], Quarterly_Targets_cleaned[TargetRevenue])</f>
        <v>161000</v>
      </c>
    </row>
    <row r="2563" spans="1:22" x14ac:dyDescent="0.25">
      <c r="A2563" t="s">
        <v>2902</v>
      </c>
      <c r="B2563" s="1">
        <v>45424</v>
      </c>
      <c r="C2563" t="s">
        <v>157</v>
      </c>
      <c r="D2563" t="s">
        <v>297</v>
      </c>
      <c r="E2563">
        <v>692.89</v>
      </c>
      <c r="F2563" t="s">
        <v>324</v>
      </c>
      <c r="G2563" t="s">
        <v>327</v>
      </c>
      <c r="H2563" t="s">
        <v>334</v>
      </c>
      <c r="I2563" t="s">
        <v>8</v>
      </c>
      <c r="J2563" t="s">
        <v>102</v>
      </c>
      <c r="K2563" t="s">
        <v>14</v>
      </c>
      <c r="L2563" t="s">
        <v>298</v>
      </c>
      <c r="M2563" t="s">
        <v>299</v>
      </c>
      <c r="N2563">
        <v>0</v>
      </c>
      <c r="O2563" t="str">
        <f>IF(Transactions_RAW_cleaned[[#This Row],[Status]]="Completed", IFERROR(_xlfn.XLOOKUP(Transactions_RAW_cleaned[[#This Row],[CustomerID]], Customers_cleaned[CustomerID], Customers_cleaned[Segment]), "Customer Not Found"), "N/A")</f>
        <v>SMB</v>
      </c>
      <c r="P2563" s="5" t="str">
        <f>IF(Transactions_RAW_cleaned[[#This Row],[Status]]="Refunded", "Refund",
  IF(Transactions_RAW_cleaned[[#This Row],[Category]]="Payments", IF(Transactions_RAW_cleaned[[#This Row],[Amount]]&gt;500,"High Value","Standard"),
    IF(Transactions_RAW_cleaned[[#This Row],[Amount]]&gt;250,"High Value","Standard")))</f>
        <v>High Value</v>
      </c>
      <c r="Q2563" s="5" t="str">
        <f>IF(Transactions_RAW_cleaned[[#This Row],[Amount]] &gt; (_xlfn.XLOOKUP(Transactions_RAW_cleaned[[#This Row],[ServiceID]],Services_cleaned[ServiceID],Services_cleaned[TransactionFeePct]) * 10000), "Yes", "No")</f>
        <v>Yes</v>
      </c>
      <c r="R2563" s="5" t="str">
        <f>IF(COUNTIFS($C$2:Transactions_RAW_cleaned[[#This Row],[CustomerID]],Transactions_RAW_cleaned[[#This Row],[CustomerID]],$D$2:Transactions_RAW_cleaned[[#This Row],[ServiceID]],Transactions_RAW_cleaned[[#This Row],[ServiceID]])=1,"Yes","No")</f>
        <v>No</v>
      </c>
      <c r="S256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63" t="str">
        <f>"Q"&amp;ROUNDUP(MONTH(Transactions_RAW_cleaned[[#This Row],[TransactionDate]])/3,0)</f>
        <v>Q2</v>
      </c>
      <c r="U2563" t="str">
        <f>Transactions_RAW_cleaned[[#This Row],[Region ]]&amp;Transactions_RAW_cleaned[[#This Row],[Quarter ]]</f>
        <v>NAQ2</v>
      </c>
      <c r="V2563" s="5">
        <f>_xlfn.XLOOKUP(Transactions_RAW_cleaned[[#This Row],[RegionQuarterKey]], Quarterly_Targets_cleaned[RegionQuarterKey], Quarterly_Targets_cleaned[TargetRevenue])</f>
        <v>260000</v>
      </c>
    </row>
    <row r="2564" spans="1:22" x14ac:dyDescent="0.25">
      <c r="A2564" t="s">
        <v>2903</v>
      </c>
      <c r="B2564" s="1">
        <v>45308</v>
      </c>
      <c r="C2564" t="s">
        <v>181</v>
      </c>
      <c r="D2564" t="s">
        <v>300</v>
      </c>
      <c r="E2564">
        <v>313.58</v>
      </c>
      <c r="F2564" t="s">
        <v>324</v>
      </c>
      <c r="G2564" t="s">
        <v>327</v>
      </c>
      <c r="H2564" t="s">
        <v>332</v>
      </c>
      <c r="I2564" t="s">
        <v>17</v>
      </c>
      <c r="J2564" t="s">
        <v>21</v>
      </c>
      <c r="K2564" t="s">
        <v>10</v>
      </c>
      <c r="L2564" t="s">
        <v>301</v>
      </c>
      <c r="M2564" t="s">
        <v>302</v>
      </c>
      <c r="N2564">
        <v>5.0000000000000001E-3</v>
      </c>
      <c r="O2564" t="str">
        <f>IF(Transactions_RAW_cleaned[[#This Row],[Status]]="Completed", IFERROR(_xlfn.XLOOKUP(Transactions_RAW_cleaned[[#This Row],[CustomerID]], Customers_cleaned[CustomerID], Customers_cleaned[Segment]), "Customer Not Found"), "N/A")</f>
        <v>Enterprise</v>
      </c>
      <c r="P2564" s="5" t="str">
        <f>IF(Transactions_RAW_cleaned[[#This Row],[Status]]="Refunded", "Refund",
  IF(Transactions_RAW_cleaned[[#This Row],[Category]]="Payments", IF(Transactions_RAW_cleaned[[#This Row],[Amount]]&gt;500,"High Value","Standard"),
    IF(Transactions_RAW_cleaned[[#This Row],[Amount]]&gt;250,"High Value","Standard")))</f>
        <v>High Value</v>
      </c>
      <c r="Q2564" s="5" t="str">
        <f>IF(Transactions_RAW_cleaned[[#This Row],[Amount]] &gt; (_xlfn.XLOOKUP(Transactions_RAW_cleaned[[#This Row],[ServiceID]],Services_cleaned[ServiceID],Services_cleaned[TransactionFeePct]) * 10000), "Yes", "No")</f>
        <v>Yes</v>
      </c>
      <c r="R2564" s="5" t="str">
        <f>IF(COUNTIFS($C$2:Transactions_RAW_cleaned[[#This Row],[CustomerID]],Transactions_RAW_cleaned[[#This Row],[CustomerID]],$D$2:Transactions_RAW_cleaned[[#This Row],[ServiceID]],Transactions_RAW_cleaned[[#This Row],[ServiceID]])=1,"Yes","No")</f>
        <v>No</v>
      </c>
      <c r="S256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64" t="str">
        <f>"Q"&amp;ROUNDUP(MONTH(Transactions_RAW_cleaned[[#This Row],[TransactionDate]])/3,0)</f>
        <v>Q1</v>
      </c>
      <c r="U2564" t="str">
        <f>Transactions_RAW_cleaned[[#This Row],[Region ]]&amp;Transactions_RAW_cleaned[[#This Row],[Quarter ]]</f>
        <v>APACQ1</v>
      </c>
      <c r="V2564" s="5">
        <f>_xlfn.XLOOKUP(Transactions_RAW_cleaned[[#This Row],[RegionQuarterKey]], Quarterly_Targets_cleaned[RegionQuarterKey], Quarterly_Targets_cleaned[TargetRevenue])</f>
        <v>104500</v>
      </c>
    </row>
    <row r="2565" spans="1:22" x14ac:dyDescent="0.25">
      <c r="A2565" t="s">
        <v>2904</v>
      </c>
      <c r="B2565" s="1">
        <v>45608</v>
      </c>
      <c r="C2565" t="s">
        <v>213</v>
      </c>
      <c r="D2565" t="s">
        <v>297</v>
      </c>
      <c r="E2565">
        <v>540.62</v>
      </c>
      <c r="F2565" t="s">
        <v>324</v>
      </c>
      <c r="G2565" t="s">
        <v>327</v>
      </c>
      <c r="H2565" t="s">
        <v>334</v>
      </c>
      <c r="I2565" t="s">
        <v>17</v>
      </c>
      <c r="J2565" t="s">
        <v>25</v>
      </c>
      <c r="K2565" t="s">
        <v>14</v>
      </c>
      <c r="L2565" t="s">
        <v>298</v>
      </c>
      <c r="M2565" t="s">
        <v>299</v>
      </c>
      <c r="N2565">
        <v>0</v>
      </c>
      <c r="O2565" t="str">
        <f>IF(Transactions_RAW_cleaned[[#This Row],[Status]]="Completed", IFERROR(_xlfn.XLOOKUP(Transactions_RAW_cleaned[[#This Row],[CustomerID]], Customers_cleaned[CustomerID], Customers_cleaned[Segment]), "Customer Not Found"), "N/A")</f>
        <v>Enterprise</v>
      </c>
      <c r="P2565" s="5" t="str">
        <f>IF(Transactions_RAW_cleaned[[#This Row],[Status]]="Refunded", "Refund",
  IF(Transactions_RAW_cleaned[[#This Row],[Category]]="Payments", IF(Transactions_RAW_cleaned[[#This Row],[Amount]]&gt;500,"High Value","Standard"),
    IF(Transactions_RAW_cleaned[[#This Row],[Amount]]&gt;250,"High Value","Standard")))</f>
        <v>High Value</v>
      </c>
      <c r="Q2565" s="5" t="str">
        <f>IF(Transactions_RAW_cleaned[[#This Row],[Amount]] &gt; (_xlfn.XLOOKUP(Transactions_RAW_cleaned[[#This Row],[ServiceID]],Services_cleaned[ServiceID],Services_cleaned[TransactionFeePct]) * 10000), "Yes", "No")</f>
        <v>Yes</v>
      </c>
      <c r="R2565" s="5" t="str">
        <f>IF(COUNTIFS($C$2:Transactions_RAW_cleaned[[#This Row],[CustomerID]],Transactions_RAW_cleaned[[#This Row],[CustomerID]],$D$2:Transactions_RAW_cleaned[[#This Row],[ServiceID]],Transactions_RAW_cleaned[[#This Row],[ServiceID]])=1,"Yes","No")</f>
        <v>No</v>
      </c>
      <c r="S2565"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65" t="str">
        <f>"Q"&amp;ROUNDUP(MONTH(Transactions_RAW_cleaned[[#This Row],[TransactionDate]])/3,0)</f>
        <v>Q4</v>
      </c>
      <c r="U2565" t="str">
        <f>Transactions_RAW_cleaned[[#This Row],[Region ]]&amp;Transactions_RAW_cleaned[[#This Row],[Quarter ]]</f>
        <v>APACQ4</v>
      </c>
      <c r="V2565" s="5">
        <f>_xlfn.XLOOKUP(Transactions_RAW_cleaned[[#This Row],[RegionQuarterKey]], Quarterly_Targets_cleaned[RegionQuarterKey], Quarterly_Targets_cleaned[TargetRevenue])</f>
        <v>126500</v>
      </c>
    </row>
    <row r="2566" spans="1:22" x14ac:dyDescent="0.25">
      <c r="A2566" t="s">
        <v>2905</v>
      </c>
      <c r="B2566" s="1">
        <v>45400</v>
      </c>
      <c r="C2566" t="s">
        <v>251</v>
      </c>
      <c r="D2566" t="s">
        <v>294</v>
      </c>
      <c r="E2566">
        <v>342.8</v>
      </c>
      <c r="F2566" t="s">
        <v>324</v>
      </c>
      <c r="G2566" t="s">
        <v>325</v>
      </c>
      <c r="I2566" t="s">
        <v>17</v>
      </c>
      <c r="J2566" t="s">
        <v>46</v>
      </c>
      <c r="K2566" t="s">
        <v>14</v>
      </c>
      <c r="L2566" t="s">
        <v>295</v>
      </c>
      <c r="M2566" t="s">
        <v>296</v>
      </c>
      <c r="N2566">
        <v>2.9000000000000001E-2</v>
      </c>
      <c r="O2566" t="str">
        <f>IF(Transactions_RAW_cleaned[[#This Row],[Status]]="Completed", IFERROR(_xlfn.XLOOKUP(Transactions_RAW_cleaned[[#This Row],[CustomerID]], Customers_cleaned[CustomerID], Customers_cleaned[Segment]), "Customer Not Found"), "N/A")</f>
        <v>Enterprise</v>
      </c>
      <c r="P2566" s="5" t="str">
        <f>IF(Transactions_RAW_cleaned[[#This Row],[Status]]="Refunded", "Refund",
  IF(Transactions_RAW_cleaned[[#This Row],[Category]]="Payments", IF(Transactions_RAW_cleaned[[#This Row],[Amount]]&gt;500,"High Value","Standard"),
    IF(Transactions_RAW_cleaned[[#This Row],[Amount]]&gt;250,"High Value","Standard")))</f>
        <v>Standard</v>
      </c>
      <c r="Q2566" s="5" t="str">
        <f>IF(Transactions_RAW_cleaned[[#This Row],[Amount]] &gt; (_xlfn.XLOOKUP(Transactions_RAW_cleaned[[#This Row],[ServiceID]],Services_cleaned[ServiceID],Services_cleaned[TransactionFeePct]) * 10000), "Yes", "No")</f>
        <v>Yes</v>
      </c>
      <c r="R2566" s="5" t="str">
        <f>IF(COUNTIFS($C$2:Transactions_RAW_cleaned[[#This Row],[CustomerID]],Transactions_RAW_cleaned[[#This Row],[CustomerID]],$D$2:Transactions_RAW_cleaned[[#This Row],[ServiceID]],Transactions_RAW_cleaned[[#This Row],[ServiceID]])=1,"Yes","No")</f>
        <v>No</v>
      </c>
      <c r="S2566"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66" t="str">
        <f>"Q"&amp;ROUNDUP(MONTH(Transactions_RAW_cleaned[[#This Row],[TransactionDate]])/3,0)</f>
        <v>Q2</v>
      </c>
      <c r="U2566" t="str">
        <f>Transactions_RAW_cleaned[[#This Row],[Region ]]&amp;Transactions_RAW_cleaned[[#This Row],[Quarter ]]</f>
        <v>APACQ2</v>
      </c>
      <c r="V2566" s="5">
        <f>_xlfn.XLOOKUP(Transactions_RAW_cleaned[[#This Row],[RegionQuarterKey]], Quarterly_Targets_cleaned[RegionQuarterKey], Quarterly_Targets_cleaned[TargetRevenue])</f>
        <v>110000</v>
      </c>
    </row>
    <row r="2567" spans="1:22" x14ac:dyDescent="0.25">
      <c r="A2567" t="s">
        <v>2906</v>
      </c>
      <c r="B2567" s="1">
        <v>45325</v>
      </c>
      <c r="C2567" t="s">
        <v>265</v>
      </c>
      <c r="D2567" t="s">
        <v>312</v>
      </c>
      <c r="E2567">
        <v>320.45999999999998</v>
      </c>
      <c r="F2567" t="s">
        <v>324</v>
      </c>
      <c r="G2567" t="s">
        <v>325</v>
      </c>
      <c r="H2567" t="s">
        <v>332</v>
      </c>
      <c r="I2567" t="s">
        <v>8</v>
      </c>
      <c r="J2567" t="s">
        <v>102</v>
      </c>
      <c r="K2567" t="s">
        <v>32</v>
      </c>
      <c r="L2567" t="s">
        <v>313</v>
      </c>
      <c r="M2567" t="s">
        <v>314</v>
      </c>
      <c r="N2567">
        <v>0</v>
      </c>
      <c r="O2567" t="str">
        <f>IF(Transactions_RAW_cleaned[[#This Row],[Status]]="Completed", IFERROR(_xlfn.XLOOKUP(Transactions_RAW_cleaned[[#This Row],[CustomerID]], Customers_cleaned[CustomerID], Customers_cleaned[Segment]), "Customer Not Found"), "N/A")</f>
        <v>SMB</v>
      </c>
      <c r="P2567" s="5" t="str">
        <f>IF(Transactions_RAW_cleaned[[#This Row],[Status]]="Refunded", "Refund",
  IF(Transactions_RAW_cleaned[[#This Row],[Category]]="Payments", IF(Transactions_RAW_cleaned[[#This Row],[Amount]]&gt;500,"High Value","Standard"),
    IF(Transactions_RAW_cleaned[[#This Row],[Amount]]&gt;250,"High Value","Standard")))</f>
        <v>High Value</v>
      </c>
      <c r="Q2567" s="5" t="str">
        <f>IF(Transactions_RAW_cleaned[[#This Row],[Amount]] &gt; (_xlfn.XLOOKUP(Transactions_RAW_cleaned[[#This Row],[ServiceID]],Services_cleaned[ServiceID],Services_cleaned[TransactionFeePct]) * 10000), "Yes", "No")</f>
        <v>Yes</v>
      </c>
      <c r="R2567" s="5" t="str">
        <f>IF(COUNTIFS($C$2:Transactions_RAW_cleaned[[#This Row],[CustomerID]],Transactions_RAW_cleaned[[#This Row],[CustomerID]],$D$2:Transactions_RAW_cleaned[[#This Row],[ServiceID]],Transactions_RAW_cleaned[[#This Row],[ServiceID]])=1,"Yes","No")</f>
        <v>No</v>
      </c>
      <c r="S256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67" t="str">
        <f>"Q"&amp;ROUNDUP(MONTH(Transactions_RAW_cleaned[[#This Row],[TransactionDate]])/3,0)</f>
        <v>Q1</v>
      </c>
      <c r="U2567" t="str">
        <f>Transactions_RAW_cleaned[[#This Row],[Region ]]&amp;Transactions_RAW_cleaned[[#This Row],[Quarter ]]</f>
        <v>NAQ1</v>
      </c>
      <c r="V2567" s="5">
        <f>_xlfn.XLOOKUP(Transactions_RAW_cleaned[[#This Row],[RegionQuarterKey]], Quarterly_Targets_cleaned[RegionQuarterKey], Quarterly_Targets_cleaned[TargetRevenue])</f>
        <v>247000</v>
      </c>
    </row>
    <row r="2568" spans="1:22" x14ac:dyDescent="0.25">
      <c r="A2568" t="s">
        <v>2907</v>
      </c>
      <c r="B2568" s="1">
        <v>45319</v>
      </c>
      <c r="C2568" t="s">
        <v>88</v>
      </c>
      <c r="D2568" t="s">
        <v>297</v>
      </c>
      <c r="E2568">
        <v>1436.25</v>
      </c>
      <c r="F2568" t="s">
        <v>324</v>
      </c>
      <c r="G2568" t="s">
        <v>337</v>
      </c>
      <c r="I2568" t="s">
        <v>8</v>
      </c>
      <c r="J2568" t="s">
        <v>102</v>
      </c>
      <c r="K2568" t="s">
        <v>18</v>
      </c>
      <c r="L2568" t="s">
        <v>298</v>
      </c>
      <c r="M2568" t="s">
        <v>299</v>
      </c>
      <c r="N2568">
        <v>0</v>
      </c>
      <c r="O2568" t="str">
        <f>IF(Transactions_RAW_cleaned[[#This Row],[Status]]="Completed", IFERROR(_xlfn.XLOOKUP(Transactions_RAW_cleaned[[#This Row],[CustomerID]], Customers_cleaned[CustomerID], Customers_cleaned[Segment]), "Customer Not Found"), "N/A")</f>
        <v>SMB</v>
      </c>
      <c r="P2568" s="5" t="str">
        <f>IF(Transactions_RAW_cleaned[[#This Row],[Status]]="Refunded", "Refund",
  IF(Transactions_RAW_cleaned[[#This Row],[Category]]="Payments", IF(Transactions_RAW_cleaned[[#This Row],[Amount]]&gt;500,"High Value","Standard"),
    IF(Transactions_RAW_cleaned[[#This Row],[Amount]]&gt;250,"High Value","Standard")))</f>
        <v>High Value</v>
      </c>
      <c r="Q2568" s="5" t="str">
        <f>IF(Transactions_RAW_cleaned[[#This Row],[Amount]] &gt; (_xlfn.XLOOKUP(Transactions_RAW_cleaned[[#This Row],[ServiceID]],Services_cleaned[ServiceID],Services_cleaned[TransactionFeePct]) * 10000), "Yes", "No")</f>
        <v>Yes</v>
      </c>
      <c r="R2568" s="5" t="str">
        <f>IF(COUNTIFS($C$2:Transactions_RAW_cleaned[[#This Row],[CustomerID]],Transactions_RAW_cleaned[[#This Row],[CustomerID]],$D$2:Transactions_RAW_cleaned[[#This Row],[ServiceID]],Transactions_RAW_cleaned[[#This Row],[ServiceID]])=1,"Yes","No")</f>
        <v>No</v>
      </c>
      <c r="S256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68" t="str">
        <f>"Q"&amp;ROUNDUP(MONTH(Transactions_RAW_cleaned[[#This Row],[TransactionDate]])/3,0)</f>
        <v>Q1</v>
      </c>
      <c r="U2568" t="str">
        <f>Transactions_RAW_cleaned[[#This Row],[Region ]]&amp;Transactions_RAW_cleaned[[#This Row],[Quarter ]]</f>
        <v>NAQ1</v>
      </c>
      <c r="V2568" s="5">
        <f>_xlfn.XLOOKUP(Transactions_RAW_cleaned[[#This Row],[RegionQuarterKey]], Quarterly_Targets_cleaned[RegionQuarterKey], Quarterly_Targets_cleaned[TargetRevenue])</f>
        <v>247000</v>
      </c>
    </row>
    <row r="2569" spans="1:22" x14ac:dyDescent="0.25">
      <c r="A2569" t="s">
        <v>2908</v>
      </c>
      <c r="B2569" s="1">
        <v>45358</v>
      </c>
      <c r="C2569" t="s">
        <v>33</v>
      </c>
      <c r="D2569" t="s">
        <v>312</v>
      </c>
      <c r="E2569">
        <v>114.78</v>
      </c>
      <c r="F2569" t="s">
        <v>324</v>
      </c>
      <c r="G2569" t="s">
        <v>337</v>
      </c>
      <c r="H2569" t="s">
        <v>346</v>
      </c>
      <c r="I2569" t="s">
        <v>17</v>
      </c>
      <c r="J2569" t="s">
        <v>31</v>
      </c>
      <c r="K2569" t="s">
        <v>14</v>
      </c>
      <c r="L2569" t="s">
        <v>313</v>
      </c>
      <c r="M2569" t="s">
        <v>314</v>
      </c>
      <c r="N2569">
        <v>0</v>
      </c>
      <c r="O2569" t="str">
        <f>IF(Transactions_RAW_cleaned[[#This Row],[Status]]="Completed", IFERROR(_xlfn.XLOOKUP(Transactions_RAW_cleaned[[#This Row],[CustomerID]], Customers_cleaned[CustomerID], Customers_cleaned[Segment]), "Customer Not Found"), "N/A")</f>
        <v>Enterprise</v>
      </c>
      <c r="P2569" s="5" t="str">
        <f>IF(Transactions_RAW_cleaned[[#This Row],[Status]]="Refunded", "Refund",
  IF(Transactions_RAW_cleaned[[#This Row],[Category]]="Payments", IF(Transactions_RAW_cleaned[[#This Row],[Amount]]&gt;500,"High Value","Standard"),
    IF(Transactions_RAW_cleaned[[#This Row],[Amount]]&gt;250,"High Value","Standard")))</f>
        <v>Standard</v>
      </c>
      <c r="Q2569" s="5" t="str">
        <f>IF(Transactions_RAW_cleaned[[#This Row],[Amount]] &gt; (_xlfn.XLOOKUP(Transactions_RAW_cleaned[[#This Row],[ServiceID]],Services_cleaned[ServiceID],Services_cleaned[TransactionFeePct]) * 10000), "Yes", "No")</f>
        <v>Yes</v>
      </c>
      <c r="R2569" s="5" t="str">
        <f>IF(COUNTIFS($C$2:Transactions_RAW_cleaned[[#This Row],[CustomerID]],Transactions_RAW_cleaned[[#This Row],[CustomerID]],$D$2:Transactions_RAW_cleaned[[#This Row],[ServiceID]],Transactions_RAW_cleaned[[#This Row],[ServiceID]])=1,"Yes","No")</f>
        <v>No</v>
      </c>
      <c r="S2569"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69" t="str">
        <f>"Q"&amp;ROUNDUP(MONTH(Transactions_RAW_cleaned[[#This Row],[TransactionDate]])/3,0)</f>
        <v>Q1</v>
      </c>
      <c r="U2569" t="str">
        <f>Transactions_RAW_cleaned[[#This Row],[Region ]]&amp;Transactions_RAW_cleaned[[#This Row],[Quarter ]]</f>
        <v>EMEAQ1</v>
      </c>
      <c r="V2569" s="5">
        <f>_xlfn.XLOOKUP(Transactions_RAW_cleaned[[#This Row],[RegionQuarterKey]], Quarterly_Targets_cleaned[RegionQuarterKey], Quarterly_Targets_cleaned[TargetRevenue])</f>
        <v>133000</v>
      </c>
    </row>
    <row r="2570" spans="1:22" x14ac:dyDescent="0.25">
      <c r="A2570" t="s">
        <v>2909</v>
      </c>
      <c r="B2570" s="1">
        <v>45314</v>
      </c>
      <c r="C2570" t="s">
        <v>237</v>
      </c>
      <c r="D2570" t="s">
        <v>294</v>
      </c>
      <c r="E2570">
        <v>811.13</v>
      </c>
      <c r="F2570" t="s">
        <v>324</v>
      </c>
      <c r="G2570" t="s">
        <v>337</v>
      </c>
      <c r="H2570" t="s">
        <v>346</v>
      </c>
      <c r="I2570" t="s">
        <v>8</v>
      </c>
      <c r="J2570" t="s">
        <v>46</v>
      </c>
      <c r="K2570" t="s">
        <v>10</v>
      </c>
      <c r="L2570" t="s">
        <v>295</v>
      </c>
      <c r="M2570" t="s">
        <v>296</v>
      </c>
      <c r="N2570">
        <v>2.9000000000000001E-2</v>
      </c>
      <c r="O2570" t="str">
        <f>IF(Transactions_RAW_cleaned[[#This Row],[Status]]="Completed", IFERROR(_xlfn.XLOOKUP(Transactions_RAW_cleaned[[#This Row],[CustomerID]], Customers_cleaned[CustomerID], Customers_cleaned[Segment]), "Customer Not Found"), "N/A")</f>
        <v>SMB</v>
      </c>
      <c r="P2570" s="5" t="str">
        <f>IF(Transactions_RAW_cleaned[[#This Row],[Status]]="Refunded", "Refund",
  IF(Transactions_RAW_cleaned[[#This Row],[Category]]="Payments", IF(Transactions_RAW_cleaned[[#This Row],[Amount]]&gt;500,"High Value","Standard"),
    IF(Transactions_RAW_cleaned[[#This Row],[Amount]]&gt;250,"High Value","Standard")))</f>
        <v>High Value</v>
      </c>
      <c r="Q2570" s="5" t="str">
        <f>IF(Transactions_RAW_cleaned[[#This Row],[Amount]] &gt; (_xlfn.XLOOKUP(Transactions_RAW_cleaned[[#This Row],[ServiceID]],Services_cleaned[ServiceID],Services_cleaned[TransactionFeePct]) * 10000), "Yes", "No")</f>
        <v>Yes</v>
      </c>
      <c r="R2570" s="5" t="str">
        <f>IF(COUNTIFS($C$2:Transactions_RAW_cleaned[[#This Row],[CustomerID]],Transactions_RAW_cleaned[[#This Row],[CustomerID]],$D$2:Transactions_RAW_cleaned[[#This Row],[ServiceID]],Transactions_RAW_cleaned[[#This Row],[ServiceID]])=1,"Yes","No")</f>
        <v>No</v>
      </c>
      <c r="S257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70" t="str">
        <f>"Q"&amp;ROUNDUP(MONTH(Transactions_RAW_cleaned[[#This Row],[TransactionDate]])/3,0)</f>
        <v>Q1</v>
      </c>
      <c r="U2570" t="str">
        <f>Transactions_RAW_cleaned[[#This Row],[Region ]]&amp;Transactions_RAW_cleaned[[#This Row],[Quarter ]]</f>
        <v>APACQ1</v>
      </c>
      <c r="V2570" s="5">
        <f>_xlfn.XLOOKUP(Transactions_RAW_cleaned[[#This Row],[RegionQuarterKey]], Quarterly_Targets_cleaned[RegionQuarterKey], Quarterly_Targets_cleaned[TargetRevenue])</f>
        <v>104500</v>
      </c>
    </row>
    <row r="2571" spans="1:22" x14ac:dyDescent="0.25">
      <c r="A2571" t="s">
        <v>2910</v>
      </c>
      <c r="B2571" s="1">
        <v>45487</v>
      </c>
      <c r="C2571" t="s">
        <v>217</v>
      </c>
      <c r="D2571" t="s">
        <v>309</v>
      </c>
      <c r="E2571">
        <v>396.77</v>
      </c>
      <c r="F2571" t="s">
        <v>324</v>
      </c>
      <c r="G2571" t="s">
        <v>327</v>
      </c>
      <c r="I2571" t="s">
        <v>17</v>
      </c>
      <c r="J2571" t="s">
        <v>102</v>
      </c>
      <c r="K2571" t="s">
        <v>14</v>
      </c>
      <c r="L2571" t="s">
        <v>310</v>
      </c>
      <c r="M2571" t="s">
        <v>311</v>
      </c>
      <c r="N2571">
        <v>0</v>
      </c>
      <c r="O2571" t="str">
        <f>IF(Transactions_RAW_cleaned[[#This Row],[Status]]="Completed", IFERROR(_xlfn.XLOOKUP(Transactions_RAW_cleaned[[#This Row],[CustomerID]], Customers_cleaned[CustomerID], Customers_cleaned[Segment]), "Customer Not Found"), "N/A")</f>
        <v>Enterprise</v>
      </c>
      <c r="P2571" s="5" t="str">
        <f>IF(Transactions_RAW_cleaned[[#This Row],[Status]]="Refunded", "Refund",
  IF(Transactions_RAW_cleaned[[#This Row],[Category]]="Payments", IF(Transactions_RAW_cleaned[[#This Row],[Amount]]&gt;500,"High Value","Standard"),
    IF(Transactions_RAW_cleaned[[#This Row],[Amount]]&gt;250,"High Value","Standard")))</f>
        <v>High Value</v>
      </c>
      <c r="Q2571" s="5" t="str">
        <f>IF(Transactions_RAW_cleaned[[#This Row],[Amount]] &gt; (_xlfn.XLOOKUP(Transactions_RAW_cleaned[[#This Row],[ServiceID]],Services_cleaned[ServiceID],Services_cleaned[TransactionFeePct]) * 10000), "Yes", "No")</f>
        <v>Yes</v>
      </c>
      <c r="R2571" s="5" t="str">
        <f>IF(COUNTIFS($C$2:Transactions_RAW_cleaned[[#This Row],[CustomerID]],Transactions_RAW_cleaned[[#This Row],[CustomerID]],$D$2:Transactions_RAW_cleaned[[#This Row],[ServiceID]],Transactions_RAW_cleaned[[#This Row],[ServiceID]])=1,"Yes","No")</f>
        <v>No</v>
      </c>
      <c r="S257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71" t="str">
        <f>"Q"&amp;ROUNDUP(MONTH(Transactions_RAW_cleaned[[#This Row],[TransactionDate]])/3,0)</f>
        <v>Q3</v>
      </c>
      <c r="U2571" t="str">
        <f>Transactions_RAW_cleaned[[#This Row],[Region ]]&amp;Transactions_RAW_cleaned[[#This Row],[Quarter ]]</f>
        <v>NAQ3</v>
      </c>
      <c r="V2571" s="5">
        <f>_xlfn.XLOOKUP(Transactions_RAW_cleaned[[#This Row],[RegionQuarterKey]], Quarterly_Targets_cleaned[RegionQuarterKey], Quarterly_Targets_cleaned[TargetRevenue])</f>
        <v>273000</v>
      </c>
    </row>
    <row r="2572" spans="1:22" x14ac:dyDescent="0.25">
      <c r="A2572" t="s">
        <v>2911</v>
      </c>
      <c r="B2572" s="1">
        <v>45587</v>
      </c>
      <c r="C2572" t="s">
        <v>163</v>
      </c>
      <c r="D2572" t="s">
        <v>297</v>
      </c>
      <c r="E2572">
        <v>529.1</v>
      </c>
      <c r="F2572" t="s">
        <v>324</v>
      </c>
      <c r="G2572" t="s">
        <v>327</v>
      </c>
      <c r="H2572" t="s">
        <v>332</v>
      </c>
      <c r="I2572" t="s">
        <v>17</v>
      </c>
      <c r="J2572" t="s">
        <v>102</v>
      </c>
      <c r="K2572" t="s">
        <v>18</v>
      </c>
      <c r="L2572" t="s">
        <v>298</v>
      </c>
      <c r="M2572" t="s">
        <v>299</v>
      </c>
      <c r="N2572">
        <v>0</v>
      </c>
      <c r="O2572" t="str">
        <f>IF(Transactions_RAW_cleaned[[#This Row],[Status]]="Completed", IFERROR(_xlfn.XLOOKUP(Transactions_RAW_cleaned[[#This Row],[CustomerID]], Customers_cleaned[CustomerID], Customers_cleaned[Segment]), "Customer Not Found"), "N/A")</f>
        <v>Enterprise</v>
      </c>
      <c r="P2572" s="5" t="str">
        <f>IF(Transactions_RAW_cleaned[[#This Row],[Status]]="Refunded", "Refund",
  IF(Transactions_RAW_cleaned[[#This Row],[Category]]="Payments", IF(Transactions_RAW_cleaned[[#This Row],[Amount]]&gt;500,"High Value","Standard"),
    IF(Transactions_RAW_cleaned[[#This Row],[Amount]]&gt;250,"High Value","Standard")))</f>
        <v>High Value</v>
      </c>
      <c r="Q2572" s="5" t="str">
        <f>IF(Transactions_RAW_cleaned[[#This Row],[Amount]] &gt; (_xlfn.XLOOKUP(Transactions_RAW_cleaned[[#This Row],[ServiceID]],Services_cleaned[ServiceID],Services_cleaned[TransactionFeePct]) * 10000), "Yes", "No")</f>
        <v>Yes</v>
      </c>
      <c r="R2572" s="5" t="str">
        <f>IF(COUNTIFS($C$2:Transactions_RAW_cleaned[[#This Row],[CustomerID]],Transactions_RAW_cleaned[[#This Row],[CustomerID]],$D$2:Transactions_RAW_cleaned[[#This Row],[ServiceID]],Transactions_RAW_cleaned[[#This Row],[ServiceID]])=1,"Yes","No")</f>
        <v>Yes</v>
      </c>
      <c r="S257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72" t="str">
        <f>"Q"&amp;ROUNDUP(MONTH(Transactions_RAW_cleaned[[#This Row],[TransactionDate]])/3,0)</f>
        <v>Q4</v>
      </c>
      <c r="U2572" t="str">
        <f>Transactions_RAW_cleaned[[#This Row],[Region ]]&amp;Transactions_RAW_cleaned[[#This Row],[Quarter ]]</f>
        <v>NAQ4</v>
      </c>
      <c r="V2572" s="5">
        <f>_xlfn.XLOOKUP(Transactions_RAW_cleaned[[#This Row],[RegionQuarterKey]], Quarterly_Targets_cleaned[RegionQuarterKey], Quarterly_Targets_cleaned[TargetRevenue])</f>
        <v>299000</v>
      </c>
    </row>
    <row r="2573" spans="1:22" x14ac:dyDescent="0.25">
      <c r="A2573" t="s">
        <v>2912</v>
      </c>
      <c r="B2573" s="1">
        <v>45618</v>
      </c>
      <c r="C2573" t="s">
        <v>80</v>
      </c>
      <c r="D2573" t="s">
        <v>294</v>
      </c>
      <c r="E2573">
        <v>323.52999999999997</v>
      </c>
      <c r="F2573" t="s">
        <v>324</v>
      </c>
      <c r="G2573" t="s">
        <v>337</v>
      </c>
      <c r="I2573" t="s">
        <v>8</v>
      </c>
      <c r="J2573" t="s">
        <v>13</v>
      </c>
      <c r="K2573" t="s">
        <v>32</v>
      </c>
      <c r="L2573" t="s">
        <v>295</v>
      </c>
      <c r="M2573" t="s">
        <v>296</v>
      </c>
      <c r="N2573">
        <v>2.9000000000000001E-2</v>
      </c>
      <c r="O2573" t="str">
        <f>IF(Transactions_RAW_cleaned[[#This Row],[Status]]="Completed", IFERROR(_xlfn.XLOOKUP(Transactions_RAW_cleaned[[#This Row],[CustomerID]], Customers_cleaned[CustomerID], Customers_cleaned[Segment]), "Customer Not Found"), "N/A")</f>
        <v>SMB</v>
      </c>
      <c r="P2573" s="5" t="str">
        <f>IF(Transactions_RAW_cleaned[[#This Row],[Status]]="Refunded", "Refund",
  IF(Transactions_RAW_cleaned[[#This Row],[Category]]="Payments", IF(Transactions_RAW_cleaned[[#This Row],[Amount]]&gt;500,"High Value","Standard"),
    IF(Transactions_RAW_cleaned[[#This Row],[Amount]]&gt;250,"High Value","Standard")))</f>
        <v>Standard</v>
      </c>
      <c r="Q2573" s="5" t="str">
        <f>IF(Transactions_RAW_cleaned[[#This Row],[Amount]] &gt; (_xlfn.XLOOKUP(Transactions_RAW_cleaned[[#This Row],[ServiceID]],Services_cleaned[ServiceID],Services_cleaned[TransactionFeePct]) * 10000), "Yes", "No")</f>
        <v>Yes</v>
      </c>
      <c r="R2573" s="5" t="str">
        <f>IF(COUNTIFS($C$2:Transactions_RAW_cleaned[[#This Row],[CustomerID]],Transactions_RAW_cleaned[[#This Row],[CustomerID]],$D$2:Transactions_RAW_cleaned[[#This Row],[ServiceID]],Transactions_RAW_cleaned[[#This Row],[ServiceID]])=1,"Yes","No")</f>
        <v>No</v>
      </c>
      <c r="S2573"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73" t="str">
        <f>"Q"&amp;ROUNDUP(MONTH(Transactions_RAW_cleaned[[#This Row],[TransactionDate]])/3,0)</f>
        <v>Q4</v>
      </c>
      <c r="U2573" t="str">
        <f>Transactions_RAW_cleaned[[#This Row],[Region ]]&amp;Transactions_RAW_cleaned[[#This Row],[Quarter ]]</f>
        <v>NAQ4</v>
      </c>
      <c r="V2573" s="5">
        <f>_xlfn.XLOOKUP(Transactions_RAW_cleaned[[#This Row],[RegionQuarterKey]], Quarterly_Targets_cleaned[RegionQuarterKey], Quarterly_Targets_cleaned[TargetRevenue])</f>
        <v>299000</v>
      </c>
    </row>
    <row r="2574" spans="1:22" x14ac:dyDescent="0.25">
      <c r="A2574" t="s">
        <v>2913</v>
      </c>
      <c r="B2574" s="1">
        <v>45526</v>
      </c>
      <c r="C2574" t="s">
        <v>51</v>
      </c>
      <c r="D2574" t="s">
        <v>294</v>
      </c>
      <c r="E2574">
        <v>410.71</v>
      </c>
      <c r="F2574" t="s">
        <v>324</v>
      </c>
      <c r="G2574" t="s">
        <v>325</v>
      </c>
      <c r="I2574" t="s">
        <v>8</v>
      </c>
      <c r="J2574" t="s">
        <v>31</v>
      </c>
      <c r="K2574" t="s">
        <v>14</v>
      </c>
      <c r="L2574" t="s">
        <v>295</v>
      </c>
      <c r="M2574" t="s">
        <v>296</v>
      </c>
      <c r="N2574">
        <v>2.9000000000000001E-2</v>
      </c>
      <c r="O2574" t="str">
        <f>IF(Transactions_RAW_cleaned[[#This Row],[Status]]="Completed", IFERROR(_xlfn.XLOOKUP(Transactions_RAW_cleaned[[#This Row],[CustomerID]], Customers_cleaned[CustomerID], Customers_cleaned[Segment]), "Customer Not Found"), "N/A")</f>
        <v>SMB</v>
      </c>
      <c r="P2574" s="5" t="str">
        <f>IF(Transactions_RAW_cleaned[[#This Row],[Status]]="Refunded", "Refund",
  IF(Transactions_RAW_cleaned[[#This Row],[Category]]="Payments", IF(Transactions_RAW_cleaned[[#This Row],[Amount]]&gt;500,"High Value","Standard"),
    IF(Transactions_RAW_cleaned[[#This Row],[Amount]]&gt;250,"High Value","Standard")))</f>
        <v>Standard</v>
      </c>
      <c r="Q2574" s="5" t="str">
        <f>IF(Transactions_RAW_cleaned[[#This Row],[Amount]] &gt; (_xlfn.XLOOKUP(Transactions_RAW_cleaned[[#This Row],[ServiceID]],Services_cleaned[ServiceID],Services_cleaned[TransactionFeePct]) * 10000), "Yes", "No")</f>
        <v>Yes</v>
      </c>
      <c r="R2574" s="5" t="str">
        <f>IF(COUNTIFS($C$2:Transactions_RAW_cleaned[[#This Row],[CustomerID]],Transactions_RAW_cleaned[[#This Row],[CustomerID]],$D$2:Transactions_RAW_cleaned[[#This Row],[ServiceID]],Transactions_RAW_cleaned[[#This Row],[ServiceID]])=1,"Yes","No")</f>
        <v>No</v>
      </c>
      <c r="S257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74" t="str">
        <f>"Q"&amp;ROUNDUP(MONTH(Transactions_RAW_cleaned[[#This Row],[TransactionDate]])/3,0)</f>
        <v>Q3</v>
      </c>
      <c r="U2574" t="str">
        <f>Transactions_RAW_cleaned[[#This Row],[Region ]]&amp;Transactions_RAW_cleaned[[#This Row],[Quarter ]]</f>
        <v>EMEAQ3</v>
      </c>
      <c r="V2574" s="5">
        <f>_xlfn.XLOOKUP(Transactions_RAW_cleaned[[#This Row],[RegionQuarterKey]], Quarterly_Targets_cleaned[RegionQuarterKey], Quarterly_Targets_cleaned[TargetRevenue])</f>
        <v>147000</v>
      </c>
    </row>
    <row r="2575" spans="1:22" x14ac:dyDescent="0.25">
      <c r="A2575" t="s">
        <v>2914</v>
      </c>
      <c r="B2575" s="1">
        <v>45473</v>
      </c>
      <c r="C2575" t="s">
        <v>175</v>
      </c>
      <c r="D2575" t="s">
        <v>294</v>
      </c>
      <c r="E2575">
        <v>292.37</v>
      </c>
      <c r="F2575" t="s">
        <v>324</v>
      </c>
      <c r="G2575" t="s">
        <v>325</v>
      </c>
      <c r="I2575" t="s">
        <v>8</v>
      </c>
      <c r="J2575" t="s">
        <v>31</v>
      </c>
      <c r="K2575" t="s">
        <v>32</v>
      </c>
      <c r="L2575" t="s">
        <v>295</v>
      </c>
      <c r="M2575" t="s">
        <v>296</v>
      </c>
      <c r="N2575">
        <v>2.9000000000000001E-2</v>
      </c>
      <c r="O2575" t="str">
        <f>IF(Transactions_RAW_cleaned[[#This Row],[Status]]="Completed", IFERROR(_xlfn.XLOOKUP(Transactions_RAW_cleaned[[#This Row],[CustomerID]], Customers_cleaned[CustomerID], Customers_cleaned[Segment]), "Customer Not Found"), "N/A")</f>
        <v>SMB</v>
      </c>
      <c r="P2575" s="5" t="str">
        <f>IF(Transactions_RAW_cleaned[[#This Row],[Status]]="Refunded", "Refund",
  IF(Transactions_RAW_cleaned[[#This Row],[Category]]="Payments", IF(Transactions_RAW_cleaned[[#This Row],[Amount]]&gt;500,"High Value","Standard"),
    IF(Transactions_RAW_cleaned[[#This Row],[Amount]]&gt;250,"High Value","Standard")))</f>
        <v>Standard</v>
      </c>
      <c r="Q2575" s="5" t="str">
        <f>IF(Transactions_RAW_cleaned[[#This Row],[Amount]] &gt; (_xlfn.XLOOKUP(Transactions_RAW_cleaned[[#This Row],[ServiceID]],Services_cleaned[ServiceID],Services_cleaned[TransactionFeePct]) * 10000), "Yes", "No")</f>
        <v>Yes</v>
      </c>
      <c r="R2575" s="5" t="str">
        <f>IF(COUNTIFS($C$2:Transactions_RAW_cleaned[[#This Row],[CustomerID]],Transactions_RAW_cleaned[[#This Row],[CustomerID]],$D$2:Transactions_RAW_cleaned[[#This Row],[ServiceID]],Transactions_RAW_cleaned[[#This Row],[ServiceID]])=1,"Yes","No")</f>
        <v>No</v>
      </c>
      <c r="S257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75" t="str">
        <f>"Q"&amp;ROUNDUP(MONTH(Transactions_RAW_cleaned[[#This Row],[TransactionDate]])/3,0)</f>
        <v>Q2</v>
      </c>
      <c r="U2575" t="str">
        <f>Transactions_RAW_cleaned[[#This Row],[Region ]]&amp;Transactions_RAW_cleaned[[#This Row],[Quarter ]]</f>
        <v>EMEAQ2</v>
      </c>
      <c r="V2575" s="5">
        <f>_xlfn.XLOOKUP(Transactions_RAW_cleaned[[#This Row],[RegionQuarterKey]], Quarterly_Targets_cleaned[RegionQuarterKey], Quarterly_Targets_cleaned[TargetRevenue])</f>
        <v>140000</v>
      </c>
    </row>
    <row r="2576" spans="1:22" x14ac:dyDescent="0.25">
      <c r="A2576" t="s">
        <v>2915</v>
      </c>
      <c r="B2576" s="1">
        <v>45577</v>
      </c>
      <c r="C2576" t="s">
        <v>247</v>
      </c>
      <c r="D2576" t="s">
        <v>294</v>
      </c>
      <c r="E2576">
        <v>212.17</v>
      </c>
      <c r="F2576" t="s">
        <v>324</v>
      </c>
      <c r="G2576" t="s">
        <v>327</v>
      </c>
      <c r="H2576" t="s">
        <v>334</v>
      </c>
      <c r="I2576" t="s">
        <v>17</v>
      </c>
      <c r="J2576" t="s">
        <v>13</v>
      </c>
      <c r="K2576" t="s">
        <v>28</v>
      </c>
      <c r="L2576" t="s">
        <v>295</v>
      </c>
      <c r="M2576" t="s">
        <v>296</v>
      </c>
      <c r="N2576">
        <v>2.9000000000000001E-2</v>
      </c>
      <c r="O2576" t="str">
        <f>IF(Transactions_RAW_cleaned[[#This Row],[Status]]="Completed", IFERROR(_xlfn.XLOOKUP(Transactions_RAW_cleaned[[#This Row],[CustomerID]], Customers_cleaned[CustomerID], Customers_cleaned[Segment]), "Customer Not Found"), "N/A")</f>
        <v>Enterprise</v>
      </c>
      <c r="P2576" s="5" t="str">
        <f>IF(Transactions_RAW_cleaned[[#This Row],[Status]]="Refunded", "Refund",
  IF(Transactions_RAW_cleaned[[#This Row],[Category]]="Payments", IF(Transactions_RAW_cleaned[[#This Row],[Amount]]&gt;500,"High Value","Standard"),
    IF(Transactions_RAW_cleaned[[#This Row],[Amount]]&gt;250,"High Value","Standard")))</f>
        <v>Standard</v>
      </c>
      <c r="Q2576" s="5" t="str">
        <f>IF(Transactions_RAW_cleaned[[#This Row],[Amount]] &gt; (_xlfn.XLOOKUP(Transactions_RAW_cleaned[[#This Row],[ServiceID]],Services_cleaned[ServiceID],Services_cleaned[TransactionFeePct]) * 10000), "Yes", "No")</f>
        <v>No</v>
      </c>
      <c r="R2576" s="5" t="str">
        <f>IF(COUNTIFS($C$2:Transactions_RAW_cleaned[[#This Row],[CustomerID]],Transactions_RAW_cleaned[[#This Row],[CustomerID]],$D$2:Transactions_RAW_cleaned[[#This Row],[ServiceID]],Transactions_RAW_cleaned[[#This Row],[ServiceID]])=1,"Yes","No")</f>
        <v>No</v>
      </c>
      <c r="S257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76" t="str">
        <f>"Q"&amp;ROUNDUP(MONTH(Transactions_RAW_cleaned[[#This Row],[TransactionDate]])/3,0)</f>
        <v>Q4</v>
      </c>
      <c r="U2576" t="str">
        <f>Transactions_RAW_cleaned[[#This Row],[Region ]]&amp;Transactions_RAW_cleaned[[#This Row],[Quarter ]]</f>
        <v>NAQ4</v>
      </c>
      <c r="V2576" s="5">
        <f>_xlfn.XLOOKUP(Transactions_RAW_cleaned[[#This Row],[RegionQuarterKey]], Quarterly_Targets_cleaned[RegionQuarterKey], Quarterly_Targets_cleaned[TargetRevenue])</f>
        <v>299000</v>
      </c>
    </row>
    <row r="2577" spans="1:22" x14ac:dyDescent="0.25">
      <c r="A2577" t="s">
        <v>2916</v>
      </c>
      <c r="B2577" s="1">
        <v>45534</v>
      </c>
      <c r="C2577" t="s">
        <v>239</v>
      </c>
      <c r="D2577" t="s">
        <v>294</v>
      </c>
      <c r="E2577">
        <v>-265.51</v>
      </c>
      <c r="F2577" t="s">
        <v>349</v>
      </c>
      <c r="G2577" t="s">
        <v>327</v>
      </c>
      <c r="I2577" t="s">
        <v>57</v>
      </c>
      <c r="J2577" t="s">
        <v>102</v>
      </c>
      <c r="K2577" t="s">
        <v>10</v>
      </c>
      <c r="L2577" t="s">
        <v>295</v>
      </c>
      <c r="M2577" t="s">
        <v>296</v>
      </c>
      <c r="N2577">
        <v>2.9000000000000001E-2</v>
      </c>
      <c r="O2577" t="str">
        <f>IF(Transactions_RAW_cleaned[[#This Row],[Status]]="Completed", IFERROR(_xlfn.XLOOKUP(Transactions_RAW_cleaned[[#This Row],[CustomerID]], Customers_cleaned[CustomerID], Customers_cleaned[Segment]), "Customer Not Found"), "N/A")</f>
        <v>N/A</v>
      </c>
      <c r="P2577" s="5" t="str">
        <f>IF(Transactions_RAW_cleaned[[#This Row],[Status]]="Refunded", "Refund",
  IF(Transactions_RAW_cleaned[[#This Row],[Category]]="Payments", IF(Transactions_RAW_cleaned[[#This Row],[Amount]]&gt;500,"High Value","Standard"),
    IF(Transactions_RAW_cleaned[[#This Row],[Amount]]&gt;250,"High Value","Standard")))</f>
        <v>Refund</v>
      </c>
      <c r="Q2577" s="5" t="str">
        <f>IF(Transactions_RAW_cleaned[[#This Row],[Amount]] &gt; (_xlfn.XLOOKUP(Transactions_RAW_cleaned[[#This Row],[ServiceID]],Services_cleaned[ServiceID],Services_cleaned[TransactionFeePct]) * 10000), "Yes", "No")</f>
        <v>No</v>
      </c>
      <c r="R2577" s="5" t="str">
        <f>IF(COUNTIFS($C$2:Transactions_RAW_cleaned[[#This Row],[CustomerID]],Transactions_RAW_cleaned[[#This Row],[CustomerID]],$D$2:Transactions_RAW_cleaned[[#This Row],[ServiceID]],Transactions_RAW_cleaned[[#This Row],[ServiceID]])=1,"Yes","No")</f>
        <v>No</v>
      </c>
      <c r="S2577"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77" t="str">
        <f>"Q"&amp;ROUNDUP(MONTH(Transactions_RAW_cleaned[[#This Row],[TransactionDate]])/3,0)</f>
        <v>Q3</v>
      </c>
      <c r="U2577" t="str">
        <f>Transactions_RAW_cleaned[[#This Row],[Region ]]&amp;Transactions_RAW_cleaned[[#This Row],[Quarter ]]</f>
        <v>NAQ3</v>
      </c>
      <c r="V2577" s="5">
        <f>_xlfn.XLOOKUP(Transactions_RAW_cleaned[[#This Row],[RegionQuarterKey]], Quarterly_Targets_cleaned[RegionQuarterKey], Quarterly_Targets_cleaned[TargetRevenue])</f>
        <v>273000</v>
      </c>
    </row>
    <row r="2578" spans="1:22" x14ac:dyDescent="0.25">
      <c r="A2578" t="s">
        <v>2917</v>
      </c>
      <c r="B2578" s="1">
        <v>45469</v>
      </c>
      <c r="C2578" t="s">
        <v>173</v>
      </c>
      <c r="D2578" t="s">
        <v>294</v>
      </c>
      <c r="E2578">
        <v>337.2</v>
      </c>
      <c r="F2578" t="s">
        <v>381</v>
      </c>
      <c r="G2578" t="s">
        <v>327</v>
      </c>
      <c r="H2578" t="s">
        <v>332</v>
      </c>
      <c r="I2578" t="s">
        <v>8</v>
      </c>
      <c r="J2578" t="s">
        <v>46</v>
      </c>
      <c r="K2578" t="s">
        <v>32</v>
      </c>
      <c r="L2578" t="s">
        <v>295</v>
      </c>
      <c r="M2578" t="s">
        <v>296</v>
      </c>
      <c r="N2578">
        <v>2.9000000000000001E-2</v>
      </c>
      <c r="O2578" t="str">
        <f>IF(Transactions_RAW_cleaned[[#This Row],[Status]]="Completed", IFERROR(_xlfn.XLOOKUP(Transactions_RAW_cleaned[[#This Row],[CustomerID]], Customers_cleaned[CustomerID], Customers_cleaned[Segment]), "Customer Not Found"), "N/A")</f>
        <v>N/A</v>
      </c>
      <c r="P2578" s="5" t="str">
        <f>IF(Transactions_RAW_cleaned[[#This Row],[Status]]="Refunded", "Refund",
  IF(Transactions_RAW_cleaned[[#This Row],[Category]]="Payments", IF(Transactions_RAW_cleaned[[#This Row],[Amount]]&gt;500,"High Value","Standard"),
    IF(Transactions_RAW_cleaned[[#This Row],[Amount]]&gt;250,"High Value","Standard")))</f>
        <v>Standard</v>
      </c>
      <c r="Q2578" s="5" t="str">
        <f>IF(Transactions_RAW_cleaned[[#This Row],[Amount]] &gt; (_xlfn.XLOOKUP(Transactions_RAW_cleaned[[#This Row],[ServiceID]],Services_cleaned[ServiceID],Services_cleaned[TransactionFeePct]) * 10000), "Yes", "No")</f>
        <v>Yes</v>
      </c>
      <c r="R2578" s="5" t="str">
        <f>IF(COUNTIFS($C$2:Transactions_RAW_cleaned[[#This Row],[CustomerID]],Transactions_RAW_cleaned[[#This Row],[CustomerID]],$D$2:Transactions_RAW_cleaned[[#This Row],[ServiceID]],Transactions_RAW_cleaned[[#This Row],[ServiceID]])=1,"Yes","No")</f>
        <v>No</v>
      </c>
      <c r="S2578"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78" t="str">
        <f>"Q"&amp;ROUNDUP(MONTH(Transactions_RAW_cleaned[[#This Row],[TransactionDate]])/3,0)</f>
        <v>Q2</v>
      </c>
      <c r="U2578" t="str">
        <f>Transactions_RAW_cleaned[[#This Row],[Region ]]&amp;Transactions_RAW_cleaned[[#This Row],[Quarter ]]</f>
        <v>APACQ2</v>
      </c>
      <c r="V2578" s="5">
        <f>_xlfn.XLOOKUP(Transactions_RAW_cleaned[[#This Row],[RegionQuarterKey]], Quarterly_Targets_cleaned[RegionQuarterKey], Quarterly_Targets_cleaned[TargetRevenue])</f>
        <v>110000</v>
      </c>
    </row>
    <row r="2579" spans="1:22" x14ac:dyDescent="0.25">
      <c r="A2579" t="s">
        <v>2918</v>
      </c>
      <c r="B2579" s="1">
        <v>45374</v>
      </c>
      <c r="C2579" t="s">
        <v>137</v>
      </c>
      <c r="D2579" t="s">
        <v>294</v>
      </c>
      <c r="E2579">
        <v>612.91</v>
      </c>
      <c r="F2579" t="s">
        <v>331</v>
      </c>
      <c r="G2579" t="s">
        <v>325</v>
      </c>
      <c r="H2579" t="s">
        <v>334</v>
      </c>
      <c r="I2579" t="s">
        <v>8</v>
      </c>
      <c r="J2579" t="s">
        <v>13</v>
      </c>
      <c r="K2579" t="s">
        <v>18</v>
      </c>
      <c r="L2579" t="s">
        <v>295</v>
      </c>
      <c r="M2579" t="s">
        <v>296</v>
      </c>
      <c r="N2579">
        <v>2.9000000000000001E-2</v>
      </c>
      <c r="O2579" t="str">
        <f>IF(Transactions_RAW_cleaned[[#This Row],[Status]]="Completed", IFERROR(_xlfn.XLOOKUP(Transactions_RAW_cleaned[[#This Row],[CustomerID]], Customers_cleaned[CustomerID], Customers_cleaned[Segment]), "Customer Not Found"), "N/A")</f>
        <v>N/A</v>
      </c>
      <c r="P2579" s="5" t="str">
        <f>IF(Transactions_RAW_cleaned[[#This Row],[Status]]="Refunded", "Refund",
  IF(Transactions_RAW_cleaned[[#This Row],[Category]]="Payments", IF(Transactions_RAW_cleaned[[#This Row],[Amount]]&gt;500,"High Value","Standard"),
    IF(Transactions_RAW_cleaned[[#This Row],[Amount]]&gt;250,"High Value","Standard")))</f>
        <v>High Value</v>
      </c>
      <c r="Q2579" s="5" t="str">
        <f>IF(Transactions_RAW_cleaned[[#This Row],[Amount]] &gt; (_xlfn.XLOOKUP(Transactions_RAW_cleaned[[#This Row],[ServiceID]],Services_cleaned[ServiceID],Services_cleaned[TransactionFeePct]) * 10000), "Yes", "No")</f>
        <v>Yes</v>
      </c>
      <c r="R2579" s="5" t="str">
        <f>IF(COUNTIFS($C$2:Transactions_RAW_cleaned[[#This Row],[CustomerID]],Transactions_RAW_cleaned[[#This Row],[CustomerID]],$D$2:Transactions_RAW_cleaned[[#This Row],[ServiceID]],Transactions_RAW_cleaned[[#This Row],[ServiceID]])=1,"Yes","No")</f>
        <v>No</v>
      </c>
      <c r="S257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79" t="str">
        <f>"Q"&amp;ROUNDUP(MONTH(Transactions_RAW_cleaned[[#This Row],[TransactionDate]])/3,0)</f>
        <v>Q1</v>
      </c>
      <c r="U2579" t="str">
        <f>Transactions_RAW_cleaned[[#This Row],[Region ]]&amp;Transactions_RAW_cleaned[[#This Row],[Quarter ]]</f>
        <v>NAQ1</v>
      </c>
      <c r="V2579" s="5">
        <f>_xlfn.XLOOKUP(Transactions_RAW_cleaned[[#This Row],[RegionQuarterKey]], Quarterly_Targets_cleaned[RegionQuarterKey], Quarterly_Targets_cleaned[TargetRevenue])</f>
        <v>247000</v>
      </c>
    </row>
    <row r="2580" spans="1:22" x14ac:dyDescent="0.25">
      <c r="A2580" t="s">
        <v>2919</v>
      </c>
      <c r="B2580" s="1">
        <v>45454</v>
      </c>
      <c r="C2580" t="s">
        <v>219</v>
      </c>
      <c r="D2580" t="s">
        <v>294</v>
      </c>
      <c r="E2580">
        <v>686.65</v>
      </c>
      <c r="F2580" t="s">
        <v>324</v>
      </c>
      <c r="G2580" t="s">
        <v>325</v>
      </c>
      <c r="H2580" t="s">
        <v>334</v>
      </c>
      <c r="I2580" t="s">
        <v>17</v>
      </c>
      <c r="J2580" t="s">
        <v>31</v>
      </c>
      <c r="K2580" t="s">
        <v>32</v>
      </c>
      <c r="L2580" t="s">
        <v>295</v>
      </c>
      <c r="M2580" t="s">
        <v>296</v>
      </c>
      <c r="N2580">
        <v>2.9000000000000001E-2</v>
      </c>
      <c r="O2580" t="str">
        <f>IF(Transactions_RAW_cleaned[[#This Row],[Status]]="Completed", IFERROR(_xlfn.XLOOKUP(Transactions_RAW_cleaned[[#This Row],[CustomerID]], Customers_cleaned[CustomerID], Customers_cleaned[Segment]), "Customer Not Found"), "N/A")</f>
        <v>Enterprise</v>
      </c>
      <c r="P2580" s="5" t="str">
        <f>IF(Transactions_RAW_cleaned[[#This Row],[Status]]="Refunded", "Refund",
  IF(Transactions_RAW_cleaned[[#This Row],[Category]]="Payments", IF(Transactions_RAW_cleaned[[#This Row],[Amount]]&gt;500,"High Value","Standard"),
    IF(Transactions_RAW_cleaned[[#This Row],[Amount]]&gt;250,"High Value","Standard")))</f>
        <v>High Value</v>
      </c>
      <c r="Q2580" s="5" t="str">
        <f>IF(Transactions_RAW_cleaned[[#This Row],[Amount]] &gt; (_xlfn.XLOOKUP(Transactions_RAW_cleaned[[#This Row],[ServiceID]],Services_cleaned[ServiceID],Services_cleaned[TransactionFeePct]) * 10000), "Yes", "No")</f>
        <v>Yes</v>
      </c>
      <c r="R2580" s="5" t="str">
        <f>IF(COUNTIFS($C$2:Transactions_RAW_cleaned[[#This Row],[CustomerID]],Transactions_RAW_cleaned[[#This Row],[CustomerID]],$D$2:Transactions_RAW_cleaned[[#This Row],[ServiceID]],Transactions_RAW_cleaned[[#This Row],[ServiceID]])=1,"Yes","No")</f>
        <v>No</v>
      </c>
      <c r="S2580"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80" t="str">
        <f>"Q"&amp;ROUNDUP(MONTH(Transactions_RAW_cleaned[[#This Row],[TransactionDate]])/3,0)</f>
        <v>Q2</v>
      </c>
      <c r="U2580" t="str">
        <f>Transactions_RAW_cleaned[[#This Row],[Region ]]&amp;Transactions_RAW_cleaned[[#This Row],[Quarter ]]</f>
        <v>EMEAQ2</v>
      </c>
      <c r="V2580" s="5">
        <f>_xlfn.XLOOKUP(Transactions_RAW_cleaned[[#This Row],[RegionQuarterKey]], Quarterly_Targets_cleaned[RegionQuarterKey], Quarterly_Targets_cleaned[TargetRevenue])</f>
        <v>140000</v>
      </c>
    </row>
    <row r="2581" spans="1:22" x14ac:dyDescent="0.25">
      <c r="A2581" t="s">
        <v>2920</v>
      </c>
      <c r="B2581" s="1">
        <v>45571</v>
      </c>
      <c r="C2581" t="s">
        <v>117</v>
      </c>
      <c r="D2581" t="s">
        <v>300</v>
      </c>
      <c r="E2581">
        <v>228.8</v>
      </c>
      <c r="F2581" t="s">
        <v>324</v>
      </c>
      <c r="G2581" t="s">
        <v>325</v>
      </c>
      <c r="I2581" t="s">
        <v>8</v>
      </c>
      <c r="J2581" t="s">
        <v>102</v>
      </c>
      <c r="K2581" t="s">
        <v>14</v>
      </c>
      <c r="L2581" t="s">
        <v>301</v>
      </c>
      <c r="M2581" t="s">
        <v>302</v>
      </c>
      <c r="N2581">
        <v>5.0000000000000001E-3</v>
      </c>
      <c r="O2581" t="str">
        <f>IF(Transactions_RAW_cleaned[[#This Row],[Status]]="Completed", IFERROR(_xlfn.XLOOKUP(Transactions_RAW_cleaned[[#This Row],[CustomerID]], Customers_cleaned[CustomerID], Customers_cleaned[Segment]), "Customer Not Found"), "N/A")</f>
        <v>SMB</v>
      </c>
      <c r="P2581" s="5" t="str">
        <f>IF(Transactions_RAW_cleaned[[#This Row],[Status]]="Refunded", "Refund",
  IF(Transactions_RAW_cleaned[[#This Row],[Category]]="Payments", IF(Transactions_RAW_cleaned[[#This Row],[Amount]]&gt;500,"High Value","Standard"),
    IF(Transactions_RAW_cleaned[[#This Row],[Amount]]&gt;250,"High Value","Standard")))</f>
        <v>Standard</v>
      </c>
      <c r="Q2581" s="5" t="str">
        <f>IF(Transactions_RAW_cleaned[[#This Row],[Amount]] &gt; (_xlfn.XLOOKUP(Transactions_RAW_cleaned[[#This Row],[ServiceID]],Services_cleaned[ServiceID],Services_cleaned[TransactionFeePct]) * 10000), "Yes", "No")</f>
        <v>Yes</v>
      </c>
      <c r="R2581" s="5" t="str">
        <f>IF(COUNTIFS($C$2:Transactions_RAW_cleaned[[#This Row],[CustomerID]],Transactions_RAW_cleaned[[#This Row],[CustomerID]],$D$2:Transactions_RAW_cleaned[[#This Row],[ServiceID]],Transactions_RAW_cleaned[[#This Row],[ServiceID]])=1,"Yes","No")</f>
        <v>No</v>
      </c>
      <c r="S258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81" t="str">
        <f>"Q"&amp;ROUNDUP(MONTH(Transactions_RAW_cleaned[[#This Row],[TransactionDate]])/3,0)</f>
        <v>Q4</v>
      </c>
      <c r="U2581" t="str">
        <f>Transactions_RAW_cleaned[[#This Row],[Region ]]&amp;Transactions_RAW_cleaned[[#This Row],[Quarter ]]</f>
        <v>NAQ4</v>
      </c>
      <c r="V2581" s="5">
        <f>_xlfn.XLOOKUP(Transactions_RAW_cleaned[[#This Row],[RegionQuarterKey]], Quarterly_Targets_cleaned[RegionQuarterKey], Quarterly_Targets_cleaned[TargetRevenue])</f>
        <v>299000</v>
      </c>
    </row>
    <row r="2582" spans="1:22" x14ac:dyDescent="0.25">
      <c r="A2582" t="s">
        <v>2921</v>
      </c>
      <c r="B2582" s="1">
        <v>45547</v>
      </c>
      <c r="C2582" t="s">
        <v>239</v>
      </c>
      <c r="D2582" t="s">
        <v>312</v>
      </c>
      <c r="E2582">
        <v>70.45</v>
      </c>
      <c r="F2582" t="s">
        <v>324</v>
      </c>
      <c r="G2582" t="s">
        <v>325</v>
      </c>
      <c r="I2582" t="s">
        <v>57</v>
      </c>
      <c r="J2582" t="s">
        <v>102</v>
      </c>
      <c r="K2582" t="s">
        <v>10</v>
      </c>
      <c r="L2582" t="s">
        <v>313</v>
      </c>
      <c r="M2582" t="s">
        <v>314</v>
      </c>
      <c r="N2582">
        <v>0</v>
      </c>
      <c r="O2582" t="str">
        <f>IF(Transactions_RAW_cleaned[[#This Row],[Status]]="Completed", IFERROR(_xlfn.XLOOKUP(Transactions_RAW_cleaned[[#This Row],[CustomerID]], Customers_cleaned[CustomerID], Customers_cleaned[Segment]), "Customer Not Found"), "N/A")</f>
        <v>Startup</v>
      </c>
      <c r="P2582" s="5" t="str">
        <f>IF(Transactions_RAW_cleaned[[#This Row],[Status]]="Refunded", "Refund",
  IF(Transactions_RAW_cleaned[[#This Row],[Category]]="Payments", IF(Transactions_RAW_cleaned[[#This Row],[Amount]]&gt;500,"High Value","Standard"),
    IF(Transactions_RAW_cleaned[[#This Row],[Amount]]&gt;250,"High Value","Standard")))</f>
        <v>Standard</v>
      </c>
      <c r="Q2582" s="5" t="str">
        <f>IF(Transactions_RAW_cleaned[[#This Row],[Amount]] &gt; (_xlfn.XLOOKUP(Transactions_RAW_cleaned[[#This Row],[ServiceID]],Services_cleaned[ServiceID],Services_cleaned[TransactionFeePct]) * 10000), "Yes", "No")</f>
        <v>Yes</v>
      </c>
      <c r="R2582" s="5" t="str">
        <f>IF(COUNTIFS($C$2:Transactions_RAW_cleaned[[#This Row],[CustomerID]],Transactions_RAW_cleaned[[#This Row],[CustomerID]],$D$2:Transactions_RAW_cleaned[[#This Row],[ServiceID]],Transactions_RAW_cleaned[[#This Row],[ServiceID]])=1,"Yes","No")</f>
        <v>No</v>
      </c>
      <c r="S258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82" t="str">
        <f>"Q"&amp;ROUNDUP(MONTH(Transactions_RAW_cleaned[[#This Row],[TransactionDate]])/3,0)</f>
        <v>Q3</v>
      </c>
      <c r="U2582" t="str">
        <f>Transactions_RAW_cleaned[[#This Row],[Region ]]&amp;Transactions_RAW_cleaned[[#This Row],[Quarter ]]</f>
        <v>NAQ3</v>
      </c>
      <c r="V2582" s="5">
        <f>_xlfn.XLOOKUP(Transactions_RAW_cleaned[[#This Row],[RegionQuarterKey]], Quarterly_Targets_cleaned[RegionQuarterKey], Quarterly_Targets_cleaned[TargetRevenue])</f>
        <v>273000</v>
      </c>
    </row>
    <row r="2583" spans="1:22" x14ac:dyDescent="0.25">
      <c r="A2583" t="s">
        <v>2922</v>
      </c>
      <c r="B2583" s="1">
        <v>45369</v>
      </c>
      <c r="C2583" t="s">
        <v>66</v>
      </c>
      <c r="D2583" t="s">
        <v>306</v>
      </c>
      <c r="E2583">
        <v>314.5</v>
      </c>
      <c r="F2583" t="s">
        <v>331</v>
      </c>
      <c r="G2583" t="s">
        <v>327</v>
      </c>
      <c r="H2583" t="s">
        <v>332</v>
      </c>
      <c r="I2583" t="s">
        <v>8</v>
      </c>
      <c r="J2583" t="s">
        <v>46</v>
      </c>
      <c r="K2583" t="s">
        <v>10</v>
      </c>
      <c r="L2583" t="s">
        <v>307</v>
      </c>
      <c r="M2583" t="s">
        <v>308</v>
      </c>
      <c r="N2583">
        <v>0</v>
      </c>
      <c r="O2583" t="str">
        <f>IF(Transactions_RAW_cleaned[[#This Row],[Status]]="Completed", IFERROR(_xlfn.XLOOKUP(Transactions_RAW_cleaned[[#This Row],[CustomerID]], Customers_cleaned[CustomerID], Customers_cleaned[Segment]), "Customer Not Found"), "N/A")</f>
        <v>N/A</v>
      </c>
      <c r="P2583" s="5" t="str">
        <f>IF(Transactions_RAW_cleaned[[#This Row],[Status]]="Refunded", "Refund",
  IF(Transactions_RAW_cleaned[[#This Row],[Category]]="Payments", IF(Transactions_RAW_cleaned[[#This Row],[Amount]]&gt;500,"High Value","Standard"),
    IF(Transactions_RAW_cleaned[[#This Row],[Amount]]&gt;250,"High Value","Standard")))</f>
        <v>High Value</v>
      </c>
      <c r="Q2583" s="5" t="str">
        <f>IF(Transactions_RAW_cleaned[[#This Row],[Amount]] &gt; (_xlfn.XLOOKUP(Transactions_RAW_cleaned[[#This Row],[ServiceID]],Services_cleaned[ServiceID],Services_cleaned[TransactionFeePct]) * 10000), "Yes", "No")</f>
        <v>Yes</v>
      </c>
      <c r="R2583" s="5" t="str">
        <f>IF(COUNTIFS($C$2:Transactions_RAW_cleaned[[#This Row],[CustomerID]],Transactions_RAW_cleaned[[#This Row],[CustomerID]],$D$2:Transactions_RAW_cleaned[[#This Row],[ServiceID]],Transactions_RAW_cleaned[[#This Row],[ServiceID]])=1,"Yes","No")</f>
        <v>No</v>
      </c>
      <c r="S258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83" t="str">
        <f>"Q"&amp;ROUNDUP(MONTH(Transactions_RAW_cleaned[[#This Row],[TransactionDate]])/3,0)</f>
        <v>Q1</v>
      </c>
      <c r="U2583" t="str">
        <f>Transactions_RAW_cleaned[[#This Row],[Region ]]&amp;Transactions_RAW_cleaned[[#This Row],[Quarter ]]</f>
        <v>APACQ1</v>
      </c>
      <c r="V2583" s="5">
        <f>_xlfn.XLOOKUP(Transactions_RAW_cleaned[[#This Row],[RegionQuarterKey]], Quarterly_Targets_cleaned[RegionQuarterKey], Quarterly_Targets_cleaned[TargetRevenue])</f>
        <v>104500</v>
      </c>
    </row>
    <row r="2584" spans="1:22" x14ac:dyDescent="0.25">
      <c r="A2584" t="s">
        <v>2923</v>
      </c>
      <c r="B2584" s="1">
        <v>45531</v>
      </c>
      <c r="C2584" t="s">
        <v>47</v>
      </c>
      <c r="D2584" t="s">
        <v>294</v>
      </c>
      <c r="E2584">
        <v>627.83000000000004</v>
      </c>
      <c r="F2584" t="s">
        <v>324</v>
      </c>
      <c r="G2584" t="s">
        <v>2963</v>
      </c>
      <c r="I2584" t="s">
        <v>8</v>
      </c>
      <c r="J2584" t="s">
        <v>21</v>
      </c>
      <c r="K2584" t="s">
        <v>22</v>
      </c>
      <c r="L2584" t="s">
        <v>295</v>
      </c>
      <c r="M2584" t="s">
        <v>296</v>
      </c>
      <c r="N2584">
        <v>2.9000000000000001E-2</v>
      </c>
      <c r="O2584" t="str">
        <f>IF(Transactions_RAW_cleaned[[#This Row],[Status]]="Completed", IFERROR(_xlfn.XLOOKUP(Transactions_RAW_cleaned[[#This Row],[CustomerID]], Customers_cleaned[CustomerID], Customers_cleaned[Segment]), "Customer Not Found"), "N/A")</f>
        <v>SMB</v>
      </c>
      <c r="P2584" s="5" t="str">
        <f>IF(Transactions_RAW_cleaned[[#This Row],[Status]]="Refunded", "Refund",
  IF(Transactions_RAW_cleaned[[#This Row],[Category]]="Payments", IF(Transactions_RAW_cleaned[[#This Row],[Amount]]&gt;500,"High Value","Standard"),
    IF(Transactions_RAW_cleaned[[#This Row],[Amount]]&gt;250,"High Value","Standard")))</f>
        <v>High Value</v>
      </c>
      <c r="Q2584" s="5" t="str">
        <f>IF(Transactions_RAW_cleaned[[#This Row],[Amount]] &gt; (_xlfn.XLOOKUP(Transactions_RAW_cleaned[[#This Row],[ServiceID]],Services_cleaned[ServiceID],Services_cleaned[TransactionFeePct]) * 10000), "Yes", "No")</f>
        <v>Yes</v>
      </c>
      <c r="R2584" s="5" t="str">
        <f>IF(COUNTIFS($C$2:Transactions_RAW_cleaned[[#This Row],[CustomerID]],Transactions_RAW_cleaned[[#This Row],[CustomerID]],$D$2:Transactions_RAW_cleaned[[#This Row],[ServiceID]],Transactions_RAW_cleaned[[#This Row],[ServiceID]])=1,"Yes","No")</f>
        <v>No</v>
      </c>
      <c r="S2584"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84" t="str">
        <f>"Q"&amp;ROUNDUP(MONTH(Transactions_RAW_cleaned[[#This Row],[TransactionDate]])/3,0)</f>
        <v>Q3</v>
      </c>
      <c r="U2584" t="str">
        <f>Transactions_RAW_cleaned[[#This Row],[Region ]]&amp;Transactions_RAW_cleaned[[#This Row],[Quarter ]]</f>
        <v>APACQ3</v>
      </c>
      <c r="V2584" s="5">
        <f>_xlfn.XLOOKUP(Transactions_RAW_cleaned[[#This Row],[RegionQuarterKey]], Quarterly_Targets_cleaned[RegionQuarterKey], Quarterly_Targets_cleaned[TargetRevenue])</f>
        <v>115500</v>
      </c>
    </row>
    <row r="2585" spans="1:22" x14ac:dyDescent="0.25">
      <c r="A2585" t="s">
        <v>2924</v>
      </c>
      <c r="B2585" s="1">
        <v>45562</v>
      </c>
      <c r="C2585" t="s">
        <v>119</v>
      </c>
      <c r="D2585" t="s">
        <v>294</v>
      </c>
      <c r="E2585">
        <v>188.55</v>
      </c>
      <c r="F2585" t="s">
        <v>381</v>
      </c>
      <c r="G2585" t="s">
        <v>325</v>
      </c>
      <c r="H2585" t="s">
        <v>334</v>
      </c>
      <c r="I2585" t="s">
        <v>57</v>
      </c>
      <c r="J2585" t="s">
        <v>102</v>
      </c>
      <c r="K2585" t="s">
        <v>18</v>
      </c>
      <c r="L2585" t="s">
        <v>295</v>
      </c>
      <c r="M2585" t="s">
        <v>296</v>
      </c>
      <c r="N2585">
        <v>2.9000000000000001E-2</v>
      </c>
      <c r="O2585" t="str">
        <f>IF(Transactions_RAW_cleaned[[#This Row],[Status]]="Completed", IFERROR(_xlfn.XLOOKUP(Transactions_RAW_cleaned[[#This Row],[CustomerID]], Customers_cleaned[CustomerID], Customers_cleaned[Segment]), "Customer Not Found"), "N/A")</f>
        <v>N/A</v>
      </c>
      <c r="P2585" s="5" t="str">
        <f>IF(Transactions_RAW_cleaned[[#This Row],[Status]]="Refunded", "Refund",
  IF(Transactions_RAW_cleaned[[#This Row],[Category]]="Payments", IF(Transactions_RAW_cleaned[[#This Row],[Amount]]&gt;500,"High Value","Standard"),
    IF(Transactions_RAW_cleaned[[#This Row],[Amount]]&gt;250,"High Value","Standard")))</f>
        <v>Standard</v>
      </c>
      <c r="Q2585" s="5" t="str">
        <f>IF(Transactions_RAW_cleaned[[#This Row],[Amount]] &gt; (_xlfn.XLOOKUP(Transactions_RAW_cleaned[[#This Row],[ServiceID]],Services_cleaned[ServiceID],Services_cleaned[TransactionFeePct]) * 10000), "Yes", "No")</f>
        <v>No</v>
      </c>
      <c r="R2585" s="5" t="str">
        <f>IF(COUNTIFS($C$2:Transactions_RAW_cleaned[[#This Row],[CustomerID]],Transactions_RAW_cleaned[[#This Row],[CustomerID]],$D$2:Transactions_RAW_cleaned[[#This Row],[ServiceID]],Transactions_RAW_cleaned[[#This Row],[ServiceID]])=1,"Yes","No")</f>
        <v>No</v>
      </c>
      <c r="S258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85" t="str">
        <f>"Q"&amp;ROUNDUP(MONTH(Transactions_RAW_cleaned[[#This Row],[TransactionDate]])/3,0)</f>
        <v>Q3</v>
      </c>
      <c r="U2585" t="str">
        <f>Transactions_RAW_cleaned[[#This Row],[Region ]]&amp;Transactions_RAW_cleaned[[#This Row],[Quarter ]]</f>
        <v>NAQ3</v>
      </c>
      <c r="V2585" s="5">
        <f>_xlfn.XLOOKUP(Transactions_RAW_cleaned[[#This Row],[RegionQuarterKey]], Quarterly_Targets_cleaned[RegionQuarterKey], Quarterly_Targets_cleaned[TargetRevenue])</f>
        <v>273000</v>
      </c>
    </row>
    <row r="2586" spans="1:22" x14ac:dyDescent="0.25">
      <c r="A2586" t="s">
        <v>2925</v>
      </c>
      <c r="B2586" s="1">
        <v>45384</v>
      </c>
      <c r="C2586" t="s">
        <v>273</v>
      </c>
      <c r="D2586" t="s">
        <v>300</v>
      </c>
      <c r="E2586">
        <v>587.24</v>
      </c>
      <c r="F2586" t="s">
        <v>331</v>
      </c>
      <c r="G2586" t="s">
        <v>325</v>
      </c>
      <c r="I2586" t="s">
        <v>17</v>
      </c>
      <c r="J2586" t="s">
        <v>102</v>
      </c>
      <c r="K2586" t="s">
        <v>22</v>
      </c>
      <c r="L2586" t="s">
        <v>301</v>
      </c>
      <c r="M2586" t="s">
        <v>302</v>
      </c>
      <c r="N2586">
        <v>5.0000000000000001E-3</v>
      </c>
      <c r="O2586" t="str">
        <f>IF(Transactions_RAW_cleaned[[#This Row],[Status]]="Completed", IFERROR(_xlfn.XLOOKUP(Transactions_RAW_cleaned[[#This Row],[CustomerID]], Customers_cleaned[CustomerID], Customers_cleaned[Segment]), "Customer Not Found"), "N/A")</f>
        <v>N/A</v>
      </c>
      <c r="P2586" s="5" t="str">
        <f>IF(Transactions_RAW_cleaned[[#This Row],[Status]]="Refunded", "Refund",
  IF(Transactions_RAW_cleaned[[#This Row],[Category]]="Payments", IF(Transactions_RAW_cleaned[[#This Row],[Amount]]&gt;500,"High Value","Standard"),
    IF(Transactions_RAW_cleaned[[#This Row],[Amount]]&gt;250,"High Value","Standard")))</f>
        <v>High Value</v>
      </c>
      <c r="Q2586" s="5" t="str">
        <f>IF(Transactions_RAW_cleaned[[#This Row],[Amount]] &gt; (_xlfn.XLOOKUP(Transactions_RAW_cleaned[[#This Row],[ServiceID]],Services_cleaned[ServiceID],Services_cleaned[TransactionFeePct]) * 10000), "Yes", "No")</f>
        <v>Yes</v>
      </c>
      <c r="R2586" s="5" t="str">
        <f>IF(COUNTIFS($C$2:Transactions_RAW_cleaned[[#This Row],[CustomerID]],Transactions_RAW_cleaned[[#This Row],[CustomerID]],$D$2:Transactions_RAW_cleaned[[#This Row],[ServiceID]],Transactions_RAW_cleaned[[#This Row],[ServiceID]])=1,"Yes","No")</f>
        <v>No</v>
      </c>
      <c r="S258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86" t="str">
        <f>"Q"&amp;ROUNDUP(MONTH(Transactions_RAW_cleaned[[#This Row],[TransactionDate]])/3,0)</f>
        <v>Q2</v>
      </c>
      <c r="U2586" t="str">
        <f>Transactions_RAW_cleaned[[#This Row],[Region ]]&amp;Transactions_RAW_cleaned[[#This Row],[Quarter ]]</f>
        <v>NAQ2</v>
      </c>
      <c r="V2586" s="5">
        <f>_xlfn.XLOOKUP(Transactions_RAW_cleaned[[#This Row],[RegionQuarterKey]], Quarterly_Targets_cleaned[RegionQuarterKey], Quarterly_Targets_cleaned[TargetRevenue])</f>
        <v>260000</v>
      </c>
    </row>
    <row r="2587" spans="1:22" x14ac:dyDescent="0.25">
      <c r="A2587" t="s">
        <v>2926</v>
      </c>
      <c r="B2587" s="1">
        <v>45425</v>
      </c>
      <c r="C2587" t="s">
        <v>245</v>
      </c>
      <c r="D2587" t="s">
        <v>294</v>
      </c>
      <c r="E2587">
        <v>290.36</v>
      </c>
      <c r="F2587" t="s">
        <v>324</v>
      </c>
      <c r="G2587" t="s">
        <v>337</v>
      </c>
      <c r="I2587" t="s">
        <v>8</v>
      </c>
      <c r="J2587" t="s">
        <v>31</v>
      </c>
      <c r="K2587" t="s">
        <v>14</v>
      </c>
      <c r="L2587" t="s">
        <v>295</v>
      </c>
      <c r="M2587" t="s">
        <v>296</v>
      </c>
      <c r="N2587">
        <v>2.9000000000000001E-2</v>
      </c>
      <c r="O2587" t="str">
        <f>IF(Transactions_RAW_cleaned[[#This Row],[Status]]="Completed", IFERROR(_xlfn.XLOOKUP(Transactions_RAW_cleaned[[#This Row],[CustomerID]], Customers_cleaned[CustomerID], Customers_cleaned[Segment]), "Customer Not Found"), "N/A")</f>
        <v>SMB</v>
      </c>
      <c r="P2587" s="5" t="str">
        <f>IF(Transactions_RAW_cleaned[[#This Row],[Status]]="Refunded", "Refund",
  IF(Transactions_RAW_cleaned[[#This Row],[Category]]="Payments", IF(Transactions_RAW_cleaned[[#This Row],[Amount]]&gt;500,"High Value","Standard"),
    IF(Transactions_RAW_cleaned[[#This Row],[Amount]]&gt;250,"High Value","Standard")))</f>
        <v>Standard</v>
      </c>
      <c r="Q2587" s="5" t="str">
        <f>IF(Transactions_RAW_cleaned[[#This Row],[Amount]] &gt; (_xlfn.XLOOKUP(Transactions_RAW_cleaned[[#This Row],[ServiceID]],Services_cleaned[ServiceID],Services_cleaned[TransactionFeePct]) * 10000), "Yes", "No")</f>
        <v>Yes</v>
      </c>
      <c r="R2587" s="5" t="str">
        <f>IF(COUNTIFS($C$2:Transactions_RAW_cleaned[[#This Row],[CustomerID]],Transactions_RAW_cleaned[[#This Row],[CustomerID]],$D$2:Transactions_RAW_cleaned[[#This Row],[ServiceID]],Transactions_RAW_cleaned[[#This Row],[ServiceID]])=1,"Yes","No")</f>
        <v>No</v>
      </c>
      <c r="S258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87" t="str">
        <f>"Q"&amp;ROUNDUP(MONTH(Transactions_RAW_cleaned[[#This Row],[TransactionDate]])/3,0)</f>
        <v>Q2</v>
      </c>
      <c r="U2587" t="str">
        <f>Transactions_RAW_cleaned[[#This Row],[Region ]]&amp;Transactions_RAW_cleaned[[#This Row],[Quarter ]]</f>
        <v>EMEAQ2</v>
      </c>
      <c r="V2587" s="5">
        <f>_xlfn.XLOOKUP(Transactions_RAW_cleaned[[#This Row],[RegionQuarterKey]], Quarterly_Targets_cleaned[RegionQuarterKey], Quarterly_Targets_cleaned[TargetRevenue])</f>
        <v>140000</v>
      </c>
    </row>
    <row r="2588" spans="1:22" x14ac:dyDescent="0.25">
      <c r="A2588" t="s">
        <v>2927</v>
      </c>
      <c r="B2588" s="1">
        <v>45339</v>
      </c>
      <c r="C2588" t="s">
        <v>153</v>
      </c>
      <c r="D2588" t="s">
        <v>294</v>
      </c>
      <c r="E2588">
        <v>-114.14</v>
      </c>
      <c r="F2588" t="s">
        <v>349</v>
      </c>
      <c r="G2588" t="s">
        <v>337</v>
      </c>
      <c r="H2588" t="s">
        <v>334</v>
      </c>
      <c r="I2588" t="s">
        <v>8</v>
      </c>
      <c r="J2588" t="s">
        <v>37</v>
      </c>
      <c r="K2588" t="s">
        <v>32</v>
      </c>
      <c r="L2588" t="s">
        <v>295</v>
      </c>
      <c r="M2588" t="s">
        <v>296</v>
      </c>
      <c r="N2588">
        <v>2.9000000000000001E-2</v>
      </c>
      <c r="O2588" t="str">
        <f>IF(Transactions_RAW_cleaned[[#This Row],[Status]]="Completed", IFERROR(_xlfn.XLOOKUP(Transactions_RAW_cleaned[[#This Row],[CustomerID]], Customers_cleaned[CustomerID], Customers_cleaned[Segment]), "Customer Not Found"), "N/A")</f>
        <v>N/A</v>
      </c>
      <c r="P2588" s="5" t="str">
        <f>IF(Transactions_RAW_cleaned[[#This Row],[Status]]="Refunded", "Refund",
  IF(Transactions_RAW_cleaned[[#This Row],[Category]]="Payments", IF(Transactions_RAW_cleaned[[#This Row],[Amount]]&gt;500,"High Value","Standard"),
    IF(Transactions_RAW_cleaned[[#This Row],[Amount]]&gt;250,"High Value","Standard")))</f>
        <v>Refund</v>
      </c>
      <c r="Q2588" s="5" t="str">
        <f>IF(Transactions_RAW_cleaned[[#This Row],[Amount]] &gt; (_xlfn.XLOOKUP(Transactions_RAW_cleaned[[#This Row],[ServiceID]],Services_cleaned[ServiceID],Services_cleaned[TransactionFeePct]) * 10000), "Yes", "No")</f>
        <v>No</v>
      </c>
      <c r="R2588" s="5" t="str">
        <f>IF(COUNTIFS($C$2:Transactions_RAW_cleaned[[#This Row],[CustomerID]],Transactions_RAW_cleaned[[#This Row],[CustomerID]],$D$2:Transactions_RAW_cleaned[[#This Row],[ServiceID]],Transactions_RAW_cleaned[[#This Row],[ServiceID]])=1,"Yes","No")</f>
        <v>No</v>
      </c>
      <c r="S258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88" t="str">
        <f>"Q"&amp;ROUNDUP(MONTH(Transactions_RAW_cleaned[[#This Row],[TransactionDate]])/3,0)</f>
        <v>Q1</v>
      </c>
      <c r="U2588" t="str">
        <f>Transactions_RAW_cleaned[[#This Row],[Region ]]&amp;Transactions_RAW_cleaned[[#This Row],[Quarter ]]</f>
        <v>EMEAQ1</v>
      </c>
      <c r="V2588" s="5">
        <f>_xlfn.XLOOKUP(Transactions_RAW_cleaned[[#This Row],[RegionQuarterKey]], Quarterly_Targets_cleaned[RegionQuarterKey], Quarterly_Targets_cleaned[TargetRevenue])</f>
        <v>133000</v>
      </c>
    </row>
    <row r="2589" spans="1:22" x14ac:dyDescent="0.25">
      <c r="A2589" t="s">
        <v>2928</v>
      </c>
      <c r="B2589" s="1">
        <v>45487</v>
      </c>
      <c r="C2589" t="s">
        <v>215</v>
      </c>
      <c r="D2589" t="s">
        <v>303</v>
      </c>
      <c r="E2589">
        <v>413.26</v>
      </c>
      <c r="F2589" t="s">
        <v>324</v>
      </c>
      <c r="G2589" t="s">
        <v>325</v>
      </c>
      <c r="H2589" t="s">
        <v>334</v>
      </c>
      <c r="I2589" t="s">
        <v>57</v>
      </c>
      <c r="J2589" t="s">
        <v>102</v>
      </c>
      <c r="K2589" t="s">
        <v>14</v>
      </c>
      <c r="L2589" t="s">
        <v>304</v>
      </c>
      <c r="M2589" t="s">
        <v>305</v>
      </c>
      <c r="N2589">
        <v>1E-3</v>
      </c>
      <c r="O2589" t="str">
        <f>IF(Transactions_RAW_cleaned[[#This Row],[Status]]="Completed", IFERROR(_xlfn.XLOOKUP(Transactions_RAW_cleaned[[#This Row],[CustomerID]], Customers_cleaned[CustomerID], Customers_cleaned[Segment]), "Customer Not Found"), "N/A")</f>
        <v>Startup</v>
      </c>
      <c r="P2589" s="5" t="str">
        <f>IF(Transactions_RAW_cleaned[[#This Row],[Status]]="Refunded", "Refund",
  IF(Transactions_RAW_cleaned[[#This Row],[Category]]="Payments", IF(Transactions_RAW_cleaned[[#This Row],[Amount]]&gt;500,"High Value","Standard"),
    IF(Transactions_RAW_cleaned[[#This Row],[Amount]]&gt;250,"High Value","Standard")))</f>
        <v>High Value</v>
      </c>
      <c r="Q2589" s="5" t="str">
        <f>IF(Transactions_RAW_cleaned[[#This Row],[Amount]] &gt; (_xlfn.XLOOKUP(Transactions_RAW_cleaned[[#This Row],[ServiceID]],Services_cleaned[ServiceID],Services_cleaned[TransactionFeePct]) * 10000), "Yes", "No")</f>
        <v>Yes</v>
      </c>
      <c r="R2589" s="5" t="str">
        <f>IF(COUNTIFS($C$2:Transactions_RAW_cleaned[[#This Row],[CustomerID]],Transactions_RAW_cleaned[[#This Row],[CustomerID]],$D$2:Transactions_RAW_cleaned[[#This Row],[ServiceID]],Transactions_RAW_cleaned[[#This Row],[ServiceID]])=1,"Yes","No")</f>
        <v>No</v>
      </c>
      <c r="S258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89" t="str">
        <f>"Q"&amp;ROUNDUP(MONTH(Transactions_RAW_cleaned[[#This Row],[TransactionDate]])/3,0)</f>
        <v>Q3</v>
      </c>
      <c r="U2589" t="str">
        <f>Transactions_RAW_cleaned[[#This Row],[Region ]]&amp;Transactions_RAW_cleaned[[#This Row],[Quarter ]]</f>
        <v>NAQ3</v>
      </c>
      <c r="V2589" s="5">
        <f>_xlfn.XLOOKUP(Transactions_RAW_cleaned[[#This Row],[RegionQuarterKey]], Quarterly_Targets_cleaned[RegionQuarterKey], Quarterly_Targets_cleaned[TargetRevenue])</f>
        <v>273000</v>
      </c>
    </row>
    <row r="2590" spans="1:22" x14ac:dyDescent="0.25">
      <c r="A2590" t="s">
        <v>2929</v>
      </c>
      <c r="B2590" s="1">
        <v>45299</v>
      </c>
      <c r="C2590" t="s">
        <v>233</v>
      </c>
      <c r="D2590" t="s">
        <v>294</v>
      </c>
      <c r="E2590">
        <v>605.14</v>
      </c>
      <c r="F2590" t="s">
        <v>324</v>
      </c>
      <c r="G2590" t="s">
        <v>329</v>
      </c>
      <c r="I2590" t="s">
        <v>8</v>
      </c>
      <c r="J2590" t="s">
        <v>13</v>
      </c>
      <c r="K2590" t="s">
        <v>14</v>
      </c>
      <c r="L2590" t="s">
        <v>295</v>
      </c>
      <c r="M2590" t="s">
        <v>296</v>
      </c>
      <c r="N2590">
        <v>2.9000000000000001E-2</v>
      </c>
      <c r="O2590" t="str">
        <f>IF(Transactions_RAW_cleaned[[#This Row],[Status]]="Completed", IFERROR(_xlfn.XLOOKUP(Transactions_RAW_cleaned[[#This Row],[CustomerID]], Customers_cleaned[CustomerID], Customers_cleaned[Segment]), "Customer Not Found"), "N/A")</f>
        <v>SMB</v>
      </c>
      <c r="P2590" s="5" t="str">
        <f>IF(Transactions_RAW_cleaned[[#This Row],[Status]]="Refunded", "Refund",
  IF(Transactions_RAW_cleaned[[#This Row],[Category]]="Payments", IF(Transactions_RAW_cleaned[[#This Row],[Amount]]&gt;500,"High Value","Standard"),
    IF(Transactions_RAW_cleaned[[#This Row],[Amount]]&gt;250,"High Value","Standard")))</f>
        <v>High Value</v>
      </c>
      <c r="Q2590" s="5" t="str">
        <f>IF(Transactions_RAW_cleaned[[#This Row],[Amount]] &gt; (_xlfn.XLOOKUP(Transactions_RAW_cleaned[[#This Row],[ServiceID]],Services_cleaned[ServiceID],Services_cleaned[TransactionFeePct]) * 10000), "Yes", "No")</f>
        <v>Yes</v>
      </c>
      <c r="R2590" s="5" t="str">
        <f>IF(COUNTIFS($C$2:Transactions_RAW_cleaned[[#This Row],[CustomerID]],Transactions_RAW_cleaned[[#This Row],[CustomerID]],$D$2:Transactions_RAW_cleaned[[#This Row],[ServiceID]],Transactions_RAW_cleaned[[#This Row],[ServiceID]])=1,"Yes","No")</f>
        <v>No</v>
      </c>
      <c r="S259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90" t="str">
        <f>"Q"&amp;ROUNDUP(MONTH(Transactions_RAW_cleaned[[#This Row],[TransactionDate]])/3,0)</f>
        <v>Q1</v>
      </c>
      <c r="U2590" t="str">
        <f>Transactions_RAW_cleaned[[#This Row],[Region ]]&amp;Transactions_RAW_cleaned[[#This Row],[Quarter ]]</f>
        <v>NAQ1</v>
      </c>
      <c r="V2590" s="5">
        <f>_xlfn.XLOOKUP(Transactions_RAW_cleaned[[#This Row],[RegionQuarterKey]], Quarterly_Targets_cleaned[RegionQuarterKey], Quarterly_Targets_cleaned[TargetRevenue])</f>
        <v>247000</v>
      </c>
    </row>
    <row r="2591" spans="1:22" x14ac:dyDescent="0.25">
      <c r="A2591" t="s">
        <v>2930</v>
      </c>
      <c r="B2591" s="1">
        <v>45568</v>
      </c>
      <c r="C2591" t="s">
        <v>227</v>
      </c>
      <c r="D2591" t="s">
        <v>294</v>
      </c>
      <c r="E2591">
        <v>-220.1</v>
      </c>
      <c r="F2591" t="s">
        <v>349</v>
      </c>
      <c r="G2591" t="s">
        <v>337</v>
      </c>
      <c r="H2591" t="s">
        <v>332</v>
      </c>
      <c r="I2591" t="s">
        <v>57</v>
      </c>
      <c r="J2591" t="s">
        <v>31</v>
      </c>
      <c r="K2591" t="s">
        <v>32</v>
      </c>
      <c r="L2591" t="s">
        <v>295</v>
      </c>
      <c r="M2591" t="s">
        <v>296</v>
      </c>
      <c r="N2591">
        <v>2.9000000000000001E-2</v>
      </c>
      <c r="O2591" t="str">
        <f>IF(Transactions_RAW_cleaned[[#This Row],[Status]]="Completed", IFERROR(_xlfn.XLOOKUP(Transactions_RAW_cleaned[[#This Row],[CustomerID]], Customers_cleaned[CustomerID], Customers_cleaned[Segment]), "Customer Not Found"), "N/A")</f>
        <v>N/A</v>
      </c>
      <c r="P2591" s="5" t="str">
        <f>IF(Transactions_RAW_cleaned[[#This Row],[Status]]="Refunded", "Refund",
  IF(Transactions_RAW_cleaned[[#This Row],[Category]]="Payments", IF(Transactions_RAW_cleaned[[#This Row],[Amount]]&gt;500,"High Value","Standard"),
    IF(Transactions_RAW_cleaned[[#This Row],[Amount]]&gt;250,"High Value","Standard")))</f>
        <v>Refund</v>
      </c>
      <c r="Q2591" s="5" t="str">
        <f>IF(Transactions_RAW_cleaned[[#This Row],[Amount]] &gt; (_xlfn.XLOOKUP(Transactions_RAW_cleaned[[#This Row],[ServiceID]],Services_cleaned[ServiceID],Services_cleaned[TransactionFeePct]) * 10000), "Yes", "No")</f>
        <v>No</v>
      </c>
      <c r="R2591" s="5" t="str">
        <f>IF(COUNTIFS($C$2:Transactions_RAW_cleaned[[#This Row],[CustomerID]],Transactions_RAW_cleaned[[#This Row],[CustomerID]],$D$2:Transactions_RAW_cleaned[[#This Row],[ServiceID]],Transactions_RAW_cleaned[[#This Row],[ServiceID]])=1,"Yes","No")</f>
        <v>No</v>
      </c>
      <c r="S2591"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91" t="str">
        <f>"Q"&amp;ROUNDUP(MONTH(Transactions_RAW_cleaned[[#This Row],[TransactionDate]])/3,0)</f>
        <v>Q4</v>
      </c>
      <c r="U2591" t="str">
        <f>Transactions_RAW_cleaned[[#This Row],[Region ]]&amp;Transactions_RAW_cleaned[[#This Row],[Quarter ]]</f>
        <v>EMEAQ4</v>
      </c>
      <c r="V2591" s="5">
        <f>_xlfn.XLOOKUP(Transactions_RAW_cleaned[[#This Row],[RegionQuarterKey]], Quarterly_Targets_cleaned[RegionQuarterKey], Quarterly_Targets_cleaned[TargetRevenue])</f>
        <v>161000</v>
      </c>
    </row>
    <row r="2592" spans="1:22" x14ac:dyDescent="0.25">
      <c r="A2592" t="s">
        <v>2931</v>
      </c>
      <c r="B2592" s="1">
        <v>45634</v>
      </c>
      <c r="C2592" t="s">
        <v>396</v>
      </c>
      <c r="D2592" t="s">
        <v>294</v>
      </c>
      <c r="E2592">
        <v>236.58</v>
      </c>
      <c r="F2592" t="s">
        <v>324</v>
      </c>
      <c r="G2592" t="s">
        <v>337</v>
      </c>
      <c r="I2592" t="s">
        <v>57</v>
      </c>
      <c r="J2592" t="s">
        <v>21</v>
      </c>
      <c r="K2592" t="s">
        <v>2964</v>
      </c>
      <c r="L2592" t="s">
        <v>295</v>
      </c>
      <c r="M2592" t="s">
        <v>296</v>
      </c>
      <c r="N2592">
        <v>2.9000000000000001E-2</v>
      </c>
      <c r="O2592" t="str">
        <f>IF(Transactions_RAW_cleaned[[#This Row],[Status]]="Completed", IFERROR(_xlfn.XLOOKUP(Transactions_RAW_cleaned[[#This Row],[CustomerID]], Customers_cleaned[CustomerID], Customers_cleaned[Segment]), "Customer Not Found"), "N/A")</f>
        <v>Startup</v>
      </c>
      <c r="P2592" s="5" t="str">
        <f>IF(Transactions_RAW_cleaned[[#This Row],[Status]]="Refunded", "Refund",
  IF(Transactions_RAW_cleaned[[#This Row],[Category]]="Payments", IF(Transactions_RAW_cleaned[[#This Row],[Amount]]&gt;500,"High Value","Standard"),
    IF(Transactions_RAW_cleaned[[#This Row],[Amount]]&gt;250,"High Value","Standard")))</f>
        <v>Standard</v>
      </c>
      <c r="Q2592" s="5" t="str">
        <f>IF(Transactions_RAW_cleaned[[#This Row],[Amount]] &gt; (_xlfn.XLOOKUP(Transactions_RAW_cleaned[[#This Row],[ServiceID]],Services_cleaned[ServiceID],Services_cleaned[TransactionFeePct]) * 10000), "Yes", "No")</f>
        <v>No</v>
      </c>
      <c r="R2592" s="5" t="str">
        <f>IF(COUNTIFS($C$2:Transactions_RAW_cleaned[[#This Row],[CustomerID]],Transactions_RAW_cleaned[[#This Row],[CustomerID]],$D$2:Transactions_RAW_cleaned[[#This Row],[ServiceID]],Transactions_RAW_cleaned[[#This Row],[ServiceID]])=1,"Yes","No")</f>
        <v>No</v>
      </c>
      <c r="S2592"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92" t="str">
        <f>"Q"&amp;ROUNDUP(MONTH(Transactions_RAW_cleaned[[#This Row],[TransactionDate]])/3,0)</f>
        <v>Q4</v>
      </c>
      <c r="U2592" t="str">
        <f>Transactions_RAW_cleaned[[#This Row],[Region ]]&amp;Transactions_RAW_cleaned[[#This Row],[Quarter ]]</f>
        <v>APACQ4</v>
      </c>
      <c r="V2592" s="5">
        <f>_xlfn.XLOOKUP(Transactions_RAW_cleaned[[#This Row],[RegionQuarterKey]], Quarterly_Targets_cleaned[RegionQuarterKey], Quarterly_Targets_cleaned[TargetRevenue])</f>
        <v>126500</v>
      </c>
    </row>
    <row r="2593" spans="1:22" x14ac:dyDescent="0.25">
      <c r="A2593" t="s">
        <v>2932</v>
      </c>
      <c r="B2593" s="1">
        <v>45399</v>
      </c>
      <c r="C2593" t="s">
        <v>173</v>
      </c>
      <c r="D2593" t="s">
        <v>315</v>
      </c>
      <c r="E2593">
        <v>604.84</v>
      </c>
      <c r="F2593" t="s">
        <v>324</v>
      </c>
      <c r="G2593" t="s">
        <v>325</v>
      </c>
      <c r="H2593" t="s">
        <v>346</v>
      </c>
      <c r="I2593" t="s">
        <v>8</v>
      </c>
      <c r="J2593" t="s">
        <v>46</v>
      </c>
      <c r="K2593" t="s">
        <v>32</v>
      </c>
      <c r="L2593" t="s">
        <v>316</v>
      </c>
      <c r="M2593" t="s">
        <v>305</v>
      </c>
      <c r="N2593">
        <v>2.5000000000000001E-3</v>
      </c>
      <c r="O2593" t="str">
        <f>IF(Transactions_RAW_cleaned[[#This Row],[Status]]="Completed", IFERROR(_xlfn.XLOOKUP(Transactions_RAW_cleaned[[#This Row],[CustomerID]], Customers_cleaned[CustomerID], Customers_cleaned[Segment]), "Customer Not Found"), "N/A")</f>
        <v>SMB</v>
      </c>
      <c r="P2593" s="5" t="str">
        <f>IF(Transactions_RAW_cleaned[[#This Row],[Status]]="Refunded", "Refund",
  IF(Transactions_RAW_cleaned[[#This Row],[Category]]="Payments", IF(Transactions_RAW_cleaned[[#This Row],[Amount]]&gt;500,"High Value","Standard"),
    IF(Transactions_RAW_cleaned[[#This Row],[Amount]]&gt;250,"High Value","Standard")))</f>
        <v>High Value</v>
      </c>
      <c r="Q2593" s="5" t="str">
        <f>IF(Transactions_RAW_cleaned[[#This Row],[Amount]] &gt; (_xlfn.XLOOKUP(Transactions_RAW_cleaned[[#This Row],[ServiceID]],Services_cleaned[ServiceID],Services_cleaned[TransactionFeePct]) * 10000), "Yes", "No")</f>
        <v>Yes</v>
      </c>
      <c r="R2593" s="5" t="str">
        <f>IF(COUNTIFS($C$2:Transactions_RAW_cleaned[[#This Row],[CustomerID]],Transactions_RAW_cleaned[[#This Row],[CustomerID]],$D$2:Transactions_RAW_cleaned[[#This Row],[ServiceID]],Transactions_RAW_cleaned[[#This Row],[ServiceID]])=1,"Yes","No")</f>
        <v>Yes</v>
      </c>
      <c r="S2593"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93" t="str">
        <f>"Q"&amp;ROUNDUP(MONTH(Transactions_RAW_cleaned[[#This Row],[TransactionDate]])/3,0)</f>
        <v>Q2</v>
      </c>
      <c r="U2593" t="str">
        <f>Transactions_RAW_cleaned[[#This Row],[Region ]]&amp;Transactions_RAW_cleaned[[#This Row],[Quarter ]]</f>
        <v>APACQ2</v>
      </c>
      <c r="V2593" s="5">
        <f>_xlfn.XLOOKUP(Transactions_RAW_cleaned[[#This Row],[RegionQuarterKey]], Quarterly_Targets_cleaned[RegionQuarterKey], Quarterly_Targets_cleaned[TargetRevenue])</f>
        <v>110000</v>
      </c>
    </row>
    <row r="2594" spans="1:22" x14ac:dyDescent="0.25">
      <c r="A2594" t="s">
        <v>2933</v>
      </c>
      <c r="B2594" s="1">
        <v>45510</v>
      </c>
      <c r="C2594" t="s">
        <v>68</v>
      </c>
      <c r="D2594" t="s">
        <v>294</v>
      </c>
      <c r="E2594">
        <v>236.72</v>
      </c>
      <c r="F2594" t="s">
        <v>324</v>
      </c>
      <c r="G2594" t="s">
        <v>325</v>
      </c>
      <c r="H2594" t="s">
        <v>332</v>
      </c>
      <c r="I2594" t="s">
        <v>57</v>
      </c>
      <c r="J2594" t="s">
        <v>13</v>
      </c>
      <c r="K2594" t="s">
        <v>10</v>
      </c>
      <c r="L2594" t="s">
        <v>295</v>
      </c>
      <c r="M2594" t="s">
        <v>296</v>
      </c>
      <c r="N2594">
        <v>2.9000000000000001E-2</v>
      </c>
      <c r="O2594" t="str">
        <f>IF(Transactions_RAW_cleaned[[#This Row],[Status]]="Completed", IFERROR(_xlfn.XLOOKUP(Transactions_RAW_cleaned[[#This Row],[CustomerID]], Customers_cleaned[CustomerID], Customers_cleaned[Segment]), "Customer Not Found"), "N/A")</f>
        <v>Startup</v>
      </c>
      <c r="P2594" s="5" t="str">
        <f>IF(Transactions_RAW_cleaned[[#This Row],[Status]]="Refunded", "Refund",
  IF(Transactions_RAW_cleaned[[#This Row],[Category]]="Payments", IF(Transactions_RAW_cleaned[[#This Row],[Amount]]&gt;500,"High Value","Standard"),
    IF(Transactions_RAW_cleaned[[#This Row],[Amount]]&gt;250,"High Value","Standard")))</f>
        <v>Standard</v>
      </c>
      <c r="Q2594" s="5" t="str">
        <f>IF(Transactions_RAW_cleaned[[#This Row],[Amount]] &gt; (_xlfn.XLOOKUP(Transactions_RAW_cleaned[[#This Row],[ServiceID]],Services_cleaned[ServiceID],Services_cleaned[TransactionFeePct]) * 10000), "Yes", "No")</f>
        <v>No</v>
      </c>
      <c r="R2594" s="5" t="str">
        <f>IF(COUNTIFS($C$2:Transactions_RAW_cleaned[[#This Row],[CustomerID]],Transactions_RAW_cleaned[[#This Row],[CustomerID]],$D$2:Transactions_RAW_cleaned[[#This Row],[ServiceID]],Transactions_RAW_cleaned[[#This Row],[ServiceID]])=1,"Yes","No")</f>
        <v>No</v>
      </c>
      <c r="S259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94" t="str">
        <f>"Q"&amp;ROUNDUP(MONTH(Transactions_RAW_cleaned[[#This Row],[TransactionDate]])/3,0)</f>
        <v>Q3</v>
      </c>
      <c r="U2594" t="str">
        <f>Transactions_RAW_cleaned[[#This Row],[Region ]]&amp;Transactions_RAW_cleaned[[#This Row],[Quarter ]]</f>
        <v>NAQ3</v>
      </c>
      <c r="V2594" s="5">
        <f>_xlfn.XLOOKUP(Transactions_RAW_cleaned[[#This Row],[RegionQuarterKey]], Quarterly_Targets_cleaned[RegionQuarterKey], Quarterly_Targets_cleaned[TargetRevenue])</f>
        <v>273000</v>
      </c>
    </row>
    <row r="2595" spans="1:22" x14ac:dyDescent="0.25">
      <c r="A2595" t="s">
        <v>2934</v>
      </c>
      <c r="B2595" s="1">
        <v>45330</v>
      </c>
      <c r="C2595" t="s">
        <v>239</v>
      </c>
      <c r="D2595" t="s">
        <v>294</v>
      </c>
      <c r="E2595">
        <v>257.67</v>
      </c>
      <c r="F2595" t="s">
        <v>381</v>
      </c>
      <c r="G2595" t="s">
        <v>337</v>
      </c>
      <c r="H2595" t="s">
        <v>332</v>
      </c>
      <c r="I2595" t="s">
        <v>57</v>
      </c>
      <c r="J2595" t="s">
        <v>102</v>
      </c>
      <c r="K2595" t="s">
        <v>10</v>
      </c>
      <c r="L2595" t="s">
        <v>295</v>
      </c>
      <c r="M2595" t="s">
        <v>296</v>
      </c>
      <c r="N2595">
        <v>2.9000000000000001E-2</v>
      </c>
      <c r="O2595" t="str">
        <f>IF(Transactions_RAW_cleaned[[#This Row],[Status]]="Completed", IFERROR(_xlfn.XLOOKUP(Transactions_RAW_cleaned[[#This Row],[CustomerID]], Customers_cleaned[CustomerID], Customers_cleaned[Segment]), "Customer Not Found"), "N/A")</f>
        <v>N/A</v>
      </c>
      <c r="P2595" s="5" t="str">
        <f>IF(Transactions_RAW_cleaned[[#This Row],[Status]]="Refunded", "Refund",
  IF(Transactions_RAW_cleaned[[#This Row],[Category]]="Payments", IF(Transactions_RAW_cleaned[[#This Row],[Amount]]&gt;500,"High Value","Standard"),
    IF(Transactions_RAW_cleaned[[#This Row],[Amount]]&gt;250,"High Value","Standard")))</f>
        <v>Standard</v>
      </c>
      <c r="Q2595" s="5" t="str">
        <f>IF(Transactions_RAW_cleaned[[#This Row],[Amount]] &gt; (_xlfn.XLOOKUP(Transactions_RAW_cleaned[[#This Row],[ServiceID]],Services_cleaned[ServiceID],Services_cleaned[TransactionFeePct]) * 10000), "Yes", "No")</f>
        <v>No</v>
      </c>
      <c r="R2595" s="5" t="str">
        <f>IF(COUNTIFS($C$2:Transactions_RAW_cleaned[[#This Row],[CustomerID]],Transactions_RAW_cleaned[[#This Row],[CustomerID]],$D$2:Transactions_RAW_cleaned[[#This Row],[ServiceID]],Transactions_RAW_cleaned[[#This Row],[ServiceID]])=1,"Yes","No")</f>
        <v>No</v>
      </c>
      <c r="S259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95" t="str">
        <f>"Q"&amp;ROUNDUP(MONTH(Transactions_RAW_cleaned[[#This Row],[TransactionDate]])/3,0)</f>
        <v>Q1</v>
      </c>
      <c r="U2595" t="str">
        <f>Transactions_RAW_cleaned[[#This Row],[Region ]]&amp;Transactions_RAW_cleaned[[#This Row],[Quarter ]]</f>
        <v>NAQ1</v>
      </c>
      <c r="V2595" s="5">
        <f>_xlfn.XLOOKUP(Transactions_RAW_cleaned[[#This Row],[RegionQuarterKey]], Quarterly_Targets_cleaned[RegionQuarterKey], Quarterly_Targets_cleaned[TargetRevenue])</f>
        <v>247000</v>
      </c>
    </row>
    <row r="2596" spans="1:22" x14ac:dyDescent="0.25">
      <c r="A2596" t="s">
        <v>2935</v>
      </c>
      <c r="B2596" s="1">
        <v>45589</v>
      </c>
      <c r="C2596" t="s">
        <v>183</v>
      </c>
      <c r="D2596" t="s">
        <v>303</v>
      </c>
      <c r="E2596">
        <v>542.35</v>
      </c>
      <c r="F2596" t="s">
        <v>324</v>
      </c>
      <c r="G2596" t="s">
        <v>327</v>
      </c>
      <c r="I2596" t="s">
        <v>8</v>
      </c>
      <c r="J2596" t="s">
        <v>13</v>
      </c>
      <c r="K2596" t="s">
        <v>10</v>
      </c>
      <c r="L2596" t="s">
        <v>304</v>
      </c>
      <c r="M2596" t="s">
        <v>305</v>
      </c>
      <c r="N2596">
        <v>1E-3</v>
      </c>
      <c r="O2596" t="str">
        <f>IF(Transactions_RAW_cleaned[[#This Row],[Status]]="Completed", IFERROR(_xlfn.XLOOKUP(Transactions_RAW_cleaned[[#This Row],[CustomerID]], Customers_cleaned[CustomerID], Customers_cleaned[Segment]), "Customer Not Found"), "N/A")</f>
        <v>SMB</v>
      </c>
      <c r="P2596" s="5" t="str">
        <f>IF(Transactions_RAW_cleaned[[#This Row],[Status]]="Refunded", "Refund",
  IF(Transactions_RAW_cleaned[[#This Row],[Category]]="Payments", IF(Transactions_RAW_cleaned[[#This Row],[Amount]]&gt;500,"High Value","Standard"),
    IF(Transactions_RAW_cleaned[[#This Row],[Amount]]&gt;250,"High Value","Standard")))</f>
        <v>High Value</v>
      </c>
      <c r="Q2596" s="5" t="str">
        <f>IF(Transactions_RAW_cleaned[[#This Row],[Amount]] &gt; (_xlfn.XLOOKUP(Transactions_RAW_cleaned[[#This Row],[ServiceID]],Services_cleaned[ServiceID],Services_cleaned[TransactionFeePct]) * 10000), "Yes", "No")</f>
        <v>Yes</v>
      </c>
      <c r="R2596" s="5" t="str">
        <f>IF(COUNTIFS($C$2:Transactions_RAW_cleaned[[#This Row],[CustomerID]],Transactions_RAW_cleaned[[#This Row],[CustomerID]],$D$2:Transactions_RAW_cleaned[[#This Row],[ServiceID]],Transactions_RAW_cleaned[[#This Row],[ServiceID]])=1,"Yes","No")</f>
        <v>Yes</v>
      </c>
      <c r="S259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96" t="str">
        <f>"Q"&amp;ROUNDUP(MONTH(Transactions_RAW_cleaned[[#This Row],[TransactionDate]])/3,0)</f>
        <v>Q4</v>
      </c>
      <c r="U2596" t="str">
        <f>Transactions_RAW_cleaned[[#This Row],[Region ]]&amp;Transactions_RAW_cleaned[[#This Row],[Quarter ]]</f>
        <v>NAQ4</v>
      </c>
      <c r="V2596" s="5">
        <f>_xlfn.XLOOKUP(Transactions_RAW_cleaned[[#This Row],[RegionQuarterKey]], Quarterly_Targets_cleaned[RegionQuarterKey], Quarterly_Targets_cleaned[TargetRevenue])</f>
        <v>299000</v>
      </c>
    </row>
    <row r="2597" spans="1:22" x14ac:dyDescent="0.25">
      <c r="A2597" t="s">
        <v>2936</v>
      </c>
      <c r="B2597" s="1">
        <v>45319</v>
      </c>
      <c r="C2597" t="s">
        <v>205</v>
      </c>
      <c r="D2597" t="s">
        <v>297</v>
      </c>
      <c r="E2597">
        <v>230.09</v>
      </c>
      <c r="F2597" t="s">
        <v>324</v>
      </c>
      <c r="G2597" t="s">
        <v>337</v>
      </c>
      <c r="I2597" t="s">
        <v>8</v>
      </c>
      <c r="J2597" t="s">
        <v>21</v>
      </c>
      <c r="K2597" t="s">
        <v>14</v>
      </c>
      <c r="L2597" t="s">
        <v>298</v>
      </c>
      <c r="M2597" t="s">
        <v>299</v>
      </c>
      <c r="N2597">
        <v>0</v>
      </c>
      <c r="O2597" t="str">
        <f>IF(Transactions_RAW_cleaned[[#This Row],[Status]]="Completed", IFERROR(_xlfn.XLOOKUP(Transactions_RAW_cleaned[[#This Row],[CustomerID]], Customers_cleaned[CustomerID], Customers_cleaned[Segment]), "Customer Not Found"), "N/A")</f>
        <v>SMB</v>
      </c>
      <c r="P2597" s="5" t="str">
        <f>IF(Transactions_RAW_cleaned[[#This Row],[Status]]="Refunded", "Refund",
  IF(Transactions_RAW_cleaned[[#This Row],[Category]]="Payments", IF(Transactions_RAW_cleaned[[#This Row],[Amount]]&gt;500,"High Value","Standard"),
    IF(Transactions_RAW_cleaned[[#This Row],[Amount]]&gt;250,"High Value","Standard")))</f>
        <v>Standard</v>
      </c>
      <c r="Q2597" s="5" t="str">
        <f>IF(Transactions_RAW_cleaned[[#This Row],[Amount]] &gt; (_xlfn.XLOOKUP(Transactions_RAW_cleaned[[#This Row],[ServiceID]],Services_cleaned[ServiceID],Services_cleaned[TransactionFeePct]) * 10000), "Yes", "No")</f>
        <v>Yes</v>
      </c>
      <c r="R2597" s="5" t="str">
        <f>IF(COUNTIFS($C$2:Transactions_RAW_cleaned[[#This Row],[CustomerID]],Transactions_RAW_cleaned[[#This Row],[CustomerID]],$D$2:Transactions_RAW_cleaned[[#This Row],[ServiceID]],Transactions_RAW_cleaned[[#This Row],[ServiceID]])=1,"Yes","No")</f>
        <v>No</v>
      </c>
      <c r="S2597"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597" t="str">
        <f>"Q"&amp;ROUNDUP(MONTH(Transactions_RAW_cleaned[[#This Row],[TransactionDate]])/3,0)</f>
        <v>Q1</v>
      </c>
      <c r="U2597" t="str">
        <f>Transactions_RAW_cleaned[[#This Row],[Region ]]&amp;Transactions_RAW_cleaned[[#This Row],[Quarter ]]</f>
        <v>APACQ1</v>
      </c>
      <c r="V2597" s="5">
        <f>_xlfn.XLOOKUP(Transactions_RAW_cleaned[[#This Row],[RegionQuarterKey]], Quarterly_Targets_cleaned[RegionQuarterKey], Quarterly_Targets_cleaned[TargetRevenue])</f>
        <v>104500</v>
      </c>
    </row>
    <row r="2598" spans="1:22" x14ac:dyDescent="0.25">
      <c r="A2598" t="s">
        <v>2937</v>
      </c>
      <c r="B2598" s="1">
        <v>45551</v>
      </c>
      <c r="C2598" t="s">
        <v>33</v>
      </c>
      <c r="D2598" t="s">
        <v>294</v>
      </c>
      <c r="E2598">
        <v>1442.07</v>
      </c>
      <c r="F2598" t="s">
        <v>324</v>
      </c>
      <c r="G2598" t="s">
        <v>327</v>
      </c>
      <c r="H2598" t="s">
        <v>332</v>
      </c>
      <c r="I2598" t="s">
        <v>17</v>
      </c>
      <c r="J2598" t="s">
        <v>31</v>
      </c>
      <c r="K2598" t="s">
        <v>14</v>
      </c>
      <c r="L2598" t="s">
        <v>295</v>
      </c>
      <c r="M2598" t="s">
        <v>296</v>
      </c>
      <c r="N2598">
        <v>2.9000000000000001E-2</v>
      </c>
      <c r="O2598" t="str">
        <f>IF(Transactions_RAW_cleaned[[#This Row],[Status]]="Completed", IFERROR(_xlfn.XLOOKUP(Transactions_RAW_cleaned[[#This Row],[CustomerID]], Customers_cleaned[CustomerID], Customers_cleaned[Segment]), "Customer Not Found"), "N/A")</f>
        <v>Enterprise</v>
      </c>
      <c r="P2598" s="5" t="str">
        <f>IF(Transactions_RAW_cleaned[[#This Row],[Status]]="Refunded", "Refund",
  IF(Transactions_RAW_cleaned[[#This Row],[Category]]="Payments", IF(Transactions_RAW_cleaned[[#This Row],[Amount]]&gt;500,"High Value","Standard"),
    IF(Transactions_RAW_cleaned[[#This Row],[Amount]]&gt;250,"High Value","Standard")))</f>
        <v>High Value</v>
      </c>
      <c r="Q2598" s="5" t="str">
        <f>IF(Transactions_RAW_cleaned[[#This Row],[Amount]] &gt; (_xlfn.XLOOKUP(Transactions_RAW_cleaned[[#This Row],[ServiceID]],Services_cleaned[ServiceID],Services_cleaned[TransactionFeePct]) * 10000), "Yes", "No")</f>
        <v>Yes</v>
      </c>
      <c r="R2598" s="5" t="str">
        <f>IF(COUNTIFS($C$2:Transactions_RAW_cleaned[[#This Row],[CustomerID]],Transactions_RAW_cleaned[[#This Row],[CustomerID]],$D$2:Transactions_RAW_cleaned[[#This Row],[ServiceID]],Transactions_RAW_cleaned[[#This Row],[ServiceID]])=1,"Yes","No")</f>
        <v>No</v>
      </c>
      <c r="S2598"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598" t="str">
        <f>"Q"&amp;ROUNDUP(MONTH(Transactions_RAW_cleaned[[#This Row],[TransactionDate]])/3,0)</f>
        <v>Q3</v>
      </c>
      <c r="U2598" t="str">
        <f>Transactions_RAW_cleaned[[#This Row],[Region ]]&amp;Transactions_RAW_cleaned[[#This Row],[Quarter ]]</f>
        <v>EMEAQ3</v>
      </c>
      <c r="V2598" s="5">
        <f>_xlfn.XLOOKUP(Transactions_RAW_cleaned[[#This Row],[RegionQuarterKey]], Quarterly_Targets_cleaned[RegionQuarterKey], Quarterly_Targets_cleaned[TargetRevenue])</f>
        <v>147000</v>
      </c>
    </row>
    <row r="2599" spans="1:22" x14ac:dyDescent="0.25">
      <c r="A2599" t="s">
        <v>2938</v>
      </c>
      <c r="B2599" s="1">
        <v>45605</v>
      </c>
      <c r="C2599" t="s">
        <v>275</v>
      </c>
      <c r="D2599" t="s">
        <v>309</v>
      </c>
      <c r="E2599">
        <v>146.78</v>
      </c>
      <c r="F2599" t="s">
        <v>324</v>
      </c>
      <c r="G2599" t="s">
        <v>325</v>
      </c>
      <c r="H2599" t="s">
        <v>332</v>
      </c>
      <c r="I2599" t="s">
        <v>57</v>
      </c>
      <c r="J2599" t="s">
        <v>13</v>
      </c>
      <c r="K2599" t="s">
        <v>22</v>
      </c>
      <c r="L2599" t="s">
        <v>310</v>
      </c>
      <c r="M2599" t="s">
        <v>311</v>
      </c>
      <c r="N2599">
        <v>0</v>
      </c>
      <c r="O2599" t="str">
        <f>IF(Transactions_RAW_cleaned[[#This Row],[Status]]="Completed", IFERROR(_xlfn.XLOOKUP(Transactions_RAW_cleaned[[#This Row],[CustomerID]], Customers_cleaned[CustomerID], Customers_cleaned[Segment]), "Customer Not Found"), "N/A")</f>
        <v>Startup</v>
      </c>
      <c r="P2599" s="5" t="str">
        <f>IF(Transactions_RAW_cleaned[[#This Row],[Status]]="Refunded", "Refund",
  IF(Transactions_RAW_cleaned[[#This Row],[Category]]="Payments", IF(Transactions_RAW_cleaned[[#This Row],[Amount]]&gt;500,"High Value","Standard"),
    IF(Transactions_RAW_cleaned[[#This Row],[Amount]]&gt;250,"High Value","Standard")))</f>
        <v>Standard</v>
      </c>
      <c r="Q2599" s="5" t="str">
        <f>IF(Transactions_RAW_cleaned[[#This Row],[Amount]] &gt; (_xlfn.XLOOKUP(Transactions_RAW_cleaned[[#This Row],[ServiceID]],Services_cleaned[ServiceID],Services_cleaned[TransactionFeePct]) * 10000), "Yes", "No")</f>
        <v>Yes</v>
      </c>
      <c r="R2599" s="5" t="str">
        <f>IF(COUNTIFS($C$2:Transactions_RAW_cleaned[[#This Row],[CustomerID]],Transactions_RAW_cleaned[[#This Row],[CustomerID]],$D$2:Transactions_RAW_cleaned[[#This Row],[ServiceID]],Transactions_RAW_cleaned[[#This Row],[ServiceID]])=1,"Yes","No")</f>
        <v>No</v>
      </c>
      <c r="S259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599" t="str">
        <f>"Q"&amp;ROUNDUP(MONTH(Transactions_RAW_cleaned[[#This Row],[TransactionDate]])/3,0)</f>
        <v>Q4</v>
      </c>
      <c r="U2599" t="str">
        <f>Transactions_RAW_cleaned[[#This Row],[Region ]]&amp;Transactions_RAW_cleaned[[#This Row],[Quarter ]]</f>
        <v>NAQ4</v>
      </c>
      <c r="V2599" s="5">
        <f>_xlfn.XLOOKUP(Transactions_RAW_cleaned[[#This Row],[RegionQuarterKey]], Quarterly_Targets_cleaned[RegionQuarterKey], Quarterly_Targets_cleaned[TargetRevenue])</f>
        <v>299000</v>
      </c>
    </row>
    <row r="2600" spans="1:22" x14ac:dyDescent="0.25">
      <c r="A2600" t="s">
        <v>2939</v>
      </c>
      <c r="B2600" s="1">
        <v>45378</v>
      </c>
      <c r="C2600" t="s">
        <v>113</v>
      </c>
      <c r="D2600" t="s">
        <v>294</v>
      </c>
      <c r="E2600">
        <v>215.45</v>
      </c>
      <c r="F2600" t="s">
        <v>324</v>
      </c>
      <c r="G2600" t="s">
        <v>327</v>
      </c>
      <c r="I2600" t="s">
        <v>57</v>
      </c>
      <c r="J2600" t="s">
        <v>46</v>
      </c>
      <c r="K2600" t="s">
        <v>10</v>
      </c>
      <c r="L2600" t="s">
        <v>295</v>
      </c>
      <c r="M2600" t="s">
        <v>296</v>
      </c>
      <c r="N2600">
        <v>2.9000000000000001E-2</v>
      </c>
      <c r="O2600" t="str">
        <f>IF(Transactions_RAW_cleaned[[#This Row],[Status]]="Completed", IFERROR(_xlfn.XLOOKUP(Transactions_RAW_cleaned[[#This Row],[CustomerID]], Customers_cleaned[CustomerID], Customers_cleaned[Segment]), "Customer Not Found"), "N/A")</f>
        <v>Startup</v>
      </c>
      <c r="P2600" s="5" t="str">
        <f>IF(Transactions_RAW_cleaned[[#This Row],[Status]]="Refunded", "Refund",
  IF(Transactions_RAW_cleaned[[#This Row],[Category]]="Payments", IF(Transactions_RAW_cleaned[[#This Row],[Amount]]&gt;500,"High Value","Standard"),
    IF(Transactions_RAW_cleaned[[#This Row],[Amount]]&gt;250,"High Value","Standard")))</f>
        <v>Standard</v>
      </c>
      <c r="Q2600" s="5" t="str">
        <f>IF(Transactions_RAW_cleaned[[#This Row],[Amount]] &gt; (_xlfn.XLOOKUP(Transactions_RAW_cleaned[[#This Row],[ServiceID]],Services_cleaned[ServiceID],Services_cleaned[TransactionFeePct]) * 10000), "Yes", "No")</f>
        <v>No</v>
      </c>
      <c r="R2600" s="5" t="str">
        <f>IF(COUNTIFS($C$2:Transactions_RAW_cleaned[[#This Row],[CustomerID]],Transactions_RAW_cleaned[[#This Row],[CustomerID]],$D$2:Transactions_RAW_cleaned[[#This Row],[ServiceID]],Transactions_RAW_cleaned[[#This Row],[ServiceID]])=1,"Yes","No")</f>
        <v>No</v>
      </c>
      <c r="S2600" t="str">
        <f>IF(OR(Transactions_RAW_cleaned[[#This Row],[Country]]="United States",Transactions_RAW_cleaned[[#This Row],[Country]]="USA",Transactions_RAW_cleaned[[#This Row],[Country]]="Canada"), "NA",
  IF(OR(Transactions_RAW_cleaned[[#This Row],[Country]]="United Kingdom",Transactions_RAW_cleaned[[#This Row],[Country]]="Germany"), "EMEA",
    "APAC"))</f>
        <v>APAC</v>
      </c>
      <c r="T2600" t="str">
        <f>"Q"&amp;ROUNDUP(MONTH(Transactions_RAW_cleaned[[#This Row],[TransactionDate]])/3,0)</f>
        <v>Q1</v>
      </c>
      <c r="U2600" t="str">
        <f>Transactions_RAW_cleaned[[#This Row],[Region ]]&amp;Transactions_RAW_cleaned[[#This Row],[Quarter ]]</f>
        <v>APACQ1</v>
      </c>
      <c r="V2600" s="5">
        <f>_xlfn.XLOOKUP(Transactions_RAW_cleaned[[#This Row],[RegionQuarterKey]], Quarterly_Targets_cleaned[RegionQuarterKey], Quarterly_Targets_cleaned[TargetRevenue])</f>
        <v>104500</v>
      </c>
    </row>
    <row r="2601" spans="1:22" x14ac:dyDescent="0.25">
      <c r="A2601" t="s">
        <v>2940</v>
      </c>
      <c r="B2601" s="1">
        <v>45544</v>
      </c>
      <c r="C2601" t="s">
        <v>143</v>
      </c>
      <c r="D2601" t="s">
        <v>300</v>
      </c>
      <c r="E2601">
        <v>552.45000000000005</v>
      </c>
      <c r="F2601" t="s">
        <v>324</v>
      </c>
      <c r="G2601" t="s">
        <v>325</v>
      </c>
      <c r="I2601" t="s">
        <v>8</v>
      </c>
      <c r="J2601" t="s">
        <v>102</v>
      </c>
      <c r="K2601" t="s">
        <v>22</v>
      </c>
      <c r="L2601" t="s">
        <v>301</v>
      </c>
      <c r="M2601" t="s">
        <v>302</v>
      </c>
      <c r="N2601">
        <v>5.0000000000000001E-3</v>
      </c>
      <c r="O2601" t="str">
        <f>IF(Transactions_RAW_cleaned[[#This Row],[Status]]="Completed", IFERROR(_xlfn.XLOOKUP(Transactions_RAW_cleaned[[#This Row],[CustomerID]], Customers_cleaned[CustomerID], Customers_cleaned[Segment]), "Customer Not Found"), "N/A")</f>
        <v>SMB</v>
      </c>
      <c r="P2601" s="5" t="str">
        <f>IF(Transactions_RAW_cleaned[[#This Row],[Status]]="Refunded", "Refund",
  IF(Transactions_RAW_cleaned[[#This Row],[Category]]="Payments", IF(Transactions_RAW_cleaned[[#This Row],[Amount]]&gt;500,"High Value","Standard"),
    IF(Transactions_RAW_cleaned[[#This Row],[Amount]]&gt;250,"High Value","Standard")))</f>
        <v>High Value</v>
      </c>
      <c r="Q2601" s="5" t="str">
        <f>IF(Transactions_RAW_cleaned[[#This Row],[Amount]] &gt; (_xlfn.XLOOKUP(Transactions_RAW_cleaned[[#This Row],[ServiceID]],Services_cleaned[ServiceID],Services_cleaned[TransactionFeePct]) * 10000), "Yes", "No")</f>
        <v>Yes</v>
      </c>
      <c r="R2601" s="5" t="str">
        <f>IF(COUNTIFS($C$2:Transactions_RAW_cleaned[[#This Row],[CustomerID]],Transactions_RAW_cleaned[[#This Row],[CustomerID]],$D$2:Transactions_RAW_cleaned[[#This Row],[ServiceID]],Transactions_RAW_cleaned[[#This Row],[ServiceID]])=1,"Yes","No")</f>
        <v>No</v>
      </c>
      <c r="S260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601" t="str">
        <f>"Q"&amp;ROUNDUP(MONTH(Transactions_RAW_cleaned[[#This Row],[TransactionDate]])/3,0)</f>
        <v>Q3</v>
      </c>
      <c r="U2601" t="str">
        <f>Transactions_RAW_cleaned[[#This Row],[Region ]]&amp;Transactions_RAW_cleaned[[#This Row],[Quarter ]]</f>
        <v>NAQ3</v>
      </c>
      <c r="V2601" s="5">
        <f>_xlfn.XLOOKUP(Transactions_RAW_cleaned[[#This Row],[RegionQuarterKey]], Quarterly_Targets_cleaned[RegionQuarterKey], Quarterly_Targets_cleaned[TargetRevenue])</f>
        <v>273000</v>
      </c>
    </row>
    <row r="2602" spans="1:22" x14ac:dyDescent="0.25">
      <c r="A2602" t="s">
        <v>2941</v>
      </c>
      <c r="B2602" s="1">
        <v>45633</v>
      </c>
      <c r="C2602" t="s">
        <v>121</v>
      </c>
      <c r="D2602" t="s">
        <v>294</v>
      </c>
      <c r="E2602">
        <v>992.1</v>
      </c>
      <c r="F2602" t="s">
        <v>324</v>
      </c>
      <c r="G2602" t="s">
        <v>329</v>
      </c>
      <c r="H2602" t="s">
        <v>334</v>
      </c>
      <c r="I2602" t="s">
        <v>8</v>
      </c>
      <c r="J2602" t="s">
        <v>37</v>
      </c>
      <c r="K2602" t="s">
        <v>14</v>
      </c>
      <c r="L2602" t="s">
        <v>295</v>
      </c>
      <c r="M2602" t="s">
        <v>296</v>
      </c>
      <c r="N2602">
        <v>2.9000000000000001E-2</v>
      </c>
      <c r="O2602" t="str">
        <f>IF(Transactions_RAW_cleaned[[#This Row],[Status]]="Completed", IFERROR(_xlfn.XLOOKUP(Transactions_RAW_cleaned[[#This Row],[CustomerID]], Customers_cleaned[CustomerID], Customers_cleaned[Segment]), "Customer Not Found"), "N/A")</f>
        <v>SMB</v>
      </c>
      <c r="P2602" s="5" t="str">
        <f>IF(Transactions_RAW_cleaned[[#This Row],[Status]]="Refunded", "Refund",
  IF(Transactions_RAW_cleaned[[#This Row],[Category]]="Payments", IF(Transactions_RAW_cleaned[[#This Row],[Amount]]&gt;500,"High Value","Standard"),
    IF(Transactions_RAW_cleaned[[#This Row],[Amount]]&gt;250,"High Value","Standard")))</f>
        <v>High Value</v>
      </c>
      <c r="Q2602" s="5" t="str">
        <f>IF(Transactions_RAW_cleaned[[#This Row],[Amount]] &gt; (_xlfn.XLOOKUP(Transactions_RAW_cleaned[[#This Row],[ServiceID]],Services_cleaned[ServiceID],Services_cleaned[TransactionFeePct]) * 10000), "Yes", "No")</f>
        <v>Yes</v>
      </c>
      <c r="R2602" s="5" t="str">
        <f>IF(COUNTIFS($C$2:Transactions_RAW_cleaned[[#This Row],[CustomerID]],Transactions_RAW_cleaned[[#This Row],[CustomerID]],$D$2:Transactions_RAW_cleaned[[#This Row],[ServiceID]],Transactions_RAW_cleaned[[#This Row],[ServiceID]])=1,"Yes","No")</f>
        <v>No</v>
      </c>
      <c r="S2602"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602" t="str">
        <f>"Q"&amp;ROUNDUP(MONTH(Transactions_RAW_cleaned[[#This Row],[TransactionDate]])/3,0)</f>
        <v>Q4</v>
      </c>
      <c r="U2602" t="str">
        <f>Transactions_RAW_cleaned[[#This Row],[Region ]]&amp;Transactions_RAW_cleaned[[#This Row],[Quarter ]]</f>
        <v>EMEAQ4</v>
      </c>
      <c r="V2602" s="5">
        <f>_xlfn.XLOOKUP(Transactions_RAW_cleaned[[#This Row],[RegionQuarterKey]], Quarterly_Targets_cleaned[RegionQuarterKey], Quarterly_Targets_cleaned[TargetRevenue])</f>
        <v>161000</v>
      </c>
    </row>
    <row r="2603" spans="1:22" x14ac:dyDescent="0.25">
      <c r="A2603" t="s">
        <v>2942</v>
      </c>
      <c r="B2603" s="1">
        <v>45485</v>
      </c>
      <c r="C2603" t="s">
        <v>51</v>
      </c>
      <c r="D2603" t="s">
        <v>306</v>
      </c>
      <c r="E2603">
        <v>300.61</v>
      </c>
      <c r="F2603" t="s">
        <v>331</v>
      </c>
      <c r="G2603" t="s">
        <v>329</v>
      </c>
      <c r="H2603" t="s">
        <v>334</v>
      </c>
      <c r="I2603" t="s">
        <v>8</v>
      </c>
      <c r="J2603" t="s">
        <v>31</v>
      </c>
      <c r="K2603" t="s">
        <v>14</v>
      </c>
      <c r="L2603" t="s">
        <v>307</v>
      </c>
      <c r="M2603" t="s">
        <v>308</v>
      </c>
      <c r="N2603">
        <v>0</v>
      </c>
      <c r="O2603" t="str">
        <f>IF(Transactions_RAW_cleaned[[#This Row],[Status]]="Completed", IFERROR(_xlfn.XLOOKUP(Transactions_RAW_cleaned[[#This Row],[CustomerID]], Customers_cleaned[CustomerID], Customers_cleaned[Segment]), "Customer Not Found"), "N/A")</f>
        <v>N/A</v>
      </c>
      <c r="P2603" s="5" t="str">
        <f>IF(Transactions_RAW_cleaned[[#This Row],[Status]]="Refunded", "Refund",
  IF(Transactions_RAW_cleaned[[#This Row],[Category]]="Payments", IF(Transactions_RAW_cleaned[[#This Row],[Amount]]&gt;500,"High Value","Standard"),
    IF(Transactions_RAW_cleaned[[#This Row],[Amount]]&gt;250,"High Value","Standard")))</f>
        <v>High Value</v>
      </c>
      <c r="Q2603" s="5" t="str">
        <f>IF(Transactions_RAW_cleaned[[#This Row],[Amount]] &gt; (_xlfn.XLOOKUP(Transactions_RAW_cleaned[[#This Row],[ServiceID]],Services_cleaned[ServiceID],Services_cleaned[TransactionFeePct]) * 10000), "Yes", "No")</f>
        <v>Yes</v>
      </c>
      <c r="R2603" s="5" t="str">
        <f>IF(COUNTIFS($C$2:Transactions_RAW_cleaned[[#This Row],[CustomerID]],Transactions_RAW_cleaned[[#This Row],[CustomerID]],$D$2:Transactions_RAW_cleaned[[#This Row],[ServiceID]],Transactions_RAW_cleaned[[#This Row],[ServiceID]])=1,"Yes","No")</f>
        <v>No</v>
      </c>
      <c r="S260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603" t="str">
        <f>"Q"&amp;ROUNDUP(MONTH(Transactions_RAW_cleaned[[#This Row],[TransactionDate]])/3,0)</f>
        <v>Q3</v>
      </c>
      <c r="U2603" t="str">
        <f>Transactions_RAW_cleaned[[#This Row],[Region ]]&amp;Transactions_RAW_cleaned[[#This Row],[Quarter ]]</f>
        <v>EMEAQ3</v>
      </c>
      <c r="V2603" s="5">
        <f>_xlfn.XLOOKUP(Transactions_RAW_cleaned[[#This Row],[RegionQuarterKey]], Quarterly_Targets_cleaned[RegionQuarterKey], Quarterly_Targets_cleaned[TargetRevenue])</f>
        <v>147000</v>
      </c>
    </row>
    <row r="2604" spans="1:22" x14ac:dyDescent="0.25">
      <c r="A2604" t="s">
        <v>2943</v>
      </c>
      <c r="B2604" s="1">
        <v>45308</v>
      </c>
      <c r="C2604" t="s">
        <v>40</v>
      </c>
      <c r="D2604" t="s">
        <v>306</v>
      </c>
      <c r="E2604">
        <v>580.30999999999995</v>
      </c>
      <c r="F2604" t="s">
        <v>324</v>
      </c>
      <c r="G2604" t="s">
        <v>325</v>
      </c>
      <c r="H2604" t="s">
        <v>346</v>
      </c>
      <c r="I2604" t="s">
        <v>17</v>
      </c>
      <c r="J2604" t="s">
        <v>102</v>
      </c>
      <c r="K2604" t="s">
        <v>14</v>
      </c>
      <c r="L2604" t="s">
        <v>307</v>
      </c>
      <c r="M2604" t="s">
        <v>308</v>
      </c>
      <c r="N2604">
        <v>0</v>
      </c>
      <c r="O2604" t="str">
        <f>IF(Transactions_RAW_cleaned[[#This Row],[Status]]="Completed", IFERROR(_xlfn.XLOOKUP(Transactions_RAW_cleaned[[#This Row],[CustomerID]], Customers_cleaned[CustomerID], Customers_cleaned[Segment]), "Customer Not Found"), "N/A")</f>
        <v>Enterprise</v>
      </c>
      <c r="P2604" s="5" t="str">
        <f>IF(Transactions_RAW_cleaned[[#This Row],[Status]]="Refunded", "Refund",
  IF(Transactions_RAW_cleaned[[#This Row],[Category]]="Payments", IF(Transactions_RAW_cleaned[[#This Row],[Amount]]&gt;500,"High Value","Standard"),
    IF(Transactions_RAW_cleaned[[#This Row],[Amount]]&gt;250,"High Value","Standard")))</f>
        <v>High Value</v>
      </c>
      <c r="Q2604" s="5" t="str">
        <f>IF(Transactions_RAW_cleaned[[#This Row],[Amount]] &gt; (_xlfn.XLOOKUP(Transactions_RAW_cleaned[[#This Row],[ServiceID]],Services_cleaned[ServiceID],Services_cleaned[TransactionFeePct]) * 10000), "Yes", "No")</f>
        <v>Yes</v>
      </c>
      <c r="R2604" s="5" t="str">
        <f>IF(COUNTIFS($C$2:Transactions_RAW_cleaned[[#This Row],[CustomerID]],Transactions_RAW_cleaned[[#This Row],[CustomerID]],$D$2:Transactions_RAW_cleaned[[#This Row],[ServiceID]],Transactions_RAW_cleaned[[#This Row],[ServiceID]])=1,"Yes","No")</f>
        <v>Yes</v>
      </c>
      <c r="S2604"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604" t="str">
        <f>"Q"&amp;ROUNDUP(MONTH(Transactions_RAW_cleaned[[#This Row],[TransactionDate]])/3,0)</f>
        <v>Q1</v>
      </c>
      <c r="U2604" t="str">
        <f>Transactions_RAW_cleaned[[#This Row],[Region ]]&amp;Transactions_RAW_cleaned[[#This Row],[Quarter ]]</f>
        <v>NAQ1</v>
      </c>
      <c r="V2604" s="5">
        <f>_xlfn.XLOOKUP(Transactions_RAW_cleaned[[#This Row],[RegionQuarterKey]], Quarterly_Targets_cleaned[RegionQuarterKey], Quarterly_Targets_cleaned[TargetRevenue])</f>
        <v>247000</v>
      </c>
    </row>
    <row r="2605" spans="1:22" x14ac:dyDescent="0.25">
      <c r="A2605" t="s">
        <v>2944</v>
      </c>
      <c r="B2605" s="1">
        <v>45575</v>
      </c>
      <c r="C2605" t="s">
        <v>86</v>
      </c>
      <c r="D2605" t="s">
        <v>294</v>
      </c>
      <c r="E2605">
        <v>541.83000000000004</v>
      </c>
      <c r="F2605" t="s">
        <v>324</v>
      </c>
      <c r="G2605" t="s">
        <v>327</v>
      </c>
      <c r="I2605" t="s">
        <v>8</v>
      </c>
      <c r="J2605" t="s">
        <v>102</v>
      </c>
      <c r="K2605" t="s">
        <v>18</v>
      </c>
      <c r="L2605" t="s">
        <v>295</v>
      </c>
      <c r="M2605" t="s">
        <v>296</v>
      </c>
      <c r="N2605">
        <v>2.9000000000000001E-2</v>
      </c>
      <c r="O2605" t="str">
        <f>IF(Transactions_RAW_cleaned[[#This Row],[Status]]="Completed", IFERROR(_xlfn.XLOOKUP(Transactions_RAW_cleaned[[#This Row],[CustomerID]], Customers_cleaned[CustomerID], Customers_cleaned[Segment]), "Customer Not Found"), "N/A")</f>
        <v>SMB</v>
      </c>
      <c r="P2605" s="5" t="str">
        <f>IF(Transactions_RAW_cleaned[[#This Row],[Status]]="Refunded", "Refund",
  IF(Transactions_RAW_cleaned[[#This Row],[Category]]="Payments", IF(Transactions_RAW_cleaned[[#This Row],[Amount]]&gt;500,"High Value","Standard"),
    IF(Transactions_RAW_cleaned[[#This Row],[Amount]]&gt;250,"High Value","Standard")))</f>
        <v>High Value</v>
      </c>
      <c r="Q2605" s="5" t="str">
        <f>IF(Transactions_RAW_cleaned[[#This Row],[Amount]] &gt; (_xlfn.XLOOKUP(Transactions_RAW_cleaned[[#This Row],[ServiceID]],Services_cleaned[ServiceID],Services_cleaned[TransactionFeePct]) * 10000), "Yes", "No")</f>
        <v>Yes</v>
      </c>
      <c r="R2605" s="5" t="str">
        <f>IF(COUNTIFS($C$2:Transactions_RAW_cleaned[[#This Row],[CustomerID]],Transactions_RAW_cleaned[[#This Row],[CustomerID]],$D$2:Transactions_RAW_cleaned[[#This Row],[ServiceID]],Transactions_RAW_cleaned[[#This Row],[ServiceID]])=1,"Yes","No")</f>
        <v>No</v>
      </c>
      <c r="S2605"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605" t="str">
        <f>"Q"&amp;ROUNDUP(MONTH(Transactions_RAW_cleaned[[#This Row],[TransactionDate]])/3,0)</f>
        <v>Q4</v>
      </c>
      <c r="U2605" t="str">
        <f>Transactions_RAW_cleaned[[#This Row],[Region ]]&amp;Transactions_RAW_cleaned[[#This Row],[Quarter ]]</f>
        <v>NAQ4</v>
      </c>
      <c r="V2605" s="5">
        <f>_xlfn.XLOOKUP(Transactions_RAW_cleaned[[#This Row],[RegionQuarterKey]], Quarterly_Targets_cleaned[RegionQuarterKey], Quarterly_Targets_cleaned[TargetRevenue])</f>
        <v>299000</v>
      </c>
    </row>
    <row r="2606" spans="1:22" x14ac:dyDescent="0.25">
      <c r="A2606" t="s">
        <v>2945</v>
      </c>
      <c r="B2606" s="1">
        <v>45505</v>
      </c>
      <c r="C2606" t="s">
        <v>123</v>
      </c>
      <c r="D2606" t="s">
        <v>294</v>
      </c>
      <c r="E2606">
        <v>83.6</v>
      </c>
      <c r="F2606" t="s">
        <v>324</v>
      </c>
      <c r="G2606" t="s">
        <v>325</v>
      </c>
      <c r="H2606" t="s">
        <v>332</v>
      </c>
      <c r="I2606" t="s">
        <v>8</v>
      </c>
      <c r="J2606" t="s">
        <v>13</v>
      </c>
      <c r="K2606" t="s">
        <v>32</v>
      </c>
      <c r="L2606" t="s">
        <v>295</v>
      </c>
      <c r="M2606" t="s">
        <v>296</v>
      </c>
      <c r="N2606">
        <v>2.9000000000000001E-2</v>
      </c>
      <c r="O2606" t="str">
        <f>IF(Transactions_RAW_cleaned[[#This Row],[Status]]="Completed", IFERROR(_xlfn.XLOOKUP(Transactions_RAW_cleaned[[#This Row],[CustomerID]], Customers_cleaned[CustomerID], Customers_cleaned[Segment]), "Customer Not Found"), "N/A")</f>
        <v>SMB</v>
      </c>
      <c r="P2606" s="5" t="str">
        <f>IF(Transactions_RAW_cleaned[[#This Row],[Status]]="Refunded", "Refund",
  IF(Transactions_RAW_cleaned[[#This Row],[Category]]="Payments", IF(Transactions_RAW_cleaned[[#This Row],[Amount]]&gt;500,"High Value","Standard"),
    IF(Transactions_RAW_cleaned[[#This Row],[Amount]]&gt;250,"High Value","Standard")))</f>
        <v>Standard</v>
      </c>
      <c r="Q2606" s="5" t="str">
        <f>IF(Transactions_RAW_cleaned[[#This Row],[Amount]] &gt; (_xlfn.XLOOKUP(Transactions_RAW_cleaned[[#This Row],[ServiceID]],Services_cleaned[ServiceID],Services_cleaned[TransactionFeePct]) * 10000), "Yes", "No")</f>
        <v>No</v>
      </c>
      <c r="R2606" s="5" t="str">
        <f>IF(COUNTIFS($C$2:Transactions_RAW_cleaned[[#This Row],[CustomerID]],Transactions_RAW_cleaned[[#This Row],[CustomerID]],$D$2:Transactions_RAW_cleaned[[#This Row],[ServiceID]],Transactions_RAW_cleaned[[#This Row],[ServiceID]])=1,"Yes","No")</f>
        <v>No</v>
      </c>
      <c r="S260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606" t="str">
        <f>"Q"&amp;ROUNDUP(MONTH(Transactions_RAW_cleaned[[#This Row],[TransactionDate]])/3,0)</f>
        <v>Q3</v>
      </c>
      <c r="U2606" t="str">
        <f>Transactions_RAW_cleaned[[#This Row],[Region ]]&amp;Transactions_RAW_cleaned[[#This Row],[Quarter ]]</f>
        <v>NAQ3</v>
      </c>
      <c r="V2606" s="5">
        <f>_xlfn.XLOOKUP(Transactions_RAW_cleaned[[#This Row],[RegionQuarterKey]], Quarterly_Targets_cleaned[RegionQuarterKey], Quarterly_Targets_cleaned[TargetRevenue])</f>
        <v>273000</v>
      </c>
    </row>
    <row r="2607" spans="1:22" x14ac:dyDescent="0.25">
      <c r="A2607" t="s">
        <v>2946</v>
      </c>
      <c r="B2607" s="1">
        <v>45624</v>
      </c>
      <c r="C2607" t="s">
        <v>121</v>
      </c>
      <c r="D2607" t="s">
        <v>303</v>
      </c>
      <c r="E2607">
        <v>184.37</v>
      </c>
      <c r="F2607" t="s">
        <v>324</v>
      </c>
      <c r="G2607" t="s">
        <v>337</v>
      </c>
      <c r="I2607" t="s">
        <v>8</v>
      </c>
      <c r="J2607" t="s">
        <v>37</v>
      </c>
      <c r="K2607" t="s">
        <v>14</v>
      </c>
      <c r="L2607" t="s">
        <v>304</v>
      </c>
      <c r="M2607" t="s">
        <v>305</v>
      </c>
      <c r="N2607">
        <v>1E-3</v>
      </c>
      <c r="O2607" t="str">
        <f>IF(Transactions_RAW_cleaned[[#This Row],[Status]]="Completed", IFERROR(_xlfn.XLOOKUP(Transactions_RAW_cleaned[[#This Row],[CustomerID]], Customers_cleaned[CustomerID], Customers_cleaned[Segment]), "Customer Not Found"), "N/A")</f>
        <v>SMB</v>
      </c>
      <c r="P2607" s="5" t="str">
        <f>IF(Transactions_RAW_cleaned[[#This Row],[Status]]="Refunded", "Refund",
  IF(Transactions_RAW_cleaned[[#This Row],[Category]]="Payments", IF(Transactions_RAW_cleaned[[#This Row],[Amount]]&gt;500,"High Value","Standard"),
    IF(Transactions_RAW_cleaned[[#This Row],[Amount]]&gt;250,"High Value","Standard")))</f>
        <v>Standard</v>
      </c>
      <c r="Q2607" s="5" t="str">
        <f>IF(Transactions_RAW_cleaned[[#This Row],[Amount]] &gt; (_xlfn.XLOOKUP(Transactions_RAW_cleaned[[#This Row],[ServiceID]],Services_cleaned[ServiceID],Services_cleaned[TransactionFeePct]) * 10000), "Yes", "No")</f>
        <v>Yes</v>
      </c>
      <c r="R2607" s="5" t="str">
        <f>IF(COUNTIFS($C$2:Transactions_RAW_cleaned[[#This Row],[CustomerID]],Transactions_RAW_cleaned[[#This Row],[CustomerID]],$D$2:Transactions_RAW_cleaned[[#This Row],[ServiceID]],Transactions_RAW_cleaned[[#This Row],[ServiceID]])=1,"Yes","No")</f>
        <v>Yes</v>
      </c>
      <c r="S2607"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607" t="str">
        <f>"Q"&amp;ROUNDUP(MONTH(Transactions_RAW_cleaned[[#This Row],[TransactionDate]])/3,0)</f>
        <v>Q4</v>
      </c>
      <c r="U2607" t="str">
        <f>Transactions_RAW_cleaned[[#This Row],[Region ]]&amp;Transactions_RAW_cleaned[[#This Row],[Quarter ]]</f>
        <v>EMEAQ4</v>
      </c>
      <c r="V2607" s="5">
        <f>_xlfn.XLOOKUP(Transactions_RAW_cleaned[[#This Row],[RegionQuarterKey]], Quarterly_Targets_cleaned[RegionQuarterKey], Quarterly_Targets_cleaned[TargetRevenue])</f>
        <v>161000</v>
      </c>
    </row>
    <row r="2608" spans="1:22" x14ac:dyDescent="0.25">
      <c r="A2608" t="s">
        <v>2947</v>
      </c>
      <c r="B2608" s="1">
        <v>45514</v>
      </c>
      <c r="C2608" t="s">
        <v>127</v>
      </c>
      <c r="D2608" t="s">
        <v>315</v>
      </c>
      <c r="E2608">
        <v>341.57</v>
      </c>
      <c r="F2608" t="s">
        <v>324</v>
      </c>
      <c r="G2608" t="s">
        <v>337</v>
      </c>
      <c r="I2608" t="s">
        <v>8</v>
      </c>
      <c r="J2608" t="s">
        <v>102</v>
      </c>
      <c r="K2608" t="s">
        <v>22</v>
      </c>
      <c r="L2608" t="s">
        <v>316</v>
      </c>
      <c r="M2608" t="s">
        <v>305</v>
      </c>
      <c r="N2608">
        <v>2.5000000000000001E-3</v>
      </c>
      <c r="O2608" t="str">
        <f>IF(Transactions_RAW_cleaned[[#This Row],[Status]]="Completed", IFERROR(_xlfn.XLOOKUP(Transactions_RAW_cleaned[[#This Row],[CustomerID]], Customers_cleaned[CustomerID], Customers_cleaned[Segment]), "Customer Not Found"), "N/A")</f>
        <v>SMB</v>
      </c>
      <c r="P2608" s="5" t="str">
        <f>IF(Transactions_RAW_cleaned[[#This Row],[Status]]="Refunded", "Refund",
  IF(Transactions_RAW_cleaned[[#This Row],[Category]]="Payments", IF(Transactions_RAW_cleaned[[#This Row],[Amount]]&gt;500,"High Value","Standard"),
    IF(Transactions_RAW_cleaned[[#This Row],[Amount]]&gt;250,"High Value","Standard")))</f>
        <v>High Value</v>
      </c>
      <c r="Q2608" s="5" t="str">
        <f>IF(Transactions_RAW_cleaned[[#This Row],[Amount]] &gt; (_xlfn.XLOOKUP(Transactions_RAW_cleaned[[#This Row],[ServiceID]],Services_cleaned[ServiceID],Services_cleaned[TransactionFeePct]) * 10000), "Yes", "No")</f>
        <v>Yes</v>
      </c>
      <c r="R2608" s="5" t="str">
        <f>IF(COUNTIFS($C$2:Transactions_RAW_cleaned[[#This Row],[CustomerID]],Transactions_RAW_cleaned[[#This Row],[CustomerID]],$D$2:Transactions_RAW_cleaned[[#This Row],[ServiceID]],Transactions_RAW_cleaned[[#This Row],[ServiceID]])=1,"Yes","No")</f>
        <v>No</v>
      </c>
      <c r="S2608"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608" t="str">
        <f>"Q"&amp;ROUNDUP(MONTH(Transactions_RAW_cleaned[[#This Row],[TransactionDate]])/3,0)</f>
        <v>Q3</v>
      </c>
      <c r="U2608" t="str">
        <f>Transactions_RAW_cleaned[[#This Row],[Region ]]&amp;Transactions_RAW_cleaned[[#This Row],[Quarter ]]</f>
        <v>NAQ3</v>
      </c>
      <c r="V2608" s="5">
        <f>_xlfn.XLOOKUP(Transactions_RAW_cleaned[[#This Row],[RegionQuarterKey]], Quarterly_Targets_cleaned[RegionQuarterKey], Quarterly_Targets_cleaned[TargetRevenue])</f>
        <v>273000</v>
      </c>
    </row>
    <row r="2609" spans="1:22" x14ac:dyDescent="0.25">
      <c r="A2609" t="s">
        <v>2948</v>
      </c>
      <c r="B2609" s="1">
        <v>45609</v>
      </c>
      <c r="C2609" t="s">
        <v>231</v>
      </c>
      <c r="D2609" t="s">
        <v>312</v>
      </c>
      <c r="E2609">
        <v>452.78</v>
      </c>
      <c r="F2609" t="s">
        <v>324</v>
      </c>
      <c r="G2609" t="s">
        <v>327</v>
      </c>
      <c r="I2609" t="s">
        <v>17</v>
      </c>
      <c r="J2609" t="s">
        <v>102</v>
      </c>
      <c r="K2609" t="s">
        <v>22</v>
      </c>
      <c r="L2609" t="s">
        <v>313</v>
      </c>
      <c r="M2609" t="s">
        <v>314</v>
      </c>
      <c r="N2609">
        <v>0</v>
      </c>
      <c r="O2609" t="str">
        <f>IF(Transactions_RAW_cleaned[[#This Row],[Status]]="Completed", IFERROR(_xlfn.XLOOKUP(Transactions_RAW_cleaned[[#This Row],[CustomerID]], Customers_cleaned[CustomerID], Customers_cleaned[Segment]), "Customer Not Found"), "N/A")</f>
        <v>Enterprise</v>
      </c>
      <c r="P2609" s="5" t="str">
        <f>IF(Transactions_RAW_cleaned[[#This Row],[Status]]="Refunded", "Refund",
  IF(Transactions_RAW_cleaned[[#This Row],[Category]]="Payments", IF(Transactions_RAW_cleaned[[#This Row],[Amount]]&gt;500,"High Value","Standard"),
    IF(Transactions_RAW_cleaned[[#This Row],[Amount]]&gt;250,"High Value","Standard")))</f>
        <v>High Value</v>
      </c>
      <c r="Q2609" s="5" t="str">
        <f>IF(Transactions_RAW_cleaned[[#This Row],[Amount]] &gt; (_xlfn.XLOOKUP(Transactions_RAW_cleaned[[#This Row],[ServiceID]],Services_cleaned[ServiceID],Services_cleaned[TransactionFeePct]) * 10000), "Yes", "No")</f>
        <v>Yes</v>
      </c>
      <c r="R2609" s="5" t="str">
        <f>IF(COUNTIFS($C$2:Transactions_RAW_cleaned[[#This Row],[CustomerID]],Transactions_RAW_cleaned[[#This Row],[CustomerID]],$D$2:Transactions_RAW_cleaned[[#This Row],[ServiceID]],Transactions_RAW_cleaned[[#This Row],[ServiceID]])=1,"Yes","No")</f>
        <v>Yes</v>
      </c>
      <c r="S2609"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609" t="str">
        <f>"Q"&amp;ROUNDUP(MONTH(Transactions_RAW_cleaned[[#This Row],[TransactionDate]])/3,0)</f>
        <v>Q4</v>
      </c>
      <c r="U2609" t="str">
        <f>Transactions_RAW_cleaned[[#This Row],[Region ]]&amp;Transactions_RAW_cleaned[[#This Row],[Quarter ]]</f>
        <v>NAQ4</v>
      </c>
      <c r="V2609" s="5">
        <f>_xlfn.XLOOKUP(Transactions_RAW_cleaned[[#This Row],[RegionQuarterKey]], Quarterly_Targets_cleaned[RegionQuarterKey], Quarterly_Targets_cleaned[TargetRevenue])</f>
        <v>299000</v>
      </c>
    </row>
    <row r="2610" spans="1:22" x14ac:dyDescent="0.25">
      <c r="A2610" t="s">
        <v>2949</v>
      </c>
      <c r="B2610" s="1">
        <v>45328</v>
      </c>
      <c r="C2610" t="s">
        <v>58</v>
      </c>
      <c r="D2610" t="s">
        <v>297</v>
      </c>
      <c r="E2610">
        <v>603.84</v>
      </c>
      <c r="F2610" t="s">
        <v>381</v>
      </c>
      <c r="G2610" t="s">
        <v>327</v>
      </c>
      <c r="H2610" t="s">
        <v>332</v>
      </c>
      <c r="I2610" t="s">
        <v>17</v>
      </c>
      <c r="J2610" t="s">
        <v>102</v>
      </c>
      <c r="K2610" t="s">
        <v>22</v>
      </c>
      <c r="L2610" t="s">
        <v>298</v>
      </c>
      <c r="M2610" t="s">
        <v>299</v>
      </c>
      <c r="N2610">
        <v>0</v>
      </c>
      <c r="O2610" t="str">
        <f>IF(Transactions_RAW_cleaned[[#This Row],[Status]]="Completed", IFERROR(_xlfn.XLOOKUP(Transactions_RAW_cleaned[[#This Row],[CustomerID]], Customers_cleaned[CustomerID], Customers_cleaned[Segment]), "Customer Not Found"), "N/A")</f>
        <v>N/A</v>
      </c>
      <c r="P2610" s="5" t="str">
        <f>IF(Transactions_RAW_cleaned[[#This Row],[Status]]="Refunded", "Refund",
  IF(Transactions_RAW_cleaned[[#This Row],[Category]]="Payments", IF(Transactions_RAW_cleaned[[#This Row],[Amount]]&gt;500,"High Value","Standard"),
    IF(Transactions_RAW_cleaned[[#This Row],[Amount]]&gt;250,"High Value","Standard")))</f>
        <v>High Value</v>
      </c>
      <c r="Q2610" s="5" t="str">
        <f>IF(Transactions_RAW_cleaned[[#This Row],[Amount]] &gt; (_xlfn.XLOOKUP(Transactions_RAW_cleaned[[#This Row],[ServiceID]],Services_cleaned[ServiceID],Services_cleaned[TransactionFeePct]) * 10000), "Yes", "No")</f>
        <v>Yes</v>
      </c>
      <c r="R2610" s="5" t="str">
        <f>IF(COUNTIFS($C$2:Transactions_RAW_cleaned[[#This Row],[CustomerID]],Transactions_RAW_cleaned[[#This Row],[CustomerID]],$D$2:Transactions_RAW_cleaned[[#This Row],[ServiceID]],Transactions_RAW_cleaned[[#This Row],[ServiceID]])=1,"Yes","No")</f>
        <v>Yes</v>
      </c>
      <c r="S2610"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610" t="str">
        <f>"Q"&amp;ROUNDUP(MONTH(Transactions_RAW_cleaned[[#This Row],[TransactionDate]])/3,0)</f>
        <v>Q1</v>
      </c>
      <c r="U2610" t="str">
        <f>Transactions_RAW_cleaned[[#This Row],[Region ]]&amp;Transactions_RAW_cleaned[[#This Row],[Quarter ]]</f>
        <v>NAQ1</v>
      </c>
      <c r="V2610" s="5">
        <f>_xlfn.XLOOKUP(Transactions_RAW_cleaned[[#This Row],[RegionQuarterKey]], Quarterly_Targets_cleaned[RegionQuarterKey], Quarterly_Targets_cleaned[TargetRevenue])</f>
        <v>247000</v>
      </c>
    </row>
    <row r="2611" spans="1:22" x14ac:dyDescent="0.25">
      <c r="A2611" t="s">
        <v>2950</v>
      </c>
      <c r="B2611" s="1">
        <v>45607</v>
      </c>
      <c r="C2611" t="s">
        <v>239</v>
      </c>
      <c r="D2611" t="s">
        <v>294</v>
      </c>
      <c r="E2611">
        <v>334.2</v>
      </c>
      <c r="F2611" t="s">
        <v>324</v>
      </c>
      <c r="G2611" t="s">
        <v>337</v>
      </c>
      <c r="I2611" t="s">
        <v>57</v>
      </c>
      <c r="J2611" t="s">
        <v>102</v>
      </c>
      <c r="K2611" t="s">
        <v>10</v>
      </c>
      <c r="L2611" t="s">
        <v>295</v>
      </c>
      <c r="M2611" t="s">
        <v>296</v>
      </c>
      <c r="N2611">
        <v>2.9000000000000001E-2</v>
      </c>
      <c r="O2611" t="str">
        <f>IF(Transactions_RAW_cleaned[[#This Row],[Status]]="Completed", IFERROR(_xlfn.XLOOKUP(Transactions_RAW_cleaned[[#This Row],[CustomerID]], Customers_cleaned[CustomerID], Customers_cleaned[Segment]), "Customer Not Found"), "N/A")</f>
        <v>Startup</v>
      </c>
      <c r="P2611" s="5" t="str">
        <f>IF(Transactions_RAW_cleaned[[#This Row],[Status]]="Refunded", "Refund",
  IF(Transactions_RAW_cleaned[[#This Row],[Category]]="Payments", IF(Transactions_RAW_cleaned[[#This Row],[Amount]]&gt;500,"High Value","Standard"),
    IF(Transactions_RAW_cleaned[[#This Row],[Amount]]&gt;250,"High Value","Standard")))</f>
        <v>Standard</v>
      </c>
      <c r="Q2611" s="5" t="str">
        <f>IF(Transactions_RAW_cleaned[[#This Row],[Amount]] &gt; (_xlfn.XLOOKUP(Transactions_RAW_cleaned[[#This Row],[ServiceID]],Services_cleaned[ServiceID],Services_cleaned[TransactionFeePct]) * 10000), "Yes", "No")</f>
        <v>Yes</v>
      </c>
      <c r="R2611" s="5" t="str">
        <f>IF(COUNTIFS($C$2:Transactions_RAW_cleaned[[#This Row],[CustomerID]],Transactions_RAW_cleaned[[#This Row],[CustomerID]],$D$2:Transactions_RAW_cleaned[[#This Row],[ServiceID]],Transactions_RAW_cleaned[[#This Row],[ServiceID]])=1,"Yes","No")</f>
        <v>No</v>
      </c>
      <c r="S2611"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611" t="str">
        <f>"Q"&amp;ROUNDUP(MONTH(Transactions_RAW_cleaned[[#This Row],[TransactionDate]])/3,0)</f>
        <v>Q4</v>
      </c>
      <c r="U2611" t="str">
        <f>Transactions_RAW_cleaned[[#This Row],[Region ]]&amp;Transactions_RAW_cleaned[[#This Row],[Quarter ]]</f>
        <v>NAQ4</v>
      </c>
      <c r="V2611" s="5">
        <f>_xlfn.XLOOKUP(Transactions_RAW_cleaned[[#This Row],[RegionQuarterKey]], Quarterly_Targets_cleaned[RegionQuarterKey], Quarterly_Targets_cleaned[TargetRevenue])</f>
        <v>299000</v>
      </c>
    </row>
    <row r="2612" spans="1:22" x14ac:dyDescent="0.25">
      <c r="A2612" t="s">
        <v>2951</v>
      </c>
      <c r="B2612" s="1">
        <v>45447</v>
      </c>
      <c r="C2612" t="s">
        <v>169</v>
      </c>
      <c r="D2612" t="s">
        <v>303</v>
      </c>
      <c r="E2612">
        <v>587.20000000000005</v>
      </c>
      <c r="F2612" t="s">
        <v>324</v>
      </c>
      <c r="G2612" t="s">
        <v>327</v>
      </c>
      <c r="H2612" t="s">
        <v>346</v>
      </c>
      <c r="I2612" t="s">
        <v>8</v>
      </c>
      <c r="J2612" t="s">
        <v>13</v>
      </c>
      <c r="K2612" t="s">
        <v>32</v>
      </c>
      <c r="L2612" t="s">
        <v>304</v>
      </c>
      <c r="M2612" t="s">
        <v>305</v>
      </c>
      <c r="N2612">
        <v>1E-3</v>
      </c>
      <c r="O2612" t="str">
        <f>IF(Transactions_RAW_cleaned[[#This Row],[Status]]="Completed", IFERROR(_xlfn.XLOOKUP(Transactions_RAW_cleaned[[#This Row],[CustomerID]], Customers_cleaned[CustomerID], Customers_cleaned[Segment]), "Customer Not Found"), "N/A")</f>
        <v>SMB</v>
      </c>
      <c r="P2612" s="5" t="str">
        <f>IF(Transactions_RAW_cleaned[[#This Row],[Status]]="Refunded", "Refund",
  IF(Transactions_RAW_cleaned[[#This Row],[Category]]="Payments", IF(Transactions_RAW_cleaned[[#This Row],[Amount]]&gt;500,"High Value","Standard"),
    IF(Transactions_RAW_cleaned[[#This Row],[Amount]]&gt;250,"High Value","Standard")))</f>
        <v>High Value</v>
      </c>
      <c r="Q2612" s="5" t="str">
        <f>IF(Transactions_RAW_cleaned[[#This Row],[Amount]] &gt; (_xlfn.XLOOKUP(Transactions_RAW_cleaned[[#This Row],[ServiceID]],Services_cleaned[ServiceID],Services_cleaned[TransactionFeePct]) * 10000), "Yes", "No")</f>
        <v>Yes</v>
      </c>
      <c r="R2612" s="5" t="str">
        <f>IF(COUNTIFS($C$2:Transactions_RAW_cleaned[[#This Row],[CustomerID]],Transactions_RAW_cleaned[[#This Row],[CustomerID]],$D$2:Transactions_RAW_cleaned[[#This Row],[ServiceID]],Transactions_RAW_cleaned[[#This Row],[ServiceID]])=1,"Yes","No")</f>
        <v>Yes</v>
      </c>
      <c r="S2612"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612" t="str">
        <f>"Q"&amp;ROUNDUP(MONTH(Transactions_RAW_cleaned[[#This Row],[TransactionDate]])/3,0)</f>
        <v>Q2</v>
      </c>
      <c r="U2612" t="str">
        <f>Transactions_RAW_cleaned[[#This Row],[Region ]]&amp;Transactions_RAW_cleaned[[#This Row],[Quarter ]]</f>
        <v>NAQ2</v>
      </c>
      <c r="V2612" s="5">
        <f>_xlfn.XLOOKUP(Transactions_RAW_cleaned[[#This Row],[RegionQuarterKey]], Quarterly_Targets_cleaned[RegionQuarterKey], Quarterly_Targets_cleaned[TargetRevenue])</f>
        <v>260000</v>
      </c>
    </row>
    <row r="2613" spans="1:22" x14ac:dyDescent="0.25">
      <c r="A2613" t="s">
        <v>2952</v>
      </c>
      <c r="B2613" s="1">
        <v>45359</v>
      </c>
      <c r="C2613" t="s">
        <v>33</v>
      </c>
      <c r="D2613" t="s">
        <v>294</v>
      </c>
      <c r="E2613">
        <v>217.33</v>
      </c>
      <c r="F2613" t="s">
        <v>324</v>
      </c>
      <c r="G2613" t="s">
        <v>327</v>
      </c>
      <c r="H2613" t="s">
        <v>332</v>
      </c>
      <c r="I2613" t="s">
        <v>17</v>
      </c>
      <c r="J2613" t="s">
        <v>31</v>
      </c>
      <c r="K2613" t="s">
        <v>14</v>
      </c>
      <c r="L2613" t="s">
        <v>295</v>
      </c>
      <c r="M2613" t="s">
        <v>296</v>
      </c>
      <c r="N2613">
        <v>2.9000000000000001E-2</v>
      </c>
      <c r="O2613" t="str">
        <f>IF(Transactions_RAW_cleaned[[#This Row],[Status]]="Completed", IFERROR(_xlfn.XLOOKUP(Transactions_RAW_cleaned[[#This Row],[CustomerID]], Customers_cleaned[CustomerID], Customers_cleaned[Segment]), "Customer Not Found"), "N/A")</f>
        <v>Enterprise</v>
      </c>
      <c r="P2613" s="5" t="str">
        <f>IF(Transactions_RAW_cleaned[[#This Row],[Status]]="Refunded", "Refund",
  IF(Transactions_RAW_cleaned[[#This Row],[Category]]="Payments", IF(Transactions_RAW_cleaned[[#This Row],[Amount]]&gt;500,"High Value","Standard"),
    IF(Transactions_RAW_cleaned[[#This Row],[Amount]]&gt;250,"High Value","Standard")))</f>
        <v>Standard</v>
      </c>
      <c r="Q2613" s="5" t="str">
        <f>IF(Transactions_RAW_cleaned[[#This Row],[Amount]] &gt; (_xlfn.XLOOKUP(Transactions_RAW_cleaned[[#This Row],[ServiceID]],Services_cleaned[ServiceID],Services_cleaned[TransactionFeePct]) * 10000), "Yes", "No")</f>
        <v>No</v>
      </c>
      <c r="R2613" s="5" t="str">
        <f>IF(COUNTIFS($C$2:Transactions_RAW_cleaned[[#This Row],[CustomerID]],Transactions_RAW_cleaned[[#This Row],[CustomerID]],$D$2:Transactions_RAW_cleaned[[#This Row],[ServiceID]],Transactions_RAW_cleaned[[#This Row],[ServiceID]])=1,"Yes","No")</f>
        <v>No</v>
      </c>
      <c r="S2613"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613" t="str">
        <f>"Q"&amp;ROUNDUP(MONTH(Transactions_RAW_cleaned[[#This Row],[TransactionDate]])/3,0)</f>
        <v>Q1</v>
      </c>
      <c r="U2613" t="str">
        <f>Transactions_RAW_cleaned[[#This Row],[Region ]]&amp;Transactions_RAW_cleaned[[#This Row],[Quarter ]]</f>
        <v>EMEAQ1</v>
      </c>
      <c r="V2613" s="5">
        <f>_xlfn.XLOOKUP(Transactions_RAW_cleaned[[#This Row],[RegionQuarterKey]], Quarterly_Targets_cleaned[RegionQuarterKey], Quarterly_Targets_cleaned[TargetRevenue])</f>
        <v>133000</v>
      </c>
    </row>
    <row r="2614" spans="1:22" x14ac:dyDescent="0.25">
      <c r="A2614" t="s">
        <v>2953</v>
      </c>
      <c r="B2614" s="1">
        <v>45527</v>
      </c>
      <c r="C2614" t="s">
        <v>55</v>
      </c>
      <c r="D2614" t="s">
        <v>294</v>
      </c>
      <c r="E2614">
        <v>222.73</v>
      </c>
      <c r="F2614" t="s">
        <v>324</v>
      </c>
      <c r="G2614" t="s">
        <v>325</v>
      </c>
      <c r="H2614" t="s">
        <v>346</v>
      </c>
      <c r="I2614" t="s">
        <v>57</v>
      </c>
      <c r="J2614" t="s">
        <v>31</v>
      </c>
      <c r="K2614" t="s">
        <v>22</v>
      </c>
      <c r="L2614" t="s">
        <v>295</v>
      </c>
      <c r="M2614" t="s">
        <v>296</v>
      </c>
      <c r="N2614">
        <v>2.9000000000000001E-2</v>
      </c>
      <c r="O2614" t="str">
        <f>IF(Transactions_RAW_cleaned[[#This Row],[Status]]="Completed", IFERROR(_xlfn.XLOOKUP(Transactions_RAW_cleaned[[#This Row],[CustomerID]], Customers_cleaned[CustomerID], Customers_cleaned[Segment]), "Customer Not Found"), "N/A")</f>
        <v>Startup</v>
      </c>
      <c r="P2614" s="5" t="str">
        <f>IF(Transactions_RAW_cleaned[[#This Row],[Status]]="Refunded", "Refund",
  IF(Transactions_RAW_cleaned[[#This Row],[Category]]="Payments", IF(Transactions_RAW_cleaned[[#This Row],[Amount]]&gt;500,"High Value","Standard"),
    IF(Transactions_RAW_cleaned[[#This Row],[Amount]]&gt;250,"High Value","Standard")))</f>
        <v>Standard</v>
      </c>
      <c r="Q2614" s="5" t="str">
        <f>IF(Transactions_RAW_cleaned[[#This Row],[Amount]] &gt; (_xlfn.XLOOKUP(Transactions_RAW_cleaned[[#This Row],[ServiceID]],Services_cleaned[ServiceID],Services_cleaned[TransactionFeePct]) * 10000), "Yes", "No")</f>
        <v>No</v>
      </c>
      <c r="R2614" s="5" t="str">
        <f>IF(COUNTIFS($C$2:Transactions_RAW_cleaned[[#This Row],[CustomerID]],Transactions_RAW_cleaned[[#This Row],[CustomerID]],$D$2:Transactions_RAW_cleaned[[#This Row],[ServiceID]],Transactions_RAW_cleaned[[#This Row],[ServiceID]])=1,"Yes","No")</f>
        <v>No</v>
      </c>
      <c r="S2614"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614" t="str">
        <f>"Q"&amp;ROUNDUP(MONTH(Transactions_RAW_cleaned[[#This Row],[TransactionDate]])/3,0)</f>
        <v>Q3</v>
      </c>
      <c r="U2614" t="str">
        <f>Transactions_RAW_cleaned[[#This Row],[Region ]]&amp;Transactions_RAW_cleaned[[#This Row],[Quarter ]]</f>
        <v>EMEAQ3</v>
      </c>
      <c r="V2614" s="5">
        <f>_xlfn.XLOOKUP(Transactions_RAW_cleaned[[#This Row],[RegionQuarterKey]], Quarterly_Targets_cleaned[RegionQuarterKey], Quarterly_Targets_cleaned[TargetRevenue])</f>
        <v>147000</v>
      </c>
    </row>
    <row r="2615" spans="1:22" x14ac:dyDescent="0.25">
      <c r="A2615" t="s">
        <v>2954</v>
      </c>
      <c r="B2615" s="1">
        <v>45592</v>
      </c>
      <c r="C2615" t="s">
        <v>70</v>
      </c>
      <c r="D2615" t="s">
        <v>300</v>
      </c>
      <c r="E2615">
        <v>674.7</v>
      </c>
      <c r="F2615" t="s">
        <v>324</v>
      </c>
      <c r="G2615" t="s">
        <v>2963</v>
      </c>
      <c r="H2615" t="s">
        <v>346</v>
      </c>
      <c r="I2615" t="s">
        <v>8</v>
      </c>
      <c r="J2615" t="s">
        <v>37</v>
      </c>
      <c r="K2615" t="s">
        <v>28</v>
      </c>
      <c r="L2615" t="s">
        <v>301</v>
      </c>
      <c r="M2615" t="s">
        <v>302</v>
      </c>
      <c r="N2615">
        <v>5.0000000000000001E-3</v>
      </c>
      <c r="O2615" t="str">
        <f>IF(Transactions_RAW_cleaned[[#This Row],[Status]]="Completed", IFERROR(_xlfn.XLOOKUP(Transactions_RAW_cleaned[[#This Row],[CustomerID]], Customers_cleaned[CustomerID], Customers_cleaned[Segment]), "Customer Not Found"), "N/A")</f>
        <v>SMB</v>
      </c>
      <c r="P2615" s="5" t="str">
        <f>IF(Transactions_RAW_cleaned[[#This Row],[Status]]="Refunded", "Refund",
  IF(Transactions_RAW_cleaned[[#This Row],[Category]]="Payments", IF(Transactions_RAW_cleaned[[#This Row],[Amount]]&gt;500,"High Value","Standard"),
    IF(Transactions_RAW_cleaned[[#This Row],[Amount]]&gt;250,"High Value","Standard")))</f>
        <v>High Value</v>
      </c>
      <c r="Q2615" s="5" t="str">
        <f>IF(Transactions_RAW_cleaned[[#This Row],[Amount]] &gt; (_xlfn.XLOOKUP(Transactions_RAW_cleaned[[#This Row],[ServiceID]],Services_cleaned[ServiceID],Services_cleaned[TransactionFeePct]) * 10000), "Yes", "No")</f>
        <v>Yes</v>
      </c>
      <c r="R2615" s="5" t="str">
        <f>IF(COUNTIFS($C$2:Transactions_RAW_cleaned[[#This Row],[CustomerID]],Transactions_RAW_cleaned[[#This Row],[CustomerID]],$D$2:Transactions_RAW_cleaned[[#This Row],[ServiceID]],Transactions_RAW_cleaned[[#This Row],[ServiceID]])=1,"Yes","No")</f>
        <v>No</v>
      </c>
      <c r="S2615" t="str">
        <f>IF(OR(Transactions_RAW_cleaned[[#This Row],[Country]]="United States",Transactions_RAW_cleaned[[#This Row],[Country]]="USA",Transactions_RAW_cleaned[[#This Row],[Country]]="Canada"), "NA",
  IF(OR(Transactions_RAW_cleaned[[#This Row],[Country]]="United Kingdom",Transactions_RAW_cleaned[[#This Row],[Country]]="Germany"), "EMEA",
    "APAC"))</f>
        <v>EMEA</v>
      </c>
      <c r="T2615" t="str">
        <f>"Q"&amp;ROUNDUP(MONTH(Transactions_RAW_cleaned[[#This Row],[TransactionDate]])/3,0)</f>
        <v>Q4</v>
      </c>
      <c r="U2615" t="str">
        <f>Transactions_RAW_cleaned[[#This Row],[Region ]]&amp;Transactions_RAW_cleaned[[#This Row],[Quarter ]]</f>
        <v>EMEAQ4</v>
      </c>
      <c r="V2615" s="5">
        <f>_xlfn.XLOOKUP(Transactions_RAW_cleaned[[#This Row],[RegionQuarterKey]], Quarterly_Targets_cleaned[RegionQuarterKey], Quarterly_Targets_cleaned[TargetRevenue])</f>
        <v>161000</v>
      </c>
    </row>
    <row r="2616" spans="1:22" x14ac:dyDescent="0.25">
      <c r="A2616" t="s">
        <v>2955</v>
      </c>
      <c r="B2616" s="1">
        <v>45578</v>
      </c>
      <c r="C2616" t="s">
        <v>117</v>
      </c>
      <c r="D2616" t="s">
        <v>309</v>
      </c>
      <c r="E2616">
        <v>1002.61</v>
      </c>
      <c r="F2616" t="s">
        <v>324</v>
      </c>
      <c r="G2616" t="s">
        <v>327</v>
      </c>
      <c r="H2616" t="s">
        <v>332</v>
      </c>
      <c r="I2616" t="s">
        <v>8</v>
      </c>
      <c r="J2616" t="s">
        <v>102</v>
      </c>
      <c r="K2616" t="s">
        <v>14</v>
      </c>
      <c r="L2616" t="s">
        <v>310</v>
      </c>
      <c r="M2616" t="s">
        <v>311</v>
      </c>
      <c r="N2616">
        <v>0</v>
      </c>
      <c r="O2616" t="str">
        <f>IF(Transactions_RAW_cleaned[[#This Row],[Status]]="Completed", IFERROR(_xlfn.XLOOKUP(Transactions_RAW_cleaned[[#This Row],[CustomerID]], Customers_cleaned[CustomerID], Customers_cleaned[Segment]), "Customer Not Found"), "N/A")</f>
        <v>SMB</v>
      </c>
      <c r="P2616" s="5" t="str">
        <f>IF(Transactions_RAW_cleaned[[#This Row],[Status]]="Refunded", "Refund",
  IF(Transactions_RAW_cleaned[[#This Row],[Category]]="Payments", IF(Transactions_RAW_cleaned[[#This Row],[Amount]]&gt;500,"High Value","Standard"),
    IF(Transactions_RAW_cleaned[[#This Row],[Amount]]&gt;250,"High Value","Standard")))</f>
        <v>High Value</v>
      </c>
      <c r="Q2616" s="5" t="str">
        <f>IF(Transactions_RAW_cleaned[[#This Row],[Amount]] &gt; (_xlfn.XLOOKUP(Transactions_RAW_cleaned[[#This Row],[ServiceID]],Services_cleaned[ServiceID],Services_cleaned[TransactionFeePct]) * 10000), "Yes", "No")</f>
        <v>Yes</v>
      </c>
      <c r="R2616" s="5" t="str">
        <f>IF(COUNTIFS($C$2:Transactions_RAW_cleaned[[#This Row],[CustomerID]],Transactions_RAW_cleaned[[#This Row],[CustomerID]],$D$2:Transactions_RAW_cleaned[[#This Row],[ServiceID]],Transactions_RAW_cleaned[[#This Row],[ServiceID]])=1,"Yes","No")</f>
        <v>No</v>
      </c>
      <c r="S2616" t="str">
        <f>IF(OR(Transactions_RAW_cleaned[[#This Row],[Country]]="United States",Transactions_RAW_cleaned[[#This Row],[Country]]="USA",Transactions_RAW_cleaned[[#This Row],[Country]]="Canada"), "NA",
  IF(OR(Transactions_RAW_cleaned[[#This Row],[Country]]="United Kingdom",Transactions_RAW_cleaned[[#This Row],[Country]]="Germany"), "EMEA",
    "APAC"))</f>
        <v>NA</v>
      </c>
      <c r="T2616" t="str">
        <f>"Q"&amp;ROUNDUP(MONTH(Transactions_RAW_cleaned[[#This Row],[TransactionDate]])/3,0)</f>
        <v>Q4</v>
      </c>
      <c r="U2616" t="str">
        <f>Transactions_RAW_cleaned[[#This Row],[Region ]]&amp;Transactions_RAW_cleaned[[#This Row],[Quarter ]]</f>
        <v>NAQ4</v>
      </c>
      <c r="V2616" s="5">
        <f>_xlfn.XLOOKUP(Transactions_RAW_cleaned[[#This Row],[RegionQuarterKey]], Quarterly_Targets_cleaned[RegionQuarterKey], Quarterly_Targets_cleaned[TargetRevenue])</f>
        <v>299000</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8EC30-5797-4829-B29A-B9631A75CCC1}">
  <sheetPr codeName="Sheet5"/>
  <dimension ref="A1:E9"/>
  <sheetViews>
    <sheetView workbookViewId="0"/>
  </sheetViews>
  <sheetFormatPr defaultRowHeight="15" x14ac:dyDescent="0.25"/>
  <cols>
    <col min="1" max="1" width="12" bestFit="1" customWidth="1"/>
    <col min="2" max="2" width="23.7109375" bestFit="1" customWidth="1"/>
    <col min="3" max="3" width="11.7109375" bestFit="1" customWidth="1"/>
    <col min="4" max="4" width="18.28515625" bestFit="1" customWidth="1"/>
    <col min="5" max="5" width="20.140625" bestFit="1" customWidth="1"/>
  </cols>
  <sheetData>
    <row r="1" spans="1:5" x14ac:dyDescent="0.25">
      <c r="A1" t="s">
        <v>289</v>
      </c>
      <c r="B1" t="s">
        <v>290</v>
      </c>
      <c r="C1" t="s">
        <v>291</v>
      </c>
      <c r="D1" t="s">
        <v>292</v>
      </c>
      <c r="E1" t="s">
        <v>293</v>
      </c>
    </row>
    <row r="2" spans="1:5" x14ac:dyDescent="0.25">
      <c r="A2" t="s">
        <v>294</v>
      </c>
      <c r="B2" t="s">
        <v>295</v>
      </c>
      <c r="C2" t="s">
        <v>296</v>
      </c>
      <c r="D2">
        <v>0</v>
      </c>
      <c r="E2">
        <v>2.9000000000000001E-2</v>
      </c>
    </row>
    <row r="3" spans="1:5" x14ac:dyDescent="0.25">
      <c r="A3" t="s">
        <v>297</v>
      </c>
      <c r="B3" t="s">
        <v>298</v>
      </c>
      <c r="C3" t="s">
        <v>299</v>
      </c>
      <c r="D3">
        <v>199</v>
      </c>
      <c r="E3">
        <v>0</v>
      </c>
    </row>
    <row r="4" spans="1:5" x14ac:dyDescent="0.25">
      <c r="A4" t="s">
        <v>300</v>
      </c>
      <c r="B4" t="s">
        <v>301</v>
      </c>
      <c r="C4" t="s">
        <v>302</v>
      </c>
      <c r="D4">
        <v>49</v>
      </c>
      <c r="E4">
        <v>5.0000000000000001E-3</v>
      </c>
    </row>
    <row r="5" spans="1:5" x14ac:dyDescent="0.25">
      <c r="A5" t="s">
        <v>303</v>
      </c>
      <c r="B5" t="s">
        <v>304</v>
      </c>
      <c r="C5" t="s">
        <v>305</v>
      </c>
      <c r="D5">
        <v>99</v>
      </c>
      <c r="E5">
        <v>1E-3</v>
      </c>
    </row>
    <row r="6" spans="1:5" x14ac:dyDescent="0.25">
      <c r="A6" t="s">
        <v>306</v>
      </c>
      <c r="B6" t="s">
        <v>307</v>
      </c>
      <c r="C6" t="s">
        <v>308</v>
      </c>
      <c r="D6">
        <v>79</v>
      </c>
      <c r="E6">
        <v>0</v>
      </c>
    </row>
    <row r="7" spans="1:5" x14ac:dyDescent="0.25">
      <c r="A7" t="s">
        <v>309</v>
      </c>
      <c r="B7" t="s">
        <v>310</v>
      </c>
      <c r="C7" t="s">
        <v>311</v>
      </c>
      <c r="D7">
        <v>149</v>
      </c>
      <c r="E7">
        <v>0</v>
      </c>
    </row>
    <row r="8" spans="1:5" x14ac:dyDescent="0.25">
      <c r="A8" t="s">
        <v>312</v>
      </c>
      <c r="B8" t="s">
        <v>313</v>
      </c>
      <c r="C8" t="s">
        <v>314</v>
      </c>
      <c r="D8">
        <v>39</v>
      </c>
      <c r="E8">
        <v>0</v>
      </c>
    </row>
    <row r="9" spans="1:5" x14ac:dyDescent="0.25">
      <c r="A9" t="s">
        <v>315</v>
      </c>
      <c r="B9" t="s">
        <v>316</v>
      </c>
      <c r="C9" t="s">
        <v>305</v>
      </c>
      <c r="D9">
        <v>129</v>
      </c>
      <c r="E9">
        <v>2.5000000000000001E-3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690F3-28E4-48FB-B0BE-F77DB37E1BC2}">
  <sheetPr codeName="Sheet6"/>
  <dimension ref="A1:D13"/>
  <sheetViews>
    <sheetView workbookViewId="0">
      <selection activeCell="D3" sqref="D3"/>
    </sheetView>
  </sheetViews>
  <sheetFormatPr defaultRowHeight="15" x14ac:dyDescent="0.25"/>
  <cols>
    <col min="1" max="1" width="9.5703125" bestFit="1" customWidth="1"/>
    <col min="2" max="2" width="10.140625" bestFit="1" customWidth="1"/>
    <col min="3" max="3" width="17" bestFit="1" customWidth="1"/>
    <col min="4" max="4" width="20" bestFit="1" customWidth="1"/>
  </cols>
  <sheetData>
    <row r="1" spans="1:4" x14ac:dyDescent="0.25">
      <c r="A1" t="s">
        <v>279</v>
      </c>
      <c r="B1" t="s">
        <v>280</v>
      </c>
      <c r="C1" t="s">
        <v>281</v>
      </c>
      <c r="D1" t="s">
        <v>5255</v>
      </c>
    </row>
    <row r="2" spans="1:4" x14ac:dyDescent="0.25">
      <c r="A2" t="s">
        <v>282</v>
      </c>
      <c r="B2" t="s">
        <v>283</v>
      </c>
      <c r="C2">
        <v>247000</v>
      </c>
      <c r="D2" t="str">
        <f>Quarterly_Targets_cleaned[[#This Row],[Region]]&amp;Quarterly_Targets_cleaned[[#This Row],[Quarter]]</f>
        <v>NAQ1</v>
      </c>
    </row>
    <row r="3" spans="1:4" x14ac:dyDescent="0.25">
      <c r="A3" t="s">
        <v>282</v>
      </c>
      <c r="B3" t="s">
        <v>284</v>
      </c>
      <c r="C3">
        <v>260000</v>
      </c>
      <c r="D3" t="str">
        <f>Quarterly_Targets_cleaned[[#This Row],[Region]]&amp;Quarterly_Targets_cleaned[[#This Row],[Quarter]]</f>
        <v>NAQ2</v>
      </c>
    </row>
    <row r="4" spans="1:4" x14ac:dyDescent="0.25">
      <c r="A4" t="s">
        <v>282</v>
      </c>
      <c r="B4" t="s">
        <v>285</v>
      </c>
      <c r="C4">
        <v>273000</v>
      </c>
      <c r="D4" t="str">
        <f>Quarterly_Targets_cleaned[[#This Row],[Region]]&amp;Quarterly_Targets_cleaned[[#This Row],[Quarter]]</f>
        <v>NAQ3</v>
      </c>
    </row>
    <row r="5" spans="1:4" x14ac:dyDescent="0.25">
      <c r="A5" t="s">
        <v>282</v>
      </c>
      <c r="B5" t="s">
        <v>286</v>
      </c>
      <c r="C5">
        <v>299000</v>
      </c>
      <c r="D5" t="str">
        <f>Quarterly_Targets_cleaned[[#This Row],[Region]]&amp;Quarterly_Targets_cleaned[[#This Row],[Quarter]]</f>
        <v>NAQ4</v>
      </c>
    </row>
    <row r="6" spans="1:4" x14ac:dyDescent="0.25">
      <c r="A6" t="s">
        <v>287</v>
      </c>
      <c r="B6" t="s">
        <v>283</v>
      </c>
      <c r="C6">
        <v>133000</v>
      </c>
      <c r="D6" t="str">
        <f>Quarterly_Targets_cleaned[[#This Row],[Region]]&amp;Quarterly_Targets_cleaned[[#This Row],[Quarter]]</f>
        <v>EMEAQ1</v>
      </c>
    </row>
    <row r="7" spans="1:4" x14ac:dyDescent="0.25">
      <c r="A7" t="s">
        <v>287</v>
      </c>
      <c r="B7" t="s">
        <v>284</v>
      </c>
      <c r="C7">
        <v>140000</v>
      </c>
      <c r="D7" t="str">
        <f>Quarterly_Targets_cleaned[[#This Row],[Region]]&amp;Quarterly_Targets_cleaned[[#This Row],[Quarter]]</f>
        <v>EMEAQ2</v>
      </c>
    </row>
    <row r="8" spans="1:4" x14ac:dyDescent="0.25">
      <c r="A8" t="s">
        <v>287</v>
      </c>
      <c r="B8" t="s">
        <v>285</v>
      </c>
      <c r="C8">
        <v>147000</v>
      </c>
      <c r="D8" t="str">
        <f>Quarterly_Targets_cleaned[[#This Row],[Region]]&amp;Quarterly_Targets_cleaned[[#This Row],[Quarter]]</f>
        <v>EMEAQ3</v>
      </c>
    </row>
    <row r="9" spans="1:4" x14ac:dyDescent="0.25">
      <c r="A9" t="s">
        <v>287</v>
      </c>
      <c r="B9" t="s">
        <v>286</v>
      </c>
      <c r="C9">
        <v>161000</v>
      </c>
      <c r="D9" t="str">
        <f>Quarterly_Targets_cleaned[[#This Row],[Region]]&amp;Quarterly_Targets_cleaned[[#This Row],[Quarter]]</f>
        <v>EMEAQ4</v>
      </c>
    </row>
    <row r="10" spans="1:4" x14ac:dyDescent="0.25">
      <c r="A10" t="s">
        <v>288</v>
      </c>
      <c r="B10" t="s">
        <v>283</v>
      </c>
      <c r="C10">
        <v>104500</v>
      </c>
      <c r="D10" t="str">
        <f>Quarterly_Targets_cleaned[[#This Row],[Region]]&amp;Quarterly_Targets_cleaned[[#This Row],[Quarter]]</f>
        <v>APACQ1</v>
      </c>
    </row>
    <row r="11" spans="1:4" x14ac:dyDescent="0.25">
      <c r="A11" t="s">
        <v>288</v>
      </c>
      <c r="B11" t="s">
        <v>284</v>
      </c>
      <c r="C11">
        <v>110000</v>
      </c>
      <c r="D11" t="str">
        <f>Quarterly_Targets_cleaned[[#This Row],[Region]]&amp;Quarterly_Targets_cleaned[[#This Row],[Quarter]]</f>
        <v>APACQ2</v>
      </c>
    </row>
    <row r="12" spans="1:4" x14ac:dyDescent="0.25">
      <c r="A12" t="s">
        <v>288</v>
      </c>
      <c r="B12" t="s">
        <v>285</v>
      </c>
      <c r="C12">
        <v>115500</v>
      </c>
      <c r="D12" t="str">
        <f>Quarterly_Targets_cleaned[[#This Row],[Region]]&amp;Quarterly_Targets_cleaned[[#This Row],[Quarter]]</f>
        <v>APACQ3</v>
      </c>
    </row>
    <row r="13" spans="1:4" x14ac:dyDescent="0.25">
      <c r="A13" t="s">
        <v>288</v>
      </c>
      <c r="B13" t="s">
        <v>286</v>
      </c>
      <c r="C13">
        <v>126500</v>
      </c>
      <c r="D13" t="str">
        <f>Quarterly_Targets_cleaned[[#This Row],[Region]]&amp;Quarterly_Targets_cleaned[[#This Row],[Quarter]]</f>
        <v>APACQ4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1909F-81D2-4DE6-99E5-649902E8BE2D}">
  <sheetPr codeName="Sheet7"/>
  <dimension ref="A1:F131"/>
  <sheetViews>
    <sheetView workbookViewId="0"/>
  </sheetViews>
  <sheetFormatPr defaultRowHeight="15" x14ac:dyDescent="0.25"/>
  <cols>
    <col min="1" max="1" width="14.28515625" bestFit="1" customWidth="1"/>
    <col min="2" max="2" width="17.7109375" bestFit="1" customWidth="1"/>
    <col min="3" max="3" width="11.28515625" bestFit="1" customWidth="1"/>
    <col min="4" max="4" width="15.140625" bestFit="1" customWidth="1"/>
    <col min="5" max="5" width="13.7109375" bestFit="1" customWidth="1"/>
    <col min="6" max="6" width="18.28515625" bestFit="1" customWidth="1"/>
  </cols>
  <sheetData>
    <row r="1" spans="1:6" x14ac:dyDescent="0.25">
      <c r="A1" t="s">
        <v>0</v>
      </c>
      <c r="B1" t="s">
        <v>1</v>
      </c>
      <c r="C1" t="s">
        <v>2</v>
      </c>
      <c r="D1" t="s">
        <v>3</v>
      </c>
      <c r="E1" t="s">
        <v>4</v>
      </c>
      <c r="F1" t="s">
        <v>5</v>
      </c>
    </row>
    <row r="2" spans="1:6" x14ac:dyDescent="0.25">
      <c r="A2" t="s">
        <v>6</v>
      </c>
      <c r="B2" t="s">
        <v>7</v>
      </c>
      <c r="C2" t="s">
        <v>8</v>
      </c>
      <c r="D2" t="s">
        <v>102</v>
      </c>
      <c r="E2" s="1">
        <v>43751</v>
      </c>
      <c r="F2" t="s">
        <v>10</v>
      </c>
    </row>
    <row r="3" spans="1:6" x14ac:dyDescent="0.25">
      <c r="A3" t="s">
        <v>11</v>
      </c>
      <c r="B3" t="s">
        <v>12</v>
      </c>
      <c r="C3" t="s">
        <v>8</v>
      </c>
      <c r="D3" t="s">
        <v>13</v>
      </c>
      <c r="E3" s="1">
        <v>44675</v>
      </c>
      <c r="F3" t="s">
        <v>14</v>
      </c>
    </row>
    <row r="4" spans="1:6" x14ac:dyDescent="0.25">
      <c r="A4" t="s">
        <v>15</v>
      </c>
      <c r="B4" t="s">
        <v>16</v>
      </c>
      <c r="C4" t="s">
        <v>17</v>
      </c>
      <c r="D4" t="s">
        <v>102</v>
      </c>
      <c r="E4" s="1">
        <v>44698</v>
      </c>
      <c r="F4" t="s">
        <v>18</v>
      </c>
    </row>
    <row r="5" spans="1:6" x14ac:dyDescent="0.25">
      <c r="A5" t="s">
        <v>19</v>
      </c>
      <c r="B5" t="s">
        <v>20</v>
      </c>
      <c r="C5" t="s">
        <v>8</v>
      </c>
      <c r="D5" t="s">
        <v>21</v>
      </c>
      <c r="E5" s="1">
        <v>44325</v>
      </c>
      <c r="F5" t="s">
        <v>22</v>
      </c>
    </row>
    <row r="6" spans="1:6" x14ac:dyDescent="0.25">
      <c r="A6" t="s">
        <v>23</v>
      </c>
      <c r="B6" t="s">
        <v>24</v>
      </c>
      <c r="C6" t="s">
        <v>8</v>
      </c>
      <c r="D6" t="s">
        <v>25</v>
      </c>
      <c r="E6" s="1">
        <v>45020</v>
      </c>
      <c r="F6" t="s">
        <v>22</v>
      </c>
    </row>
    <row r="7" spans="1:6" x14ac:dyDescent="0.25">
      <c r="A7" t="s">
        <v>26</v>
      </c>
      <c r="B7" t="s">
        <v>27</v>
      </c>
      <c r="C7" t="s">
        <v>8</v>
      </c>
      <c r="D7" t="s">
        <v>102</v>
      </c>
      <c r="E7" s="1">
        <v>45029</v>
      </c>
      <c r="F7" t="s">
        <v>28</v>
      </c>
    </row>
    <row r="8" spans="1:6" x14ac:dyDescent="0.25">
      <c r="A8" t="s">
        <v>29</v>
      </c>
      <c r="B8" t="s">
        <v>30</v>
      </c>
      <c r="C8" t="s">
        <v>8</v>
      </c>
      <c r="D8" t="s">
        <v>31</v>
      </c>
      <c r="E8" s="1">
        <v>44170</v>
      </c>
      <c r="F8" t="s">
        <v>32</v>
      </c>
    </row>
    <row r="9" spans="1:6" x14ac:dyDescent="0.25">
      <c r="A9" t="s">
        <v>33</v>
      </c>
      <c r="B9" t="s">
        <v>34</v>
      </c>
      <c r="C9" t="s">
        <v>17</v>
      </c>
      <c r="D9" t="s">
        <v>31</v>
      </c>
      <c r="E9" s="1">
        <v>43721</v>
      </c>
      <c r="F9" t="s">
        <v>14</v>
      </c>
    </row>
    <row r="10" spans="1:6" x14ac:dyDescent="0.25">
      <c r="A10" t="s">
        <v>35</v>
      </c>
      <c r="B10" t="s">
        <v>36</v>
      </c>
      <c r="C10" t="s">
        <v>8</v>
      </c>
      <c r="D10" t="s">
        <v>37</v>
      </c>
      <c r="E10" s="1">
        <v>45230</v>
      </c>
      <c r="F10" t="s">
        <v>28</v>
      </c>
    </row>
    <row r="11" spans="1:6" x14ac:dyDescent="0.25">
      <c r="A11" t="s">
        <v>38</v>
      </c>
      <c r="B11" t="s">
        <v>39</v>
      </c>
      <c r="C11" t="s">
        <v>8</v>
      </c>
      <c r="D11" t="s">
        <v>102</v>
      </c>
      <c r="E11" s="1">
        <v>43932</v>
      </c>
      <c r="F11" t="s">
        <v>28</v>
      </c>
    </row>
    <row r="12" spans="1:6" x14ac:dyDescent="0.25">
      <c r="A12" t="s">
        <v>40</v>
      </c>
      <c r="B12" t="s">
        <v>41</v>
      </c>
      <c r="C12" t="s">
        <v>17</v>
      </c>
      <c r="D12" t="s">
        <v>102</v>
      </c>
      <c r="E12" s="1">
        <v>44035</v>
      </c>
      <c r="F12" t="s">
        <v>14</v>
      </c>
    </row>
    <row r="13" spans="1:6" x14ac:dyDescent="0.25">
      <c r="A13" t="s">
        <v>42</v>
      </c>
      <c r="B13" t="s">
        <v>43</v>
      </c>
      <c r="C13" t="s">
        <v>8</v>
      </c>
      <c r="D13" t="s">
        <v>102</v>
      </c>
      <c r="E13" s="1">
        <v>44012</v>
      </c>
      <c r="F13" t="s">
        <v>10</v>
      </c>
    </row>
    <row r="14" spans="1:6" x14ac:dyDescent="0.25">
      <c r="A14" t="s">
        <v>641</v>
      </c>
      <c r="B14" t="s">
        <v>2956</v>
      </c>
      <c r="C14" t="s">
        <v>8</v>
      </c>
      <c r="D14" t="s">
        <v>13</v>
      </c>
      <c r="E14" s="1"/>
      <c r="F14" t="s">
        <v>22</v>
      </c>
    </row>
    <row r="15" spans="1:6" x14ac:dyDescent="0.25">
      <c r="A15" t="s">
        <v>44</v>
      </c>
      <c r="B15" t="s">
        <v>45</v>
      </c>
      <c r="C15" t="s">
        <v>8</v>
      </c>
      <c r="D15" t="s">
        <v>46</v>
      </c>
      <c r="E15" s="1">
        <v>44875</v>
      </c>
      <c r="F15" t="s">
        <v>32</v>
      </c>
    </row>
    <row r="16" spans="1:6" x14ac:dyDescent="0.25">
      <c r="A16" t="s">
        <v>47</v>
      </c>
      <c r="B16" t="s">
        <v>48</v>
      </c>
      <c r="C16" t="s">
        <v>8</v>
      </c>
      <c r="D16" t="s">
        <v>21</v>
      </c>
      <c r="E16" s="1">
        <v>43580</v>
      </c>
      <c r="F16" t="s">
        <v>22</v>
      </c>
    </row>
    <row r="17" spans="1:6" x14ac:dyDescent="0.25">
      <c r="A17" t="s">
        <v>49</v>
      </c>
      <c r="B17" t="s">
        <v>50</v>
      </c>
      <c r="C17" t="s">
        <v>8</v>
      </c>
      <c r="D17" t="s">
        <v>102</v>
      </c>
      <c r="E17" s="1">
        <v>43898</v>
      </c>
      <c r="F17" t="s">
        <v>32</v>
      </c>
    </row>
    <row r="18" spans="1:6" x14ac:dyDescent="0.25">
      <c r="A18" t="s">
        <v>51</v>
      </c>
      <c r="B18" t="s">
        <v>52</v>
      </c>
      <c r="C18" t="s">
        <v>8</v>
      </c>
      <c r="D18" t="s">
        <v>31</v>
      </c>
      <c r="E18" s="1">
        <v>44782</v>
      </c>
      <c r="F18" t="s">
        <v>14</v>
      </c>
    </row>
    <row r="19" spans="1:6" x14ac:dyDescent="0.25">
      <c r="A19" t="s">
        <v>53</v>
      </c>
      <c r="B19" t="s">
        <v>54</v>
      </c>
      <c r="C19" t="s">
        <v>17</v>
      </c>
      <c r="D19" t="s">
        <v>21</v>
      </c>
      <c r="E19" s="1">
        <v>44569</v>
      </c>
      <c r="F19" t="s">
        <v>28</v>
      </c>
    </row>
    <row r="20" spans="1:6" x14ac:dyDescent="0.25">
      <c r="A20" t="s">
        <v>55</v>
      </c>
      <c r="B20" t="s">
        <v>56</v>
      </c>
      <c r="C20" t="s">
        <v>57</v>
      </c>
      <c r="D20" t="s">
        <v>31</v>
      </c>
      <c r="E20" s="1">
        <v>43915</v>
      </c>
      <c r="F20" t="s">
        <v>22</v>
      </c>
    </row>
    <row r="21" spans="1:6" x14ac:dyDescent="0.25">
      <c r="A21" t="s">
        <v>58</v>
      </c>
      <c r="B21" t="s">
        <v>59</v>
      </c>
      <c r="C21" t="s">
        <v>17</v>
      </c>
      <c r="D21" t="s">
        <v>102</v>
      </c>
      <c r="E21" s="1">
        <v>43690</v>
      </c>
      <c r="F21" t="s">
        <v>22</v>
      </c>
    </row>
    <row r="22" spans="1:6" x14ac:dyDescent="0.25">
      <c r="A22" t="s">
        <v>60</v>
      </c>
      <c r="B22" t="s">
        <v>61</v>
      </c>
      <c r="C22" t="s">
        <v>8</v>
      </c>
      <c r="D22" t="s">
        <v>13</v>
      </c>
      <c r="E22" s="1">
        <v>44254</v>
      </c>
      <c r="F22" t="s">
        <v>14</v>
      </c>
    </row>
    <row r="23" spans="1:6" x14ac:dyDescent="0.25">
      <c r="A23" t="s">
        <v>62</v>
      </c>
      <c r="B23" t="s">
        <v>63</v>
      </c>
      <c r="C23" t="s">
        <v>8</v>
      </c>
      <c r="D23" t="s">
        <v>46</v>
      </c>
      <c r="E23" s="1">
        <v>45228</v>
      </c>
      <c r="F23" t="s">
        <v>18</v>
      </c>
    </row>
    <row r="24" spans="1:6" x14ac:dyDescent="0.25">
      <c r="A24" t="s">
        <v>64</v>
      </c>
      <c r="B24" t="s">
        <v>65</v>
      </c>
      <c r="C24" t="s">
        <v>8</v>
      </c>
      <c r="D24" t="s">
        <v>37</v>
      </c>
      <c r="E24" s="1">
        <v>43694</v>
      </c>
      <c r="F24" t="s">
        <v>28</v>
      </c>
    </row>
    <row r="25" spans="1:6" x14ac:dyDescent="0.25">
      <c r="A25" t="s">
        <v>66</v>
      </c>
      <c r="B25" t="s">
        <v>67</v>
      </c>
      <c r="C25" t="s">
        <v>8</v>
      </c>
      <c r="D25" t="s">
        <v>46</v>
      </c>
      <c r="E25" s="1">
        <v>45259</v>
      </c>
      <c r="F25" t="s">
        <v>10</v>
      </c>
    </row>
    <row r="26" spans="1:6" x14ac:dyDescent="0.25">
      <c r="A26" t="s">
        <v>68</v>
      </c>
      <c r="B26" t="s">
        <v>69</v>
      </c>
      <c r="C26" t="s">
        <v>57</v>
      </c>
      <c r="D26" t="s">
        <v>13</v>
      </c>
      <c r="E26" s="1">
        <v>43683</v>
      </c>
      <c r="F26" t="s">
        <v>10</v>
      </c>
    </row>
    <row r="27" spans="1:6" x14ac:dyDescent="0.25">
      <c r="A27" t="s">
        <v>70</v>
      </c>
      <c r="B27" t="s">
        <v>71</v>
      </c>
      <c r="C27" t="s">
        <v>8</v>
      </c>
      <c r="D27" t="s">
        <v>37</v>
      </c>
      <c r="E27" s="1">
        <v>43779</v>
      </c>
      <c r="F27" t="s">
        <v>28</v>
      </c>
    </row>
    <row r="28" spans="1:6" x14ac:dyDescent="0.25">
      <c r="A28" t="s">
        <v>72</v>
      </c>
      <c r="B28" t="s">
        <v>73</v>
      </c>
      <c r="C28" t="s">
        <v>57</v>
      </c>
      <c r="D28" t="s">
        <v>46</v>
      </c>
      <c r="E28" s="1">
        <v>43467</v>
      </c>
      <c r="F28" t="s">
        <v>32</v>
      </c>
    </row>
    <row r="29" spans="1:6" x14ac:dyDescent="0.25">
      <c r="A29" t="s">
        <v>74</v>
      </c>
      <c r="B29" t="s">
        <v>75</v>
      </c>
      <c r="C29" t="s">
        <v>17</v>
      </c>
      <c r="D29" t="s">
        <v>46</v>
      </c>
      <c r="E29" s="1">
        <v>45265</v>
      </c>
      <c r="F29" t="s">
        <v>28</v>
      </c>
    </row>
    <row r="30" spans="1:6" x14ac:dyDescent="0.25">
      <c r="A30" t="s">
        <v>76</v>
      </c>
      <c r="B30" t="s">
        <v>77</v>
      </c>
      <c r="C30" t="s">
        <v>17</v>
      </c>
      <c r="D30" t="s">
        <v>13</v>
      </c>
      <c r="E30" s="1">
        <v>43627</v>
      </c>
      <c r="F30" t="s">
        <v>18</v>
      </c>
    </row>
    <row r="31" spans="1:6" x14ac:dyDescent="0.25">
      <c r="A31" t="s">
        <v>78</v>
      </c>
      <c r="B31" t="s">
        <v>79</v>
      </c>
      <c r="C31" t="s">
        <v>17</v>
      </c>
      <c r="D31" t="s">
        <v>21</v>
      </c>
      <c r="E31" s="1">
        <v>45034</v>
      </c>
      <c r="F31" t="s">
        <v>22</v>
      </c>
    </row>
    <row r="32" spans="1:6" x14ac:dyDescent="0.25">
      <c r="A32" t="s">
        <v>80</v>
      </c>
      <c r="B32" t="s">
        <v>81</v>
      </c>
      <c r="C32" t="s">
        <v>8</v>
      </c>
      <c r="D32" t="s">
        <v>13</v>
      </c>
      <c r="E32" s="1">
        <v>44008</v>
      </c>
      <c r="F32" t="s">
        <v>32</v>
      </c>
    </row>
    <row r="33" spans="1:6" x14ac:dyDescent="0.25">
      <c r="A33" t="s">
        <v>82</v>
      </c>
      <c r="B33" t="s">
        <v>83</v>
      </c>
      <c r="C33" t="s">
        <v>57</v>
      </c>
      <c r="D33" t="s">
        <v>46</v>
      </c>
      <c r="E33" s="1">
        <v>45012</v>
      </c>
      <c r="F33" t="s">
        <v>10</v>
      </c>
    </row>
    <row r="34" spans="1:6" x14ac:dyDescent="0.25">
      <c r="A34" t="s">
        <v>84</v>
      </c>
      <c r="B34" t="s">
        <v>85</v>
      </c>
      <c r="C34" t="s">
        <v>8</v>
      </c>
      <c r="D34" t="s">
        <v>46</v>
      </c>
      <c r="E34" s="1">
        <v>44796</v>
      </c>
      <c r="F34" t="s">
        <v>28</v>
      </c>
    </row>
    <row r="35" spans="1:6" x14ac:dyDescent="0.25">
      <c r="A35" t="s">
        <v>86</v>
      </c>
      <c r="B35" t="s">
        <v>87</v>
      </c>
      <c r="C35" t="s">
        <v>8</v>
      </c>
      <c r="D35" t="s">
        <v>102</v>
      </c>
      <c r="E35" s="1">
        <v>43926</v>
      </c>
      <c r="F35" t="s">
        <v>18</v>
      </c>
    </row>
    <row r="36" spans="1:6" x14ac:dyDescent="0.25">
      <c r="A36" t="s">
        <v>88</v>
      </c>
      <c r="B36" t="s">
        <v>89</v>
      </c>
      <c r="C36" t="s">
        <v>8</v>
      </c>
      <c r="D36" t="s">
        <v>102</v>
      </c>
      <c r="E36" s="1">
        <v>43917</v>
      </c>
      <c r="F36" t="s">
        <v>18</v>
      </c>
    </row>
    <row r="37" spans="1:6" x14ac:dyDescent="0.25">
      <c r="A37" t="s">
        <v>90</v>
      </c>
      <c r="B37" t="s">
        <v>91</v>
      </c>
      <c r="C37" t="s">
        <v>8</v>
      </c>
      <c r="D37" t="s">
        <v>102</v>
      </c>
      <c r="E37" s="1">
        <v>43530</v>
      </c>
      <c r="F37" t="s">
        <v>28</v>
      </c>
    </row>
    <row r="38" spans="1:6" x14ac:dyDescent="0.25">
      <c r="A38" t="s">
        <v>92</v>
      </c>
      <c r="B38" t="s">
        <v>93</v>
      </c>
      <c r="C38" t="s">
        <v>8</v>
      </c>
      <c r="D38" t="s">
        <v>102</v>
      </c>
      <c r="E38" s="1">
        <v>43736</v>
      </c>
      <c r="F38" t="s">
        <v>10</v>
      </c>
    </row>
    <row r="39" spans="1:6" x14ac:dyDescent="0.25">
      <c r="A39" t="s">
        <v>94</v>
      </c>
      <c r="B39" t="s">
        <v>95</v>
      </c>
      <c r="C39" t="s">
        <v>8</v>
      </c>
      <c r="D39" t="s">
        <v>21</v>
      </c>
      <c r="E39" s="1">
        <v>45119</v>
      </c>
      <c r="F39" t="s">
        <v>14</v>
      </c>
    </row>
    <row r="40" spans="1:6" x14ac:dyDescent="0.25">
      <c r="A40" t="s">
        <v>96</v>
      </c>
      <c r="B40" t="s">
        <v>97</v>
      </c>
      <c r="C40" t="s">
        <v>17</v>
      </c>
      <c r="D40" t="s">
        <v>31</v>
      </c>
      <c r="E40" s="1">
        <v>44333</v>
      </c>
      <c r="F40" t="s">
        <v>14</v>
      </c>
    </row>
    <row r="41" spans="1:6" x14ac:dyDescent="0.25">
      <c r="A41" t="s">
        <v>98</v>
      </c>
      <c r="B41" t="s">
        <v>99</v>
      </c>
      <c r="C41" t="s">
        <v>8</v>
      </c>
      <c r="D41" t="s">
        <v>37</v>
      </c>
      <c r="E41" s="1">
        <v>44789</v>
      </c>
      <c r="F41" t="s">
        <v>18</v>
      </c>
    </row>
    <row r="42" spans="1:6" x14ac:dyDescent="0.25">
      <c r="A42" t="s">
        <v>100</v>
      </c>
      <c r="B42" t="s">
        <v>101</v>
      </c>
      <c r="C42" t="s">
        <v>8</v>
      </c>
      <c r="D42" t="s">
        <v>102</v>
      </c>
      <c r="E42" s="1">
        <v>43689</v>
      </c>
      <c r="F42" t="s">
        <v>22</v>
      </c>
    </row>
    <row r="43" spans="1:6" x14ac:dyDescent="0.25">
      <c r="A43" t="s">
        <v>103</v>
      </c>
      <c r="B43" t="s">
        <v>104</v>
      </c>
      <c r="C43" t="s">
        <v>8</v>
      </c>
      <c r="D43" t="s">
        <v>102</v>
      </c>
      <c r="E43" s="1">
        <v>43841</v>
      </c>
      <c r="F43" t="s">
        <v>28</v>
      </c>
    </row>
    <row r="44" spans="1:6" x14ac:dyDescent="0.25">
      <c r="A44" t="s">
        <v>105</v>
      </c>
      <c r="B44" t="s">
        <v>106</v>
      </c>
      <c r="C44" t="s">
        <v>57</v>
      </c>
      <c r="D44" t="s">
        <v>102</v>
      </c>
      <c r="E44" s="1">
        <v>45120</v>
      </c>
      <c r="F44" t="s">
        <v>32</v>
      </c>
    </row>
    <row r="45" spans="1:6" x14ac:dyDescent="0.25">
      <c r="A45" t="s">
        <v>107</v>
      </c>
      <c r="B45" t="s">
        <v>108</v>
      </c>
      <c r="C45" t="s">
        <v>17</v>
      </c>
      <c r="D45" t="s">
        <v>102</v>
      </c>
      <c r="E45" s="1">
        <v>45009</v>
      </c>
      <c r="F45" t="s">
        <v>22</v>
      </c>
    </row>
    <row r="46" spans="1:6" x14ac:dyDescent="0.25">
      <c r="A46" t="s">
        <v>109</v>
      </c>
      <c r="B46" t="s">
        <v>110</v>
      </c>
      <c r="C46" t="s">
        <v>8</v>
      </c>
      <c r="D46" t="s">
        <v>102</v>
      </c>
      <c r="E46" s="1">
        <v>44287</v>
      </c>
      <c r="F46" t="s">
        <v>18</v>
      </c>
    </row>
    <row r="47" spans="1:6" x14ac:dyDescent="0.25">
      <c r="A47" t="s">
        <v>111</v>
      </c>
      <c r="B47" t="s">
        <v>112</v>
      </c>
      <c r="C47" t="s">
        <v>8</v>
      </c>
      <c r="D47" t="s">
        <v>21</v>
      </c>
      <c r="E47" s="1">
        <v>44397</v>
      </c>
      <c r="F47" t="s">
        <v>28</v>
      </c>
    </row>
    <row r="48" spans="1:6" x14ac:dyDescent="0.25">
      <c r="A48" t="s">
        <v>113</v>
      </c>
      <c r="B48" t="s">
        <v>114</v>
      </c>
      <c r="C48" t="s">
        <v>57</v>
      </c>
      <c r="D48" t="s">
        <v>46</v>
      </c>
      <c r="E48" s="1">
        <v>44604</v>
      </c>
      <c r="F48" t="s">
        <v>10</v>
      </c>
    </row>
    <row r="49" spans="1:6" x14ac:dyDescent="0.25">
      <c r="A49" t="s">
        <v>115</v>
      </c>
      <c r="B49" t="s">
        <v>116</v>
      </c>
      <c r="C49" t="s">
        <v>17</v>
      </c>
      <c r="D49" t="s">
        <v>102</v>
      </c>
      <c r="E49" s="1">
        <v>43585</v>
      </c>
      <c r="F49" t="s">
        <v>32</v>
      </c>
    </row>
    <row r="50" spans="1:6" x14ac:dyDescent="0.25">
      <c r="A50" t="s">
        <v>117</v>
      </c>
      <c r="B50" t="s">
        <v>118</v>
      </c>
      <c r="C50" t="s">
        <v>8</v>
      </c>
      <c r="D50" t="s">
        <v>102</v>
      </c>
      <c r="E50" s="1">
        <v>44662</v>
      </c>
      <c r="F50" t="s">
        <v>14</v>
      </c>
    </row>
    <row r="51" spans="1:6" x14ac:dyDescent="0.25">
      <c r="A51" t="s">
        <v>119</v>
      </c>
      <c r="B51" t="s">
        <v>120</v>
      </c>
      <c r="C51" t="s">
        <v>57</v>
      </c>
      <c r="D51" t="s">
        <v>102</v>
      </c>
      <c r="E51" s="1">
        <v>44506</v>
      </c>
      <c r="F51" t="s">
        <v>18</v>
      </c>
    </row>
    <row r="52" spans="1:6" x14ac:dyDescent="0.25">
      <c r="A52" t="s">
        <v>121</v>
      </c>
      <c r="B52" t="s">
        <v>122</v>
      </c>
      <c r="C52" t="s">
        <v>8</v>
      </c>
      <c r="D52" t="s">
        <v>37</v>
      </c>
      <c r="E52" s="1">
        <v>43947</v>
      </c>
      <c r="F52" t="s">
        <v>14</v>
      </c>
    </row>
    <row r="53" spans="1:6" x14ac:dyDescent="0.25">
      <c r="A53" t="s">
        <v>123</v>
      </c>
      <c r="B53" t="s">
        <v>124</v>
      </c>
      <c r="C53" t="s">
        <v>8</v>
      </c>
      <c r="D53" t="s">
        <v>13</v>
      </c>
      <c r="E53" s="1">
        <v>43547</v>
      </c>
      <c r="F53" t="s">
        <v>32</v>
      </c>
    </row>
    <row r="54" spans="1:6" x14ac:dyDescent="0.25">
      <c r="A54" t="s">
        <v>125</v>
      </c>
      <c r="B54" t="s">
        <v>126</v>
      </c>
      <c r="C54" t="s">
        <v>8</v>
      </c>
      <c r="D54" t="s">
        <v>13</v>
      </c>
      <c r="E54" s="1">
        <v>44113</v>
      </c>
      <c r="F54" t="s">
        <v>28</v>
      </c>
    </row>
    <row r="55" spans="1:6" x14ac:dyDescent="0.25">
      <c r="A55" t="s">
        <v>127</v>
      </c>
      <c r="B55" t="s">
        <v>128</v>
      </c>
      <c r="C55" t="s">
        <v>8</v>
      </c>
      <c r="D55" t="s">
        <v>102</v>
      </c>
      <c r="E55" s="1">
        <v>44276</v>
      </c>
      <c r="F55" t="s">
        <v>22</v>
      </c>
    </row>
    <row r="56" spans="1:6" x14ac:dyDescent="0.25">
      <c r="A56" t="s">
        <v>129</v>
      </c>
      <c r="B56" t="s">
        <v>130</v>
      </c>
      <c r="C56" t="s">
        <v>8</v>
      </c>
      <c r="D56" t="s">
        <v>21</v>
      </c>
      <c r="E56" s="1">
        <v>43614</v>
      </c>
      <c r="F56" t="s">
        <v>18</v>
      </c>
    </row>
    <row r="57" spans="1:6" x14ac:dyDescent="0.25">
      <c r="A57" t="s">
        <v>131</v>
      </c>
      <c r="B57" t="s">
        <v>132</v>
      </c>
      <c r="C57" t="s">
        <v>17</v>
      </c>
      <c r="D57" t="s">
        <v>102</v>
      </c>
      <c r="E57" s="1">
        <v>44009</v>
      </c>
      <c r="F57" t="s">
        <v>22</v>
      </c>
    </row>
    <row r="58" spans="1:6" x14ac:dyDescent="0.25">
      <c r="A58" t="s">
        <v>133</v>
      </c>
      <c r="B58" t="s">
        <v>134</v>
      </c>
      <c r="C58" t="s">
        <v>17</v>
      </c>
      <c r="D58" t="s">
        <v>102</v>
      </c>
      <c r="E58" s="1">
        <v>44049</v>
      </c>
      <c r="F58" t="s">
        <v>22</v>
      </c>
    </row>
    <row r="59" spans="1:6" x14ac:dyDescent="0.25">
      <c r="A59" t="s">
        <v>135</v>
      </c>
      <c r="B59" t="s">
        <v>136</v>
      </c>
      <c r="C59" t="s">
        <v>8</v>
      </c>
      <c r="D59" t="s">
        <v>46</v>
      </c>
      <c r="E59" s="1">
        <v>45118</v>
      </c>
      <c r="F59" t="s">
        <v>10</v>
      </c>
    </row>
    <row r="60" spans="1:6" x14ac:dyDescent="0.25">
      <c r="A60" t="s">
        <v>137</v>
      </c>
      <c r="B60" t="s">
        <v>138</v>
      </c>
      <c r="C60" t="s">
        <v>8</v>
      </c>
      <c r="D60" t="s">
        <v>13</v>
      </c>
      <c r="E60" s="1">
        <v>44824</v>
      </c>
      <c r="F60" t="s">
        <v>18</v>
      </c>
    </row>
    <row r="61" spans="1:6" x14ac:dyDescent="0.25">
      <c r="A61" t="s">
        <v>139</v>
      </c>
      <c r="B61" t="s">
        <v>140</v>
      </c>
      <c r="C61" t="s">
        <v>8</v>
      </c>
      <c r="D61" t="s">
        <v>102</v>
      </c>
      <c r="E61" s="1">
        <v>44704</v>
      </c>
      <c r="F61" t="s">
        <v>22</v>
      </c>
    </row>
    <row r="62" spans="1:6" x14ac:dyDescent="0.25">
      <c r="A62" t="s">
        <v>141</v>
      </c>
      <c r="B62" t="s">
        <v>142</v>
      </c>
      <c r="C62" t="s">
        <v>57</v>
      </c>
      <c r="D62" t="s">
        <v>25</v>
      </c>
      <c r="E62" s="1">
        <v>43655</v>
      </c>
      <c r="F62" t="s">
        <v>10</v>
      </c>
    </row>
    <row r="63" spans="1:6" x14ac:dyDescent="0.25">
      <c r="A63" t="s">
        <v>143</v>
      </c>
      <c r="B63" t="s">
        <v>144</v>
      </c>
      <c r="C63" t="s">
        <v>8</v>
      </c>
      <c r="D63" t="s">
        <v>102</v>
      </c>
      <c r="E63" s="1">
        <v>45045</v>
      </c>
      <c r="F63" t="s">
        <v>22</v>
      </c>
    </row>
    <row r="64" spans="1:6" x14ac:dyDescent="0.25">
      <c r="A64" t="s">
        <v>145</v>
      </c>
      <c r="B64" t="s">
        <v>146</v>
      </c>
      <c r="C64" t="s">
        <v>8</v>
      </c>
      <c r="D64" t="s">
        <v>13</v>
      </c>
      <c r="E64" s="1">
        <v>44341</v>
      </c>
      <c r="F64" t="s">
        <v>32</v>
      </c>
    </row>
    <row r="65" spans="1:6" x14ac:dyDescent="0.25">
      <c r="A65" t="s">
        <v>147</v>
      </c>
      <c r="B65" t="s">
        <v>148</v>
      </c>
      <c r="C65" t="s">
        <v>17</v>
      </c>
      <c r="D65" t="s">
        <v>25</v>
      </c>
      <c r="E65" s="1">
        <v>43771</v>
      </c>
      <c r="F65" t="s">
        <v>32</v>
      </c>
    </row>
    <row r="66" spans="1:6" x14ac:dyDescent="0.25">
      <c r="A66" t="s">
        <v>149</v>
      </c>
      <c r="B66" t="s">
        <v>150</v>
      </c>
      <c r="C66" t="s">
        <v>8</v>
      </c>
      <c r="D66" t="s">
        <v>13</v>
      </c>
      <c r="E66" s="1">
        <v>44346</v>
      </c>
      <c r="F66" t="s">
        <v>22</v>
      </c>
    </row>
    <row r="67" spans="1:6" x14ac:dyDescent="0.25">
      <c r="A67" t="s">
        <v>151</v>
      </c>
      <c r="B67" t="s">
        <v>152</v>
      </c>
      <c r="C67" t="s">
        <v>8</v>
      </c>
      <c r="D67" t="s">
        <v>46</v>
      </c>
      <c r="E67" s="1">
        <v>45228</v>
      </c>
      <c r="F67" t="s">
        <v>18</v>
      </c>
    </row>
    <row r="68" spans="1:6" x14ac:dyDescent="0.25">
      <c r="A68" t="s">
        <v>153</v>
      </c>
      <c r="B68" t="s">
        <v>154</v>
      </c>
      <c r="C68" t="s">
        <v>8</v>
      </c>
      <c r="D68" t="s">
        <v>37</v>
      </c>
      <c r="E68" s="1">
        <v>44190</v>
      </c>
      <c r="F68" t="s">
        <v>32</v>
      </c>
    </row>
    <row r="69" spans="1:6" x14ac:dyDescent="0.25">
      <c r="A69" t="s">
        <v>155</v>
      </c>
      <c r="B69" t="s">
        <v>156</v>
      </c>
      <c r="C69" t="s">
        <v>8</v>
      </c>
      <c r="D69" t="s">
        <v>46</v>
      </c>
      <c r="E69" s="1">
        <v>43950</v>
      </c>
      <c r="F69" t="s">
        <v>22</v>
      </c>
    </row>
    <row r="70" spans="1:6" x14ac:dyDescent="0.25">
      <c r="A70" t="s">
        <v>157</v>
      </c>
      <c r="B70" t="s">
        <v>158</v>
      </c>
      <c r="C70" t="s">
        <v>8</v>
      </c>
      <c r="D70" t="s">
        <v>102</v>
      </c>
      <c r="E70" s="1">
        <v>44146</v>
      </c>
      <c r="F70" t="s">
        <v>14</v>
      </c>
    </row>
    <row r="71" spans="1:6" x14ac:dyDescent="0.25">
      <c r="A71" t="s">
        <v>159</v>
      </c>
      <c r="B71" t="s">
        <v>160</v>
      </c>
      <c r="C71" t="s">
        <v>57</v>
      </c>
      <c r="D71" t="s">
        <v>25</v>
      </c>
      <c r="E71" s="1">
        <v>43921</v>
      </c>
      <c r="F71" t="s">
        <v>22</v>
      </c>
    </row>
    <row r="72" spans="1:6" x14ac:dyDescent="0.25">
      <c r="A72" t="s">
        <v>161</v>
      </c>
      <c r="B72" t="s">
        <v>162</v>
      </c>
      <c r="C72" t="s">
        <v>8</v>
      </c>
      <c r="D72" t="s">
        <v>21</v>
      </c>
      <c r="E72" s="1">
        <v>43932</v>
      </c>
      <c r="F72" t="s">
        <v>22</v>
      </c>
    </row>
    <row r="73" spans="1:6" x14ac:dyDescent="0.25">
      <c r="A73" t="s">
        <v>163</v>
      </c>
      <c r="B73" t="s">
        <v>164</v>
      </c>
      <c r="C73" t="s">
        <v>17</v>
      </c>
      <c r="D73" t="s">
        <v>102</v>
      </c>
      <c r="E73" s="1">
        <v>45236</v>
      </c>
      <c r="F73" t="s">
        <v>18</v>
      </c>
    </row>
    <row r="74" spans="1:6" x14ac:dyDescent="0.25">
      <c r="A74" t="s">
        <v>165</v>
      </c>
      <c r="B74" t="s">
        <v>166</v>
      </c>
      <c r="C74" t="s">
        <v>8</v>
      </c>
      <c r="D74" t="s">
        <v>31</v>
      </c>
      <c r="E74" s="1">
        <v>45193</v>
      </c>
      <c r="F74" t="s">
        <v>32</v>
      </c>
    </row>
    <row r="75" spans="1:6" x14ac:dyDescent="0.25">
      <c r="A75" t="s">
        <v>167</v>
      </c>
      <c r="B75" t="s">
        <v>168</v>
      </c>
      <c r="C75" t="s">
        <v>17</v>
      </c>
      <c r="D75" t="s">
        <v>13</v>
      </c>
      <c r="E75" s="1">
        <v>44173</v>
      </c>
      <c r="F75" t="s">
        <v>10</v>
      </c>
    </row>
    <row r="76" spans="1:6" x14ac:dyDescent="0.25">
      <c r="A76" t="s">
        <v>169</v>
      </c>
      <c r="B76" t="s">
        <v>170</v>
      </c>
      <c r="C76" t="s">
        <v>8</v>
      </c>
      <c r="D76" t="s">
        <v>13</v>
      </c>
      <c r="E76" s="1">
        <v>44254</v>
      </c>
      <c r="F76" t="s">
        <v>32</v>
      </c>
    </row>
    <row r="77" spans="1:6" x14ac:dyDescent="0.25">
      <c r="A77" t="s">
        <v>171</v>
      </c>
      <c r="B77" t="s">
        <v>172</v>
      </c>
      <c r="C77" t="s">
        <v>17</v>
      </c>
      <c r="D77" t="s">
        <v>31</v>
      </c>
      <c r="E77" s="1">
        <v>44530</v>
      </c>
      <c r="F77" t="s">
        <v>32</v>
      </c>
    </row>
    <row r="78" spans="1:6" x14ac:dyDescent="0.25">
      <c r="A78" t="s">
        <v>173</v>
      </c>
      <c r="B78" t="s">
        <v>174</v>
      </c>
      <c r="C78" t="s">
        <v>8</v>
      </c>
      <c r="D78" t="s">
        <v>46</v>
      </c>
      <c r="E78" s="1">
        <v>44142</v>
      </c>
      <c r="F78" t="s">
        <v>32</v>
      </c>
    </row>
    <row r="79" spans="1:6" x14ac:dyDescent="0.25">
      <c r="A79" t="s">
        <v>396</v>
      </c>
      <c r="B79" t="s">
        <v>2957</v>
      </c>
      <c r="C79" t="s">
        <v>57</v>
      </c>
      <c r="D79" t="s">
        <v>21</v>
      </c>
      <c r="E79" s="1">
        <v>44081</v>
      </c>
      <c r="F79" t="s">
        <v>2964</v>
      </c>
    </row>
    <row r="80" spans="1:6" x14ac:dyDescent="0.25">
      <c r="A80" t="s">
        <v>175</v>
      </c>
      <c r="B80" t="s">
        <v>176</v>
      </c>
      <c r="C80" t="s">
        <v>8</v>
      </c>
      <c r="D80" t="s">
        <v>31</v>
      </c>
      <c r="E80" s="1">
        <v>44071</v>
      </c>
      <c r="F80" t="s">
        <v>32</v>
      </c>
    </row>
    <row r="81" spans="1:6" x14ac:dyDescent="0.25">
      <c r="A81" t="s">
        <v>177</v>
      </c>
      <c r="B81" t="s">
        <v>178</v>
      </c>
      <c r="C81" t="s">
        <v>8</v>
      </c>
      <c r="D81" t="s">
        <v>46</v>
      </c>
      <c r="E81" s="1">
        <v>44853</v>
      </c>
      <c r="F81" t="s">
        <v>10</v>
      </c>
    </row>
    <row r="82" spans="1:6" x14ac:dyDescent="0.25">
      <c r="A82" t="s">
        <v>179</v>
      </c>
      <c r="B82" t="s">
        <v>180</v>
      </c>
      <c r="C82" t="s">
        <v>8</v>
      </c>
      <c r="D82" t="s">
        <v>31</v>
      </c>
      <c r="E82" s="1">
        <v>45173</v>
      </c>
      <c r="F82" t="s">
        <v>18</v>
      </c>
    </row>
    <row r="83" spans="1:6" x14ac:dyDescent="0.25">
      <c r="A83" t="s">
        <v>181</v>
      </c>
      <c r="B83" t="s">
        <v>182</v>
      </c>
      <c r="C83" t="s">
        <v>17</v>
      </c>
      <c r="D83" t="s">
        <v>21</v>
      </c>
      <c r="E83" s="1">
        <v>44708</v>
      </c>
      <c r="F83" t="s">
        <v>10</v>
      </c>
    </row>
    <row r="84" spans="1:6" x14ac:dyDescent="0.25">
      <c r="A84" t="s">
        <v>183</v>
      </c>
      <c r="B84" t="s">
        <v>184</v>
      </c>
      <c r="C84" t="s">
        <v>8</v>
      </c>
      <c r="D84" t="s">
        <v>13</v>
      </c>
      <c r="E84" s="1">
        <v>45091</v>
      </c>
      <c r="F84" t="s">
        <v>10</v>
      </c>
    </row>
    <row r="85" spans="1:6" x14ac:dyDescent="0.25">
      <c r="A85" t="s">
        <v>185</v>
      </c>
      <c r="B85" t="s">
        <v>186</v>
      </c>
      <c r="C85" t="s">
        <v>17</v>
      </c>
      <c r="D85" t="s">
        <v>13</v>
      </c>
      <c r="E85" s="1">
        <v>44762</v>
      </c>
      <c r="F85" t="s">
        <v>32</v>
      </c>
    </row>
    <row r="86" spans="1:6" x14ac:dyDescent="0.25">
      <c r="A86" t="s">
        <v>187</v>
      </c>
      <c r="B86" t="s">
        <v>188</v>
      </c>
      <c r="C86" t="s">
        <v>57</v>
      </c>
      <c r="D86" t="s">
        <v>21</v>
      </c>
      <c r="E86" s="1">
        <v>44843</v>
      </c>
      <c r="F86" t="s">
        <v>28</v>
      </c>
    </row>
    <row r="87" spans="1:6" x14ac:dyDescent="0.25">
      <c r="A87" t="s">
        <v>189</v>
      </c>
      <c r="B87" t="s">
        <v>190</v>
      </c>
      <c r="C87" t="s">
        <v>17</v>
      </c>
      <c r="D87" t="s">
        <v>102</v>
      </c>
      <c r="E87" s="1">
        <v>43967</v>
      </c>
      <c r="F87" t="s">
        <v>14</v>
      </c>
    </row>
    <row r="88" spans="1:6" x14ac:dyDescent="0.25">
      <c r="A88" t="s">
        <v>191</v>
      </c>
      <c r="B88" t="s">
        <v>192</v>
      </c>
      <c r="C88" t="s">
        <v>57</v>
      </c>
      <c r="D88" t="s">
        <v>31</v>
      </c>
      <c r="E88" s="1">
        <v>44755</v>
      </c>
      <c r="F88" t="s">
        <v>32</v>
      </c>
    </row>
    <row r="89" spans="1:6" x14ac:dyDescent="0.25">
      <c r="A89" t="s">
        <v>193</v>
      </c>
      <c r="B89" t="s">
        <v>194</v>
      </c>
      <c r="C89" t="s">
        <v>8</v>
      </c>
      <c r="D89" t="s">
        <v>102</v>
      </c>
      <c r="E89" s="1">
        <v>44874</v>
      </c>
      <c r="F89" t="s">
        <v>18</v>
      </c>
    </row>
    <row r="90" spans="1:6" x14ac:dyDescent="0.25">
      <c r="A90" t="s">
        <v>195</v>
      </c>
      <c r="B90" t="s">
        <v>196</v>
      </c>
      <c r="C90" t="s">
        <v>8</v>
      </c>
      <c r="D90" t="s">
        <v>102</v>
      </c>
      <c r="E90" s="1">
        <v>44891</v>
      </c>
      <c r="F90" t="s">
        <v>32</v>
      </c>
    </row>
    <row r="91" spans="1:6" x14ac:dyDescent="0.25">
      <c r="A91" t="s">
        <v>197</v>
      </c>
      <c r="B91" t="s">
        <v>198</v>
      </c>
      <c r="C91" t="s">
        <v>8</v>
      </c>
      <c r="D91" t="s">
        <v>46</v>
      </c>
      <c r="E91" s="1">
        <v>43714</v>
      </c>
      <c r="F91" t="s">
        <v>14</v>
      </c>
    </row>
    <row r="92" spans="1:6" x14ac:dyDescent="0.25">
      <c r="A92" t="s">
        <v>199</v>
      </c>
      <c r="B92" t="s">
        <v>200</v>
      </c>
      <c r="C92" t="s">
        <v>8</v>
      </c>
      <c r="D92" t="s">
        <v>13</v>
      </c>
      <c r="E92" s="1">
        <v>44610</v>
      </c>
      <c r="F92" t="s">
        <v>32</v>
      </c>
    </row>
    <row r="93" spans="1:6" x14ac:dyDescent="0.25">
      <c r="A93" t="s">
        <v>201</v>
      </c>
      <c r="B93" t="s">
        <v>202</v>
      </c>
      <c r="C93" t="s">
        <v>57</v>
      </c>
      <c r="D93" t="s">
        <v>37</v>
      </c>
      <c r="E93" s="1">
        <v>44939</v>
      </c>
      <c r="F93" t="s">
        <v>32</v>
      </c>
    </row>
    <row r="94" spans="1:6" x14ac:dyDescent="0.25">
      <c r="A94" t="s">
        <v>203</v>
      </c>
      <c r="B94" t="s">
        <v>204</v>
      </c>
      <c r="C94" t="s">
        <v>57</v>
      </c>
      <c r="D94" t="s">
        <v>21</v>
      </c>
      <c r="E94" s="1">
        <v>44438</v>
      </c>
      <c r="F94" t="s">
        <v>14</v>
      </c>
    </row>
    <row r="95" spans="1:6" x14ac:dyDescent="0.25">
      <c r="A95" t="s">
        <v>205</v>
      </c>
      <c r="B95" t="s">
        <v>206</v>
      </c>
      <c r="C95" t="s">
        <v>8</v>
      </c>
      <c r="D95" t="s">
        <v>21</v>
      </c>
      <c r="E95" s="1">
        <v>44533</v>
      </c>
      <c r="F95" t="s">
        <v>14</v>
      </c>
    </row>
    <row r="96" spans="1:6" x14ac:dyDescent="0.25">
      <c r="A96" t="s">
        <v>207</v>
      </c>
      <c r="B96" t="s">
        <v>208</v>
      </c>
      <c r="C96" t="s">
        <v>8</v>
      </c>
      <c r="D96" t="s">
        <v>102</v>
      </c>
      <c r="E96" s="1">
        <v>44153</v>
      </c>
      <c r="F96" t="s">
        <v>28</v>
      </c>
    </row>
    <row r="97" spans="1:6" x14ac:dyDescent="0.25">
      <c r="A97" t="s">
        <v>209</v>
      </c>
      <c r="B97" t="s">
        <v>210</v>
      </c>
      <c r="C97" t="s">
        <v>17</v>
      </c>
      <c r="D97" t="s">
        <v>102</v>
      </c>
      <c r="E97" s="1">
        <v>44887</v>
      </c>
      <c r="F97" t="s">
        <v>22</v>
      </c>
    </row>
    <row r="98" spans="1:6" x14ac:dyDescent="0.25">
      <c r="A98" t="s">
        <v>211</v>
      </c>
      <c r="B98" t="s">
        <v>212</v>
      </c>
      <c r="C98" t="s">
        <v>8</v>
      </c>
      <c r="D98" t="s">
        <v>31</v>
      </c>
      <c r="E98" s="1">
        <v>43593</v>
      </c>
      <c r="F98" t="s">
        <v>22</v>
      </c>
    </row>
    <row r="99" spans="1:6" x14ac:dyDescent="0.25">
      <c r="A99" t="s">
        <v>213</v>
      </c>
      <c r="B99" t="s">
        <v>214</v>
      </c>
      <c r="C99" t="s">
        <v>17</v>
      </c>
      <c r="D99" t="s">
        <v>25</v>
      </c>
      <c r="E99" s="1">
        <v>44645</v>
      </c>
      <c r="F99" t="s">
        <v>14</v>
      </c>
    </row>
    <row r="100" spans="1:6" x14ac:dyDescent="0.25">
      <c r="A100" t="s">
        <v>215</v>
      </c>
      <c r="B100" t="s">
        <v>216</v>
      </c>
      <c r="C100" t="s">
        <v>57</v>
      </c>
      <c r="D100" t="s">
        <v>102</v>
      </c>
      <c r="E100" s="1">
        <v>44264</v>
      </c>
      <c r="F100" t="s">
        <v>14</v>
      </c>
    </row>
    <row r="101" spans="1:6" x14ac:dyDescent="0.25">
      <c r="A101" t="s">
        <v>217</v>
      </c>
      <c r="B101" t="s">
        <v>218</v>
      </c>
      <c r="C101" t="s">
        <v>17</v>
      </c>
      <c r="D101" t="s">
        <v>102</v>
      </c>
      <c r="E101" s="1">
        <v>44358</v>
      </c>
      <c r="F101" t="s">
        <v>14</v>
      </c>
    </row>
    <row r="102" spans="1:6" x14ac:dyDescent="0.25">
      <c r="A102" t="s">
        <v>219</v>
      </c>
      <c r="B102" t="s">
        <v>220</v>
      </c>
      <c r="C102" t="s">
        <v>17</v>
      </c>
      <c r="D102" t="s">
        <v>31</v>
      </c>
      <c r="E102" s="1">
        <v>43727</v>
      </c>
      <c r="F102" t="s">
        <v>32</v>
      </c>
    </row>
    <row r="103" spans="1:6" x14ac:dyDescent="0.25">
      <c r="A103" t="s">
        <v>221</v>
      </c>
      <c r="B103" t="s">
        <v>222</v>
      </c>
      <c r="C103" t="s">
        <v>8</v>
      </c>
      <c r="D103" t="s">
        <v>102</v>
      </c>
      <c r="E103" s="1">
        <v>44782</v>
      </c>
      <c r="F103" t="s">
        <v>14</v>
      </c>
    </row>
    <row r="104" spans="1:6" x14ac:dyDescent="0.25">
      <c r="A104" t="s">
        <v>223</v>
      </c>
      <c r="B104" t="s">
        <v>224</v>
      </c>
      <c r="C104" t="s">
        <v>8</v>
      </c>
      <c r="D104" t="s">
        <v>102</v>
      </c>
      <c r="E104" s="1">
        <v>44242</v>
      </c>
      <c r="F104" t="s">
        <v>28</v>
      </c>
    </row>
    <row r="105" spans="1:6" x14ac:dyDescent="0.25">
      <c r="A105" t="s">
        <v>225</v>
      </c>
      <c r="B105" t="s">
        <v>226</v>
      </c>
      <c r="C105" t="s">
        <v>8</v>
      </c>
      <c r="D105" t="s">
        <v>21</v>
      </c>
      <c r="E105" s="1">
        <v>44242</v>
      </c>
      <c r="F105" t="s">
        <v>28</v>
      </c>
    </row>
    <row r="106" spans="1:6" x14ac:dyDescent="0.25">
      <c r="A106" t="s">
        <v>227</v>
      </c>
      <c r="B106" t="s">
        <v>228</v>
      </c>
      <c r="C106" t="s">
        <v>57</v>
      </c>
      <c r="D106" t="s">
        <v>31</v>
      </c>
      <c r="E106" s="1">
        <v>45000</v>
      </c>
      <c r="F106" t="s">
        <v>32</v>
      </c>
    </row>
    <row r="107" spans="1:6" x14ac:dyDescent="0.25">
      <c r="A107" t="s">
        <v>229</v>
      </c>
      <c r="B107" t="s">
        <v>230</v>
      </c>
      <c r="C107" t="s">
        <v>17</v>
      </c>
      <c r="D107" t="s">
        <v>102</v>
      </c>
      <c r="E107" s="1">
        <v>44800</v>
      </c>
      <c r="F107" t="s">
        <v>18</v>
      </c>
    </row>
    <row r="108" spans="1:6" x14ac:dyDescent="0.25">
      <c r="A108" t="s">
        <v>231</v>
      </c>
      <c r="B108" t="s">
        <v>232</v>
      </c>
      <c r="C108" t="s">
        <v>17</v>
      </c>
      <c r="D108" t="s">
        <v>102</v>
      </c>
      <c r="E108" s="1">
        <v>43778</v>
      </c>
      <c r="F108" t="s">
        <v>22</v>
      </c>
    </row>
    <row r="109" spans="1:6" x14ac:dyDescent="0.25">
      <c r="A109" t="s">
        <v>233</v>
      </c>
      <c r="B109" t="s">
        <v>234</v>
      </c>
      <c r="C109" t="s">
        <v>8</v>
      </c>
      <c r="D109" t="s">
        <v>13</v>
      </c>
      <c r="E109" s="1">
        <v>43912</v>
      </c>
      <c r="F109" t="s">
        <v>14</v>
      </c>
    </row>
    <row r="110" spans="1:6" x14ac:dyDescent="0.25">
      <c r="A110" t="s">
        <v>235</v>
      </c>
      <c r="B110" t="s">
        <v>236</v>
      </c>
      <c r="C110" t="s">
        <v>57</v>
      </c>
      <c r="D110" t="s">
        <v>21</v>
      </c>
      <c r="E110" s="1">
        <v>45058</v>
      </c>
      <c r="F110" t="s">
        <v>22</v>
      </c>
    </row>
    <row r="111" spans="1:6" x14ac:dyDescent="0.25">
      <c r="A111" t="s">
        <v>237</v>
      </c>
      <c r="B111" t="s">
        <v>238</v>
      </c>
      <c r="C111" t="s">
        <v>8</v>
      </c>
      <c r="D111" t="s">
        <v>46</v>
      </c>
      <c r="E111" s="1">
        <v>44645</v>
      </c>
      <c r="F111" t="s">
        <v>10</v>
      </c>
    </row>
    <row r="112" spans="1:6" x14ac:dyDescent="0.25">
      <c r="A112" t="s">
        <v>239</v>
      </c>
      <c r="B112" t="s">
        <v>240</v>
      </c>
      <c r="C112" t="s">
        <v>57</v>
      </c>
      <c r="D112" t="s">
        <v>102</v>
      </c>
      <c r="E112" s="1">
        <v>44678</v>
      </c>
      <c r="F112" t="s">
        <v>10</v>
      </c>
    </row>
    <row r="113" spans="1:6" x14ac:dyDescent="0.25">
      <c r="A113" t="s">
        <v>241</v>
      </c>
      <c r="B113" t="s">
        <v>242</v>
      </c>
      <c r="C113" t="s">
        <v>8</v>
      </c>
      <c r="D113" t="s">
        <v>102</v>
      </c>
      <c r="E113" s="1">
        <v>44867</v>
      </c>
      <c r="F113" t="s">
        <v>32</v>
      </c>
    </row>
    <row r="114" spans="1:6" x14ac:dyDescent="0.25">
      <c r="A114" t="s">
        <v>243</v>
      </c>
      <c r="B114" t="s">
        <v>244</v>
      </c>
      <c r="C114" t="s">
        <v>17</v>
      </c>
      <c r="D114" t="s">
        <v>13</v>
      </c>
      <c r="E114" s="1">
        <v>44820</v>
      </c>
      <c r="F114" t="s">
        <v>28</v>
      </c>
    </row>
    <row r="115" spans="1:6" x14ac:dyDescent="0.25">
      <c r="A115" t="s">
        <v>245</v>
      </c>
      <c r="B115" t="s">
        <v>246</v>
      </c>
      <c r="C115" t="s">
        <v>8</v>
      </c>
      <c r="D115" t="s">
        <v>31</v>
      </c>
      <c r="E115" s="1">
        <v>45163</v>
      </c>
      <c r="F115" t="s">
        <v>14</v>
      </c>
    </row>
    <row r="116" spans="1:6" x14ac:dyDescent="0.25">
      <c r="A116" t="s">
        <v>247</v>
      </c>
      <c r="B116" t="s">
        <v>248</v>
      </c>
      <c r="C116" t="s">
        <v>17</v>
      </c>
      <c r="D116" t="s">
        <v>13</v>
      </c>
      <c r="E116" s="1">
        <v>44798</v>
      </c>
      <c r="F116" t="s">
        <v>28</v>
      </c>
    </row>
    <row r="117" spans="1:6" x14ac:dyDescent="0.25">
      <c r="A117" t="s">
        <v>249</v>
      </c>
      <c r="B117" t="s">
        <v>250</v>
      </c>
      <c r="C117" t="s">
        <v>57</v>
      </c>
      <c r="D117" t="s">
        <v>21</v>
      </c>
      <c r="E117" s="1">
        <v>44418</v>
      </c>
      <c r="F117" t="s">
        <v>14</v>
      </c>
    </row>
    <row r="118" spans="1:6" x14ac:dyDescent="0.25">
      <c r="A118" t="s">
        <v>251</v>
      </c>
      <c r="B118" t="s">
        <v>252</v>
      </c>
      <c r="C118" t="s">
        <v>17</v>
      </c>
      <c r="D118" t="s">
        <v>46</v>
      </c>
      <c r="E118" s="1">
        <v>44037</v>
      </c>
      <c r="F118" t="s">
        <v>14</v>
      </c>
    </row>
    <row r="119" spans="1:6" x14ac:dyDescent="0.25">
      <c r="A119" t="s">
        <v>253</v>
      </c>
      <c r="B119" t="s">
        <v>254</v>
      </c>
      <c r="C119" t="s">
        <v>8</v>
      </c>
      <c r="D119" t="s">
        <v>102</v>
      </c>
      <c r="E119" s="1">
        <v>45208</v>
      </c>
      <c r="F119" t="s">
        <v>28</v>
      </c>
    </row>
    <row r="120" spans="1:6" x14ac:dyDescent="0.25">
      <c r="A120" t="s">
        <v>255</v>
      </c>
      <c r="B120" t="s">
        <v>256</v>
      </c>
      <c r="C120" t="s">
        <v>17</v>
      </c>
      <c r="D120" t="s">
        <v>21</v>
      </c>
      <c r="E120" s="1">
        <v>44163</v>
      </c>
      <c r="F120" t="s">
        <v>28</v>
      </c>
    </row>
    <row r="121" spans="1:6" x14ac:dyDescent="0.25">
      <c r="A121" t="s">
        <v>257</v>
      </c>
      <c r="B121" t="s">
        <v>258</v>
      </c>
      <c r="C121" t="s">
        <v>57</v>
      </c>
      <c r="D121" t="s">
        <v>13</v>
      </c>
      <c r="E121" s="1">
        <v>44524</v>
      </c>
      <c r="F121" t="s">
        <v>22</v>
      </c>
    </row>
    <row r="122" spans="1:6" x14ac:dyDescent="0.25">
      <c r="A122" t="s">
        <v>259</v>
      </c>
      <c r="B122" t="s">
        <v>260</v>
      </c>
      <c r="C122" t="s">
        <v>8</v>
      </c>
      <c r="D122" t="s">
        <v>31</v>
      </c>
      <c r="E122" s="1">
        <v>45018</v>
      </c>
      <c r="F122" t="s">
        <v>22</v>
      </c>
    </row>
    <row r="123" spans="1:6" x14ac:dyDescent="0.25">
      <c r="A123" t="s">
        <v>261</v>
      </c>
      <c r="B123" t="s">
        <v>262</v>
      </c>
      <c r="C123" t="s">
        <v>8</v>
      </c>
      <c r="D123" t="s">
        <v>31</v>
      </c>
      <c r="E123" s="1">
        <v>43501</v>
      </c>
      <c r="F123" t="s">
        <v>18</v>
      </c>
    </row>
    <row r="124" spans="1:6" x14ac:dyDescent="0.25">
      <c r="A124" t="s">
        <v>263</v>
      </c>
      <c r="B124" t="s">
        <v>264</v>
      </c>
      <c r="C124" t="s">
        <v>8</v>
      </c>
      <c r="D124" t="s">
        <v>102</v>
      </c>
      <c r="E124" s="1">
        <v>44825</v>
      </c>
      <c r="F124" t="s">
        <v>32</v>
      </c>
    </row>
    <row r="125" spans="1:6" x14ac:dyDescent="0.25">
      <c r="A125" t="s">
        <v>265</v>
      </c>
      <c r="B125" t="s">
        <v>266</v>
      </c>
      <c r="C125" t="s">
        <v>8</v>
      </c>
      <c r="D125" t="s">
        <v>102</v>
      </c>
      <c r="E125" s="1">
        <v>44993</v>
      </c>
      <c r="F125" t="s">
        <v>32</v>
      </c>
    </row>
    <row r="126" spans="1:6" x14ac:dyDescent="0.25">
      <c r="A126" t="s">
        <v>267</v>
      </c>
      <c r="B126" t="s">
        <v>268</v>
      </c>
      <c r="C126" t="s">
        <v>8</v>
      </c>
      <c r="D126" t="s">
        <v>102</v>
      </c>
      <c r="E126" s="1">
        <v>43980</v>
      </c>
      <c r="F126" t="s">
        <v>22</v>
      </c>
    </row>
    <row r="127" spans="1:6" x14ac:dyDescent="0.25">
      <c r="A127" t="s">
        <v>269</v>
      </c>
      <c r="B127" t="s">
        <v>270</v>
      </c>
      <c r="C127" t="s">
        <v>17</v>
      </c>
      <c r="D127" t="s">
        <v>31</v>
      </c>
      <c r="E127" s="1">
        <v>44949</v>
      </c>
      <c r="F127" t="s">
        <v>32</v>
      </c>
    </row>
    <row r="128" spans="1:6" x14ac:dyDescent="0.25">
      <c r="A128" t="s">
        <v>271</v>
      </c>
      <c r="B128" t="s">
        <v>272</v>
      </c>
      <c r="C128" t="s">
        <v>8</v>
      </c>
      <c r="D128" t="s">
        <v>102</v>
      </c>
      <c r="E128" s="1">
        <v>43863</v>
      </c>
      <c r="F128" t="s">
        <v>28</v>
      </c>
    </row>
    <row r="129" spans="1:6" x14ac:dyDescent="0.25">
      <c r="A129" t="s">
        <v>273</v>
      </c>
      <c r="B129" t="s">
        <v>274</v>
      </c>
      <c r="C129" t="s">
        <v>17</v>
      </c>
      <c r="D129" t="s">
        <v>102</v>
      </c>
      <c r="E129" s="1">
        <v>44559</v>
      </c>
      <c r="F129" t="s">
        <v>22</v>
      </c>
    </row>
    <row r="130" spans="1:6" x14ac:dyDescent="0.25">
      <c r="A130" t="s">
        <v>275</v>
      </c>
      <c r="B130" t="s">
        <v>276</v>
      </c>
      <c r="C130" t="s">
        <v>57</v>
      </c>
      <c r="D130" t="s">
        <v>13</v>
      </c>
      <c r="E130" s="1">
        <v>44894</v>
      </c>
      <c r="F130" t="s">
        <v>22</v>
      </c>
    </row>
    <row r="131" spans="1:6" x14ac:dyDescent="0.25">
      <c r="A131" t="s">
        <v>277</v>
      </c>
      <c r="B131" t="s">
        <v>278</v>
      </c>
      <c r="C131" t="s">
        <v>8</v>
      </c>
      <c r="D131" t="s">
        <v>31</v>
      </c>
      <c r="E131" s="1">
        <v>44163</v>
      </c>
      <c r="F131" t="s">
        <v>22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20F7D-016A-4223-8E3B-6C9DA063A0D1}">
  <dimension ref="A3:O19"/>
  <sheetViews>
    <sheetView topLeftCell="A3" zoomScale="81" workbookViewId="0">
      <selection activeCell="O10" sqref="O7:O10"/>
    </sheetView>
  </sheetViews>
  <sheetFormatPr defaultRowHeight="15" x14ac:dyDescent="0.25"/>
  <cols>
    <col min="1" max="1" width="13.42578125" bestFit="1" customWidth="1"/>
    <col min="2" max="2" width="14.85546875" bestFit="1" customWidth="1"/>
    <col min="4" max="4" width="23.7109375" bestFit="1" customWidth="1"/>
    <col min="5" max="5" width="16.85546875" bestFit="1" customWidth="1"/>
    <col min="6" max="7" width="9" bestFit="1" customWidth="1"/>
    <col min="8" max="8" width="9.85546875" bestFit="1" customWidth="1"/>
    <col min="9" max="9" width="11.28515625" bestFit="1" customWidth="1"/>
    <col min="11" max="11" width="13.42578125" bestFit="1" customWidth="1"/>
    <col min="12" max="12" width="14.85546875" bestFit="1" customWidth="1"/>
    <col min="14" max="14" width="13.42578125" bestFit="1" customWidth="1"/>
    <col min="15" max="15" width="14.85546875" bestFit="1" customWidth="1"/>
  </cols>
  <sheetData>
    <row r="3" spans="1:15" x14ac:dyDescent="0.25">
      <c r="A3" s="6" t="s">
        <v>5256</v>
      </c>
      <c r="B3" t="s">
        <v>5258</v>
      </c>
      <c r="D3" s="6" t="s">
        <v>5258</v>
      </c>
      <c r="E3" s="6" t="s">
        <v>5259</v>
      </c>
      <c r="K3" s="6" t="s">
        <v>5256</v>
      </c>
      <c r="L3" t="s">
        <v>5258</v>
      </c>
      <c r="N3" s="6" t="s">
        <v>5256</v>
      </c>
      <c r="O3" t="s">
        <v>5258</v>
      </c>
    </row>
    <row r="4" spans="1:15" x14ac:dyDescent="0.25">
      <c r="A4" s="7" t="s">
        <v>288</v>
      </c>
      <c r="B4" s="5">
        <v>289923.15999999992</v>
      </c>
      <c r="D4" s="6" t="s">
        <v>5256</v>
      </c>
      <c r="E4" t="s">
        <v>324</v>
      </c>
      <c r="F4" t="s">
        <v>381</v>
      </c>
      <c r="G4" t="s">
        <v>331</v>
      </c>
      <c r="H4" t="s">
        <v>349</v>
      </c>
      <c r="I4" t="s">
        <v>5257</v>
      </c>
      <c r="K4" s="7" t="s">
        <v>17</v>
      </c>
      <c r="L4" s="5">
        <v>262471.05</v>
      </c>
      <c r="N4" s="7" t="s">
        <v>42</v>
      </c>
      <c r="O4" s="5">
        <v>13355.189999999999</v>
      </c>
    </row>
    <row r="5" spans="1:15" x14ac:dyDescent="0.25">
      <c r="A5" s="8" t="s">
        <v>283</v>
      </c>
      <c r="B5" s="5">
        <v>69023.41</v>
      </c>
      <c r="D5" s="7" t="s">
        <v>307</v>
      </c>
      <c r="E5" s="5">
        <v>89944.200000000084</v>
      </c>
      <c r="F5" s="5">
        <v>9979.5400000000009</v>
      </c>
      <c r="G5" s="5">
        <v>8605.5600000000013</v>
      </c>
      <c r="H5" s="5">
        <v>-12171.629999999997</v>
      </c>
      <c r="I5" s="5">
        <v>96357.670000000071</v>
      </c>
      <c r="K5" s="7" t="s">
        <v>8</v>
      </c>
      <c r="L5" s="5">
        <v>593518.34999999986</v>
      </c>
      <c r="N5" s="7" t="s">
        <v>58</v>
      </c>
      <c r="O5" s="5">
        <v>12960.989999999998</v>
      </c>
    </row>
    <row r="6" spans="1:15" x14ac:dyDescent="0.25">
      <c r="A6" s="8" t="s">
        <v>284</v>
      </c>
      <c r="B6" s="5">
        <v>72542.929999999993</v>
      </c>
      <c r="D6" s="7" t="s">
        <v>310</v>
      </c>
      <c r="E6" s="5">
        <v>78640.299999999988</v>
      </c>
      <c r="F6" s="5">
        <v>9652.7199999999993</v>
      </c>
      <c r="G6" s="5">
        <v>8446.69</v>
      </c>
      <c r="H6" s="5">
        <v>-5361.34</v>
      </c>
      <c r="I6" s="5">
        <v>91378.37</v>
      </c>
      <c r="K6" s="7" t="s">
        <v>57</v>
      </c>
      <c r="L6" s="5">
        <v>163655.34999999983</v>
      </c>
      <c r="N6" s="7" t="s">
        <v>209</v>
      </c>
      <c r="O6" s="5">
        <v>12940.250000000002</v>
      </c>
    </row>
    <row r="7" spans="1:15" x14ac:dyDescent="0.25">
      <c r="A7" s="8" t="s">
        <v>285</v>
      </c>
      <c r="B7" s="5">
        <v>71588.639999999985</v>
      </c>
      <c r="D7" s="7" t="s">
        <v>316</v>
      </c>
      <c r="E7" s="5">
        <v>79188.460000000006</v>
      </c>
      <c r="F7" s="5">
        <v>6891.14</v>
      </c>
      <c r="G7" s="5">
        <v>6586.6600000000008</v>
      </c>
      <c r="H7" s="5">
        <v>-4216.59</v>
      </c>
      <c r="I7" s="5">
        <v>88449.670000000013</v>
      </c>
      <c r="K7" s="7" t="s">
        <v>5260</v>
      </c>
      <c r="L7" s="5">
        <v>11733.16</v>
      </c>
      <c r="N7" s="7" t="s">
        <v>70</v>
      </c>
      <c r="O7" s="5">
        <v>12873.880000000001</v>
      </c>
    </row>
    <row r="8" spans="1:15" x14ac:dyDescent="0.25">
      <c r="A8" s="8" t="s">
        <v>286</v>
      </c>
      <c r="B8" s="5">
        <v>76768.179999999935</v>
      </c>
      <c r="D8" s="7" t="s">
        <v>304</v>
      </c>
      <c r="E8" s="5">
        <v>74566.709999999992</v>
      </c>
      <c r="F8" s="5">
        <v>8115.2900000000009</v>
      </c>
      <c r="G8" s="5">
        <v>6636.5999999999995</v>
      </c>
      <c r="H8" s="5">
        <v>-2552.6099999999997</v>
      </c>
      <c r="I8" s="5">
        <v>86765.99</v>
      </c>
      <c r="K8" s="7" t="s">
        <v>5257</v>
      </c>
      <c r="L8" s="5">
        <v>1031377.9099999998</v>
      </c>
      <c r="N8" s="7" t="s">
        <v>15</v>
      </c>
      <c r="O8" s="5">
        <v>12600.92</v>
      </c>
    </row>
    <row r="9" spans="1:15" x14ac:dyDescent="0.25">
      <c r="A9" s="7" t="s">
        <v>287</v>
      </c>
      <c r="B9" s="5">
        <v>203716.56999999995</v>
      </c>
      <c r="D9" s="7" t="s">
        <v>301</v>
      </c>
      <c r="E9" s="5">
        <v>122510.98999999998</v>
      </c>
      <c r="F9" s="5">
        <v>13372.02</v>
      </c>
      <c r="G9" s="5">
        <v>9674.909999999998</v>
      </c>
      <c r="H9" s="5">
        <v>-9854.4700000000012</v>
      </c>
      <c r="I9" s="5">
        <v>135703.44999999998</v>
      </c>
      <c r="N9" s="7" t="s">
        <v>217</v>
      </c>
      <c r="O9" s="5">
        <v>12544.470000000001</v>
      </c>
    </row>
    <row r="10" spans="1:15" x14ac:dyDescent="0.25">
      <c r="A10" s="8" t="s">
        <v>283</v>
      </c>
      <c r="B10" s="5">
        <v>39604.67</v>
      </c>
      <c r="D10" s="7" t="s">
        <v>313</v>
      </c>
      <c r="E10" s="5">
        <v>86504.560000000041</v>
      </c>
      <c r="F10" s="5">
        <v>7365.74</v>
      </c>
      <c r="G10" s="5">
        <v>9773.5299999999988</v>
      </c>
      <c r="H10" s="5">
        <v>-9151.24</v>
      </c>
      <c r="I10" s="5">
        <v>94492.59000000004</v>
      </c>
      <c r="N10" s="7" t="s">
        <v>229</v>
      </c>
      <c r="O10" s="5">
        <v>12161.869999999997</v>
      </c>
    </row>
    <row r="11" spans="1:15" x14ac:dyDescent="0.25">
      <c r="A11" s="8" t="s">
        <v>284</v>
      </c>
      <c r="B11" s="5">
        <v>40874.110000000008</v>
      </c>
      <c r="D11" s="7" t="s">
        <v>295</v>
      </c>
      <c r="E11" s="5">
        <v>284433.26999999996</v>
      </c>
      <c r="F11" s="5">
        <v>37704.840000000004</v>
      </c>
      <c r="G11" s="5">
        <v>19075.839999999997</v>
      </c>
      <c r="H11" s="5">
        <v>-24207.819999999992</v>
      </c>
      <c r="I11" s="5">
        <v>317006.12999999995</v>
      </c>
      <c r="N11" s="7" t="s">
        <v>159</v>
      </c>
      <c r="O11" s="5">
        <v>11634.82</v>
      </c>
    </row>
    <row r="12" spans="1:15" x14ac:dyDescent="0.25">
      <c r="A12" s="8" t="s">
        <v>285</v>
      </c>
      <c r="B12" s="5">
        <v>59576.549999999996</v>
      </c>
      <c r="D12" s="7" t="s">
        <v>298</v>
      </c>
      <c r="E12" s="5">
        <v>106699.04999999993</v>
      </c>
      <c r="F12" s="5">
        <v>9897.2100000000009</v>
      </c>
      <c r="G12" s="5">
        <v>14495.240000000005</v>
      </c>
      <c r="H12" s="5">
        <v>-11987.35</v>
      </c>
      <c r="I12" s="5">
        <v>119104.14999999994</v>
      </c>
      <c r="N12" s="7" t="s">
        <v>68</v>
      </c>
      <c r="O12" s="5">
        <v>11540.440000000002</v>
      </c>
    </row>
    <row r="13" spans="1:15" x14ac:dyDescent="0.25">
      <c r="A13" s="8" t="s">
        <v>286</v>
      </c>
      <c r="B13" s="5">
        <v>63661.239999999976</v>
      </c>
      <c r="D13" s="7" t="s">
        <v>5260</v>
      </c>
      <c r="E13" s="5">
        <v>2119.89</v>
      </c>
      <c r="F13" s="5"/>
      <c r="G13" s="5"/>
      <c r="H13" s="5"/>
      <c r="I13" s="5">
        <v>2119.89</v>
      </c>
      <c r="N13" s="7" t="s">
        <v>179</v>
      </c>
      <c r="O13" s="5">
        <v>11464.439999999999</v>
      </c>
    </row>
    <row r="14" spans="1:15" x14ac:dyDescent="0.25">
      <c r="A14" s="7" t="s">
        <v>282</v>
      </c>
      <c r="B14" s="5">
        <v>537738.18000000005</v>
      </c>
      <c r="D14" s="7" t="s">
        <v>5257</v>
      </c>
      <c r="E14" s="5">
        <v>924607.42999999993</v>
      </c>
      <c r="F14" s="5">
        <v>102978.50000000001</v>
      </c>
      <c r="G14" s="5">
        <v>83295.03</v>
      </c>
      <c r="H14" s="5">
        <v>-79503.049999999988</v>
      </c>
      <c r="I14" s="5">
        <v>1031377.91</v>
      </c>
      <c r="N14" s="7" t="s">
        <v>5257</v>
      </c>
      <c r="O14" s="5">
        <v>124077.26999999999</v>
      </c>
    </row>
    <row r="15" spans="1:15" x14ac:dyDescent="0.25">
      <c r="A15" s="8" t="s">
        <v>283</v>
      </c>
      <c r="B15" s="5">
        <v>150788.32000000009</v>
      </c>
    </row>
    <row r="16" spans="1:15" x14ac:dyDescent="0.25">
      <c r="A16" s="8" t="s">
        <v>284</v>
      </c>
      <c r="B16" s="5">
        <v>114835.25000000003</v>
      </c>
    </row>
    <row r="17" spans="1:2" x14ac:dyDescent="0.25">
      <c r="A17" s="8" t="s">
        <v>285</v>
      </c>
      <c r="B17" s="5">
        <v>135084.0799999999</v>
      </c>
    </row>
    <row r="18" spans="1:2" x14ac:dyDescent="0.25">
      <c r="A18" s="8" t="s">
        <v>286</v>
      </c>
      <c r="B18" s="5">
        <v>137030.53</v>
      </c>
    </row>
    <row r="19" spans="1:2" x14ac:dyDescent="0.25">
      <c r="A19" s="7" t="s">
        <v>5257</v>
      </c>
      <c r="B19" s="5">
        <v>1031377.9099999999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53916-20E0-4185-9350-93B79F298AFA}">
  <dimension ref="A1"/>
  <sheetViews>
    <sheetView tabSelected="1" topLeftCell="C1" zoomScale="76" workbookViewId="0">
      <selection activeCell="R13" sqref="R13"/>
    </sheetView>
  </sheetViews>
  <sheetFormatPr defaultRowHeight="15" x14ac:dyDescent="0.25"/>
  <cols>
    <col min="1" max="16384" width="9.140625" style="9"/>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D89B04-3AA7-4FAB-B039-3190665A45F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Transactions_RAW</vt:lpstr>
      <vt:lpstr>Services</vt:lpstr>
      <vt:lpstr>Quarterly_Targets</vt:lpstr>
      <vt:lpstr>Customers</vt:lpstr>
      <vt:lpstr>Transactions_Cleaned</vt:lpstr>
      <vt:lpstr>Services-Cleaned</vt:lpstr>
      <vt:lpstr>Quarterly_Targets_Cleaned</vt:lpstr>
      <vt:lpstr>Customers_Cleaned</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Onin Jen</dc:creator>
  <cp:lastModifiedBy>Dominick</cp:lastModifiedBy>
  <dcterms:created xsi:type="dcterms:W3CDTF">2026-07-17T05:24:42Z</dcterms:created>
  <dcterms:modified xsi:type="dcterms:W3CDTF">2026-07-18T08:56:09Z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2026-07-17T06:59:11Z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e56ec730-dee4-493f-8c54-acd3895ced73</vt:lpwstr>
  </property>
  <property fmtid="{D5CDD505-2E9C-101B-9397-08002B2CF9AE}" pid="7" name="MSIP_Label_defa4170-0d19-0005-0004-bc88714345d2_ActionId">
    <vt:lpwstr>ec16c281-c155-485f-8d42-5f8872dcca66</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